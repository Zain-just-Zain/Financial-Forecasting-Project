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ll Project\Financial Forecast Project\"/>
    </mc:Choice>
  </mc:AlternateContent>
  <xr:revisionPtr revIDLastSave="0" documentId="13_ncr:1_{8C884337-07B0-45B8-9AF2-BAB2456F1C2F}" xr6:coauthVersionLast="47" xr6:coauthVersionMax="47" xr10:uidLastSave="{00000000-0000-0000-0000-000000000000}"/>
  <bookViews>
    <workbookView xWindow="-110" yWindow="-110" windowWidth="19420" windowHeight="11500" tabRatio="759" activeTab="3" xr2:uid="{8151A4B1-477E-4DAC-AD00-38650809ECFE}"/>
  </bookViews>
  <sheets>
    <sheet name="Trial Balance" sheetId="2" r:id="rId1"/>
    <sheet name="general_ledger" sheetId="1" r:id="rId2"/>
    <sheet name="Forecast" sheetId="3" r:id="rId3"/>
    <sheet name="Chart" sheetId="4" r:id="rId4"/>
  </sheets>
  <definedNames>
    <definedName name="_xlnm._FilterDatabase" localSheetId="1" hidden="1">general_ledger!$A$1:$G$17028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4" l="1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D1" i="4"/>
  <c r="E1" i="4"/>
  <c r="F1" i="4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C1" i="4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AB77" i="3"/>
  <c r="AB81" i="3" s="1"/>
  <c r="AA77" i="3"/>
  <c r="AA81" i="3" s="1"/>
  <c r="Z77" i="3"/>
  <c r="Z81" i="3" s="1"/>
  <c r="Y77" i="3"/>
  <c r="X77" i="3"/>
  <c r="X81" i="3" s="1"/>
  <c r="W77" i="3"/>
  <c r="W81" i="3" s="1"/>
  <c r="V77" i="3"/>
  <c r="V81" i="3" s="1"/>
  <c r="U77" i="3"/>
  <c r="U81" i="3" s="1"/>
  <c r="T77" i="3"/>
  <c r="T81" i="3" s="1"/>
  <c r="S77" i="3"/>
  <c r="S81" i="3" s="1"/>
  <c r="R77" i="3"/>
  <c r="R81" i="3" s="1"/>
  <c r="Q77" i="3"/>
  <c r="Q81" i="3" s="1"/>
  <c r="P77" i="3"/>
  <c r="P81" i="3" s="1"/>
  <c r="O77" i="3"/>
  <c r="O81" i="3" s="1"/>
  <c r="N77" i="3"/>
  <c r="M77" i="3"/>
  <c r="M81" i="3" s="1"/>
  <c r="L77" i="3"/>
  <c r="L81" i="3" s="1"/>
  <c r="K77" i="3"/>
  <c r="K81" i="3" s="1"/>
  <c r="J77" i="3"/>
  <c r="J81" i="3" s="1"/>
  <c r="I77" i="3"/>
  <c r="I81" i="3" s="1"/>
  <c r="H77" i="3"/>
  <c r="H81" i="3" s="1"/>
  <c r="G77" i="3"/>
  <c r="G81" i="3" s="1"/>
  <c r="F77" i="3"/>
  <c r="F81" i="3" s="1"/>
  <c r="E77" i="3"/>
  <c r="E81" i="3" s="1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AB61" i="3"/>
  <c r="AB63" i="3" s="1"/>
  <c r="AA61" i="3"/>
  <c r="AA63" i="3" s="1"/>
  <c r="Z61" i="3"/>
  <c r="Z63" i="3" s="1"/>
  <c r="Y61" i="3"/>
  <c r="Y63" i="3" s="1"/>
  <c r="X61" i="3"/>
  <c r="X63" i="3" s="1"/>
  <c r="W61" i="3"/>
  <c r="W63" i="3" s="1"/>
  <c r="V61" i="3"/>
  <c r="U61" i="3"/>
  <c r="T61" i="3"/>
  <c r="T63" i="3" s="1"/>
  <c r="S61" i="3"/>
  <c r="S63" i="3" s="1"/>
  <c r="R61" i="3"/>
  <c r="R63" i="3" s="1"/>
  <c r="Q61" i="3"/>
  <c r="Q63" i="3" s="1"/>
  <c r="P61" i="3"/>
  <c r="P63" i="3" s="1"/>
  <c r="O61" i="3"/>
  <c r="O63" i="3" s="1"/>
  <c r="N61" i="3"/>
  <c r="N63" i="3" s="1"/>
  <c r="M61" i="3"/>
  <c r="M63" i="3" s="1"/>
  <c r="L61" i="3"/>
  <c r="L63" i="3" s="1"/>
  <c r="K61" i="3"/>
  <c r="K63" i="3" s="1"/>
  <c r="J61" i="3"/>
  <c r="J63" i="3" s="1"/>
  <c r="I61" i="3"/>
  <c r="I63" i="3" s="1"/>
  <c r="H61" i="3"/>
  <c r="H63" i="3" s="1"/>
  <c r="G61" i="3"/>
  <c r="G63" i="3" s="1"/>
  <c r="F61" i="3"/>
  <c r="F63" i="3" s="1"/>
  <c r="E61" i="3"/>
  <c r="E63" i="3" s="1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4" i="3"/>
  <c r="E53" i="3"/>
  <c r="E51" i="3"/>
  <c r="E50" i="3"/>
  <c r="E49" i="3"/>
  <c r="E48" i="3"/>
  <c r="E47" i="3"/>
  <c r="E46" i="3"/>
  <c r="E45" i="3"/>
  <c r="E44" i="3"/>
  <c r="E43" i="3"/>
  <c r="E42" i="3"/>
  <c r="E36" i="3"/>
  <c r="E35" i="3"/>
  <c r="F33" i="3"/>
  <c r="AC80" i="3"/>
  <c r="AC79" i="3"/>
  <c r="AC77" i="3"/>
  <c r="AD80" i="3"/>
  <c r="AD79" i="3"/>
  <c r="AD77" i="3"/>
  <c r="AE80" i="3"/>
  <c r="AF80" i="3"/>
  <c r="AG80" i="3"/>
  <c r="AH80" i="3"/>
  <c r="AE79" i="3"/>
  <c r="AF79" i="3"/>
  <c r="AG79" i="3"/>
  <c r="AH79" i="3"/>
  <c r="AI79" i="3"/>
  <c r="AE77" i="3"/>
  <c r="AF77" i="3"/>
  <c r="AG77" i="3"/>
  <c r="AI80" i="3"/>
  <c r="AJ80" i="3"/>
  <c r="AK80" i="3"/>
  <c r="AL80" i="3"/>
  <c r="AM80" i="3"/>
  <c r="AN80" i="3"/>
  <c r="AJ79" i="3"/>
  <c r="AK79" i="3"/>
  <c r="AL79" i="3"/>
  <c r="AM79" i="3"/>
  <c r="AN79" i="3" s="1"/>
  <c r="AH77" i="3"/>
  <c r="AI77" i="3"/>
  <c r="AJ77" i="3"/>
  <c r="AK77" i="3"/>
  <c r="AL77" i="3"/>
  <c r="AM77" i="3"/>
  <c r="AN77" i="3" s="1"/>
  <c r="V63" i="3" l="1"/>
  <c r="Y81" i="3"/>
  <c r="U63" i="3"/>
  <c r="N81" i="3"/>
  <c r="AD81" i="3"/>
  <c r="AE81" i="3"/>
  <c r="AF81" i="3"/>
  <c r="AC81" i="3"/>
  <c r="AH81" i="3"/>
  <c r="AJ81" i="3"/>
  <c r="AK81" i="3"/>
  <c r="AN81" i="3"/>
  <c r="AI81" i="3"/>
  <c r="AL81" i="3"/>
  <c r="AG81" i="3"/>
  <c r="AM81" i="3"/>
  <c r="Q82" i="3"/>
  <c r="Q64" i="3"/>
  <c r="H82" i="3"/>
  <c r="H64" i="3"/>
  <c r="S82" i="3"/>
  <c r="S64" i="3"/>
  <c r="I82" i="3"/>
  <c r="I64" i="3"/>
  <c r="L64" i="3"/>
  <c r="L82" i="3"/>
  <c r="M82" i="3"/>
  <c r="M64" i="3"/>
  <c r="Y82" i="3"/>
  <c r="Y64" i="3"/>
  <c r="E64" i="3"/>
  <c r="E82" i="3"/>
  <c r="R82" i="3"/>
  <c r="R64" i="3"/>
  <c r="U82" i="3"/>
  <c r="U64" i="3"/>
  <c r="V82" i="3"/>
  <c r="V64" i="3"/>
  <c r="K82" i="3"/>
  <c r="K64" i="3"/>
  <c r="N82" i="3"/>
  <c r="N64" i="3"/>
  <c r="Z82" i="3"/>
  <c r="Z64" i="3"/>
  <c r="F82" i="3"/>
  <c r="F64" i="3"/>
  <c r="O82" i="3"/>
  <c r="O64" i="3"/>
  <c r="AA82" i="3"/>
  <c r="AA64" i="3"/>
  <c r="G82" i="3"/>
  <c r="G64" i="3"/>
  <c r="T82" i="3"/>
  <c r="T64" i="3"/>
  <c r="J82" i="3"/>
  <c r="J64" i="3"/>
  <c r="W82" i="3"/>
  <c r="W64" i="3"/>
  <c r="X64" i="3"/>
  <c r="X82" i="3"/>
  <c r="P82" i="3"/>
  <c r="P64" i="3"/>
  <c r="AB82" i="3"/>
  <c r="AB64" i="3"/>
  <c r="E55" i="3"/>
  <c r="E37" i="3"/>
  <c r="E56" i="3" l="1"/>
  <c r="E38" i="3"/>
  <c r="E9" i="3"/>
  <c r="E10" i="3"/>
  <c r="E16" i="3"/>
  <c r="E17" i="3"/>
  <c r="E18" i="3"/>
  <c r="E19" i="3"/>
  <c r="E20" i="3"/>
  <c r="E21" i="3"/>
  <c r="E22" i="3"/>
  <c r="E23" i="3"/>
  <c r="E24" i="3"/>
  <c r="E25" i="3"/>
  <c r="E27" i="3"/>
  <c r="E28" i="3"/>
  <c r="F7" i="3"/>
  <c r="F27" i="3" s="1"/>
  <c r="F24" i="3" l="1"/>
  <c r="F25" i="3"/>
  <c r="F53" i="3"/>
  <c r="F49" i="3"/>
  <c r="F46" i="3"/>
  <c r="F43" i="3"/>
  <c r="F48" i="3"/>
  <c r="F44" i="3"/>
  <c r="F45" i="3"/>
  <c r="F47" i="3"/>
  <c r="F50" i="3"/>
  <c r="F51" i="3"/>
  <c r="F36" i="3"/>
  <c r="F35" i="3"/>
  <c r="F54" i="3"/>
  <c r="F42" i="3"/>
  <c r="G33" i="3"/>
  <c r="E29" i="3"/>
  <c r="F9" i="3"/>
  <c r="F16" i="3"/>
  <c r="F17" i="3"/>
  <c r="F21" i="3"/>
  <c r="F28" i="3"/>
  <c r="F10" i="3"/>
  <c r="F20" i="3"/>
  <c r="F22" i="3"/>
  <c r="F19" i="3"/>
  <c r="F23" i="3"/>
  <c r="F18" i="3"/>
  <c r="E11" i="3"/>
  <c r="G7" i="3"/>
  <c r="E30" i="3" l="1"/>
  <c r="E12" i="3"/>
  <c r="G25" i="3"/>
  <c r="G53" i="3"/>
  <c r="G49" i="3"/>
  <c r="G46" i="3"/>
  <c r="G43" i="3"/>
  <c r="G35" i="3"/>
  <c r="G54" i="3"/>
  <c r="G50" i="3"/>
  <c r="G47" i="3"/>
  <c r="G44" i="3"/>
  <c r="G36" i="3"/>
  <c r="G45" i="3"/>
  <c r="G42" i="3"/>
  <c r="H33" i="3"/>
  <c r="G48" i="3"/>
  <c r="G51" i="3"/>
  <c r="F37" i="3"/>
  <c r="F38" i="3" s="1"/>
  <c r="F29" i="3"/>
  <c r="F55" i="3"/>
  <c r="G19" i="3"/>
  <c r="G24" i="3"/>
  <c r="G20" i="3"/>
  <c r="G10" i="3"/>
  <c r="G23" i="3"/>
  <c r="G21" i="3"/>
  <c r="G16" i="3"/>
  <c r="G9" i="3"/>
  <c r="G27" i="3"/>
  <c r="G22" i="3"/>
  <c r="G18" i="3"/>
  <c r="G17" i="3"/>
  <c r="G28" i="3"/>
  <c r="F11" i="3"/>
  <c r="F12" i="3" s="1"/>
  <c r="H7" i="3"/>
  <c r="G55" i="3" l="1"/>
  <c r="F56" i="3"/>
  <c r="G11" i="3"/>
  <c r="G12" i="3" s="1"/>
  <c r="H53" i="3"/>
  <c r="H49" i="3"/>
  <c r="H46" i="3"/>
  <c r="H43" i="3"/>
  <c r="H35" i="3"/>
  <c r="H25" i="3"/>
  <c r="H51" i="3"/>
  <c r="H48" i="3"/>
  <c r="H45" i="3"/>
  <c r="H42" i="3"/>
  <c r="I33" i="3"/>
  <c r="H44" i="3"/>
  <c r="H47" i="3"/>
  <c r="H50" i="3"/>
  <c r="H54" i="3"/>
  <c r="H36" i="3"/>
  <c r="F30" i="3"/>
  <c r="G37" i="3"/>
  <c r="G29" i="3"/>
  <c r="G30" i="3" s="1"/>
  <c r="H27" i="3"/>
  <c r="H20" i="3"/>
  <c r="H10" i="3"/>
  <c r="H21" i="3"/>
  <c r="H16" i="3"/>
  <c r="H24" i="3"/>
  <c r="H22" i="3"/>
  <c r="H17" i="3"/>
  <c r="H28" i="3"/>
  <c r="H23" i="3"/>
  <c r="H19" i="3"/>
  <c r="H18" i="3"/>
  <c r="H9" i="3"/>
  <c r="I7" i="3"/>
  <c r="G56" i="3" l="1"/>
  <c r="G38" i="3"/>
  <c r="H55" i="3"/>
  <c r="I25" i="3"/>
  <c r="I53" i="3"/>
  <c r="I54" i="3"/>
  <c r="I44" i="3"/>
  <c r="I47" i="3"/>
  <c r="I45" i="3"/>
  <c r="I43" i="3"/>
  <c r="I42" i="3"/>
  <c r="J33" i="3"/>
  <c r="I48" i="3"/>
  <c r="I46" i="3"/>
  <c r="I36" i="3"/>
  <c r="I50" i="3"/>
  <c r="I51" i="3"/>
  <c r="I49" i="3"/>
  <c r="I35" i="3"/>
  <c r="H29" i="3"/>
  <c r="H37" i="3"/>
  <c r="I9" i="3"/>
  <c r="I10" i="3"/>
  <c r="I28" i="3"/>
  <c r="I21" i="3"/>
  <c r="I16" i="3"/>
  <c r="I27" i="3"/>
  <c r="I22" i="3"/>
  <c r="I17" i="3"/>
  <c r="I23" i="3"/>
  <c r="I18" i="3"/>
  <c r="I24" i="3"/>
  <c r="I20" i="3"/>
  <c r="I19" i="3"/>
  <c r="H11" i="3"/>
  <c r="H12" i="3" s="1"/>
  <c r="J7" i="3"/>
  <c r="I55" i="3" l="1"/>
  <c r="H56" i="3"/>
  <c r="H38" i="3"/>
  <c r="I37" i="3"/>
  <c r="J25" i="3"/>
  <c r="J54" i="3"/>
  <c r="J50" i="3"/>
  <c r="J47" i="3"/>
  <c r="J44" i="3"/>
  <c r="J45" i="3"/>
  <c r="J43" i="3"/>
  <c r="J42" i="3"/>
  <c r="K33" i="3"/>
  <c r="J48" i="3"/>
  <c r="J46" i="3"/>
  <c r="J36" i="3"/>
  <c r="J51" i="3"/>
  <c r="J49" i="3"/>
  <c r="J53" i="3"/>
  <c r="J35" i="3"/>
  <c r="H30" i="3"/>
  <c r="I29" i="3"/>
  <c r="J16" i="3"/>
  <c r="J22" i="3"/>
  <c r="J17" i="3"/>
  <c r="J10" i="3"/>
  <c r="J28" i="3"/>
  <c r="J23" i="3"/>
  <c r="J18" i="3"/>
  <c r="J9" i="3"/>
  <c r="J27" i="3"/>
  <c r="J24" i="3"/>
  <c r="J19" i="3"/>
  <c r="J21" i="3"/>
  <c r="J20" i="3"/>
  <c r="I11" i="3"/>
  <c r="I12" i="3" s="1"/>
  <c r="K7" i="3"/>
  <c r="I56" i="3" l="1"/>
  <c r="I38" i="3"/>
  <c r="J55" i="3"/>
  <c r="I30" i="3"/>
  <c r="K25" i="3"/>
  <c r="L33" i="3"/>
  <c r="K54" i="3"/>
  <c r="K50" i="3"/>
  <c r="K47" i="3"/>
  <c r="K44" i="3"/>
  <c r="K36" i="3"/>
  <c r="K51" i="3"/>
  <c r="K48" i="3"/>
  <c r="K45" i="3"/>
  <c r="K42" i="3"/>
  <c r="K43" i="3"/>
  <c r="K46" i="3"/>
  <c r="K49" i="3"/>
  <c r="K35" i="3"/>
  <c r="K53" i="3"/>
  <c r="J37" i="3"/>
  <c r="J38" i="3" s="1"/>
  <c r="J29" i="3"/>
  <c r="K17" i="3"/>
  <c r="K23" i="3"/>
  <c r="K18" i="3"/>
  <c r="K16" i="3"/>
  <c r="K24" i="3"/>
  <c r="K19" i="3"/>
  <c r="K10" i="3"/>
  <c r="K28" i="3"/>
  <c r="K20" i="3"/>
  <c r="K9" i="3"/>
  <c r="K27" i="3"/>
  <c r="K22" i="3"/>
  <c r="K21" i="3"/>
  <c r="J11" i="3"/>
  <c r="J12" i="3" s="1"/>
  <c r="L7" i="3"/>
  <c r="K37" i="3" l="1"/>
  <c r="K38" i="3" s="1"/>
  <c r="J56" i="3"/>
  <c r="J30" i="3"/>
  <c r="K55" i="3"/>
  <c r="K56" i="3" s="1"/>
  <c r="K29" i="3"/>
  <c r="L25" i="3"/>
  <c r="L54" i="3"/>
  <c r="L53" i="3"/>
  <c r="L51" i="3"/>
  <c r="L50" i="3"/>
  <c r="L49" i="3"/>
  <c r="L48" i="3"/>
  <c r="L47" i="3"/>
  <c r="L46" i="3"/>
  <c r="L45" i="3"/>
  <c r="L44" i="3"/>
  <c r="L43" i="3"/>
  <c r="L42" i="3"/>
  <c r="L36" i="3"/>
  <c r="L35" i="3"/>
  <c r="M33" i="3"/>
  <c r="L18" i="3"/>
  <c r="L24" i="3"/>
  <c r="L19" i="3"/>
  <c r="L17" i="3"/>
  <c r="L20" i="3"/>
  <c r="L16" i="3"/>
  <c r="L9" i="3"/>
  <c r="L27" i="3"/>
  <c r="L21" i="3"/>
  <c r="L10" i="3"/>
  <c r="L28" i="3"/>
  <c r="L23" i="3"/>
  <c r="L22" i="3"/>
  <c r="K11" i="3"/>
  <c r="K12" i="3" s="1"/>
  <c r="M7" i="3"/>
  <c r="L55" i="3" l="1"/>
  <c r="L37" i="3"/>
  <c r="L29" i="3"/>
  <c r="K30" i="3"/>
  <c r="M25" i="3"/>
  <c r="M54" i="3"/>
  <c r="M53" i="3"/>
  <c r="M51" i="3"/>
  <c r="M50" i="3"/>
  <c r="M49" i="3"/>
  <c r="M48" i="3"/>
  <c r="M47" i="3"/>
  <c r="M46" i="3"/>
  <c r="M45" i="3"/>
  <c r="M44" i="3"/>
  <c r="M43" i="3"/>
  <c r="M42" i="3"/>
  <c r="M36" i="3"/>
  <c r="M35" i="3"/>
  <c r="N33" i="3"/>
  <c r="L11" i="3"/>
  <c r="L12" i="3" s="1"/>
  <c r="M19" i="3"/>
  <c r="M20" i="3"/>
  <c r="M18" i="3"/>
  <c r="M9" i="3"/>
  <c r="M27" i="3"/>
  <c r="M21" i="3"/>
  <c r="M17" i="3"/>
  <c r="M10" i="3"/>
  <c r="M28" i="3"/>
  <c r="M22" i="3"/>
  <c r="M16" i="3"/>
  <c r="M24" i="3"/>
  <c r="M23" i="3"/>
  <c r="N7" i="3"/>
  <c r="L56" i="3" l="1"/>
  <c r="L38" i="3"/>
  <c r="M55" i="3"/>
  <c r="M37" i="3"/>
  <c r="M38" i="3" s="1"/>
  <c r="M56" i="3"/>
  <c r="M29" i="3"/>
  <c r="N25" i="3"/>
  <c r="N54" i="3"/>
  <c r="N50" i="3"/>
  <c r="N47" i="3"/>
  <c r="N44" i="3"/>
  <c r="N36" i="3"/>
  <c r="N53" i="3"/>
  <c r="N49" i="3"/>
  <c r="N46" i="3"/>
  <c r="N43" i="3"/>
  <c r="N35" i="3"/>
  <c r="N45" i="3"/>
  <c r="N42" i="3"/>
  <c r="N48" i="3"/>
  <c r="N51" i="3"/>
  <c r="O33" i="3"/>
  <c r="L30" i="3"/>
  <c r="N20" i="3"/>
  <c r="N9" i="3"/>
  <c r="N27" i="3"/>
  <c r="N21" i="3"/>
  <c r="N19" i="3"/>
  <c r="N10" i="3"/>
  <c r="N28" i="3"/>
  <c r="N22" i="3"/>
  <c r="N18" i="3"/>
  <c r="N16" i="3"/>
  <c r="N23" i="3"/>
  <c r="N17" i="3"/>
  <c r="N24" i="3"/>
  <c r="M11" i="3"/>
  <c r="M12" i="3" s="1"/>
  <c r="O7" i="3"/>
  <c r="N37" i="3" l="1"/>
  <c r="N38" i="3" s="1"/>
  <c r="N55" i="3"/>
  <c r="N56" i="3" s="1"/>
  <c r="N29" i="3"/>
  <c r="O54" i="3"/>
  <c r="O25" i="3"/>
  <c r="O48" i="3"/>
  <c r="O46" i="3"/>
  <c r="O44" i="3"/>
  <c r="O51" i="3"/>
  <c r="O49" i="3"/>
  <c r="O47" i="3"/>
  <c r="O36" i="3"/>
  <c r="O50" i="3"/>
  <c r="O35" i="3"/>
  <c r="O53" i="3"/>
  <c r="P33" i="3"/>
  <c r="O45" i="3"/>
  <c r="O43" i="3"/>
  <c r="O42" i="3"/>
  <c r="M30" i="3"/>
  <c r="O21" i="3"/>
  <c r="O10" i="3"/>
  <c r="O28" i="3"/>
  <c r="O22" i="3"/>
  <c r="O20" i="3"/>
  <c r="O16" i="3"/>
  <c r="O23" i="3"/>
  <c r="O19" i="3"/>
  <c r="O17" i="3"/>
  <c r="O24" i="3"/>
  <c r="O18" i="3"/>
  <c r="O9" i="3"/>
  <c r="O27" i="3"/>
  <c r="N11" i="3"/>
  <c r="N12" i="3" s="1"/>
  <c r="P7" i="3"/>
  <c r="O55" i="3" l="1"/>
  <c r="O29" i="3"/>
  <c r="O37" i="3"/>
  <c r="P51" i="3"/>
  <c r="P48" i="3"/>
  <c r="P45" i="3"/>
  <c r="Q33" i="3"/>
  <c r="P25" i="3"/>
  <c r="P49" i="3"/>
  <c r="P47" i="3"/>
  <c r="P36" i="3"/>
  <c r="P50" i="3"/>
  <c r="P35" i="3"/>
  <c r="P53" i="3"/>
  <c r="P54" i="3"/>
  <c r="P43" i="3"/>
  <c r="P42" i="3"/>
  <c r="P46" i="3"/>
  <c r="P44" i="3"/>
  <c r="N30" i="3"/>
  <c r="P22" i="3"/>
  <c r="P16" i="3"/>
  <c r="P23" i="3"/>
  <c r="P21" i="3"/>
  <c r="P17" i="3"/>
  <c r="P24" i="3"/>
  <c r="P20" i="3"/>
  <c r="P18" i="3"/>
  <c r="P19" i="3"/>
  <c r="P10" i="3"/>
  <c r="P28" i="3"/>
  <c r="P9" i="3"/>
  <c r="P27" i="3"/>
  <c r="O11" i="3"/>
  <c r="Q7" i="3"/>
  <c r="O56" i="3" l="1"/>
  <c r="O38" i="3"/>
  <c r="O30" i="3"/>
  <c r="O12" i="3"/>
  <c r="P55" i="3"/>
  <c r="P29" i="3"/>
  <c r="P37" i="3"/>
  <c r="R33" i="3"/>
  <c r="Q51" i="3"/>
  <c r="Q48" i="3"/>
  <c r="Q45" i="3"/>
  <c r="Q42" i="3"/>
  <c r="Q25" i="3"/>
  <c r="Q53" i="3"/>
  <c r="Q49" i="3"/>
  <c r="Q46" i="3"/>
  <c r="Q43" i="3"/>
  <c r="Q35" i="3"/>
  <c r="Q50" i="3"/>
  <c r="Q54" i="3"/>
  <c r="Q44" i="3"/>
  <c r="Q47" i="3"/>
  <c r="Q36" i="3"/>
  <c r="Q23" i="3"/>
  <c r="Q17" i="3"/>
  <c r="Q24" i="3"/>
  <c r="Q22" i="3"/>
  <c r="Q18" i="3"/>
  <c r="Q21" i="3"/>
  <c r="Q19" i="3"/>
  <c r="Q9" i="3"/>
  <c r="Q27" i="3"/>
  <c r="Q20" i="3"/>
  <c r="Q16" i="3"/>
  <c r="Q10" i="3"/>
  <c r="Q28" i="3"/>
  <c r="P11" i="3"/>
  <c r="P12" i="3" s="1"/>
  <c r="R7" i="3"/>
  <c r="P56" i="3" l="1"/>
  <c r="P38" i="3"/>
  <c r="Q55" i="3"/>
  <c r="Q37" i="3"/>
  <c r="Q29" i="3"/>
  <c r="P30" i="3"/>
  <c r="R51" i="3"/>
  <c r="R48" i="3"/>
  <c r="R45" i="3"/>
  <c r="R42" i="3"/>
  <c r="R25" i="3"/>
  <c r="R54" i="3"/>
  <c r="R50" i="3"/>
  <c r="R47" i="3"/>
  <c r="R44" i="3"/>
  <c r="R36" i="3"/>
  <c r="R35" i="3"/>
  <c r="R53" i="3"/>
  <c r="R43" i="3"/>
  <c r="S33" i="3"/>
  <c r="R46" i="3"/>
  <c r="R49" i="3"/>
  <c r="R24" i="3"/>
  <c r="R18" i="3"/>
  <c r="R23" i="3"/>
  <c r="R19" i="3"/>
  <c r="R9" i="3"/>
  <c r="R22" i="3"/>
  <c r="R20" i="3"/>
  <c r="R10" i="3"/>
  <c r="R28" i="3"/>
  <c r="R21" i="3"/>
  <c r="R17" i="3"/>
  <c r="R16" i="3"/>
  <c r="R27" i="3"/>
  <c r="S7" i="3"/>
  <c r="Q11" i="3"/>
  <c r="Q12" i="3" s="1"/>
  <c r="Q56" i="3" l="1"/>
  <c r="Q38" i="3"/>
  <c r="R37" i="3"/>
  <c r="R38" i="3" s="1"/>
  <c r="R29" i="3"/>
  <c r="Q30" i="3"/>
  <c r="S51" i="3"/>
  <c r="S53" i="3"/>
  <c r="S25" i="3"/>
  <c r="S54" i="3"/>
  <c r="S43" i="3"/>
  <c r="T33" i="3"/>
  <c r="S46" i="3"/>
  <c r="S44" i="3"/>
  <c r="S42" i="3"/>
  <c r="S49" i="3"/>
  <c r="S47" i="3"/>
  <c r="S45" i="3"/>
  <c r="S36" i="3"/>
  <c r="S50" i="3"/>
  <c r="S48" i="3"/>
  <c r="S35" i="3"/>
  <c r="R55" i="3"/>
  <c r="S19" i="3"/>
  <c r="S9" i="3"/>
  <c r="S24" i="3"/>
  <c r="S20" i="3"/>
  <c r="S10" i="3"/>
  <c r="S23" i="3"/>
  <c r="S21" i="3"/>
  <c r="S16" i="3"/>
  <c r="S27" i="3"/>
  <c r="S22" i="3"/>
  <c r="S18" i="3"/>
  <c r="S17" i="3"/>
  <c r="S28" i="3"/>
  <c r="R11" i="3"/>
  <c r="R12" i="3" s="1"/>
  <c r="T7" i="3"/>
  <c r="S37" i="3" l="1"/>
  <c r="S38" i="3" s="1"/>
  <c r="S55" i="3"/>
  <c r="S56" i="3" s="1"/>
  <c r="S29" i="3"/>
  <c r="T53" i="3"/>
  <c r="T49" i="3"/>
  <c r="T46" i="3"/>
  <c r="T43" i="3"/>
  <c r="T25" i="3"/>
  <c r="T51" i="3"/>
  <c r="T54" i="3"/>
  <c r="U33" i="3"/>
  <c r="T44" i="3"/>
  <c r="T42" i="3"/>
  <c r="T47" i="3"/>
  <c r="T45" i="3"/>
  <c r="T36" i="3"/>
  <c r="T50" i="3"/>
  <c r="T48" i="3"/>
  <c r="T35" i="3"/>
  <c r="R30" i="3"/>
  <c r="R56" i="3"/>
  <c r="T9" i="3"/>
  <c r="T27" i="3"/>
  <c r="T20" i="3"/>
  <c r="T10" i="3"/>
  <c r="T21" i="3"/>
  <c r="T16" i="3"/>
  <c r="T24" i="3"/>
  <c r="T22" i="3"/>
  <c r="T17" i="3"/>
  <c r="T23" i="3"/>
  <c r="T19" i="3"/>
  <c r="T18" i="3"/>
  <c r="T28" i="3"/>
  <c r="S11" i="3"/>
  <c r="S12" i="3" s="1"/>
  <c r="U7" i="3"/>
  <c r="T37" i="3" l="1"/>
  <c r="T38" i="3" s="1"/>
  <c r="T55" i="3"/>
  <c r="T29" i="3"/>
  <c r="U25" i="3"/>
  <c r="U53" i="3"/>
  <c r="U49" i="3"/>
  <c r="U46" i="3"/>
  <c r="U43" i="3"/>
  <c r="U35" i="3"/>
  <c r="U54" i="3"/>
  <c r="U50" i="3"/>
  <c r="U47" i="3"/>
  <c r="U44" i="3"/>
  <c r="U36" i="3"/>
  <c r="V33" i="3"/>
  <c r="U42" i="3"/>
  <c r="U45" i="3"/>
  <c r="U48" i="3"/>
  <c r="U51" i="3"/>
  <c r="S30" i="3"/>
  <c r="U10" i="3"/>
  <c r="U28" i="3"/>
  <c r="U21" i="3"/>
  <c r="U16" i="3"/>
  <c r="U9" i="3"/>
  <c r="U27" i="3"/>
  <c r="U22" i="3"/>
  <c r="U17" i="3"/>
  <c r="U23" i="3"/>
  <c r="U18" i="3"/>
  <c r="U24" i="3"/>
  <c r="U20" i="3"/>
  <c r="U19" i="3"/>
  <c r="T11" i="3"/>
  <c r="T12" i="3" s="1"/>
  <c r="V7" i="3"/>
  <c r="U55" i="3" l="1"/>
  <c r="U37" i="3"/>
  <c r="V25" i="3"/>
  <c r="V53" i="3"/>
  <c r="V49" i="3"/>
  <c r="V46" i="3"/>
  <c r="V43" i="3"/>
  <c r="V35" i="3"/>
  <c r="V51" i="3"/>
  <c r="V48" i="3"/>
  <c r="V45" i="3"/>
  <c r="V42" i="3"/>
  <c r="V54" i="3"/>
  <c r="V44" i="3"/>
  <c r="V47" i="3"/>
  <c r="V36" i="3"/>
  <c r="W33" i="3"/>
  <c r="V50" i="3"/>
  <c r="U29" i="3"/>
  <c r="T30" i="3"/>
  <c r="T56" i="3"/>
  <c r="V16" i="3"/>
  <c r="V22" i="3"/>
  <c r="V17" i="3"/>
  <c r="V10" i="3"/>
  <c r="V28" i="3"/>
  <c r="V23" i="3"/>
  <c r="V18" i="3"/>
  <c r="V9" i="3"/>
  <c r="V27" i="3"/>
  <c r="V24" i="3"/>
  <c r="V19" i="3"/>
  <c r="V21" i="3"/>
  <c r="V20" i="3"/>
  <c r="U11" i="3"/>
  <c r="U12" i="3" s="1"/>
  <c r="W7" i="3"/>
  <c r="U56" i="3" l="1"/>
  <c r="U38" i="3"/>
  <c r="W25" i="3"/>
  <c r="X33" i="3"/>
  <c r="W53" i="3"/>
  <c r="W54" i="3"/>
  <c r="W44" i="3"/>
  <c r="W42" i="3"/>
  <c r="W47" i="3"/>
  <c r="W45" i="3"/>
  <c r="W43" i="3"/>
  <c r="W36" i="3"/>
  <c r="W50" i="3"/>
  <c r="W48" i="3"/>
  <c r="W46" i="3"/>
  <c r="W49" i="3"/>
  <c r="W35" i="3"/>
  <c r="W51" i="3"/>
  <c r="V55" i="3"/>
  <c r="U30" i="3"/>
  <c r="V37" i="3"/>
  <c r="V38" i="3" s="1"/>
  <c r="V29" i="3"/>
  <c r="W17" i="3"/>
  <c r="W23" i="3"/>
  <c r="W18" i="3"/>
  <c r="W16" i="3"/>
  <c r="W24" i="3"/>
  <c r="W19" i="3"/>
  <c r="W10" i="3"/>
  <c r="W28" i="3"/>
  <c r="W20" i="3"/>
  <c r="W9" i="3"/>
  <c r="W27" i="3"/>
  <c r="W22" i="3"/>
  <c r="W21" i="3"/>
  <c r="V11" i="3"/>
  <c r="V12" i="3" s="1"/>
  <c r="X7" i="3"/>
  <c r="W55" i="3" l="1"/>
  <c r="V56" i="3"/>
  <c r="X25" i="3"/>
  <c r="X54" i="3"/>
  <c r="X53" i="3"/>
  <c r="X51" i="3"/>
  <c r="X50" i="3"/>
  <c r="X49" i="3"/>
  <c r="X48" i="3"/>
  <c r="X47" i="3"/>
  <c r="X46" i="3"/>
  <c r="X45" i="3"/>
  <c r="X44" i="3"/>
  <c r="X43" i="3"/>
  <c r="X42" i="3"/>
  <c r="X36" i="3"/>
  <c r="X35" i="3"/>
  <c r="Y33" i="3"/>
  <c r="W37" i="3"/>
  <c r="V30" i="3"/>
  <c r="W29" i="3"/>
  <c r="X18" i="3"/>
  <c r="X24" i="3"/>
  <c r="X19" i="3"/>
  <c r="X17" i="3"/>
  <c r="X20" i="3"/>
  <c r="X16" i="3"/>
  <c r="X9" i="3"/>
  <c r="X27" i="3"/>
  <c r="X21" i="3"/>
  <c r="X10" i="3"/>
  <c r="X28" i="3"/>
  <c r="X23" i="3"/>
  <c r="X22" i="3"/>
  <c r="W11" i="3"/>
  <c r="W12" i="3" s="1"/>
  <c r="Y7" i="3"/>
  <c r="X55" i="3" l="1"/>
  <c r="W56" i="3"/>
  <c r="W38" i="3"/>
  <c r="W30" i="3"/>
  <c r="X37" i="3"/>
  <c r="Y25" i="3"/>
  <c r="Y54" i="3"/>
  <c r="Y53" i="3"/>
  <c r="Y51" i="3"/>
  <c r="Y50" i="3"/>
  <c r="Y49" i="3"/>
  <c r="Y48" i="3"/>
  <c r="Y47" i="3"/>
  <c r="Y46" i="3"/>
  <c r="Y45" i="3"/>
  <c r="Y44" i="3"/>
  <c r="Y43" i="3"/>
  <c r="Y42" i="3"/>
  <c r="Y36" i="3"/>
  <c r="Y35" i="3"/>
  <c r="Z33" i="3"/>
  <c r="X29" i="3"/>
  <c r="Y19" i="3"/>
  <c r="Y20" i="3"/>
  <c r="Y18" i="3"/>
  <c r="Y9" i="3"/>
  <c r="Y27" i="3"/>
  <c r="Y21" i="3"/>
  <c r="Y17" i="3"/>
  <c r="Y10" i="3"/>
  <c r="Y28" i="3"/>
  <c r="Y22" i="3"/>
  <c r="Y16" i="3"/>
  <c r="Y24" i="3"/>
  <c r="Y23" i="3"/>
  <c r="X11" i="3"/>
  <c r="X12" i="3" s="1"/>
  <c r="Z7" i="3"/>
  <c r="Y55" i="3" l="1"/>
  <c r="X56" i="3"/>
  <c r="X38" i="3"/>
  <c r="Y37" i="3"/>
  <c r="X30" i="3"/>
  <c r="Y29" i="3"/>
  <c r="Z25" i="3"/>
  <c r="Z54" i="3"/>
  <c r="Z50" i="3"/>
  <c r="Z47" i="3"/>
  <c r="Z44" i="3"/>
  <c r="Z53" i="3"/>
  <c r="Z48" i="3"/>
  <c r="Z46" i="3"/>
  <c r="Z49" i="3"/>
  <c r="Z35" i="3"/>
  <c r="Z42" i="3"/>
  <c r="Z45" i="3"/>
  <c r="Z43" i="3"/>
  <c r="Z36" i="3"/>
  <c r="Z51" i="3"/>
  <c r="AA33" i="3"/>
  <c r="Z20" i="3"/>
  <c r="Z9" i="3"/>
  <c r="Z27" i="3"/>
  <c r="Z21" i="3"/>
  <c r="Z19" i="3"/>
  <c r="Z10" i="3"/>
  <c r="Z28" i="3"/>
  <c r="Z22" i="3"/>
  <c r="Z18" i="3"/>
  <c r="Z16" i="3"/>
  <c r="Z23" i="3"/>
  <c r="Z17" i="3"/>
  <c r="Z24" i="3"/>
  <c r="Y11" i="3"/>
  <c r="Y12" i="3" s="1"/>
  <c r="AA7" i="3"/>
  <c r="Y56" i="3" l="1"/>
  <c r="Y38" i="3"/>
  <c r="Z55" i="3"/>
  <c r="Z29" i="3"/>
  <c r="Z37" i="3"/>
  <c r="Y30" i="3"/>
  <c r="AA54" i="3"/>
  <c r="AA50" i="3"/>
  <c r="AA47" i="3"/>
  <c r="AA44" i="3"/>
  <c r="AA36" i="3"/>
  <c r="AA51" i="3"/>
  <c r="AA48" i="3"/>
  <c r="AA45" i="3"/>
  <c r="AA42" i="3"/>
  <c r="AA25" i="3"/>
  <c r="AA53" i="3"/>
  <c r="AA43" i="3"/>
  <c r="AB33" i="3"/>
  <c r="AA46" i="3"/>
  <c r="AA49" i="3"/>
  <c r="AA35" i="3"/>
  <c r="AA37" i="3" s="1"/>
  <c r="AA38" i="3" s="1"/>
  <c r="Z11" i="3"/>
  <c r="Z12" i="3" s="1"/>
  <c r="AA21" i="3"/>
  <c r="AA10" i="3"/>
  <c r="AA28" i="3"/>
  <c r="AA22" i="3"/>
  <c r="AA20" i="3"/>
  <c r="AA16" i="3"/>
  <c r="AA23" i="3"/>
  <c r="AA19" i="3"/>
  <c r="AA17" i="3"/>
  <c r="AA24" i="3"/>
  <c r="AA18" i="3"/>
  <c r="AA9" i="3"/>
  <c r="AA11" i="3" s="1"/>
  <c r="AA12" i="3" s="1"/>
  <c r="AA27" i="3"/>
  <c r="AB7" i="3"/>
  <c r="Z56" i="3" l="1"/>
  <c r="Z38" i="3"/>
  <c r="AA29" i="3"/>
  <c r="AA30" i="3" s="1"/>
  <c r="AA55" i="3"/>
  <c r="AA56" i="3" s="1"/>
  <c r="AB54" i="3"/>
  <c r="AB50" i="3"/>
  <c r="AB47" i="3"/>
  <c r="AB44" i="3"/>
  <c r="AB36" i="3"/>
  <c r="AB53" i="3"/>
  <c r="AB49" i="3"/>
  <c r="AB46" i="3"/>
  <c r="AB43" i="3"/>
  <c r="AB35" i="3"/>
  <c r="AB25" i="3"/>
  <c r="AC33" i="3"/>
  <c r="AB48" i="3"/>
  <c r="AB51" i="3"/>
  <c r="AB42" i="3"/>
  <c r="AB45" i="3"/>
  <c r="Z30" i="3"/>
  <c r="AB22" i="3"/>
  <c r="AB16" i="3"/>
  <c r="AB23" i="3"/>
  <c r="AB21" i="3"/>
  <c r="AB17" i="3"/>
  <c r="AB24" i="3"/>
  <c r="AB20" i="3"/>
  <c r="AB18" i="3"/>
  <c r="AB19" i="3"/>
  <c r="AB10" i="3"/>
  <c r="AB28" i="3"/>
  <c r="AB9" i="3"/>
  <c r="AB27" i="3"/>
  <c r="AC7" i="3"/>
  <c r="AC25" i="3"/>
  <c r="AC54" i="3"/>
  <c r="AD54" i="3"/>
  <c r="AC51" i="3"/>
  <c r="AD51" i="3"/>
  <c r="AC27" i="3"/>
  <c r="AD27" i="3"/>
  <c r="AC53" i="3"/>
  <c r="AD53" i="3"/>
  <c r="AC36" i="3"/>
  <c r="AC35" i="3"/>
  <c r="AC28" i="3"/>
  <c r="AD28" i="3" s="1"/>
  <c r="AD25" i="3"/>
  <c r="AE54" i="3"/>
  <c r="AF54" i="3"/>
  <c r="AG54" i="3"/>
  <c r="AH54" i="3" s="1"/>
  <c r="AI54" i="3"/>
  <c r="AJ54" i="3"/>
  <c r="AK54" i="3"/>
  <c r="AL54" i="3"/>
  <c r="AM54" i="3"/>
  <c r="AN54" i="3" s="1"/>
  <c r="AE51" i="3"/>
  <c r="AF51" i="3"/>
  <c r="AE27" i="3"/>
  <c r="AF27" i="3"/>
  <c r="AE53" i="3"/>
  <c r="AF53" i="3"/>
  <c r="AG53" i="3"/>
  <c r="AH53" i="3"/>
  <c r="AE25" i="3"/>
  <c r="AF25" i="3"/>
  <c r="AG25" i="3"/>
  <c r="AG51" i="3"/>
  <c r="AG27" i="3"/>
  <c r="AI53" i="3"/>
  <c r="AH25" i="3"/>
  <c r="AI25" i="3"/>
  <c r="AJ25" i="3"/>
  <c r="AK25" i="3"/>
  <c r="AL25" i="3"/>
  <c r="AM25" i="3" s="1"/>
  <c r="AN25" i="3"/>
  <c r="AH51" i="3"/>
  <c r="AI51" i="3"/>
  <c r="AJ51" i="3"/>
  <c r="AK51" i="3"/>
  <c r="AL51" i="3"/>
  <c r="AM51" i="3"/>
  <c r="AN51" i="3" s="1"/>
  <c r="AH27" i="3"/>
  <c r="AI27" i="3"/>
  <c r="AJ27" i="3"/>
  <c r="AK27" i="3"/>
  <c r="AL27" i="3"/>
  <c r="AM27" i="3"/>
  <c r="AN27" i="3"/>
  <c r="AJ53" i="3"/>
  <c r="AK53" i="3"/>
  <c r="AL53" i="3" s="1"/>
  <c r="AM53" i="3"/>
  <c r="AN53" i="3" s="1"/>
  <c r="AC61" i="3" l="1"/>
  <c r="AC29" i="3"/>
  <c r="AB55" i="3"/>
  <c r="AC55" i="3"/>
  <c r="AC9" i="3"/>
  <c r="AC37" i="3"/>
  <c r="AB29" i="3"/>
  <c r="AB30" i="3" s="1"/>
  <c r="AB37" i="3"/>
  <c r="AD33" i="3"/>
  <c r="AB11" i="3"/>
  <c r="AB12" i="3" s="1"/>
  <c r="AD7" i="3"/>
  <c r="AB56" i="3" l="1"/>
  <c r="AB38" i="3"/>
  <c r="F3" i="3" s="1"/>
  <c r="AH38" i="3"/>
  <c r="AL38" i="3"/>
  <c r="AN38" i="3"/>
  <c r="AC38" i="3"/>
  <c r="AK38" i="3"/>
  <c r="AG38" i="3"/>
  <c r="AM38" i="3"/>
  <c r="AD38" i="3"/>
  <c r="AF38" i="3"/>
  <c r="AI38" i="3"/>
  <c r="AJ38" i="3"/>
  <c r="AE38" i="3"/>
  <c r="AC56" i="3"/>
  <c r="AE33" i="3"/>
  <c r="AE7" i="3"/>
  <c r="AD36" i="3"/>
  <c r="AD35" i="3"/>
  <c r="AD61" i="3" l="1"/>
  <c r="F2" i="3"/>
  <c r="F4" i="3"/>
  <c r="AD9" i="3"/>
  <c r="AD37" i="3"/>
  <c r="AD55" i="3"/>
  <c r="AD29" i="3"/>
  <c r="AF33" i="3"/>
  <c r="AF7" i="3"/>
  <c r="AE36" i="3"/>
  <c r="AE35" i="3"/>
  <c r="AE28" i="3"/>
  <c r="AE61" i="3" l="1"/>
  <c r="AD64" i="3"/>
  <c r="AN64" i="3"/>
  <c r="AC64" i="3"/>
  <c r="AC63" i="3" s="1"/>
  <c r="AM64" i="3"/>
  <c r="AI64" i="3"/>
  <c r="AL64" i="3"/>
  <c r="AH64" i="3"/>
  <c r="AJ64" i="3"/>
  <c r="AK64" i="3"/>
  <c r="AG64" i="3"/>
  <c r="AF64" i="3"/>
  <c r="AE64" i="3"/>
  <c r="AD12" i="3"/>
  <c r="AD11" i="3" s="1"/>
  <c r="AM12" i="3"/>
  <c r="AL12" i="3"/>
  <c r="AN12" i="3"/>
  <c r="AH12" i="3"/>
  <c r="AC12" i="3"/>
  <c r="AC11" i="3" s="1"/>
  <c r="AE12" i="3"/>
  <c r="AI12" i="3"/>
  <c r="AF12" i="3"/>
  <c r="AG12" i="3"/>
  <c r="AK12" i="3"/>
  <c r="AJ12" i="3"/>
  <c r="AD63" i="3"/>
  <c r="AD82" i="3" s="1"/>
  <c r="AD62" i="3"/>
  <c r="AD56" i="3"/>
  <c r="AE55" i="3"/>
  <c r="AE29" i="3"/>
  <c r="AE9" i="3"/>
  <c r="AE37" i="3"/>
  <c r="AE11" i="3"/>
  <c r="AE10" i="3" s="1"/>
  <c r="AG33" i="3"/>
  <c r="AG7" i="3"/>
  <c r="AF36" i="3"/>
  <c r="AF28" i="3"/>
  <c r="AF35" i="3"/>
  <c r="AF61" i="3" l="1"/>
  <c r="AF63" i="3" s="1"/>
  <c r="AD10" i="3"/>
  <c r="AD30" i="3"/>
  <c r="AC82" i="3"/>
  <c r="AC62" i="3"/>
  <c r="AE63" i="3"/>
  <c r="AE82" i="3" s="1"/>
  <c r="AE62" i="3"/>
  <c r="AC10" i="3"/>
  <c r="AC30" i="3"/>
  <c r="AE56" i="3"/>
  <c r="AE30" i="3"/>
  <c r="AF55" i="3"/>
  <c r="AF56" i="3" s="1"/>
  <c r="AF29" i="3"/>
  <c r="AF37" i="3"/>
  <c r="AF9" i="3"/>
  <c r="AF11" i="3" s="1"/>
  <c r="AH33" i="3"/>
  <c r="AH7" i="3"/>
  <c r="AG35" i="3"/>
  <c r="AG36" i="3"/>
  <c r="AG28" i="3"/>
  <c r="AG61" i="3" l="1"/>
  <c r="AG63" i="3" s="1"/>
  <c r="AF62" i="3"/>
  <c r="AF82" i="3"/>
  <c r="AG55" i="3"/>
  <c r="AG9" i="3"/>
  <c r="AG37" i="3"/>
  <c r="AG56" i="3" s="1"/>
  <c r="AG29" i="3"/>
  <c r="AF10" i="3"/>
  <c r="AF30" i="3"/>
  <c r="AG11" i="3"/>
  <c r="AG10" i="3" s="1"/>
  <c r="AI33" i="3"/>
  <c r="AI7" i="3"/>
  <c r="AH35" i="3"/>
  <c r="AH36" i="3"/>
  <c r="AH28" i="3"/>
  <c r="AH61" i="3" l="1"/>
  <c r="AG62" i="3"/>
  <c r="AG82" i="3"/>
  <c r="AH29" i="3"/>
  <c r="AH37" i="3"/>
  <c r="AH9" i="3"/>
  <c r="AH55" i="3"/>
  <c r="AH56" i="3" s="1"/>
  <c r="AG30" i="3"/>
  <c r="AH11" i="3"/>
  <c r="AH10" i="3" s="1"/>
  <c r="AJ33" i="3"/>
  <c r="AJ7" i="3"/>
  <c r="AI36" i="3"/>
  <c r="AI28" i="3"/>
  <c r="AI35" i="3"/>
  <c r="AI61" i="3" l="1"/>
  <c r="AI63" i="3" s="1"/>
  <c r="AH63" i="3"/>
  <c r="AH82" i="3" s="1"/>
  <c r="AH62" i="3"/>
  <c r="AI9" i="3"/>
  <c r="AI11" i="3" s="1"/>
  <c r="AI37" i="3"/>
  <c r="AI29" i="3"/>
  <c r="AI55" i="3"/>
  <c r="AH30" i="3"/>
  <c r="AK33" i="3"/>
  <c r="AK7" i="3"/>
  <c r="AJ36" i="3"/>
  <c r="AJ28" i="3"/>
  <c r="AJ35" i="3"/>
  <c r="AJ61" i="3" l="1"/>
  <c r="AJ63" i="3" s="1"/>
  <c r="AI62" i="3"/>
  <c r="AI82" i="3"/>
  <c r="AI30" i="3"/>
  <c r="AI56" i="3"/>
  <c r="AI10" i="3"/>
  <c r="AJ29" i="3"/>
  <c r="AJ55" i="3"/>
  <c r="AJ37" i="3"/>
  <c r="AJ9" i="3"/>
  <c r="AJ11" i="3" s="1"/>
  <c r="AJ10" i="3" s="1"/>
  <c r="AL33" i="3"/>
  <c r="AL7" i="3"/>
  <c r="AK35" i="3"/>
  <c r="AK28" i="3"/>
  <c r="AK36" i="3"/>
  <c r="AK61" i="3" l="1"/>
  <c r="AK63" i="3" s="1"/>
  <c r="AJ62" i="3"/>
  <c r="AJ82" i="3"/>
  <c r="AJ56" i="3"/>
  <c r="AK29" i="3"/>
  <c r="AK37" i="3"/>
  <c r="AK9" i="3"/>
  <c r="AK55" i="3"/>
  <c r="AJ30" i="3"/>
  <c r="AK11" i="3"/>
  <c r="AK30" i="3" s="1"/>
  <c r="AM33" i="3"/>
  <c r="AM7" i="3"/>
  <c r="AL28" i="3"/>
  <c r="AL35" i="3"/>
  <c r="AL36" i="3"/>
  <c r="AL61" i="3" l="1"/>
  <c r="AK62" i="3"/>
  <c r="AK82" i="3"/>
  <c r="AK10" i="3"/>
  <c r="AK56" i="3"/>
  <c r="AL37" i="3"/>
  <c r="AL9" i="3"/>
  <c r="AL55" i="3"/>
  <c r="AL56" i="3" s="1"/>
  <c r="AL29" i="3"/>
  <c r="AL11" i="3"/>
  <c r="AL30" i="3" s="1"/>
  <c r="AN33" i="3"/>
  <c r="AN7" i="3"/>
  <c r="AM35" i="3"/>
  <c r="AM36" i="3"/>
  <c r="AM28" i="3"/>
  <c r="AN35" i="3"/>
  <c r="AN61" i="3" l="1"/>
  <c r="AM61" i="3"/>
  <c r="AM63" i="3" s="1"/>
  <c r="AL63" i="3"/>
  <c r="AL82" i="3" s="1"/>
  <c r="AL62" i="3"/>
  <c r="AL10" i="3"/>
  <c r="AM29" i="3"/>
  <c r="AM55" i="3"/>
  <c r="AM37" i="3"/>
  <c r="AM9" i="3"/>
  <c r="AM11" i="3" s="1"/>
  <c r="AN9" i="3"/>
  <c r="AN36" i="3"/>
  <c r="AN28" i="3"/>
  <c r="AM62" i="3" l="1"/>
  <c r="AM82" i="3"/>
  <c r="AN63" i="3"/>
  <c r="AN82" i="3" s="1"/>
  <c r="AN62" i="3"/>
  <c r="AN29" i="3"/>
  <c r="AN37" i="3"/>
  <c r="AN55" i="3"/>
  <c r="AN56" i="3" s="1"/>
  <c r="AM10" i="3"/>
  <c r="AM30" i="3"/>
  <c r="AM56" i="3"/>
  <c r="AN11" i="3"/>
  <c r="AN30" i="3" l="1"/>
  <c r="AN10" i="3"/>
</calcChain>
</file>

<file path=xl/sharedStrings.xml><?xml version="1.0" encoding="utf-8"?>
<sst xmlns="http://schemas.openxmlformats.org/spreadsheetml/2006/main" count="51200" uniqueCount="65">
  <si>
    <t>entry_number</t>
  </si>
  <si>
    <t>entry_date</t>
  </si>
  <si>
    <t>description</t>
  </si>
  <si>
    <t>debit</t>
  </si>
  <si>
    <t>credit</t>
  </si>
  <si>
    <t>name</t>
  </si>
  <si>
    <t>account_type</t>
  </si>
  <si>
    <t>Opening balance â€” owner's equity contribution</t>
  </si>
  <si>
    <t>Bank Account - Operating</t>
  </si>
  <si>
    <t>asset</t>
  </si>
  <si>
    <t>Owner's Equity / Common Stock</t>
  </si>
  <si>
    <t>equity</t>
  </si>
  <si>
    <t>Sales invoice issued</t>
  </si>
  <si>
    <t>Accounts Receivable</t>
  </si>
  <si>
    <t>Sales Revenue</t>
  </si>
  <si>
    <t>revenue</t>
  </si>
  <si>
    <t>Sales Tax Payable</t>
  </si>
  <si>
    <t>liability</t>
  </si>
  <si>
    <t>Payroll processed</t>
  </si>
  <si>
    <t>Salaries &amp; Wages</t>
  </si>
  <si>
    <t>expense</t>
  </si>
  <si>
    <t>Employer FICA Expense</t>
  </si>
  <si>
    <t>Federal Income Tax Withholding Payable</t>
  </si>
  <si>
    <t>FICA Payable (Social Security &amp; Medicare)</t>
  </si>
  <si>
    <t>Customer payment received</t>
  </si>
  <si>
    <t>Supplier invoice received</t>
  </si>
  <si>
    <t>Cost of Goods Sold</t>
  </si>
  <si>
    <t>Sales Tax Receivable</t>
  </si>
  <si>
    <t>Accounts Payable</t>
  </si>
  <si>
    <t>Supplier payment made</t>
  </si>
  <si>
    <t>Depreciation â€” POS System</t>
  </si>
  <si>
    <t>Depreciation Expense</t>
  </si>
  <si>
    <t>Less Accumulated Depreciation - Office Equipment</t>
  </si>
  <si>
    <t>Depreciation â€” Laptop x2</t>
  </si>
  <si>
    <t>Depreciation â€” Printer/Scanner</t>
  </si>
  <si>
    <t>Depreciation â€” Shop Shelving</t>
  </si>
  <si>
    <t>Less Accumulated Depreciation - Furniture &amp; Fixtures</t>
  </si>
  <si>
    <t>Depreciation â€” Display Stands</t>
  </si>
  <si>
    <t>Depreciation â€” Counter &amp; Checkout</t>
  </si>
  <si>
    <t>Depreciation â€” Signage</t>
  </si>
  <si>
    <t>Depreciation â€” Delivery Van</t>
  </si>
  <si>
    <t>Less Accumulated Depreciation - Vehicles</t>
  </si>
  <si>
    <t>Depreciation â€” Security System</t>
  </si>
  <si>
    <t>Row Labels</t>
  </si>
  <si>
    <t>Grand Total</t>
  </si>
  <si>
    <t>Sum of debit</t>
  </si>
  <si>
    <t>Sum of credit</t>
  </si>
  <si>
    <t>(Multiple Items)</t>
  </si>
  <si>
    <t>(All)</t>
  </si>
  <si>
    <t>Operating Expense</t>
  </si>
  <si>
    <t>Revenue</t>
  </si>
  <si>
    <t>Gross Profit</t>
  </si>
  <si>
    <t>Operating Profit</t>
  </si>
  <si>
    <t>Toal Operating Expense</t>
  </si>
  <si>
    <t>Best Case</t>
  </si>
  <si>
    <t>Worst Case</t>
  </si>
  <si>
    <t>Account</t>
  </si>
  <si>
    <t>Base Case</t>
  </si>
  <si>
    <t>Actual Budget</t>
  </si>
  <si>
    <t>Forecast</t>
  </si>
  <si>
    <t>Gross Profit Margin</t>
  </si>
  <si>
    <t>Target</t>
  </si>
  <si>
    <t>Margin</t>
  </si>
  <si>
    <t>Date</t>
  </si>
  <si>
    <t>Operational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</si>
</sst>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6" fillId="0" borderId="0" xfId="0" applyFont="1"/>
    <xf numFmtId="0" fontId="0" fillId="33" borderId="0" xfId="0" applyFill="1"/>
    <xf numFmtId="0" fontId="18" fillId="33" borderId="0" xfId="0" applyFont="1" applyFill="1"/>
    <xf numFmtId="17" fontId="0" fillId="33" borderId="0" xfId="0" applyNumberFormat="1" applyFill="1"/>
    <xf numFmtId="0" fontId="16" fillId="33" borderId="0" xfId="0" applyFont="1" applyFill="1"/>
    <xf numFmtId="0" fontId="0" fillId="34" borderId="0" xfId="0" applyFill="1"/>
    <xf numFmtId="0" fontId="0" fillId="35" borderId="0" xfId="0" applyFill="1"/>
    <xf numFmtId="0" fontId="13" fillId="35" borderId="0" xfId="0" applyFont="1" applyFill="1"/>
    <xf numFmtId="0" fontId="16" fillId="36" borderId="0" xfId="0" applyFont="1" applyFill="1"/>
    <xf numFmtId="0" fontId="0" fillId="36" borderId="0" xfId="0" applyFill="1"/>
    <xf numFmtId="0" fontId="18" fillId="36" borderId="0" xfId="0" applyFont="1" applyFill="1"/>
    <xf numFmtId="0" fontId="16" fillId="37" borderId="0" xfId="0" applyFont="1" applyFill="1"/>
    <xf numFmtId="0" fontId="0" fillId="37" borderId="0" xfId="0" applyFill="1"/>
    <xf numFmtId="0" fontId="18" fillId="37" borderId="0" xfId="0" applyFont="1" applyFill="1"/>
    <xf numFmtId="0" fontId="13" fillId="34" borderId="0" xfId="0" applyFont="1" applyFill="1"/>
    <xf numFmtId="10" fontId="0" fillId="0" borderId="0" xfId="42" applyNumberFormat="1" applyFont="1"/>
    <xf numFmtId="9" fontId="0" fillId="33" borderId="0" xfId="42" applyFont="1" applyFill="1"/>
    <xf numFmtId="164" fontId="0" fillId="33" borderId="0" xfId="42" applyNumberFormat="1" applyFont="1" applyFill="1"/>
    <xf numFmtId="9" fontId="0" fillId="33" borderId="0" xfId="0" applyNumberFormat="1" applyFill="1"/>
    <xf numFmtId="1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Chart!$A$3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Chart!$B$1:$AK$1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Chart!$B$3:$AK$3</c:f>
              <c:numCache>
                <c:formatCode>0.00</c:formatCode>
                <c:ptCount val="36"/>
                <c:pt idx="0">
                  <c:v>59415.490000000013</c:v>
                </c:pt>
                <c:pt idx="1">
                  <c:v>68342.89</c:v>
                </c:pt>
                <c:pt idx="2">
                  <c:v>99595.540000000037</c:v>
                </c:pt>
                <c:pt idx="3">
                  <c:v>95861.080000000016</c:v>
                </c:pt>
                <c:pt idx="4">
                  <c:v>150362.91999999998</c:v>
                </c:pt>
                <c:pt idx="5">
                  <c:v>142942.71</c:v>
                </c:pt>
                <c:pt idx="6">
                  <c:v>149964.52999999997</c:v>
                </c:pt>
                <c:pt idx="7">
                  <c:v>134993.04</c:v>
                </c:pt>
                <c:pt idx="8">
                  <c:v>141063.74000000002</c:v>
                </c:pt>
                <c:pt idx="9">
                  <c:v>205049.57000000007</c:v>
                </c:pt>
                <c:pt idx="10">
                  <c:v>232928.62999999983</c:v>
                </c:pt>
                <c:pt idx="11">
                  <c:v>309332.21999999991</c:v>
                </c:pt>
                <c:pt idx="12">
                  <c:v>153642.57999999996</c:v>
                </c:pt>
                <c:pt idx="13">
                  <c:v>138235.13000000006</c:v>
                </c:pt>
                <c:pt idx="14">
                  <c:v>177988.43999999994</c:v>
                </c:pt>
                <c:pt idx="15">
                  <c:v>217996.40000000008</c:v>
                </c:pt>
                <c:pt idx="16">
                  <c:v>329150.24</c:v>
                </c:pt>
                <c:pt idx="17">
                  <c:v>242501.93999999983</c:v>
                </c:pt>
                <c:pt idx="18">
                  <c:v>216498.91999999998</c:v>
                </c:pt>
                <c:pt idx="19">
                  <c:v>191254.52000000005</c:v>
                </c:pt>
                <c:pt idx="20">
                  <c:v>317274.78000000009</c:v>
                </c:pt>
                <c:pt idx="21">
                  <c:v>299056.03999999986</c:v>
                </c:pt>
                <c:pt idx="22">
                  <c:v>403762.45999999985</c:v>
                </c:pt>
                <c:pt idx="23">
                  <c:v>511798.72000000038</c:v>
                </c:pt>
                <c:pt idx="24">
                  <c:v>435729.345998918</c:v>
                </c:pt>
                <c:pt idx="25">
                  <c:v>414206.86360676977</c:v>
                </c:pt>
                <c:pt idx="26">
                  <c:v>455989.96234642703</c:v>
                </c:pt>
                <c:pt idx="27">
                  <c:v>494489.7566386009</c:v>
                </c:pt>
                <c:pt idx="28">
                  <c:v>590836.04812987091</c:v>
                </c:pt>
                <c:pt idx="29">
                  <c:v>587395.28226221423</c:v>
                </c:pt>
                <c:pt idx="30">
                  <c:v>511004.2635701028</c:v>
                </c:pt>
                <c:pt idx="31">
                  <c:v>488171.6797551873</c:v>
                </c:pt>
                <c:pt idx="32">
                  <c:v>553175.59747828951</c:v>
                </c:pt>
                <c:pt idx="33">
                  <c:v>590642.26359655207</c:v>
                </c:pt>
                <c:pt idx="34">
                  <c:v>683807.51557959709</c:v>
                </c:pt>
                <c:pt idx="35">
                  <c:v>674993.19963126665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9-4461-923A-1C206D9C0903}"/>
            </c:ext>
          </c:extLst>
        </c:ser>
        <c:ser>
          <c:idx val="2"/>
          <c:order val="1"/>
          <c:tx>
            <c:strRef>
              <c:f>Chart!$A$4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Chart!$B$1:$AK$1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Chart!$B$4:$AK$4</c:f>
              <c:numCache>
                <c:formatCode>0.00</c:formatCode>
                <c:ptCount val="36"/>
                <c:pt idx="0">
                  <c:v>59415.490000000013</c:v>
                </c:pt>
                <c:pt idx="1">
                  <c:v>68342.89</c:v>
                </c:pt>
                <c:pt idx="2">
                  <c:v>99595.540000000037</c:v>
                </c:pt>
                <c:pt idx="3">
                  <c:v>95861.080000000016</c:v>
                </c:pt>
                <c:pt idx="4">
                  <c:v>150362.91999999998</c:v>
                </c:pt>
                <c:pt idx="5">
                  <c:v>142942.71</c:v>
                </c:pt>
                <c:pt idx="6">
                  <c:v>149964.52999999997</c:v>
                </c:pt>
                <c:pt idx="7">
                  <c:v>134993.04</c:v>
                </c:pt>
                <c:pt idx="8">
                  <c:v>141063.74000000002</c:v>
                </c:pt>
                <c:pt idx="9">
                  <c:v>205049.57000000007</c:v>
                </c:pt>
                <c:pt idx="10">
                  <c:v>232928.62999999983</c:v>
                </c:pt>
                <c:pt idx="11">
                  <c:v>309332.21999999991</c:v>
                </c:pt>
                <c:pt idx="12">
                  <c:v>153642.57999999996</c:v>
                </c:pt>
                <c:pt idx="13">
                  <c:v>138235.13000000006</c:v>
                </c:pt>
                <c:pt idx="14">
                  <c:v>177988.43999999994</c:v>
                </c:pt>
                <c:pt idx="15">
                  <c:v>217996.40000000008</c:v>
                </c:pt>
                <c:pt idx="16">
                  <c:v>329150.24</c:v>
                </c:pt>
                <c:pt idx="17">
                  <c:v>242501.93999999983</c:v>
                </c:pt>
                <c:pt idx="18">
                  <c:v>216498.91999999998</c:v>
                </c:pt>
                <c:pt idx="19">
                  <c:v>191254.52000000005</c:v>
                </c:pt>
                <c:pt idx="20">
                  <c:v>317274.78000000009</c:v>
                </c:pt>
                <c:pt idx="21">
                  <c:v>299056.03999999986</c:v>
                </c:pt>
                <c:pt idx="22">
                  <c:v>403762.45999999985</c:v>
                </c:pt>
                <c:pt idx="23">
                  <c:v>511798.72000000038</c:v>
                </c:pt>
                <c:pt idx="24">
                  <c:v>234623.49399941735</c:v>
                </c:pt>
                <c:pt idx="25">
                  <c:v>223034.46501902986</c:v>
                </c:pt>
                <c:pt idx="26">
                  <c:v>245533.05664807605</c:v>
                </c:pt>
                <c:pt idx="27">
                  <c:v>266263.71511309274</c:v>
                </c:pt>
                <c:pt idx="28">
                  <c:v>318142.4874545458</c:v>
                </c:pt>
                <c:pt idx="29">
                  <c:v>316289.7673719615</c:v>
                </c:pt>
                <c:pt idx="30">
                  <c:v>275156.14192236302</c:v>
                </c:pt>
                <c:pt idx="31">
                  <c:v>262861.67371433164</c:v>
                </c:pt>
                <c:pt idx="32">
                  <c:v>297863.78325754043</c:v>
                </c:pt>
                <c:pt idx="33">
                  <c:v>318038.14193660492</c:v>
                </c:pt>
                <c:pt idx="34">
                  <c:v>368204.04685055226</c:v>
                </c:pt>
                <c:pt idx="35">
                  <c:v>363457.87672452815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9-4461-923A-1C206D9C0903}"/>
            </c:ext>
          </c:extLst>
        </c:ser>
        <c:ser>
          <c:idx val="0"/>
          <c:order val="2"/>
          <c:tx>
            <c:strRef>
              <c:f>Chart!$A$2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49-4461-923A-1C206D9C0903}"/>
                </c:ext>
              </c:extLst>
            </c:dLbl>
            <c:dLbl>
              <c:idx val="12"/>
              <c:layout>
                <c:manualLayout>
                  <c:x val="-4.2535288563255176E-2"/>
                  <c:y val="4.892910730172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49-4461-923A-1C206D9C0903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49-4461-923A-1C206D9C09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Chart!$B$1:$AK$1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Chart!$B$2:$AK$2</c:f>
              <c:numCache>
                <c:formatCode>0.00</c:formatCode>
                <c:ptCount val="36"/>
                <c:pt idx="0">
                  <c:v>59415.490000000013</c:v>
                </c:pt>
                <c:pt idx="1">
                  <c:v>68342.89</c:v>
                </c:pt>
                <c:pt idx="2">
                  <c:v>99595.540000000037</c:v>
                </c:pt>
                <c:pt idx="3">
                  <c:v>95861.080000000016</c:v>
                </c:pt>
                <c:pt idx="4">
                  <c:v>150362.91999999998</c:v>
                </c:pt>
                <c:pt idx="5">
                  <c:v>142942.71</c:v>
                </c:pt>
                <c:pt idx="6">
                  <c:v>149964.52999999997</c:v>
                </c:pt>
                <c:pt idx="7">
                  <c:v>134993.04</c:v>
                </c:pt>
                <c:pt idx="8">
                  <c:v>141063.74000000002</c:v>
                </c:pt>
                <c:pt idx="9">
                  <c:v>205049.57000000007</c:v>
                </c:pt>
                <c:pt idx="10">
                  <c:v>232928.62999999983</c:v>
                </c:pt>
                <c:pt idx="11">
                  <c:v>309332.21999999991</c:v>
                </c:pt>
                <c:pt idx="12">
                  <c:v>153642.57999999996</c:v>
                </c:pt>
                <c:pt idx="13">
                  <c:v>138235.13000000006</c:v>
                </c:pt>
                <c:pt idx="14">
                  <c:v>177988.43999999994</c:v>
                </c:pt>
                <c:pt idx="15">
                  <c:v>217996.40000000008</c:v>
                </c:pt>
                <c:pt idx="16">
                  <c:v>329150.24</c:v>
                </c:pt>
                <c:pt idx="17">
                  <c:v>242501.93999999983</c:v>
                </c:pt>
                <c:pt idx="18">
                  <c:v>216498.91999999998</c:v>
                </c:pt>
                <c:pt idx="19">
                  <c:v>191254.52000000005</c:v>
                </c:pt>
                <c:pt idx="20">
                  <c:v>317274.78000000009</c:v>
                </c:pt>
                <c:pt idx="21">
                  <c:v>299056.03999999986</c:v>
                </c:pt>
                <c:pt idx="22">
                  <c:v>403762.45999999985</c:v>
                </c:pt>
                <c:pt idx="23">
                  <c:v>511798.72000000038</c:v>
                </c:pt>
                <c:pt idx="24">
                  <c:v>335176.41999916767</c:v>
                </c:pt>
                <c:pt idx="25">
                  <c:v>318620.66431289981</c:v>
                </c:pt>
                <c:pt idx="26">
                  <c:v>350761.50949725154</c:v>
                </c:pt>
                <c:pt idx="27">
                  <c:v>380376.73587584682</c:v>
                </c:pt>
                <c:pt idx="28">
                  <c:v>454489.26779220835</c:v>
                </c:pt>
                <c:pt idx="29">
                  <c:v>451842.52481708786</c:v>
                </c:pt>
                <c:pt idx="30">
                  <c:v>393080.20274623291</c:v>
                </c:pt>
                <c:pt idx="31">
                  <c:v>375516.67673475947</c:v>
                </c:pt>
                <c:pt idx="32">
                  <c:v>425519.69036791497</c:v>
                </c:pt>
                <c:pt idx="33">
                  <c:v>454340.20276657853</c:v>
                </c:pt>
                <c:pt idx="34">
                  <c:v>526005.7812150747</c:v>
                </c:pt>
                <c:pt idx="35">
                  <c:v>519225.5381778974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9-4461-923A-1C206D9C0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438847"/>
        <c:axId val="2110455647"/>
      </c:lineChart>
      <c:dateAx>
        <c:axId val="2110438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55647"/>
        <c:crosses val="autoZero"/>
        <c:auto val="1"/>
        <c:lblOffset val="100"/>
        <c:baseTimeUnit val="months"/>
      </c:dateAx>
      <c:valAx>
        <c:axId val="211045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Chart!$A$7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Chart!$B$6:$AK$6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Chart!$B$7:$AK$7</c:f>
              <c:numCache>
                <c:formatCode>0.00</c:formatCode>
                <c:ptCount val="36"/>
                <c:pt idx="0">
                  <c:v>59415.490000000013</c:v>
                </c:pt>
                <c:pt idx="1">
                  <c:v>68342.89</c:v>
                </c:pt>
                <c:pt idx="2">
                  <c:v>99595.540000000037</c:v>
                </c:pt>
                <c:pt idx="3">
                  <c:v>95861.080000000016</c:v>
                </c:pt>
                <c:pt idx="4">
                  <c:v>150362.91999999998</c:v>
                </c:pt>
                <c:pt idx="5">
                  <c:v>142942.71</c:v>
                </c:pt>
                <c:pt idx="6">
                  <c:v>149964.52999999997</c:v>
                </c:pt>
                <c:pt idx="7">
                  <c:v>134993.04</c:v>
                </c:pt>
                <c:pt idx="8">
                  <c:v>141063.74000000002</c:v>
                </c:pt>
                <c:pt idx="9">
                  <c:v>205049.57000000007</c:v>
                </c:pt>
                <c:pt idx="10">
                  <c:v>232928.62999999983</c:v>
                </c:pt>
                <c:pt idx="11">
                  <c:v>309332.21999999991</c:v>
                </c:pt>
                <c:pt idx="12">
                  <c:v>153642.57999999996</c:v>
                </c:pt>
                <c:pt idx="13">
                  <c:v>138235.13000000006</c:v>
                </c:pt>
                <c:pt idx="14">
                  <c:v>177988.43999999994</c:v>
                </c:pt>
                <c:pt idx="15">
                  <c:v>217996.40000000008</c:v>
                </c:pt>
                <c:pt idx="16">
                  <c:v>329150.24</c:v>
                </c:pt>
                <c:pt idx="17">
                  <c:v>242501.93999999983</c:v>
                </c:pt>
                <c:pt idx="18">
                  <c:v>216498.91999999998</c:v>
                </c:pt>
                <c:pt idx="19">
                  <c:v>191254.52000000005</c:v>
                </c:pt>
                <c:pt idx="20">
                  <c:v>317274.78000000009</c:v>
                </c:pt>
                <c:pt idx="21">
                  <c:v>299056.03999999986</c:v>
                </c:pt>
                <c:pt idx="22">
                  <c:v>403762.45999999985</c:v>
                </c:pt>
                <c:pt idx="23">
                  <c:v>511798.72000000038</c:v>
                </c:pt>
                <c:pt idx="24">
                  <c:v>335176.41999916767</c:v>
                </c:pt>
                <c:pt idx="25">
                  <c:v>318620.66431289981</c:v>
                </c:pt>
                <c:pt idx="26">
                  <c:v>350761.50949725154</c:v>
                </c:pt>
                <c:pt idx="27">
                  <c:v>380376.73587584682</c:v>
                </c:pt>
                <c:pt idx="28">
                  <c:v>454489.26779220835</c:v>
                </c:pt>
                <c:pt idx="29">
                  <c:v>451842.52481708786</c:v>
                </c:pt>
                <c:pt idx="30">
                  <c:v>393080.20274623291</c:v>
                </c:pt>
                <c:pt idx="31">
                  <c:v>375516.67673475947</c:v>
                </c:pt>
                <c:pt idx="32">
                  <c:v>425519.69036791497</c:v>
                </c:pt>
                <c:pt idx="33">
                  <c:v>454340.20276657853</c:v>
                </c:pt>
                <c:pt idx="34">
                  <c:v>526005.7812150747</c:v>
                </c:pt>
                <c:pt idx="35">
                  <c:v>519225.5381778974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3-49A1-A724-02B0B5034E64}"/>
            </c:ext>
          </c:extLst>
        </c:ser>
        <c:ser>
          <c:idx val="1"/>
          <c:order val="1"/>
          <c:tx>
            <c:strRef>
              <c:f>Chart!$A$8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Chart!$B$6:$AK$6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Chart!$B$8:$AK$8</c:f>
              <c:numCache>
                <c:formatCode>0.00</c:formatCode>
                <c:ptCount val="36"/>
                <c:pt idx="0">
                  <c:v>41451.340000000011</c:v>
                </c:pt>
                <c:pt idx="1">
                  <c:v>58024.95</c:v>
                </c:pt>
                <c:pt idx="2">
                  <c:v>71507.560000000041</c:v>
                </c:pt>
                <c:pt idx="3">
                  <c:v>54832.970000000016</c:v>
                </c:pt>
                <c:pt idx="4">
                  <c:v>94362.12999999999</c:v>
                </c:pt>
                <c:pt idx="5">
                  <c:v>72591.209999999977</c:v>
                </c:pt>
                <c:pt idx="6">
                  <c:v>96517.38999999997</c:v>
                </c:pt>
                <c:pt idx="7">
                  <c:v>73106.100000000006</c:v>
                </c:pt>
                <c:pt idx="8">
                  <c:v>69372.780000000028</c:v>
                </c:pt>
                <c:pt idx="9">
                  <c:v>142291.13000000006</c:v>
                </c:pt>
                <c:pt idx="10">
                  <c:v>139263.90999999983</c:v>
                </c:pt>
                <c:pt idx="11">
                  <c:v>202576.18999999989</c:v>
                </c:pt>
                <c:pt idx="12">
                  <c:v>76939.689999999944</c:v>
                </c:pt>
                <c:pt idx="13">
                  <c:v>85224.69000000009</c:v>
                </c:pt>
                <c:pt idx="14">
                  <c:v>103852.15999999996</c:v>
                </c:pt>
                <c:pt idx="15">
                  <c:v>111218.43000000008</c:v>
                </c:pt>
                <c:pt idx="16">
                  <c:v>237815.49</c:v>
                </c:pt>
                <c:pt idx="17">
                  <c:v>138667.88999999981</c:v>
                </c:pt>
                <c:pt idx="18">
                  <c:v>113578.86999999998</c:v>
                </c:pt>
                <c:pt idx="19">
                  <c:v>111754.24000000002</c:v>
                </c:pt>
                <c:pt idx="20">
                  <c:v>215849.40000000008</c:v>
                </c:pt>
                <c:pt idx="21">
                  <c:v>195535.27999999985</c:v>
                </c:pt>
                <c:pt idx="22">
                  <c:v>288716.92999999982</c:v>
                </c:pt>
                <c:pt idx="23">
                  <c:v>386287.25000000035</c:v>
                </c:pt>
                <c:pt idx="24">
                  <c:v>229617.0295451085</c:v>
                </c:pt>
                <c:pt idx="25">
                  <c:v>220405.14297803899</c:v>
                </c:pt>
                <c:pt idx="26">
                  <c:v>240524.97878364235</c:v>
                </c:pt>
                <c:pt idx="27">
                  <c:v>261057.08128219965</c:v>
                </c:pt>
                <c:pt idx="28">
                  <c:v>323280.01022022619</c:v>
                </c:pt>
                <c:pt idx="29">
                  <c:v>307330.35217013524</c:v>
                </c:pt>
                <c:pt idx="30">
                  <c:v>264609.0197267168</c:v>
                </c:pt>
                <c:pt idx="31">
                  <c:v>259411.17861479369</c:v>
                </c:pt>
                <c:pt idx="32">
                  <c:v>297203.39104697219</c:v>
                </c:pt>
                <c:pt idx="33">
                  <c:v>314465.76314532157</c:v>
                </c:pt>
                <c:pt idx="34">
                  <c:v>375754.7307691006</c:v>
                </c:pt>
                <c:pt idx="35">
                  <c:v>355620.07407335017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3-49A1-A724-02B0B5034E64}"/>
            </c:ext>
          </c:extLst>
        </c:ser>
        <c:ser>
          <c:idx val="2"/>
          <c:order val="2"/>
          <c:tx>
            <c:strRef>
              <c:f>Chart!$A$9</c:f>
              <c:strCache>
                <c:ptCount val="1"/>
                <c:pt idx="0">
                  <c:v>Operational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Chart!$B$6:$AK$6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Chart!$B$9:$AK$9</c:f>
              <c:numCache>
                <c:formatCode>0.00</c:formatCode>
                <c:ptCount val="36"/>
                <c:pt idx="0">
                  <c:v>-3753.3699999999881</c:v>
                </c:pt>
                <c:pt idx="1">
                  <c:v>-9355.4900000000052</c:v>
                </c:pt>
                <c:pt idx="2">
                  <c:v>26253.380000000041</c:v>
                </c:pt>
                <c:pt idx="3">
                  <c:v>9545.0400000000154</c:v>
                </c:pt>
                <c:pt idx="4">
                  <c:v>49310.409999999989</c:v>
                </c:pt>
                <c:pt idx="5">
                  <c:v>27251.45999999997</c:v>
                </c:pt>
                <c:pt idx="6">
                  <c:v>49659.979999999967</c:v>
                </c:pt>
                <c:pt idx="7">
                  <c:v>3505</c:v>
                </c:pt>
                <c:pt idx="8">
                  <c:v>22802.560000000027</c:v>
                </c:pt>
                <c:pt idx="9">
                  <c:v>95283.58000000006</c:v>
                </c:pt>
                <c:pt idx="10">
                  <c:v>92693.689999999828</c:v>
                </c:pt>
                <c:pt idx="11">
                  <c:v>155744.96999999988</c:v>
                </c:pt>
                <c:pt idx="12">
                  <c:v>6784.1999999999534</c:v>
                </c:pt>
                <c:pt idx="13">
                  <c:v>38654.470000000088</c:v>
                </c:pt>
                <c:pt idx="14">
                  <c:v>57281.939999999959</c:v>
                </c:pt>
                <c:pt idx="15">
                  <c:v>64648.210000000079</c:v>
                </c:pt>
                <c:pt idx="16">
                  <c:v>190089.86</c:v>
                </c:pt>
                <c:pt idx="17">
                  <c:v>91623.589999999807</c:v>
                </c:pt>
                <c:pt idx="18">
                  <c:v>40982.929999999964</c:v>
                </c:pt>
                <c:pt idx="19">
                  <c:v>66149.380000000019</c:v>
                </c:pt>
                <c:pt idx="20">
                  <c:v>168106.31000000008</c:v>
                </c:pt>
                <c:pt idx="21">
                  <c:v>147970.55999999985</c:v>
                </c:pt>
                <c:pt idx="22">
                  <c:v>241206.86999999982</c:v>
                </c:pt>
                <c:pt idx="23">
                  <c:v>338786.93000000034</c:v>
                </c:pt>
                <c:pt idx="24">
                  <c:v>169197.48740397597</c:v>
                </c:pt>
                <c:pt idx="25">
                  <c:v>160396.09330451977</c:v>
                </c:pt>
                <c:pt idx="26">
                  <c:v>192078.3135400457</c:v>
                </c:pt>
                <c:pt idx="27">
                  <c:v>213450.60530469485</c:v>
                </c:pt>
                <c:pt idx="28">
                  <c:v>274472.3330761235</c:v>
                </c:pt>
                <c:pt idx="29">
                  <c:v>258803.57396101806</c:v>
                </c:pt>
                <c:pt idx="30">
                  <c:v>198776.39018127276</c:v>
                </c:pt>
                <c:pt idx="31">
                  <c:v>202754.9809654665</c:v>
                </c:pt>
                <c:pt idx="32">
                  <c:v>247550.91683356502</c:v>
                </c:pt>
                <c:pt idx="33">
                  <c:v>265594.10321327928</c:v>
                </c:pt>
                <c:pt idx="34">
                  <c:v>325659.92621335934</c:v>
                </c:pt>
                <c:pt idx="35">
                  <c:v>305490.34232012503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F3-49A1-A724-02B0B5034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939824"/>
        <c:axId val="1621947984"/>
      </c:lineChart>
      <c:dateAx>
        <c:axId val="162193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47984"/>
        <c:crosses val="autoZero"/>
        <c:auto val="1"/>
        <c:lblOffset val="100"/>
        <c:baseTimeUnit val="months"/>
      </c:dateAx>
      <c:valAx>
        <c:axId val="16219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</xdr:colOff>
      <xdr:row>22</xdr:row>
      <xdr:rowOff>31750</xdr:rowOff>
    </xdr:from>
    <xdr:to>
      <xdr:col>14</xdr:col>
      <xdr:colOff>514350</xdr:colOff>
      <xdr:row>42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E9A5BF-B06C-2930-477D-6A1B109E4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85724</xdr:colOff>
      <xdr:row>0</xdr:row>
      <xdr:rowOff>69850</xdr:rowOff>
    </xdr:from>
    <xdr:to>
      <xdr:col>14</xdr:col>
      <xdr:colOff>527049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831602-E29B-3EB3-E7C5-18C80E8C2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n Hargreeves" refreshedDate="46185.369650462962" createdVersion="8" refreshedVersion="8" minRefreshableVersion="3" recordCount="17027" xr:uid="{062F9764-F354-40CF-B92C-C1FB67C27BE5}">
  <cacheSource type="worksheet">
    <worksheetSource ref="A1:G17028" sheet="general_ledger"/>
  </cacheSource>
  <cacheFields count="7">
    <cacheField name="entry_number" numFmtId="0">
      <sharedItems containsSemiMixedTypes="0" containsString="0" containsNumber="1" containsInteger="1" minValue="1" maxValue="6764"/>
    </cacheField>
    <cacheField name="entry_date" numFmtId="14">
      <sharedItems containsSemiMixedTypes="0" containsNonDate="0" containsDate="1" containsString="0" minDate="2024-01-01T00:00:00" maxDate="2026-01-01T00:00:00" count="523"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8-31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1-30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</sharedItems>
    </cacheField>
    <cacheField name="description" numFmtId="0">
      <sharedItems/>
    </cacheField>
    <cacheField name="debit" numFmtId="0">
      <sharedItems containsMixedTypes="1" containsNumber="1" minValue="0" maxValue="200000" count="2726">
        <n v="200000"/>
        <n v="0"/>
        <n v="1847.6"/>
        <n v="948.28"/>
        <n v="494.99"/>
        <n v="21454.79"/>
        <n v="858.2"/>
        <n v="1843.14"/>
        <n v="1251.0999999999999"/>
        <n v="356.55"/>
        <n v="1531.7"/>
        <n v="5674.46"/>
        <n v="1615.55"/>
        <n v="4178.9799999999996"/>
        <n v="1966.07"/>
        <n v="1413.94"/>
        <n v="1073.4100000000001"/>
        <n v="2122.35"/>
        <n v="1012.89"/>
        <n v="1739.79"/>
        <n v="698.38"/>
        <n v="3282.76"/>
        <n v="246.21"/>
        <n v="4711.45"/>
        <n v="889.57"/>
        <n v="578.88"/>
        <n v="1675.99"/>
        <n v="862.97"/>
        <n v="21307.68"/>
        <n v="852.32"/>
        <n v="323.24"/>
        <n v="855.31"/>
        <n v="3528.97"/>
        <n v="1345.94"/>
        <n v="108.02"/>
        <n v="952.02"/>
        <n v="71.400000000000006"/>
        <n v="3727.16"/>
        <n v="2559.5700000000002"/>
        <n v="2520.4899999999998"/>
        <n v="321.20999999999998"/>
        <n v="2041.2"/>
        <n v="1879.76"/>
        <n v="2329.52"/>
        <n v="174.71"/>
        <n v="1023.42"/>
        <n v="723.25"/>
        <n v="4522.24"/>
        <n v="774.84"/>
        <n v="2479.04"/>
        <n v="2714.58"/>
        <n v="203.59"/>
        <n v="2504.23"/>
        <n v="1202.28"/>
        <n v="8685.27"/>
        <n v="651.4"/>
        <n v="93.61"/>
        <n v="76.86"/>
        <n v="20.03"/>
        <n v="86.89"/>
        <n v="76.8"/>
        <n v="48.28"/>
        <n v="53.21"/>
        <n v="232.19"/>
        <n v="43.85"/>
        <n v="1175.76"/>
        <n v="1252.76"/>
        <n v="6672.81"/>
        <n v="533.85"/>
        <n v="1071.5999999999999"/>
        <n v="1488.92"/>
        <n v="3595.63"/>
        <n v="324.32"/>
        <n v="3586.77"/>
        <n v="9336.67"/>
        <n v="578.66999999999996"/>
        <n v="444.06"/>
        <n v="670.59"/>
        <n v="1722.42"/>
        <n v="564.67999999999995"/>
        <n v="2030.15"/>
        <n v="152.26"/>
        <n v="2918.17"/>
        <n v="2318.94"/>
        <n v="42.09"/>
        <n v="1643.22"/>
        <n v="123.24"/>
        <n v="2182.41"/>
        <n v="677.83"/>
        <n v="1193.48"/>
        <n v="4587.67"/>
        <n v="4623.3500000000004"/>
        <n v="551.01"/>
        <n v="3503.64"/>
        <n v="2415.42"/>
        <n v="802.71"/>
        <n v="60.2"/>
        <n v="960.49"/>
        <n v="1116.69"/>
        <n v="3236.42"/>
        <n v="354.43"/>
        <n v="2662.71"/>
        <n v="494.08"/>
        <n v="923.55"/>
        <n v="383.76"/>
        <n v="28.78"/>
        <n v="877.92"/>
        <n v="357.47"/>
        <n v="1480.5"/>
        <n v="111.04"/>
        <n v="2151.3000000000002"/>
        <n v="1591.54"/>
        <n v="3432.66"/>
        <n v="862.91"/>
        <n v="412.54"/>
        <n v="5151.59"/>
        <n v="3148.1"/>
        <n v="3200.68"/>
        <n v="2434.4699999999998"/>
        <n v="353.57"/>
        <n v="696.06"/>
        <n v="52.2"/>
        <n v="21469.91"/>
        <n v="858.81"/>
        <n v="490.82"/>
        <n v="748.26"/>
        <n v="334.5"/>
        <n v="1632.69"/>
        <n v="1766.46"/>
        <n v="495.56"/>
        <n v="1947.12"/>
        <n v="1586.96"/>
        <n v="1410.87"/>
        <n v="5223.57"/>
        <n v="257.04000000000002"/>
        <n v="19.28"/>
        <n v="1866.77"/>
        <n v="513.22"/>
        <n v="525.74"/>
        <n v="796.68"/>
        <n v="3892.96"/>
        <n v="2930.15"/>
        <n v="1930.29"/>
        <n v="2762.6"/>
        <n v="262.87"/>
        <n v="1130.58"/>
        <n v="495.26"/>
        <n v="1668.94"/>
        <n v="125.17"/>
        <n v="166.52"/>
        <n v="12.49"/>
        <n v="187.44"/>
        <n v="14.06"/>
        <n v="825.49"/>
        <n v="87.62"/>
        <n v="3785.42"/>
        <n v="3121.57"/>
        <n v="276.32"/>
        <n v="3223.4"/>
        <n v="956.6"/>
        <n v="1213.5999999999999"/>
        <n v="91.02"/>
        <n v="201.5"/>
        <n v="21502.35"/>
        <n v="860.11"/>
        <n v="2080.1799999999998"/>
        <n v="1956.88"/>
        <n v="494.77"/>
        <n v="5132.88"/>
        <n v="1037.45"/>
        <n v="2866.61"/>
        <n v="3535.63"/>
        <n v="2272.39"/>
        <n v="1904.11"/>
        <n v="670.22"/>
        <n v="211.26"/>
        <n v="1078.92"/>
        <n v="80.92"/>
        <n v="367.71"/>
        <n v="1715.77"/>
        <n v="1636.48"/>
        <n v="1969.9"/>
        <n v="3729.84"/>
        <n v="6723.2"/>
        <n v="504.24"/>
        <n v="1794.11"/>
        <n v="3514.96"/>
        <n v="3073.1"/>
        <n v="1515.29"/>
        <n v="1037.53"/>
        <n v="1822.08"/>
        <n v="136.66"/>
        <n v="3598.88"/>
        <n v="269.92"/>
        <n v="2761.46"/>
        <n v="906.48"/>
        <n v="3173.64"/>
        <n v="3089.77"/>
        <n v="813.71"/>
        <n v="179.01"/>
        <n v="1159.8399999999999"/>
        <n v="1958.74"/>
        <n v="2865.41"/>
        <n v="2622"/>
        <n v="1568.55"/>
        <n v="1833.28"/>
        <n v="2651.83"/>
        <n v="2317.71"/>
        <n v="747.38"/>
        <n v="4476.71"/>
        <n v="335.75"/>
        <n v="1947.24"/>
        <n v="146.04"/>
        <n v="2451.5"/>
        <n v="183.86"/>
        <n v="1718.21"/>
        <n v="1276.07"/>
        <n v="2294.17"/>
        <n v="3868.8"/>
        <n v="2482.59"/>
        <n v="2257.8200000000002"/>
        <n v="106.77"/>
        <n v="1417.67"/>
        <n v="6755.14"/>
        <n v="440.44"/>
        <n v="7227.44"/>
        <n v="1304.6199999999999"/>
        <n v="2260.5300000000002"/>
        <n v="2078.48"/>
        <n v="21534.799999999999"/>
        <n v="861.41"/>
        <n v="3480.05"/>
        <n v="3495.93"/>
        <n v="253.54"/>
        <n v="480.59"/>
        <n v="2792.85"/>
        <n v="357.29"/>
        <n v="3363.34"/>
        <n v="5248.18"/>
        <n v="2093.2800000000002"/>
        <n v="4595.53"/>
        <n v="1713.42"/>
        <n v="2027.99"/>
        <n v="753.91"/>
        <n v="3129.75"/>
        <n v="512"/>
        <n v="38.4"/>
        <n v="960.92"/>
        <n v="3568.41"/>
        <n v="3276.6"/>
        <n v="2304.62"/>
        <n v="2448.11"/>
        <n v="4812.46"/>
        <n v="1963.76"/>
        <n v="3070.53"/>
        <n v="464.57"/>
        <n v="3447.01"/>
        <n v="2080.5300000000002"/>
        <n v="234.96"/>
        <n v="1125.8900000000001"/>
        <n v="2169.69"/>
        <n v="2361.2800000000002"/>
        <n v="534.91999999999996"/>
        <n v="3811.45"/>
        <n v="108.07"/>
        <n v="2792.87"/>
        <n v="1208.32"/>
        <n v="3648.55"/>
        <n v="1800.04"/>
        <n v="135"/>
        <n v="4861.78"/>
        <n v="1055.5"/>
        <s v="2717.21"/>
        <s v="0.0"/>
        <s v="4155.03"/>
        <s v="129.34"/>
        <s v="1728.52"/>
        <s v="2294.17"/>
        <s v="2257.82"/>
        <s v="2027.99"/>
        <s v="2635.36"/>
        <s v="418.25"/>
        <s v="700.99"/>
        <s v="367.71"/>
        <s v="8685.27"/>
        <s v="651.4"/>
        <s v="1690.01"/>
        <s v="3299.92"/>
        <s v="1037.53"/>
        <s v="2651.83"/>
        <s v="2482.59"/>
        <s v="6755.14"/>
        <s v="1766.46"/>
        <s v="3394.45"/>
        <s v="3173.64"/>
        <s v="1643.22"/>
        <s v="123.24"/>
        <s v="3282.76"/>
        <s v="246.21"/>
        <s v="2714.58"/>
        <s v="203.59"/>
        <s v="4476.71"/>
        <s v="335.75"/>
        <s v="512.0"/>
        <s v="38.4"/>
        <s v="257.04"/>
        <s v="19.28"/>
        <s v="1947.24"/>
        <s v="146.04"/>
        <s v="4812.46"/>
        <s v="276.32"/>
        <s v="7124.59"/>
        <s v="217.37"/>
        <s v="1159.84"/>
        <s v="2098.45"/>
        <s v="1505.42"/>
        <s v="2311.09"/>
        <s v="1515.29"/>
        <s v="2504.23"/>
        <s v="21307.68"/>
        <s v="852.32"/>
        <s v="2368.61"/>
        <s v="1010.31"/>
        <s v="2307.55"/>
        <s v="3811.45"/>
        <s v="1213.6"/>
        <s v="91.02"/>
        <s v="1935.04"/>
        <s v="1970.83"/>
        <s v="3243.59"/>
        <s v="1800.04"/>
        <s v="135.0"/>
        <s v="952.02"/>
        <s v="71.4"/>
        <s v="3528.97"/>
        <s v="550.4"/>
        <s v="2093.28"/>
        <s v="2144.7"/>
        <s v="1078.92"/>
        <s v="80.92"/>
        <s v="1304.62"/>
        <s v="5244.58"/>
        <s v="5487.81"/>
        <s v="3354.47"/>
        <s v="2078.48"/>
        <s v="2792.85"/>
        <s v="3428.55"/>
        <s v="1633.38"/>
        <s v="5242.46"/>
        <s v="1551.7"/>
        <s v="1794.11"/>
        <s v="179.01"/>
        <s v="9336.67"/>
        <s v="2918.17"/>
        <s v="243.6"/>
        <s v="286.17"/>
        <s v="3495.93"/>
        <s v="1822.08"/>
        <s v="136.66"/>
        <s v="1480.5"/>
        <s v="111.04"/>
        <s v="2367.61"/>
        <s v="1386.14"/>
        <s v="836.24"/>
        <s v="87.62"/>
        <s v="2272.39"/>
        <s v="187.44"/>
        <s v="14.06"/>
        <s v="2490.75"/>
        <s v="1379.23"/>
        <s v="4462.32"/>
        <s v="2080.53"/>
        <s v="383.76"/>
        <s v="28.78"/>
        <s v="2329.52"/>
        <s v="174.71"/>
        <s v="5040.24"/>
        <s v="2042.13"/>
        <s v="644.61"/>
        <s v="1454.6"/>
        <s v="753.91"/>
        <s v="3447.01"/>
        <s v="4861.78"/>
        <s v="3598.88"/>
        <s v="269.92"/>
        <s v="1762.94"/>
        <s v="1253.24"/>
        <s v="976.95"/>
        <s v="3858.82"/>
        <s v="2099.33"/>
        <s v="960.92"/>
        <s v="961.45"/>
        <s v="1023.42"/>
        <s v="412.54"/>
        <s v="3138.18"/>
        <s v="3070.53"/>
        <s v="867.75"/>
        <s v="3648.55"/>
        <s v="448.24"/>
        <s v="1390.91"/>
        <s v="1941.81"/>
        <s v="2366.01"/>
        <s v="3544.18"/>
        <s v="4883.44"/>
        <s v="464.57"/>
        <s v="2451.5"/>
        <s v="183.86"/>
        <s v="201.5"/>
        <s v="3868.8"/>
        <s v="1839.35"/>
        <s v="6731.9"/>
        <s v="1084.08"/>
        <s v="1709.78"/>
        <s v="1887.99"/>
        <s v="792.93"/>
        <s v="3479.37"/>
        <s v="3124.78"/>
        <s v="1653.11"/>
        <s v="3054.0"/>
        <s v="1824.5"/>
        <s v="2745.58"/>
        <s v="5436.99"/>
        <s v="3151.64"/>
        <s v="2259.61"/>
        <s v="1591.54"/>
        <s v="93.61"/>
        <s v="76.86"/>
        <s v="20.03"/>
        <s v="86.89"/>
        <s v="76.8"/>
        <s v="48.28"/>
        <s v="53.21"/>
        <s v="232.19"/>
        <s v="43.85"/>
        <s v="1456.37"/>
        <s v="2075.19"/>
        <s v="2284.67"/>
        <s v="6711.02"/>
        <s v="1125.89"/>
        <s v="1055.5"/>
        <s v="3230.94"/>
        <s v="166.52"/>
        <s v="12.49"/>
        <s v="696.06"/>
        <s v="52.2"/>
        <s v="1668.94"/>
        <s v="125.17"/>
        <s v="3452.23"/>
        <s v="6723.2"/>
        <s v="504.24"/>
        <s v="3413.14"/>
        <s v="956.11"/>
        <s v="991.3"/>
        <s v="2717.83"/>
        <s v="1508.22"/>
        <s v="21381.24"/>
        <s v="855.26"/>
        <s v="1881.63"/>
        <s v="1138.6"/>
        <s v="1247.01"/>
        <s v="2304.62"/>
        <s v="2030.15"/>
        <s v="152.26"/>
        <s v="2390.78"/>
        <s v="6955.93"/>
        <s v="1925.19"/>
        <s v="748.26"/>
        <s v="1594.48"/>
        <s v="193.94"/>
        <s v="4175.78"/>
        <s v="3785.13"/>
        <s v="422.85"/>
        <s v="2792.87"/>
        <s v="1944.54"/>
        <s v="802.71"/>
        <s v="60.2"/>
        <s v="169.99"/>
        <s v="1613.37"/>
        <s v="2614.53"/>
        <s v="494.99"/>
        <s v="1818.21"/>
        <s v="4168.84"/>
        <s v="3769.89"/>
        <s v="6640.39"/>
        <s v="612.86"/>
        <s v="1504.72"/>
        <s v="2553.54"/>
        <s v="3811.64"/>
        <s v="2182.41"/>
        <s v="2352.04"/>
        <s v="7556.11"/>
        <s v="746.16"/>
        <s v="3784.16"/>
        <s v="2384.65"/>
        <s v="4393.65"/>
        <s v="534.92"/>
        <s v="7227.44"/>
        <s v="1500.19"/>
        <s v="2309.03"/>
        <s v="1055.12"/>
        <s v="3198.37"/>
        <s v="633.69"/>
        <s v="21511.08"/>
        <s v="860.45"/>
        <s v="1958.74"/>
        <s v="3165.66"/>
        <s v="3896.94"/>
        <s v="1828.75"/>
        <s v="152.16"/>
        <s v="108.02"/>
        <s v="1786.26"/>
        <s v="4962.93"/>
        <s v="3175.27"/>
        <s v="5598.12"/>
        <s v="1911.3"/>
        <s v="862.91"/>
        <s v="2694.99"/>
        <s v="3542.62"/>
        <s v="1891.9"/>
        <s v="1319.18"/>
        <s v="4148.52"/>
        <s v="97.01"/>
        <s v="1999.99"/>
        <s v="2223.51"/>
        <s v="2919.53"/>
        <s v="2667.76"/>
        <s v="1113.03"/>
        <s v="2934.63"/>
        <s v="4467.06"/>
        <s v="4453.28"/>
        <s v="6186.86"/>
        <s v="2247.98"/>
        <s v="2572.95"/>
        <s v="2782.68"/>
        <s v="760.0"/>
        <s v="22037.74"/>
        <s v="881.51"/>
        <s v="2511.86"/>
        <s v="2515.32"/>
        <s v="6935.79"/>
        <s v="2795.89"/>
        <s v="2522.35"/>
        <s v="2037.57"/>
        <s v="3333.56"/>
        <s v="1225.38"/>
        <s v="1081.6"/>
        <s v="6212.53"/>
        <s v="4819.24"/>
        <s v="295.36"/>
        <s v="2078.56"/>
        <s v="1580.92"/>
        <s v="173.89"/>
        <s v="2409.02"/>
        <s v="906.13"/>
        <s v="3485.58"/>
        <s v="3689.42"/>
        <s v="561.25"/>
        <s v="1105.44"/>
        <s v="2555.1"/>
        <s v="660.87"/>
        <s v="2465.69"/>
        <s v="1067.69"/>
        <s v="715.61"/>
        <s v="4087.9"/>
        <s v="22313.89"/>
        <s v="892.55"/>
        <s v="1478.19"/>
        <s v="2632.62"/>
        <s v="2664.45"/>
        <s v="2262.42"/>
        <s v="1015.38"/>
        <s v="2992.69"/>
        <s v="2034.58"/>
        <s v="3037.13"/>
        <s v="2806.25"/>
        <s v="924.18"/>
        <s v="375.23"/>
        <s v="4842.64"/>
        <s v="5486.77"/>
        <s v="2974.0"/>
        <s v="2863.55"/>
        <s v="4079.52"/>
        <s v="1020.06"/>
        <s v="929.56"/>
        <s v="329.47"/>
        <s v="1823.6"/>
        <s v="3488.92"/>
        <s v="2625.86"/>
        <s v="5067.63"/>
        <s v="3257.1"/>
        <s v="3554.72"/>
        <s v="2016.35"/>
        <s v="1844.25"/>
        <s v="1589.24"/>
        <s v="2184.37"/>
        <s v="1080.08"/>
        <s v="1636.77"/>
        <s v="867.27"/>
        <s v="22145.07"/>
        <s v="885.81"/>
        <s v="2082.75"/>
        <s v="1668.95"/>
        <s v="1326.56"/>
        <s v="831.26"/>
        <s v="2229.94"/>
        <s v="1864.76"/>
        <s v="1499.89"/>
        <s v="2833.22"/>
        <s v="1508.27"/>
        <s v="1802.38"/>
        <s v="1809.97"/>
        <s v="1984.27"/>
        <s v="5450.22"/>
        <s v="2792.05"/>
        <s v="376.55"/>
        <s v="1176.26"/>
        <s v="410.36"/>
        <s v="6952.53"/>
        <s v="1043.04"/>
        <s v="223.67"/>
        <s v="298.22"/>
        <s v="1812.67"/>
        <s v="2032.03"/>
        <s v="2843.04"/>
        <s v="391.65"/>
        <s v="1469.41"/>
        <s v="4674.76"/>
        <s v="3648.81"/>
        <s v="3141.81"/>
        <s v="2369.05"/>
        <s v="3793.09"/>
        <s v="3453.73"/>
        <s v="3241.09"/>
        <s v="737.16"/>
        <s v="383.0"/>
        <s v="2274.79"/>
        <s v="70.14"/>
        <s v="1743.69"/>
        <s v="642.75"/>
        <s v="2671.0"/>
        <s v="6843.6"/>
        <s v="3129.81"/>
        <s v="1520.17"/>
        <s v="1398.88"/>
        <s v="3164.74"/>
        <s v="4031.55"/>
        <s v="253.7"/>
        <s v="438.12"/>
        <s v="1498.63"/>
        <s v="6750.03"/>
        <s v="2006.36"/>
        <s v="2703.98"/>
        <s v="1488.92"/>
        <s v="3957.68"/>
        <s v="2009.47"/>
        <s v="919.84"/>
        <s v="1818.11"/>
        <s v="42.09"/>
        <s v="321.68"/>
        <s v="6220.3"/>
        <s v="910.32"/>
        <s v="79.99"/>
        <s v="4810.13"/>
        <s v="2180.5"/>
        <s v="2422.37"/>
        <s v="1271.62"/>
        <s v="2793.21"/>
        <s v="1314.49"/>
        <s v="4327.01"/>
        <s v="3180.86"/>
        <s v="488.46"/>
        <s v="1439.72"/>
        <s v="3107.91"/>
        <s v="5064.41"/>
        <s v="4323.51"/>
        <s v="2778.64"/>
        <s v="2116.31"/>
        <s v="1775.69"/>
        <s v="593.72"/>
        <s v="287.33"/>
        <s v="1218.95"/>
        <s v="2935.07"/>
        <s v="1653.33"/>
        <s v="28.06"/>
        <s v="260.39"/>
        <s v="2364.88"/>
        <s v="510.61"/>
        <s v="120.23"/>
        <s v="2701.09"/>
        <s v="1323.33"/>
        <s v="1984.1"/>
        <s v="2753.35"/>
        <s v="2886.9"/>
        <s v="1435.55"/>
        <s v="2323.27"/>
        <s v="2052.79"/>
        <s v="657.51"/>
        <s v="2859.98"/>
        <s v="2652.17"/>
        <s v="2872.63"/>
        <s v="2614.05"/>
        <s v="2328.31"/>
        <s v="4411.52"/>
        <s v="2735.36"/>
        <s v="306.43"/>
        <s v="4304.99"/>
        <s v="1822.2"/>
        <s v="2140.56"/>
        <s v="656.97"/>
        <s v="367.53"/>
        <s v="2348.88"/>
        <s v="40.5"/>
        <s v="4984.21"/>
        <s v="1012.89"/>
        <s v="3621.9"/>
        <s v="256.97"/>
        <s v="659.78"/>
        <s v="135.02"/>
        <s v="3325.87"/>
        <s v="6654.24"/>
        <s v="2021.08"/>
        <s v="988.51"/>
        <s v="582.83"/>
        <s v="2343.36"/>
        <s v="2365.94"/>
        <s v="4575.89"/>
        <s v="3592.82"/>
        <s v="1839.9"/>
        <s v="3417.74"/>
        <s v="2640.49"/>
        <s v="3519.84"/>
        <s v="1228.34"/>
        <s v="4489.41"/>
        <s v="126.26"/>
        <s v="5113.82"/>
        <s v="2336.64"/>
        <s v="494.77"/>
        <s v="1904.03"/>
        <s v="1554.68"/>
        <s v="4415.62"/>
        <s v="231.28"/>
        <s v="218.11"/>
        <s v="2833.75"/>
        <s v="2420.26"/>
        <s v="1401.38"/>
        <s v="691.28"/>
        <s v="1793.82"/>
        <s v="1893.71"/>
        <s v="946.16"/>
        <s v="2485.56"/>
        <s v="1390.04"/>
        <s v="2115.2"/>
        <s v="3668.09"/>
        <s v="590.71"/>
        <s v="3630.49"/>
        <s v="3804.05"/>
        <s v="4823.35"/>
        <s v="2534.44"/>
        <s v="663.77"/>
        <s v="2837.21"/>
        <s v="1849.62"/>
        <s v="22241.05"/>
        <s v="889.64"/>
        <s v="964.23"/>
        <s v="3695.13"/>
        <s v="4776.89"/>
        <s v="1198.22"/>
        <s v="831.41"/>
        <s v="306.16"/>
        <s v="1751.83"/>
        <s v="2437.54"/>
        <s v="2709.09"/>
        <s v="1273.95"/>
        <s v="2236.14"/>
        <s v="3009.06"/>
        <s v="49.8"/>
        <s v="1288.72"/>
        <s v="1093.3"/>
        <s v="906.22"/>
        <s v="1627.7"/>
        <s v="134.31"/>
        <s v="562.35"/>
        <s v="1469.68"/>
        <s v="1089.42"/>
        <s v="2870.22"/>
        <s v="2266.06"/>
        <s v="2444.55"/>
        <s v="1640.79"/>
        <s v="790.45"/>
        <s v="3455.73"/>
        <s v="2091.49"/>
        <s v="2356.48"/>
        <s v="1590.0"/>
        <s v="2165.17"/>
        <s v="3514.58"/>
        <s v="1809.95"/>
        <s v="3422.76"/>
        <s v="1366.89"/>
        <s v="3386.57"/>
        <s v="804.11"/>
        <s v="582.77"/>
        <s v="2953.59"/>
        <s v="5443.7"/>
        <s v="866.97"/>
        <s v="22254.94"/>
        <s v="890.2"/>
        <s v="4240.63"/>
        <s v="2143.5"/>
        <s v="2392.13"/>
        <s v="70.71"/>
        <s v="1602.79"/>
        <s v="3598.28"/>
        <s v="3776.97"/>
        <s v="259.69"/>
        <s v="184.17"/>
        <s v="3904.34"/>
        <s v="1815.84"/>
        <s v="4797.63"/>
        <s v="3777.17"/>
        <s v="3043.81"/>
        <s v="2038.25"/>
        <s v="6777.26"/>
        <s v="4553.1"/>
        <s v="1311.54"/>
        <s v="2509.43"/>
        <s v="3225.69"/>
        <s v="1616.4"/>
        <s v="2540.92"/>
        <s v="1844.6"/>
        <s v="2466.39"/>
        <s v="4097.69"/>
        <s v="1022.46"/>
        <s v="204.07"/>
        <s v="1444.56"/>
        <s v="1812.36"/>
        <s v="1211.85"/>
        <s v="2724.8"/>
        <s v="239.77"/>
        <s v="2151.97"/>
        <s v="1286.73"/>
        <s v="2261.8"/>
        <s v="1521.85"/>
        <s v="41.18"/>
        <s v="1689.71"/>
        <s v="3567.41"/>
        <s v="3187.92"/>
        <s v="2325.81"/>
        <s v="6883.36"/>
        <s v="2056.07"/>
        <s v="505.98"/>
        <s v="3264.28"/>
        <s v="1759.92"/>
        <s v="1243.11"/>
        <s v="2665.7"/>
        <s v="459.63"/>
        <s v="2810.07"/>
        <s v="2057.9"/>
        <s v="5097.12"/>
        <s v="5147.42"/>
        <s v="4508.43"/>
        <s v="442.08"/>
        <s v="1580.57"/>
        <s v="3754.19"/>
        <s v="2246.23"/>
        <s v="4527.15"/>
        <s v="1018.47"/>
        <s v="679.51"/>
        <s v="223.85"/>
        <s v="289.09"/>
        <s v="2933.11"/>
        <s v="3683.89"/>
        <s v="5028.3"/>
        <s v="5042.67"/>
        <s v="1172.88"/>
        <s v="627.2"/>
        <s v="1950.89"/>
        <s v="571.77"/>
        <s v="1543.46"/>
        <s v="1481.56"/>
        <s v="3363.97"/>
        <s v="4218.5"/>
        <s v="1048.94"/>
        <s v="3585.89"/>
        <s v="664.91"/>
        <s v="522.31"/>
        <s v="3536.95"/>
        <s v="3702.42"/>
        <s v="970.44"/>
        <s v="6808.91"/>
        <s v="3749.99"/>
        <s v="5615.58"/>
        <s v="2018.14"/>
        <s v="719.61"/>
        <s v="2810.71"/>
        <s v="2621.44"/>
        <s v="3474.75"/>
        <s v="780.9"/>
        <s v="4430.64"/>
        <s v="506.19"/>
        <s v="732.23"/>
        <s v="3478.15"/>
        <s v="1135.31"/>
        <s v="5160.1"/>
        <s v="113.18"/>
        <s v="1030.62"/>
        <s v="3236.22"/>
        <s v="1436.58"/>
        <s v="930.57"/>
        <s v="3619.87"/>
        <s v="323.24"/>
        <s v="1629.28"/>
        <s v="4306.56"/>
        <s v="774.84"/>
        <s v="268.94"/>
        <s v="2873.01"/>
        <s v="1380.69"/>
        <s v="3187.94"/>
        <s v="3156.04"/>
        <s v="420.58"/>
        <s v="1486.95"/>
        <s v="3262.65"/>
        <s v="179.58"/>
        <s v="123.55"/>
        <s v="1401.76"/>
        <s v="3516.99"/>
        <s v="5173.53"/>
        <s v="3301.03"/>
        <s v="2721.76"/>
        <s v="852.34"/>
        <s v="2574.11"/>
        <s v="278.78"/>
        <s v="2818.89"/>
        <s v="583.75"/>
        <s v="2515.54"/>
        <s v="683.92"/>
        <s v="270.86"/>
        <s v="2791.97"/>
        <s v="1674.98"/>
        <s v="1474.73"/>
        <s v="2672.43"/>
        <s v="3366.63"/>
        <s v="2250.87"/>
        <s v="3204.54"/>
        <s v="1213.99"/>
        <s v="422.19"/>
        <s v="1511.13"/>
        <s v="2376.35"/>
        <s v="2950.5"/>
        <s v="961.01"/>
        <s v="1759.75"/>
        <s v="2219.14"/>
        <s v="99.2"/>
        <s v="3068.43"/>
        <s v="2271.73"/>
        <s v="297.6"/>
        <s v="2997.32"/>
        <s v="536.17"/>
        <s v="1547.47"/>
        <s v="3030.26"/>
        <s v="2980.83"/>
        <s v="3369.2"/>
        <s v="2282.76"/>
        <s v="313.52"/>
        <s v="1124.22"/>
        <s v="428.12"/>
        <s v="1671.65"/>
        <s v="805.75"/>
        <s v="4760.75"/>
        <s v="838.86"/>
        <s v="839.2"/>
        <s v="4830.7"/>
        <s v="71.83"/>
        <s v="2670.37"/>
        <s v="347.2"/>
        <s v="3089.6"/>
        <s v="1808.1"/>
        <s v="149.32"/>
        <s v="4048.68"/>
        <s v="1278.82"/>
        <s v="1201.02"/>
        <s v="198.94"/>
        <s v="2765.99"/>
        <s v="395.82"/>
        <s v="148.8"/>
        <s v="1223.11"/>
        <s v="180.07"/>
        <s v="3241.33"/>
        <s v="1176.67"/>
        <s v="1152.52"/>
        <s v="884.74"/>
        <s v="785.56"/>
        <s v="64.94"/>
        <s v="989.64"/>
        <s v="971.82"/>
        <s v="6476.78"/>
        <s v="1439.81"/>
        <s v="1285.44"/>
        <s v="3017.17"/>
        <s v="2058.26"/>
        <s v="337.7"/>
        <s v="3253.17"/>
        <s v="2913.26"/>
        <s v="457.23"/>
        <s v="1703.94"/>
        <s v="4164.35"/>
        <s v="1536.33"/>
        <s v="5324.78"/>
        <s v="5412.28"/>
        <s v="425.32"/>
        <s v="149.41"/>
        <s v="1842.96"/>
        <s v="762.76"/>
        <s v="1747.63"/>
        <s v="640.42"/>
        <s v="4629.84"/>
        <s v="1677.82"/>
        <s v="2725.64"/>
        <s v="1987.67"/>
        <s v="4065.83"/>
        <s v="4754.52"/>
        <s v="4617.39"/>
        <s v="2695.14"/>
        <s v="1032.93"/>
        <s v="270.04"/>
        <s v="4340.47"/>
        <s v="1847.8"/>
        <s v="565.71"/>
        <s v="2303.35"/>
        <s v="2572.53"/>
        <s v="1484.14"/>
        <s v="3431.07"/>
        <s v="1109.7"/>
        <s v="3110.47"/>
        <s v="2898.43"/>
        <s v="1171.97"/>
        <s v="4389.34"/>
        <s v="2649.87"/>
        <s v="2790.56"/>
        <s v="1861.15"/>
        <s v="1800.17"/>
        <s v="3957.43"/>
        <s v="3044.72"/>
        <s v="2412.9"/>
        <s v="207.18"/>
        <s v="2259.55"/>
        <s v="46.39"/>
        <s v="4432.76"/>
        <s v="2885.76"/>
        <s v="2138.8"/>
        <s v="3113.93"/>
        <s v="1348.68"/>
        <s v="1883.96"/>
        <s v="1216.37"/>
        <s v="836.5"/>
        <s v="3429.55"/>
        <s v="3876.79"/>
        <s v="1036.82"/>
        <s v="104.34"/>
        <s v="3888.78"/>
        <s v="2436.73"/>
        <s v="6798.23"/>
        <s v="480.91"/>
        <s v="978.76"/>
        <s v="22288.69"/>
        <s v="891.56"/>
        <s v="1733.92"/>
        <s v="1390.29"/>
        <s v="446.4"/>
        <s v="1267.91"/>
        <s v="960.64"/>
        <s v="1606.98"/>
        <s v="2504.14"/>
        <s v="2154.08"/>
        <s v="517.96"/>
        <s v="2485.79"/>
        <s v="2277.95"/>
        <s v="1712.72"/>
        <s v="970.9"/>
        <s v="72.9"/>
        <s v="1836.55"/>
        <s v="663.05"/>
        <s v="5249.78"/>
        <s v="2591.45"/>
        <s v="3167.2"/>
        <s v="3754.28"/>
        <s v="2273.99"/>
        <s v="4269.35"/>
        <s v="332.97"/>
        <s v="1696.66"/>
        <s v="4345.68"/>
        <s v="2446.46"/>
        <s v="990.67"/>
        <s v="3715.25"/>
        <s v="4682.9"/>
        <s v="1962.34"/>
        <s v="1097.13"/>
        <s v="1203.27"/>
        <s v="3499.78"/>
        <s v="3294.04"/>
        <s v="2170.5"/>
        <s v="3705.14"/>
        <s v="474.83"/>
        <s v="883.32"/>
        <s v="3247.5"/>
        <s v="2061.19"/>
        <s v="650.35"/>
        <s v="4647.29"/>
        <s v="558.34"/>
        <s v="2144.47"/>
        <s v="2747.22"/>
        <s v="6515.08"/>
        <s v="2136.18"/>
        <s v="3459.22"/>
        <s v="446.08"/>
        <s v="468.8"/>
        <s v="215.54"/>
        <s v="7563.55"/>
        <s v="1350.79"/>
        <s v="2391.36"/>
        <s v="1962.59"/>
        <s v="2737.13"/>
        <s v="4483.13"/>
        <s v="2582.76"/>
        <s v="975.74"/>
        <s v="22319.67"/>
        <s v="892.79"/>
        <s v="6590.31"/>
        <s v="3901.45"/>
        <s v="7531.45"/>
        <s v="4482.11"/>
        <s v="749.31"/>
        <s v="2804.39"/>
        <s v="2980.64"/>
        <s v="2752.04"/>
        <s v="4099.53"/>
        <s v="865.64"/>
        <s v="1799.67"/>
        <s v="1242.17"/>
        <s v="1759.23"/>
        <s v="1241.7"/>
        <s v="2228.76"/>
        <s v="2497.07"/>
        <s v="1163.3"/>
        <s v="1289.22"/>
        <s v="2955.65"/>
        <s v="2100.19"/>
        <s v="3419.76"/>
        <s v="2050.65"/>
        <s v="2971.37"/>
        <s v="1196.63"/>
        <s v="603.03"/>
        <s v="5867.24"/>
        <s v="995.25"/>
        <s v="474.39"/>
        <s v="1462.21"/>
        <s v="5346.93"/>
        <s v="391.7"/>
        <s v="755.06"/>
        <s v="957.0"/>
        <s v="228.07"/>
        <s v="1878.58"/>
        <s v="1588.75"/>
        <s v="4231.44"/>
        <s v="880.91"/>
        <s v="587.76"/>
        <s v="4024.12"/>
        <s v="2913.78"/>
        <s v="4867.73"/>
        <s v="1041.93"/>
        <s v="1253.03"/>
        <s v="3929.51"/>
        <s v="1861.83"/>
        <s v="2223.36"/>
        <s v="82.37"/>
        <s v="609.92"/>
        <s v="1397.76"/>
        <s v="5863.92"/>
        <s v="597.41"/>
        <s v="5076.54"/>
        <s v="43.47"/>
        <s v="2267.23"/>
        <s v="4785.52"/>
        <s v="2025.4"/>
        <s v="654.08"/>
        <s v="1212.67"/>
        <s v="483.01"/>
        <s v="3584.68"/>
        <s v="5867.04"/>
        <s v="288.28"/>
        <s v="1566.89"/>
        <s v="22396.21"/>
        <s v="895.85"/>
        <s v="3682.2"/>
        <s v="2675.91"/>
        <s v="2016.26"/>
        <s v="1431.21"/>
        <s v="1231.36"/>
        <s v="761.66"/>
        <s v="3230.35"/>
        <s v="614.59"/>
        <s v="1251.04"/>
        <s v="5799.5"/>
        <s v="908.37"/>
        <s v="3193.53"/>
        <s v="1291.65"/>
        <s v="106.63"/>
        <s v="216.03"/>
        <s v="76.35"/>
        <s v="910.42"/>
        <s v="3243.16"/>
        <s v="1832.5"/>
        <s v="148.52"/>
        <s v="1307.42"/>
        <s v="93.27"/>
        <s v="2982.84"/>
        <s v="480.48"/>
        <s v="264.49"/>
        <s v="1334.35"/>
        <s v="356.7"/>
        <s v="122.87"/>
        <s v="1211.72"/>
        <s v="149.11"/>
        <s v="1297.79"/>
        <s v="3251.72"/>
        <s v="956.65"/>
        <s v="112.23"/>
        <s v="844.73"/>
        <s v="61.06"/>
        <s v="1640.47"/>
        <s v="352.77"/>
        <s v="3335.24"/>
        <s v="1238.78"/>
        <s v="1410.12"/>
        <s v="1822.05"/>
        <s v="1057.38"/>
        <s v="7462.03"/>
        <s v="1472.43"/>
        <s v="2628.43"/>
        <s v="464.03"/>
        <s v="2849.76"/>
        <s v="2732.31"/>
        <s v="45.9"/>
        <s v="2270.83"/>
        <s v="160.61"/>
        <s v="4414.57"/>
        <s v="1626.51"/>
        <s v="2519.97"/>
        <s v="3493.89"/>
        <s v="3231.6"/>
        <s v="2613.91"/>
        <s v="3495.99"/>
        <s v="788.61"/>
        <s v="1478.08"/>
        <s v="550.35"/>
        <s v="1183.18"/>
        <s v="1108.56"/>
        <s v="84.17"/>
        <s v="372.61"/>
        <s v="3831.7"/>
        <s v="894.51"/>
        <s v="2038.36"/>
        <s v="3617.98"/>
        <s v="3880.81"/>
        <s v="3230.93"/>
        <s v="1359.25"/>
        <s v="4034.98"/>
        <s v="1558.82"/>
        <s v="2033.71"/>
        <s v="497.52"/>
        <s v="3373.7"/>
        <s v="2082.42"/>
        <s v="145.51"/>
        <s v="4339.13"/>
        <s v="3624.67"/>
        <s v="160.84"/>
        <s v="170.6"/>
        <s v="4682.41"/>
        <s v="1805.37"/>
        <s v="1686.38"/>
        <s v="4399.64"/>
        <s v="2740.79"/>
        <s v="307.08"/>
        <s v="1279.78"/>
        <s v="3193.52"/>
        <s v="1271.65"/>
        <s v="1852.55"/>
        <s v="354.43"/>
        <s v="2487.43"/>
        <s v="637.97"/>
        <s v="229.42"/>
        <s v="845.2"/>
        <s v="240.46"/>
        <s v="2861.7"/>
        <s v="842.06"/>
        <s v="1350.54"/>
        <s v="2524.92"/>
        <s v="179.88"/>
        <s v="3410.42"/>
        <s v="1299.43"/>
        <s v="2868.97"/>
        <s v="343.72"/>
        <s v="2603.78"/>
        <s v="1733.46"/>
        <s v="631.28"/>
        <s v="4398.57"/>
        <s v="1578.04"/>
        <s v="2510.3"/>
        <s v="1518.16"/>
        <s v="1198.87"/>
        <s v="3423.69"/>
        <s v="533.85"/>
        <s v="1293.73"/>
        <s v="1609.1"/>
        <s v="2045.02"/>
        <s v="2243.25"/>
        <s v="115.41"/>
        <s v="1029.66"/>
        <s v="2492.75"/>
        <s v="1387.14"/>
        <s v="3931.92"/>
        <s v="3612.41"/>
        <s v="978.4"/>
        <s v="2386.89"/>
        <s v="1902.75"/>
        <s v="1855.43"/>
        <s v="919.08"/>
        <s v="1793.58"/>
        <s v="2170.37"/>
        <s v="2415.34"/>
        <s v="1890.77"/>
        <s v="3995.06"/>
        <s v="3921.91"/>
        <s v="4305.8"/>
        <s v="1995.35"/>
        <s v="341.66"/>
        <s v="1734.79"/>
        <s v="2165.36"/>
        <s v="1101.12"/>
        <s v="1502.9"/>
        <s v="551.57"/>
        <s v="4128.52"/>
        <s v="3284.92"/>
        <s v="59.07"/>
        <s v="2675.33"/>
        <s v="457.51"/>
        <s v="247.1"/>
        <s v="2245.5"/>
        <s v="2486.49"/>
        <s v="845.61"/>
        <s v="2500.16"/>
        <s v="3398.02"/>
        <s v="803.65"/>
        <s v="4325.14"/>
        <s v="2813.22"/>
        <s v="880.99"/>
        <s v="2574.94"/>
        <s v="3532.08"/>
        <s v="5694.2"/>
        <s v="938.13"/>
        <s v="184.76"/>
        <s v="3088.58"/>
        <s v="3693.41"/>
        <s v="1824.35"/>
        <s v="4135.34"/>
        <s v="2679.36"/>
        <s v="2095.79"/>
        <s v="339.42"/>
        <s v="4059.38"/>
        <s v="803.74"/>
        <s v="212.14"/>
        <s v="573.48"/>
        <s v="1365.69"/>
        <s v="312.48"/>
        <s v="443.8"/>
        <s v="1883.8"/>
        <s v="2776.77"/>
        <s v="2660.25"/>
        <s v="154.88"/>
        <s v="382.87"/>
        <s v="3272.52"/>
        <s v="4058.34"/>
        <s v="2270.08"/>
        <s v="1763.47"/>
        <s v="1051.28"/>
        <s v="1501.18"/>
        <s v="4497.43"/>
        <s v="868.03"/>
        <s v="443.43"/>
        <s v="3590.17"/>
        <s v="352.12"/>
        <s v="1060.91"/>
        <s v="5613.73"/>
        <s v="3796.02"/>
        <s v="72.65"/>
        <s v="5900.38"/>
        <s v="5808.52"/>
        <s v="1920.17"/>
        <s v="338.0"/>
        <s v="3470.48"/>
        <s v="814.89"/>
        <s v="1919.25"/>
        <s v="116.14"/>
        <s v="1517.29"/>
        <s v="929.35"/>
        <s v="3205.93"/>
        <s v="1558.92"/>
        <s v="1353.42"/>
        <s v="5896.78"/>
        <s v="1923.63"/>
        <s v="3426.34"/>
        <s v="4635.04"/>
        <s v="4224.96"/>
        <s v="2353.88"/>
        <s v="2400.89"/>
        <s v="2083.99"/>
        <s v="924.61"/>
        <s v="2511.75"/>
        <s v="660.93"/>
        <s v="2053.96"/>
        <s v="4333.79"/>
        <s v="3142.97"/>
        <s v="3260.9"/>
        <s v="2987.76"/>
        <s v="3567.66"/>
        <s v="4531.01"/>
        <s v="3803.85"/>
        <s v="4254.88"/>
        <s v="1293.32"/>
        <s v="2459.63"/>
        <s v="418.32"/>
        <s v="1310.57"/>
        <s v="3204.44"/>
        <s v="3338.88"/>
        <s v="256.52"/>
        <s v="4337.74"/>
        <s v="2607.06"/>
        <s v="2365.45"/>
        <s v="447.69"/>
        <s v="1995.85"/>
        <s v="2055.06"/>
        <s v="411.83"/>
        <s v="3413.79"/>
        <s v="1733.94"/>
        <s v="1870.47"/>
        <s v="2033.48"/>
        <s v="257.19"/>
        <s v="1155.91"/>
        <s v="2018.46"/>
        <s v="6062.91"/>
        <s v="1490.47"/>
        <s v="1722.74"/>
        <s v="165.47"/>
        <s v="3322.39"/>
        <s v="3724.01"/>
        <s v="1006.31"/>
        <s v="921.7"/>
        <s v="3238.93"/>
        <s v="1328.06"/>
        <s v="918.68"/>
        <s v="1885.45"/>
        <s v="1176.14"/>
        <s v="3088.1"/>
        <s v="5346.1"/>
        <s v="1160.06"/>
        <s v="3562.14"/>
        <s v="2041.85"/>
        <s v="3936.97"/>
        <s v="2238.48"/>
        <s v="878.86"/>
        <s v="1563.55"/>
        <s v="3720.78"/>
        <s v="2120.36"/>
        <s v="2699.24"/>
        <s v="2932.92"/>
        <s v="3273.25"/>
        <s v="847.32"/>
        <s v="3866.59"/>
        <s v="545.69"/>
        <s v="5578.12"/>
        <s v="3394.97"/>
        <s v="243.01"/>
        <s v="243.04"/>
        <s v="1674.39"/>
        <s v="1060.25"/>
        <s v="2254.98"/>
        <s v="4185.5"/>
        <s v="2128.88"/>
        <s v="5667.47"/>
        <s v="1569.73"/>
        <s v="3241.17"/>
        <s v="4584.08"/>
        <s v="2881.85"/>
        <s v="189.08"/>
        <s v="1680.31"/>
        <s v="3755.66"/>
        <s v="3687.18"/>
        <s v="1145.92"/>
        <s v="2681.29"/>
        <s v="2976.84"/>
        <s v="1956.18"/>
        <s v="4046.72"/>
        <s v="2778.5"/>
        <s v="2819.16"/>
        <s v="4531.04"/>
        <s v="516.57"/>
        <s v="92.77"/>
        <s v="3651.31"/>
        <s v="6005.47"/>
        <s v="1745.37"/>
        <s v="1467.25"/>
        <s v="1756.56"/>
        <s v="2951.81"/>
        <s v="3301.62"/>
        <s v="3839.39"/>
        <s v="318.14"/>
        <s v="4485.37"/>
        <s v="2228.68"/>
        <s v="1252.17"/>
        <s v="2425.43"/>
        <s v="2637.08"/>
        <s v="1726.72"/>
        <s v="3351.61"/>
        <s v="724.24"/>
        <s v="4023.98"/>
        <s v="1990.42"/>
        <s v="1820.79"/>
        <s v="22353.34"/>
        <s v="894.13"/>
        <s v="1782.56"/>
        <s v="1101.25"/>
        <s v="4062.05"/>
        <s v="3390.54"/>
        <s v="2785.87"/>
        <s v="3216.15"/>
        <s v="1840.6"/>
        <s v="808.17"/>
        <s v="5429.64"/>
        <s v="1327.03"/>
        <s v="2669.65"/>
        <s v="772.62"/>
        <s v="1369.4"/>
        <s v="399.23"/>
        <s v="3333.58"/>
        <s v="3204.32"/>
        <s v="4782.65"/>
        <s v="7281.68"/>
        <s v="1742.66"/>
        <s v="2075.0"/>
        <s v="1182.82"/>
        <s v="4585.82"/>
        <s v="3992.47"/>
        <s v="2219.82"/>
        <s v="3667.34"/>
        <s v="5591.56"/>
        <s v="2046.58"/>
        <s v="1774.86"/>
        <s v="3259.51"/>
        <s v="4822.54"/>
        <s v="3669.58"/>
        <s v="1177.19"/>
        <s v="995.04"/>
        <s v="2249.03"/>
        <s v="1829.99"/>
        <s v="3677.31"/>
        <s v="3381.38"/>
        <s v="79.32"/>
        <s v="2804.8"/>
        <s v="3576.07"/>
        <s v="4722.9"/>
        <s v="676.0"/>
        <s v="375.22"/>
        <s v="8459.89"/>
        <s v="2423.01"/>
        <s v="2706.36"/>
        <s v="1022.16"/>
        <s v="1893.77"/>
        <s v="2940.83"/>
        <s v="3194.26"/>
        <s v="404.2"/>
        <s v="2553.83"/>
        <s v="1617.72"/>
        <s v="6565.12"/>
        <s v="2862.69"/>
        <s v="1363.18"/>
        <s v="1187.63"/>
        <s v="3123.33"/>
        <s v="83.27"/>
        <s v="2250.51"/>
        <s v="5968.37"/>
        <s v="932.28"/>
        <s v="22833.12"/>
        <s v="913.32"/>
        <s v="2913.8"/>
        <s v="1456.93"/>
        <s v="5582.11"/>
        <s v="2374.03"/>
        <s v="3022.27"/>
        <s v="4209.77"/>
        <s v="2993.25"/>
        <s v="3377.48"/>
        <s v="1931.07"/>
        <s v="467.34"/>
        <s v="5176.24"/>
        <s v="5103.03"/>
        <s v="1648.13"/>
        <s v="2707.63"/>
        <s v="1553.81"/>
        <s v="1903.29"/>
        <s v="1026.66"/>
        <s v="3852.04"/>
        <s v="461.32"/>
        <s v="4218.88"/>
        <s v="2069.11"/>
        <s v="4889.71"/>
        <s v="860.18"/>
        <s v="5241.68"/>
        <s v="1105.56"/>
        <s v="2906.55"/>
        <s v="3972.97"/>
        <s v="5144.53"/>
        <s v="2441.62"/>
        <s v="451.4"/>
        <s v="6357.26"/>
        <s v="2375.9"/>
        <s v="525.74"/>
        <s v="1549.41"/>
        <s v="1226.66"/>
        <s v="167.67"/>
        <s v="1034.66"/>
        <s v="2106.45"/>
        <s v="27.83"/>
        <s v="2307.02"/>
        <s v="954.43"/>
        <s v="1098.69"/>
        <s v="928.55"/>
        <s v="946.19"/>
        <s v="2219.86"/>
        <s v="1258.29"/>
        <s v="1925.77"/>
        <s v="5162.61"/>
        <s v="1663.07"/>
        <s v="660.0"/>
        <s v="2368.77"/>
        <s v="2167.83"/>
        <s v="1210.03"/>
        <s v="6306.59"/>
        <s v="2704.01"/>
        <s v="4311.18"/>
        <s v="2202.7"/>
        <s v="1924.91"/>
        <s v="2396.97"/>
        <s v="747.38"/>
        <s v="2525.87"/>
        <s v="1162.69"/>
        <s v="22493.59"/>
        <s v="899.74"/>
        <s v="1105.42"/>
        <s v="224.85"/>
        <s v="377.51"/>
        <s v="1568.59"/>
        <s v="4925.78"/>
        <s v="3539.37"/>
        <s v="1116.69"/>
        <s v="2902.01"/>
        <s v="8.82"/>
        <s v="2741.29"/>
        <s v="1709.47"/>
        <s v="2308.79"/>
        <s v="294.08"/>
        <s v="2694.56"/>
        <s v="5873.11"/>
        <s v="2351.53"/>
        <s v="1468.41"/>
        <s v="2228.43"/>
        <s v="76.85"/>
        <s v="196.28"/>
        <s v="4183.19"/>
        <s v="6219.18"/>
        <s v="1488.7"/>
        <s v="250.25"/>
        <s v="1560.55"/>
        <s v="4160.14"/>
        <s v="278.91"/>
        <s v="2065.95"/>
        <s v="1761.67"/>
        <s v="107.75"/>
        <s v="3470.52"/>
        <s v="2938.89"/>
        <s v="744.46"/>
        <s v="1951.86"/>
        <s v="2140.35"/>
        <s v="498.05"/>
        <s v="3271.32"/>
        <s v="1991.35"/>
        <s v="1441.7"/>
        <s v="441.66"/>
        <s v="1282.93"/>
        <s v="2430.73"/>
        <s v="4290.21"/>
        <s v="1706.78"/>
        <s v="919.05"/>
        <s v="1360.79"/>
        <s v="1338.43"/>
        <s v="1970.44"/>
        <s v="2346.31"/>
        <s v="705.01"/>
        <s v="3341.36"/>
        <s v="44.64"/>
        <s v="3498.16"/>
        <s v="539.93"/>
        <s v="1826.77"/>
        <s v="2569.65"/>
        <s v="197.45"/>
        <s v="3046.33"/>
        <s v="2980.75"/>
        <s v="3116.45"/>
        <s v="282.85"/>
        <s v="791.63"/>
        <s v="1082.05"/>
        <s v="3290.84"/>
        <s v="3758.56"/>
        <s v="464.88"/>
        <s v="931.28"/>
        <s v="1803.13"/>
        <s v="1802.34"/>
        <s v="1079.98"/>
        <s v="690.11"/>
        <s v="970.66"/>
        <s v="1798.92"/>
        <s v="2152.17"/>
        <s v="3754.08"/>
        <s v="2672.31"/>
        <s v="1848.92"/>
        <s v="743.24"/>
        <s v="1850.3"/>
        <s v="1655.83"/>
        <s v="3787.1"/>
        <s v="3041.1"/>
        <s v="2281.59"/>
        <s v="452.96"/>
        <s v="1476.73"/>
        <s v="2667.98"/>
        <s v="205.92"/>
        <s v="1444.51"/>
        <s v="3902.63"/>
        <s v="1127.31"/>
        <s v="218.52"/>
        <s v="2148.64"/>
        <s v="996.01"/>
        <s v="1694.03"/>
        <s v="636.42"/>
        <s v="3263.89"/>
        <s v="1873.63"/>
        <s v="2604.39"/>
        <s v="1149.31"/>
        <s v="2453.71"/>
        <s v="3387.81"/>
        <s v="824.32"/>
        <s v="1874.71"/>
        <s v="3221.71"/>
        <s v="2156.33"/>
        <s v="2604.04"/>
        <s v="1309.13"/>
        <s v="6378.45"/>
        <s v="2852.81"/>
        <s v="3484.27"/>
        <s v="3913.71"/>
        <s v="772.04"/>
        <s v="108.68"/>
        <s v="106.62"/>
        <s v="2343.33"/>
        <s v="1538.68"/>
        <s v="448.69"/>
        <s v="18.55"/>
        <s v="4054.48"/>
        <s v="1405.94"/>
        <s v="837.07"/>
        <s v="3391.74"/>
        <s v="6528.54"/>
        <s v="138.57"/>
        <s v="511.18"/>
        <s v="2055.74"/>
        <s v="98.95"/>
        <s v="1209.47"/>
        <s v="2859.43"/>
        <s v="1818.61"/>
        <s v="70.87"/>
        <s v="23033.4"/>
        <s v="921.34"/>
        <s v="1966.43"/>
        <s v="1028.06"/>
        <s v="515.47"/>
        <s v="1936.35"/>
        <s v="3527.07"/>
        <s v="2610.36"/>
        <s v="474.86"/>
        <s v="4195.76"/>
        <s v="4619.45"/>
        <s v="3188.67"/>
        <s v="708.59"/>
        <s v="1112.45"/>
        <s v="479.46"/>
        <s v="537.47"/>
        <s v="422.66"/>
        <s v="956.92"/>
        <s v="3461.01"/>
        <s v="2675.46"/>
        <s v="4697.18"/>
        <s v="1435.53"/>
        <s v="480.32"/>
        <s v="417.85"/>
        <s v="4697.67"/>
        <s v="2955.42"/>
        <s v="2322.55"/>
        <s v="3586.32"/>
        <s v="3742.94"/>
        <s v="80.84"/>
        <s v="4961.77"/>
        <s v="1405.0"/>
        <s v="545.11"/>
        <s v="2797.07"/>
        <s v="2348.28"/>
        <s v="2746.45"/>
        <s v="2974.86"/>
        <s v="2907.9"/>
        <s v="3232.39"/>
        <s v="2534.46"/>
        <s v="1190.65"/>
        <s v="2221.1"/>
        <s v="3487.38"/>
        <s v="39.14"/>
        <s v="1719.99"/>
        <s v="526.87"/>
        <s v="1969.24"/>
        <s v="3297.25"/>
        <s v="719.43"/>
        <s v="2052.03"/>
        <s v="2120.17"/>
        <s v="4117.34"/>
        <s v="1026.41"/>
        <s v="4725.98"/>
        <s v="965.05"/>
        <s v="2399.91"/>
        <s v="1447.86"/>
        <s v="597.9"/>
        <s v="495.01"/>
        <s v="4200.27"/>
        <s v="3983.88"/>
        <s v="3043.03"/>
        <s v="4182.66"/>
        <s v="3443.53"/>
        <s v="2340.56"/>
        <s v="2852.73"/>
        <s v="440.88"/>
        <s v="2458.4"/>
        <s v="1580.63"/>
        <s v="4283.56"/>
        <s v="298.38"/>
        <s v="3972.44"/>
        <s v="1726.62"/>
        <s v="3247.12"/>
        <s v="3531.01"/>
        <s v="235.28"/>
        <s v="2896.21"/>
        <s v="1611.16"/>
        <s v="1839.15"/>
        <s v="2238.4"/>
        <s v="5784.32"/>
        <s v="724.85"/>
        <s v="122.57"/>
        <s v="3521.54"/>
        <s v="3369.54"/>
        <s v="223.08"/>
        <s v="2063.81"/>
        <s v="2377.35"/>
        <s v="420.25"/>
        <s v="2776.5"/>
        <s v="6906.23"/>
        <s v="3162.26"/>
        <s v="2210.08"/>
        <s v="3276.66"/>
        <s v="961.82"/>
        <s v="1663.57"/>
        <s v="2595.6"/>
        <s v="179.91"/>
        <s v="2832.79"/>
        <s v="2234.29"/>
        <s v="1728.35"/>
        <s v="1133.21"/>
        <s v="176.06"/>
        <s v="2841.07"/>
        <s v="1240.26"/>
        <s v="811.34"/>
        <s v="1227.63"/>
        <s v="3247.15"/>
        <s v="4082.41"/>
        <s v="1352.01"/>
        <s v="3636.04"/>
        <s v="1056.89"/>
        <s v="2505.68"/>
        <s v="2575.7"/>
        <s v="707.14"/>
        <s v="2332.84"/>
        <s v="633.76"/>
        <s v="1678.61"/>
        <s v="442.62"/>
        <s v="266.74"/>
        <s v="2628.35"/>
        <s v="1807.32"/>
        <s v="5327.75"/>
        <s v="2853.68"/>
        <s v="1410.28"/>
        <s v="2014.94"/>
        <s v="3169.82"/>
        <s v="2904.87"/>
        <s v="3744.48"/>
        <s v="507.11"/>
        <s v="1981.72"/>
        <s v="2298.53"/>
        <s v="597.57"/>
        <s v="137.72"/>
        <s v="370.65"/>
        <s v="3007.55"/>
        <s v="3672.97"/>
        <s v="2078.06"/>
        <s v="3374.4"/>
        <s v="1755.76"/>
        <s v="2901.6"/>
        <s v="128.63"/>
        <s v="1783.71"/>
        <s v="493.79"/>
        <s v="1404.43"/>
        <s v="1449.13"/>
        <s v="165.22"/>
        <s v="1378.38"/>
        <s v="140.29"/>
        <s v="3885.86"/>
        <s v="2171.92"/>
        <s v="286.24"/>
        <s v="2516.36"/>
        <s v="2143.84"/>
        <s v="21543.7"/>
        <s v="861.75"/>
        <s v="1333.3"/>
        <s v="3940.98"/>
        <s v="603.7"/>
        <s v="4775.15"/>
        <s v="441.26"/>
        <s v="236.29"/>
        <s v="1065.81"/>
        <s v="3281.0"/>
        <s v="665.35"/>
        <s v="995.44"/>
        <s v="1458.59"/>
        <s v="1913.89"/>
        <s v="5020.93"/>
        <s v="1161.72"/>
        <s v="1386.7"/>
        <s v="149.23"/>
        <s v="1786.1"/>
        <s v="2920.53"/>
        <s v="5169.56"/>
        <s v="1183.28"/>
        <s v="3267.62"/>
        <s v="1121.55"/>
        <s v="2571.99"/>
        <s v="1947.66"/>
        <s v="5566.5"/>
        <s v="1852.79"/>
        <s v="267.36"/>
        <s v="2786.11"/>
        <s v="1763.7"/>
        <s v="274.73"/>
        <s v="2526.84"/>
        <s v="1850.31"/>
        <s v="52.17"/>
        <s v="1659.9"/>
        <s v="1158.15"/>
        <s v="3299.13"/>
        <s v="656.41"/>
        <s v="2021.69"/>
        <s v="5723.51"/>
        <s v="625.3"/>
        <s v="862.87"/>
        <s v="3635.7"/>
        <s v="6786.83"/>
        <s v="589.9"/>
        <s v="21603.55"/>
        <s v="864.14"/>
        <s v="312.59"/>
        <s v="2100.55"/>
        <s v="212.4"/>
        <s v="2733.48"/>
        <s v="395.43"/>
        <s v="1691.13"/>
        <s v="1334.9"/>
        <s v="1846.57"/>
        <s v="3582.7"/>
        <s v="3894.53"/>
        <s v="56.12"/>
        <s v="2183.23"/>
        <s v="634.93"/>
        <s v="1105.18"/>
        <s v="1726.89"/>
        <s v="3662.65"/>
        <s v="2609.81"/>
        <s v="2581.08"/>
        <s v="2310.76"/>
        <s v="541.66"/>
        <s v="5973.52"/>
        <s v="2542.49"/>
        <s v="2285.67"/>
        <s v="1262.94"/>
        <s v="1323.27"/>
        <s v="1324.83"/>
        <s v="1984.35"/>
        <s v="3506.96"/>
        <s v="3897.15"/>
        <s v="2349.72"/>
        <s v="838.44"/>
        <s v="1710.57"/>
        <s v="494.46"/>
        <s v="420.59"/>
        <s v="2129.27"/>
        <s v="1798.41"/>
        <s v="2439.11"/>
        <s v="2071.8"/>
        <s v="1064.94"/>
        <s v="4778.78"/>
        <s v="2780.49"/>
        <s v="3573.18"/>
        <s v="1225.29"/>
        <s v="2169.74"/>
        <s v="97.4"/>
        <s v="2767.99"/>
        <s v="4992.64"/>
        <s v="2368.07"/>
        <s v="1888.92"/>
        <s v="734.88"/>
        <s v="1093.42"/>
        <s v="4249.36"/>
        <s v="2818.02"/>
        <s v="1414.55"/>
        <s v="852.99"/>
        <s v="3253.68"/>
        <s v="2919.11"/>
        <s v="3699.7"/>
        <s v="22571.3"/>
        <s v="902.86"/>
        <s v="14.85"/>
        <s v="7084.14"/>
        <s v="2670.34"/>
        <s v="1281.34"/>
        <s v="1370.64"/>
        <s v="2874.75"/>
        <s v="3283.83"/>
        <s v="1933.51"/>
        <s v="764.01"/>
        <s v="907.35"/>
        <s v="3738.68"/>
        <s v="2278.13"/>
        <s v="219.0"/>
        <s v="1293.55"/>
        <s v="161.98"/>
        <s v="2618.61"/>
        <s v="1485.88"/>
        <s v="3931.85"/>
        <s v="3636.1"/>
        <s v="854.85"/>
        <s v="3448.16"/>
        <s v="1644.19"/>
        <s v="3663.1"/>
        <s v="3032.39"/>
        <s v="6204.62"/>
        <s v="1260.12"/>
        <s v="2006.02"/>
        <s v="3052.05"/>
        <s v="5090.0"/>
        <s v="1367.83"/>
        <s v="1249.76"/>
        <s v="5032.54"/>
        <s v="784.72"/>
        <s v="2321.79"/>
        <s v="395.21"/>
        <s v="3286.1"/>
        <s v="4772.55"/>
        <s v="1575.11"/>
        <s v="3349.86"/>
        <s v="924.42"/>
        <s v="1093.51"/>
        <s v="272.15"/>
        <s v="3587.66"/>
        <s v="1285.5"/>
        <s v="5108.7"/>
        <s v="202.29"/>
        <s v="1714.75"/>
        <s v="4080.69"/>
        <s v="2149.5"/>
        <s v="3392.02"/>
        <s v="2121.23"/>
        <s v="1000.79"/>
        <s v="145.79"/>
        <s v="2383.56"/>
        <s v="4217.7"/>
        <s v="1321.73"/>
        <s v="2594.77"/>
        <s v="5149.79"/>
        <s v="396.8"/>
        <s v="2088.64"/>
        <s v="2551.82"/>
        <s v="2878.23"/>
        <s v="3493.41"/>
        <s v="4694.24"/>
        <s v="1446.37"/>
        <s v="22631.93"/>
        <s v="905.28"/>
        <s v="872.58"/>
        <s v="5319.74"/>
        <s v="1831.23"/>
        <s v="3255.93"/>
        <s v="3254.33"/>
        <s v="4690.79"/>
        <s v="914.87"/>
        <s v="4144.55"/>
        <s v="215.49"/>
        <s v="2450.58"/>
        <s v="2982.38"/>
        <s v="3499.05"/>
        <s v="1961.39"/>
        <s v="1461.66"/>
        <s v="2856.42"/>
        <s v="5265.7"/>
        <s v="2159.79"/>
        <s v="1471.21"/>
        <s v="1714.23"/>
        <s v="1820.46"/>
        <s v="5068.34"/>
        <s v="2673.93"/>
        <s v="1492.83"/>
        <s v="143.66"/>
        <s v="2873.62"/>
        <s v="2084.95"/>
        <s v="1074.72"/>
        <s v="2798.08"/>
        <s v="1340.03"/>
        <s v="1204.43"/>
        <s v="3238.47"/>
        <s v="5857.01"/>
        <s v="341.78"/>
        <s v="2578.44"/>
        <s v="2213.9"/>
        <s v="4734.01"/>
        <s v="1087.88"/>
        <s v="2476.41"/>
        <s v="1210.09"/>
        <s v="1198.93"/>
        <s v="1083.31"/>
        <s v="3209.86"/>
        <s v="2326.21"/>
        <s v="5233.61"/>
        <s v="2289.26"/>
        <s v="2159.4"/>
        <s v="1014.12"/>
        <s v="2738.56"/>
        <s v="1330.27"/>
        <s v="2929.64"/>
        <s v="2920.32"/>
        <s v="3237.08"/>
        <s v="2225.46"/>
        <s v="1826.02"/>
        <s v="1636.82"/>
        <s v="1548.13"/>
        <s v="5150.54"/>
        <s v="2763.11"/>
        <s v="1613.46"/>
        <s v="350.49"/>
        <s v="2912.37"/>
        <s v="4023.06"/>
        <s v="1563.65"/>
        <s v="2866.49"/>
        <s v="2072.88"/>
        <s v="2572.13"/>
        <s v="1939.19"/>
        <s v="940.92"/>
        <s v="280.9"/>
        <s v="1480.23"/>
        <s v="5459.38"/>
        <s v="3940.99"/>
        <s v="3388.91"/>
        <s v="96.36"/>
        <s v="22681.64"/>
        <s v="907.27"/>
        <s v="1358.81"/>
        <s v="2356.63"/>
        <s v="1163.44"/>
        <s v="321.21"/>
        <s v="1113.08"/>
        <s v="5634.96"/>
        <s v="383.98"/>
        <s v="782.6"/>
        <s v="1941.01"/>
        <s v="1391.07"/>
        <s v="2091.27"/>
        <s v="1028.14"/>
        <s v="3246.55"/>
        <s v="4187.48"/>
        <s v="3907.56"/>
        <s v="1010.9"/>
        <s v="1663.3"/>
        <s v="106.77"/>
        <s v="824.34"/>
        <s v="2839.14"/>
        <s v="5553.75"/>
        <s v="2076.49"/>
        <s v="2800.44"/>
        <s v="1867.62"/>
        <s v="3227.16"/>
        <s v="1180.05"/>
        <s v="1906.44"/>
        <s v="5062.77"/>
        <s v="914.89"/>
        <s v="3714.51"/>
        <s v="789.93"/>
        <s v="199.22"/>
        <s v="3222.48"/>
        <s v="2374.79"/>
        <s v="2529.97"/>
        <s v="716.97"/>
        <s v="1475.56"/>
        <s v="1615.34"/>
        <s v="2442.86"/>
        <s v="1687.24"/>
        <s v="1668.36"/>
        <s v="1234.42"/>
        <s v="3347.28"/>
        <s v="901.11"/>
        <s v="1626.7"/>
        <s v="1371.6"/>
        <s v="347.99"/>
        <s v="1252.31"/>
        <s v="235.9"/>
        <s v="576.0"/>
        <s v="1404.1"/>
        <s v="3261.83"/>
        <s v="4844.46"/>
        <s v="1037.26"/>
        <s v="3834.81"/>
        <s v="90.38"/>
        <s v="1222.03"/>
        <s v="1543.7"/>
        <s v="531.64"/>
        <s v="2304.96"/>
        <s v="954.31"/>
        <s v="3145.29"/>
        <s v="2086.41"/>
        <s v="679.96"/>
        <s v="1185.19"/>
        <s v="2859.57"/>
        <s v="22424.18"/>
        <s v="896.97"/>
        <s v="3335.31"/>
        <s v="4707.26"/>
        <s v="5519.45"/>
        <s v="914.31"/>
        <s v="1703.82"/>
        <s v="3260.74"/>
        <s v="2428.02"/>
        <s v="418.02"/>
        <s v="793.72"/>
        <s v="1149.56"/>
        <s v="4551.66"/>
        <s v="5118.09"/>
        <s v="885.37"/>
        <s v="2395.22"/>
        <s v="2066.46"/>
        <s v="2505.5"/>
        <s v="3868.65"/>
        <s v="4379.53"/>
        <s v="4374.61"/>
        <s v="1744.19"/>
        <s v="2952.16"/>
        <s v="2692.66"/>
        <s v="1747.34"/>
        <s v="4553.83"/>
        <s v="2766.25"/>
        <s v="5102.57"/>
        <s v="245.14"/>
        <s v="1046.37"/>
        <s v="3450.39"/>
        <s v="4520.76"/>
        <s v="3404.28"/>
        <s v="3567.58"/>
        <s v="2595.51"/>
        <s v="5883.0"/>
        <s v="93.37"/>
        <s v="0.04"/>
        <s v="1652.17"/>
        <s v="3772.15"/>
        <s v="2325.52"/>
        <s v="2039.84"/>
        <s v="2043.84"/>
        <s v="2974.44"/>
        <s v="1717.6"/>
        <s v="1432.4"/>
        <s v="623.58"/>
        <s v="1270.03"/>
        <s v="1620.18"/>
        <s v="1708.7"/>
        <s v="2518.57"/>
        <s v="1227.56"/>
        <s v="1651.51"/>
        <s v="3991.68"/>
        <s v="2492.71"/>
        <s v="4192.38"/>
        <s v="1707.12"/>
        <s v="2673.28"/>
        <s v="2837.38"/>
        <s v="495.72"/>
        <s v="299.76"/>
        <s v="3736.86"/>
        <s v="22718.9"/>
        <s v="908.76"/>
        <s v="2903.52"/>
        <s v="3747.76"/>
        <s v="1920.6"/>
        <s v="6407.5"/>
        <s v="3487.51"/>
        <s v="3619.04"/>
        <s v="4048.87"/>
        <s v="3222.74"/>
        <s v="4347.09"/>
        <s v="570.49"/>
        <s v="1783.61"/>
        <s v="4342.19"/>
        <s v="2639.51"/>
        <s v="1475.84"/>
        <s v="4691.45"/>
        <s v="1889.95"/>
        <s v="1553.32"/>
        <s v="1537.04"/>
        <s v="3057.94"/>
        <s v="5221.83"/>
        <s v="1988.1"/>
        <s v="2547.47"/>
        <s v="2877.24"/>
        <s v="3205.63"/>
        <s v="1499.82"/>
        <s v="1195.53"/>
        <s v="3113.87"/>
        <s v="3586.62"/>
        <s v="890.58"/>
        <s v="195.63"/>
        <s v="672.42"/>
        <s v="5611.38"/>
        <s v="2880.76"/>
        <s v="336.71"/>
        <s v="238.83"/>
        <s v="1506.09"/>
        <s v="852.85"/>
        <s v="5850.78"/>
        <s v="3310.51"/>
        <s v="737.76"/>
        <s v="387.89"/>
        <s v="1564.78"/>
        <s v="659.98"/>
        <s v="1315.2"/>
        <s v="2688.81"/>
        <s v="1833.95"/>
        <s v="3632.31"/>
        <s v="6169.17"/>
        <s v="650.89"/>
        <s v="2005.98"/>
        <s v="1657.34"/>
        <s v="481.97"/>
        <s v="381.05"/>
        <s v="2736.74"/>
        <s v="4426.71"/>
        <s v="865.52"/>
        <s v="2163.21"/>
        <s v="3609.7"/>
        <s v="2004.15"/>
        <s v="1954.1"/>
        <s v="2502.1"/>
        <s v="2246.15"/>
        <s v="4421.34"/>
        <s v="6261.36"/>
        <s v="5506.77"/>
        <s v="2845.59"/>
        <s v="1473.67"/>
        <s v="3040.33"/>
        <s v="577.17"/>
        <s v="1950.5"/>
        <s v="3052.96"/>
        <s v="2133.76"/>
        <s v="460.26"/>
        <s v="447.01"/>
        <s v="355.17"/>
        <s v="932.38"/>
        <s v="2612.68"/>
        <s v="1895.62"/>
        <s v="394.96"/>
        <s v="1553.64"/>
        <s v="4814.05"/>
        <s v="1722.77"/>
        <s v="492.15"/>
        <s v="3427.65"/>
        <s v="1400.73"/>
        <s v="1823.19"/>
        <s v="4544.61"/>
        <s v="782.3"/>
        <s v="3767.22"/>
        <s v="5232.34"/>
        <s v="2736.53"/>
        <s v="6659.07"/>
        <s v="494.63"/>
        <s v="4789.39"/>
        <s v="1219.56"/>
        <s v="5138.67"/>
        <s v="876.23"/>
        <s v="4653.96"/>
        <s v="559.48"/>
        <s v="3139.49"/>
        <s v="1055.11"/>
        <s v="6392.28"/>
        <s v="4135.06"/>
        <s v="3252.32"/>
        <s v="4179.41"/>
        <s v="4123.81"/>
        <s v="4336.23"/>
        <s v="4293.59"/>
        <s v="3588.78"/>
        <s v="2009.13"/>
        <s v="5649.23"/>
        <s v="1635.95"/>
        <s v="2169.35"/>
        <s v="196.11"/>
        <s v="4857.54"/>
        <s v="2736.56"/>
        <s v="2066.36"/>
        <s v="3610.64"/>
        <s v="4123.4"/>
        <s v="6370.03"/>
        <s v="1856.47"/>
        <s v="6229.91"/>
        <s v="1992.39"/>
        <s v="2567.34"/>
        <s v="2679.04"/>
        <s v="577.88"/>
        <s v="1566.03"/>
        <s v="3726.72"/>
        <s v="1857.21"/>
        <s v="684.1"/>
        <s v="2549.97"/>
        <s v="1364.68"/>
        <s v="3837.91"/>
        <s v="520.03"/>
        <s v="979.07"/>
        <s v="3175.41"/>
        <s v="2128.81"/>
        <s v="1299.25"/>
        <s v="1939.0"/>
        <s v="1058.91"/>
        <s v="344.52"/>
        <s v="1764.39"/>
        <s v="974.21"/>
        <s v="1003.9"/>
        <s v="3017.57"/>
        <s v="1156.52"/>
        <s v="5895.31"/>
        <s v="1834.81"/>
        <s v="3206.97"/>
        <s v="3143.96"/>
        <s v="474.25"/>
        <s v="202.48"/>
        <s v="5221.32"/>
        <s v="2002.97"/>
        <s v="1215.91"/>
        <s v="4373.17"/>
        <s v="1362.48"/>
        <s v="2061.13"/>
        <s v="2021.48"/>
        <s v="1018.24"/>
        <s v="890.97"/>
        <s v="250.27"/>
        <s v="1347.34"/>
        <s v="3879.48"/>
        <s v="3300.26"/>
        <s v="926.22"/>
        <s v="3831.38"/>
        <s v="3772.87"/>
        <s v="746.41"/>
        <s v="1355.87"/>
        <s v="945.65"/>
        <s v="3658.6"/>
        <s v="1690.19"/>
        <s v="64.67"/>
        <s v="628.19"/>
        <s v="1930.1"/>
        <s v="3303.0"/>
        <s v="2556.67"/>
        <s v="1051.65"/>
        <s v="2129.62"/>
        <s v="83.5"/>
        <s v="2048.67"/>
        <s v="4159.1"/>
        <s v="2385.29"/>
        <s v="2360.12"/>
        <s v="5630.46"/>
        <s v="639.07"/>
        <s v="660.49"/>
        <s v="3103.12"/>
        <s v="810.47"/>
        <s v="224.17"/>
        <s v="22709.54"/>
        <s v="908.38"/>
        <s v="2617.24"/>
        <s v="992.63"/>
        <s v="4014.03"/>
        <s v="1660.95"/>
        <s v="3563.37"/>
        <s v="4364.77"/>
        <s v="283.71"/>
        <s v="1048.4"/>
        <s v="3788.72"/>
        <s v="6256.22"/>
        <s v="1951.84"/>
        <s v="1061.67"/>
        <s v="3892.18"/>
        <s v="1857.54"/>
        <s v="32.34"/>
        <s v="3174.78"/>
        <s v="1532.03"/>
        <s v="3891.06"/>
        <s v="3463.2"/>
        <s v="6070.24"/>
        <s v="827.25"/>
        <s v="1704.54"/>
        <s v="363.71"/>
        <s v="3019.78"/>
        <s v="1307.06"/>
        <s v="1604.69"/>
        <s v="4528.59"/>
        <s v="1416.4"/>
        <s v="1567.29"/>
        <s v="3719.31"/>
        <s v="1647.4"/>
        <s v="2775.02"/>
        <s v="1813.35"/>
        <s v="2676.0"/>
        <s v="2353.64"/>
        <s v="1398.89"/>
        <s v="413.5"/>
        <s v="466.28"/>
        <s v="1299.1"/>
        <s v="784.29"/>
        <s v="1800.37"/>
        <s v="1010.69"/>
        <s v="1889.75"/>
        <s v="4004.63"/>
        <s v="1307.95"/>
        <s v="516.01"/>
        <s v="2779.23"/>
        <s v="1502.23"/>
        <s v="1692.8"/>
        <s v="3747.13"/>
        <s v="2006.31"/>
        <s v="1759.07"/>
        <s v="2729.66"/>
        <s v="911.42"/>
        <s v="982.51"/>
        <s v="4068.78"/>
        <s v="1215.12"/>
        <s v="2184.02"/>
        <s v="2254.86"/>
        <s v="866.06"/>
        <s v="373.08"/>
        <s v="5194.91"/>
        <s v="1970.59"/>
        <s v="1868.69"/>
        <s v="4855.73"/>
        <s v="4245.67"/>
        <s v="3561.24"/>
        <s v="1583.96"/>
        <s v="1030.63"/>
        <s v="2392.83"/>
        <s v="2809.31"/>
        <s v="9.28"/>
        <s v="1323.8"/>
        <s v="161.68"/>
        <s v="1227.36"/>
        <s v="2832.38"/>
        <s v="2284.52"/>
        <s v="4131.42"/>
        <s v="2759.68"/>
        <s v="1595.71"/>
        <s v="477.53"/>
        <s v="2077.77"/>
        <s v="1222.91"/>
        <s v="3339.07"/>
        <s v="2186.18"/>
        <s v="2519.47"/>
        <s v="3107.0"/>
        <s v="2889.67"/>
        <s v="1607.6"/>
        <s v="122.02"/>
        <s v="1264.07"/>
        <s v="854.15"/>
        <s v="4283.15"/>
        <s v="192.73"/>
        <s v="369.52"/>
        <s v="896.9"/>
        <s v="1964.12"/>
        <s v="588.68"/>
        <s v="1024.56"/>
        <s v="101.43"/>
        <s v="3757.84"/>
        <s v="2302.07"/>
        <s v="3841.33"/>
        <s v="533.86"/>
        <s v="5933.08"/>
        <s v="5925.68"/>
        <s v="4082.42"/>
        <s v="151.62"/>
        <s v="5489.78"/>
        <s v="3260.43"/>
        <s v="1430.24"/>
        <s v="1814.67"/>
        <s v="4742.55"/>
        <s v="1752.58"/>
        <s v="4557.06"/>
        <s v="1675.03"/>
        <s v="1937.82"/>
        <s v="1761.56"/>
        <s v="6429.33"/>
        <s v="3374.89"/>
        <s v="2748.23"/>
        <s v="1278.63"/>
        <s v="2079.1"/>
        <s v="3446.87"/>
        <s v="1664.43"/>
        <s v="698.57"/>
        <s v="1763.13"/>
        <s v="1875.59"/>
        <s v="3327.0"/>
        <s v="2492.25"/>
        <s v="3766.86"/>
        <s v="1850.76"/>
        <s v="2708.93"/>
        <s v="2042.01"/>
        <s v="2318.2"/>
        <s v="981.0"/>
        <s v="533.29"/>
        <s v="1778.25"/>
        <s v="3647.32"/>
        <s v="3607.53"/>
        <s v="360.68"/>
        <s v="474.98"/>
        <s v="2139.09"/>
        <s v="2025.8"/>
        <s v="1890.33"/>
        <s v="4727.47"/>
        <s v="3640.46"/>
        <s v="5314.39"/>
        <s v="3221.17"/>
        <s v="2060.37"/>
        <s v="1203.62"/>
        <s v="1671.16"/>
        <s v="1495.45"/>
        <s v="5557.54"/>
        <s v="903.57"/>
        <s v="1683.65"/>
        <s v="897.09"/>
        <s v="1653.84"/>
        <s v="2393.48"/>
        <s v="399.74"/>
        <s v="896.87"/>
        <s v="1983.89"/>
        <s v="1696.61"/>
        <s v="261.94"/>
        <s v="2814.72"/>
        <s v="4279.05"/>
        <s v="3809.63"/>
        <s v="3727.3"/>
        <s v="446.88"/>
        <s v="2633.45"/>
        <s v="1821.08"/>
        <s v="6277.41"/>
        <s v="1853.25"/>
        <s v="3099.81"/>
        <s v="1334.4"/>
        <s v="1662.91"/>
        <s v="4804.45"/>
        <s v="14.03"/>
        <s v="1437.31"/>
        <s v="1645.39"/>
        <s v="2961.41"/>
        <s v="991.34"/>
        <s v="2277.69"/>
        <s v="3002.8"/>
        <s v="329.99"/>
        <s v="1636.15"/>
        <s v="1921.32"/>
        <s v="596.93"/>
        <s v="2508.95"/>
        <s v="449.85"/>
        <s v="1814.01"/>
        <s v="450.64"/>
        <s v="2435.37"/>
        <s v="1528.13"/>
        <s v="848.13"/>
        <s v="5525.03"/>
        <s v="2865.64"/>
        <s v="1955.49"/>
        <s v="2074.07"/>
        <s v="368.28"/>
        <s v="1419.6"/>
        <s v="3243.54"/>
        <s v="3066.72"/>
        <s v="1517.05"/>
        <s v="4118.69"/>
        <s v="2705.54"/>
        <s v="3526.58"/>
        <s v="858.22"/>
        <s v="41.23"/>
        <s v="1631.18"/>
        <s v="1478.33"/>
      </sharedItems>
    </cacheField>
    <cacheField name="credit" numFmtId="0">
      <sharedItems containsMixedTypes="1" containsNumber="1" minValue="0" maxValue="200000"/>
    </cacheField>
    <cacheField name="name" numFmtId="0">
      <sharedItems count="16">
        <s v="Bank Account - Operating"/>
        <s v="Owner's Equity / Common Stock"/>
        <s v="Accounts Receivable"/>
        <s v="Sales Revenue"/>
        <s v="Sales Tax Payable"/>
        <s v="Salaries &amp; Wages"/>
        <s v="Employer FICA Expense"/>
        <s v="Federal Income Tax Withholding Payable"/>
        <s v="FICA Payable (Social Security &amp; Medicare)"/>
        <s v="Cost of Goods Sold"/>
        <s v="Sales Tax Receivable"/>
        <s v="Accounts Payable"/>
        <s v="Depreciation Expense"/>
        <s v="Less Accumulated Depreciation - Office Equipment"/>
        <s v="Less Accumulated Depreciation - Furniture &amp; Fixtures"/>
        <s v="Less Accumulated Depreciation - Vehicles"/>
      </sharedItems>
    </cacheField>
    <cacheField name="account_type" numFmtId="0">
      <sharedItems count="5">
        <s v="asset"/>
        <s v="equity"/>
        <s v="revenue"/>
        <s v="liability"/>
        <s v="expen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27">
  <r>
    <n v="1"/>
    <x v="0"/>
    <s v="Opening balance â€” owner's equity contribution"/>
    <x v="0"/>
    <n v="0"/>
    <x v="0"/>
    <x v="0"/>
  </r>
  <r>
    <n v="1"/>
    <x v="0"/>
    <s v="Opening balance â€” owner's equity contribution"/>
    <x v="1"/>
    <n v="200000"/>
    <x v="1"/>
    <x v="1"/>
  </r>
  <r>
    <n v="2"/>
    <x v="1"/>
    <s v="Sales invoice issued"/>
    <x v="2"/>
    <n v="0"/>
    <x v="2"/>
    <x v="0"/>
  </r>
  <r>
    <n v="2"/>
    <x v="1"/>
    <s v="Sales invoice issued"/>
    <x v="1"/>
    <n v="1718.7"/>
    <x v="3"/>
    <x v="2"/>
  </r>
  <r>
    <n v="2"/>
    <x v="1"/>
    <s v="Sales invoice issued"/>
    <x v="1"/>
    <n v="128.9"/>
    <x v="4"/>
    <x v="3"/>
  </r>
  <r>
    <n v="3"/>
    <x v="1"/>
    <s v="Sales invoice issued"/>
    <x v="3"/>
    <n v="0"/>
    <x v="2"/>
    <x v="0"/>
  </r>
  <r>
    <n v="3"/>
    <x v="1"/>
    <s v="Sales invoice issued"/>
    <x v="1"/>
    <n v="882.13"/>
    <x v="3"/>
    <x v="2"/>
  </r>
  <r>
    <n v="3"/>
    <x v="1"/>
    <s v="Sales invoice issued"/>
    <x v="1"/>
    <n v="66.150000000000006"/>
    <x v="4"/>
    <x v="3"/>
  </r>
  <r>
    <n v="4"/>
    <x v="2"/>
    <s v="Sales invoice issued"/>
    <x v="4"/>
    <n v="0"/>
    <x v="2"/>
    <x v="0"/>
  </r>
  <r>
    <n v="4"/>
    <x v="2"/>
    <s v="Sales invoice issued"/>
    <x v="1"/>
    <n v="460.46"/>
    <x v="3"/>
    <x v="2"/>
  </r>
  <r>
    <n v="4"/>
    <x v="2"/>
    <s v="Sales invoice issued"/>
    <x v="1"/>
    <n v="34.53"/>
    <x v="4"/>
    <x v="3"/>
  </r>
  <r>
    <n v="5"/>
    <x v="3"/>
    <s v="Payroll processed"/>
    <x v="5"/>
    <n v="0"/>
    <x v="5"/>
    <x v="4"/>
  </r>
  <r>
    <n v="5"/>
    <x v="3"/>
    <s v="Payroll processed"/>
    <x v="6"/>
    <n v="0"/>
    <x v="6"/>
    <x v="4"/>
  </r>
  <r>
    <n v="5"/>
    <x v="3"/>
    <s v="Payroll processed"/>
    <x v="1"/>
    <n v="17584.14"/>
    <x v="0"/>
    <x v="0"/>
  </r>
  <r>
    <n v="5"/>
    <x v="3"/>
    <s v="Payroll processed"/>
    <x v="1"/>
    <n v="3870.65"/>
    <x v="7"/>
    <x v="3"/>
  </r>
  <r>
    <n v="5"/>
    <x v="3"/>
    <s v="Payroll processed"/>
    <x v="1"/>
    <n v="858.2"/>
    <x v="8"/>
    <x v="3"/>
  </r>
  <r>
    <n v="6"/>
    <x v="4"/>
    <s v="Sales invoice issued"/>
    <x v="7"/>
    <n v="0"/>
    <x v="2"/>
    <x v="0"/>
  </r>
  <r>
    <n v="6"/>
    <x v="4"/>
    <s v="Sales invoice issued"/>
    <x v="1"/>
    <n v="1714.55"/>
    <x v="3"/>
    <x v="2"/>
  </r>
  <r>
    <n v="6"/>
    <x v="4"/>
    <s v="Sales invoice issued"/>
    <x v="1"/>
    <n v="128.59"/>
    <x v="4"/>
    <x v="3"/>
  </r>
  <r>
    <n v="7"/>
    <x v="4"/>
    <s v="Sales invoice issued"/>
    <x v="8"/>
    <n v="0"/>
    <x v="2"/>
    <x v="0"/>
  </r>
  <r>
    <n v="7"/>
    <x v="4"/>
    <s v="Sales invoice issued"/>
    <x v="1"/>
    <n v="1163.81"/>
    <x v="3"/>
    <x v="2"/>
  </r>
  <r>
    <n v="7"/>
    <x v="4"/>
    <s v="Sales invoice issued"/>
    <x v="1"/>
    <n v="87.29"/>
    <x v="4"/>
    <x v="3"/>
  </r>
  <r>
    <n v="8"/>
    <x v="5"/>
    <s v="Sales invoice issued"/>
    <x v="9"/>
    <n v="0"/>
    <x v="2"/>
    <x v="0"/>
  </r>
  <r>
    <n v="8"/>
    <x v="5"/>
    <s v="Sales invoice issued"/>
    <x v="1"/>
    <n v="331.68"/>
    <x v="3"/>
    <x v="2"/>
  </r>
  <r>
    <n v="8"/>
    <x v="5"/>
    <s v="Sales invoice issued"/>
    <x v="1"/>
    <n v="24.87"/>
    <x v="4"/>
    <x v="3"/>
  </r>
  <r>
    <n v="9"/>
    <x v="5"/>
    <s v="Sales invoice issued"/>
    <x v="10"/>
    <n v="0"/>
    <x v="2"/>
    <x v="0"/>
  </r>
  <r>
    <n v="9"/>
    <x v="5"/>
    <s v="Sales invoice issued"/>
    <x v="1"/>
    <n v="1424.84"/>
    <x v="3"/>
    <x v="2"/>
  </r>
  <r>
    <n v="9"/>
    <x v="5"/>
    <s v="Sales invoice issued"/>
    <x v="1"/>
    <n v="106.86"/>
    <x v="4"/>
    <x v="3"/>
  </r>
  <r>
    <n v="10"/>
    <x v="6"/>
    <s v="Sales invoice issued"/>
    <x v="11"/>
    <n v="0"/>
    <x v="2"/>
    <x v="0"/>
  </r>
  <r>
    <n v="10"/>
    <x v="6"/>
    <s v="Sales invoice issued"/>
    <x v="1"/>
    <n v="5278.57"/>
    <x v="3"/>
    <x v="2"/>
  </r>
  <r>
    <n v="10"/>
    <x v="6"/>
    <s v="Sales invoice issued"/>
    <x v="1"/>
    <n v="395.89"/>
    <x v="4"/>
    <x v="3"/>
  </r>
  <r>
    <n v="11"/>
    <x v="6"/>
    <s v="Sales invoice issued"/>
    <x v="12"/>
    <n v="0"/>
    <x v="2"/>
    <x v="0"/>
  </r>
  <r>
    <n v="11"/>
    <x v="6"/>
    <s v="Sales invoice issued"/>
    <x v="1"/>
    <n v="1502.83"/>
    <x v="3"/>
    <x v="2"/>
  </r>
  <r>
    <n v="11"/>
    <x v="6"/>
    <s v="Sales invoice issued"/>
    <x v="1"/>
    <n v="112.72"/>
    <x v="4"/>
    <x v="3"/>
  </r>
  <r>
    <n v="12"/>
    <x v="7"/>
    <s v="Sales invoice issued"/>
    <x v="13"/>
    <n v="0"/>
    <x v="2"/>
    <x v="0"/>
  </r>
  <r>
    <n v="12"/>
    <x v="7"/>
    <s v="Sales invoice issued"/>
    <x v="1"/>
    <n v="3887.42"/>
    <x v="3"/>
    <x v="2"/>
  </r>
  <r>
    <n v="12"/>
    <x v="7"/>
    <s v="Sales invoice issued"/>
    <x v="1"/>
    <n v="291.56"/>
    <x v="4"/>
    <x v="3"/>
  </r>
  <r>
    <n v="13"/>
    <x v="7"/>
    <s v="Sales invoice issued"/>
    <x v="14"/>
    <n v="0"/>
    <x v="2"/>
    <x v="0"/>
  </r>
  <r>
    <n v="13"/>
    <x v="7"/>
    <s v="Sales invoice issued"/>
    <x v="1"/>
    <n v="1828.91"/>
    <x v="3"/>
    <x v="2"/>
  </r>
  <r>
    <n v="13"/>
    <x v="7"/>
    <s v="Sales invoice issued"/>
    <x v="1"/>
    <n v="137.16"/>
    <x v="4"/>
    <x v="3"/>
  </r>
  <r>
    <n v="14"/>
    <x v="8"/>
    <s v="Sales invoice issued"/>
    <x v="15"/>
    <n v="0"/>
    <x v="2"/>
    <x v="0"/>
  </r>
  <r>
    <n v="14"/>
    <x v="8"/>
    <s v="Sales invoice issued"/>
    <x v="1"/>
    <n v="1315.3"/>
    <x v="3"/>
    <x v="2"/>
  </r>
  <r>
    <n v="14"/>
    <x v="8"/>
    <s v="Sales invoice issued"/>
    <x v="1"/>
    <n v="98.64"/>
    <x v="4"/>
    <x v="3"/>
  </r>
  <r>
    <n v="15"/>
    <x v="8"/>
    <s v="Sales invoice issued"/>
    <x v="16"/>
    <n v="0"/>
    <x v="2"/>
    <x v="0"/>
  </r>
  <r>
    <n v="15"/>
    <x v="8"/>
    <s v="Sales invoice issued"/>
    <x v="1"/>
    <n v="998.52"/>
    <x v="3"/>
    <x v="2"/>
  </r>
  <r>
    <n v="15"/>
    <x v="8"/>
    <s v="Sales invoice issued"/>
    <x v="1"/>
    <n v="74.89"/>
    <x v="4"/>
    <x v="3"/>
  </r>
  <r>
    <n v="16"/>
    <x v="8"/>
    <s v="Sales invoice issued"/>
    <x v="17"/>
    <n v="0"/>
    <x v="2"/>
    <x v="0"/>
  </r>
  <r>
    <n v="16"/>
    <x v="8"/>
    <s v="Sales invoice issued"/>
    <x v="1"/>
    <n v="1974.27"/>
    <x v="3"/>
    <x v="2"/>
  </r>
  <r>
    <n v="16"/>
    <x v="8"/>
    <s v="Sales invoice issued"/>
    <x v="1"/>
    <n v="148.08000000000001"/>
    <x v="4"/>
    <x v="3"/>
  </r>
  <r>
    <n v="17"/>
    <x v="9"/>
    <s v="Sales invoice issued"/>
    <x v="18"/>
    <n v="0"/>
    <x v="2"/>
    <x v="0"/>
  </r>
  <r>
    <n v="17"/>
    <x v="9"/>
    <s v="Sales invoice issued"/>
    <x v="1"/>
    <n v="942.23"/>
    <x v="3"/>
    <x v="2"/>
  </r>
  <r>
    <n v="17"/>
    <x v="9"/>
    <s v="Sales invoice issued"/>
    <x v="1"/>
    <n v="70.66"/>
    <x v="4"/>
    <x v="3"/>
  </r>
  <r>
    <n v="18"/>
    <x v="9"/>
    <s v="Sales invoice issued"/>
    <x v="19"/>
    <n v="0"/>
    <x v="2"/>
    <x v="0"/>
  </r>
  <r>
    <n v="18"/>
    <x v="9"/>
    <s v="Sales invoice issued"/>
    <x v="1"/>
    <n v="1618.41"/>
    <x v="3"/>
    <x v="2"/>
  </r>
  <r>
    <n v="18"/>
    <x v="9"/>
    <s v="Sales invoice issued"/>
    <x v="1"/>
    <n v="121.38"/>
    <x v="4"/>
    <x v="3"/>
  </r>
  <r>
    <n v="19"/>
    <x v="9"/>
    <s v="Customer payment received"/>
    <x v="15"/>
    <n v="0"/>
    <x v="0"/>
    <x v="0"/>
  </r>
  <r>
    <n v="19"/>
    <x v="9"/>
    <s v="Customer payment received"/>
    <x v="1"/>
    <n v="1413.94"/>
    <x v="2"/>
    <x v="0"/>
  </r>
  <r>
    <n v="20"/>
    <x v="10"/>
    <s v="Sales invoice issued"/>
    <x v="20"/>
    <n v="0"/>
    <x v="2"/>
    <x v="0"/>
  </r>
  <r>
    <n v="20"/>
    <x v="10"/>
    <s v="Sales invoice issued"/>
    <x v="1"/>
    <n v="649.66"/>
    <x v="3"/>
    <x v="2"/>
  </r>
  <r>
    <n v="20"/>
    <x v="10"/>
    <s v="Sales invoice issued"/>
    <x v="1"/>
    <n v="48.72"/>
    <x v="4"/>
    <x v="3"/>
  </r>
  <r>
    <n v="21"/>
    <x v="10"/>
    <s v="Customer payment received"/>
    <x v="14"/>
    <n v="0"/>
    <x v="0"/>
    <x v="0"/>
  </r>
  <r>
    <n v="21"/>
    <x v="10"/>
    <s v="Customer payment received"/>
    <x v="1"/>
    <n v="1966.07"/>
    <x v="2"/>
    <x v="0"/>
  </r>
  <r>
    <n v="22"/>
    <x v="10"/>
    <s v="Supplier invoice received"/>
    <x v="21"/>
    <n v="0"/>
    <x v="9"/>
    <x v="4"/>
  </r>
  <r>
    <n v="22"/>
    <x v="10"/>
    <s v="Supplier invoice received"/>
    <x v="22"/>
    <n v="0"/>
    <x v="10"/>
    <x v="0"/>
  </r>
  <r>
    <n v="22"/>
    <x v="10"/>
    <s v="Supplier invoice received"/>
    <x v="1"/>
    <n v="3528.97"/>
    <x v="11"/>
    <x v="3"/>
  </r>
  <r>
    <n v="23"/>
    <x v="11"/>
    <s v="Sales invoice issued"/>
    <x v="23"/>
    <n v="0"/>
    <x v="2"/>
    <x v="0"/>
  </r>
  <r>
    <n v="23"/>
    <x v="11"/>
    <s v="Sales invoice issued"/>
    <x v="1"/>
    <n v="4382.75"/>
    <x v="3"/>
    <x v="2"/>
  </r>
  <r>
    <n v="23"/>
    <x v="11"/>
    <s v="Sales invoice issued"/>
    <x v="1"/>
    <n v="328.7"/>
    <x v="4"/>
    <x v="3"/>
  </r>
  <r>
    <n v="24"/>
    <x v="11"/>
    <s v="Sales invoice issued"/>
    <x v="24"/>
    <n v="0"/>
    <x v="2"/>
    <x v="0"/>
  </r>
  <r>
    <n v="24"/>
    <x v="11"/>
    <s v="Sales invoice issued"/>
    <x v="1"/>
    <n v="827.5"/>
    <x v="3"/>
    <x v="2"/>
  </r>
  <r>
    <n v="24"/>
    <x v="11"/>
    <s v="Sales invoice issued"/>
    <x v="1"/>
    <n v="62.07"/>
    <x v="4"/>
    <x v="3"/>
  </r>
  <r>
    <n v="25"/>
    <x v="11"/>
    <s v="Sales invoice issued"/>
    <x v="25"/>
    <n v="0"/>
    <x v="2"/>
    <x v="0"/>
  </r>
  <r>
    <n v="25"/>
    <x v="11"/>
    <s v="Sales invoice issued"/>
    <x v="1"/>
    <n v="538.49"/>
    <x v="3"/>
    <x v="2"/>
  </r>
  <r>
    <n v="25"/>
    <x v="11"/>
    <s v="Sales invoice issued"/>
    <x v="1"/>
    <n v="40.39"/>
    <x v="4"/>
    <x v="3"/>
  </r>
  <r>
    <n v="26"/>
    <x v="12"/>
    <s v="Sales invoice issued"/>
    <x v="26"/>
    <n v="0"/>
    <x v="2"/>
    <x v="0"/>
  </r>
  <r>
    <n v="26"/>
    <x v="12"/>
    <s v="Sales invoice issued"/>
    <x v="1"/>
    <n v="1559.06"/>
    <x v="3"/>
    <x v="2"/>
  </r>
  <r>
    <n v="26"/>
    <x v="12"/>
    <s v="Sales invoice issued"/>
    <x v="1"/>
    <n v="116.93"/>
    <x v="4"/>
    <x v="3"/>
  </r>
  <r>
    <n v="27"/>
    <x v="12"/>
    <s v="Sales invoice issued"/>
    <x v="27"/>
    <n v="0"/>
    <x v="2"/>
    <x v="0"/>
  </r>
  <r>
    <n v="27"/>
    <x v="12"/>
    <s v="Sales invoice issued"/>
    <x v="1"/>
    <n v="802.76"/>
    <x v="3"/>
    <x v="2"/>
  </r>
  <r>
    <n v="27"/>
    <x v="12"/>
    <s v="Sales invoice issued"/>
    <x v="1"/>
    <n v="60.21"/>
    <x v="4"/>
    <x v="3"/>
  </r>
  <r>
    <n v="28"/>
    <x v="12"/>
    <s v="Customer payment received"/>
    <x v="13"/>
    <n v="0"/>
    <x v="0"/>
    <x v="0"/>
  </r>
  <r>
    <n v="28"/>
    <x v="12"/>
    <s v="Customer payment received"/>
    <x v="1"/>
    <n v="4178.9799999999996"/>
    <x v="2"/>
    <x v="0"/>
  </r>
  <r>
    <n v="29"/>
    <x v="13"/>
    <s v="Payroll processed"/>
    <x v="28"/>
    <n v="0"/>
    <x v="5"/>
    <x v="4"/>
  </r>
  <r>
    <n v="29"/>
    <x v="13"/>
    <s v="Payroll processed"/>
    <x v="29"/>
    <n v="0"/>
    <x v="6"/>
    <x v="4"/>
  </r>
  <r>
    <n v="29"/>
    <x v="13"/>
    <s v="Payroll processed"/>
    <x v="1"/>
    <n v="17437.03"/>
    <x v="0"/>
    <x v="0"/>
  </r>
  <r>
    <n v="29"/>
    <x v="13"/>
    <s v="Payroll processed"/>
    <x v="1"/>
    <n v="3870.65"/>
    <x v="7"/>
    <x v="3"/>
  </r>
  <r>
    <n v="29"/>
    <x v="13"/>
    <s v="Payroll processed"/>
    <x v="1"/>
    <n v="852.32"/>
    <x v="8"/>
    <x v="3"/>
  </r>
  <r>
    <n v="30"/>
    <x v="13"/>
    <s v="Sales invoice issued"/>
    <x v="30"/>
    <n v="0"/>
    <x v="2"/>
    <x v="0"/>
  </r>
  <r>
    <n v="30"/>
    <x v="13"/>
    <s v="Sales invoice issued"/>
    <x v="1"/>
    <n v="300.69"/>
    <x v="3"/>
    <x v="2"/>
  </r>
  <r>
    <n v="30"/>
    <x v="13"/>
    <s v="Sales invoice issued"/>
    <x v="1"/>
    <n v="22.55"/>
    <x v="4"/>
    <x v="3"/>
  </r>
  <r>
    <n v="31"/>
    <x v="13"/>
    <s v="Sales invoice issued"/>
    <x v="31"/>
    <n v="0"/>
    <x v="2"/>
    <x v="0"/>
  </r>
  <r>
    <n v="31"/>
    <x v="13"/>
    <s v="Sales invoice issued"/>
    <x v="1"/>
    <n v="795.64"/>
    <x v="3"/>
    <x v="2"/>
  </r>
  <r>
    <n v="31"/>
    <x v="13"/>
    <s v="Sales invoice issued"/>
    <x v="1"/>
    <n v="59.67"/>
    <x v="4"/>
    <x v="3"/>
  </r>
  <r>
    <n v="32"/>
    <x v="13"/>
    <s v="Customer payment received"/>
    <x v="7"/>
    <n v="0"/>
    <x v="0"/>
    <x v="0"/>
  </r>
  <r>
    <n v="32"/>
    <x v="13"/>
    <s v="Customer payment received"/>
    <x v="1"/>
    <n v="1843.14"/>
    <x v="2"/>
    <x v="0"/>
  </r>
  <r>
    <n v="33"/>
    <x v="13"/>
    <s v="Customer payment received"/>
    <x v="9"/>
    <n v="0"/>
    <x v="0"/>
    <x v="0"/>
  </r>
  <r>
    <n v="33"/>
    <x v="13"/>
    <s v="Customer payment received"/>
    <x v="1"/>
    <n v="356.55"/>
    <x v="2"/>
    <x v="0"/>
  </r>
  <r>
    <n v="34"/>
    <x v="13"/>
    <s v="Supplier payment made"/>
    <x v="32"/>
    <n v="0"/>
    <x v="11"/>
    <x v="3"/>
  </r>
  <r>
    <n v="34"/>
    <x v="13"/>
    <s v="Supplier payment made"/>
    <x v="1"/>
    <n v="3528.97"/>
    <x v="0"/>
    <x v="0"/>
  </r>
  <r>
    <n v="35"/>
    <x v="14"/>
    <s v="Sales invoice issued"/>
    <x v="33"/>
    <n v="0"/>
    <x v="2"/>
    <x v="0"/>
  </r>
  <r>
    <n v="35"/>
    <x v="14"/>
    <s v="Sales invoice issued"/>
    <x v="1"/>
    <n v="1252.04"/>
    <x v="3"/>
    <x v="2"/>
  </r>
  <r>
    <n v="35"/>
    <x v="14"/>
    <s v="Sales invoice issued"/>
    <x v="1"/>
    <n v="93.9"/>
    <x v="4"/>
    <x v="3"/>
  </r>
  <r>
    <n v="36"/>
    <x v="14"/>
    <s v="Sales invoice issued"/>
    <x v="34"/>
    <n v="0"/>
    <x v="2"/>
    <x v="0"/>
  </r>
  <r>
    <n v="36"/>
    <x v="14"/>
    <s v="Sales invoice issued"/>
    <x v="1"/>
    <n v="100.48"/>
    <x v="3"/>
    <x v="2"/>
  </r>
  <r>
    <n v="36"/>
    <x v="14"/>
    <s v="Sales invoice issued"/>
    <x v="1"/>
    <n v="7.54"/>
    <x v="4"/>
    <x v="3"/>
  </r>
  <r>
    <n v="37"/>
    <x v="14"/>
    <s v="Supplier invoice received"/>
    <x v="35"/>
    <n v="0"/>
    <x v="9"/>
    <x v="4"/>
  </r>
  <r>
    <n v="37"/>
    <x v="14"/>
    <s v="Supplier invoice received"/>
    <x v="36"/>
    <n v="0"/>
    <x v="10"/>
    <x v="0"/>
  </r>
  <r>
    <n v="37"/>
    <x v="14"/>
    <s v="Supplier invoice received"/>
    <x v="1"/>
    <n v="1023.42"/>
    <x v="11"/>
    <x v="3"/>
  </r>
  <r>
    <n v="38"/>
    <x v="15"/>
    <s v="Sales invoice issued"/>
    <x v="37"/>
    <n v="0"/>
    <x v="2"/>
    <x v="0"/>
  </r>
  <r>
    <n v="38"/>
    <x v="15"/>
    <s v="Sales invoice issued"/>
    <x v="1"/>
    <n v="3467.13"/>
    <x v="3"/>
    <x v="2"/>
  </r>
  <r>
    <n v="38"/>
    <x v="15"/>
    <s v="Sales invoice issued"/>
    <x v="1"/>
    <n v="260.02999999999997"/>
    <x v="4"/>
    <x v="3"/>
  </r>
  <r>
    <n v="39"/>
    <x v="15"/>
    <s v="Sales invoice issued"/>
    <x v="38"/>
    <n v="0"/>
    <x v="2"/>
    <x v="0"/>
  </r>
  <r>
    <n v="39"/>
    <x v="15"/>
    <s v="Sales invoice issued"/>
    <x v="1"/>
    <n v="2381"/>
    <x v="3"/>
    <x v="2"/>
  </r>
  <r>
    <n v="39"/>
    <x v="15"/>
    <s v="Sales invoice issued"/>
    <x v="1"/>
    <n v="178.57"/>
    <x v="4"/>
    <x v="3"/>
  </r>
  <r>
    <n v="40"/>
    <x v="15"/>
    <s v="Sales invoice issued"/>
    <x v="39"/>
    <n v="0"/>
    <x v="2"/>
    <x v="0"/>
  </r>
  <r>
    <n v="40"/>
    <x v="15"/>
    <s v="Sales invoice issued"/>
    <x v="1"/>
    <n v="2344.64"/>
    <x v="3"/>
    <x v="2"/>
  </r>
  <r>
    <n v="40"/>
    <x v="15"/>
    <s v="Sales invoice issued"/>
    <x v="1"/>
    <n v="175.85"/>
    <x v="4"/>
    <x v="3"/>
  </r>
  <r>
    <n v="41"/>
    <x v="15"/>
    <s v="Sales invoice issued"/>
    <x v="40"/>
    <n v="0"/>
    <x v="2"/>
    <x v="0"/>
  </r>
  <r>
    <n v="41"/>
    <x v="15"/>
    <s v="Sales invoice issued"/>
    <x v="1"/>
    <n v="298.8"/>
    <x v="3"/>
    <x v="2"/>
  </r>
  <r>
    <n v="41"/>
    <x v="15"/>
    <s v="Sales invoice issued"/>
    <x v="1"/>
    <n v="22.41"/>
    <x v="4"/>
    <x v="3"/>
  </r>
  <r>
    <n v="42"/>
    <x v="16"/>
    <s v="Sales invoice issued"/>
    <x v="41"/>
    <n v="0"/>
    <x v="2"/>
    <x v="0"/>
  </r>
  <r>
    <n v="42"/>
    <x v="16"/>
    <s v="Sales invoice issued"/>
    <x v="1"/>
    <n v="1898.79"/>
    <x v="3"/>
    <x v="2"/>
  </r>
  <r>
    <n v="42"/>
    <x v="16"/>
    <s v="Sales invoice issued"/>
    <x v="1"/>
    <n v="142.41"/>
    <x v="4"/>
    <x v="3"/>
  </r>
  <r>
    <n v="43"/>
    <x v="16"/>
    <s v="Sales invoice issued"/>
    <x v="42"/>
    <n v="0"/>
    <x v="2"/>
    <x v="0"/>
  </r>
  <r>
    <n v="43"/>
    <x v="16"/>
    <s v="Sales invoice issued"/>
    <x v="1"/>
    <n v="1748.62"/>
    <x v="3"/>
    <x v="2"/>
  </r>
  <r>
    <n v="43"/>
    <x v="16"/>
    <s v="Sales invoice issued"/>
    <x v="1"/>
    <n v="131.13999999999999"/>
    <x v="4"/>
    <x v="3"/>
  </r>
  <r>
    <n v="44"/>
    <x v="16"/>
    <s v="Customer payment received"/>
    <x v="23"/>
    <n v="0"/>
    <x v="0"/>
    <x v="0"/>
  </r>
  <r>
    <n v="44"/>
    <x v="16"/>
    <s v="Customer payment received"/>
    <x v="1"/>
    <n v="4711.45"/>
    <x v="2"/>
    <x v="0"/>
  </r>
  <r>
    <n v="45"/>
    <x v="16"/>
    <s v="Supplier invoice received"/>
    <x v="43"/>
    <n v="0"/>
    <x v="9"/>
    <x v="4"/>
  </r>
  <r>
    <n v="45"/>
    <x v="16"/>
    <s v="Supplier invoice received"/>
    <x v="44"/>
    <n v="0"/>
    <x v="10"/>
    <x v="0"/>
  </r>
  <r>
    <n v="45"/>
    <x v="16"/>
    <s v="Supplier invoice received"/>
    <x v="1"/>
    <n v="2504.23"/>
    <x v="11"/>
    <x v="3"/>
  </r>
  <r>
    <n v="46"/>
    <x v="16"/>
    <s v="Supplier payment made"/>
    <x v="45"/>
    <n v="0"/>
    <x v="11"/>
    <x v="3"/>
  </r>
  <r>
    <n v="46"/>
    <x v="16"/>
    <s v="Supplier payment made"/>
    <x v="1"/>
    <n v="1023.42"/>
    <x v="0"/>
    <x v="0"/>
  </r>
  <r>
    <n v="47"/>
    <x v="17"/>
    <s v="Customer payment received"/>
    <x v="20"/>
    <n v="0"/>
    <x v="0"/>
    <x v="0"/>
  </r>
  <r>
    <n v="47"/>
    <x v="17"/>
    <s v="Customer payment received"/>
    <x v="1"/>
    <n v="698.38"/>
    <x v="2"/>
    <x v="0"/>
  </r>
  <r>
    <n v="48"/>
    <x v="17"/>
    <s v="Customer payment received"/>
    <x v="27"/>
    <n v="0"/>
    <x v="0"/>
    <x v="0"/>
  </r>
  <r>
    <n v="48"/>
    <x v="17"/>
    <s v="Customer payment received"/>
    <x v="1"/>
    <n v="862.97"/>
    <x v="2"/>
    <x v="0"/>
  </r>
  <r>
    <n v="49"/>
    <x v="17"/>
    <s v="Customer payment received"/>
    <x v="30"/>
    <n v="0"/>
    <x v="0"/>
    <x v="0"/>
  </r>
  <r>
    <n v="49"/>
    <x v="17"/>
    <s v="Customer payment received"/>
    <x v="1"/>
    <n v="323.24"/>
    <x v="2"/>
    <x v="0"/>
  </r>
  <r>
    <n v="50"/>
    <x v="18"/>
    <s v="Sales invoice issued"/>
    <x v="46"/>
    <n v="0"/>
    <x v="2"/>
    <x v="0"/>
  </r>
  <r>
    <n v="50"/>
    <x v="18"/>
    <s v="Sales invoice issued"/>
    <x v="1"/>
    <n v="672.8"/>
    <x v="3"/>
    <x v="2"/>
  </r>
  <r>
    <n v="50"/>
    <x v="18"/>
    <s v="Sales invoice issued"/>
    <x v="1"/>
    <n v="50.45"/>
    <x v="4"/>
    <x v="3"/>
  </r>
  <r>
    <n v="51"/>
    <x v="18"/>
    <s v="Customer payment received"/>
    <x v="46"/>
    <n v="0"/>
    <x v="0"/>
    <x v="0"/>
  </r>
  <r>
    <n v="51"/>
    <x v="18"/>
    <s v="Customer payment received"/>
    <x v="1"/>
    <n v="723.25"/>
    <x v="2"/>
    <x v="0"/>
  </r>
  <r>
    <n v="52"/>
    <x v="19"/>
    <s v="Sales invoice issued"/>
    <x v="47"/>
    <n v="0"/>
    <x v="2"/>
    <x v="0"/>
  </r>
  <r>
    <n v="52"/>
    <x v="19"/>
    <s v="Sales invoice issued"/>
    <x v="1"/>
    <n v="4206.7299999999996"/>
    <x v="3"/>
    <x v="2"/>
  </r>
  <r>
    <n v="52"/>
    <x v="19"/>
    <s v="Sales invoice issued"/>
    <x v="1"/>
    <n v="315.51"/>
    <x v="4"/>
    <x v="3"/>
  </r>
  <r>
    <n v="53"/>
    <x v="19"/>
    <s v="Sales invoice issued"/>
    <x v="48"/>
    <n v="0"/>
    <x v="2"/>
    <x v="0"/>
  </r>
  <r>
    <n v="53"/>
    <x v="19"/>
    <s v="Sales invoice issued"/>
    <x v="1"/>
    <n v="720.79"/>
    <x v="3"/>
    <x v="2"/>
  </r>
  <r>
    <n v="53"/>
    <x v="19"/>
    <s v="Sales invoice issued"/>
    <x v="1"/>
    <n v="54.05"/>
    <x v="4"/>
    <x v="3"/>
  </r>
  <r>
    <n v="54"/>
    <x v="19"/>
    <s v="Sales invoice issued"/>
    <x v="49"/>
    <n v="0"/>
    <x v="2"/>
    <x v="0"/>
  </r>
  <r>
    <n v="54"/>
    <x v="19"/>
    <s v="Sales invoice issued"/>
    <x v="1"/>
    <n v="2306.09"/>
    <x v="3"/>
    <x v="2"/>
  </r>
  <r>
    <n v="54"/>
    <x v="19"/>
    <s v="Sales invoice issued"/>
    <x v="1"/>
    <n v="172.95"/>
    <x v="4"/>
    <x v="3"/>
  </r>
  <r>
    <n v="55"/>
    <x v="19"/>
    <s v="Customer payment received"/>
    <x v="2"/>
    <n v="0"/>
    <x v="0"/>
    <x v="0"/>
  </r>
  <r>
    <n v="55"/>
    <x v="19"/>
    <s v="Customer payment received"/>
    <x v="1"/>
    <n v="1847.6"/>
    <x v="2"/>
    <x v="0"/>
  </r>
  <r>
    <n v="56"/>
    <x v="19"/>
    <s v="Customer payment received"/>
    <x v="33"/>
    <n v="0"/>
    <x v="0"/>
    <x v="0"/>
  </r>
  <r>
    <n v="56"/>
    <x v="19"/>
    <s v="Customer payment received"/>
    <x v="1"/>
    <n v="1345.94"/>
    <x v="2"/>
    <x v="0"/>
  </r>
  <r>
    <n v="57"/>
    <x v="19"/>
    <s v="Supplier invoice received"/>
    <x v="50"/>
    <n v="0"/>
    <x v="9"/>
    <x v="4"/>
  </r>
  <r>
    <n v="57"/>
    <x v="19"/>
    <s v="Supplier invoice received"/>
    <x v="51"/>
    <n v="0"/>
    <x v="10"/>
    <x v="0"/>
  </r>
  <r>
    <n v="57"/>
    <x v="19"/>
    <s v="Supplier invoice received"/>
    <x v="1"/>
    <n v="2918.17"/>
    <x v="11"/>
    <x v="3"/>
  </r>
  <r>
    <n v="58"/>
    <x v="19"/>
    <s v="Supplier payment made"/>
    <x v="52"/>
    <n v="0"/>
    <x v="11"/>
    <x v="3"/>
  </r>
  <r>
    <n v="58"/>
    <x v="19"/>
    <s v="Supplier payment made"/>
    <x v="1"/>
    <n v="2504.23"/>
    <x v="0"/>
    <x v="0"/>
  </r>
  <r>
    <n v="59"/>
    <x v="20"/>
    <s v="Sales invoice issued"/>
    <x v="53"/>
    <n v="0"/>
    <x v="2"/>
    <x v="0"/>
  </r>
  <r>
    <n v="59"/>
    <x v="20"/>
    <s v="Sales invoice issued"/>
    <x v="1"/>
    <n v="1118.4000000000001"/>
    <x v="3"/>
    <x v="2"/>
  </r>
  <r>
    <n v="59"/>
    <x v="20"/>
    <s v="Sales invoice issued"/>
    <x v="1"/>
    <n v="83.88"/>
    <x v="4"/>
    <x v="3"/>
  </r>
  <r>
    <n v="60"/>
    <x v="20"/>
    <s v="Customer payment received"/>
    <x v="3"/>
    <n v="0"/>
    <x v="0"/>
    <x v="0"/>
  </r>
  <r>
    <n v="60"/>
    <x v="20"/>
    <s v="Customer payment received"/>
    <x v="1"/>
    <n v="948.28"/>
    <x v="2"/>
    <x v="0"/>
  </r>
  <r>
    <n v="61"/>
    <x v="20"/>
    <s v="Supplier invoice received"/>
    <x v="54"/>
    <n v="0"/>
    <x v="9"/>
    <x v="4"/>
  </r>
  <r>
    <n v="61"/>
    <x v="20"/>
    <s v="Supplier invoice received"/>
    <x v="55"/>
    <n v="0"/>
    <x v="10"/>
    <x v="0"/>
  </r>
  <r>
    <n v="61"/>
    <x v="20"/>
    <s v="Supplier invoice received"/>
    <x v="1"/>
    <n v="9336.67"/>
    <x v="11"/>
    <x v="3"/>
  </r>
  <r>
    <n v="62"/>
    <x v="21"/>
    <s v="Customer payment received"/>
    <x v="18"/>
    <n v="0"/>
    <x v="0"/>
    <x v="0"/>
  </r>
  <r>
    <n v="62"/>
    <x v="21"/>
    <s v="Customer payment received"/>
    <x v="1"/>
    <n v="1012.89"/>
    <x v="2"/>
    <x v="0"/>
  </r>
  <r>
    <n v="63"/>
    <x v="21"/>
    <s v="Customer payment received"/>
    <x v="40"/>
    <n v="0"/>
    <x v="0"/>
    <x v="0"/>
  </r>
  <r>
    <n v="63"/>
    <x v="21"/>
    <s v="Customer payment received"/>
    <x v="1"/>
    <n v="321.20999999999998"/>
    <x v="2"/>
    <x v="0"/>
  </r>
  <r>
    <n v="64"/>
    <x v="21"/>
    <s v="Depreciation â€” POS System"/>
    <x v="56"/>
    <n v="0"/>
    <x v="12"/>
    <x v="4"/>
  </r>
  <r>
    <n v="64"/>
    <x v="21"/>
    <s v="Depreciation â€” POS System"/>
    <x v="1"/>
    <n v="93.61"/>
    <x v="13"/>
    <x v="0"/>
  </r>
  <r>
    <n v="65"/>
    <x v="21"/>
    <s v="Depreciation â€” Laptop x2"/>
    <x v="57"/>
    <n v="0"/>
    <x v="12"/>
    <x v="4"/>
  </r>
  <r>
    <n v="65"/>
    <x v="21"/>
    <s v="Depreciation â€” Laptop x2"/>
    <x v="1"/>
    <n v="76.86"/>
    <x v="13"/>
    <x v="0"/>
  </r>
  <r>
    <n v="66"/>
    <x v="21"/>
    <s v="Depreciation â€” Printer/Scanner"/>
    <x v="58"/>
    <n v="0"/>
    <x v="12"/>
    <x v="4"/>
  </r>
  <r>
    <n v="66"/>
    <x v="21"/>
    <s v="Depreciation â€” Printer/Scanner"/>
    <x v="1"/>
    <n v="20.03"/>
    <x v="13"/>
    <x v="0"/>
  </r>
  <r>
    <n v="67"/>
    <x v="21"/>
    <s v="Depreciation â€” Shop Shelving"/>
    <x v="59"/>
    <n v="0"/>
    <x v="12"/>
    <x v="4"/>
  </r>
  <r>
    <n v="67"/>
    <x v="21"/>
    <s v="Depreciation â€” Shop Shelving"/>
    <x v="1"/>
    <n v="86.89"/>
    <x v="14"/>
    <x v="0"/>
  </r>
  <r>
    <n v="68"/>
    <x v="21"/>
    <s v="Depreciation â€” Display Stands"/>
    <x v="60"/>
    <n v="0"/>
    <x v="12"/>
    <x v="4"/>
  </r>
  <r>
    <n v="68"/>
    <x v="21"/>
    <s v="Depreciation â€” Display Stands"/>
    <x v="1"/>
    <n v="76.8"/>
    <x v="14"/>
    <x v="0"/>
  </r>
  <r>
    <n v="69"/>
    <x v="21"/>
    <s v="Depreciation â€” Counter &amp; Checkout"/>
    <x v="61"/>
    <n v="0"/>
    <x v="12"/>
    <x v="4"/>
  </r>
  <r>
    <n v="69"/>
    <x v="21"/>
    <s v="Depreciation â€” Counter &amp; Checkout"/>
    <x v="1"/>
    <n v="48.28"/>
    <x v="14"/>
    <x v="0"/>
  </r>
  <r>
    <n v="70"/>
    <x v="21"/>
    <s v="Depreciation â€” Signage"/>
    <x v="62"/>
    <n v="0"/>
    <x v="12"/>
    <x v="4"/>
  </r>
  <r>
    <n v="70"/>
    <x v="21"/>
    <s v="Depreciation â€” Signage"/>
    <x v="1"/>
    <n v="53.21"/>
    <x v="14"/>
    <x v="0"/>
  </r>
  <r>
    <n v="71"/>
    <x v="21"/>
    <s v="Depreciation â€” Delivery Van"/>
    <x v="63"/>
    <n v="0"/>
    <x v="12"/>
    <x v="4"/>
  </r>
  <r>
    <n v="71"/>
    <x v="21"/>
    <s v="Depreciation â€” Delivery Van"/>
    <x v="1"/>
    <n v="232.19"/>
    <x v="15"/>
    <x v="0"/>
  </r>
  <r>
    <n v="72"/>
    <x v="21"/>
    <s v="Depreciation â€” Security System"/>
    <x v="64"/>
    <n v="0"/>
    <x v="12"/>
    <x v="4"/>
  </r>
  <r>
    <n v="72"/>
    <x v="21"/>
    <s v="Depreciation â€” Security System"/>
    <x v="1"/>
    <n v="43.85"/>
    <x v="13"/>
    <x v="0"/>
  </r>
  <r>
    <n v="73"/>
    <x v="22"/>
    <s v="Payroll processed"/>
    <x v="28"/>
    <n v="0"/>
    <x v="5"/>
    <x v="4"/>
  </r>
  <r>
    <n v="73"/>
    <x v="22"/>
    <s v="Payroll processed"/>
    <x v="29"/>
    <n v="0"/>
    <x v="6"/>
    <x v="4"/>
  </r>
  <r>
    <n v="73"/>
    <x v="22"/>
    <s v="Payroll processed"/>
    <x v="1"/>
    <n v="17437.03"/>
    <x v="0"/>
    <x v="0"/>
  </r>
  <r>
    <n v="73"/>
    <x v="22"/>
    <s v="Payroll processed"/>
    <x v="1"/>
    <n v="3870.65"/>
    <x v="7"/>
    <x v="3"/>
  </r>
  <r>
    <n v="73"/>
    <x v="22"/>
    <s v="Payroll processed"/>
    <x v="1"/>
    <n v="852.32"/>
    <x v="8"/>
    <x v="3"/>
  </r>
  <r>
    <n v="74"/>
    <x v="22"/>
    <s v="Sales invoice issued"/>
    <x v="65"/>
    <n v="0"/>
    <x v="2"/>
    <x v="0"/>
  </r>
  <r>
    <n v="74"/>
    <x v="22"/>
    <s v="Sales invoice issued"/>
    <x v="1"/>
    <n v="1093.73"/>
    <x v="3"/>
    <x v="2"/>
  </r>
  <r>
    <n v="74"/>
    <x v="22"/>
    <s v="Sales invoice issued"/>
    <x v="1"/>
    <n v="82.03"/>
    <x v="4"/>
    <x v="3"/>
  </r>
  <r>
    <n v="75"/>
    <x v="22"/>
    <s v="Sales invoice issued"/>
    <x v="66"/>
    <n v="0"/>
    <x v="2"/>
    <x v="0"/>
  </r>
  <r>
    <n v="75"/>
    <x v="22"/>
    <s v="Sales invoice issued"/>
    <x v="1"/>
    <n v="1165.3599999999999"/>
    <x v="3"/>
    <x v="2"/>
  </r>
  <r>
    <n v="75"/>
    <x v="22"/>
    <s v="Sales invoice issued"/>
    <x v="1"/>
    <n v="87.4"/>
    <x v="4"/>
    <x v="3"/>
  </r>
  <r>
    <n v="76"/>
    <x v="22"/>
    <s v="Sales invoice issued"/>
    <x v="67"/>
    <n v="0"/>
    <x v="2"/>
    <x v="0"/>
  </r>
  <r>
    <n v="76"/>
    <x v="22"/>
    <s v="Sales invoice issued"/>
    <x v="1"/>
    <n v="6207.27"/>
    <x v="3"/>
    <x v="2"/>
  </r>
  <r>
    <n v="76"/>
    <x v="22"/>
    <s v="Sales invoice issued"/>
    <x v="1"/>
    <n v="465.54"/>
    <x v="4"/>
    <x v="3"/>
  </r>
  <r>
    <n v="77"/>
    <x v="22"/>
    <s v="Sales invoice issued"/>
    <x v="68"/>
    <n v="0"/>
    <x v="2"/>
    <x v="0"/>
  </r>
  <r>
    <n v="77"/>
    <x v="22"/>
    <s v="Sales invoice issued"/>
    <x v="1"/>
    <n v="496.6"/>
    <x v="3"/>
    <x v="2"/>
  </r>
  <r>
    <n v="77"/>
    <x v="22"/>
    <s v="Sales invoice issued"/>
    <x v="1"/>
    <n v="37.25"/>
    <x v="4"/>
    <x v="3"/>
  </r>
  <r>
    <n v="78"/>
    <x v="22"/>
    <s v="Customer payment received"/>
    <x v="41"/>
    <n v="0"/>
    <x v="0"/>
    <x v="0"/>
  </r>
  <r>
    <n v="78"/>
    <x v="22"/>
    <s v="Customer payment received"/>
    <x v="1"/>
    <n v="2041.2"/>
    <x v="2"/>
    <x v="0"/>
  </r>
  <r>
    <n v="79"/>
    <x v="22"/>
    <s v="Customer payment received"/>
    <x v="65"/>
    <n v="0"/>
    <x v="0"/>
    <x v="0"/>
  </r>
  <r>
    <n v="79"/>
    <x v="22"/>
    <s v="Customer payment received"/>
    <x v="1"/>
    <n v="1175.76"/>
    <x v="2"/>
    <x v="0"/>
  </r>
  <r>
    <n v="80"/>
    <x v="22"/>
    <s v="Customer payment received"/>
    <x v="66"/>
    <n v="0"/>
    <x v="0"/>
    <x v="0"/>
  </r>
  <r>
    <n v="80"/>
    <x v="22"/>
    <s v="Customer payment received"/>
    <x v="1"/>
    <n v="1252.76"/>
    <x v="2"/>
    <x v="0"/>
  </r>
  <r>
    <n v="81"/>
    <x v="22"/>
    <s v="Customer payment received"/>
    <x v="67"/>
    <n v="0"/>
    <x v="0"/>
    <x v="0"/>
  </r>
  <r>
    <n v="81"/>
    <x v="22"/>
    <s v="Customer payment received"/>
    <x v="1"/>
    <n v="6672.81"/>
    <x v="2"/>
    <x v="0"/>
  </r>
  <r>
    <n v="82"/>
    <x v="23"/>
    <s v="Sales invoice issued"/>
    <x v="69"/>
    <n v="0"/>
    <x v="2"/>
    <x v="0"/>
  </r>
  <r>
    <n v="82"/>
    <x v="23"/>
    <s v="Sales invoice issued"/>
    <x v="1"/>
    <n v="996.83"/>
    <x v="3"/>
    <x v="2"/>
  </r>
  <r>
    <n v="82"/>
    <x v="23"/>
    <s v="Sales invoice issued"/>
    <x v="1"/>
    <n v="74.77"/>
    <x v="4"/>
    <x v="3"/>
  </r>
  <r>
    <n v="83"/>
    <x v="23"/>
    <s v="Customer payment received"/>
    <x v="42"/>
    <n v="0"/>
    <x v="0"/>
    <x v="0"/>
  </r>
  <r>
    <n v="83"/>
    <x v="23"/>
    <s v="Customer payment received"/>
    <x v="1"/>
    <n v="1879.76"/>
    <x v="2"/>
    <x v="0"/>
  </r>
  <r>
    <n v="84"/>
    <x v="24"/>
    <s v="Sales invoice issued"/>
    <x v="70"/>
    <n v="0"/>
    <x v="2"/>
    <x v="0"/>
  </r>
  <r>
    <n v="84"/>
    <x v="24"/>
    <s v="Sales invoice issued"/>
    <x v="1"/>
    <n v="1385.04"/>
    <x v="3"/>
    <x v="2"/>
  </r>
  <r>
    <n v="84"/>
    <x v="24"/>
    <s v="Sales invoice issued"/>
    <x v="1"/>
    <n v="103.88"/>
    <x v="4"/>
    <x v="3"/>
  </r>
  <r>
    <n v="85"/>
    <x v="24"/>
    <s v="Customer payment received"/>
    <x v="11"/>
    <n v="0"/>
    <x v="0"/>
    <x v="0"/>
  </r>
  <r>
    <n v="85"/>
    <x v="24"/>
    <s v="Customer payment received"/>
    <x v="1"/>
    <n v="5674.46"/>
    <x v="2"/>
    <x v="0"/>
  </r>
  <r>
    <n v="86"/>
    <x v="24"/>
    <s v="Customer payment received"/>
    <x v="16"/>
    <n v="0"/>
    <x v="0"/>
    <x v="0"/>
  </r>
  <r>
    <n v="86"/>
    <x v="24"/>
    <s v="Customer payment received"/>
    <x v="1"/>
    <n v="1073.4100000000001"/>
    <x v="2"/>
    <x v="0"/>
  </r>
  <r>
    <n v="87"/>
    <x v="24"/>
    <s v="Customer payment received"/>
    <x v="48"/>
    <n v="0"/>
    <x v="0"/>
    <x v="0"/>
  </r>
  <r>
    <n v="87"/>
    <x v="24"/>
    <s v="Customer payment received"/>
    <x v="1"/>
    <n v="774.84"/>
    <x v="2"/>
    <x v="0"/>
  </r>
  <r>
    <n v="88"/>
    <x v="25"/>
    <s v="Sales invoice issued"/>
    <x v="71"/>
    <n v="0"/>
    <x v="2"/>
    <x v="0"/>
  </r>
  <r>
    <n v="88"/>
    <x v="25"/>
    <s v="Sales invoice issued"/>
    <x v="1"/>
    <n v="3344.77"/>
    <x v="3"/>
    <x v="2"/>
  </r>
  <r>
    <n v="88"/>
    <x v="25"/>
    <s v="Sales invoice issued"/>
    <x v="1"/>
    <n v="250.86"/>
    <x v="4"/>
    <x v="3"/>
  </r>
  <r>
    <n v="89"/>
    <x v="25"/>
    <s v="Sales invoice issued"/>
    <x v="72"/>
    <n v="0"/>
    <x v="2"/>
    <x v="0"/>
  </r>
  <r>
    <n v="89"/>
    <x v="25"/>
    <s v="Sales invoice issued"/>
    <x v="1"/>
    <n v="301.69"/>
    <x v="3"/>
    <x v="2"/>
  </r>
  <r>
    <n v="89"/>
    <x v="25"/>
    <s v="Sales invoice issued"/>
    <x v="1"/>
    <n v="22.63"/>
    <x v="4"/>
    <x v="3"/>
  </r>
  <r>
    <n v="90"/>
    <x v="25"/>
    <s v="Customer payment received"/>
    <x v="53"/>
    <n v="0"/>
    <x v="0"/>
    <x v="0"/>
  </r>
  <r>
    <n v="90"/>
    <x v="25"/>
    <s v="Customer payment received"/>
    <x v="1"/>
    <n v="1202.28"/>
    <x v="2"/>
    <x v="0"/>
  </r>
  <r>
    <n v="91"/>
    <x v="26"/>
    <s v="Sales invoice issued"/>
    <x v="73"/>
    <n v="0"/>
    <x v="2"/>
    <x v="0"/>
  </r>
  <r>
    <n v="91"/>
    <x v="26"/>
    <s v="Sales invoice issued"/>
    <x v="1"/>
    <n v="3336.53"/>
    <x v="3"/>
    <x v="2"/>
  </r>
  <r>
    <n v="91"/>
    <x v="26"/>
    <s v="Sales invoice issued"/>
    <x v="1"/>
    <n v="250.24"/>
    <x v="4"/>
    <x v="3"/>
  </r>
  <r>
    <n v="92"/>
    <x v="26"/>
    <s v="Customer payment received"/>
    <x v="4"/>
    <n v="0"/>
    <x v="0"/>
    <x v="0"/>
  </r>
  <r>
    <n v="92"/>
    <x v="26"/>
    <s v="Customer payment received"/>
    <x v="1"/>
    <n v="494.99"/>
    <x v="2"/>
    <x v="0"/>
  </r>
  <r>
    <n v="93"/>
    <x v="26"/>
    <s v="Supplier payment made"/>
    <x v="74"/>
    <n v="0"/>
    <x v="11"/>
    <x v="3"/>
  </r>
  <r>
    <n v="93"/>
    <x v="26"/>
    <s v="Supplier payment made"/>
    <x v="1"/>
    <n v="9336.67"/>
    <x v="0"/>
    <x v="0"/>
  </r>
  <r>
    <n v="94"/>
    <x v="27"/>
    <s v="Sales invoice issued"/>
    <x v="75"/>
    <n v="0"/>
    <x v="2"/>
    <x v="0"/>
  </r>
  <r>
    <n v="94"/>
    <x v="27"/>
    <s v="Sales invoice issued"/>
    <x v="1"/>
    <n v="538.29999999999995"/>
    <x v="3"/>
    <x v="2"/>
  </r>
  <r>
    <n v="94"/>
    <x v="27"/>
    <s v="Sales invoice issued"/>
    <x v="1"/>
    <n v="40.369999999999997"/>
    <x v="4"/>
    <x v="3"/>
  </r>
  <r>
    <n v="95"/>
    <x v="27"/>
    <s v="Sales invoice issued"/>
    <x v="76"/>
    <n v="0"/>
    <x v="2"/>
    <x v="0"/>
  </r>
  <r>
    <n v="95"/>
    <x v="27"/>
    <s v="Sales invoice issued"/>
    <x v="1"/>
    <n v="413.08"/>
    <x v="3"/>
    <x v="2"/>
  </r>
  <r>
    <n v="95"/>
    <x v="27"/>
    <s v="Sales invoice issued"/>
    <x v="1"/>
    <n v="30.98"/>
    <x v="4"/>
    <x v="3"/>
  </r>
  <r>
    <n v="96"/>
    <x v="28"/>
    <s v="Customer payment received"/>
    <x v="10"/>
    <n v="0"/>
    <x v="0"/>
    <x v="0"/>
  </r>
  <r>
    <n v="96"/>
    <x v="28"/>
    <s v="Customer payment received"/>
    <x v="1"/>
    <n v="1531.7"/>
    <x v="2"/>
    <x v="0"/>
  </r>
  <r>
    <n v="97"/>
    <x v="29"/>
    <s v="Sales invoice issued"/>
    <x v="77"/>
    <n v="0"/>
    <x v="2"/>
    <x v="0"/>
  </r>
  <r>
    <n v="97"/>
    <x v="29"/>
    <s v="Sales invoice issued"/>
    <x v="1"/>
    <n v="623.79999999999995"/>
    <x v="3"/>
    <x v="2"/>
  </r>
  <r>
    <n v="97"/>
    <x v="29"/>
    <s v="Sales invoice issued"/>
    <x v="1"/>
    <n v="46.79"/>
    <x v="4"/>
    <x v="3"/>
  </r>
  <r>
    <n v="98"/>
    <x v="29"/>
    <s v="Sales invoice issued"/>
    <x v="78"/>
    <n v="0"/>
    <x v="2"/>
    <x v="0"/>
  </r>
  <r>
    <n v="98"/>
    <x v="29"/>
    <s v="Sales invoice issued"/>
    <x v="1"/>
    <n v="1602.26"/>
    <x v="3"/>
    <x v="2"/>
  </r>
  <r>
    <n v="98"/>
    <x v="29"/>
    <s v="Sales invoice issued"/>
    <x v="1"/>
    <n v="120.16"/>
    <x v="4"/>
    <x v="3"/>
  </r>
  <r>
    <n v="99"/>
    <x v="29"/>
    <s v="Sales invoice issued"/>
    <x v="79"/>
    <n v="0"/>
    <x v="2"/>
    <x v="0"/>
  </r>
  <r>
    <n v="99"/>
    <x v="29"/>
    <s v="Sales invoice issued"/>
    <x v="1"/>
    <n v="525.28"/>
    <x v="3"/>
    <x v="2"/>
  </r>
  <r>
    <n v="99"/>
    <x v="29"/>
    <s v="Sales invoice issued"/>
    <x v="1"/>
    <n v="39.4"/>
    <x v="4"/>
    <x v="3"/>
  </r>
  <r>
    <n v="100"/>
    <x v="29"/>
    <s v="Supplier invoice received"/>
    <x v="80"/>
    <n v="0"/>
    <x v="9"/>
    <x v="4"/>
  </r>
  <r>
    <n v="100"/>
    <x v="29"/>
    <s v="Supplier invoice received"/>
    <x v="81"/>
    <n v="0"/>
    <x v="10"/>
    <x v="0"/>
  </r>
  <r>
    <n v="100"/>
    <x v="29"/>
    <s v="Supplier invoice received"/>
    <x v="1"/>
    <n v="2182.41"/>
    <x v="11"/>
    <x v="3"/>
  </r>
  <r>
    <n v="101"/>
    <x v="29"/>
    <s v="Supplier payment made"/>
    <x v="82"/>
    <n v="0"/>
    <x v="11"/>
    <x v="3"/>
  </r>
  <r>
    <n v="101"/>
    <x v="29"/>
    <s v="Supplier payment made"/>
    <x v="1"/>
    <n v="2918.17"/>
    <x v="0"/>
    <x v="0"/>
  </r>
  <r>
    <n v="102"/>
    <x v="30"/>
    <s v="Sales invoice issued"/>
    <x v="83"/>
    <n v="0"/>
    <x v="2"/>
    <x v="0"/>
  </r>
  <r>
    <n v="102"/>
    <x v="30"/>
    <s v="Sales invoice issued"/>
    <x v="1"/>
    <n v="2157.15"/>
    <x v="3"/>
    <x v="2"/>
  </r>
  <r>
    <n v="102"/>
    <x v="30"/>
    <s v="Sales invoice issued"/>
    <x v="1"/>
    <n v="161.79"/>
    <x v="4"/>
    <x v="3"/>
  </r>
  <r>
    <n v="103"/>
    <x v="30"/>
    <s v="Sales invoice issued"/>
    <x v="84"/>
    <n v="0"/>
    <x v="2"/>
    <x v="0"/>
  </r>
  <r>
    <n v="103"/>
    <x v="30"/>
    <s v="Sales invoice issued"/>
    <x v="1"/>
    <n v="39.15"/>
    <x v="3"/>
    <x v="2"/>
  </r>
  <r>
    <n v="103"/>
    <x v="30"/>
    <s v="Sales invoice issued"/>
    <x v="1"/>
    <n v="2.94"/>
    <x v="4"/>
    <x v="3"/>
  </r>
  <r>
    <n v="104"/>
    <x v="30"/>
    <s v="Supplier invoice received"/>
    <x v="85"/>
    <n v="0"/>
    <x v="9"/>
    <x v="4"/>
  </r>
  <r>
    <n v="104"/>
    <x v="30"/>
    <s v="Supplier invoice received"/>
    <x v="86"/>
    <n v="0"/>
    <x v="10"/>
    <x v="0"/>
  </r>
  <r>
    <n v="104"/>
    <x v="30"/>
    <s v="Supplier invoice received"/>
    <x v="1"/>
    <n v="1766.46"/>
    <x v="11"/>
    <x v="3"/>
  </r>
  <r>
    <n v="105"/>
    <x v="30"/>
    <s v="Supplier payment made"/>
    <x v="87"/>
    <n v="0"/>
    <x v="11"/>
    <x v="3"/>
  </r>
  <r>
    <n v="105"/>
    <x v="30"/>
    <s v="Supplier payment made"/>
    <x v="1"/>
    <n v="2182.41"/>
    <x v="0"/>
    <x v="0"/>
  </r>
  <r>
    <n v="106"/>
    <x v="31"/>
    <s v="Sales invoice issued"/>
    <x v="88"/>
    <n v="0"/>
    <x v="2"/>
    <x v="0"/>
  </r>
  <r>
    <n v="106"/>
    <x v="31"/>
    <s v="Sales invoice issued"/>
    <x v="1"/>
    <n v="630.53"/>
    <x v="3"/>
    <x v="2"/>
  </r>
  <r>
    <n v="106"/>
    <x v="31"/>
    <s v="Sales invoice issued"/>
    <x v="1"/>
    <n v="47.3"/>
    <x v="4"/>
    <x v="3"/>
  </r>
  <r>
    <n v="107"/>
    <x v="31"/>
    <s v="Sales invoice issued"/>
    <x v="89"/>
    <n v="0"/>
    <x v="2"/>
    <x v="0"/>
  </r>
  <r>
    <n v="107"/>
    <x v="31"/>
    <s v="Sales invoice issued"/>
    <x v="1"/>
    <n v="1110.21"/>
    <x v="3"/>
    <x v="2"/>
  </r>
  <r>
    <n v="107"/>
    <x v="31"/>
    <s v="Sales invoice issued"/>
    <x v="1"/>
    <n v="83.27"/>
    <x v="4"/>
    <x v="3"/>
  </r>
  <r>
    <n v="108"/>
    <x v="31"/>
    <s v="Customer payment received"/>
    <x v="25"/>
    <n v="0"/>
    <x v="0"/>
    <x v="0"/>
  </r>
  <r>
    <n v="108"/>
    <x v="31"/>
    <s v="Customer payment received"/>
    <x v="1"/>
    <n v="578.88"/>
    <x v="2"/>
    <x v="0"/>
  </r>
  <r>
    <n v="109"/>
    <x v="32"/>
    <s v="Payroll processed"/>
    <x v="28"/>
    <n v="0"/>
    <x v="5"/>
    <x v="4"/>
  </r>
  <r>
    <n v="109"/>
    <x v="32"/>
    <s v="Payroll processed"/>
    <x v="29"/>
    <n v="0"/>
    <x v="6"/>
    <x v="4"/>
  </r>
  <r>
    <n v="109"/>
    <x v="32"/>
    <s v="Payroll processed"/>
    <x v="1"/>
    <n v="17437.03"/>
    <x v="0"/>
    <x v="0"/>
  </r>
  <r>
    <n v="109"/>
    <x v="32"/>
    <s v="Payroll processed"/>
    <x v="1"/>
    <n v="3870.65"/>
    <x v="7"/>
    <x v="3"/>
  </r>
  <r>
    <n v="109"/>
    <x v="32"/>
    <s v="Payroll processed"/>
    <x v="1"/>
    <n v="852.32"/>
    <x v="8"/>
    <x v="3"/>
  </r>
  <r>
    <n v="110"/>
    <x v="32"/>
    <s v="Sales invoice issued"/>
    <x v="90"/>
    <n v="0"/>
    <x v="2"/>
    <x v="0"/>
  </r>
  <r>
    <n v="110"/>
    <x v="32"/>
    <s v="Sales invoice issued"/>
    <x v="1"/>
    <n v="4267.6000000000004"/>
    <x v="3"/>
    <x v="2"/>
  </r>
  <r>
    <n v="110"/>
    <x v="32"/>
    <s v="Sales invoice issued"/>
    <x v="1"/>
    <n v="320.07"/>
    <x v="4"/>
    <x v="3"/>
  </r>
  <r>
    <n v="111"/>
    <x v="32"/>
    <s v="Sales invoice issued"/>
    <x v="91"/>
    <n v="0"/>
    <x v="2"/>
    <x v="0"/>
  </r>
  <r>
    <n v="111"/>
    <x v="32"/>
    <s v="Sales invoice issued"/>
    <x v="1"/>
    <n v="4300.79"/>
    <x v="3"/>
    <x v="2"/>
  </r>
  <r>
    <n v="111"/>
    <x v="32"/>
    <s v="Sales invoice issued"/>
    <x v="1"/>
    <n v="322.56"/>
    <x v="4"/>
    <x v="3"/>
  </r>
  <r>
    <n v="112"/>
    <x v="32"/>
    <s v="Customer payment received"/>
    <x v="92"/>
    <n v="0"/>
    <x v="0"/>
    <x v="0"/>
  </r>
  <r>
    <n v="112"/>
    <x v="32"/>
    <s v="Customer payment received"/>
    <x v="1"/>
    <n v="551.01"/>
    <x v="2"/>
    <x v="0"/>
  </r>
  <r>
    <n v="113"/>
    <x v="32"/>
    <s v="Customer payment received"/>
    <x v="73"/>
    <n v="0"/>
    <x v="0"/>
    <x v="0"/>
  </r>
  <r>
    <n v="113"/>
    <x v="32"/>
    <s v="Customer payment received"/>
    <x v="1"/>
    <n v="3586.77"/>
    <x v="2"/>
    <x v="0"/>
  </r>
  <r>
    <n v="114"/>
    <x v="33"/>
    <s v="Sales invoice issued"/>
    <x v="93"/>
    <n v="0"/>
    <x v="2"/>
    <x v="0"/>
  </r>
  <r>
    <n v="114"/>
    <x v="33"/>
    <s v="Sales invoice issued"/>
    <x v="1"/>
    <n v="3259.19"/>
    <x v="3"/>
    <x v="2"/>
  </r>
  <r>
    <n v="114"/>
    <x v="33"/>
    <s v="Sales invoice issued"/>
    <x v="1"/>
    <n v="244.45"/>
    <x v="4"/>
    <x v="3"/>
  </r>
  <r>
    <n v="115"/>
    <x v="33"/>
    <s v="Customer payment received"/>
    <x v="70"/>
    <n v="0"/>
    <x v="0"/>
    <x v="0"/>
  </r>
  <r>
    <n v="115"/>
    <x v="33"/>
    <s v="Customer payment received"/>
    <x v="1"/>
    <n v="1488.92"/>
    <x v="2"/>
    <x v="0"/>
  </r>
  <r>
    <n v="116"/>
    <x v="34"/>
    <s v="Sales invoice issued"/>
    <x v="94"/>
    <n v="0"/>
    <x v="2"/>
    <x v="0"/>
  </r>
  <r>
    <n v="116"/>
    <x v="34"/>
    <s v="Sales invoice issued"/>
    <x v="1"/>
    <n v="2246.91"/>
    <x v="3"/>
    <x v="2"/>
  </r>
  <r>
    <n v="116"/>
    <x v="34"/>
    <s v="Sales invoice issued"/>
    <x v="1"/>
    <n v="168.51"/>
    <x v="4"/>
    <x v="3"/>
  </r>
  <r>
    <n v="117"/>
    <x v="34"/>
    <s v="Customer payment received"/>
    <x v="79"/>
    <n v="0"/>
    <x v="0"/>
    <x v="0"/>
  </r>
  <r>
    <n v="117"/>
    <x v="34"/>
    <s v="Customer payment received"/>
    <x v="1"/>
    <n v="564.67999999999995"/>
    <x v="2"/>
    <x v="0"/>
  </r>
  <r>
    <n v="118"/>
    <x v="34"/>
    <s v="Supplier invoice received"/>
    <x v="95"/>
    <n v="0"/>
    <x v="9"/>
    <x v="4"/>
  </r>
  <r>
    <n v="118"/>
    <x v="34"/>
    <s v="Supplier invoice received"/>
    <x v="96"/>
    <n v="0"/>
    <x v="10"/>
    <x v="0"/>
  </r>
  <r>
    <n v="118"/>
    <x v="34"/>
    <s v="Supplier invoice received"/>
    <x v="1"/>
    <n v="862.91"/>
    <x v="11"/>
    <x v="3"/>
  </r>
  <r>
    <n v="119"/>
    <x v="35"/>
    <s v="Sales invoice issued"/>
    <x v="97"/>
    <n v="0"/>
    <x v="2"/>
    <x v="0"/>
  </r>
  <r>
    <n v="119"/>
    <x v="35"/>
    <s v="Sales invoice issued"/>
    <x v="1"/>
    <n v="893.48"/>
    <x v="3"/>
    <x v="2"/>
  </r>
  <r>
    <n v="119"/>
    <x v="35"/>
    <s v="Sales invoice issued"/>
    <x v="1"/>
    <n v="67.010000000000005"/>
    <x v="4"/>
    <x v="3"/>
  </r>
  <r>
    <n v="120"/>
    <x v="35"/>
    <s v="Sales invoice issued"/>
    <x v="98"/>
    <n v="0"/>
    <x v="2"/>
    <x v="0"/>
  </r>
  <r>
    <n v="120"/>
    <x v="35"/>
    <s v="Sales invoice issued"/>
    <x v="1"/>
    <n v="1038.78"/>
    <x v="3"/>
    <x v="2"/>
  </r>
  <r>
    <n v="120"/>
    <x v="35"/>
    <s v="Sales invoice issued"/>
    <x v="1"/>
    <n v="77.91"/>
    <x v="4"/>
    <x v="3"/>
  </r>
  <r>
    <n v="121"/>
    <x v="35"/>
    <s v="Sales invoice issued"/>
    <x v="99"/>
    <n v="0"/>
    <x v="2"/>
    <x v="0"/>
  </r>
  <r>
    <n v="121"/>
    <x v="35"/>
    <s v="Sales invoice issued"/>
    <x v="1"/>
    <n v="3010.62"/>
    <x v="3"/>
    <x v="2"/>
  </r>
  <r>
    <n v="121"/>
    <x v="35"/>
    <s v="Sales invoice issued"/>
    <x v="1"/>
    <n v="225.8"/>
    <x v="4"/>
    <x v="3"/>
  </r>
  <r>
    <n v="122"/>
    <x v="35"/>
    <s v="Sales invoice issued"/>
    <x v="100"/>
    <n v="0"/>
    <x v="2"/>
    <x v="0"/>
  </r>
  <r>
    <n v="122"/>
    <x v="35"/>
    <s v="Sales invoice issued"/>
    <x v="1"/>
    <n v="329.7"/>
    <x v="3"/>
    <x v="2"/>
  </r>
  <r>
    <n v="122"/>
    <x v="35"/>
    <s v="Sales invoice issued"/>
    <x v="1"/>
    <n v="24.73"/>
    <x v="4"/>
    <x v="3"/>
  </r>
  <r>
    <n v="123"/>
    <x v="35"/>
    <s v="Customer payment received"/>
    <x v="26"/>
    <n v="0"/>
    <x v="0"/>
    <x v="0"/>
  </r>
  <r>
    <n v="123"/>
    <x v="35"/>
    <s v="Customer payment received"/>
    <x v="1"/>
    <n v="1675.99"/>
    <x v="2"/>
    <x v="0"/>
  </r>
  <r>
    <n v="124"/>
    <x v="36"/>
    <s v="Sales invoice issued"/>
    <x v="101"/>
    <n v="0"/>
    <x v="2"/>
    <x v="0"/>
  </r>
  <r>
    <n v="124"/>
    <x v="36"/>
    <s v="Sales invoice issued"/>
    <x v="1"/>
    <n v="2476.9299999999998"/>
    <x v="3"/>
    <x v="2"/>
  </r>
  <r>
    <n v="124"/>
    <x v="36"/>
    <s v="Sales invoice issued"/>
    <x v="1"/>
    <n v="185.78"/>
    <x v="4"/>
    <x v="3"/>
  </r>
  <r>
    <n v="125"/>
    <x v="36"/>
    <s v="Sales invoice issued"/>
    <x v="102"/>
    <n v="0"/>
    <x v="2"/>
    <x v="0"/>
  </r>
  <r>
    <n v="125"/>
    <x v="36"/>
    <s v="Sales invoice issued"/>
    <x v="1"/>
    <n v="459.61"/>
    <x v="3"/>
    <x v="2"/>
  </r>
  <r>
    <n v="125"/>
    <x v="36"/>
    <s v="Sales invoice issued"/>
    <x v="1"/>
    <n v="34.47"/>
    <x v="4"/>
    <x v="3"/>
  </r>
  <r>
    <n v="126"/>
    <x v="36"/>
    <s v="Customer payment received"/>
    <x v="8"/>
    <n v="0"/>
    <x v="0"/>
    <x v="0"/>
  </r>
  <r>
    <n v="126"/>
    <x v="36"/>
    <s v="Customer payment received"/>
    <x v="1"/>
    <n v="1251.0999999999999"/>
    <x v="2"/>
    <x v="0"/>
  </r>
  <r>
    <n v="127"/>
    <x v="36"/>
    <s v="Customer payment received"/>
    <x v="103"/>
    <n v="0"/>
    <x v="0"/>
    <x v="0"/>
  </r>
  <r>
    <n v="127"/>
    <x v="36"/>
    <s v="Customer payment received"/>
    <x v="1"/>
    <n v="923.55"/>
    <x v="2"/>
    <x v="0"/>
  </r>
  <r>
    <n v="128"/>
    <x v="36"/>
    <s v="Supplier invoice received"/>
    <x v="104"/>
    <n v="0"/>
    <x v="9"/>
    <x v="4"/>
  </r>
  <r>
    <n v="128"/>
    <x v="36"/>
    <s v="Supplier invoice received"/>
    <x v="105"/>
    <n v="0"/>
    <x v="10"/>
    <x v="0"/>
  </r>
  <r>
    <n v="128"/>
    <x v="36"/>
    <s v="Supplier invoice received"/>
    <x v="1"/>
    <n v="412.54"/>
    <x v="11"/>
    <x v="3"/>
  </r>
  <r>
    <n v="129"/>
    <x v="37"/>
    <s v="Sales invoice issued"/>
    <x v="106"/>
    <n v="0"/>
    <x v="2"/>
    <x v="0"/>
  </r>
  <r>
    <n v="129"/>
    <x v="37"/>
    <s v="Sales invoice issued"/>
    <x v="1"/>
    <n v="816.66"/>
    <x v="3"/>
    <x v="2"/>
  </r>
  <r>
    <n v="129"/>
    <x v="37"/>
    <s v="Sales invoice issued"/>
    <x v="1"/>
    <n v="61.26"/>
    <x v="4"/>
    <x v="3"/>
  </r>
  <r>
    <n v="130"/>
    <x v="37"/>
    <s v="Sales invoice issued"/>
    <x v="107"/>
    <n v="0"/>
    <x v="2"/>
    <x v="0"/>
  </r>
  <r>
    <n v="130"/>
    <x v="37"/>
    <s v="Sales invoice issued"/>
    <x v="1"/>
    <n v="332.53"/>
    <x v="3"/>
    <x v="2"/>
  </r>
  <r>
    <n v="130"/>
    <x v="37"/>
    <s v="Sales invoice issued"/>
    <x v="1"/>
    <n v="24.94"/>
    <x v="4"/>
    <x v="3"/>
  </r>
  <r>
    <n v="131"/>
    <x v="37"/>
    <s v="Customer payment received"/>
    <x v="17"/>
    <n v="0"/>
    <x v="0"/>
    <x v="0"/>
  </r>
  <r>
    <n v="131"/>
    <x v="37"/>
    <s v="Customer payment received"/>
    <x v="1"/>
    <n v="2122.35"/>
    <x v="2"/>
    <x v="0"/>
  </r>
  <r>
    <n v="132"/>
    <x v="37"/>
    <s v="Customer payment received"/>
    <x v="47"/>
    <n v="0"/>
    <x v="0"/>
    <x v="0"/>
  </r>
  <r>
    <n v="132"/>
    <x v="37"/>
    <s v="Customer payment received"/>
    <x v="1"/>
    <n v="4522.24"/>
    <x v="2"/>
    <x v="0"/>
  </r>
  <r>
    <n v="133"/>
    <x v="37"/>
    <s v="Customer payment received"/>
    <x v="77"/>
    <n v="0"/>
    <x v="0"/>
    <x v="0"/>
  </r>
  <r>
    <n v="133"/>
    <x v="37"/>
    <s v="Customer payment received"/>
    <x v="1"/>
    <n v="670.59"/>
    <x v="2"/>
    <x v="0"/>
  </r>
  <r>
    <n v="134"/>
    <x v="37"/>
    <s v="Customer payment received"/>
    <x v="90"/>
    <n v="0"/>
    <x v="0"/>
    <x v="0"/>
  </r>
  <r>
    <n v="134"/>
    <x v="37"/>
    <s v="Customer payment received"/>
    <x v="1"/>
    <n v="4587.67"/>
    <x v="2"/>
    <x v="0"/>
  </r>
  <r>
    <n v="135"/>
    <x v="37"/>
    <s v="Supplier invoice received"/>
    <x v="108"/>
    <n v="0"/>
    <x v="9"/>
    <x v="4"/>
  </r>
  <r>
    <n v="135"/>
    <x v="37"/>
    <s v="Supplier invoice received"/>
    <x v="109"/>
    <n v="0"/>
    <x v="10"/>
    <x v="0"/>
  </r>
  <r>
    <n v="135"/>
    <x v="37"/>
    <s v="Supplier invoice received"/>
    <x v="1"/>
    <n v="1591.54"/>
    <x v="11"/>
    <x v="3"/>
  </r>
  <r>
    <n v="136"/>
    <x v="38"/>
    <s v="Sales invoice issued"/>
    <x v="110"/>
    <n v="0"/>
    <x v="2"/>
    <x v="0"/>
  </r>
  <r>
    <n v="136"/>
    <x v="38"/>
    <s v="Sales invoice issued"/>
    <x v="1"/>
    <n v="2001.21"/>
    <x v="3"/>
    <x v="2"/>
  </r>
  <r>
    <n v="136"/>
    <x v="38"/>
    <s v="Sales invoice issued"/>
    <x v="1"/>
    <n v="150.09"/>
    <x v="4"/>
    <x v="3"/>
  </r>
  <r>
    <n v="137"/>
    <x v="38"/>
    <s v="Customer payment received"/>
    <x v="49"/>
    <n v="0"/>
    <x v="0"/>
    <x v="0"/>
  </r>
  <r>
    <n v="137"/>
    <x v="38"/>
    <s v="Customer payment received"/>
    <x v="1"/>
    <n v="2479.04"/>
    <x v="2"/>
    <x v="0"/>
  </r>
  <r>
    <n v="138"/>
    <x v="38"/>
    <s v="Customer payment received"/>
    <x v="69"/>
    <n v="0"/>
    <x v="0"/>
    <x v="0"/>
  </r>
  <r>
    <n v="138"/>
    <x v="38"/>
    <s v="Customer payment received"/>
    <x v="1"/>
    <n v="1071.5999999999999"/>
    <x v="2"/>
    <x v="0"/>
  </r>
  <r>
    <n v="139"/>
    <x v="38"/>
    <s v="Supplier payment made"/>
    <x v="111"/>
    <n v="0"/>
    <x v="11"/>
    <x v="3"/>
  </r>
  <r>
    <n v="139"/>
    <x v="38"/>
    <s v="Supplier payment made"/>
    <x v="1"/>
    <n v="1591.54"/>
    <x v="0"/>
    <x v="0"/>
  </r>
  <r>
    <n v="140"/>
    <x v="39"/>
    <s v="Sales invoice issued"/>
    <x v="112"/>
    <n v="0"/>
    <x v="2"/>
    <x v="0"/>
  </r>
  <r>
    <n v="140"/>
    <x v="39"/>
    <s v="Sales invoice issued"/>
    <x v="1"/>
    <n v="3193.18"/>
    <x v="3"/>
    <x v="2"/>
  </r>
  <r>
    <n v="140"/>
    <x v="39"/>
    <s v="Sales invoice issued"/>
    <x v="1"/>
    <n v="239.48"/>
    <x v="4"/>
    <x v="3"/>
  </r>
  <r>
    <n v="141"/>
    <x v="39"/>
    <s v="Customer payment received"/>
    <x v="83"/>
    <n v="0"/>
    <x v="0"/>
    <x v="0"/>
  </r>
  <r>
    <n v="141"/>
    <x v="39"/>
    <s v="Customer payment received"/>
    <x v="1"/>
    <n v="2318.94"/>
    <x v="2"/>
    <x v="0"/>
  </r>
  <r>
    <n v="142"/>
    <x v="39"/>
    <s v="Supplier invoice received"/>
    <x v="43"/>
    <n v="0"/>
    <x v="9"/>
    <x v="4"/>
  </r>
  <r>
    <n v="142"/>
    <x v="39"/>
    <s v="Supplier invoice received"/>
    <x v="44"/>
    <n v="0"/>
    <x v="10"/>
    <x v="0"/>
  </r>
  <r>
    <n v="142"/>
    <x v="39"/>
    <s v="Supplier invoice received"/>
    <x v="1"/>
    <n v="2504.23"/>
    <x v="11"/>
    <x v="3"/>
  </r>
  <r>
    <n v="143"/>
    <x v="39"/>
    <s v="Supplier invoice received"/>
    <x v="35"/>
    <n v="0"/>
    <x v="9"/>
    <x v="4"/>
  </r>
  <r>
    <n v="143"/>
    <x v="39"/>
    <s v="Supplier invoice received"/>
    <x v="36"/>
    <n v="0"/>
    <x v="10"/>
    <x v="0"/>
  </r>
  <r>
    <n v="143"/>
    <x v="39"/>
    <s v="Supplier invoice received"/>
    <x v="1"/>
    <n v="1023.42"/>
    <x v="11"/>
    <x v="3"/>
  </r>
  <r>
    <n v="144"/>
    <x v="39"/>
    <s v="Supplier payment made"/>
    <x v="113"/>
    <n v="0"/>
    <x v="11"/>
    <x v="3"/>
  </r>
  <r>
    <n v="144"/>
    <x v="39"/>
    <s v="Supplier payment made"/>
    <x v="1"/>
    <n v="862.91"/>
    <x v="0"/>
    <x v="0"/>
  </r>
  <r>
    <n v="145"/>
    <x v="39"/>
    <s v="Supplier payment made"/>
    <x v="114"/>
    <n v="0"/>
    <x v="11"/>
    <x v="3"/>
  </r>
  <r>
    <n v="145"/>
    <x v="39"/>
    <s v="Supplier payment made"/>
    <x v="1"/>
    <n v="412.54"/>
    <x v="0"/>
    <x v="0"/>
  </r>
  <r>
    <n v="146"/>
    <x v="40"/>
    <s v="Sales invoice issued"/>
    <x v="115"/>
    <n v="0"/>
    <x v="2"/>
    <x v="0"/>
  </r>
  <r>
    <n v="146"/>
    <x v="40"/>
    <s v="Sales invoice issued"/>
    <x v="1"/>
    <n v="4792.18"/>
    <x v="3"/>
    <x v="2"/>
  </r>
  <r>
    <n v="146"/>
    <x v="40"/>
    <s v="Sales invoice issued"/>
    <x v="1"/>
    <n v="359.41"/>
    <x v="4"/>
    <x v="3"/>
  </r>
  <r>
    <n v="147"/>
    <x v="40"/>
    <s v="Sales invoice issued"/>
    <x v="116"/>
    <n v="0"/>
    <x v="2"/>
    <x v="0"/>
  </r>
  <r>
    <n v="147"/>
    <x v="40"/>
    <s v="Sales invoice issued"/>
    <x v="1"/>
    <n v="2928.46"/>
    <x v="3"/>
    <x v="2"/>
  </r>
  <r>
    <n v="147"/>
    <x v="40"/>
    <s v="Sales invoice issued"/>
    <x v="1"/>
    <n v="219.64"/>
    <x v="4"/>
    <x v="3"/>
  </r>
  <r>
    <n v="148"/>
    <x v="40"/>
    <s v="Customer payment received"/>
    <x v="12"/>
    <n v="0"/>
    <x v="0"/>
    <x v="0"/>
  </r>
  <r>
    <n v="148"/>
    <x v="40"/>
    <s v="Customer payment received"/>
    <x v="1"/>
    <n v="1615.55"/>
    <x v="2"/>
    <x v="0"/>
  </r>
  <r>
    <n v="149"/>
    <x v="40"/>
    <s v="Customer payment received"/>
    <x v="75"/>
    <n v="0"/>
    <x v="0"/>
    <x v="0"/>
  </r>
  <r>
    <n v="149"/>
    <x v="40"/>
    <s v="Customer payment received"/>
    <x v="1"/>
    <n v="578.66999999999996"/>
    <x v="2"/>
    <x v="0"/>
  </r>
  <r>
    <n v="150"/>
    <x v="41"/>
    <s v="Sales invoice issued"/>
    <x v="117"/>
    <n v="0"/>
    <x v="2"/>
    <x v="0"/>
  </r>
  <r>
    <n v="150"/>
    <x v="41"/>
    <s v="Sales invoice issued"/>
    <x v="1"/>
    <n v="2977.38"/>
    <x v="3"/>
    <x v="2"/>
  </r>
  <r>
    <n v="150"/>
    <x v="41"/>
    <s v="Sales invoice issued"/>
    <x v="1"/>
    <n v="223.3"/>
    <x v="4"/>
    <x v="3"/>
  </r>
  <r>
    <n v="151"/>
    <x v="41"/>
    <s v="Sales invoice issued"/>
    <x v="118"/>
    <n v="0"/>
    <x v="2"/>
    <x v="0"/>
  </r>
  <r>
    <n v="151"/>
    <x v="41"/>
    <s v="Sales invoice issued"/>
    <x v="1"/>
    <n v="2264.62"/>
    <x v="3"/>
    <x v="2"/>
  </r>
  <r>
    <n v="151"/>
    <x v="41"/>
    <s v="Sales invoice issued"/>
    <x v="1"/>
    <n v="169.85"/>
    <x v="4"/>
    <x v="3"/>
  </r>
  <r>
    <n v="152"/>
    <x v="41"/>
    <s v="Sales invoice issued"/>
    <x v="119"/>
    <n v="0"/>
    <x v="2"/>
    <x v="0"/>
  </r>
  <r>
    <n v="152"/>
    <x v="41"/>
    <s v="Sales invoice issued"/>
    <x v="1"/>
    <n v="328.9"/>
    <x v="3"/>
    <x v="2"/>
  </r>
  <r>
    <n v="152"/>
    <x v="41"/>
    <s v="Sales invoice issued"/>
    <x v="1"/>
    <n v="24.67"/>
    <x v="4"/>
    <x v="3"/>
  </r>
  <r>
    <n v="153"/>
    <x v="41"/>
    <s v="Customer payment received"/>
    <x v="99"/>
    <n v="0"/>
    <x v="0"/>
    <x v="0"/>
  </r>
  <r>
    <n v="153"/>
    <x v="41"/>
    <s v="Customer payment received"/>
    <x v="1"/>
    <n v="3236.42"/>
    <x v="2"/>
    <x v="0"/>
  </r>
  <r>
    <n v="154"/>
    <x v="41"/>
    <s v="Supplier invoice received"/>
    <x v="120"/>
    <n v="0"/>
    <x v="9"/>
    <x v="4"/>
  </r>
  <r>
    <n v="154"/>
    <x v="41"/>
    <s v="Supplier invoice received"/>
    <x v="121"/>
    <n v="0"/>
    <x v="10"/>
    <x v="0"/>
  </r>
  <r>
    <n v="154"/>
    <x v="41"/>
    <s v="Supplier invoice received"/>
    <x v="1"/>
    <n v="748.26"/>
    <x v="11"/>
    <x v="3"/>
  </r>
  <r>
    <n v="155"/>
    <x v="42"/>
    <s v="Payroll processed"/>
    <x v="122"/>
    <n v="0"/>
    <x v="5"/>
    <x v="4"/>
  </r>
  <r>
    <n v="155"/>
    <x v="42"/>
    <s v="Payroll processed"/>
    <x v="123"/>
    <n v="0"/>
    <x v="6"/>
    <x v="4"/>
  </r>
  <r>
    <n v="155"/>
    <x v="42"/>
    <s v="Payroll processed"/>
    <x v="1"/>
    <n v="17599.259999999998"/>
    <x v="0"/>
    <x v="0"/>
  </r>
  <r>
    <n v="155"/>
    <x v="42"/>
    <s v="Payroll processed"/>
    <x v="1"/>
    <n v="3870.65"/>
    <x v="7"/>
    <x v="3"/>
  </r>
  <r>
    <n v="155"/>
    <x v="42"/>
    <s v="Payroll processed"/>
    <x v="1"/>
    <n v="858.81"/>
    <x v="8"/>
    <x v="3"/>
  </r>
  <r>
    <n v="156"/>
    <x v="42"/>
    <s v="Sales invoice issued"/>
    <x v="124"/>
    <n v="0"/>
    <x v="2"/>
    <x v="0"/>
  </r>
  <r>
    <n v="156"/>
    <x v="42"/>
    <s v="Sales invoice issued"/>
    <x v="1"/>
    <n v="456.58"/>
    <x v="3"/>
    <x v="2"/>
  </r>
  <r>
    <n v="156"/>
    <x v="42"/>
    <s v="Sales invoice issued"/>
    <x v="1"/>
    <n v="34.24"/>
    <x v="4"/>
    <x v="3"/>
  </r>
  <r>
    <n v="157"/>
    <x v="42"/>
    <s v="Customer payment received"/>
    <x v="78"/>
    <n v="0"/>
    <x v="0"/>
    <x v="0"/>
  </r>
  <r>
    <n v="157"/>
    <x v="42"/>
    <s v="Customer payment received"/>
    <x v="1"/>
    <n v="1722.42"/>
    <x v="2"/>
    <x v="0"/>
  </r>
  <r>
    <n v="158"/>
    <x v="42"/>
    <s v="Supplier payment made"/>
    <x v="125"/>
    <n v="0"/>
    <x v="11"/>
    <x v="3"/>
  </r>
  <r>
    <n v="158"/>
    <x v="42"/>
    <s v="Supplier payment made"/>
    <x v="1"/>
    <n v="748.26"/>
    <x v="0"/>
    <x v="0"/>
  </r>
  <r>
    <n v="159"/>
    <x v="42"/>
    <s v="Depreciation â€” POS System"/>
    <x v="56"/>
    <n v="0"/>
    <x v="12"/>
    <x v="4"/>
  </r>
  <r>
    <n v="159"/>
    <x v="42"/>
    <s v="Depreciation â€” POS System"/>
    <x v="1"/>
    <n v="93.61"/>
    <x v="13"/>
    <x v="0"/>
  </r>
  <r>
    <n v="160"/>
    <x v="42"/>
    <s v="Depreciation â€” Laptop x2"/>
    <x v="57"/>
    <n v="0"/>
    <x v="12"/>
    <x v="4"/>
  </r>
  <r>
    <n v="160"/>
    <x v="42"/>
    <s v="Depreciation â€” Laptop x2"/>
    <x v="1"/>
    <n v="76.86"/>
    <x v="13"/>
    <x v="0"/>
  </r>
  <r>
    <n v="161"/>
    <x v="42"/>
    <s v="Depreciation â€” Printer/Scanner"/>
    <x v="58"/>
    <n v="0"/>
    <x v="12"/>
    <x v="4"/>
  </r>
  <r>
    <n v="161"/>
    <x v="42"/>
    <s v="Depreciation â€” Printer/Scanner"/>
    <x v="1"/>
    <n v="20.03"/>
    <x v="13"/>
    <x v="0"/>
  </r>
  <r>
    <n v="162"/>
    <x v="42"/>
    <s v="Depreciation â€” Shop Shelving"/>
    <x v="59"/>
    <n v="0"/>
    <x v="12"/>
    <x v="4"/>
  </r>
  <r>
    <n v="162"/>
    <x v="42"/>
    <s v="Depreciation â€” Shop Shelving"/>
    <x v="1"/>
    <n v="86.89"/>
    <x v="14"/>
    <x v="0"/>
  </r>
  <r>
    <n v="163"/>
    <x v="42"/>
    <s v="Depreciation â€” Display Stands"/>
    <x v="60"/>
    <n v="0"/>
    <x v="12"/>
    <x v="4"/>
  </r>
  <r>
    <n v="163"/>
    <x v="42"/>
    <s v="Depreciation â€” Display Stands"/>
    <x v="1"/>
    <n v="76.8"/>
    <x v="14"/>
    <x v="0"/>
  </r>
  <r>
    <n v="164"/>
    <x v="42"/>
    <s v="Depreciation â€” Counter &amp; Checkout"/>
    <x v="61"/>
    <n v="0"/>
    <x v="12"/>
    <x v="4"/>
  </r>
  <r>
    <n v="164"/>
    <x v="42"/>
    <s v="Depreciation â€” Counter &amp; Checkout"/>
    <x v="1"/>
    <n v="48.28"/>
    <x v="14"/>
    <x v="0"/>
  </r>
  <r>
    <n v="165"/>
    <x v="42"/>
    <s v="Depreciation â€” Signage"/>
    <x v="62"/>
    <n v="0"/>
    <x v="12"/>
    <x v="4"/>
  </r>
  <r>
    <n v="165"/>
    <x v="42"/>
    <s v="Depreciation â€” Signage"/>
    <x v="1"/>
    <n v="53.21"/>
    <x v="14"/>
    <x v="0"/>
  </r>
  <r>
    <n v="166"/>
    <x v="42"/>
    <s v="Depreciation â€” Delivery Van"/>
    <x v="63"/>
    <n v="0"/>
    <x v="12"/>
    <x v="4"/>
  </r>
  <r>
    <n v="166"/>
    <x v="42"/>
    <s v="Depreciation â€” Delivery Van"/>
    <x v="1"/>
    <n v="232.19"/>
    <x v="15"/>
    <x v="0"/>
  </r>
  <r>
    <n v="167"/>
    <x v="42"/>
    <s v="Depreciation â€” Security System"/>
    <x v="64"/>
    <n v="0"/>
    <x v="12"/>
    <x v="4"/>
  </r>
  <r>
    <n v="167"/>
    <x v="42"/>
    <s v="Depreciation â€” Security System"/>
    <x v="1"/>
    <n v="43.85"/>
    <x v="13"/>
    <x v="0"/>
  </r>
  <r>
    <n v="168"/>
    <x v="43"/>
    <s v="Sales invoice issued"/>
    <x v="126"/>
    <n v="0"/>
    <x v="2"/>
    <x v="0"/>
  </r>
  <r>
    <n v="168"/>
    <x v="43"/>
    <s v="Sales invoice issued"/>
    <x v="1"/>
    <n v="311.16000000000003"/>
    <x v="3"/>
    <x v="2"/>
  </r>
  <r>
    <n v="168"/>
    <x v="43"/>
    <s v="Sales invoice issued"/>
    <x v="1"/>
    <n v="23.34"/>
    <x v="4"/>
    <x v="3"/>
  </r>
  <r>
    <n v="169"/>
    <x v="43"/>
    <s v="Sales invoice issued"/>
    <x v="127"/>
    <n v="0"/>
    <x v="2"/>
    <x v="0"/>
  </r>
  <r>
    <n v="169"/>
    <x v="43"/>
    <s v="Sales invoice issued"/>
    <x v="1"/>
    <n v="1518.78"/>
    <x v="3"/>
    <x v="2"/>
  </r>
  <r>
    <n v="169"/>
    <x v="43"/>
    <s v="Sales invoice issued"/>
    <x v="1"/>
    <n v="113.91"/>
    <x v="4"/>
    <x v="3"/>
  </r>
  <r>
    <n v="170"/>
    <x v="43"/>
    <s v="Supplier payment made"/>
    <x v="128"/>
    <n v="0"/>
    <x v="11"/>
    <x v="3"/>
  </r>
  <r>
    <n v="170"/>
    <x v="43"/>
    <s v="Supplier payment made"/>
    <x v="1"/>
    <n v="1766.46"/>
    <x v="0"/>
    <x v="0"/>
  </r>
  <r>
    <n v="171"/>
    <x v="44"/>
    <s v="Sales invoice issued"/>
    <x v="129"/>
    <n v="0"/>
    <x v="2"/>
    <x v="0"/>
  </r>
  <r>
    <n v="171"/>
    <x v="44"/>
    <s v="Sales invoice issued"/>
    <x v="1"/>
    <n v="460.98"/>
    <x v="3"/>
    <x v="2"/>
  </r>
  <r>
    <n v="171"/>
    <x v="44"/>
    <s v="Sales invoice issued"/>
    <x v="1"/>
    <n v="34.58"/>
    <x v="4"/>
    <x v="3"/>
  </r>
  <r>
    <n v="172"/>
    <x v="44"/>
    <s v="Sales invoice issued"/>
    <x v="130"/>
    <n v="0"/>
    <x v="2"/>
    <x v="0"/>
  </r>
  <r>
    <n v="172"/>
    <x v="44"/>
    <s v="Sales invoice issued"/>
    <x v="1"/>
    <n v="1811.28"/>
    <x v="3"/>
    <x v="2"/>
  </r>
  <r>
    <n v="172"/>
    <x v="44"/>
    <s v="Sales invoice issued"/>
    <x v="1"/>
    <n v="135.84"/>
    <x v="4"/>
    <x v="3"/>
  </r>
  <r>
    <n v="173"/>
    <x v="44"/>
    <s v="Sales invoice issued"/>
    <x v="131"/>
    <n v="0"/>
    <x v="2"/>
    <x v="0"/>
  </r>
  <r>
    <n v="173"/>
    <x v="44"/>
    <s v="Sales invoice issued"/>
    <x v="1"/>
    <n v="1476.25"/>
    <x v="3"/>
    <x v="2"/>
  </r>
  <r>
    <n v="173"/>
    <x v="44"/>
    <s v="Sales invoice issued"/>
    <x v="1"/>
    <n v="110.71"/>
    <x v="4"/>
    <x v="3"/>
  </r>
  <r>
    <n v="174"/>
    <x v="44"/>
    <s v="Supplier invoice received"/>
    <x v="21"/>
    <n v="0"/>
    <x v="9"/>
    <x v="4"/>
  </r>
  <r>
    <n v="174"/>
    <x v="44"/>
    <s v="Supplier invoice received"/>
    <x v="22"/>
    <n v="0"/>
    <x v="10"/>
    <x v="0"/>
  </r>
  <r>
    <n v="174"/>
    <x v="44"/>
    <s v="Supplier invoice received"/>
    <x v="1"/>
    <n v="3528.97"/>
    <x v="11"/>
    <x v="3"/>
  </r>
  <r>
    <n v="175"/>
    <x v="44"/>
    <s v="Supplier payment made"/>
    <x v="52"/>
    <n v="0"/>
    <x v="11"/>
    <x v="3"/>
  </r>
  <r>
    <n v="175"/>
    <x v="44"/>
    <s v="Supplier payment made"/>
    <x v="1"/>
    <n v="2504.23"/>
    <x v="0"/>
    <x v="0"/>
  </r>
  <r>
    <n v="176"/>
    <x v="45"/>
    <s v="Sales invoice issued"/>
    <x v="132"/>
    <n v="0"/>
    <x v="2"/>
    <x v="0"/>
  </r>
  <r>
    <n v="176"/>
    <x v="45"/>
    <s v="Sales invoice issued"/>
    <x v="1"/>
    <n v="1312.43"/>
    <x v="3"/>
    <x v="2"/>
  </r>
  <r>
    <n v="176"/>
    <x v="45"/>
    <s v="Sales invoice issued"/>
    <x v="1"/>
    <n v="98.44"/>
    <x v="4"/>
    <x v="3"/>
  </r>
  <r>
    <n v="177"/>
    <x v="45"/>
    <s v="Sales invoice issued"/>
    <x v="133"/>
    <n v="0"/>
    <x v="2"/>
    <x v="0"/>
  </r>
  <r>
    <n v="177"/>
    <x v="45"/>
    <s v="Sales invoice issued"/>
    <x v="1"/>
    <n v="4859.12"/>
    <x v="3"/>
    <x v="2"/>
  </r>
  <r>
    <n v="177"/>
    <x v="45"/>
    <s v="Sales invoice issued"/>
    <x v="1"/>
    <n v="364.45"/>
    <x v="4"/>
    <x v="3"/>
  </r>
  <r>
    <n v="178"/>
    <x v="45"/>
    <s v="Customer payment received"/>
    <x v="37"/>
    <n v="0"/>
    <x v="0"/>
    <x v="0"/>
  </r>
  <r>
    <n v="178"/>
    <x v="45"/>
    <s v="Customer payment received"/>
    <x v="1"/>
    <n v="3727.16"/>
    <x v="2"/>
    <x v="0"/>
  </r>
  <r>
    <n v="179"/>
    <x v="45"/>
    <s v="Customer payment received"/>
    <x v="129"/>
    <n v="0"/>
    <x v="0"/>
    <x v="0"/>
  </r>
  <r>
    <n v="179"/>
    <x v="45"/>
    <s v="Customer payment received"/>
    <x v="1"/>
    <n v="495.56"/>
    <x v="2"/>
    <x v="0"/>
  </r>
  <r>
    <n v="180"/>
    <x v="45"/>
    <s v="Customer payment received"/>
    <x v="131"/>
    <n v="0"/>
    <x v="0"/>
    <x v="0"/>
  </r>
  <r>
    <n v="180"/>
    <x v="45"/>
    <s v="Customer payment received"/>
    <x v="1"/>
    <n v="1586.96"/>
    <x v="2"/>
    <x v="0"/>
  </r>
  <r>
    <n v="181"/>
    <x v="45"/>
    <s v="Supplier invoice received"/>
    <x v="134"/>
    <n v="0"/>
    <x v="9"/>
    <x v="4"/>
  </r>
  <r>
    <n v="181"/>
    <x v="45"/>
    <s v="Supplier invoice received"/>
    <x v="135"/>
    <n v="0"/>
    <x v="10"/>
    <x v="0"/>
  </r>
  <r>
    <n v="181"/>
    <x v="45"/>
    <s v="Supplier invoice received"/>
    <x v="1"/>
    <n v="276.32"/>
    <x v="11"/>
    <x v="3"/>
  </r>
  <r>
    <n v="182"/>
    <x v="46"/>
    <s v="Sales invoice issued"/>
    <x v="136"/>
    <n v="0"/>
    <x v="2"/>
    <x v="0"/>
  </r>
  <r>
    <n v="182"/>
    <x v="46"/>
    <s v="Sales invoice issued"/>
    <x v="1"/>
    <n v="1736.53"/>
    <x v="3"/>
    <x v="2"/>
  </r>
  <r>
    <n v="182"/>
    <x v="46"/>
    <s v="Sales invoice issued"/>
    <x v="1"/>
    <n v="130.24"/>
    <x v="4"/>
    <x v="3"/>
  </r>
  <r>
    <n v="183"/>
    <x v="46"/>
    <s v="Sales invoice issued"/>
    <x v="137"/>
    <n v="0"/>
    <x v="2"/>
    <x v="0"/>
  </r>
  <r>
    <n v="183"/>
    <x v="46"/>
    <s v="Sales invoice issued"/>
    <x v="1"/>
    <n v="477.41"/>
    <x v="3"/>
    <x v="2"/>
  </r>
  <r>
    <n v="183"/>
    <x v="46"/>
    <s v="Sales invoice issued"/>
    <x v="1"/>
    <n v="35.81"/>
    <x v="4"/>
    <x v="3"/>
  </r>
  <r>
    <n v="184"/>
    <x v="46"/>
    <s v="Customer payment received"/>
    <x v="127"/>
    <n v="0"/>
    <x v="0"/>
    <x v="0"/>
  </r>
  <r>
    <n v="184"/>
    <x v="46"/>
    <s v="Customer payment received"/>
    <x v="1"/>
    <n v="1632.69"/>
    <x v="2"/>
    <x v="0"/>
  </r>
  <r>
    <n v="185"/>
    <x v="47"/>
    <s v="Sales invoice issued"/>
    <x v="138"/>
    <n v="0"/>
    <x v="2"/>
    <x v="0"/>
  </r>
  <r>
    <n v="185"/>
    <x v="47"/>
    <s v="Sales invoice issued"/>
    <x v="1"/>
    <n v="489.06"/>
    <x v="3"/>
    <x v="2"/>
  </r>
  <r>
    <n v="185"/>
    <x v="47"/>
    <s v="Sales invoice issued"/>
    <x v="1"/>
    <n v="36.68"/>
    <x v="4"/>
    <x v="3"/>
  </r>
  <r>
    <n v="186"/>
    <x v="47"/>
    <s v="Sales invoice issued"/>
    <x v="139"/>
    <n v="0"/>
    <x v="2"/>
    <x v="0"/>
  </r>
  <r>
    <n v="186"/>
    <x v="47"/>
    <s v="Sales invoice issued"/>
    <x v="1"/>
    <n v="741.09"/>
    <x v="3"/>
    <x v="2"/>
  </r>
  <r>
    <n v="186"/>
    <x v="47"/>
    <s v="Sales invoice issued"/>
    <x v="1"/>
    <n v="55.59"/>
    <x v="4"/>
    <x v="3"/>
  </r>
  <r>
    <n v="187"/>
    <x v="47"/>
    <s v="Customer payment received"/>
    <x v="71"/>
    <n v="0"/>
    <x v="0"/>
    <x v="0"/>
  </r>
  <r>
    <n v="187"/>
    <x v="47"/>
    <s v="Customer payment received"/>
    <x v="1"/>
    <n v="3595.63"/>
    <x v="2"/>
    <x v="0"/>
  </r>
  <r>
    <n v="188"/>
    <x v="47"/>
    <s v="Customer payment received"/>
    <x v="112"/>
    <n v="0"/>
    <x v="0"/>
    <x v="0"/>
  </r>
  <r>
    <n v="188"/>
    <x v="47"/>
    <s v="Customer payment received"/>
    <x v="1"/>
    <n v="3432.66"/>
    <x v="2"/>
    <x v="0"/>
  </r>
  <r>
    <n v="189"/>
    <x v="47"/>
    <s v="Customer payment received"/>
    <x v="117"/>
    <n v="0"/>
    <x v="0"/>
    <x v="0"/>
  </r>
  <r>
    <n v="189"/>
    <x v="47"/>
    <s v="Customer payment received"/>
    <x v="1"/>
    <n v="3200.68"/>
    <x v="2"/>
    <x v="0"/>
  </r>
  <r>
    <n v="190"/>
    <x v="48"/>
    <s v="Sales invoice issued"/>
    <x v="140"/>
    <n v="0"/>
    <x v="2"/>
    <x v="0"/>
  </r>
  <r>
    <n v="190"/>
    <x v="48"/>
    <s v="Sales invoice issued"/>
    <x v="1"/>
    <n v="3621.36"/>
    <x v="3"/>
    <x v="2"/>
  </r>
  <r>
    <n v="190"/>
    <x v="48"/>
    <s v="Sales invoice issued"/>
    <x v="1"/>
    <n v="271.60000000000002"/>
    <x v="4"/>
    <x v="3"/>
  </r>
  <r>
    <n v="191"/>
    <x v="48"/>
    <s v="Sales invoice issued"/>
    <x v="141"/>
    <n v="0"/>
    <x v="2"/>
    <x v="0"/>
  </r>
  <r>
    <n v="191"/>
    <x v="48"/>
    <s v="Sales invoice issued"/>
    <x v="1"/>
    <n v="2725.72"/>
    <x v="3"/>
    <x v="2"/>
  </r>
  <r>
    <n v="191"/>
    <x v="48"/>
    <s v="Sales invoice issued"/>
    <x v="1"/>
    <n v="204.43"/>
    <x v="4"/>
    <x v="3"/>
  </r>
  <r>
    <n v="192"/>
    <x v="48"/>
    <s v="Customer payment received"/>
    <x v="34"/>
    <n v="0"/>
    <x v="0"/>
    <x v="0"/>
  </r>
  <r>
    <n v="192"/>
    <x v="48"/>
    <s v="Customer payment received"/>
    <x v="1"/>
    <n v="108.02"/>
    <x v="2"/>
    <x v="0"/>
  </r>
  <r>
    <n v="193"/>
    <x v="48"/>
    <s v="Customer payment received"/>
    <x v="84"/>
    <n v="0"/>
    <x v="0"/>
    <x v="0"/>
  </r>
  <r>
    <n v="193"/>
    <x v="48"/>
    <s v="Customer payment received"/>
    <x v="1"/>
    <n v="42.09"/>
    <x v="2"/>
    <x v="0"/>
  </r>
  <r>
    <n v="194"/>
    <x v="48"/>
    <s v="Customer payment received"/>
    <x v="89"/>
    <n v="0"/>
    <x v="0"/>
    <x v="0"/>
  </r>
  <r>
    <n v="194"/>
    <x v="48"/>
    <s v="Customer payment received"/>
    <x v="1"/>
    <n v="1193.48"/>
    <x v="2"/>
    <x v="0"/>
  </r>
  <r>
    <n v="195"/>
    <x v="49"/>
    <s v="Sales invoice issued"/>
    <x v="142"/>
    <n v="0"/>
    <x v="2"/>
    <x v="0"/>
  </r>
  <r>
    <n v="195"/>
    <x v="49"/>
    <s v="Sales invoice issued"/>
    <x v="1"/>
    <n v="1795.62"/>
    <x v="3"/>
    <x v="2"/>
  </r>
  <r>
    <n v="195"/>
    <x v="49"/>
    <s v="Sales invoice issued"/>
    <x v="1"/>
    <n v="134.66999999999999"/>
    <x v="4"/>
    <x v="3"/>
  </r>
  <r>
    <n v="196"/>
    <x v="49"/>
    <s v="Sales invoice issued"/>
    <x v="143"/>
    <n v="0"/>
    <x v="2"/>
    <x v="0"/>
  </r>
  <r>
    <n v="196"/>
    <x v="49"/>
    <s v="Sales invoice issued"/>
    <x v="1"/>
    <n v="2569.86"/>
    <x v="3"/>
    <x v="2"/>
  </r>
  <r>
    <n v="196"/>
    <x v="49"/>
    <s v="Sales invoice issued"/>
    <x v="1"/>
    <n v="192.74"/>
    <x v="4"/>
    <x v="3"/>
  </r>
  <r>
    <n v="197"/>
    <x v="49"/>
    <s v="Sales invoice issued"/>
    <x v="144"/>
    <n v="0"/>
    <x v="2"/>
    <x v="0"/>
  </r>
  <r>
    <n v="197"/>
    <x v="49"/>
    <s v="Sales invoice issued"/>
    <x v="1"/>
    <n v="244.53"/>
    <x v="3"/>
    <x v="2"/>
  </r>
  <r>
    <n v="197"/>
    <x v="49"/>
    <s v="Sales invoice issued"/>
    <x v="1"/>
    <n v="18.34"/>
    <x v="4"/>
    <x v="3"/>
  </r>
  <r>
    <n v="198"/>
    <x v="49"/>
    <s v="Sales invoice issued"/>
    <x v="145"/>
    <n v="0"/>
    <x v="2"/>
    <x v="0"/>
  </r>
  <r>
    <n v="198"/>
    <x v="49"/>
    <s v="Sales invoice issued"/>
    <x v="1"/>
    <n v="1051.7"/>
    <x v="3"/>
    <x v="2"/>
  </r>
  <r>
    <n v="198"/>
    <x v="49"/>
    <s v="Sales invoice issued"/>
    <x v="1"/>
    <n v="78.88"/>
    <x v="4"/>
    <x v="3"/>
  </r>
  <r>
    <n v="199"/>
    <x v="49"/>
    <s v="Sales invoice issued"/>
    <x v="146"/>
    <n v="0"/>
    <x v="2"/>
    <x v="0"/>
  </r>
  <r>
    <n v="199"/>
    <x v="49"/>
    <s v="Sales invoice issued"/>
    <x v="1"/>
    <n v="460.71"/>
    <x v="3"/>
    <x v="2"/>
  </r>
  <r>
    <n v="199"/>
    <x v="49"/>
    <s v="Sales invoice issued"/>
    <x v="1"/>
    <n v="34.549999999999997"/>
    <x v="4"/>
    <x v="3"/>
  </r>
  <r>
    <n v="200"/>
    <x v="49"/>
    <s v="Customer payment received"/>
    <x v="138"/>
    <n v="0"/>
    <x v="0"/>
    <x v="0"/>
  </r>
  <r>
    <n v="200"/>
    <x v="49"/>
    <s v="Customer payment received"/>
    <x v="1"/>
    <n v="525.74"/>
    <x v="2"/>
    <x v="0"/>
  </r>
  <r>
    <n v="201"/>
    <x v="49"/>
    <s v="Supplier invoice received"/>
    <x v="147"/>
    <n v="0"/>
    <x v="9"/>
    <x v="4"/>
  </r>
  <r>
    <n v="201"/>
    <x v="49"/>
    <s v="Supplier invoice received"/>
    <x v="148"/>
    <n v="0"/>
    <x v="10"/>
    <x v="0"/>
  </r>
  <r>
    <n v="201"/>
    <x v="49"/>
    <s v="Supplier invoice received"/>
    <x v="1"/>
    <n v="1794.11"/>
    <x v="11"/>
    <x v="3"/>
  </r>
  <r>
    <n v="202"/>
    <x v="49"/>
    <s v="Supplier invoice received"/>
    <x v="149"/>
    <n v="0"/>
    <x v="9"/>
    <x v="4"/>
  </r>
  <r>
    <n v="202"/>
    <x v="49"/>
    <s v="Supplier invoice received"/>
    <x v="150"/>
    <n v="0"/>
    <x v="10"/>
    <x v="0"/>
  </r>
  <r>
    <n v="202"/>
    <x v="49"/>
    <s v="Supplier invoice received"/>
    <x v="1"/>
    <n v="179.01"/>
    <x v="11"/>
    <x v="3"/>
  </r>
  <r>
    <n v="203"/>
    <x v="49"/>
    <s v="Supplier invoice received"/>
    <x v="151"/>
    <n v="0"/>
    <x v="9"/>
    <x v="4"/>
  </r>
  <r>
    <n v="203"/>
    <x v="49"/>
    <s v="Supplier invoice received"/>
    <x v="152"/>
    <n v="0"/>
    <x v="10"/>
    <x v="0"/>
  </r>
  <r>
    <n v="203"/>
    <x v="49"/>
    <s v="Supplier invoice received"/>
    <x v="1"/>
    <n v="201.5"/>
    <x v="11"/>
    <x v="3"/>
  </r>
  <r>
    <n v="204"/>
    <x v="50"/>
    <s v="Sales invoice issued"/>
    <x v="153"/>
    <n v="0"/>
    <x v="2"/>
    <x v="0"/>
  </r>
  <r>
    <n v="204"/>
    <x v="50"/>
    <s v="Sales invoice issued"/>
    <x v="1"/>
    <n v="767.9"/>
    <x v="3"/>
    <x v="2"/>
  </r>
  <r>
    <n v="204"/>
    <x v="50"/>
    <s v="Sales invoice issued"/>
    <x v="1"/>
    <n v="57.59"/>
    <x v="4"/>
    <x v="3"/>
  </r>
  <r>
    <n v="205"/>
    <x v="50"/>
    <s v="Sales invoice issued"/>
    <x v="154"/>
    <n v="0"/>
    <x v="2"/>
    <x v="0"/>
  </r>
  <r>
    <n v="205"/>
    <x v="50"/>
    <s v="Sales invoice issued"/>
    <x v="1"/>
    <n v="81.510000000000005"/>
    <x v="3"/>
    <x v="2"/>
  </r>
  <r>
    <n v="205"/>
    <x v="50"/>
    <s v="Sales invoice issued"/>
    <x v="1"/>
    <n v="6.11"/>
    <x v="4"/>
    <x v="3"/>
  </r>
  <r>
    <n v="206"/>
    <x v="50"/>
    <s v="Sales invoice issued"/>
    <x v="155"/>
    <n v="0"/>
    <x v="2"/>
    <x v="0"/>
  </r>
  <r>
    <n v="206"/>
    <x v="50"/>
    <s v="Sales invoice issued"/>
    <x v="1"/>
    <n v="3521.33"/>
    <x v="3"/>
    <x v="2"/>
  </r>
  <r>
    <n v="206"/>
    <x v="50"/>
    <s v="Sales invoice issued"/>
    <x v="1"/>
    <n v="264.08999999999997"/>
    <x v="4"/>
    <x v="3"/>
  </r>
  <r>
    <n v="207"/>
    <x v="50"/>
    <s v="Sales invoice issued"/>
    <x v="156"/>
    <n v="0"/>
    <x v="2"/>
    <x v="0"/>
  </r>
  <r>
    <n v="207"/>
    <x v="50"/>
    <s v="Sales invoice issued"/>
    <x v="1"/>
    <n v="2903.78"/>
    <x v="3"/>
    <x v="2"/>
  </r>
  <r>
    <n v="207"/>
    <x v="50"/>
    <s v="Sales invoice issued"/>
    <x v="1"/>
    <n v="217.79"/>
    <x v="4"/>
    <x v="3"/>
  </r>
  <r>
    <n v="208"/>
    <x v="50"/>
    <s v="Customer payment received"/>
    <x v="68"/>
    <n v="0"/>
    <x v="0"/>
    <x v="0"/>
  </r>
  <r>
    <n v="208"/>
    <x v="50"/>
    <s v="Customer payment received"/>
    <x v="1"/>
    <n v="533.85"/>
    <x v="2"/>
    <x v="0"/>
  </r>
  <r>
    <n v="209"/>
    <x v="50"/>
    <s v="Customer payment received"/>
    <x v="97"/>
    <n v="0"/>
    <x v="0"/>
    <x v="0"/>
  </r>
  <r>
    <n v="209"/>
    <x v="50"/>
    <s v="Customer payment received"/>
    <x v="1"/>
    <n v="960.49"/>
    <x v="2"/>
    <x v="0"/>
  </r>
  <r>
    <n v="210"/>
    <x v="50"/>
    <s v="Supplier payment made"/>
    <x v="157"/>
    <n v="0"/>
    <x v="11"/>
    <x v="3"/>
  </r>
  <r>
    <n v="210"/>
    <x v="50"/>
    <s v="Supplier payment made"/>
    <x v="1"/>
    <n v="276.32"/>
    <x v="0"/>
    <x v="0"/>
  </r>
  <r>
    <n v="211"/>
    <x v="51"/>
    <s v="Sales invoice issued"/>
    <x v="158"/>
    <n v="0"/>
    <x v="2"/>
    <x v="0"/>
  </r>
  <r>
    <n v="211"/>
    <x v="51"/>
    <s v="Sales invoice issued"/>
    <x v="1"/>
    <n v="2998.52"/>
    <x v="3"/>
    <x v="2"/>
  </r>
  <r>
    <n v="211"/>
    <x v="51"/>
    <s v="Sales invoice issued"/>
    <x v="1"/>
    <n v="224.88"/>
    <x v="4"/>
    <x v="3"/>
  </r>
  <r>
    <n v="212"/>
    <x v="51"/>
    <s v="Sales invoice issued"/>
    <x v="159"/>
    <n v="0"/>
    <x v="2"/>
    <x v="0"/>
  </r>
  <r>
    <n v="212"/>
    <x v="51"/>
    <s v="Sales invoice issued"/>
    <x v="1"/>
    <n v="889.86"/>
    <x v="3"/>
    <x v="2"/>
  </r>
  <r>
    <n v="212"/>
    <x v="51"/>
    <s v="Sales invoice issued"/>
    <x v="1"/>
    <n v="66.739999999999995"/>
    <x v="4"/>
    <x v="3"/>
  </r>
  <r>
    <n v="213"/>
    <x v="51"/>
    <s v="Customer payment received"/>
    <x v="156"/>
    <n v="0"/>
    <x v="0"/>
    <x v="0"/>
  </r>
  <r>
    <n v="213"/>
    <x v="51"/>
    <s v="Customer payment received"/>
    <x v="1"/>
    <n v="3121.57"/>
    <x v="2"/>
    <x v="0"/>
  </r>
  <r>
    <n v="214"/>
    <x v="51"/>
    <s v="Supplier invoice received"/>
    <x v="160"/>
    <n v="0"/>
    <x v="9"/>
    <x v="4"/>
  </r>
  <r>
    <n v="214"/>
    <x v="51"/>
    <s v="Supplier invoice received"/>
    <x v="161"/>
    <n v="0"/>
    <x v="10"/>
    <x v="0"/>
  </r>
  <r>
    <n v="214"/>
    <x v="51"/>
    <s v="Supplier invoice received"/>
    <x v="1"/>
    <n v="1304.6199999999999"/>
    <x v="11"/>
    <x v="3"/>
  </r>
  <r>
    <n v="215"/>
    <x v="51"/>
    <s v="Supplier payment made"/>
    <x v="162"/>
    <n v="0"/>
    <x v="11"/>
    <x v="3"/>
  </r>
  <r>
    <n v="215"/>
    <x v="51"/>
    <s v="Supplier payment made"/>
    <x v="1"/>
    <n v="201.5"/>
    <x v="0"/>
    <x v="0"/>
  </r>
  <r>
    <n v="216"/>
    <x v="52"/>
    <s v="Payroll processed"/>
    <x v="163"/>
    <n v="0"/>
    <x v="5"/>
    <x v="4"/>
  </r>
  <r>
    <n v="216"/>
    <x v="52"/>
    <s v="Payroll processed"/>
    <x v="164"/>
    <n v="0"/>
    <x v="6"/>
    <x v="4"/>
  </r>
  <r>
    <n v="216"/>
    <x v="52"/>
    <s v="Payroll processed"/>
    <x v="1"/>
    <n v="17631.7"/>
    <x v="0"/>
    <x v="0"/>
  </r>
  <r>
    <n v="216"/>
    <x v="52"/>
    <s v="Payroll processed"/>
    <x v="1"/>
    <n v="3870.65"/>
    <x v="7"/>
    <x v="3"/>
  </r>
  <r>
    <n v="216"/>
    <x v="52"/>
    <s v="Payroll processed"/>
    <x v="1"/>
    <n v="860.11"/>
    <x v="8"/>
    <x v="3"/>
  </r>
  <r>
    <n v="217"/>
    <x v="52"/>
    <s v="Sales invoice issued"/>
    <x v="165"/>
    <n v="0"/>
    <x v="2"/>
    <x v="0"/>
  </r>
  <r>
    <n v="217"/>
    <x v="52"/>
    <s v="Sales invoice issued"/>
    <x v="1"/>
    <n v="1935.04"/>
    <x v="3"/>
    <x v="2"/>
  </r>
  <r>
    <n v="217"/>
    <x v="52"/>
    <s v="Sales invoice issued"/>
    <x v="1"/>
    <n v="145.13999999999999"/>
    <x v="4"/>
    <x v="3"/>
  </r>
  <r>
    <n v="218"/>
    <x v="52"/>
    <s v="Sales invoice issued"/>
    <x v="166"/>
    <n v="0"/>
    <x v="2"/>
    <x v="0"/>
  </r>
  <r>
    <n v="218"/>
    <x v="52"/>
    <s v="Sales invoice issued"/>
    <x v="1"/>
    <n v="1820.35"/>
    <x v="3"/>
    <x v="2"/>
  </r>
  <r>
    <n v="218"/>
    <x v="52"/>
    <s v="Sales invoice issued"/>
    <x v="1"/>
    <n v="136.53"/>
    <x v="4"/>
    <x v="3"/>
  </r>
  <r>
    <n v="219"/>
    <x v="52"/>
    <s v="Sales invoice issued"/>
    <x v="167"/>
    <n v="0"/>
    <x v="2"/>
    <x v="0"/>
  </r>
  <r>
    <n v="219"/>
    <x v="52"/>
    <s v="Sales invoice issued"/>
    <x v="1"/>
    <n v="460.25"/>
    <x v="3"/>
    <x v="2"/>
  </r>
  <r>
    <n v="219"/>
    <x v="52"/>
    <s v="Sales invoice issued"/>
    <x v="1"/>
    <n v="34.520000000000003"/>
    <x v="4"/>
    <x v="3"/>
  </r>
  <r>
    <n v="220"/>
    <x v="52"/>
    <s v="Sales invoice issued"/>
    <x v="168"/>
    <n v="0"/>
    <x v="2"/>
    <x v="0"/>
  </r>
  <r>
    <n v="220"/>
    <x v="52"/>
    <s v="Sales invoice issued"/>
    <x v="1"/>
    <n v="4774.7700000000004"/>
    <x v="3"/>
    <x v="2"/>
  </r>
  <r>
    <n v="220"/>
    <x v="52"/>
    <s v="Sales invoice issued"/>
    <x v="1"/>
    <n v="358.11"/>
    <x v="4"/>
    <x v="3"/>
  </r>
  <r>
    <n v="221"/>
    <x v="52"/>
    <s v="Customer payment received"/>
    <x v="38"/>
    <n v="0"/>
    <x v="0"/>
    <x v="0"/>
  </r>
  <r>
    <n v="221"/>
    <x v="52"/>
    <s v="Customer payment received"/>
    <x v="1"/>
    <n v="2559.5700000000002"/>
    <x v="2"/>
    <x v="0"/>
  </r>
  <r>
    <n v="222"/>
    <x v="52"/>
    <s v="Customer payment received"/>
    <x v="76"/>
    <n v="0"/>
    <x v="0"/>
    <x v="0"/>
  </r>
  <r>
    <n v="222"/>
    <x v="52"/>
    <s v="Customer payment received"/>
    <x v="1"/>
    <n v="444.06"/>
    <x v="2"/>
    <x v="0"/>
  </r>
  <r>
    <n v="223"/>
    <x v="52"/>
    <s v="Customer payment received"/>
    <x v="100"/>
    <n v="0"/>
    <x v="0"/>
    <x v="0"/>
  </r>
  <r>
    <n v="223"/>
    <x v="52"/>
    <s v="Customer payment received"/>
    <x v="1"/>
    <n v="354.43"/>
    <x v="2"/>
    <x v="0"/>
  </r>
  <r>
    <n v="224"/>
    <x v="52"/>
    <s v="Customer payment received"/>
    <x v="115"/>
    <n v="0"/>
    <x v="0"/>
    <x v="0"/>
  </r>
  <r>
    <n v="224"/>
    <x v="52"/>
    <s v="Customer payment received"/>
    <x v="1"/>
    <n v="5151.59"/>
    <x v="2"/>
    <x v="0"/>
  </r>
  <r>
    <n v="225"/>
    <x v="52"/>
    <s v="Customer payment received"/>
    <x v="139"/>
    <n v="0"/>
    <x v="0"/>
    <x v="0"/>
  </r>
  <r>
    <n v="225"/>
    <x v="52"/>
    <s v="Customer payment received"/>
    <x v="1"/>
    <n v="796.68"/>
    <x v="2"/>
    <x v="0"/>
  </r>
  <r>
    <n v="226"/>
    <x v="53"/>
    <s v="Sales invoice issued"/>
    <x v="169"/>
    <n v="0"/>
    <x v="2"/>
    <x v="0"/>
  </r>
  <r>
    <n v="226"/>
    <x v="53"/>
    <s v="Sales invoice issued"/>
    <x v="1"/>
    <n v="965.07"/>
    <x v="3"/>
    <x v="2"/>
  </r>
  <r>
    <n v="226"/>
    <x v="53"/>
    <s v="Sales invoice issued"/>
    <x v="1"/>
    <n v="72.38"/>
    <x v="4"/>
    <x v="3"/>
  </r>
  <r>
    <n v="227"/>
    <x v="53"/>
    <s v="Sales invoice issued"/>
    <x v="170"/>
    <n v="0"/>
    <x v="2"/>
    <x v="0"/>
  </r>
  <r>
    <n v="227"/>
    <x v="53"/>
    <s v="Sales invoice issued"/>
    <x v="1"/>
    <n v="2666.61"/>
    <x v="3"/>
    <x v="2"/>
  </r>
  <r>
    <n v="227"/>
    <x v="53"/>
    <s v="Sales invoice issued"/>
    <x v="1"/>
    <n v="200"/>
    <x v="4"/>
    <x v="3"/>
  </r>
  <r>
    <n v="228"/>
    <x v="53"/>
    <s v="Customer payment received"/>
    <x v="91"/>
    <n v="0"/>
    <x v="0"/>
    <x v="0"/>
  </r>
  <r>
    <n v="228"/>
    <x v="53"/>
    <s v="Customer payment received"/>
    <x v="1"/>
    <n v="4623.3500000000004"/>
    <x v="2"/>
    <x v="0"/>
  </r>
  <r>
    <n v="229"/>
    <x v="53"/>
    <s v="Customer payment received"/>
    <x v="124"/>
    <n v="0"/>
    <x v="0"/>
    <x v="0"/>
  </r>
  <r>
    <n v="229"/>
    <x v="53"/>
    <s v="Customer payment received"/>
    <x v="1"/>
    <n v="490.82"/>
    <x v="2"/>
    <x v="0"/>
  </r>
  <r>
    <n v="230"/>
    <x v="53"/>
    <s v="Customer payment received"/>
    <x v="170"/>
    <n v="0"/>
    <x v="0"/>
    <x v="0"/>
  </r>
  <r>
    <n v="230"/>
    <x v="53"/>
    <s v="Customer payment received"/>
    <x v="1"/>
    <n v="2866.61"/>
    <x v="2"/>
    <x v="0"/>
  </r>
  <r>
    <n v="231"/>
    <x v="54"/>
    <s v="Sales invoice issued"/>
    <x v="171"/>
    <n v="0"/>
    <x v="2"/>
    <x v="0"/>
  </r>
  <r>
    <n v="231"/>
    <x v="54"/>
    <s v="Sales invoice issued"/>
    <x v="1"/>
    <n v="3288.96"/>
    <x v="3"/>
    <x v="2"/>
  </r>
  <r>
    <n v="231"/>
    <x v="54"/>
    <s v="Sales invoice issued"/>
    <x v="1"/>
    <n v="246.67"/>
    <x v="4"/>
    <x v="3"/>
  </r>
  <r>
    <n v="232"/>
    <x v="54"/>
    <s v="Sales invoice issued"/>
    <x v="172"/>
    <n v="0"/>
    <x v="2"/>
    <x v="0"/>
  </r>
  <r>
    <n v="232"/>
    <x v="54"/>
    <s v="Sales invoice issued"/>
    <x v="1"/>
    <n v="2113.85"/>
    <x v="3"/>
    <x v="2"/>
  </r>
  <r>
    <n v="232"/>
    <x v="54"/>
    <s v="Sales invoice issued"/>
    <x v="1"/>
    <n v="158.54"/>
    <x v="4"/>
    <x v="3"/>
  </r>
  <r>
    <n v="233"/>
    <x v="54"/>
    <s v="Sales invoice issued"/>
    <x v="173"/>
    <n v="0"/>
    <x v="2"/>
    <x v="0"/>
  </r>
  <r>
    <n v="233"/>
    <x v="54"/>
    <s v="Sales invoice issued"/>
    <x v="1"/>
    <n v="1771.27"/>
    <x v="3"/>
    <x v="2"/>
  </r>
  <r>
    <n v="233"/>
    <x v="54"/>
    <s v="Sales invoice issued"/>
    <x v="1"/>
    <n v="132.84"/>
    <x v="4"/>
    <x v="3"/>
  </r>
  <r>
    <n v="234"/>
    <x v="54"/>
    <s v="Sales invoice issued"/>
    <x v="174"/>
    <n v="0"/>
    <x v="2"/>
    <x v="0"/>
  </r>
  <r>
    <n v="234"/>
    <x v="54"/>
    <s v="Sales invoice issued"/>
    <x v="1"/>
    <n v="623.47"/>
    <x v="3"/>
    <x v="2"/>
  </r>
  <r>
    <n v="234"/>
    <x v="54"/>
    <s v="Sales invoice issued"/>
    <x v="1"/>
    <n v="46.75"/>
    <x v="4"/>
    <x v="3"/>
  </r>
  <r>
    <n v="235"/>
    <x v="54"/>
    <s v="Sales invoice issued"/>
    <x v="175"/>
    <n v="0"/>
    <x v="2"/>
    <x v="0"/>
  </r>
  <r>
    <n v="235"/>
    <x v="54"/>
    <s v="Sales invoice issued"/>
    <x v="1"/>
    <n v="196.52"/>
    <x v="3"/>
    <x v="2"/>
  </r>
  <r>
    <n v="235"/>
    <x v="54"/>
    <s v="Sales invoice issued"/>
    <x v="1"/>
    <n v="14.74"/>
    <x v="4"/>
    <x v="3"/>
  </r>
  <r>
    <n v="236"/>
    <x v="54"/>
    <s v="Customer payment received"/>
    <x v="88"/>
    <n v="0"/>
    <x v="0"/>
    <x v="0"/>
  </r>
  <r>
    <n v="236"/>
    <x v="54"/>
    <s v="Customer payment received"/>
    <x v="1"/>
    <n v="677.83"/>
    <x v="2"/>
    <x v="0"/>
  </r>
  <r>
    <n v="237"/>
    <x v="54"/>
    <s v="Customer payment received"/>
    <x v="106"/>
    <n v="0"/>
    <x v="0"/>
    <x v="0"/>
  </r>
  <r>
    <n v="237"/>
    <x v="54"/>
    <s v="Customer payment received"/>
    <x v="1"/>
    <n v="877.92"/>
    <x v="2"/>
    <x v="0"/>
  </r>
  <r>
    <n v="238"/>
    <x v="54"/>
    <s v="Customer payment received"/>
    <x v="110"/>
    <n v="0"/>
    <x v="0"/>
    <x v="0"/>
  </r>
  <r>
    <n v="238"/>
    <x v="54"/>
    <s v="Customer payment received"/>
    <x v="1"/>
    <n v="2151.3000000000002"/>
    <x v="2"/>
    <x v="0"/>
  </r>
  <r>
    <n v="239"/>
    <x v="54"/>
    <s v="Customer payment received"/>
    <x v="142"/>
    <n v="0"/>
    <x v="0"/>
    <x v="0"/>
  </r>
  <r>
    <n v="239"/>
    <x v="54"/>
    <s v="Customer payment received"/>
    <x v="1"/>
    <n v="1930.29"/>
    <x v="2"/>
    <x v="0"/>
  </r>
  <r>
    <n v="240"/>
    <x v="54"/>
    <s v="Customer payment received"/>
    <x v="143"/>
    <n v="0"/>
    <x v="0"/>
    <x v="0"/>
  </r>
  <r>
    <n v="240"/>
    <x v="54"/>
    <s v="Customer payment received"/>
    <x v="1"/>
    <n v="2762.6"/>
    <x v="2"/>
    <x v="0"/>
  </r>
  <r>
    <n v="241"/>
    <x v="54"/>
    <s v="Customer payment received"/>
    <x v="167"/>
    <n v="0"/>
    <x v="0"/>
    <x v="0"/>
  </r>
  <r>
    <n v="241"/>
    <x v="54"/>
    <s v="Customer payment received"/>
    <x v="1"/>
    <n v="494.77"/>
    <x v="2"/>
    <x v="0"/>
  </r>
  <r>
    <n v="242"/>
    <x v="54"/>
    <s v="Customer payment received"/>
    <x v="169"/>
    <n v="0"/>
    <x v="0"/>
    <x v="0"/>
  </r>
  <r>
    <n v="242"/>
    <x v="54"/>
    <s v="Customer payment received"/>
    <x v="1"/>
    <n v="1037.45"/>
    <x v="2"/>
    <x v="0"/>
  </r>
  <r>
    <n v="243"/>
    <x v="54"/>
    <s v="Supplier invoice received"/>
    <x v="35"/>
    <n v="0"/>
    <x v="9"/>
    <x v="4"/>
  </r>
  <r>
    <n v="243"/>
    <x v="54"/>
    <s v="Supplier invoice received"/>
    <x v="36"/>
    <n v="0"/>
    <x v="10"/>
    <x v="0"/>
  </r>
  <r>
    <n v="243"/>
    <x v="54"/>
    <s v="Supplier invoice received"/>
    <x v="1"/>
    <n v="1023.42"/>
    <x v="11"/>
    <x v="3"/>
  </r>
  <r>
    <n v="244"/>
    <x v="54"/>
    <s v="Supplier invoice received"/>
    <x v="43"/>
    <n v="0"/>
    <x v="9"/>
    <x v="4"/>
  </r>
  <r>
    <n v="244"/>
    <x v="54"/>
    <s v="Supplier invoice received"/>
    <x v="44"/>
    <n v="0"/>
    <x v="10"/>
    <x v="0"/>
  </r>
  <r>
    <n v="244"/>
    <x v="54"/>
    <s v="Supplier invoice received"/>
    <x v="1"/>
    <n v="2504.23"/>
    <x v="11"/>
    <x v="3"/>
  </r>
  <r>
    <n v="245"/>
    <x v="55"/>
    <s v="Customer payment received"/>
    <x v="72"/>
    <n v="0"/>
    <x v="0"/>
    <x v="0"/>
  </r>
  <r>
    <n v="245"/>
    <x v="55"/>
    <s v="Customer payment received"/>
    <x v="1"/>
    <n v="324.32"/>
    <x v="2"/>
    <x v="0"/>
  </r>
  <r>
    <n v="246"/>
    <x v="55"/>
    <s v="Customer payment received"/>
    <x v="116"/>
    <n v="0"/>
    <x v="0"/>
    <x v="0"/>
  </r>
  <r>
    <n v="246"/>
    <x v="55"/>
    <s v="Customer payment received"/>
    <x v="1"/>
    <n v="3148.1"/>
    <x v="2"/>
    <x v="0"/>
  </r>
  <r>
    <n v="247"/>
    <x v="55"/>
    <s v="Customer payment received"/>
    <x v="132"/>
    <n v="0"/>
    <x v="0"/>
    <x v="0"/>
  </r>
  <r>
    <n v="247"/>
    <x v="55"/>
    <s v="Customer payment received"/>
    <x v="1"/>
    <n v="1410.87"/>
    <x v="2"/>
    <x v="0"/>
  </r>
  <r>
    <n v="248"/>
    <x v="55"/>
    <s v="Customer payment received"/>
    <x v="140"/>
    <n v="0"/>
    <x v="0"/>
    <x v="0"/>
  </r>
  <r>
    <n v="248"/>
    <x v="55"/>
    <s v="Customer payment received"/>
    <x v="1"/>
    <n v="3892.96"/>
    <x v="2"/>
    <x v="0"/>
  </r>
  <r>
    <n v="249"/>
    <x v="55"/>
    <s v="Customer payment received"/>
    <x v="173"/>
    <n v="0"/>
    <x v="0"/>
    <x v="0"/>
  </r>
  <r>
    <n v="249"/>
    <x v="55"/>
    <s v="Customer payment received"/>
    <x v="1"/>
    <n v="1904.11"/>
    <x v="2"/>
    <x v="0"/>
  </r>
  <r>
    <n v="250"/>
    <x v="55"/>
    <s v="Supplier invoice received"/>
    <x v="176"/>
    <n v="0"/>
    <x v="9"/>
    <x v="4"/>
  </r>
  <r>
    <n v="250"/>
    <x v="55"/>
    <s v="Supplier invoice received"/>
    <x v="177"/>
    <n v="0"/>
    <x v="10"/>
    <x v="0"/>
  </r>
  <r>
    <n v="250"/>
    <x v="55"/>
    <s v="Supplier invoice received"/>
    <x v="1"/>
    <n v="1159.8399999999999"/>
    <x v="11"/>
    <x v="3"/>
  </r>
  <r>
    <n v="251"/>
    <x v="56"/>
    <s v="Sales invoice issued"/>
    <x v="178"/>
    <n v="0"/>
    <x v="2"/>
    <x v="0"/>
  </r>
  <r>
    <n v="251"/>
    <x v="56"/>
    <s v="Sales invoice issued"/>
    <x v="1"/>
    <n v="342.06"/>
    <x v="3"/>
    <x v="2"/>
  </r>
  <r>
    <n v="251"/>
    <x v="56"/>
    <s v="Sales invoice issued"/>
    <x v="1"/>
    <n v="25.65"/>
    <x v="4"/>
    <x v="3"/>
  </r>
  <r>
    <n v="252"/>
    <x v="56"/>
    <s v="Sales invoice issued"/>
    <x v="179"/>
    <n v="0"/>
    <x v="2"/>
    <x v="0"/>
  </r>
  <r>
    <n v="252"/>
    <x v="56"/>
    <s v="Sales invoice issued"/>
    <x v="1"/>
    <n v="1596.05"/>
    <x v="3"/>
    <x v="2"/>
  </r>
  <r>
    <n v="252"/>
    <x v="56"/>
    <s v="Sales invoice issued"/>
    <x v="1"/>
    <n v="119.72"/>
    <x v="4"/>
    <x v="3"/>
  </r>
  <r>
    <n v="253"/>
    <x v="56"/>
    <s v="Sales invoice issued"/>
    <x v="180"/>
    <n v="0"/>
    <x v="2"/>
    <x v="0"/>
  </r>
  <r>
    <n v="253"/>
    <x v="56"/>
    <s v="Sales invoice issued"/>
    <x v="1"/>
    <n v="1522.3"/>
    <x v="3"/>
    <x v="2"/>
  </r>
  <r>
    <n v="253"/>
    <x v="56"/>
    <s v="Sales invoice issued"/>
    <x v="1"/>
    <n v="114.18"/>
    <x v="4"/>
    <x v="3"/>
  </r>
  <r>
    <n v="254"/>
    <x v="56"/>
    <s v="Sales invoice issued"/>
    <x v="181"/>
    <n v="0"/>
    <x v="2"/>
    <x v="0"/>
  </r>
  <r>
    <n v="254"/>
    <x v="56"/>
    <s v="Sales invoice issued"/>
    <x v="1"/>
    <n v="1832.46"/>
    <x v="3"/>
    <x v="2"/>
  </r>
  <r>
    <n v="254"/>
    <x v="56"/>
    <s v="Sales invoice issued"/>
    <x v="1"/>
    <n v="137.44"/>
    <x v="4"/>
    <x v="3"/>
  </r>
  <r>
    <n v="255"/>
    <x v="56"/>
    <s v="Sales invoice issued"/>
    <x v="182"/>
    <n v="0"/>
    <x v="2"/>
    <x v="0"/>
  </r>
  <r>
    <n v="255"/>
    <x v="56"/>
    <s v="Sales invoice issued"/>
    <x v="1"/>
    <n v="3469.63"/>
    <x v="3"/>
    <x v="2"/>
  </r>
  <r>
    <n v="255"/>
    <x v="56"/>
    <s v="Sales invoice issued"/>
    <x v="1"/>
    <n v="260.20999999999998"/>
    <x v="4"/>
    <x v="3"/>
  </r>
  <r>
    <n v="256"/>
    <x v="56"/>
    <s v="Customer payment received"/>
    <x v="107"/>
    <n v="0"/>
    <x v="0"/>
    <x v="0"/>
  </r>
  <r>
    <n v="256"/>
    <x v="56"/>
    <s v="Customer payment received"/>
    <x v="1"/>
    <n v="357.47"/>
    <x v="2"/>
    <x v="0"/>
  </r>
  <r>
    <n v="257"/>
    <x v="56"/>
    <s v="Customer payment received"/>
    <x v="141"/>
    <n v="0"/>
    <x v="0"/>
    <x v="0"/>
  </r>
  <r>
    <n v="257"/>
    <x v="56"/>
    <s v="Customer payment received"/>
    <x v="1"/>
    <n v="2930.15"/>
    <x v="2"/>
    <x v="0"/>
  </r>
  <r>
    <n v="258"/>
    <x v="56"/>
    <s v="Customer payment received"/>
    <x v="155"/>
    <n v="0"/>
    <x v="0"/>
    <x v="0"/>
  </r>
  <r>
    <n v="258"/>
    <x v="56"/>
    <s v="Customer payment received"/>
    <x v="1"/>
    <n v="3785.42"/>
    <x v="2"/>
    <x v="0"/>
  </r>
  <r>
    <n v="259"/>
    <x v="56"/>
    <s v="Supplier invoice received"/>
    <x v="183"/>
    <n v="0"/>
    <x v="9"/>
    <x v="4"/>
  </r>
  <r>
    <n v="259"/>
    <x v="56"/>
    <s v="Supplier invoice received"/>
    <x v="184"/>
    <n v="0"/>
    <x v="10"/>
    <x v="0"/>
  </r>
  <r>
    <n v="259"/>
    <x v="56"/>
    <s v="Supplier invoice received"/>
    <x v="1"/>
    <n v="7227.44"/>
    <x v="11"/>
    <x v="3"/>
  </r>
  <r>
    <n v="260"/>
    <x v="56"/>
    <s v="Supplier payment made"/>
    <x v="185"/>
    <n v="0"/>
    <x v="11"/>
    <x v="3"/>
  </r>
  <r>
    <n v="260"/>
    <x v="56"/>
    <s v="Supplier payment made"/>
    <x v="1"/>
    <n v="1794.11"/>
    <x v="0"/>
    <x v="0"/>
  </r>
  <r>
    <n v="261"/>
    <x v="57"/>
    <s v="Sales invoice issued"/>
    <x v="186"/>
    <n v="0"/>
    <x v="2"/>
    <x v="0"/>
  </r>
  <r>
    <n v="261"/>
    <x v="57"/>
    <s v="Sales invoice issued"/>
    <x v="1"/>
    <n v="3269.73"/>
    <x v="3"/>
    <x v="2"/>
  </r>
  <r>
    <n v="261"/>
    <x v="57"/>
    <s v="Sales invoice issued"/>
    <x v="1"/>
    <n v="245.23"/>
    <x v="4"/>
    <x v="3"/>
  </r>
  <r>
    <n v="262"/>
    <x v="57"/>
    <s v="Sales invoice issued"/>
    <x v="187"/>
    <n v="0"/>
    <x v="2"/>
    <x v="0"/>
  </r>
  <r>
    <n v="262"/>
    <x v="57"/>
    <s v="Sales invoice issued"/>
    <x v="1"/>
    <n v="2858.69"/>
    <x v="3"/>
    <x v="2"/>
  </r>
  <r>
    <n v="262"/>
    <x v="57"/>
    <s v="Sales invoice issued"/>
    <x v="1"/>
    <n v="214.41"/>
    <x v="4"/>
    <x v="3"/>
  </r>
  <r>
    <n v="263"/>
    <x v="57"/>
    <s v="Sales invoice issued"/>
    <x v="188"/>
    <n v="0"/>
    <x v="2"/>
    <x v="0"/>
  </r>
  <r>
    <n v="263"/>
    <x v="57"/>
    <s v="Sales invoice issued"/>
    <x v="1"/>
    <n v="1409.57"/>
    <x v="3"/>
    <x v="2"/>
  </r>
  <r>
    <n v="263"/>
    <x v="57"/>
    <s v="Sales invoice issued"/>
    <x v="1"/>
    <n v="105.72"/>
    <x v="4"/>
    <x v="3"/>
  </r>
  <r>
    <n v="264"/>
    <x v="57"/>
    <s v="Sales invoice issued"/>
    <x v="189"/>
    <n v="0"/>
    <x v="2"/>
    <x v="0"/>
  </r>
  <r>
    <n v="264"/>
    <x v="57"/>
    <s v="Sales invoice issued"/>
    <x v="1"/>
    <n v="965.14"/>
    <x v="3"/>
    <x v="2"/>
  </r>
  <r>
    <n v="264"/>
    <x v="57"/>
    <s v="Sales invoice issued"/>
    <x v="1"/>
    <n v="72.39"/>
    <x v="4"/>
    <x v="3"/>
  </r>
  <r>
    <n v="265"/>
    <x v="57"/>
    <s v="Supplier invoice received"/>
    <x v="190"/>
    <n v="0"/>
    <x v="9"/>
    <x v="4"/>
  </r>
  <r>
    <n v="265"/>
    <x v="57"/>
    <s v="Supplier invoice received"/>
    <x v="191"/>
    <n v="0"/>
    <x v="10"/>
    <x v="0"/>
  </r>
  <r>
    <n v="265"/>
    <x v="57"/>
    <s v="Supplier invoice received"/>
    <x v="1"/>
    <n v="1958.74"/>
    <x v="11"/>
    <x v="3"/>
  </r>
  <r>
    <n v="266"/>
    <x v="57"/>
    <s v="Supplier invoice received"/>
    <x v="192"/>
    <n v="0"/>
    <x v="9"/>
    <x v="4"/>
  </r>
  <r>
    <n v="266"/>
    <x v="57"/>
    <s v="Supplier invoice received"/>
    <x v="193"/>
    <n v="0"/>
    <x v="10"/>
    <x v="0"/>
  </r>
  <r>
    <n v="266"/>
    <x v="57"/>
    <s v="Supplier invoice received"/>
    <x v="1"/>
    <n v="3868.8"/>
    <x v="11"/>
    <x v="3"/>
  </r>
  <r>
    <n v="267"/>
    <x v="58"/>
    <s v="Sales invoice issued"/>
    <x v="194"/>
    <n v="0"/>
    <x v="2"/>
    <x v="0"/>
  </r>
  <r>
    <n v="267"/>
    <x v="58"/>
    <s v="Sales invoice issued"/>
    <x v="1"/>
    <n v="2568.8000000000002"/>
    <x v="3"/>
    <x v="2"/>
  </r>
  <r>
    <n v="267"/>
    <x v="58"/>
    <s v="Sales invoice issued"/>
    <x v="1"/>
    <n v="192.66"/>
    <x v="4"/>
    <x v="3"/>
  </r>
  <r>
    <n v="268"/>
    <x v="58"/>
    <s v="Sales invoice issued"/>
    <x v="195"/>
    <n v="0"/>
    <x v="2"/>
    <x v="0"/>
  </r>
  <r>
    <n v="268"/>
    <x v="58"/>
    <s v="Sales invoice issued"/>
    <x v="1"/>
    <n v="843.24"/>
    <x v="3"/>
    <x v="2"/>
  </r>
  <r>
    <n v="268"/>
    <x v="58"/>
    <s v="Sales invoice issued"/>
    <x v="1"/>
    <n v="63.24"/>
    <x v="4"/>
    <x v="3"/>
  </r>
  <r>
    <n v="269"/>
    <x v="58"/>
    <s v="Customer payment received"/>
    <x v="39"/>
    <n v="0"/>
    <x v="0"/>
    <x v="0"/>
  </r>
  <r>
    <n v="269"/>
    <x v="58"/>
    <s v="Customer payment received"/>
    <x v="1"/>
    <n v="2520.4899999999998"/>
    <x v="2"/>
    <x v="0"/>
  </r>
  <r>
    <n v="270"/>
    <x v="58"/>
    <s v="Customer payment received"/>
    <x v="154"/>
    <n v="0"/>
    <x v="0"/>
    <x v="0"/>
  </r>
  <r>
    <n v="270"/>
    <x v="58"/>
    <s v="Customer payment received"/>
    <x v="1"/>
    <n v="87.62"/>
    <x v="2"/>
    <x v="0"/>
  </r>
  <r>
    <n v="271"/>
    <x v="58"/>
    <s v="Customer payment received"/>
    <x v="174"/>
    <n v="0"/>
    <x v="0"/>
    <x v="0"/>
  </r>
  <r>
    <n v="271"/>
    <x v="58"/>
    <s v="Customer payment received"/>
    <x v="1"/>
    <n v="670.22"/>
    <x v="2"/>
    <x v="0"/>
  </r>
  <r>
    <n v="272"/>
    <x v="58"/>
    <s v="Supplier invoice received"/>
    <x v="151"/>
    <n v="0"/>
    <x v="9"/>
    <x v="4"/>
  </r>
  <r>
    <n v="272"/>
    <x v="58"/>
    <s v="Supplier invoice received"/>
    <x v="152"/>
    <n v="0"/>
    <x v="10"/>
    <x v="0"/>
  </r>
  <r>
    <n v="272"/>
    <x v="58"/>
    <s v="Supplier invoice received"/>
    <x v="1"/>
    <n v="201.5"/>
    <x v="11"/>
    <x v="3"/>
  </r>
  <r>
    <n v="273"/>
    <x v="58"/>
    <s v="Supplier invoice received"/>
    <x v="134"/>
    <n v="0"/>
    <x v="9"/>
    <x v="4"/>
  </r>
  <r>
    <n v="273"/>
    <x v="58"/>
    <s v="Supplier invoice received"/>
    <x v="135"/>
    <n v="0"/>
    <x v="10"/>
    <x v="0"/>
  </r>
  <r>
    <n v="273"/>
    <x v="58"/>
    <s v="Supplier invoice received"/>
    <x v="1"/>
    <n v="276.32"/>
    <x v="11"/>
    <x v="3"/>
  </r>
  <r>
    <n v="274"/>
    <x v="59"/>
    <s v="Sales invoice issued"/>
    <x v="196"/>
    <n v="0"/>
    <x v="2"/>
    <x v="0"/>
  </r>
  <r>
    <n v="274"/>
    <x v="59"/>
    <s v="Sales invoice issued"/>
    <x v="1"/>
    <n v="2952.22"/>
    <x v="3"/>
    <x v="2"/>
  </r>
  <r>
    <n v="274"/>
    <x v="59"/>
    <s v="Sales invoice issued"/>
    <x v="1"/>
    <n v="221.42"/>
    <x v="4"/>
    <x v="3"/>
  </r>
  <r>
    <n v="275"/>
    <x v="59"/>
    <s v="Sales invoice issued"/>
    <x v="197"/>
    <n v="0"/>
    <x v="2"/>
    <x v="0"/>
  </r>
  <r>
    <n v="275"/>
    <x v="59"/>
    <s v="Sales invoice issued"/>
    <x v="1"/>
    <n v="2874.19"/>
    <x v="3"/>
    <x v="2"/>
  </r>
  <r>
    <n v="275"/>
    <x v="59"/>
    <s v="Sales invoice issued"/>
    <x v="1"/>
    <n v="215.58"/>
    <x v="4"/>
    <x v="3"/>
  </r>
  <r>
    <n v="276"/>
    <x v="59"/>
    <s v="Sales invoice issued"/>
    <x v="198"/>
    <n v="0"/>
    <x v="2"/>
    <x v="0"/>
  </r>
  <r>
    <n v="276"/>
    <x v="59"/>
    <s v="Sales invoice issued"/>
    <x v="1"/>
    <n v="756.94"/>
    <x v="3"/>
    <x v="2"/>
  </r>
  <r>
    <n v="276"/>
    <x v="59"/>
    <s v="Sales invoice issued"/>
    <x v="1"/>
    <n v="56.77"/>
    <x v="4"/>
    <x v="3"/>
  </r>
  <r>
    <n v="277"/>
    <x v="59"/>
    <s v="Customer payment received"/>
    <x v="126"/>
    <n v="0"/>
    <x v="0"/>
    <x v="0"/>
  </r>
  <r>
    <n v="277"/>
    <x v="59"/>
    <s v="Customer payment received"/>
    <x v="1"/>
    <n v="334.5"/>
    <x v="2"/>
    <x v="0"/>
  </r>
  <r>
    <n v="278"/>
    <x v="59"/>
    <s v="Supplier invoice received"/>
    <x v="120"/>
    <n v="0"/>
    <x v="9"/>
    <x v="4"/>
  </r>
  <r>
    <n v="278"/>
    <x v="59"/>
    <s v="Supplier invoice received"/>
    <x v="121"/>
    <n v="0"/>
    <x v="10"/>
    <x v="0"/>
  </r>
  <r>
    <n v="278"/>
    <x v="59"/>
    <s v="Supplier invoice received"/>
    <x v="1"/>
    <n v="748.26"/>
    <x v="11"/>
    <x v="3"/>
  </r>
  <r>
    <n v="279"/>
    <x v="59"/>
    <s v="Supplier invoice received"/>
    <x v="21"/>
    <n v="0"/>
    <x v="9"/>
    <x v="4"/>
  </r>
  <r>
    <n v="279"/>
    <x v="59"/>
    <s v="Supplier invoice received"/>
    <x v="22"/>
    <n v="0"/>
    <x v="10"/>
    <x v="0"/>
  </r>
  <r>
    <n v="279"/>
    <x v="59"/>
    <s v="Supplier invoice received"/>
    <x v="1"/>
    <n v="3528.97"/>
    <x v="11"/>
    <x v="3"/>
  </r>
  <r>
    <n v="280"/>
    <x v="59"/>
    <s v="Supplier payment made"/>
    <x v="45"/>
    <n v="0"/>
    <x v="11"/>
    <x v="3"/>
  </r>
  <r>
    <n v="280"/>
    <x v="59"/>
    <s v="Supplier payment made"/>
    <x v="1"/>
    <n v="1023.42"/>
    <x v="0"/>
    <x v="0"/>
  </r>
  <r>
    <n v="281"/>
    <x v="59"/>
    <s v="Supplier payment made"/>
    <x v="199"/>
    <n v="0"/>
    <x v="11"/>
    <x v="3"/>
  </r>
  <r>
    <n v="281"/>
    <x v="59"/>
    <s v="Supplier payment made"/>
    <x v="1"/>
    <n v="179.01"/>
    <x v="0"/>
    <x v="0"/>
  </r>
  <r>
    <n v="282"/>
    <x v="59"/>
    <s v="Supplier payment made"/>
    <x v="45"/>
    <n v="0"/>
    <x v="11"/>
    <x v="3"/>
  </r>
  <r>
    <n v="282"/>
    <x v="59"/>
    <s v="Supplier payment made"/>
    <x v="1"/>
    <n v="1023.42"/>
    <x v="0"/>
    <x v="0"/>
  </r>
  <r>
    <n v="283"/>
    <x v="59"/>
    <s v="Supplier payment made"/>
    <x v="200"/>
    <n v="0"/>
    <x v="11"/>
    <x v="3"/>
  </r>
  <r>
    <n v="283"/>
    <x v="59"/>
    <s v="Supplier payment made"/>
    <x v="1"/>
    <n v="1159.8399999999999"/>
    <x v="0"/>
    <x v="0"/>
  </r>
  <r>
    <n v="284"/>
    <x v="59"/>
    <s v="Supplier payment made"/>
    <x v="201"/>
    <n v="0"/>
    <x v="11"/>
    <x v="3"/>
  </r>
  <r>
    <n v="284"/>
    <x v="59"/>
    <s v="Supplier payment made"/>
    <x v="1"/>
    <n v="1958.74"/>
    <x v="0"/>
    <x v="0"/>
  </r>
  <r>
    <n v="285"/>
    <x v="60"/>
    <s v="Customer payment received"/>
    <x v="98"/>
    <n v="0"/>
    <x v="0"/>
    <x v="0"/>
  </r>
  <r>
    <n v="285"/>
    <x v="60"/>
    <s v="Customer payment received"/>
    <x v="1"/>
    <n v="1116.69"/>
    <x v="2"/>
    <x v="0"/>
  </r>
  <r>
    <n v="286"/>
    <x v="60"/>
    <s v="Customer payment received"/>
    <x v="119"/>
    <n v="0"/>
    <x v="0"/>
    <x v="0"/>
  </r>
  <r>
    <n v="286"/>
    <x v="60"/>
    <s v="Customer payment received"/>
    <x v="1"/>
    <n v="353.57"/>
    <x v="2"/>
    <x v="0"/>
  </r>
  <r>
    <n v="287"/>
    <x v="60"/>
    <s v="Supplier payment made"/>
    <x v="32"/>
    <n v="0"/>
    <x v="11"/>
    <x v="3"/>
  </r>
  <r>
    <n v="287"/>
    <x v="60"/>
    <s v="Supplier payment made"/>
    <x v="1"/>
    <n v="3528.97"/>
    <x v="0"/>
    <x v="0"/>
  </r>
  <r>
    <n v="288"/>
    <x v="61"/>
    <s v="Sales invoice issued"/>
    <x v="202"/>
    <n v="0"/>
    <x v="2"/>
    <x v="0"/>
  </r>
  <r>
    <n v="288"/>
    <x v="61"/>
    <s v="Sales invoice issued"/>
    <x v="1"/>
    <n v="2665.49"/>
    <x v="3"/>
    <x v="2"/>
  </r>
  <r>
    <n v="288"/>
    <x v="61"/>
    <s v="Sales invoice issued"/>
    <x v="1"/>
    <n v="199.92"/>
    <x v="4"/>
    <x v="3"/>
  </r>
  <r>
    <n v="289"/>
    <x v="61"/>
    <s v="Sales invoice issued"/>
    <x v="203"/>
    <n v="0"/>
    <x v="2"/>
    <x v="0"/>
  </r>
  <r>
    <n v="289"/>
    <x v="61"/>
    <s v="Sales invoice issued"/>
    <x v="1"/>
    <n v="2439.0700000000002"/>
    <x v="3"/>
    <x v="2"/>
  </r>
  <r>
    <n v="289"/>
    <x v="61"/>
    <s v="Sales invoice issued"/>
    <x v="1"/>
    <n v="182.93"/>
    <x v="4"/>
    <x v="3"/>
  </r>
  <r>
    <n v="290"/>
    <x v="61"/>
    <s v="Customer payment received"/>
    <x v="144"/>
    <n v="0"/>
    <x v="0"/>
    <x v="0"/>
  </r>
  <r>
    <n v="290"/>
    <x v="61"/>
    <s v="Customer payment received"/>
    <x v="1"/>
    <n v="262.87"/>
    <x v="2"/>
    <x v="0"/>
  </r>
  <r>
    <n v="291"/>
    <x v="61"/>
    <s v="Customer payment received"/>
    <x v="194"/>
    <n v="0"/>
    <x v="0"/>
    <x v="0"/>
  </r>
  <r>
    <n v="291"/>
    <x v="61"/>
    <s v="Customer payment received"/>
    <x v="1"/>
    <n v="2761.46"/>
    <x v="2"/>
    <x v="0"/>
  </r>
  <r>
    <n v="292"/>
    <x v="61"/>
    <s v="Supplier payment made"/>
    <x v="162"/>
    <n v="0"/>
    <x v="11"/>
    <x v="3"/>
  </r>
  <r>
    <n v="292"/>
    <x v="61"/>
    <s v="Supplier payment made"/>
    <x v="1"/>
    <n v="201.5"/>
    <x v="0"/>
    <x v="0"/>
  </r>
  <r>
    <n v="293"/>
    <x v="62"/>
    <s v="Payroll processed"/>
    <x v="28"/>
    <n v="0"/>
    <x v="5"/>
    <x v="4"/>
  </r>
  <r>
    <n v="293"/>
    <x v="62"/>
    <s v="Payroll processed"/>
    <x v="29"/>
    <n v="0"/>
    <x v="6"/>
    <x v="4"/>
  </r>
  <r>
    <n v="293"/>
    <x v="62"/>
    <s v="Payroll processed"/>
    <x v="1"/>
    <n v="17437.03"/>
    <x v="0"/>
    <x v="0"/>
  </r>
  <r>
    <n v="293"/>
    <x v="62"/>
    <s v="Payroll processed"/>
    <x v="1"/>
    <n v="3870.65"/>
    <x v="7"/>
    <x v="3"/>
  </r>
  <r>
    <n v="293"/>
    <x v="62"/>
    <s v="Payroll processed"/>
    <x v="1"/>
    <n v="852.32"/>
    <x v="8"/>
    <x v="3"/>
  </r>
  <r>
    <n v="294"/>
    <x v="62"/>
    <s v="Sales invoice issued"/>
    <x v="204"/>
    <n v="0"/>
    <x v="2"/>
    <x v="0"/>
  </r>
  <r>
    <n v="294"/>
    <x v="62"/>
    <s v="Sales invoice issued"/>
    <x v="1"/>
    <n v="1459.11"/>
    <x v="3"/>
    <x v="2"/>
  </r>
  <r>
    <n v="294"/>
    <x v="62"/>
    <s v="Sales invoice issued"/>
    <x v="1"/>
    <n v="109.44"/>
    <x v="4"/>
    <x v="3"/>
  </r>
  <r>
    <n v="295"/>
    <x v="62"/>
    <s v="Customer payment received"/>
    <x v="93"/>
    <n v="0"/>
    <x v="0"/>
    <x v="0"/>
  </r>
  <r>
    <n v="295"/>
    <x v="62"/>
    <s v="Customer payment received"/>
    <x v="1"/>
    <n v="3503.64"/>
    <x v="2"/>
    <x v="0"/>
  </r>
  <r>
    <n v="296"/>
    <x v="62"/>
    <s v="Customer payment received"/>
    <x v="153"/>
    <n v="0"/>
    <x v="0"/>
    <x v="0"/>
  </r>
  <r>
    <n v="296"/>
    <x v="62"/>
    <s v="Customer payment received"/>
    <x v="1"/>
    <n v="825.49"/>
    <x v="2"/>
    <x v="0"/>
  </r>
  <r>
    <n v="297"/>
    <x v="62"/>
    <s v="Customer payment received"/>
    <x v="180"/>
    <n v="0"/>
    <x v="0"/>
    <x v="0"/>
  </r>
  <r>
    <n v="297"/>
    <x v="62"/>
    <s v="Customer payment received"/>
    <x v="1"/>
    <n v="1636.48"/>
    <x v="2"/>
    <x v="0"/>
  </r>
  <r>
    <n v="298"/>
    <x v="62"/>
    <s v="Customer payment received"/>
    <x v="203"/>
    <n v="0"/>
    <x v="0"/>
    <x v="0"/>
  </r>
  <r>
    <n v="298"/>
    <x v="62"/>
    <s v="Customer payment received"/>
    <x v="1"/>
    <n v="2622"/>
    <x v="2"/>
    <x v="0"/>
  </r>
  <r>
    <n v="299"/>
    <x v="63"/>
    <s v="Sales invoice issued"/>
    <x v="205"/>
    <n v="0"/>
    <x v="2"/>
    <x v="0"/>
  </r>
  <r>
    <n v="299"/>
    <x v="63"/>
    <s v="Sales invoice issued"/>
    <x v="1"/>
    <n v="1705.38"/>
    <x v="3"/>
    <x v="2"/>
  </r>
  <r>
    <n v="299"/>
    <x v="63"/>
    <s v="Sales invoice issued"/>
    <x v="1"/>
    <n v="127.9"/>
    <x v="4"/>
    <x v="3"/>
  </r>
  <r>
    <n v="300"/>
    <x v="63"/>
    <s v="Sales invoice issued"/>
    <x v="206"/>
    <n v="0"/>
    <x v="2"/>
    <x v="0"/>
  </r>
  <r>
    <n v="300"/>
    <x v="63"/>
    <s v="Sales invoice issued"/>
    <x v="1"/>
    <n v="2466.8200000000002"/>
    <x v="3"/>
    <x v="2"/>
  </r>
  <r>
    <n v="300"/>
    <x v="63"/>
    <s v="Sales invoice issued"/>
    <x v="1"/>
    <n v="185.01"/>
    <x v="4"/>
    <x v="3"/>
  </r>
  <r>
    <n v="301"/>
    <x v="63"/>
    <s v="Sales invoice issued"/>
    <x v="207"/>
    <n v="0"/>
    <x v="2"/>
    <x v="0"/>
  </r>
  <r>
    <n v="301"/>
    <x v="63"/>
    <s v="Sales invoice issued"/>
    <x v="1"/>
    <n v="2156"/>
    <x v="3"/>
    <x v="2"/>
  </r>
  <r>
    <n v="301"/>
    <x v="63"/>
    <s v="Sales invoice issued"/>
    <x v="1"/>
    <n v="161.71"/>
    <x v="4"/>
    <x v="3"/>
  </r>
  <r>
    <n v="302"/>
    <x v="63"/>
    <s v="Customer payment received"/>
    <x v="179"/>
    <n v="0"/>
    <x v="0"/>
    <x v="0"/>
  </r>
  <r>
    <n v="302"/>
    <x v="63"/>
    <s v="Customer payment received"/>
    <x v="1"/>
    <n v="1715.77"/>
    <x v="2"/>
    <x v="0"/>
  </r>
  <r>
    <n v="303"/>
    <x v="63"/>
    <s v="Supplier invoice received"/>
    <x v="104"/>
    <n v="0"/>
    <x v="9"/>
    <x v="4"/>
  </r>
  <r>
    <n v="303"/>
    <x v="63"/>
    <s v="Supplier invoice received"/>
    <x v="105"/>
    <n v="0"/>
    <x v="10"/>
    <x v="0"/>
  </r>
  <r>
    <n v="303"/>
    <x v="63"/>
    <s v="Supplier invoice received"/>
    <x v="1"/>
    <n v="412.54"/>
    <x v="11"/>
    <x v="3"/>
  </r>
  <r>
    <n v="304"/>
    <x v="64"/>
    <s v="Depreciation â€” POS System"/>
    <x v="56"/>
    <n v="0"/>
    <x v="12"/>
    <x v="4"/>
  </r>
  <r>
    <n v="304"/>
    <x v="64"/>
    <s v="Depreciation â€” POS System"/>
    <x v="1"/>
    <n v="93.61"/>
    <x v="13"/>
    <x v="0"/>
  </r>
  <r>
    <n v="305"/>
    <x v="64"/>
    <s v="Depreciation â€” Laptop x2"/>
    <x v="57"/>
    <n v="0"/>
    <x v="12"/>
    <x v="4"/>
  </r>
  <r>
    <n v="305"/>
    <x v="64"/>
    <s v="Depreciation â€” Laptop x2"/>
    <x v="1"/>
    <n v="76.86"/>
    <x v="13"/>
    <x v="0"/>
  </r>
  <r>
    <n v="306"/>
    <x v="64"/>
    <s v="Depreciation â€” Printer/Scanner"/>
    <x v="58"/>
    <n v="0"/>
    <x v="12"/>
    <x v="4"/>
  </r>
  <r>
    <n v="306"/>
    <x v="64"/>
    <s v="Depreciation â€” Printer/Scanner"/>
    <x v="1"/>
    <n v="20.03"/>
    <x v="13"/>
    <x v="0"/>
  </r>
  <r>
    <n v="307"/>
    <x v="64"/>
    <s v="Depreciation â€” Shop Shelving"/>
    <x v="59"/>
    <n v="0"/>
    <x v="12"/>
    <x v="4"/>
  </r>
  <r>
    <n v="307"/>
    <x v="64"/>
    <s v="Depreciation â€” Shop Shelving"/>
    <x v="1"/>
    <n v="86.89"/>
    <x v="14"/>
    <x v="0"/>
  </r>
  <r>
    <n v="308"/>
    <x v="64"/>
    <s v="Depreciation â€” Display Stands"/>
    <x v="60"/>
    <n v="0"/>
    <x v="12"/>
    <x v="4"/>
  </r>
  <r>
    <n v="308"/>
    <x v="64"/>
    <s v="Depreciation â€” Display Stands"/>
    <x v="1"/>
    <n v="76.8"/>
    <x v="14"/>
    <x v="0"/>
  </r>
  <r>
    <n v="309"/>
    <x v="64"/>
    <s v="Depreciation â€” Counter &amp; Checkout"/>
    <x v="61"/>
    <n v="0"/>
    <x v="12"/>
    <x v="4"/>
  </r>
  <r>
    <n v="309"/>
    <x v="64"/>
    <s v="Depreciation â€” Counter &amp; Checkout"/>
    <x v="1"/>
    <n v="48.28"/>
    <x v="14"/>
    <x v="0"/>
  </r>
  <r>
    <n v="310"/>
    <x v="64"/>
    <s v="Depreciation â€” Signage"/>
    <x v="62"/>
    <n v="0"/>
    <x v="12"/>
    <x v="4"/>
  </r>
  <r>
    <n v="310"/>
    <x v="64"/>
    <s v="Depreciation â€” Signage"/>
    <x v="1"/>
    <n v="53.21"/>
    <x v="14"/>
    <x v="0"/>
  </r>
  <r>
    <n v="311"/>
    <x v="64"/>
    <s v="Depreciation â€” Delivery Van"/>
    <x v="63"/>
    <n v="0"/>
    <x v="12"/>
    <x v="4"/>
  </r>
  <r>
    <n v="311"/>
    <x v="64"/>
    <s v="Depreciation â€” Delivery Van"/>
    <x v="1"/>
    <n v="232.19"/>
    <x v="15"/>
    <x v="0"/>
  </r>
  <r>
    <n v="312"/>
    <x v="64"/>
    <s v="Depreciation â€” Security System"/>
    <x v="64"/>
    <n v="0"/>
    <x v="12"/>
    <x v="4"/>
  </r>
  <r>
    <n v="312"/>
    <x v="64"/>
    <s v="Depreciation â€” Security System"/>
    <x v="1"/>
    <n v="43.85"/>
    <x v="13"/>
    <x v="0"/>
  </r>
  <r>
    <n v="313"/>
    <x v="65"/>
    <s v="Sales invoice issued"/>
    <x v="208"/>
    <n v="0"/>
    <x v="2"/>
    <x v="0"/>
  </r>
  <r>
    <n v="313"/>
    <x v="65"/>
    <s v="Sales invoice issued"/>
    <x v="1"/>
    <n v="695.24"/>
    <x v="3"/>
    <x v="2"/>
  </r>
  <r>
    <n v="313"/>
    <x v="65"/>
    <s v="Sales invoice issued"/>
    <x v="1"/>
    <n v="52.14"/>
    <x v="4"/>
    <x v="3"/>
  </r>
  <r>
    <n v="314"/>
    <x v="65"/>
    <s v="Customer payment received"/>
    <x v="130"/>
    <n v="0"/>
    <x v="0"/>
    <x v="0"/>
  </r>
  <r>
    <n v="314"/>
    <x v="65"/>
    <s v="Customer payment received"/>
    <x v="1"/>
    <n v="1947.12"/>
    <x v="2"/>
    <x v="0"/>
  </r>
  <r>
    <n v="315"/>
    <x v="65"/>
    <s v="Customer payment received"/>
    <x v="145"/>
    <n v="0"/>
    <x v="0"/>
    <x v="0"/>
  </r>
  <r>
    <n v="315"/>
    <x v="65"/>
    <s v="Customer payment received"/>
    <x v="1"/>
    <n v="1130.58"/>
    <x v="2"/>
    <x v="0"/>
  </r>
  <r>
    <n v="316"/>
    <x v="65"/>
    <s v="Customer payment received"/>
    <x v="186"/>
    <n v="0"/>
    <x v="0"/>
    <x v="0"/>
  </r>
  <r>
    <n v="316"/>
    <x v="65"/>
    <s v="Customer payment received"/>
    <x v="1"/>
    <n v="3514.96"/>
    <x v="2"/>
    <x v="0"/>
  </r>
  <r>
    <n v="317"/>
    <x v="65"/>
    <s v="Supplier invoice received"/>
    <x v="50"/>
    <n v="0"/>
    <x v="9"/>
    <x v="4"/>
  </r>
  <r>
    <n v="317"/>
    <x v="65"/>
    <s v="Supplier invoice received"/>
    <x v="51"/>
    <n v="0"/>
    <x v="10"/>
    <x v="0"/>
  </r>
  <r>
    <n v="317"/>
    <x v="65"/>
    <s v="Supplier invoice received"/>
    <x v="1"/>
    <n v="2918.17"/>
    <x v="11"/>
    <x v="3"/>
  </r>
  <r>
    <n v="318"/>
    <x v="65"/>
    <s v="Supplier invoice received"/>
    <x v="209"/>
    <n v="0"/>
    <x v="9"/>
    <x v="4"/>
  </r>
  <r>
    <n v="318"/>
    <x v="65"/>
    <s v="Supplier invoice received"/>
    <x v="210"/>
    <n v="0"/>
    <x v="10"/>
    <x v="0"/>
  </r>
  <r>
    <n v="318"/>
    <x v="65"/>
    <s v="Supplier invoice received"/>
    <x v="1"/>
    <n v="4812.46"/>
    <x v="11"/>
    <x v="3"/>
  </r>
  <r>
    <n v="319"/>
    <x v="65"/>
    <s v="Supplier invoice received"/>
    <x v="211"/>
    <n v="0"/>
    <x v="9"/>
    <x v="4"/>
  </r>
  <r>
    <n v="319"/>
    <x v="65"/>
    <s v="Supplier invoice received"/>
    <x v="212"/>
    <n v="0"/>
    <x v="10"/>
    <x v="0"/>
  </r>
  <r>
    <n v="319"/>
    <x v="65"/>
    <s v="Supplier invoice received"/>
    <x v="1"/>
    <n v="2093.2800000000002"/>
    <x v="11"/>
    <x v="3"/>
  </r>
  <r>
    <n v="320"/>
    <x v="65"/>
    <s v="Supplier invoice received"/>
    <x v="151"/>
    <n v="0"/>
    <x v="9"/>
    <x v="4"/>
  </r>
  <r>
    <n v="320"/>
    <x v="65"/>
    <s v="Supplier invoice received"/>
    <x v="152"/>
    <n v="0"/>
    <x v="10"/>
    <x v="0"/>
  </r>
  <r>
    <n v="320"/>
    <x v="65"/>
    <s v="Supplier invoice received"/>
    <x v="1"/>
    <n v="201.5"/>
    <x v="11"/>
    <x v="3"/>
  </r>
  <r>
    <n v="321"/>
    <x v="65"/>
    <s v="Supplier invoice received"/>
    <x v="213"/>
    <n v="0"/>
    <x v="9"/>
    <x v="4"/>
  </r>
  <r>
    <n v="321"/>
    <x v="65"/>
    <s v="Supplier invoice received"/>
    <x v="214"/>
    <n v="0"/>
    <x v="10"/>
    <x v="0"/>
  </r>
  <r>
    <n v="321"/>
    <x v="65"/>
    <s v="Supplier invoice received"/>
    <x v="1"/>
    <n v="2635.36"/>
    <x v="11"/>
    <x v="3"/>
  </r>
  <r>
    <n v="322"/>
    <x v="65"/>
    <s v="Supplier invoice received"/>
    <x v="95"/>
    <n v="0"/>
    <x v="9"/>
    <x v="4"/>
  </r>
  <r>
    <n v="322"/>
    <x v="65"/>
    <s v="Supplier invoice received"/>
    <x v="96"/>
    <n v="0"/>
    <x v="10"/>
    <x v="0"/>
  </r>
  <r>
    <n v="322"/>
    <x v="65"/>
    <s v="Supplier invoice received"/>
    <x v="1"/>
    <n v="862.91"/>
    <x v="11"/>
    <x v="3"/>
  </r>
  <r>
    <n v="323"/>
    <x v="66"/>
    <s v="Sales invoice issued"/>
    <x v="215"/>
    <n v="0"/>
    <x v="2"/>
    <x v="0"/>
  </r>
  <r>
    <n v="323"/>
    <x v="66"/>
    <s v="Sales invoice issued"/>
    <x v="1"/>
    <n v="1598.33"/>
    <x v="3"/>
    <x v="2"/>
  </r>
  <r>
    <n v="323"/>
    <x v="66"/>
    <s v="Sales invoice issued"/>
    <x v="1"/>
    <n v="119.88"/>
    <x v="4"/>
    <x v="3"/>
  </r>
  <r>
    <n v="324"/>
    <x v="66"/>
    <s v="Sales invoice issued"/>
    <x v="216"/>
    <n v="0"/>
    <x v="2"/>
    <x v="0"/>
  </r>
  <r>
    <n v="324"/>
    <x v="66"/>
    <s v="Sales invoice issued"/>
    <x v="1"/>
    <n v="1187.03"/>
    <x v="3"/>
    <x v="2"/>
  </r>
  <r>
    <n v="324"/>
    <x v="66"/>
    <s v="Sales invoice issued"/>
    <x v="1"/>
    <n v="89.04"/>
    <x v="4"/>
    <x v="3"/>
  </r>
  <r>
    <n v="325"/>
    <x v="66"/>
    <s v="Sales invoice issued"/>
    <x v="217"/>
    <n v="0"/>
    <x v="2"/>
    <x v="0"/>
  </r>
  <r>
    <n v="325"/>
    <x v="66"/>
    <s v="Sales invoice issued"/>
    <x v="1"/>
    <n v="2134.11"/>
    <x v="3"/>
    <x v="2"/>
  </r>
  <r>
    <n v="325"/>
    <x v="66"/>
    <s v="Sales invoice issued"/>
    <x v="1"/>
    <n v="160.06"/>
    <x v="4"/>
    <x v="3"/>
  </r>
  <r>
    <n v="326"/>
    <x v="66"/>
    <s v="Customer payment received"/>
    <x v="94"/>
    <n v="0"/>
    <x v="0"/>
    <x v="0"/>
  </r>
  <r>
    <n v="326"/>
    <x v="66"/>
    <s v="Customer payment received"/>
    <x v="1"/>
    <n v="2415.42"/>
    <x v="2"/>
    <x v="0"/>
  </r>
  <r>
    <n v="327"/>
    <x v="66"/>
    <s v="Customer payment received"/>
    <x v="101"/>
    <n v="0"/>
    <x v="0"/>
    <x v="0"/>
  </r>
  <r>
    <n v="327"/>
    <x v="66"/>
    <s v="Customer payment received"/>
    <x v="1"/>
    <n v="2662.71"/>
    <x v="2"/>
    <x v="0"/>
  </r>
  <r>
    <n v="328"/>
    <x v="66"/>
    <s v="Customer payment received"/>
    <x v="158"/>
    <n v="0"/>
    <x v="0"/>
    <x v="0"/>
  </r>
  <r>
    <n v="328"/>
    <x v="66"/>
    <s v="Customer payment received"/>
    <x v="1"/>
    <n v="3223.4"/>
    <x v="2"/>
    <x v="0"/>
  </r>
  <r>
    <n v="329"/>
    <x v="66"/>
    <s v="Supplier payment made"/>
    <x v="218"/>
    <n v="0"/>
    <x v="11"/>
    <x v="3"/>
  </r>
  <r>
    <n v="329"/>
    <x v="66"/>
    <s v="Supplier payment made"/>
    <x v="1"/>
    <n v="3868.8"/>
    <x v="0"/>
    <x v="0"/>
  </r>
  <r>
    <n v="330"/>
    <x v="67"/>
    <s v="Sales invoice issued"/>
    <x v="219"/>
    <n v="0"/>
    <x v="2"/>
    <x v="0"/>
  </r>
  <r>
    <n v="330"/>
    <x v="67"/>
    <s v="Sales invoice issued"/>
    <x v="1"/>
    <n v="2309.4"/>
    <x v="3"/>
    <x v="2"/>
  </r>
  <r>
    <n v="330"/>
    <x v="67"/>
    <s v="Sales invoice issued"/>
    <x v="1"/>
    <n v="173.19"/>
    <x v="4"/>
    <x v="3"/>
  </r>
  <r>
    <n v="331"/>
    <x v="67"/>
    <s v="Sales invoice issued"/>
    <x v="220"/>
    <n v="0"/>
    <x v="2"/>
    <x v="0"/>
  </r>
  <r>
    <n v="331"/>
    <x v="67"/>
    <s v="Sales invoice issued"/>
    <x v="1"/>
    <n v="2100.3000000000002"/>
    <x v="3"/>
    <x v="2"/>
  </r>
  <r>
    <n v="331"/>
    <x v="67"/>
    <s v="Sales invoice issued"/>
    <x v="1"/>
    <n v="157.52000000000001"/>
    <x v="4"/>
    <x v="3"/>
  </r>
  <r>
    <n v="332"/>
    <x v="67"/>
    <s v="Customer payment received"/>
    <x v="202"/>
    <n v="0"/>
    <x v="0"/>
    <x v="0"/>
  </r>
  <r>
    <n v="332"/>
    <x v="67"/>
    <s v="Customer payment received"/>
    <x v="1"/>
    <n v="2865.41"/>
    <x v="2"/>
    <x v="0"/>
  </r>
  <r>
    <n v="333"/>
    <x v="67"/>
    <s v="Supplier invoice received"/>
    <x v="80"/>
    <n v="0"/>
    <x v="9"/>
    <x v="4"/>
  </r>
  <r>
    <n v="333"/>
    <x v="67"/>
    <s v="Supplier invoice received"/>
    <x v="81"/>
    <n v="0"/>
    <x v="10"/>
    <x v="0"/>
  </r>
  <r>
    <n v="333"/>
    <x v="67"/>
    <s v="Supplier invoice received"/>
    <x v="1"/>
    <n v="2182.41"/>
    <x v="11"/>
    <x v="3"/>
  </r>
  <r>
    <n v="334"/>
    <x v="67"/>
    <s v="Supplier payment made"/>
    <x v="113"/>
    <n v="0"/>
    <x v="11"/>
    <x v="3"/>
  </r>
  <r>
    <n v="334"/>
    <x v="67"/>
    <s v="Supplier payment made"/>
    <x v="1"/>
    <n v="862.91"/>
    <x v="0"/>
    <x v="0"/>
  </r>
  <r>
    <n v="335"/>
    <x v="68"/>
    <s v="Sales invoice issued"/>
    <x v="221"/>
    <n v="0"/>
    <x v="2"/>
    <x v="0"/>
  </r>
  <r>
    <n v="335"/>
    <x v="68"/>
    <s v="Sales invoice issued"/>
    <x v="1"/>
    <n v="99.32"/>
    <x v="3"/>
    <x v="2"/>
  </r>
  <r>
    <n v="335"/>
    <x v="68"/>
    <s v="Sales invoice issued"/>
    <x v="1"/>
    <n v="7.45"/>
    <x v="4"/>
    <x v="3"/>
  </r>
  <r>
    <n v="336"/>
    <x v="68"/>
    <s v="Sales invoice issued"/>
    <x v="222"/>
    <n v="0"/>
    <x v="2"/>
    <x v="0"/>
  </r>
  <r>
    <n v="336"/>
    <x v="68"/>
    <s v="Sales invoice issued"/>
    <x v="1"/>
    <n v="1318.77"/>
    <x v="3"/>
    <x v="2"/>
  </r>
  <r>
    <n v="336"/>
    <x v="68"/>
    <s v="Sales invoice issued"/>
    <x v="1"/>
    <n v="98.9"/>
    <x v="4"/>
    <x v="3"/>
  </r>
  <r>
    <n v="337"/>
    <x v="68"/>
    <s v="Sales invoice issued"/>
    <x v="223"/>
    <n v="0"/>
    <x v="2"/>
    <x v="0"/>
  </r>
  <r>
    <n v="337"/>
    <x v="68"/>
    <s v="Sales invoice issued"/>
    <x v="1"/>
    <n v="6283.85"/>
    <x v="3"/>
    <x v="2"/>
  </r>
  <r>
    <n v="337"/>
    <x v="68"/>
    <s v="Sales invoice issued"/>
    <x v="1"/>
    <n v="471.29"/>
    <x v="4"/>
    <x v="3"/>
  </r>
  <r>
    <n v="338"/>
    <x v="68"/>
    <s v="Sales invoice issued"/>
    <x v="224"/>
    <n v="0"/>
    <x v="2"/>
    <x v="0"/>
  </r>
  <r>
    <n v="338"/>
    <x v="68"/>
    <s v="Sales invoice issued"/>
    <x v="1"/>
    <n v="409.71"/>
    <x v="3"/>
    <x v="2"/>
  </r>
  <r>
    <n v="338"/>
    <x v="68"/>
    <s v="Sales invoice issued"/>
    <x v="1"/>
    <n v="30.73"/>
    <x v="4"/>
    <x v="3"/>
  </r>
  <r>
    <n v="339"/>
    <x v="68"/>
    <s v="Customer payment received"/>
    <x v="118"/>
    <n v="0"/>
    <x v="0"/>
    <x v="0"/>
  </r>
  <r>
    <n v="339"/>
    <x v="68"/>
    <s v="Customer payment received"/>
    <x v="1"/>
    <n v="2434.4699999999998"/>
    <x v="2"/>
    <x v="0"/>
  </r>
  <r>
    <n v="340"/>
    <x v="68"/>
    <s v="Supplier invoice received"/>
    <x v="85"/>
    <n v="0"/>
    <x v="9"/>
    <x v="4"/>
  </r>
  <r>
    <n v="340"/>
    <x v="68"/>
    <s v="Supplier invoice received"/>
    <x v="86"/>
    <n v="0"/>
    <x v="10"/>
    <x v="0"/>
  </r>
  <r>
    <n v="340"/>
    <x v="68"/>
    <s v="Supplier invoice received"/>
    <x v="1"/>
    <n v="1766.46"/>
    <x v="11"/>
    <x v="3"/>
  </r>
  <r>
    <n v="341"/>
    <x v="68"/>
    <s v="Supplier payment made"/>
    <x v="225"/>
    <n v="0"/>
    <x v="11"/>
    <x v="3"/>
  </r>
  <r>
    <n v="341"/>
    <x v="68"/>
    <s v="Supplier payment made"/>
    <x v="1"/>
    <n v="7227.44"/>
    <x v="0"/>
    <x v="0"/>
  </r>
  <r>
    <n v="342"/>
    <x v="68"/>
    <s v="Supplier payment made"/>
    <x v="157"/>
    <n v="0"/>
    <x v="11"/>
    <x v="3"/>
  </r>
  <r>
    <n v="342"/>
    <x v="68"/>
    <s v="Supplier payment made"/>
    <x v="1"/>
    <n v="276.32"/>
    <x v="0"/>
    <x v="0"/>
  </r>
  <r>
    <n v="343"/>
    <x v="69"/>
    <s v="Customer payment received"/>
    <x v="24"/>
    <n v="0"/>
    <x v="0"/>
    <x v="0"/>
  </r>
  <r>
    <n v="343"/>
    <x v="69"/>
    <s v="Customer payment received"/>
    <x v="1"/>
    <n v="889.57"/>
    <x v="2"/>
    <x v="0"/>
  </r>
  <r>
    <n v="344"/>
    <x v="69"/>
    <s v="Customer payment received"/>
    <x v="175"/>
    <n v="0"/>
    <x v="0"/>
    <x v="0"/>
  </r>
  <r>
    <n v="344"/>
    <x v="69"/>
    <s v="Customer payment received"/>
    <x v="1"/>
    <n v="211.26"/>
    <x v="2"/>
    <x v="0"/>
  </r>
  <r>
    <n v="345"/>
    <x v="69"/>
    <s v="Customer payment received"/>
    <x v="178"/>
    <n v="0"/>
    <x v="0"/>
    <x v="0"/>
  </r>
  <r>
    <n v="345"/>
    <x v="69"/>
    <s v="Customer payment received"/>
    <x v="1"/>
    <n v="367.71"/>
    <x v="2"/>
    <x v="0"/>
  </r>
  <r>
    <n v="346"/>
    <x v="69"/>
    <s v="Customer payment received"/>
    <x v="181"/>
    <n v="0"/>
    <x v="0"/>
    <x v="0"/>
  </r>
  <r>
    <n v="346"/>
    <x v="69"/>
    <s v="Customer payment received"/>
    <x v="1"/>
    <n v="1969.9"/>
    <x v="2"/>
    <x v="0"/>
  </r>
  <r>
    <n v="347"/>
    <x v="69"/>
    <s v="Customer payment received"/>
    <x v="215"/>
    <n v="0"/>
    <x v="0"/>
    <x v="0"/>
  </r>
  <r>
    <n v="347"/>
    <x v="69"/>
    <s v="Customer payment received"/>
    <x v="1"/>
    <n v="1718.21"/>
    <x v="2"/>
    <x v="0"/>
  </r>
  <r>
    <n v="348"/>
    <x v="69"/>
    <s v="Customer payment received"/>
    <x v="221"/>
    <n v="0"/>
    <x v="0"/>
    <x v="0"/>
  </r>
  <r>
    <n v="348"/>
    <x v="69"/>
    <s v="Customer payment received"/>
    <x v="1"/>
    <n v="106.77"/>
    <x v="2"/>
    <x v="0"/>
  </r>
  <r>
    <n v="349"/>
    <x v="69"/>
    <s v="Supplier payment made"/>
    <x v="226"/>
    <n v="0"/>
    <x v="11"/>
    <x v="3"/>
  </r>
  <r>
    <n v="349"/>
    <x v="69"/>
    <s v="Supplier payment made"/>
    <x v="1"/>
    <n v="1304.6199999999999"/>
    <x v="0"/>
    <x v="0"/>
  </r>
  <r>
    <n v="350"/>
    <x v="69"/>
    <s v="Supplier payment made"/>
    <x v="125"/>
    <n v="0"/>
    <x v="11"/>
    <x v="3"/>
  </r>
  <r>
    <n v="350"/>
    <x v="69"/>
    <s v="Supplier payment made"/>
    <x v="1"/>
    <n v="748.26"/>
    <x v="0"/>
    <x v="0"/>
  </r>
  <r>
    <n v="351"/>
    <x v="70"/>
    <s v="Sales invoice issued"/>
    <x v="227"/>
    <n v="0"/>
    <x v="2"/>
    <x v="0"/>
  </r>
  <r>
    <n v="351"/>
    <x v="70"/>
    <s v="Sales invoice issued"/>
    <x v="1"/>
    <n v="2102.83"/>
    <x v="3"/>
    <x v="2"/>
  </r>
  <r>
    <n v="351"/>
    <x v="70"/>
    <s v="Sales invoice issued"/>
    <x v="1"/>
    <n v="157.69999999999999"/>
    <x v="4"/>
    <x v="3"/>
  </r>
  <r>
    <n v="352"/>
    <x v="70"/>
    <s v="Customer payment received"/>
    <x v="137"/>
    <n v="0"/>
    <x v="0"/>
    <x v="0"/>
  </r>
  <r>
    <n v="352"/>
    <x v="70"/>
    <s v="Customer payment received"/>
    <x v="1"/>
    <n v="513.22"/>
    <x v="2"/>
    <x v="0"/>
  </r>
  <r>
    <n v="353"/>
    <x v="70"/>
    <s v="Customer payment received"/>
    <x v="208"/>
    <n v="0"/>
    <x v="0"/>
    <x v="0"/>
  </r>
  <r>
    <n v="353"/>
    <x v="70"/>
    <s v="Customer payment received"/>
    <x v="1"/>
    <n v="747.38"/>
    <x v="2"/>
    <x v="0"/>
  </r>
  <r>
    <n v="354"/>
    <x v="70"/>
    <s v="Supplier invoice received"/>
    <x v="209"/>
    <n v="0"/>
    <x v="9"/>
    <x v="4"/>
  </r>
  <r>
    <n v="354"/>
    <x v="70"/>
    <s v="Supplier invoice received"/>
    <x v="210"/>
    <n v="0"/>
    <x v="10"/>
    <x v="0"/>
  </r>
  <r>
    <n v="354"/>
    <x v="70"/>
    <s v="Supplier invoice received"/>
    <x v="1"/>
    <n v="4812.46"/>
    <x v="11"/>
    <x v="3"/>
  </r>
  <r>
    <n v="355"/>
    <x v="71"/>
    <s v="Customer payment received"/>
    <x v="102"/>
    <n v="0"/>
    <x v="0"/>
    <x v="0"/>
  </r>
  <r>
    <n v="355"/>
    <x v="71"/>
    <s v="Customer payment received"/>
    <x v="1"/>
    <n v="494.08"/>
    <x v="2"/>
    <x v="0"/>
  </r>
  <r>
    <n v="356"/>
    <x v="71"/>
    <s v="Customer payment received"/>
    <x v="159"/>
    <n v="0"/>
    <x v="0"/>
    <x v="0"/>
  </r>
  <r>
    <n v="356"/>
    <x v="71"/>
    <s v="Customer payment received"/>
    <x v="1"/>
    <n v="956.6"/>
    <x v="2"/>
    <x v="0"/>
  </r>
  <r>
    <n v="357"/>
    <x v="71"/>
    <s v="Supplier invoice received"/>
    <x v="176"/>
    <n v="0"/>
    <x v="9"/>
    <x v="4"/>
  </r>
  <r>
    <n v="357"/>
    <x v="71"/>
    <s v="Supplier invoice received"/>
    <x v="177"/>
    <n v="0"/>
    <x v="10"/>
    <x v="0"/>
  </r>
  <r>
    <n v="357"/>
    <x v="71"/>
    <s v="Supplier invoice received"/>
    <x v="1"/>
    <n v="1159.8399999999999"/>
    <x v="11"/>
    <x v="3"/>
  </r>
  <r>
    <n v="358"/>
    <x v="71"/>
    <s v="Supplier payment made"/>
    <x v="87"/>
    <n v="0"/>
    <x v="11"/>
    <x v="3"/>
  </r>
  <r>
    <n v="358"/>
    <x v="71"/>
    <s v="Supplier payment made"/>
    <x v="1"/>
    <n v="2182.41"/>
    <x v="0"/>
    <x v="0"/>
  </r>
  <r>
    <n v="359"/>
    <x v="72"/>
    <s v="Sales invoice issued"/>
    <x v="228"/>
    <n v="0"/>
    <x v="2"/>
    <x v="0"/>
  </r>
  <r>
    <n v="359"/>
    <x v="72"/>
    <s v="Sales invoice issued"/>
    <x v="1"/>
    <n v="1933.47"/>
    <x v="3"/>
    <x v="2"/>
  </r>
  <r>
    <n v="359"/>
    <x v="72"/>
    <s v="Sales invoice issued"/>
    <x v="1"/>
    <n v="145.01"/>
    <x v="4"/>
    <x v="3"/>
  </r>
  <r>
    <n v="360"/>
    <x v="72"/>
    <s v="Customer payment received"/>
    <x v="146"/>
    <n v="0"/>
    <x v="0"/>
    <x v="0"/>
  </r>
  <r>
    <n v="360"/>
    <x v="72"/>
    <s v="Customer payment received"/>
    <x v="1"/>
    <n v="495.26"/>
    <x v="2"/>
    <x v="0"/>
  </r>
  <r>
    <n v="361"/>
    <x v="72"/>
    <s v="Supplier invoice received"/>
    <x v="147"/>
    <n v="0"/>
    <x v="9"/>
    <x v="4"/>
  </r>
  <r>
    <n v="361"/>
    <x v="72"/>
    <s v="Supplier invoice received"/>
    <x v="148"/>
    <n v="0"/>
    <x v="10"/>
    <x v="0"/>
  </r>
  <r>
    <n v="361"/>
    <x v="72"/>
    <s v="Supplier invoice received"/>
    <x v="1"/>
    <n v="1794.11"/>
    <x v="11"/>
    <x v="3"/>
  </r>
  <r>
    <n v="362"/>
    <x v="72"/>
    <s v="Supplier payment made"/>
    <x v="114"/>
    <n v="0"/>
    <x v="11"/>
    <x v="3"/>
  </r>
  <r>
    <n v="362"/>
    <x v="72"/>
    <s v="Supplier payment made"/>
    <x v="1"/>
    <n v="412.54"/>
    <x v="0"/>
    <x v="0"/>
  </r>
  <r>
    <n v="363"/>
    <x v="73"/>
    <s v="Payroll processed"/>
    <x v="229"/>
    <n v="0"/>
    <x v="5"/>
    <x v="4"/>
  </r>
  <r>
    <n v="363"/>
    <x v="73"/>
    <s v="Payroll processed"/>
    <x v="230"/>
    <n v="0"/>
    <x v="6"/>
    <x v="4"/>
  </r>
  <r>
    <n v="363"/>
    <x v="73"/>
    <s v="Payroll processed"/>
    <x v="1"/>
    <n v="17664.150000000001"/>
    <x v="0"/>
    <x v="0"/>
  </r>
  <r>
    <n v="363"/>
    <x v="73"/>
    <s v="Payroll processed"/>
    <x v="1"/>
    <n v="3870.65"/>
    <x v="7"/>
    <x v="3"/>
  </r>
  <r>
    <n v="363"/>
    <x v="73"/>
    <s v="Payroll processed"/>
    <x v="1"/>
    <n v="861.41"/>
    <x v="8"/>
    <x v="3"/>
  </r>
  <r>
    <n v="364"/>
    <x v="73"/>
    <s v="Sales invoice issued"/>
    <x v="231"/>
    <n v="0"/>
    <x v="2"/>
    <x v="0"/>
  </r>
  <r>
    <n v="364"/>
    <x v="73"/>
    <s v="Sales invoice issued"/>
    <x v="1"/>
    <n v="3237.26"/>
    <x v="3"/>
    <x v="2"/>
  </r>
  <r>
    <n v="364"/>
    <x v="73"/>
    <s v="Sales invoice issued"/>
    <x v="1"/>
    <n v="242.79"/>
    <x v="4"/>
    <x v="3"/>
  </r>
  <r>
    <n v="365"/>
    <x v="73"/>
    <s v="Customer payment received"/>
    <x v="165"/>
    <n v="0"/>
    <x v="0"/>
    <x v="0"/>
  </r>
  <r>
    <n v="365"/>
    <x v="73"/>
    <s v="Customer payment received"/>
    <x v="1"/>
    <n v="2080.1799999999998"/>
    <x v="2"/>
    <x v="0"/>
  </r>
  <r>
    <n v="366"/>
    <x v="73"/>
    <s v="Customer payment received"/>
    <x v="195"/>
    <n v="0"/>
    <x v="0"/>
    <x v="0"/>
  </r>
  <r>
    <n v="366"/>
    <x v="73"/>
    <s v="Customer payment received"/>
    <x v="1"/>
    <n v="906.48"/>
    <x v="2"/>
    <x v="0"/>
  </r>
  <r>
    <n v="367"/>
    <x v="73"/>
    <s v="Customer payment received"/>
    <x v="231"/>
    <n v="0"/>
    <x v="0"/>
    <x v="0"/>
  </r>
  <r>
    <n v="367"/>
    <x v="73"/>
    <s v="Customer payment received"/>
    <x v="1"/>
    <n v="3480.05"/>
    <x v="2"/>
    <x v="0"/>
  </r>
  <r>
    <n v="368"/>
    <x v="73"/>
    <s v="Supplier payment made"/>
    <x v="162"/>
    <n v="0"/>
    <x v="11"/>
    <x v="3"/>
  </r>
  <r>
    <n v="368"/>
    <x v="73"/>
    <s v="Supplier payment made"/>
    <x v="1"/>
    <n v="201.5"/>
    <x v="0"/>
    <x v="0"/>
  </r>
  <r>
    <n v="369"/>
    <x v="74"/>
    <s v="Sales invoice issued"/>
    <x v="232"/>
    <n v="0"/>
    <x v="2"/>
    <x v="0"/>
  </r>
  <r>
    <n v="369"/>
    <x v="74"/>
    <s v="Sales invoice issued"/>
    <x v="1"/>
    <n v="3252.02"/>
    <x v="3"/>
    <x v="2"/>
  </r>
  <r>
    <n v="369"/>
    <x v="74"/>
    <s v="Sales invoice issued"/>
    <x v="1"/>
    <n v="243.91"/>
    <x v="4"/>
    <x v="3"/>
  </r>
  <r>
    <n v="370"/>
    <x v="74"/>
    <s v="Sales invoice issued"/>
    <x v="233"/>
    <n v="0"/>
    <x v="2"/>
    <x v="0"/>
  </r>
  <r>
    <n v="370"/>
    <x v="74"/>
    <s v="Sales invoice issued"/>
    <x v="1"/>
    <n v="235.85"/>
    <x v="3"/>
    <x v="2"/>
  </r>
  <r>
    <n v="370"/>
    <x v="74"/>
    <s v="Sales invoice issued"/>
    <x v="1"/>
    <n v="17.690000000000001"/>
    <x v="4"/>
    <x v="3"/>
  </r>
  <r>
    <n v="371"/>
    <x v="75"/>
    <s v="Sales invoice issued"/>
    <x v="234"/>
    <n v="0"/>
    <x v="2"/>
    <x v="0"/>
  </r>
  <r>
    <n v="371"/>
    <x v="75"/>
    <s v="Sales invoice issued"/>
    <x v="1"/>
    <n v="447.06"/>
    <x v="3"/>
    <x v="2"/>
  </r>
  <r>
    <n v="371"/>
    <x v="75"/>
    <s v="Sales invoice issued"/>
    <x v="1"/>
    <n v="33.53"/>
    <x v="4"/>
    <x v="3"/>
  </r>
  <r>
    <n v="372"/>
    <x v="75"/>
    <s v="Supplier invoice received"/>
    <x v="35"/>
    <n v="0"/>
    <x v="9"/>
    <x v="4"/>
  </r>
  <r>
    <n v="372"/>
    <x v="75"/>
    <s v="Supplier invoice received"/>
    <x v="36"/>
    <n v="0"/>
    <x v="10"/>
    <x v="0"/>
  </r>
  <r>
    <n v="372"/>
    <x v="75"/>
    <s v="Supplier invoice received"/>
    <x v="1"/>
    <n v="1023.42"/>
    <x v="11"/>
    <x v="3"/>
  </r>
  <r>
    <n v="373"/>
    <x v="75"/>
    <s v="Supplier invoice received"/>
    <x v="149"/>
    <n v="0"/>
    <x v="9"/>
    <x v="4"/>
  </r>
  <r>
    <n v="373"/>
    <x v="75"/>
    <s v="Supplier invoice received"/>
    <x v="150"/>
    <n v="0"/>
    <x v="10"/>
    <x v="0"/>
  </r>
  <r>
    <n v="373"/>
    <x v="75"/>
    <s v="Supplier invoice received"/>
    <x v="1"/>
    <n v="179.01"/>
    <x v="11"/>
    <x v="3"/>
  </r>
  <r>
    <n v="374"/>
    <x v="75"/>
    <s v="Supplier invoice received"/>
    <x v="120"/>
    <n v="0"/>
    <x v="9"/>
    <x v="4"/>
  </r>
  <r>
    <n v="374"/>
    <x v="75"/>
    <s v="Supplier invoice received"/>
    <x v="121"/>
    <n v="0"/>
    <x v="10"/>
    <x v="0"/>
  </r>
  <r>
    <n v="374"/>
    <x v="75"/>
    <s v="Supplier invoice received"/>
    <x v="1"/>
    <n v="748.26"/>
    <x v="11"/>
    <x v="3"/>
  </r>
  <r>
    <n v="375"/>
    <x v="75"/>
    <s v="Supplier payment made"/>
    <x v="200"/>
    <n v="0"/>
    <x v="11"/>
    <x v="3"/>
  </r>
  <r>
    <n v="375"/>
    <x v="75"/>
    <s v="Supplier payment made"/>
    <x v="1"/>
    <n v="1159.8399999999999"/>
    <x v="0"/>
    <x v="0"/>
  </r>
  <r>
    <n v="376"/>
    <x v="76"/>
    <s v="Sales invoice issued"/>
    <x v="235"/>
    <n v="0"/>
    <x v="2"/>
    <x v="0"/>
  </r>
  <r>
    <n v="376"/>
    <x v="76"/>
    <s v="Sales invoice issued"/>
    <x v="1"/>
    <n v="2597.9899999999998"/>
    <x v="3"/>
    <x v="2"/>
  </r>
  <r>
    <n v="376"/>
    <x v="76"/>
    <s v="Sales invoice issued"/>
    <x v="1"/>
    <n v="194.86"/>
    <x v="4"/>
    <x v="3"/>
  </r>
  <r>
    <n v="377"/>
    <x v="76"/>
    <s v="Sales invoice issued"/>
    <x v="236"/>
    <n v="0"/>
    <x v="2"/>
    <x v="0"/>
  </r>
  <r>
    <n v="377"/>
    <x v="76"/>
    <s v="Sales invoice issued"/>
    <x v="1"/>
    <n v="332.36"/>
    <x v="3"/>
    <x v="2"/>
  </r>
  <r>
    <n v="377"/>
    <x v="76"/>
    <s v="Sales invoice issued"/>
    <x v="1"/>
    <n v="24.93"/>
    <x v="4"/>
    <x v="3"/>
  </r>
  <r>
    <n v="378"/>
    <x v="76"/>
    <s v="Sales invoice issued"/>
    <x v="237"/>
    <n v="0"/>
    <x v="2"/>
    <x v="0"/>
  </r>
  <r>
    <n v="378"/>
    <x v="76"/>
    <s v="Sales invoice issued"/>
    <x v="1"/>
    <n v="3128.68"/>
    <x v="3"/>
    <x v="2"/>
  </r>
  <r>
    <n v="378"/>
    <x v="76"/>
    <s v="Sales invoice issued"/>
    <x v="1"/>
    <n v="234.66"/>
    <x v="4"/>
    <x v="3"/>
  </r>
  <r>
    <n v="379"/>
    <x v="76"/>
    <s v="Customer payment received"/>
    <x v="133"/>
    <n v="0"/>
    <x v="0"/>
    <x v="0"/>
  </r>
  <r>
    <n v="379"/>
    <x v="76"/>
    <s v="Customer payment received"/>
    <x v="1"/>
    <n v="5223.57"/>
    <x v="2"/>
    <x v="0"/>
  </r>
  <r>
    <n v="380"/>
    <x v="76"/>
    <s v="Customer payment received"/>
    <x v="168"/>
    <n v="0"/>
    <x v="0"/>
    <x v="0"/>
  </r>
  <r>
    <n v="380"/>
    <x v="76"/>
    <s v="Customer payment received"/>
    <x v="1"/>
    <n v="5132.88"/>
    <x v="2"/>
    <x v="0"/>
  </r>
  <r>
    <n v="381"/>
    <x v="76"/>
    <s v="Customer payment received"/>
    <x v="197"/>
    <n v="0"/>
    <x v="0"/>
    <x v="0"/>
  </r>
  <r>
    <n v="381"/>
    <x v="76"/>
    <s v="Customer payment received"/>
    <x v="1"/>
    <n v="3089.77"/>
    <x v="2"/>
    <x v="0"/>
  </r>
  <r>
    <n v="382"/>
    <x v="76"/>
    <s v="Customer payment received"/>
    <x v="204"/>
    <n v="0"/>
    <x v="0"/>
    <x v="0"/>
  </r>
  <r>
    <n v="382"/>
    <x v="76"/>
    <s v="Customer payment received"/>
    <x v="1"/>
    <n v="1568.55"/>
    <x v="2"/>
    <x v="0"/>
  </r>
  <r>
    <n v="383"/>
    <x v="76"/>
    <s v="Customer payment received"/>
    <x v="224"/>
    <n v="0"/>
    <x v="0"/>
    <x v="0"/>
  </r>
  <r>
    <n v="383"/>
    <x v="76"/>
    <s v="Customer payment received"/>
    <x v="1"/>
    <n v="440.44"/>
    <x v="2"/>
    <x v="0"/>
  </r>
  <r>
    <n v="384"/>
    <x v="77"/>
    <s v="Sales invoice issued"/>
    <x v="238"/>
    <n v="0"/>
    <x v="2"/>
    <x v="0"/>
  </r>
  <r>
    <n v="384"/>
    <x v="77"/>
    <s v="Sales invoice issued"/>
    <x v="1"/>
    <n v="4882.0200000000004"/>
    <x v="3"/>
    <x v="2"/>
  </r>
  <r>
    <n v="384"/>
    <x v="77"/>
    <s v="Sales invoice issued"/>
    <x v="1"/>
    <n v="366.16"/>
    <x v="4"/>
    <x v="3"/>
  </r>
  <r>
    <n v="385"/>
    <x v="77"/>
    <s v="Supplier invoice received"/>
    <x v="211"/>
    <n v="0"/>
    <x v="9"/>
    <x v="4"/>
  </r>
  <r>
    <n v="385"/>
    <x v="77"/>
    <s v="Supplier invoice received"/>
    <x v="212"/>
    <n v="0"/>
    <x v="10"/>
    <x v="0"/>
  </r>
  <r>
    <n v="385"/>
    <x v="77"/>
    <s v="Supplier invoice received"/>
    <x v="1"/>
    <n v="2093.2800000000002"/>
    <x v="11"/>
    <x v="3"/>
  </r>
  <r>
    <n v="386"/>
    <x v="77"/>
    <s v="Supplier payment made"/>
    <x v="239"/>
    <n v="0"/>
    <x v="11"/>
    <x v="3"/>
  </r>
  <r>
    <n v="386"/>
    <x v="77"/>
    <s v="Supplier payment made"/>
    <x v="1"/>
    <n v="2093.2800000000002"/>
    <x v="0"/>
    <x v="0"/>
  </r>
  <r>
    <n v="387"/>
    <x v="78"/>
    <s v="Sales invoice issued"/>
    <x v="240"/>
    <n v="0"/>
    <x v="2"/>
    <x v="0"/>
  </r>
  <r>
    <n v="387"/>
    <x v="78"/>
    <s v="Sales invoice issued"/>
    <x v="1"/>
    <n v="4274.92"/>
    <x v="3"/>
    <x v="2"/>
  </r>
  <r>
    <n v="387"/>
    <x v="78"/>
    <s v="Sales invoice issued"/>
    <x v="1"/>
    <n v="320.61"/>
    <x v="4"/>
    <x v="3"/>
  </r>
  <r>
    <n v="388"/>
    <x v="78"/>
    <s v="Sales invoice issued"/>
    <x v="178"/>
    <n v="0"/>
    <x v="2"/>
    <x v="0"/>
  </r>
  <r>
    <n v="388"/>
    <x v="78"/>
    <s v="Sales invoice issued"/>
    <x v="1"/>
    <n v="342.06"/>
    <x v="3"/>
    <x v="2"/>
  </r>
  <r>
    <n v="388"/>
    <x v="78"/>
    <s v="Sales invoice issued"/>
    <x v="1"/>
    <n v="25.65"/>
    <x v="4"/>
    <x v="3"/>
  </r>
  <r>
    <n v="389"/>
    <x v="78"/>
    <s v="Supplier payment made"/>
    <x v="82"/>
    <n v="0"/>
    <x v="11"/>
    <x v="3"/>
  </r>
  <r>
    <n v="389"/>
    <x v="78"/>
    <s v="Supplier payment made"/>
    <x v="1"/>
    <n v="2918.17"/>
    <x v="0"/>
    <x v="0"/>
  </r>
  <r>
    <n v="390"/>
    <x v="78"/>
    <s v="Supplier payment made"/>
    <x v="239"/>
    <n v="0"/>
    <x v="11"/>
    <x v="3"/>
  </r>
  <r>
    <n v="390"/>
    <x v="78"/>
    <s v="Supplier payment made"/>
    <x v="1"/>
    <n v="2093.2800000000002"/>
    <x v="0"/>
    <x v="0"/>
  </r>
  <r>
    <n v="391"/>
    <x v="79"/>
    <s v="Sales invoice issued"/>
    <x v="241"/>
    <n v="0"/>
    <x v="2"/>
    <x v="0"/>
  </r>
  <r>
    <n v="391"/>
    <x v="79"/>
    <s v="Sales invoice issued"/>
    <x v="1"/>
    <n v="1593.88"/>
    <x v="3"/>
    <x v="2"/>
  </r>
  <r>
    <n v="391"/>
    <x v="79"/>
    <s v="Sales invoice issued"/>
    <x v="1"/>
    <n v="119.54"/>
    <x v="4"/>
    <x v="3"/>
  </r>
  <r>
    <n v="392"/>
    <x v="79"/>
    <s v="Sales invoice issued"/>
    <x v="242"/>
    <n v="0"/>
    <x v="2"/>
    <x v="0"/>
  </r>
  <r>
    <n v="392"/>
    <x v="79"/>
    <s v="Sales invoice issued"/>
    <x v="1"/>
    <n v="1886.5"/>
    <x v="3"/>
    <x v="2"/>
  </r>
  <r>
    <n v="392"/>
    <x v="79"/>
    <s v="Sales invoice issued"/>
    <x v="1"/>
    <n v="141.49"/>
    <x v="4"/>
    <x v="3"/>
  </r>
  <r>
    <n v="393"/>
    <x v="79"/>
    <s v="Customer payment received"/>
    <x v="166"/>
    <n v="0"/>
    <x v="0"/>
    <x v="0"/>
  </r>
  <r>
    <n v="393"/>
    <x v="79"/>
    <s v="Customer payment received"/>
    <x v="1"/>
    <n v="1956.88"/>
    <x v="2"/>
    <x v="0"/>
  </r>
  <r>
    <n v="394"/>
    <x v="79"/>
    <s v="Customer payment received"/>
    <x v="182"/>
    <n v="0"/>
    <x v="0"/>
    <x v="0"/>
  </r>
  <r>
    <n v="394"/>
    <x v="79"/>
    <s v="Customer payment received"/>
    <x v="1"/>
    <n v="3729.84"/>
    <x v="2"/>
    <x v="0"/>
  </r>
  <r>
    <n v="395"/>
    <x v="79"/>
    <s v="Customer payment received"/>
    <x v="187"/>
    <n v="0"/>
    <x v="0"/>
    <x v="0"/>
  </r>
  <r>
    <n v="395"/>
    <x v="79"/>
    <s v="Customer payment received"/>
    <x v="1"/>
    <n v="3073.1"/>
    <x v="2"/>
    <x v="0"/>
  </r>
  <r>
    <n v="396"/>
    <x v="79"/>
    <s v="Customer payment received"/>
    <x v="207"/>
    <n v="0"/>
    <x v="0"/>
    <x v="0"/>
  </r>
  <r>
    <n v="396"/>
    <x v="79"/>
    <s v="Customer payment received"/>
    <x v="1"/>
    <n v="2317.71"/>
    <x v="2"/>
    <x v="0"/>
  </r>
  <r>
    <n v="397"/>
    <x v="79"/>
    <s v="Customer payment received"/>
    <x v="216"/>
    <n v="0"/>
    <x v="0"/>
    <x v="0"/>
  </r>
  <r>
    <n v="397"/>
    <x v="79"/>
    <s v="Customer payment received"/>
    <x v="1"/>
    <n v="1276.07"/>
    <x v="2"/>
    <x v="0"/>
  </r>
  <r>
    <n v="398"/>
    <x v="79"/>
    <s v="Customer payment received"/>
    <x v="234"/>
    <n v="0"/>
    <x v="0"/>
    <x v="0"/>
  </r>
  <r>
    <n v="398"/>
    <x v="79"/>
    <s v="Customer payment received"/>
    <x v="1"/>
    <n v="480.59"/>
    <x v="2"/>
    <x v="0"/>
  </r>
  <r>
    <n v="399"/>
    <x v="79"/>
    <s v="Customer payment received"/>
    <x v="237"/>
    <n v="0"/>
    <x v="0"/>
    <x v="0"/>
  </r>
  <r>
    <n v="399"/>
    <x v="79"/>
    <s v="Customer payment received"/>
    <x v="1"/>
    <n v="3363.34"/>
    <x v="2"/>
    <x v="0"/>
  </r>
  <r>
    <n v="400"/>
    <x v="79"/>
    <s v="Customer payment received"/>
    <x v="238"/>
    <n v="0"/>
    <x v="0"/>
    <x v="0"/>
  </r>
  <r>
    <n v="400"/>
    <x v="79"/>
    <s v="Customer payment received"/>
    <x v="1"/>
    <n v="5248.18"/>
    <x v="2"/>
    <x v="0"/>
  </r>
  <r>
    <n v="401"/>
    <x v="80"/>
    <s v="Sales invoice issued"/>
    <x v="243"/>
    <n v="0"/>
    <x v="2"/>
    <x v="0"/>
  </r>
  <r>
    <n v="401"/>
    <x v="80"/>
    <s v="Sales invoice issued"/>
    <x v="1"/>
    <n v="701.31"/>
    <x v="3"/>
    <x v="2"/>
  </r>
  <r>
    <n v="401"/>
    <x v="80"/>
    <s v="Sales invoice issued"/>
    <x v="1"/>
    <n v="52.6"/>
    <x v="4"/>
    <x v="3"/>
  </r>
  <r>
    <n v="402"/>
    <x v="80"/>
    <s v="Sales invoice issued"/>
    <x v="244"/>
    <n v="0"/>
    <x v="2"/>
    <x v="0"/>
  </r>
  <r>
    <n v="402"/>
    <x v="80"/>
    <s v="Sales invoice issued"/>
    <x v="1"/>
    <n v="2911.39"/>
    <x v="3"/>
    <x v="2"/>
  </r>
  <r>
    <n v="402"/>
    <x v="80"/>
    <s v="Sales invoice issued"/>
    <x v="1"/>
    <n v="218.36"/>
    <x v="4"/>
    <x v="3"/>
  </r>
  <r>
    <n v="403"/>
    <x v="80"/>
    <s v="Customer payment received"/>
    <x v="136"/>
    <n v="0"/>
    <x v="0"/>
    <x v="0"/>
  </r>
  <r>
    <n v="403"/>
    <x v="80"/>
    <s v="Customer payment received"/>
    <x v="1"/>
    <n v="1866.77"/>
    <x v="2"/>
    <x v="0"/>
  </r>
  <r>
    <n v="404"/>
    <x v="80"/>
    <s v="Supplier invoice received"/>
    <x v="43"/>
    <n v="0"/>
    <x v="9"/>
    <x v="4"/>
  </r>
  <r>
    <n v="404"/>
    <x v="80"/>
    <s v="Supplier invoice received"/>
    <x v="44"/>
    <n v="0"/>
    <x v="10"/>
    <x v="0"/>
  </r>
  <r>
    <n v="404"/>
    <x v="80"/>
    <s v="Supplier invoice received"/>
    <x v="1"/>
    <n v="2504.23"/>
    <x v="11"/>
    <x v="3"/>
  </r>
  <r>
    <n v="405"/>
    <x v="80"/>
    <s v="Supplier invoice received"/>
    <x v="245"/>
    <n v="0"/>
    <x v="9"/>
    <x v="4"/>
  </r>
  <r>
    <n v="405"/>
    <x v="80"/>
    <s v="Supplier invoice received"/>
    <x v="246"/>
    <n v="0"/>
    <x v="10"/>
    <x v="0"/>
  </r>
  <r>
    <n v="405"/>
    <x v="80"/>
    <s v="Supplier invoice received"/>
    <x v="1"/>
    <n v="550.4"/>
    <x v="11"/>
    <x v="3"/>
  </r>
  <r>
    <n v="406"/>
    <x v="80"/>
    <s v="Supplier payment made"/>
    <x v="52"/>
    <n v="0"/>
    <x v="11"/>
    <x v="3"/>
  </r>
  <r>
    <n v="406"/>
    <x v="80"/>
    <s v="Supplier payment made"/>
    <x v="1"/>
    <n v="2504.23"/>
    <x v="0"/>
    <x v="0"/>
  </r>
  <r>
    <n v="407"/>
    <x v="80"/>
    <s v="Supplier payment made"/>
    <x v="32"/>
    <n v="0"/>
    <x v="11"/>
    <x v="3"/>
  </r>
  <r>
    <n v="407"/>
    <x v="80"/>
    <s v="Supplier payment made"/>
    <x v="1"/>
    <n v="3528.97"/>
    <x v="0"/>
    <x v="0"/>
  </r>
  <r>
    <n v="408"/>
    <x v="80"/>
    <s v="Supplier payment made"/>
    <x v="125"/>
    <n v="0"/>
    <x v="11"/>
    <x v="3"/>
  </r>
  <r>
    <n v="408"/>
    <x v="80"/>
    <s v="Supplier payment made"/>
    <x v="1"/>
    <n v="748.26"/>
    <x v="0"/>
    <x v="0"/>
  </r>
  <r>
    <n v="409"/>
    <x v="81"/>
    <s v="Sales invoice issued"/>
    <x v="247"/>
    <n v="0"/>
    <x v="2"/>
    <x v="0"/>
  </r>
  <r>
    <n v="409"/>
    <x v="81"/>
    <s v="Sales invoice issued"/>
    <x v="1"/>
    <n v="893.88"/>
    <x v="3"/>
    <x v="2"/>
  </r>
  <r>
    <n v="409"/>
    <x v="81"/>
    <s v="Sales invoice issued"/>
    <x v="1"/>
    <n v="67.040000000000006"/>
    <x v="4"/>
    <x v="3"/>
  </r>
  <r>
    <n v="410"/>
    <x v="81"/>
    <s v="Sales invoice issued"/>
    <x v="248"/>
    <n v="0"/>
    <x v="2"/>
    <x v="0"/>
  </r>
  <r>
    <n v="410"/>
    <x v="81"/>
    <s v="Sales invoice issued"/>
    <x v="1"/>
    <n v="3319.44"/>
    <x v="3"/>
    <x v="2"/>
  </r>
  <r>
    <n v="410"/>
    <x v="81"/>
    <s v="Sales invoice issued"/>
    <x v="1"/>
    <n v="248.97"/>
    <x v="4"/>
    <x v="3"/>
  </r>
  <r>
    <n v="411"/>
    <x v="81"/>
    <s v="Sales invoice issued"/>
    <x v="249"/>
    <n v="0"/>
    <x v="2"/>
    <x v="0"/>
  </r>
  <r>
    <n v="411"/>
    <x v="81"/>
    <s v="Sales invoice issued"/>
    <x v="1"/>
    <n v="3048"/>
    <x v="3"/>
    <x v="2"/>
  </r>
  <r>
    <n v="411"/>
    <x v="81"/>
    <s v="Sales invoice issued"/>
    <x v="1"/>
    <n v="228.6"/>
    <x v="4"/>
    <x v="3"/>
  </r>
  <r>
    <n v="412"/>
    <x v="81"/>
    <s v="Sales invoice issued"/>
    <x v="250"/>
    <n v="0"/>
    <x v="2"/>
    <x v="0"/>
  </r>
  <r>
    <n v="412"/>
    <x v="81"/>
    <s v="Sales invoice issued"/>
    <x v="1"/>
    <n v="2143.84"/>
    <x v="3"/>
    <x v="2"/>
  </r>
  <r>
    <n v="412"/>
    <x v="81"/>
    <s v="Sales invoice issued"/>
    <x v="1"/>
    <n v="160.78"/>
    <x v="4"/>
    <x v="3"/>
  </r>
  <r>
    <n v="413"/>
    <x v="81"/>
    <s v="Sales invoice issued"/>
    <x v="251"/>
    <n v="0"/>
    <x v="2"/>
    <x v="0"/>
  </r>
  <r>
    <n v="413"/>
    <x v="81"/>
    <s v="Sales invoice issued"/>
    <x v="1"/>
    <n v="2277.31"/>
    <x v="3"/>
    <x v="2"/>
  </r>
  <r>
    <n v="413"/>
    <x v="81"/>
    <s v="Sales invoice issued"/>
    <x v="1"/>
    <n v="170.8"/>
    <x v="4"/>
    <x v="3"/>
  </r>
  <r>
    <n v="414"/>
    <x v="81"/>
    <s v="Customer payment received"/>
    <x v="205"/>
    <n v="0"/>
    <x v="0"/>
    <x v="0"/>
  </r>
  <r>
    <n v="414"/>
    <x v="81"/>
    <s v="Customer payment received"/>
    <x v="1"/>
    <n v="1833.28"/>
    <x v="2"/>
    <x v="0"/>
  </r>
  <r>
    <n v="415"/>
    <x v="81"/>
    <s v="Customer payment received"/>
    <x v="227"/>
    <n v="0"/>
    <x v="0"/>
    <x v="0"/>
  </r>
  <r>
    <n v="415"/>
    <x v="81"/>
    <s v="Customer payment received"/>
    <x v="1"/>
    <n v="2260.5300000000002"/>
    <x v="2"/>
    <x v="0"/>
  </r>
  <r>
    <n v="416"/>
    <x v="81"/>
    <s v="Supplier payment made"/>
    <x v="252"/>
    <n v="0"/>
    <x v="11"/>
    <x v="3"/>
  </r>
  <r>
    <n v="416"/>
    <x v="81"/>
    <s v="Supplier payment made"/>
    <x v="1"/>
    <n v="4812.46"/>
    <x v="0"/>
    <x v="0"/>
  </r>
  <r>
    <n v="417"/>
    <x v="82"/>
    <s v="Customer payment received"/>
    <x v="171"/>
    <n v="0"/>
    <x v="0"/>
    <x v="0"/>
  </r>
  <r>
    <n v="417"/>
    <x v="82"/>
    <s v="Customer payment received"/>
    <x v="1"/>
    <n v="3535.63"/>
    <x v="2"/>
    <x v="0"/>
  </r>
  <r>
    <n v="418"/>
    <x v="82"/>
    <s v="Customer payment received"/>
    <x v="241"/>
    <n v="0"/>
    <x v="0"/>
    <x v="0"/>
  </r>
  <r>
    <n v="418"/>
    <x v="82"/>
    <s v="Customer payment received"/>
    <x v="1"/>
    <n v="1713.42"/>
    <x v="2"/>
    <x v="0"/>
  </r>
  <r>
    <n v="419"/>
    <x v="82"/>
    <s v="Customer payment received"/>
    <x v="249"/>
    <n v="0"/>
    <x v="0"/>
    <x v="0"/>
  </r>
  <r>
    <n v="419"/>
    <x v="82"/>
    <s v="Customer payment received"/>
    <x v="1"/>
    <n v="3276.6"/>
    <x v="2"/>
    <x v="0"/>
  </r>
  <r>
    <n v="420"/>
    <x v="83"/>
    <s v="Payroll processed"/>
    <x v="28"/>
    <n v="0"/>
    <x v="5"/>
    <x v="4"/>
  </r>
  <r>
    <n v="420"/>
    <x v="83"/>
    <s v="Payroll processed"/>
    <x v="29"/>
    <n v="0"/>
    <x v="6"/>
    <x v="4"/>
  </r>
  <r>
    <n v="420"/>
    <x v="83"/>
    <s v="Payroll processed"/>
    <x v="1"/>
    <n v="17437.03"/>
    <x v="0"/>
    <x v="0"/>
  </r>
  <r>
    <n v="420"/>
    <x v="83"/>
    <s v="Payroll processed"/>
    <x v="1"/>
    <n v="3870.65"/>
    <x v="7"/>
    <x v="3"/>
  </r>
  <r>
    <n v="420"/>
    <x v="83"/>
    <s v="Payroll processed"/>
    <x v="1"/>
    <n v="852.32"/>
    <x v="8"/>
    <x v="3"/>
  </r>
  <r>
    <n v="421"/>
    <x v="83"/>
    <s v="Sales invoice issued"/>
    <x v="253"/>
    <n v="0"/>
    <x v="2"/>
    <x v="0"/>
  </r>
  <r>
    <n v="421"/>
    <x v="83"/>
    <s v="Sales invoice issued"/>
    <x v="1"/>
    <n v="1826.76"/>
    <x v="3"/>
    <x v="2"/>
  </r>
  <r>
    <n v="421"/>
    <x v="83"/>
    <s v="Sales invoice issued"/>
    <x v="1"/>
    <n v="137"/>
    <x v="4"/>
    <x v="3"/>
  </r>
  <r>
    <n v="422"/>
    <x v="83"/>
    <s v="Sales invoice issued"/>
    <x v="254"/>
    <n v="0"/>
    <x v="2"/>
    <x v="0"/>
  </r>
  <r>
    <n v="422"/>
    <x v="83"/>
    <s v="Sales invoice issued"/>
    <x v="1"/>
    <n v="2856.31"/>
    <x v="3"/>
    <x v="2"/>
  </r>
  <r>
    <n v="422"/>
    <x v="83"/>
    <s v="Sales invoice issued"/>
    <x v="1"/>
    <n v="214.22"/>
    <x v="4"/>
    <x v="3"/>
  </r>
  <r>
    <n v="423"/>
    <x v="83"/>
    <s v="Sales invoice issued"/>
    <x v="255"/>
    <n v="0"/>
    <x v="2"/>
    <x v="0"/>
  </r>
  <r>
    <n v="423"/>
    <x v="83"/>
    <s v="Sales invoice issued"/>
    <x v="1"/>
    <n v="432.16"/>
    <x v="3"/>
    <x v="2"/>
  </r>
  <r>
    <n v="423"/>
    <x v="83"/>
    <s v="Sales invoice issued"/>
    <x v="1"/>
    <n v="32.409999999999997"/>
    <x v="4"/>
    <x v="3"/>
  </r>
  <r>
    <n v="424"/>
    <x v="83"/>
    <s v="Sales invoice issued"/>
    <x v="256"/>
    <n v="0"/>
    <x v="2"/>
    <x v="0"/>
  </r>
  <r>
    <n v="424"/>
    <x v="83"/>
    <s v="Sales invoice issued"/>
    <x v="1"/>
    <n v="3206.53"/>
    <x v="3"/>
    <x v="2"/>
  </r>
  <r>
    <n v="424"/>
    <x v="83"/>
    <s v="Sales invoice issued"/>
    <x v="1"/>
    <n v="240.48"/>
    <x v="4"/>
    <x v="3"/>
  </r>
  <r>
    <n v="425"/>
    <x v="83"/>
    <s v="Sales invoice issued"/>
    <x v="257"/>
    <n v="0"/>
    <x v="2"/>
    <x v="0"/>
  </r>
  <r>
    <n v="425"/>
    <x v="83"/>
    <s v="Sales invoice issued"/>
    <x v="1"/>
    <n v="1935.38"/>
    <x v="3"/>
    <x v="2"/>
  </r>
  <r>
    <n v="425"/>
    <x v="83"/>
    <s v="Sales invoice issued"/>
    <x v="1"/>
    <n v="145.15"/>
    <x v="4"/>
    <x v="3"/>
  </r>
  <r>
    <n v="426"/>
    <x v="83"/>
    <s v="Customer payment received"/>
    <x v="198"/>
    <n v="0"/>
    <x v="0"/>
    <x v="0"/>
  </r>
  <r>
    <n v="426"/>
    <x v="83"/>
    <s v="Customer payment received"/>
    <x v="1"/>
    <n v="813.71"/>
    <x v="2"/>
    <x v="0"/>
  </r>
  <r>
    <n v="427"/>
    <x v="83"/>
    <s v="Customer payment received"/>
    <x v="222"/>
    <n v="0"/>
    <x v="0"/>
    <x v="0"/>
  </r>
  <r>
    <n v="427"/>
    <x v="83"/>
    <s v="Customer payment received"/>
    <x v="1"/>
    <n v="1417.67"/>
    <x v="2"/>
    <x v="0"/>
  </r>
  <r>
    <n v="428"/>
    <x v="83"/>
    <s v="Customer payment received"/>
    <x v="258"/>
    <n v="0"/>
    <x v="0"/>
    <x v="0"/>
  </r>
  <r>
    <n v="428"/>
    <x v="83"/>
    <s v="Customer payment received"/>
    <x v="1"/>
    <n v="234.96"/>
    <x v="2"/>
    <x v="0"/>
  </r>
  <r>
    <n v="429"/>
    <x v="83"/>
    <s v="Customer payment received"/>
    <x v="244"/>
    <n v="0"/>
    <x v="0"/>
    <x v="0"/>
  </r>
  <r>
    <n v="429"/>
    <x v="83"/>
    <s v="Customer payment received"/>
    <x v="1"/>
    <n v="3129.75"/>
    <x v="2"/>
    <x v="0"/>
  </r>
  <r>
    <n v="430"/>
    <x v="83"/>
    <s v="Customer payment received"/>
    <x v="248"/>
    <n v="0"/>
    <x v="0"/>
    <x v="0"/>
  </r>
  <r>
    <n v="430"/>
    <x v="83"/>
    <s v="Customer payment received"/>
    <x v="1"/>
    <n v="3568.41"/>
    <x v="2"/>
    <x v="0"/>
  </r>
  <r>
    <n v="431"/>
    <x v="83"/>
    <s v="Supplier invoice received"/>
    <x v="151"/>
    <n v="0"/>
    <x v="9"/>
    <x v="4"/>
  </r>
  <r>
    <n v="431"/>
    <x v="83"/>
    <s v="Supplier invoice received"/>
    <x v="152"/>
    <n v="0"/>
    <x v="10"/>
    <x v="0"/>
  </r>
  <r>
    <n v="431"/>
    <x v="83"/>
    <s v="Supplier invoice received"/>
    <x v="1"/>
    <n v="201.5"/>
    <x v="11"/>
    <x v="3"/>
  </r>
  <r>
    <n v="432"/>
    <x v="84"/>
    <s v="Sales invoice issued"/>
    <x v="259"/>
    <n v="0"/>
    <x v="2"/>
    <x v="0"/>
  </r>
  <r>
    <n v="432"/>
    <x v="84"/>
    <s v="Sales invoice issued"/>
    <x v="1"/>
    <n v="1047.3399999999999"/>
    <x v="3"/>
    <x v="2"/>
  </r>
  <r>
    <n v="432"/>
    <x v="84"/>
    <s v="Sales invoice issued"/>
    <x v="1"/>
    <n v="78.55"/>
    <x v="4"/>
    <x v="3"/>
  </r>
  <r>
    <n v="433"/>
    <x v="84"/>
    <s v="Sales invoice issued"/>
    <x v="260"/>
    <n v="0"/>
    <x v="2"/>
    <x v="0"/>
  </r>
  <r>
    <n v="433"/>
    <x v="84"/>
    <s v="Sales invoice issued"/>
    <x v="1"/>
    <n v="2018.31"/>
    <x v="3"/>
    <x v="2"/>
  </r>
  <r>
    <n v="433"/>
    <x v="84"/>
    <s v="Sales invoice issued"/>
    <x v="1"/>
    <n v="151.38"/>
    <x v="4"/>
    <x v="3"/>
  </r>
  <r>
    <n v="434"/>
    <x v="84"/>
    <s v="Sales invoice issued"/>
    <x v="261"/>
    <n v="0"/>
    <x v="2"/>
    <x v="0"/>
  </r>
  <r>
    <n v="434"/>
    <x v="84"/>
    <s v="Sales invoice issued"/>
    <x v="1"/>
    <n v="2196.5500000000002"/>
    <x v="3"/>
    <x v="2"/>
  </r>
  <r>
    <n v="434"/>
    <x v="84"/>
    <s v="Sales invoice issued"/>
    <x v="1"/>
    <n v="164.73"/>
    <x v="4"/>
    <x v="3"/>
  </r>
  <r>
    <n v="435"/>
    <x v="84"/>
    <s v="Sales invoice issued"/>
    <x v="262"/>
    <n v="0"/>
    <x v="2"/>
    <x v="0"/>
  </r>
  <r>
    <n v="435"/>
    <x v="84"/>
    <s v="Sales invoice issued"/>
    <x v="1"/>
    <n v="497.6"/>
    <x v="3"/>
    <x v="2"/>
  </r>
  <r>
    <n v="435"/>
    <x v="84"/>
    <s v="Sales invoice issued"/>
    <x v="1"/>
    <n v="37.32"/>
    <x v="4"/>
    <x v="3"/>
  </r>
  <r>
    <n v="436"/>
    <x v="84"/>
    <s v="Sales invoice issued"/>
    <x v="263"/>
    <n v="0"/>
    <x v="2"/>
    <x v="0"/>
  </r>
  <r>
    <n v="436"/>
    <x v="84"/>
    <s v="Sales invoice issued"/>
    <x v="1"/>
    <n v="3545.54"/>
    <x v="3"/>
    <x v="2"/>
  </r>
  <r>
    <n v="436"/>
    <x v="84"/>
    <s v="Sales invoice issued"/>
    <x v="1"/>
    <n v="265.91000000000003"/>
    <x v="4"/>
    <x v="3"/>
  </r>
  <r>
    <n v="437"/>
    <x v="84"/>
    <s v="Customer payment received"/>
    <x v="264"/>
    <n v="0"/>
    <x v="0"/>
    <x v="0"/>
  </r>
  <r>
    <n v="437"/>
    <x v="84"/>
    <s v="Customer payment received"/>
    <x v="1"/>
    <n v="108.07"/>
    <x v="2"/>
    <x v="0"/>
  </r>
  <r>
    <n v="438"/>
    <x v="84"/>
    <s v="Customer payment received"/>
    <x v="240"/>
    <n v="0"/>
    <x v="0"/>
    <x v="0"/>
  </r>
  <r>
    <n v="438"/>
    <x v="84"/>
    <s v="Customer payment received"/>
    <x v="1"/>
    <n v="4595.53"/>
    <x v="2"/>
    <x v="0"/>
  </r>
  <r>
    <n v="439"/>
    <x v="84"/>
    <s v="Customer payment received"/>
    <x v="260"/>
    <n v="0"/>
    <x v="0"/>
    <x v="0"/>
  </r>
  <r>
    <n v="439"/>
    <x v="84"/>
    <s v="Customer payment received"/>
    <x v="1"/>
    <n v="2169.69"/>
    <x v="2"/>
    <x v="0"/>
  </r>
  <r>
    <n v="440"/>
    <x v="84"/>
    <s v="Customer payment received"/>
    <x v="261"/>
    <n v="0"/>
    <x v="0"/>
    <x v="0"/>
  </r>
  <r>
    <n v="440"/>
    <x v="84"/>
    <s v="Customer payment received"/>
    <x v="1"/>
    <n v="2361.2800000000002"/>
    <x v="2"/>
    <x v="0"/>
  </r>
  <r>
    <n v="441"/>
    <x v="85"/>
    <s v="Sales invoice issued"/>
    <x v="265"/>
    <n v="0"/>
    <x v="2"/>
    <x v="0"/>
  </r>
  <r>
    <n v="441"/>
    <x v="85"/>
    <s v="Sales invoice issued"/>
    <x v="1"/>
    <n v="2598.02"/>
    <x v="3"/>
    <x v="2"/>
  </r>
  <r>
    <n v="441"/>
    <x v="85"/>
    <s v="Sales invoice issued"/>
    <x v="1"/>
    <n v="194.85"/>
    <x v="4"/>
    <x v="3"/>
  </r>
  <r>
    <n v="442"/>
    <x v="85"/>
    <s v="Sales invoice issued"/>
    <x v="266"/>
    <n v="0"/>
    <x v="2"/>
    <x v="0"/>
  </r>
  <r>
    <n v="442"/>
    <x v="85"/>
    <s v="Sales invoice issued"/>
    <x v="1"/>
    <n v="1124.02"/>
    <x v="3"/>
    <x v="2"/>
  </r>
  <r>
    <n v="442"/>
    <x v="85"/>
    <s v="Sales invoice issued"/>
    <x v="1"/>
    <n v="84.3"/>
    <x v="4"/>
    <x v="3"/>
  </r>
  <r>
    <n v="443"/>
    <x v="85"/>
    <s v="Sales invoice issued"/>
    <x v="267"/>
    <n v="0"/>
    <x v="2"/>
    <x v="0"/>
  </r>
  <r>
    <n v="443"/>
    <x v="85"/>
    <s v="Sales invoice issued"/>
    <x v="1"/>
    <n v="3394"/>
    <x v="3"/>
    <x v="2"/>
  </r>
  <r>
    <n v="443"/>
    <x v="85"/>
    <s v="Sales invoice issued"/>
    <x v="1"/>
    <n v="254.55"/>
    <x v="4"/>
    <x v="3"/>
  </r>
  <r>
    <n v="444"/>
    <x v="85"/>
    <s v="Customer payment received"/>
    <x v="251"/>
    <n v="0"/>
    <x v="0"/>
    <x v="0"/>
  </r>
  <r>
    <n v="444"/>
    <x v="85"/>
    <s v="Customer payment received"/>
    <x v="1"/>
    <n v="2448.11"/>
    <x v="2"/>
    <x v="0"/>
  </r>
  <r>
    <n v="445"/>
    <x v="85"/>
    <s v="Supplier invoice received"/>
    <x v="35"/>
    <n v="0"/>
    <x v="9"/>
    <x v="4"/>
  </r>
  <r>
    <n v="445"/>
    <x v="85"/>
    <s v="Supplier invoice received"/>
    <x v="36"/>
    <n v="0"/>
    <x v="10"/>
    <x v="0"/>
  </r>
  <r>
    <n v="445"/>
    <x v="85"/>
    <s v="Supplier invoice received"/>
    <x v="1"/>
    <n v="1023.42"/>
    <x v="11"/>
    <x v="3"/>
  </r>
  <r>
    <n v="446"/>
    <x v="85"/>
    <s v="Supplier invoice received"/>
    <x v="268"/>
    <n v="0"/>
    <x v="9"/>
    <x v="4"/>
  </r>
  <r>
    <n v="446"/>
    <x v="85"/>
    <s v="Supplier invoice received"/>
    <x v="269"/>
    <n v="0"/>
    <x v="10"/>
    <x v="0"/>
  </r>
  <r>
    <n v="446"/>
    <x v="85"/>
    <s v="Supplier invoice received"/>
    <x v="1"/>
    <n v="1935.04"/>
    <x v="11"/>
    <x v="3"/>
  </r>
  <r>
    <n v="447"/>
    <x v="85"/>
    <s v="Supplier invoice received"/>
    <x v="213"/>
    <n v="0"/>
    <x v="9"/>
    <x v="4"/>
  </r>
  <r>
    <n v="447"/>
    <x v="85"/>
    <s v="Supplier invoice received"/>
    <x v="214"/>
    <n v="0"/>
    <x v="10"/>
    <x v="0"/>
  </r>
  <r>
    <n v="447"/>
    <x v="85"/>
    <s v="Supplier invoice received"/>
    <x v="1"/>
    <n v="2635.36"/>
    <x v="11"/>
    <x v="3"/>
  </r>
  <r>
    <n v="448"/>
    <x v="85"/>
    <s v="Supplier invoice received"/>
    <x v="176"/>
    <n v="0"/>
    <x v="9"/>
    <x v="4"/>
  </r>
  <r>
    <n v="448"/>
    <x v="85"/>
    <s v="Supplier invoice received"/>
    <x v="177"/>
    <n v="0"/>
    <x v="10"/>
    <x v="0"/>
  </r>
  <r>
    <n v="448"/>
    <x v="85"/>
    <s v="Supplier invoice received"/>
    <x v="1"/>
    <n v="1159.8399999999999"/>
    <x v="11"/>
    <x v="3"/>
  </r>
  <r>
    <n v="449"/>
    <x v="85"/>
    <s v="Supplier invoice received"/>
    <x v="209"/>
    <n v="0"/>
    <x v="9"/>
    <x v="4"/>
  </r>
  <r>
    <n v="449"/>
    <x v="85"/>
    <s v="Supplier invoice received"/>
    <x v="210"/>
    <n v="0"/>
    <x v="10"/>
    <x v="0"/>
  </r>
  <r>
    <n v="449"/>
    <x v="85"/>
    <s v="Supplier invoice received"/>
    <x v="1"/>
    <n v="4812.46"/>
    <x v="11"/>
    <x v="3"/>
  </r>
  <r>
    <n v="450"/>
    <x v="85"/>
    <s v="Supplier payment made"/>
    <x v="252"/>
    <n v="0"/>
    <x v="11"/>
    <x v="3"/>
  </r>
  <r>
    <n v="450"/>
    <x v="85"/>
    <s v="Supplier payment made"/>
    <x v="1"/>
    <n v="4812.46"/>
    <x v="0"/>
    <x v="0"/>
  </r>
  <r>
    <n v="451"/>
    <x v="85"/>
    <s v="Supplier payment made"/>
    <x v="45"/>
    <n v="0"/>
    <x v="11"/>
    <x v="3"/>
  </r>
  <r>
    <n v="451"/>
    <x v="85"/>
    <s v="Supplier payment made"/>
    <x v="1"/>
    <n v="1023.42"/>
    <x v="0"/>
    <x v="0"/>
  </r>
  <r>
    <n v="452"/>
    <x v="85"/>
    <s v="Supplier payment made"/>
    <x v="45"/>
    <n v="0"/>
    <x v="11"/>
    <x v="3"/>
  </r>
  <r>
    <n v="452"/>
    <x v="85"/>
    <s v="Supplier payment made"/>
    <x v="1"/>
    <n v="1023.42"/>
    <x v="0"/>
    <x v="0"/>
  </r>
  <r>
    <n v="453"/>
    <x v="86"/>
    <s v="Sales invoice issued"/>
    <x v="270"/>
    <n v="0"/>
    <x v="2"/>
    <x v="0"/>
  </r>
  <r>
    <n v="453"/>
    <x v="86"/>
    <s v="Sales invoice issued"/>
    <x v="1"/>
    <n v="4522.58"/>
    <x v="3"/>
    <x v="2"/>
  </r>
  <r>
    <n v="453"/>
    <x v="86"/>
    <s v="Sales invoice issued"/>
    <x v="1"/>
    <n v="339.2"/>
    <x v="4"/>
    <x v="3"/>
  </r>
  <r>
    <n v="454"/>
    <x v="86"/>
    <s v="Sales invoice issued"/>
    <x v="271"/>
    <n v="0"/>
    <x v="2"/>
    <x v="0"/>
  </r>
  <r>
    <n v="454"/>
    <x v="86"/>
    <s v="Sales invoice issued"/>
    <x v="1"/>
    <n v="981.85"/>
    <x v="3"/>
    <x v="2"/>
  </r>
  <r>
    <n v="454"/>
    <x v="86"/>
    <s v="Sales invoice issued"/>
    <x v="1"/>
    <n v="73.650000000000006"/>
    <x v="4"/>
    <x v="3"/>
  </r>
  <r>
    <n v="455"/>
    <x v="86"/>
    <s v="Depreciation â€” POS System"/>
    <x v="56"/>
    <n v="0"/>
    <x v="12"/>
    <x v="4"/>
  </r>
  <r>
    <n v="455"/>
    <x v="86"/>
    <s v="Depreciation â€” POS System"/>
    <x v="1"/>
    <n v="93.61"/>
    <x v="13"/>
    <x v="0"/>
  </r>
  <r>
    <n v="456"/>
    <x v="86"/>
    <s v="Depreciation â€” Laptop x2"/>
    <x v="57"/>
    <n v="0"/>
    <x v="12"/>
    <x v="4"/>
  </r>
  <r>
    <n v="456"/>
    <x v="86"/>
    <s v="Depreciation â€” Laptop x2"/>
    <x v="1"/>
    <n v="76.86"/>
    <x v="13"/>
    <x v="0"/>
  </r>
  <r>
    <n v="457"/>
    <x v="86"/>
    <s v="Depreciation â€” Printer/Scanner"/>
    <x v="58"/>
    <n v="0"/>
    <x v="12"/>
    <x v="4"/>
  </r>
  <r>
    <n v="457"/>
    <x v="86"/>
    <s v="Depreciation â€” Printer/Scanner"/>
    <x v="1"/>
    <n v="20.03"/>
    <x v="13"/>
    <x v="0"/>
  </r>
  <r>
    <n v="458"/>
    <x v="86"/>
    <s v="Depreciation â€” Shop Shelving"/>
    <x v="59"/>
    <n v="0"/>
    <x v="12"/>
    <x v="4"/>
  </r>
  <r>
    <n v="458"/>
    <x v="86"/>
    <s v="Depreciation â€” Shop Shelving"/>
    <x v="1"/>
    <n v="86.89"/>
    <x v="14"/>
    <x v="0"/>
  </r>
  <r>
    <n v="459"/>
    <x v="86"/>
    <s v="Depreciation â€” Display Stands"/>
    <x v="60"/>
    <n v="0"/>
    <x v="12"/>
    <x v="4"/>
  </r>
  <r>
    <n v="459"/>
    <x v="86"/>
    <s v="Depreciation â€” Display Stands"/>
    <x v="1"/>
    <n v="76.8"/>
    <x v="14"/>
    <x v="0"/>
  </r>
  <r>
    <n v="460"/>
    <x v="86"/>
    <s v="Depreciation â€” Counter &amp; Checkout"/>
    <x v="61"/>
    <n v="0"/>
    <x v="12"/>
    <x v="4"/>
  </r>
  <r>
    <n v="460"/>
    <x v="86"/>
    <s v="Depreciation â€” Counter &amp; Checkout"/>
    <x v="1"/>
    <n v="48.28"/>
    <x v="14"/>
    <x v="0"/>
  </r>
  <r>
    <n v="461"/>
    <x v="86"/>
    <s v="Depreciation â€” Signage"/>
    <x v="62"/>
    <n v="0"/>
    <x v="12"/>
    <x v="4"/>
  </r>
  <r>
    <n v="461"/>
    <x v="86"/>
    <s v="Depreciation â€” Signage"/>
    <x v="1"/>
    <n v="53.21"/>
    <x v="14"/>
    <x v="0"/>
  </r>
  <r>
    <n v="462"/>
    <x v="86"/>
    <s v="Depreciation â€” Delivery Van"/>
    <x v="63"/>
    <n v="0"/>
    <x v="12"/>
    <x v="4"/>
  </r>
  <r>
    <n v="462"/>
    <x v="86"/>
    <s v="Depreciation â€” Delivery Van"/>
    <x v="1"/>
    <n v="232.19"/>
    <x v="15"/>
    <x v="0"/>
  </r>
  <r>
    <n v="463"/>
    <x v="86"/>
    <s v="Depreciation â€” Security System"/>
    <x v="64"/>
    <n v="0"/>
    <x v="12"/>
    <x v="4"/>
  </r>
  <r>
    <n v="463"/>
    <x v="86"/>
    <s v="Depreciation â€” Security System"/>
    <x v="1"/>
    <n v="43.85"/>
    <x v="13"/>
    <x v="0"/>
  </r>
  <r>
    <n v="464"/>
    <x v="87"/>
    <s v="Sales invoice issued"/>
    <x v="272"/>
    <s v="0.0"/>
    <x v="2"/>
    <x v="0"/>
  </r>
  <r>
    <n v="464"/>
    <x v="87"/>
    <s v="Sales invoice issued"/>
    <x v="273"/>
    <s v="2527.64"/>
    <x v="3"/>
    <x v="2"/>
  </r>
  <r>
    <n v="464"/>
    <x v="87"/>
    <s v="Sales invoice issued"/>
    <x v="273"/>
    <s v="189.57"/>
    <x v="4"/>
    <x v="3"/>
  </r>
  <r>
    <n v="465"/>
    <x v="87"/>
    <s v="Sales invoice issued"/>
    <x v="274"/>
    <s v="0.0"/>
    <x v="2"/>
    <x v="0"/>
  </r>
  <r>
    <n v="465"/>
    <x v="87"/>
    <s v="Sales invoice issued"/>
    <x v="273"/>
    <s v="3865.14"/>
    <x v="3"/>
    <x v="2"/>
  </r>
  <r>
    <n v="465"/>
    <x v="87"/>
    <s v="Sales invoice issued"/>
    <x v="273"/>
    <s v="289.89"/>
    <x v="4"/>
    <x v="3"/>
  </r>
  <r>
    <n v="466"/>
    <x v="87"/>
    <s v="Sales invoice issued"/>
    <x v="275"/>
    <s v="0.0"/>
    <x v="2"/>
    <x v="0"/>
  </r>
  <r>
    <n v="466"/>
    <x v="87"/>
    <s v="Sales invoice issued"/>
    <x v="273"/>
    <s v="120.32"/>
    <x v="3"/>
    <x v="2"/>
  </r>
  <r>
    <n v="466"/>
    <x v="87"/>
    <s v="Sales invoice issued"/>
    <x v="273"/>
    <s v="9.02"/>
    <x v="4"/>
    <x v="3"/>
  </r>
  <r>
    <n v="467"/>
    <x v="87"/>
    <s v="Sales invoice issued"/>
    <x v="276"/>
    <s v="0.0"/>
    <x v="2"/>
    <x v="0"/>
  </r>
  <r>
    <n v="467"/>
    <x v="87"/>
    <s v="Sales invoice issued"/>
    <x v="273"/>
    <s v="1607.92"/>
    <x v="3"/>
    <x v="2"/>
  </r>
  <r>
    <n v="467"/>
    <x v="87"/>
    <s v="Sales invoice issued"/>
    <x v="273"/>
    <s v="120.6"/>
    <x v="4"/>
    <x v="3"/>
  </r>
  <r>
    <n v="468"/>
    <x v="87"/>
    <s v="Customer payment received"/>
    <x v="277"/>
    <s v="0.0"/>
    <x v="0"/>
    <x v="0"/>
  </r>
  <r>
    <n v="468"/>
    <x v="87"/>
    <s v="Customer payment received"/>
    <x v="273"/>
    <s v="2294.17"/>
    <x v="2"/>
    <x v="0"/>
  </r>
  <r>
    <n v="469"/>
    <x v="87"/>
    <s v="Customer payment received"/>
    <x v="278"/>
    <s v="0.0"/>
    <x v="0"/>
    <x v="0"/>
  </r>
  <r>
    <n v="469"/>
    <x v="87"/>
    <s v="Customer payment received"/>
    <x v="273"/>
    <s v="2257.82"/>
    <x v="2"/>
    <x v="0"/>
  </r>
  <r>
    <n v="470"/>
    <x v="87"/>
    <s v="Customer payment received"/>
    <x v="279"/>
    <s v="0.0"/>
    <x v="0"/>
    <x v="0"/>
  </r>
  <r>
    <n v="470"/>
    <x v="87"/>
    <s v="Customer payment received"/>
    <x v="273"/>
    <s v="2027.99"/>
    <x v="2"/>
    <x v="0"/>
  </r>
  <r>
    <n v="471"/>
    <x v="87"/>
    <s v="Supplier payment made"/>
    <x v="280"/>
    <s v="0.0"/>
    <x v="11"/>
    <x v="3"/>
  </r>
  <r>
    <n v="471"/>
    <x v="87"/>
    <s v="Supplier payment made"/>
    <x v="273"/>
    <s v="2635.36"/>
    <x v="0"/>
    <x v="0"/>
  </r>
  <r>
    <n v="472"/>
    <x v="88"/>
    <s v="Sales invoice issued"/>
    <x v="281"/>
    <s v="0.0"/>
    <x v="2"/>
    <x v="0"/>
  </r>
  <r>
    <n v="472"/>
    <x v="88"/>
    <s v="Sales invoice issued"/>
    <x v="273"/>
    <s v="389.07"/>
    <x v="3"/>
    <x v="2"/>
  </r>
  <r>
    <n v="472"/>
    <x v="88"/>
    <s v="Sales invoice issued"/>
    <x v="273"/>
    <s v="29.18"/>
    <x v="4"/>
    <x v="3"/>
  </r>
  <r>
    <n v="473"/>
    <x v="88"/>
    <s v="Sales invoice issued"/>
    <x v="282"/>
    <s v="0.0"/>
    <x v="2"/>
    <x v="0"/>
  </r>
  <r>
    <n v="473"/>
    <x v="88"/>
    <s v="Sales invoice issued"/>
    <x v="273"/>
    <s v="652.08"/>
    <x v="3"/>
    <x v="2"/>
  </r>
  <r>
    <n v="473"/>
    <x v="88"/>
    <s v="Sales invoice issued"/>
    <x v="273"/>
    <s v="48.91"/>
    <x v="4"/>
    <x v="3"/>
  </r>
  <r>
    <n v="474"/>
    <x v="88"/>
    <s v="Customer payment received"/>
    <x v="283"/>
    <s v="0.0"/>
    <x v="0"/>
    <x v="0"/>
  </r>
  <r>
    <n v="474"/>
    <x v="88"/>
    <s v="Customer payment received"/>
    <x v="273"/>
    <s v="367.71"/>
    <x v="2"/>
    <x v="0"/>
  </r>
  <r>
    <n v="475"/>
    <x v="88"/>
    <s v="Supplier invoice received"/>
    <x v="284"/>
    <s v="0.0"/>
    <x v="9"/>
    <x v="4"/>
  </r>
  <r>
    <n v="475"/>
    <x v="88"/>
    <s v="Supplier invoice received"/>
    <x v="285"/>
    <s v="0.0"/>
    <x v="10"/>
    <x v="0"/>
  </r>
  <r>
    <n v="475"/>
    <x v="88"/>
    <s v="Supplier invoice received"/>
    <x v="273"/>
    <s v="9336.67"/>
    <x v="11"/>
    <x v="3"/>
  </r>
  <r>
    <n v="476"/>
    <x v="89"/>
    <s v="Sales invoice issued"/>
    <x v="286"/>
    <s v="0.0"/>
    <x v="2"/>
    <x v="0"/>
  </r>
  <r>
    <n v="476"/>
    <x v="89"/>
    <s v="Sales invoice issued"/>
    <x v="273"/>
    <s v="1572.1"/>
    <x v="3"/>
    <x v="2"/>
  </r>
  <r>
    <n v="476"/>
    <x v="89"/>
    <s v="Sales invoice issued"/>
    <x v="273"/>
    <s v="117.91"/>
    <x v="4"/>
    <x v="3"/>
  </r>
  <r>
    <n v="477"/>
    <x v="89"/>
    <s v="Sales invoice issued"/>
    <x v="287"/>
    <s v="0.0"/>
    <x v="2"/>
    <x v="0"/>
  </r>
  <r>
    <n v="477"/>
    <x v="89"/>
    <s v="Sales invoice issued"/>
    <x v="273"/>
    <s v="3069.71"/>
    <x v="3"/>
    <x v="2"/>
  </r>
  <r>
    <n v="477"/>
    <x v="89"/>
    <s v="Sales invoice issued"/>
    <x v="273"/>
    <s v="230.21"/>
    <x v="4"/>
    <x v="3"/>
  </r>
  <r>
    <n v="478"/>
    <x v="89"/>
    <s v="Customer payment received"/>
    <x v="288"/>
    <s v="0.0"/>
    <x v="0"/>
    <x v="0"/>
  </r>
  <r>
    <n v="478"/>
    <x v="89"/>
    <s v="Customer payment received"/>
    <x v="273"/>
    <s v="1037.53"/>
    <x v="2"/>
    <x v="0"/>
  </r>
  <r>
    <n v="479"/>
    <x v="89"/>
    <s v="Customer payment received"/>
    <x v="289"/>
    <s v="0.0"/>
    <x v="0"/>
    <x v="0"/>
  </r>
  <r>
    <n v="479"/>
    <x v="89"/>
    <s v="Customer payment received"/>
    <x v="273"/>
    <s v="2651.83"/>
    <x v="2"/>
    <x v="0"/>
  </r>
  <r>
    <n v="480"/>
    <x v="89"/>
    <s v="Customer payment received"/>
    <x v="290"/>
    <s v="0.0"/>
    <x v="0"/>
    <x v="0"/>
  </r>
  <r>
    <n v="480"/>
    <x v="89"/>
    <s v="Customer payment received"/>
    <x v="273"/>
    <s v="2482.59"/>
    <x v="2"/>
    <x v="0"/>
  </r>
  <r>
    <n v="481"/>
    <x v="89"/>
    <s v="Customer payment received"/>
    <x v="291"/>
    <s v="0.0"/>
    <x v="0"/>
    <x v="0"/>
  </r>
  <r>
    <n v="481"/>
    <x v="89"/>
    <s v="Customer payment received"/>
    <x v="273"/>
    <s v="6755.14"/>
    <x v="2"/>
    <x v="0"/>
  </r>
  <r>
    <n v="482"/>
    <x v="89"/>
    <s v="Supplier payment made"/>
    <x v="292"/>
    <s v="0.0"/>
    <x v="11"/>
    <x v="3"/>
  </r>
  <r>
    <n v="482"/>
    <x v="89"/>
    <s v="Supplier payment made"/>
    <x v="273"/>
    <s v="1766.46"/>
    <x v="0"/>
    <x v="0"/>
  </r>
  <r>
    <n v="483"/>
    <x v="90"/>
    <s v="Sales invoice issued"/>
    <x v="293"/>
    <s v="0.0"/>
    <x v="2"/>
    <x v="0"/>
  </r>
  <r>
    <n v="483"/>
    <x v="90"/>
    <s v="Sales invoice issued"/>
    <x v="273"/>
    <s v="3157.63"/>
    <x v="3"/>
    <x v="2"/>
  </r>
  <r>
    <n v="483"/>
    <x v="90"/>
    <s v="Sales invoice issued"/>
    <x v="273"/>
    <s v="236.82"/>
    <x v="4"/>
    <x v="3"/>
  </r>
  <r>
    <n v="484"/>
    <x v="90"/>
    <s v="Customer payment received"/>
    <x v="294"/>
    <s v="0.0"/>
    <x v="0"/>
    <x v="0"/>
  </r>
  <r>
    <n v="484"/>
    <x v="90"/>
    <s v="Customer payment received"/>
    <x v="273"/>
    <s v="3173.64"/>
    <x v="2"/>
    <x v="0"/>
  </r>
  <r>
    <n v="485"/>
    <x v="90"/>
    <s v="Customer payment received"/>
    <x v="281"/>
    <s v="0.0"/>
    <x v="0"/>
    <x v="0"/>
  </r>
  <r>
    <n v="485"/>
    <x v="90"/>
    <s v="Customer payment received"/>
    <x v="273"/>
    <s v="418.25"/>
    <x v="2"/>
    <x v="0"/>
  </r>
  <r>
    <n v="486"/>
    <x v="90"/>
    <s v="Supplier invoice received"/>
    <x v="295"/>
    <s v="0.0"/>
    <x v="9"/>
    <x v="4"/>
  </r>
  <r>
    <n v="486"/>
    <x v="90"/>
    <s v="Supplier invoice received"/>
    <x v="296"/>
    <s v="0.0"/>
    <x v="10"/>
    <x v="0"/>
  </r>
  <r>
    <n v="486"/>
    <x v="90"/>
    <s v="Supplier invoice received"/>
    <x v="273"/>
    <s v="1766.46"/>
    <x v="11"/>
    <x v="3"/>
  </r>
  <r>
    <n v="487"/>
    <x v="90"/>
    <s v="Supplier invoice received"/>
    <x v="297"/>
    <s v="0.0"/>
    <x v="9"/>
    <x v="4"/>
  </r>
  <r>
    <n v="487"/>
    <x v="90"/>
    <s v="Supplier invoice received"/>
    <x v="298"/>
    <s v="0.0"/>
    <x v="10"/>
    <x v="0"/>
  </r>
  <r>
    <n v="487"/>
    <x v="90"/>
    <s v="Supplier invoice received"/>
    <x v="273"/>
    <s v="3528.97"/>
    <x v="11"/>
    <x v="3"/>
  </r>
  <r>
    <n v="488"/>
    <x v="90"/>
    <s v="Supplier invoice received"/>
    <x v="299"/>
    <s v="0.0"/>
    <x v="9"/>
    <x v="4"/>
  </r>
  <r>
    <n v="488"/>
    <x v="90"/>
    <s v="Supplier invoice received"/>
    <x v="300"/>
    <s v="0.0"/>
    <x v="10"/>
    <x v="0"/>
  </r>
  <r>
    <n v="488"/>
    <x v="90"/>
    <s v="Supplier invoice received"/>
    <x v="273"/>
    <s v="2918.17"/>
    <x v="11"/>
    <x v="3"/>
  </r>
  <r>
    <n v="489"/>
    <x v="90"/>
    <s v="Supplier invoice received"/>
    <x v="301"/>
    <s v="0.0"/>
    <x v="9"/>
    <x v="4"/>
  </r>
  <r>
    <n v="489"/>
    <x v="90"/>
    <s v="Supplier invoice received"/>
    <x v="302"/>
    <s v="0.0"/>
    <x v="10"/>
    <x v="0"/>
  </r>
  <r>
    <n v="489"/>
    <x v="90"/>
    <s v="Supplier invoice received"/>
    <x v="273"/>
    <s v="4812.46"/>
    <x v="11"/>
    <x v="3"/>
  </r>
  <r>
    <n v="490"/>
    <x v="90"/>
    <s v="Supplier invoice received"/>
    <x v="303"/>
    <s v="0.0"/>
    <x v="9"/>
    <x v="4"/>
  </r>
  <r>
    <n v="490"/>
    <x v="90"/>
    <s v="Supplier invoice received"/>
    <x v="304"/>
    <s v="0.0"/>
    <x v="10"/>
    <x v="0"/>
  </r>
  <r>
    <n v="490"/>
    <x v="90"/>
    <s v="Supplier invoice received"/>
    <x v="273"/>
    <s v="550.4"/>
    <x v="11"/>
    <x v="3"/>
  </r>
  <r>
    <n v="491"/>
    <x v="90"/>
    <s v="Supplier invoice received"/>
    <x v="305"/>
    <s v="0.0"/>
    <x v="9"/>
    <x v="4"/>
  </r>
  <r>
    <n v="491"/>
    <x v="90"/>
    <s v="Supplier invoice received"/>
    <x v="306"/>
    <s v="0.0"/>
    <x v="10"/>
    <x v="0"/>
  </r>
  <r>
    <n v="491"/>
    <x v="90"/>
    <s v="Supplier invoice received"/>
    <x v="273"/>
    <s v="276.32"/>
    <x v="11"/>
    <x v="3"/>
  </r>
  <r>
    <n v="492"/>
    <x v="90"/>
    <s v="Supplier invoice received"/>
    <x v="307"/>
    <s v="0.0"/>
    <x v="9"/>
    <x v="4"/>
  </r>
  <r>
    <n v="492"/>
    <x v="90"/>
    <s v="Supplier invoice received"/>
    <x v="308"/>
    <s v="0.0"/>
    <x v="10"/>
    <x v="0"/>
  </r>
  <r>
    <n v="492"/>
    <x v="90"/>
    <s v="Supplier invoice received"/>
    <x v="273"/>
    <s v="2093.28"/>
    <x v="11"/>
    <x v="3"/>
  </r>
  <r>
    <n v="493"/>
    <x v="90"/>
    <s v="Supplier payment made"/>
    <x v="309"/>
    <s v="0.0"/>
    <x v="11"/>
    <x v="3"/>
  </r>
  <r>
    <n v="493"/>
    <x v="90"/>
    <s v="Supplier payment made"/>
    <x v="273"/>
    <s v="4812.46"/>
    <x v="0"/>
    <x v="0"/>
  </r>
  <r>
    <n v="494"/>
    <x v="90"/>
    <s v="Supplier payment made"/>
    <x v="310"/>
    <s v="0.0"/>
    <x v="11"/>
    <x v="3"/>
  </r>
  <r>
    <n v="494"/>
    <x v="90"/>
    <s v="Supplier payment made"/>
    <x v="273"/>
    <s v="276.32"/>
    <x v="0"/>
    <x v="0"/>
  </r>
  <r>
    <n v="495"/>
    <x v="91"/>
    <s v="Sales invoice issued"/>
    <x v="311"/>
    <s v="0.0"/>
    <x v="2"/>
    <x v="0"/>
  </r>
  <r>
    <n v="495"/>
    <x v="91"/>
    <s v="Sales invoice issued"/>
    <x v="273"/>
    <s v="6627.51"/>
    <x v="3"/>
    <x v="2"/>
  </r>
  <r>
    <n v="495"/>
    <x v="91"/>
    <s v="Sales invoice issued"/>
    <x v="273"/>
    <s v="497.08"/>
    <x v="4"/>
    <x v="3"/>
  </r>
  <r>
    <n v="496"/>
    <x v="91"/>
    <s v="Sales invoice issued"/>
    <x v="312"/>
    <s v="0.0"/>
    <x v="2"/>
    <x v="0"/>
  </r>
  <r>
    <n v="496"/>
    <x v="91"/>
    <s v="Sales invoice issued"/>
    <x v="273"/>
    <s v="202.2"/>
    <x v="3"/>
    <x v="2"/>
  </r>
  <r>
    <n v="496"/>
    <x v="91"/>
    <s v="Sales invoice issued"/>
    <x v="273"/>
    <s v="15.17"/>
    <x v="4"/>
    <x v="3"/>
  </r>
  <r>
    <n v="497"/>
    <x v="91"/>
    <s v="Customer payment received"/>
    <x v="312"/>
    <s v="0.0"/>
    <x v="0"/>
    <x v="0"/>
  </r>
  <r>
    <n v="497"/>
    <x v="91"/>
    <s v="Customer payment received"/>
    <x v="273"/>
    <s v="217.37"/>
    <x v="2"/>
    <x v="0"/>
  </r>
  <r>
    <n v="498"/>
    <x v="91"/>
    <s v="Supplier payment made"/>
    <x v="280"/>
    <s v="0.0"/>
    <x v="11"/>
    <x v="3"/>
  </r>
  <r>
    <n v="498"/>
    <x v="91"/>
    <s v="Supplier payment made"/>
    <x v="273"/>
    <s v="2635.36"/>
    <x v="0"/>
    <x v="0"/>
  </r>
  <r>
    <n v="499"/>
    <x v="91"/>
    <s v="Supplier payment made"/>
    <x v="313"/>
    <s v="0.0"/>
    <x v="11"/>
    <x v="3"/>
  </r>
  <r>
    <n v="499"/>
    <x v="91"/>
    <s v="Supplier payment made"/>
    <x v="273"/>
    <s v="1159.84"/>
    <x v="0"/>
    <x v="0"/>
  </r>
  <r>
    <n v="500"/>
    <x v="92"/>
    <s v="Sales invoice issued"/>
    <x v="314"/>
    <s v="0.0"/>
    <x v="2"/>
    <x v="0"/>
  </r>
  <r>
    <n v="500"/>
    <x v="92"/>
    <s v="Sales invoice issued"/>
    <x v="273"/>
    <s v="1952.05"/>
    <x v="3"/>
    <x v="2"/>
  </r>
  <r>
    <n v="500"/>
    <x v="92"/>
    <s v="Sales invoice issued"/>
    <x v="273"/>
    <s v="146.4"/>
    <x v="4"/>
    <x v="3"/>
  </r>
  <r>
    <n v="501"/>
    <x v="92"/>
    <s v="Sales invoice issued"/>
    <x v="315"/>
    <s v="0.0"/>
    <x v="2"/>
    <x v="0"/>
  </r>
  <r>
    <n v="501"/>
    <x v="92"/>
    <s v="Sales invoice issued"/>
    <x v="273"/>
    <s v="1400.4"/>
    <x v="3"/>
    <x v="2"/>
  </r>
  <r>
    <n v="501"/>
    <x v="92"/>
    <s v="Sales invoice issued"/>
    <x v="273"/>
    <s v="105.02"/>
    <x v="4"/>
    <x v="3"/>
  </r>
  <r>
    <n v="502"/>
    <x v="92"/>
    <s v="Sales invoice issued"/>
    <x v="316"/>
    <s v="0.0"/>
    <x v="2"/>
    <x v="0"/>
  </r>
  <r>
    <n v="502"/>
    <x v="92"/>
    <s v="Sales invoice issued"/>
    <x v="273"/>
    <s v="2149.85"/>
    <x v="3"/>
    <x v="2"/>
  </r>
  <r>
    <n v="502"/>
    <x v="92"/>
    <s v="Sales invoice issued"/>
    <x v="273"/>
    <s v="161.24"/>
    <x v="4"/>
    <x v="3"/>
  </r>
  <r>
    <n v="503"/>
    <x v="92"/>
    <s v="Customer payment received"/>
    <x v="317"/>
    <s v="0.0"/>
    <x v="0"/>
    <x v="0"/>
  </r>
  <r>
    <n v="503"/>
    <x v="92"/>
    <s v="Customer payment received"/>
    <x v="273"/>
    <s v="1515.29"/>
    <x v="2"/>
    <x v="0"/>
  </r>
  <r>
    <n v="504"/>
    <x v="92"/>
    <s v="Supplier payment made"/>
    <x v="318"/>
    <s v="0.0"/>
    <x v="11"/>
    <x v="3"/>
  </r>
  <r>
    <n v="504"/>
    <x v="92"/>
    <s v="Supplier payment made"/>
    <x v="273"/>
    <s v="2504.23"/>
    <x v="0"/>
    <x v="0"/>
  </r>
  <r>
    <n v="505"/>
    <x v="93"/>
    <s v="Payroll processed"/>
    <x v="319"/>
    <s v="0.0"/>
    <x v="5"/>
    <x v="4"/>
  </r>
  <r>
    <n v="505"/>
    <x v="93"/>
    <s v="Payroll processed"/>
    <x v="320"/>
    <s v="0.0"/>
    <x v="6"/>
    <x v="4"/>
  </r>
  <r>
    <n v="505"/>
    <x v="93"/>
    <s v="Payroll processed"/>
    <x v="273"/>
    <s v="17437.03"/>
    <x v="0"/>
    <x v="0"/>
  </r>
  <r>
    <n v="505"/>
    <x v="93"/>
    <s v="Payroll processed"/>
    <x v="273"/>
    <s v="3870.65"/>
    <x v="7"/>
    <x v="3"/>
  </r>
  <r>
    <n v="505"/>
    <x v="93"/>
    <s v="Payroll processed"/>
    <x v="273"/>
    <s v="852.32"/>
    <x v="8"/>
    <x v="3"/>
  </r>
  <r>
    <n v="506"/>
    <x v="93"/>
    <s v="Sales invoice issued"/>
    <x v="321"/>
    <s v="0.0"/>
    <x v="2"/>
    <x v="0"/>
  </r>
  <r>
    <n v="506"/>
    <x v="93"/>
    <s v="Sales invoice issued"/>
    <x v="273"/>
    <s v="2203.37"/>
    <x v="3"/>
    <x v="2"/>
  </r>
  <r>
    <n v="506"/>
    <x v="93"/>
    <s v="Sales invoice issued"/>
    <x v="273"/>
    <s v="165.24"/>
    <x v="4"/>
    <x v="3"/>
  </r>
  <r>
    <n v="507"/>
    <x v="93"/>
    <s v="Sales invoice issued"/>
    <x v="322"/>
    <s v="0.0"/>
    <x v="2"/>
    <x v="0"/>
  </r>
  <r>
    <n v="507"/>
    <x v="93"/>
    <s v="Sales invoice issued"/>
    <x v="273"/>
    <s v="939.82"/>
    <x v="3"/>
    <x v="2"/>
  </r>
  <r>
    <n v="507"/>
    <x v="93"/>
    <s v="Sales invoice issued"/>
    <x v="273"/>
    <s v="70.49"/>
    <x v="4"/>
    <x v="3"/>
  </r>
  <r>
    <n v="508"/>
    <x v="93"/>
    <s v="Sales invoice issued"/>
    <x v="323"/>
    <s v="0.0"/>
    <x v="2"/>
    <x v="0"/>
  </r>
  <r>
    <n v="508"/>
    <x v="93"/>
    <s v="Sales invoice issued"/>
    <x v="273"/>
    <s v="2146.56"/>
    <x v="3"/>
    <x v="2"/>
  </r>
  <r>
    <n v="508"/>
    <x v="93"/>
    <s v="Sales invoice issued"/>
    <x v="273"/>
    <s v="160.99"/>
    <x v="4"/>
    <x v="3"/>
  </r>
  <r>
    <n v="509"/>
    <x v="93"/>
    <s v="Customer payment received"/>
    <x v="324"/>
    <s v="0.0"/>
    <x v="0"/>
    <x v="0"/>
  </r>
  <r>
    <n v="509"/>
    <x v="93"/>
    <s v="Customer payment received"/>
    <x v="273"/>
    <s v="3811.45"/>
    <x v="2"/>
    <x v="0"/>
  </r>
  <r>
    <n v="510"/>
    <x v="93"/>
    <s v="Customer payment received"/>
    <x v="315"/>
    <s v="0.0"/>
    <x v="0"/>
    <x v="0"/>
  </r>
  <r>
    <n v="510"/>
    <x v="93"/>
    <s v="Customer payment received"/>
    <x v="273"/>
    <s v="1505.42"/>
    <x v="2"/>
    <x v="0"/>
  </r>
  <r>
    <n v="511"/>
    <x v="93"/>
    <s v="Supplier invoice received"/>
    <x v="325"/>
    <s v="0.0"/>
    <x v="9"/>
    <x v="4"/>
  </r>
  <r>
    <n v="511"/>
    <x v="93"/>
    <s v="Supplier invoice received"/>
    <x v="326"/>
    <s v="0.0"/>
    <x v="10"/>
    <x v="0"/>
  </r>
  <r>
    <n v="511"/>
    <x v="93"/>
    <s v="Supplier invoice received"/>
    <x v="273"/>
    <s v="1304.62"/>
    <x v="11"/>
    <x v="3"/>
  </r>
  <r>
    <n v="512"/>
    <x v="93"/>
    <s v="Supplier payment made"/>
    <x v="327"/>
    <s v="0.0"/>
    <x v="11"/>
    <x v="3"/>
  </r>
  <r>
    <n v="512"/>
    <x v="93"/>
    <s v="Supplier payment made"/>
    <x v="273"/>
    <s v="1935.04"/>
    <x v="0"/>
    <x v="0"/>
  </r>
  <r>
    <n v="513"/>
    <x v="94"/>
    <s v="Sales invoice issued"/>
    <x v="328"/>
    <s v="0.0"/>
    <x v="2"/>
    <x v="0"/>
  </r>
  <r>
    <n v="513"/>
    <x v="94"/>
    <s v="Sales invoice issued"/>
    <x v="273"/>
    <s v="1833.33"/>
    <x v="3"/>
    <x v="2"/>
  </r>
  <r>
    <n v="513"/>
    <x v="94"/>
    <s v="Sales invoice issued"/>
    <x v="273"/>
    <s v="137.5"/>
    <x v="4"/>
    <x v="3"/>
  </r>
  <r>
    <n v="514"/>
    <x v="94"/>
    <s v="Sales invoice issued"/>
    <x v="329"/>
    <s v="0.0"/>
    <x v="2"/>
    <x v="0"/>
  </r>
  <r>
    <n v="514"/>
    <x v="94"/>
    <s v="Sales invoice issued"/>
    <x v="273"/>
    <s v="3017.29"/>
    <x v="3"/>
    <x v="2"/>
  </r>
  <r>
    <n v="514"/>
    <x v="94"/>
    <s v="Sales invoice issued"/>
    <x v="273"/>
    <s v="226.3"/>
    <x v="4"/>
    <x v="3"/>
  </r>
  <r>
    <n v="515"/>
    <x v="94"/>
    <s v="Customer payment received"/>
    <x v="328"/>
    <s v="0.0"/>
    <x v="0"/>
    <x v="0"/>
  </r>
  <r>
    <n v="515"/>
    <x v="94"/>
    <s v="Customer payment received"/>
    <x v="273"/>
    <s v="1970.83"/>
    <x v="2"/>
    <x v="0"/>
  </r>
  <r>
    <n v="516"/>
    <x v="94"/>
    <s v="Supplier invoice received"/>
    <x v="330"/>
    <s v="0.0"/>
    <x v="9"/>
    <x v="4"/>
  </r>
  <r>
    <n v="516"/>
    <x v="94"/>
    <s v="Supplier invoice received"/>
    <x v="331"/>
    <s v="0.0"/>
    <x v="10"/>
    <x v="0"/>
  </r>
  <r>
    <n v="516"/>
    <x v="94"/>
    <s v="Supplier invoice received"/>
    <x v="273"/>
    <s v="1935.04"/>
    <x v="11"/>
    <x v="3"/>
  </r>
  <r>
    <n v="517"/>
    <x v="94"/>
    <s v="Supplier invoice received"/>
    <x v="332"/>
    <s v="0.0"/>
    <x v="9"/>
    <x v="4"/>
  </r>
  <r>
    <n v="517"/>
    <x v="94"/>
    <s v="Supplier invoice received"/>
    <x v="333"/>
    <s v="0.0"/>
    <x v="10"/>
    <x v="0"/>
  </r>
  <r>
    <n v="517"/>
    <x v="94"/>
    <s v="Supplier invoice received"/>
    <x v="273"/>
    <s v="1023.42"/>
    <x v="11"/>
    <x v="3"/>
  </r>
  <r>
    <n v="518"/>
    <x v="94"/>
    <s v="Supplier payment made"/>
    <x v="334"/>
    <s v="0.0"/>
    <x v="11"/>
    <x v="3"/>
  </r>
  <r>
    <n v="518"/>
    <x v="94"/>
    <s v="Supplier payment made"/>
    <x v="273"/>
    <s v="3528.97"/>
    <x v="0"/>
    <x v="0"/>
  </r>
  <r>
    <n v="519"/>
    <x v="94"/>
    <s v="Supplier payment made"/>
    <x v="335"/>
    <s v="0.0"/>
    <x v="11"/>
    <x v="3"/>
  </r>
  <r>
    <n v="519"/>
    <x v="94"/>
    <s v="Supplier payment made"/>
    <x v="273"/>
    <s v="550.4"/>
    <x v="0"/>
    <x v="0"/>
  </r>
  <r>
    <n v="520"/>
    <x v="94"/>
    <s v="Supplier payment made"/>
    <x v="336"/>
    <s v="0.0"/>
    <x v="11"/>
    <x v="3"/>
  </r>
  <r>
    <n v="520"/>
    <x v="94"/>
    <s v="Supplier payment made"/>
    <x v="273"/>
    <s v="2093.28"/>
    <x v="0"/>
    <x v="0"/>
  </r>
  <r>
    <n v="521"/>
    <x v="95"/>
    <s v="Sales invoice issued"/>
    <x v="337"/>
    <s v="0.0"/>
    <x v="2"/>
    <x v="0"/>
  </r>
  <r>
    <n v="521"/>
    <x v="95"/>
    <s v="Sales invoice issued"/>
    <x v="273"/>
    <s v="1995.07"/>
    <x v="3"/>
    <x v="2"/>
  </r>
  <r>
    <n v="521"/>
    <x v="95"/>
    <s v="Sales invoice issued"/>
    <x v="273"/>
    <s v="149.63"/>
    <x v="4"/>
    <x v="3"/>
  </r>
  <r>
    <n v="522"/>
    <x v="95"/>
    <s v="Supplier invoice received"/>
    <x v="338"/>
    <s v="0.0"/>
    <x v="9"/>
    <x v="4"/>
  </r>
  <r>
    <n v="522"/>
    <x v="95"/>
    <s v="Supplier invoice received"/>
    <x v="339"/>
    <s v="0.0"/>
    <x v="10"/>
    <x v="0"/>
  </r>
  <r>
    <n v="522"/>
    <x v="95"/>
    <s v="Supplier invoice received"/>
    <x v="273"/>
    <s v="1159.84"/>
    <x v="11"/>
    <x v="3"/>
  </r>
  <r>
    <n v="523"/>
    <x v="95"/>
    <s v="Supplier payment made"/>
    <x v="340"/>
    <s v="0.0"/>
    <x v="11"/>
    <x v="3"/>
  </r>
  <r>
    <n v="523"/>
    <x v="95"/>
    <s v="Supplier payment made"/>
    <x v="273"/>
    <s v="1304.62"/>
    <x v="0"/>
    <x v="0"/>
  </r>
  <r>
    <n v="524"/>
    <x v="96"/>
    <s v="Sales invoice issued"/>
    <x v="341"/>
    <s v="0.0"/>
    <x v="2"/>
    <x v="0"/>
  </r>
  <r>
    <n v="524"/>
    <x v="96"/>
    <s v="Sales invoice issued"/>
    <x v="273"/>
    <s v="4878.67"/>
    <x v="3"/>
    <x v="2"/>
  </r>
  <r>
    <n v="524"/>
    <x v="96"/>
    <s v="Sales invoice issued"/>
    <x v="273"/>
    <s v="365.91"/>
    <x v="4"/>
    <x v="3"/>
  </r>
  <r>
    <n v="525"/>
    <x v="96"/>
    <s v="Sales invoice issued"/>
    <x v="342"/>
    <s v="0.0"/>
    <x v="2"/>
    <x v="0"/>
  </r>
  <r>
    <n v="525"/>
    <x v="96"/>
    <s v="Sales invoice issued"/>
    <x v="273"/>
    <s v="5104.93"/>
    <x v="3"/>
    <x v="2"/>
  </r>
  <r>
    <n v="525"/>
    <x v="96"/>
    <s v="Sales invoice issued"/>
    <x v="273"/>
    <s v="382.88"/>
    <x v="4"/>
    <x v="3"/>
  </r>
  <r>
    <n v="526"/>
    <x v="96"/>
    <s v="Sales invoice issued"/>
    <x v="343"/>
    <s v="0.0"/>
    <x v="2"/>
    <x v="0"/>
  </r>
  <r>
    <n v="526"/>
    <x v="96"/>
    <s v="Sales invoice issued"/>
    <x v="273"/>
    <s v="3120.44"/>
    <x v="3"/>
    <x v="2"/>
  </r>
  <r>
    <n v="526"/>
    <x v="96"/>
    <s v="Sales invoice issued"/>
    <x v="273"/>
    <s v="234.03"/>
    <x v="4"/>
    <x v="3"/>
  </r>
  <r>
    <n v="527"/>
    <x v="96"/>
    <s v="Customer payment received"/>
    <x v="344"/>
    <s v="0.0"/>
    <x v="0"/>
    <x v="0"/>
  </r>
  <r>
    <n v="527"/>
    <x v="96"/>
    <s v="Customer payment received"/>
    <x v="273"/>
    <s v="2078.48"/>
    <x v="2"/>
    <x v="0"/>
  </r>
  <r>
    <n v="528"/>
    <x v="96"/>
    <s v="Customer payment received"/>
    <x v="345"/>
    <s v="0.0"/>
    <x v="0"/>
    <x v="0"/>
  </r>
  <r>
    <n v="528"/>
    <x v="96"/>
    <s v="Customer payment received"/>
    <x v="273"/>
    <s v="2792.85"/>
    <x v="2"/>
    <x v="0"/>
  </r>
  <r>
    <n v="529"/>
    <x v="97"/>
    <s v="Sales invoice issued"/>
    <x v="346"/>
    <s v="0.0"/>
    <x v="2"/>
    <x v="0"/>
  </r>
  <r>
    <n v="529"/>
    <x v="97"/>
    <s v="Sales invoice issued"/>
    <x v="273"/>
    <s v="3189.35"/>
    <x v="3"/>
    <x v="2"/>
  </r>
  <r>
    <n v="529"/>
    <x v="97"/>
    <s v="Sales invoice issued"/>
    <x v="273"/>
    <s v="239.2"/>
    <x v="4"/>
    <x v="3"/>
  </r>
  <r>
    <n v="530"/>
    <x v="97"/>
    <s v="Sales invoice issued"/>
    <x v="347"/>
    <s v="0.0"/>
    <x v="2"/>
    <x v="0"/>
  </r>
  <r>
    <n v="530"/>
    <x v="97"/>
    <s v="Sales invoice issued"/>
    <x v="273"/>
    <s v="1519.42"/>
    <x v="3"/>
    <x v="2"/>
  </r>
  <r>
    <n v="530"/>
    <x v="97"/>
    <s v="Sales invoice issued"/>
    <x v="273"/>
    <s v="113.96"/>
    <x v="4"/>
    <x v="3"/>
  </r>
  <r>
    <n v="531"/>
    <x v="97"/>
    <s v="Sales invoice issued"/>
    <x v="348"/>
    <s v="0.0"/>
    <x v="2"/>
    <x v="0"/>
  </r>
  <r>
    <n v="531"/>
    <x v="97"/>
    <s v="Sales invoice issued"/>
    <x v="273"/>
    <s v="4876.72"/>
    <x v="3"/>
    <x v="2"/>
  </r>
  <r>
    <n v="531"/>
    <x v="97"/>
    <s v="Sales invoice issued"/>
    <x v="273"/>
    <s v="365.74"/>
    <x v="4"/>
    <x v="3"/>
  </r>
  <r>
    <n v="532"/>
    <x v="97"/>
    <s v="Sales invoice issued"/>
    <x v="349"/>
    <s v="0.0"/>
    <x v="2"/>
    <x v="0"/>
  </r>
  <r>
    <n v="532"/>
    <x v="97"/>
    <s v="Sales invoice issued"/>
    <x v="273"/>
    <s v="1443.44"/>
    <x v="3"/>
    <x v="2"/>
  </r>
  <r>
    <n v="532"/>
    <x v="97"/>
    <s v="Sales invoice issued"/>
    <x v="273"/>
    <s v="108.26"/>
    <x v="4"/>
    <x v="3"/>
  </r>
  <r>
    <n v="533"/>
    <x v="97"/>
    <s v="Customer payment received"/>
    <x v="311"/>
    <s v="0.0"/>
    <x v="0"/>
    <x v="0"/>
  </r>
  <r>
    <n v="533"/>
    <x v="97"/>
    <s v="Customer payment received"/>
    <x v="273"/>
    <s v="7124.59"/>
    <x v="2"/>
    <x v="0"/>
  </r>
  <r>
    <n v="534"/>
    <x v="97"/>
    <s v="Supplier payment made"/>
    <x v="350"/>
    <s v="0.0"/>
    <x v="11"/>
    <x v="3"/>
  </r>
  <r>
    <n v="534"/>
    <x v="97"/>
    <s v="Supplier payment made"/>
    <x v="273"/>
    <s v="1794.11"/>
    <x v="0"/>
    <x v="0"/>
  </r>
  <r>
    <n v="535"/>
    <x v="97"/>
    <s v="Supplier payment made"/>
    <x v="351"/>
    <s v="0.0"/>
    <x v="11"/>
    <x v="3"/>
  </r>
  <r>
    <n v="535"/>
    <x v="97"/>
    <s v="Supplier payment made"/>
    <x v="273"/>
    <s v="179.01"/>
    <x v="0"/>
    <x v="0"/>
  </r>
  <r>
    <n v="536"/>
    <x v="97"/>
    <s v="Supplier payment made"/>
    <x v="352"/>
    <s v="0.0"/>
    <x v="11"/>
    <x v="3"/>
  </r>
  <r>
    <n v="536"/>
    <x v="97"/>
    <s v="Supplier payment made"/>
    <x v="273"/>
    <s v="9336.67"/>
    <x v="0"/>
    <x v="0"/>
  </r>
  <r>
    <n v="537"/>
    <x v="97"/>
    <s v="Supplier payment made"/>
    <x v="353"/>
    <s v="0.0"/>
    <x v="11"/>
    <x v="3"/>
  </r>
  <r>
    <n v="537"/>
    <x v="97"/>
    <s v="Supplier payment made"/>
    <x v="273"/>
    <s v="2918.17"/>
    <x v="0"/>
    <x v="0"/>
  </r>
  <r>
    <n v="538"/>
    <x v="98"/>
    <s v="Sales invoice issued"/>
    <x v="354"/>
    <s v="0.0"/>
    <x v="2"/>
    <x v="0"/>
  </r>
  <r>
    <n v="538"/>
    <x v="98"/>
    <s v="Sales invoice issued"/>
    <x v="273"/>
    <s v="226.6"/>
    <x v="3"/>
    <x v="2"/>
  </r>
  <r>
    <n v="538"/>
    <x v="98"/>
    <s v="Sales invoice issued"/>
    <x v="273"/>
    <s v="17.0"/>
    <x v="4"/>
    <x v="3"/>
  </r>
  <r>
    <n v="539"/>
    <x v="98"/>
    <s v="Sales invoice issued"/>
    <x v="355"/>
    <s v="0.0"/>
    <x v="2"/>
    <x v="0"/>
  </r>
  <r>
    <n v="539"/>
    <x v="98"/>
    <s v="Sales invoice issued"/>
    <x v="273"/>
    <s v="266.2"/>
    <x v="3"/>
    <x v="2"/>
  </r>
  <r>
    <n v="539"/>
    <x v="98"/>
    <s v="Sales invoice issued"/>
    <x v="273"/>
    <s v="19.97"/>
    <x v="4"/>
    <x v="3"/>
  </r>
  <r>
    <n v="540"/>
    <x v="98"/>
    <s v="Customer payment received"/>
    <x v="356"/>
    <s v="0.0"/>
    <x v="0"/>
    <x v="0"/>
  </r>
  <r>
    <n v="540"/>
    <x v="98"/>
    <s v="Customer payment received"/>
    <x v="273"/>
    <s v="3495.93"/>
    <x v="2"/>
    <x v="0"/>
  </r>
  <r>
    <n v="541"/>
    <x v="98"/>
    <s v="Supplier invoice received"/>
    <x v="357"/>
    <s v="0.0"/>
    <x v="9"/>
    <x v="4"/>
  </r>
  <r>
    <n v="541"/>
    <x v="98"/>
    <s v="Supplier invoice received"/>
    <x v="358"/>
    <s v="0.0"/>
    <x v="10"/>
    <x v="0"/>
  </r>
  <r>
    <n v="541"/>
    <x v="98"/>
    <s v="Supplier invoice received"/>
    <x v="273"/>
    <s v="1958.74"/>
    <x v="11"/>
    <x v="3"/>
  </r>
  <r>
    <n v="542"/>
    <x v="98"/>
    <s v="Supplier invoice received"/>
    <x v="359"/>
    <s v="0.0"/>
    <x v="9"/>
    <x v="4"/>
  </r>
  <r>
    <n v="542"/>
    <x v="98"/>
    <s v="Supplier invoice received"/>
    <x v="360"/>
    <s v="0.0"/>
    <x v="10"/>
    <x v="0"/>
  </r>
  <r>
    <n v="542"/>
    <x v="98"/>
    <s v="Supplier invoice received"/>
    <x v="273"/>
    <s v="1591.54"/>
    <x v="11"/>
    <x v="3"/>
  </r>
  <r>
    <n v="543"/>
    <x v="98"/>
    <s v="Supplier payment made"/>
    <x v="335"/>
    <s v="0.0"/>
    <x v="11"/>
    <x v="3"/>
  </r>
  <r>
    <n v="543"/>
    <x v="98"/>
    <s v="Supplier payment made"/>
    <x v="273"/>
    <s v="550.4"/>
    <x v="0"/>
    <x v="0"/>
  </r>
  <r>
    <n v="544"/>
    <x v="98"/>
    <s v="Supplier payment made"/>
    <x v="309"/>
    <s v="0.0"/>
    <x v="11"/>
    <x v="3"/>
  </r>
  <r>
    <n v="544"/>
    <x v="98"/>
    <s v="Supplier payment made"/>
    <x v="273"/>
    <s v="4812.46"/>
    <x v="0"/>
    <x v="0"/>
  </r>
  <r>
    <n v="545"/>
    <x v="98"/>
    <s v="Supplier payment made"/>
    <x v="327"/>
    <s v="0.0"/>
    <x v="11"/>
    <x v="3"/>
  </r>
  <r>
    <n v="545"/>
    <x v="98"/>
    <s v="Supplier payment made"/>
    <x v="273"/>
    <s v="1935.04"/>
    <x v="0"/>
    <x v="0"/>
  </r>
  <r>
    <n v="546"/>
    <x v="98"/>
    <s v="Supplier payment made"/>
    <x v="313"/>
    <s v="0.0"/>
    <x v="11"/>
    <x v="3"/>
  </r>
  <r>
    <n v="546"/>
    <x v="98"/>
    <s v="Supplier payment made"/>
    <x v="273"/>
    <s v="1159.84"/>
    <x v="0"/>
    <x v="0"/>
  </r>
  <r>
    <n v="547"/>
    <x v="99"/>
    <s v="Sales invoice issued"/>
    <x v="361"/>
    <s v="0.0"/>
    <x v="2"/>
    <x v="0"/>
  </r>
  <r>
    <n v="547"/>
    <x v="99"/>
    <s v="Sales invoice issued"/>
    <x v="273"/>
    <s v="2202.42"/>
    <x v="3"/>
    <x v="2"/>
  </r>
  <r>
    <n v="547"/>
    <x v="99"/>
    <s v="Sales invoice issued"/>
    <x v="273"/>
    <s v="165.19"/>
    <x v="4"/>
    <x v="3"/>
  </r>
  <r>
    <n v="548"/>
    <x v="99"/>
    <s v="Sales invoice issued"/>
    <x v="362"/>
    <s v="0.0"/>
    <x v="2"/>
    <x v="0"/>
  </r>
  <r>
    <n v="548"/>
    <x v="99"/>
    <s v="Sales invoice issued"/>
    <x v="273"/>
    <s v="1289.43"/>
    <x v="3"/>
    <x v="2"/>
  </r>
  <r>
    <n v="548"/>
    <x v="99"/>
    <s v="Sales invoice issued"/>
    <x v="273"/>
    <s v="96.71"/>
    <x v="4"/>
    <x v="3"/>
  </r>
  <r>
    <n v="549"/>
    <x v="99"/>
    <s v="Sales invoice issued"/>
    <x v="363"/>
    <s v="0.0"/>
    <x v="2"/>
    <x v="0"/>
  </r>
  <r>
    <n v="549"/>
    <x v="99"/>
    <s v="Sales invoice issued"/>
    <x v="273"/>
    <s v="777.9"/>
    <x v="3"/>
    <x v="2"/>
  </r>
  <r>
    <n v="549"/>
    <x v="99"/>
    <s v="Sales invoice issued"/>
    <x v="273"/>
    <s v="58.34"/>
    <x v="4"/>
    <x v="3"/>
  </r>
  <r>
    <n v="550"/>
    <x v="99"/>
    <s v="Sales invoice issued"/>
    <x v="364"/>
    <s v="0.0"/>
    <x v="2"/>
    <x v="0"/>
  </r>
  <r>
    <n v="550"/>
    <x v="99"/>
    <s v="Sales invoice issued"/>
    <x v="273"/>
    <s v="81.51"/>
    <x v="3"/>
    <x v="2"/>
  </r>
  <r>
    <n v="550"/>
    <x v="99"/>
    <s v="Sales invoice issued"/>
    <x v="273"/>
    <s v="6.11"/>
    <x v="4"/>
    <x v="3"/>
  </r>
  <r>
    <n v="551"/>
    <x v="99"/>
    <s v="Customer payment received"/>
    <x v="365"/>
    <s v="0.0"/>
    <x v="0"/>
    <x v="0"/>
  </r>
  <r>
    <n v="551"/>
    <x v="99"/>
    <s v="Customer payment received"/>
    <x v="273"/>
    <s v="2272.39"/>
    <x v="2"/>
    <x v="0"/>
  </r>
  <r>
    <n v="552"/>
    <x v="99"/>
    <s v="Customer payment received"/>
    <x v="316"/>
    <s v="0.0"/>
    <x v="0"/>
    <x v="0"/>
  </r>
  <r>
    <n v="552"/>
    <x v="99"/>
    <s v="Customer payment received"/>
    <x v="273"/>
    <s v="2311.09"/>
    <x v="2"/>
    <x v="0"/>
  </r>
  <r>
    <n v="553"/>
    <x v="99"/>
    <s v="Supplier invoice received"/>
    <x v="366"/>
    <s v="0.0"/>
    <x v="9"/>
    <x v="4"/>
  </r>
  <r>
    <n v="553"/>
    <x v="99"/>
    <s v="Supplier invoice received"/>
    <x v="367"/>
    <s v="0.0"/>
    <x v="10"/>
    <x v="0"/>
  </r>
  <r>
    <n v="553"/>
    <x v="99"/>
    <s v="Supplier invoice received"/>
    <x v="273"/>
    <s v="201.5"/>
    <x v="11"/>
    <x v="3"/>
  </r>
  <r>
    <n v="554"/>
    <x v="100"/>
    <s v="Sales invoice issued"/>
    <x v="368"/>
    <s v="0.0"/>
    <x v="2"/>
    <x v="0"/>
  </r>
  <r>
    <n v="554"/>
    <x v="100"/>
    <s v="Sales invoice issued"/>
    <x v="273"/>
    <s v="2316.98"/>
    <x v="3"/>
    <x v="2"/>
  </r>
  <r>
    <n v="554"/>
    <x v="100"/>
    <s v="Sales invoice issued"/>
    <x v="273"/>
    <s v="173.77"/>
    <x v="4"/>
    <x v="3"/>
  </r>
  <r>
    <n v="555"/>
    <x v="100"/>
    <s v="Sales invoice issued"/>
    <x v="369"/>
    <s v="0.0"/>
    <x v="2"/>
    <x v="0"/>
  </r>
  <r>
    <n v="555"/>
    <x v="100"/>
    <s v="Sales invoice issued"/>
    <x v="273"/>
    <s v="1283.01"/>
    <x v="3"/>
    <x v="2"/>
  </r>
  <r>
    <n v="555"/>
    <x v="100"/>
    <s v="Sales invoice issued"/>
    <x v="273"/>
    <s v="96.22"/>
    <x v="4"/>
    <x v="3"/>
  </r>
  <r>
    <n v="556"/>
    <x v="100"/>
    <s v="Sales invoice issued"/>
    <x v="370"/>
    <s v="0.0"/>
    <x v="2"/>
    <x v="0"/>
  </r>
  <r>
    <n v="556"/>
    <x v="100"/>
    <s v="Sales invoice issued"/>
    <x v="273"/>
    <s v="4151.0"/>
    <x v="3"/>
    <x v="2"/>
  </r>
  <r>
    <n v="556"/>
    <x v="100"/>
    <s v="Sales invoice issued"/>
    <x v="273"/>
    <s v="311.32"/>
    <x v="4"/>
    <x v="3"/>
  </r>
  <r>
    <n v="557"/>
    <x v="100"/>
    <s v="Customer payment received"/>
    <x v="371"/>
    <s v="0.0"/>
    <x v="0"/>
    <x v="0"/>
  </r>
  <r>
    <n v="557"/>
    <x v="100"/>
    <s v="Customer payment received"/>
    <x v="273"/>
    <s v="2080.53"/>
    <x v="2"/>
    <x v="0"/>
  </r>
  <r>
    <n v="558"/>
    <x v="100"/>
    <s v="Customer payment received"/>
    <x v="323"/>
    <s v="0.0"/>
    <x v="0"/>
    <x v="0"/>
  </r>
  <r>
    <n v="558"/>
    <x v="100"/>
    <s v="Customer payment received"/>
    <x v="273"/>
    <s v="2307.55"/>
    <x v="2"/>
    <x v="0"/>
  </r>
  <r>
    <n v="559"/>
    <x v="100"/>
    <s v="Supplier invoice received"/>
    <x v="372"/>
    <s v="0.0"/>
    <x v="9"/>
    <x v="4"/>
  </r>
  <r>
    <n v="559"/>
    <x v="100"/>
    <s v="Supplier invoice received"/>
    <x v="373"/>
    <s v="0.0"/>
    <x v="10"/>
    <x v="0"/>
  </r>
  <r>
    <n v="559"/>
    <x v="100"/>
    <s v="Supplier invoice received"/>
    <x v="273"/>
    <s v="412.54"/>
    <x v="11"/>
    <x v="3"/>
  </r>
  <r>
    <n v="560"/>
    <x v="100"/>
    <s v="Supplier invoice received"/>
    <x v="297"/>
    <s v="0.0"/>
    <x v="9"/>
    <x v="4"/>
  </r>
  <r>
    <n v="560"/>
    <x v="100"/>
    <s v="Supplier invoice received"/>
    <x v="298"/>
    <s v="0.0"/>
    <x v="10"/>
    <x v="0"/>
  </r>
  <r>
    <n v="560"/>
    <x v="100"/>
    <s v="Supplier invoice received"/>
    <x v="273"/>
    <s v="3528.97"/>
    <x v="11"/>
    <x v="3"/>
  </r>
  <r>
    <n v="561"/>
    <x v="100"/>
    <s v="Supplier invoice received"/>
    <x v="374"/>
    <s v="0.0"/>
    <x v="9"/>
    <x v="4"/>
  </r>
  <r>
    <n v="561"/>
    <x v="100"/>
    <s v="Supplier invoice received"/>
    <x v="375"/>
    <s v="0.0"/>
    <x v="10"/>
    <x v="0"/>
  </r>
  <r>
    <n v="561"/>
    <x v="100"/>
    <s v="Supplier invoice received"/>
    <x v="273"/>
    <s v="2504.23"/>
    <x v="11"/>
    <x v="3"/>
  </r>
  <r>
    <n v="562"/>
    <x v="101"/>
    <s v="Sales invoice issued"/>
    <x v="376"/>
    <s v="0.0"/>
    <x v="2"/>
    <x v="0"/>
  </r>
  <r>
    <n v="562"/>
    <x v="101"/>
    <s v="Sales invoice issued"/>
    <x v="273"/>
    <s v="4688.58"/>
    <x v="3"/>
    <x v="2"/>
  </r>
  <r>
    <n v="562"/>
    <x v="101"/>
    <s v="Sales invoice issued"/>
    <x v="273"/>
    <s v="351.66"/>
    <x v="4"/>
    <x v="3"/>
  </r>
  <r>
    <n v="563"/>
    <x v="101"/>
    <s v="Sales invoice issued"/>
    <x v="377"/>
    <s v="0.0"/>
    <x v="2"/>
    <x v="0"/>
  </r>
  <r>
    <n v="563"/>
    <x v="101"/>
    <s v="Sales invoice issued"/>
    <x v="273"/>
    <s v="1899.65"/>
    <x v="3"/>
    <x v="2"/>
  </r>
  <r>
    <n v="563"/>
    <x v="101"/>
    <s v="Sales invoice issued"/>
    <x v="273"/>
    <s v="142.48"/>
    <x v="4"/>
    <x v="3"/>
  </r>
  <r>
    <n v="564"/>
    <x v="101"/>
    <s v="Sales invoice issued"/>
    <x v="378"/>
    <s v="0.0"/>
    <x v="2"/>
    <x v="0"/>
  </r>
  <r>
    <n v="564"/>
    <x v="101"/>
    <s v="Sales invoice issued"/>
    <x v="273"/>
    <s v="599.64"/>
    <x v="3"/>
    <x v="2"/>
  </r>
  <r>
    <n v="564"/>
    <x v="101"/>
    <s v="Sales invoice issued"/>
    <x v="273"/>
    <s v="44.97"/>
    <x v="4"/>
    <x v="3"/>
  </r>
  <r>
    <n v="565"/>
    <x v="101"/>
    <s v="Sales invoice issued"/>
    <x v="379"/>
    <s v="0.0"/>
    <x v="2"/>
    <x v="0"/>
  </r>
  <r>
    <n v="565"/>
    <x v="101"/>
    <s v="Sales invoice issued"/>
    <x v="273"/>
    <s v="1353.13"/>
    <x v="3"/>
    <x v="2"/>
  </r>
  <r>
    <n v="565"/>
    <x v="101"/>
    <s v="Sales invoice issued"/>
    <x v="273"/>
    <s v="101.47"/>
    <x v="4"/>
    <x v="3"/>
  </r>
  <r>
    <n v="566"/>
    <x v="101"/>
    <s v="Customer payment received"/>
    <x v="380"/>
    <s v="0.0"/>
    <x v="0"/>
    <x v="0"/>
  </r>
  <r>
    <n v="566"/>
    <x v="101"/>
    <s v="Customer payment received"/>
    <x v="273"/>
    <s v="753.91"/>
    <x v="2"/>
    <x v="0"/>
  </r>
  <r>
    <n v="567"/>
    <x v="101"/>
    <s v="Customer payment received"/>
    <x v="381"/>
    <s v="0.0"/>
    <x v="0"/>
    <x v="0"/>
  </r>
  <r>
    <n v="567"/>
    <x v="101"/>
    <s v="Customer payment received"/>
    <x v="273"/>
    <s v="3447.01"/>
    <x v="2"/>
    <x v="0"/>
  </r>
  <r>
    <n v="568"/>
    <x v="101"/>
    <s v="Customer payment received"/>
    <x v="382"/>
    <s v="0.0"/>
    <x v="0"/>
    <x v="0"/>
  </r>
  <r>
    <n v="568"/>
    <x v="101"/>
    <s v="Customer payment received"/>
    <x v="273"/>
    <s v="4861.78"/>
    <x v="2"/>
    <x v="0"/>
  </r>
  <r>
    <n v="569"/>
    <x v="101"/>
    <s v="Customer payment received"/>
    <x v="322"/>
    <s v="0.0"/>
    <x v="0"/>
    <x v="0"/>
  </r>
  <r>
    <n v="569"/>
    <x v="101"/>
    <s v="Customer payment received"/>
    <x v="273"/>
    <s v="1010.31"/>
    <x v="2"/>
    <x v="0"/>
  </r>
  <r>
    <n v="570"/>
    <x v="101"/>
    <s v="Supplier invoice received"/>
    <x v="383"/>
    <s v="0.0"/>
    <x v="9"/>
    <x v="4"/>
  </r>
  <r>
    <n v="570"/>
    <x v="101"/>
    <s v="Supplier invoice received"/>
    <x v="384"/>
    <s v="0.0"/>
    <x v="10"/>
    <x v="0"/>
  </r>
  <r>
    <n v="570"/>
    <x v="101"/>
    <s v="Supplier invoice received"/>
    <x v="273"/>
    <s v="3868.8"/>
    <x v="11"/>
    <x v="3"/>
  </r>
  <r>
    <n v="571"/>
    <x v="102"/>
    <s v="Sales invoice issued"/>
    <x v="385"/>
    <s v="0.0"/>
    <x v="2"/>
    <x v="0"/>
  </r>
  <r>
    <n v="571"/>
    <x v="102"/>
    <s v="Sales invoice issued"/>
    <x v="273"/>
    <s v="1639.95"/>
    <x v="3"/>
    <x v="2"/>
  </r>
  <r>
    <n v="571"/>
    <x v="102"/>
    <s v="Sales invoice issued"/>
    <x v="273"/>
    <s v="122.99"/>
    <x v="4"/>
    <x v="3"/>
  </r>
  <r>
    <n v="572"/>
    <x v="102"/>
    <s v="Sales invoice issued"/>
    <x v="386"/>
    <s v="0.0"/>
    <x v="2"/>
    <x v="0"/>
  </r>
  <r>
    <n v="572"/>
    <x v="102"/>
    <s v="Sales invoice issued"/>
    <x v="273"/>
    <s v="1165.8"/>
    <x v="3"/>
    <x v="2"/>
  </r>
  <r>
    <n v="572"/>
    <x v="102"/>
    <s v="Sales invoice issued"/>
    <x v="273"/>
    <s v="87.44"/>
    <x v="4"/>
    <x v="3"/>
  </r>
  <r>
    <n v="573"/>
    <x v="102"/>
    <s v="Sales invoice issued"/>
    <x v="387"/>
    <s v="0.0"/>
    <x v="2"/>
    <x v="0"/>
  </r>
  <r>
    <n v="573"/>
    <x v="102"/>
    <s v="Sales invoice issued"/>
    <x v="273"/>
    <s v="908.79"/>
    <x v="3"/>
    <x v="2"/>
  </r>
  <r>
    <n v="573"/>
    <x v="102"/>
    <s v="Sales invoice issued"/>
    <x v="273"/>
    <s v="68.16"/>
    <x v="4"/>
    <x v="3"/>
  </r>
  <r>
    <n v="574"/>
    <x v="102"/>
    <s v="Sales invoice issued"/>
    <x v="388"/>
    <s v="0.0"/>
    <x v="2"/>
    <x v="0"/>
  </r>
  <r>
    <n v="574"/>
    <x v="102"/>
    <s v="Sales invoice issued"/>
    <x v="273"/>
    <s v="3589.61"/>
    <x v="3"/>
    <x v="2"/>
  </r>
  <r>
    <n v="574"/>
    <x v="102"/>
    <s v="Sales invoice issued"/>
    <x v="273"/>
    <s v="269.21"/>
    <x v="4"/>
    <x v="3"/>
  </r>
  <r>
    <n v="575"/>
    <x v="102"/>
    <s v="Sales invoice issued"/>
    <x v="389"/>
    <s v="0.0"/>
    <x v="2"/>
    <x v="0"/>
  </r>
  <r>
    <n v="575"/>
    <x v="102"/>
    <s v="Sales invoice issued"/>
    <x v="273"/>
    <s v="1952.86"/>
    <x v="3"/>
    <x v="2"/>
  </r>
  <r>
    <n v="575"/>
    <x v="102"/>
    <s v="Sales invoice issued"/>
    <x v="273"/>
    <s v="146.47"/>
    <x v="4"/>
    <x v="3"/>
  </r>
  <r>
    <n v="576"/>
    <x v="102"/>
    <s v="Customer payment received"/>
    <x v="390"/>
    <s v="0.0"/>
    <x v="0"/>
    <x v="0"/>
  </r>
  <r>
    <n v="576"/>
    <x v="102"/>
    <s v="Customer payment received"/>
    <x v="273"/>
    <s v="960.92"/>
    <x v="2"/>
    <x v="0"/>
  </r>
  <r>
    <n v="577"/>
    <x v="102"/>
    <s v="Customer payment received"/>
    <x v="391"/>
    <s v="0.0"/>
    <x v="0"/>
    <x v="0"/>
  </r>
  <r>
    <n v="577"/>
    <x v="102"/>
    <s v="Customer payment received"/>
    <x v="273"/>
    <s v="961.45"/>
    <x v="2"/>
    <x v="0"/>
  </r>
  <r>
    <n v="578"/>
    <x v="102"/>
    <s v="Customer payment received"/>
    <x v="363"/>
    <s v="0.0"/>
    <x v="0"/>
    <x v="0"/>
  </r>
  <r>
    <n v="578"/>
    <x v="102"/>
    <s v="Customer payment received"/>
    <x v="273"/>
    <s v="836.24"/>
    <x v="2"/>
    <x v="0"/>
  </r>
  <r>
    <n v="579"/>
    <x v="102"/>
    <s v="Supplier payment made"/>
    <x v="392"/>
    <s v="0.0"/>
    <x v="11"/>
    <x v="3"/>
  </r>
  <r>
    <n v="579"/>
    <x v="102"/>
    <s v="Supplier payment made"/>
    <x v="273"/>
    <s v="1023.42"/>
    <x v="0"/>
    <x v="0"/>
  </r>
  <r>
    <n v="580"/>
    <x v="102"/>
    <s v="Supplier payment made"/>
    <x v="393"/>
    <s v="0.0"/>
    <x v="11"/>
    <x v="3"/>
  </r>
  <r>
    <n v="580"/>
    <x v="102"/>
    <s v="Supplier payment made"/>
    <x v="273"/>
    <s v="412.54"/>
    <x v="0"/>
    <x v="0"/>
  </r>
  <r>
    <n v="581"/>
    <x v="103"/>
    <s v="Payroll processed"/>
    <x v="319"/>
    <s v="0.0"/>
    <x v="5"/>
    <x v="4"/>
  </r>
  <r>
    <n v="581"/>
    <x v="103"/>
    <s v="Payroll processed"/>
    <x v="320"/>
    <s v="0.0"/>
    <x v="6"/>
    <x v="4"/>
  </r>
  <r>
    <n v="581"/>
    <x v="103"/>
    <s v="Payroll processed"/>
    <x v="273"/>
    <s v="17437.03"/>
    <x v="0"/>
    <x v="0"/>
  </r>
  <r>
    <n v="581"/>
    <x v="103"/>
    <s v="Payroll processed"/>
    <x v="273"/>
    <s v="3870.65"/>
    <x v="7"/>
    <x v="3"/>
  </r>
  <r>
    <n v="581"/>
    <x v="103"/>
    <s v="Payroll processed"/>
    <x v="273"/>
    <s v="852.32"/>
    <x v="8"/>
    <x v="3"/>
  </r>
  <r>
    <n v="582"/>
    <x v="103"/>
    <s v="Sales invoice issued"/>
    <x v="394"/>
    <s v="0.0"/>
    <x v="2"/>
    <x v="0"/>
  </r>
  <r>
    <n v="582"/>
    <x v="103"/>
    <s v="Sales invoice issued"/>
    <x v="273"/>
    <s v="2919.25"/>
    <x v="3"/>
    <x v="2"/>
  </r>
  <r>
    <n v="582"/>
    <x v="103"/>
    <s v="Sales invoice issued"/>
    <x v="273"/>
    <s v="218.93"/>
    <x v="4"/>
    <x v="3"/>
  </r>
  <r>
    <n v="583"/>
    <x v="103"/>
    <s v="Customer payment received"/>
    <x v="395"/>
    <s v="0.0"/>
    <x v="0"/>
    <x v="0"/>
  </r>
  <r>
    <n v="583"/>
    <x v="103"/>
    <s v="Customer payment received"/>
    <x v="273"/>
    <s v="3070.53"/>
    <x v="2"/>
    <x v="0"/>
  </r>
  <r>
    <n v="584"/>
    <x v="103"/>
    <s v="Customer payment received"/>
    <x v="396"/>
    <s v="0.0"/>
    <x v="0"/>
    <x v="0"/>
  </r>
  <r>
    <n v="584"/>
    <x v="103"/>
    <s v="Customer payment received"/>
    <x v="273"/>
    <s v="867.75"/>
    <x v="2"/>
    <x v="0"/>
  </r>
  <r>
    <n v="585"/>
    <x v="103"/>
    <s v="Customer payment received"/>
    <x v="397"/>
    <s v="0.0"/>
    <x v="0"/>
    <x v="0"/>
  </r>
  <r>
    <n v="585"/>
    <x v="103"/>
    <s v="Customer payment received"/>
    <x v="273"/>
    <s v="3648.55"/>
    <x v="2"/>
    <x v="0"/>
  </r>
  <r>
    <n v="586"/>
    <x v="103"/>
    <s v="Customer payment received"/>
    <x v="272"/>
    <s v="0.0"/>
    <x v="0"/>
    <x v="0"/>
  </r>
  <r>
    <n v="586"/>
    <x v="103"/>
    <s v="Customer payment received"/>
    <x v="273"/>
    <s v="2717.21"/>
    <x v="2"/>
    <x v="0"/>
  </r>
  <r>
    <n v="587"/>
    <x v="103"/>
    <s v="Customer payment received"/>
    <x v="368"/>
    <s v="0.0"/>
    <x v="0"/>
    <x v="0"/>
  </r>
  <r>
    <n v="587"/>
    <x v="103"/>
    <s v="Customer payment received"/>
    <x v="273"/>
    <s v="2490.75"/>
    <x v="2"/>
    <x v="0"/>
  </r>
  <r>
    <n v="588"/>
    <x v="103"/>
    <s v="Supplier invoice received"/>
    <x v="330"/>
    <s v="0.0"/>
    <x v="9"/>
    <x v="4"/>
  </r>
  <r>
    <n v="588"/>
    <x v="103"/>
    <s v="Supplier invoice received"/>
    <x v="331"/>
    <s v="0.0"/>
    <x v="10"/>
    <x v="0"/>
  </r>
  <r>
    <n v="588"/>
    <x v="103"/>
    <s v="Supplier invoice received"/>
    <x v="273"/>
    <s v="1935.04"/>
    <x v="11"/>
    <x v="3"/>
  </r>
  <r>
    <n v="589"/>
    <x v="103"/>
    <s v="Supplier invoice received"/>
    <x v="366"/>
    <s v="0.0"/>
    <x v="9"/>
    <x v="4"/>
  </r>
  <r>
    <n v="589"/>
    <x v="103"/>
    <s v="Supplier invoice received"/>
    <x v="367"/>
    <s v="0.0"/>
    <x v="10"/>
    <x v="0"/>
  </r>
  <r>
    <n v="589"/>
    <x v="103"/>
    <s v="Supplier invoice received"/>
    <x v="273"/>
    <s v="201.5"/>
    <x v="11"/>
    <x v="3"/>
  </r>
  <r>
    <n v="590"/>
    <x v="103"/>
    <s v="Supplier payment made"/>
    <x v="318"/>
    <s v="0.0"/>
    <x v="11"/>
    <x v="3"/>
  </r>
  <r>
    <n v="590"/>
    <x v="103"/>
    <s v="Supplier payment made"/>
    <x v="273"/>
    <s v="2504.23"/>
    <x v="0"/>
    <x v="0"/>
  </r>
  <r>
    <n v="591"/>
    <x v="104"/>
    <s v="Sales invoice issued"/>
    <x v="398"/>
    <s v="0.0"/>
    <x v="2"/>
    <x v="0"/>
  </r>
  <r>
    <n v="591"/>
    <x v="104"/>
    <s v="Sales invoice issued"/>
    <x v="273"/>
    <s v="416.97"/>
    <x v="3"/>
    <x v="2"/>
  </r>
  <r>
    <n v="591"/>
    <x v="104"/>
    <s v="Sales invoice issued"/>
    <x v="273"/>
    <s v="31.27"/>
    <x v="4"/>
    <x v="3"/>
  </r>
  <r>
    <n v="592"/>
    <x v="104"/>
    <s v="Sales invoice issued"/>
    <x v="399"/>
    <s v="0.0"/>
    <x v="2"/>
    <x v="0"/>
  </r>
  <r>
    <n v="592"/>
    <x v="104"/>
    <s v="Sales invoice issued"/>
    <x v="273"/>
    <s v="1293.86"/>
    <x v="3"/>
    <x v="2"/>
  </r>
  <r>
    <n v="592"/>
    <x v="104"/>
    <s v="Sales invoice issued"/>
    <x v="273"/>
    <s v="97.05"/>
    <x v="4"/>
    <x v="3"/>
  </r>
  <r>
    <n v="593"/>
    <x v="104"/>
    <s v="Sales invoice issued"/>
    <x v="400"/>
    <s v="0.0"/>
    <x v="2"/>
    <x v="0"/>
  </r>
  <r>
    <n v="593"/>
    <x v="104"/>
    <s v="Sales invoice issued"/>
    <x v="273"/>
    <s v="1806.34"/>
    <x v="3"/>
    <x v="2"/>
  </r>
  <r>
    <n v="593"/>
    <x v="104"/>
    <s v="Sales invoice issued"/>
    <x v="273"/>
    <s v="135.47"/>
    <x v="4"/>
    <x v="3"/>
  </r>
  <r>
    <n v="594"/>
    <x v="104"/>
    <s v="Customer payment received"/>
    <x v="275"/>
    <s v="0.0"/>
    <x v="0"/>
    <x v="0"/>
  </r>
  <r>
    <n v="594"/>
    <x v="104"/>
    <s v="Customer payment received"/>
    <x v="273"/>
    <s v="129.34"/>
    <x v="2"/>
    <x v="0"/>
  </r>
  <r>
    <n v="595"/>
    <x v="104"/>
    <s v="Customer payment received"/>
    <x v="349"/>
    <s v="0.0"/>
    <x v="0"/>
    <x v="0"/>
  </r>
  <r>
    <n v="595"/>
    <x v="104"/>
    <s v="Customer payment received"/>
    <x v="273"/>
    <s v="1551.7"/>
    <x v="2"/>
    <x v="0"/>
  </r>
  <r>
    <n v="596"/>
    <x v="105"/>
    <s v="Sales invoice issued"/>
    <x v="401"/>
    <s v="0.0"/>
    <x v="2"/>
    <x v="0"/>
  </r>
  <r>
    <n v="596"/>
    <x v="105"/>
    <s v="Sales invoice issued"/>
    <x v="273"/>
    <s v="2200.94"/>
    <x v="3"/>
    <x v="2"/>
  </r>
  <r>
    <n v="596"/>
    <x v="105"/>
    <s v="Sales invoice issued"/>
    <x v="273"/>
    <s v="165.07"/>
    <x v="4"/>
    <x v="3"/>
  </r>
  <r>
    <n v="597"/>
    <x v="105"/>
    <s v="Sales invoice issued"/>
    <x v="402"/>
    <s v="0.0"/>
    <x v="2"/>
    <x v="0"/>
  </r>
  <r>
    <n v="597"/>
    <x v="105"/>
    <s v="Sales invoice issued"/>
    <x v="273"/>
    <s v="3296.91"/>
    <x v="3"/>
    <x v="2"/>
  </r>
  <r>
    <n v="597"/>
    <x v="105"/>
    <s v="Sales invoice issued"/>
    <x v="273"/>
    <s v="247.27"/>
    <x v="4"/>
    <x v="3"/>
  </r>
  <r>
    <n v="598"/>
    <x v="105"/>
    <s v="Sales invoice issued"/>
    <x v="403"/>
    <s v="0.0"/>
    <x v="2"/>
    <x v="0"/>
  </r>
  <r>
    <n v="598"/>
    <x v="105"/>
    <s v="Sales invoice issued"/>
    <x v="273"/>
    <s v="4542.73"/>
    <x v="3"/>
    <x v="2"/>
  </r>
  <r>
    <n v="598"/>
    <x v="105"/>
    <s v="Sales invoice issued"/>
    <x v="273"/>
    <s v="340.71"/>
    <x v="4"/>
    <x v="3"/>
  </r>
  <r>
    <n v="599"/>
    <x v="105"/>
    <s v="Customer payment received"/>
    <x v="404"/>
    <s v="0.0"/>
    <x v="0"/>
    <x v="0"/>
  </r>
  <r>
    <n v="599"/>
    <x v="105"/>
    <s v="Customer payment received"/>
    <x v="273"/>
    <s v="464.57"/>
    <x v="2"/>
    <x v="0"/>
  </r>
  <r>
    <n v="600"/>
    <x v="105"/>
    <s v="Customer payment received"/>
    <x v="347"/>
    <s v="0.0"/>
    <x v="0"/>
    <x v="0"/>
  </r>
  <r>
    <n v="600"/>
    <x v="105"/>
    <s v="Customer payment received"/>
    <x v="273"/>
    <s v="1633.38"/>
    <x v="2"/>
    <x v="0"/>
  </r>
  <r>
    <n v="601"/>
    <x v="105"/>
    <s v="Supplier invoice received"/>
    <x v="405"/>
    <s v="0.0"/>
    <x v="9"/>
    <x v="4"/>
  </r>
  <r>
    <n v="601"/>
    <x v="105"/>
    <s v="Supplier invoice received"/>
    <x v="406"/>
    <s v="0.0"/>
    <x v="10"/>
    <x v="0"/>
  </r>
  <r>
    <n v="601"/>
    <x v="105"/>
    <s v="Supplier invoice received"/>
    <x v="273"/>
    <s v="2635.36"/>
    <x v="11"/>
    <x v="3"/>
  </r>
  <r>
    <n v="602"/>
    <x v="105"/>
    <s v="Supplier invoice received"/>
    <x v="332"/>
    <s v="0.0"/>
    <x v="9"/>
    <x v="4"/>
  </r>
  <r>
    <n v="602"/>
    <x v="105"/>
    <s v="Supplier invoice received"/>
    <x v="333"/>
    <s v="0.0"/>
    <x v="10"/>
    <x v="0"/>
  </r>
  <r>
    <n v="602"/>
    <x v="105"/>
    <s v="Supplier invoice received"/>
    <x v="273"/>
    <s v="1023.42"/>
    <x v="11"/>
    <x v="3"/>
  </r>
  <r>
    <n v="603"/>
    <x v="105"/>
    <s v="Supplier invoice received"/>
    <x v="301"/>
    <s v="0.0"/>
    <x v="9"/>
    <x v="4"/>
  </r>
  <r>
    <n v="603"/>
    <x v="105"/>
    <s v="Supplier invoice received"/>
    <x v="302"/>
    <s v="0.0"/>
    <x v="10"/>
    <x v="0"/>
  </r>
  <r>
    <n v="603"/>
    <x v="105"/>
    <s v="Supplier invoice received"/>
    <x v="273"/>
    <s v="4812.46"/>
    <x v="11"/>
    <x v="3"/>
  </r>
  <r>
    <n v="604"/>
    <x v="105"/>
    <s v="Supplier invoice received"/>
    <x v="374"/>
    <s v="0.0"/>
    <x v="9"/>
    <x v="4"/>
  </r>
  <r>
    <n v="604"/>
    <x v="105"/>
    <s v="Supplier invoice received"/>
    <x v="375"/>
    <s v="0.0"/>
    <x v="10"/>
    <x v="0"/>
  </r>
  <r>
    <n v="604"/>
    <x v="105"/>
    <s v="Supplier invoice received"/>
    <x v="273"/>
    <s v="2504.23"/>
    <x v="11"/>
    <x v="3"/>
  </r>
  <r>
    <n v="605"/>
    <x v="105"/>
    <s v="Supplier payment made"/>
    <x v="407"/>
    <s v="0.0"/>
    <x v="11"/>
    <x v="3"/>
  </r>
  <r>
    <n v="605"/>
    <x v="105"/>
    <s v="Supplier payment made"/>
    <x v="273"/>
    <s v="201.5"/>
    <x v="0"/>
    <x v="0"/>
  </r>
  <r>
    <n v="606"/>
    <x v="105"/>
    <s v="Supplier payment made"/>
    <x v="408"/>
    <s v="0.0"/>
    <x v="11"/>
    <x v="3"/>
  </r>
  <r>
    <n v="606"/>
    <x v="105"/>
    <s v="Supplier payment made"/>
    <x v="273"/>
    <s v="3868.8"/>
    <x v="0"/>
    <x v="0"/>
  </r>
  <r>
    <n v="607"/>
    <x v="106"/>
    <s v="Sales invoice issued"/>
    <x v="409"/>
    <s v="0.0"/>
    <x v="2"/>
    <x v="0"/>
  </r>
  <r>
    <n v="607"/>
    <x v="106"/>
    <s v="Sales invoice issued"/>
    <x v="273"/>
    <s v="1711.03"/>
    <x v="3"/>
    <x v="2"/>
  </r>
  <r>
    <n v="607"/>
    <x v="106"/>
    <s v="Sales invoice issued"/>
    <x v="273"/>
    <s v="128.32"/>
    <x v="4"/>
    <x v="3"/>
  </r>
  <r>
    <n v="608"/>
    <x v="106"/>
    <s v="Customer payment received"/>
    <x v="282"/>
    <s v="0.0"/>
    <x v="0"/>
    <x v="0"/>
  </r>
  <r>
    <n v="608"/>
    <x v="106"/>
    <s v="Customer payment received"/>
    <x v="273"/>
    <s v="700.99"/>
    <x v="2"/>
    <x v="0"/>
  </r>
  <r>
    <n v="609"/>
    <x v="106"/>
    <s v="Customer payment received"/>
    <x v="286"/>
    <s v="0.0"/>
    <x v="0"/>
    <x v="0"/>
  </r>
  <r>
    <n v="609"/>
    <x v="106"/>
    <s v="Customer payment received"/>
    <x v="273"/>
    <s v="1690.01"/>
    <x v="2"/>
    <x v="0"/>
  </r>
  <r>
    <n v="610"/>
    <x v="106"/>
    <s v="Customer payment received"/>
    <x v="354"/>
    <s v="0.0"/>
    <x v="0"/>
    <x v="0"/>
  </r>
  <r>
    <n v="610"/>
    <x v="106"/>
    <s v="Customer payment received"/>
    <x v="273"/>
    <s v="243.6"/>
    <x v="2"/>
    <x v="0"/>
  </r>
  <r>
    <n v="611"/>
    <x v="106"/>
    <s v="Supplier invoice received"/>
    <x v="303"/>
    <s v="0.0"/>
    <x v="9"/>
    <x v="4"/>
  </r>
  <r>
    <n v="611"/>
    <x v="106"/>
    <s v="Supplier invoice received"/>
    <x v="304"/>
    <s v="0.0"/>
    <x v="10"/>
    <x v="0"/>
  </r>
  <r>
    <n v="611"/>
    <x v="106"/>
    <s v="Supplier invoice received"/>
    <x v="273"/>
    <s v="550.4"/>
    <x v="11"/>
    <x v="3"/>
  </r>
  <r>
    <n v="612"/>
    <x v="106"/>
    <s v="Supplier payment made"/>
    <x v="292"/>
    <s v="0.0"/>
    <x v="11"/>
    <x v="3"/>
  </r>
  <r>
    <n v="612"/>
    <x v="106"/>
    <s v="Supplier payment made"/>
    <x v="273"/>
    <s v="1766.46"/>
    <x v="0"/>
    <x v="0"/>
  </r>
  <r>
    <n v="613"/>
    <x v="106"/>
    <s v="Supplier payment made"/>
    <x v="334"/>
    <s v="0.0"/>
    <x v="11"/>
    <x v="3"/>
  </r>
  <r>
    <n v="613"/>
    <x v="106"/>
    <s v="Supplier payment made"/>
    <x v="273"/>
    <s v="3528.97"/>
    <x v="0"/>
    <x v="0"/>
  </r>
  <r>
    <n v="614"/>
    <x v="106"/>
    <s v="Supplier payment made"/>
    <x v="280"/>
    <s v="0.0"/>
    <x v="11"/>
    <x v="3"/>
  </r>
  <r>
    <n v="614"/>
    <x v="106"/>
    <s v="Supplier payment made"/>
    <x v="273"/>
    <s v="2635.36"/>
    <x v="0"/>
    <x v="0"/>
  </r>
  <r>
    <n v="615"/>
    <x v="107"/>
    <s v="Sales invoice issued"/>
    <x v="410"/>
    <s v="0.0"/>
    <x v="2"/>
    <x v="0"/>
  </r>
  <r>
    <n v="615"/>
    <x v="107"/>
    <s v="Sales invoice issued"/>
    <x v="273"/>
    <s v="6262.24"/>
    <x v="3"/>
    <x v="2"/>
  </r>
  <r>
    <n v="615"/>
    <x v="107"/>
    <s v="Sales invoice issued"/>
    <x v="273"/>
    <s v="469.66"/>
    <x v="4"/>
    <x v="3"/>
  </r>
  <r>
    <n v="616"/>
    <x v="107"/>
    <s v="Sales invoice issued"/>
    <x v="411"/>
    <s v="0.0"/>
    <x v="2"/>
    <x v="0"/>
  </r>
  <r>
    <n v="616"/>
    <x v="107"/>
    <s v="Sales invoice issued"/>
    <x v="273"/>
    <s v="1008.45"/>
    <x v="3"/>
    <x v="2"/>
  </r>
  <r>
    <n v="616"/>
    <x v="107"/>
    <s v="Sales invoice issued"/>
    <x v="273"/>
    <s v="75.63"/>
    <x v="4"/>
    <x v="3"/>
  </r>
  <r>
    <n v="617"/>
    <x v="107"/>
    <s v="Sales invoice issued"/>
    <x v="412"/>
    <s v="0.0"/>
    <x v="2"/>
    <x v="0"/>
  </r>
  <r>
    <n v="617"/>
    <x v="107"/>
    <s v="Sales invoice issued"/>
    <x v="273"/>
    <s v="1590.49"/>
    <x v="3"/>
    <x v="2"/>
  </r>
  <r>
    <n v="617"/>
    <x v="107"/>
    <s v="Sales invoice issued"/>
    <x v="273"/>
    <s v="119.29"/>
    <x v="4"/>
    <x v="3"/>
  </r>
  <r>
    <n v="618"/>
    <x v="107"/>
    <s v="Sales invoice issued"/>
    <x v="413"/>
    <s v="0.0"/>
    <x v="2"/>
    <x v="0"/>
  </r>
  <r>
    <n v="618"/>
    <x v="107"/>
    <s v="Sales invoice issued"/>
    <x v="273"/>
    <s v="1756.27"/>
    <x v="3"/>
    <x v="2"/>
  </r>
  <r>
    <n v="618"/>
    <x v="107"/>
    <s v="Sales invoice issued"/>
    <x v="273"/>
    <s v="131.72"/>
    <x v="4"/>
    <x v="3"/>
  </r>
  <r>
    <n v="619"/>
    <x v="107"/>
    <s v="Sales invoice issued"/>
    <x v="414"/>
    <s v="0.0"/>
    <x v="2"/>
    <x v="0"/>
  </r>
  <r>
    <n v="619"/>
    <x v="107"/>
    <s v="Sales invoice issued"/>
    <x v="273"/>
    <s v="737.61"/>
    <x v="3"/>
    <x v="2"/>
  </r>
  <r>
    <n v="619"/>
    <x v="107"/>
    <s v="Sales invoice issued"/>
    <x v="273"/>
    <s v="55.32"/>
    <x v="4"/>
    <x v="3"/>
  </r>
  <r>
    <n v="620"/>
    <x v="107"/>
    <s v="Customer payment received"/>
    <x v="364"/>
    <s v="0.0"/>
    <x v="0"/>
    <x v="0"/>
  </r>
  <r>
    <n v="620"/>
    <x v="107"/>
    <s v="Customer payment received"/>
    <x v="273"/>
    <s v="87.62"/>
    <x v="2"/>
    <x v="0"/>
  </r>
  <r>
    <n v="621"/>
    <x v="107"/>
    <s v="Supplier payment made"/>
    <x v="327"/>
    <s v="0.0"/>
    <x v="11"/>
    <x v="3"/>
  </r>
  <r>
    <n v="621"/>
    <x v="107"/>
    <s v="Supplier payment made"/>
    <x v="273"/>
    <s v="1935.04"/>
    <x v="0"/>
    <x v="0"/>
  </r>
  <r>
    <n v="622"/>
    <x v="108"/>
    <s v="Sales invoice issued"/>
    <x v="415"/>
    <s v="0.0"/>
    <x v="2"/>
    <x v="0"/>
  </r>
  <r>
    <n v="622"/>
    <x v="108"/>
    <s v="Sales invoice issued"/>
    <x v="273"/>
    <s v="3236.63"/>
    <x v="3"/>
    <x v="2"/>
  </r>
  <r>
    <n v="622"/>
    <x v="108"/>
    <s v="Sales invoice issued"/>
    <x v="273"/>
    <s v="242.74"/>
    <x v="4"/>
    <x v="3"/>
  </r>
  <r>
    <n v="623"/>
    <x v="108"/>
    <s v="Sales invoice issued"/>
    <x v="416"/>
    <s v="0.0"/>
    <x v="2"/>
    <x v="0"/>
  </r>
  <r>
    <n v="623"/>
    <x v="108"/>
    <s v="Sales invoice issued"/>
    <x v="273"/>
    <s v="2906.77"/>
    <x v="3"/>
    <x v="2"/>
  </r>
  <r>
    <n v="623"/>
    <x v="108"/>
    <s v="Sales invoice issued"/>
    <x v="273"/>
    <s v="218.01"/>
    <x v="4"/>
    <x v="3"/>
  </r>
  <r>
    <n v="624"/>
    <x v="108"/>
    <s v="Sales invoice issued"/>
    <x v="417"/>
    <s v="0.0"/>
    <x v="2"/>
    <x v="0"/>
  </r>
  <r>
    <n v="624"/>
    <x v="108"/>
    <s v="Sales invoice issued"/>
    <x v="273"/>
    <s v="1537.78"/>
    <x v="3"/>
    <x v="2"/>
  </r>
  <r>
    <n v="624"/>
    <x v="108"/>
    <s v="Sales invoice issued"/>
    <x v="273"/>
    <s v="115.33"/>
    <x v="4"/>
    <x v="3"/>
  </r>
  <r>
    <n v="625"/>
    <x v="108"/>
    <s v="Sales invoice issued"/>
    <x v="418"/>
    <s v="0.0"/>
    <x v="2"/>
    <x v="0"/>
  </r>
  <r>
    <n v="625"/>
    <x v="108"/>
    <s v="Sales invoice issued"/>
    <x v="273"/>
    <s v="2840.93"/>
    <x v="3"/>
    <x v="2"/>
  </r>
  <r>
    <n v="625"/>
    <x v="108"/>
    <s v="Sales invoice issued"/>
    <x v="273"/>
    <s v="213.07"/>
    <x v="4"/>
    <x v="3"/>
  </r>
  <r>
    <n v="626"/>
    <x v="108"/>
    <s v="Customer payment received"/>
    <x v="376"/>
    <s v="0.0"/>
    <x v="0"/>
    <x v="0"/>
  </r>
  <r>
    <n v="626"/>
    <x v="108"/>
    <s v="Customer payment received"/>
    <x v="273"/>
    <s v="5040.24"/>
    <x v="2"/>
    <x v="0"/>
  </r>
  <r>
    <n v="627"/>
    <x v="108"/>
    <s v="Customer payment received"/>
    <x v="410"/>
    <s v="0.0"/>
    <x v="0"/>
    <x v="0"/>
  </r>
  <r>
    <n v="627"/>
    <x v="108"/>
    <s v="Customer payment received"/>
    <x v="273"/>
    <s v="6731.9"/>
    <x v="2"/>
    <x v="0"/>
  </r>
  <r>
    <n v="628"/>
    <x v="108"/>
    <s v="Supplier payment made"/>
    <x v="407"/>
    <s v="0.0"/>
    <x v="11"/>
    <x v="3"/>
  </r>
  <r>
    <n v="628"/>
    <x v="108"/>
    <s v="Supplier payment made"/>
    <x v="273"/>
    <s v="201.5"/>
    <x v="0"/>
    <x v="0"/>
  </r>
  <r>
    <n v="629"/>
    <x v="108"/>
    <s v="Supplier payment made"/>
    <x v="309"/>
    <s v="0.0"/>
    <x v="11"/>
    <x v="3"/>
  </r>
  <r>
    <n v="629"/>
    <x v="108"/>
    <s v="Supplier payment made"/>
    <x v="273"/>
    <s v="4812.46"/>
    <x v="0"/>
    <x v="0"/>
  </r>
  <r>
    <n v="630"/>
    <x v="109"/>
    <s v="Sales invoice issued"/>
    <x v="419"/>
    <s v="0.0"/>
    <x v="2"/>
    <x v="0"/>
  </r>
  <r>
    <n v="630"/>
    <x v="109"/>
    <s v="Sales invoice issued"/>
    <x v="273"/>
    <s v="1697.21"/>
    <x v="3"/>
    <x v="2"/>
  </r>
  <r>
    <n v="630"/>
    <x v="109"/>
    <s v="Sales invoice issued"/>
    <x v="273"/>
    <s v="127.29"/>
    <x v="4"/>
    <x v="3"/>
  </r>
  <r>
    <n v="631"/>
    <x v="109"/>
    <s v="Sales invoice issued"/>
    <x v="420"/>
    <s v="0.0"/>
    <x v="2"/>
    <x v="0"/>
  </r>
  <r>
    <n v="631"/>
    <x v="109"/>
    <s v="Sales invoice issued"/>
    <x v="273"/>
    <s v="2554.03"/>
    <x v="3"/>
    <x v="2"/>
  </r>
  <r>
    <n v="631"/>
    <x v="109"/>
    <s v="Sales invoice issued"/>
    <x v="273"/>
    <s v="191.55"/>
    <x v="4"/>
    <x v="3"/>
  </r>
  <r>
    <n v="632"/>
    <x v="109"/>
    <s v="Sales invoice issued"/>
    <x v="421"/>
    <s v="0.0"/>
    <x v="2"/>
    <x v="0"/>
  </r>
  <r>
    <n v="632"/>
    <x v="109"/>
    <s v="Sales invoice issued"/>
    <x v="273"/>
    <s v="5057.67"/>
    <x v="3"/>
    <x v="2"/>
  </r>
  <r>
    <n v="632"/>
    <x v="109"/>
    <s v="Sales invoice issued"/>
    <x v="273"/>
    <s v="379.32"/>
    <x v="4"/>
    <x v="3"/>
  </r>
  <r>
    <n v="633"/>
    <x v="109"/>
    <s v="Sales invoice issued"/>
    <x v="422"/>
    <s v="0.0"/>
    <x v="2"/>
    <x v="0"/>
  </r>
  <r>
    <n v="633"/>
    <x v="109"/>
    <s v="Sales invoice issued"/>
    <x v="273"/>
    <s v="2931.75"/>
    <x v="3"/>
    <x v="2"/>
  </r>
  <r>
    <n v="633"/>
    <x v="109"/>
    <s v="Sales invoice issued"/>
    <x v="273"/>
    <s v="219.89"/>
    <x v="4"/>
    <x v="3"/>
  </r>
  <r>
    <n v="634"/>
    <x v="109"/>
    <s v="Sales invoice issued"/>
    <x v="423"/>
    <s v="0.0"/>
    <x v="2"/>
    <x v="0"/>
  </r>
  <r>
    <n v="634"/>
    <x v="109"/>
    <s v="Sales invoice issued"/>
    <x v="273"/>
    <s v="2101.97"/>
    <x v="3"/>
    <x v="2"/>
  </r>
  <r>
    <n v="634"/>
    <x v="109"/>
    <s v="Sales invoice issued"/>
    <x v="273"/>
    <s v="157.64"/>
    <x v="4"/>
    <x v="3"/>
  </r>
  <r>
    <n v="635"/>
    <x v="109"/>
    <s v="Customer payment received"/>
    <x v="287"/>
    <s v="0.0"/>
    <x v="0"/>
    <x v="0"/>
  </r>
  <r>
    <n v="635"/>
    <x v="109"/>
    <s v="Customer payment received"/>
    <x v="273"/>
    <s v="3299.92"/>
    <x v="2"/>
    <x v="0"/>
  </r>
  <r>
    <n v="636"/>
    <x v="109"/>
    <s v="Customer payment received"/>
    <x v="341"/>
    <s v="0.0"/>
    <x v="0"/>
    <x v="0"/>
  </r>
  <r>
    <n v="636"/>
    <x v="109"/>
    <s v="Customer payment received"/>
    <x v="273"/>
    <s v="5244.58"/>
    <x v="2"/>
    <x v="0"/>
  </r>
  <r>
    <n v="637"/>
    <x v="109"/>
    <s v="Customer payment received"/>
    <x v="355"/>
    <s v="0.0"/>
    <x v="0"/>
    <x v="0"/>
  </r>
  <r>
    <n v="637"/>
    <x v="109"/>
    <s v="Customer payment received"/>
    <x v="273"/>
    <s v="286.17"/>
    <x v="2"/>
    <x v="0"/>
  </r>
  <r>
    <n v="638"/>
    <x v="109"/>
    <s v="Customer payment received"/>
    <x v="394"/>
    <s v="0.0"/>
    <x v="0"/>
    <x v="0"/>
  </r>
  <r>
    <n v="638"/>
    <x v="109"/>
    <s v="Customer payment received"/>
    <x v="273"/>
    <s v="3138.18"/>
    <x v="2"/>
    <x v="0"/>
  </r>
  <r>
    <n v="639"/>
    <x v="109"/>
    <s v="Customer payment received"/>
    <x v="398"/>
    <s v="0.0"/>
    <x v="0"/>
    <x v="0"/>
  </r>
  <r>
    <n v="639"/>
    <x v="109"/>
    <s v="Customer payment received"/>
    <x v="273"/>
    <s v="448.24"/>
    <x v="2"/>
    <x v="0"/>
  </r>
  <r>
    <n v="640"/>
    <x v="109"/>
    <s v="Supplier invoice received"/>
    <x v="295"/>
    <s v="0.0"/>
    <x v="9"/>
    <x v="4"/>
  </r>
  <r>
    <n v="640"/>
    <x v="109"/>
    <s v="Supplier invoice received"/>
    <x v="296"/>
    <s v="0.0"/>
    <x v="10"/>
    <x v="0"/>
  </r>
  <r>
    <n v="640"/>
    <x v="109"/>
    <s v="Supplier invoice received"/>
    <x v="273"/>
    <s v="1766.46"/>
    <x v="11"/>
    <x v="3"/>
  </r>
  <r>
    <n v="641"/>
    <x v="109"/>
    <s v="Supplier payment made"/>
    <x v="424"/>
    <s v="0.0"/>
    <x v="11"/>
    <x v="3"/>
  </r>
  <r>
    <n v="641"/>
    <x v="109"/>
    <s v="Supplier payment made"/>
    <x v="273"/>
    <s v="1591.54"/>
    <x v="0"/>
    <x v="0"/>
  </r>
  <r>
    <n v="642"/>
    <x v="109"/>
    <s v="Depreciation â€” POS System"/>
    <x v="425"/>
    <s v="0.0"/>
    <x v="12"/>
    <x v="4"/>
  </r>
  <r>
    <n v="642"/>
    <x v="109"/>
    <s v="Depreciation â€” POS System"/>
    <x v="273"/>
    <s v="93.61"/>
    <x v="13"/>
    <x v="0"/>
  </r>
  <r>
    <n v="643"/>
    <x v="109"/>
    <s v="Depreciation â€” Laptop x2"/>
    <x v="426"/>
    <s v="0.0"/>
    <x v="12"/>
    <x v="4"/>
  </r>
  <r>
    <n v="643"/>
    <x v="109"/>
    <s v="Depreciation â€” Laptop x2"/>
    <x v="273"/>
    <s v="76.86"/>
    <x v="13"/>
    <x v="0"/>
  </r>
  <r>
    <n v="644"/>
    <x v="109"/>
    <s v="Depreciation â€” Printer/Scanner"/>
    <x v="427"/>
    <s v="0.0"/>
    <x v="12"/>
    <x v="4"/>
  </r>
  <r>
    <n v="644"/>
    <x v="109"/>
    <s v="Depreciation â€” Printer/Scanner"/>
    <x v="273"/>
    <s v="20.03"/>
    <x v="13"/>
    <x v="0"/>
  </r>
  <r>
    <n v="645"/>
    <x v="109"/>
    <s v="Depreciation â€” Shop Shelving"/>
    <x v="428"/>
    <s v="0.0"/>
    <x v="12"/>
    <x v="4"/>
  </r>
  <r>
    <n v="645"/>
    <x v="109"/>
    <s v="Depreciation â€” Shop Shelving"/>
    <x v="273"/>
    <s v="86.89"/>
    <x v="14"/>
    <x v="0"/>
  </r>
  <r>
    <n v="646"/>
    <x v="109"/>
    <s v="Depreciation â€” Display Stands"/>
    <x v="429"/>
    <s v="0.0"/>
    <x v="12"/>
    <x v="4"/>
  </r>
  <r>
    <n v="646"/>
    <x v="109"/>
    <s v="Depreciation â€” Display Stands"/>
    <x v="273"/>
    <s v="76.8"/>
    <x v="14"/>
    <x v="0"/>
  </r>
  <r>
    <n v="647"/>
    <x v="109"/>
    <s v="Depreciation â€” Counter &amp; Checkout"/>
    <x v="430"/>
    <s v="0.0"/>
    <x v="12"/>
    <x v="4"/>
  </r>
  <r>
    <n v="647"/>
    <x v="109"/>
    <s v="Depreciation â€” Counter &amp; Checkout"/>
    <x v="273"/>
    <s v="48.28"/>
    <x v="14"/>
    <x v="0"/>
  </r>
  <r>
    <n v="648"/>
    <x v="109"/>
    <s v="Depreciation â€” Signage"/>
    <x v="431"/>
    <s v="0.0"/>
    <x v="12"/>
    <x v="4"/>
  </r>
  <r>
    <n v="648"/>
    <x v="109"/>
    <s v="Depreciation â€” Signage"/>
    <x v="273"/>
    <s v="53.21"/>
    <x v="14"/>
    <x v="0"/>
  </r>
  <r>
    <n v="649"/>
    <x v="109"/>
    <s v="Depreciation â€” Delivery Van"/>
    <x v="432"/>
    <s v="0.0"/>
    <x v="12"/>
    <x v="4"/>
  </r>
  <r>
    <n v="649"/>
    <x v="109"/>
    <s v="Depreciation â€” Delivery Van"/>
    <x v="273"/>
    <s v="232.19"/>
    <x v="15"/>
    <x v="0"/>
  </r>
  <r>
    <n v="650"/>
    <x v="109"/>
    <s v="Depreciation â€” Security System"/>
    <x v="433"/>
    <s v="0.0"/>
    <x v="12"/>
    <x v="4"/>
  </r>
  <r>
    <n v="650"/>
    <x v="109"/>
    <s v="Depreciation â€” Security System"/>
    <x v="273"/>
    <s v="43.85"/>
    <x v="13"/>
    <x v="0"/>
  </r>
  <r>
    <n v="651"/>
    <x v="110"/>
    <s v="Sales invoice issued"/>
    <x v="434"/>
    <s v="0.0"/>
    <x v="2"/>
    <x v="0"/>
  </r>
  <r>
    <n v="651"/>
    <x v="110"/>
    <s v="Sales invoice issued"/>
    <x v="273"/>
    <s v="1354.75"/>
    <x v="3"/>
    <x v="2"/>
  </r>
  <r>
    <n v="651"/>
    <x v="110"/>
    <s v="Sales invoice issued"/>
    <x v="273"/>
    <s v="101.62"/>
    <x v="4"/>
    <x v="3"/>
  </r>
  <r>
    <n v="652"/>
    <x v="110"/>
    <s v="Sales invoice issued"/>
    <x v="435"/>
    <s v="0.0"/>
    <x v="2"/>
    <x v="0"/>
  </r>
  <r>
    <n v="652"/>
    <x v="110"/>
    <s v="Sales invoice issued"/>
    <x v="273"/>
    <s v="1930.41"/>
    <x v="3"/>
    <x v="2"/>
  </r>
  <r>
    <n v="652"/>
    <x v="110"/>
    <s v="Sales invoice issued"/>
    <x v="273"/>
    <s v="144.78"/>
    <x v="4"/>
    <x v="3"/>
  </r>
  <r>
    <n v="653"/>
    <x v="110"/>
    <s v="Sales invoice issued"/>
    <x v="436"/>
    <s v="0.0"/>
    <x v="2"/>
    <x v="0"/>
  </r>
  <r>
    <n v="653"/>
    <x v="110"/>
    <s v="Sales invoice issued"/>
    <x v="273"/>
    <s v="2125.28"/>
    <x v="3"/>
    <x v="2"/>
  </r>
  <r>
    <n v="653"/>
    <x v="110"/>
    <s v="Sales invoice issued"/>
    <x v="273"/>
    <s v="159.39"/>
    <x v="4"/>
    <x v="3"/>
  </r>
  <r>
    <n v="654"/>
    <x v="110"/>
    <s v="Sales invoice issued"/>
    <x v="437"/>
    <s v="0.0"/>
    <x v="2"/>
    <x v="0"/>
  </r>
  <r>
    <n v="654"/>
    <x v="110"/>
    <s v="Sales invoice issued"/>
    <x v="273"/>
    <s v="6242.82"/>
    <x v="3"/>
    <x v="2"/>
  </r>
  <r>
    <n v="654"/>
    <x v="110"/>
    <s v="Sales invoice issued"/>
    <x v="273"/>
    <s v="468.2"/>
    <x v="4"/>
    <x v="3"/>
  </r>
  <r>
    <n v="655"/>
    <x v="110"/>
    <s v="Customer payment received"/>
    <x v="438"/>
    <s v="0.0"/>
    <x v="0"/>
    <x v="0"/>
  </r>
  <r>
    <n v="655"/>
    <x v="110"/>
    <s v="Customer payment received"/>
    <x v="273"/>
    <s v="1125.89"/>
    <x v="2"/>
    <x v="0"/>
  </r>
  <r>
    <n v="656"/>
    <x v="110"/>
    <s v="Customer payment received"/>
    <x v="439"/>
    <s v="0.0"/>
    <x v="0"/>
    <x v="0"/>
  </r>
  <r>
    <n v="656"/>
    <x v="110"/>
    <s v="Customer payment received"/>
    <x v="273"/>
    <s v="1055.5"/>
    <x v="2"/>
    <x v="0"/>
  </r>
  <r>
    <n v="657"/>
    <x v="110"/>
    <s v="Customer payment received"/>
    <x v="440"/>
    <s v="0.0"/>
    <x v="0"/>
    <x v="0"/>
  </r>
  <r>
    <n v="657"/>
    <x v="110"/>
    <s v="Customer payment received"/>
    <x v="273"/>
    <s v="3230.94"/>
    <x v="2"/>
    <x v="0"/>
  </r>
  <r>
    <n v="658"/>
    <x v="110"/>
    <s v="Customer payment received"/>
    <x v="379"/>
    <s v="0.0"/>
    <x v="0"/>
    <x v="0"/>
  </r>
  <r>
    <n v="658"/>
    <x v="110"/>
    <s v="Customer payment received"/>
    <x v="273"/>
    <s v="1454.6"/>
    <x v="2"/>
    <x v="0"/>
  </r>
  <r>
    <n v="659"/>
    <x v="110"/>
    <s v="Customer payment received"/>
    <x v="401"/>
    <s v="0.0"/>
    <x v="0"/>
    <x v="0"/>
  </r>
  <r>
    <n v="659"/>
    <x v="110"/>
    <s v="Customer payment received"/>
    <x v="273"/>
    <s v="2366.01"/>
    <x v="2"/>
    <x v="0"/>
  </r>
  <r>
    <n v="660"/>
    <x v="110"/>
    <s v="Supplier invoice received"/>
    <x v="441"/>
    <s v="0.0"/>
    <x v="9"/>
    <x v="4"/>
  </r>
  <r>
    <n v="660"/>
    <x v="110"/>
    <s v="Supplier invoice received"/>
    <x v="442"/>
    <s v="0.0"/>
    <x v="10"/>
    <x v="0"/>
  </r>
  <r>
    <n v="660"/>
    <x v="110"/>
    <s v="Supplier invoice received"/>
    <x v="273"/>
    <s v="179.01"/>
    <x v="11"/>
    <x v="3"/>
  </r>
  <r>
    <n v="661"/>
    <x v="110"/>
    <s v="Supplier invoice received"/>
    <x v="443"/>
    <s v="0.0"/>
    <x v="9"/>
    <x v="4"/>
  </r>
  <r>
    <n v="661"/>
    <x v="110"/>
    <s v="Supplier invoice received"/>
    <x v="444"/>
    <s v="0.0"/>
    <x v="10"/>
    <x v="0"/>
  </r>
  <r>
    <n v="661"/>
    <x v="110"/>
    <s v="Supplier invoice received"/>
    <x v="273"/>
    <s v="748.26"/>
    <x v="11"/>
    <x v="3"/>
  </r>
  <r>
    <n v="662"/>
    <x v="110"/>
    <s v="Supplier invoice received"/>
    <x v="299"/>
    <s v="0.0"/>
    <x v="9"/>
    <x v="4"/>
  </r>
  <r>
    <n v="662"/>
    <x v="110"/>
    <s v="Supplier invoice received"/>
    <x v="300"/>
    <s v="0.0"/>
    <x v="10"/>
    <x v="0"/>
  </r>
  <r>
    <n v="662"/>
    <x v="110"/>
    <s v="Supplier invoice received"/>
    <x v="273"/>
    <s v="2918.17"/>
    <x v="11"/>
    <x v="3"/>
  </r>
  <r>
    <n v="663"/>
    <x v="110"/>
    <s v="Supplier invoice received"/>
    <x v="332"/>
    <s v="0.0"/>
    <x v="9"/>
    <x v="4"/>
  </r>
  <r>
    <n v="663"/>
    <x v="110"/>
    <s v="Supplier invoice received"/>
    <x v="333"/>
    <s v="0.0"/>
    <x v="10"/>
    <x v="0"/>
  </r>
  <r>
    <n v="663"/>
    <x v="110"/>
    <s v="Supplier invoice received"/>
    <x v="273"/>
    <s v="1023.42"/>
    <x v="11"/>
    <x v="3"/>
  </r>
  <r>
    <n v="664"/>
    <x v="110"/>
    <s v="Supplier invoice received"/>
    <x v="303"/>
    <s v="0.0"/>
    <x v="9"/>
    <x v="4"/>
  </r>
  <r>
    <n v="664"/>
    <x v="110"/>
    <s v="Supplier invoice received"/>
    <x v="304"/>
    <s v="0.0"/>
    <x v="10"/>
    <x v="0"/>
  </r>
  <r>
    <n v="664"/>
    <x v="110"/>
    <s v="Supplier invoice received"/>
    <x v="273"/>
    <s v="550.4"/>
    <x v="11"/>
    <x v="3"/>
  </r>
  <r>
    <n v="665"/>
    <x v="110"/>
    <s v="Supplier invoice received"/>
    <x v="372"/>
    <s v="0.0"/>
    <x v="9"/>
    <x v="4"/>
  </r>
  <r>
    <n v="665"/>
    <x v="110"/>
    <s v="Supplier invoice received"/>
    <x v="373"/>
    <s v="0.0"/>
    <x v="10"/>
    <x v="0"/>
  </r>
  <r>
    <n v="665"/>
    <x v="110"/>
    <s v="Supplier invoice received"/>
    <x v="273"/>
    <s v="412.54"/>
    <x v="11"/>
    <x v="3"/>
  </r>
  <r>
    <n v="666"/>
    <x v="110"/>
    <s v="Supplier invoice received"/>
    <x v="305"/>
    <s v="0.0"/>
    <x v="9"/>
    <x v="4"/>
  </r>
  <r>
    <n v="666"/>
    <x v="110"/>
    <s v="Supplier invoice received"/>
    <x v="306"/>
    <s v="0.0"/>
    <x v="10"/>
    <x v="0"/>
  </r>
  <r>
    <n v="666"/>
    <x v="110"/>
    <s v="Supplier invoice received"/>
    <x v="273"/>
    <s v="276.32"/>
    <x v="11"/>
    <x v="3"/>
  </r>
  <r>
    <n v="667"/>
    <x v="110"/>
    <s v="Supplier invoice received"/>
    <x v="445"/>
    <s v="0.0"/>
    <x v="9"/>
    <x v="4"/>
  </r>
  <r>
    <n v="667"/>
    <x v="110"/>
    <s v="Supplier invoice received"/>
    <x v="446"/>
    <s v="0.0"/>
    <x v="10"/>
    <x v="0"/>
  </r>
  <r>
    <n v="667"/>
    <x v="110"/>
    <s v="Supplier invoice received"/>
    <x v="273"/>
    <s v="1794.11"/>
    <x v="11"/>
    <x v="3"/>
  </r>
  <r>
    <n v="668"/>
    <x v="110"/>
    <s v="Supplier payment made"/>
    <x v="407"/>
    <s v="0.0"/>
    <x v="11"/>
    <x v="3"/>
  </r>
  <r>
    <n v="668"/>
    <x v="110"/>
    <s v="Supplier payment made"/>
    <x v="273"/>
    <s v="201.5"/>
    <x v="0"/>
    <x v="0"/>
  </r>
  <r>
    <n v="669"/>
    <x v="111"/>
    <s v="Sales invoice issued"/>
    <x v="447"/>
    <s v="0.0"/>
    <x v="2"/>
    <x v="0"/>
  </r>
  <r>
    <n v="669"/>
    <x v="111"/>
    <s v="Sales invoice issued"/>
    <x v="273"/>
    <s v="3211.38"/>
    <x v="3"/>
    <x v="2"/>
  </r>
  <r>
    <n v="669"/>
    <x v="111"/>
    <s v="Sales invoice issued"/>
    <x v="273"/>
    <s v="240.85"/>
    <x v="4"/>
    <x v="3"/>
  </r>
  <r>
    <n v="670"/>
    <x v="111"/>
    <s v="Supplier invoice received"/>
    <x v="448"/>
    <s v="0.0"/>
    <x v="9"/>
    <x v="4"/>
  </r>
  <r>
    <n v="670"/>
    <x v="111"/>
    <s v="Supplier invoice received"/>
    <x v="449"/>
    <s v="0.0"/>
    <x v="10"/>
    <x v="0"/>
  </r>
  <r>
    <n v="670"/>
    <x v="111"/>
    <s v="Supplier invoice received"/>
    <x v="273"/>
    <s v="7227.44"/>
    <x v="11"/>
    <x v="3"/>
  </r>
  <r>
    <n v="671"/>
    <x v="112"/>
    <s v="Sales invoice issued"/>
    <x v="450"/>
    <s v="0.0"/>
    <x v="2"/>
    <x v="0"/>
  </r>
  <r>
    <n v="671"/>
    <x v="112"/>
    <s v="Sales invoice issued"/>
    <x v="273"/>
    <s v="3175.01"/>
    <x v="3"/>
    <x v="2"/>
  </r>
  <r>
    <n v="671"/>
    <x v="112"/>
    <s v="Sales invoice issued"/>
    <x v="273"/>
    <s v="238.13"/>
    <x v="4"/>
    <x v="3"/>
  </r>
  <r>
    <n v="672"/>
    <x v="112"/>
    <s v="Sales invoice issued"/>
    <x v="451"/>
    <s v="0.0"/>
    <x v="2"/>
    <x v="0"/>
  </r>
  <r>
    <n v="672"/>
    <x v="112"/>
    <s v="Sales invoice issued"/>
    <x v="273"/>
    <s v="889.41"/>
    <x v="3"/>
    <x v="2"/>
  </r>
  <r>
    <n v="672"/>
    <x v="112"/>
    <s v="Sales invoice issued"/>
    <x v="273"/>
    <s v="66.7"/>
    <x v="4"/>
    <x v="3"/>
  </r>
  <r>
    <n v="673"/>
    <x v="112"/>
    <s v="Sales invoice issued"/>
    <x v="452"/>
    <s v="0.0"/>
    <x v="2"/>
    <x v="0"/>
  </r>
  <r>
    <n v="673"/>
    <x v="112"/>
    <s v="Sales invoice issued"/>
    <x v="273"/>
    <s v="922.14"/>
    <x v="3"/>
    <x v="2"/>
  </r>
  <r>
    <n v="673"/>
    <x v="112"/>
    <s v="Sales invoice issued"/>
    <x v="273"/>
    <s v="69.16"/>
    <x v="4"/>
    <x v="3"/>
  </r>
  <r>
    <n v="674"/>
    <x v="112"/>
    <s v="Sales invoice issued"/>
    <x v="453"/>
    <s v="0.0"/>
    <x v="2"/>
    <x v="0"/>
  </r>
  <r>
    <n v="674"/>
    <x v="112"/>
    <s v="Sales invoice issued"/>
    <x v="273"/>
    <s v="2528.21"/>
    <x v="3"/>
    <x v="2"/>
  </r>
  <r>
    <n v="674"/>
    <x v="112"/>
    <s v="Sales invoice issued"/>
    <x v="273"/>
    <s v="189.62"/>
    <x v="4"/>
    <x v="3"/>
  </r>
  <r>
    <n v="675"/>
    <x v="112"/>
    <s v="Sales invoice issued"/>
    <x v="454"/>
    <s v="0.0"/>
    <x v="2"/>
    <x v="0"/>
  </r>
  <r>
    <n v="675"/>
    <x v="112"/>
    <s v="Sales invoice issued"/>
    <x v="273"/>
    <s v="1403.0"/>
    <x v="3"/>
    <x v="2"/>
  </r>
  <r>
    <n v="675"/>
    <x v="112"/>
    <s v="Sales invoice issued"/>
    <x v="273"/>
    <s v="105.22"/>
    <x v="4"/>
    <x v="3"/>
  </r>
  <r>
    <n v="676"/>
    <x v="112"/>
    <s v="Customer payment received"/>
    <x v="378"/>
    <s v="0.0"/>
    <x v="0"/>
    <x v="0"/>
  </r>
  <r>
    <n v="676"/>
    <x v="112"/>
    <s v="Customer payment received"/>
    <x v="273"/>
    <s v="644.61"/>
    <x v="2"/>
    <x v="0"/>
  </r>
  <r>
    <n v="677"/>
    <x v="112"/>
    <s v="Customer payment received"/>
    <x v="421"/>
    <s v="0.0"/>
    <x v="0"/>
    <x v="0"/>
  </r>
  <r>
    <n v="677"/>
    <x v="112"/>
    <s v="Customer payment received"/>
    <x v="273"/>
    <s v="5436.99"/>
    <x v="2"/>
    <x v="0"/>
  </r>
  <r>
    <n v="678"/>
    <x v="112"/>
    <s v="Supplier invoice received"/>
    <x v="330"/>
    <s v="0.0"/>
    <x v="9"/>
    <x v="4"/>
  </r>
  <r>
    <n v="678"/>
    <x v="112"/>
    <s v="Supplier invoice received"/>
    <x v="331"/>
    <s v="0.0"/>
    <x v="10"/>
    <x v="0"/>
  </r>
  <r>
    <n v="678"/>
    <x v="112"/>
    <s v="Supplier invoice received"/>
    <x v="273"/>
    <s v="1935.04"/>
    <x v="11"/>
    <x v="3"/>
  </r>
  <r>
    <n v="679"/>
    <x v="112"/>
    <s v="Supplier payment made"/>
    <x v="392"/>
    <s v="0.0"/>
    <x v="11"/>
    <x v="3"/>
  </r>
  <r>
    <n v="679"/>
    <x v="112"/>
    <s v="Supplier payment made"/>
    <x v="273"/>
    <s v="1023.42"/>
    <x v="0"/>
    <x v="0"/>
  </r>
  <r>
    <n v="680"/>
    <x v="113"/>
    <s v="Payroll processed"/>
    <x v="455"/>
    <s v="0.0"/>
    <x v="5"/>
    <x v="4"/>
  </r>
  <r>
    <n v="680"/>
    <x v="113"/>
    <s v="Payroll processed"/>
    <x v="456"/>
    <s v="0.0"/>
    <x v="6"/>
    <x v="4"/>
  </r>
  <r>
    <n v="680"/>
    <x v="113"/>
    <s v="Payroll processed"/>
    <x v="273"/>
    <s v="17510.59"/>
    <x v="0"/>
    <x v="0"/>
  </r>
  <r>
    <n v="680"/>
    <x v="113"/>
    <s v="Payroll processed"/>
    <x v="273"/>
    <s v="3870.65"/>
    <x v="7"/>
    <x v="3"/>
  </r>
  <r>
    <n v="680"/>
    <x v="113"/>
    <s v="Payroll processed"/>
    <x v="273"/>
    <s v="855.26"/>
    <x v="8"/>
    <x v="3"/>
  </r>
  <r>
    <n v="681"/>
    <x v="113"/>
    <s v="Sales invoice issued"/>
    <x v="457"/>
    <s v="0.0"/>
    <x v="2"/>
    <x v="0"/>
  </r>
  <r>
    <n v="681"/>
    <x v="113"/>
    <s v="Sales invoice issued"/>
    <x v="273"/>
    <s v="1750.35"/>
    <x v="3"/>
    <x v="2"/>
  </r>
  <r>
    <n v="681"/>
    <x v="113"/>
    <s v="Sales invoice issued"/>
    <x v="273"/>
    <s v="131.28"/>
    <x v="4"/>
    <x v="3"/>
  </r>
  <r>
    <n v="682"/>
    <x v="113"/>
    <s v="Sales invoice issued"/>
    <x v="458"/>
    <s v="0.0"/>
    <x v="2"/>
    <x v="0"/>
  </r>
  <r>
    <n v="682"/>
    <x v="113"/>
    <s v="Sales invoice issued"/>
    <x v="273"/>
    <s v="1059.17"/>
    <x v="3"/>
    <x v="2"/>
  </r>
  <r>
    <n v="682"/>
    <x v="113"/>
    <s v="Sales invoice issued"/>
    <x v="273"/>
    <s v="79.43"/>
    <x v="4"/>
    <x v="3"/>
  </r>
  <r>
    <n v="683"/>
    <x v="113"/>
    <s v="Sales invoice issued"/>
    <x v="459"/>
    <s v="0.0"/>
    <x v="2"/>
    <x v="0"/>
  </r>
  <r>
    <n v="683"/>
    <x v="113"/>
    <s v="Sales invoice issued"/>
    <x v="273"/>
    <s v="1160.01"/>
    <x v="3"/>
    <x v="2"/>
  </r>
  <r>
    <n v="683"/>
    <x v="113"/>
    <s v="Sales invoice issued"/>
    <x v="273"/>
    <s v="87.0"/>
    <x v="4"/>
    <x v="3"/>
  </r>
  <r>
    <n v="684"/>
    <x v="113"/>
    <s v="Customer payment received"/>
    <x v="460"/>
    <s v="0.0"/>
    <x v="0"/>
    <x v="0"/>
  </r>
  <r>
    <n v="684"/>
    <x v="113"/>
    <s v="Customer payment received"/>
    <x v="273"/>
    <s v="2304.62"/>
    <x v="2"/>
    <x v="0"/>
  </r>
  <r>
    <n v="685"/>
    <x v="113"/>
    <s v="Supplier invoice received"/>
    <x v="461"/>
    <s v="0.0"/>
    <x v="9"/>
    <x v="4"/>
  </r>
  <r>
    <n v="685"/>
    <x v="113"/>
    <s v="Supplier invoice received"/>
    <x v="462"/>
    <s v="0.0"/>
    <x v="10"/>
    <x v="0"/>
  </r>
  <r>
    <n v="685"/>
    <x v="113"/>
    <s v="Supplier invoice received"/>
    <x v="273"/>
    <s v="2182.41"/>
    <x v="11"/>
    <x v="3"/>
  </r>
  <r>
    <n v="686"/>
    <x v="113"/>
    <s v="Supplier invoice received"/>
    <x v="338"/>
    <s v="0.0"/>
    <x v="9"/>
    <x v="4"/>
  </r>
  <r>
    <n v="686"/>
    <x v="113"/>
    <s v="Supplier invoice received"/>
    <x v="339"/>
    <s v="0.0"/>
    <x v="10"/>
    <x v="0"/>
  </r>
  <r>
    <n v="686"/>
    <x v="113"/>
    <s v="Supplier invoice received"/>
    <x v="273"/>
    <s v="1159.84"/>
    <x v="11"/>
    <x v="3"/>
  </r>
  <r>
    <n v="687"/>
    <x v="114"/>
    <s v="Sales invoice issued"/>
    <x v="463"/>
    <s v="0.0"/>
    <x v="2"/>
    <x v="0"/>
  </r>
  <r>
    <n v="687"/>
    <x v="114"/>
    <s v="Sales invoice issued"/>
    <x v="273"/>
    <s v="2223.98"/>
    <x v="3"/>
    <x v="2"/>
  </r>
  <r>
    <n v="687"/>
    <x v="114"/>
    <s v="Sales invoice issued"/>
    <x v="273"/>
    <s v="166.8"/>
    <x v="4"/>
    <x v="3"/>
  </r>
  <r>
    <n v="688"/>
    <x v="114"/>
    <s v="Sales invoice issued"/>
    <x v="464"/>
    <s v="0.0"/>
    <x v="2"/>
    <x v="0"/>
  </r>
  <r>
    <n v="688"/>
    <x v="114"/>
    <s v="Sales invoice issued"/>
    <x v="273"/>
    <s v="6470.64"/>
    <x v="3"/>
    <x v="2"/>
  </r>
  <r>
    <n v="688"/>
    <x v="114"/>
    <s v="Sales invoice issued"/>
    <x v="273"/>
    <s v="485.29"/>
    <x v="4"/>
    <x v="3"/>
  </r>
  <r>
    <n v="689"/>
    <x v="114"/>
    <s v="Sales invoice issued"/>
    <x v="465"/>
    <s v="0.0"/>
    <x v="2"/>
    <x v="0"/>
  </r>
  <r>
    <n v="689"/>
    <x v="114"/>
    <s v="Sales invoice issued"/>
    <x v="273"/>
    <s v="1790.88"/>
    <x v="3"/>
    <x v="2"/>
  </r>
  <r>
    <n v="689"/>
    <x v="114"/>
    <s v="Sales invoice issued"/>
    <x v="273"/>
    <s v="134.31"/>
    <x v="4"/>
    <x v="3"/>
  </r>
  <r>
    <n v="690"/>
    <x v="114"/>
    <s v="Customer payment received"/>
    <x v="414"/>
    <s v="0.0"/>
    <x v="0"/>
    <x v="0"/>
  </r>
  <r>
    <n v="690"/>
    <x v="114"/>
    <s v="Customer payment received"/>
    <x v="273"/>
    <s v="792.93"/>
    <x v="2"/>
    <x v="0"/>
  </r>
  <r>
    <n v="691"/>
    <x v="114"/>
    <s v="Customer payment received"/>
    <x v="447"/>
    <s v="0.0"/>
    <x v="0"/>
    <x v="0"/>
  </r>
  <r>
    <n v="691"/>
    <x v="114"/>
    <s v="Customer payment received"/>
    <x v="273"/>
    <s v="3452.23"/>
    <x v="2"/>
    <x v="0"/>
  </r>
  <r>
    <n v="692"/>
    <x v="114"/>
    <s v="Customer payment received"/>
    <x v="463"/>
    <s v="0.0"/>
    <x v="0"/>
    <x v="0"/>
  </r>
  <r>
    <n v="692"/>
    <x v="114"/>
    <s v="Customer payment received"/>
    <x v="273"/>
    <s v="2390.78"/>
    <x v="2"/>
    <x v="0"/>
  </r>
  <r>
    <n v="693"/>
    <x v="114"/>
    <s v="Supplier invoice received"/>
    <x v="405"/>
    <s v="0.0"/>
    <x v="9"/>
    <x v="4"/>
  </r>
  <r>
    <n v="693"/>
    <x v="114"/>
    <s v="Supplier invoice received"/>
    <x v="406"/>
    <s v="0.0"/>
    <x v="10"/>
    <x v="0"/>
  </r>
  <r>
    <n v="693"/>
    <x v="114"/>
    <s v="Supplier invoice received"/>
    <x v="273"/>
    <s v="2635.36"/>
    <x v="11"/>
    <x v="3"/>
  </r>
  <r>
    <n v="694"/>
    <x v="114"/>
    <s v="Supplier payment made"/>
    <x v="292"/>
    <s v="0.0"/>
    <x v="11"/>
    <x v="3"/>
  </r>
  <r>
    <n v="694"/>
    <x v="114"/>
    <s v="Supplier payment made"/>
    <x v="273"/>
    <s v="1766.46"/>
    <x v="0"/>
    <x v="0"/>
  </r>
  <r>
    <n v="695"/>
    <x v="114"/>
    <s v="Supplier payment made"/>
    <x v="466"/>
    <s v="0.0"/>
    <x v="11"/>
    <x v="3"/>
  </r>
  <r>
    <n v="695"/>
    <x v="114"/>
    <s v="Supplier payment made"/>
    <x v="273"/>
    <s v="748.26"/>
    <x v="0"/>
    <x v="0"/>
  </r>
  <r>
    <n v="696"/>
    <x v="115"/>
    <s v="Sales invoice issued"/>
    <x v="467"/>
    <s v="0.0"/>
    <x v="2"/>
    <x v="0"/>
  </r>
  <r>
    <n v="696"/>
    <x v="115"/>
    <s v="Sales invoice issued"/>
    <x v="273"/>
    <s v="1483.24"/>
    <x v="3"/>
    <x v="2"/>
  </r>
  <r>
    <n v="696"/>
    <x v="115"/>
    <s v="Sales invoice issued"/>
    <x v="273"/>
    <s v="111.24"/>
    <x v="4"/>
    <x v="3"/>
  </r>
  <r>
    <n v="697"/>
    <x v="115"/>
    <s v="Sales invoice issued"/>
    <x v="468"/>
    <s v="0.0"/>
    <x v="2"/>
    <x v="0"/>
  </r>
  <r>
    <n v="697"/>
    <x v="115"/>
    <s v="Sales invoice issued"/>
    <x v="273"/>
    <s v="180.41"/>
    <x v="3"/>
    <x v="2"/>
  </r>
  <r>
    <n v="697"/>
    <x v="115"/>
    <s v="Sales invoice issued"/>
    <x v="273"/>
    <s v="13.53"/>
    <x v="4"/>
    <x v="3"/>
  </r>
  <r>
    <n v="698"/>
    <x v="115"/>
    <s v="Sales invoice issued"/>
    <x v="469"/>
    <s v="0.0"/>
    <x v="2"/>
    <x v="0"/>
  </r>
  <r>
    <n v="698"/>
    <x v="115"/>
    <s v="Sales invoice issued"/>
    <x v="273"/>
    <s v="3884.45"/>
    <x v="3"/>
    <x v="2"/>
  </r>
  <r>
    <n v="698"/>
    <x v="115"/>
    <s v="Sales invoice issued"/>
    <x v="273"/>
    <s v="291.33"/>
    <x v="4"/>
    <x v="3"/>
  </r>
  <r>
    <n v="699"/>
    <x v="115"/>
    <s v="Sales invoice issued"/>
    <x v="470"/>
    <s v="0.0"/>
    <x v="2"/>
    <x v="0"/>
  </r>
  <r>
    <n v="699"/>
    <x v="115"/>
    <s v="Sales invoice issued"/>
    <x v="273"/>
    <s v="3521.06"/>
    <x v="3"/>
    <x v="2"/>
  </r>
  <r>
    <n v="699"/>
    <x v="115"/>
    <s v="Sales invoice issued"/>
    <x v="273"/>
    <s v="264.07"/>
    <x v="4"/>
    <x v="3"/>
  </r>
  <r>
    <n v="700"/>
    <x v="115"/>
    <s v="Sales invoice issued"/>
    <x v="471"/>
    <s v="0.0"/>
    <x v="2"/>
    <x v="0"/>
  </r>
  <r>
    <n v="700"/>
    <x v="115"/>
    <s v="Sales invoice issued"/>
    <x v="273"/>
    <s v="393.35"/>
    <x v="3"/>
    <x v="2"/>
  </r>
  <r>
    <n v="700"/>
    <x v="115"/>
    <s v="Sales invoice issued"/>
    <x v="273"/>
    <s v="29.5"/>
    <x v="4"/>
    <x v="3"/>
  </r>
  <r>
    <n v="701"/>
    <x v="115"/>
    <s v="Customer payment received"/>
    <x v="472"/>
    <s v="0.0"/>
    <x v="0"/>
    <x v="0"/>
  </r>
  <r>
    <n v="701"/>
    <x v="115"/>
    <s v="Customer payment received"/>
    <x v="273"/>
    <s v="2792.87"/>
    <x v="2"/>
    <x v="0"/>
  </r>
  <r>
    <n v="702"/>
    <x v="115"/>
    <s v="Customer payment received"/>
    <x v="321"/>
    <s v="0.0"/>
    <x v="0"/>
    <x v="0"/>
  </r>
  <r>
    <n v="702"/>
    <x v="115"/>
    <s v="Customer payment received"/>
    <x v="273"/>
    <s v="2368.61"/>
    <x v="2"/>
    <x v="0"/>
  </r>
  <r>
    <n v="703"/>
    <x v="115"/>
    <s v="Customer payment received"/>
    <x v="409"/>
    <s v="0.0"/>
    <x v="0"/>
    <x v="0"/>
  </r>
  <r>
    <n v="703"/>
    <x v="115"/>
    <s v="Customer payment received"/>
    <x v="273"/>
    <s v="1839.35"/>
    <x v="2"/>
    <x v="0"/>
  </r>
  <r>
    <n v="704"/>
    <x v="115"/>
    <s v="Customer payment received"/>
    <x v="473"/>
    <s v="0.0"/>
    <x v="0"/>
    <x v="0"/>
  </r>
  <r>
    <n v="704"/>
    <x v="115"/>
    <s v="Customer payment received"/>
    <x v="273"/>
    <s v="1944.54"/>
    <x v="2"/>
    <x v="0"/>
  </r>
  <r>
    <n v="705"/>
    <x v="115"/>
    <s v="Supplier invoice received"/>
    <x v="474"/>
    <s v="0.0"/>
    <x v="9"/>
    <x v="4"/>
  </r>
  <r>
    <n v="705"/>
    <x v="115"/>
    <s v="Supplier invoice received"/>
    <x v="475"/>
    <s v="0.0"/>
    <x v="10"/>
    <x v="0"/>
  </r>
  <r>
    <n v="705"/>
    <x v="115"/>
    <s v="Supplier invoice received"/>
    <x v="273"/>
    <s v="862.91"/>
    <x v="11"/>
    <x v="3"/>
  </r>
  <r>
    <n v="706"/>
    <x v="115"/>
    <s v="Supplier invoice received"/>
    <x v="307"/>
    <s v="0.0"/>
    <x v="9"/>
    <x v="4"/>
  </r>
  <r>
    <n v="706"/>
    <x v="115"/>
    <s v="Supplier invoice received"/>
    <x v="308"/>
    <s v="0.0"/>
    <x v="10"/>
    <x v="0"/>
  </r>
  <r>
    <n v="706"/>
    <x v="115"/>
    <s v="Supplier invoice received"/>
    <x v="273"/>
    <s v="2093.28"/>
    <x v="11"/>
    <x v="3"/>
  </r>
  <r>
    <n v="707"/>
    <x v="115"/>
    <s v="Supplier invoice received"/>
    <x v="374"/>
    <s v="0.0"/>
    <x v="9"/>
    <x v="4"/>
  </r>
  <r>
    <n v="707"/>
    <x v="115"/>
    <s v="Supplier invoice received"/>
    <x v="375"/>
    <s v="0.0"/>
    <x v="10"/>
    <x v="0"/>
  </r>
  <r>
    <n v="707"/>
    <x v="115"/>
    <s v="Supplier invoice received"/>
    <x v="273"/>
    <s v="2504.23"/>
    <x v="11"/>
    <x v="3"/>
  </r>
  <r>
    <n v="708"/>
    <x v="115"/>
    <s v="Supplier invoice received"/>
    <x v="357"/>
    <s v="0.0"/>
    <x v="9"/>
    <x v="4"/>
  </r>
  <r>
    <n v="708"/>
    <x v="115"/>
    <s v="Supplier invoice received"/>
    <x v="358"/>
    <s v="0.0"/>
    <x v="10"/>
    <x v="0"/>
  </r>
  <r>
    <n v="708"/>
    <x v="115"/>
    <s v="Supplier invoice received"/>
    <x v="273"/>
    <s v="1958.74"/>
    <x v="11"/>
    <x v="3"/>
  </r>
  <r>
    <n v="709"/>
    <x v="115"/>
    <s v="Supplier invoice received"/>
    <x v="303"/>
    <s v="0.0"/>
    <x v="9"/>
    <x v="4"/>
  </r>
  <r>
    <n v="709"/>
    <x v="115"/>
    <s v="Supplier invoice received"/>
    <x v="304"/>
    <s v="0.0"/>
    <x v="10"/>
    <x v="0"/>
  </r>
  <r>
    <n v="709"/>
    <x v="115"/>
    <s v="Supplier invoice received"/>
    <x v="273"/>
    <s v="550.4"/>
    <x v="11"/>
    <x v="3"/>
  </r>
  <r>
    <n v="710"/>
    <x v="115"/>
    <s v="Supplier invoice received"/>
    <x v="332"/>
    <s v="0.0"/>
    <x v="9"/>
    <x v="4"/>
  </r>
  <r>
    <n v="710"/>
    <x v="115"/>
    <s v="Supplier invoice received"/>
    <x v="333"/>
    <s v="0.0"/>
    <x v="10"/>
    <x v="0"/>
  </r>
  <r>
    <n v="710"/>
    <x v="115"/>
    <s v="Supplier invoice received"/>
    <x v="273"/>
    <s v="1023.42"/>
    <x v="11"/>
    <x v="3"/>
  </r>
  <r>
    <n v="711"/>
    <x v="115"/>
    <s v="Supplier payment made"/>
    <x v="318"/>
    <s v="0.0"/>
    <x v="11"/>
    <x v="3"/>
  </r>
  <r>
    <n v="711"/>
    <x v="115"/>
    <s v="Supplier payment made"/>
    <x v="273"/>
    <s v="2504.23"/>
    <x v="0"/>
    <x v="0"/>
  </r>
  <r>
    <n v="712"/>
    <x v="115"/>
    <s v="Supplier payment made"/>
    <x v="351"/>
    <s v="0.0"/>
    <x v="11"/>
    <x v="3"/>
  </r>
  <r>
    <n v="712"/>
    <x v="115"/>
    <s v="Supplier payment made"/>
    <x v="273"/>
    <s v="179.01"/>
    <x v="0"/>
    <x v="0"/>
  </r>
  <r>
    <n v="713"/>
    <x v="116"/>
    <s v="Sales invoice issued"/>
    <x v="476"/>
    <s v="0.0"/>
    <x v="2"/>
    <x v="0"/>
  </r>
  <r>
    <n v="713"/>
    <x v="116"/>
    <s v="Sales invoice issued"/>
    <x v="273"/>
    <s v="158.13"/>
    <x v="3"/>
    <x v="2"/>
  </r>
  <r>
    <n v="713"/>
    <x v="116"/>
    <s v="Sales invoice issued"/>
    <x v="273"/>
    <s v="11.86"/>
    <x v="4"/>
    <x v="3"/>
  </r>
  <r>
    <n v="714"/>
    <x v="116"/>
    <s v="Sales invoice issued"/>
    <x v="477"/>
    <s v="0.0"/>
    <x v="2"/>
    <x v="0"/>
  </r>
  <r>
    <n v="714"/>
    <x v="116"/>
    <s v="Sales invoice issued"/>
    <x v="273"/>
    <s v="1500.81"/>
    <x v="3"/>
    <x v="2"/>
  </r>
  <r>
    <n v="714"/>
    <x v="116"/>
    <s v="Sales invoice issued"/>
    <x v="273"/>
    <s v="112.56"/>
    <x v="4"/>
    <x v="3"/>
  </r>
  <r>
    <n v="715"/>
    <x v="116"/>
    <s v="Sales invoice issued"/>
    <x v="478"/>
    <s v="0.0"/>
    <x v="2"/>
    <x v="0"/>
  </r>
  <r>
    <n v="715"/>
    <x v="116"/>
    <s v="Sales invoice issued"/>
    <x v="273"/>
    <s v="2432.12"/>
    <x v="3"/>
    <x v="2"/>
  </r>
  <r>
    <n v="715"/>
    <x v="116"/>
    <s v="Sales invoice issued"/>
    <x v="273"/>
    <s v="182.41"/>
    <x v="4"/>
    <x v="3"/>
  </r>
  <r>
    <n v="716"/>
    <x v="116"/>
    <s v="Sales invoice issued"/>
    <x v="479"/>
    <s v="0.0"/>
    <x v="2"/>
    <x v="0"/>
  </r>
  <r>
    <n v="716"/>
    <x v="116"/>
    <s v="Sales invoice issued"/>
    <x v="273"/>
    <s v="460.46"/>
    <x v="3"/>
    <x v="2"/>
  </r>
  <r>
    <n v="716"/>
    <x v="116"/>
    <s v="Sales invoice issued"/>
    <x v="273"/>
    <s v="34.53"/>
    <x v="4"/>
    <x v="3"/>
  </r>
  <r>
    <n v="717"/>
    <x v="116"/>
    <s v="Customer payment received"/>
    <x v="276"/>
    <s v="0.0"/>
    <x v="0"/>
    <x v="0"/>
  </r>
  <r>
    <n v="717"/>
    <x v="116"/>
    <s v="Customer payment received"/>
    <x v="273"/>
    <s v="1728.52"/>
    <x v="2"/>
    <x v="0"/>
  </r>
  <r>
    <n v="718"/>
    <x v="116"/>
    <s v="Customer payment received"/>
    <x v="400"/>
    <s v="0.0"/>
    <x v="0"/>
    <x v="0"/>
  </r>
  <r>
    <n v="718"/>
    <x v="116"/>
    <s v="Customer payment received"/>
    <x v="273"/>
    <s v="1941.81"/>
    <x v="2"/>
    <x v="0"/>
  </r>
  <r>
    <n v="719"/>
    <x v="116"/>
    <s v="Customer payment received"/>
    <x v="419"/>
    <s v="0.0"/>
    <x v="0"/>
    <x v="0"/>
  </r>
  <r>
    <n v="719"/>
    <x v="116"/>
    <s v="Customer payment received"/>
    <x v="273"/>
    <s v="1824.5"/>
    <x v="2"/>
    <x v="0"/>
  </r>
  <r>
    <n v="720"/>
    <x v="116"/>
    <s v="Supplier invoice received"/>
    <x v="330"/>
    <s v="0.0"/>
    <x v="9"/>
    <x v="4"/>
  </r>
  <r>
    <n v="720"/>
    <x v="116"/>
    <s v="Supplier invoice received"/>
    <x v="331"/>
    <s v="0.0"/>
    <x v="10"/>
    <x v="0"/>
  </r>
  <r>
    <n v="720"/>
    <x v="116"/>
    <s v="Supplier invoice received"/>
    <x v="273"/>
    <s v="1935.04"/>
    <x v="11"/>
    <x v="3"/>
  </r>
  <r>
    <n v="721"/>
    <x v="116"/>
    <s v="Supplier payment made"/>
    <x v="280"/>
    <s v="0.0"/>
    <x v="11"/>
    <x v="3"/>
  </r>
  <r>
    <n v="721"/>
    <x v="116"/>
    <s v="Supplier payment made"/>
    <x v="273"/>
    <s v="2635.36"/>
    <x v="0"/>
    <x v="0"/>
  </r>
  <r>
    <n v="722"/>
    <x v="116"/>
    <s v="Supplier payment made"/>
    <x v="327"/>
    <s v="0.0"/>
    <x v="11"/>
    <x v="3"/>
  </r>
  <r>
    <n v="722"/>
    <x v="116"/>
    <s v="Supplier payment made"/>
    <x v="273"/>
    <s v="1935.04"/>
    <x v="0"/>
    <x v="0"/>
  </r>
  <r>
    <n v="723"/>
    <x v="117"/>
    <s v="Sales invoice issued"/>
    <x v="480"/>
    <s v="0.0"/>
    <x v="2"/>
    <x v="0"/>
  </r>
  <r>
    <n v="723"/>
    <x v="117"/>
    <s v="Sales invoice issued"/>
    <x v="273"/>
    <s v="1691.36"/>
    <x v="3"/>
    <x v="2"/>
  </r>
  <r>
    <n v="723"/>
    <x v="117"/>
    <s v="Sales invoice issued"/>
    <x v="273"/>
    <s v="126.85"/>
    <x v="4"/>
    <x v="3"/>
  </r>
  <r>
    <n v="724"/>
    <x v="117"/>
    <s v="Sales invoice issued"/>
    <x v="481"/>
    <s v="0.0"/>
    <x v="2"/>
    <x v="0"/>
  </r>
  <r>
    <n v="724"/>
    <x v="117"/>
    <s v="Sales invoice issued"/>
    <x v="273"/>
    <s v="3877.99"/>
    <x v="3"/>
    <x v="2"/>
  </r>
  <r>
    <n v="724"/>
    <x v="117"/>
    <s v="Sales invoice issued"/>
    <x v="273"/>
    <s v="290.85"/>
    <x v="4"/>
    <x v="3"/>
  </r>
  <r>
    <n v="725"/>
    <x v="117"/>
    <s v="Sales invoice issued"/>
    <x v="482"/>
    <s v="0.0"/>
    <x v="2"/>
    <x v="0"/>
  </r>
  <r>
    <n v="725"/>
    <x v="117"/>
    <s v="Sales invoice issued"/>
    <x v="273"/>
    <s v="3506.88"/>
    <x v="3"/>
    <x v="2"/>
  </r>
  <r>
    <n v="725"/>
    <x v="117"/>
    <s v="Sales invoice issued"/>
    <x v="273"/>
    <s v="263.01"/>
    <x v="4"/>
    <x v="3"/>
  </r>
  <r>
    <n v="726"/>
    <x v="117"/>
    <s v="Sales invoice issued"/>
    <x v="483"/>
    <s v="0.0"/>
    <x v="2"/>
    <x v="0"/>
  </r>
  <r>
    <n v="726"/>
    <x v="117"/>
    <s v="Sales invoice issued"/>
    <x v="273"/>
    <s v="6177.11"/>
    <x v="3"/>
    <x v="2"/>
  </r>
  <r>
    <n v="726"/>
    <x v="117"/>
    <s v="Sales invoice issued"/>
    <x v="273"/>
    <s v="463.28"/>
    <x v="4"/>
    <x v="3"/>
  </r>
  <r>
    <n v="727"/>
    <x v="117"/>
    <s v="Sales invoice issued"/>
    <x v="484"/>
    <s v="0.0"/>
    <x v="2"/>
    <x v="0"/>
  </r>
  <r>
    <n v="727"/>
    <x v="117"/>
    <s v="Sales invoice issued"/>
    <x v="273"/>
    <s v="570.1"/>
    <x v="3"/>
    <x v="2"/>
  </r>
  <r>
    <n v="727"/>
    <x v="117"/>
    <s v="Sales invoice issued"/>
    <x v="273"/>
    <s v="42.76"/>
    <x v="4"/>
    <x v="3"/>
  </r>
  <r>
    <n v="728"/>
    <x v="117"/>
    <s v="Sales invoice issued"/>
    <x v="485"/>
    <s v="0.0"/>
    <x v="2"/>
    <x v="0"/>
  </r>
  <r>
    <n v="728"/>
    <x v="117"/>
    <s v="Sales invoice issued"/>
    <x v="273"/>
    <s v="1399.74"/>
    <x v="3"/>
    <x v="2"/>
  </r>
  <r>
    <n v="728"/>
    <x v="117"/>
    <s v="Sales invoice issued"/>
    <x v="273"/>
    <s v="104.98"/>
    <x v="4"/>
    <x v="3"/>
  </r>
  <r>
    <n v="729"/>
    <x v="117"/>
    <s v="Customer payment received"/>
    <x v="403"/>
    <s v="0.0"/>
    <x v="0"/>
    <x v="0"/>
  </r>
  <r>
    <n v="729"/>
    <x v="117"/>
    <s v="Customer payment received"/>
    <x v="273"/>
    <s v="4883.44"/>
    <x v="2"/>
    <x v="0"/>
  </r>
  <r>
    <n v="730"/>
    <x v="117"/>
    <s v="Customer payment received"/>
    <x v="468"/>
    <s v="0.0"/>
    <x v="0"/>
    <x v="0"/>
  </r>
  <r>
    <n v="730"/>
    <x v="117"/>
    <s v="Customer payment received"/>
    <x v="273"/>
    <s v="193.94"/>
    <x v="2"/>
    <x v="0"/>
  </r>
  <r>
    <n v="731"/>
    <x v="117"/>
    <s v="Customer payment received"/>
    <x v="478"/>
    <s v="0.0"/>
    <x v="0"/>
    <x v="0"/>
  </r>
  <r>
    <n v="731"/>
    <x v="117"/>
    <s v="Customer payment received"/>
    <x v="273"/>
    <s v="2614.53"/>
    <x v="2"/>
    <x v="0"/>
  </r>
  <r>
    <n v="732"/>
    <x v="117"/>
    <s v="Supplier payment made"/>
    <x v="353"/>
    <s v="0.0"/>
    <x v="11"/>
    <x v="3"/>
  </r>
  <r>
    <n v="732"/>
    <x v="117"/>
    <s v="Supplier payment made"/>
    <x v="273"/>
    <s v="2918.17"/>
    <x v="0"/>
    <x v="0"/>
  </r>
  <r>
    <n v="733"/>
    <x v="118"/>
    <s v="Sales invoice issued"/>
    <x v="486"/>
    <s v="0.0"/>
    <x v="2"/>
    <x v="0"/>
  </r>
  <r>
    <n v="733"/>
    <x v="118"/>
    <s v="Sales invoice issued"/>
    <x v="273"/>
    <s v="2375.38"/>
    <x v="3"/>
    <x v="2"/>
  </r>
  <r>
    <n v="733"/>
    <x v="118"/>
    <s v="Sales invoice issued"/>
    <x v="273"/>
    <s v="178.16"/>
    <x v="4"/>
    <x v="3"/>
  </r>
  <r>
    <n v="734"/>
    <x v="118"/>
    <s v="Sales invoice issued"/>
    <x v="487"/>
    <s v="0.0"/>
    <x v="2"/>
    <x v="0"/>
  </r>
  <r>
    <n v="734"/>
    <x v="118"/>
    <s v="Sales invoice issued"/>
    <x v="273"/>
    <s v="3545.72"/>
    <x v="3"/>
    <x v="2"/>
  </r>
  <r>
    <n v="734"/>
    <x v="118"/>
    <s v="Sales invoice issued"/>
    <x v="273"/>
    <s v="265.92"/>
    <x v="4"/>
    <x v="3"/>
  </r>
  <r>
    <n v="735"/>
    <x v="118"/>
    <s v="Customer payment received"/>
    <x v="342"/>
    <s v="0.0"/>
    <x v="0"/>
    <x v="0"/>
  </r>
  <r>
    <n v="735"/>
    <x v="118"/>
    <s v="Customer payment received"/>
    <x v="273"/>
    <s v="5487.81"/>
    <x v="2"/>
    <x v="0"/>
  </r>
  <r>
    <n v="736"/>
    <x v="118"/>
    <s v="Customer payment received"/>
    <x v="361"/>
    <s v="0.0"/>
    <x v="0"/>
    <x v="0"/>
  </r>
  <r>
    <n v="736"/>
    <x v="118"/>
    <s v="Customer payment received"/>
    <x v="273"/>
    <s v="2367.61"/>
    <x v="2"/>
    <x v="0"/>
  </r>
  <r>
    <n v="737"/>
    <x v="118"/>
    <s v="Customer payment received"/>
    <x v="483"/>
    <s v="0.0"/>
    <x v="0"/>
    <x v="0"/>
  </r>
  <r>
    <n v="737"/>
    <x v="118"/>
    <s v="Customer payment received"/>
    <x v="273"/>
    <s v="6640.39"/>
    <x v="2"/>
    <x v="0"/>
  </r>
  <r>
    <n v="738"/>
    <x v="118"/>
    <s v="Supplier invoice received"/>
    <x v="366"/>
    <s v="0.0"/>
    <x v="9"/>
    <x v="4"/>
  </r>
  <r>
    <n v="738"/>
    <x v="118"/>
    <s v="Supplier invoice received"/>
    <x v="367"/>
    <s v="0.0"/>
    <x v="10"/>
    <x v="0"/>
  </r>
  <r>
    <n v="738"/>
    <x v="118"/>
    <s v="Supplier invoice received"/>
    <x v="273"/>
    <s v="201.5"/>
    <x v="11"/>
    <x v="3"/>
  </r>
  <r>
    <n v="739"/>
    <x v="118"/>
    <s v="Supplier payment made"/>
    <x v="392"/>
    <s v="0.0"/>
    <x v="11"/>
    <x v="3"/>
  </r>
  <r>
    <n v="739"/>
    <x v="118"/>
    <s v="Supplier payment made"/>
    <x v="273"/>
    <s v="1023.42"/>
    <x v="0"/>
    <x v="0"/>
  </r>
  <r>
    <n v="740"/>
    <x v="118"/>
    <s v="Supplier payment made"/>
    <x v="488"/>
    <s v="0.0"/>
    <x v="11"/>
    <x v="3"/>
  </r>
  <r>
    <n v="740"/>
    <x v="118"/>
    <s v="Supplier payment made"/>
    <x v="273"/>
    <s v="2182.41"/>
    <x v="0"/>
    <x v="0"/>
  </r>
  <r>
    <n v="741"/>
    <x v="118"/>
    <s v="Supplier payment made"/>
    <x v="336"/>
    <s v="0.0"/>
    <x v="11"/>
    <x v="3"/>
  </r>
  <r>
    <n v="741"/>
    <x v="118"/>
    <s v="Supplier payment made"/>
    <x v="273"/>
    <s v="2093.28"/>
    <x v="0"/>
    <x v="0"/>
  </r>
  <r>
    <n v="742"/>
    <x v="118"/>
    <s v="Supplier payment made"/>
    <x v="392"/>
    <s v="0.0"/>
    <x v="11"/>
    <x v="3"/>
  </r>
  <r>
    <n v="742"/>
    <x v="118"/>
    <s v="Supplier payment made"/>
    <x v="273"/>
    <s v="1023.42"/>
    <x v="0"/>
    <x v="0"/>
  </r>
  <r>
    <n v="743"/>
    <x v="119"/>
    <s v="Sales invoice issued"/>
    <x v="489"/>
    <s v="0.0"/>
    <x v="2"/>
    <x v="0"/>
  </r>
  <r>
    <n v="743"/>
    <x v="119"/>
    <s v="Sales invoice issued"/>
    <x v="273"/>
    <s v="2187.94"/>
    <x v="3"/>
    <x v="2"/>
  </r>
  <r>
    <n v="743"/>
    <x v="119"/>
    <s v="Sales invoice issued"/>
    <x v="273"/>
    <s v="164.1"/>
    <x v="4"/>
    <x v="3"/>
  </r>
  <r>
    <n v="744"/>
    <x v="119"/>
    <s v="Customer payment received"/>
    <x v="415"/>
    <s v="0.0"/>
    <x v="0"/>
    <x v="0"/>
  </r>
  <r>
    <n v="744"/>
    <x v="119"/>
    <s v="Customer payment received"/>
    <x v="273"/>
    <s v="3479.37"/>
    <x v="2"/>
    <x v="0"/>
  </r>
  <r>
    <n v="745"/>
    <x v="119"/>
    <s v="Customer payment received"/>
    <x v="485"/>
    <s v="0.0"/>
    <x v="0"/>
    <x v="0"/>
  </r>
  <r>
    <n v="745"/>
    <x v="119"/>
    <s v="Customer payment received"/>
    <x v="273"/>
    <s v="1504.72"/>
    <x v="2"/>
    <x v="0"/>
  </r>
  <r>
    <n v="746"/>
    <x v="120"/>
    <s v="Sales invoice issued"/>
    <x v="490"/>
    <s v="0.0"/>
    <x v="2"/>
    <x v="0"/>
  </r>
  <r>
    <n v="746"/>
    <x v="120"/>
    <s v="Sales invoice issued"/>
    <x v="273"/>
    <s v="7028.94"/>
    <x v="3"/>
    <x v="2"/>
  </r>
  <r>
    <n v="746"/>
    <x v="120"/>
    <s v="Sales invoice issued"/>
    <x v="273"/>
    <s v="527.17"/>
    <x v="4"/>
    <x v="3"/>
  </r>
  <r>
    <n v="747"/>
    <x v="120"/>
    <s v="Sales invoice issued"/>
    <x v="491"/>
    <s v="0.0"/>
    <x v="2"/>
    <x v="0"/>
  </r>
  <r>
    <n v="747"/>
    <x v="120"/>
    <s v="Sales invoice issued"/>
    <x v="273"/>
    <s v="694.1"/>
    <x v="3"/>
    <x v="2"/>
  </r>
  <r>
    <n v="747"/>
    <x v="120"/>
    <s v="Sales invoice issued"/>
    <x v="273"/>
    <s v="52.06"/>
    <x v="4"/>
    <x v="3"/>
  </r>
  <r>
    <n v="748"/>
    <x v="120"/>
    <s v="Sales invoice issued"/>
    <x v="492"/>
    <s v="0.0"/>
    <x v="2"/>
    <x v="0"/>
  </r>
  <r>
    <n v="748"/>
    <x v="120"/>
    <s v="Sales invoice issued"/>
    <x v="273"/>
    <s v="3520.14"/>
    <x v="3"/>
    <x v="2"/>
  </r>
  <r>
    <n v="748"/>
    <x v="120"/>
    <s v="Sales invoice issued"/>
    <x v="273"/>
    <s v="264.02"/>
    <x v="4"/>
    <x v="3"/>
  </r>
  <r>
    <n v="749"/>
    <x v="120"/>
    <s v="Sales invoice issued"/>
    <x v="493"/>
    <s v="0.0"/>
    <x v="2"/>
    <x v="0"/>
  </r>
  <r>
    <n v="749"/>
    <x v="120"/>
    <s v="Sales invoice issued"/>
    <x v="273"/>
    <s v="2218.28"/>
    <x v="3"/>
    <x v="2"/>
  </r>
  <r>
    <n v="749"/>
    <x v="120"/>
    <s v="Sales invoice issued"/>
    <x v="273"/>
    <s v="166.37"/>
    <x v="4"/>
    <x v="3"/>
  </r>
  <r>
    <n v="750"/>
    <x v="120"/>
    <s v="Sales invoice issued"/>
    <x v="494"/>
    <s v="0.0"/>
    <x v="2"/>
    <x v="0"/>
  </r>
  <r>
    <n v="750"/>
    <x v="120"/>
    <s v="Sales invoice issued"/>
    <x v="273"/>
    <s v="4087.11"/>
    <x v="3"/>
    <x v="2"/>
  </r>
  <r>
    <n v="750"/>
    <x v="120"/>
    <s v="Sales invoice issued"/>
    <x v="273"/>
    <s v="306.54"/>
    <x v="4"/>
    <x v="3"/>
  </r>
  <r>
    <n v="751"/>
    <x v="120"/>
    <s v="Customer payment received"/>
    <x v="495"/>
    <s v="0.0"/>
    <x v="0"/>
    <x v="0"/>
  </r>
  <r>
    <n v="751"/>
    <x v="120"/>
    <s v="Customer payment received"/>
    <x v="273"/>
    <s v="534.92"/>
    <x v="2"/>
    <x v="0"/>
  </r>
  <r>
    <n v="752"/>
    <x v="120"/>
    <s v="Customer payment received"/>
    <x v="329"/>
    <s v="0.0"/>
    <x v="0"/>
    <x v="0"/>
  </r>
  <r>
    <n v="752"/>
    <x v="120"/>
    <s v="Customer payment received"/>
    <x v="273"/>
    <s v="3243.59"/>
    <x v="2"/>
    <x v="0"/>
  </r>
  <r>
    <n v="753"/>
    <x v="120"/>
    <s v="Customer payment received"/>
    <x v="362"/>
    <s v="0.0"/>
    <x v="0"/>
    <x v="0"/>
  </r>
  <r>
    <n v="753"/>
    <x v="120"/>
    <s v="Customer payment received"/>
    <x v="273"/>
    <s v="1386.14"/>
    <x v="2"/>
    <x v="0"/>
  </r>
  <r>
    <n v="754"/>
    <x v="120"/>
    <s v="Customer payment received"/>
    <x v="385"/>
    <s v="0.0"/>
    <x v="0"/>
    <x v="0"/>
  </r>
  <r>
    <n v="754"/>
    <x v="120"/>
    <s v="Customer payment received"/>
    <x v="273"/>
    <s v="1762.94"/>
    <x v="2"/>
    <x v="0"/>
  </r>
  <r>
    <n v="755"/>
    <x v="120"/>
    <s v="Customer payment received"/>
    <x v="388"/>
    <s v="0.0"/>
    <x v="0"/>
    <x v="0"/>
  </r>
  <r>
    <n v="755"/>
    <x v="120"/>
    <s v="Customer payment received"/>
    <x v="273"/>
    <s v="3858.82"/>
    <x v="2"/>
    <x v="0"/>
  </r>
  <r>
    <n v="756"/>
    <x v="120"/>
    <s v="Customer payment received"/>
    <x v="411"/>
    <s v="0.0"/>
    <x v="0"/>
    <x v="0"/>
  </r>
  <r>
    <n v="756"/>
    <x v="120"/>
    <s v="Customer payment received"/>
    <x v="273"/>
    <s v="1084.08"/>
    <x v="2"/>
    <x v="0"/>
  </r>
  <r>
    <n v="757"/>
    <x v="120"/>
    <s v="Customer payment received"/>
    <x v="452"/>
    <s v="0.0"/>
    <x v="0"/>
    <x v="0"/>
  </r>
  <r>
    <n v="757"/>
    <x v="120"/>
    <s v="Customer payment received"/>
    <x v="273"/>
    <s v="991.3"/>
    <x v="2"/>
    <x v="0"/>
  </r>
  <r>
    <n v="758"/>
    <x v="120"/>
    <s v="Customer payment received"/>
    <x v="471"/>
    <s v="0.0"/>
    <x v="0"/>
    <x v="0"/>
  </r>
  <r>
    <n v="758"/>
    <x v="120"/>
    <s v="Customer payment received"/>
    <x v="273"/>
    <s v="422.85"/>
    <x v="2"/>
    <x v="0"/>
  </r>
  <r>
    <n v="759"/>
    <x v="120"/>
    <s v="Customer payment received"/>
    <x v="494"/>
    <s v="0.0"/>
    <x v="0"/>
    <x v="0"/>
  </r>
  <r>
    <n v="759"/>
    <x v="120"/>
    <s v="Customer payment received"/>
    <x v="273"/>
    <s v="4393.65"/>
    <x v="2"/>
    <x v="0"/>
  </r>
  <r>
    <n v="760"/>
    <x v="120"/>
    <s v="Supplier invoice received"/>
    <x v="301"/>
    <s v="0.0"/>
    <x v="9"/>
    <x v="4"/>
  </r>
  <r>
    <n v="760"/>
    <x v="120"/>
    <s v="Supplier invoice received"/>
    <x v="302"/>
    <s v="0.0"/>
    <x v="10"/>
    <x v="0"/>
  </r>
  <r>
    <n v="760"/>
    <x v="120"/>
    <s v="Supplier invoice received"/>
    <x v="273"/>
    <s v="4812.46"/>
    <x v="11"/>
    <x v="3"/>
  </r>
  <r>
    <n v="761"/>
    <x v="120"/>
    <s v="Supplier invoice received"/>
    <x v="359"/>
    <s v="0.0"/>
    <x v="9"/>
    <x v="4"/>
  </r>
  <r>
    <n v="761"/>
    <x v="120"/>
    <s v="Supplier invoice received"/>
    <x v="360"/>
    <s v="0.0"/>
    <x v="10"/>
    <x v="0"/>
  </r>
  <r>
    <n v="761"/>
    <x v="120"/>
    <s v="Supplier invoice received"/>
    <x v="273"/>
    <s v="1591.54"/>
    <x v="11"/>
    <x v="3"/>
  </r>
  <r>
    <n v="762"/>
    <x v="120"/>
    <s v="Supplier invoice received"/>
    <x v="299"/>
    <s v="0.0"/>
    <x v="9"/>
    <x v="4"/>
  </r>
  <r>
    <n v="762"/>
    <x v="120"/>
    <s v="Supplier invoice received"/>
    <x v="300"/>
    <s v="0.0"/>
    <x v="10"/>
    <x v="0"/>
  </r>
  <r>
    <n v="762"/>
    <x v="120"/>
    <s v="Supplier invoice received"/>
    <x v="273"/>
    <s v="2918.17"/>
    <x v="11"/>
    <x v="3"/>
  </r>
  <r>
    <n v="763"/>
    <x v="120"/>
    <s v="Supplier invoice received"/>
    <x v="443"/>
    <s v="0.0"/>
    <x v="9"/>
    <x v="4"/>
  </r>
  <r>
    <n v="763"/>
    <x v="120"/>
    <s v="Supplier invoice received"/>
    <x v="444"/>
    <s v="0.0"/>
    <x v="10"/>
    <x v="0"/>
  </r>
  <r>
    <n v="763"/>
    <x v="120"/>
    <s v="Supplier invoice received"/>
    <x v="273"/>
    <s v="748.26"/>
    <x v="11"/>
    <x v="3"/>
  </r>
  <r>
    <n v="764"/>
    <x v="120"/>
    <s v="Supplier invoice received"/>
    <x v="448"/>
    <s v="0.0"/>
    <x v="9"/>
    <x v="4"/>
  </r>
  <r>
    <n v="764"/>
    <x v="120"/>
    <s v="Supplier invoice received"/>
    <x v="449"/>
    <s v="0.0"/>
    <x v="10"/>
    <x v="0"/>
  </r>
  <r>
    <n v="764"/>
    <x v="120"/>
    <s v="Supplier invoice received"/>
    <x v="273"/>
    <s v="7227.44"/>
    <x v="11"/>
    <x v="3"/>
  </r>
  <r>
    <n v="765"/>
    <x v="120"/>
    <s v="Supplier invoice received"/>
    <x v="284"/>
    <s v="0.0"/>
    <x v="9"/>
    <x v="4"/>
  </r>
  <r>
    <n v="765"/>
    <x v="120"/>
    <s v="Supplier invoice received"/>
    <x v="285"/>
    <s v="0.0"/>
    <x v="10"/>
    <x v="0"/>
  </r>
  <r>
    <n v="765"/>
    <x v="120"/>
    <s v="Supplier invoice received"/>
    <x v="273"/>
    <s v="9336.67"/>
    <x v="11"/>
    <x v="3"/>
  </r>
  <r>
    <n v="766"/>
    <x v="120"/>
    <s v="Supplier payment made"/>
    <x v="496"/>
    <s v="0.0"/>
    <x v="11"/>
    <x v="3"/>
  </r>
  <r>
    <n v="766"/>
    <x v="120"/>
    <s v="Supplier payment made"/>
    <x v="273"/>
    <s v="7227.44"/>
    <x v="0"/>
    <x v="0"/>
  </r>
  <r>
    <n v="767"/>
    <x v="121"/>
    <s v="Sales invoice issued"/>
    <x v="497"/>
    <s v="0.0"/>
    <x v="2"/>
    <x v="0"/>
  </r>
  <r>
    <n v="767"/>
    <x v="121"/>
    <s v="Sales invoice issued"/>
    <x v="273"/>
    <s v="1395.52"/>
    <x v="3"/>
    <x v="2"/>
  </r>
  <r>
    <n v="767"/>
    <x v="121"/>
    <s v="Sales invoice issued"/>
    <x v="273"/>
    <s v="104.67"/>
    <x v="4"/>
    <x v="3"/>
  </r>
  <r>
    <n v="768"/>
    <x v="121"/>
    <s v="Sales invoice issued"/>
    <x v="498"/>
    <s v="0.0"/>
    <x v="2"/>
    <x v="0"/>
  </r>
  <r>
    <n v="768"/>
    <x v="121"/>
    <s v="Sales invoice issued"/>
    <x v="273"/>
    <s v="2147.94"/>
    <x v="3"/>
    <x v="2"/>
  </r>
  <r>
    <n v="768"/>
    <x v="121"/>
    <s v="Sales invoice issued"/>
    <x v="273"/>
    <s v="161.09"/>
    <x v="4"/>
    <x v="3"/>
  </r>
  <r>
    <n v="769"/>
    <x v="121"/>
    <s v="Sales invoice issued"/>
    <x v="499"/>
    <s v="0.0"/>
    <x v="2"/>
    <x v="0"/>
  </r>
  <r>
    <n v="769"/>
    <x v="121"/>
    <s v="Sales invoice issued"/>
    <x v="273"/>
    <s v="981.5"/>
    <x v="3"/>
    <x v="2"/>
  </r>
  <r>
    <n v="769"/>
    <x v="121"/>
    <s v="Sales invoice issued"/>
    <x v="273"/>
    <s v="73.62"/>
    <x v="4"/>
    <x v="3"/>
  </r>
  <r>
    <n v="770"/>
    <x v="121"/>
    <s v="Customer payment received"/>
    <x v="346"/>
    <s v="0.0"/>
    <x v="0"/>
    <x v="0"/>
  </r>
  <r>
    <n v="770"/>
    <x v="121"/>
    <s v="Customer payment received"/>
    <x v="273"/>
    <s v="3428.55"/>
    <x v="2"/>
    <x v="0"/>
  </r>
  <r>
    <n v="771"/>
    <x v="121"/>
    <s v="Customer payment received"/>
    <x v="434"/>
    <s v="0.0"/>
    <x v="0"/>
    <x v="0"/>
  </r>
  <r>
    <n v="771"/>
    <x v="121"/>
    <s v="Customer payment received"/>
    <x v="273"/>
    <s v="1456.37"/>
    <x v="2"/>
    <x v="0"/>
  </r>
  <r>
    <n v="772"/>
    <x v="121"/>
    <s v="Customer payment received"/>
    <x v="450"/>
    <s v="0.0"/>
    <x v="0"/>
    <x v="0"/>
  </r>
  <r>
    <n v="772"/>
    <x v="121"/>
    <s v="Customer payment received"/>
    <x v="273"/>
    <s v="3413.14"/>
    <x v="2"/>
    <x v="0"/>
  </r>
  <r>
    <n v="773"/>
    <x v="121"/>
    <s v="Customer payment received"/>
    <x v="479"/>
    <s v="0.0"/>
    <x v="0"/>
    <x v="0"/>
  </r>
  <r>
    <n v="773"/>
    <x v="121"/>
    <s v="Customer payment received"/>
    <x v="273"/>
    <s v="494.99"/>
    <x v="2"/>
    <x v="0"/>
  </r>
  <r>
    <n v="774"/>
    <x v="121"/>
    <s v="Customer payment received"/>
    <x v="493"/>
    <s v="0.0"/>
    <x v="0"/>
    <x v="0"/>
  </r>
  <r>
    <n v="774"/>
    <x v="121"/>
    <s v="Customer payment received"/>
    <x v="273"/>
    <s v="2384.65"/>
    <x v="2"/>
    <x v="0"/>
  </r>
  <r>
    <n v="775"/>
    <x v="121"/>
    <s v="Supplier payment made"/>
    <x v="327"/>
    <s v="0.0"/>
    <x v="11"/>
    <x v="3"/>
  </r>
  <r>
    <n v="775"/>
    <x v="121"/>
    <s v="Supplier payment made"/>
    <x v="273"/>
    <s v="1935.04"/>
    <x v="0"/>
    <x v="0"/>
  </r>
  <r>
    <n v="776"/>
    <x v="121"/>
    <s v="Supplier payment made"/>
    <x v="424"/>
    <s v="0.0"/>
    <x v="11"/>
    <x v="3"/>
  </r>
  <r>
    <n v="776"/>
    <x v="121"/>
    <s v="Supplier payment made"/>
    <x v="273"/>
    <s v="1591.54"/>
    <x v="0"/>
    <x v="0"/>
  </r>
  <r>
    <n v="777"/>
    <x v="122"/>
    <s v="Sales invoice issued"/>
    <x v="500"/>
    <s v="0.0"/>
    <x v="2"/>
    <x v="0"/>
  </r>
  <r>
    <n v="777"/>
    <x v="122"/>
    <s v="Sales invoice issued"/>
    <x v="273"/>
    <s v="2975.22"/>
    <x v="3"/>
    <x v="2"/>
  </r>
  <r>
    <n v="777"/>
    <x v="122"/>
    <s v="Sales invoice issued"/>
    <x v="273"/>
    <s v="223.15"/>
    <x v="4"/>
    <x v="3"/>
  </r>
  <r>
    <n v="778"/>
    <x v="122"/>
    <s v="Sales invoice issued"/>
    <x v="501"/>
    <s v="0.0"/>
    <x v="2"/>
    <x v="0"/>
  </r>
  <r>
    <n v="778"/>
    <x v="122"/>
    <s v="Sales invoice issued"/>
    <x v="273"/>
    <s v="589.48"/>
    <x v="3"/>
    <x v="2"/>
  </r>
  <r>
    <n v="778"/>
    <x v="122"/>
    <s v="Sales invoice issued"/>
    <x v="273"/>
    <s v="44.21"/>
    <x v="4"/>
    <x v="3"/>
  </r>
  <r>
    <n v="779"/>
    <x v="122"/>
    <s v="Supplier payment made"/>
    <x v="310"/>
    <s v="0.0"/>
    <x v="11"/>
    <x v="3"/>
  </r>
  <r>
    <n v="779"/>
    <x v="122"/>
    <s v="Supplier payment made"/>
    <x v="273"/>
    <s v="276.32"/>
    <x v="0"/>
    <x v="0"/>
  </r>
  <r>
    <n v="780"/>
    <x v="122"/>
    <s v="Supplier payment made"/>
    <x v="350"/>
    <s v="0.0"/>
    <x v="11"/>
    <x v="3"/>
  </r>
  <r>
    <n v="780"/>
    <x v="122"/>
    <s v="Supplier payment made"/>
    <x v="273"/>
    <s v="1794.11"/>
    <x v="0"/>
    <x v="0"/>
  </r>
  <r>
    <n v="781"/>
    <x v="123"/>
    <s v="Payroll processed"/>
    <x v="502"/>
    <s v="0.0"/>
    <x v="5"/>
    <x v="4"/>
  </r>
  <r>
    <n v="781"/>
    <x v="123"/>
    <s v="Payroll processed"/>
    <x v="503"/>
    <s v="0.0"/>
    <x v="6"/>
    <x v="4"/>
  </r>
  <r>
    <n v="781"/>
    <x v="123"/>
    <s v="Payroll processed"/>
    <x v="273"/>
    <s v="17640.43"/>
    <x v="0"/>
    <x v="0"/>
  </r>
  <r>
    <n v="781"/>
    <x v="123"/>
    <s v="Payroll processed"/>
    <x v="273"/>
    <s v="3870.65"/>
    <x v="7"/>
    <x v="3"/>
  </r>
  <r>
    <n v="781"/>
    <x v="123"/>
    <s v="Payroll processed"/>
    <x v="273"/>
    <s v="860.45"/>
    <x v="8"/>
    <x v="3"/>
  </r>
  <r>
    <n v="782"/>
    <x v="123"/>
    <s v="Customer payment received"/>
    <x v="343"/>
    <s v="0.0"/>
    <x v="0"/>
    <x v="0"/>
  </r>
  <r>
    <n v="782"/>
    <x v="123"/>
    <s v="Customer payment received"/>
    <x v="273"/>
    <s v="3354.47"/>
    <x v="2"/>
    <x v="0"/>
  </r>
  <r>
    <n v="783"/>
    <x v="123"/>
    <s v="Customer payment received"/>
    <x v="457"/>
    <s v="0.0"/>
    <x v="0"/>
    <x v="0"/>
  </r>
  <r>
    <n v="783"/>
    <x v="123"/>
    <s v="Customer payment received"/>
    <x v="273"/>
    <s v="1881.63"/>
    <x v="2"/>
    <x v="0"/>
  </r>
  <r>
    <n v="784"/>
    <x v="123"/>
    <s v="Supplier invoice received"/>
    <x v="297"/>
    <s v="0.0"/>
    <x v="9"/>
    <x v="4"/>
  </r>
  <r>
    <n v="784"/>
    <x v="123"/>
    <s v="Supplier invoice received"/>
    <x v="298"/>
    <s v="0.0"/>
    <x v="10"/>
    <x v="0"/>
  </r>
  <r>
    <n v="784"/>
    <x v="123"/>
    <s v="Supplier invoice received"/>
    <x v="273"/>
    <s v="3528.97"/>
    <x v="11"/>
    <x v="3"/>
  </r>
  <r>
    <n v="785"/>
    <x v="123"/>
    <s v="Supplier payment made"/>
    <x v="504"/>
    <s v="0.0"/>
    <x v="11"/>
    <x v="3"/>
  </r>
  <r>
    <n v="785"/>
    <x v="123"/>
    <s v="Supplier payment made"/>
    <x v="273"/>
    <s v="1958.74"/>
    <x v="0"/>
    <x v="0"/>
  </r>
  <r>
    <n v="786"/>
    <x v="123"/>
    <s v="Supplier payment made"/>
    <x v="313"/>
    <s v="0.0"/>
    <x v="11"/>
    <x v="3"/>
  </r>
  <r>
    <n v="786"/>
    <x v="123"/>
    <s v="Supplier payment made"/>
    <x v="273"/>
    <s v="1159.84"/>
    <x v="0"/>
    <x v="0"/>
  </r>
  <r>
    <n v="787"/>
    <x v="124"/>
    <s v="Sales invoice issued"/>
    <x v="505"/>
    <s v="0.0"/>
    <x v="2"/>
    <x v="0"/>
  </r>
  <r>
    <n v="787"/>
    <x v="124"/>
    <s v="Sales invoice issued"/>
    <x v="273"/>
    <s v="2944.8"/>
    <x v="3"/>
    <x v="2"/>
  </r>
  <r>
    <n v="787"/>
    <x v="124"/>
    <s v="Sales invoice issued"/>
    <x v="273"/>
    <s v="220.86"/>
    <x v="4"/>
    <x v="3"/>
  </r>
  <r>
    <n v="788"/>
    <x v="124"/>
    <s v="Sales invoice issued"/>
    <x v="506"/>
    <s v="0.0"/>
    <x v="2"/>
    <x v="0"/>
  </r>
  <r>
    <n v="788"/>
    <x v="124"/>
    <s v="Sales invoice issued"/>
    <x v="273"/>
    <s v="3625.06"/>
    <x v="3"/>
    <x v="2"/>
  </r>
  <r>
    <n v="788"/>
    <x v="124"/>
    <s v="Sales invoice issued"/>
    <x v="273"/>
    <s v="271.88"/>
    <x v="4"/>
    <x v="3"/>
  </r>
  <r>
    <n v="789"/>
    <x v="124"/>
    <s v="Sales invoice issued"/>
    <x v="507"/>
    <s v="0.0"/>
    <x v="2"/>
    <x v="0"/>
  </r>
  <r>
    <n v="789"/>
    <x v="124"/>
    <s v="Sales invoice issued"/>
    <x v="273"/>
    <s v="1701.17"/>
    <x v="3"/>
    <x v="2"/>
  </r>
  <r>
    <n v="789"/>
    <x v="124"/>
    <s v="Sales invoice issued"/>
    <x v="273"/>
    <s v="127.58"/>
    <x v="4"/>
    <x v="3"/>
  </r>
  <r>
    <n v="790"/>
    <x v="124"/>
    <s v="Sales invoice issued"/>
    <x v="508"/>
    <s v="0.0"/>
    <x v="2"/>
    <x v="0"/>
  </r>
  <r>
    <n v="790"/>
    <x v="124"/>
    <s v="Sales invoice issued"/>
    <x v="273"/>
    <s v="141.54"/>
    <x v="3"/>
    <x v="2"/>
  </r>
  <r>
    <n v="790"/>
    <x v="124"/>
    <s v="Sales invoice issued"/>
    <x v="273"/>
    <s v="10.62"/>
    <x v="4"/>
    <x v="3"/>
  </r>
  <r>
    <n v="791"/>
    <x v="124"/>
    <s v="Sales invoice issued"/>
    <x v="509"/>
    <s v="0.0"/>
    <x v="2"/>
    <x v="0"/>
  </r>
  <r>
    <n v="791"/>
    <x v="124"/>
    <s v="Sales invoice issued"/>
    <x v="273"/>
    <s v="100.48"/>
    <x v="3"/>
    <x v="2"/>
  </r>
  <r>
    <n v="791"/>
    <x v="124"/>
    <s v="Sales invoice issued"/>
    <x v="273"/>
    <s v="7.54"/>
    <x v="4"/>
    <x v="3"/>
  </r>
  <r>
    <n v="792"/>
    <x v="124"/>
    <s v="Customer payment received"/>
    <x v="420"/>
    <s v="0.0"/>
    <x v="0"/>
    <x v="0"/>
  </r>
  <r>
    <n v="792"/>
    <x v="124"/>
    <s v="Customer payment received"/>
    <x v="273"/>
    <s v="2745.58"/>
    <x v="2"/>
    <x v="0"/>
  </r>
  <r>
    <n v="793"/>
    <x v="124"/>
    <s v="Customer payment received"/>
    <x v="437"/>
    <s v="0.0"/>
    <x v="0"/>
    <x v="0"/>
  </r>
  <r>
    <n v="793"/>
    <x v="124"/>
    <s v="Customer payment received"/>
    <x v="273"/>
    <s v="6711.02"/>
    <x v="2"/>
    <x v="0"/>
  </r>
  <r>
    <n v="794"/>
    <x v="124"/>
    <s v="Supplier invoice received"/>
    <x v="303"/>
    <s v="0.0"/>
    <x v="9"/>
    <x v="4"/>
  </r>
  <r>
    <n v="794"/>
    <x v="124"/>
    <s v="Supplier invoice received"/>
    <x v="304"/>
    <s v="0.0"/>
    <x v="10"/>
    <x v="0"/>
  </r>
  <r>
    <n v="794"/>
    <x v="124"/>
    <s v="Supplier invoice received"/>
    <x v="273"/>
    <s v="550.4"/>
    <x v="11"/>
    <x v="3"/>
  </r>
  <r>
    <n v="795"/>
    <x v="124"/>
    <s v="Supplier payment made"/>
    <x v="393"/>
    <s v="0.0"/>
    <x v="11"/>
    <x v="3"/>
  </r>
  <r>
    <n v="795"/>
    <x v="124"/>
    <s v="Supplier payment made"/>
    <x v="273"/>
    <s v="412.54"/>
    <x v="0"/>
    <x v="0"/>
  </r>
  <r>
    <n v="796"/>
    <x v="124"/>
    <s v="Supplier payment made"/>
    <x v="318"/>
    <s v="0.0"/>
    <x v="11"/>
    <x v="3"/>
  </r>
  <r>
    <n v="796"/>
    <x v="124"/>
    <s v="Supplier payment made"/>
    <x v="273"/>
    <s v="2504.23"/>
    <x v="0"/>
    <x v="0"/>
  </r>
  <r>
    <n v="797"/>
    <x v="125"/>
    <s v="Sales invoice issued"/>
    <x v="510"/>
    <s v="0.0"/>
    <x v="2"/>
    <x v="0"/>
  </r>
  <r>
    <n v="797"/>
    <x v="125"/>
    <s v="Sales invoice issued"/>
    <x v="273"/>
    <s v="1661.64"/>
    <x v="3"/>
    <x v="2"/>
  </r>
  <r>
    <n v="797"/>
    <x v="125"/>
    <s v="Sales invoice issued"/>
    <x v="273"/>
    <s v="124.62"/>
    <x v="4"/>
    <x v="3"/>
  </r>
  <r>
    <n v="798"/>
    <x v="125"/>
    <s v="Sales invoice issued"/>
    <x v="511"/>
    <s v="0.0"/>
    <x v="2"/>
    <x v="0"/>
  </r>
  <r>
    <n v="798"/>
    <x v="125"/>
    <s v="Sales invoice issued"/>
    <x v="273"/>
    <s v="4616.67"/>
    <x v="3"/>
    <x v="2"/>
  </r>
  <r>
    <n v="798"/>
    <x v="125"/>
    <s v="Sales invoice issued"/>
    <x v="273"/>
    <s v="346.26"/>
    <x v="4"/>
    <x v="3"/>
  </r>
  <r>
    <n v="799"/>
    <x v="125"/>
    <s v="Customer payment received"/>
    <x v="293"/>
    <s v="0.0"/>
    <x v="0"/>
    <x v="0"/>
  </r>
  <r>
    <n v="799"/>
    <x v="125"/>
    <s v="Customer payment received"/>
    <x v="273"/>
    <s v="3394.45"/>
    <x v="2"/>
    <x v="0"/>
  </r>
  <r>
    <n v="800"/>
    <x v="125"/>
    <s v="Customer payment received"/>
    <x v="348"/>
    <s v="0.0"/>
    <x v="0"/>
    <x v="0"/>
  </r>
  <r>
    <n v="800"/>
    <x v="125"/>
    <s v="Customer payment received"/>
    <x v="273"/>
    <s v="5242.46"/>
    <x v="2"/>
    <x v="0"/>
  </r>
  <r>
    <n v="801"/>
    <x v="125"/>
    <s v="Customer payment received"/>
    <x v="402"/>
    <s v="0.0"/>
    <x v="0"/>
    <x v="0"/>
  </r>
  <r>
    <n v="801"/>
    <x v="125"/>
    <s v="Customer payment received"/>
    <x v="273"/>
    <s v="3544.18"/>
    <x v="2"/>
    <x v="0"/>
  </r>
  <r>
    <n v="802"/>
    <x v="125"/>
    <s v="Customer payment received"/>
    <x v="413"/>
    <s v="0.0"/>
    <x v="0"/>
    <x v="0"/>
  </r>
  <r>
    <n v="802"/>
    <x v="125"/>
    <s v="Customer payment received"/>
    <x v="273"/>
    <s v="1887.99"/>
    <x v="2"/>
    <x v="0"/>
  </r>
  <r>
    <n v="803"/>
    <x v="125"/>
    <s v="Customer payment received"/>
    <x v="417"/>
    <s v="0.0"/>
    <x v="0"/>
    <x v="0"/>
  </r>
  <r>
    <n v="803"/>
    <x v="125"/>
    <s v="Customer payment received"/>
    <x v="273"/>
    <s v="1653.11"/>
    <x v="2"/>
    <x v="0"/>
  </r>
  <r>
    <n v="804"/>
    <x v="125"/>
    <s v="Customer payment received"/>
    <x v="423"/>
    <s v="0.0"/>
    <x v="0"/>
    <x v="0"/>
  </r>
  <r>
    <n v="804"/>
    <x v="125"/>
    <s v="Customer payment received"/>
    <x v="273"/>
    <s v="2259.61"/>
    <x v="2"/>
    <x v="0"/>
  </r>
  <r>
    <n v="805"/>
    <x v="125"/>
    <s v="Customer payment received"/>
    <x v="497"/>
    <s v="0.0"/>
    <x v="0"/>
    <x v="0"/>
  </r>
  <r>
    <n v="805"/>
    <x v="125"/>
    <s v="Customer payment received"/>
    <x v="273"/>
    <s v="1500.19"/>
    <x v="2"/>
    <x v="0"/>
  </r>
  <r>
    <n v="806"/>
    <x v="125"/>
    <s v="Supplier invoice received"/>
    <x v="441"/>
    <s v="0.0"/>
    <x v="9"/>
    <x v="4"/>
  </r>
  <r>
    <n v="806"/>
    <x v="125"/>
    <s v="Supplier invoice received"/>
    <x v="442"/>
    <s v="0.0"/>
    <x v="10"/>
    <x v="0"/>
  </r>
  <r>
    <n v="806"/>
    <x v="125"/>
    <s v="Supplier invoice received"/>
    <x v="273"/>
    <s v="179.01"/>
    <x v="11"/>
    <x v="3"/>
  </r>
  <r>
    <n v="807"/>
    <x v="125"/>
    <s v="Supplier invoice received"/>
    <x v="383"/>
    <s v="0.0"/>
    <x v="9"/>
    <x v="4"/>
  </r>
  <r>
    <n v="807"/>
    <x v="125"/>
    <s v="Supplier invoice received"/>
    <x v="384"/>
    <s v="0.0"/>
    <x v="10"/>
    <x v="0"/>
  </r>
  <r>
    <n v="807"/>
    <x v="125"/>
    <s v="Supplier invoice received"/>
    <x v="273"/>
    <s v="3868.8"/>
    <x v="11"/>
    <x v="3"/>
  </r>
  <r>
    <n v="808"/>
    <x v="125"/>
    <s v="Supplier invoice received"/>
    <x v="330"/>
    <s v="0.0"/>
    <x v="9"/>
    <x v="4"/>
  </r>
  <r>
    <n v="808"/>
    <x v="125"/>
    <s v="Supplier invoice received"/>
    <x v="331"/>
    <s v="0.0"/>
    <x v="10"/>
    <x v="0"/>
  </r>
  <r>
    <n v="808"/>
    <x v="125"/>
    <s v="Supplier invoice received"/>
    <x v="273"/>
    <s v="1935.04"/>
    <x v="11"/>
    <x v="3"/>
  </r>
  <r>
    <n v="809"/>
    <x v="125"/>
    <s v="Supplier invoice received"/>
    <x v="338"/>
    <s v="0.0"/>
    <x v="9"/>
    <x v="4"/>
  </r>
  <r>
    <n v="809"/>
    <x v="125"/>
    <s v="Supplier invoice received"/>
    <x v="339"/>
    <s v="0.0"/>
    <x v="10"/>
    <x v="0"/>
  </r>
  <r>
    <n v="809"/>
    <x v="125"/>
    <s v="Supplier invoice received"/>
    <x v="273"/>
    <s v="1159.84"/>
    <x v="11"/>
    <x v="3"/>
  </r>
  <r>
    <n v="810"/>
    <x v="125"/>
    <s v="Supplier invoice received"/>
    <x v="325"/>
    <s v="0.0"/>
    <x v="9"/>
    <x v="4"/>
  </r>
  <r>
    <n v="810"/>
    <x v="125"/>
    <s v="Supplier invoice received"/>
    <x v="326"/>
    <s v="0.0"/>
    <x v="10"/>
    <x v="0"/>
  </r>
  <r>
    <n v="810"/>
    <x v="125"/>
    <s v="Supplier invoice received"/>
    <x v="273"/>
    <s v="1304.62"/>
    <x v="11"/>
    <x v="3"/>
  </r>
  <r>
    <n v="811"/>
    <x v="125"/>
    <s v="Supplier invoice received"/>
    <x v="366"/>
    <s v="0.0"/>
    <x v="9"/>
    <x v="4"/>
  </r>
  <r>
    <n v="811"/>
    <x v="125"/>
    <s v="Supplier invoice received"/>
    <x v="367"/>
    <s v="0.0"/>
    <x v="10"/>
    <x v="0"/>
  </r>
  <r>
    <n v="811"/>
    <x v="125"/>
    <s v="Supplier invoice received"/>
    <x v="273"/>
    <s v="201.5"/>
    <x v="11"/>
    <x v="3"/>
  </r>
  <r>
    <n v="812"/>
    <x v="126"/>
    <s v="Sales invoice issued"/>
    <x v="512"/>
    <s v="0.0"/>
    <x v="2"/>
    <x v="0"/>
  </r>
  <r>
    <n v="812"/>
    <x v="126"/>
    <s v="Sales invoice issued"/>
    <x v="273"/>
    <s v="2953.74"/>
    <x v="3"/>
    <x v="2"/>
  </r>
  <r>
    <n v="812"/>
    <x v="126"/>
    <s v="Sales invoice issued"/>
    <x v="273"/>
    <s v="221.53"/>
    <x v="4"/>
    <x v="3"/>
  </r>
  <r>
    <n v="813"/>
    <x v="126"/>
    <s v="Sales invoice issued"/>
    <x v="513"/>
    <s v="0.0"/>
    <x v="2"/>
    <x v="0"/>
  </r>
  <r>
    <n v="813"/>
    <x v="126"/>
    <s v="Sales invoice issued"/>
    <x v="273"/>
    <s v="5207.55"/>
    <x v="3"/>
    <x v="2"/>
  </r>
  <r>
    <n v="813"/>
    <x v="126"/>
    <s v="Sales invoice issued"/>
    <x v="273"/>
    <s v="390.57"/>
    <x v="4"/>
    <x v="3"/>
  </r>
  <r>
    <n v="814"/>
    <x v="126"/>
    <s v="Customer payment received"/>
    <x v="314"/>
    <s v="0.0"/>
    <x v="0"/>
    <x v="0"/>
  </r>
  <r>
    <n v="814"/>
    <x v="126"/>
    <s v="Customer payment received"/>
    <x v="273"/>
    <s v="2098.45"/>
    <x v="2"/>
    <x v="0"/>
  </r>
  <r>
    <n v="815"/>
    <x v="126"/>
    <s v="Customer payment received"/>
    <x v="514"/>
    <s v="0.0"/>
    <x v="0"/>
    <x v="0"/>
  </r>
  <r>
    <n v="815"/>
    <x v="126"/>
    <s v="Customer payment received"/>
    <x v="273"/>
    <s v="1911.3"/>
    <x v="2"/>
    <x v="0"/>
  </r>
  <r>
    <n v="816"/>
    <x v="126"/>
    <s v="Customer payment received"/>
    <x v="465"/>
    <s v="0.0"/>
    <x v="0"/>
    <x v="0"/>
  </r>
  <r>
    <n v="816"/>
    <x v="126"/>
    <s v="Customer payment received"/>
    <x v="273"/>
    <s v="1925.19"/>
    <x v="2"/>
    <x v="0"/>
  </r>
  <r>
    <n v="817"/>
    <x v="126"/>
    <s v="Customer payment received"/>
    <x v="501"/>
    <s v="0.0"/>
    <x v="0"/>
    <x v="0"/>
  </r>
  <r>
    <n v="817"/>
    <x v="126"/>
    <s v="Customer payment received"/>
    <x v="273"/>
    <s v="633.69"/>
    <x v="2"/>
    <x v="0"/>
  </r>
  <r>
    <n v="818"/>
    <x v="126"/>
    <s v="Supplier invoice received"/>
    <x v="307"/>
    <s v="0.0"/>
    <x v="9"/>
    <x v="4"/>
  </r>
  <r>
    <n v="818"/>
    <x v="126"/>
    <s v="Supplier invoice received"/>
    <x v="308"/>
    <s v="0.0"/>
    <x v="10"/>
    <x v="0"/>
  </r>
  <r>
    <n v="818"/>
    <x v="126"/>
    <s v="Supplier invoice received"/>
    <x v="273"/>
    <s v="2093.28"/>
    <x v="11"/>
    <x v="3"/>
  </r>
  <r>
    <n v="819"/>
    <x v="126"/>
    <s v="Supplier payment made"/>
    <x v="335"/>
    <s v="0.0"/>
    <x v="11"/>
    <x v="3"/>
  </r>
  <r>
    <n v="819"/>
    <x v="126"/>
    <s v="Supplier payment made"/>
    <x v="273"/>
    <s v="550.4"/>
    <x v="0"/>
    <x v="0"/>
  </r>
  <r>
    <n v="820"/>
    <x v="126"/>
    <s v="Supplier payment made"/>
    <x v="515"/>
    <s v="0.0"/>
    <x v="11"/>
    <x v="3"/>
  </r>
  <r>
    <n v="820"/>
    <x v="126"/>
    <s v="Supplier payment made"/>
    <x v="273"/>
    <s v="862.91"/>
    <x v="0"/>
    <x v="0"/>
  </r>
  <r>
    <n v="821"/>
    <x v="126"/>
    <s v="Supplier payment made"/>
    <x v="335"/>
    <s v="0.0"/>
    <x v="11"/>
    <x v="3"/>
  </r>
  <r>
    <n v="821"/>
    <x v="126"/>
    <s v="Supplier payment made"/>
    <x v="273"/>
    <s v="550.4"/>
    <x v="0"/>
    <x v="0"/>
  </r>
  <r>
    <n v="822"/>
    <x v="126"/>
    <s v="Supplier payment made"/>
    <x v="334"/>
    <s v="0.0"/>
    <x v="11"/>
    <x v="3"/>
  </r>
  <r>
    <n v="822"/>
    <x v="126"/>
    <s v="Supplier payment made"/>
    <x v="273"/>
    <s v="3528.97"/>
    <x v="0"/>
    <x v="0"/>
  </r>
  <r>
    <n v="823"/>
    <x v="127"/>
    <s v="Sales invoice issued"/>
    <x v="516"/>
    <s v="0.0"/>
    <x v="2"/>
    <x v="0"/>
  </r>
  <r>
    <n v="823"/>
    <x v="127"/>
    <s v="Sales invoice issued"/>
    <x v="273"/>
    <s v="2506.97"/>
    <x v="3"/>
    <x v="2"/>
  </r>
  <r>
    <n v="823"/>
    <x v="127"/>
    <s v="Sales invoice issued"/>
    <x v="273"/>
    <s v="188.02"/>
    <x v="4"/>
    <x v="3"/>
  </r>
  <r>
    <n v="824"/>
    <x v="127"/>
    <s v="Sales invoice issued"/>
    <x v="517"/>
    <s v="0.0"/>
    <x v="2"/>
    <x v="0"/>
  </r>
  <r>
    <n v="824"/>
    <x v="127"/>
    <s v="Sales invoice issued"/>
    <x v="273"/>
    <s v="3295.46"/>
    <x v="3"/>
    <x v="2"/>
  </r>
  <r>
    <n v="824"/>
    <x v="127"/>
    <s v="Sales invoice issued"/>
    <x v="273"/>
    <s v="247.16"/>
    <x v="4"/>
    <x v="3"/>
  </r>
  <r>
    <n v="825"/>
    <x v="127"/>
    <s v="Sales invoice issued"/>
    <x v="518"/>
    <s v="0.0"/>
    <x v="2"/>
    <x v="0"/>
  </r>
  <r>
    <n v="825"/>
    <x v="127"/>
    <s v="Sales invoice issued"/>
    <x v="273"/>
    <s v="1759.91"/>
    <x v="3"/>
    <x v="2"/>
  </r>
  <r>
    <n v="825"/>
    <x v="127"/>
    <s v="Sales invoice issued"/>
    <x v="273"/>
    <s v="131.99"/>
    <x v="4"/>
    <x v="3"/>
  </r>
  <r>
    <n v="826"/>
    <x v="127"/>
    <s v="Sales invoice issued"/>
    <x v="519"/>
    <s v="0.0"/>
    <x v="2"/>
    <x v="0"/>
  </r>
  <r>
    <n v="826"/>
    <x v="127"/>
    <s v="Sales invoice issued"/>
    <x v="273"/>
    <s v="1227.15"/>
    <x v="3"/>
    <x v="2"/>
  </r>
  <r>
    <n v="826"/>
    <x v="127"/>
    <s v="Sales invoice issued"/>
    <x v="273"/>
    <s v="92.03"/>
    <x v="4"/>
    <x v="3"/>
  </r>
  <r>
    <n v="827"/>
    <x v="127"/>
    <s v="Customer payment received"/>
    <x v="386"/>
    <s v="0.0"/>
    <x v="0"/>
    <x v="0"/>
  </r>
  <r>
    <n v="827"/>
    <x v="127"/>
    <s v="Customer payment received"/>
    <x v="273"/>
    <s v="1253.24"/>
    <x v="2"/>
    <x v="0"/>
  </r>
  <r>
    <n v="828"/>
    <x v="127"/>
    <s v="Customer payment received"/>
    <x v="484"/>
    <s v="0.0"/>
    <x v="0"/>
    <x v="0"/>
  </r>
  <r>
    <n v="828"/>
    <x v="127"/>
    <s v="Customer payment received"/>
    <x v="273"/>
    <s v="612.86"/>
    <x v="2"/>
    <x v="0"/>
  </r>
  <r>
    <n v="829"/>
    <x v="127"/>
    <s v="Customer payment received"/>
    <x v="489"/>
    <s v="0.0"/>
    <x v="0"/>
    <x v="0"/>
  </r>
  <r>
    <n v="829"/>
    <x v="127"/>
    <s v="Customer payment received"/>
    <x v="273"/>
    <s v="2352.04"/>
    <x v="2"/>
    <x v="0"/>
  </r>
  <r>
    <n v="830"/>
    <x v="128"/>
    <s v="Sales invoice issued"/>
    <x v="520"/>
    <s v="0.0"/>
    <x v="2"/>
    <x v="0"/>
  </r>
  <r>
    <n v="830"/>
    <x v="128"/>
    <s v="Sales invoice issued"/>
    <x v="273"/>
    <s v="3859.09"/>
    <x v="3"/>
    <x v="2"/>
  </r>
  <r>
    <n v="830"/>
    <x v="128"/>
    <s v="Sales invoice issued"/>
    <x v="273"/>
    <s v="289.43"/>
    <x v="4"/>
    <x v="3"/>
  </r>
  <r>
    <n v="831"/>
    <x v="128"/>
    <s v="Sales invoice issued"/>
    <x v="521"/>
    <s v="0.0"/>
    <x v="2"/>
    <x v="0"/>
  </r>
  <r>
    <n v="831"/>
    <x v="128"/>
    <s v="Sales invoice issued"/>
    <x v="273"/>
    <s v="90.24"/>
    <x v="3"/>
    <x v="2"/>
  </r>
  <r>
    <n v="831"/>
    <x v="128"/>
    <s v="Sales invoice issued"/>
    <x v="273"/>
    <s v="6.77"/>
    <x v="4"/>
    <x v="3"/>
  </r>
  <r>
    <n v="832"/>
    <x v="128"/>
    <s v="Sales invoice issued"/>
    <x v="522"/>
    <s v="0.0"/>
    <x v="2"/>
    <x v="0"/>
  </r>
  <r>
    <n v="832"/>
    <x v="128"/>
    <s v="Sales invoice issued"/>
    <x v="273"/>
    <s v="1860.46"/>
    <x v="3"/>
    <x v="2"/>
  </r>
  <r>
    <n v="832"/>
    <x v="128"/>
    <s v="Sales invoice issued"/>
    <x v="273"/>
    <s v="139.53"/>
    <x v="4"/>
    <x v="3"/>
  </r>
  <r>
    <n v="833"/>
    <x v="128"/>
    <s v="Supplier payment made"/>
    <x v="407"/>
    <s v="0.0"/>
    <x v="11"/>
    <x v="3"/>
  </r>
  <r>
    <n v="833"/>
    <x v="128"/>
    <s v="Supplier payment made"/>
    <x v="273"/>
    <s v="201.5"/>
    <x v="0"/>
    <x v="0"/>
  </r>
  <r>
    <n v="834"/>
    <x v="129"/>
    <s v="Sales invoice issued"/>
    <x v="523"/>
    <s v="0.0"/>
    <x v="2"/>
    <x v="0"/>
  </r>
  <r>
    <n v="834"/>
    <x v="129"/>
    <s v="Sales invoice issued"/>
    <x v="273"/>
    <s v="2068.38"/>
    <x v="3"/>
    <x v="2"/>
  </r>
  <r>
    <n v="834"/>
    <x v="129"/>
    <s v="Sales invoice issued"/>
    <x v="273"/>
    <s v="155.13"/>
    <x v="4"/>
    <x v="3"/>
  </r>
  <r>
    <n v="835"/>
    <x v="129"/>
    <s v="Sales invoice issued"/>
    <x v="509"/>
    <s v="0.0"/>
    <x v="2"/>
    <x v="0"/>
  </r>
  <r>
    <n v="835"/>
    <x v="129"/>
    <s v="Sales invoice issued"/>
    <x v="273"/>
    <s v="100.48"/>
    <x v="3"/>
    <x v="2"/>
  </r>
  <r>
    <n v="835"/>
    <x v="129"/>
    <s v="Sales invoice issued"/>
    <x v="273"/>
    <s v="7.54"/>
    <x v="4"/>
    <x v="3"/>
  </r>
  <r>
    <n v="836"/>
    <x v="129"/>
    <s v="Customer payment received"/>
    <x v="524"/>
    <s v="0.0"/>
    <x v="0"/>
    <x v="0"/>
  </r>
  <r>
    <n v="836"/>
    <x v="129"/>
    <s v="Customer payment received"/>
    <x v="273"/>
    <s v="2919.53"/>
    <x v="2"/>
    <x v="0"/>
  </r>
  <r>
    <n v="837"/>
    <x v="129"/>
    <s v="Customer payment received"/>
    <x v="507"/>
    <s v="0.0"/>
    <x v="0"/>
    <x v="0"/>
  </r>
  <r>
    <n v="837"/>
    <x v="129"/>
    <s v="Customer payment received"/>
    <x v="273"/>
    <s v="1828.75"/>
    <x v="2"/>
    <x v="0"/>
  </r>
  <r>
    <n v="838"/>
    <x v="129"/>
    <s v="Supplier payment made"/>
    <x v="353"/>
    <s v="0.0"/>
    <x v="11"/>
    <x v="3"/>
  </r>
  <r>
    <n v="838"/>
    <x v="129"/>
    <s v="Supplier payment made"/>
    <x v="273"/>
    <s v="2918.17"/>
    <x v="0"/>
    <x v="0"/>
  </r>
  <r>
    <n v="839"/>
    <x v="129"/>
    <s v="Supplier payment made"/>
    <x v="313"/>
    <s v="0.0"/>
    <x v="11"/>
    <x v="3"/>
  </r>
  <r>
    <n v="839"/>
    <x v="129"/>
    <s v="Supplier payment made"/>
    <x v="273"/>
    <s v="1159.84"/>
    <x v="0"/>
    <x v="0"/>
  </r>
  <r>
    <n v="840"/>
    <x v="130"/>
    <s v="Depreciation â€” POS System"/>
    <x v="425"/>
    <s v="0.0"/>
    <x v="12"/>
    <x v="4"/>
  </r>
  <r>
    <n v="840"/>
    <x v="130"/>
    <s v="Depreciation â€” POS System"/>
    <x v="273"/>
    <s v="93.61"/>
    <x v="13"/>
    <x v="0"/>
  </r>
  <r>
    <n v="841"/>
    <x v="130"/>
    <s v="Depreciation â€” Laptop x2"/>
    <x v="426"/>
    <s v="0.0"/>
    <x v="12"/>
    <x v="4"/>
  </r>
  <r>
    <n v="841"/>
    <x v="130"/>
    <s v="Depreciation â€” Laptop x2"/>
    <x v="273"/>
    <s v="76.86"/>
    <x v="13"/>
    <x v="0"/>
  </r>
  <r>
    <n v="842"/>
    <x v="130"/>
    <s v="Depreciation â€” Printer/Scanner"/>
    <x v="427"/>
    <s v="0.0"/>
    <x v="12"/>
    <x v="4"/>
  </r>
  <r>
    <n v="842"/>
    <x v="130"/>
    <s v="Depreciation â€” Printer/Scanner"/>
    <x v="273"/>
    <s v="20.03"/>
    <x v="13"/>
    <x v="0"/>
  </r>
  <r>
    <n v="843"/>
    <x v="130"/>
    <s v="Depreciation â€” Shop Shelving"/>
    <x v="428"/>
    <s v="0.0"/>
    <x v="12"/>
    <x v="4"/>
  </r>
  <r>
    <n v="843"/>
    <x v="130"/>
    <s v="Depreciation â€” Shop Shelving"/>
    <x v="273"/>
    <s v="86.89"/>
    <x v="14"/>
    <x v="0"/>
  </r>
  <r>
    <n v="844"/>
    <x v="130"/>
    <s v="Depreciation â€” Display Stands"/>
    <x v="429"/>
    <s v="0.0"/>
    <x v="12"/>
    <x v="4"/>
  </r>
  <r>
    <n v="844"/>
    <x v="130"/>
    <s v="Depreciation â€” Display Stands"/>
    <x v="273"/>
    <s v="76.8"/>
    <x v="14"/>
    <x v="0"/>
  </r>
  <r>
    <n v="845"/>
    <x v="130"/>
    <s v="Depreciation â€” Counter &amp; Checkout"/>
    <x v="430"/>
    <s v="0.0"/>
    <x v="12"/>
    <x v="4"/>
  </r>
  <r>
    <n v="845"/>
    <x v="130"/>
    <s v="Depreciation â€” Counter &amp; Checkout"/>
    <x v="273"/>
    <s v="48.28"/>
    <x v="14"/>
    <x v="0"/>
  </r>
  <r>
    <n v="846"/>
    <x v="130"/>
    <s v="Depreciation â€” Signage"/>
    <x v="431"/>
    <s v="0.0"/>
    <x v="12"/>
    <x v="4"/>
  </r>
  <r>
    <n v="846"/>
    <x v="130"/>
    <s v="Depreciation â€” Signage"/>
    <x v="273"/>
    <s v="53.21"/>
    <x v="14"/>
    <x v="0"/>
  </r>
  <r>
    <n v="847"/>
    <x v="130"/>
    <s v="Depreciation â€” Delivery Van"/>
    <x v="432"/>
    <s v="0.0"/>
    <x v="12"/>
    <x v="4"/>
  </r>
  <r>
    <n v="847"/>
    <x v="130"/>
    <s v="Depreciation â€” Delivery Van"/>
    <x v="273"/>
    <s v="232.19"/>
    <x v="15"/>
    <x v="0"/>
  </r>
  <r>
    <n v="848"/>
    <x v="130"/>
    <s v="Depreciation â€” Security System"/>
    <x v="433"/>
    <s v="0.0"/>
    <x v="12"/>
    <x v="4"/>
  </r>
  <r>
    <n v="848"/>
    <x v="130"/>
    <s v="Depreciation â€” Security System"/>
    <x v="273"/>
    <s v="43.85"/>
    <x v="13"/>
    <x v="0"/>
  </r>
  <r>
    <n v="849"/>
    <x v="131"/>
    <s v="Sales invoice issued"/>
    <x v="525"/>
    <s v="0.0"/>
    <x v="2"/>
    <x v="0"/>
  </r>
  <r>
    <n v="849"/>
    <x v="131"/>
    <s v="Sales invoice issued"/>
    <x v="273"/>
    <s v="2481.65"/>
    <x v="3"/>
    <x v="2"/>
  </r>
  <r>
    <n v="849"/>
    <x v="131"/>
    <s v="Sales invoice issued"/>
    <x v="273"/>
    <s v="186.11"/>
    <x v="4"/>
    <x v="3"/>
  </r>
  <r>
    <n v="850"/>
    <x v="131"/>
    <s v="Customer payment received"/>
    <x v="458"/>
    <s v="0.0"/>
    <x v="0"/>
    <x v="0"/>
  </r>
  <r>
    <n v="850"/>
    <x v="131"/>
    <s v="Customer payment received"/>
    <x v="273"/>
    <s v="1138.6"/>
    <x v="2"/>
    <x v="0"/>
  </r>
  <r>
    <n v="851"/>
    <x v="131"/>
    <s v="Customer payment received"/>
    <x v="469"/>
    <s v="0.0"/>
    <x v="0"/>
    <x v="0"/>
  </r>
  <r>
    <n v="851"/>
    <x v="131"/>
    <s v="Customer payment received"/>
    <x v="273"/>
    <s v="4175.78"/>
    <x v="2"/>
    <x v="0"/>
  </r>
  <r>
    <n v="852"/>
    <x v="131"/>
    <s v="Customer payment received"/>
    <x v="526"/>
    <s v="0.0"/>
    <x v="0"/>
    <x v="0"/>
  </r>
  <r>
    <n v="852"/>
    <x v="131"/>
    <s v="Customer payment received"/>
    <x v="273"/>
    <s v="1113.03"/>
    <x v="2"/>
    <x v="0"/>
  </r>
  <r>
    <n v="853"/>
    <x v="131"/>
    <s v="Supplier invoice received"/>
    <x v="295"/>
    <s v="0.0"/>
    <x v="9"/>
    <x v="4"/>
  </r>
  <r>
    <n v="853"/>
    <x v="131"/>
    <s v="Supplier invoice received"/>
    <x v="296"/>
    <s v="0.0"/>
    <x v="10"/>
    <x v="0"/>
  </r>
  <r>
    <n v="853"/>
    <x v="131"/>
    <s v="Supplier invoice received"/>
    <x v="273"/>
    <s v="1766.46"/>
    <x v="11"/>
    <x v="3"/>
  </r>
  <r>
    <n v="854"/>
    <x v="131"/>
    <s v="Supplier invoice received"/>
    <x v="374"/>
    <s v="0.0"/>
    <x v="9"/>
    <x v="4"/>
  </r>
  <r>
    <n v="854"/>
    <x v="131"/>
    <s v="Supplier invoice received"/>
    <x v="375"/>
    <s v="0.0"/>
    <x v="10"/>
    <x v="0"/>
  </r>
  <r>
    <n v="854"/>
    <x v="131"/>
    <s v="Supplier invoice received"/>
    <x v="273"/>
    <s v="2504.23"/>
    <x v="11"/>
    <x v="3"/>
  </r>
  <r>
    <n v="855"/>
    <x v="131"/>
    <s v="Supplier invoice received"/>
    <x v="332"/>
    <s v="0.0"/>
    <x v="9"/>
    <x v="4"/>
  </r>
  <r>
    <n v="855"/>
    <x v="131"/>
    <s v="Supplier invoice received"/>
    <x v="333"/>
    <s v="0.0"/>
    <x v="10"/>
    <x v="0"/>
  </r>
  <r>
    <n v="855"/>
    <x v="131"/>
    <s v="Supplier invoice received"/>
    <x v="273"/>
    <s v="1023.42"/>
    <x v="11"/>
    <x v="3"/>
  </r>
  <r>
    <n v="856"/>
    <x v="131"/>
    <s v="Supplier invoice received"/>
    <x v="372"/>
    <s v="0.0"/>
    <x v="9"/>
    <x v="4"/>
  </r>
  <r>
    <n v="856"/>
    <x v="131"/>
    <s v="Supplier invoice received"/>
    <x v="373"/>
    <s v="0.0"/>
    <x v="10"/>
    <x v="0"/>
  </r>
  <r>
    <n v="856"/>
    <x v="131"/>
    <s v="Supplier invoice received"/>
    <x v="273"/>
    <s v="412.54"/>
    <x v="11"/>
    <x v="3"/>
  </r>
  <r>
    <n v="857"/>
    <x v="131"/>
    <s v="Supplier invoice received"/>
    <x v="461"/>
    <s v="0.0"/>
    <x v="9"/>
    <x v="4"/>
  </r>
  <r>
    <n v="857"/>
    <x v="131"/>
    <s v="Supplier invoice received"/>
    <x v="462"/>
    <s v="0.0"/>
    <x v="10"/>
    <x v="0"/>
  </r>
  <r>
    <n v="857"/>
    <x v="131"/>
    <s v="Supplier invoice received"/>
    <x v="273"/>
    <s v="2182.41"/>
    <x v="11"/>
    <x v="3"/>
  </r>
  <r>
    <n v="858"/>
    <x v="131"/>
    <s v="Supplier payment made"/>
    <x v="335"/>
    <s v="0.0"/>
    <x v="11"/>
    <x v="3"/>
  </r>
  <r>
    <n v="858"/>
    <x v="131"/>
    <s v="Supplier payment made"/>
    <x v="273"/>
    <s v="550.4"/>
    <x v="0"/>
    <x v="0"/>
  </r>
  <r>
    <n v="859"/>
    <x v="131"/>
    <s v="Supplier payment made"/>
    <x v="466"/>
    <s v="0.0"/>
    <x v="11"/>
    <x v="3"/>
  </r>
  <r>
    <n v="859"/>
    <x v="131"/>
    <s v="Supplier payment made"/>
    <x v="273"/>
    <s v="748.26"/>
    <x v="0"/>
    <x v="0"/>
  </r>
  <r>
    <n v="860"/>
    <x v="131"/>
    <s v="Supplier payment made"/>
    <x v="352"/>
    <s v="0.0"/>
    <x v="11"/>
    <x v="3"/>
  </r>
  <r>
    <n v="860"/>
    <x v="131"/>
    <s v="Supplier payment made"/>
    <x v="273"/>
    <s v="9336.67"/>
    <x v="0"/>
    <x v="0"/>
  </r>
  <r>
    <n v="861"/>
    <x v="131"/>
    <s v="Supplier payment made"/>
    <x v="335"/>
    <s v="0.0"/>
    <x v="11"/>
    <x v="3"/>
  </r>
  <r>
    <n v="861"/>
    <x v="131"/>
    <s v="Supplier payment made"/>
    <x v="273"/>
    <s v="550.4"/>
    <x v="0"/>
    <x v="0"/>
  </r>
  <r>
    <n v="862"/>
    <x v="131"/>
    <s v="Supplier payment made"/>
    <x v="408"/>
    <s v="0.0"/>
    <x v="11"/>
    <x v="3"/>
  </r>
  <r>
    <n v="862"/>
    <x v="131"/>
    <s v="Supplier payment made"/>
    <x v="273"/>
    <s v="3868.8"/>
    <x v="0"/>
    <x v="0"/>
  </r>
  <r>
    <n v="863"/>
    <x v="132"/>
    <s v="Sales invoice issued"/>
    <x v="527"/>
    <s v="0.0"/>
    <x v="2"/>
    <x v="0"/>
  </r>
  <r>
    <n v="863"/>
    <x v="132"/>
    <s v="Sales invoice issued"/>
    <x v="273"/>
    <s v="2729.9"/>
    <x v="3"/>
    <x v="2"/>
  </r>
  <r>
    <n v="863"/>
    <x v="132"/>
    <s v="Sales invoice issued"/>
    <x v="273"/>
    <s v="204.73"/>
    <x v="4"/>
    <x v="3"/>
  </r>
  <r>
    <n v="864"/>
    <x v="132"/>
    <s v="Sales invoice issued"/>
    <x v="528"/>
    <s v="0.0"/>
    <x v="2"/>
    <x v="0"/>
  </r>
  <r>
    <n v="864"/>
    <x v="132"/>
    <s v="Sales invoice issued"/>
    <x v="273"/>
    <s v="4155.41"/>
    <x v="3"/>
    <x v="2"/>
  </r>
  <r>
    <n v="864"/>
    <x v="132"/>
    <s v="Sales invoice issued"/>
    <x v="273"/>
    <s v="311.65"/>
    <x v="4"/>
    <x v="3"/>
  </r>
  <r>
    <n v="865"/>
    <x v="132"/>
    <s v="Sales invoice issued"/>
    <x v="529"/>
    <s v="0.0"/>
    <x v="2"/>
    <x v="0"/>
  </r>
  <r>
    <n v="865"/>
    <x v="132"/>
    <s v="Sales invoice issued"/>
    <x v="273"/>
    <s v="4142.58"/>
    <x v="3"/>
    <x v="2"/>
  </r>
  <r>
    <n v="865"/>
    <x v="132"/>
    <s v="Sales invoice issued"/>
    <x v="273"/>
    <s v="310.7"/>
    <x v="4"/>
    <x v="3"/>
  </r>
  <r>
    <n v="866"/>
    <x v="132"/>
    <s v="Sales invoice issued"/>
    <x v="530"/>
    <s v="0.0"/>
    <x v="2"/>
    <x v="0"/>
  </r>
  <r>
    <n v="866"/>
    <x v="132"/>
    <s v="Sales invoice issued"/>
    <x v="273"/>
    <s v="5755.21"/>
    <x v="3"/>
    <x v="2"/>
  </r>
  <r>
    <n v="866"/>
    <x v="132"/>
    <s v="Sales invoice issued"/>
    <x v="273"/>
    <s v="431.65"/>
    <x v="4"/>
    <x v="3"/>
  </r>
  <r>
    <n v="867"/>
    <x v="132"/>
    <s v="Sales invoice issued"/>
    <x v="531"/>
    <s v="0.0"/>
    <x v="2"/>
    <x v="0"/>
  </r>
  <r>
    <n v="867"/>
    <x v="132"/>
    <s v="Sales invoice issued"/>
    <x v="273"/>
    <s v="2091.14"/>
    <x v="3"/>
    <x v="2"/>
  </r>
  <r>
    <n v="867"/>
    <x v="132"/>
    <s v="Sales invoice issued"/>
    <x v="273"/>
    <s v="156.84"/>
    <x v="4"/>
    <x v="3"/>
  </r>
  <r>
    <n v="868"/>
    <x v="132"/>
    <s v="Customer payment received"/>
    <x v="389"/>
    <s v="0.0"/>
    <x v="0"/>
    <x v="0"/>
  </r>
  <r>
    <n v="868"/>
    <x v="132"/>
    <s v="Customer payment received"/>
    <x v="273"/>
    <s v="2099.33"/>
    <x v="2"/>
    <x v="0"/>
  </r>
  <r>
    <n v="869"/>
    <x v="132"/>
    <s v="Customer payment received"/>
    <x v="399"/>
    <s v="0.0"/>
    <x v="0"/>
    <x v="0"/>
  </r>
  <r>
    <n v="869"/>
    <x v="132"/>
    <s v="Customer payment received"/>
    <x v="273"/>
    <s v="1390.91"/>
    <x v="2"/>
    <x v="0"/>
  </r>
  <r>
    <n v="870"/>
    <x v="132"/>
    <s v="Customer payment received"/>
    <x v="418"/>
    <s v="0.0"/>
    <x v="0"/>
    <x v="0"/>
  </r>
  <r>
    <n v="870"/>
    <x v="132"/>
    <s v="Customer payment received"/>
    <x v="273"/>
    <s v="3054.0"/>
    <x v="2"/>
    <x v="0"/>
  </r>
  <r>
    <n v="871"/>
    <x v="132"/>
    <s v="Customer payment received"/>
    <x v="519"/>
    <s v="0.0"/>
    <x v="0"/>
    <x v="0"/>
  </r>
  <r>
    <n v="871"/>
    <x v="132"/>
    <s v="Customer payment received"/>
    <x v="273"/>
    <s v="1319.18"/>
    <x v="2"/>
    <x v="0"/>
  </r>
  <r>
    <n v="872"/>
    <x v="132"/>
    <s v="Supplier payment made"/>
    <x v="351"/>
    <s v="0.0"/>
    <x v="11"/>
    <x v="3"/>
  </r>
  <r>
    <n v="872"/>
    <x v="132"/>
    <s v="Supplier payment made"/>
    <x v="273"/>
    <s v="179.01"/>
    <x v="0"/>
    <x v="0"/>
  </r>
  <r>
    <n v="873"/>
    <x v="132"/>
    <s v="Supplier payment made"/>
    <x v="327"/>
    <s v="0.0"/>
    <x v="11"/>
    <x v="3"/>
  </r>
  <r>
    <n v="873"/>
    <x v="132"/>
    <s v="Supplier payment made"/>
    <x v="273"/>
    <s v="1935.04"/>
    <x v="0"/>
    <x v="0"/>
  </r>
  <r>
    <n v="874"/>
    <x v="133"/>
    <s v="Sales invoice issued"/>
    <x v="532"/>
    <s v="0.0"/>
    <x v="2"/>
    <x v="0"/>
  </r>
  <r>
    <n v="874"/>
    <x v="133"/>
    <s v="Sales invoice issued"/>
    <x v="273"/>
    <s v="2393.44"/>
    <x v="3"/>
    <x v="2"/>
  </r>
  <r>
    <n v="874"/>
    <x v="133"/>
    <s v="Sales invoice issued"/>
    <x v="273"/>
    <s v="179.51"/>
    <x v="4"/>
    <x v="3"/>
  </r>
  <r>
    <n v="875"/>
    <x v="133"/>
    <s v="Sales invoice issued"/>
    <x v="533"/>
    <s v="0.0"/>
    <x v="2"/>
    <x v="0"/>
  </r>
  <r>
    <n v="875"/>
    <x v="133"/>
    <s v="Sales invoice issued"/>
    <x v="273"/>
    <s v="2588.54"/>
    <x v="3"/>
    <x v="2"/>
  </r>
  <r>
    <n v="875"/>
    <x v="133"/>
    <s v="Sales invoice issued"/>
    <x v="273"/>
    <s v="194.14"/>
    <x v="4"/>
    <x v="3"/>
  </r>
  <r>
    <n v="876"/>
    <x v="133"/>
    <s v="Sales invoice issued"/>
    <x v="534"/>
    <s v="0.0"/>
    <x v="2"/>
    <x v="0"/>
  </r>
  <r>
    <n v="876"/>
    <x v="133"/>
    <s v="Sales invoice issued"/>
    <x v="273"/>
    <s v="706.98"/>
    <x v="3"/>
    <x v="2"/>
  </r>
  <r>
    <n v="876"/>
    <x v="133"/>
    <s v="Sales invoice issued"/>
    <x v="273"/>
    <s v="53.02"/>
    <x v="4"/>
    <x v="3"/>
  </r>
  <r>
    <n v="877"/>
    <x v="133"/>
    <s v="Customer payment received"/>
    <x v="435"/>
    <s v="0.0"/>
    <x v="0"/>
    <x v="0"/>
  </r>
  <r>
    <n v="877"/>
    <x v="133"/>
    <s v="Customer payment received"/>
    <x v="273"/>
    <s v="2075.19"/>
    <x v="2"/>
    <x v="0"/>
  </r>
  <r>
    <n v="878"/>
    <x v="133"/>
    <s v="Customer payment received"/>
    <x v="436"/>
    <s v="0.0"/>
    <x v="0"/>
    <x v="0"/>
  </r>
  <r>
    <n v="878"/>
    <x v="133"/>
    <s v="Customer payment received"/>
    <x v="273"/>
    <s v="2284.67"/>
    <x v="2"/>
    <x v="0"/>
  </r>
  <r>
    <n v="879"/>
    <x v="133"/>
    <s v="Customer payment received"/>
    <x v="492"/>
    <s v="0.0"/>
    <x v="0"/>
    <x v="0"/>
  </r>
  <r>
    <n v="879"/>
    <x v="133"/>
    <s v="Customer payment received"/>
    <x v="273"/>
    <s v="3784.16"/>
    <x v="2"/>
    <x v="0"/>
  </r>
  <r>
    <n v="880"/>
    <x v="133"/>
    <s v="Supplier payment made"/>
    <x v="496"/>
    <s v="0.0"/>
    <x v="11"/>
    <x v="3"/>
  </r>
  <r>
    <n v="880"/>
    <x v="133"/>
    <s v="Supplier payment made"/>
    <x v="273"/>
    <s v="7227.44"/>
    <x v="0"/>
    <x v="0"/>
  </r>
  <r>
    <n v="881"/>
    <x v="133"/>
    <s v="Supplier payment made"/>
    <x v="340"/>
    <s v="0.0"/>
    <x v="11"/>
    <x v="3"/>
  </r>
  <r>
    <n v="881"/>
    <x v="133"/>
    <s v="Supplier payment made"/>
    <x v="273"/>
    <s v="1304.62"/>
    <x v="0"/>
    <x v="0"/>
  </r>
  <r>
    <n v="882"/>
    <x v="133"/>
    <s v="Supplier payment made"/>
    <x v="318"/>
    <s v="0.0"/>
    <x v="11"/>
    <x v="3"/>
  </r>
  <r>
    <n v="882"/>
    <x v="133"/>
    <s v="Supplier payment made"/>
    <x v="273"/>
    <s v="2504.23"/>
    <x v="0"/>
    <x v="0"/>
  </r>
  <r>
    <n v="883"/>
    <x v="134"/>
    <s v="Payroll processed"/>
    <x v="535"/>
    <s v="0.0"/>
    <x v="5"/>
    <x v="4"/>
  </r>
  <r>
    <n v="883"/>
    <x v="134"/>
    <s v="Payroll processed"/>
    <x v="536"/>
    <s v="0.0"/>
    <x v="6"/>
    <x v="4"/>
  </r>
  <r>
    <n v="883"/>
    <x v="134"/>
    <s v="Payroll processed"/>
    <x v="273"/>
    <s v="17968.47"/>
    <x v="0"/>
    <x v="0"/>
  </r>
  <r>
    <n v="883"/>
    <x v="134"/>
    <s v="Payroll processed"/>
    <x v="273"/>
    <s v="4069.27"/>
    <x v="7"/>
    <x v="3"/>
  </r>
  <r>
    <n v="883"/>
    <x v="134"/>
    <s v="Payroll processed"/>
    <x v="273"/>
    <s v="881.51"/>
    <x v="8"/>
    <x v="3"/>
  </r>
  <r>
    <n v="884"/>
    <x v="135"/>
    <s v="Sales invoice issued"/>
    <x v="537"/>
    <s v="0.0"/>
    <x v="2"/>
    <x v="0"/>
  </r>
  <r>
    <n v="884"/>
    <x v="135"/>
    <s v="Sales invoice issued"/>
    <x v="273"/>
    <s v="2336.61"/>
    <x v="3"/>
    <x v="2"/>
  </r>
  <r>
    <n v="884"/>
    <x v="135"/>
    <s v="Sales invoice issued"/>
    <x v="273"/>
    <s v="175.25"/>
    <x v="4"/>
    <x v="3"/>
  </r>
  <r>
    <n v="885"/>
    <x v="135"/>
    <s v="Sales invoice issued"/>
    <x v="538"/>
    <s v="0.0"/>
    <x v="2"/>
    <x v="0"/>
  </r>
  <r>
    <n v="885"/>
    <x v="135"/>
    <s v="Sales invoice issued"/>
    <x v="273"/>
    <s v="2339.83"/>
    <x v="3"/>
    <x v="2"/>
  </r>
  <r>
    <n v="885"/>
    <x v="135"/>
    <s v="Sales invoice issued"/>
    <x v="273"/>
    <s v="175.49"/>
    <x v="4"/>
    <x v="3"/>
  </r>
  <r>
    <n v="886"/>
    <x v="135"/>
    <s v="Customer payment received"/>
    <x v="387"/>
    <s v="0.0"/>
    <x v="0"/>
    <x v="0"/>
  </r>
  <r>
    <n v="886"/>
    <x v="135"/>
    <s v="Customer payment received"/>
    <x v="273"/>
    <s v="976.95"/>
    <x v="2"/>
    <x v="0"/>
  </r>
  <r>
    <n v="887"/>
    <x v="135"/>
    <s v="Customer payment received"/>
    <x v="509"/>
    <s v="0.0"/>
    <x v="0"/>
    <x v="0"/>
  </r>
  <r>
    <n v="887"/>
    <x v="135"/>
    <s v="Customer payment received"/>
    <x v="273"/>
    <s v="108.02"/>
    <x v="2"/>
    <x v="0"/>
  </r>
  <r>
    <n v="888"/>
    <x v="135"/>
    <s v="Supplier invoice received"/>
    <x v="405"/>
    <s v="0.0"/>
    <x v="9"/>
    <x v="4"/>
  </r>
  <r>
    <n v="888"/>
    <x v="135"/>
    <s v="Supplier invoice received"/>
    <x v="406"/>
    <s v="0.0"/>
    <x v="10"/>
    <x v="0"/>
  </r>
  <r>
    <n v="888"/>
    <x v="135"/>
    <s v="Supplier invoice received"/>
    <x v="273"/>
    <s v="2635.36"/>
    <x v="11"/>
    <x v="3"/>
  </r>
  <r>
    <n v="889"/>
    <x v="135"/>
    <s v="Supplier invoice received"/>
    <x v="338"/>
    <s v="0.0"/>
    <x v="9"/>
    <x v="4"/>
  </r>
  <r>
    <n v="889"/>
    <x v="135"/>
    <s v="Supplier invoice received"/>
    <x v="339"/>
    <s v="0.0"/>
    <x v="10"/>
    <x v="0"/>
  </r>
  <r>
    <n v="889"/>
    <x v="135"/>
    <s v="Supplier invoice received"/>
    <x v="273"/>
    <s v="1159.84"/>
    <x v="11"/>
    <x v="3"/>
  </r>
  <r>
    <n v="890"/>
    <x v="135"/>
    <s v="Supplier payment made"/>
    <x v="280"/>
    <s v="0.0"/>
    <x v="11"/>
    <x v="3"/>
  </r>
  <r>
    <n v="890"/>
    <x v="135"/>
    <s v="Supplier payment made"/>
    <x v="273"/>
    <s v="2635.36"/>
    <x v="0"/>
    <x v="0"/>
  </r>
  <r>
    <n v="891"/>
    <x v="136"/>
    <s v="Sales invoice issued"/>
    <x v="539"/>
    <s v="0.0"/>
    <x v="2"/>
    <x v="0"/>
  </r>
  <r>
    <n v="891"/>
    <x v="136"/>
    <s v="Sales invoice issued"/>
    <x v="273"/>
    <s v="6451.89"/>
    <x v="3"/>
    <x v="2"/>
  </r>
  <r>
    <n v="891"/>
    <x v="136"/>
    <s v="Sales invoice issued"/>
    <x v="273"/>
    <s v="483.9"/>
    <x v="4"/>
    <x v="3"/>
  </r>
  <r>
    <n v="892"/>
    <x v="136"/>
    <s v="Sales invoice issued"/>
    <x v="540"/>
    <s v="0.0"/>
    <x v="2"/>
    <x v="0"/>
  </r>
  <r>
    <n v="892"/>
    <x v="136"/>
    <s v="Sales invoice issued"/>
    <x v="273"/>
    <s v="2600.83"/>
    <x v="3"/>
    <x v="2"/>
  </r>
  <r>
    <n v="892"/>
    <x v="136"/>
    <s v="Sales invoice issued"/>
    <x v="273"/>
    <s v="195.06"/>
    <x v="4"/>
    <x v="3"/>
  </r>
  <r>
    <n v="893"/>
    <x v="136"/>
    <s v="Customer payment received"/>
    <x v="480"/>
    <s v="0.0"/>
    <x v="0"/>
    <x v="0"/>
  </r>
  <r>
    <n v="893"/>
    <x v="136"/>
    <s v="Customer payment received"/>
    <x v="273"/>
    <s v="1818.21"/>
    <x v="2"/>
    <x v="0"/>
  </r>
  <r>
    <n v="894"/>
    <x v="136"/>
    <s v="Customer payment received"/>
    <x v="541"/>
    <s v="0.0"/>
    <x v="0"/>
    <x v="0"/>
  </r>
  <r>
    <n v="894"/>
    <x v="136"/>
    <s v="Customer payment received"/>
    <x v="273"/>
    <s v="2522.35"/>
    <x v="2"/>
    <x v="0"/>
  </r>
  <r>
    <n v="895"/>
    <x v="136"/>
    <s v="Customer payment received"/>
    <x v="486"/>
    <s v="0.0"/>
    <x v="0"/>
    <x v="0"/>
  </r>
  <r>
    <n v="895"/>
    <x v="136"/>
    <s v="Customer payment received"/>
    <x v="273"/>
    <s v="2553.54"/>
    <x v="2"/>
    <x v="0"/>
  </r>
  <r>
    <n v="896"/>
    <x v="136"/>
    <s v="Customer payment received"/>
    <x v="506"/>
    <s v="0.0"/>
    <x v="0"/>
    <x v="0"/>
  </r>
  <r>
    <n v="896"/>
    <x v="136"/>
    <s v="Customer payment received"/>
    <x v="273"/>
    <s v="3896.94"/>
    <x v="2"/>
    <x v="0"/>
  </r>
  <r>
    <n v="897"/>
    <x v="136"/>
    <s v="Supplier invoice received"/>
    <x v="301"/>
    <s v="0.0"/>
    <x v="9"/>
    <x v="4"/>
  </r>
  <r>
    <n v="897"/>
    <x v="136"/>
    <s v="Supplier invoice received"/>
    <x v="302"/>
    <s v="0.0"/>
    <x v="10"/>
    <x v="0"/>
  </r>
  <r>
    <n v="897"/>
    <x v="136"/>
    <s v="Supplier invoice received"/>
    <x v="273"/>
    <s v="4812.46"/>
    <x v="11"/>
    <x v="3"/>
  </r>
  <r>
    <n v="898"/>
    <x v="136"/>
    <s v="Supplier invoice received"/>
    <x v="297"/>
    <s v="0.0"/>
    <x v="9"/>
    <x v="4"/>
  </r>
  <r>
    <n v="898"/>
    <x v="136"/>
    <s v="Supplier invoice received"/>
    <x v="298"/>
    <s v="0.0"/>
    <x v="10"/>
    <x v="0"/>
  </r>
  <r>
    <n v="898"/>
    <x v="136"/>
    <s v="Supplier invoice received"/>
    <x v="273"/>
    <s v="3528.97"/>
    <x v="11"/>
    <x v="3"/>
  </r>
  <r>
    <n v="899"/>
    <x v="136"/>
    <s v="Supplier payment made"/>
    <x v="504"/>
    <s v="0.0"/>
    <x v="11"/>
    <x v="3"/>
  </r>
  <r>
    <n v="899"/>
    <x v="136"/>
    <s v="Supplier payment made"/>
    <x v="273"/>
    <s v="1958.74"/>
    <x v="0"/>
    <x v="0"/>
  </r>
  <r>
    <n v="900"/>
    <x v="136"/>
    <s v="Supplier payment made"/>
    <x v="309"/>
    <s v="0.0"/>
    <x v="11"/>
    <x v="3"/>
  </r>
  <r>
    <n v="900"/>
    <x v="136"/>
    <s v="Supplier payment made"/>
    <x v="273"/>
    <s v="4812.46"/>
    <x v="0"/>
    <x v="0"/>
  </r>
  <r>
    <n v="901"/>
    <x v="136"/>
    <s v="Supplier payment made"/>
    <x v="336"/>
    <s v="0.0"/>
    <x v="11"/>
    <x v="3"/>
  </r>
  <r>
    <n v="901"/>
    <x v="136"/>
    <s v="Supplier payment made"/>
    <x v="273"/>
    <s v="2093.28"/>
    <x v="0"/>
    <x v="0"/>
  </r>
  <r>
    <n v="902"/>
    <x v="137"/>
    <s v="Sales invoice issued"/>
    <x v="542"/>
    <s v="0.0"/>
    <x v="2"/>
    <x v="0"/>
  </r>
  <r>
    <n v="902"/>
    <x v="137"/>
    <s v="Sales invoice issued"/>
    <x v="273"/>
    <s v="1895.41"/>
    <x v="3"/>
    <x v="2"/>
  </r>
  <r>
    <n v="902"/>
    <x v="137"/>
    <s v="Sales invoice issued"/>
    <x v="273"/>
    <s v="142.16"/>
    <x v="4"/>
    <x v="3"/>
  </r>
  <r>
    <n v="903"/>
    <x v="137"/>
    <s v="Sales invoice issued"/>
    <x v="543"/>
    <s v="0.0"/>
    <x v="2"/>
    <x v="0"/>
  </r>
  <r>
    <n v="903"/>
    <x v="137"/>
    <s v="Sales invoice issued"/>
    <x v="273"/>
    <s v="3100.99"/>
    <x v="3"/>
    <x v="2"/>
  </r>
  <r>
    <n v="903"/>
    <x v="137"/>
    <s v="Sales invoice issued"/>
    <x v="273"/>
    <s v="232.57"/>
    <x v="4"/>
    <x v="3"/>
  </r>
  <r>
    <n v="904"/>
    <x v="137"/>
    <s v="Sales invoice issued"/>
    <x v="544"/>
    <s v="0.0"/>
    <x v="2"/>
    <x v="0"/>
  </r>
  <r>
    <n v="904"/>
    <x v="137"/>
    <s v="Sales invoice issued"/>
    <x v="273"/>
    <s v="1139.89"/>
    <x v="3"/>
    <x v="2"/>
  </r>
  <r>
    <n v="904"/>
    <x v="137"/>
    <s v="Sales invoice issued"/>
    <x v="273"/>
    <s v="85.49"/>
    <x v="4"/>
    <x v="3"/>
  </r>
  <r>
    <n v="905"/>
    <x v="137"/>
    <s v="Customer payment received"/>
    <x v="498"/>
    <s v="0.0"/>
    <x v="0"/>
    <x v="0"/>
  </r>
  <r>
    <n v="905"/>
    <x v="137"/>
    <s v="Customer payment received"/>
    <x v="273"/>
    <s v="2309.03"/>
    <x v="2"/>
    <x v="0"/>
  </r>
  <r>
    <n v="906"/>
    <x v="137"/>
    <s v="Customer payment received"/>
    <x v="516"/>
    <s v="0.0"/>
    <x v="0"/>
    <x v="0"/>
  </r>
  <r>
    <n v="906"/>
    <x v="137"/>
    <s v="Customer payment received"/>
    <x v="273"/>
    <s v="2694.99"/>
    <x v="2"/>
    <x v="0"/>
  </r>
  <r>
    <n v="907"/>
    <x v="137"/>
    <s v="Customer payment received"/>
    <x v="544"/>
    <s v="0.0"/>
    <x v="0"/>
    <x v="0"/>
  </r>
  <r>
    <n v="907"/>
    <x v="137"/>
    <s v="Customer payment received"/>
    <x v="273"/>
    <s v="1225.38"/>
    <x v="2"/>
    <x v="0"/>
  </r>
  <r>
    <n v="908"/>
    <x v="138"/>
    <s v="Sales invoice issued"/>
    <x v="545"/>
    <s v="0.0"/>
    <x v="2"/>
    <x v="0"/>
  </r>
  <r>
    <n v="908"/>
    <x v="138"/>
    <s v="Sales invoice issued"/>
    <x v="273"/>
    <s v="1006.14"/>
    <x v="3"/>
    <x v="2"/>
  </r>
  <r>
    <n v="908"/>
    <x v="138"/>
    <s v="Sales invoice issued"/>
    <x v="273"/>
    <s v="75.46"/>
    <x v="4"/>
    <x v="3"/>
  </r>
  <r>
    <n v="909"/>
    <x v="138"/>
    <s v="Sales invoice issued"/>
    <x v="546"/>
    <s v="0.0"/>
    <x v="2"/>
    <x v="0"/>
  </r>
  <r>
    <n v="909"/>
    <x v="138"/>
    <s v="Sales invoice issued"/>
    <x v="273"/>
    <s v="5779.1"/>
    <x v="3"/>
    <x v="2"/>
  </r>
  <r>
    <n v="909"/>
    <x v="138"/>
    <s v="Sales invoice issued"/>
    <x v="273"/>
    <s v="433.43"/>
    <x v="4"/>
    <x v="3"/>
  </r>
  <r>
    <n v="910"/>
    <x v="138"/>
    <s v="Sales invoice issued"/>
    <x v="547"/>
    <s v="0.0"/>
    <x v="2"/>
    <x v="0"/>
  </r>
  <r>
    <n v="910"/>
    <x v="138"/>
    <s v="Sales invoice issued"/>
    <x v="273"/>
    <s v="4483.02"/>
    <x v="3"/>
    <x v="2"/>
  </r>
  <r>
    <n v="910"/>
    <x v="138"/>
    <s v="Sales invoice issued"/>
    <x v="273"/>
    <s v="336.22"/>
    <x v="4"/>
    <x v="3"/>
  </r>
  <r>
    <n v="911"/>
    <x v="138"/>
    <s v="Sales invoice issued"/>
    <x v="548"/>
    <s v="0.0"/>
    <x v="2"/>
    <x v="0"/>
  </r>
  <r>
    <n v="911"/>
    <x v="138"/>
    <s v="Sales invoice issued"/>
    <x v="273"/>
    <s v="274.75"/>
    <x v="3"/>
    <x v="2"/>
  </r>
  <r>
    <n v="911"/>
    <x v="138"/>
    <s v="Sales invoice issued"/>
    <x v="273"/>
    <s v="20.61"/>
    <x v="4"/>
    <x v="3"/>
  </r>
  <r>
    <n v="912"/>
    <x v="138"/>
    <s v="Customer payment received"/>
    <x v="377"/>
    <s v="0.0"/>
    <x v="0"/>
    <x v="0"/>
  </r>
  <r>
    <n v="912"/>
    <x v="138"/>
    <s v="Customer payment received"/>
    <x v="273"/>
    <s v="2042.13"/>
    <x v="2"/>
    <x v="0"/>
  </r>
  <r>
    <n v="913"/>
    <x v="138"/>
    <s v="Customer payment received"/>
    <x v="453"/>
    <s v="0.0"/>
    <x v="0"/>
    <x v="0"/>
  </r>
  <r>
    <n v="913"/>
    <x v="138"/>
    <s v="Customer payment received"/>
    <x v="273"/>
    <s v="2717.83"/>
    <x v="2"/>
    <x v="0"/>
  </r>
  <r>
    <n v="914"/>
    <x v="138"/>
    <s v="Customer payment received"/>
    <x v="476"/>
    <s v="0.0"/>
    <x v="0"/>
    <x v="0"/>
  </r>
  <r>
    <n v="914"/>
    <x v="138"/>
    <s v="Customer payment received"/>
    <x v="273"/>
    <s v="169.99"/>
    <x v="2"/>
    <x v="0"/>
  </r>
  <r>
    <n v="915"/>
    <x v="139"/>
    <s v="Sales invoice issued"/>
    <x v="549"/>
    <s v="0.0"/>
    <x v="2"/>
    <x v="0"/>
  </r>
  <r>
    <n v="915"/>
    <x v="139"/>
    <s v="Sales invoice issued"/>
    <x v="273"/>
    <s v="1933.54"/>
    <x v="3"/>
    <x v="2"/>
  </r>
  <r>
    <n v="915"/>
    <x v="139"/>
    <s v="Sales invoice issued"/>
    <x v="273"/>
    <s v="145.02"/>
    <x v="4"/>
    <x v="3"/>
  </r>
  <r>
    <n v="916"/>
    <x v="139"/>
    <s v="Sales invoice issued"/>
    <x v="550"/>
    <s v="0.0"/>
    <x v="2"/>
    <x v="0"/>
  </r>
  <r>
    <n v="916"/>
    <x v="139"/>
    <s v="Sales invoice issued"/>
    <x v="273"/>
    <s v="1470.63"/>
    <x v="3"/>
    <x v="2"/>
  </r>
  <r>
    <n v="916"/>
    <x v="139"/>
    <s v="Sales invoice issued"/>
    <x v="273"/>
    <s v="110.29"/>
    <x v="4"/>
    <x v="3"/>
  </r>
  <r>
    <n v="917"/>
    <x v="139"/>
    <s v="Customer payment received"/>
    <x v="499"/>
    <s v="0.0"/>
    <x v="0"/>
    <x v="0"/>
  </r>
  <r>
    <n v="917"/>
    <x v="139"/>
    <s v="Customer payment received"/>
    <x v="273"/>
    <s v="1055.12"/>
    <x v="2"/>
    <x v="0"/>
  </r>
  <r>
    <n v="918"/>
    <x v="139"/>
    <s v="Customer payment received"/>
    <x v="513"/>
    <s v="0.0"/>
    <x v="0"/>
    <x v="0"/>
  </r>
  <r>
    <n v="918"/>
    <x v="139"/>
    <s v="Customer payment received"/>
    <x v="273"/>
    <s v="5598.12"/>
    <x v="2"/>
    <x v="0"/>
  </r>
  <r>
    <n v="919"/>
    <x v="139"/>
    <s v="Customer payment received"/>
    <x v="518"/>
    <s v="0.0"/>
    <x v="0"/>
    <x v="0"/>
  </r>
  <r>
    <n v="919"/>
    <x v="139"/>
    <s v="Customer payment received"/>
    <x v="273"/>
    <s v="1891.9"/>
    <x v="2"/>
    <x v="0"/>
  </r>
  <r>
    <n v="920"/>
    <x v="139"/>
    <s v="Customer payment received"/>
    <x v="543"/>
    <s v="0.0"/>
    <x v="0"/>
    <x v="0"/>
  </r>
  <r>
    <n v="920"/>
    <x v="139"/>
    <s v="Customer payment received"/>
    <x v="273"/>
    <s v="3333.56"/>
    <x v="2"/>
    <x v="0"/>
  </r>
  <r>
    <n v="921"/>
    <x v="139"/>
    <s v="Supplier payment made"/>
    <x v="407"/>
    <s v="0.0"/>
    <x v="11"/>
    <x v="3"/>
  </r>
  <r>
    <n v="921"/>
    <x v="139"/>
    <s v="Supplier payment made"/>
    <x v="273"/>
    <s v="201.5"/>
    <x v="0"/>
    <x v="0"/>
  </r>
  <r>
    <n v="922"/>
    <x v="139"/>
    <s v="Supplier payment made"/>
    <x v="313"/>
    <s v="0.0"/>
    <x v="11"/>
    <x v="3"/>
  </r>
  <r>
    <n v="922"/>
    <x v="139"/>
    <s v="Supplier payment made"/>
    <x v="273"/>
    <s v="1159.84"/>
    <x v="0"/>
    <x v="0"/>
  </r>
  <r>
    <n v="923"/>
    <x v="140"/>
    <s v="Sales invoice issued"/>
    <x v="551"/>
    <s v="0.0"/>
    <x v="2"/>
    <x v="0"/>
  </r>
  <r>
    <n v="923"/>
    <x v="140"/>
    <s v="Sales invoice issued"/>
    <x v="273"/>
    <s v="161.76"/>
    <x v="3"/>
    <x v="2"/>
  </r>
  <r>
    <n v="923"/>
    <x v="140"/>
    <s v="Sales invoice issued"/>
    <x v="273"/>
    <s v="12.13"/>
    <x v="4"/>
    <x v="3"/>
  </r>
  <r>
    <n v="924"/>
    <x v="140"/>
    <s v="Sales invoice issued"/>
    <x v="552"/>
    <s v="0.0"/>
    <x v="2"/>
    <x v="0"/>
  </r>
  <r>
    <n v="924"/>
    <x v="140"/>
    <s v="Sales invoice issued"/>
    <x v="273"/>
    <s v="2240.94"/>
    <x v="3"/>
    <x v="2"/>
  </r>
  <r>
    <n v="924"/>
    <x v="140"/>
    <s v="Sales invoice issued"/>
    <x v="273"/>
    <s v="168.08"/>
    <x v="4"/>
    <x v="3"/>
  </r>
  <r>
    <n v="925"/>
    <x v="140"/>
    <s v="Sales invoice issued"/>
    <x v="553"/>
    <s v="0.0"/>
    <x v="2"/>
    <x v="0"/>
  </r>
  <r>
    <n v="925"/>
    <x v="140"/>
    <s v="Sales invoice issued"/>
    <x v="273"/>
    <s v="842.91"/>
    <x v="3"/>
    <x v="2"/>
  </r>
  <r>
    <n v="925"/>
    <x v="140"/>
    <s v="Sales invoice issued"/>
    <x v="273"/>
    <s v="63.22"/>
    <x v="4"/>
    <x v="3"/>
  </r>
  <r>
    <n v="926"/>
    <x v="140"/>
    <s v="Sales invoice issued"/>
    <x v="554"/>
    <s v="0.0"/>
    <x v="2"/>
    <x v="0"/>
  </r>
  <r>
    <n v="926"/>
    <x v="140"/>
    <s v="Sales invoice issued"/>
    <x v="273"/>
    <s v="3242.4"/>
    <x v="3"/>
    <x v="2"/>
  </r>
  <r>
    <n v="926"/>
    <x v="140"/>
    <s v="Sales invoice issued"/>
    <x v="273"/>
    <s v="243.18"/>
    <x v="4"/>
    <x v="3"/>
  </r>
  <r>
    <n v="927"/>
    <x v="140"/>
    <s v="Customer payment received"/>
    <x v="528"/>
    <s v="0.0"/>
    <x v="0"/>
    <x v="0"/>
  </r>
  <r>
    <n v="927"/>
    <x v="140"/>
    <s v="Customer payment received"/>
    <x v="273"/>
    <s v="4467.06"/>
    <x v="2"/>
    <x v="0"/>
  </r>
  <r>
    <n v="928"/>
    <x v="140"/>
    <s v="Supplier invoice received"/>
    <x v="374"/>
    <s v="0.0"/>
    <x v="9"/>
    <x v="4"/>
  </r>
  <r>
    <n v="928"/>
    <x v="140"/>
    <s v="Supplier invoice received"/>
    <x v="375"/>
    <s v="0.0"/>
    <x v="10"/>
    <x v="0"/>
  </r>
  <r>
    <n v="928"/>
    <x v="140"/>
    <s v="Supplier invoice received"/>
    <x v="273"/>
    <s v="2504.23"/>
    <x v="11"/>
    <x v="3"/>
  </r>
  <r>
    <n v="929"/>
    <x v="140"/>
    <s v="Supplier invoice received"/>
    <x v="332"/>
    <s v="0.0"/>
    <x v="9"/>
    <x v="4"/>
  </r>
  <r>
    <n v="929"/>
    <x v="140"/>
    <s v="Supplier invoice received"/>
    <x v="333"/>
    <s v="0.0"/>
    <x v="10"/>
    <x v="0"/>
  </r>
  <r>
    <n v="929"/>
    <x v="140"/>
    <s v="Supplier invoice received"/>
    <x v="273"/>
    <s v="1023.42"/>
    <x v="11"/>
    <x v="3"/>
  </r>
  <r>
    <n v="930"/>
    <x v="141"/>
    <s v="Sales invoice issued"/>
    <x v="555"/>
    <s v="0.0"/>
    <x v="2"/>
    <x v="0"/>
  </r>
  <r>
    <n v="930"/>
    <x v="141"/>
    <s v="Sales invoice issued"/>
    <x v="273"/>
    <s v="3432.02"/>
    <x v="3"/>
    <x v="2"/>
  </r>
  <r>
    <n v="930"/>
    <x v="141"/>
    <s v="Sales invoice issued"/>
    <x v="273"/>
    <s v="257.4"/>
    <x v="4"/>
    <x v="3"/>
  </r>
  <r>
    <n v="931"/>
    <x v="141"/>
    <s v="Sales invoice issued"/>
    <x v="556"/>
    <s v="0.0"/>
    <x v="2"/>
    <x v="0"/>
  </r>
  <r>
    <n v="931"/>
    <x v="141"/>
    <s v="Sales invoice issued"/>
    <x v="273"/>
    <s v="522.1"/>
    <x v="3"/>
    <x v="2"/>
  </r>
  <r>
    <n v="931"/>
    <x v="141"/>
    <s v="Sales invoice issued"/>
    <x v="273"/>
    <s v="39.15"/>
    <x v="4"/>
    <x v="3"/>
  </r>
  <r>
    <n v="932"/>
    <x v="141"/>
    <s v="Sales invoice issued"/>
    <x v="557"/>
    <s v="0.0"/>
    <x v="2"/>
    <x v="0"/>
  </r>
  <r>
    <n v="932"/>
    <x v="141"/>
    <s v="Sales invoice issued"/>
    <x v="273"/>
    <s v="1028.32"/>
    <x v="3"/>
    <x v="2"/>
  </r>
  <r>
    <n v="932"/>
    <x v="141"/>
    <s v="Sales invoice issued"/>
    <x v="273"/>
    <s v="77.12"/>
    <x v="4"/>
    <x v="3"/>
  </r>
  <r>
    <n v="933"/>
    <x v="141"/>
    <s v="Sales invoice issued"/>
    <x v="558"/>
    <s v="0.0"/>
    <x v="2"/>
    <x v="0"/>
  </r>
  <r>
    <n v="933"/>
    <x v="141"/>
    <s v="Sales invoice issued"/>
    <x v="273"/>
    <s v="2376.83"/>
    <x v="3"/>
    <x v="2"/>
  </r>
  <r>
    <n v="933"/>
    <x v="141"/>
    <s v="Sales invoice issued"/>
    <x v="273"/>
    <s v="178.27"/>
    <x v="4"/>
    <x v="3"/>
  </r>
  <r>
    <n v="934"/>
    <x v="141"/>
    <s v="Customer payment received"/>
    <x v="337"/>
    <s v="0.0"/>
    <x v="0"/>
    <x v="0"/>
  </r>
  <r>
    <n v="934"/>
    <x v="141"/>
    <s v="Customer payment received"/>
    <x v="273"/>
    <s v="2144.7"/>
    <x v="2"/>
    <x v="0"/>
  </r>
  <r>
    <n v="935"/>
    <x v="141"/>
    <s v="Customer payment received"/>
    <x v="556"/>
    <s v="0.0"/>
    <x v="0"/>
    <x v="0"/>
  </r>
  <r>
    <n v="935"/>
    <x v="141"/>
    <s v="Customer payment received"/>
    <x v="273"/>
    <s v="561.25"/>
    <x v="2"/>
    <x v="0"/>
  </r>
  <r>
    <n v="936"/>
    <x v="141"/>
    <s v="Supplier invoice received"/>
    <x v="303"/>
    <s v="0.0"/>
    <x v="9"/>
    <x v="4"/>
  </r>
  <r>
    <n v="936"/>
    <x v="141"/>
    <s v="Supplier invoice received"/>
    <x v="304"/>
    <s v="0.0"/>
    <x v="10"/>
    <x v="0"/>
  </r>
  <r>
    <n v="936"/>
    <x v="141"/>
    <s v="Supplier invoice received"/>
    <x v="273"/>
    <s v="550.4"/>
    <x v="11"/>
    <x v="3"/>
  </r>
  <r>
    <n v="937"/>
    <x v="141"/>
    <s v="Supplier invoice received"/>
    <x v="330"/>
    <s v="0.0"/>
    <x v="9"/>
    <x v="4"/>
  </r>
  <r>
    <n v="937"/>
    <x v="141"/>
    <s v="Supplier invoice received"/>
    <x v="331"/>
    <s v="0.0"/>
    <x v="10"/>
    <x v="0"/>
  </r>
  <r>
    <n v="937"/>
    <x v="141"/>
    <s v="Supplier invoice received"/>
    <x v="273"/>
    <s v="1935.04"/>
    <x v="11"/>
    <x v="3"/>
  </r>
  <r>
    <n v="938"/>
    <x v="141"/>
    <s v="Supplier invoice received"/>
    <x v="366"/>
    <s v="0.0"/>
    <x v="9"/>
    <x v="4"/>
  </r>
  <r>
    <n v="938"/>
    <x v="141"/>
    <s v="Supplier invoice received"/>
    <x v="367"/>
    <s v="0.0"/>
    <x v="10"/>
    <x v="0"/>
  </r>
  <r>
    <n v="938"/>
    <x v="141"/>
    <s v="Supplier invoice received"/>
    <x v="273"/>
    <s v="201.5"/>
    <x v="11"/>
    <x v="3"/>
  </r>
  <r>
    <n v="939"/>
    <x v="141"/>
    <s v="Supplier invoice received"/>
    <x v="307"/>
    <s v="0.0"/>
    <x v="9"/>
    <x v="4"/>
  </r>
  <r>
    <n v="939"/>
    <x v="141"/>
    <s v="Supplier invoice received"/>
    <x v="308"/>
    <s v="0.0"/>
    <x v="10"/>
    <x v="0"/>
  </r>
  <r>
    <n v="939"/>
    <x v="141"/>
    <s v="Supplier invoice received"/>
    <x v="273"/>
    <s v="2093.28"/>
    <x v="11"/>
    <x v="3"/>
  </r>
  <r>
    <n v="940"/>
    <x v="141"/>
    <s v="Supplier invoice received"/>
    <x v="299"/>
    <s v="0.0"/>
    <x v="9"/>
    <x v="4"/>
  </r>
  <r>
    <n v="940"/>
    <x v="141"/>
    <s v="Supplier invoice received"/>
    <x v="300"/>
    <s v="0.0"/>
    <x v="10"/>
    <x v="0"/>
  </r>
  <r>
    <n v="940"/>
    <x v="141"/>
    <s v="Supplier invoice received"/>
    <x v="273"/>
    <s v="2918.17"/>
    <x v="11"/>
    <x v="3"/>
  </r>
  <r>
    <n v="941"/>
    <x v="141"/>
    <s v="Supplier invoice received"/>
    <x v="441"/>
    <s v="0.0"/>
    <x v="9"/>
    <x v="4"/>
  </r>
  <r>
    <n v="941"/>
    <x v="141"/>
    <s v="Supplier invoice received"/>
    <x v="442"/>
    <s v="0.0"/>
    <x v="10"/>
    <x v="0"/>
  </r>
  <r>
    <n v="941"/>
    <x v="141"/>
    <s v="Supplier invoice received"/>
    <x v="273"/>
    <s v="179.01"/>
    <x v="11"/>
    <x v="3"/>
  </r>
  <r>
    <n v="942"/>
    <x v="141"/>
    <s v="Supplier invoice received"/>
    <x v="474"/>
    <s v="0.0"/>
    <x v="9"/>
    <x v="4"/>
  </r>
  <r>
    <n v="942"/>
    <x v="141"/>
    <s v="Supplier invoice received"/>
    <x v="475"/>
    <s v="0.0"/>
    <x v="10"/>
    <x v="0"/>
  </r>
  <r>
    <n v="942"/>
    <x v="141"/>
    <s v="Supplier invoice received"/>
    <x v="273"/>
    <s v="862.91"/>
    <x v="11"/>
    <x v="3"/>
  </r>
  <r>
    <n v="943"/>
    <x v="141"/>
    <s v="Supplier invoice received"/>
    <x v="338"/>
    <s v="0.0"/>
    <x v="9"/>
    <x v="4"/>
  </r>
  <r>
    <n v="943"/>
    <x v="141"/>
    <s v="Supplier invoice received"/>
    <x v="339"/>
    <s v="0.0"/>
    <x v="10"/>
    <x v="0"/>
  </r>
  <r>
    <n v="943"/>
    <x v="141"/>
    <s v="Supplier invoice received"/>
    <x v="273"/>
    <s v="1159.84"/>
    <x v="11"/>
    <x v="3"/>
  </r>
  <r>
    <n v="944"/>
    <x v="141"/>
    <s v="Supplier payment made"/>
    <x v="515"/>
    <s v="0.0"/>
    <x v="11"/>
    <x v="3"/>
  </r>
  <r>
    <n v="944"/>
    <x v="141"/>
    <s v="Supplier payment made"/>
    <x v="273"/>
    <s v="862.91"/>
    <x v="0"/>
    <x v="0"/>
  </r>
  <r>
    <n v="945"/>
    <x v="142"/>
    <s v="Sales invoice issued"/>
    <x v="559"/>
    <s v="0.0"/>
    <x v="2"/>
    <x v="0"/>
  </r>
  <r>
    <n v="945"/>
    <x v="142"/>
    <s v="Sales invoice issued"/>
    <x v="273"/>
    <s v="614.76"/>
    <x v="3"/>
    <x v="2"/>
  </r>
  <r>
    <n v="945"/>
    <x v="142"/>
    <s v="Sales invoice issued"/>
    <x v="273"/>
    <s v="46.11"/>
    <x v="4"/>
    <x v="3"/>
  </r>
  <r>
    <n v="946"/>
    <x v="142"/>
    <s v="Sales invoice issued"/>
    <x v="560"/>
    <s v="0.0"/>
    <x v="2"/>
    <x v="0"/>
  </r>
  <r>
    <n v="946"/>
    <x v="142"/>
    <s v="Sales invoice issued"/>
    <x v="273"/>
    <s v="2293.66"/>
    <x v="3"/>
    <x v="2"/>
  </r>
  <r>
    <n v="946"/>
    <x v="142"/>
    <s v="Sales invoice issued"/>
    <x v="273"/>
    <s v="172.03"/>
    <x v="4"/>
    <x v="3"/>
  </r>
  <r>
    <n v="947"/>
    <x v="142"/>
    <s v="Sales invoice issued"/>
    <x v="561"/>
    <s v="0.0"/>
    <x v="2"/>
    <x v="0"/>
  </r>
  <r>
    <n v="947"/>
    <x v="142"/>
    <s v="Sales invoice issued"/>
    <x v="273"/>
    <s v="993.2"/>
    <x v="3"/>
    <x v="2"/>
  </r>
  <r>
    <n v="947"/>
    <x v="142"/>
    <s v="Sales invoice issued"/>
    <x v="273"/>
    <s v="74.49"/>
    <x v="4"/>
    <x v="3"/>
  </r>
  <r>
    <n v="948"/>
    <x v="142"/>
    <s v="Sales invoice issued"/>
    <x v="562"/>
    <s v="0.0"/>
    <x v="2"/>
    <x v="0"/>
  </r>
  <r>
    <n v="948"/>
    <x v="142"/>
    <s v="Sales invoice issued"/>
    <x v="273"/>
    <s v="665.68"/>
    <x v="3"/>
    <x v="2"/>
  </r>
  <r>
    <n v="948"/>
    <x v="142"/>
    <s v="Sales invoice issued"/>
    <x v="273"/>
    <s v="49.93"/>
    <x v="4"/>
    <x v="3"/>
  </r>
  <r>
    <n v="949"/>
    <x v="142"/>
    <s v="Customer payment received"/>
    <x v="509"/>
    <s v="0.0"/>
    <x v="0"/>
    <x v="0"/>
  </r>
  <r>
    <n v="949"/>
    <x v="142"/>
    <s v="Customer payment received"/>
    <x v="273"/>
    <s v="108.02"/>
    <x v="2"/>
    <x v="0"/>
  </r>
  <r>
    <n v="950"/>
    <x v="142"/>
    <s v="Customer payment received"/>
    <x v="547"/>
    <s v="0.0"/>
    <x v="0"/>
    <x v="0"/>
  </r>
  <r>
    <n v="950"/>
    <x v="142"/>
    <s v="Customer payment received"/>
    <x v="273"/>
    <s v="4819.24"/>
    <x v="2"/>
    <x v="0"/>
  </r>
  <r>
    <n v="951"/>
    <x v="142"/>
    <s v="Supplier invoice received"/>
    <x v="443"/>
    <s v="0.0"/>
    <x v="9"/>
    <x v="4"/>
  </r>
  <r>
    <n v="951"/>
    <x v="142"/>
    <s v="Supplier invoice received"/>
    <x v="444"/>
    <s v="0.0"/>
    <x v="10"/>
    <x v="0"/>
  </r>
  <r>
    <n v="951"/>
    <x v="142"/>
    <s v="Supplier invoice received"/>
    <x v="273"/>
    <s v="748.26"/>
    <x v="11"/>
    <x v="3"/>
  </r>
  <r>
    <n v="952"/>
    <x v="143"/>
    <s v="Sales invoice issued"/>
    <x v="563"/>
    <s v="0.0"/>
    <x v="2"/>
    <x v="0"/>
  </r>
  <r>
    <n v="952"/>
    <x v="143"/>
    <s v="Sales invoice issued"/>
    <x v="273"/>
    <s v="3802.7"/>
    <x v="3"/>
    <x v="2"/>
  </r>
  <r>
    <n v="952"/>
    <x v="143"/>
    <s v="Sales invoice issued"/>
    <x v="273"/>
    <s v="285.2"/>
    <x v="4"/>
    <x v="3"/>
  </r>
  <r>
    <n v="953"/>
    <x v="143"/>
    <s v="Customer payment received"/>
    <x v="525"/>
    <s v="0.0"/>
    <x v="0"/>
    <x v="0"/>
  </r>
  <r>
    <n v="953"/>
    <x v="143"/>
    <s v="Customer payment received"/>
    <x v="273"/>
    <s v="2667.76"/>
    <x v="2"/>
    <x v="0"/>
  </r>
  <r>
    <n v="954"/>
    <x v="143"/>
    <s v="Supplier payment made"/>
    <x v="318"/>
    <s v="0.0"/>
    <x v="11"/>
    <x v="3"/>
  </r>
  <r>
    <n v="954"/>
    <x v="143"/>
    <s v="Supplier payment made"/>
    <x v="273"/>
    <s v="2504.23"/>
    <x v="0"/>
    <x v="0"/>
  </r>
  <r>
    <n v="955"/>
    <x v="143"/>
    <s v="Supplier payment made"/>
    <x v="392"/>
    <s v="0.0"/>
    <x v="11"/>
    <x v="3"/>
  </r>
  <r>
    <n v="955"/>
    <x v="143"/>
    <s v="Supplier payment made"/>
    <x v="273"/>
    <s v="1023.42"/>
    <x v="0"/>
    <x v="0"/>
  </r>
  <r>
    <n v="956"/>
    <x v="143"/>
    <s v="Supplier payment made"/>
    <x v="313"/>
    <s v="0.0"/>
    <x v="11"/>
    <x v="3"/>
  </r>
  <r>
    <n v="956"/>
    <x v="143"/>
    <s v="Supplier payment made"/>
    <x v="273"/>
    <s v="1159.84"/>
    <x v="0"/>
    <x v="0"/>
  </r>
  <r>
    <n v="957"/>
    <x v="144"/>
    <s v="Payroll processed"/>
    <x v="564"/>
    <s v="0.0"/>
    <x v="5"/>
    <x v="4"/>
  </r>
  <r>
    <n v="957"/>
    <x v="144"/>
    <s v="Payroll processed"/>
    <x v="565"/>
    <s v="0.0"/>
    <x v="6"/>
    <x v="4"/>
  </r>
  <r>
    <n v="957"/>
    <x v="144"/>
    <s v="Payroll processed"/>
    <x v="273"/>
    <s v="18244.62"/>
    <x v="0"/>
    <x v="0"/>
  </r>
  <r>
    <n v="957"/>
    <x v="144"/>
    <s v="Payroll processed"/>
    <x v="273"/>
    <s v="4069.27"/>
    <x v="7"/>
    <x v="3"/>
  </r>
  <r>
    <n v="957"/>
    <x v="144"/>
    <s v="Payroll processed"/>
    <x v="273"/>
    <s v="892.55"/>
    <x v="8"/>
    <x v="3"/>
  </r>
  <r>
    <n v="958"/>
    <x v="144"/>
    <s v="Sales invoice issued"/>
    <x v="566"/>
    <s v="0.0"/>
    <x v="2"/>
    <x v="0"/>
  </r>
  <r>
    <n v="958"/>
    <x v="144"/>
    <s v="Sales invoice issued"/>
    <x v="273"/>
    <s v="1375.06"/>
    <x v="3"/>
    <x v="2"/>
  </r>
  <r>
    <n v="958"/>
    <x v="144"/>
    <s v="Sales invoice issued"/>
    <x v="273"/>
    <s v="103.13"/>
    <x v="4"/>
    <x v="3"/>
  </r>
  <r>
    <n v="959"/>
    <x v="144"/>
    <s v="Sales invoice issued"/>
    <x v="567"/>
    <s v="0.0"/>
    <x v="2"/>
    <x v="0"/>
  </r>
  <r>
    <n v="959"/>
    <x v="144"/>
    <s v="Sales invoice issued"/>
    <x v="273"/>
    <s v="2448.95"/>
    <x v="3"/>
    <x v="2"/>
  </r>
  <r>
    <n v="959"/>
    <x v="144"/>
    <s v="Sales invoice issued"/>
    <x v="273"/>
    <s v="183.67"/>
    <x v="4"/>
    <x v="3"/>
  </r>
  <r>
    <n v="960"/>
    <x v="144"/>
    <s v="Sales invoice issued"/>
    <x v="568"/>
    <s v="0.0"/>
    <x v="2"/>
    <x v="0"/>
  </r>
  <r>
    <n v="960"/>
    <x v="144"/>
    <s v="Sales invoice issued"/>
    <x v="273"/>
    <s v="2478.55"/>
    <x v="3"/>
    <x v="2"/>
  </r>
  <r>
    <n v="960"/>
    <x v="144"/>
    <s v="Sales invoice issued"/>
    <x v="273"/>
    <s v="185.9"/>
    <x v="4"/>
    <x v="3"/>
  </r>
  <r>
    <n v="961"/>
    <x v="144"/>
    <s v="Customer payment received"/>
    <x v="454"/>
    <s v="0.0"/>
    <x v="0"/>
    <x v="0"/>
  </r>
  <r>
    <n v="961"/>
    <x v="144"/>
    <s v="Customer payment received"/>
    <x v="273"/>
    <s v="1508.22"/>
    <x v="2"/>
    <x v="0"/>
  </r>
  <r>
    <n v="962"/>
    <x v="144"/>
    <s v="Customer payment received"/>
    <x v="569"/>
    <s v="0.0"/>
    <x v="0"/>
    <x v="0"/>
  </r>
  <r>
    <n v="962"/>
    <x v="144"/>
    <s v="Customer payment received"/>
    <x v="273"/>
    <s v="2262.42"/>
    <x v="2"/>
    <x v="0"/>
  </r>
  <r>
    <n v="963"/>
    <x v="144"/>
    <s v="Customer payment received"/>
    <x v="521"/>
    <s v="0.0"/>
    <x v="0"/>
    <x v="0"/>
  </r>
  <r>
    <n v="963"/>
    <x v="144"/>
    <s v="Customer payment received"/>
    <x v="273"/>
    <s v="97.01"/>
    <x v="2"/>
    <x v="0"/>
  </r>
  <r>
    <n v="964"/>
    <x v="144"/>
    <s v="Customer payment received"/>
    <x v="527"/>
    <s v="0.0"/>
    <x v="0"/>
    <x v="0"/>
  </r>
  <r>
    <n v="964"/>
    <x v="144"/>
    <s v="Customer payment received"/>
    <x v="273"/>
    <s v="2934.63"/>
    <x v="2"/>
    <x v="0"/>
  </r>
  <r>
    <n v="965"/>
    <x v="144"/>
    <s v="Customer payment received"/>
    <x v="545"/>
    <s v="0.0"/>
    <x v="0"/>
    <x v="0"/>
  </r>
  <r>
    <n v="965"/>
    <x v="144"/>
    <s v="Customer payment received"/>
    <x v="273"/>
    <s v="1081.6"/>
    <x v="2"/>
    <x v="0"/>
  </r>
  <r>
    <n v="966"/>
    <x v="144"/>
    <s v="Customer payment received"/>
    <x v="558"/>
    <s v="0.0"/>
    <x v="0"/>
    <x v="0"/>
  </r>
  <r>
    <n v="966"/>
    <x v="144"/>
    <s v="Customer payment received"/>
    <x v="273"/>
    <s v="2555.1"/>
    <x v="2"/>
    <x v="0"/>
  </r>
  <r>
    <n v="967"/>
    <x v="145"/>
    <s v="Sales invoice issued"/>
    <x v="570"/>
    <s v="0.0"/>
    <x v="2"/>
    <x v="0"/>
  </r>
  <r>
    <n v="967"/>
    <x v="145"/>
    <s v="Sales invoice issued"/>
    <x v="273"/>
    <s v="944.54"/>
    <x v="3"/>
    <x v="2"/>
  </r>
  <r>
    <n v="967"/>
    <x v="145"/>
    <s v="Sales invoice issued"/>
    <x v="273"/>
    <s v="70.84"/>
    <x v="4"/>
    <x v="3"/>
  </r>
  <r>
    <n v="968"/>
    <x v="145"/>
    <s v="Customer payment received"/>
    <x v="551"/>
    <s v="0.0"/>
    <x v="0"/>
    <x v="0"/>
  </r>
  <r>
    <n v="968"/>
    <x v="145"/>
    <s v="Customer payment received"/>
    <x v="273"/>
    <s v="173.89"/>
    <x v="2"/>
    <x v="0"/>
  </r>
  <r>
    <n v="969"/>
    <x v="145"/>
    <s v="Customer payment received"/>
    <x v="554"/>
    <s v="0.0"/>
    <x v="0"/>
    <x v="0"/>
  </r>
  <r>
    <n v="969"/>
    <x v="145"/>
    <s v="Customer payment received"/>
    <x v="273"/>
    <s v="3485.58"/>
    <x v="2"/>
    <x v="0"/>
  </r>
  <r>
    <n v="970"/>
    <x v="145"/>
    <s v="Supplier invoice received"/>
    <x v="303"/>
    <s v="0.0"/>
    <x v="9"/>
    <x v="4"/>
  </r>
  <r>
    <n v="970"/>
    <x v="145"/>
    <s v="Supplier invoice received"/>
    <x v="304"/>
    <s v="0.0"/>
    <x v="10"/>
    <x v="0"/>
  </r>
  <r>
    <n v="970"/>
    <x v="145"/>
    <s v="Supplier invoice received"/>
    <x v="273"/>
    <s v="550.4"/>
    <x v="11"/>
    <x v="3"/>
  </r>
  <r>
    <n v="971"/>
    <x v="145"/>
    <s v="Supplier invoice received"/>
    <x v="445"/>
    <s v="0.0"/>
    <x v="9"/>
    <x v="4"/>
  </r>
  <r>
    <n v="971"/>
    <x v="145"/>
    <s v="Supplier invoice received"/>
    <x v="446"/>
    <s v="0.0"/>
    <x v="10"/>
    <x v="0"/>
  </r>
  <r>
    <n v="971"/>
    <x v="145"/>
    <s v="Supplier invoice received"/>
    <x v="273"/>
    <s v="1794.11"/>
    <x v="11"/>
    <x v="3"/>
  </r>
  <r>
    <n v="972"/>
    <x v="145"/>
    <s v="Supplier payment made"/>
    <x v="309"/>
    <s v="0.0"/>
    <x v="11"/>
    <x v="3"/>
  </r>
  <r>
    <n v="972"/>
    <x v="145"/>
    <s v="Supplier payment made"/>
    <x v="273"/>
    <s v="4812.46"/>
    <x v="0"/>
    <x v="0"/>
  </r>
  <r>
    <n v="973"/>
    <x v="145"/>
    <s v="Supplier payment made"/>
    <x v="334"/>
    <s v="0.0"/>
    <x v="11"/>
    <x v="3"/>
  </r>
  <r>
    <n v="973"/>
    <x v="145"/>
    <s v="Supplier payment made"/>
    <x v="273"/>
    <s v="3528.97"/>
    <x v="0"/>
    <x v="0"/>
  </r>
  <r>
    <n v="974"/>
    <x v="146"/>
    <s v="Sales invoice issued"/>
    <x v="571"/>
    <s v="0.0"/>
    <x v="2"/>
    <x v="0"/>
  </r>
  <r>
    <n v="974"/>
    <x v="146"/>
    <s v="Sales invoice issued"/>
    <x v="273"/>
    <s v="2783.89"/>
    <x v="3"/>
    <x v="2"/>
  </r>
  <r>
    <n v="974"/>
    <x v="146"/>
    <s v="Sales invoice issued"/>
    <x v="273"/>
    <s v="208.8"/>
    <x v="4"/>
    <x v="3"/>
  </r>
  <r>
    <n v="975"/>
    <x v="146"/>
    <s v="Sales invoice issued"/>
    <x v="572"/>
    <s v="0.0"/>
    <x v="2"/>
    <x v="0"/>
  </r>
  <r>
    <n v="975"/>
    <x v="146"/>
    <s v="Sales invoice issued"/>
    <x v="273"/>
    <s v="1892.61"/>
    <x v="3"/>
    <x v="2"/>
  </r>
  <r>
    <n v="975"/>
    <x v="146"/>
    <s v="Sales invoice issued"/>
    <x v="273"/>
    <s v="141.97"/>
    <x v="4"/>
    <x v="3"/>
  </r>
  <r>
    <n v="976"/>
    <x v="146"/>
    <s v="Sales invoice issued"/>
    <x v="573"/>
    <s v="0.0"/>
    <x v="2"/>
    <x v="0"/>
  </r>
  <r>
    <n v="976"/>
    <x v="146"/>
    <s v="Sales invoice issued"/>
    <x v="273"/>
    <s v="2825.23"/>
    <x v="3"/>
    <x v="2"/>
  </r>
  <r>
    <n v="976"/>
    <x v="146"/>
    <s v="Sales invoice issued"/>
    <x v="273"/>
    <s v="211.9"/>
    <x v="4"/>
    <x v="3"/>
  </r>
  <r>
    <n v="977"/>
    <x v="146"/>
    <s v="Customer payment received"/>
    <x v="464"/>
    <s v="0.0"/>
    <x v="0"/>
    <x v="0"/>
  </r>
  <r>
    <n v="977"/>
    <x v="146"/>
    <s v="Customer payment received"/>
    <x v="273"/>
    <s v="6955.93"/>
    <x v="2"/>
    <x v="0"/>
  </r>
  <r>
    <n v="978"/>
    <x v="146"/>
    <s v="Customer payment received"/>
    <x v="532"/>
    <s v="0.0"/>
    <x v="0"/>
    <x v="0"/>
  </r>
  <r>
    <n v="978"/>
    <x v="146"/>
    <s v="Customer payment received"/>
    <x v="273"/>
    <s v="2572.95"/>
    <x v="2"/>
    <x v="0"/>
  </r>
  <r>
    <n v="979"/>
    <x v="146"/>
    <s v="Supplier invoice received"/>
    <x v="332"/>
    <s v="0.0"/>
    <x v="9"/>
    <x v="4"/>
  </r>
  <r>
    <n v="979"/>
    <x v="146"/>
    <s v="Supplier invoice received"/>
    <x v="333"/>
    <s v="0.0"/>
    <x v="10"/>
    <x v="0"/>
  </r>
  <r>
    <n v="979"/>
    <x v="146"/>
    <s v="Supplier invoice received"/>
    <x v="273"/>
    <s v="1023.42"/>
    <x v="11"/>
    <x v="3"/>
  </r>
  <r>
    <n v="980"/>
    <x v="146"/>
    <s v="Supplier invoice received"/>
    <x v="338"/>
    <s v="0.0"/>
    <x v="9"/>
    <x v="4"/>
  </r>
  <r>
    <n v="980"/>
    <x v="146"/>
    <s v="Supplier invoice received"/>
    <x v="339"/>
    <s v="0.0"/>
    <x v="10"/>
    <x v="0"/>
  </r>
  <r>
    <n v="980"/>
    <x v="146"/>
    <s v="Supplier invoice received"/>
    <x v="273"/>
    <s v="1159.84"/>
    <x v="11"/>
    <x v="3"/>
  </r>
  <r>
    <n v="981"/>
    <x v="146"/>
    <s v="Supplier invoice received"/>
    <x v="366"/>
    <s v="0.0"/>
    <x v="9"/>
    <x v="4"/>
  </r>
  <r>
    <n v="981"/>
    <x v="146"/>
    <s v="Supplier invoice received"/>
    <x v="367"/>
    <s v="0.0"/>
    <x v="10"/>
    <x v="0"/>
  </r>
  <r>
    <n v="981"/>
    <x v="146"/>
    <s v="Supplier invoice received"/>
    <x v="273"/>
    <s v="201.5"/>
    <x v="11"/>
    <x v="3"/>
  </r>
  <r>
    <n v="982"/>
    <x v="146"/>
    <s v="Supplier payment made"/>
    <x v="351"/>
    <s v="0.0"/>
    <x v="11"/>
    <x v="3"/>
  </r>
  <r>
    <n v="982"/>
    <x v="146"/>
    <s v="Supplier payment made"/>
    <x v="273"/>
    <s v="179.01"/>
    <x v="0"/>
    <x v="0"/>
  </r>
  <r>
    <n v="983"/>
    <x v="147"/>
    <s v="Sales invoice issued"/>
    <x v="574"/>
    <s v="0.0"/>
    <x v="2"/>
    <x v="0"/>
  </r>
  <r>
    <n v="983"/>
    <x v="147"/>
    <s v="Sales invoice issued"/>
    <x v="273"/>
    <s v="2610.47"/>
    <x v="3"/>
    <x v="2"/>
  </r>
  <r>
    <n v="983"/>
    <x v="147"/>
    <s v="Sales invoice issued"/>
    <x v="273"/>
    <s v="195.78"/>
    <x v="4"/>
    <x v="3"/>
  </r>
  <r>
    <n v="984"/>
    <x v="147"/>
    <s v="Sales invoice issued"/>
    <x v="575"/>
    <s v="0.0"/>
    <x v="2"/>
    <x v="0"/>
  </r>
  <r>
    <n v="984"/>
    <x v="147"/>
    <s v="Sales invoice issued"/>
    <x v="273"/>
    <s v="859.7"/>
    <x v="3"/>
    <x v="2"/>
  </r>
  <r>
    <n v="984"/>
    <x v="147"/>
    <s v="Sales invoice issued"/>
    <x v="273"/>
    <s v="64.48"/>
    <x v="4"/>
    <x v="3"/>
  </r>
  <r>
    <n v="985"/>
    <x v="147"/>
    <s v="Sales invoice issued"/>
    <x v="576"/>
    <s v="0.0"/>
    <x v="2"/>
    <x v="0"/>
  </r>
  <r>
    <n v="985"/>
    <x v="147"/>
    <s v="Sales invoice issued"/>
    <x v="273"/>
    <s v="349.05"/>
    <x v="3"/>
    <x v="2"/>
  </r>
  <r>
    <n v="985"/>
    <x v="147"/>
    <s v="Sales invoice issued"/>
    <x v="273"/>
    <s v="26.18"/>
    <x v="4"/>
    <x v="3"/>
  </r>
  <r>
    <n v="986"/>
    <x v="147"/>
    <s v="Customer payment received"/>
    <x v="451"/>
    <s v="0.0"/>
    <x v="0"/>
    <x v="0"/>
  </r>
  <r>
    <n v="986"/>
    <x v="147"/>
    <s v="Customer payment received"/>
    <x v="273"/>
    <s v="956.11"/>
    <x v="2"/>
    <x v="0"/>
  </r>
  <r>
    <n v="987"/>
    <x v="147"/>
    <s v="Customer payment received"/>
    <x v="490"/>
    <s v="0.0"/>
    <x v="0"/>
    <x v="0"/>
  </r>
  <r>
    <n v="987"/>
    <x v="147"/>
    <s v="Customer payment received"/>
    <x v="273"/>
    <s v="7556.11"/>
    <x v="2"/>
    <x v="0"/>
  </r>
  <r>
    <n v="988"/>
    <x v="147"/>
    <s v="Customer payment received"/>
    <x v="510"/>
    <s v="0.0"/>
    <x v="0"/>
    <x v="0"/>
  </r>
  <r>
    <n v="988"/>
    <x v="147"/>
    <s v="Customer payment received"/>
    <x v="273"/>
    <s v="1786.26"/>
    <x v="2"/>
    <x v="0"/>
  </r>
  <r>
    <n v="989"/>
    <x v="147"/>
    <s v="Customer payment received"/>
    <x v="555"/>
    <s v="0.0"/>
    <x v="0"/>
    <x v="0"/>
  </r>
  <r>
    <n v="989"/>
    <x v="147"/>
    <s v="Customer payment received"/>
    <x v="273"/>
    <s v="3689.42"/>
    <x v="2"/>
    <x v="0"/>
  </r>
  <r>
    <n v="990"/>
    <x v="147"/>
    <s v="Supplier invoice received"/>
    <x v="295"/>
    <s v="0.0"/>
    <x v="9"/>
    <x v="4"/>
  </r>
  <r>
    <n v="990"/>
    <x v="147"/>
    <s v="Supplier invoice received"/>
    <x v="296"/>
    <s v="0.0"/>
    <x v="10"/>
    <x v="0"/>
  </r>
  <r>
    <n v="990"/>
    <x v="147"/>
    <s v="Supplier invoice received"/>
    <x v="273"/>
    <s v="1766.46"/>
    <x v="11"/>
    <x v="3"/>
  </r>
  <r>
    <n v="991"/>
    <x v="147"/>
    <s v="Supplier payment made"/>
    <x v="335"/>
    <s v="0.0"/>
    <x v="11"/>
    <x v="3"/>
  </r>
  <r>
    <n v="991"/>
    <x v="147"/>
    <s v="Supplier payment made"/>
    <x v="273"/>
    <s v="550.4"/>
    <x v="0"/>
    <x v="0"/>
  </r>
  <r>
    <n v="992"/>
    <x v="147"/>
    <s v="Supplier payment made"/>
    <x v="292"/>
    <s v="0.0"/>
    <x v="11"/>
    <x v="3"/>
  </r>
  <r>
    <n v="992"/>
    <x v="147"/>
    <s v="Supplier payment made"/>
    <x v="273"/>
    <s v="1766.46"/>
    <x v="0"/>
    <x v="0"/>
  </r>
  <r>
    <n v="993"/>
    <x v="148"/>
    <s v="Sales invoice issued"/>
    <x v="577"/>
    <s v="0.0"/>
    <x v="2"/>
    <x v="0"/>
  </r>
  <r>
    <n v="993"/>
    <x v="148"/>
    <s v="Sales invoice issued"/>
    <x v="273"/>
    <s v="4504.78"/>
    <x v="3"/>
    <x v="2"/>
  </r>
  <r>
    <n v="993"/>
    <x v="148"/>
    <s v="Sales invoice issued"/>
    <x v="273"/>
    <s v="337.86"/>
    <x v="4"/>
    <x v="3"/>
  </r>
  <r>
    <n v="994"/>
    <x v="148"/>
    <s v="Sales invoice issued"/>
    <x v="578"/>
    <s v="0.0"/>
    <x v="2"/>
    <x v="0"/>
  </r>
  <r>
    <n v="994"/>
    <x v="148"/>
    <s v="Sales invoice issued"/>
    <x v="273"/>
    <s v="5103.97"/>
    <x v="3"/>
    <x v="2"/>
  </r>
  <r>
    <n v="994"/>
    <x v="148"/>
    <s v="Sales invoice issued"/>
    <x v="273"/>
    <s v="382.8"/>
    <x v="4"/>
    <x v="3"/>
  </r>
  <r>
    <n v="995"/>
    <x v="148"/>
    <s v="Sales invoice issued"/>
    <x v="579"/>
    <s v="0.0"/>
    <x v="2"/>
    <x v="0"/>
  </r>
  <r>
    <n v="995"/>
    <x v="148"/>
    <s v="Sales invoice issued"/>
    <x v="273"/>
    <s v="2766.51"/>
    <x v="3"/>
    <x v="2"/>
  </r>
  <r>
    <n v="995"/>
    <x v="148"/>
    <s v="Sales invoice issued"/>
    <x v="273"/>
    <s v="207.49"/>
    <x v="4"/>
    <x v="3"/>
  </r>
  <r>
    <n v="996"/>
    <x v="148"/>
    <s v="Customer payment received"/>
    <x v="520"/>
    <s v="0.0"/>
    <x v="0"/>
    <x v="0"/>
  </r>
  <r>
    <n v="996"/>
    <x v="148"/>
    <s v="Customer payment received"/>
    <x v="273"/>
    <s v="4148.52"/>
    <x v="2"/>
    <x v="0"/>
  </r>
  <r>
    <n v="997"/>
    <x v="148"/>
    <s v="Customer payment received"/>
    <x v="522"/>
    <s v="0.0"/>
    <x v="0"/>
    <x v="0"/>
  </r>
  <r>
    <n v="997"/>
    <x v="148"/>
    <s v="Customer payment received"/>
    <x v="273"/>
    <s v="1999.99"/>
    <x v="2"/>
    <x v="0"/>
  </r>
  <r>
    <n v="998"/>
    <x v="148"/>
    <s v="Supplier invoice received"/>
    <x v="297"/>
    <s v="0.0"/>
    <x v="9"/>
    <x v="4"/>
  </r>
  <r>
    <n v="998"/>
    <x v="148"/>
    <s v="Supplier invoice received"/>
    <x v="298"/>
    <s v="0.0"/>
    <x v="10"/>
    <x v="0"/>
  </r>
  <r>
    <n v="998"/>
    <x v="148"/>
    <s v="Supplier invoice received"/>
    <x v="273"/>
    <s v="3528.97"/>
    <x v="11"/>
    <x v="3"/>
  </r>
  <r>
    <n v="999"/>
    <x v="148"/>
    <s v="Supplier payment made"/>
    <x v="336"/>
    <s v="0.0"/>
    <x v="11"/>
    <x v="3"/>
  </r>
  <r>
    <n v="999"/>
    <x v="148"/>
    <s v="Supplier payment made"/>
    <x v="273"/>
    <s v="2093.28"/>
    <x v="0"/>
    <x v="0"/>
  </r>
  <r>
    <n v="1000"/>
    <x v="148"/>
    <s v="Supplier payment made"/>
    <x v="353"/>
    <s v="0.0"/>
    <x v="11"/>
    <x v="3"/>
  </r>
  <r>
    <n v="1000"/>
    <x v="148"/>
    <s v="Supplier payment made"/>
    <x v="273"/>
    <s v="2918.17"/>
    <x v="0"/>
    <x v="0"/>
  </r>
  <r>
    <n v="1001"/>
    <x v="149"/>
    <s v="Sales invoice issued"/>
    <x v="580"/>
    <s v="0.0"/>
    <x v="2"/>
    <x v="0"/>
  </r>
  <r>
    <n v="1001"/>
    <x v="149"/>
    <s v="Sales invoice issued"/>
    <x v="273"/>
    <s v="2663.77"/>
    <x v="3"/>
    <x v="2"/>
  </r>
  <r>
    <n v="1001"/>
    <x v="149"/>
    <s v="Sales invoice issued"/>
    <x v="273"/>
    <s v="199.78"/>
    <x v="4"/>
    <x v="3"/>
  </r>
  <r>
    <n v="1002"/>
    <x v="149"/>
    <s v="Sales invoice issued"/>
    <x v="581"/>
    <s v="0.0"/>
    <x v="2"/>
    <x v="0"/>
  </r>
  <r>
    <n v="1002"/>
    <x v="149"/>
    <s v="Sales invoice issued"/>
    <x v="273"/>
    <s v="3794.91"/>
    <x v="3"/>
    <x v="2"/>
  </r>
  <r>
    <n v="1002"/>
    <x v="149"/>
    <s v="Sales invoice issued"/>
    <x v="273"/>
    <s v="284.61"/>
    <x v="4"/>
    <x v="3"/>
  </r>
  <r>
    <n v="1003"/>
    <x v="149"/>
    <s v="Sales invoice issued"/>
    <x v="582"/>
    <s v="0.0"/>
    <x v="2"/>
    <x v="0"/>
  </r>
  <r>
    <n v="1003"/>
    <x v="149"/>
    <s v="Sales invoice issued"/>
    <x v="273"/>
    <s v="948.89"/>
    <x v="3"/>
    <x v="2"/>
  </r>
  <r>
    <n v="1003"/>
    <x v="149"/>
    <s v="Sales invoice issued"/>
    <x v="273"/>
    <s v="71.17"/>
    <x v="4"/>
    <x v="3"/>
  </r>
  <r>
    <n v="1004"/>
    <x v="149"/>
    <s v="Sales invoice issued"/>
    <x v="583"/>
    <s v="0.0"/>
    <x v="2"/>
    <x v="0"/>
  </r>
  <r>
    <n v="1004"/>
    <x v="149"/>
    <s v="Sales invoice issued"/>
    <x v="273"/>
    <s v="864.7"/>
    <x v="3"/>
    <x v="2"/>
  </r>
  <r>
    <n v="1004"/>
    <x v="149"/>
    <s v="Sales invoice issued"/>
    <x v="273"/>
    <s v="64.86"/>
    <x v="4"/>
    <x v="3"/>
  </r>
  <r>
    <n v="1005"/>
    <x v="149"/>
    <s v="Sales invoice issued"/>
    <x v="584"/>
    <s v="0.0"/>
    <x v="2"/>
    <x v="0"/>
  </r>
  <r>
    <n v="1005"/>
    <x v="149"/>
    <s v="Sales invoice issued"/>
    <x v="273"/>
    <s v="306.48"/>
    <x v="3"/>
    <x v="2"/>
  </r>
  <r>
    <n v="1005"/>
    <x v="149"/>
    <s v="Sales invoice issued"/>
    <x v="273"/>
    <s v="22.99"/>
    <x v="4"/>
    <x v="3"/>
  </r>
  <r>
    <n v="1006"/>
    <x v="149"/>
    <s v="Customer payment received"/>
    <x v="369"/>
    <s v="0.0"/>
    <x v="0"/>
    <x v="0"/>
  </r>
  <r>
    <n v="1006"/>
    <x v="149"/>
    <s v="Customer payment received"/>
    <x v="273"/>
    <s v="1379.23"/>
    <x v="2"/>
    <x v="0"/>
  </r>
  <r>
    <n v="1007"/>
    <x v="149"/>
    <s v="Customer payment received"/>
    <x v="481"/>
    <s v="0.0"/>
    <x v="0"/>
    <x v="0"/>
  </r>
  <r>
    <n v="1007"/>
    <x v="149"/>
    <s v="Customer payment received"/>
    <x v="273"/>
    <s v="4168.84"/>
    <x v="2"/>
    <x v="0"/>
  </r>
  <r>
    <n v="1008"/>
    <x v="149"/>
    <s v="Customer payment received"/>
    <x v="585"/>
    <s v="0.0"/>
    <x v="0"/>
    <x v="0"/>
  </r>
  <r>
    <n v="1008"/>
    <x v="149"/>
    <s v="Customer payment received"/>
    <x v="273"/>
    <s v="1823.6"/>
    <x v="2"/>
    <x v="0"/>
  </r>
  <r>
    <n v="1009"/>
    <x v="149"/>
    <s v="Customer payment received"/>
    <x v="523"/>
    <s v="0.0"/>
    <x v="0"/>
    <x v="0"/>
  </r>
  <r>
    <n v="1009"/>
    <x v="149"/>
    <s v="Customer payment received"/>
    <x v="273"/>
    <s v="2223.51"/>
    <x v="2"/>
    <x v="0"/>
  </r>
  <r>
    <n v="1010"/>
    <x v="149"/>
    <s v="Customer payment received"/>
    <x v="539"/>
    <s v="0.0"/>
    <x v="0"/>
    <x v="0"/>
  </r>
  <r>
    <n v="1010"/>
    <x v="149"/>
    <s v="Customer payment received"/>
    <x v="273"/>
    <s v="6935.79"/>
    <x v="2"/>
    <x v="0"/>
  </r>
  <r>
    <n v="1011"/>
    <x v="149"/>
    <s v="Customer payment received"/>
    <x v="578"/>
    <s v="0.0"/>
    <x v="0"/>
    <x v="0"/>
  </r>
  <r>
    <n v="1011"/>
    <x v="149"/>
    <s v="Customer payment received"/>
    <x v="273"/>
    <s v="5486.77"/>
    <x v="2"/>
    <x v="0"/>
  </r>
  <r>
    <n v="1012"/>
    <x v="149"/>
    <s v="Supplier payment made"/>
    <x v="407"/>
    <s v="0.0"/>
    <x v="11"/>
    <x v="3"/>
  </r>
  <r>
    <n v="1012"/>
    <x v="149"/>
    <s v="Supplier payment made"/>
    <x v="273"/>
    <s v="201.5"/>
    <x v="0"/>
    <x v="0"/>
  </r>
  <r>
    <n v="1013"/>
    <x v="150"/>
    <s v="Customer payment received"/>
    <x v="459"/>
    <s v="0.0"/>
    <x v="0"/>
    <x v="0"/>
  </r>
  <r>
    <n v="1013"/>
    <x v="150"/>
    <s v="Customer payment received"/>
    <x v="273"/>
    <s v="1247.01"/>
    <x v="2"/>
    <x v="0"/>
  </r>
  <r>
    <n v="1014"/>
    <x v="150"/>
    <s v="Customer payment received"/>
    <x v="533"/>
    <s v="0.0"/>
    <x v="0"/>
    <x v="0"/>
  </r>
  <r>
    <n v="1014"/>
    <x v="150"/>
    <s v="Customer payment received"/>
    <x v="273"/>
    <s v="2782.68"/>
    <x v="2"/>
    <x v="0"/>
  </r>
  <r>
    <n v="1015"/>
    <x v="150"/>
    <s v="Customer payment received"/>
    <x v="567"/>
    <s v="0.0"/>
    <x v="0"/>
    <x v="0"/>
  </r>
  <r>
    <n v="1015"/>
    <x v="150"/>
    <s v="Customer payment received"/>
    <x v="273"/>
    <s v="2632.62"/>
    <x v="2"/>
    <x v="0"/>
  </r>
  <r>
    <n v="1016"/>
    <x v="150"/>
    <s v="Customer payment received"/>
    <x v="584"/>
    <s v="0.0"/>
    <x v="0"/>
    <x v="0"/>
  </r>
  <r>
    <n v="1016"/>
    <x v="150"/>
    <s v="Customer payment received"/>
    <x v="273"/>
    <s v="329.47"/>
    <x v="2"/>
    <x v="0"/>
  </r>
  <r>
    <n v="1017"/>
    <x v="150"/>
    <s v="Supplier invoice received"/>
    <x v="330"/>
    <s v="0.0"/>
    <x v="9"/>
    <x v="4"/>
  </r>
  <r>
    <n v="1017"/>
    <x v="150"/>
    <s v="Supplier invoice received"/>
    <x v="331"/>
    <s v="0.0"/>
    <x v="10"/>
    <x v="0"/>
  </r>
  <r>
    <n v="1017"/>
    <x v="150"/>
    <s v="Supplier invoice received"/>
    <x v="273"/>
    <s v="1935.04"/>
    <x v="11"/>
    <x v="3"/>
  </r>
  <r>
    <n v="1018"/>
    <x v="150"/>
    <s v="Supplier invoice received"/>
    <x v="338"/>
    <s v="0.0"/>
    <x v="9"/>
    <x v="4"/>
  </r>
  <r>
    <n v="1018"/>
    <x v="150"/>
    <s v="Supplier invoice received"/>
    <x v="339"/>
    <s v="0.0"/>
    <x v="10"/>
    <x v="0"/>
  </r>
  <r>
    <n v="1018"/>
    <x v="150"/>
    <s v="Supplier invoice received"/>
    <x v="273"/>
    <s v="1159.84"/>
    <x v="11"/>
    <x v="3"/>
  </r>
  <r>
    <n v="1019"/>
    <x v="150"/>
    <s v="Supplier invoice received"/>
    <x v="366"/>
    <s v="0.0"/>
    <x v="9"/>
    <x v="4"/>
  </r>
  <r>
    <n v="1019"/>
    <x v="150"/>
    <s v="Supplier invoice received"/>
    <x v="367"/>
    <s v="0.0"/>
    <x v="10"/>
    <x v="0"/>
  </r>
  <r>
    <n v="1019"/>
    <x v="150"/>
    <s v="Supplier invoice received"/>
    <x v="273"/>
    <s v="201.5"/>
    <x v="11"/>
    <x v="3"/>
  </r>
  <r>
    <n v="1020"/>
    <x v="151"/>
    <s v="Sales invoice issued"/>
    <x v="586"/>
    <s v="0.0"/>
    <x v="2"/>
    <x v="0"/>
  </r>
  <r>
    <n v="1020"/>
    <x v="151"/>
    <s v="Sales invoice issued"/>
    <x v="273"/>
    <s v="3245.51"/>
    <x v="3"/>
    <x v="2"/>
  </r>
  <r>
    <n v="1020"/>
    <x v="151"/>
    <s v="Sales invoice issued"/>
    <x v="273"/>
    <s v="243.41"/>
    <x v="4"/>
    <x v="3"/>
  </r>
  <r>
    <n v="1021"/>
    <x v="151"/>
    <s v="Sales invoice issued"/>
    <x v="587"/>
    <s v="0.0"/>
    <x v="2"/>
    <x v="0"/>
  </r>
  <r>
    <n v="1021"/>
    <x v="151"/>
    <s v="Sales invoice issued"/>
    <x v="273"/>
    <s v="2442.66"/>
    <x v="3"/>
    <x v="2"/>
  </r>
  <r>
    <n v="1021"/>
    <x v="151"/>
    <s v="Sales invoice issued"/>
    <x v="273"/>
    <s v="183.2"/>
    <x v="4"/>
    <x v="3"/>
  </r>
  <r>
    <n v="1022"/>
    <x v="151"/>
    <s v="Sales invoice issued"/>
    <x v="588"/>
    <s v="0.0"/>
    <x v="2"/>
    <x v="0"/>
  </r>
  <r>
    <n v="1022"/>
    <x v="151"/>
    <s v="Sales invoice issued"/>
    <x v="273"/>
    <s v="4714.07"/>
    <x v="3"/>
    <x v="2"/>
  </r>
  <r>
    <n v="1022"/>
    <x v="151"/>
    <s v="Sales invoice issued"/>
    <x v="273"/>
    <s v="353.56"/>
    <x v="4"/>
    <x v="3"/>
  </r>
  <r>
    <n v="1023"/>
    <x v="151"/>
    <s v="Sales invoice issued"/>
    <x v="589"/>
    <s v="0.0"/>
    <x v="2"/>
    <x v="0"/>
  </r>
  <r>
    <n v="1023"/>
    <x v="151"/>
    <s v="Sales invoice issued"/>
    <x v="273"/>
    <s v="3029.87"/>
    <x v="3"/>
    <x v="2"/>
  </r>
  <r>
    <n v="1023"/>
    <x v="151"/>
    <s v="Sales invoice issued"/>
    <x v="273"/>
    <s v="227.23"/>
    <x v="4"/>
    <x v="3"/>
  </r>
  <r>
    <n v="1024"/>
    <x v="151"/>
    <s v="Supplier invoice received"/>
    <x v="305"/>
    <s v="0.0"/>
    <x v="9"/>
    <x v="4"/>
  </r>
  <r>
    <n v="1024"/>
    <x v="151"/>
    <s v="Supplier invoice received"/>
    <x v="306"/>
    <s v="0.0"/>
    <x v="10"/>
    <x v="0"/>
  </r>
  <r>
    <n v="1024"/>
    <x v="151"/>
    <s v="Supplier invoice received"/>
    <x v="273"/>
    <s v="276.32"/>
    <x v="11"/>
    <x v="3"/>
  </r>
  <r>
    <n v="1025"/>
    <x v="151"/>
    <s v="Supplier invoice received"/>
    <x v="301"/>
    <s v="0.0"/>
    <x v="9"/>
    <x v="4"/>
  </r>
  <r>
    <n v="1025"/>
    <x v="151"/>
    <s v="Supplier invoice received"/>
    <x v="302"/>
    <s v="0.0"/>
    <x v="10"/>
    <x v="0"/>
  </r>
  <r>
    <n v="1025"/>
    <x v="151"/>
    <s v="Supplier invoice received"/>
    <x v="273"/>
    <s v="4812.46"/>
    <x v="11"/>
    <x v="3"/>
  </r>
  <r>
    <n v="1026"/>
    <x v="151"/>
    <s v="Supplier invoice received"/>
    <x v="374"/>
    <s v="0.0"/>
    <x v="9"/>
    <x v="4"/>
  </r>
  <r>
    <n v="1026"/>
    <x v="151"/>
    <s v="Supplier invoice received"/>
    <x v="375"/>
    <s v="0.0"/>
    <x v="10"/>
    <x v="0"/>
  </r>
  <r>
    <n v="1026"/>
    <x v="151"/>
    <s v="Supplier invoice received"/>
    <x v="273"/>
    <s v="2504.23"/>
    <x v="11"/>
    <x v="3"/>
  </r>
  <r>
    <n v="1027"/>
    <x v="151"/>
    <s v="Supplier invoice received"/>
    <x v="443"/>
    <s v="0.0"/>
    <x v="9"/>
    <x v="4"/>
  </r>
  <r>
    <n v="1027"/>
    <x v="151"/>
    <s v="Supplier invoice received"/>
    <x v="444"/>
    <s v="0.0"/>
    <x v="10"/>
    <x v="0"/>
  </r>
  <r>
    <n v="1027"/>
    <x v="151"/>
    <s v="Supplier invoice received"/>
    <x v="273"/>
    <s v="748.26"/>
    <x v="11"/>
    <x v="3"/>
  </r>
  <r>
    <n v="1028"/>
    <x v="151"/>
    <s v="Supplier payment made"/>
    <x v="392"/>
    <s v="0.0"/>
    <x v="11"/>
    <x v="3"/>
  </r>
  <r>
    <n v="1028"/>
    <x v="151"/>
    <s v="Supplier payment made"/>
    <x v="273"/>
    <s v="1023.42"/>
    <x v="0"/>
    <x v="0"/>
  </r>
  <r>
    <n v="1029"/>
    <x v="151"/>
    <s v="Supplier payment made"/>
    <x v="393"/>
    <s v="0.0"/>
    <x v="11"/>
    <x v="3"/>
  </r>
  <r>
    <n v="1029"/>
    <x v="151"/>
    <s v="Supplier payment made"/>
    <x v="273"/>
    <s v="412.54"/>
    <x v="0"/>
    <x v="0"/>
  </r>
  <r>
    <n v="1030"/>
    <x v="151"/>
    <s v="Supplier payment made"/>
    <x v="407"/>
    <s v="0.0"/>
    <x v="11"/>
    <x v="3"/>
  </r>
  <r>
    <n v="1030"/>
    <x v="151"/>
    <s v="Supplier payment made"/>
    <x v="273"/>
    <s v="201.5"/>
    <x v="0"/>
    <x v="0"/>
  </r>
  <r>
    <n v="1031"/>
    <x v="152"/>
    <s v="Sales invoice issued"/>
    <x v="590"/>
    <s v="0.0"/>
    <x v="2"/>
    <x v="0"/>
  </r>
  <r>
    <n v="1031"/>
    <x v="152"/>
    <s v="Sales invoice issued"/>
    <x v="273"/>
    <s v="3306.72"/>
    <x v="3"/>
    <x v="2"/>
  </r>
  <r>
    <n v="1031"/>
    <x v="152"/>
    <s v="Sales invoice issued"/>
    <x v="273"/>
    <s v="248.0"/>
    <x v="4"/>
    <x v="3"/>
  </r>
  <r>
    <n v="1032"/>
    <x v="152"/>
    <s v="Sales invoice issued"/>
    <x v="591"/>
    <s v="0.0"/>
    <x v="2"/>
    <x v="0"/>
  </r>
  <r>
    <n v="1032"/>
    <x v="152"/>
    <s v="Sales invoice issued"/>
    <x v="273"/>
    <s v="1875.67"/>
    <x v="3"/>
    <x v="2"/>
  </r>
  <r>
    <n v="1032"/>
    <x v="152"/>
    <s v="Sales invoice issued"/>
    <x v="273"/>
    <s v="140.68"/>
    <x v="4"/>
    <x v="3"/>
  </r>
  <r>
    <n v="1033"/>
    <x v="152"/>
    <s v="Sales invoice issued"/>
    <x v="592"/>
    <s v="0.0"/>
    <x v="2"/>
    <x v="0"/>
  </r>
  <r>
    <n v="1033"/>
    <x v="152"/>
    <s v="Sales invoice issued"/>
    <x v="273"/>
    <s v="1715.58"/>
    <x v="3"/>
    <x v="2"/>
  </r>
  <r>
    <n v="1033"/>
    <x v="152"/>
    <s v="Sales invoice issued"/>
    <x v="273"/>
    <s v="128.67"/>
    <x v="4"/>
    <x v="3"/>
  </r>
  <r>
    <n v="1034"/>
    <x v="152"/>
    <s v="Sales invoice issued"/>
    <x v="593"/>
    <s v="0.0"/>
    <x v="2"/>
    <x v="0"/>
  </r>
  <r>
    <n v="1034"/>
    <x v="152"/>
    <s v="Sales invoice issued"/>
    <x v="273"/>
    <s v="1478.36"/>
    <x v="3"/>
    <x v="2"/>
  </r>
  <r>
    <n v="1034"/>
    <x v="152"/>
    <s v="Sales invoice issued"/>
    <x v="273"/>
    <s v="110.88"/>
    <x v="4"/>
    <x v="3"/>
  </r>
  <r>
    <n v="1035"/>
    <x v="152"/>
    <s v="Customer payment received"/>
    <x v="562"/>
    <s v="0.0"/>
    <x v="0"/>
    <x v="0"/>
  </r>
  <r>
    <n v="1035"/>
    <x v="152"/>
    <s v="Customer payment received"/>
    <x v="273"/>
    <s v="715.61"/>
    <x v="2"/>
    <x v="0"/>
  </r>
  <r>
    <n v="1036"/>
    <x v="152"/>
    <s v="Customer payment received"/>
    <x v="574"/>
    <s v="0.0"/>
    <x v="0"/>
    <x v="0"/>
  </r>
  <r>
    <n v="1036"/>
    <x v="152"/>
    <s v="Customer payment received"/>
    <x v="273"/>
    <s v="2806.25"/>
    <x v="2"/>
    <x v="0"/>
  </r>
  <r>
    <n v="1037"/>
    <x v="152"/>
    <s v="Supplier payment made"/>
    <x v="327"/>
    <s v="0.0"/>
    <x v="11"/>
    <x v="3"/>
  </r>
  <r>
    <n v="1037"/>
    <x v="152"/>
    <s v="Supplier payment made"/>
    <x v="273"/>
    <s v="1935.04"/>
    <x v="0"/>
    <x v="0"/>
  </r>
  <r>
    <n v="1038"/>
    <x v="153"/>
    <s v="Sales invoice issued"/>
    <x v="594"/>
    <s v="0.0"/>
    <x v="2"/>
    <x v="0"/>
  </r>
  <r>
    <n v="1038"/>
    <x v="153"/>
    <s v="Sales invoice issued"/>
    <x v="273"/>
    <s v="2031.97"/>
    <x v="3"/>
    <x v="2"/>
  </r>
  <r>
    <n v="1038"/>
    <x v="153"/>
    <s v="Sales invoice issued"/>
    <x v="273"/>
    <s v="152.4"/>
    <x v="4"/>
    <x v="3"/>
  </r>
  <r>
    <n v="1039"/>
    <x v="153"/>
    <s v="Sales invoice issued"/>
    <x v="595"/>
    <s v="0.0"/>
    <x v="2"/>
    <x v="0"/>
  </r>
  <r>
    <n v="1039"/>
    <x v="153"/>
    <s v="Sales invoice issued"/>
    <x v="273"/>
    <s v="1004.72"/>
    <x v="3"/>
    <x v="2"/>
  </r>
  <r>
    <n v="1039"/>
    <x v="153"/>
    <s v="Sales invoice issued"/>
    <x v="273"/>
    <s v="75.36"/>
    <x v="4"/>
    <x v="3"/>
  </r>
  <r>
    <n v="1040"/>
    <x v="153"/>
    <s v="Sales invoice issued"/>
    <x v="596"/>
    <s v="0.0"/>
    <x v="2"/>
    <x v="0"/>
  </r>
  <r>
    <n v="1040"/>
    <x v="153"/>
    <s v="Sales invoice issued"/>
    <x v="273"/>
    <s v="1522.58"/>
    <x v="3"/>
    <x v="2"/>
  </r>
  <r>
    <n v="1040"/>
    <x v="153"/>
    <s v="Sales invoice issued"/>
    <x v="273"/>
    <s v="114.19"/>
    <x v="4"/>
    <x v="3"/>
  </r>
  <r>
    <n v="1041"/>
    <x v="153"/>
    <s v="Customer payment received"/>
    <x v="512"/>
    <s v="0.0"/>
    <x v="0"/>
    <x v="0"/>
  </r>
  <r>
    <n v="1041"/>
    <x v="153"/>
    <s v="Customer payment received"/>
    <x v="273"/>
    <s v="3175.27"/>
    <x v="2"/>
    <x v="0"/>
  </r>
  <r>
    <n v="1042"/>
    <x v="153"/>
    <s v="Customer payment received"/>
    <x v="540"/>
    <s v="0.0"/>
    <x v="0"/>
    <x v="0"/>
  </r>
  <r>
    <n v="1042"/>
    <x v="153"/>
    <s v="Customer payment received"/>
    <x v="273"/>
    <s v="2795.89"/>
    <x v="2"/>
    <x v="0"/>
  </r>
  <r>
    <n v="1043"/>
    <x v="153"/>
    <s v="Customer payment received"/>
    <x v="597"/>
    <s v="0.0"/>
    <x v="0"/>
    <x v="0"/>
  </r>
  <r>
    <n v="1043"/>
    <x v="153"/>
    <s v="Customer payment received"/>
    <x v="273"/>
    <s v="867.27"/>
    <x v="2"/>
    <x v="0"/>
  </r>
  <r>
    <n v="1044"/>
    <x v="153"/>
    <s v="Customer payment received"/>
    <x v="575"/>
    <s v="0.0"/>
    <x v="0"/>
    <x v="0"/>
  </r>
  <r>
    <n v="1044"/>
    <x v="153"/>
    <s v="Customer payment received"/>
    <x v="273"/>
    <s v="924.18"/>
    <x v="2"/>
    <x v="0"/>
  </r>
  <r>
    <n v="1045"/>
    <x v="153"/>
    <s v="Supplier invoice received"/>
    <x v="359"/>
    <s v="0.0"/>
    <x v="9"/>
    <x v="4"/>
  </r>
  <r>
    <n v="1045"/>
    <x v="153"/>
    <s v="Supplier invoice received"/>
    <x v="360"/>
    <s v="0.0"/>
    <x v="10"/>
    <x v="0"/>
  </r>
  <r>
    <n v="1045"/>
    <x v="153"/>
    <s v="Supplier invoice received"/>
    <x v="273"/>
    <s v="1591.54"/>
    <x v="11"/>
    <x v="3"/>
  </r>
  <r>
    <n v="1046"/>
    <x v="153"/>
    <s v="Supplier payment made"/>
    <x v="488"/>
    <s v="0.0"/>
    <x v="11"/>
    <x v="3"/>
  </r>
  <r>
    <n v="1046"/>
    <x v="153"/>
    <s v="Supplier payment made"/>
    <x v="273"/>
    <s v="2182.41"/>
    <x v="0"/>
    <x v="0"/>
  </r>
  <r>
    <n v="1047"/>
    <x v="153"/>
    <s v="Supplier payment made"/>
    <x v="327"/>
    <s v="0.0"/>
    <x v="11"/>
    <x v="3"/>
  </r>
  <r>
    <n v="1047"/>
    <x v="153"/>
    <s v="Supplier payment made"/>
    <x v="273"/>
    <s v="1935.04"/>
    <x v="0"/>
    <x v="0"/>
  </r>
  <r>
    <n v="1048"/>
    <x v="153"/>
    <s v="Depreciation â€” POS System"/>
    <x v="425"/>
    <s v="0.0"/>
    <x v="12"/>
    <x v="4"/>
  </r>
  <r>
    <n v="1048"/>
    <x v="153"/>
    <s v="Depreciation â€” POS System"/>
    <x v="273"/>
    <s v="93.61"/>
    <x v="13"/>
    <x v="0"/>
  </r>
  <r>
    <n v="1049"/>
    <x v="153"/>
    <s v="Depreciation â€” Laptop x2"/>
    <x v="426"/>
    <s v="0.0"/>
    <x v="12"/>
    <x v="4"/>
  </r>
  <r>
    <n v="1049"/>
    <x v="153"/>
    <s v="Depreciation â€” Laptop x2"/>
    <x v="273"/>
    <s v="76.86"/>
    <x v="13"/>
    <x v="0"/>
  </r>
  <r>
    <n v="1050"/>
    <x v="153"/>
    <s v="Depreciation â€” Printer/Scanner"/>
    <x v="427"/>
    <s v="0.0"/>
    <x v="12"/>
    <x v="4"/>
  </r>
  <r>
    <n v="1050"/>
    <x v="153"/>
    <s v="Depreciation â€” Printer/Scanner"/>
    <x v="273"/>
    <s v="20.03"/>
    <x v="13"/>
    <x v="0"/>
  </r>
  <r>
    <n v="1051"/>
    <x v="153"/>
    <s v="Depreciation â€” Shop Shelving"/>
    <x v="428"/>
    <s v="0.0"/>
    <x v="12"/>
    <x v="4"/>
  </r>
  <r>
    <n v="1051"/>
    <x v="153"/>
    <s v="Depreciation â€” Shop Shelving"/>
    <x v="273"/>
    <s v="86.89"/>
    <x v="14"/>
    <x v="0"/>
  </r>
  <r>
    <n v="1052"/>
    <x v="153"/>
    <s v="Depreciation â€” Display Stands"/>
    <x v="429"/>
    <s v="0.0"/>
    <x v="12"/>
    <x v="4"/>
  </r>
  <r>
    <n v="1052"/>
    <x v="153"/>
    <s v="Depreciation â€” Display Stands"/>
    <x v="273"/>
    <s v="76.8"/>
    <x v="14"/>
    <x v="0"/>
  </r>
  <r>
    <n v="1053"/>
    <x v="153"/>
    <s v="Depreciation â€” Counter &amp; Checkout"/>
    <x v="430"/>
    <s v="0.0"/>
    <x v="12"/>
    <x v="4"/>
  </r>
  <r>
    <n v="1053"/>
    <x v="153"/>
    <s v="Depreciation â€” Counter &amp; Checkout"/>
    <x v="273"/>
    <s v="48.28"/>
    <x v="14"/>
    <x v="0"/>
  </r>
  <r>
    <n v="1054"/>
    <x v="153"/>
    <s v="Depreciation â€” Signage"/>
    <x v="431"/>
    <s v="0.0"/>
    <x v="12"/>
    <x v="4"/>
  </r>
  <r>
    <n v="1054"/>
    <x v="153"/>
    <s v="Depreciation â€” Signage"/>
    <x v="273"/>
    <s v="53.21"/>
    <x v="14"/>
    <x v="0"/>
  </r>
  <r>
    <n v="1055"/>
    <x v="153"/>
    <s v="Depreciation â€” Delivery Van"/>
    <x v="432"/>
    <s v="0.0"/>
    <x v="12"/>
    <x v="4"/>
  </r>
  <r>
    <n v="1055"/>
    <x v="153"/>
    <s v="Depreciation â€” Delivery Van"/>
    <x v="273"/>
    <s v="232.19"/>
    <x v="15"/>
    <x v="0"/>
  </r>
  <r>
    <n v="1056"/>
    <x v="153"/>
    <s v="Depreciation â€” Security System"/>
    <x v="433"/>
    <s v="0.0"/>
    <x v="12"/>
    <x v="4"/>
  </r>
  <r>
    <n v="1056"/>
    <x v="153"/>
    <s v="Depreciation â€” Security System"/>
    <x v="273"/>
    <s v="43.85"/>
    <x v="13"/>
    <x v="0"/>
  </r>
  <r>
    <n v="1057"/>
    <x v="154"/>
    <s v="Payroll processed"/>
    <x v="598"/>
    <s v="0.0"/>
    <x v="5"/>
    <x v="4"/>
  </r>
  <r>
    <n v="1057"/>
    <x v="154"/>
    <s v="Payroll processed"/>
    <x v="599"/>
    <s v="0.0"/>
    <x v="6"/>
    <x v="4"/>
  </r>
  <r>
    <n v="1057"/>
    <x v="154"/>
    <s v="Payroll processed"/>
    <x v="273"/>
    <s v="18075.8"/>
    <x v="0"/>
    <x v="0"/>
  </r>
  <r>
    <n v="1057"/>
    <x v="154"/>
    <s v="Payroll processed"/>
    <x v="273"/>
    <s v="4069.27"/>
    <x v="7"/>
    <x v="3"/>
  </r>
  <r>
    <n v="1057"/>
    <x v="154"/>
    <s v="Payroll processed"/>
    <x v="273"/>
    <s v="885.81"/>
    <x v="8"/>
    <x v="3"/>
  </r>
  <r>
    <n v="1058"/>
    <x v="154"/>
    <s v="Sales invoice issued"/>
    <x v="600"/>
    <s v="0.0"/>
    <x v="2"/>
    <x v="0"/>
  </r>
  <r>
    <n v="1058"/>
    <x v="154"/>
    <s v="Sales invoice issued"/>
    <x v="273"/>
    <s v="1937.44"/>
    <x v="3"/>
    <x v="2"/>
  </r>
  <r>
    <n v="1058"/>
    <x v="154"/>
    <s v="Sales invoice issued"/>
    <x v="273"/>
    <s v="145.31"/>
    <x v="4"/>
    <x v="3"/>
  </r>
  <r>
    <n v="1059"/>
    <x v="154"/>
    <s v="Sales invoice issued"/>
    <x v="601"/>
    <s v="0.0"/>
    <x v="2"/>
    <x v="0"/>
  </r>
  <r>
    <n v="1059"/>
    <x v="154"/>
    <s v="Sales invoice issued"/>
    <x v="273"/>
    <s v="1552.51"/>
    <x v="3"/>
    <x v="2"/>
  </r>
  <r>
    <n v="1059"/>
    <x v="154"/>
    <s v="Sales invoice issued"/>
    <x v="273"/>
    <s v="116.44"/>
    <x v="4"/>
    <x v="3"/>
  </r>
  <r>
    <n v="1060"/>
    <x v="154"/>
    <s v="Sales invoice issued"/>
    <x v="602"/>
    <s v="0.0"/>
    <x v="2"/>
    <x v="0"/>
  </r>
  <r>
    <n v="1060"/>
    <x v="154"/>
    <s v="Sales invoice issued"/>
    <x v="273"/>
    <s v="1234.01"/>
    <x v="3"/>
    <x v="2"/>
  </r>
  <r>
    <n v="1060"/>
    <x v="154"/>
    <s v="Sales invoice issued"/>
    <x v="273"/>
    <s v="92.55"/>
    <x v="4"/>
    <x v="3"/>
  </r>
  <r>
    <n v="1061"/>
    <x v="154"/>
    <s v="Sales invoice issued"/>
    <x v="603"/>
    <s v="0.0"/>
    <x v="2"/>
    <x v="0"/>
  </r>
  <r>
    <n v="1061"/>
    <x v="154"/>
    <s v="Sales invoice issued"/>
    <x v="273"/>
    <s v="773.27"/>
    <x v="3"/>
    <x v="2"/>
  </r>
  <r>
    <n v="1061"/>
    <x v="154"/>
    <s v="Sales invoice issued"/>
    <x v="273"/>
    <s v="57.99"/>
    <x v="4"/>
    <x v="3"/>
  </r>
  <r>
    <n v="1062"/>
    <x v="154"/>
    <s v="Sales invoice issued"/>
    <x v="604"/>
    <s v="0.0"/>
    <x v="2"/>
    <x v="0"/>
  </r>
  <r>
    <n v="1062"/>
    <x v="154"/>
    <s v="Sales invoice issued"/>
    <x v="273"/>
    <s v="2074.36"/>
    <x v="3"/>
    <x v="2"/>
  </r>
  <r>
    <n v="1062"/>
    <x v="154"/>
    <s v="Sales invoice issued"/>
    <x v="273"/>
    <s v="155.58"/>
    <x v="4"/>
    <x v="3"/>
  </r>
  <r>
    <n v="1063"/>
    <x v="154"/>
    <s v="Sales invoice issued"/>
    <x v="605"/>
    <s v="0.0"/>
    <x v="2"/>
    <x v="0"/>
  </r>
  <r>
    <n v="1063"/>
    <x v="154"/>
    <s v="Sales invoice issued"/>
    <x v="273"/>
    <s v="1734.67"/>
    <x v="3"/>
    <x v="2"/>
  </r>
  <r>
    <n v="1063"/>
    <x v="154"/>
    <s v="Sales invoice issued"/>
    <x v="273"/>
    <s v="130.09"/>
    <x v="4"/>
    <x v="3"/>
  </r>
  <r>
    <n v="1064"/>
    <x v="154"/>
    <s v="Supplier payment made"/>
    <x v="292"/>
    <s v="0.0"/>
    <x v="11"/>
    <x v="3"/>
  </r>
  <r>
    <n v="1064"/>
    <x v="154"/>
    <s v="Supplier payment made"/>
    <x v="273"/>
    <s v="1766.46"/>
    <x v="0"/>
    <x v="0"/>
  </r>
  <r>
    <n v="1065"/>
    <x v="154"/>
    <s v="Supplier payment made"/>
    <x v="350"/>
    <s v="0.0"/>
    <x v="11"/>
    <x v="3"/>
  </r>
  <r>
    <n v="1065"/>
    <x v="154"/>
    <s v="Supplier payment made"/>
    <x v="273"/>
    <s v="1794.11"/>
    <x v="0"/>
    <x v="0"/>
  </r>
  <r>
    <n v="1066"/>
    <x v="155"/>
    <s v="Sales invoice issued"/>
    <x v="606"/>
    <s v="0.0"/>
    <x v="2"/>
    <x v="0"/>
  </r>
  <r>
    <n v="1066"/>
    <x v="155"/>
    <s v="Sales invoice issued"/>
    <x v="273"/>
    <s v="1395.24"/>
    <x v="3"/>
    <x v="2"/>
  </r>
  <r>
    <n v="1066"/>
    <x v="155"/>
    <s v="Sales invoice issued"/>
    <x v="273"/>
    <s v="104.65"/>
    <x v="4"/>
    <x v="3"/>
  </r>
  <r>
    <n v="1067"/>
    <x v="155"/>
    <s v="Sales invoice issued"/>
    <x v="607"/>
    <s v="0.0"/>
    <x v="2"/>
    <x v="0"/>
  </r>
  <r>
    <n v="1067"/>
    <x v="155"/>
    <s v="Sales invoice issued"/>
    <x v="273"/>
    <s v="2635.55"/>
    <x v="3"/>
    <x v="2"/>
  </r>
  <r>
    <n v="1067"/>
    <x v="155"/>
    <s v="Sales invoice issued"/>
    <x v="273"/>
    <s v="197.67"/>
    <x v="4"/>
    <x v="3"/>
  </r>
  <r>
    <n v="1068"/>
    <x v="155"/>
    <s v="Sales invoice issued"/>
    <x v="608"/>
    <s v="0.0"/>
    <x v="2"/>
    <x v="0"/>
  </r>
  <r>
    <n v="1068"/>
    <x v="155"/>
    <s v="Sales invoice issued"/>
    <x v="273"/>
    <s v="1403.04"/>
    <x v="3"/>
    <x v="2"/>
  </r>
  <r>
    <n v="1068"/>
    <x v="155"/>
    <s v="Sales invoice issued"/>
    <x v="273"/>
    <s v="105.23"/>
    <x v="4"/>
    <x v="3"/>
  </r>
  <r>
    <n v="1069"/>
    <x v="155"/>
    <s v="Customer payment received"/>
    <x v="467"/>
    <s v="0.0"/>
    <x v="0"/>
    <x v="0"/>
  </r>
  <r>
    <n v="1069"/>
    <x v="155"/>
    <s v="Customer payment received"/>
    <x v="273"/>
    <s v="1594.48"/>
    <x v="2"/>
    <x v="0"/>
  </r>
  <r>
    <n v="1070"/>
    <x v="155"/>
    <s v="Customer payment received"/>
    <x v="552"/>
    <s v="0.0"/>
    <x v="0"/>
    <x v="0"/>
  </r>
  <r>
    <n v="1070"/>
    <x v="155"/>
    <s v="Customer payment received"/>
    <x v="273"/>
    <s v="2409.02"/>
    <x v="2"/>
    <x v="0"/>
  </r>
  <r>
    <n v="1071"/>
    <x v="155"/>
    <s v="Customer payment received"/>
    <x v="577"/>
    <s v="0.0"/>
    <x v="0"/>
    <x v="0"/>
  </r>
  <r>
    <n v="1071"/>
    <x v="155"/>
    <s v="Customer payment received"/>
    <x v="273"/>
    <s v="4842.64"/>
    <x v="2"/>
    <x v="0"/>
  </r>
  <r>
    <n v="1072"/>
    <x v="155"/>
    <s v="Customer payment received"/>
    <x v="606"/>
    <s v="0.0"/>
    <x v="0"/>
    <x v="0"/>
  </r>
  <r>
    <n v="1072"/>
    <x v="155"/>
    <s v="Customer payment received"/>
    <x v="273"/>
    <s v="1499.89"/>
    <x v="2"/>
    <x v="0"/>
  </r>
  <r>
    <n v="1073"/>
    <x v="155"/>
    <s v="Supplier invoice received"/>
    <x v="301"/>
    <s v="0.0"/>
    <x v="9"/>
    <x v="4"/>
  </r>
  <r>
    <n v="1073"/>
    <x v="155"/>
    <s v="Supplier invoice received"/>
    <x v="302"/>
    <s v="0.0"/>
    <x v="10"/>
    <x v="0"/>
  </r>
  <r>
    <n v="1073"/>
    <x v="155"/>
    <s v="Supplier invoice received"/>
    <x v="273"/>
    <s v="4812.46"/>
    <x v="11"/>
    <x v="3"/>
  </r>
  <r>
    <n v="1074"/>
    <x v="155"/>
    <s v="Supplier invoice received"/>
    <x v="338"/>
    <s v="0.0"/>
    <x v="9"/>
    <x v="4"/>
  </r>
  <r>
    <n v="1074"/>
    <x v="155"/>
    <s v="Supplier invoice received"/>
    <x v="339"/>
    <s v="0.0"/>
    <x v="10"/>
    <x v="0"/>
  </r>
  <r>
    <n v="1074"/>
    <x v="155"/>
    <s v="Supplier invoice received"/>
    <x v="273"/>
    <s v="1159.84"/>
    <x v="11"/>
    <x v="3"/>
  </r>
  <r>
    <n v="1075"/>
    <x v="155"/>
    <s v="Supplier payment made"/>
    <x v="466"/>
    <s v="0.0"/>
    <x v="11"/>
    <x v="3"/>
  </r>
  <r>
    <n v="1075"/>
    <x v="155"/>
    <s v="Supplier payment made"/>
    <x v="273"/>
    <s v="748.26"/>
    <x v="0"/>
    <x v="0"/>
  </r>
  <r>
    <n v="1076"/>
    <x v="155"/>
    <s v="Supplier payment made"/>
    <x v="313"/>
    <s v="0.0"/>
    <x v="11"/>
    <x v="3"/>
  </r>
  <r>
    <n v="1076"/>
    <x v="155"/>
    <s v="Supplier payment made"/>
    <x v="273"/>
    <s v="1159.84"/>
    <x v="0"/>
    <x v="0"/>
  </r>
  <r>
    <n v="1077"/>
    <x v="156"/>
    <s v="Sales invoice issued"/>
    <x v="609"/>
    <s v="0.0"/>
    <x v="2"/>
    <x v="0"/>
  </r>
  <r>
    <n v="1077"/>
    <x v="156"/>
    <s v="Sales invoice issued"/>
    <x v="273"/>
    <s v="1676.63"/>
    <x v="3"/>
    <x v="2"/>
  </r>
  <r>
    <n v="1077"/>
    <x v="156"/>
    <s v="Sales invoice issued"/>
    <x v="273"/>
    <s v="125.75"/>
    <x v="4"/>
    <x v="3"/>
  </r>
  <r>
    <n v="1078"/>
    <x v="156"/>
    <s v="Sales invoice issued"/>
    <x v="610"/>
    <s v="0.0"/>
    <x v="2"/>
    <x v="0"/>
  </r>
  <r>
    <n v="1078"/>
    <x v="156"/>
    <s v="Sales invoice issued"/>
    <x v="273"/>
    <s v="1683.69"/>
    <x v="3"/>
    <x v="2"/>
  </r>
  <r>
    <n v="1078"/>
    <x v="156"/>
    <s v="Sales invoice issued"/>
    <x v="273"/>
    <s v="126.28"/>
    <x v="4"/>
    <x v="3"/>
  </r>
  <r>
    <n v="1079"/>
    <x v="156"/>
    <s v="Customer payment received"/>
    <x v="505"/>
    <s v="0.0"/>
    <x v="0"/>
    <x v="0"/>
  </r>
  <r>
    <n v="1079"/>
    <x v="156"/>
    <s v="Customer payment received"/>
    <x v="273"/>
    <s v="3165.66"/>
    <x v="2"/>
    <x v="0"/>
  </r>
  <r>
    <n v="1080"/>
    <x v="156"/>
    <s v="Supplier invoice received"/>
    <x v="284"/>
    <s v="0.0"/>
    <x v="9"/>
    <x v="4"/>
  </r>
  <r>
    <n v="1080"/>
    <x v="156"/>
    <s v="Supplier invoice received"/>
    <x v="285"/>
    <s v="0.0"/>
    <x v="10"/>
    <x v="0"/>
  </r>
  <r>
    <n v="1080"/>
    <x v="156"/>
    <s v="Supplier invoice received"/>
    <x v="273"/>
    <s v="9336.67"/>
    <x v="11"/>
    <x v="3"/>
  </r>
  <r>
    <n v="1081"/>
    <x v="156"/>
    <s v="Supplier invoice received"/>
    <x v="448"/>
    <s v="0.0"/>
    <x v="9"/>
    <x v="4"/>
  </r>
  <r>
    <n v="1081"/>
    <x v="156"/>
    <s v="Supplier invoice received"/>
    <x v="449"/>
    <s v="0.0"/>
    <x v="10"/>
    <x v="0"/>
  </r>
  <r>
    <n v="1081"/>
    <x v="156"/>
    <s v="Supplier invoice received"/>
    <x v="273"/>
    <s v="7227.44"/>
    <x v="11"/>
    <x v="3"/>
  </r>
  <r>
    <n v="1082"/>
    <x v="156"/>
    <s v="Supplier invoice received"/>
    <x v="374"/>
    <s v="0.0"/>
    <x v="9"/>
    <x v="4"/>
  </r>
  <r>
    <n v="1082"/>
    <x v="156"/>
    <s v="Supplier invoice received"/>
    <x v="375"/>
    <s v="0.0"/>
    <x v="10"/>
    <x v="0"/>
  </r>
  <r>
    <n v="1082"/>
    <x v="156"/>
    <s v="Supplier invoice received"/>
    <x v="273"/>
    <s v="2504.23"/>
    <x v="11"/>
    <x v="3"/>
  </r>
  <r>
    <n v="1083"/>
    <x v="156"/>
    <s v="Supplier invoice received"/>
    <x v="474"/>
    <s v="0.0"/>
    <x v="9"/>
    <x v="4"/>
  </r>
  <r>
    <n v="1083"/>
    <x v="156"/>
    <s v="Supplier invoice received"/>
    <x v="475"/>
    <s v="0.0"/>
    <x v="10"/>
    <x v="0"/>
  </r>
  <r>
    <n v="1083"/>
    <x v="156"/>
    <s v="Supplier invoice received"/>
    <x v="273"/>
    <s v="862.91"/>
    <x v="11"/>
    <x v="3"/>
  </r>
  <r>
    <n v="1084"/>
    <x v="156"/>
    <s v="Supplier payment made"/>
    <x v="309"/>
    <s v="0.0"/>
    <x v="11"/>
    <x v="3"/>
  </r>
  <r>
    <n v="1084"/>
    <x v="156"/>
    <s v="Supplier payment made"/>
    <x v="273"/>
    <s v="4812.46"/>
    <x v="0"/>
    <x v="0"/>
  </r>
  <r>
    <n v="1085"/>
    <x v="156"/>
    <s v="Supplier payment made"/>
    <x v="318"/>
    <s v="0.0"/>
    <x v="11"/>
    <x v="3"/>
  </r>
  <r>
    <n v="1085"/>
    <x v="156"/>
    <s v="Supplier payment made"/>
    <x v="273"/>
    <s v="2504.23"/>
    <x v="0"/>
    <x v="0"/>
  </r>
  <r>
    <n v="1086"/>
    <x v="157"/>
    <s v="Sales invoice issued"/>
    <x v="611"/>
    <s v="0.0"/>
    <x v="2"/>
    <x v="0"/>
  </r>
  <r>
    <n v="1086"/>
    <x v="157"/>
    <s v="Sales invoice issued"/>
    <x v="273"/>
    <s v="1845.84"/>
    <x v="3"/>
    <x v="2"/>
  </r>
  <r>
    <n v="1086"/>
    <x v="157"/>
    <s v="Sales invoice issued"/>
    <x v="273"/>
    <s v="138.43"/>
    <x v="4"/>
    <x v="3"/>
  </r>
  <r>
    <n v="1087"/>
    <x v="157"/>
    <s v="Sales invoice issued"/>
    <x v="612"/>
    <s v="0.0"/>
    <x v="2"/>
    <x v="0"/>
  </r>
  <r>
    <n v="1087"/>
    <x v="157"/>
    <s v="Sales invoice issued"/>
    <x v="273"/>
    <s v="5069.97"/>
    <x v="3"/>
    <x v="2"/>
  </r>
  <r>
    <n v="1087"/>
    <x v="157"/>
    <s v="Sales invoice issued"/>
    <x v="273"/>
    <s v="380.25"/>
    <x v="4"/>
    <x v="3"/>
  </r>
  <r>
    <n v="1088"/>
    <x v="157"/>
    <s v="Sales invoice issued"/>
    <x v="613"/>
    <s v="0.0"/>
    <x v="2"/>
    <x v="0"/>
  </r>
  <r>
    <n v="1088"/>
    <x v="157"/>
    <s v="Sales invoice issued"/>
    <x v="273"/>
    <s v="2597.25"/>
    <x v="3"/>
    <x v="2"/>
  </r>
  <r>
    <n v="1088"/>
    <x v="157"/>
    <s v="Sales invoice issued"/>
    <x v="273"/>
    <s v="194.8"/>
    <x v="4"/>
    <x v="3"/>
  </r>
  <r>
    <n v="1089"/>
    <x v="157"/>
    <s v="Customer payment received"/>
    <x v="508"/>
    <s v="0.0"/>
    <x v="0"/>
    <x v="0"/>
  </r>
  <r>
    <n v="1089"/>
    <x v="157"/>
    <s v="Customer payment received"/>
    <x v="273"/>
    <s v="152.16"/>
    <x v="2"/>
    <x v="0"/>
  </r>
  <r>
    <n v="1090"/>
    <x v="157"/>
    <s v="Customer payment received"/>
    <x v="548"/>
    <s v="0.0"/>
    <x v="0"/>
    <x v="0"/>
  </r>
  <r>
    <n v="1090"/>
    <x v="157"/>
    <s v="Customer payment received"/>
    <x v="273"/>
    <s v="295.36"/>
    <x v="2"/>
    <x v="0"/>
  </r>
  <r>
    <n v="1091"/>
    <x v="157"/>
    <s v="Customer payment received"/>
    <x v="591"/>
    <s v="0.0"/>
    <x v="0"/>
    <x v="0"/>
  </r>
  <r>
    <n v="1091"/>
    <x v="157"/>
    <s v="Customer payment received"/>
    <x v="273"/>
    <s v="2016.35"/>
    <x v="2"/>
    <x v="0"/>
  </r>
  <r>
    <n v="1092"/>
    <x v="157"/>
    <s v="Customer payment received"/>
    <x v="611"/>
    <s v="0.0"/>
    <x v="0"/>
    <x v="0"/>
  </r>
  <r>
    <n v="1092"/>
    <x v="157"/>
    <s v="Customer payment received"/>
    <x v="273"/>
    <s v="1984.27"/>
    <x v="2"/>
    <x v="0"/>
  </r>
  <r>
    <n v="1093"/>
    <x v="157"/>
    <s v="Supplier invoice received"/>
    <x v="405"/>
    <s v="0.0"/>
    <x v="9"/>
    <x v="4"/>
  </r>
  <r>
    <n v="1093"/>
    <x v="157"/>
    <s v="Supplier invoice received"/>
    <x v="406"/>
    <s v="0.0"/>
    <x v="10"/>
    <x v="0"/>
  </r>
  <r>
    <n v="1093"/>
    <x v="157"/>
    <s v="Supplier invoice received"/>
    <x v="273"/>
    <s v="2635.36"/>
    <x v="11"/>
    <x v="3"/>
  </r>
  <r>
    <n v="1094"/>
    <x v="157"/>
    <s v="Supplier invoice received"/>
    <x v="357"/>
    <s v="0.0"/>
    <x v="9"/>
    <x v="4"/>
  </r>
  <r>
    <n v="1094"/>
    <x v="157"/>
    <s v="Supplier invoice received"/>
    <x v="358"/>
    <s v="0.0"/>
    <x v="10"/>
    <x v="0"/>
  </r>
  <r>
    <n v="1094"/>
    <x v="157"/>
    <s v="Supplier invoice received"/>
    <x v="273"/>
    <s v="1958.74"/>
    <x v="11"/>
    <x v="3"/>
  </r>
  <r>
    <n v="1095"/>
    <x v="157"/>
    <s v="Supplier invoice received"/>
    <x v="383"/>
    <s v="0.0"/>
    <x v="9"/>
    <x v="4"/>
  </r>
  <r>
    <n v="1095"/>
    <x v="157"/>
    <s v="Supplier invoice received"/>
    <x v="384"/>
    <s v="0.0"/>
    <x v="10"/>
    <x v="0"/>
  </r>
  <r>
    <n v="1095"/>
    <x v="157"/>
    <s v="Supplier invoice received"/>
    <x v="273"/>
    <s v="3868.8"/>
    <x v="11"/>
    <x v="3"/>
  </r>
  <r>
    <n v="1096"/>
    <x v="157"/>
    <s v="Supplier payment made"/>
    <x v="392"/>
    <s v="0.0"/>
    <x v="11"/>
    <x v="3"/>
  </r>
  <r>
    <n v="1096"/>
    <x v="157"/>
    <s v="Supplier payment made"/>
    <x v="273"/>
    <s v="1023.42"/>
    <x v="0"/>
    <x v="0"/>
  </r>
  <r>
    <n v="1097"/>
    <x v="157"/>
    <s v="Supplier payment made"/>
    <x v="318"/>
    <s v="0.0"/>
    <x v="11"/>
    <x v="3"/>
  </r>
  <r>
    <n v="1097"/>
    <x v="157"/>
    <s v="Supplier payment made"/>
    <x v="273"/>
    <s v="2504.23"/>
    <x v="0"/>
    <x v="0"/>
  </r>
  <r>
    <n v="1098"/>
    <x v="158"/>
    <s v="Sales invoice issued"/>
    <x v="614"/>
    <s v="0.0"/>
    <x v="2"/>
    <x v="0"/>
  </r>
  <r>
    <n v="1098"/>
    <x v="158"/>
    <s v="Sales invoice issued"/>
    <x v="273"/>
    <s v="350.28"/>
    <x v="3"/>
    <x v="2"/>
  </r>
  <r>
    <n v="1098"/>
    <x v="158"/>
    <s v="Sales invoice issued"/>
    <x v="273"/>
    <s v="26.27"/>
    <x v="4"/>
    <x v="3"/>
  </r>
  <r>
    <n v="1099"/>
    <x v="158"/>
    <s v="Sales invoice issued"/>
    <x v="615"/>
    <s v="0.0"/>
    <x v="2"/>
    <x v="0"/>
  </r>
  <r>
    <n v="1099"/>
    <x v="158"/>
    <s v="Sales invoice issued"/>
    <x v="273"/>
    <s v="1094.2"/>
    <x v="3"/>
    <x v="2"/>
  </r>
  <r>
    <n v="1099"/>
    <x v="158"/>
    <s v="Sales invoice issued"/>
    <x v="273"/>
    <s v="82.06"/>
    <x v="4"/>
    <x v="3"/>
  </r>
  <r>
    <n v="1100"/>
    <x v="158"/>
    <s v="Sales invoice issued"/>
    <x v="616"/>
    <s v="0.0"/>
    <x v="2"/>
    <x v="0"/>
  </r>
  <r>
    <n v="1100"/>
    <x v="158"/>
    <s v="Sales invoice issued"/>
    <x v="273"/>
    <s v="381.73"/>
    <x v="3"/>
    <x v="2"/>
  </r>
  <r>
    <n v="1100"/>
    <x v="158"/>
    <s v="Sales invoice issued"/>
    <x v="273"/>
    <s v="28.63"/>
    <x v="4"/>
    <x v="3"/>
  </r>
  <r>
    <n v="1101"/>
    <x v="158"/>
    <s v="Sales invoice issued"/>
    <x v="617"/>
    <s v="0.0"/>
    <x v="2"/>
    <x v="0"/>
  </r>
  <r>
    <n v="1101"/>
    <x v="158"/>
    <s v="Sales invoice issued"/>
    <x v="273"/>
    <s v="6467.47"/>
    <x v="3"/>
    <x v="2"/>
  </r>
  <r>
    <n v="1101"/>
    <x v="158"/>
    <s v="Sales invoice issued"/>
    <x v="273"/>
    <s v="485.06"/>
    <x v="4"/>
    <x v="3"/>
  </r>
  <r>
    <n v="1102"/>
    <x v="158"/>
    <s v="Sales invoice issued"/>
    <x v="618"/>
    <s v="0.0"/>
    <x v="2"/>
    <x v="0"/>
  </r>
  <r>
    <n v="1102"/>
    <x v="158"/>
    <s v="Sales invoice issued"/>
    <x v="273"/>
    <s v="970.27"/>
    <x v="3"/>
    <x v="2"/>
  </r>
  <r>
    <n v="1102"/>
    <x v="158"/>
    <s v="Sales invoice issued"/>
    <x v="273"/>
    <s v="72.77"/>
    <x v="4"/>
    <x v="3"/>
  </r>
  <r>
    <n v="1103"/>
    <x v="158"/>
    <s v="Sales invoice issued"/>
    <x v="619"/>
    <s v="0.0"/>
    <x v="2"/>
    <x v="0"/>
  </r>
  <r>
    <n v="1103"/>
    <x v="158"/>
    <s v="Sales invoice issued"/>
    <x v="273"/>
    <s v="208.06"/>
    <x v="3"/>
    <x v="2"/>
  </r>
  <r>
    <n v="1103"/>
    <x v="158"/>
    <s v="Sales invoice issued"/>
    <x v="273"/>
    <s v="15.61"/>
    <x v="4"/>
    <x v="3"/>
  </r>
  <r>
    <n v="1104"/>
    <x v="158"/>
    <s v="Customer payment received"/>
    <x v="470"/>
    <s v="0.0"/>
    <x v="0"/>
    <x v="0"/>
  </r>
  <r>
    <n v="1104"/>
    <x v="158"/>
    <s v="Customer payment received"/>
    <x v="273"/>
    <s v="3785.13"/>
    <x v="2"/>
    <x v="0"/>
  </r>
  <r>
    <n v="1105"/>
    <x v="158"/>
    <s v="Customer payment received"/>
    <x v="487"/>
    <s v="0.0"/>
    <x v="0"/>
    <x v="0"/>
  </r>
  <r>
    <n v="1105"/>
    <x v="158"/>
    <s v="Customer payment received"/>
    <x v="273"/>
    <s v="3811.64"/>
    <x v="2"/>
    <x v="0"/>
  </r>
  <r>
    <n v="1106"/>
    <x v="158"/>
    <s v="Customer payment received"/>
    <x v="620"/>
    <s v="0.0"/>
    <x v="0"/>
    <x v="0"/>
  </r>
  <r>
    <n v="1106"/>
    <x v="158"/>
    <s v="Customer payment received"/>
    <x v="273"/>
    <s v="298.22"/>
    <x v="2"/>
    <x v="0"/>
  </r>
  <r>
    <n v="1107"/>
    <x v="158"/>
    <s v="Customer payment received"/>
    <x v="537"/>
    <s v="0.0"/>
    <x v="0"/>
    <x v="0"/>
  </r>
  <r>
    <n v="1107"/>
    <x v="158"/>
    <s v="Customer payment received"/>
    <x v="273"/>
    <s v="2511.86"/>
    <x v="2"/>
    <x v="0"/>
  </r>
  <r>
    <n v="1108"/>
    <x v="158"/>
    <s v="Customer payment received"/>
    <x v="546"/>
    <s v="0.0"/>
    <x v="0"/>
    <x v="0"/>
  </r>
  <r>
    <n v="1108"/>
    <x v="158"/>
    <s v="Customer payment received"/>
    <x v="273"/>
    <s v="6212.53"/>
    <x v="2"/>
    <x v="0"/>
  </r>
  <r>
    <n v="1109"/>
    <x v="158"/>
    <s v="Customer payment received"/>
    <x v="595"/>
    <s v="0.0"/>
    <x v="0"/>
    <x v="0"/>
  </r>
  <r>
    <n v="1109"/>
    <x v="158"/>
    <s v="Customer payment received"/>
    <x v="273"/>
    <s v="1080.08"/>
    <x v="2"/>
    <x v="0"/>
  </r>
  <r>
    <n v="1110"/>
    <x v="158"/>
    <s v="Customer payment received"/>
    <x v="607"/>
    <s v="0.0"/>
    <x v="0"/>
    <x v="0"/>
  </r>
  <r>
    <n v="1110"/>
    <x v="158"/>
    <s v="Customer payment received"/>
    <x v="273"/>
    <s v="2833.22"/>
    <x v="2"/>
    <x v="0"/>
  </r>
  <r>
    <n v="1111"/>
    <x v="158"/>
    <s v="Supplier payment made"/>
    <x v="335"/>
    <s v="0.0"/>
    <x v="11"/>
    <x v="3"/>
  </r>
  <r>
    <n v="1111"/>
    <x v="158"/>
    <s v="Supplier payment made"/>
    <x v="273"/>
    <s v="550.4"/>
    <x v="0"/>
    <x v="0"/>
  </r>
  <r>
    <n v="1112"/>
    <x v="159"/>
    <s v="Sales invoice issued"/>
    <x v="621"/>
    <s v="0.0"/>
    <x v="2"/>
    <x v="0"/>
  </r>
  <r>
    <n v="1112"/>
    <x v="159"/>
    <s v="Sales invoice issued"/>
    <x v="273"/>
    <s v="1686.2"/>
    <x v="3"/>
    <x v="2"/>
  </r>
  <r>
    <n v="1112"/>
    <x v="159"/>
    <s v="Sales invoice issued"/>
    <x v="273"/>
    <s v="126.47"/>
    <x v="4"/>
    <x v="3"/>
  </r>
  <r>
    <n v="1113"/>
    <x v="159"/>
    <s v="Sales invoice issued"/>
    <x v="622"/>
    <s v="0.0"/>
    <x v="2"/>
    <x v="0"/>
  </r>
  <r>
    <n v="1113"/>
    <x v="159"/>
    <s v="Sales invoice issued"/>
    <x v="273"/>
    <s v="1890.26"/>
    <x v="3"/>
    <x v="2"/>
  </r>
  <r>
    <n v="1113"/>
    <x v="159"/>
    <s v="Sales invoice issued"/>
    <x v="273"/>
    <s v="141.77"/>
    <x v="4"/>
    <x v="3"/>
  </r>
  <r>
    <n v="1114"/>
    <x v="159"/>
    <s v="Sales invoice issued"/>
    <x v="623"/>
    <s v="0.0"/>
    <x v="2"/>
    <x v="0"/>
  </r>
  <r>
    <n v="1114"/>
    <x v="159"/>
    <s v="Sales invoice issued"/>
    <x v="273"/>
    <s v="2644.69"/>
    <x v="3"/>
    <x v="2"/>
  </r>
  <r>
    <n v="1114"/>
    <x v="159"/>
    <s v="Sales invoice issued"/>
    <x v="273"/>
    <s v="198.35"/>
    <x v="4"/>
    <x v="3"/>
  </r>
  <r>
    <n v="1115"/>
    <x v="159"/>
    <s v="Customer payment received"/>
    <x v="624"/>
    <s v="0.0"/>
    <x v="0"/>
    <x v="0"/>
  </r>
  <r>
    <n v="1115"/>
    <x v="159"/>
    <s v="Customer payment received"/>
    <x v="273"/>
    <s v="391.65"/>
    <x v="2"/>
    <x v="0"/>
  </r>
  <r>
    <n v="1116"/>
    <x v="159"/>
    <s v="Customer payment received"/>
    <x v="623"/>
    <s v="0.0"/>
    <x v="0"/>
    <x v="0"/>
  </r>
  <r>
    <n v="1116"/>
    <x v="159"/>
    <s v="Customer payment received"/>
    <x v="273"/>
    <s v="2843.04"/>
    <x v="2"/>
    <x v="0"/>
  </r>
  <r>
    <n v="1117"/>
    <x v="159"/>
    <s v="Supplier invoice received"/>
    <x v="330"/>
    <s v="0.0"/>
    <x v="9"/>
    <x v="4"/>
  </r>
  <r>
    <n v="1117"/>
    <x v="159"/>
    <s v="Supplier invoice received"/>
    <x v="331"/>
    <s v="0.0"/>
    <x v="10"/>
    <x v="0"/>
  </r>
  <r>
    <n v="1117"/>
    <x v="159"/>
    <s v="Supplier invoice received"/>
    <x v="273"/>
    <s v="1935.04"/>
    <x v="11"/>
    <x v="3"/>
  </r>
  <r>
    <n v="1118"/>
    <x v="159"/>
    <s v="Supplier payment made"/>
    <x v="310"/>
    <s v="0.0"/>
    <x v="11"/>
    <x v="3"/>
  </r>
  <r>
    <n v="1118"/>
    <x v="159"/>
    <s v="Supplier payment made"/>
    <x v="273"/>
    <s v="276.32"/>
    <x v="0"/>
    <x v="0"/>
  </r>
  <r>
    <n v="1119"/>
    <x v="160"/>
    <s v="Sales invoice issued"/>
    <x v="625"/>
    <s v="0.0"/>
    <x v="2"/>
    <x v="0"/>
  </r>
  <r>
    <n v="1119"/>
    <x v="160"/>
    <s v="Sales invoice issued"/>
    <x v="273"/>
    <s v="1366.89"/>
    <x v="3"/>
    <x v="2"/>
  </r>
  <r>
    <n v="1119"/>
    <x v="160"/>
    <s v="Sales invoice issued"/>
    <x v="273"/>
    <s v="102.52"/>
    <x v="4"/>
    <x v="3"/>
  </r>
  <r>
    <n v="1120"/>
    <x v="160"/>
    <s v="Sales invoice issued"/>
    <x v="626"/>
    <s v="0.0"/>
    <x v="2"/>
    <x v="0"/>
  </r>
  <r>
    <n v="1120"/>
    <x v="160"/>
    <s v="Sales invoice issued"/>
    <x v="273"/>
    <s v="4348.62"/>
    <x v="3"/>
    <x v="2"/>
  </r>
  <r>
    <n v="1120"/>
    <x v="160"/>
    <s v="Sales invoice issued"/>
    <x v="273"/>
    <s v="326.14"/>
    <x v="4"/>
    <x v="3"/>
  </r>
  <r>
    <n v="1121"/>
    <x v="160"/>
    <s v="Sales invoice issued"/>
    <x v="627"/>
    <s v="0.0"/>
    <x v="2"/>
    <x v="0"/>
  </r>
  <r>
    <n v="1121"/>
    <x v="160"/>
    <s v="Sales invoice issued"/>
    <x v="273"/>
    <s v="3394.23"/>
    <x v="3"/>
    <x v="2"/>
  </r>
  <r>
    <n v="1121"/>
    <x v="160"/>
    <s v="Sales invoice issued"/>
    <x v="273"/>
    <s v="254.58"/>
    <x v="4"/>
    <x v="3"/>
  </r>
  <r>
    <n v="1122"/>
    <x v="160"/>
    <s v="Sales invoice issued"/>
    <x v="628"/>
    <s v="0.0"/>
    <x v="2"/>
    <x v="0"/>
  </r>
  <r>
    <n v="1122"/>
    <x v="160"/>
    <s v="Sales invoice issued"/>
    <x v="273"/>
    <s v="2922.61"/>
    <x v="3"/>
    <x v="2"/>
  </r>
  <r>
    <n v="1122"/>
    <x v="160"/>
    <s v="Sales invoice issued"/>
    <x v="273"/>
    <s v="219.2"/>
    <x v="4"/>
    <x v="3"/>
  </r>
  <r>
    <n v="1123"/>
    <x v="160"/>
    <s v="Customer payment received"/>
    <x v="529"/>
    <s v="0.0"/>
    <x v="0"/>
    <x v="0"/>
  </r>
  <r>
    <n v="1123"/>
    <x v="160"/>
    <s v="Customer payment received"/>
    <x v="273"/>
    <s v="4453.28"/>
    <x v="2"/>
    <x v="0"/>
  </r>
  <r>
    <n v="1124"/>
    <x v="160"/>
    <s v="Customer payment received"/>
    <x v="590"/>
    <s v="0.0"/>
    <x v="0"/>
    <x v="0"/>
  </r>
  <r>
    <n v="1124"/>
    <x v="160"/>
    <s v="Customer payment received"/>
    <x v="273"/>
    <s v="3554.72"/>
    <x v="2"/>
    <x v="0"/>
  </r>
  <r>
    <n v="1125"/>
    <x v="161"/>
    <s v="Sales invoice issued"/>
    <x v="629"/>
    <s v="0.0"/>
    <x v="2"/>
    <x v="0"/>
  </r>
  <r>
    <n v="1125"/>
    <x v="161"/>
    <s v="Sales invoice issued"/>
    <x v="273"/>
    <s v="2203.77"/>
    <x v="3"/>
    <x v="2"/>
  </r>
  <r>
    <n v="1125"/>
    <x v="161"/>
    <s v="Sales invoice issued"/>
    <x v="273"/>
    <s v="165.28"/>
    <x v="4"/>
    <x v="3"/>
  </r>
  <r>
    <n v="1126"/>
    <x v="161"/>
    <s v="Sales invoice issued"/>
    <x v="630"/>
    <s v="0.0"/>
    <x v="2"/>
    <x v="0"/>
  </r>
  <r>
    <n v="1126"/>
    <x v="161"/>
    <s v="Sales invoice issued"/>
    <x v="273"/>
    <s v="3528.46"/>
    <x v="3"/>
    <x v="2"/>
  </r>
  <r>
    <n v="1126"/>
    <x v="161"/>
    <s v="Sales invoice issued"/>
    <x v="273"/>
    <s v="264.63"/>
    <x v="4"/>
    <x v="3"/>
  </r>
  <r>
    <n v="1127"/>
    <x v="161"/>
    <s v="Customer payment received"/>
    <x v="531"/>
    <s v="0.0"/>
    <x v="0"/>
    <x v="0"/>
  </r>
  <r>
    <n v="1127"/>
    <x v="161"/>
    <s v="Customer payment received"/>
    <x v="273"/>
    <s v="2247.98"/>
    <x v="2"/>
    <x v="0"/>
  </r>
  <r>
    <n v="1128"/>
    <x v="161"/>
    <s v="Customer payment received"/>
    <x v="559"/>
    <s v="0.0"/>
    <x v="0"/>
    <x v="0"/>
  </r>
  <r>
    <n v="1128"/>
    <x v="161"/>
    <s v="Customer payment received"/>
    <x v="273"/>
    <s v="660.87"/>
    <x v="2"/>
    <x v="0"/>
  </r>
  <r>
    <n v="1129"/>
    <x v="161"/>
    <s v="Customer payment received"/>
    <x v="561"/>
    <s v="0.0"/>
    <x v="0"/>
    <x v="0"/>
  </r>
  <r>
    <n v="1129"/>
    <x v="161"/>
    <s v="Customer payment received"/>
    <x v="273"/>
    <s v="1067.69"/>
    <x v="2"/>
    <x v="0"/>
  </r>
  <r>
    <n v="1130"/>
    <x v="161"/>
    <s v="Customer payment received"/>
    <x v="563"/>
    <s v="0.0"/>
    <x v="0"/>
    <x v="0"/>
  </r>
  <r>
    <n v="1130"/>
    <x v="161"/>
    <s v="Customer payment received"/>
    <x v="273"/>
    <s v="4087.9"/>
    <x v="2"/>
    <x v="0"/>
  </r>
  <r>
    <n v="1131"/>
    <x v="161"/>
    <s v="Customer payment received"/>
    <x v="629"/>
    <s v="0.0"/>
    <x v="0"/>
    <x v="0"/>
  </r>
  <r>
    <n v="1131"/>
    <x v="161"/>
    <s v="Customer payment received"/>
    <x v="273"/>
    <s v="2369.05"/>
    <x v="2"/>
    <x v="0"/>
  </r>
  <r>
    <n v="1132"/>
    <x v="161"/>
    <s v="Supplier invoice received"/>
    <x v="303"/>
    <s v="0.0"/>
    <x v="9"/>
    <x v="4"/>
  </r>
  <r>
    <n v="1132"/>
    <x v="161"/>
    <s v="Supplier invoice received"/>
    <x v="304"/>
    <s v="0.0"/>
    <x v="10"/>
    <x v="0"/>
  </r>
  <r>
    <n v="1132"/>
    <x v="161"/>
    <s v="Supplier invoice received"/>
    <x v="273"/>
    <s v="550.4"/>
    <x v="11"/>
    <x v="3"/>
  </r>
  <r>
    <n v="1133"/>
    <x v="161"/>
    <s v="Supplier invoice received"/>
    <x v="332"/>
    <s v="0.0"/>
    <x v="9"/>
    <x v="4"/>
  </r>
  <r>
    <n v="1133"/>
    <x v="161"/>
    <s v="Supplier invoice received"/>
    <x v="333"/>
    <s v="0.0"/>
    <x v="10"/>
    <x v="0"/>
  </r>
  <r>
    <n v="1133"/>
    <x v="161"/>
    <s v="Supplier invoice received"/>
    <x v="273"/>
    <s v="1023.42"/>
    <x v="11"/>
    <x v="3"/>
  </r>
  <r>
    <n v="1134"/>
    <x v="161"/>
    <s v="Supplier invoice received"/>
    <x v="441"/>
    <s v="0.0"/>
    <x v="9"/>
    <x v="4"/>
  </r>
  <r>
    <n v="1134"/>
    <x v="161"/>
    <s v="Supplier invoice received"/>
    <x v="442"/>
    <s v="0.0"/>
    <x v="10"/>
    <x v="0"/>
  </r>
  <r>
    <n v="1134"/>
    <x v="161"/>
    <s v="Supplier invoice received"/>
    <x v="273"/>
    <s v="179.01"/>
    <x v="11"/>
    <x v="3"/>
  </r>
  <r>
    <n v="1135"/>
    <x v="161"/>
    <s v="Supplier invoice received"/>
    <x v="295"/>
    <s v="0.0"/>
    <x v="9"/>
    <x v="4"/>
  </r>
  <r>
    <n v="1135"/>
    <x v="161"/>
    <s v="Supplier invoice received"/>
    <x v="296"/>
    <s v="0.0"/>
    <x v="10"/>
    <x v="0"/>
  </r>
  <r>
    <n v="1135"/>
    <x v="161"/>
    <s v="Supplier invoice received"/>
    <x v="273"/>
    <s v="1766.46"/>
    <x v="11"/>
    <x v="3"/>
  </r>
  <r>
    <n v="1136"/>
    <x v="161"/>
    <s v="Supplier invoice received"/>
    <x v="307"/>
    <s v="0.0"/>
    <x v="9"/>
    <x v="4"/>
  </r>
  <r>
    <n v="1136"/>
    <x v="161"/>
    <s v="Supplier invoice received"/>
    <x v="308"/>
    <s v="0.0"/>
    <x v="10"/>
    <x v="0"/>
  </r>
  <r>
    <n v="1136"/>
    <x v="161"/>
    <s v="Supplier invoice received"/>
    <x v="273"/>
    <s v="2093.28"/>
    <x v="11"/>
    <x v="3"/>
  </r>
  <r>
    <n v="1137"/>
    <x v="161"/>
    <s v="Supplier invoice received"/>
    <x v="301"/>
    <s v="0.0"/>
    <x v="9"/>
    <x v="4"/>
  </r>
  <r>
    <n v="1137"/>
    <x v="161"/>
    <s v="Supplier invoice received"/>
    <x v="302"/>
    <s v="0.0"/>
    <x v="10"/>
    <x v="0"/>
  </r>
  <r>
    <n v="1137"/>
    <x v="161"/>
    <s v="Supplier invoice received"/>
    <x v="273"/>
    <s v="4812.46"/>
    <x v="11"/>
    <x v="3"/>
  </r>
  <r>
    <n v="1138"/>
    <x v="161"/>
    <s v="Supplier payment made"/>
    <x v="313"/>
    <s v="0.0"/>
    <x v="11"/>
    <x v="3"/>
  </r>
  <r>
    <n v="1138"/>
    <x v="161"/>
    <s v="Supplier payment made"/>
    <x v="273"/>
    <s v="1159.84"/>
    <x v="0"/>
    <x v="0"/>
  </r>
  <r>
    <n v="1139"/>
    <x v="161"/>
    <s v="Supplier payment made"/>
    <x v="407"/>
    <s v="0.0"/>
    <x v="11"/>
    <x v="3"/>
  </r>
  <r>
    <n v="1139"/>
    <x v="161"/>
    <s v="Supplier payment made"/>
    <x v="273"/>
    <s v="201.5"/>
    <x v="0"/>
    <x v="0"/>
  </r>
  <r>
    <n v="1140"/>
    <x v="161"/>
    <s v="Supplier payment made"/>
    <x v="504"/>
    <s v="0.0"/>
    <x v="11"/>
    <x v="3"/>
  </r>
  <r>
    <n v="1140"/>
    <x v="161"/>
    <s v="Supplier payment made"/>
    <x v="273"/>
    <s v="1958.74"/>
    <x v="0"/>
    <x v="0"/>
  </r>
  <r>
    <n v="1141"/>
    <x v="162"/>
    <s v="Sales invoice issued"/>
    <x v="631"/>
    <s v="0.0"/>
    <x v="2"/>
    <x v="0"/>
  </r>
  <r>
    <n v="1141"/>
    <x v="162"/>
    <s v="Sales invoice issued"/>
    <x v="273"/>
    <s v="3212.76"/>
    <x v="3"/>
    <x v="2"/>
  </r>
  <r>
    <n v="1141"/>
    <x v="162"/>
    <s v="Sales invoice issued"/>
    <x v="273"/>
    <s v="240.97"/>
    <x v="4"/>
    <x v="3"/>
  </r>
  <r>
    <n v="1142"/>
    <x v="162"/>
    <s v="Sales invoice issued"/>
    <x v="632"/>
    <s v="0.0"/>
    <x v="2"/>
    <x v="0"/>
  </r>
  <r>
    <n v="1142"/>
    <x v="162"/>
    <s v="Sales invoice issued"/>
    <x v="273"/>
    <s v="3014.97"/>
    <x v="3"/>
    <x v="2"/>
  </r>
  <r>
    <n v="1142"/>
    <x v="162"/>
    <s v="Sales invoice issued"/>
    <x v="273"/>
    <s v="226.12"/>
    <x v="4"/>
    <x v="3"/>
  </r>
  <r>
    <n v="1143"/>
    <x v="162"/>
    <s v="Customer payment received"/>
    <x v="553"/>
    <s v="0.0"/>
    <x v="0"/>
    <x v="0"/>
  </r>
  <r>
    <n v="1143"/>
    <x v="162"/>
    <s v="Customer payment received"/>
    <x v="273"/>
    <s v="906.13"/>
    <x v="2"/>
    <x v="0"/>
  </r>
  <r>
    <n v="1144"/>
    <x v="162"/>
    <s v="Customer payment received"/>
    <x v="633"/>
    <s v="0.0"/>
    <x v="0"/>
    <x v="0"/>
  </r>
  <r>
    <n v="1144"/>
    <x v="162"/>
    <s v="Customer payment received"/>
    <x v="273"/>
    <s v="737.16"/>
    <x v="2"/>
    <x v="0"/>
  </r>
  <r>
    <n v="1145"/>
    <x v="163"/>
    <s v="Sales invoice issued"/>
    <x v="634"/>
    <s v="0.0"/>
    <x v="2"/>
    <x v="0"/>
  </r>
  <r>
    <n v="1145"/>
    <x v="163"/>
    <s v="Sales invoice issued"/>
    <x v="273"/>
    <s v="356.28"/>
    <x v="3"/>
    <x v="2"/>
  </r>
  <r>
    <n v="1145"/>
    <x v="163"/>
    <s v="Sales invoice issued"/>
    <x v="273"/>
    <s v="26.72"/>
    <x v="4"/>
    <x v="3"/>
  </r>
  <r>
    <n v="1146"/>
    <x v="163"/>
    <s v="Sales invoice issued"/>
    <x v="635"/>
    <s v="0.0"/>
    <x v="2"/>
    <x v="0"/>
  </r>
  <r>
    <n v="1146"/>
    <x v="163"/>
    <s v="Sales invoice issued"/>
    <x v="273"/>
    <s v="2116.07"/>
    <x v="3"/>
    <x v="2"/>
  </r>
  <r>
    <n v="1146"/>
    <x v="163"/>
    <s v="Sales invoice issued"/>
    <x v="273"/>
    <s v="158.72"/>
    <x v="4"/>
    <x v="3"/>
  </r>
  <r>
    <n v="1147"/>
    <x v="163"/>
    <s v="Sales invoice issued"/>
    <x v="636"/>
    <s v="0.0"/>
    <x v="2"/>
    <x v="0"/>
  </r>
  <r>
    <n v="1147"/>
    <x v="163"/>
    <s v="Sales invoice issued"/>
    <x v="273"/>
    <s v="65.25"/>
    <x v="3"/>
    <x v="2"/>
  </r>
  <r>
    <n v="1147"/>
    <x v="163"/>
    <s v="Sales invoice issued"/>
    <x v="273"/>
    <s v="4.89"/>
    <x v="4"/>
    <x v="3"/>
  </r>
  <r>
    <n v="1148"/>
    <x v="163"/>
    <s v="Customer payment received"/>
    <x v="491"/>
    <s v="0.0"/>
    <x v="0"/>
    <x v="0"/>
  </r>
  <r>
    <n v="1148"/>
    <x v="163"/>
    <s v="Customer payment received"/>
    <x v="273"/>
    <s v="746.16"/>
    <x v="2"/>
    <x v="0"/>
  </r>
  <r>
    <n v="1149"/>
    <x v="163"/>
    <s v="Customer payment received"/>
    <x v="542"/>
    <s v="0.0"/>
    <x v="0"/>
    <x v="0"/>
  </r>
  <r>
    <n v="1149"/>
    <x v="163"/>
    <s v="Customer payment received"/>
    <x v="273"/>
    <s v="2037.57"/>
    <x v="2"/>
    <x v="0"/>
  </r>
  <r>
    <n v="1150"/>
    <x v="163"/>
    <s v="Customer payment received"/>
    <x v="573"/>
    <s v="0.0"/>
    <x v="0"/>
    <x v="0"/>
  </r>
  <r>
    <n v="1150"/>
    <x v="163"/>
    <s v="Customer payment received"/>
    <x v="273"/>
    <s v="3037.13"/>
    <x v="2"/>
    <x v="0"/>
  </r>
  <r>
    <n v="1151"/>
    <x v="163"/>
    <s v="Customer payment received"/>
    <x v="614"/>
    <s v="0.0"/>
    <x v="0"/>
    <x v="0"/>
  </r>
  <r>
    <n v="1151"/>
    <x v="163"/>
    <s v="Customer payment received"/>
    <x v="273"/>
    <s v="376.55"/>
    <x v="2"/>
    <x v="0"/>
  </r>
  <r>
    <n v="1152"/>
    <x v="163"/>
    <s v="Supplier invoice received"/>
    <x v="445"/>
    <s v="0.0"/>
    <x v="9"/>
    <x v="4"/>
  </r>
  <r>
    <n v="1152"/>
    <x v="163"/>
    <s v="Supplier invoice received"/>
    <x v="446"/>
    <s v="0.0"/>
    <x v="10"/>
    <x v="0"/>
  </r>
  <r>
    <n v="1152"/>
    <x v="163"/>
    <s v="Supplier invoice received"/>
    <x v="273"/>
    <s v="1794.11"/>
    <x v="11"/>
    <x v="3"/>
  </r>
  <r>
    <n v="1153"/>
    <x v="163"/>
    <s v="Supplier invoice received"/>
    <x v="330"/>
    <s v="0.0"/>
    <x v="9"/>
    <x v="4"/>
  </r>
  <r>
    <n v="1153"/>
    <x v="163"/>
    <s v="Supplier invoice received"/>
    <x v="331"/>
    <s v="0.0"/>
    <x v="10"/>
    <x v="0"/>
  </r>
  <r>
    <n v="1153"/>
    <x v="163"/>
    <s v="Supplier invoice received"/>
    <x v="273"/>
    <s v="1935.04"/>
    <x v="11"/>
    <x v="3"/>
  </r>
  <r>
    <n v="1154"/>
    <x v="163"/>
    <s v="Supplier payment made"/>
    <x v="327"/>
    <s v="0.0"/>
    <x v="11"/>
    <x v="3"/>
  </r>
  <r>
    <n v="1154"/>
    <x v="163"/>
    <s v="Supplier payment made"/>
    <x v="273"/>
    <s v="1935.04"/>
    <x v="0"/>
    <x v="0"/>
  </r>
  <r>
    <n v="1155"/>
    <x v="164"/>
    <s v="Payroll processed"/>
    <x v="535"/>
    <s v="0.0"/>
    <x v="5"/>
    <x v="4"/>
  </r>
  <r>
    <n v="1155"/>
    <x v="164"/>
    <s v="Payroll processed"/>
    <x v="536"/>
    <s v="0.0"/>
    <x v="6"/>
    <x v="4"/>
  </r>
  <r>
    <n v="1155"/>
    <x v="164"/>
    <s v="Payroll processed"/>
    <x v="273"/>
    <s v="17968.47"/>
    <x v="0"/>
    <x v="0"/>
  </r>
  <r>
    <n v="1155"/>
    <x v="164"/>
    <s v="Payroll processed"/>
    <x v="273"/>
    <s v="4069.27"/>
    <x v="7"/>
    <x v="3"/>
  </r>
  <r>
    <n v="1155"/>
    <x v="164"/>
    <s v="Payroll processed"/>
    <x v="273"/>
    <s v="881.51"/>
    <x v="8"/>
    <x v="3"/>
  </r>
  <r>
    <n v="1156"/>
    <x v="164"/>
    <s v="Sales invoice issued"/>
    <x v="637"/>
    <s v="0.0"/>
    <x v="2"/>
    <x v="0"/>
  </r>
  <r>
    <n v="1156"/>
    <x v="164"/>
    <s v="Sales invoice issued"/>
    <x v="273"/>
    <s v="1622.04"/>
    <x v="3"/>
    <x v="2"/>
  </r>
  <r>
    <n v="1156"/>
    <x v="164"/>
    <s v="Sales invoice issued"/>
    <x v="273"/>
    <s v="121.65"/>
    <x v="4"/>
    <x v="3"/>
  </r>
  <r>
    <n v="1157"/>
    <x v="164"/>
    <s v="Sales invoice issued"/>
    <x v="638"/>
    <s v="0.0"/>
    <x v="2"/>
    <x v="0"/>
  </r>
  <r>
    <n v="1157"/>
    <x v="164"/>
    <s v="Sales invoice issued"/>
    <x v="273"/>
    <s v="597.91"/>
    <x v="3"/>
    <x v="2"/>
  </r>
  <r>
    <n v="1157"/>
    <x v="164"/>
    <s v="Sales invoice issued"/>
    <x v="273"/>
    <s v="44.84"/>
    <x v="4"/>
    <x v="3"/>
  </r>
  <r>
    <n v="1158"/>
    <x v="164"/>
    <s v="Customer payment received"/>
    <x v="412"/>
    <s v="0.0"/>
    <x v="0"/>
    <x v="0"/>
  </r>
  <r>
    <n v="1158"/>
    <x v="164"/>
    <s v="Customer payment received"/>
    <x v="273"/>
    <s v="1709.78"/>
    <x v="2"/>
    <x v="0"/>
  </r>
  <r>
    <n v="1159"/>
    <x v="164"/>
    <s v="Customer payment received"/>
    <x v="549"/>
    <s v="0.0"/>
    <x v="0"/>
    <x v="0"/>
  </r>
  <r>
    <n v="1159"/>
    <x v="164"/>
    <s v="Customer payment received"/>
    <x v="273"/>
    <s v="2078.56"/>
    <x v="2"/>
    <x v="0"/>
  </r>
  <r>
    <n v="1160"/>
    <x v="164"/>
    <s v="Customer payment received"/>
    <x v="603"/>
    <s v="0.0"/>
    <x v="0"/>
    <x v="0"/>
  </r>
  <r>
    <n v="1160"/>
    <x v="164"/>
    <s v="Customer payment received"/>
    <x v="273"/>
    <s v="831.26"/>
    <x v="2"/>
    <x v="0"/>
  </r>
  <r>
    <n v="1161"/>
    <x v="164"/>
    <s v="Customer payment received"/>
    <x v="604"/>
    <s v="0.0"/>
    <x v="0"/>
    <x v="0"/>
  </r>
  <r>
    <n v="1161"/>
    <x v="164"/>
    <s v="Customer payment received"/>
    <x v="273"/>
    <s v="2229.94"/>
    <x v="2"/>
    <x v="0"/>
  </r>
  <r>
    <n v="1162"/>
    <x v="164"/>
    <s v="Customer payment received"/>
    <x v="619"/>
    <s v="0.0"/>
    <x v="0"/>
    <x v="0"/>
  </r>
  <r>
    <n v="1162"/>
    <x v="164"/>
    <s v="Customer payment received"/>
    <x v="273"/>
    <s v="223.67"/>
    <x v="2"/>
    <x v="0"/>
  </r>
  <r>
    <n v="1163"/>
    <x v="164"/>
    <s v="Supplier payment made"/>
    <x v="309"/>
    <s v="0.0"/>
    <x v="11"/>
    <x v="3"/>
  </r>
  <r>
    <n v="1163"/>
    <x v="164"/>
    <s v="Supplier payment made"/>
    <x v="273"/>
    <s v="4812.46"/>
    <x v="0"/>
    <x v="0"/>
  </r>
  <r>
    <n v="1164"/>
    <x v="164"/>
    <s v="Supplier payment made"/>
    <x v="313"/>
    <s v="0.0"/>
    <x v="11"/>
    <x v="3"/>
  </r>
  <r>
    <n v="1164"/>
    <x v="164"/>
    <s v="Supplier payment made"/>
    <x v="273"/>
    <s v="1159.84"/>
    <x v="0"/>
    <x v="0"/>
  </r>
  <r>
    <n v="1165"/>
    <x v="165"/>
    <s v="Sales invoice issued"/>
    <x v="639"/>
    <s v="0.0"/>
    <x v="2"/>
    <x v="0"/>
  </r>
  <r>
    <n v="1165"/>
    <x v="165"/>
    <s v="Sales invoice issued"/>
    <x v="273"/>
    <s v="2484.65"/>
    <x v="3"/>
    <x v="2"/>
  </r>
  <r>
    <n v="1165"/>
    <x v="165"/>
    <s v="Sales invoice issued"/>
    <x v="273"/>
    <s v="186.35"/>
    <x v="4"/>
    <x v="3"/>
  </r>
  <r>
    <n v="1166"/>
    <x v="165"/>
    <s v="Sales invoice issued"/>
    <x v="640"/>
    <s v="0.0"/>
    <x v="2"/>
    <x v="0"/>
  </r>
  <r>
    <n v="1166"/>
    <x v="165"/>
    <s v="Sales invoice issued"/>
    <x v="273"/>
    <s v="6366.13"/>
    <x v="3"/>
    <x v="2"/>
  </r>
  <r>
    <n v="1166"/>
    <x v="165"/>
    <s v="Sales invoice issued"/>
    <x v="273"/>
    <s v="477.47"/>
    <x v="4"/>
    <x v="3"/>
  </r>
  <r>
    <n v="1167"/>
    <x v="165"/>
    <s v="Sales invoice issued"/>
    <x v="641"/>
    <s v="0.0"/>
    <x v="2"/>
    <x v="0"/>
  </r>
  <r>
    <n v="1167"/>
    <x v="165"/>
    <s v="Sales invoice issued"/>
    <x v="273"/>
    <s v="2911.45"/>
    <x v="3"/>
    <x v="2"/>
  </r>
  <r>
    <n v="1167"/>
    <x v="165"/>
    <s v="Sales invoice issued"/>
    <x v="273"/>
    <s v="218.36"/>
    <x v="4"/>
    <x v="3"/>
  </r>
  <r>
    <n v="1168"/>
    <x v="165"/>
    <s v="Customer payment received"/>
    <x v="617"/>
    <s v="0.0"/>
    <x v="0"/>
    <x v="0"/>
  </r>
  <r>
    <n v="1168"/>
    <x v="165"/>
    <s v="Customer payment received"/>
    <x v="273"/>
    <s v="6952.53"/>
    <x v="2"/>
    <x v="0"/>
  </r>
  <r>
    <n v="1169"/>
    <x v="165"/>
    <s v="Customer payment received"/>
    <x v="626"/>
    <s v="0.0"/>
    <x v="0"/>
    <x v="0"/>
  </r>
  <r>
    <n v="1169"/>
    <x v="165"/>
    <s v="Customer payment received"/>
    <x v="273"/>
    <s v="4674.76"/>
    <x v="2"/>
    <x v="0"/>
  </r>
  <r>
    <n v="1170"/>
    <x v="165"/>
    <s v="Supplier invoice received"/>
    <x v="366"/>
    <s v="0.0"/>
    <x v="9"/>
    <x v="4"/>
  </r>
  <r>
    <n v="1170"/>
    <x v="165"/>
    <s v="Supplier invoice received"/>
    <x v="367"/>
    <s v="0.0"/>
    <x v="10"/>
    <x v="0"/>
  </r>
  <r>
    <n v="1170"/>
    <x v="165"/>
    <s v="Supplier invoice received"/>
    <x v="273"/>
    <s v="201.5"/>
    <x v="11"/>
    <x v="3"/>
  </r>
  <r>
    <n v="1171"/>
    <x v="165"/>
    <s v="Supplier payment made"/>
    <x v="280"/>
    <s v="0.0"/>
    <x v="11"/>
    <x v="3"/>
  </r>
  <r>
    <n v="1171"/>
    <x v="165"/>
    <s v="Supplier payment made"/>
    <x v="273"/>
    <s v="2635.36"/>
    <x v="0"/>
    <x v="0"/>
  </r>
  <r>
    <n v="1172"/>
    <x v="166"/>
    <s v="Sales invoice issued"/>
    <x v="642"/>
    <s v="0.0"/>
    <x v="2"/>
    <x v="0"/>
  </r>
  <r>
    <n v="1172"/>
    <x v="166"/>
    <s v="Sales invoice issued"/>
    <x v="273"/>
    <s v="1414.11"/>
    <x v="3"/>
    <x v="2"/>
  </r>
  <r>
    <n v="1172"/>
    <x v="166"/>
    <s v="Sales invoice issued"/>
    <x v="273"/>
    <s v="106.06"/>
    <x v="4"/>
    <x v="3"/>
  </r>
  <r>
    <n v="1173"/>
    <x v="166"/>
    <s v="Sales invoice issued"/>
    <x v="643"/>
    <s v="0.0"/>
    <x v="2"/>
    <x v="0"/>
  </r>
  <r>
    <n v="1173"/>
    <x v="166"/>
    <s v="Sales invoice issued"/>
    <x v="273"/>
    <s v="1301.28"/>
    <x v="3"/>
    <x v="2"/>
  </r>
  <r>
    <n v="1173"/>
    <x v="166"/>
    <s v="Sales invoice issued"/>
    <x v="273"/>
    <s v="97.6"/>
    <x v="4"/>
    <x v="3"/>
  </r>
  <r>
    <n v="1174"/>
    <x v="166"/>
    <s v="Sales invoice issued"/>
    <x v="644"/>
    <s v="0.0"/>
    <x v="2"/>
    <x v="0"/>
  </r>
  <r>
    <n v="1174"/>
    <x v="166"/>
    <s v="Sales invoice issued"/>
    <x v="273"/>
    <s v="2943.94"/>
    <x v="3"/>
    <x v="2"/>
  </r>
  <r>
    <n v="1174"/>
    <x v="166"/>
    <s v="Sales invoice issued"/>
    <x v="273"/>
    <s v="220.8"/>
    <x v="4"/>
    <x v="3"/>
  </r>
  <r>
    <n v="1175"/>
    <x v="166"/>
    <s v="Sales invoice issued"/>
    <x v="645"/>
    <s v="0.0"/>
    <x v="2"/>
    <x v="0"/>
  </r>
  <r>
    <n v="1175"/>
    <x v="166"/>
    <s v="Sales invoice issued"/>
    <x v="273"/>
    <s v="3750.28"/>
    <x v="3"/>
    <x v="2"/>
  </r>
  <r>
    <n v="1175"/>
    <x v="166"/>
    <s v="Sales invoice issued"/>
    <x v="273"/>
    <s v="281.27"/>
    <x v="4"/>
    <x v="3"/>
  </r>
  <r>
    <n v="1176"/>
    <x v="166"/>
    <s v="Customer payment received"/>
    <x v="610"/>
    <s v="0.0"/>
    <x v="0"/>
    <x v="0"/>
  </r>
  <r>
    <n v="1176"/>
    <x v="166"/>
    <s v="Customer payment received"/>
    <x v="273"/>
    <s v="1809.97"/>
    <x v="2"/>
    <x v="0"/>
  </r>
  <r>
    <n v="1177"/>
    <x v="166"/>
    <s v="Supplier invoice received"/>
    <x v="295"/>
    <s v="0.0"/>
    <x v="9"/>
    <x v="4"/>
  </r>
  <r>
    <n v="1177"/>
    <x v="166"/>
    <s v="Supplier invoice received"/>
    <x v="296"/>
    <s v="0.0"/>
    <x v="10"/>
    <x v="0"/>
  </r>
  <r>
    <n v="1177"/>
    <x v="166"/>
    <s v="Supplier invoice received"/>
    <x v="273"/>
    <s v="1766.46"/>
    <x v="11"/>
    <x v="3"/>
  </r>
  <r>
    <n v="1178"/>
    <x v="166"/>
    <s v="Supplier payment made"/>
    <x v="515"/>
    <s v="0.0"/>
    <x v="11"/>
    <x v="3"/>
  </r>
  <r>
    <n v="1178"/>
    <x v="166"/>
    <s v="Supplier payment made"/>
    <x v="273"/>
    <s v="862.91"/>
    <x v="0"/>
    <x v="0"/>
  </r>
  <r>
    <n v="1179"/>
    <x v="166"/>
    <s v="Supplier payment made"/>
    <x v="336"/>
    <s v="0.0"/>
    <x v="11"/>
    <x v="3"/>
  </r>
  <r>
    <n v="1179"/>
    <x v="166"/>
    <s v="Supplier payment made"/>
    <x v="273"/>
    <s v="2093.28"/>
    <x v="0"/>
    <x v="0"/>
  </r>
  <r>
    <n v="1180"/>
    <x v="166"/>
    <s v="Supplier payment made"/>
    <x v="350"/>
    <s v="0.0"/>
    <x v="11"/>
    <x v="3"/>
  </r>
  <r>
    <n v="1180"/>
    <x v="166"/>
    <s v="Supplier payment made"/>
    <x v="273"/>
    <s v="1794.11"/>
    <x v="0"/>
    <x v="0"/>
  </r>
  <r>
    <n v="1181"/>
    <x v="167"/>
    <s v="Sales invoice issued"/>
    <x v="646"/>
    <s v="0.0"/>
    <x v="2"/>
    <x v="0"/>
  </r>
  <r>
    <n v="1181"/>
    <x v="167"/>
    <s v="Sales invoice issued"/>
    <x v="273"/>
    <s v="236.0"/>
    <x v="3"/>
    <x v="2"/>
  </r>
  <r>
    <n v="1181"/>
    <x v="167"/>
    <s v="Sales invoice issued"/>
    <x v="273"/>
    <s v="17.7"/>
    <x v="4"/>
    <x v="3"/>
  </r>
  <r>
    <n v="1182"/>
    <x v="167"/>
    <s v="Sales invoice issued"/>
    <x v="647"/>
    <s v="0.0"/>
    <x v="2"/>
    <x v="0"/>
  </r>
  <r>
    <n v="1182"/>
    <x v="167"/>
    <s v="Sales invoice issued"/>
    <x v="273"/>
    <s v="407.55"/>
    <x v="3"/>
    <x v="2"/>
  </r>
  <r>
    <n v="1182"/>
    <x v="167"/>
    <s v="Sales invoice issued"/>
    <x v="273"/>
    <s v="30.57"/>
    <x v="4"/>
    <x v="3"/>
  </r>
  <r>
    <n v="1183"/>
    <x v="167"/>
    <s v="Sales invoice issued"/>
    <x v="648"/>
    <s v="0.0"/>
    <x v="2"/>
    <x v="0"/>
  </r>
  <r>
    <n v="1183"/>
    <x v="167"/>
    <s v="Sales invoice issued"/>
    <x v="273"/>
    <s v="1394.07"/>
    <x v="3"/>
    <x v="2"/>
  </r>
  <r>
    <n v="1183"/>
    <x v="167"/>
    <s v="Sales invoice issued"/>
    <x v="273"/>
    <s v="104.56"/>
    <x v="4"/>
    <x v="3"/>
  </r>
  <r>
    <n v="1184"/>
    <x v="167"/>
    <s v="Sales invoice issued"/>
    <x v="649"/>
    <s v="0.0"/>
    <x v="2"/>
    <x v="0"/>
  </r>
  <r>
    <n v="1184"/>
    <x v="167"/>
    <s v="Sales invoice issued"/>
    <x v="273"/>
    <s v="6279.1"/>
    <x v="3"/>
    <x v="2"/>
  </r>
  <r>
    <n v="1184"/>
    <x v="167"/>
    <s v="Sales invoice issued"/>
    <x v="273"/>
    <s v="470.93"/>
    <x v="4"/>
    <x v="3"/>
  </r>
  <r>
    <n v="1185"/>
    <x v="167"/>
    <s v="Customer payment received"/>
    <x v="621"/>
    <s v="0.0"/>
    <x v="0"/>
    <x v="0"/>
  </r>
  <r>
    <n v="1185"/>
    <x v="167"/>
    <s v="Customer payment received"/>
    <x v="273"/>
    <s v="1812.67"/>
    <x v="2"/>
    <x v="0"/>
  </r>
  <r>
    <n v="1186"/>
    <x v="167"/>
    <s v="Customer payment received"/>
    <x v="636"/>
    <s v="0.0"/>
    <x v="0"/>
    <x v="0"/>
  </r>
  <r>
    <n v="1186"/>
    <x v="167"/>
    <s v="Customer payment received"/>
    <x v="273"/>
    <s v="70.14"/>
    <x v="2"/>
    <x v="0"/>
  </r>
  <r>
    <n v="1187"/>
    <x v="167"/>
    <s v="Customer payment received"/>
    <x v="644"/>
    <s v="0.0"/>
    <x v="0"/>
    <x v="0"/>
  </r>
  <r>
    <n v="1187"/>
    <x v="167"/>
    <s v="Customer payment received"/>
    <x v="273"/>
    <s v="3164.74"/>
    <x v="2"/>
    <x v="0"/>
  </r>
  <r>
    <n v="1188"/>
    <x v="167"/>
    <s v="Customer payment received"/>
    <x v="648"/>
    <s v="0.0"/>
    <x v="0"/>
    <x v="0"/>
  </r>
  <r>
    <n v="1188"/>
    <x v="167"/>
    <s v="Customer payment received"/>
    <x v="273"/>
    <s v="1498.63"/>
    <x v="2"/>
    <x v="0"/>
  </r>
  <r>
    <n v="1189"/>
    <x v="167"/>
    <s v="Supplier invoice received"/>
    <x v="325"/>
    <s v="0.0"/>
    <x v="9"/>
    <x v="4"/>
  </r>
  <r>
    <n v="1189"/>
    <x v="167"/>
    <s v="Supplier invoice received"/>
    <x v="326"/>
    <s v="0.0"/>
    <x v="10"/>
    <x v="0"/>
  </r>
  <r>
    <n v="1189"/>
    <x v="167"/>
    <s v="Supplier invoice received"/>
    <x v="273"/>
    <s v="1304.62"/>
    <x v="11"/>
    <x v="3"/>
  </r>
  <r>
    <n v="1190"/>
    <x v="167"/>
    <s v="Supplier invoice received"/>
    <x v="330"/>
    <s v="0.0"/>
    <x v="9"/>
    <x v="4"/>
  </r>
  <r>
    <n v="1190"/>
    <x v="167"/>
    <s v="Supplier invoice received"/>
    <x v="331"/>
    <s v="0.0"/>
    <x v="10"/>
    <x v="0"/>
  </r>
  <r>
    <n v="1190"/>
    <x v="167"/>
    <s v="Supplier invoice received"/>
    <x v="273"/>
    <s v="1935.04"/>
    <x v="11"/>
    <x v="3"/>
  </r>
  <r>
    <n v="1191"/>
    <x v="168"/>
    <s v="Sales invoice issued"/>
    <x v="650"/>
    <s v="0.0"/>
    <x v="2"/>
    <x v="0"/>
  </r>
  <r>
    <n v="1191"/>
    <x v="168"/>
    <s v="Sales invoice issued"/>
    <x v="273"/>
    <s v="1866.39"/>
    <x v="3"/>
    <x v="2"/>
  </r>
  <r>
    <n v="1191"/>
    <x v="168"/>
    <s v="Sales invoice issued"/>
    <x v="273"/>
    <s v="139.97"/>
    <x v="4"/>
    <x v="3"/>
  </r>
  <r>
    <n v="1192"/>
    <x v="168"/>
    <s v="Sales invoice issued"/>
    <x v="651"/>
    <s v="0.0"/>
    <x v="2"/>
    <x v="0"/>
  </r>
  <r>
    <n v="1192"/>
    <x v="168"/>
    <s v="Sales invoice issued"/>
    <x v="273"/>
    <s v="2515.33"/>
    <x v="3"/>
    <x v="2"/>
  </r>
  <r>
    <n v="1192"/>
    <x v="168"/>
    <s v="Sales invoice issued"/>
    <x v="273"/>
    <s v="188.65"/>
    <x v="4"/>
    <x v="3"/>
  </r>
  <r>
    <n v="1193"/>
    <x v="168"/>
    <s v="Customer payment received"/>
    <x v="572"/>
    <s v="0.0"/>
    <x v="0"/>
    <x v="0"/>
  </r>
  <r>
    <n v="1193"/>
    <x v="168"/>
    <s v="Customer payment received"/>
    <x v="273"/>
    <s v="2034.58"/>
    <x v="2"/>
    <x v="0"/>
  </r>
  <r>
    <n v="1194"/>
    <x v="168"/>
    <s v="Customer payment received"/>
    <x v="588"/>
    <s v="0.0"/>
    <x v="0"/>
    <x v="0"/>
  </r>
  <r>
    <n v="1194"/>
    <x v="168"/>
    <s v="Customer payment received"/>
    <x v="273"/>
    <s v="5067.63"/>
    <x v="2"/>
    <x v="0"/>
  </r>
  <r>
    <n v="1195"/>
    <x v="168"/>
    <s v="Customer payment received"/>
    <x v="625"/>
    <s v="0.0"/>
    <x v="0"/>
    <x v="0"/>
  </r>
  <r>
    <n v="1195"/>
    <x v="168"/>
    <s v="Customer payment received"/>
    <x v="273"/>
    <s v="1469.41"/>
    <x v="2"/>
    <x v="0"/>
  </r>
  <r>
    <n v="1196"/>
    <x v="168"/>
    <s v="Supplier payment made"/>
    <x v="424"/>
    <s v="0.0"/>
    <x v="11"/>
    <x v="3"/>
  </r>
  <r>
    <n v="1196"/>
    <x v="168"/>
    <s v="Supplier payment made"/>
    <x v="273"/>
    <s v="1591.54"/>
    <x v="0"/>
    <x v="0"/>
  </r>
  <r>
    <n v="1197"/>
    <x v="169"/>
    <s v="Sales invoice issued"/>
    <x v="652"/>
    <s v="0.0"/>
    <x v="2"/>
    <x v="0"/>
  </r>
  <r>
    <n v="1197"/>
    <x v="169"/>
    <s v="Sales invoice issued"/>
    <x v="273"/>
    <s v="1385.04"/>
    <x v="3"/>
    <x v="2"/>
  </r>
  <r>
    <n v="1197"/>
    <x v="169"/>
    <s v="Sales invoice issued"/>
    <x v="273"/>
    <s v="103.88"/>
    <x v="4"/>
    <x v="3"/>
  </r>
  <r>
    <n v="1198"/>
    <x v="169"/>
    <s v="Sales invoice issued"/>
    <x v="653"/>
    <s v="0.0"/>
    <x v="2"/>
    <x v="0"/>
  </r>
  <r>
    <n v="1198"/>
    <x v="169"/>
    <s v="Sales invoice issued"/>
    <x v="273"/>
    <s v="3681.57"/>
    <x v="3"/>
    <x v="2"/>
  </r>
  <r>
    <n v="1198"/>
    <x v="169"/>
    <s v="Sales invoice issued"/>
    <x v="273"/>
    <s v="276.11"/>
    <x v="4"/>
    <x v="3"/>
  </r>
  <r>
    <n v="1199"/>
    <x v="169"/>
    <s v="Customer payment received"/>
    <x v="580"/>
    <s v="0.0"/>
    <x v="0"/>
    <x v="0"/>
  </r>
  <r>
    <n v="1199"/>
    <x v="169"/>
    <s v="Customer payment received"/>
    <x v="273"/>
    <s v="2863.55"/>
    <x v="2"/>
    <x v="0"/>
  </r>
  <r>
    <n v="1200"/>
    <x v="169"/>
    <s v="Customer payment received"/>
    <x v="592"/>
    <s v="0.0"/>
    <x v="0"/>
    <x v="0"/>
  </r>
  <r>
    <n v="1200"/>
    <x v="169"/>
    <s v="Customer payment received"/>
    <x v="273"/>
    <s v="1844.25"/>
    <x v="2"/>
    <x v="0"/>
  </r>
  <r>
    <n v="1201"/>
    <x v="169"/>
    <s v="Supplier invoice received"/>
    <x v="299"/>
    <s v="0.0"/>
    <x v="9"/>
    <x v="4"/>
  </r>
  <r>
    <n v="1201"/>
    <x v="169"/>
    <s v="Supplier invoice received"/>
    <x v="300"/>
    <s v="0.0"/>
    <x v="10"/>
    <x v="0"/>
  </r>
  <r>
    <n v="1201"/>
    <x v="169"/>
    <s v="Supplier invoice received"/>
    <x v="273"/>
    <s v="2918.17"/>
    <x v="11"/>
    <x v="3"/>
  </r>
  <r>
    <n v="1202"/>
    <x v="169"/>
    <s v="Supplier invoice received"/>
    <x v="372"/>
    <s v="0.0"/>
    <x v="9"/>
    <x v="4"/>
  </r>
  <r>
    <n v="1202"/>
    <x v="169"/>
    <s v="Supplier invoice received"/>
    <x v="373"/>
    <s v="0.0"/>
    <x v="10"/>
    <x v="0"/>
  </r>
  <r>
    <n v="1202"/>
    <x v="169"/>
    <s v="Supplier invoice received"/>
    <x v="273"/>
    <s v="412.54"/>
    <x v="11"/>
    <x v="3"/>
  </r>
  <r>
    <n v="1203"/>
    <x v="169"/>
    <s v="Supplier payment made"/>
    <x v="327"/>
    <s v="0.0"/>
    <x v="11"/>
    <x v="3"/>
  </r>
  <r>
    <n v="1203"/>
    <x v="169"/>
    <s v="Supplier payment made"/>
    <x v="273"/>
    <s v="1935.04"/>
    <x v="0"/>
    <x v="0"/>
  </r>
  <r>
    <n v="1204"/>
    <x v="169"/>
    <s v="Supplier payment made"/>
    <x v="292"/>
    <s v="0.0"/>
    <x v="11"/>
    <x v="3"/>
  </r>
  <r>
    <n v="1204"/>
    <x v="169"/>
    <s v="Supplier payment made"/>
    <x v="273"/>
    <s v="1766.46"/>
    <x v="0"/>
    <x v="0"/>
  </r>
  <r>
    <n v="1205"/>
    <x v="170"/>
    <s v="Sales invoice issued"/>
    <x v="654"/>
    <s v="0.0"/>
    <x v="2"/>
    <x v="0"/>
  </r>
  <r>
    <n v="1205"/>
    <x v="170"/>
    <s v="Sales invoice issued"/>
    <x v="273"/>
    <s v="1869.27"/>
    <x v="3"/>
    <x v="2"/>
  </r>
  <r>
    <n v="1205"/>
    <x v="170"/>
    <s v="Sales invoice issued"/>
    <x v="273"/>
    <s v="140.2"/>
    <x v="4"/>
    <x v="3"/>
  </r>
  <r>
    <n v="1206"/>
    <x v="170"/>
    <s v="Sales invoice issued"/>
    <x v="655"/>
    <s v="0.0"/>
    <x v="2"/>
    <x v="0"/>
  </r>
  <r>
    <n v="1206"/>
    <x v="170"/>
    <s v="Sales invoice issued"/>
    <x v="273"/>
    <s v="855.67"/>
    <x v="3"/>
    <x v="2"/>
  </r>
  <r>
    <n v="1206"/>
    <x v="170"/>
    <s v="Sales invoice issued"/>
    <x v="273"/>
    <s v="64.17"/>
    <x v="4"/>
    <x v="3"/>
  </r>
  <r>
    <n v="1207"/>
    <x v="170"/>
    <s v="Sales invoice issued"/>
    <x v="656"/>
    <s v="0.0"/>
    <x v="2"/>
    <x v="0"/>
  </r>
  <r>
    <n v="1207"/>
    <x v="170"/>
    <s v="Sales invoice issued"/>
    <x v="273"/>
    <s v="1691.27"/>
    <x v="3"/>
    <x v="2"/>
  </r>
  <r>
    <n v="1207"/>
    <x v="170"/>
    <s v="Sales invoice issued"/>
    <x v="273"/>
    <s v="126.84"/>
    <x v="4"/>
    <x v="3"/>
  </r>
  <r>
    <n v="1208"/>
    <x v="170"/>
    <s v="Customer payment received"/>
    <x v="560"/>
    <s v="0.0"/>
    <x v="0"/>
    <x v="0"/>
  </r>
  <r>
    <n v="1208"/>
    <x v="170"/>
    <s v="Customer payment received"/>
    <x v="273"/>
    <s v="2465.69"/>
    <x v="2"/>
    <x v="0"/>
  </r>
  <r>
    <n v="1209"/>
    <x v="171"/>
    <s v="Sales invoice issued"/>
    <x v="657"/>
    <s v="0.0"/>
    <x v="2"/>
    <x v="0"/>
  </r>
  <r>
    <n v="1209"/>
    <x v="171"/>
    <s v="Sales invoice issued"/>
    <x v="273"/>
    <s v="39.15"/>
    <x v="3"/>
    <x v="2"/>
  </r>
  <r>
    <n v="1209"/>
    <x v="171"/>
    <s v="Sales invoice issued"/>
    <x v="273"/>
    <s v="2.94"/>
    <x v="4"/>
    <x v="3"/>
  </r>
  <r>
    <n v="1210"/>
    <x v="171"/>
    <s v="Customer payment received"/>
    <x v="605"/>
    <s v="0.0"/>
    <x v="0"/>
    <x v="0"/>
  </r>
  <r>
    <n v="1210"/>
    <x v="171"/>
    <s v="Customer payment received"/>
    <x v="273"/>
    <s v="1864.76"/>
    <x v="2"/>
    <x v="0"/>
  </r>
  <r>
    <n v="1211"/>
    <x v="171"/>
    <s v="Customer payment received"/>
    <x v="640"/>
    <s v="0.0"/>
    <x v="0"/>
    <x v="0"/>
  </r>
  <r>
    <n v="1211"/>
    <x v="171"/>
    <s v="Customer payment received"/>
    <x v="273"/>
    <s v="6843.6"/>
    <x v="2"/>
    <x v="0"/>
  </r>
  <r>
    <n v="1212"/>
    <x v="171"/>
    <s v="Customer payment received"/>
    <x v="645"/>
    <s v="0.0"/>
    <x v="0"/>
    <x v="0"/>
  </r>
  <r>
    <n v="1212"/>
    <x v="171"/>
    <s v="Customer payment received"/>
    <x v="273"/>
    <s v="4031.55"/>
    <x v="2"/>
    <x v="0"/>
  </r>
  <r>
    <n v="1213"/>
    <x v="171"/>
    <s v="Supplier invoice received"/>
    <x v="374"/>
    <s v="0.0"/>
    <x v="9"/>
    <x v="4"/>
  </r>
  <r>
    <n v="1213"/>
    <x v="171"/>
    <s v="Supplier invoice received"/>
    <x v="375"/>
    <s v="0.0"/>
    <x v="10"/>
    <x v="0"/>
  </r>
  <r>
    <n v="1213"/>
    <x v="171"/>
    <s v="Supplier invoice received"/>
    <x v="273"/>
    <s v="2504.23"/>
    <x v="11"/>
    <x v="3"/>
  </r>
  <r>
    <n v="1214"/>
    <x v="171"/>
    <s v="Supplier invoice received"/>
    <x v="297"/>
    <s v="0.0"/>
    <x v="9"/>
    <x v="4"/>
  </r>
  <r>
    <n v="1214"/>
    <x v="171"/>
    <s v="Supplier invoice received"/>
    <x v="298"/>
    <s v="0.0"/>
    <x v="10"/>
    <x v="0"/>
  </r>
  <r>
    <n v="1214"/>
    <x v="171"/>
    <s v="Supplier invoice received"/>
    <x v="273"/>
    <s v="3528.97"/>
    <x v="11"/>
    <x v="3"/>
  </r>
  <r>
    <n v="1215"/>
    <x v="171"/>
    <s v="Supplier invoice received"/>
    <x v="332"/>
    <s v="0.0"/>
    <x v="9"/>
    <x v="4"/>
  </r>
  <r>
    <n v="1215"/>
    <x v="171"/>
    <s v="Supplier invoice received"/>
    <x v="333"/>
    <s v="0.0"/>
    <x v="10"/>
    <x v="0"/>
  </r>
  <r>
    <n v="1215"/>
    <x v="171"/>
    <s v="Supplier invoice received"/>
    <x v="273"/>
    <s v="1023.42"/>
    <x v="11"/>
    <x v="3"/>
  </r>
  <r>
    <n v="1216"/>
    <x v="171"/>
    <s v="Supplier payment made"/>
    <x v="334"/>
    <s v="0.0"/>
    <x v="11"/>
    <x v="3"/>
  </r>
  <r>
    <n v="1216"/>
    <x v="171"/>
    <s v="Supplier payment made"/>
    <x v="273"/>
    <s v="3528.97"/>
    <x v="0"/>
    <x v="0"/>
  </r>
  <r>
    <n v="1217"/>
    <x v="171"/>
    <s v="Supplier payment made"/>
    <x v="466"/>
    <s v="0.0"/>
    <x v="11"/>
    <x v="3"/>
  </r>
  <r>
    <n v="1217"/>
    <x v="171"/>
    <s v="Supplier payment made"/>
    <x v="273"/>
    <s v="748.26"/>
    <x v="0"/>
    <x v="0"/>
  </r>
  <r>
    <n v="1218"/>
    <x v="171"/>
    <s v="Supplier payment made"/>
    <x v="496"/>
    <s v="0.0"/>
    <x v="11"/>
    <x v="3"/>
  </r>
  <r>
    <n v="1218"/>
    <x v="171"/>
    <s v="Supplier payment made"/>
    <x v="273"/>
    <s v="7227.44"/>
    <x v="0"/>
    <x v="0"/>
  </r>
  <r>
    <n v="1219"/>
    <x v="171"/>
    <s v="Supplier payment made"/>
    <x v="408"/>
    <s v="0.0"/>
    <x v="11"/>
    <x v="3"/>
  </r>
  <r>
    <n v="1219"/>
    <x v="171"/>
    <s v="Supplier payment made"/>
    <x v="273"/>
    <s v="3868.8"/>
    <x v="0"/>
    <x v="0"/>
  </r>
  <r>
    <n v="1220"/>
    <x v="171"/>
    <s v="Supplier payment made"/>
    <x v="340"/>
    <s v="0.0"/>
    <x v="11"/>
    <x v="3"/>
  </r>
  <r>
    <n v="1220"/>
    <x v="171"/>
    <s v="Supplier payment made"/>
    <x v="273"/>
    <s v="1304.62"/>
    <x v="0"/>
    <x v="0"/>
  </r>
  <r>
    <n v="1221"/>
    <x v="172"/>
    <s v="Sales invoice issued"/>
    <x v="658"/>
    <s v="0.0"/>
    <x v="2"/>
    <x v="0"/>
  </r>
  <r>
    <n v="1221"/>
    <x v="172"/>
    <s v="Sales invoice issued"/>
    <x v="273"/>
    <s v="299.24"/>
    <x v="3"/>
    <x v="2"/>
  </r>
  <r>
    <n v="1221"/>
    <x v="172"/>
    <s v="Sales invoice issued"/>
    <x v="273"/>
    <s v="22.44"/>
    <x v="4"/>
    <x v="3"/>
  </r>
  <r>
    <n v="1222"/>
    <x v="172"/>
    <s v="Sales invoice issued"/>
    <x v="659"/>
    <s v="0.0"/>
    <x v="2"/>
    <x v="0"/>
  </r>
  <r>
    <n v="1222"/>
    <x v="172"/>
    <s v="Sales invoice issued"/>
    <x v="273"/>
    <s v="5786.33"/>
    <x v="3"/>
    <x v="2"/>
  </r>
  <r>
    <n v="1222"/>
    <x v="172"/>
    <s v="Sales invoice issued"/>
    <x v="273"/>
    <s v="433.97"/>
    <x v="4"/>
    <x v="3"/>
  </r>
  <r>
    <n v="1223"/>
    <x v="172"/>
    <s v="Customer payment received"/>
    <x v="594"/>
    <s v="0.0"/>
    <x v="0"/>
    <x v="0"/>
  </r>
  <r>
    <n v="1223"/>
    <x v="172"/>
    <s v="Customer payment received"/>
    <x v="273"/>
    <s v="2184.37"/>
    <x v="2"/>
    <x v="0"/>
  </r>
  <r>
    <n v="1224"/>
    <x v="172"/>
    <s v="Customer payment received"/>
    <x v="631"/>
    <s v="0.0"/>
    <x v="0"/>
    <x v="0"/>
  </r>
  <r>
    <n v="1224"/>
    <x v="172"/>
    <s v="Customer payment received"/>
    <x v="273"/>
    <s v="3453.73"/>
    <x v="2"/>
    <x v="0"/>
  </r>
  <r>
    <n v="1225"/>
    <x v="172"/>
    <s v="Customer payment received"/>
    <x v="634"/>
    <s v="0.0"/>
    <x v="0"/>
    <x v="0"/>
  </r>
  <r>
    <n v="1225"/>
    <x v="172"/>
    <s v="Customer payment received"/>
    <x v="273"/>
    <s v="383.0"/>
    <x v="2"/>
    <x v="0"/>
  </r>
  <r>
    <n v="1226"/>
    <x v="172"/>
    <s v="Customer payment received"/>
    <x v="649"/>
    <s v="0.0"/>
    <x v="0"/>
    <x v="0"/>
  </r>
  <r>
    <n v="1226"/>
    <x v="172"/>
    <s v="Customer payment received"/>
    <x v="273"/>
    <s v="6750.03"/>
    <x v="2"/>
    <x v="0"/>
  </r>
  <r>
    <n v="1227"/>
    <x v="172"/>
    <s v="Customer payment received"/>
    <x v="650"/>
    <s v="0.0"/>
    <x v="0"/>
    <x v="0"/>
  </r>
  <r>
    <n v="1227"/>
    <x v="172"/>
    <s v="Customer payment received"/>
    <x v="273"/>
    <s v="2006.36"/>
    <x v="2"/>
    <x v="0"/>
  </r>
  <r>
    <n v="1228"/>
    <x v="172"/>
    <s v="Supplier payment made"/>
    <x v="352"/>
    <s v="0.0"/>
    <x v="11"/>
    <x v="3"/>
  </r>
  <r>
    <n v="1228"/>
    <x v="172"/>
    <s v="Supplier payment made"/>
    <x v="273"/>
    <s v="9336.67"/>
    <x v="0"/>
    <x v="0"/>
  </r>
  <r>
    <n v="1229"/>
    <x v="172"/>
    <s v="Supplier payment made"/>
    <x v="407"/>
    <s v="0.0"/>
    <x v="11"/>
    <x v="3"/>
  </r>
  <r>
    <n v="1229"/>
    <x v="172"/>
    <s v="Supplier payment made"/>
    <x v="273"/>
    <s v="201.5"/>
    <x v="0"/>
    <x v="0"/>
  </r>
  <r>
    <n v="1230"/>
    <x v="173"/>
    <s v="Sales invoice issued"/>
    <x v="660"/>
    <s v="0.0"/>
    <x v="2"/>
    <x v="0"/>
  </r>
  <r>
    <n v="1230"/>
    <x v="173"/>
    <s v="Sales invoice issued"/>
    <x v="273"/>
    <s v="846.81"/>
    <x v="3"/>
    <x v="2"/>
  </r>
  <r>
    <n v="1230"/>
    <x v="173"/>
    <s v="Sales invoice issued"/>
    <x v="273"/>
    <s v="63.51"/>
    <x v="4"/>
    <x v="3"/>
  </r>
  <r>
    <n v="1231"/>
    <x v="173"/>
    <s v="Sales invoice issued"/>
    <x v="661"/>
    <s v="0.0"/>
    <x v="2"/>
    <x v="0"/>
  </r>
  <r>
    <n v="1231"/>
    <x v="173"/>
    <s v="Sales invoice issued"/>
    <x v="273"/>
    <s v="74.41"/>
    <x v="3"/>
    <x v="2"/>
  </r>
  <r>
    <n v="1231"/>
    <x v="173"/>
    <s v="Sales invoice issued"/>
    <x v="273"/>
    <s v="5.58"/>
    <x v="4"/>
    <x v="3"/>
  </r>
  <r>
    <n v="1232"/>
    <x v="173"/>
    <s v="Customer payment received"/>
    <x v="566"/>
    <s v="0.0"/>
    <x v="0"/>
    <x v="0"/>
  </r>
  <r>
    <n v="1232"/>
    <x v="173"/>
    <s v="Customer payment received"/>
    <x v="273"/>
    <s v="1478.19"/>
    <x v="2"/>
    <x v="0"/>
  </r>
  <r>
    <n v="1233"/>
    <x v="173"/>
    <s v="Customer payment received"/>
    <x v="586"/>
    <s v="0.0"/>
    <x v="0"/>
    <x v="0"/>
  </r>
  <r>
    <n v="1233"/>
    <x v="173"/>
    <s v="Customer payment received"/>
    <x v="273"/>
    <s v="3488.92"/>
    <x v="2"/>
    <x v="0"/>
  </r>
  <r>
    <n v="1234"/>
    <x v="173"/>
    <s v="Customer payment received"/>
    <x v="601"/>
    <s v="0.0"/>
    <x v="0"/>
    <x v="0"/>
  </r>
  <r>
    <n v="1234"/>
    <x v="173"/>
    <s v="Customer payment received"/>
    <x v="273"/>
    <s v="1668.95"/>
    <x v="2"/>
    <x v="0"/>
  </r>
  <r>
    <n v="1235"/>
    <x v="173"/>
    <s v="Customer payment received"/>
    <x v="608"/>
    <s v="0.0"/>
    <x v="0"/>
    <x v="0"/>
  </r>
  <r>
    <n v="1235"/>
    <x v="173"/>
    <s v="Customer payment received"/>
    <x v="273"/>
    <s v="1508.27"/>
    <x v="2"/>
    <x v="0"/>
  </r>
  <r>
    <n v="1236"/>
    <x v="173"/>
    <s v="Customer payment received"/>
    <x v="616"/>
    <s v="0.0"/>
    <x v="0"/>
    <x v="0"/>
  </r>
  <r>
    <n v="1236"/>
    <x v="173"/>
    <s v="Customer payment received"/>
    <x v="273"/>
    <s v="410.36"/>
    <x v="2"/>
    <x v="0"/>
  </r>
  <r>
    <n v="1237"/>
    <x v="173"/>
    <s v="Customer payment received"/>
    <x v="637"/>
    <s v="0.0"/>
    <x v="0"/>
    <x v="0"/>
  </r>
  <r>
    <n v="1237"/>
    <x v="173"/>
    <s v="Customer payment received"/>
    <x v="273"/>
    <s v="1743.69"/>
    <x v="2"/>
    <x v="0"/>
  </r>
  <r>
    <n v="1238"/>
    <x v="173"/>
    <s v="Supplier payment made"/>
    <x v="393"/>
    <s v="0.0"/>
    <x v="11"/>
    <x v="3"/>
  </r>
  <r>
    <n v="1238"/>
    <x v="173"/>
    <s v="Supplier payment made"/>
    <x v="273"/>
    <s v="412.54"/>
    <x v="0"/>
    <x v="0"/>
  </r>
  <r>
    <n v="1239"/>
    <x v="173"/>
    <s v="Supplier payment made"/>
    <x v="318"/>
    <s v="0.0"/>
    <x v="11"/>
    <x v="3"/>
  </r>
  <r>
    <n v="1239"/>
    <x v="173"/>
    <s v="Supplier payment made"/>
    <x v="273"/>
    <s v="2504.23"/>
    <x v="0"/>
    <x v="0"/>
  </r>
  <r>
    <n v="1240"/>
    <x v="174"/>
    <s v="Payroll processed"/>
    <x v="535"/>
    <s v="0.0"/>
    <x v="5"/>
    <x v="4"/>
  </r>
  <r>
    <n v="1240"/>
    <x v="174"/>
    <s v="Payroll processed"/>
    <x v="536"/>
    <s v="0.0"/>
    <x v="6"/>
    <x v="4"/>
  </r>
  <r>
    <n v="1240"/>
    <x v="174"/>
    <s v="Payroll processed"/>
    <x v="273"/>
    <s v="17968.47"/>
    <x v="0"/>
    <x v="0"/>
  </r>
  <r>
    <n v="1240"/>
    <x v="174"/>
    <s v="Payroll processed"/>
    <x v="273"/>
    <s v="4069.27"/>
    <x v="7"/>
    <x v="3"/>
  </r>
  <r>
    <n v="1240"/>
    <x v="174"/>
    <s v="Payroll processed"/>
    <x v="273"/>
    <s v="881.51"/>
    <x v="8"/>
    <x v="3"/>
  </r>
  <r>
    <n v="1241"/>
    <x v="174"/>
    <s v="Sales invoice issued"/>
    <x v="662"/>
    <s v="0.0"/>
    <x v="2"/>
    <x v="0"/>
  </r>
  <r>
    <n v="1241"/>
    <x v="174"/>
    <s v="Sales invoice issued"/>
    <x v="273"/>
    <s v="4474.54"/>
    <x v="3"/>
    <x v="2"/>
  </r>
  <r>
    <n v="1241"/>
    <x v="174"/>
    <s v="Sales invoice issued"/>
    <x v="273"/>
    <s v="335.59"/>
    <x v="4"/>
    <x v="3"/>
  </r>
  <r>
    <n v="1242"/>
    <x v="174"/>
    <s v="Customer payment received"/>
    <x v="628"/>
    <s v="0.0"/>
    <x v="0"/>
    <x v="0"/>
  </r>
  <r>
    <n v="1242"/>
    <x v="174"/>
    <s v="Customer payment received"/>
    <x v="273"/>
    <s v="3141.81"/>
    <x v="2"/>
    <x v="0"/>
  </r>
  <r>
    <n v="1243"/>
    <x v="174"/>
    <s v="Customer payment received"/>
    <x v="655"/>
    <s v="0.0"/>
    <x v="0"/>
    <x v="0"/>
  </r>
  <r>
    <n v="1243"/>
    <x v="174"/>
    <s v="Customer payment received"/>
    <x v="273"/>
    <s v="919.84"/>
    <x v="2"/>
    <x v="0"/>
  </r>
  <r>
    <n v="1244"/>
    <x v="174"/>
    <s v="Supplier invoice received"/>
    <x v="305"/>
    <s v="0.0"/>
    <x v="9"/>
    <x v="4"/>
  </r>
  <r>
    <n v="1244"/>
    <x v="174"/>
    <s v="Supplier invoice received"/>
    <x v="306"/>
    <s v="0.0"/>
    <x v="10"/>
    <x v="0"/>
  </r>
  <r>
    <n v="1244"/>
    <x v="174"/>
    <s v="Supplier invoice received"/>
    <x v="273"/>
    <s v="276.32"/>
    <x v="11"/>
    <x v="3"/>
  </r>
  <r>
    <n v="1245"/>
    <x v="174"/>
    <s v="Supplier invoice received"/>
    <x v="366"/>
    <s v="0.0"/>
    <x v="9"/>
    <x v="4"/>
  </r>
  <r>
    <n v="1245"/>
    <x v="174"/>
    <s v="Supplier invoice received"/>
    <x v="367"/>
    <s v="0.0"/>
    <x v="10"/>
    <x v="0"/>
  </r>
  <r>
    <n v="1245"/>
    <x v="174"/>
    <s v="Supplier invoice received"/>
    <x v="273"/>
    <s v="201.5"/>
    <x v="11"/>
    <x v="3"/>
  </r>
  <r>
    <n v="1246"/>
    <x v="174"/>
    <s v="Supplier payment made"/>
    <x v="335"/>
    <s v="0.0"/>
    <x v="11"/>
    <x v="3"/>
  </r>
  <r>
    <n v="1246"/>
    <x v="174"/>
    <s v="Supplier payment made"/>
    <x v="273"/>
    <s v="550.4"/>
    <x v="0"/>
    <x v="0"/>
  </r>
  <r>
    <n v="1247"/>
    <x v="174"/>
    <s v="Supplier payment made"/>
    <x v="392"/>
    <s v="0.0"/>
    <x v="11"/>
    <x v="3"/>
  </r>
  <r>
    <n v="1247"/>
    <x v="174"/>
    <s v="Supplier payment made"/>
    <x v="273"/>
    <s v="1023.42"/>
    <x v="0"/>
    <x v="0"/>
  </r>
  <r>
    <n v="1248"/>
    <x v="175"/>
    <s v="Sales invoice issued"/>
    <x v="663"/>
    <s v="0.0"/>
    <x v="2"/>
    <x v="0"/>
  </r>
  <r>
    <n v="1248"/>
    <x v="175"/>
    <s v="Sales invoice issued"/>
    <x v="273"/>
    <s v="2028.37"/>
    <x v="3"/>
    <x v="2"/>
  </r>
  <r>
    <n v="1248"/>
    <x v="175"/>
    <s v="Sales invoice issued"/>
    <x v="273"/>
    <s v="152.13"/>
    <x v="4"/>
    <x v="3"/>
  </r>
  <r>
    <n v="1249"/>
    <x v="175"/>
    <s v="Sales invoice issued"/>
    <x v="664"/>
    <s v="0.0"/>
    <x v="2"/>
    <x v="0"/>
  </r>
  <r>
    <n v="1249"/>
    <x v="175"/>
    <s v="Sales invoice issued"/>
    <x v="273"/>
    <s v="2253.36"/>
    <x v="3"/>
    <x v="2"/>
  </r>
  <r>
    <n v="1249"/>
    <x v="175"/>
    <s v="Sales invoice issued"/>
    <x v="273"/>
    <s v="169.01"/>
    <x v="4"/>
    <x v="3"/>
  </r>
  <r>
    <n v="1250"/>
    <x v="175"/>
    <s v="Sales invoice issued"/>
    <x v="665"/>
    <s v="0.0"/>
    <x v="2"/>
    <x v="0"/>
  </r>
  <r>
    <n v="1250"/>
    <x v="175"/>
    <s v="Sales invoice issued"/>
    <x v="273"/>
    <s v="1182.9"/>
    <x v="3"/>
    <x v="2"/>
  </r>
  <r>
    <n v="1250"/>
    <x v="175"/>
    <s v="Sales invoice issued"/>
    <x v="273"/>
    <s v="88.72"/>
    <x v="4"/>
    <x v="3"/>
  </r>
  <r>
    <n v="1251"/>
    <x v="175"/>
    <s v="Sales invoice issued"/>
    <x v="666"/>
    <s v="0.0"/>
    <x v="2"/>
    <x v="0"/>
  </r>
  <r>
    <n v="1251"/>
    <x v="175"/>
    <s v="Sales invoice issued"/>
    <x v="273"/>
    <s v="2598.34"/>
    <x v="3"/>
    <x v="2"/>
  </r>
  <r>
    <n v="1251"/>
    <x v="175"/>
    <s v="Sales invoice issued"/>
    <x v="273"/>
    <s v="194.87"/>
    <x v="4"/>
    <x v="3"/>
  </r>
  <r>
    <n v="1252"/>
    <x v="175"/>
    <s v="Customer payment received"/>
    <x v="600"/>
    <s v="0.0"/>
    <x v="0"/>
    <x v="0"/>
  </r>
  <r>
    <n v="1252"/>
    <x v="175"/>
    <s v="Customer payment received"/>
    <x v="273"/>
    <s v="2082.75"/>
    <x v="2"/>
    <x v="0"/>
  </r>
  <r>
    <n v="1253"/>
    <x v="175"/>
    <s v="Customer payment received"/>
    <x v="635"/>
    <s v="0.0"/>
    <x v="0"/>
    <x v="0"/>
  </r>
  <r>
    <n v="1253"/>
    <x v="175"/>
    <s v="Customer payment received"/>
    <x v="273"/>
    <s v="2274.79"/>
    <x v="2"/>
    <x v="0"/>
  </r>
  <r>
    <n v="1254"/>
    <x v="175"/>
    <s v="Customer payment received"/>
    <x v="653"/>
    <s v="0.0"/>
    <x v="0"/>
    <x v="0"/>
  </r>
  <r>
    <n v="1254"/>
    <x v="175"/>
    <s v="Customer payment received"/>
    <x v="273"/>
    <s v="3957.68"/>
    <x v="2"/>
    <x v="0"/>
  </r>
  <r>
    <n v="1255"/>
    <x v="175"/>
    <s v="Supplier payment made"/>
    <x v="309"/>
    <s v="0.0"/>
    <x v="11"/>
    <x v="3"/>
  </r>
  <r>
    <n v="1255"/>
    <x v="175"/>
    <s v="Supplier payment made"/>
    <x v="273"/>
    <s v="4812.46"/>
    <x v="0"/>
    <x v="0"/>
  </r>
  <r>
    <n v="1256"/>
    <x v="176"/>
    <s v="Depreciation â€” POS System"/>
    <x v="425"/>
    <s v="0.0"/>
    <x v="12"/>
    <x v="4"/>
  </r>
  <r>
    <n v="1256"/>
    <x v="176"/>
    <s v="Depreciation â€” POS System"/>
    <x v="273"/>
    <s v="93.61"/>
    <x v="13"/>
    <x v="0"/>
  </r>
  <r>
    <n v="1257"/>
    <x v="176"/>
    <s v="Depreciation â€” Laptop x2"/>
    <x v="426"/>
    <s v="0.0"/>
    <x v="12"/>
    <x v="4"/>
  </r>
  <r>
    <n v="1257"/>
    <x v="176"/>
    <s v="Depreciation â€” Laptop x2"/>
    <x v="273"/>
    <s v="76.86"/>
    <x v="13"/>
    <x v="0"/>
  </r>
  <r>
    <n v="1258"/>
    <x v="176"/>
    <s v="Depreciation â€” Printer/Scanner"/>
    <x v="427"/>
    <s v="0.0"/>
    <x v="12"/>
    <x v="4"/>
  </r>
  <r>
    <n v="1258"/>
    <x v="176"/>
    <s v="Depreciation â€” Printer/Scanner"/>
    <x v="273"/>
    <s v="20.03"/>
    <x v="13"/>
    <x v="0"/>
  </r>
  <r>
    <n v="1259"/>
    <x v="176"/>
    <s v="Depreciation â€” Shop Shelving"/>
    <x v="428"/>
    <s v="0.0"/>
    <x v="12"/>
    <x v="4"/>
  </r>
  <r>
    <n v="1259"/>
    <x v="176"/>
    <s v="Depreciation â€” Shop Shelving"/>
    <x v="273"/>
    <s v="86.89"/>
    <x v="14"/>
    <x v="0"/>
  </r>
  <r>
    <n v="1260"/>
    <x v="176"/>
    <s v="Depreciation â€” Display Stands"/>
    <x v="429"/>
    <s v="0.0"/>
    <x v="12"/>
    <x v="4"/>
  </r>
  <r>
    <n v="1260"/>
    <x v="176"/>
    <s v="Depreciation â€” Display Stands"/>
    <x v="273"/>
    <s v="76.8"/>
    <x v="14"/>
    <x v="0"/>
  </r>
  <r>
    <n v="1261"/>
    <x v="176"/>
    <s v="Depreciation â€” Counter &amp; Checkout"/>
    <x v="430"/>
    <s v="0.0"/>
    <x v="12"/>
    <x v="4"/>
  </r>
  <r>
    <n v="1261"/>
    <x v="176"/>
    <s v="Depreciation â€” Counter &amp; Checkout"/>
    <x v="273"/>
    <s v="48.28"/>
    <x v="14"/>
    <x v="0"/>
  </r>
  <r>
    <n v="1262"/>
    <x v="176"/>
    <s v="Depreciation â€” Signage"/>
    <x v="431"/>
    <s v="0.0"/>
    <x v="12"/>
    <x v="4"/>
  </r>
  <r>
    <n v="1262"/>
    <x v="176"/>
    <s v="Depreciation â€” Signage"/>
    <x v="273"/>
    <s v="53.21"/>
    <x v="14"/>
    <x v="0"/>
  </r>
  <r>
    <n v="1263"/>
    <x v="176"/>
    <s v="Depreciation â€” Delivery Van"/>
    <x v="432"/>
    <s v="0.0"/>
    <x v="12"/>
    <x v="4"/>
  </r>
  <r>
    <n v="1263"/>
    <x v="176"/>
    <s v="Depreciation â€” Delivery Van"/>
    <x v="273"/>
    <s v="232.19"/>
    <x v="15"/>
    <x v="0"/>
  </r>
  <r>
    <n v="1264"/>
    <x v="176"/>
    <s v="Depreciation â€” Security System"/>
    <x v="433"/>
    <s v="0.0"/>
    <x v="12"/>
    <x v="4"/>
  </r>
  <r>
    <n v="1264"/>
    <x v="176"/>
    <s v="Depreciation â€” Security System"/>
    <x v="273"/>
    <s v="43.85"/>
    <x v="13"/>
    <x v="0"/>
  </r>
  <r>
    <n v="1265"/>
    <x v="177"/>
    <s v="Sales invoice issued"/>
    <x v="667"/>
    <s v="0.0"/>
    <x v="2"/>
    <x v="0"/>
  </r>
  <r>
    <n v="1265"/>
    <x v="177"/>
    <s v="Sales invoice issued"/>
    <x v="273"/>
    <s v="1222.78"/>
    <x v="3"/>
    <x v="2"/>
  </r>
  <r>
    <n v="1265"/>
    <x v="177"/>
    <s v="Sales invoice issued"/>
    <x v="273"/>
    <s v="91.71"/>
    <x v="4"/>
    <x v="3"/>
  </r>
  <r>
    <n v="1266"/>
    <x v="177"/>
    <s v="Sales invoice issued"/>
    <x v="668"/>
    <s v="0.0"/>
    <x v="2"/>
    <x v="0"/>
  </r>
  <r>
    <n v="1266"/>
    <x v="177"/>
    <s v="Sales invoice issued"/>
    <x v="273"/>
    <s v="4025.12"/>
    <x v="3"/>
    <x v="2"/>
  </r>
  <r>
    <n v="1266"/>
    <x v="177"/>
    <s v="Sales invoice issued"/>
    <x v="273"/>
    <s v="301.89"/>
    <x v="4"/>
    <x v="3"/>
  </r>
  <r>
    <n v="1267"/>
    <x v="177"/>
    <s v="Customer payment received"/>
    <x v="602"/>
    <s v="0.0"/>
    <x v="0"/>
    <x v="0"/>
  </r>
  <r>
    <n v="1267"/>
    <x v="177"/>
    <s v="Customer payment received"/>
    <x v="273"/>
    <s v="1326.56"/>
    <x v="2"/>
    <x v="0"/>
  </r>
  <r>
    <n v="1268"/>
    <x v="177"/>
    <s v="Customer payment received"/>
    <x v="665"/>
    <s v="0.0"/>
    <x v="0"/>
    <x v="0"/>
  </r>
  <r>
    <n v="1268"/>
    <x v="177"/>
    <s v="Customer payment received"/>
    <x v="273"/>
    <s v="1271.62"/>
    <x v="2"/>
    <x v="0"/>
  </r>
  <r>
    <n v="1269"/>
    <x v="177"/>
    <s v="Supplier invoice received"/>
    <x v="301"/>
    <s v="0.0"/>
    <x v="9"/>
    <x v="4"/>
  </r>
  <r>
    <n v="1269"/>
    <x v="177"/>
    <s v="Supplier invoice received"/>
    <x v="302"/>
    <s v="0.0"/>
    <x v="10"/>
    <x v="0"/>
  </r>
  <r>
    <n v="1269"/>
    <x v="177"/>
    <s v="Supplier invoice received"/>
    <x v="273"/>
    <s v="4812.46"/>
    <x v="11"/>
    <x v="3"/>
  </r>
  <r>
    <n v="1270"/>
    <x v="177"/>
    <s v="Supplier invoice received"/>
    <x v="303"/>
    <s v="0.0"/>
    <x v="9"/>
    <x v="4"/>
  </r>
  <r>
    <n v="1270"/>
    <x v="177"/>
    <s v="Supplier invoice received"/>
    <x v="304"/>
    <s v="0.0"/>
    <x v="10"/>
    <x v="0"/>
  </r>
  <r>
    <n v="1270"/>
    <x v="177"/>
    <s v="Supplier invoice received"/>
    <x v="273"/>
    <s v="550.4"/>
    <x v="11"/>
    <x v="3"/>
  </r>
  <r>
    <n v="1271"/>
    <x v="177"/>
    <s v="Supplier invoice received"/>
    <x v="441"/>
    <s v="0.0"/>
    <x v="9"/>
    <x v="4"/>
  </r>
  <r>
    <n v="1271"/>
    <x v="177"/>
    <s v="Supplier invoice received"/>
    <x v="442"/>
    <s v="0.0"/>
    <x v="10"/>
    <x v="0"/>
  </r>
  <r>
    <n v="1271"/>
    <x v="177"/>
    <s v="Supplier invoice received"/>
    <x v="273"/>
    <s v="179.01"/>
    <x v="11"/>
    <x v="3"/>
  </r>
  <r>
    <n v="1272"/>
    <x v="177"/>
    <s v="Supplier invoice received"/>
    <x v="461"/>
    <s v="0.0"/>
    <x v="9"/>
    <x v="4"/>
  </r>
  <r>
    <n v="1272"/>
    <x v="177"/>
    <s v="Supplier invoice received"/>
    <x v="462"/>
    <s v="0.0"/>
    <x v="10"/>
    <x v="0"/>
  </r>
  <r>
    <n v="1272"/>
    <x v="177"/>
    <s v="Supplier invoice received"/>
    <x v="273"/>
    <s v="2182.41"/>
    <x v="11"/>
    <x v="3"/>
  </r>
  <r>
    <n v="1273"/>
    <x v="177"/>
    <s v="Supplier invoice received"/>
    <x v="295"/>
    <s v="0.0"/>
    <x v="9"/>
    <x v="4"/>
  </r>
  <r>
    <n v="1273"/>
    <x v="177"/>
    <s v="Supplier invoice received"/>
    <x v="296"/>
    <s v="0.0"/>
    <x v="10"/>
    <x v="0"/>
  </r>
  <r>
    <n v="1273"/>
    <x v="177"/>
    <s v="Supplier invoice received"/>
    <x v="273"/>
    <s v="1766.46"/>
    <x v="11"/>
    <x v="3"/>
  </r>
  <r>
    <n v="1274"/>
    <x v="177"/>
    <s v="Supplier payment made"/>
    <x v="392"/>
    <s v="0.0"/>
    <x v="11"/>
    <x v="3"/>
  </r>
  <r>
    <n v="1274"/>
    <x v="177"/>
    <s v="Supplier payment made"/>
    <x v="273"/>
    <s v="1023.42"/>
    <x v="0"/>
    <x v="0"/>
  </r>
  <r>
    <n v="1275"/>
    <x v="178"/>
    <s v="Sales invoice issued"/>
    <x v="669"/>
    <s v="0.0"/>
    <x v="2"/>
    <x v="0"/>
  </r>
  <r>
    <n v="1275"/>
    <x v="178"/>
    <s v="Sales invoice issued"/>
    <x v="273"/>
    <s v="2958.94"/>
    <x v="3"/>
    <x v="2"/>
  </r>
  <r>
    <n v="1275"/>
    <x v="178"/>
    <s v="Sales invoice issued"/>
    <x v="273"/>
    <s v="221.92"/>
    <x v="4"/>
    <x v="3"/>
  </r>
  <r>
    <n v="1276"/>
    <x v="178"/>
    <s v="Sales invoice issued"/>
    <x v="670"/>
    <s v="0.0"/>
    <x v="2"/>
    <x v="0"/>
  </r>
  <r>
    <n v="1276"/>
    <x v="178"/>
    <s v="Sales invoice issued"/>
    <x v="273"/>
    <s v="454.38"/>
    <x v="3"/>
    <x v="2"/>
  </r>
  <r>
    <n v="1276"/>
    <x v="178"/>
    <s v="Sales invoice issued"/>
    <x v="273"/>
    <s v="34.08"/>
    <x v="4"/>
    <x v="3"/>
  </r>
  <r>
    <n v="1277"/>
    <x v="178"/>
    <s v="Sales invoice issued"/>
    <x v="671"/>
    <s v="0.0"/>
    <x v="2"/>
    <x v="0"/>
  </r>
  <r>
    <n v="1277"/>
    <x v="178"/>
    <s v="Sales invoice issued"/>
    <x v="273"/>
    <s v="1339.26"/>
    <x v="3"/>
    <x v="2"/>
  </r>
  <r>
    <n v="1277"/>
    <x v="178"/>
    <s v="Sales invoice issued"/>
    <x v="273"/>
    <s v="100.46"/>
    <x v="4"/>
    <x v="3"/>
  </r>
  <r>
    <n v="1278"/>
    <x v="178"/>
    <s v="Customer payment received"/>
    <x v="582"/>
    <s v="0.0"/>
    <x v="0"/>
    <x v="0"/>
  </r>
  <r>
    <n v="1278"/>
    <x v="178"/>
    <s v="Customer payment received"/>
    <x v="273"/>
    <s v="1020.06"/>
    <x v="2"/>
    <x v="0"/>
  </r>
  <r>
    <n v="1279"/>
    <x v="178"/>
    <s v="Customer payment received"/>
    <x v="654"/>
    <s v="0.0"/>
    <x v="0"/>
    <x v="0"/>
  </r>
  <r>
    <n v="1279"/>
    <x v="178"/>
    <s v="Customer payment received"/>
    <x v="273"/>
    <s v="2009.47"/>
    <x v="2"/>
    <x v="0"/>
  </r>
  <r>
    <n v="1280"/>
    <x v="178"/>
    <s v="Supplier invoice received"/>
    <x v="338"/>
    <s v="0.0"/>
    <x v="9"/>
    <x v="4"/>
  </r>
  <r>
    <n v="1280"/>
    <x v="178"/>
    <s v="Supplier invoice received"/>
    <x v="339"/>
    <s v="0.0"/>
    <x v="10"/>
    <x v="0"/>
  </r>
  <r>
    <n v="1280"/>
    <x v="178"/>
    <s v="Supplier invoice received"/>
    <x v="273"/>
    <s v="1159.84"/>
    <x v="11"/>
    <x v="3"/>
  </r>
  <r>
    <n v="1281"/>
    <x v="179"/>
    <s v="Sales invoice issued"/>
    <x v="672"/>
    <s v="0.0"/>
    <x v="2"/>
    <x v="0"/>
  </r>
  <r>
    <n v="1281"/>
    <x v="179"/>
    <s v="Sales invoice issued"/>
    <x v="273"/>
    <s v="2891.08"/>
    <x v="3"/>
    <x v="2"/>
  </r>
  <r>
    <n v="1281"/>
    <x v="179"/>
    <s v="Sales invoice issued"/>
    <x v="273"/>
    <s v="216.83"/>
    <x v="4"/>
    <x v="3"/>
  </r>
  <r>
    <n v="1282"/>
    <x v="179"/>
    <s v="Sales invoice issued"/>
    <x v="673"/>
    <s v="0.0"/>
    <x v="2"/>
    <x v="0"/>
  </r>
  <r>
    <n v="1282"/>
    <x v="179"/>
    <s v="Sales invoice issued"/>
    <x v="273"/>
    <s v="4711.08"/>
    <x v="3"/>
    <x v="2"/>
  </r>
  <r>
    <n v="1282"/>
    <x v="179"/>
    <s v="Sales invoice issued"/>
    <x v="273"/>
    <s v="353.33"/>
    <x v="4"/>
    <x v="3"/>
  </r>
  <r>
    <n v="1283"/>
    <x v="179"/>
    <s v="Sales invoice issued"/>
    <x v="674"/>
    <s v="0.0"/>
    <x v="2"/>
    <x v="0"/>
  </r>
  <r>
    <n v="1283"/>
    <x v="179"/>
    <s v="Sales invoice issued"/>
    <x v="273"/>
    <s v="4021.87"/>
    <x v="3"/>
    <x v="2"/>
  </r>
  <r>
    <n v="1283"/>
    <x v="179"/>
    <s v="Sales invoice issued"/>
    <x v="273"/>
    <s v="301.64"/>
    <x v="4"/>
    <x v="3"/>
  </r>
  <r>
    <n v="1284"/>
    <x v="179"/>
    <s v="Sales invoice issued"/>
    <x v="675"/>
    <s v="0.0"/>
    <x v="2"/>
    <x v="0"/>
  </r>
  <r>
    <n v="1284"/>
    <x v="179"/>
    <s v="Sales invoice issued"/>
    <x v="273"/>
    <s v="2584.79"/>
    <x v="3"/>
    <x v="2"/>
  </r>
  <r>
    <n v="1284"/>
    <x v="179"/>
    <s v="Sales invoice issued"/>
    <x v="273"/>
    <s v="193.85"/>
    <x v="4"/>
    <x v="3"/>
  </r>
  <r>
    <n v="1285"/>
    <x v="179"/>
    <s v="Sales invoice issued"/>
    <x v="676"/>
    <s v="0.0"/>
    <x v="2"/>
    <x v="0"/>
  </r>
  <r>
    <n v="1285"/>
    <x v="179"/>
    <s v="Sales invoice issued"/>
    <x v="273"/>
    <s v="1968.66"/>
    <x v="3"/>
    <x v="2"/>
  </r>
  <r>
    <n v="1285"/>
    <x v="179"/>
    <s v="Sales invoice issued"/>
    <x v="273"/>
    <s v="147.65"/>
    <x v="4"/>
    <x v="3"/>
  </r>
  <r>
    <n v="1286"/>
    <x v="179"/>
    <s v="Customer payment received"/>
    <x v="576"/>
    <s v="0.0"/>
    <x v="0"/>
    <x v="0"/>
  </r>
  <r>
    <n v="1286"/>
    <x v="179"/>
    <s v="Customer payment received"/>
    <x v="273"/>
    <s v="375.23"/>
    <x v="2"/>
    <x v="0"/>
  </r>
  <r>
    <n v="1287"/>
    <x v="179"/>
    <s v="Customer payment received"/>
    <x v="666"/>
    <s v="0.0"/>
    <x v="0"/>
    <x v="0"/>
  </r>
  <r>
    <n v="1287"/>
    <x v="179"/>
    <s v="Customer payment received"/>
    <x v="273"/>
    <s v="2793.21"/>
    <x v="2"/>
    <x v="0"/>
  </r>
  <r>
    <n v="1288"/>
    <x v="179"/>
    <s v="Supplier payment made"/>
    <x v="292"/>
    <s v="0.0"/>
    <x v="11"/>
    <x v="3"/>
  </r>
  <r>
    <n v="1288"/>
    <x v="179"/>
    <s v="Supplier payment made"/>
    <x v="273"/>
    <s v="1766.46"/>
    <x v="0"/>
    <x v="0"/>
  </r>
  <r>
    <n v="1289"/>
    <x v="179"/>
    <s v="Supplier payment made"/>
    <x v="313"/>
    <s v="0.0"/>
    <x v="11"/>
    <x v="3"/>
  </r>
  <r>
    <n v="1289"/>
    <x v="179"/>
    <s v="Supplier payment made"/>
    <x v="273"/>
    <s v="1159.84"/>
    <x v="0"/>
    <x v="0"/>
  </r>
  <r>
    <n v="1290"/>
    <x v="180"/>
    <s v="Sales invoice issued"/>
    <x v="677"/>
    <s v="0.0"/>
    <x v="2"/>
    <x v="0"/>
  </r>
  <r>
    <n v="1290"/>
    <x v="180"/>
    <s v="Sales invoice issued"/>
    <x v="273"/>
    <s v="1651.81"/>
    <x v="3"/>
    <x v="2"/>
  </r>
  <r>
    <n v="1290"/>
    <x v="180"/>
    <s v="Sales invoice issued"/>
    <x v="273"/>
    <s v="123.88"/>
    <x v="4"/>
    <x v="3"/>
  </r>
  <r>
    <n v="1291"/>
    <x v="180"/>
    <s v="Sales invoice issued"/>
    <x v="678"/>
    <s v="0.0"/>
    <x v="2"/>
    <x v="0"/>
  </r>
  <r>
    <n v="1291"/>
    <x v="180"/>
    <s v="Sales invoice issued"/>
    <x v="273"/>
    <s v="552.3"/>
    <x v="3"/>
    <x v="2"/>
  </r>
  <r>
    <n v="1291"/>
    <x v="180"/>
    <s v="Sales invoice issued"/>
    <x v="273"/>
    <s v="41.42"/>
    <x v="4"/>
    <x v="3"/>
  </r>
  <r>
    <n v="1292"/>
    <x v="180"/>
    <s v="Sales invoice issued"/>
    <x v="679"/>
    <s v="0.0"/>
    <x v="2"/>
    <x v="0"/>
  </r>
  <r>
    <n v="1292"/>
    <x v="180"/>
    <s v="Sales invoice issued"/>
    <x v="273"/>
    <s v="267.28"/>
    <x v="3"/>
    <x v="2"/>
  </r>
  <r>
    <n v="1292"/>
    <x v="180"/>
    <s v="Sales invoice issued"/>
    <x v="273"/>
    <s v="20.05"/>
    <x v="4"/>
    <x v="3"/>
  </r>
  <r>
    <n v="1293"/>
    <x v="180"/>
    <s v="Sales invoice issued"/>
    <x v="680"/>
    <s v="0.0"/>
    <x v="2"/>
    <x v="0"/>
  </r>
  <r>
    <n v="1293"/>
    <x v="180"/>
    <s v="Sales invoice issued"/>
    <x v="273"/>
    <s v="1133.91"/>
    <x v="3"/>
    <x v="2"/>
  </r>
  <r>
    <n v="1293"/>
    <x v="180"/>
    <s v="Sales invoice issued"/>
    <x v="273"/>
    <s v="85.04"/>
    <x v="4"/>
    <x v="3"/>
  </r>
  <r>
    <n v="1294"/>
    <x v="180"/>
    <s v="Customer payment received"/>
    <x v="538"/>
    <s v="0.0"/>
    <x v="0"/>
    <x v="0"/>
  </r>
  <r>
    <n v="1294"/>
    <x v="180"/>
    <s v="Customer payment received"/>
    <x v="273"/>
    <s v="2515.32"/>
    <x v="2"/>
    <x v="0"/>
  </r>
  <r>
    <n v="1295"/>
    <x v="180"/>
    <s v="Customer payment received"/>
    <x v="609"/>
    <s v="0.0"/>
    <x v="0"/>
    <x v="0"/>
  </r>
  <r>
    <n v="1295"/>
    <x v="180"/>
    <s v="Customer payment received"/>
    <x v="273"/>
    <s v="1802.38"/>
    <x v="2"/>
    <x v="0"/>
  </r>
  <r>
    <n v="1296"/>
    <x v="180"/>
    <s v="Customer payment received"/>
    <x v="613"/>
    <s v="0.0"/>
    <x v="0"/>
    <x v="0"/>
  </r>
  <r>
    <n v="1296"/>
    <x v="180"/>
    <s v="Customer payment received"/>
    <x v="273"/>
    <s v="2792.05"/>
    <x v="2"/>
    <x v="0"/>
  </r>
  <r>
    <n v="1297"/>
    <x v="180"/>
    <s v="Customer payment received"/>
    <x v="630"/>
    <s v="0.0"/>
    <x v="0"/>
    <x v="0"/>
  </r>
  <r>
    <n v="1297"/>
    <x v="180"/>
    <s v="Customer payment received"/>
    <x v="273"/>
    <s v="3793.09"/>
    <x v="2"/>
    <x v="0"/>
  </r>
  <r>
    <n v="1298"/>
    <x v="180"/>
    <s v="Customer payment received"/>
    <x v="663"/>
    <s v="0.0"/>
    <x v="0"/>
    <x v="0"/>
  </r>
  <r>
    <n v="1298"/>
    <x v="180"/>
    <s v="Customer payment received"/>
    <x v="273"/>
    <s v="2180.5"/>
    <x v="2"/>
    <x v="0"/>
  </r>
  <r>
    <n v="1299"/>
    <x v="181"/>
    <s v="Sales invoice issued"/>
    <x v="681"/>
    <s v="0.0"/>
    <x v="2"/>
    <x v="0"/>
  </r>
  <r>
    <n v="1299"/>
    <x v="181"/>
    <s v="Sales invoice issued"/>
    <x v="273"/>
    <s v="2730.3"/>
    <x v="3"/>
    <x v="2"/>
  </r>
  <r>
    <n v="1299"/>
    <x v="181"/>
    <s v="Sales invoice issued"/>
    <x v="273"/>
    <s v="204.77"/>
    <x v="4"/>
    <x v="3"/>
  </r>
  <r>
    <n v="1300"/>
    <x v="181"/>
    <s v="Sales invoice issued"/>
    <x v="682"/>
    <s v="0.0"/>
    <x v="2"/>
    <x v="0"/>
  </r>
  <r>
    <n v="1300"/>
    <x v="181"/>
    <s v="Sales invoice issued"/>
    <x v="273"/>
    <s v="1537.98"/>
    <x v="3"/>
    <x v="2"/>
  </r>
  <r>
    <n v="1300"/>
    <x v="181"/>
    <s v="Sales invoice issued"/>
    <x v="273"/>
    <s v="115.35"/>
    <x v="4"/>
    <x v="3"/>
  </r>
  <r>
    <n v="1301"/>
    <x v="181"/>
    <s v="Sales invoice issued"/>
    <x v="683"/>
    <s v="0.0"/>
    <x v="2"/>
    <x v="0"/>
  </r>
  <r>
    <n v="1301"/>
    <x v="181"/>
    <s v="Sales invoice issued"/>
    <x v="273"/>
    <s v="26.1"/>
    <x v="3"/>
    <x v="2"/>
  </r>
  <r>
    <n v="1301"/>
    <x v="181"/>
    <s v="Sales invoice issued"/>
    <x v="273"/>
    <s v="1.96"/>
    <x v="4"/>
    <x v="3"/>
  </r>
  <r>
    <n v="1302"/>
    <x v="181"/>
    <s v="Customer payment received"/>
    <x v="517"/>
    <s v="0.0"/>
    <x v="0"/>
    <x v="0"/>
  </r>
  <r>
    <n v="1302"/>
    <x v="181"/>
    <s v="Customer payment received"/>
    <x v="273"/>
    <s v="3542.62"/>
    <x v="2"/>
    <x v="0"/>
  </r>
  <r>
    <n v="1303"/>
    <x v="181"/>
    <s v="Customer payment received"/>
    <x v="570"/>
    <s v="0.0"/>
    <x v="0"/>
    <x v="0"/>
  </r>
  <r>
    <n v="1303"/>
    <x v="181"/>
    <s v="Customer payment received"/>
    <x v="273"/>
    <s v="1015.38"/>
    <x v="2"/>
    <x v="0"/>
  </r>
  <r>
    <n v="1304"/>
    <x v="181"/>
    <s v="Customer payment received"/>
    <x v="583"/>
    <s v="0.0"/>
    <x v="0"/>
    <x v="0"/>
  </r>
  <r>
    <n v="1304"/>
    <x v="181"/>
    <s v="Customer payment received"/>
    <x v="273"/>
    <s v="929.56"/>
    <x v="2"/>
    <x v="0"/>
  </r>
  <r>
    <n v="1305"/>
    <x v="181"/>
    <s v="Customer payment received"/>
    <x v="652"/>
    <s v="0.0"/>
    <x v="0"/>
    <x v="0"/>
  </r>
  <r>
    <n v="1305"/>
    <x v="181"/>
    <s v="Customer payment received"/>
    <x v="273"/>
    <s v="1488.92"/>
    <x v="2"/>
    <x v="0"/>
  </r>
  <r>
    <n v="1306"/>
    <x v="181"/>
    <s v="Supplier invoice received"/>
    <x v="301"/>
    <s v="0.0"/>
    <x v="9"/>
    <x v="4"/>
  </r>
  <r>
    <n v="1306"/>
    <x v="181"/>
    <s v="Supplier invoice received"/>
    <x v="302"/>
    <s v="0.0"/>
    <x v="10"/>
    <x v="0"/>
  </r>
  <r>
    <n v="1306"/>
    <x v="181"/>
    <s v="Supplier invoice received"/>
    <x v="273"/>
    <s v="4812.46"/>
    <x v="11"/>
    <x v="3"/>
  </r>
  <r>
    <n v="1307"/>
    <x v="181"/>
    <s v="Supplier invoice received"/>
    <x v="441"/>
    <s v="0.0"/>
    <x v="9"/>
    <x v="4"/>
  </r>
  <r>
    <n v="1307"/>
    <x v="181"/>
    <s v="Supplier invoice received"/>
    <x v="442"/>
    <s v="0.0"/>
    <x v="10"/>
    <x v="0"/>
  </r>
  <r>
    <n v="1307"/>
    <x v="181"/>
    <s v="Supplier invoice received"/>
    <x v="273"/>
    <s v="179.01"/>
    <x v="11"/>
    <x v="3"/>
  </r>
  <r>
    <n v="1308"/>
    <x v="181"/>
    <s v="Supplier payment made"/>
    <x v="310"/>
    <s v="0.0"/>
    <x v="11"/>
    <x v="3"/>
  </r>
  <r>
    <n v="1308"/>
    <x v="181"/>
    <s v="Supplier payment made"/>
    <x v="273"/>
    <s v="276.32"/>
    <x v="0"/>
    <x v="0"/>
  </r>
  <r>
    <n v="1309"/>
    <x v="181"/>
    <s v="Supplier payment made"/>
    <x v="351"/>
    <s v="0.0"/>
    <x v="11"/>
    <x v="3"/>
  </r>
  <r>
    <n v="1309"/>
    <x v="181"/>
    <s v="Supplier payment made"/>
    <x v="273"/>
    <s v="179.01"/>
    <x v="0"/>
    <x v="0"/>
  </r>
  <r>
    <n v="1310"/>
    <x v="182"/>
    <s v="Sales invoice issued"/>
    <x v="684"/>
    <s v="0.0"/>
    <x v="2"/>
    <x v="0"/>
  </r>
  <r>
    <n v="1310"/>
    <x v="182"/>
    <s v="Sales invoice issued"/>
    <x v="273"/>
    <s v="242.22"/>
    <x v="3"/>
    <x v="2"/>
  </r>
  <r>
    <n v="1310"/>
    <x v="182"/>
    <s v="Sales invoice issued"/>
    <x v="273"/>
    <s v="18.17"/>
    <x v="4"/>
    <x v="3"/>
  </r>
  <r>
    <n v="1311"/>
    <x v="182"/>
    <s v="Sales invoice issued"/>
    <x v="685"/>
    <s v="0.0"/>
    <x v="2"/>
    <x v="0"/>
  </r>
  <r>
    <n v="1311"/>
    <x v="182"/>
    <s v="Sales invoice issued"/>
    <x v="273"/>
    <s v="2199.89"/>
    <x v="3"/>
    <x v="2"/>
  </r>
  <r>
    <n v="1311"/>
    <x v="182"/>
    <s v="Sales invoice issued"/>
    <x v="273"/>
    <s v="164.99"/>
    <x v="4"/>
    <x v="3"/>
  </r>
  <r>
    <n v="1312"/>
    <x v="182"/>
    <s v="Customer payment received"/>
    <x v="530"/>
    <s v="0.0"/>
    <x v="0"/>
    <x v="0"/>
  </r>
  <r>
    <n v="1312"/>
    <x v="182"/>
    <s v="Customer payment received"/>
    <x v="273"/>
    <s v="6186.86"/>
    <x v="2"/>
    <x v="0"/>
  </r>
  <r>
    <n v="1313"/>
    <x v="182"/>
    <s v="Customer payment received"/>
    <x v="589"/>
    <s v="0.0"/>
    <x v="0"/>
    <x v="0"/>
  </r>
  <r>
    <n v="1313"/>
    <x v="182"/>
    <s v="Customer payment received"/>
    <x v="273"/>
    <s v="3257.1"/>
    <x v="2"/>
    <x v="0"/>
  </r>
  <r>
    <n v="1314"/>
    <x v="182"/>
    <s v="Customer payment received"/>
    <x v="627"/>
    <s v="0.0"/>
    <x v="0"/>
    <x v="0"/>
  </r>
  <r>
    <n v="1314"/>
    <x v="182"/>
    <s v="Customer payment received"/>
    <x v="273"/>
    <s v="3648.81"/>
    <x v="2"/>
    <x v="0"/>
  </r>
  <r>
    <n v="1315"/>
    <x v="182"/>
    <s v="Customer payment received"/>
    <x v="639"/>
    <s v="0.0"/>
    <x v="0"/>
    <x v="0"/>
  </r>
  <r>
    <n v="1315"/>
    <x v="182"/>
    <s v="Customer payment received"/>
    <x v="273"/>
    <s v="2671.0"/>
    <x v="2"/>
    <x v="0"/>
  </r>
  <r>
    <n v="1316"/>
    <x v="182"/>
    <s v="Customer payment received"/>
    <x v="662"/>
    <s v="0.0"/>
    <x v="0"/>
    <x v="0"/>
  </r>
  <r>
    <n v="1316"/>
    <x v="182"/>
    <s v="Customer payment received"/>
    <x v="273"/>
    <s v="4810.13"/>
    <x v="2"/>
    <x v="0"/>
  </r>
  <r>
    <n v="1317"/>
    <x v="182"/>
    <s v="Customer payment received"/>
    <x v="683"/>
    <s v="0.0"/>
    <x v="0"/>
    <x v="0"/>
  </r>
  <r>
    <n v="1317"/>
    <x v="182"/>
    <s v="Customer payment received"/>
    <x v="273"/>
    <s v="28.06"/>
    <x v="2"/>
    <x v="0"/>
  </r>
  <r>
    <n v="1318"/>
    <x v="182"/>
    <s v="Supplier invoice received"/>
    <x v="405"/>
    <s v="0.0"/>
    <x v="9"/>
    <x v="4"/>
  </r>
  <r>
    <n v="1318"/>
    <x v="182"/>
    <s v="Supplier invoice received"/>
    <x v="406"/>
    <s v="0.0"/>
    <x v="10"/>
    <x v="0"/>
  </r>
  <r>
    <n v="1318"/>
    <x v="182"/>
    <s v="Supplier invoice received"/>
    <x v="273"/>
    <s v="2635.36"/>
    <x v="11"/>
    <x v="3"/>
  </r>
  <r>
    <n v="1319"/>
    <x v="182"/>
    <s v="Supplier invoice received"/>
    <x v="330"/>
    <s v="0.0"/>
    <x v="9"/>
    <x v="4"/>
  </r>
  <r>
    <n v="1319"/>
    <x v="182"/>
    <s v="Supplier invoice received"/>
    <x v="331"/>
    <s v="0.0"/>
    <x v="10"/>
    <x v="0"/>
  </r>
  <r>
    <n v="1319"/>
    <x v="182"/>
    <s v="Supplier invoice received"/>
    <x v="273"/>
    <s v="1935.04"/>
    <x v="11"/>
    <x v="3"/>
  </r>
  <r>
    <n v="1320"/>
    <x v="182"/>
    <s v="Supplier invoice received"/>
    <x v="448"/>
    <s v="0.0"/>
    <x v="9"/>
    <x v="4"/>
  </r>
  <r>
    <n v="1320"/>
    <x v="182"/>
    <s v="Supplier invoice received"/>
    <x v="449"/>
    <s v="0.0"/>
    <x v="10"/>
    <x v="0"/>
  </r>
  <r>
    <n v="1320"/>
    <x v="182"/>
    <s v="Supplier invoice received"/>
    <x v="273"/>
    <s v="7227.44"/>
    <x v="11"/>
    <x v="3"/>
  </r>
  <r>
    <n v="1321"/>
    <x v="182"/>
    <s v="Supplier invoice received"/>
    <x v="305"/>
    <s v="0.0"/>
    <x v="9"/>
    <x v="4"/>
  </r>
  <r>
    <n v="1321"/>
    <x v="182"/>
    <s v="Supplier invoice received"/>
    <x v="306"/>
    <s v="0.0"/>
    <x v="10"/>
    <x v="0"/>
  </r>
  <r>
    <n v="1321"/>
    <x v="182"/>
    <s v="Supplier invoice received"/>
    <x v="273"/>
    <s v="276.32"/>
    <x v="11"/>
    <x v="3"/>
  </r>
  <r>
    <n v="1322"/>
    <x v="182"/>
    <s v="Supplier invoice received"/>
    <x v="299"/>
    <s v="0.0"/>
    <x v="9"/>
    <x v="4"/>
  </r>
  <r>
    <n v="1322"/>
    <x v="182"/>
    <s v="Supplier invoice received"/>
    <x v="300"/>
    <s v="0.0"/>
    <x v="10"/>
    <x v="0"/>
  </r>
  <r>
    <n v="1322"/>
    <x v="182"/>
    <s v="Supplier invoice received"/>
    <x v="273"/>
    <s v="2918.17"/>
    <x v="11"/>
    <x v="3"/>
  </r>
  <r>
    <n v="1323"/>
    <x v="182"/>
    <s v="Supplier invoice received"/>
    <x v="338"/>
    <s v="0.0"/>
    <x v="9"/>
    <x v="4"/>
  </r>
  <r>
    <n v="1323"/>
    <x v="182"/>
    <s v="Supplier invoice received"/>
    <x v="339"/>
    <s v="0.0"/>
    <x v="10"/>
    <x v="0"/>
  </r>
  <r>
    <n v="1323"/>
    <x v="182"/>
    <s v="Supplier invoice received"/>
    <x v="273"/>
    <s v="1159.84"/>
    <x v="11"/>
    <x v="3"/>
  </r>
  <r>
    <n v="1324"/>
    <x v="182"/>
    <s v="Supplier invoice received"/>
    <x v="443"/>
    <s v="0.0"/>
    <x v="9"/>
    <x v="4"/>
  </r>
  <r>
    <n v="1324"/>
    <x v="182"/>
    <s v="Supplier invoice received"/>
    <x v="444"/>
    <s v="0.0"/>
    <x v="10"/>
    <x v="0"/>
  </r>
  <r>
    <n v="1324"/>
    <x v="182"/>
    <s v="Supplier invoice received"/>
    <x v="273"/>
    <s v="748.26"/>
    <x v="11"/>
    <x v="3"/>
  </r>
  <r>
    <n v="1325"/>
    <x v="182"/>
    <s v="Supplier invoice received"/>
    <x v="445"/>
    <s v="0.0"/>
    <x v="9"/>
    <x v="4"/>
  </r>
  <r>
    <n v="1325"/>
    <x v="182"/>
    <s v="Supplier invoice received"/>
    <x v="446"/>
    <s v="0.0"/>
    <x v="10"/>
    <x v="0"/>
  </r>
  <r>
    <n v="1325"/>
    <x v="182"/>
    <s v="Supplier invoice received"/>
    <x v="273"/>
    <s v="1794.11"/>
    <x v="11"/>
    <x v="3"/>
  </r>
  <r>
    <n v="1326"/>
    <x v="182"/>
    <s v="Supplier payment made"/>
    <x v="351"/>
    <s v="0.0"/>
    <x v="11"/>
    <x v="3"/>
  </r>
  <r>
    <n v="1326"/>
    <x v="182"/>
    <s v="Supplier payment made"/>
    <x v="273"/>
    <s v="179.01"/>
    <x v="0"/>
    <x v="0"/>
  </r>
  <r>
    <n v="1327"/>
    <x v="182"/>
    <s v="Supplier payment made"/>
    <x v="407"/>
    <s v="0.0"/>
    <x v="11"/>
    <x v="3"/>
  </r>
  <r>
    <n v="1327"/>
    <x v="182"/>
    <s v="Supplier payment made"/>
    <x v="273"/>
    <s v="201.5"/>
    <x v="0"/>
    <x v="0"/>
  </r>
  <r>
    <n v="1328"/>
    <x v="183"/>
    <s v="Sales invoice issued"/>
    <x v="686"/>
    <s v="0.0"/>
    <x v="2"/>
    <x v="0"/>
  </r>
  <r>
    <n v="1328"/>
    <x v="183"/>
    <s v="Sales invoice issued"/>
    <x v="273"/>
    <s v="474.99"/>
    <x v="3"/>
    <x v="2"/>
  </r>
  <r>
    <n v="1328"/>
    <x v="183"/>
    <s v="Sales invoice issued"/>
    <x v="273"/>
    <s v="35.62"/>
    <x v="4"/>
    <x v="3"/>
  </r>
  <r>
    <n v="1329"/>
    <x v="183"/>
    <s v="Sales invoice issued"/>
    <x v="687"/>
    <s v="0.0"/>
    <x v="2"/>
    <x v="0"/>
  </r>
  <r>
    <n v="1329"/>
    <x v="183"/>
    <s v="Sales invoice issued"/>
    <x v="273"/>
    <s v="111.84"/>
    <x v="3"/>
    <x v="2"/>
  </r>
  <r>
    <n v="1329"/>
    <x v="183"/>
    <s v="Sales invoice issued"/>
    <x v="273"/>
    <s v="8.39"/>
    <x v="4"/>
    <x v="3"/>
  </r>
  <r>
    <n v="1330"/>
    <x v="183"/>
    <s v="Customer payment received"/>
    <x v="664"/>
    <s v="0.0"/>
    <x v="0"/>
    <x v="0"/>
  </r>
  <r>
    <n v="1330"/>
    <x v="183"/>
    <s v="Customer payment received"/>
    <x v="273"/>
    <s v="2422.37"/>
    <x v="2"/>
    <x v="0"/>
  </r>
  <r>
    <n v="1331"/>
    <x v="183"/>
    <s v="Customer payment received"/>
    <x v="667"/>
    <s v="0.0"/>
    <x v="0"/>
    <x v="0"/>
  </r>
  <r>
    <n v="1331"/>
    <x v="183"/>
    <s v="Customer payment received"/>
    <x v="273"/>
    <s v="1314.49"/>
    <x v="2"/>
    <x v="0"/>
  </r>
  <r>
    <n v="1332"/>
    <x v="183"/>
    <s v="Customer payment received"/>
    <x v="670"/>
    <s v="0.0"/>
    <x v="0"/>
    <x v="0"/>
  </r>
  <r>
    <n v="1332"/>
    <x v="183"/>
    <s v="Customer payment received"/>
    <x v="273"/>
    <s v="488.46"/>
    <x v="2"/>
    <x v="0"/>
  </r>
  <r>
    <n v="1333"/>
    <x v="184"/>
    <s v="Customer payment received"/>
    <x v="571"/>
    <s v="0.0"/>
    <x v="0"/>
    <x v="0"/>
  </r>
  <r>
    <n v="1333"/>
    <x v="184"/>
    <s v="Customer payment received"/>
    <x v="273"/>
    <s v="2992.69"/>
    <x v="2"/>
    <x v="0"/>
  </r>
  <r>
    <n v="1334"/>
    <x v="184"/>
    <s v="Customer payment received"/>
    <x v="593"/>
    <s v="0.0"/>
    <x v="0"/>
    <x v="0"/>
  </r>
  <r>
    <n v="1334"/>
    <x v="184"/>
    <s v="Customer payment received"/>
    <x v="273"/>
    <s v="1589.24"/>
    <x v="2"/>
    <x v="0"/>
  </r>
  <r>
    <n v="1335"/>
    <x v="184"/>
    <s v="Customer payment received"/>
    <x v="659"/>
    <s v="0.0"/>
    <x v="0"/>
    <x v="0"/>
  </r>
  <r>
    <n v="1335"/>
    <x v="184"/>
    <s v="Customer payment received"/>
    <x v="273"/>
    <s v="6220.3"/>
    <x v="2"/>
    <x v="0"/>
  </r>
  <r>
    <n v="1336"/>
    <x v="184"/>
    <s v="Supplier payment made"/>
    <x v="350"/>
    <s v="0.0"/>
    <x v="11"/>
    <x v="3"/>
  </r>
  <r>
    <n v="1336"/>
    <x v="184"/>
    <s v="Supplier payment made"/>
    <x v="273"/>
    <s v="1794.11"/>
    <x v="0"/>
    <x v="0"/>
  </r>
  <r>
    <n v="1337"/>
    <x v="185"/>
    <s v="Payroll processed"/>
    <x v="535"/>
    <s v="0.0"/>
    <x v="5"/>
    <x v="4"/>
  </r>
  <r>
    <n v="1337"/>
    <x v="185"/>
    <s v="Payroll processed"/>
    <x v="536"/>
    <s v="0.0"/>
    <x v="6"/>
    <x v="4"/>
  </r>
  <r>
    <n v="1337"/>
    <x v="185"/>
    <s v="Payroll processed"/>
    <x v="273"/>
    <s v="17968.47"/>
    <x v="0"/>
    <x v="0"/>
  </r>
  <r>
    <n v="1337"/>
    <x v="185"/>
    <s v="Payroll processed"/>
    <x v="273"/>
    <s v="4069.27"/>
    <x v="7"/>
    <x v="3"/>
  </r>
  <r>
    <n v="1337"/>
    <x v="185"/>
    <s v="Payroll processed"/>
    <x v="273"/>
    <s v="881.51"/>
    <x v="8"/>
    <x v="3"/>
  </r>
  <r>
    <n v="1338"/>
    <x v="185"/>
    <s v="Sales invoice issued"/>
    <x v="688"/>
    <s v="0.0"/>
    <x v="2"/>
    <x v="0"/>
  </r>
  <r>
    <n v="1338"/>
    <x v="185"/>
    <s v="Sales invoice issued"/>
    <x v="273"/>
    <s v="2512.64"/>
    <x v="3"/>
    <x v="2"/>
  </r>
  <r>
    <n v="1338"/>
    <x v="185"/>
    <s v="Sales invoice issued"/>
    <x v="273"/>
    <s v="188.45"/>
    <x v="4"/>
    <x v="3"/>
  </r>
  <r>
    <n v="1339"/>
    <x v="185"/>
    <s v="Sales invoice issued"/>
    <x v="689"/>
    <s v="0.0"/>
    <x v="2"/>
    <x v="0"/>
  </r>
  <r>
    <n v="1339"/>
    <x v="185"/>
    <s v="Sales invoice issued"/>
    <x v="273"/>
    <s v="1231.0"/>
    <x v="3"/>
    <x v="2"/>
  </r>
  <r>
    <n v="1339"/>
    <x v="185"/>
    <s v="Sales invoice issued"/>
    <x v="273"/>
    <s v="92.33"/>
    <x v="4"/>
    <x v="3"/>
  </r>
  <r>
    <n v="1340"/>
    <x v="185"/>
    <s v="Customer payment received"/>
    <x v="587"/>
    <s v="0.0"/>
    <x v="0"/>
    <x v="0"/>
  </r>
  <r>
    <n v="1340"/>
    <x v="185"/>
    <s v="Customer payment received"/>
    <x v="273"/>
    <s v="2625.86"/>
    <x v="2"/>
    <x v="0"/>
  </r>
  <r>
    <n v="1341"/>
    <x v="185"/>
    <s v="Customer payment received"/>
    <x v="678"/>
    <s v="0.0"/>
    <x v="0"/>
    <x v="0"/>
  </r>
  <r>
    <n v="1341"/>
    <x v="185"/>
    <s v="Customer payment received"/>
    <x v="273"/>
    <s v="593.72"/>
    <x v="2"/>
    <x v="0"/>
  </r>
  <r>
    <n v="1342"/>
    <x v="185"/>
    <s v="Customer payment received"/>
    <x v="679"/>
    <s v="0.0"/>
    <x v="0"/>
    <x v="0"/>
  </r>
  <r>
    <n v="1342"/>
    <x v="185"/>
    <s v="Customer payment received"/>
    <x v="273"/>
    <s v="287.33"/>
    <x v="2"/>
    <x v="0"/>
  </r>
  <r>
    <n v="1343"/>
    <x v="186"/>
    <s v="Sales invoice issued"/>
    <x v="690"/>
    <s v="0.0"/>
    <x v="2"/>
    <x v="0"/>
  </r>
  <r>
    <n v="1343"/>
    <x v="186"/>
    <s v="Sales invoice issued"/>
    <x v="273"/>
    <s v="1845.68"/>
    <x v="3"/>
    <x v="2"/>
  </r>
  <r>
    <n v="1343"/>
    <x v="186"/>
    <s v="Sales invoice issued"/>
    <x v="273"/>
    <s v="138.42"/>
    <x v="4"/>
    <x v="3"/>
  </r>
  <r>
    <n v="1344"/>
    <x v="186"/>
    <s v="Sales invoice issued"/>
    <x v="691"/>
    <s v="0.0"/>
    <x v="2"/>
    <x v="0"/>
  </r>
  <r>
    <n v="1344"/>
    <x v="186"/>
    <s v="Sales invoice issued"/>
    <x v="273"/>
    <s v="2561.26"/>
    <x v="3"/>
    <x v="2"/>
  </r>
  <r>
    <n v="1344"/>
    <x v="186"/>
    <s v="Sales invoice issued"/>
    <x v="273"/>
    <s v="192.09"/>
    <x v="4"/>
    <x v="3"/>
  </r>
  <r>
    <n v="1345"/>
    <x v="186"/>
    <s v="Sales invoice issued"/>
    <x v="692"/>
    <s v="0.0"/>
    <x v="2"/>
    <x v="0"/>
  </r>
  <r>
    <n v="1345"/>
    <x v="186"/>
    <s v="Sales invoice issued"/>
    <x v="273"/>
    <s v="2685.49"/>
    <x v="3"/>
    <x v="2"/>
  </r>
  <r>
    <n v="1345"/>
    <x v="186"/>
    <s v="Sales invoice issued"/>
    <x v="273"/>
    <s v="201.41"/>
    <x v="4"/>
    <x v="3"/>
  </r>
  <r>
    <n v="1346"/>
    <x v="186"/>
    <s v="Sales invoice issued"/>
    <x v="693"/>
    <s v="0.0"/>
    <x v="2"/>
    <x v="0"/>
  </r>
  <r>
    <n v="1346"/>
    <x v="186"/>
    <s v="Sales invoice issued"/>
    <x v="273"/>
    <s v="1335.4"/>
    <x v="3"/>
    <x v="2"/>
  </r>
  <r>
    <n v="1346"/>
    <x v="186"/>
    <s v="Sales invoice issued"/>
    <x v="273"/>
    <s v="100.15"/>
    <x v="4"/>
    <x v="3"/>
  </r>
  <r>
    <n v="1347"/>
    <x v="186"/>
    <s v="Sales invoice issued"/>
    <x v="694"/>
    <s v="0.0"/>
    <x v="2"/>
    <x v="0"/>
  </r>
  <r>
    <n v="1347"/>
    <x v="186"/>
    <s v="Sales invoice issued"/>
    <x v="273"/>
    <s v="2161.17"/>
    <x v="3"/>
    <x v="2"/>
  </r>
  <r>
    <n v="1347"/>
    <x v="186"/>
    <s v="Sales invoice issued"/>
    <x v="273"/>
    <s v="162.1"/>
    <x v="4"/>
    <x v="3"/>
  </r>
  <r>
    <n v="1348"/>
    <x v="186"/>
    <s v="Customer payment received"/>
    <x v="568"/>
    <s v="0.0"/>
    <x v="0"/>
    <x v="0"/>
  </r>
  <r>
    <n v="1348"/>
    <x v="186"/>
    <s v="Customer payment received"/>
    <x v="273"/>
    <s v="2664.45"/>
    <x v="2"/>
    <x v="0"/>
  </r>
  <r>
    <n v="1349"/>
    <x v="186"/>
    <s v="Customer payment received"/>
    <x v="646"/>
    <s v="0.0"/>
    <x v="0"/>
    <x v="0"/>
  </r>
  <r>
    <n v="1349"/>
    <x v="186"/>
    <s v="Customer payment received"/>
    <x v="273"/>
    <s v="253.7"/>
    <x v="2"/>
    <x v="0"/>
  </r>
  <r>
    <n v="1350"/>
    <x v="186"/>
    <s v="Customer payment received"/>
    <x v="658"/>
    <s v="0.0"/>
    <x v="0"/>
    <x v="0"/>
  </r>
  <r>
    <n v="1350"/>
    <x v="186"/>
    <s v="Customer payment received"/>
    <x v="273"/>
    <s v="321.68"/>
    <x v="2"/>
    <x v="0"/>
  </r>
  <r>
    <n v="1351"/>
    <x v="186"/>
    <s v="Customer payment received"/>
    <x v="692"/>
    <s v="0.0"/>
    <x v="0"/>
    <x v="0"/>
  </r>
  <r>
    <n v="1351"/>
    <x v="186"/>
    <s v="Customer payment received"/>
    <x v="273"/>
    <s v="2886.9"/>
    <x v="2"/>
    <x v="0"/>
  </r>
  <r>
    <n v="1352"/>
    <x v="186"/>
    <s v="Supplier payment made"/>
    <x v="335"/>
    <s v="0.0"/>
    <x v="11"/>
    <x v="3"/>
  </r>
  <r>
    <n v="1352"/>
    <x v="186"/>
    <s v="Supplier payment made"/>
    <x v="273"/>
    <s v="550.4"/>
    <x v="0"/>
    <x v="0"/>
  </r>
  <r>
    <n v="1353"/>
    <x v="186"/>
    <s v="Supplier payment made"/>
    <x v="292"/>
    <s v="0.0"/>
    <x v="11"/>
    <x v="3"/>
  </r>
  <r>
    <n v="1353"/>
    <x v="186"/>
    <s v="Supplier payment made"/>
    <x v="273"/>
    <s v="1766.46"/>
    <x v="0"/>
    <x v="0"/>
  </r>
  <r>
    <n v="1354"/>
    <x v="186"/>
    <s v="Supplier payment made"/>
    <x v="353"/>
    <s v="0.0"/>
    <x v="11"/>
    <x v="3"/>
  </r>
  <r>
    <n v="1354"/>
    <x v="186"/>
    <s v="Supplier payment made"/>
    <x v="273"/>
    <s v="2918.17"/>
    <x v="0"/>
    <x v="0"/>
  </r>
  <r>
    <n v="1355"/>
    <x v="187"/>
    <s v="Sales invoice issued"/>
    <x v="695"/>
    <s v="0.0"/>
    <x v="2"/>
    <x v="0"/>
  </r>
  <r>
    <n v="1355"/>
    <x v="187"/>
    <s v="Sales invoice issued"/>
    <x v="273"/>
    <s v="1909.58"/>
    <x v="3"/>
    <x v="2"/>
  </r>
  <r>
    <n v="1355"/>
    <x v="187"/>
    <s v="Sales invoice issued"/>
    <x v="273"/>
    <s v="143.21"/>
    <x v="4"/>
    <x v="3"/>
  </r>
  <r>
    <n v="1356"/>
    <x v="187"/>
    <s v="Sales invoice issued"/>
    <x v="696"/>
    <s v="0.0"/>
    <x v="2"/>
    <x v="0"/>
  </r>
  <r>
    <n v="1356"/>
    <x v="187"/>
    <s v="Sales invoice issued"/>
    <x v="273"/>
    <s v="611.63"/>
    <x v="3"/>
    <x v="2"/>
  </r>
  <r>
    <n v="1356"/>
    <x v="187"/>
    <s v="Sales invoice issued"/>
    <x v="273"/>
    <s v="45.88"/>
    <x v="4"/>
    <x v="3"/>
  </r>
  <r>
    <n v="1357"/>
    <x v="187"/>
    <s v="Sales invoice issued"/>
    <x v="697"/>
    <s v="0.0"/>
    <x v="2"/>
    <x v="0"/>
  </r>
  <r>
    <n v="1357"/>
    <x v="187"/>
    <s v="Sales invoice issued"/>
    <x v="273"/>
    <s v="2660.44"/>
    <x v="3"/>
    <x v="2"/>
  </r>
  <r>
    <n v="1357"/>
    <x v="187"/>
    <s v="Sales invoice issued"/>
    <x v="273"/>
    <s v="199.54"/>
    <x v="4"/>
    <x v="3"/>
  </r>
  <r>
    <n v="1358"/>
    <x v="187"/>
    <s v="Customer payment received"/>
    <x v="651"/>
    <s v="0.0"/>
    <x v="0"/>
    <x v="0"/>
  </r>
  <r>
    <n v="1358"/>
    <x v="187"/>
    <s v="Customer payment received"/>
    <x v="273"/>
    <s v="2703.98"/>
    <x v="2"/>
    <x v="0"/>
  </r>
  <r>
    <n v="1359"/>
    <x v="187"/>
    <s v="Customer payment received"/>
    <x v="660"/>
    <s v="0.0"/>
    <x v="0"/>
    <x v="0"/>
  </r>
  <r>
    <n v="1359"/>
    <x v="187"/>
    <s v="Customer payment received"/>
    <x v="273"/>
    <s v="910.32"/>
    <x v="2"/>
    <x v="0"/>
  </r>
  <r>
    <n v="1360"/>
    <x v="187"/>
    <s v="Customer payment received"/>
    <x v="697"/>
    <s v="0.0"/>
    <x v="0"/>
    <x v="0"/>
  </r>
  <r>
    <n v="1360"/>
    <x v="187"/>
    <s v="Customer payment received"/>
    <x v="273"/>
    <s v="2859.98"/>
    <x v="2"/>
    <x v="0"/>
  </r>
  <r>
    <n v="1361"/>
    <x v="187"/>
    <s v="Supplier invoice received"/>
    <x v="297"/>
    <s v="0.0"/>
    <x v="9"/>
    <x v="4"/>
  </r>
  <r>
    <n v="1361"/>
    <x v="187"/>
    <s v="Supplier invoice received"/>
    <x v="298"/>
    <s v="0.0"/>
    <x v="10"/>
    <x v="0"/>
  </r>
  <r>
    <n v="1361"/>
    <x v="187"/>
    <s v="Supplier invoice received"/>
    <x v="273"/>
    <s v="3528.97"/>
    <x v="11"/>
    <x v="3"/>
  </r>
  <r>
    <n v="1362"/>
    <x v="187"/>
    <s v="Supplier invoice received"/>
    <x v="374"/>
    <s v="0.0"/>
    <x v="9"/>
    <x v="4"/>
  </r>
  <r>
    <n v="1362"/>
    <x v="187"/>
    <s v="Supplier invoice received"/>
    <x v="375"/>
    <s v="0.0"/>
    <x v="10"/>
    <x v="0"/>
  </r>
  <r>
    <n v="1362"/>
    <x v="187"/>
    <s v="Supplier invoice received"/>
    <x v="273"/>
    <s v="2504.23"/>
    <x v="11"/>
    <x v="3"/>
  </r>
  <r>
    <n v="1363"/>
    <x v="187"/>
    <s v="Supplier invoice received"/>
    <x v="332"/>
    <s v="0.0"/>
    <x v="9"/>
    <x v="4"/>
  </r>
  <r>
    <n v="1363"/>
    <x v="187"/>
    <s v="Supplier invoice received"/>
    <x v="333"/>
    <s v="0.0"/>
    <x v="10"/>
    <x v="0"/>
  </r>
  <r>
    <n v="1363"/>
    <x v="187"/>
    <s v="Supplier invoice received"/>
    <x v="273"/>
    <s v="1023.42"/>
    <x v="11"/>
    <x v="3"/>
  </r>
  <r>
    <n v="1364"/>
    <x v="187"/>
    <s v="Supplier invoice received"/>
    <x v="307"/>
    <s v="0.0"/>
    <x v="9"/>
    <x v="4"/>
  </r>
  <r>
    <n v="1364"/>
    <x v="187"/>
    <s v="Supplier invoice received"/>
    <x v="308"/>
    <s v="0.0"/>
    <x v="10"/>
    <x v="0"/>
  </r>
  <r>
    <n v="1364"/>
    <x v="187"/>
    <s v="Supplier invoice received"/>
    <x v="273"/>
    <s v="2093.28"/>
    <x v="11"/>
    <x v="3"/>
  </r>
  <r>
    <n v="1365"/>
    <x v="187"/>
    <s v="Supplier invoice received"/>
    <x v="303"/>
    <s v="0.0"/>
    <x v="9"/>
    <x v="4"/>
  </r>
  <r>
    <n v="1365"/>
    <x v="187"/>
    <s v="Supplier invoice received"/>
    <x v="304"/>
    <s v="0.0"/>
    <x v="10"/>
    <x v="0"/>
  </r>
  <r>
    <n v="1365"/>
    <x v="187"/>
    <s v="Supplier invoice received"/>
    <x v="273"/>
    <s v="550.4"/>
    <x v="11"/>
    <x v="3"/>
  </r>
  <r>
    <n v="1366"/>
    <x v="188"/>
    <s v="Sales invoice issued"/>
    <x v="698"/>
    <s v="0.0"/>
    <x v="2"/>
    <x v="0"/>
  </r>
  <r>
    <n v="1366"/>
    <x v="188"/>
    <s v="Sales invoice issued"/>
    <x v="273"/>
    <s v="2467.13"/>
    <x v="3"/>
    <x v="2"/>
  </r>
  <r>
    <n v="1366"/>
    <x v="188"/>
    <s v="Sales invoice issued"/>
    <x v="273"/>
    <s v="185.04"/>
    <x v="4"/>
    <x v="3"/>
  </r>
  <r>
    <n v="1367"/>
    <x v="188"/>
    <s v="Sales invoice issued"/>
    <x v="699"/>
    <s v="0.0"/>
    <x v="2"/>
    <x v="0"/>
  </r>
  <r>
    <n v="1367"/>
    <x v="188"/>
    <s v="Sales invoice issued"/>
    <x v="273"/>
    <s v="2672.2"/>
    <x v="3"/>
    <x v="2"/>
  </r>
  <r>
    <n v="1367"/>
    <x v="188"/>
    <s v="Sales invoice issued"/>
    <x v="273"/>
    <s v="200.43"/>
    <x v="4"/>
    <x v="3"/>
  </r>
  <r>
    <n v="1368"/>
    <x v="188"/>
    <s v="Sales invoice issued"/>
    <x v="700"/>
    <s v="0.0"/>
    <x v="2"/>
    <x v="0"/>
  </r>
  <r>
    <n v="1368"/>
    <x v="188"/>
    <s v="Sales invoice issued"/>
    <x v="273"/>
    <s v="2431.68"/>
    <x v="3"/>
    <x v="2"/>
  </r>
  <r>
    <n v="1368"/>
    <x v="188"/>
    <s v="Sales invoice issued"/>
    <x v="273"/>
    <s v="182.37"/>
    <x v="4"/>
    <x v="3"/>
  </r>
  <r>
    <n v="1369"/>
    <x v="188"/>
    <s v="Sales invoice issued"/>
    <x v="701"/>
    <s v="0.0"/>
    <x v="2"/>
    <x v="0"/>
  </r>
  <r>
    <n v="1369"/>
    <x v="188"/>
    <s v="Sales invoice issued"/>
    <x v="273"/>
    <s v="2165.87"/>
    <x v="3"/>
    <x v="2"/>
  </r>
  <r>
    <n v="1369"/>
    <x v="188"/>
    <s v="Sales invoice issued"/>
    <x v="273"/>
    <s v="162.44"/>
    <x v="4"/>
    <x v="3"/>
  </r>
  <r>
    <n v="1370"/>
    <x v="188"/>
    <s v="Customer payment received"/>
    <x v="638"/>
    <s v="0.0"/>
    <x v="0"/>
    <x v="0"/>
  </r>
  <r>
    <n v="1370"/>
    <x v="188"/>
    <s v="Customer payment received"/>
    <x v="273"/>
    <s v="642.75"/>
    <x v="2"/>
    <x v="0"/>
  </r>
  <r>
    <n v="1371"/>
    <x v="188"/>
    <s v="Customer payment received"/>
    <x v="684"/>
    <s v="0.0"/>
    <x v="0"/>
    <x v="0"/>
  </r>
  <r>
    <n v="1371"/>
    <x v="188"/>
    <s v="Customer payment received"/>
    <x v="273"/>
    <s v="260.39"/>
    <x v="2"/>
    <x v="0"/>
  </r>
  <r>
    <n v="1372"/>
    <x v="188"/>
    <s v="Customer payment received"/>
    <x v="688"/>
    <s v="0.0"/>
    <x v="0"/>
    <x v="0"/>
  </r>
  <r>
    <n v="1372"/>
    <x v="188"/>
    <s v="Customer payment received"/>
    <x v="273"/>
    <s v="2701.09"/>
    <x v="2"/>
    <x v="0"/>
  </r>
  <r>
    <n v="1373"/>
    <x v="188"/>
    <s v="Customer payment received"/>
    <x v="689"/>
    <s v="0.0"/>
    <x v="0"/>
    <x v="0"/>
  </r>
  <r>
    <n v="1373"/>
    <x v="188"/>
    <s v="Customer payment received"/>
    <x v="273"/>
    <s v="1323.33"/>
    <x v="2"/>
    <x v="0"/>
  </r>
  <r>
    <n v="1374"/>
    <x v="188"/>
    <s v="Supplier invoice received"/>
    <x v="366"/>
    <s v="0.0"/>
    <x v="9"/>
    <x v="4"/>
  </r>
  <r>
    <n v="1374"/>
    <x v="188"/>
    <s v="Supplier invoice received"/>
    <x v="367"/>
    <s v="0.0"/>
    <x v="10"/>
    <x v="0"/>
  </r>
  <r>
    <n v="1374"/>
    <x v="188"/>
    <s v="Supplier invoice received"/>
    <x v="273"/>
    <s v="201.5"/>
    <x v="11"/>
    <x v="3"/>
  </r>
  <r>
    <n v="1375"/>
    <x v="188"/>
    <s v="Supplier payment made"/>
    <x v="327"/>
    <s v="0.0"/>
    <x v="11"/>
    <x v="3"/>
  </r>
  <r>
    <n v="1375"/>
    <x v="188"/>
    <s v="Supplier payment made"/>
    <x v="273"/>
    <s v="1935.04"/>
    <x v="0"/>
    <x v="0"/>
  </r>
  <r>
    <n v="1376"/>
    <x v="188"/>
    <s v="Supplier payment made"/>
    <x v="327"/>
    <s v="0.0"/>
    <x v="11"/>
    <x v="3"/>
  </r>
  <r>
    <n v="1376"/>
    <x v="188"/>
    <s v="Supplier payment made"/>
    <x v="273"/>
    <s v="1935.04"/>
    <x v="0"/>
    <x v="0"/>
  </r>
  <r>
    <n v="1377"/>
    <x v="188"/>
    <s v="Supplier payment made"/>
    <x v="496"/>
    <s v="0.0"/>
    <x v="11"/>
    <x v="3"/>
  </r>
  <r>
    <n v="1377"/>
    <x v="188"/>
    <s v="Supplier payment made"/>
    <x v="273"/>
    <s v="7227.44"/>
    <x v="0"/>
    <x v="0"/>
  </r>
  <r>
    <n v="1378"/>
    <x v="188"/>
    <s v="Supplier payment made"/>
    <x v="313"/>
    <s v="0.0"/>
    <x v="11"/>
    <x v="3"/>
  </r>
  <r>
    <n v="1378"/>
    <x v="188"/>
    <s v="Supplier payment made"/>
    <x v="273"/>
    <s v="1159.84"/>
    <x v="0"/>
    <x v="0"/>
  </r>
  <r>
    <n v="1379"/>
    <x v="189"/>
    <s v="Sales invoice issued"/>
    <x v="702"/>
    <s v="0.0"/>
    <x v="2"/>
    <x v="0"/>
  </r>
  <r>
    <n v="1379"/>
    <x v="189"/>
    <s v="Sales invoice issued"/>
    <x v="273"/>
    <s v="4103.75"/>
    <x v="3"/>
    <x v="2"/>
  </r>
  <r>
    <n v="1379"/>
    <x v="189"/>
    <s v="Sales invoice issued"/>
    <x v="273"/>
    <s v="307.77"/>
    <x v="4"/>
    <x v="3"/>
  </r>
  <r>
    <n v="1380"/>
    <x v="189"/>
    <s v="Sales invoice issued"/>
    <x v="703"/>
    <s v="0.0"/>
    <x v="2"/>
    <x v="0"/>
  </r>
  <r>
    <n v="1380"/>
    <x v="189"/>
    <s v="Sales invoice issued"/>
    <x v="273"/>
    <s v="2544.52"/>
    <x v="3"/>
    <x v="2"/>
  </r>
  <r>
    <n v="1380"/>
    <x v="189"/>
    <s v="Sales invoice issued"/>
    <x v="273"/>
    <s v="190.84"/>
    <x v="4"/>
    <x v="3"/>
  </r>
  <r>
    <n v="1381"/>
    <x v="189"/>
    <s v="Sales invoice issued"/>
    <x v="704"/>
    <s v="0.0"/>
    <x v="2"/>
    <x v="0"/>
  </r>
  <r>
    <n v="1381"/>
    <x v="189"/>
    <s v="Sales invoice issued"/>
    <x v="273"/>
    <s v="285.05"/>
    <x v="3"/>
    <x v="2"/>
  </r>
  <r>
    <n v="1381"/>
    <x v="189"/>
    <s v="Sales invoice issued"/>
    <x v="273"/>
    <s v="21.38"/>
    <x v="4"/>
    <x v="3"/>
  </r>
  <r>
    <n v="1382"/>
    <x v="189"/>
    <s v="Customer payment received"/>
    <x v="647"/>
    <s v="0.0"/>
    <x v="0"/>
    <x v="0"/>
  </r>
  <r>
    <n v="1382"/>
    <x v="189"/>
    <s v="Customer payment received"/>
    <x v="273"/>
    <s v="438.12"/>
    <x v="2"/>
    <x v="0"/>
  </r>
  <r>
    <n v="1383"/>
    <x v="189"/>
    <s v="Customer payment received"/>
    <x v="685"/>
    <s v="0.0"/>
    <x v="0"/>
    <x v="0"/>
  </r>
  <r>
    <n v="1383"/>
    <x v="189"/>
    <s v="Customer payment received"/>
    <x v="273"/>
    <s v="2364.88"/>
    <x v="2"/>
    <x v="0"/>
  </r>
  <r>
    <n v="1384"/>
    <x v="189"/>
    <s v="Customer payment received"/>
    <x v="687"/>
    <s v="0.0"/>
    <x v="0"/>
    <x v="0"/>
  </r>
  <r>
    <n v="1384"/>
    <x v="189"/>
    <s v="Customer payment received"/>
    <x v="273"/>
    <s v="120.23"/>
    <x v="2"/>
    <x v="0"/>
  </r>
  <r>
    <n v="1385"/>
    <x v="189"/>
    <s v="Customer payment received"/>
    <x v="691"/>
    <s v="0.0"/>
    <x v="0"/>
    <x v="0"/>
  </r>
  <r>
    <n v="1385"/>
    <x v="189"/>
    <s v="Customer payment received"/>
    <x v="273"/>
    <s v="2753.35"/>
    <x v="2"/>
    <x v="0"/>
  </r>
  <r>
    <n v="1386"/>
    <x v="189"/>
    <s v="Customer payment received"/>
    <x v="694"/>
    <s v="0.0"/>
    <x v="0"/>
    <x v="0"/>
  </r>
  <r>
    <n v="1386"/>
    <x v="189"/>
    <s v="Customer payment received"/>
    <x v="273"/>
    <s v="2323.27"/>
    <x v="2"/>
    <x v="0"/>
  </r>
  <r>
    <n v="1387"/>
    <x v="189"/>
    <s v="Customer payment received"/>
    <x v="700"/>
    <s v="0.0"/>
    <x v="0"/>
    <x v="0"/>
  </r>
  <r>
    <n v="1387"/>
    <x v="189"/>
    <s v="Customer payment received"/>
    <x v="273"/>
    <s v="2614.05"/>
    <x v="2"/>
    <x v="0"/>
  </r>
  <r>
    <n v="1388"/>
    <x v="189"/>
    <s v="Supplier invoice received"/>
    <x v="474"/>
    <s v="0.0"/>
    <x v="9"/>
    <x v="4"/>
  </r>
  <r>
    <n v="1388"/>
    <x v="189"/>
    <s v="Supplier invoice received"/>
    <x v="475"/>
    <s v="0.0"/>
    <x v="10"/>
    <x v="0"/>
  </r>
  <r>
    <n v="1388"/>
    <x v="189"/>
    <s v="Supplier invoice received"/>
    <x v="273"/>
    <s v="862.91"/>
    <x v="11"/>
    <x v="3"/>
  </r>
  <r>
    <n v="1389"/>
    <x v="190"/>
    <s v="Sales invoice issued"/>
    <x v="705"/>
    <s v="0.0"/>
    <x v="2"/>
    <x v="0"/>
  </r>
  <r>
    <n v="1389"/>
    <x v="190"/>
    <s v="Sales invoice issued"/>
    <x v="273"/>
    <s v="4004.64"/>
    <x v="3"/>
    <x v="2"/>
  </r>
  <r>
    <n v="1389"/>
    <x v="190"/>
    <s v="Sales invoice issued"/>
    <x v="273"/>
    <s v="300.35"/>
    <x v="4"/>
    <x v="3"/>
  </r>
  <r>
    <n v="1390"/>
    <x v="190"/>
    <s v="Sales invoice issued"/>
    <x v="706"/>
    <s v="0.0"/>
    <x v="2"/>
    <x v="0"/>
  </r>
  <r>
    <n v="1390"/>
    <x v="190"/>
    <s v="Sales invoice issued"/>
    <x v="273"/>
    <s v="1695.07"/>
    <x v="3"/>
    <x v="2"/>
  </r>
  <r>
    <n v="1390"/>
    <x v="190"/>
    <s v="Sales invoice issued"/>
    <x v="273"/>
    <s v="127.13"/>
    <x v="4"/>
    <x v="3"/>
  </r>
  <r>
    <n v="1391"/>
    <x v="190"/>
    <s v="Sales invoice issued"/>
    <x v="707"/>
    <s v="0.0"/>
    <x v="2"/>
    <x v="0"/>
  </r>
  <r>
    <n v="1391"/>
    <x v="190"/>
    <s v="Sales invoice issued"/>
    <x v="273"/>
    <s v="1991.23"/>
    <x v="3"/>
    <x v="2"/>
  </r>
  <r>
    <n v="1391"/>
    <x v="190"/>
    <s v="Sales invoice issued"/>
    <x v="273"/>
    <s v="149.33"/>
    <x v="4"/>
    <x v="3"/>
  </r>
  <r>
    <n v="1392"/>
    <x v="190"/>
    <s v="Sales invoice issued"/>
    <x v="708"/>
    <s v="0.0"/>
    <x v="2"/>
    <x v="0"/>
  </r>
  <r>
    <n v="1392"/>
    <x v="190"/>
    <s v="Sales invoice issued"/>
    <x v="273"/>
    <s v="611.14"/>
    <x v="3"/>
    <x v="2"/>
  </r>
  <r>
    <n v="1392"/>
    <x v="190"/>
    <s v="Sales invoice issued"/>
    <x v="273"/>
    <s v="45.83"/>
    <x v="4"/>
    <x v="3"/>
  </r>
  <r>
    <n v="1393"/>
    <x v="190"/>
    <s v="Supplier payment made"/>
    <x v="353"/>
    <s v="0.0"/>
    <x v="11"/>
    <x v="3"/>
  </r>
  <r>
    <n v="1393"/>
    <x v="190"/>
    <s v="Supplier payment made"/>
    <x v="273"/>
    <s v="2918.17"/>
    <x v="0"/>
    <x v="0"/>
  </r>
  <r>
    <n v="1394"/>
    <x v="191"/>
    <s v="Sales invoice issued"/>
    <x v="709"/>
    <s v="0.0"/>
    <x v="2"/>
    <x v="0"/>
  </r>
  <r>
    <n v="1394"/>
    <x v="191"/>
    <s v="Sales invoice issued"/>
    <x v="273"/>
    <s v="341.89"/>
    <x v="3"/>
    <x v="2"/>
  </r>
  <r>
    <n v="1394"/>
    <x v="191"/>
    <s v="Sales invoice issued"/>
    <x v="273"/>
    <s v="25.64"/>
    <x v="4"/>
    <x v="3"/>
  </r>
  <r>
    <n v="1395"/>
    <x v="191"/>
    <s v="Sales invoice issued"/>
    <x v="710"/>
    <s v="0.0"/>
    <x v="2"/>
    <x v="0"/>
  </r>
  <r>
    <n v="1395"/>
    <x v="191"/>
    <s v="Sales invoice issued"/>
    <x v="273"/>
    <s v="2185.01"/>
    <x v="3"/>
    <x v="2"/>
  </r>
  <r>
    <n v="1395"/>
    <x v="191"/>
    <s v="Sales invoice issued"/>
    <x v="273"/>
    <s v="163.87"/>
    <x v="4"/>
    <x v="3"/>
  </r>
  <r>
    <n v="1396"/>
    <x v="191"/>
    <s v="Customer payment received"/>
    <x v="579"/>
    <s v="0.0"/>
    <x v="0"/>
    <x v="0"/>
  </r>
  <r>
    <n v="1396"/>
    <x v="191"/>
    <s v="Customer payment received"/>
    <x v="273"/>
    <s v="2974.0"/>
    <x v="2"/>
    <x v="0"/>
  </r>
  <r>
    <n v="1397"/>
    <x v="191"/>
    <s v="Customer payment received"/>
    <x v="581"/>
    <s v="0.0"/>
    <x v="0"/>
    <x v="0"/>
  </r>
  <r>
    <n v="1397"/>
    <x v="191"/>
    <s v="Customer payment received"/>
    <x v="273"/>
    <s v="4079.52"/>
    <x v="2"/>
    <x v="0"/>
  </r>
  <r>
    <n v="1398"/>
    <x v="191"/>
    <s v="Supplier invoice received"/>
    <x v="330"/>
    <s v="0.0"/>
    <x v="9"/>
    <x v="4"/>
  </r>
  <r>
    <n v="1398"/>
    <x v="191"/>
    <s v="Supplier invoice received"/>
    <x v="331"/>
    <s v="0.0"/>
    <x v="10"/>
    <x v="0"/>
  </r>
  <r>
    <n v="1398"/>
    <x v="191"/>
    <s v="Supplier invoice received"/>
    <x v="273"/>
    <s v="1935.04"/>
    <x v="11"/>
    <x v="3"/>
  </r>
  <r>
    <n v="1399"/>
    <x v="192"/>
    <s v="Sales invoice issued"/>
    <x v="711"/>
    <s v="0.0"/>
    <x v="2"/>
    <x v="0"/>
  </r>
  <r>
    <n v="1399"/>
    <x v="192"/>
    <s v="Sales invoice issued"/>
    <x v="273"/>
    <s v="37.67"/>
    <x v="3"/>
    <x v="2"/>
  </r>
  <r>
    <n v="1399"/>
    <x v="192"/>
    <s v="Sales invoice issued"/>
    <x v="273"/>
    <s v="2.83"/>
    <x v="4"/>
    <x v="3"/>
  </r>
  <r>
    <n v="1400"/>
    <x v="192"/>
    <s v="Sales invoice issued"/>
    <x v="712"/>
    <s v="0.0"/>
    <x v="2"/>
    <x v="0"/>
  </r>
  <r>
    <n v="1400"/>
    <x v="192"/>
    <s v="Sales invoice issued"/>
    <x v="273"/>
    <s v="4636.46"/>
    <x v="3"/>
    <x v="2"/>
  </r>
  <r>
    <n v="1400"/>
    <x v="192"/>
    <s v="Sales invoice issued"/>
    <x v="273"/>
    <s v="347.75"/>
    <x v="4"/>
    <x v="3"/>
  </r>
  <r>
    <n v="1401"/>
    <x v="192"/>
    <s v="Sales invoice issued"/>
    <x v="713"/>
    <s v="0.0"/>
    <x v="2"/>
    <x v="0"/>
  </r>
  <r>
    <n v="1401"/>
    <x v="192"/>
    <s v="Sales invoice issued"/>
    <x v="273"/>
    <s v="942.22"/>
    <x v="3"/>
    <x v="2"/>
  </r>
  <r>
    <n v="1401"/>
    <x v="192"/>
    <s v="Sales invoice issued"/>
    <x v="273"/>
    <s v="70.67"/>
    <x v="4"/>
    <x v="3"/>
  </r>
  <r>
    <n v="1402"/>
    <x v="192"/>
    <s v="Sales invoice issued"/>
    <x v="714"/>
    <s v="0.0"/>
    <x v="2"/>
    <x v="0"/>
  </r>
  <r>
    <n v="1402"/>
    <x v="192"/>
    <s v="Sales invoice issued"/>
    <x v="273"/>
    <s v="3369.21"/>
    <x v="3"/>
    <x v="2"/>
  </r>
  <r>
    <n v="1402"/>
    <x v="192"/>
    <s v="Sales invoice issued"/>
    <x v="273"/>
    <s v="252.69"/>
    <x v="4"/>
    <x v="3"/>
  </r>
  <r>
    <n v="1403"/>
    <x v="192"/>
    <s v="Sales invoice issued"/>
    <x v="715"/>
    <s v="0.0"/>
    <x v="2"/>
    <x v="0"/>
  </r>
  <r>
    <n v="1403"/>
    <x v="192"/>
    <s v="Sales invoice issued"/>
    <x v="273"/>
    <s v="239.04"/>
    <x v="3"/>
    <x v="2"/>
  </r>
  <r>
    <n v="1403"/>
    <x v="192"/>
    <s v="Sales invoice issued"/>
    <x v="273"/>
    <s v="17.93"/>
    <x v="4"/>
    <x v="3"/>
  </r>
  <r>
    <n v="1404"/>
    <x v="192"/>
    <s v="Customer payment received"/>
    <x v="716"/>
    <s v="0.0"/>
    <x v="0"/>
    <x v="0"/>
  </r>
  <r>
    <n v="1404"/>
    <x v="192"/>
    <s v="Customer payment received"/>
    <x v="273"/>
    <s v="659.78"/>
    <x v="2"/>
    <x v="0"/>
  </r>
  <r>
    <n v="1405"/>
    <x v="192"/>
    <s v="Customer payment received"/>
    <x v="668"/>
    <s v="0.0"/>
    <x v="0"/>
    <x v="0"/>
  </r>
  <r>
    <n v="1405"/>
    <x v="192"/>
    <s v="Customer payment received"/>
    <x v="273"/>
    <s v="4327.01"/>
    <x v="2"/>
    <x v="0"/>
  </r>
  <r>
    <n v="1406"/>
    <x v="192"/>
    <s v="Supplier invoice received"/>
    <x v="359"/>
    <s v="0.0"/>
    <x v="9"/>
    <x v="4"/>
  </r>
  <r>
    <n v="1406"/>
    <x v="192"/>
    <s v="Supplier invoice received"/>
    <x v="360"/>
    <s v="0.0"/>
    <x v="10"/>
    <x v="0"/>
  </r>
  <r>
    <n v="1406"/>
    <x v="192"/>
    <s v="Supplier invoice received"/>
    <x v="273"/>
    <s v="1591.54"/>
    <x v="11"/>
    <x v="3"/>
  </r>
  <r>
    <n v="1407"/>
    <x v="192"/>
    <s v="Supplier invoice received"/>
    <x v="301"/>
    <s v="0.0"/>
    <x v="9"/>
    <x v="4"/>
  </r>
  <r>
    <n v="1407"/>
    <x v="192"/>
    <s v="Supplier invoice received"/>
    <x v="302"/>
    <s v="0.0"/>
    <x v="10"/>
    <x v="0"/>
  </r>
  <r>
    <n v="1407"/>
    <x v="192"/>
    <s v="Supplier invoice received"/>
    <x v="273"/>
    <s v="4812.46"/>
    <x v="11"/>
    <x v="3"/>
  </r>
  <r>
    <n v="1408"/>
    <x v="192"/>
    <s v="Supplier invoice received"/>
    <x v="332"/>
    <s v="0.0"/>
    <x v="9"/>
    <x v="4"/>
  </r>
  <r>
    <n v="1408"/>
    <x v="192"/>
    <s v="Supplier invoice received"/>
    <x v="333"/>
    <s v="0.0"/>
    <x v="10"/>
    <x v="0"/>
  </r>
  <r>
    <n v="1408"/>
    <x v="192"/>
    <s v="Supplier invoice received"/>
    <x v="273"/>
    <s v="1023.42"/>
    <x v="11"/>
    <x v="3"/>
  </r>
  <r>
    <n v="1409"/>
    <x v="192"/>
    <s v="Supplier invoice received"/>
    <x v="405"/>
    <s v="0.0"/>
    <x v="9"/>
    <x v="4"/>
  </r>
  <r>
    <n v="1409"/>
    <x v="192"/>
    <s v="Supplier invoice received"/>
    <x v="406"/>
    <s v="0.0"/>
    <x v="10"/>
    <x v="0"/>
  </r>
  <r>
    <n v="1409"/>
    <x v="192"/>
    <s v="Supplier invoice received"/>
    <x v="273"/>
    <s v="2635.36"/>
    <x v="11"/>
    <x v="3"/>
  </r>
  <r>
    <n v="1410"/>
    <x v="192"/>
    <s v="Supplier payment made"/>
    <x v="488"/>
    <s v="0.0"/>
    <x v="11"/>
    <x v="3"/>
  </r>
  <r>
    <n v="1410"/>
    <x v="192"/>
    <s v="Supplier payment made"/>
    <x v="273"/>
    <s v="2182.41"/>
    <x v="0"/>
    <x v="0"/>
  </r>
  <r>
    <n v="1411"/>
    <x v="192"/>
    <s v="Supplier payment made"/>
    <x v="309"/>
    <s v="0.0"/>
    <x v="11"/>
    <x v="3"/>
  </r>
  <r>
    <n v="1411"/>
    <x v="192"/>
    <s v="Supplier payment made"/>
    <x v="273"/>
    <s v="4812.46"/>
    <x v="0"/>
    <x v="0"/>
  </r>
  <r>
    <n v="1412"/>
    <x v="192"/>
    <s v="Supplier payment made"/>
    <x v="466"/>
    <s v="0.0"/>
    <x v="11"/>
    <x v="3"/>
  </r>
  <r>
    <n v="1412"/>
    <x v="192"/>
    <s v="Supplier payment made"/>
    <x v="273"/>
    <s v="748.26"/>
    <x v="0"/>
    <x v="0"/>
  </r>
  <r>
    <n v="1413"/>
    <x v="192"/>
    <s v="Supplier payment made"/>
    <x v="336"/>
    <s v="0.0"/>
    <x v="11"/>
    <x v="3"/>
  </r>
  <r>
    <n v="1413"/>
    <x v="192"/>
    <s v="Supplier payment made"/>
    <x v="273"/>
    <s v="2093.28"/>
    <x v="0"/>
    <x v="0"/>
  </r>
  <r>
    <n v="1414"/>
    <x v="192"/>
    <s v="Supplier payment made"/>
    <x v="335"/>
    <s v="0.0"/>
    <x v="11"/>
    <x v="3"/>
  </r>
  <r>
    <n v="1414"/>
    <x v="192"/>
    <s v="Supplier payment made"/>
    <x v="273"/>
    <s v="550.4"/>
    <x v="0"/>
    <x v="0"/>
  </r>
  <r>
    <n v="1415"/>
    <x v="192"/>
    <s v="Supplier payment made"/>
    <x v="515"/>
    <s v="0.0"/>
    <x v="11"/>
    <x v="3"/>
  </r>
  <r>
    <n v="1415"/>
    <x v="192"/>
    <s v="Supplier payment made"/>
    <x v="273"/>
    <s v="862.91"/>
    <x v="0"/>
    <x v="0"/>
  </r>
  <r>
    <n v="1416"/>
    <x v="192"/>
    <s v="Supplier payment made"/>
    <x v="309"/>
    <s v="0.0"/>
    <x v="11"/>
    <x v="3"/>
  </r>
  <r>
    <n v="1416"/>
    <x v="192"/>
    <s v="Supplier payment made"/>
    <x v="273"/>
    <s v="4812.46"/>
    <x v="0"/>
    <x v="0"/>
  </r>
  <r>
    <n v="1417"/>
    <x v="193"/>
    <s v="Sales invoice issued"/>
    <x v="717"/>
    <s v="0.0"/>
    <x v="2"/>
    <x v="0"/>
  </r>
  <r>
    <n v="1417"/>
    <x v="193"/>
    <s v="Sales invoice issued"/>
    <x v="273"/>
    <s v="125.6"/>
    <x v="3"/>
    <x v="2"/>
  </r>
  <r>
    <n v="1417"/>
    <x v="193"/>
    <s v="Sales invoice issued"/>
    <x v="273"/>
    <s v="9.42"/>
    <x v="4"/>
    <x v="3"/>
  </r>
  <r>
    <n v="1418"/>
    <x v="193"/>
    <s v="Sales invoice issued"/>
    <x v="718"/>
    <s v="0.0"/>
    <x v="2"/>
    <x v="0"/>
  </r>
  <r>
    <n v="1418"/>
    <x v="193"/>
    <s v="Sales invoice issued"/>
    <x v="273"/>
    <s v="3093.84"/>
    <x v="3"/>
    <x v="2"/>
  </r>
  <r>
    <n v="1418"/>
    <x v="193"/>
    <s v="Sales invoice issued"/>
    <x v="273"/>
    <s v="232.03"/>
    <x v="4"/>
    <x v="3"/>
  </r>
  <r>
    <n v="1419"/>
    <x v="193"/>
    <s v="Sales invoice issued"/>
    <x v="719"/>
    <s v="0.0"/>
    <x v="2"/>
    <x v="0"/>
  </r>
  <r>
    <n v="1419"/>
    <x v="193"/>
    <s v="Sales invoice issued"/>
    <x v="273"/>
    <s v="6190.0"/>
    <x v="3"/>
    <x v="2"/>
  </r>
  <r>
    <n v="1419"/>
    <x v="193"/>
    <s v="Sales invoice issued"/>
    <x v="273"/>
    <s v="464.24"/>
    <x v="4"/>
    <x v="3"/>
  </r>
  <r>
    <n v="1420"/>
    <x v="193"/>
    <s v="Customer payment received"/>
    <x v="676"/>
    <s v="0.0"/>
    <x v="0"/>
    <x v="0"/>
  </r>
  <r>
    <n v="1420"/>
    <x v="193"/>
    <s v="Customer payment received"/>
    <x v="273"/>
    <s v="2116.31"/>
    <x v="2"/>
    <x v="0"/>
  </r>
  <r>
    <n v="1421"/>
    <x v="193"/>
    <s v="Customer payment received"/>
    <x v="696"/>
    <s v="0.0"/>
    <x v="0"/>
    <x v="0"/>
  </r>
  <r>
    <n v="1421"/>
    <x v="193"/>
    <s v="Customer payment received"/>
    <x v="273"/>
    <s v="657.51"/>
    <x v="2"/>
    <x v="0"/>
  </r>
  <r>
    <n v="1422"/>
    <x v="193"/>
    <s v="Customer payment received"/>
    <x v="708"/>
    <s v="0.0"/>
    <x v="0"/>
    <x v="0"/>
  </r>
  <r>
    <n v="1422"/>
    <x v="193"/>
    <s v="Customer payment received"/>
    <x v="273"/>
    <s v="656.97"/>
    <x v="2"/>
    <x v="0"/>
  </r>
  <r>
    <n v="1423"/>
    <x v="193"/>
    <s v="Supplier invoice received"/>
    <x v="325"/>
    <s v="0.0"/>
    <x v="9"/>
    <x v="4"/>
  </r>
  <r>
    <n v="1423"/>
    <x v="193"/>
    <s v="Supplier invoice received"/>
    <x v="326"/>
    <s v="0.0"/>
    <x v="10"/>
    <x v="0"/>
  </r>
  <r>
    <n v="1423"/>
    <x v="193"/>
    <s v="Supplier invoice received"/>
    <x v="273"/>
    <s v="1304.62"/>
    <x v="11"/>
    <x v="3"/>
  </r>
  <r>
    <n v="1424"/>
    <x v="193"/>
    <s v="Supplier payment made"/>
    <x v="334"/>
    <s v="0.0"/>
    <x v="11"/>
    <x v="3"/>
  </r>
  <r>
    <n v="1424"/>
    <x v="193"/>
    <s v="Supplier payment made"/>
    <x v="273"/>
    <s v="3528.97"/>
    <x v="0"/>
    <x v="0"/>
  </r>
  <r>
    <n v="1425"/>
    <x v="194"/>
    <s v="Sales invoice issued"/>
    <x v="720"/>
    <s v="0.0"/>
    <x v="2"/>
    <x v="0"/>
  </r>
  <r>
    <n v="1425"/>
    <x v="194"/>
    <s v="Sales invoice issued"/>
    <x v="273"/>
    <s v="1880.08"/>
    <x v="3"/>
    <x v="2"/>
  </r>
  <r>
    <n v="1425"/>
    <x v="194"/>
    <s v="Sales invoice issued"/>
    <x v="273"/>
    <s v="141.0"/>
    <x v="4"/>
    <x v="3"/>
  </r>
  <r>
    <n v="1426"/>
    <x v="194"/>
    <s v="Sales invoice issued"/>
    <x v="721"/>
    <s v="0.0"/>
    <x v="2"/>
    <x v="0"/>
  </r>
  <r>
    <n v="1426"/>
    <x v="194"/>
    <s v="Sales invoice issued"/>
    <x v="273"/>
    <s v="919.55"/>
    <x v="3"/>
    <x v="2"/>
  </r>
  <r>
    <n v="1426"/>
    <x v="194"/>
    <s v="Sales invoice issued"/>
    <x v="273"/>
    <s v="68.96"/>
    <x v="4"/>
    <x v="3"/>
  </r>
  <r>
    <n v="1427"/>
    <x v="194"/>
    <s v="Sales invoice issued"/>
    <x v="722"/>
    <s v="0.0"/>
    <x v="2"/>
    <x v="0"/>
  </r>
  <r>
    <n v="1427"/>
    <x v="194"/>
    <s v="Sales invoice issued"/>
    <x v="273"/>
    <s v="542.17"/>
    <x v="3"/>
    <x v="2"/>
  </r>
  <r>
    <n v="1427"/>
    <x v="194"/>
    <s v="Sales invoice issued"/>
    <x v="273"/>
    <s v="40.66"/>
    <x v="4"/>
    <x v="3"/>
  </r>
  <r>
    <n v="1428"/>
    <x v="194"/>
    <s v="Sales invoice issued"/>
    <x v="723"/>
    <s v="0.0"/>
    <x v="2"/>
    <x v="0"/>
  </r>
  <r>
    <n v="1428"/>
    <x v="194"/>
    <s v="Sales invoice issued"/>
    <x v="273"/>
    <s v="2179.88"/>
    <x v="3"/>
    <x v="2"/>
  </r>
  <r>
    <n v="1428"/>
    <x v="194"/>
    <s v="Sales invoice issued"/>
    <x v="273"/>
    <s v="163.48"/>
    <x v="4"/>
    <x v="3"/>
  </r>
  <r>
    <n v="1429"/>
    <x v="194"/>
    <s v="Sales invoice issued"/>
    <x v="724"/>
    <s v="0.0"/>
    <x v="2"/>
    <x v="0"/>
  </r>
  <r>
    <n v="1429"/>
    <x v="194"/>
    <s v="Sales invoice issued"/>
    <x v="273"/>
    <s v="2200.88"/>
    <x v="3"/>
    <x v="2"/>
  </r>
  <r>
    <n v="1429"/>
    <x v="194"/>
    <s v="Sales invoice issued"/>
    <x v="273"/>
    <s v="165.06"/>
    <x v="4"/>
    <x v="3"/>
  </r>
  <r>
    <n v="1430"/>
    <x v="194"/>
    <s v="Sales invoice issued"/>
    <x v="725"/>
    <s v="0.0"/>
    <x v="2"/>
    <x v="0"/>
  </r>
  <r>
    <n v="1430"/>
    <x v="194"/>
    <s v="Sales invoice issued"/>
    <x v="273"/>
    <s v="4256.64"/>
    <x v="3"/>
    <x v="2"/>
  </r>
  <r>
    <n v="1430"/>
    <x v="194"/>
    <s v="Sales invoice issued"/>
    <x v="273"/>
    <s v="319.25"/>
    <x v="4"/>
    <x v="3"/>
  </r>
  <r>
    <n v="1431"/>
    <x v="194"/>
    <s v="Sales invoice issued"/>
    <x v="726"/>
    <s v="0.0"/>
    <x v="2"/>
    <x v="0"/>
  </r>
  <r>
    <n v="1431"/>
    <x v="194"/>
    <s v="Sales invoice issued"/>
    <x v="273"/>
    <s v="3342.15"/>
    <x v="3"/>
    <x v="2"/>
  </r>
  <r>
    <n v="1431"/>
    <x v="194"/>
    <s v="Sales invoice issued"/>
    <x v="273"/>
    <s v="250.67"/>
    <x v="4"/>
    <x v="3"/>
  </r>
  <r>
    <n v="1432"/>
    <x v="194"/>
    <s v="Customer payment received"/>
    <x v="618"/>
    <s v="0.0"/>
    <x v="0"/>
    <x v="0"/>
  </r>
  <r>
    <n v="1432"/>
    <x v="194"/>
    <s v="Customer payment received"/>
    <x v="273"/>
    <s v="1043.04"/>
    <x v="2"/>
    <x v="0"/>
  </r>
  <r>
    <n v="1433"/>
    <x v="194"/>
    <s v="Customer payment received"/>
    <x v="661"/>
    <s v="0.0"/>
    <x v="0"/>
    <x v="0"/>
  </r>
  <r>
    <n v="1433"/>
    <x v="194"/>
    <s v="Customer payment received"/>
    <x v="273"/>
    <s v="79.99"/>
    <x v="2"/>
    <x v="0"/>
  </r>
  <r>
    <n v="1434"/>
    <x v="194"/>
    <s v="Customer payment received"/>
    <x v="717"/>
    <s v="0.0"/>
    <x v="0"/>
    <x v="0"/>
  </r>
  <r>
    <n v="1434"/>
    <x v="194"/>
    <s v="Customer payment received"/>
    <x v="273"/>
    <s v="135.02"/>
    <x v="2"/>
    <x v="0"/>
  </r>
  <r>
    <n v="1435"/>
    <x v="194"/>
    <s v="Supplier payment made"/>
    <x v="392"/>
    <s v="0.0"/>
    <x v="11"/>
    <x v="3"/>
  </r>
  <r>
    <n v="1435"/>
    <x v="194"/>
    <s v="Supplier payment made"/>
    <x v="273"/>
    <s v="1023.42"/>
    <x v="0"/>
    <x v="0"/>
  </r>
  <r>
    <n v="1436"/>
    <x v="194"/>
    <s v="Supplier payment made"/>
    <x v="424"/>
    <s v="0.0"/>
    <x v="11"/>
    <x v="3"/>
  </r>
  <r>
    <n v="1436"/>
    <x v="194"/>
    <s v="Supplier payment made"/>
    <x v="273"/>
    <s v="1591.54"/>
    <x v="0"/>
    <x v="0"/>
  </r>
  <r>
    <n v="1437"/>
    <x v="195"/>
    <s v="Payroll processed"/>
    <x v="535"/>
    <s v="0.0"/>
    <x v="5"/>
    <x v="4"/>
  </r>
  <r>
    <n v="1437"/>
    <x v="195"/>
    <s v="Payroll processed"/>
    <x v="536"/>
    <s v="0.0"/>
    <x v="6"/>
    <x v="4"/>
  </r>
  <r>
    <n v="1437"/>
    <x v="195"/>
    <s v="Payroll processed"/>
    <x v="273"/>
    <s v="17968.47"/>
    <x v="0"/>
    <x v="0"/>
  </r>
  <r>
    <n v="1437"/>
    <x v="195"/>
    <s v="Payroll processed"/>
    <x v="273"/>
    <s v="4069.27"/>
    <x v="7"/>
    <x v="3"/>
  </r>
  <r>
    <n v="1437"/>
    <x v="195"/>
    <s v="Payroll processed"/>
    <x v="273"/>
    <s v="881.51"/>
    <x v="8"/>
    <x v="3"/>
  </r>
  <r>
    <n v="1438"/>
    <x v="195"/>
    <s v="Sales invoice issued"/>
    <x v="727"/>
    <s v="0.0"/>
    <x v="2"/>
    <x v="0"/>
  </r>
  <r>
    <n v="1438"/>
    <x v="195"/>
    <s v="Sales invoice issued"/>
    <x v="273"/>
    <s v="1711.52"/>
    <x v="3"/>
    <x v="2"/>
  </r>
  <r>
    <n v="1438"/>
    <x v="195"/>
    <s v="Sales invoice issued"/>
    <x v="273"/>
    <s v="128.38"/>
    <x v="4"/>
    <x v="3"/>
  </r>
  <r>
    <n v="1439"/>
    <x v="195"/>
    <s v="Sales invoice issued"/>
    <x v="728"/>
    <s v="0.0"/>
    <x v="2"/>
    <x v="0"/>
  </r>
  <r>
    <n v="1439"/>
    <x v="195"/>
    <s v="Sales invoice issued"/>
    <x v="273"/>
    <s v="3179.3"/>
    <x v="3"/>
    <x v="2"/>
  </r>
  <r>
    <n v="1439"/>
    <x v="195"/>
    <s v="Sales invoice issued"/>
    <x v="273"/>
    <s v="238.44"/>
    <x v="4"/>
    <x v="3"/>
  </r>
  <r>
    <n v="1440"/>
    <x v="195"/>
    <s v="Sales invoice issued"/>
    <x v="729"/>
    <s v="0.0"/>
    <x v="2"/>
    <x v="0"/>
  </r>
  <r>
    <n v="1440"/>
    <x v="195"/>
    <s v="Sales invoice issued"/>
    <x v="273"/>
    <s v="2456.26"/>
    <x v="3"/>
    <x v="2"/>
  </r>
  <r>
    <n v="1440"/>
    <x v="195"/>
    <s v="Sales invoice issued"/>
    <x v="273"/>
    <s v="184.23"/>
    <x v="4"/>
    <x v="3"/>
  </r>
  <r>
    <n v="1441"/>
    <x v="195"/>
    <s v="Sales invoice issued"/>
    <x v="730"/>
    <s v="0.0"/>
    <x v="2"/>
    <x v="0"/>
  </r>
  <r>
    <n v="1441"/>
    <x v="195"/>
    <s v="Sales invoice issued"/>
    <x v="273"/>
    <s v="3274.27"/>
    <x v="3"/>
    <x v="2"/>
  </r>
  <r>
    <n v="1441"/>
    <x v="195"/>
    <s v="Sales invoice issued"/>
    <x v="273"/>
    <s v="245.57"/>
    <x v="4"/>
    <x v="3"/>
  </r>
  <r>
    <n v="1442"/>
    <x v="195"/>
    <s v="Customer payment received"/>
    <x v="671"/>
    <s v="0.0"/>
    <x v="0"/>
    <x v="0"/>
  </r>
  <r>
    <n v="1442"/>
    <x v="195"/>
    <s v="Customer payment received"/>
    <x v="273"/>
    <s v="1439.72"/>
    <x v="2"/>
    <x v="0"/>
  </r>
  <r>
    <n v="1443"/>
    <x v="195"/>
    <s v="Supplier invoice received"/>
    <x v="357"/>
    <s v="0.0"/>
    <x v="9"/>
    <x v="4"/>
  </r>
  <r>
    <n v="1443"/>
    <x v="195"/>
    <s v="Supplier invoice received"/>
    <x v="358"/>
    <s v="0.0"/>
    <x v="10"/>
    <x v="0"/>
  </r>
  <r>
    <n v="1443"/>
    <x v="195"/>
    <s v="Supplier invoice received"/>
    <x v="273"/>
    <s v="1958.74"/>
    <x v="11"/>
    <x v="3"/>
  </r>
  <r>
    <n v="1444"/>
    <x v="195"/>
    <s v="Supplier invoice received"/>
    <x v="330"/>
    <s v="0.0"/>
    <x v="9"/>
    <x v="4"/>
  </r>
  <r>
    <n v="1444"/>
    <x v="195"/>
    <s v="Supplier invoice received"/>
    <x v="331"/>
    <s v="0.0"/>
    <x v="10"/>
    <x v="0"/>
  </r>
  <r>
    <n v="1444"/>
    <x v="195"/>
    <s v="Supplier invoice received"/>
    <x v="273"/>
    <s v="1935.04"/>
    <x v="11"/>
    <x v="3"/>
  </r>
  <r>
    <n v="1445"/>
    <x v="195"/>
    <s v="Supplier payment made"/>
    <x v="280"/>
    <s v="0.0"/>
    <x v="11"/>
    <x v="3"/>
  </r>
  <r>
    <n v="1445"/>
    <x v="195"/>
    <s v="Supplier payment made"/>
    <x v="273"/>
    <s v="2635.36"/>
    <x v="0"/>
    <x v="0"/>
  </r>
  <r>
    <n v="1446"/>
    <x v="195"/>
    <s v="Supplier payment made"/>
    <x v="280"/>
    <s v="0.0"/>
    <x v="11"/>
    <x v="3"/>
  </r>
  <r>
    <n v="1446"/>
    <x v="195"/>
    <s v="Supplier payment made"/>
    <x v="273"/>
    <s v="2635.36"/>
    <x v="0"/>
    <x v="0"/>
  </r>
  <r>
    <n v="1447"/>
    <x v="196"/>
    <s v="Customer payment received"/>
    <x v="632"/>
    <s v="0.0"/>
    <x v="0"/>
    <x v="0"/>
  </r>
  <r>
    <n v="1447"/>
    <x v="196"/>
    <s v="Customer payment received"/>
    <x v="273"/>
    <s v="3241.09"/>
    <x v="2"/>
    <x v="0"/>
  </r>
  <r>
    <n v="1448"/>
    <x v="196"/>
    <s v="Customer payment received"/>
    <x v="705"/>
    <s v="0.0"/>
    <x v="0"/>
    <x v="0"/>
  </r>
  <r>
    <n v="1448"/>
    <x v="196"/>
    <s v="Customer payment received"/>
    <x v="273"/>
    <s v="4304.99"/>
    <x v="2"/>
    <x v="0"/>
  </r>
  <r>
    <n v="1449"/>
    <x v="196"/>
    <s v="Supplier invoice received"/>
    <x v="332"/>
    <s v="0.0"/>
    <x v="9"/>
    <x v="4"/>
  </r>
  <r>
    <n v="1449"/>
    <x v="196"/>
    <s v="Supplier invoice received"/>
    <x v="333"/>
    <s v="0.0"/>
    <x v="10"/>
    <x v="0"/>
  </r>
  <r>
    <n v="1449"/>
    <x v="196"/>
    <s v="Supplier invoice received"/>
    <x v="273"/>
    <s v="1023.42"/>
    <x v="11"/>
    <x v="3"/>
  </r>
  <r>
    <n v="1450"/>
    <x v="196"/>
    <s v="Supplier payment made"/>
    <x v="309"/>
    <s v="0.0"/>
    <x v="11"/>
    <x v="3"/>
  </r>
  <r>
    <n v="1450"/>
    <x v="196"/>
    <s v="Supplier payment made"/>
    <x v="273"/>
    <s v="4812.46"/>
    <x v="0"/>
    <x v="0"/>
  </r>
  <r>
    <n v="1451"/>
    <x v="197"/>
    <s v="Sales invoice issued"/>
    <x v="731"/>
    <s v="0.0"/>
    <x v="2"/>
    <x v="0"/>
  </r>
  <r>
    <n v="1451"/>
    <x v="197"/>
    <s v="Sales invoice issued"/>
    <x v="273"/>
    <s v="1142.63"/>
    <x v="3"/>
    <x v="2"/>
  </r>
  <r>
    <n v="1451"/>
    <x v="197"/>
    <s v="Sales invoice issued"/>
    <x v="273"/>
    <s v="85.71"/>
    <x v="4"/>
    <x v="3"/>
  </r>
  <r>
    <n v="1452"/>
    <x v="197"/>
    <s v="Sales invoice issued"/>
    <x v="732"/>
    <s v="0.0"/>
    <x v="2"/>
    <x v="0"/>
  </r>
  <r>
    <n v="1452"/>
    <x v="197"/>
    <s v="Sales invoice issued"/>
    <x v="273"/>
    <s v="4176.2"/>
    <x v="3"/>
    <x v="2"/>
  </r>
  <r>
    <n v="1452"/>
    <x v="197"/>
    <s v="Sales invoice issued"/>
    <x v="273"/>
    <s v="313.21"/>
    <x v="4"/>
    <x v="3"/>
  </r>
  <r>
    <n v="1453"/>
    <x v="197"/>
    <s v="Sales invoice issued"/>
    <x v="733"/>
    <s v="0.0"/>
    <x v="2"/>
    <x v="0"/>
  </r>
  <r>
    <n v="1453"/>
    <x v="197"/>
    <s v="Sales invoice issued"/>
    <x v="273"/>
    <s v="117.45"/>
    <x v="3"/>
    <x v="2"/>
  </r>
  <r>
    <n v="1453"/>
    <x v="197"/>
    <s v="Sales invoice issued"/>
    <x v="273"/>
    <s v="8.81"/>
    <x v="4"/>
    <x v="3"/>
  </r>
  <r>
    <n v="1454"/>
    <x v="197"/>
    <s v="Sales invoice issued"/>
    <x v="734"/>
    <s v="0.0"/>
    <x v="2"/>
    <x v="0"/>
  </r>
  <r>
    <n v="1454"/>
    <x v="197"/>
    <s v="Sales invoice issued"/>
    <x v="273"/>
    <s v="4757.05"/>
    <x v="3"/>
    <x v="2"/>
  </r>
  <r>
    <n v="1454"/>
    <x v="197"/>
    <s v="Sales invoice issued"/>
    <x v="273"/>
    <s v="356.77"/>
    <x v="4"/>
    <x v="3"/>
  </r>
  <r>
    <n v="1455"/>
    <x v="197"/>
    <s v="Sales invoice issued"/>
    <x v="735"/>
    <s v="0.0"/>
    <x v="2"/>
    <x v="0"/>
  </r>
  <r>
    <n v="1455"/>
    <x v="197"/>
    <s v="Sales invoice issued"/>
    <x v="273"/>
    <s v="2173.62"/>
    <x v="3"/>
    <x v="2"/>
  </r>
  <r>
    <n v="1455"/>
    <x v="197"/>
    <s v="Sales invoice issued"/>
    <x v="273"/>
    <s v="163.02"/>
    <x v="4"/>
    <x v="3"/>
  </r>
  <r>
    <n v="1456"/>
    <x v="197"/>
    <s v="Customer payment received"/>
    <x v="677"/>
    <s v="0.0"/>
    <x v="0"/>
    <x v="0"/>
  </r>
  <r>
    <n v="1456"/>
    <x v="197"/>
    <s v="Customer payment received"/>
    <x v="273"/>
    <s v="1775.69"/>
    <x v="2"/>
    <x v="0"/>
  </r>
  <r>
    <n v="1457"/>
    <x v="197"/>
    <s v="Customer payment received"/>
    <x v="712"/>
    <s v="0.0"/>
    <x v="0"/>
    <x v="0"/>
  </r>
  <r>
    <n v="1457"/>
    <x v="197"/>
    <s v="Customer payment received"/>
    <x v="273"/>
    <s v="4984.21"/>
    <x v="2"/>
    <x v="0"/>
  </r>
  <r>
    <n v="1458"/>
    <x v="197"/>
    <s v="Customer payment received"/>
    <x v="721"/>
    <s v="0.0"/>
    <x v="0"/>
    <x v="0"/>
  </r>
  <r>
    <n v="1458"/>
    <x v="197"/>
    <s v="Customer payment received"/>
    <x v="273"/>
    <s v="988.51"/>
    <x v="2"/>
    <x v="0"/>
  </r>
  <r>
    <n v="1459"/>
    <x v="197"/>
    <s v="Supplier invoice received"/>
    <x v="295"/>
    <s v="0.0"/>
    <x v="9"/>
    <x v="4"/>
  </r>
  <r>
    <n v="1459"/>
    <x v="197"/>
    <s v="Supplier invoice received"/>
    <x v="296"/>
    <s v="0.0"/>
    <x v="10"/>
    <x v="0"/>
  </r>
  <r>
    <n v="1459"/>
    <x v="197"/>
    <s v="Supplier invoice received"/>
    <x v="273"/>
    <s v="1766.46"/>
    <x v="11"/>
    <x v="3"/>
  </r>
  <r>
    <n v="1460"/>
    <x v="197"/>
    <s v="Supplier invoice received"/>
    <x v="303"/>
    <s v="0.0"/>
    <x v="9"/>
    <x v="4"/>
  </r>
  <r>
    <n v="1460"/>
    <x v="197"/>
    <s v="Supplier invoice received"/>
    <x v="304"/>
    <s v="0.0"/>
    <x v="10"/>
    <x v="0"/>
  </r>
  <r>
    <n v="1460"/>
    <x v="197"/>
    <s v="Supplier invoice received"/>
    <x v="273"/>
    <s v="550.4"/>
    <x v="11"/>
    <x v="3"/>
  </r>
  <r>
    <n v="1461"/>
    <x v="197"/>
    <s v="Supplier invoice received"/>
    <x v="284"/>
    <s v="0.0"/>
    <x v="9"/>
    <x v="4"/>
  </r>
  <r>
    <n v="1461"/>
    <x v="197"/>
    <s v="Supplier invoice received"/>
    <x v="285"/>
    <s v="0.0"/>
    <x v="10"/>
    <x v="0"/>
  </r>
  <r>
    <n v="1461"/>
    <x v="197"/>
    <s v="Supplier invoice received"/>
    <x v="273"/>
    <s v="9336.67"/>
    <x v="11"/>
    <x v="3"/>
  </r>
  <r>
    <n v="1462"/>
    <x v="197"/>
    <s v="Supplier invoice received"/>
    <x v="307"/>
    <s v="0.0"/>
    <x v="9"/>
    <x v="4"/>
  </r>
  <r>
    <n v="1462"/>
    <x v="197"/>
    <s v="Supplier invoice received"/>
    <x v="308"/>
    <s v="0.0"/>
    <x v="10"/>
    <x v="0"/>
  </r>
  <r>
    <n v="1462"/>
    <x v="197"/>
    <s v="Supplier invoice received"/>
    <x v="273"/>
    <s v="2093.28"/>
    <x v="11"/>
    <x v="3"/>
  </r>
  <r>
    <n v="1463"/>
    <x v="197"/>
    <s v="Depreciation â€” POS System"/>
    <x v="425"/>
    <s v="0.0"/>
    <x v="12"/>
    <x v="4"/>
  </r>
  <r>
    <n v="1463"/>
    <x v="197"/>
    <s v="Depreciation â€” POS System"/>
    <x v="273"/>
    <s v="93.61"/>
    <x v="13"/>
    <x v="0"/>
  </r>
  <r>
    <n v="1464"/>
    <x v="197"/>
    <s v="Depreciation â€” Laptop x2"/>
    <x v="426"/>
    <s v="0.0"/>
    <x v="12"/>
    <x v="4"/>
  </r>
  <r>
    <n v="1464"/>
    <x v="197"/>
    <s v="Depreciation â€” Laptop x2"/>
    <x v="273"/>
    <s v="76.86"/>
    <x v="13"/>
    <x v="0"/>
  </r>
  <r>
    <n v="1465"/>
    <x v="197"/>
    <s v="Depreciation â€” Printer/Scanner"/>
    <x v="427"/>
    <s v="0.0"/>
    <x v="12"/>
    <x v="4"/>
  </r>
  <r>
    <n v="1465"/>
    <x v="197"/>
    <s v="Depreciation â€” Printer/Scanner"/>
    <x v="273"/>
    <s v="20.03"/>
    <x v="13"/>
    <x v="0"/>
  </r>
  <r>
    <n v="1466"/>
    <x v="197"/>
    <s v="Depreciation â€” Shop Shelving"/>
    <x v="428"/>
    <s v="0.0"/>
    <x v="12"/>
    <x v="4"/>
  </r>
  <r>
    <n v="1466"/>
    <x v="197"/>
    <s v="Depreciation â€” Shop Shelving"/>
    <x v="273"/>
    <s v="86.89"/>
    <x v="14"/>
    <x v="0"/>
  </r>
  <r>
    <n v="1467"/>
    <x v="197"/>
    <s v="Depreciation â€” Display Stands"/>
    <x v="429"/>
    <s v="0.0"/>
    <x v="12"/>
    <x v="4"/>
  </r>
  <r>
    <n v="1467"/>
    <x v="197"/>
    <s v="Depreciation â€” Display Stands"/>
    <x v="273"/>
    <s v="76.8"/>
    <x v="14"/>
    <x v="0"/>
  </r>
  <r>
    <n v="1468"/>
    <x v="197"/>
    <s v="Depreciation â€” Counter &amp; Checkout"/>
    <x v="430"/>
    <s v="0.0"/>
    <x v="12"/>
    <x v="4"/>
  </r>
  <r>
    <n v="1468"/>
    <x v="197"/>
    <s v="Depreciation â€” Counter &amp; Checkout"/>
    <x v="273"/>
    <s v="48.28"/>
    <x v="14"/>
    <x v="0"/>
  </r>
  <r>
    <n v="1469"/>
    <x v="197"/>
    <s v="Depreciation â€” Signage"/>
    <x v="431"/>
    <s v="0.0"/>
    <x v="12"/>
    <x v="4"/>
  </r>
  <r>
    <n v="1469"/>
    <x v="197"/>
    <s v="Depreciation â€” Signage"/>
    <x v="273"/>
    <s v="53.21"/>
    <x v="14"/>
    <x v="0"/>
  </r>
  <r>
    <n v="1470"/>
    <x v="197"/>
    <s v="Depreciation â€” Delivery Van"/>
    <x v="432"/>
    <s v="0.0"/>
    <x v="12"/>
    <x v="4"/>
  </r>
  <r>
    <n v="1470"/>
    <x v="197"/>
    <s v="Depreciation â€” Delivery Van"/>
    <x v="273"/>
    <s v="232.19"/>
    <x v="15"/>
    <x v="0"/>
  </r>
  <r>
    <n v="1471"/>
    <x v="197"/>
    <s v="Depreciation â€” Security System"/>
    <x v="433"/>
    <s v="0.0"/>
    <x v="12"/>
    <x v="4"/>
  </r>
  <r>
    <n v="1471"/>
    <x v="197"/>
    <s v="Depreciation â€” Security System"/>
    <x v="273"/>
    <s v="43.85"/>
    <x v="13"/>
    <x v="0"/>
  </r>
  <r>
    <n v="1472"/>
    <x v="198"/>
    <s v="Sales invoice issued"/>
    <x v="736"/>
    <s v="0.0"/>
    <x v="2"/>
    <x v="0"/>
  </r>
  <r>
    <n v="1472"/>
    <x v="198"/>
    <s v="Sales invoice issued"/>
    <x v="273"/>
    <s v="460.25"/>
    <x v="3"/>
    <x v="2"/>
  </r>
  <r>
    <n v="1472"/>
    <x v="198"/>
    <s v="Sales invoice issued"/>
    <x v="273"/>
    <s v="34.52"/>
    <x v="4"/>
    <x v="3"/>
  </r>
  <r>
    <n v="1473"/>
    <x v="198"/>
    <s v="Sales invoice issued"/>
    <x v="737"/>
    <s v="0.0"/>
    <x v="2"/>
    <x v="0"/>
  </r>
  <r>
    <n v="1473"/>
    <x v="198"/>
    <s v="Sales invoice issued"/>
    <x v="273"/>
    <s v="1771.19"/>
    <x v="3"/>
    <x v="2"/>
  </r>
  <r>
    <n v="1473"/>
    <x v="198"/>
    <s v="Sales invoice issued"/>
    <x v="273"/>
    <s v="132.84"/>
    <x v="4"/>
    <x v="3"/>
  </r>
  <r>
    <n v="1474"/>
    <x v="198"/>
    <s v="Customer payment received"/>
    <x v="622"/>
    <s v="0.0"/>
    <x v="0"/>
    <x v="0"/>
  </r>
  <r>
    <n v="1474"/>
    <x v="198"/>
    <s v="Customer payment received"/>
    <x v="273"/>
    <s v="2032.03"/>
    <x v="2"/>
    <x v="0"/>
  </r>
  <r>
    <n v="1475"/>
    <x v="198"/>
    <s v="Supplier invoice received"/>
    <x v="299"/>
    <s v="0.0"/>
    <x v="9"/>
    <x v="4"/>
  </r>
  <r>
    <n v="1475"/>
    <x v="198"/>
    <s v="Supplier invoice received"/>
    <x v="300"/>
    <s v="0.0"/>
    <x v="10"/>
    <x v="0"/>
  </r>
  <r>
    <n v="1475"/>
    <x v="198"/>
    <s v="Supplier invoice received"/>
    <x v="273"/>
    <s v="2918.17"/>
    <x v="11"/>
    <x v="3"/>
  </r>
  <r>
    <n v="1476"/>
    <x v="198"/>
    <s v="Supplier payment made"/>
    <x v="327"/>
    <s v="0.0"/>
    <x v="11"/>
    <x v="3"/>
  </r>
  <r>
    <n v="1476"/>
    <x v="198"/>
    <s v="Supplier payment made"/>
    <x v="273"/>
    <s v="1935.04"/>
    <x v="0"/>
    <x v="0"/>
  </r>
  <r>
    <n v="1477"/>
    <x v="198"/>
    <s v="Supplier payment made"/>
    <x v="353"/>
    <s v="0.0"/>
    <x v="11"/>
    <x v="3"/>
  </r>
  <r>
    <n v="1477"/>
    <x v="198"/>
    <s v="Supplier payment made"/>
    <x v="273"/>
    <s v="2918.17"/>
    <x v="0"/>
    <x v="0"/>
  </r>
  <r>
    <n v="1478"/>
    <x v="199"/>
    <s v="Sales invoice issued"/>
    <x v="738"/>
    <s v="0.0"/>
    <x v="2"/>
    <x v="0"/>
  </r>
  <r>
    <n v="1478"/>
    <x v="199"/>
    <s v="Sales invoice issued"/>
    <x v="273"/>
    <s v="1446.21"/>
    <x v="3"/>
    <x v="2"/>
  </r>
  <r>
    <n v="1478"/>
    <x v="199"/>
    <s v="Sales invoice issued"/>
    <x v="273"/>
    <s v="108.47"/>
    <x v="4"/>
    <x v="3"/>
  </r>
  <r>
    <n v="1479"/>
    <x v="199"/>
    <s v="Sales invoice issued"/>
    <x v="739"/>
    <s v="0.0"/>
    <x v="2"/>
    <x v="0"/>
  </r>
  <r>
    <n v="1479"/>
    <x v="199"/>
    <s v="Sales invoice issued"/>
    <x v="273"/>
    <s v="4107.56"/>
    <x v="3"/>
    <x v="2"/>
  </r>
  <r>
    <n v="1479"/>
    <x v="199"/>
    <s v="Sales invoice issued"/>
    <x v="273"/>
    <s v="308.06"/>
    <x v="4"/>
    <x v="3"/>
  </r>
  <r>
    <n v="1480"/>
    <x v="199"/>
    <s v="Sales invoice issued"/>
    <x v="740"/>
    <s v="0.0"/>
    <x v="2"/>
    <x v="0"/>
  </r>
  <r>
    <n v="1480"/>
    <x v="199"/>
    <s v="Sales invoice issued"/>
    <x v="273"/>
    <s v="215.15"/>
    <x v="3"/>
    <x v="2"/>
  </r>
  <r>
    <n v="1480"/>
    <x v="199"/>
    <s v="Sales invoice issued"/>
    <x v="273"/>
    <s v="16.13"/>
    <x v="4"/>
    <x v="3"/>
  </r>
  <r>
    <n v="1481"/>
    <x v="199"/>
    <s v="Sales invoice issued"/>
    <x v="741"/>
    <s v="0.0"/>
    <x v="2"/>
    <x v="0"/>
  </r>
  <r>
    <n v="1481"/>
    <x v="199"/>
    <s v="Sales invoice issued"/>
    <x v="273"/>
    <s v="202.89"/>
    <x v="3"/>
    <x v="2"/>
  </r>
  <r>
    <n v="1481"/>
    <x v="199"/>
    <s v="Sales invoice issued"/>
    <x v="273"/>
    <s v="15.22"/>
    <x v="4"/>
    <x v="3"/>
  </r>
  <r>
    <n v="1482"/>
    <x v="199"/>
    <s v="Customer payment received"/>
    <x v="707"/>
    <s v="0.0"/>
    <x v="0"/>
    <x v="0"/>
  </r>
  <r>
    <n v="1482"/>
    <x v="199"/>
    <s v="Customer payment received"/>
    <x v="273"/>
    <s v="2140.56"/>
    <x v="2"/>
    <x v="0"/>
  </r>
  <r>
    <n v="1483"/>
    <x v="199"/>
    <s v="Customer payment received"/>
    <x v="723"/>
    <s v="0.0"/>
    <x v="0"/>
    <x v="0"/>
  </r>
  <r>
    <n v="1483"/>
    <x v="199"/>
    <s v="Customer payment received"/>
    <x v="273"/>
    <s v="2343.36"/>
    <x v="2"/>
    <x v="0"/>
  </r>
  <r>
    <n v="1484"/>
    <x v="199"/>
    <s v="Customer payment received"/>
    <x v="726"/>
    <s v="0.0"/>
    <x v="0"/>
    <x v="0"/>
  </r>
  <r>
    <n v="1484"/>
    <x v="199"/>
    <s v="Customer payment received"/>
    <x v="273"/>
    <s v="3592.82"/>
    <x v="2"/>
    <x v="0"/>
  </r>
  <r>
    <n v="1485"/>
    <x v="200"/>
    <s v="Sales invoice issued"/>
    <x v="742"/>
    <s v="0.0"/>
    <x v="2"/>
    <x v="0"/>
  </r>
  <r>
    <n v="1485"/>
    <x v="200"/>
    <s v="Sales invoice issued"/>
    <x v="273"/>
    <s v="2636.04"/>
    <x v="3"/>
    <x v="2"/>
  </r>
  <r>
    <n v="1485"/>
    <x v="200"/>
    <s v="Sales invoice issued"/>
    <x v="273"/>
    <s v="197.71"/>
    <x v="4"/>
    <x v="3"/>
  </r>
  <r>
    <n v="1486"/>
    <x v="200"/>
    <s v="Sales invoice issued"/>
    <x v="743"/>
    <s v="0.0"/>
    <x v="2"/>
    <x v="0"/>
  </r>
  <r>
    <n v="1486"/>
    <x v="200"/>
    <s v="Sales invoice issued"/>
    <x v="273"/>
    <s v="2251.4"/>
    <x v="3"/>
    <x v="2"/>
  </r>
  <r>
    <n v="1486"/>
    <x v="200"/>
    <s v="Sales invoice issued"/>
    <x v="273"/>
    <s v="168.86"/>
    <x v="4"/>
    <x v="3"/>
  </r>
  <r>
    <n v="1487"/>
    <x v="200"/>
    <s v="Sales invoice issued"/>
    <x v="744"/>
    <s v="0.0"/>
    <x v="2"/>
    <x v="0"/>
  </r>
  <r>
    <n v="1487"/>
    <x v="200"/>
    <s v="Sales invoice issued"/>
    <x v="273"/>
    <s v="1303.61"/>
    <x v="3"/>
    <x v="2"/>
  </r>
  <r>
    <n v="1487"/>
    <x v="200"/>
    <s v="Sales invoice issued"/>
    <x v="273"/>
    <s v="97.77"/>
    <x v="4"/>
    <x v="3"/>
  </r>
  <r>
    <n v="1488"/>
    <x v="200"/>
    <s v="Sales invoice issued"/>
    <x v="745"/>
    <s v="0.0"/>
    <x v="2"/>
    <x v="0"/>
  </r>
  <r>
    <n v="1488"/>
    <x v="200"/>
    <s v="Sales invoice issued"/>
    <x v="273"/>
    <s v="643.05"/>
    <x v="3"/>
    <x v="2"/>
  </r>
  <r>
    <n v="1488"/>
    <x v="200"/>
    <s v="Sales invoice issued"/>
    <x v="273"/>
    <s v="48.23"/>
    <x v="4"/>
    <x v="3"/>
  </r>
  <r>
    <n v="1489"/>
    <x v="200"/>
    <s v="Customer payment received"/>
    <x v="733"/>
    <s v="0.0"/>
    <x v="0"/>
    <x v="0"/>
  </r>
  <r>
    <n v="1489"/>
    <x v="200"/>
    <s v="Customer payment received"/>
    <x v="273"/>
    <s v="126.26"/>
    <x v="2"/>
    <x v="0"/>
  </r>
  <r>
    <n v="1490"/>
    <x v="200"/>
    <s v="Supplier payment made"/>
    <x v="351"/>
    <s v="0.0"/>
    <x v="11"/>
    <x v="3"/>
  </r>
  <r>
    <n v="1490"/>
    <x v="200"/>
    <s v="Supplier payment made"/>
    <x v="273"/>
    <s v="179.01"/>
    <x v="0"/>
    <x v="0"/>
  </r>
  <r>
    <n v="1491"/>
    <x v="201"/>
    <s v="Sales invoice issued"/>
    <x v="746"/>
    <s v="0.0"/>
    <x v="2"/>
    <x v="0"/>
  </r>
  <r>
    <n v="1491"/>
    <x v="201"/>
    <s v="Sales invoice issued"/>
    <x v="273"/>
    <s v="1668.67"/>
    <x v="3"/>
    <x v="2"/>
  </r>
  <r>
    <n v="1491"/>
    <x v="201"/>
    <s v="Sales invoice issued"/>
    <x v="273"/>
    <s v="125.15"/>
    <x v="4"/>
    <x v="3"/>
  </r>
  <r>
    <n v="1492"/>
    <x v="201"/>
    <s v="Sales invoice issued"/>
    <x v="747"/>
    <s v="0.0"/>
    <x v="2"/>
    <x v="0"/>
  </r>
  <r>
    <n v="1492"/>
    <x v="201"/>
    <s v="Sales invoice issued"/>
    <x v="273"/>
    <s v="1761.59"/>
    <x v="3"/>
    <x v="2"/>
  </r>
  <r>
    <n v="1492"/>
    <x v="201"/>
    <s v="Sales invoice issued"/>
    <x v="273"/>
    <s v="132.12"/>
    <x v="4"/>
    <x v="3"/>
  </r>
  <r>
    <n v="1493"/>
    <x v="201"/>
    <s v="Sales invoice issued"/>
    <x v="748"/>
    <s v="0.0"/>
    <x v="2"/>
    <x v="0"/>
  </r>
  <r>
    <n v="1493"/>
    <x v="201"/>
    <s v="Sales invoice issued"/>
    <x v="273"/>
    <s v="880.16"/>
    <x v="3"/>
    <x v="2"/>
  </r>
  <r>
    <n v="1493"/>
    <x v="201"/>
    <s v="Sales invoice issued"/>
    <x v="273"/>
    <s v="66.0"/>
    <x v="4"/>
    <x v="3"/>
  </r>
  <r>
    <n v="1494"/>
    <x v="201"/>
    <s v="Customer payment received"/>
    <x v="737"/>
    <s v="0.0"/>
    <x v="0"/>
    <x v="0"/>
  </r>
  <r>
    <n v="1494"/>
    <x v="201"/>
    <s v="Customer payment received"/>
    <x v="273"/>
    <s v="1904.03"/>
    <x v="2"/>
    <x v="0"/>
  </r>
  <r>
    <n v="1495"/>
    <x v="201"/>
    <s v="Supplier payment made"/>
    <x v="327"/>
    <s v="0.0"/>
    <x v="11"/>
    <x v="3"/>
  </r>
  <r>
    <n v="1495"/>
    <x v="201"/>
    <s v="Supplier payment made"/>
    <x v="273"/>
    <s v="1935.04"/>
    <x v="0"/>
    <x v="0"/>
  </r>
  <r>
    <n v="1496"/>
    <x v="202"/>
    <s v="Sales invoice issued"/>
    <x v="749"/>
    <s v="0.0"/>
    <x v="2"/>
    <x v="0"/>
  </r>
  <r>
    <n v="1496"/>
    <x v="202"/>
    <s v="Sales invoice issued"/>
    <x v="273"/>
    <s v="2312.14"/>
    <x v="3"/>
    <x v="2"/>
  </r>
  <r>
    <n v="1496"/>
    <x v="202"/>
    <s v="Sales invoice issued"/>
    <x v="273"/>
    <s v="173.42"/>
    <x v="4"/>
    <x v="3"/>
  </r>
  <r>
    <n v="1497"/>
    <x v="202"/>
    <s v="Sales invoice issued"/>
    <x v="750"/>
    <s v="0.0"/>
    <x v="2"/>
    <x v="0"/>
  </r>
  <r>
    <n v="1497"/>
    <x v="202"/>
    <s v="Sales invoice issued"/>
    <x v="273"/>
    <s v="1293.07"/>
    <x v="3"/>
    <x v="2"/>
  </r>
  <r>
    <n v="1497"/>
    <x v="202"/>
    <s v="Sales invoice issued"/>
    <x v="273"/>
    <s v="96.97"/>
    <x v="4"/>
    <x v="3"/>
  </r>
  <r>
    <n v="1498"/>
    <x v="202"/>
    <s v="Sales invoice issued"/>
    <x v="751"/>
    <s v="0.0"/>
    <x v="2"/>
    <x v="0"/>
  </r>
  <r>
    <n v="1498"/>
    <x v="202"/>
    <s v="Sales invoice issued"/>
    <x v="273"/>
    <s v="1967.63"/>
    <x v="3"/>
    <x v="2"/>
  </r>
  <r>
    <n v="1498"/>
    <x v="202"/>
    <s v="Sales invoice issued"/>
    <x v="273"/>
    <s v="147.57"/>
    <x v="4"/>
    <x v="3"/>
  </r>
  <r>
    <n v="1499"/>
    <x v="202"/>
    <s v="Customer payment received"/>
    <x v="672"/>
    <s v="0.0"/>
    <x v="0"/>
    <x v="0"/>
  </r>
  <r>
    <n v="1499"/>
    <x v="202"/>
    <s v="Customer payment received"/>
    <x v="273"/>
    <s v="3107.91"/>
    <x v="2"/>
    <x v="0"/>
  </r>
  <r>
    <n v="1500"/>
    <x v="202"/>
    <s v="Customer payment received"/>
    <x v="675"/>
    <s v="0.0"/>
    <x v="0"/>
    <x v="0"/>
  </r>
  <r>
    <n v="1500"/>
    <x v="202"/>
    <s v="Customer payment received"/>
    <x v="273"/>
    <s v="2778.64"/>
    <x v="2"/>
    <x v="0"/>
  </r>
  <r>
    <n v="1501"/>
    <x v="202"/>
    <s v="Customer payment received"/>
    <x v="680"/>
    <s v="0.0"/>
    <x v="0"/>
    <x v="0"/>
  </r>
  <r>
    <n v="1501"/>
    <x v="202"/>
    <s v="Customer payment received"/>
    <x v="273"/>
    <s v="1218.95"/>
    <x v="2"/>
    <x v="0"/>
  </r>
  <r>
    <n v="1502"/>
    <x v="202"/>
    <s v="Customer payment received"/>
    <x v="690"/>
    <s v="0.0"/>
    <x v="0"/>
    <x v="0"/>
  </r>
  <r>
    <n v="1502"/>
    <x v="202"/>
    <s v="Customer payment received"/>
    <x v="273"/>
    <s v="1984.1"/>
    <x v="2"/>
    <x v="0"/>
  </r>
  <r>
    <n v="1503"/>
    <x v="202"/>
    <s v="Customer payment received"/>
    <x v="699"/>
    <s v="0.0"/>
    <x v="0"/>
    <x v="0"/>
  </r>
  <r>
    <n v="1503"/>
    <x v="202"/>
    <s v="Customer payment received"/>
    <x v="273"/>
    <s v="2872.63"/>
    <x v="2"/>
    <x v="0"/>
  </r>
  <r>
    <n v="1504"/>
    <x v="202"/>
    <s v="Customer payment received"/>
    <x v="728"/>
    <s v="0.0"/>
    <x v="0"/>
    <x v="0"/>
  </r>
  <r>
    <n v="1504"/>
    <x v="202"/>
    <s v="Customer payment received"/>
    <x v="273"/>
    <s v="3417.74"/>
    <x v="2"/>
    <x v="0"/>
  </r>
  <r>
    <n v="1505"/>
    <x v="202"/>
    <s v="Supplier invoice received"/>
    <x v="374"/>
    <s v="0.0"/>
    <x v="9"/>
    <x v="4"/>
  </r>
  <r>
    <n v="1505"/>
    <x v="202"/>
    <s v="Supplier invoice received"/>
    <x v="375"/>
    <s v="0.0"/>
    <x v="10"/>
    <x v="0"/>
  </r>
  <r>
    <n v="1505"/>
    <x v="202"/>
    <s v="Supplier invoice received"/>
    <x v="273"/>
    <s v="2504.23"/>
    <x v="11"/>
    <x v="3"/>
  </r>
  <r>
    <n v="1506"/>
    <x v="202"/>
    <s v="Supplier invoice received"/>
    <x v="297"/>
    <s v="0.0"/>
    <x v="9"/>
    <x v="4"/>
  </r>
  <r>
    <n v="1506"/>
    <x v="202"/>
    <s v="Supplier invoice received"/>
    <x v="298"/>
    <s v="0.0"/>
    <x v="10"/>
    <x v="0"/>
  </r>
  <r>
    <n v="1506"/>
    <x v="202"/>
    <s v="Supplier invoice received"/>
    <x v="273"/>
    <s v="3528.97"/>
    <x v="11"/>
    <x v="3"/>
  </r>
  <r>
    <n v="1507"/>
    <x v="202"/>
    <s v="Supplier invoice received"/>
    <x v="366"/>
    <s v="0.0"/>
    <x v="9"/>
    <x v="4"/>
  </r>
  <r>
    <n v="1507"/>
    <x v="202"/>
    <s v="Supplier invoice received"/>
    <x v="367"/>
    <s v="0.0"/>
    <x v="10"/>
    <x v="0"/>
  </r>
  <r>
    <n v="1507"/>
    <x v="202"/>
    <s v="Supplier invoice received"/>
    <x v="273"/>
    <s v="201.5"/>
    <x v="11"/>
    <x v="3"/>
  </r>
  <r>
    <n v="1508"/>
    <x v="202"/>
    <s v="Supplier invoice received"/>
    <x v="372"/>
    <s v="0.0"/>
    <x v="9"/>
    <x v="4"/>
  </r>
  <r>
    <n v="1508"/>
    <x v="202"/>
    <s v="Supplier invoice received"/>
    <x v="373"/>
    <s v="0.0"/>
    <x v="10"/>
    <x v="0"/>
  </r>
  <r>
    <n v="1508"/>
    <x v="202"/>
    <s v="Supplier invoice received"/>
    <x v="273"/>
    <s v="412.54"/>
    <x v="11"/>
    <x v="3"/>
  </r>
  <r>
    <n v="1509"/>
    <x v="202"/>
    <s v="Supplier invoice received"/>
    <x v="461"/>
    <s v="0.0"/>
    <x v="9"/>
    <x v="4"/>
  </r>
  <r>
    <n v="1509"/>
    <x v="202"/>
    <s v="Supplier invoice received"/>
    <x v="462"/>
    <s v="0.0"/>
    <x v="10"/>
    <x v="0"/>
  </r>
  <r>
    <n v="1509"/>
    <x v="202"/>
    <s v="Supplier invoice received"/>
    <x v="273"/>
    <s v="2182.41"/>
    <x v="11"/>
    <x v="3"/>
  </r>
  <r>
    <n v="1510"/>
    <x v="202"/>
    <s v="Supplier invoice received"/>
    <x v="443"/>
    <s v="0.0"/>
    <x v="9"/>
    <x v="4"/>
  </r>
  <r>
    <n v="1510"/>
    <x v="202"/>
    <s v="Supplier invoice received"/>
    <x v="444"/>
    <s v="0.0"/>
    <x v="10"/>
    <x v="0"/>
  </r>
  <r>
    <n v="1510"/>
    <x v="202"/>
    <s v="Supplier invoice received"/>
    <x v="273"/>
    <s v="748.26"/>
    <x v="11"/>
    <x v="3"/>
  </r>
  <r>
    <n v="1511"/>
    <x v="202"/>
    <s v="Supplier payment made"/>
    <x v="310"/>
    <s v="0.0"/>
    <x v="11"/>
    <x v="3"/>
  </r>
  <r>
    <n v="1511"/>
    <x v="202"/>
    <s v="Supplier payment made"/>
    <x v="273"/>
    <s v="276.32"/>
    <x v="0"/>
    <x v="0"/>
  </r>
  <r>
    <n v="1512"/>
    <x v="202"/>
    <s v="Supplier payment made"/>
    <x v="318"/>
    <s v="0.0"/>
    <x v="11"/>
    <x v="3"/>
  </r>
  <r>
    <n v="1512"/>
    <x v="202"/>
    <s v="Supplier payment made"/>
    <x v="273"/>
    <s v="2504.23"/>
    <x v="0"/>
    <x v="0"/>
  </r>
  <r>
    <n v="1513"/>
    <x v="203"/>
    <s v="Sales invoice issued"/>
    <x v="752"/>
    <s v="0.0"/>
    <x v="2"/>
    <x v="0"/>
  </r>
  <r>
    <n v="1513"/>
    <x v="203"/>
    <s v="Sales invoice issued"/>
    <x v="273"/>
    <s v="3412.18"/>
    <x v="3"/>
    <x v="2"/>
  </r>
  <r>
    <n v="1513"/>
    <x v="203"/>
    <s v="Sales invoice issued"/>
    <x v="273"/>
    <s v="255.91"/>
    <x v="4"/>
    <x v="3"/>
  </r>
  <r>
    <n v="1514"/>
    <x v="203"/>
    <s v="Sales invoice issued"/>
    <x v="753"/>
    <s v="0.0"/>
    <x v="2"/>
    <x v="0"/>
  </r>
  <r>
    <n v="1514"/>
    <x v="203"/>
    <s v="Sales invoice issued"/>
    <x v="273"/>
    <s v="549.5"/>
    <x v="3"/>
    <x v="2"/>
  </r>
  <r>
    <n v="1514"/>
    <x v="203"/>
    <s v="Sales invoice issued"/>
    <x v="273"/>
    <s v="41.21"/>
    <x v="4"/>
    <x v="3"/>
  </r>
  <r>
    <n v="1515"/>
    <x v="203"/>
    <s v="Sales invoice issued"/>
    <x v="754"/>
    <s v="0.0"/>
    <x v="2"/>
    <x v="0"/>
  </r>
  <r>
    <n v="1515"/>
    <x v="203"/>
    <s v="Sales invoice issued"/>
    <x v="273"/>
    <s v="3377.19"/>
    <x v="3"/>
    <x v="2"/>
  </r>
  <r>
    <n v="1515"/>
    <x v="203"/>
    <s v="Sales invoice issued"/>
    <x v="273"/>
    <s v="253.3"/>
    <x v="4"/>
    <x v="3"/>
  </r>
  <r>
    <n v="1516"/>
    <x v="203"/>
    <s v="Sales invoice issued"/>
    <x v="755"/>
    <s v="0.0"/>
    <x v="2"/>
    <x v="0"/>
  </r>
  <r>
    <n v="1516"/>
    <x v="203"/>
    <s v="Sales invoice issued"/>
    <x v="273"/>
    <s v="3538.66"/>
    <x v="3"/>
    <x v="2"/>
  </r>
  <r>
    <n v="1516"/>
    <x v="203"/>
    <s v="Sales invoice issued"/>
    <x v="273"/>
    <s v="265.39"/>
    <x v="4"/>
    <x v="3"/>
  </r>
  <r>
    <n v="1517"/>
    <x v="203"/>
    <s v="Sales invoice issued"/>
    <x v="756"/>
    <s v="0.0"/>
    <x v="2"/>
    <x v="0"/>
  </r>
  <r>
    <n v="1517"/>
    <x v="203"/>
    <s v="Sales invoice issued"/>
    <x v="273"/>
    <s v="4486.84"/>
    <x v="3"/>
    <x v="2"/>
  </r>
  <r>
    <n v="1517"/>
    <x v="203"/>
    <s v="Sales invoice issued"/>
    <x v="273"/>
    <s v="336.51"/>
    <x v="4"/>
    <x v="3"/>
  </r>
  <r>
    <n v="1518"/>
    <x v="203"/>
    <s v="Sales invoice issued"/>
    <x v="757"/>
    <s v="0.0"/>
    <x v="2"/>
    <x v="0"/>
  </r>
  <r>
    <n v="1518"/>
    <x v="203"/>
    <s v="Sales invoice issued"/>
    <x v="273"/>
    <s v="2357.62"/>
    <x v="3"/>
    <x v="2"/>
  </r>
  <r>
    <n v="1518"/>
    <x v="203"/>
    <s v="Sales invoice issued"/>
    <x v="273"/>
    <s v="176.82"/>
    <x v="4"/>
    <x v="3"/>
  </r>
  <r>
    <n v="1519"/>
    <x v="203"/>
    <s v="Customer payment received"/>
    <x v="727"/>
    <s v="0.0"/>
    <x v="0"/>
    <x v="0"/>
  </r>
  <r>
    <n v="1519"/>
    <x v="203"/>
    <s v="Customer payment received"/>
    <x v="273"/>
    <s v="1839.9"/>
    <x v="2"/>
    <x v="0"/>
  </r>
  <r>
    <n v="1520"/>
    <x v="203"/>
    <s v="Customer payment received"/>
    <x v="743"/>
    <s v="0.0"/>
    <x v="0"/>
    <x v="0"/>
  </r>
  <r>
    <n v="1520"/>
    <x v="203"/>
    <s v="Customer payment received"/>
    <x v="273"/>
    <s v="2420.26"/>
    <x v="2"/>
    <x v="0"/>
  </r>
  <r>
    <n v="1521"/>
    <x v="203"/>
    <s v="Supplier payment made"/>
    <x v="335"/>
    <s v="0.0"/>
    <x v="11"/>
    <x v="3"/>
  </r>
  <r>
    <n v="1521"/>
    <x v="203"/>
    <s v="Supplier payment made"/>
    <x v="273"/>
    <s v="550.4"/>
    <x v="0"/>
    <x v="0"/>
  </r>
  <r>
    <n v="1522"/>
    <x v="203"/>
    <s v="Supplier payment made"/>
    <x v="488"/>
    <s v="0.0"/>
    <x v="11"/>
    <x v="3"/>
  </r>
  <r>
    <n v="1522"/>
    <x v="203"/>
    <s v="Supplier payment made"/>
    <x v="273"/>
    <s v="2182.41"/>
    <x v="0"/>
    <x v="0"/>
  </r>
  <r>
    <n v="1523"/>
    <x v="204"/>
    <s v="Sales invoice issued"/>
    <x v="758"/>
    <s v="0.0"/>
    <x v="2"/>
    <x v="0"/>
  </r>
  <r>
    <n v="1523"/>
    <x v="204"/>
    <s v="Sales invoice issued"/>
    <x v="273"/>
    <s v="617.46"/>
    <x v="3"/>
    <x v="2"/>
  </r>
  <r>
    <n v="1523"/>
    <x v="204"/>
    <s v="Sales invoice issued"/>
    <x v="273"/>
    <s v="46.31"/>
    <x v="4"/>
    <x v="3"/>
  </r>
  <r>
    <n v="1524"/>
    <x v="204"/>
    <s v="Sales invoice issued"/>
    <x v="759"/>
    <s v="0.0"/>
    <x v="2"/>
    <x v="0"/>
  </r>
  <r>
    <n v="1524"/>
    <x v="204"/>
    <s v="Sales invoice issued"/>
    <x v="273"/>
    <s v="2639.26"/>
    <x v="3"/>
    <x v="2"/>
  </r>
  <r>
    <n v="1524"/>
    <x v="204"/>
    <s v="Sales invoice issued"/>
    <x v="273"/>
    <s v="197.95"/>
    <x v="4"/>
    <x v="3"/>
  </r>
  <r>
    <n v="1525"/>
    <x v="204"/>
    <s v="Sales invoice issued"/>
    <x v="760"/>
    <s v="0.0"/>
    <x v="2"/>
    <x v="0"/>
  </r>
  <r>
    <n v="1525"/>
    <x v="204"/>
    <s v="Sales invoice issued"/>
    <x v="273"/>
    <s v="1720.58"/>
    <x v="3"/>
    <x v="2"/>
  </r>
  <r>
    <n v="1525"/>
    <x v="204"/>
    <s v="Sales invoice issued"/>
    <x v="273"/>
    <s v="129.04"/>
    <x v="4"/>
    <x v="3"/>
  </r>
  <r>
    <n v="1526"/>
    <x v="204"/>
    <s v="Customer payment received"/>
    <x v="706"/>
    <s v="0.0"/>
    <x v="0"/>
    <x v="0"/>
  </r>
  <r>
    <n v="1526"/>
    <x v="204"/>
    <s v="Customer payment received"/>
    <x v="273"/>
    <s v="1822.2"/>
    <x v="2"/>
    <x v="0"/>
  </r>
  <r>
    <n v="1527"/>
    <x v="204"/>
    <s v="Customer payment received"/>
    <x v="739"/>
    <s v="0.0"/>
    <x v="0"/>
    <x v="0"/>
  </r>
  <r>
    <n v="1527"/>
    <x v="204"/>
    <s v="Customer payment received"/>
    <x v="273"/>
    <s v="4415.62"/>
    <x v="2"/>
    <x v="0"/>
  </r>
  <r>
    <n v="1528"/>
    <x v="204"/>
    <s v="Customer payment received"/>
    <x v="746"/>
    <s v="0.0"/>
    <x v="0"/>
    <x v="0"/>
  </r>
  <r>
    <n v="1528"/>
    <x v="204"/>
    <s v="Customer payment received"/>
    <x v="273"/>
    <s v="1793.82"/>
    <x v="2"/>
    <x v="0"/>
  </r>
  <r>
    <n v="1529"/>
    <x v="204"/>
    <s v="Supplier invoice received"/>
    <x v="383"/>
    <s v="0.0"/>
    <x v="9"/>
    <x v="4"/>
  </r>
  <r>
    <n v="1529"/>
    <x v="204"/>
    <s v="Supplier invoice received"/>
    <x v="384"/>
    <s v="0.0"/>
    <x v="10"/>
    <x v="0"/>
  </r>
  <r>
    <n v="1529"/>
    <x v="204"/>
    <s v="Supplier invoice received"/>
    <x v="273"/>
    <s v="3868.8"/>
    <x v="11"/>
    <x v="3"/>
  </r>
  <r>
    <n v="1530"/>
    <x v="204"/>
    <s v="Supplier invoice received"/>
    <x v="330"/>
    <s v="0.0"/>
    <x v="9"/>
    <x v="4"/>
  </r>
  <r>
    <n v="1530"/>
    <x v="204"/>
    <s v="Supplier invoice received"/>
    <x v="331"/>
    <s v="0.0"/>
    <x v="10"/>
    <x v="0"/>
  </r>
  <r>
    <n v="1530"/>
    <x v="204"/>
    <s v="Supplier invoice received"/>
    <x v="273"/>
    <s v="1935.04"/>
    <x v="11"/>
    <x v="3"/>
  </r>
  <r>
    <n v="1531"/>
    <x v="204"/>
    <s v="Supplier payment made"/>
    <x v="504"/>
    <s v="0.0"/>
    <x v="11"/>
    <x v="3"/>
  </r>
  <r>
    <n v="1531"/>
    <x v="204"/>
    <s v="Supplier payment made"/>
    <x v="273"/>
    <s v="1958.74"/>
    <x v="0"/>
    <x v="0"/>
  </r>
  <r>
    <n v="1532"/>
    <x v="204"/>
    <s v="Supplier payment made"/>
    <x v="352"/>
    <s v="0.0"/>
    <x v="11"/>
    <x v="3"/>
  </r>
  <r>
    <n v="1532"/>
    <x v="204"/>
    <s v="Supplier payment made"/>
    <x v="273"/>
    <s v="9336.67"/>
    <x v="0"/>
    <x v="0"/>
  </r>
  <r>
    <n v="1533"/>
    <x v="205"/>
    <s v="Payroll processed"/>
    <x v="761"/>
    <s v="0.0"/>
    <x v="5"/>
    <x v="4"/>
  </r>
  <r>
    <n v="1533"/>
    <x v="205"/>
    <s v="Payroll processed"/>
    <x v="762"/>
    <s v="0.0"/>
    <x v="6"/>
    <x v="4"/>
  </r>
  <r>
    <n v="1533"/>
    <x v="205"/>
    <s v="Payroll processed"/>
    <x v="273"/>
    <s v="18171.78"/>
    <x v="0"/>
    <x v="0"/>
  </r>
  <r>
    <n v="1533"/>
    <x v="205"/>
    <s v="Payroll processed"/>
    <x v="273"/>
    <s v="4069.27"/>
    <x v="7"/>
    <x v="3"/>
  </r>
  <r>
    <n v="1533"/>
    <x v="205"/>
    <s v="Payroll processed"/>
    <x v="273"/>
    <s v="889.64"/>
    <x v="8"/>
    <x v="3"/>
  </r>
  <r>
    <n v="1534"/>
    <x v="205"/>
    <s v="Sales invoice issued"/>
    <x v="763"/>
    <s v="0.0"/>
    <x v="2"/>
    <x v="0"/>
  </r>
  <r>
    <n v="1534"/>
    <x v="205"/>
    <s v="Sales invoice issued"/>
    <x v="273"/>
    <s v="896.96"/>
    <x v="3"/>
    <x v="2"/>
  </r>
  <r>
    <n v="1534"/>
    <x v="205"/>
    <s v="Sales invoice issued"/>
    <x v="273"/>
    <s v="67.27"/>
    <x v="4"/>
    <x v="3"/>
  </r>
  <r>
    <n v="1535"/>
    <x v="205"/>
    <s v="Sales invoice issued"/>
    <x v="764"/>
    <s v="0.0"/>
    <x v="2"/>
    <x v="0"/>
  </r>
  <r>
    <n v="1535"/>
    <x v="205"/>
    <s v="Sales invoice issued"/>
    <x v="273"/>
    <s v="3437.33"/>
    <x v="3"/>
    <x v="2"/>
  </r>
  <r>
    <n v="1535"/>
    <x v="205"/>
    <s v="Sales invoice issued"/>
    <x v="273"/>
    <s v="257.8"/>
    <x v="4"/>
    <x v="3"/>
  </r>
  <r>
    <n v="1536"/>
    <x v="205"/>
    <s v="Sales invoice issued"/>
    <x v="765"/>
    <s v="0.0"/>
    <x v="2"/>
    <x v="0"/>
  </r>
  <r>
    <n v="1536"/>
    <x v="205"/>
    <s v="Sales invoice issued"/>
    <x v="273"/>
    <s v="4443.62"/>
    <x v="3"/>
    <x v="2"/>
  </r>
  <r>
    <n v="1536"/>
    <x v="205"/>
    <s v="Sales invoice issued"/>
    <x v="273"/>
    <s v="333.27"/>
    <x v="4"/>
    <x v="3"/>
  </r>
  <r>
    <n v="1537"/>
    <x v="205"/>
    <s v="Customer payment received"/>
    <x v="615"/>
    <s v="0.0"/>
    <x v="0"/>
    <x v="0"/>
  </r>
  <r>
    <n v="1537"/>
    <x v="205"/>
    <s v="Customer payment received"/>
    <x v="273"/>
    <s v="1176.26"/>
    <x v="2"/>
    <x v="0"/>
  </r>
  <r>
    <n v="1538"/>
    <x v="205"/>
    <s v="Customer payment received"/>
    <x v="656"/>
    <s v="0.0"/>
    <x v="0"/>
    <x v="0"/>
  </r>
  <r>
    <n v="1538"/>
    <x v="205"/>
    <s v="Customer payment received"/>
    <x v="273"/>
    <s v="1818.11"/>
    <x v="2"/>
    <x v="0"/>
  </r>
  <r>
    <n v="1539"/>
    <x v="205"/>
    <s v="Customer payment received"/>
    <x v="766"/>
    <s v="0.0"/>
    <x v="0"/>
    <x v="0"/>
  </r>
  <r>
    <n v="1539"/>
    <x v="205"/>
    <s v="Customer payment received"/>
    <x v="273"/>
    <s v="1198.22"/>
    <x v="2"/>
    <x v="0"/>
  </r>
  <r>
    <n v="1540"/>
    <x v="205"/>
    <s v="Customer payment received"/>
    <x v="682"/>
    <s v="0.0"/>
    <x v="0"/>
    <x v="0"/>
  </r>
  <r>
    <n v="1540"/>
    <x v="205"/>
    <s v="Customer payment received"/>
    <x v="273"/>
    <s v="1653.33"/>
    <x v="2"/>
    <x v="0"/>
  </r>
  <r>
    <n v="1541"/>
    <x v="205"/>
    <s v="Customer payment received"/>
    <x v="720"/>
    <s v="0.0"/>
    <x v="0"/>
    <x v="0"/>
  </r>
  <r>
    <n v="1541"/>
    <x v="205"/>
    <s v="Customer payment received"/>
    <x v="273"/>
    <s v="2021.08"/>
    <x v="2"/>
    <x v="0"/>
  </r>
  <r>
    <n v="1542"/>
    <x v="205"/>
    <s v="Customer payment received"/>
    <x v="750"/>
    <s v="0.0"/>
    <x v="0"/>
    <x v="0"/>
  </r>
  <r>
    <n v="1542"/>
    <x v="205"/>
    <s v="Customer payment received"/>
    <x v="273"/>
    <s v="1390.04"/>
    <x v="2"/>
    <x v="0"/>
  </r>
  <r>
    <n v="1543"/>
    <x v="205"/>
    <s v="Supplier payment made"/>
    <x v="392"/>
    <s v="0.0"/>
    <x v="11"/>
    <x v="3"/>
  </r>
  <r>
    <n v="1543"/>
    <x v="205"/>
    <s v="Supplier payment made"/>
    <x v="273"/>
    <s v="1023.42"/>
    <x v="0"/>
    <x v="0"/>
  </r>
  <r>
    <n v="1544"/>
    <x v="206"/>
    <s v="Sales invoice issued"/>
    <x v="767"/>
    <s v="0.0"/>
    <x v="2"/>
    <x v="0"/>
  </r>
  <r>
    <n v="1544"/>
    <x v="206"/>
    <s v="Sales invoice issued"/>
    <x v="273"/>
    <s v="773.4"/>
    <x v="3"/>
    <x v="2"/>
  </r>
  <r>
    <n v="1544"/>
    <x v="206"/>
    <s v="Sales invoice issued"/>
    <x v="273"/>
    <s v="58.01"/>
    <x v="4"/>
    <x v="3"/>
  </r>
  <r>
    <n v="1545"/>
    <x v="206"/>
    <s v="Sales invoice issued"/>
    <x v="768"/>
    <s v="0.0"/>
    <x v="2"/>
    <x v="0"/>
  </r>
  <r>
    <n v="1545"/>
    <x v="206"/>
    <s v="Sales invoice issued"/>
    <x v="273"/>
    <s v="284.8"/>
    <x v="3"/>
    <x v="2"/>
  </r>
  <r>
    <n v="1545"/>
    <x v="206"/>
    <s v="Sales invoice issued"/>
    <x v="273"/>
    <s v="21.36"/>
    <x v="4"/>
    <x v="3"/>
  </r>
  <r>
    <n v="1546"/>
    <x v="206"/>
    <s v="Sales invoice issued"/>
    <x v="769"/>
    <s v="0.0"/>
    <x v="2"/>
    <x v="0"/>
  </r>
  <r>
    <n v="1546"/>
    <x v="206"/>
    <s v="Sales invoice issued"/>
    <x v="273"/>
    <s v="1629.61"/>
    <x v="3"/>
    <x v="2"/>
  </r>
  <r>
    <n v="1546"/>
    <x v="206"/>
    <s v="Sales invoice issued"/>
    <x v="273"/>
    <s v="122.22"/>
    <x v="4"/>
    <x v="3"/>
  </r>
  <r>
    <n v="1547"/>
    <x v="206"/>
    <s v="Customer payment received"/>
    <x v="673"/>
    <s v="0.0"/>
    <x v="0"/>
    <x v="0"/>
  </r>
  <r>
    <n v="1547"/>
    <x v="206"/>
    <s v="Customer payment received"/>
    <x v="273"/>
    <s v="5064.41"/>
    <x v="2"/>
    <x v="0"/>
  </r>
  <r>
    <n v="1548"/>
    <x v="206"/>
    <s v="Customer payment received"/>
    <x v="695"/>
    <s v="0.0"/>
    <x v="0"/>
    <x v="0"/>
  </r>
  <r>
    <n v="1548"/>
    <x v="206"/>
    <s v="Customer payment received"/>
    <x v="273"/>
    <s v="2052.79"/>
    <x v="2"/>
    <x v="0"/>
  </r>
  <r>
    <n v="1549"/>
    <x v="206"/>
    <s v="Customer payment received"/>
    <x v="698"/>
    <s v="0.0"/>
    <x v="0"/>
    <x v="0"/>
  </r>
  <r>
    <n v="1549"/>
    <x v="206"/>
    <s v="Customer payment received"/>
    <x v="273"/>
    <s v="2652.17"/>
    <x v="2"/>
    <x v="0"/>
  </r>
  <r>
    <n v="1550"/>
    <x v="206"/>
    <s v="Customer payment received"/>
    <x v="703"/>
    <s v="0.0"/>
    <x v="0"/>
    <x v="0"/>
  </r>
  <r>
    <n v="1550"/>
    <x v="206"/>
    <s v="Customer payment received"/>
    <x v="273"/>
    <s v="2735.36"/>
    <x v="2"/>
    <x v="0"/>
  </r>
  <r>
    <n v="1551"/>
    <x v="206"/>
    <s v="Customer payment received"/>
    <x v="734"/>
    <s v="0.0"/>
    <x v="0"/>
    <x v="0"/>
  </r>
  <r>
    <n v="1551"/>
    <x v="206"/>
    <s v="Customer payment received"/>
    <x v="273"/>
    <s v="5113.82"/>
    <x v="2"/>
    <x v="0"/>
  </r>
  <r>
    <n v="1552"/>
    <x v="206"/>
    <s v="Customer payment received"/>
    <x v="751"/>
    <s v="0.0"/>
    <x v="0"/>
    <x v="0"/>
  </r>
  <r>
    <n v="1552"/>
    <x v="206"/>
    <s v="Customer payment received"/>
    <x v="273"/>
    <s v="2115.2"/>
    <x v="2"/>
    <x v="0"/>
  </r>
  <r>
    <n v="1553"/>
    <x v="206"/>
    <s v="Supplier invoice received"/>
    <x v="374"/>
    <s v="0.0"/>
    <x v="9"/>
    <x v="4"/>
  </r>
  <r>
    <n v="1553"/>
    <x v="206"/>
    <s v="Supplier invoice received"/>
    <x v="375"/>
    <s v="0.0"/>
    <x v="10"/>
    <x v="0"/>
  </r>
  <r>
    <n v="1553"/>
    <x v="206"/>
    <s v="Supplier invoice received"/>
    <x v="273"/>
    <s v="2504.23"/>
    <x v="11"/>
    <x v="3"/>
  </r>
  <r>
    <n v="1554"/>
    <x v="206"/>
    <s v="Supplier payment made"/>
    <x v="392"/>
    <s v="0.0"/>
    <x v="11"/>
    <x v="3"/>
  </r>
  <r>
    <n v="1554"/>
    <x v="206"/>
    <s v="Supplier payment made"/>
    <x v="273"/>
    <s v="1023.42"/>
    <x v="0"/>
    <x v="0"/>
  </r>
  <r>
    <n v="1555"/>
    <x v="207"/>
    <s v="Sales invoice issued"/>
    <x v="770"/>
    <s v="0.0"/>
    <x v="2"/>
    <x v="0"/>
  </r>
  <r>
    <n v="1555"/>
    <x v="207"/>
    <s v="Sales invoice issued"/>
    <x v="273"/>
    <s v="2267.48"/>
    <x v="3"/>
    <x v="2"/>
  </r>
  <r>
    <n v="1555"/>
    <x v="207"/>
    <s v="Sales invoice issued"/>
    <x v="273"/>
    <s v="170.06"/>
    <x v="4"/>
    <x v="3"/>
  </r>
  <r>
    <n v="1556"/>
    <x v="207"/>
    <s v="Sales invoice issued"/>
    <x v="771"/>
    <s v="0.0"/>
    <x v="2"/>
    <x v="0"/>
  </r>
  <r>
    <n v="1556"/>
    <x v="207"/>
    <s v="Sales invoice issued"/>
    <x v="273"/>
    <s v="2520.09"/>
    <x v="3"/>
    <x v="2"/>
  </r>
  <r>
    <n v="1556"/>
    <x v="207"/>
    <s v="Sales invoice issued"/>
    <x v="273"/>
    <s v="189.0"/>
    <x v="4"/>
    <x v="3"/>
  </r>
  <r>
    <n v="1557"/>
    <x v="207"/>
    <s v="Sales invoice issued"/>
    <x v="772"/>
    <s v="0.0"/>
    <x v="2"/>
    <x v="0"/>
  </r>
  <r>
    <n v="1557"/>
    <x v="207"/>
    <s v="Sales invoice issued"/>
    <x v="273"/>
    <s v="1185.07"/>
    <x v="3"/>
    <x v="2"/>
  </r>
  <r>
    <n v="1557"/>
    <x v="207"/>
    <s v="Sales invoice issued"/>
    <x v="273"/>
    <s v="88.88"/>
    <x v="4"/>
    <x v="3"/>
  </r>
  <r>
    <n v="1558"/>
    <x v="207"/>
    <s v="Sales invoice issued"/>
    <x v="773"/>
    <s v="0.0"/>
    <x v="2"/>
    <x v="0"/>
  </r>
  <r>
    <n v="1558"/>
    <x v="207"/>
    <s v="Sales invoice issued"/>
    <x v="273"/>
    <s v="2080.13"/>
    <x v="3"/>
    <x v="2"/>
  </r>
  <r>
    <n v="1558"/>
    <x v="207"/>
    <s v="Sales invoice issued"/>
    <x v="273"/>
    <s v="156.01"/>
    <x v="4"/>
    <x v="3"/>
  </r>
  <r>
    <n v="1559"/>
    <x v="207"/>
    <s v="Sales invoice issued"/>
    <x v="774"/>
    <s v="0.0"/>
    <x v="2"/>
    <x v="0"/>
  </r>
  <r>
    <n v="1559"/>
    <x v="207"/>
    <s v="Sales invoice issued"/>
    <x v="273"/>
    <s v="2799.12"/>
    <x v="3"/>
    <x v="2"/>
  </r>
  <r>
    <n v="1559"/>
    <x v="207"/>
    <s v="Sales invoice issued"/>
    <x v="273"/>
    <s v="209.94"/>
    <x v="4"/>
    <x v="3"/>
  </r>
  <r>
    <n v="1560"/>
    <x v="207"/>
    <s v="Sales invoice issued"/>
    <x v="775"/>
    <s v="0.0"/>
    <x v="2"/>
    <x v="0"/>
  </r>
  <r>
    <n v="1560"/>
    <x v="207"/>
    <s v="Sales invoice issued"/>
    <x v="273"/>
    <s v="46.33"/>
    <x v="3"/>
    <x v="2"/>
  </r>
  <r>
    <n v="1560"/>
    <x v="207"/>
    <s v="Sales invoice issued"/>
    <x v="273"/>
    <s v="3.47"/>
    <x v="4"/>
    <x v="3"/>
  </r>
  <r>
    <n v="1561"/>
    <x v="207"/>
    <s v="Sales invoice issued"/>
    <x v="776"/>
    <s v="0.0"/>
    <x v="2"/>
    <x v="0"/>
  </r>
  <r>
    <n v="1561"/>
    <x v="207"/>
    <s v="Sales invoice issued"/>
    <x v="273"/>
    <s v="1198.8"/>
    <x v="3"/>
    <x v="2"/>
  </r>
  <r>
    <n v="1561"/>
    <x v="207"/>
    <s v="Sales invoice issued"/>
    <x v="273"/>
    <s v="89.92"/>
    <x v="4"/>
    <x v="3"/>
  </r>
  <r>
    <n v="1562"/>
    <x v="207"/>
    <s v="Sales invoice issued"/>
    <x v="777"/>
    <s v="0.0"/>
    <x v="2"/>
    <x v="0"/>
  </r>
  <r>
    <n v="1562"/>
    <x v="207"/>
    <s v="Sales invoice issued"/>
    <x v="273"/>
    <s v="1017.02"/>
    <x v="3"/>
    <x v="2"/>
  </r>
  <r>
    <n v="1562"/>
    <x v="207"/>
    <s v="Sales invoice issued"/>
    <x v="273"/>
    <s v="76.28"/>
    <x v="4"/>
    <x v="3"/>
  </r>
  <r>
    <n v="1563"/>
    <x v="207"/>
    <s v="Customer payment received"/>
    <x v="612"/>
    <s v="0.0"/>
    <x v="0"/>
    <x v="0"/>
  </r>
  <r>
    <n v="1563"/>
    <x v="207"/>
    <s v="Customer payment received"/>
    <x v="273"/>
    <s v="5450.22"/>
    <x v="2"/>
    <x v="0"/>
  </r>
  <r>
    <n v="1564"/>
    <x v="207"/>
    <s v="Customer payment received"/>
    <x v="674"/>
    <s v="0.0"/>
    <x v="0"/>
    <x v="0"/>
  </r>
  <r>
    <n v="1564"/>
    <x v="207"/>
    <s v="Customer payment received"/>
    <x v="273"/>
    <s v="4323.51"/>
    <x v="2"/>
    <x v="0"/>
  </r>
  <r>
    <n v="1565"/>
    <x v="207"/>
    <s v="Customer payment received"/>
    <x v="731"/>
    <s v="0.0"/>
    <x v="0"/>
    <x v="0"/>
  </r>
  <r>
    <n v="1565"/>
    <x v="207"/>
    <s v="Customer payment received"/>
    <x v="273"/>
    <s v="1228.34"/>
    <x v="2"/>
    <x v="0"/>
  </r>
  <r>
    <n v="1566"/>
    <x v="207"/>
    <s v="Supplier invoice received"/>
    <x v="301"/>
    <s v="0.0"/>
    <x v="9"/>
    <x v="4"/>
  </r>
  <r>
    <n v="1566"/>
    <x v="207"/>
    <s v="Supplier invoice received"/>
    <x v="302"/>
    <s v="0.0"/>
    <x v="10"/>
    <x v="0"/>
  </r>
  <r>
    <n v="1566"/>
    <x v="207"/>
    <s v="Supplier invoice received"/>
    <x v="273"/>
    <s v="4812.46"/>
    <x v="11"/>
    <x v="3"/>
  </r>
  <r>
    <n v="1567"/>
    <x v="207"/>
    <s v="Supplier invoice received"/>
    <x v="338"/>
    <s v="0.0"/>
    <x v="9"/>
    <x v="4"/>
  </r>
  <r>
    <n v="1567"/>
    <x v="207"/>
    <s v="Supplier invoice received"/>
    <x v="339"/>
    <s v="0.0"/>
    <x v="10"/>
    <x v="0"/>
  </r>
  <r>
    <n v="1567"/>
    <x v="207"/>
    <s v="Supplier invoice received"/>
    <x v="273"/>
    <s v="1159.84"/>
    <x v="11"/>
    <x v="3"/>
  </r>
  <r>
    <n v="1568"/>
    <x v="207"/>
    <s v="Supplier invoice received"/>
    <x v="297"/>
    <s v="0.0"/>
    <x v="9"/>
    <x v="4"/>
  </r>
  <r>
    <n v="1568"/>
    <x v="207"/>
    <s v="Supplier invoice received"/>
    <x v="298"/>
    <s v="0.0"/>
    <x v="10"/>
    <x v="0"/>
  </r>
  <r>
    <n v="1568"/>
    <x v="207"/>
    <s v="Supplier invoice received"/>
    <x v="273"/>
    <s v="3528.97"/>
    <x v="11"/>
    <x v="3"/>
  </r>
  <r>
    <n v="1569"/>
    <x v="207"/>
    <s v="Supplier invoice received"/>
    <x v="405"/>
    <s v="0.0"/>
    <x v="9"/>
    <x v="4"/>
  </r>
  <r>
    <n v="1569"/>
    <x v="207"/>
    <s v="Supplier invoice received"/>
    <x v="406"/>
    <s v="0.0"/>
    <x v="10"/>
    <x v="0"/>
  </r>
  <r>
    <n v="1569"/>
    <x v="207"/>
    <s v="Supplier invoice received"/>
    <x v="273"/>
    <s v="2635.36"/>
    <x v="11"/>
    <x v="3"/>
  </r>
  <r>
    <n v="1570"/>
    <x v="207"/>
    <s v="Supplier payment made"/>
    <x v="334"/>
    <s v="0.0"/>
    <x v="11"/>
    <x v="3"/>
  </r>
  <r>
    <n v="1570"/>
    <x v="207"/>
    <s v="Supplier payment made"/>
    <x v="273"/>
    <s v="3528.97"/>
    <x v="0"/>
    <x v="0"/>
  </r>
  <r>
    <n v="1571"/>
    <x v="207"/>
    <s v="Supplier payment made"/>
    <x v="408"/>
    <s v="0.0"/>
    <x v="11"/>
    <x v="3"/>
  </r>
  <r>
    <n v="1571"/>
    <x v="207"/>
    <s v="Supplier payment made"/>
    <x v="273"/>
    <s v="3868.8"/>
    <x v="0"/>
    <x v="0"/>
  </r>
  <r>
    <n v="1572"/>
    <x v="207"/>
    <s v="Supplier payment made"/>
    <x v="327"/>
    <s v="0.0"/>
    <x v="11"/>
    <x v="3"/>
  </r>
  <r>
    <n v="1572"/>
    <x v="207"/>
    <s v="Supplier payment made"/>
    <x v="273"/>
    <s v="1935.04"/>
    <x v="0"/>
    <x v="0"/>
  </r>
  <r>
    <n v="1573"/>
    <x v="208"/>
    <s v="Sales invoice issued"/>
    <x v="778"/>
    <s v="0.0"/>
    <x v="2"/>
    <x v="0"/>
  </r>
  <r>
    <n v="1573"/>
    <x v="208"/>
    <s v="Sales invoice issued"/>
    <x v="273"/>
    <s v="843.0"/>
    <x v="3"/>
    <x v="2"/>
  </r>
  <r>
    <n v="1573"/>
    <x v="208"/>
    <s v="Sales invoice issued"/>
    <x v="273"/>
    <s v="63.22"/>
    <x v="4"/>
    <x v="3"/>
  </r>
  <r>
    <n v="1574"/>
    <x v="208"/>
    <s v="Sales invoice issued"/>
    <x v="779"/>
    <s v="0.0"/>
    <x v="2"/>
    <x v="0"/>
  </r>
  <r>
    <n v="1574"/>
    <x v="208"/>
    <s v="Sales invoice issued"/>
    <x v="273"/>
    <s v="1514.14"/>
    <x v="3"/>
    <x v="2"/>
  </r>
  <r>
    <n v="1574"/>
    <x v="208"/>
    <s v="Sales invoice issued"/>
    <x v="273"/>
    <s v="113.56"/>
    <x v="4"/>
    <x v="3"/>
  </r>
  <r>
    <n v="1575"/>
    <x v="208"/>
    <s v="Sales invoice issued"/>
    <x v="780"/>
    <s v="0.0"/>
    <x v="2"/>
    <x v="0"/>
  </r>
  <r>
    <n v="1575"/>
    <x v="208"/>
    <s v="Sales invoice issued"/>
    <x v="273"/>
    <s v="124.94"/>
    <x v="3"/>
    <x v="2"/>
  </r>
  <r>
    <n v="1575"/>
    <x v="208"/>
    <s v="Sales invoice issued"/>
    <x v="273"/>
    <s v="9.37"/>
    <x v="4"/>
    <x v="3"/>
  </r>
  <r>
    <n v="1576"/>
    <x v="208"/>
    <s v="Customer payment received"/>
    <x v="641"/>
    <s v="0.0"/>
    <x v="0"/>
    <x v="0"/>
  </r>
  <r>
    <n v="1576"/>
    <x v="208"/>
    <s v="Customer payment received"/>
    <x v="273"/>
    <s v="3129.81"/>
    <x v="2"/>
    <x v="0"/>
  </r>
  <r>
    <n v="1577"/>
    <x v="208"/>
    <s v="Customer payment received"/>
    <x v="753"/>
    <s v="0.0"/>
    <x v="0"/>
    <x v="0"/>
  </r>
  <r>
    <n v="1577"/>
    <x v="208"/>
    <s v="Customer payment received"/>
    <x v="273"/>
    <s v="590.71"/>
    <x v="2"/>
    <x v="0"/>
  </r>
  <r>
    <n v="1578"/>
    <x v="208"/>
    <s v="Customer payment received"/>
    <x v="772"/>
    <s v="0.0"/>
    <x v="0"/>
    <x v="0"/>
  </r>
  <r>
    <n v="1578"/>
    <x v="208"/>
    <s v="Customer payment received"/>
    <x v="273"/>
    <s v="1273.95"/>
    <x v="2"/>
    <x v="0"/>
  </r>
  <r>
    <n v="1579"/>
    <x v="208"/>
    <s v="Supplier payment made"/>
    <x v="407"/>
    <s v="0.0"/>
    <x v="11"/>
    <x v="3"/>
  </r>
  <r>
    <n v="1579"/>
    <x v="208"/>
    <s v="Supplier payment made"/>
    <x v="273"/>
    <s v="201.5"/>
    <x v="0"/>
    <x v="0"/>
  </r>
  <r>
    <n v="1580"/>
    <x v="208"/>
    <s v="Supplier payment made"/>
    <x v="309"/>
    <s v="0.0"/>
    <x v="11"/>
    <x v="3"/>
  </r>
  <r>
    <n v="1580"/>
    <x v="208"/>
    <s v="Supplier payment made"/>
    <x v="273"/>
    <s v="4812.46"/>
    <x v="0"/>
    <x v="0"/>
  </r>
  <r>
    <n v="1581"/>
    <x v="208"/>
    <s v="Supplier payment made"/>
    <x v="280"/>
    <s v="0.0"/>
    <x v="11"/>
    <x v="3"/>
  </r>
  <r>
    <n v="1581"/>
    <x v="208"/>
    <s v="Supplier payment made"/>
    <x v="273"/>
    <s v="2635.36"/>
    <x v="0"/>
    <x v="0"/>
  </r>
  <r>
    <n v="1582"/>
    <x v="209"/>
    <s v="Sales invoice issued"/>
    <x v="781"/>
    <s v="0.0"/>
    <x v="2"/>
    <x v="0"/>
  </r>
  <r>
    <n v="1582"/>
    <x v="209"/>
    <s v="Sales invoice issued"/>
    <x v="273"/>
    <s v="523.12"/>
    <x v="3"/>
    <x v="2"/>
  </r>
  <r>
    <n v="1582"/>
    <x v="209"/>
    <s v="Sales invoice issued"/>
    <x v="273"/>
    <s v="39.23"/>
    <x v="4"/>
    <x v="3"/>
  </r>
  <r>
    <n v="1583"/>
    <x v="209"/>
    <s v="Sales invoice issued"/>
    <x v="782"/>
    <s v="0.0"/>
    <x v="2"/>
    <x v="0"/>
  </r>
  <r>
    <n v="1583"/>
    <x v="209"/>
    <s v="Sales invoice issued"/>
    <x v="273"/>
    <s v="1367.14"/>
    <x v="3"/>
    <x v="2"/>
  </r>
  <r>
    <n v="1583"/>
    <x v="209"/>
    <s v="Sales invoice issued"/>
    <x v="273"/>
    <s v="102.54"/>
    <x v="4"/>
    <x v="3"/>
  </r>
  <r>
    <n v="1584"/>
    <x v="209"/>
    <s v="Sales invoice issued"/>
    <x v="783"/>
    <s v="0.0"/>
    <x v="2"/>
    <x v="0"/>
  </r>
  <r>
    <n v="1584"/>
    <x v="209"/>
    <s v="Sales invoice issued"/>
    <x v="273"/>
    <s v="1013.41"/>
    <x v="3"/>
    <x v="2"/>
  </r>
  <r>
    <n v="1584"/>
    <x v="209"/>
    <s v="Sales invoice issued"/>
    <x v="273"/>
    <s v="76.01"/>
    <x v="4"/>
    <x v="3"/>
  </r>
  <r>
    <n v="1585"/>
    <x v="209"/>
    <s v="Customer payment received"/>
    <x v="729"/>
    <s v="0.0"/>
    <x v="0"/>
    <x v="0"/>
  </r>
  <r>
    <n v="1585"/>
    <x v="209"/>
    <s v="Customer payment received"/>
    <x v="273"/>
    <s v="2640.49"/>
    <x v="2"/>
    <x v="0"/>
  </r>
  <r>
    <n v="1586"/>
    <x v="209"/>
    <s v="Customer payment received"/>
    <x v="738"/>
    <s v="0.0"/>
    <x v="0"/>
    <x v="0"/>
  </r>
  <r>
    <n v="1586"/>
    <x v="209"/>
    <s v="Customer payment received"/>
    <x v="273"/>
    <s v="1554.68"/>
    <x v="2"/>
    <x v="0"/>
  </r>
  <r>
    <n v="1587"/>
    <x v="209"/>
    <s v="Customer payment received"/>
    <x v="784"/>
    <s v="0.0"/>
    <x v="0"/>
    <x v="0"/>
  </r>
  <r>
    <n v="1587"/>
    <x v="209"/>
    <s v="Customer payment received"/>
    <x v="273"/>
    <s v="2870.22"/>
    <x v="2"/>
    <x v="0"/>
  </r>
  <r>
    <n v="1588"/>
    <x v="209"/>
    <s v="Customer payment received"/>
    <x v="777"/>
    <s v="0.0"/>
    <x v="0"/>
    <x v="0"/>
  </r>
  <r>
    <n v="1588"/>
    <x v="209"/>
    <s v="Customer payment received"/>
    <x v="273"/>
    <s v="1093.3"/>
    <x v="2"/>
    <x v="0"/>
  </r>
  <r>
    <n v="1589"/>
    <x v="209"/>
    <s v="Customer payment received"/>
    <x v="780"/>
    <s v="0.0"/>
    <x v="0"/>
    <x v="0"/>
  </r>
  <r>
    <n v="1589"/>
    <x v="209"/>
    <s v="Customer payment received"/>
    <x v="273"/>
    <s v="134.31"/>
    <x v="2"/>
    <x v="0"/>
  </r>
  <r>
    <n v="1590"/>
    <x v="209"/>
    <s v="Supplier invoice received"/>
    <x v="441"/>
    <s v="0.0"/>
    <x v="9"/>
    <x v="4"/>
  </r>
  <r>
    <n v="1590"/>
    <x v="209"/>
    <s v="Supplier invoice received"/>
    <x v="442"/>
    <s v="0.0"/>
    <x v="10"/>
    <x v="0"/>
  </r>
  <r>
    <n v="1590"/>
    <x v="209"/>
    <s v="Supplier invoice received"/>
    <x v="273"/>
    <s v="179.01"/>
    <x v="11"/>
    <x v="3"/>
  </r>
  <r>
    <n v="1591"/>
    <x v="209"/>
    <s v="Supplier invoice received"/>
    <x v="305"/>
    <s v="0.0"/>
    <x v="9"/>
    <x v="4"/>
  </r>
  <r>
    <n v="1591"/>
    <x v="209"/>
    <s v="Supplier invoice received"/>
    <x v="306"/>
    <s v="0.0"/>
    <x v="10"/>
    <x v="0"/>
  </r>
  <r>
    <n v="1591"/>
    <x v="209"/>
    <s v="Supplier invoice received"/>
    <x v="273"/>
    <s v="276.32"/>
    <x v="11"/>
    <x v="3"/>
  </r>
  <r>
    <n v="1592"/>
    <x v="209"/>
    <s v="Supplier payment made"/>
    <x v="336"/>
    <s v="0.0"/>
    <x v="11"/>
    <x v="3"/>
  </r>
  <r>
    <n v="1592"/>
    <x v="209"/>
    <s v="Supplier payment made"/>
    <x v="273"/>
    <s v="2093.28"/>
    <x v="0"/>
    <x v="0"/>
  </r>
  <r>
    <n v="1593"/>
    <x v="209"/>
    <s v="Supplier payment made"/>
    <x v="393"/>
    <s v="0.0"/>
    <x v="11"/>
    <x v="3"/>
  </r>
  <r>
    <n v="1593"/>
    <x v="209"/>
    <s v="Supplier payment made"/>
    <x v="273"/>
    <s v="412.54"/>
    <x v="0"/>
    <x v="0"/>
  </r>
  <r>
    <n v="1594"/>
    <x v="210"/>
    <s v="Sales invoice issued"/>
    <x v="785"/>
    <s v="0.0"/>
    <x v="2"/>
    <x v="0"/>
  </r>
  <r>
    <n v="1594"/>
    <x v="210"/>
    <s v="Sales invoice issued"/>
    <x v="273"/>
    <s v="2107.97"/>
    <x v="3"/>
    <x v="2"/>
  </r>
  <r>
    <n v="1594"/>
    <x v="210"/>
    <s v="Sales invoice issued"/>
    <x v="273"/>
    <s v="158.09"/>
    <x v="4"/>
    <x v="3"/>
  </r>
  <r>
    <n v="1595"/>
    <x v="210"/>
    <s v="Sales invoice issued"/>
    <x v="786"/>
    <s v="0.0"/>
    <x v="2"/>
    <x v="0"/>
  </r>
  <r>
    <n v="1595"/>
    <x v="210"/>
    <s v="Sales invoice issued"/>
    <x v="273"/>
    <s v="2274.0"/>
    <x v="3"/>
    <x v="2"/>
  </r>
  <r>
    <n v="1595"/>
    <x v="210"/>
    <s v="Sales invoice issued"/>
    <x v="273"/>
    <s v="170.55"/>
    <x v="4"/>
    <x v="3"/>
  </r>
  <r>
    <n v="1596"/>
    <x v="210"/>
    <s v="Sales invoice issued"/>
    <x v="787"/>
    <s v="0.0"/>
    <x v="2"/>
    <x v="0"/>
  </r>
  <r>
    <n v="1596"/>
    <x v="210"/>
    <s v="Sales invoice issued"/>
    <x v="273"/>
    <s v="1526.33"/>
    <x v="3"/>
    <x v="2"/>
  </r>
  <r>
    <n v="1596"/>
    <x v="210"/>
    <s v="Sales invoice issued"/>
    <x v="273"/>
    <s v="114.46"/>
    <x v="4"/>
    <x v="3"/>
  </r>
  <r>
    <n v="1597"/>
    <x v="210"/>
    <s v="Customer payment received"/>
    <x v="642"/>
    <s v="0.0"/>
    <x v="0"/>
    <x v="0"/>
  </r>
  <r>
    <n v="1597"/>
    <x v="210"/>
    <s v="Customer payment received"/>
    <x v="273"/>
    <s v="1520.17"/>
    <x v="2"/>
    <x v="0"/>
  </r>
  <r>
    <n v="1598"/>
    <x v="210"/>
    <s v="Customer payment received"/>
    <x v="702"/>
    <s v="0.0"/>
    <x v="0"/>
    <x v="0"/>
  </r>
  <r>
    <n v="1598"/>
    <x v="210"/>
    <s v="Customer payment received"/>
    <x v="273"/>
    <s v="4411.52"/>
    <x v="2"/>
    <x v="0"/>
  </r>
  <r>
    <n v="1599"/>
    <x v="210"/>
    <s v="Customer payment received"/>
    <x v="714"/>
    <s v="0.0"/>
    <x v="0"/>
    <x v="0"/>
  </r>
  <r>
    <n v="1599"/>
    <x v="210"/>
    <s v="Customer payment received"/>
    <x v="273"/>
    <s v="3621.9"/>
    <x v="2"/>
    <x v="0"/>
  </r>
  <r>
    <n v="1600"/>
    <x v="210"/>
    <s v="Supplier invoice received"/>
    <x v="374"/>
    <s v="0.0"/>
    <x v="9"/>
    <x v="4"/>
  </r>
  <r>
    <n v="1600"/>
    <x v="210"/>
    <s v="Supplier invoice received"/>
    <x v="375"/>
    <s v="0.0"/>
    <x v="10"/>
    <x v="0"/>
  </r>
  <r>
    <n v="1600"/>
    <x v="210"/>
    <s v="Supplier invoice received"/>
    <x v="273"/>
    <s v="2504.23"/>
    <x v="11"/>
    <x v="3"/>
  </r>
  <r>
    <n v="1601"/>
    <x v="211"/>
    <s v="Sales invoice issued"/>
    <x v="788"/>
    <s v="0.0"/>
    <x v="2"/>
    <x v="0"/>
  </r>
  <r>
    <n v="1601"/>
    <x v="211"/>
    <s v="Sales invoice issued"/>
    <x v="273"/>
    <s v="735.3"/>
    <x v="3"/>
    <x v="2"/>
  </r>
  <r>
    <n v="1601"/>
    <x v="211"/>
    <s v="Sales invoice issued"/>
    <x v="273"/>
    <s v="55.15"/>
    <x v="4"/>
    <x v="3"/>
  </r>
  <r>
    <n v="1602"/>
    <x v="211"/>
    <s v="Sales invoice issued"/>
    <x v="789"/>
    <s v="0.0"/>
    <x v="2"/>
    <x v="0"/>
  </r>
  <r>
    <n v="1602"/>
    <x v="211"/>
    <s v="Sales invoice issued"/>
    <x v="273"/>
    <s v="3214.63"/>
    <x v="3"/>
    <x v="2"/>
  </r>
  <r>
    <n v="1602"/>
    <x v="211"/>
    <s v="Sales invoice issued"/>
    <x v="273"/>
    <s v="241.1"/>
    <x v="4"/>
    <x v="3"/>
  </r>
  <r>
    <n v="1603"/>
    <x v="211"/>
    <s v="Sales invoice issued"/>
    <x v="790"/>
    <s v="0.0"/>
    <x v="2"/>
    <x v="0"/>
  </r>
  <r>
    <n v="1603"/>
    <x v="211"/>
    <s v="Sales invoice issued"/>
    <x v="273"/>
    <s v="1945.58"/>
    <x v="3"/>
    <x v="2"/>
  </r>
  <r>
    <n v="1603"/>
    <x v="211"/>
    <s v="Sales invoice issued"/>
    <x v="273"/>
    <s v="145.91"/>
    <x v="4"/>
    <x v="3"/>
  </r>
  <r>
    <n v="1604"/>
    <x v="211"/>
    <s v="Sales invoice issued"/>
    <x v="791"/>
    <s v="0.0"/>
    <x v="2"/>
    <x v="0"/>
  </r>
  <r>
    <n v="1604"/>
    <x v="211"/>
    <s v="Sales invoice issued"/>
    <x v="273"/>
    <s v="2192.08"/>
    <x v="3"/>
    <x v="2"/>
  </r>
  <r>
    <n v="1604"/>
    <x v="211"/>
    <s v="Sales invoice issued"/>
    <x v="273"/>
    <s v="164.4"/>
    <x v="4"/>
    <x v="3"/>
  </r>
  <r>
    <n v="1605"/>
    <x v="211"/>
    <s v="Sales invoice issued"/>
    <x v="792"/>
    <s v="0.0"/>
    <x v="2"/>
    <x v="0"/>
  </r>
  <r>
    <n v="1605"/>
    <x v="211"/>
    <s v="Sales invoice issued"/>
    <x v="273"/>
    <s v="1479.07"/>
    <x v="3"/>
    <x v="2"/>
  </r>
  <r>
    <n v="1605"/>
    <x v="211"/>
    <s v="Sales invoice issued"/>
    <x v="273"/>
    <s v="110.93"/>
    <x v="4"/>
    <x v="3"/>
  </r>
  <r>
    <n v="1606"/>
    <x v="211"/>
    <s v="Sales invoice issued"/>
    <x v="793"/>
    <s v="0.0"/>
    <x v="2"/>
    <x v="0"/>
  </r>
  <r>
    <n v="1606"/>
    <x v="211"/>
    <s v="Sales invoice issued"/>
    <x v="273"/>
    <s v="2014.11"/>
    <x v="3"/>
    <x v="2"/>
  </r>
  <r>
    <n v="1606"/>
    <x v="211"/>
    <s v="Sales invoice issued"/>
    <x v="273"/>
    <s v="151.06"/>
    <x v="4"/>
    <x v="3"/>
  </r>
  <r>
    <n v="1607"/>
    <x v="211"/>
    <s v="Customer payment received"/>
    <x v="713"/>
    <s v="0.0"/>
    <x v="0"/>
    <x v="0"/>
  </r>
  <r>
    <n v="1607"/>
    <x v="211"/>
    <s v="Customer payment received"/>
    <x v="273"/>
    <s v="1012.89"/>
    <x v="2"/>
    <x v="0"/>
  </r>
  <r>
    <n v="1608"/>
    <x v="211"/>
    <s v="Customer payment received"/>
    <x v="725"/>
    <s v="0.0"/>
    <x v="0"/>
    <x v="0"/>
  </r>
  <r>
    <n v="1608"/>
    <x v="211"/>
    <s v="Customer payment received"/>
    <x v="273"/>
    <s v="4575.89"/>
    <x v="2"/>
    <x v="0"/>
  </r>
  <r>
    <n v="1609"/>
    <x v="211"/>
    <s v="Customer payment received"/>
    <x v="736"/>
    <s v="0.0"/>
    <x v="0"/>
    <x v="0"/>
  </r>
  <r>
    <n v="1609"/>
    <x v="211"/>
    <s v="Customer payment received"/>
    <x v="273"/>
    <s v="494.77"/>
    <x v="2"/>
    <x v="0"/>
  </r>
  <r>
    <n v="1610"/>
    <x v="211"/>
    <s v="Customer payment received"/>
    <x v="752"/>
    <s v="0.0"/>
    <x v="0"/>
    <x v="0"/>
  </r>
  <r>
    <n v="1610"/>
    <x v="211"/>
    <s v="Customer payment received"/>
    <x v="273"/>
    <s v="3668.09"/>
    <x v="2"/>
    <x v="0"/>
  </r>
  <r>
    <n v="1611"/>
    <x v="211"/>
    <s v="Customer payment received"/>
    <x v="760"/>
    <s v="0.0"/>
    <x v="0"/>
    <x v="0"/>
  </r>
  <r>
    <n v="1611"/>
    <x v="211"/>
    <s v="Customer payment received"/>
    <x v="273"/>
    <s v="1849.62"/>
    <x v="2"/>
    <x v="0"/>
  </r>
  <r>
    <n v="1612"/>
    <x v="211"/>
    <s v="Supplier invoice received"/>
    <x v="332"/>
    <s v="0.0"/>
    <x v="9"/>
    <x v="4"/>
  </r>
  <r>
    <n v="1612"/>
    <x v="211"/>
    <s v="Supplier invoice received"/>
    <x v="333"/>
    <s v="0.0"/>
    <x v="10"/>
    <x v="0"/>
  </r>
  <r>
    <n v="1612"/>
    <x v="211"/>
    <s v="Supplier invoice received"/>
    <x v="273"/>
    <s v="1023.42"/>
    <x v="11"/>
    <x v="3"/>
  </r>
  <r>
    <n v="1613"/>
    <x v="211"/>
    <s v="Supplier payment made"/>
    <x v="318"/>
    <s v="0.0"/>
    <x v="11"/>
    <x v="3"/>
  </r>
  <r>
    <n v="1613"/>
    <x v="211"/>
    <s v="Supplier payment made"/>
    <x v="273"/>
    <s v="2504.23"/>
    <x v="0"/>
    <x v="0"/>
  </r>
  <r>
    <n v="1614"/>
    <x v="212"/>
    <s v="Sales invoice issued"/>
    <x v="794"/>
    <s v="0.0"/>
    <x v="2"/>
    <x v="0"/>
  </r>
  <r>
    <n v="1614"/>
    <x v="212"/>
    <s v="Sales invoice issued"/>
    <x v="273"/>
    <s v="3269.37"/>
    <x v="3"/>
    <x v="2"/>
  </r>
  <r>
    <n v="1614"/>
    <x v="212"/>
    <s v="Sales invoice issued"/>
    <x v="273"/>
    <s v="245.21"/>
    <x v="4"/>
    <x v="3"/>
  </r>
  <r>
    <n v="1615"/>
    <x v="212"/>
    <s v="Customer payment received"/>
    <x v="709"/>
    <s v="0.0"/>
    <x v="0"/>
    <x v="0"/>
  </r>
  <r>
    <n v="1615"/>
    <x v="212"/>
    <s v="Customer payment received"/>
    <x v="273"/>
    <s v="367.53"/>
    <x v="2"/>
    <x v="0"/>
  </r>
  <r>
    <n v="1616"/>
    <x v="212"/>
    <s v="Customer payment received"/>
    <x v="722"/>
    <s v="0.0"/>
    <x v="0"/>
    <x v="0"/>
  </r>
  <r>
    <n v="1616"/>
    <x v="212"/>
    <s v="Customer payment received"/>
    <x v="273"/>
    <s v="582.83"/>
    <x v="2"/>
    <x v="0"/>
  </r>
  <r>
    <n v="1617"/>
    <x v="212"/>
    <s v="Customer payment received"/>
    <x v="759"/>
    <s v="0.0"/>
    <x v="0"/>
    <x v="0"/>
  </r>
  <r>
    <n v="1617"/>
    <x v="212"/>
    <s v="Customer payment received"/>
    <x v="273"/>
    <s v="2837.21"/>
    <x v="2"/>
    <x v="0"/>
  </r>
  <r>
    <n v="1618"/>
    <x v="212"/>
    <s v="Supplier invoice received"/>
    <x v="303"/>
    <s v="0.0"/>
    <x v="9"/>
    <x v="4"/>
  </r>
  <r>
    <n v="1618"/>
    <x v="212"/>
    <s v="Supplier invoice received"/>
    <x v="304"/>
    <s v="0.0"/>
    <x v="10"/>
    <x v="0"/>
  </r>
  <r>
    <n v="1618"/>
    <x v="212"/>
    <s v="Supplier invoice received"/>
    <x v="273"/>
    <s v="550.4"/>
    <x v="11"/>
    <x v="3"/>
  </r>
  <r>
    <n v="1619"/>
    <x v="212"/>
    <s v="Supplier invoice received"/>
    <x v="372"/>
    <s v="0.0"/>
    <x v="9"/>
    <x v="4"/>
  </r>
  <r>
    <n v="1619"/>
    <x v="212"/>
    <s v="Supplier invoice received"/>
    <x v="373"/>
    <s v="0.0"/>
    <x v="10"/>
    <x v="0"/>
  </r>
  <r>
    <n v="1619"/>
    <x v="212"/>
    <s v="Supplier invoice received"/>
    <x v="273"/>
    <s v="412.54"/>
    <x v="11"/>
    <x v="3"/>
  </r>
  <r>
    <n v="1620"/>
    <x v="212"/>
    <s v="Supplier invoice received"/>
    <x v="448"/>
    <s v="0.0"/>
    <x v="9"/>
    <x v="4"/>
  </r>
  <r>
    <n v="1620"/>
    <x v="212"/>
    <s v="Supplier invoice received"/>
    <x v="449"/>
    <s v="0.0"/>
    <x v="10"/>
    <x v="0"/>
  </r>
  <r>
    <n v="1620"/>
    <x v="212"/>
    <s v="Supplier invoice received"/>
    <x v="273"/>
    <s v="7227.44"/>
    <x v="11"/>
    <x v="3"/>
  </r>
  <r>
    <n v="1621"/>
    <x v="212"/>
    <s v="Supplier invoice received"/>
    <x v="325"/>
    <s v="0.0"/>
    <x v="9"/>
    <x v="4"/>
  </r>
  <r>
    <n v="1621"/>
    <x v="212"/>
    <s v="Supplier invoice received"/>
    <x v="326"/>
    <s v="0.0"/>
    <x v="10"/>
    <x v="0"/>
  </r>
  <r>
    <n v="1621"/>
    <x v="212"/>
    <s v="Supplier invoice received"/>
    <x v="273"/>
    <s v="1304.62"/>
    <x v="11"/>
    <x v="3"/>
  </r>
  <r>
    <n v="1622"/>
    <x v="212"/>
    <s v="Supplier invoice received"/>
    <x v="474"/>
    <s v="0.0"/>
    <x v="9"/>
    <x v="4"/>
  </r>
  <r>
    <n v="1622"/>
    <x v="212"/>
    <s v="Supplier invoice received"/>
    <x v="475"/>
    <s v="0.0"/>
    <x v="10"/>
    <x v="0"/>
  </r>
  <r>
    <n v="1622"/>
    <x v="212"/>
    <s v="Supplier invoice received"/>
    <x v="273"/>
    <s v="862.91"/>
    <x v="11"/>
    <x v="3"/>
  </r>
  <r>
    <n v="1623"/>
    <x v="212"/>
    <s v="Supplier invoice received"/>
    <x v="301"/>
    <s v="0.0"/>
    <x v="9"/>
    <x v="4"/>
  </r>
  <r>
    <n v="1623"/>
    <x v="212"/>
    <s v="Supplier invoice received"/>
    <x v="302"/>
    <s v="0.0"/>
    <x v="10"/>
    <x v="0"/>
  </r>
  <r>
    <n v="1623"/>
    <x v="212"/>
    <s v="Supplier invoice received"/>
    <x v="273"/>
    <s v="4812.46"/>
    <x v="11"/>
    <x v="3"/>
  </r>
  <r>
    <n v="1624"/>
    <x v="212"/>
    <s v="Supplier payment made"/>
    <x v="334"/>
    <s v="0.0"/>
    <x v="11"/>
    <x v="3"/>
  </r>
  <r>
    <n v="1624"/>
    <x v="212"/>
    <s v="Supplier payment made"/>
    <x v="273"/>
    <s v="3528.97"/>
    <x v="0"/>
    <x v="0"/>
  </r>
  <r>
    <n v="1625"/>
    <x v="212"/>
    <s v="Supplier payment made"/>
    <x v="466"/>
    <s v="0.0"/>
    <x v="11"/>
    <x v="3"/>
  </r>
  <r>
    <n v="1625"/>
    <x v="212"/>
    <s v="Supplier payment made"/>
    <x v="273"/>
    <s v="748.26"/>
    <x v="0"/>
    <x v="0"/>
  </r>
  <r>
    <n v="1626"/>
    <x v="213"/>
    <s v="Sales invoice issued"/>
    <x v="795"/>
    <s v="0.0"/>
    <x v="2"/>
    <x v="0"/>
  </r>
  <r>
    <n v="1626"/>
    <x v="213"/>
    <s v="Sales invoice issued"/>
    <x v="273"/>
    <s v="1683.67"/>
    <x v="3"/>
    <x v="2"/>
  </r>
  <r>
    <n v="1626"/>
    <x v="213"/>
    <s v="Sales invoice issued"/>
    <x v="273"/>
    <s v="126.28"/>
    <x v="4"/>
    <x v="3"/>
  </r>
  <r>
    <n v="1627"/>
    <x v="213"/>
    <s v="Sales invoice issued"/>
    <x v="796"/>
    <s v="0.0"/>
    <x v="2"/>
    <x v="0"/>
  </r>
  <r>
    <n v="1627"/>
    <x v="213"/>
    <s v="Sales invoice issued"/>
    <x v="273"/>
    <s v="3183.96"/>
    <x v="3"/>
    <x v="2"/>
  </r>
  <r>
    <n v="1627"/>
    <x v="213"/>
    <s v="Sales invoice issued"/>
    <x v="273"/>
    <s v="238.8"/>
    <x v="4"/>
    <x v="3"/>
  </r>
  <r>
    <n v="1628"/>
    <x v="213"/>
    <s v="Sales invoice issued"/>
    <x v="797"/>
    <s v="0.0"/>
    <x v="2"/>
    <x v="0"/>
  </r>
  <r>
    <n v="1628"/>
    <x v="213"/>
    <s v="Sales invoice issued"/>
    <x v="273"/>
    <s v="1271.53"/>
    <x v="3"/>
    <x v="2"/>
  </r>
  <r>
    <n v="1628"/>
    <x v="213"/>
    <s v="Sales invoice issued"/>
    <x v="273"/>
    <s v="95.36"/>
    <x v="4"/>
    <x v="3"/>
  </r>
  <r>
    <n v="1629"/>
    <x v="213"/>
    <s v="Sales invoice issued"/>
    <x v="798"/>
    <s v="0.0"/>
    <x v="2"/>
    <x v="0"/>
  </r>
  <r>
    <n v="1629"/>
    <x v="213"/>
    <s v="Sales invoice issued"/>
    <x v="273"/>
    <s v="3150.29"/>
    <x v="3"/>
    <x v="2"/>
  </r>
  <r>
    <n v="1629"/>
    <x v="213"/>
    <s v="Sales invoice issued"/>
    <x v="273"/>
    <s v="236.28"/>
    <x v="4"/>
    <x v="3"/>
  </r>
  <r>
    <n v="1630"/>
    <x v="213"/>
    <s v="Sales invoice issued"/>
    <x v="799"/>
    <s v="0.0"/>
    <x v="2"/>
    <x v="0"/>
  </r>
  <r>
    <n v="1630"/>
    <x v="213"/>
    <s v="Sales invoice issued"/>
    <x v="273"/>
    <s v="748.01"/>
    <x v="3"/>
    <x v="2"/>
  </r>
  <r>
    <n v="1630"/>
    <x v="213"/>
    <s v="Sales invoice issued"/>
    <x v="273"/>
    <s v="56.1"/>
    <x v="4"/>
    <x v="3"/>
  </r>
  <r>
    <n v="1631"/>
    <x v="213"/>
    <s v="Sales invoice issued"/>
    <x v="800"/>
    <s v="0.0"/>
    <x v="2"/>
    <x v="0"/>
  </r>
  <r>
    <n v="1631"/>
    <x v="213"/>
    <s v="Sales invoice issued"/>
    <x v="273"/>
    <s v="542.12"/>
    <x v="3"/>
    <x v="2"/>
  </r>
  <r>
    <n v="1631"/>
    <x v="213"/>
    <s v="Sales invoice issued"/>
    <x v="273"/>
    <s v="40.65"/>
    <x v="4"/>
    <x v="3"/>
  </r>
  <r>
    <n v="1632"/>
    <x v="213"/>
    <s v="Customer payment received"/>
    <x v="776"/>
    <s v="0.0"/>
    <x v="0"/>
    <x v="0"/>
  </r>
  <r>
    <n v="1632"/>
    <x v="213"/>
    <s v="Customer payment received"/>
    <x v="273"/>
    <s v="1288.72"/>
    <x v="2"/>
    <x v="0"/>
  </r>
  <r>
    <n v="1633"/>
    <x v="213"/>
    <s v="Customer payment received"/>
    <x v="785"/>
    <s v="0.0"/>
    <x v="0"/>
    <x v="0"/>
  </r>
  <r>
    <n v="1633"/>
    <x v="213"/>
    <s v="Customer payment received"/>
    <x v="273"/>
    <s v="2266.06"/>
    <x v="2"/>
    <x v="0"/>
  </r>
  <r>
    <n v="1634"/>
    <x v="213"/>
    <s v="Customer payment received"/>
    <x v="796"/>
    <s v="0.0"/>
    <x v="0"/>
    <x v="0"/>
  </r>
  <r>
    <n v="1634"/>
    <x v="213"/>
    <s v="Customer payment received"/>
    <x v="273"/>
    <s v="3422.76"/>
    <x v="2"/>
    <x v="0"/>
  </r>
  <r>
    <n v="1635"/>
    <x v="213"/>
    <s v="Supplier invoice received"/>
    <x v="441"/>
    <s v="0.0"/>
    <x v="9"/>
    <x v="4"/>
  </r>
  <r>
    <n v="1635"/>
    <x v="213"/>
    <s v="Supplier invoice received"/>
    <x v="442"/>
    <s v="0.0"/>
    <x v="10"/>
    <x v="0"/>
  </r>
  <r>
    <n v="1635"/>
    <x v="213"/>
    <s v="Supplier invoice received"/>
    <x v="273"/>
    <s v="179.01"/>
    <x v="11"/>
    <x v="3"/>
  </r>
  <r>
    <n v="1636"/>
    <x v="213"/>
    <s v="Supplier payment made"/>
    <x v="340"/>
    <s v="0.0"/>
    <x v="11"/>
    <x v="3"/>
  </r>
  <r>
    <n v="1636"/>
    <x v="213"/>
    <s v="Supplier payment made"/>
    <x v="273"/>
    <s v="1304.62"/>
    <x v="0"/>
    <x v="0"/>
  </r>
  <r>
    <n v="1637"/>
    <x v="214"/>
    <s v="Sales invoice issued"/>
    <x v="801"/>
    <s v="0.0"/>
    <x v="2"/>
    <x v="0"/>
  </r>
  <r>
    <n v="1637"/>
    <x v="214"/>
    <s v="Sales invoice issued"/>
    <x v="273"/>
    <s v="2747.53"/>
    <x v="3"/>
    <x v="2"/>
  </r>
  <r>
    <n v="1637"/>
    <x v="214"/>
    <s v="Sales invoice issued"/>
    <x v="273"/>
    <s v="206.06"/>
    <x v="4"/>
    <x v="3"/>
  </r>
  <r>
    <n v="1638"/>
    <x v="214"/>
    <s v="Sales invoice issued"/>
    <x v="802"/>
    <s v="0.0"/>
    <x v="2"/>
    <x v="0"/>
  </r>
  <r>
    <n v="1638"/>
    <x v="214"/>
    <s v="Sales invoice issued"/>
    <x v="273"/>
    <s v="5063.9"/>
    <x v="3"/>
    <x v="2"/>
  </r>
  <r>
    <n v="1638"/>
    <x v="214"/>
    <s v="Sales invoice issued"/>
    <x v="273"/>
    <s v="379.8"/>
    <x v="4"/>
    <x v="3"/>
  </r>
  <r>
    <n v="1639"/>
    <x v="214"/>
    <s v="Sales invoice issued"/>
    <x v="803"/>
    <s v="0.0"/>
    <x v="2"/>
    <x v="0"/>
  </r>
  <r>
    <n v="1639"/>
    <x v="214"/>
    <s v="Sales invoice issued"/>
    <x v="273"/>
    <s v="806.48"/>
    <x v="3"/>
    <x v="2"/>
  </r>
  <r>
    <n v="1639"/>
    <x v="214"/>
    <s v="Sales invoice issued"/>
    <x v="273"/>
    <s v="60.49"/>
    <x v="4"/>
    <x v="3"/>
  </r>
  <r>
    <n v="1640"/>
    <x v="214"/>
    <s v="Customer payment received"/>
    <x v="657"/>
    <s v="0.0"/>
    <x v="0"/>
    <x v="0"/>
  </r>
  <r>
    <n v="1640"/>
    <x v="214"/>
    <s v="Customer payment received"/>
    <x v="273"/>
    <s v="42.09"/>
    <x v="2"/>
    <x v="0"/>
  </r>
  <r>
    <n v="1641"/>
    <x v="214"/>
    <s v="Customer payment received"/>
    <x v="798"/>
    <s v="0.0"/>
    <x v="0"/>
    <x v="0"/>
  </r>
  <r>
    <n v="1641"/>
    <x v="214"/>
    <s v="Customer payment received"/>
    <x v="273"/>
    <s v="3386.57"/>
    <x v="2"/>
    <x v="0"/>
  </r>
  <r>
    <n v="1642"/>
    <x v="214"/>
    <s v="Supplier payment made"/>
    <x v="318"/>
    <s v="0.0"/>
    <x v="11"/>
    <x v="3"/>
  </r>
  <r>
    <n v="1642"/>
    <x v="214"/>
    <s v="Supplier payment made"/>
    <x v="273"/>
    <s v="2504.23"/>
    <x v="0"/>
    <x v="0"/>
  </r>
  <r>
    <n v="1643"/>
    <x v="214"/>
    <s v="Supplier payment made"/>
    <x v="335"/>
    <s v="0.0"/>
    <x v="11"/>
    <x v="3"/>
  </r>
  <r>
    <n v="1643"/>
    <x v="214"/>
    <s v="Supplier payment made"/>
    <x v="273"/>
    <s v="550.4"/>
    <x v="0"/>
    <x v="0"/>
  </r>
  <r>
    <n v="1644"/>
    <x v="214"/>
    <s v="Supplier payment made"/>
    <x v="351"/>
    <s v="0.0"/>
    <x v="11"/>
    <x v="3"/>
  </r>
  <r>
    <n v="1644"/>
    <x v="214"/>
    <s v="Supplier payment made"/>
    <x v="273"/>
    <s v="179.01"/>
    <x v="0"/>
    <x v="0"/>
  </r>
  <r>
    <n v="1645"/>
    <x v="215"/>
    <s v="Payroll processed"/>
    <x v="804"/>
    <s v="0.0"/>
    <x v="5"/>
    <x v="4"/>
  </r>
  <r>
    <n v="1645"/>
    <x v="215"/>
    <s v="Payroll processed"/>
    <x v="805"/>
    <s v="0.0"/>
    <x v="6"/>
    <x v="4"/>
  </r>
  <r>
    <n v="1645"/>
    <x v="215"/>
    <s v="Payroll processed"/>
    <x v="273"/>
    <s v="18185.67"/>
    <x v="0"/>
    <x v="0"/>
  </r>
  <r>
    <n v="1645"/>
    <x v="215"/>
    <s v="Payroll processed"/>
    <x v="273"/>
    <s v="4069.27"/>
    <x v="7"/>
    <x v="3"/>
  </r>
  <r>
    <n v="1645"/>
    <x v="215"/>
    <s v="Payroll processed"/>
    <x v="273"/>
    <s v="890.2"/>
    <x v="8"/>
    <x v="3"/>
  </r>
  <r>
    <n v="1646"/>
    <x v="215"/>
    <s v="Sales invoice issued"/>
    <x v="806"/>
    <s v="0.0"/>
    <x v="2"/>
    <x v="0"/>
  </r>
  <r>
    <n v="1646"/>
    <x v="215"/>
    <s v="Sales invoice issued"/>
    <x v="273"/>
    <s v="3944.77"/>
    <x v="3"/>
    <x v="2"/>
  </r>
  <r>
    <n v="1646"/>
    <x v="215"/>
    <s v="Sales invoice issued"/>
    <x v="273"/>
    <s v="295.86"/>
    <x v="4"/>
    <x v="3"/>
  </r>
  <r>
    <n v="1647"/>
    <x v="215"/>
    <s v="Sales invoice issued"/>
    <x v="807"/>
    <s v="0.0"/>
    <x v="2"/>
    <x v="0"/>
  </r>
  <r>
    <n v="1647"/>
    <x v="215"/>
    <s v="Sales invoice issued"/>
    <x v="273"/>
    <s v="1993.96"/>
    <x v="3"/>
    <x v="2"/>
  </r>
  <r>
    <n v="1647"/>
    <x v="215"/>
    <s v="Sales invoice issued"/>
    <x v="273"/>
    <s v="149.54"/>
    <x v="4"/>
    <x v="3"/>
  </r>
  <r>
    <n v="1648"/>
    <x v="215"/>
    <s v="Sales invoice issued"/>
    <x v="808"/>
    <s v="0.0"/>
    <x v="2"/>
    <x v="0"/>
  </r>
  <r>
    <n v="1648"/>
    <x v="215"/>
    <s v="Sales invoice issued"/>
    <x v="273"/>
    <s v="2225.23"/>
    <x v="3"/>
    <x v="2"/>
  </r>
  <r>
    <n v="1648"/>
    <x v="215"/>
    <s v="Sales invoice issued"/>
    <x v="273"/>
    <s v="166.9"/>
    <x v="4"/>
    <x v="3"/>
  </r>
  <r>
    <n v="1649"/>
    <x v="215"/>
    <s v="Sales invoice issued"/>
    <x v="809"/>
    <s v="0.0"/>
    <x v="2"/>
    <x v="0"/>
  </r>
  <r>
    <n v="1649"/>
    <x v="215"/>
    <s v="Sales invoice issued"/>
    <x v="273"/>
    <s v="65.78"/>
    <x v="3"/>
    <x v="2"/>
  </r>
  <r>
    <n v="1649"/>
    <x v="215"/>
    <s v="Sales invoice issued"/>
    <x v="273"/>
    <s v="4.93"/>
    <x v="4"/>
    <x v="3"/>
  </r>
  <r>
    <n v="1650"/>
    <x v="215"/>
    <s v="Sales invoice issued"/>
    <x v="810"/>
    <s v="0.0"/>
    <x v="2"/>
    <x v="0"/>
  </r>
  <r>
    <n v="1650"/>
    <x v="215"/>
    <s v="Sales invoice issued"/>
    <x v="273"/>
    <s v="1490.96"/>
    <x v="3"/>
    <x v="2"/>
  </r>
  <r>
    <n v="1650"/>
    <x v="215"/>
    <s v="Sales invoice issued"/>
    <x v="273"/>
    <s v="111.83"/>
    <x v="4"/>
    <x v="3"/>
  </r>
  <r>
    <n v="1651"/>
    <x v="215"/>
    <s v="Sales invoice issued"/>
    <x v="811"/>
    <s v="0.0"/>
    <x v="2"/>
    <x v="0"/>
  </r>
  <r>
    <n v="1651"/>
    <x v="215"/>
    <s v="Sales invoice issued"/>
    <x v="273"/>
    <s v="3347.23"/>
    <x v="3"/>
    <x v="2"/>
  </r>
  <r>
    <n v="1651"/>
    <x v="215"/>
    <s v="Sales invoice issued"/>
    <x v="273"/>
    <s v="251.05"/>
    <x v="4"/>
    <x v="3"/>
  </r>
  <r>
    <n v="1652"/>
    <x v="215"/>
    <s v="Sales invoice issued"/>
    <x v="812"/>
    <s v="0.0"/>
    <x v="2"/>
    <x v="0"/>
  </r>
  <r>
    <n v="1652"/>
    <x v="215"/>
    <s v="Sales invoice issued"/>
    <x v="273"/>
    <s v="3513.45"/>
    <x v="3"/>
    <x v="2"/>
  </r>
  <r>
    <n v="1652"/>
    <x v="215"/>
    <s v="Sales invoice issued"/>
    <x v="273"/>
    <s v="263.52"/>
    <x v="4"/>
    <x v="3"/>
  </r>
  <r>
    <n v="1653"/>
    <x v="215"/>
    <s v="Sales invoice issued"/>
    <x v="813"/>
    <s v="0.0"/>
    <x v="2"/>
    <x v="0"/>
  </r>
  <r>
    <n v="1653"/>
    <x v="215"/>
    <s v="Sales invoice issued"/>
    <x v="273"/>
    <s v="241.57"/>
    <x v="3"/>
    <x v="2"/>
  </r>
  <r>
    <n v="1653"/>
    <x v="215"/>
    <s v="Sales invoice issued"/>
    <x v="273"/>
    <s v="18.12"/>
    <x v="4"/>
    <x v="3"/>
  </r>
  <r>
    <n v="1654"/>
    <x v="215"/>
    <s v="Sales invoice issued"/>
    <x v="814"/>
    <s v="0.0"/>
    <x v="2"/>
    <x v="0"/>
  </r>
  <r>
    <n v="1654"/>
    <x v="215"/>
    <s v="Sales invoice issued"/>
    <x v="273"/>
    <s v="171.33"/>
    <x v="3"/>
    <x v="2"/>
  </r>
  <r>
    <n v="1654"/>
    <x v="215"/>
    <s v="Sales invoice issued"/>
    <x v="273"/>
    <s v="12.84"/>
    <x v="4"/>
    <x v="3"/>
  </r>
  <r>
    <n v="1655"/>
    <x v="215"/>
    <s v="Sales invoice issued"/>
    <x v="815"/>
    <s v="0.0"/>
    <x v="2"/>
    <x v="0"/>
  </r>
  <r>
    <n v="1655"/>
    <x v="215"/>
    <s v="Sales invoice issued"/>
    <x v="273"/>
    <s v="3631.95"/>
    <x v="3"/>
    <x v="2"/>
  </r>
  <r>
    <n v="1655"/>
    <x v="215"/>
    <s v="Sales invoice issued"/>
    <x v="273"/>
    <s v="272.39"/>
    <x v="4"/>
    <x v="3"/>
  </r>
  <r>
    <n v="1656"/>
    <x v="215"/>
    <s v="Customer payment received"/>
    <x v="693"/>
    <s v="0.0"/>
    <x v="0"/>
    <x v="0"/>
  </r>
  <r>
    <n v="1656"/>
    <x v="215"/>
    <s v="Customer payment received"/>
    <x v="273"/>
    <s v="1435.55"/>
    <x v="2"/>
    <x v="0"/>
  </r>
  <r>
    <n v="1657"/>
    <x v="215"/>
    <s v="Customer payment received"/>
    <x v="774"/>
    <s v="0.0"/>
    <x v="0"/>
    <x v="0"/>
  </r>
  <r>
    <n v="1657"/>
    <x v="215"/>
    <s v="Customer payment received"/>
    <x v="273"/>
    <s v="3009.06"/>
    <x v="2"/>
    <x v="0"/>
  </r>
  <r>
    <n v="1658"/>
    <x v="215"/>
    <s v="Supplier payment made"/>
    <x v="392"/>
    <s v="0.0"/>
    <x v="11"/>
    <x v="3"/>
  </r>
  <r>
    <n v="1658"/>
    <x v="215"/>
    <s v="Supplier payment made"/>
    <x v="273"/>
    <s v="1023.42"/>
    <x v="0"/>
    <x v="0"/>
  </r>
  <r>
    <n v="1659"/>
    <x v="216"/>
    <s v="Sales invoice issued"/>
    <x v="816"/>
    <s v="0.0"/>
    <x v="2"/>
    <x v="0"/>
  </r>
  <r>
    <n v="1659"/>
    <x v="216"/>
    <s v="Sales invoice issued"/>
    <x v="273"/>
    <s v="1689.15"/>
    <x v="3"/>
    <x v="2"/>
  </r>
  <r>
    <n v="1659"/>
    <x v="216"/>
    <s v="Sales invoice issued"/>
    <x v="273"/>
    <s v="126.69"/>
    <x v="4"/>
    <x v="3"/>
  </r>
  <r>
    <n v="1660"/>
    <x v="216"/>
    <s v="Sales invoice issued"/>
    <x v="817"/>
    <s v="0.0"/>
    <x v="2"/>
    <x v="0"/>
  </r>
  <r>
    <n v="1660"/>
    <x v="216"/>
    <s v="Sales invoice issued"/>
    <x v="273"/>
    <s v="4462.91"/>
    <x v="3"/>
    <x v="2"/>
  </r>
  <r>
    <n v="1660"/>
    <x v="216"/>
    <s v="Sales invoice issued"/>
    <x v="273"/>
    <s v="334.72"/>
    <x v="4"/>
    <x v="3"/>
  </r>
  <r>
    <n v="1661"/>
    <x v="216"/>
    <s v="Sales invoice issued"/>
    <x v="818"/>
    <s v="0.0"/>
    <x v="2"/>
    <x v="0"/>
  </r>
  <r>
    <n v="1661"/>
    <x v="216"/>
    <s v="Sales invoice issued"/>
    <x v="273"/>
    <s v="3513.65"/>
    <x v="3"/>
    <x v="2"/>
  </r>
  <r>
    <n v="1661"/>
    <x v="216"/>
    <s v="Sales invoice issued"/>
    <x v="273"/>
    <s v="263.52"/>
    <x v="4"/>
    <x v="3"/>
  </r>
  <r>
    <n v="1662"/>
    <x v="216"/>
    <s v="Sales invoice issued"/>
    <x v="819"/>
    <s v="0.0"/>
    <x v="2"/>
    <x v="0"/>
  </r>
  <r>
    <n v="1662"/>
    <x v="216"/>
    <s v="Sales invoice issued"/>
    <x v="273"/>
    <s v="2831.46"/>
    <x v="3"/>
    <x v="2"/>
  </r>
  <r>
    <n v="1662"/>
    <x v="216"/>
    <s v="Sales invoice issued"/>
    <x v="273"/>
    <s v="212.35"/>
    <x v="4"/>
    <x v="3"/>
  </r>
  <r>
    <n v="1663"/>
    <x v="216"/>
    <s v="Sales invoice issued"/>
    <x v="820"/>
    <s v="0.0"/>
    <x v="2"/>
    <x v="0"/>
  </r>
  <r>
    <n v="1663"/>
    <x v="216"/>
    <s v="Sales invoice issued"/>
    <x v="273"/>
    <s v="1896.05"/>
    <x v="3"/>
    <x v="2"/>
  </r>
  <r>
    <n v="1663"/>
    <x v="216"/>
    <s v="Sales invoice issued"/>
    <x v="273"/>
    <s v="142.2"/>
    <x v="4"/>
    <x v="3"/>
  </r>
  <r>
    <n v="1664"/>
    <x v="216"/>
    <s v="Sales invoice issued"/>
    <x v="821"/>
    <s v="0.0"/>
    <x v="2"/>
    <x v="0"/>
  </r>
  <r>
    <n v="1664"/>
    <x v="216"/>
    <s v="Sales invoice issued"/>
    <x v="273"/>
    <s v="6304.42"/>
    <x v="3"/>
    <x v="2"/>
  </r>
  <r>
    <n v="1664"/>
    <x v="216"/>
    <s v="Sales invoice issued"/>
    <x v="273"/>
    <s v="472.84"/>
    <x v="4"/>
    <x v="3"/>
  </r>
  <r>
    <n v="1665"/>
    <x v="216"/>
    <s v="Customer payment received"/>
    <x v="749"/>
    <s v="0.0"/>
    <x v="0"/>
    <x v="0"/>
  </r>
  <r>
    <n v="1665"/>
    <x v="216"/>
    <s v="Customer payment received"/>
    <x v="273"/>
    <s v="2485.56"/>
    <x v="2"/>
    <x v="0"/>
  </r>
  <r>
    <n v="1666"/>
    <x v="216"/>
    <s v="Customer payment received"/>
    <x v="763"/>
    <s v="0.0"/>
    <x v="0"/>
    <x v="0"/>
  </r>
  <r>
    <n v="1666"/>
    <x v="216"/>
    <s v="Customer payment received"/>
    <x v="273"/>
    <s v="964.23"/>
    <x v="2"/>
    <x v="0"/>
  </r>
  <r>
    <n v="1667"/>
    <x v="216"/>
    <s v="Supplier invoice received"/>
    <x v="372"/>
    <s v="0.0"/>
    <x v="9"/>
    <x v="4"/>
  </r>
  <r>
    <n v="1667"/>
    <x v="216"/>
    <s v="Supplier invoice received"/>
    <x v="373"/>
    <s v="0.0"/>
    <x v="10"/>
    <x v="0"/>
  </r>
  <r>
    <n v="1667"/>
    <x v="216"/>
    <s v="Supplier invoice received"/>
    <x v="273"/>
    <s v="412.54"/>
    <x v="11"/>
    <x v="3"/>
  </r>
  <r>
    <n v="1668"/>
    <x v="216"/>
    <s v="Supplier payment made"/>
    <x v="310"/>
    <s v="0.0"/>
    <x v="11"/>
    <x v="3"/>
  </r>
  <r>
    <n v="1668"/>
    <x v="216"/>
    <s v="Supplier payment made"/>
    <x v="273"/>
    <s v="276.32"/>
    <x v="0"/>
    <x v="0"/>
  </r>
  <r>
    <n v="1669"/>
    <x v="217"/>
    <s v="Sales invoice issued"/>
    <x v="822"/>
    <s v="0.0"/>
    <x v="2"/>
    <x v="0"/>
  </r>
  <r>
    <n v="1669"/>
    <x v="217"/>
    <s v="Sales invoice issued"/>
    <x v="273"/>
    <s v="4235.45"/>
    <x v="3"/>
    <x v="2"/>
  </r>
  <r>
    <n v="1669"/>
    <x v="217"/>
    <s v="Sales invoice issued"/>
    <x v="273"/>
    <s v="317.65"/>
    <x v="4"/>
    <x v="3"/>
  </r>
  <r>
    <n v="1670"/>
    <x v="217"/>
    <s v="Sales invoice issued"/>
    <x v="823"/>
    <s v="0.0"/>
    <x v="2"/>
    <x v="0"/>
  </r>
  <r>
    <n v="1670"/>
    <x v="217"/>
    <s v="Sales invoice issued"/>
    <x v="273"/>
    <s v="1220.04"/>
    <x v="3"/>
    <x v="2"/>
  </r>
  <r>
    <n v="1670"/>
    <x v="217"/>
    <s v="Sales invoice issued"/>
    <x v="273"/>
    <s v="91.5"/>
    <x v="4"/>
    <x v="3"/>
  </r>
  <r>
    <n v="1671"/>
    <x v="217"/>
    <s v="Sales invoice issued"/>
    <x v="824"/>
    <s v="0.0"/>
    <x v="2"/>
    <x v="0"/>
  </r>
  <r>
    <n v="1671"/>
    <x v="217"/>
    <s v="Sales invoice issued"/>
    <x v="273"/>
    <s v="2334.35"/>
    <x v="3"/>
    <x v="2"/>
  </r>
  <r>
    <n v="1671"/>
    <x v="217"/>
    <s v="Sales invoice issued"/>
    <x v="273"/>
    <s v="175.08"/>
    <x v="4"/>
    <x v="3"/>
  </r>
  <r>
    <n v="1672"/>
    <x v="217"/>
    <s v="Sales invoice issued"/>
    <x v="825"/>
    <s v="0.0"/>
    <x v="2"/>
    <x v="0"/>
  </r>
  <r>
    <n v="1672"/>
    <x v="217"/>
    <s v="Sales invoice issued"/>
    <x v="273"/>
    <s v="3000.63"/>
    <x v="3"/>
    <x v="2"/>
  </r>
  <r>
    <n v="1672"/>
    <x v="217"/>
    <s v="Sales invoice issued"/>
    <x v="273"/>
    <s v="225.06"/>
    <x v="4"/>
    <x v="3"/>
  </r>
  <r>
    <n v="1673"/>
    <x v="217"/>
    <s v="Sales invoice issued"/>
    <x v="826"/>
    <s v="0.0"/>
    <x v="2"/>
    <x v="0"/>
  </r>
  <r>
    <n v="1673"/>
    <x v="217"/>
    <s v="Sales invoice issued"/>
    <x v="273"/>
    <s v="1503.64"/>
    <x v="3"/>
    <x v="2"/>
  </r>
  <r>
    <n v="1673"/>
    <x v="217"/>
    <s v="Sales invoice issued"/>
    <x v="273"/>
    <s v="112.76"/>
    <x v="4"/>
    <x v="3"/>
  </r>
  <r>
    <n v="1674"/>
    <x v="217"/>
    <s v="Sales invoice issued"/>
    <x v="827"/>
    <s v="0.0"/>
    <x v="2"/>
    <x v="0"/>
  </r>
  <r>
    <n v="1674"/>
    <x v="217"/>
    <s v="Sales invoice issued"/>
    <x v="273"/>
    <s v="2363.65"/>
    <x v="3"/>
    <x v="2"/>
  </r>
  <r>
    <n v="1674"/>
    <x v="217"/>
    <s v="Sales invoice issued"/>
    <x v="273"/>
    <s v="177.27"/>
    <x v="4"/>
    <x v="3"/>
  </r>
  <r>
    <n v="1675"/>
    <x v="217"/>
    <s v="Sales invoice issued"/>
    <x v="828"/>
    <s v="0.0"/>
    <x v="2"/>
    <x v="0"/>
  </r>
  <r>
    <n v="1675"/>
    <x v="217"/>
    <s v="Sales invoice issued"/>
    <x v="273"/>
    <s v="1715.91"/>
    <x v="3"/>
    <x v="2"/>
  </r>
  <r>
    <n v="1675"/>
    <x v="217"/>
    <s v="Sales invoice issued"/>
    <x v="273"/>
    <s v="128.69"/>
    <x v="4"/>
    <x v="3"/>
  </r>
  <r>
    <n v="1676"/>
    <x v="217"/>
    <s v="Sales invoice issued"/>
    <x v="829"/>
    <s v="0.0"/>
    <x v="2"/>
    <x v="0"/>
  </r>
  <r>
    <n v="1676"/>
    <x v="217"/>
    <s v="Sales invoice issued"/>
    <x v="273"/>
    <s v="2294.32"/>
    <x v="3"/>
    <x v="2"/>
  </r>
  <r>
    <n v="1676"/>
    <x v="217"/>
    <s v="Sales invoice issued"/>
    <x v="273"/>
    <s v="172.07"/>
    <x v="4"/>
    <x v="3"/>
  </r>
  <r>
    <n v="1677"/>
    <x v="217"/>
    <s v="Customer payment received"/>
    <x v="769"/>
    <s v="0.0"/>
    <x v="0"/>
    <x v="0"/>
  </r>
  <r>
    <n v="1677"/>
    <x v="217"/>
    <s v="Customer payment received"/>
    <x v="273"/>
    <s v="1751.83"/>
    <x v="2"/>
    <x v="0"/>
  </r>
  <r>
    <n v="1678"/>
    <x v="217"/>
    <s v="Customer payment received"/>
    <x v="799"/>
    <s v="0.0"/>
    <x v="0"/>
    <x v="0"/>
  </r>
  <r>
    <n v="1678"/>
    <x v="217"/>
    <s v="Customer payment received"/>
    <x v="273"/>
    <s v="804.11"/>
    <x v="2"/>
    <x v="0"/>
  </r>
  <r>
    <n v="1679"/>
    <x v="217"/>
    <s v="Customer payment received"/>
    <x v="818"/>
    <s v="0.0"/>
    <x v="0"/>
    <x v="0"/>
  </r>
  <r>
    <n v="1679"/>
    <x v="217"/>
    <s v="Customer payment received"/>
    <x v="273"/>
    <s v="3777.17"/>
    <x v="2"/>
    <x v="0"/>
  </r>
  <r>
    <n v="1680"/>
    <x v="217"/>
    <s v="Supplier invoice received"/>
    <x v="366"/>
    <s v="0.0"/>
    <x v="9"/>
    <x v="4"/>
  </r>
  <r>
    <n v="1680"/>
    <x v="217"/>
    <s v="Supplier invoice received"/>
    <x v="367"/>
    <s v="0.0"/>
    <x v="10"/>
    <x v="0"/>
  </r>
  <r>
    <n v="1680"/>
    <x v="217"/>
    <s v="Supplier invoice received"/>
    <x v="273"/>
    <s v="201.5"/>
    <x v="11"/>
    <x v="3"/>
  </r>
  <r>
    <n v="1681"/>
    <x v="217"/>
    <s v="Supplier invoice received"/>
    <x v="295"/>
    <s v="0.0"/>
    <x v="9"/>
    <x v="4"/>
  </r>
  <r>
    <n v="1681"/>
    <x v="217"/>
    <s v="Supplier invoice received"/>
    <x v="296"/>
    <s v="0.0"/>
    <x v="10"/>
    <x v="0"/>
  </r>
  <r>
    <n v="1681"/>
    <x v="217"/>
    <s v="Supplier invoice received"/>
    <x v="273"/>
    <s v="1766.46"/>
    <x v="11"/>
    <x v="3"/>
  </r>
  <r>
    <n v="1682"/>
    <x v="217"/>
    <s v="Supplier invoice received"/>
    <x v="330"/>
    <s v="0.0"/>
    <x v="9"/>
    <x v="4"/>
  </r>
  <r>
    <n v="1682"/>
    <x v="217"/>
    <s v="Supplier invoice received"/>
    <x v="331"/>
    <s v="0.0"/>
    <x v="10"/>
    <x v="0"/>
  </r>
  <r>
    <n v="1682"/>
    <x v="217"/>
    <s v="Supplier invoice received"/>
    <x v="273"/>
    <s v="1935.04"/>
    <x v="11"/>
    <x v="3"/>
  </r>
  <r>
    <n v="1683"/>
    <x v="217"/>
    <s v="Supplier invoice received"/>
    <x v="445"/>
    <s v="0.0"/>
    <x v="9"/>
    <x v="4"/>
  </r>
  <r>
    <n v="1683"/>
    <x v="217"/>
    <s v="Supplier invoice received"/>
    <x v="446"/>
    <s v="0.0"/>
    <x v="10"/>
    <x v="0"/>
  </r>
  <r>
    <n v="1683"/>
    <x v="217"/>
    <s v="Supplier invoice received"/>
    <x v="273"/>
    <s v="1794.11"/>
    <x v="11"/>
    <x v="3"/>
  </r>
  <r>
    <n v="1684"/>
    <x v="217"/>
    <s v="Supplier payment made"/>
    <x v="515"/>
    <s v="0.0"/>
    <x v="11"/>
    <x v="3"/>
  </r>
  <r>
    <n v="1684"/>
    <x v="217"/>
    <s v="Supplier payment made"/>
    <x v="273"/>
    <s v="862.91"/>
    <x v="0"/>
    <x v="0"/>
  </r>
  <r>
    <n v="1685"/>
    <x v="218"/>
    <s v="Sales invoice issued"/>
    <x v="830"/>
    <s v="0.0"/>
    <x v="2"/>
    <x v="0"/>
  </r>
  <r>
    <n v="1685"/>
    <x v="218"/>
    <s v="Sales invoice issued"/>
    <x v="273"/>
    <s v="3811.8"/>
    <x v="3"/>
    <x v="2"/>
  </r>
  <r>
    <n v="1685"/>
    <x v="218"/>
    <s v="Sales invoice issued"/>
    <x v="273"/>
    <s v="285.89"/>
    <x v="4"/>
    <x v="3"/>
  </r>
  <r>
    <n v="1686"/>
    <x v="218"/>
    <s v="Sales invoice issued"/>
    <x v="831"/>
    <s v="0.0"/>
    <x v="2"/>
    <x v="0"/>
  </r>
  <r>
    <n v="1686"/>
    <x v="218"/>
    <s v="Sales invoice issued"/>
    <x v="273"/>
    <s v="951.11"/>
    <x v="3"/>
    <x v="2"/>
  </r>
  <r>
    <n v="1686"/>
    <x v="218"/>
    <s v="Sales invoice issued"/>
    <x v="273"/>
    <s v="71.35"/>
    <x v="4"/>
    <x v="3"/>
  </r>
  <r>
    <n v="1687"/>
    <x v="218"/>
    <s v="Sales invoice issued"/>
    <x v="832"/>
    <s v="0.0"/>
    <x v="2"/>
    <x v="0"/>
  </r>
  <r>
    <n v="1687"/>
    <x v="218"/>
    <s v="Sales invoice issued"/>
    <x v="273"/>
    <s v="189.83"/>
    <x v="3"/>
    <x v="2"/>
  </r>
  <r>
    <n v="1687"/>
    <x v="218"/>
    <s v="Sales invoice issued"/>
    <x v="273"/>
    <s v="14.24"/>
    <x v="4"/>
    <x v="3"/>
  </r>
  <r>
    <n v="1688"/>
    <x v="218"/>
    <s v="Sales invoice issued"/>
    <x v="833"/>
    <s v="0.0"/>
    <x v="2"/>
    <x v="0"/>
  </r>
  <r>
    <n v="1688"/>
    <x v="218"/>
    <s v="Sales invoice issued"/>
    <x v="273"/>
    <s v="1343.78"/>
    <x v="3"/>
    <x v="2"/>
  </r>
  <r>
    <n v="1688"/>
    <x v="218"/>
    <s v="Sales invoice issued"/>
    <x v="273"/>
    <s v="100.78"/>
    <x v="4"/>
    <x v="3"/>
  </r>
  <r>
    <n v="1689"/>
    <x v="218"/>
    <s v="Sales invoice issued"/>
    <x v="834"/>
    <s v="0.0"/>
    <x v="2"/>
    <x v="0"/>
  </r>
  <r>
    <n v="1689"/>
    <x v="218"/>
    <s v="Sales invoice issued"/>
    <x v="273"/>
    <s v="1685.92"/>
    <x v="3"/>
    <x v="2"/>
  </r>
  <r>
    <n v="1689"/>
    <x v="218"/>
    <s v="Sales invoice issued"/>
    <x v="273"/>
    <s v="126.44"/>
    <x v="4"/>
    <x v="3"/>
  </r>
  <r>
    <n v="1690"/>
    <x v="218"/>
    <s v="Customer payment received"/>
    <x v="732"/>
    <s v="0.0"/>
    <x v="0"/>
    <x v="0"/>
  </r>
  <r>
    <n v="1690"/>
    <x v="218"/>
    <s v="Customer payment received"/>
    <x v="273"/>
    <s v="4489.41"/>
    <x v="2"/>
    <x v="0"/>
  </r>
  <r>
    <n v="1691"/>
    <x v="218"/>
    <s v="Customer payment received"/>
    <x v="742"/>
    <s v="0.0"/>
    <x v="0"/>
    <x v="0"/>
  </r>
  <r>
    <n v="1691"/>
    <x v="218"/>
    <s v="Customer payment received"/>
    <x v="273"/>
    <s v="2833.75"/>
    <x v="2"/>
    <x v="0"/>
  </r>
  <r>
    <n v="1692"/>
    <x v="218"/>
    <s v="Customer payment received"/>
    <x v="781"/>
    <s v="0.0"/>
    <x v="0"/>
    <x v="0"/>
  </r>
  <r>
    <n v="1692"/>
    <x v="218"/>
    <s v="Customer payment received"/>
    <x v="273"/>
    <s v="562.35"/>
    <x v="2"/>
    <x v="0"/>
  </r>
  <r>
    <n v="1693"/>
    <x v="218"/>
    <s v="Customer payment received"/>
    <x v="821"/>
    <s v="0.0"/>
    <x v="0"/>
    <x v="0"/>
  </r>
  <r>
    <n v="1693"/>
    <x v="218"/>
    <s v="Customer payment received"/>
    <x v="273"/>
    <s v="6777.26"/>
    <x v="2"/>
    <x v="0"/>
  </r>
  <r>
    <n v="1694"/>
    <x v="218"/>
    <s v="Customer payment received"/>
    <x v="835"/>
    <s v="0.0"/>
    <x v="0"/>
    <x v="0"/>
  </r>
  <r>
    <n v="1694"/>
    <x v="218"/>
    <s v="Customer payment received"/>
    <x v="273"/>
    <s v="1211.85"/>
    <x v="2"/>
    <x v="0"/>
  </r>
  <r>
    <n v="1695"/>
    <x v="218"/>
    <s v="Supplier invoice received"/>
    <x v="299"/>
    <s v="0.0"/>
    <x v="9"/>
    <x v="4"/>
  </r>
  <r>
    <n v="1695"/>
    <x v="218"/>
    <s v="Supplier invoice received"/>
    <x v="300"/>
    <s v="0.0"/>
    <x v="10"/>
    <x v="0"/>
  </r>
  <r>
    <n v="1695"/>
    <x v="218"/>
    <s v="Supplier invoice received"/>
    <x v="273"/>
    <s v="2918.17"/>
    <x v="11"/>
    <x v="3"/>
  </r>
  <r>
    <n v="1696"/>
    <x v="218"/>
    <s v="Supplier payment made"/>
    <x v="292"/>
    <s v="0.0"/>
    <x v="11"/>
    <x v="3"/>
  </r>
  <r>
    <n v="1696"/>
    <x v="218"/>
    <s v="Supplier payment made"/>
    <x v="273"/>
    <s v="1766.46"/>
    <x v="0"/>
    <x v="0"/>
  </r>
  <r>
    <n v="1697"/>
    <x v="218"/>
    <s v="Supplier payment made"/>
    <x v="318"/>
    <s v="0.0"/>
    <x v="11"/>
    <x v="3"/>
  </r>
  <r>
    <n v="1697"/>
    <x v="218"/>
    <s v="Supplier payment made"/>
    <x v="273"/>
    <s v="2504.23"/>
    <x v="0"/>
    <x v="0"/>
  </r>
  <r>
    <n v="1698"/>
    <x v="218"/>
    <s v="Supplier payment made"/>
    <x v="309"/>
    <s v="0.0"/>
    <x v="11"/>
    <x v="3"/>
  </r>
  <r>
    <n v="1698"/>
    <x v="218"/>
    <s v="Supplier payment made"/>
    <x v="273"/>
    <s v="4812.46"/>
    <x v="0"/>
    <x v="0"/>
  </r>
  <r>
    <n v="1699"/>
    <x v="219"/>
    <s v="Sales invoice issued"/>
    <x v="836"/>
    <s v="0.0"/>
    <x v="2"/>
    <x v="0"/>
  </r>
  <r>
    <n v="1699"/>
    <x v="219"/>
    <s v="Sales invoice issued"/>
    <x v="273"/>
    <s v="2534.7"/>
    <x v="3"/>
    <x v="2"/>
  </r>
  <r>
    <n v="1699"/>
    <x v="219"/>
    <s v="Sales invoice issued"/>
    <x v="273"/>
    <s v="190.1"/>
    <x v="4"/>
    <x v="3"/>
  </r>
  <r>
    <n v="1700"/>
    <x v="219"/>
    <s v="Sales invoice issued"/>
    <x v="837"/>
    <s v="0.0"/>
    <x v="2"/>
    <x v="0"/>
  </r>
  <r>
    <n v="1700"/>
    <x v="219"/>
    <s v="Sales invoice issued"/>
    <x v="273"/>
    <s v="223.04"/>
    <x v="3"/>
    <x v="2"/>
  </r>
  <r>
    <n v="1700"/>
    <x v="219"/>
    <s v="Sales invoice issued"/>
    <x v="273"/>
    <s v="16.73"/>
    <x v="4"/>
    <x v="3"/>
  </r>
  <r>
    <n v="1701"/>
    <x v="219"/>
    <s v="Sales invoice issued"/>
    <x v="838"/>
    <s v="0.0"/>
    <x v="2"/>
    <x v="0"/>
  </r>
  <r>
    <n v="1701"/>
    <x v="219"/>
    <s v="Sales invoice issued"/>
    <x v="273"/>
    <s v="2001.83"/>
    <x v="3"/>
    <x v="2"/>
  </r>
  <r>
    <n v="1701"/>
    <x v="219"/>
    <s v="Sales invoice issued"/>
    <x v="273"/>
    <s v="150.14"/>
    <x v="4"/>
    <x v="3"/>
  </r>
  <r>
    <n v="1702"/>
    <x v="219"/>
    <s v="Sales invoice issued"/>
    <x v="839"/>
    <s v="0.0"/>
    <x v="2"/>
    <x v="0"/>
  </r>
  <r>
    <n v="1702"/>
    <x v="219"/>
    <s v="Sales invoice issued"/>
    <x v="273"/>
    <s v="1196.96"/>
    <x v="3"/>
    <x v="2"/>
  </r>
  <r>
    <n v="1702"/>
    <x v="219"/>
    <s v="Sales invoice issued"/>
    <x v="273"/>
    <s v="89.77"/>
    <x v="4"/>
    <x v="3"/>
  </r>
  <r>
    <n v="1703"/>
    <x v="219"/>
    <s v="Sales invoice issued"/>
    <x v="840"/>
    <s v="0.0"/>
    <x v="2"/>
    <x v="0"/>
  </r>
  <r>
    <n v="1703"/>
    <x v="219"/>
    <s v="Sales invoice issued"/>
    <x v="273"/>
    <s v="2104.01"/>
    <x v="3"/>
    <x v="2"/>
  </r>
  <r>
    <n v="1703"/>
    <x v="219"/>
    <s v="Sales invoice issued"/>
    <x v="273"/>
    <s v="157.79"/>
    <x v="4"/>
    <x v="3"/>
  </r>
  <r>
    <n v="1704"/>
    <x v="219"/>
    <s v="Customer payment received"/>
    <x v="686"/>
    <s v="0.0"/>
    <x v="0"/>
    <x v="0"/>
  </r>
  <r>
    <n v="1704"/>
    <x v="219"/>
    <s v="Customer payment received"/>
    <x v="273"/>
    <s v="510.61"/>
    <x v="2"/>
    <x v="0"/>
  </r>
  <r>
    <n v="1705"/>
    <x v="219"/>
    <s v="Customer payment received"/>
    <x v="793"/>
    <s v="0.0"/>
    <x v="0"/>
    <x v="0"/>
  </r>
  <r>
    <n v="1705"/>
    <x v="219"/>
    <s v="Customer payment received"/>
    <x v="273"/>
    <s v="2165.17"/>
    <x v="2"/>
    <x v="0"/>
  </r>
  <r>
    <n v="1706"/>
    <x v="219"/>
    <s v="Customer payment received"/>
    <x v="794"/>
    <s v="0.0"/>
    <x v="0"/>
    <x v="0"/>
  </r>
  <r>
    <n v="1706"/>
    <x v="219"/>
    <s v="Customer payment received"/>
    <x v="273"/>
    <s v="3514.58"/>
    <x v="2"/>
    <x v="0"/>
  </r>
  <r>
    <n v="1707"/>
    <x v="219"/>
    <s v="Supplier invoice received"/>
    <x v="297"/>
    <s v="0.0"/>
    <x v="9"/>
    <x v="4"/>
  </r>
  <r>
    <n v="1707"/>
    <x v="219"/>
    <s v="Supplier invoice received"/>
    <x v="298"/>
    <s v="0.0"/>
    <x v="10"/>
    <x v="0"/>
  </r>
  <r>
    <n v="1707"/>
    <x v="219"/>
    <s v="Supplier invoice received"/>
    <x v="273"/>
    <s v="3528.97"/>
    <x v="11"/>
    <x v="3"/>
  </r>
  <r>
    <n v="1708"/>
    <x v="219"/>
    <s v="Supplier invoice received"/>
    <x v="405"/>
    <s v="0.0"/>
    <x v="9"/>
    <x v="4"/>
  </r>
  <r>
    <n v="1708"/>
    <x v="219"/>
    <s v="Supplier invoice received"/>
    <x v="406"/>
    <s v="0.0"/>
    <x v="10"/>
    <x v="0"/>
  </r>
  <r>
    <n v="1708"/>
    <x v="219"/>
    <s v="Supplier invoice received"/>
    <x v="273"/>
    <s v="2635.36"/>
    <x v="11"/>
    <x v="3"/>
  </r>
  <r>
    <n v="1709"/>
    <x v="219"/>
    <s v="Supplier payment made"/>
    <x v="334"/>
    <s v="0.0"/>
    <x v="11"/>
    <x v="3"/>
  </r>
  <r>
    <n v="1709"/>
    <x v="219"/>
    <s v="Supplier payment made"/>
    <x v="273"/>
    <s v="3528.97"/>
    <x v="0"/>
    <x v="0"/>
  </r>
  <r>
    <n v="1710"/>
    <x v="219"/>
    <s v="Supplier payment made"/>
    <x v="496"/>
    <s v="0.0"/>
    <x v="11"/>
    <x v="3"/>
  </r>
  <r>
    <n v="1710"/>
    <x v="219"/>
    <s v="Supplier payment made"/>
    <x v="273"/>
    <s v="7227.44"/>
    <x v="0"/>
    <x v="0"/>
  </r>
  <r>
    <n v="1711"/>
    <x v="219"/>
    <s v="Supplier payment made"/>
    <x v="353"/>
    <s v="0.0"/>
    <x v="11"/>
    <x v="3"/>
  </r>
  <r>
    <n v="1711"/>
    <x v="219"/>
    <s v="Supplier payment made"/>
    <x v="273"/>
    <s v="2918.17"/>
    <x v="0"/>
    <x v="0"/>
  </r>
  <r>
    <n v="1712"/>
    <x v="220"/>
    <s v="Sales invoice issued"/>
    <x v="841"/>
    <s v="0.0"/>
    <x v="2"/>
    <x v="0"/>
  </r>
  <r>
    <n v="1712"/>
    <x v="220"/>
    <s v="Sales invoice issued"/>
    <x v="273"/>
    <s v="1415.67"/>
    <x v="3"/>
    <x v="2"/>
  </r>
  <r>
    <n v="1712"/>
    <x v="220"/>
    <s v="Sales invoice issued"/>
    <x v="273"/>
    <s v="106.18"/>
    <x v="4"/>
    <x v="3"/>
  </r>
  <r>
    <n v="1713"/>
    <x v="220"/>
    <s v="Sales invoice issued"/>
    <x v="842"/>
    <s v="0.0"/>
    <x v="2"/>
    <x v="0"/>
  </r>
  <r>
    <n v="1713"/>
    <x v="220"/>
    <s v="Sales invoice issued"/>
    <x v="273"/>
    <s v="38.31"/>
    <x v="3"/>
    <x v="2"/>
  </r>
  <r>
    <n v="1713"/>
    <x v="220"/>
    <s v="Sales invoice issued"/>
    <x v="273"/>
    <s v="2.87"/>
    <x v="4"/>
    <x v="3"/>
  </r>
  <r>
    <n v="1714"/>
    <x v="220"/>
    <s v="Sales invoice issued"/>
    <x v="843"/>
    <s v="0.0"/>
    <x v="2"/>
    <x v="0"/>
  </r>
  <r>
    <n v="1714"/>
    <x v="220"/>
    <s v="Sales invoice issued"/>
    <x v="273"/>
    <s v="1571.82"/>
    <x v="3"/>
    <x v="2"/>
  </r>
  <r>
    <n v="1714"/>
    <x v="220"/>
    <s v="Sales invoice issued"/>
    <x v="273"/>
    <s v="117.89"/>
    <x v="4"/>
    <x v="3"/>
  </r>
  <r>
    <n v="1715"/>
    <x v="220"/>
    <s v="Sales invoice issued"/>
    <x v="844"/>
    <s v="0.0"/>
    <x v="2"/>
    <x v="0"/>
  </r>
  <r>
    <n v="1715"/>
    <x v="220"/>
    <s v="Sales invoice issued"/>
    <x v="273"/>
    <s v="3318.53"/>
    <x v="3"/>
    <x v="2"/>
  </r>
  <r>
    <n v="1715"/>
    <x v="220"/>
    <s v="Sales invoice issued"/>
    <x v="273"/>
    <s v="248.88"/>
    <x v="4"/>
    <x v="3"/>
  </r>
  <r>
    <n v="1716"/>
    <x v="220"/>
    <s v="Sales invoice issued"/>
    <x v="845"/>
    <s v="0.0"/>
    <x v="2"/>
    <x v="0"/>
  </r>
  <r>
    <n v="1716"/>
    <x v="220"/>
    <s v="Sales invoice issued"/>
    <x v="273"/>
    <s v="2965.51"/>
    <x v="3"/>
    <x v="2"/>
  </r>
  <r>
    <n v="1716"/>
    <x v="220"/>
    <s v="Sales invoice issued"/>
    <x v="273"/>
    <s v="222.41"/>
    <x v="4"/>
    <x v="3"/>
  </r>
  <r>
    <n v="1717"/>
    <x v="220"/>
    <s v="Sales invoice issued"/>
    <x v="846"/>
    <s v="0.0"/>
    <x v="2"/>
    <x v="0"/>
  </r>
  <r>
    <n v="1717"/>
    <x v="220"/>
    <s v="Sales invoice issued"/>
    <x v="273"/>
    <s v="2163.55"/>
    <x v="3"/>
    <x v="2"/>
  </r>
  <r>
    <n v="1717"/>
    <x v="220"/>
    <s v="Sales invoice issued"/>
    <x v="273"/>
    <s v="162.26"/>
    <x v="4"/>
    <x v="3"/>
  </r>
  <r>
    <n v="1718"/>
    <x v="220"/>
    <s v="Customer payment received"/>
    <x v="704"/>
    <s v="0.0"/>
    <x v="0"/>
    <x v="0"/>
  </r>
  <r>
    <n v="1718"/>
    <x v="220"/>
    <s v="Customer payment received"/>
    <x v="273"/>
    <s v="306.43"/>
    <x v="2"/>
    <x v="0"/>
  </r>
  <r>
    <n v="1719"/>
    <x v="220"/>
    <s v="Customer payment received"/>
    <x v="747"/>
    <s v="0.0"/>
    <x v="0"/>
    <x v="0"/>
  </r>
  <r>
    <n v="1719"/>
    <x v="220"/>
    <s v="Customer payment received"/>
    <x v="273"/>
    <s v="1893.71"/>
    <x v="2"/>
    <x v="0"/>
  </r>
  <r>
    <n v="1720"/>
    <x v="220"/>
    <s v="Customer payment received"/>
    <x v="748"/>
    <s v="0.0"/>
    <x v="0"/>
    <x v="0"/>
  </r>
  <r>
    <n v="1720"/>
    <x v="220"/>
    <s v="Customer payment received"/>
    <x v="273"/>
    <s v="946.16"/>
    <x v="2"/>
    <x v="0"/>
  </r>
  <r>
    <n v="1721"/>
    <x v="220"/>
    <s v="Customer payment received"/>
    <x v="787"/>
    <s v="0.0"/>
    <x v="0"/>
    <x v="0"/>
  </r>
  <r>
    <n v="1721"/>
    <x v="220"/>
    <s v="Customer payment received"/>
    <x v="273"/>
    <s v="1640.79"/>
    <x v="2"/>
    <x v="0"/>
  </r>
  <r>
    <n v="1722"/>
    <x v="220"/>
    <s v="Customer payment received"/>
    <x v="820"/>
    <s v="0.0"/>
    <x v="0"/>
    <x v="0"/>
  </r>
  <r>
    <n v="1722"/>
    <x v="220"/>
    <s v="Customer payment received"/>
    <x v="273"/>
    <s v="2038.25"/>
    <x v="2"/>
    <x v="0"/>
  </r>
  <r>
    <n v="1723"/>
    <x v="220"/>
    <s v="Customer payment received"/>
    <x v="838"/>
    <s v="0.0"/>
    <x v="0"/>
    <x v="0"/>
  </r>
  <r>
    <n v="1723"/>
    <x v="220"/>
    <s v="Customer payment received"/>
    <x v="273"/>
    <s v="2151.97"/>
    <x v="2"/>
    <x v="0"/>
  </r>
  <r>
    <n v="1724"/>
    <x v="220"/>
    <s v="Supplier payment made"/>
    <x v="340"/>
    <s v="0.0"/>
    <x v="11"/>
    <x v="3"/>
  </r>
  <r>
    <n v="1724"/>
    <x v="220"/>
    <s v="Supplier payment made"/>
    <x v="273"/>
    <s v="1304.62"/>
    <x v="0"/>
    <x v="0"/>
  </r>
  <r>
    <n v="1725"/>
    <x v="220"/>
    <s v="Depreciation â€” POS System"/>
    <x v="425"/>
    <s v="0.0"/>
    <x v="12"/>
    <x v="4"/>
  </r>
  <r>
    <n v="1725"/>
    <x v="220"/>
    <s v="Depreciation â€” POS System"/>
    <x v="273"/>
    <s v="93.61"/>
    <x v="13"/>
    <x v="0"/>
  </r>
  <r>
    <n v="1726"/>
    <x v="220"/>
    <s v="Depreciation â€” Laptop x2"/>
    <x v="426"/>
    <s v="0.0"/>
    <x v="12"/>
    <x v="4"/>
  </r>
  <r>
    <n v="1726"/>
    <x v="220"/>
    <s v="Depreciation â€” Laptop x2"/>
    <x v="273"/>
    <s v="76.86"/>
    <x v="13"/>
    <x v="0"/>
  </r>
  <r>
    <n v="1727"/>
    <x v="220"/>
    <s v="Depreciation â€” Printer/Scanner"/>
    <x v="427"/>
    <s v="0.0"/>
    <x v="12"/>
    <x v="4"/>
  </r>
  <r>
    <n v="1727"/>
    <x v="220"/>
    <s v="Depreciation â€” Printer/Scanner"/>
    <x v="273"/>
    <s v="20.03"/>
    <x v="13"/>
    <x v="0"/>
  </r>
  <r>
    <n v="1728"/>
    <x v="220"/>
    <s v="Depreciation â€” Shop Shelving"/>
    <x v="428"/>
    <s v="0.0"/>
    <x v="12"/>
    <x v="4"/>
  </r>
  <r>
    <n v="1728"/>
    <x v="220"/>
    <s v="Depreciation â€” Shop Shelving"/>
    <x v="273"/>
    <s v="86.89"/>
    <x v="14"/>
    <x v="0"/>
  </r>
  <r>
    <n v="1729"/>
    <x v="220"/>
    <s v="Depreciation â€” Display Stands"/>
    <x v="429"/>
    <s v="0.0"/>
    <x v="12"/>
    <x v="4"/>
  </r>
  <r>
    <n v="1729"/>
    <x v="220"/>
    <s v="Depreciation â€” Display Stands"/>
    <x v="273"/>
    <s v="76.8"/>
    <x v="14"/>
    <x v="0"/>
  </r>
  <r>
    <n v="1730"/>
    <x v="220"/>
    <s v="Depreciation â€” Counter &amp; Checkout"/>
    <x v="430"/>
    <s v="0.0"/>
    <x v="12"/>
    <x v="4"/>
  </r>
  <r>
    <n v="1730"/>
    <x v="220"/>
    <s v="Depreciation â€” Counter &amp; Checkout"/>
    <x v="273"/>
    <s v="48.28"/>
    <x v="14"/>
    <x v="0"/>
  </r>
  <r>
    <n v="1731"/>
    <x v="220"/>
    <s v="Depreciation â€” Signage"/>
    <x v="431"/>
    <s v="0.0"/>
    <x v="12"/>
    <x v="4"/>
  </r>
  <r>
    <n v="1731"/>
    <x v="220"/>
    <s v="Depreciation â€” Signage"/>
    <x v="273"/>
    <s v="53.21"/>
    <x v="14"/>
    <x v="0"/>
  </r>
  <r>
    <n v="1732"/>
    <x v="220"/>
    <s v="Depreciation â€” Delivery Van"/>
    <x v="432"/>
    <s v="0.0"/>
    <x v="12"/>
    <x v="4"/>
  </r>
  <r>
    <n v="1732"/>
    <x v="220"/>
    <s v="Depreciation â€” Delivery Van"/>
    <x v="273"/>
    <s v="232.19"/>
    <x v="15"/>
    <x v="0"/>
  </r>
  <r>
    <n v="1733"/>
    <x v="220"/>
    <s v="Depreciation â€” Security System"/>
    <x v="433"/>
    <s v="0.0"/>
    <x v="12"/>
    <x v="4"/>
  </r>
  <r>
    <n v="1733"/>
    <x v="220"/>
    <s v="Depreciation â€” Security System"/>
    <x v="273"/>
    <s v="43.85"/>
    <x v="13"/>
    <x v="0"/>
  </r>
  <r>
    <n v="1734"/>
    <x v="221"/>
    <s v="Sales invoice issued"/>
    <x v="847"/>
    <s v="0.0"/>
    <x v="2"/>
    <x v="0"/>
  </r>
  <r>
    <n v="1734"/>
    <x v="221"/>
    <s v="Sales invoice issued"/>
    <x v="273"/>
    <s v="6403.13"/>
    <x v="3"/>
    <x v="2"/>
  </r>
  <r>
    <n v="1734"/>
    <x v="221"/>
    <s v="Sales invoice issued"/>
    <x v="273"/>
    <s v="480.23"/>
    <x v="4"/>
    <x v="3"/>
  </r>
  <r>
    <n v="1735"/>
    <x v="221"/>
    <s v="Sales invoice issued"/>
    <x v="848"/>
    <s v="0.0"/>
    <x v="2"/>
    <x v="0"/>
  </r>
  <r>
    <n v="1735"/>
    <x v="221"/>
    <s v="Sales invoice issued"/>
    <x v="273"/>
    <s v="1912.62"/>
    <x v="3"/>
    <x v="2"/>
  </r>
  <r>
    <n v="1735"/>
    <x v="221"/>
    <s v="Sales invoice issued"/>
    <x v="273"/>
    <s v="143.45"/>
    <x v="4"/>
    <x v="3"/>
  </r>
  <r>
    <n v="1736"/>
    <x v="221"/>
    <s v="Customer payment received"/>
    <x v="745"/>
    <s v="0.0"/>
    <x v="0"/>
    <x v="0"/>
  </r>
  <r>
    <n v="1736"/>
    <x v="221"/>
    <s v="Customer payment received"/>
    <x v="273"/>
    <s v="691.28"/>
    <x v="2"/>
    <x v="0"/>
  </r>
  <r>
    <n v="1737"/>
    <x v="221"/>
    <s v="Customer payment received"/>
    <x v="789"/>
    <s v="0.0"/>
    <x v="0"/>
    <x v="0"/>
  </r>
  <r>
    <n v="1737"/>
    <x v="221"/>
    <s v="Customer payment received"/>
    <x v="273"/>
    <s v="3455.73"/>
    <x v="2"/>
    <x v="0"/>
  </r>
  <r>
    <n v="1738"/>
    <x v="221"/>
    <s v="Customer payment received"/>
    <x v="831"/>
    <s v="0.0"/>
    <x v="0"/>
    <x v="0"/>
  </r>
  <r>
    <n v="1738"/>
    <x v="221"/>
    <s v="Customer payment received"/>
    <x v="273"/>
    <s v="1022.46"/>
    <x v="2"/>
    <x v="0"/>
  </r>
  <r>
    <n v="1739"/>
    <x v="221"/>
    <s v="Supplier invoice received"/>
    <x v="448"/>
    <s v="0.0"/>
    <x v="9"/>
    <x v="4"/>
  </r>
  <r>
    <n v="1739"/>
    <x v="221"/>
    <s v="Supplier invoice received"/>
    <x v="449"/>
    <s v="0.0"/>
    <x v="10"/>
    <x v="0"/>
  </r>
  <r>
    <n v="1739"/>
    <x v="221"/>
    <s v="Supplier invoice received"/>
    <x v="273"/>
    <s v="7227.44"/>
    <x v="11"/>
    <x v="3"/>
  </r>
  <r>
    <n v="1740"/>
    <x v="222"/>
    <s v="Sales invoice issued"/>
    <x v="849"/>
    <s v="0.0"/>
    <x v="2"/>
    <x v="0"/>
  </r>
  <r>
    <n v="1740"/>
    <x v="222"/>
    <s v="Sales invoice issued"/>
    <x v="273"/>
    <s v="470.68"/>
    <x v="3"/>
    <x v="2"/>
  </r>
  <r>
    <n v="1740"/>
    <x v="222"/>
    <s v="Sales invoice issued"/>
    <x v="273"/>
    <s v="35.3"/>
    <x v="4"/>
    <x v="3"/>
  </r>
  <r>
    <n v="1741"/>
    <x v="222"/>
    <s v="Sales invoice issued"/>
    <x v="850"/>
    <s v="0.0"/>
    <x v="2"/>
    <x v="0"/>
  </r>
  <r>
    <n v="1741"/>
    <x v="222"/>
    <s v="Sales invoice issued"/>
    <x v="273"/>
    <s v="3036.54"/>
    <x v="3"/>
    <x v="2"/>
  </r>
  <r>
    <n v="1741"/>
    <x v="222"/>
    <s v="Sales invoice issued"/>
    <x v="273"/>
    <s v="227.74"/>
    <x v="4"/>
    <x v="3"/>
  </r>
  <r>
    <n v="1742"/>
    <x v="222"/>
    <s v="Sales invoice issued"/>
    <x v="851"/>
    <s v="0.0"/>
    <x v="2"/>
    <x v="0"/>
  </r>
  <r>
    <n v="1742"/>
    <x v="222"/>
    <s v="Sales invoice issued"/>
    <x v="273"/>
    <s v="1637.13"/>
    <x v="3"/>
    <x v="2"/>
  </r>
  <r>
    <n v="1742"/>
    <x v="222"/>
    <s v="Sales invoice issued"/>
    <x v="273"/>
    <s v="122.79"/>
    <x v="4"/>
    <x v="3"/>
  </r>
  <r>
    <n v="1743"/>
    <x v="222"/>
    <s v="Sales invoice issued"/>
    <x v="852"/>
    <s v="0.0"/>
    <x v="2"/>
    <x v="0"/>
  </r>
  <r>
    <n v="1743"/>
    <x v="222"/>
    <s v="Sales invoice issued"/>
    <x v="273"/>
    <s v="1156.37"/>
    <x v="3"/>
    <x v="2"/>
  </r>
  <r>
    <n v="1743"/>
    <x v="222"/>
    <s v="Sales invoice issued"/>
    <x v="273"/>
    <s v="86.74"/>
    <x v="4"/>
    <x v="3"/>
  </r>
  <r>
    <n v="1744"/>
    <x v="222"/>
    <s v="Sales invoice issued"/>
    <x v="853"/>
    <s v="0.0"/>
    <x v="2"/>
    <x v="0"/>
  </r>
  <r>
    <n v="1744"/>
    <x v="222"/>
    <s v="Sales invoice issued"/>
    <x v="273"/>
    <s v="2479.73"/>
    <x v="3"/>
    <x v="2"/>
  </r>
  <r>
    <n v="1744"/>
    <x v="222"/>
    <s v="Sales invoice issued"/>
    <x v="273"/>
    <s v="185.97"/>
    <x v="4"/>
    <x v="3"/>
  </r>
  <r>
    <n v="1745"/>
    <x v="222"/>
    <s v="Sales invoice issued"/>
    <x v="854"/>
    <s v="0.0"/>
    <x v="2"/>
    <x v="0"/>
  </r>
  <r>
    <n v="1745"/>
    <x v="222"/>
    <s v="Sales invoice issued"/>
    <x v="273"/>
    <s v="427.57"/>
    <x v="3"/>
    <x v="2"/>
  </r>
  <r>
    <n v="1745"/>
    <x v="222"/>
    <s v="Sales invoice issued"/>
    <x v="273"/>
    <s v="32.06"/>
    <x v="4"/>
    <x v="3"/>
  </r>
  <r>
    <n v="1746"/>
    <x v="222"/>
    <s v="Sales invoice issued"/>
    <x v="855"/>
    <s v="0.0"/>
    <x v="2"/>
    <x v="0"/>
  </r>
  <r>
    <n v="1746"/>
    <x v="222"/>
    <s v="Sales invoice issued"/>
    <x v="273"/>
    <s v="2614.02"/>
    <x v="3"/>
    <x v="2"/>
  </r>
  <r>
    <n v="1746"/>
    <x v="222"/>
    <s v="Sales invoice issued"/>
    <x v="273"/>
    <s v="196.05"/>
    <x v="4"/>
    <x v="3"/>
  </r>
  <r>
    <n v="1747"/>
    <x v="222"/>
    <s v="Customer payment received"/>
    <x v="710"/>
    <s v="0.0"/>
    <x v="0"/>
    <x v="0"/>
  </r>
  <r>
    <n v="1747"/>
    <x v="222"/>
    <s v="Customer payment received"/>
    <x v="273"/>
    <s v="2348.88"/>
    <x v="2"/>
    <x v="0"/>
  </r>
  <r>
    <n v="1748"/>
    <x v="222"/>
    <s v="Customer payment received"/>
    <x v="715"/>
    <s v="0.0"/>
    <x v="0"/>
    <x v="0"/>
  </r>
  <r>
    <n v="1748"/>
    <x v="222"/>
    <s v="Customer payment received"/>
    <x v="273"/>
    <s v="256.97"/>
    <x v="2"/>
    <x v="0"/>
  </r>
  <r>
    <n v="1749"/>
    <x v="222"/>
    <s v="Customer payment received"/>
    <x v="790"/>
    <s v="0.0"/>
    <x v="0"/>
    <x v="0"/>
  </r>
  <r>
    <n v="1749"/>
    <x v="222"/>
    <s v="Customer payment received"/>
    <x v="273"/>
    <s v="2091.49"/>
    <x v="2"/>
    <x v="0"/>
  </r>
  <r>
    <n v="1750"/>
    <x v="222"/>
    <s v="Customer payment received"/>
    <x v="842"/>
    <s v="0.0"/>
    <x v="0"/>
    <x v="0"/>
  </r>
  <r>
    <n v="1750"/>
    <x v="222"/>
    <s v="Customer payment received"/>
    <x v="273"/>
    <s v="41.18"/>
    <x v="2"/>
    <x v="0"/>
  </r>
  <r>
    <n v="1751"/>
    <x v="222"/>
    <s v="Supplier invoice received"/>
    <x v="338"/>
    <s v="0.0"/>
    <x v="9"/>
    <x v="4"/>
  </r>
  <r>
    <n v="1751"/>
    <x v="222"/>
    <s v="Supplier invoice received"/>
    <x v="339"/>
    <s v="0.0"/>
    <x v="10"/>
    <x v="0"/>
  </r>
  <r>
    <n v="1751"/>
    <x v="222"/>
    <s v="Supplier invoice received"/>
    <x v="273"/>
    <s v="1159.84"/>
    <x v="11"/>
    <x v="3"/>
  </r>
  <r>
    <n v="1752"/>
    <x v="222"/>
    <s v="Supplier invoice received"/>
    <x v="307"/>
    <s v="0.0"/>
    <x v="9"/>
    <x v="4"/>
  </r>
  <r>
    <n v="1752"/>
    <x v="222"/>
    <s v="Supplier invoice received"/>
    <x v="308"/>
    <s v="0.0"/>
    <x v="10"/>
    <x v="0"/>
  </r>
  <r>
    <n v="1752"/>
    <x v="222"/>
    <s v="Supplier invoice received"/>
    <x v="273"/>
    <s v="2093.28"/>
    <x v="11"/>
    <x v="3"/>
  </r>
  <r>
    <n v="1753"/>
    <x v="222"/>
    <s v="Supplier invoice received"/>
    <x v="441"/>
    <s v="0.0"/>
    <x v="9"/>
    <x v="4"/>
  </r>
  <r>
    <n v="1753"/>
    <x v="222"/>
    <s v="Supplier invoice received"/>
    <x v="442"/>
    <s v="0.0"/>
    <x v="10"/>
    <x v="0"/>
  </r>
  <r>
    <n v="1753"/>
    <x v="222"/>
    <s v="Supplier invoice received"/>
    <x v="273"/>
    <s v="179.01"/>
    <x v="11"/>
    <x v="3"/>
  </r>
  <r>
    <n v="1754"/>
    <x v="222"/>
    <s v="Supplier invoice received"/>
    <x v="405"/>
    <s v="0.0"/>
    <x v="9"/>
    <x v="4"/>
  </r>
  <r>
    <n v="1754"/>
    <x v="222"/>
    <s v="Supplier invoice received"/>
    <x v="406"/>
    <s v="0.0"/>
    <x v="10"/>
    <x v="0"/>
  </r>
  <r>
    <n v="1754"/>
    <x v="222"/>
    <s v="Supplier invoice received"/>
    <x v="273"/>
    <s v="2635.36"/>
    <x v="11"/>
    <x v="3"/>
  </r>
  <r>
    <n v="1755"/>
    <x v="222"/>
    <s v="Supplier payment made"/>
    <x v="393"/>
    <s v="0.0"/>
    <x v="11"/>
    <x v="3"/>
  </r>
  <r>
    <n v="1755"/>
    <x v="222"/>
    <s v="Supplier payment made"/>
    <x v="273"/>
    <s v="412.54"/>
    <x v="0"/>
    <x v="0"/>
  </r>
  <r>
    <n v="1756"/>
    <x v="223"/>
    <s v="Sales invoice issued"/>
    <x v="856"/>
    <s v="0.0"/>
    <x v="2"/>
    <x v="0"/>
  </r>
  <r>
    <n v="1756"/>
    <x v="223"/>
    <s v="Sales invoice issued"/>
    <x v="273"/>
    <s v="1914.33"/>
    <x v="3"/>
    <x v="2"/>
  </r>
  <r>
    <n v="1756"/>
    <x v="223"/>
    <s v="Sales invoice issued"/>
    <x v="273"/>
    <s v="143.57"/>
    <x v="4"/>
    <x v="3"/>
  </r>
  <r>
    <n v="1757"/>
    <x v="223"/>
    <s v="Sales invoice issued"/>
    <x v="857"/>
    <s v="0.0"/>
    <x v="2"/>
    <x v="0"/>
  </r>
  <r>
    <n v="1757"/>
    <x v="223"/>
    <s v="Sales invoice issued"/>
    <x v="273"/>
    <s v="4741.51"/>
    <x v="3"/>
    <x v="2"/>
  </r>
  <r>
    <n v="1757"/>
    <x v="223"/>
    <s v="Sales invoice issued"/>
    <x v="273"/>
    <s v="355.61"/>
    <x v="4"/>
    <x v="3"/>
  </r>
  <r>
    <n v="1758"/>
    <x v="223"/>
    <s v="Sales invoice issued"/>
    <x v="858"/>
    <s v="0.0"/>
    <x v="2"/>
    <x v="0"/>
  </r>
  <r>
    <n v="1758"/>
    <x v="223"/>
    <s v="Sales invoice issued"/>
    <x v="273"/>
    <s v="4788.3"/>
    <x v="3"/>
    <x v="2"/>
  </r>
  <r>
    <n v="1758"/>
    <x v="223"/>
    <s v="Sales invoice issued"/>
    <x v="273"/>
    <s v="359.12"/>
    <x v="4"/>
    <x v="3"/>
  </r>
  <r>
    <n v="1759"/>
    <x v="223"/>
    <s v="Sales invoice issued"/>
    <x v="859"/>
    <s v="0.0"/>
    <x v="2"/>
    <x v="0"/>
  </r>
  <r>
    <n v="1759"/>
    <x v="223"/>
    <s v="Sales invoice issued"/>
    <x v="273"/>
    <s v="4193.89"/>
    <x v="3"/>
    <x v="2"/>
  </r>
  <r>
    <n v="1759"/>
    <x v="223"/>
    <s v="Sales invoice issued"/>
    <x v="273"/>
    <s v="314.54"/>
    <x v="4"/>
    <x v="3"/>
  </r>
  <r>
    <n v="1760"/>
    <x v="223"/>
    <s v="Sales invoice issued"/>
    <x v="860"/>
    <s v="0.0"/>
    <x v="2"/>
    <x v="0"/>
  </r>
  <r>
    <n v="1760"/>
    <x v="223"/>
    <s v="Sales invoice issued"/>
    <x v="273"/>
    <s v="411.23"/>
    <x v="3"/>
    <x v="2"/>
  </r>
  <r>
    <n v="1760"/>
    <x v="223"/>
    <s v="Sales invoice issued"/>
    <x v="273"/>
    <s v="30.85"/>
    <x v="4"/>
    <x v="3"/>
  </r>
  <r>
    <n v="1761"/>
    <x v="223"/>
    <s v="Sales invoice issued"/>
    <x v="861"/>
    <s v="0.0"/>
    <x v="2"/>
    <x v="0"/>
  </r>
  <r>
    <n v="1761"/>
    <x v="223"/>
    <s v="Sales invoice issued"/>
    <x v="273"/>
    <s v="1470.29"/>
    <x v="3"/>
    <x v="2"/>
  </r>
  <r>
    <n v="1761"/>
    <x v="223"/>
    <s v="Sales invoice issued"/>
    <x v="273"/>
    <s v="110.28"/>
    <x v="4"/>
    <x v="3"/>
  </r>
  <r>
    <n v="1762"/>
    <x v="223"/>
    <s v="Sales invoice issued"/>
    <x v="862"/>
    <s v="0.0"/>
    <x v="2"/>
    <x v="0"/>
  </r>
  <r>
    <n v="1762"/>
    <x v="223"/>
    <s v="Sales invoice issued"/>
    <x v="273"/>
    <s v="3492.27"/>
    <x v="3"/>
    <x v="2"/>
  </r>
  <r>
    <n v="1762"/>
    <x v="223"/>
    <s v="Sales invoice issued"/>
    <x v="273"/>
    <s v="261.92"/>
    <x v="4"/>
    <x v="3"/>
  </r>
  <r>
    <n v="1763"/>
    <x v="223"/>
    <s v="Sales invoice issued"/>
    <x v="863"/>
    <s v="0.0"/>
    <x v="2"/>
    <x v="0"/>
  </r>
  <r>
    <n v="1763"/>
    <x v="223"/>
    <s v="Sales invoice issued"/>
    <x v="273"/>
    <s v="2089.51"/>
    <x v="3"/>
    <x v="2"/>
  </r>
  <r>
    <n v="1763"/>
    <x v="223"/>
    <s v="Sales invoice issued"/>
    <x v="273"/>
    <s v="156.72"/>
    <x v="4"/>
    <x v="3"/>
  </r>
  <r>
    <n v="1764"/>
    <x v="223"/>
    <s v="Sales invoice issued"/>
    <x v="864"/>
    <s v="0.0"/>
    <x v="2"/>
    <x v="0"/>
  </r>
  <r>
    <n v="1764"/>
    <x v="223"/>
    <s v="Sales invoice issued"/>
    <x v="273"/>
    <s v="4211.3"/>
    <x v="3"/>
    <x v="2"/>
  </r>
  <r>
    <n v="1764"/>
    <x v="223"/>
    <s v="Sales invoice issued"/>
    <x v="273"/>
    <s v="315.85"/>
    <x v="4"/>
    <x v="3"/>
  </r>
  <r>
    <n v="1765"/>
    <x v="223"/>
    <s v="Customer payment received"/>
    <x v="711"/>
    <s v="0.0"/>
    <x v="0"/>
    <x v="0"/>
  </r>
  <r>
    <n v="1765"/>
    <x v="223"/>
    <s v="Customer payment received"/>
    <x v="273"/>
    <s v="40.5"/>
    <x v="2"/>
    <x v="0"/>
  </r>
  <r>
    <n v="1766"/>
    <x v="223"/>
    <s v="Customer payment received"/>
    <x v="718"/>
    <s v="0.0"/>
    <x v="0"/>
    <x v="0"/>
  </r>
  <r>
    <n v="1766"/>
    <x v="223"/>
    <s v="Customer payment received"/>
    <x v="273"/>
    <s v="3325.87"/>
    <x v="2"/>
    <x v="0"/>
  </r>
  <r>
    <n v="1767"/>
    <x v="223"/>
    <s v="Customer payment received"/>
    <x v="758"/>
    <s v="0.0"/>
    <x v="0"/>
    <x v="0"/>
  </r>
  <r>
    <n v="1767"/>
    <x v="223"/>
    <s v="Customer payment received"/>
    <x v="273"/>
    <s v="663.77"/>
    <x v="2"/>
    <x v="0"/>
  </r>
  <r>
    <n v="1768"/>
    <x v="223"/>
    <s v="Customer payment received"/>
    <x v="768"/>
    <s v="0.0"/>
    <x v="0"/>
    <x v="0"/>
  </r>
  <r>
    <n v="1768"/>
    <x v="223"/>
    <s v="Customer payment received"/>
    <x v="273"/>
    <s v="306.16"/>
    <x v="2"/>
    <x v="0"/>
  </r>
  <r>
    <n v="1769"/>
    <x v="223"/>
    <s v="Customer payment received"/>
    <x v="865"/>
    <s v="0.0"/>
    <x v="0"/>
    <x v="0"/>
  </r>
  <r>
    <n v="1769"/>
    <x v="223"/>
    <s v="Customer payment received"/>
    <x v="273"/>
    <s v="1018.47"/>
    <x v="2"/>
    <x v="0"/>
  </r>
  <r>
    <n v="1770"/>
    <x v="223"/>
    <s v="Customer payment received"/>
    <x v="791"/>
    <s v="0.0"/>
    <x v="0"/>
    <x v="0"/>
  </r>
  <r>
    <n v="1770"/>
    <x v="223"/>
    <s v="Customer payment received"/>
    <x v="273"/>
    <s v="2356.48"/>
    <x v="2"/>
    <x v="0"/>
  </r>
  <r>
    <n v="1771"/>
    <x v="223"/>
    <s v="Customer payment received"/>
    <x v="809"/>
    <s v="0.0"/>
    <x v="0"/>
    <x v="0"/>
  </r>
  <r>
    <n v="1771"/>
    <x v="223"/>
    <s v="Customer payment received"/>
    <x v="273"/>
    <s v="70.71"/>
    <x v="2"/>
    <x v="0"/>
  </r>
  <r>
    <n v="1772"/>
    <x v="223"/>
    <s v="Customer payment received"/>
    <x v="816"/>
    <s v="0.0"/>
    <x v="0"/>
    <x v="0"/>
  </r>
  <r>
    <n v="1772"/>
    <x v="223"/>
    <s v="Customer payment received"/>
    <x v="273"/>
    <s v="1815.84"/>
    <x v="2"/>
    <x v="0"/>
  </r>
  <r>
    <n v="1773"/>
    <x v="223"/>
    <s v="Customer payment received"/>
    <x v="828"/>
    <s v="0.0"/>
    <x v="0"/>
    <x v="0"/>
  </r>
  <r>
    <n v="1773"/>
    <x v="223"/>
    <s v="Customer payment received"/>
    <x v="273"/>
    <s v="1844.6"/>
    <x v="2"/>
    <x v="0"/>
  </r>
  <r>
    <n v="1774"/>
    <x v="223"/>
    <s v="Supplier payment made"/>
    <x v="351"/>
    <s v="0.0"/>
    <x v="11"/>
    <x v="3"/>
  </r>
  <r>
    <n v="1774"/>
    <x v="223"/>
    <s v="Supplier payment made"/>
    <x v="273"/>
    <s v="179.01"/>
    <x v="0"/>
    <x v="0"/>
  </r>
  <r>
    <n v="1775"/>
    <x v="224"/>
    <s v="Sales invoice issued"/>
    <x v="866"/>
    <s v="0.0"/>
    <x v="2"/>
    <x v="0"/>
  </r>
  <r>
    <n v="1775"/>
    <x v="224"/>
    <s v="Sales invoice issued"/>
    <x v="273"/>
    <s v="632.1"/>
    <x v="3"/>
    <x v="2"/>
  </r>
  <r>
    <n v="1775"/>
    <x v="224"/>
    <s v="Sales invoice issued"/>
    <x v="273"/>
    <s v="47.41"/>
    <x v="4"/>
    <x v="3"/>
  </r>
  <r>
    <n v="1776"/>
    <x v="224"/>
    <s v="Sales invoice issued"/>
    <x v="867"/>
    <s v="0.0"/>
    <x v="2"/>
    <x v="0"/>
  </r>
  <r>
    <n v="1776"/>
    <x v="224"/>
    <s v="Sales invoice issued"/>
    <x v="273"/>
    <s v="208.23"/>
    <x v="3"/>
    <x v="2"/>
  </r>
  <r>
    <n v="1776"/>
    <x v="224"/>
    <s v="Sales invoice issued"/>
    <x v="273"/>
    <s v="15.62"/>
    <x v="4"/>
    <x v="3"/>
  </r>
  <r>
    <n v="1777"/>
    <x v="224"/>
    <s v="Sales invoice issued"/>
    <x v="868"/>
    <s v="0.0"/>
    <x v="2"/>
    <x v="0"/>
  </r>
  <r>
    <n v="1777"/>
    <x v="224"/>
    <s v="Sales invoice issued"/>
    <x v="273"/>
    <s v="268.92"/>
    <x v="3"/>
    <x v="2"/>
  </r>
  <r>
    <n v="1777"/>
    <x v="224"/>
    <s v="Sales invoice issued"/>
    <x v="273"/>
    <s v="20.17"/>
    <x v="4"/>
    <x v="3"/>
  </r>
  <r>
    <n v="1778"/>
    <x v="224"/>
    <s v="Sales invoice issued"/>
    <x v="869"/>
    <s v="0.0"/>
    <x v="2"/>
    <x v="0"/>
  </r>
  <r>
    <n v="1778"/>
    <x v="224"/>
    <s v="Sales invoice issued"/>
    <x v="273"/>
    <s v="2728.48"/>
    <x v="3"/>
    <x v="2"/>
  </r>
  <r>
    <n v="1778"/>
    <x v="224"/>
    <s v="Sales invoice issued"/>
    <x v="273"/>
    <s v="204.63"/>
    <x v="4"/>
    <x v="3"/>
  </r>
  <r>
    <n v="1779"/>
    <x v="224"/>
    <s v="Customer payment received"/>
    <x v="741"/>
    <s v="0.0"/>
    <x v="0"/>
    <x v="0"/>
  </r>
  <r>
    <n v="1779"/>
    <x v="224"/>
    <s v="Customer payment received"/>
    <x v="273"/>
    <s v="218.11"/>
    <x v="2"/>
    <x v="0"/>
  </r>
  <r>
    <n v="1780"/>
    <x v="224"/>
    <s v="Customer payment received"/>
    <x v="764"/>
    <s v="0.0"/>
    <x v="0"/>
    <x v="0"/>
  </r>
  <r>
    <n v="1780"/>
    <x v="224"/>
    <s v="Customer payment received"/>
    <x v="273"/>
    <s v="3695.13"/>
    <x v="2"/>
    <x v="0"/>
  </r>
  <r>
    <n v="1781"/>
    <x v="224"/>
    <s v="Customer payment received"/>
    <x v="853"/>
    <s v="0.0"/>
    <x v="0"/>
    <x v="0"/>
  </r>
  <r>
    <n v="1781"/>
    <x v="224"/>
    <s v="Customer payment received"/>
    <x v="273"/>
    <s v="2665.7"/>
    <x v="2"/>
    <x v="0"/>
  </r>
  <r>
    <n v="1782"/>
    <x v="224"/>
    <s v="Customer payment received"/>
    <x v="866"/>
    <s v="0.0"/>
    <x v="0"/>
    <x v="0"/>
  </r>
  <r>
    <n v="1782"/>
    <x v="224"/>
    <s v="Customer payment received"/>
    <x v="273"/>
    <s v="679.51"/>
    <x v="2"/>
    <x v="0"/>
  </r>
  <r>
    <n v="1783"/>
    <x v="224"/>
    <s v="Supplier invoice received"/>
    <x v="359"/>
    <s v="0.0"/>
    <x v="9"/>
    <x v="4"/>
  </r>
  <r>
    <n v="1783"/>
    <x v="224"/>
    <s v="Supplier invoice received"/>
    <x v="360"/>
    <s v="0.0"/>
    <x v="10"/>
    <x v="0"/>
  </r>
  <r>
    <n v="1783"/>
    <x v="224"/>
    <s v="Supplier invoice received"/>
    <x v="273"/>
    <s v="1591.54"/>
    <x v="11"/>
    <x v="3"/>
  </r>
  <r>
    <n v="1784"/>
    <x v="224"/>
    <s v="Supplier payment made"/>
    <x v="407"/>
    <s v="0.0"/>
    <x v="11"/>
    <x v="3"/>
  </r>
  <r>
    <n v="1784"/>
    <x v="224"/>
    <s v="Supplier payment made"/>
    <x v="273"/>
    <s v="201.5"/>
    <x v="0"/>
    <x v="0"/>
  </r>
  <r>
    <n v="1785"/>
    <x v="225"/>
    <s v="Payroll processed"/>
    <x v="535"/>
    <s v="0.0"/>
    <x v="5"/>
    <x v="4"/>
  </r>
  <r>
    <n v="1785"/>
    <x v="225"/>
    <s v="Payroll processed"/>
    <x v="536"/>
    <s v="0.0"/>
    <x v="6"/>
    <x v="4"/>
  </r>
  <r>
    <n v="1785"/>
    <x v="225"/>
    <s v="Payroll processed"/>
    <x v="273"/>
    <s v="17968.47"/>
    <x v="0"/>
    <x v="0"/>
  </r>
  <r>
    <n v="1785"/>
    <x v="225"/>
    <s v="Payroll processed"/>
    <x v="273"/>
    <s v="4069.27"/>
    <x v="7"/>
    <x v="3"/>
  </r>
  <r>
    <n v="1785"/>
    <x v="225"/>
    <s v="Payroll processed"/>
    <x v="273"/>
    <s v="881.51"/>
    <x v="8"/>
    <x v="3"/>
  </r>
  <r>
    <n v="1786"/>
    <x v="225"/>
    <s v="Sales invoice issued"/>
    <x v="870"/>
    <s v="0.0"/>
    <x v="2"/>
    <x v="0"/>
  </r>
  <r>
    <n v="1786"/>
    <x v="225"/>
    <s v="Sales invoice issued"/>
    <x v="273"/>
    <s v="3426.88"/>
    <x v="3"/>
    <x v="2"/>
  </r>
  <r>
    <n v="1786"/>
    <x v="225"/>
    <s v="Sales invoice issued"/>
    <x v="273"/>
    <s v="257.01"/>
    <x v="4"/>
    <x v="3"/>
  </r>
  <r>
    <n v="1787"/>
    <x v="225"/>
    <s v="Sales invoice issued"/>
    <x v="871"/>
    <s v="0.0"/>
    <x v="2"/>
    <x v="0"/>
  </r>
  <r>
    <n v="1787"/>
    <x v="225"/>
    <s v="Sales invoice issued"/>
    <x v="273"/>
    <s v="4677.49"/>
    <x v="3"/>
    <x v="2"/>
  </r>
  <r>
    <n v="1787"/>
    <x v="225"/>
    <s v="Sales invoice issued"/>
    <x v="273"/>
    <s v="350.81"/>
    <x v="4"/>
    <x v="3"/>
  </r>
  <r>
    <n v="1788"/>
    <x v="225"/>
    <s v="Sales invoice issued"/>
    <x v="872"/>
    <s v="0.0"/>
    <x v="2"/>
    <x v="0"/>
  </r>
  <r>
    <n v="1788"/>
    <x v="225"/>
    <s v="Sales invoice issued"/>
    <x v="273"/>
    <s v="4690.86"/>
    <x v="3"/>
    <x v="2"/>
  </r>
  <r>
    <n v="1788"/>
    <x v="225"/>
    <s v="Sales invoice issued"/>
    <x v="273"/>
    <s v="351.81"/>
    <x v="4"/>
    <x v="3"/>
  </r>
  <r>
    <n v="1789"/>
    <x v="225"/>
    <s v="Sales invoice issued"/>
    <x v="873"/>
    <s v="0.0"/>
    <x v="2"/>
    <x v="0"/>
  </r>
  <r>
    <n v="1789"/>
    <x v="225"/>
    <s v="Sales invoice issued"/>
    <x v="273"/>
    <s v="1091.05"/>
    <x v="3"/>
    <x v="2"/>
  </r>
  <r>
    <n v="1789"/>
    <x v="225"/>
    <s v="Sales invoice issued"/>
    <x v="273"/>
    <s v="81.83"/>
    <x v="4"/>
    <x v="3"/>
  </r>
  <r>
    <n v="1790"/>
    <x v="225"/>
    <s v="Sales invoice issued"/>
    <x v="874"/>
    <s v="0.0"/>
    <x v="2"/>
    <x v="0"/>
  </r>
  <r>
    <n v="1790"/>
    <x v="225"/>
    <s v="Sales invoice issued"/>
    <x v="273"/>
    <s v="583.45"/>
    <x v="3"/>
    <x v="2"/>
  </r>
  <r>
    <n v="1790"/>
    <x v="225"/>
    <s v="Sales invoice issued"/>
    <x v="273"/>
    <s v="43.75"/>
    <x v="4"/>
    <x v="3"/>
  </r>
  <r>
    <n v="1791"/>
    <x v="225"/>
    <s v="Customer payment received"/>
    <x v="735"/>
    <s v="0.0"/>
    <x v="0"/>
    <x v="0"/>
  </r>
  <r>
    <n v="1791"/>
    <x v="225"/>
    <s v="Customer payment received"/>
    <x v="273"/>
    <s v="2336.64"/>
    <x v="2"/>
    <x v="0"/>
  </r>
  <r>
    <n v="1792"/>
    <x v="225"/>
    <s v="Customer payment received"/>
    <x v="740"/>
    <s v="0.0"/>
    <x v="0"/>
    <x v="0"/>
  </r>
  <r>
    <n v="1792"/>
    <x v="225"/>
    <s v="Customer payment received"/>
    <x v="273"/>
    <s v="231.28"/>
    <x v="2"/>
    <x v="0"/>
  </r>
  <r>
    <n v="1793"/>
    <x v="225"/>
    <s v="Customer payment received"/>
    <x v="771"/>
    <s v="0.0"/>
    <x v="0"/>
    <x v="0"/>
  </r>
  <r>
    <n v="1793"/>
    <x v="225"/>
    <s v="Customer payment received"/>
    <x v="273"/>
    <s v="2709.09"/>
    <x v="2"/>
    <x v="0"/>
  </r>
  <r>
    <n v="1794"/>
    <x v="225"/>
    <s v="Customer payment received"/>
    <x v="875"/>
    <s v="0.0"/>
    <x v="0"/>
    <x v="0"/>
  </r>
  <r>
    <n v="1794"/>
    <x v="225"/>
    <s v="Customer payment received"/>
    <x v="273"/>
    <s v="1950.89"/>
    <x v="2"/>
    <x v="0"/>
  </r>
  <r>
    <n v="1795"/>
    <x v="225"/>
    <s v="Customer payment received"/>
    <x v="837"/>
    <s v="0.0"/>
    <x v="0"/>
    <x v="0"/>
  </r>
  <r>
    <n v="1795"/>
    <x v="225"/>
    <s v="Customer payment received"/>
    <x v="273"/>
    <s v="239.77"/>
    <x v="2"/>
    <x v="0"/>
  </r>
  <r>
    <n v="1796"/>
    <x v="225"/>
    <s v="Customer payment received"/>
    <x v="864"/>
    <s v="0.0"/>
    <x v="0"/>
    <x v="0"/>
  </r>
  <r>
    <n v="1796"/>
    <x v="225"/>
    <s v="Customer payment received"/>
    <x v="273"/>
    <s v="4527.15"/>
    <x v="2"/>
    <x v="0"/>
  </r>
  <r>
    <n v="1797"/>
    <x v="225"/>
    <s v="Supplier invoice received"/>
    <x v="374"/>
    <s v="0.0"/>
    <x v="9"/>
    <x v="4"/>
  </r>
  <r>
    <n v="1797"/>
    <x v="225"/>
    <s v="Supplier invoice received"/>
    <x v="375"/>
    <s v="0.0"/>
    <x v="10"/>
    <x v="0"/>
  </r>
  <r>
    <n v="1797"/>
    <x v="225"/>
    <s v="Supplier invoice received"/>
    <x v="273"/>
    <s v="2504.23"/>
    <x v="11"/>
    <x v="3"/>
  </r>
  <r>
    <n v="1798"/>
    <x v="225"/>
    <s v="Supplier payment made"/>
    <x v="313"/>
    <s v="0.0"/>
    <x v="11"/>
    <x v="3"/>
  </r>
  <r>
    <n v="1798"/>
    <x v="225"/>
    <s v="Supplier payment made"/>
    <x v="273"/>
    <s v="1159.84"/>
    <x v="0"/>
    <x v="0"/>
  </r>
  <r>
    <n v="1799"/>
    <x v="225"/>
    <s v="Supplier payment made"/>
    <x v="350"/>
    <s v="0.0"/>
    <x v="11"/>
    <x v="3"/>
  </r>
  <r>
    <n v="1799"/>
    <x v="225"/>
    <s v="Supplier payment made"/>
    <x v="273"/>
    <s v="1794.11"/>
    <x v="0"/>
    <x v="0"/>
  </r>
  <r>
    <n v="1800"/>
    <x v="225"/>
    <s v="Supplier payment made"/>
    <x v="313"/>
    <s v="0.0"/>
    <x v="11"/>
    <x v="3"/>
  </r>
  <r>
    <n v="1800"/>
    <x v="225"/>
    <s v="Supplier payment made"/>
    <x v="273"/>
    <s v="1159.84"/>
    <x v="0"/>
    <x v="0"/>
  </r>
  <r>
    <n v="1801"/>
    <x v="226"/>
    <s v="Sales invoice issued"/>
    <x v="876"/>
    <s v="0.0"/>
    <x v="2"/>
    <x v="0"/>
  </r>
  <r>
    <n v="1801"/>
    <x v="226"/>
    <s v="Sales invoice issued"/>
    <x v="273"/>
    <s v="531.88"/>
    <x v="3"/>
    <x v="2"/>
  </r>
  <r>
    <n v="1801"/>
    <x v="226"/>
    <s v="Sales invoice issued"/>
    <x v="273"/>
    <s v="39.89"/>
    <x v="4"/>
    <x v="3"/>
  </r>
  <r>
    <n v="1802"/>
    <x v="226"/>
    <s v="Sales invoice issued"/>
    <x v="877"/>
    <s v="0.0"/>
    <x v="2"/>
    <x v="0"/>
  </r>
  <r>
    <n v="1802"/>
    <x v="226"/>
    <s v="Sales invoice issued"/>
    <x v="273"/>
    <s v="1435.78"/>
    <x v="3"/>
    <x v="2"/>
  </r>
  <r>
    <n v="1802"/>
    <x v="226"/>
    <s v="Sales invoice issued"/>
    <x v="273"/>
    <s v="107.68"/>
    <x v="4"/>
    <x v="3"/>
  </r>
  <r>
    <n v="1803"/>
    <x v="226"/>
    <s v="Sales invoice issued"/>
    <x v="878"/>
    <s v="0.0"/>
    <x v="2"/>
    <x v="0"/>
  </r>
  <r>
    <n v="1803"/>
    <x v="226"/>
    <s v="Sales invoice issued"/>
    <x v="273"/>
    <s v="1378.19"/>
    <x v="3"/>
    <x v="2"/>
  </r>
  <r>
    <n v="1803"/>
    <x v="226"/>
    <s v="Sales invoice issued"/>
    <x v="273"/>
    <s v="103.37"/>
    <x v="4"/>
    <x v="3"/>
  </r>
  <r>
    <n v="1804"/>
    <x v="226"/>
    <s v="Customer payment received"/>
    <x v="802"/>
    <s v="0.0"/>
    <x v="0"/>
    <x v="0"/>
  </r>
  <r>
    <n v="1804"/>
    <x v="226"/>
    <s v="Customer payment received"/>
    <x v="273"/>
    <s v="5443.7"/>
    <x v="2"/>
    <x v="0"/>
  </r>
  <r>
    <n v="1805"/>
    <x v="226"/>
    <s v="Customer payment received"/>
    <x v="839"/>
    <s v="0.0"/>
    <x v="0"/>
    <x v="0"/>
  </r>
  <r>
    <n v="1805"/>
    <x v="226"/>
    <s v="Customer payment received"/>
    <x v="273"/>
    <s v="1286.73"/>
    <x v="2"/>
    <x v="0"/>
  </r>
  <r>
    <n v="1806"/>
    <x v="226"/>
    <s v="Customer payment received"/>
    <x v="873"/>
    <s v="0.0"/>
    <x v="0"/>
    <x v="0"/>
  </r>
  <r>
    <n v="1806"/>
    <x v="226"/>
    <s v="Customer payment received"/>
    <x v="273"/>
    <s v="1172.88"/>
    <x v="2"/>
    <x v="0"/>
  </r>
  <r>
    <n v="1807"/>
    <x v="226"/>
    <s v="Supplier invoice received"/>
    <x v="332"/>
    <s v="0.0"/>
    <x v="9"/>
    <x v="4"/>
  </r>
  <r>
    <n v="1807"/>
    <x v="226"/>
    <s v="Supplier invoice received"/>
    <x v="333"/>
    <s v="0.0"/>
    <x v="10"/>
    <x v="0"/>
  </r>
  <r>
    <n v="1807"/>
    <x v="226"/>
    <s v="Supplier invoice received"/>
    <x v="273"/>
    <s v="1023.42"/>
    <x v="11"/>
    <x v="3"/>
  </r>
  <r>
    <n v="1808"/>
    <x v="226"/>
    <s v="Supplier invoice received"/>
    <x v="295"/>
    <s v="0.0"/>
    <x v="9"/>
    <x v="4"/>
  </r>
  <r>
    <n v="1808"/>
    <x v="226"/>
    <s v="Supplier invoice received"/>
    <x v="296"/>
    <s v="0.0"/>
    <x v="10"/>
    <x v="0"/>
  </r>
  <r>
    <n v="1808"/>
    <x v="226"/>
    <s v="Supplier invoice received"/>
    <x v="273"/>
    <s v="1766.46"/>
    <x v="11"/>
    <x v="3"/>
  </r>
  <r>
    <n v="1809"/>
    <x v="226"/>
    <s v="Supplier invoice received"/>
    <x v="307"/>
    <s v="0.0"/>
    <x v="9"/>
    <x v="4"/>
  </r>
  <r>
    <n v="1809"/>
    <x v="226"/>
    <s v="Supplier invoice received"/>
    <x v="308"/>
    <s v="0.0"/>
    <x v="10"/>
    <x v="0"/>
  </r>
  <r>
    <n v="1809"/>
    <x v="226"/>
    <s v="Supplier invoice received"/>
    <x v="273"/>
    <s v="2093.28"/>
    <x v="11"/>
    <x v="3"/>
  </r>
  <r>
    <n v="1810"/>
    <x v="226"/>
    <s v="Supplier payment made"/>
    <x v="393"/>
    <s v="0.0"/>
    <x v="11"/>
    <x v="3"/>
  </r>
  <r>
    <n v="1810"/>
    <x v="226"/>
    <s v="Supplier payment made"/>
    <x v="273"/>
    <s v="412.54"/>
    <x v="0"/>
    <x v="0"/>
  </r>
  <r>
    <n v="1811"/>
    <x v="226"/>
    <s v="Supplier payment made"/>
    <x v="336"/>
    <s v="0.0"/>
    <x v="11"/>
    <x v="3"/>
  </r>
  <r>
    <n v="1811"/>
    <x v="226"/>
    <s v="Supplier payment made"/>
    <x v="273"/>
    <s v="2093.28"/>
    <x v="0"/>
    <x v="0"/>
  </r>
  <r>
    <n v="1812"/>
    <x v="226"/>
    <s v="Supplier payment made"/>
    <x v="318"/>
    <s v="0.0"/>
    <x v="11"/>
    <x v="3"/>
  </r>
  <r>
    <n v="1812"/>
    <x v="226"/>
    <s v="Supplier payment made"/>
    <x v="273"/>
    <s v="2504.23"/>
    <x v="0"/>
    <x v="0"/>
  </r>
  <r>
    <n v="1813"/>
    <x v="227"/>
    <s v="Sales invoice issued"/>
    <x v="879"/>
    <s v="0.0"/>
    <x v="2"/>
    <x v="0"/>
  </r>
  <r>
    <n v="1813"/>
    <x v="227"/>
    <s v="Sales invoice issued"/>
    <x v="273"/>
    <s v="3129.27"/>
    <x v="3"/>
    <x v="2"/>
  </r>
  <r>
    <n v="1813"/>
    <x v="227"/>
    <s v="Sales invoice issued"/>
    <x v="273"/>
    <s v="234.7"/>
    <x v="4"/>
    <x v="3"/>
  </r>
  <r>
    <n v="1814"/>
    <x v="227"/>
    <s v="Sales invoice issued"/>
    <x v="880"/>
    <s v="0.0"/>
    <x v="2"/>
    <x v="0"/>
  </r>
  <r>
    <n v="1814"/>
    <x v="227"/>
    <s v="Sales invoice issued"/>
    <x v="273"/>
    <s v="3924.18"/>
    <x v="3"/>
    <x v="2"/>
  </r>
  <r>
    <n v="1814"/>
    <x v="227"/>
    <s v="Sales invoice issued"/>
    <x v="273"/>
    <s v="294.32"/>
    <x v="4"/>
    <x v="3"/>
  </r>
  <r>
    <n v="1815"/>
    <x v="227"/>
    <s v="Sales invoice issued"/>
    <x v="881"/>
    <s v="0.0"/>
    <x v="2"/>
    <x v="0"/>
  </r>
  <r>
    <n v="1815"/>
    <x v="227"/>
    <s v="Sales invoice issued"/>
    <x v="273"/>
    <s v="975.76"/>
    <x v="3"/>
    <x v="2"/>
  </r>
  <r>
    <n v="1815"/>
    <x v="227"/>
    <s v="Sales invoice issued"/>
    <x v="273"/>
    <s v="73.18"/>
    <x v="4"/>
    <x v="3"/>
  </r>
  <r>
    <n v="1816"/>
    <x v="227"/>
    <s v="Sales invoice issued"/>
    <x v="882"/>
    <s v="0.0"/>
    <x v="2"/>
    <x v="0"/>
  </r>
  <r>
    <n v="1816"/>
    <x v="227"/>
    <s v="Sales invoice issued"/>
    <x v="273"/>
    <s v="3335.71"/>
    <x v="3"/>
    <x v="2"/>
  </r>
  <r>
    <n v="1816"/>
    <x v="227"/>
    <s v="Sales invoice issued"/>
    <x v="273"/>
    <s v="250.18"/>
    <x v="4"/>
    <x v="3"/>
  </r>
  <r>
    <n v="1817"/>
    <x v="227"/>
    <s v="Sales invoice issued"/>
    <x v="883"/>
    <s v="0.0"/>
    <x v="2"/>
    <x v="0"/>
  </r>
  <r>
    <n v="1817"/>
    <x v="227"/>
    <s v="Sales invoice issued"/>
    <x v="273"/>
    <s v="618.52"/>
    <x v="3"/>
    <x v="2"/>
  </r>
  <r>
    <n v="1817"/>
    <x v="227"/>
    <s v="Sales invoice issued"/>
    <x v="273"/>
    <s v="46.39"/>
    <x v="4"/>
    <x v="3"/>
  </r>
  <r>
    <n v="1818"/>
    <x v="227"/>
    <s v="Customer payment received"/>
    <x v="778"/>
    <s v="0.0"/>
    <x v="0"/>
    <x v="0"/>
  </r>
  <r>
    <n v="1818"/>
    <x v="227"/>
    <s v="Customer payment received"/>
    <x v="273"/>
    <s v="906.22"/>
    <x v="2"/>
    <x v="0"/>
  </r>
  <r>
    <n v="1819"/>
    <x v="227"/>
    <s v="Customer payment received"/>
    <x v="813"/>
    <s v="0.0"/>
    <x v="0"/>
    <x v="0"/>
  </r>
  <r>
    <n v="1819"/>
    <x v="227"/>
    <s v="Customer payment received"/>
    <x v="273"/>
    <s v="259.69"/>
    <x v="2"/>
    <x v="0"/>
  </r>
  <r>
    <n v="1820"/>
    <x v="227"/>
    <s v="Customer payment received"/>
    <x v="840"/>
    <s v="0.0"/>
    <x v="0"/>
    <x v="0"/>
  </r>
  <r>
    <n v="1820"/>
    <x v="227"/>
    <s v="Customer payment received"/>
    <x v="273"/>
    <s v="2261.8"/>
    <x v="2"/>
    <x v="0"/>
  </r>
  <r>
    <n v="1821"/>
    <x v="227"/>
    <s v="Customer payment received"/>
    <x v="874"/>
    <s v="0.0"/>
    <x v="0"/>
    <x v="0"/>
  </r>
  <r>
    <n v="1821"/>
    <x v="227"/>
    <s v="Customer payment received"/>
    <x v="273"/>
    <s v="627.2"/>
    <x v="2"/>
    <x v="0"/>
  </r>
  <r>
    <n v="1822"/>
    <x v="227"/>
    <s v="Supplier invoice received"/>
    <x v="443"/>
    <s v="0.0"/>
    <x v="9"/>
    <x v="4"/>
  </r>
  <r>
    <n v="1822"/>
    <x v="227"/>
    <s v="Supplier invoice received"/>
    <x v="444"/>
    <s v="0.0"/>
    <x v="10"/>
    <x v="0"/>
  </r>
  <r>
    <n v="1822"/>
    <x v="227"/>
    <s v="Supplier invoice received"/>
    <x v="273"/>
    <s v="748.26"/>
    <x v="11"/>
    <x v="3"/>
  </r>
  <r>
    <n v="1823"/>
    <x v="227"/>
    <s v="Supplier invoice received"/>
    <x v="301"/>
    <s v="0.0"/>
    <x v="9"/>
    <x v="4"/>
  </r>
  <r>
    <n v="1823"/>
    <x v="227"/>
    <s v="Supplier invoice received"/>
    <x v="302"/>
    <s v="0.0"/>
    <x v="10"/>
    <x v="0"/>
  </r>
  <r>
    <n v="1823"/>
    <x v="227"/>
    <s v="Supplier invoice received"/>
    <x v="273"/>
    <s v="4812.46"/>
    <x v="11"/>
    <x v="3"/>
  </r>
  <r>
    <n v="1824"/>
    <x v="227"/>
    <s v="Supplier invoice received"/>
    <x v="303"/>
    <s v="0.0"/>
    <x v="9"/>
    <x v="4"/>
  </r>
  <r>
    <n v="1824"/>
    <x v="227"/>
    <s v="Supplier invoice received"/>
    <x v="304"/>
    <s v="0.0"/>
    <x v="10"/>
    <x v="0"/>
  </r>
  <r>
    <n v="1824"/>
    <x v="227"/>
    <s v="Supplier invoice received"/>
    <x v="273"/>
    <s v="550.4"/>
    <x v="11"/>
    <x v="3"/>
  </r>
  <r>
    <n v="1825"/>
    <x v="227"/>
    <s v="Supplier invoice received"/>
    <x v="305"/>
    <s v="0.0"/>
    <x v="9"/>
    <x v="4"/>
  </r>
  <r>
    <n v="1825"/>
    <x v="227"/>
    <s v="Supplier invoice received"/>
    <x v="306"/>
    <s v="0.0"/>
    <x v="10"/>
    <x v="0"/>
  </r>
  <r>
    <n v="1825"/>
    <x v="227"/>
    <s v="Supplier invoice received"/>
    <x v="273"/>
    <s v="276.32"/>
    <x v="11"/>
    <x v="3"/>
  </r>
  <r>
    <n v="1826"/>
    <x v="227"/>
    <s v="Supplier invoice received"/>
    <x v="325"/>
    <s v="0.0"/>
    <x v="9"/>
    <x v="4"/>
  </r>
  <r>
    <n v="1826"/>
    <x v="227"/>
    <s v="Supplier invoice received"/>
    <x v="326"/>
    <s v="0.0"/>
    <x v="10"/>
    <x v="0"/>
  </r>
  <r>
    <n v="1826"/>
    <x v="227"/>
    <s v="Supplier invoice received"/>
    <x v="273"/>
    <s v="1304.62"/>
    <x v="11"/>
    <x v="3"/>
  </r>
  <r>
    <n v="1827"/>
    <x v="227"/>
    <s v="Supplier invoice received"/>
    <x v="330"/>
    <s v="0.0"/>
    <x v="9"/>
    <x v="4"/>
  </r>
  <r>
    <n v="1827"/>
    <x v="227"/>
    <s v="Supplier invoice received"/>
    <x v="331"/>
    <s v="0.0"/>
    <x v="10"/>
    <x v="0"/>
  </r>
  <r>
    <n v="1827"/>
    <x v="227"/>
    <s v="Supplier invoice received"/>
    <x v="273"/>
    <s v="1935.04"/>
    <x v="11"/>
    <x v="3"/>
  </r>
  <r>
    <n v="1828"/>
    <x v="227"/>
    <s v="Supplier invoice received"/>
    <x v="299"/>
    <s v="0.0"/>
    <x v="9"/>
    <x v="4"/>
  </r>
  <r>
    <n v="1828"/>
    <x v="227"/>
    <s v="Supplier invoice received"/>
    <x v="300"/>
    <s v="0.0"/>
    <x v="10"/>
    <x v="0"/>
  </r>
  <r>
    <n v="1828"/>
    <x v="227"/>
    <s v="Supplier invoice received"/>
    <x v="273"/>
    <s v="2918.17"/>
    <x v="11"/>
    <x v="3"/>
  </r>
  <r>
    <n v="1829"/>
    <x v="227"/>
    <s v="Supplier invoice received"/>
    <x v="474"/>
    <s v="0.0"/>
    <x v="9"/>
    <x v="4"/>
  </r>
  <r>
    <n v="1829"/>
    <x v="227"/>
    <s v="Supplier invoice received"/>
    <x v="475"/>
    <s v="0.0"/>
    <x v="10"/>
    <x v="0"/>
  </r>
  <r>
    <n v="1829"/>
    <x v="227"/>
    <s v="Supplier invoice received"/>
    <x v="273"/>
    <s v="862.91"/>
    <x v="11"/>
    <x v="3"/>
  </r>
  <r>
    <n v="1830"/>
    <x v="227"/>
    <s v="Supplier invoice received"/>
    <x v="461"/>
    <s v="0.0"/>
    <x v="9"/>
    <x v="4"/>
  </r>
  <r>
    <n v="1830"/>
    <x v="227"/>
    <s v="Supplier invoice received"/>
    <x v="462"/>
    <s v="0.0"/>
    <x v="10"/>
    <x v="0"/>
  </r>
  <r>
    <n v="1830"/>
    <x v="227"/>
    <s v="Supplier invoice received"/>
    <x v="273"/>
    <s v="2182.41"/>
    <x v="11"/>
    <x v="3"/>
  </r>
  <r>
    <n v="1831"/>
    <x v="227"/>
    <s v="Supplier invoice received"/>
    <x v="383"/>
    <s v="0.0"/>
    <x v="9"/>
    <x v="4"/>
  </r>
  <r>
    <n v="1831"/>
    <x v="227"/>
    <s v="Supplier invoice received"/>
    <x v="384"/>
    <s v="0.0"/>
    <x v="10"/>
    <x v="0"/>
  </r>
  <r>
    <n v="1831"/>
    <x v="227"/>
    <s v="Supplier invoice received"/>
    <x v="273"/>
    <s v="3868.8"/>
    <x v="11"/>
    <x v="3"/>
  </r>
  <r>
    <n v="1832"/>
    <x v="227"/>
    <s v="Supplier invoice received"/>
    <x v="374"/>
    <s v="0.0"/>
    <x v="9"/>
    <x v="4"/>
  </r>
  <r>
    <n v="1832"/>
    <x v="227"/>
    <s v="Supplier invoice received"/>
    <x v="375"/>
    <s v="0.0"/>
    <x v="10"/>
    <x v="0"/>
  </r>
  <r>
    <n v="1832"/>
    <x v="227"/>
    <s v="Supplier invoice received"/>
    <x v="273"/>
    <s v="2504.23"/>
    <x v="11"/>
    <x v="3"/>
  </r>
  <r>
    <n v="1833"/>
    <x v="227"/>
    <s v="Supplier payment made"/>
    <x v="351"/>
    <s v="0.0"/>
    <x v="11"/>
    <x v="3"/>
  </r>
  <r>
    <n v="1833"/>
    <x v="227"/>
    <s v="Supplier payment made"/>
    <x v="273"/>
    <s v="179.01"/>
    <x v="0"/>
    <x v="0"/>
  </r>
  <r>
    <n v="1834"/>
    <x v="227"/>
    <s v="Supplier payment made"/>
    <x v="340"/>
    <s v="0.0"/>
    <x v="11"/>
    <x v="3"/>
  </r>
  <r>
    <n v="1834"/>
    <x v="227"/>
    <s v="Supplier payment made"/>
    <x v="273"/>
    <s v="1304.62"/>
    <x v="0"/>
    <x v="0"/>
  </r>
  <r>
    <n v="1835"/>
    <x v="228"/>
    <s v="Sales invoice issued"/>
    <x v="884"/>
    <s v="0.0"/>
    <x v="2"/>
    <x v="0"/>
  </r>
  <r>
    <n v="1835"/>
    <x v="228"/>
    <s v="Sales invoice issued"/>
    <x v="273"/>
    <s v="485.87"/>
    <x v="3"/>
    <x v="2"/>
  </r>
  <r>
    <n v="1835"/>
    <x v="228"/>
    <s v="Sales invoice issued"/>
    <x v="273"/>
    <s v="36.44"/>
    <x v="4"/>
    <x v="3"/>
  </r>
  <r>
    <n v="1836"/>
    <x v="228"/>
    <s v="Sales invoice issued"/>
    <x v="885"/>
    <s v="0.0"/>
    <x v="2"/>
    <x v="0"/>
  </r>
  <r>
    <n v="1836"/>
    <x v="228"/>
    <s v="Sales invoice issued"/>
    <x v="273"/>
    <s v="3290.18"/>
    <x v="3"/>
    <x v="2"/>
  </r>
  <r>
    <n v="1836"/>
    <x v="228"/>
    <s v="Sales invoice issued"/>
    <x v="273"/>
    <s v="246.77"/>
    <x v="4"/>
    <x v="3"/>
  </r>
  <r>
    <n v="1837"/>
    <x v="228"/>
    <s v="Sales invoice issued"/>
    <x v="886"/>
    <s v="0.0"/>
    <x v="2"/>
    <x v="0"/>
  </r>
  <r>
    <n v="1837"/>
    <x v="228"/>
    <s v="Sales invoice issued"/>
    <x v="273"/>
    <s v="3444.11"/>
    <x v="3"/>
    <x v="2"/>
  </r>
  <r>
    <n v="1837"/>
    <x v="228"/>
    <s v="Sales invoice issued"/>
    <x v="273"/>
    <s v="258.31"/>
    <x v="4"/>
    <x v="3"/>
  </r>
  <r>
    <n v="1838"/>
    <x v="228"/>
    <s v="Sales invoice issued"/>
    <x v="887"/>
    <s v="0.0"/>
    <x v="2"/>
    <x v="0"/>
  </r>
  <r>
    <n v="1838"/>
    <x v="228"/>
    <s v="Sales invoice issued"/>
    <x v="273"/>
    <s v="902.73"/>
    <x v="3"/>
    <x v="2"/>
  </r>
  <r>
    <n v="1838"/>
    <x v="228"/>
    <s v="Sales invoice issued"/>
    <x v="273"/>
    <s v="67.71"/>
    <x v="4"/>
    <x v="3"/>
  </r>
  <r>
    <n v="1839"/>
    <x v="228"/>
    <s v="Sales invoice issued"/>
    <x v="888"/>
    <s v="0.0"/>
    <x v="2"/>
    <x v="0"/>
  </r>
  <r>
    <n v="1839"/>
    <x v="228"/>
    <s v="Sales invoice issued"/>
    <x v="273"/>
    <s v="6333.87"/>
    <x v="3"/>
    <x v="2"/>
  </r>
  <r>
    <n v="1839"/>
    <x v="228"/>
    <s v="Sales invoice issued"/>
    <x v="273"/>
    <s v="475.04"/>
    <x v="4"/>
    <x v="3"/>
  </r>
  <r>
    <n v="1840"/>
    <x v="228"/>
    <s v="Sales invoice issued"/>
    <x v="889"/>
    <s v="0.0"/>
    <x v="2"/>
    <x v="0"/>
  </r>
  <r>
    <n v="1840"/>
    <x v="228"/>
    <s v="Sales invoice issued"/>
    <x v="273"/>
    <s v="3488.36"/>
    <x v="3"/>
    <x v="2"/>
  </r>
  <r>
    <n v="1840"/>
    <x v="228"/>
    <s v="Sales invoice issued"/>
    <x v="273"/>
    <s v="261.63"/>
    <x v="4"/>
    <x v="3"/>
  </r>
  <r>
    <n v="1841"/>
    <x v="228"/>
    <s v="Customer payment received"/>
    <x v="719"/>
    <s v="0.0"/>
    <x v="0"/>
    <x v="0"/>
  </r>
  <r>
    <n v="1841"/>
    <x v="228"/>
    <s v="Customer payment received"/>
    <x v="273"/>
    <s v="6654.24"/>
    <x v="2"/>
    <x v="0"/>
  </r>
  <r>
    <n v="1842"/>
    <x v="228"/>
    <s v="Customer payment received"/>
    <x v="724"/>
    <s v="0.0"/>
    <x v="0"/>
    <x v="0"/>
  </r>
  <r>
    <n v="1842"/>
    <x v="228"/>
    <s v="Customer payment received"/>
    <x v="273"/>
    <s v="2365.94"/>
    <x v="2"/>
    <x v="0"/>
  </r>
  <r>
    <n v="1843"/>
    <x v="228"/>
    <s v="Customer payment received"/>
    <x v="773"/>
    <s v="0.0"/>
    <x v="0"/>
    <x v="0"/>
  </r>
  <r>
    <n v="1843"/>
    <x v="228"/>
    <s v="Customer payment received"/>
    <x v="273"/>
    <s v="2236.14"/>
    <x v="2"/>
    <x v="0"/>
  </r>
  <r>
    <n v="1844"/>
    <x v="228"/>
    <s v="Customer payment received"/>
    <x v="782"/>
    <s v="0.0"/>
    <x v="0"/>
    <x v="0"/>
  </r>
  <r>
    <n v="1844"/>
    <x v="228"/>
    <s v="Customer payment received"/>
    <x v="273"/>
    <s v="1469.68"/>
    <x v="2"/>
    <x v="0"/>
  </r>
  <r>
    <n v="1845"/>
    <x v="228"/>
    <s v="Customer payment received"/>
    <x v="797"/>
    <s v="0.0"/>
    <x v="0"/>
    <x v="0"/>
  </r>
  <r>
    <n v="1845"/>
    <x v="228"/>
    <s v="Customer payment received"/>
    <x v="273"/>
    <s v="1366.89"/>
    <x v="2"/>
    <x v="0"/>
  </r>
  <r>
    <n v="1846"/>
    <x v="228"/>
    <s v="Customer payment received"/>
    <x v="830"/>
    <s v="0.0"/>
    <x v="0"/>
    <x v="0"/>
  </r>
  <r>
    <n v="1846"/>
    <x v="228"/>
    <s v="Customer payment received"/>
    <x v="273"/>
    <s v="4097.69"/>
    <x v="2"/>
    <x v="0"/>
  </r>
  <r>
    <n v="1847"/>
    <x v="228"/>
    <s v="Customer payment received"/>
    <x v="868"/>
    <s v="0.0"/>
    <x v="0"/>
    <x v="0"/>
  </r>
  <r>
    <n v="1847"/>
    <x v="228"/>
    <s v="Customer payment received"/>
    <x v="273"/>
    <s v="289.09"/>
    <x v="2"/>
    <x v="0"/>
  </r>
  <r>
    <n v="1848"/>
    <x v="228"/>
    <s v="Customer payment received"/>
    <x v="870"/>
    <s v="0.0"/>
    <x v="0"/>
    <x v="0"/>
  </r>
  <r>
    <n v="1848"/>
    <x v="228"/>
    <s v="Customer payment received"/>
    <x v="273"/>
    <s v="3683.89"/>
    <x v="2"/>
    <x v="0"/>
  </r>
  <r>
    <n v="1849"/>
    <x v="228"/>
    <s v="Customer payment received"/>
    <x v="880"/>
    <s v="0.0"/>
    <x v="0"/>
    <x v="0"/>
  </r>
  <r>
    <n v="1849"/>
    <x v="228"/>
    <s v="Customer payment received"/>
    <x v="273"/>
    <s v="4218.5"/>
    <x v="2"/>
    <x v="0"/>
  </r>
  <r>
    <n v="1850"/>
    <x v="228"/>
    <s v="Customer payment received"/>
    <x v="887"/>
    <s v="0.0"/>
    <x v="0"/>
    <x v="0"/>
  </r>
  <r>
    <n v="1850"/>
    <x v="228"/>
    <s v="Customer payment received"/>
    <x v="273"/>
    <s v="970.44"/>
    <x v="2"/>
    <x v="0"/>
  </r>
  <r>
    <n v="1851"/>
    <x v="228"/>
    <s v="Supplier invoice received"/>
    <x v="284"/>
    <s v="0.0"/>
    <x v="9"/>
    <x v="4"/>
  </r>
  <r>
    <n v="1851"/>
    <x v="228"/>
    <s v="Supplier invoice received"/>
    <x v="285"/>
    <s v="0.0"/>
    <x v="10"/>
    <x v="0"/>
  </r>
  <r>
    <n v="1851"/>
    <x v="228"/>
    <s v="Supplier invoice received"/>
    <x v="273"/>
    <s v="9336.67"/>
    <x v="11"/>
    <x v="3"/>
  </r>
  <r>
    <n v="1852"/>
    <x v="229"/>
    <s v="Sales invoice issued"/>
    <x v="890"/>
    <s v="0.0"/>
    <x v="2"/>
    <x v="0"/>
  </r>
  <r>
    <n v="1852"/>
    <x v="229"/>
    <s v="Sales invoice issued"/>
    <x v="273"/>
    <s v="5223.79"/>
    <x v="3"/>
    <x v="2"/>
  </r>
  <r>
    <n v="1852"/>
    <x v="229"/>
    <s v="Sales invoice issued"/>
    <x v="273"/>
    <s v="391.79"/>
    <x v="4"/>
    <x v="3"/>
  </r>
  <r>
    <n v="1853"/>
    <x v="229"/>
    <s v="Sales invoice issued"/>
    <x v="891"/>
    <s v="0.0"/>
    <x v="2"/>
    <x v="0"/>
  </r>
  <r>
    <n v="1853"/>
    <x v="229"/>
    <s v="Sales invoice issued"/>
    <x v="273"/>
    <s v="1877.34"/>
    <x v="3"/>
    <x v="2"/>
  </r>
  <r>
    <n v="1853"/>
    <x v="229"/>
    <s v="Sales invoice issued"/>
    <x v="273"/>
    <s v="140.8"/>
    <x v="4"/>
    <x v="3"/>
  </r>
  <r>
    <n v="1854"/>
    <x v="229"/>
    <s v="Sales invoice issued"/>
    <x v="892"/>
    <s v="0.0"/>
    <x v="2"/>
    <x v="0"/>
  </r>
  <r>
    <n v="1854"/>
    <x v="229"/>
    <s v="Sales invoice issued"/>
    <x v="273"/>
    <s v="669.41"/>
    <x v="3"/>
    <x v="2"/>
  </r>
  <r>
    <n v="1854"/>
    <x v="229"/>
    <s v="Sales invoice issued"/>
    <x v="273"/>
    <s v="50.2"/>
    <x v="4"/>
    <x v="3"/>
  </r>
  <r>
    <n v="1855"/>
    <x v="229"/>
    <s v="Sales invoice issued"/>
    <x v="893"/>
    <s v="0.0"/>
    <x v="2"/>
    <x v="0"/>
  </r>
  <r>
    <n v="1855"/>
    <x v="229"/>
    <s v="Sales invoice issued"/>
    <x v="273"/>
    <s v="2614.61"/>
    <x v="3"/>
    <x v="2"/>
  </r>
  <r>
    <n v="1855"/>
    <x v="229"/>
    <s v="Sales invoice issued"/>
    <x v="273"/>
    <s v="196.1"/>
    <x v="4"/>
    <x v="3"/>
  </r>
  <r>
    <n v="1856"/>
    <x v="229"/>
    <s v="Sales invoice issued"/>
    <x v="894"/>
    <s v="0.0"/>
    <x v="2"/>
    <x v="0"/>
  </r>
  <r>
    <n v="1856"/>
    <x v="229"/>
    <s v="Sales invoice issued"/>
    <x v="273"/>
    <s v="2438.54"/>
    <x v="3"/>
    <x v="2"/>
  </r>
  <r>
    <n v="1856"/>
    <x v="229"/>
    <s v="Sales invoice issued"/>
    <x v="273"/>
    <s v="182.9"/>
    <x v="4"/>
    <x v="3"/>
  </r>
  <r>
    <n v="1857"/>
    <x v="229"/>
    <s v="Sales invoice issued"/>
    <x v="895"/>
    <s v="0.0"/>
    <x v="2"/>
    <x v="0"/>
  </r>
  <r>
    <n v="1857"/>
    <x v="229"/>
    <s v="Sales invoice issued"/>
    <x v="273"/>
    <s v="3232.32"/>
    <x v="3"/>
    <x v="2"/>
  </r>
  <r>
    <n v="1857"/>
    <x v="229"/>
    <s v="Sales invoice issued"/>
    <x v="273"/>
    <s v="242.43"/>
    <x v="4"/>
    <x v="3"/>
  </r>
  <r>
    <n v="1858"/>
    <x v="229"/>
    <s v="Sales invoice issued"/>
    <x v="896"/>
    <s v="0.0"/>
    <x v="2"/>
    <x v="0"/>
  </r>
  <r>
    <n v="1858"/>
    <x v="229"/>
    <s v="Sales invoice issued"/>
    <x v="273"/>
    <s v="726.42"/>
    <x v="3"/>
    <x v="2"/>
  </r>
  <r>
    <n v="1858"/>
    <x v="229"/>
    <s v="Sales invoice issued"/>
    <x v="273"/>
    <s v="54.48"/>
    <x v="4"/>
    <x v="3"/>
  </r>
  <r>
    <n v="1859"/>
    <x v="229"/>
    <s v="Customer payment received"/>
    <x v="812"/>
    <s v="0.0"/>
    <x v="0"/>
    <x v="0"/>
  </r>
  <r>
    <n v="1859"/>
    <x v="229"/>
    <s v="Customer payment received"/>
    <x v="273"/>
    <s v="3776.97"/>
    <x v="2"/>
    <x v="0"/>
  </r>
  <r>
    <n v="1860"/>
    <x v="229"/>
    <s v="Customer payment received"/>
    <x v="841"/>
    <s v="0.0"/>
    <x v="0"/>
    <x v="0"/>
  </r>
  <r>
    <n v="1860"/>
    <x v="229"/>
    <s v="Customer payment received"/>
    <x v="273"/>
    <s v="1521.85"/>
    <x v="2"/>
    <x v="0"/>
  </r>
  <r>
    <n v="1861"/>
    <x v="229"/>
    <s v="Supplier invoice received"/>
    <x v="357"/>
    <s v="0.0"/>
    <x v="9"/>
    <x v="4"/>
  </r>
  <r>
    <n v="1861"/>
    <x v="229"/>
    <s v="Supplier invoice received"/>
    <x v="358"/>
    <s v="0.0"/>
    <x v="10"/>
    <x v="0"/>
  </r>
  <r>
    <n v="1861"/>
    <x v="229"/>
    <s v="Supplier invoice received"/>
    <x v="273"/>
    <s v="1958.74"/>
    <x v="11"/>
    <x v="3"/>
  </r>
  <r>
    <n v="1862"/>
    <x v="229"/>
    <s v="Supplier payment made"/>
    <x v="280"/>
    <s v="0.0"/>
    <x v="11"/>
    <x v="3"/>
  </r>
  <r>
    <n v="1862"/>
    <x v="229"/>
    <s v="Supplier payment made"/>
    <x v="273"/>
    <s v="2635.36"/>
    <x v="0"/>
    <x v="0"/>
  </r>
  <r>
    <n v="1863"/>
    <x v="230"/>
    <s v="Sales invoice issued"/>
    <x v="897"/>
    <s v="0.0"/>
    <x v="2"/>
    <x v="0"/>
  </r>
  <r>
    <n v="1863"/>
    <x v="230"/>
    <s v="Sales invoice issued"/>
    <x v="273"/>
    <s v="4121.52"/>
    <x v="3"/>
    <x v="2"/>
  </r>
  <r>
    <n v="1863"/>
    <x v="230"/>
    <s v="Sales invoice issued"/>
    <x v="273"/>
    <s v="309.12"/>
    <x v="4"/>
    <x v="3"/>
  </r>
  <r>
    <n v="1864"/>
    <x v="230"/>
    <s v="Sales invoice issued"/>
    <x v="898"/>
    <s v="0.0"/>
    <x v="2"/>
    <x v="0"/>
  </r>
  <r>
    <n v="1864"/>
    <x v="230"/>
    <s v="Sales invoice issued"/>
    <x v="273"/>
    <s v="470.87"/>
    <x v="3"/>
    <x v="2"/>
  </r>
  <r>
    <n v="1864"/>
    <x v="230"/>
    <s v="Sales invoice issued"/>
    <x v="273"/>
    <s v="35.32"/>
    <x v="4"/>
    <x v="3"/>
  </r>
  <r>
    <n v="1865"/>
    <x v="230"/>
    <s v="Sales invoice issued"/>
    <x v="899"/>
    <s v="0.0"/>
    <x v="2"/>
    <x v="0"/>
  </r>
  <r>
    <n v="1865"/>
    <x v="230"/>
    <s v="Sales invoice issued"/>
    <x v="273"/>
    <s v="681.14"/>
    <x v="3"/>
    <x v="2"/>
  </r>
  <r>
    <n v="1865"/>
    <x v="230"/>
    <s v="Sales invoice issued"/>
    <x v="273"/>
    <s v="51.09"/>
    <x v="4"/>
    <x v="3"/>
  </r>
  <r>
    <n v="1866"/>
    <x v="230"/>
    <s v="Sales invoice issued"/>
    <x v="900"/>
    <s v="0.0"/>
    <x v="2"/>
    <x v="0"/>
  </r>
  <r>
    <n v="1866"/>
    <x v="230"/>
    <s v="Sales invoice issued"/>
    <x v="273"/>
    <s v="3235.48"/>
    <x v="3"/>
    <x v="2"/>
  </r>
  <r>
    <n v="1866"/>
    <x v="230"/>
    <s v="Sales invoice issued"/>
    <x v="273"/>
    <s v="242.67"/>
    <x v="4"/>
    <x v="3"/>
  </r>
  <r>
    <n v="1867"/>
    <x v="230"/>
    <s v="Customer payment received"/>
    <x v="849"/>
    <s v="0.0"/>
    <x v="0"/>
    <x v="0"/>
  </r>
  <r>
    <n v="1867"/>
    <x v="230"/>
    <s v="Customer payment received"/>
    <x v="273"/>
    <s v="505.98"/>
    <x v="2"/>
    <x v="0"/>
  </r>
  <r>
    <n v="1868"/>
    <x v="230"/>
    <s v="Customer payment received"/>
    <x v="854"/>
    <s v="0.0"/>
    <x v="0"/>
    <x v="0"/>
  </r>
  <r>
    <n v="1868"/>
    <x v="230"/>
    <s v="Customer payment received"/>
    <x v="273"/>
    <s v="459.63"/>
    <x v="2"/>
    <x v="0"/>
  </r>
  <r>
    <n v="1869"/>
    <x v="230"/>
    <s v="Supplier invoice received"/>
    <x v="338"/>
    <s v="0.0"/>
    <x v="9"/>
    <x v="4"/>
  </r>
  <r>
    <n v="1869"/>
    <x v="230"/>
    <s v="Supplier invoice received"/>
    <x v="339"/>
    <s v="0.0"/>
    <x v="10"/>
    <x v="0"/>
  </r>
  <r>
    <n v="1869"/>
    <x v="230"/>
    <s v="Supplier invoice received"/>
    <x v="273"/>
    <s v="1159.84"/>
    <x v="11"/>
    <x v="3"/>
  </r>
  <r>
    <n v="1870"/>
    <x v="230"/>
    <s v="Supplier invoice received"/>
    <x v="441"/>
    <s v="0.0"/>
    <x v="9"/>
    <x v="4"/>
  </r>
  <r>
    <n v="1870"/>
    <x v="230"/>
    <s v="Supplier invoice received"/>
    <x v="442"/>
    <s v="0.0"/>
    <x v="10"/>
    <x v="0"/>
  </r>
  <r>
    <n v="1870"/>
    <x v="230"/>
    <s v="Supplier invoice received"/>
    <x v="273"/>
    <s v="179.01"/>
    <x v="11"/>
    <x v="3"/>
  </r>
  <r>
    <n v="1871"/>
    <x v="230"/>
    <s v="Supplier payment made"/>
    <x v="335"/>
    <s v="0.0"/>
    <x v="11"/>
    <x v="3"/>
  </r>
  <r>
    <n v="1871"/>
    <x v="230"/>
    <s v="Supplier payment made"/>
    <x v="273"/>
    <s v="550.4"/>
    <x v="0"/>
    <x v="0"/>
  </r>
  <r>
    <n v="1872"/>
    <x v="231"/>
    <s v="Sales invoice issued"/>
    <x v="901"/>
    <s v="0.0"/>
    <x v="2"/>
    <x v="0"/>
  </r>
  <r>
    <n v="1872"/>
    <x v="231"/>
    <s v="Sales invoice issued"/>
    <x v="273"/>
    <s v="1056.1"/>
    <x v="3"/>
    <x v="2"/>
  </r>
  <r>
    <n v="1872"/>
    <x v="231"/>
    <s v="Sales invoice issued"/>
    <x v="273"/>
    <s v="79.21"/>
    <x v="4"/>
    <x v="3"/>
  </r>
  <r>
    <n v="1873"/>
    <x v="231"/>
    <s v="Sales invoice issued"/>
    <x v="902"/>
    <s v="0.0"/>
    <x v="2"/>
    <x v="0"/>
  </r>
  <r>
    <n v="1873"/>
    <x v="231"/>
    <s v="Sales invoice issued"/>
    <x v="273"/>
    <s v="4800.1"/>
    <x v="3"/>
    <x v="2"/>
  </r>
  <r>
    <n v="1873"/>
    <x v="231"/>
    <s v="Sales invoice issued"/>
    <x v="273"/>
    <s v="360.0"/>
    <x v="4"/>
    <x v="3"/>
  </r>
  <r>
    <n v="1874"/>
    <x v="231"/>
    <s v="Sales invoice issued"/>
    <x v="903"/>
    <s v="0.0"/>
    <x v="2"/>
    <x v="0"/>
  </r>
  <r>
    <n v="1874"/>
    <x v="231"/>
    <s v="Sales invoice issued"/>
    <x v="273"/>
    <s v="105.28"/>
    <x v="3"/>
    <x v="2"/>
  </r>
  <r>
    <n v="1874"/>
    <x v="231"/>
    <s v="Sales invoice issued"/>
    <x v="273"/>
    <s v="7.9"/>
    <x v="4"/>
    <x v="3"/>
  </r>
  <r>
    <n v="1875"/>
    <x v="231"/>
    <s v="Sales invoice issued"/>
    <x v="904"/>
    <s v="0.0"/>
    <x v="2"/>
    <x v="0"/>
  </r>
  <r>
    <n v="1875"/>
    <x v="231"/>
    <s v="Sales invoice issued"/>
    <x v="273"/>
    <s v="958.71"/>
    <x v="3"/>
    <x v="2"/>
  </r>
  <r>
    <n v="1875"/>
    <x v="231"/>
    <s v="Sales invoice issued"/>
    <x v="273"/>
    <s v="71.91"/>
    <x v="4"/>
    <x v="3"/>
  </r>
  <r>
    <n v="1876"/>
    <x v="231"/>
    <s v="Sales invoice issued"/>
    <x v="905"/>
    <s v="0.0"/>
    <x v="2"/>
    <x v="0"/>
  </r>
  <r>
    <n v="1876"/>
    <x v="231"/>
    <s v="Sales invoice issued"/>
    <x v="273"/>
    <s v="3010.45"/>
    <x v="3"/>
    <x v="2"/>
  </r>
  <r>
    <n v="1876"/>
    <x v="231"/>
    <s v="Sales invoice issued"/>
    <x v="273"/>
    <s v="225.77"/>
    <x v="4"/>
    <x v="3"/>
  </r>
  <r>
    <n v="1877"/>
    <x v="231"/>
    <s v="Customer payment received"/>
    <x v="744"/>
    <s v="0.0"/>
    <x v="0"/>
    <x v="0"/>
  </r>
  <r>
    <n v="1877"/>
    <x v="231"/>
    <s v="Customer payment received"/>
    <x v="273"/>
    <s v="1401.38"/>
    <x v="2"/>
    <x v="0"/>
  </r>
  <r>
    <n v="1878"/>
    <x v="231"/>
    <s v="Customer payment received"/>
    <x v="757"/>
    <s v="0.0"/>
    <x v="0"/>
    <x v="0"/>
  </r>
  <r>
    <n v="1878"/>
    <x v="231"/>
    <s v="Customer payment received"/>
    <x v="273"/>
    <s v="2534.44"/>
    <x v="2"/>
    <x v="0"/>
  </r>
  <r>
    <n v="1879"/>
    <x v="231"/>
    <s v="Customer payment received"/>
    <x v="783"/>
    <s v="0.0"/>
    <x v="0"/>
    <x v="0"/>
  </r>
  <r>
    <n v="1879"/>
    <x v="231"/>
    <s v="Customer payment received"/>
    <x v="273"/>
    <s v="1089.42"/>
    <x v="2"/>
    <x v="0"/>
  </r>
  <r>
    <n v="1880"/>
    <x v="231"/>
    <s v="Customer payment received"/>
    <x v="817"/>
    <s v="0.0"/>
    <x v="0"/>
    <x v="0"/>
  </r>
  <r>
    <n v="1880"/>
    <x v="231"/>
    <s v="Customer payment received"/>
    <x v="273"/>
    <s v="4797.63"/>
    <x v="2"/>
    <x v="0"/>
  </r>
  <r>
    <n v="1881"/>
    <x v="231"/>
    <s v="Customer payment received"/>
    <x v="855"/>
    <s v="0.0"/>
    <x v="0"/>
    <x v="0"/>
  </r>
  <r>
    <n v="1881"/>
    <x v="231"/>
    <s v="Customer payment received"/>
    <x v="273"/>
    <s v="2810.07"/>
    <x v="2"/>
    <x v="0"/>
  </r>
  <r>
    <n v="1882"/>
    <x v="231"/>
    <s v="Supplier invoice received"/>
    <x v="366"/>
    <s v="0.0"/>
    <x v="9"/>
    <x v="4"/>
  </r>
  <r>
    <n v="1882"/>
    <x v="231"/>
    <s v="Supplier invoice received"/>
    <x v="367"/>
    <s v="0.0"/>
    <x v="10"/>
    <x v="0"/>
  </r>
  <r>
    <n v="1882"/>
    <x v="231"/>
    <s v="Supplier invoice received"/>
    <x v="273"/>
    <s v="201.5"/>
    <x v="11"/>
    <x v="3"/>
  </r>
  <r>
    <n v="1883"/>
    <x v="231"/>
    <s v="Supplier invoice received"/>
    <x v="301"/>
    <s v="0.0"/>
    <x v="9"/>
    <x v="4"/>
  </r>
  <r>
    <n v="1883"/>
    <x v="231"/>
    <s v="Supplier invoice received"/>
    <x v="302"/>
    <s v="0.0"/>
    <x v="10"/>
    <x v="0"/>
  </r>
  <r>
    <n v="1883"/>
    <x v="231"/>
    <s v="Supplier invoice received"/>
    <x v="273"/>
    <s v="4812.46"/>
    <x v="11"/>
    <x v="3"/>
  </r>
  <r>
    <n v="1884"/>
    <x v="231"/>
    <s v="Supplier invoice received"/>
    <x v="374"/>
    <s v="0.0"/>
    <x v="9"/>
    <x v="4"/>
  </r>
  <r>
    <n v="1884"/>
    <x v="231"/>
    <s v="Supplier invoice received"/>
    <x v="375"/>
    <s v="0.0"/>
    <x v="10"/>
    <x v="0"/>
  </r>
  <r>
    <n v="1884"/>
    <x v="231"/>
    <s v="Supplier invoice received"/>
    <x v="273"/>
    <s v="2504.23"/>
    <x v="11"/>
    <x v="3"/>
  </r>
  <r>
    <n v="1885"/>
    <x v="231"/>
    <s v="Supplier invoice received"/>
    <x v="325"/>
    <s v="0.0"/>
    <x v="9"/>
    <x v="4"/>
  </r>
  <r>
    <n v="1885"/>
    <x v="231"/>
    <s v="Supplier invoice received"/>
    <x v="326"/>
    <s v="0.0"/>
    <x v="10"/>
    <x v="0"/>
  </r>
  <r>
    <n v="1885"/>
    <x v="231"/>
    <s v="Supplier invoice received"/>
    <x v="273"/>
    <s v="1304.62"/>
    <x v="11"/>
    <x v="3"/>
  </r>
  <r>
    <n v="1886"/>
    <x v="231"/>
    <s v="Supplier payment made"/>
    <x v="496"/>
    <s v="0.0"/>
    <x v="11"/>
    <x v="3"/>
  </r>
  <r>
    <n v="1886"/>
    <x v="231"/>
    <s v="Supplier payment made"/>
    <x v="273"/>
    <s v="7227.44"/>
    <x v="0"/>
    <x v="0"/>
  </r>
  <r>
    <n v="1887"/>
    <x v="231"/>
    <s v="Supplier payment made"/>
    <x v="292"/>
    <s v="0.0"/>
    <x v="11"/>
    <x v="3"/>
  </r>
  <r>
    <n v="1887"/>
    <x v="231"/>
    <s v="Supplier payment made"/>
    <x v="273"/>
    <s v="1766.46"/>
    <x v="0"/>
    <x v="0"/>
  </r>
  <r>
    <n v="1888"/>
    <x v="231"/>
    <s v="Supplier payment made"/>
    <x v="313"/>
    <s v="0.0"/>
    <x v="11"/>
    <x v="3"/>
  </r>
  <r>
    <n v="1888"/>
    <x v="231"/>
    <s v="Supplier payment made"/>
    <x v="273"/>
    <s v="1159.84"/>
    <x v="0"/>
    <x v="0"/>
  </r>
  <r>
    <n v="1889"/>
    <x v="232"/>
    <s v="Sales invoice issued"/>
    <x v="906"/>
    <s v="0.0"/>
    <x v="2"/>
    <x v="0"/>
  </r>
  <r>
    <n v="1889"/>
    <x v="232"/>
    <s v="Sales invoice issued"/>
    <x v="273"/>
    <s v="1336.36"/>
    <x v="3"/>
    <x v="2"/>
  </r>
  <r>
    <n v="1889"/>
    <x v="232"/>
    <s v="Sales invoice issued"/>
    <x v="273"/>
    <s v="100.22"/>
    <x v="4"/>
    <x v="3"/>
  </r>
  <r>
    <n v="1890"/>
    <x v="232"/>
    <s v="Sales invoice issued"/>
    <x v="907"/>
    <s v="0.0"/>
    <x v="2"/>
    <x v="0"/>
  </r>
  <r>
    <n v="1890"/>
    <x v="232"/>
    <s v="Sales invoice issued"/>
    <x v="273"/>
    <s v="865.65"/>
    <x v="3"/>
    <x v="2"/>
  </r>
  <r>
    <n v="1890"/>
    <x v="232"/>
    <s v="Sales invoice issued"/>
    <x v="273"/>
    <s v="64.92"/>
    <x v="4"/>
    <x v="3"/>
  </r>
  <r>
    <n v="1891"/>
    <x v="232"/>
    <s v="Sales invoice issued"/>
    <x v="908"/>
    <s v="0.0"/>
    <x v="2"/>
    <x v="0"/>
  </r>
  <r>
    <n v="1891"/>
    <x v="232"/>
    <s v="Sales invoice issued"/>
    <x v="273"/>
    <s v="3367.32"/>
    <x v="3"/>
    <x v="2"/>
  </r>
  <r>
    <n v="1891"/>
    <x v="232"/>
    <s v="Sales invoice issued"/>
    <x v="273"/>
    <s v="252.55"/>
    <x v="4"/>
    <x v="3"/>
  </r>
  <r>
    <n v="1892"/>
    <x v="232"/>
    <s v="Sales invoice issued"/>
    <x v="909"/>
    <s v="0.0"/>
    <x v="2"/>
    <x v="0"/>
  </r>
  <r>
    <n v="1892"/>
    <x v="232"/>
    <s v="Sales invoice issued"/>
    <x v="273"/>
    <s v="300.69"/>
    <x v="3"/>
    <x v="2"/>
  </r>
  <r>
    <n v="1892"/>
    <x v="232"/>
    <s v="Sales invoice issued"/>
    <x v="273"/>
    <s v="22.55"/>
    <x v="4"/>
    <x v="3"/>
  </r>
  <r>
    <n v="1893"/>
    <x v="232"/>
    <s v="Sales invoice issued"/>
    <x v="910"/>
    <s v="0.0"/>
    <x v="2"/>
    <x v="0"/>
  </r>
  <r>
    <n v="1893"/>
    <x v="232"/>
    <s v="Sales invoice issued"/>
    <x v="273"/>
    <s v="1515.61"/>
    <x v="3"/>
    <x v="2"/>
  </r>
  <r>
    <n v="1893"/>
    <x v="232"/>
    <s v="Sales invoice issued"/>
    <x v="273"/>
    <s v="113.67"/>
    <x v="4"/>
    <x v="3"/>
  </r>
  <r>
    <n v="1894"/>
    <x v="232"/>
    <s v="Sales invoice issued"/>
    <x v="911"/>
    <s v="0.0"/>
    <x v="2"/>
    <x v="0"/>
  </r>
  <r>
    <n v="1894"/>
    <x v="232"/>
    <s v="Sales invoice issued"/>
    <x v="273"/>
    <s v="4006.1"/>
    <x v="3"/>
    <x v="2"/>
  </r>
  <r>
    <n v="1894"/>
    <x v="232"/>
    <s v="Sales invoice issued"/>
    <x v="273"/>
    <s v="300.46"/>
    <x v="4"/>
    <x v="3"/>
  </r>
  <r>
    <n v="1895"/>
    <x v="232"/>
    <s v="Customer payment received"/>
    <x v="755"/>
    <s v="0.0"/>
    <x v="0"/>
    <x v="0"/>
  </r>
  <r>
    <n v="1895"/>
    <x v="232"/>
    <s v="Customer payment received"/>
    <x v="273"/>
    <s v="3804.05"/>
    <x v="2"/>
    <x v="0"/>
  </r>
  <r>
    <n v="1896"/>
    <x v="232"/>
    <s v="Customer payment received"/>
    <x v="765"/>
    <s v="0.0"/>
    <x v="0"/>
    <x v="0"/>
  </r>
  <r>
    <n v="1896"/>
    <x v="232"/>
    <s v="Customer payment received"/>
    <x v="273"/>
    <s v="4776.89"/>
    <x v="2"/>
    <x v="0"/>
  </r>
  <r>
    <n v="1897"/>
    <x v="232"/>
    <s v="Supplier payment made"/>
    <x v="340"/>
    <s v="0.0"/>
    <x v="11"/>
    <x v="3"/>
  </r>
  <r>
    <n v="1897"/>
    <x v="232"/>
    <s v="Supplier payment made"/>
    <x v="273"/>
    <s v="1304.62"/>
    <x v="0"/>
    <x v="0"/>
  </r>
  <r>
    <n v="1898"/>
    <x v="233"/>
    <s v="Sales invoice issued"/>
    <x v="912"/>
    <s v="0.0"/>
    <x v="2"/>
    <x v="0"/>
  </r>
  <r>
    <n v="1898"/>
    <x v="233"/>
    <s v="Sales invoice issued"/>
    <x v="273"/>
    <s v="720.78"/>
    <x v="3"/>
    <x v="2"/>
  </r>
  <r>
    <n v="1898"/>
    <x v="233"/>
    <s v="Sales invoice issued"/>
    <x v="273"/>
    <s v="54.06"/>
    <x v="4"/>
    <x v="3"/>
  </r>
  <r>
    <n v="1899"/>
    <x v="233"/>
    <s v="Sales invoice issued"/>
    <x v="913"/>
    <s v="0.0"/>
    <x v="2"/>
    <x v="0"/>
  </r>
  <r>
    <n v="1899"/>
    <x v="233"/>
    <s v="Sales invoice issued"/>
    <x v="273"/>
    <s v="250.18"/>
    <x v="3"/>
    <x v="2"/>
  </r>
  <r>
    <n v="1899"/>
    <x v="233"/>
    <s v="Sales invoice issued"/>
    <x v="273"/>
    <s v="18.76"/>
    <x v="4"/>
    <x v="3"/>
  </r>
  <r>
    <n v="1900"/>
    <x v="233"/>
    <s v="Sales invoice issued"/>
    <x v="914"/>
    <s v="0.0"/>
    <x v="2"/>
    <x v="0"/>
  </r>
  <r>
    <n v="1900"/>
    <x v="233"/>
    <s v="Sales invoice issued"/>
    <x v="273"/>
    <s v="2672.57"/>
    <x v="3"/>
    <x v="2"/>
  </r>
  <r>
    <n v="1900"/>
    <x v="233"/>
    <s v="Sales invoice issued"/>
    <x v="273"/>
    <s v="200.44"/>
    <x v="4"/>
    <x v="3"/>
  </r>
  <r>
    <n v="1901"/>
    <x v="233"/>
    <s v="Sales invoice issued"/>
    <x v="915"/>
    <s v="0.0"/>
    <x v="2"/>
    <x v="0"/>
  </r>
  <r>
    <n v="1901"/>
    <x v="233"/>
    <s v="Sales invoice issued"/>
    <x v="273"/>
    <s v="1284.36"/>
    <x v="3"/>
    <x v="2"/>
  </r>
  <r>
    <n v="1901"/>
    <x v="233"/>
    <s v="Sales invoice issued"/>
    <x v="273"/>
    <s v="96.33"/>
    <x v="4"/>
    <x v="3"/>
  </r>
  <r>
    <n v="1902"/>
    <x v="233"/>
    <s v="Sales invoice issued"/>
    <x v="916"/>
    <s v="0.0"/>
    <x v="2"/>
    <x v="0"/>
  </r>
  <r>
    <n v="1902"/>
    <x v="233"/>
    <s v="Sales invoice issued"/>
    <x v="273"/>
    <s v="2965.53"/>
    <x v="3"/>
    <x v="2"/>
  </r>
  <r>
    <n v="1902"/>
    <x v="233"/>
    <s v="Sales invoice issued"/>
    <x v="273"/>
    <s v="222.41"/>
    <x v="4"/>
    <x v="3"/>
  </r>
  <r>
    <n v="1903"/>
    <x v="233"/>
    <s v="Sales invoice issued"/>
    <x v="917"/>
    <s v="0.0"/>
    <x v="2"/>
    <x v="0"/>
  </r>
  <r>
    <n v="1903"/>
    <x v="233"/>
    <s v="Sales invoice issued"/>
    <x v="273"/>
    <s v="2935.86"/>
    <x v="3"/>
    <x v="2"/>
  </r>
  <r>
    <n v="1903"/>
    <x v="233"/>
    <s v="Sales invoice issued"/>
    <x v="273"/>
    <s v="220.18"/>
    <x v="4"/>
    <x v="3"/>
  </r>
  <r>
    <n v="1904"/>
    <x v="233"/>
    <s v="Sales invoice issued"/>
    <x v="918"/>
    <s v="0.0"/>
    <x v="2"/>
    <x v="0"/>
  </r>
  <r>
    <n v="1904"/>
    <x v="233"/>
    <s v="Sales invoice issued"/>
    <x v="273"/>
    <s v="391.23"/>
    <x v="3"/>
    <x v="2"/>
  </r>
  <r>
    <n v="1904"/>
    <x v="233"/>
    <s v="Sales invoice issued"/>
    <x v="273"/>
    <s v="29.35"/>
    <x v="4"/>
    <x v="3"/>
  </r>
  <r>
    <n v="1905"/>
    <x v="233"/>
    <s v="Sales invoice issued"/>
    <x v="919"/>
    <s v="0.0"/>
    <x v="2"/>
    <x v="0"/>
  </r>
  <r>
    <n v="1905"/>
    <x v="233"/>
    <s v="Sales invoice issued"/>
    <x v="273"/>
    <s v="1383.21"/>
    <x v="3"/>
    <x v="2"/>
  </r>
  <r>
    <n v="1905"/>
    <x v="233"/>
    <s v="Sales invoice issued"/>
    <x v="273"/>
    <s v="103.74"/>
    <x v="4"/>
    <x v="3"/>
  </r>
  <r>
    <n v="1906"/>
    <x v="233"/>
    <s v="Customer payment received"/>
    <x v="806"/>
    <s v="0.0"/>
    <x v="0"/>
    <x v="0"/>
  </r>
  <r>
    <n v="1906"/>
    <x v="233"/>
    <s v="Customer payment received"/>
    <x v="273"/>
    <s v="4240.63"/>
    <x v="2"/>
    <x v="0"/>
  </r>
  <r>
    <n v="1907"/>
    <x v="233"/>
    <s v="Customer payment received"/>
    <x v="819"/>
    <s v="0.0"/>
    <x v="0"/>
    <x v="0"/>
  </r>
  <r>
    <n v="1907"/>
    <x v="233"/>
    <s v="Customer payment received"/>
    <x v="273"/>
    <s v="3043.81"/>
    <x v="2"/>
    <x v="0"/>
  </r>
  <r>
    <n v="1908"/>
    <x v="233"/>
    <s v="Customer payment received"/>
    <x v="856"/>
    <s v="0.0"/>
    <x v="0"/>
    <x v="0"/>
  </r>
  <r>
    <n v="1908"/>
    <x v="233"/>
    <s v="Customer payment received"/>
    <x v="273"/>
    <s v="2057.9"/>
    <x v="2"/>
    <x v="0"/>
  </r>
  <r>
    <n v="1909"/>
    <x v="233"/>
    <s v="Customer payment received"/>
    <x v="871"/>
    <s v="0.0"/>
    <x v="0"/>
    <x v="0"/>
  </r>
  <r>
    <n v="1909"/>
    <x v="233"/>
    <s v="Customer payment received"/>
    <x v="273"/>
    <s v="5028.3"/>
    <x v="2"/>
    <x v="0"/>
  </r>
  <r>
    <n v="1910"/>
    <x v="233"/>
    <s v="Customer payment received"/>
    <x v="893"/>
    <s v="0.0"/>
    <x v="0"/>
    <x v="0"/>
  </r>
  <r>
    <n v="1910"/>
    <x v="233"/>
    <s v="Customer payment received"/>
    <x v="273"/>
    <s v="2810.71"/>
    <x v="2"/>
    <x v="0"/>
  </r>
  <r>
    <n v="1911"/>
    <x v="233"/>
    <s v="Supplier payment made"/>
    <x v="424"/>
    <s v="0.0"/>
    <x v="11"/>
    <x v="3"/>
  </r>
  <r>
    <n v="1911"/>
    <x v="233"/>
    <s v="Supplier payment made"/>
    <x v="273"/>
    <s v="1591.54"/>
    <x v="0"/>
    <x v="0"/>
  </r>
  <r>
    <n v="1912"/>
    <x v="233"/>
    <s v="Supplier payment made"/>
    <x v="515"/>
    <s v="0.0"/>
    <x v="11"/>
    <x v="3"/>
  </r>
  <r>
    <n v="1912"/>
    <x v="233"/>
    <s v="Supplier payment made"/>
    <x v="273"/>
    <s v="862.91"/>
    <x v="0"/>
    <x v="0"/>
  </r>
  <r>
    <n v="1913"/>
    <x v="233"/>
    <s v="Supplier payment made"/>
    <x v="351"/>
    <s v="0.0"/>
    <x v="11"/>
    <x v="3"/>
  </r>
  <r>
    <n v="1913"/>
    <x v="233"/>
    <s v="Supplier payment made"/>
    <x v="273"/>
    <s v="179.01"/>
    <x v="0"/>
    <x v="0"/>
  </r>
  <r>
    <n v="1914"/>
    <x v="234"/>
    <s v="Payroll processed"/>
    <x v="535"/>
    <s v="0.0"/>
    <x v="5"/>
    <x v="4"/>
  </r>
  <r>
    <n v="1914"/>
    <x v="234"/>
    <s v="Payroll processed"/>
    <x v="536"/>
    <s v="0.0"/>
    <x v="6"/>
    <x v="4"/>
  </r>
  <r>
    <n v="1914"/>
    <x v="234"/>
    <s v="Payroll processed"/>
    <x v="273"/>
    <s v="17968.47"/>
    <x v="0"/>
    <x v="0"/>
  </r>
  <r>
    <n v="1914"/>
    <x v="234"/>
    <s v="Payroll processed"/>
    <x v="273"/>
    <s v="4069.27"/>
    <x v="7"/>
    <x v="3"/>
  </r>
  <r>
    <n v="1914"/>
    <x v="234"/>
    <s v="Payroll processed"/>
    <x v="273"/>
    <s v="881.51"/>
    <x v="8"/>
    <x v="3"/>
  </r>
  <r>
    <n v="1915"/>
    <x v="234"/>
    <s v="Sales invoice issued"/>
    <x v="920"/>
    <s v="0.0"/>
    <x v="2"/>
    <x v="0"/>
  </r>
  <r>
    <n v="1915"/>
    <x v="234"/>
    <s v="Sales invoice issued"/>
    <x v="273"/>
    <s v="3035.01"/>
    <x v="3"/>
    <x v="2"/>
  </r>
  <r>
    <n v="1915"/>
    <x v="234"/>
    <s v="Sales invoice issued"/>
    <x v="273"/>
    <s v="227.64"/>
    <x v="4"/>
    <x v="3"/>
  </r>
  <r>
    <n v="1916"/>
    <x v="234"/>
    <s v="Sales invoice issued"/>
    <x v="921"/>
    <s v="0.0"/>
    <x v="2"/>
    <x v="0"/>
  </r>
  <r>
    <n v="1916"/>
    <x v="234"/>
    <s v="Sales invoice issued"/>
    <x v="273"/>
    <s v="167.05"/>
    <x v="3"/>
    <x v="2"/>
  </r>
  <r>
    <n v="1916"/>
    <x v="234"/>
    <s v="Sales invoice issued"/>
    <x v="273"/>
    <s v="12.53"/>
    <x v="4"/>
    <x v="3"/>
  </r>
  <r>
    <n v="1917"/>
    <x v="234"/>
    <s v="Sales invoice issued"/>
    <x v="922"/>
    <s v="0.0"/>
    <x v="2"/>
    <x v="0"/>
  </r>
  <r>
    <n v="1917"/>
    <x v="234"/>
    <s v="Sales invoice issued"/>
    <x v="273"/>
    <s v="114.93"/>
    <x v="3"/>
    <x v="2"/>
  </r>
  <r>
    <n v="1917"/>
    <x v="234"/>
    <s v="Sales invoice issued"/>
    <x v="273"/>
    <s v="8.62"/>
    <x v="4"/>
    <x v="3"/>
  </r>
  <r>
    <n v="1918"/>
    <x v="234"/>
    <s v="Sales invoice issued"/>
    <x v="923"/>
    <s v="0.0"/>
    <x v="2"/>
    <x v="0"/>
  </r>
  <r>
    <n v="1918"/>
    <x v="234"/>
    <s v="Sales invoice issued"/>
    <x v="273"/>
    <s v="1303.97"/>
    <x v="3"/>
    <x v="2"/>
  </r>
  <r>
    <n v="1918"/>
    <x v="234"/>
    <s v="Sales invoice issued"/>
    <x v="273"/>
    <s v="97.79"/>
    <x v="4"/>
    <x v="3"/>
  </r>
  <r>
    <n v="1919"/>
    <x v="234"/>
    <s v="Sales invoice issued"/>
    <x v="924"/>
    <s v="0.0"/>
    <x v="2"/>
    <x v="0"/>
  </r>
  <r>
    <n v="1919"/>
    <x v="234"/>
    <s v="Sales invoice issued"/>
    <x v="273"/>
    <s v="3271.62"/>
    <x v="3"/>
    <x v="2"/>
  </r>
  <r>
    <n v="1919"/>
    <x v="234"/>
    <s v="Sales invoice issued"/>
    <x v="273"/>
    <s v="245.37"/>
    <x v="4"/>
    <x v="3"/>
  </r>
  <r>
    <n v="1920"/>
    <x v="234"/>
    <s v="Sales invoice issued"/>
    <x v="925"/>
    <s v="0.0"/>
    <x v="2"/>
    <x v="0"/>
  </r>
  <r>
    <n v="1920"/>
    <x v="234"/>
    <s v="Sales invoice issued"/>
    <x v="273"/>
    <s v="4812.59"/>
    <x v="3"/>
    <x v="2"/>
  </r>
  <r>
    <n v="1920"/>
    <x v="234"/>
    <s v="Sales invoice issued"/>
    <x v="273"/>
    <s v="360.94"/>
    <x v="4"/>
    <x v="3"/>
  </r>
  <r>
    <n v="1921"/>
    <x v="234"/>
    <s v="Sales invoice issued"/>
    <x v="926"/>
    <s v="0.0"/>
    <x v="2"/>
    <x v="0"/>
  </r>
  <r>
    <n v="1921"/>
    <x v="234"/>
    <s v="Sales invoice issued"/>
    <x v="273"/>
    <s v="3070.72"/>
    <x v="3"/>
    <x v="2"/>
  </r>
  <r>
    <n v="1921"/>
    <x v="234"/>
    <s v="Sales invoice issued"/>
    <x v="273"/>
    <s v="230.31"/>
    <x v="4"/>
    <x v="3"/>
  </r>
  <r>
    <n v="1922"/>
    <x v="234"/>
    <s v="Sales invoice issued"/>
    <x v="927"/>
    <s v="0.0"/>
    <x v="2"/>
    <x v="0"/>
  </r>
  <r>
    <n v="1922"/>
    <x v="234"/>
    <s v="Sales invoice issued"/>
    <x v="273"/>
    <s v="2531.87"/>
    <x v="3"/>
    <x v="2"/>
  </r>
  <r>
    <n v="1922"/>
    <x v="234"/>
    <s v="Sales invoice issued"/>
    <x v="273"/>
    <s v="189.89"/>
    <x v="4"/>
    <x v="3"/>
  </r>
  <r>
    <n v="1923"/>
    <x v="234"/>
    <s v="Customer payment received"/>
    <x v="756"/>
    <s v="0.0"/>
    <x v="0"/>
    <x v="0"/>
  </r>
  <r>
    <n v="1923"/>
    <x v="234"/>
    <s v="Customer payment received"/>
    <x v="273"/>
    <s v="4823.35"/>
    <x v="2"/>
    <x v="0"/>
  </r>
  <r>
    <n v="1924"/>
    <x v="234"/>
    <s v="Customer payment received"/>
    <x v="822"/>
    <s v="0.0"/>
    <x v="0"/>
    <x v="0"/>
  </r>
  <r>
    <n v="1924"/>
    <x v="234"/>
    <s v="Customer payment received"/>
    <x v="273"/>
    <s v="4553.1"/>
    <x v="2"/>
    <x v="0"/>
  </r>
  <r>
    <n v="1925"/>
    <x v="234"/>
    <s v="Customer payment received"/>
    <x v="847"/>
    <s v="0.0"/>
    <x v="0"/>
    <x v="0"/>
  </r>
  <r>
    <n v="1925"/>
    <x v="234"/>
    <s v="Customer payment received"/>
    <x v="273"/>
    <s v="6883.36"/>
    <x v="2"/>
    <x v="0"/>
  </r>
  <r>
    <n v="1926"/>
    <x v="234"/>
    <s v="Customer payment received"/>
    <x v="894"/>
    <s v="0.0"/>
    <x v="0"/>
    <x v="0"/>
  </r>
  <r>
    <n v="1926"/>
    <x v="234"/>
    <s v="Customer payment received"/>
    <x v="273"/>
    <s v="2621.44"/>
    <x v="2"/>
    <x v="0"/>
  </r>
  <r>
    <n v="1927"/>
    <x v="234"/>
    <s v="Customer payment received"/>
    <x v="913"/>
    <s v="0.0"/>
    <x v="0"/>
    <x v="0"/>
  </r>
  <r>
    <n v="1927"/>
    <x v="234"/>
    <s v="Customer payment received"/>
    <x v="273"/>
    <s v="268.94"/>
    <x v="2"/>
    <x v="0"/>
  </r>
  <r>
    <n v="1928"/>
    <x v="235"/>
    <s v="Sales invoice issued"/>
    <x v="928"/>
    <s v="0.0"/>
    <x v="2"/>
    <x v="0"/>
  </r>
  <r>
    <n v="1928"/>
    <x v="235"/>
    <s v="Sales invoice issued"/>
    <x v="273"/>
    <s v="792.87"/>
    <x v="3"/>
    <x v="2"/>
  </r>
  <r>
    <n v="1928"/>
    <x v="235"/>
    <s v="Sales invoice issued"/>
    <x v="273"/>
    <s v="59.47"/>
    <x v="4"/>
    <x v="3"/>
  </r>
  <r>
    <n v="1929"/>
    <x v="235"/>
    <s v="Sales invoice issued"/>
    <x v="929"/>
    <s v="0.0"/>
    <x v="2"/>
    <x v="0"/>
  </r>
  <r>
    <n v="1929"/>
    <x v="235"/>
    <s v="Sales invoice issued"/>
    <x v="273"/>
    <s v="2394.52"/>
    <x v="3"/>
    <x v="2"/>
  </r>
  <r>
    <n v="1929"/>
    <x v="235"/>
    <s v="Sales invoice issued"/>
    <x v="273"/>
    <s v="179.59"/>
    <x v="4"/>
    <x v="3"/>
  </r>
  <r>
    <n v="1930"/>
    <x v="235"/>
    <s v="Sales invoice issued"/>
    <x v="930"/>
    <s v="0.0"/>
    <x v="2"/>
    <x v="0"/>
  </r>
  <r>
    <n v="1930"/>
    <x v="235"/>
    <s v="Sales invoice issued"/>
    <x v="273"/>
    <s v="259.33"/>
    <x v="3"/>
    <x v="2"/>
  </r>
  <r>
    <n v="1930"/>
    <x v="235"/>
    <s v="Sales invoice issued"/>
    <x v="273"/>
    <s v="19.45"/>
    <x v="4"/>
    <x v="3"/>
  </r>
  <r>
    <n v="1931"/>
    <x v="235"/>
    <s v="Sales invoice issued"/>
    <x v="931"/>
    <s v="0.0"/>
    <x v="2"/>
    <x v="0"/>
  </r>
  <r>
    <n v="1931"/>
    <x v="235"/>
    <s v="Sales invoice issued"/>
    <x v="273"/>
    <s v="2622.22"/>
    <x v="3"/>
    <x v="2"/>
  </r>
  <r>
    <n v="1931"/>
    <x v="235"/>
    <s v="Sales invoice issued"/>
    <x v="273"/>
    <s v="196.67"/>
    <x v="4"/>
    <x v="3"/>
  </r>
  <r>
    <n v="1932"/>
    <x v="235"/>
    <s v="Sales invoice issued"/>
    <x v="932"/>
    <s v="0.0"/>
    <x v="2"/>
    <x v="0"/>
  </r>
  <r>
    <n v="1932"/>
    <x v="235"/>
    <s v="Sales invoice issued"/>
    <x v="273"/>
    <s v="543.02"/>
    <x v="3"/>
    <x v="2"/>
  </r>
  <r>
    <n v="1932"/>
    <x v="235"/>
    <s v="Sales invoice issued"/>
    <x v="273"/>
    <s v="40.73"/>
    <x v="4"/>
    <x v="3"/>
  </r>
  <r>
    <n v="1933"/>
    <x v="235"/>
    <s v="Sales invoice issued"/>
    <x v="933"/>
    <s v="0.0"/>
    <x v="2"/>
    <x v="0"/>
  </r>
  <r>
    <n v="1933"/>
    <x v="235"/>
    <s v="Sales invoice issued"/>
    <x v="273"/>
    <s v="2340.04"/>
    <x v="3"/>
    <x v="2"/>
  </r>
  <r>
    <n v="1933"/>
    <x v="235"/>
    <s v="Sales invoice issued"/>
    <x v="273"/>
    <s v="175.5"/>
    <x v="4"/>
    <x v="3"/>
  </r>
  <r>
    <n v="1934"/>
    <x v="235"/>
    <s v="Sales invoice issued"/>
    <x v="934"/>
    <s v="0.0"/>
    <x v="2"/>
    <x v="0"/>
  </r>
  <r>
    <n v="1934"/>
    <x v="235"/>
    <s v="Sales invoice issued"/>
    <x v="273"/>
    <s v="636.21"/>
    <x v="3"/>
    <x v="2"/>
  </r>
  <r>
    <n v="1934"/>
    <x v="235"/>
    <s v="Sales invoice issued"/>
    <x v="273"/>
    <s v="47.71"/>
    <x v="4"/>
    <x v="3"/>
  </r>
  <r>
    <n v="1935"/>
    <x v="235"/>
    <s v="Customer payment received"/>
    <x v="669"/>
    <s v="0.0"/>
    <x v="0"/>
    <x v="0"/>
  </r>
  <r>
    <n v="1935"/>
    <x v="235"/>
    <s v="Customer payment received"/>
    <x v="273"/>
    <s v="3180.86"/>
    <x v="2"/>
    <x v="0"/>
  </r>
  <r>
    <n v="1936"/>
    <x v="235"/>
    <s v="Customer payment received"/>
    <x v="808"/>
    <s v="0.0"/>
    <x v="0"/>
    <x v="0"/>
  </r>
  <r>
    <n v="1936"/>
    <x v="235"/>
    <s v="Customer payment received"/>
    <x v="273"/>
    <s v="2392.13"/>
    <x v="2"/>
    <x v="0"/>
  </r>
  <r>
    <n v="1937"/>
    <x v="235"/>
    <s v="Customer payment received"/>
    <x v="825"/>
    <s v="0.0"/>
    <x v="0"/>
    <x v="0"/>
  </r>
  <r>
    <n v="1937"/>
    <x v="235"/>
    <s v="Customer payment received"/>
    <x v="273"/>
    <s v="3225.69"/>
    <x v="2"/>
    <x v="0"/>
  </r>
  <r>
    <n v="1938"/>
    <x v="235"/>
    <s v="Customer payment received"/>
    <x v="877"/>
    <s v="0.0"/>
    <x v="0"/>
    <x v="0"/>
  </r>
  <r>
    <n v="1938"/>
    <x v="235"/>
    <s v="Customer payment received"/>
    <x v="273"/>
    <s v="1543.46"/>
    <x v="2"/>
    <x v="0"/>
  </r>
  <r>
    <n v="1939"/>
    <x v="235"/>
    <s v="Customer payment received"/>
    <x v="935"/>
    <s v="0.0"/>
    <x v="0"/>
    <x v="0"/>
  </r>
  <r>
    <n v="1939"/>
    <x v="235"/>
    <s v="Customer payment received"/>
    <x v="273"/>
    <s v="270.86"/>
    <x v="2"/>
    <x v="0"/>
  </r>
  <r>
    <n v="1940"/>
    <x v="235"/>
    <s v="Customer payment received"/>
    <x v="897"/>
    <s v="0.0"/>
    <x v="0"/>
    <x v="0"/>
  </r>
  <r>
    <n v="1940"/>
    <x v="235"/>
    <s v="Customer payment received"/>
    <x v="273"/>
    <s v="4430.64"/>
    <x v="2"/>
    <x v="0"/>
  </r>
  <r>
    <n v="1941"/>
    <x v="235"/>
    <s v="Supplier invoice received"/>
    <x v="372"/>
    <s v="0.0"/>
    <x v="9"/>
    <x v="4"/>
  </r>
  <r>
    <n v="1941"/>
    <x v="235"/>
    <s v="Supplier invoice received"/>
    <x v="373"/>
    <s v="0.0"/>
    <x v="10"/>
    <x v="0"/>
  </r>
  <r>
    <n v="1941"/>
    <x v="235"/>
    <s v="Supplier invoice received"/>
    <x v="273"/>
    <s v="412.54"/>
    <x v="11"/>
    <x v="3"/>
  </r>
  <r>
    <n v="1942"/>
    <x v="235"/>
    <s v="Supplier invoice received"/>
    <x v="374"/>
    <s v="0.0"/>
    <x v="9"/>
    <x v="4"/>
  </r>
  <r>
    <n v="1942"/>
    <x v="235"/>
    <s v="Supplier invoice received"/>
    <x v="375"/>
    <s v="0.0"/>
    <x v="10"/>
    <x v="0"/>
  </r>
  <r>
    <n v="1942"/>
    <x v="235"/>
    <s v="Supplier invoice received"/>
    <x v="273"/>
    <s v="2504.23"/>
    <x v="11"/>
    <x v="3"/>
  </r>
  <r>
    <n v="1943"/>
    <x v="236"/>
    <s v="Sales invoice issued"/>
    <x v="936"/>
    <s v="0.0"/>
    <x v="2"/>
    <x v="0"/>
  </r>
  <r>
    <n v="1943"/>
    <x v="236"/>
    <s v="Sales invoice issued"/>
    <x v="273"/>
    <s v="2597.19"/>
    <x v="3"/>
    <x v="2"/>
  </r>
  <r>
    <n v="1943"/>
    <x v="236"/>
    <s v="Sales invoice issued"/>
    <x v="273"/>
    <s v="194.78"/>
    <x v="4"/>
    <x v="3"/>
  </r>
  <r>
    <n v="1944"/>
    <x v="236"/>
    <s v="Sales invoice issued"/>
    <x v="937"/>
    <s v="0.0"/>
    <x v="2"/>
    <x v="0"/>
  </r>
  <r>
    <n v="1944"/>
    <x v="236"/>
    <s v="Sales invoice issued"/>
    <x v="273"/>
    <s v="1558.12"/>
    <x v="3"/>
    <x v="2"/>
  </r>
  <r>
    <n v="1944"/>
    <x v="236"/>
    <s v="Sales invoice issued"/>
    <x v="273"/>
    <s v="116.86"/>
    <x v="4"/>
    <x v="3"/>
  </r>
  <r>
    <n v="1945"/>
    <x v="236"/>
    <s v="Sales invoice issued"/>
    <x v="938"/>
    <s v="0.0"/>
    <x v="2"/>
    <x v="0"/>
  </r>
  <r>
    <n v="1945"/>
    <x v="236"/>
    <s v="Sales invoice issued"/>
    <x v="273"/>
    <s v="1371.84"/>
    <x v="3"/>
    <x v="2"/>
  </r>
  <r>
    <n v="1945"/>
    <x v="236"/>
    <s v="Sales invoice issued"/>
    <x v="273"/>
    <s v="102.89"/>
    <x v="4"/>
    <x v="3"/>
  </r>
  <r>
    <n v="1946"/>
    <x v="236"/>
    <s v="Sales invoice issued"/>
    <x v="939"/>
    <s v="0.0"/>
    <x v="2"/>
    <x v="0"/>
  </r>
  <r>
    <n v="1946"/>
    <x v="236"/>
    <s v="Sales invoice issued"/>
    <x v="273"/>
    <s v="2485.99"/>
    <x v="3"/>
    <x v="2"/>
  </r>
  <r>
    <n v="1946"/>
    <x v="236"/>
    <s v="Sales invoice issued"/>
    <x v="273"/>
    <s v="186.44"/>
    <x v="4"/>
    <x v="3"/>
  </r>
  <r>
    <n v="1947"/>
    <x v="236"/>
    <s v="Sales invoice issued"/>
    <x v="940"/>
    <s v="0.0"/>
    <x v="2"/>
    <x v="0"/>
  </r>
  <r>
    <n v="1947"/>
    <x v="236"/>
    <s v="Sales invoice issued"/>
    <x v="273"/>
    <s v="3131.75"/>
    <x v="3"/>
    <x v="2"/>
  </r>
  <r>
    <n v="1947"/>
    <x v="236"/>
    <s v="Sales invoice issued"/>
    <x v="273"/>
    <s v="234.88"/>
    <x v="4"/>
    <x v="3"/>
  </r>
  <r>
    <n v="1948"/>
    <x v="236"/>
    <s v="Sales invoice issued"/>
    <x v="941"/>
    <s v="0.0"/>
    <x v="2"/>
    <x v="0"/>
  </r>
  <r>
    <n v="1948"/>
    <x v="236"/>
    <s v="Sales invoice issued"/>
    <x v="273"/>
    <s v="2093.83"/>
    <x v="3"/>
    <x v="2"/>
  </r>
  <r>
    <n v="1948"/>
    <x v="236"/>
    <s v="Sales invoice issued"/>
    <x v="273"/>
    <s v="157.04"/>
    <x v="4"/>
    <x v="3"/>
  </r>
  <r>
    <n v="1949"/>
    <x v="236"/>
    <s v="Customer payment received"/>
    <x v="942"/>
    <s v="0.0"/>
    <x v="0"/>
    <x v="0"/>
  </r>
  <r>
    <n v="1949"/>
    <x v="236"/>
    <s v="Customer payment received"/>
    <x v="273"/>
    <s v="3204.54"/>
    <x v="2"/>
    <x v="0"/>
  </r>
  <r>
    <n v="1950"/>
    <x v="236"/>
    <s v="Customer payment received"/>
    <x v="901"/>
    <s v="0.0"/>
    <x v="0"/>
    <x v="0"/>
  </r>
  <r>
    <n v="1950"/>
    <x v="236"/>
    <s v="Customer payment received"/>
    <x v="273"/>
    <s v="1135.31"/>
    <x v="2"/>
    <x v="0"/>
  </r>
  <r>
    <n v="1951"/>
    <x v="236"/>
    <s v="Customer payment received"/>
    <x v="916"/>
    <s v="0.0"/>
    <x v="0"/>
    <x v="0"/>
  </r>
  <r>
    <n v="1951"/>
    <x v="236"/>
    <s v="Customer payment received"/>
    <x v="273"/>
    <s v="3187.94"/>
    <x v="2"/>
    <x v="0"/>
  </r>
  <r>
    <n v="1952"/>
    <x v="236"/>
    <s v="Customer payment received"/>
    <x v="928"/>
    <s v="0.0"/>
    <x v="0"/>
    <x v="0"/>
  </r>
  <r>
    <n v="1952"/>
    <x v="236"/>
    <s v="Customer payment received"/>
    <x v="273"/>
    <s v="852.34"/>
    <x v="2"/>
    <x v="0"/>
  </r>
  <r>
    <n v="1953"/>
    <x v="236"/>
    <s v="Customer payment received"/>
    <x v="941"/>
    <s v="0.0"/>
    <x v="0"/>
    <x v="0"/>
  </r>
  <r>
    <n v="1953"/>
    <x v="236"/>
    <s v="Customer payment received"/>
    <x v="273"/>
    <s v="2250.87"/>
    <x v="2"/>
    <x v="0"/>
  </r>
  <r>
    <n v="1954"/>
    <x v="236"/>
    <s v="Supplier invoice received"/>
    <x v="295"/>
    <s v="0.0"/>
    <x v="9"/>
    <x v="4"/>
  </r>
  <r>
    <n v="1954"/>
    <x v="236"/>
    <s v="Supplier invoice received"/>
    <x v="296"/>
    <s v="0.0"/>
    <x v="10"/>
    <x v="0"/>
  </r>
  <r>
    <n v="1954"/>
    <x v="236"/>
    <s v="Supplier invoice received"/>
    <x v="273"/>
    <s v="1766.46"/>
    <x v="11"/>
    <x v="3"/>
  </r>
  <r>
    <n v="1955"/>
    <x v="236"/>
    <s v="Supplier invoice received"/>
    <x v="299"/>
    <s v="0.0"/>
    <x v="9"/>
    <x v="4"/>
  </r>
  <r>
    <n v="1955"/>
    <x v="236"/>
    <s v="Supplier invoice received"/>
    <x v="300"/>
    <s v="0.0"/>
    <x v="10"/>
    <x v="0"/>
  </r>
  <r>
    <n v="1955"/>
    <x v="236"/>
    <s v="Supplier invoice received"/>
    <x v="273"/>
    <s v="2918.17"/>
    <x v="11"/>
    <x v="3"/>
  </r>
  <r>
    <n v="1956"/>
    <x v="236"/>
    <s v="Supplier invoice received"/>
    <x v="303"/>
    <s v="0.0"/>
    <x v="9"/>
    <x v="4"/>
  </r>
  <r>
    <n v="1956"/>
    <x v="236"/>
    <s v="Supplier invoice received"/>
    <x v="304"/>
    <s v="0.0"/>
    <x v="10"/>
    <x v="0"/>
  </r>
  <r>
    <n v="1956"/>
    <x v="236"/>
    <s v="Supplier invoice received"/>
    <x v="273"/>
    <s v="550.4"/>
    <x v="11"/>
    <x v="3"/>
  </r>
  <r>
    <n v="1957"/>
    <x v="236"/>
    <s v="Supplier invoice received"/>
    <x v="305"/>
    <s v="0.0"/>
    <x v="9"/>
    <x v="4"/>
  </r>
  <r>
    <n v="1957"/>
    <x v="236"/>
    <s v="Supplier invoice received"/>
    <x v="306"/>
    <s v="0.0"/>
    <x v="10"/>
    <x v="0"/>
  </r>
  <r>
    <n v="1957"/>
    <x v="236"/>
    <s v="Supplier invoice received"/>
    <x v="273"/>
    <s v="276.32"/>
    <x v="11"/>
    <x v="3"/>
  </r>
  <r>
    <n v="1958"/>
    <x v="236"/>
    <s v="Supplier invoice received"/>
    <x v="474"/>
    <s v="0.0"/>
    <x v="9"/>
    <x v="4"/>
  </r>
  <r>
    <n v="1958"/>
    <x v="236"/>
    <s v="Supplier invoice received"/>
    <x v="475"/>
    <s v="0.0"/>
    <x v="10"/>
    <x v="0"/>
  </r>
  <r>
    <n v="1958"/>
    <x v="236"/>
    <s v="Supplier invoice received"/>
    <x v="273"/>
    <s v="862.91"/>
    <x v="11"/>
    <x v="3"/>
  </r>
  <r>
    <n v="1959"/>
    <x v="236"/>
    <s v="Supplier invoice received"/>
    <x v="297"/>
    <s v="0.0"/>
    <x v="9"/>
    <x v="4"/>
  </r>
  <r>
    <n v="1959"/>
    <x v="236"/>
    <s v="Supplier invoice received"/>
    <x v="298"/>
    <s v="0.0"/>
    <x v="10"/>
    <x v="0"/>
  </r>
  <r>
    <n v="1959"/>
    <x v="236"/>
    <s v="Supplier invoice received"/>
    <x v="273"/>
    <s v="3528.97"/>
    <x v="11"/>
    <x v="3"/>
  </r>
  <r>
    <n v="1960"/>
    <x v="236"/>
    <s v="Supplier invoice received"/>
    <x v="445"/>
    <s v="0.0"/>
    <x v="9"/>
    <x v="4"/>
  </r>
  <r>
    <n v="1960"/>
    <x v="236"/>
    <s v="Supplier invoice received"/>
    <x v="446"/>
    <s v="0.0"/>
    <x v="10"/>
    <x v="0"/>
  </r>
  <r>
    <n v="1960"/>
    <x v="236"/>
    <s v="Supplier invoice received"/>
    <x v="273"/>
    <s v="1794.11"/>
    <x v="11"/>
    <x v="3"/>
  </r>
  <r>
    <n v="1961"/>
    <x v="236"/>
    <s v="Supplier invoice received"/>
    <x v="338"/>
    <s v="0.0"/>
    <x v="9"/>
    <x v="4"/>
  </r>
  <r>
    <n v="1961"/>
    <x v="236"/>
    <s v="Supplier invoice received"/>
    <x v="339"/>
    <s v="0.0"/>
    <x v="10"/>
    <x v="0"/>
  </r>
  <r>
    <n v="1961"/>
    <x v="236"/>
    <s v="Supplier invoice received"/>
    <x v="273"/>
    <s v="1159.84"/>
    <x v="11"/>
    <x v="3"/>
  </r>
  <r>
    <n v="1962"/>
    <x v="236"/>
    <s v="Supplier invoice received"/>
    <x v="284"/>
    <s v="0.0"/>
    <x v="9"/>
    <x v="4"/>
  </r>
  <r>
    <n v="1962"/>
    <x v="236"/>
    <s v="Supplier invoice received"/>
    <x v="285"/>
    <s v="0.0"/>
    <x v="10"/>
    <x v="0"/>
  </r>
  <r>
    <n v="1962"/>
    <x v="236"/>
    <s v="Supplier invoice received"/>
    <x v="273"/>
    <s v="9336.67"/>
    <x v="11"/>
    <x v="3"/>
  </r>
  <r>
    <n v="1963"/>
    <x v="236"/>
    <s v="Supplier invoice received"/>
    <x v="301"/>
    <s v="0.0"/>
    <x v="9"/>
    <x v="4"/>
  </r>
  <r>
    <n v="1963"/>
    <x v="236"/>
    <s v="Supplier invoice received"/>
    <x v="302"/>
    <s v="0.0"/>
    <x v="10"/>
    <x v="0"/>
  </r>
  <r>
    <n v="1963"/>
    <x v="236"/>
    <s v="Supplier invoice received"/>
    <x v="273"/>
    <s v="4812.46"/>
    <x v="11"/>
    <x v="3"/>
  </r>
  <r>
    <n v="1964"/>
    <x v="236"/>
    <s v="Supplier invoice received"/>
    <x v="405"/>
    <s v="0.0"/>
    <x v="9"/>
    <x v="4"/>
  </r>
  <r>
    <n v="1964"/>
    <x v="236"/>
    <s v="Supplier invoice received"/>
    <x v="406"/>
    <s v="0.0"/>
    <x v="10"/>
    <x v="0"/>
  </r>
  <r>
    <n v="1964"/>
    <x v="236"/>
    <s v="Supplier invoice received"/>
    <x v="273"/>
    <s v="2635.36"/>
    <x v="11"/>
    <x v="3"/>
  </r>
  <r>
    <n v="1965"/>
    <x v="236"/>
    <s v="Supplier invoice received"/>
    <x v="366"/>
    <s v="0.0"/>
    <x v="9"/>
    <x v="4"/>
  </r>
  <r>
    <n v="1965"/>
    <x v="236"/>
    <s v="Supplier invoice received"/>
    <x v="367"/>
    <s v="0.0"/>
    <x v="10"/>
    <x v="0"/>
  </r>
  <r>
    <n v="1965"/>
    <x v="236"/>
    <s v="Supplier invoice received"/>
    <x v="273"/>
    <s v="201.5"/>
    <x v="11"/>
    <x v="3"/>
  </r>
  <r>
    <n v="1966"/>
    <x v="236"/>
    <s v="Supplier payment made"/>
    <x v="327"/>
    <s v="0.0"/>
    <x v="11"/>
    <x v="3"/>
  </r>
  <r>
    <n v="1966"/>
    <x v="236"/>
    <s v="Supplier payment made"/>
    <x v="273"/>
    <s v="1935.04"/>
    <x v="0"/>
    <x v="0"/>
  </r>
  <r>
    <n v="1967"/>
    <x v="236"/>
    <s v="Supplier payment made"/>
    <x v="353"/>
    <s v="0.0"/>
    <x v="11"/>
    <x v="3"/>
  </r>
  <r>
    <n v="1967"/>
    <x v="236"/>
    <s v="Supplier payment made"/>
    <x v="273"/>
    <s v="2918.17"/>
    <x v="0"/>
    <x v="0"/>
  </r>
  <r>
    <n v="1968"/>
    <x v="236"/>
    <s v="Supplier payment made"/>
    <x v="318"/>
    <s v="0.0"/>
    <x v="11"/>
    <x v="3"/>
  </r>
  <r>
    <n v="1968"/>
    <x v="236"/>
    <s v="Supplier payment made"/>
    <x v="273"/>
    <s v="2504.23"/>
    <x v="0"/>
    <x v="0"/>
  </r>
  <r>
    <n v="1969"/>
    <x v="236"/>
    <s v="Supplier payment made"/>
    <x v="309"/>
    <s v="0.0"/>
    <x v="11"/>
    <x v="3"/>
  </r>
  <r>
    <n v="1969"/>
    <x v="236"/>
    <s v="Supplier payment made"/>
    <x v="273"/>
    <s v="4812.46"/>
    <x v="0"/>
    <x v="0"/>
  </r>
  <r>
    <n v="1970"/>
    <x v="236"/>
    <s v="Supplier payment made"/>
    <x v="393"/>
    <s v="0.0"/>
    <x v="11"/>
    <x v="3"/>
  </r>
  <r>
    <n v="1970"/>
    <x v="236"/>
    <s v="Supplier payment made"/>
    <x v="273"/>
    <s v="412.54"/>
    <x v="0"/>
    <x v="0"/>
  </r>
  <r>
    <n v="1971"/>
    <x v="237"/>
    <s v="Sales invoice issued"/>
    <x v="943"/>
    <s v="0.0"/>
    <x v="2"/>
    <x v="0"/>
  </r>
  <r>
    <n v="1971"/>
    <x v="237"/>
    <s v="Sales invoice issued"/>
    <x v="273"/>
    <s v="1129.28"/>
    <x v="3"/>
    <x v="2"/>
  </r>
  <r>
    <n v="1971"/>
    <x v="237"/>
    <s v="Sales invoice issued"/>
    <x v="273"/>
    <s v="84.71"/>
    <x v="4"/>
    <x v="3"/>
  </r>
  <r>
    <n v="1972"/>
    <x v="237"/>
    <s v="Sales invoice issued"/>
    <x v="944"/>
    <s v="0.0"/>
    <x v="2"/>
    <x v="0"/>
  </r>
  <r>
    <n v="1972"/>
    <x v="237"/>
    <s v="Sales invoice issued"/>
    <x v="273"/>
    <s v="392.74"/>
    <x v="3"/>
    <x v="2"/>
  </r>
  <r>
    <n v="1972"/>
    <x v="237"/>
    <s v="Sales invoice issued"/>
    <x v="273"/>
    <s v="29.45"/>
    <x v="4"/>
    <x v="3"/>
  </r>
  <r>
    <n v="1973"/>
    <x v="237"/>
    <s v="Sales invoice issued"/>
    <x v="945"/>
    <s v="0.0"/>
    <x v="2"/>
    <x v="0"/>
  </r>
  <r>
    <n v="1973"/>
    <x v="237"/>
    <s v="Sales invoice issued"/>
    <x v="273"/>
    <s v="1405.71"/>
    <x v="3"/>
    <x v="2"/>
  </r>
  <r>
    <n v="1973"/>
    <x v="237"/>
    <s v="Sales invoice issued"/>
    <x v="273"/>
    <s v="105.42"/>
    <x v="4"/>
    <x v="3"/>
  </r>
  <r>
    <n v="1974"/>
    <x v="237"/>
    <s v="Sales invoice issued"/>
    <x v="946"/>
    <s v="0.0"/>
    <x v="2"/>
    <x v="0"/>
  </r>
  <r>
    <n v="1974"/>
    <x v="237"/>
    <s v="Sales invoice issued"/>
    <x v="273"/>
    <s v="2210.55"/>
    <x v="3"/>
    <x v="2"/>
  </r>
  <r>
    <n v="1974"/>
    <x v="237"/>
    <s v="Sales invoice issued"/>
    <x v="273"/>
    <s v="165.8"/>
    <x v="4"/>
    <x v="3"/>
  </r>
  <r>
    <n v="1975"/>
    <x v="237"/>
    <s v="Sales invoice issued"/>
    <x v="947"/>
    <s v="0.0"/>
    <x v="2"/>
    <x v="0"/>
  </r>
  <r>
    <n v="1975"/>
    <x v="237"/>
    <s v="Sales invoice issued"/>
    <x v="273"/>
    <s v="2744.65"/>
    <x v="3"/>
    <x v="2"/>
  </r>
  <r>
    <n v="1975"/>
    <x v="237"/>
    <s v="Sales invoice issued"/>
    <x v="273"/>
    <s v="205.85"/>
    <x v="4"/>
    <x v="3"/>
  </r>
  <r>
    <n v="1976"/>
    <x v="237"/>
    <s v="Customer payment received"/>
    <x v="829"/>
    <s v="0.0"/>
    <x v="0"/>
    <x v="0"/>
  </r>
  <r>
    <n v="1976"/>
    <x v="237"/>
    <s v="Customer payment received"/>
    <x v="273"/>
    <s v="2466.39"/>
    <x v="2"/>
    <x v="0"/>
  </r>
  <r>
    <n v="1977"/>
    <x v="237"/>
    <s v="Customer payment received"/>
    <x v="832"/>
    <s v="0.0"/>
    <x v="0"/>
    <x v="0"/>
  </r>
  <r>
    <n v="1977"/>
    <x v="237"/>
    <s v="Customer payment received"/>
    <x v="273"/>
    <s v="204.07"/>
    <x v="2"/>
    <x v="0"/>
  </r>
  <r>
    <n v="1978"/>
    <x v="237"/>
    <s v="Customer payment received"/>
    <x v="857"/>
    <s v="0.0"/>
    <x v="0"/>
    <x v="0"/>
  </r>
  <r>
    <n v="1978"/>
    <x v="237"/>
    <s v="Customer payment received"/>
    <x v="273"/>
    <s v="5097.12"/>
    <x v="2"/>
    <x v="0"/>
  </r>
  <r>
    <n v="1979"/>
    <x v="237"/>
    <s v="Customer payment received"/>
    <x v="948"/>
    <s v="0.0"/>
    <x v="0"/>
    <x v="0"/>
  </r>
  <r>
    <n v="1979"/>
    <x v="237"/>
    <s v="Customer payment received"/>
    <x v="273"/>
    <s v="961.01"/>
    <x v="2"/>
    <x v="0"/>
  </r>
  <r>
    <n v="1980"/>
    <x v="237"/>
    <s v="Customer payment received"/>
    <x v="947"/>
    <s v="0.0"/>
    <x v="0"/>
    <x v="0"/>
  </r>
  <r>
    <n v="1980"/>
    <x v="237"/>
    <s v="Customer payment received"/>
    <x v="273"/>
    <s v="2950.5"/>
    <x v="2"/>
    <x v="0"/>
  </r>
  <r>
    <n v="1981"/>
    <x v="237"/>
    <s v="Supplier payment made"/>
    <x v="327"/>
    <s v="0.0"/>
    <x v="11"/>
    <x v="3"/>
  </r>
  <r>
    <n v="1981"/>
    <x v="237"/>
    <s v="Supplier payment made"/>
    <x v="273"/>
    <s v="1935.04"/>
    <x v="0"/>
    <x v="0"/>
  </r>
  <r>
    <n v="1982"/>
    <x v="237"/>
    <s v="Supplier payment made"/>
    <x v="353"/>
    <s v="0.0"/>
    <x v="11"/>
    <x v="3"/>
  </r>
  <r>
    <n v="1982"/>
    <x v="237"/>
    <s v="Supplier payment made"/>
    <x v="273"/>
    <s v="2918.17"/>
    <x v="0"/>
    <x v="0"/>
  </r>
  <r>
    <n v="1983"/>
    <x v="238"/>
    <s v="Sales invoice issued"/>
    <x v="949"/>
    <s v="0.0"/>
    <x v="2"/>
    <x v="0"/>
  </r>
  <r>
    <n v="1983"/>
    <x v="238"/>
    <s v="Sales invoice issued"/>
    <x v="273"/>
    <s v="1636.97"/>
    <x v="3"/>
    <x v="2"/>
  </r>
  <r>
    <n v="1983"/>
    <x v="238"/>
    <s v="Sales invoice issued"/>
    <x v="273"/>
    <s v="122.78"/>
    <x v="4"/>
    <x v="3"/>
  </r>
  <r>
    <n v="1984"/>
    <x v="238"/>
    <s v="Sales invoice issued"/>
    <x v="950"/>
    <s v="0.0"/>
    <x v="2"/>
    <x v="0"/>
  </r>
  <r>
    <n v="1984"/>
    <x v="238"/>
    <s v="Sales invoice issued"/>
    <x v="273"/>
    <s v="2064.32"/>
    <x v="3"/>
    <x v="2"/>
  </r>
  <r>
    <n v="1984"/>
    <x v="238"/>
    <s v="Sales invoice issued"/>
    <x v="273"/>
    <s v="154.82"/>
    <x v="4"/>
    <x v="3"/>
  </r>
  <r>
    <n v="1985"/>
    <x v="238"/>
    <s v="Sales invoice issued"/>
    <x v="951"/>
    <s v="0.0"/>
    <x v="2"/>
    <x v="0"/>
  </r>
  <r>
    <n v="1985"/>
    <x v="238"/>
    <s v="Sales invoice issued"/>
    <x v="273"/>
    <s v="92.28"/>
    <x v="3"/>
    <x v="2"/>
  </r>
  <r>
    <n v="1985"/>
    <x v="238"/>
    <s v="Sales invoice issued"/>
    <x v="273"/>
    <s v="6.92"/>
    <x v="4"/>
    <x v="3"/>
  </r>
  <r>
    <n v="1986"/>
    <x v="238"/>
    <s v="Sales invoice issued"/>
    <x v="952"/>
    <s v="0.0"/>
    <x v="2"/>
    <x v="0"/>
  </r>
  <r>
    <n v="1986"/>
    <x v="238"/>
    <s v="Sales invoice issued"/>
    <x v="273"/>
    <s v="2854.36"/>
    <x v="3"/>
    <x v="2"/>
  </r>
  <r>
    <n v="1986"/>
    <x v="238"/>
    <s v="Sales invoice issued"/>
    <x v="273"/>
    <s v="214.07"/>
    <x v="4"/>
    <x v="3"/>
  </r>
  <r>
    <n v="1987"/>
    <x v="238"/>
    <s v="Sales invoice issued"/>
    <x v="953"/>
    <s v="0.0"/>
    <x v="2"/>
    <x v="0"/>
  </r>
  <r>
    <n v="1987"/>
    <x v="238"/>
    <s v="Sales invoice issued"/>
    <x v="273"/>
    <s v="2113.25"/>
    <x v="3"/>
    <x v="2"/>
  </r>
  <r>
    <n v="1987"/>
    <x v="238"/>
    <s v="Sales invoice issued"/>
    <x v="273"/>
    <s v="158.48"/>
    <x v="4"/>
    <x v="3"/>
  </r>
  <r>
    <n v="1988"/>
    <x v="238"/>
    <s v="Customer payment received"/>
    <x v="775"/>
    <s v="0.0"/>
    <x v="0"/>
    <x v="0"/>
  </r>
  <r>
    <n v="1988"/>
    <x v="238"/>
    <s v="Customer payment received"/>
    <x v="273"/>
    <s v="49.8"/>
    <x v="2"/>
    <x v="0"/>
  </r>
  <r>
    <n v="1989"/>
    <x v="238"/>
    <s v="Customer payment received"/>
    <x v="848"/>
    <s v="0.0"/>
    <x v="0"/>
    <x v="0"/>
  </r>
  <r>
    <n v="1989"/>
    <x v="238"/>
    <s v="Customer payment received"/>
    <x v="273"/>
    <s v="2056.07"/>
    <x v="2"/>
    <x v="0"/>
  </r>
  <r>
    <n v="1990"/>
    <x v="238"/>
    <s v="Customer payment received"/>
    <x v="895"/>
    <s v="0.0"/>
    <x v="0"/>
    <x v="0"/>
  </r>
  <r>
    <n v="1990"/>
    <x v="238"/>
    <s v="Customer payment received"/>
    <x v="273"/>
    <s v="3474.75"/>
    <x v="2"/>
    <x v="0"/>
  </r>
  <r>
    <n v="1991"/>
    <x v="238"/>
    <s v="Customer payment received"/>
    <x v="902"/>
    <s v="0.0"/>
    <x v="0"/>
    <x v="0"/>
  </r>
  <r>
    <n v="1991"/>
    <x v="238"/>
    <s v="Customer payment received"/>
    <x v="273"/>
    <s v="5160.1"/>
    <x v="2"/>
    <x v="0"/>
  </r>
  <r>
    <n v="1992"/>
    <x v="238"/>
    <s v="Customer payment received"/>
    <x v="903"/>
    <s v="0.0"/>
    <x v="0"/>
    <x v="0"/>
  </r>
  <r>
    <n v="1992"/>
    <x v="238"/>
    <s v="Customer payment received"/>
    <x v="273"/>
    <s v="113.18"/>
    <x v="2"/>
    <x v="0"/>
  </r>
  <r>
    <n v="1993"/>
    <x v="238"/>
    <s v="Customer payment received"/>
    <x v="914"/>
    <s v="0.0"/>
    <x v="0"/>
    <x v="0"/>
  </r>
  <r>
    <n v="1993"/>
    <x v="238"/>
    <s v="Customer payment received"/>
    <x v="273"/>
    <s v="2873.01"/>
    <x v="2"/>
    <x v="0"/>
  </r>
  <r>
    <n v="1994"/>
    <x v="238"/>
    <s v="Supplier invoice received"/>
    <x v="357"/>
    <s v="0.0"/>
    <x v="9"/>
    <x v="4"/>
  </r>
  <r>
    <n v="1994"/>
    <x v="238"/>
    <s v="Supplier invoice received"/>
    <x v="358"/>
    <s v="0.0"/>
    <x v="10"/>
    <x v="0"/>
  </r>
  <r>
    <n v="1994"/>
    <x v="238"/>
    <s v="Supplier invoice received"/>
    <x v="273"/>
    <s v="1958.74"/>
    <x v="11"/>
    <x v="3"/>
  </r>
  <r>
    <n v="1995"/>
    <x v="238"/>
    <s v="Supplier payment made"/>
    <x v="407"/>
    <s v="0.0"/>
    <x v="11"/>
    <x v="3"/>
  </r>
  <r>
    <n v="1995"/>
    <x v="238"/>
    <s v="Supplier payment made"/>
    <x v="273"/>
    <s v="201.5"/>
    <x v="0"/>
    <x v="0"/>
  </r>
  <r>
    <n v="1996"/>
    <x v="238"/>
    <s v="Supplier payment made"/>
    <x v="392"/>
    <s v="0.0"/>
    <x v="11"/>
    <x v="3"/>
  </r>
  <r>
    <n v="1996"/>
    <x v="238"/>
    <s v="Supplier payment made"/>
    <x v="273"/>
    <s v="1023.42"/>
    <x v="0"/>
    <x v="0"/>
  </r>
  <r>
    <n v="1997"/>
    <x v="238"/>
    <s v="Supplier payment made"/>
    <x v="408"/>
    <s v="0.0"/>
    <x v="11"/>
    <x v="3"/>
  </r>
  <r>
    <n v="1997"/>
    <x v="238"/>
    <s v="Supplier payment made"/>
    <x v="273"/>
    <s v="3868.8"/>
    <x v="0"/>
    <x v="0"/>
  </r>
  <r>
    <n v="1998"/>
    <x v="238"/>
    <s v="Supplier payment made"/>
    <x v="335"/>
    <s v="0.0"/>
    <x v="11"/>
    <x v="3"/>
  </r>
  <r>
    <n v="1998"/>
    <x v="238"/>
    <s v="Supplier payment made"/>
    <x v="273"/>
    <s v="550.4"/>
    <x v="0"/>
    <x v="0"/>
  </r>
  <r>
    <n v="1999"/>
    <x v="239"/>
    <s v="Sales invoice issued"/>
    <x v="954"/>
    <s v="0.0"/>
    <x v="2"/>
    <x v="0"/>
  </r>
  <r>
    <n v="1999"/>
    <x v="239"/>
    <s v="Sales invoice issued"/>
    <x v="273"/>
    <s v="276.84"/>
    <x v="3"/>
    <x v="2"/>
  </r>
  <r>
    <n v="1999"/>
    <x v="239"/>
    <s v="Sales invoice issued"/>
    <x v="273"/>
    <s v="20.76"/>
    <x v="4"/>
    <x v="3"/>
  </r>
  <r>
    <n v="2000"/>
    <x v="239"/>
    <s v="Sales invoice issued"/>
    <x v="955"/>
    <s v="0.0"/>
    <x v="2"/>
    <x v="0"/>
  </r>
  <r>
    <n v="2000"/>
    <x v="239"/>
    <s v="Sales invoice issued"/>
    <x v="273"/>
    <s v="2788.21"/>
    <x v="3"/>
    <x v="2"/>
  </r>
  <r>
    <n v="2000"/>
    <x v="239"/>
    <s v="Sales invoice issued"/>
    <x v="273"/>
    <s v="209.11"/>
    <x v="4"/>
    <x v="3"/>
  </r>
  <r>
    <n v="2001"/>
    <x v="239"/>
    <s v="Sales invoice issued"/>
    <x v="438"/>
    <s v="0.0"/>
    <x v="2"/>
    <x v="0"/>
  </r>
  <r>
    <n v="2001"/>
    <x v="239"/>
    <s v="Sales invoice issued"/>
    <x v="273"/>
    <s v="1047.34"/>
    <x v="3"/>
    <x v="2"/>
  </r>
  <r>
    <n v="2001"/>
    <x v="239"/>
    <s v="Sales invoice issued"/>
    <x v="273"/>
    <s v="78.55"/>
    <x v="4"/>
    <x v="3"/>
  </r>
  <r>
    <n v="2002"/>
    <x v="239"/>
    <s v="Sales invoice issued"/>
    <x v="956"/>
    <s v="0.0"/>
    <x v="2"/>
    <x v="0"/>
  </r>
  <r>
    <n v="2002"/>
    <x v="239"/>
    <s v="Sales invoice issued"/>
    <x v="273"/>
    <s v="498.77"/>
    <x v="3"/>
    <x v="2"/>
  </r>
  <r>
    <n v="2002"/>
    <x v="239"/>
    <s v="Sales invoice issued"/>
    <x v="273"/>
    <s v="37.4"/>
    <x v="4"/>
    <x v="3"/>
  </r>
  <r>
    <n v="2003"/>
    <x v="239"/>
    <s v="Customer payment received"/>
    <x v="786"/>
    <s v="0.0"/>
    <x v="0"/>
    <x v="0"/>
  </r>
  <r>
    <n v="2003"/>
    <x v="239"/>
    <s v="Customer payment received"/>
    <x v="273"/>
    <s v="2444.55"/>
    <x v="2"/>
    <x v="0"/>
  </r>
  <r>
    <n v="2004"/>
    <x v="239"/>
    <s v="Customer payment received"/>
    <x v="844"/>
    <s v="0.0"/>
    <x v="0"/>
    <x v="0"/>
  </r>
  <r>
    <n v="2004"/>
    <x v="239"/>
    <s v="Customer payment received"/>
    <x v="273"/>
    <s v="3567.41"/>
    <x v="2"/>
    <x v="0"/>
  </r>
  <r>
    <n v="2005"/>
    <x v="239"/>
    <s v="Customer payment received"/>
    <x v="891"/>
    <s v="0.0"/>
    <x v="0"/>
    <x v="0"/>
  </r>
  <r>
    <n v="2005"/>
    <x v="239"/>
    <s v="Customer payment received"/>
    <x v="273"/>
    <s v="2018.14"/>
    <x v="2"/>
    <x v="0"/>
  </r>
  <r>
    <n v="2006"/>
    <x v="239"/>
    <s v="Customer payment received"/>
    <x v="900"/>
    <s v="0.0"/>
    <x v="0"/>
    <x v="0"/>
  </r>
  <r>
    <n v="2006"/>
    <x v="239"/>
    <s v="Customer payment received"/>
    <x v="273"/>
    <s v="3478.15"/>
    <x v="2"/>
    <x v="0"/>
  </r>
  <r>
    <n v="2007"/>
    <x v="239"/>
    <s v="Customer payment received"/>
    <x v="949"/>
    <s v="0.0"/>
    <x v="0"/>
    <x v="0"/>
  </r>
  <r>
    <n v="2007"/>
    <x v="239"/>
    <s v="Customer payment received"/>
    <x v="273"/>
    <s v="1759.75"/>
    <x v="2"/>
    <x v="0"/>
  </r>
  <r>
    <n v="2008"/>
    <x v="239"/>
    <s v="Supplier payment made"/>
    <x v="292"/>
    <s v="0.0"/>
    <x v="11"/>
    <x v="3"/>
  </r>
  <r>
    <n v="2008"/>
    <x v="239"/>
    <s v="Supplier payment made"/>
    <x v="273"/>
    <s v="1766.46"/>
    <x v="0"/>
    <x v="0"/>
  </r>
  <r>
    <n v="2009"/>
    <x v="240"/>
    <s v="Sales invoice issued"/>
    <x v="957"/>
    <s v="0.0"/>
    <x v="2"/>
    <x v="0"/>
  </r>
  <r>
    <n v="2009"/>
    <x v="240"/>
    <s v="Sales invoice issued"/>
    <x v="273"/>
    <s v="1439.51"/>
    <x v="3"/>
    <x v="2"/>
  </r>
  <r>
    <n v="2009"/>
    <x v="240"/>
    <s v="Sales invoice issued"/>
    <x v="273"/>
    <s v="107.96"/>
    <x v="4"/>
    <x v="3"/>
  </r>
  <r>
    <n v="2010"/>
    <x v="240"/>
    <s v="Sales invoice issued"/>
    <x v="958"/>
    <s v="0.0"/>
    <x v="2"/>
    <x v="0"/>
  </r>
  <r>
    <n v="2010"/>
    <x v="240"/>
    <s v="Sales invoice issued"/>
    <x v="273"/>
    <s v="2818.84"/>
    <x v="3"/>
    <x v="2"/>
  </r>
  <r>
    <n v="2010"/>
    <x v="240"/>
    <s v="Sales invoice issued"/>
    <x v="273"/>
    <s v="211.42"/>
    <x v="4"/>
    <x v="3"/>
  </r>
  <r>
    <n v="2011"/>
    <x v="240"/>
    <s v="Sales invoice issued"/>
    <x v="959"/>
    <s v="0.0"/>
    <x v="2"/>
    <x v="0"/>
  </r>
  <r>
    <n v="2011"/>
    <x v="240"/>
    <s v="Sales invoice issued"/>
    <x v="273"/>
    <s v="2772.87"/>
    <x v="3"/>
    <x v="2"/>
  </r>
  <r>
    <n v="2011"/>
    <x v="240"/>
    <s v="Sales invoice issued"/>
    <x v="273"/>
    <s v="207.96"/>
    <x v="4"/>
    <x v="3"/>
  </r>
  <r>
    <n v="2012"/>
    <x v="240"/>
    <s v="Sales invoice issued"/>
    <x v="960"/>
    <s v="0.0"/>
    <x v="2"/>
    <x v="0"/>
  </r>
  <r>
    <n v="2012"/>
    <x v="240"/>
    <s v="Sales invoice issued"/>
    <x v="273"/>
    <s v="3134.14"/>
    <x v="3"/>
    <x v="2"/>
  </r>
  <r>
    <n v="2012"/>
    <x v="240"/>
    <s v="Sales invoice issued"/>
    <x v="273"/>
    <s v="235.06"/>
    <x v="4"/>
    <x v="3"/>
  </r>
  <r>
    <n v="2013"/>
    <x v="240"/>
    <s v="Sales invoice issued"/>
    <x v="961"/>
    <s v="0.0"/>
    <x v="2"/>
    <x v="0"/>
  </r>
  <r>
    <n v="2013"/>
    <x v="240"/>
    <s v="Sales invoice issued"/>
    <x v="273"/>
    <s v="2123.49"/>
    <x v="3"/>
    <x v="2"/>
  </r>
  <r>
    <n v="2013"/>
    <x v="240"/>
    <s v="Sales invoice issued"/>
    <x v="273"/>
    <s v="159.27"/>
    <x v="4"/>
    <x v="3"/>
  </r>
  <r>
    <n v="2014"/>
    <x v="240"/>
    <s v="Customer payment received"/>
    <x v="701"/>
    <s v="0.0"/>
    <x v="0"/>
    <x v="0"/>
  </r>
  <r>
    <n v="2014"/>
    <x v="240"/>
    <s v="Customer payment received"/>
    <x v="273"/>
    <s v="2328.31"/>
    <x v="2"/>
    <x v="0"/>
  </r>
  <r>
    <n v="2015"/>
    <x v="240"/>
    <s v="Customer payment received"/>
    <x v="962"/>
    <s v="0.0"/>
    <x v="0"/>
    <x v="0"/>
  </r>
  <r>
    <n v="2015"/>
    <x v="240"/>
    <s v="Customer payment received"/>
    <x v="273"/>
    <s v="313.52"/>
    <x v="2"/>
    <x v="0"/>
  </r>
  <r>
    <n v="2016"/>
    <x v="240"/>
    <s v="Customer payment received"/>
    <x v="963"/>
    <s v="0.0"/>
    <x v="0"/>
    <x v="0"/>
  </r>
  <r>
    <n v="2016"/>
    <x v="240"/>
    <s v="Customer payment received"/>
    <x v="273"/>
    <s v="1124.22"/>
    <x v="2"/>
    <x v="0"/>
  </r>
  <r>
    <n v="2017"/>
    <x v="240"/>
    <s v="Customer payment received"/>
    <x v="859"/>
    <s v="0.0"/>
    <x v="0"/>
    <x v="0"/>
  </r>
  <r>
    <n v="2017"/>
    <x v="240"/>
    <s v="Customer payment received"/>
    <x v="273"/>
    <s v="4508.43"/>
    <x v="2"/>
    <x v="0"/>
  </r>
  <r>
    <n v="2018"/>
    <x v="240"/>
    <s v="Customer payment received"/>
    <x v="863"/>
    <s v="0.0"/>
    <x v="0"/>
    <x v="0"/>
  </r>
  <r>
    <n v="2018"/>
    <x v="240"/>
    <s v="Customer payment received"/>
    <x v="273"/>
    <s v="2246.23"/>
    <x v="2"/>
    <x v="0"/>
  </r>
  <r>
    <n v="2019"/>
    <x v="240"/>
    <s v="Customer payment received"/>
    <x v="964"/>
    <s v="0.0"/>
    <x v="0"/>
    <x v="0"/>
  </r>
  <r>
    <n v="2019"/>
    <x v="240"/>
    <s v="Customer payment received"/>
    <x v="273"/>
    <s v="428.12"/>
    <x v="2"/>
    <x v="0"/>
  </r>
  <r>
    <n v="2020"/>
    <x v="240"/>
    <s v="Customer payment received"/>
    <x v="952"/>
    <s v="0.0"/>
    <x v="0"/>
    <x v="0"/>
  </r>
  <r>
    <n v="2020"/>
    <x v="240"/>
    <s v="Customer payment received"/>
    <x v="273"/>
    <s v="3068.43"/>
    <x v="2"/>
    <x v="0"/>
  </r>
  <r>
    <n v="2021"/>
    <x v="240"/>
    <s v="Supplier invoice received"/>
    <x v="305"/>
    <s v="0.0"/>
    <x v="9"/>
    <x v="4"/>
  </r>
  <r>
    <n v="2021"/>
    <x v="240"/>
    <s v="Supplier invoice received"/>
    <x v="306"/>
    <s v="0.0"/>
    <x v="10"/>
    <x v="0"/>
  </r>
  <r>
    <n v="2021"/>
    <x v="240"/>
    <s v="Supplier invoice received"/>
    <x v="273"/>
    <s v="276.32"/>
    <x v="11"/>
    <x v="3"/>
  </r>
  <r>
    <n v="2022"/>
    <x v="240"/>
    <s v="Supplier payment made"/>
    <x v="336"/>
    <s v="0.0"/>
    <x v="11"/>
    <x v="3"/>
  </r>
  <r>
    <n v="2022"/>
    <x v="240"/>
    <s v="Supplier payment made"/>
    <x v="273"/>
    <s v="2093.28"/>
    <x v="0"/>
    <x v="0"/>
  </r>
  <r>
    <n v="2023"/>
    <x v="240"/>
    <s v="Supplier payment made"/>
    <x v="310"/>
    <s v="0.0"/>
    <x v="11"/>
    <x v="3"/>
  </r>
  <r>
    <n v="2023"/>
    <x v="240"/>
    <s v="Supplier payment made"/>
    <x v="273"/>
    <s v="276.32"/>
    <x v="0"/>
    <x v="0"/>
  </r>
  <r>
    <n v="2024"/>
    <x v="241"/>
    <s v="Depreciation â€” POS System"/>
    <x v="425"/>
    <s v="0.0"/>
    <x v="12"/>
    <x v="4"/>
  </r>
  <r>
    <n v="2024"/>
    <x v="241"/>
    <s v="Depreciation â€” POS System"/>
    <x v="273"/>
    <s v="93.61"/>
    <x v="13"/>
    <x v="0"/>
  </r>
  <r>
    <n v="2025"/>
    <x v="241"/>
    <s v="Depreciation â€” Laptop x2"/>
    <x v="426"/>
    <s v="0.0"/>
    <x v="12"/>
    <x v="4"/>
  </r>
  <r>
    <n v="2025"/>
    <x v="241"/>
    <s v="Depreciation â€” Laptop x2"/>
    <x v="273"/>
    <s v="76.86"/>
    <x v="13"/>
    <x v="0"/>
  </r>
  <r>
    <n v="2026"/>
    <x v="241"/>
    <s v="Depreciation â€” Printer/Scanner"/>
    <x v="427"/>
    <s v="0.0"/>
    <x v="12"/>
    <x v="4"/>
  </r>
  <r>
    <n v="2026"/>
    <x v="241"/>
    <s v="Depreciation â€” Printer/Scanner"/>
    <x v="273"/>
    <s v="20.03"/>
    <x v="13"/>
    <x v="0"/>
  </r>
  <r>
    <n v="2027"/>
    <x v="241"/>
    <s v="Depreciation â€” Shop Shelving"/>
    <x v="428"/>
    <s v="0.0"/>
    <x v="12"/>
    <x v="4"/>
  </r>
  <r>
    <n v="2027"/>
    <x v="241"/>
    <s v="Depreciation â€” Shop Shelving"/>
    <x v="273"/>
    <s v="86.89"/>
    <x v="14"/>
    <x v="0"/>
  </r>
  <r>
    <n v="2028"/>
    <x v="241"/>
    <s v="Depreciation â€” Display Stands"/>
    <x v="429"/>
    <s v="0.0"/>
    <x v="12"/>
    <x v="4"/>
  </r>
  <r>
    <n v="2028"/>
    <x v="241"/>
    <s v="Depreciation â€” Display Stands"/>
    <x v="273"/>
    <s v="76.8"/>
    <x v="14"/>
    <x v="0"/>
  </r>
  <r>
    <n v="2029"/>
    <x v="241"/>
    <s v="Depreciation â€” Counter &amp; Checkout"/>
    <x v="430"/>
    <s v="0.0"/>
    <x v="12"/>
    <x v="4"/>
  </r>
  <r>
    <n v="2029"/>
    <x v="241"/>
    <s v="Depreciation â€” Counter &amp; Checkout"/>
    <x v="273"/>
    <s v="48.28"/>
    <x v="14"/>
    <x v="0"/>
  </r>
  <r>
    <n v="2030"/>
    <x v="241"/>
    <s v="Depreciation â€” Signage"/>
    <x v="431"/>
    <s v="0.0"/>
    <x v="12"/>
    <x v="4"/>
  </r>
  <r>
    <n v="2030"/>
    <x v="241"/>
    <s v="Depreciation â€” Signage"/>
    <x v="273"/>
    <s v="53.21"/>
    <x v="14"/>
    <x v="0"/>
  </r>
  <r>
    <n v="2031"/>
    <x v="241"/>
    <s v="Depreciation â€” Delivery Van"/>
    <x v="432"/>
    <s v="0.0"/>
    <x v="12"/>
    <x v="4"/>
  </r>
  <r>
    <n v="2031"/>
    <x v="241"/>
    <s v="Depreciation â€” Delivery Van"/>
    <x v="273"/>
    <s v="232.19"/>
    <x v="15"/>
    <x v="0"/>
  </r>
  <r>
    <n v="2032"/>
    <x v="241"/>
    <s v="Depreciation â€” Security System"/>
    <x v="433"/>
    <s v="0.0"/>
    <x v="12"/>
    <x v="4"/>
  </r>
  <r>
    <n v="2032"/>
    <x v="241"/>
    <s v="Depreciation â€” Security System"/>
    <x v="273"/>
    <s v="43.85"/>
    <x v="13"/>
    <x v="0"/>
  </r>
  <r>
    <n v="2033"/>
    <x v="242"/>
    <s v="Sales invoice issued"/>
    <x v="965"/>
    <s v="0.0"/>
    <x v="2"/>
    <x v="0"/>
  </r>
  <r>
    <n v="2033"/>
    <x v="242"/>
    <s v="Sales invoice issued"/>
    <x v="273"/>
    <s v="1555.02"/>
    <x v="3"/>
    <x v="2"/>
  </r>
  <r>
    <n v="2033"/>
    <x v="242"/>
    <s v="Sales invoice issued"/>
    <x v="273"/>
    <s v="116.63"/>
    <x v="4"/>
    <x v="3"/>
  </r>
  <r>
    <n v="2034"/>
    <x v="242"/>
    <s v="Sales invoice issued"/>
    <x v="966"/>
    <s v="0.0"/>
    <x v="2"/>
    <x v="0"/>
  </r>
  <r>
    <n v="2034"/>
    <x v="242"/>
    <s v="Sales invoice issued"/>
    <x v="273"/>
    <s v="749.53"/>
    <x v="3"/>
    <x v="2"/>
  </r>
  <r>
    <n v="2034"/>
    <x v="242"/>
    <s v="Sales invoice issued"/>
    <x v="273"/>
    <s v="56.22"/>
    <x v="4"/>
    <x v="3"/>
  </r>
  <r>
    <n v="2035"/>
    <x v="242"/>
    <s v="Sales invoice issued"/>
    <x v="967"/>
    <s v="0.0"/>
    <x v="2"/>
    <x v="0"/>
  </r>
  <r>
    <n v="2035"/>
    <x v="242"/>
    <s v="Sales invoice issued"/>
    <x v="273"/>
    <s v="4428.6"/>
    <x v="3"/>
    <x v="2"/>
  </r>
  <r>
    <n v="2035"/>
    <x v="242"/>
    <s v="Sales invoice issued"/>
    <x v="273"/>
    <s v="332.15"/>
    <x v="4"/>
    <x v="3"/>
  </r>
  <r>
    <n v="2036"/>
    <x v="242"/>
    <s v="Customer payment received"/>
    <x v="801"/>
    <s v="0.0"/>
    <x v="0"/>
    <x v="0"/>
  </r>
  <r>
    <n v="2036"/>
    <x v="242"/>
    <s v="Customer payment received"/>
    <x v="273"/>
    <s v="2953.59"/>
    <x v="2"/>
    <x v="0"/>
  </r>
  <r>
    <n v="2037"/>
    <x v="242"/>
    <s v="Customer payment received"/>
    <x v="827"/>
    <s v="0.0"/>
    <x v="0"/>
    <x v="0"/>
  </r>
  <r>
    <n v="2037"/>
    <x v="242"/>
    <s v="Customer payment received"/>
    <x v="273"/>
    <s v="2540.92"/>
    <x v="2"/>
    <x v="0"/>
  </r>
  <r>
    <n v="2038"/>
    <x v="242"/>
    <s v="Customer payment received"/>
    <x v="968"/>
    <s v="0.0"/>
    <x v="0"/>
    <x v="0"/>
  </r>
  <r>
    <n v="2038"/>
    <x v="242"/>
    <s v="Customer payment received"/>
    <x v="273"/>
    <s v="838.86"/>
    <x v="2"/>
    <x v="0"/>
  </r>
  <r>
    <n v="2039"/>
    <x v="242"/>
    <s v="Customer payment received"/>
    <x v="950"/>
    <s v="0.0"/>
    <x v="0"/>
    <x v="0"/>
  </r>
  <r>
    <n v="2039"/>
    <x v="242"/>
    <s v="Customer payment received"/>
    <x v="273"/>
    <s v="2219.14"/>
    <x v="2"/>
    <x v="0"/>
  </r>
  <r>
    <n v="2040"/>
    <x v="242"/>
    <s v="Customer payment received"/>
    <x v="961"/>
    <s v="0.0"/>
    <x v="0"/>
    <x v="0"/>
  </r>
  <r>
    <n v="2040"/>
    <x v="242"/>
    <s v="Customer payment received"/>
    <x v="273"/>
    <s v="2282.76"/>
    <x v="2"/>
    <x v="0"/>
  </r>
  <r>
    <n v="2041"/>
    <x v="242"/>
    <s v="Supplier invoice received"/>
    <x v="332"/>
    <s v="0.0"/>
    <x v="9"/>
    <x v="4"/>
  </r>
  <r>
    <n v="2041"/>
    <x v="242"/>
    <s v="Supplier invoice received"/>
    <x v="333"/>
    <s v="0.0"/>
    <x v="10"/>
    <x v="0"/>
  </r>
  <r>
    <n v="2041"/>
    <x v="242"/>
    <s v="Supplier invoice received"/>
    <x v="273"/>
    <s v="1023.42"/>
    <x v="11"/>
    <x v="3"/>
  </r>
  <r>
    <n v="2042"/>
    <x v="242"/>
    <s v="Supplier invoice received"/>
    <x v="330"/>
    <s v="0.0"/>
    <x v="9"/>
    <x v="4"/>
  </r>
  <r>
    <n v="2042"/>
    <x v="242"/>
    <s v="Supplier invoice received"/>
    <x v="331"/>
    <s v="0.0"/>
    <x v="10"/>
    <x v="0"/>
  </r>
  <r>
    <n v="2042"/>
    <x v="242"/>
    <s v="Supplier invoice received"/>
    <x v="273"/>
    <s v="1935.04"/>
    <x v="11"/>
    <x v="3"/>
  </r>
  <r>
    <n v="2043"/>
    <x v="242"/>
    <s v="Supplier invoice received"/>
    <x v="443"/>
    <s v="0.0"/>
    <x v="9"/>
    <x v="4"/>
  </r>
  <r>
    <n v="2043"/>
    <x v="242"/>
    <s v="Supplier invoice received"/>
    <x v="444"/>
    <s v="0.0"/>
    <x v="10"/>
    <x v="0"/>
  </r>
  <r>
    <n v="2043"/>
    <x v="242"/>
    <s v="Supplier invoice received"/>
    <x v="273"/>
    <s v="748.26"/>
    <x v="11"/>
    <x v="3"/>
  </r>
  <r>
    <n v="2044"/>
    <x v="242"/>
    <s v="Supplier invoice received"/>
    <x v="441"/>
    <s v="0.0"/>
    <x v="9"/>
    <x v="4"/>
  </r>
  <r>
    <n v="2044"/>
    <x v="242"/>
    <s v="Supplier invoice received"/>
    <x v="442"/>
    <s v="0.0"/>
    <x v="10"/>
    <x v="0"/>
  </r>
  <r>
    <n v="2044"/>
    <x v="242"/>
    <s v="Supplier invoice received"/>
    <x v="273"/>
    <s v="179.01"/>
    <x v="11"/>
    <x v="3"/>
  </r>
  <r>
    <n v="2045"/>
    <x v="242"/>
    <s v="Supplier invoice received"/>
    <x v="301"/>
    <s v="0.0"/>
    <x v="9"/>
    <x v="4"/>
  </r>
  <r>
    <n v="2045"/>
    <x v="242"/>
    <s v="Supplier invoice received"/>
    <x v="302"/>
    <s v="0.0"/>
    <x v="10"/>
    <x v="0"/>
  </r>
  <r>
    <n v="2045"/>
    <x v="242"/>
    <s v="Supplier invoice received"/>
    <x v="273"/>
    <s v="4812.46"/>
    <x v="11"/>
    <x v="3"/>
  </r>
  <r>
    <n v="2046"/>
    <x v="242"/>
    <s v="Supplier invoice received"/>
    <x v="295"/>
    <s v="0.0"/>
    <x v="9"/>
    <x v="4"/>
  </r>
  <r>
    <n v="2046"/>
    <x v="242"/>
    <s v="Supplier invoice received"/>
    <x v="296"/>
    <s v="0.0"/>
    <x v="10"/>
    <x v="0"/>
  </r>
  <r>
    <n v="2046"/>
    <x v="242"/>
    <s v="Supplier invoice received"/>
    <x v="273"/>
    <s v="1766.46"/>
    <x v="11"/>
    <x v="3"/>
  </r>
  <r>
    <n v="2047"/>
    <x v="242"/>
    <s v="Supplier invoice received"/>
    <x v="405"/>
    <s v="0.0"/>
    <x v="9"/>
    <x v="4"/>
  </r>
  <r>
    <n v="2047"/>
    <x v="242"/>
    <s v="Supplier invoice received"/>
    <x v="406"/>
    <s v="0.0"/>
    <x v="10"/>
    <x v="0"/>
  </r>
  <r>
    <n v="2047"/>
    <x v="242"/>
    <s v="Supplier invoice received"/>
    <x v="273"/>
    <s v="2635.36"/>
    <x v="11"/>
    <x v="3"/>
  </r>
  <r>
    <n v="2048"/>
    <x v="242"/>
    <s v="Supplier payment made"/>
    <x v="280"/>
    <s v="0.0"/>
    <x v="11"/>
    <x v="3"/>
  </r>
  <r>
    <n v="2048"/>
    <x v="242"/>
    <s v="Supplier payment made"/>
    <x v="273"/>
    <s v="2635.36"/>
    <x v="0"/>
    <x v="0"/>
  </r>
  <r>
    <n v="2049"/>
    <x v="242"/>
    <s v="Supplier payment made"/>
    <x v="292"/>
    <s v="0.0"/>
    <x v="11"/>
    <x v="3"/>
  </r>
  <r>
    <n v="2049"/>
    <x v="242"/>
    <s v="Supplier payment made"/>
    <x v="273"/>
    <s v="1766.46"/>
    <x v="0"/>
    <x v="0"/>
  </r>
  <r>
    <n v="2050"/>
    <x v="242"/>
    <s v="Supplier payment made"/>
    <x v="515"/>
    <s v="0.0"/>
    <x v="11"/>
    <x v="3"/>
  </r>
  <r>
    <n v="2050"/>
    <x v="242"/>
    <s v="Supplier payment made"/>
    <x v="273"/>
    <s v="862.91"/>
    <x v="0"/>
    <x v="0"/>
  </r>
  <r>
    <n v="2051"/>
    <x v="242"/>
    <s v="Supplier payment made"/>
    <x v="334"/>
    <s v="0.0"/>
    <x v="11"/>
    <x v="3"/>
  </r>
  <r>
    <n v="2051"/>
    <x v="242"/>
    <s v="Supplier payment made"/>
    <x v="273"/>
    <s v="3528.97"/>
    <x v="0"/>
    <x v="0"/>
  </r>
  <r>
    <n v="2052"/>
    <x v="242"/>
    <s v="Supplier payment made"/>
    <x v="504"/>
    <s v="0.0"/>
    <x v="11"/>
    <x v="3"/>
  </r>
  <r>
    <n v="2052"/>
    <x v="242"/>
    <s v="Supplier payment made"/>
    <x v="273"/>
    <s v="1958.74"/>
    <x v="0"/>
    <x v="0"/>
  </r>
  <r>
    <n v="2053"/>
    <x v="243"/>
    <s v="Sales invoice issued"/>
    <x v="969"/>
    <s v="0.0"/>
    <x v="2"/>
    <x v="0"/>
  </r>
  <r>
    <n v="2053"/>
    <x v="243"/>
    <s v="Sales invoice issued"/>
    <x v="273"/>
    <s v="780.65"/>
    <x v="3"/>
    <x v="2"/>
  </r>
  <r>
    <n v="2053"/>
    <x v="243"/>
    <s v="Sales invoice issued"/>
    <x v="273"/>
    <s v="58.55"/>
    <x v="4"/>
    <x v="3"/>
  </r>
  <r>
    <n v="2054"/>
    <x v="243"/>
    <s v="Sales invoice issued"/>
    <x v="970"/>
    <s v="0.0"/>
    <x v="2"/>
    <x v="0"/>
  </r>
  <r>
    <n v="2054"/>
    <x v="243"/>
    <s v="Sales invoice issued"/>
    <x v="273"/>
    <s v="4493.68"/>
    <x v="3"/>
    <x v="2"/>
  </r>
  <r>
    <n v="2054"/>
    <x v="243"/>
    <s v="Sales invoice issued"/>
    <x v="273"/>
    <s v="337.02"/>
    <x v="4"/>
    <x v="3"/>
  </r>
  <r>
    <n v="2055"/>
    <x v="243"/>
    <s v="Sales invoice issued"/>
    <x v="951"/>
    <s v="0.0"/>
    <x v="2"/>
    <x v="0"/>
  </r>
  <r>
    <n v="2055"/>
    <x v="243"/>
    <s v="Sales invoice issued"/>
    <x v="273"/>
    <s v="92.28"/>
    <x v="3"/>
    <x v="2"/>
  </r>
  <r>
    <n v="2055"/>
    <x v="243"/>
    <s v="Sales invoice issued"/>
    <x v="273"/>
    <s v="6.92"/>
    <x v="4"/>
    <x v="3"/>
  </r>
  <r>
    <n v="2056"/>
    <x v="243"/>
    <s v="Sales invoice issued"/>
    <x v="971"/>
    <s v="0.0"/>
    <x v="2"/>
    <x v="0"/>
  </r>
  <r>
    <n v="2056"/>
    <x v="243"/>
    <s v="Sales invoice issued"/>
    <x v="273"/>
    <s v="66.82"/>
    <x v="3"/>
    <x v="2"/>
  </r>
  <r>
    <n v="2056"/>
    <x v="243"/>
    <s v="Sales invoice issued"/>
    <x v="273"/>
    <s v="5.01"/>
    <x v="4"/>
    <x v="3"/>
  </r>
  <r>
    <n v="2057"/>
    <x v="243"/>
    <s v="Customer payment received"/>
    <x v="869"/>
    <s v="0.0"/>
    <x v="0"/>
    <x v="0"/>
  </r>
  <r>
    <n v="2057"/>
    <x v="243"/>
    <s v="Customer payment received"/>
    <x v="273"/>
    <s v="2933.11"/>
    <x v="2"/>
    <x v="0"/>
  </r>
  <r>
    <n v="2058"/>
    <x v="243"/>
    <s v="Customer payment received"/>
    <x v="972"/>
    <s v="0.0"/>
    <x v="0"/>
    <x v="0"/>
  </r>
  <r>
    <n v="2058"/>
    <x v="243"/>
    <s v="Customer payment received"/>
    <x v="273"/>
    <s v="2670.37"/>
    <x v="2"/>
    <x v="0"/>
  </r>
  <r>
    <n v="2059"/>
    <x v="243"/>
    <s v="Customer payment received"/>
    <x v="921"/>
    <s v="0.0"/>
    <x v="0"/>
    <x v="0"/>
  </r>
  <r>
    <n v="2059"/>
    <x v="243"/>
    <s v="Customer payment received"/>
    <x v="273"/>
    <s v="179.58"/>
    <x v="2"/>
    <x v="0"/>
  </r>
  <r>
    <n v="2060"/>
    <x v="243"/>
    <s v="Customer payment received"/>
    <x v="926"/>
    <s v="0.0"/>
    <x v="0"/>
    <x v="0"/>
  </r>
  <r>
    <n v="2060"/>
    <x v="243"/>
    <s v="Customer payment received"/>
    <x v="273"/>
    <s v="3301.03"/>
    <x v="2"/>
    <x v="0"/>
  </r>
  <r>
    <n v="2061"/>
    <x v="243"/>
    <s v="Supplier payment made"/>
    <x v="466"/>
    <s v="0.0"/>
    <x v="11"/>
    <x v="3"/>
  </r>
  <r>
    <n v="2061"/>
    <x v="243"/>
    <s v="Supplier payment made"/>
    <x v="273"/>
    <s v="748.26"/>
    <x v="0"/>
    <x v="0"/>
  </r>
  <r>
    <n v="2062"/>
    <x v="243"/>
    <s v="Supplier payment made"/>
    <x v="318"/>
    <s v="0.0"/>
    <x v="11"/>
    <x v="3"/>
  </r>
  <r>
    <n v="2062"/>
    <x v="243"/>
    <s v="Supplier payment made"/>
    <x v="273"/>
    <s v="2504.23"/>
    <x v="0"/>
    <x v="0"/>
  </r>
  <r>
    <n v="2063"/>
    <x v="243"/>
    <s v="Supplier payment made"/>
    <x v="280"/>
    <s v="0.0"/>
    <x v="11"/>
    <x v="3"/>
  </r>
  <r>
    <n v="2063"/>
    <x v="243"/>
    <s v="Supplier payment made"/>
    <x v="273"/>
    <s v="2635.36"/>
    <x v="0"/>
    <x v="0"/>
  </r>
  <r>
    <n v="2064"/>
    <x v="243"/>
    <s v="Supplier payment made"/>
    <x v="309"/>
    <s v="0.0"/>
    <x v="11"/>
    <x v="3"/>
  </r>
  <r>
    <n v="2064"/>
    <x v="243"/>
    <s v="Supplier payment made"/>
    <x v="273"/>
    <s v="4812.46"/>
    <x v="0"/>
    <x v="0"/>
  </r>
  <r>
    <n v="2065"/>
    <x v="244"/>
    <s v="Sales invoice issued"/>
    <x v="973"/>
    <s v="0.0"/>
    <x v="2"/>
    <x v="0"/>
  </r>
  <r>
    <n v="2065"/>
    <x v="244"/>
    <s v="Sales invoice issued"/>
    <x v="273"/>
    <s v="322.98"/>
    <x v="3"/>
    <x v="2"/>
  </r>
  <r>
    <n v="2065"/>
    <x v="244"/>
    <s v="Sales invoice issued"/>
    <x v="273"/>
    <s v="24.22"/>
    <x v="4"/>
    <x v="3"/>
  </r>
  <r>
    <n v="2066"/>
    <x v="244"/>
    <s v="Sales invoice issued"/>
    <x v="974"/>
    <s v="0.0"/>
    <x v="2"/>
    <x v="0"/>
  </r>
  <r>
    <n v="2066"/>
    <x v="244"/>
    <s v="Sales invoice issued"/>
    <x v="273"/>
    <s v="2874.05"/>
    <x v="3"/>
    <x v="2"/>
  </r>
  <r>
    <n v="2066"/>
    <x v="244"/>
    <s v="Sales invoice issued"/>
    <x v="273"/>
    <s v="215.55"/>
    <x v="4"/>
    <x v="3"/>
  </r>
  <r>
    <n v="2067"/>
    <x v="244"/>
    <s v="Sales invoice issued"/>
    <x v="975"/>
    <s v="0.0"/>
    <x v="2"/>
    <x v="0"/>
  </r>
  <r>
    <n v="2067"/>
    <x v="244"/>
    <s v="Sales invoice issued"/>
    <x v="273"/>
    <s v="1681.95"/>
    <x v="3"/>
    <x v="2"/>
  </r>
  <r>
    <n v="2067"/>
    <x v="244"/>
    <s v="Sales invoice issued"/>
    <x v="273"/>
    <s v="126.15"/>
    <x v="4"/>
    <x v="3"/>
  </r>
  <r>
    <n v="2068"/>
    <x v="244"/>
    <s v="Sales invoice issued"/>
    <x v="976"/>
    <s v="0.0"/>
    <x v="2"/>
    <x v="0"/>
  </r>
  <r>
    <n v="2068"/>
    <x v="244"/>
    <s v="Sales invoice issued"/>
    <x v="273"/>
    <s v="138.9"/>
    <x v="3"/>
    <x v="2"/>
  </r>
  <r>
    <n v="2068"/>
    <x v="244"/>
    <s v="Sales invoice issued"/>
    <x v="273"/>
    <s v="10.42"/>
    <x v="4"/>
    <x v="3"/>
  </r>
  <r>
    <n v="2069"/>
    <x v="244"/>
    <s v="Sales invoice issued"/>
    <x v="977"/>
    <s v="0.0"/>
    <x v="2"/>
    <x v="0"/>
  </r>
  <r>
    <n v="2069"/>
    <x v="244"/>
    <s v="Sales invoice issued"/>
    <x v="273"/>
    <s v="3766.21"/>
    <x v="3"/>
    <x v="2"/>
  </r>
  <r>
    <n v="2069"/>
    <x v="244"/>
    <s v="Sales invoice issued"/>
    <x v="273"/>
    <s v="282.47"/>
    <x v="4"/>
    <x v="3"/>
  </r>
  <r>
    <n v="2070"/>
    <x v="244"/>
    <s v="Sales invoice issued"/>
    <x v="978"/>
    <s v="0.0"/>
    <x v="2"/>
    <x v="0"/>
  </r>
  <r>
    <n v="2070"/>
    <x v="244"/>
    <s v="Sales invoice issued"/>
    <x v="273"/>
    <s v="1189.6"/>
    <x v="3"/>
    <x v="2"/>
  </r>
  <r>
    <n v="2070"/>
    <x v="244"/>
    <s v="Sales invoice issued"/>
    <x v="273"/>
    <s v="89.22"/>
    <x v="4"/>
    <x v="3"/>
  </r>
  <r>
    <n v="2071"/>
    <x v="244"/>
    <s v="Customer payment received"/>
    <x v="803"/>
    <s v="0.0"/>
    <x v="0"/>
    <x v="0"/>
  </r>
  <r>
    <n v="2071"/>
    <x v="244"/>
    <s v="Customer payment received"/>
    <x v="273"/>
    <s v="866.97"/>
    <x v="2"/>
    <x v="0"/>
  </r>
  <r>
    <n v="2072"/>
    <x v="244"/>
    <s v="Customer payment received"/>
    <x v="815"/>
    <s v="0.0"/>
    <x v="0"/>
    <x v="0"/>
  </r>
  <r>
    <n v="2072"/>
    <x v="244"/>
    <s v="Customer payment received"/>
    <x v="273"/>
    <s v="3904.34"/>
    <x v="2"/>
    <x v="0"/>
  </r>
  <r>
    <n v="2073"/>
    <x v="244"/>
    <s v="Customer payment received"/>
    <x v="833"/>
    <s v="0.0"/>
    <x v="0"/>
    <x v="0"/>
  </r>
  <r>
    <n v="2073"/>
    <x v="244"/>
    <s v="Customer payment received"/>
    <x v="273"/>
    <s v="1444.56"/>
    <x v="2"/>
    <x v="0"/>
  </r>
  <r>
    <n v="2074"/>
    <x v="244"/>
    <s v="Customer payment received"/>
    <x v="979"/>
    <s v="0.0"/>
    <x v="0"/>
    <x v="0"/>
  </r>
  <r>
    <n v="2074"/>
    <x v="244"/>
    <s v="Customer payment received"/>
    <x v="273"/>
    <s v="1201.02"/>
    <x v="2"/>
    <x v="0"/>
  </r>
  <r>
    <n v="2075"/>
    <x v="244"/>
    <s v="Customer payment received"/>
    <x v="980"/>
    <s v="0.0"/>
    <x v="0"/>
    <x v="0"/>
  </r>
  <r>
    <n v="2075"/>
    <x v="244"/>
    <s v="Customer payment received"/>
    <x v="273"/>
    <s v="198.94"/>
    <x v="2"/>
    <x v="0"/>
  </r>
  <r>
    <n v="2076"/>
    <x v="244"/>
    <s v="Customer payment received"/>
    <x v="915"/>
    <s v="0.0"/>
    <x v="0"/>
    <x v="0"/>
  </r>
  <r>
    <n v="2076"/>
    <x v="244"/>
    <s v="Customer payment received"/>
    <x v="273"/>
    <s v="1380.69"/>
    <x v="2"/>
    <x v="0"/>
  </r>
  <r>
    <n v="2077"/>
    <x v="244"/>
    <s v="Customer payment received"/>
    <x v="973"/>
    <s v="0.0"/>
    <x v="0"/>
    <x v="0"/>
  </r>
  <r>
    <n v="2077"/>
    <x v="244"/>
    <s v="Customer payment received"/>
    <x v="273"/>
    <s v="347.2"/>
    <x v="2"/>
    <x v="0"/>
  </r>
  <r>
    <n v="2078"/>
    <x v="244"/>
    <s v="Supplier invoice received"/>
    <x v="359"/>
    <s v="0.0"/>
    <x v="9"/>
    <x v="4"/>
  </r>
  <r>
    <n v="2078"/>
    <x v="244"/>
    <s v="Supplier invoice received"/>
    <x v="360"/>
    <s v="0.0"/>
    <x v="10"/>
    <x v="0"/>
  </r>
  <r>
    <n v="2078"/>
    <x v="244"/>
    <s v="Supplier invoice received"/>
    <x v="273"/>
    <s v="1591.54"/>
    <x v="11"/>
    <x v="3"/>
  </r>
  <r>
    <n v="2079"/>
    <x v="244"/>
    <s v="Supplier invoice received"/>
    <x v="461"/>
    <s v="0.0"/>
    <x v="9"/>
    <x v="4"/>
  </r>
  <r>
    <n v="2079"/>
    <x v="244"/>
    <s v="Supplier invoice received"/>
    <x v="462"/>
    <s v="0.0"/>
    <x v="10"/>
    <x v="0"/>
  </r>
  <r>
    <n v="2079"/>
    <x v="244"/>
    <s v="Supplier invoice received"/>
    <x v="273"/>
    <s v="2182.41"/>
    <x v="11"/>
    <x v="3"/>
  </r>
  <r>
    <n v="2080"/>
    <x v="244"/>
    <s v="Supplier payment made"/>
    <x v="334"/>
    <s v="0.0"/>
    <x v="11"/>
    <x v="3"/>
  </r>
  <r>
    <n v="2080"/>
    <x v="244"/>
    <s v="Supplier payment made"/>
    <x v="273"/>
    <s v="3528.97"/>
    <x v="0"/>
    <x v="0"/>
  </r>
  <r>
    <n v="2081"/>
    <x v="244"/>
    <s v="Supplier payment made"/>
    <x v="352"/>
    <s v="0.0"/>
    <x v="11"/>
    <x v="3"/>
  </r>
  <r>
    <n v="2081"/>
    <x v="244"/>
    <s v="Supplier payment made"/>
    <x v="273"/>
    <s v="9336.67"/>
    <x v="0"/>
    <x v="0"/>
  </r>
  <r>
    <n v="2082"/>
    <x v="244"/>
    <s v="Supplier payment made"/>
    <x v="310"/>
    <s v="0.0"/>
    <x v="11"/>
    <x v="3"/>
  </r>
  <r>
    <n v="2082"/>
    <x v="244"/>
    <s v="Supplier payment made"/>
    <x v="273"/>
    <s v="276.32"/>
    <x v="0"/>
    <x v="0"/>
  </r>
  <r>
    <n v="2083"/>
    <x v="245"/>
    <s v="Payroll processed"/>
    <x v="535"/>
    <s v="0.0"/>
    <x v="5"/>
    <x v="4"/>
  </r>
  <r>
    <n v="2083"/>
    <x v="245"/>
    <s v="Payroll processed"/>
    <x v="536"/>
    <s v="0.0"/>
    <x v="6"/>
    <x v="4"/>
  </r>
  <r>
    <n v="2083"/>
    <x v="245"/>
    <s v="Payroll processed"/>
    <x v="273"/>
    <s v="17968.47"/>
    <x v="0"/>
    <x v="0"/>
  </r>
  <r>
    <n v="2083"/>
    <x v="245"/>
    <s v="Payroll processed"/>
    <x v="273"/>
    <s v="4069.27"/>
    <x v="7"/>
    <x v="3"/>
  </r>
  <r>
    <n v="2083"/>
    <x v="245"/>
    <s v="Payroll processed"/>
    <x v="273"/>
    <s v="881.51"/>
    <x v="8"/>
    <x v="3"/>
  </r>
  <r>
    <n v="2084"/>
    <x v="245"/>
    <s v="Sales invoice issued"/>
    <x v="981"/>
    <s v="0.0"/>
    <x v="2"/>
    <x v="0"/>
  </r>
  <r>
    <n v="2084"/>
    <x v="245"/>
    <s v="Sales invoice issued"/>
    <x v="273"/>
    <s v="2573.01"/>
    <x v="3"/>
    <x v="2"/>
  </r>
  <r>
    <n v="2084"/>
    <x v="245"/>
    <s v="Sales invoice issued"/>
    <x v="273"/>
    <s v="192.98"/>
    <x v="4"/>
    <x v="3"/>
  </r>
  <r>
    <n v="2085"/>
    <x v="245"/>
    <s v="Sales invoice issued"/>
    <x v="982"/>
    <s v="0.0"/>
    <x v="2"/>
    <x v="0"/>
  </r>
  <r>
    <n v="2085"/>
    <x v="245"/>
    <s v="Sales invoice issued"/>
    <x v="273"/>
    <s v="368.2"/>
    <x v="3"/>
    <x v="2"/>
  </r>
  <r>
    <n v="2085"/>
    <x v="245"/>
    <s v="Sales invoice issued"/>
    <x v="273"/>
    <s v="27.62"/>
    <x v="4"/>
    <x v="3"/>
  </r>
  <r>
    <n v="2086"/>
    <x v="245"/>
    <s v="Sales invoice issued"/>
    <x v="983"/>
    <s v="0.0"/>
    <x v="2"/>
    <x v="0"/>
  </r>
  <r>
    <n v="2086"/>
    <x v="245"/>
    <s v="Sales invoice issued"/>
    <x v="273"/>
    <s v="138.42"/>
    <x v="3"/>
    <x v="2"/>
  </r>
  <r>
    <n v="2086"/>
    <x v="245"/>
    <s v="Sales invoice issued"/>
    <x v="273"/>
    <s v="10.38"/>
    <x v="4"/>
    <x v="3"/>
  </r>
  <r>
    <n v="2087"/>
    <x v="245"/>
    <s v="Sales invoice issued"/>
    <x v="984"/>
    <s v="0.0"/>
    <x v="2"/>
    <x v="0"/>
  </r>
  <r>
    <n v="2087"/>
    <x v="245"/>
    <s v="Sales invoice issued"/>
    <x v="273"/>
    <s v="1137.78"/>
    <x v="3"/>
    <x v="2"/>
  </r>
  <r>
    <n v="2087"/>
    <x v="245"/>
    <s v="Sales invoice issued"/>
    <x v="273"/>
    <s v="85.33"/>
    <x v="4"/>
    <x v="3"/>
  </r>
  <r>
    <n v="2088"/>
    <x v="245"/>
    <s v="Sales invoice issued"/>
    <x v="985"/>
    <s v="0.0"/>
    <x v="2"/>
    <x v="0"/>
  </r>
  <r>
    <n v="2088"/>
    <x v="245"/>
    <s v="Sales invoice issued"/>
    <x v="273"/>
    <s v="167.5"/>
    <x v="3"/>
    <x v="2"/>
  </r>
  <r>
    <n v="2088"/>
    <x v="245"/>
    <s v="Sales invoice issued"/>
    <x v="273"/>
    <s v="12.57"/>
    <x v="4"/>
    <x v="3"/>
  </r>
  <r>
    <n v="2089"/>
    <x v="245"/>
    <s v="Sales invoice issued"/>
    <x v="986"/>
    <s v="0.0"/>
    <x v="2"/>
    <x v="0"/>
  </r>
  <r>
    <n v="2089"/>
    <x v="245"/>
    <s v="Sales invoice issued"/>
    <x v="273"/>
    <s v="3015.19"/>
    <x v="3"/>
    <x v="2"/>
  </r>
  <r>
    <n v="2089"/>
    <x v="245"/>
    <s v="Sales invoice issued"/>
    <x v="273"/>
    <s v="226.14"/>
    <x v="4"/>
    <x v="3"/>
  </r>
  <r>
    <n v="2090"/>
    <x v="245"/>
    <s v="Sales invoice issued"/>
    <x v="987"/>
    <s v="0.0"/>
    <x v="2"/>
    <x v="0"/>
  </r>
  <r>
    <n v="2090"/>
    <x v="245"/>
    <s v="Sales invoice issued"/>
    <x v="273"/>
    <s v="1094.58"/>
    <x v="3"/>
    <x v="2"/>
  </r>
  <r>
    <n v="2090"/>
    <x v="245"/>
    <s v="Sales invoice issued"/>
    <x v="273"/>
    <s v="82.09"/>
    <x v="4"/>
    <x v="3"/>
  </r>
  <r>
    <n v="2091"/>
    <x v="245"/>
    <s v="Sales invoice issued"/>
    <x v="988"/>
    <s v="0.0"/>
    <x v="2"/>
    <x v="0"/>
  </r>
  <r>
    <n v="2091"/>
    <x v="245"/>
    <s v="Sales invoice issued"/>
    <x v="273"/>
    <s v="1072.12"/>
    <x v="3"/>
    <x v="2"/>
  </r>
  <r>
    <n v="2091"/>
    <x v="245"/>
    <s v="Sales invoice issued"/>
    <x v="273"/>
    <s v="80.4"/>
    <x v="4"/>
    <x v="3"/>
  </r>
  <r>
    <n v="2092"/>
    <x v="245"/>
    <s v="Sales invoice issued"/>
    <x v="989"/>
    <s v="0.0"/>
    <x v="2"/>
    <x v="0"/>
  </r>
  <r>
    <n v="2092"/>
    <x v="245"/>
    <s v="Sales invoice issued"/>
    <x v="273"/>
    <s v="823.02"/>
    <x v="3"/>
    <x v="2"/>
  </r>
  <r>
    <n v="2092"/>
    <x v="245"/>
    <s v="Sales invoice issued"/>
    <x v="273"/>
    <s v="61.72"/>
    <x v="4"/>
    <x v="3"/>
  </r>
  <r>
    <n v="2093"/>
    <x v="245"/>
    <s v="Sales invoice issued"/>
    <x v="990"/>
    <s v="0.0"/>
    <x v="2"/>
    <x v="0"/>
  </r>
  <r>
    <n v="2093"/>
    <x v="245"/>
    <s v="Sales invoice issued"/>
    <x v="273"/>
    <s v="730.75"/>
    <x v="3"/>
    <x v="2"/>
  </r>
  <r>
    <n v="2093"/>
    <x v="245"/>
    <s v="Sales invoice issued"/>
    <x v="273"/>
    <s v="54.81"/>
    <x v="4"/>
    <x v="3"/>
  </r>
  <r>
    <n v="2094"/>
    <x v="245"/>
    <s v="Sales invoice issued"/>
    <x v="991"/>
    <s v="0.0"/>
    <x v="2"/>
    <x v="0"/>
  </r>
  <r>
    <n v="2094"/>
    <x v="245"/>
    <s v="Sales invoice issued"/>
    <x v="273"/>
    <s v="60.41"/>
    <x v="3"/>
    <x v="2"/>
  </r>
  <r>
    <n v="2094"/>
    <x v="245"/>
    <s v="Sales invoice issued"/>
    <x v="273"/>
    <s v="4.53"/>
    <x v="4"/>
    <x v="3"/>
  </r>
  <r>
    <n v="2095"/>
    <x v="245"/>
    <s v="Sales invoice issued"/>
    <x v="992"/>
    <s v="0.0"/>
    <x v="2"/>
    <x v="0"/>
  </r>
  <r>
    <n v="2095"/>
    <x v="245"/>
    <s v="Sales invoice issued"/>
    <x v="273"/>
    <s v="920.6"/>
    <x v="3"/>
    <x v="2"/>
  </r>
  <r>
    <n v="2095"/>
    <x v="245"/>
    <s v="Sales invoice issued"/>
    <x v="273"/>
    <s v="69.04"/>
    <x v="4"/>
    <x v="3"/>
  </r>
  <r>
    <n v="2096"/>
    <x v="245"/>
    <s v="Sales invoice issued"/>
    <x v="993"/>
    <s v="0.0"/>
    <x v="2"/>
    <x v="0"/>
  </r>
  <r>
    <n v="2096"/>
    <x v="245"/>
    <s v="Sales invoice issued"/>
    <x v="273"/>
    <s v="904.01"/>
    <x v="3"/>
    <x v="2"/>
  </r>
  <r>
    <n v="2096"/>
    <x v="245"/>
    <s v="Sales invoice issued"/>
    <x v="273"/>
    <s v="67.81"/>
    <x v="4"/>
    <x v="3"/>
  </r>
  <r>
    <n v="2097"/>
    <x v="245"/>
    <s v="Customer payment received"/>
    <x v="770"/>
    <s v="0.0"/>
    <x v="0"/>
    <x v="0"/>
  </r>
  <r>
    <n v="2097"/>
    <x v="245"/>
    <s v="Customer payment received"/>
    <x v="273"/>
    <s v="2437.54"/>
    <x v="2"/>
    <x v="0"/>
  </r>
  <r>
    <n v="2098"/>
    <x v="245"/>
    <s v="Customer payment received"/>
    <x v="788"/>
    <s v="0.0"/>
    <x v="0"/>
    <x v="0"/>
  </r>
  <r>
    <n v="2098"/>
    <x v="245"/>
    <s v="Customer payment received"/>
    <x v="273"/>
    <s v="790.45"/>
    <x v="2"/>
    <x v="0"/>
  </r>
  <r>
    <n v="2099"/>
    <x v="245"/>
    <s v="Customer payment received"/>
    <x v="934"/>
    <s v="0.0"/>
    <x v="0"/>
    <x v="0"/>
  </r>
  <r>
    <n v="2099"/>
    <x v="245"/>
    <s v="Customer payment received"/>
    <x v="273"/>
    <s v="683.92"/>
    <x v="2"/>
    <x v="0"/>
  </r>
  <r>
    <n v="2100"/>
    <x v="245"/>
    <s v="Customer payment received"/>
    <x v="438"/>
    <s v="0.0"/>
    <x v="0"/>
    <x v="0"/>
  </r>
  <r>
    <n v="2100"/>
    <x v="245"/>
    <s v="Customer payment received"/>
    <x v="273"/>
    <s v="1125.89"/>
    <x v="2"/>
    <x v="0"/>
  </r>
  <r>
    <n v="2101"/>
    <x v="245"/>
    <s v="Customer payment received"/>
    <x v="992"/>
    <s v="0.0"/>
    <x v="0"/>
    <x v="0"/>
  </r>
  <r>
    <n v="2101"/>
    <x v="245"/>
    <s v="Customer payment received"/>
    <x v="273"/>
    <s v="989.64"/>
    <x v="2"/>
    <x v="0"/>
  </r>
  <r>
    <n v="2102"/>
    <x v="245"/>
    <s v="Supplier payment made"/>
    <x v="350"/>
    <s v="0.0"/>
    <x v="11"/>
    <x v="3"/>
  </r>
  <r>
    <n v="2102"/>
    <x v="245"/>
    <s v="Supplier payment made"/>
    <x v="273"/>
    <s v="1794.11"/>
    <x v="0"/>
    <x v="0"/>
  </r>
  <r>
    <n v="2103"/>
    <x v="245"/>
    <s v="Supplier payment made"/>
    <x v="327"/>
    <s v="0.0"/>
    <x v="11"/>
    <x v="3"/>
  </r>
  <r>
    <n v="2103"/>
    <x v="245"/>
    <s v="Supplier payment made"/>
    <x v="273"/>
    <s v="1935.04"/>
    <x v="0"/>
    <x v="0"/>
  </r>
  <r>
    <n v="2104"/>
    <x v="246"/>
    <s v="Sales invoice issued"/>
    <x v="994"/>
    <s v="0.0"/>
    <x v="2"/>
    <x v="0"/>
  </r>
  <r>
    <n v="2104"/>
    <x v="246"/>
    <s v="Sales invoice issued"/>
    <x v="273"/>
    <s v="6024.91"/>
    <x v="3"/>
    <x v="2"/>
  </r>
  <r>
    <n v="2104"/>
    <x v="246"/>
    <s v="Sales invoice issued"/>
    <x v="273"/>
    <s v="451.87"/>
    <x v="4"/>
    <x v="3"/>
  </r>
  <r>
    <n v="2105"/>
    <x v="246"/>
    <s v="Sales invoice issued"/>
    <x v="995"/>
    <s v="0.0"/>
    <x v="2"/>
    <x v="0"/>
  </r>
  <r>
    <n v="2105"/>
    <x v="246"/>
    <s v="Sales invoice issued"/>
    <x v="273"/>
    <s v="1339.35"/>
    <x v="3"/>
    <x v="2"/>
  </r>
  <r>
    <n v="2105"/>
    <x v="246"/>
    <s v="Sales invoice issued"/>
    <x v="273"/>
    <s v="100.46"/>
    <x v="4"/>
    <x v="3"/>
  </r>
  <r>
    <n v="2106"/>
    <x v="246"/>
    <s v="Sales invoice issued"/>
    <x v="996"/>
    <s v="0.0"/>
    <x v="2"/>
    <x v="0"/>
  </r>
  <r>
    <n v="2106"/>
    <x v="246"/>
    <s v="Sales invoice issued"/>
    <x v="273"/>
    <s v="1195.76"/>
    <x v="3"/>
    <x v="2"/>
  </r>
  <r>
    <n v="2106"/>
    <x v="246"/>
    <s v="Sales invoice issued"/>
    <x v="273"/>
    <s v="89.68"/>
    <x v="4"/>
    <x v="3"/>
  </r>
  <r>
    <n v="2107"/>
    <x v="246"/>
    <s v="Sales invoice issued"/>
    <x v="997"/>
    <s v="0.0"/>
    <x v="2"/>
    <x v="0"/>
  </r>
  <r>
    <n v="2107"/>
    <x v="246"/>
    <s v="Sales invoice issued"/>
    <x v="273"/>
    <s v="2806.66"/>
    <x v="3"/>
    <x v="2"/>
  </r>
  <r>
    <n v="2107"/>
    <x v="246"/>
    <s v="Sales invoice issued"/>
    <x v="273"/>
    <s v="210.51"/>
    <x v="4"/>
    <x v="3"/>
  </r>
  <r>
    <n v="2108"/>
    <x v="246"/>
    <s v="Sales invoice issued"/>
    <x v="998"/>
    <s v="0.0"/>
    <x v="2"/>
    <x v="0"/>
  </r>
  <r>
    <n v="2108"/>
    <x v="246"/>
    <s v="Sales invoice issued"/>
    <x v="273"/>
    <s v="1914.66"/>
    <x v="3"/>
    <x v="2"/>
  </r>
  <r>
    <n v="2108"/>
    <x v="246"/>
    <s v="Sales invoice issued"/>
    <x v="273"/>
    <s v="143.6"/>
    <x v="4"/>
    <x v="3"/>
  </r>
  <r>
    <n v="2109"/>
    <x v="246"/>
    <s v="Sales invoice issued"/>
    <x v="999"/>
    <s v="0.0"/>
    <x v="2"/>
    <x v="0"/>
  </r>
  <r>
    <n v="2109"/>
    <x v="246"/>
    <s v="Sales invoice issued"/>
    <x v="273"/>
    <s v="314.14"/>
    <x v="3"/>
    <x v="2"/>
  </r>
  <r>
    <n v="2109"/>
    <x v="246"/>
    <s v="Sales invoice issued"/>
    <x v="273"/>
    <s v="23.56"/>
    <x v="4"/>
    <x v="3"/>
  </r>
  <r>
    <n v="2110"/>
    <x v="246"/>
    <s v="Sales invoice issued"/>
    <x v="1000"/>
    <s v="0.0"/>
    <x v="2"/>
    <x v="0"/>
  </r>
  <r>
    <n v="2110"/>
    <x v="246"/>
    <s v="Sales invoice issued"/>
    <x v="273"/>
    <s v="3026.21"/>
    <x v="3"/>
    <x v="2"/>
  </r>
  <r>
    <n v="2110"/>
    <x v="246"/>
    <s v="Sales invoice issued"/>
    <x v="273"/>
    <s v="226.96"/>
    <x v="4"/>
    <x v="3"/>
  </r>
  <r>
    <n v="2111"/>
    <x v="246"/>
    <s v="Sales invoice issued"/>
    <x v="1001"/>
    <s v="0.0"/>
    <x v="2"/>
    <x v="0"/>
  </r>
  <r>
    <n v="2111"/>
    <x v="246"/>
    <s v="Sales invoice issued"/>
    <x v="273"/>
    <s v="2710.0"/>
    <x v="3"/>
    <x v="2"/>
  </r>
  <r>
    <n v="2111"/>
    <x v="246"/>
    <s v="Sales invoice issued"/>
    <x v="273"/>
    <s v="203.26"/>
    <x v="4"/>
    <x v="3"/>
  </r>
  <r>
    <n v="2112"/>
    <x v="246"/>
    <s v="Sales invoice issued"/>
    <x v="1002"/>
    <s v="0.0"/>
    <x v="2"/>
    <x v="0"/>
  </r>
  <r>
    <n v="2112"/>
    <x v="246"/>
    <s v="Sales invoice issued"/>
    <x v="273"/>
    <s v="425.33"/>
    <x v="3"/>
    <x v="2"/>
  </r>
  <r>
    <n v="2112"/>
    <x v="246"/>
    <s v="Sales invoice issued"/>
    <x v="273"/>
    <s v="31.9"/>
    <x v="4"/>
    <x v="3"/>
  </r>
  <r>
    <n v="2113"/>
    <x v="246"/>
    <s v="Sales invoice issued"/>
    <x v="1003"/>
    <s v="0.0"/>
    <x v="2"/>
    <x v="0"/>
  </r>
  <r>
    <n v="2113"/>
    <x v="246"/>
    <s v="Sales invoice issued"/>
    <x v="273"/>
    <s v="1585.06"/>
    <x v="3"/>
    <x v="2"/>
  </r>
  <r>
    <n v="2113"/>
    <x v="246"/>
    <s v="Sales invoice issued"/>
    <x v="273"/>
    <s v="118.88"/>
    <x v="4"/>
    <x v="3"/>
  </r>
  <r>
    <n v="2114"/>
    <x v="246"/>
    <s v="Sales invoice issued"/>
    <x v="1004"/>
    <s v="0.0"/>
    <x v="2"/>
    <x v="0"/>
  </r>
  <r>
    <n v="2114"/>
    <x v="246"/>
    <s v="Sales invoice issued"/>
    <x v="273"/>
    <s v="3873.81"/>
    <x v="3"/>
    <x v="2"/>
  </r>
  <r>
    <n v="2114"/>
    <x v="246"/>
    <s v="Sales invoice issued"/>
    <x v="273"/>
    <s v="290.54"/>
    <x v="4"/>
    <x v="3"/>
  </r>
  <r>
    <n v="2115"/>
    <x v="246"/>
    <s v="Customer payment received"/>
    <x v="889"/>
    <s v="0.0"/>
    <x v="0"/>
    <x v="0"/>
  </r>
  <r>
    <n v="2115"/>
    <x v="246"/>
    <s v="Customer payment received"/>
    <x v="273"/>
    <s v="3749.99"/>
    <x v="2"/>
    <x v="0"/>
  </r>
  <r>
    <n v="2116"/>
    <x v="246"/>
    <s v="Customer payment received"/>
    <x v="937"/>
    <s v="0.0"/>
    <x v="0"/>
    <x v="0"/>
  </r>
  <r>
    <n v="2116"/>
    <x v="246"/>
    <s v="Customer payment received"/>
    <x v="273"/>
    <s v="1674.98"/>
    <x v="2"/>
    <x v="0"/>
  </r>
  <r>
    <n v="2117"/>
    <x v="246"/>
    <s v="Customer payment received"/>
    <x v="960"/>
    <s v="0.0"/>
    <x v="0"/>
    <x v="0"/>
  </r>
  <r>
    <n v="2117"/>
    <x v="246"/>
    <s v="Customer payment received"/>
    <x v="273"/>
    <s v="3369.2"/>
    <x v="2"/>
    <x v="0"/>
  </r>
  <r>
    <n v="2118"/>
    <x v="246"/>
    <s v="Customer payment received"/>
    <x v="997"/>
    <s v="0.0"/>
    <x v="0"/>
    <x v="0"/>
  </r>
  <r>
    <n v="2118"/>
    <x v="246"/>
    <s v="Customer payment received"/>
    <x v="273"/>
    <s v="3017.17"/>
    <x v="2"/>
    <x v="0"/>
  </r>
  <r>
    <n v="2119"/>
    <x v="246"/>
    <s v="Supplier invoice received"/>
    <x v="441"/>
    <s v="0.0"/>
    <x v="9"/>
    <x v="4"/>
  </r>
  <r>
    <n v="2119"/>
    <x v="246"/>
    <s v="Supplier invoice received"/>
    <x v="442"/>
    <s v="0.0"/>
    <x v="10"/>
    <x v="0"/>
  </r>
  <r>
    <n v="2119"/>
    <x v="246"/>
    <s v="Supplier invoice received"/>
    <x v="273"/>
    <s v="179.01"/>
    <x v="11"/>
    <x v="3"/>
  </r>
  <r>
    <n v="2120"/>
    <x v="246"/>
    <s v="Supplier payment made"/>
    <x v="407"/>
    <s v="0.0"/>
    <x v="11"/>
    <x v="3"/>
  </r>
  <r>
    <n v="2120"/>
    <x v="246"/>
    <s v="Supplier payment made"/>
    <x v="273"/>
    <s v="201.5"/>
    <x v="0"/>
    <x v="0"/>
  </r>
  <r>
    <n v="2121"/>
    <x v="246"/>
    <s v="Supplier payment made"/>
    <x v="351"/>
    <s v="0.0"/>
    <x v="11"/>
    <x v="3"/>
  </r>
  <r>
    <n v="2121"/>
    <x v="246"/>
    <s v="Supplier payment made"/>
    <x v="273"/>
    <s v="179.01"/>
    <x v="0"/>
    <x v="0"/>
  </r>
  <r>
    <n v="2122"/>
    <x v="247"/>
    <s v="Sales invoice issued"/>
    <x v="1005"/>
    <s v="0.0"/>
    <x v="2"/>
    <x v="0"/>
  </r>
  <r>
    <n v="2122"/>
    <x v="247"/>
    <s v="Sales invoice issued"/>
    <x v="273"/>
    <s v="1429.14"/>
    <x v="3"/>
    <x v="2"/>
  </r>
  <r>
    <n v="2122"/>
    <x v="247"/>
    <s v="Sales invoice issued"/>
    <x v="273"/>
    <s v="107.19"/>
    <x v="4"/>
    <x v="3"/>
  </r>
  <r>
    <n v="2123"/>
    <x v="247"/>
    <s v="Sales invoice issued"/>
    <x v="1006"/>
    <s v="0.0"/>
    <x v="2"/>
    <x v="0"/>
  </r>
  <r>
    <n v="2123"/>
    <x v="247"/>
    <s v="Sales invoice issued"/>
    <x v="273"/>
    <s v="4953.28"/>
    <x v="3"/>
    <x v="2"/>
  </r>
  <r>
    <n v="2123"/>
    <x v="247"/>
    <s v="Sales invoice issued"/>
    <x v="273"/>
    <s v="371.5"/>
    <x v="4"/>
    <x v="3"/>
  </r>
  <r>
    <n v="2124"/>
    <x v="247"/>
    <s v="Sales invoice issued"/>
    <x v="1007"/>
    <s v="0.0"/>
    <x v="2"/>
    <x v="0"/>
  </r>
  <r>
    <n v="2124"/>
    <x v="247"/>
    <s v="Sales invoice issued"/>
    <x v="273"/>
    <s v="5034.67"/>
    <x v="3"/>
    <x v="2"/>
  </r>
  <r>
    <n v="2124"/>
    <x v="247"/>
    <s v="Sales invoice issued"/>
    <x v="273"/>
    <s v="377.61"/>
    <x v="4"/>
    <x v="3"/>
  </r>
  <r>
    <n v="2125"/>
    <x v="247"/>
    <s v="Sales invoice issued"/>
    <x v="1008"/>
    <s v="0.0"/>
    <x v="2"/>
    <x v="0"/>
  </r>
  <r>
    <n v="2125"/>
    <x v="247"/>
    <s v="Sales invoice issued"/>
    <x v="273"/>
    <s v="395.64"/>
    <x v="3"/>
    <x v="2"/>
  </r>
  <r>
    <n v="2125"/>
    <x v="247"/>
    <s v="Sales invoice issued"/>
    <x v="273"/>
    <s v="29.68"/>
    <x v="4"/>
    <x v="3"/>
  </r>
  <r>
    <n v="2126"/>
    <x v="247"/>
    <s v="Sales invoice issued"/>
    <x v="1009"/>
    <s v="0.0"/>
    <x v="2"/>
    <x v="0"/>
  </r>
  <r>
    <n v="2126"/>
    <x v="247"/>
    <s v="Sales invoice issued"/>
    <x v="273"/>
    <s v="138.99"/>
    <x v="3"/>
    <x v="2"/>
  </r>
  <r>
    <n v="2126"/>
    <x v="247"/>
    <s v="Sales invoice issued"/>
    <x v="273"/>
    <s v="10.42"/>
    <x v="4"/>
    <x v="3"/>
  </r>
  <r>
    <n v="2127"/>
    <x v="247"/>
    <s v="Sales invoice issued"/>
    <x v="1010"/>
    <s v="0.0"/>
    <x v="2"/>
    <x v="0"/>
  </r>
  <r>
    <n v="2127"/>
    <x v="247"/>
    <s v="Sales invoice issued"/>
    <x v="273"/>
    <s v="1714.38"/>
    <x v="3"/>
    <x v="2"/>
  </r>
  <r>
    <n v="2127"/>
    <x v="247"/>
    <s v="Sales invoice issued"/>
    <x v="273"/>
    <s v="128.58"/>
    <x v="4"/>
    <x v="3"/>
  </r>
  <r>
    <n v="2128"/>
    <x v="247"/>
    <s v="Sales invoice issued"/>
    <x v="1011"/>
    <s v="0.0"/>
    <x v="2"/>
    <x v="0"/>
  </r>
  <r>
    <n v="2128"/>
    <x v="247"/>
    <s v="Sales invoice issued"/>
    <x v="273"/>
    <s v="709.54"/>
    <x v="3"/>
    <x v="2"/>
  </r>
  <r>
    <n v="2128"/>
    <x v="247"/>
    <s v="Sales invoice issued"/>
    <x v="273"/>
    <s v="53.22"/>
    <x v="4"/>
    <x v="3"/>
  </r>
  <r>
    <n v="2129"/>
    <x v="247"/>
    <s v="Sales invoice issued"/>
    <x v="1012"/>
    <s v="0.0"/>
    <x v="2"/>
    <x v="0"/>
  </r>
  <r>
    <n v="2129"/>
    <x v="247"/>
    <s v="Sales invoice issued"/>
    <x v="273"/>
    <s v="1625.7"/>
    <x v="3"/>
    <x v="2"/>
  </r>
  <r>
    <n v="2129"/>
    <x v="247"/>
    <s v="Sales invoice issued"/>
    <x v="273"/>
    <s v="121.93"/>
    <x v="4"/>
    <x v="3"/>
  </r>
  <r>
    <n v="2130"/>
    <x v="247"/>
    <s v="Sales invoice issued"/>
    <x v="1013"/>
    <s v="0.0"/>
    <x v="2"/>
    <x v="0"/>
  </r>
  <r>
    <n v="2130"/>
    <x v="247"/>
    <s v="Sales invoice issued"/>
    <x v="273"/>
    <s v="595.74"/>
    <x v="3"/>
    <x v="2"/>
  </r>
  <r>
    <n v="2130"/>
    <x v="247"/>
    <s v="Sales invoice issued"/>
    <x v="273"/>
    <s v="44.68"/>
    <x v="4"/>
    <x v="3"/>
  </r>
  <r>
    <n v="2131"/>
    <x v="247"/>
    <s v="Customer payment received"/>
    <x v="826"/>
    <s v="0.0"/>
    <x v="0"/>
    <x v="0"/>
  </r>
  <r>
    <n v="2131"/>
    <x v="247"/>
    <s v="Customer payment received"/>
    <x v="273"/>
    <s v="1616.4"/>
    <x v="2"/>
    <x v="0"/>
  </r>
  <r>
    <n v="2132"/>
    <x v="247"/>
    <s v="Customer payment received"/>
    <x v="867"/>
    <s v="0.0"/>
    <x v="0"/>
    <x v="0"/>
  </r>
  <r>
    <n v="2132"/>
    <x v="247"/>
    <s v="Customer payment received"/>
    <x v="273"/>
    <s v="223.85"/>
    <x v="2"/>
    <x v="0"/>
  </r>
  <r>
    <n v="2133"/>
    <x v="247"/>
    <s v="Customer payment received"/>
    <x v="906"/>
    <s v="0.0"/>
    <x v="0"/>
    <x v="0"/>
  </r>
  <r>
    <n v="2133"/>
    <x v="247"/>
    <s v="Customer payment received"/>
    <x v="273"/>
    <s v="1436.58"/>
    <x v="2"/>
    <x v="0"/>
  </r>
  <r>
    <n v="2134"/>
    <x v="247"/>
    <s v="Customer payment received"/>
    <x v="920"/>
    <s v="0.0"/>
    <x v="0"/>
    <x v="0"/>
  </r>
  <r>
    <n v="2134"/>
    <x v="247"/>
    <s v="Customer payment received"/>
    <x v="273"/>
    <s v="3262.65"/>
    <x v="2"/>
    <x v="0"/>
  </r>
  <r>
    <n v="2135"/>
    <x v="247"/>
    <s v="Customer payment received"/>
    <x v="953"/>
    <s v="0.0"/>
    <x v="0"/>
    <x v="0"/>
  </r>
  <r>
    <n v="2135"/>
    <x v="247"/>
    <s v="Customer payment received"/>
    <x v="273"/>
    <s v="2271.73"/>
    <x v="2"/>
    <x v="0"/>
  </r>
  <r>
    <n v="2136"/>
    <x v="247"/>
    <s v="Customer payment received"/>
    <x v="1011"/>
    <s v="0.0"/>
    <x v="0"/>
    <x v="0"/>
  </r>
  <r>
    <n v="2136"/>
    <x v="247"/>
    <s v="Customer payment received"/>
    <x v="273"/>
    <s v="762.76"/>
    <x v="2"/>
    <x v="0"/>
  </r>
  <r>
    <n v="2137"/>
    <x v="247"/>
    <s v="Supplier invoice received"/>
    <x v="374"/>
    <s v="0.0"/>
    <x v="9"/>
    <x v="4"/>
  </r>
  <r>
    <n v="2137"/>
    <x v="247"/>
    <s v="Supplier invoice received"/>
    <x v="375"/>
    <s v="0.0"/>
    <x v="10"/>
    <x v="0"/>
  </r>
  <r>
    <n v="2137"/>
    <x v="247"/>
    <s v="Supplier invoice received"/>
    <x v="273"/>
    <s v="2504.23"/>
    <x v="11"/>
    <x v="3"/>
  </r>
  <r>
    <n v="2138"/>
    <x v="247"/>
    <s v="Supplier invoice received"/>
    <x v="299"/>
    <s v="0.0"/>
    <x v="9"/>
    <x v="4"/>
  </r>
  <r>
    <n v="2138"/>
    <x v="247"/>
    <s v="Supplier invoice received"/>
    <x v="300"/>
    <s v="0.0"/>
    <x v="10"/>
    <x v="0"/>
  </r>
  <r>
    <n v="2138"/>
    <x v="247"/>
    <s v="Supplier invoice received"/>
    <x v="273"/>
    <s v="2918.17"/>
    <x v="11"/>
    <x v="3"/>
  </r>
  <r>
    <n v="2139"/>
    <x v="247"/>
    <s v="Supplier invoice received"/>
    <x v="297"/>
    <s v="0.0"/>
    <x v="9"/>
    <x v="4"/>
  </r>
  <r>
    <n v="2139"/>
    <x v="247"/>
    <s v="Supplier invoice received"/>
    <x v="298"/>
    <s v="0.0"/>
    <x v="10"/>
    <x v="0"/>
  </r>
  <r>
    <n v="2139"/>
    <x v="247"/>
    <s v="Supplier invoice received"/>
    <x v="273"/>
    <s v="3528.97"/>
    <x v="11"/>
    <x v="3"/>
  </r>
  <r>
    <n v="2140"/>
    <x v="247"/>
    <s v="Supplier invoice received"/>
    <x v="303"/>
    <s v="0.0"/>
    <x v="9"/>
    <x v="4"/>
  </r>
  <r>
    <n v="2140"/>
    <x v="247"/>
    <s v="Supplier invoice received"/>
    <x v="304"/>
    <s v="0.0"/>
    <x v="10"/>
    <x v="0"/>
  </r>
  <r>
    <n v="2140"/>
    <x v="247"/>
    <s v="Supplier invoice received"/>
    <x v="273"/>
    <s v="550.4"/>
    <x v="11"/>
    <x v="3"/>
  </r>
  <r>
    <n v="2141"/>
    <x v="247"/>
    <s v="Supplier invoice received"/>
    <x v="338"/>
    <s v="0.0"/>
    <x v="9"/>
    <x v="4"/>
  </r>
  <r>
    <n v="2141"/>
    <x v="247"/>
    <s v="Supplier invoice received"/>
    <x v="339"/>
    <s v="0.0"/>
    <x v="10"/>
    <x v="0"/>
  </r>
  <r>
    <n v="2141"/>
    <x v="247"/>
    <s v="Supplier invoice received"/>
    <x v="273"/>
    <s v="1159.84"/>
    <x v="11"/>
    <x v="3"/>
  </r>
  <r>
    <n v="2142"/>
    <x v="247"/>
    <s v="Supplier invoice received"/>
    <x v="332"/>
    <s v="0.0"/>
    <x v="9"/>
    <x v="4"/>
  </r>
  <r>
    <n v="2142"/>
    <x v="247"/>
    <s v="Supplier invoice received"/>
    <x v="333"/>
    <s v="0.0"/>
    <x v="10"/>
    <x v="0"/>
  </r>
  <r>
    <n v="2142"/>
    <x v="247"/>
    <s v="Supplier invoice received"/>
    <x v="273"/>
    <s v="1023.42"/>
    <x v="11"/>
    <x v="3"/>
  </r>
  <r>
    <n v="2143"/>
    <x v="247"/>
    <s v="Supplier payment made"/>
    <x v="309"/>
    <s v="0.0"/>
    <x v="11"/>
    <x v="3"/>
  </r>
  <r>
    <n v="2143"/>
    <x v="247"/>
    <s v="Supplier payment made"/>
    <x v="273"/>
    <s v="4812.46"/>
    <x v="0"/>
    <x v="0"/>
  </r>
  <r>
    <n v="2144"/>
    <x v="247"/>
    <s v="Supplier payment made"/>
    <x v="318"/>
    <s v="0.0"/>
    <x v="11"/>
    <x v="3"/>
  </r>
  <r>
    <n v="2144"/>
    <x v="247"/>
    <s v="Supplier payment made"/>
    <x v="273"/>
    <s v="2504.23"/>
    <x v="0"/>
    <x v="0"/>
  </r>
  <r>
    <n v="2145"/>
    <x v="247"/>
    <s v="Supplier payment made"/>
    <x v="313"/>
    <s v="0.0"/>
    <x v="11"/>
    <x v="3"/>
  </r>
  <r>
    <n v="2145"/>
    <x v="247"/>
    <s v="Supplier payment made"/>
    <x v="273"/>
    <s v="1159.84"/>
    <x v="0"/>
    <x v="0"/>
  </r>
  <r>
    <n v="2146"/>
    <x v="248"/>
    <s v="Sales invoice issued"/>
    <x v="1014"/>
    <s v="0.0"/>
    <x v="2"/>
    <x v="0"/>
  </r>
  <r>
    <n v="2146"/>
    <x v="248"/>
    <s v="Sales invoice issued"/>
    <x v="273"/>
    <s v="4306.84"/>
    <x v="3"/>
    <x v="2"/>
  </r>
  <r>
    <n v="2146"/>
    <x v="248"/>
    <s v="Sales invoice issued"/>
    <x v="273"/>
    <s v="323.0"/>
    <x v="4"/>
    <x v="3"/>
  </r>
  <r>
    <n v="2147"/>
    <x v="248"/>
    <s v="Sales invoice issued"/>
    <x v="1015"/>
    <s v="0.0"/>
    <x v="2"/>
    <x v="0"/>
  </r>
  <r>
    <n v="2147"/>
    <x v="248"/>
    <s v="Sales invoice issued"/>
    <x v="273"/>
    <s v="1560.76"/>
    <x v="3"/>
    <x v="2"/>
  </r>
  <r>
    <n v="2147"/>
    <x v="248"/>
    <s v="Sales invoice issued"/>
    <x v="273"/>
    <s v="117.06"/>
    <x v="4"/>
    <x v="3"/>
  </r>
  <r>
    <n v="2148"/>
    <x v="248"/>
    <s v="Sales invoice issued"/>
    <x v="1016"/>
    <s v="0.0"/>
    <x v="2"/>
    <x v="0"/>
  </r>
  <r>
    <n v="2148"/>
    <x v="248"/>
    <s v="Sales invoice issued"/>
    <x v="273"/>
    <s v="2535.48"/>
    <x v="3"/>
    <x v="2"/>
  </r>
  <r>
    <n v="2148"/>
    <x v="248"/>
    <s v="Sales invoice issued"/>
    <x v="273"/>
    <s v="190.16"/>
    <x v="4"/>
    <x v="3"/>
  </r>
  <r>
    <n v="2149"/>
    <x v="248"/>
    <s v="Sales invoice issued"/>
    <x v="1017"/>
    <s v="0.0"/>
    <x v="2"/>
    <x v="0"/>
  </r>
  <r>
    <n v="2149"/>
    <x v="248"/>
    <s v="Sales invoice issued"/>
    <x v="273"/>
    <s v="1849.0"/>
    <x v="3"/>
    <x v="2"/>
  </r>
  <r>
    <n v="2149"/>
    <x v="248"/>
    <s v="Sales invoice issued"/>
    <x v="273"/>
    <s v="138.67"/>
    <x v="4"/>
    <x v="3"/>
  </r>
  <r>
    <n v="2150"/>
    <x v="248"/>
    <s v="Sales invoice issued"/>
    <x v="1018"/>
    <s v="0.0"/>
    <x v="2"/>
    <x v="0"/>
  </r>
  <r>
    <n v="2150"/>
    <x v="248"/>
    <s v="Sales invoice issued"/>
    <x v="273"/>
    <s v="3782.18"/>
    <x v="3"/>
    <x v="2"/>
  </r>
  <r>
    <n v="2150"/>
    <x v="248"/>
    <s v="Sales invoice issued"/>
    <x v="273"/>
    <s v="283.65"/>
    <x v="4"/>
    <x v="3"/>
  </r>
  <r>
    <n v="2151"/>
    <x v="248"/>
    <s v="Sales invoice issued"/>
    <x v="1019"/>
    <s v="0.0"/>
    <x v="2"/>
    <x v="0"/>
  </r>
  <r>
    <n v="2151"/>
    <x v="248"/>
    <s v="Sales invoice issued"/>
    <x v="273"/>
    <s v="4422.81"/>
    <x v="3"/>
    <x v="2"/>
  </r>
  <r>
    <n v="2151"/>
    <x v="248"/>
    <s v="Sales invoice issued"/>
    <x v="273"/>
    <s v="331.71"/>
    <x v="4"/>
    <x v="3"/>
  </r>
  <r>
    <n v="2152"/>
    <x v="248"/>
    <s v="Sales invoice issued"/>
    <x v="1020"/>
    <s v="0.0"/>
    <x v="2"/>
    <x v="0"/>
  </r>
  <r>
    <n v="2152"/>
    <x v="248"/>
    <s v="Sales invoice issued"/>
    <x v="273"/>
    <s v="4295.25"/>
    <x v="3"/>
    <x v="2"/>
  </r>
  <r>
    <n v="2152"/>
    <x v="248"/>
    <s v="Sales invoice issued"/>
    <x v="273"/>
    <s v="322.14"/>
    <x v="4"/>
    <x v="3"/>
  </r>
  <r>
    <n v="2153"/>
    <x v="248"/>
    <s v="Sales invoice issued"/>
    <x v="1021"/>
    <s v="0.0"/>
    <x v="2"/>
    <x v="0"/>
  </r>
  <r>
    <n v="2153"/>
    <x v="248"/>
    <s v="Sales invoice issued"/>
    <x v="273"/>
    <s v="2507.11"/>
    <x v="3"/>
    <x v="2"/>
  </r>
  <r>
    <n v="2153"/>
    <x v="248"/>
    <s v="Sales invoice issued"/>
    <x v="273"/>
    <s v="188.03"/>
    <x v="4"/>
    <x v="3"/>
  </r>
  <r>
    <n v="2154"/>
    <x v="248"/>
    <s v="Customer payment received"/>
    <x v="792"/>
    <s v="0.0"/>
    <x v="0"/>
    <x v="0"/>
  </r>
  <r>
    <n v="2154"/>
    <x v="248"/>
    <s v="Customer payment received"/>
    <x v="273"/>
    <s v="1590.0"/>
    <x v="2"/>
    <x v="0"/>
  </r>
  <r>
    <n v="2155"/>
    <x v="248"/>
    <s v="Customer payment received"/>
    <x v="807"/>
    <s v="0.0"/>
    <x v="0"/>
    <x v="0"/>
  </r>
  <r>
    <n v="2155"/>
    <x v="248"/>
    <s v="Customer payment received"/>
    <x v="273"/>
    <s v="2143.5"/>
    <x v="2"/>
    <x v="0"/>
  </r>
  <r>
    <n v="2156"/>
    <x v="248"/>
    <s v="Customer payment received"/>
    <x v="845"/>
    <s v="0.0"/>
    <x v="0"/>
    <x v="0"/>
  </r>
  <r>
    <n v="2156"/>
    <x v="248"/>
    <s v="Customer payment received"/>
    <x v="273"/>
    <s v="3187.92"/>
    <x v="2"/>
    <x v="0"/>
  </r>
  <r>
    <n v="2157"/>
    <x v="248"/>
    <s v="Customer payment received"/>
    <x v="852"/>
    <s v="0.0"/>
    <x v="0"/>
    <x v="0"/>
  </r>
  <r>
    <n v="2157"/>
    <x v="248"/>
    <s v="Customer payment received"/>
    <x v="273"/>
    <s v="1243.11"/>
    <x v="2"/>
    <x v="0"/>
  </r>
  <r>
    <n v="2158"/>
    <x v="248"/>
    <s v="Supplier invoice received"/>
    <x v="307"/>
    <s v="0.0"/>
    <x v="9"/>
    <x v="4"/>
  </r>
  <r>
    <n v="2158"/>
    <x v="248"/>
    <s v="Supplier invoice received"/>
    <x v="308"/>
    <s v="0.0"/>
    <x v="10"/>
    <x v="0"/>
  </r>
  <r>
    <n v="2158"/>
    <x v="248"/>
    <s v="Supplier invoice received"/>
    <x v="273"/>
    <s v="2093.28"/>
    <x v="11"/>
    <x v="3"/>
  </r>
  <r>
    <n v="2159"/>
    <x v="248"/>
    <s v="Supplier invoice received"/>
    <x v="448"/>
    <s v="0.0"/>
    <x v="9"/>
    <x v="4"/>
  </r>
  <r>
    <n v="2159"/>
    <x v="248"/>
    <s v="Supplier invoice received"/>
    <x v="449"/>
    <s v="0.0"/>
    <x v="10"/>
    <x v="0"/>
  </r>
  <r>
    <n v="2159"/>
    <x v="248"/>
    <s v="Supplier invoice received"/>
    <x v="273"/>
    <s v="7227.44"/>
    <x v="11"/>
    <x v="3"/>
  </r>
  <r>
    <n v="2160"/>
    <x v="248"/>
    <s v="Supplier payment made"/>
    <x v="310"/>
    <s v="0.0"/>
    <x v="11"/>
    <x v="3"/>
  </r>
  <r>
    <n v="2160"/>
    <x v="248"/>
    <s v="Supplier payment made"/>
    <x v="273"/>
    <s v="276.32"/>
    <x v="0"/>
    <x v="0"/>
  </r>
  <r>
    <n v="2161"/>
    <x v="248"/>
    <s v="Supplier payment made"/>
    <x v="313"/>
    <s v="0.0"/>
    <x v="11"/>
    <x v="3"/>
  </r>
  <r>
    <n v="2161"/>
    <x v="248"/>
    <s v="Supplier payment made"/>
    <x v="273"/>
    <s v="1159.84"/>
    <x v="0"/>
    <x v="0"/>
  </r>
  <r>
    <n v="2162"/>
    <x v="249"/>
    <s v="Sales invoice issued"/>
    <x v="1022"/>
    <s v="0.0"/>
    <x v="2"/>
    <x v="0"/>
  </r>
  <r>
    <n v="2162"/>
    <x v="249"/>
    <s v="Sales invoice issued"/>
    <x v="273"/>
    <s v="960.86"/>
    <x v="3"/>
    <x v="2"/>
  </r>
  <r>
    <n v="2162"/>
    <x v="249"/>
    <s v="Sales invoice issued"/>
    <x v="273"/>
    <s v="72.07"/>
    <x v="4"/>
    <x v="3"/>
  </r>
  <r>
    <n v="2163"/>
    <x v="249"/>
    <s v="Sales invoice issued"/>
    <x v="1023"/>
    <s v="0.0"/>
    <x v="2"/>
    <x v="0"/>
  </r>
  <r>
    <n v="2163"/>
    <x v="249"/>
    <s v="Sales invoice issued"/>
    <x v="273"/>
    <s v="251.2"/>
    <x v="3"/>
    <x v="2"/>
  </r>
  <r>
    <n v="2163"/>
    <x v="249"/>
    <s v="Sales invoice issued"/>
    <x v="273"/>
    <s v="18.84"/>
    <x v="4"/>
    <x v="3"/>
  </r>
  <r>
    <n v="2164"/>
    <x v="249"/>
    <s v="Sales invoice issued"/>
    <x v="1024"/>
    <s v="0.0"/>
    <x v="2"/>
    <x v="0"/>
  </r>
  <r>
    <n v="2164"/>
    <x v="249"/>
    <s v="Sales invoice issued"/>
    <x v="273"/>
    <s v="4037.64"/>
    <x v="3"/>
    <x v="2"/>
  </r>
  <r>
    <n v="2164"/>
    <x v="249"/>
    <s v="Sales invoice issued"/>
    <x v="273"/>
    <s v="302.83"/>
    <x v="4"/>
    <x v="3"/>
  </r>
  <r>
    <n v="2165"/>
    <x v="249"/>
    <s v="Sales invoice issued"/>
    <x v="1025"/>
    <s v="0.0"/>
    <x v="2"/>
    <x v="0"/>
  </r>
  <r>
    <n v="2165"/>
    <x v="249"/>
    <s v="Sales invoice issued"/>
    <x v="273"/>
    <s v="1718.89"/>
    <x v="3"/>
    <x v="2"/>
  </r>
  <r>
    <n v="2165"/>
    <x v="249"/>
    <s v="Sales invoice issued"/>
    <x v="273"/>
    <s v="128.91"/>
    <x v="4"/>
    <x v="3"/>
  </r>
  <r>
    <n v="2166"/>
    <x v="249"/>
    <s v="Customer payment received"/>
    <x v="885"/>
    <s v="0.0"/>
    <x v="0"/>
    <x v="0"/>
  </r>
  <r>
    <n v="2166"/>
    <x v="249"/>
    <s v="Customer payment received"/>
    <x v="273"/>
    <s v="3536.95"/>
    <x v="2"/>
    <x v="0"/>
  </r>
  <r>
    <n v="2167"/>
    <x v="249"/>
    <s v="Supplier invoice received"/>
    <x v="372"/>
    <s v="0.0"/>
    <x v="9"/>
    <x v="4"/>
  </r>
  <r>
    <n v="2167"/>
    <x v="249"/>
    <s v="Supplier invoice received"/>
    <x v="373"/>
    <s v="0.0"/>
    <x v="10"/>
    <x v="0"/>
  </r>
  <r>
    <n v="2167"/>
    <x v="249"/>
    <s v="Supplier invoice received"/>
    <x v="273"/>
    <s v="412.54"/>
    <x v="11"/>
    <x v="3"/>
  </r>
  <r>
    <n v="2168"/>
    <x v="249"/>
    <s v="Supplier payment made"/>
    <x v="392"/>
    <s v="0.0"/>
    <x v="11"/>
    <x v="3"/>
  </r>
  <r>
    <n v="2168"/>
    <x v="249"/>
    <s v="Supplier payment made"/>
    <x v="273"/>
    <s v="1023.42"/>
    <x v="0"/>
    <x v="0"/>
  </r>
  <r>
    <n v="2169"/>
    <x v="250"/>
    <s v="Sales invoice issued"/>
    <x v="1026"/>
    <s v="0.0"/>
    <x v="2"/>
    <x v="0"/>
  </r>
  <r>
    <n v="2169"/>
    <x v="250"/>
    <s v="Sales invoice issued"/>
    <x v="273"/>
    <s v="526.24"/>
    <x v="3"/>
    <x v="2"/>
  </r>
  <r>
    <n v="2169"/>
    <x v="250"/>
    <s v="Sales invoice issued"/>
    <x v="273"/>
    <s v="39.47"/>
    <x v="4"/>
    <x v="3"/>
  </r>
  <r>
    <n v="2170"/>
    <x v="250"/>
    <s v="Sales invoice issued"/>
    <x v="1027"/>
    <s v="0.0"/>
    <x v="2"/>
    <x v="0"/>
  </r>
  <r>
    <n v="2170"/>
    <x v="250"/>
    <s v="Sales invoice issued"/>
    <x v="273"/>
    <s v="2142.64"/>
    <x v="3"/>
    <x v="2"/>
  </r>
  <r>
    <n v="2170"/>
    <x v="250"/>
    <s v="Sales invoice issued"/>
    <x v="273"/>
    <s v="160.71"/>
    <x v="4"/>
    <x v="3"/>
  </r>
  <r>
    <n v="2171"/>
    <x v="250"/>
    <s v="Sales invoice issued"/>
    <x v="1028"/>
    <s v="0.0"/>
    <x v="2"/>
    <x v="0"/>
  </r>
  <r>
    <n v="2171"/>
    <x v="250"/>
    <s v="Sales invoice issued"/>
    <x v="273"/>
    <s v="2393.05"/>
    <x v="3"/>
    <x v="2"/>
  </r>
  <r>
    <n v="2171"/>
    <x v="250"/>
    <s v="Sales invoice issued"/>
    <x v="273"/>
    <s v="179.48"/>
    <x v="4"/>
    <x v="3"/>
  </r>
  <r>
    <n v="2172"/>
    <x v="250"/>
    <s v="Sales invoice issued"/>
    <x v="1029"/>
    <s v="0.0"/>
    <x v="2"/>
    <x v="0"/>
  </r>
  <r>
    <n v="2172"/>
    <x v="250"/>
    <s v="Sales invoice issued"/>
    <x v="273"/>
    <s v="1380.59"/>
    <x v="3"/>
    <x v="2"/>
  </r>
  <r>
    <n v="2172"/>
    <x v="250"/>
    <s v="Sales invoice issued"/>
    <x v="273"/>
    <s v="103.55"/>
    <x v="4"/>
    <x v="3"/>
  </r>
  <r>
    <n v="2173"/>
    <x v="250"/>
    <s v="Sales invoice issued"/>
    <x v="1030"/>
    <s v="0.0"/>
    <x v="2"/>
    <x v="0"/>
  </r>
  <r>
    <n v="2173"/>
    <x v="250"/>
    <s v="Sales invoice issued"/>
    <x v="273"/>
    <s v="3191.69"/>
    <x v="3"/>
    <x v="2"/>
  </r>
  <r>
    <n v="2173"/>
    <x v="250"/>
    <s v="Sales invoice issued"/>
    <x v="273"/>
    <s v="239.38"/>
    <x v="4"/>
    <x v="3"/>
  </r>
  <r>
    <n v="2174"/>
    <x v="250"/>
    <s v="Sales invoice issued"/>
    <x v="1031"/>
    <s v="0.0"/>
    <x v="2"/>
    <x v="0"/>
  </r>
  <r>
    <n v="2174"/>
    <x v="250"/>
    <s v="Sales invoice issued"/>
    <x v="273"/>
    <s v="1032.27"/>
    <x v="3"/>
    <x v="2"/>
  </r>
  <r>
    <n v="2174"/>
    <x v="250"/>
    <s v="Sales invoice issued"/>
    <x v="273"/>
    <s v="77.43"/>
    <x v="4"/>
    <x v="3"/>
  </r>
  <r>
    <n v="2175"/>
    <x v="250"/>
    <s v="Sales invoice issued"/>
    <x v="1032"/>
    <s v="0.0"/>
    <x v="2"/>
    <x v="0"/>
  </r>
  <r>
    <n v="2175"/>
    <x v="250"/>
    <s v="Sales invoice issued"/>
    <x v="273"/>
    <s v="2893.46"/>
    <x v="3"/>
    <x v="2"/>
  </r>
  <r>
    <n v="2175"/>
    <x v="250"/>
    <s v="Sales invoice issued"/>
    <x v="273"/>
    <s v="217.01"/>
    <x v="4"/>
    <x v="3"/>
  </r>
  <r>
    <n v="2176"/>
    <x v="250"/>
    <s v="Customer payment received"/>
    <x v="850"/>
    <s v="0.0"/>
    <x v="0"/>
    <x v="0"/>
  </r>
  <r>
    <n v="2176"/>
    <x v="250"/>
    <s v="Customer payment received"/>
    <x v="273"/>
    <s v="3264.28"/>
    <x v="2"/>
    <x v="0"/>
  </r>
  <r>
    <n v="2177"/>
    <x v="250"/>
    <s v="Customer payment received"/>
    <x v="912"/>
    <s v="0.0"/>
    <x v="0"/>
    <x v="0"/>
  </r>
  <r>
    <n v="2177"/>
    <x v="250"/>
    <s v="Customer payment received"/>
    <x v="273"/>
    <s v="774.84"/>
    <x v="2"/>
    <x v="0"/>
  </r>
  <r>
    <n v="2178"/>
    <x v="250"/>
    <s v="Customer payment received"/>
    <x v="951"/>
    <s v="0.0"/>
    <x v="0"/>
    <x v="0"/>
  </r>
  <r>
    <n v="2178"/>
    <x v="250"/>
    <s v="Customer payment received"/>
    <x v="273"/>
    <s v="99.2"/>
    <x v="2"/>
    <x v="0"/>
  </r>
  <r>
    <n v="2179"/>
    <x v="250"/>
    <s v="Customer payment received"/>
    <x v="977"/>
    <s v="0.0"/>
    <x v="0"/>
    <x v="0"/>
  </r>
  <r>
    <n v="2179"/>
    <x v="250"/>
    <s v="Customer payment received"/>
    <x v="273"/>
    <s v="4048.68"/>
    <x v="2"/>
    <x v="0"/>
  </r>
  <r>
    <n v="2180"/>
    <x v="250"/>
    <s v="Customer payment received"/>
    <x v="978"/>
    <s v="0.0"/>
    <x v="0"/>
    <x v="0"/>
  </r>
  <r>
    <n v="2180"/>
    <x v="250"/>
    <s v="Customer payment received"/>
    <x v="273"/>
    <s v="1278.82"/>
    <x v="2"/>
    <x v="0"/>
  </r>
  <r>
    <n v="2181"/>
    <x v="250"/>
    <s v="Customer payment received"/>
    <x v="990"/>
    <s v="0.0"/>
    <x v="0"/>
    <x v="0"/>
  </r>
  <r>
    <n v="2181"/>
    <x v="250"/>
    <s v="Customer payment received"/>
    <x v="273"/>
    <s v="785.56"/>
    <x v="2"/>
    <x v="0"/>
  </r>
  <r>
    <n v="2182"/>
    <x v="250"/>
    <s v="Customer payment received"/>
    <x v="1009"/>
    <s v="0.0"/>
    <x v="0"/>
    <x v="0"/>
  </r>
  <r>
    <n v="2182"/>
    <x v="250"/>
    <s v="Customer payment received"/>
    <x v="273"/>
    <s v="149.41"/>
    <x v="2"/>
    <x v="0"/>
  </r>
  <r>
    <n v="2183"/>
    <x v="250"/>
    <s v="Customer payment received"/>
    <x v="1029"/>
    <s v="0.0"/>
    <x v="0"/>
    <x v="0"/>
  </r>
  <r>
    <n v="2183"/>
    <x v="250"/>
    <s v="Customer payment received"/>
    <x v="273"/>
    <s v="1484.14"/>
    <x v="2"/>
    <x v="0"/>
  </r>
  <r>
    <n v="2184"/>
    <x v="250"/>
    <s v="Supplier payment made"/>
    <x v="504"/>
    <s v="0.0"/>
    <x v="11"/>
    <x v="3"/>
  </r>
  <r>
    <n v="2184"/>
    <x v="250"/>
    <s v="Supplier payment made"/>
    <x v="273"/>
    <s v="1958.74"/>
    <x v="0"/>
    <x v="0"/>
  </r>
  <r>
    <n v="2185"/>
    <x v="250"/>
    <s v="Supplier payment made"/>
    <x v="488"/>
    <s v="0.0"/>
    <x v="11"/>
    <x v="3"/>
  </r>
  <r>
    <n v="2185"/>
    <x v="250"/>
    <s v="Supplier payment made"/>
    <x v="273"/>
    <s v="2182.41"/>
    <x v="0"/>
    <x v="0"/>
  </r>
  <r>
    <n v="2186"/>
    <x v="251"/>
    <s v="Sales invoice issued"/>
    <x v="1033"/>
    <s v="0.0"/>
    <x v="2"/>
    <x v="0"/>
  </r>
  <r>
    <n v="2186"/>
    <x v="251"/>
    <s v="Sales invoice issued"/>
    <x v="273"/>
    <s v="2696.22"/>
    <x v="3"/>
    <x v="2"/>
  </r>
  <r>
    <n v="2186"/>
    <x v="251"/>
    <s v="Sales invoice issued"/>
    <x v="273"/>
    <s v="202.21"/>
    <x v="4"/>
    <x v="3"/>
  </r>
  <r>
    <n v="2187"/>
    <x v="251"/>
    <s v="Sales invoice issued"/>
    <x v="1034"/>
    <s v="0.0"/>
    <x v="2"/>
    <x v="0"/>
  </r>
  <r>
    <n v="2187"/>
    <x v="251"/>
    <s v="Sales invoice issued"/>
    <x v="273"/>
    <s v="1090.21"/>
    <x v="3"/>
    <x v="2"/>
  </r>
  <r>
    <n v="2187"/>
    <x v="251"/>
    <s v="Sales invoice issued"/>
    <x v="273"/>
    <s v="81.76"/>
    <x v="4"/>
    <x v="3"/>
  </r>
  <r>
    <n v="2188"/>
    <x v="251"/>
    <s v="Sales invoice issued"/>
    <x v="1035"/>
    <s v="0.0"/>
    <x v="2"/>
    <x v="0"/>
  </r>
  <r>
    <n v="2188"/>
    <x v="251"/>
    <s v="Sales invoice issued"/>
    <x v="273"/>
    <s v="4083.11"/>
    <x v="3"/>
    <x v="2"/>
  </r>
  <r>
    <n v="2188"/>
    <x v="251"/>
    <s v="Sales invoice issued"/>
    <x v="273"/>
    <s v="306.23"/>
    <x v="4"/>
    <x v="3"/>
  </r>
  <r>
    <n v="2189"/>
    <x v="251"/>
    <s v="Sales invoice issued"/>
    <x v="1036"/>
    <s v="0.0"/>
    <x v="2"/>
    <x v="0"/>
  </r>
  <r>
    <n v="2189"/>
    <x v="251"/>
    <s v="Sales invoice issued"/>
    <x v="273"/>
    <s v="2465.0"/>
    <x v="3"/>
    <x v="2"/>
  </r>
  <r>
    <n v="2189"/>
    <x v="251"/>
    <s v="Sales invoice issued"/>
    <x v="273"/>
    <s v="184.87"/>
    <x v="4"/>
    <x v="3"/>
  </r>
  <r>
    <n v="2190"/>
    <x v="251"/>
    <s v="Sales invoice issued"/>
    <x v="1037"/>
    <s v="0.0"/>
    <x v="2"/>
    <x v="0"/>
  </r>
  <r>
    <n v="2190"/>
    <x v="251"/>
    <s v="Sales invoice issued"/>
    <x v="273"/>
    <s v="2595.87"/>
    <x v="3"/>
    <x v="2"/>
  </r>
  <r>
    <n v="2190"/>
    <x v="251"/>
    <s v="Sales invoice issued"/>
    <x v="273"/>
    <s v="194.69"/>
    <x v="4"/>
    <x v="3"/>
  </r>
  <r>
    <n v="2191"/>
    <x v="251"/>
    <s v="Sales invoice issued"/>
    <x v="1038"/>
    <s v="0.0"/>
    <x v="2"/>
    <x v="0"/>
  </r>
  <r>
    <n v="2191"/>
    <x v="251"/>
    <s v="Sales invoice issued"/>
    <x v="273"/>
    <s v="1731.3"/>
    <x v="3"/>
    <x v="2"/>
  </r>
  <r>
    <n v="2191"/>
    <x v="251"/>
    <s v="Sales invoice issued"/>
    <x v="273"/>
    <s v="129.85"/>
    <x v="4"/>
    <x v="3"/>
  </r>
  <r>
    <n v="2192"/>
    <x v="251"/>
    <s v="Sales invoice issued"/>
    <x v="1039"/>
    <s v="0.0"/>
    <x v="2"/>
    <x v="0"/>
  </r>
  <r>
    <n v="2192"/>
    <x v="251"/>
    <s v="Sales invoice issued"/>
    <x v="273"/>
    <s v="1674.58"/>
    <x v="3"/>
    <x v="2"/>
  </r>
  <r>
    <n v="2192"/>
    <x v="251"/>
    <s v="Sales invoice issued"/>
    <x v="273"/>
    <s v="125.59"/>
    <x v="4"/>
    <x v="3"/>
  </r>
  <r>
    <n v="2193"/>
    <x v="251"/>
    <s v="Customer payment received"/>
    <x v="800"/>
    <s v="0.0"/>
    <x v="0"/>
    <x v="0"/>
  </r>
  <r>
    <n v="2193"/>
    <x v="251"/>
    <s v="Customer payment received"/>
    <x v="273"/>
    <s v="582.77"/>
    <x v="2"/>
    <x v="0"/>
  </r>
  <r>
    <n v="2194"/>
    <x v="251"/>
    <s v="Customer payment received"/>
    <x v="811"/>
    <s v="0.0"/>
    <x v="0"/>
    <x v="0"/>
  </r>
  <r>
    <n v="2194"/>
    <x v="251"/>
    <s v="Customer payment received"/>
    <x v="273"/>
    <s v="3598.28"/>
    <x v="2"/>
    <x v="0"/>
  </r>
  <r>
    <n v="2195"/>
    <x v="251"/>
    <s v="Customer payment received"/>
    <x v="884"/>
    <s v="0.0"/>
    <x v="0"/>
    <x v="0"/>
  </r>
  <r>
    <n v="2195"/>
    <x v="251"/>
    <s v="Customer payment received"/>
    <x v="273"/>
    <s v="522.31"/>
    <x v="2"/>
    <x v="0"/>
  </r>
  <r>
    <n v="2196"/>
    <x v="251"/>
    <s v="Customer payment received"/>
    <x v="890"/>
    <s v="0.0"/>
    <x v="0"/>
    <x v="0"/>
  </r>
  <r>
    <n v="2196"/>
    <x v="251"/>
    <s v="Customer payment received"/>
    <x v="273"/>
    <s v="5615.58"/>
    <x v="2"/>
    <x v="0"/>
  </r>
  <r>
    <n v="2197"/>
    <x v="251"/>
    <s v="Customer payment received"/>
    <x v="892"/>
    <s v="0.0"/>
    <x v="0"/>
    <x v="0"/>
  </r>
  <r>
    <n v="2197"/>
    <x v="251"/>
    <s v="Customer payment received"/>
    <x v="273"/>
    <s v="719.61"/>
    <x v="2"/>
    <x v="0"/>
  </r>
  <r>
    <n v="2198"/>
    <x v="251"/>
    <s v="Customer payment received"/>
    <x v="905"/>
    <s v="0.0"/>
    <x v="0"/>
    <x v="0"/>
  </r>
  <r>
    <n v="2198"/>
    <x v="251"/>
    <s v="Customer payment received"/>
    <x v="273"/>
    <s v="3236.22"/>
    <x v="2"/>
    <x v="0"/>
  </r>
  <r>
    <n v="2199"/>
    <x v="251"/>
    <s v="Customer payment received"/>
    <x v="929"/>
    <s v="0.0"/>
    <x v="0"/>
    <x v="0"/>
  </r>
  <r>
    <n v="2199"/>
    <x v="251"/>
    <s v="Customer payment received"/>
    <x v="273"/>
    <s v="2574.11"/>
    <x v="2"/>
    <x v="0"/>
  </r>
  <r>
    <n v="2200"/>
    <x v="251"/>
    <s v="Customer payment received"/>
    <x v="974"/>
    <s v="0.0"/>
    <x v="0"/>
    <x v="0"/>
  </r>
  <r>
    <n v="2200"/>
    <x v="251"/>
    <s v="Customer payment received"/>
    <x v="273"/>
    <s v="3089.6"/>
    <x v="2"/>
    <x v="0"/>
  </r>
  <r>
    <n v="2201"/>
    <x v="251"/>
    <s v="Supplier invoice received"/>
    <x v="330"/>
    <s v="0.0"/>
    <x v="9"/>
    <x v="4"/>
  </r>
  <r>
    <n v="2201"/>
    <x v="251"/>
    <s v="Supplier invoice received"/>
    <x v="331"/>
    <s v="0.0"/>
    <x v="10"/>
    <x v="0"/>
  </r>
  <r>
    <n v="2201"/>
    <x v="251"/>
    <s v="Supplier invoice received"/>
    <x v="273"/>
    <s v="1935.04"/>
    <x v="11"/>
    <x v="3"/>
  </r>
  <r>
    <n v="2202"/>
    <x v="251"/>
    <s v="Supplier invoice received"/>
    <x v="374"/>
    <s v="0.0"/>
    <x v="9"/>
    <x v="4"/>
  </r>
  <r>
    <n v="2202"/>
    <x v="251"/>
    <s v="Supplier invoice received"/>
    <x v="375"/>
    <s v="0.0"/>
    <x v="10"/>
    <x v="0"/>
  </r>
  <r>
    <n v="2202"/>
    <x v="251"/>
    <s v="Supplier invoice received"/>
    <x v="273"/>
    <s v="2504.23"/>
    <x v="11"/>
    <x v="3"/>
  </r>
  <r>
    <n v="2203"/>
    <x v="251"/>
    <s v="Supplier payment made"/>
    <x v="488"/>
    <s v="0.0"/>
    <x v="11"/>
    <x v="3"/>
  </r>
  <r>
    <n v="2203"/>
    <x v="251"/>
    <s v="Supplier payment made"/>
    <x v="273"/>
    <s v="2182.41"/>
    <x v="0"/>
    <x v="0"/>
  </r>
  <r>
    <n v="2204"/>
    <x v="251"/>
    <s v="Supplier payment made"/>
    <x v="336"/>
    <s v="0.0"/>
    <x v="11"/>
    <x v="3"/>
  </r>
  <r>
    <n v="2204"/>
    <x v="251"/>
    <s v="Supplier payment made"/>
    <x v="273"/>
    <s v="2093.28"/>
    <x v="0"/>
    <x v="0"/>
  </r>
  <r>
    <n v="2205"/>
    <x v="251"/>
    <s v="Supplier payment made"/>
    <x v="327"/>
    <s v="0.0"/>
    <x v="11"/>
    <x v="3"/>
  </r>
  <r>
    <n v="2205"/>
    <x v="251"/>
    <s v="Supplier payment made"/>
    <x v="273"/>
    <s v="1935.04"/>
    <x v="0"/>
    <x v="0"/>
  </r>
  <r>
    <n v="2206"/>
    <x v="251"/>
    <s v="Supplier payment made"/>
    <x v="318"/>
    <s v="0.0"/>
    <x v="11"/>
    <x v="3"/>
  </r>
  <r>
    <n v="2206"/>
    <x v="251"/>
    <s v="Supplier payment made"/>
    <x v="273"/>
    <s v="2504.23"/>
    <x v="0"/>
    <x v="0"/>
  </r>
  <r>
    <n v="2207"/>
    <x v="252"/>
    <s v="Sales invoice issued"/>
    <x v="1040"/>
    <s v="0.0"/>
    <x v="2"/>
    <x v="0"/>
  </r>
  <r>
    <n v="2207"/>
    <x v="252"/>
    <s v="Sales invoice issued"/>
    <x v="273"/>
    <s v="3681.32"/>
    <x v="3"/>
    <x v="2"/>
  </r>
  <r>
    <n v="2207"/>
    <x v="252"/>
    <s v="Sales invoice issued"/>
    <x v="273"/>
    <s v="276.11"/>
    <x v="4"/>
    <x v="3"/>
  </r>
  <r>
    <n v="2208"/>
    <x v="252"/>
    <s v="Sales invoice issued"/>
    <x v="1041"/>
    <s v="0.0"/>
    <x v="2"/>
    <x v="0"/>
  </r>
  <r>
    <n v="2208"/>
    <x v="252"/>
    <s v="Sales invoice issued"/>
    <x v="273"/>
    <s v="2832.29"/>
    <x v="3"/>
    <x v="2"/>
  </r>
  <r>
    <n v="2208"/>
    <x v="252"/>
    <s v="Sales invoice issued"/>
    <x v="273"/>
    <s v="212.43"/>
    <x v="4"/>
    <x v="3"/>
  </r>
  <r>
    <n v="2209"/>
    <x v="252"/>
    <s v="Sales invoice issued"/>
    <x v="1042"/>
    <s v="0.0"/>
    <x v="2"/>
    <x v="0"/>
  </r>
  <r>
    <n v="2209"/>
    <x v="252"/>
    <s v="Sales invoice issued"/>
    <x v="273"/>
    <s v="2244.56"/>
    <x v="3"/>
    <x v="2"/>
  </r>
  <r>
    <n v="2209"/>
    <x v="252"/>
    <s v="Sales invoice issued"/>
    <x v="273"/>
    <s v="168.34"/>
    <x v="4"/>
    <x v="3"/>
  </r>
  <r>
    <n v="2210"/>
    <x v="252"/>
    <s v="Sales invoice issued"/>
    <x v="1043"/>
    <s v="0.0"/>
    <x v="2"/>
    <x v="0"/>
  </r>
  <r>
    <n v="2210"/>
    <x v="252"/>
    <s v="Sales invoice issued"/>
    <x v="273"/>
    <s v="192.72"/>
    <x v="3"/>
    <x v="2"/>
  </r>
  <r>
    <n v="2210"/>
    <x v="252"/>
    <s v="Sales invoice issued"/>
    <x v="273"/>
    <s v="14.46"/>
    <x v="4"/>
    <x v="3"/>
  </r>
  <r>
    <n v="2211"/>
    <x v="252"/>
    <s v="Sales invoice issued"/>
    <x v="1044"/>
    <s v="0.0"/>
    <x v="2"/>
    <x v="0"/>
  </r>
  <r>
    <n v="2211"/>
    <x v="252"/>
    <s v="Sales invoice issued"/>
    <x v="273"/>
    <s v="2101.91"/>
    <x v="3"/>
    <x v="2"/>
  </r>
  <r>
    <n v="2211"/>
    <x v="252"/>
    <s v="Sales invoice issued"/>
    <x v="273"/>
    <s v="157.64"/>
    <x v="4"/>
    <x v="3"/>
  </r>
  <r>
    <n v="2212"/>
    <x v="252"/>
    <s v="Customer payment received"/>
    <x v="730"/>
    <s v="0.0"/>
    <x v="0"/>
    <x v="0"/>
  </r>
  <r>
    <n v="2212"/>
    <x v="252"/>
    <s v="Customer payment received"/>
    <x v="273"/>
    <s v="3519.84"/>
    <x v="2"/>
    <x v="0"/>
  </r>
  <r>
    <n v="2213"/>
    <x v="252"/>
    <s v="Customer payment received"/>
    <x v="814"/>
    <s v="0.0"/>
    <x v="0"/>
    <x v="0"/>
  </r>
  <r>
    <n v="2213"/>
    <x v="252"/>
    <s v="Customer payment received"/>
    <x v="273"/>
    <s v="184.17"/>
    <x v="2"/>
    <x v="0"/>
  </r>
  <r>
    <n v="2214"/>
    <x v="252"/>
    <s v="Customer payment received"/>
    <x v="888"/>
    <s v="0.0"/>
    <x v="0"/>
    <x v="0"/>
  </r>
  <r>
    <n v="2214"/>
    <x v="252"/>
    <s v="Customer payment received"/>
    <x v="273"/>
    <s v="6808.91"/>
    <x v="2"/>
    <x v="0"/>
  </r>
  <r>
    <n v="2215"/>
    <x v="252"/>
    <s v="Customer payment received"/>
    <x v="909"/>
    <s v="0.0"/>
    <x v="0"/>
    <x v="0"/>
  </r>
  <r>
    <n v="2215"/>
    <x v="252"/>
    <s v="Customer payment received"/>
    <x v="273"/>
    <s v="323.24"/>
    <x v="2"/>
    <x v="0"/>
  </r>
  <r>
    <n v="2216"/>
    <x v="252"/>
    <s v="Customer payment received"/>
    <x v="1005"/>
    <s v="0.0"/>
    <x v="0"/>
    <x v="0"/>
  </r>
  <r>
    <n v="2216"/>
    <x v="252"/>
    <s v="Customer payment received"/>
    <x v="273"/>
    <s v="1536.33"/>
    <x v="2"/>
    <x v="0"/>
  </r>
  <r>
    <n v="2217"/>
    <x v="252"/>
    <s v="Supplier invoice received"/>
    <x v="366"/>
    <s v="0.0"/>
    <x v="9"/>
    <x v="4"/>
  </r>
  <r>
    <n v="2217"/>
    <x v="252"/>
    <s v="Supplier invoice received"/>
    <x v="367"/>
    <s v="0.0"/>
    <x v="10"/>
    <x v="0"/>
  </r>
  <r>
    <n v="2217"/>
    <x v="252"/>
    <s v="Supplier invoice received"/>
    <x v="273"/>
    <s v="201.5"/>
    <x v="11"/>
    <x v="3"/>
  </r>
  <r>
    <n v="2218"/>
    <x v="252"/>
    <s v="Supplier invoice received"/>
    <x v="325"/>
    <s v="0.0"/>
    <x v="9"/>
    <x v="4"/>
  </r>
  <r>
    <n v="2218"/>
    <x v="252"/>
    <s v="Supplier invoice received"/>
    <x v="326"/>
    <s v="0.0"/>
    <x v="10"/>
    <x v="0"/>
  </r>
  <r>
    <n v="2218"/>
    <x v="252"/>
    <s v="Supplier invoice received"/>
    <x v="273"/>
    <s v="1304.62"/>
    <x v="11"/>
    <x v="3"/>
  </r>
  <r>
    <n v="2219"/>
    <x v="252"/>
    <s v="Supplier invoice received"/>
    <x v="301"/>
    <s v="0.0"/>
    <x v="9"/>
    <x v="4"/>
  </r>
  <r>
    <n v="2219"/>
    <x v="252"/>
    <s v="Supplier invoice received"/>
    <x v="302"/>
    <s v="0.0"/>
    <x v="10"/>
    <x v="0"/>
  </r>
  <r>
    <n v="2219"/>
    <x v="252"/>
    <s v="Supplier invoice received"/>
    <x v="273"/>
    <s v="4812.46"/>
    <x v="11"/>
    <x v="3"/>
  </r>
  <r>
    <n v="2220"/>
    <x v="252"/>
    <s v="Supplier invoice received"/>
    <x v="305"/>
    <s v="0.0"/>
    <x v="9"/>
    <x v="4"/>
  </r>
  <r>
    <n v="2220"/>
    <x v="252"/>
    <s v="Supplier invoice received"/>
    <x v="306"/>
    <s v="0.0"/>
    <x v="10"/>
    <x v="0"/>
  </r>
  <r>
    <n v="2220"/>
    <x v="252"/>
    <s v="Supplier invoice received"/>
    <x v="273"/>
    <s v="276.32"/>
    <x v="11"/>
    <x v="3"/>
  </r>
  <r>
    <n v="2221"/>
    <x v="252"/>
    <s v="Supplier invoice received"/>
    <x v="297"/>
    <s v="0.0"/>
    <x v="9"/>
    <x v="4"/>
  </r>
  <r>
    <n v="2221"/>
    <x v="252"/>
    <s v="Supplier invoice received"/>
    <x v="298"/>
    <s v="0.0"/>
    <x v="10"/>
    <x v="0"/>
  </r>
  <r>
    <n v="2221"/>
    <x v="252"/>
    <s v="Supplier invoice received"/>
    <x v="273"/>
    <s v="3528.97"/>
    <x v="11"/>
    <x v="3"/>
  </r>
  <r>
    <n v="2222"/>
    <x v="252"/>
    <s v="Supplier invoice received"/>
    <x v="448"/>
    <s v="0.0"/>
    <x v="9"/>
    <x v="4"/>
  </r>
  <r>
    <n v="2222"/>
    <x v="252"/>
    <s v="Supplier invoice received"/>
    <x v="449"/>
    <s v="0.0"/>
    <x v="10"/>
    <x v="0"/>
  </r>
  <r>
    <n v="2222"/>
    <x v="252"/>
    <s v="Supplier invoice received"/>
    <x v="273"/>
    <s v="7227.44"/>
    <x v="11"/>
    <x v="3"/>
  </r>
  <r>
    <n v="2223"/>
    <x v="252"/>
    <s v="Supplier payment made"/>
    <x v="424"/>
    <s v="0.0"/>
    <x v="11"/>
    <x v="3"/>
  </r>
  <r>
    <n v="2223"/>
    <x v="252"/>
    <s v="Supplier payment made"/>
    <x v="273"/>
    <s v="1591.54"/>
    <x v="0"/>
    <x v="0"/>
  </r>
  <r>
    <n v="2224"/>
    <x v="252"/>
    <s v="Supplier payment made"/>
    <x v="353"/>
    <s v="0.0"/>
    <x v="11"/>
    <x v="3"/>
  </r>
  <r>
    <n v="2224"/>
    <x v="252"/>
    <s v="Supplier payment made"/>
    <x v="273"/>
    <s v="2918.17"/>
    <x v="0"/>
    <x v="0"/>
  </r>
  <r>
    <n v="2225"/>
    <x v="252"/>
    <s v="Supplier payment made"/>
    <x v="340"/>
    <s v="0.0"/>
    <x v="11"/>
    <x v="3"/>
  </r>
  <r>
    <n v="2225"/>
    <x v="252"/>
    <s v="Supplier payment made"/>
    <x v="273"/>
    <s v="1304.62"/>
    <x v="0"/>
    <x v="0"/>
  </r>
  <r>
    <n v="2226"/>
    <x v="253"/>
    <s v="Sales invoice issued"/>
    <x v="1045"/>
    <s v="0.0"/>
    <x v="2"/>
    <x v="0"/>
  </r>
  <r>
    <n v="2226"/>
    <x v="253"/>
    <s v="Sales invoice issued"/>
    <x v="273"/>
    <s v="43.15"/>
    <x v="3"/>
    <x v="2"/>
  </r>
  <r>
    <n v="2226"/>
    <x v="253"/>
    <s v="Sales invoice issued"/>
    <x v="273"/>
    <s v="3.24"/>
    <x v="4"/>
    <x v="3"/>
  </r>
  <r>
    <n v="2227"/>
    <x v="253"/>
    <s v="Sales invoice issued"/>
    <x v="715"/>
    <s v="0.0"/>
    <x v="2"/>
    <x v="0"/>
  </r>
  <r>
    <n v="2227"/>
    <x v="253"/>
    <s v="Sales invoice issued"/>
    <x v="273"/>
    <s v="239.04"/>
    <x v="3"/>
    <x v="2"/>
  </r>
  <r>
    <n v="2227"/>
    <x v="253"/>
    <s v="Sales invoice issued"/>
    <x v="273"/>
    <s v="17.93"/>
    <x v="4"/>
    <x v="3"/>
  </r>
  <r>
    <n v="2228"/>
    <x v="253"/>
    <s v="Sales invoice issued"/>
    <x v="1046"/>
    <s v="0.0"/>
    <x v="2"/>
    <x v="0"/>
  </r>
  <r>
    <n v="2228"/>
    <x v="253"/>
    <s v="Sales invoice issued"/>
    <x v="273"/>
    <s v="4123.51"/>
    <x v="3"/>
    <x v="2"/>
  </r>
  <r>
    <n v="2228"/>
    <x v="253"/>
    <s v="Sales invoice issued"/>
    <x v="273"/>
    <s v="309.25"/>
    <x v="4"/>
    <x v="3"/>
  </r>
  <r>
    <n v="2229"/>
    <x v="253"/>
    <s v="Sales invoice issued"/>
    <x v="1047"/>
    <s v="0.0"/>
    <x v="2"/>
    <x v="0"/>
  </r>
  <r>
    <n v="2229"/>
    <x v="253"/>
    <s v="Sales invoice issued"/>
    <x v="273"/>
    <s v="2684.43"/>
    <x v="3"/>
    <x v="2"/>
  </r>
  <r>
    <n v="2229"/>
    <x v="253"/>
    <s v="Sales invoice issued"/>
    <x v="273"/>
    <s v="201.33"/>
    <x v="4"/>
    <x v="3"/>
  </r>
  <r>
    <n v="2230"/>
    <x v="253"/>
    <s v="Sales invoice issued"/>
    <x v="1048"/>
    <s v="0.0"/>
    <x v="2"/>
    <x v="0"/>
  </r>
  <r>
    <n v="2230"/>
    <x v="253"/>
    <s v="Sales invoice issued"/>
    <x v="273"/>
    <s v="1989.58"/>
    <x v="3"/>
    <x v="2"/>
  </r>
  <r>
    <n v="2230"/>
    <x v="253"/>
    <s v="Sales invoice issued"/>
    <x v="273"/>
    <s v="149.22"/>
    <x v="4"/>
    <x v="3"/>
  </r>
  <r>
    <n v="2231"/>
    <x v="253"/>
    <s v="Sales invoice issued"/>
    <x v="1049"/>
    <s v="0.0"/>
    <x v="2"/>
    <x v="0"/>
  </r>
  <r>
    <n v="2231"/>
    <x v="253"/>
    <s v="Sales invoice issued"/>
    <x v="273"/>
    <s v="2896.68"/>
    <x v="3"/>
    <x v="2"/>
  </r>
  <r>
    <n v="2231"/>
    <x v="253"/>
    <s v="Sales invoice issued"/>
    <x v="273"/>
    <s v="217.25"/>
    <x v="4"/>
    <x v="3"/>
  </r>
  <r>
    <n v="2232"/>
    <x v="253"/>
    <s v="Sales invoice issued"/>
    <x v="1050"/>
    <s v="0.0"/>
    <x v="2"/>
    <x v="0"/>
  </r>
  <r>
    <n v="2232"/>
    <x v="253"/>
    <s v="Sales invoice issued"/>
    <x v="273"/>
    <s v="1254.58"/>
    <x v="3"/>
    <x v="2"/>
  </r>
  <r>
    <n v="2232"/>
    <x v="253"/>
    <s v="Sales invoice issued"/>
    <x v="273"/>
    <s v="94.1"/>
    <x v="4"/>
    <x v="3"/>
  </r>
  <r>
    <n v="2233"/>
    <x v="253"/>
    <s v="Sales invoice issued"/>
    <x v="1051"/>
    <s v="0.0"/>
    <x v="2"/>
    <x v="0"/>
  </r>
  <r>
    <n v="2233"/>
    <x v="253"/>
    <s v="Sales invoice issued"/>
    <x v="273"/>
    <s v="1752.52"/>
    <x v="3"/>
    <x v="2"/>
  </r>
  <r>
    <n v="2233"/>
    <x v="253"/>
    <s v="Sales invoice issued"/>
    <x v="273"/>
    <s v="131.44"/>
    <x v="4"/>
    <x v="3"/>
  </r>
  <r>
    <n v="2234"/>
    <x v="253"/>
    <s v="Sales invoice issued"/>
    <x v="1052"/>
    <s v="0.0"/>
    <x v="2"/>
    <x v="0"/>
  </r>
  <r>
    <n v="2234"/>
    <x v="253"/>
    <s v="Sales invoice issued"/>
    <x v="273"/>
    <s v="1131.51"/>
    <x v="3"/>
    <x v="2"/>
  </r>
  <r>
    <n v="2234"/>
    <x v="253"/>
    <s v="Sales invoice issued"/>
    <x v="273"/>
    <s v="84.86"/>
    <x v="4"/>
    <x v="3"/>
  </r>
  <r>
    <n v="2235"/>
    <x v="253"/>
    <s v="Sales invoice issued"/>
    <x v="1053"/>
    <s v="0.0"/>
    <x v="2"/>
    <x v="0"/>
  </r>
  <r>
    <n v="2235"/>
    <x v="253"/>
    <s v="Sales invoice issued"/>
    <x v="273"/>
    <s v="778.14"/>
    <x v="3"/>
    <x v="2"/>
  </r>
  <r>
    <n v="2235"/>
    <x v="253"/>
    <s v="Sales invoice issued"/>
    <x v="273"/>
    <s v="58.36"/>
    <x v="4"/>
    <x v="3"/>
  </r>
  <r>
    <n v="2236"/>
    <x v="253"/>
    <s v="Sales invoice issued"/>
    <x v="1054"/>
    <s v="0.0"/>
    <x v="2"/>
    <x v="0"/>
  </r>
  <r>
    <n v="2236"/>
    <x v="253"/>
    <s v="Sales invoice issued"/>
    <x v="273"/>
    <s v="3190.26"/>
    <x v="3"/>
    <x v="2"/>
  </r>
  <r>
    <n v="2236"/>
    <x v="253"/>
    <s v="Sales invoice issued"/>
    <x v="273"/>
    <s v="239.29"/>
    <x v="4"/>
    <x v="3"/>
  </r>
  <r>
    <n v="2237"/>
    <x v="253"/>
    <s v="Sales invoice issued"/>
    <x v="1055"/>
    <s v="0.0"/>
    <x v="2"/>
    <x v="0"/>
  </r>
  <r>
    <n v="2237"/>
    <x v="253"/>
    <s v="Sales invoice issued"/>
    <x v="273"/>
    <s v="3606.31"/>
    <x v="3"/>
    <x v="2"/>
  </r>
  <r>
    <n v="2237"/>
    <x v="253"/>
    <s v="Sales invoice issued"/>
    <x v="273"/>
    <s v="270.48"/>
    <x v="4"/>
    <x v="3"/>
  </r>
  <r>
    <n v="2238"/>
    <x v="253"/>
    <s v="Customer payment received"/>
    <x v="878"/>
    <s v="0.0"/>
    <x v="0"/>
    <x v="0"/>
  </r>
  <r>
    <n v="2238"/>
    <x v="253"/>
    <s v="Customer payment received"/>
    <x v="273"/>
    <s v="1481.56"/>
    <x v="2"/>
    <x v="0"/>
  </r>
  <r>
    <n v="2239"/>
    <x v="253"/>
    <s v="Customer payment received"/>
    <x v="911"/>
    <s v="0.0"/>
    <x v="0"/>
    <x v="0"/>
  </r>
  <r>
    <n v="2239"/>
    <x v="253"/>
    <s v="Customer payment received"/>
    <x v="273"/>
    <s v="4306.56"/>
    <x v="2"/>
    <x v="0"/>
  </r>
  <r>
    <n v="2240"/>
    <x v="253"/>
    <s v="Customer payment received"/>
    <x v="930"/>
    <s v="0.0"/>
    <x v="0"/>
    <x v="0"/>
  </r>
  <r>
    <n v="2240"/>
    <x v="253"/>
    <s v="Customer payment received"/>
    <x v="273"/>
    <s v="278.78"/>
    <x v="2"/>
    <x v="0"/>
  </r>
  <r>
    <n v="2241"/>
    <x v="253"/>
    <s v="Customer payment received"/>
    <x v="970"/>
    <s v="0.0"/>
    <x v="0"/>
    <x v="0"/>
  </r>
  <r>
    <n v="2241"/>
    <x v="253"/>
    <s v="Customer payment received"/>
    <x v="273"/>
    <s v="4830.7"/>
    <x v="2"/>
    <x v="0"/>
  </r>
  <r>
    <n v="2242"/>
    <x v="253"/>
    <s v="Customer payment received"/>
    <x v="975"/>
    <s v="0.0"/>
    <x v="0"/>
    <x v="0"/>
  </r>
  <r>
    <n v="2242"/>
    <x v="253"/>
    <s v="Customer payment received"/>
    <x v="273"/>
    <s v="1808.1"/>
    <x v="2"/>
    <x v="0"/>
  </r>
  <r>
    <n v="2243"/>
    <x v="253"/>
    <s v="Customer payment received"/>
    <x v="987"/>
    <s v="0.0"/>
    <x v="0"/>
    <x v="0"/>
  </r>
  <r>
    <n v="2243"/>
    <x v="253"/>
    <s v="Customer payment received"/>
    <x v="273"/>
    <s v="1176.67"/>
    <x v="2"/>
    <x v="0"/>
  </r>
  <r>
    <n v="2244"/>
    <x v="253"/>
    <s v="Customer payment received"/>
    <x v="1006"/>
    <s v="0.0"/>
    <x v="0"/>
    <x v="0"/>
  </r>
  <r>
    <n v="2244"/>
    <x v="253"/>
    <s v="Customer payment received"/>
    <x v="273"/>
    <s v="5324.78"/>
    <x v="2"/>
    <x v="0"/>
  </r>
  <r>
    <n v="2245"/>
    <x v="253"/>
    <s v="Customer payment received"/>
    <x v="1047"/>
    <s v="0.0"/>
    <x v="0"/>
    <x v="0"/>
  </r>
  <r>
    <n v="2245"/>
    <x v="253"/>
    <s v="Customer payment received"/>
    <x v="273"/>
    <s v="2885.76"/>
    <x v="2"/>
    <x v="0"/>
  </r>
  <r>
    <n v="2246"/>
    <x v="253"/>
    <s v="Supplier payment made"/>
    <x v="351"/>
    <s v="0.0"/>
    <x v="11"/>
    <x v="3"/>
  </r>
  <r>
    <n v="2246"/>
    <x v="253"/>
    <s v="Supplier payment made"/>
    <x v="273"/>
    <s v="179.01"/>
    <x v="0"/>
    <x v="0"/>
  </r>
  <r>
    <n v="2247"/>
    <x v="253"/>
    <s v="Supplier payment made"/>
    <x v="280"/>
    <s v="0.0"/>
    <x v="11"/>
    <x v="3"/>
  </r>
  <r>
    <n v="2247"/>
    <x v="253"/>
    <s v="Supplier payment made"/>
    <x v="273"/>
    <s v="2635.36"/>
    <x v="0"/>
    <x v="0"/>
  </r>
  <r>
    <n v="2248"/>
    <x v="253"/>
    <s v="Supplier payment made"/>
    <x v="310"/>
    <s v="0.0"/>
    <x v="11"/>
    <x v="3"/>
  </r>
  <r>
    <n v="2248"/>
    <x v="253"/>
    <s v="Supplier payment made"/>
    <x v="273"/>
    <s v="276.32"/>
    <x v="0"/>
    <x v="0"/>
  </r>
  <r>
    <n v="2249"/>
    <x v="254"/>
    <s v="Sales invoice issued"/>
    <x v="1056"/>
    <s v="0.0"/>
    <x v="2"/>
    <x v="0"/>
  </r>
  <r>
    <n v="2249"/>
    <x v="254"/>
    <s v="Sales invoice issued"/>
    <x v="273"/>
    <s v="964.48"/>
    <x v="3"/>
    <x v="2"/>
  </r>
  <r>
    <n v="2249"/>
    <x v="254"/>
    <s v="Sales invoice issued"/>
    <x v="273"/>
    <s v="72.34"/>
    <x v="4"/>
    <x v="3"/>
  </r>
  <r>
    <n v="2250"/>
    <x v="254"/>
    <s v="Sales invoice issued"/>
    <x v="1057"/>
    <s v="0.0"/>
    <x v="2"/>
    <x v="0"/>
  </r>
  <r>
    <n v="2250"/>
    <x v="254"/>
    <s v="Sales invoice issued"/>
    <x v="273"/>
    <s v="97.06"/>
    <x v="3"/>
    <x v="2"/>
  </r>
  <r>
    <n v="2250"/>
    <x v="254"/>
    <s v="Sales invoice issued"/>
    <x v="273"/>
    <s v="7.28"/>
    <x v="4"/>
    <x v="3"/>
  </r>
  <r>
    <n v="2251"/>
    <x v="254"/>
    <s v="Sales invoice issued"/>
    <x v="1058"/>
    <s v="0.0"/>
    <x v="2"/>
    <x v="0"/>
  </r>
  <r>
    <n v="2251"/>
    <x v="254"/>
    <s v="Sales invoice issued"/>
    <x v="273"/>
    <s v="3617.47"/>
    <x v="3"/>
    <x v="2"/>
  </r>
  <r>
    <n v="2251"/>
    <x v="254"/>
    <s v="Sales invoice issued"/>
    <x v="273"/>
    <s v="271.31"/>
    <x v="4"/>
    <x v="3"/>
  </r>
  <r>
    <n v="2252"/>
    <x v="254"/>
    <s v="Sales invoice issued"/>
    <x v="1059"/>
    <s v="0.0"/>
    <x v="2"/>
    <x v="0"/>
  </r>
  <r>
    <n v="2252"/>
    <x v="254"/>
    <s v="Sales invoice issued"/>
    <x v="273"/>
    <s v="2266.72"/>
    <x v="3"/>
    <x v="2"/>
  </r>
  <r>
    <n v="2252"/>
    <x v="254"/>
    <s v="Sales invoice issued"/>
    <x v="273"/>
    <s v="170.01"/>
    <x v="4"/>
    <x v="3"/>
  </r>
  <r>
    <n v="2253"/>
    <x v="254"/>
    <s v="Sales invoice issued"/>
    <x v="1060"/>
    <s v="0.0"/>
    <x v="2"/>
    <x v="0"/>
  </r>
  <r>
    <n v="2253"/>
    <x v="254"/>
    <s v="Sales invoice issued"/>
    <x v="273"/>
    <s v="6323.94"/>
    <x v="3"/>
    <x v="2"/>
  </r>
  <r>
    <n v="2253"/>
    <x v="254"/>
    <s v="Sales invoice issued"/>
    <x v="273"/>
    <s v="474.29"/>
    <x v="4"/>
    <x v="3"/>
  </r>
  <r>
    <n v="2254"/>
    <x v="254"/>
    <s v="Sales invoice issued"/>
    <x v="1061"/>
    <s v="0.0"/>
    <x v="2"/>
    <x v="0"/>
  </r>
  <r>
    <n v="2254"/>
    <x v="254"/>
    <s v="Sales invoice issued"/>
    <x v="273"/>
    <s v="447.36"/>
    <x v="3"/>
    <x v="2"/>
  </r>
  <r>
    <n v="2254"/>
    <x v="254"/>
    <s v="Sales invoice issued"/>
    <x v="273"/>
    <s v="33.55"/>
    <x v="4"/>
    <x v="3"/>
  </r>
  <r>
    <n v="2255"/>
    <x v="254"/>
    <s v="Customer payment received"/>
    <x v="810"/>
    <s v="0.0"/>
    <x v="0"/>
    <x v="0"/>
  </r>
  <r>
    <n v="2255"/>
    <x v="254"/>
    <s v="Customer payment received"/>
    <x v="273"/>
    <s v="1602.79"/>
    <x v="2"/>
    <x v="0"/>
  </r>
  <r>
    <n v="2256"/>
    <x v="254"/>
    <s v="Customer payment received"/>
    <x v="922"/>
    <s v="0.0"/>
    <x v="0"/>
    <x v="0"/>
  </r>
  <r>
    <n v="2256"/>
    <x v="254"/>
    <s v="Customer payment received"/>
    <x v="273"/>
    <s v="123.55"/>
    <x v="2"/>
    <x v="0"/>
  </r>
  <r>
    <n v="2257"/>
    <x v="254"/>
    <s v="Customer payment received"/>
    <x v="943"/>
    <s v="0.0"/>
    <x v="0"/>
    <x v="0"/>
  </r>
  <r>
    <n v="2257"/>
    <x v="254"/>
    <s v="Customer payment received"/>
    <x v="273"/>
    <s v="1213.99"/>
    <x v="2"/>
    <x v="0"/>
  </r>
  <r>
    <n v="2258"/>
    <x v="254"/>
    <s v="Customer payment received"/>
    <x v="959"/>
    <s v="0.0"/>
    <x v="0"/>
    <x v="0"/>
  </r>
  <r>
    <n v="2258"/>
    <x v="254"/>
    <s v="Customer payment received"/>
    <x v="273"/>
    <s v="2980.83"/>
    <x v="2"/>
    <x v="0"/>
  </r>
  <r>
    <n v="2259"/>
    <x v="254"/>
    <s v="Customer payment received"/>
    <x v="965"/>
    <s v="0.0"/>
    <x v="0"/>
    <x v="0"/>
  </r>
  <r>
    <n v="2259"/>
    <x v="254"/>
    <s v="Customer payment received"/>
    <x v="273"/>
    <s v="1671.65"/>
    <x v="2"/>
    <x v="0"/>
  </r>
  <r>
    <n v="2260"/>
    <x v="254"/>
    <s v="Customer payment received"/>
    <x v="1062"/>
    <s v="0.0"/>
    <x v="0"/>
    <x v="0"/>
  </r>
  <r>
    <n v="2260"/>
    <x v="254"/>
    <s v="Customer payment received"/>
    <x v="273"/>
    <s v="978.76"/>
    <x v="2"/>
    <x v="0"/>
  </r>
  <r>
    <n v="2261"/>
    <x v="254"/>
    <s v="Supplier payment made"/>
    <x v="334"/>
    <s v="0.0"/>
    <x v="11"/>
    <x v="3"/>
  </r>
  <r>
    <n v="2261"/>
    <x v="254"/>
    <s v="Supplier payment made"/>
    <x v="273"/>
    <s v="3528.97"/>
    <x v="0"/>
    <x v="0"/>
  </r>
  <r>
    <n v="2262"/>
    <x v="254"/>
    <s v="Supplier payment made"/>
    <x v="335"/>
    <s v="0.0"/>
    <x v="11"/>
    <x v="3"/>
  </r>
  <r>
    <n v="2262"/>
    <x v="254"/>
    <s v="Supplier payment made"/>
    <x v="273"/>
    <s v="550.4"/>
    <x v="0"/>
    <x v="0"/>
  </r>
  <r>
    <n v="2263"/>
    <x v="255"/>
    <s v="Payroll processed"/>
    <x v="1063"/>
    <s v="0.0"/>
    <x v="5"/>
    <x v="4"/>
  </r>
  <r>
    <n v="2263"/>
    <x v="255"/>
    <s v="Payroll processed"/>
    <x v="1064"/>
    <s v="0.0"/>
    <x v="6"/>
    <x v="4"/>
  </r>
  <r>
    <n v="2263"/>
    <x v="255"/>
    <s v="Payroll processed"/>
    <x v="273"/>
    <s v="18219.42"/>
    <x v="0"/>
    <x v="0"/>
  </r>
  <r>
    <n v="2263"/>
    <x v="255"/>
    <s v="Payroll processed"/>
    <x v="273"/>
    <s v="4069.27"/>
    <x v="7"/>
    <x v="3"/>
  </r>
  <r>
    <n v="2263"/>
    <x v="255"/>
    <s v="Payroll processed"/>
    <x v="273"/>
    <s v="891.56"/>
    <x v="8"/>
    <x v="3"/>
  </r>
  <r>
    <n v="2264"/>
    <x v="255"/>
    <s v="Sales invoice issued"/>
    <x v="1065"/>
    <s v="0.0"/>
    <x v="2"/>
    <x v="0"/>
  </r>
  <r>
    <n v="2264"/>
    <x v="255"/>
    <s v="Sales invoice issued"/>
    <x v="273"/>
    <s v="1612.95"/>
    <x v="3"/>
    <x v="2"/>
  </r>
  <r>
    <n v="2264"/>
    <x v="255"/>
    <s v="Sales invoice issued"/>
    <x v="273"/>
    <s v="120.97"/>
    <x v="4"/>
    <x v="3"/>
  </r>
  <r>
    <n v="2265"/>
    <x v="255"/>
    <s v="Sales invoice issued"/>
    <x v="1066"/>
    <s v="0.0"/>
    <x v="2"/>
    <x v="0"/>
  </r>
  <r>
    <n v="2265"/>
    <x v="255"/>
    <s v="Sales invoice issued"/>
    <x v="273"/>
    <s v="1293.3"/>
    <x v="3"/>
    <x v="2"/>
  </r>
  <r>
    <n v="2265"/>
    <x v="255"/>
    <s v="Sales invoice issued"/>
    <x v="273"/>
    <s v="96.99"/>
    <x v="4"/>
    <x v="3"/>
  </r>
  <r>
    <n v="2266"/>
    <x v="255"/>
    <s v="Sales invoice issued"/>
    <x v="1067"/>
    <s v="0.0"/>
    <x v="2"/>
    <x v="0"/>
  </r>
  <r>
    <n v="2266"/>
    <x v="255"/>
    <s v="Sales invoice issued"/>
    <x v="273"/>
    <s v="415.26"/>
    <x v="3"/>
    <x v="2"/>
  </r>
  <r>
    <n v="2266"/>
    <x v="255"/>
    <s v="Sales invoice issued"/>
    <x v="273"/>
    <s v="31.14"/>
    <x v="4"/>
    <x v="3"/>
  </r>
  <r>
    <n v="2267"/>
    <x v="255"/>
    <s v="Sales invoice issued"/>
    <x v="1068"/>
    <s v="0.0"/>
    <x v="2"/>
    <x v="0"/>
  </r>
  <r>
    <n v="2267"/>
    <x v="255"/>
    <s v="Sales invoice issued"/>
    <x v="273"/>
    <s v="1179.45"/>
    <x v="3"/>
    <x v="2"/>
  </r>
  <r>
    <n v="2267"/>
    <x v="255"/>
    <s v="Sales invoice issued"/>
    <x v="273"/>
    <s v="88.46"/>
    <x v="4"/>
    <x v="3"/>
  </r>
  <r>
    <n v="2268"/>
    <x v="255"/>
    <s v="Sales invoice issued"/>
    <x v="1069"/>
    <s v="0.0"/>
    <x v="2"/>
    <x v="0"/>
  </r>
  <r>
    <n v="2268"/>
    <x v="255"/>
    <s v="Sales invoice issued"/>
    <x v="273"/>
    <s v="893.62"/>
    <x v="3"/>
    <x v="2"/>
  </r>
  <r>
    <n v="2268"/>
    <x v="255"/>
    <s v="Sales invoice issued"/>
    <x v="273"/>
    <s v="67.02"/>
    <x v="4"/>
    <x v="3"/>
  </r>
  <r>
    <n v="2269"/>
    <x v="255"/>
    <s v="Sales invoice issued"/>
    <x v="1070"/>
    <s v="0.0"/>
    <x v="2"/>
    <x v="0"/>
  </r>
  <r>
    <n v="2269"/>
    <x v="255"/>
    <s v="Sales invoice issued"/>
    <x v="273"/>
    <s v="1494.86"/>
    <x v="3"/>
    <x v="2"/>
  </r>
  <r>
    <n v="2269"/>
    <x v="255"/>
    <s v="Sales invoice issued"/>
    <x v="273"/>
    <s v="112.12"/>
    <x v="4"/>
    <x v="3"/>
  </r>
  <r>
    <n v="2270"/>
    <x v="255"/>
    <s v="Sales invoice issued"/>
    <x v="1071"/>
    <s v="0.0"/>
    <x v="2"/>
    <x v="0"/>
  </r>
  <r>
    <n v="2270"/>
    <x v="255"/>
    <s v="Sales invoice issued"/>
    <x v="273"/>
    <s v="2329.43"/>
    <x v="3"/>
    <x v="2"/>
  </r>
  <r>
    <n v="2270"/>
    <x v="255"/>
    <s v="Sales invoice issued"/>
    <x v="273"/>
    <s v="174.71"/>
    <x v="4"/>
    <x v="3"/>
  </r>
  <r>
    <n v="2271"/>
    <x v="255"/>
    <s v="Sales invoice issued"/>
    <x v="1072"/>
    <s v="0.0"/>
    <x v="2"/>
    <x v="0"/>
  </r>
  <r>
    <n v="2271"/>
    <x v="255"/>
    <s v="Sales invoice issued"/>
    <x v="273"/>
    <s v="2003.8"/>
    <x v="3"/>
    <x v="2"/>
  </r>
  <r>
    <n v="2271"/>
    <x v="255"/>
    <s v="Sales invoice issued"/>
    <x v="273"/>
    <s v="150.28"/>
    <x v="4"/>
    <x v="3"/>
  </r>
  <r>
    <n v="2272"/>
    <x v="255"/>
    <s v="Customer payment received"/>
    <x v="882"/>
    <s v="0.0"/>
    <x v="0"/>
    <x v="0"/>
  </r>
  <r>
    <n v="2272"/>
    <x v="255"/>
    <s v="Customer payment received"/>
    <x v="273"/>
    <s v="3585.89"/>
    <x v="2"/>
    <x v="0"/>
  </r>
  <r>
    <n v="2273"/>
    <x v="255"/>
    <s v="Customer payment received"/>
    <x v="908"/>
    <s v="0.0"/>
    <x v="0"/>
    <x v="0"/>
  </r>
  <r>
    <n v="2273"/>
    <x v="255"/>
    <s v="Customer payment received"/>
    <x v="273"/>
    <s v="3619.87"/>
    <x v="2"/>
    <x v="0"/>
  </r>
  <r>
    <n v="2274"/>
    <x v="255"/>
    <s v="Customer payment received"/>
    <x v="919"/>
    <s v="0.0"/>
    <x v="0"/>
    <x v="0"/>
  </r>
  <r>
    <n v="2274"/>
    <x v="255"/>
    <s v="Customer payment received"/>
    <x v="273"/>
    <s v="1486.95"/>
    <x v="2"/>
    <x v="0"/>
  </r>
  <r>
    <n v="2275"/>
    <x v="255"/>
    <s v="Customer payment received"/>
    <x v="927"/>
    <s v="0.0"/>
    <x v="0"/>
    <x v="0"/>
  </r>
  <r>
    <n v="2275"/>
    <x v="255"/>
    <s v="Customer payment received"/>
    <x v="273"/>
    <s v="2721.76"/>
    <x v="2"/>
    <x v="0"/>
  </r>
  <r>
    <n v="2276"/>
    <x v="255"/>
    <s v="Customer payment received"/>
    <x v="971"/>
    <s v="0.0"/>
    <x v="0"/>
    <x v="0"/>
  </r>
  <r>
    <n v="2276"/>
    <x v="255"/>
    <s v="Customer payment received"/>
    <x v="273"/>
    <s v="71.83"/>
    <x v="2"/>
    <x v="0"/>
  </r>
  <r>
    <n v="2277"/>
    <x v="255"/>
    <s v="Customer payment received"/>
    <x v="1030"/>
    <s v="0.0"/>
    <x v="0"/>
    <x v="0"/>
  </r>
  <r>
    <n v="2277"/>
    <x v="255"/>
    <s v="Customer payment received"/>
    <x v="273"/>
    <s v="3431.07"/>
    <x v="2"/>
    <x v="0"/>
  </r>
  <r>
    <n v="2278"/>
    <x v="255"/>
    <s v="Customer payment received"/>
    <x v="1032"/>
    <s v="0.0"/>
    <x v="0"/>
    <x v="0"/>
  </r>
  <r>
    <n v="2278"/>
    <x v="255"/>
    <s v="Customer payment received"/>
    <x v="273"/>
    <s v="3110.47"/>
    <x v="2"/>
    <x v="0"/>
  </r>
  <r>
    <n v="2279"/>
    <x v="255"/>
    <s v="Customer payment received"/>
    <x v="1072"/>
    <s v="0.0"/>
    <x v="0"/>
    <x v="0"/>
  </r>
  <r>
    <n v="2279"/>
    <x v="255"/>
    <s v="Customer payment received"/>
    <x v="273"/>
    <s v="2154.08"/>
    <x v="2"/>
    <x v="0"/>
  </r>
  <r>
    <n v="2280"/>
    <x v="255"/>
    <s v="Supplier payment made"/>
    <x v="407"/>
    <s v="0.0"/>
    <x v="11"/>
    <x v="3"/>
  </r>
  <r>
    <n v="2280"/>
    <x v="255"/>
    <s v="Supplier payment made"/>
    <x v="273"/>
    <s v="201.5"/>
    <x v="0"/>
    <x v="0"/>
  </r>
  <r>
    <n v="2281"/>
    <x v="255"/>
    <s v="Supplier payment made"/>
    <x v="466"/>
    <s v="0.0"/>
    <x v="11"/>
    <x v="3"/>
  </r>
  <r>
    <n v="2281"/>
    <x v="255"/>
    <s v="Supplier payment made"/>
    <x v="273"/>
    <s v="748.26"/>
    <x v="0"/>
    <x v="0"/>
  </r>
  <r>
    <n v="2282"/>
    <x v="256"/>
    <s v="Sales invoice issued"/>
    <x v="1073"/>
    <s v="0.0"/>
    <x v="2"/>
    <x v="0"/>
  </r>
  <r>
    <n v="2282"/>
    <x v="256"/>
    <s v="Sales invoice issued"/>
    <x v="273"/>
    <s v="481.82"/>
    <x v="3"/>
    <x v="2"/>
  </r>
  <r>
    <n v="2282"/>
    <x v="256"/>
    <s v="Sales invoice issued"/>
    <x v="273"/>
    <s v="36.14"/>
    <x v="4"/>
    <x v="3"/>
  </r>
  <r>
    <n v="2283"/>
    <x v="256"/>
    <s v="Sales invoice issued"/>
    <x v="1074"/>
    <s v="0.0"/>
    <x v="2"/>
    <x v="0"/>
  </r>
  <r>
    <n v="2283"/>
    <x v="256"/>
    <s v="Sales invoice issued"/>
    <x v="273"/>
    <s v="2312.37"/>
    <x v="3"/>
    <x v="2"/>
  </r>
  <r>
    <n v="2283"/>
    <x v="256"/>
    <s v="Sales invoice issued"/>
    <x v="273"/>
    <s v="173.42"/>
    <x v="4"/>
    <x v="3"/>
  </r>
  <r>
    <n v="2284"/>
    <x v="256"/>
    <s v="Sales invoice issued"/>
    <x v="1075"/>
    <s v="0.0"/>
    <x v="2"/>
    <x v="0"/>
  </r>
  <r>
    <n v="2284"/>
    <x v="256"/>
    <s v="Sales invoice issued"/>
    <x v="273"/>
    <s v="2119.03"/>
    <x v="3"/>
    <x v="2"/>
  </r>
  <r>
    <n v="2284"/>
    <x v="256"/>
    <s v="Sales invoice issued"/>
    <x v="273"/>
    <s v="158.92"/>
    <x v="4"/>
    <x v="3"/>
  </r>
  <r>
    <n v="2285"/>
    <x v="256"/>
    <s v="Sales invoice issued"/>
    <x v="1076"/>
    <s v="0.0"/>
    <x v="2"/>
    <x v="0"/>
  </r>
  <r>
    <n v="2285"/>
    <x v="256"/>
    <s v="Sales invoice issued"/>
    <x v="273"/>
    <s v="1593.23"/>
    <x v="3"/>
    <x v="2"/>
  </r>
  <r>
    <n v="2285"/>
    <x v="256"/>
    <s v="Sales invoice issued"/>
    <x v="273"/>
    <s v="119.49"/>
    <x v="4"/>
    <x v="3"/>
  </r>
  <r>
    <n v="2286"/>
    <x v="256"/>
    <s v="Sales invoice issued"/>
    <x v="1077"/>
    <s v="0.0"/>
    <x v="2"/>
    <x v="0"/>
  </r>
  <r>
    <n v="2286"/>
    <x v="256"/>
    <s v="Sales invoice issued"/>
    <x v="273"/>
    <s v="903.16"/>
    <x v="3"/>
    <x v="2"/>
  </r>
  <r>
    <n v="2286"/>
    <x v="256"/>
    <s v="Sales invoice issued"/>
    <x v="273"/>
    <s v="67.74"/>
    <x v="4"/>
    <x v="3"/>
  </r>
  <r>
    <n v="2287"/>
    <x v="256"/>
    <s v="Sales invoice issued"/>
    <x v="1078"/>
    <s v="0.0"/>
    <x v="2"/>
    <x v="0"/>
  </r>
  <r>
    <n v="2287"/>
    <x v="256"/>
    <s v="Sales invoice issued"/>
    <x v="273"/>
    <s v="67.81"/>
    <x v="3"/>
    <x v="2"/>
  </r>
  <r>
    <n v="2287"/>
    <x v="256"/>
    <s v="Sales invoice issued"/>
    <x v="273"/>
    <s v="5.09"/>
    <x v="4"/>
    <x v="3"/>
  </r>
  <r>
    <n v="2288"/>
    <x v="256"/>
    <s v="Sales invoice issued"/>
    <x v="1079"/>
    <s v="0.0"/>
    <x v="2"/>
    <x v="0"/>
  </r>
  <r>
    <n v="2288"/>
    <x v="256"/>
    <s v="Sales invoice issued"/>
    <x v="273"/>
    <s v="1708.43"/>
    <x v="3"/>
    <x v="2"/>
  </r>
  <r>
    <n v="2288"/>
    <x v="256"/>
    <s v="Sales invoice issued"/>
    <x v="273"/>
    <s v="128.12"/>
    <x v="4"/>
    <x v="3"/>
  </r>
  <r>
    <n v="2289"/>
    <x v="256"/>
    <s v="Sales invoice issued"/>
    <x v="1080"/>
    <s v="0.0"/>
    <x v="2"/>
    <x v="0"/>
  </r>
  <r>
    <n v="2289"/>
    <x v="256"/>
    <s v="Sales invoice issued"/>
    <x v="273"/>
    <s v="616.78"/>
    <x v="3"/>
    <x v="2"/>
  </r>
  <r>
    <n v="2289"/>
    <x v="256"/>
    <s v="Sales invoice issued"/>
    <x v="273"/>
    <s v="46.27"/>
    <x v="4"/>
    <x v="3"/>
  </r>
  <r>
    <n v="2290"/>
    <x v="256"/>
    <s v="Customer payment received"/>
    <x v="823"/>
    <s v="0.0"/>
    <x v="0"/>
    <x v="0"/>
  </r>
  <r>
    <n v="2290"/>
    <x v="256"/>
    <s v="Customer payment received"/>
    <x v="273"/>
    <s v="1311.54"/>
    <x v="2"/>
    <x v="0"/>
  </r>
  <r>
    <n v="2291"/>
    <x v="256"/>
    <s v="Customer payment received"/>
    <x v="834"/>
    <s v="0.0"/>
    <x v="0"/>
    <x v="0"/>
  </r>
  <r>
    <n v="2291"/>
    <x v="256"/>
    <s v="Customer payment received"/>
    <x v="273"/>
    <s v="1812.36"/>
    <x v="2"/>
    <x v="0"/>
  </r>
  <r>
    <n v="2292"/>
    <x v="256"/>
    <s v="Customer payment received"/>
    <x v="899"/>
    <s v="0.0"/>
    <x v="0"/>
    <x v="0"/>
  </r>
  <r>
    <n v="2292"/>
    <x v="256"/>
    <s v="Customer payment received"/>
    <x v="273"/>
    <s v="732.23"/>
    <x v="2"/>
    <x v="0"/>
  </r>
  <r>
    <n v="2293"/>
    <x v="256"/>
    <s v="Customer payment received"/>
    <x v="923"/>
    <s v="0.0"/>
    <x v="0"/>
    <x v="0"/>
  </r>
  <r>
    <n v="2293"/>
    <x v="256"/>
    <s v="Customer payment received"/>
    <x v="273"/>
    <s v="1401.76"/>
    <x v="2"/>
    <x v="0"/>
  </r>
  <r>
    <n v="2294"/>
    <x v="256"/>
    <s v="Customer payment received"/>
    <x v="931"/>
    <s v="0.0"/>
    <x v="0"/>
    <x v="0"/>
  </r>
  <r>
    <n v="2294"/>
    <x v="256"/>
    <s v="Customer payment received"/>
    <x v="273"/>
    <s v="2818.89"/>
    <x v="2"/>
    <x v="0"/>
  </r>
  <r>
    <n v="2295"/>
    <x v="256"/>
    <s v="Customer payment received"/>
    <x v="938"/>
    <s v="0.0"/>
    <x v="0"/>
    <x v="0"/>
  </r>
  <r>
    <n v="2295"/>
    <x v="256"/>
    <s v="Customer payment received"/>
    <x v="273"/>
    <s v="1474.73"/>
    <x v="2"/>
    <x v="0"/>
  </r>
  <r>
    <n v="2296"/>
    <x v="256"/>
    <s v="Customer payment received"/>
    <x v="1015"/>
    <s v="0.0"/>
    <x v="0"/>
    <x v="0"/>
  </r>
  <r>
    <n v="2296"/>
    <x v="256"/>
    <s v="Customer payment received"/>
    <x v="273"/>
    <s v="1677.82"/>
    <x v="2"/>
    <x v="0"/>
  </r>
  <r>
    <n v="2297"/>
    <x v="256"/>
    <s v="Customer payment received"/>
    <x v="1025"/>
    <s v="0.0"/>
    <x v="0"/>
    <x v="0"/>
  </r>
  <r>
    <n v="2297"/>
    <x v="256"/>
    <s v="Customer payment received"/>
    <x v="273"/>
    <s v="1847.8"/>
    <x v="2"/>
    <x v="0"/>
  </r>
  <r>
    <n v="2298"/>
    <x v="256"/>
    <s v="Customer payment received"/>
    <x v="1028"/>
    <s v="0.0"/>
    <x v="0"/>
    <x v="0"/>
  </r>
  <r>
    <n v="2298"/>
    <x v="256"/>
    <s v="Customer payment received"/>
    <x v="273"/>
    <s v="2572.53"/>
    <x v="2"/>
    <x v="0"/>
  </r>
  <r>
    <n v="2299"/>
    <x v="256"/>
    <s v="Customer payment received"/>
    <x v="1055"/>
    <s v="0.0"/>
    <x v="0"/>
    <x v="0"/>
  </r>
  <r>
    <n v="2299"/>
    <x v="256"/>
    <s v="Customer payment received"/>
    <x v="273"/>
    <s v="3876.79"/>
    <x v="2"/>
    <x v="0"/>
  </r>
  <r>
    <n v="2300"/>
    <x v="256"/>
    <s v="Supplier invoice received"/>
    <x v="303"/>
    <s v="0.0"/>
    <x v="9"/>
    <x v="4"/>
  </r>
  <r>
    <n v="2300"/>
    <x v="256"/>
    <s v="Supplier invoice received"/>
    <x v="304"/>
    <s v="0.0"/>
    <x v="10"/>
    <x v="0"/>
  </r>
  <r>
    <n v="2300"/>
    <x v="256"/>
    <s v="Supplier invoice received"/>
    <x v="273"/>
    <s v="550.4"/>
    <x v="11"/>
    <x v="3"/>
  </r>
  <r>
    <n v="2301"/>
    <x v="256"/>
    <s v="Supplier invoice received"/>
    <x v="295"/>
    <s v="0.0"/>
    <x v="9"/>
    <x v="4"/>
  </r>
  <r>
    <n v="2301"/>
    <x v="256"/>
    <s v="Supplier invoice received"/>
    <x v="296"/>
    <s v="0.0"/>
    <x v="10"/>
    <x v="0"/>
  </r>
  <r>
    <n v="2301"/>
    <x v="256"/>
    <s v="Supplier invoice received"/>
    <x v="273"/>
    <s v="1766.46"/>
    <x v="11"/>
    <x v="3"/>
  </r>
  <r>
    <n v="2302"/>
    <x v="257"/>
    <s v="Sales invoice issued"/>
    <x v="1081"/>
    <s v="0.0"/>
    <x v="2"/>
    <x v="0"/>
  </r>
  <r>
    <n v="2302"/>
    <x v="257"/>
    <s v="Sales invoice issued"/>
    <x v="273"/>
    <s v="4883.52"/>
    <x v="3"/>
    <x v="2"/>
  </r>
  <r>
    <n v="2302"/>
    <x v="257"/>
    <s v="Sales invoice issued"/>
    <x v="273"/>
    <s v="366.26"/>
    <x v="4"/>
    <x v="3"/>
  </r>
  <r>
    <n v="2303"/>
    <x v="257"/>
    <s v="Sales invoice issued"/>
    <x v="1082"/>
    <s v="0.0"/>
    <x v="2"/>
    <x v="0"/>
  </r>
  <r>
    <n v="2303"/>
    <x v="257"/>
    <s v="Sales invoice issued"/>
    <x v="273"/>
    <s v="2410.66"/>
    <x v="3"/>
    <x v="2"/>
  </r>
  <r>
    <n v="2303"/>
    <x v="257"/>
    <s v="Sales invoice issued"/>
    <x v="273"/>
    <s v="180.79"/>
    <x v="4"/>
    <x v="3"/>
  </r>
  <r>
    <n v="2304"/>
    <x v="257"/>
    <s v="Sales invoice issued"/>
    <x v="1083"/>
    <s v="0.0"/>
    <x v="2"/>
    <x v="0"/>
  </r>
  <r>
    <n v="2304"/>
    <x v="257"/>
    <s v="Sales invoice issued"/>
    <x v="273"/>
    <s v="2946.24"/>
    <x v="3"/>
    <x v="2"/>
  </r>
  <r>
    <n v="2304"/>
    <x v="257"/>
    <s v="Sales invoice issued"/>
    <x v="273"/>
    <s v="220.96"/>
    <x v="4"/>
    <x v="3"/>
  </r>
  <r>
    <n v="2305"/>
    <x v="257"/>
    <s v="Sales invoice issued"/>
    <x v="1084"/>
    <s v="0.0"/>
    <x v="2"/>
    <x v="0"/>
  </r>
  <r>
    <n v="2305"/>
    <x v="257"/>
    <s v="Sales invoice issued"/>
    <x v="273"/>
    <s v="3492.35"/>
    <x v="3"/>
    <x v="2"/>
  </r>
  <r>
    <n v="2305"/>
    <x v="257"/>
    <s v="Sales invoice issued"/>
    <x v="273"/>
    <s v="261.93"/>
    <x v="4"/>
    <x v="3"/>
  </r>
  <r>
    <n v="2306"/>
    <x v="257"/>
    <s v="Customer payment received"/>
    <x v="958"/>
    <s v="0.0"/>
    <x v="0"/>
    <x v="0"/>
  </r>
  <r>
    <n v="2306"/>
    <x v="257"/>
    <s v="Customer payment received"/>
    <x v="273"/>
    <s v="3030.26"/>
    <x v="2"/>
    <x v="0"/>
  </r>
  <r>
    <n v="2307"/>
    <x v="257"/>
    <s v="Supplier invoice received"/>
    <x v="443"/>
    <s v="0.0"/>
    <x v="9"/>
    <x v="4"/>
  </r>
  <r>
    <n v="2307"/>
    <x v="257"/>
    <s v="Supplier invoice received"/>
    <x v="444"/>
    <s v="0.0"/>
    <x v="10"/>
    <x v="0"/>
  </r>
  <r>
    <n v="2307"/>
    <x v="257"/>
    <s v="Supplier invoice received"/>
    <x v="273"/>
    <s v="748.26"/>
    <x v="11"/>
    <x v="3"/>
  </r>
  <r>
    <n v="2308"/>
    <x v="257"/>
    <s v="Supplier invoice received"/>
    <x v="357"/>
    <s v="0.0"/>
    <x v="9"/>
    <x v="4"/>
  </r>
  <r>
    <n v="2308"/>
    <x v="257"/>
    <s v="Supplier invoice received"/>
    <x v="358"/>
    <s v="0.0"/>
    <x v="10"/>
    <x v="0"/>
  </r>
  <r>
    <n v="2308"/>
    <x v="257"/>
    <s v="Supplier invoice received"/>
    <x v="273"/>
    <s v="1958.74"/>
    <x v="11"/>
    <x v="3"/>
  </r>
  <r>
    <n v="2309"/>
    <x v="257"/>
    <s v="Supplier invoice received"/>
    <x v="284"/>
    <s v="0.0"/>
    <x v="9"/>
    <x v="4"/>
  </r>
  <r>
    <n v="2309"/>
    <x v="257"/>
    <s v="Supplier invoice received"/>
    <x v="285"/>
    <s v="0.0"/>
    <x v="10"/>
    <x v="0"/>
  </r>
  <r>
    <n v="2309"/>
    <x v="257"/>
    <s v="Supplier invoice received"/>
    <x v="273"/>
    <s v="9336.67"/>
    <x v="11"/>
    <x v="3"/>
  </r>
  <r>
    <n v="2310"/>
    <x v="257"/>
    <s v="Supplier invoice received"/>
    <x v="441"/>
    <s v="0.0"/>
    <x v="9"/>
    <x v="4"/>
  </r>
  <r>
    <n v="2310"/>
    <x v="257"/>
    <s v="Supplier invoice received"/>
    <x v="442"/>
    <s v="0.0"/>
    <x v="10"/>
    <x v="0"/>
  </r>
  <r>
    <n v="2310"/>
    <x v="257"/>
    <s v="Supplier invoice received"/>
    <x v="273"/>
    <s v="179.01"/>
    <x v="11"/>
    <x v="3"/>
  </r>
  <r>
    <n v="2311"/>
    <x v="257"/>
    <s v="Supplier invoice received"/>
    <x v="299"/>
    <s v="0.0"/>
    <x v="9"/>
    <x v="4"/>
  </r>
  <r>
    <n v="2311"/>
    <x v="257"/>
    <s v="Supplier invoice received"/>
    <x v="300"/>
    <s v="0.0"/>
    <x v="10"/>
    <x v="0"/>
  </r>
  <r>
    <n v="2311"/>
    <x v="257"/>
    <s v="Supplier invoice received"/>
    <x v="273"/>
    <s v="2918.17"/>
    <x v="11"/>
    <x v="3"/>
  </r>
  <r>
    <n v="2312"/>
    <x v="257"/>
    <s v="Supplier invoice received"/>
    <x v="448"/>
    <s v="0.0"/>
    <x v="9"/>
    <x v="4"/>
  </r>
  <r>
    <n v="2312"/>
    <x v="257"/>
    <s v="Supplier invoice received"/>
    <x v="449"/>
    <s v="0.0"/>
    <x v="10"/>
    <x v="0"/>
  </r>
  <r>
    <n v="2312"/>
    <x v="257"/>
    <s v="Supplier invoice received"/>
    <x v="273"/>
    <s v="7227.44"/>
    <x v="11"/>
    <x v="3"/>
  </r>
  <r>
    <n v="2313"/>
    <x v="257"/>
    <s v="Supplier payment made"/>
    <x v="352"/>
    <s v="0.0"/>
    <x v="11"/>
    <x v="3"/>
  </r>
  <r>
    <n v="2313"/>
    <x v="257"/>
    <s v="Supplier payment made"/>
    <x v="273"/>
    <s v="9336.67"/>
    <x v="0"/>
    <x v="0"/>
  </r>
  <r>
    <n v="2314"/>
    <x v="257"/>
    <s v="Supplier payment made"/>
    <x v="309"/>
    <s v="0.0"/>
    <x v="11"/>
    <x v="3"/>
  </r>
  <r>
    <n v="2314"/>
    <x v="257"/>
    <s v="Supplier payment made"/>
    <x v="273"/>
    <s v="4812.46"/>
    <x v="0"/>
    <x v="0"/>
  </r>
  <r>
    <n v="2315"/>
    <x v="257"/>
    <s v="Supplier payment made"/>
    <x v="496"/>
    <s v="0.0"/>
    <x v="11"/>
    <x v="3"/>
  </r>
  <r>
    <n v="2315"/>
    <x v="257"/>
    <s v="Supplier payment made"/>
    <x v="273"/>
    <s v="7227.44"/>
    <x v="0"/>
    <x v="0"/>
  </r>
  <r>
    <n v="2316"/>
    <x v="258"/>
    <s v="Sales invoice issued"/>
    <x v="1085"/>
    <s v="0.0"/>
    <x v="2"/>
    <x v="0"/>
  </r>
  <r>
    <n v="2316"/>
    <x v="258"/>
    <s v="Sales invoice issued"/>
    <x v="273"/>
    <s v="2115.34"/>
    <x v="3"/>
    <x v="2"/>
  </r>
  <r>
    <n v="2316"/>
    <x v="258"/>
    <s v="Sales invoice issued"/>
    <x v="273"/>
    <s v="158.65"/>
    <x v="4"/>
    <x v="3"/>
  </r>
  <r>
    <n v="2317"/>
    <x v="258"/>
    <s v="Sales invoice issued"/>
    <x v="1086"/>
    <s v="0.0"/>
    <x v="2"/>
    <x v="0"/>
  </r>
  <r>
    <n v="2317"/>
    <x v="258"/>
    <s v="Sales invoice issued"/>
    <x v="273"/>
    <s v="3971.49"/>
    <x v="3"/>
    <x v="2"/>
  </r>
  <r>
    <n v="2317"/>
    <x v="258"/>
    <s v="Sales invoice issued"/>
    <x v="273"/>
    <s v="297.86"/>
    <x v="4"/>
    <x v="3"/>
  </r>
  <r>
    <n v="2318"/>
    <x v="258"/>
    <s v="Sales invoice issued"/>
    <x v="1087"/>
    <s v="0.0"/>
    <x v="2"/>
    <x v="0"/>
  </r>
  <r>
    <n v="2318"/>
    <x v="258"/>
    <s v="Sales invoice issued"/>
    <x v="273"/>
    <s v="309.74"/>
    <x v="3"/>
    <x v="2"/>
  </r>
  <r>
    <n v="2318"/>
    <x v="258"/>
    <s v="Sales invoice issued"/>
    <x v="273"/>
    <s v="23.23"/>
    <x v="4"/>
    <x v="3"/>
  </r>
  <r>
    <n v="2319"/>
    <x v="258"/>
    <s v="Sales invoice issued"/>
    <x v="1088"/>
    <s v="0.0"/>
    <x v="2"/>
    <x v="0"/>
  </r>
  <r>
    <n v="2319"/>
    <x v="258"/>
    <s v="Sales invoice issued"/>
    <x v="273"/>
    <s v="1578.29"/>
    <x v="3"/>
    <x v="2"/>
  </r>
  <r>
    <n v="2319"/>
    <x v="258"/>
    <s v="Sales invoice issued"/>
    <x v="273"/>
    <s v="118.37"/>
    <x v="4"/>
    <x v="3"/>
  </r>
  <r>
    <n v="2320"/>
    <x v="258"/>
    <s v="Sales invoice issued"/>
    <x v="1089"/>
    <s v="0.0"/>
    <x v="2"/>
    <x v="0"/>
  </r>
  <r>
    <n v="2320"/>
    <x v="258"/>
    <s v="Sales invoice issued"/>
    <x v="273"/>
    <s v="4042.49"/>
    <x v="3"/>
    <x v="2"/>
  </r>
  <r>
    <n v="2320"/>
    <x v="258"/>
    <s v="Sales invoice issued"/>
    <x v="273"/>
    <s v="303.19"/>
    <x v="4"/>
    <x v="3"/>
  </r>
  <r>
    <n v="2321"/>
    <x v="258"/>
    <s v="Sales invoice issued"/>
    <x v="1090"/>
    <s v="0.0"/>
    <x v="2"/>
    <x v="0"/>
  </r>
  <r>
    <n v="2321"/>
    <x v="258"/>
    <s v="Sales invoice issued"/>
    <x v="273"/>
    <s v="2275.78"/>
    <x v="3"/>
    <x v="2"/>
  </r>
  <r>
    <n v="2321"/>
    <x v="258"/>
    <s v="Sales invoice issued"/>
    <x v="273"/>
    <s v="170.68"/>
    <x v="4"/>
    <x v="3"/>
  </r>
  <r>
    <n v="2322"/>
    <x v="258"/>
    <s v="Customer payment received"/>
    <x v="879"/>
    <s v="0.0"/>
    <x v="0"/>
    <x v="0"/>
  </r>
  <r>
    <n v="2322"/>
    <x v="258"/>
    <s v="Customer payment received"/>
    <x v="273"/>
    <s v="3363.97"/>
    <x v="2"/>
    <x v="0"/>
  </r>
  <r>
    <n v="2323"/>
    <x v="258"/>
    <s v="Customer payment received"/>
    <x v="1091"/>
    <s v="0.0"/>
    <x v="0"/>
    <x v="0"/>
  </r>
  <r>
    <n v="2323"/>
    <x v="258"/>
    <s v="Customer payment received"/>
    <x v="273"/>
    <s v="990.67"/>
    <x v="2"/>
    <x v="0"/>
  </r>
  <r>
    <n v="2324"/>
    <x v="258"/>
    <s v="Customer payment received"/>
    <x v="1023"/>
    <s v="0.0"/>
    <x v="0"/>
    <x v="0"/>
  </r>
  <r>
    <n v="2324"/>
    <x v="258"/>
    <s v="Customer payment received"/>
    <x v="273"/>
    <s v="270.04"/>
    <x v="2"/>
    <x v="0"/>
  </r>
  <r>
    <n v="2325"/>
    <x v="258"/>
    <s v="Customer payment received"/>
    <x v="1068"/>
    <s v="0.0"/>
    <x v="0"/>
    <x v="0"/>
  </r>
  <r>
    <n v="2325"/>
    <x v="258"/>
    <s v="Customer payment received"/>
    <x v="273"/>
    <s v="1267.91"/>
    <x v="2"/>
    <x v="0"/>
  </r>
  <r>
    <n v="2326"/>
    <x v="258"/>
    <s v="Customer payment received"/>
    <x v="1078"/>
    <s v="0.0"/>
    <x v="0"/>
    <x v="0"/>
  </r>
  <r>
    <n v="2326"/>
    <x v="258"/>
    <s v="Customer payment received"/>
    <x v="273"/>
    <s v="72.9"/>
    <x v="2"/>
    <x v="0"/>
  </r>
  <r>
    <n v="2327"/>
    <x v="258"/>
    <s v="Supplier payment made"/>
    <x v="309"/>
    <s v="0.0"/>
    <x v="11"/>
    <x v="3"/>
  </r>
  <r>
    <n v="2327"/>
    <x v="258"/>
    <s v="Supplier payment made"/>
    <x v="273"/>
    <s v="4812.46"/>
    <x v="0"/>
    <x v="0"/>
  </r>
  <r>
    <n v="2328"/>
    <x v="258"/>
    <s v="Supplier payment made"/>
    <x v="318"/>
    <s v="0.0"/>
    <x v="11"/>
    <x v="3"/>
  </r>
  <r>
    <n v="2328"/>
    <x v="258"/>
    <s v="Supplier payment made"/>
    <x v="273"/>
    <s v="2504.23"/>
    <x v="0"/>
    <x v="0"/>
  </r>
  <r>
    <n v="2329"/>
    <x v="258"/>
    <s v="Supplier payment made"/>
    <x v="352"/>
    <s v="0.0"/>
    <x v="11"/>
    <x v="3"/>
  </r>
  <r>
    <n v="2329"/>
    <x v="258"/>
    <s v="Supplier payment made"/>
    <x v="273"/>
    <s v="9336.67"/>
    <x v="0"/>
    <x v="0"/>
  </r>
  <r>
    <n v="2330"/>
    <x v="259"/>
    <s v="Sales invoice issued"/>
    <x v="1092"/>
    <s v="0.0"/>
    <x v="2"/>
    <x v="0"/>
  </r>
  <r>
    <n v="2330"/>
    <x v="259"/>
    <s v="Sales invoice issued"/>
    <x v="273"/>
    <s v="3456.05"/>
    <x v="3"/>
    <x v="2"/>
  </r>
  <r>
    <n v="2330"/>
    <x v="259"/>
    <s v="Sales invoice issued"/>
    <x v="273"/>
    <s v="259.2"/>
    <x v="4"/>
    <x v="3"/>
  </r>
  <r>
    <n v="2331"/>
    <x v="259"/>
    <s v="Sales invoice issued"/>
    <x v="1093"/>
    <s v="0.0"/>
    <x v="2"/>
    <x v="0"/>
  </r>
  <r>
    <n v="2331"/>
    <x v="259"/>
    <s v="Sales invoice issued"/>
    <x v="273"/>
    <s v="4356.19"/>
    <x v="3"/>
    <x v="2"/>
  </r>
  <r>
    <n v="2331"/>
    <x v="259"/>
    <s v="Sales invoice issued"/>
    <x v="273"/>
    <s v="326.71"/>
    <x v="4"/>
    <x v="3"/>
  </r>
  <r>
    <n v="2332"/>
    <x v="259"/>
    <s v="Sales invoice issued"/>
    <x v="1094"/>
    <s v="0.0"/>
    <x v="2"/>
    <x v="0"/>
  </r>
  <r>
    <n v="2332"/>
    <x v="259"/>
    <s v="Sales invoice issued"/>
    <x v="273"/>
    <s v="1825.43"/>
    <x v="3"/>
    <x v="2"/>
  </r>
  <r>
    <n v="2332"/>
    <x v="259"/>
    <s v="Sales invoice issued"/>
    <x v="273"/>
    <s v="136.91"/>
    <x v="4"/>
    <x v="3"/>
  </r>
  <r>
    <n v="2333"/>
    <x v="259"/>
    <s v="Sales invoice issued"/>
    <x v="1095"/>
    <s v="0.0"/>
    <x v="2"/>
    <x v="0"/>
  </r>
  <r>
    <n v="2333"/>
    <x v="259"/>
    <s v="Sales invoice issued"/>
    <x v="273"/>
    <s v="1020.58"/>
    <x v="3"/>
    <x v="2"/>
  </r>
  <r>
    <n v="2333"/>
    <x v="259"/>
    <s v="Sales invoice issued"/>
    <x v="273"/>
    <s v="76.55"/>
    <x v="4"/>
    <x v="3"/>
  </r>
  <r>
    <n v="2334"/>
    <x v="259"/>
    <s v="Sales invoice issued"/>
    <x v="1096"/>
    <s v="0.0"/>
    <x v="2"/>
    <x v="0"/>
  </r>
  <r>
    <n v="2334"/>
    <x v="259"/>
    <s v="Sales invoice issued"/>
    <x v="273"/>
    <s v="1119.31"/>
    <x v="3"/>
    <x v="2"/>
  </r>
  <r>
    <n v="2334"/>
    <x v="259"/>
    <s v="Sales invoice issued"/>
    <x v="273"/>
    <s v="83.96"/>
    <x v="4"/>
    <x v="3"/>
  </r>
  <r>
    <n v="2335"/>
    <x v="259"/>
    <s v="Sales invoice issued"/>
    <x v="1097"/>
    <s v="0.0"/>
    <x v="2"/>
    <x v="0"/>
  </r>
  <r>
    <n v="2335"/>
    <x v="259"/>
    <s v="Sales invoice issued"/>
    <x v="273"/>
    <s v="3255.61"/>
    <x v="3"/>
    <x v="2"/>
  </r>
  <r>
    <n v="2335"/>
    <x v="259"/>
    <s v="Sales invoice issued"/>
    <x v="273"/>
    <s v="244.17"/>
    <x v="4"/>
    <x v="3"/>
  </r>
  <r>
    <n v="2336"/>
    <x v="259"/>
    <s v="Sales invoice issued"/>
    <x v="1098"/>
    <s v="0.0"/>
    <x v="2"/>
    <x v="0"/>
  </r>
  <r>
    <n v="2336"/>
    <x v="259"/>
    <s v="Sales invoice issued"/>
    <x v="273"/>
    <s v="3064.22"/>
    <x v="3"/>
    <x v="2"/>
  </r>
  <r>
    <n v="2336"/>
    <x v="259"/>
    <s v="Sales invoice issued"/>
    <x v="273"/>
    <s v="229.82"/>
    <x v="4"/>
    <x v="3"/>
  </r>
  <r>
    <n v="2337"/>
    <x v="259"/>
    <s v="Sales invoice issued"/>
    <x v="1099"/>
    <s v="0.0"/>
    <x v="2"/>
    <x v="0"/>
  </r>
  <r>
    <n v="2337"/>
    <x v="259"/>
    <s v="Sales invoice issued"/>
    <x v="273"/>
    <s v="2019.06"/>
    <x v="3"/>
    <x v="2"/>
  </r>
  <r>
    <n v="2337"/>
    <x v="259"/>
    <s v="Sales invoice issued"/>
    <x v="273"/>
    <s v="151.44"/>
    <x v="4"/>
    <x v="3"/>
  </r>
  <r>
    <n v="2338"/>
    <x v="259"/>
    <s v="Sales invoice issued"/>
    <x v="1100"/>
    <s v="0.0"/>
    <x v="2"/>
    <x v="0"/>
  </r>
  <r>
    <n v="2338"/>
    <x v="259"/>
    <s v="Sales invoice issued"/>
    <x v="273"/>
    <s v="3446.64"/>
    <x v="3"/>
    <x v="2"/>
  </r>
  <r>
    <n v="2338"/>
    <x v="259"/>
    <s v="Sales invoice issued"/>
    <x v="273"/>
    <s v="258.5"/>
    <x v="4"/>
    <x v="3"/>
  </r>
  <r>
    <n v="2339"/>
    <x v="259"/>
    <s v="Customer payment received"/>
    <x v="1035"/>
    <s v="0.0"/>
    <x v="0"/>
    <x v="0"/>
  </r>
  <r>
    <n v="2339"/>
    <x v="259"/>
    <s v="Customer payment received"/>
    <x v="273"/>
    <s v="4389.34"/>
    <x v="2"/>
    <x v="0"/>
  </r>
  <r>
    <n v="2340"/>
    <x v="259"/>
    <s v="Customer payment received"/>
    <x v="1081"/>
    <s v="0.0"/>
    <x v="0"/>
    <x v="0"/>
  </r>
  <r>
    <n v="2340"/>
    <x v="259"/>
    <s v="Customer payment received"/>
    <x v="273"/>
    <s v="5249.78"/>
    <x v="2"/>
    <x v="0"/>
  </r>
  <r>
    <n v="2341"/>
    <x v="259"/>
    <s v="Supplier invoice received"/>
    <x v="445"/>
    <s v="0.0"/>
    <x v="9"/>
    <x v="4"/>
  </r>
  <r>
    <n v="2341"/>
    <x v="259"/>
    <s v="Supplier invoice received"/>
    <x v="446"/>
    <s v="0.0"/>
    <x v="10"/>
    <x v="0"/>
  </r>
  <r>
    <n v="2341"/>
    <x v="259"/>
    <s v="Supplier invoice received"/>
    <x v="273"/>
    <s v="1794.11"/>
    <x v="11"/>
    <x v="3"/>
  </r>
  <r>
    <n v="2342"/>
    <x v="259"/>
    <s v="Supplier invoice received"/>
    <x v="303"/>
    <s v="0.0"/>
    <x v="9"/>
    <x v="4"/>
  </r>
  <r>
    <n v="2342"/>
    <x v="259"/>
    <s v="Supplier invoice received"/>
    <x v="304"/>
    <s v="0.0"/>
    <x v="10"/>
    <x v="0"/>
  </r>
  <r>
    <n v="2342"/>
    <x v="259"/>
    <s v="Supplier invoice received"/>
    <x v="273"/>
    <s v="550.4"/>
    <x v="11"/>
    <x v="3"/>
  </r>
  <r>
    <n v="2343"/>
    <x v="260"/>
    <s v="Sales invoice issued"/>
    <x v="1101"/>
    <s v="0.0"/>
    <x v="2"/>
    <x v="0"/>
  </r>
  <r>
    <n v="2343"/>
    <x v="260"/>
    <s v="Sales invoice issued"/>
    <x v="273"/>
    <s v="441.71"/>
    <x v="3"/>
    <x v="2"/>
  </r>
  <r>
    <n v="2343"/>
    <x v="260"/>
    <s v="Sales invoice issued"/>
    <x v="273"/>
    <s v="33.12"/>
    <x v="4"/>
    <x v="3"/>
  </r>
  <r>
    <n v="2344"/>
    <x v="260"/>
    <s v="Sales invoice issued"/>
    <x v="1102"/>
    <s v="0.0"/>
    <x v="2"/>
    <x v="0"/>
  </r>
  <r>
    <n v="2344"/>
    <x v="260"/>
    <s v="Sales invoice issued"/>
    <x v="273"/>
    <s v="821.69"/>
    <x v="3"/>
    <x v="2"/>
  </r>
  <r>
    <n v="2344"/>
    <x v="260"/>
    <s v="Sales invoice issued"/>
    <x v="273"/>
    <s v="61.63"/>
    <x v="4"/>
    <x v="3"/>
  </r>
  <r>
    <n v="2345"/>
    <x v="260"/>
    <s v="Sales invoice issued"/>
    <x v="1103"/>
    <s v="0.0"/>
    <x v="2"/>
    <x v="0"/>
  </r>
  <r>
    <n v="2345"/>
    <x v="260"/>
    <s v="Sales invoice issued"/>
    <x v="273"/>
    <s v="3020.92"/>
    <x v="3"/>
    <x v="2"/>
  </r>
  <r>
    <n v="2345"/>
    <x v="260"/>
    <s v="Sales invoice issued"/>
    <x v="273"/>
    <s v="226.58"/>
    <x v="4"/>
    <x v="3"/>
  </r>
  <r>
    <n v="2346"/>
    <x v="260"/>
    <s v="Sales invoice issued"/>
    <x v="1104"/>
    <s v="0.0"/>
    <x v="2"/>
    <x v="0"/>
  </r>
  <r>
    <n v="2346"/>
    <x v="260"/>
    <s v="Sales invoice issued"/>
    <x v="273"/>
    <s v="1917.39"/>
    <x v="3"/>
    <x v="2"/>
  </r>
  <r>
    <n v="2346"/>
    <x v="260"/>
    <s v="Sales invoice issued"/>
    <x v="273"/>
    <s v="143.8"/>
    <x v="4"/>
    <x v="3"/>
  </r>
  <r>
    <n v="2347"/>
    <x v="260"/>
    <s v="Sales invoice issued"/>
    <x v="1105"/>
    <s v="0.0"/>
    <x v="2"/>
    <x v="0"/>
  </r>
  <r>
    <n v="2347"/>
    <x v="260"/>
    <s v="Sales invoice issued"/>
    <x v="273"/>
    <s v="604.97"/>
    <x v="3"/>
    <x v="2"/>
  </r>
  <r>
    <n v="2347"/>
    <x v="260"/>
    <s v="Sales invoice issued"/>
    <x v="273"/>
    <s v="45.38"/>
    <x v="4"/>
    <x v="3"/>
  </r>
  <r>
    <n v="2348"/>
    <x v="260"/>
    <s v="Sales invoice issued"/>
    <x v="1106"/>
    <s v="0.0"/>
    <x v="2"/>
    <x v="0"/>
  </r>
  <r>
    <n v="2348"/>
    <x v="260"/>
    <s v="Sales invoice issued"/>
    <x v="273"/>
    <s v="4323.07"/>
    <x v="3"/>
    <x v="2"/>
  </r>
  <r>
    <n v="2348"/>
    <x v="260"/>
    <s v="Sales invoice issued"/>
    <x v="273"/>
    <s v="324.22"/>
    <x v="4"/>
    <x v="3"/>
  </r>
  <r>
    <n v="2349"/>
    <x v="260"/>
    <s v="Sales invoice issued"/>
    <x v="1107"/>
    <s v="0.0"/>
    <x v="2"/>
    <x v="0"/>
  </r>
  <r>
    <n v="2349"/>
    <x v="260"/>
    <s v="Sales invoice issued"/>
    <x v="273"/>
    <s v="519.39"/>
    <x v="3"/>
    <x v="2"/>
  </r>
  <r>
    <n v="2349"/>
    <x v="260"/>
    <s v="Sales invoice issued"/>
    <x v="273"/>
    <s v="38.95"/>
    <x v="4"/>
    <x v="3"/>
  </r>
  <r>
    <n v="2350"/>
    <x v="260"/>
    <s v="Sales invoice issued"/>
    <x v="1108"/>
    <s v="0.0"/>
    <x v="2"/>
    <x v="0"/>
  </r>
  <r>
    <n v="2350"/>
    <x v="260"/>
    <s v="Sales invoice issued"/>
    <x v="273"/>
    <s v="1994.84"/>
    <x v="3"/>
    <x v="2"/>
  </r>
  <r>
    <n v="2350"/>
    <x v="260"/>
    <s v="Sales invoice issued"/>
    <x v="273"/>
    <s v="149.63"/>
    <x v="4"/>
    <x v="3"/>
  </r>
  <r>
    <n v="2351"/>
    <x v="260"/>
    <s v="Customer payment received"/>
    <x v="860"/>
    <s v="0.0"/>
    <x v="0"/>
    <x v="0"/>
  </r>
  <r>
    <n v="2351"/>
    <x v="260"/>
    <s v="Customer payment received"/>
    <x v="273"/>
    <s v="442.08"/>
    <x v="2"/>
    <x v="0"/>
  </r>
  <r>
    <n v="2352"/>
    <x v="260"/>
    <s v="Customer payment received"/>
    <x v="1109"/>
    <s v="0.0"/>
    <x v="0"/>
    <x v="0"/>
  </r>
  <r>
    <n v="2352"/>
    <x v="260"/>
    <s v="Customer payment received"/>
    <x v="273"/>
    <s v="2747.22"/>
    <x v="2"/>
    <x v="0"/>
  </r>
  <r>
    <n v="2353"/>
    <x v="260"/>
    <s v="Customer payment received"/>
    <x v="933"/>
    <s v="0.0"/>
    <x v="0"/>
    <x v="0"/>
  </r>
  <r>
    <n v="2353"/>
    <x v="260"/>
    <s v="Customer payment received"/>
    <x v="273"/>
    <s v="2515.54"/>
    <x v="2"/>
    <x v="0"/>
  </r>
  <r>
    <n v="2354"/>
    <x v="260"/>
    <s v="Customer payment received"/>
    <x v="967"/>
    <s v="0.0"/>
    <x v="0"/>
    <x v="0"/>
  </r>
  <r>
    <n v="2354"/>
    <x v="260"/>
    <s v="Customer payment received"/>
    <x v="273"/>
    <s v="4760.75"/>
    <x v="2"/>
    <x v="0"/>
  </r>
  <r>
    <n v="2355"/>
    <x v="260"/>
    <s v="Customer payment received"/>
    <x v="1033"/>
    <s v="0.0"/>
    <x v="0"/>
    <x v="0"/>
  </r>
  <r>
    <n v="2355"/>
    <x v="260"/>
    <s v="Customer payment received"/>
    <x v="273"/>
    <s v="2898.43"/>
    <x v="2"/>
    <x v="0"/>
  </r>
  <r>
    <n v="2356"/>
    <x v="260"/>
    <s v="Customer payment received"/>
    <x v="1041"/>
    <s v="0.0"/>
    <x v="0"/>
    <x v="0"/>
  </r>
  <r>
    <n v="2356"/>
    <x v="260"/>
    <s v="Customer payment received"/>
    <x v="273"/>
    <s v="3044.72"/>
    <x v="2"/>
    <x v="0"/>
  </r>
  <r>
    <n v="2357"/>
    <x v="260"/>
    <s v="Customer payment received"/>
    <x v="1050"/>
    <s v="0.0"/>
    <x v="0"/>
    <x v="0"/>
  </r>
  <r>
    <n v="2357"/>
    <x v="260"/>
    <s v="Customer payment received"/>
    <x v="273"/>
    <s v="1348.68"/>
    <x v="2"/>
    <x v="0"/>
  </r>
  <r>
    <n v="2358"/>
    <x v="260"/>
    <s v="Customer payment received"/>
    <x v="1098"/>
    <s v="0.0"/>
    <x v="0"/>
    <x v="0"/>
  </r>
  <r>
    <n v="2358"/>
    <x v="260"/>
    <s v="Customer payment received"/>
    <x v="273"/>
    <s v="3294.04"/>
    <x v="2"/>
    <x v="0"/>
  </r>
  <r>
    <n v="2359"/>
    <x v="260"/>
    <s v="Customer payment received"/>
    <x v="1108"/>
    <s v="0.0"/>
    <x v="0"/>
    <x v="0"/>
  </r>
  <r>
    <n v="2359"/>
    <x v="260"/>
    <s v="Customer payment received"/>
    <x v="273"/>
    <s v="2144.47"/>
    <x v="2"/>
    <x v="0"/>
  </r>
  <r>
    <n v="2360"/>
    <x v="260"/>
    <s v="Supplier invoice received"/>
    <x v="325"/>
    <s v="0.0"/>
    <x v="9"/>
    <x v="4"/>
  </r>
  <r>
    <n v="2360"/>
    <x v="260"/>
    <s v="Supplier invoice received"/>
    <x v="326"/>
    <s v="0.0"/>
    <x v="10"/>
    <x v="0"/>
  </r>
  <r>
    <n v="2360"/>
    <x v="260"/>
    <s v="Supplier invoice received"/>
    <x v="273"/>
    <s v="1304.62"/>
    <x v="11"/>
    <x v="3"/>
  </r>
  <r>
    <n v="2361"/>
    <x v="260"/>
    <s v="Supplier invoice received"/>
    <x v="357"/>
    <s v="0.0"/>
    <x v="9"/>
    <x v="4"/>
  </r>
  <r>
    <n v="2361"/>
    <x v="260"/>
    <s v="Supplier invoice received"/>
    <x v="358"/>
    <s v="0.0"/>
    <x v="10"/>
    <x v="0"/>
  </r>
  <r>
    <n v="2361"/>
    <x v="260"/>
    <s v="Supplier invoice received"/>
    <x v="273"/>
    <s v="1958.74"/>
    <x v="11"/>
    <x v="3"/>
  </r>
  <r>
    <n v="2362"/>
    <x v="260"/>
    <s v="Supplier payment made"/>
    <x v="292"/>
    <s v="0.0"/>
    <x v="11"/>
    <x v="3"/>
  </r>
  <r>
    <n v="2362"/>
    <x v="260"/>
    <s v="Supplier payment made"/>
    <x v="273"/>
    <s v="1766.46"/>
    <x v="0"/>
    <x v="0"/>
  </r>
  <r>
    <n v="2363"/>
    <x v="261"/>
    <s v="Sales invoice issued"/>
    <x v="1110"/>
    <s v="0.0"/>
    <x v="2"/>
    <x v="0"/>
  </r>
  <r>
    <n v="2363"/>
    <x v="261"/>
    <s v="Sales invoice issued"/>
    <x v="273"/>
    <s v="6060.55"/>
    <x v="3"/>
    <x v="2"/>
  </r>
  <r>
    <n v="2363"/>
    <x v="261"/>
    <s v="Sales invoice issued"/>
    <x v="273"/>
    <s v="454.53"/>
    <x v="4"/>
    <x v="3"/>
  </r>
  <r>
    <n v="2364"/>
    <x v="261"/>
    <s v="Sales invoice issued"/>
    <x v="1111"/>
    <s v="0.0"/>
    <x v="2"/>
    <x v="0"/>
  </r>
  <r>
    <n v="2364"/>
    <x v="261"/>
    <s v="Sales invoice issued"/>
    <x v="273"/>
    <s v="1987.15"/>
    <x v="3"/>
    <x v="2"/>
  </r>
  <r>
    <n v="2364"/>
    <x v="261"/>
    <s v="Sales invoice issued"/>
    <x v="273"/>
    <s v="149.03"/>
    <x v="4"/>
    <x v="3"/>
  </r>
  <r>
    <n v="2365"/>
    <x v="261"/>
    <s v="Sales invoice issued"/>
    <x v="548"/>
    <s v="0.0"/>
    <x v="2"/>
    <x v="0"/>
  </r>
  <r>
    <n v="2365"/>
    <x v="261"/>
    <s v="Sales invoice issued"/>
    <x v="273"/>
    <s v="274.75"/>
    <x v="3"/>
    <x v="2"/>
  </r>
  <r>
    <n v="2365"/>
    <x v="261"/>
    <s v="Sales invoice issued"/>
    <x v="273"/>
    <s v="20.61"/>
    <x v="4"/>
    <x v="3"/>
  </r>
  <r>
    <n v="2366"/>
    <x v="261"/>
    <s v="Sales invoice issued"/>
    <x v="1112"/>
    <s v="0.0"/>
    <x v="2"/>
    <x v="0"/>
  </r>
  <r>
    <n v="2366"/>
    <x v="261"/>
    <s v="Sales invoice issued"/>
    <x v="273"/>
    <s v="3217.88"/>
    <x v="3"/>
    <x v="2"/>
  </r>
  <r>
    <n v="2366"/>
    <x v="261"/>
    <s v="Sales invoice issued"/>
    <x v="273"/>
    <s v="241.34"/>
    <x v="4"/>
    <x v="3"/>
  </r>
  <r>
    <n v="2367"/>
    <x v="261"/>
    <s v="Sales invoice issued"/>
    <x v="1113"/>
    <s v="0.0"/>
    <x v="2"/>
    <x v="0"/>
  </r>
  <r>
    <n v="2367"/>
    <x v="261"/>
    <s v="Sales invoice issued"/>
    <x v="273"/>
    <s v="414.96"/>
    <x v="3"/>
    <x v="2"/>
  </r>
  <r>
    <n v="2367"/>
    <x v="261"/>
    <s v="Sales invoice issued"/>
    <x v="273"/>
    <s v="31.12"/>
    <x v="4"/>
    <x v="3"/>
  </r>
  <r>
    <n v="2368"/>
    <x v="261"/>
    <s v="Sales invoice issued"/>
    <x v="1114"/>
    <s v="0.0"/>
    <x v="2"/>
    <x v="0"/>
  </r>
  <r>
    <n v="2368"/>
    <x v="261"/>
    <s v="Sales invoice issued"/>
    <x v="273"/>
    <s v="436.09"/>
    <x v="3"/>
    <x v="2"/>
  </r>
  <r>
    <n v="2368"/>
    <x v="261"/>
    <s v="Sales invoice issued"/>
    <x v="273"/>
    <s v="32.71"/>
    <x v="4"/>
    <x v="3"/>
  </r>
  <r>
    <n v="2369"/>
    <x v="261"/>
    <s v="Sales invoice issued"/>
    <x v="484"/>
    <s v="0.0"/>
    <x v="2"/>
    <x v="0"/>
  </r>
  <r>
    <n v="2369"/>
    <x v="261"/>
    <s v="Sales invoice issued"/>
    <x v="273"/>
    <s v="570.1"/>
    <x v="3"/>
    <x v="2"/>
  </r>
  <r>
    <n v="2369"/>
    <x v="261"/>
    <s v="Sales invoice issued"/>
    <x v="273"/>
    <s v="42.76"/>
    <x v="4"/>
    <x v="3"/>
  </r>
  <r>
    <n v="2370"/>
    <x v="261"/>
    <s v="Sales invoice issued"/>
    <x v="1115"/>
    <s v="0.0"/>
    <x v="2"/>
    <x v="0"/>
  </r>
  <r>
    <n v="2370"/>
    <x v="261"/>
    <s v="Sales invoice issued"/>
    <x v="273"/>
    <s v="200.5"/>
    <x v="3"/>
    <x v="2"/>
  </r>
  <r>
    <n v="2370"/>
    <x v="261"/>
    <s v="Sales invoice issued"/>
    <x v="273"/>
    <s v="15.04"/>
    <x v="4"/>
    <x v="3"/>
  </r>
  <r>
    <n v="2371"/>
    <x v="261"/>
    <s v="Sales invoice issued"/>
    <x v="1116"/>
    <s v="0.0"/>
    <x v="2"/>
    <x v="0"/>
  </r>
  <r>
    <n v="2371"/>
    <x v="261"/>
    <s v="Sales invoice issued"/>
    <x v="273"/>
    <s v="7035.86"/>
    <x v="3"/>
    <x v="2"/>
  </r>
  <r>
    <n v="2371"/>
    <x v="261"/>
    <s v="Sales invoice issued"/>
    <x v="273"/>
    <s v="527.69"/>
    <x v="4"/>
    <x v="3"/>
  </r>
  <r>
    <n v="2372"/>
    <x v="261"/>
    <s v="Sales invoice issued"/>
    <x v="1117"/>
    <s v="0.0"/>
    <x v="2"/>
    <x v="0"/>
  </r>
  <r>
    <n v="2372"/>
    <x v="261"/>
    <s v="Sales invoice issued"/>
    <x v="273"/>
    <s v="1256.55"/>
    <x v="3"/>
    <x v="2"/>
  </r>
  <r>
    <n v="2372"/>
    <x v="261"/>
    <s v="Sales invoice issued"/>
    <x v="273"/>
    <s v="94.24"/>
    <x v="4"/>
    <x v="3"/>
  </r>
  <r>
    <n v="2373"/>
    <x v="261"/>
    <s v="Customer payment received"/>
    <x v="881"/>
    <s v="0.0"/>
    <x v="0"/>
    <x v="0"/>
  </r>
  <r>
    <n v="2373"/>
    <x v="261"/>
    <s v="Customer payment received"/>
    <x v="273"/>
    <s v="1048.94"/>
    <x v="2"/>
    <x v="0"/>
  </r>
  <r>
    <n v="2374"/>
    <x v="261"/>
    <s v="Customer payment received"/>
    <x v="944"/>
    <s v="0.0"/>
    <x v="0"/>
    <x v="0"/>
  </r>
  <r>
    <n v="2374"/>
    <x v="261"/>
    <s v="Customer payment received"/>
    <x v="273"/>
    <s v="422.19"/>
    <x v="2"/>
    <x v="0"/>
  </r>
  <r>
    <n v="2375"/>
    <x v="261"/>
    <s v="Customer payment received"/>
    <x v="1066"/>
    <s v="0.0"/>
    <x v="0"/>
    <x v="0"/>
  </r>
  <r>
    <n v="2375"/>
    <x v="261"/>
    <s v="Customer payment received"/>
    <x v="273"/>
    <s v="1390.29"/>
    <x v="2"/>
    <x v="0"/>
  </r>
  <r>
    <n v="2376"/>
    <x v="261"/>
    <s v="Customer payment received"/>
    <x v="1073"/>
    <s v="0.0"/>
    <x v="0"/>
    <x v="0"/>
  </r>
  <r>
    <n v="2376"/>
    <x v="261"/>
    <s v="Customer payment received"/>
    <x v="273"/>
    <s v="517.96"/>
    <x v="2"/>
    <x v="0"/>
  </r>
  <r>
    <n v="2377"/>
    <x v="261"/>
    <s v="Customer payment received"/>
    <x v="1083"/>
    <s v="0.0"/>
    <x v="0"/>
    <x v="0"/>
  </r>
  <r>
    <n v="2377"/>
    <x v="261"/>
    <s v="Customer payment received"/>
    <x v="273"/>
    <s v="3167.2"/>
    <x v="2"/>
    <x v="0"/>
  </r>
  <r>
    <n v="2378"/>
    <x v="261"/>
    <s v="Customer payment received"/>
    <x v="1084"/>
    <s v="0.0"/>
    <x v="0"/>
    <x v="0"/>
  </r>
  <r>
    <n v="2378"/>
    <x v="261"/>
    <s v="Customer payment received"/>
    <x v="273"/>
    <s v="3754.28"/>
    <x v="2"/>
    <x v="0"/>
  </r>
  <r>
    <n v="2379"/>
    <x v="261"/>
    <s v="Customer payment received"/>
    <x v="1099"/>
    <s v="0.0"/>
    <x v="0"/>
    <x v="0"/>
  </r>
  <r>
    <n v="2379"/>
    <x v="261"/>
    <s v="Customer payment received"/>
    <x v="273"/>
    <s v="2170.5"/>
    <x v="2"/>
    <x v="0"/>
  </r>
  <r>
    <n v="2380"/>
    <x v="261"/>
    <s v="Supplier invoice received"/>
    <x v="461"/>
    <s v="0.0"/>
    <x v="9"/>
    <x v="4"/>
  </r>
  <r>
    <n v="2380"/>
    <x v="261"/>
    <s v="Supplier invoice received"/>
    <x v="462"/>
    <s v="0.0"/>
    <x v="10"/>
    <x v="0"/>
  </r>
  <r>
    <n v="2380"/>
    <x v="261"/>
    <s v="Supplier invoice received"/>
    <x v="273"/>
    <s v="2182.41"/>
    <x v="11"/>
    <x v="3"/>
  </r>
  <r>
    <n v="2381"/>
    <x v="261"/>
    <s v="Supplier invoice received"/>
    <x v="332"/>
    <s v="0.0"/>
    <x v="9"/>
    <x v="4"/>
  </r>
  <r>
    <n v="2381"/>
    <x v="261"/>
    <s v="Supplier invoice received"/>
    <x v="333"/>
    <s v="0.0"/>
    <x v="10"/>
    <x v="0"/>
  </r>
  <r>
    <n v="2381"/>
    <x v="261"/>
    <s v="Supplier invoice received"/>
    <x v="273"/>
    <s v="1023.42"/>
    <x v="11"/>
    <x v="3"/>
  </r>
  <r>
    <n v="2382"/>
    <x v="261"/>
    <s v="Supplier invoice received"/>
    <x v="338"/>
    <s v="0.0"/>
    <x v="9"/>
    <x v="4"/>
  </r>
  <r>
    <n v="2382"/>
    <x v="261"/>
    <s v="Supplier invoice received"/>
    <x v="339"/>
    <s v="0.0"/>
    <x v="10"/>
    <x v="0"/>
  </r>
  <r>
    <n v="2382"/>
    <x v="261"/>
    <s v="Supplier invoice received"/>
    <x v="273"/>
    <s v="1159.84"/>
    <x v="11"/>
    <x v="3"/>
  </r>
  <r>
    <n v="2383"/>
    <x v="261"/>
    <s v="Supplier invoice received"/>
    <x v="383"/>
    <s v="0.0"/>
    <x v="9"/>
    <x v="4"/>
  </r>
  <r>
    <n v="2383"/>
    <x v="261"/>
    <s v="Supplier invoice received"/>
    <x v="384"/>
    <s v="0.0"/>
    <x v="10"/>
    <x v="0"/>
  </r>
  <r>
    <n v="2383"/>
    <x v="261"/>
    <s v="Supplier invoice received"/>
    <x v="273"/>
    <s v="3868.8"/>
    <x v="11"/>
    <x v="3"/>
  </r>
  <r>
    <n v="2384"/>
    <x v="261"/>
    <s v="Supplier invoice received"/>
    <x v="474"/>
    <s v="0.0"/>
    <x v="9"/>
    <x v="4"/>
  </r>
  <r>
    <n v="2384"/>
    <x v="261"/>
    <s v="Supplier invoice received"/>
    <x v="475"/>
    <s v="0.0"/>
    <x v="10"/>
    <x v="0"/>
  </r>
  <r>
    <n v="2384"/>
    <x v="261"/>
    <s v="Supplier invoice received"/>
    <x v="273"/>
    <s v="862.91"/>
    <x v="11"/>
    <x v="3"/>
  </r>
  <r>
    <n v="2385"/>
    <x v="261"/>
    <s v="Supplier invoice received"/>
    <x v="359"/>
    <s v="0.0"/>
    <x v="9"/>
    <x v="4"/>
  </r>
  <r>
    <n v="2385"/>
    <x v="261"/>
    <s v="Supplier invoice received"/>
    <x v="360"/>
    <s v="0.0"/>
    <x v="10"/>
    <x v="0"/>
  </r>
  <r>
    <n v="2385"/>
    <x v="261"/>
    <s v="Supplier invoice received"/>
    <x v="273"/>
    <s v="1591.54"/>
    <x v="11"/>
    <x v="3"/>
  </r>
  <r>
    <n v="2386"/>
    <x v="261"/>
    <s v="Supplier invoice received"/>
    <x v="330"/>
    <s v="0.0"/>
    <x v="9"/>
    <x v="4"/>
  </r>
  <r>
    <n v="2386"/>
    <x v="261"/>
    <s v="Supplier invoice received"/>
    <x v="331"/>
    <s v="0.0"/>
    <x v="10"/>
    <x v="0"/>
  </r>
  <r>
    <n v="2386"/>
    <x v="261"/>
    <s v="Supplier invoice received"/>
    <x v="273"/>
    <s v="1935.04"/>
    <x v="11"/>
    <x v="3"/>
  </r>
  <r>
    <n v="2387"/>
    <x v="261"/>
    <s v="Supplier invoice received"/>
    <x v="301"/>
    <s v="0.0"/>
    <x v="9"/>
    <x v="4"/>
  </r>
  <r>
    <n v="2387"/>
    <x v="261"/>
    <s v="Supplier invoice received"/>
    <x v="302"/>
    <s v="0.0"/>
    <x v="10"/>
    <x v="0"/>
  </r>
  <r>
    <n v="2387"/>
    <x v="261"/>
    <s v="Supplier invoice received"/>
    <x v="273"/>
    <s v="4812.46"/>
    <x v="11"/>
    <x v="3"/>
  </r>
  <r>
    <n v="2388"/>
    <x v="261"/>
    <s v="Supplier invoice received"/>
    <x v="295"/>
    <s v="0.0"/>
    <x v="9"/>
    <x v="4"/>
  </r>
  <r>
    <n v="2388"/>
    <x v="261"/>
    <s v="Supplier invoice received"/>
    <x v="296"/>
    <s v="0.0"/>
    <x v="10"/>
    <x v="0"/>
  </r>
  <r>
    <n v="2388"/>
    <x v="261"/>
    <s v="Supplier invoice received"/>
    <x v="273"/>
    <s v="1766.46"/>
    <x v="11"/>
    <x v="3"/>
  </r>
  <r>
    <n v="2389"/>
    <x v="261"/>
    <s v="Supplier invoice received"/>
    <x v="305"/>
    <s v="0.0"/>
    <x v="9"/>
    <x v="4"/>
  </r>
  <r>
    <n v="2389"/>
    <x v="261"/>
    <s v="Supplier invoice received"/>
    <x v="306"/>
    <s v="0.0"/>
    <x v="10"/>
    <x v="0"/>
  </r>
  <r>
    <n v="2389"/>
    <x v="261"/>
    <s v="Supplier invoice received"/>
    <x v="273"/>
    <s v="276.32"/>
    <x v="11"/>
    <x v="3"/>
  </r>
  <r>
    <n v="2390"/>
    <x v="261"/>
    <s v="Supplier payment made"/>
    <x v="335"/>
    <s v="0.0"/>
    <x v="11"/>
    <x v="3"/>
  </r>
  <r>
    <n v="2390"/>
    <x v="261"/>
    <s v="Supplier payment made"/>
    <x v="273"/>
    <s v="550.4"/>
    <x v="0"/>
    <x v="0"/>
  </r>
  <r>
    <n v="2391"/>
    <x v="261"/>
    <s v="Supplier payment made"/>
    <x v="351"/>
    <s v="0.0"/>
    <x v="11"/>
    <x v="3"/>
  </r>
  <r>
    <n v="2391"/>
    <x v="261"/>
    <s v="Supplier payment made"/>
    <x v="273"/>
    <s v="179.01"/>
    <x v="0"/>
    <x v="0"/>
  </r>
  <r>
    <n v="2392"/>
    <x v="262"/>
    <s v="Sales invoice issued"/>
    <x v="1118"/>
    <s v="0.0"/>
    <x v="2"/>
    <x v="0"/>
  </r>
  <r>
    <n v="2392"/>
    <x v="262"/>
    <s v="Sales invoice issued"/>
    <x v="273"/>
    <s v="2224.52"/>
    <x v="3"/>
    <x v="2"/>
  </r>
  <r>
    <n v="2392"/>
    <x v="262"/>
    <s v="Sales invoice issued"/>
    <x v="273"/>
    <s v="166.84"/>
    <x v="4"/>
    <x v="3"/>
  </r>
  <r>
    <n v="2393"/>
    <x v="262"/>
    <s v="Sales invoice issued"/>
    <x v="1119"/>
    <s v="0.0"/>
    <x v="2"/>
    <x v="0"/>
  </r>
  <r>
    <n v="2393"/>
    <x v="262"/>
    <s v="Sales invoice issued"/>
    <x v="273"/>
    <s v="1825.67"/>
    <x v="3"/>
    <x v="2"/>
  </r>
  <r>
    <n v="2393"/>
    <x v="262"/>
    <s v="Sales invoice issued"/>
    <x v="273"/>
    <s v="136.92"/>
    <x v="4"/>
    <x v="3"/>
  </r>
  <r>
    <n v="2394"/>
    <x v="262"/>
    <s v="Sales invoice issued"/>
    <x v="1120"/>
    <s v="0.0"/>
    <x v="2"/>
    <x v="0"/>
  </r>
  <r>
    <n v="2394"/>
    <x v="262"/>
    <s v="Sales invoice issued"/>
    <x v="273"/>
    <s v="2546.17"/>
    <x v="3"/>
    <x v="2"/>
  </r>
  <r>
    <n v="2394"/>
    <x v="262"/>
    <s v="Sales invoice issued"/>
    <x v="273"/>
    <s v="190.96"/>
    <x v="4"/>
    <x v="3"/>
  </r>
  <r>
    <n v="2395"/>
    <x v="262"/>
    <s v="Sales invoice issued"/>
    <x v="1121"/>
    <s v="0.0"/>
    <x v="2"/>
    <x v="0"/>
  </r>
  <r>
    <n v="2395"/>
    <x v="262"/>
    <s v="Sales invoice issued"/>
    <x v="273"/>
    <s v="4170.35"/>
    <x v="3"/>
    <x v="2"/>
  </r>
  <r>
    <n v="2395"/>
    <x v="262"/>
    <s v="Sales invoice issued"/>
    <x v="273"/>
    <s v="312.78"/>
    <x v="4"/>
    <x v="3"/>
  </r>
  <r>
    <n v="2396"/>
    <x v="262"/>
    <s v="Sales invoice issued"/>
    <x v="1122"/>
    <s v="0.0"/>
    <x v="2"/>
    <x v="0"/>
  </r>
  <r>
    <n v="2396"/>
    <x v="262"/>
    <s v="Sales invoice issued"/>
    <x v="273"/>
    <s v="2402.57"/>
    <x v="3"/>
    <x v="2"/>
  </r>
  <r>
    <n v="2396"/>
    <x v="262"/>
    <s v="Sales invoice issued"/>
    <x v="273"/>
    <s v="180.19"/>
    <x v="4"/>
    <x v="3"/>
  </r>
  <r>
    <n v="2397"/>
    <x v="262"/>
    <s v="Sales invoice issued"/>
    <x v="1123"/>
    <s v="0.0"/>
    <x v="2"/>
    <x v="0"/>
  </r>
  <r>
    <n v="2397"/>
    <x v="262"/>
    <s v="Sales invoice issued"/>
    <x v="273"/>
    <s v="907.66"/>
    <x v="3"/>
    <x v="2"/>
  </r>
  <r>
    <n v="2397"/>
    <x v="262"/>
    <s v="Sales invoice issued"/>
    <x v="273"/>
    <s v="68.08"/>
    <x v="4"/>
    <x v="3"/>
  </r>
  <r>
    <n v="2398"/>
    <x v="262"/>
    <s v="Customer payment received"/>
    <x v="851"/>
    <s v="0.0"/>
    <x v="0"/>
    <x v="0"/>
  </r>
  <r>
    <n v="2398"/>
    <x v="262"/>
    <s v="Customer payment received"/>
    <x v="273"/>
    <s v="1759.92"/>
    <x v="2"/>
    <x v="0"/>
  </r>
  <r>
    <n v="2399"/>
    <x v="262"/>
    <s v="Customer payment received"/>
    <x v="918"/>
    <s v="0.0"/>
    <x v="0"/>
    <x v="0"/>
  </r>
  <r>
    <n v="2399"/>
    <x v="262"/>
    <s v="Customer payment received"/>
    <x v="273"/>
    <s v="420.58"/>
    <x v="2"/>
    <x v="0"/>
  </r>
  <r>
    <n v="2400"/>
    <x v="262"/>
    <s v="Customer payment received"/>
    <x v="945"/>
    <s v="0.0"/>
    <x v="0"/>
    <x v="0"/>
  </r>
  <r>
    <n v="2400"/>
    <x v="262"/>
    <s v="Customer payment received"/>
    <x v="273"/>
    <s v="1511.13"/>
    <x v="2"/>
    <x v="0"/>
  </r>
  <r>
    <n v="2401"/>
    <x v="262"/>
    <s v="Customer payment received"/>
    <x v="988"/>
    <s v="0.0"/>
    <x v="0"/>
    <x v="0"/>
  </r>
  <r>
    <n v="2401"/>
    <x v="262"/>
    <s v="Customer payment received"/>
    <x v="273"/>
    <s v="1152.52"/>
    <x v="2"/>
    <x v="0"/>
  </r>
  <r>
    <n v="2402"/>
    <x v="262"/>
    <s v="Customer payment received"/>
    <x v="996"/>
    <s v="0.0"/>
    <x v="0"/>
    <x v="0"/>
  </r>
  <r>
    <n v="2402"/>
    <x v="262"/>
    <s v="Customer payment received"/>
    <x v="273"/>
    <s v="1285.44"/>
    <x v="2"/>
    <x v="0"/>
  </r>
  <r>
    <n v="2403"/>
    <x v="262"/>
    <s v="Customer payment received"/>
    <x v="1021"/>
    <s v="0.0"/>
    <x v="0"/>
    <x v="0"/>
  </r>
  <r>
    <n v="2403"/>
    <x v="262"/>
    <s v="Customer payment received"/>
    <x v="273"/>
    <s v="2695.14"/>
    <x v="2"/>
    <x v="0"/>
  </r>
  <r>
    <n v="2404"/>
    <x v="262"/>
    <s v="Customer payment received"/>
    <x v="1102"/>
    <s v="0.0"/>
    <x v="0"/>
    <x v="0"/>
  </r>
  <r>
    <n v="2404"/>
    <x v="262"/>
    <s v="Customer payment received"/>
    <x v="273"/>
    <s v="883.32"/>
    <x v="2"/>
    <x v="0"/>
  </r>
  <r>
    <n v="2405"/>
    <x v="262"/>
    <s v="Customer payment received"/>
    <x v="548"/>
    <s v="0.0"/>
    <x v="0"/>
    <x v="0"/>
  </r>
  <r>
    <n v="2405"/>
    <x v="262"/>
    <s v="Customer payment received"/>
    <x v="273"/>
    <s v="295.36"/>
    <x v="2"/>
    <x v="0"/>
  </r>
  <r>
    <n v="2406"/>
    <x v="262"/>
    <s v="Supplier invoice received"/>
    <x v="307"/>
    <s v="0.0"/>
    <x v="9"/>
    <x v="4"/>
  </r>
  <r>
    <n v="2406"/>
    <x v="262"/>
    <s v="Supplier invoice received"/>
    <x v="308"/>
    <s v="0.0"/>
    <x v="10"/>
    <x v="0"/>
  </r>
  <r>
    <n v="2406"/>
    <x v="262"/>
    <s v="Supplier invoice received"/>
    <x v="273"/>
    <s v="2093.28"/>
    <x v="11"/>
    <x v="3"/>
  </r>
  <r>
    <n v="2407"/>
    <x v="262"/>
    <s v="Supplier invoice received"/>
    <x v="405"/>
    <s v="0.0"/>
    <x v="9"/>
    <x v="4"/>
  </r>
  <r>
    <n v="2407"/>
    <x v="262"/>
    <s v="Supplier invoice received"/>
    <x v="406"/>
    <s v="0.0"/>
    <x v="10"/>
    <x v="0"/>
  </r>
  <r>
    <n v="2407"/>
    <x v="262"/>
    <s v="Supplier invoice received"/>
    <x v="273"/>
    <s v="2635.36"/>
    <x v="11"/>
    <x v="3"/>
  </r>
  <r>
    <n v="2408"/>
    <x v="262"/>
    <s v="Supplier payment made"/>
    <x v="496"/>
    <s v="0.0"/>
    <x v="11"/>
    <x v="3"/>
  </r>
  <r>
    <n v="2408"/>
    <x v="262"/>
    <s v="Supplier payment made"/>
    <x v="273"/>
    <s v="7227.44"/>
    <x v="0"/>
    <x v="0"/>
  </r>
  <r>
    <n v="2409"/>
    <x v="262"/>
    <s v="Supplier payment made"/>
    <x v="353"/>
    <s v="0.0"/>
    <x v="11"/>
    <x v="3"/>
  </r>
  <r>
    <n v="2409"/>
    <x v="262"/>
    <s v="Supplier payment made"/>
    <x v="273"/>
    <s v="2918.17"/>
    <x v="0"/>
    <x v="0"/>
  </r>
  <r>
    <n v="2410"/>
    <x v="262"/>
    <s v="Supplier payment made"/>
    <x v="515"/>
    <s v="0.0"/>
    <x v="11"/>
    <x v="3"/>
  </r>
  <r>
    <n v="2410"/>
    <x v="262"/>
    <s v="Supplier payment made"/>
    <x v="273"/>
    <s v="862.91"/>
    <x v="0"/>
    <x v="0"/>
  </r>
  <r>
    <n v="2411"/>
    <x v="262"/>
    <s v="Depreciation â€” POS System"/>
    <x v="425"/>
    <s v="0.0"/>
    <x v="12"/>
    <x v="4"/>
  </r>
  <r>
    <n v="2411"/>
    <x v="262"/>
    <s v="Depreciation â€” POS System"/>
    <x v="273"/>
    <s v="93.61"/>
    <x v="13"/>
    <x v="0"/>
  </r>
  <r>
    <n v="2412"/>
    <x v="262"/>
    <s v="Depreciation â€” Laptop x2"/>
    <x v="426"/>
    <s v="0.0"/>
    <x v="12"/>
    <x v="4"/>
  </r>
  <r>
    <n v="2412"/>
    <x v="262"/>
    <s v="Depreciation â€” Laptop x2"/>
    <x v="273"/>
    <s v="76.86"/>
    <x v="13"/>
    <x v="0"/>
  </r>
  <r>
    <n v="2413"/>
    <x v="262"/>
    <s v="Depreciation â€” Printer/Scanner"/>
    <x v="427"/>
    <s v="0.0"/>
    <x v="12"/>
    <x v="4"/>
  </r>
  <r>
    <n v="2413"/>
    <x v="262"/>
    <s v="Depreciation â€” Printer/Scanner"/>
    <x v="273"/>
    <s v="20.03"/>
    <x v="13"/>
    <x v="0"/>
  </r>
  <r>
    <n v="2414"/>
    <x v="262"/>
    <s v="Depreciation â€” Shop Shelving"/>
    <x v="428"/>
    <s v="0.0"/>
    <x v="12"/>
    <x v="4"/>
  </r>
  <r>
    <n v="2414"/>
    <x v="262"/>
    <s v="Depreciation â€” Shop Shelving"/>
    <x v="273"/>
    <s v="86.89"/>
    <x v="14"/>
    <x v="0"/>
  </r>
  <r>
    <n v="2415"/>
    <x v="262"/>
    <s v="Depreciation â€” Display Stands"/>
    <x v="429"/>
    <s v="0.0"/>
    <x v="12"/>
    <x v="4"/>
  </r>
  <r>
    <n v="2415"/>
    <x v="262"/>
    <s v="Depreciation â€” Display Stands"/>
    <x v="273"/>
    <s v="76.8"/>
    <x v="14"/>
    <x v="0"/>
  </r>
  <r>
    <n v="2416"/>
    <x v="262"/>
    <s v="Depreciation â€” Counter &amp; Checkout"/>
    <x v="430"/>
    <s v="0.0"/>
    <x v="12"/>
    <x v="4"/>
  </r>
  <r>
    <n v="2416"/>
    <x v="262"/>
    <s v="Depreciation â€” Counter &amp; Checkout"/>
    <x v="273"/>
    <s v="48.28"/>
    <x v="14"/>
    <x v="0"/>
  </r>
  <r>
    <n v="2417"/>
    <x v="262"/>
    <s v="Depreciation â€” Signage"/>
    <x v="431"/>
    <s v="0.0"/>
    <x v="12"/>
    <x v="4"/>
  </r>
  <r>
    <n v="2417"/>
    <x v="262"/>
    <s v="Depreciation â€” Signage"/>
    <x v="273"/>
    <s v="53.21"/>
    <x v="14"/>
    <x v="0"/>
  </r>
  <r>
    <n v="2418"/>
    <x v="262"/>
    <s v="Depreciation â€” Delivery Van"/>
    <x v="432"/>
    <s v="0.0"/>
    <x v="12"/>
    <x v="4"/>
  </r>
  <r>
    <n v="2418"/>
    <x v="262"/>
    <s v="Depreciation â€” Delivery Van"/>
    <x v="273"/>
    <s v="232.19"/>
    <x v="15"/>
    <x v="0"/>
  </r>
  <r>
    <n v="2419"/>
    <x v="262"/>
    <s v="Depreciation â€” Security System"/>
    <x v="433"/>
    <s v="0.0"/>
    <x v="12"/>
    <x v="4"/>
  </r>
  <r>
    <n v="2419"/>
    <x v="262"/>
    <s v="Depreciation â€” Security System"/>
    <x v="273"/>
    <s v="43.85"/>
    <x v="13"/>
    <x v="0"/>
  </r>
  <r>
    <n v="2420"/>
    <x v="263"/>
    <s v="Payroll processed"/>
    <x v="1124"/>
    <s v="0.0"/>
    <x v="5"/>
    <x v="4"/>
  </r>
  <r>
    <n v="2420"/>
    <x v="263"/>
    <s v="Payroll processed"/>
    <x v="1125"/>
    <s v="0.0"/>
    <x v="6"/>
    <x v="4"/>
  </r>
  <r>
    <n v="2420"/>
    <x v="263"/>
    <s v="Payroll processed"/>
    <x v="273"/>
    <s v="18250.4"/>
    <x v="0"/>
    <x v="0"/>
  </r>
  <r>
    <n v="2420"/>
    <x v="263"/>
    <s v="Payroll processed"/>
    <x v="273"/>
    <s v="4069.27"/>
    <x v="7"/>
    <x v="3"/>
  </r>
  <r>
    <n v="2420"/>
    <x v="263"/>
    <s v="Payroll processed"/>
    <x v="273"/>
    <s v="892.79"/>
    <x v="8"/>
    <x v="3"/>
  </r>
  <r>
    <n v="2421"/>
    <x v="263"/>
    <s v="Customer payment received"/>
    <x v="898"/>
    <s v="0.0"/>
    <x v="0"/>
    <x v="0"/>
  </r>
  <r>
    <n v="2421"/>
    <x v="263"/>
    <s v="Customer payment received"/>
    <x v="273"/>
    <s v="506.19"/>
    <x v="2"/>
    <x v="0"/>
  </r>
  <r>
    <n v="2422"/>
    <x v="263"/>
    <s v="Customer payment received"/>
    <x v="995"/>
    <s v="0.0"/>
    <x v="0"/>
    <x v="0"/>
  </r>
  <r>
    <n v="2422"/>
    <x v="263"/>
    <s v="Customer payment received"/>
    <x v="273"/>
    <s v="1439.81"/>
    <x v="2"/>
    <x v="0"/>
  </r>
  <r>
    <n v="2423"/>
    <x v="263"/>
    <s v="Customer payment received"/>
    <x v="1016"/>
    <s v="0.0"/>
    <x v="0"/>
    <x v="0"/>
  </r>
  <r>
    <n v="2423"/>
    <x v="263"/>
    <s v="Customer payment received"/>
    <x v="273"/>
    <s v="2725.64"/>
    <x v="2"/>
    <x v="0"/>
  </r>
  <r>
    <n v="2424"/>
    <x v="263"/>
    <s v="Customer payment received"/>
    <x v="1061"/>
    <s v="0.0"/>
    <x v="0"/>
    <x v="0"/>
  </r>
  <r>
    <n v="2424"/>
    <x v="263"/>
    <s v="Customer payment received"/>
    <x v="273"/>
    <s v="480.91"/>
    <x v="2"/>
    <x v="0"/>
  </r>
  <r>
    <n v="2425"/>
    <x v="263"/>
    <s v="Customer payment received"/>
    <x v="1085"/>
    <s v="0.0"/>
    <x v="0"/>
    <x v="0"/>
  </r>
  <r>
    <n v="2425"/>
    <x v="263"/>
    <s v="Customer payment received"/>
    <x v="273"/>
    <s v="2273.99"/>
    <x v="2"/>
    <x v="0"/>
  </r>
  <r>
    <n v="2426"/>
    <x v="263"/>
    <s v="Customer payment received"/>
    <x v="1093"/>
    <s v="0.0"/>
    <x v="0"/>
    <x v="0"/>
  </r>
  <r>
    <n v="2426"/>
    <x v="263"/>
    <s v="Customer payment received"/>
    <x v="273"/>
    <s v="4682.9"/>
    <x v="2"/>
    <x v="0"/>
  </r>
  <r>
    <n v="2427"/>
    <x v="263"/>
    <s v="Customer payment received"/>
    <x v="1095"/>
    <s v="0.0"/>
    <x v="0"/>
    <x v="0"/>
  </r>
  <r>
    <n v="2427"/>
    <x v="263"/>
    <s v="Customer payment received"/>
    <x v="273"/>
    <s v="1097.13"/>
    <x v="2"/>
    <x v="0"/>
  </r>
  <r>
    <n v="2428"/>
    <x v="263"/>
    <s v="Supplier invoice received"/>
    <x v="445"/>
    <s v="0.0"/>
    <x v="9"/>
    <x v="4"/>
  </r>
  <r>
    <n v="2428"/>
    <x v="263"/>
    <s v="Supplier invoice received"/>
    <x v="446"/>
    <s v="0.0"/>
    <x v="10"/>
    <x v="0"/>
  </r>
  <r>
    <n v="2428"/>
    <x v="263"/>
    <s v="Supplier invoice received"/>
    <x v="273"/>
    <s v="1794.11"/>
    <x v="11"/>
    <x v="3"/>
  </r>
  <r>
    <n v="2429"/>
    <x v="263"/>
    <s v="Supplier invoice received"/>
    <x v="284"/>
    <s v="0.0"/>
    <x v="9"/>
    <x v="4"/>
  </r>
  <r>
    <n v="2429"/>
    <x v="263"/>
    <s v="Supplier invoice received"/>
    <x v="285"/>
    <s v="0.0"/>
    <x v="10"/>
    <x v="0"/>
  </r>
  <r>
    <n v="2429"/>
    <x v="263"/>
    <s v="Supplier invoice received"/>
    <x v="273"/>
    <s v="9336.67"/>
    <x v="11"/>
    <x v="3"/>
  </r>
  <r>
    <n v="2430"/>
    <x v="264"/>
    <s v="Sales invoice issued"/>
    <x v="1126"/>
    <s v="0.0"/>
    <x v="2"/>
    <x v="0"/>
  </r>
  <r>
    <n v="2430"/>
    <x v="264"/>
    <s v="Sales invoice issued"/>
    <x v="273"/>
    <s v="6130.52"/>
    <x v="3"/>
    <x v="2"/>
  </r>
  <r>
    <n v="2430"/>
    <x v="264"/>
    <s v="Sales invoice issued"/>
    <x v="273"/>
    <s v="459.79"/>
    <x v="4"/>
    <x v="3"/>
  </r>
  <r>
    <n v="2431"/>
    <x v="264"/>
    <s v="Sales invoice issued"/>
    <x v="1127"/>
    <s v="0.0"/>
    <x v="2"/>
    <x v="0"/>
  </r>
  <r>
    <n v="2431"/>
    <x v="264"/>
    <s v="Sales invoice issued"/>
    <x v="273"/>
    <s v="3629.26"/>
    <x v="3"/>
    <x v="2"/>
  </r>
  <r>
    <n v="2431"/>
    <x v="264"/>
    <s v="Sales invoice issued"/>
    <x v="273"/>
    <s v="272.19"/>
    <x v="4"/>
    <x v="3"/>
  </r>
  <r>
    <n v="2432"/>
    <x v="264"/>
    <s v="Sales invoice issued"/>
    <x v="1128"/>
    <s v="0.0"/>
    <x v="2"/>
    <x v="0"/>
  </r>
  <r>
    <n v="2432"/>
    <x v="264"/>
    <s v="Sales invoice issued"/>
    <x v="273"/>
    <s v="7006.0"/>
    <x v="3"/>
    <x v="2"/>
  </r>
  <r>
    <n v="2432"/>
    <x v="264"/>
    <s v="Sales invoice issued"/>
    <x v="273"/>
    <s v="525.45"/>
    <x v="4"/>
    <x v="3"/>
  </r>
  <r>
    <n v="2433"/>
    <x v="264"/>
    <s v="Sales invoice issued"/>
    <x v="1129"/>
    <s v="0.0"/>
    <x v="2"/>
    <x v="0"/>
  </r>
  <r>
    <n v="2433"/>
    <x v="264"/>
    <s v="Sales invoice issued"/>
    <x v="273"/>
    <s v="4169.41"/>
    <x v="3"/>
    <x v="2"/>
  </r>
  <r>
    <n v="2433"/>
    <x v="264"/>
    <s v="Sales invoice issued"/>
    <x v="273"/>
    <s v="312.7"/>
    <x v="4"/>
    <x v="3"/>
  </r>
  <r>
    <n v="2434"/>
    <x v="264"/>
    <s v="Customer payment received"/>
    <x v="998"/>
    <s v="0.0"/>
    <x v="0"/>
    <x v="0"/>
  </r>
  <r>
    <n v="2434"/>
    <x v="264"/>
    <s v="Customer payment received"/>
    <x v="273"/>
    <s v="2058.26"/>
    <x v="2"/>
    <x v="0"/>
  </r>
  <r>
    <n v="2435"/>
    <x v="264"/>
    <s v="Customer payment received"/>
    <x v="1000"/>
    <s v="0.0"/>
    <x v="0"/>
    <x v="0"/>
  </r>
  <r>
    <n v="2435"/>
    <x v="264"/>
    <s v="Customer payment received"/>
    <x v="273"/>
    <s v="3253.17"/>
    <x v="2"/>
    <x v="0"/>
  </r>
  <r>
    <n v="2436"/>
    <x v="264"/>
    <s v="Customer payment received"/>
    <x v="1008"/>
    <s v="0.0"/>
    <x v="0"/>
    <x v="0"/>
  </r>
  <r>
    <n v="2436"/>
    <x v="264"/>
    <s v="Customer payment received"/>
    <x v="273"/>
    <s v="425.32"/>
    <x v="2"/>
    <x v="0"/>
  </r>
  <r>
    <n v="2437"/>
    <x v="264"/>
    <s v="Customer payment received"/>
    <x v="1014"/>
    <s v="0.0"/>
    <x v="0"/>
    <x v="0"/>
  </r>
  <r>
    <n v="2437"/>
    <x v="264"/>
    <s v="Customer payment received"/>
    <x v="273"/>
    <s v="4629.84"/>
    <x v="2"/>
    <x v="0"/>
  </r>
  <r>
    <n v="2438"/>
    <x v="264"/>
    <s v="Customer payment received"/>
    <x v="1037"/>
    <s v="0.0"/>
    <x v="0"/>
    <x v="0"/>
  </r>
  <r>
    <n v="2438"/>
    <x v="264"/>
    <s v="Customer payment received"/>
    <x v="273"/>
    <s v="2790.56"/>
    <x v="2"/>
    <x v="0"/>
  </r>
  <r>
    <n v="2439"/>
    <x v="264"/>
    <s v="Customer payment received"/>
    <x v="715"/>
    <s v="0.0"/>
    <x v="0"/>
    <x v="0"/>
  </r>
  <r>
    <n v="2439"/>
    <x v="264"/>
    <s v="Customer payment received"/>
    <x v="273"/>
    <s v="256.97"/>
    <x v="2"/>
    <x v="0"/>
  </r>
  <r>
    <n v="2440"/>
    <x v="264"/>
    <s v="Customer payment received"/>
    <x v="1074"/>
    <s v="0.0"/>
    <x v="0"/>
    <x v="0"/>
  </r>
  <r>
    <n v="2440"/>
    <x v="264"/>
    <s v="Customer payment received"/>
    <x v="273"/>
    <s v="2485.79"/>
    <x v="2"/>
    <x v="0"/>
  </r>
  <r>
    <n v="2441"/>
    <x v="264"/>
    <s v="Customer payment received"/>
    <x v="1106"/>
    <s v="0.0"/>
    <x v="0"/>
    <x v="0"/>
  </r>
  <r>
    <n v="2441"/>
    <x v="264"/>
    <s v="Customer payment received"/>
    <x v="273"/>
    <s v="4647.29"/>
    <x v="2"/>
    <x v="0"/>
  </r>
  <r>
    <n v="2442"/>
    <x v="264"/>
    <s v="Customer payment received"/>
    <x v="1118"/>
    <s v="0.0"/>
    <x v="0"/>
    <x v="0"/>
  </r>
  <r>
    <n v="2442"/>
    <x v="264"/>
    <s v="Customer payment received"/>
    <x v="273"/>
    <s v="2391.36"/>
    <x v="2"/>
    <x v="0"/>
  </r>
  <r>
    <n v="2443"/>
    <x v="264"/>
    <s v="Supplier invoice received"/>
    <x v="383"/>
    <s v="0.0"/>
    <x v="9"/>
    <x v="4"/>
  </r>
  <r>
    <n v="2443"/>
    <x v="264"/>
    <s v="Supplier invoice received"/>
    <x v="384"/>
    <s v="0.0"/>
    <x v="10"/>
    <x v="0"/>
  </r>
  <r>
    <n v="2443"/>
    <x v="264"/>
    <s v="Supplier invoice received"/>
    <x v="273"/>
    <s v="3868.8"/>
    <x v="11"/>
    <x v="3"/>
  </r>
  <r>
    <n v="2444"/>
    <x v="264"/>
    <s v="Supplier invoice received"/>
    <x v="359"/>
    <s v="0.0"/>
    <x v="9"/>
    <x v="4"/>
  </r>
  <r>
    <n v="2444"/>
    <x v="264"/>
    <s v="Supplier invoice received"/>
    <x v="360"/>
    <s v="0.0"/>
    <x v="10"/>
    <x v="0"/>
  </r>
  <r>
    <n v="2444"/>
    <x v="264"/>
    <s v="Supplier invoice received"/>
    <x v="273"/>
    <s v="1591.54"/>
    <x v="11"/>
    <x v="3"/>
  </r>
  <r>
    <n v="2445"/>
    <x v="265"/>
    <s v="Sales invoice issued"/>
    <x v="1130"/>
    <s v="0.0"/>
    <x v="2"/>
    <x v="0"/>
  </r>
  <r>
    <n v="2445"/>
    <x v="265"/>
    <s v="Sales invoice issued"/>
    <x v="273"/>
    <s v="697.03"/>
    <x v="3"/>
    <x v="2"/>
  </r>
  <r>
    <n v="2445"/>
    <x v="265"/>
    <s v="Sales invoice issued"/>
    <x v="273"/>
    <s v="52.28"/>
    <x v="4"/>
    <x v="3"/>
  </r>
  <r>
    <n v="2446"/>
    <x v="265"/>
    <s v="Sales invoice issued"/>
    <x v="1131"/>
    <s v="0.0"/>
    <x v="2"/>
    <x v="0"/>
  </r>
  <r>
    <n v="2446"/>
    <x v="265"/>
    <s v="Sales invoice issued"/>
    <x v="273"/>
    <s v="2608.73"/>
    <x v="3"/>
    <x v="2"/>
  </r>
  <r>
    <n v="2446"/>
    <x v="265"/>
    <s v="Sales invoice issued"/>
    <x v="273"/>
    <s v="195.66"/>
    <x v="4"/>
    <x v="3"/>
  </r>
  <r>
    <n v="2447"/>
    <x v="265"/>
    <s v="Sales invoice issued"/>
    <x v="1132"/>
    <s v="0.0"/>
    <x v="2"/>
    <x v="0"/>
  </r>
  <r>
    <n v="2447"/>
    <x v="265"/>
    <s v="Sales invoice issued"/>
    <x v="273"/>
    <s v="2772.69"/>
    <x v="3"/>
    <x v="2"/>
  </r>
  <r>
    <n v="2447"/>
    <x v="265"/>
    <s v="Sales invoice issued"/>
    <x v="273"/>
    <s v="207.95"/>
    <x v="4"/>
    <x v="3"/>
  </r>
  <r>
    <n v="2448"/>
    <x v="265"/>
    <s v="Customer payment received"/>
    <x v="910"/>
    <s v="0.0"/>
    <x v="0"/>
    <x v="0"/>
  </r>
  <r>
    <n v="2448"/>
    <x v="265"/>
    <s v="Customer payment received"/>
    <x v="273"/>
    <s v="1629.28"/>
    <x v="2"/>
    <x v="0"/>
  </r>
  <r>
    <n v="2449"/>
    <x v="265"/>
    <s v="Customer payment received"/>
    <x v="924"/>
    <s v="0.0"/>
    <x v="0"/>
    <x v="0"/>
  </r>
  <r>
    <n v="2449"/>
    <x v="265"/>
    <s v="Customer payment received"/>
    <x v="273"/>
    <s v="3516.99"/>
    <x v="2"/>
    <x v="0"/>
  </r>
  <r>
    <n v="2450"/>
    <x v="265"/>
    <s v="Customer payment received"/>
    <x v="936"/>
    <s v="0.0"/>
    <x v="0"/>
    <x v="0"/>
  </r>
  <r>
    <n v="2450"/>
    <x v="265"/>
    <s v="Customer payment received"/>
    <x v="273"/>
    <s v="2791.97"/>
    <x v="2"/>
    <x v="0"/>
  </r>
  <r>
    <n v="2451"/>
    <x v="265"/>
    <s v="Customer payment received"/>
    <x v="1002"/>
    <s v="0.0"/>
    <x v="0"/>
    <x v="0"/>
  </r>
  <r>
    <n v="2451"/>
    <x v="265"/>
    <s v="Customer payment received"/>
    <x v="273"/>
    <s v="457.23"/>
    <x v="2"/>
    <x v="0"/>
  </r>
  <r>
    <n v="2452"/>
    <x v="265"/>
    <s v="Customer payment received"/>
    <x v="1007"/>
    <s v="0.0"/>
    <x v="0"/>
    <x v="0"/>
  </r>
  <r>
    <n v="2452"/>
    <x v="265"/>
    <s v="Customer payment received"/>
    <x v="273"/>
    <s v="5412.28"/>
    <x v="2"/>
    <x v="0"/>
  </r>
  <r>
    <n v="2453"/>
    <x v="265"/>
    <s v="Customer payment received"/>
    <x v="1133"/>
    <s v="0.0"/>
    <x v="0"/>
    <x v="0"/>
  </r>
  <r>
    <n v="2453"/>
    <x v="265"/>
    <s v="Customer payment received"/>
    <x v="273"/>
    <s v="2752.04"/>
    <x v="2"/>
    <x v="0"/>
  </r>
  <r>
    <n v="2454"/>
    <x v="265"/>
    <s v="Customer payment received"/>
    <x v="1034"/>
    <s v="0.0"/>
    <x v="0"/>
    <x v="0"/>
  </r>
  <r>
    <n v="2454"/>
    <x v="265"/>
    <s v="Customer payment received"/>
    <x v="273"/>
    <s v="1171.97"/>
    <x v="2"/>
    <x v="0"/>
  </r>
  <r>
    <n v="2455"/>
    <x v="265"/>
    <s v="Customer payment received"/>
    <x v="1038"/>
    <s v="0.0"/>
    <x v="0"/>
    <x v="0"/>
  </r>
  <r>
    <n v="2455"/>
    <x v="265"/>
    <s v="Customer payment received"/>
    <x v="273"/>
    <s v="1861.15"/>
    <x v="2"/>
    <x v="0"/>
  </r>
  <r>
    <n v="2456"/>
    <x v="265"/>
    <s v="Customer payment received"/>
    <x v="1100"/>
    <s v="0.0"/>
    <x v="0"/>
    <x v="0"/>
  </r>
  <r>
    <n v="2456"/>
    <x v="265"/>
    <s v="Customer payment received"/>
    <x v="273"/>
    <s v="3705.14"/>
    <x v="2"/>
    <x v="0"/>
  </r>
  <r>
    <n v="2457"/>
    <x v="265"/>
    <s v="Supplier invoice received"/>
    <x v="374"/>
    <s v="0.0"/>
    <x v="9"/>
    <x v="4"/>
  </r>
  <r>
    <n v="2457"/>
    <x v="265"/>
    <s v="Supplier invoice received"/>
    <x v="375"/>
    <s v="0.0"/>
    <x v="10"/>
    <x v="0"/>
  </r>
  <r>
    <n v="2457"/>
    <x v="265"/>
    <s v="Supplier invoice received"/>
    <x v="273"/>
    <s v="2504.23"/>
    <x v="11"/>
    <x v="3"/>
  </r>
  <r>
    <n v="2458"/>
    <x v="265"/>
    <s v="Supplier invoice received"/>
    <x v="366"/>
    <s v="0.0"/>
    <x v="9"/>
    <x v="4"/>
  </r>
  <r>
    <n v="2458"/>
    <x v="265"/>
    <s v="Supplier invoice received"/>
    <x v="367"/>
    <s v="0.0"/>
    <x v="10"/>
    <x v="0"/>
  </r>
  <r>
    <n v="2458"/>
    <x v="265"/>
    <s v="Supplier invoice received"/>
    <x v="273"/>
    <s v="201.5"/>
    <x v="11"/>
    <x v="3"/>
  </r>
  <r>
    <n v="2459"/>
    <x v="265"/>
    <s v="Supplier invoice received"/>
    <x v="441"/>
    <s v="0.0"/>
    <x v="9"/>
    <x v="4"/>
  </r>
  <r>
    <n v="2459"/>
    <x v="265"/>
    <s v="Supplier invoice received"/>
    <x v="442"/>
    <s v="0.0"/>
    <x v="10"/>
    <x v="0"/>
  </r>
  <r>
    <n v="2459"/>
    <x v="265"/>
    <s v="Supplier invoice received"/>
    <x v="273"/>
    <s v="179.01"/>
    <x v="11"/>
    <x v="3"/>
  </r>
  <r>
    <n v="2460"/>
    <x v="265"/>
    <s v="Supplier invoice received"/>
    <x v="443"/>
    <s v="0.0"/>
    <x v="9"/>
    <x v="4"/>
  </r>
  <r>
    <n v="2460"/>
    <x v="265"/>
    <s v="Supplier invoice received"/>
    <x v="444"/>
    <s v="0.0"/>
    <x v="10"/>
    <x v="0"/>
  </r>
  <r>
    <n v="2460"/>
    <x v="265"/>
    <s v="Supplier invoice received"/>
    <x v="273"/>
    <s v="748.26"/>
    <x v="11"/>
    <x v="3"/>
  </r>
  <r>
    <n v="2461"/>
    <x v="265"/>
    <s v="Supplier invoice received"/>
    <x v="303"/>
    <s v="0.0"/>
    <x v="9"/>
    <x v="4"/>
  </r>
  <r>
    <n v="2461"/>
    <x v="265"/>
    <s v="Supplier invoice received"/>
    <x v="304"/>
    <s v="0.0"/>
    <x v="10"/>
    <x v="0"/>
  </r>
  <r>
    <n v="2461"/>
    <x v="265"/>
    <s v="Supplier invoice received"/>
    <x v="273"/>
    <s v="550.4"/>
    <x v="11"/>
    <x v="3"/>
  </r>
  <r>
    <n v="2462"/>
    <x v="265"/>
    <s v="Supplier invoice received"/>
    <x v="330"/>
    <s v="0.0"/>
    <x v="9"/>
    <x v="4"/>
  </r>
  <r>
    <n v="2462"/>
    <x v="265"/>
    <s v="Supplier invoice received"/>
    <x v="331"/>
    <s v="0.0"/>
    <x v="10"/>
    <x v="0"/>
  </r>
  <r>
    <n v="2462"/>
    <x v="265"/>
    <s v="Supplier invoice received"/>
    <x v="273"/>
    <s v="1935.04"/>
    <x v="11"/>
    <x v="3"/>
  </r>
  <r>
    <n v="2463"/>
    <x v="265"/>
    <s v="Supplier payment made"/>
    <x v="407"/>
    <s v="0.0"/>
    <x v="11"/>
    <x v="3"/>
  </r>
  <r>
    <n v="2463"/>
    <x v="265"/>
    <s v="Supplier payment made"/>
    <x v="273"/>
    <s v="201.5"/>
    <x v="0"/>
    <x v="0"/>
  </r>
  <r>
    <n v="2464"/>
    <x v="265"/>
    <s v="Supplier payment made"/>
    <x v="350"/>
    <s v="0.0"/>
    <x v="11"/>
    <x v="3"/>
  </r>
  <r>
    <n v="2464"/>
    <x v="265"/>
    <s v="Supplier payment made"/>
    <x v="273"/>
    <s v="1794.11"/>
    <x v="0"/>
    <x v="0"/>
  </r>
  <r>
    <n v="2465"/>
    <x v="265"/>
    <s v="Supplier payment made"/>
    <x v="335"/>
    <s v="0.0"/>
    <x v="11"/>
    <x v="3"/>
  </r>
  <r>
    <n v="2465"/>
    <x v="265"/>
    <s v="Supplier payment made"/>
    <x v="273"/>
    <s v="550.4"/>
    <x v="0"/>
    <x v="0"/>
  </r>
  <r>
    <n v="2466"/>
    <x v="266"/>
    <s v="Sales invoice issued"/>
    <x v="1134"/>
    <s v="0.0"/>
    <x v="2"/>
    <x v="0"/>
  </r>
  <r>
    <n v="2466"/>
    <x v="266"/>
    <s v="Sales invoice issued"/>
    <x v="273"/>
    <s v="3813.52"/>
    <x v="3"/>
    <x v="2"/>
  </r>
  <r>
    <n v="2466"/>
    <x v="266"/>
    <s v="Sales invoice issued"/>
    <x v="273"/>
    <s v="286.01"/>
    <x v="4"/>
    <x v="3"/>
  </r>
  <r>
    <n v="2467"/>
    <x v="266"/>
    <s v="Sales invoice issued"/>
    <x v="1135"/>
    <s v="0.0"/>
    <x v="2"/>
    <x v="0"/>
  </r>
  <r>
    <n v="2467"/>
    <x v="266"/>
    <s v="Sales invoice issued"/>
    <x v="273"/>
    <s v="805.25"/>
    <x v="3"/>
    <x v="2"/>
  </r>
  <r>
    <n v="2467"/>
    <x v="266"/>
    <s v="Sales invoice issued"/>
    <x v="273"/>
    <s v="60.39"/>
    <x v="4"/>
    <x v="3"/>
  </r>
  <r>
    <n v="2468"/>
    <x v="266"/>
    <s v="Sales invoice issued"/>
    <x v="1136"/>
    <s v="0.0"/>
    <x v="2"/>
    <x v="0"/>
  </r>
  <r>
    <n v="2468"/>
    <x v="266"/>
    <s v="Sales invoice issued"/>
    <x v="273"/>
    <s v="1674.11"/>
    <x v="3"/>
    <x v="2"/>
  </r>
  <r>
    <n v="2468"/>
    <x v="266"/>
    <s v="Sales invoice issued"/>
    <x v="273"/>
    <s v="125.56"/>
    <x v="4"/>
    <x v="3"/>
  </r>
  <r>
    <n v="2469"/>
    <x v="266"/>
    <s v="Customer payment received"/>
    <x v="984"/>
    <s v="0.0"/>
    <x v="0"/>
    <x v="0"/>
  </r>
  <r>
    <n v="2469"/>
    <x v="266"/>
    <s v="Customer payment received"/>
    <x v="273"/>
    <s v="1223.11"/>
    <x v="2"/>
    <x v="0"/>
  </r>
  <r>
    <n v="2470"/>
    <x v="266"/>
    <s v="Customer payment received"/>
    <x v="1045"/>
    <s v="0.0"/>
    <x v="0"/>
    <x v="0"/>
  </r>
  <r>
    <n v="2470"/>
    <x v="266"/>
    <s v="Customer payment received"/>
    <x v="273"/>
    <s v="46.39"/>
    <x v="2"/>
    <x v="0"/>
  </r>
  <r>
    <n v="2471"/>
    <x v="266"/>
    <s v="Customer payment received"/>
    <x v="1059"/>
    <s v="0.0"/>
    <x v="0"/>
    <x v="0"/>
  </r>
  <r>
    <n v="2471"/>
    <x v="266"/>
    <s v="Customer payment received"/>
    <x v="273"/>
    <s v="2436.73"/>
    <x v="2"/>
    <x v="0"/>
  </r>
  <r>
    <n v="2472"/>
    <x v="266"/>
    <s v="Customer payment received"/>
    <x v="1076"/>
    <s v="0.0"/>
    <x v="0"/>
    <x v="0"/>
  </r>
  <r>
    <n v="2472"/>
    <x v="266"/>
    <s v="Customer payment received"/>
    <x v="273"/>
    <s v="1712.72"/>
    <x v="2"/>
    <x v="0"/>
  </r>
  <r>
    <n v="2473"/>
    <x v="266"/>
    <s v="Customer payment received"/>
    <x v="1087"/>
    <s v="0.0"/>
    <x v="0"/>
    <x v="0"/>
  </r>
  <r>
    <n v="2473"/>
    <x v="266"/>
    <s v="Customer payment received"/>
    <x v="273"/>
    <s v="332.97"/>
    <x v="2"/>
    <x v="0"/>
  </r>
  <r>
    <n v="2474"/>
    <x v="266"/>
    <s v="Customer payment received"/>
    <x v="1111"/>
    <s v="0.0"/>
    <x v="0"/>
    <x v="0"/>
  </r>
  <r>
    <n v="2474"/>
    <x v="266"/>
    <s v="Customer payment received"/>
    <x v="273"/>
    <s v="2136.18"/>
    <x v="2"/>
    <x v="0"/>
  </r>
  <r>
    <n v="2475"/>
    <x v="266"/>
    <s v="Supplier invoice received"/>
    <x v="405"/>
    <s v="0.0"/>
    <x v="9"/>
    <x v="4"/>
  </r>
  <r>
    <n v="2475"/>
    <x v="266"/>
    <s v="Supplier invoice received"/>
    <x v="406"/>
    <s v="0.0"/>
    <x v="10"/>
    <x v="0"/>
  </r>
  <r>
    <n v="2475"/>
    <x v="266"/>
    <s v="Supplier invoice received"/>
    <x v="273"/>
    <s v="2635.36"/>
    <x v="11"/>
    <x v="3"/>
  </r>
  <r>
    <n v="2476"/>
    <x v="266"/>
    <s v="Supplier payment made"/>
    <x v="335"/>
    <s v="0.0"/>
    <x v="11"/>
    <x v="3"/>
  </r>
  <r>
    <n v="2476"/>
    <x v="266"/>
    <s v="Supplier payment made"/>
    <x v="273"/>
    <s v="550.4"/>
    <x v="0"/>
    <x v="0"/>
  </r>
  <r>
    <n v="2477"/>
    <x v="266"/>
    <s v="Supplier payment made"/>
    <x v="408"/>
    <s v="0.0"/>
    <x v="11"/>
    <x v="3"/>
  </r>
  <r>
    <n v="2477"/>
    <x v="266"/>
    <s v="Supplier payment made"/>
    <x v="273"/>
    <s v="3868.8"/>
    <x v="0"/>
    <x v="0"/>
  </r>
  <r>
    <n v="2478"/>
    <x v="266"/>
    <s v="Supplier payment made"/>
    <x v="424"/>
    <s v="0.0"/>
    <x v="11"/>
    <x v="3"/>
  </r>
  <r>
    <n v="2478"/>
    <x v="266"/>
    <s v="Supplier payment made"/>
    <x v="273"/>
    <s v="1591.54"/>
    <x v="0"/>
    <x v="0"/>
  </r>
  <r>
    <n v="2479"/>
    <x v="267"/>
    <s v="Customer payment received"/>
    <x v="955"/>
    <s v="0.0"/>
    <x v="0"/>
    <x v="0"/>
  </r>
  <r>
    <n v="2479"/>
    <x v="267"/>
    <s v="Customer payment received"/>
    <x v="273"/>
    <s v="2997.32"/>
    <x v="2"/>
    <x v="0"/>
  </r>
  <r>
    <n v="2480"/>
    <x v="267"/>
    <s v="Customer payment received"/>
    <x v="966"/>
    <s v="0.0"/>
    <x v="0"/>
    <x v="0"/>
  </r>
  <r>
    <n v="2480"/>
    <x v="267"/>
    <s v="Customer payment received"/>
    <x v="273"/>
    <s v="805.75"/>
    <x v="2"/>
    <x v="0"/>
  </r>
  <r>
    <n v="2481"/>
    <x v="267"/>
    <s v="Customer payment received"/>
    <x v="985"/>
    <s v="0.0"/>
    <x v="0"/>
    <x v="0"/>
  </r>
  <r>
    <n v="2481"/>
    <x v="267"/>
    <s v="Customer payment received"/>
    <x v="273"/>
    <s v="180.07"/>
    <x v="2"/>
    <x v="0"/>
  </r>
  <r>
    <n v="2482"/>
    <x v="267"/>
    <s v="Customer payment received"/>
    <x v="989"/>
    <s v="0.0"/>
    <x v="0"/>
    <x v="0"/>
  </r>
  <r>
    <n v="2482"/>
    <x v="267"/>
    <s v="Customer payment received"/>
    <x v="273"/>
    <s v="884.74"/>
    <x v="2"/>
    <x v="0"/>
  </r>
  <r>
    <n v="2483"/>
    <x v="267"/>
    <s v="Customer payment received"/>
    <x v="1010"/>
    <s v="0.0"/>
    <x v="0"/>
    <x v="0"/>
  </r>
  <r>
    <n v="2483"/>
    <x v="267"/>
    <s v="Customer payment received"/>
    <x v="273"/>
    <s v="1842.96"/>
    <x v="2"/>
    <x v="0"/>
  </r>
  <r>
    <n v="2484"/>
    <x v="267"/>
    <s v="Customer payment received"/>
    <x v="1018"/>
    <s v="0.0"/>
    <x v="0"/>
    <x v="0"/>
  </r>
  <r>
    <n v="2484"/>
    <x v="267"/>
    <s v="Customer payment received"/>
    <x v="273"/>
    <s v="4065.83"/>
    <x v="2"/>
    <x v="0"/>
  </r>
  <r>
    <n v="2485"/>
    <x v="267"/>
    <s v="Customer payment received"/>
    <x v="1046"/>
    <s v="0.0"/>
    <x v="0"/>
    <x v="0"/>
  </r>
  <r>
    <n v="2485"/>
    <x v="267"/>
    <s v="Customer payment received"/>
    <x v="273"/>
    <s v="4432.76"/>
    <x v="2"/>
    <x v="0"/>
  </r>
  <r>
    <n v="2486"/>
    <x v="267"/>
    <s v="Customer payment received"/>
    <x v="1116"/>
    <s v="0.0"/>
    <x v="0"/>
    <x v="0"/>
  </r>
  <r>
    <n v="2486"/>
    <x v="267"/>
    <s v="Customer payment received"/>
    <x v="273"/>
    <s v="7563.55"/>
    <x v="2"/>
    <x v="0"/>
  </r>
  <r>
    <n v="2487"/>
    <x v="267"/>
    <s v="Customer payment received"/>
    <x v="1120"/>
    <s v="0.0"/>
    <x v="0"/>
    <x v="0"/>
  </r>
  <r>
    <n v="2487"/>
    <x v="267"/>
    <s v="Customer payment received"/>
    <x v="273"/>
    <s v="2737.13"/>
    <x v="2"/>
    <x v="0"/>
  </r>
  <r>
    <n v="2488"/>
    <x v="267"/>
    <s v="Supplier payment made"/>
    <x v="392"/>
    <s v="0.0"/>
    <x v="11"/>
    <x v="3"/>
  </r>
  <r>
    <n v="2488"/>
    <x v="267"/>
    <s v="Supplier payment made"/>
    <x v="273"/>
    <s v="1023.42"/>
    <x v="0"/>
    <x v="0"/>
  </r>
  <r>
    <n v="2489"/>
    <x v="267"/>
    <s v="Supplier payment made"/>
    <x v="340"/>
    <s v="0.0"/>
    <x v="11"/>
    <x v="3"/>
  </r>
  <r>
    <n v="2489"/>
    <x v="267"/>
    <s v="Supplier payment made"/>
    <x v="273"/>
    <s v="1304.62"/>
    <x v="0"/>
    <x v="0"/>
  </r>
  <r>
    <n v="2490"/>
    <x v="267"/>
    <s v="Supplier payment made"/>
    <x v="327"/>
    <s v="0.0"/>
    <x v="11"/>
    <x v="3"/>
  </r>
  <r>
    <n v="2490"/>
    <x v="267"/>
    <s v="Supplier payment made"/>
    <x v="273"/>
    <s v="1935.04"/>
    <x v="0"/>
    <x v="0"/>
  </r>
  <r>
    <n v="2491"/>
    <x v="268"/>
    <s v="Sales invoice issued"/>
    <x v="1137"/>
    <s v="0.0"/>
    <x v="2"/>
    <x v="0"/>
  </r>
  <r>
    <n v="2491"/>
    <x v="268"/>
    <s v="Sales invoice issued"/>
    <x v="273"/>
    <s v="1155.5"/>
    <x v="3"/>
    <x v="2"/>
  </r>
  <r>
    <n v="2491"/>
    <x v="268"/>
    <s v="Sales invoice issued"/>
    <x v="273"/>
    <s v="86.67"/>
    <x v="4"/>
    <x v="3"/>
  </r>
  <r>
    <n v="2492"/>
    <x v="268"/>
    <s v="Sales invoice issued"/>
    <x v="1138"/>
    <s v="0.0"/>
    <x v="2"/>
    <x v="0"/>
  </r>
  <r>
    <n v="2492"/>
    <x v="268"/>
    <s v="Sales invoice issued"/>
    <x v="273"/>
    <s v="1636.49"/>
    <x v="3"/>
    <x v="2"/>
  </r>
  <r>
    <n v="2492"/>
    <x v="268"/>
    <s v="Sales invoice issued"/>
    <x v="273"/>
    <s v="122.74"/>
    <x v="4"/>
    <x v="3"/>
  </r>
  <r>
    <n v="2493"/>
    <x v="268"/>
    <s v="Sales invoice issued"/>
    <x v="1139"/>
    <s v="0.0"/>
    <x v="2"/>
    <x v="0"/>
  </r>
  <r>
    <n v="2493"/>
    <x v="268"/>
    <s v="Sales invoice issued"/>
    <x v="273"/>
    <s v="1155.07"/>
    <x v="3"/>
    <x v="2"/>
  </r>
  <r>
    <n v="2493"/>
    <x v="268"/>
    <s v="Sales invoice issued"/>
    <x v="273"/>
    <s v="86.63"/>
    <x v="4"/>
    <x v="3"/>
  </r>
  <r>
    <n v="2494"/>
    <x v="268"/>
    <s v="Sales invoice issued"/>
    <x v="1140"/>
    <s v="0.0"/>
    <x v="2"/>
    <x v="0"/>
  </r>
  <r>
    <n v="2494"/>
    <x v="268"/>
    <s v="Sales invoice issued"/>
    <x v="273"/>
    <s v="2073.27"/>
    <x v="3"/>
    <x v="2"/>
  </r>
  <r>
    <n v="2494"/>
    <x v="268"/>
    <s v="Sales invoice issued"/>
    <x v="273"/>
    <s v="155.49"/>
    <x v="4"/>
    <x v="3"/>
  </r>
  <r>
    <n v="2495"/>
    <x v="268"/>
    <s v="Customer payment received"/>
    <x v="969"/>
    <s v="0.0"/>
    <x v="0"/>
    <x v="0"/>
  </r>
  <r>
    <n v="2495"/>
    <x v="268"/>
    <s v="Customer payment received"/>
    <x v="273"/>
    <s v="839.2"/>
    <x v="2"/>
    <x v="0"/>
  </r>
  <r>
    <n v="2496"/>
    <x v="268"/>
    <s v="Customer payment received"/>
    <x v="1003"/>
    <s v="0.0"/>
    <x v="0"/>
    <x v="0"/>
  </r>
  <r>
    <n v="2496"/>
    <x v="268"/>
    <s v="Customer payment received"/>
    <x v="273"/>
    <s v="1703.94"/>
    <x v="2"/>
    <x v="0"/>
  </r>
  <r>
    <n v="2497"/>
    <x v="268"/>
    <s v="Customer payment received"/>
    <x v="1051"/>
    <s v="0.0"/>
    <x v="0"/>
    <x v="0"/>
  </r>
  <r>
    <n v="2497"/>
    <x v="268"/>
    <s v="Customer payment received"/>
    <x v="273"/>
    <s v="1883.96"/>
    <x v="2"/>
    <x v="0"/>
  </r>
  <r>
    <n v="2498"/>
    <x v="268"/>
    <s v="Customer payment received"/>
    <x v="1119"/>
    <s v="0.0"/>
    <x v="0"/>
    <x v="0"/>
  </r>
  <r>
    <n v="2498"/>
    <x v="268"/>
    <s v="Customer payment received"/>
    <x v="273"/>
    <s v="1962.59"/>
    <x v="2"/>
    <x v="0"/>
  </r>
  <r>
    <n v="2499"/>
    <x v="268"/>
    <s v="Supplier payment made"/>
    <x v="292"/>
    <s v="0.0"/>
    <x v="11"/>
    <x v="3"/>
  </r>
  <r>
    <n v="2499"/>
    <x v="268"/>
    <s v="Supplier payment made"/>
    <x v="273"/>
    <s v="1766.46"/>
    <x v="0"/>
    <x v="0"/>
  </r>
  <r>
    <n v="2500"/>
    <x v="268"/>
    <s v="Supplier payment made"/>
    <x v="496"/>
    <s v="0.0"/>
    <x v="11"/>
    <x v="3"/>
  </r>
  <r>
    <n v="2500"/>
    <x v="268"/>
    <s v="Supplier payment made"/>
    <x v="273"/>
    <s v="7227.44"/>
    <x v="0"/>
    <x v="0"/>
  </r>
  <r>
    <n v="2501"/>
    <x v="268"/>
    <s v="Supplier payment made"/>
    <x v="350"/>
    <s v="0.0"/>
    <x v="11"/>
    <x v="3"/>
  </r>
  <r>
    <n v="2501"/>
    <x v="268"/>
    <s v="Supplier payment made"/>
    <x v="273"/>
    <s v="1794.11"/>
    <x v="0"/>
    <x v="0"/>
  </r>
  <r>
    <n v="2502"/>
    <x v="269"/>
    <s v="Sales invoice issued"/>
    <x v="1141"/>
    <s v="0.0"/>
    <x v="2"/>
    <x v="0"/>
  </r>
  <r>
    <n v="2502"/>
    <x v="269"/>
    <s v="Sales invoice issued"/>
    <x v="273"/>
    <s v="2322.85"/>
    <x v="3"/>
    <x v="2"/>
  </r>
  <r>
    <n v="2502"/>
    <x v="269"/>
    <s v="Sales invoice issued"/>
    <x v="273"/>
    <s v="174.22"/>
    <x v="4"/>
    <x v="3"/>
  </r>
  <r>
    <n v="2503"/>
    <x v="269"/>
    <s v="Sales invoice issued"/>
    <x v="1142"/>
    <s v="0.0"/>
    <x v="2"/>
    <x v="0"/>
  </r>
  <r>
    <n v="2503"/>
    <x v="269"/>
    <s v="Sales invoice issued"/>
    <x v="273"/>
    <s v="1082.14"/>
    <x v="3"/>
    <x v="2"/>
  </r>
  <r>
    <n v="2503"/>
    <x v="269"/>
    <s v="Sales invoice issued"/>
    <x v="273"/>
    <s v="81.16"/>
    <x v="4"/>
    <x v="3"/>
  </r>
  <r>
    <n v="2504"/>
    <x v="269"/>
    <s v="Sales invoice issued"/>
    <x v="1143"/>
    <s v="0.0"/>
    <x v="2"/>
    <x v="0"/>
  </r>
  <r>
    <n v="2504"/>
    <x v="269"/>
    <s v="Sales invoice issued"/>
    <x v="273"/>
    <s v="1199.28"/>
    <x v="3"/>
    <x v="2"/>
  </r>
  <r>
    <n v="2504"/>
    <x v="269"/>
    <s v="Sales invoice issued"/>
    <x v="273"/>
    <s v="89.94"/>
    <x v="4"/>
    <x v="3"/>
  </r>
  <r>
    <n v="2505"/>
    <x v="269"/>
    <s v="Sales invoice issued"/>
    <x v="1144"/>
    <s v="0.0"/>
    <x v="2"/>
    <x v="0"/>
  </r>
  <r>
    <n v="2505"/>
    <x v="269"/>
    <s v="Sales invoice issued"/>
    <x v="273"/>
    <s v="2749.45"/>
    <x v="3"/>
    <x v="2"/>
  </r>
  <r>
    <n v="2505"/>
    <x v="269"/>
    <s v="Sales invoice issued"/>
    <x v="273"/>
    <s v="206.2"/>
    <x v="4"/>
    <x v="3"/>
  </r>
  <r>
    <n v="2506"/>
    <x v="269"/>
    <s v="Sales invoice issued"/>
    <x v="1145"/>
    <s v="0.0"/>
    <x v="2"/>
    <x v="0"/>
  </r>
  <r>
    <n v="2506"/>
    <x v="269"/>
    <s v="Sales invoice issued"/>
    <x v="273"/>
    <s v="1953.66"/>
    <x v="3"/>
    <x v="2"/>
  </r>
  <r>
    <n v="2506"/>
    <x v="269"/>
    <s v="Sales invoice issued"/>
    <x v="273"/>
    <s v="146.53"/>
    <x v="4"/>
    <x v="3"/>
  </r>
  <r>
    <n v="2507"/>
    <x v="269"/>
    <s v="Sales invoice issued"/>
    <x v="1146"/>
    <s v="0.0"/>
    <x v="2"/>
    <x v="0"/>
  </r>
  <r>
    <n v="2507"/>
    <x v="269"/>
    <s v="Sales invoice issued"/>
    <x v="273"/>
    <s v="3181.17"/>
    <x v="3"/>
    <x v="2"/>
  </r>
  <r>
    <n v="2507"/>
    <x v="269"/>
    <s v="Sales invoice issued"/>
    <x v="273"/>
    <s v="238.59"/>
    <x v="4"/>
    <x v="3"/>
  </r>
  <r>
    <n v="2508"/>
    <x v="269"/>
    <s v="Customer payment received"/>
    <x v="896"/>
    <s v="0.0"/>
    <x v="0"/>
    <x v="0"/>
  </r>
  <r>
    <n v="2508"/>
    <x v="269"/>
    <s v="Customer payment received"/>
    <x v="273"/>
    <s v="780.9"/>
    <x v="2"/>
    <x v="0"/>
  </r>
  <r>
    <n v="2509"/>
    <x v="269"/>
    <s v="Customer payment received"/>
    <x v="925"/>
    <s v="0.0"/>
    <x v="0"/>
    <x v="0"/>
  </r>
  <r>
    <n v="2509"/>
    <x v="269"/>
    <s v="Customer payment received"/>
    <x v="273"/>
    <s v="5173.53"/>
    <x v="2"/>
    <x v="0"/>
  </r>
  <r>
    <n v="2510"/>
    <x v="269"/>
    <s v="Customer payment received"/>
    <x v="1054"/>
    <s v="0.0"/>
    <x v="0"/>
    <x v="0"/>
  </r>
  <r>
    <n v="2510"/>
    <x v="269"/>
    <s v="Customer payment received"/>
    <x v="273"/>
    <s v="3429.55"/>
    <x v="2"/>
    <x v="0"/>
  </r>
  <r>
    <n v="2511"/>
    <x v="269"/>
    <s v="Customer payment received"/>
    <x v="1075"/>
    <s v="0.0"/>
    <x v="0"/>
    <x v="0"/>
  </r>
  <r>
    <n v="2511"/>
    <x v="269"/>
    <s v="Customer payment received"/>
    <x v="273"/>
    <s v="2277.95"/>
    <x v="2"/>
    <x v="0"/>
  </r>
  <r>
    <n v="2512"/>
    <x v="269"/>
    <s v="Customer payment received"/>
    <x v="1114"/>
    <s v="0.0"/>
    <x v="0"/>
    <x v="0"/>
  </r>
  <r>
    <n v="2512"/>
    <x v="269"/>
    <s v="Customer payment received"/>
    <x v="273"/>
    <s v="468.8"/>
    <x v="2"/>
    <x v="0"/>
  </r>
  <r>
    <n v="2513"/>
    <x v="269"/>
    <s v="Customer payment received"/>
    <x v="1122"/>
    <s v="0.0"/>
    <x v="0"/>
    <x v="0"/>
  </r>
  <r>
    <n v="2513"/>
    <x v="269"/>
    <s v="Customer payment received"/>
    <x v="273"/>
    <s v="2582.76"/>
    <x v="2"/>
    <x v="0"/>
  </r>
  <r>
    <n v="2514"/>
    <x v="269"/>
    <s v="Customer payment received"/>
    <x v="1138"/>
    <s v="0.0"/>
    <x v="0"/>
    <x v="0"/>
  </r>
  <r>
    <n v="2514"/>
    <x v="269"/>
    <s v="Customer payment received"/>
    <x v="273"/>
    <s v="1759.23"/>
    <x v="2"/>
    <x v="0"/>
  </r>
  <r>
    <n v="2515"/>
    <x v="269"/>
    <s v="Supplier invoice received"/>
    <x v="332"/>
    <s v="0.0"/>
    <x v="9"/>
    <x v="4"/>
  </r>
  <r>
    <n v="2515"/>
    <x v="269"/>
    <s v="Supplier invoice received"/>
    <x v="333"/>
    <s v="0.0"/>
    <x v="10"/>
    <x v="0"/>
  </r>
  <r>
    <n v="2515"/>
    <x v="269"/>
    <s v="Supplier invoice received"/>
    <x v="273"/>
    <s v="1023.42"/>
    <x v="11"/>
    <x v="3"/>
  </r>
  <r>
    <n v="2516"/>
    <x v="269"/>
    <s v="Supplier payment made"/>
    <x v="393"/>
    <s v="0.0"/>
    <x v="11"/>
    <x v="3"/>
  </r>
  <r>
    <n v="2516"/>
    <x v="269"/>
    <s v="Supplier payment made"/>
    <x v="273"/>
    <s v="412.54"/>
    <x v="0"/>
    <x v="0"/>
  </r>
  <r>
    <n v="2517"/>
    <x v="269"/>
    <s v="Supplier payment made"/>
    <x v="504"/>
    <s v="0.0"/>
    <x v="11"/>
    <x v="3"/>
  </r>
  <r>
    <n v="2517"/>
    <x v="269"/>
    <s v="Supplier payment made"/>
    <x v="273"/>
    <s v="1958.74"/>
    <x v="0"/>
    <x v="0"/>
  </r>
  <r>
    <n v="2518"/>
    <x v="269"/>
    <s v="Supplier payment made"/>
    <x v="309"/>
    <s v="0.0"/>
    <x v="11"/>
    <x v="3"/>
  </r>
  <r>
    <n v="2518"/>
    <x v="269"/>
    <s v="Supplier payment made"/>
    <x v="273"/>
    <s v="4812.46"/>
    <x v="0"/>
    <x v="0"/>
  </r>
  <r>
    <n v="2519"/>
    <x v="270"/>
    <s v="Sales invoice issued"/>
    <x v="1147"/>
    <s v="0.0"/>
    <x v="2"/>
    <x v="0"/>
  </r>
  <r>
    <n v="2519"/>
    <x v="270"/>
    <s v="Sales invoice issued"/>
    <x v="273"/>
    <s v="1907.59"/>
    <x v="3"/>
    <x v="2"/>
  </r>
  <r>
    <n v="2519"/>
    <x v="270"/>
    <s v="Sales invoice issued"/>
    <x v="273"/>
    <s v="143.06"/>
    <x v="4"/>
    <x v="3"/>
  </r>
  <r>
    <n v="2520"/>
    <x v="270"/>
    <s v="Sales invoice issued"/>
    <x v="1148"/>
    <s v="0.0"/>
    <x v="2"/>
    <x v="0"/>
  </r>
  <r>
    <n v="2520"/>
    <x v="270"/>
    <s v="Sales invoice issued"/>
    <x v="273"/>
    <s v="2764.06"/>
    <x v="3"/>
    <x v="2"/>
  </r>
  <r>
    <n v="2520"/>
    <x v="270"/>
    <s v="Sales invoice issued"/>
    <x v="273"/>
    <s v="207.31"/>
    <x v="4"/>
    <x v="3"/>
  </r>
  <r>
    <n v="2521"/>
    <x v="270"/>
    <s v="Customer payment received"/>
    <x v="940"/>
    <s v="0.0"/>
    <x v="0"/>
    <x v="0"/>
  </r>
  <r>
    <n v="2521"/>
    <x v="270"/>
    <s v="Customer payment received"/>
    <x v="273"/>
    <s v="3366.63"/>
    <x v="2"/>
    <x v="0"/>
  </r>
  <r>
    <n v="2522"/>
    <x v="270"/>
    <s v="Customer payment received"/>
    <x v="1149"/>
    <s v="0.0"/>
    <x v="0"/>
    <x v="0"/>
  </r>
  <r>
    <n v="2522"/>
    <x v="270"/>
    <s v="Customer payment received"/>
    <x v="273"/>
    <s v="1196.63"/>
    <x v="2"/>
    <x v="0"/>
  </r>
  <r>
    <n v="2523"/>
    <x v="270"/>
    <s v="Customer payment received"/>
    <x v="1031"/>
    <s v="0.0"/>
    <x v="0"/>
    <x v="0"/>
  </r>
  <r>
    <n v="2523"/>
    <x v="270"/>
    <s v="Customer payment received"/>
    <x v="273"/>
    <s v="1109.7"/>
    <x v="2"/>
    <x v="0"/>
  </r>
  <r>
    <n v="2524"/>
    <x v="270"/>
    <s v="Customer payment received"/>
    <x v="1086"/>
    <s v="0.0"/>
    <x v="0"/>
    <x v="0"/>
  </r>
  <r>
    <n v="2524"/>
    <x v="270"/>
    <s v="Customer payment received"/>
    <x v="273"/>
    <s v="4269.35"/>
    <x v="2"/>
    <x v="0"/>
  </r>
  <r>
    <n v="2525"/>
    <x v="270"/>
    <s v="Customer payment received"/>
    <x v="1150"/>
    <s v="0.0"/>
    <x v="0"/>
    <x v="0"/>
  </r>
  <r>
    <n v="2525"/>
    <x v="270"/>
    <s v="Customer payment received"/>
    <x v="273"/>
    <s v="603.03"/>
    <x v="2"/>
    <x v="0"/>
  </r>
  <r>
    <n v="2526"/>
    <x v="270"/>
    <s v="Supplier invoice received"/>
    <x v="297"/>
    <s v="0.0"/>
    <x v="9"/>
    <x v="4"/>
  </r>
  <r>
    <n v="2526"/>
    <x v="270"/>
    <s v="Supplier invoice received"/>
    <x v="298"/>
    <s v="0.0"/>
    <x v="10"/>
    <x v="0"/>
  </r>
  <r>
    <n v="2526"/>
    <x v="270"/>
    <s v="Supplier invoice received"/>
    <x v="273"/>
    <s v="3528.97"/>
    <x v="11"/>
    <x v="3"/>
  </r>
  <r>
    <n v="2527"/>
    <x v="270"/>
    <s v="Supplier invoice received"/>
    <x v="299"/>
    <s v="0.0"/>
    <x v="9"/>
    <x v="4"/>
  </r>
  <r>
    <n v="2527"/>
    <x v="270"/>
    <s v="Supplier invoice received"/>
    <x v="300"/>
    <s v="0.0"/>
    <x v="10"/>
    <x v="0"/>
  </r>
  <r>
    <n v="2527"/>
    <x v="270"/>
    <s v="Supplier invoice received"/>
    <x v="273"/>
    <s v="2918.17"/>
    <x v="11"/>
    <x v="3"/>
  </r>
  <r>
    <n v="2528"/>
    <x v="270"/>
    <s v="Supplier invoice received"/>
    <x v="301"/>
    <s v="0.0"/>
    <x v="9"/>
    <x v="4"/>
  </r>
  <r>
    <n v="2528"/>
    <x v="270"/>
    <s v="Supplier invoice received"/>
    <x v="302"/>
    <s v="0.0"/>
    <x v="10"/>
    <x v="0"/>
  </r>
  <r>
    <n v="2528"/>
    <x v="270"/>
    <s v="Supplier invoice received"/>
    <x v="273"/>
    <s v="4812.46"/>
    <x v="11"/>
    <x v="3"/>
  </r>
  <r>
    <n v="2529"/>
    <x v="270"/>
    <s v="Supplier invoice received"/>
    <x v="338"/>
    <s v="0.0"/>
    <x v="9"/>
    <x v="4"/>
  </r>
  <r>
    <n v="2529"/>
    <x v="270"/>
    <s v="Supplier invoice received"/>
    <x v="339"/>
    <s v="0.0"/>
    <x v="10"/>
    <x v="0"/>
  </r>
  <r>
    <n v="2529"/>
    <x v="270"/>
    <s v="Supplier invoice received"/>
    <x v="273"/>
    <s v="1159.84"/>
    <x v="11"/>
    <x v="3"/>
  </r>
  <r>
    <n v="2530"/>
    <x v="270"/>
    <s v="Supplier invoice received"/>
    <x v="474"/>
    <s v="0.0"/>
    <x v="9"/>
    <x v="4"/>
  </r>
  <r>
    <n v="2530"/>
    <x v="270"/>
    <s v="Supplier invoice received"/>
    <x v="475"/>
    <s v="0.0"/>
    <x v="10"/>
    <x v="0"/>
  </r>
  <r>
    <n v="2530"/>
    <x v="270"/>
    <s v="Supplier invoice received"/>
    <x v="273"/>
    <s v="862.91"/>
    <x v="11"/>
    <x v="3"/>
  </r>
  <r>
    <n v="2531"/>
    <x v="270"/>
    <s v="Supplier payment made"/>
    <x v="334"/>
    <s v="0.0"/>
    <x v="11"/>
    <x v="3"/>
  </r>
  <r>
    <n v="2531"/>
    <x v="270"/>
    <s v="Supplier payment made"/>
    <x v="273"/>
    <s v="3528.97"/>
    <x v="0"/>
    <x v="0"/>
  </r>
  <r>
    <n v="2532"/>
    <x v="270"/>
    <s v="Supplier payment made"/>
    <x v="310"/>
    <s v="0.0"/>
    <x v="11"/>
    <x v="3"/>
  </r>
  <r>
    <n v="2532"/>
    <x v="270"/>
    <s v="Supplier payment made"/>
    <x v="273"/>
    <s v="276.32"/>
    <x v="0"/>
    <x v="0"/>
  </r>
  <r>
    <n v="2533"/>
    <x v="270"/>
    <s v="Supplier payment made"/>
    <x v="351"/>
    <s v="0.0"/>
    <x v="11"/>
    <x v="3"/>
  </r>
  <r>
    <n v="2533"/>
    <x v="270"/>
    <s v="Supplier payment made"/>
    <x v="273"/>
    <s v="179.01"/>
    <x v="0"/>
    <x v="0"/>
  </r>
  <r>
    <n v="2534"/>
    <x v="270"/>
    <s v="Supplier payment made"/>
    <x v="466"/>
    <s v="0.0"/>
    <x v="11"/>
    <x v="3"/>
  </r>
  <r>
    <n v="2534"/>
    <x v="270"/>
    <s v="Supplier payment made"/>
    <x v="273"/>
    <s v="748.26"/>
    <x v="0"/>
    <x v="0"/>
  </r>
  <r>
    <n v="2535"/>
    <x v="270"/>
    <s v="Supplier payment made"/>
    <x v="515"/>
    <s v="0.0"/>
    <x v="11"/>
    <x v="3"/>
  </r>
  <r>
    <n v="2535"/>
    <x v="270"/>
    <s v="Supplier payment made"/>
    <x v="273"/>
    <s v="862.91"/>
    <x v="0"/>
    <x v="0"/>
  </r>
  <r>
    <n v="2536"/>
    <x v="271"/>
    <s v="Sales invoice issued"/>
    <x v="1151"/>
    <s v="0.0"/>
    <x v="2"/>
    <x v="0"/>
  </r>
  <r>
    <n v="2536"/>
    <x v="271"/>
    <s v="Sales invoice issued"/>
    <x v="273"/>
    <s v="5457.9"/>
    <x v="3"/>
    <x v="2"/>
  </r>
  <r>
    <n v="2536"/>
    <x v="271"/>
    <s v="Sales invoice issued"/>
    <x v="273"/>
    <s v="409.34"/>
    <x v="4"/>
    <x v="3"/>
  </r>
  <r>
    <n v="2537"/>
    <x v="271"/>
    <s v="Customer payment received"/>
    <x v="907"/>
    <s v="0.0"/>
    <x v="0"/>
    <x v="0"/>
  </r>
  <r>
    <n v="2537"/>
    <x v="271"/>
    <s v="Customer payment received"/>
    <x v="273"/>
    <s v="930.57"/>
    <x v="2"/>
    <x v="0"/>
  </r>
  <r>
    <n v="2538"/>
    <x v="271"/>
    <s v="Customer payment received"/>
    <x v="993"/>
    <s v="0.0"/>
    <x v="0"/>
    <x v="0"/>
  </r>
  <r>
    <n v="2538"/>
    <x v="271"/>
    <s v="Customer payment received"/>
    <x v="273"/>
    <s v="971.82"/>
    <x v="2"/>
    <x v="0"/>
  </r>
  <r>
    <n v="2539"/>
    <x v="271"/>
    <s v="Customer payment received"/>
    <x v="1052"/>
    <s v="0.0"/>
    <x v="0"/>
    <x v="0"/>
  </r>
  <r>
    <n v="2539"/>
    <x v="271"/>
    <s v="Customer payment received"/>
    <x v="273"/>
    <s v="1216.37"/>
    <x v="2"/>
    <x v="0"/>
  </r>
  <r>
    <n v="2540"/>
    <x v="271"/>
    <s v="Customer payment received"/>
    <x v="1079"/>
    <s v="0.0"/>
    <x v="0"/>
    <x v="0"/>
  </r>
  <r>
    <n v="2540"/>
    <x v="271"/>
    <s v="Customer payment received"/>
    <x v="273"/>
    <s v="1836.55"/>
    <x v="2"/>
    <x v="0"/>
  </r>
  <r>
    <n v="2541"/>
    <x v="271"/>
    <s v="Customer payment received"/>
    <x v="1082"/>
    <s v="0.0"/>
    <x v="0"/>
    <x v="0"/>
  </r>
  <r>
    <n v="2541"/>
    <x v="271"/>
    <s v="Customer payment received"/>
    <x v="273"/>
    <s v="2591.45"/>
    <x v="2"/>
    <x v="0"/>
  </r>
  <r>
    <n v="2542"/>
    <x v="271"/>
    <s v="Customer payment received"/>
    <x v="1089"/>
    <s v="0.0"/>
    <x v="0"/>
    <x v="0"/>
  </r>
  <r>
    <n v="2542"/>
    <x v="271"/>
    <s v="Customer payment received"/>
    <x v="273"/>
    <s v="4345.68"/>
    <x v="2"/>
    <x v="0"/>
  </r>
  <r>
    <n v="2543"/>
    <x v="271"/>
    <s v="Customer payment received"/>
    <x v="1090"/>
    <s v="0.0"/>
    <x v="0"/>
    <x v="0"/>
  </r>
  <r>
    <n v="2543"/>
    <x v="271"/>
    <s v="Customer payment received"/>
    <x v="273"/>
    <s v="2446.46"/>
    <x v="2"/>
    <x v="0"/>
  </r>
  <r>
    <n v="2544"/>
    <x v="271"/>
    <s v="Customer payment received"/>
    <x v="1139"/>
    <s v="0.0"/>
    <x v="0"/>
    <x v="0"/>
  </r>
  <r>
    <n v="2544"/>
    <x v="271"/>
    <s v="Customer payment received"/>
    <x v="273"/>
    <s v="1241.7"/>
    <x v="2"/>
    <x v="0"/>
  </r>
  <r>
    <n v="2545"/>
    <x v="271"/>
    <s v="Supplier invoice received"/>
    <x v="372"/>
    <s v="0.0"/>
    <x v="9"/>
    <x v="4"/>
  </r>
  <r>
    <n v="2545"/>
    <x v="271"/>
    <s v="Supplier invoice received"/>
    <x v="373"/>
    <s v="0.0"/>
    <x v="10"/>
    <x v="0"/>
  </r>
  <r>
    <n v="2545"/>
    <x v="271"/>
    <s v="Supplier invoice received"/>
    <x v="273"/>
    <s v="412.54"/>
    <x v="11"/>
    <x v="3"/>
  </r>
  <r>
    <n v="2546"/>
    <x v="272"/>
    <s v="Sales invoice issued"/>
    <x v="1152"/>
    <s v="0.0"/>
    <x v="2"/>
    <x v="0"/>
  </r>
  <r>
    <n v="2546"/>
    <x v="272"/>
    <s v="Sales invoice issued"/>
    <x v="273"/>
    <s v="925.81"/>
    <x v="3"/>
    <x v="2"/>
  </r>
  <r>
    <n v="2546"/>
    <x v="272"/>
    <s v="Sales invoice issued"/>
    <x v="273"/>
    <s v="69.44"/>
    <x v="4"/>
    <x v="3"/>
  </r>
  <r>
    <n v="2547"/>
    <x v="272"/>
    <s v="Sales invoice issued"/>
    <x v="1153"/>
    <s v="0.0"/>
    <x v="2"/>
    <x v="0"/>
  </r>
  <r>
    <n v="2547"/>
    <x v="272"/>
    <s v="Sales invoice issued"/>
    <x v="273"/>
    <s v="441.3"/>
    <x v="3"/>
    <x v="2"/>
  </r>
  <r>
    <n v="2547"/>
    <x v="272"/>
    <s v="Sales invoice issued"/>
    <x v="273"/>
    <s v="33.09"/>
    <x v="4"/>
    <x v="3"/>
  </r>
  <r>
    <n v="2548"/>
    <x v="272"/>
    <s v="Customer payment received"/>
    <x v="904"/>
    <s v="0.0"/>
    <x v="0"/>
    <x v="0"/>
  </r>
  <r>
    <n v="2548"/>
    <x v="272"/>
    <s v="Customer payment received"/>
    <x v="273"/>
    <s v="1030.62"/>
    <x v="2"/>
    <x v="0"/>
  </r>
  <r>
    <n v="2549"/>
    <x v="272"/>
    <s v="Customer payment received"/>
    <x v="951"/>
    <s v="0.0"/>
    <x v="0"/>
    <x v="0"/>
  </r>
  <r>
    <n v="2549"/>
    <x v="272"/>
    <s v="Customer payment received"/>
    <x v="273"/>
    <s v="99.2"/>
    <x v="2"/>
    <x v="0"/>
  </r>
  <r>
    <n v="2550"/>
    <x v="272"/>
    <s v="Customer payment received"/>
    <x v="1013"/>
    <s v="0.0"/>
    <x v="0"/>
    <x v="0"/>
  </r>
  <r>
    <n v="2550"/>
    <x v="272"/>
    <s v="Customer payment received"/>
    <x v="273"/>
    <s v="640.42"/>
    <x v="2"/>
    <x v="0"/>
  </r>
  <r>
    <n v="2551"/>
    <x v="272"/>
    <s v="Customer payment received"/>
    <x v="1042"/>
    <s v="0.0"/>
    <x v="0"/>
    <x v="0"/>
  </r>
  <r>
    <n v="2551"/>
    <x v="272"/>
    <s v="Customer payment received"/>
    <x v="273"/>
    <s v="2412.9"/>
    <x v="2"/>
    <x v="0"/>
  </r>
  <r>
    <n v="2552"/>
    <x v="272"/>
    <s v="Customer payment received"/>
    <x v="1043"/>
    <s v="0.0"/>
    <x v="0"/>
    <x v="0"/>
  </r>
  <r>
    <n v="2552"/>
    <x v="272"/>
    <s v="Customer payment received"/>
    <x v="273"/>
    <s v="207.18"/>
    <x v="2"/>
    <x v="0"/>
  </r>
  <r>
    <n v="2553"/>
    <x v="272"/>
    <s v="Customer payment received"/>
    <x v="1049"/>
    <s v="0.0"/>
    <x v="0"/>
    <x v="0"/>
  </r>
  <r>
    <n v="2553"/>
    <x v="272"/>
    <s v="Customer payment received"/>
    <x v="273"/>
    <s v="3113.93"/>
    <x v="2"/>
    <x v="0"/>
  </r>
  <r>
    <n v="2554"/>
    <x v="272"/>
    <s v="Customer payment received"/>
    <x v="1067"/>
    <s v="0.0"/>
    <x v="0"/>
    <x v="0"/>
  </r>
  <r>
    <n v="2554"/>
    <x v="272"/>
    <s v="Customer payment received"/>
    <x v="273"/>
    <s v="446.4"/>
    <x v="2"/>
    <x v="0"/>
  </r>
  <r>
    <n v="2555"/>
    <x v="272"/>
    <s v="Customer payment received"/>
    <x v="1070"/>
    <s v="0.0"/>
    <x v="0"/>
    <x v="0"/>
  </r>
  <r>
    <n v="2555"/>
    <x v="272"/>
    <s v="Customer payment received"/>
    <x v="273"/>
    <s v="1606.98"/>
    <x v="2"/>
    <x v="0"/>
  </r>
  <r>
    <n v="2556"/>
    <x v="272"/>
    <s v="Customer payment received"/>
    <x v="1128"/>
    <s v="0.0"/>
    <x v="0"/>
    <x v="0"/>
  </r>
  <r>
    <n v="2556"/>
    <x v="272"/>
    <s v="Customer payment received"/>
    <x v="273"/>
    <s v="7531.45"/>
    <x v="2"/>
    <x v="0"/>
  </r>
  <r>
    <n v="2557"/>
    <x v="272"/>
    <s v="Customer payment received"/>
    <x v="1152"/>
    <s v="0.0"/>
    <x v="0"/>
    <x v="0"/>
  </r>
  <r>
    <n v="2557"/>
    <x v="272"/>
    <s v="Customer payment received"/>
    <x v="273"/>
    <s v="995.25"/>
    <x v="2"/>
    <x v="0"/>
  </r>
  <r>
    <n v="2558"/>
    <x v="272"/>
    <s v="Supplier payment made"/>
    <x v="407"/>
    <s v="0.0"/>
    <x v="11"/>
    <x v="3"/>
  </r>
  <r>
    <n v="2558"/>
    <x v="272"/>
    <s v="Supplier payment made"/>
    <x v="273"/>
    <s v="201.5"/>
    <x v="0"/>
    <x v="0"/>
  </r>
  <r>
    <n v="2559"/>
    <x v="272"/>
    <s v="Supplier payment made"/>
    <x v="392"/>
    <s v="0.0"/>
    <x v="11"/>
    <x v="3"/>
  </r>
  <r>
    <n v="2559"/>
    <x v="272"/>
    <s v="Supplier payment made"/>
    <x v="273"/>
    <s v="1023.42"/>
    <x v="0"/>
    <x v="0"/>
  </r>
  <r>
    <n v="2560"/>
    <x v="273"/>
    <s v="Payroll processed"/>
    <x v="535"/>
    <s v="0.0"/>
    <x v="5"/>
    <x v="4"/>
  </r>
  <r>
    <n v="2560"/>
    <x v="273"/>
    <s v="Payroll processed"/>
    <x v="536"/>
    <s v="0.0"/>
    <x v="6"/>
    <x v="4"/>
  </r>
  <r>
    <n v="2560"/>
    <x v="273"/>
    <s v="Payroll processed"/>
    <x v="273"/>
    <s v="17968.47"/>
    <x v="0"/>
    <x v="0"/>
  </r>
  <r>
    <n v="2560"/>
    <x v="273"/>
    <s v="Payroll processed"/>
    <x v="273"/>
    <s v="4069.27"/>
    <x v="7"/>
    <x v="3"/>
  </r>
  <r>
    <n v="2560"/>
    <x v="273"/>
    <s v="Payroll processed"/>
    <x v="273"/>
    <s v="881.51"/>
    <x v="8"/>
    <x v="3"/>
  </r>
  <r>
    <n v="2561"/>
    <x v="273"/>
    <s v="Sales invoice issued"/>
    <x v="1154"/>
    <s v="0.0"/>
    <x v="2"/>
    <x v="0"/>
  </r>
  <r>
    <n v="2561"/>
    <x v="273"/>
    <s v="Sales invoice issued"/>
    <x v="273"/>
    <s v="1360.19"/>
    <x v="3"/>
    <x v="2"/>
  </r>
  <r>
    <n v="2561"/>
    <x v="273"/>
    <s v="Sales invoice issued"/>
    <x v="273"/>
    <s v="102.02"/>
    <x v="4"/>
    <x v="3"/>
  </r>
  <r>
    <n v="2562"/>
    <x v="273"/>
    <s v="Sales invoice issued"/>
    <x v="1155"/>
    <s v="0.0"/>
    <x v="2"/>
    <x v="0"/>
  </r>
  <r>
    <n v="2562"/>
    <x v="273"/>
    <s v="Sales invoice issued"/>
    <x v="273"/>
    <s v="4973.89"/>
    <x v="3"/>
    <x v="2"/>
  </r>
  <r>
    <n v="2562"/>
    <x v="273"/>
    <s v="Sales invoice issued"/>
    <x v="273"/>
    <s v="373.04"/>
    <x v="4"/>
    <x v="3"/>
  </r>
  <r>
    <n v="2563"/>
    <x v="273"/>
    <s v="Sales invoice issued"/>
    <x v="1156"/>
    <s v="0.0"/>
    <x v="2"/>
    <x v="0"/>
  </r>
  <r>
    <n v="2563"/>
    <x v="273"/>
    <s v="Sales invoice issued"/>
    <x v="273"/>
    <s v="364.37"/>
    <x v="3"/>
    <x v="2"/>
  </r>
  <r>
    <n v="2563"/>
    <x v="273"/>
    <s v="Sales invoice issued"/>
    <x v="273"/>
    <s v="27.33"/>
    <x v="4"/>
    <x v="3"/>
  </r>
  <r>
    <n v="2564"/>
    <x v="273"/>
    <s v="Sales invoice issued"/>
    <x v="1157"/>
    <s v="0.0"/>
    <x v="2"/>
    <x v="0"/>
  </r>
  <r>
    <n v="2564"/>
    <x v="273"/>
    <s v="Sales invoice issued"/>
    <x v="273"/>
    <s v="702.38"/>
    <x v="3"/>
    <x v="2"/>
  </r>
  <r>
    <n v="2564"/>
    <x v="273"/>
    <s v="Sales invoice issued"/>
    <x v="273"/>
    <s v="52.68"/>
    <x v="4"/>
    <x v="3"/>
  </r>
  <r>
    <n v="2565"/>
    <x v="273"/>
    <s v="Sales invoice issued"/>
    <x v="1158"/>
    <s v="0.0"/>
    <x v="2"/>
    <x v="0"/>
  </r>
  <r>
    <n v="2565"/>
    <x v="273"/>
    <s v="Sales invoice issued"/>
    <x v="273"/>
    <s v="890.23"/>
    <x v="3"/>
    <x v="2"/>
  </r>
  <r>
    <n v="2565"/>
    <x v="273"/>
    <s v="Sales invoice issued"/>
    <x v="273"/>
    <s v="66.77"/>
    <x v="4"/>
    <x v="3"/>
  </r>
  <r>
    <n v="2566"/>
    <x v="273"/>
    <s v="Customer payment received"/>
    <x v="846"/>
    <s v="0.0"/>
    <x v="0"/>
    <x v="0"/>
  </r>
  <r>
    <n v="2566"/>
    <x v="273"/>
    <s v="Customer payment received"/>
    <x v="273"/>
    <s v="2325.81"/>
    <x v="2"/>
    <x v="0"/>
  </r>
  <r>
    <n v="2567"/>
    <x v="273"/>
    <s v="Customer payment received"/>
    <x v="939"/>
    <s v="0.0"/>
    <x v="0"/>
    <x v="0"/>
  </r>
  <r>
    <n v="2567"/>
    <x v="273"/>
    <s v="Customer payment received"/>
    <x v="273"/>
    <s v="2672.43"/>
    <x v="2"/>
    <x v="0"/>
  </r>
  <r>
    <n v="2568"/>
    <x v="273"/>
    <s v="Customer payment received"/>
    <x v="954"/>
    <s v="0.0"/>
    <x v="0"/>
    <x v="0"/>
  </r>
  <r>
    <n v="2568"/>
    <x v="273"/>
    <s v="Customer payment received"/>
    <x v="273"/>
    <s v="297.6"/>
    <x v="2"/>
    <x v="0"/>
  </r>
  <r>
    <n v="2569"/>
    <x v="273"/>
    <s v="Customer payment received"/>
    <x v="1012"/>
    <s v="0.0"/>
    <x v="0"/>
    <x v="0"/>
  </r>
  <r>
    <n v="2569"/>
    <x v="273"/>
    <s v="Customer payment received"/>
    <x v="273"/>
    <s v="1747.63"/>
    <x v="2"/>
    <x v="0"/>
  </r>
  <r>
    <n v="2570"/>
    <x v="273"/>
    <s v="Customer payment received"/>
    <x v="1136"/>
    <s v="0.0"/>
    <x v="0"/>
    <x v="0"/>
  </r>
  <r>
    <n v="2570"/>
    <x v="273"/>
    <s v="Customer payment received"/>
    <x v="273"/>
    <s v="1799.67"/>
    <x v="2"/>
    <x v="0"/>
  </r>
  <r>
    <n v="2571"/>
    <x v="273"/>
    <s v="Customer payment received"/>
    <x v="1159"/>
    <s v="0.0"/>
    <x v="0"/>
    <x v="0"/>
  </r>
  <r>
    <n v="2571"/>
    <x v="273"/>
    <s v="Customer payment received"/>
    <x v="273"/>
    <s v="228.07"/>
    <x v="2"/>
    <x v="0"/>
  </r>
  <r>
    <n v="2572"/>
    <x v="273"/>
    <s v="Supplier invoice received"/>
    <x v="448"/>
    <s v="0.0"/>
    <x v="9"/>
    <x v="4"/>
  </r>
  <r>
    <n v="2572"/>
    <x v="273"/>
    <s v="Supplier invoice received"/>
    <x v="449"/>
    <s v="0.0"/>
    <x v="10"/>
    <x v="0"/>
  </r>
  <r>
    <n v="2572"/>
    <x v="273"/>
    <s v="Supplier invoice received"/>
    <x v="273"/>
    <s v="7227.44"/>
    <x v="11"/>
    <x v="3"/>
  </r>
  <r>
    <n v="2573"/>
    <x v="274"/>
    <s v="Sales invoice issued"/>
    <x v="1160"/>
    <s v="0.0"/>
    <x v="2"/>
    <x v="0"/>
  </r>
  <r>
    <n v="2573"/>
    <x v="274"/>
    <s v="Sales invoice issued"/>
    <x v="273"/>
    <s v="1747.51"/>
    <x v="3"/>
    <x v="2"/>
  </r>
  <r>
    <n v="2573"/>
    <x v="274"/>
    <s v="Sales invoice issued"/>
    <x v="273"/>
    <s v="131.07"/>
    <x v="4"/>
    <x v="3"/>
  </r>
  <r>
    <n v="2574"/>
    <x v="274"/>
    <s v="Sales invoice issued"/>
    <x v="1161"/>
    <s v="0.0"/>
    <x v="2"/>
    <x v="0"/>
  </r>
  <r>
    <n v="2574"/>
    <x v="274"/>
    <s v="Sales invoice issued"/>
    <x v="273"/>
    <s v="1477.9"/>
    <x v="3"/>
    <x v="2"/>
  </r>
  <r>
    <n v="2574"/>
    <x v="274"/>
    <s v="Sales invoice issued"/>
    <x v="273"/>
    <s v="110.85"/>
    <x v="4"/>
    <x v="3"/>
  </r>
  <r>
    <n v="2575"/>
    <x v="274"/>
    <s v="Sales invoice issued"/>
    <x v="1162"/>
    <s v="0.0"/>
    <x v="2"/>
    <x v="0"/>
  </r>
  <r>
    <n v="2575"/>
    <x v="274"/>
    <s v="Sales invoice issued"/>
    <x v="273"/>
    <s v="3936.23"/>
    <x v="3"/>
    <x v="2"/>
  </r>
  <r>
    <n v="2575"/>
    <x v="274"/>
    <s v="Sales invoice issued"/>
    <x v="273"/>
    <s v="295.21"/>
    <x v="4"/>
    <x v="3"/>
  </r>
  <r>
    <n v="2576"/>
    <x v="274"/>
    <s v="Customer payment received"/>
    <x v="1044"/>
    <s v="0.0"/>
    <x v="0"/>
    <x v="0"/>
  </r>
  <r>
    <n v="2576"/>
    <x v="274"/>
    <s v="Customer payment received"/>
    <x v="273"/>
    <s v="2259.55"/>
    <x v="2"/>
    <x v="0"/>
  </r>
  <r>
    <n v="2577"/>
    <x v="274"/>
    <s v="Customer payment received"/>
    <x v="1162"/>
    <s v="0.0"/>
    <x v="0"/>
    <x v="0"/>
  </r>
  <r>
    <n v="2577"/>
    <x v="274"/>
    <s v="Customer payment received"/>
    <x v="273"/>
    <s v="4231.44"/>
    <x v="2"/>
    <x v="0"/>
  </r>
  <r>
    <n v="2578"/>
    <x v="274"/>
    <s v="Supplier invoice received"/>
    <x v="303"/>
    <s v="0.0"/>
    <x v="9"/>
    <x v="4"/>
  </r>
  <r>
    <n v="2578"/>
    <x v="274"/>
    <s v="Supplier invoice received"/>
    <x v="304"/>
    <s v="0.0"/>
    <x v="10"/>
    <x v="0"/>
  </r>
  <r>
    <n v="2578"/>
    <x v="274"/>
    <s v="Supplier invoice received"/>
    <x v="273"/>
    <s v="550.4"/>
    <x v="11"/>
    <x v="3"/>
  </r>
  <r>
    <n v="2579"/>
    <x v="274"/>
    <s v="Supplier invoice received"/>
    <x v="299"/>
    <s v="0.0"/>
    <x v="9"/>
    <x v="4"/>
  </r>
  <r>
    <n v="2579"/>
    <x v="274"/>
    <s v="Supplier invoice received"/>
    <x v="300"/>
    <s v="0.0"/>
    <x v="10"/>
    <x v="0"/>
  </r>
  <r>
    <n v="2579"/>
    <x v="274"/>
    <s v="Supplier invoice received"/>
    <x v="273"/>
    <s v="2918.17"/>
    <x v="11"/>
    <x v="3"/>
  </r>
  <r>
    <n v="2580"/>
    <x v="274"/>
    <s v="Supplier payment made"/>
    <x v="292"/>
    <s v="0.0"/>
    <x v="11"/>
    <x v="3"/>
  </r>
  <r>
    <n v="2580"/>
    <x v="274"/>
    <s v="Supplier payment made"/>
    <x v="273"/>
    <s v="1766.46"/>
    <x v="0"/>
    <x v="0"/>
  </r>
  <r>
    <n v="2581"/>
    <x v="274"/>
    <s v="Supplier payment made"/>
    <x v="280"/>
    <s v="0.0"/>
    <x v="11"/>
    <x v="3"/>
  </r>
  <r>
    <n v="2581"/>
    <x v="274"/>
    <s v="Supplier payment made"/>
    <x v="273"/>
    <s v="2635.36"/>
    <x v="0"/>
    <x v="0"/>
  </r>
  <r>
    <n v="2582"/>
    <x v="274"/>
    <s v="Supplier payment made"/>
    <x v="353"/>
    <s v="0.0"/>
    <x v="11"/>
    <x v="3"/>
  </r>
  <r>
    <n v="2582"/>
    <x v="274"/>
    <s v="Supplier payment made"/>
    <x v="273"/>
    <s v="2918.17"/>
    <x v="0"/>
    <x v="0"/>
  </r>
  <r>
    <n v="2583"/>
    <x v="275"/>
    <s v="Sales invoice issued"/>
    <x v="1163"/>
    <s v="0.0"/>
    <x v="2"/>
    <x v="0"/>
  </r>
  <r>
    <n v="2583"/>
    <x v="275"/>
    <s v="Sales invoice issued"/>
    <x v="273"/>
    <s v="819.44"/>
    <x v="3"/>
    <x v="2"/>
  </r>
  <r>
    <n v="2583"/>
    <x v="275"/>
    <s v="Sales invoice issued"/>
    <x v="273"/>
    <s v="61.47"/>
    <x v="4"/>
    <x v="3"/>
  </r>
  <r>
    <n v="2584"/>
    <x v="275"/>
    <s v="Sales invoice issued"/>
    <x v="1164"/>
    <s v="0.0"/>
    <x v="2"/>
    <x v="0"/>
  </r>
  <r>
    <n v="2584"/>
    <x v="275"/>
    <s v="Sales invoice issued"/>
    <x v="273"/>
    <s v="546.75"/>
    <x v="3"/>
    <x v="2"/>
  </r>
  <r>
    <n v="2584"/>
    <x v="275"/>
    <s v="Sales invoice issued"/>
    <x v="273"/>
    <s v="41.01"/>
    <x v="4"/>
    <x v="3"/>
  </r>
  <r>
    <n v="2585"/>
    <x v="275"/>
    <s v="Customer payment received"/>
    <x v="982"/>
    <s v="0.0"/>
    <x v="0"/>
    <x v="0"/>
  </r>
  <r>
    <n v="2585"/>
    <x v="275"/>
    <s v="Customer payment received"/>
    <x v="273"/>
    <s v="395.82"/>
    <x v="2"/>
    <x v="0"/>
  </r>
  <r>
    <n v="2586"/>
    <x v="275"/>
    <s v="Customer payment received"/>
    <x v="1004"/>
    <s v="0.0"/>
    <x v="0"/>
    <x v="0"/>
  </r>
  <r>
    <n v="2586"/>
    <x v="275"/>
    <s v="Customer payment received"/>
    <x v="273"/>
    <s v="4164.35"/>
    <x v="2"/>
    <x v="0"/>
  </r>
  <r>
    <n v="2587"/>
    <x v="275"/>
    <s v="Customer payment received"/>
    <x v="1071"/>
    <s v="0.0"/>
    <x v="0"/>
    <x v="0"/>
  </r>
  <r>
    <n v="2587"/>
    <x v="275"/>
    <s v="Customer payment received"/>
    <x v="273"/>
    <s v="2504.14"/>
    <x v="2"/>
    <x v="0"/>
  </r>
  <r>
    <n v="2588"/>
    <x v="275"/>
    <s v="Customer payment received"/>
    <x v="1077"/>
    <s v="0.0"/>
    <x v="0"/>
    <x v="0"/>
  </r>
  <r>
    <n v="2588"/>
    <x v="275"/>
    <s v="Customer payment received"/>
    <x v="273"/>
    <s v="970.9"/>
    <x v="2"/>
    <x v="0"/>
  </r>
  <r>
    <n v="2589"/>
    <x v="275"/>
    <s v="Customer payment received"/>
    <x v="1096"/>
    <s v="0.0"/>
    <x v="0"/>
    <x v="0"/>
  </r>
  <r>
    <n v="2589"/>
    <x v="275"/>
    <s v="Customer payment received"/>
    <x v="273"/>
    <s v="1203.27"/>
    <x v="2"/>
    <x v="0"/>
  </r>
  <r>
    <n v="2590"/>
    <x v="275"/>
    <s v="Customer payment received"/>
    <x v="1101"/>
    <s v="0.0"/>
    <x v="0"/>
    <x v="0"/>
  </r>
  <r>
    <n v="2590"/>
    <x v="275"/>
    <s v="Customer payment received"/>
    <x v="273"/>
    <s v="474.83"/>
    <x v="2"/>
    <x v="0"/>
  </r>
  <r>
    <n v="2591"/>
    <x v="275"/>
    <s v="Customer payment received"/>
    <x v="1107"/>
    <s v="0.0"/>
    <x v="0"/>
    <x v="0"/>
  </r>
  <r>
    <n v="2591"/>
    <x v="275"/>
    <s v="Customer payment received"/>
    <x v="273"/>
    <s v="558.34"/>
    <x v="2"/>
    <x v="0"/>
  </r>
  <r>
    <n v="2592"/>
    <x v="275"/>
    <s v="Customer payment received"/>
    <x v="1132"/>
    <s v="0.0"/>
    <x v="0"/>
    <x v="0"/>
  </r>
  <r>
    <n v="2592"/>
    <x v="275"/>
    <s v="Customer payment received"/>
    <x v="273"/>
    <s v="2980.64"/>
    <x v="2"/>
    <x v="0"/>
  </r>
  <r>
    <n v="2593"/>
    <x v="275"/>
    <s v="Customer payment received"/>
    <x v="1146"/>
    <s v="0.0"/>
    <x v="0"/>
    <x v="0"/>
  </r>
  <r>
    <n v="2593"/>
    <x v="275"/>
    <s v="Customer payment received"/>
    <x v="273"/>
    <s v="3419.76"/>
    <x v="2"/>
    <x v="0"/>
  </r>
  <r>
    <n v="2594"/>
    <x v="275"/>
    <s v="Supplier invoice received"/>
    <x v="295"/>
    <s v="0.0"/>
    <x v="9"/>
    <x v="4"/>
  </r>
  <r>
    <n v="2594"/>
    <x v="275"/>
    <s v="Supplier invoice received"/>
    <x v="296"/>
    <s v="0.0"/>
    <x v="10"/>
    <x v="0"/>
  </r>
  <r>
    <n v="2594"/>
    <x v="275"/>
    <s v="Supplier invoice received"/>
    <x v="273"/>
    <s v="1766.46"/>
    <x v="11"/>
    <x v="3"/>
  </r>
  <r>
    <n v="2595"/>
    <x v="275"/>
    <s v="Supplier invoice received"/>
    <x v="325"/>
    <s v="0.0"/>
    <x v="9"/>
    <x v="4"/>
  </r>
  <r>
    <n v="2595"/>
    <x v="275"/>
    <s v="Supplier invoice received"/>
    <x v="326"/>
    <s v="0.0"/>
    <x v="10"/>
    <x v="0"/>
  </r>
  <r>
    <n v="2595"/>
    <x v="275"/>
    <s v="Supplier invoice received"/>
    <x v="273"/>
    <s v="1304.62"/>
    <x v="11"/>
    <x v="3"/>
  </r>
  <r>
    <n v="2596"/>
    <x v="275"/>
    <s v="Supplier invoice received"/>
    <x v="461"/>
    <s v="0.0"/>
    <x v="9"/>
    <x v="4"/>
  </r>
  <r>
    <n v="2596"/>
    <x v="275"/>
    <s v="Supplier invoice received"/>
    <x v="462"/>
    <s v="0.0"/>
    <x v="10"/>
    <x v="0"/>
  </r>
  <r>
    <n v="2596"/>
    <x v="275"/>
    <s v="Supplier invoice received"/>
    <x v="273"/>
    <s v="2182.41"/>
    <x v="11"/>
    <x v="3"/>
  </r>
  <r>
    <n v="2597"/>
    <x v="275"/>
    <s v="Supplier invoice received"/>
    <x v="297"/>
    <s v="0.0"/>
    <x v="9"/>
    <x v="4"/>
  </r>
  <r>
    <n v="2597"/>
    <x v="275"/>
    <s v="Supplier invoice received"/>
    <x v="298"/>
    <s v="0.0"/>
    <x v="10"/>
    <x v="0"/>
  </r>
  <r>
    <n v="2597"/>
    <x v="275"/>
    <s v="Supplier invoice received"/>
    <x v="273"/>
    <s v="3528.97"/>
    <x v="11"/>
    <x v="3"/>
  </r>
  <r>
    <n v="2598"/>
    <x v="275"/>
    <s v="Supplier invoice received"/>
    <x v="338"/>
    <s v="0.0"/>
    <x v="9"/>
    <x v="4"/>
  </r>
  <r>
    <n v="2598"/>
    <x v="275"/>
    <s v="Supplier invoice received"/>
    <x v="339"/>
    <s v="0.0"/>
    <x v="10"/>
    <x v="0"/>
  </r>
  <r>
    <n v="2598"/>
    <x v="275"/>
    <s v="Supplier invoice received"/>
    <x v="273"/>
    <s v="1159.84"/>
    <x v="11"/>
    <x v="3"/>
  </r>
  <r>
    <n v="2599"/>
    <x v="275"/>
    <s v="Supplier payment made"/>
    <x v="504"/>
    <s v="0.0"/>
    <x v="11"/>
    <x v="3"/>
  </r>
  <r>
    <n v="2599"/>
    <x v="275"/>
    <s v="Supplier payment made"/>
    <x v="273"/>
    <s v="1958.74"/>
    <x v="0"/>
    <x v="0"/>
  </r>
  <r>
    <n v="2600"/>
    <x v="275"/>
    <s v="Supplier payment made"/>
    <x v="424"/>
    <s v="0.0"/>
    <x v="11"/>
    <x v="3"/>
  </r>
  <r>
    <n v="2600"/>
    <x v="275"/>
    <s v="Supplier payment made"/>
    <x v="273"/>
    <s v="1591.54"/>
    <x v="0"/>
    <x v="0"/>
  </r>
  <r>
    <n v="2601"/>
    <x v="275"/>
    <s v="Supplier payment made"/>
    <x v="309"/>
    <s v="0.0"/>
    <x v="11"/>
    <x v="3"/>
  </r>
  <r>
    <n v="2601"/>
    <x v="275"/>
    <s v="Supplier payment made"/>
    <x v="273"/>
    <s v="4812.46"/>
    <x v="0"/>
    <x v="0"/>
  </r>
  <r>
    <n v="2602"/>
    <x v="276"/>
    <s v="Sales invoice issued"/>
    <x v="1165"/>
    <s v="0.0"/>
    <x v="2"/>
    <x v="0"/>
  </r>
  <r>
    <n v="2602"/>
    <x v="276"/>
    <s v="Sales invoice issued"/>
    <x v="273"/>
    <s v="3743.37"/>
    <x v="3"/>
    <x v="2"/>
  </r>
  <r>
    <n v="2602"/>
    <x v="276"/>
    <s v="Sales invoice issued"/>
    <x v="273"/>
    <s v="280.75"/>
    <x v="4"/>
    <x v="3"/>
  </r>
  <r>
    <n v="2603"/>
    <x v="276"/>
    <s v="Sales invoice issued"/>
    <x v="1166"/>
    <s v="0.0"/>
    <x v="2"/>
    <x v="0"/>
  </r>
  <r>
    <n v="2603"/>
    <x v="276"/>
    <s v="Sales invoice issued"/>
    <x v="273"/>
    <s v="2710.5"/>
    <x v="3"/>
    <x v="2"/>
  </r>
  <r>
    <n v="2603"/>
    <x v="276"/>
    <s v="Sales invoice issued"/>
    <x v="273"/>
    <s v="203.28"/>
    <x v="4"/>
    <x v="3"/>
  </r>
  <r>
    <n v="2604"/>
    <x v="276"/>
    <s v="Customer payment received"/>
    <x v="983"/>
    <s v="0.0"/>
    <x v="0"/>
    <x v="0"/>
  </r>
  <r>
    <n v="2604"/>
    <x v="276"/>
    <s v="Customer payment received"/>
    <x v="273"/>
    <s v="148.8"/>
    <x v="2"/>
    <x v="0"/>
  </r>
  <r>
    <n v="2605"/>
    <x v="276"/>
    <s v="Customer payment received"/>
    <x v="1024"/>
    <s v="0.0"/>
    <x v="0"/>
    <x v="0"/>
  </r>
  <r>
    <n v="2605"/>
    <x v="276"/>
    <s v="Customer payment received"/>
    <x v="273"/>
    <s v="4340.47"/>
    <x v="2"/>
    <x v="0"/>
  </r>
  <r>
    <n v="2606"/>
    <x v="276"/>
    <s v="Customer payment received"/>
    <x v="1092"/>
    <s v="0.0"/>
    <x v="0"/>
    <x v="0"/>
  </r>
  <r>
    <n v="2606"/>
    <x v="276"/>
    <s v="Customer payment received"/>
    <x v="273"/>
    <s v="3715.25"/>
    <x v="2"/>
    <x v="0"/>
  </r>
  <r>
    <n v="2607"/>
    <x v="276"/>
    <s v="Customer payment received"/>
    <x v="484"/>
    <s v="0.0"/>
    <x v="0"/>
    <x v="0"/>
  </r>
  <r>
    <n v="2607"/>
    <x v="276"/>
    <s v="Customer payment received"/>
    <x v="273"/>
    <s v="612.86"/>
    <x v="2"/>
    <x v="0"/>
  </r>
  <r>
    <n v="2608"/>
    <x v="276"/>
    <s v="Customer payment received"/>
    <x v="1142"/>
    <s v="0.0"/>
    <x v="0"/>
    <x v="0"/>
  </r>
  <r>
    <n v="2608"/>
    <x v="276"/>
    <s v="Customer payment received"/>
    <x v="273"/>
    <s v="1163.3"/>
    <x v="2"/>
    <x v="0"/>
  </r>
  <r>
    <n v="2609"/>
    <x v="276"/>
    <s v="Supplier payment made"/>
    <x v="393"/>
    <s v="0.0"/>
    <x v="11"/>
    <x v="3"/>
  </r>
  <r>
    <n v="2609"/>
    <x v="276"/>
    <s v="Supplier payment made"/>
    <x v="273"/>
    <s v="412.54"/>
    <x v="0"/>
    <x v="0"/>
  </r>
  <r>
    <n v="2610"/>
    <x v="277"/>
    <s v="Sales invoice issued"/>
    <x v="1167"/>
    <s v="0.0"/>
    <x v="2"/>
    <x v="0"/>
  </r>
  <r>
    <n v="2610"/>
    <x v="277"/>
    <s v="Sales invoice issued"/>
    <x v="273"/>
    <s v="4528.13"/>
    <x v="3"/>
    <x v="2"/>
  </r>
  <r>
    <n v="2610"/>
    <x v="277"/>
    <s v="Sales invoice issued"/>
    <x v="273"/>
    <s v="339.6"/>
    <x v="4"/>
    <x v="3"/>
  </r>
  <r>
    <n v="2611"/>
    <x v="277"/>
    <s v="Sales invoice issued"/>
    <x v="1168"/>
    <s v="0.0"/>
    <x v="2"/>
    <x v="0"/>
  </r>
  <r>
    <n v="2611"/>
    <x v="277"/>
    <s v="Sales invoice issued"/>
    <x v="273"/>
    <s v="969.23"/>
    <x v="3"/>
    <x v="2"/>
  </r>
  <r>
    <n v="2611"/>
    <x v="277"/>
    <s v="Sales invoice issued"/>
    <x v="273"/>
    <s v="72.7"/>
    <x v="4"/>
    <x v="3"/>
  </r>
  <r>
    <n v="2612"/>
    <x v="277"/>
    <s v="Sales invoice issued"/>
    <x v="1169"/>
    <s v="0.0"/>
    <x v="2"/>
    <x v="0"/>
  </r>
  <r>
    <n v="2612"/>
    <x v="277"/>
    <s v="Sales invoice issued"/>
    <x v="273"/>
    <s v="1165.61"/>
    <x v="3"/>
    <x v="2"/>
  </r>
  <r>
    <n v="2612"/>
    <x v="277"/>
    <s v="Sales invoice issued"/>
    <x v="273"/>
    <s v="87.42"/>
    <x v="4"/>
    <x v="3"/>
  </r>
  <r>
    <n v="2613"/>
    <x v="277"/>
    <s v="Sales invoice issued"/>
    <x v="1170"/>
    <s v="0.0"/>
    <x v="2"/>
    <x v="0"/>
  </r>
  <r>
    <n v="2613"/>
    <x v="277"/>
    <s v="Sales invoice issued"/>
    <x v="273"/>
    <s v="3655.36"/>
    <x v="3"/>
    <x v="2"/>
  </r>
  <r>
    <n v="2613"/>
    <x v="277"/>
    <s v="Sales invoice issued"/>
    <x v="273"/>
    <s v="274.15"/>
    <x v="4"/>
    <x v="3"/>
  </r>
  <r>
    <n v="2614"/>
    <x v="277"/>
    <s v="Sales invoice issued"/>
    <x v="1171"/>
    <s v="0.0"/>
    <x v="2"/>
    <x v="0"/>
  </r>
  <r>
    <n v="2614"/>
    <x v="277"/>
    <s v="Sales invoice issued"/>
    <x v="273"/>
    <s v="1731.94"/>
    <x v="3"/>
    <x v="2"/>
  </r>
  <r>
    <n v="2614"/>
    <x v="277"/>
    <s v="Sales invoice issued"/>
    <x v="273"/>
    <s v="129.89"/>
    <x v="4"/>
    <x v="3"/>
  </r>
  <r>
    <n v="2615"/>
    <x v="277"/>
    <s v="Customer payment received"/>
    <x v="991"/>
    <s v="0.0"/>
    <x v="0"/>
    <x v="0"/>
  </r>
  <r>
    <n v="2615"/>
    <x v="277"/>
    <s v="Customer payment received"/>
    <x v="273"/>
    <s v="64.94"/>
    <x v="2"/>
    <x v="0"/>
  </r>
  <r>
    <n v="2616"/>
    <x v="277"/>
    <s v="Customer payment received"/>
    <x v="1020"/>
    <s v="0.0"/>
    <x v="0"/>
    <x v="0"/>
  </r>
  <r>
    <n v="2616"/>
    <x v="277"/>
    <s v="Customer payment received"/>
    <x v="273"/>
    <s v="4617.39"/>
    <x v="2"/>
    <x v="0"/>
  </r>
  <r>
    <n v="2617"/>
    <x v="277"/>
    <s v="Customer payment received"/>
    <x v="1097"/>
    <s v="0.0"/>
    <x v="0"/>
    <x v="0"/>
  </r>
  <r>
    <n v="2617"/>
    <x v="277"/>
    <s v="Customer payment received"/>
    <x v="273"/>
    <s v="3499.78"/>
    <x v="2"/>
    <x v="0"/>
  </r>
  <r>
    <n v="2618"/>
    <x v="277"/>
    <s v="Customer payment received"/>
    <x v="1113"/>
    <s v="0.0"/>
    <x v="0"/>
    <x v="0"/>
  </r>
  <r>
    <n v="2618"/>
    <x v="277"/>
    <s v="Customer payment received"/>
    <x v="273"/>
    <s v="446.08"/>
    <x v="2"/>
    <x v="0"/>
  </r>
  <r>
    <n v="2619"/>
    <x v="277"/>
    <s v="Customer payment received"/>
    <x v="1130"/>
    <s v="0.0"/>
    <x v="0"/>
    <x v="0"/>
  </r>
  <r>
    <n v="2619"/>
    <x v="277"/>
    <s v="Customer payment received"/>
    <x v="273"/>
    <s v="749.31"/>
    <x v="2"/>
    <x v="0"/>
  </r>
  <r>
    <n v="2620"/>
    <x v="277"/>
    <s v="Supplier invoice received"/>
    <x v="307"/>
    <s v="0.0"/>
    <x v="9"/>
    <x v="4"/>
  </r>
  <r>
    <n v="2620"/>
    <x v="277"/>
    <s v="Supplier invoice received"/>
    <x v="308"/>
    <s v="0.0"/>
    <x v="10"/>
    <x v="0"/>
  </r>
  <r>
    <n v="2620"/>
    <x v="277"/>
    <s v="Supplier invoice received"/>
    <x v="273"/>
    <s v="2093.28"/>
    <x v="11"/>
    <x v="3"/>
  </r>
  <r>
    <n v="2621"/>
    <x v="277"/>
    <s v="Supplier invoice received"/>
    <x v="383"/>
    <s v="0.0"/>
    <x v="9"/>
    <x v="4"/>
  </r>
  <r>
    <n v="2621"/>
    <x v="277"/>
    <s v="Supplier invoice received"/>
    <x v="384"/>
    <s v="0.0"/>
    <x v="10"/>
    <x v="0"/>
  </r>
  <r>
    <n v="2621"/>
    <x v="277"/>
    <s v="Supplier invoice received"/>
    <x v="273"/>
    <s v="3868.8"/>
    <x v="11"/>
    <x v="3"/>
  </r>
  <r>
    <n v="2622"/>
    <x v="277"/>
    <s v="Supplier payment made"/>
    <x v="352"/>
    <s v="0.0"/>
    <x v="11"/>
    <x v="3"/>
  </r>
  <r>
    <n v="2622"/>
    <x v="277"/>
    <s v="Supplier payment made"/>
    <x v="273"/>
    <s v="9336.67"/>
    <x v="0"/>
    <x v="0"/>
  </r>
  <r>
    <n v="2623"/>
    <x v="277"/>
    <s v="Supplier payment made"/>
    <x v="327"/>
    <s v="0.0"/>
    <x v="11"/>
    <x v="3"/>
  </r>
  <r>
    <n v="2623"/>
    <x v="277"/>
    <s v="Supplier payment made"/>
    <x v="273"/>
    <s v="1935.04"/>
    <x v="0"/>
    <x v="0"/>
  </r>
  <r>
    <n v="2624"/>
    <x v="277"/>
    <s v="Supplier payment made"/>
    <x v="335"/>
    <s v="0.0"/>
    <x v="11"/>
    <x v="3"/>
  </r>
  <r>
    <n v="2624"/>
    <x v="277"/>
    <s v="Supplier payment made"/>
    <x v="273"/>
    <s v="550.4"/>
    <x v="0"/>
    <x v="0"/>
  </r>
  <r>
    <n v="2625"/>
    <x v="277"/>
    <s v="Supplier payment made"/>
    <x v="292"/>
    <s v="0.0"/>
    <x v="11"/>
    <x v="3"/>
  </r>
  <r>
    <n v="2625"/>
    <x v="277"/>
    <s v="Supplier payment made"/>
    <x v="273"/>
    <s v="1766.46"/>
    <x v="0"/>
    <x v="0"/>
  </r>
  <r>
    <n v="2626"/>
    <x v="277"/>
    <s v="Supplier payment made"/>
    <x v="488"/>
    <s v="0.0"/>
    <x v="11"/>
    <x v="3"/>
  </r>
  <r>
    <n v="2626"/>
    <x v="277"/>
    <s v="Supplier payment made"/>
    <x v="273"/>
    <s v="2182.41"/>
    <x v="0"/>
    <x v="0"/>
  </r>
  <r>
    <n v="2627"/>
    <x v="278"/>
    <s v="Sales invoice issued"/>
    <x v="1172"/>
    <s v="0.0"/>
    <x v="2"/>
    <x v="0"/>
  </r>
  <r>
    <n v="2627"/>
    <x v="278"/>
    <s v="Sales invoice issued"/>
    <x v="273"/>
    <s v="2068.25"/>
    <x v="3"/>
    <x v="2"/>
  </r>
  <r>
    <n v="2627"/>
    <x v="278"/>
    <s v="Sales invoice issued"/>
    <x v="273"/>
    <s v="155.11"/>
    <x v="4"/>
    <x v="3"/>
  </r>
  <r>
    <n v="2628"/>
    <x v="278"/>
    <s v="Sales invoice issued"/>
    <x v="1173"/>
    <s v="0.0"/>
    <x v="2"/>
    <x v="0"/>
  </r>
  <r>
    <n v="2628"/>
    <x v="278"/>
    <s v="Sales invoice issued"/>
    <x v="273"/>
    <s v="76.62"/>
    <x v="3"/>
    <x v="2"/>
  </r>
  <r>
    <n v="2628"/>
    <x v="278"/>
    <s v="Sales invoice issued"/>
    <x v="273"/>
    <s v="5.75"/>
    <x v="4"/>
    <x v="3"/>
  </r>
  <r>
    <n v="2629"/>
    <x v="278"/>
    <s v="Sales invoice issued"/>
    <x v="1174"/>
    <s v="0.0"/>
    <x v="2"/>
    <x v="0"/>
  </r>
  <r>
    <n v="2629"/>
    <x v="278"/>
    <s v="Sales invoice issued"/>
    <x v="273"/>
    <s v="567.37"/>
    <x v="3"/>
    <x v="2"/>
  </r>
  <r>
    <n v="2629"/>
    <x v="278"/>
    <s v="Sales invoice issued"/>
    <x v="273"/>
    <s v="42.55"/>
    <x v="4"/>
    <x v="3"/>
  </r>
  <r>
    <n v="2630"/>
    <x v="278"/>
    <s v="Sales invoice issued"/>
    <x v="1175"/>
    <s v="0.0"/>
    <x v="2"/>
    <x v="0"/>
  </r>
  <r>
    <n v="2630"/>
    <x v="278"/>
    <s v="Sales invoice issued"/>
    <x v="273"/>
    <s v="1300.25"/>
    <x v="3"/>
    <x v="2"/>
  </r>
  <r>
    <n v="2630"/>
    <x v="278"/>
    <s v="Sales invoice issued"/>
    <x v="273"/>
    <s v="97.51"/>
    <x v="4"/>
    <x v="3"/>
  </r>
  <r>
    <n v="2631"/>
    <x v="278"/>
    <s v="Customer payment received"/>
    <x v="1104"/>
    <s v="0.0"/>
    <x v="0"/>
    <x v="0"/>
  </r>
  <r>
    <n v="2631"/>
    <x v="278"/>
    <s v="Customer payment received"/>
    <x v="273"/>
    <s v="2061.19"/>
    <x v="2"/>
    <x v="0"/>
  </r>
  <r>
    <n v="2632"/>
    <x v="278"/>
    <s v="Customer payment received"/>
    <x v="1129"/>
    <s v="0.0"/>
    <x v="0"/>
    <x v="0"/>
  </r>
  <r>
    <n v="2632"/>
    <x v="278"/>
    <s v="Customer payment received"/>
    <x v="273"/>
    <s v="4482.11"/>
    <x v="2"/>
    <x v="0"/>
  </r>
  <r>
    <n v="2633"/>
    <x v="278"/>
    <s v="Customer payment received"/>
    <x v="1157"/>
    <s v="0.0"/>
    <x v="0"/>
    <x v="0"/>
  </r>
  <r>
    <n v="2633"/>
    <x v="278"/>
    <s v="Customer payment received"/>
    <x v="273"/>
    <s v="755.06"/>
    <x v="2"/>
    <x v="0"/>
  </r>
  <r>
    <n v="2634"/>
    <x v="278"/>
    <s v="Supplier invoice received"/>
    <x v="303"/>
    <s v="0.0"/>
    <x v="9"/>
    <x v="4"/>
  </r>
  <r>
    <n v="2634"/>
    <x v="278"/>
    <s v="Supplier invoice received"/>
    <x v="304"/>
    <s v="0.0"/>
    <x v="10"/>
    <x v="0"/>
  </r>
  <r>
    <n v="2634"/>
    <x v="278"/>
    <s v="Supplier invoice received"/>
    <x v="273"/>
    <s v="550.4"/>
    <x v="11"/>
    <x v="3"/>
  </r>
  <r>
    <n v="2635"/>
    <x v="278"/>
    <s v="Supplier payment made"/>
    <x v="466"/>
    <s v="0.0"/>
    <x v="11"/>
    <x v="3"/>
  </r>
  <r>
    <n v="2635"/>
    <x v="278"/>
    <s v="Supplier payment made"/>
    <x v="273"/>
    <s v="748.26"/>
    <x v="0"/>
    <x v="0"/>
  </r>
  <r>
    <n v="2636"/>
    <x v="278"/>
    <s v="Supplier payment made"/>
    <x v="313"/>
    <s v="0.0"/>
    <x v="11"/>
    <x v="3"/>
  </r>
  <r>
    <n v="2636"/>
    <x v="278"/>
    <s v="Supplier payment made"/>
    <x v="273"/>
    <s v="1159.84"/>
    <x v="0"/>
    <x v="0"/>
  </r>
  <r>
    <n v="2637"/>
    <x v="279"/>
    <s v="Sales invoice issued"/>
    <x v="1176"/>
    <s v="0.0"/>
    <x v="2"/>
    <x v="0"/>
  </r>
  <r>
    <n v="2637"/>
    <x v="279"/>
    <s v="Sales invoice issued"/>
    <x v="273"/>
    <s v="5454.82"/>
    <x v="3"/>
    <x v="2"/>
  </r>
  <r>
    <n v="2637"/>
    <x v="279"/>
    <s v="Sales invoice issued"/>
    <x v="273"/>
    <s v="409.1"/>
    <x v="4"/>
    <x v="3"/>
  </r>
  <r>
    <n v="2638"/>
    <x v="279"/>
    <s v="Sales invoice issued"/>
    <x v="1177"/>
    <s v="0.0"/>
    <x v="2"/>
    <x v="0"/>
  </r>
  <r>
    <n v="2638"/>
    <x v="279"/>
    <s v="Sales invoice issued"/>
    <x v="273"/>
    <s v="555.73"/>
    <x v="3"/>
    <x v="2"/>
  </r>
  <r>
    <n v="2638"/>
    <x v="279"/>
    <s v="Sales invoice issued"/>
    <x v="273"/>
    <s v="41.68"/>
    <x v="4"/>
    <x v="3"/>
  </r>
  <r>
    <n v="2639"/>
    <x v="279"/>
    <s v="Sales invoice issued"/>
    <x v="1061"/>
    <s v="0.0"/>
    <x v="2"/>
    <x v="0"/>
  </r>
  <r>
    <n v="2639"/>
    <x v="279"/>
    <s v="Sales invoice issued"/>
    <x v="273"/>
    <s v="447.36"/>
    <x v="3"/>
    <x v="2"/>
  </r>
  <r>
    <n v="2639"/>
    <x v="279"/>
    <s v="Sales invoice issued"/>
    <x v="273"/>
    <s v="33.55"/>
    <x v="4"/>
    <x v="3"/>
  </r>
  <r>
    <n v="2640"/>
    <x v="279"/>
    <s v="Sales invoice issued"/>
    <x v="1178"/>
    <s v="0.0"/>
    <x v="2"/>
    <x v="0"/>
  </r>
  <r>
    <n v="2640"/>
    <x v="279"/>
    <s v="Sales invoice issued"/>
    <x v="273"/>
    <s v="4722.35"/>
    <x v="3"/>
    <x v="2"/>
  </r>
  <r>
    <n v="2640"/>
    <x v="279"/>
    <s v="Sales invoice issued"/>
    <x v="273"/>
    <s v="354.19"/>
    <x v="4"/>
    <x v="3"/>
  </r>
  <r>
    <n v="2641"/>
    <x v="279"/>
    <s v="Customer payment received"/>
    <x v="956"/>
    <s v="0.0"/>
    <x v="0"/>
    <x v="0"/>
  </r>
  <r>
    <n v="2641"/>
    <x v="279"/>
    <s v="Customer payment received"/>
    <x v="273"/>
    <s v="536.17"/>
    <x v="2"/>
    <x v="0"/>
  </r>
  <r>
    <n v="2642"/>
    <x v="279"/>
    <s v="Customer payment received"/>
    <x v="1039"/>
    <s v="0.0"/>
    <x v="0"/>
    <x v="0"/>
  </r>
  <r>
    <n v="2642"/>
    <x v="279"/>
    <s v="Customer payment received"/>
    <x v="273"/>
    <s v="1800.17"/>
    <x v="2"/>
    <x v="0"/>
  </r>
  <r>
    <n v="2643"/>
    <x v="279"/>
    <s v="Customer payment received"/>
    <x v="1040"/>
    <s v="0.0"/>
    <x v="0"/>
    <x v="0"/>
  </r>
  <r>
    <n v="2643"/>
    <x v="279"/>
    <s v="Customer payment received"/>
    <x v="273"/>
    <s v="3957.43"/>
    <x v="2"/>
    <x v="0"/>
  </r>
  <r>
    <n v="2644"/>
    <x v="279"/>
    <s v="Supplier payment made"/>
    <x v="392"/>
    <s v="0.0"/>
    <x v="11"/>
    <x v="3"/>
  </r>
  <r>
    <n v="2644"/>
    <x v="279"/>
    <s v="Supplier payment made"/>
    <x v="273"/>
    <s v="1023.42"/>
    <x v="0"/>
    <x v="0"/>
  </r>
  <r>
    <n v="2645"/>
    <x v="279"/>
    <s v="Supplier payment made"/>
    <x v="334"/>
    <s v="0.0"/>
    <x v="11"/>
    <x v="3"/>
  </r>
  <r>
    <n v="2645"/>
    <x v="279"/>
    <s v="Supplier payment made"/>
    <x v="273"/>
    <s v="3528.97"/>
    <x v="0"/>
    <x v="0"/>
  </r>
  <r>
    <n v="2646"/>
    <x v="280"/>
    <s v="Sales invoice issued"/>
    <x v="1179"/>
    <s v="0.0"/>
    <x v="2"/>
    <x v="0"/>
  </r>
  <r>
    <n v="2646"/>
    <x v="280"/>
    <s v="Sales invoice issued"/>
    <x v="273"/>
    <s v="40.44"/>
    <x v="3"/>
    <x v="2"/>
  </r>
  <r>
    <n v="2646"/>
    <x v="280"/>
    <s v="Sales invoice issued"/>
    <x v="273"/>
    <s v="3.03"/>
    <x v="4"/>
    <x v="3"/>
  </r>
  <r>
    <n v="2647"/>
    <x v="280"/>
    <s v="Sales invoice issued"/>
    <x v="1180"/>
    <s v="0.0"/>
    <x v="2"/>
    <x v="0"/>
  </r>
  <r>
    <n v="2647"/>
    <x v="280"/>
    <s v="Sales invoice issued"/>
    <x v="273"/>
    <s v="2109.05"/>
    <x v="3"/>
    <x v="2"/>
  </r>
  <r>
    <n v="2647"/>
    <x v="280"/>
    <s v="Sales invoice issued"/>
    <x v="273"/>
    <s v="158.18"/>
    <x v="4"/>
    <x v="3"/>
  </r>
  <r>
    <n v="2648"/>
    <x v="280"/>
    <s v="Sales invoice issued"/>
    <x v="1181"/>
    <s v="0.0"/>
    <x v="2"/>
    <x v="0"/>
  </r>
  <r>
    <n v="2648"/>
    <x v="280"/>
    <s v="Sales invoice issued"/>
    <x v="273"/>
    <s v="4451.66"/>
    <x v="3"/>
    <x v="2"/>
  </r>
  <r>
    <n v="2648"/>
    <x v="280"/>
    <s v="Sales invoice issued"/>
    <x v="273"/>
    <s v="333.86"/>
    <x v="4"/>
    <x v="3"/>
  </r>
  <r>
    <n v="2649"/>
    <x v="280"/>
    <s v="Sales invoice issued"/>
    <x v="1182"/>
    <s v="0.0"/>
    <x v="2"/>
    <x v="0"/>
  </r>
  <r>
    <n v="2649"/>
    <x v="280"/>
    <s v="Sales invoice issued"/>
    <x v="273"/>
    <s v="1884.09"/>
    <x v="3"/>
    <x v="2"/>
  </r>
  <r>
    <n v="2649"/>
    <x v="280"/>
    <s v="Sales invoice issued"/>
    <x v="273"/>
    <s v="141.31"/>
    <x v="4"/>
    <x v="3"/>
  </r>
  <r>
    <n v="2650"/>
    <x v="280"/>
    <s v="Customer payment received"/>
    <x v="957"/>
    <s v="0.0"/>
    <x v="0"/>
    <x v="0"/>
  </r>
  <r>
    <n v="2650"/>
    <x v="280"/>
    <s v="Customer payment received"/>
    <x v="273"/>
    <s v="1547.47"/>
    <x v="2"/>
    <x v="0"/>
  </r>
  <r>
    <n v="2651"/>
    <x v="280"/>
    <s v="Customer payment received"/>
    <x v="1094"/>
    <s v="0.0"/>
    <x v="0"/>
    <x v="0"/>
  </r>
  <r>
    <n v="2651"/>
    <x v="280"/>
    <s v="Customer payment received"/>
    <x v="273"/>
    <s v="1962.34"/>
    <x v="2"/>
    <x v="0"/>
  </r>
  <r>
    <n v="2652"/>
    <x v="280"/>
    <s v="Customer payment received"/>
    <x v="1115"/>
    <s v="0.0"/>
    <x v="0"/>
    <x v="0"/>
  </r>
  <r>
    <n v="2652"/>
    <x v="280"/>
    <s v="Customer payment received"/>
    <x v="273"/>
    <s v="215.54"/>
    <x v="2"/>
    <x v="0"/>
  </r>
  <r>
    <n v="2653"/>
    <x v="280"/>
    <s v="Supplier invoice received"/>
    <x v="330"/>
    <s v="0.0"/>
    <x v="9"/>
    <x v="4"/>
  </r>
  <r>
    <n v="2653"/>
    <x v="280"/>
    <s v="Supplier invoice received"/>
    <x v="331"/>
    <s v="0.0"/>
    <x v="10"/>
    <x v="0"/>
  </r>
  <r>
    <n v="2653"/>
    <x v="280"/>
    <s v="Supplier invoice received"/>
    <x v="273"/>
    <s v="1935.04"/>
    <x v="11"/>
    <x v="3"/>
  </r>
  <r>
    <n v="2654"/>
    <x v="280"/>
    <s v="Supplier invoice received"/>
    <x v="374"/>
    <s v="0.0"/>
    <x v="9"/>
    <x v="4"/>
  </r>
  <r>
    <n v="2654"/>
    <x v="280"/>
    <s v="Supplier invoice received"/>
    <x v="375"/>
    <s v="0.0"/>
    <x v="10"/>
    <x v="0"/>
  </r>
  <r>
    <n v="2654"/>
    <x v="280"/>
    <s v="Supplier invoice received"/>
    <x v="273"/>
    <s v="2504.23"/>
    <x v="11"/>
    <x v="3"/>
  </r>
  <r>
    <n v="2655"/>
    <x v="280"/>
    <s v="Supplier invoice received"/>
    <x v="441"/>
    <s v="0.0"/>
    <x v="9"/>
    <x v="4"/>
  </r>
  <r>
    <n v="2655"/>
    <x v="280"/>
    <s v="Supplier invoice received"/>
    <x v="442"/>
    <s v="0.0"/>
    <x v="10"/>
    <x v="0"/>
  </r>
  <r>
    <n v="2655"/>
    <x v="280"/>
    <s v="Supplier invoice received"/>
    <x v="273"/>
    <s v="179.01"/>
    <x v="11"/>
    <x v="3"/>
  </r>
  <r>
    <n v="2656"/>
    <x v="280"/>
    <s v="Supplier invoice received"/>
    <x v="443"/>
    <s v="0.0"/>
    <x v="9"/>
    <x v="4"/>
  </r>
  <r>
    <n v="2656"/>
    <x v="280"/>
    <s v="Supplier invoice received"/>
    <x v="444"/>
    <s v="0.0"/>
    <x v="10"/>
    <x v="0"/>
  </r>
  <r>
    <n v="2656"/>
    <x v="280"/>
    <s v="Supplier invoice received"/>
    <x v="273"/>
    <s v="748.26"/>
    <x v="11"/>
    <x v="3"/>
  </r>
  <r>
    <n v="2657"/>
    <x v="280"/>
    <s v="Supplier invoice received"/>
    <x v="366"/>
    <s v="0.0"/>
    <x v="9"/>
    <x v="4"/>
  </r>
  <r>
    <n v="2657"/>
    <x v="280"/>
    <s v="Supplier invoice received"/>
    <x v="367"/>
    <s v="0.0"/>
    <x v="10"/>
    <x v="0"/>
  </r>
  <r>
    <n v="2657"/>
    <x v="280"/>
    <s v="Supplier invoice received"/>
    <x v="273"/>
    <s v="201.5"/>
    <x v="11"/>
    <x v="3"/>
  </r>
  <r>
    <n v="2658"/>
    <x v="280"/>
    <s v="Supplier invoice received"/>
    <x v="405"/>
    <s v="0.0"/>
    <x v="9"/>
    <x v="4"/>
  </r>
  <r>
    <n v="2658"/>
    <x v="280"/>
    <s v="Supplier invoice received"/>
    <x v="406"/>
    <s v="0.0"/>
    <x v="10"/>
    <x v="0"/>
  </r>
  <r>
    <n v="2658"/>
    <x v="280"/>
    <s v="Supplier invoice received"/>
    <x v="273"/>
    <s v="2635.36"/>
    <x v="11"/>
    <x v="3"/>
  </r>
  <r>
    <n v="2659"/>
    <x v="280"/>
    <s v="Supplier payment made"/>
    <x v="488"/>
    <s v="0.0"/>
    <x v="11"/>
    <x v="3"/>
  </r>
  <r>
    <n v="2659"/>
    <x v="280"/>
    <s v="Supplier payment made"/>
    <x v="273"/>
    <s v="2182.41"/>
    <x v="0"/>
    <x v="0"/>
  </r>
  <r>
    <n v="2660"/>
    <x v="280"/>
    <s v="Supplier payment made"/>
    <x v="313"/>
    <s v="0.0"/>
    <x v="11"/>
    <x v="3"/>
  </r>
  <r>
    <n v="2660"/>
    <x v="280"/>
    <s v="Supplier payment made"/>
    <x v="273"/>
    <s v="1159.84"/>
    <x v="0"/>
    <x v="0"/>
  </r>
  <r>
    <n v="2661"/>
    <x v="281"/>
    <s v="Sales invoice issued"/>
    <x v="1183"/>
    <s v="0.0"/>
    <x v="2"/>
    <x v="0"/>
  </r>
  <r>
    <n v="2661"/>
    <x v="281"/>
    <s v="Sales invoice issued"/>
    <x v="273"/>
    <s v="608.44"/>
    <x v="3"/>
    <x v="2"/>
  </r>
  <r>
    <n v="2661"/>
    <x v="281"/>
    <s v="Sales invoice issued"/>
    <x v="273"/>
    <s v="45.64"/>
    <x v="4"/>
    <x v="3"/>
  </r>
  <r>
    <n v="2662"/>
    <x v="281"/>
    <s v="Customer payment received"/>
    <x v="986"/>
    <s v="0.0"/>
    <x v="0"/>
    <x v="0"/>
  </r>
  <r>
    <n v="2662"/>
    <x v="281"/>
    <s v="Customer payment received"/>
    <x v="273"/>
    <s v="3241.33"/>
    <x v="2"/>
    <x v="0"/>
  </r>
  <r>
    <n v="2663"/>
    <x v="281"/>
    <s v="Customer payment received"/>
    <x v="1026"/>
    <s v="0.0"/>
    <x v="0"/>
    <x v="0"/>
  </r>
  <r>
    <n v="2663"/>
    <x v="281"/>
    <s v="Customer payment received"/>
    <x v="273"/>
    <s v="565.71"/>
    <x v="2"/>
    <x v="0"/>
  </r>
  <r>
    <n v="2664"/>
    <x v="281"/>
    <s v="Customer payment received"/>
    <x v="1056"/>
    <s v="0.0"/>
    <x v="0"/>
    <x v="0"/>
  </r>
  <r>
    <n v="2664"/>
    <x v="281"/>
    <s v="Customer payment received"/>
    <x v="273"/>
    <s v="1036.82"/>
    <x v="2"/>
    <x v="0"/>
  </r>
  <r>
    <n v="2665"/>
    <x v="281"/>
    <s v="Customer payment received"/>
    <x v="1184"/>
    <s v="0.0"/>
    <x v="0"/>
    <x v="0"/>
  </r>
  <r>
    <n v="2665"/>
    <x v="281"/>
    <s v="Customer payment received"/>
    <x v="273"/>
    <s v="1212.67"/>
    <x v="2"/>
    <x v="0"/>
  </r>
  <r>
    <n v="2666"/>
    <x v="281"/>
    <s v="Customer payment received"/>
    <x v="1103"/>
    <s v="0.0"/>
    <x v="0"/>
    <x v="0"/>
  </r>
  <r>
    <n v="2666"/>
    <x v="281"/>
    <s v="Customer payment received"/>
    <x v="273"/>
    <s v="3247.5"/>
    <x v="2"/>
    <x v="0"/>
  </r>
  <r>
    <n v="2667"/>
    <x v="281"/>
    <s v="Customer payment received"/>
    <x v="1121"/>
    <s v="0.0"/>
    <x v="0"/>
    <x v="0"/>
  </r>
  <r>
    <n v="2667"/>
    <x v="281"/>
    <s v="Customer payment received"/>
    <x v="273"/>
    <s v="4483.13"/>
    <x v="2"/>
    <x v="0"/>
  </r>
  <r>
    <n v="2668"/>
    <x v="281"/>
    <s v="Customer payment received"/>
    <x v="1178"/>
    <s v="0.0"/>
    <x v="0"/>
    <x v="0"/>
  </r>
  <r>
    <n v="2668"/>
    <x v="281"/>
    <s v="Customer payment received"/>
    <x v="273"/>
    <s v="5076.54"/>
    <x v="2"/>
    <x v="0"/>
  </r>
  <r>
    <n v="2669"/>
    <x v="281"/>
    <s v="Supplier invoice received"/>
    <x v="474"/>
    <s v="0.0"/>
    <x v="9"/>
    <x v="4"/>
  </r>
  <r>
    <n v="2669"/>
    <x v="281"/>
    <s v="Supplier invoice received"/>
    <x v="475"/>
    <s v="0.0"/>
    <x v="10"/>
    <x v="0"/>
  </r>
  <r>
    <n v="2669"/>
    <x v="281"/>
    <s v="Supplier invoice received"/>
    <x v="273"/>
    <s v="862.91"/>
    <x v="11"/>
    <x v="3"/>
  </r>
  <r>
    <n v="2670"/>
    <x v="281"/>
    <s v="Supplier invoice received"/>
    <x v="357"/>
    <s v="0.0"/>
    <x v="9"/>
    <x v="4"/>
  </r>
  <r>
    <n v="2670"/>
    <x v="281"/>
    <s v="Supplier invoice received"/>
    <x v="358"/>
    <s v="0.0"/>
    <x v="10"/>
    <x v="0"/>
  </r>
  <r>
    <n v="2670"/>
    <x v="281"/>
    <s v="Supplier invoice received"/>
    <x v="273"/>
    <s v="1958.74"/>
    <x v="11"/>
    <x v="3"/>
  </r>
  <r>
    <n v="2671"/>
    <x v="281"/>
    <s v="Supplier payment made"/>
    <x v="336"/>
    <s v="0.0"/>
    <x v="11"/>
    <x v="3"/>
  </r>
  <r>
    <n v="2671"/>
    <x v="281"/>
    <s v="Supplier payment made"/>
    <x v="273"/>
    <s v="2093.28"/>
    <x v="0"/>
    <x v="0"/>
  </r>
  <r>
    <n v="2672"/>
    <x v="281"/>
    <s v="Supplier payment made"/>
    <x v="280"/>
    <s v="0.0"/>
    <x v="11"/>
    <x v="3"/>
  </r>
  <r>
    <n v="2672"/>
    <x v="281"/>
    <s v="Supplier payment made"/>
    <x v="273"/>
    <s v="2635.36"/>
    <x v="0"/>
    <x v="0"/>
  </r>
  <r>
    <n v="2673"/>
    <x v="281"/>
    <s v="Supplier payment made"/>
    <x v="335"/>
    <s v="0.0"/>
    <x v="11"/>
    <x v="3"/>
  </r>
  <r>
    <n v="2673"/>
    <x v="281"/>
    <s v="Supplier payment made"/>
    <x v="273"/>
    <s v="550.4"/>
    <x v="0"/>
    <x v="0"/>
  </r>
  <r>
    <n v="2674"/>
    <x v="282"/>
    <s v="Sales invoice issued"/>
    <x v="1185"/>
    <s v="0.0"/>
    <x v="2"/>
    <x v="0"/>
  </r>
  <r>
    <n v="2674"/>
    <x v="282"/>
    <s v="Sales invoice issued"/>
    <x v="273"/>
    <s v="449.31"/>
    <x v="3"/>
    <x v="2"/>
  </r>
  <r>
    <n v="2674"/>
    <x v="282"/>
    <s v="Sales invoice issued"/>
    <x v="273"/>
    <s v="33.7"/>
    <x v="4"/>
    <x v="3"/>
  </r>
  <r>
    <n v="2675"/>
    <x v="282"/>
    <s v="Sales invoice issued"/>
    <x v="1186"/>
    <s v="0.0"/>
    <x v="2"/>
    <x v="0"/>
  </r>
  <r>
    <n v="2675"/>
    <x v="282"/>
    <s v="Sales invoice issued"/>
    <x v="273"/>
    <s v="3334.59"/>
    <x v="3"/>
    <x v="2"/>
  </r>
  <r>
    <n v="2675"/>
    <x v="282"/>
    <s v="Sales invoice issued"/>
    <x v="273"/>
    <s v="250.09"/>
    <x v="4"/>
    <x v="3"/>
  </r>
  <r>
    <n v="2676"/>
    <x v="282"/>
    <s v="Sales invoice issued"/>
    <x v="1187"/>
    <s v="0.0"/>
    <x v="2"/>
    <x v="0"/>
  </r>
  <r>
    <n v="2676"/>
    <x v="282"/>
    <s v="Sales invoice issued"/>
    <x v="273"/>
    <s v="5457.72"/>
    <x v="3"/>
    <x v="2"/>
  </r>
  <r>
    <n v="2676"/>
    <x v="282"/>
    <s v="Sales invoice issued"/>
    <x v="273"/>
    <s v="409.32"/>
    <x v="4"/>
    <x v="3"/>
  </r>
  <r>
    <n v="2677"/>
    <x v="282"/>
    <s v="Sales invoice issued"/>
    <x v="1188"/>
    <s v="0.0"/>
    <x v="2"/>
    <x v="0"/>
  </r>
  <r>
    <n v="2677"/>
    <x v="282"/>
    <s v="Sales invoice issued"/>
    <x v="273"/>
    <s v="268.17"/>
    <x v="3"/>
    <x v="2"/>
  </r>
  <r>
    <n v="2677"/>
    <x v="282"/>
    <s v="Sales invoice issued"/>
    <x v="273"/>
    <s v="20.11"/>
    <x v="4"/>
    <x v="3"/>
  </r>
  <r>
    <n v="2678"/>
    <x v="282"/>
    <s v="Customer payment received"/>
    <x v="1189"/>
    <s v="0.0"/>
    <x v="0"/>
    <x v="0"/>
  </r>
  <r>
    <n v="2678"/>
    <x v="282"/>
    <s v="Customer payment received"/>
    <x v="273"/>
    <s v="1566.89"/>
    <x v="2"/>
    <x v="0"/>
  </r>
  <r>
    <n v="2679"/>
    <x v="282"/>
    <s v="Customer payment received"/>
    <x v="1123"/>
    <s v="0.0"/>
    <x v="0"/>
    <x v="0"/>
  </r>
  <r>
    <n v="2679"/>
    <x v="282"/>
    <s v="Customer payment received"/>
    <x v="273"/>
    <s v="975.74"/>
    <x v="2"/>
    <x v="0"/>
  </r>
  <r>
    <n v="2680"/>
    <x v="282"/>
    <s v="Supplier invoice received"/>
    <x v="305"/>
    <s v="0.0"/>
    <x v="9"/>
    <x v="4"/>
  </r>
  <r>
    <n v="2680"/>
    <x v="282"/>
    <s v="Supplier invoice received"/>
    <x v="306"/>
    <s v="0.0"/>
    <x v="10"/>
    <x v="0"/>
  </r>
  <r>
    <n v="2680"/>
    <x v="282"/>
    <s v="Supplier invoice received"/>
    <x v="273"/>
    <s v="276.32"/>
    <x v="11"/>
    <x v="3"/>
  </r>
  <r>
    <n v="2681"/>
    <x v="282"/>
    <s v="Supplier invoice received"/>
    <x v="372"/>
    <s v="0.0"/>
    <x v="9"/>
    <x v="4"/>
  </r>
  <r>
    <n v="2681"/>
    <x v="282"/>
    <s v="Supplier invoice received"/>
    <x v="373"/>
    <s v="0.0"/>
    <x v="10"/>
    <x v="0"/>
  </r>
  <r>
    <n v="2681"/>
    <x v="282"/>
    <s v="Supplier invoice received"/>
    <x v="273"/>
    <s v="412.54"/>
    <x v="11"/>
    <x v="3"/>
  </r>
  <r>
    <n v="2682"/>
    <x v="282"/>
    <s v="Supplier payment made"/>
    <x v="408"/>
    <s v="0.0"/>
    <x v="11"/>
    <x v="3"/>
  </r>
  <r>
    <n v="2682"/>
    <x v="282"/>
    <s v="Supplier payment made"/>
    <x v="273"/>
    <s v="3868.8"/>
    <x v="0"/>
    <x v="0"/>
  </r>
  <r>
    <n v="2683"/>
    <x v="283"/>
    <s v="Payroll processed"/>
    <x v="1190"/>
    <s v="0.0"/>
    <x v="5"/>
    <x v="4"/>
  </r>
  <r>
    <n v="2683"/>
    <x v="283"/>
    <s v="Payroll processed"/>
    <x v="1191"/>
    <s v="0.0"/>
    <x v="6"/>
    <x v="4"/>
  </r>
  <r>
    <n v="2683"/>
    <x v="283"/>
    <s v="Payroll processed"/>
    <x v="273"/>
    <s v="18326.94"/>
    <x v="0"/>
    <x v="0"/>
  </r>
  <r>
    <n v="2683"/>
    <x v="283"/>
    <s v="Payroll processed"/>
    <x v="273"/>
    <s v="4069.27"/>
    <x v="7"/>
    <x v="3"/>
  </r>
  <r>
    <n v="2683"/>
    <x v="283"/>
    <s v="Payroll processed"/>
    <x v="273"/>
    <s v="895.85"/>
    <x v="8"/>
    <x v="3"/>
  </r>
  <r>
    <n v="2684"/>
    <x v="283"/>
    <s v="Sales invoice issued"/>
    <x v="1192"/>
    <s v="0.0"/>
    <x v="2"/>
    <x v="0"/>
  </r>
  <r>
    <n v="2684"/>
    <x v="283"/>
    <s v="Sales invoice issued"/>
    <x v="273"/>
    <s v="3425.31"/>
    <x v="3"/>
    <x v="2"/>
  </r>
  <r>
    <n v="2684"/>
    <x v="283"/>
    <s v="Sales invoice issued"/>
    <x v="273"/>
    <s v="256.89"/>
    <x v="4"/>
    <x v="3"/>
  </r>
  <r>
    <n v="2685"/>
    <x v="283"/>
    <s v="Sales invoice issued"/>
    <x v="1193"/>
    <s v="0.0"/>
    <x v="2"/>
    <x v="0"/>
  </r>
  <r>
    <n v="2685"/>
    <x v="283"/>
    <s v="Sales invoice issued"/>
    <x v="273"/>
    <s v="2489.22"/>
    <x v="3"/>
    <x v="2"/>
  </r>
  <r>
    <n v="2685"/>
    <x v="283"/>
    <s v="Sales invoice issued"/>
    <x v="273"/>
    <s v="186.69"/>
    <x v="4"/>
    <x v="3"/>
  </r>
  <r>
    <n v="2686"/>
    <x v="283"/>
    <s v="Sales invoice issued"/>
    <x v="1194"/>
    <s v="0.0"/>
    <x v="2"/>
    <x v="0"/>
  </r>
  <r>
    <n v="2686"/>
    <x v="283"/>
    <s v="Sales invoice issued"/>
    <x v="273"/>
    <s v="1875.59"/>
    <x v="3"/>
    <x v="2"/>
  </r>
  <r>
    <n v="2686"/>
    <x v="283"/>
    <s v="Sales invoice issued"/>
    <x v="273"/>
    <s v="140.67"/>
    <x v="4"/>
    <x v="3"/>
  </r>
  <r>
    <n v="2687"/>
    <x v="283"/>
    <s v="Sales invoice issued"/>
    <x v="1195"/>
    <s v="0.0"/>
    <x v="2"/>
    <x v="0"/>
  </r>
  <r>
    <n v="2687"/>
    <x v="283"/>
    <s v="Sales invoice issued"/>
    <x v="273"/>
    <s v="1331.36"/>
    <x v="3"/>
    <x v="2"/>
  </r>
  <r>
    <n v="2687"/>
    <x v="283"/>
    <s v="Sales invoice issued"/>
    <x v="273"/>
    <s v="99.85"/>
    <x v="4"/>
    <x v="3"/>
  </r>
  <r>
    <n v="2688"/>
    <x v="283"/>
    <s v="Sales invoice issued"/>
    <x v="1196"/>
    <s v="0.0"/>
    <x v="2"/>
    <x v="0"/>
  </r>
  <r>
    <n v="2688"/>
    <x v="283"/>
    <s v="Sales invoice issued"/>
    <x v="273"/>
    <s v="1145.46"/>
    <x v="3"/>
    <x v="2"/>
  </r>
  <r>
    <n v="2688"/>
    <x v="283"/>
    <s v="Sales invoice issued"/>
    <x v="273"/>
    <s v="85.9"/>
    <x v="4"/>
    <x v="3"/>
  </r>
  <r>
    <n v="2689"/>
    <x v="283"/>
    <s v="Sales invoice issued"/>
    <x v="1197"/>
    <s v="0.0"/>
    <x v="2"/>
    <x v="0"/>
  </r>
  <r>
    <n v="2689"/>
    <x v="283"/>
    <s v="Sales invoice issued"/>
    <x v="273"/>
    <s v="708.52"/>
    <x v="3"/>
    <x v="2"/>
  </r>
  <r>
    <n v="2689"/>
    <x v="283"/>
    <s v="Sales invoice issued"/>
    <x v="273"/>
    <s v="53.14"/>
    <x v="4"/>
    <x v="3"/>
  </r>
  <r>
    <n v="2690"/>
    <x v="283"/>
    <s v="Customer payment received"/>
    <x v="994"/>
    <s v="0.0"/>
    <x v="0"/>
    <x v="0"/>
  </r>
  <r>
    <n v="2690"/>
    <x v="283"/>
    <s v="Customer payment received"/>
    <x v="273"/>
    <s v="6476.78"/>
    <x v="2"/>
    <x v="0"/>
  </r>
  <r>
    <n v="2691"/>
    <x v="283"/>
    <s v="Customer payment received"/>
    <x v="1088"/>
    <s v="0.0"/>
    <x v="0"/>
    <x v="0"/>
  </r>
  <r>
    <n v="2691"/>
    <x v="283"/>
    <s v="Customer payment received"/>
    <x v="273"/>
    <s v="1696.66"/>
    <x v="2"/>
    <x v="0"/>
  </r>
  <r>
    <n v="2692"/>
    <x v="283"/>
    <s v="Customer payment received"/>
    <x v="1117"/>
    <s v="0.0"/>
    <x v="0"/>
    <x v="0"/>
  </r>
  <r>
    <n v="2692"/>
    <x v="283"/>
    <s v="Customer payment received"/>
    <x v="273"/>
    <s v="1350.79"/>
    <x v="2"/>
    <x v="0"/>
  </r>
  <r>
    <n v="2693"/>
    <x v="283"/>
    <s v="Customer payment received"/>
    <x v="1127"/>
    <s v="0.0"/>
    <x v="0"/>
    <x v="0"/>
  </r>
  <r>
    <n v="2693"/>
    <x v="283"/>
    <s v="Customer payment received"/>
    <x v="273"/>
    <s v="3901.45"/>
    <x v="2"/>
    <x v="0"/>
  </r>
  <r>
    <n v="2694"/>
    <x v="283"/>
    <s v="Customer payment received"/>
    <x v="1154"/>
    <s v="0.0"/>
    <x v="0"/>
    <x v="0"/>
  </r>
  <r>
    <n v="2694"/>
    <x v="283"/>
    <s v="Customer payment received"/>
    <x v="273"/>
    <s v="1462.21"/>
    <x v="2"/>
    <x v="0"/>
  </r>
  <r>
    <n v="2695"/>
    <x v="283"/>
    <s v="Customer payment received"/>
    <x v="1194"/>
    <s v="0.0"/>
    <x v="0"/>
    <x v="0"/>
  </r>
  <r>
    <n v="2695"/>
    <x v="283"/>
    <s v="Customer payment received"/>
    <x v="273"/>
    <s v="2016.26"/>
    <x v="2"/>
    <x v="0"/>
  </r>
  <r>
    <n v="2696"/>
    <x v="283"/>
    <s v="Supplier payment made"/>
    <x v="408"/>
    <s v="0.0"/>
    <x v="11"/>
    <x v="3"/>
  </r>
  <r>
    <n v="2696"/>
    <x v="283"/>
    <s v="Supplier payment made"/>
    <x v="273"/>
    <s v="3868.8"/>
    <x v="0"/>
    <x v="0"/>
  </r>
  <r>
    <n v="2697"/>
    <x v="284"/>
    <s v="Sales invoice issued"/>
    <x v="1198"/>
    <s v="0.0"/>
    <x v="2"/>
    <x v="0"/>
  </r>
  <r>
    <n v="2697"/>
    <x v="284"/>
    <s v="Sales invoice issued"/>
    <x v="273"/>
    <s v="3004.98"/>
    <x v="3"/>
    <x v="2"/>
  </r>
  <r>
    <n v="2697"/>
    <x v="284"/>
    <s v="Sales invoice issued"/>
    <x v="273"/>
    <s v="225.37"/>
    <x v="4"/>
    <x v="3"/>
  </r>
  <r>
    <n v="2698"/>
    <x v="284"/>
    <s v="Sales invoice issued"/>
    <x v="1199"/>
    <s v="0.0"/>
    <x v="2"/>
    <x v="0"/>
  </r>
  <r>
    <n v="2698"/>
    <x v="284"/>
    <s v="Sales invoice issued"/>
    <x v="273"/>
    <s v="571.71"/>
    <x v="3"/>
    <x v="2"/>
  </r>
  <r>
    <n v="2698"/>
    <x v="284"/>
    <s v="Sales invoice issued"/>
    <x v="273"/>
    <s v="42.88"/>
    <x v="4"/>
    <x v="3"/>
  </r>
  <r>
    <n v="2699"/>
    <x v="284"/>
    <s v="Sales invoice issued"/>
    <x v="509"/>
    <s v="0.0"/>
    <x v="2"/>
    <x v="0"/>
  </r>
  <r>
    <n v="2699"/>
    <x v="284"/>
    <s v="Sales invoice issued"/>
    <x v="273"/>
    <s v="100.48"/>
    <x v="3"/>
    <x v="2"/>
  </r>
  <r>
    <n v="2699"/>
    <x v="284"/>
    <s v="Sales invoice issued"/>
    <x v="273"/>
    <s v="7.54"/>
    <x v="4"/>
    <x v="3"/>
  </r>
  <r>
    <n v="2700"/>
    <x v="284"/>
    <s v="Sales invoice issued"/>
    <x v="1200"/>
    <s v="0.0"/>
    <x v="2"/>
    <x v="0"/>
  </r>
  <r>
    <n v="2700"/>
    <x v="284"/>
    <s v="Sales invoice issued"/>
    <x v="273"/>
    <s v="1163.76"/>
    <x v="3"/>
    <x v="2"/>
  </r>
  <r>
    <n v="2700"/>
    <x v="284"/>
    <s v="Sales invoice issued"/>
    <x v="273"/>
    <s v="87.28"/>
    <x v="4"/>
    <x v="3"/>
  </r>
  <r>
    <n v="2701"/>
    <x v="284"/>
    <s v="Sales invoice issued"/>
    <x v="1201"/>
    <s v="0.0"/>
    <x v="2"/>
    <x v="0"/>
  </r>
  <r>
    <n v="2701"/>
    <x v="284"/>
    <s v="Sales invoice issued"/>
    <x v="273"/>
    <s v="5394.88"/>
    <x v="3"/>
    <x v="2"/>
  </r>
  <r>
    <n v="2701"/>
    <x v="284"/>
    <s v="Sales invoice issued"/>
    <x v="273"/>
    <s v="404.62"/>
    <x v="4"/>
    <x v="3"/>
  </r>
  <r>
    <n v="2702"/>
    <x v="284"/>
    <s v="Customer payment received"/>
    <x v="1057"/>
    <s v="0.0"/>
    <x v="0"/>
    <x v="0"/>
  </r>
  <r>
    <n v="2702"/>
    <x v="284"/>
    <s v="Customer payment received"/>
    <x v="273"/>
    <s v="104.34"/>
    <x v="2"/>
    <x v="0"/>
  </r>
  <r>
    <n v="2703"/>
    <x v="284"/>
    <s v="Customer payment received"/>
    <x v="1065"/>
    <s v="0.0"/>
    <x v="0"/>
    <x v="0"/>
  </r>
  <r>
    <n v="2703"/>
    <x v="284"/>
    <s v="Customer payment received"/>
    <x v="273"/>
    <s v="1733.92"/>
    <x v="2"/>
    <x v="0"/>
  </r>
  <r>
    <n v="2704"/>
    <x v="284"/>
    <s v="Customer payment received"/>
    <x v="1169"/>
    <s v="0.0"/>
    <x v="0"/>
    <x v="0"/>
  </r>
  <r>
    <n v="2704"/>
    <x v="284"/>
    <s v="Customer payment received"/>
    <x v="273"/>
    <s v="1253.03"/>
    <x v="2"/>
    <x v="0"/>
  </r>
  <r>
    <n v="2705"/>
    <x v="284"/>
    <s v="Customer payment received"/>
    <x v="1170"/>
    <s v="0.0"/>
    <x v="0"/>
    <x v="0"/>
  </r>
  <r>
    <n v="2705"/>
    <x v="284"/>
    <s v="Customer payment received"/>
    <x v="273"/>
    <s v="3929.51"/>
    <x v="2"/>
    <x v="0"/>
  </r>
  <r>
    <n v="2706"/>
    <x v="284"/>
    <s v="Customer payment received"/>
    <x v="1182"/>
    <s v="0.0"/>
    <x v="0"/>
    <x v="0"/>
  </r>
  <r>
    <n v="2706"/>
    <x v="284"/>
    <s v="Customer payment received"/>
    <x v="273"/>
    <s v="2025.4"/>
    <x v="2"/>
    <x v="0"/>
  </r>
  <r>
    <n v="2707"/>
    <x v="284"/>
    <s v="Supplier invoice received"/>
    <x v="332"/>
    <s v="0.0"/>
    <x v="9"/>
    <x v="4"/>
  </r>
  <r>
    <n v="2707"/>
    <x v="284"/>
    <s v="Supplier invoice received"/>
    <x v="333"/>
    <s v="0.0"/>
    <x v="10"/>
    <x v="0"/>
  </r>
  <r>
    <n v="2707"/>
    <x v="284"/>
    <s v="Supplier invoice received"/>
    <x v="273"/>
    <s v="1023.42"/>
    <x v="11"/>
    <x v="3"/>
  </r>
  <r>
    <n v="2708"/>
    <x v="284"/>
    <s v="Supplier invoice received"/>
    <x v="374"/>
    <s v="0.0"/>
    <x v="9"/>
    <x v="4"/>
  </r>
  <r>
    <n v="2708"/>
    <x v="284"/>
    <s v="Supplier invoice received"/>
    <x v="375"/>
    <s v="0.0"/>
    <x v="10"/>
    <x v="0"/>
  </r>
  <r>
    <n v="2708"/>
    <x v="284"/>
    <s v="Supplier invoice received"/>
    <x v="273"/>
    <s v="2504.23"/>
    <x v="11"/>
    <x v="3"/>
  </r>
  <r>
    <n v="2709"/>
    <x v="284"/>
    <s v="Supplier payment made"/>
    <x v="280"/>
    <s v="0.0"/>
    <x v="11"/>
    <x v="3"/>
  </r>
  <r>
    <n v="2709"/>
    <x v="284"/>
    <s v="Supplier payment made"/>
    <x v="273"/>
    <s v="2635.36"/>
    <x v="0"/>
    <x v="0"/>
  </r>
  <r>
    <n v="2710"/>
    <x v="284"/>
    <s v="Supplier payment made"/>
    <x v="504"/>
    <s v="0.0"/>
    <x v="11"/>
    <x v="3"/>
  </r>
  <r>
    <n v="2710"/>
    <x v="284"/>
    <s v="Supplier payment made"/>
    <x v="273"/>
    <s v="1958.74"/>
    <x v="0"/>
    <x v="0"/>
  </r>
  <r>
    <n v="2711"/>
    <x v="284"/>
    <s v="Depreciation â€” POS System"/>
    <x v="425"/>
    <s v="0.0"/>
    <x v="12"/>
    <x v="4"/>
  </r>
  <r>
    <n v="2711"/>
    <x v="284"/>
    <s v="Depreciation â€” POS System"/>
    <x v="273"/>
    <s v="93.61"/>
    <x v="13"/>
    <x v="0"/>
  </r>
  <r>
    <n v="2712"/>
    <x v="284"/>
    <s v="Depreciation â€” Laptop x2"/>
    <x v="426"/>
    <s v="0.0"/>
    <x v="12"/>
    <x v="4"/>
  </r>
  <r>
    <n v="2712"/>
    <x v="284"/>
    <s v="Depreciation â€” Laptop x2"/>
    <x v="273"/>
    <s v="76.86"/>
    <x v="13"/>
    <x v="0"/>
  </r>
  <r>
    <n v="2713"/>
    <x v="284"/>
    <s v="Depreciation â€” Printer/Scanner"/>
    <x v="427"/>
    <s v="0.0"/>
    <x v="12"/>
    <x v="4"/>
  </r>
  <r>
    <n v="2713"/>
    <x v="284"/>
    <s v="Depreciation â€” Printer/Scanner"/>
    <x v="273"/>
    <s v="20.03"/>
    <x v="13"/>
    <x v="0"/>
  </r>
  <r>
    <n v="2714"/>
    <x v="284"/>
    <s v="Depreciation â€” Shop Shelving"/>
    <x v="428"/>
    <s v="0.0"/>
    <x v="12"/>
    <x v="4"/>
  </r>
  <r>
    <n v="2714"/>
    <x v="284"/>
    <s v="Depreciation â€” Shop Shelving"/>
    <x v="273"/>
    <s v="86.89"/>
    <x v="14"/>
    <x v="0"/>
  </r>
  <r>
    <n v="2715"/>
    <x v="284"/>
    <s v="Depreciation â€” Display Stands"/>
    <x v="429"/>
    <s v="0.0"/>
    <x v="12"/>
    <x v="4"/>
  </r>
  <r>
    <n v="2715"/>
    <x v="284"/>
    <s v="Depreciation â€” Display Stands"/>
    <x v="273"/>
    <s v="76.8"/>
    <x v="14"/>
    <x v="0"/>
  </r>
  <r>
    <n v="2716"/>
    <x v="284"/>
    <s v="Depreciation â€” Counter &amp; Checkout"/>
    <x v="430"/>
    <s v="0.0"/>
    <x v="12"/>
    <x v="4"/>
  </r>
  <r>
    <n v="2716"/>
    <x v="284"/>
    <s v="Depreciation â€” Counter &amp; Checkout"/>
    <x v="273"/>
    <s v="48.28"/>
    <x v="14"/>
    <x v="0"/>
  </r>
  <r>
    <n v="2717"/>
    <x v="284"/>
    <s v="Depreciation â€” Signage"/>
    <x v="431"/>
    <s v="0.0"/>
    <x v="12"/>
    <x v="4"/>
  </r>
  <r>
    <n v="2717"/>
    <x v="284"/>
    <s v="Depreciation â€” Signage"/>
    <x v="273"/>
    <s v="53.21"/>
    <x v="14"/>
    <x v="0"/>
  </r>
  <r>
    <n v="2718"/>
    <x v="284"/>
    <s v="Depreciation â€” Delivery Van"/>
    <x v="432"/>
    <s v="0.0"/>
    <x v="12"/>
    <x v="4"/>
  </r>
  <r>
    <n v="2718"/>
    <x v="284"/>
    <s v="Depreciation â€” Delivery Van"/>
    <x v="273"/>
    <s v="232.19"/>
    <x v="15"/>
    <x v="0"/>
  </r>
  <r>
    <n v="2719"/>
    <x v="284"/>
    <s v="Depreciation â€” Security System"/>
    <x v="433"/>
    <s v="0.0"/>
    <x v="12"/>
    <x v="4"/>
  </r>
  <r>
    <n v="2719"/>
    <x v="284"/>
    <s v="Depreciation â€” Security System"/>
    <x v="273"/>
    <s v="43.85"/>
    <x v="13"/>
    <x v="0"/>
  </r>
  <r>
    <n v="2720"/>
    <x v="285"/>
    <s v="Sales invoice issued"/>
    <x v="1202"/>
    <s v="0.0"/>
    <x v="2"/>
    <x v="0"/>
  </r>
  <r>
    <n v="2720"/>
    <x v="285"/>
    <s v="Sales invoice issued"/>
    <x v="273"/>
    <s v="844.99"/>
    <x v="3"/>
    <x v="2"/>
  </r>
  <r>
    <n v="2720"/>
    <x v="285"/>
    <s v="Sales invoice issued"/>
    <x v="273"/>
    <s v="63.38"/>
    <x v="4"/>
    <x v="3"/>
  </r>
  <r>
    <n v="2721"/>
    <x v="285"/>
    <s v="Sales invoice issued"/>
    <x v="1203"/>
    <s v="0.0"/>
    <x v="2"/>
    <x v="0"/>
  </r>
  <r>
    <n v="2721"/>
    <x v="285"/>
    <s v="Sales invoice issued"/>
    <x v="273"/>
    <s v="2970.73"/>
    <x v="3"/>
    <x v="2"/>
  </r>
  <r>
    <n v="2721"/>
    <x v="285"/>
    <s v="Sales invoice issued"/>
    <x v="273"/>
    <s v="222.8"/>
    <x v="4"/>
    <x v="3"/>
  </r>
  <r>
    <n v="2722"/>
    <x v="285"/>
    <s v="Sales invoice issued"/>
    <x v="1204"/>
    <s v="0.0"/>
    <x v="2"/>
    <x v="0"/>
  </r>
  <r>
    <n v="2722"/>
    <x v="285"/>
    <s v="Sales invoice issued"/>
    <x v="273"/>
    <s v="1201.53"/>
    <x v="3"/>
    <x v="2"/>
  </r>
  <r>
    <n v="2722"/>
    <x v="285"/>
    <s v="Sales invoice issued"/>
    <x v="273"/>
    <s v="90.12"/>
    <x v="4"/>
    <x v="3"/>
  </r>
  <r>
    <n v="2723"/>
    <x v="285"/>
    <s v="Sales invoice issued"/>
    <x v="1205"/>
    <s v="0.0"/>
    <x v="2"/>
    <x v="0"/>
  </r>
  <r>
    <n v="2723"/>
    <x v="285"/>
    <s v="Sales invoice issued"/>
    <x v="273"/>
    <s v="99.19"/>
    <x v="3"/>
    <x v="2"/>
  </r>
  <r>
    <n v="2723"/>
    <x v="285"/>
    <s v="Sales invoice issued"/>
    <x v="273"/>
    <s v="7.44"/>
    <x v="4"/>
    <x v="3"/>
  </r>
  <r>
    <n v="2724"/>
    <x v="285"/>
    <s v="Sales invoice issued"/>
    <x v="1206"/>
    <s v="0.0"/>
    <x v="2"/>
    <x v="0"/>
  </r>
  <r>
    <n v="2724"/>
    <x v="285"/>
    <s v="Sales invoice issued"/>
    <x v="273"/>
    <s v="200.96"/>
    <x v="3"/>
    <x v="2"/>
  </r>
  <r>
    <n v="2724"/>
    <x v="285"/>
    <s v="Sales invoice issued"/>
    <x v="273"/>
    <s v="15.07"/>
    <x v="4"/>
    <x v="3"/>
  </r>
  <r>
    <n v="2725"/>
    <x v="285"/>
    <s v="Customer payment received"/>
    <x v="1207"/>
    <s v="0.0"/>
    <x v="0"/>
    <x v="0"/>
  </r>
  <r>
    <n v="2725"/>
    <x v="285"/>
    <s v="Customer payment received"/>
    <x v="273"/>
    <s v="76.35"/>
    <x v="2"/>
    <x v="0"/>
  </r>
  <r>
    <n v="2726"/>
    <x v="285"/>
    <s v="Customer payment received"/>
    <x v="1164"/>
    <s v="0.0"/>
    <x v="0"/>
    <x v="0"/>
  </r>
  <r>
    <n v="2726"/>
    <x v="285"/>
    <s v="Customer payment received"/>
    <x v="273"/>
    <s v="587.76"/>
    <x v="2"/>
    <x v="0"/>
  </r>
  <r>
    <n v="2727"/>
    <x v="285"/>
    <s v="Customer payment received"/>
    <x v="1061"/>
    <s v="0.0"/>
    <x v="0"/>
    <x v="0"/>
  </r>
  <r>
    <n v="2727"/>
    <x v="285"/>
    <s v="Customer payment received"/>
    <x v="273"/>
    <s v="480.91"/>
    <x v="2"/>
    <x v="0"/>
  </r>
  <r>
    <n v="2728"/>
    <x v="285"/>
    <s v="Customer payment received"/>
    <x v="1179"/>
    <s v="0.0"/>
    <x v="0"/>
    <x v="0"/>
  </r>
  <r>
    <n v="2728"/>
    <x v="285"/>
    <s v="Customer payment received"/>
    <x v="273"/>
    <s v="43.47"/>
    <x v="2"/>
    <x v="0"/>
  </r>
  <r>
    <n v="2729"/>
    <x v="285"/>
    <s v="Customer payment received"/>
    <x v="1196"/>
    <s v="0.0"/>
    <x v="0"/>
    <x v="0"/>
  </r>
  <r>
    <n v="2729"/>
    <x v="285"/>
    <s v="Customer payment received"/>
    <x v="273"/>
    <s v="1231.36"/>
    <x v="2"/>
    <x v="0"/>
  </r>
  <r>
    <n v="2730"/>
    <x v="285"/>
    <s v="Customer payment received"/>
    <x v="509"/>
    <s v="0.0"/>
    <x v="0"/>
    <x v="0"/>
  </r>
  <r>
    <n v="2730"/>
    <x v="285"/>
    <s v="Customer payment received"/>
    <x v="273"/>
    <s v="108.02"/>
    <x v="2"/>
    <x v="0"/>
  </r>
  <r>
    <n v="2731"/>
    <x v="285"/>
    <s v="Supplier invoice received"/>
    <x v="301"/>
    <s v="0.0"/>
    <x v="9"/>
    <x v="4"/>
  </r>
  <r>
    <n v="2731"/>
    <x v="285"/>
    <s v="Supplier invoice received"/>
    <x v="302"/>
    <s v="0.0"/>
    <x v="10"/>
    <x v="0"/>
  </r>
  <r>
    <n v="2731"/>
    <x v="285"/>
    <s v="Supplier invoice received"/>
    <x v="273"/>
    <s v="4812.46"/>
    <x v="11"/>
    <x v="3"/>
  </r>
  <r>
    <n v="2732"/>
    <x v="285"/>
    <s v="Supplier invoice received"/>
    <x v="295"/>
    <s v="0.0"/>
    <x v="9"/>
    <x v="4"/>
  </r>
  <r>
    <n v="2732"/>
    <x v="285"/>
    <s v="Supplier invoice received"/>
    <x v="296"/>
    <s v="0.0"/>
    <x v="10"/>
    <x v="0"/>
  </r>
  <r>
    <n v="2732"/>
    <x v="285"/>
    <s v="Supplier invoice received"/>
    <x v="273"/>
    <s v="1766.46"/>
    <x v="11"/>
    <x v="3"/>
  </r>
  <r>
    <n v="2733"/>
    <x v="285"/>
    <s v="Supplier invoice received"/>
    <x v="448"/>
    <s v="0.0"/>
    <x v="9"/>
    <x v="4"/>
  </r>
  <r>
    <n v="2733"/>
    <x v="285"/>
    <s v="Supplier invoice received"/>
    <x v="449"/>
    <s v="0.0"/>
    <x v="10"/>
    <x v="0"/>
  </r>
  <r>
    <n v="2733"/>
    <x v="285"/>
    <s v="Supplier invoice received"/>
    <x v="273"/>
    <s v="7227.44"/>
    <x v="11"/>
    <x v="3"/>
  </r>
  <r>
    <n v="2734"/>
    <x v="285"/>
    <s v="Supplier invoice received"/>
    <x v="303"/>
    <s v="0.0"/>
    <x v="9"/>
    <x v="4"/>
  </r>
  <r>
    <n v="2734"/>
    <x v="285"/>
    <s v="Supplier invoice received"/>
    <x v="304"/>
    <s v="0.0"/>
    <x v="10"/>
    <x v="0"/>
  </r>
  <r>
    <n v="2734"/>
    <x v="285"/>
    <s v="Supplier invoice received"/>
    <x v="273"/>
    <s v="550.4"/>
    <x v="11"/>
    <x v="3"/>
  </r>
  <r>
    <n v="2735"/>
    <x v="285"/>
    <s v="Supplier invoice received"/>
    <x v="405"/>
    <s v="0.0"/>
    <x v="9"/>
    <x v="4"/>
  </r>
  <r>
    <n v="2735"/>
    <x v="285"/>
    <s v="Supplier invoice received"/>
    <x v="406"/>
    <s v="0.0"/>
    <x v="10"/>
    <x v="0"/>
  </r>
  <r>
    <n v="2735"/>
    <x v="285"/>
    <s v="Supplier invoice received"/>
    <x v="273"/>
    <s v="2635.36"/>
    <x v="11"/>
    <x v="3"/>
  </r>
  <r>
    <n v="2736"/>
    <x v="285"/>
    <s v="Supplier payment made"/>
    <x v="318"/>
    <s v="0.0"/>
    <x v="11"/>
    <x v="3"/>
  </r>
  <r>
    <n v="2736"/>
    <x v="285"/>
    <s v="Supplier payment made"/>
    <x v="273"/>
    <s v="2504.23"/>
    <x v="0"/>
    <x v="0"/>
  </r>
  <r>
    <n v="2737"/>
    <x v="285"/>
    <s v="Supplier payment made"/>
    <x v="496"/>
    <s v="0.0"/>
    <x v="11"/>
    <x v="3"/>
  </r>
  <r>
    <n v="2737"/>
    <x v="285"/>
    <s v="Supplier payment made"/>
    <x v="273"/>
    <s v="7227.44"/>
    <x v="0"/>
    <x v="0"/>
  </r>
  <r>
    <n v="2738"/>
    <x v="285"/>
    <s v="Supplier payment made"/>
    <x v="515"/>
    <s v="0.0"/>
    <x v="11"/>
    <x v="3"/>
  </r>
  <r>
    <n v="2738"/>
    <x v="285"/>
    <s v="Supplier payment made"/>
    <x v="273"/>
    <s v="862.91"/>
    <x v="0"/>
    <x v="0"/>
  </r>
  <r>
    <n v="2739"/>
    <x v="286"/>
    <s v="Sales invoice issued"/>
    <x v="1208"/>
    <s v="0.0"/>
    <x v="2"/>
    <x v="0"/>
  </r>
  <r>
    <n v="2739"/>
    <x v="286"/>
    <s v="Sales invoice issued"/>
    <x v="273"/>
    <s v="846.89"/>
    <x v="3"/>
    <x v="2"/>
  </r>
  <r>
    <n v="2739"/>
    <x v="286"/>
    <s v="Sales invoice issued"/>
    <x v="273"/>
    <s v="63.53"/>
    <x v="4"/>
    <x v="3"/>
  </r>
  <r>
    <n v="2740"/>
    <x v="286"/>
    <s v="Sales invoice issued"/>
    <x v="1209"/>
    <s v="0.0"/>
    <x v="2"/>
    <x v="0"/>
  </r>
  <r>
    <n v="2740"/>
    <x v="286"/>
    <s v="Sales invoice issued"/>
    <x v="273"/>
    <s v="3016.89"/>
    <x v="3"/>
    <x v="2"/>
  </r>
  <r>
    <n v="2740"/>
    <x v="286"/>
    <s v="Sales invoice issued"/>
    <x v="273"/>
    <s v="226.27"/>
    <x v="4"/>
    <x v="3"/>
  </r>
  <r>
    <n v="2741"/>
    <x v="286"/>
    <s v="Customer payment received"/>
    <x v="1001"/>
    <s v="0.0"/>
    <x v="0"/>
    <x v="0"/>
  </r>
  <r>
    <n v="2741"/>
    <x v="286"/>
    <s v="Customer payment received"/>
    <x v="273"/>
    <s v="2913.26"/>
    <x v="2"/>
    <x v="0"/>
  </r>
  <r>
    <n v="2742"/>
    <x v="286"/>
    <s v="Customer payment received"/>
    <x v="1210"/>
    <s v="0.0"/>
    <x v="0"/>
    <x v="0"/>
  </r>
  <r>
    <n v="2742"/>
    <x v="286"/>
    <s v="Customer payment received"/>
    <x v="273"/>
    <s v="1832.5"/>
    <x v="2"/>
    <x v="0"/>
  </r>
  <r>
    <n v="2743"/>
    <x v="286"/>
    <s v="Customer payment received"/>
    <x v="1143"/>
    <s v="0.0"/>
    <x v="0"/>
    <x v="0"/>
  </r>
  <r>
    <n v="2743"/>
    <x v="286"/>
    <s v="Customer payment received"/>
    <x v="273"/>
    <s v="1289.22"/>
    <x v="2"/>
    <x v="0"/>
  </r>
  <r>
    <n v="2744"/>
    <x v="286"/>
    <s v="Customer payment received"/>
    <x v="1160"/>
    <s v="0.0"/>
    <x v="0"/>
    <x v="0"/>
  </r>
  <r>
    <n v="2744"/>
    <x v="286"/>
    <s v="Customer payment received"/>
    <x v="273"/>
    <s v="1878.58"/>
    <x v="2"/>
    <x v="0"/>
  </r>
  <r>
    <n v="2745"/>
    <x v="286"/>
    <s v="Customer payment received"/>
    <x v="1211"/>
    <s v="0.0"/>
    <x v="0"/>
    <x v="0"/>
  </r>
  <r>
    <n v="2745"/>
    <x v="286"/>
    <s v="Customer payment received"/>
    <x v="273"/>
    <s v="148.52"/>
    <x v="2"/>
    <x v="0"/>
  </r>
  <r>
    <n v="2746"/>
    <x v="286"/>
    <s v="Supplier invoice received"/>
    <x v="445"/>
    <s v="0.0"/>
    <x v="9"/>
    <x v="4"/>
  </r>
  <r>
    <n v="2746"/>
    <x v="286"/>
    <s v="Supplier invoice received"/>
    <x v="446"/>
    <s v="0.0"/>
    <x v="10"/>
    <x v="0"/>
  </r>
  <r>
    <n v="2746"/>
    <x v="286"/>
    <s v="Supplier invoice received"/>
    <x v="273"/>
    <s v="1794.11"/>
    <x v="11"/>
    <x v="3"/>
  </r>
  <r>
    <n v="2747"/>
    <x v="286"/>
    <s v="Supplier payment made"/>
    <x v="310"/>
    <s v="0.0"/>
    <x v="11"/>
    <x v="3"/>
  </r>
  <r>
    <n v="2747"/>
    <x v="286"/>
    <s v="Supplier payment made"/>
    <x v="273"/>
    <s v="276.32"/>
    <x v="0"/>
    <x v="0"/>
  </r>
  <r>
    <n v="2748"/>
    <x v="287"/>
    <s v="Sales invoice issued"/>
    <x v="1212"/>
    <s v="0.0"/>
    <x v="2"/>
    <x v="0"/>
  </r>
  <r>
    <n v="2748"/>
    <x v="287"/>
    <s v="Sales invoice issued"/>
    <x v="273"/>
    <s v="1216.21"/>
    <x v="3"/>
    <x v="2"/>
  </r>
  <r>
    <n v="2748"/>
    <x v="287"/>
    <s v="Sales invoice issued"/>
    <x v="273"/>
    <s v="91.21"/>
    <x v="4"/>
    <x v="3"/>
  </r>
  <r>
    <n v="2749"/>
    <x v="287"/>
    <s v="Sales invoice issued"/>
    <x v="1213"/>
    <s v="0.0"/>
    <x v="2"/>
    <x v="0"/>
  </r>
  <r>
    <n v="2749"/>
    <x v="287"/>
    <s v="Sales invoice issued"/>
    <x v="273"/>
    <s v="86.76"/>
    <x v="3"/>
    <x v="2"/>
  </r>
  <r>
    <n v="2749"/>
    <x v="287"/>
    <s v="Sales invoice issued"/>
    <x v="273"/>
    <s v="6.51"/>
    <x v="4"/>
    <x v="3"/>
  </r>
  <r>
    <n v="2750"/>
    <x v="287"/>
    <s v="Sales invoice issued"/>
    <x v="1214"/>
    <s v="0.0"/>
    <x v="2"/>
    <x v="0"/>
  </r>
  <r>
    <n v="2750"/>
    <x v="287"/>
    <s v="Sales invoice issued"/>
    <x v="273"/>
    <s v="2774.73"/>
    <x v="3"/>
    <x v="2"/>
  </r>
  <r>
    <n v="2750"/>
    <x v="287"/>
    <s v="Sales invoice issued"/>
    <x v="273"/>
    <s v="208.11"/>
    <x v="4"/>
    <x v="3"/>
  </r>
  <r>
    <n v="2751"/>
    <x v="287"/>
    <s v="Customer payment received"/>
    <x v="1166"/>
    <s v="0.0"/>
    <x v="0"/>
    <x v="0"/>
  </r>
  <r>
    <n v="2751"/>
    <x v="287"/>
    <s v="Customer payment received"/>
    <x v="273"/>
    <s v="2913.78"/>
    <x v="2"/>
    <x v="0"/>
  </r>
  <r>
    <n v="2752"/>
    <x v="287"/>
    <s v="Customer payment received"/>
    <x v="1215"/>
    <s v="0.0"/>
    <x v="0"/>
    <x v="0"/>
  </r>
  <r>
    <n v="2752"/>
    <x v="287"/>
    <s v="Customer payment received"/>
    <x v="273"/>
    <s v="480.48"/>
    <x v="2"/>
    <x v="0"/>
  </r>
  <r>
    <n v="2753"/>
    <x v="287"/>
    <s v="Supplier payment made"/>
    <x v="318"/>
    <s v="0.0"/>
    <x v="11"/>
    <x v="3"/>
  </r>
  <r>
    <n v="2753"/>
    <x v="287"/>
    <s v="Supplier payment made"/>
    <x v="273"/>
    <s v="2504.23"/>
    <x v="0"/>
    <x v="0"/>
  </r>
  <r>
    <n v="2754"/>
    <x v="287"/>
    <s v="Supplier payment made"/>
    <x v="496"/>
    <s v="0.0"/>
    <x v="11"/>
    <x v="3"/>
  </r>
  <r>
    <n v="2754"/>
    <x v="287"/>
    <s v="Supplier payment made"/>
    <x v="273"/>
    <s v="7227.44"/>
    <x v="0"/>
    <x v="0"/>
  </r>
  <r>
    <n v="2755"/>
    <x v="288"/>
    <s v="Sales invoice issued"/>
    <x v="1216"/>
    <s v="0.0"/>
    <x v="2"/>
    <x v="0"/>
  </r>
  <r>
    <n v="2755"/>
    <x v="288"/>
    <s v="Sales invoice issued"/>
    <x v="273"/>
    <s v="246.04"/>
    <x v="3"/>
    <x v="2"/>
  </r>
  <r>
    <n v="2755"/>
    <x v="288"/>
    <s v="Sales invoice issued"/>
    <x v="273"/>
    <s v="18.45"/>
    <x v="4"/>
    <x v="3"/>
  </r>
  <r>
    <n v="2756"/>
    <x v="288"/>
    <s v="Sales invoice issued"/>
    <x v="1217"/>
    <s v="0.0"/>
    <x v="2"/>
    <x v="0"/>
  </r>
  <r>
    <n v="2756"/>
    <x v="288"/>
    <s v="Sales invoice issued"/>
    <x v="273"/>
    <s v="1241.25"/>
    <x v="3"/>
    <x v="2"/>
  </r>
  <r>
    <n v="2756"/>
    <x v="288"/>
    <s v="Sales invoice issued"/>
    <x v="273"/>
    <s v="93.1"/>
    <x v="4"/>
    <x v="3"/>
  </r>
  <r>
    <n v="2757"/>
    <x v="288"/>
    <s v="Customer payment received"/>
    <x v="1053"/>
    <s v="0.0"/>
    <x v="0"/>
    <x v="0"/>
  </r>
  <r>
    <n v="2757"/>
    <x v="288"/>
    <s v="Customer payment received"/>
    <x v="273"/>
    <s v="836.5"/>
    <x v="2"/>
    <x v="0"/>
  </r>
  <r>
    <n v="2758"/>
    <x v="288"/>
    <s v="Customer payment received"/>
    <x v="1218"/>
    <s v="0.0"/>
    <x v="0"/>
    <x v="0"/>
  </r>
  <r>
    <n v="2758"/>
    <x v="288"/>
    <s v="Customer payment received"/>
    <x v="273"/>
    <s v="356.7"/>
    <x v="2"/>
    <x v="0"/>
  </r>
  <r>
    <n v="2759"/>
    <x v="288"/>
    <s v="Supplier invoice received"/>
    <x v="325"/>
    <s v="0.0"/>
    <x v="9"/>
    <x v="4"/>
  </r>
  <r>
    <n v="2759"/>
    <x v="288"/>
    <s v="Supplier invoice received"/>
    <x v="326"/>
    <s v="0.0"/>
    <x v="10"/>
    <x v="0"/>
  </r>
  <r>
    <n v="2759"/>
    <x v="288"/>
    <s v="Supplier invoice received"/>
    <x v="273"/>
    <s v="1304.62"/>
    <x v="11"/>
    <x v="3"/>
  </r>
  <r>
    <n v="2760"/>
    <x v="289"/>
    <s v="Sales invoice issued"/>
    <x v="1219"/>
    <s v="0.0"/>
    <x v="2"/>
    <x v="0"/>
  </r>
  <r>
    <n v="2760"/>
    <x v="289"/>
    <s v="Sales invoice issued"/>
    <x v="273"/>
    <s v="114.3"/>
    <x v="3"/>
    <x v="2"/>
  </r>
  <r>
    <n v="2760"/>
    <x v="289"/>
    <s v="Sales invoice issued"/>
    <x v="273"/>
    <s v="8.57"/>
    <x v="4"/>
    <x v="3"/>
  </r>
  <r>
    <n v="2761"/>
    <x v="289"/>
    <s v="Sales invoice issued"/>
    <x v="1220"/>
    <s v="0.0"/>
    <x v="2"/>
    <x v="0"/>
  </r>
  <r>
    <n v="2761"/>
    <x v="289"/>
    <s v="Sales invoice issued"/>
    <x v="273"/>
    <s v="1127.18"/>
    <x v="3"/>
    <x v="2"/>
  </r>
  <r>
    <n v="2761"/>
    <x v="289"/>
    <s v="Sales invoice issued"/>
    <x v="273"/>
    <s v="84.54"/>
    <x v="4"/>
    <x v="3"/>
  </r>
  <r>
    <n v="2762"/>
    <x v="289"/>
    <s v="Sales invoice issued"/>
    <x v="1221"/>
    <s v="0.0"/>
    <x v="2"/>
    <x v="0"/>
  </r>
  <r>
    <n v="2762"/>
    <x v="289"/>
    <s v="Sales invoice issued"/>
    <x v="273"/>
    <s v="138.71"/>
    <x v="3"/>
    <x v="2"/>
  </r>
  <r>
    <n v="2762"/>
    <x v="289"/>
    <s v="Sales invoice issued"/>
    <x v="273"/>
    <s v="10.4"/>
    <x v="4"/>
    <x v="3"/>
  </r>
  <r>
    <n v="2763"/>
    <x v="289"/>
    <s v="Sales invoice issued"/>
    <x v="1222"/>
    <s v="0.0"/>
    <x v="2"/>
    <x v="0"/>
  </r>
  <r>
    <n v="2763"/>
    <x v="289"/>
    <s v="Sales invoice issued"/>
    <x v="273"/>
    <s v="1207.24"/>
    <x v="3"/>
    <x v="2"/>
  </r>
  <r>
    <n v="2763"/>
    <x v="289"/>
    <s v="Sales invoice issued"/>
    <x v="273"/>
    <s v="90.55"/>
    <x v="4"/>
    <x v="3"/>
  </r>
  <r>
    <n v="2764"/>
    <x v="289"/>
    <s v="Sales invoice issued"/>
    <x v="1223"/>
    <s v="0.0"/>
    <x v="2"/>
    <x v="0"/>
  </r>
  <r>
    <n v="2764"/>
    <x v="289"/>
    <s v="Sales invoice issued"/>
    <x v="273"/>
    <s v="3024.87"/>
    <x v="3"/>
    <x v="2"/>
  </r>
  <r>
    <n v="2764"/>
    <x v="289"/>
    <s v="Sales invoice issued"/>
    <x v="273"/>
    <s v="226.85"/>
    <x v="4"/>
    <x v="3"/>
  </r>
  <r>
    <n v="2765"/>
    <x v="289"/>
    <s v="Sales invoice issued"/>
    <x v="1224"/>
    <s v="0.0"/>
    <x v="2"/>
    <x v="0"/>
  </r>
  <r>
    <n v="2765"/>
    <x v="289"/>
    <s v="Sales invoice issued"/>
    <x v="273"/>
    <s v="889.91"/>
    <x v="3"/>
    <x v="2"/>
  </r>
  <r>
    <n v="2765"/>
    <x v="289"/>
    <s v="Sales invoice issued"/>
    <x v="273"/>
    <s v="66.74"/>
    <x v="4"/>
    <x v="3"/>
  </r>
  <r>
    <n v="2766"/>
    <x v="289"/>
    <s v="Customer payment received"/>
    <x v="946"/>
    <s v="0.0"/>
    <x v="0"/>
    <x v="0"/>
  </r>
  <r>
    <n v="2766"/>
    <x v="289"/>
    <s v="Customer payment received"/>
    <x v="273"/>
    <s v="2376.35"/>
    <x v="2"/>
    <x v="0"/>
  </r>
  <r>
    <n v="2767"/>
    <x v="289"/>
    <s v="Customer payment received"/>
    <x v="1144"/>
    <s v="0.0"/>
    <x v="0"/>
    <x v="0"/>
  </r>
  <r>
    <n v="2767"/>
    <x v="289"/>
    <s v="Customer payment received"/>
    <x v="273"/>
    <s v="2955.65"/>
    <x v="2"/>
    <x v="0"/>
  </r>
  <r>
    <n v="2768"/>
    <x v="289"/>
    <s v="Customer payment received"/>
    <x v="1151"/>
    <s v="0.0"/>
    <x v="0"/>
    <x v="0"/>
  </r>
  <r>
    <n v="2768"/>
    <x v="289"/>
    <s v="Customer payment received"/>
    <x v="273"/>
    <s v="5867.24"/>
    <x v="2"/>
    <x v="0"/>
  </r>
  <r>
    <n v="2769"/>
    <x v="289"/>
    <s v="Customer payment received"/>
    <x v="1204"/>
    <s v="0.0"/>
    <x v="0"/>
    <x v="0"/>
  </r>
  <r>
    <n v="2769"/>
    <x v="289"/>
    <s v="Customer payment received"/>
    <x v="273"/>
    <s v="1291.65"/>
    <x v="2"/>
    <x v="0"/>
  </r>
  <r>
    <n v="2770"/>
    <x v="289"/>
    <s v="Supplier invoice received"/>
    <x v="441"/>
    <s v="0.0"/>
    <x v="9"/>
    <x v="4"/>
  </r>
  <r>
    <n v="2770"/>
    <x v="289"/>
    <s v="Supplier invoice received"/>
    <x v="442"/>
    <s v="0.0"/>
    <x v="10"/>
    <x v="0"/>
  </r>
  <r>
    <n v="2770"/>
    <x v="289"/>
    <s v="Supplier invoice received"/>
    <x v="273"/>
    <s v="179.01"/>
    <x v="11"/>
    <x v="3"/>
  </r>
  <r>
    <n v="2771"/>
    <x v="289"/>
    <s v="Supplier payment made"/>
    <x v="393"/>
    <s v="0.0"/>
    <x v="11"/>
    <x v="3"/>
  </r>
  <r>
    <n v="2771"/>
    <x v="289"/>
    <s v="Supplier payment made"/>
    <x v="273"/>
    <s v="412.54"/>
    <x v="0"/>
    <x v="0"/>
  </r>
  <r>
    <n v="2772"/>
    <x v="290"/>
    <s v="Sales invoice issued"/>
    <x v="1225"/>
    <s v="0.0"/>
    <x v="2"/>
    <x v="0"/>
  </r>
  <r>
    <n v="2772"/>
    <x v="290"/>
    <s v="Sales invoice issued"/>
    <x v="273"/>
    <s v="104.4"/>
    <x v="3"/>
    <x v="2"/>
  </r>
  <r>
    <n v="2772"/>
    <x v="290"/>
    <s v="Sales invoice issued"/>
    <x v="273"/>
    <s v="7.83"/>
    <x v="4"/>
    <x v="3"/>
  </r>
  <r>
    <n v="2773"/>
    <x v="290"/>
    <s v="Sales invoice issued"/>
    <x v="1226"/>
    <s v="0.0"/>
    <x v="2"/>
    <x v="0"/>
  </r>
  <r>
    <n v="2773"/>
    <x v="290"/>
    <s v="Sales invoice issued"/>
    <x v="273"/>
    <s v="785.79"/>
    <x v="3"/>
    <x v="2"/>
  </r>
  <r>
    <n v="2773"/>
    <x v="290"/>
    <s v="Sales invoice issued"/>
    <x v="273"/>
    <s v="58.94"/>
    <x v="4"/>
    <x v="3"/>
  </r>
  <r>
    <n v="2774"/>
    <x v="290"/>
    <s v="Sales invoice issued"/>
    <x v="1227"/>
    <s v="0.0"/>
    <x v="2"/>
    <x v="0"/>
  </r>
  <r>
    <n v="2774"/>
    <x v="290"/>
    <s v="Sales invoice issued"/>
    <x v="273"/>
    <s v="56.8"/>
    <x v="3"/>
    <x v="2"/>
  </r>
  <r>
    <n v="2774"/>
    <x v="290"/>
    <s v="Sales invoice issued"/>
    <x v="273"/>
    <s v="4.26"/>
    <x v="4"/>
    <x v="3"/>
  </r>
  <r>
    <n v="2775"/>
    <x v="290"/>
    <s v="Sales invoice issued"/>
    <x v="1228"/>
    <s v="0.0"/>
    <x v="2"/>
    <x v="0"/>
  </r>
  <r>
    <n v="2775"/>
    <x v="290"/>
    <s v="Sales invoice issued"/>
    <x v="273"/>
    <s v="1526.01"/>
    <x v="3"/>
    <x v="2"/>
  </r>
  <r>
    <n v="2775"/>
    <x v="290"/>
    <s v="Sales invoice issued"/>
    <x v="273"/>
    <s v="114.46"/>
    <x v="4"/>
    <x v="3"/>
  </r>
  <r>
    <n v="2776"/>
    <x v="290"/>
    <s v="Sales invoice issued"/>
    <x v="1229"/>
    <s v="0.0"/>
    <x v="2"/>
    <x v="0"/>
  </r>
  <r>
    <n v="2776"/>
    <x v="290"/>
    <s v="Sales invoice issued"/>
    <x v="273"/>
    <s v="328.16"/>
    <x v="3"/>
    <x v="2"/>
  </r>
  <r>
    <n v="2776"/>
    <x v="290"/>
    <s v="Sales invoice issued"/>
    <x v="273"/>
    <s v="24.61"/>
    <x v="4"/>
    <x v="3"/>
  </r>
  <r>
    <n v="2777"/>
    <x v="290"/>
    <s v="Sales invoice issued"/>
    <x v="1230"/>
    <s v="0.0"/>
    <x v="2"/>
    <x v="0"/>
  </r>
  <r>
    <n v="2777"/>
    <x v="290"/>
    <s v="Sales invoice issued"/>
    <x v="273"/>
    <s v="3102.55"/>
    <x v="3"/>
    <x v="2"/>
  </r>
  <r>
    <n v="2777"/>
    <x v="290"/>
    <s v="Sales invoice issued"/>
    <x v="273"/>
    <s v="232.69"/>
    <x v="4"/>
    <x v="3"/>
  </r>
  <r>
    <n v="2778"/>
    <x v="290"/>
    <s v="Customer payment received"/>
    <x v="1060"/>
    <s v="0.0"/>
    <x v="0"/>
    <x v="0"/>
  </r>
  <r>
    <n v="2778"/>
    <x v="290"/>
    <s v="Customer payment received"/>
    <x v="273"/>
    <s v="6798.23"/>
    <x v="2"/>
    <x v="0"/>
  </r>
  <r>
    <n v="2779"/>
    <x v="290"/>
    <s v="Customer payment received"/>
    <x v="1147"/>
    <s v="0.0"/>
    <x v="0"/>
    <x v="0"/>
  </r>
  <r>
    <n v="2779"/>
    <x v="290"/>
    <s v="Customer payment received"/>
    <x v="273"/>
    <s v="2050.65"/>
    <x v="2"/>
    <x v="0"/>
  </r>
  <r>
    <n v="2780"/>
    <x v="290"/>
    <s v="Supplier invoice received"/>
    <x v="299"/>
    <s v="0.0"/>
    <x v="9"/>
    <x v="4"/>
  </r>
  <r>
    <n v="2780"/>
    <x v="290"/>
    <s v="Supplier invoice received"/>
    <x v="300"/>
    <s v="0.0"/>
    <x v="10"/>
    <x v="0"/>
  </r>
  <r>
    <n v="2780"/>
    <x v="290"/>
    <s v="Supplier invoice received"/>
    <x v="273"/>
    <s v="2918.17"/>
    <x v="11"/>
    <x v="3"/>
  </r>
  <r>
    <n v="2781"/>
    <x v="290"/>
    <s v="Supplier invoice received"/>
    <x v="338"/>
    <s v="0.0"/>
    <x v="9"/>
    <x v="4"/>
  </r>
  <r>
    <n v="2781"/>
    <x v="290"/>
    <s v="Supplier invoice received"/>
    <x v="339"/>
    <s v="0.0"/>
    <x v="10"/>
    <x v="0"/>
  </r>
  <r>
    <n v="2781"/>
    <x v="290"/>
    <s v="Supplier invoice received"/>
    <x v="273"/>
    <s v="1159.84"/>
    <x v="11"/>
    <x v="3"/>
  </r>
  <r>
    <n v="2782"/>
    <x v="290"/>
    <s v="Supplier invoice received"/>
    <x v="297"/>
    <s v="0.0"/>
    <x v="9"/>
    <x v="4"/>
  </r>
  <r>
    <n v="2782"/>
    <x v="290"/>
    <s v="Supplier invoice received"/>
    <x v="298"/>
    <s v="0.0"/>
    <x v="10"/>
    <x v="0"/>
  </r>
  <r>
    <n v="2782"/>
    <x v="290"/>
    <s v="Supplier invoice received"/>
    <x v="273"/>
    <s v="3528.97"/>
    <x v="11"/>
    <x v="3"/>
  </r>
  <r>
    <n v="2783"/>
    <x v="290"/>
    <s v="Supplier invoice received"/>
    <x v="301"/>
    <s v="0.0"/>
    <x v="9"/>
    <x v="4"/>
  </r>
  <r>
    <n v="2783"/>
    <x v="290"/>
    <s v="Supplier invoice received"/>
    <x v="302"/>
    <s v="0.0"/>
    <x v="10"/>
    <x v="0"/>
  </r>
  <r>
    <n v="2783"/>
    <x v="290"/>
    <s v="Supplier invoice received"/>
    <x v="273"/>
    <s v="4812.46"/>
    <x v="11"/>
    <x v="3"/>
  </r>
  <r>
    <n v="2784"/>
    <x v="290"/>
    <s v="Supplier invoice received"/>
    <x v="474"/>
    <s v="0.0"/>
    <x v="9"/>
    <x v="4"/>
  </r>
  <r>
    <n v="2784"/>
    <x v="290"/>
    <s v="Supplier invoice received"/>
    <x v="475"/>
    <s v="0.0"/>
    <x v="10"/>
    <x v="0"/>
  </r>
  <r>
    <n v="2784"/>
    <x v="290"/>
    <s v="Supplier invoice received"/>
    <x v="273"/>
    <s v="862.91"/>
    <x v="11"/>
    <x v="3"/>
  </r>
  <r>
    <n v="2785"/>
    <x v="290"/>
    <s v="Supplier payment made"/>
    <x v="353"/>
    <s v="0.0"/>
    <x v="11"/>
    <x v="3"/>
  </r>
  <r>
    <n v="2785"/>
    <x v="290"/>
    <s v="Supplier payment made"/>
    <x v="273"/>
    <s v="2918.17"/>
    <x v="0"/>
    <x v="0"/>
  </r>
  <r>
    <n v="2786"/>
    <x v="290"/>
    <s v="Supplier payment made"/>
    <x v="318"/>
    <s v="0.0"/>
    <x v="11"/>
    <x v="3"/>
  </r>
  <r>
    <n v="2786"/>
    <x v="290"/>
    <s v="Supplier payment made"/>
    <x v="273"/>
    <s v="2504.23"/>
    <x v="0"/>
    <x v="0"/>
  </r>
  <r>
    <n v="2787"/>
    <x v="290"/>
    <s v="Supplier payment made"/>
    <x v="292"/>
    <s v="0.0"/>
    <x v="11"/>
    <x v="3"/>
  </r>
  <r>
    <n v="2787"/>
    <x v="290"/>
    <s v="Supplier payment made"/>
    <x v="273"/>
    <s v="1766.46"/>
    <x v="0"/>
    <x v="0"/>
  </r>
  <r>
    <n v="2788"/>
    <x v="290"/>
    <s v="Supplier payment made"/>
    <x v="335"/>
    <s v="0.0"/>
    <x v="11"/>
    <x v="3"/>
  </r>
  <r>
    <n v="2788"/>
    <x v="290"/>
    <s v="Supplier payment made"/>
    <x v="273"/>
    <s v="550.4"/>
    <x v="0"/>
    <x v="0"/>
  </r>
  <r>
    <n v="2789"/>
    <x v="291"/>
    <s v="Sales invoice issued"/>
    <x v="1231"/>
    <s v="0.0"/>
    <x v="2"/>
    <x v="0"/>
  </r>
  <r>
    <n v="2789"/>
    <x v="291"/>
    <s v="Sales invoice issued"/>
    <x v="273"/>
    <s v="1152.35"/>
    <x v="3"/>
    <x v="2"/>
  </r>
  <r>
    <n v="2789"/>
    <x v="291"/>
    <s v="Sales invoice issued"/>
    <x v="273"/>
    <s v="86.43"/>
    <x v="4"/>
    <x v="3"/>
  </r>
  <r>
    <n v="2790"/>
    <x v="291"/>
    <s v="Sales invoice issued"/>
    <x v="1232"/>
    <s v="0.0"/>
    <x v="2"/>
    <x v="0"/>
  </r>
  <r>
    <n v="2790"/>
    <x v="291"/>
    <s v="Sales invoice issued"/>
    <x v="273"/>
    <s v="1311.74"/>
    <x v="3"/>
    <x v="2"/>
  </r>
  <r>
    <n v="2790"/>
    <x v="291"/>
    <s v="Sales invoice issued"/>
    <x v="273"/>
    <s v="98.38"/>
    <x v="4"/>
    <x v="3"/>
  </r>
  <r>
    <n v="2791"/>
    <x v="291"/>
    <s v="Sales invoice issued"/>
    <x v="1233"/>
    <s v="0.0"/>
    <x v="2"/>
    <x v="0"/>
  </r>
  <r>
    <n v="2791"/>
    <x v="291"/>
    <s v="Sales invoice issued"/>
    <x v="273"/>
    <s v="1694.94"/>
    <x v="3"/>
    <x v="2"/>
  </r>
  <r>
    <n v="2791"/>
    <x v="291"/>
    <s v="Sales invoice issued"/>
    <x v="273"/>
    <s v="127.11"/>
    <x v="4"/>
    <x v="3"/>
  </r>
  <r>
    <n v="2792"/>
    <x v="291"/>
    <s v="Sales invoice issued"/>
    <x v="1234"/>
    <s v="0.0"/>
    <x v="2"/>
    <x v="0"/>
  </r>
  <r>
    <n v="2792"/>
    <x v="291"/>
    <s v="Sales invoice issued"/>
    <x v="273"/>
    <s v="983.61"/>
    <x v="3"/>
    <x v="2"/>
  </r>
  <r>
    <n v="2792"/>
    <x v="291"/>
    <s v="Sales invoice issued"/>
    <x v="273"/>
    <s v="73.77"/>
    <x v="4"/>
    <x v="3"/>
  </r>
  <r>
    <n v="2793"/>
    <x v="291"/>
    <s v="Sales invoice issued"/>
    <x v="1235"/>
    <s v="0.0"/>
    <x v="2"/>
    <x v="0"/>
  </r>
  <r>
    <n v="2793"/>
    <x v="291"/>
    <s v="Sales invoice issued"/>
    <x v="273"/>
    <s v="6941.4"/>
    <x v="3"/>
    <x v="2"/>
  </r>
  <r>
    <n v="2793"/>
    <x v="291"/>
    <s v="Sales invoice issued"/>
    <x v="273"/>
    <s v="520.63"/>
    <x v="4"/>
    <x v="3"/>
  </r>
  <r>
    <n v="2794"/>
    <x v="291"/>
    <s v="Customer payment received"/>
    <x v="1080"/>
    <s v="0.0"/>
    <x v="0"/>
    <x v="0"/>
  </r>
  <r>
    <n v="2794"/>
    <x v="291"/>
    <s v="Customer payment received"/>
    <x v="273"/>
    <s v="663.05"/>
    <x v="2"/>
    <x v="0"/>
  </r>
  <r>
    <n v="2795"/>
    <x v="291"/>
    <s v="Customer payment received"/>
    <x v="1148"/>
    <s v="0.0"/>
    <x v="0"/>
    <x v="0"/>
  </r>
  <r>
    <n v="2795"/>
    <x v="291"/>
    <s v="Customer payment received"/>
    <x v="273"/>
    <s v="2971.37"/>
    <x v="2"/>
    <x v="0"/>
  </r>
  <r>
    <n v="2796"/>
    <x v="291"/>
    <s v="Customer payment received"/>
    <x v="1236"/>
    <s v="0.0"/>
    <x v="0"/>
    <x v="0"/>
  </r>
  <r>
    <n v="2796"/>
    <x v="291"/>
    <s v="Customer payment received"/>
    <x v="273"/>
    <s v="1472.43"/>
    <x v="2"/>
    <x v="0"/>
  </r>
  <r>
    <n v="2797"/>
    <x v="291"/>
    <s v="Customer payment received"/>
    <x v="1200"/>
    <s v="0.0"/>
    <x v="0"/>
    <x v="0"/>
  </r>
  <r>
    <n v="2797"/>
    <x v="291"/>
    <s v="Customer payment received"/>
    <x v="273"/>
    <s v="1251.04"/>
    <x v="2"/>
    <x v="0"/>
  </r>
  <r>
    <n v="2798"/>
    <x v="291"/>
    <s v="Customer payment received"/>
    <x v="1214"/>
    <s v="0.0"/>
    <x v="0"/>
    <x v="0"/>
  </r>
  <r>
    <n v="2798"/>
    <x v="291"/>
    <s v="Customer payment received"/>
    <x v="273"/>
    <s v="2982.84"/>
    <x v="2"/>
    <x v="0"/>
  </r>
  <r>
    <n v="2799"/>
    <x v="291"/>
    <s v="Customer payment received"/>
    <x v="1233"/>
    <s v="0.0"/>
    <x v="0"/>
    <x v="0"/>
  </r>
  <r>
    <n v="2799"/>
    <x v="291"/>
    <s v="Customer payment received"/>
    <x v="273"/>
    <s v="1822.05"/>
    <x v="2"/>
    <x v="0"/>
  </r>
  <r>
    <n v="2800"/>
    <x v="291"/>
    <s v="Customer payment received"/>
    <x v="1235"/>
    <s v="0.0"/>
    <x v="0"/>
    <x v="0"/>
  </r>
  <r>
    <n v="2800"/>
    <x v="291"/>
    <s v="Customer payment received"/>
    <x v="273"/>
    <s v="7462.03"/>
    <x v="2"/>
    <x v="0"/>
  </r>
  <r>
    <n v="2801"/>
    <x v="292"/>
    <s v="Sales invoice issued"/>
    <x v="1237"/>
    <s v="0.0"/>
    <x v="2"/>
    <x v="0"/>
  </r>
  <r>
    <n v="2801"/>
    <x v="292"/>
    <s v="Sales invoice issued"/>
    <x v="273"/>
    <s v="2445.05"/>
    <x v="3"/>
    <x v="2"/>
  </r>
  <r>
    <n v="2801"/>
    <x v="292"/>
    <s v="Sales invoice issued"/>
    <x v="273"/>
    <s v="183.38"/>
    <x v="4"/>
    <x v="3"/>
  </r>
  <r>
    <n v="2802"/>
    <x v="292"/>
    <s v="Sales invoice issued"/>
    <x v="1238"/>
    <s v="0.0"/>
    <x v="2"/>
    <x v="0"/>
  </r>
  <r>
    <n v="2802"/>
    <x v="292"/>
    <s v="Sales invoice issued"/>
    <x v="273"/>
    <s v="431.66"/>
    <x v="3"/>
    <x v="2"/>
  </r>
  <r>
    <n v="2802"/>
    <x v="292"/>
    <s v="Sales invoice issued"/>
    <x v="273"/>
    <s v="32.37"/>
    <x v="4"/>
    <x v="3"/>
  </r>
  <r>
    <n v="2803"/>
    <x v="292"/>
    <s v="Sales invoice issued"/>
    <x v="1239"/>
    <s v="0.0"/>
    <x v="2"/>
    <x v="0"/>
  </r>
  <r>
    <n v="2803"/>
    <x v="292"/>
    <s v="Sales invoice issued"/>
    <x v="273"/>
    <s v="2650.94"/>
    <x v="3"/>
    <x v="2"/>
  </r>
  <r>
    <n v="2803"/>
    <x v="292"/>
    <s v="Sales invoice issued"/>
    <x v="273"/>
    <s v="198.82"/>
    <x v="4"/>
    <x v="3"/>
  </r>
  <r>
    <n v="2804"/>
    <x v="292"/>
    <s v="Sales invoice issued"/>
    <x v="1240"/>
    <s v="0.0"/>
    <x v="2"/>
    <x v="0"/>
  </r>
  <r>
    <n v="2804"/>
    <x v="292"/>
    <s v="Sales invoice issued"/>
    <x v="273"/>
    <s v="2541.68"/>
    <x v="3"/>
    <x v="2"/>
  </r>
  <r>
    <n v="2804"/>
    <x v="292"/>
    <s v="Sales invoice issued"/>
    <x v="273"/>
    <s v="190.63"/>
    <x v="4"/>
    <x v="3"/>
  </r>
  <r>
    <n v="2805"/>
    <x v="292"/>
    <s v="Sales invoice issued"/>
    <x v="1241"/>
    <s v="0.0"/>
    <x v="2"/>
    <x v="0"/>
  </r>
  <r>
    <n v="2805"/>
    <x v="292"/>
    <s v="Sales invoice issued"/>
    <x v="273"/>
    <s v="42.7"/>
    <x v="3"/>
    <x v="2"/>
  </r>
  <r>
    <n v="2805"/>
    <x v="292"/>
    <s v="Sales invoice issued"/>
    <x v="273"/>
    <s v="3.2"/>
    <x v="4"/>
    <x v="3"/>
  </r>
  <r>
    <n v="2806"/>
    <x v="292"/>
    <s v="Customer payment received"/>
    <x v="1105"/>
    <s v="0.0"/>
    <x v="0"/>
    <x v="0"/>
  </r>
  <r>
    <n v="2806"/>
    <x v="292"/>
    <s v="Customer payment received"/>
    <x v="273"/>
    <s v="650.35"/>
    <x v="2"/>
    <x v="0"/>
  </r>
  <r>
    <n v="2807"/>
    <x v="292"/>
    <s v="Customer payment received"/>
    <x v="1131"/>
    <s v="0.0"/>
    <x v="0"/>
    <x v="0"/>
  </r>
  <r>
    <n v="2807"/>
    <x v="292"/>
    <s v="Customer payment received"/>
    <x v="273"/>
    <s v="2804.39"/>
    <x v="2"/>
    <x v="0"/>
  </r>
  <r>
    <n v="2808"/>
    <x v="292"/>
    <s v="Customer payment received"/>
    <x v="1155"/>
    <s v="0.0"/>
    <x v="0"/>
    <x v="0"/>
  </r>
  <r>
    <n v="2808"/>
    <x v="292"/>
    <s v="Customer payment received"/>
    <x v="273"/>
    <s v="5346.93"/>
    <x v="2"/>
    <x v="0"/>
  </r>
  <r>
    <n v="2809"/>
    <x v="292"/>
    <s v="Customer payment received"/>
    <x v="1180"/>
    <s v="0.0"/>
    <x v="0"/>
    <x v="0"/>
  </r>
  <r>
    <n v="2809"/>
    <x v="292"/>
    <s v="Customer payment received"/>
    <x v="273"/>
    <s v="2267.23"/>
    <x v="2"/>
    <x v="0"/>
  </r>
  <r>
    <n v="2810"/>
    <x v="292"/>
    <s v="Customer payment received"/>
    <x v="1199"/>
    <s v="0.0"/>
    <x v="0"/>
    <x v="0"/>
  </r>
  <r>
    <n v="2810"/>
    <x v="292"/>
    <s v="Customer payment received"/>
    <x v="273"/>
    <s v="614.59"/>
    <x v="2"/>
    <x v="0"/>
  </r>
  <r>
    <n v="2811"/>
    <x v="292"/>
    <s v="Supplier invoice received"/>
    <x v="307"/>
    <s v="0.0"/>
    <x v="9"/>
    <x v="4"/>
  </r>
  <r>
    <n v="2811"/>
    <x v="292"/>
    <s v="Supplier invoice received"/>
    <x v="308"/>
    <s v="0.0"/>
    <x v="10"/>
    <x v="0"/>
  </r>
  <r>
    <n v="2811"/>
    <x v="292"/>
    <s v="Supplier invoice received"/>
    <x v="273"/>
    <s v="2093.28"/>
    <x v="11"/>
    <x v="3"/>
  </r>
  <r>
    <n v="2812"/>
    <x v="292"/>
    <s v="Supplier payment made"/>
    <x v="334"/>
    <s v="0.0"/>
    <x v="11"/>
    <x v="3"/>
  </r>
  <r>
    <n v="2812"/>
    <x v="292"/>
    <s v="Supplier payment made"/>
    <x v="273"/>
    <s v="3528.97"/>
    <x v="0"/>
    <x v="0"/>
  </r>
  <r>
    <n v="2813"/>
    <x v="293"/>
    <s v="Payroll processed"/>
    <x v="535"/>
    <s v="0.0"/>
    <x v="5"/>
    <x v="4"/>
  </r>
  <r>
    <n v="2813"/>
    <x v="293"/>
    <s v="Payroll processed"/>
    <x v="536"/>
    <s v="0.0"/>
    <x v="6"/>
    <x v="4"/>
  </r>
  <r>
    <n v="2813"/>
    <x v="293"/>
    <s v="Payroll processed"/>
    <x v="273"/>
    <s v="17968.47"/>
    <x v="0"/>
    <x v="0"/>
  </r>
  <r>
    <n v="2813"/>
    <x v="293"/>
    <s v="Payroll processed"/>
    <x v="273"/>
    <s v="4069.27"/>
    <x v="7"/>
    <x v="3"/>
  </r>
  <r>
    <n v="2813"/>
    <x v="293"/>
    <s v="Payroll processed"/>
    <x v="273"/>
    <s v="881.51"/>
    <x v="8"/>
    <x v="3"/>
  </r>
  <r>
    <n v="2814"/>
    <x v="293"/>
    <s v="Sales invoice issued"/>
    <x v="991"/>
    <s v="0.0"/>
    <x v="2"/>
    <x v="0"/>
  </r>
  <r>
    <n v="2814"/>
    <x v="293"/>
    <s v="Sales invoice issued"/>
    <x v="273"/>
    <s v="60.41"/>
    <x v="3"/>
    <x v="2"/>
  </r>
  <r>
    <n v="2814"/>
    <x v="293"/>
    <s v="Sales invoice issued"/>
    <x v="273"/>
    <s v="4.53"/>
    <x v="4"/>
    <x v="3"/>
  </r>
  <r>
    <n v="2815"/>
    <x v="293"/>
    <s v="Customer payment received"/>
    <x v="1022"/>
    <s v="0.0"/>
    <x v="0"/>
    <x v="0"/>
  </r>
  <r>
    <n v="2815"/>
    <x v="293"/>
    <s v="Customer payment received"/>
    <x v="273"/>
    <s v="1032.93"/>
    <x v="2"/>
    <x v="0"/>
  </r>
  <r>
    <n v="2816"/>
    <x v="293"/>
    <s v="Customer payment received"/>
    <x v="1112"/>
    <s v="0.0"/>
    <x v="0"/>
    <x v="0"/>
  </r>
  <r>
    <n v="2816"/>
    <x v="293"/>
    <s v="Customer payment received"/>
    <x v="273"/>
    <s v="3459.22"/>
    <x v="2"/>
    <x v="0"/>
  </r>
  <r>
    <n v="2817"/>
    <x v="293"/>
    <s v="Customer payment received"/>
    <x v="1172"/>
    <s v="0.0"/>
    <x v="0"/>
    <x v="0"/>
  </r>
  <r>
    <n v="2817"/>
    <x v="293"/>
    <s v="Customer payment received"/>
    <x v="273"/>
    <s v="2223.36"/>
    <x v="2"/>
    <x v="0"/>
  </r>
  <r>
    <n v="2818"/>
    <x v="293"/>
    <s v="Customer payment received"/>
    <x v="1229"/>
    <s v="0.0"/>
    <x v="0"/>
    <x v="0"/>
  </r>
  <r>
    <n v="2818"/>
    <x v="293"/>
    <s v="Customer payment received"/>
    <x v="273"/>
    <s v="352.77"/>
    <x v="2"/>
    <x v="0"/>
  </r>
  <r>
    <n v="2819"/>
    <x v="293"/>
    <s v="Supplier invoice received"/>
    <x v="441"/>
    <s v="0.0"/>
    <x v="9"/>
    <x v="4"/>
  </r>
  <r>
    <n v="2819"/>
    <x v="293"/>
    <s v="Supplier invoice received"/>
    <x v="442"/>
    <s v="0.0"/>
    <x v="10"/>
    <x v="0"/>
  </r>
  <r>
    <n v="2819"/>
    <x v="293"/>
    <s v="Supplier invoice received"/>
    <x v="273"/>
    <s v="179.01"/>
    <x v="11"/>
    <x v="3"/>
  </r>
  <r>
    <n v="2820"/>
    <x v="294"/>
    <s v="Sales invoice issued"/>
    <x v="1242"/>
    <s v="0.0"/>
    <x v="2"/>
    <x v="0"/>
  </r>
  <r>
    <n v="2820"/>
    <x v="294"/>
    <s v="Sales invoice issued"/>
    <x v="273"/>
    <s v="2112.41"/>
    <x v="3"/>
    <x v="2"/>
  </r>
  <r>
    <n v="2820"/>
    <x v="294"/>
    <s v="Sales invoice issued"/>
    <x v="273"/>
    <s v="158.42"/>
    <x v="4"/>
    <x v="3"/>
  </r>
  <r>
    <n v="2821"/>
    <x v="294"/>
    <s v="Sales invoice issued"/>
    <x v="1243"/>
    <s v="0.0"/>
    <x v="2"/>
    <x v="0"/>
  </r>
  <r>
    <n v="2821"/>
    <x v="294"/>
    <s v="Sales invoice issued"/>
    <x v="273"/>
    <s v="149.4"/>
    <x v="3"/>
    <x v="2"/>
  </r>
  <r>
    <n v="2821"/>
    <x v="294"/>
    <s v="Sales invoice issued"/>
    <x v="273"/>
    <s v="11.21"/>
    <x v="4"/>
    <x v="3"/>
  </r>
  <r>
    <n v="2822"/>
    <x v="294"/>
    <s v="Sales invoice issued"/>
    <x v="508"/>
    <s v="0.0"/>
    <x v="2"/>
    <x v="0"/>
  </r>
  <r>
    <n v="2822"/>
    <x v="294"/>
    <s v="Sales invoice issued"/>
    <x v="273"/>
    <s v="141.54"/>
    <x v="3"/>
    <x v="2"/>
  </r>
  <r>
    <n v="2822"/>
    <x v="294"/>
    <s v="Sales invoice issued"/>
    <x v="273"/>
    <s v="10.62"/>
    <x v="4"/>
    <x v="3"/>
  </r>
  <r>
    <n v="2823"/>
    <x v="294"/>
    <s v="Sales invoice issued"/>
    <x v="1244"/>
    <s v="0.0"/>
    <x v="2"/>
    <x v="0"/>
  </r>
  <r>
    <n v="2823"/>
    <x v="294"/>
    <s v="Sales invoice issued"/>
    <x v="273"/>
    <s v="4106.56"/>
    <x v="3"/>
    <x v="2"/>
  </r>
  <r>
    <n v="2823"/>
    <x v="294"/>
    <s v="Sales invoice issued"/>
    <x v="273"/>
    <s v="308.01"/>
    <x v="4"/>
    <x v="3"/>
  </r>
  <r>
    <n v="2824"/>
    <x v="294"/>
    <s v="Sales invoice issued"/>
    <x v="1245"/>
    <s v="0.0"/>
    <x v="2"/>
    <x v="0"/>
  </r>
  <r>
    <n v="2824"/>
    <x v="294"/>
    <s v="Sales invoice issued"/>
    <x v="273"/>
    <s v="1513.03"/>
    <x v="3"/>
    <x v="2"/>
  </r>
  <r>
    <n v="2824"/>
    <x v="294"/>
    <s v="Sales invoice issued"/>
    <x v="273"/>
    <s v="113.48"/>
    <x v="4"/>
    <x v="3"/>
  </r>
  <r>
    <n v="2825"/>
    <x v="294"/>
    <s v="Customer payment received"/>
    <x v="1134"/>
    <s v="0.0"/>
    <x v="0"/>
    <x v="0"/>
  </r>
  <r>
    <n v="2825"/>
    <x v="294"/>
    <s v="Customer payment received"/>
    <x v="273"/>
    <s v="4099.53"/>
    <x v="2"/>
    <x v="0"/>
  </r>
  <r>
    <n v="2826"/>
    <x v="294"/>
    <s v="Customer payment received"/>
    <x v="1223"/>
    <s v="0.0"/>
    <x v="0"/>
    <x v="0"/>
  </r>
  <r>
    <n v="2826"/>
    <x v="294"/>
    <s v="Customer payment received"/>
    <x v="273"/>
    <s v="3251.72"/>
    <x v="2"/>
    <x v="0"/>
  </r>
  <r>
    <n v="2827"/>
    <x v="294"/>
    <s v="Supplier payment made"/>
    <x v="351"/>
    <s v="0.0"/>
    <x v="11"/>
    <x v="3"/>
  </r>
  <r>
    <n v="2827"/>
    <x v="294"/>
    <s v="Supplier payment made"/>
    <x v="273"/>
    <s v="179.01"/>
    <x v="0"/>
    <x v="0"/>
  </r>
  <r>
    <n v="2828"/>
    <x v="294"/>
    <s v="Supplier payment made"/>
    <x v="334"/>
    <s v="0.0"/>
    <x v="11"/>
    <x v="3"/>
  </r>
  <r>
    <n v="2828"/>
    <x v="294"/>
    <s v="Supplier payment made"/>
    <x v="273"/>
    <s v="3528.97"/>
    <x v="0"/>
    <x v="0"/>
  </r>
  <r>
    <n v="2829"/>
    <x v="295"/>
    <s v="Sales invoice issued"/>
    <x v="1246"/>
    <s v="0.0"/>
    <x v="2"/>
    <x v="0"/>
  </r>
  <r>
    <n v="2829"/>
    <x v="295"/>
    <s v="Sales invoice issued"/>
    <x v="273"/>
    <s v="2344.16"/>
    <x v="3"/>
    <x v="2"/>
  </r>
  <r>
    <n v="2829"/>
    <x v="295"/>
    <s v="Sales invoice issued"/>
    <x v="273"/>
    <s v="175.81"/>
    <x v="4"/>
    <x v="3"/>
  </r>
  <r>
    <n v="2830"/>
    <x v="295"/>
    <s v="Sales invoice issued"/>
    <x v="1247"/>
    <s v="0.0"/>
    <x v="2"/>
    <x v="0"/>
  </r>
  <r>
    <n v="2830"/>
    <x v="295"/>
    <s v="Sales invoice issued"/>
    <x v="273"/>
    <s v="3250.12"/>
    <x v="3"/>
    <x v="2"/>
  </r>
  <r>
    <n v="2830"/>
    <x v="295"/>
    <s v="Sales invoice issued"/>
    <x v="273"/>
    <s v="243.77"/>
    <x v="4"/>
    <x v="3"/>
  </r>
  <r>
    <n v="2831"/>
    <x v="295"/>
    <s v="Sales invoice issued"/>
    <x v="1248"/>
    <s v="0.0"/>
    <x v="2"/>
    <x v="0"/>
  </r>
  <r>
    <n v="2831"/>
    <x v="295"/>
    <s v="Sales invoice issued"/>
    <x v="273"/>
    <s v="3006.14"/>
    <x v="3"/>
    <x v="2"/>
  </r>
  <r>
    <n v="2831"/>
    <x v="295"/>
    <s v="Sales invoice issued"/>
    <x v="273"/>
    <s v="225.46"/>
    <x v="4"/>
    <x v="3"/>
  </r>
  <r>
    <n v="2832"/>
    <x v="295"/>
    <s v="Sales invoice issued"/>
    <x v="1249"/>
    <s v="0.0"/>
    <x v="2"/>
    <x v="0"/>
  </r>
  <r>
    <n v="2832"/>
    <x v="295"/>
    <s v="Sales invoice issued"/>
    <x v="273"/>
    <s v="2431.55"/>
    <x v="3"/>
    <x v="2"/>
  </r>
  <r>
    <n v="2832"/>
    <x v="295"/>
    <s v="Sales invoice issued"/>
    <x v="273"/>
    <s v="182.36"/>
    <x v="4"/>
    <x v="3"/>
  </r>
  <r>
    <n v="2833"/>
    <x v="295"/>
    <s v="Sales invoice issued"/>
    <x v="1250"/>
    <s v="0.0"/>
    <x v="2"/>
    <x v="0"/>
  </r>
  <r>
    <n v="2833"/>
    <x v="295"/>
    <s v="Sales invoice issued"/>
    <x v="273"/>
    <s v="3252.09"/>
    <x v="3"/>
    <x v="2"/>
  </r>
  <r>
    <n v="2833"/>
    <x v="295"/>
    <s v="Sales invoice issued"/>
    <x v="273"/>
    <s v="243.9"/>
    <x v="4"/>
    <x v="3"/>
  </r>
  <r>
    <n v="2834"/>
    <x v="295"/>
    <s v="Customer payment received"/>
    <x v="1069"/>
    <s v="0.0"/>
    <x v="0"/>
    <x v="0"/>
  </r>
  <r>
    <n v="2834"/>
    <x v="295"/>
    <s v="Customer payment received"/>
    <x v="273"/>
    <s v="960.64"/>
    <x v="2"/>
    <x v="0"/>
  </r>
  <r>
    <n v="2835"/>
    <x v="295"/>
    <s v="Customer payment received"/>
    <x v="1110"/>
    <s v="0.0"/>
    <x v="0"/>
    <x v="0"/>
  </r>
  <r>
    <n v="2835"/>
    <x v="295"/>
    <s v="Customer payment received"/>
    <x v="273"/>
    <s v="6515.08"/>
    <x v="2"/>
    <x v="0"/>
  </r>
  <r>
    <n v="2836"/>
    <x v="295"/>
    <s v="Customer payment received"/>
    <x v="1187"/>
    <s v="0.0"/>
    <x v="0"/>
    <x v="0"/>
  </r>
  <r>
    <n v="2836"/>
    <x v="295"/>
    <s v="Customer payment received"/>
    <x v="273"/>
    <s v="5867.04"/>
    <x v="2"/>
    <x v="0"/>
  </r>
  <r>
    <n v="2837"/>
    <x v="295"/>
    <s v="Supplier invoice received"/>
    <x v="330"/>
    <s v="0.0"/>
    <x v="9"/>
    <x v="4"/>
  </r>
  <r>
    <n v="2837"/>
    <x v="295"/>
    <s v="Supplier invoice received"/>
    <x v="331"/>
    <s v="0.0"/>
    <x v="10"/>
    <x v="0"/>
  </r>
  <r>
    <n v="2837"/>
    <x v="295"/>
    <s v="Supplier invoice received"/>
    <x v="273"/>
    <s v="1935.04"/>
    <x v="11"/>
    <x v="3"/>
  </r>
  <r>
    <n v="2838"/>
    <x v="295"/>
    <s v="Supplier invoice received"/>
    <x v="443"/>
    <s v="0.0"/>
    <x v="9"/>
    <x v="4"/>
  </r>
  <r>
    <n v="2838"/>
    <x v="295"/>
    <s v="Supplier invoice received"/>
    <x v="444"/>
    <s v="0.0"/>
    <x v="10"/>
    <x v="0"/>
  </r>
  <r>
    <n v="2838"/>
    <x v="295"/>
    <s v="Supplier invoice received"/>
    <x v="273"/>
    <s v="748.26"/>
    <x v="11"/>
    <x v="3"/>
  </r>
  <r>
    <n v="2839"/>
    <x v="295"/>
    <s v="Supplier invoice received"/>
    <x v="366"/>
    <s v="0.0"/>
    <x v="9"/>
    <x v="4"/>
  </r>
  <r>
    <n v="2839"/>
    <x v="295"/>
    <s v="Supplier invoice received"/>
    <x v="367"/>
    <s v="0.0"/>
    <x v="10"/>
    <x v="0"/>
  </r>
  <r>
    <n v="2839"/>
    <x v="295"/>
    <s v="Supplier invoice received"/>
    <x v="273"/>
    <s v="201.5"/>
    <x v="11"/>
    <x v="3"/>
  </r>
  <r>
    <n v="2840"/>
    <x v="295"/>
    <s v="Supplier invoice received"/>
    <x v="332"/>
    <s v="0.0"/>
    <x v="9"/>
    <x v="4"/>
  </r>
  <r>
    <n v="2840"/>
    <x v="295"/>
    <s v="Supplier invoice received"/>
    <x v="333"/>
    <s v="0.0"/>
    <x v="10"/>
    <x v="0"/>
  </r>
  <r>
    <n v="2840"/>
    <x v="295"/>
    <s v="Supplier invoice received"/>
    <x v="273"/>
    <s v="1023.42"/>
    <x v="11"/>
    <x v="3"/>
  </r>
  <r>
    <n v="2841"/>
    <x v="295"/>
    <s v="Supplier invoice received"/>
    <x v="295"/>
    <s v="0.0"/>
    <x v="9"/>
    <x v="4"/>
  </r>
  <r>
    <n v="2841"/>
    <x v="295"/>
    <s v="Supplier invoice received"/>
    <x v="296"/>
    <s v="0.0"/>
    <x v="10"/>
    <x v="0"/>
  </r>
  <r>
    <n v="2841"/>
    <x v="295"/>
    <s v="Supplier invoice received"/>
    <x v="273"/>
    <s v="1766.46"/>
    <x v="11"/>
    <x v="3"/>
  </r>
  <r>
    <n v="2842"/>
    <x v="295"/>
    <s v="Supplier payment made"/>
    <x v="340"/>
    <s v="0.0"/>
    <x v="11"/>
    <x v="3"/>
  </r>
  <r>
    <n v="2842"/>
    <x v="295"/>
    <s v="Supplier payment made"/>
    <x v="273"/>
    <s v="1304.62"/>
    <x v="0"/>
    <x v="0"/>
  </r>
  <r>
    <n v="2843"/>
    <x v="295"/>
    <s v="Supplier payment made"/>
    <x v="313"/>
    <s v="0.0"/>
    <x v="11"/>
    <x v="3"/>
  </r>
  <r>
    <n v="2843"/>
    <x v="295"/>
    <s v="Supplier payment made"/>
    <x v="273"/>
    <s v="1159.84"/>
    <x v="0"/>
    <x v="0"/>
  </r>
  <r>
    <n v="2844"/>
    <x v="295"/>
    <s v="Supplier payment made"/>
    <x v="351"/>
    <s v="0.0"/>
    <x v="11"/>
    <x v="3"/>
  </r>
  <r>
    <n v="2844"/>
    <x v="295"/>
    <s v="Supplier payment made"/>
    <x v="273"/>
    <s v="179.01"/>
    <x v="0"/>
    <x v="0"/>
  </r>
  <r>
    <n v="2845"/>
    <x v="295"/>
    <s v="Supplier payment made"/>
    <x v="350"/>
    <s v="0.0"/>
    <x v="11"/>
    <x v="3"/>
  </r>
  <r>
    <n v="2845"/>
    <x v="295"/>
    <s v="Supplier payment made"/>
    <x v="273"/>
    <s v="1794.11"/>
    <x v="0"/>
    <x v="0"/>
  </r>
  <r>
    <n v="2846"/>
    <x v="296"/>
    <s v="Sales invoice issued"/>
    <x v="1251"/>
    <s v="0.0"/>
    <x v="2"/>
    <x v="0"/>
  </r>
  <r>
    <n v="2846"/>
    <x v="296"/>
    <s v="Sales invoice issued"/>
    <x v="273"/>
    <s v="733.59"/>
    <x v="3"/>
    <x v="2"/>
  </r>
  <r>
    <n v="2846"/>
    <x v="296"/>
    <s v="Sales invoice issued"/>
    <x v="273"/>
    <s v="55.02"/>
    <x v="4"/>
    <x v="3"/>
  </r>
  <r>
    <n v="2847"/>
    <x v="296"/>
    <s v="Customer payment received"/>
    <x v="1140"/>
    <s v="0.0"/>
    <x v="0"/>
    <x v="0"/>
  </r>
  <r>
    <n v="2847"/>
    <x v="296"/>
    <s v="Customer payment received"/>
    <x v="273"/>
    <s v="2228.76"/>
    <x v="2"/>
    <x v="0"/>
  </r>
  <r>
    <n v="2848"/>
    <x v="296"/>
    <s v="Customer payment received"/>
    <x v="1163"/>
    <s v="0.0"/>
    <x v="0"/>
    <x v="0"/>
  </r>
  <r>
    <n v="2848"/>
    <x v="296"/>
    <s v="Customer payment received"/>
    <x v="273"/>
    <s v="880.91"/>
    <x v="2"/>
    <x v="0"/>
  </r>
  <r>
    <n v="2849"/>
    <x v="296"/>
    <s v="Customer payment received"/>
    <x v="1181"/>
    <s v="0.0"/>
    <x v="0"/>
    <x v="0"/>
  </r>
  <r>
    <n v="2849"/>
    <x v="296"/>
    <s v="Customer payment received"/>
    <x v="273"/>
    <s v="4785.52"/>
    <x v="2"/>
    <x v="0"/>
  </r>
  <r>
    <n v="2850"/>
    <x v="296"/>
    <s v="Customer payment received"/>
    <x v="1192"/>
    <s v="0.0"/>
    <x v="0"/>
    <x v="0"/>
  </r>
  <r>
    <n v="2850"/>
    <x v="296"/>
    <s v="Customer payment received"/>
    <x v="273"/>
    <s v="3682.2"/>
    <x v="2"/>
    <x v="0"/>
  </r>
  <r>
    <n v="2851"/>
    <x v="296"/>
    <s v="Customer payment received"/>
    <x v="1197"/>
    <s v="0.0"/>
    <x v="0"/>
    <x v="0"/>
  </r>
  <r>
    <n v="2851"/>
    <x v="296"/>
    <s v="Customer payment received"/>
    <x v="273"/>
    <s v="761.66"/>
    <x v="2"/>
    <x v="0"/>
  </r>
  <r>
    <n v="2852"/>
    <x v="296"/>
    <s v="Supplier invoice received"/>
    <x v="359"/>
    <s v="0.0"/>
    <x v="9"/>
    <x v="4"/>
  </r>
  <r>
    <n v="2852"/>
    <x v="296"/>
    <s v="Supplier invoice received"/>
    <x v="360"/>
    <s v="0.0"/>
    <x v="10"/>
    <x v="0"/>
  </r>
  <r>
    <n v="2852"/>
    <x v="296"/>
    <s v="Supplier invoice received"/>
    <x v="273"/>
    <s v="1591.54"/>
    <x v="11"/>
    <x v="3"/>
  </r>
  <r>
    <n v="2853"/>
    <x v="296"/>
    <s v="Supplier invoice received"/>
    <x v="307"/>
    <s v="0.0"/>
    <x v="9"/>
    <x v="4"/>
  </r>
  <r>
    <n v="2853"/>
    <x v="296"/>
    <s v="Supplier invoice received"/>
    <x v="308"/>
    <s v="0.0"/>
    <x v="10"/>
    <x v="0"/>
  </r>
  <r>
    <n v="2853"/>
    <x v="296"/>
    <s v="Supplier invoice received"/>
    <x v="273"/>
    <s v="2093.28"/>
    <x v="11"/>
    <x v="3"/>
  </r>
  <r>
    <n v="2854"/>
    <x v="296"/>
    <s v="Supplier payment made"/>
    <x v="280"/>
    <s v="0.0"/>
    <x v="11"/>
    <x v="3"/>
  </r>
  <r>
    <n v="2854"/>
    <x v="296"/>
    <s v="Supplier payment made"/>
    <x v="273"/>
    <s v="2635.36"/>
    <x v="0"/>
    <x v="0"/>
  </r>
  <r>
    <n v="2855"/>
    <x v="296"/>
    <s v="Supplier payment made"/>
    <x v="340"/>
    <s v="0.0"/>
    <x v="11"/>
    <x v="3"/>
  </r>
  <r>
    <n v="2855"/>
    <x v="296"/>
    <s v="Supplier payment made"/>
    <x v="273"/>
    <s v="1304.62"/>
    <x v="0"/>
    <x v="0"/>
  </r>
  <r>
    <n v="2856"/>
    <x v="296"/>
    <s v="Supplier payment made"/>
    <x v="336"/>
    <s v="0.0"/>
    <x v="11"/>
    <x v="3"/>
  </r>
  <r>
    <n v="2856"/>
    <x v="296"/>
    <s v="Supplier payment made"/>
    <x v="273"/>
    <s v="2093.28"/>
    <x v="0"/>
    <x v="0"/>
  </r>
  <r>
    <n v="2857"/>
    <x v="297"/>
    <s v="Sales invoice issued"/>
    <x v="1252"/>
    <s v="0.0"/>
    <x v="2"/>
    <x v="0"/>
  </r>
  <r>
    <n v="2857"/>
    <x v="297"/>
    <s v="Sales invoice issued"/>
    <x v="273"/>
    <s v="1374.96"/>
    <x v="3"/>
    <x v="2"/>
  </r>
  <r>
    <n v="2857"/>
    <x v="297"/>
    <s v="Sales invoice issued"/>
    <x v="273"/>
    <s v="103.12"/>
    <x v="4"/>
    <x v="3"/>
  </r>
  <r>
    <n v="2858"/>
    <x v="297"/>
    <s v="Sales invoice issued"/>
    <x v="1253"/>
    <s v="0.0"/>
    <x v="2"/>
    <x v="0"/>
  </r>
  <r>
    <n v="2858"/>
    <x v="297"/>
    <s v="Sales invoice issued"/>
    <x v="273"/>
    <s v="511.95"/>
    <x v="3"/>
    <x v="2"/>
  </r>
  <r>
    <n v="2858"/>
    <x v="297"/>
    <s v="Sales invoice issued"/>
    <x v="273"/>
    <s v="38.4"/>
    <x v="4"/>
    <x v="3"/>
  </r>
  <r>
    <n v="2859"/>
    <x v="297"/>
    <s v="Sales invoice issued"/>
    <x v="1254"/>
    <s v="0.0"/>
    <x v="2"/>
    <x v="0"/>
  </r>
  <r>
    <n v="2859"/>
    <x v="297"/>
    <s v="Sales invoice issued"/>
    <x v="273"/>
    <s v="1100.63"/>
    <x v="3"/>
    <x v="2"/>
  </r>
  <r>
    <n v="2859"/>
    <x v="297"/>
    <s v="Sales invoice issued"/>
    <x v="273"/>
    <s v="82.55"/>
    <x v="4"/>
    <x v="3"/>
  </r>
  <r>
    <n v="2860"/>
    <x v="297"/>
    <s v="Sales invoice issued"/>
    <x v="1255"/>
    <s v="0.0"/>
    <x v="2"/>
    <x v="0"/>
  </r>
  <r>
    <n v="2860"/>
    <x v="297"/>
    <s v="Sales invoice issued"/>
    <x v="273"/>
    <s v="1031.22"/>
    <x v="3"/>
    <x v="2"/>
  </r>
  <r>
    <n v="2860"/>
    <x v="297"/>
    <s v="Sales invoice issued"/>
    <x v="273"/>
    <s v="77.34"/>
    <x v="4"/>
    <x v="3"/>
  </r>
  <r>
    <n v="2861"/>
    <x v="297"/>
    <s v="Sales invoice issued"/>
    <x v="1256"/>
    <s v="0.0"/>
    <x v="2"/>
    <x v="0"/>
  </r>
  <r>
    <n v="2861"/>
    <x v="297"/>
    <s v="Sales invoice issued"/>
    <x v="273"/>
    <s v="78.3"/>
    <x v="3"/>
    <x v="2"/>
  </r>
  <r>
    <n v="2861"/>
    <x v="297"/>
    <s v="Sales invoice issued"/>
    <x v="273"/>
    <s v="5.87"/>
    <x v="4"/>
    <x v="3"/>
  </r>
  <r>
    <n v="2862"/>
    <x v="297"/>
    <s v="Sales invoice issued"/>
    <x v="1257"/>
    <s v="0.0"/>
    <x v="2"/>
    <x v="0"/>
  </r>
  <r>
    <n v="2862"/>
    <x v="297"/>
    <s v="Sales invoice issued"/>
    <x v="273"/>
    <s v="346.62"/>
    <x v="3"/>
    <x v="2"/>
  </r>
  <r>
    <n v="2862"/>
    <x v="297"/>
    <s v="Sales invoice issued"/>
    <x v="273"/>
    <s v="25.99"/>
    <x v="4"/>
    <x v="3"/>
  </r>
  <r>
    <n v="2863"/>
    <x v="297"/>
    <s v="Customer payment received"/>
    <x v="1246"/>
    <s v="0.0"/>
    <x v="0"/>
    <x v="0"/>
  </r>
  <r>
    <n v="2863"/>
    <x v="297"/>
    <s v="Customer payment received"/>
    <x v="273"/>
    <s v="2519.97"/>
    <x v="2"/>
    <x v="0"/>
  </r>
  <r>
    <n v="2864"/>
    <x v="297"/>
    <s v="Supplier payment made"/>
    <x v="336"/>
    <s v="0.0"/>
    <x v="11"/>
    <x v="3"/>
  </r>
  <r>
    <n v="2864"/>
    <x v="297"/>
    <s v="Supplier payment made"/>
    <x v="273"/>
    <s v="2093.28"/>
    <x v="0"/>
    <x v="0"/>
  </r>
  <r>
    <n v="2865"/>
    <x v="298"/>
    <s v="Sales invoice issued"/>
    <x v="1258"/>
    <s v="0.0"/>
    <x v="2"/>
    <x v="0"/>
  </r>
  <r>
    <n v="2865"/>
    <x v="298"/>
    <s v="Sales invoice issued"/>
    <x v="273"/>
    <s v="3564.37"/>
    <x v="3"/>
    <x v="2"/>
  </r>
  <r>
    <n v="2865"/>
    <x v="298"/>
    <s v="Sales invoice issued"/>
    <x v="273"/>
    <s v="267.33"/>
    <x v="4"/>
    <x v="3"/>
  </r>
  <r>
    <n v="2866"/>
    <x v="298"/>
    <s v="Sales invoice issued"/>
    <x v="1259"/>
    <s v="0.0"/>
    <x v="2"/>
    <x v="0"/>
  </r>
  <r>
    <n v="2866"/>
    <x v="298"/>
    <s v="Sales invoice issued"/>
    <x v="273"/>
    <s v="832.1"/>
    <x v="3"/>
    <x v="2"/>
  </r>
  <r>
    <n v="2866"/>
    <x v="298"/>
    <s v="Sales invoice issued"/>
    <x v="273"/>
    <s v="62.41"/>
    <x v="4"/>
    <x v="3"/>
  </r>
  <r>
    <n v="2867"/>
    <x v="298"/>
    <s v="Sales invoice issued"/>
    <x v="1260"/>
    <s v="0.0"/>
    <x v="2"/>
    <x v="0"/>
  </r>
  <r>
    <n v="2867"/>
    <x v="298"/>
    <s v="Sales invoice issued"/>
    <x v="273"/>
    <s v="1896.15"/>
    <x v="3"/>
    <x v="2"/>
  </r>
  <r>
    <n v="2867"/>
    <x v="298"/>
    <s v="Sales invoice issued"/>
    <x v="273"/>
    <s v="142.21"/>
    <x v="4"/>
    <x v="3"/>
  </r>
  <r>
    <n v="2868"/>
    <x v="298"/>
    <s v="Sales invoice issued"/>
    <x v="1261"/>
    <s v="0.0"/>
    <x v="2"/>
    <x v="0"/>
  </r>
  <r>
    <n v="2868"/>
    <x v="298"/>
    <s v="Sales invoice issued"/>
    <x v="273"/>
    <s v="3365.57"/>
    <x v="3"/>
    <x v="2"/>
  </r>
  <r>
    <n v="2868"/>
    <x v="298"/>
    <s v="Sales invoice issued"/>
    <x v="273"/>
    <s v="252.41"/>
    <x v="4"/>
    <x v="3"/>
  </r>
  <r>
    <n v="2869"/>
    <x v="298"/>
    <s v="Sales invoice issued"/>
    <x v="1262"/>
    <s v="0.0"/>
    <x v="2"/>
    <x v="0"/>
  </r>
  <r>
    <n v="2869"/>
    <x v="298"/>
    <s v="Sales invoice issued"/>
    <x v="273"/>
    <s v="3610.06"/>
    <x v="3"/>
    <x v="2"/>
  </r>
  <r>
    <n v="2869"/>
    <x v="298"/>
    <s v="Sales invoice issued"/>
    <x v="273"/>
    <s v="270.75"/>
    <x v="4"/>
    <x v="3"/>
  </r>
  <r>
    <n v="2870"/>
    <x v="298"/>
    <s v="Sales invoice issued"/>
    <x v="1263"/>
    <s v="0.0"/>
    <x v="2"/>
    <x v="0"/>
  </r>
  <r>
    <n v="2870"/>
    <x v="298"/>
    <s v="Sales invoice issued"/>
    <x v="273"/>
    <s v="3005.53"/>
    <x v="3"/>
    <x v="2"/>
  </r>
  <r>
    <n v="2870"/>
    <x v="298"/>
    <s v="Sales invoice issued"/>
    <x v="273"/>
    <s v="225.4"/>
    <x v="4"/>
    <x v="3"/>
  </r>
  <r>
    <n v="2871"/>
    <x v="298"/>
    <s v="Customer payment received"/>
    <x v="1195"/>
    <s v="0.0"/>
    <x v="0"/>
    <x v="0"/>
  </r>
  <r>
    <n v="2871"/>
    <x v="298"/>
    <s v="Customer payment received"/>
    <x v="273"/>
    <s v="1431.21"/>
    <x v="2"/>
    <x v="0"/>
  </r>
  <r>
    <n v="2872"/>
    <x v="298"/>
    <s v="Customer payment received"/>
    <x v="1202"/>
    <s v="0.0"/>
    <x v="0"/>
    <x v="0"/>
  </r>
  <r>
    <n v="2872"/>
    <x v="298"/>
    <s v="Customer payment received"/>
    <x v="273"/>
    <s v="908.37"/>
    <x v="2"/>
    <x v="0"/>
  </r>
  <r>
    <n v="2873"/>
    <x v="298"/>
    <s v="Customer payment received"/>
    <x v="1222"/>
    <s v="0.0"/>
    <x v="0"/>
    <x v="0"/>
  </r>
  <r>
    <n v="2873"/>
    <x v="298"/>
    <s v="Customer payment received"/>
    <x v="273"/>
    <s v="1297.79"/>
    <x v="2"/>
    <x v="0"/>
  </r>
  <r>
    <n v="2874"/>
    <x v="298"/>
    <s v="Customer payment received"/>
    <x v="1231"/>
    <s v="0.0"/>
    <x v="0"/>
    <x v="0"/>
  </r>
  <r>
    <n v="2874"/>
    <x v="298"/>
    <s v="Customer payment received"/>
    <x v="273"/>
    <s v="1238.78"/>
    <x v="2"/>
    <x v="0"/>
  </r>
  <r>
    <n v="2875"/>
    <x v="299"/>
    <s v="Sales invoice issued"/>
    <x v="1264"/>
    <s v="0.0"/>
    <x v="2"/>
    <x v="0"/>
  </r>
  <r>
    <n v="2875"/>
    <x v="299"/>
    <s v="Sales invoice issued"/>
    <x v="273"/>
    <s v="1264.42"/>
    <x v="3"/>
    <x v="2"/>
  </r>
  <r>
    <n v="2875"/>
    <x v="299"/>
    <s v="Sales invoice issued"/>
    <x v="273"/>
    <s v="94.83"/>
    <x v="4"/>
    <x v="3"/>
  </r>
  <r>
    <n v="2876"/>
    <x v="299"/>
    <s v="Sales invoice issued"/>
    <x v="1265"/>
    <s v="0.0"/>
    <x v="2"/>
    <x v="0"/>
  </r>
  <r>
    <n v="2876"/>
    <x v="299"/>
    <s v="Sales invoice issued"/>
    <x v="273"/>
    <s v="3753.47"/>
    <x v="3"/>
    <x v="2"/>
  </r>
  <r>
    <n v="2876"/>
    <x v="299"/>
    <s v="Sales invoice issued"/>
    <x v="273"/>
    <s v="281.51"/>
    <x v="4"/>
    <x v="3"/>
  </r>
  <r>
    <n v="2877"/>
    <x v="299"/>
    <s v="Sales invoice issued"/>
    <x v="1266"/>
    <s v="0.0"/>
    <x v="2"/>
    <x v="0"/>
  </r>
  <r>
    <n v="2877"/>
    <x v="299"/>
    <s v="Sales invoice issued"/>
    <x v="273"/>
    <s v="1450.06"/>
    <x v="3"/>
    <x v="2"/>
  </r>
  <r>
    <n v="2877"/>
    <x v="299"/>
    <s v="Sales invoice issued"/>
    <x v="273"/>
    <s v="108.76"/>
    <x v="4"/>
    <x v="3"/>
  </r>
  <r>
    <n v="2878"/>
    <x v="299"/>
    <s v="Customer payment received"/>
    <x v="1126"/>
    <s v="0.0"/>
    <x v="0"/>
    <x v="0"/>
  </r>
  <r>
    <n v="2878"/>
    <x v="299"/>
    <s v="Customer payment received"/>
    <x v="273"/>
    <s v="6590.31"/>
    <x v="2"/>
    <x v="0"/>
  </r>
  <r>
    <n v="2879"/>
    <x v="299"/>
    <s v="Customer payment received"/>
    <x v="1206"/>
    <s v="0.0"/>
    <x v="0"/>
    <x v="0"/>
  </r>
  <r>
    <n v="2879"/>
    <x v="299"/>
    <s v="Customer payment received"/>
    <x v="273"/>
    <s v="216.03"/>
    <x v="2"/>
    <x v="0"/>
  </r>
  <r>
    <n v="2880"/>
    <x v="299"/>
    <s v="Customer payment received"/>
    <x v="1209"/>
    <s v="0.0"/>
    <x v="0"/>
    <x v="0"/>
  </r>
  <r>
    <n v="2880"/>
    <x v="299"/>
    <s v="Customer payment received"/>
    <x v="273"/>
    <s v="3243.16"/>
    <x v="2"/>
    <x v="0"/>
  </r>
  <r>
    <n v="2881"/>
    <x v="299"/>
    <s v="Customer payment received"/>
    <x v="1219"/>
    <s v="0.0"/>
    <x v="0"/>
    <x v="0"/>
  </r>
  <r>
    <n v="2881"/>
    <x v="299"/>
    <s v="Customer payment received"/>
    <x v="273"/>
    <s v="122.87"/>
    <x v="2"/>
    <x v="0"/>
  </r>
  <r>
    <n v="2882"/>
    <x v="299"/>
    <s v="Customer payment received"/>
    <x v="1230"/>
    <s v="0.0"/>
    <x v="0"/>
    <x v="0"/>
  </r>
  <r>
    <n v="2882"/>
    <x v="299"/>
    <s v="Customer payment received"/>
    <x v="273"/>
    <s v="3335.24"/>
    <x v="2"/>
    <x v="0"/>
  </r>
  <r>
    <n v="2883"/>
    <x v="299"/>
    <s v="Customer payment received"/>
    <x v="1259"/>
    <s v="0.0"/>
    <x v="0"/>
    <x v="0"/>
  </r>
  <r>
    <n v="2883"/>
    <x v="299"/>
    <s v="Customer payment received"/>
    <x v="273"/>
    <s v="894.51"/>
    <x v="2"/>
    <x v="0"/>
  </r>
  <r>
    <n v="2884"/>
    <x v="299"/>
    <s v="Supplier invoice received"/>
    <x v="301"/>
    <s v="0.0"/>
    <x v="9"/>
    <x v="4"/>
  </r>
  <r>
    <n v="2884"/>
    <x v="299"/>
    <s v="Supplier invoice received"/>
    <x v="302"/>
    <s v="0.0"/>
    <x v="10"/>
    <x v="0"/>
  </r>
  <r>
    <n v="2884"/>
    <x v="299"/>
    <s v="Supplier invoice received"/>
    <x v="273"/>
    <s v="4812.46"/>
    <x v="11"/>
    <x v="3"/>
  </r>
  <r>
    <n v="2885"/>
    <x v="300"/>
    <s v="Sales invoice issued"/>
    <x v="1267"/>
    <s v="0.0"/>
    <x v="2"/>
    <x v="0"/>
  </r>
  <r>
    <n v="2885"/>
    <x v="300"/>
    <s v="Sales invoice issued"/>
    <x v="273"/>
    <s v="1891.83"/>
    <x v="3"/>
    <x v="2"/>
  </r>
  <r>
    <n v="2885"/>
    <x v="300"/>
    <s v="Sales invoice issued"/>
    <x v="273"/>
    <s v="141.88"/>
    <x v="4"/>
    <x v="3"/>
  </r>
  <r>
    <n v="2886"/>
    <x v="300"/>
    <s v="Sales invoice issued"/>
    <x v="1268"/>
    <s v="0.0"/>
    <x v="2"/>
    <x v="0"/>
  </r>
  <r>
    <n v="2886"/>
    <x v="300"/>
    <s v="Sales invoice issued"/>
    <x v="273"/>
    <s v="462.81"/>
    <x v="3"/>
    <x v="2"/>
  </r>
  <r>
    <n v="2886"/>
    <x v="300"/>
    <s v="Sales invoice issued"/>
    <x v="273"/>
    <s v="34.71"/>
    <x v="4"/>
    <x v="3"/>
  </r>
  <r>
    <n v="2887"/>
    <x v="300"/>
    <s v="Sales invoice issued"/>
    <x v="1269"/>
    <s v="0.0"/>
    <x v="2"/>
    <x v="0"/>
  </r>
  <r>
    <n v="2887"/>
    <x v="300"/>
    <s v="Sales invoice issued"/>
    <x v="273"/>
    <s v="3138.33"/>
    <x v="3"/>
    <x v="2"/>
  </r>
  <r>
    <n v="2887"/>
    <x v="300"/>
    <s v="Sales invoice issued"/>
    <x v="273"/>
    <s v="235.37"/>
    <x v="4"/>
    <x v="3"/>
  </r>
  <r>
    <n v="2888"/>
    <x v="300"/>
    <s v="Sales invoice issued"/>
    <x v="1270"/>
    <s v="0.0"/>
    <x v="2"/>
    <x v="0"/>
  </r>
  <r>
    <n v="2888"/>
    <x v="300"/>
    <s v="Sales invoice issued"/>
    <x v="273"/>
    <s v="1937.13"/>
    <x v="3"/>
    <x v="2"/>
  </r>
  <r>
    <n v="2888"/>
    <x v="300"/>
    <s v="Sales invoice issued"/>
    <x v="273"/>
    <s v="145.29"/>
    <x v="4"/>
    <x v="3"/>
  </r>
  <r>
    <n v="2889"/>
    <x v="300"/>
    <s v="Sales invoice issued"/>
    <x v="1271"/>
    <s v="0.0"/>
    <x v="2"/>
    <x v="0"/>
  </r>
  <r>
    <n v="2889"/>
    <x v="300"/>
    <s v="Sales invoice issued"/>
    <x v="273"/>
    <s v="135.36"/>
    <x v="3"/>
    <x v="2"/>
  </r>
  <r>
    <n v="2889"/>
    <x v="300"/>
    <s v="Sales invoice issued"/>
    <x v="273"/>
    <s v="10.15"/>
    <x v="4"/>
    <x v="3"/>
  </r>
  <r>
    <n v="2890"/>
    <x v="300"/>
    <s v="Customer payment received"/>
    <x v="1193"/>
    <s v="0.0"/>
    <x v="0"/>
    <x v="0"/>
  </r>
  <r>
    <n v="2890"/>
    <x v="300"/>
    <s v="Customer payment received"/>
    <x v="273"/>
    <s v="2675.91"/>
    <x v="2"/>
    <x v="0"/>
  </r>
  <r>
    <n v="2891"/>
    <x v="300"/>
    <s v="Customer payment received"/>
    <x v="1238"/>
    <s v="0.0"/>
    <x v="0"/>
    <x v="0"/>
  </r>
  <r>
    <n v="2891"/>
    <x v="300"/>
    <s v="Customer payment received"/>
    <x v="273"/>
    <s v="464.03"/>
    <x v="2"/>
    <x v="0"/>
  </r>
  <r>
    <n v="2892"/>
    <x v="300"/>
    <s v="Supplier invoice received"/>
    <x v="374"/>
    <s v="0.0"/>
    <x v="9"/>
    <x v="4"/>
  </r>
  <r>
    <n v="2892"/>
    <x v="300"/>
    <s v="Supplier invoice received"/>
    <x v="375"/>
    <s v="0.0"/>
    <x v="10"/>
    <x v="0"/>
  </r>
  <r>
    <n v="2892"/>
    <x v="300"/>
    <s v="Supplier invoice received"/>
    <x v="273"/>
    <s v="2504.23"/>
    <x v="11"/>
    <x v="3"/>
  </r>
  <r>
    <n v="2893"/>
    <x v="300"/>
    <s v="Supplier invoice received"/>
    <x v="303"/>
    <s v="0.0"/>
    <x v="9"/>
    <x v="4"/>
  </r>
  <r>
    <n v="2893"/>
    <x v="300"/>
    <s v="Supplier invoice received"/>
    <x v="304"/>
    <s v="0.0"/>
    <x v="10"/>
    <x v="0"/>
  </r>
  <r>
    <n v="2893"/>
    <x v="300"/>
    <s v="Supplier invoice received"/>
    <x v="273"/>
    <s v="550.4"/>
    <x v="11"/>
    <x v="3"/>
  </r>
  <r>
    <n v="2894"/>
    <x v="300"/>
    <s v="Supplier invoice received"/>
    <x v="405"/>
    <s v="0.0"/>
    <x v="9"/>
    <x v="4"/>
  </r>
  <r>
    <n v="2894"/>
    <x v="300"/>
    <s v="Supplier invoice received"/>
    <x v="406"/>
    <s v="0.0"/>
    <x v="10"/>
    <x v="0"/>
  </r>
  <r>
    <n v="2894"/>
    <x v="300"/>
    <s v="Supplier invoice received"/>
    <x v="273"/>
    <s v="2635.36"/>
    <x v="11"/>
    <x v="3"/>
  </r>
  <r>
    <n v="2895"/>
    <x v="300"/>
    <s v="Supplier payment made"/>
    <x v="327"/>
    <s v="0.0"/>
    <x v="11"/>
    <x v="3"/>
  </r>
  <r>
    <n v="2895"/>
    <x v="300"/>
    <s v="Supplier payment made"/>
    <x v="273"/>
    <s v="1935.04"/>
    <x v="0"/>
    <x v="0"/>
  </r>
  <r>
    <n v="2896"/>
    <x v="300"/>
    <s v="Supplier payment made"/>
    <x v="407"/>
    <s v="0.0"/>
    <x v="11"/>
    <x v="3"/>
  </r>
  <r>
    <n v="2896"/>
    <x v="300"/>
    <s v="Supplier payment made"/>
    <x v="273"/>
    <s v="201.5"/>
    <x v="0"/>
    <x v="0"/>
  </r>
  <r>
    <n v="2897"/>
    <x v="300"/>
    <s v="Supplier payment made"/>
    <x v="392"/>
    <s v="0.0"/>
    <x v="11"/>
    <x v="3"/>
  </r>
  <r>
    <n v="2897"/>
    <x v="300"/>
    <s v="Supplier payment made"/>
    <x v="273"/>
    <s v="1023.42"/>
    <x v="0"/>
    <x v="0"/>
  </r>
  <r>
    <n v="2898"/>
    <x v="301"/>
    <s v="Sales invoice issued"/>
    <x v="1272"/>
    <s v="0.0"/>
    <x v="2"/>
    <x v="0"/>
  </r>
  <r>
    <n v="2898"/>
    <x v="301"/>
    <s v="Sales invoice issued"/>
    <x v="273"/>
    <s v="4036.4"/>
    <x v="3"/>
    <x v="2"/>
  </r>
  <r>
    <n v="2898"/>
    <x v="301"/>
    <s v="Sales invoice issued"/>
    <x v="273"/>
    <s v="302.73"/>
    <x v="4"/>
    <x v="3"/>
  </r>
  <r>
    <n v="2899"/>
    <x v="301"/>
    <s v="Sales invoice issued"/>
    <x v="1273"/>
    <s v="0.0"/>
    <x v="2"/>
    <x v="0"/>
  </r>
  <r>
    <n v="2899"/>
    <x v="301"/>
    <s v="Sales invoice issued"/>
    <x v="273"/>
    <s v="3371.79"/>
    <x v="3"/>
    <x v="2"/>
  </r>
  <r>
    <n v="2899"/>
    <x v="301"/>
    <s v="Sales invoice issued"/>
    <x v="273"/>
    <s v="252.88"/>
    <x v="4"/>
    <x v="3"/>
  </r>
  <r>
    <n v="2900"/>
    <x v="301"/>
    <s v="Sales invoice issued"/>
    <x v="1274"/>
    <s v="0.0"/>
    <x v="2"/>
    <x v="0"/>
  </r>
  <r>
    <n v="2900"/>
    <x v="301"/>
    <s v="Sales invoice issued"/>
    <x v="273"/>
    <s v="149.62"/>
    <x v="3"/>
    <x v="2"/>
  </r>
  <r>
    <n v="2900"/>
    <x v="301"/>
    <s v="Sales invoice issued"/>
    <x v="273"/>
    <s v="11.22"/>
    <x v="4"/>
    <x v="3"/>
  </r>
  <r>
    <n v="2901"/>
    <x v="301"/>
    <s v="Customer payment received"/>
    <x v="999"/>
    <s v="0.0"/>
    <x v="0"/>
    <x v="0"/>
  </r>
  <r>
    <n v="2901"/>
    <x v="301"/>
    <s v="Customer payment received"/>
    <x v="273"/>
    <s v="337.7"/>
    <x v="2"/>
    <x v="0"/>
  </r>
  <r>
    <n v="2902"/>
    <x v="301"/>
    <s v="Customer payment received"/>
    <x v="1048"/>
    <s v="0.0"/>
    <x v="0"/>
    <x v="0"/>
  </r>
  <r>
    <n v="2902"/>
    <x v="301"/>
    <s v="Customer payment received"/>
    <x v="273"/>
    <s v="2138.8"/>
    <x v="2"/>
    <x v="0"/>
  </r>
  <r>
    <n v="2903"/>
    <x v="301"/>
    <s v="Customer payment received"/>
    <x v="1158"/>
    <s v="0.0"/>
    <x v="0"/>
    <x v="0"/>
  </r>
  <r>
    <n v="2903"/>
    <x v="301"/>
    <s v="Customer payment received"/>
    <x v="273"/>
    <s v="957.0"/>
    <x v="2"/>
    <x v="0"/>
  </r>
  <r>
    <n v="2904"/>
    <x v="301"/>
    <s v="Customer payment received"/>
    <x v="1221"/>
    <s v="0.0"/>
    <x v="0"/>
    <x v="0"/>
  </r>
  <r>
    <n v="2904"/>
    <x v="301"/>
    <s v="Customer payment received"/>
    <x v="273"/>
    <s v="149.11"/>
    <x v="2"/>
    <x v="0"/>
  </r>
  <r>
    <n v="2905"/>
    <x v="301"/>
    <s v="Customer payment received"/>
    <x v="1232"/>
    <s v="0.0"/>
    <x v="0"/>
    <x v="0"/>
  </r>
  <r>
    <n v="2905"/>
    <x v="301"/>
    <s v="Customer payment received"/>
    <x v="273"/>
    <s v="1410.12"/>
    <x v="2"/>
    <x v="0"/>
  </r>
  <r>
    <n v="2906"/>
    <x v="301"/>
    <s v="Customer payment received"/>
    <x v="1271"/>
    <s v="0.0"/>
    <x v="0"/>
    <x v="0"/>
  </r>
  <r>
    <n v="2906"/>
    <x v="301"/>
    <s v="Customer payment received"/>
    <x v="273"/>
    <s v="145.51"/>
    <x v="2"/>
    <x v="0"/>
  </r>
  <r>
    <n v="2907"/>
    <x v="301"/>
    <s v="Supplier payment made"/>
    <x v="351"/>
    <s v="0.0"/>
    <x v="11"/>
    <x v="3"/>
  </r>
  <r>
    <n v="2907"/>
    <x v="301"/>
    <s v="Supplier payment made"/>
    <x v="273"/>
    <s v="179.01"/>
    <x v="0"/>
    <x v="0"/>
  </r>
  <r>
    <n v="2908"/>
    <x v="302"/>
    <s v="Sales invoice issued"/>
    <x v="1275"/>
    <s v="0.0"/>
    <x v="2"/>
    <x v="0"/>
  </r>
  <r>
    <n v="2908"/>
    <x v="302"/>
    <s v="Sales invoice issued"/>
    <x v="273"/>
    <s v="158.7"/>
    <x v="3"/>
    <x v="2"/>
  </r>
  <r>
    <n v="2908"/>
    <x v="302"/>
    <s v="Sales invoice issued"/>
    <x v="273"/>
    <s v="11.9"/>
    <x v="4"/>
    <x v="3"/>
  </r>
  <r>
    <n v="2909"/>
    <x v="302"/>
    <s v="Sales invoice issued"/>
    <x v="1276"/>
    <s v="0.0"/>
    <x v="2"/>
    <x v="0"/>
  </r>
  <r>
    <n v="2909"/>
    <x v="302"/>
    <s v="Sales invoice issued"/>
    <x v="273"/>
    <s v="4355.74"/>
    <x v="3"/>
    <x v="2"/>
  </r>
  <r>
    <n v="2909"/>
    <x v="302"/>
    <s v="Sales invoice issued"/>
    <x v="273"/>
    <s v="326.67"/>
    <x v="4"/>
    <x v="3"/>
  </r>
  <r>
    <n v="2910"/>
    <x v="302"/>
    <s v="Sales invoice issued"/>
    <x v="1277"/>
    <s v="0.0"/>
    <x v="2"/>
    <x v="0"/>
  </r>
  <r>
    <n v="2910"/>
    <x v="302"/>
    <s v="Sales invoice issued"/>
    <x v="273"/>
    <s v="1679.41"/>
    <x v="3"/>
    <x v="2"/>
  </r>
  <r>
    <n v="2910"/>
    <x v="302"/>
    <s v="Sales invoice issued"/>
    <x v="273"/>
    <s v="125.96"/>
    <x v="4"/>
    <x v="3"/>
  </r>
  <r>
    <n v="2911"/>
    <x v="302"/>
    <s v="Sales invoice issued"/>
    <x v="1278"/>
    <s v="0.0"/>
    <x v="2"/>
    <x v="0"/>
  </r>
  <r>
    <n v="2911"/>
    <x v="302"/>
    <s v="Sales invoice issued"/>
    <x v="273"/>
    <s v="1568.72"/>
    <x v="3"/>
    <x v="2"/>
  </r>
  <r>
    <n v="2911"/>
    <x v="302"/>
    <s v="Sales invoice issued"/>
    <x v="273"/>
    <s v="117.66"/>
    <x v="4"/>
    <x v="3"/>
  </r>
  <r>
    <n v="2912"/>
    <x v="302"/>
    <s v="Customer payment received"/>
    <x v="1135"/>
    <s v="0.0"/>
    <x v="0"/>
    <x v="0"/>
  </r>
  <r>
    <n v="2912"/>
    <x v="302"/>
    <s v="Customer payment received"/>
    <x v="273"/>
    <s v="865.64"/>
    <x v="2"/>
    <x v="0"/>
  </r>
  <r>
    <n v="2913"/>
    <x v="302"/>
    <s v="Customer payment received"/>
    <x v="1161"/>
    <s v="0.0"/>
    <x v="0"/>
    <x v="0"/>
  </r>
  <r>
    <n v="2913"/>
    <x v="302"/>
    <s v="Customer payment received"/>
    <x v="273"/>
    <s v="1588.75"/>
    <x v="2"/>
    <x v="0"/>
  </r>
  <r>
    <n v="2914"/>
    <x v="302"/>
    <s v="Customer payment received"/>
    <x v="1243"/>
    <s v="0.0"/>
    <x v="0"/>
    <x v="0"/>
  </r>
  <r>
    <n v="2914"/>
    <x v="302"/>
    <s v="Customer payment received"/>
    <x v="273"/>
    <s v="160.61"/>
    <x v="2"/>
    <x v="0"/>
  </r>
  <r>
    <n v="2915"/>
    <x v="302"/>
    <s v="Customer payment received"/>
    <x v="1253"/>
    <s v="0.0"/>
    <x v="0"/>
    <x v="0"/>
  </r>
  <r>
    <n v="2915"/>
    <x v="302"/>
    <s v="Customer payment received"/>
    <x v="273"/>
    <s v="550.35"/>
    <x v="2"/>
    <x v="0"/>
  </r>
  <r>
    <n v="2916"/>
    <x v="302"/>
    <s v="Supplier payment made"/>
    <x v="309"/>
    <s v="0.0"/>
    <x v="11"/>
    <x v="3"/>
  </r>
  <r>
    <n v="2916"/>
    <x v="302"/>
    <s v="Supplier payment made"/>
    <x v="273"/>
    <s v="4812.46"/>
    <x v="0"/>
    <x v="0"/>
  </r>
  <r>
    <n v="2917"/>
    <x v="302"/>
    <s v="Supplier payment made"/>
    <x v="318"/>
    <s v="0.0"/>
    <x v="11"/>
    <x v="3"/>
  </r>
  <r>
    <n v="2917"/>
    <x v="302"/>
    <s v="Supplier payment made"/>
    <x v="273"/>
    <s v="2504.23"/>
    <x v="0"/>
    <x v="0"/>
  </r>
  <r>
    <n v="2918"/>
    <x v="302"/>
    <s v="Supplier payment made"/>
    <x v="335"/>
    <s v="0.0"/>
    <x v="11"/>
    <x v="3"/>
  </r>
  <r>
    <n v="2918"/>
    <x v="302"/>
    <s v="Supplier payment made"/>
    <x v="273"/>
    <s v="550.4"/>
    <x v="0"/>
    <x v="0"/>
  </r>
  <r>
    <n v="2919"/>
    <x v="302"/>
    <s v="Supplier payment made"/>
    <x v="280"/>
    <s v="0.0"/>
    <x v="11"/>
    <x v="3"/>
  </r>
  <r>
    <n v="2919"/>
    <x v="302"/>
    <s v="Supplier payment made"/>
    <x v="273"/>
    <s v="2635.36"/>
    <x v="0"/>
    <x v="0"/>
  </r>
  <r>
    <n v="2920"/>
    <x v="303"/>
    <s v="Payroll processed"/>
    <x v="535"/>
    <s v="0.0"/>
    <x v="5"/>
    <x v="4"/>
  </r>
  <r>
    <n v="2920"/>
    <x v="303"/>
    <s v="Payroll processed"/>
    <x v="536"/>
    <s v="0.0"/>
    <x v="6"/>
    <x v="4"/>
  </r>
  <r>
    <n v="2920"/>
    <x v="303"/>
    <s v="Payroll processed"/>
    <x v="273"/>
    <s v="17968.47"/>
    <x v="0"/>
    <x v="0"/>
  </r>
  <r>
    <n v="2920"/>
    <x v="303"/>
    <s v="Payroll processed"/>
    <x v="273"/>
    <s v="4069.27"/>
    <x v="7"/>
    <x v="3"/>
  </r>
  <r>
    <n v="2920"/>
    <x v="303"/>
    <s v="Payroll processed"/>
    <x v="273"/>
    <s v="881.51"/>
    <x v="8"/>
    <x v="3"/>
  </r>
  <r>
    <n v="2921"/>
    <x v="303"/>
    <s v="Sales invoice issued"/>
    <x v="1279"/>
    <s v="0.0"/>
    <x v="2"/>
    <x v="0"/>
  </r>
  <r>
    <n v="2921"/>
    <x v="303"/>
    <s v="Sales invoice issued"/>
    <x v="273"/>
    <s v="4092.69"/>
    <x v="3"/>
    <x v="2"/>
  </r>
  <r>
    <n v="2921"/>
    <x v="303"/>
    <s v="Sales invoice issued"/>
    <x v="273"/>
    <s v="306.95"/>
    <x v="4"/>
    <x v="3"/>
  </r>
  <r>
    <n v="2922"/>
    <x v="303"/>
    <s v="Sales invoice issued"/>
    <x v="1280"/>
    <s v="0.0"/>
    <x v="2"/>
    <x v="0"/>
  </r>
  <r>
    <n v="2922"/>
    <x v="303"/>
    <s v="Sales invoice issued"/>
    <x v="273"/>
    <s v="2549.57"/>
    <x v="3"/>
    <x v="2"/>
  </r>
  <r>
    <n v="2922"/>
    <x v="303"/>
    <s v="Sales invoice issued"/>
    <x v="273"/>
    <s v="191.22"/>
    <x v="4"/>
    <x v="3"/>
  </r>
  <r>
    <n v="2923"/>
    <x v="303"/>
    <s v="Sales invoice issued"/>
    <x v="1281"/>
    <s v="0.0"/>
    <x v="2"/>
    <x v="0"/>
  </r>
  <r>
    <n v="2923"/>
    <x v="303"/>
    <s v="Sales invoice issued"/>
    <x v="273"/>
    <s v="285.66"/>
    <x v="3"/>
    <x v="2"/>
  </r>
  <r>
    <n v="2923"/>
    <x v="303"/>
    <s v="Sales invoice issued"/>
    <x v="273"/>
    <s v="21.42"/>
    <x v="4"/>
    <x v="3"/>
  </r>
  <r>
    <n v="2924"/>
    <x v="303"/>
    <s v="Sales invoice issued"/>
    <x v="1282"/>
    <s v="0.0"/>
    <x v="2"/>
    <x v="0"/>
  </r>
  <r>
    <n v="2924"/>
    <x v="303"/>
    <s v="Sales invoice issued"/>
    <x v="273"/>
    <s v="1190.49"/>
    <x v="3"/>
    <x v="2"/>
  </r>
  <r>
    <n v="2924"/>
    <x v="303"/>
    <s v="Sales invoice issued"/>
    <x v="273"/>
    <s v="89.29"/>
    <x v="4"/>
    <x v="3"/>
  </r>
  <r>
    <n v="2925"/>
    <x v="303"/>
    <s v="Sales invoice issued"/>
    <x v="1283"/>
    <s v="0.0"/>
    <x v="2"/>
    <x v="0"/>
  </r>
  <r>
    <n v="2925"/>
    <x v="303"/>
    <s v="Sales invoice issued"/>
    <x v="273"/>
    <s v="2970.71"/>
    <x v="3"/>
    <x v="2"/>
  </r>
  <r>
    <n v="2925"/>
    <x v="303"/>
    <s v="Sales invoice issued"/>
    <x v="273"/>
    <s v="222.81"/>
    <x v="4"/>
    <x v="3"/>
  </r>
  <r>
    <n v="2926"/>
    <x v="303"/>
    <s v="Sales invoice issued"/>
    <x v="1284"/>
    <s v="0.0"/>
    <x v="2"/>
    <x v="0"/>
  </r>
  <r>
    <n v="2926"/>
    <x v="303"/>
    <s v="Sales invoice issued"/>
    <x v="273"/>
    <s v="1182.92"/>
    <x v="3"/>
    <x v="2"/>
  </r>
  <r>
    <n v="2926"/>
    <x v="303"/>
    <s v="Sales invoice issued"/>
    <x v="273"/>
    <s v="88.73"/>
    <x v="4"/>
    <x v="3"/>
  </r>
  <r>
    <n v="2927"/>
    <x v="303"/>
    <s v="Sales invoice issued"/>
    <x v="1285"/>
    <s v="0.0"/>
    <x v="2"/>
    <x v="0"/>
  </r>
  <r>
    <n v="2927"/>
    <x v="303"/>
    <s v="Sales invoice issued"/>
    <x v="273"/>
    <s v="1723.3"/>
    <x v="3"/>
    <x v="2"/>
  </r>
  <r>
    <n v="2927"/>
    <x v="303"/>
    <s v="Sales invoice issued"/>
    <x v="273"/>
    <s v="129.25"/>
    <x v="4"/>
    <x v="3"/>
  </r>
  <r>
    <n v="2928"/>
    <x v="303"/>
    <s v="Customer payment received"/>
    <x v="1167"/>
    <s v="0.0"/>
    <x v="0"/>
    <x v="0"/>
  </r>
  <r>
    <n v="2928"/>
    <x v="303"/>
    <s v="Customer payment received"/>
    <x v="273"/>
    <s v="4867.73"/>
    <x v="2"/>
    <x v="0"/>
  </r>
  <r>
    <n v="2929"/>
    <x v="303"/>
    <s v="Customer payment received"/>
    <x v="1208"/>
    <s v="0.0"/>
    <x v="0"/>
    <x v="0"/>
  </r>
  <r>
    <n v="2929"/>
    <x v="303"/>
    <s v="Customer payment received"/>
    <x v="273"/>
    <s v="910.42"/>
    <x v="2"/>
    <x v="0"/>
  </r>
  <r>
    <n v="2930"/>
    <x v="303"/>
    <s v="Customer payment received"/>
    <x v="1250"/>
    <s v="0.0"/>
    <x v="0"/>
    <x v="0"/>
  </r>
  <r>
    <n v="2930"/>
    <x v="303"/>
    <s v="Customer payment received"/>
    <x v="273"/>
    <s v="3495.99"/>
    <x v="2"/>
    <x v="0"/>
  </r>
  <r>
    <n v="2931"/>
    <x v="303"/>
    <s v="Customer payment received"/>
    <x v="1273"/>
    <s v="0.0"/>
    <x v="0"/>
    <x v="0"/>
  </r>
  <r>
    <n v="2931"/>
    <x v="303"/>
    <s v="Customer payment received"/>
    <x v="273"/>
    <s v="3624.67"/>
    <x v="2"/>
    <x v="0"/>
  </r>
  <r>
    <n v="2932"/>
    <x v="303"/>
    <s v="Supplier payment made"/>
    <x v="424"/>
    <s v="0.0"/>
    <x v="11"/>
    <x v="3"/>
  </r>
  <r>
    <n v="2932"/>
    <x v="303"/>
    <s v="Supplier payment made"/>
    <x v="273"/>
    <s v="1591.54"/>
    <x v="0"/>
    <x v="0"/>
  </r>
  <r>
    <n v="2933"/>
    <x v="304"/>
    <s v="Sales invoice issued"/>
    <x v="1286"/>
    <s v="0.0"/>
    <x v="2"/>
    <x v="0"/>
  </r>
  <r>
    <n v="2933"/>
    <x v="304"/>
    <s v="Sales invoice issued"/>
    <x v="273"/>
    <s v="329.7"/>
    <x v="3"/>
    <x v="2"/>
  </r>
  <r>
    <n v="2933"/>
    <x v="304"/>
    <s v="Sales invoice issued"/>
    <x v="273"/>
    <s v="24.73"/>
    <x v="4"/>
    <x v="3"/>
  </r>
  <r>
    <n v="2934"/>
    <x v="304"/>
    <s v="Sales invoice issued"/>
    <x v="1287"/>
    <s v="0.0"/>
    <x v="2"/>
    <x v="0"/>
  </r>
  <r>
    <n v="2934"/>
    <x v="304"/>
    <s v="Sales invoice issued"/>
    <x v="273"/>
    <s v="2313.89"/>
    <x v="3"/>
    <x v="2"/>
  </r>
  <r>
    <n v="2934"/>
    <x v="304"/>
    <s v="Sales invoice issued"/>
    <x v="273"/>
    <s v="173.54"/>
    <x v="4"/>
    <x v="3"/>
  </r>
  <r>
    <n v="2935"/>
    <x v="304"/>
    <s v="Sales invoice issued"/>
    <x v="868"/>
    <s v="0.0"/>
    <x v="2"/>
    <x v="0"/>
  </r>
  <r>
    <n v="2935"/>
    <x v="304"/>
    <s v="Sales invoice issued"/>
    <x v="273"/>
    <s v="268.92"/>
    <x v="3"/>
    <x v="2"/>
  </r>
  <r>
    <n v="2935"/>
    <x v="304"/>
    <s v="Sales invoice issued"/>
    <x v="273"/>
    <s v="20.17"/>
    <x v="4"/>
    <x v="3"/>
  </r>
  <r>
    <n v="2936"/>
    <x v="304"/>
    <s v="Sales invoice issued"/>
    <x v="1288"/>
    <s v="0.0"/>
    <x v="2"/>
    <x v="0"/>
  </r>
  <r>
    <n v="2936"/>
    <x v="304"/>
    <s v="Sales invoice issued"/>
    <x v="273"/>
    <s v="593.46"/>
    <x v="3"/>
    <x v="2"/>
  </r>
  <r>
    <n v="2936"/>
    <x v="304"/>
    <s v="Sales invoice issued"/>
    <x v="273"/>
    <s v="44.51"/>
    <x v="4"/>
    <x v="3"/>
  </r>
  <r>
    <n v="2937"/>
    <x v="304"/>
    <s v="Sales invoice issued"/>
    <x v="1289"/>
    <s v="0.0"/>
    <x v="2"/>
    <x v="0"/>
  </r>
  <r>
    <n v="2937"/>
    <x v="304"/>
    <s v="Sales invoice issued"/>
    <x v="273"/>
    <s v="213.41"/>
    <x v="3"/>
    <x v="2"/>
  </r>
  <r>
    <n v="2937"/>
    <x v="304"/>
    <s v="Sales invoice issued"/>
    <x v="273"/>
    <s v="16.01"/>
    <x v="4"/>
    <x v="3"/>
  </r>
  <r>
    <n v="2938"/>
    <x v="304"/>
    <s v="Customer payment received"/>
    <x v="1145"/>
    <s v="0.0"/>
    <x v="0"/>
    <x v="0"/>
  </r>
  <r>
    <n v="2938"/>
    <x v="304"/>
    <s v="Customer payment received"/>
    <x v="273"/>
    <s v="2100.19"/>
    <x v="2"/>
    <x v="0"/>
  </r>
  <r>
    <n v="2939"/>
    <x v="304"/>
    <s v="Customer payment received"/>
    <x v="1290"/>
    <s v="0.0"/>
    <x v="0"/>
    <x v="0"/>
  </r>
  <r>
    <n v="2939"/>
    <x v="304"/>
    <s v="Customer payment received"/>
    <x v="273"/>
    <s v="845.2"/>
    <x v="2"/>
    <x v="0"/>
  </r>
  <r>
    <n v="2940"/>
    <x v="304"/>
    <s v="Customer payment received"/>
    <x v="1224"/>
    <s v="0.0"/>
    <x v="0"/>
    <x v="0"/>
  </r>
  <r>
    <n v="2940"/>
    <x v="304"/>
    <s v="Customer payment received"/>
    <x v="273"/>
    <s v="956.65"/>
    <x v="2"/>
    <x v="0"/>
  </r>
  <r>
    <n v="2941"/>
    <x v="304"/>
    <s v="Customer payment received"/>
    <x v="1260"/>
    <s v="0.0"/>
    <x v="0"/>
    <x v="0"/>
  </r>
  <r>
    <n v="2941"/>
    <x v="304"/>
    <s v="Customer payment received"/>
    <x v="273"/>
    <s v="2038.36"/>
    <x v="2"/>
    <x v="0"/>
  </r>
  <r>
    <n v="2942"/>
    <x v="304"/>
    <s v="Customer payment received"/>
    <x v="1263"/>
    <s v="0.0"/>
    <x v="0"/>
    <x v="0"/>
  </r>
  <r>
    <n v="2942"/>
    <x v="304"/>
    <s v="Customer payment received"/>
    <x v="273"/>
    <s v="3230.93"/>
    <x v="2"/>
    <x v="0"/>
  </r>
  <r>
    <n v="2943"/>
    <x v="304"/>
    <s v="Customer payment received"/>
    <x v="1287"/>
    <s v="0.0"/>
    <x v="0"/>
    <x v="0"/>
  </r>
  <r>
    <n v="2943"/>
    <x v="304"/>
    <s v="Customer payment received"/>
    <x v="273"/>
    <s v="2487.43"/>
    <x v="2"/>
    <x v="0"/>
  </r>
  <r>
    <n v="2944"/>
    <x v="304"/>
    <s v="Supplier invoice received"/>
    <x v="305"/>
    <s v="0.0"/>
    <x v="9"/>
    <x v="4"/>
  </r>
  <r>
    <n v="2944"/>
    <x v="304"/>
    <s v="Supplier invoice received"/>
    <x v="306"/>
    <s v="0.0"/>
    <x v="10"/>
    <x v="0"/>
  </r>
  <r>
    <n v="2944"/>
    <x v="304"/>
    <s v="Supplier invoice received"/>
    <x v="273"/>
    <s v="276.32"/>
    <x v="11"/>
    <x v="3"/>
  </r>
  <r>
    <n v="2945"/>
    <x v="304"/>
    <s v="Supplier invoice received"/>
    <x v="332"/>
    <s v="0.0"/>
    <x v="9"/>
    <x v="4"/>
  </r>
  <r>
    <n v="2945"/>
    <x v="304"/>
    <s v="Supplier invoice received"/>
    <x v="333"/>
    <s v="0.0"/>
    <x v="10"/>
    <x v="0"/>
  </r>
  <r>
    <n v="2945"/>
    <x v="304"/>
    <s v="Supplier invoice received"/>
    <x v="273"/>
    <s v="1023.42"/>
    <x v="11"/>
    <x v="3"/>
  </r>
  <r>
    <n v="2946"/>
    <x v="304"/>
    <s v="Depreciation â€” POS System"/>
    <x v="425"/>
    <s v="0.0"/>
    <x v="12"/>
    <x v="4"/>
  </r>
  <r>
    <n v="2946"/>
    <x v="304"/>
    <s v="Depreciation â€” POS System"/>
    <x v="273"/>
    <s v="93.61"/>
    <x v="13"/>
    <x v="0"/>
  </r>
  <r>
    <n v="2947"/>
    <x v="304"/>
    <s v="Depreciation â€” Laptop x2"/>
    <x v="426"/>
    <s v="0.0"/>
    <x v="12"/>
    <x v="4"/>
  </r>
  <r>
    <n v="2947"/>
    <x v="304"/>
    <s v="Depreciation â€” Laptop x2"/>
    <x v="273"/>
    <s v="76.86"/>
    <x v="13"/>
    <x v="0"/>
  </r>
  <r>
    <n v="2948"/>
    <x v="304"/>
    <s v="Depreciation â€” Printer/Scanner"/>
    <x v="427"/>
    <s v="0.0"/>
    <x v="12"/>
    <x v="4"/>
  </r>
  <r>
    <n v="2948"/>
    <x v="304"/>
    <s v="Depreciation â€” Printer/Scanner"/>
    <x v="273"/>
    <s v="20.03"/>
    <x v="13"/>
    <x v="0"/>
  </r>
  <r>
    <n v="2949"/>
    <x v="304"/>
    <s v="Depreciation â€” Shop Shelving"/>
    <x v="428"/>
    <s v="0.0"/>
    <x v="12"/>
    <x v="4"/>
  </r>
  <r>
    <n v="2949"/>
    <x v="304"/>
    <s v="Depreciation â€” Shop Shelving"/>
    <x v="273"/>
    <s v="86.89"/>
    <x v="14"/>
    <x v="0"/>
  </r>
  <r>
    <n v="2950"/>
    <x v="304"/>
    <s v="Depreciation â€” Display Stands"/>
    <x v="429"/>
    <s v="0.0"/>
    <x v="12"/>
    <x v="4"/>
  </r>
  <r>
    <n v="2950"/>
    <x v="304"/>
    <s v="Depreciation â€” Display Stands"/>
    <x v="273"/>
    <s v="76.8"/>
    <x v="14"/>
    <x v="0"/>
  </r>
  <r>
    <n v="2951"/>
    <x v="304"/>
    <s v="Depreciation â€” Counter &amp; Checkout"/>
    <x v="430"/>
    <s v="0.0"/>
    <x v="12"/>
    <x v="4"/>
  </r>
  <r>
    <n v="2951"/>
    <x v="304"/>
    <s v="Depreciation â€” Counter &amp; Checkout"/>
    <x v="273"/>
    <s v="48.28"/>
    <x v="14"/>
    <x v="0"/>
  </r>
  <r>
    <n v="2952"/>
    <x v="304"/>
    <s v="Depreciation â€” Signage"/>
    <x v="431"/>
    <s v="0.0"/>
    <x v="12"/>
    <x v="4"/>
  </r>
  <r>
    <n v="2952"/>
    <x v="304"/>
    <s v="Depreciation â€” Signage"/>
    <x v="273"/>
    <s v="53.21"/>
    <x v="14"/>
    <x v="0"/>
  </r>
  <r>
    <n v="2953"/>
    <x v="304"/>
    <s v="Depreciation â€” Delivery Van"/>
    <x v="432"/>
    <s v="0.0"/>
    <x v="12"/>
    <x v="4"/>
  </r>
  <r>
    <n v="2953"/>
    <x v="304"/>
    <s v="Depreciation â€” Delivery Van"/>
    <x v="273"/>
    <s v="232.19"/>
    <x v="15"/>
    <x v="0"/>
  </r>
  <r>
    <n v="2954"/>
    <x v="304"/>
    <s v="Depreciation â€” Security System"/>
    <x v="433"/>
    <s v="0.0"/>
    <x v="12"/>
    <x v="4"/>
  </r>
  <r>
    <n v="2954"/>
    <x v="304"/>
    <s v="Depreciation â€” Security System"/>
    <x v="273"/>
    <s v="43.85"/>
    <x v="13"/>
    <x v="0"/>
  </r>
  <r>
    <n v="2955"/>
    <x v="305"/>
    <s v="Sales invoice issued"/>
    <x v="1291"/>
    <s v="0.0"/>
    <x v="2"/>
    <x v="0"/>
  </r>
  <r>
    <n v="2955"/>
    <x v="305"/>
    <s v="Sales invoice issued"/>
    <x v="273"/>
    <s v="223.68"/>
    <x v="3"/>
    <x v="2"/>
  </r>
  <r>
    <n v="2955"/>
    <x v="305"/>
    <s v="Sales invoice issued"/>
    <x v="273"/>
    <s v="16.78"/>
    <x v="4"/>
    <x v="3"/>
  </r>
  <r>
    <n v="2956"/>
    <x v="305"/>
    <s v="Sales invoice issued"/>
    <x v="1292"/>
    <s v="0.0"/>
    <x v="2"/>
    <x v="0"/>
  </r>
  <r>
    <n v="2956"/>
    <x v="305"/>
    <s v="Sales invoice issued"/>
    <x v="273"/>
    <s v="2662.04"/>
    <x v="3"/>
    <x v="2"/>
  </r>
  <r>
    <n v="2956"/>
    <x v="305"/>
    <s v="Sales invoice issued"/>
    <x v="273"/>
    <s v="199.66"/>
    <x v="4"/>
    <x v="3"/>
  </r>
  <r>
    <n v="2957"/>
    <x v="305"/>
    <s v="Sales invoice issued"/>
    <x v="1293"/>
    <s v="0.0"/>
    <x v="2"/>
    <x v="0"/>
  </r>
  <r>
    <n v="2957"/>
    <x v="305"/>
    <s v="Sales invoice issued"/>
    <x v="273"/>
    <s v="783.31"/>
    <x v="3"/>
    <x v="2"/>
  </r>
  <r>
    <n v="2957"/>
    <x v="305"/>
    <s v="Sales invoice issued"/>
    <x v="273"/>
    <s v="58.75"/>
    <x v="4"/>
    <x v="3"/>
  </r>
  <r>
    <n v="2958"/>
    <x v="305"/>
    <s v="Sales invoice issued"/>
    <x v="1294"/>
    <s v="0.0"/>
    <x v="2"/>
    <x v="0"/>
  </r>
  <r>
    <n v="2958"/>
    <x v="305"/>
    <s v="Sales invoice issued"/>
    <x v="273"/>
    <s v="1256.31"/>
    <x v="3"/>
    <x v="2"/>
  </r>
  <r>
    <n v="2958"/>
    <x v="305"/>
    <s v="Sales invoice issued"/>
    <x v="273"/>
    <s v="94.23"/>
    <x v="4"/>
    <x v="3"/>
  </r>
  <r>
    <n v="2959"/>
    <x v="305"/>
    <s v="Sales invoice issued"/>
    <x v="1295"/>
    <s v="0.0"/>
    <x v="2"/>
    <x v="0"/>
  </r>
  <r>
    <n v="2959"/>
    <x v="305"/>
    <s v="Sales invoice issued"/>
    <x v="273"/>
    <s v="2348.76"/>
    <x v="3"/>
    <x v="2"/>
  </r>
  <r>
    <n v="2959"/>
    <x v="305"/>
    <s v="Sales invoice issued"/>
    <x v="273"/>
    <s v="176.16"/>
    <x v="4"/>
    <x v="3"/>
  </r>
  <r>
    <n v="2960"/>
    <x v="305"/>
    <s v="Customer payment received"/>
    <x v="1141"/>
    <s v="0.0"/>
    <x v="0"/>
    <x v="0"/>
  </r>
  <r>
    <n v="2960"/>
    <x v="305"/>
    <s v="Customer payment received"/>
    <x v="273"/>
    <s v="2497.07"/>
    <x v="2"/>
    <x v="0"/>
  </r>
  <r>
    <n v="2961"/>
    <x v="305"/>
    <s v="Customer payment received"/>
    <x v="1171"/>
    <s v="0.0"/>
    <x v="0"/>
    <x v="0"/>
  </r>
  <r>
    <n v="2961"/>
    <x v="305"/>
    <s v="Customer payment received"/>
    <x v="273"/>
    <s v="1861.83"/>
    <x v="2"/>
    <x v="0"/>
  </r>
  <r>
    <n v="2962"/>
    <x v="305"/>
    <s v="Customer payment received"/>
    <x v="1239"/>
    <s v="0.0"/>
    <x v="0"/>
    <x v="0"/>
  </r>
  <r>
    <n v="2962"/>
    <x v="305"/>
    <s v="Customer payment received"/>
    <x v="273"/>
    <s v="2849.76"/>
    <x v="2"/>
    <x v="0"/>
  </r>
  <r>
    <n v="2963"/>
    <x v="305"/>
    <s v="Customer payment received"/>
    <x v="1245"/>
    <s v="0.0"/>
    <x v="0"/>
    <x v="0"/>
  </r>
  <r>
    <n v="2963"/>
    <x v="305"/>
    <s v="Customer payment received"/>
    <x v="273"/>
    <s v="1626.51"/>
    <x v="2"/>
    <x v="0"/>
  </r>
  <r>
    <n v="2964"/>
    <x v="305"/>
    <s v="Customer payment received"/>
    <x v="1255"/>
    <s v="0.0"/>
    <x v="0"/>
    <x v="0"/>
  </r>
  <r>
    <n v="2964"/>
    <x v="305"/>
    <s v="Customer payment received"/>
    <x v="273"/>
    <s v="1108.56"/>
    <x v="2"/>
    <x v="0"/>
  </r>
  <r>
    <n v="2965"/>
    <x v="305"/>
    <s v="Customer payment received"/>
    <x v="1274"/>
    <s v="0.0"/>
    <x v="0"/>
    <x v="0"/>
  </r>
  <r>
    <n v="2965"/>
    <x v="305"/>
    <s v="Customer payment received"/>
    <x v="273"/>
    <s v="160.84"/>
    <x v="2"/>
    <x v="0"/>
  </r>
  <r>
    <n v="2966"/>
    <x v="305"/>
    <s v="Customer payment received"/>
    <x v="1281"/>
    <s v="0.0"/>
    <x v="0"/>
    <x v="0"/>
  </r>
  <r>
    <n v="2966"/>
    <x v="305"/>
    <s v="Customer payment received"/>
    <x v="273"/>
    <s v="307.08"/>
    <x v="2"/>
    <x v="0"/>
  </r>
  <r>
    <n v="2967"/>
    <x v="305"/>
    <s v="Customer payment received"/>
    <x v="1284"/>
    <s v="0.0"/>
    <x v="0"/>
    <x v="0"/>
  </r>
  <r>
    <n v="2967"/>
    <x v="305"/>
    <s v="Customer payment received"/>
    <x v="273"/>
    <s v="1271.65"/>
    <x v="2"/>
    <x v="0"/>
  </r>
  <r>
    <n v="2968"/>
    <x v="305"/>
    <s v="Customer payment received"/>
    <x v="1295"/>
    <s v="0.0"/>
    <x v="0"/>
    <x v="0"/>
  </r>
  <r>
    <n v="2968"/>
    <x v="305"/>
    <s v="Customer payment received"/>
    <x v="273"/>
    <s v="2524.92"/>
    <x v="2"/>
    <x v="0"/>
  </r>
  <r>
    <n v="2969"/>
    <x v="305"/>
    <s v="Supplier invoice received"/>
    <x v="299"/>
    <s v="0.0"/>
    <x v="9"/>
    <x v="4"/>
  </r>
  <r>
    <n v="2969"/>
    <x v="305"/>
    <s v="Supplier invoice received"/>
    <x v="300"/>
    <s v="0.0"/>
    <x v="10"/>
    <x v="0"/>
  </r>
  <r>
    <n v="2969"/>
    <x v="305"/>
    <s v="Supplier invoice received"/>
    <x v="273"/>
    <s v="2918.17"/>
    <x v="11"/>
    <x v="3"/>
  </r>
  <r>
    <n v="2970"/>
    <x v="305"/>
    <s v="Supplier invoice received"/>
    <x v="338"/>
    <s v="0.0"/>
    <x v="9"/>
    <x v="4"/>
  </r>
  <r>
    <n v="2970"/>
    <x v="305"/>
    <s v="Supplier invoice received"/>
    <x v="339"/>
    <s v="0.0"/>
    <x v="10"/>
    <x v="0"/>
  </r>
  <r>
    <n v="2970"/>
    <x v="305"/>
    <s v="Supplier invoice received"/>
    <x v="273"/>
    <s v="1159.84"/>
    <x v="11"/>
    <x v="3"/>
  </r>
  <r>
    <n v="2971"/>
    <x v="305"/>
    <s v="Supplier invoice received"/>
    <x v="357"/>
    <s v="0.0"/>
    <x v="9"/>
    <x v="4"/>
  </r>
  <r>
    <n v="2971"/>
    <x v="305"/>
    <s v="Supplier invoice received"/>
    <x v="358"/>
    <s v="0.0"/>
    <x v="10"/>
    <x v="0"/>
  </r>
  <r>
    <n v="2971"/>
    <x v="305"/>
    <s v="Supplier invoice received"/>
    <x v="273"/>
    <s v="1958.74"/>
    <x v="11"/>
    <x v="3"/>
  </r>
  <r>
    <n v="2972"/>
    <x v="305"/>
    <s v="Supplier invoice received"/>
    <x v="443"/>
    <s v="0.0"/>
    <x v="9"/>
    <x v="4"/>
  </r>
  <r>
    <n v="2972"/>
    <x v="305"/>
    <s v="Supplier invoice received"/>
    <x v="444"/>
    <s v="0.0"/>
    <x v="10"/>
    <x v="0"/>
  </r>
  <r>
    <n v="2972"/>
    <x v="305"/>
    <s v="Supplier invoice received"/>
    <x v="273"/>
    <s v="748.26"/>
    <x v="11"/>
    <x v="3"/>
  </r>
  <r>
    <n v="2973"/>
    <x v="305"/>
    <s v="Supplier invoice received"/>
    <x v="366"/>
    <s v="0.0"/>
    <x v="9"/>
    <x v="4"/>
  </r>
  <r>
    <n v="2973"/>
    <x v="305"/>
    <s v="Supplier invoice received"/>
    <x v="367"/>
    <s v="0.0"/>
    <x v="10"/>
    <x v="0"/>
  </r>
  <r>
    <n v="2973"/>
    <x v="305"/>
    <s v="Supplier invoice received"/>
    <x v="273"/>
    <s v="201.5"/>
    <x v="11"/>
    <x v="3"/>
  </r>
  <r>
    <n v="2974"/>
    <x v="305"/>
    <s v="Supplier invoice received"/>
    <x v="307"/>
    <s v="0.0"/>
    <x v="9"/>
    <x v="4"/>
  </r>
  <r>
    <n v="2974"/>
    <x v="305"/>
    <s v="Supplier invoice received"/>
    <x v="308"/>
    <s v="0.0"/>
    <x v="10"/>
    <x v="0"/>
  </r>
  <r>
    <n v="2974"/>
    <x v="305"/>
    <s v="Supplier invoice received"/>
    <x v="273"/>
    <s v="2093.28"/>
    <x v="11"/>
    <x v="3"/>
  </r>
  <r>
    <n v="2975"/>
    <x v="305"/>
    <s v="Supplier invoice received"/>
    <x v="448"/>
    <s v="0.0"/>
    <x v="9"/>
    <x v="4"/>
  </r>
  <r>
    <n v="2975"/>
    <x v="305"/>
    <s v="Supplier invoice received"/>
    <x v="449"/>
    <s v="0.0"/>
    <x v="10"/>
    <x v="0"/>
  </r>
  <r>
    <n v="2975"/>
    <x v="305"/>
    <s v="Supplier invoice received"/>
    <x v="273"/>
    <s v="7227.44"/>
    <x v="11"/>
    <x v="3"/>
  </r>
  <r>
    <n v="2976"/>
    <x v="305"/>
    <s v="Supplier payment made"/>
    <x v="466"/>
    <s v="0.0"/>
    <x v="11"/>
    <x v="3"/>
  </r>
  <r>
    <n v="2976"/>
    <x v="305"/>
    <s v="Supplier payment made"/>
    <x v="273"/>
    <s v="748.26"/>
    <x v="0"/>
    <x v="0"/>
  </r>
  <r>
    <n v="2977"/>
    <x v="305"/>
    <s v="Supplier payment made"/>
    <x v="392"/>
    <s v="0.0"/>
    <x v="11"/>
    <x v="3"/>
  </r>
  <r>
    <n v="2977"/>
    <x v="305"/>
    <s v="Supplier payment made"/>
    <x v="273"/>
    <s v="1023.42"/>
    <x v="0"/>
    <x v="0"/>
  </r>
  <r>
    <n v="2978"/>
    <x v="305"/>
    <s v="Supplier payment made"/>
    <x v="310"/>
    <s v="0.0"/>
    <x v="11"/>
    <x v="3"/>
  </r>
  <r>
    <n v="2978"/>
    <x v="305"/>
    <s v="Supplier payment made"/>
    <x v="273"/>
    <s v="276.32"/>
    <x v="0"/>
    <x v="0"/>
  </r>
  <r>
    <n v="2979"/>
    <x v="306"/>
    <s v="Sales invoice issued"/>
    <x v="1296"/>
    <s v="0.0"/>
    <x v="2"/>
    <x v="0"/>
  </r>
  <r>
    <n v="2979"/>
    <x v="306"/>
    <s v="Sales invoice issued"/>
    <x v="273"/>
    <s v="167.33"/>
    <x v="3"/>
    <x v="2"/>
  </r>
  <r>
    <n v="2979"/>
    <x v="306"/>
    <s v="Sales invoice issued"/>
    <x v="273"/>
    <s v="12.55"/>
    <x v="4"/>
    <x v="3"/>
  </r>
  <r>
    <n v="2980"/>
    <x v="306"/>
    <s v="Sales invoice issued"/>
    <x v="1297"/>
    <s v="0.0"/>
    <x v="2"/>
    <x v="0"/>
  </r>
  <r>
    <n v="2980"/>
    <x v="306"/>
    <s v="Sales invoice issued"/>
    <x v="273"/>
    <s v="3172.49"/>
    <x v="3"/>
    <x v="2"/>
  </r>
  <r>
    <n v="2980"/>
    <x v="306"/>
    <s v="Sales invoice issued"/>
    <x v="273"/>
    <s v="237.93"/>
    <x v="4"/>
    <x v="3"/>
  </r>
  <r>
    <n v="2981"/>
    <x v="306"/>
    <s v="Sales invoice issued"/>
    <x v="1298"/>
    <s v="0.0"/>
    <x v="2"/>
    <x v="0"/>
  </r>
  <r>
    <n v="2981"/>
    <x v="306"/>
    <s v="Sales invoice issued"/>
    <x v="273"/>
    <s v="1208.77"/>
    <x v="3"/>
    <x v="2"/>
  </r>
  <r>
    <n v="2981"/>
    <x v="306"/>
    <s v="Sales invoice issued"/>
    <x v="273"/>
    <s v="90.66"/>
    <x v="4"/>
    <x v="3"/>
  </r>
  <r>
    <n v="2982"/>
    <x v="306"/>
    <s v="Sales invoice issued"/>
    <x v="1299"/>
    <s v="0.0"/>
    <x v="2"/>
    <x v="0"/>
  </r>
  <r>
    <n v="2982"/>
    <x v="306"/>
    <s v="Sales invoice issued"/>
    <x v="273"/>
    <s v="2668.82"/>
    <x v="3"/>
    <x v="2"/>
  </r>
  <r>
    <n v="2982"/>
    <x v="306"/>
    <s v="Sales invoice issued"/>
    <x v="273"/>
    <s v="200.15"/>
    <x v="4"/>
    <x v="3"/>
  </r>
  <r>
    <n v="2983"/>
    <x v="306"/>
    <s v="Sales invoice issued"/>
    <x v="1300"/>
    <s v="0.0"/>
    <x v="2"/>
    <x v="0"/>
  </r>
  <r>
    <n v="2983"/>
    <x v="306"/>
    <s v="Sales invoice issued"/>
    <x v="273"/>
    <s v="319.73"/>
    <x v="3"/>
    <x v="2"/>
  </r>
  <r>
    <n v="2983"/>
    <x v="306"/>
    <s v="Sales invoice issued"/>
    <x v="273"/>
    <s v="23.99"/>
    <x v="4"/>
    <x v="3"/>
  </r>
  <r>
    <n v="2984"/>
    <x v="306"/>
    <s v="Customer payment received"/>
    <x v="1198"/>
    <s v="0.0"/>
    <x v="0"/>
    <x v="0"/>
  </r>
  <r>
    <n v="2984"/>
    <x v="306"/>
    <s v="Customer payment received"/>
    <x v="273"/>
    <s v="3230.35"/>
    <x v="2"/>
    <x v="0"/>
  </r>
  <r>
    <n v="2985"/>
    <x v="306"/>
    <s v="Customer payment received"/>
    <x v="1220"/>
    <s v="0.0"/>
    <x v="0"/>
    <x v="0"/>
  </r>
  <r>
    <n v="2985"/>
    <x v="306"/>
    <s v="Customer payment received"/>
    <x v="273"/>
    <s v="1211.72"/>
    <x v="2"/>
    <x v="0"/>
  </r>
  <r>
    <n v="2986"/>
    <x v="306"/>
    <s v="Customer payment received"/>
    <x v="1237"/>
    <s v="0.0"/>
    <x v="0"/>
    <x v="0"/>
  </r>
  <r>
    <n v="2986"/>
    <x v="306"/>
    <s v="Customer payment received"/>
    <x v="273"/>
    <s v="2628.43"/>
    <x v="2"/>
    <x v="0"/>
  </r>
  <r>
    <n v="2987"/>
    <x v="306"/>
    <s v="Customer payment received"/>
    <x v="1244"/>
    <s v="0.0"/>
    <x v="0"/>
    <x v="0"/>
  </r>
  <r>
    <n v="2987"/>
    <x v="306"/>
    <s v="Customer payment received"/>
    <x v="273"/>
    <s v="4414.57"/>
    <x v="2"/>
    <x v="0"/>
  </r>
  <r>
    <n v="2988"/>
    <x v="306"/>
    <s v="Customer payment received"/>
    <x v="1256"/>
    <s v="0.0"/>
    <x v="0"/>
    <x v="0"/>
  </r>
  <r>
    <n v="2988"/>
    <x v="306"/>
    <s v="Customer payment received"/>
    <x v="273"/>
    <s v="84.17"/>
    <x v="2"/>
    <x v="0"/>
  </r>
  <r>
    <n v="2989"/>
    <x v="306"/>
    <s v="Customer payment received"/>
    <x v="1279"/>
    <s v="0.0"/>
    <x v="0"/>
    <x v="0"/>
  </r>
  <r>
    <n v="2989"/>
    <x v="306"/>
    <s v="Customer payment received"/>
    <x v="273"/>
    <s v="4399.64"/>
    <x v="2"/>
    <x v="0"/>
  </r>
  <r>
    <n v="2990"/>
    <x v="306"/>
    <s v="Customer payment received"/>
    <x v="1297"/>
    <s v="0.0"/>
    <x v="0"/>
    <x v="0"/>
  </r>
  <r>
    <n v="2990"/>
    <x v="306"/>
    <s v="Customer payment received"/>
    <x v="273"/>
    <s v="3410.42"/>
    <x v="2"/>
    <x v="0"/>
  </r>
  <r>
    <n v="2991"/>
    <x v="306"/>
    <s v="Supplier invoice received"/>
    <x v="445"/>
    <s v="0.0"/>
    <x v="9"/>
    <x v="4"/>
  </r>
  <r>
    <n v="2991"/>
    <x v="306"/>
    <s v="Supplier invoice received"/>
    <x v="446"/>
    <s v="0.0"/>
    <x v="10"/>
    <x v="0"/>
  </r>
  <r>
    <n v="2991"/>
    <x v="306"/>
    <s v="Supplier invoice received"/>
    <x v="273"/>
    <s v="1794.11"/>
    <x v="11"/>
    <x v="3"/>
  </r>
  <r>
    <n v="2992"/>
    <x v="307"/>
    <s v="Sales invoice issued"/>
    <x v="1301"/>
    <s v="0.0"/>
    <x v="2"/>
    <x v="0"/>
  </r>
  <r>
    <n v="2992"/>
    <x v="307"/>
    <s v="Sales invoice issued"/>
    <x v="273"/>
    <s v="2422.13"/>
    <x v="3"/>
    <x v="2"/>
  </r>
  <r>
    <n v="2992"/>
    <x v="307"/>
    <s v="Sales invoice issued"/>
    <x v="273"/>
    <s v="181.65"/>
    <x v="4"/>
    <x v="3"/>
  </r>
  <r>
    <n v="2993"/>
    <x v="307"/>
    <s v="Sales invoice issued"/>
    <x v="1302"/>
    <s v="0.0"/>
    <x v="2"/>
    <x v="0"/>
  </r>
  <r>
    <n v="2993"/>
    <x v="307"/>
    <s v="Sales invoice issued"/>
    <x v="273"/>
    <s v="1612.51"/>
    <x v="3"/>
    <x v="2"/>
  </r>
  <r>
    <n v="2993"/>
    <x v="307"/>
    <s v="Sales invoice issued"/>
    <x v="273"/>
    <s v="120.95"/>
    <x v="4"/>
    <x v="3"/>
  </r>
  <r>
    <n v="2994"/>
    <x v="307"/>
    <s v="Customer payment received"/>
    <x v="1177"/>
    <s v="0.0"/>
    <x v="0"/>
    <x v="0"/>
  </r>
  <r>
    <n v="2994"/>
    <x v="307"/>
    <s v="Customer payment received"/>
    <x v="273"/>
    <s v="597.41"/>
    <x v="2"/>
    <x v="0"/>
  </r>
  <r>
    <n v="2995"/>
    <x v="307"/>
    <s v="Customer payment received"/>
    <x v="1269"/>
    <s v="0.0"/>
    <x v="0"/>
    <x v="0"/>
  </r>
  <r>
    <n v="2995"/>
    <x v="307"/>
    <s v="Customer payment received"/>
    <x v="273"/>
    <s v="3373.7"/>
    <x v="2"/>
    <x v="0"/>
  </r>
  <r>
    <n v="2996"/>
    <x v="307"/>
    <s v="Customer payment received"/>
    <x v="1277"/>
    <s v="0.0"/>
    <x v="0"/>
    <x v="0"/>
  </r>
  <r>
    <n v="2996"/>
    <x v="307"/>
    <s v="Customer payment received"/>
    <x v="273"/>
    <s v="1805.37"/>
    <x v="2"/>
    <x v="0"/>
  </r>
  <r>
    <n v="2997"/>
    <x v="307"/>
    <s v="Supplier invoice received"/>
    <x v="372"/>
    <s v="0.0"/>
    <x v="9"/>
    <x v="4"/>
  </r>
  <r>
    <n v="2997"/>
    <x v="307"/>
    <s v="Supplier invoice received"/>
    <x v="373"/>
    <s v="0.0"/>
    <x v="10"/>
    <x v="0"/>
  </r>
  <r>
    <n v="2997"/>
    <x v="307"/>
    <s v="Supplier invoice received"/>
    <x v="273"/>
    <s v="412.54"/>
    <x v="11"/>
    <x v="3"/>
  </r>
  <r>
    <n v="2998"/>
    <x v="307"/>
    <s v="Supplier payment made"/>
    <x v="309"/>
    <s v="0.0"/>
    <x v="11"/>
    <x v="3"/>
  </r>
  <r>
    <n v="2998"/>
    <x v="307"/>
    <s v="Supplier payment made"/>
    <x v="273"/>
    <s v="4812.46"/>
    <x v="0"/>
    <x v="0"/>
  </r>
  <r>
    <n v="2999"/>
    <x v="307"/>
    <s v="Supplier payment made"/>
    <x v="292"/>
    <s v="0.0"/>
    <x v="11"/>
    <x v="3"/>
  </r>
  <r>
    <n v="2999"/>
    <x v="307"/>
    <s v="Supplier payment made"/>
    <x v="273"/>
    <s v="1766.46"/>
    <x v="0"/>
    <x v="0"/>
  </r>
  <r>
    <n v="3000"/>
    <x v="307"/>
    <s v="Supplier payment made"/>
    <x v="392"/>
    <s v="0.0"/>
    <x v="11"/>
    <x v="3"/>
  </r>
  <r>
    <n v="3000"/>
    <x v="307"/>
    <s v="Supplier payment made"/>
    <x v="273"/>
    <s v="1023.42"/>
    <x v="0"/>
    <x v="0"/>
  </r>
  <r>
    <n v="3001"/>
    <x v="308"/>
    <s v="Sales invoice issued"/>
    <x v="1303"/>
    <s v="0.0"/>
    <x v="2"/>
    <x v="0"/>
  </r>
  <r>
    <n v="3001"/>
    <x v="308"/>
    <s v="Sales invoice issued"/>
    <x v="273"/>
    <s v="587.24"/>
    <x v="3"/>
    <x v="2"/>
  </r>
  <r>
    <n v="3001"/>
    <x v="308"/>
    <s v="Sales invoice issued"/>
    <x v="273"/>
    <s v="44.04"/>
    <x v="4"/>
    <x v="3"/>
  </r>
  <r>
    <n v="3002"/>
    <x v="308"/>
    <s v="Customer payment received"/>
    <x v="1292"/>
    <s v="0.0"/>
    <x v="0"/>
    <x v="0"/>
  </r>
  <r>
    <n v="3002"/>
    <x v="308"/>
    <s v="Customer payment received"/>
    <x v="273"/>
    <s v="2861.7"/>
    <x v="2"/>
    <x v="0"/>
  </r>
  <r>
    <n v="3003"/>
    <x v="308"/>
    <s v="Supplier invoice received"/>
    <x v="441"/>
    <s v="0.0"/>
    <x v="9"/>
    <x v="4"/>
  </r>
  <r>
    <n v="3003"/>
    <x v="308"/>
    <s v="Supplier invoice received"/>
    <x v="442"/>
    <s v="0.0"/>
    <x v="10"/>
    <x v="0"/>
  </r>
  <r>
    <n v="3003"/>
    <x v="308"/>
    <s v="Supplier invoice received"/>
    <x v="273"/>
    <s v="179.01"/>
    <x v="11"/>
    <x v="3"/>
  </r>
  <r>
    <n v="3004"/>
    <x v="308"/>
    <s v="Supplier invoice received"/>
    <x v="295"/>
    <s v="0.0"/>
    <x v="9"/>
    <x v="4"/>
  </r>
  <r>
    <n v="3004"/>
    <x v="308"/>
    <s v="Supplier invoice received"/>
    <x v="296"/>
    <s v="0.0"/>
    <x v="10"/>
    <x v="0"/>
  </r>
  <r>
    <n v="3004"/>
    <x v="308"/>
    <s v="Supplier invoice received"/>
    <x v="273"/>
    <s v="1766.46"/>
    <x v="11"/>
    <x v="3"/>
  </r>
  <r>
    <n v="3005"/>
    <x v="308"/>
    <s v="Supplier payment made"/>
    <x v="353"/>
    <s v="0.0"/>
    <x v="11"/>
    <x v="3"/>
  </r>
  <r>
    <n v="3005"/>
    <x v="308"/>
    <s v="Supplier payment made"/>
    <x v="273"/>
    <s v="2918.17"/>
    <x v="0"/>
    <x v="0"/>
  </r>
  <r>
    <n v="3006"/>
    <x v="309"/>
    <s v="Sales invoice issued"/>
    <x v="1304"/>
    <s v="0.0"/>
    <x v="2"/>
    <x v="0"/>
  </r>
  <r>
    <n v="3006"/>
    <x v="309"/>
    <s v="Sales invoice issued"/>
    <x v="273"/>
    <s v="4091.7"/>
    <x v="3"/>
    <x v="2"/>
  </r>
  <r>
    <n v="3006"/>
    <x v="309"/>
    <s v="Sales invoice issued"/>
    <x v="273"/>
    <s v="306.87"/>
    <x v="4"/>
    <x v="3"/>
  </r>
  <r>
    <n v="3007"/>
    <x v="309"/>
    <s v="Sales invoice issued"/>
    <x v="1305"/>
    <s v="0.0"/>
    <x v="2"/>
    <x v="0"/>
  </r>
  <r>
    <n v="3007"/>
    <x v="309"/>
    <s v="Sales invoice issued"/>
    <x v="273"/>
    <s v="1467.95"/>
    <x v="3"/>
    <x v="2"/>
  </r>
  <r>
    <n v="3007"/>
    <x v="309"/>
    <s v="Sales invoice issued"/>
    <x v="273"/>
    <s v="110.09"/>
    <x v="4"/>
    <x v="3"/>
  </r>
  <r>
    <n v="3008"/>
    <x v="309"/>
    <s v="Customer payment received"/>
    <x v="1173"/>
    <s v="0.0"/>
    <x v="0"/>
    <x v="0"/>
  </r>
  <r>
    <n v="3008"/>
    <x v="309"/>
    <s v="Customer payment received"/>
    <x v="273"/>
    <s v="82.37"/>
    <x v="2"/>
    <x v="0"/>
  </r>
  <r>
    <n v="3009"/>
    <x v="309"/>
    <s v="Customer payment received"/>
    <x v="1176"/>
    <s v="0.0"/>
    <x v="0"/>
    <x v="0"/>
  </r>
  <r>
    <n v="3009"/>
    <x v="309"/>
    <s v="Customer payment received"/>
    <x v="273"/>
    <s v="5863.92"/>
    <x v="2"/>
    <x v="0"/>
  </r>
  <r>
    <n v="3010"/>
    <x v="309"/>
    <s v="Customer payment received"/>
    <x v="1201"/>
    <s v="0.0"/>
    <x v="0"/>
    <x v="0"/>
  </r>
  <r>
    <n v="3010"/>
    <x v="309"/>
    <s v="Customer payment received"/>
    <x v="273"/>
    <s v="5799.5"/>
    <x v="2"/>
    <x v="0"/>
  </r>
  <r>
    <n v="3011"/>
    <x v="309"/>
    <s v="Customer payment received"/>
    <x v="1205"/>
    <s v="0.0"/>
    <x v="0"/>
    <x v="0"/>
  </r>
  <r>
    <n v="3011"/>
    <x v="309"/>
    <s v="Customer payment received"/>
    <x v="273"/>
    <s v="106.63"/>
    <x v="2"/>
    <x v="0"/>
  </r>
  <r>
    <n v="3012"/>
    <x v="309"/>
    <s v="Customer payment received"/>
    <x v="1217"/>
    <s v="0.0"/>
    <x v="0"/>
    <x v="0"/>
  </r>
  <r>
    <n v="3012"/>
    <x v="309"/>
    <s v="Customer payment received"/>
    <x v="273"/>
    <s v="1334.35"/>
    <x v="2"/>
    <x v="0"/>
  </r>
  <r>
    <n v="3013"/>
    <x v="309"/>
    <s v="Supplier invoice received"/>
    <x v="374"/>
    <s v="0.0"/>
    <x v="9"/>
    <x v="4"/>
  </r>
  <r>
    <n v="3013"/>
    <x v="309"/>
    <s v="Supplier invoice received"/>
    <x v="375"/>
    <s v="0.0"/>
    <x v="10"/>
    <x v="0"/>
  </r>
  <r>
    <n v="3013"/>
    <x v="309"/>
    <s v="Supplier invoice received"/>
    <x v="273"/>
    <s v="2504.23"/>
    <x v="11"/>
    <x v="3"/>
  </r>
  <r>
    <n v="3014"/>
    <x v="309"/>
    <s v="Supplier invoice received"/>
    <x v="474"/>
    <s v="0.0"/>
    <x v="9"/>
    <x v="4"/>
  </r>
  <r>
    <n v="3014"/>
    <x v="309"/>
    <s v="Supplier invoice received"/>
    <x v="475"/>
    <s v="0.0"/>
    <x v="10"/>
    <x v="0"/>
  </r>
  <r>
    <n v="3014"/>
    <x v="309"/>
    <s v="Supplier invoice received"/>
    <x v="273"/>
    <s v="862.91"/>
    <x v="11"/>
    <x v="3"/>
  </r>
  <r>
    <n v="3015"/>
    <x v="310"/>
    <s v="Sales invoice issued"/>
    <x v="1306"/>
    <s v="0.0"/>
    <x v="2"/>
    <x v="0"/>
  </r>
  <r>
    <n v="3015"/>
    <x v="310"/>
    <s v="Sales invoice issued"/>
    <x v="273"/>
    <s v="2335.16"/>
    <x v="3"/>
    <x v="2"/>
  </r>
  <r>
    <n v="3015"/>
    <x v="310"/>
    <s v="Sales invoice issued"/>
    <x v="273"/>
    <s v="175.14"/>
    <x v="4"/>
    <x v="3"/>
  </r>
  <r>
    <n v="3016"/>
    <x v="310"/>
    <s v="Sales invoice issued"/>
    <x v="1307"/>
    <s v="0.0"/>
    <x v="2"/>
    <x v="0"/>
  </r>
  <r>
    <n v="3016"/>
    <x v="310"/>
    <s v="Sales invoice issued"/>
    <x v="273"/>
    <s v="1412.24"/>
    <x v="3"/>
    <x v="2"/>
  </r>
  <r>
    <n v="3016"/>
    <x v="310"/>
    <s v="Sales invoice issued"/>
    <x v="273"/>
    <s v="105.92"/>
    <x v="4"/>
    <x v="3"/>
  </r>
  <r>
    <n v="3017"/>
    <x v="310"/>
    <s v="Sales invoice issued"/>
    <x v="1308"/>
    <s v="0.0"/>
    <x v="2"/>
    <x v="0"/>
  </r>
  <r>
    <n v="3017"/>
    <x v="310"/>
    <s v="Sales invoice issued"/>
    <x v="273"/>
    <s v="1115.23"/>
    <x v="3"/>
    <x v="2"/>
  </r>
  <r>
    <n v="3017"/>
    <x v="310"/>
    <s v="Sales invoice issued"/>
    <x v="273"/>
    <s v="83.64"/>
    <x v="4"/>
    <x v="3"/>
  </r>
  <r>
    <n v="3018"/>
    <x v="310"/>
    <s v="Customer payment received"/>
    <x v="1227"/>
    <s v="0.0"/>
    <x v="0"/>
    <x v="0"/>
  </r>
  <r>
    <n v="3018"/>
    <x v="310"/>
    <s v="Customer payment received"/>
    <x v="273"/>
    <s v="61.06"/>
    <x v="2"/>
    <x v="0"/>
  </r>
  <r>
    <n v="3019"/>
    <x v="310"/>
    <s v="Customer payment received"/>
    <x v="1251"/>
    <s v="0.0"/>
    <x v="0"/>
    <x v="0"/>
  </r>
  <r>
    <n v="3019"/>
    <x v="310"/>
    <s v="Customer payment received"/>
    <x v="273"/>
    <s v="788.61"/>
    <x v="2"/>
    <x v="0"/>
  </r>
  <r>
    <n v="3020"/>
    <x v="310"/>
    <s v="Customer payment received"/>
    <x v="1265"/>
    <s v="0.0"/>
    <x v="0"/>
    <x v="0"/>
  </r>
  <r>
    <n v="3020"/>
    <x v="310"/>
    <s v="Customer payment received"/>
    <x v="273"/>
    <s v="4034.98"/>
    <x v="2"/>
    <x v="0"/>
  </r>
  <r>
    <n v="3021"/>
    <x v="310"/>
    <s v="Customer payment received"/>
    <x v="1294"/>
    <s v="0.0"/>
    <x v="0"/>
    <x v="0"/>
  </r>
  <r>
    <n v="3021"/>
    <x v="310"/>
    <s v="Customer payment received"/>
    <x v="273"/>
    <s v="1350.54"/>
    <x v="2"/>
    <x v="0"/>
  </r>
  <r>
    <n v="3022"/>
    <x v="310"/>
    <s v="Supplier invoice received"/>
    <x v="284"/>
    <s v="0.0"/>
    <x v="9"/>
    <x v="4"/>
  </r>
  <r>
    <n v="3022"/>
    <x v="310"/>
    <s v="Supplier invoice received"/>
    <x v="285"/>
    <s v="0.0"/>
    <x v="10"/>
    <x v="0"/>
  </r>
  <r>
    <n v="3022"/>
    <x v="310"/>
    <s v="Supplier invoice received"/>
    <x v="273"/>
    <s v="9336.67"/>
    <x v="11"/>
    <x v="3"/>
  </r>
  <r>
    <n v="3023"/>
    <x v="310"/>
    <s v="Supplier invoice received"/>
    <x v="330"/>
    <s v="0.0"/>
    <x v="9"/>
    <x v="4"/>
  </r>
  <r>
    <n v="3023"/>
    <x v="310"/>
    <s v="Supplier invoice received"/>
    <x v="331"/>
    <s v="0.0"/>
    <x v="10"/>
    <x v="0"/>
  </r>
  <r>
    <n v="3023"/>
    <x v="310"/>
    <s v="Supplier invoice received"/>
    <x v="273"/>
    <s v="1935.04"/>
    <x v="11"/>
    <x v="3"/>
  </r>
  <r>
    <n v="3024"/>
    <x v="310"/>
    <s v="Supplier invoice received"/>
    <x v="461"/>
    <s v="0.0"/>
    <x v="9"/>
    <x v="4"/>
  </r>
  <r>
    <n v="3024"/>
    <x v="310"/>
    <s v="Supplier invoice received"/>
    <x v="462"/>
    <s v="0.0"/>
    <x v="10"/>
    <x v="0"/>
  </r>
  <r>
    <n v="3024"/>
    <x v="310"/>
    <s v="Supplier invoice received"/>
    <x v="273"/>
    <s v="2182.41"/>
    <x v="11"/>
    <x v="3"/>
  </r>
  <r>
    <n v="3025"/>
    <x v="310"/>
    <s v="Supplier invoice received"/>
    <x v="303"/>
    <s v="0.0"/>
    <x v="9"/>
    <x v="4"/>
  </r>
  <r>
    <n v="3025"/>
    <x v="310"/>
    <s v="Supplier invoice received"/>
    <x v="304"/>
    <s v="0.0"/>
    <x v="10"/>
    <x v="0"/>
  </r>
  <r>
    <n v="3025"/>
    <x v="310"/>
    <s v="Supplier invoice received"/>
    <x v="273"/>
    <s v="550.4"/>
    <x v="11"/>
    <x v="3"/>
  </r>
  <r>
    <n v="3026"/>
    <x v="310"/>
    <s v="Supplier invoice received"/>
    <x v="443"/>
    <s v="0.0"/>
    <x v="9"/>
    <x v="4"/>
  </r>
  <r>
    <n v="3026"/>
    <x v="310"/>
    <s v="Supplier invoice received"/>
    <x v="444"/>
    <s v="0.0"/>
    <x v="10"/>
    <x v="0"/>
  </r>
  <r>
    <n v="3026"/>
    <x v="310"/>
    <s v="Supplier invoice received"/>
    <x v="273"/>
    <s v="748.26"/>
    <x v="11"/>
    <x v="3"/>
  </r>
  <r>
    <n v="3027"/>
    <x v="310"/>
    <s v="Supplier payment made"/>
    <x v="313"/>
    <s v="0.0"/>
    <x v="11"/>
    <x v="3"/>
  </r>
  <r>
    <n v="3027"/>
    <x v="310"/>
    <s v="Supplier payment made"/>
    <x v="273"/>
    <s v="1159.84"/>
    <x v="0"/>
    <x v="0"/>
  </r>
  <r>
    <n v="3028"/>
    <x v="310"/>
    <s v="Supplier payment made"/>
    <x v="515"/>
    <s v="0.0"/>
    <x v="11"/>
    <x v="3"/>
  </r>
  <r>
    <n v="3028"/>
    <x v="310"/>
    <s v="Supplier payment made"/>
    <x v="273"/>
    <s v="862.91"/>
    <x v="0"/>
    <x v="0"/>
  </r>
  <r>
    <n v="3029"/>
    <x v="311"/>
    <s v="Sales invoice issued"/>
    <x v="1309"/>
    <s v="0.0"/>
    <x v="2"/>
    <x v="0"/>
  </r>
  <r>
    <n v="3029"/>
    <x v="311"/>
    <s v="Sales invoice issued"/>
    <x v="273"/>
    <s v="3184.82"/>
    <x v="3"/>
    <x v="2"/>
  </r>
  <r>
    <n v="3029"/>
    <x v="311"/>
    <s v="Sales invoice issued"/>
    <x v="273"/>
    <s v="238.87"/>
    <x v="4"/>
    <x v="3"/>
  </r>
  <r>
    <n v="3030"/>
    <x v="311"/>
    <s v="Sales invoice issued"/>
    <x v="1310"/>
    <s v="0.0"/>
    <x v="2"/>
    <x v="0"/>
  </r>
  <r>
    <n v="3030"/>
    <x v="311"/>
    <s v="Sales invoice issued"/>
    <x v="273"/>
    <s v="496.6"/>
    <x v="3"/>
    <x v="2"/>
  </r>
  <r>
    <n v="3030"/>
    <x v="311"/>
    <s v="Sales invoice issued"/>
    <x v="273"/>
    <s v="37.25"/>
    <x v="4"/>
    <x v="3"/>
  </r>
  <r>
    <n v="3031"/>
    <x v="311"/>
    <s v="Sales invoice issued"/>
    <x v="1311"/>
    <s v="0.0"/>
    <x v="2"/>
    <x v="0"/>
  </r>
  <r>
    <n v="3031"/>
    <x v="311"/>
    <s v="Sales invoice issued"/>
    <x v="273"/>
    <s v="1203.46"/>
    <x v="3"/>
    <x v="2"/>
  </r>
  <r>
    <n v="3031"/>
    <x v="311"/>
    <s v="Sales invoice issued"/>
    <x v="273"/>
    <s v="90.27"/>
    <x v="4"/>
    <x v="3"/>
  </r>
  <r>
    <n v="3032"/>
    <x v="311"/>
    <s v="Sales invoice issued"/>
    <x v="1312"/>
    <s v="0.0"/>
    <x v="2"/>
    <x v="0"/>
  </r>
  <r>
    <n v="3032"/>
    <x v="311"/>
    <s v="Sales invoice issued"/>
    <x v="273"/>
    <s v="1496.84"/>
    <x v="3"/>
    <x v="2"/>
  </r>
  <r>
    <n v="3032"/>
    <x v="311"/>
    <s v="Sales invoice issued"/>
    <x v="273"/>
    <s v="112.26"/>
    <x v="4"/>
    <x v="3"/>
  </r>
  <r>
    <n v="3033"/>
    <x v="311"/>
    <s v="Sales invoice issued"/>
    <x v="1313"/>
    <s v="0.0"/>
    <x v="2"/>
    <x v="0"/>
  </r>
  <r>
    <n v="3033"/>
    <x v="311"/>
    <s v="Sales invoice issued"/>
    <x v="273"/>
    <s v="1902.35"/>
    <x v="3"/>
    <x v="2"/>
  </r>
  <r>
    <n v="3033"/>
    <x v="311"/>
    <s v="Sales invoice issued"/>
    <x v="273"/>
    <s v="142.67"/>
    <x v="4"/>
    <x v="3"/>
  </r>
  <r>
    <n v="3034"/>
    <x v="311"/>
    <s v="Customer payment received"/>
    <x v="1168"/>
    <s v="0.0"/>
    <x v="0"/>
    <x v="0"/>
  </r>
  <r>
    <n v="3034"/>
    <x v="311"/>
    <s v="Customer payment received"/>
    <x v="273"/>
    <s v="1041.93"/>
    <x v="2"/>
    <x v="0"/>
  </r>
  <r>
    <n v="3035"/>
    <x v="311"/>
    <s v="Customer payment received"/>
    <x v="1216"/>
    <s v="0.0"/>
    <x v="0"/>
    <x v="0"/>
  </r>
  <r>
    <n v="3035"/>
    <x v="311"/>
    <s v="Customer payment received"/>
    <x v="273"/>
    <s v="264.49"/>
    <x v="2"/>
    <x v="0"/>
  </r>
  <r>
    <n v="3036"/>
    <x v="311"/>
    <s v="Customer payment received"/>
    <x v="1225"/>
    <s v="0.0"/>
    <x v="0"/>
    <x v="0"/>
  </r>
  <r>
    <n v="3036"/>
    <x v="311"/>
    <s v="Customer payment received"/>
    <x v="273"/>
    <s v="112.23"/>
    <x v="2"/>
    <x v="0"/>
  </r>
  <r>
    <n v="3037"/>
    <x v="311"/>
    <s v="Customer payment received"/>
    <x v="1282"/>
    <s v="0.0"/>
    <x v="0"/>
    <x v="0"/>
  </r>
  <r>
    <n v="3037"/>
    <x v="311"/>
    <s v="Customer payment received"/>
    <x v="273"/>
    <s v="1279.78"/>
    <x v="2"/>
    <x v="0"/>
  </r>
  <r>
    <n v="3038"/>
    <x v="311"/>
    <s v="Supplier payment made"/>
    <x v="309"/>
    <s v="0.0"/>
    <x v="11"/>
    <x v="3"/>
  </r>
  <r>
    <n v="3038"/>
    <x v="311"/>
    <s v="Supplier payment made"/>
    <x v="273"/>
    <s v="4812.46"/>
    <x v="0"/>
    <x v="0"/>
  </r>
  <r>
    <n v="3039"/>
    <x v="311"/>
    <s v="Supplier payment made"/>
    <x v="407"/>
    <s v="0.0"/>
    <x v="11"/>
    <x v="3"/>
  </r>
  <r>
    <n v="3039"/>
    <x v="311"/>
    <s v="Supplier payment made"/>
    <x v="273"/>
    <s v="201.5"/>
    <x v="0"/>
    <x v="0"/>
  </r>
  <r>
    <n v="3040"/>
    <x v="311"/>
    <s v="Supplier payment made"/>
    <x v="336"/>
    <s v="0.0"/>
    <x v="11"/>
    <x v="3"/>
  </r>
  <r>
    <n v="3040"/>
    <x v="311"/>
    <s v="Supplier payment made"/>
    <x v="273"/>
    <s v="2093.28"/>
    <x v="0"/>
    <x v="0"/>
  </r>
  <r>
    <n v="3041"/>
    <x v="311"/>
    <s v="Supplier payment made"/>
    <x v="393"/>
    <s v="0.0"/>
    <x v="11"/>
    <x v="3"/>
  </r>
  <r>
    <n v="3041"/>
    <x v="311"/>
    <s v="Supplier payment made"/>
    <x v="273"/>
    <s v="412.54"/>
    <x v="0"/>
    <x v="0"/>
  </r>
  <r>
    <n v="3042"/>
    <x v="311"/>
    <s v="Supplier payment made"/>
    <x v="327"/>
    <s v="0.0"/>
    <x v="11"/>
    <x v="3"/>
  </r>
  <r>
    <n v="3042"/>
    <x v="311"/>
    <s v="Supplier payment made"/>
    <x v="273"/>
    <s v="1935.04"/>
    <x v="0"/>
    <x v="0"/>
  </r>
  <r>
    <n v="3043"/>
    <x v="312"/>
    <s v="Sales invoice issued"/>
    <x v="1314"/>
    <s v="0.0"/>
    <x v="2"/>
    <x v="0"/>
  </r>
  <r>
    <n v="3043"/>
    <x v="312"/>
    <s v="Sales invoice issued"/>
    <x v="273"/>
    <s v="2086.73"/>
    <x v="3"/>
    <x v="2"/>
  </r>
  <r>
    <n v="3043"/>
    <x v="312"/>
    <s v="Sales invoice issued"/>
    <x v="273"/>
    <s v="156.52"/>
    <x v="4"/>
    <x v="3"/>
  </r>
  <r>
    <n v="3044"/>
    <x v="312"/>
    <s v="Sales invoice issued"/>
    <x v="1315"/>
    <s v="0.0"/>
    <x v="2"/>
    <x v="0"/>
  </r>
  <r>
    <n v="3044"/>
    <x v="312"/>
    <s v="Sales invoice issued"/>
    <x v="273"/>
    <s v="107.36"/>
    <x v="3"/>
    <x v="2"/>
  </r>
  <r>
    <n v="3044"/>
    <x v="312"/>
    <s v="Sales invoice issued"/>
    <x v="273"/>
    <s v="8.05"/>
    <x v="4"/>
    <x v="3"/>
  </r>
  <r>
    <n v="3045"/>
    <x v="312"/>
    <s v="Sales invoice issued"/>
    <x v="1316"/>
    <s v="0.0"/>
    <x v="2"/>
    <x v="0"/>
  </r>
  <r>
    <n v="3045"/>
    <x v="312"/>
    <s v="Sales invoice issued"/>
    <x v="273"/>
    <s v="957.82"/>
    <x v="3"/>
    <x v="2"/>
  </r>
  <r>
    <n v="3045"/>
    <x v="312"/>
    <s v="Sales invoice issued"/>
    <x v="273"/>
    <s v="71.84"/>
    <x v="4"/>
    <x v="3"/>
  </r>
  <r>
    <n v="3046"/>
    <x v="312"/>
    <s v="Sales invoice issued"/>
    <x v="1317"/>
    <s v="0.0"/>
    <x v="2"/>
    <x v="0"/>
  </r>
  <r>
    <n v="3046"/>
    <x v="312"/>
    <s v="Sales invoice issued"/>
    <x v="273"/>
    <s v="2318.84"/>
    <x v="3"/>
    <x v="2"/>
  </r>
  <r>
    <n v="3046"/>
    <x v="312"/>
    <s v="Sales invoice issued"/>
    <x v="273"/>
    <s v="173.91"/>
    <x v="4"/>
    <x v="3"/>
  </r>
  <r>
    <n v="3047"/>
    <x v="312"/>
    <s v="Sales invoice issued"/>
    <x v="1318"/>
    <s v="0.0"/>
    <x v="2"/>
    <x v="0"/>
  </r>
  <r>
    <n v="3047"/>
    <x v="312"/>
    <s v="Sales invoice issued"/>
    <x v="273"/>
    <s v="1290.35"/>
    <x v="3"/>
    <x v="2"/>
  </r>
  <r>
    <n v="3047"/>
    <x v="312"/>
    <s v="Sales invoice issued"/>
    <x v="273"/>
    <s v="96.79"/>
    <x v="4"/>
    <x v="3"/>
  </r>
  <r>
    <n v="3048"/>
    <x v="312"/>
    <s v="Sales invoice issued"/>
    <x v="1319"/>
    <s v="0.0"/>
    <x v="2"/>
    <x v="0"/>
  </r>
  <r>
    <n v="3048"/>
    <x v="312"/>
    <s v="Sales invoice issued"/>
    <x v="273"/>
    <s v="3657.61"/>
    <x v="3"/>
    <x v="2"/>
  </r>
  <r>
    <n v="3048"/>
    <x v="312"/>
    <s v="Sales invoice issued"/>
    <x v="273"/>
    <s v="274.31"/>
    <x v="4"/>
    <x v="3"/>
  </r>
  <r>
    <n v="3049"/>
    <x v="312"/>
    <s v="Sales invoice issued"/>
    <x v="1320"/>
    <s v="0.0"/>
    <x v="2"/>
    <x v="0"/>
  </r>
  <r>
    <n v="3049"/>
    <x v="312"/>
    <s v="Sales invoice issued"/>
    <x v="273"/>
    <s v="3360.37"/>
    <x v="3"/>
    <x v="2"/>
  </r>
  <r>
    <n v="3049"/>
    <x v="312"/>
    <s v="Sales invoice issued"/>
    <x v="273"/>
    <s v="252.04"/>
    <x v="4"/>
    <x v="3"/>
  </r>
  <r>
    <n v="3050"/>
    <x v="312"/>
    <s v="Customer payment received"/>
    <x v="991"/>
    <s v="0.0"/>
    <x v="0"/>
    <x v="0"/>
  </r>
  <r>
    <n v="3050"/>
    <x v="312"/>
    <s v="Customer payment received"/>
    <x v="273"/>
    <s v="64.94"/>
    <x v="2"/>
    <x v="0"/>
  </r>
  <r>
    <n v="3051"/>
    <x v="312"/>
    <s v="Customer payment received"/>
    <x v="1248"/>
    <s v="0.0"/>
    <x v="0"/>
    <x v="0"/>
  </r>
  <r>
    <n v="3051"/>
    <x v="312"/>
    <s v="Customer payment received"/>
    <x v="273"/>
    <s v="3231.6"/>
    <x v="2"/>
    <x v="0"/>
  </r>
  <r>
    <n v="3052"/>
    <x v="312"/>
    <s v="Customer payment received"/>
    <x v="1261"/>
    <s v="0.0"/>
    <x v="0"/>
    <x v="0"/>
  </r>
  <r>
    <n v="3052"/>
    <x v="312"/>
    <s v="Customer payment received"/>
    <x v="273"/>
    <s v="3617.98"/>
    <x v="2"/>
    <x v="0"/>
  </r>
  <r>
    <n v="3053"/>
    <x v="312"/>
    <s v="Customer payment received"/>
    <x v="1321"/>
    <s v="0.0"/>
    <x v="0"/>
    <x v="0"/>
  </r>
  <r>
    <n v="3053"/>
    <x v="312"/>
    <s v="Customer payment received"/>
    <x v="273"/>
    <s v="978.4"/>
    <x v="2"/>
    <x v="0"/>
  </r>
  <r>
    <n v="3054"/>
    <x v="312"/>
    <s v="Customer payment received"/>
    <x v="1305"/>
    <s v="0.0"/>
    <x v="0"/>
    <x v="0"/>
  </r>
  <r>
    <n v="3054"/>
    <x v="312"/>
    <s v="Customer payment received"/>
    <x v="273"/>
    <s v="1578.04"/>
    <x v="2"/>
    <x v="0"/>
  </r>
  <r>
    <n v="3055"/>
    <x v="312"/>
    <s v="Customer payment received"/>
    <x v="1314"/>
    <s v="0.0"/>
    <x v="0"/>
    <x v="0"/>
  </r>
  <r>
    <n v="3055"/>
    <x v="312"/>
    <s v="Customer payment received"/>
    <x v="273"/>
    <s v="2243.25"/>
    <x v="2"/>
    <x v="0"/>
  </r>
  <r>
    <n v="3056"/>
    <x v="312"/>
    <s v="Supplier payment made"/>
    <x v="353"/>
    <s v="0.0"/>
    <x v="11"/>
    <x v="3"/>
  </r>
  <r>
    <n v="3056"/>
    <x v="312"/>
    <s v="Supplier payment made"/>
    <x v="273"/>
    <s v="2918.17"/>
    <x v="0"/>
    <x v="0"/>
  </r>
  <r>
    <n v="3057"/>
    <x v="312"/>
    <s v="Supplier payment made"/>
    <x v="488"/>
    <s v="0.0"/>
    <x v="11"/>
    <x v="3"/>
  </r>
  <r>
    <n v="3057"/>
    <x v="312"/>
    <s v="Supplier payment made"/>
    <x v="273"/>
    <s v="2182.41"/>
    <x v="0"/>
    <x v="0"/>
  </r>
  <r>
    <n v="3058"/>
    <x v="313"/>
    <s v="Payroll processed"/>
    <x v="535"/>
    <s v="0.0"/>
    <x v="5"/>
    <x v="4"/>
  </r>
  <r>
    <n v="3058"/>
    <x v="313"/>
    <s v="Payroll processed"/>
    <x v="536"/>
    <s v="0.0"/>
    <x v="6"/>
    <x v="4"/>
  </r>
  <r>
    <n v="3058"/>
    <x v="313"/>
    <s v="Payroll processed"/>
    <x v="273"/>
    <s v="17968.47"/>
    <x v="0"/>
    <x v="0"/>
  </r>
  <r>
    <n v="3058"/>
    <x v="313"/>
    <s v="Payroll processed"/>
    <x v="273"/>
    <s v="4069.27"/>
    <x v="7"/>
    <x v="3"/>
  </r>
  <r>
    <n v="3058"/>
    <x v="313"/>
    <s v="Payroll processed"/>
    <x v="273"/>
    <s v="881.51"/>
    <x v="8"/>
    <x v="3"/>
  </r>
  <r>
    <n v="3059"/>
    <x v="313"/>
    <s v="Sales invoice issued"/>
    <x v="1322"/>
    <s v="0.0"/>
    <x v="2"/>
    <x v="0"/>
  </r>
  <r>
    <n v="3059"/>
    <x v="313"/>
    <s v="Sales invoice issued"/>
    <x v="273"/>
    <s v="2220.36"/>
    <x v="3"/>
    <x v="2"/>
  </r>
  <r>
    <n v="3059"/>
    <x v="313"/>
    <s v="Sales invoice issued"/>
    <x v="273"/>
    <s v="166.53"/>
    <x v="4"/>
    <x v="3"/>
  </r>
  <r>
    <n v="3060"/>
    <x v="313"/>
    <s v="Sales invoice issued"/>
    <x v="1323"/>
    <s v="0.0"/>
    <x v="2"/>
    <x v="0"/>
  </r>
  <r>
    <n v="3060"/>
    <x v="313"/>
    <s v="Sales invoice issued"/>
    <x v="273"/>
    <s v="1770.01"/>
    <x v="3"/>
    <x v="2"/>
  </r>
  <r>
    <n v="3060"/>
    <x v="313"/>
    <s v="Sales invoice issued"/>
    <x v="273"/>
    <s v="132.74"/>
    <x v="4"/>
    <x v="3"/>
  </r>
  <r>
    <n v="3061"/>
    <x v="313"/>
    <s v="Sales invoice issued"/>
    <x v="1324"/>
    <s v="0.0"/>
    <x v="2"/>
    <x v="0"/>
  </r>
  <r>
    <n v="3061"/>
    <x v="313"/>
    <s v="Sales invoice issued"/>
    <x v="273"/>
    <s v="1725.98"/>
    <x v="3"/>
    <x v="2"/>
  </r>
  <r>
    <n v="3061"/>
    <x v="313"/>
    <s v="Sales invoice issued"/>
    <x v="273"/>
    <s v="129.45"/>
    <x v="4"/>
    <x v="3"/>
  </r>
  <r>
    <n v="3062"/>
    <x v="313"/>
    <s v="Sales invoice issued"/>
    <x v="1325"/>
    <s v="0.0"/>
    <x v="2"/>
    <x v="0"/>
  </r>
  <r>
    <n v="3062"/>
    <x v="313"/>
    <s v="Sales invoice issued"/>
    <x v="273"/>
    <s v="854.96"/>
    <x v="3"/>
    <x v="2"/>
  </r>
  <r>
    <n v="3062"/>
    <x v="313"/>
    <s v="Sales invoice issued"/>
    <x v="273"/>
    <s v="64.12"/>
    <x v="4"/>
    <x v="3"/>
  </r>
  <r>
    <n v="3063"/>
    <x v="313"/>
    <s v="Sales invoice issued"/>
    <x v="1326"/>
    <s v="0.0"/>
    <x v="2"/>
    <x v="0"/>
  </r>
  <r>
    <n v="3063"/>
    <x v="313"/>
    <s v="Sales invoice issued"/>
    <x v="273"/>
    <s v="1668.45"/>
    <x v="3"/>
    <x v="2"/>
  </r>
  <r>
    <n v="3063"/>
    <x v="313"/>
    <s v="Sales invoice issued"/>
    <x v="273"/>
    <s v="125.13"/>
    <x v="4"/>
    <x v="3"/>
  </r>
  <r>
    <n v="3064"/>
    <x v="313"/>
    <s v="Sales invoice issued"/>
    <x v="1327"/>
    <s v="0.0"/>
    <x v="2"/>
    <x v="0"/>
  </r>
  <r>
    <n v="3064"/>
    <x v="313"/>
    <s v="Sales invoice issued"/>
    <x v="273"/>
    <s v="2018.95"/>
    <x v="3"/>
    <x v="2"/>
  </r>
  <r>
    <n v="3064"/>
    <x v="313"/>
    <s v="Sales invoice issued"/>
    <x v="273"/>
    <s v="151.42"/>
    <x v="4"/>
    <x v="3"/>
  </r>
  <r>
    <n v="3065"/>
    <x v="313"/>
    <s v="Sales invoice issued"/>
    <x v="1328"/>
    <s v="0.0"/>
    <x v="2"/>
    <x v="0"/>
  </r>
  <r>
    <n v="3065"/>
    <x v="313"/>
    <s v="Sales invoice issued"/>
    <x v="273"/>
    <s v="2246.82"/>
    <x v="3"/>
    <x v="2"/>
  </r>
  <r>
    <n v="3065"/>
    <x v="313"/>
    <s v="Sales invoice issued"/>
    <x v="273"/>
    <s v="168.52"/>
    <x v="4"/>
    <x v="3"/>
  </r>
  <r>
    <n v="3066"/>
    <x v="313"/>
    <s v="Customer payment received"/>
    <x v="1304"/>
    <s v="0.0"/>
    <x v="0"/>
    <x v="0"/>
  </r>
  <r>
    <n v="3066"/>
    <x v="313"/>
    <s v="Customer payment received"/>
    <x v="273"/>
    <s v="4398.57"/>
    <x v="2"/>
    <x v="0"/>
  </r>
  <r>
    <n v="3067"/>
    <x v="313"/>
    <s v="Customer payment received"/>
    <x v="1311"/>
    <s v="0.0"/>
    <x v="0"/>
    <x v="0"/>
  </r>
  <r>
    <n v="3067"/>
    <x v="313"/>
    <s v="Customer payment received"/>
    <x v="273"/>
    <s v="1293.73"/>
    <x v="2"/>
    <x v="0"/>
  </r>
  <r>
    <n v="3068"/>
    <x v="313"/>
    <s v="Supplier payment made"/>
    <x v="318"/>
    <s v="0.0"/>
    <x v="11"/>
    <x v="3"/>
  </r>
  <r>
    <n v="3068"/>
    <x v="313"/>
    <s v="Supplier payment made"/>
    <x v="273"/>
    <s v="2504.23"/>
    <x v="0"/>
    <x v="0"/>
  </r>
  <r>
    <n v="3069"/>
    <x v="314"/>
    <s v="Sales invoice issued"/>
    <x v="1329"/>
    <s v="0.0"/>
    <x v="2"/>
    <x v="0"/>
  </r>
  <r>
    <n v="3069"/>
    <x v="314"/>
    <s v="Sales invoice issued"/>
    <x v="273"/>
    <s v="1758.85"/>
    <x v="3"/>
    <x v="2"/>
  </r>
  <r>
    <n v="3069"/>
    <x v="314"/>
    <s v="Sales invoice issued"/>
    <x v="273"/>
    <s v="131.92"/>
    <x v="4"/>
    <x v="3"/>
  </r>
  <r>
    <n v="3070"/>
    <x v="314"/>
    <s v="Sales invoice issued"/>
    <x v="1330"/>
    <s v="0.0"/>
    <x v="2"/>
    <x v="0"/>
  </r>
  <r>
    <n v="3070"/>
    <x v="314"/>
    <s v="Sales invoice issued"/>
    <x v="273"/>
    <s v="3716.33"/>
    <x v="3"/>
    <x v="2"/>
  </r>
  <r>
    <n v="3070"/>
    <x v="314"/>
    <s v="Sales invoice issued"/>
    <x v="273"/>
    <s v="278.73"/>
    <x v="4"/>
    <x v="3"/>
  </r>
  <r>
    <n v="3071"/>
    <x v="314"/>
    <s v="Sales invoice issued"/>
    <x v="1331"/>
    <s v="0.0"/>
    <x v="2"/>
    <x v="0"/>
  </r>
  <r>
    <n v="3071"/>
    <x v="314"/>
    <s v="Sales invoice issued"/>
    <x v="273"/>
    <s v="3648.28"/>
    <x v="3"/>
    <x v="2"/>
  </r>
  <r>
    <n v="3071"/>
    <x v="314"/>
    <s v="Sales invoice issued"/>
    <x v="273"/>
    <s v="273.63"/>
    <x v="4"/>
    <x v="3"/>
  </r>
  <r>
    <n v="3072"/>
    <x v="314"/>
    <s v="Sales invoice issued"/>
    <x v="1332"/>
    <s v="0.0"/>
    <x v="2"/>
    <x v="0"/>
  </r>
  <r>
    <n v="3072"/>
    <x v="314"/>
    <s v="Sales invoice issued"/>
    <x v="273"/>
    <s v="4005.38"/>
    <x v="3"/>
    <x v="2"/>
  </r>
  <r>
    <n v="3072"/>
    <x v="314"/>
    <s v="Sales invoice issued"/>
    <x v="273"/>
    <s v="300.42"/>
    <x v="4"/>
    <x v="3"/>
  </r>
  <r>
    <n v="3073"/>
    <x v="314"/>
    <s v="Sales invoice issued"/>
    <x v="1333"/>
    <s v="0.0"/>
    <x v="2"/>
    <x v="0"/>
  </r>
  <r>
    <n v="3073"/>
    <x v="314"/>
    <s v="Sales invoice issued"/>
    <x v="273"/>
    <s v="1856.14"/>
    <x v="3"/>
    <x v="2"/>
  </r>
  <r>
    <n v="3073"/>
    <x v="314"/>
    <s v="Sales invoice issued"/>
    <x v="273"/>
    <s v="139.21"/>
    <x v="4"/>
    <x v="3"/>
  </r>
  <r>
    <n v="3074"/>
    <x v="314"/>
    <s v="Sales invoice issued"/>
    <x v="1334"/>
    <s v="0.0"/>
    <x v="2"/>
    <x v="0"/>
  </r>
  <r>
    <n v="3074"/>
    <x v="314"/>
    <s v="Sales invoice issued"/>
    <x v="273"/>
    <s v="317.82"/>
    <x v="3"/>
    <x v="2"/>
  </r>
  <r>
    <n v="3074"/>
    <x v="314"/>
    <s v="Sales invoice issued"/>
    <x v="273"/>
    <s v="23.84"/>
    <x v="4"/>
    <x v="3"/>
  </r>
  <r>
    <n v="3075"/>
    <x v="314"/>
    <s v="Customer payment received"/>
    <x v="1299"/>
    <s v="0.0"/>
    <x v="0"/>
    <x v="0"/>
  </r>
  <r>
    <n v="3075"/>
    <x v="314"/>
    <s v="Customer payment received"/>
    <x v="273"/>
    <s v="2868.97"/>
    <x v="2"/>
    <x v="0"/>
  </r>
  <r>
    <n v="3076"/>
    <x v="314"/>
    <s v="Customer payment received"/>
    <x v="1319"/>
    <s v="0.0"/>
    <x v="0"/>
    <x v="0"/>
  </r>
  <r>
    <n v="3076"/>
    <x v="314"/>
    <s v="Customer payment received"/>
    <x v="273"/>
    <s v="3931.92"/>
    <x v="2"/>
    <x v="0"/>
  </r>
  <r>
    <n v="3077"/>
    <x v="314"/>
    <s v="Customer payment received"/>
    <x v="1330"/>
    <s v="0.0"/>
    <x v="0"/>
    <x v="0"/>
  </r>
  <r>
    <n v="3077"/>
    <x v="314"/>
    <s v="Customer payment received"/>
    <x v="273"/>
    <s v="3995.06"/>
    <x v="2"/>
    <x v="0"/>
  </r>
  <r>
    <n v="3078"/>
    <x v="314"/>
    <s v="Supplier invoice received"/>
    <x v="330"/>
    <s v="0.0"/>
    <x v="9"/>
    <x v="4"/>
  </r>
  <r>
    <n v="3078"/>
    <x v="314"/>
    <s v="Supplier invoice received"/>
    <x v="331"/>
    <s v="0.0"/>
    <x v="10"/>
    <x v="0"/>
  </r>
  <r>
    <n v="3078"/>
    <x v="314"/>
    <s v="Supplier invoice received"/>
    <x v="273"/>
    <s v="1935.04"/>
    <x v="11"/>
    <x v="3"/>
  </r>
  <r>
    <n v="3079"/>
    <x v="314"/>
    <s v="Supplier payment made"/>
    <x v="466"/>
    <s v="0.0"/>
    <x v="11"/>
    <x v="3"/>
  </r>
  <r>
    <n v="3079"/>
    <x v="314"/>
    <s v="Supplier payment made"/>
    <x v="273"/>
    <s v="748.26"/>
    <x v="0"/>
    <x v="0"/>
  </r>
  <r>
    <n v="3080"/>
    <x v="314"/>
    <s v="Supplier payment made"/>
    <x v="515"/>
    <s v="0.0"/>
    <x v="11"/>
    <x v="3"/>
  </r>
  <r>
    <n v="3080"/>
    <x v="314"/>
    <s v="Supplier payment made"/>
    <x v="273"/>
    <s v="862.91"/>
    <x v="0"/>
    <x v="0"/>
  </r>
  <r>
    <n v="3081"/>
    <x v="315"/>
    <s v="Sales invoice issued"/>
    <x v="1335"/>
    <s v="0.0"/>
    <x v="2"/>
    <x v="0"/>
  </r>
  <r>
    <n v="3081"/>
    <x v="315"/>
    <s v="Sales invoice issued"/>
    <x v="273"/>
    <s v="1613.76"/>
    <x v="3"/>
    <x v="2"/>
  </r>
  <r>
    <n v="3081"/>
    <x v="315"/>
    <s v="Sales invoice issued"/>
    <x v="273"/>
    <s v="121.03"/>
    <x v="4"/>
    <x v="3"/>
  </r>
  <r>
    <n v="3082"/>
    <x v="315"/>
    <s v="Sales invoice issued"/>
    <x v="1336"/>
    <s v="0.0"/>
    <x v="2"/>
    <x v="0"/>
  </r>
  <r>
    <n v="3082"/>
    <x v="315"/>
    <s v="Sales invoice issued"/>
    <x v="273"/>
    <s v="2014.28"/>
    <x v="3"/>
    <x v="2"/>
  </r>
  <r>
    <n v="3082"/>
    <x v="315"/>
    <s v="Sales invoice issued"/>
    <x v="273"/>
    <s v="151.08"/>
    <x v="4"/>
    <x v="3"/>
  </r>
  <r>
    <n v="3083"/>
    <x v="315"/>
    <s v="Sales invoice issued"/>
    <x v="1337"/>
    <s v="0.0"/>
    <x v="2"/>
    <x v="0"/>
  </r>
  <r>
    <n v="3083"/>
    <x v="315"/>
    <s v="Sales invoice issued"/>
    <x v="273"/>
    <s v="1024.3"/>
    <x v="3"/>
    <x v="2"/>
  </r>
  <r>
    <n v="3083"/>
    <x v="315"/>
    <s v="Sales invoice issued"/>
    <x v="273"/>
    <s v="76.82"/>
    <x v="4"/>
    <x v="3"/>
  </r>
  <r>
    <n v="3084"/>
    <x v="315"/>
    <s v="Customer payment received"/>
    <x v="1153"/>
    <s v="0.0"/>
    <x v="0"/>
    <x v="0"/>
  </r>
  <r>
    <n v="3084"/>
    <x v="315"/>
    <s v="Customer payment received"/>
    <x v="273"/>
    <s v="474.39"/>
    <x v="2"/>
    <x v="0"/>
  </r>
  <r>
    <n v="3085"/>
    <x v="315"/>
    <s v="Customer payment received"/>
    <x v="1249"/>
    <s v="0.0"/>
    <x v="0"/>
    <x v="0"/>
  </r>
  <r>
    <n v="3085"/>
    <x v="315"/>
    <s v="Customer payment received"/>
    <x v="273"/>
    <s v="2613.91"/>
    <x v="2"/>
    <x v="0"/>
  </r>
  <r>
    <n v="3086"/>
    <x v="315"/>
    <s v="Customer payment received"/>
    <x v="1257"/>
    <s v="0.0"/>
    <x v="0"/>
    <x v="0"/>
  </r>
  <r>
    <n v="3086"/>
    <x v="315"/>
    <s v="Customer payment received"/>
    <x v="273"/>
    <s v="372.61"/>
    <x v="2"/>
    <x v="0"/>
  </r>
  <r>
    <n v="3087"/>
    <x v="315"/>
    <s v="Customer payment received"/>
    <x v="1280"/>
    <s v="0.0"/>
    <x v="0"/>
    <x v="0"/>
  </r>
  <r>
    <n v="3087"/>
    <x v="315"/>
    <s v="Customer payment received"/>
    <x v="273"/>
    <s v="2740.79"/>
    <x v="2"/>
    <x v="0"/>
  </r>
  <r>
    <n v="3088"/>
    <x v="315"/>
    <s v="Customer payment received"/>
    <x v="1283"/>
    <s v="0.0"/>
    <x v="0"/>
    <x v="0"/>
  </r>
  <r>
    <n v="3088"/>
    <x v="315"/>
    <s v="Customer payment received"/>
    <x v="273"/>
    <s v="3193.52"/>
    <x v="2"/>
    <x v="0"/>
  </r>
  <r>
    <n v="3089"/>
    <x v="315"/>
    <s v="Customer payment received"/>
    <x v="1302"/>
    <s v="0.0"/>
    <x v="0"/>
    <x v="0"/>
  </r>
  <r>
    <n v="3089"/>
    <x v="315"/>
    <s v="Customer payment received"/>
    <x v="273"/>
    <s v="1733.46"/>
    <x v="2"/>
    <x v="0"/>
  </r>
  <r>
    <n v="3090"/>
    <x v="315"/>
    <s v="Customer payment received"/>
    <x v="1312"/>
    <s v="0.0"/>
    <x v="0"/>
    <x v="0"/>
  </r>
  <r>
    <n v="3090"/>
    <x v="315"/>
    <s v="Customer payment received"/>
    <x v="273"/>
    <s v="1609.1"/>
    <x v="2"/>
    <x v="0"/>
  </r>
  <r>
    <n v="3091"/>
    <x v="315"/>
    <s v="Customer payment received"/>
    <x v="1336"/>
    <s v="0.0"/>
    <x v="0"/>
    <x v="0"/>
  </r>
  <r>
    <n v="3091"/>
    <x v="315"/>
    <s v="Customer payment received"/>
    <x v="273"/>
    <s v="2165.36"/>
    <x v="2"/>
    <x v="0"/>
  </r>
  <r>
    <n v="3092"/>
    <x v="315"/>
    <s v="Supplier invoice received"/>
    <x v="301"/>
    <s v="0.0"/>
    <x v="9"/>
    <x v="4"/>
  </r>
  <r>
    <n v="3092"/>
    <x v="315"/>
    <s v="Supplier invoice received"/>
    <x v="302"/>
    <s v="0.0"/>
    <x v="10"/>
    <x v="0"/>
  </r>
  <r>
    <n v="3092"/>
    <x v="315"/>
    <s v="Supplier invoice received"/>
    <x v="273"/>
    <s v="4812.46"/>
    <x v="11"/>
    <x v="3"/>
  </r>
  <r>
    <n v="3093"/>
    <x v="315"/>
    <s v="Supplier invoice received"/>
    <x v="299"/>
    <s v="0.0"/>
    <x v="9"/>
    <x v="4"/>
  </r>
  <r>
    <n v="3093"/>
    <x v="315"/>
    <s v="Supplier invoice received"/>
    <x v="300"/>
    <s v="0.0"/>
    <x v="10"/>
    <x v="0"/>
  </r>
  <r>
    <n v="3093"/>
    <x v="315"/>
    <s v="Supplier invoice received"/>
    <x v="273"/>
    <s v="2918.17"/>
    <x v="11"/>
    <x v="3"/>
  </r>
  <r>
    <n v="3094"/>
    <x v="315"/>
    <s v="Supplier invoice received"/>
    <x v="338"/>
    <s v="0.0"/>
    <x v="9"/>
    <x v="4"/>
  </r>
  <r>
    <n v="3094"/>
    <x v="315"/>
    <s v="Supplier invoice received"/>
    <x v="339"/>
    <s v="0.0"/>
    <x v="10"/>
    <x v="0"/>
  </r>
  <r>
    <n v="3094"/>
    <x v="315"/>
    <s v="Supplier invoice received"/>
    <x v="273"/>
    <s v="1159.84"/>
    <x v="11"/>
    <x v="3"/>
  </r>
  <r>
    <n v="3095"/>
    <x v="315"/>
    <s v="Supplier invoice received"/>
    <x v="443"/>
    <s v="0.0"/>
    <x v="9"/>
    <x v="4"/>
  </r>
  <r>
    <n v="3095"/>
    <x v="315"/>
    <s v="Supplier invoice received"/>
    <x v="444"/>
    <s v="0.0"/>
    <x v="10"/>
    <x v="0"/>
  </r>
  <r>
    <n v="3095"/>
    <x v="315"/>
    <s v="Supplier invoice received"/>
    <x v="273"/>
    <s v="748.26"/>
    <x v="11"/>
    <x v="3"/>
  </r>
  <r>
    <n v="3096"/>
    <x v="315"/>
    <s v="Supplier payment made"/>
    <x v="407"/>
    <s v="0.0"/>
    <x v="11"/>
    <x v="3"/>
  </r>
  <r>
    <n v="3096"/>
    <x v="315"/>
    <s v="Supplier payment made"/>
    <x v="273"/>
    <s v="201.5"/>
    <x v="0"/>
    <x v="0"/>
  </r>
  <r>
    <n v="3097"/>
    <x v="315"/>
    <s v="Supplier payment made"/>
    <x v="313"/>
    <s v="0.0"/>
    <x v="11"/>
    <x v="3"/>
  </r>
  <r>
    <n v="3097"/>
    <x v="315"/>
    <s v="Supplier payment made"/>
    <x v="273"/>
    <s v="1159.84"/>
    <x v="0"/>
    <x v="0"/>
  </r>
  <r>
    <n v="3098"/>
    <x v="315"/>
    <s v="Supplier payment made"/>
    <x v="496"/>
    <s v="0.0"/>
    <x v="11"/>
    <x v="3"/>
  </r>
  <r>
    <n v="3098"/>
    <x v="315"/>
    <s v="Supplier payment made"/>
    <x v="273"/>
    <s v="7227.44"/>
    <x v="0"/>
    <x v="0"/>
  </r>
  <r>
    <n v="3099"/>
    <x v="315"/>
    <s v="Supplier payment made"/>
    <x v="335"/>
    <s v="0.0"/>
    <x v="11"/>
    <x v="3"/>
  </r>
  <r>
    <n v="3099"/>
    <x v="315"/>
    <s v="Supplier payment made"/>
    <x v="273"/>
    <s v="550.4"/>
    <x v="0"/>
    <x v="0"/>
  </r>
  <r>
    <n v="3100"/>
    <x v="316"/>
    <s v="Sales invoice issued"/>
    <x v="1338"/>
    <s v="0.0"/>
    <x v="2"/>
    <x v="0"/>
  </r>
  <r>
    <n v="3100"/>
    <x v="316"/>
    <s v="Sales invoice issued"/>
    <x v="273"/>
    <s v="1398.04"/>
    <x v="3"/>
    <x v="2"/>
  </r>
  <r>
    <n v="3100"/>
    <x v="316"/>
    <s v="Sales invoice issued"/>
    <x v="273"/>
    <s v="104.86"/>
    <x v="4"/>
    <x v="3"/>
  </r>
  <r>
    <n v="3101"/>
    <x v="316"/>
    <s v="Sales invoice issued"/>
    <x v="1339"/>
    <s v="0.0"/>
    <x v="2"/>
    <x v="0"/>
  </r>
  <r>
    <n v="3101"/>
    <x v="316"/>
    <s v="Sales invoice issued"/>
    <x v="273"/>
    <s v="513.09"/>
    <x v="3"/>
    <x v="2"/>
  </r>
  <r>
    <n v="3101"/>
    <x v="316"/>
    <s v="Sales invoice issued"/>
    <x v="273"/>
    <s v="38.48"/>
    <x v="4"/>
    <x v="3"/>
  </r>
  <r>
    <n v="3102"/>
    <x v="316"/>
    <s v="Sales invoice issued"/>
    <x v="1340"/>
    <s v="0.0"/>
    <x v="2"/>
    <x v="0"/>
  </r>
  <r>
    <n v="3102"/>
    <x v="316"/>
    <s v="Sales invoice issued"/>
    <x v="273"/>
    <s v="3840.49"/>
    <x v="3"/>
    <x v="2"/>
  </r>
  <r>
    <n v="3102"/>
    <x v="316"/>
    <s v="Sales invoice issued"/>
    <x v="273"/>
    <s v="288.03"/>
    <x v="4"/>
    <x v="3"/>
  </r>
  <r>
    <n v="3103"/>
    <x v="316"/>
    <s v="Customer payment received"/>
    <x v="1247"/>
    <s v="0.0"/>
    <x v="0"/>
    <x v="0"/>
  </r>
  <r>
    <n v="3103"/>
    <x v="316"/>
    <s v="Customer payment received"/>
    <x v="273"/>
    <s v="3493.89"/>
    <x v="2"/>
    <x v="0"/>
  </r>
  <r>
    <n v="3104"/>
    <x v="316"/>
    <s v="Customer payment received"/>
    <x v="1272"/>
    <s v="0.0"/>
    <x v="0"/>
    <x v="0"/>
  </r>
  <r>
    <n v="3104"/>
    <x v="316"/>
    <s v="Customer payment received"/>
    <x v="273"/>
    <s v="4339.13"/>
    <x v="2"/>
    <x v="0"/>
  </r>
  <r>
    <n v="3105"/>
    <x v="316"/>
    <s v="Customer payment received"/>
    <x v="1325"/>
    <s v="0.0"/>
    <x v="0"/>
    <x v="0"/>
  </r>
  <r>
    <n v="3105"/>
    <x v="316"/>
    <s v="Customer payment received"/>
    <x v="273"/>
    <s v="919.08"/>
    <x v="2"/>
    <x v="0"/>
  </r>
  <r>
    <n v="3106"/>
    <x v="316"/>
    <s v="Customer payment received"/>
    <x v="1328"/>
    <s v="0.0"/>
    <x v="0"/>
    <x v="0"/>
  </r>
  <r>
    <n v="3106"/>
    <x v="316"/>
    <s v="Customer payment received"/>
    <x v="273"/>
    <s v="2415.34"/>
    <x v="2"/>
    <x v="0"/>
  </r>
  <r>
    <n v="3107"/>
    <x v="316"/>
    <s v="Customer payment received"/>
    <x v="1339"/>
    <s v="0.0"/>
    <x v="0"/>
    <x v="0"/>
  </r>
  <r>
    <n v="3107"/>
    <x v="316"/>
    <s v="Customer payment received"/>
    <x v="273"/>
    <s v="551.57"/>
    <x v="2"/>
    <x v="0"/>
  </r>
  <r>
    <n v="3108"/>
    <x v="316"/>
    <s v="Supplier invoice received"/>
    <x v="383"/>
    <s v="0.0"/>
    <x v="9"/>
    <x v="4"/>
  </r>
  <r>
    <n v="3108"/>
    <x v="316"/>
    <s v="Supplier invoice received"/>
    <x v="384"/>
    <s v="0.0"/>
    <x v="10"/>
    <x v="0"/>
  </r>
  <r>
    <n v="3108"/>
    <x v="316"/>
    <s v="Supplier invoice received"/>
    <x v="273"/>
    <s v="3868.8"/>
    <x v="11"/>
    <x v="3"/>
  </r>
  <r>
    <n v="3109"/>
    <x v="316"/>
    <s v="Supplier payment made"/>
    <x v="327"/>
    <s v="0.0"/>
    <x v="11"/>
    <x v="3"/>
  </r>
  <r>
    <n v="3109"/>
    <x v="316"/>
    <s v="Supplier payment made"/>
    <x v="273"/>
    <s v="1935.04"/>
    <x v="0"/>
    <x v="0"/>
  </r>
  <r>
    <n v="3110"/>
    <x v="316"/>
    <s v="Supplier payment made"/>
    <x v="336"/>
    <s v="0.0"/>
    <x v="11"/>
    <x v="3"/>
  </r>
  <r>
    <n v="3110"/>
    <x v="316"/>
    <s v="Supplier payment made"/>
    <x v="273"/>
    <s v="2093.28"/>
    <x v="0"/>
    <x v="0"/>
  </r>
  <r>
    <n v="3111"/>
    <x v="316"/>
    <s v="Supplier payment made"/>
    <x v="292"/>
    <s v="0.0"/>
    <x v="11"/>
    <x v="3"/>
  </r>
  <r>
    <n v="3111"/>
    <x v="316"/>
    <s v="Supplier payment made"/>
    <x v="273"/>
    <s v="1766.46"/>
    <x v="0"/>
    <x v="0"/>
  </r>
  <r>
    <n v="3112"/>
    <x v="317"/>
    <s v="Sales invoice issued"/>
    <x v="1341"/>
    <s v="0.0"/>
    <x v="2"/>
    <x v="0"/>
  </r>
  <r>
    <n v="3112"/>
    <x v="317"/>
    <s v="Sales invoice issued"/>
    <x v="273"/>
    <s v="3055.74"/>
    <x v="3"/>
    <x v="2"/>
  </r>
  <r>
    <n v="3112"/>
    <x v="317"/>
    <s v="Sales invoice issued"/>
    <x v="273"/>
    <s v="229.18"/>
    <x v="4"/>
    <x v="3"/>
  </r>
  <r>
    <n v="3113"/>
    <x v="317"/>
    <s v="Sales invoice issued"/>
    <x v="1342"/>
    <s v="0.0"/>
    <x v="2"/>
    <x v="0"/>
  </r>
  <r>
    <n v="3113"/>
    <x v="317"/>
    <s v="Sales invoice issued"/>
    <x v="273"/>
    <s v="54.95"/>
    <x v="3"/>
    <x v="2"/>
  </r>
  <r>
    <n v="3113"/>
    <x v="317"/>
    <s v="Sales invoice issued"/>
    <x v="273"/>
    <s v="4.12"/>
    <x v="4"/>
    <x v="3"/>
  </r>
  <r>
    <n v="3114"/>
    <x v="317"/>
    <s v="Sales invoice issued"/>
    <x v="1343"/>
    <s v="0.0"/>
    <x v="2"/>
    <x v="0"/>
  </r>
  <r>
    <n v="3114"/>
    <x v="317"/>
    <s v="Sales invoice issued"/>
    <x v="273"/>
    <s v="2488.68"/>
    <x v="3"/>
    <x v="2"/>
  </r>
  <r>
    <n v="3114"/>
    <x v="317"/>
    <s v="Sales invoice issued"/>
    <x v="273"/>
    <s v="186.65"/>
    <x v="4"/>
    <x v="3"/>
  </r>
  <r>
    <n v="3115"/>
    <x v="317"/>
    <s v="Sales invoice issued"/>
    <x v="1344"/>
    <s v="0.0"/>
    <x v="2"/>
    <x v="0"/>
  </r>
  <r>
    <n v="3115"/>
    <x v="317"/>
    <s v="Sales invoice issued"/>
    <x v="273"/>
    <s v="425.59"/>
    <x v="3"/>
    <x v="2"/>
  </r>
  <r>
    <n v="3115"/>
    <x v="317"/>
    <s v="Sales invoice issued"/>
    <x v="273"/>
    <s v="31.92"/>
    <x v="4"/>
    <x v="3"/>
  </r>
  <r>
    <n v="3116"/>
    <x v="317"/>
    <s v="Sales invoice issued"/>
    <x v="1345"/>
    <s v="0.0"/>
    <x v="2"/>
    <x v="0"/>
  </r>
  <r>
    <n v="3116"/>
    <x v="317"/>
    <s v="Sales invoice issued"/>
    <x v="273"/>
    <s v="229.86"/>
    <x v="3"/>
    <x v="2"/>
  </r>
  <r>
    <n v="3116"/>
    <x v="317"/>
    <s v="Sales invoice issued"/>
    <x v="273"/>
    <s v="17.24"/>
    <x v="4"/>
    <x v="3"/>
  </r>
  <r>
    <n v="3117"/>
    <x v="317"/>
    <s v="Sales invoice issued"/>
    <x v="1346"/>
    <s v="0.0"/>
    <x v="2"/>
    <x v="0"/>
  </r>
  <r>
    <n v="3117"/>
    <x v="317"/>
    <s v="Sales invoice issued"/>
    <x v="273"/>
    <s v="2088.84"/>
    <x v="3"/>
    <x v="2"/>
  </r>
  <r>
    <n v="3117"/>
    <x v="317"/>
    <s v="Sales invoice issued"/>
    <x v="273"/>
    <s v="156.66"/>
    <x v="4"/>
    <x v="3"/>
  </r>
  <r>
    <n v="3118"/>
    <x v="317"/>
    <s v="Sales invoice issued"/>
    <x v="1347"/>
    <s v="0.0"/>
    <x v="2"/>
    <x v="0"/>
  </r>
  <r>
    <n v="3118"/>
    <x v="317"/>
    <s v="Sales invoice issued"/>
    <x v="273"/>
    <s v="2313.01"/>
    <x v="3"/>
    <x v="2"/>
  </r>
  <r>
    <n v="3118"/>
    <x v="317"/>
    <s v="Sales invoice issued"/>
    <x v="273"/>
    <s v="173.48"/>
    <x v="4"/>
    <x v="3"/>
  </r>
  <r>
    <n v="3119"/>
    <x v="317"/>
    <s v="Customer payment received"/>
    <x v="1234"/>
    <s v="0.0"/>
    <x v="0"/>
    <x v="0"/>
  </r>
  <r>
    <n v="3119"/>
    <x v="317"/>
    <s v="Customer payment received"/>
    <x v="273"/>
    <s v="1057.38"/>
    <x v="2"/>
    <x v="0"/>
  </r>
  <r>
    <n v="3120"/>
    <x v="317"/>
    <s v="Customer payment received"/>
    <x v="1270"/>
    <s v="0.0"/>
    <x v="0"/>
    <x v="0"/>
  </r>
  <r>
    <n v="3120"/>
    <x v="317"/>
    <s v="Customer payment received"/>
    <x v="273"/>
    <s v="2082.42"/>
    <x v="2"/>
    <x v="0"/>
  </r>
  <r>
    <n v="3121"/>
    <x v="317"/>
    <s v="Customer payment received"/>
    <x v="1307"/>
    <s v="0.0"/>
    <x v="0"/>
    <x v="0"/>
  </r>
  <r>
    <n v="3121"/>
    <x v="317"/>
    <s v="Customer payment received"/>
    <x v="273"/>
    <s v="1518.16"/>
    <x v="2"/>
    <x v="0"/>
  </r>
  <r>
    <n v="3122"/>
    <x v="317"/>
    <s v="Customer payment received"/>
    <x v="1331"/>
    <s v="0.0"/>
    <x v="0"/>
    <x v="0"/>
  </r>
  <r>
    <n v="3122"/>
    <x v="317"/>
    <s v="Customer payment received"/>
    <x v="273"/>
    <s v="3921.91"/>
    <x v="2"/>
    <x v="0"/>
  </r>
  <r>
    <n v="3123"/>
    <x v="317"/>
    <s v="Supplier payment made"/>
    <x v="351"/>
    <s v="0.0"/>
    <x v="11"/>
    <x v="3"/>
  </r>
  <r>
    <n v="3123"/>
    <x v="317"/>
    <s v="Supplier payment made"/>
    <x v="273"/>
    <s v="179.01"/>
    <x v="0"/>
    <x v="0"/>
  </r>
  <r>
    <n v="3124"/>
    <x v="318"/>
    <s v="Sales invoice issued"/>
    <x v="1348"/>
    <s v="0.0"/>
    <x v="2"/>
    <x v="0"/>
  </r>
  <r>
    <n v="3124"/>
    <x v="318"/>
    <s v="Sales invoice issued"/>
    <x v="273"/>
    <s v="786.61"/>
    <x v="3"/>
    <x v="2"/>
  </r>
  <r>
    <n v="3124"/>
    <x v="318"/>
    <s v="Sales invoice issued"/>
    <x v="273"/>
    <s v="59.0"/>
    <x v="4"/>
    <x v="3"/>
  </r>
  <r>
    <n v="3125"/>
    <x v="318"/>
    <s v="Sales invoice issued"/>
    <x v="508"/>
    <s v="0.0"/>
    <x v="2"/>
    <x v="0"/>
  </r>
  <r>
    <n v="3125"/>
    <x v="318"/>
    <s v="Sales invoice issued"/>
    <x v="273"/>
    <s v="141.54"/>
    <x v="3"/>
    <x v="2"/>
  </r>
  <r>
    <n v="3125"/>
    <x v="318"/>
    <s v="Sales invoice issued"/>
    <x v="273"/>
    <s v="10.62"/>
    <x v="4"/>
    <x v="3"/>
  </r>
  <r>
    <n v="3126"/>
    <x v="318"/>
    <s v="Sales invoice issued"/>
    <x v="1349"/>
    <s v="0.0"/>
    <x v="2"/>
    <x v="0"/>
  </r>
  <r>
    <n v="3126"/>
    <x v="318"/>
    <s v="Sales invoice issued"/>
    <x v="273"/>
    <s v="2325.74"/>
    <x v="3"/>
    <x v="2"/>
  </r>
  <r>
    <n v="3126"/>
    <x v="318"/>
    <s v="Sales invoice issued"/>
    <x v="273"/>
    <s v="174.42"/>
    <x v="4"/>
    <x v="3"/>
  </r>
  <r>
    <n v="3127"/>
    <x v="318"/>
    <s v="Sales invoice issued"/>
    <x v="1350"/>
    <s v="0.0"/>
    <x v="2"/>
    <x v="0"/>
  </r>
  <r>
    <n v="3127"/>
    <x v="318"/>
    <s v="Sales invoice issued"/>
    <x v="273"/>
    <s v="3160.95"/>
    <x v="3"/>
    <x v="2"/>
  </r>
  <r>
    <n v="3127"/>
    <x v="318"/>
    <s v="Sales invoice issued"/>
    <x v="273"/>
    <s v="237.07"/>
    <x v="4"/>
    <x v="3"/>
  </r>
  <r>
    <n v="3128"/>
    <x v="318"/>
    <s v="Sales invoice issued"/>
    <x v="1351"/>
    <s v="0.0"/>
    <x v="2"/>
    <x v="0"/>
  </r>
  <r>
    <n v="3128"/>
    <x v="318"/>
    <s v="Sales invoice issued"/>
    <x v="273"/>
    <s v="747.58"/>
    <x v="3"/>
    <x v="2"/>
  </r>
  <r>
    <n v="3128"/>
    <x v="318"/>
    <s v="Sales invoice issued"/>
    <x v="273"/>
    <s v="56.07"/>
    <x v="4"/>
    <x v="3"/>
  </r>
  <r>
    <n v="3129"/>
    <x v="318"/>
    <s v="Customer payment received"/>
    <x v="1264"/>
    <s v="0.0"/>
    <x v="0"/>
    <x v="0"/>
  </r>
  <r>
    <n v="3129"/>
    <x v="318"/>
    <s v="Customer payment received"/>
    <x v="273"/>
    <s v="1359.25"/>
    <x v="2"/>
    <x v="0"/>
  </r>
  <r>
    <n v="3130"/>
    <x v="318"/>
    <s v="Customer payment received"/>
    <x v="1296"/>
    <s v="0.0"/>
    <x v="0"/>
    <x v="0"/>
  </r>
  <r>
    <n v="3130"/>
    <x v="318"/>
    <s v="Customer payment received"/>
    <x v="273"/>
    <s v="179.88"/>
    <x v="2"/>
    <x v="0"/>
  </r>
  <r>
    <n v="3131"/>
    <x v="318"/>
    <s v="Customer payment received"/>
    <x v="1346"/>
    <s v="0.0"/>
    <x v="0"/>
    <x v="0"/>
  </r>
  <r>
    <n v="3131"/>
    <x v="318"/>
    <s v="Customer payment received"/>
    <x v="273"/>
    <s v="2245.5"/>
    <x v="2"/>
    <x v="0"/>
  </r>
  <r>
    <n v="3132"/>
    <x v="318"/>
    <s v="Supplier invoice received"/>
    <x v="325"/>
    <s v="0.0"/>
    <x v="9"/>
    <x v="4"/>
  </r>
  <r>
    <n v="3132"/>
    <x v="318"/>
    <s v="Supplier invoice received"/>
    <x v="326"/>
    <s v="0.0"/>
    <x v="10"/>
    <x v="0"/>
  </r>
  <r>
    <n v="3132"/>
    <x v="318"/>
    <s v="Supplier invoice received"/>
    <x v="273"/>
    <s v="1304.62"/>
    <x v="11"/>
    <x v="3"/>
  </r>
  <r>
    <n v="3133"/>
    <x v="319"/>
    <s v="Sales invoice issued"/>
    <x v="1352"/>
    <s v="0.0"/>
    <x v="2"/>
    <x v="0"/>
  </r>
  <r>
    <n v="3133"/>
    <x v="319"/>
    <s v="Sales invoice issued"/>
    <x v="273"/>
    <s v="4023.39"/>
    <x v="3"/>
    <x v="2"/>
  </r>
  <r>
    <n v="3133"/>
    <x v="319"/>
    <s v="Sales invoice issued"/>
    <x v="273"/>
    <s v="301.75"/>
    <x v="4"/>
    <x v="3"/>
  </r>
  <r>
    <n v="3134"/>
    <x v="319"/>
    <s v="Sales invoice issued"/>
    <x v="1353"/>
    <s v="0.0"/>
    <x v="2"/>
    <x v="0"/>
  </r>
  <r>
    <n v="3134"/>
    <x v="319"/>
    <s v="Sales invoice issued"/>
    <x v="273"/>
    <s v="2616.95"/>
    <x v="3"/>
    <x v="2"/>
  </r>
  <r>
    <n v="3134"/>
    <x v="319"/>
    <s v="Sales invoice issued"/>
    <x v="273"/>
    <s v="196.27"/>
    <x v="4"/>
    <x v="3"/>
  </r>
  <r>
    <n v="3135"/>
    <x v="319"/>
    <s v="Sales invoice issued"/>
    <x v="1354"/>
    <s v="0.0"/>
    <x v="2"/>
    <x v="0"/>
  </r>
  <r>
    <n v="3135"/>
    <x v="319"/>
    <s v="Sales invoice issued"/>
    <x v="273"/>
    <s v="819.53"/>
    <x v="3"/>
    <x v="2"/>
  </r>
  <r>
    <n v="3135"/>
    <x v="319"/>
    <s v="Sales invoice issued"/>
    <x v="273"/>
    <s v="61.46"/>
    <x v="4"/>
    <x v="3"/>
  </r>
  <r>
    <n v="3136"/>
    <x v="319"/>
    <s v="Sales invoice issued"/>
    <x v="1355"/>
    <s v="0.0"/>
    <x v="2"/>
    <x v="0"/>
  </r>
  <r>
    <n v="3136"/>
    <x v="319"/>
    <s v="Sales invoice issued"/>
    <x v="273"/>
    <s v="2395.29"/>
    <x v="3"/>
    <x v="2"/>
  </r>
  <r>
    <n v="3136"/>
    <x v="319"/>
    <s v="Sales invoice issued"/>
    <x v="273"/>
    <s v="179.65"/>
    <x v="4"/>
    <x v="3"/>
  </r>
  <r>
    <n v="3137"/>
    <x v="319"/>
    <s v="Sales invoice issued"/>
    <x v="1356"/>
    <s v="0.0"/>
    <x v="2"/>
    <x v="0"/>
  </r>
  <r>
    <n v="3137"/>
    <x v="319"/>
    <s v="Sales invoice issued"/>
    <x v="273"/>
    <s v="3285.67"/>
    <x v="3"/>
    <x v="2"/>
  </r>
  <r>
    <n v="3137"/>
    <x v="319"/>
    <s v="Sales invoice issued"/>
    <x v="273"/>
    <s v="246.41"/>
    <x v="4"/>
    <x v="3"/>
  </r>
  <r>
    <n v="3138"/>
    <x v="319"/>
    <s v="Sales invoice issued"/>
    <x v="1357"/>
    <s v="0.0"/>
    <x v="2"/>
    <x v="0"/>
  </r>
  <r>
    <n v="3138"/>
    <x v="319"/>
    <s v="Sales invoice issued"/>
    <x v="273"/>
    <s v="5296.93"/>
    <x v="3"/>
    <x v="2"/>
  </r>
  <r>
    <n v="3138"/>
    <x v="319"/>
    <s v="Sales invoice issued"/>
    <x v="273"/>
    <s v="397.27"/>
    <x v="4"/>
    <x v="3"/>
  </r>
  <r>
    <n v="3139"/>
    <x v="319"/>
    <s v="Sales invoice issued"/>
    <x v="1358"/>
    <s v="0.0"/>
    <x v="2"/>
    <x v="0"/>
  </r>
  <r>
    <n v="3139"/>
    <x v="319"/>
    <s v="Sales invoice issued"/>
    <x v="273"/>
    <s v="872.68"/>
    <x v="3"/>
    <x v="2"/>
  </r>
  <r>
    <n v="3139"/>
    <x v="319"/>
    <s v="Sales invoice issued"/>
    <x v="273"/>
    <s v="65.45"/>
    <x v="4"/>
    <x v="3"/>
  </r>
  <r>
    <n v="3140"/>
    <x v="319"/>
    <s v="Sales invoice issued"/>
    <x v="1359"/>
    <s v="0.0"/>
    <x v="2"/>
    <x v="0"/>
  </r>
  <r>
    <n v="3140"/>
    <x v="319"/>
    <s v="Sales invoice issued"/>
    <x v="273"/>
    <s v="171.87"/>
    <x v="3"/>
    <x v="2"/>
  </r>
  <r>
    <n v="3140"/>
    <x v="319"/>
    <s v="Sales invoice issued"/>
    <x v="273"/>
    <s v="12.89"/>
    <x v="4"/>
    <x v="3"/>
  </r>
  <r>
    <n v="3141"/>
    <x v="319"/>
    <s v="Customer payment received"/>
    <x v="1188"/>
    <s v="0.0"/>
    <x v="0"/>
    <x v="0"/>
  </r>
  <r>
    <n v="3141"/>
    <x v="319"/>
    <s v="Customer payment received"/>
    <x v="273"/>
    <s v="288.28"/>
    <x v="2"/>
    <x v="0"/>
  </r>
  <r>
    <n v="3142"/>
    <x v="319"/>
    <s v="Customer payment received"/>
    <x v="1226"/>
    <s v="0.0"/>
    <x v="0"/>
    <x v="0"/>
  </r>
  <r>
    <n v="3142"/>
    <x v="319"/>
    <s v="Customer payment received"/>
    <x v="273"/>
    <s v="844.73"/>
    <x v="2"/>
    <x v="0"/>
  </r>
  <r>
    <n v="3143"/>
    <x v="319"/>
    <s v="Customer payment received"/>
    <x v="1266"/>
    <s v="0.0"/>
    <x v="0"/>
    <x v="0"/>
  </r>
  <r>
    <n v="3143"/>
    <x v="319"/>
    <s v="Customer payment received"/>
    <x v="273"/>
    <s v="1558.82"/>
    <x v="2"/>
    <x v="0"/>
  </r>
  <r>
    <n v="3144"/>
    <x v="319"/>
    <s v="Customer payment received"/>
    <x v="1268"/>
    <s v="0.0"/>
    <x v="0"/>
    <x v="0"/>
  </r>
  <r>
    <n v="3144"/>
    <x v="319"/>
    <s v="Customer payment received"/>
    <x v="273"/>
    <s v="497.52"/>
    <x v="2"/>
    <x v="0"/>
  </r>
  <r>
    <n v="3145"/>
    <x v="319"/>
    <s v="Customer payment received"/>
    <x v="1291"/>
    <s v="0.0"/>
    <x v="0"/>
    <x v="0"/>
  </r>
  <r>
    <n v="3145"/>
    <x v="319"/>
    <s v="Customer payment received"/>
    <x v="273"/>
    <s v="240.46"/>
    <x v="2"/>
    <x v="0"/>
  </r>
  <r>
    <n v="3146"/>
    <x v="319"/>
    <s v="Customer payment received"/>
    <x v="1310"/>
    <s v="0.0"/>
    <x v="0"/>
    <x v="0"/>
  </r>
  <r>
    <n v="3146"/>
    <x v="319"/>
    <s v="Customer payment received"/>
    <x v="273"/>
    <s v="533.85"/>
    <x v="2"/>
    <x v="0"/>
  </r>
  <r>
    <n v="3147"/>
    <x v="319"/>
    <s v="Customer payment received"/>
    <x v="1337"/>
    <s v="0.0"/>
    <x v="0"/>
    <x v="0"/>
  </r>
  <r>
    <n v="3147"/>
    <x v="319"/>
    <s v="Customer payment received"/>
    <x v="273"/>
    <s v="1101.12"/>
    <x v="2"/>
    <x v="0"/>
  </r>
  <r>
    <n v="3148"/>
    <x v="319"/>
    <s v="Customer payment received"/>
    <x v="1349"/>
    <s v="0.0"/>
    <x v="0"/>
    <x v="0"/>
  </r>
  <r>
    <n v="3148"/>
    <x v="319"/>
    <s v="Customer payment received"/>
    <x v="273"/>
    <s v="2500.16"/>
    <x v="2"/>
    <x v="0"/>
  </r>
  <r>
    <n v="3149"/>
    <x v="319"/>
    <s v="Supplier invoice received"/>
    <x v="332"/>
    <s v="0.0"/>
    <x v="9"/>
    <x v="4"/>
  </r>
  <r>
    <n v="3149"/>
    <x v="319"/>
    <s v="Supplier invoice received"/>
    <x v="333"/>
    <s v="0.0"/>
    <x v="10"/>
    <x v="0"/>
  </r>
  <r>
    <n v="3149"/>
    <x v="319"/>
    <s v="Supplier invoice received"/>
    <x v="273"/>
    <s v="1023.42"/>
    <x v="11"/>
    <x v="3"/>
  </r>
  <r>
    <n v="3150"/>
    <x v="319"/>
    <s v="Supplier invoice received"/>
    <x v="338"/>
    <s v="0.0"/>
    <x v="9"/>
    <x v="4"/>
  </r>
  <r>
    <n v="3150"/>
    <x v="319"/>
    <s v="Supplier invoice received"/>
    <x v="339"/>
    <s v="0.0"/>
    <x v="10"/>
    <x v="0"/>
  </r>
  <r>
    <n v="3150"/>
    <x v="319"/>
    <s v="Supplier invoice received"/>
    <x v="273"/>
    <s v="1159.84"/>
    <x v="11"/>
    <x v="3"/>
  </r>
  <r>
    <n v="3151"/>
    <x v="319"/>
    <s v="Supplier payment made"/>
    <x v="466"/>
    <s v="0.0"/>
    <x v="11"/>
    <x v="3"/>
  </r>
  <r>
    <n v="3151"/>
    <x v="319"/>
    <s v="Supplier payment made"/>
    <x v="273"/>
    <s v="748.26"/>
    <x v="0"/>
    <x v="0"/>
  </r>
  <r>
    <n v="3152"/>
    <x v="319"/>
    <s v="Supplier payment made"/>
    <x v="340"/>
    <s v="0.0"/>
    <x v="11"/>
    <x v="3"/>
  </r>
  <r>
    <n v="3152"/>
    <x v="319"/>
    <s v="Supplier payment made"/>
    <x v="273"/>
    <s v="1304.62"/>
    <x v="0"/>
    <x v="0"/>
  </r>
  <r>
    <n v="3153"/>
    <x v="320"/>
    <s v="Sales invoice issued"/>
    <x v="1360"/>
    <s v="0.0"/>
    <x v="2"/>
    <x v="0"/>
  </r>
  <r>
    <n v="3153"/>
    <x v="320"/>
    <s v="Sales invoice issued"/>
    <x v="273"/>
    <s v="2873.09"/>
    <x v="3"/>
    <x v="2"/>
  </r>
  <r>
    <n v="3153"/>
    <x v="320"/>
    <s v="Sales invoice issued"/>
    <x v="273"/>
    <s v="215.49"/>
    <x v="4"/>
    <x v="3"/>
  </r>
  <r>
    <n v="3154"/>
    <x v="320"/>
    <s v="Sales invoice issued"/>
    <x v="1361"/>
    <s v="0.0"/>
    <x v="2"/>
    <x v="0"/>
  </r>
  <r>
    <n v="3154"/>
    <x v="320"/>
    <s v="Sales invoice issued"/>
    <x v="273"/>
    <s v="3435.73"/>
    <x v="3"/>
    <x v="2"/>
  </r>
  <r>
    <n v="3154"/>
    <x v="320"/>
    <s v="Sales invoice issued"/>
    <x v="273"/>
    <s v="257.68"/>
    <x v="4"/>
    <x v="3"/>
  </r>
  <r>
    <n v="3155"/>
    <x v="320"/>
    <s v="Sales invoice issued"/>
    <x v="1362"/>
    <s v="0.0"/>
    <x v="2"/>
    <x v="0"/>
  </r>
  <r>
    <n v="3155"/>
    <x v="320"/>
    <s v="Sales invoice issued"/>
    <x v="273"/>
    <s v="1697.08"/>
    <x v="3"/>
    <x v="2"/>
  </r>
  <r>
    <n v="3155"/>
    <x v="320"/>
    <s v="Sales invoice issued"/>
    <x v="273"/>
    <s v="127.27"/>
    <x v="4"/>
    <x v="3"/>
  </r>
  <r>
    <n v="3156"/>
    <x v="320"/>
    <s v="Sales invoice issued"/>
    <x v="1363"/>
    <s v="0.0"/>
    <x v="2"/>
    <x v="0"/>
  </r>
  <r>
    <n v="3156"/>
    <x v="320"/>
    <s v="Sales invoice issued"/>
    <x v="273"/>
    <s v="3846.83"/>
    <x v="3"/>
    <x v="2"/>
  </r>
  <r>
    <n v="3156"/>
    <x v="320"/>
    <s v="Sales invoice issued"/>
    <x v="273"/>
    <s v="288.51"/>
    <x v="4"/>
    <x v="3"/>
  </r>
  <r>
    <n v="3157"/>
    <x v="320"/>
    <s v="Sales invoice issued"/>
    <x v="1364"/>
    <s v="0.0"/>
    <x v="2"/>
    <x v="0"/>
  </r>
  <r>
    <n v="3157"/>
    <x v="320"/>
    <s v="Sales invoice issued"/>
    <x v="273"/>
    <s v="2492.42"/>
    <x v="3"/>
    <x v="2"/>
  </r>
  <r>
    <n v="3157"/>
    <x v="320"/>
    <s v="Sales invoice issued"/>
    <x v="273"/>
    <s v="186.94"/>
    <x v="4"/>
    <x v="3"/>
  </r>
  <r>
    <n v="3158"/>
    <x v="320"/>
    <s v="Sales invoice issued"/>
    <x v="1365"/>
    <s v="0.0"/>
    <x v="2"/>
    <x v="0"/>
  </r>
  <r>
    <n v="3158"/>
    <x v="320"/>
    <s v="Sales invoice issued"/>
    <x v="273"/>
    <s v="1949.57"/>
    <x v="3"/>
    <x v="2"/>
  </r>
  <r>
    <n v="3158"/>
    <x v="320"/>
    <s v="Sales invoice issued"/>
    <x v="273"/>
    <s v="146.22"/>
    <x v="4"/>
    <x v="3"/>
  </r>
  <r>
    <n v="3159"/>
    <x v="320"/>
    <s v="Customer payment received"/>
    <x v="1289"/>
    <s v="0.0"/>
    <x v="0"/>
    <x v="0"/>
  </r>
  <r>
    <n v="3159"/>
    <x v="320"/>
    <s v="Customer payment received"/>
    <x v="273"/>
    <s v="229.42"/>
    <x v="2"/>
    <x v="0"/>
  </r>
  <r>
    <n v="3160"/>
    <x v="320"/>
    <s v="Customer payment received"/>
    <x v="1315"/>
    <s v="0.0"/>
    <x v="0"/>
    <x v="0"/>
  </r>
  <r>
    <n v="3160"/>
    <x v="320"/>
    <s v="Customer payment received"/>
    <x v="273"/>
    <s v="115.41"/>
    <x v="2"/>
    <x v="0"/>
  </r>
  <r>
    <n v="3161"/>
    <x v="320"/>
    <s v="Customer payment received"/>
    <x v="1320"/>
    <s v="0.0"/>
    <x v="0"/>
    <x v="0"/>
  </r>
  <r>
    <n v="3161"/>
    <x v="320"/>
    <s v="Customer payment received"/>
    <x v="273"/>
    <s v="3612.41"/>
    <x v="2"/>
    <x v="0"/>
  </r>
  <r>
    <n v="3162"/>
    <x v="320"/>
    <s v="Customer payment received"/>
    <x v="1324"/>
    <s v="0.0"/>
    <x v="0"/>
    <x v="0"/>
  </r>
  <r>
    <n v="3162"/>
    <x v="320"/>
    <s v="Customer payment received"/>
    <x v="273"/>
    <s v="1855.43"/>
    <x v="2"/>
    <x v="0"/>
  </r>
  <r>
    <n v="3163"/>
    <x v="320"/>
    <s v="Customer payment received"/>
    <x v="1343"/>
    <s v="0.0"/>
    <x v="0"/>
    <x v="0"/>
  </r>
  <r>
    <n v="3163"/>
    <x v="320"/>
    <s v="Customer payment received"/>
    <x v="273"/>
    <s v="2675.33"/>
    <x v="2"/>
    <x v="0"/>
  </r>
  <r>
    <n v="3164"/>
    <x v="320"/>
    <s v="Customer payment received"/>
    <x v="1348"/>
    <s v="0.0"/>
    <x v="0"/>
    <x v="0"/>
  </r>
  <r>
    <n v="3164"/>
    <x v="320"/>
    <s v="Customer payment received"/>
    <x v="273"/>
    <s v="845.61"/>
    <x v="2"/>
    <x v="0"/>
  </r>
  <r>
    <n v="3165"/>
    <x v="320"/>
    <s v="Supplier invoice received"/>
    <x v="305"/>
    <s v="0.0"/>
    <x v="9"/>
    <x v="4"/>
  </r>
  <r>
    <n v="3165"/>
    <x v="320"/>
    <s v="Supplier invoice received"/>
    <x v="306"/>
    <s v="0.0"/>
    <x v="10"/>
    <x v="0"/>
  </r>
  <r>
    <n v="3165"/>
    <x v="320"/>
    <s v="Supplier invoice received"/>
    <x v="273"/>
    <s v="276.32"/>
    <x v="11"/>
    <x v="3"/>
  </r>
  <r>
    <n v="3166"/>
    <x v="320"/>
    <s v="Supplier invoice received"/>
    <x v="307"/>
    <s v="0.0"/>
    <x v="9"/>
    <x v="4"/>
  </r>
  <r>
    <n v="3166"/>
    <x v="320"/>
    <s v="Supplier invoice received"/>
    <x v="308"/>
    <s v="0.0"/>
    <x v="10"/>
    <x v="0"/>
  </r>
  <r>
    <n v="3166"/>
    <x v="320"/>
    <s v="Supplier invoice received"/>
    <x v="273"/>
    <s v="2093.28"/>
    <x v="11"/>
    <x v="3"/>
  </r>
  <r>
    <n v="3167"/>
    <x v="320"/>
    <s v="Supplier invoice received"/>
    <x v="366"/>
    <s v="0.0"/>
    <x v="9"/>
    <x v="4"/>
  </r>
  <r>
    <n v="3167"/>
    <x v="320"/>
    <s v="Supplier invoice received"/>
    <x v="367"/>
    <s v="0.0"/>
    <x v="10"/>
    <x v="0"/>
  </r>
  <r>
    <n v="3167"/>
    <x v="320"/>
    <s v="Supplier invoice received"/>
    <x v="273"/>
    <s v="201.5"/>
    <x v="11"/>
    <x v="3"/>
  </r>
  <r>
    <n v="3168"/>
    <x v="320"/>
    <s v="Supplier invoice received"/>
    <x v="374"/>
    <s v="0.0"/>
    <x v="9"/>
    <x v="4"/>
  </r>
  <r>
    <n v="3168"/>
    <x v="320"/>
    <s v="Supplier invoice received"/>
    <x v="375"/>
    <s v="0.0"/>
    <x v="10"/>
    <x v="0"/>
  </r>
  <r>
    <n v="3168"/>
    <x v="320"/>
    <s v="Supplier invoice received"/>
    <x v="273"/>
    <s v="2504.23"/>
    <x v="11"/>
    <x v="3"/>
  </r>
  <r>
    <n v="3169"/>
    <x v="320"/>
    <s v="Supplier invoice received"/>
    <x v="372"/>
    <s v="0.0"/>
    <x v="9"/>
    <x v="4"/>
  </r>
  <r>
    <n v="3169"/>
    <x v="320"/>
    <s v="Supplier invoice received"/>
    <x v="373"/>
    <s v="0.0"/>
    <x v="10"/>
    <x v="0"/>
  </r>
  <r>
    <n v="3169"/>
    <x v="320"/>
    <s v="Supplier invoice received"/>
    <x v="273"/>
    <s v="412.54"/>
    <x v="11"/>
    <x v="3"/>
  </r>
  <r>
    <n v="3170"/>
    <x v="320"/>
    <s v="Supplier payment made"/>
    <x v="313"/>
    <s v="0.0"/>
    <x v="11"/>
    <x v="3"/>
  </r>
  <r>
    <n v="3170"/>
    <x v="320"/>
    <s v="Supplier payment made"/>
    <x v="273"/>
    <s v="1159.84"/>
    <x v="0"/>
    <x v="0"/>
  </r>
  <r>
    <n v="3171"/>
    <x v="321"/>
    <s v="Sales invoice issued"/>
    <x v="1366"/>
    <s v="0.0"/>
    <x v="2"/>
    <x v="0"/>
  </r>
  <r>
    <n v="3171"/>
    <x v="321"/>
    <s v="Sales invoice issued"/>
    <x v="273"/>
    <s v="315.74"/>
    <x v="3"/>
    <x v="2"/>
  </r>
  <r>
    <n v="3171"/>
    <x v="321"/>
    <s v="Sales invoice issued"/>
    <x v="273"/>
    <s v="23.68"/>
    <x v="4"/>
    <x v="3"/>
  </r>
  <r>
    <n v="3172"/>
    <x v="321"/>
    <s v="Sales invoice issued"/>
    <x v="909"/>
    <s v="0.0"/>
    <x v="2"/>
    <x v="0"/>
  </r>
  <r>
    <n v="3172"/>
    <x v="321"/>
    <s v="Sales invoice issued"/>
    <x v="273"/>
    <s v="300.69"/>
    <x v="3"/>
    <x v="2"/>
  </r>
  <r>
    <n v="3172"/>
    <x v="321"/>
    <s v="Sales invoice issued"/>
    <x v="273"/>
    <s v="22.55"/>
    <x v="4"/>
    <x v="3"/>
  </r>
  <r>
    <n v="3173"/>
    <x v="321"/>
    <s v="Sales invoice issued"/>
    <x v="1367"/>
    <s v="0.0"/>
    <x v="2"/>
    <x v="0"/>
  </r>
  <r>
    <n v="3173"/>
    <x v="321"/>
    <s v="Sales invoice issued"/>
    <x v="273"/>
    <s v="3776.16"/>
    <x v="3"/>
    <x v="2"/>
  </r>
  <r>
    <n v="3173"/>
    <x v="321"/>
    <s v="Sales invoice issued"/>
    <x v="273"/>
    <s v="283.22"/>
    <x v="4"/>
    <x v="3"/>
  </r>
  <r>
    <n v="3174"/>
    <x v="321"/>
    <s v="Sales invoice issued"/>
    <x v="1368"/>
    <s v="0.0"/>
    <x v="2"/>
    <x v="0"/>
  </r>
  <r>
    <n v="3174"/>
    <x v="321"/>
    <s v="Sales invoice issued"/>
    <x v="273"/>
    <s v="747.66"/>
    <x v="3"/>
    <x v="2"/>
  </r>
  <r>
    <n v="3174"/>
    <x v="321"/>
    <s v="Sales invoice issued"/>
    <x v="273"/>
    <s v="56.08"/>
    <x v="4"/>
    <x v="3"/>
  </r>
  <r>
    <n v="3175"/>
    <x v="321"/>
    <s v="Sales invoice issued"/>
    <x v="1369"/>
    <s v="0.0"/>
    <x v="2"/>
    <x v="0"/>
  </r>
  <r>
    <n v="3175"/>
    <x v="321"/>
    <s v="Sales invoice issued"/>
    <x v="273"/>
    <s v="197.34"/>
    <x v="3"/>
    <x v="2"/>
  </r>
  <r>
    <n v="3175"/>
    <x v="321"/>
    <s v="Sales invoice issued"/>
    <x v="273"/>
    <s v="14.8"/>
    <x v="4"/>
    <x v="3"/>
  </r>
  <r>
    <n v="3176"/>
    <x v="321"/>
    <s v="Customer payment received"/>
    <x v="1258"/>
    <s v="0.0"/>
    <x v="0"/>
    <x v="0"/>
  </r>
  <r>
    <n v="3176"/>
    <x v="321"/>
    <s v="Customer payment received"/>
    <x v="273"/>
    <s v="3831.7"/>
    <x v="2"/>
    <x v="0"/>
  </r>
  <r>
    <n v="3177"/>
    <x v="321"/>
    <s v="Customer payment received"/>
    <x v="868"/>
    <s v="0.0"/>
    <x v="0"/>
    <x v="0"/>
  </r>
  <r>
    <n v="3177"/>
    <x v="321"/>
    <s v="Customer payment received"/>
    <x v="273"/>
    <s v="289.09"/>
    <x v="2"/>
    <x v="0"/>
  </r>
  <r>
    <n v="3178"/>
    <x v="321"/>
    <s v="Supplier invoice received"/>
    <x v="441"/>
    <s v="0.0"/>
    <x v="9"/>
    <x v="4"/>
  </r>
  <r>
    <n v="3178"/>
    <x v="321"/>
    <s v="Supplier invoice received"/>
    <x v="442"/>
    <s v="0.0"/>
    <x v="10"/>
    <x v="0"/>
  </r>
  <r>
    <n v="3178"/>
    <x v="321"/>
    <s v="Supplier invoice received"/>
    <x v="273"/>
    <s v="179.01"/>
    <x v="11"/>
    <x v="3"/>
  </r>
  <r>
    <n v="3179"/>
    <x v="321"/>
    <s v="Supplier invoice received"/>
    <x v="359"/>
    <s v="0.0"/>
    <x v="9"/>
    <x v="4"/>
  </r>
  <r>
    <n v="3179"/>
    <x v="321"/>
    <s v="Supplier invoice received"/>
    <x v="360"/>
    <s v="0.0"/>
    <x v="10"/>
    <x v="0"/>
  </r>
  <r>
    <n v="3179"/>
    <x v="321"/>
    <s v="Supplier invoice received"/>
    <x v="273"/>
    <s v="1591.54"/>
    <x v="11"/>
    <x v="3"/>
  </r>
  <r>
    <n v="3180"/>
    <x v="321"/>
    <s v="Supplier payment made"/>
    <x v="353"/>
    <s v="0.0"/>
    <x v="11"/>
    <x v="3"/>
  </r>
  <r>
    <n v="3180"/>
    <x v="321"/>
    <s v="Supplier payment made"/>
    <x v="273"/>
    <s v="2918.17"/>
    <x v="0"/>
    <x v="0"/>
  </r>
  <r>
    <n v="3181"/>
    <x v="321"/>
    <s v="Supplier payment made"/>
    <x v="408"/>
    <s v="0.0"/>
    <x v="11"/>
    <x v="3"/>
  </r>
  <r>
    <n v="3181"/>
    <x v="321"/>
    <s v="Supplier payment made"/>
    <x v="273"/>
    <s v="3868.8"/>
    <x v="0"/>
    <x v="0"/>
  </r>
  <r>
    <n v="3182"/>
    <x v="322"/>
    <s v="Sales invoice issued"/>
    <x v="1370"/>
    <s v="0.0"/>
    <x v="2"/>
    <x v="0"/>
  </r>
  <r>
    <n v="3182"/>
    <x v="322"/>
    <s v="Sales invoice issued"/>
    <x v="273"/>
    <s v="533.47"/>
    <x v="3"/>
    <x v="2"/>
  </r>
  <r>
    <n v="3182"/>
    <x v="322"/>
    <s v="Sales invoice issued"/>
    <x v="273"/>
    <s v="40.01"/>
    <x v="4"/>
    <x v="3"/>
  </r>
  <r>
    <n v="3183"/>
    <x v="322"/>
    <s v="Sales invoice issued"/>
    <x v="1371"/>
    <s v="0.0"/>
    <x v="2"/>
    <x v="0"/>
  </r>
  <r>
    <n v="3183"/>
    <x v="322"/>
    <s v="Sales invoice issued"/>
    <x v="273"/>
    <s v="1270.41"/>
    <x v="3"/>
    <x v="2"/>
  </r>
  <r>
    <n v="3183"/>
    <x v="322"/>
    <s v="Sales invoice issued"/>
    <x v="273"/>
    <s v="95.28"/>
    <x v="4"/>
    <x v="3"/>
  </r>
  <r>
    <n v="3184"/>
    <x v="322"/>
    <s v="Sales invoice issued"/>
    <x v="1372"/>
    <s v="0.0"/>
    <x v="2"/>
    <x v="0"/>
  </r>
  <r>
    <n v="3184"/>
    <x v="322"/>
    <s v="Sales invoice issued"/>
    <x v="273"/>
    <s v="290.68"/>
    <x v="3"/>
    <x v="2"/>
  </r>
  <r>
    <n v="3184"/>
    <x v="322"/>
    <s v="Sales invoice issued"/>
    <x v="273"/>
    <s v="21.8"/>
    <x v="4"/>
    <x v="3"/>
  </r>
  <r>
    <n v="3185"/>
    <x v="322"/>
    <s v="Sales invoice issued"/>
    <x v="1373"/>
    <s v="0.0"/>
    <x v="2"/>
    <x v="0"/>
  </r>
  <r>
    <n v="3185"/>
    <x v="322"/>
    <s v="Sales invoice issued"/>
    <x v="273"/>
    <s v="412.84"/>
    <x v="3"/>
    <x v="2"/>
  </r>
  <r>
    <n v="3185"/>
    <x v="322"/>
    <s v="Sales invoice issued"/>
    <x v="273"/>
    <s v="30.96"/>
    <x v="4"/>
    <x v="3"/>
  </r>
  <r>
    <n v="3186"/>
    <x v="322"/>
    <s v="Sales invoice issued"/>
    <x v="1374"/>
    <s v="0.0"/>
    <x v="2"/>
    <x v="0"/>
  </r>
  <r>
    <n v="3186"/>
    <x v="322"/>
    <s v="Sales invoice issued"/>
    <x v="273"/>
    <s v="1752.37"/>
    <x v="3"/>
    <x v="2"/>
  </r>
  <r>
    <n v="3186"/>
    <x v="322"/>
    <s v="Sales invoice issued"/>
    <x v="273"/>
    <s v="131.43"/>
    <x v="4"/>
    <x v="3"/>
  </r>
  <r>
    <n v="3187"/>
    <x v="322"/>
    <s v="Customer payment received"/>
    <x v="1375"/>
    <s v="0.0"/>
    <x v="0"/>
    <x v="0"/>
  </r>
  <r>
    <n v="3187"/>
    <x v="322"/>
    <s v="Customer payment received"/>
    <x v="273"/>
    <s v="2776.77"/>
    <x v="2"/>
    <x v="0"/>
  </r>
  <r>
    <n v="3188"/>
    <x v="322"/>
    <s v="Customer payment received"/>
    <x v="1267"/>
    <s v="0.0"/>
    <x v="0"/>
    <x v="0"/>
  </r>
  <r>
    <n v="3188"/>
    <x v="322"/>
    <s v="Customer payment received"/>
    <x v="273"/>
    <s v="2033.71"/>
    <x v="2"/>
    <x v="0"/>
  </r>
  <r>
    <n v="3189"/>
    <x v="322"/>
    <s v="Customer payment received"/>
    <x v="1286"/>
    <s v="0.0"/>
    <x v="0"/>
    <x v="0"/>
  </r>
  <r>
    <n v="3189"/>
    <x v="322"/>
    <s v="Customer payment received"/>
    <x v="273"/>
    <s v="354.43"/>
    <x v="2"/>
    <x v="0"/>
  </r>
  <r>
    <n v="3190"/>
    <x v="322"/>
    <s v="Customer payment received"/>
    <x v="1303"/>
    <s v="0.0"/>
    <x v="0"/>
    <x v="0"/>
  </r>
  <r>
    <n v="3190"/>
    <x v="322"/>
    <s v="Customer payment received"/>
    <x v="273"/>
    <s v="631.28"/>
    <x v="2"/>
    <x v="0"/>
  </r>
  <r>
    <n v="3191"/>
    <x v="322"/>
    <s v="Customer payment received"/>
    <x v="1308"/>
    <s v="0.0"/>
    <x v="0"/>
    <x v="0"/>
  </r>
  <r>
    <n v="3191"/>
    <x v="322"/>
    <s v="Customer payment received"/>
    <x v="273"/>
    <s v="1198.87"/>
    <x v="2"/>
    <x v="0"/>
  </r>
  <r>
    <n v="3192"/>
    <x v="322"/>
    <s v="Supplier invoice received"/>
    <x v="297"/>
    <s v="0.0"/>
    <x v="9"/>
    <x v="4"/>
  </r>
  <r>
    <n v="3192"/>
    <x v="322"/>
    <s v="Supplier invoice received"/>
    <x v="298"/>
    <s v="0.0"/>
    <x v="10"/>
    <x v="0"/>
  </r>
  <r>
    <n v="3192"/>
    <x v="322"/>
    <s v="Supplier invoice received"/>
    <x v="273"/>
    <s v="3528.97"/>
    <x v="11"/>
    <x v="3"/>
  </r>
  <r>
    <n v="3193"/>
    <x v="322"/>
    <s v="Supplier invoice received"/>
    <x v="405"/>
    <s v="0.0"/>
    <x v="9"/>
    <x v="4"/>
  </r>
  <r>
    <n v="3193"/>
    <x v="322"/>
    <s v="Supplier invoice received"/>
    <x v="406"/>
    <s v="0.0"/>
    <x v="10"/>
    <x v="0"/>
  </r>
  <r>
    <n v="3193"/>
    <x v="322"/>
    <s v="Supplier invoice received"/>
    <x v="273"/>
    <s v="2635.36"/>
    <x v="11"/>
    <x v="3"/>
  </r>
  <r>
    <n v="3194"/>
    <x v="322"/>
    <s v="Supplier payment made"/>
    <x v="327"/>
    <s v="0.0"/>
    <x v="11"/>
    <x v="3"/>
  </r>
  <r>
    <n v="3194"/>
    <x v="322"/>
    <s v="Supplier payment made"/>
    <x v="273"/>
    <s v="1935.04"/>
    <x v="0"/>
    <x v="0"/>
  </r>
  <r>
    <n v="3195"/>
    <x v="322"/>
    <s v="Supplier payment made"/>
    <x v="313"/>
    <s v="0.0"/>
    <x v="11"/>
    <x v="3"/>
  </r>
  <r>
    <n v="3195"/>
    <x v="322"/>
    <s v="Supplier payment made"/>
    <x v="273"/>
    <s v="1159.84"/>
    <x v="0"/>
    <x v="0"/>
  </r>
  <r>
    <n v="3196"/>
    <x v="322"/>
    <s v="Supplier payment made"/>
    <x v="336"/>
    <s v="0.0"/>
    <x v="11"/>
    <x v="3"/>
  </r>
  <r>
    <n v="3196"/>
    <x v="322"/>
    <s v="Supplier payment made"/>
    <x v="273"/>
    <s v="2093.28"/>
    <x v="0"/>
    <x v="0"/>
  </r>
  <r>
    <n v="3197"/>
    <x v="323"/>
    <s v="Payroll processed"/>
    <x v="535"/>
    <s v="0.0"/>
    <x v="5"/>
    <x v="4"/>
  </r>
  <r>
    <n v="3197"/>
    <x v="323"/>
    <s v="Payroll processed"/>
    <x v="536"/>
    <s v="0.0"/>
    <x v="6"/>
    <x v="4"/>
  </r>
  <r>
    <n v="3197"/>
    <x v="323"/>
    <s v="Payroll processed"/>
    <x v="273"/>
    <s v="17968.47"/>
    <x v="0"/>
    <x v="0"/>
  </r>
  <r>
    <n v="3197"/>
    <x v="323"/>
    <s v="Payroll processed"/>
    <x v="273"/>
    <s v="4069.27"/>
    <x v="7"/>
    <x v="3"/>
  </r>
  <r>
    <n v="3197"/>
    <x v="323"/>
    <s v="Payroll processed"/>
    <x v="273"/>
    <s v="881.51"/>
    <x v="8"/>
    <x v="3"/>
  </r>
  <r>
    <n v="3198"/>
    <x v="323"/>
    <s v="Sales invoice issued"/>
    <x v="1376"/>
    <s v="0.0"/>
    <x v="2"/>
    <x v="0"/>
  </r>
  <r>
    <n v="3198"/>
    <x v="323"/>
    <s v="Sales invoice issued"/>
    <x v="273"/>
    <s v="2474.66"/>
    <x v="3"/>
    <x v="2"/>
  </r>
  <r>
    <n v="3198"/>
    <x v="323"/>
    <s v="Sales invoice issued"/>
    <x v="273"/>
    <s v="185.59"/>
    <x v="4"/>
    <x v="3"/>
  </r>
  <r>
    <n v="3199"/>
    <x v="323"/>
    <s v="Sales invoice issued"/>
    <x v="1377"/>
    <s v="0.0"/>
    <x v="2"/>
    <x v="0"/>
  </r>
  <r>
    <n v="3199"/>
    <x v="323"/>
    <s v="Sales invoice issued"/>
    <x v="273"/>
    <s v="144.08"/>
    <x v="3"/>
    <x v="2"/>
  </r>
  <r>
    <n v="3199"/>
    <x v="323"/>
    <s v="Sales invoice issued"/>
    <x v="273"/>
    <s v="10.8"/>
    <x v="4"/>
    <x v="3"/>
  </r>
  <r>
    <n v="3200"/>
    <x v="323"/>
    <s v="Sales invoice issued"/>
    <x v="1378"/>
    <s v="0.0"/>
    <x v="2"/>
    <x v="0"/>
  </r>
  <r>
    <n v="3200"/>
    <x v="323"/>
    <s v="Sales invoice issued"/>
    <x v="273"/>
    <s v="356.15"/>
    <x v="3"/>
    <x v="2"/>
  </r>
  <r>
    <n v="3200"/>
    <x v="323"/>
    <s v="Sales invoice issued"/>
    <x v="273"/>
    <s v="26.72"/>
    <x v="4"/>
    <x v="3"/>
  </r>
  <r>
    <n v="3201"/>
    <x v="323"/>
    <s v="Sales invoice issued"/>
    <x v="1379"/>
    <s v="0.0"/>
    <x v="2"/>
    <x v="0"/>
  </r>
  <r>
    <n v="3201"/>
    <x v="323"/>
    <s v="Sales invoice issued"/>
    <x v="273"/>
    <s v="3044.21"/>
    <x v="3"/>
    <x v="2"/>
  </r>
  <r>
    <n v="3201"/>
    <x v="323"/>
    <s v="Sales invoice issued"/>
    <x v="273"/>
    <s v="228.31"/>
    <x v="4"/>
    <x v="3"/>
  </r>
  <r>
    <n v="3202"/>
    <x v="324"/>
    <s v="Sales invoice issued"/>
    <x v="1380"/>
    <s v="0.0"/>
    <x v="2"/>
    <x v="0"/>
  </r>
  <r>
    <n v="3202"/>
    <x v="324"/>
    <s v="Sales invoice issued"/>
    <x v="273"/>
    <s v="3775.2"/>
    <x v="3"/>
    <x v="2"/>
  </r>
  <r>
    <n v="3202"/>
    <x v="324"/>
    <s v="Sales invoice issued"/>
    <x v="273"/>
    <s v="283.14"/>
    <x v="4"/>
    <x v="3"/>
  </r>
  <r>
    <n v="3203"/>
    <x v="324"/>
    <s v="Sales invoice issued"/>
    <x v="1381"/>
    <s v="0.0"/>
    <x v="2"/>
    <x v="0"/>
  </r>
  <r>
    <n v="3203"/>
    <x v="324"/>
    <s v="Sales invoice issued"/>
    <x v="273"/>
    <s v="2111.7"/>
    <x v="3"/>
    <x v="2"/>
  </r>
  <r>
    <n v="3203"/>
    <x v="324"/>
    <s v="Sales invoice issued"/>
    <x v="273"/>
    <s v="158.38"/>
    <x v="4"/>
    <x v="3"/>
  </r>
  <r>
    <n v="3204"/>
    <x v="324"/>
    <s v="Sales invoice issued"/>
    <x v="1382"/>
    <s v="0.0"/>
    <x v="2"/>
    <x v="0"/>
  </r>
  <r>
    <n v="3204"/>
    <x v="324"/>
    <s v="Sales invoice issued"/>
    <x v="273"/>
    <s v="1640.44"/>
    <x v="3"/>
    <x v="2"/>
  </r>
  <r>
    <n v="3204"/>
    <x v="324"/>
    <s v="Sales invoice issued"/>
    <x v="273"/>
    <s v="123.03"/>
    <x v="4"/>
    <x v="3"/>
  </r>
  <r>
    <n v="3205"/>
    <x v="324"/>
    <s v="Sales invoice issued"/>
    <x v="1383"/>
    <s v="0.0"/>
    <x v="2"/>
    <x v="0"/>
  </r>
  <r>
    <n v="3205"/>
    <x v="324"/>
    <s v="Sales invoice issued"/>
    <x v="273"/>
    <s v="977.93"/>
    <x v="3"/>
    <x v="2"/>
  </r>
  <r>
    <n v="3205"/>
    <x v="324"/>
    <s v="Sales invoice issued"/>
    <x v="273"/>
    <s v="73.35"/>
    <x v="4"/>
    <x v="3"/>
  </r>
  <r>
    <n v="3206"/>
    <x v="324"/>
    <s v="Sales invoice issued"/>
    <x v="1384"/>
    <s v="0.0"/>
    <x v="2"/>
    <x v="0"/>
  </r>
  <r>
    <n v="3206"/>
    <x v="324"/>
    <s v="Sales invoice issued"/>
    <x v="273"/>
    <s v="1396.44"/>
    <x v="3"/>
    <x v="2"/>
  </r>
  <r>
    <n v="3206"/>
    <x v="324"/>
    <s v="Sales invoice issued"/>
    <x v="273"/>
    <s v="104.74"/>
    <x v="4"/>
    <x v="3"/>
  </r>
  <r>
    <n v="3207"/>
    <x v="324"/>
    <s v="Sales invoice issued"/>
    <x v="1385"/>
    <s v="0.0"/>
    <x v="2"/>
    <x v="0"/>
  </r>
  <r>
    <n v="3207"/>
    <x v="324"/>
    <s v="Sales invoice issued"/>
    <x v="273"/>
    <s v="4183.65"/>
    <x v="3"/>
    <x v="2"/>
  </r>
  <r>
    <n v="3207"/>
    <x v="324"/>
    <s v="Sales invoice issued"/>
    <x v="273"/>
    <s v="313.78"/>
    <x v="4"/>
    <x v="3"/>
  </r>
  <r>
    <n v="3208"/>
    <x v="324"/>
    <s v="Sales invoice issued"/>
    <x v="1386"/>
    <s v="0.0"/>
    <x v="2"/>
    <x v="0"/>
  </r>
  <r>
    <n v="3208"/>
    <x v="324"/>
    <s v="Sales invoice issued"/>
    <x v="273"/>
    <s v="807.47"/>
    <x v="3"/>
    <x v="2"/>
  </r>
  <r>
    <n v="3208"/>
    <x v="324"/>
    <s v="Sales invoice issued"/>
    <x v="273"/>
    <s v="60.56"/>
    <x v="4"/>
    <x v="3"/>
  </r>
  <r>
    <n v="3209"/>
    <x v="324"/>
    <s v="Customer payment received"/>
    <x v="1317"/>
    <s v="0.0"/>
    <x v="0"/>
    <x v="0"/>
  </r>
  <r>
    <n v="3209"/>
    <x v="324"/>
    <s v="Customer payment received"/>
    <x v="273"/>
    <s v="2492.75"/>
    <x v="2"/>
    <x v="0"/>
  </r>
  <r>
    <n v="3210"/>
    <x v="324"/>
    <s v="Customer payment received"/>
    <x v="1350"/>
    <s v="0.0"/>
    <x v="0"/>
    <x v="0"/>
  </r>
  <r>
    <n v="3210"/>
    <x v="324"/>
    <s v="Customer payment received"/>
    <x v="273"/>
    <s v="3398.02"/>
    <x v="2"/>
    <x v="0"/>
  </r>
  <r>
    <n v="3211"/>
    <x v="324"/>
    <s v="Supplier invoice received"/>
    <x v="299"/>
    <s v="0.0"/>
    <x v="9"/>
    <x v="4"/>
  </r>
  <r>
    <n v="3211"/>
    <x v="324"/>
    <s v="Supplier invoice received"/>
    <x v="300"/>
    <s v="0.0"/>
    <x v="10"/>
    <x v="0"/>
  </r>
  <r>
    <n v="3211"/>
    <x v="324"/>
    <s v="Supplier invoice received"/>
    <x v="273"/>
    <s v="2918.17"/>
    <x v="11"/>
    <x v="3"/>
  </r>
  <r>
    <n v="3212"/>
    <x v="324"/>
    <s v="Supplier payment made"/>
    <x v="350"/>
    <s v="0.0"/>
    <x v="11"/>
    <x v="3"/>
  </r>
  <r>
    <n v="3212"/>
    <x v="324"/>
    <s v="Supplier payment made"/>
    <x v="273"/>
    <s v="1794.11"/>
    <x v="0"/>
    <x v="0"/>
  </r>
  <r>
    <n v="3213"/>
    <x v="325"/>
    <s v="Sales invoice issued"/>
    <x v="1387"/>
    <s v="0.0"/>
    <x v="2"/>
    <x v="0"/>
  </r>
  <r>
    <n v="3213"/>
    <x v="325"/>
    <s v="Sales invoice issued"/>
    <x v="273"/>
    <s v="412.49"/>
    <x v="3"/>
    <x v="2"/>
  </r>
  <r>
    <n v="3213"/>
    <x v="325"/>
    <s v="Sales invoice issued"/>
    <x v="273"/>
    <s v="30.94"/>
    <x v="4"/>
    <x v="3"/>
  </r>
  <r>
    <n v="3214"/>
    <x v="325"/>
    <s v="Sales invoice issued"/>
    <x v="1388"/>
    <s v="0.0"/>
    <x v="2"/>
    <x v="0"/>
  </r>
  <r>
    <n v="3214"/>
    <x v="325"/>
    <s v="Sales invoice issued"/>
    <x v="273"/>
    <s v="3339.7"/>
    <x v="3"/>
    <x v="2"/>
  </r>
  <r>
    <n v="3214"/>
    <x v="325"/>
    <s v="Sales invoice issued"/>
    <x v="273"/>
    <s v="250.47"/>
    <x v="4"/>
    <x v="3"/>
  </r>
  <r>
    <n v="3215"/>
    <x v="325"/>
    <s v="Customer payment received"/>
    <x v="1254"/>
    <s v="0.0"/>
    <x v="0"/>
    <x v="0"/>
  </r>
  <r>
    <n v="3215"/>
    <x v="325"/>
    <s v="Customer payment received"/>
    <x v="273"/>
    <s v="1183.18"/>
    <x v="2"/>
    <x v="0"/>
  </r>
  <r>
    <n v="3216"/>
    <x v="325"/>
    <s v="Customer payment received"/>
    <x v="1278"/>
    <s v="0.0"/>
    <x v="0"/>
    <x v="0"/>
  </r>
  <r>
    <n v="3216"/>
    <x v="325"/>
    <s v="Customer payment received"/>
    <x v="273"/>
    <s v="1686.38"/>
    <x v="2"/>
    <x v="0"/>
  </r>
  <r>
    <n v="3217"/>
    <x v="325"/>
    <s v="Customer payment received"/>
    <x v="1293"/>
    <s v="0.0"/>
    <x v="0"/>
    <x v="0"/>
  </r>
  <r>
    <n v="3217"/>
    <x v="325"/>
    <s v="Customer payment received"/>
    <x v="273"/>
    <s v="842.06"/>
    <x v="2"/>
    <x v="0"/>
  </r>
  <r>
    <n v="3218"/>
    <x v="325"/>
    <s v="Customer payment received"/>
    <x v="1298"/>
    <s v="0.0"/>
    <x v="0"/>
    <x v="0"/>
  </r>
  <r>
    <n v="3218"/>
    <x v="325"/>
    <s v="Customer payment received"/>
    <x v="273"/>
    <s v="1299.43"/>
    <x v="2"/>
    <x v="0"/>
  </r>
  <r>
    <n v="3219"/>
    <x v="325"/>
    <s v="Customer payment received"/>
    <x v="1327"/>
    <s v="0.0"/>
    <x v="0"/>
    <x v="0"/>
  </r>
  <r>
    <n v="3219"/>
    <x v="325"/>
    <s v="Customer payment received"/>
    <x v="273"/>
    <s v="2170.37"/>
    <x v="2"/>
    <x v="0"/>
  </r>
  <r>
    <n v="3220"/>
    <x v="325"/>
    <s v="Customer payment received"/>
    <x v="1365"/>
    <s v="0.0"/>
    <x v="0"/>
    <x v="0"/>
  </r>
  <r>
    <n v="3220"/>
    <x v="325"/>
    <s v="Customer payment received"/>
    <x v="273"/>
    <s v="2095.79"/>
    <x v="2"/>
    <x v="0"/>
  </r>
  <r>
    <n v="3221"/>
    <x v="325"/>
    <s v="Supplier invoice received"/>
    <x v="303"/>
    <s v="0.0"/>
    <x v="9"/>
    <x v="4"/>
  </r>
  <r>
    <n v="3221"/>
    <x v="325"/>
    <s v="Supplier invoice received"/>
    <x v="304"/>
    <s v="0.0"/>
    <x v="10"/>
    <x v="0"/>
  </r>
  <r>
    <n v="3221"/>
    <x v="325"/>
    <s v="Supplier invoice received"/>
    <x v="273"/>
    <s v="550.4"/>
    <x v="11"/>
    <x v="3"/>
  </r>
  <r>
    <n v="3222"/>
    <x v="325"/>
    <s v="Supplier invoice received"/>
    <x v="295"/>
    <s v="0.0"/>
    <x v="9"/>
    <x v="4"/>
  </r>
  <r>
    <n v="3222"/>
    <x v="325"/>
    <s v="Supplier invoice received"/>
    <x v="296"/>
    <s v="0.0"/>
    <x v="10"/>
    <x v="0"/>
  </r>
  <r>
    <n v="3222"/>
    <x v="325"/>
    <s v="Supplier invoice received"/>
    <x v="273"/>
    <s v="1766.46"/>
    <x v="11"/>
    <x v="3"/>
  </r>
  <r>
    <n v="3223"/>
    <x v="325"/>
    <s v="Supplier invoice received"/>
    <x v="297"/>
    <s v="0.0"/>
    <x v="9"/>
    <x v="4"/>
  </r>
  <r>
    <n v="3223"/>
    <x v="325"/>
    <s v="Supplier invoice received"/>
    <x v="298"/>
    <s v="0.0"/>
    <x v="10"/>
    <x v="0"/>
  </r>
  <r>
    <n v="3223"/>
    <x v="325"/>
    <s v="Supplier invoice received"/>
    <x v="273"/>
    <s v="3528.97"/>
    <x v="11"/>
    <x v="3"/>
  </r>
  <r>
    <n v="3224"/>
    <x v="325"/>
    <s v="Supplier payment made"/>
    <x v="504"/>
    <s v="0.0"/>
    <x v="11"/>
    <x v="3"/>
  </r>
  <r>
    <n v="3224"/>
    <x v="325"/>
    <s v="Supplier payment made"/>
    <x v="273"/>
    <s v="1958.74"/>
    <x v="0"/>
    <x v="0"/>
  </r>
  <r>
    <n v="3225"/>
    <x v="325"/>
    <s v="Supplier payment made"/>
    <x v="424"/>
    <s v="0.0"/>
    <x v="11"/>
    <x v="3"/>
  </r>
  <r>
    <n v="3225"/>
    <x v="325"/>
    <s v="Supplier payment made"/>
    <x v="273"/>
    <s v="1591.54"/>
    <x v="0"/>
    <x v="0"/>
  </r>
  <r>
    <n v="3226"/>
    <x v="325"/>
    <s v="Depreciation â€” POS System"/>
    <x v="425"/>
    <s v="0.0"/>
    <x v="12"/>
    <x v="4"/>
  </r>
  <r>
    <n v="3226"/>
    <x v="325"/>
    <s v="Depreciation â€” POS System"/>
    <x v="273"/>
    <s v="93.61"/>
    <x v="13"/>
    <x v="0"/>
  </r>
  <r>
    <n v="3227"/>
    <x v="325"/>
    <s v="Depreciation â€” Laptop x2"/>
    <x v="426"/>
    <s v="0.0"/>
    <x v="12"/>
    <x v="4"/>
  </r>
  <r>
    <n v="3227"/>
    <x v="325"/>
    <s v="Depreciation â€” Laptop x2"/>
    <x v="273"/>
    <s v="76.86"/>
    <x v="13"/>
    <x v="0"/>
  </r>
  <r>
    <n v="3228"/>
    <x v="325"/>
    <s v="Depreciation â€” Printer/Scanner"/>
    <x v="427"/>
    <s v="0.0"/>
    <x v="12"/>
    <x v="4"/>
  </r>
  <r>
    <n v="3228"/>
    <x v="325"/>
    <s v="Depreciation â€” Printer/Scanner"/>
    <x v="273"/>
    <s v="20.03"/>
    <x v="13"/>
    <x v="0"/>
  </r>
  <r>
    <n v="3229"/>
    <x v="325"/>
    <s v="Depreciation â€” Shop Shelving"/>
    <x v="428"/>
    <s v="0.0"/>
    <x v="12"/>
    <x v="4"/>
  </r>
  <r>
    <n v="3229"/>
    <x v="325"/>
    <s v="Depreciation â€” Shop Shelving"/>
    <x v="273"/>
    <s v="86.89"/>
    <x v="14"/>
    <x v="0"/>
  </r>
  <r>
    <n v="3230"/>
    <x v="325"/>
    <s v="Depreciation â€” Display Stands"/>
    <x v="429"/>
    <s v="0.0"/>
    <x v="12"/>
    <x v="4"/>
  </r>
  <r>
    <n v="3230"/>
    <x v="325"/>
    <s v="Depreciation â€” Display Stands"/>
    <x v="273"/>
    <s v="76.8"/>
    <x v="14"/>
    <x v="0"/>
  </r>
  <r>
    <n v="3231"/>
    <x v="325"/>
    <s v="Depreciation â€” Counter &amp; Checkout"/>
    <x v="430"/>
    <s v="0.0"/>
    <x v="12"/>
    <x v="4"/>
  </r>
  <r>
    <n v="3231"/>
    <x v="325"/>
    <s v="Depreciation â€” Counter &amp; Checkout"/>
    <x v="273"/>
    <s v="48.28"/>
    <x v="14"/>
    <x v="0"/>
  </r>
  <r>
    <n v="3232"/>
    <x v="325"/>
    <s v="Depreciation â€” Signage"/>
    <x v="431"/>
    <s v="0.0"/>
    <x v="12"/>
    <x v="4"/>
  </r>
  <r>
    <n v="3232"/>
    <x v="325"/>
    <s v="Depreciation â€” Signage"/>
    <x v="273"/>
    <s v="53.21"/>
    <x v="14"/>
    <x v="0"/>
  </r>
  <r>
    <n v="3233"/>
    <x v="325"/>
    <s v="Depreciation â€” Delivery Van"/>
    <x v="432"/>
    <s v="0.0"/>
    <x v="12"/>
    <x v="4"/>
  </r>
  <r>
    <n v="3233"/>
    <x v="325"/>
    <s v="Depreciation â€” Delivery Van"/>
    <x v="273"/>
    <s v="232.19"/>
    <x v="15"/>
    <x v="0"/>
  </r>
  <r>
    <n v="3234"/>
    <x v="325"/>
    <s v="Depreciation â€” Security System"/>
    <x v="433"/>
    <s v="0.0"/>
    <x v="12"/>
    <x v="4"/>
  </r>
  <r>
    <n v="3234"/>
    <x v="325"/>
    <s v="Depreciation â€” Security System"/>
    <x v="273"/>
    <s v="43.85"/>
    <x v="13"/>
    <x v="0"/>
  </r>
  <r>
    <n v="3235"/>
    <x v="326"/>
    <s v="Sales invoice issued"/>
    <x v="1389"/>
    <s v="0.0"/>
    <x v="2"/>
    <x v="0"/>
  </r>
  <r>
    <n v="3235"/>
    <x v="326"/>
    <s v="Sales invoice issued"/>
    <x v="273"/>
    <s v="327.55"/>
    <x v="3"/>
    <x v="2"/>
  </r>
  <r>
    <n v="3235"/>
    <x v="326"/>
    <s v="Sales invoice issued"/>
    <x v="273"/>
    <s v="24.57"/>
    <x v="4"/>
    <x v="3"/>
  </r>
  <r>
    <n v="3236"/>
    <x v="326"/>
    <s v="Sales invoice issued"/>
    <x v="647"/>
    <s v="0.0"/>
    <x v="2"/>
    <x v="0"/>
  </r>
  <r>
    <n v="3236"/>
    <x v="326"/>
    <s v="Sales invoice issued"/>
    <x v="273"/>
    <s v="407.55"/>
    <x v="3"/>
    <x v="2"/>
  </r>
  <r>
    <n v="3236"/>
    <x v="326"/>
    <s v="Sales invoice issued"/>
    <x v="273"/>
    <s v="30.57"/>
    <x v="4"/>
    <x v="3"/>
  </r>
  <r>
    <n v="3237"/>
    <x v="326"/>
    <s v="Sales invoice issued"/>
    <x v="1390"/>
    <s v="0.0"/>
    <x v="2"/>
    <x v="0"/>
  </r>
  <r>
    <n v="3237"/>
    <x v="326"/>
    <s v="Sales invoice issued"/>
    <x v="273"/>
    <s v="986.9"/>
    <x v="3"/>
    <x v="2"/>
  </r>
  <r>
    <n v="3237"/>
    <x v="326"/>
    <s v="Sales invoice issued"/>
    <x v="273"/>
    <s v="74.01"/>
    <x v="4"/>
    <x v="3"/>
  </r>
  <r>
    <n v="3238"/>
    <x v="326"/>
    <s v="Sales invoice issued"/>
    <x v="1391"/>
    <s v="0.0"/>
    <x v="2"/>
    <x v="0"/>
  </r>
  <r>
    <n v="3238"/>
    <x v="326"/>
    <s v="Sales invoice issued"/>
    <x v="273"/>
    <s v="5222.08"/>
    <x v="3"/>
    <x v="2"/>
  </r>
  <r>
    <n v="3238"/>
    <x v="326"/>
    <s v="Sales invoice issued"/>
    <x v="273"/>
    <s v="391.65"/>
    <x v="4"/>
    <x v="3"/>
  </r>
  <r>
    <n v="3239"/>
    <x v="326"/>
    <s v="Customer payment received"/>
    <x v="1275"/>
    <s v="0.0"/>
    <x v="0"/>
    <x v="0"/>
  </r>
  <r>
    <n v="3239"/>
    <x v="326"/>
    <s v="Customer payment received"/>
    <x v="273"/>
    <s v="170.6"/>
    <x v="2"/>
    <x v="0"/>
  </r>
  <r>
    <n v="3240"/>
    <x v="326"/>
    <s v="Customer payment received"/>
    <x v="1341"/>
    <s v="0.0"/>
    <x v="0"/>
    <x v="0"/>
  </r>
  <r>
    <n v="3240"/>
    <x v="326"/>
    <s v="Customer payment received"/>
    <x v="273"/>
    <s v="3284.92"/>
    <x v="2"/>
    <x v="0"/>
  </r>
  <r>
    <n v="3241"/>
    <x v="326"/>
    <s v="Supplier payment made"/>
    <x v="318"/>
    <s v="0.0"/>
    <x v="11"/>
    <x v="3"/>
  </r>
  <r>
    <n v="3241"/>
    <x v="326"/>
    <s v="Supplier payment made"/>
    <x v="273"/>
    <s v="2504.23"/>
    <x v="0"/>
    <x v="0"/>
  </r>
  <r>
    <n v="3242"/>
    <x v="326"/>
    <s v="Supplier payment made"/>
    <x v="393"/>
    <s v="0.0"/>
    <x v="11"/>
    <x v="3"/>
  </r>
  <r>
    <n v="3242"/>
    <x v="326"/>
    <s v="Supplier payment made"/>
    <x v="273"/>
    <s v="412.54"/>
    <x v="0"/>
    <x v="0"/>
  </r>
  <r>
    <n v="3243"/>
    <x v="326"/>
    <s v="Supplier payment made"/>
    <x v="280"/>
    <s v="0.0"/>
    <x v="11"/>
    <x v="3"/>
  </r>
  <r>
    <n v="3243"/>
    <x v="326"/>
    <s v="Supplier payment made"/>
    <x v="273"/>
    <s v="2635.36"/>
    <x v="0"/>
    <x v="0"/>
  </r>
  <r>
    <n v="3244"/>
    <x v="326"/>
    <s v="Supplier payment made"/>
    <x v="292"/>
    <s v="0.0"/>
    <x v="11"/>
    <x v="3"/>
  </r>
  <r>
    <n v="3244"/>
    <x v="326"/>
    <s v="Supplier payment made"/>
    <x v="273"/>
    <s v="1766.46"/>
    <x v="0"/>
    <x v="0"/>
  </r>
  <r>
    <n v="3245"/>
    <x v="327"/>
    <s v="Sales invoice issued"/>
    <x v="1392"/>
    <s v="0.0"/>
    <x v="2"/>
    <x v="0"/>
  </r>
  <r>
    <n v="3245"/>
    <x v="327"/>
    <s v="Sales invoice issued"/>
    <x v="273"/>
    <s v="3531.18"/>
    <x v="3"/>
    <x v="2"/>
  </r>
  <r>
    <n v="3245"/>
    <x v="327"/>
    <s v="Sales invoice issued"/>
    <x v="273"/>
    <s v="264.84"/>
    <x v="4"/>
    <x v="3"/>
  </r>
  <r>
    <n v="3246"/>
    <x v="327"/>
    <s v="Customer payment received"/>
    <x v="1203"/>
    <s v="0.0"/>
    <x v="0"/>
    <x v="0"/>
  </r>
  <r>
    <n v="3246"/>
    <x v="327"/>
    <s v="Customer payment received"/>
    <x v="273"/>
    <s v="3193.53"/>
    <x v="2"/>
    <x v="0"/>
  </r>
  <r>
    <n v="3247"/>
    <x v="327"/>
    <s v="Customer payment received"/>
    <x v="1240"/>
    <s v="0.0"/>
    <x v="0"/>
    <x v="0"/>
  </r>
  <r>
    <n v="3247"/>
    <x v="327"/>
    <s v="Customer payment received"/>
    <x v="273"/>
    <s v="2732.31"/>
    <x v="2"/>
    <x v="0"/>
  </r>
  <r>
    <n v="3248"/>
    <x v="327"/>
    <s v="Customer payment received"/>
    <x v="508"/>
    <s v="0.0"/>
    <x v="0"/>
    <x v="0"/>
  </r>
  <r>
    <n v="3248"/>
    <x v="327"/>
    <s v="Customer payment received"/>
    <x v="273"/>
    <s v="152.16"/>
    <x v="2"/>
    <x v="0"/>
  </r>
  <r>
    <n v="3249"/>
    <x v="327"/>
    <s v="Customer payment received"/>
    <x v="1326"/>
    <s v="0.0"/>
    <x v="0"/>
    <x v="0"/>
  </r>
  <r>
    <n v="3249"/>
    <x v="327"/>
    <s v="Customer payment received"/>
    <x v="273"/>
    <s v="1793.58"/>
    <x v="2"/>
    <x v="0"/>
  </r>
  <r>
    <n v="3250"/>
    <x v="327"/>
    <s v="Customer payment received"/>
    <x v="1353"/>
    <s v="0.0"/>
    <x v="0"/>
    <x v="0"/>
  </r>
  <r>
    <n v="3250"/>
    <x v="327"/>
    <s v="Customer payment received"/>
    <x v="273"/>
    <s v="2813.22"/>
    <x v="2"/>
    <x v="0"/>
  </r>
  <r>
    <n v="3251"/>
    <x v="327"/>
    <s v="Customer payment received"/>
    <x v="1393"/>
    <s v="0.0"/>
    <x v="0"/>
    <x v="0"/>
  </r>
  <r>
    <n v="3251"/>
    <x v="327"/>
    <s v="Customer payment received"/>
    <x v="273"/>
    <s v="72.65"/>
    <x v="2"/>
    <x v="0"/>
  </r>
  <r>
    <n v="3252"/>
    <x v="327"/>
    <s v="Customer payment received"/>
    <x v="1374"/>
    <s v="0.0"/>
    <x v="0"/>
    <x v="0"/>
  </r>
  <r>
    <n v="3252"/>
    <x v="327"/>
    <s v="Customer payment received"/>
    <x v="273"/>
    <s v="1883.8"/>
    <x v="2"/>
    <x v="0"/>
  </r>
  <r>
    <n v="3253"/>
    <x v="327"/>
    <s v="Supplier invoice received"/>
    <x v="383"/>
    <s v="0.0"/>
    <x v="9"/>
    <x v="4"/>
  </r>
  <r>
    <n v="3253"/>
    <x v="327"/>
    <s v="Supplier invoice received"/>
    <x v="384"/>
    <s v="0.0"/>
    <x v="10"/>
    <x v="0"/>
  </r>
  <r>
    <n v="3253"/>
    <x v="327"/>
    <s v="Supplier invoice received"/>
    <x v="273"/>
    <s v="3868.8"/>
    <x v="11"/>
    <x v="3"/>
  </r>
  <r>
    <n v="3254"/>
    <x v="327"/>
    <s v="Supplier invoice received"/>
    <x v="325"/>
    <s v="0.0"/>
    <x v="9"/>
    <x v="4"/>
  </r>
  <r>
    <n v="3254"/>
    <x v="327"/>
    <s v="Supplier invoice received"/>
    <x v="326"/>
    <s v="0.0"/>
    <x v="10"/>
    <x v="0"/>
  </r>
  <r>
    <n v="3254"/>
    <x v="327"/>
    <s v="Supplier invoice received"/>
    <x v="273"/>
    <s v="1304.62"/>
    <x v="11"/>
    <x v="3"/>
  </r>
  <r>
    <n v="3255"/>
    <x v="328"/>
    <s v="Sales invoice issued"/>
    <x v="922"/>
    <s v="0.0"/>
    <x v="2"/>
    <x v="0"/>
  </r>
  <r>
    <n v="3255"/>
    <x v="328"/>
    <s v="Sales invoice issued"/>
    <x v="273"/>
    <s v="114.93"/>
    <x v="3"/>
    <x v="2"/>
  </r>
  <r>
    <n v="3255"/>
    <x v="328"/>
    <s v="Sales invoice issued"/>
    <x v="273"/>
    <s v="8.62"/>
    <x v="4"/>
    <x v="3"/>
  </r>
  <r>
    <n v="3256"/>
    <x v="328"/>
    <s v="Sales invoice issued"/>
    <x v="1394"/>
    <s v="0.0"/>
    <x v="2"/>
    <x v="0"/>
  </r>
  <r>
    <n v="3256"/>
    <x v="328"/>
    <s v="Sales invoice issued"/>
    <x v="273"/>
    <s v="5488.73"/>
    <x v="3"/>
    <x v="2"/>
  </r>
  <r>
    <n v="3256"/>
    <x v="328"/>
    <s v="Sales invoice issued"/>
    <x v="273"/>
    <s v="411.65"/>
    <x v="4"/>
    <x v="3"/>
  </r>
  <r>
    <n v="3257"/>
    <x v="328"/>
    <s v="Sales invoice issued"/>
    <x v="1395"/>
    <s v="0.0"/>
    <x v="2"/>
    <x v="0"/>
  </r>
  <r>
    <n v="3257"/>
    <x v="328"/>
    <s v="Sales invoice issued"/>
    <x v="273"/>
    <s v="5403.27"/>
    <x v="3"/>
    <x v="2"/>
  </r>
  <r>
    <n v="3257"/>
    <x v="328"/>
    <s v="Sales invoice issued"/>
    <x v="273"/>
    <s v="405.25"/>
    <x v="4"/>
    <x v="3"/>
  </r>
  <r>
    <n v="3258"/>
    <x v="328"/>
    <s v="Sales invoice issued"/>
    <x v="1396"/>
    <s v="0.0"/>
    <x v="2"/>
    <x v="0"/>
  </r>
  <r>
    <n v="3258"/>
    <x v="328"/>
    <s v="Sales invoice issued"/>
    <x v="273"/>
    <s v="1786.2"/>
    <x v="3"/>
    <x v="2"/>
  </r>
  <r>
    <n v="3258"/>
    <x v="328"/>
    <s v="Sales invoice issued"/>
    <x v="273"/>
    <s v="133.97"/>
    <x v="4"/>
    <x v="3"/>
  </r>
  <r>
    <n v="3259"/>
    <x v="328"/>
    <s v="Sales invoice issued"/>
    <x v="1397"/>
    <s v="0.0"/>
    <x v="2"/>
    <x v="0"/>
  </r>
  <r>
    <n v="3259"/>
    <x v="328"/>
    <s v="Sales invoice issued"/>
    <x v="273"/>
    <s v="314.42"/>
    <x v="3"/>
    <x v="2"/>
  </r>
  <r>
    <n v="3259"/>
    <x v="328"/>
    <s v="Sales invoice issued"/>
    <x v="273"/>
    <s v="23.58"/>
    <x v="4"/>
    <x v="3"/>
  </r>
  <r>
    <n v="3260"/>
    <x v="328"/>
    <s v="Customer payment received"/>
    <x v="1175"/>
    <s v="0.0"/>
    <x v="0"/>
    <x v="0"/>
  </r>
  <r>
    <n v="3260"/>
    <x v="328"/>
    <s v="Customer payment received"/>
    <x v="273"/>
    <s v="1397.76"/>
    <x v="2"/>
    <x v="0"/>
  </r>
  <r>
    <n v="3261"/>
    <x v="328"/>
    <s v="Customer payment received"/>
    <x v="1213"/>
    <s v="0.0"/>
    <x v="0"/>
    <x v="0"/>
  </r>
  <r>
    <n v="3261"/>
    <x v="328"/>
    <s v="Customer payment received"/>
    <x v="273"/>
    <s v="93.27"/>
    <x v="2"/>
    <x v="0"/>
  </r>
  <r>
    <n v="3262"/>
    <x v="328"/>
    <s v="Customer payment received"/>
    <x v="1228"/>
    <s v="0.0"/>
    <x v="0"/>
    <x v="0"/>
  </r>
  <r>
    <n v="3262"/>
    <x v="328"/>
    <s v="Customer payment received"/>
    <x v="273"/>
    <s v="1640.47"/>
    <x v="2"/>
    <x v="0"/>
  </r>
  <r>
    <n v="3263"/>
    <x v="328"/>
    <s v="Customer payment received"/>
    <x v="1309"/>
    <s v="0.0"/>
    <x v="0"/>
    <x v="0"/>
  </r>
  <r>
    <n v="3263"/>
    <x v="328"/>
    <s v="Customer payment received"/>
    <x v="273"/>
    <s v="3423.69"/>
    <x v="2"/>
    <x v="0"/>
  </r>
  <r>
    <n v="3264"/>
    <x v="328"/>
    <s v="Customer payment received"/>
    <x v="1332"/>
    <s v="0.0"/>
    <x v="0"/>
    <x v="0"/>
  </r>
  <r>
    <n v="3264"/>
    <x v="328"/>
    <s v="Customer payment received"/>
    <x v="273"/>
    <s v="4305.8"/>
    <x v="2"/>
    <x v="0"/>
  </r>
  <r>
    <n v="3265"/>
    <x v="328"/>
    <s v="Customer payment received"/>
    <x v="1376"/>
    <s v="0.0"/>
    <x v="0"/>
    <x v="0"/>
  </r>
  <r>
    <n v="3265"/>
    <x v="328"/>
    <s v="Customer payment received"/>
    <x v="273"/>
    <s v="2660.25"/>
    <x v="2"/>
    <x v="0"/>
  </r>
  <r>
    <n v="3266"/>
    <x v="328"/>
    <s v="Customer payment received"/>
    <x v="1387"/>
    <s v="0.0"/>
    <x v="0"/>
    <x v="0"/>
  </r>
  <r>
    <n v="3266"/>
    <x v="328"/>
    <s v="Customer payment received"/>
    <x v="273"/>
    <s v="443.43"/>
    <x v="2"/>
    <x v="0"/>
  </r>
  <r>
    <n v="3267"/>
    <x v="328"/>
    <s v="Customer payment received"/>
    <x v="1389"/>
    <s v="0.0"/>
    <x v="0"/>
    <x v="0"/>
  </r>
  <r>
    <n v="3267"/>
    <x v="328"/>
    <s v="Customer payment received"/>
    <x v="273"/>
    <s v="352.12"/>
    <x v="2"/>
    <x v="0"/>
  </r>
  <r>
    <n v="3268"/>
    <x v="328"/>
    <s v="Supplier invoice received"/>
    <x v="284"/>
    <s v="0.0"/>
    <x v="9"/>
    <x v="4"/>
  </r>
  <r>
    <n v="3268"/>
    <x v="328"/>
    <s v="Supplier invoice received"/>
    <x v="285"/>
    <s v="0.0"/>
    <x v="10"/>
    <x v="0"/>
  </r>
  <r>
    <n v="3268"/>
    <x v="328"/>
    <s v="Supplier invoice received"/>
    <x v="273"/>
    <s v="9336.67"/>
    <x v="11"/>
    <x v="3"/>
  </r>
  <r>
    <n v="3269"/>
    <x v="328"/>
    <s v="Supplier invoice received"/>
    <x v="448"/>
    <s v="0.0"/>
    <x v="9"/>
    <x v="4"/>
  </r>
  <r>
    <n v="3269"/>
    <x v="328"/>
    <s v="Supplier invoice received"/>
    <x v="449"/>
    <s v="0.0"/>
    <x v="10"/>
    <x v="0"/>
  </r>
  <r>
    <n v="3269"/>
    <x v="328"/>
    <s v="Supplier invoice received"/>
    <x v="273"/>
    <s v="7227.44"/>
    <x v="11"/>
    <x v="3"/>
  </r>
  <r>
    <n v="3270"/>
    <x v="328"/>
    <s v="Supplier invoice received"/>
    <x v="299"/>
    <s v="0.0"/>
    <x v="9"/>
    <x v="4"/>
  </r>
  <r>
    <n v="3270"/>
    <x v="328"/>
    <s v="Supplier invoice received"/>
    <x v="300"/>
    <s v="0.0"/>
    <x v="10"/>
    <x v="0"/>
  </r>
  <r>
    <n v="3270"/>
    <x v="328"/>
    <s v="Supplier invoice received"/>
    <x v="273"/>
    <s v="2918.17"/>
    <x v="11"/>
    <x v="3"/>
  </r>
  <r>
    <n v="3271"/>
    <x v="329"/>
    <s v="Sales invoice issued"/>
    <x v="1398"/>
    <s v="0.0"/>
    <x v="2"/>
    <x v="0"/>
  </r>
  <r>
    <n v="3271"/>
    <x v="329"/>
    <s v="Sales invoice issued"/>
    <x v="273"/>
    <s v="3228.35"/>
    <x v="3"/>
    <x v="2"/>
  </r>
  <r>
    <n v="3271"/>
    <x v="329"/>
    <s v="Sales invoice issued"/>
    <x v="273"/>
    <s v="242.13"/>
    <x v="4"/>
    <x v="3"/>
  </r>
  <r>
    <n v="3272"/>
    <x v="329"/>
    <s v="Sales invoice issued"/>
    <x v="1399"/>
    <s v="0.0"/>
    <x v="2"/>
    <x v="0"/>
  </r>
  <r>
    <n v="3272"/>
    <x v="329"/>
    <s v="Sales invoice issued"/>
    <x v="273"/>
    <s v="758.03"/>
    <x v="3"/>
    <x v="2"/>
  </r>
  <r>
    <n v="3272"/>
    <x v="329"/>
    <s v="Sales invoice issued"/>
    <x v="273"/>
    <s v="56.86"/>
    <x v="4"/>
    <x v="3"/>
  </r>
  <r>
    <n v="3273"/>
    <x v="329"/>
    <s v="Sales invoice issued"/>
    <x v="1400"/>
    <s v="0.0"/>
    <x v="2"/>
    <x v="0"/>
  </r>
  <r>
    <n v="3273"/>
    <x v="329"/>
    <s v="Sales invoice issued"/>
    <x v="273"/>
    <s v="1785.35"/>
    <x v="3"/>
    <x v="2"/>
  </r>
  <r>
    <n v="3273"/>
    <x v="329"/>
    <s v="Sales invoice issued"/>
    <x v="273"/>
    <s v="133.9"/>
    <x v="4"/>
    <x v="3"/>
  </r>
  <r>
    <n v="3274"/>
    <x v="329"/>
    <s v="Customer payment received"/>
    <x v="1401"/>
    <s v="0.0"/>
    <x v="0"/>
    <x v="0"/>
  </r>
  <r>
    <n v="3274"/>
    <x v="329"/>
    <s v="Customer payment received"/>
    <x v="273"/>
    <s v="116.14"/>
    <x v="2"/>
    <x v="0"/>
  </r>
  <r>
    <n v="3275"/>
    <x v="329"/>
    <s v="Customer payment received"/>
    <x v="1399"/>
    <s v="0.0"/>
    <x v="0"/>
    <x v="0"/>
  </r>
  <r>
    <n v="3275"/>
    <x v="329"/>
    <s v="Customer payment received"/>
    <x v="273"/>
    <s v="814.89"/>
    <x v="2"/>
    <x v="0"/>
  </r>
  <r>
    <n v="3276"/>
    <x v="329"/>
    <s v="Supplier payment made"/>
    <x v="353"/>
    <s v="0.0"/>
    <x v="11"/>
    <x v="3"/>
  </r>
  <r>
    <n v="3276"/>
    <x v="329"/>
    <s v="Supplier payment made"/>
    <x v="273"/>
    <s v="2918.17"/>
    <x v="0"/>
    <x v="0"/>
  </r>
  <r>
    <n v="3277"/>
    <x v="330"/>
    <s v="Sales invoice issued"/>
    <x v="1402"/>
    <s v="0.0"/>
    <x v="2"/>
    <x v="0"/>
  </r>
  <r>
    <n v="3277"/>
    <x v="330"/>
    <s v="Sales invoice issued"/>
    <x v="273"/>
    <s v="1411.44"/>
    <x v="3"/>
    <x v="2"/>
  </r>
  <r>
    <n v="3277"/>
    <x v="330"/>
    <s v="Sales invoice issued"/>
    <x v="273"/>
    <s v="105.85"/>
    <x v="4"/>
    <x v="3"/>
  </r>
  <r>
    <n v="3278"/>
    <x v="330"/>
    <s v="Sales invoice issued"/>
    <x v="1403"/>
    <s v="0.0"/>
    <x v="2"/>
    <x v="0"/>
  </r>
  <r>
    <n v="3278"/>
    <x v="330"/>
    <s v="Sales invoice issued"/>
    <x v="273"/>
    <s v="864.52"/>
    <x v="3"/>
    <x v="2"/>
  </r>
  <r>
    <n v="3278"/>
    <x v="330"/>
    <s v="Sales invoice issued"/>
    <x v="273"/>
    <s v="64.83"/>
    <x v="4"/>
    <x v="3"/>
  </r>
  <r>
    <n v="3279"/>
    <x v="330"/>
    <s v="Sales invoice issued"/>
    <x v="1404"/>
    <s v="0.0"/>
    <x v="2"/>
    <x v="0"/>
  </r>
  <r>
    <n v="3279"/>
    <x v="330"/>
    <s v="Sales invoice issued"/>
    <x v="273"/>
    <s v="2982.26"/>
    <x v="3"/>
    <x v="2"/>
  </r>
  <r>
    <n v="3279"/>
    <x v="330"/>
    <s v="Sales invoice issued"/>
    <x v="273"/>
    <s v="223.67"/>
    <x v="4"/>
    <x v="3"/>
  </r>
  <r>
    <n v="3280"/>
    <x v="330"/>
    <s v="Sales invoice issued"/>
    <x v="1405"/>
    <s v="0.0"/>
    <x v="2"/>
    <x v="0"/>
  </r>
  <r>
    <n v="3280"/>
    <x v="330"/>
    <s v="Sales invoice issued"/>
    <x v="273"/>
    <s v="1450.16"/>
    <x v="3"/>
    <x v="2"/>
  </r>
  <r>
    <n v="3280"/>
    <x v="330"/>
    <s v="Sales invoice issued"/>
    <x v="273"/>
    <s v="108.76"/>
    <x v="4"/>
    <x v="3"/>
  </r>
  <r>
    <n v="3281"/>
    <x v="330"/>
    <s v="Sales invoice issued"/>
    <x v="1406"/>
    <s v="0.0"/>
    <x v="2"/>
    <x v="0"/>
  </r>
  <r>
    <n v="3281"/>
    <x v="330"/>
    <s v="Sales invoice issued"/>
    <x v="273"/>
    <s v="1259.0"/>
    <x v="3"/>
    <x v="2"/>
  </r>
  <r>
    <n v="3281"/>
    <x v="330"/>
    <s v="Sales invoice issued"/>
    <x v="273"/>
    <s v="94.42"/>
    <x v="4"/>
    <x v="3"/>
  </r>
  <r>
    <n v="3282"/>
    <x v="330"/>
    <s v="Sales invoice issued"/>
    <x v="1407"/>
    <s v="0.0"/>
    <x v="2"/>
    <x v="0"/>
  </r>
  <r>
    <n v="3282"/>
    <x v="330"/>
    <s v="Sales invoice issued"/>
    <x v="273"/>
    <s v="5485.38"/>
    <x v="3"/>
    <x v="2"/>
  </r>
  <r>
    <n v="3282"/>
    <x v="330"/>
    <s v="Sales invoice issued"/>
    <x v="273"/>
    <s v="411.4"/>
    <x v="4"/>
    <x v="3"/>
  </r>
  <r>
    <n v="3283"/>
    <x v="330"/>
    <s v="Sales invoice issued"/>
    <x v="1408"/>
    <s v="0.0"/>
    <x v="2"/>
    <x v="0"/>
  </r>
  <r>
    <n v="3283"/>
    <x v="330"/>
    <s v="Sales invoice issued"/>
    <x v="273"/>
    <s v="1789.42"/>
    <x v="3"/>
    <x v="2"/>
  </r>
  <r>
    <n v="3283"/>
    <x v="330"/>
    <s v="Sales invoice issued"/>
    <x v="273"/>
    <s v="134.21"/>
    <x v="4"/>
    <x v="3"/>
  </r>
  <r>
    <n v="3284"/>
    <x v="330"/>
    <s v="Customer payment received"/>
    <x v="1242"/>
    <s v="0.0"/>
    <x v="0"/>
    <x v="0"/>
  </r>
  <r>
    <n v="3284"/>
    <x v="330"/>
    <s v="Customer payment received"/>
    <x v="273"/>
    <s v="2270.83"/>
    <x v="2"/>
    <x v="0"/>
  </r>
  <r>
    <n v="3285"/>
    <x v="330"/>
    <s v="Customer payment received"/>
    <x v="1262"/>
    <s v="0.0"/>
    <x v="0"/>
    <x v="0"/>
  </r>
  <r>
    <n v="3285"/>
    <x v="330"/>
    <s v="Customer payment received"/>
    <x v="273"/>
    <s v="3880.81"/>
    <x v="2"/>
    <x v="0"/>
  </r>
  <r>
    <n v="3286"/>
    <x v="330"/>
    <s v="Customer payment received"/>
    <x v="1276"/>
    <s v="0.0"/>
    <x v="0"/>
    <x v="0"/>
  </r>
  <r>
    <n v="3286"/>
    <x v="330"/>
    <s v="Customer payment received"/>
    <x v="273"/>
    <s v="4682.41"/>
    <x v="2"/>
    <x v="0"/>
  </r>
  <r>
    <n v="3287"/>
    <x v="330"/>
    <s v="Customer payment received"/>
    <x v="1361"/>
    <s v="0.0"/>
    <x v="0"/>
    <x v="0"/>
  </r>
  <r>
    <n v="3287"/>
    <x v="330"/>
    <s v="Customer payment received"/>
    <x v="273"/>
    <s v="3693.41"/>
    <x v="2"/>
    <x v="0"/>
  </r>
  <r>
    <n v="3288"/>
    <x v="330"/>
    <s v="Customer payment received"/>
    <x v="1384"/>
    <s v="0.0"/>
    <x v="0"/>
    <x v="0"/>
  </r>
  <r>
    <n v="3288"/>
    <x v="330"/>
    <s v="Customer payment received"/>
    <x v="273"/>
    <s v="1501.18"/>
    <x v="2"/>
    <x v="0"/>
  </r>
  <r>
    <n v="3289"/>
    <x v="330"/>
    <s v="Customer payment received"/>
    <x v="1391"/>
    <s v="0.0"/>
    <x v="0"/>
    <x v="0"/>
  </r>
  <r>
    <n v="3289"/>
    <x v="330"/>
    <s v="Customer payment received"/>
    <x v="273"/>
    <s v="5613.73"/>
    <x v="2"/>
    <x v="0"/>
  </r>
  <r>
    <n v="3290"/>
    <x v="330"/>
    <s v="Customer payment received"/>
    <x v="1402"/>
    <s v="0.0"/>
    <x v="0"/>
    <x v="0"/>
  </r>
  <r>
    <n v="3290"/>
    <x v="330"/>
    <s v="Customer payment received"/>
    <x v="273"/>
    <s v="1517.29"/>
    <x v="2"/>
    <x v="0"/>
  </r>
  <r>
    <n v="3291"/>
    <x v="330"/>
    <s v="Customer payment received"/>
    <x v="1404"/>
    <s v="0.0"/>
    <x v="0"/>
    <x v="0"/>
  </r>
  <r>
    <n v="3291"/>
    <x v="330"/>
    <s v="Customer payment received"/>
    <x v="273"/>
    <s v="3205.93"/>
    <x v="2"/>
    <x v="0"/>
  </r>
  <r>
    <n v="3292"/>
    <x v="330"/>
    <s v="Supplier invoice received"/>
    <x v="330"/>
    <s v="0.0"/>
    <x v="9"/>
    <x v="4"/>
  </r>
  <r>
    <n v="3292"/>
    <x v="330"/>
    <s v="Supplier invoice received"/>
    <x v="331"/>
    <s v="0.0"/>
    <x v="10"/>
    <x v="0"/>
  </r>
  <r>
    <n v="3292"/>
    <x v="330"/>
    <s v="Supplier invoice received"/>
    <x v="273"/>
    <s v="1935.04"/>
    <x v="11"/>
    <x v="3"/>
  </r>
  <r>
    <n v="3293"/>
    <x v="330"/>
    <s v="Supplier invoice received"/>
    <x v="301"/>
    <s v="0.0"/>
    <x v="9"/>
    <x v="4"/>
  </r>
  <r>
    <n v="3293"/>
    <x v="330"/>
    <s v="Supplier invoice received"/>
    <x v="302"/>
    <s v="0.0"/>
    <x v="10"/>
    <x v="0"/>
  </r>
  <r>
    <n v="3293"/>
    <x v="330"/>
    <s v="Supplier invoice received"/>
    <x v="273"/>
    <s v="4812.46"/>
    <x v="11"/>
    <x v="3"/>
  </r>
  <r>
    <n v="3294"/>
    <x v="330"/>
    <s v="Supplier invoice received"/>
    <x v="443"/>
    <s v="0.0"/>
    <x v="9"/>
    <x v="4"/>
  </r>
  <r>
    <n v="3294"/>
    <x v="330"/>
    <s v="Supplier invoice received"/>
    <x v="444"/>
    <s v="0.0"/>
    <x v="10"/>
    <x v="0"/>
  </r>
  <r>
    <n v="3294"/>
    <x v="330"/>
    <s v="Supplier invoice received"/>
    <x v="273"/>
    <s v="748.26"/>
    <x v="11"/>
    <x v="3"/>
  </r>
  <r>
    <n v="3295"/>
    <x v="330"/>
    <s v="Supplier invoice received"/>
    <x v="307"/>
    <s v="0.0"/>
    <x v="9"/>
    <x v="4"/>
  </r>
  <r>
    <n v="3295"/>
    <x v="330"/>
    <s v="Supplier invoice received"/>
    <x v="308"/>
    <s v="0.0"/>
    <x v="10"/>
    <x v="0"/>
  </r>
  <r>
    <n v="3295"/>
    <x v="330"/>
    <s v="Supplier invoice received"/>
    <x v="273"/>
    <s v="2093.28"/>
    <x v="11"/>
    <x v="3"/>
  </r>
  <r>
    <n v="3296"/>
    <x v="330"/>
    <s v="Supplier invoice received"/>
    <x v="441"/>
    <s v="0.0"/>
    <x v="9"/>
    <x v="4"/>
  </r>
  <r>
    <n v="3296"/>
    <x v="330"/>
    <s v="Supplier invoice received"/>
    <x v="442"/>
    <s v="0.0"/>
    <x v="10"/>
    <x v="0"/>
  </r>
  <r>
    <n v="3296"/>
    <x v="330"/>
    <s v="Supplier invoice received"/>
    <x v="273"/>
    <s v="179.01"/>
    <x v="11"/>
    <x v="3"/>
  </r>
  <r>
    <n v="3297"/>
    <x v="330"/>
    <s v="Supplier payment made"/>
    <x v="309"/>
    <s v="0.0"/>
    <x v="11"/>
    <x v="3"/>
  </r>
  <r>
    <n v="3297"/>
    <x v="330"/>
    <s v="Supplier payment made"/>
    <x v="273"/>
    <s v="4812.46"/>
    <x v="0"/>
    <x v="0"/>
  </r>
  <r>
    <n v="3298"/>
    <x v="331"/>
    <s v="Sales invoice issued"/>
    <x v="1409"/>
    <s v="0.0"/>
    <x v="2"/>
    <x v="0"/>
  </r>
  <r>
    <n v="3298"/>
    <x v="331"/>
    <s v="Sales invoice issued"/>
    <x v="273"/>
    <s v="3187.3"/>
    <x v="3"/>
    <x v="2"/>
  </r>
  <r>
    <n v="3298"/>
    <x v="331"/>
    <s v="Sales invoice issued"/>
    <x v="273"/>
    <s v="239.04"/>
    <x v="4"/>
    <x v="3"/>
  </r>
  <r>
    <n v="3299"/>
    <x v="331"/>
    <s v="Sales invoice issued"/>
    <x v="1410"/>
    <s v="0.0"/>
    <x v="2"/>
    <x v="0"/>
  </r>
  <r>
    <n v="3299"/>
    <x v="331"/>
    <s v="Sales invoice issued"/>
    <x v="273"/>
    <s v="4311.66"/>
    <x v="3"/>
    <x v="2"/>
  </r>
  <r>
    <n v="3299"/>
    <x v="331"/>
    <s v="Sales invoice issued"/>
    <x v="273"/>
    <s v="323.38"/>
    <x v="4"/>
    <x v="3"/>
  </r>
  <r>
    <n v="3300"/>
    <x v="331"/>
    <s v="Sales invoice issued"/>
    <x v="1411"/>
    <s v="0.0"/>
    <x v="2"/>
    <x v="0"/>
  </r>
  <r>
    <n v="3300"/>
    <x v="331"/>
    <s v="Sales invoice issued"/>
    <x v="273"/>
    <s v="3930.19"/>
    <x v="3"/>
    <x v="2"/>
  </r>
  <r>
    <n v="3300"/>
    <x v="331"/>
    <s v="Sales invoice issued"/>
    <x v="273"/>
    <s v="294.77"/>
    <x v="4"/>
    <x v="3"/>
  </r>
  <r>
    <n v="3301"/>
    <x v="331"/>
    <s v="Sales invoice issued"/>
    <x v="1412"/>
    <s v="0.0"/>
    <x v="2"/>
    <x v="0"/>
  </r>
  <r>
    <n v="3301"/>
    <x v="331"/>
    <s v="Sales invoice issued"/>
    <x v="273"/>
    <s v="2189.66"/>
    <x v="3"/>
    <x v="2"/>
  </r>
  <r>
    <n v="3301"/>
    <x v="331"/>
    <s v="Sales invoice issued"/>
    <x v="273"/>
    <s v="164.22"/>
    <x v="4"/>
    <x v="3"/>
  </r>
  <r>
    <n v="3302"/>
    <x v="331"/>
    <s v="Sales invoice issued"/>
    <x v="1413"/>
    <s v="0.0"/>
    <x v="2"/>
    <x v="0"/>
  </r>
  <r>
    <n v="3302"/>
    <x v="331"/>
    <s v="Sales invoice issued"/>
    <x v="273"/>
    <s v="2233.38"/>
    <x v="3"/>
    <x v="2"/>
  </r>
  <r>
    <n v="3302"/>
    <x v="331"/>
    <s v="Sales invoice issued"/>
    <x v="273"/>
    <s v="167.51"/>
    <x v="4"/>
    <x v="3"/>
  </r>
  <r>
    <n v="3303"/>
    <x v="331"/>
    <s v="Sales invoice issued"/>
    <x v="1414"/>
    <s v="0.0"/>
    <x v="2"/>
    <x v="0"/>
  </r>
  <r>
    <n v="3303"/>
    <x v="331"/>
    <s v="Sales invoice issued"/>
    <x v="273"/>
    <s v="1938.6"/>
    <x v="3"/>
    <x v="2"/>
  </r>
  <r>
    <n v="3303"/>
    <x v="331"/>
    <s v="Sales invoice issued"/>
    <x v="273"/>
    <s v="145.39"/>
    <x v="4"/>
    <x v="3"/>
  </r>
  <r>
    <n v="3304"/>
    <x v="331"/>
    <s v="Sales invoice issued"/>
    <x v="1415"/>
    <s v="0.0"/>
    <x v="2"/>
    <x v="0"/>
  </r>
  <r>
    <n v="3304"/>
    <x v="331"/>
    <s v="Sales invoice issued"/>
    <x v="273"/>
    <s v="860.11"/>
    <x v="3"/>
    <x v="2"/>
  </r>
  <r>
    <n v="3304"/>
    <x v="331"/>
    <s v="Sales invoice issued"/>
    <x v="273"/>
    <s v="64.5"/>
    <x v="4"/>
    <x v="3"/>
  </r>
  <r>
    <n v="3305"/>
    <x v="331"/>
    <s v="Customer payment received"/>
    <x v="1252"/>
    <s v="0.0"/>
    <x v="0"/>
    <x v="0"/>
  </r>
  <r>
    <n v="3305"/>
    <x v="331"/>
    <s v="Customer payment received"/>
    <x v="273"/>
    <s v="1478.08"/>
    <x v="2"/>
    <x v="0"/>
  </r>
  <r>
    <n v="3306"/>
    <x v="331"/>
    <s v="Customer payment received"/>
    <x v="1288"/>
    <s v="0.0"/>
    <x v="0"/>
    <x v="0"/>
  </r>
  <r>
    <n v="3306"/>
    <x v="331"/>
    <s v="Customer payment received"/>
    <x v="273"/>
    <s v="637.97"/>
    <x v="2"/>
    <x v="0"/>
  </r>
  <r>
    <n v="3307"/>
    <x v="331"/>
    <s v="Customer payment received"/>
    <x v="1416"/>
    <s v="0.0"/>
    <x v="0"/>
    <x v="0"/>
  </r>
  <r>
    <n v="3307"/>
    <x v="331"/>
    <s v="Customer payment received"/>
    <x v="273"/>
    <s v="2511.75"/>
    <x v="2"/>
    <x v="0"/>
  </r>
  <r>
    <n v="3308"/>
    <x v="331"/>
    <s v="Customer payment received"/>
    <x v="1368"/>
    <s v="0.0"/>
    <x v="0"/>
    <x v="0"/>
  </r>
  <r>
    <n v="3308"/>
    <x v="331"/>
    <s v="Customer payment received"/>
    <x v="273"/>
    <s v="803.74"/>
    <x v="2"/>
    <x v="0"/>
  </r>
  <r>
    <n v="3309"/>
    <x v="331"/>
    <s v="Customer payment received"/>
    <x v="1390"/>
    <s v="0.0"/>
    <x v="0"/>
    <x v="0"/>
  </r>
  <r>
    <n v="3309"/>
    <x v="331"/>
    <s v="Customer payment received"/>
    <x v="273"/>
    <s v="1060.91"/>
    <x v="2"/>
    <x v="0"/>
  </r>
  <r>
    <n v="3310"/>
    <x v="331"/>
    <s v="Supplier invoice received"/>
    <x v="445"/>
    <s v="0.0"/>
    <x v="9"/>
    <x v="4"/>
  </r>
  <r>
    <n v="3310"/>
    <x v="331"/>
    <s v="Supplier invoice received"/>
    <x v="446"/>
    <s v="0.0"/>
    <x v="10"/>
    <x v="0"/>
  </r>
  <r>
    <n v="3310"/>
    <x v="331"/>
    <s v="Supplier invoice received"/>
    <x v="273"/>
    <s v="1794.11"/>
    <x v="11"/>
    <x v="3"/>
  </r>
  <r>
    <n v="3311"/>
    <x v="331"/>
    <s v="Supplier payment made"/>
    <x v="496"/>
    <s v="0.0"/>
    <x v="11"/>
    <x v="3"/>
  </r>
  <r>
    <n v="3311"/>
    <x v="331"/>
    <s v="Supplier payment made"/>
    <x v="273"/>
    <s v="7227.44"/>
    <x v="0"/>
    <x v="0"/>
  </r>
  <r>
    <n v="3312"/>
    <x v="331"/>
    <s v="Supplier payment made"/>
    <x v="327"/>
    <s v="0.0"/>
    <x v="11"/>
    <x v="3"/>
  </r>
  <r>
    <n v="3312"/>
    <x v="331"/>
    <s v="Supplier payment made"/>
    <x v="273"/>
    <s v="1935.04"/>
    <x v="0"/>
    <x v="0"/>
  </r>
  <r>
    <n v="3313"/>
    <x v="332"/>
    <s v="Sales invoice issued"/>
    <x v="364"/>
    <s v="0.0"/>
    <x v="2"/>
    <x v="0"/>
  </r>
  <r>
    <n v="3313"/>
    <x v="332"/>
    <s v="Sales invoice issued"/>
    <x v="273"/>
    <s v="81.51"/>
    <x v="3"/>
    <x v="2"/>
  </r>
  <r>
    <n v="3313"/>
    <x v="332"/>
    <s v="Sales invoice issued"/>
    <x v="273"/>
    <s v="6.11"/>
    <x v="4"/>
    <x v="3"/>
  </r>
  <r>
    <n v="3314"/>
    <x v="332"/>
    <s v="Sales invoice issued"/>
    <x v="1417"/>
    <s v="0.0"/>
    <x v="2"/>
    <x v="0"/>
  </r>
  <r>
    <n v="3314"/>
    <x v="332"/>
    <s v="Sales invoice issued"/>
    <x v="273"/>
    <s v="614.82"/>
    <x v="3"/>
    <x v="2"/>
  </r>
  <r>
    <n v="3314"/>
    <x v="332"/>
    <s v="Sales invoice issued"/>
    <x v="273"/>
    <s v="46.11"/>
    <x v="4"/>
    <x v="3"/>
  </r>
  <r>
    <n v="3315"/>
    <x v="332"/>
    <s v="Sales invoice issued"/>
    <x v="1206"/>
    <s v="0.0"/>
    <x v="2"/>
    <x v="0"/>
  </r>
  <r>
    <n v="3315"/>
    <x v="332"/>
    <s v="Sales invoice issued"/>
    <x v="273"/>
    <s v="200.96"/>
    <x v="3"/>
    <x v="2"/>
  </r>
  <r>
    <n v="3315"/>
    <x v="332"/>
    <s v="Sales invoice issued"/>
    <x v="273"/>
    <s v="15.07"/>
    <x v="4"/>
    <x v="3"/>
  </r>
  <r>
    <n v="3316"/>
    <x v="332"/>
    <s v="Sales invoice issued"/>
    <x v="1418"/>
    <s v="0.0"/>
    <x v="2"/>
    <x v="0"/>
  </r>
  <r>
    <n v="3316"/>
    <x v="332"/>
    <s v="Sales invoice issued"/>
    <x v="273"/>
    <s v="1910.65"/>
    <x v="3"/>
    <x v="2"/>
  </r>
  <r>
    <n v="3316"/>
    <x v="332"/>
    <s v="Sales invoice issued"/>
    <x v="273"/>
    <s v="143.31"/>
    <x v="4"/>
    <x v="3"/>
  </r>
  <r>
    <n v="3317"/>
    <x v="332"/>
    <s v="Sales invoice issued"/>
    <x v="1419"/>
    <s v="0.0"/>
    <x v="2"/>
    <x v="0"/>
  </r>
  <r>
    <n v="3317"/>
    <x v="332"/>
    <s v="Sales invoice issued"/>
    <x v="273"/>
    <s v="4031.44"/>
    <x v="3"/>
    <x v="2"/>
  </r>
  <r>
    <n v="3317"/>
    <x v="332"/>
    <s v="Sales invoice issued"/>
    <x v="273"/>
    <s v="302.35"/>
    <x v="4"/>
    <x v="3"/>
  </r>
  <r>
    <n v="3318"/>
    <x v="332"/>
    <s v="Sales invoice issued"/>
    <x v="1420"/>
    <s v="0.0"/>
    <x v="2"/>
    <x v="0"/>
  </r>
  <r>
    <n v="3318"/>
    <x v="332"/>
    <s v="Sales invoice issued"/>
    <x v="273"/>
    <s v="2923.68"/>
    <x v="3"/>
    <x v="2"/>
  </r>
  <r>
    <n v="3318"/>
    <x v="332"/>
    <s v="Sales invoice issued"/>
    <x v="273"/>
    <s v="219.29"/>
    <x v="4"/>
    <x v="3"/>
  </r>
  <r>
    <n v="3319"/>
    <x v="332"/>
    <s v="Sales invoice issued"/>
    <x v="1421"/>
    <s v="0.0"/>
    <x v="2"/>
    <x v="0"/>
  </r>
  <r>
    <n v="3319"/>
    <x v="332"/>
    <s v="Sales invoice issued"/>
    <x v="273"/>
    <s v="3033.41"/>
    <x v="3"/>
    <x v="2"/>
  </r>
  <r>
    <n v="3319"/>
    <x v="332"/>
    <s v="Sales invoice issued"/>
    <x v="273"/>
    <s v="227.49"/>
    <x v="4"/>
    <x v="3"/>
  </r>
  <r>
    <n v="3320"/>
    <x v="332"/>
    <s v="Sales invoice issued"/>
    <x v="1422"/>
    <s v="0.0"/>
    <x v="2"/>
    <x v="0"/>
  </r>
  <r>
    <n v="3320"/>
    <x v="332"/>
    <s v="Sales invoice issued"/>
    <x v="273"/>
    <s v="2779.3"/>
    <x v="3"/>
    <x v="2"/>
  </r>
  <r>
    <n v="3320"/>
    <x v="332"/>
    <s v="Sales invoice issued"/>
    <x v="273"/>
    <s v="208.46"/>
    <x v="4"/>
    <x v="3"/>
  </r>
  <r>
    <n v="3321"/>
    <x v="332"/>
    <s v="Customer payment received"/>
    <x v="1241"/>
    <s v="0.0"/>
    <x v="0"/>
    <x v="0"/>
  </r>
  <r>
    <n v="3321"/>
    <x v="332"/>
    <s v="Customer payment received"/>
    <x v="273"/>
    <s v="45.9"/>
    <x v="2"/>
    <x v="0"/>
  </r>
  <r>
    <n v="3322"/>
    <x v="332"/>
    <s v="Customer payment received"/>
    <x v="1366"/>
    <s v="0.0"/>
    <x v="0"/>
    <x v="0"/>
  </r>
  <r>
    <n v="3322"/>
    <x v="332"/>
    <s v="Customer payment received"/>
    <x v="273"/>
    <s v="339.42"/>
    <x v="2"/>
    <x v="0"/>
  </r>
  <r>
    <n v="3323"/>
    <x v="332"/>
    <s v="Customer payment received"/>
    <x v="1418"/>
    <s v="0.0"/>
    <x v="0"/>
    <x v="0"/>
  </r>
  <r>
    <n v="3323"/>
    <x v="332"/>
    <s v="Customer payment received"/>
    <x v="273"/>
    <s v="2053.96"/>
    <x v="2"/>
    <x v="0"/>
  </r>
  <r>
    <n v="3324"/>
    <x v="332"/>
    <s v="Supplier payment made"/>
    <x v="351"/>
    <s v="0.0"/>
    <x v="11"/>
    <x v="3"/>
  </r>
  <r>
    <n v="3324"/>
    <x v="332"/>
    <s v="Supplier payment made"/>
    <x v="273"/>
    <s v="179.01"/>
    <x v="0"/>
    <x v="0"/>
  </r>
  <r>
    <n v="3325"/>
    <x v="333"/>
    <s v="Payroll processed"/>
    <x v="535"/>
    <s v="0.0"/>
    <x v="5"/>
    <x v="4"/>
  </r>
  <r>
    <n v="3325"/>
    <x v="333"/>
    <s v="Payroll processed"/>
    <x v="536"/>
    <s v="0.0"/>
    <x v="6"/>
    <x v="4"/>
  </r>
  <r>
    <n v="3325"/>
    <x v="333"/>
    <s v="Payroll processed"/>
    <x v="273"/>
    <s v="17968.47"/>
    <x v="0"/>
    <x v="0"/>
  </r>
  <r>
    <n v="3325"/>
    <x v="333"/>
    <s v="Payroll processed"/>
    <x v="273"/>
    <s v="4069.27"/>
    <x v="7"/>
    <x v="3"/>
  </r>
  <r>
    <n v="3325"/>
    <x v="333"/>
    <s v="Payroll processed"/>
    <x v="273"/>
    <s v="881.51"/>
    <x v="8"/>
    <x v="3"/>
  </r>
  <r>
    <n v="3326"/>
    <x v="333"/>
    <s v="Sales invoice issued"/>
    <x v="1423"/>
    <s v="0.0"/>
    <x v="2"/>
    <x v="0"/>
  </r>
  <r>
    <n v="3326"/>
    <x v="333"/>
    <s v="Sales invoice issued"/>
    <x v="273"/>
    <s v="3318.76"/>
    <x v="3"/>
    <x v="2"/>
  </r>
  <r>
    <n v="3326"/>
    <x v="333"/>
    <s v="Sales invoice issued"/>
    <x v="273"/>
    <s v="248.9"/>
    <x v="4"/>
    <x v="3"/>
  </r>
  <r>
    <n v="3327"/>
    <x v="333"/>
    <s v="Sales invoice issued"/>
    <x v="1424"/>
    <s v="0.0"/>
    <x v="2"/>
    <x v="0"/>
  </r>
  <r>
    <n v="3327"/>
    <x v="333"/>
    <s v="Sales invoice issued"/>
    <x v="273"/>
    <s v="4214.89"/>
    <x v="3"/>
    <x v="2"/>
  </r>
  <r>
    <n v="3327"/>
    <x v="333"/>
    <s v="Sales invoice issued"/>
    <x v="273"/>
    <s v="316.12"/>
    <x v="4"/>
    <x v="3"/>
  </r>
  <r>
    <n v="3328"/>
    <x v="333"/>
    <s v="Sales invoice issued"/>
    <x v="1425"/>
    <s v="0.0"/>
    <x v="2"/>
    <x v="0"/>
  </r>
  <r>
    <n v="3328"/>
    <x v="333"/>
    <s v="Sales invoice issued"/>
    <x v="273"/>
    <s v="3538.47"/>
    <x v="3"/>
    <x v="2"/>
  </r>
  <r>
    <n v="3328"/>
    <x v="333"/>
    <s v="Sales invoice issued"/>
    <x v="273"/>
    <s v="265.38"/>
    <x v="4"/>
    <x v="3"/>
  </r>
  <r>
    <n v="3329"/>
    <x v="333"/>
    <s v="Sales invoice issued"/>
    <x v="1426"/>
    <s v="0.0"/>
    <x v="2"/>
    <x v="0"/>
  </r>
  <r>
    <n v="3329"/>
    <x v="333"/>
    <s v="Sales invoice issued"/>
    <x v="273"/>
    <s v="3958.03"/>
    <x v="3"/>
    <x v="2"/>
  </r>
  <r>
    <n v="3329"/>
    <x v="333"/>
    <s v="Sales invoice issued"/>
    <x v="273"/>
    <s v="296.85"/>
    <x v="4"/>
    <x v="3"/>
  </r>
  <r>
    <n v="3330"/>
    <x v="333"/>
    <s v="Sales invoice issued"/>
    <x v="1427"/>
    <s v="0.0"/>
    <x v="2"/>
    <x v="0"/>
  </r>
  <r>
    <n v="3330"/>
    <x v="333"/>
    <s v="Sales invoice issued"/>
    <x v="273"/>
    <s v="1203.09"/>
    <x v="3"/>
    <x v="2"/>
  </r>
  <r>
    <n v="3330"/>
    <x v="333"/>
    <s v="Sales invoice issued"/>
    <x v="273"/>
    <s v="90.23"/>
    <x v="4"/>
    <x v="3"/>
  </r>
  <r>
    <n v="3331"/>
    <x v="333"/>
    <s v="Sales invoice issued"/>
    <x v="484"/>
    <s v="0.0"/>
    <x v="2"/>
    <x v="0"/>
  </r>
  <r>
    <n v="3331"/>
    <x v="333"/>
    <s v="Sales invoice issued"/>
    <x v="273"/>
    <s v="570.1"/>
    <x v="3"/>
    <x v="2"/>
  </r>
  <r>
    <n v="3331"/>
    <x v="333"/>
    <s v="Sales invoice issued"/>
    <x v="273"/>
    <s v="42.76"/>
    <x v="4"/>
    <x v="3"/>
  </r>
  <r>
    <n v="3332"/>
    <x v="333"/>
    <s v="Customer payment received"/>
    <x v="1428"/>
    <s v="0.0"/>
    <x v="0"/>
    <x v="0"/>
  </r>
  <r>
    <n v="3332"/>
    <x v="333"/>
    <s v="Customer payment received"/>
    <x v="273"/>
    <s v="2459.63"/>
    <x v="2"/>
    <x v="0"/>
  </r>
  <r>
    <n v="3333"/>
    <x v="333"/>
    <s v="Customer payment received"/>
    <x v="1345"/>
    <s v="0.0"/>
    <x v="0"/>
    <x v="0"/>
  </r>
  <r>
    <n v="3333"/>
    <x v="333"/>
    <s v="Customer payment received"/>
    <x v="273"/>
    <s v="247.1"/>
    <x v="2"/>
    <x v="0"/>
  </r>
  <r>
    <n v="3334"/>
    <x v="333"/>
    <s v="Customer payment received"/>
    <x v="1378"/>
    <s v="0.0"/>
    <x v="0"/>
    <x v="0"/>
  </r>
  <r>
    <n v="3334"/>
    <x v="333"/>
    <s v="Customer payment received"/>
    <x v="273"/>
    <s v="382.87"/>
    <x v="2"/>
    <x v="0"/>
  </r>
  <r>
    <n v="3335"/>
    <x v="333"/>
    <s v="Customer payment received"/>
    <x v="1383"/>
    <s v="0.0"/>
    <x v="0"/>
    <x v="0"/>
  </r>
  <r>
    <n v="3335"/>
    <x v="333"/>
    <s v="Customer payment received"/>
    <x v="273"/>
    <s v="1051.28"/>
    <x v="2"/>
    <x v="0"/>
  </r>
  <r>
    <n v="3336"/>
    <x v="333"/>
    <s v="Customer payment received"/>
    <x v="1397"/>
    <s v="0.0"/>
    <x v="0"/>
    <x v="0"/>
  </r>
  <r>
    <n v="3336"/>
    <x v="333"/>
    <s v="Customer payment received"/>
    <x v="273"/>
    <s v="338.0"/>
    <x v="2"/>
    <x v="0"/>
  </r>
  <r>
    <n v="3337"/>
    <x v="333"/>
    <s v="Customer payment received"/>
    <x v="1406"/>
    <s v="0.0"/>
    <x v="0"/>
    <x v="0"/>
  </r>
  <r>
    <n v="3337"/>
    <x v="333"/>
    <s v="Customer payment received"/>
    <x v="273"/>
    <s v="1353.42"/>
    <x v="2"/>
    <x v="0"/>
  </r>
  <r>
    <n v="3338"/>
    <x v="333"/>
    <s v="Customer payment received"/>
    <x v="1423"/>
    <s v="0.0"/>
    <x v="0"/>
    <x v="0"/>
  </r>
  <r>
    <n v="3338"/>
    <x v="333"/>
    <s v="Customer payment received"/>
    <x v="273"/>
    <s v="3567.66"/>
    <x v="2"/>
    <x v="0"/>
  </r>
  <r>
    <n v="3339"/>
    <x v="333"/>
    <s v="Customer payment received"/>
    <x v="1429"/>
    <s v="0.0"/>
    <x v="0"/>
    <x v="0"/>
  </r>
  <r>
    <n v="3339"/>
    <x v="333"/>
    <s v="Customer payment received"/>
    <x v="273"/>
    <s v="418.32"/>
    <x v="2"/>
    <x v="0"/>
  </r>
  <r>
    <n v="3340"/>
    <x v="333"/>
    <s v="Supplier invoice received"/>
    <x v="357"/>
    <s v="0.0"/>
    <x v="9"/>
    <x v="4"/>
  </r>
  <r>
    <n v="3340"/>
    <x v="333"/>
    <s v="Supplier invoice received"/>
    <x v="358"/>
    <s v="0.0"/>
    <x v="10"/>
    <x v="0"/>
  </r>
  <r>
    <n v="3340"/>
    <x v="333"/>
    <s v="Supplier invoice received"/>
    <x v="273"/>
    <s v="1958.74"/>
    <x v="11"/>
    <x v="3"/>
  </r>
  <r>
    <n v="3341"/>
    <x v="333"/>
    <s v="Supplier payment made"/>
    <x v="352"/>
    <s v="0.0"/>
    <x v="11"/>
    <x v="3"/>
  </r>
  <r>
    <n v="3341"/>
    <x v="333"/>
    <s v="Supplier payment made"/>
    <x v="273"/>
    <s v="9336.67"/>
    <x v="0"/>
    <x v="0"/>
  </r>
  <r>
    <n v="3342"/>
    <x v="333"/>
    <s v="Supplier payment made"/>
    <x v="408"/>
    <s v="0.0"/>
    <x v="11"/>
    <x v="3"/>
  </r>
  <r>
    <n v="3342"/>
    <x v="333"/>
    <s v="Supplier payment made"/>
    <x v="273"/>
    <s v="3868.8"/>
    <x v="0"/>
    <x v="0"/>
  </r>
  <r>
    <n v="3343"/>
    <x v="334"/>
    <s v="Sales invoice issued"/>
    <x v="1430"/>
    <s v="0.0"/>
    <x v="2"/>
    <x v="0"/>
  </r>
  <r>
    <n v="3343"/>
    <x v="334"/>
    <s v="Sales invoice issued"/>
    <x v="273"/>
    <s v="1219.13"/>
    <x v="3"/>
    <x v="2"/>
  </r>
  <r>
    <n v="3343"/>
    <x v="334"/>
    <s v="Sales invoice issued"/>
    <x v="273"/>
    <s v="91.44"/>
    <x v="4"/>
    <x v="3"/>
  </r>
  <r>
    <n v="3344"/>
    <x v="334"/>
    <s v="Sales invoice issued"/>
    <x v="1431"/>
    <s v="0.0"/>
    <x v="2"/>
    <x v="0"/>
  </r>
  <r>
    <n v="3344"/>
    <x v="334"/>
    <s v="Sales invoice issued"/>
    <x v="273"/>
    <s v="2980.88"/>
    <x v="3"/>
    <x v="2"/>
  </r>
  <r>
    <n v="3344"/>
    <x v="334"/>
    <s v="Sales invoice issued"/>
    <x v="273"/>
    <s v="223.56"/>
    <x v="4"/>
    <x v="3"/>
  </r>
  <r>
    <n v="3345"/>
    <x v="334"/>
    <s v="Customer payment received"/>
    <x v="1323"/>
    <s v="0.0"/>
    <x v="0"/>
    <x v="0"/>
  </r>
  <r>
    <n v="3345"/>
    <x v="334"/>
    <s v="Customer payment received"/>
    <x v="273"/>
    <s v="1902.75"/>
    <x v="2"/>
    <x v="0"/>
  </r>
  <r>
    <n v="3346"/>
    <x v="334"/>
    <s v="Customer payment received"/>
    <x v="1333"/>
    <s v="0.0"/>
    <x v="0"/>
    <x v="0"/>
  </r>
  <r>
    <n v="3346"/>
    <x v="334"/>
    <s v="Customer payment received"/>
    <x v="273"/>
    <s v="1995.35"/>
    <x v="2"/>
    <x v="0"/>
  </r>
  <r>
    <n v="3347"/>
    <x v="334"/>
    <s v="Customer payment received"/>
    <x v="1407"/>
    <s v="0.0"/>
    <x v="0"/>
    <x v="0"/>
  </r>
  <r>
    <n v="3347"/>
    <x v="334"/>
    <s v="Customer payment received"/>
    <x v="273"/>
    <s v="5896.78"/>
    <x v="2"/>
    <x v="0"/>
  </r>
  <r>
    <n v="3348"/>
    <x v="334"/>
    <s v="Customer payment received"/>
    <x v="1415"/>
    <s v="0.0"/>
    <x v="0"/>
    <x v="0"/>
  </r>
  <r>
    <n v="3348"/>
    <x v="334"/>
    <s v="Customer payment received"/>
    <x v="273"/>
    <s v="924.61"/>
    <x v="2"/>
    <x v="0"/>
  </r>
  <r>
    <n v="3349"/>
    <x v="334"/>
    <s v="Customer payment received"/>
    <x v="1206"/>
    <s v="0.0"/>
    <x v="0"/>
    <x v="0"/>
  </r>
  <r>
    <n v="3349"/>
    <x v="334"/>
    <s v="Customer payment received"/>
    <x v="273"/>
    <s v="216.03"/>
    <x v="2"/>
    <x v="0"/>
  </r>
  <r>
    <n v="3350"/>
    <x v="334"/>
    <s v="Supplier invoice received"/>
    <x v="338"/>
    <s v="0.0"/>
    <x v="9"/>
    <x v="4"/>
  </r>
  <r>
    <n v="3350"/>
    <x v="334"/>
    <s v="Supplier invoice received"/>
    <x v="339"/>
    <s v="0.0"/>
    <x v="10"/>
    <x v="0"/>
  </r>
  <r>
    <n v="3350"/>
    <x v="334"/>
    <s v="Supplier invoice received"/>
    <x v="273"/>
    <s v="1159.84"/>
    <x v="11"/>
    <x v="3"/>
  </r>
  <r>
    <n v="3351"/>
    <x v="334"/>
    <s v="Supplier invoice received"/>
    <x v="284"/>
    <s v="0.0"/>
    <x v="9"/>
    <x v="4"/>
  </r>
  <r>
    <n v="3351"/>
    <x v="334"/>
    <s v="Supplier invoice received"/>
    <x v="285"/>
    <s v="0.0"/>
    <x v="10"/>
    <x v="0"/>
  </r>
  <r>
    <n v="3351"/>
    <x v="334"/>
    <s v="Supplier invoice received"/>
    <x v="273"/>
    <s v="9336.67"/>
    <x v="11"/>
    <x v="3"/>
  </r>
  <r>
    <n v="3352"/>
    <x v="334"/>
    <s v="Supplier invoice received"/>
    <x v="474"/>
    <s v="0.0"/>
    <x v="9"/>
    <x v="4"/>
  </r>
  <r>
    <n v="3352"/>
    <x v="334"/>
    <s v="Supplier invoice received"/>
    <x v="475"/>
    <s v="0.0"/>
    <x v="10"/>
    <x v="0"/>
  </r>
  <r>
    <n v="3352"/>
    <x v="334"/>
    <s v="Supplier invoice received"/>
    <x v="273"/>
    <s v="862.91"/>
    <x v="11"/>
    <x v="3"/>
  </r>
  <r>
    <n v="3353"/>
    <x v="334"/>
    <s v="Supplier payment made"/>
    <x v="352"/>
    <s v="0.0"/>
    <x v="11"/>
    <x v="3"/>
  </r>
  <r>
    <n v="3353"/>
    <x v="334"/>
    <s v="Supplier payment made"/>
    <x v="273"/>
    <s v="9336.67"/>
    <x v="0"/>
    <x v="0"/>
  </r>
  <r>
    <n v="3354"/>
    <x v="334"/>
    <s v="Supplier payment made"/>
    <x v="309"/>
    <s v="0.0"/>
    <x v="11"/>
    <x v="3"/>
  </r>
  <r>
    <n v="3354"/>
    <x v="334"/>
    <s v="Supplier payment made"/>
    <x v="273"/>
    <s v="4812.46"/>
    <x v="0"/>
    <x v="0"/>
  </r>
  <r>
    <n v="3355"/>
    <x v="334"/>
    <s v="Supplier payment made"/>
    <x v="351"/>
    <s v="0.0"/>
    <x v="11"/>
    <x v="3"/>
  </r>
  <r>
    <n v="3355"/>
    <x v="334"/>
    <s v="Supplier payment made"/>
    <x v="273"/>
    <s v="179.01"/>
    <x v="0"/>
    <x v="0"/>
  </r>
  <r>
    <n v="3356"/>
    <x v="334"/>
    <s v="Supplier payment made"/>
    <x v="350"/>
    <s v="0.0"/>
    <x v="11"/>
    <x v="3"/>
  </r>
  <r>
    <n v="3356"/>
    <x v="334"/>
    <s v="Supplier payment made"/>
    <x v="273"/>
    <s v="1794.11"/>
    <x v="0"/>
    <x v="0"/>
  </r>
  <r>
    <n v="3357"/>
    <x v="335"/>
    <s v="Sales invoice issued"/>
    <x v="1432"/>
    <s v="0.0"/>
    <x v="2"/>
    <x v="0"/>
  </r>
  <r>
    <n v="3357"/>
    <x v="335"/>
    <s v="Sales invoice issued"/>
    <x v="273"/>
    <s v="3105.94"/>
    <x v="3"/>
    <x v="2"/>
  </r>
  <r>
    <n v="3357"/>
    <x v="335"/>
    <s v="Sales invoice issued"/>
    <x v="273"/>
    <s v="232.94"/>
    <x v="4"/>
    <x v="3"/>
  </r>
  <r>
    <n v="3358"/>
    <x v="335"/>
    <s v="Sales invoice issued"/>
    <x v="1433"/>
    <s v="0.0"/>
    <x v="2"/>
    <x v="0"/>
  </r>
  <r>
    <n v="3358"/>
    <x v="335"/>
    <s v="Sales invoice issued"/>
    <x v="273"/>
    <s v="238.62"/>
    <x v="3"/>
    <x v="2"/>
  </r>
  <r>
    <n v="3358"/>
    <x v="335"/>
    <s v="Sales invoice issued"/>
    <x v="273"/>
    <s v="17.9"/>
    <x v="4"/>
    <x v="3"/>
  </r>
  <r>
    <n v="3359"/>
    <x v="335"/>
    <s v="Sales invoice issued"/>
    <x v="1434"/>
    <s v="0.0"/>
    <x v="2"/>
    <x v="0"/>
  </r>
  <r>
    <n v="3359"/>
    <x v="335"/>
    <s v="Sales invoice issued"/>
    <x v="273"/>
    <s v="4035.11"/>
    <x v="3"/>
    <x v="2"/>
  </r>
  <r>
    <n v="3359"/>
    <x v="335"/>
    <s v="Sales invoice issued"/>
    <x v="273"/>
    <s v="302.63"/>
    <x v="4"/>
    <x v="3"/>
  </r>
  <r>
    <n v="3360"/>
    <x v="335"/>
    <s v="Sales invoice issued"/>
    <x v="1435"/>
    <s v="0.0"/>
    <x v="2"/>
    <x v="0"/>
  </r>
  <r>
    <n v="3360"/>
    <x v="335"/>
    <s v="Sales invoice issued"/>
    <x v="273"/>
    <s v="2425.17"/>
    <x v="3"/>
    <x v="2"/>
  </r>
  <r>
    <n v="3360"/>
    <x v="335"/>
    <s v="Sales invoice issued"/>
    <x v="273"/>
    <s v="181.89"/>
    <x v="4"/>
    <x v="3"/>
  </r>
  <r>
    <n v="3361"/>
    <x v="335"/>
    <s v="Sales invoice issued"/>
    <x v="1436"/>
    <s v="0.0"/>
    <x v="2"/>
    <x v="0"/>
  </r>
  <r>
    <n v="3361"/>
    <x v="335"/>
    <s v="Sales invoice issued"/>
    <x v="273"/>
    <s v="2200.41"/>
    <x v="3"/>
    <x v="2"/>
  </r>
  <r>
    <n v="3361"/>
    <x v="335"/>
    <s v="Sales invoice issued"/>
    <x v="273"/>
    <s v="165.04"/>
    <x v="4"/>
    <x v="3"/>
  </r>
  <r>
    <n v="3362"/>
    <x v="335"/>
    <s v="Customer payment received"/>
    <x v="1335"/>
    <s v="0.0"/>
    <x v="0"/>
    <x v="0"/>
  </r>
  <r>
    <n v="3362"/>
    <x v="335"/>
    <s v="Customer payment received"/>
    <x v="273"/>
    <s v="1734.79"/>
    <x v="2"/>
    <x v="0"/>
  </r>
  <r>
    <n v="3363"/>
    <x v="335"/>
    <s v="Customer payment received"/>
    <x v="1395"/>
    <s v="0.0"/>
    <x v="0"/>
    <x v="0"/>
  </r>
  <r>
    <n v="3363"/>
    <x v="335"/>
    <s v="Customer payment received"/>
    <x v="273"/>
    <s v="5808.52"/>
    <x v="2"/>
    <x v="0"/>
  </r>
  <r>
    <n v="3364"/>
    <x v="335"/>
    <s v="Customer payment received"/>
    <x v="1433"/>
    <s v="0.0"/>
    <x v="0"/>
    <x v="0"/>
  </r>
  <r>
    <n v="3364"/>
    <x v="335"/>
    <s v="Customer payment received"/>
    <x v="273"/>
    <s v="256.52"/>
    <x v="2"/>
    <x v="0"/>
  </r>
  <r>
    <n v="3365"/>
    <x v="335"/>
    <s v="Supplier invoice received"/>
    <x v="332"/>
    <s v="0.0"/>
    <x v="9"/>
    <x v="4"/>
  </r>
  <r>
    <n v="3365"/>
    <x v="335"/>
    <s v="Supplier invoice received"/>
    <x v="333"/>
    <s v="0.0"/>
    <x v="10"/>
    <x v="0"/>
  </r>
  <r>
    <n v="3365"/>
    <x v="335"/>
    <s v="Supplier invoice received"/>
    <x v="273"/>
    <s v="1023.42"/>
    <x v="11"/>
    <x v="3"/>
  </r>
  <r>
    <n v="3366"/>
    <x v="335"/>
    <s v="Supplier invoice received"/>
    <x v="374"/>
    <s v="0.0"/>
    <x v="9"/>
    <x v="4"/>
  </r>
  <r>
    <n v="3366"/>
    <x v="335"/>
    <s v="Supplier invoice received"/>
    <x v="375"/>
    <s v="0.0"/>
    <x v="10"/>
    <x v="0"/>
  </r>
  <r>
    <n v="3366"/>
    <x v="335"/>
    <s v="Supplier invoice received"/>
    <x v="273"/>
    <s v="2504.23"/>
    <x v="11"/>
    <x v="3"/>
  </r>
  <r>
    <n v="3367"/>
    <x v="335"/>
    <s v="Supplier invoice received"/>
    <x v="461"/>
    <s v="0.0"/>
    <x v="9"/>
    <x v="4"/>
  </r>
  <r>
    <n v="3367"/>
    <x v="335"/>
    <s v="Supplier invoice received"/>
    <x v="462"/>
    <s v="0.0"/>
    <x v="10"/>
    <x v="0"/>
  </r>
  <r>
    <n v="3367"/>
    <x v="335"/>
    <s v="Supplier invoice received"/>
    <x v="273"/>
    <s v="2182.41"/>
    <x v="11"/>
    <x v="3"/>
  </r>
  <r>
    <n v="3368"/>
    <x v="335"/>
    <s v="Supplier invoice received"/>
    <x v="366"/>
    <s v="0.0"/>
    <x v="9"/>
    <x v="4"/>
  </r>
  <r>
    <n v="3368"/>
    <x v="335"/>
    <s v="Supplier invoice received"/>
    <x v="367"/>
    <s v="0.0"/>
    <x v="10"/>
    <x v="0"/>
  </r>
  <r>
    <n v="3368"/>
    <x v="335"/>
    <s v="Supplier invoice received"/>
    <x v="273"/>
    <s v="201.5"/>
    <x v="11"/>
    <x v="3"/>
  </r>
  <r>
    <n v="3369"/>
    <x v="335"/>
    <s v="Supplier invoice received"/>
    <x v="305"/>
    <s v="0.0"/>
    <x v="9"/>
    <x v="4"/>
  </r>
  <r>
    <n v="3369"/>
    <x v="335"/>
    <s v="Supplier invoice received"/>
    <x v="306"/>
    <s v="0.0"/>
    <x v="10"/>
    <x v="0"/>
  </r>
  <r>
    <n v="3369"/>
    <x v="335"/>
    <s v="Supplier invoice received"/>
    <x v="273"/>
    <s v="276.32"/>
    <x v="11"/>
    <x v="3"/>
  </r>
  <r>
    <n v="3370"/>
    <x v="335"/>
    <s v="Supplier invoice received"/>
    <x v="303"/>
    <s v="0.0"/>
    <x v="9"/>
    <x v="4"/>
  </r>
  <r>
    <n v="3370"/>
    <x v="335"/>
    <s v="Supplier invoice received"/>
    <x v="304"/>
    <s v="0.0"/>
    <x v="10"/>
    <x v="0"/>
  </r>
  <r>
    <n v="3370"/>
    <x v="335"/>
    <s v="Supplier invoice received"/>
    <x v="273"/>
    <s v="550.4"/>
    <x v="11"/>
    <x v="3"/>
  </r>
  <r>
    <n v="3371"/>
    <x v="335"/>
    <s v="Supplier invoice received"/>
    <x v="301"/>
    <s v="0.0"/>
    <x v="9"/>
    <x v="4"/>
  </r>
  <r>
    <n v="3371"/>
    <x v="335"/>
    <s v="Supplier invoice received"/>
    <x v="302"/>
    <s v="0.0"/>
    <x v="10"/>
    <x v="0"/>
  </r>
  <r>
    <n v="3371"/>
    <x v="335"/>
    <s v="Supplier invoice received"/>
    <x v="273"/>
    <s v="4812.46"/>
    <x v="11"/>
    <x v="3"/>
  </r>
  <r>
    <n v="3372"/>
    <x v="335"/>
    <s v="Supplier invoice received"/>
    <x v="297"/>
    <s v="0.0"/>
    <x v="9"/>
    <x v="4"/>
  </r>
  <r>
    <n v="3372"/>
    <x v="335"/>
    <s v="Supplier invoice received"/>
    <x v="298"/>
    <s v="0.0"/>
    <x v="10"/>
    <x v="0"/>
  </r>
  <r>
    <n v="3372"/>
    <x v="335"/>
    <s v="Supplier invoice received"/>
    <x v="273"/>
    <s v="3528.97"/>
    <x v="11"/>
    <x v="3"/>
  </r>
  <r>
    <n v="3373"/>
    <x v="335"/>
    <s v="Supplier payment made"/>
    <x v="334"/>
    <s v="0.0"/>
    <x v="11"/>
    <x v="3"/>
  </r>
  <r>
    <n v="3373"/>
    <x v="335"/>
    <s v="Supplier payment made"/>
    <x v="273"/>
    <s v="3528.97"/>
    <x v="0"/>
    <x v="0"/>
  </r>
  <r>
    <n v="3374"/>
    <x v="335"/>
    <s v="Supplier payment made"/>
    <x v="334"/>
    <s v="0.0"/>
    <x v="11"/>
    <x v="3"/>
  </r>
  <r>
    <n v="3374"/>
    <x v="335"/>
    <s v="Supplier payment made"/>
    <x v="273"/>
    <s v="3528.97"/>
    <x v="0"/>
    <x v="0"/>
  </r>
  <r>
    <n v="3375"/>
    <x v="336"/>
    <s v="Sales invoice issued"/>
    <x v="1437"/>
    <s v="0.0"/>
    <x v="2"/>
    <x v="0"/>
  </r>
  <r>
    <n v="3375"/>
    <x v="336"/>
    <s v="Sales invoice issued"/>
    <x v="273"/>
    <s v="416.46"/>
    <x v="3"/>
    <x v="2"/>
  </r>
  <r>
    <n v="3375"/>
    <x v="336"/>
    <s v="Sales invoice issued"/>
    <x v="273"/>
    <s v="31.23"/>
    <x v="4"/>
    <x v="3"/>
  </r>
  <r>
    <n v="3376"/>
    <x v="336"/>
    <s v="Customer payment received"/>
    <x v="1301"/>
    <s v="0.0"/>
    <x v="0"/>
    <x v="0"/>
  </r>
  <r>
    <n v="3376"/>
    <x v="336"/>
    <s v="Customer payment received"/>
    <x v="273"/>
    <s v="2603.78"/>
    <x v="2"/>
    <x v="0"/>
  </r>
  <r>
    <n v="3377"/>
    <x v="336"/>
    <s v="Customer payment received"/>
    <x v="1342"/>
    <s v="0.0"/>
    <x v="0"/>
    <x v="0"/>
  </r>
  <r>
    <n v="3377"/>
    <x v="336"/>
    <s v="Customer payment received"/>
    <x v="273"/>
    <s v="59.07"/>
    <x v="2"/>
    <x v="0"/>
  </r>
  <r>
    <n v="3378"/>
    <x v="336"/>
    <s v="Supplier invoice received"/>
    <x v="405"/>
    <s v="0.0"/>
    <x v="9"/>
    <x v="4"/>
  </r>
  <r>
    <n v="3378"/>
    <x v="336"/>
    <s v="Supplier invoice received"/>
    <x v="406"/>
    <s v="0.0"/>
    <x v="10"/>
    <x v="0"/>
  </r>
  <r>
    <n v="3378"/>
    <x v="336"/>
    <s v="Supplier invoice received"/>
    <x v="273"/>
    <s v="2635.36"/>
    <x v="11"/>
    <x v="3"/>
  </r>
  <r>
    <n v="3379"/>
    <x v="336"/>
    <s v="Supplier payment made"/>
    <x v="466"/>
    <s v="0.0"/>
    <x v="11"/>
    <x v="3"/>
  </r>
  <r>
    <n v="3379"/>
    <x v="336"/>
    <s v="Supplier payment made"/>
    <x v="273"/>
    <s v="748.26"/>
    <x v="0"/>
    <x v="0"/>
  </r>
  <r>
    <n v="3380"/>
    <x v="337"/>
    <s v="Sales invoice issued"/>
    <x v="1438"/>
    <s v="0.0"/>
    <x v="2"/>
    <x v="0"/>
  </r>
  <r>
    <n v="3380"/>
    <x v="337"/>
    <s v="Sales invoice issued"/>
    <x v="273"/>
    <s v="1856.61"/>
    <x v="3"/>
    <x v="2"/>
  </r>
  <r>
    <n v="3380"/>
    <x v="337"/>
    <s v="Sales invoice issued"/>
    <x v="273"/>
    <s v="139.24"/>
    <x v="4"/>
    <x v="3"/>
  </r>
  <r>
    <n v="3381"/>
    <x v="337"/>
    <s v="Sales invoice issued"/>
    <x v="1439"/>
    <s v="0.0"/>
    <x v="2"/>
    <x v="0"/>
  </r>
  <r>
    <n v="3381"/>
    <x v="337"/>
    <s v="Sales invoice issued"/>
    <x v="273"/>
    <s v="1911.69"/>
    <x v="3"/>
    <x v="2"/>
  </r>
  <r>
    <n v="3381"/>
    <x v="337"/>
    <s v="Sales invoice issued"/>
    <x v="273"/>
    <s v="143.37"/>
    <x v="4"/>
    <x v="3"/>
  </r>
  <r>
    <n v="3382"/>
    <x v="337"/>
    <s v="Sales invoice issued"/>
    <x v="1440"/>
    <s v="0.0"/>
    <x v="2"/>
    <x v="0"/>
  </r>
  <r>
    <n v="3382"/>
    <x v="337"/>
    <s v="Sales invoice issued"/>
    <x v="273"/>
    <s v="383.1"/>
    <x v="3"/>
    <x v="2"/>
  </r>
  <r>
    <n v="3382"/>
    <x v="337"/>
    <s v="Sales invoice issued"/>
    <x v="273"/>
    <s v="28.73"/>
    <x v="4"/>
    <x v="3"/>
  </r>
  <r>
    <n v="3383"/>
    <x v="337"/>
    <s v="Sales invoice issued"/>
    <x v="283"/>
    <s v="0.0"/>
    <x v="2"/>
    <x v="0"/>
  </r>
  <r>
    <n v="3383"/>
    <x v="337"/>
    <s v="Sales invoice issued"/>
    <x v="273"/>
    <s v="342.06"/>
    <x v="3"/>
    <x v="2"/>
  </r>
  <r>
    <n v="3383"/>
    <x v="337"/>
    <s v="Sales invoice issued"/>
    <x v="273"/>
    <s v="25.65"/>
    <x v="4"/>
    <x v="3"/>
  </r>
  <r>
    <n v="3384"/>
    <x v="337"/>
    <s v="Sales invoice issued"/>
    <x v="1441"/>
    <s v="0.0"/>
    <x v="2"/>
    <x v="0"/>
  </r>
  <r>
    <n v="3384"/>
    <x v="337"/>
    <s v="Sales invoice issued"/>
    <x v="273"/>
    <s v="3175.63"/>
    <x v="3"/>
    <x v="2"/>
  </r>
  <r>
    <n v="3384"/>
    <x v="337"/>
    <s v="Sales invoice issued"/>
    <x v="273"/>
    <s v="238.16"/>
    <x v="4"/>
    <x v="3"/>
  </r>
  <r>
    <n v="3385"/>
    <x v="337"/>
    <s v="Sales invoice issued"/>
    <x v="1442"/>
    <s v="0.0"/>
    <x v="2"/>
    <x v="0"/>
  </r>
  <r>
    <n v="3385"/>
    <x v="337"/>
    <s v="Sales invoice issued"/>
    <x v="273"/>
    <s v="1612.97"/>
    <x v="3"/>
    <x v="2"/>
  </r>
  <r>
    <n v="3385"/>
    <x v="337"/>
    <s v="Sales invoice issued"/>
    <x v="273"/>
    <s v="120.97"/>
    <x v="4"/>
    <x v="3"/>
  </r>
  <r>
    <n v="3386"/>
    <x v="337"/>
    <s v="Customer payment received"/>
    <x v="1306"/>
    <s v="0.0"/>
    <x v="0"/>
    <x v="0"/>
  </r>
  <r>
    <n v="3386"/>
    <x v="337"/>
    <s v="Customer payment received"/>
    <x v="273"/>
    <s v="2510.3"/>
    <x v="2"/>
    <x v="0"/>
  </r>
  <r>
    <n v="3387"/>
    <x v="337"/>
    <s v="Customer payment received"/>
    <x v="508"/>
    <s v="0.0"/>
    <x v="0"/>
    <x v="0"/>
  </r>
  <r>
    <n v="3387"/>
    <x v="337"/>
    <s v="Customer payment received"/>
    <x v="273"/>
    <s v="152.16"/>
    <x v="2"/>
    <x v="0"/>
  </r>
  <r>
    <n v="3388"/>
    <x v="337"/>
    <s v="Customer payment received"/>
    <x v="1351"/>
    <s v="0.0"/>
    <x v="0"/>
    <x v="0"/>
  </r>
  <r>
    <n v="3388"/>
    <x v="337"/>
    <s v="Customer payment received"/>
    <x v="273"/>
    <s v="803.65"/>
    <x v="2"/>
    <x v="0"/>
  </r>
  <r>
    <n v="3389"/>
    <x v="337"/>
    <s v="Customer payment received"/>
    <x v="1358"/>
    <s v="0.0"/>
    <x v="0"/>
    <x v="0"/>
  </r>
  <r>
    <n v="3389"/>
    <x v="337"/>
    <s v="Customer payment received"/>
    <x v="273"/>
    <s v="938.13"/>
    <x v="2"/>
    <x v="0"/>
  </r>
  <r>
    <n v="3390"/>
    <x v="337"/>
    <s v="Customer payment received"/>
    <x v="1381"/>
    <s v="0.0"/>
    <x v="0"/>
    <x v="0"/>
  </r>
  <r>
    <n v="3390"/>
    <x v="337"/>
    <s v="Customer payment received"/>
    <x v="273"/>
    <s v="2270.08"/>
    <x v="2"/>
    <x v="0"/>
  </r>
  <r>
    <n v="3391"/>
    <x v="337"/>
    <s v="Customer payment received"/>
    <x v="1409"/>
    <s v="0.0"/>
    <x v="0"/>
    <x v="0"/>
  </r>
  <r>
    <n v="3391"/>
    <x v="337"/>
    <s v="Customer payment received"/>
    <x v="273"/>
    <s v="3426.34"/>
    <x v="2"/>
    <x v="0"/>
  </r>
  <r>
    <n v="3392"/>
    <x v="337"/>
    <s v="Customer payment received"/>
    <x v="1434"/>
    <s v="0.0"/>
    <x v="0"/>
    <x v="0"/>
  </r>
  <r>
    <n v="3392"/>
    <x v="337"/>
    <s v="Customer payment received"/>
    <x v="273"/>
    <s v="4337.74"/>
    <x v="2"/>
    <x v="0"/>
  </r>
  <r>
    <n v="3393"/>
    <x v="337"/>
    <s v="Supplier invoice received"/>
    <x v="299"/>
    <s v="0.0"/>
    <x v="9"/>
    <x v="4"/>
  </r>
  <r>
    <n v="3393"/>
    <x v="337"/>
    <s v="Supplier invoice received"/>
    <x v="300"/>
    <s v="0.0"/>
    <x v="10"/>
    <x v="0"/>
  </r>
  <r>
    <n v="3393"/>
    <x v="337"/>
    <s v="Supplier invoice received"/>
    <x v="273"/>
    <s v="2918.17"/>
    <x v="11"/>
    <x v="3"/>
  </r>
  <r>
    <n v="3394"/>
    <x v="337"/>
    <s v="Supplier payment made"/>
    <x v="353"/>
    <s v="0.0"/>
    <x v="11"/>
    <x v="3"/>
  </r>
  <r>
    <n v="3394"/>
    <x v="337"/>
    <s v="Supplier payment made"/>
    <x v="273"/>
    <s v="2918.17"/>
    <x v="0"/>
    <x v="0"/>
  </r>
  <r>
    <n v="3395"/>
    <x v="337"/>
    <s v="Supplier payment made"/>
    <x v="392"/>
    <s v="0.0"/>
    <x v="11"/>
    <x v="3"/>
  </r>
  <r>
    <n v="3395"/>
    <x v="337"/>
    <s v="Supplier payment made"/>
    <x v="273"/>
    <s v="1023.42"/>
    <x v="0"/>
    <x v="0"/>
  </r>
  <r>
    <n v="3396"/>
    <x v="338"/>
    <s v="Sales invoice issued"/>
    <x v="1443"/>
    <s v="0.0"/>
    <x v="2"/>
    <x v="0"/>
  </r>
  <r>
    <n v="3396"/>
    <x v="338"/>
    <s v="Sales invoice issued"/>
    <x v="273"/>
    <s v="1739.97"/>
    <x v="3"/>
    <x v="2"/>
  </r>
  <r>
    <n v="3396"/>
    <x v="338"/>
    <s v="Sales invoice issued"/>
    <x v="273"/>
    <s v="130.5"/>
    <x v="4"/>
    <x v="3"/>
  </r>
  <r>
    <n v="3397"/>
    <x v="338"/>
    <s v="Sales invoice issued"/>
    <x v="1444"/>
    <s v="0.0"/>
    <x v="2"/>
    <x v="0"/>
  </r>
  <r>
    <n v="3397"/>
    <x v="338"/>
    <s v="Sales invoice issued"/>
    <x v="273"/>
    <s v="1891.62"/>
    <x v="3"/>
    <x v="2"/>
  </r>
  <r>
    <n v="3397"/>
    <x v="338"/>
    <s v="Sales invoice issued"/>
    <x v="273"/>
    <s v="141.86"/>
    <x v="4"/>
    <x v="3"/>
  </r>
  <r>
    <n v="3398"/>
    <x v="338"/>
    <s v="Sales invoice issued"/>
    <x v="1445"/>
    <s v="0.0"/>
    <x v="2"/>
    <x v="0"/>
  </r>
  <r>
    <n v="3398"/>
    <x v="338"/>
    <s v="Sales invoice issued"/>
    <x v="273"/>
    <s v="239.24"/>
    <x v="3"/>
    <x v="2"/>
  </r>
  <r>
    <n v="3398"/>
    <x v="338"/>
    <s v="Sales invoice issued"/>
    <x v="273"/>
    <s v="17.95"/>
    <x v="4"/>
    <x v="3"/>
  </r>
  <r>
    <n v="3399"/>
    <x v="338"/>
    <s v="Customer payment received"/>
    <x v="1313"/>
    <s v="0.0"/>
    <x v="0"/>
    <x v="0"/>
  </r>
  <r>
    <n v="3399"/>
    <x v="338"/>
    <s v="Customer payment received"/>
    <x v="273"/>
    <s v="2045.02"/>
    <x v="2"/>
    <x v="0"/>
  </r>
  <r>
    <n v="3400"/>
    <x v="338"/>
    <s v="Customer payment received"/>
    <x v="1392"/>
    <s v="0.0"/>
    <x v="0"/>
    <x v="0"/>
  </r>
  <r>
    <n v="3400"/>
    <x v="338"/>
    <s v="Customer payment received"/>
    <x v="273"/>
    <s v="3796.02"/>
    <x v="2"/>
    <x v="0"/>
  </r>
  <r>
    <n v="3401"/>
    <x v="338"/>
    <s v="Supplier invoice received"/>
    <x v="359"/>
    <s v="0.0"/>
    <x v="9"/>
    <x v="4"/>
  </r>
  <r>
    <n v="3401"/>
    <x v="338"/>
    <s v="Supplier invoice received"/>
    <x v="360"/>
    <s v="0.0"/>
    <x v="10"/>
    <x v="0"/>
  </r>
  <r>
    <n v="3401"/>
    <x v="338"/>
    <s v="Supplier invoice received"/>
    <x v="273"/>
    <s v="1591.54"/>
    <x v="11"/>
    <x v="3"/>
  </r>
  <r>
    <n v="3402"/>
    <x v="338"/>
    <s v="Supplier invoice received"/>
    <x v="448"/>
    <s v="0.0"/>
    <x v="9"/>
    <x v="4"/>
  </r>
  <r>
    <n v="3402"/>
    <x v="338"/>
    <s v="Supplier invoice received"/>
    <x v="449"/>
    <s v="0.0"/>
    <x v="10"/>
    <x v="0"/>
  </r>
  <r>
    <n v="3402"/>
    <x v="338"/>
    <s v="Supplier invoice received"/>
    <x v="273"/>
    <s v="7227.44"/>
    <x v="11"/>
    <x v="3"/>
  </r>
  <r>
    <n v="3403"/>
    <x v="338"/>
    <s v="Supplier payment made"/>
    <x v="466"/>
    <s v="0.0"/>
    <x v="11"/>
    <x v="3"/>
  </r>
  <r>
    <n v="3403"/>
    <x v="338"/>
    <s v="Supplier payment made"/>
    <x v="273"/>
    <s v="748.26"/>
    <x v="0"/>
    <x v="0"/>
  </r>
  <r>
    <n v="3404"/>
    <x v="338"/>
    <s v="Supplier payment made"/>
    <x v="336"/>
    <s v="0.0"/>
    <x v="11"/>
    <x v="3"/>
  </r>
  <r>
    <n v="3404"/>
    <x v="338"/>
    <s v="Supplier payment made"/>
    <x v="273"/>
    <s v="2093.28"/>
    <x v="0"/>
    <x v="0"/>
  </r>
  <r>
    <n v="3405"/>
    <x v="339"/>
    <s v="Sales invoice issued"/>
    <x v="1446"/>
    <s v="0.0"/>
    <x v="2"/>
    <x v="0"/>
  </r>
  <r>
    <n v="3405"/>
    <x v="339"/>
    <s v="Sales invoice issued"/>
    <x v="273"/>
    <s v="1075.25"/>
    <x v="3"/>
    <x v="2"/>
  </r>
  <r>
    <n v="3405"/>
    <x v="339"/>
    <s v="Sales invoice issued"/>
    <x v="273"/>
    <s v="80.66"/>
    <x v="4"/>
    <x v="3"/>
  </r>
  <r>
    <n v="3406"/>
    <x v="339"/>
    <s v="Customer payment received"/>
    <x v="1300"/>
    <s v="0.0"/>
    <x v="0"/>
    <x v="0"/>
  </r>
  <r>
    <n v="3406"/>
    <x v="339"/>
    <s v="Customer payment received"/>
    <x v="273"/>
    <s v="343.72"/>
    <x v="2"/>
    <x v="0"/>
  </r>
  <r>
    <n v="3407"/>
    <x v="339"/>
    <s v="Customer payment received"/>
    <x v="1369"/>
    <s v="0.0"/>
    <x v="0"/>
    <x v="0"/>
  </r>
  <r>
    <n v="3407"/>
    <x v="339"/>
    <s v="Customer payment received"/>
    <x v="273"/>
    <s v="212.14"/>
    <x v="2"/>
    <x v="0"/>
  </r>
  <r>
    <n v="3408"/>
    <x v="339"/>
    <s v="Customer payment received"/>
    <x v="1435"/>
    <s v="0.0"/>
    <x v="0"/>
    <x v="0"/>
  </r>
  <r>
    <n v="3408"/>
    <x v="339"/>
    <s v="Customer payment received"/>
    <x v="273"/>
    <s v="2607.06"/>
    <x v="2"/>
    <x v="0"/>
  </r>
  <r>
    <n v="3409"/>
    <x v="339"/>
    <s v="Supplier invoice received"/>
    <x v="301"/>
    <s v="0.0"/>
    <x v="9"/>
    <x v="4"/>
  </r>
  <r>
    <n v="3409"/>
    <x v="339"/>
    <s v="Supplier invoice received"/>
    <x v="302"/>
    <s v="0.0"/>
    <x v="10"/>
    <x v="0"/>
  </r>
  <r>
    <n v="3409"/>
    <x v="339"/>
    <s v="Supplier invoice received"/>
    <x v="273"/>
    <s v="4812.46"/>
    <x v="11"/>
    <x v="3"/>
  </r>
  <r>
    <n v="3410"/>
    <x v="339"/>
    <s v="Supplier invoice received"/>
    <x v="366"/>
    <s v="0.0"/>
    <x v="9"/>
    <x v="4"/>
  </r>
  <r>
    <n v="3410"/>
    <x v="339"/>
    <s v="Supplier invoice received"/>
    <x v="367"/>
    <s v="0.0"/>
    <x v="10"/>
    <x v="0"/>
  </r>
  <r>
    <n v="3410"/>
    <x v="339"/>
    <s v="Supplier invoice received"/>
    <x v="273"/>
    <s v="201.5"/>
    <x v="11"/>
    <x v="3"/>
  </r>
  <r>
    <n v="3411"/>
    <x v="340"/>
    <s v="Sales invoice issued"/>
    <x v="1447"/>
    <s v="0.0"/>
    <x v="2"/>
    <x v="0"/>
  </r>
  <r>
    <n v="3411"/>
    <x v="340"/>
    <s v="Sales invoice issued"/>
    <x v="273"/>
    <s v="1877.63"/>
    <x v="3"/>
    <x v="2"/>
  </r>
  <r>
    <n v="3411"/>
    <x v="340"/>
    <s v="Sales invoice issued"/>
    <x v="273"/>
    <s v="140.83"/>
    <x v="4"/>
    <x v="3"/>
  </r>
  <r>
    <n v="3412"/>
    <x v="340"/>
    <s v="Sales invoice issued"/>
    <x v="1448"/>
    <s v="0.0"/>
    <x v="2"/>
    <x v="0"/>
  </r>
  <r>
    <n v="3412"/>
    <x v="340"/>
    <s v="Sales invoice issued"/>
    <x v="273"/>
    <s v="5639.92"/>
    <x v="3"/>
    <x v="2"/>
  </r>
  <r>
    <n v="3412"/>
    <x v="340"/>
    <s v="Sales invoice issued"/>
    <x v="273"/>
    <s v="422.99"/>
    <x v="4"/>
    <x v="3"/>
  </r>
  <r>
    <n v="3413"/>
    <x v="340"/>
    <s v="Sales invoice issued"/>
    <x v="1449"/>
    <s v="0.0"/>
    <x v="2"/>
    <x v="0"/>
  </r>
  <r>
    <n v="3413"/>
    <x v="340"/>
    <s v="Sales invoice issued"/>
    <x v="273"/>
    <s v="1386.48"/>
    <x v="3"/>
    <x v="2"/>
  </r>
  <r>
    <n v="3413"/>
    <x v="340"/>
    <s v="Sales invoice issued"/>
    <x v="273"/>
    <s v="103.99"/>
    <x v="4"/>
    <x v="3"/>
  </r>
  <r>
    <n v="3414"/>
    <x v="340"/>
    <s v="Sales invoice issued"/>
    <x v="1450"/>
    <s v="0.0"/>
    <x v="2"/>
    <x v="0"/>
  </r>
  <r>
    <n v="3414"/>
    <x v="340"/>
    <s v="Sales invoice issued"/>
    <x v="273"/>
    <s v="1602.55"/>
    <x v="3"/>
    <x v="2"/>
  </r>
  <r>
    <n v="3414"/>
    <x v="340"/>
    <s v="Sales invoice issued"/>
    <x v="273"/>
    <s v="120.19"/>
    <x v="4"/>
    <x v="3"/>
  </r>
  <r>
    <n v="3415"/>
    <x v="340"/>
    <s v="Sales invoice issued"/>
    <x v="1451"/>
    <s v="0.0"/>
    <x v="2"/>
    <x v="0"/>
  </r>
  <r>
    <n v="3415"/>
    <x v="340"/>
    <s v="Sales invoice issued"/>
    <x v="273"/>
    <s v="153.93"/>
    <x v="3"/>
    <x v="2"/>
  </r>
  <r>
    <n v="3415"/>
    <x v="340"/>
    <s v="Sales invoice issued"/>
    <x v="273"/>
    <s v="11.54"/>
    <x v="4"/>
    <x v="3"/>
  </r>
  <r>
    <n v="3416"/>
    <x v="340"/>
    <s v="Customer payment received"/>
    <x v="1322"/>
    <s v="0.0"/>
    <x v="0"/>
    <x v="0"/>
  </r>
  <r>
    <n v="3416"/>
    <x v="340"/>
    <s v="Customer payment received"/>
    <x v="273"/>
    <s v="2386.89"/>
    <x v="2"/>
    <x v="0"/>
  </r>
  <r>
    <n v="3417"/>
    <x v="340"/>
    <s v="Customer payment received"/>
    <x v="1355"/>
    <s v="0.0"/>
    <x v="0"/>
    <x v="0"/>
  </r>
  <r>
    <n v="3417"/>
    <x v="340"/>
    <s v="Customer payment received"/>
    <x v="273"/>
    <s v="2574.94"/>
    <x v="2"/>
    <x v="0"/>
  </r>
  <r>
    <n v="3418"/>
    <x v="340"/>
    <s v="Customer payment received"/>
    <x v="1360"/>
    <s v="0.0"/>
    <x v="0"/>
    <x v="0"/>
  </r>
  <r>
    <n v="3418"/>
    <x v="340"/>
    <s v="Customer payment received"/>
    <x v="273"/>
    <s v="3088.58"/>
    <x v="2"/>
    <x v="0"/>
  </r>
  <r>
    <n v="3419"/>
    <x v="340"/>
    <s v="Customer payment received"/>
    <x v="1379"/>
    <s v="0.0"/>
    <x v="0"/>
    <x v="0"/>
  </r>
  <r>
    <n v="3419"/>
    <x v="340"/>
    <s v="Customer payment received"/>
    <x v="273"/>
    <s v="3272.52"/>
    <x v="2"/>
    <x v="0"/>
  </r>
  <r>
    <n v="3420"/>
    <x v="340"/>
    <s v="Customer payment received"/>
    <x v="1417"/>
    <s v="0.0"/>
    <x v="0"/>
    <x v="0"/>
  </r>
  <r>
    <n v="3420"/>
    <x v="340"/>
    <s v="Customer payment received"/>
    <x v="273"/>
    <s v="660.93"/>
    <x v="2"/>
    <x v="0"/>
  </r>
  <r>
    <n v="3421"/>
    <x v="340"/>
    <s v="Customer payment received"/>
    <x v="1419"/>
    <s v="0.0"/>
    <x v="0"/>
    <x v="0"/>
  </r>
  <r>
    <n v="3421"/>
    <x v="340"/>
    <s v="Customer payment received"/>
    <x v="273"/>
    <s v="4333.79"/>
    <x v="2"/>
    <x v="0"/>
  </r>
  <r>
    <n v="3422"/>
    <x v="340"/>
    <s v="Supplier invoice received"/>
    <x v="295"/>
    <s v="0.0"/>
    <x v="9"/>
    <x v="4"/>
  </r>
  <r>
    <n v="3422"/>
    <x v="340"/>
    <s v="Supplier invoice received"/>
    <x v="296"/>
    <s v="0.0"/>
    <x v="10"/>
    <x v="0"/>
  </r>
  <r>
    <n v="3422"/>
    <x v="340"/>
    <s v="Supplier invoice received"/>
    <x v="273"/>
    <s v="1766.46"/>
    <x v="11"/>
    <x v="3"/>
  </r>
  <r>
    <n v="3423"/>
    <x v="340"/>
    <s v="Supplier invoice received"/>
    <x v="307"/>
    <s v="0.0"/>
    <x v="9"/>
    <x v="4"/>
  </r>
  <r>
    <n v="3423"/>
    <x v="340"/>
    <s v="Supplier invoice received"/>
    <x v="308"/>
    <s v="0.0"/>
    <x v="10"/>
    <x v="0"/>
  </r>
  <r>
    <n v="3423"/>
    <x v="340"/>
    <s v="Supplier invoice received"/>
    <x v="273"/>
    <s v="2093.28"/>
    <x v="11"/>
    <x v="3"/>
  </r>
  <r>
    <n v="3424"/>
    <x v="340"/>
    <s v="Supplier invoice received"/>
    <x v="330"/>
    <s v="0.0"/>
    <x v="9"/>
    <x v="4"/>
  </r>
  <r>
    <n v="3424"/>
    <x v="340"/>
    <s v="Supplier invoice received"/>
    <x v="331"/>
    <s v="0.0"/>
    <x v="10"/>
    <x v="0"/>
  </r>
  <r>
    <n v="3424"/>
    <x v="340"/>
    <s v="Supplier invoice received"/>
    <x v="273"/>
    <s v="1935.04"/>
    <x v="11"/>
    <x v="3"/>
  </r>
  <r>
    <n v="3425"/>
    <x v="340"/>
    <s v="Supplier invoice received"/>
    <x v="441"/>
    <s v="0.0"/>
    <x v="9"/>
    <x v="4"/>
  </r>
  <r>
    <n v="3425"/>
    <x v="340"/>
    <s v="Supplier invoice received"/>
    <x v="442"/>
    <s v="0.0"/>
    <x v="10"/>
    <x v="0"/>
  </r>
  <r>
    <n v="3425"/>
    <x v="340"/>
    <s v="Supplier invoice received"/>
    <x v="273"/>
    <s v="179.01"/>
    <x v="11"/>
    <x v="3"/>
  </r>
  <r>
    <n v="3426"/>
    <x v="340"/>
    <s v="Supplier invoice received"/>
    <x v="383"/>
    <s v="0.0"/>
    <x v="9"/>
    <x v="4"/>
  </r>
  <r>
    <n v="3426"/>
    <x v="340"/>
    <s v="Supplier invoice received"/>
    <x v="384"/>
    <s v="0.0"/>
    <x v="10"/>
    <x v="0"/>
  </r>
  <r>
    <n v="3426"/>
    <x v="340"/>
    <s v="Supplier invoice received"/>
    <x v="273"/>
    <s v="3868.8"/>
    <x v="11"/>
    <x v="3"/>
  </r>
  <r>
    <n v="3427"/>
    <x v="340"/>
    <s v="Supplier invoice received"/>
    <x v="405"/>
    <s v="0.0"/>
    <x v="9"/>
    <x v="4"/>
  </r>
  <r>
    <n v="3427"/>
    <x v="340"/>
    <s v="Supplier invoice received"/>
    <x v="406"/>
    <s v="0.0"/>
    <x v="10"/>
    <x v="0"/>
  </r>
  <r>
    <n v="3427"/>
    <x v="340"/>
    <s v="Supplier invoice received"/>
    <x v="273"/>
    <s v="2635.36"/>
    <x v="11"/>
    <x v="3"/>
  </r>
  <r>
    <n v="3428"/>
    <x v="340"/>
    <s v="Supplier invoice received"/>
    <x v="299"/>
    <s v="0.0"/>
    <x v="9"/>
    <x v="4"/>
  </r>
  <r>
    <n v="3428"/>
    <x v="340"/>
    <s v="Supplier invoice received"/>
    <x v="300"/>
    <s v="0.0"/>
    <x v="10"/>
    <x v="0"/>
  </r>
  <r>
    <n v="3428"/>
    <x v="340"/>
    <s v="Supplier invoice received"/>
    <x v="273"/>
    <s v="2918.17"/>
    <x v="11"/>
    <x v="3"/>
  </r>
  <r>
    <n v="3429"/>
    <x v="340"/>
    <s v="Supplier payment made"/>
    <x v="392"/>
    <s v="0.0"/>
    <x v="11"/>
    <x v="3"/>
  </r>
  <r>
    <n v="3429"/>
    <x v="340"/>
    <s v="Supplier payment made"/>
    <x v="273"/>
    <s v="1023.42"/>
    <x v="0"/>
    <x v="0"/>
  </r>
  <r>
    <n v="3430"/>
    <x v="340"/>
    <s v="Supplier payment made"/>
    <x v="310"/>
    <s v="0.0"/>
    <x v="11"/>
    <x v="3"/>
  </r>
  <r>
    <n v="3430"/>
    <x v="340"/>
    <s v="Supplier payment made"/>
    <x v="273"/>
    <s v="276.32"/>
    <x v="0"/>
    <x v="0"/>
  </r>
  <r>
    <n v="3431"/>
    <x v="341"/>
    <s v="Sales invoice issued"/>
    <x v="1452"/>
    <s v="0.0"/>
    <x v="2"/>
    <x v="0"/>
  </r>
  <r>
    <n v="3431"/>
    <x v="341"/>
    <s v="Sales invoice issued"/>
    <x v="273"/>
    <s v="3090.6"/>
    <x v="3"/>
    <x v="2"/>
  </r>
  <r>
    <n v="3431"/>
    <x v="341"/>
    <s v="Sales invoice issued"/>
    <x v="273"/>
    <s v="231.79"/>
    <x v="4"/>
    <x v="3"/>
  </r>
  <r>
    <n v="3432"/>
    <x v="341"/>
    <s v="Sales invoice issued"/>
    <x v="1453"/>
    <s v="0.0"/>
    <x v="2"/>
    <x v="0"/>
  </r>
  <r>
    <n v="3432"/>
    <x v="341"/>
    <s v="Sales invoice issued"/>
    <x v="273"/>
    <s v="3464.19"/>
    <x v="3"/>
    <x v="2"/>
  </r>
  <r>
    <n v="3432"/>
    <x v="341"/>
    <s v="Sales invoice issued"/>
    <x v="273"/>
    <s v="259.82"/>
    <x v="4"/>
    <x v="3"/>
  </r>
  <r>
    <n v="3433"/>
    <x v="341"/>
    <s v="Sales invoice issued"/>
    <x v="1454"/>
    <s v="0.0"/>
    <x v="2"/>
    <x v="0"/>
  </r>
  <r>
    <n v="3433"/>
    <x v="341"/>
    <s v="Sales invoice issued"/>
    <x v="273"/>
    <s v="936.1"/>
    <x v="3"/>
    <x v="2"/>
  </r>
  <r>
    <n v="3433"/>
    <x v="341"/>
    <s v="Sales invoice issued"/>
    <x v="273"/>
    <s v="70.21"/>
    <x v="4"/>
    <x v="3"/>
  </r>
  <r>
    <n v="3434"/>
    <x v="341"/>
    <s v="Sales invoice issued"/>
    <x v="1455"/>
    <s v="0.0"/>
    <x v="2"/>
    <x v="0"/>
  </r>
  <r>
    <n v="3434"/>
    <x v="341"/>
    <s v="Sales invoice issued"/>
    <x v="273"/>
    <s v="857.39"/>
    <x v="3"/>
    <x v="2"/>
  </r>
  <r>
    <n v="3434"/>
    <x v="341"/>
    <s v="Sales invoice issued"/>
    <x v="273"/>
    <s v="64.31"/>
    <x v="4"/>
    <x v="3"/>
  </r>
  <r>
    <n v="3435"/>
    <x v="341"/>
    <s v="Sales invoice issued"/>
    <x v="1456"/>
    <s v="0.0"/>
    <x v="2"/>
    <x v="0"/>
  </r>
  <r>
    <n v="3435"/>
    <x v="341"/>
    <s v="Sales invoice issued"/>
    <x v="273"/>
    <s v="3012.95"/>
    <x v="3"/>
    <x v="2"/>
  </r>
  <r>
    <n v="3435"/>
    <x v="341"/>
    <s v="Sales invoice issued"/>
    <x v="273"/>
    <s v="225.98"/>
    <x v="4"/>
    <x v="3"/>
  </r>
  <r>
    <n v="3436"/>
    <x v="341"/>
    <s v="Sales invoice issued"/>
    <x v="1457"/>
    <s v="0.0"/>
    <x v="2"/>
    <x v="0"/>
  </r>
  <r>
    <n v="3436"/>
    <x v="341"/>
    <s v="Sales invoice issued"/>
    <x v="273"/>
    <s v="1235.4"/>
    <x v="3"/>
    <x v="2"/>
  </r>
  <r>
    <n v="3436"/>
    <x v="341"/>
    <s v="Sales invoice issued"/>
    <x v="273"/>
    <s v="92.66"/>
    <x v="4"/>
    <x v="3"/>
  </r>
  <r>
    <n v="3437"/>
    <x v="341"/>
    <s v="Sales invoice issued"/>
    <x v="1458"/>
    <s v="0.0"/>
    <x v="2"/>
    <x v="0"/>
  </r>
  <r>
    <n v="3437"/>
    <x v="341"/>
    <s v="Sales invoice issued"/>
    <x v="273"/>
    <s v="854.59"/>
    <x v="3"/>
    <x v="2"/>
  </r>
  <r>
    <n v="3437"/>
    <x v="341"/>
    <s v="Sales invoice issued"/>
    <x v="273"/>
    <s v="64.09"/>
    <x v="4"/>
    <x v="3"/>
  </r>
  <r>
    <n v="3438"/>
    <x v="341"/>
    <s v="Sales invoice issued"/>
    <x v="1459"/>
    <s v="0.0"/>
    <x v="2"/>
    <x v="0"/>
  </r>
  <r>
    <n v="3438"/>
    <x v="341"/>
    <s v="Sales invoice issued"/>
    <x v="273"/>
    <s v="1753.9"/>
    <x v="3"/>
    <x v="2"/>
  </r>
  <r>
    <n v="3438"/>
    <x v="341"/>
    <s v="Sales invoice issued"/>
    <x v="273"/>
    <s v="131.55"/>
    <x v="4"/>
    <x v="3"/>
  </r>
  <r>
    <n v="3439"/>
    <x v="341"/>
    <s v="Customer payment received"/>
    <x v="1357"/>
    <s v="0.0"/>
    <x v="0"/>
    <x v="0"/>
  </r>
  <r>
    <n v="3439"/>
    <x v="341"/>
    <s v="Customer payment received"/>
    <x v="273"/>
    <s v="5694.2"/>
    <x v="2"/>
    <x v="0"/>
  </r>
  <r>
    <n v="3440"/>
    <x v="341"/>
    <s v="Customer payment received"/>
    <x v="1371"/>
    <s v="0.0"/>
    <x v="0"/>
    <x v="0"/>
  </r>
  <r>
    <n v="3440"/>
    <x v="341"/>
    <s v="Customer payment received"/>
    <x v="273"/>
    <s v="1365.69"/>
    <x v="2"/>
    <x v="0"/>
  </r>
  <r>
    <n v="3441"/>
    <x v="341"/>
    <s v="Customer payment received"/>
    <x v="1372"/>
    <s v="0.0"/>
    <x v="0"/>
    <x v="0"/>
  </r>
  <r>
    <n v="3441"/>
    <x v="341"/>
    <s v="Customer payment received"/>
    <x v="273"/>
    <s v="312.48"/>
    <x v="2"/>
    <x v="0"/>
  </r>
  <r>
    <n v="3442"/>
    <x v="341"/>
    <s v="Customer payment received"/>
    <x v="1377"/>
    <s v="0.0"/>
    <x v="0"/>
    <x v="0"/>
  </r>
  <r>
    <n v="3442"/>
    <x v="341"/>
    <s v="Customer payment received"/>
    <x v="273"/>
    <s v="154.88"/>
    <x v="2"/>
    <x v="0"/>
  </r>
  <r>
    <n v="3443"/>
    <x v="341"/>
    <s v="Customer payment received"/>
    <x v="1405"/>
    <s v="0.0"/>
    <x v="0"/>
    <x v="0"/>
  </r>
  <r>
    <n v="3443"/>
    <x v="341"/>
    <s v="Customer payment received"/>
    <x v="273"/>
    <s v="1558.92"/>
    <x v="2"/>
    <x v="0"/>
  </r>
  <r>
    <n v="3444"/>
    <x v="341"/>
    <s v="Customer payment received"/>
    <x v="1412"/>
    <s v="0.0"/>
    <x v="0"/>
    <x v="0"/>
  </r>
  <r>
    <n v="3444"/>
    <x v="341"/>
    <s v="Customer payment received"/>
    <x v="273"/>
    <s v="2353.88"/>
    <x v="2"/>
    <x v="0"/>
  </r>
  <r>
    <n v="3445"/>
    <x v="341"/>
    <s v="Customer payment received"/>
    <x v="1437"/>
    <s v="0.0"/>
    <x v="0"/>
    <x v="0"/>
  </r>
  <r>
    <n v="3445"/>
    <x v="341"/>
    <s v="Customer payment received"/>
    <x v="273"/>
    <s v="447.69"/>
    <x v="2"/>
    <x v="0"/>
  </r>
  <r>
    <n v="3446"/>
    <x v="341"/>
    <s v="Supplier payment made"/>
    <x v="407"/>
    <s v="0.0"/>
    <x v="11"/>
    <x v="3"/>
  </r>
  <r>
    <n v="3446"/>
    <x v="341"/>
    <s v="Supplier payment made"/>
    <x v="273"/>
    <s v="201.5"/>
    <x v="0"/>
    <x v="0"/>
  </r>
  <r>
    <n v="3447"/>
    <x v="341"/>
    <s v="Supplier payment made"/>
    <x v="352"/>
    <s v="0.0"/>
    <x v="11"/>
    <x v="3"/>
  </r>
  <r>
    <n v="3447"/>
    <x v="341"/>
    <s v="Supplier payment made"/>
    <x v="273"/>
    <s v="9336.67"/>
    <x v="0"/>
    <x v="0"/>
  </r>
  <r>
    <n v="3448"/>
    <x v="341"/>
    <s v="Supplier payment made"/>
    <x v="280"/>
    <s v="0.0"/>
    <x v="11"/>
    <x v="3"/>
  </r>
  <r>
    <n v="3448"/>
    <x v="341"/>
    <s v="Supplier payment made"/>
    <x v="273"/>
    <s v="2635.36"/>
    <x v="0"/>
    <x v="0"/>
  </r>
  <r>
    <n v="3449"/>
    <x v="341"/>
    <s v="Supplier payment made"/>
    <x v="351"/>
    <s v="0.0"/>
    <x v="11"/>
    <x v="3"/>
  </r>
  <r>
    <n v="3449"/>
    <x v="341"/>
    <s v="Supplier payment made"/>
    <x v="273"/>
    <s v="179.01"/>
    <x v="0"/>
    <x v="0"/>
  </r>
  <r>
    <n v="3450"/>
    <x v="342"/>
    <s v="Sales invoice issued"/>
    <x v="1460"/>
    <s v="0.0"/>
    <x v="2"/>
    <x v="0"/>
  </r>
  <r>
    <n v="3450"/>
    <x v="342"/>
    <s v="Sales invoice issued"/>
    <x v="273"/>
    <s v="1094.09"/>
    <x v="3"/>
    <x v="2"/>
  </r>
  <r>
    <n v="3450"/>
    <x v="342"/>
    <s v="Sales invoice issued"/>
    <x v="273"/>
    <s v="82.05"/>
    <x v="4"/>
    <x v="3"/>
  </r>
  <r>
    <n v="3451"/>
    <x v="342"/>
    <s v="Sales invoice issued"/>
    <x v="1461"/>
    <s v="0.0"/>
    <x v="2"/>
    <x v="0"/>
  </r>
  <r>
    <n v="3451"/>
    <x v="342"/>
    <s v="Sales invoice issued"/>
    <x v="273"/>
    <s v="2872.64"/>
    <x v="3"/>
    <x v="2"/>
  </r>
  <r>
    <n v="3451"/>
    <x v="342"/>
    <s v="Sales invoice issued"/>
    <x v="273"/>
    <s v="215.46"/>
    <x v="4"/>
    <x v="3"/>
  </r>
  <r>
    <n v="3452"/>
    <x v="342"/>
    <s v="Sales invoice issued"/>
    <x v="1462"/>
    <s v="0.0"/>
    <x v="2"/>
    <x v="0"/>
  </r>
  <r>
    <n v="3452"/>
    <x v="342"/>
    <s v="Sales invoice issued"/>
    <x v="273"/>
    <s v="4973.12"/>
    <x v="3"/>
    <x v="2"/>
  </r>
  <r>
    <n v="3452"/>
    <x v="342"/>
    <s v="Sales invoice issued"/>
    <x v="273"/>
    <s v="372.98"/>
    <x v="4"/>
    <x v="3"/>
  </r>
  <r>
    <n v="3453"/>
    <x v="342"/>
    <s v="Customer payment received"/>
    <x v="1370"/>
    <s v="0.0"/>
    <x v="0"/>
    <x v="0"/>
  </r>
  <r>
    <n v="3453"/>
    <x v="342"/>
    <s v="Customer payment received"/>
    <x v="273"/>
    <s v="573.48"/>
    <x v="2"/>
    <x v="0"/>
  </r>
  <r>
    <n v="3454"/>
    <x v="342"/>
    <s v="Customer payment received"/>
    <x v="1382"/>
    <s v="0.0"/>
    <x v="0"/>
    <x v="0"/>
  </r>
  <r>
    <n v="3454"/>
    <x v="342"/>
    <s v="Customer payment received"/>
    <x v="273"/>
    <s v="1763.47"/>
    <x v="2"/>
    <x v="0"/>
  </r>
  <r>
    <n v="3455"/>
    <x v="342"/>
    <s v="Customer payment received"/>
    <x v="1386"/>
    <s v="0.0"/>
    <x v="0"/>
    <x v="0"/>
  </r>
  <r>
    <n v="3455"/>
    <x v="342"/>
    <s v="Customer payment received"/>
    <x v="273"/>
    <s v="868.03"/>
    <x v="2"/>
    <x v="0"/>
  </r>
  <r>
    <n v="3456"/>
    <x v="342"/>
    <s v="Customer payment received"/>
    <x v="1463"/>
    <s v="0.0"/>
    <x v="0"/>
    <x v="0"/>
  </r>
  <r>
    <n v="3456"/>
    <x v="342"/>
    <s v="Customer payment received"/>
    <x v="273"/>
    <s v="1160.06"/>
    <x v="2"/>
    <x v="0"/>
  </r>
  <r>
    <n v="3457"/>
    <x v="342"/>
    <s v="Customer payment received"/>
    <x v="1464"/>
    <s v="0.0"/>
    <x v="0"/>
    <x v="0"/>
  </r>
  <r>
    <n v="3457"/>
    <x v="342"/>
    <s v="Customer payment received"/>
    <x v="273"/>
    <s v="3562.14"/>
    <x v="2"/>
    <x v="0"/>
  </r>
  <r>
    <n v="3458"/>
    <x v="342"/>
    <s v="Customer payment received"/>
    <x v="1441"/>
    <s v="0.0"/>
    <x v="0"/>
    <x v="0"/>
  </r>
  <r>
    <n v="3458"/>
    <x v="342"/>
    <s v="Customer payment received"/>
    <x v="273"/>
    <s v="3413.79"/>
    <x v="2"/>
    <x v="0"/>
  </r>
  <r>
    <n v="3459"/>
    <x v="342"/>
    <s v="Supplier payment made"/>
    <x v="353"/>
    <s v="0.0"/>
    <x v="11"/>
    <x v="3"/>
  </r>
  <r>
    <n v="3459"/>
    <x v="342"/>
    <s v="Supplier payment made"/>
    <x v="273"/>
    <s v="2918.17"/>
    <x v="0"/>
    <x v="0"/>
  </r>
  <r>
    <n v="3460"/>
    <x v="342"/>
    <s v="Supplier payment made"/>
    <x v="424"/>
    <s v="0.0"/>
    <x v="11"/>
    <x v="3"/>
  </r>
  <r>
    <n v="3460"/>
    <x v="342"/>
    <s v="Supplier payment made"/>
    <x v="273"/>
    <s v="1591.54"/>
    <x v="0"/>
    <x v="0"/>
  </r>
  <r>
    <n v="3461"/>
    <x v="342"/>
    <s v="Supplier payment made"/>
    <x v="292"/>
    <s v="0.0"/>
    <x v="11"/>
    <x v="3"/>
  </r>
  <r>
    <n v="3461"/>
    <x v="342"/>
    <s v="Supplier payment made"/>
    <x v="273"/>
    <s v="1766.46"/>
    <x v="0"/>
    <x v="0"/>
  </r>
  <r>
    <n v="3462"/>
    <x v="343"/>
    <s v="Payroll processed"/>
    <x v="535"/>
    <s v="0.0"/>
    <x v="5"/>
    <x v="4"/>
  </r>
  <r>
    <n v="3462"/>
    <x v="343"/>
    <s v="Payroll processed"/>
    <x v="536"/>
    <s v="0.0"/>
    <x v="6"/>
    <x v="4"/>
  </r>
  <r>
    <n v="3462"/>
    <x v="343"/>
    <s v="Payroll processed"/>
    <x v="273"/>
    <s v="17968.47"/>
    <x v="0"/>
    <x v="0"/>
  </r>
  <r>
    <n v="3462"/>
    <x v="343"/>
    <s v="Payroll processed"/>
    <x v="273"/>
    <s v="4069.27"/>
    <x v="7"/>
    <x v="3"/>
  </r>
  <r>
    <n v="3462"/>
    <x v="343"/>
    <s v="Payroll processed"/>
    <x v="273"/>
    <s v="881.51"/>
    <x v="8"/>
    <x v="3"/>
  </r>
  <r>
    <n v="3463"/>
    <x v="343"/>
    <s v="Sales invoice issued"/>
    <x v="1465"/>
    <s v="0.0"/>
    <x v="2"/>
    <x v="0"/>
  </r>
  <r>
    <n v="3463"/>
    <x v="343"/>
    <s v="Sales invoice issued"/>
    <x v="273"/>
    <s v="1899.4"/>
    <x v="3"/>
    <x v="2"/>
  </r>
  <r>
    <n v="3463"/>
    <x v="343"/>
    <s v="Sales invoice issued"/>
    <x v="273"/>
    <s v="142.45"/>
    <x v="4"/>
    <x v="3"/>
  </r>
  <r>
    <n v="3464"/>
    <x v="343"/>
    <s v="Sales invoice issued"/>
    <x v="1466"/>
    <s v="0.0"/>
    <x v="2"/>
    <x v="0"/>
  </r>
  <r>
    <n v="3464"/>
    <x v="343"/>
    <s v="Sales invoice issued"/>
    <x v="273"/>
    <s v="3662.3"/>
    <x v="3"/>
    <x v="2"/>
  </r>
  <r>
    <n v="3464"/>
    <x v="343"/>
    <s v="Sales invoice issued"/>
    <x v="273"/>
    <s v="274.67"/>
    <x v="4"/>
    <x v="3"/>
  </r>
  <r>
    <n v="3465"/>
    <x v="343"/>
    <s v="Sales invoice issued"/>
    <x v="1467"/>
    <s v="0.0"/>
    <x v="2"/>
    <x v="0"/>
  </r>
  <r>
    <n v="3465"/>
    <x v="343"/>
    <s v="Sales invoice issued"/>
    <x v="273"/>
    <s v="2082.31"/>
    <x v="3"/>
    <x v="2"/>
  </r>
  <r>
    <n v="3465"/>
    <x v="343"/>
    <s v="Sales invoice issued"/>
    <x v="273"/>
    <s v="156.17"/>
    <x v="4"/>
    <x v="3"/>
  </r>
  <r>
    <n v="3466"/>
    <x v="343"/>
    <s v="Sales invoice issued"/>
    <x v="1468"/>
    <s v="0.0"/>
    <x v="2"/>
    <x v="0"/>
  </r>
  <r>
    <n v="3466"/>
    <x v="343"/>
    <s v="Sales invoice issued"/>
    <x v="273"/>
    <s v="817.54"/>
    <x v="3"/>
    <x v="2"/>
  </r>
  <r>
    <n v="3466"/>
    <x v="343"/>
    <s v="Sales invoice issued"/>
    <x v="273"/>
    <s v="61.32"/>
    <x v="4"/>
    <x v="3"/>
  </r>
  <r>
    <n v="3467"/>
    <x v="343"/>
    <s v="Sales invoice issued"/>
    <x v="1026"/>
    <s v="0.0"/>
    <x v="2"/>
    <x v="0"/>
  </r>
  <r>
    <n v="3467"/>
    <x v="343"/>
    <s v="Sales invoice issued"/>
    <x v="273"/>
    <s v="526.24"/>
    <x v="3"/>
    <x v="2"/>
  </r>
  <r>
    <n v="3467"/>
    <x v="343"/>
    <s v="Sales invoice issued"/>
    <x v="273"/>
    <s v="39.47"/>
    <x v="4"/>
    <x v="3"/>
  </r>
  <r>
    <n v="3468"/>
    <x v="343"/>
    <s v="Customer payment received"/>
    <x v="1440"/>
    <s v="0.0"/>
    <x v="0"/>
    <x v="0"/>
  </r>
  <r>
    <n v="3468"/>
    <x v="343"/>
    <s v="Customer payment received"/>
    <x v="273"/>
    <s v="411.83"/>
    <x v="2"/>
    <x v="0"/>
  </r>
  <r>
    <n v="3469"/>
    <x v="343"/>
    <s v="Customer payment received"/>
    <x v="1455"/>
    <s v="0.0"/>
    <x v="0"/>
    <x v="0"/>
  </r>
  <r>
    <n v="3469"/>
    <x v="343"/>
    <s v="Customer payment received"/>
    <x v="273"/>
    <s v="921.7"/>
    <x v="2"/>
    <x v="0"/>
  </r>
  <r>
    <n v="3470"/>
    <x v="343"/>
    <s v="Customer payment received"/>
    <x v="1465"/>
    <s v="0.0"/>
    <x v="0"/>
    <x v="0"/>
  </r>
  <r>
    <n v="3470"/>
    <x v="343"/>
    <s v="Customer payment received"/>
    <x v="273"/>
    <s v="2041.85"/>
    <x v="2"/>
    <x v="0"/>
  </r>
  <r>
    <n v="3471"/>
    <x v="344"/>
    <s v="Sales invoice issued"/>
    <x v="1469"/>
    <s v="0.0"/>
    <x v="2"/>
    <x v="0"/>
  </r>
  <r>
    <n v="3471"/>
    <x v="344"/>
    <s v="Sales invoice issued"/>
    <x v="273"/>
    <s v="1454.46"/>
    <x v="3"/>
    <x v="2"/>
  </r>
  <r>
    <n v="3471"/>
    <x v="344"/>
    <s v="Sales invoice issued"/>
    <x v="273"/>
    <s v="109.09"/>
    <x v="4"/>
    <x v="3"/>
  </r>
  <r>
    <n v="3472"/>
    <x v="344"/>
    <s v="Sales invoice issued"/>
    <x v="1470"/>
    <s v="0.0"/>
    <x v="2"/>
    <x v="0"/>
  </r>
  <r>
    <n v="3472"/>
    <x v="344"/>
    <s v="Sales invoice issued"/>
    <x v="273"/>
    <s v="3461.19"/>
    <x v="3"/>
    <x v="2"/>
  </r>
  <r>
    <n v="3472"/>
    <x v="344"/>
    <s v="Sales invoice issued"/>
    <x v="273"/>
    <s v="259.59"/>
    <x v="4"/>
    <x v="3"/>
  </r>
  <r>
    <n v="3473"/>
    <x v="344"/>
    <s v="Sales invoice issued"/>
    <x v="1471"/>
    <s v="0.0"/>
    <x v="2"/>
    <x v="0"/>
  </r>
  <r>
    <n v="3473"/>
    <x v="344"/>
    <s v="Sales invoice issued"/>
    <x v="273"/>
    <s v="1972.42"/>
    <x v="3"/>
    <x v="2"/>
  </r>
  <r>
    <n v="3473"/>
    <x v="344"/>
    <s v="Sales invoice issued"/>
    <x v="273"/>
    <s v="147.94"/>
    <x v="4"/>
    <x v="3"/>
  </r>
  <r>
    <n v="3474"/>
    <x v="344"/>
    <s v="Customer payment received"/>
    <x v="1329"/>
    <s v="0.0"/>
    <x v="0"/>
    <x v="0"/>
  </r>
  <r>
    <n v="3474"/>
    <x v="344"/>
    <s v="Customer payment received"/>
    <x v="273"/>
    <s v="1890.77"/>
    <x v="2"/>
    <x v="0"/>
  </r>
  <r>
    <n v="3475"/>
    <x v="344"/>
    <s v="Customer payment received"/>
    <x v="1338"/>
    <s v="0.0"/>
    <x v="0"/>
    <x v="0"/>
  </r>
  <r>
    <n v="3475"/>
    <x v="344"/>
    <s v="Customer payment received"/>
    <x v="273"/>
    <s v="1502.9"/>
    <x v="2"/>
    <x v="0"/>
  </r>
  <r>
    <n v="3476"/>
    <x v="344"/>
    <s v="Customer payment received"/>
    <x v="1385"/>
    <s v="0.0"/>
    <x v="0"/>
    <x v="0"/>
  </r>
  <r>
    <n v="3476"/>
    <x v="344"/>
    <s v="Customer payment received"/>
    <x v="273"/>
    <s v="4497.43"/>
    <x v="2"/>
    <x v="0"/>
  </r>
  <r>
    <n v="3477"/>
    <x v="344"/>
    <s v="Supplier invoice received"/>
    <x v="299"/>
    <s v="0.0"/>
    <x v="9"/>
    <x v="4"/>
  </r>
  <r>
    <n v="3477"/>
    <x v="344"/>
    <s v="Supplier invoice received"/>
    <x v="300"/>
    <s v="0.0"/>
    <x v="10"/>
    <x v="0"/>
  </r>
  <r>
    <n v="3477"/>
    <x v="344"/>
    <s v="Supplier invoice received"/>
    <x v="273"/>
    <s v="2918.17"/>
    <x v="11"/>
    <x v="3"/>
  </r>
  <r>
    <n v="3478"/>
    <x v="344"/>
    <s v="Supplier invoice received"/>
    <x v="295"/>
    <s v="0.0"/>
    <x v="9"/>
    <x v="4"/>
  </r>
  <r>
    <n v="3478"/>
    <x v="344"/>
    <s v="Supplier invoice received"/>
    <x v="296"/>
    <s v="0.0"/>
    <x v="10"/>
    <x v="0"/>
  </r>
  <r>
    <n v="3478"/>
    <x v="344"/>
    <s v="Supplier invoice received"/>
    <x v="273"/>
    <s v="1766.46"/>
    <x v="11"/>
    <x v="3"/>
  </r>
  <r>
    <n v="3479"/>
    <x v="344"/>
    <s v="Supplier payment made"/>
    <x v="310"/>
    <s v="0.0"/>
    <x v="11"/>
    <x v="3"/>
  </r>
  <r>
    <n v="3479"/>
    <x v="344"/>
    <s v="Supplier payment made"/>
    <x v="273"/>
    <s v="276.32"/>
    <x v="0"/>
    <x v="0"/>
  </r>
  <r>
    <n v="3480"/>
    <x v="344"/>
    <s v="Supplier payment made"/>
    <x v="335"/>
    <s v="0.0"/>
    <x v="11"/>
    <x v="3"/>
  </r>
  <r>
    <n v="3480"/>
    <x v="344"/>
    <s v="Supplier payment made"/>
    <x v="273"/>
    <s v="550.4"/>
    <x v="0"/>
    <x v="0"/>
  </r>
  <r>
    <n v="3481"/>
    <x v="344"/>
    <s v="Supplier payment made"/>
    <x v="280"/>
    <s v="0.0"/>
    <x v="11"/>
    <x v="3"/>
  </r>
  <r>
    <n v="3481"/>
    <x v="344"/>
    <s v="Supplier payment made"/>
    <x v="273"/>
    <s v="2635.36"/>
    <x v="0"/>
    <x v="0"/>
  </r>
  <r>
    <n v="3482"/>
    <x v="345"/>
    <s v="Sales invoice issued"/>
    <x v="1472"/>
    <s v="0.0"/>
    <x v="2"/>
    <x v="0"/>
  </r>
  <r>
    <n v="3482"/>
    <x v="345"/>
    <s v="Sales invoice issued"/>
    <x v="273"/>
    <s v="2510.92"/>
    <x v="3"/>
    <x v="2"/>
  </r>
  <r>
    <n v="3482"/>
    <x v="345"/>
    <s v="Sales invoice issued"/>
    <x v="273"/>
    <s v="188.32"/>
    <x v="4"/>
    <x v="3"/>
  </r>
  <r>
    <n v="3483"/>
    <x v="345"/>
    <s v="Sales invoice issued"/>
    <x v="1473"/>
    <s v="0.0"/>
    <x v="2"/>
    <x v="0"/>
  </r>
  <r>
    <n v="3483"/>
    <x v="345"/>
    <s v="Sales invoice issued"/>
    <x v="273"/>
    <s v="2728.28"/>
    <x v="3"/>
    <x v="2"/>
  </r>
  <r>
    <n v="3483"/>
    <x v="345"/>
    <s v="Sales invoice issued"/>
    <x v="273"/>
    <s v="204.64"/>
    <x v="4"/>
    <x v="3"/>
  </r>
  <r>
    <n v="3484"/>
    <x v="345"/>
    <s v="Sales invoice issued"/>
    <x v="1474"/>
    <s v="0.0"/>
    <x v="2"/>
    <x v="0"/>
  </r>
  <r>
    <n v="3484"/>
    <x v="345"/>
    <s v="Sales invoice issued"/>
    <x v="273"/>
    <s v="3044.89"/>
    <x v="3"/>
    <x v="2"/>
  </r>
  <r>
    <n v="3484"/>
    <x v="345"/>
    <s v="Sales invoice issued"/>
    <x v="273"/>
    <s v="228.36"/>
    <x v="4"/>
    <x v="3"/>
  </r>
  <r>
    <n v="3485"/>
    <x v="345"/>
    <s v="Customer payment received"/>
    <x v="1394"/>
    <s v="0.0"/>
    <x v="0"/>
    <x v="0"/>
  </r>
  <r>
    <n v="3485"/>
    <x v="345"/>
    <s v="Customer payment received"/>
    <x v="273"/>
    <s v="5900.38"/>
    <x v="2"/>
    <x v="0"/>
  </r>
  <r>
    <n v="3486"/>
    <x v="345"/>
    <s v="Customer payment received"/>
    <x v="1459"/>
    <s v="0.0"/>
    <x v="0"/>
    <x v="0"/>
  </r>
  <r>
    <n v="3486"/>
    <x v="345"/>
    <s v="Customer payment received"/>
    <x v="273"/>
    <s v="1885.45"/>
    <x v="2"/>
    <x v="0"/>
  </r>
  <r>
    <n v="3487"/>
    <x v="345"/>
    <s v="Supplier invoice received"/>
    <x v="443"/>
    <s v="0.0"/>
    <x v="9"/>
    <x v="4"/>
  </r>
  <r>
    <n v="3487"/>
    <x v="345"/>
    <s v="Supplier invoice received"/>
    <x v="444"/>
    <s v="0.0"/>
    <x v="10"/>
    <x v="0"/>
  </r>
  <r>
    <n v="3487"/>
    <x v="345"/>
    <s v="Supplier invoice received"/>
    <x v="273"/>
    <s v="748.26"/>
    <x v="11"/>
    <x v="3"/>
  </r>
  <r>
    <n v="3488"/>
    <x v="345"/>
    <s v="Supplier invoice received"/>
    <x v="372"/>
    <s v="0.0"/>
    <x v="9"/>
    <x v="4"/>
  </r>
  <r>
    <n v="3488"/>
    <x v="345"/>
    <s v="Supplier invoice received"/>
    <x v="373"/>
    <s v="0.0"/>
    <x v="10"/>
    <x v="0"/>
  </r>
  <r>
    <n v="3488"/>
    <x v="345"/>
    <s v="Supplier invoice received"/>
    <x v="273"/>
    <s v="412.54"/>
    <x v="11"/>
    <x v="3"/>
  </r>
  <r>
    <n v="3489"/>
    <x v="345"/>
    <s v="Supplier invoice received"/>
    <x v="338"/>
    <s v="0.0"/>
    <x v="9"/>
    <x v="4"/>
  </r>
  <r>
    <n v="3489"/>
    <x v="345"/>
    <s v="Supplier invoice received"/>
    <x v="339"/>
    <s v="0.0"/>
    <x v="10"/>
    <x v="0"/>
  </r>
  <r>
    <n v="3489"/>
    <x v="345"/>
    <s v="Supplier invoice received"/>
    <x v="273"/>
    <s v="1159.84"/>
    <x v="11"/>
    <x v="3"/>
  </r>
  <r>
    <n v="3490"/>
    <x v="345"/>
    <s v="Supplier invoice received"/>
    <x v="374"/>
    <s v="0.0"/>
    <x v="9"/>
    <x v="4"/>
  </r>
  <r>
    <n v="3490"/>
    <x v="345"/>
    <s v="Supplier invoice received"/>
    <x v="375"/>
    <s v="0.0"/>
    <x v="10"/>
    <x v="0"/>
  </r>
  <r>
    <n v="3490"/>
    <x v="345"/>
    <s v="Supplier invoice received"/>
    <x v="273"/>
    <s v="2504.23"/>
    <x v="11"/>
    <x v="3"/>
  </r>
  <r>
    <n v="3491"/>
    <x v="345"/>
    <s v="Supplier invoice received"/>
    <x v="303"/>
    <s v="0.0"/>
    <x v="9"/>
    <x v="4"/>
  </r>
  <r>
    <n v="3491"/>
    <x v="345"/>
    <s v="Supplier invoice received"/>
    <x v="304"/>
    <s v="0.0"/>
    <x v="10"/>
    <x v="0"/>
  </r>
  <r>
    <n v="3491"/>
    <x v="345"/>
    <s v="Supplier invoice received"/>
    <x v="273"/>
    <s v="550.4"/>
    <x v="11"/>
    <x v="3"/>
  </r>
  <r>
    <n v="3492"/>
    <x v="345"/>
    <s v="Supplier invoice received"/>
    <x v="332"/>
    <s v="0.0"/>
    <x v="9"/>
    <x v="4"/>
  </r>
  <r>
    <n v="3492"/>
    <x v="345"/>
    <s v="Supplier invoice received"/>
    <x v="333"/>
    <s v="0.0"/>
    <x v="10"/>
    <x v="0"/>
  </r>
  <r>
    <n v="3492"/>
    <x v="345"/>
    <s v="Supplier invoice received"/>
    <x v="273"/>
    <s v="1023.42"/>
    <x v="11"/>
    <x v="3"/>
  </r>
  <r>
    <n v="3493"/>
    <x v="345"/>
    <s v="Supplier invoice received"/>
    <x v="305"/>
    <s v="0.0"/>
    <x v="9"/>
    <x v="4"/>
  </r>
  <r>
    <n v="3493"/>
    <x v="345"/>
    <s v="Supplier invoice received"/>
    <x v="306"/>
    <s v="0.0"/>
    <x v="10"/>
    <x v="0"/>
  </r>
  <r>
    <n v="3493"/>
    <x v="345"/>
    <s v="Supplier invoice received"/>
    <x v="273"/>
    <s v="276.32"/>
    <x v="11"/>
    <x v="3"/>
  </r>
  <r>
    <n v="3494"/>
    <x v="345"/>
    <s v="Supplier invoice received"/>
    <x v="307"/>
    <s v="0.0"/>
    <x v="9"/>
    <x v="4"/>
  </r>
  <r>
    <n v="3494"/>
    <x v="345"/>
    <s v="Supplier invoice received"/>
    <x v="308"/>
    <s v="0.0"/>
    <x v="10"/>
    <x v="0"/>
  </r>
  <r>
    <n v="3494"/>
    <x v="345"/>
    <s v="Supplier invoice received"/>
    <x v="273"/>
    <s v="2093.28"/>
    <x v="11"/>
    <x v="3"/>
  </r>
  <r>
    <n v="3495"/>
    <x v="345"/>
    <s v="Supplier invoice received"/>
    <x v="330"/>
    <s v="0.0"/>
    <x v="9"/>
    <x v="4"/>
  </r>
  <r>
    <n v="3495"/>
    <x v="345"/>
    <s v="Supplier invoice received"/>
    <x v="331"/>
    <s v="0.0"/>
    <x v="10"/>
    <x v="0"/>
  </r>
  <r>
    <n v="3495"/>
    <x v="345"/>
    <s v="Supplier invoice received"/>
    <x v="273"/>
    <s v="1935.04"/>
    <x v="11"/>
    <x v="3"/>
  </r>
  <r>
    <n v="3496"/>
    <x v="345"/>
    <s v="Supplier payment made"/>
    <x v="335"/>
    <s v="0.0"/>
    <x v="11"/>
    <x v="3"/>
  </r>
  <r>
    <n v="3496"/>
    <x v="345"/>
    <s v="Supplier payment made"/>
    <x v="273"/>
    <s v="550.4"/>
    <x v="0"/>
    <x v="0"/>
  </r>
  <r>
    <n v="3497"/>
    <x v="345"/>
    <s v="Supplier payment made"/>
    <x v="336"/>
    <s v="0.0"/>
    <x v="11"/>
    <x v="3"/>
  </r>
  <r>
    <n v="3497"/>
    <x v="345"/>
    <s v="Supplier payment made"/>
    <x v="273"/>
    <s v="2093.28"/>
    <x v="0"/>
    <x v="0"/>
  </r>
  <r>
    <n v="3498"/>
    <x v="345"/>
    <s v="Supplier payment made"/>
    <x v="327"/>
    <s v="0.0"/>
    <x v="11"/>
    <x v="3"/>
  </r>
  <r>
    <n v="3498"/>
    <x v="345"/>
    <s v="Supplier payment made"/>
    <x v="273"/>
    <s v="1935.04"/>
    <x v="0"/>
    <x v="0"/>
  </r>
  <r>
    <n v="3499"/>
    <x v="345"/>
    <s v="Supplier payment made"/>
    <x v="408"/>
    <s v="0.0"/>
    <x v="11"/>
    <x v="3"/>
  </r>
  <r>
    <n v="3499"/>
    <x v="345"/>
    <s v="Supplier payment made"/>
    <x v="273"/>
    <s v="3868.8"/>
    <x v="0"/>
    <x v="0"/>
  </r>
  <r>
    <n v="3500"/>
    <x v="345"/>
    <s v="Supplier payment made"/>
    <x v="353"/>
    <s v="0.0"/>
    <x v="11"/>
    <x v="3"/>
  </r>
  <r>
    <n v="3500"/>
    <x v="345"/>
    <s v="Supplier payment made"/>
    <x v="273"/>
    <s v="2918.17"/>
    <x v="0"/>
    <x v="0"/>
  </r>
  <r>
    <n v="3501"/>
    <x v="346"/>
    <s v="Sales invoice issued"/>
    <x v="1475"/>
    <s v="0.0"/>
    <x v="2"/>
    <x v="0"/>
  </r>
  <r>
    <n v="3501"/>
    <x v="346"/>
    <s v="Sales invoice issued"/>
    <x v="273"/>
    <s v="788.2"/>
    <x v="3"/>
    <x v="2"/>
  </r>
  <r>
    <n v="3501"/>
    <x v="346"/>
    <s v="Sales invoice issued"/>
    <x v="273"/>
    <s v="59.12"/>
    <x v="4"/>
    <x v="3"/>
  </r>
  <r>
    <n v="3502"/>
    <x v="346"/>
    <s v="Sales invoice issued"/>
    <x v="1476"/>
    <s v="0.0"/>
    <x v="2"/>
    <x v="0"/>
  </r>
  <r>
    <n v="3502"/>
    <x v="346"/>
    <s v="Sales invoice issued"/>
    <x v="273"/>
    <s v="3596.84"/>
    <x v="3"/>
    <x v="2"/>
  </r>
  <r>
    <n v="3502"/>
    <x v="346"/>
    <s v="Sales invoice issued"/>
    <x v="273"/>
    <s v="269.75"/>
    <x v="4"/>
    <x v="3"/>
  </r>
  <r>
    <n v="3503"/>
    <x v="346"/>
    <s v="Sales invoice issued"/>
    <x v="1477"/>
    <s v="0.0"/>
    <x v="2"/>
    <x v="0"/>
  </r>
  <r>
    <n v="3503"/>
    <x v="346"/>
    <s v="Sales invoice issued"/>
    <x v="273"/>
    <s v="507.62"/>
    <x v="3"/>
    <x v="2"/>
  </r>
  <r>
    <n v="3503"/>
    <x v="346"/>
    <s v="Sales invoice issued"/>
    <x v="273"/>
    <s v="38.07"/>
    <x v="4"/>
    <x v="3"/>
  </r>
  <r>
    <n v="3504"/>
    <x v="346"/>
    <s v="Sales invoice issued"/>
    <x v="1478"/>
    <s v="0.0"/>
    <x v="2"/>
    <x v="0"/>
  </r>
  <r>
    <n v="3504"/>
    <x v="346"/>
    <s v="Sales invoice issued"/>
    <x v="273"/>
    <s v="5188.95"/>
    <x v="3"/>
    <x v="2"/>
  </r>
  <r>
    <n v="3504"/>
    <x v="346"/>
    <s v="Sales invoice issued"/>
    <x v="273"/>
    <s v="389.17"/>
    <x v="4"/>
    <x v="3"/>
  </r>
  <r>
    <n v="3505"/>
    <x v="346"/>
    <s v="Sales invoice issued"/>
    <x v="1479"/>
    <s v="0.0"/>
    <x v="2"/>
    <x v="0"/>
  </r>
  <r>
    <n v="3505"/>
    <x v="346"/>
    <s v="Sales invoice issued"/>
    <x v="273"/>
    <s v="3158.11"/>
    <x v="3"/>
    <x v="2"/>
  </r>
  <r>
    <n v="3505"/>
    <x v="346"/>
    <s v="Sales invoice issued"/>
    <x v="273"/>
    <s v="236.86"/>
    <x v="4"/>
    <x v="3"/>
  </r>
  <r>
    <n v="3506"/>
    <x v="346"/>
    <s v="Sales invoice issued"/>
    <x v="1480"/>
    <s v="0.0"/>
    <x v="2"/>
    <x v="0"/>
  </r>
  <r>
    <n v="3506"/>
    <x v="346"/>
    <s v="Sales invoice issued"/>
    <x v="273"/>
    <s v="226.06"/>
    <x v="3"/>
    <x v="2"/>
  </r>
  <r>
    <n v="3506"/>
    <x v="346"/>
    <s v="Sales invoice issued"/>
    <x v="273"/>
    <s v="16.95"/>
    <x v="4"/>
    <x v="3"/>
  </r>
  <r>
    <n v="3507"/>
    <x v="346"/>
    <s v="Sales invoice issued"/>
    <x v="1481"/>
    <s v="0.0"/>
    <x v="2"/>
    <x v="0"/>
  </r>
  <r>
    <n v="3507"/>
    <x v="346"/>
    <s v="Sales invoice issued"/>
    <x v="273"/>
    <s v="226.08"/>
    <x v="3"/>
    <x v="2"/>
  </r>
  <r>
    <n v="3507"/>
    <x v="346"/>
    <s v="Sales invoice issued"/>
    <x v="273"/>
    <s v="16.96"/>
    <x v="4"/>
    <x v="3"/>
  </r>
  <r>
    <n v="3508"/>
    <x v="346"/>
    <s v="Sales invoice issued"/>
    <x v="1482"/>
    <s v="0.0"/>
    <x v="2"/>
    <x v="0"/>
  </r>
  <r>
    <n v="3508"/>
    <x v="346"/>
    <s v="Sales invoice issued"/>
    <x v="273"/>
    <s v="1557.57"/>
    <x v="3"/>
    <x v="2"/>
  </r>
  <r>
    <n v="3508"/>
    <x v="346"/>
    <s v="Sales invoice issued"/>
    <x v="273"/>
    <s v="116.82"/>
    <x v="4"/>
    <x v="3"/>
  </r>
  <r>
    <n v="3509"/>
    <x v="346"/>
    <s v="Sales invoice issued"/>
    <x v="652"/>
    <s v="0.0"/>
    <x v="2"/>
    <x v="0"/>
  </r>
  <r>
    <n v="3509"/>
    <x v="346"/>
    <s v="Sales invoice issued"/>
    <x v="273"/>
    <s v="1385.04"/>
    <x v="3"/>
    <x v="2"/>
  </r>
  <r>
    <n v="3509"/>
    <x v="346"/>
    <s v="Sales invoice issued"/>
    <x v="273"/>
    <s v="103.88"/>
    <x v="4"/>
    <x v="3"/>
  </r>
  <r>
    <n v="3510"/>
    <x v="346"/>
    <s v="Sales invoice issued"/>
    <x v="1483"/>
    <s v="0.0"/>
    <x v="2"/>
    <x v="0"/>
  </r>
  <r>
    <n v="3510"/>
    <x v="346"/>
    <s v="Sales invoice issued"/>
    <x v="273"/>
    <s v="986.28"/>
    <x v="3"/>
    <x v="2"/>
  </r>
  <r>
    <n v="3510"/>
    <x v="346"/>
    <s v="Sales invoice issued"/>
    <x v="273"/>
    <s v="73.97"/>
    <x v="4"/>
    <x v="3"/>
  </r>
  <r>
    <n v="3511"/>
    <x v="346"/>
    <s v="Customer payment received"/>
    <x v="1362"/>
    <s v="0.0"/>
    <x v="0"/>
    <x v="0"/>
  </r>
  <r>
    <n v="3511"/>
    <x v="346"/>
    <s v="Customer payment received"/>
    <x v="273"/>
    <s v="1824.35"/>
    <x v="2"/>
    <x v="0"/>
  </r>
  <r>
    <n v="3512"/>
    <x v="346"/>
    <s v="Customer payment received"/>
    <x v="1449"/>
    <s v="0.0"/>
    <x v="0"/>
    <x v="0"/>
  </r>
  <r>
    <n v="3512"/>
    <x v="346"/>
    <s v="Customer payment received"/>
    <x v="273"/>
    <s v="1490.47"/>
    <x v="2"/>
    <x v="0"/>
  </r>
  <r>
    <n v="3513"/>
    <x v="346"/>
    <s v="Customer payment received"/>
    <x v="1461"/>
    <s v="0.0"/>
    <x v="0"/>
    <x v="0"/>
  </r>
  <r>
    <n v="3513"/>
    <x v="346"/>
    <s v="Customer payment received"/>
    <x v="273"/>
    <s v="3088.1"/>
    <x v="2"/>
    <x v="0"/>
  </r>
  <r>
    <n v="3514"/>
    <x v="346"/>
    <s v="Customer payment received"/>
    <x v="1467"/>
    <s v="0.0"/>
    <x v="0"/>
    <x v="0"/>
  </r>
  <r>
    <n v="3514"/>
    <x v="346"/>
    <s v="Customer payment received"/>
    <x v="273"/>
    <s v="2238.48"/>
    <x v="2"/>
    <x v="0"/>
  </r>
  <r>
    <n v="3515"/>
    <x v="346"/>
    <s v="Customer payment received"/>
    <x v="1026"/>
    <s v="0.0"/>
    <x v="0"/>
    <x v="0"/>
  </r>
  <r>
    <n v="3515"/>
    <x v="346"/>
    <s v="Customer payment received"/>
    <x v="273"/>
    <s v="565.71"/>
    <x v="2"/>
    <x v="0"/>
  </r>
  <r>
    <n v="3516"/>
    <x v="346"/>
    <s v="Customer payment received"/>
    <x v="1475"/>
    <s v="0.0"/>
    <x v="0"/>
    <x v="0"/>
  </r>
  <r>
    <n v="3516"/>
    <x v="346"/>
    <s v="Customer payment received"/>
    <x v="273"/>
    <s v="847.32"/>
    <x v="2"/>
    <x v="0"/>
  </r>
  <r>
    <n v="3517"/>
    <x v="346"/>
    <s v="Supplier payment made"/>
    <x v="496"/>
    <s v="0.0"/>
    <x v="11"/>
    <x v="3"/>
  </r>
  <r>
    <n v="3517"/>
    <x v="346"/>
    <s v="Supplier payment made"/>
    <x v="273"/>
    <s v="7227.44"/>
    <x v="0"/>
    <x v="0"/>
  </r>
  <r>
    <n v="3518"/>
    <x v="346"/>
    <s v="Supplier payment made"/>
    <x v="353"/>
    <s v="0.0"/>
    <x v="11"/>
    <x v="3"/>
  </r>
  <r>
    <n v="3518"/>
    <x v="346"/>
    <s v="Supplier payment made"/>
    <x v="273"/>
    <s v="2918.17"/>
    <x v="0"/>
    <x v="0"/>
  </r>
  <r>
    <n v="3519"/>
    <x v="347"/>
    <s v="Sales invoice issued"/>
    <x v="1484"/>
    <s v="0.0"/>
    <x v="2"/>
    <x v="0"/>
  </r>
  <r>
    <n v="3519"/>
    <x v="347"/>
    <s v="Sales invoice issued"/>
    <x v="273"/>
    <s v="2097.66"/>
    <x v="3"/>
    <x v="2"/>
  </r>
  <r>
    <n v="3519"/>
    <x v="347"/>
    <s v="Sales invoice issued"/>
    <x v="273"/>
    <s v="157.32"/>
    <x v="4"/>
    <x v="3"/>
  </r>
  <r>
    <n v="3520"/>
    <x v="347"/>
    <s v="Sales invoice issued"/>
    <x v="1485"/>
    <s v="0.0"/>
    <x v="2"/>
    <x v="0"/>
  </r>
  <r>
    <n v="3520"/>
    <x v="347"/>
    <s v="Sales invoice issued"/>
    <x v="273"/>
    <s v="3893.48"/>
    <x v="3"/>
    <x v="2"/>
  </r>
  <r>
    <n v="3520"/>
    <x v="347"/>
    <s v="Sales invoice issued"/>
    <x v="273"/>
    <s v="292.02"/>
    <x v="4"/>
    <x v="3"/>
  </r>
  <r>
    <n v="3521"/>
    <x v="347"/>
    <s v="Sales invoice issued"/>
    <x v="1345"/>
    <s v="0.0"/>
    <x v="2"/>
    <x v="0"/>
  </r>
  <r>
    <n v="3521"/>
    <x v="347"/>
    <s v="Sales invoice issued"/>
    <x v="273"/>
    <s v="229.86"/>
    <x v="3"/>
    <x v="2"/>
  </r>
  <r>
    <n v="3521"/>
    <x v="347"/>
    <s v="Sales invoice issued"/>
    <x v="273"/>
    <s v="17.24"/>
    <x v="4"/>
    <x v="3"/>
  </r>
  <r>
    <n v="3522"/>
    <x v="347"/>
    <s v="Sales invoice issued"/>
    <x v="1486"/>
    <s v="0.0"/>
    <x v="2"/>
    <x v="0"/>
  </r>
  <r>
    <n v="3522"/>
    <x v="347"/>
    <s v="Sales invoice issued"/>
    <x v="273"/>
    <s v="1980.35"/>
    <x v="3"/>
    <x v="2"/>
  </r>
  <r>
    <n v="3522"/>
    <x v="347"/>
    <s v="Sales invoice issued"/>
    <x v="273"/>
    <s v="148.53"/>
    <x v="4"/>
    <x v="3"/>
  </r>
  <r>
    <n v="3523"/>
    <x v="347"/>
    <s v="Sales invoice issued"/>
    <x v="1487"/>
    <s v="0.0"/>
    <x v="2"/>
    <x v="0"/>
  </r>
  <r>
    <n v="3523"/>
    <x v="347"/>
    <s v="Sales invoice issued"/>
    <x v="273"/>
    <s v="5272.07"/>
    <x v="3"/>
    <x v="2"/>
  </r>
  <r>
    <n v="3523"/>
    <x v="347"/>
    <s v="Sales invoice issued"/>
    <x v="273"/>
    <s v="395.4"/>
    <x v="4"/>
    <x v="3"/>
  </r>
  <r>
    <n v="3524"/>
    <x v="347"/>
    <s v="Sales invoice issued"/>
    <x v="1488"/>
    <s v="0.0"/>
    <x v="2"/>
    <x v="0"/>
  </r>
  <r>
    <n v="3524"/>
    <x v="347"/>
    <s v="Sales invoice issued"/>
    <x v="273"/>
    <s v="1460.21"/>
    <x v="3"/>
    <x v="2"/>
  </r>
  <r>
    <n v="3524"/>
    <x v="347"/>
    <s v="Sales invoice issued"/>
    <x v="273"/>
    <s v="109.52"/>
    <x v="4"/>
    <x v="3"/>
  </r>
  <r>
    <n v="3525"/>
    <x v="347"/>
    <s v="Customer payment received"/>
    <x v="1364"/>
    <s v="0.0"/>
    <x v="0"/>
    <x v="0"/>
  </r>
  <r>
    <n v="3525"/>
    <x v="347"/>
    <s v="Customer payment received"/>
    <x v="273"/>
    <s v="2679.36"/>
    <x v="2"/>
    <x v="0"/>
  </r>
  <r>
    <n v="3526"/>
    <x v="347"/>
    <s v="Customer payment received"/>
    <x v="364"/>
    <s v="0.0"/>
    <x v="0"/>
    <x v="0"/>
  </r>
  <r>
    <n v="3526"/>
    <x v="347"/>
    <s v="Customer payment received"/>
    <x v="273"/>
    <s v="87.62"/>
    <x v="2"/>
    <x v="0"/>
  </r>
  <r>
    <n v="3527"/>
    <x v="347"/>
    <s v="Customer payment received"/>
    <x v="1487"/>
    <s v="0.0"/>
    <x v="0"/>
    <x v="0"/>
  </r>
  <r>
    <n v="3527"/>
    <x v="347"/>
    <s v="Customer payment received"/>
    <x v="273"/>
    <s v="5667.47"/>
    <x v="2"/>
    <x v="0"/>
  </r>
  <r>
    <n v="3528"/>
    <x v="347"/>
    <s v="Supplier payment made"/>
    <x v="515"/>
    <s v="0.0"/>
    <x v="11"/>
    <x v="3"/>
  </r>
  <r>
    <n v="3528"/>
    <x v="347"/>
    <s v="Supplier payment made"/>
    <x v="273"/>
    <s v="862.91"/>
    <x v="0"/>
    <x v="0"/>
  </r>
  <r>
    <n v="3529"/>
    <x v="347"/>
    <s v="Supplier payment made"/>
    <x v="309"/>
    <s v="0.0"/>
    <x v="11"/>
    <x v="3"/>
  </r>
  <r>
    <n v="3529"/>
    <x v="347"/>
    <s v="Supplier payment made"/>
    <x v="273"/>
    <s v="4812.46"/>
    <x v="0"/>
    <x v="0"/>
  </r>
  <r>
    <n v="3530"/>
    <x v="347"/>
    <s v="Supplier payment made"/>
    <x v="327"/>
    <s v="0.0"/>
    <x v="11"/>
    <x v="3"/>
  </r>
  <r>
    <n v="3530"/>
    <x v="347"/>
    <s v="Supplier payment made"/>
    <x v="273"/>
    <s v="1935.04"/>
    <x v="0"/>
    <x v="0"/>
  </r>
  <r>
    <n v="3531"/>
    <x v="347"/>
    <s v="Depreciation â€” POS System"/>
    <x v="425"/>
    <s v="0.0"/>
    <x v="12"/>
    <x v="4"/>
  </r>
  <r>
    <n v="3531"/>
    <x v="347"/>
    <s v="Depreciation â€” POS System"/>
    <x v="273"/>
    <s v="93.61"/>
    <x v="13"/>
    <x v="0"/>
  </r>
  <r>
    <n v="3532"/>
    <x v="347"/>
    <s v="Depreciation â€” Laptop x2"/>
    <x v="426"/>
    <s v="0.0"/>
    <x v="12"/>
    <x v="4"/>
  </r>
  <r>
    <n v="3532"/>
    <x v="347"/>
    <s v="Depreciation â€” Laptop x2"/>
    <x v="273"/>
    <s v="76.86"/>
    <x v="13"/>
    <x v="0"/>
  </r>
  <r>
    <n v="3533"/>
    <x v="347"/>
    <s v="Depreciation â€” Printer/Scanner"/>
    <x v="427"/>
    <s v="0.0"/>
    <x v="12"/>
    <x v="4"/>
  </r>
  <r>
    <n v="3533"/>
    <x v="347"/>
    <s v="Depreciation â€” Printer/Scanner"/>
    <x v="273"/>
    <s v="20.03"/>
    <x v="13"/>
    <x v="0"/>
  </r>
  <r>
    <n v="3534"/>
    <x v="347"/>
    <s v="Depreciation â€” Shop Shelving"/>
    <x v="428"/>
    <s v="0.0"/>
    <x v="12"/>
    <x v="4"/>
  </r>
  <r>
    <n v="3534"/>
    <x v="347"/>
    <s v="Depreciation â€” Shop Shelving"/>
    <x v="273"/>
    <s v="86.89"/>
    <x v="14"/>
    <x v="0"/>
  </r>
  <r>
    <n v="3535"/>
    <x v="347"/>
    <s v="Depreciation â€” Display Stands"/>
    <x v="429"/>
    <s v="0.0"/>
    <x v="12"/>
    <x v="4"/>
  </r>
  <r>
    <n v="3535"/>
    <x v="347"/>
    <s v="Depreciation â€” Display Stands"/>
    <x v="273"/>
    <s v="76.8"/>
    <x v="14"/>
    <x v="0"/>
  </r>
  <r>
    <n v="3536"/>
    <x v="347"/>
    <s v="Depreciation â€” Counter &amp; Checkout"/>
    <x v="430"/>
    <s v="0.0"/>
    <x v="12"/>
    <x v="4"/>
  </r>
  <r>
    <n v="3536"/>
    <x v="347"/>
    <s v="Depreciation â€” Counter &amp; Checkout"/>
    <x v="273"/>
    <s v="48.28"/>
    <x v="14"/>
    <x v="0"/>
  </r>
  <r>
    <n v="3537"/>
    <x v="347"/>
    <s v="Depreciation â€” Signage"/>
    <x v="431"/>
    <s v="0.0"/>
    <x v="12"/>
    <x v="4"/>
  </r>
  <r>
    <n v="3537"/>
    <x v="347"/>
    <s v="Depreciation â€” Signage"/>
    <x v="273"/>
    <s v="53.21"/>
    <x v="14"/>
    <x v="0"/>
  </r>
  <r>
    <n v="3538"/>
    <x v="347"/>
    <s v="Depreciation â€” Delivery Van"/>
    <x v="432"/>
    <s v="0.0"/>
    <x v="12"/>
    <x v="4"/>
  </r>
  <r>
    <n v="3538"/>
    <x v="347"/>
    <s v="Depreciation â€” Delivery Van"/>
    <x v="273"/>
    <s v="232.19"/>
    <x v="15"/>
    <x v="0"/>
  </r>
  <r>
    <n v="3539"/>
    <x v="347"/>
    <s v="Depreciation â€” Security System"/>
    <x v="433"/>
    <s v="0.0"/>
    <x v="12"/>
    <x v="4"/>
  </r>
  <r>
    <n v="3539"/>
    <x v="347"/>
    <s v="Depreciation â€” Security System"/>
    <x v="273"/>
    <s v="43.85"/>
    <x v="13"/>
    <x v="0"/>
  </r>
  <r>
    <n v="3540"/>
    <x v="348"/>
    <s v="Sales invoice issued"/>
    <x v="1489"/>
    <s v="0.0"/>
    <x v="2"/>
    <x v="0"/>
  </r>
  <r>
    <n v="3540"/>
    <x v="348"/>
    <s v="Sales invoice issued"/>
    <x v="273"/>
    <s v="3015.03"/>
    <x v="3"/>
    <x v="2"/>
  </r>
  <r>
    <n v="3540"/>
    <x v="348"/>
    <s v="Sales invoice issued"/>
    <x v="273"/>
    <s v="226.14"/>
    <x v="4"/>
    <x v="3"/>
  </r>
  <r>
    <n v="3541"/>
    <x v="348"/>
    <s v="Sales invoice issued"/>
    <x v="1490"/>
    <s v="0.0"/>
    <x v="2"/>
    <x v="0"/>
  </r>
  <r>
    <n v="3541"/>
    <x v="348"/>
    <s v="Sales invoice issued"/>
    <x v="273"/>
    <s v="4264.24"/>
    <x v="3"/>
    <x v="2"/>
  </r>
  <r>
    <n v="3541"/>
    <x v="348"/>
    <s v="Sales invoice issued"/>
    <x v="273"/>
    <s v="319.84"/>
    <x v="4"/>
    <x v="3"/>
  </r>
  <r>
    <n v="3542"/>
    <x v="348"/>
    <s v="Sales invoice issued"/>
    <x v="1491"/>
    <s v="0.0"/>
    <x v="2"/>
    <x v="0"/>
  </r>
  <r>
    <n v="3542"/>
    <x v="348"/>
    <s v="Sales invoice issued"/>
    <x v="273"/>
    <s v="2680.79"/>
    <x v="3"/>
    <x v="2"/>
  </r>
  <r>
    <n v="3542"/>
    <x v="348"/>
    <s v="Sales invoice issued"/>
    <x v="273"/>
    <s v="201.06"/>
    <x v="4"/>
    <x v="3"/>
  </r>
  <r>
    <n v="3543"/>
    <x v="348"/>
    <s v="Sales invoice issued"/>
    <x v="1492"/>
    <s v="0.0"/>
    <x v="2"/>
    <x v="0"/>
  </r>
  <r>
    <n v="3543"/>
    <x v="348"/>
    <s v="Sales invoice issued"/>
    <x v="273"/>
    <s v="175.88"/>
    <x v="3"/>
    <x v="2"/>
  </r>
  <r>
    <n v="3543"/>
    <x v="348"/>
    <s v="Sales invoice issued"/>
    <x v="273"/>
    <s v="13.2"/>
    <x v="4"/>
    <x v="3"/>
  </r>
  <r>
    <n v="3544"/>
    <x v="348"/>
    <s v="Sales invoice issued"/>
    <x v="1493"/>
    <s v="0.0"/>
    <x v="2"/>
    <x v="0"/>
  </r>
  <r>
    <n v="3544"/>
    <x v="348"/>
    <s v="Sales invoice issued"/>
    <x v="273"/>
    <s v="1563.09"/>
    <x v="3"/>
    <x v="2"/>
  </r>
  <r>
    <n v="3544"/>
    <x v="348"/>
    <s v="Sales invoice issued"/>
    <x v="273"/>
    <s v="117.22"/>
    <x v="4"/>
    <x v="3"/>
  </r>
  <r>
    <n v="3545"/>
    <x v="348"/>
    <s v="Sales invoice issued"/>
    <x v="1494"/>
    <s v="0.0"/>
    <x v="2"/>
    <x v="0"/>
  </r>
  <r>
    <n v="3545"/>
    <x v="348"/>
    <s v="Sales invoice issued"/>
    <x v="273"/>
    <s v="3493.65"/>
    <x v="3"/>
    <x v="2"/>
  </r>
  <r>
    <n v="3545"/>
    <x v="348"/>
    <s v="Sales invoice issued"/>
    <x v="273"/>
    <s v="262.01"/>
    <x v="4"/>
    <x v="3"/>
  </r>
  <r>
    <n v="3546"/>
    <x v="348"/>
    <s v="Sales invoice issued"/>
    <x v="1495"/>
    <s v="0.0"/>
    <x v="2"/>
    <x v="0"/>
  </r>
  <r>
    <n v="3546"/>
    <x v="348"/>
    <s v="Sales invoice issued"/>
    <x v="273"/>
    <s v="3429.94"/>
    <x v="3"/>
    <x v="2"/>
  </r>
  <r>
    <n v="3546"/>
    <x v="348"/>
    <s v="Sales invoice issued"/>
    <x v="273"/>
    <s v="257.24"/>
    <x v="4"/>
    <x v="3"/>
  </r>
  <r>
    <n v="3547"/>
    <x v="348"/>
    <s v="Sales invoice issued"/>
    <x v="1496"/>
    <s v="0.0"/>
    <x v="2"/>
    <x v="0"/>
  </r>
  <r>
    <n v="3547"/>
    <x v="348"/>
    <s v="Sales invoice issued"/>
    <x v="273"/>
    <s v="1065.98"/>
    <x v="3"/>
    <x v="2"/>
  </r>
  <r>
    <n v="3547"/>
    <x v="348"/>
    <s v="Sales invoice issued"/>
    <x v="273"/>
    <s v="79.94"/>
    <x v="4"/>
    <x v="3"/>
  </r>
  <r>
    <n v="3548"/>
    <x v="348"/>
    <s v="Customer payment received"/>
    <x v="1318"/>
    <s v="0.0"/>
    <x v="0"/>
    <x v="0"/>
  </r>
  <r>
    <n v="3548"/>
    <x v="348"/>
    <s v="Customer payment received"/>
    <x v="273"/>
    <s v="1387.14"/>
    <x v="2"/>
    <x v="0"/>
  </r>
  <r>
    <n v="3549"/>
    <x v="348"/>
    <s v="Customer payment received"/>
    <x v="1480"/>
    <s v="0.0"/>
    <x v="0"/>
    <x v="0"/>
  </r>
  <r>
    <n v="3549"/>
    <x v="348"/>
    <s v="Customer payment received"/>
    <x v="273"/>
    <s v="243.01"/>
    <x v="2"/>
    <x v="0"/>
  </r>
  <r>
    <n v="3550"/>
    <x v="348"/>
    <s v="Supplier invoice received"/>
    <x v="301"/>
    <s v="0.0"/>
    <x v="9"/>
    <x v="4"/>
  </r>
  <r>
    <n v="3550"/>
    <x v="348"/>
    <s v="Supplier invoice received"/>
    <x v="302"/>
    <s v="0.0"/>
    <x v="10"/>
    <x v="0"/>
  </r>
  <r>
    <n v="3550"/>
    <x v="348"/>
    <s v="Supplier invoice received"/>
    <x v="273"/>
    <s v="4812.46"/>
    <x v="11"/>
    <x v="3"/>
  </r>
  <r>
    <n v="3551"/>
    <x v="348"/>
    <s v="Supplier payment made"/>
    <x v="334"/>
    <s v="0.0"/>
    <x v="11"/>
    <x v="3"/>
  </r>
  <r>
    <n v="3551"/>
    <x v="348"/>
    <s v="Supplier payment made"/>
    <x v="273"/>
    <s v="3528.97"/>
    <x v="0"/>
    <x v="0"/>
  </r>
  <r>
    <n v="3552"/>
    <x v="348"/>
    <s v="Supplier payment made"/>
    <x v="407"/>
    <s v="0.0"/>
    <x v="11"/>
    <x v="3"/>
  </r>
  <r>
    <n v="3552"/>
    <x v="348"/>
    <s v="Supplier payment made"/>
    <x v="273"/>
    <s v="201.5"/>
    <x v="0"/>
    <x v="0"/>
  </r>
  <r>
    <n v="3553"/>
    <x v="348"/>
    <s v="Supplier payment made"/>
    <x v="318"/>
    <s v="0.0"/>
    <x v="11"/>
    <x v="3"/>
  </r>
  <r>
    <n v="3553"/>
    <x v="348"/>
    <s v="Supplier payment made"/>
    <x v="273"/>
    <s v="2504.23"/>
    <x v="0"/>
    <x v="0"/>
  </r>
  <r>
    <n v="3554"/>
    <x v="349"/>
    <s v="Sales invoice issued"/>
    <x v="1497"/>
    <s v="0.0"/>
    <x v="2"/>
    <x v="0"/>
  </r>
  <r>
    <n v="3554"/>
    <x v="349"/>
    <s v="Sales invoice issued"/>
    <x v="273"/>
    <s v="2494.21"/>
    <x v="3"/>
    <x v="2"/>
  </r>
  <r>
    <n v="3554"/>
    <x v="349"/>
    <s v="Sales invoice issued"/>
    <x v="273"/>
    <s v="187.08"/>
    <x v="4"/>
    <x v="3"/>
  </r>
  <r>
    <n v="3555"/>
    <x v="349"/>
    <s v="Sales invoice issued"/>
    <x v="1498"/>
    <s v="0.0"/>
    <x v="2"/>
    <x v="0"/>
  </r>
  <r>
    <n v="3555"/>
    <x v="349"/>
    <s v="Sales invoice issued"/>
    <x v="273"/>
    <s v="2769.15"/>
    <x v="3"/>
    <x v="2"/>
  </r>
  <r>
    <n v="3555"/>
    <x v="349"/>
    <s v="Sales invoice issued"/>
    <x v="273"/>
    <s v="207.69"/>
    <x v="4"/>
    <x v="3"/>
  </r>
  <r>
    <n v="3556"/>
    <x v="349"/>
    <s v="Sales invoice issued"/>
    <x v="1499"/>
    <s v="0.0"/>
    <x v="2"/>
    <x v="0"/>
  </r>
  <r>
    <n v="3556"/>
    <x v="349"/>
    <s v="Sales invoice issued"/>
    <x v="273"/>
    <s v="1819.71"/>
    <x v="3"/>
    <x v="2"/>
  </r>
  <r>
    <n v="3556"/>
    <x v="349"/>
    <s v="Sales invoice issued"/>
    <x v="273"/>
    <s v="136.47"/>
    <x v="4"/>
    <x v="3"/>
  </r>
  <r>
    <n v="3557"/>
    <x v="349"/>
    <s v="Sales invoice issued"/>
    <x v="1500"/>
    <s v="0.0"/>
    <x v="2"/>
    <x v="0"/>
  </r>
  <r>
    <n v="3557"/>
    <x v="349"/>
    <s v="Sales invoice issued"/>
    <x v="273"/>
    <s v="3764.39"/>
    <x v="3"/>
    <x v="2"/>
  </r>
  <r>
    <n v="3557"/>
    <x v="349"/>
    <s v="Sales invoice issued"/>
    <x v="273"/>
    <s v="282.33"/>
    <x v="4"/>
    <x v="3"/>
  </r>
  <r>
    <n v="3558"/>
    <x v="349"/>
    <s v="Sales invoice issued"/>
    <x v="1501"/>
    <s v="0.0"/>
    <x v="2"/>
    <x v="0"/>
  </r>
  <r>
    <n v="3558"/>
    <x v="349"/>
    <s v="Sales invoice issued"/>
    <x v="273"/>
    <s v="2584.65"/>
    <x v="3"/>
    <x v="2"/>
  </r>
  <r>
    <n v="3558"/>
    <x v="349"/>
    <s v="Sales invoice issued"/>
    <x v="273"/>
    <s v="193.85"/>
    <x v="4"/>
    <x v="3"/>
  </r>
  <r>
    <n v="3559"/>
    <x v="349"/>
    <s v="Sales invoice issued"/>
    <x v="1502"/>
    <s v="0.0"/>
    <x v="2"/>
    <x v="0"/>
  </r>
  <r>
    <n v="3559"/>
    <x v="349"/>
    <s v="Sales invoice issued"/>
    <x v="273"/>
    <s v="2622.48"/>
    <x v="3"/>
    <x v="2"/>
  </r>
  <r>
    <n v="3559"/>
    <x v="349"/>
    <s v="Sales invoice issued"/>
    <x v="273"/>
    <s v="196.68"/>
    <x v="4"/>
    <x v="3"/>
  </r>
  <r>
    <n v="3560"/>
    <x v="349"/>
    <s v="Sales invoice issued"/>
    <x v="1503"/>
    <s v="0.0"/>
    <x v="2"/>
    <x v="0"/>
  </r>
  <r>
    <n v="3560"/>
    <x v="349"/>
    <s v="Sales invoice issued"/>
    <x v="273"/>
    <s v="4214.92"/>
    <x v="3"/>
    <x v="2"/>
  </r>
  <r>
    <n v="3560"/>
    <x v="349"/>
    <s v="Sales invoice issued"/>
    <x v="273"/>
    <s v="316.12"/>
    <x v="4"/>
    <x v="3"/>
  </r>
  <r>
    <n v="3561"/>
    <x v="349"/>
    <s v="Sales invoice issued"/>
    <x v="1504"/>
    <s v="0.0"/>
    <x v="2"/>
    <x v="0"/>
  </r>
  <r>
    <n v="3561"/>
    <x v="349"/>
    <s v="Sales invoice issued"/>
    <x v="273"/>
    <s v="480.53"/>
    <x v="3"/>
    <x v="2"/>
  </r>
  <r>
    <n v="3561"/>
    <x v="349"/>
    <s v="Sales invoice issued"/>
    <x v="273"/>
    <s v="36.04"/>
    <x v="4"/>
    <x v="3"/>
  </r>
  <r>
    <n v="3562"/>
    <x v="349"/>
    <s v="Sales invoice issued"/>
    <x v="1505"/>
    <s v="0.0"/>
    <x v="2"/>
    <x v="0"/>
  </r>
  <r>
    <n v="3562"/>
    <x v="349"/>
    <s v="Sales invoice issued"/>
    <x v="273"/>
    <s v="86.3"/>
    <x v="3"/>
    <x v="2"/>
  </r>
  <r>
    <n v="3562"/>
    <x v="349"/>
    <s v="Sales invoice issued"/>
    <x v="273"/>
    <s v="6.47"/>
    <x v="4"/>
    <x v="3"/>
  </r>
  <r>
    <n v="3563"/>
    <x v="349"/>
    <s v="Sales invoice issued"/>
    <x v="1506"/>
    <s v="0.0"/>
    <x v="2"/>
    <x v="0"/>
  </r>
  <r>
    <n v="3563"/>
    <x v="349"/>
    <s v="Sales invoice issued"/>
    <x v="273"/>
    <s v="3396.57"/>
    <x v="3"/>
    <x v="2"/>
  </r>
  <r>
    <n v="3563"/>
    <x v="349"/>
    <s v="Sales invoice issued"/>
    <x v="273"/>
    <s v="254.74"/>
    <x v="4"/>
    <x v="3"/>
  </r>
  <r>
    <n v="3564"/>
    <x v="349"/>
    <s v="Sales invoice issued"/>
    <x v="1507"/>
    <s v="0.0"/>
    <x v="2"/>
    <x v="0"/>
  </r>
  <r>
    <n v="3564"/>
    <x v="349"/>
    <s v="Sales invoice issued"/>
    <x v="273"/>
    <s v="5586.48"/>
    <x v="3"/>
    <x v="2"/>
  </r>
  <r>
    <n v="3564"/>
    <x v="349"/>
    <s v="Sales invoice issued"/>
    <x v="273"/>
    <s v="418.99"/>
    <x v="4"/>
    <x v="3"/>
  </r>
  <r>
    <n v="3565"/>
    <x v="349"/>
    <s v="Customer payment received"/>
    <x v="1347"/>
    <s v="0.0"/>
    <x v="0"/>
    <x v="0"/>
  </r>
  <r>
    <n v="3565"/>
    <x v="349"/>
    <s v="Customer payment received"/>
    <x v="273"/>
    <s v="2486.49"/>
    <x v="2"/>
    <x v="0"/>
  </r>
  <r>
    <n v="3566"/>
    <x v="349"/>
    <s v="Customer payment received"/>
    <x v="1352"/>
    <s v="0.0"/>
    <x v="0"/>
    <x v="0"/>
  </r>
  <r>
    <n v="3566"/>
    <x v="349"/>
    <s v="Customer payment received"/>
    <x v="273"/>
    <s v="4325.14"/>
    <x v="2"/>
    <x v="0"/>
  </r>
  <r>
    <n v="3567"/>
    <x v="349"/>
    <s v="Customer payment received"/>
    <x v="1354"/>
    <s v="0.0"/>
    <x v="0"/>
    <x v="0"/>
  </r>
  <r>
    <n v="3567"/>
    <x v="349"/>
    <s v="Customer payment received"/>
    <x v="273"/>
    <s v="880.99"/>
    <x v="2"/>
    <x v="0"/>
  </r>
  <r>
    <n v="3568"/>
    <x v="349"/>
    <s v="Customer payment received"/>
    <x v="1444"/>
    <s v="0.0"/>
    <x v="0"/>
    <x v="0"/>
  </r>
  <r>
    <n v="3568"/>
    <x v="349"/>
    <s v="Customer payment received"/>
    <x v="273"/>
    <s v="2033.48"/>
    <x v="2"/>
    <x v="0"/>
  </r>
  <r>
    <n v="3569"/>
    <x v="349"/>
    <s v="Customer payment received"/>
    <x v="1508"/>
    <s v="0.0"/>
    <x v="0"/>
    <x v="0"/>
  </r>
  <r>
    <n v="3569"/>
    <x v="349"/>
    <s v="Customer payment received"/>
    <x v="273"/>
    <s v="1745.37"/>
    <x v="2"/>
    <x v="0"/>
  </r>
  <r>
    <n v="3570"/>
    <x v="349"/>
    <s v="Supplier invoice received"/>
    <x v="441"/>
    <s v="0.0"/>
    <x v="9"/>
    <x v="4"/>
  </r>
  <r>
    <n v="3570"/>
    <x v="349"/>
    <s v="Supplier invoice received"/>
    <x v="442"/>
    <s v="0.0"/>
    <x v="10"/>
    <x v="0"/>
  </r>
  <r>
    <n v="3570"/>
    <x v="349"/>
    <s v="Supplier invoice received"/>
    <x v="273"/>
    <s v="179.01"/>
    <x v="11"/>
    <x v="3"/>
  </r>
  <r>
    <n v="3571"/>
    <x v="350"/>
    <s v="Sales invoice issued"/>
    <x v="1509"/>
    <s v="0.0"/>
    <x v="2"/>
    <x v="0"/>
  </r>
  <r>
    <n v="3571"/>
    <x v="350"/>
    <s v="Sales invoice issued"/>
    <x v="273"/>
    <s v="1364.88"/>
    <x v="3"/>
    <x v="2"/>
  </r>
  <r>
    <n v="3571"/>
    <x v="350"/>
    <s v="Sales invoice issued"/>
    <x v="273"/>
    <s v="102.37"/>
    <x v="4"/>
    <x v="3"/>
  </r>
  <r>
    <n v="3572"/>
    <x v="350"/>
    <s v="Sales invoice issued"/>
    <x v="1510"/>
    <s v="0.0"/>
    <x v="2"/>
    <x v="0"/>
  </r>
  <r>
    <n v="3572"/>
    <x v="350"/>
    <s v="Sales invoice issued"/>
    <x v="273"/>
    <s v="1634.01"/>
    <x v="3"/>
    <x v="2"/>
  </r>
  <r>
    <n v="3572"/>
    <x v="350"/>
    <s v="Sales invoice issued"/>
    <x v="273"/>
    <s v="122.55"/>
    <x v="4"/>
    <x v="3"/>
  </r>
  <r>
    <n v="3573"/>
    <x v="350"/>
    <s v="Customer payment received"/>
    <x v="1450"/>
    <s v="0.0"/>
    <x v="0"/>
    <x v="0"/>
  </r>
  <r>
    <n v="3573"/>
    <x v="350"/>
    <s v="Customer payment received"/>
    <x v="273"/>
    <s v="1722.74"/>
    <x v="2"/>
    <x v="0"/>
  </r>
  <r>
    <n v="3574"/>
    <x v="350"/>
    <s v="Customer payment received"/>
    <x v="1345"/>
    <s v="0.0"/>
    <x v="0"/>
    <x v="0"/>
  </r>
  <r>
    <n v="3574"/>
    <x v="350"/>
    <s v="Customer payment received"/>
    <x v="273"/>
    <s v="247.1"/>
    <x v="2"/>
    <x v="0"/>
  </r>
  <r>
    <n v="3575"/>
    <x v="350"/>
    <s v="Customer payment received"/>
    <x v="1500"/>
    <s v="0.0"/>
    <x v="0"/>
    <x v="0"/>
  </r>
  <r>
    <n v="3575"/>
    <x v="350"/>
    <s v="Customer payment received"/>
    <x v="273"/>
    <s v="4046.72"/>
    <x v="2"/>
    <x v="0"/>
  </r>
  <r>
    <n v="3576"/>
    <x v="350"/>
    <s v="Supplier invoice received"/>
    <x v="461"/>
    <s v="0.0"/>
    <x v="9"/>
    <x v="4"/>
  </r>
  <r>
    <n v="3576"/>
    <x v="350"/>
    <s v="Supplier invoice received"/>
    <x v="462"/>
    <s v="0.0"/>
    <x v="10"/>
    <x v="0"/>
  </r>
  <r>
    <n v="3576"/>
    <x v="350"/>
    <s v="Supplier invoice received"/>
    <x v="273"/>
    <s v="2182.41"/>
    <x v="11"/>
    <x v="3"/>
  </r>
  <r>
    <n v="3577"/>
    <x v="350"/>
    <s v="Supplier invoice received"/>
    <x v="366"/>
    <s v="0.0"/>
    <x v="9"/>
    <x v="4"/>
  </r>
  <r>
    <n v="3577"/>
    <x v="350"/>
    <s v="Supplier invoice received"/>
    <x v="367"/>
    <s v="0.0"/>
    <x v="10"/>
    <x v="0"/>
  </r>
  <r>
    <n v="3577"/>
    <x v="350"/>
    <s v="Supplier invoice received"/>
    <x v="273"/>
    <s v="201.5"/>
    <x v="11"/>
    <x v="3"/>
  </r>
  <r>
    <n v="3578"/>
    <x v="350"/>
    <s v="Supplier invoice received"/>
    <x v="374"/>
    <s v="0.0"/>
    <x v="9"/>
    <x v="4"/>
  </r>
  <r>
    <n v="3578"/>
    <x v="350"/>
    <s v="Supplier invoice received"/>
    <x v="375"/>
    <s v="0.0"/>
    <x v="10"/>
    <x v="0"/>
  </r>
  <r>
    <n v="3578"/>
    <x v="350"/>
    <s v="Supplier invoice received"/>
    <x v="273"/>
    <s v="2504.23"/>
    <x v="11"/>
    <x v="3"/>
  </r>
  <r>
    <n v="3579"/>
    <x v="350"/>
    <s v="Supplier invoice received"/>
    <x v="372"/>
    <s v="0.0"/>
    <x v="9"/>
    <x v="4"/>
  </r>
  <r>
    <n v="3579"/>
    <x v="350"/>
    <s v="Supplier invoice received"/>
    <x v="373"/>
    <s v="0.0"/>
    <x v="10"/>
    <x v="0"/>
  </r>
  <r>
    <n v="3579"/>
    <x v="350"/>
    <s v="Supplier invoice received"/>
    <x v="273"/>
    <s v="412.54"/>
    <x v="11"/>
    <x v="3"/>
  </r>
  <r>
    <n v="3580"/>
    <x v="350"/>
    <s v="Supplier payment made"/>
    <x v="340"/>
    <s v="0.0"/>
    <x v="11"/>
    <x v="3"/>
  </r>
  <r>
    <n v="3580"/>
    <x v="350"/>
    <s v="Supplier payment made"/>
    <x v="273"/>
    <s v="1304.62"/>
    <x v="0"/>
    <x v="0"/>
  </r>
  <r>
    <n v="3581"/>
    <x v="350"/>
    <s v="Supplier payment made"/>
    <x v="466"/>
    <s v="0.0"/>
    <x v="11"/>
    <x v="3"/>
  </r>
  <r>
    <n v="3581"/>
    <x v="350"/>
    <s v="Supplier payment made"/>
    <x v="273"/>
    <s v="748.26"/>
    <x v="0"/>
    <x v="0"/>
  </r>
  <r>
    <n v="3582"/>
    <x v="350"/>
    <s v="Supplier payment made"/>
    <x v="504"/>
    <s v="0.0"/>
    <x v="11"/>
    <x v="3"/>
  </r>
  <r>
    <n v="3582"/>
    <x v="350"/>
    <s v="Supplier payment made"/>
    <x v="273"/>
    <s v="1958.74"/>
    <x v="0"/>
    <x v="0"/>
  </r>
  <r>
    <n v="3583"/>
    <x v="350"/>
    <s v="Supplier payment made"/>
    <x v="292"/>
    <s v="0.0"/>
    <x v="11"/>
    <x v="3"/>
  </r>
  <r>
    <n v="3583"/>
    <x v="350"/>
    <s v="Supplier payment made"/>
    <x v="273"/>
    <s v="1766.46"/>
    <x v="0"/>
    <x v="0"/>
  </r>
  <r>
    <n v="3584"/>
    <x v="350"/>
    <s v="Supplier payment made"/>
    <x v="310"/>
    <s v="0.0"/>
    <x v="11"/>
    <x v="3"/>
  </r>
  <r>
    <n v="3584"/>
    <x v="350"/>
    <s v="Supplier payment made"/>
    <x v="273"/>
    <s v="276.32"/>
    <x v="0"/>
    <x v="0"/>
  </r>
  <r>
    <n v="3585"/>
    <x v="350"/>
    <s v="Supplier payment made"/>
    <x v="351"/>
    <s v="0.0"/>
    <x v="11"/>
    <x v="3"/>
  </r>
  <r>
    <n v="3585"/>
    <x v="350"/>
    <s v="Supplier payment made"/>
    <x v="273"/>
    <s v="179.01"/>
    <x v="0"/>
    <x v="0"/>
  </r>
  <r>
    <n v="3586"/>
    <x v="351"/>
    <s v="Sales invoice issued"/>
    <x v="1511"/>
    <s v="0.0"/>
    <x v="2"/>
    <x v="0"/>
  </r>
  <r>
    <n v="3586"/>
    <x v="351"/>
    <s v="Sales invoice issued"/>
    <x v="273"/>
    <s v="2745.87"/>
    <x v="3"/>
    <x v="2"/>
  </r>
  <r>
    <n v="3586"/>
    <x v="351"/>
    <s v="Sales invoice issued"/>
    <x v="273"/>
    <s v="205.94"/>
    <x v="4"/>
    <x v="3"/>
  </r>
  <r>
    <n v="3587"/>
    <x v="351"/>
    <s v="Sales invoice issued"/>
    <x v="1512"/>
    <s v="0.0"/>
    <x v="2"/>
    <x v="0"/>
  </r>
  <r>
    <n v="3587"/>
    <x v="351"/>
    <s v="Sales invoice issued"/>
    <x v="273"/>
    <s v="3071.28"/>
    <x v="3"/>
    <x v="2"/>
  </r>
  <r>
    <n v="3587"/>
    <x v="351"/>
    <s v="Sales invoice issued"/>
    <x v="273"/>
    <s v="230.34"/>
    <x v="4"/>
    <x v="3"/>
  </r>
  <r>
    <n v="3588"/>
    <x v="351"/>
    <s v="Sales invoice issued"/>
    <x v="1513"/>
    <s v="0.0"/>
    <x v="2"/>
    <x v="0"/>
  </r>
  <r>
    <n v="3588"/>
    <x v="351"/>
    <s v="Sales invoice issued"/>
    <x v="273"/>
    <s v="3571.52"/>
    <x v="3"/>
    <x v="2"/>
  </r>
  <r>
    <n v="3588"/>
    <x v="351"/>
    <s v="Sales invoice issued"/>
    <x v="273"/>
    <s v="267.87"/>
    <x v="4"/>
    <x v="3"/>
  </r>
  <r>
    <n v="3589"/>
    <x v="351"/>
    <s v="Sales invoice issued"/>
    <x v="1514"/>
    <s v="0.0"/>
    <x v="2"/>
    <x v="0"/>
  </r>
  <r>
    <n v="3589"/>
    <x v="351"/>
    <s v="Sales invoice issued"/>
    <x v="273"/>
    <s v="295.95"/>
    <x v="3"/>
    <x v="2"/>
  </r>
  <r>
    <n v="3589"/>
    <x v="351"/>
    <s v="Sales invoice issued"/>
    <x v="273"/>
    <s v="22.19"/>
    <x v="4"/>
    <x v="3"/>
  </r>
  <r>
    <n v="3590"/>
    <x v="351"/>
    <s v="Sales invoice issued"/>
    <x v="1515"/>
    <s v="0.0"/>
    <x v="2"/>
    <x v="0"/>
  </r>
  <r>
    <n v="3590"/>
    <x v="351"/>
    <s v="Sales invoice issued"/>
    <x v="273"/>
    <s v="4172.44"/>
    <x v="3"/>
    <x v="2"/>
  </r>
  <r>
    <n v="3590"/>
    <x v="351"/>
    <s v="Sales invoice issued"/>
    <x v="273"/>
    <s v="312.93"/>
    <x v="4"/>
    <x v="3"/>
  </r>
  <r>
    <n v="3591"/>
    <x v="351"/>
    <s v="Sales invoice issued"/>
    <x v="1516"/>
    <s v="0.0"/>
    <x v="2"/>
    <x v="0"/>
  </r>
  <r>
    <n v="3591"/>
    <x v="351"/>
    <s v="Sales invoice issued"/>
    <x v="273"/>
    <s v="2073.18"/>
    <x v="3"/>
    <x v="2"/>
  </r>
  <r>
    <n v="3591"/>
    <x v="351"/>
    <s v="Sales invoice issued"/>
    <x v="273"/>
    <s v="155.5"/>
    <x v="4"/>
    <x v="3"/>
  </r>
  <r>
    <n v="3592"/>
    <x v="351"/>
    <s v="Sales invoice issued"/>
    <x v="1517"/>
    <s v="0.0"/>
    <x v="2"/>
    <x v="0"/>
  </r>
  <r>
    <n v="3592"/>
    <x v="351"/>
    <s v="Sales invoice issued"/>
    <x v="273"/>
    <s v="1164.81"/>
    <x v="3"/>
    <x v="2"/>
  </r>
  <r>
    <n v="3592"/>
    <x v="351"/>
    <s v="Sales invoice issued"/>
    <x v="273"/>
    <s v="87.36"/>
    <x v="4"/>
    <x v="3"/>
  </r>
  <r>
    <n v="3593"/>
    <x v="351"/>
    <s v="Sales invoice issued"/>
    <x v="1518"/>
    <s v="0.0"/>
    <x v="2"/>
    <x v="0"/>
  </r>
  <r>
    <n v="3593"/>
    <x v="351"/>
    <s v="Sales invoice issued"/>
    <x v="273"/>
    <s v="2256.21"/>
    <x v="3"/>
    <x v="2"/>
  </r>
  <r>
    <n v="3593"/>
    <x v="351"/>
    <s v="Sales invoice issued"/>
    <x v="273"/>
    <s v="169.22"/>
    <x v="4"/>
    <x v="3"/>
  </r>
  <r>
    <n v="3594"/>
    <x v="351"/>
    <s v="Customer payment received"/>
    <x v="1356"/>
    <s v="0.0"/>
    <x v="0"/>
    <x v="0"/>
  </r>
  <r>
    <n v="3594"/>
    <x v="351"/>
    <s v="Customer payment received"/>
    <x v="273"/>
    <s v="3532.08"/>
    <x v="2"/>
    <x v="0"/>
  </r>
  <r>
    <n v="3595"/>
    <x v="351"/>
    <s v="Customer payment received"/>
    <x v="922"/>
    <s v="0.0"/>
    <x v="0"/>
    <x v="0"/>
  </r>
  <r>
    <n v="3595"/>
    <x v="351"/>
    <s v="Customer payment received"/>
    <x v="273"/>
    <s v="123.55"/>
    <x v="2"/>
    <x v="0"/>
  </r>
  <r>
    <n v="3596"/>
    <x v="351"/>
    <s v="Customer payment received"/>
    <x v="1413"/>
    <s v="0.0"/>
    <x v="0"/>
    <x v="0"/>
  </r>
  <r>
    <n v="3596"/>
    <x v="351"/>
    <s v="Customer payment received"/>
    <x v="273"/>
    <s v="2400.89"/>
    <x v="2"/>
    <x v="0"/>
  </r>
  <r>
    <n v="3597"/>
    <x v="351"/>
    <s v="Customer payment received"/>
    <x v="1519"/>
    <s v="0.0"/>
    <x v="0"/>
    <x v="0"/>
  </r>
  <r>
    <n v="3597"/>
    <x v="351"/>
    <s v="Customer payment received"/>
    <x v="273"/>
    <s v="2637.08"/>
    <x v="2"/>
    <x v="0"/>
  </r>
  <r>
    <n v="3598"/>
    <x v="351"/>
    <s v="Customer payment received"/>
    <x v="1496"/>
    <s v="0.0"/>
    <x v="0"/>
    <x v="0"/>
  </r>
  <r>
    <n v="3598"/>
    <x v="351"/>
    <s v="Customer payment received"/>
    <x v="273"/>
    <s v="1145.92"/>
    <x v="2"/>
    <x v="0"/>
  </r>
  <r>
    <n v="3599"/>
    <x v="351"/>
    <s v="Customer payment received"/>
    <x v="1520"/>
    <s v="0.0"/>
    <x v="0"/>
    <x v="0"/>
  </r>
  <r>
    <n v="3599"/>
    <x v="351"/>
    <s v="Customer payment received"/>
    <x v="273"/>
    <s v="1726.72"/>
    <x v="2"/>
    <x v="0"/>
  </r>
  <r>
    <n v="3600"/>
    <x v="351"/>
    <s v="Supplier invoice received"/>
    <x v="325"/>
    <s v="0.0"/>
    <x v="9"/>
    <x v="4"/>
  </r>
  <r>
    <n v="3600"/>
    <x v="351"/>
    <s v="Supplier invoice received"/>
    <x v="326"/>
    <s v="0.0"/>
    <x v="10"/>
    <x v="0"/>
  </r>
  <r>
    <n v="3600"/>
    <x v="351"/>
    <s v="Supplier invoice received"/>
    <x v="273"/>
    <s v="1304.62"/>
    <x v="11"/>
    <x v="3"/>
  </r>
  <r>
    <n v="3601"/>
    <x v="351"/>
    <s v="Supplier invoice received"/>
    <x v="445"/>
    <s v="0.0"/>
    <x v="9"/>
    <x v="4"/>
  </r>
  <r>
    <n v="3601"/>
    <x v="351"/>
    <s v="Supplier invoice received"/>
    <x v="446"/>
    <s v="0.0"/>
    <x v="10"/>
    <x v="0"/>
  </r>
  <r>
    <n v="3601"/>
    <x v="351"/>
    <s v="Supplier invoice received"/>
    <x v="273"/>
    <s v="1794.11"/>
    <x v="11"/>
    <x v="3"/>
  </r>
  <r>
    <n v="3602"/>
    <x v="352"/>
    <s v="Sales invoice issued"/>
    <x v="1521"/>
    <s v="0.0"/>
    <x v="2"/>
    <x v="0"/>
  </r>
  <r>
    <n v="3602"/>
    <x v="352"/>
    <s v="Sales invoice issued"/>
    <x v="273"/>
    <s v="3117.78"/>
    <x v="3"/>
    <x v="2"/>
  </r>
  <r>
    <n v="3602"/>
    <x v="352"/>
    <s v="Sales invoice issued"/>
    <x v="273"/>
    <s v="233.83"/>
    <x v="4"/>
    <x v="3"/>
  </r>
  <r>
    <n v="3603"/>
    <x v="352"/>
    <s v="Sales invoice issued"/>
    <x v="1522"/>
    <s v="0.0"/>
    <x v="2"/>
    <x v="0"/>
  </r>
  <r>
    <n v="3603"/>
    <x v="352"/>
    <s v="Sales invoice issued"/>
    <x v="273"/>
    <s v="673.71"/>
    <x v="3"/>
    <x v="2"/>
  </r>
  <r>
    <n v="3603"/>
    <x v="352"/>
    <s v="Sales invoice issued"/>
    <x v="273"/>
    <s v="50.53"/>
    <x v="4"/>
    <x v="3"/>
  </r>
  <r>
    <n v="3604"/>
    <x v="352"/>
    <s v="Sales invoice issued"/>
    <x v="1523"/>
    <s v="0.0"/>
    <x v="2"/>
    <x v="0"/>
  </r>
  <r>
    <n v="3604"/>
    <x v="352"/>
    <s v="Sales invoice issued"/>
    <x v="273"/>
    <s v="3743.23"/>
    <x v="3"/>
    <x v="2"/>
  </r>
  <r>
    <n v="3604"/>
    <x v="352"/>
    <s v="Sales invoice issued"/>
    <x v="273"/>
    <s v="280.75"/>
    <x v="4"/>
    <x v="3"/>
  </r>
  <r>
    <n v="3605"/>
    <x v="352"/>
    <s v="Sales invoice issued"/>
    <x v="1524"/>
    <s v="0.0"/>
    <x v="2"/>
    <x v="0"/>
  </r>
  <r>
    <n v="3605"/>
    <x v="352"/>
    <s v="Sales invoice issued"/>
    <x v="273"/>
    <s v="1851.56"/>
    <x v="3"/>
    <x v="2"/>
  </r>
  <r>
    <n v="3605"/>
    <x v="352"/>
    <s v="Sales invoice issued"/>
    <x v="273"/>
    <s v="138.86"/>
    <x v="4"/>
    <x v="3"/>
  </r>
  <r>
    <n v="3606"/>
    <x v="352"/>
    <s v="Sales invoice issued"/>
    <x v="1525"/>
    <s v="0.0"/>
    <x v="2"/>
    <x v="0"/>
  </r>
  <r>
    <n v="3606"/>
    <x v="352"/>
    <s v="Sales invoice issued"/>
    <x v="273"/>
    <s v="1693.75"/>
    <x v="3"/>
    <x v="2"/>
  </r>
  <r>
    <n v="3606"/>
    <x v="352"/>
    <s v="Sales invoice issued"/>
    <x v="273"/>
    <s v="127.04"/>
    <x v="4"/>
    <x v="3"/>
  </r>
  <r>
    <n v="3607"/>
    <x v="352"/>
    <s v="Customer payment received"/>
    <x v="647"/>
    <s v="0.0"/>
    <x v="0"/>
    <x v="0"/>
  </r>
  <r>
    <n v="3607"/>
    <x v="352"/>
    <s v="Customer payment received"/>
    <x v="273"/>
    <s v="438.12"/>
    <x v="2"/>
    <x v="0"/>
  </r>
  <r>
    <n v="3608"/>
    <x v="352"/>
    <s v="Customer payment received"/>
    <x v="1420"/>
    <s v="0.0"/>
    <x v="0"/>
    <x v="0"/>
  </r>
  <r>
    <n v="3608"/>
    <x v="352"/>
    <s v="Customer payment received"/>
    <x v="273"/>
    <s v="3142.97"/>
    <x v="2"/>
    <x v="0"/>
  </r>
  <r>
    <n v="3609"/>
    <x v="352"/>
    <s v="Customer payment received"/>
    <x v="1432"/>
    <s v="0.0"/>
    <x v="0"/>
    <x v="0"/>
  </r>
  <r>
    <n v="3609"/>
    <x v="352"/>
    <s v="Customer payment received"/>
    <x v="273"/>
    <s v="3338.88"/>
    <x v="2"/>
    <x v="0"/>
  </r>
  <r>
    <n v="3610"/>
    <x v="352"/>
    <s v="Customer payment received"/>
    <x v="1436"/>
    <s v="0.0"/>
    <x v="0"/>
    <x v="0"/>
  </r>
  <r>
    <n v="3610"/>
    <x v="352"/>
    <s v="Customer payment received"/>
    <x v="273"/>
    <s v="2365.45"/>
    <x v="2"/>
    <x v="0"/>
  </r>
  <r>
    <n v="3611"/>
    <x v="352"/>
    <s v="Customer payment received"/>
    <x v="1488"/>
    <s v="0.0"/>
    <x v="0"/>
    <x v="0"/>
  </r>
  <r>
    <n v="3611"/>
    <x v="352"/>
    <s v="Customer payment received"/>
    <x v="273"/>
    <s v="1569.73"/>
    <x v="2"/>
    <x v="0"/>
  </r>
  <r>
    <n v="3612"/>
    <x v="352"/>
    <s v="Customer payment received"/>
    <x v="1512"/>
    <s v="0.0"/>
    <x v="0"/>
    <x v="0"/>
  </r>
  <r>
    <n v="3612"/>
    <x v="352"/>
    <s v="Customer payment received"/>
    <x v="273"/>
    <s v="3301.62"/>
    <x v="2"/>
    <x v="0"/>
  </r>
  <r>
    <n v="3613"/>
    <x v="353"/>
    <s v="Payroll processed"/>
    <x v="1526"/>
    <s v="0.0"/>
    <x v="5"/>
    <x v="4"/>
  </r>
  <r>
    <n v="3613"/>
    <x v="353"/>
    <s v="Payroll processed"/>
    <x v="1527"/>
    <s v="0.0"/>
    <x v="6"/>
    <x v="4"/>
  </r>
  <r>
    <n v="3613"/>
    <x v="353"/>
    <s v="Payroll processed"/>
    <x v="273"/>
    <s v="18284.07"/>
    <x v="0"/>
    <x v="0"/>
  </r>
  <r>
    <n v="3613"/>
    <x v="353"/>
    <s v="Payroll processed"/>
    <x v="273"/>
    <s v="4069.27"/>
    <x v="7"/>
    <x v="3"/>
  </r>
  <r>
    <n v="3613"/>
    <x v="353"/>
    <s v="Payroll processed"/>
    <x v="273"/>
    <s v="894.13"/>
    <x v="8"/>
    <x v="3"/>
  </r>
  <r>
    <n v="3614"/>
    <x v="353"/>
    <s v="Sales invoice issued"/>
    <x v="1528"/>
    <s v="0.0"/>
    <x v="2"/>
    <x v="0"/>
  </r>
  <r>
    <n v="3614"/>
    <x v="353"/>
    <s v="Sales invoice issued"/>
    <x v="273"/>
    <s v="1658.19"/>
    <x v="3"/>
    <x v="2"/>
  </r>
  <r>
    <n v="3614"/>
    <x v="353"/>
    <s v="Sales invoice issued"/>
    <x v="273"/>
    <s v="124.37"/>
    <x v="4"/>
    <x v="3"/>
  </r>
  <r>
    <n v="3615"/>
    <x v="353"/>
    <s v="Sales invoice issued"/>
    <x v="1529"/>
    <s v="0.0"/>
    <x v="2"/>
    <x v="0"/>
  </r>
  <r>
    <n v="3615"/>
    <x v="353"/>
    <s v="Sales invoice issued"/>
    <x v="273"/>
    <s v="1024.42"/>
    <x v="3"/>
    <x v="2"/>
  </r>
  <r>
    <n v="3615"/>
    <x v="353"/>
    <s v="Sales invoice issued"/>
    <x v="273"/>
    <s v="76.83"/>
    <x v="4"/>
    <x v="3"/>
  </r>
  <r>
    <n v="3616"/>
    <x v="353"/>
    <s v="Sales invoice issued"/>
    <x v="1530"/>
    <s v="0.0"/>
    <x v="2"/>
    <x v="0"/>
  </r>
  <r>
    <n v="3616"/>
    <x v="353"/>
    <s v="Sales invoice issued"/>
    <x v="273"/>
    <s v="3778.65"/>
    <x v="3"/>
    <x v="2"/>
  </r>
  <r>
    <n v="3616"/>
    <x v="353"/>
    <s v="Sales invoice issued"/>
    <x v="273"/>
    <s v="283.4"/>
    <x v="4"/>
    <x v="3"/>
  </r>
  <r>
    <n v="3617"/>
    <x v="353"/>
    <s v="Sales invoice issued"/>
    <x v="1531"/>
    <s v="0.0"/>
    <x v="2"/>
    <x v="0"/>
  </r>
  <r>
    <n v="3617"/>
    <x v="353"/>
    <s v="Sales invoice issued"/>
    <x v="273"/>
    <s v="3154.0"/>
    <x v="3"/>
    <x v="2"/>
  </r>
  <r>
    <n v="3617"/>
    <x v="353"/>
    <s v="Sales invoice issued"/>
    <x v="273"/>
    <s v="236.54"/>
    <x v="4"/>
    <x v="3"/>
  </r>
  <r>
    <n v="3618"/>
    <x v="353"/>
    <s v="Sales invoice issued"/>
    <x v="1532"/>
    <s v="0.0"/>
    <x v="2"/>
    <x v="0"/>
  </r>
  <r>
    <n v="3618"/>
    <x v="353"/>
    <s v="Sales invoice issued"/>
    <x v="273"/>
    <s v="2591.5"/>
    <x v="3"/>
    <x v="2"/>
  </r>
  <r>
    <n v="3618"/>
    <x v="353"/>
    <s v="Sales invoice issued"/>
    <x v="273"/>
    <s v="194.37"/>
    <x v="4"/>
    <x v="3"/>
  </r>
  <r>
    <n v="3619"/>
    <x v="353"/>
    <s v="Sales invoice issued"/>
    <x v="1533"/>
    <s v="0.0"/>
    <x v="2"/>
    <x v="0"/>
  </r>
  <r>
    <n v="3619"/>
    <x v="353"/>
    <s v="Sales invoice issued"/>
    <x v="273"/>
    <s v="2991.78"/>
    <x v="3"/>
    <x v="2"/>
  </r>
  <r>
    <n v="3619"/>
    <x v="353"/>
    <s v="Sales invoice issued"/>
    <x v="273"/>
    <s v="224.37"/>
    <x v="4"/>
    <x v="3"/>
  </r>
  <r>
    <n v="3620"/>
    <x v="353"/>
    <s v="Customer payment received"/>
    <x v="1373"/>
    <s v="0.0"/>
    <x v="0"/>
    <x v="0"/>
  </r>
  <r>
    <n v="3620"/>
    <x v="353"/>
    <s v="Customer payment received"/>
    <x v="273"/>
    <s v="443.8"/>
    <x v="2"/>
    <x v="0"/>
  </r>
  <r>
    <n v="3621"/>
    <x v="353"/>
    <s v="Customer payment received"/>
    <x v="1425"/>
    <s v="0.0"/>
    <x v="0"/>
    <x v="0"/>
  </r>
  <r>
    <n v="3621"/>
    <x v="353"/>
    <s v="Customer payment received"/>
    <x v="273"/>
    <s v="3803.85"/>
    <x v="2"/>
    <x v="0"/>
  </r>
  <r>
    <n v="3622"/>
    <x v="353"/>
    <s v="Customer payment received"/>
    <x v="1506"/>
    <s v="0.0"/>
    <x v="0"/>
    <x v="0"/>
  </r>
  <r>
    <n v="3622"/>
    <x v="353"/>
    <s v="Customer payment received"/>
    <x v="273"/>
    <s v="3651.31"/>
    <x v="2"/>
    <x v="0"/>
  </r>
  <r>
    <n v="3623"/>
    <x v="353"/>
    <s v="Supplier payment made"/>
    <x v="313"/>
    <s v="0.0"/>
    <x v="11"/>
    <x v="3"/>
  </r>
  <r>
    <n v="3623"/>
    <x v="353"/>
    <s v="Supplier payment made"/>
    <x v="273"/>
    <s v="1159.84"/>
    <x v="0"/>
    <x v="0"/>
  </r>
  <r>
    <n v="3624"/>
    <x v="353"/>
    <s v="Supplier payment made"/>
    <x v="392"/>
    <s v="0.0"/>
    <x v="11"/>
    <x v="3"/>
  </r>
  <r>
    <n v="3624"/>
    <x v="353"/>
    <s v="Supplier payment made"/>
    <x v="273"/>
    <s v="1023.42"/>
    <x v="0"/>
    <x v="0"/>
  </r>
  <r>
    <n v="3625"/>
    <x v="353"/>
    <s v="Supplier payment made"/>
    <x v="309"/>
    <s v="0.0"/>
    <x v="11"/>
    <x v="3"/>
  </r>
  <r>
    <n v="3625"/>
    <x v="353"/>
    <s v="Supplier payment made"/>
    <x v="273"/>
    <s v="4812.46"/>
    <x v="0"/>
    <x v="0"/>
  </r>
  <r>
    <n v="3626"/>
    <x v="353"/>
    <s v="Supplier payment made"/>
    <x v="318"/>
    <s v="0.0"/>
    <x v="11"/>
    <x v="3"/>
  </r>
  <r>
    <n v="3626"/>
    <x v="353"/>
    <s v="Supplier payment made"/>
    <x v="273"/>
    <s v="2504.23"/>
    <x v="0"/>
    <x v="0"/>
  </r>
  <r>
    <n v="3627"/>
    <x v="354"/>
    <s v="Sales invoice issued"/>
    <x v="1534"/>
    <s v="0.0"/>
    <x v="2"/>
    <x v="0"/>
  </r>
  <r>
    <n v="3627"/>
    <x v="354"/>
    <s v="Sales invoice issued"/>
    <x v="273"/>
    <s v="1712.18"/>
    <x v="3"/>
    <x v="2"/>
  </r>
  <r>
    <n v="3627"/>
    <x v="354"/>
    <s v="Sales invoice issued"/>
    <x v="273"/>
    <s v="128.42"/>
    <x v="4"/>
    <x v="3"/>
  </r>
  <r>
    <n v="3628"/>
    <x v="354"/>
    <s v="Sales invoice issued"/>
    <x v="1535"/>
    <s v="0.0"/>
    <x v="2"/>
    <x v="0"/>
  </r>
  <r>
    <n v="3628"/>
    <x v="354"/>
    <s v="Sales invoice issued"/>
    <x v="273"/>
    <s v="751.78"/>
    <x v="3"/>
    <x v="2"/>
  </r>
  <r>
    <n v="3628"/>
    <x v="354"/>
    <s v="Sales invoice issued"/>
    <x v="273"/>
    <s v="56.39"/>
    <x v="4"/>
    <x v="3"/>
  </r>
  <r>
    <n v="3629"/>
    <x v="354"/>
    <s v="Sales invoice issued"/>
    <x v="1536"/>
    <s v="0.0"/>
    <x v="2"/>
    <x v="0"/>
  </r>
  <r>
    <n v="3629"/>
    <x v="354"/>
    <s v="Sales invoice issued"/>
    <x v="273"/>
    <s v="5050.83"/>
    <x v="3"/>
    <x v="2"/>
  </r>
  <r>
    <n v="3629"/>
    <x v="354"/>
    <s v="Sales invoice issued"/>
    <x v="273"/>
    <s v="378.81"/>
    <x v="4"/>
    <x v="3"/>
  </r>
  <r>
    <n v="3630"/>
    <x v="354"/>
    <s v="Sales invoice issued"/>
    <x v="1537"/>
    <s v="0.0"/>
    <x v="2"/>
    <x v="0"/>
  </r>
  <r>
    <n v="3630"/>
    <x v="354"/>
    <s v="Sales invoice issued"/>
    <x v="273"/>
    <s v="1234.45"/>
    <x v="3"/>
    <x v="2"/>
  </r>
  <r>
    <n v="3630"/>
    <x v="354"/>
    <s v="Sales invoice issued"/>
    <x v="273"/>
    <s v="92.58"/>
    <x v="4"/>
    <x v="3"/>
  </r>
  <r>
    <n v="3631"/>
    <x v="354"/>
    <s v="Sales invoice issued"/>
    <x v="1538"/>
    <s v="0.0"/>
    <x v="2"/>
    <x v="0"/>
  </r>
  <r>
    <n v="3631"/>
    <x v="354"/>
    <s v="Sales invoice issued"/>
    <x v="273"/>
    <s v="2483.39"/>
    <x v="3"/>
    <x v="2"/>
  </r>
  <r>
    <n v="3631"/>
    <x v="354"/>
    <s v="Sales invoice issued"/>
    <x v="273"/>
    <s v="186.26"/>
    <x v="4"/>
    <x v="3"/>
  </r>
  <r>
    <n v="3632"/>
    <x v="354"/>
    <s v="Sales invoice issued"/>
    <x v="1539"/>
    <s v="0.0"/>
    <x v="2"/>
    <x v="0"/>
  </r>
  <r>
    <n v="3632"/>
    <x v="354"/>
    <s v="Sales invoice issued"/>
    <x v="273"/>
    <s v="718.71"/>
    <x v="3"/>
    <x v="2"/>
  </r>
  <r>
    <n v="3632"/>
    <x v="354"/>
    <s v="Sales invoice issued"/>
    <x v="273"/>
    <s v="53.91"/>
    <x v="4"/>
    <x v="3"/>
  </r>
  <r>
    <n v="3633"/>
    <x v="354"/>
    <s v="Sales invoice issued"/>
    <x v="1540"/>
    <s v="0.0"/>
    <x v="2"/>
    <x v="0"/>
  </r>
  <r>
    <n v="3633"/>
    <x v="354"/>
    <s v="Sales invoice issued"/>
    <x v="273"/>
    <s v="1273.86"/>
    <x v="3"/>
    <x v="2"/>
  </r>
  <r>
    <n v="3633"/>
    <x v="354"/>
    <s v="Sales invoice issued"/>
    <x v="273"/>
    <s v="95.54"/>
    <x v="4"/>
    <x v="3"/>
  </r>
  <r>
    <n v="3634"/>
    <x v="354"/>
    <s v="Customer payment received"/>
    <x v="1427"/>
    <s v="0.0"/>
    <x v="0"/>
    <x v="0"/>
  </r>
  <r>
    <n v="3634"/>
    <x v="354"/>
    <s v="Customer payment received"/>
    <x v="273"/>
    <s v="1293.32"/>
    <x v="2"/>
    <x v="0"/>
  </r>
  <r>
    <n v="3635"/>
    <x v="354"/>
    <s v="Customer payment received"/>
    <x v="1439"/>
    <s v="0.0"/>
    <x v="0"/>
    <x v="0"/>
  </r>
  <r>
    <n v="3635"/>
    <x v="354"/>
    <s v="Customer payment received"/>
    <x v="273"/>
    <s v="2055.06"/>
    <x v="2"/>
    <x v="0"/>
  </r>
  <r>
    <n v="3636"/>
    <x v="354"/>
    <s v="Customer payment received"/>
    <x v="283"/>
    <s v="0.0"/>
    <x v="0"/>
    <x v="0"/>
  </r>
  <r>
    <n v="3636"/>
    <x v="354"/>
    <s v="Customer payment received"/>
    <x v="273"/>
    <s v="367.71"/>
    <x v="2"/>
    <x v="0"/>
  </r>
  <r>
    <n v="3637"/>
    <x v="354"/>
    <s v="Customer payment received"/>
    <x v="1486"/>
    <s v="0.0"/>
    <x v="0"/>
    <x v="0"/>
  </r>
  <r>
    <n v="3637"/>
    <x v="354"/>
    <s v="Customer payment received"/>
    <x v="273"/>
    <s v="2128.88"/>
    <x v="2"/>
    <x v="0"/>
  </r>
  <r>
    <n v="3638"/>
    <x v="354"/>
    <s v="Customer payment received"/>
    <x v="1494"/>
    <s v="0.0"/>
    <x v="0"/>
    <x v="0"/>
  </r>
  <r>
    <n v="3638"/>
    <x v="354"/>
    <s v="Customer payment received"/>
    <x v="273"/>
    <s v="3755.66"/>
    <x v="2"/>
    <x v="0"/>
  </r>
  <r>
    <n v="3639"/>
    <x v="354"/>
    <s v="Customer payment received"/>
    <x v="1499"/>
    <s v="0.0"/>
    <x v="0"/>
    <x v="0"/>
  </r>
  <r>
    <n v="3639"/>
    <x v="354"/>
    <s v="Customer payment received"/>
    <x v="273"/>
    <s v="1956.18"/>
    <x v="2"/>
    <x v="0"/>
  </r>
  <r>
    <n v="3640"/>
    <x v="354"/>
    <s v="Customer payment received"/>
    <x v="1525"/>
    <s v="0.0"/>
    <x v="0"/>
    <x v="0"/>
  </r>
  <r>
    <n v="3640"/>
    <x v="354"/>
    <s v="Customer payment received"/>
    <x v="273"/>
    <s v="1820.79"/>
    <x v="2"/>
    <x v="0"/>
  </r>
  <r>
    <n v="3641"/>
    <x v="354"/>
    <s v="Customer payment received"/>
    <x v="1535"/>
    <s v="0.0"/>
    <x v="0"/>
    <x v="0"/>
  </r>
  <r>
    <n v="3641"/>
    <x v="354"/>
    <s v="Customer payment received"/>
    <x v="273"/>
    <s v="808.17"/>
    <x v="2"/>
    <x v="0"/>
  </r>
  <r>
    <n v="3642"/>
    <x v="354"/>
    <s v="Supplier invoice received"/>
    <x v="303"/>
    <s v="0.0"/>
    <x v="9"/>
    <x v="4"/>
  </r>
  <r>
    <n v="3642"/>
    <x v="354"/>
    <s v="Supplier invoice received"/>
    <x v="304"/>
    <s v="0.0"/>
    <x v="10"/>
    <x v="0"/>
  </r>
  <r>
    <n v="3642"/>
    <x v="354"/>
    <s v="Supplier invoice received"/>
    <x v="273"/>
    <s v="550.4"/>
    <x v="11"/>
    <x v="3"/>
  </r>
  <r>
    <n v="3643"/>
    <x v="354"/>
    <s v="Supplier payment made"/>
    <x v="309"/>
    <s v="0.0"/>
    <x v="11"/>
    <x v="3"/>
  </r>
  <r>
    <n v="3643"/>
    <x v="354"/>
    <s v="Supplier payment made"/>
    <x v="273"/>
    <s v="4812.46"/>
    <x v="0"/>
    <x v="0"/>
  </r>
  <r>
    <n v="3644"/>
    <x v="354"/>
    <s v="Supplier payment made"/>
    <x v="335"/>
    <s v="0.0"/>
    <x v="11"/>
    <x v="3"/>
  </r>
  <r>
    <n v="3644"/>
    <x v="354"/>
    <s v="Supplier payment made"/>
    <x v="273"/>
    <s v="550.4"/>
    <x v="0"/>
    <x v="0"/>
  </r>
  <r>
    <n v="3645"/>
    <x v="355"/>
    <s v="Sales invoice issued"/>
    <x v="1541"/>
    <s v="0.0"/>
    <x v="2"/>
    <x v="0"/>
  </r>
  <r>
    <n v="3645"/>
    <x v="355"/>
    <s v="Sales invoice issued"/>
    <x v="273"/>
    <s v="371.38"/>
    <x v="3"/>
    <x v="2"/>
  </r>
  <r>
    <n v="3645"/>
    <x v="355"/>
    <s v="Sales invoice issued"/>
    <x v="273"/>
    <s v="27.85"/>
    <x v="4"/>
    <x v="3"/>
  </r>
  <r>
    <n v="3646"/>
    <x v="355"/>
    <s v="Sales invoice issued"/>
    <x v="1542"/>
    <s v="0.0"/>
    <x v="2"/>
    <x v="0"/>
  </r>
  <r>
    <n v="3646"/>
    <x v="355"/>
    <s v="Sales invoice issued"/>
    <x v="273"/>
    <s v="3101.01"/>
    <x v="3"/>
    <x v="2"/>
  </r>
  <r>
    <n v="3646"/>
    <x v="355"/>
    <s v="Sales invoice issued"/>
    <x v="273"/>
    <s v="232.57"/>
    <x v="4"/>
    <x v="3"/>
  </r>
  <r>
    <n v="3647"/>
    <x v="355"/>
    <s v="Sales invoice issued"/>
    <x v="1543"/>
    <s v="0.0"/>
    <x v="2"/>
    <x v="0"/>
  </r>
  <r>
    <n v="3647"/>
    <x v="355"/>
    <s v="Sales invoice issued"/>
    <x v="273"/>
    <s v="2980.76"/>
    <x v="3"/>
    <x v="2"/>
  </r>
  <r>
    <n v="3647"/>
    <x v="355"/>
    <s v="Sales invoice issued"/>
    <x v="273"/>
    <s v="223.56"/>
    <x v="4"/>
    <x v="3"/>
  </r>
  <r>
    <n v="3648"/>
    <x v="355"/>
    <s v="Sales invoice issued"/>
    <x v="1544"/>
    <s v="0.0"/>
    <x v="2"/>
    <x v="0"/>
  </r>
  <r>
    <n v="3648"/>
    <x v="355"/>
    <s v="Sales invoice issued"/>
    <x v="273"/>
    <s v="4448.97"/>
    <x v="3"/>
    <x v="2"/>
  </r>
  <r>
    <n v="3648"/>
    <x v="355"/>
    <s v="Sales invoice issued"/>
    <x v="273"/>
    <s v="333.68"/>
    <x v="4"/>
    <x v="3"/>
  </r>
  <r>
    <n v="3649"/>
    <x v="355"/>
    <s v="Sales invoice issued"/>
    <x v="1545"/>
    <s v="0.0"/>
    <x v="2"/>
    <x v="0"/>
  </r>
  <r>
    <n v="3649"/>
    <x v="355"/>
    <s v="Sales invoice issued"/>
    <x v="273"/>
    <s v="6773.65"/>
    <x v="3"/>
    <x v="2"/>
  </r>
  <r>
    <n v="3649"/>
    <x v="355"/>
    <s v="Sales invoice issued"/>
    <x v="273"/>
    <s v="508.03"/>
    <x v="4"/>
    <x v="3"/>
  </r>
  <r>
    <n v="3650"/>
    <x v="355"/>
    <s v="Customer payment received"/>
    <x v="1421"/>
    <s v="0.0"/>
    <x v="0"/>
    <x v="0"/>
  </r>
  <r>
    <n v="3650"/>
    <x v="355"/>
    <s v="Customer payment received"/>
    <x v="273"/>
    <s v="3260.9"/>
    <x v="2"/>
    <x v="0"/>
  </r>
  <r>
    <n v="3651"/>
    <x v="355"/>
    <s v="Customer payment received"/>
    <x v="1505"/>
    <s v="0.0"/>
    <x v="0"/>
    <x v="0"/>
  </r>
  <r>
    <n v="3651"/>
    <x v="355"/>
    <s v="Customer payment received"/>
    <x v="273"/>
    <s v="92.77"/>
    <x v="2"/>
    <x v="0"/>
  </r>
  <r>
    <n v="3652"/>
    <x v="355"/>
    <s v="Supplier invoice received"/>
    <x v="357"/>
    <s v="0.0"/>
    <x v="9"/>
    <x v="4"/>
  </r>
  <r>
    <n v="3652"/>
    <x v="355"/>
    <s v="Supplier invoice received"/>
    <x v="358"/>
    <s v="0.0"/>
    <x v="10"/>
    <x v="0"/>
  </r>
  <r>
    <n v="3652"/>
    <x v="355"/>
    <s v="Supplier invoice received"/>
    <x v="273"/>
    <s v="1958.74"/>
    <x v="11"/>
    <x v="3"/>
  </r>
  <r>
    <n v="3653"/>
    <x v="355"/>
    <s v="Supplier invoice received"/>
    <x v="295"/>
    <s v="0.0"/>
    <x v="9"/>
    <x v="4"/>
  </r>
  <r>
    <n v="3653"/>
    <x v="355"/>
    <s v="Supplier invoice received"/>
    <x v="296"/>
    <s v="0.0"/>
    <x v="10"/>
    <x v="0"/>
  </r>
  <r>
    <n v="3653"/>
    <x v="355"/>
    <s v="Supplier invoice received"/>
    <x v="273"/>
    <s v="1766.46"/>
    <x v="11"/>
    <x v="3"/>
  </r>
  <r>
    <n v="3654"/>
    <x v="355"/>
    <s v="Supplier invoice received"/>
    <x v="338"/>
    <s v="0.0"/>
    <x v="9"/>
    <x v="4"/>
  </r>
  <r>
    <n v="3654"/>
    <x v="355"/>
    <s v="Supplier invoice received"/>
    <x v="339"/>
    <s v="0.0"/>
    <x v="10"/>
    <x v="0"/>
  </r>
  <r>
    <n v="3654"/>
    <x v="355"/>
    <s v="Supplier invoice received"/>
    <x v="273"/>
    <s v="1159.84"/>
    <x v="11"/>
    <x v="3"/>
  </r>
  <r>
    <n v="3655"/>
    <x v="355"/>
    <s v="Supplier invoice received"/>
    <x v="443"/>
    <s v="0.0"/>
    <x v="9"/>
    <x v="4"/>
  </r>
  <r>
    <n v="3655"/>
    <x v="355"/>
    <s v="Supplier invoice received"/>
    <x v="444"/>
    <s v="0.0"/>
    <x v="10"/>
    <x v="0"/>
  </r>
  <r>
    <n v="3655"/>
    <x v="355"/>
    <s v="Supplier invoice received"/>
    <x v="273"/>
    <s v="748.26"/>
    <x v="11"/>
    <x v="3"/>
  </r>
  <r>
    <n v="3656"/>
    <x v="355"/>
    <s v="Supplier invoice received"/>
    <x v="474"/>
    <s v="0.0"/>
    <x v="9"/>
    <x v="4"/>
  </r>
  <r>
    <n v="3656"/>
    <x v="355"/>
    <s v="Supplier invoice received"/>
    <x v="475"/>
    <s v="0.0"/>
    <x v="10"/>
    <x v="0"/>
  </r>
  <r>
    <n v="3656"/>
    <x v="355"/>
    <s v="Supplier invoice received"/>
    <x v="273"/>
    <s v="862.91"/>
    <x v="11"/>
    <x v="3"/>
  </r>
  <r>
    <n v="3657"/>
    <x v="355"/>
    <s v="Supplier invoice received"/>
    <x v="284"/>
    <s v="0.0"/>
    <x v="9"/>
    <x v="4"/>
  </r>
  <r>
    <n v="3657"/>
    <x v="355"/>
    <s v="Supplier invoice received"/>
    <x v="285"/>
    <s v="0.0"/>
    <x v="10"/>
    <x v="0"/>
  </r>
  <r>
    <n v="3657"/>
    <x v="355"/>
    <s v="Supplier invoice received"/>
    <x v="273"/>
    <s v="9336.67"/>
    <x v="11"/>
    <x v="3"/>
  </r>
  <r>
    <n v="3658"/>
    <x v="355"/>
    <s v="Supplier invoice received"/>
    <x v="366"/>
    <s v="0.0"/>
    <x v="9"/>
    <x v="4"/>
  </r>
  <r>
    <n v="3658"/>
    <x v="355"/>
    <s v="Supplier invoice received"/>
    <x v="367"/>
    <s v="0.0"/>
    <x v="10"/>
    <x v="0"/>
  </r>
  <r>
    <n v="3658"/>
    <x v="355"/>
    <s v="Supplier invoice received"/>
    <x v="273"/>
    <s v="201.5"/>
    <x v="11"/>
    <x v="3"/>
  </r>
  <r>
    <n v="3659"/>
    <x v="355"/>
    <s v="Supplier invoice received"/>
    <x v="383"/>
    <s v="0.0"/>
    <x v="9"/>
    <x v="4"/>
  </r>
  <r>
    <n v="3659"/>
    <x v="355"/>
    <s v="Supplier invoice received"/>
    <x v="384"/>
    <s v="0.0"/>
    <x v="10"/>
    <x v="0"/>
  </r>
  <r>
    <n v="3659"/>
    <x v="355"/>
    <s v="Supplier invoice received"/>
    <x v="273"/>
    <s v="3868.8"/>
    <x v="11"/>
    <x v="3"/>
  </r>
  <r>
    <n v="3660"/>
    <x v="355"/>
    <s v="Supplier payment made"/>
    <x v="318"/>
    <s v="0.0"/>
    <x v="11"/>
    <x v="3"/>
  </r>
  <r>
    <n v="3660"/>
    <x v="355"/>
    <s v="Supplier payment made"/>
    <x v="273"/>
    <s v="2504.23"/>
    <x v="0"/>
    <x v="0"/>
  </r>
  <r>
    <n v="3661"/>
    <x v="355"/>
    <s v="Supplier payment made"/>
    <x v="407"/>
    <s v="0.0"/>
    <x v="11"/>
    <x v="3"/>
  </r>
  <r>
    <n v="3661"/>
    <x v="355"/>
    <s v="Supplier payment made"/>
    <x v="273"/>
    <s v="201.5"/>
    <x v="0"/>
    <x v="0"/>
  </r>
  <r>
    <n v="3662"/>
    <x v="355"/>
    <s v="Supplier payment made"/>
    <x v="292"/>
    <s v="0.0"/>
    <x v="11"/>
    <x v="3"/>
  </r>
  <r>
    <n v="3662"/>
    <x v="355"/>
    <s v="Supplier payment made"/>
    <x v="273"/>
    <s v="1766.46"/>
    <x v="0"/>
    <x v="0"/>
  </r>
  <r>
    <n v="3663"/>
    <x v="356"/>
    <s v="Sales invoice issued"/>
    <x v="1546"/>
    <s v="0.0"/>
    <x v="2"/>
    <x v="0"/>
  </r>
  <r>
    <n v="3663"/>
    <x v="356"/>
    <s v="Sales invoice issued"/>
    <x v="273"/>
    <s v="1621.09"/>
    <x v="3"/>
    <x v="2"/>
  </r>
  <r>
    <n v="3663"/>
    <x v="356"/>
    <s v="Sales invoice issued"/>
    <x v="273"/>
    <s v="121.57"/>
    <x v="4"/>
    <x v="3"/>
  </r>
  <r>
    <n v="3664"/>
    <x v="356"/>
    <s v="Sales invoice issued"/>
    <x v="1547"/>
    <s v="0.0"/>
    <x v="2"/>
    <x v="0"/>
  </r>
  <r>
    <n v="3664"/>
    <x v="356"/>
    <s v="Sales invoice issued"/>
    <x v="273"/>
    <s v="1930.22"/>
    <x v="3"/>
    <x v="2"/>
  </r>
  <r>
    <n v="3664"/>
    <x v="356"/>
    <s v="Sales invoice issued"/>
    <x v="273"/>
    <s v="144.78"/>
    <x v="4"/>
    <x v="3"/>
  </r>
  <r>
    <n v="3665"/>
    <x v="356"/>
    <s v="Sales invoice issued"/>
    <x v="1548"/>
    <s v="0.0"/>
    <x v="2"/>
    <x v="0"/>
  </r>
  <r>
    <n v="3665"/>
    <x v="356"/>
    <s v="Sales invoice issued"/>
    <x v="273"/>
    <s v="1100.29"/>
    <x v="3"/>
    <x v="2"/>
  </r>
  <r>
    <n v="3665"/>
    <x v="356"/>
    <s v="Sales invoice issued"/>
    <x v="273"/>
    <s v="82.53"/>
    <x v="4"/>
    <x v="3"/>
  </r>
  <r>
    <n v="3666"/>
    <x v="356"/>
    <s v="Sales invoice issued"/>
    <x v="1549"/>
    <s v="0.0"/>
    <x v="2"/>
    <x v="0"/>
  </r>
  <r>
    <n v="3666"/>
    <x v="356"/>
    <s v="Sales invoice issued"/>
    <x v="273"/>
    <s v="4265.87"/>
    <x v="3"/>
    <x v="2"/>
  </r>
  <r>
    <n v="3666"/>
    <x v="356"/>
    <s v="Sales invoice issued"/>
    <x v="273"/>
    <s v="319.95"/>
    <x v="4"/>
    <x v="3"/>
  </r>
  <r>
    <n v="3667"/>
    <x v="356"/>
    <s v="Sales invoice issued"/>
    <x v="1550"/>
    <s v="0.0"/>
    <x v="2"/>
    <x v="0"/>
  </r>
  <r>
    <n v="3667"/>
    <x v="356"/>
    <s v="Sales invoice issued"/>
    <x v="273"/>
    <s v="3713.92"/>
    <x v="3"/>
    <x v="2"/>
  </r>
  <r>
    <n v="3667"/>
    <x v="356"/>
    <s v="Sales invoice issued"/>
    <x v="273"/>
    <s v="278.55"/>
    <x v="4"/>
    <x v="3"/>
  </r>
  <r>
    <n v="3668"/>
    <x v="356"/>
    <s v="Sales invoice issued"/>
    <x v="1551"/>
    <s v="0.0"/>
    <x v="2"/>
    <x v="0"/>
  </r>
  <r>
    <n v="3668"/>
    <x v="356"/>
    <s v="Sales invoice issued"/>
    <x v="273"/>
    <s v="2064.95"/>
    <x v="3"/>
    <x v="2"/>
  </r>
  <r>
    <n v="3668"/>
    <x v="356"/>
    <s v="Sales invoice issued"/>
    <x v="273"/>
    <s v="154.87"/>
    <x v="4"/>
    <x v="3"/>
  </r>
  <r>
    <n v="3669"/>
    <x v="356"/>
    <s v="Customer payment received"/>
    <x v="1344"/>
    <s v="0.0"/>
    <x v="0"/>
    <x v="0"/>
  </r>
  <r>
    <n v="3669"/>
    <x v="356"/>
    <s v="Customer payment received"/>
    <x v="273"/>
    <s v="457.51"/>
    <x v="2"/>
    <x v="0"/>
  </r>
  <r>
    <n v="3670"/>
    <x v="356"/>
    <s v="Customer payment received"/>
    <x v="1445"/>
    <s v="0.0"/>
    <x v="0"/>
    <x v="0"/>
  </r>
  <r>
    <n v="3670"/>
    <x v="356"/>
    <s v="Customer payment received"/>
    <x v="273"/>
    <s v="257.19"/>
    <x v="2"/>
    <x v="0"/>
  </r>
  <r>
    <n v="3671"/>
    <x v="356"/>
    <s v="Customer payment received"/>
    <x v="1446"/>
    <s v="0.0"/>
    <x v="0"/>
    <x v="0"/>
  </r>
  <r>
    <n v="3671"/>
    <x v="356"/>
    <s v="Customer payment received"/>
    <x v="273"/>
    <s v="1155.91"/>
    <x v="2"/>
    <x v="0"/>
  </r>
  <r>
    <n v="3672"/>
    <x v="356"/>
    <s v="Customer payment received"/>
    <x v="652"/>
    <s v="0.0"/>
    <x v="0"/>
    <x v="0"/>
  </r>
  <r>
    <n v="3672"/>
    <x v="356"/>
    <s v="Customer payment received"/>
    <x v="273"/>
    <s v="1488.92"/>
    <x v="2"/>
    <x v="0"/>
  </r>
  <r>
    <n v="3673"/>
    <x v="356"/>
    <s v="Customer payment received"/>
    <x v="1497"/>
    <s v="0.0"/>
    <x v="0"/>
    <x v="0"/>
  </r>
  <r>
    <n v="3673"/>
    <x v="356"/>
    <s v="Customer payment received"/>
    <x v="273"/>
    <s v="2681.29"/>
    <x v="2"/>
    <x v="0"/>
  </r>
  <r>
    <n v="3674"/>
    <x v="356"/>
    <s v="Customer payment received"/>
    <x v="1547"/>
    <s v="0.0"/>
    <x v="0"/>
    <x v="0"/>
  </r>
  <r>
    <n v="3674"/>
    <x v="356"/>
    <s v="Customer payment received"/>
    <x v="273"/>
    <s v="2075.0"/>
    <x v="2"/>
    <x v="0"/>
  </r>
  <r>
    <n v="3675"/>
    <x v="356"/>
    <s v="Supplier invoice received"/>
    <x v="297"/>
    <s v="0.0"/>
    <x v="9"/>
    <x v="4"/>
  </r>
  <r>
    <n v="3675"/>
    <x v="356"/>
    <s v="Supplier invoice received"/>
    <x v="298"/>
    <s v="0.0"/>
    <x v="10"/>
    <x v="0"/>
  </r>
  <r>
    <n v="3675"/>
    <x v="356"/>
    <s v="Supplier invoice received"/>
    <x v="273"/>
    <s v="3528.97"/>
    <x v="11"/>
    <x v="3"/>
  </r>
  <r>
    <n v="3676"/>
    <x v="356"/>
    <s v="Supplier payment made"/>
    <x v="408"/>
    <s v="0.0"/>
    <x v="11"/>
    <x v="3"/>
  </r>
  <r>
    <n v="3676"/>
    <x v="356"/>
    <s v="Supplier payment made"/>
    <x v="273"/>
    <s v="3868.8"/>
    <x v="0"/>
    <x v="0"/>
  </r>
  <r>
    <n v="3677"/>
    <x v="357"/>
    <s v="Sales invoice issued"/>
    <x v="1552"/>
    <s v="0.0"/>
    <x v="2"/>
    <x v="0"/>
  </r>
  <r>
    <n v="3677"/>
    <x v="357"/>
    <s v="Sales invoice issued"/>
    <x v="273"/>
    <s v="3411.48"/>
    <x v="3"/>
    <x v="2"/>
  </r>
  <r>
    <n v="3677"/>
    <x v="357"/>
    <s v="Sales invoice issued"/>
    <x v="273"/>
    <s v="255.86"/>
    <x v="4"/>
    <x v="3"/>
  </r>
  <r>
    <n v="3678"/>
    <x v="357"/>
    <s v="Sales invoice issued"/>
    <x v="1553"/>
    <s v="0.0"/>
    <x v="2"/>
    <x v="0"/>
  </r>
  <r>
    <n v="3678"/>
    <x v="357"/>
    <s v="Sales invoice issued"/>
    <x v="273"/>
    <s v="5201.45"/>
    <x v="3"/>
    <x v="2"/>
  </r>
  <r>
    <n v="3678"/>
    <x v="357"/>
    <s v="Sales invoice issued"/>
    <x v="273"/>
    <s v="390.11"/>
    <x v="4"/>
    <x v="3"/>
  </r>
  <r>
    <n v="3679"/>
    <x v="357"/>
    <s v="Sales invoice issued"/>
    <x v="1554"/>
    <s v="0.0"/>
    <x v="2"/>
    <x v="0"/>
  </r>
  <r>
    <n v="3679"/>
    <x v="357"/>
    <s v="Sales invoice issued"/>
    <x v="273"/>
    <s v="1903.8"/>
    <x v="3"/>
    <x v="2"/>
  </r>
  <r>
    <n v="3679"/>
    <x v="357"/>
    <s v="Sales invoice issued"/>
    <x v="273"/>
    <s v="142.78"/>
    <x v="4"/>
    <x v="3"/>
  </r>
  <r>
    <n v="3680"/>
    <x v="357"/>
    <s v="Sales invoice issued"/>
    <x v="1555"/>
    <s v="0.0"/>
    <x v="2"/>
    <x v="0"/>
  </r>
  <r>
    <n v="3680"/>
    <x v="357"/>
    <s v="Sales invoice issued"/>
    <x v="273"/>
    <s v="1651.04"/>
    <x v="3"/>
    <x v="2"/>
  </r>
  <r>
    <n v="3680"/>
    <x v="357"/>
    <s v="Sales invoice issued"/>
    <x v="273"/>
    <s v="123.82"/>
    <x v="4"/>
    <x v="3"/>
  </r>
  <r>
    <n v="3681"/>
    <x v="357"/>
    <s v="Sales invoice issued"/>
    <x v="1556"/>
    <s v="0.0"/>
    <x v="2"/>
    <x v="0"/>
  </r>
  <r>
    <n v="3681"/>
    <x v="357"/>
    <s v="Sales invoice issued"/>
    <x v="273"/>
    <s v="3032.1"/>
    <x v="3"/>
    <x v="2"/>
  </r>
  <r>
    <n v="3681"/>
    <x v="357"/>
    <s v="Sales invoice issued"/>
    <x v="273"/>
    <s v="227.41"/>
    <x v="4"/>
    <x v="3"/>
  </r>
  <r>
    <n v="3682"/>
    <x v="357"/>
    <s v="Sales invoice issued"/>
    <x v="1557"/>
    <s v="0.0"/>
    <x v="2"/>
    <x v="0"/>
  </r>
  <r>
    <n v="3682"/>
    <x v="357"/>
    <s v="Sales invoice issued"/>
    <x v="273"/>
    <s v="4486.08"/>
    <x v="3"/>
    <x v="2"/>
  </r>
  <r>
    <n v="3682"/>
    <x v="357"/>
    <s v="Sales invoice issued"/>
    <x v="273"/>
    <s v="336.46"/>
    <x v="4"/>
    <x v="3"/>
  </r>
  <r>
    <n v="3683"/>
    <x v="357"/>
    <s v="Sales invoice issued"/>
    <x v="1558"/>
    <s v="0.0"/>
    <x v="2"/>
    <x v="0"/>
  </r>
  <r>
    <n v="3683"/>
    <x v="357"/>
    <s v="Sales invoice issued"/>
    <x v="273"/>
    <s v="3413.56"/>
    <x v="3"/>
    <x v="2"/>
  </r>
  <r>
    <n v="3683"/>
    <x v="357"/>
    <s v="Sales invoice issued"/>
    <x v="273"/>
    <s v="256.02"/>
    <x v="4"/>
    <x v="3"/>
  </r>
  <r>
    <n v="3684"/>
    <x v="357"/>
    <s v="Customer payment received"/>
    <x v="1411"/>
    <s v="0.0"/>
    <x v="0"/>
    <x v="0"/>
  </r>
  <r>
    <n v="3684"/>
    <x v="357"/>
    <s v="Customer payment received"/>
    <x v="273"/>
    <s v="4224.96"/>
    <x v="2"/>
    <x v="0"/>
  </r>
  <r>
    <n v="3685"/>
    <x v="357"/>
    <s v="Customer payment received"/>
    <x v="1443"/>
    <s v="0.0"/>
    <x v="0"/>
    <x v="0"/>
  </r>
  <r>
    <n v="3685"/>
    <x v="357"/>
    <s v="Customer payment received"/>
    <x v="273"/>
    <s v="1870.47"/>
    <x v="2"/>
    <x v="0"/>
  </r>
  <r>
    <n v="3686"/>
    <x v="357"/>
    <s v="Customer payment received"/>
    <x v="1448"/>
    <s v="0.0"/>
    <x v="0"/>
    <x v="0"/>
  </r>
  <r>
    <n v="3686"/>
    <x v="357"/>
    <s v="Customer payment received"/>
    <x v="273"/>
    <s v="6062.91"/>
    <x v="2"/>
    <x v="0"/>
  </r>
  <r>
    <n v="3687"/>
    <x v="357"/>
    <s v="Customer payment received"/>
    <x v="1472"/>
    <s v="0.0"/>
    <x v="0"/>
    <x v="0"/>
  </r>
  <r>
    <n v="3687"/>
    <x v="357"/>
    <s v="Customer payment received"/>
    <x v="273"/>
    <s v="2699.24"/>
    <x v="2"/>
    <x v="0"/>
  </r>
  <r>
    <n v="3688"/>
    <x v="357"/>
    <s v="Customer payment received"/>
    <x v="1490"/>
    <s v="0.0"/>
    <x v="0"/>
    <x v="0"/>
  </r>
  <r>
    <n v="3688"/>
    <x v="357"/>
    <s v="Customer payment received"/>
    <x v="273"/>
    <s v="4584.08"/>
    <x v="2"/>
    <x v="0"/>
  </r>
  <r>
    <n v="3689"/>
    <x v="357"/>
    <s v="Customer payment received"/>
    <x v="1492"/>
    <s v="0.0"/>
    <x v="0"/>
    <x v="0"/>
  </r>
  <r>
    <n v="3689"/>
    <x v="357"/>
    <s v="Customer payment received"/>
    <x v="273"/>
    <s v="189.08"/>
    <x v="2"/>
    <x v="0"/>
  </r>
  <r>
    <n v="3690"/>
    <x v="357"/>
    <s v="Customer payment received"/>
    <x v="1530"/>
    <s v="0.0"/>
    <x v="0"/>
    <x v="0"/>
  </r>
  <r>
    <n v="3690"/>
    <x v="357"/>
    <s v="Customer payment received"/>
    <x v="273"/>
    <s v="4062.05"/>
    <x v="2"/>
    <x v="0"/>
  </r>
  <r>
    <n v="3691"/>
    <x v="357"/>
    <s v="Customer payment received"/>
    <x v="1546"/>
    <s v="0.0"/>
    <x v="0"/>
    <x v="0"/>
  </r>
  <r>
    <n v="3691"/>
    <x v="357"/>
    <s v="Customer payment received"/>
    <x v="273"/>
    <s v="1742.66"/>
    <x v="2"/>
    <x v="0"/>
  </r>
  <r>
    <n v="3692"/>
    <x v="357"/>
    <s v="Supplier invoice received"/>
    <x v="301"/>
    <s v="0.0"/>
    <x v="9"/>
    <x v="4"/>
  </r>
  <r>
    <n v="3692"/>
    <x v="357"/>
    <s v="Supplier invoice received"/>
    <x v="302"/>
    <s v="0.0"/>
    <x v="10"/>
    <x v="0"/>
  </r>
  <r>
    <n v="3692"/>
    <x v="357"/>
    <s v="Supplier invoice received"/>
    <x v="273"/>
    <s v="4812.46"/>
    <x v="11"/>
    <x v="3"/>
  </r>
  <r>
    <n v="3693"/>
    <x v="357"/>
    <s v="Supplier invoice received"/>
    <x v="405"/>
    <s v="0.0"/>
    <x v="9"/>
    <x v="4"/>
  </r>
  <r>
    <n v="3693"/>
    <x v="357"/>
    <s v="Supplier invoice received"/>
    <x v="406"/>
    <s v="0.0"/>
    <x v="10"/>
    <x v="0"/>
  </r>
  <r>
    <n v="3693"/>
    <x v="357"/>
    <s v="Supplier invoice received"/>
    <x v="273"/>
    <s v="2635.36"/>
    <x v="11"/>
    <x v="3"/>
  </r>
  <r>
    <n v="3694"/>
    <x v="357"/>
    <s v="Supplier payment made"/>
    <x v="313"/>
    <s v="0.0"/>
    <x v="11"/>
    <x v="3"/>
  </r>
  <r>
    <n v="3694"/>
    <x v="357"/>
    <s v="Supplier payment made"/>
    <x v="273"/>
    <s v="1159.84"/>
    <x v="0"/>
    <x v="0"/>
  </r>
  <r>
    <n v="3695"/>
    <x v="358"/>
    <s v="Sales invoice issued"/>
    <x v="1559"/>
    <s v="0.0"/>
    <x v="2"/>
    <x v="0"/>
  </r>
  <r>
    <n v="3695"/>
    <x v="358"/>
    <s v="Sales invoice issued"/>
    <x v="273"/>
    <s v="1095.06"/>
    <x v="3"/>
    <x v="2"/>
  </r>
  <r>
    <n v="3695"/>
    <x v="358"/>
    <s v="Sales invoice issued"/>
    <x v="273"/>
    <s v="82.13"/>
    <x v="4"/>
    <x v="3"/>
  </r>
  <r>
    <n v="3696"/>
    <x v="358"/>
    <s v="Sales invoice issued"/>
    <x v="1560"/>
    <s v="0.0"/>
    <x v="2"/>
    <x v="0"/>
  </r>
  <r>
    <n v="3696"/>
    <x v="358"/>
    <s v="Sales invoice issued"/>
    <x v="273"/>
    <s v="925.61"/>
    <x v="3"/>
    <x v="2"/>
  </r>
  <r>
    <n v="3696"/>
    <x v="358"/>
    <s v="Sales invoice issued"/>
    <x v="273"/>
    <s v="69.43"/>
    <x v="4"/>
    <x v="3"/>
  </r>
  <r>
    <n v="3697"/>
    <x v="358"/>
    <s v="Sales invoice issued"/>
    <x v="1561"/>
    <s v="0.0"/>
    <x v="2"/>
    <x v="0"/>
  </r>
  <r>
    <n v="3697"/>
    <x v="358"/>
    <s v="Sales invoice issued"/>
    <x v="273"/>
    <s v="2092.12"/>
    <x v="3"/>
    <x v="2"/>
  </r>
  <r>
    <n v="3697"/>
    <x v="358"/>
    <s v="Sales invoice issued"/>
    <x v="273"/>
    <s v="156.91"/>
    <x v="4"/>
    <x v="3"/>
  </r>
  <r>
    <n v="3698"/>
    <x v="358"/>
    <s v="Sales invoice issued"/>
    <x v="1562"/>
    <s v="0.0"/>
    <x v="2"/>
    <x v="0"/>
  </r>
  <r>
    <n v="3698"/>
    <x v="358"/>
    <s v="Sales invoice issued"/>
    <x v="273"/>
    <s v="1702.32"/>
    <x v="3"/>
    <x v="2"/>
  </r>
  <r>
    <n v="3698"/>
    <x v="358"/>
    <s v="Sales invoice issued"/>
    <x v="273"/>
    <s v="127.67"/>
    <x v="4"/>
    <x v="3"/>
  </r>
  <r>
    <n v="3699"/>
    <x v="358"/>
    <s v="Sales invoice issued"/>
    <x v="1563"/>
    <s v="0.0"/>
    <x v="2"/>
    <x v="0"/>
  </r>
  <r>
    <n v="3699"/>
    <x v="358"/>
    <s v="Sales invoice issued"/>
    <x v="273"/>
    <s v="3420.75"/>
    <x v="3"/>
    <x v="2"/>
  </r>
  <r>
    <n v="3699"/>
    <x v="358"/>
    <s v="Sales invoice issued"/>
    <x v="273"/>
    <s v="256.56"/>
    <x v="4"/>
    <x v="3"/>
  </r>
  <r>
    <n v="3700"/>
    <x v="358"/>
    <s v="Sales invoice issued"/>
    <x v="1564"/>
    <s v="0.0"/>
    <x v="2"/>
    <x v="0"/>
  </r>
  <r>
    <n v="3700"/>
    <x v="358"/>
    <s v="Sales invoice issued"/>
    <x v="273"/>
    <s v="3145.47"/>
    <x v="3"/>
    <x v="2"/>
  </r>
  <r>
    <n v="3700"/>
    <x v="358"/>
    <s v="Sales invoice issued"/>
    <x v="273"/>
    <s v="235.91"/>
    <x v="4"/>
    <x v="3"/>
  </r>
  <r>
    <n v="3701"/>
    <x v="358"/>
    <s v="Customer payment received"/>
    <x v="1396"/>
    <s v="0.0"/>
    <x v="0"/>
    <x v="0"/>
  </r>
  <r>
    <n v="3701"/>
    <x v="358"/>
    <s v="Customer payment received"/>
    <x v="273"/>
    <s v="1920.17"/>
    <x v="2"/>
    <x v="0"/>
  </r>
  <r>
    <n v="3702"/>
    <x v="358"/>
    <s v="Customer payment received"/>
    <x v="1521"/>
    <s v="0.0"/>
    <x v="0"/>
    <x v="0"/>
  </r>
  <r>
    <n v="3702"/>
    <x v="358"/>
    <s v="Customer payment received"/>
    <x v="273"/>
    <s v="3351.61"/>
    <x v="2"/>
    <x v="0"/>
  </r>
  <r>
    <n v="3703"/>
    <x v="358"/>
    <s v="Customer payment received"/>
    <x v="1557"/>
    <s v="0.0"/>
    <x v="0"/>
    <x v="0"/>
  </r>
  <r>
    <n v="3703"/>
    <x v="358"/>
    <s v="Customer payment received"/>
    <x v="273"/>
    <s v="4822.54"/>
    <x v="2"/>
    <x v="0"/>
  </r>
  <r>
    <n v="3704"/>
    <x v="358"/>
    <s v="Customer payment received"/>
    <x v="1563"/>
    <s v="0.0"/>
    <x v="0"/>
    <x v="0"/>
  </r>
  <r>
    <n v="3704"/>
    <x v="358"/>
    <s v="Customer payment received"/>
    <x v="273"/>
    <s v="3677.31"/>
    <x v="2"/>
    <x v="0"/>
  </r>
  <r>
    <n v="3705"/>
    <x v="358"/>
    <s v="Supplier invoice received"/>
    <x v="441"/>
    <s v="0.0"/>
    <x v="9"/>
    <x v="4"/>
  </r>
  <r>
    <n v="3705"/>
    <x v="358"/>
    <s v="Supplier invoice received"/>
    <x v="442"/>
    <s v="0.0"/>
    <x v="10"/>
    <x v="0"/>
  </r>
  <r>
    <n v="3705"/>
    <x v="358"/>
    <s v="Supplier invoice received"/>
    <x v="273"/>
    <s v="179.01"/>
    <x v="11"/>
    <x v="3"/>
  </r>
  <r>
    <n v="3706"/>
    <x v="358"/>
    <s v="Supplier invoice received"/>
    <x v="461"/>
    <s v="0.0"/>
    <x v="9"/>
    <x v="4"/>
  </r>
  <r>
    <n v="3706"/>
    <x v="358"/>
    <s v="Supplier invoice received"/>
    <x v="462"/>
    <s v="0.0"/>
    <x v="10"/>
    <x v="0"/>
  </r>
  <r>
    <n v="3706"/>
    <x v="358"/>
    <s v="Supplier invoice received"/>
    <x v="273"/>
    <s v="2182.41"/>
    <x v="11"/>
    <x v="3"/>
  </r>
  <r>
    <n v="3707"/>
    <x v="358"/>
    <s v="Supplier payment made"/>
    <x v="336"/>
    <s v="0.0"/>
    <x v="11"/>
    <x v="3"/>
  </r>
  <r>
    <n v="3707"/>
    <x v="358"/>
    <s v="Supplier payment made"/>
    <x v="273"/>
    <s v="2093.28"/>
    <x v="0"/>
    <x v="0"/>
  </r>
  <r>
    <n v="3708"/>
    <x v="358"/>
    <s v="Supplier payment made"/>
    <x v="407"/>
    <s v="0.0"/>
    <x v="11"/>
    <x v="3"/>
  </r>
  <r>
    <n v="3708"/>
    <x v="358"/>
    <s v="Supplier payment made"/>
    <x v="273"/>
    <s v="201.5"/>
    <x v="0"/>
    <x v="0"/>
  </r>
  <r>
    <n v="3709"/>
    <x v="358"/>
    <s v="Supplier payment made"/>
    <x v="488"/>
    <s v="0.0"/>
    <x v="11"/>
    <x v="3"/>
  </r>
  <r>
    <n v="3709"/>
    <x v="358"/>
    <s v="Supplier payment made"/>
    <x v="273"/>
    <s v="2182.41"/>
    <x v="0"/>
    <x v="0"/>
  </r>
  <r>
    <n v="3710"/>
    <x v="359"/>
    <s v="Sales invoice issued"/>
    <x v="1565"/>
    <s v="0.0"/>
    <x v="2"/>
    <x v="0"/>
  </r>
  <r>
    <n v="3710"/>
    <x v="359"/>
    <s v="Sales invoice issued"/>
    <x v="273"/>
    <s v="73.79"/>
    <x v="3"/>
    <x v="2"/>
  </r>
  <r>
    <n v="3710"/>
    <x v="359"/>
    <s v="Sales invoice issued"/>
    <x v="273"/>
    <s v="5.53"/>
    <x v="4"/>
    <x v="3"/>
  </r>
  <r>
    <n v="3711"/>
    <x v="359"/>
    <s v="Sales invoice issued"/>
    <x v="1566"/>
    <s v="0.0"/>
    <x v="2"/>
    <x v="0"/>
  </r>
  <r>
    <n v="3711"/>
    <x v="359"/>
    <s v="Sales invoice issued"/>
    <x v="273"/>
    <s v="2609.12"/>
    <x v="3"/>
    <x v="2"/>
  </r>
  <r>
    <n v="3711"/>
    <x v="359"/>
    <s v="Sales invoice issued"/>
    <x v="273"/>
    <s v="195.68"/>
    <x v="4"/>
    <x v="3"/>
  </r>
  <r>
    <n v="3712"/>
    <x v="359"/>
    <s v="Sales invoice issued"/>
    <x v="1567"/>
    <s v="0.0"/>
    <x v="2"/>
    <x v="0"/>
  </r>
  <r>
    <n v="3712"/>
    <x v="359"/>
    <s v="Sales invoice issued"/>
    <x v="273"/>
    <s v="3326.58"/>
    <x v="3"/>
    <x v="2"/>
  </r>
  <r>
    <n v="3712"/>
    <x v="359"/>
    <s v="Sales invoice issued"/>
    <x v="273"/>
    <s v="249.49"/>
    <x v="4"/>
    <x v="3"/>
  </r>
  <r>
    <n v="3713"/>
    <x v="359"/>
    <s v="Sales invoice issued"/>
    <x v="1568"/>
    <s v="0.0"/>
    <x v="2"/>
    <x v="0"/>
  </r>
  <r>
    <n v="3713"/>
    <x v="359"/>
    <s v="Sales invoice issued"/>
    <x v="273"/>
    <s v="4393.39"/>
    <x v="3"/>
    <x v="2"/>
  </r>
  <r>
    <n v="3713"/>
    <x v="359"/>
    <s v="Sales invoice issued"/>
    <x v="273"/>
    <s v="329.51"/>
    <x v="4"/>
    <x v="3"/>
  </r>
  <r>
    <n v="3714"/>
    <x v="359"/>
    <s v="Sales invoice issued"/>
    <x v="1569"/>
    <s v="0.0"/>
    <x v="2"/>
    <x v="0"/>
  </r>
  <r>
    <n v="3714"/>
    <x v="359"/>
    <s v="Sales invoice issued"/>
    <x v="273"/>
    <s v="628.84"/>
    <x v="3"/>
    <x v="2"/>
  </r>
  <r>
    <n v="3714"/>
    <x v="359"/>
    <s v="Sales invoice issued"/>
    <x v="273"/>
    <s v="47.16"/>
    <x v="4"/>
    <x v="3"/>
  </r>
  <r>
    <n v="3715"/>
    <x v="359"/>
    <s v="Sales invoice issued"/>
    <x v="1570"/>
    <s v="0.0"/>
    <x v="2"/>
    <x v="0"/>
  </r>
  <r>
    <n v="3715"/>
    <x v="359"/>
    <s v="Sales invoice issued"/>
    <x v="273"/>
    <s v="349.04"/>
    <x v="3"/>
    <x v="2"/>
  </r>
  <r>
    <n v="3715"/>
    <x v="359"/>
    <s v="Sales invoice issued"/>
    <x v="273"/>
    <s v="26.18"/>
    <x v="4"/>
    <x v="3"/>
  </r>
  <r>
    <n v="3716"/>
    <x v="359"/>
    <s v="Sales invoice issued"/>
    <x v="1571"/>
    <s v="0.0"/>
    <x v="2"/>
    <x v="0"/>
  </r>
  <r>
    <n v="3716"/>
    <x v="359"/>
    <s v="Sales invoice issued"/>
    <x v="273"/>
    <s v="7869.66"/>
    <x v="3"/>
    <x v="2"/>
  </r>
  <r>
    <n v="3716"/>
    <x v="359"/>
    <s v="Sales invoice issued"/>
    <x v="273"/>
    <s v="590.23"/>
    <x v="4"/>
    <x v="3"/>
  </r>
  <r>
    <n v="3717"/>
    <x v="359"/>
    <s v="Sales invoice issued"/>
    <x v="1572"/>
    <s v="0.0"/>
    <x v="2"/>
    <x v="0"/>
  </r>
  <r>
    <n v="3717"/>
    <x v="359"/>
    <s v="Sales invoice issued"/>
    <x v="273"/>
    <s v="2253.96"/>
    <x v="3"/>
    <x v="2"/>
  </r>
  <r>
    <n v="3717"/>
    <x v="359"/>
    <s v="Sales invoice issued"/>
    <x v="273"/>
    <s v="169.05"/>
    <x v="4"/>
    <x v="3"/>
  </r>
  <r>
    <n v="3718"/>
    <x v="359"/>
    <s v="Customer payment received"/>
    <x v="1453"/>
    <s v="0.0"/>
    <x v="0"/>
    <x v="0"/>
  </r>
  <r>
    <n v="3718"/>
    <x v="359"/>
    <s v="Customer payment received"/>
    <x v="273"/>
    <s v="3724.01"/>
    <x v="2"/>
    <x v="0"/>
  </r>
  <r>
    <n v="3719"/>
    <x v="359"/>
    <s v="Customer payment received"/>
    <x v="1454"/>
    <s v="0.0"/>
    <x v="0"/>
    <x v="0"/>
  </r>
  <r>
    <n v="3719"/>
    <x v="359"/>
    <s v="Customer payment received"/>
    <x v="273"/>
    <s v="1006.31"/>
    <x v="2"/>
    <x v="0"/>
  </r>
  <r>
    <n v="3720"/>
    <x v="359"/>
    <s v="Customer payment received"/>
    <x v="1529"/>
    <s v="0.0"/>
    <x v="0"/>
    <x v="0"/>
  </r>
  <r>
    <n v="3720"/>
    <x v="359"/>
    <s v="Customer payment received"/>
    <x v="273"/>
    <s v="1101.25"/>
    <x v="2"/>
    <x v="0"/>
  </r>
  <r>
    <n v="3721"/>
    <x v="359"/>
    <s v="Supplier payment made"/>
    <x v="488"/>
    <s v="0.0"/>
    <x v="11"/>
    <x v="3"/>
  </r>
  <r>
    <n v="3721"/>
    <x v="359"/>
    <s v="Supplier payment made"/>
    <x v="273"/>
    <s v="2182.41"/>
    <x v="0"/>
    <x v="0"/>
  </r>
  <r>
    <n v="3722"/>
    <x v="359"/>
    <s v="Supplier payment made"/>
    <x v="393"/>
    <s v="0.0"/>
    <x v="11"/>
    <x v="3"/>
  </r>
  <r>
    <n v="3722"/>
    <x v="359"/>
    <s v="Supplier payment made"/>
    <x v="273"/>
    <s v="412.54"/>
    <x v="0"/>
    <x v="0"/>
  </r>
  <r>
    <n v="3723"/>
    <x v="359"/>
    <s v="Supplier payment made"/>
    <x v="313"/>
    <s v="0.0"/>
    <x v="11"/>
    <x v="3"/>
  </r>
  <r>
    <n v="3723"/>
    <x v="359"/>
    <s v="Supplier payment made"/>
    <x v="273"/>
    <s v="1159.84"/>
    <x v="0"/>
    <x v="0"/>
  </r>
  <r>
    <n v="3724"/>
    <x v="359"/>
    <s v="Supplier payment made"/>
    <x v="515"/>
    <s v="0.0"/>
    <x v="11"/>
    <x v="3"/>
  </r>
  <r>
    <n v="3724"/>
    <x v="359"/>
    <s v="Supplier payment made"/>
    <x v="273"/>
    <s v="862.91"/>
    <x v="0"/>
    <x v="0"/>
  </r>
  <r>
    <n v="3725"/>
    <x v="360"/>
    <s v="Sales invoice issued"/>
    <x v="1573"/>
    <s v="0.0"/>
    <x v="2"/>
    <x v="0"/>
  </r>
  <r>
    <n v="3725"/>
    <x v="360"/>
    <s v="Sales invoice issued"/>
    <x v="273"/>
    <s v="2517.55"/>
    <x v="3"/>
    <x v="2"/>
  </r>
  <r>
    <n v="3725"/>
    <x v="360"/>
    <s v="Sales invoice issued"/>
    <x v="273"/>
    <s v="188.81"/>
    <x v="4"/>
    <x v="3"/>
  </r>
  <r>
    <n v="3726"/>
    <x v="360"/>
    <s v="Sales invoice issued"/>
    <x v="1574"/>
    <s v="0.0"/>
    <x v="2"/>
    <x v="0"/>
  </r>
  <r>
    <n v="3726"/>
    <x v="360"/>
    <s v="Sales invoice issued"/>
    <x v="273"/>
    <s v="950.84"/>
    <x v="3"/>
    <x v="2"/>
  </r>
  <r>
    <n v="3726"/>
    <x v="360"/>
    <s v="Sales invoice issued"/>
    <x v="273"/>
    <s v="71.32"/>
    <x v="4"/>
    <x v="3"/>
  </r>
  <r>
    <n v="3727"/>
    <x v="360"/>
    <s v="Sales invoice issued"/>
    <x v="1575"/>
    <s v="0.0"/>
    <x v="2"/>
    <x v="0"/>
  </r>
  <r>
    <n v="3727"/>
    <x v="360"/>
    <s v="Sales invoice issued"/>
    <x v="273"/>
    <s v="1761.65"/>
    <x v="3"/>
    <x v="2"/>
  </r>
  <r>
    <n v="3727"/>
    <x v="360"/>
    <s v="Sales invoice issued"/>
    <x v="273"/>
    <s v="132.12"/>
    <x v="4"/>
    <x v="3"/>
  </r>
  <r>
    <n v="3728"/>
    <x v="360"/>
    <s v="Customer payment received"/>
    <x v="1426"/>
    <s v="0.0"/>
    <x v="0"/>
    <x v="0"/>
  </r>
  <r>
    <n v="3728"/>
    <x v="360"/>
    <s v="Customer payment received"/>
    <x v="273"/>
    <s v="4254.88"/>
    <x v="2"/>
    <x v="0"/>
  </r>
  <r>
    <n v="3729"/>
    <x v="360"/>
    <s v="Customer payment received"/>
    <x v="1468"/>
    <s v="0.0"/>
    <x v="0"/>
    <x v="0"/>
  </r>
  <r>
    <n v="3729"/>
    <x v="360"/>
    <s v="Customer payment received"/>
    <x v="273"/>
    <s v="878.86"/>
    <x v="2"/>
    <x v="0"/>
  </r>
  <r>
    <n v="3730"/>
    <x v="360"/>
    <s v="Customer payment received"/>
    <x v="1469"/>
    <s v="0.0"/>
    <x v="0"/>
    <x v="0"/>
  </r>
  <r>
    <n v="3730"/>
    <x v="360"/>
    <s v="Customer payment received"/>
    <x v="273"/>
    <s v="1563.55"/>
    <x v="2"/>
    <x v="0"/>
  </r>
  <r>
    <n v="3731"/>
    <x v="360"/>
    <s v="Customer payment received"/>
    <x v="1478"/>
    <s v="0.0"/>
    <x v="0"/>
    <x v="0"/>
  </r>
  <r>
    <n v="3731"/>
    <x v="360"/>
    <s v="Customer payment received"/>
    <x v="273"/>
    <s v="5578.12"/>
    <x v="2"/>
    <x v="0"/>
  </r>
  <r>
    <n v="3732"/>
    <x v="360"/>
    <s v="Customer payment received"/>
    <x v="1483"/>
    <s v="0.0"/>
    <x v="0"/>
    <x v="0"/>
  </r>
  <r>
    <n v="3732"/>
    <x v="360"/>
    <s v="Customer payment received"/>
    <x v="273"/>
    <s v="1060.25"/>
    <x v="2"/>
    <x v="0"/>
  </r>
  <r>
    <n v="3733"/>
    <x v="360"/>
    <s v="Customer payment received"/>
    <x v="1485"/>
    <s v="0.0"/>
    <x v="0"/>
    <x v="0"/>
  </r>
  <r>
    <n v="3733"/>
    <x v="360"/>
    <s v="Customer payment received"/>
    <x v="273"/>
    <s v="4185.5"/>
    <x v="2"/>
    <x v="0"/>
  </r>
  <r>
    <n v="3734"/>
    <x v="360"/>
    <s v="Customer payment received"/>
    <x v="1522"/>
    <s v="0.0"/>
    <x v="0"/>
    <x v="0"/>
  </r>
  <r>
    <n v="3734"/>
    <x v="360"/>
    <s v="Customer payment received"/>
    <x v="273"/>
    <s v="724.24"/>
    <x v="2"/>
    <x v="0"/>
  </r>
  <r>
    <n v="3735"/>
    <x v="360"/>
    <s v="Customer payment received"/>
    <x v="1536"/>
    <s v="0.0"/>
    <x v="0"/>
    <x v="0"/>
  </r>
  <r>
    <n v="3735"/>
    <x v="360"/>
    <s v="Customer payment received"/>
    <x v="273"/>
    <s v="5429.64"/>
    <x v="2"/>
    <x v="0"/>
  </r>
  <r>
    <n v="3736"/>
    <x v="360"/>
    <s v="Supplier invoice received"/>
    <x v="307"/>
    <s v="0.0"/>
    <x v="9"/>
    <x v="4"/>
  </r>
  <r>
    <n v="3736"/>
    <x v="360"/>
    <s v="Supplier invoice received"/>
    <x v="308"/>
    <s v="0.0"/>
    <x v="10"/>
    <x v="0"/>
  </r>
  <r>
    <n v="3736"/>
    <x v="360"/>
    <s v="Supplier invoice received"/>
    <x v="273"/>
    <s v="2093.28"/>
    <x v="11"/>
    <x v="3"/>
  </r>
  <r>
    <n v="3737"/>
    <x v="360"/>
    <s v="Supplier invoice received"/>
    <x v="330"/>
    <s v="0.0"/>
    <x v="9"/>
    <x v="4"/>
  </r>
  <r>
    <n v="3737"/>
    <x v="360"/>
    <s v="Supplier invoice received"/>
    <x v="331"/>
    <s v="0.0"/>
    <x v="10"/>
    <x v="0"/>
  </r>
  <r>
    <n v="3737"/>
    <x v="360"/>
    <s v="Supplier invoice received"/>
    <x v="273"/>
    <s v="1935.04"/>
    <x v="11"/>
    <x v="3"/>
  </r>
  <r>
    <n v="3738"/>
    <x v="360"/>
    <s v="Supplier invoice received"/>
    <x v="332"/>
    <s v="0.0"/>
    <x v="9"/>
    <x v="4"/>
  </r>
  <r>
    <n v="3738"/>
    <x v="360"/>
    <s v="Supplier invoice received"/>
    <x v="333"/>
    <s v="0.0"/>
    <x v="10"/>
    <x v="0"/>
  </r>
  <r>
    <n v="3738"/>
    <x v="360"/>
    <s v="Supplier invoice received"/>
    <x v="273"/>
    <s v="1023.42"/>
    <x v="11"/>
    <x v="3"/>
  </r>
  <r>
    <n v="3739"/>
    <x v="360"/>
    <s v="Supplier invoice received"/>
    <x v="305"/>
    <s v="0.0"/>
    <x v="9"/>
    <x v="4"/>
  </r>
  <r>
    <n v="3739"/>
    <x v="360"/>
    <s v="Supplier invoice received"/>
    <x v="306"/>
    <s v="0.0"/>
    <x v="10"/>
    <x v="0"/>
  </r>
  <r>
    <n v="3739"/>
    <x v="360"/>
    <s v="Supplier invoice received"/>
    <x v="273"/>
    <s v="276.32"/>
    <x v="11"/>
    <x v="3"/>
  </r>
  <r>
    <n v="3740"/>
    <x v="360"/>
    <s v="Supplier invoice received"/>
    <x v="325"/>
    <s v="0.0"/>
    <x v="9"/>
    <x v="4"/>
  </r>
  <r>
    <n v="3740"/>
    <x v="360"/>
    <s v="Supplier invoice received"/>
    <x v="326"/>
    <s v="0.0"/>
    <x v="10"/>
    <x v="0"/>
  </r>
  <r>
    <n v="3740"/>
    <x v="360"/>
    <s v="Supplier invoice received"/>
    <x v="273"/>
    <s v="1304.62"/>
    <x v="11"/>
    <x v="3"/>
  </r>
  <r>
    <n v="3741"/>
    <x v="360"/>
    <s v="Supplier invoice received"/>
    <x v="445"/>
    <s v="0.0"/>
    <x v="9"/>
    <x v="4"/>
  </r>
  <r>
    <n v="3741"/>
    <x v="360"/>
    <s v="Supplier invoice received"/>
    <x v="446"/>
    <s v="0.0"/>
    <x v="10"/>
    <x v="0"/>
  </r>
  <r>
    <n v="3741"/>
    <x v="360"/>
    <s v="Supplier invoice received"/>
    <x v="273"/>
    <s v="1794.11"/>
    <x v="11"/>
    <x v="3"/>
  </r>
  <r>
    <n v="3742"/>
    <x v="360"/>
    <s v="Supplier invoice received"/>
    <x v="295"/>
    <s v="0.0"/>
    <x v="9"/>
    <x v="4"/>
  </r>
  <r>
    <n v="3742"/>
    <x v="360"/>
    <s v="Supplier invoice received"/>
    <x v="296"/>
    <s v="0.0"/>
    <x v="10"/>
    <x v="0"/>
  </r>
  <r>
    <n v="3742"/>
    <x v="360"/>
    <s v="Supplier invoice received"/>
    <x v="273"/>
    <s v="1766.46"/>
    <x v="11"/>
    <x v="3"/>
  </r>
  <r>
    <n v="3743"/>
    <x v="360"/>
    <s v="Supplier invoice received"/>
    <x v="474"/>
    <s v="0.0"/>
    <x v="9"/>
    <x v="4"/>
  </r>
  <r>
    <n v="3743"/>
    <x v="360"/>
    <s v="Supplier invoice received"/>
    <x v="475"/>
    <s v="0.0"/>
    <x v="10"/>
    <x v="0"/>
  </r>
  <r>
    <n v="3743"/>
    <x v="360"/>
    <s v="Supplier invoice received"/>
    <x v="273"/>
    <s v="862.91"/>
    <x v="11"/>
    <x v="3"/>
  </r>
  <r>
    <n v="3744"/>
    <x v="360"/>
    <s v="Supplier payment made"/>
    <x v="309"/>
    <s v="0.0"/>
    <x v="11"/>
    <x v="3"/>
  </r>
  <r>
    <n v="3744"/>
    <x v="360"/>
    <s v="Supplier payment made"/>
    <x v="273"/>
    <s v="4812.46"/>
    <x v="0"/>
    <x v="0"/>
  </r>
  <r>
    <n v="3745"/>
    <x v="361"/>
    <s v="Sales invoice issued"/>
    <x v="1576"/>
    <s v="0.0"/>
    <x v="2"/>
    <x v="0"/>
  </r>
  <r>
    <n v="3745"/>
    <x v="361"/>
    <s v="Sales invoice issued"/>
    <x v="273"/>
    <s v="2735.66"/>
    <x v="3"/>
    <x v="2"/>
  </r>
  <r>
    <n v="3745"/>
    <x v="361"/>
    <s v="Sales invoice issued"/>
    <x v="273"/>
    <s v="205.17"/>
    <x v="4"/>
    <x v="3"/>
  </r>
  <r>
    <n v="3746"/>
    <x v="361"/>
    <s v="Sales invoice issued"/>
    <x v="1577"/>
    <s v="0.0"/>
    <x v="2"/>
    <x v="0"/>
  </r>
  <r>
    <n v="3746"/>
    <x v="361"/>
    <s v="Sales invoice issued"/>
    <x v="273"/>
    <s v="2971.41"/>
    <x v="3"/>
    <x v="2"/>
  </r>
  <r>
    <n v="3746"/>
    <x v="361"/>
    <s v="Sales invoice issued"/>
    <x v="273"/>
    <s v="222.85"/>
    <x v="4"/>
    <x v="3"/>
  </r>
  <r>
    <n v="3747"/>
    <x v="361"/>
    <s v="Sales invoice issued"/>
    <x v="1578"/>
    <s v="0.0"/>
    <x v="2"/>
    <x v="0"/>
  </r>
  <r>
    <n v="3747"/>
    <x v="361"/>
    <s v="Sales invoice issued"/>
    <x v="273"/>
    <s v="376.0"/>
    <x v="3"/>
    <x v="2"/>
  </r>
  <r>
    <n v="3747"/>
    <x v="361"/>
    <s v="Sales invoice issued"/>
    <x v="273"/>
    <s v="28.2"/>
    <x v="4"/>
    <x v="3"/>
  </r>
  <r>
    <n v="3748"/>
    <x v="361"/>
    <s v="Sales invoice issued"/>
    <x v="1579"/>
    <s v="0.0"/>
    <x v="2"/>
    <x v="0"/>
  </r>
  <r>
    <n v="3748"/>
    <x v="361"/>
    <s v="Sales invoice issued"/>
    <x v="273"/>
    <s v="2375.65"/>
    <x v="3"/>
    <x v="2"/>
  </r>
  <r>
    <n v="3748"/>
    <x v="361"/>
    <s v="Sales invoice issued"/>
    <x v="273"/>
    <s v="178.18"/>
    <x v="4"/>
    <x v="3"/>
  </r>
  <r>
    <n v="3749"/>
    <x v="361"/>
    <s v="Sales invoice issued"/>
    <x v="1580"/>
    <s v="0.0"/>
    <x v="2"/>
    <x v="0"/>
  </r>
  <r>
    <n v="3749"/>
    <x v="361"/>
    <s v="Sales invoice issued"/>
    <x v="273"/>
    <s v="1504.85"/>
    <x v="3"/>
    <x v="2"/>
  </r>
  <r>
    <n v="3749"/>
    <x v="361"/>
    <s v="Sales invoice issued"/>
    <x v="273"/>
    <s v="112.87"/>
    <x v="4"/>
    <x v="3"/>
  </r>
  <r>
    <n v="3750"/>
    <x v="361"/>
    <s v="Sales invoice issued"/>
    <x v="1581"/>
    <s v="0.0"/>
    <x v="2"/>
    <x v="0"/>
  </r>
  <r>
    <n v="3750"/>
    <x v="361"/>
    <s v="Sales invoice issued"/>
    <x v="273"/>
    <s v="6107.09"/>
    <x v="3"/>
    <x v="2"/>
  </r>
  <r>
    <n v="3750"/>
    <x v="361"/>
    <s v="Sales invoice issued"/>
    <x v="273"/>
    <s v="458.03"/>
    <x v="4"/>
    <x v="3"/>
  </r>
  <r>
    <n v="3751"/>
    <x v="361"/>
    <s v="Sales invoice issued"/>
    <x v="1582"/>
    <s v="0.0"/>
    <x v="2"/>
    <x v="0"/>
  </r>
  <r>
    <n v="3751"/>
    <x v="361"/>
    <s v="Sales invoice issued"/>
    <x v="273"/>
    <s v="2662.97"/>
    <x v="3"/>
    <x v="2"/>
  </r>
  <r>
    <n v="3751"/>
    <x v="361"/>
    <s v="Sales invoice issued"/>
    <x v="273"/>
    <s v="199.72"/>
    <x v="4"/>
    <x v="3"/>
  </r>
  <r>
    <n v="3752"/>
    <x v="361"/>
    <s v="Customer payment received"/>
    <x v="909"/>
    <s v="0.0"/>
    <x v="0"/>
    <x v="0"/>
  </r>
  <r>
    <n v="3752"/>
    <x v="361"/>
    <s v="Customer payment received"/>
    <x v="273"/>
    <s v="323.24"/>
    <x v="2"/>
    <x v="0"/>
  </r>
  <r>
    <n v="3753"/>
    <x v="361"/>
    <s v="Customer payment received"/>
    <x v="1367"/>
    <s v="0.0"/>
    <x v="0"/>
    <x v="0"/>
  </r>
  <r>
    <n v="3753"/>
    <x v="361"/>
    <s v="Customer payment received"/>
    <x v="273"/>
    <s v="4059.38"/>
    <x v="2"/>
    <x v="0"/>
  </r>
  <r>
    <n v="3754"/>
    <x v="361"/>
    <s v="Customer payment received"/>
    <x v="1410"/>
    <s v="0.0"/>
    <x v="0"/>
    <x v="0"/>
  </r>
  <r>
    <n v="3754"/>
    <x v="361"/>
    <s v="Customer payment received"/>
    <x v="273"/>
    <s v="4635.04"/>
    <x v="2"/>
    <x v="0"/>
  </r>
  <r>
    <n v="3755"/>
    <x v="361"/>
    <s v="Customer payment received"/>
    <x v="1460"/>
    <s v="0.0"/>
    <x v="0"/>
    <x v="0"/>
  </r>
  <r>
    <n v="3755"/>
    <x v="361"/>
    <s v="Customer payment received"/>
    <x v="273"/>
    <s v="1176.14"/>
    <x v="2"/>
    <x v="0"/>
  </r>
  <r>
    <n v="3756"/>
    <x v="361"/>
    <s v="Customer payment received"/>
    <x v="1466"/>
    <s v="0.0"/>
    <x v="0"/>
    <x v="0"/>
  </r>
  <r>
    <n v="3756"/>
    <x v="361"/>
    <s v="Customer payment received"/>
    <x v="273"/>
    <s v="3936.97"/>
    <x v="2"/>
    <x v="0"/>
  </r>
  <r>
    <n v="3757"/>
    <x v="361"/>
    <s v="Customer payment received"/>
    <x v="1541"/>
    <s v="0.0"/>
    <x v="0"/>
    <x v="0"/>
  </r>
  <r>
    <n v="3757"/>
    <x v="361"/>
    <s v="Customer payment received"/>
    <x v="273"/>
    <s v="399.23"/>
    <x v="2"/>
    <x v="0"/>
  </r>
  <r>
    <n v="3758"/>
    <x v="361"/>
    <s v="Customer payment received"/>
    <x v="1583"/>
    <s v="0.0"/>
    <x v="0"/>
    <x v="0"/>
  </r>
  <r>
    <n v="3758"/>
    <x v="361"/>
    <s v="Customer payment received"/>
    <x v="273"/>
    <s v="1363.18"/>
    <x v="2"/>
    <x v="0"/>
  </r>
  <r>
    <n v="3759"/>
    <x v="361"/>
    <s v="Customer payment received"/>
    <x v="1570"/>
    <s v="0.0"/>
    <x v="0"/>
    <x v="0"/>
  </r>
  <r>
    <n v="3759"/>
    <x v="361"/>
    <s v="Customer payment received"/>
    <x v="273"/>
    <s v="375.22"/>
    <x v="2"/>
    <x v="0"/>
  </r>
  <r>
    <n v="3760"/>
    <x v="361"/>
    <s v="Customer payment received"/>
    <x v="1581"/>
    <s v="0.0"/>
    <x v="0"/>
    <x v="0"/>
  </r>
  <r>
    <n v="3760"/>
    <x v="361"/>
    <s v="Customer payment received"/>
    <x v="273"/>
    <s v="6565.12"/>
    <x v="2"/>
    <x v="0"/>
  </r>
  <r>
    <n v="3761"/>
    <x v="361"/>
    <s v="Supplier invoice received"/>
    <x v="301"/>
    <s v="0.0"/>
    <x v="9"/>
    <x v="4"/>
  </r>
  <r>
    <n v="3761"/>
    <x v="361"/>
    <s v="Supplier invoice received"/>
    <x v="302"/>
    <s v="0.0"/>
    <x v="10"/>
    <x v="0"/>
  </r>
  <r>
    <n v="3761"/>
    <x v="361"/>
    <s v="Supplier invoice received"/>
    <x v="273"/>
    <s v="4812.46"/>
    <x v="11"/>
    <x v="3"/>
  </r>
  <r>
    <n v="3762"/>
    <x v="361"/>
    <s v="Supplier payment made"/>
    <x v="466"/>
    <s v="0.0"/>
    <x v="11"/>
    <x v="3"/>
  </r>
  <r>
    <n v="3762"/>
    <x v="361"/>
    <s v="Supplier payment made"/>
    <x v="273"/>
    <s v="748.26"/>
    <x v="0"/>
    <x v="0"/>
  </r>
  <r>
    <n v="3763"/>
    <x v="361"/>
    <s v="Supplier payment made"/>
    <x v="351"/>
    <s v="0.0"/>
    <x v="11"/>
    <x v="3"/>
  </r>
  <r>
    <n v="3763"/>
    <x v="361"/>
    <s v="Supplier payment made"/>
    <x v="273"/>
    <s v="179.01"/>
    <x v="0"/>
    <x v="0"/>
  </r>
  <r>
    <n v="3764"/>
    <x v="362"/>
    <s v="Sales invoice issued"/>
    <x v="1342"/>
    <s v="0.0"/>
    <x v="2"/>
    <x v="0"/>
  </r>
  <r>
    <n v="3764"/>
    <x v="362"/>
    <s v="Sales invoice issued"/>
    <x v="273"/>
    <s v="54.95"/>
    <x v="3"/>
    <x v="2"/>
  </r>
  <r>
    <n v="3764"/>
    <x v="362"/>
    <s v="Sales invoice issued"/>
    <x v="273"/>
    <s v="4.12"/>
    <x v="4"/>
    <x v="3"/>
  </r>
  <r>
    <n v="3765"/>
    <x v="362"/>
    <s v="Sales invoice issued"/>
    <x v="1584"/>
    <s v="0.0"/>
    <x v="2"/>
    <x v="0"/>
  </r>
  <r>
    <n v="3765"/>
    <x v="362"/>
    <s v="Sales invoice issued"/>
    <x v="273"/>
    <s v="1104.77"/>
    <x v="3"/>
    <x v="2"/>
  </r>
  <r>
    <n v="3765"/>
    <x v="362"/>
    <s v="Sales invoice issued"/>
    <x v="273"/>
    <s v="82.86"/>
    <x v="4"/>
    <x v="3"/>
  </r>
  <r>
    <n v="3766"/>
    <x v="362"/>
    <s v="Sales invoice issued"/>
    <x v="1585"/>
    <s v="0.0"/>
    <x v="2"/>
    <x v="0"/>
  </r>
  <r>
    <n v="3766"/>
    <x v="362"/>
    <s v="Sales invoice issued"/>
    <x v="273"/>
    <s v="2905.42"/>
    <x v="3"/>
    <x v="2"/>
  </r>
  <r>
    <n v="3766"/>
    <x v="362"/>
    <s v="Sales invoice issued"/>
    <x v="273"/>
    <s v="217.91"/>
    <x v="4"/>
    <x v="3"/>
  </r>
  <r>
    <n v="3767"/>
    <x v="362"/>
    <s v="Sales invoice issued"/>
    <x v="1586"/>
    <s v="0.0"/>
    <x v="2"/>
    <x v="0"/>
  </r>
  <r>
    <n v="3767"/>
    <x v="362"/>
    <s v="Sales invoice issued"/>
    <x v="273"/>
    <s v="77.46"/>
    <x v="3"/>
    <x v="2"/>
  </r>
  <r>
    <n v="3767"/>
    <x v="362"/>
    <s v="Sales invoice issued"/>
    <x v="273"/>
    <s v="5.81"/>
    <x v="4"/>
    <x v="3"/>
  </r>
  <r>
    <n v="3768"/>
    <x v="362"/>
    <s v="Sales invoice issued"/>
    <x v="1587"/>
    <s v="0.0"/>
    <x v="2"/>
    <x v="0"/>
  </r>
  <r>
    <n v="3768"/>
    <x v="362"/>
    <s v="Sales invoice issued"/>
    <x v="273"/>
    <s v="2093.49"/>
    <x v="3"/>
    <x v="2"/>
  </r>
  <r>
    <n v="3768"/>
    <x v="362"/>
    <s v="Sales invoice issued"/>
    <x v="273"/>
    <s v="157.02"/>
    <x v="4"/>
    <x v="3"/>
  </r>
  <r>
    <n v="3769"/>
    <x v="362"/>
    <s v="Sales invoice issued"/>
    <x v="1588"/>
    <s v="0.0"/>
    <x v="2"/>
    <x v="0"/>
  </r>
  <r>
    <n v="3769"/>
    <x v="362"/>
    <s v="Sales invoice issued"/>
    <x v="273"/>
    <s v="5551.96"/>
    <x v="3"/>
    <x v="2"/>
  </r>
  <r>
    <n v="3769"/>
    <x v="362"/>
    <s v="Sales invoice issued"/>
    <x v="273"/>
    <s v="416.41"/>
    <x v="4"/>
    <x v="3"/>
  </r>
  <r>
    <n v="3770"/>
    <x v="362"/>
    <s v="Customer payment received"/>
    <x v="1316"/>
    <s v="0.0"/>
    <x v="0"/>
    <x v="0"/>
  </r>
  <r>
    <n v="3770"/>
    <x v="362"/>
    <s v="Customer payment received"/>
    <x v="273"/>
    <s v="1029.66"/>
    <x v="2"/>
    <x v="0"/>
  </r>
  <r>
    <n v="3771"/>
    <x v="362"/>
    <s v="Customer payment received"/>
    <x v="1398"/>
    <s v="0.0"/>
    <x v="0"/>
    <x v="0"/>
  </r>
  <r>
    <n v="3771"/>
    <x v="362"/>
    <s v="Customer payment received"/>
    <x v="273"/>
    <s v="3470.48"/>
    <x v="2"/>
    <x v="0"/>
  </r>
  <r>
    <n v="3772"/>
    <x v="362"/>
    <s v="Customer payment received"/>
    <x v="1470"/>
    <s v="0.0"/>
    <x v="0"/>
    <x v="0"/>
  </r>
  <r>
    <n v="3772"/>
    <x v="362"/>
    <s v="Customer payment received"/>
    <x v="273"/>
    <s v="3720.78"/>
    <x v="2"/>
    <x v="0"/>
  </r>
  <r>
    <n v="3773"/>
    <x v="362"/>
    <s v="Customer payment received"/>
    <x v="1502"/>
    <s v="0.0"/>
    <x v="0"/>
    <x v="0"/>
  </r>
  <r>
    <n v="3773"/>
    <x v="362"/>
    <s v="Customer payment received"/>
    <x v="273"/>
    <s v="2819.16"/>
    <x v="2"/>
    <x v="0"/>
  </r>
  <r>
    <n v="3774"/>
    <x v="362"/>
    <s v="Customer payment received"/>
    <x v="1515"/>
    <s v="0.0"/>
    <x v="0"/>
    <x v="0"/>
  </r>
  <r>
    <n v="3774"/>
    <x v="362"/>
    <s v="Customer payment received"/>
    <x v="273"/>
    <s v="4485.37"/>
    <x v="2"/>
    <x v="0"/>
  </r>
  <r>
    <n v="3775"/>
    <x v="362"/>
    <s v="Customer payment received"/>
    <x v="1589"/>
    <s v="0.0"/>
    <x v="0"/>
    <x v="0"/>
  </r>
  <r>
    <n v="3775"/>
    <x v="362"/>
    <s v="Customer payment received"/>
    <x v="273"/>
    <s v="932.28"/>
    <x v="2"/>
    <x v="0"/>
  </r>
  <r>
    <n v="3776"/>
    <x v="362"/>
    <s v="Customer payment received"/>
    <x v="1554"/>
    <s v="0.0"/>
    <x v="0"/>
    <x v="0"/>
  </r>
  <r>
    <n v="3776"/>
    <x v="362"/>
    <s v="Customer payment received"/>
    <x v="273"/>
    <s v="2046.58"/>
    <x v="2"/>
    <x v="0"/>
  </r>
  <r>
    <n v="3777"/>
    <x v="362"/>
    <s v="Customer payment received"/>
    <x v="1585"/>
    <s v="0.0"/>
    <x v="0"/>
    <x v="0"/>
  </r>
  <r>
    <n v="3777"/>
    <x v="362"/>
    <s v="Customer payment received"/>
    <x v="273"/>
    <s v="3123.33"/>
    <x v="2"/>
    <x v="0"/>
  </r>
  <r>
    <n v="3778"/>
    <x v="362"/>
    <s v="Supplier payment made"/>
    <x v="407"/>
    <s v="0.0"/>
    <x v="11"/>
    <x v="3"/>
  </r>
  <r>
    <n v="3778"/>
    <x v="362"/>
    <s v="Supplier payment made"/>
    <x v="273"/>
    <s v="201.5"/>
    <x v="0"/>
    <x v="0"/>
  </r>
  <r>
    <n v="3779"/>
    <x v="362"/>
    <s v="Supplier payment made"/>
    <x v="335"/>
    <s v="0.0"/>
    <x v="11"/>
    <x v="3"/>
  </r>
  <r>
    <n v="3779"/>
    <x v="362"/>
    <s v="Supplier payment made"/>
    <x v="273"/>
    <s v="550.4"/>
    <x v="0"/>
    <x v="0"/>
  </r>
  <r>
    <n v="3780"/>
    <x v="362"/>
    <s v="Supplier payment made"/>
    <x v="352"/>
    <s v="0.0"/>
    <x v="11"/>
    <x v="3"/>
  </r>
  <r>
    <n v="3780"/>
    <x v="362"/>
    <s v="Supplier payment made"/>
    <x v="273"/>
    <s v="9336.67"/>
    <x v="0"/>
    <x v="0"/>
  </r>
  <r>
    <n v="3781"/>
    <x v="362"/>
    <s v="Supplier payment made"/>
    <x v="515"/>
    <s v="0.0"/>
    <x v="11"/>
    <x v="3"/>
  </r>
  <r>
    <n v="3781"/>
    <x v="362"/>
    <s v="Supplier payment made"/>
    <x v="273"/>
    <s v="862.91"/>
    <x v="0"/>
    <x v="0"/>
  </r>
  <r>
    <n v="3782"/>
    <x v="363"/>
    <s v="Payroll processed"/>
    <x v="1590"/>
    <s v="0.0"/>
    <x v="5"/>
    <x v="4"/>
  </r>
  <r>
    <n v="3782"/>
    <x v="363"/>
    <s v="Payroll processed"/>
    <x v="1591"/>
    <s v="0.0"/>
    <x v="6"/>
    <x v="4"/>
  </r>
  <r>
    <n v="3782"/>
    <x v="363"/>
    <s v="Payroll processed"/>
    <x v="273"/>
    <s v="18763.85"/>
    <x v="0"/>
    <x v="0"/>
  </r>
  <r>
    <n v="3782"/>
    <x v="363"/>
    <s v="Payroll processed"/>
    <x v="273"/>
    <s v="4069.27"/>
    <x v="7"/>
    <x v="3"/>
  </r>
  <r>
    <n v="3782"/>
    <x v="363"/>
    <s v="Payroll processed"/>
    <x v="273"/>
    <s v="913.32"/>
    <x v="8"/>
    <x v="3"/>
  </r>
  <r>
    <n v="3783"/>
    <x v="363"/>
    <s v="Sales invoice issued"/>
    <x v="1592"/>
    <s v="0.0"/>
    <x v="2"/>
    <x v="0"/>
  </r>
  <r>
    <n v="3783"/>
    <x v="363"/>
    <s v="Sales invoice issued"/>
    <x v="273"/>
    <s v="2710.52"/>
    <x v="3"/>
    <x v="2"/>
  </r>
  <r>
    <n v="3783"/>
    <x v="363"/>
    <s v="Sales invoice issued"/>
    <x v="273"/>
    <s v="203.28"/>
    <x v="4"/>
    <x v="3"/>
  </r>
  <r>
    <n v="3784"/>
    <x v="363"/>
    <s v="Sales invoice issued"/>
    <x v="1593"/>
    <s v="0.0"/>
    <x v="2"/>
    <x v="0"/>
  </r>
  <r>
    <n v="3784"/>
    <x v="363"/>
    <s v="Sales invoice issued"/>
    <x v="273"/>
    <s v="1355.28"/>
    <x v="3"/>
    <x v="2"/>
  </r>
  <r>
    <n v="3784"/>
    <x v="363"/>
    <s v="Sales invoice issued"/>
    <x v="273"/>
    <s v="101.65"/>
    <x v="4"/>
    <x v="3"/>
  </r>
  <r>
    <n v="3785"/>
    <x v="363"/>
    <s v="Sales invoice issued"/>
    <x v="1594"/>
    <s v="0.0"/>
    <x v="2"/>
    <x v="0"/>
  </r>
  <r>
    <n v="3785"/>
    <x v="363"/>
    <s v="Sales invoice issued"/>
    <x v="273"/>
    <s v="5192.66"/>
    <x v="3"/>
    <x v="2"/>
  </r>
  <r>
    <n v="3785"/>
    <x v="363"/>
    <s v="Sales invoice issued"/>
    <x v="273"/>
    <s v="389.45"/>
    <x v="4"/>
    <x v="3"/>
  </r>
  <r>
    <n v="3786"/>
    <x v="363"/>
    <s v="Sales invoice issued"/>
    <x v="1595"/>
    <s v="0.0"/>
    <x v="2"/>
    <x v="0"/>
  </r>
  <r>
    <n v="3786"/>
    <x v="363"/>
    <s v="Sales invoice issued"/>
    <x v="273"/>
    <s v="2208.4"/>
    <x v="3"/>
    <x v="2"/>
  </r>
  <r>
    <n v="3786"/>
    <x v="363"/>
    <s v="Sales invoice issued"/>
    <x v="273"/>
    <s v="165.63"/>
    <x v="4"/>
    <x v="3"/>
  </r>
  <r>
    <n v="3787"/>
    <x v="363"/>
    <s v="Sales invoice issued"/>
    <x v="1596"/>
    <s v="0.0"/>
    <x v="2"/>
    <x v="0"/>
  </r>
  <r>
    <n v="3787"/>
    <x v="363"/>
    <s v="Sales invoice issued"/>
    <x v="273"/>
    <s v="2811.42"/>
    <x v="3"/>
    <x v="2"/>
  </r>
  <r>
    <n v="3787"/>
    <x v="363"/>
    <s v="Sales invoice issued"/>
    <x v="273"/>
    <s v="210.85"/>
    <x v="4"/>
    <x v="3"/>
  </r>
  <r>
    <n v="3788"/>
    <x v="363"/>
    <s v="Sales invoice issued"/>
    <x v="1597"/>
    <s v="0.0"/>
    <x v="2"/>
    <x v="0"/>
  </r>
  <r>
    <n v="3788"/>
    <x v="363"/>
    <s v="Sales invoice issued"/>
    <x v="273"/>
    <s v="3916.07"/>
    <x v="3"/>
    <x v="2"/>
  </r>
  <r>
    <n v="3788"/>
    <x v="363"/>
    <s v="Sales invoice issued"/>
    <x v="273"/>
    <s v="293.7"/>
    <x v="4"/>
    <x v="3"/>
  </r>
  <r>
    <n v="3789"/>
    <x v="363"/>
    <s v="Sales invoice issued"/>
    <x v="1598"/>
    <s v="0.0"/>
    <x v="2"/>
    <x v="0"/>
  </r>
  <r>
    <n v="3789"/>
    <x v="363"/>
    <s v="Sales invoice issued"/>
    <x v="273"/>
    <s v="2784.42"/>
    <x v="3"/>
    <x v="2"/>
  </r>
  <r>
    <n v="3789"/>
    <x v="363"/>
    <s v="Sales invoice issued"/>
    <x v="273"/>
    <s v="208.83"/>
    <x v="4"/>
    <x v="3"/>
  </r>
  <r>
    <n v="3790"/>
    <x v="363"/>
    <s v="Sales invoice issued"/>
    <x v="1599"/>
    <s v="0.0"/>
    <x v="2"/>
    <x v="0"/>
  </r>
  <r>
    <n v="3790"/>
    <x v="363"/>
    <s v="Sales invoice issued"/>
    <x v="273"/>
    <s v="3141.83"/>
    <x v="3"/>
    <x v="2"/>
  </r>
  <r>
    <n v="3790"/>
    <x v="363"/>
    <s v="Sales invoice issued"/>
    <x v="273"/>
    <s v="235.65"/>
    <x v="4"/>
    <x v="3"/>
  </r>
  <r>
    <n v="3791"/>
    <x v="363"/>
    <s v="Sales invoice issued"/>
    <x v="1600"/>
    <s v="0.0"/>
    <x v="2"/>
    <x v="0"/>
  </r>
  <r>
    <n v="3791"/>
    <x v="363"/>
    <s v="Sales invoice issued"/>
    <x v="273"/>
    <s v="1796.34"/>
    <x v="3"/>
    <x v="2"/>
  </r>
  <r>
    <n v="3791"/>
    <x v="363"/>
    <s v="Sales invoice issued"/>
    <x v="273"/>
    <s v="134.73"/>
    <x v="4"/>
    <x v="3"/>
  </r>
  <r>
    <n v="3792"/>
    <x v="363"/>
    <s v="Customer payment received"/>
    <x v="1380"/>
    <s v="0.0"/>
    <x v="0"/>
    <x v="0"/>
  </r>
  <r>
    <n v="3792"/>
    <x v="363"/>
    <s v="Customer payment received"/>
    <x v="273"/>
    <s v="4058.34"/>
    <x v="2"/>
    <x v="0"/>
  </r>
  <r>
    <n v="3793"/>
    <x v="363"/>
    <s v="Customer payment received"/>
    <x v="1473"/>
    <s v="0.0"/>
    <x v="0"/>
    <x v="0"/>
  </r>
  <r>
    <n v="3793"/>
    <x v="363"/>
    <s v="Customer payment received"/>
    <x v="273"/>
    <s v="2932.92"/>
    <x v="2"/>
    <x v="0"/>
  </r>
  <r>
    <n v="3794"/>
    <x v="363"/>
    <s v="Customer payment received"/>
    <x v="1493"/>
    <s v="0.0"/>
    <x v="0"/>
    <x v="0"/>
  </r>
  <r>
    <n v="3794"/>
    <x v="363"/>
    <s v="Customer payment received"/>
    <x v="273"/>
    <s v="1680.31"/>
    <x v="2"/>
    <x v="0"/>
  </r>
  <r>
    <n v="3795"/>
    <x v="363"/>
    <s v="Customer payment received"/>
    <x v="1539"/>
    <s v="0.0"/>
    <x v="0"/>
    <x v="0"/>
  </r>
  <r>
    <n v="3795"/>
    <x v="363"/>
    <s v="Customer payment received"/>
    <x v="273"/>
    <s v="772.62"/>
    <x v="2"/>
    <x v="0"/>
  </r>
  <r>
    <n v="3796"/>
    <x v="363"/>
    <s v="Customer payment received"/>
    <x v="1571"/>
    <s v="0.0"/>
    <x v="0"/>
    <x v="0"/>
  </r>
  <r>
    <n v="3796"/>
    <x v="363"/>
    <s v="Customer payment received"/>
    <x v="273"/>
    <s v="8459.89"/>
    <x v="2"/>
    <x v="0"/>
  </r>
  <r>
    <n v="3797"/>
    <x v="363"/>
    <s v="Supplier invoice received"/>
    <x v="303"/>
    <s v="0.0"/>
    <x v="9"/>
    <x v="4"/>
  </r>
  <r>
    <n v="3797"/>
    <x v="363"/>
    <s v="Supplier invoice received"/>
    <x v="304"/>
    <s v="0.0"/>
    <x v="10"/>
    <x v="0"/>
  </r>
  <r>
    <n v="3797"/>
    <x v="363"/>
    <s v="Supplier invoice received"/>
    <x v="273"/>
    <s v="550.4"/>
    <x v="11"/>
    <x v="3"/>
  </r>
  <r>
    <n v="3798"/>
    <x v="363"/>
    <s v="Supplier payment made"/>
    <x v="280"/>
    <s v="0.0"/>
    <x v="11"/>
    <x v="3"/>
  </r>
  <r>
    <n v="3798"/>
    <x v="363"/>
    <s v="Supplier payment made"/>
    <x v="273"/>
    <s v="2635.36"/>
    <x v="0"/>
    <x v="0"/>
  </r>
  <r>
    <n v="3799"/>
    <x v="363"/>
    <s v="Supplier payment made"/>
    <x v="310"/>
    <s v="0.0"/>
    <x v="11"/>
    <x v="3"/>
  </r>
  <r>
    <n v="3799"/>
    <x v="363"/>
    <s v="Supplier payment made"/>
    <x v="273"/>
    <s v="276.32"/>
    <x v="0"/>
    <x v="0"/>
  </r>
  <r>
    <n v="3800"/>
    <x v="364"/>
    <s v="Sales invoice issued"/>
    <x v="1601"/>
    <s v="0.0"/>
    <x v="2"/>
    <x v="0"/>
  </r>
  <r>
    <n v="3800"/>
    <x v="364"/>
    <s v="Sales invoice issued"/>
    <x v="273"/>
    <s v="434.75"/>
    <x v="3"/>
    <x v="2"/>
  </r>
  <r>
    <n v="3800"/>
    <x v="364"/>
    <s v="Sales invoice issued"/>
    <x v="273"/>
    <s v="32.59"/>
    <x v="4"/>
    <x v="3"/>
  </r>
  <r>
    <n v="3801"/>
    <x v="364"/>
    <s v="Sales invoice issued"/>
    <x v="1602"/>
    <s v="0.0"/>
    <x v="2"/>
    <x v="0"/>
  </r>
  <r>
    <n v="3801"/>
    <x v="364"/>
    <s v="Sales invoice issued"/>
    <x v="273"/>
    <s v="4815.11"/>
    <x v="3"/>
    <x v="2"/>
  </r>
  <r>
    <n v="3801"/>
    <x v="364"/>
    <s v="Sales invoice issued"/>
    <x v="273"/>
    <s v="361.13"/>
    <x v="4"/>
    <x v="3"/>
  </r>
  <r>
    <n v="3802"/>
    <x v="364"/>
    <s v="Sales invoice issued"/>
    <x v="1603"/>
    <s v="0.0"/>
    <x v="2"/>
    <x v="0"/>
  </r>
  <r>
    <n v="3802"/>
    <x v="364"/>
    <s v="Sales invoice issued"/>
    <x v="273"/>
    <s v="4747.0"/>
    <x v="3"/>
    <x v="2"/>
  </r>
  <r>
    <n v="3802"/>
    <x v="364"/>
    <s v="Sales invoice issued"/>
    <x v="273"/>
    <s v="356.03"/>
    <x v="4"/>
    <x v="3"/>
  </r>
  <r>
    <n v="3803"/>
    <x v="364"/>
    <s v="Sales invoice issued"/>
    <x v="1604"/>
    <s v="0.0"/>
    <x v="2"/>
    <x v="0"/>
  </r>
  <r>
    <n v="3803"/>
    <x v="364"/>
    <s v="Sales invoice issued"/>
    <x v="273"/>
    <s v="1533.14"/>
    <x v="3"/>
    <x v="2"/>
  </r>
  <r>
    <n v="3803"/>
    <x v="364"/>
    <s v="Sales invoice issued"/>
    <x v="273"/>
    <s v="114.99"/>
    <x v="4"/>
    <x v="3"/>
  </r>
  <r>
    <n v="3804"/>
    <x v="364"/>
    <s v="Sales invoice issued"/>
    <x v="1605"/>
    <s v="0.0"/>
    <x v="2"/>
    <x v="0"/>
  </r>
  <r>
    <n v="3804"/>
    <x v="364"/>
    <s v="Sales invoice issued"/>
    <x v="273"/>
    <s v="2518.73"/>
    <x v="3"/>
    <x v="2"/>
  </r>
  <r>
    <n v="3804"/>
    <x v="364"/>
    <s v="Sales invoice issued"/>
    <x v="273"/>
    <s v="188.9"/>
    <x v="4"/>
    <x v="3"/>
  </r>
  <r>
    <n v="3805"/>
    <x v="364"/>
    <s v="Customer payment received"/>
    <x v="1430"/>
    <s v="0.0"/>
    <x v="0"/>
    <x v="0"/>
  </r>
  <r>
    <n v="3805"/>
    <x v="364"/>
    <s v="Customer payment received"/>
    <x v="273"/>
    <s v="1310.57"/>
    <x v="2"/>
    <x v="0"/>
  </r>
  <r>
    <n v="3806"/>
    <x v="364"/>
    <s v="Customer payment received"/>
    <x v="1606"/>
    <s v="0.0"/>
    <x v="0"/>
    <x v="0"/>
  </r>
  <r>
    <n v="3806"/>
    <x v="364"/>
    <s v="Customer payment received"/>
    <x v="273"/>
    <s v="1553.81"/>
    <x v="2"/>
    <x v="0"/>
  </r>
  <r>
    <n v="3807"/>
    <x v="364"/>
    <s v="Customer payment received"/>
    <x v="1451"/>
    <s v="0.0"/>
    <x v="0"/>
    <x v="0"/>
  </r>
  <r>
    <n v="3807"/>
    <x v="364"/>
    <s v="Customer payment received"/>
    <x v="273"/>
    <s v="165.47"/>
    <x v="2"/>
    <x v="0"/>
  </r>
  <r>
    <n v="3808"/>
    <x v="364"/>
    <s v="Customer payment received"/>
    <x v="1551"/>
    <s v="0.0"/>
    <x v="0"/>
    <x v="0"/>
  </r>
  <r>
    <n v="3808"/>
    <x v="364"/>
    <s v="Customer payment received"/>
    <x v="273"/>
    <s v="2219.82"/>
    <x v="2"/>
    <x v="0"/>
  </r>
  <r>
    <n v="3809"/>
    <x v="364"/>
    <s v="Supplier invoice received"/>
    <x v="299"/>
    <s v="0.0"/>
    <x v="9"/>
    <x v="4"/>
  </r>
  <r>
    <n v="3809"/>
    <x v="364"/>
    <s v="Supplier invoice received"/>
    <x v="300"/>
    <s v="0.0"/>
    <x v="10"/>
    <x v="0"/>
  </r>
  <r>
    <n v="3809"/>
    <x v="364"/>
    <s v="Supplier invoice received"/>
    <x v="273"/>
    <s v="2918.17"/>
    <x v="11"/>
    <x v="3"/>
  </r>
  <r>
    <n v="3810"/>
    <x v="364"/>
    <s v="Supplier invoice received"/>
    <x v="338"/>
    <s v="0.0"/>
    <x v="9"/>
    <x v="4"/>
  </r>
  <r>
    <n v="3810"/>
    <x v="364"/>
    <s v="Supplier invoice received"/>
    <x v="339"/>
    <s v="0.0"/>
    <x v="10"/>
    <x v="0"/>
  </r>
  <r>
    <n v="3810"/>
    <x v="364"/>
    <s v="Supplier invoice received"/>
    <x v="273"/>
    <s v="1159.84"/>
    <x v="11"/>
    <x v="3"/>
  </r>
  <r>
    <n v="3811"/>
    <x v="364"/>
    <s v="Supplier invoice received"/>
    <x v="295"/>
    <s v="0.0"/>
    <x v="9"/>
    <x v="4"/>
  </r>
  <r>
    <n v="3811"/>
    <x v="364"/>
    <s v="Supplier invoice received"/>
    <x v="296"/>
    <s v="0.0"/>
    <x v="10"/>
    <x v="0"/>
  </r>
  <r>
    <n v="3811"/>
    <x v="364"/>
    <s v="Supplier invoice received"/>
    <x v="273"/>
    <s v="1766.46"/>
    <x v="11"/>
    <x v="3"/>
  </r>
  <r>
    <n v="3812"/>
    <x v="364"/>
    <s v="Supplier invoice received"/>
    <x v="305"/>
    <s v="0.0"/>
    <x v="9"/>
    <x v="4"/>
  </r>
  <r>
    <n v="3812"/>
    <x v="364"/>
    <s v="Supplier invoice received"/>
    <x v="306"/>
    <s v="0.0"/>
    <x v="10"/>
    <x v="0"/>
  </r>
  <r>
    <n v="3812"/>
    <x v="364"/>
    <s v="Supplier invoice received"/>
    <x v="273"/>
    <s v="276.32"/>
    <x v="11"/>
    <x v="3"/>
  </r>
  <r>
    <n v="3813"/>
    <x v="364"/>
    <s v="Supplier payment made"/>
    <x v="350"/>
    <s v="0.0"/>
    <x v="11"/>
    <x v="3"/>
  </r>
  <r>
    <n v="3813"/>
    <x v="364"/>
    <s v="Supplier payment made"/>
    <x v="273"/>
    <s v="1794.11"/>
    <x v="0"/>
    <x v="0"/>
  </r>
  <r>
    <n v="3814"/>
    <x v="365"/>
    <s v="Sales invoice issued"/>
    <x v="1607"/>
    <s v="0.0"/>
    <x v="2"/>
    <x v="0"/>
  </r>
  <r>
    <n v="3814"/>
    <x v="365"/>
    <s v="Sales invoice issued"/>
    <x v="273"/>
    <s v="1770.51"/>
    <x v="3"/>
    <x v="2"/>
  </r>
  <r>
    <n v="3814"/>
    <x v="365"/>
    <s v="Sales invoice issued"/>
    <x v="273"/>
    <s v="132.78"/>
    <x v="4"/>
    <x v="3"/>
  </r>
  <r>
    <n v="3815"/>
    <x v="365"/>
    <s v="Sales invoice issued"/>
    <x v="1608"/>
    <s v="0.0"/>
    <x v="2"/>
    <x v="0"/>
  </r>
  <r>
    <n v="3815"/>
    <x v="365"/>
    <s v="Sales invoice issued"/>
    <x v="273"/>
    <s v="955.03"/>
    <x v="3"/>
    <x v="2"/>
  </r>
  <r>
    <n v="3815"/>
    <x v="365"/>
    <s v="Sales invoice issued"/>
    <x v="273"/>
    <s v="71.63"/>
    <x v="4"/>
    <x v="3"/>
  </r>
  <r>
    <n v="3816"/>
    <x v="365"/>
    <s v="Sales invoice issued"/>
    <x v="1609"/>
    <s v="0.0"/>
    <x v="2"/>
    <x v="0"/>
  </r>
  <r>
    <n v="3816"/>
    <x v="365"/>
    <s v="Sales invoice issued"/>
    <x v="273"/>
    <s v="3583.29"/>
    <x v="3"/>
    <x v="2"/>
  </r>
  <r>
    <n v="3816"/>
    <x v="365"/>
    <s v="Sales invoice issued"/>
    <x v="273"/>
    <s v="268.75"/>
    <x v="4"/>
    <x v="3"/>
  </r>
  <r>
    <n v="3817"/>
    <x v="365"/>
    <s v="Sales invoice issued"/>
    <x v="1610"/>
    <s v="0.0"/>
    <x v="2"/>
    <x v="0"/>
  </r>
  <r>
    <n v="3817"/>
    <x v="365"/>
    <s v="Sales invoice issued"/>
    <x v="273"/>
    <s v="429.13"/>
    <x v="3"/>
    <x v="2"/>
  </r>
  <r>
    <n v="3817"/>
    <x v="365"/>
    <s v="Sales invoice issued"/>
    <x v="273"/>
    <s v="32.19"/>
    <x v="4"/>
    <x v="3"/>
  </r>
  <r>
    <n v="3818"/>
    <x v="365"/>
    <s v="Customer payment received"/>
    <x v="1456"/>
    <s v="0.0"/>
    <x v="0"/>
    <x v="0"/>
  </r>
  <r>
    <n v="3818"/>
    <x v="365"/>
    <s v="Customer payment received"/>
    <x v="273"/>
    <s v="3238.93"/>
    <x v="2"/>
    <x v="0"/>
  </r>
  <r>
    <n v="3819"/>
    <x v="365"/>
    <s v="Customer payment received"/>
    <x v="1509"/>
    <s v="0.0"/>
    <x v="0"/>
    <x v="0"/>
  </r>
  <r>
    <n v="3819"/>
    <x v="365"/>
    <s v="Customer payment received"/>
    <x v="273"/>
    <s v="1467.25"/>
    <x v="2"/>
    <x v="0"/>
  </r>
  <r>
    <n v="3820"/>
    <x v="365"/>
    <s v="Customer payment received"/>
    <x v="1528"/>
    <s v="0.0"/>
    <x v="0"/>
    <x v="0"/>
  </r>
  <r>
    <n v="3820"/>
    <x v="365"/>
    <s v="Customer payment received"/>
    <x v="273"/>
    <s v="1782.56"/>
    <x v="2"/>
    <x v="0"/>
  </r>
  <r>
    <n v="3821"/>
    <x v="365"/>
    <s v="Customer payment received"/>
    <x v="1553"/>
    <s v="0.0"/>
    <x v="0"/>
    <x v="0"/>
  </r>
  <r>
    <n v="3821"/>
    <x v="365"/>
    <s v="Customer payment received"/>
    <x v="273"/>
    <s v="5591.56"/>
    <x v="2"/>
    <x v="0"/>
  </r>
  <r>
    <n v="3822"/>
    <x v="365"/>
    <s v="Customer payment received"/>
    <x v="1561"/>
    <s v="0.0"/>
    <x v="0"/>
    <x v="0"/>
  </r>
  <r>
    <n v="3822"/>
    <x v="365"/>
    <s v="Customer payment received"/>
    <x v="273"/>
    <s v="2249.03"/>
    <x v="2"/>
    <x v="0"/>
  </r>
  <r>
    <n v="3823"/>
    <x v="365"/>
    <s v="Supplier invoice received"/>
    <x v="374"/>
    <s v="0.0"/>
    <x v="9"/>
    <x v="4"/>
  </r>
  <r>
    <n v="3823"/>
    <x v="365"/>
    <s v="Supplier invoice received"/>
    <x v="375"/>
    <s v="0.0"/>
    <x v="10"/>
    <x v="0"/>
  </r>
  <r>
    <n v="3823"/>
    <x v="365"/>
    <s v="Supplier invoice received"/>
    <x v="273"/>
    <s v="2504.23"/>
    <x v="11"/>
    <x v="3"/>
  </r>
  <r>
    <n v="3824"/>
    <x v="365"/>
    <s v="Supplier invoice received"/>
    <x v="448"/>
    <s v="0.0"/>
    <x v="9"/>
    <x v="4"/>
  </r>
  <r>
    <n v="3824"/>
    <x v="365"/>
    <s v="Supplier invoice received"/>
    <x v="449"/>
    <s v="0.0"/>
    <x v="10"/>
    <x v="0"/>
  </r>
  <r>
    <n v="3824"/>
    <x v="365"/>
    <s v="Supplier invoice received"/>
    <x v="273"/>
    <s v="7227.44"/>
    <x v="11"/>
    <x v="3"/>
  </r>
  <r>
    <n v="3825"/>
    <x v="365"/>
    <s v="Supplier invoice received"/>
    <x v="359"/>
    <s v="0.0"/>
    <x v="9"/>
    <x v="4"/>
  </r>
  <r>
    <n v="3825"/>
    <x v="365"/>
    <s v="Supplier invoice received"/>
    <x v="360"/>
    <s v="0.0"/>
    <x v="10"/>
    <x v="0"/>
  </r>
  <r>
    <n v="3825"/>
    <x v="365"/>
    <s v="Supplier invoice received"/>
    <x v="273"/>
    <s v="1591.54"/>
    <x v="11"/>
    <x v="3"/>
  </r>
  <r>
    <n v="3826"/>
    <x v="365"/>
    <s v="Supplier invoice received"/>
    <x v="297"/>
    <s v="0.0"/>
    <x v="9"/>
    <x v="4"/>
  </r>
  <r>
    <n v="3826"/>
    <x v="365"/>
    <s v="Supplier invoice received"/>
    <x v="298"/>
    <s v="0.0"/>
    <x v="10"/>
    <x v="0"/>
  </r>
  <r>
    <n v="3826"/>
    <x v="365"/>
    <s v="Supplier invoice received"/>
    <x v="273"/>
    <s v="3528.97"/>
    <x v="11"/>
    <x v="3"/>
  </r>
  <r>
    <n v="3827"/>
    <x v="365"/>
    <s v="Supplier invoice received"/>
    <x v="284"/>
    <s v="0.0"/>
    <x v="9"/>
    <x v="4"/>
  </r>
  <r>
    <n v="3827"/>
    <x v="365"/>
    <s v="Supplier invoice received"/>
    <x v="285"/>
    <s v="0.0"/>
    <x v="10"/>
    <x v="0"/>
  </r>
  <r>
    <n v="3827"/>
    <x v="365"/>
    <s v="Supplier invoice received"/>
    <x v="273"/>
    <s v="9336.67"/>
    <x v="11"/>
    <x v="3"/>
  </r>
  <r>
    <n v="3828"/>
    <x v="365"/>
    <s v="Supplier invoice received"/>
    <x v="441"/>
    <s v="0.0"/>
    <x v="9"/>
    <x v="4"/>
  </r>
  <r>
    <n v="3828"/>
    <x v="365"/>
    <s v="Supplier invoice received"/>
    <x v="442"/>
    <s v="0.0"/>
    <x v="10"/>
    <x v="0"/>
  </r>
  <r>
    <n v="3828"/>
    <x v="365"/>
    <s v="Supplier invoice received"/>
    <x v="273"/>
    <s v="179.01"/>
    <x v="11"/>
    <x v="3"/>
  </r>
  <r>
    <n v="3829"/>
    <x v="365"/>
    <s v="Supplier payment made"/>
    <x v="393"/>
    <s v="0.0"/>
    <x v="11"/>
    <x v="3"/>
  </r>
  <r>
    <n v="3829"/>
    <x v="365"/>
    <s v="Supplier payment made"/>
    <x v="273"/>
    <s v="412.54"/>
    <x v="0"/>
    <x v="0"/>
  </r>
  <r>
    <n v="3830"/>
    <x v="365"/>
    <s v="Supplier payment made"/>
    <x v="392"/>
    <s v="0.0"/>
    <x v="11"/>
    <x v="3"/>
  </r>
  <r>
    <n v="3830"/>
    <x v="365"/>
    <s v="Supplier payment made"/>
    <x v="273"/>
    <s v="1023.42"/>
    <x v="0"/>
    <x v="0"/>
  </r>
  <r>
    <n v="3831"/>
    <x v="365"/>
    <s v="Supplier payment made"/>
    <x v="340"/>
    <s v="0.0"/>
    <x v="11"/>
    <x v="3"/>
  </r>
  <r>
    <n v="3831"/>
    <x v="365"/>
    <s v="Supplier payment made"/>
    <x v="273"/>
    <s v="1304.62"/>
    <x v="0"/>
    <x v="0"/>
  </r>
  <r>
    <n v="3832"/>
    <x v="366"/>
    <s v="Sales invoice issued"/>
    <x v="1611"/>
    <s v="0.0"/>
    <x v="2"/>
    <x v="0"/>
  </r>
  <r>
    <n v="3832"/>
    <x v="366"/>
    <s v="Sales invoice issued"/>
    <x v="273"/>
    <s v="3924.53"/>
    <x v="3"/>
    <x v="2"/>
  </r>
  <r>
    <n v="3832"/>
    <x v="366"/>
    <s v="Sales invoice issued"/>
    <x v="273"/>
    <s v="294.35"/>
    <x v="4"/>
    <x v="3"/>
  </r>
  <r>
    <n v="3833"/>
    <x v="366"/>
    <s v="Sales invoice issued"/>
    <x v="1612"/>
    <s v="0.0"/>
    <x v="2"/>
    <x v="0"/>
  </r>
  <r>
    <n v="3833"/>
    <x v="366"/>
    <s v="Sales invoice issued"/>
    <x v="273"/>
    <s v="1924.76"/>
    <x v="3"/>
    <x v="2"/>
  </r>
  <r>
    <n v="3833"/>
    <x v="366"/>
    <s v="Sales invoice issued"/>
    <x v="273"/>
    <s v="144.35"/>
    <x v="4"/>
    <x v="3"/>
  </r>
  <r>
    <n v="3834"/>
    <x v="366"/>
    <s v="Sales invoice issued"/>
    <x v="1613"/>
    <s v="0.0"/>
    <x v="2"/>
    <x v="0"/>
  </r>
  <r>
    <n v="3834"/>
    <x v="366"/>
    <s v="Sales invoice issued"/>
    <x v="273"/>
    <s v="4548.57"/>
    <x v="3"/>
    <x v="2"/>
  </r>
  <r>
    <n v="3834"/>
    <x v="366"/>
    <s v="Sales invoice issued"/>
    <x v="273"/>
    <s v="341.14"/>
    <x v="4"/>
    <x v="3"/>
  </r>
  <r>
    <n v="3835"/>
    <x v="366"/>
    <s v="Sales invoice issued"/>
    <x v="1614"/>
    <s v="0.0"/>
    <x v="2"/>
    <x v="0"/>
  </r>
  <r>
    <n v="3835"/>
    <x v="366"/>
    <s v="Sales invoice issued"/>
    <x v="273"/>
    <s v="800.16"/>
    <x v="3"/>
    <x v="2"/>
  </r>
  <r>
    <n v="3835"/>
    <x v="366"/>
    <s v="Sales invoice issued"/>
    <x v="273"/>
    <s v="60.02"/>
    <x v="4"/>
    <x v="3"/>
  </r>
  <r>
    <n v="3836"/>
    <x v="366"/>
    <s v="Sales invoice issued"/>
    <x v="1615"/>
    <s v="0.0"/>
    <x v="2"/>
    <x v="0"/>
  </r>
  <r>
    <n v="3836"/>
    <x v="366"/>
    <s v="Sales invoice issued"/>
    <x v="273"/>
    <s v="4875.98"/>
    <x v="3"/>
    <x v="2"/>
  </r>
  <r>
    <n v="3836"/>
    <x v="366"/>
    <s v="Sales invoice issued"/>
    <x v="273"/>
    <s v="365.7"/>
    <x v="4"/>
    <x v="3"/>
  </r>
  <r>
    <n v="3837"/>
    <x v="366"/>
    <s v="Customer payment received"/>
    <x v="1616"/>
    <s v="0.0"/>
    <x v="0"/>
    <x v="0"/>
  </r>
  <r>
    <n v="3837"/>
    <x v="366"/>
    <s v="Customer payment received"/>
    <x v="273"/>
    <s v="1105.56"/>
    <x v="2"/>
    <x v="0"/>
  </r>
  <r>
    <n v="3838"/>
    <x v="366"/>
    <s v="Customer payment received"/>
    <x v="1507"/>
    <s v="0.0"/>
    <x v="0"/>
    <x v="0"/>
  </r>
  <r>
    <n v="3838"/>
    <x v="366"/>
    <s v="Customer payment received"/>
    <x v="273"/>
    <s v="6005.47"/>
    <x v="2"/>
    <x v="0"/>
  </r>
  <r>
    <n v="3839"/>
    <x v="366"/>
    <s v="Customer payment received"/>
    <x v="1533"/>
    <s v="0.0"/>
    <x v="0"/>
    <x v="0"/>
  </r>
  <r>
    <n v="3839"/>
    <x v="366"/>
    <s v="Customer payment received"/>
    <x v="273"/>
    <s v="3216.15"/>
    <x v="2"/>
    <x v="0"/>
  </r>
  <r>
    <n v="3840"/>
    <x v="366"/>
    <s v="Supplier payment made"/>
    <x v="466"/>
    <s v="0.0"/>
    <x v="11"/>
    <x v="3"/>
  </r>
  <r>
    <n v="3840"/>
    <x v="366"/>
    <s v="Supplier payment made"/>
    <x v="273"/>
    <s v="748.26"/>
    <x v="0"/>
    <x v="0"/>
  </r>
  <r>
    <n v="3841"/>
    <x v="367"/>
    <s v="Sales invoice issued"/>
    <x v="1617"/>
    <s v="0.0"/>
    <x v="2"/>
    <x v="0"/>
  </r>
  <r>
    <n v="3841"/>
    <x v="367"/>
    <s v="Sales invoice issued"/>
    <x v="273"/>
    <s v="2703.77"/>
    <x v="3"/>
    <x v="2"/>
  </r>
  <r>
    <n v="3841"/>
    <x v="367"/>
    <s v="Sales invoice issued"/>
    <x v="273"/>
    <s v="202.78"/>
    <x v="4"/>
    <x v="3"/>
  </r>
  <r>
    <n v="3842"/>
    <x v="367"/>
    <s v="Sales invoice issued"/>
    <x v="1618"/>
    <s v="0.0"/>
    <x v="2"/>
    <x v="0"/>
  </r>
  <r>
    <n v="3842"/>
    <x v="367"/>
    <s v="Sales invoice issued"/>
    <x v="273"/>
    <s v="3695.78"/>
    <x v="3"/>
    <x v="2"/>
  </r>
  <r>
    <n v="3842"/>
    <x v="367"/>
    <s v="Sales invoice issued"/>
    <x v="273"/>
    <s v="277.19"/>
    <x v="4"/>
    <x v="3"/>
  </r>
  <r>
    <n v="3843"/>
    <x v="367"/>
    <s v="Sales invoice issued"/>
    <x v="1619"/>
    <s v="0.0"/>
    <x v="2"/>
    <x v="0"/>
  </r>
  <r>
    <n v="3843"/>
    <x v="367"/>
    <s v="Sales invoice issued"/>
    <x v="273"/>
    <s v="4785.62"/>
    <x v="3"/>
    <x v="2"/>
  </r>
  <r>
    <n v="3843"/>
    <x v="367"/>
    <s v="Sales invoice issued"/>
    <x v="273"/>
    <s v="358.91"/>
    <x v="4"/>
    <x v="3"/>
  </r>
  <r>
    <n v="3844"/>
    <x v="367"/>
    <s v="Sales invoice issued"/>
    <x v="1620"/>
    <s v="0.0"/>
    <x v="2"/>
    <x v="0"/>
  </r>
  <r>
    <n v="3844"/>
    <x v="367"/>
    <s v="Sales invoice issued"/>
    <x v="273"/>
    <s v="2271.27"/>
    <x v="3"/>
    <x v="2"/>
  </r>
  <r>
    <n v="3844"/>
    <x v="367"/>
    <s v="Sales invoice issued"/>
    <x v="273"/>
    <s v="170.35"/>
    <x v="4"/>
    <x v="3"/>
  </r>
  <r>
    <n v="3845"/>
    <x v="367"/>
    <s v="Customer payment received"/>
    <x v="1422"/>
    <s v="0.0"/>
    <x v="0"/>
    <x v="0"/>
  </r>
  <r>
    <n v="3845"/>
    <x v="367"/>
    <s v="Customer payment received"/>
    <x v="273"/>
    <s v="2987.76"/>
    <x v="2"/>
    <x v="0"/>
  </r>
  <r>
    <n v="3846"/>
    <x v="367"/>
    <s v="Customer payment received"/>
    <x v="1621"/>
    <s v="0.0"/>
    <x v="0"/>
    <x v="0"/>
  </r>
  <r>
    <n v="3846"/>
    <x v="367"/>
    <s v="Customer payment received"/>
    <x v="273"/>
    <s v="451.4"/>
    <x v="2"/>
    <x v="0"/>
  </r>
  <r>
    <n v="3847"/>
    <x v="367"/>
    <s v="Customer payment received"/>
    <x v="1477"/>
    <s v="0.0"/>
    <x v="0"/>
    <x v="0"/>
  </r>
  <r>
    <n v="3847"/>
    <x v="367"/>
    <s v="Customer payment received"/>
    <x v="273"/>
    <s v="545.69"/>
    <x v="2"/>
    <x v="0"/>
  </r>
  <r>
    <n v="3848"/>
    <x v="367"/>
    <s v="Customer payment received"/>
    <x v="1482"/>
    <s v="0.0"/>
    <x v="0"/>
    <x v="0"/>
  </r>
  <r>
    <n v="3848"/>
    <x v="367"/>
    <s v="Customer payment received"/>
    <x v="273"/>
    <s v="1674.39"/>
    <x v="2"/>
    <x v="0"/>
  </r>
  <r>
    <n v="3849"/>
    <x v="367"/>
    <s v="Customer payment received"/>
    <x v="1599"/>
    <s v="0.0"/>
    <x v="0"/>
    <x v="0"/>
  </r>
  <r>
    <n v="3849"/>
    <x v="367"/>
    <s v="Customer payment received"/>
    <x v="273"/>
    <s v="3377.48"/>
    <x v="2"/>
    <x v="0"/>
  </r>
  <r>
    <n v="3850"/>
    <x v="367"/>
    <s v="Customer payment received"/>
    <x v="1611"/>
    <s v="0.0"/>
    <x v="0"/>
    <x v="0"/>
  </r>
  <r>
    <n v="3850"/>
    <x v="367"/>
    <s v="Customer payment received"/>
    <x v="273"/>
    <s v="4218.88"/>
    <x v="2"/>
    <x v="0"/>
  </r>
  <r>
    <n v="3851"/>
    <x v="367"/>
    <s v="Supplier payment made"/>
    <x v="335"/>
    <s v="0.0"/>
    <x v="11"/>
    <x v="3"/>
  </r>
  <r>
    <n v="3851"/>
    <x v="367"/>
    <s v="Supplier payment made"/>
    <x v="273"/>
    <s v="550.4"/>
    <x v="0"/>
    <x v="0"/>
  </r>
  <r>
    <n v="3852"/>
    <x v="368"/>
    <s v="Sales invoice issued"/>
    <x v="1622"/>
    <s v="0.0"/>
    <x v="2"/>
    <x v="0"/>
  </r>
  <r>
    <n v="3852"/>
    <x v="368"/>
    <s v="Sales invoice issued"/>
    <x v="273"/>
    <s v="5913.74"/>
    <x v="3"/>
    <x v="2"/>
  </r>
  <r>
    <n v="3852"/>
    <x v="368"/>
    <s v="Sales invoice issued"/>
    <x v="273"/>
    <s v="443.52"/>
    <x v="4"/>
    <x v="3"/>
  </r>
  <r>
    <n v="3853"/>
    <x v="368"/>
    <s v="Sales invoice issued"/>
    <x v="1623"/>
    <s v="0.0"/>
    <x v="2"/>
    <x v="0"/>
  </r>
  <r>
    <n v="3853"/>
    <x v="368"/>
    <s v="Sales invoice issued"/>
    <x v="273"/>
    <s v="2210.13"/>
    <x v="3"/>
    <x v="2"/>
  </r>
  <r>
    <n v="3853"/>
    <x v="368"/>
    <s v="Sales invoice issued"/>
    <x v="273"/>
    <s v="165.77"/>
    <x v="4"/>
    <x v="3"/>
  </r>
  <r>
    <n v="3854"/>
    <x v="368"/>
    <s v="Sales invoice issued"/>
    <x v="1624"/>
    <s v="0.0"/>
    <x v="2"/>
    <x v="0"/>
  </r>
  <r>
    <n v="3854"/>
    <x v="368"/>
    <s v="Sales invoice issued"/>
    <x v="273"/>
    <s v="489.06"/>
    <x v="3"/>
    <x v="2"/>
  </r>
  <r>
    <n v="3854"/>
    <x v="368"/>
    <s v="Sales invoice issued"/>
    <x v="273"/>
    <s v="36.68"/>
    <x v="4"/>
    <x v="3"/>
  </r>
  <r>
    <n v="3855"/>
    <x v="368"/>
    <s v="Sales invoice issued"/>
    <x v="1625"/>
    <s v="0.0"/>
    <x v="2"/>
    <x v="0"/>
  </r>
  <r>
    <n v="3855"/>
    <x v="368"/>
    <s v="Sales invoice issued"/>
    <x v="273"/>
    <s v="1441.31"/>
    <x v="3"/>
    <x v="2"/>
  </r>
  <r>
    <n v="3855"/>
    <x v="368"/>
    <s v="Sales invoice issued"/>
    <x v="273"/>
    <s v="108.1"/>
    <x v="4"/>
    <x v="3"/>
  </r>
  <r>
    <n v="3856"/>
    <x v="368"/>
    <s v="Sales invoice issued"/>
    <x v="1626"/>
    <s v="0.0"/>
    <x v="2"/>
    <x v="0"/>
  </r>
  <r>
    <n v="3856"/>
    <x v="368"/>
    <s v="Sales invoice issued"/>
    <x v="273"/>
    <s v="1141.08"/>
    <x v="3"/>
    <x v="2"/>
  </r>
  <r>
    <n v="3856"/>
    <x v="368"/>
    <s v="Sales invoice issued"/>
    <x v="273"/>
    <s v="85.58"/>
    <x v="4"/>
    <x v="3"/>
  </r>
  <r>
    <n v="3857"/>
    <x v="368"/>
    <s v="Sales invoice issued"/>
    <x v="1627"/>
    <s v="0.0"/>
    <x v="2"/>
    <x v="0"/>
  </r>
  <r>
    <n v="3857"/>
    <x v="368"/>
    <s v="Sales invoice issued"/>
    <x v="273"/>
    <s v="155.97"/>
    <x v="3"/>
    <x v="2"/>
  </r>
  <r>
    <n v="3857"/>
    <x v="368"/>
    <s v="Sales invoice issued"/>
    <x v="273"/>
    <s v="11.7"/>
    <x v="4"/>
    <x v="3"/>
  </r>
  <r>
    <n v="3858"/>
    <x v="368"/>
    <s v="Customer payment received"/>
    <x v="1408"/>
    <s v="0.0"/>
    <x v="0"/>
    <x v="0"/>
  </r>
  <r>
    <n v="3858"/>
    <x v="368"/>
    <s v="Customer payment received"/>
    <x v="273"/>
    <s v="1923.63"/>
    <x v="2"/>
    <x v="0"/>
  </r>
  <r>
    <n v="3859"/>
    <x v="368"/>
    <s v="Customer payment received"/>
    <x v="1491"/>
    <s v="0.0"/>
    <x v="0"/>
    <x v="0"/>
  </r>
  <r>
    <n v="3859"/>
    <x v="368"/>
    <s v="Customer payment received"/>
    <x v="273"/>
    <s v="2881.85"/>
    <x v="2"/>
    <x v="0"/>
  </r>
  <r>
    <n v="3860"/>
    <x v="368"/>
    <s v="Customer payment received"/>
    <x v="1501"/>
    <s v="0.0"/>
    <x v="0"/>
    <x v="0"/>
  </r>
  <r>
    <n v="3860"/>
    <x v="368"/>
    <s v="Customer payment received"/>
    <x v="273"/>
    <s v="2778.5"/>
    <x v="2"/>
    <x v="0"/>
  </r>
  <r>
    <n v="3861"/>
    <x v="368"/>
    <s v="Customer payment received"/>
    <x v="1504"/>
    <s v="0.0"/>
    <x v="0"/>
    <x v="0"/>
  </r>
  <r>
    <n v="3861"/>
    <x v="368"/>
    <s v="Customer payment received"/>
    <x v="273"/>
    <s v="516.57"/>
    <x v="2"/>
    <x v="0"/>
  </r>
  <r>
    <n v="3862"/>
    <x v="368"/>
    <s v="Customer payment received"/>
    <x v="1587"/>
    <s v="0.0"/>
    <x v="0"/>
    <x v="0"/>
  </r>
  <r>
    <n v="3862"/>
    <x v="368"/>
    <s v="Customer payment received"/>
    <x v="273"/>
    <s v="2250.51"/>
    <x v="2"/>
    <x v="0"/>
  </r>
  <r>
    <n v="3863"/>
    <x v="368"/>
    <s v="Supplier invoice received"/>
    <x v="295"/>
    <s v="0.0"/>
    <x v="9"/>
    <x v="4"/>
  </r>
  <r>
    <n v="3863"/>
    <x v="368"/>
    <s v="Supplier invoice received"/>
    <x v="296"/>
    <s v="0.0"/>
    <x v="10"/>
    <x v="0"/>
  </r>
  <r>
    <n v="3863"/>
    <x v="368"/>
    <s v="Supplier invoice received"/>
    <x v="273"/>
    <s v="1766.46"/>
    <x v="11"/>
    <x v="3"/>
  </r>
  <r>
    <n v="3864"/>
    <x v="368"/>
    <s v="Supplier payment made"/>
    <x v="334"/>
    <s v="0.0"/>
    <x v="11"/>
    <x v="3"/>
  </r>
  <r>
    <n v="3864"/>
    <x v="368"/>
    <s v="Supplier payment made"/>
    <x v="273"/>
    <s v="3528.97"/>
    <x v="0"/>
    <x v="0"/>
  </r>
  <r>
    <n v="3865"/>
    <x v="369"/>
    <s v="Sales invoice issued"/>
    <x v="1628"/>
    <s v="0.0"/>
    <x v="2"/>
    <x v="0"/>
  </r>
  <r>
    <n v="3865"/>
    <x v="369"/>
    <s v="Sales invoice issued"/>
    <x v="273"/>
    <s v="962.47"/>
    <x v="3"/>
    <x v="2"/>
  </r>
  <r>
    <n v="3865"/>
    <x v="369"/>
    <s v="Sales invoice issued"/>
    <x v="273"/>
    <s v="72.19"/>
    <x v="4"/>
    <x v="3"/>
  </r>
  <r>
    <n v="3866"/>
    <x v="369"/>
    <s v="Sales invoice issued"/>
    <x v="1629"/>
    <s v="0.0"/>
    <x v="2"/>
    <x v="0"/>
  </r>
  <r>
    <n v="3866"/>
    <x v="369"/>
    <s v="Sales invoice issued"/>
    <x v="273"/>
    <s v="1959.49"/>
    <x v="3"/>
    <x v="2"/>
  </r>
  <r>
    <n v="3866"/>
    <x v="369"/>
    <s v="Sales invoice issued"/>
    <x v="273"/>
    <s v="146.96"/>
    <x v="4"/>
    <x v="3"/>
  </r>
  <r>
    <n v="3867"/>
    <x v="369"/>
    <s v="Sales invoice issued"/>
    <x v="1630"/>
    <s v="0.0"/>
    <x v="2"/>
    <x v="0"/>
  </r>
  <r>
    <n v="3867"/>
    <x v="369"/>
    <s v="Sales invoice issued"/>
    <x v="273"/>
    <s v="25.89"/>
    <x v="3"/>
    <x v="2"/>
  </r>
  <r>
    <n v="3867"/>
    <x v="369"/>
    <s v="Sales invoice issued"/>
    <x v="273"/>
    <s v="1.94"/>
    <x v="4"/>
    <x v="3"/>
  </r>
  <r>
    <n v="3868"/>
    <x v="369"/>
    <s v="Sales invoice issued"/>
    <x v="1631"/>
    <s v="0.0"/>
    <x v="2"/>
    <x v="0"/>
  </r>
  <r>
    <n v="3868"/>
    <x v="369"/>
    <s v="Sales invoice issued"/>
    <x v="273"/>
    <s v="2146.07"/>
    <x v="3"/>
    <x v="2"/>
  </r>
  <r>
    <n v="3868"/>
    <x v="369"/>
    <s v="Sales invoice issued"/>
    <x v="273"/>
    <s v="160.95"/>
    <x v="4"/>
    <x v="3"/>
  </r>
  <r>
    <n v="3869"/>
    <x v="369"/>
    <s v="Customer payment received"/>
    <x v="1388"/>
    <s v="0.0"/>
    <x v="0"/>
    <x v="0"/>
  </r>
  <r>
    <n v="3869"/>
    <x v="369"/>
    <s v="Customer payment received"/>
    <x v="273"/>
    <s v="3590.17"/>
    <x v="2"/>
    <x v="0"/>
  </r>
  <r>
    <n v="3870"/>
    <x v="369"/>
    <s v="Customer payment received"/>
    <x v="1403"/>
    <s v="0.0"/>
    <x v="0"/>
    <x v="0"/>
  </r>
  <r>
    <n v="3870"/>
    <x v="369"/>
    <s v="Customer payment received"/>
    <x v="273"/>
    <s v="929.35"/>
    <x v="2"/>
    <x v="0"/>
  </r>
  <r>
    <n v="3871"/>
    <x v="369"/>
    <s v="Customer payment received"/>
    <x v="1447"/>
    <s v="0.0"/>
    <x v="0"/>
    <x v="0"/>
  </r>
  <r>
    <n v="3871"/>
    <x v="369"/>
    <s v="Customer payment received"/>
    <x v="273"/>
    <s v="2018.46"/>
    <x v="2"/>
    <x v="0"/>
  </r>
  <r>
    <n v="3872"/>
    <x v="369"/>
    <s v="Customer payment received"/>
    <x v="1457"/>
    <s v="0.0"/>
    <x v="0"/>
    <x v="0"/>
  </r>
  <r>
    <n v="3872"/>
    <x v="369"/>
    <s v="Customer payment received"/>
    <x v="273"/>
    <s v="1328.06"/>
    <x v="2"/>
    <x v="0"/>
  </r>
  <r>
    <n v="3873"/>
    <x v="369"/>
    <s v="Customer payment received"/>
    <x v="1462"/>
    <s v="0.0"/>
    <x v="0"/>
    <x v="0"/>
  </r>
  <r>
    <n v="3873"/>
    <x v="369"/>
    <s v="Customer payment received"/>
    <x v="273"/>
    <s v="5346.1"/>
    <x v="2"/>
    <x v="0"/>
  </r>
  <r>
    <n v="3874"/>
    <x v="369"/>
    <s v="Customer payment received"/>
    <x v="1632"/>
    <s v="0.0"/>
    <x v="0"/>
    <x v="0"/>
  </r>
  <r>
    <n v="3874"/>
    <x v="369"/>
    <s v="Customer payment received"/>
    <x v="273"/>
    <s v="954.43"/>
    <x v="2"/>
    <x v="0"/>
  </r>
  <r>
    <n v="3875"/>
    <x v="369"/>
    <s v="Customer payment received"/>
    <x v="1558"/>
    <s v="0.0"/>
    <x v="0"/>
    <x v="0"/>
  </r>
  <r>
    <n v="3875"/>
    <x v="369"/>
    <s v="Customer payment received"/>
    <x v="273"/>
    <s v="3669.58"/>
    <x v="2"/>
    <x v="0"/>
  </r>
  <r>
    <n v="3876"/>
    <x v="369"/>
    <s v="Customer payment received"/>
    <x v="1588"/>
    <s v="0.0"/>
    <x v="0"/>
    <x v="0"/>
  </r>
  <r>
    <n v="3876"/>
    <x v="369"/>
    <s v="Customer payment received"/>
    <x v="273"/>
    <s v="5968.37"/>
    <x v="2"/>
    <x v="0"/>
  </r>
  <r>
    <n v="3877"/>
    <x v="369"/>
    <s v="Customer payment received"/>
    <x v="1594"/>
    <s v="0.0"/>
    <x v="0"/>
    <x v="0"/>
  </r>
  <r>
    <n v="3877"/>
    <x v="369"/>
    <s v="Customer payment received"/>
    <x v="273"/>
    <s v="5582.11"/>
    <x v="2"/>
    <x v="0"/>
  </r>
  <r>
    <n v="3878"/>
    <x v="369"/>
    <s v="Customer payment received"/>
    <x v="1612"/>
    <s v="0.0"/>
    <x v="0"/>
    <x v="0"/>
  </r>
  <r>
    <n v="3878"/>
    <x v="369"/>
    <s v="Customer payment received"/>
    <x v="273"/>
    <s v="2069.11"/>
    <x v="2"/>
    <x v="0"/>
  </r>
  <r>
    <n v="3879"/>
    <x v="369"/>
    <s v="Customer payment received"/>
    <x v="1613"/>
    <s v="0.0"/>
    <x v="0"/>
    <x v="0"/>
  </r>
  <r>
    <n v="3879"/>
    <x v="369"/>
    <s v="Customer payment received"/>
    <x v="273"/>
    <s v="4889.71"/>
    <x v="2"/>
    <x v="0"/>
  </r>
  <r>
    <n v="3880"/>
    <x v="369"/>
    <s v="Supplier invoice received"/>
    <x v="332"/>
    <s v="0.0"/>
    <x v="9"/>
    <x v="4"/>
  </r>
  <r>
    <n v="3880"/>
    <x v="369"/>
    <s v="Supplier invoice received"/>
    <x v="333"/>
    <s v="0.0"/>
    <x v="10"/>
    <x v="0"/>
  </r>
  <r>
    <n v="3880"/>
    <x v="369"/>
    <s v="Supplier invoice received"/>
    <x v="273"/>
    <s v="1023.42"/>
    <x v="11"/>
    <x v="3"/>
  </r>
  <r>
    <n v="3881"/>
    <x v="369"/>
    <s v="Supplier invoice received"/>
    <x v="325"/>
    <s v="0.0"/>
    <x v="9"/>
    <x v="4"/>
  </r>
  <r>
    <n v="3881"/>
    <x v="369"/>
    <s v="Supplier invoice received"/>
    <x v="326"/>
    <s v="0.0"/>
    <x v="10"/>
    <x v="0"/>
  </r>
  <r>
    <n v="3881"/>
    <x v="369"/>
    <s v="Supplier invoice received"/>
    <x v="273"/>
    <s v="1304.62"/>
    <x v="11"/>
    <x v="3"/>
  </r>
  <r>
    <n v="3882"/>
    <x v="370"/>
    <s v="Depreciation â€” POS System"/>
    <x v="425"/>
    <s v="0.0"/>
    <x v="12"/>
    <x v="4"/>
  </r>
  <r>
    <n v="3882"/>
    <x v="370"/>
    <s v="Depreciation â€” POS System"/>
    <x v="273"/>
    <s v="93.61"/>
    <x v="13"/>
    <x v="0"/>
  </r>
  <r>
    <n v="3883"/>
    <x v="370"/>
    <s v="Depreciation â€” Laptop x2"/>
    <x v="426"/>
    <s v="0.0"/>
    <x v="12"/>
    <x v="4"/>
  </r>
  <r>
    <n v="3883"/>
    <x v="370"/>
    <s v="Depreciation â€” Laptop x2"/>
    <x v="273"/>
    <s v="76.86"/>
    <x v="13"/>
    <x v="0"/>
  </r>
  <r>
    <n v="3884"/>
    <x v="370"/>
    <s v="Depreciation â€” Printer/Scanner"/>
    <x v="427"/>
    <s v="0.0"/>
    <x v="12"/>
    <x v="4"/>
  </r>
  <r>
    <n v="3884"/>
    <x v="370"/>
    <s v="Depreciation â€” Printer/Scanner"/>
    <x v="273"/>
    <s v="20.03"/>
    <x v="13"/>
    <x v="0"/>
  </r>
  <r>
    <n v="3885"/>
    <x v="370"/>
    <s v="Depreciation â€” Shop Shelving"/>
    <x v="428"/>
    <s v="0.0"/>
    <x v="12"/>
    <x v="4"/>
  </r>
  <r>
    <n v="3885"/>
    <x v="370"/>
    <s v="Depreciation â€” Shop Shelving"/>
    <x v="273"/>
    <s v="86.89"/>
    <x v="14"/>
    <x v="0"/>
  </r>
  <r>
    <n v="3886"/>
    <x v="370"/>
    <s v="Depreciation â€” Display Stands"/>
    <x v="429"/>
    <s v="0.0"/>
    <x v="12"/>
    <x v="4"/>
  </r>
  <r>
    <n v="3886"/>
    <x v="370"/>
    <s v="Depreciation â€” Display Stands"/>
    <x v="273"/>
    <s v="76.8"/>
    <x v="14"/>
    <x v="0"/>
  </r>
  <r>
    <n v="3887"/>
    <x v="370"/>
    <s v="Depreciation â€” Counter &amp; Checkout"/>
    <x v="430"/>
    <s v="0.0"/>
    <x v="12"/>
    <x v="4"/>
  </r>
  <r>
    <n v="3887"/>
    <x v="370"/>
    <s v="Depreciation â€” Counter &amp; Checkout"/>
    <x v="273"/>
    <s v="48.28"/>
    <x v="14"/>
    <x v="0"/>
  </r>
  <r>
    <n v="3888"/>
    <x v="370"/>
    <s v="Depreciation â€” Signage"/>
    <x v="431"/>
    <s v="0.0"/>
    <x v="12"/>
    <x v="4"/>
  </r>
  <r>
    <n v="3888"/>
    <x v="370"/>
    <s v="Depreciation â€” Signage"/>
    <x v="273"/>
    <s v="53.21"/>
    <x v="14"/>
    <x v="0"/>
  </r>
  <r>
    <n v="3889"/>
    <x v="370"/>
    <s v="Depreciation â€” Delivery Van"/>
    <x v="432"/>
    <s v="0.0"/>
    <x v="12"/>
    <x v="4"/>
  </r>
  <r>
    <n v="3889"/>
    <x v="370"/>
    <s v="Depreciation â€” Delivery Van"/>
    <x v="273"/>
    <s v="232.19"/>
    <x v="15"/>
    <x v="0"/>
  </r>
  <r>
    <n v="3890"/>
    <x v="370"/>
    <s v="Depreciation â€” Security System"/>
    <x v="433"/>
    <s v="0.0"/>
    <x v="12"/>
    <x v="4"/>
  </r>
  <r>
    <n v="3890"/>
    <x v="370"/>
    <s v="Depreciation â€” Security System"/>
    <x v="273"/>
    <s v="43.85"/>
    <x v="13"/>
    <x v="0"/>
  </r>
  <r>
    <n v="3891"/>
    <x v="371"/>
    <s v="Sales invoice issued"/>
    <x v="1633"/>
    <s v="0.0"/>
    <x v="2"/>
    <x v="0"/>
  </r>
  <r>
    <n v="3891"/>
    <x v="371"/>
    <s v="Sales invoice issued"/>
    <x v="273"/>
    <s v="1022.04"/>
    <x v="3"/>
    <x v="2"/>
  </r>
  <r>
    <n v="3891"/>
    <x v="371"/>
    <s v="Sales invoice issued"/>
    <x v="273"/>
    <s v="76.65"/>
    <x v="4"/>
    <x v="3"/>
  </r>
  <r>
    <n v="3892"/>
    <x v="371"/>
    <s v="Sales invoice issued"/>
    <x v="1634"/>
    <s v="0.0"/>
    <x v="2"/>
    <x v="0"/>
  </r>
  <r>
    <n v="3892"/>
    <x v="371"/>
    <s v="Sales invoice issued"/>
    <x v="273"/>
    <s v="863.76"/>
    <x v="3"/>
    <x v="2"/>
  </r>
  <r>
    <n v="3892"/>
    <x v="371"/>
    <s v="Sales invoice issued"/>
    <x v="273"/>
    <s v="64.79"/>
    <x v="4"/>
    <x v="3"/>
  </r>
  <r>
    <n v="3893"/>
    <x v="371"/>
    <s v="Sales invoice issued"/>
    <x v="1635"/>
    <s v="0.0"/>
    <x v="2"/>
    <x v="0"/>
  </r>
  <r>
    <n v="3893"/>
    <x v="371"/>
    <s v="Sales invoice issued"/>
    <x v="273"/>
    <s v="880.18"/>
    <x v="3"/>
    <x v="2"/>
  </r>
  <r>
    <n v="3893"/>
    <x v="371"/>
    <s v="Sales invoice issued"/>
    <x v="273"/>
    <s v="66.01"/>
    <x v="4"/>
    <x v="3"/>
  </r>
  <r>
    <n v="3894"/>
    <x v="371"/>
    <s v="Sales invoice issued"/>
    <x v="1636"/>
    <s v="0.0"/>
    <x v="2"/>
    <x v="0"/>
  </r>
  <r>
    <n v="3894"/>
    <x v="371"/>
    <s v="Sales invoice issued"/>
    <x v="273"/>
    <s v="2064.98"/>
    <x v="3"/>
    <x v="2"/>
  </r>
  <r>
    <n v="3894"/>
    <x v="371"/>
    <s v="Sales invoice issued"/>
    <x v="273"/>
    <s v="154.88"/>
    <x v="4"/>
    <x v="3"/>
  </r>
  <r>
    <n v="3895"/>
    <x v="371"/>
    <s v="Customer payment received"/>
    <x v="1400"/>
    <s v="0.0"/>
    <x v="0"/>
    <x v="0"/>
  </r>
  <r>
    <n v="3895"/>
    <x v="371"/>
    <s v="Customer payment received"/>
    <x v="273"/>
    <s v="1919.25"/>
    <x v="2"/>
    <x v="0"/>
  </r>
  <r>
    <n v="3896"/>
    <x v="371"/>
    <s v="Customer payment received"/>
    <x v="1438"/>
    <s v="0.0"/>
    <x v="0"/>
    <x v="0"/>
  </r>
  <r>
    <n v="3896"/>
    <x v="371"/>
    <s v="Customer payment received"/>
    <x v="273"/>
    <s v="1995.85"/>
    <x v="2"/>
    <x v="0"/>
  </r>
  <r>
    <n v="3897"/>
    <x v="371"/>
    <s v="Customer payment received"/>
    <x v="1592"/>
    <s v="0.0"/>
    <x v="0"/>
    <x v="0"/>
  </r>
  <r>
    <n v="3897"/>
    <x v="371"/>
    <s v="Customer payment received"/>
    <x v="273"/>
    <s v="2913.8"/>
    <x v="2"/>
    <x v="0"/>
  </r>
  <r>
    <n v="3898"/>
    <x v="371"/>
    <s v="Customer payment received"/>
    <x v="1593"/>
    <s v="0.0"/>
    <x v="0"/>
    <x v="0"/>
  </r>
  <r>
    <n v="3898"/>
    <x v="371"/>
    <s v="Customer payment received"/>
    <x v="273"/>
    <s v="1456.93"/>
    <x v="2"/>
    <x v="0"/>
  </r>
  <r>
    <n v="3899"/>
    <x v="371"/>
    <s v="Customer payment received"/>
    <x v="1628"/>
    <s v="0.0"/>
    <x v="0"/>
    <x v="0"/>
  </r>
  <r>
    <n v="3899"/>
    <x v="371"/>
    <s v="Customer payment received"/>
    <x v="273"/>
    <s v="1034.66"/>
    <x v="2"/>
    <x v="0"/>
  </r>
  <r>
    <n v="3900"/>
    <x v="371"/>
    <s v="Supplier invoice received"/>
    <x v="443"/>
    <s v="0.0"/>
    <x v="9"/>
    <x v="4"/>
  </r>
  <r>
    <n v="3900"/>
    <x v="371"/>
    <s v="Supplier invoice received"/>
    <x v="444"/>
    <s v="0.0"/>
    <x v="10"/>
    <x v="0"/>
  </r>
  <r>
    <n v="3900"/>
    <x v="371"/>
    <s v="Supplier invoice received"/>
    <x v="273"/>
    <s v="748.26"/>
    <x v="11"/>
    <x v="3"/>
  </r>
  <r>
    <n v="3901"/>
    <x v="371"/>
    <s v="Supplier invoice received"/>
    <x v="366"/>
    <s v="0.0"/>
    <x v="9"/>
    <x v="4"/>
  </r>
  <r>
    <n v="3901"/>
    <x v="371"/>
    <s v="Supplier invoice received"/>
    <x v="367"/>
    <s v="0.0"/>
    <x v="10"/>
    <x v="0"/>
  </r>
  <r>
    <n v="3901"/>
    <x v="371"/>
    <s v="Supplier invoice received"/>
    <x v="273"/>
    <s v="201.5"/>
    <x v="11"/>
    <x v="3"/>
  </r>
  <r>
    <n v="3902"/>
    <x v="371"/>
    <s v="Supplier invoice received"/>
    <x v="330"/>
    <s v="0.0"/>
    <x v="9"/>
    <x v="4"/>
  </r>
  <r>
    <n v="3902"/>
    <x v="371"/>
    <s v="Supplier invoice received"/>
    <x v="331"/>
    <s v="0.0"/>
    <x v="10"/>
    <x v="0"/>
  </r>
  <r>
    <n v="3902"/>
    <x v="371"/>
    <s v="Supplier invoice received"/>
    <x v="273"/>
    <s v="1935.04"/>
    <x v="11"/>
    <x v="3"/>
  </r>
  <r>
    <n v="3903"/>
    <x v="371"/>
    <s v="Supplier payment made"/>
    <x v="313"/>
    <s v="0.0"/>
    <x v="11"/>
    <x v="3"/>
  </r>
  <r>
    <n v="3903"/>
    <x v="371"/>
    <s v="Supplier payment made"/>
    <x v="273"/>
    <s v="1159.84"/>
    <x v="0"/>
    <x v="0"/>
  </r>
  <r>
    <n v="3904"/>
    <x v="371"/>
    <s v="Supplier payment made"/>
    <x v="292"/>
    <s v="0.0"/>
    <x v="11"/>
    <x v="3"/>
  </r>
  <r>
    <n v="3904"/>
    <x v="371"/>
    <s v="Supplier payment made"/>
    <x v="273"/>
    <s v="1766.46"/>
    <x v="0"/>
    <x v="0"/>
  </r>
  <r>
    <n v="3905"/>
    <x v="371"/>
    <s v="Supplier payment made"/>
    <x v="424"/>
    <s v="0.0"/>
    <x v="11"/>
    <x v="3"/>
  </r>
  <r>
    <n v="3905"/>
    <x v="371"/>
    <s v="Supplier payment made"/>
    <x v="273"/>
    <s v="1591.54"/>
    <x v="0"/>
    <x v="0"/>
  </r>
  <r>
    <n v="3906"/>
    <x v="371"/>
    <s v="Supplier payment made"/>
    <x v="352"/>
    <s v="0.0"/>
    <x v="11"/>
    <x v="3"/>
  </r>
  <r>
    <n v="3906"/>
    <x v="371"/>
    <s v="Supplier payment made"/>
    <x v="273"/>
    <s v="9336.67"/>
    <x v="0"/>
    <x v="0"/>
  </r>
  <r>
    <n v="3907"/>
    <x v="372"/>
    <s v="Sales invoice issued"/>
    <x v="1637"/>
    <s v="0.0"/>
    <x v="2"/>
    <x v="0"/>
  </r>
  <r>
    <n v="3907"/>
    <x v="372"/>
    <s v="Sales invoice issued"/>
    <x v="273"/>
    <s v="1170.51"/>
    <x v="3"/>
    <x v="2"/>
  </r>
  <r>
    <n v="3907"/>
    <x v="372"/>
    <s v="Sales invoice issued"/>
    <x v="273"/>
    <s v="87.78"/>
    <x v="4"/>
    <x v="3"/>
  </r>
  <r>
    <n v="3908"/>
    <x v="372"/>
    <s v="Sales invoice issued"/>
    <x v="1638"/>
    <s v="0.0"/>
    <x v="2"/>
    <x v="0"/>
  </r>
  <r>
    <n v="3908"/>
    <x v="372"/>
    <s v="Sales invoice issued"/>
    <x v="273"/>
    <s v="1791.41"/>
    <x v="3"/>
    <x v="2"/>
  </r>
  <r>
    <n v="3908"/>
    <x v="372"/>
    <s v="Sales invoice issued"/>
    <x v="273"/>
    <s v="134.36"/>
    <x v="4"/>
    <x v="3"/>
  </r>
  <r>
    <n v="3909"/>
    <x v="372"/>
    <s v="Sales invoice issued"/>
    <x v="1639"/>
    <s v="0.0"/>
    <x v="2"/>
    <x v="0"/>
  </r>
  <r>
    <n v="3909"/>
    <x v="372"/>
    <s v="Sales invoice issued"/>
    <x v="273"/>
    <s v="4802.43"/>
    <x v="3"/>
    <x v="2"/>
  </r>
  <r>
    <n v="3909"/>
    <x v="372"/>
    <s v="Sales invoice issued"/>
    <x v="273"/>
    <s v="360.18"/>
    <x v="4"/>
    <x v="3"/>
  </r>
  <r>
    <n v="3910"/>
    <x v="372"/>
    <s v="Sales invoice issued"/>
    <x v="1640"/>
    <s v="0.0"/>
    <x v="2"/>
    <x v="0"/>
  </r>
  <r>
    <n v="3910"/>
    <x v="372"/>
    <s v="Sales invoice issued"/>
    <x v="273"/>
    <s v="1547.04"/>
    <x v="3"/>
    <x v="2"/>
  </r>
  <r>
    <n v="3910"/>
    <x v="372"/>
    <s v="Sales invoice issued"/>
    <x v="273"/>
    <s v="116.03"/>
    <x v="4"/>
    <x v="3"/>
  </r>
  <r>
    <n v="3911"/>
    <x v="372"/>
    <s v="Sales invoice issued"/>
    <x v="1641"/>
    <s v="0.0"/>
    <x v="2"/>
    <x v="0"/>
  </r>
  <r>
    <n v="3911"/>
    <x v="372"/>
    <s v="Sales invoice issued"/>
    <x v="273"/>
    <s v="613.96"/>
    <x v="3"/>
    <x v="2"/>
  </r>
  <r>
    <n v="3911"/>
    <x v="372"/>
    <s v="Sales invoice issued"/>
    <x v="273"/>
    <s v="46.04"/>
    <x v="4"/>
    <x v="3"/>
  </r>
  <r>
    <n v="3912"/>
    <x v="372"/>
    <s v="Sales invoice issued"/>
    <x v="1642"/>
    <s v="0.0"/>
    <x v="2"/>
    <x v="0"/>
  </r>
  <r>
    <n v="3912"/>
    <x v="372"/>
    <s v="Sales invoice issued"/>
    <x v="273"/>
    <s v="2203.51"/>
    <x v="3"/>
    <x v="2"/>
  </r>
  <r>
    <n v="3912"/>
    <x v="372"/>
    <s v="Sales invoice issued"/>
    <x v="273"/>
    <s v="165.26"/>
    <x v="4"/>
    <x v="3"/>
  </r>
  <r>
    <n v="3913"/>
    <x v="372"/>
    <s v="Sales invoice issued"/>
    <x v="1643"/>
    <s v="0.0"/>
    <x v="2"/>
    <x v="0"/>
  </r>
  <r>
    <n v="3913"/>
    <x v="372"/>
    <s v="Sales invoice issued"/>
    <x v="273"/>
    <s v="2016.59"/>
    <x v="3"/>
    <x v="2"/>
  </r>
  <r>
    <n v="3913"/>
    <x v="372"/>
    <s v="Sales invoice issued"/>
    <x v="273"/>
    <s v="151.24"/>
    <x v="4"/>
    <x v="3"/>
  </r>
  <r>
    <n v="3914"/>
    <x v="372"/>
    <s v="Customer payment received"/>
    <x v="1479"/>
    <s v="0.0"/>
    <x v="0"/>
    <x v="0"/>
  </r>
  <r>
    <n v="3914"/>
    <x v="372"/>
    <s v="Customer payment received"/>
    <x v="273"/>
    <s v="3394.97"/>
    <x v="2"/>
    <x v="0"/>
  </r>
  <r>
    <n v="3915"/>
    <x v="372"/>
    <s v="Customer payment received"/>
    <x v="1510"/>
    <s v="0.0"/>
    <x v="0"/>
    <x v="0"/>
  </r>
  <r>
    <n v="3915"/>
    <x v="372"/>
    <s v="Customer payment received"/>
    <x v="273"/>
    <s v="1756.56"/>
    <x v="2"/>
    <x v="0"/>
  </r>
  <r>
    <n v="3916"/>
    <x v="372"/>
    <s v="Customer payment received"/>
    <x v="1513"/>
    <s v="0.0"/>
    <x v="0"/>
    <x v="0"/>
  </r>
  <r>
    <n v="3916"/>
    <x v="372"/>
    <s v="Customer payment received"/>
    <x v="273"/>
    <s v="3839.39"/>
    <x v="2"/>
    <x v="0"/>
  </r>
  <r>
    <n v="3917"/>
    <x v="372"/>
    <s v="Customer payment received"/>
    <x v="1562"/>
    <s v="0.0"/>
    <x v="0"/>
    <x v="0"/>
  </r>
  <r>
    <n v="3917"/>
    <x v="372"/>
    <s v="Customer payment received"/>
    <x v="273"/>
    <s v="1829.99"/>
    <x v="2"/>
    <x v="0"/>
  </r>
  <r>
    <n v="3918"/>
    <x v="372"/>
    <s v="Customer payment received"/>
    <x v="1644"/>
    <s v="0.0"/>
    <x v="0"/>
    <x v="0"/>
  </r>
  <r>
    <n v="3918"/>
    <x v="372"/>
    <s v="Customer payment received"/>
    <x v="273"/>
    <s v="1210.03"/>
    <x v="2"/>
    <x v="0"/>
  </r>
  <r>
    <n v="3919"/>
    <x v="372"/>
    <s v="Customer payment received"/>
    <x v="1624"/>
    <s v="0.0"/>
    <x v="0"/>
    <x v="0"/>
  </r>
  <r>
    <n v="3919"/>
    <x v="372"/>
    <s v="Customer payment received"/>
    <x v="273"/>
    <s v="525.74"/>
    <x v="2"/>
    <x v="0"/>
  </r>
  <r>
    <n v="3920"/>
    <x v="372"/>
    <s v="Supplier invoice received"/>
    <x v="357"/>
    <s v="0.0"/>
    <x v="9"/>
    <x v="4"/>
  </r>
  <r>
    <n v="3920"/>
    <x v="372"/>
    <s v="Supplier invoice received"/>
    <x v="358"/>
    <s v="0.0"/>
    <x v="10"/>
    <x v="0"/>
  </r>
  <r>
    <n v="3920"/>
    <x v="372"/>
    <s v="Supplier invoice received"/>
    <x v="273"/>
    <s v="1958.74"/>
    <x v="11"/>
    <x v="3"/>
  </r>
  <r>
    <n v="3921"/>
    <x v="372"/>
    <s v="Supplier payment made"/>
    <x v="488"/>
    <s v="0.0"/>
    <x v="11"/>
    <x v="3"/>
  </r>
  <r>
    <n v="3921"/>
    <x v="372"/>
    <s v="Supplier payment made"/>
    <x v="273"/>
    <s v="2182.41"/>
    <x v="0"/>
    <x v="0"/>
  </r>
  <r>
    <n v="3922"/>
    <x v="372"/>
    <s v="Supplier payment made"/>
    <x v="350"/>
    <s v="0.0"/>
    <x v="11"/>
    <x v="3"/>
  </r>
  <r>
    <n v="3922"/>
    <x v="372"/>
    <s v="Supplier payment made"/>
    <x v="273"/>
    <s v="1794.11"/>
    <x v="0"/>
    <x v="0"/>
  </r>
  <r>
    <n v="3923"/>
    <x v="373"/>
    <s v="Sales invoice issued"/>
    <x v="1645"/>
    <s v="0.0"/>
    <x v="2"/>
    <x v="0"/>
  </r>
  <r>
    <n v="3923"/>
    <x v="373"/>
    <s v="Sales invoice issued"/>
    <x v="273"/>
    <s v="5866.6"/>
    <x v="3"/>
    <x v="2"/>
  </r>
  <r>
    <n v="3923"/>
    <x v="373"/>
    <s v="Sales invoice issued"/>
    <x v="273"/>
    <s v="439.99"/>
    <x v="4"/>
    <x v="3"/>
  </r>
  <r>
    <n v="3924"/>
    <x v="373"/>
    <s v="Sales invoice issued"/>
    <x v="1646"/>
    <s v="0.0"/>
    <x v="2"/>
    <x v="0"/>
  </r>
  <r>
    <n v="3924"/>
    <x v="373"/>
    <s v="Sales invoice issued"/>
    <x v="273"/>
    <s v="2515.36"/>
    <x v="3"/>
    <x v="2"/>
  </r>
  <r>
    <n v="3924"/>
    <x v="373"/>
    <s v="Sales invoice issued"/>
    <x v="273"/>
    <s v="188.65"/>
    <x v="4"/>
    <x v="3"/>
  </r>
  <r>
    <n v="3925"/>
    <x v="373"/>
    <s v="Sales invoice issued"/>
    <x v="1647"/>
    <s v="0.0"/>
    <x v="2"/>
    <x v="0"/>
  </r>
  <r>
    <n v="3925"/>
    <x v="373"/>
    <s v="Sales invoice issued"/>
    <x v="273"/>
    <s v="4010.38"/>
    <x v="3"/>
    <x v="2"/>
  </r>
  <r>
    <n v="3925"/>
    <x v="373"/>
    <s v="Sales invoice issued"/>
    <x v="273"/>
    <s v="300.8"/>
    <x v="4"/>
    <x v="3"/>
  </r>
  <r>
    <n v="3926"/>
    <x v="373"/>
    <s v="Sales invoice issued"/>
    <x v="1648"/>
    <s v="0.0"/>
    <x v="2"/>
    <x v="0"/>
  </r>
  <r>
    <n v="3926"/>
    <x v="373"/>
    <s v="Sales invoice issued"/>
    <x v="273"/>
    <s v="2049.03"/>
    <x v="3"/>
    <x v="2"/>
  </r>
  <r>
    <n v="3926"/>
    <x v="373"/>
    <s v="Sales invoice issued"/>
    <x v="273"/>
    <s v="153.67"/>
    <x v="4"/>
    <x v="3"/>
  </r>
  <r>
    <n v="3927"/>
    <x v="373"/>
    <s v="Sales invoice issued"/>
    <x v="1649"/>
    <s v="0.0"/>
    <x v="2"/>
    <x v="0"/>
  </r>
  <r>
    <n v="3927"/>
    <x v="373"/>
    <s v="Sales invoice issued"/>
    <x v="273"/>
    <s v="1790.61"/>
    <x v="3"/>
    <x v="2"/>
  </r>
  <r>
    <n v="3927"/>
    <x v="373"/>
    <s v="Sales invoice issued"/>
    <x v="273"/>
    <s v="134.3"/>
    <x v="4"/>
    <x v="3"/>
  </r>
  <r>
    <n v="3928"/>
    <x v="373"/>
    <s v="Sales invoice issued"/>
    <x v="1650"/>
    <s v="0.0"/>
    <x v="2"/>
    <x v="0"/>
  </r>
  <r>
    <n v="3928"/>
    <x v="373"/>
    <s v="Sales invoice issued"/>
    <x v="273"/>
    <s v="2229.74"/>
    <x v="3"/>
    <x v="2"/>
  </r>
  <r>
    <n v="3928"/>
    <x v="373"/>
    <s v="Sales invoice issued"/>
    <x v="273"/>
    <s v="167.23"/>
    <x v="4"/>
    <x v="3"/>
  </r>
  <r>
    <n v="3929"/>
    <x v="373"/>
    <s v="Sales invoice issued"/>
    <x v="1188"/>
    <s v="0.0"/>
    <x v="2"/>
    <x v="0"/>
  </r>
  <r>
    <n v="3929"/>
    <x v="373"/>
    <s v="Sales invoice issued"/>
    <x v="273"/>
    <s v="268.17"/>
    <x v="3"/>
    <x v="2"/>
  </r>
  <r>
    <n v="3929"/>
    <x v="373"/>
    <s v="Sales invoice issued"/>
    <x v="273"/>
    <s v="20.11"/>
    <x v="4"/>
    <x v="3"/>
  </r>
  <r>
    <n v="3930"/>
    <x v="373"/>
    <s v="Sales invoice issued"/>
    <x v="1651"/>
    <s v="0.0"/>
    <x v="2"/>
    <x v="0"/>
  </r>
  <r>
    <n v="3930"/>
    <x v="373"/>
    <s v="Sales invoice issued"/>
    <x v="273"/>
    <s v="695.24"/>
    <x v="3"/>
    <x v="2"/>
  </r>
  <r>
    <n v="3930"/>
    <x v="373"/>
    <s v="Sales invoice issued"/>
    <x v="273"/>
    <s v="52.14"/>
    <x v="4"/>
    <x v="3"/>
  </r>
  <r>
    <n v="3931"/>
    <x v="373"/>
    <s v="Sales invoice issued"/>
    <x v="1652"/>
    <s v="0.0"/>
    <x v="2"/>
    <x v="0"/>
  </r>
  <r>
    <n v="3931"/>
    <x v="373"/>
    <s v="Sales invoice issued"/>
    <x v="273"/>
    <s v="2349.65"/>
    <x v="3"/>
    <x v="2"/>
  </r>
  <r>
    <n v="3931"/>
    <x v="373"/>
    <s v="Sales invoice issued"/>
    <x v="273"/>
    <s v="176.22"/>
    <x v="4"/>
    <x v="3"/>
  </r>
  <r>
    <n v="3932"/>
    <x v="373"/>
    <s v="Sales invoice issued"/>
    <x v="1653"/>
    <s v="0.0"/>
    <x v="2"/>
    <x v="0"/>
  </r>
  <r>
    <n v="3932"/>
    <x v="373"/>
    <s v="Sales invoice issued"/>
    <x v="273"/>
    <s v="1081.57"/>
    <x v="3"/>
    <x v="2"/>
  </r>
  <r>
    <n v="3932"/>
    <x v="373"/>
    <s v="Sales invoice issued"/>
    <x v="273"/>
    <s v="81.12"/>
    <x v="4"/>
    <x v="3"/>
  </r>
  <r>
    <n v="3933"/>
    <x v="373"/>
    <s v="Customer payment received"/>
    <x v="1484"/>
    <s v="0.0"/>
    <x v="0"/>
    <x v="0"/>
  </r>
  <r>
    <n v="3933"/>
    <x v="373"/>
    <s v="Customer payment received"/>
    <x v="273"/>
    <s v="2254.98"/>
    <x v="2"/>
    <x v="0"/>
  </r>
  <r>
    <n v="3934"/>
    <x v="373"/>
    <s v="Customer payment received"/>
    <x v="1516"/>
    <s v="0.0"/>
    <x v="0"/>
    <x v="0"/>
  </r>
  <r>
    <n v="3934"/>
    <x v="373"/>
    <s v="Customer payment received"/>
    <x v="273"/>
    <s v="2228.68"/>
    <x v="2"/>
    <x v="0"/>
  </r>
  <r>
    <n v="3935"/>
    <x v="373"/>
    <s v="Customer payment received"/>
    <x v="1544"/>
    <s v="0.0"/>
    <x v="0"/>
    <x v="0"/>
  </r>
  <r>
    <n v="3935"/>
    <x v="373"/>
    <s v="Customer payment received"/>
    <x v="273"/>
    <s v="4782.65"/>
    <x v="2"/>
    <x v="0"/>
  </r>
  <r>
    <n v="3936"/>
    <x v="373"/>
    <s v="Customer payment received"/>
    <x v="1635"/>
    <s v="0.0"/>
    <x v="0"/>
    <x v="0"/>
  </r>
  <r>
    <n v="3936"/>
    <x v="373"/>
    <s v="Customer payment received"/>
    <x v="273"/>
    <s v="946.19"/>
    <x v="2"/>
    <x v="0"/>
  </r>
  <r>
    <n v="3937"/>
    <x v="373"/>
    <s v="Customer payment received"/>
    <x v="1652"/>
    <s v="0.0"/>
    <x v="0"/>
    <x v="0"/>
  </r>
  <r>
    <n v="3937"/>
    <x v="373"/>
    <s v="Customer payment received"/>
    <x v="273"/>
    <s v="2525.87"/>
    <x v="2"/>
    <x v="0"/>
  </r>
  <r>
    <n v="3938"/>
    <x v="373"/>
    <s v="Supplier invoice received"/>
    <x v="405"/>
    <s v="0.0"/>
    <x v="9"/>
    <x v="4"/>
  </r>
  <r>
    <n v="3938"/>
    <x v="373"/>
    <s v="Supplier invoice received"/>
    <x v="406"/>
    <s v="0.0"/>
    <x v="10"/>
    <x v="0"/>
  </r>
  <r>
    <n v="3938"/>
    <x v="373"/>
    <s v="Supplier invoice received"/>
    <x v="273"/>
    <s v="2635.36"/>
    <x v="11"/>
    <x v="3"/>
  </r>
  <r>
    <n v="3939"/>
    <x v="373"/>
    <s v="Supplier invoice received"/>
    <x v="303"/>
    <s v="0.0"/>
    <x v="9"/>
    <x v="4"/>
  </r>
  <r>
    <n v="3939"/>
    <x v="373"/>
    <s v="Supplier invoice received"/>
    <x v="304"/>
    <s v="0.0"/>
    <x v="10"/>
    <x v="0"/>
  </r>
  <r>
    <n v="3939"/>
    <x v="373"/>
    <s v="Supplier invoice received"/>
    <x v="273"/>
    <s v="550.4"/>
    <x v="11"/>
    <x v="3"/>
  </r>
  <r>
    <n v="3940"/>
    <x v="373"/>
    <s v="Supplier payment made"/>
    <x v="340"/>
    <s v="0.0"/>
    <x v="11"/>
    <x v="3"/>
  </r>
  <r>
    <n v="3940"/>
    <x v="373"/>
    <s v="Supplier payment made"/>
    <x v="273"/>
    <s v="1304.62"/>
    <x v="0"/>
    <x v="0"/>
  </r>
  <r>
    <n v="3941"/>
    <x v="373"/>
    <s v="Supplier payment made"/>
    <x v="336"/>
    <s v="0.0"/>
    <x v="11"/>
    <x v="3"/>
  </r>
  <r>
    <n v="3941"/>
    <x v="373"/>
    <s v="Supplier payment made"/>
    <x v="273"/>
    <s v="2093.28"/>
    <x v="0"/>
    <x v="0"/>
  </r>
  <r>
    <n v="3942"/>
    <x v="373"/>
    <s v="Supplier payment made"/>
    <x v="310"/>
    <s v="0.0"/>
    <x v="11"/>
    <x v="3"/>
  </r>
  <r>
    <n v="3942"/>
    <x v="373"/>
    <s v="Supplier payment made"/>
    <x v="273"/>
    <s v="276.32"/>
    <x v="0"/>
    <x v="0"/>
  </r>
  <r>
    <n v="3943"/>
    <x v="373"/>
    <s v="Supplier payment made"/>
    <x v="392"/>
    <s v="0.0"/>
    <x v="11"/>
    <x v="3"/>
  </r>
  <r>
    <n v="3943"/>
    <x v="373"/>
    <s v="Supplier payment made"/>
    <x v="273"/>
    <s v="1023.42"/>
    <x v="0"/>
    <x v="0"/>
  </r>
  <r>
    <n v="3944"/>
    <x v="373"/>
    <s v="Supplier payment made"/>
    <x v="280"/>
    <s v="0.0"/>
    <x v="11"/>
    <x v="3"/>
  </r>
  <r>
    <n v="3944"/>
    <x v="373"/>
    <s v="Supplier payment made"/>
    <x v="273"/>
    <s v="2635.36"/>
    <x v="0"/>
    <x v="0"/>
  </r>
  <r>
    <n v="3945"/>
    <x v="374"/>
    <s v="Payroll processed"/>
    <x v="1654"/>
    <s v="0.0"/>
    <x v="5"/>
    <x v="4"/>
  </r>
  <r>
    <n v="3945"/>
    <x v="374"/>
    <s v="Payroll processed"/>
    <x v="1655"/>
    <s v="0.0"/>
    <x v="6"/>
    <x v="4"/>
  </r>
  <r>
    <n v="3945"/>
    <x v="374"/>
    <s v="Payroll processed"/>
    <x v="273"/>
    <s v="18424.32"/>
    <x v="0"/>
    <x v="0"/>
  </r>
  <r>
    <n v="3945"/>
    <x v="374"/>
    <s v="Payroll processed"/>
    <x v="273"/>
    <s v="4069.27"/>
    <x v="7"/>
    <x v="3"/>
  </r>
  <r>
    <n v="3945"/>
    <x v="374"/>
    <s v="Payroll processed"/>
    <x v="273"/>
    <s v="899.74"/>
    <x v="8"/>
    <x v="3"/>
  </r>
  <r>
    <n v="3946"/>
    <x v="374"/>
    <s v="Sales invoice issued"/>
    <x v="1656"/>
    <s v="0.0"/>
    <x v="2"/>
    <x v="0"/>
  </r>
  <r>
    <n v="3946"/>
    <x v="374"/>
    <s v="Sales invoice issued"/>
    <x v="273"/>
    <s v="1028.3"/>
    <x v="3"/>
    <x v="2"/>
  </r>
  <r>
    <n v="3946"/>
    <x v="374"/>
    <s v="Sales invoice issued"/>
    <x v="273"/>
    <s v="77.12"/>
    <x v="4"/>
    <x v="3"/>
  </r>
  <r>
    <n v="3947"/>
    <x v="374"/>
    <s v="Sales invoice issued"/>
    <x v="1657"/>
    <s v="0.0"/>
    <x v="2"/>
    <x v="0"/>
  </r>
  <r>
    <n v="3947"/>
    <x v="374"/>
    <s v="Sales invoice issued"/>
    <x v="273"/>
    <s v="209.16"/>
    <x v="3"/>
    <x v="2"/>
  </r>
  <r>
    <n v="3947"/>
    <x v="374"/>
    <s v="Sales invoice issued"/>
    <x v="273"/>
    <s v="15.69"/>
    <x v="4"/>
    <x v="3"/>
  </r>
  <r>
    <n v="3948"/>
    <x v="374"/>
    <s v="Sales invoice issued"/>
    <x v="1658"/>
    <s v="0.0"/>
    <x v="2"/>
    <x v="0"/>
  </r>
  <r>
    <n v="3948"/>
    <x v="374"/>
    <s v="Sales invoice issued"/>
    <x v="273"/>
    <s v="351.18"/>
    <x v="3"/>
    <x v="2"/>
  </r>
  <r>
    <n v="3948"/>
    <x v="374"/>
    <s v="Sales invoice issued"/>
    <x v="273"/>
    <s v="26.33"/>
    <x v="4"/>
    <x v="3"/>
  </r>
  <r>
    <n v="3949"/>
    <x v="374"/>
    <s v="Sales invoice issued"/>
    <x v="1659"/>
    <s v="0.0"/>
    <x v="2"/>
    <x v="0"/>
  </r>
  <r>
    <n v="3949"/>
    <x v="374"/>
    <s v="Sales invoice issued"/>
    <x v="273"/>
    <s v="1459.14"/>
    <x v="3"/>
    <x v="2"/>
  </r>
  <r>
    <n v="3949"/>
    <x v="374"/>
    <s v="Sales invoice issued"/>
    <x v="273"/>
    <s v="109.45"/>
    <x v="4"/>
    <x v="3"/>
  </r>
  <r>
    <n v="3950"/>
    <x v="374"/>
    <s v="Sales invoice issued"/>
    <x v="1660"/>
    <s v="0.0"/>
    <x v="2"/>
    <x v="0"/>
  </r>
  <r>
    <n v="3950"/>
    <x v="374"/>
    <s v="Sales invoice issued"/>
    <x v="273"/>
    <s v="4582.12"/>
    <x v="3"/>
    <x v="2"/>
  </r>
  <r>
    <n v="3950"/>
    <x v="374"/>
    <s v="Sales invoice issued"/>
    <x v="273"/>
    <s v="343.66"/>
    <x v="4"/>
    <x v="3"/>
  </r>
  <r>
    <n v="3951"/>
    <x v="374"/>
    <s v="Sales invoice issued"/>
    <x v="1661"/>
    <s v="0.0"/>
    <x v="2"/>
    <x v="0"/>
  </r>
  <r>
    <n v="3951"/>
    <x v="374"/>
    <s v="Sales invoice issued"/>
    <x v="273"/>
    <s v="3292.43"/>
    <x v="3"/>
    <x v="2"/>
  </r>
  <r>
    <n v="3951"/>
    <x v="374"/>
    <s v="Sales invoice issued"/>
    <x v="273"/>
    <s v="246.94"/>
    <x v="4"/>
    <x v="3"/>
  </r>
  <r>
    <n v="3952"/>
    <x v="374"/>
    <s v="Sales invoice issued"/>
    <x v="1662"/>
    <s v="0.0"/>
    <x v="2"/>
    <x v="0"/>
  </r>
  <r>
    <n v="3952"/>
    <x v="374"/>
    <s v="Sales invoice issued"/>
    <x v="273"/>
    <s v="1038.78"/>
    <x v="3"/>
    <x v="2"/>
  </r>
  <r>
    <n v="3952"/>
    <x v="374"/>
    <s v="Sales invoice issued"/>
    <x v="273"/>
    <s v="77.91"/>
    <x v="4"/>
    <x v="3"/>
  </r>
  <r>
    <n v="3953"/>
    <x v="374"/>
    <s v="Customer payment received"/>
    <x v="1514"/>
    <s v="0.0"/>
    <x v="0"/>
    <x v="0"/>
  </r>
  <r>
    <n v="3953"/>
    <x v="374"/>
    <s v="Customer payment received"/>
    <x v="273"/>
    <s v="318.14"/>
    <x v="2"/>
    <x v="0"/>
  </r>
  <r>
    <n v="3954"/>
    <x v="374"/>
    <s v="Customer payment received"/>
    <x v="1614"/>
    <s v="0.0"/>
    <x v="0"/>
    <x v="0"/>
  </r>
  <r>
    <n v="3954"/>
    <x v="374"/>
    <s v="Customer payment received"/>
    <x v="273"/>
    <s v="860.18"/>
    <x v="2"/>
    <x v="0"/>
  </r>
  <r>
    <n v="3955"/>
    <x v="374"/>
    <s v="Customer payment received"/>
    <x v="1642"/>
    <s v="0.0"/>
    <x v="0"/>
    <x v="0"/>
  </r>
  <r>
    <n v="3955"/>
    <x v="374"/>
    <s v="Customer payment received"/>
    <x v="273"/>
    <s v="2368.77"/>
    <x v="2"/>
    <x v="0"/>
  </r>
  <r>
    <n v="3956"/>
    <x v="374"/>
    <s v="Customer payment received"/>
    <x v="1647"/>
    <s v="0.0"/>
    <x v="0"/>
    <x v="0"/>
  </r>
  <r>
    <n v="3956"/>
    <x v="374"/>
    <s v="Customer payment received"/>
    <x v="273"/>
    <s v="4311.18"/>
    <x v="2"/>
    <x v="0"/>
  </r>
  <r>
    <n v="3957"/>
    <x v="374"/>
    <s v="Customer payment received"/>
    <x v="1658"/>
    <s v="0.0"/>
    <x v="0"/>
    <x v="0"/>
  </r>
  <r>
    <n v="3957"/>
    <x v="374"/>
    <s v="Customer payment received"/>
    <x v="273"/>
    <s v="377.51"/>
    <x v="2"/>
    <x v="0"/>
  </r>
  <r>
    <n v="3958"/>
    <x v="374"/>
    <s v="Supplier invoice received"/>
    <x v="372"/>
    <s v="0.0"/>
    <x v="9"/>
    <x v="4"/>
  </r>
  <r>
    <n v="3958"/>
    <x v="374"/>
    <s v="Supplier invoice received"/>
    <x v="373"/>
    <s v="0.0"/>
    <x v="10"/>
    <x v="0"/>
  </r>
  <r>
    <n v="3958"/>
    <x v="374"/>
    <s v="Supplier invoice received"/>
    <x v="273"/>
    <s v="412.54"/>
    <x v="11"/>
    <x v="3"/>
  </r>
  <r>
    <n v="3959"/>
    <x v="374"/>
    <s v="Supplier payment made"/>
    <x v="504"/>
    <s v="0.0"/>
    <x v="11"/>
    <x v="3"/>
  </r>
  <r>
    <n v="3959"/>
    <x v="374"/>
    <s v="Supplier payment made"/>
    <x v="273"/>
    <s v="1958.74"/>
    <x v="0"/>
    <x v="0"/>
  </r>
  <r>
    <n v="3960"/>
    <x v="375"/>
    <s v="Sales invoice issued"/>
    <x v="1663"/>
    <s v="0.0"/>
    <x v="2"/>
    <x v="0"/>
  </r>
  <r>
    <n v="3960"/>
    <x v="375"/>
    <s v="Sales invoice issued"/>
    <x v="273"/>
    <s v="2699.54"/>
    <x v="3"/>
    <x v="2"/>
  </r>
  <r>
    <n v="3960"/>
    <x v="375"/>
    <s v="Sales invoice issued"/>
    <x v="273"/>
    <s v="202.47"/>
    <x v="4"/>
    <x v="3"/>
  </r>
  <r>
    <n v="3961"/>
    <x v="375"/>
    <s v="Sales invoice issued"/>
    <x v="1664"/>
    <s v="0.0"/>
    <x v="2"/>
    <x v="0"/>
  </r>
  <r>
    <n v="3961"/>
    <x v="375"/>
    <s v="Sales invoice issued"/>
    <x v="273"/>
    <s v="8.2"/>
    <x v="3"/>
    <x v="2"/>
  </r>
  <r>
    <n v="3961"/>
    <x v="375"/>
    <s v="Sales invoice issued"/>
    <x v="273"/>
    <s v="0.62"/>
    <x v="4"/>
    <x v="3"/>
  </r>
  <r>
    <n v="3962"/>
    <x v="375"/>
    <s v="Sales invoice issued"/>
    <x v="1665"/>
    <s v="0.0"/>
    <x v="2"/>
    <x v="0"/>
  </r>
  <r>
    <n v="3962"/>
    <x v="375"/>
    <s v="Sales invoice issued"/>
    <x v="273"/>
    <s v="2550.03"/>
    <x v="3"/>
    <x v="2"/>
  </r>
  <r>
    <n v="3962"/>
    <x v="375"/>
    <s v="Sales invoice issued"/>
    <x v="273"/>
    <s v="191.26"/>
    <x v="4"/>
    <x v="3"/>
  </r>
  <r>
    <n v="3963"/>
    <x v="375"/>
    <s v="Sales invoice issued"/>
    <x v="1666"/>
    <s v="0.0"/>
    <x v="2"/>
    <x v="0"/>
  </r>
  <r>
    <n v="3963"/>
    <x v="375"/>
    <s v="Sales invoice issued"/>
    <x v="273"/>
    <s v="1590.2"/>
    <x v="3"/>
    <x v="2"/>
  </r>
  <r>
    <n v="3963"/>
    <x v="375"/>
    <s v="Sales invoice issued"/>
    <x v="273"/>
    <s v="119.27"/>
    <x v="4"/>
    <x v="3"/>
  </r>
  <r>
    <n v="3964"/>
    <x v="375"/>
    <s v="Sales invoice issued"/>
    <x v="1667"/>
    <s v="0.0"/>
    <x v="2"/>
    <x v="0"/>
  </r>
  <r>
    <n v="3964"/>
    <x v="375"/>
    <s v="Sales invoice issued"/>
    <x v="273"/>
    <s v="2147.71"/>
    <x v="3"/>
    <x v="2"/>
  </r>
  <r>
    <n v="3964"/>
    <x v="375"/>
    <s v="Sales invoice issued"/>
    <x v="273"/>
    <s v="161.08"/>
    <x v="4"/>
    <x v="3"/>
  </r>
  <r>
    <n v="3965"/>
    <x v="375"/>
    <s v="Sales invoice issued"/>
    <x v="1668"/>
    <s v="0.0"/>
    <x v="2"/>
    <x v="0"/>
  </r>
  <r>
    <n v="3965"/>
    <x v="375"/>
    <s v="Sales invoice issued"/>
    <x v="273"/>
    <s v="273.56"/>
    <x v="3"/>
    <x v="2"/>
  </r>
  <r>
    <n v="3965"/>
    <x v="375"/>
    <s v="Sales invoice issued"/>
    <x v="273"/>
    <s v="20.52"/>
    <x v="4"/>
    <x v="3"/>
  </r>
  <r>
    <n v="3966"/>
    <x v="375"/>
    <s v="Sales invoice issued"/>
    <x v="1669"/>
    <s v="0.0"/>
    <x v="2"/>
    <x v="0"/>
  </r>
  <r>
    <n v="3966"/>
    <x v="375"/>
    <s v="Sales invoice issued"/>
    <x v="273"/>
    <s v="2506.57"/>
    <x v="3"/>
    <x v="2"/>
  </r>
  <r>
    <n v="3966"/>
    <x v="375"/>
    <s v="Sales invoice issued"/>
    <x v="273"/>
    <s v="187.99"/>
    <x v="4"/>
    <x v="3"/>
  </r>
  <r>
    <n v="3967"/>
    <x v="375"/>
    <s v="Sales invoice issued"/>
    <x v="1670"/>
    <s v="0.0"/>
    <x v="2"/>
    <x v="0"/>
  </r>
  <r>
    <n v="3967"/>
    <x v="375"/>
    <s v="Sales invoice issued"/>
    <x v="273"/>
    <s v="5463.36"/>
    <x v="3"/>
    <x v="2"/>
  </r>
  <r>
    <n v="3967"/>
    <x v="375"/>
    <s v="Sales invoice issued"/>
    <x v="273"/>
    <s v="409.75"/>
    <x v="4"/>
    <x v="3"/>
  </r>
  <r>
    <n v="3968"/>
    <x v="375"/>
    <s v="Sales invoice issued"/>
    <x v="1671"/>
    <s v="0.0"/>
    <x v="2"/>
    <x v="0"/>
  </r>
  <r>
    <n v="3968"/>
    <x v="375"/>
    <s v="Sales invoice issued"/>
    <x v="273"/>
    <s v="2187.47"/>
    <x v="3"/>
    <x v="2"/>
  </r>
  <r>
    <n v="3968"/>
    <x v="375"/>
    <s v="Sales invoice issued"/>
    <x v="273"/>
    <s v="164.06"/>
    <x v="4"/>
    <x v="3"/>
  </r>
  <r>
    <n v="3969"/>
    <x v="375"/>
    <s v="Sales invoice issued"/>
    <x v="1672"/>
    <s v="0.0"/>
    <x v="2"/>
    <x v="0"/>
  </r>
  <r>
    <n v="3969"/>
    <x v="375"/>
    <s v="Sales invoice issued"/>
    <x v="273"/>
    <s v="1365.97"/>
    <x v="3"/>
    <x v="2"/>
  </r>
  <r>
    <n v="3969"/>
    <x v="375"/>
    <s v="Sales invoice issued"/>
    <x v="273"/>
    <s v="102.44"/>
    <x v="4"/>
    <x v="3"/>
  </r>
  <r>
    <n v="3970"/>
    <x v="375"/>
    <s v="Sales invoice issued"/>
    <x v="1673"/>
    <s v="0.0"/>
    <x v="2"/>
    <x v="0"/>
  </r>
  <r>
    <n v="3970"/>
    <x v="375"/>
    <s v="Sales invoice issued"/>
    <x v="273"/>
    <s v="2072.96"/>
    <x v="3"/>
    <x v="2"/>
  </r>
  <r>
    <n v="3970"/>
    <x v="375"/>
    <s v="Sales invoice issued"/>
    <x v="273"/>
    <s v="155.47"/>
    <x v="4"/>
    <x v="3"/>
  </r>
  <r>
    <n v="3971"/>
    <x v="375"/>
    <s v="Customer payment received"/>
    <x v="1674"/>
    <s v="0.0"/>
    <x v="0"/>
    <x v="0"/>
  </r>
  <r>
    <n v="3971"/>
    <x v="375"/>
    <s v="Customer payment received"/>
    <x v="273"/>
    <s v="76.85"/>
    <x v="2"/>
    <x v="0"/>
  </r>
  <r>
    <n v="3972"/>
    <x v="375"/>
    <s v="Customer payment received"/>
    <x v="1537"/>
    <s v="0.0"/>
    <x v="0"/>
    <x v="0"/>
  </r>
  <r>
    <n v="3972"/>
    <x v="375"/>
    <s v="Customer payment received"/>
    <x v="273"/>
    <s v="1327.03"/>
    <x v="2"/>
    <x v="0"/>
  </r>
  <r>
    <n v="3973"/>
    <x v="375"/>
    <s v="Customer payment received"/>
    <x v="1607"/>
    <s v="0.0"/>
    <x v="0"/>
    <x v="0"/>
  </r>
  <r>
    <n v="3973"/>
    <x v="375"/>
    <s v="Customer payment received"/>
    <x v="273"/>
    <s v="1903.29"/>
    <x v="2"/>
    <x v="0"/>
  </r>
  <r>
    <n v="3974"/>
    <x v="375"/>
    <s v="Customer payment received"/>
    <x v="1609"/>
    <s v="0.0"/>
    <x v="0"/>
    <x v="0"/>
  </r>
  <r>
    <n v="3974"/>
    <x v="375"/>
    <s v="Customer payment received"/>
    <x v="273"/>
    <s v="3852.04"/>
    <x v="2"/>
    <x v="0"/>
  </r>
  <r>
    <n v="3975"/>
    <x v="375"/>
    <s v="Customer payment received"/>
    <x v="1675"/>
    <s v="0.0"/>
    <x v="0"/>
    <x v="0"/>
  </r>
  <r>
    <n v="3975"/>
    <x v="375"/>
    <s v="Customer payment received"/>
    <x v="273"/>
    <s v="196.28"/>
    <x v="2"/>
    <x v="0"/>
  </r>
  <r>
    <n v="3976"/>
    <x v="375"/>
    <s v="Supplier invoice received"/>
    <x v="448"/>
    <s v="0.0"/>
    <x v="9"/>
    <x v="4"/>
  </r>
  <r>
    <n v="3976"/>
    <x v="375"/>
    <s v="Supplier invoice received"/>
    <x v="449"/>
    <s v="0.0"/>
    <x v="10"/>
    <x v="0"/>
  </r>
  <r>
    <n v="3976"/>
    <x v="375"/>
    <s v="Supplier invoice received"/>
    <x v="273"/>
    <s v="7227.44"/>
    <x v="11"/>
    <x v="3"/>
  </r>
  <r>
    <n v="3977"/>
    <x v="375"/>
    <s v="Supplier invoice received"/>
    <x v="374"/>
    <s v="0.0"/>
    <x v="9"/>
    <x v="4"/>
  </r>
  <r>
    <n v="3977"/>
    <x v="375"/>
    <s v="Supplier invoice received"/>
    <x v="375"/>
    <s v="0.0"/>
    <x v="10"/>
    <x v="0"/>
  </r>
  <r>
    <n v="3977"/>
    <x v="375"/>
    <s v="Supplier invoice received"/>
    <x v="273"/>
    <s v="2504.23"/>
    <x v="11"/>
    <x v="3"/>
  </r>
  <r>
    <n v="3978"/>
    <x v="375"/>
    <s v="Supplier invoice received"/>
    <x v="330"/>
    <s v="0.0"/>
    <x v="9"/>
    <x v="4"/>
  </r>
  <r>
    <n v="3978"/>
    <x v="375"/>
    <s v="Supplier invoice received"/>
    <x v="331"/>
    <s v="0.0"/>
    <x v="10"/>
    <x v="0"/>
  </r>
  <r>
    <n v="3978"/>
    <x v="375"/>
    <s v="Supplier invoice received"/>
    <x v="273"/>
    <s v="1935.04"/>
    <x v="11"/>
    <x v="3"/>
  </r>
  <r>
    <n v="3979"/>
    <x v="375"/>
    <s v="Supplier payment made"/>
    <x v="292"/>
    <s v="0.0"/>
    <x v="11"/>
    <x v="3"/>
  </r>
  <r>
    <n v="3979"/>
    <x v="375"/>
    <s v="Supplier payment made"/>
    <x v="273"/>
    <s v="1766.46"/>
    <x v="0"/>
    <x v="0"/>
  </r>
  <r>
    <n v="3980"/>
    <x v="375"/>
    <s v="Supplier payment made"/>
    <x v="292"/>
    <s v="0.0"/>
    <x v="11"/>
    <x v="3"/>
  </r>
  <r>
    <n v="3980"/>
    <x v="375"/>
    <s v="Supplier payment made"/>
    <x v="273"/>
    <s v="1766.46"/>
    <x v="0"/>
    <x v="0"/>
  </r>
  <r>
    <n v="3981"/>
    <x v="375"/>
    <s v="Supplier payment made"/>
    <x v="327"/>
    <s v="0.0"/>
    <x v="11"/>
    <x v="3"/>
  </r>
  <r>
    <n v="3981"/>
    <x v="375"/>
    <s v="Supplier payment made"/>
    <x v="273"/>
    <s v="1935.04"/>
    <x v="0"/>
    <x v="0"/>
  </r>
  <r>
    <n v="3982"/>
    <x v="376"/>
    <s v="Sales invoice issued"/>
    <x v="1676"/>
    <s v="0.0"/>
    <x v="2"/>
    <x v="0"/>
  </r>
  <r>
    <n v="3982"/>
    <x v="376"/>
    <s v="Sales invoice issued"/>
    <x v="273"/>
    <s v="3891.34"/>
    <x v="3"/>
    <x v="2"/>
  </r>
  <r>
    <n v="3982"/>
    <x v="376"/>
    <s v="Sales invoice issued"/>
    <x v="273"/>
    <s v="291.85"/>
    <x v="4"/>
    <x v="3"/>
  </r>
  <r>
    <n v="3983"/>
    <x v="376"/>
    <s v="Sales invoice issued"/>
    <x v="1677"/>
    <s v="0.0"/>
    <x v="2"/>
    <x v="0"/>
  </r>
  <r>
    <n v="3983"/>
    <x v="376"/>
    <s v="Sales invoice issued"/>
    <x v="273"/>
    <s v="5785.28"/>
    <x v="3"/>
    <x v="2"/>
  </r>
  <r>
    <n v="3983"/>
    <x v="376"/>
    <s v="Sales invoice issued"/>
    <x v="273"/>
    <s v="433.9"/>
    <x v="4"/>
    <x v="3"/>
  </r>
  <r>
    <n v="3984"/>
    <x v="376"/>
    <s v="Sales invoice issued"/>
    <x v="1678"/>
    <s v="0.0"/>
    <x v="2"/>
    <x v="0"/>
  </r>
  <r>
    <n v="3984"/>
    <x v="376"/>
    <s v="Sales invoice issued"/>
    <x v="273"/>
    <s v="1384.84"/>
    <x v="3"/>
    <x v="2"/>
  </r>
  <r>
    <n v="3984"/>
    <x v="376"/>
    <s v="Sales invoice issued"/>
    <x v="273"/>
    <s v="103.86"/>
    <x v="4"/>
    <x v="3"/>
  </r>
  <r>
    <n v="3985"/>
    <x v="376"/>
    <s v="Sales invoice issued"/>
    <x v="1679"/>
    <s v="0.0"/>
    <x v="2"/>
    <x v="0"/>
  </r>
  <r>
    <n v="3985"/>
    <x v="376"/>
    <s v="Sales invoice issued"/>
    <x v="273"/>
    <s v="232.79"/>
    <x v="3"/>
    <x v="2"/>
  </r>
  <r>
    <n v="3985"/>
    <x v="376"/>
    <s v="Sales invoice issued"/>
    <x v="273"/>
    <s v="17.46"/>
    <x v="4"/>
    <x v="3"/>
  </r>
  <r>
    <n v="3986"/>
    <x v="376"/>
    <s v="Sales invoice issued"/>
    <x v="1680"/>
    <s v="0.0"/>
    <x v="2"/>
    <x v="0"/>
  </r>
  <r>
    <n v="3986"/>
    <x v="376"/>
    <s v="Sales invoice issued"/>
    <x v="273"/>
    <s v="1451.67"/>
    <x v="3"/>
    <x v="2"/>
  </r>
  <r>
    <n v="3986"/>
    <x v="376"/>
    <s v="Sales invoice issued"/>
    <x v="273"/>
    <s v="108.88"/>
    <x v="4"/>
    <x v="3"/>
  </r>
  <r>
    <n v="3987"/>
    <x v="376"/>
    <s v="Sales invoice issued"/>
    <x v="1681"/>
    <s v="0.0"/>
    <x v="2"/>
    <x v="0"/>
  </r>
  <r>
    <n v="3987"/>
    <x v="376"/>
    <s v="Sales invoice issued"/>
    <x v="273"/>
    <s v="3869.9"/>
    <x v="3"/>
    <x v="2"/>
  </r>
  <r>
    <n v="3987"/>
    <x v="376"/>
    <s v="Sales invoice issued"/>
    <x v="273"/>
    <s v="290.24"/>
    <x v="4"/>
    <x v="3"/>
  </r>
  <r>
    <n v="3988"/>
    <x v="376"/>
    <s v="Customer payment received"/>
    <x v="1498"/>
    <s v="0.0"/>
    <x v="0"/>
    <x v="0"/>
  </r>
  <r>
    <n v="3988"/>
    <x v="376"/>
    <s v="Customer payment received"/>
    <x v="273"/>
    <s v="2976.84"/>
    <x v="2"/>
    <x v="0"/>
  </r>
  <r>
    <n v="3989"/>
    <x v="376"/>
    <s v="Customer payment received"/>
    <x v="1518"/>
    <s v="0.0"/>
    <x v="0"/>
    <x v="0"/>
  </r>
  <r>
    <n v="3989"/>
    <x v="376"/>
    <s v="Customer payment received"/>
    <x v="273"/>
    <s v="2425.43"/>
    <x v="2"/>
    <x v="0"/>
  </r>
  <r>
    <n v="3990"/>
    <x v="376"/>
    <s v="Customer payment received"/>
    <x v="1565"/>
    <s v="0.0"/>
    <x v="0"/>
    <x v="0"/>
  </r>
  <r>
    <n v="3990"/>
    <x v="376"/>
    <s v="Customer payment received"/>
    <x v="273"/>
    <s v="79.32"/>
    <x v="2"/>
    <x v="0"/>
  </r>
  <r>
    <n v="3991"/>
    <x v="376"/>
    <s v="Customer payment received"/>
    <x v="1576"/>
    <s v="0.0"/>
    <x v="0"/>
    <x v="0"/>
  </r>
  <r>
    <n v="3991"/>
    <x v="376"/>
    <s v="Customer payment received"/>
    <x v="273"/>
    <s v="2940.83"/>
    <x v="2"/>
    <x v="0"/>
  </r>
  <r>
    <n v="3992"/>
    <x v="376"/>
    <s v="Customer payment received"/>
    <x v="1615"/>
    <s v="0.0"/>
    <x v="0"/>
    <x v="0"/>
  </r>
  <r>
    <n v="3992"/>
    <x v="376"/>
    <s v="Customer payment received"/>
    <x v="273"/>
    <s v="5241.68"/>
    <x v="2"/>
    <x v="0"/>
  </r>
  <r>
    <n v="3993"/>
    <x v="376"/>
    <s v="Customer payment received"/>
    <x v="1626"/>
    <s v="0.0"/>
    <x v="0"/>
    <x v="0"/>
  </r>
  <r>
    <n v="3993"/>
    <x v="376"/>
    <s v="Customer payment received"/>
    <x v="273"/>
    <s v="1226.66"/>
    <x v="2"/>
    <x v="0"/>
  </r>
  <r>
    <n v="3994"/>
    <x v="376"/>
    <s v="Customer payment received"/>
    <x v="1630"/>
    <s v="0.0"/>
    <x v="0"/>
    <x v="0"/>
  </r>
  <r>
    <n v="3994"/>
    <x v="376"/>
    <s v="Customer payment received"/>
    <x v="273"/>
    <s v="27.83"/>
    <x v="2"/>
    <x v="0"/>
  </r>
  <r>
    <n v="3995"/>
    <x v="376"/>
    <s v="Customer payment received"/>
    <x v="1636"/>
    <s v="0.0"/>
    <x v="0"/>
    <x v="0"/>
  </r>
  <r>
    <n v="3995"/>
    <x v="376"/>
    <s v="Customer payment received"/>
    <x v="273"/>
    <s v="2219.86"/>
    <x v="2"/>
    <x v="0"/>
  </r>
  <r>
    <n v="3996"/>
    <x v="376"/>
    <s v="Customer payment received"/>
    <x v="1660"/>
    <s v="0.0"/>
    <x v="0"/>
    <x v="0"/>
  </r>
  <r>
    <n v="3996"/>
    <x v="376"/>
    <s v="Customer payment received"/>
    <x v="273"/>
    <s v="4925.78"/>
    <x v="2"/>
    <x v="0"/>
  </r>
  <r>
    <n v="3997"/>
    <x v="376"/>
    <s v="Customer payment received"/>
    <x v="1678"/>
    <s v="0.0"/>
    <x v="0"/>
    <x v="0"/>
  </r>
  <r>
    <n v="3997"/>
    <x v="376"/>
    <s v="Customer payment received"/>
    <x v="273"/>
    <s v="1488.7"/>
    <x v="2"/>
    <x v="0"/>
  </r>
  <r>
    <n v="3998"/>
    <x v="376"/>
    <s v="Supplier invoice received"/>
    <x v="307"/>
    <s v="0.0"/>
    <x v="9"/>
    <x v="4"/>
  </r>
  <r>
    <n v="3998"/>
    <x v="376"/>
    <s v="Supplier invoice received"/>
    <x v="308"/>
    <s v="0.0"/>
    <x v="10"/>
    <x v="0"/>
  </r>
  <r>
    <n v="3998"/>
    <x v="376"/>
    <s v="Supplier invoice received"/>
    <x v="273"/>
    <s v="2093.28"/>
    <x v="11"/>
    <x v="3"/>
  </r>
  <r>
    <n v="3999"/>
    <x v="376"/>
    <s v="Supplier invoice received"/>
    <x v="338"/>
    <s v="0.0"/>
    <x v="9"/>
    <x v="4"/>
  </r>
  <r>
    <n v="3999"/>
    <x v="376"/>
    <s v="Supplier invoice received"/>
    <x v="339"/>
    <s v="0.0"/>
    <x v="10"/>
    <x v="0"/>
  </r>
  <r>
    <n v="3999"/>
    <x v="376"/>
    <s v="Supplier invoice received"/>
    <x v="273"/>
    <s v="1159.84"/>
    <x v="11"/>
    <x v="3"/>
  </r>
  <r>
    <n v="4000"/>
    <x v="376"/>
    <s v="Supplier invoice received"/>
    <x v="297"/>
    <s v="0.0"/>
    <x v="9"/>
    <x v="4"/>
  </r>
  <r>
    <n v="4000"/>
    <x v="376"/>
    <s v="Supplier invoice received"/>
    <x v="298"/>
    <s v="0.0"/>
    <x v="10"/>
    <x v="0"/>
  </r>
  <r>
    <n v="4000"/>
    <x v="376"/>
    <s v="Supplier invoice received"/>
    <x v="273"/>
    <s v="3528.97"/>
    <x v="11"/>
    <x v="3"/>
  </r>
  <r>
    <n v="4001"/>
    <x v="376"/>
    <s v="Supplier invoice received"/>
    <x v="445"/>
    <s v="0.0"/>
    <x v="9"/>
    <x v="4"/>
  </r>
  <r>
    <n v="4001"/>
    <x v="376"/>
    <s v="Supplier invoice received"/>
    <x v="446"/>
    <s v="0.0"/>
    <x v="10"/>
    <x v="0"/>
  </r>
  <r>
    <n v="4001"/>
    <x v="376"/>
    <s v="Supplier invoice received"/>
    <x v="273"/>
    <s v="1794.11"/>
    <x v="11"/>
    <x v="3"/>
  </r>
  <r>
    <n v="4002"/>
    <x v="376"/>
    <s v="Supplier invoice received"/>
    <x v="295"/>
    <s v="0.0"/>
    <x v="9"/>
    <x v="4"/>
  </r>
  <r>
    <n v="4002"/>
    <x v="376"/>
    <s v="Supplier invoice received"/>
    <x v="296"/>
    <s v="0.0"/>
    <x v="10"/>
    <x v="0"/>
  </r>
  <r>
    <n v="4002"/>
    <x v="376"/>
    <s v="Supplier invoice received"/>
    <x v="273"/>
    <s v="1766.46"/>
    <x v="11"/>
    <x v="3"/>
  </r>
  <r>
    <n v="4003"/>
    <x v="376"/>
    <s v="Supplier invoice received"/>
    <x v="474"/>
    <s v="0.0"/>
    <x v="9"/>
    <x v="4"/>
  </r>
  <r>
    <n v="4003"/>
    <x v="376"/>
    <s v="Supplier invoice received"/>
    <x v="475"/>
    <s v="0.0"/>
    <x v="10"/>
    <x v="0"/>
  </r>
  <r>
    <n v="4003"/>
    <x v="376"/>
    <s v="Supplier invoice received"/>
    <x v="273"/>
    <s v="862.91"/>
    <x v="11"/>
    <x v="3"/>
  </r>
  <r>
    <n v="4004"/>
    <x v="376"/>
    <s v="Supplier payment made"/>
    <x v="351"/>
    <s v="0.0"/>
    <x v="11"/>
    <x v="3"/>
  </r>
  <r>
    <n v="4004"/>
    <x v="376"/>
    <s v="Supplier payment made"/>
    <x v="273"/>
    <s v="179.01"/>
    <x v="0"/>
    <x v="0"/>
  </r>
  <r>
    <n v="4005"/>
    <x v="376"/>
    <s v="Supplier payment made"/>
    <x v="335"/>
    <s v="0.0"/>
    <x v="11"/>
    <x v="3"/>
  </r>
  <r>
    <n v="4005"/>
    <x v="376"/>
    <s v="Supplier payment made"/>
    <x v="273"/>
    <s v="550.4"/>
    <x v="0"/>
    <x v="0"/>
  </r>
  <r>
    <n v="4006"/>
    <x v="376"/>
    <s v="Supplier payment made"/>
    <x v="318"/>
    <s v="0.0"/>
    <x v="11"/>
    <x v="3"/>
  </r>
  <r>
    <n v="4006"/>
    <x v="376"/>
    <s v="Supplier payment made"/>
    <x v="273"/>
    <s v="2504.23"/>
    <x v="0"/>
    <x v="0"/>
  </r>
  <r>
    <n v="4007"/>
    <x v="376"/>
    <s v="Supplier payment made"/>
    <x v="327"/>
    <s v="0.0"/>
    <x v="11"/>
    <x v="3"/>
  </r>
  <r>
    <n v="4007"/>
    <x v="376"/>
    <s v="Supplier payment made"/>
    <x v="273"/>
    <s v="1935.04"/>
    <x v="0"/>
    <x v="0"/>
  </r>
  <r>
    <n v="4008"/>
    <x v="377"/>
    <s v="Sales invoice issued"/>
    <x v="1682"/>
    <s v="0.0"/>
    <x v="2"/>
    <x v="0"/>
  </r>
  <r>
    <n v="4008"/>
    <x v="377"/>
    <s v="Sales invoice issued"/>
    <x v="273"/>
    <s v="259.45"/>
    <x v="3"/>
    <x v="2"/>
  </r>
  <r>
    <n v="4008"/>
    <x v="377"/>
    <s v="Sales invoice issued"/>
    <x v="273"/>
    <s v="19.46"/>
    <x v="4"/>
    <x v="3"/>
  </r>
  <r>
    <n v="4009"/>
    <x v="377"/>
    <s v="Sales invoice issued"/>
    <x v="1683"/>
    <s v="0.0"/>
    <x v="2"/>
    <x v="0"/>
  </r>
  <r>
    <n v="4009"/>
    <x v="377"/>
    <s v="Sales invoice issued"/>
    <x v="273"/>
    <s v="1921.82"/>
    <x v="3"/>
    <x v="2"/>
  </r>
  <r>
    <n v="4009"/>
    <x v="377"/>
    <s v="Sales invoice issued"/>
    <x v="273"/>
    <s v="144.13"/>
    <x v="4"/>
    <x v="3"/>
  </r>
  <r>
    <n v="4010"/>
    <x v="377"/>
    <s v="Sales invoice issued"/>
    <x v="1684"/>
    <s v="0.0"/>
    <x v="2"/>
    <x v="0"/>
  </r>
  <r>
    <n v="4010"/>
    <x v="377"/>
    <s v="Sales invoice issued"/>
    <x v="273"/>
    <s v="1638.75"/>
    <x v="3"/>
    <x v="2"/>
  </r>
  <r>
    <n v="4010"/>
    <x v="377"/>
    <s v="Sales invoice issued"/>
    <x v="273"/>
    <s v="122.92"/>
    <x v="4"/>
    <x v="3"/>
  </r>
  <r>
    <n v="4011"/>
    <x v="377"/>
    <s v="Sales invoice issued"/>
    <x v="1685"/>
    <s v="0.0"/>
    <x v="2"/>
    <x v="0"/>
  </r>
  <r>
    <n v="4011"/>
    <x v="377"/>
    <s v="Sales invoice issued"/>
    <x v="273"/>
    <s v="100.23"/>
    <x v="3"/>
    <x v="2"/>
  </r>
  <r>
    <n v="4011"/>
    <x v="377"/>
    <s v="Sales invoice issued"/>
    <x v="273"/>
    <s v="7.52"/>
    <x v="4"/>
    <x v="3"/>
  </r>
  <r>
    <n v="4012"/>
    <x v="377"/>
    <s v="Sales invoice issued"/>
    <x v="1686"/>
    <s v="0.0"/>
    <x v="2"/>
    <x v="0"/>
  </r>
  <r>
    <n v="4012"/>
    <x v="377"/>
    <s v="Sales invoice issued"/>
    <x v="273"/>
    <s v="3228.4"/>
    <x v="3"/>
    <x v="2"/>
  </r>
  <r>
    <n v="4012"/>
    <x v="377"/>
    <s v="Sales invoice issued"/>
    <x v="273"/>
    <s v="242.12"/>
    <x v="4"/>
    <x v="3"/>
  </r>
  <r>
    <n v="4013"/>
    <x v="377"/>
    <s v="Customer payment received"/>
    <x v="1474"/>
    <s v="0.0"/>
    <x v="0"/>
    <x v="0"/>
  </r>
  <r>
    <n v="4013"/>
    <x v="377"/>
    <s v="Customer payment received"/>
    <x v="273"/>
    <s v="3273.25"/>
    <x v="2"/>
    <x v="0"/>
  </r>
  <r>
    <n v="4014"/>
    <x v="377"/>
    <s v="Customer payment received"/>
    <x v="1476"/>
    <s v="0.0"/>
    <x v="0"/>
    <x v="0"/>
  </r>
  <r>
    <n v="4014"/>
    <x v="377"/>
    <s v="Customer payment received"/>
    <x v="273"/>
    <s v="3866.59"/>
    <x v="2"/>
    <x v="0"/>
  </r>
  <r>
    <n v="4015"/>
    <x v="377"/>
    <s v="Customer payment received"/>
    <x v="1595"/>
    <s v="0.0"/>
    <x v="0"/>
    <x v="0"/>
  </r>
  <r>
    <n v="4015"/>
    <x v="377"/>
    <s v="Customer payment received"/>
    <x v="273"/>
    <s v="2374.03"/>
    <x v="2"/>
    <x v="0"/>
  </r>
  <r>
    <n v="4016"/>
    <x v="377"/>
    <s v="Customer payment received"/>
    <x v="1605"/>
    <s v="0.0"/>
    <x v="0"/>
    <x v="0"/>
  </r>
  <r>
    <n v="4016"/>
    <x v="377"/>
    <s v="Customer payment received"/>
    <x v="273"/>
    <s v="2707.63"/>
    <x v="2"/>
    <x v="0"/>
  </r>
  <r>
    <n v="4017"/>
    <x v="377"/>
    <s v="Customer payment received"/>
    <x v="1638"/>
    <s v="0.0"/>
    <x v="0"/>
    <x v="0"/>
  </r>
  <r>
    <n v="4017"/>
    <x v="377"/>
    <s v="Customer payment received"/>
    <x v="273"/>
    <s v="1925.77"/>
    <x v="2"/>
    <x v="0"/>
  </r>
  <r>
    <n v="4018"/>
    <x v="377"/>
    <s v="Customer payment received"/>
    <x v="1670"/>
    <s v="0.0"/>
    <x v="0"/>
    <x v="0"/>
  </r>
  <r>
    <n v="4018"/>
    <x v="377"/>
    <s v="Customer payment received"/>
    <x v="273"/>
    <s v="5873.11"/>
    <x v="2"/>
    <x v="0"/>
  </r>
  <r>
    <n v="4019"/>
    <x v="377"/>
    <s v="Customer payment received"/>
    <x v="1682"/>
    <s v="0.0"/>
    <x v="0"/>
    <x v="0"/>
  </r>
  <r>
    <n v="4019"/>
    <x v="377"/>
    <s v="Customer payment received"/>
    <x v="273"/>
    <s v="278.91"/>
    <x v="2"/>
    <x v="0"/>
  </r>
  <r>
    <n v="4020"/>
    <x v="377"/>
    <s v="Supplier invoice received"/>
    <x v="301"/>
    <s v="0.0"/>
    <x v="9"/>
    <x v="4"/>
  </r>
  <r>
    <n v="4020"/>
    <x v="377"/>
    <s v="Supplier invoice received"/>
    <x v="302"/>
    <s v="0.0"/>
    <x v="10"/>
    <x v="0"/>
  </r>
  <r>
    <n v="4020"/>
    <x v="377"/>
    <s v="Supplier invoice received"/>
    <x v="273"/>
    <s v="4812.46"/>
    <x v="11"/>
    <x v="3"/>
  </r>
  <r>
    <n v="4021"/>
    <x v="377"/>
    <s v="Supplier payment made"/>
    <x v="407"/>
    <s v="0.0"/>
    <x v="11"/>
    <x v="3"/>
  </r>
  <r>
    <n v="4021"/>
    <x v="377"/>
    <s v="Supplier payment made"/>
    <x v="273"/>
    <s v="201.5"/>
    <x v="0"/>
    <x v="0"/>
  </r>
  <r>
    <n v="4022"/>
    <x v="378"/>
    <s v="Sales invoice issued"/>
    <x v="1687"/>
    <s v="0.0"/>
    <x v="2"/>
    <x v="0"/>
  </r>
  <r>
    <n v="4022"/>
    <x v="378"/>
    <s v="Sales invoice issued"/>
    <x v="273"/>
    <s v="2733.86"/>
    <x v="3"/>
    <x v="2"/>
  </r>
  <r>
    <n v="4022"/>
    <x v="378"/>
    <s v="Sales invoice issued"/>
    <x v="273"/>
    <s v="205.03"/>
    <x v="4"/>
    <x v="3"/>
  </r>
  <r>
    <n v="4023"/>
    <x v="378"/>
    <s v="Sales invoice issued"/>
    <x v="1688"/>
    <s v="0.0"/>
    <x v="2"/>
    <x v="0"/>
  </r>
  <r>
    <n v="4023"/>
    <x v="378"/>
    <s v="Sales invoice issued"/>
    <x v="273"/>
    <s v="692.52"/>
    <x v="3"/>
    <x v="2"/>
  </r>
  <r>
    <n v="4023"/>
    <x v="378"/>
    <s v="Sales invoice issued"/>
    <x v="273"/>
    <s v="51.94"/>
    <x v="4"/>
    <x v="3"/>
  </r>
  <r>
    <n v="4024"/>
    <x v="378"/>
    <s v="Sales invoice issued"/>
    <x v="1689"/>
    <s v="0.0"/>
    <x v="2"/>
    <x v="0"/>
  </r>
  <r>
    <n v="4024"/>
    <x v="378"/>
    <s v="Sales invoice issued"/>
    <x v="273"/>
    <s v="1815.68"/>
    <x v="3"/>
    <x v="2"/>
  </r>
  <r>
    <n v="4024"/>
    <x v="378"/>
    <s v="Sales invoice issued"/>
    <x v="273"/>
    <s v="136.18"/>
    <x v="4"/>
    <x v="3"/>
  </r>
  <r>
    <n v="4025"/>
    <x v="378"/>
    <s v="Sales invoice issued"/>
    <x v="1690"/>
    <s v="0.0"/>
    <x v="2"/>
    <x v="0"/>
  </r>
  <r>
    <n v="4025"/>
    <x v="378"/>
    <s v="Sales invoice issued"/>
    <x v="273"/>
    <s v="1991.01"/>
    <x v="3"/>
    <x v="2"/>
  </r>
  <r>
    <n v="4025"/>
    <x v="378"/>
    <s v="Sales invoice issued"/>
    <x v="273"/>
    <s v="149.34"/>
    <x v="4"/>
    <x v="3"/>
  </r>
  <r>
    <n v="4026"/>
    <x v="378"/>
    <s v="Sales invoice issued"/>
    <x v="1691"/>
    <s v="0.0"/>
    <x v="2"/>
    <x v="0"/>
  </r>
  <r>
    <n v="4026"/>
    <x v="378"/>
    <s v="Sales invoice issued"/>
    <x v="273"/>
    <s v="463.3"/>
    <x v="3"/>
    <x v="2"/>
  </r>
  <r>
    <n v="4026"/>
    <x v="378"/>
    <s v="Sales invoice issued"/>
    <x v="273"/>
    <s v="34.75"/>
    <x v="4"/>
    <x v="3"/>
  </r>
  <r>
    <n v="4027"/>
    <x v="378"/>
    <s v="Sales invoice issued"/>
    <x v="1692"/>
    <s v="0.0"/>
    <x v="2"/>
    <x v="0"/>
  </r>
  <r>
    <n v="4027"/>
    <x v="378"/>
    <s v="Sales invoice issued"/>
    <x v="273"/>
    <s v="3043.08"/>
    <x v="3"/>
    <x v="2"/>
  </r>
  <r>
    <n v="4027"/>
    <x v="378"/>
    <s v="Sales invoice issued"/>
    <x v="273"/>
    <s v="228.24"/>
    <x v="4"/>
    <x v="3"/>
  </r>
  <r>
    <n v="4028"/>
    <x v="378"/>
    <s v="Sales invoice issued"/>
    <x v="1693"/>
    <s v="0.0"/>
    <x v="2"/>
    <x v="0"/>
  </r>
  <r>
    <n v="4028"/>
    <x v="378"/>
    <s v="Sales invoice issued"/>
    <x v="273"/>
    <s v="1852.42"/>
    <x v="3"/>
    <x v="2"/>
  </r>
  <r>
    <n v="4028"/>
    <x v="378"/>
    <s v="Sales invoice issued"/>
    <x v="273"/>
    <s v="138.93"/>
    <x v="4"/>
    <x v="3"/>
  </r>
  <r>
    <n v="4029"/>
    <x v="378"/>
    <s v="Sales invoice issued"/>
    <x v="1694"/>
    <s v="0.0"/>
    <x v="2"/>
    <x v="0"/>
  </r>
  <r>
    <n v="4029"/>
    <x v="378"/>
    <s v="Sales invoice issued"/>
    <x v="273"/>
    <s v="1341.12"/>
    <x v="3"/>
    <x v="2"/>
  </r>
  <r>
    <n v="4029"/>
    <x v="378"/>
    <s v="Sales invoice issued"/>
    <x v="273"/>
    <s v="100.58"/>
    <x v="4"/>
    <x v="3"/>
  </r>
  <r>
    <n v="4030"/>
    <x v="378"/>
    <s v="Customer payment received"/>
    <x v="1695"/>
    <s v="0.0"/>
    <x v="0"/>
    <x v="0"/>
  </r>
  <r>
    <n v="4030"/>
    <x v="378"/>
    <s v="Customer payment received"/>
    <x v="273"/>
    <s v="441.66"/>
    <x v="2"/>
    <x v="0"/>
  </r>
  <r>
    <n v="4031"/>
    <x v="378"/>
    <s v="Customer payment received"/>
    <x v="1627"/>
    <s v="0.0"/>
    <x v="0"/>
    <x v="0"/>
  </r>
  <r>
    <n v="4031"/>
    <x v="378"/>
    <s v="Customer payment received"/>
    <x v="273"/>
    <s v="167.67"/>
    <x v="2"/>
    <x v="0"/>
  </r>
  <r>
    <n v="4032"/>
    <x v="378"/>
    <s v="Customer payment received"/>
    <x v="1188"/>
    <s v="0.0"/>
    <x v="0"/>
    <x v="0"/>
  </r>
  <r>
    <n v="4032"/>
    <x v="378"/>
    <s v="Customer payment received"/>
    <x v="273"/>
    <s v="288.28"/>
    <x v="2"/>
    <x v="0"/>
  </r>
  <r>
    <n v="4033"/>
    <x v="378"/>
    <s v="Customer payment received"/>
    <x v="1663"/>
    <s v="0.0"/>
    <x v="0"/>
    <x v="0"/>
  </r>
  <r>
    <n v="4033"/>
    <x v="378"/>
    <s v="Customer payment received"/>
    <x v="273"/>
    <s v="2902.01"/>
    <x v="2"/>
    <x v="0"/>
  </r>
  <r>
    <n v="4034"/>
    <x v="378"/>
    <s v="Customer payment received"/>
    <x v="1685"/>
    <s v="0.0"/>
    <x v="0"/>
    <x v="0"/>
  </r>
  <r>
    <n v="4034"/>
    <x v="378"/>
    <s v="Customer payment received"/>
    <x v="273"/>
    <s v="107.75"/>
    <x v="2"/>
    <x v="0"/>
  </r>
  <r>
    <n v="4035"/>
    <x v="378"/>
    <s v="Customer payment received"/>
    <x v="1691"/>
    <s v="0.0"/>
    <x v="0"/>
    <x v="0"/>
  </r>
  <r>
    <n v="4035"/>
    <x v="378"/>
    <s v="Customer payment received"/>
    <x v="273"/>
    <s v="498.05"/>
    <x v="2"/>
    <x v="0"/>
  </r>
  <r>
    <n v="4036"/>
    <x v="378"/>
    <s v="Customer payment received"/>
    <x v="1693"/>
    <s v="0.0"/>
    <x v="0"/>
    <x v="0"/>
  </r>
  <r>
    <n v="4036"/>
    <x v="378"/>
    <s v="Customer payment received"/>
    <x v="273"/>
    <s v="1991.35"/>
    <x v="2"/>
    <x v="0"/>
  </r>
  <r>
    <n v="4037"/>
    <x v="378"/>
    <s v="Supplier payment made"/>
    <x v="504"/>
    <s v="0.0"/>
    <x v="11"/>
    <x v="3"/>
  </r>
  <r>
    <n v="4037"/>
    <x v="378"/>
    <s v="Supplier payment made"/>
    <x v="273"/>
    <s v="1958.74"/>
    <x v="0"/>
    <x v="0"/>
  </r>
  <r>
    <n v="4038"/>
    <x v="378"/>
    <s v="Supplier payment made"/>
    <x v="334"/>
    <s v="0.0"/>
    <x v="11"/>
    <x v="3"/>
  </r>
  <r>
    <n v="4038"/>
    <x v="378"/>
    <s v="Supplier payment made"/>
    <x v="273"/>
    <s v="3528.97"/>
    <x v="0"/>
    <x v="0"/>
  </r>
  <r>
    <n v="4039"/>
    <x v="378"/>
    <s v="Supplier payment made"/>
    <x v="340"/>
    <s v="0.0"/>
    <x v="11"/>
    <x v="3"/>
  </r>
  <r>
    <n v="4039"/>
    <x v="378"/>
    <s v="Supplier payment made"/>
    <x v="273"/>
    <s v="1304.62"/>
    <x v="0"/>
    <x v="0"/>
  </r>
  <r>
    <n v="4040"/>
    <x v="378"/>
    <s v="Supplier payment made"/>
    <x v="336"/>
    <s v="0.0"/>
    <x v="11"/>
    <x v="3"/>
  </r>
  <r>
    <n v="4040"/>
    <x v="378"/>
    <s v="Supplier payment made"/>
    <x v="273"/>
    <s v="2093.28"/>
    <x v="0"/>
    <x v="0"/>
  </r>
  <r>
    <n v="4041"/>
    <x v="379"/>
    <s v="Sales invoice issued"/>
    <x v="1696"/>
    <s v="0.0"/>
    <x v="2"/>
    <x v="0"/>
  </r>
  <r>
    <n v="4041"/>
    <x v="379"/>
    <s v="Sales invoice issued"/>
    <x v="273"/>
    <s v="1193.43"/>
    <x v="3"/>
    <x v="2"/>
  </r>
  <r>
    <n v="4041"/>
    <x v="379"/>
    <s v="Sales invoice issued"/>
    <x v="273"/>
    <s v="89.5"/>
    <x v="4"/>
    <x v="3"/>
  </r>
  <r>
    <n v="4042"/>
    <x v="379"/>
    <s v="Sales invoice issued"/>
    <x v="1697"/>
    <s v="0.0"/>
    <x v="2"/>
    <x v="0"/>
  </r>
  <r>
    <n v="4042"/>
    <x v="379"/>
    <s v="Sales invoice issued"/>
    <x v="273"/>
    <s v="2261.15"/>
    <x v="3"/>
    <x v="2"/>
  </r>
  <r>
    <n v="4042"/>
    <x v="379"/>
    <s v="Sales invoice issued"/>
    <x v="273"/>
    <s v="169.58"/>
    <x v="4"/>
    <x v="3"/>
  </r>
  <r>
    <n v="4043"/>
    <x v="379"/>
    <s v="Sales invoice issued"/>
    <x v="1698"/>
    <s v="0.0"/>
    <x v="2"/>
    <x v="0"/>
  </r>
  <r>
    <n v="4043"/>
    <x v="379"/>
    <s v="Sales invoice issued"/>
    <x v="273"/>
    <s v="3990.9"/>
    <x v="3"/>
    <x v="2"/>
  </r>
  <r>
    <n v="4043"/>
    <x v="379"/>
    <s v="Sales invoice issued"/>
    <x v="273"/>
    <s v="299.31"/>
    <x v="4"/>
    <x v="3"/>
  </r>
  <r>
    <n v="4044"/>
    <x v="379"/>
    <s v="Sales invoice issued"/>
    <x v="1699"/>
    <s v="0.0"/>
    <x v="2"/>
    <x v="0"/>
  </r>
  <r>
    <n v="4044"/>
    <x v="379"/>
    <s v="Sales invoice issued"/>
    <x v="273"/>
    <s v="1587.7"/>
    <x v="3"/>
    <x v="2"/>
  </r>
  <r>
    <n v="4044"/>
    <x v="379"/>
    <s v="Sales invoice issued"/>
    <x v="273"/>
    <s v="119.08"/>
    <x v="4"/>
    <x v="3"/>
  </r>
  <r>
    <n v="4045"/>
    <x v="379"/>
    <s v="Customer payment received"/>
    <x v="1643"/>
    <s v="0.0"/>
    <x v="0"/>
    <x v="0"/>
  </r>
  <r>
    <n v="4045"/>
    <x v="379"/>
    <s v="Customer payment received"/>
    <x v="273"/>
    <s v="2167.83"/>
    <x v="2"/>
    <x v="0"/>
  </r>
  <r>
    <n v="4046"/>
    <x v="379"/>
    <s v="Customer payment received"/>
    <x v="1650"/>
    <s v="0.0"/>
    <x v="0"/>
    <x v="0"/>
  </r>
  <r>
    <n v="4046"/>
    <x v="379"/>
    <s v="Customer payment received"/>
    <x v="273"/>
    <s v="2396.97"/>
    <x v="2"/>
    <x v="0"/>
  </r>
  <r>
    <n v="4047"/>
    <x v="379"/>
    <s v="Supplier invoice received"/>
    <x v="383"/>
    <s v="0.0"/>
    <x v="9"/>
    <x v="4"/>
  </r>
  <r>
    <n v="4047"/>
    <x v="379"/>
    <s v="Supplier invoice received"/>
    <x v="384"/>
    <s v="0.0"/>
    <x v="10"/>
    <x v="0"/>
  </r>
  <r>
    <n v="4047"/>
    <x v="379"/>
    <s v="Supplier invoice received"/>
    <x v="273"/>
    <s v="3868.8"/>
    <x v="11"/>
    <x v="3"/>
  </r>
  <r>
    <n v="4048"/>
    <x v="379"/>
    <s v="Supplier invoice received"/>
    <x v="332"/>
    <s v="0.0"/>
    <x v="9"/>
    <x v="4"/>
  </r>
  <r>
    <n v="4048"/>
    <x v="379"/>
    <s v="Supplier invoice received"/>
    <x v="333"/>
    <s v="0.0"/>
    <x v="10"/>
    <x v="0"/>
  </r>
  <r>
    <n v="4048"/>
    <x v="379"/>
    <s v="Supplier invoice received"/>
    <x v="273"/>
    <s v="1023.42"/>
    <x v="11"/>
    <x v="3"/>
  </r>
  <r>
    <n v="4049"/>
    <x v="379"/>
    <s v="Supplier payment made"/>
    <x v="496"/>
    <s v="0.0"/>
    <x v="11"/>
    <x v="3"/>
  </r>
  <r>
    <n v="4049"/>
    <x v="379"/>
    <s v="Supplier payment made"/>
    <x v="273"/>
    <s v="7227.44"/>
    <x v="0"/>
    <x v="0"/>
  </r>
  <r>
    <n v="4050"/>
    <x v="379"/>
    <s v="Supplier payment made"/>
    <x v="334"/>
    <s v="0.0"/>
    <x v="11"/>
    <x v="3"/>
  </r>
  <r>
    <n v="4050"/>
    <x v="379"/>
    <s v="Supplier payment made"/>
    <x v="273"/>
    <s v="3528.97"/>
    <x v="0"/>
    <x v="0"/>
  </r>
  <r>
    <n v="4051"/>
    <x v="380"/>
    <s v="Sales invoice issued"/>
    <x v="1700"/>
    <s v="0.0"/>
    <x v="2"/>
    <x v="0"/>
  </r>
  <r>
    <n v="4051"/>
    <x v="380"/>
    <s v="Sales invoice issued"/>
    <x v="273"/>
    <s v="854.93"/>
    <x v="3"/>
    <x v="2"/>
  </r>
  <r>
    <n v="4051"/>
    <x v="380"/>
    <s v="Sales invoice issued"/>
    <x v="273"/>
    <s v="64.12"/>
    <x v="4"/>
    <x v="3"/>
  </r>
  <r>
    <n v="4052"/>
    <x v="380"/>
    <s v="Sales invoice issued"/>
    <x v="1701"/>
    <s v="0.0"/>
    <x v="2"/>
    <x v="0"/>
  </r>
  <r>
    <n v="4052"/>
    <x v="380"/>
    <s v="Sales invoice issued"/>
    <x v="273"/>
    <s v="1265.86"/>
    <x v="3"/>
    <x v="2"/>
  </r>
  <r>
    <n v="4052"/>
    <x v="380"/>
    <s v="Sales invoice issued"/>
    <x v="273"/>
    <s v="94.93"/>
    <x v="4"/>
    <x v="3"/>
  </r>
  <r>
    <n v="4053"/>
    <x v="380"/>
    <s v="Sales invoice issued"/>
    <x v="1702"/>
    <s v="0.0"/>
    <x v="2"/>
    <x v="0"/>
  </r>
  <r>
    <n v="4053"/>
    <x v="380"/>
    <s v="Sales invoice issued"/>
    <x v="273"/>
    <s v="1245.05"/>
    <x v="3"/>
    <x v="2"/>
  </r>
  <r>
    <n v="4053"/>
    <x v="380"/>
    <s v="Sales invoice issued"/>
    <x v="273"/>
    <s v="93.38"/>
    <x v="4"/>
    <x v="3"/>
  </r>
  <r>
    <n v="4054"/>
    <x v="380"/>
    <s v="Sales invoice issued"/>
    <x v="1703"/>
    <s v="0.0"/>
    <x v="2"/>
    <x v="0"/>
  </r>
  <r>
    <n v="4054"/>
    <x v="380"/>
    <s v="Sales invoice issued"/>
    <x v="273"/>
    <s v="1832.96"/>
    <x v="3"/>
    <x v="2"/>
  </r>
  <r>
    <n v="4054"/>
    <x v="380"/>
    <s v="Sales invoice issued"/>
    <x v="273"/>
    <s v="137.48"/>
    <x v="4"/>
    <x v="3"/>
  </r>
  <r>
    <n v="4055"/>
    <x v="380"/>
    <s v="Sales invoice issued"/>
    <x v="1704"/>
    <s v="0.0"/>
    <x v="2"/>
    <x v="0"/>
  </r>
  <r>
    <n v="4055"/>
    <x v="380"/>
    <s v="Sales invoice issued"/>
    <x v="273"/>
    <s v="2182.62"/>
    <x v="3"/>
    <x v="2"/>
  </r>
  <r>
    <n v="4055"/>
    <x v="380"/>
    <s v="Sales invoice issued"/>
    <x v="273"/>
    <s v="163.69"/>
    <x v="4"/>
    <x v="3"/>
  </r>
  <r>
    <n v="4056"/>
    <x v="380"/>
    <s v="Customer payment received"/>
    <x v="1549"/>
    <s v="0.0"/>
    <x v="0"/>
    <x v="0"/>
  </r>
  <r>
    <n v="4056"/>
    <x v="380"/>
    <s v="Customer payment received"/>
    <x v="273"/>
    <s v="4585.82"/>
    <x v="2"/>
    <x v="0"/>
  </r>
  <r>
    <n v="4057"/>
    <x v="380"/>
    <s v="Customer payment received"/>
    <x v="1559"/>
    <s v="0.0"/>
    <x v="0"/>
    <x v="0"/>
  </r>
  <r>
    <n v="4057"/>
    <x v="380"/>
    <s v="Customer payment received"/>
    <x v="273"/>
    <s v="1177.19"/>
    <x v="2"/>
    <x v="0"/>
  </r>
  <r>
    <n v="4058"/>
    <x v="380"/>
    <s v="Customer payment received"/>
    <x v="1573"/>
    <s v="0.0"/>
    <x v="0"/>
    <x v="0"/>
  </r>
  <r>
    <n v="4058"/>
    <x v="380"/>
    <s v="Customer payment received"/>
    <x v="273"/>
    <s v="2706.36"/>
    <x v="2"/>
    <x v="0"/>
  </r>
  <r>
    <n v="4059"/>
    <x v="380"/>
    <s v="Customer payment received"/>
    <x v="1631"/>
    <s v="0.0"/>
    <x v="0"/>
    <x v="0"/>
  </r>
  <r>
    <n v="4059"/>
    <x v="380"/>
    <s v="Customer payment received"/>
    <x v="273"/>
    <s v="2307.02"/>
    <x v="2"/>
    <x v="0"/>
  </r>
  <r>
    <n v="4060"/>
    <x v="380"/>
    <s v="Customer payment received"/>
    <x v="1639"/>
    <s v="0.0"/>
    <x v="0"/>
    <x v="0"/>
  </r>
  <r>
    <n v="4060"/>
    <x v="380"/>
    <s v="Customer payment received"/>
    <x v="273"/>
    <s v="5162.61"/>
    <x v="2"/>
    <x v="0"/>
  </r>
  <r>
    <n v="4061"/>
    <x v="380"/>
    <s v="Customer payment received"/>
    <x v="1672"/>
    <s v="0.0"/>
    <x v="0"/>
    <x v="0"/>
  </r>
  <r>
    <n v="4061"/>
    <x v="380"/>
    <s v="Customer payment received"/>
    <x v="273"/>
    <s v="1468.41"/>
    <x v="2"/>
    <x v="0"/>
  </r>
  <r>
    <n v="4062"/>
    <x v="380"/>
    <s v="Customer payment received"/>
    <x v="1705"/>
    <s v="0.0"/>
    <x v="0"/>
    <x v="0"/>
  </r>
  <r>
    <n v="4062"/>
    <x v="380"/>
    <s v="Customer payment received"/>
    <x v="273"/>
    <s v="705.01"/>
    <x v="2"/>
    <x v="0"/>
  </r>
  <r>
    <n v="4063"/>
    <x v="380"/>
    <s v="Supplier invoice received"/>
    <x v="299"/>
    <s v="0.0"/>
    <x v="9"/>
    <x v="4"/>
  </r>
  <r>
    <n v="4063"/>
    <x v="380"/>
    <s v="Supplier invoice received"/>
    <x v="300"/>
    <s v="0.0"/>
    <x v="10"/>
    <x v="0"/>
  </r>
  <r>
    <n v="4063"/>
    <x v="380"/>
    <s v="Supplier invoice received"/>
    <x v="273"/>
    <s v="2918.17"/>
    <x v="11"/>
    <x v="3"/>
  </r>
  <r>
    <n v="4064"/>
    <x v="380"/>
    <s v="Supplier invoice received"/>
    <x v="297"/>
    <s v="0.0"/>
    <x v="9"/>
    <x v="4"/>
  </r>
  <r>
    <n v="4064"/>
    <x v="380"/>
    <s v="Supplier invoice received"/>
    <x v="298"/>
    <s v="0.0"/>
    <x v="10"/>
    <x v="0"/>
  </r>
  <r>
    <n v="4064"/>
    <x v="380"/>
    <s v="Supplier invoice received"/>
    <x v="273"/>
    <s v="3528.97"/>
    <x v="11"/>
    <x v="3"/>
  </r>
  <r>
    <n v="4065"/>
    <x v="380"/>
    <s v="Supplier invoice received"/>
    <x v="325"/>
    <s v="0.0"/>
    <x v="9"/>
    <x v="4"/>
  </r>
  <r>
    <n v="4065"/>
    <x v="380"/>
    <s v="Supplier invoice received"/>
    <x v="326"/>
    <s v="0.0"/>
    <x v="10"/>
    <x v="0"/>
  </r>
  <r>
    <n v="4065"/>
    <x v="380"/>
    <s v="Supplier invoice received"/>
    <x v="273"/>
    <s v="1304.62"/>
    <x v="11"/>
    <x v="3"/>
  </r>
  <r>
    <n v="4066"/>
    <x v="380"/>
    <s v="Supplier invoice received"/>
    <x v="359"/>
    <s v="0.0"/>
    <x v="9"/>
    <x v="4"/>
  </r>
  <r>
    <n v="4066"/>
    <x v="380"/>
    <s v="Supplier invoice received"/>
    <x v="360"/>
    <s v="0.0"/>
    <x v="10"/>
    <x v="0"/>
  </r>
  <r>
    <n v="4066"/>
    <x v="380"/>
    <s v="Supplier invoice received"/>
    <x v="273"/>
    <s v="1591.54"/>
    <x v="11"/>
    <x v="3"/>
  </r>
  <r>
    <n v="4067"/>
    <x v="380"/>
    <s v="Supplier payment made"/>
    <x v="466"/>
    <s v="0.0"/>
    <x v="11"/>
    <x v="3"/>
  </r>
  <r>
    <n v="4067"/>
    <x v="380"/>
    <s v="Supplier payment made"/>
    <x v="273"/>
    <s v="748.26"/>
    <x v="0"/>
    <x v="0"/>
  </r>
  <r>
    <n v="4068"/>
    <x v="381"/>
    <s v="Sales invoice issued"/>
    <x v="1706"/>
    <s v="0.0"/>
    <x v="2"/>
    <x v="0"/>
  </r>
  <r>
    <n v="4068"/>
    <x v="381"/>
    <s v="Sales invoice issued"/>
    <x v="273"/>
    <s v="3108.23"/>
    <x v="3"/>
    <x v="2"/>
  </r>
  <r>
    <n v="4068"/>
    <x v="381"/>
    <s v="Sales invoice issued"/>
    <x v="273"/>
    <s v="233.13"/>
    <x v="4"/>
    <x v="3"/>
  </r>
  <r>
    <n v="4069"/>
    <x v="381"/>
    <s v="Sales invoice issued"/>
    <x v="1707"/>
    <s v="0.0"/>
    <x v="2"/>
    <x v="0"/>
  </r>
  <r>
    <n v="4069"/>
    <x v="381"/>
    <s v="Sales invoice issued"/>
    <x v="273"/>
    <s v="41.53"/>
    <x v="3"/>
    <x v="2"/>
  </r>
  <r>
    <n v="4069"/>
    <x v="381"/>
    <s v="Sales invoice issued"/>
    <x v="273"/>
    <s v="3.11"/>
    <x v="4"/>
    <x v="3"/>
  </r>
  <r>
    <n v="4070"/>
    <x v="381"/>
    <s v="Sales invoice issued"/>
    <x v="1708"/>
    <s v="0.0"/>
    <x v="2"/>
    <x v="0"/>
  </r>
  <r>
    <n v="4070"/>
    <x v="381"/>
    <s v="Sales invoice issued"/>
    <x v="273"/>
    <s v="3254.1"/>
    <x v="3"/>
    <x v="2"/>
  </r>
  <r>
    <n v="4070"/>
    <x v="381"/>
    <s v="Sales invoice issued"/>
    <x v="273"/>
    <s v="244.06"/>
    <x v="4"/>
    <x v="3"/>
  </r>
  <r>
    <n v="4071"/>
    <x v="381"/>
    <s v="Sales invoice issued"/>
    <x v="1709"/>
    <s v="0.0"/>
    <x v="2"/>
    <x v="0"/>
  </r>
  <r>
    <n v="4071"/>
    <x v="381"/>
    <s v="Sales invoice issued"/>
    <x v="273"/>
    <s v="502.26"/>
    <x v="3"/>
    <x v="2"/>
  </r>
  <r>
    <n v="4071"/>
    <x v="381"/>
    <s v="Sales invoice issued"/>
    <x v="273"/>
    <s v="37.67"/>
    <x v="4"/>
    <x v="3"/>
  </r>
  <r>
    <n v="4072"/>
    <x v="381"/>
    <s v="Sales invoice issued"/>
    <x v="1710"/>
    <s v="0.0"/>
    <x v="2"/>
    <x v="0"/>
  </r>
  <r>
    <n v="4072"/>
    <x v="381"/>
    <s v="Sales invoice issued"/>
    <x v="273"/>
    <s v="1699.32"/>
    <x v="3"/>
    <x v="2"/>
  </r>
  <r>
    <n v="4072"/>
    <x v="381"/>
    <s v="Sales invoice issued"/>
    <x v="273"/>
    <s v="127.45"/>
    <x v="4"/>
    <x v="3"/>
  </r>
  <r>
    <n v="4073"/>
    <x v="381"/>
    <s v="Customer payment received"/>
    <x v="1564"/>
    <s v="0.0"/>
    <x v="0"/>
    <x v="0"/>
  </r>
  <r>
    <n v="4073"/>
    <x v="381"/>
    <s v="Customer payment received"/>
    <x v="273"/>
    <s v="3381.38"/>
    <x v="2"/>
    <x v="0"/>
  </r>
  <r>
    <n v="4074"/>
    <x v="381"/>
    <s v="Customer payment received"/>
    <x v="1622"/>
    <s v="0.0"/>
    <x v="0"/>
    <x v="0"/>
  </r>
  <r>
    <n v="4074"/>
    <x v="381"/>
    <s v="Customer payment received"/>
    <x v="273"/>
    <s v="6357.26"/>
    <x v="2"/>
    <x v="0"/>
  </r>
  <r>
    <n v="4075"/>
    <x v="381"/>
    <s v="Customer payment received"/>
    <x v="1665"/>
    <s v="0.0"/>
    <x v="0"/>
    <x v="0"/>
  </r>
  <r>
    <n v="4075"/>
    <x v="381"/>
    <s v="Customer payment received"/>
    <x v="273"/>
    <s v="2741.29"/>
    <x v="2"/>
    <x v="0"/>
  </r>
  <r>
    <n v="4076"/>
    <x v="381"/>
    <s v="Customer payment received"/>
    <x v="1681"/>
    <s v="0.0"/>
    <x v="0"/>
    <x v="0"/>
  </r>
  <r>
    <n v="4076"/>
    <x v="381"/>
    <s v="Customer payment received"/>
    <x v="273"/>
    <s v="4160.14"/>
    <x v="2"/>
    <x v="0"/>
  </r>
  <r>
    <n v="4077"/>
    <x v="381"/>
    <s v="Customer payment received"/>
    <x v="1684"/>
    <s v="0.0"/>
    <x v="0"/>
    <x v="0"/>
  </r>
  <r>
    <n v="4077"/>
    <x v="381"/>
    <s v="Customer payment received"/>
    <x v="273"/>
    <s v="1761.67"/>
    <x v="2"/>
    <x v="0"/>
  </r>
  <r>
    <n v="4078"/>
    <x v="381"/>
    <s v="Supplier invoice received"/>
    <x v="441"/>
    <s v="0.0"/>
    <x v="9"/>
    <x v="4"/>
  </r>
  <r>
    <n v="4078"/>
    <x v="381"/>
    <s v="Supplier invoice received"/>
    <x v="442"/>
    <s v="0.0"/>
    <x v="10"/>
    <x v="0"/>
  </r>
  <r>
    <n v="4078"/>
    <x v="381"/>
    <s v="Supplier invoice received"/>
    <x v="273"/>
    <s v="179.01"/>
    <x v="11"/>
    <x v="3"/>
  </r>
  <r>
    <n v="4079"/>
    <x v="381"/>
    <s v="Supplier invoice received"/>
    <x v="305"/>
    <s v="0.0"/>
    <x v="9"/>
    <x v="4"/>
  </r>
  <r>
    <n v="4079"/>
    <x v="381"/>
    <s v="Supplier invoice received"/>
    <x v="306"/>
    <s v="0.0"/>
    <x v="10"/>
    <x v="0"/>
  </r>
  <r>
    <n v="4079"/>
    <x v="381"/>
    <s v="Supplier invoice received"/>
    <x v="273"/>
    <s v="276.32"/>
    <x v="11"/>
    <x v="3"/>
  </r>
  <r>
    <n v="4080"/>
    <x v="381"/>
    <s v="Supplier invoice received"/>
    <x v="443"/>
    <s v="0.0"/>
    <x v="9"/>
    <x v="4"/>
  </r>
  <r>
    <n v="4080"/>
    <x v="381"/>
    <s v="Supplier invoice received"/>
    <x v="444"/>
    <s v="0.0"/>
    <x v="10"/>
    <x v="0"/>
  </r>
  <r>
    <n v="4080"/>
    <x v="381"/>
    <s v="Supplier invoice received"/>
    <x v="273"/>
    <s v="748.26"/>
    <x v="11"/>
    <x v="3"/>
  </r>
  <r>
    <n v="4081"/>
    <x v="381"/>
    <s v="Supplier invoice received"/>
    <x v="366"/>
    <s v="0.0"/>
    <x v="9"/>
    <x v="4"/>
  </r>
  <r>
    <n v="4081"/>
    <x v="381"/>
    <s v="Supplier invoice received"/>
    <x v="367"/>
    <s v="0.0"/>
    <x v="10"/>
    <x v="0"/>
  </r>
  <r>
    <n v="4081"/>
    <x v="381"/>
    <s v="Supplier invoice received"/>
    <x v="273"/>
    <s v="201.5"/>
    <x v="11"/>
    <x v="3"/>
  </r>
  <r>
    <n v="4082"/>
    <x v="381"/>
    <s v="Supplier invoice received"/>
    <x v="284"/>
    <s v="0.0"/>
    <x v="9"/>
    <x v="4"/>
  </r>
  <r>
    <n v="4082"/>
    <x v="381"/>
    <s v="Supplier invoice received"/>
    <x v="285"/>
    <s v="0.0"/>
    <x v="10"/>
    <x v="0"/>
  </r>
  <r>
    <n v="4082"/>
    <x v="381"/>
    <s v="Supplier invoice received"/>
    <x v="273"/>
    <s v="9336.67"/>
    <x v="11"/>
    <x v="3"/>
  </r>
  <r>
    <n v="4083"/>
    <x v="381"/>
    <s v="Supplier invoice received"/>
    <x v="357"/>
    <s v="0.0"/>
    <x v="9"/>
    <x v="4"/>
  </r>
  <r>
    <n v="4083"/>
    <x v="381"/>
    <s v="Supplier invoice received"/>
    <x v="358"/>
    <s v="0.0"/>
    <x v="10"/>
    <x v="0"/>
  </r>
  <r>
    <n v="4083"/>
    <x v="381"/>
    <s v="Supplier invoice received"/>
    <x v="273"/>
    <s v="1958.74"/>
    <x v="11"/>
    <x v="3"/>
  </r>
  <r>
    <n v="4084"/>
    <x v="381"/>
    <s v="Supplier invoice received"/>
    <x v="448"/>
    <s v="0.0"/>
    <x v="9"/>
    <x v="4"/>
  </r>
  <r>
    <n v="4084"/>
    <x v="381"/>
    <s v="Supplier invoice received"/>
    <x v="449"/>
    <s v="0.0"/>
    <x v="10"/>
    <x v="0"/>
  </r>
  <r>
    <n v="4084"/>
    <x v="381"/>
    <s v="Supplier invoice received"/>
    <x v="273"/>
    <s v="7227.44"/>
    <x v="11"/>
    <x v="3"/>
  </r>
  <r>
    <n v="4085"/>
    <x v="381"/>
    <s v="Supplier invoice received"/>
    <x v="307"/>
    <s v="0.0"/>
    <x v="9"/>
    <x v="4"/>
  </r>
  <r>
    <n v="4085"/>
    <x v="381"/>
    <s v="Supplier invoice received"/>
    <x v="308"/>
    <s v="0.0"/>
    <x v="10"/>
    <x v="0"/>
  </r>
  <r>
    <n v="4085"/>
    <x v="381"/>
    <s v="Supplier invoice received"/>
    <x v="273"/>
    <s v="2093.28"/>
    <x v="11"/>
    <x v="3"/>
  </r>
  <r>
    <n v="4086"/>
    <x v="381"/>
    <s v="Supplier invoice received"/>
    <x v="338"/>
    <s v="0.0"/>
    <x v="9"/>
    <x v="4"/>
  </r>
  <r>
    <n v="4086"/>
    <x v="381"/>
    <s v="Supplier invoice received"/>
    <x v="339"/>
    <s v="0.0"/>
    <x v="10"/>
    <x v="0"/>
  </r>
  <r>
    <n v="4086"/>
    <x v="381"/>
    <s v="Supplier invoice received"/>
    <x v="273"/>
    <s v="1159.84"/>
    <x v="11"/>
    <x v="3"/>
  </r>
  <r>
    <n v="4087"/>
    <x v="381"/>
    <s v="Supplier invoice received"/>
    <x v="301"/>
    <s v="0.0"/>
    <x v="9"/>
    <x v="4"/>
  </r>
  <r>
    <n v="4087"/>
    <x v="381"/>
    <s v="Supplier invoice received"/>
    <x v="302"/>
    <s v="0.0"/>
    <x v="10"/>
    <x v="0"/>
  </r>
  <r>
    <n v="4087"/>
    <x v="381"/>
    <s v="Supplier invoice received"/>
    <x v="273"/>
    <s v="4812.46"/>
    <x v="11"/>
    <x v="3"/>
  </r>
  <r>
    <n v="4088"/>
    <x v="381"/>
    <s v="Supplier payment made"/>
    <x v="327"/>
    <s v="0.0"/>
    <x v="11"/>
    <x v="3"/>
  </r>
  <r>
    <n v="4088"/>
    <x v="381"/>
    <s v="Supplier payment made"/>
    <x v="273"/>
    <s v="1935.04"/>
    <x v="0"/>
    <x v="0"/>
  </r>
  <r>
    <n v="4089"/>
    <x v="381"/>
    <s v="Supplier payment made"/>
    <x v="350"/>
    <s v="0.0"/>
    <x v="11"/>
    <x v="3"/>
  </r>
  <r>
    <n v="4089"/>
    <x v="381"/>
    <s v="Supplier payment made"/>
    <x v="273"/>
    <s v="1794.11"/>
    <x v="0"/>
    <x v="0"/>
  </r>
  <r>
    <n v="4090"/>
    <x v="381"/>
    <s v="Supplier payment made"/>
    <x v="292"/>
    <s v="0.0"/>
    <x v="11"/>
    <x v="3"/>
  </r>
  <r>
    <n v="4090"/>
    <x v="381"/>
    <s v="Supplier payment made"/>
    <x v="273"/>
    <s v="1766.46"/>
    <x v="0"/>
    <x v="0"/>
  </r>
  <r>
    <n v="4091"/>
    <x v="382"/>
    <s v="Sales invoice issued"/>
    <x v="1711"/>
    <s v="0.0"/>
    <x v="2"/>
    <x v="0"/>
  </r>
  <r>
    <n v="4091"/>
    <x v="382"/>
    <s v="Sales invoice issued"/>
    <x v="273"/>
    <s v="2390.37"/>
    <x v="3"/>
    <x v="2"/>
  </r>
  <r>
    <n v="4091"/>
    <x v="382"/>
    <s v="Sales invoice issued"/>
    <x v="273"/>
    <s v="179.28"/>
    <x v="4"/>
    <x v="3"/>
  </r>
  <r>
    <n v="4092"/>
    <x v="382"/>
    <s v="Sales invoice issued"/>
    <x v="1712"/>
    <s v="0.0"/>
    <x v="2"/>
    <x v="0"/>
  </r>
  <r>
    <n v="4092"/>
    <x v="382"/>
    <s v="Sales invoice issued"/>
    <x v="273"/>
    <s v="183.68"/>
    <x v="3"/>
    <x v="2"/>
  </r>
  <r>
    <n v="4092"/>
    <x v="382"/>
    <s v="Sales invoice issued"/>
    <x v="273"/>
    <s v="13.77"/>
    <x v="4"/>
    <x v="3"/>
  </r>
  <r>
    <n v="4093"/>
    <x v="382"/>
    <s v="Sales invoice issued"/>
    <x v="1713"/>
    <s v="0.0"/>
    <x v="2"/>
    <x v="0"/>
  </r>
  <r>
    <n v="4093"/>
    <x v="382"/>
    <s v="Sales invoice issued"/>
    <x v="273"/>
    <s v="2833.8"/>
    <x v="3"/>
    <x v="2"/>
  </r>
  <r>
    <n v="4093"/>
    <x v="382"/>
    <s v="Sales invoice issued"/>
    <x v="273"/>
    <s v="212.53"/>
    <x v="4"/>
    <x v="3"/>
  </r>
  <r>
    <n v="4094"/>
    <x v="382"/>
    <s v="Sales invoice issued"/>
    <x v="1714"/>
    <s v="0.0"/>
    <x v="2"/>
    <x v="0"/>
  </r>
  <r>
    <n v="4094"/>
    <x v="382"/>
    <s v="Sales invoice issued"/>
    <x v="273"/>
    <s v="2772.79"/>
    <x v="3"/>
    <x v="2"/>
  </r>
  <r>
    <n v="4094"/>
    <x v="382"/>
    <s v="Sales invoice issued"/>
    <x v="273"/>
    <s v="207.96"/>
    <x v="4"/>
    <x v="3"/>
  </r>
  <r>
    <n v="4095"/>
    <x v="382"/>
    <s v="Sales invoice issued"/>
    <x v="1337"/>
    <s v="0.0"/>
    <x v="2"/>
    <x v="0"/>
  </r>
  <r>
    <n v="4095"/>
    <x v="382"/>
    <s v="Sales invoice issued"/>
    <x v="273"/>
    <s v="1024.29"/>
    <x v="3"/>
    <x v="2"/>
  </r>
  <r>
    <n v="4095"/>
    <x v="382"/>
    <s v="Sales invoice issued"/>
    <x v="273"/>
    <s v="76.83"/>
    <x v="4"/>
    <x v="3"/>
  </r>
  <r>
    <n v="4096"/>
    <x v="382"/>
    <s v="Sales invoice issued"/>
    <x v="1715"/>
    <s v="0.0"/>
    <x v="2"/>
    <x v="0"/>
  </r>
  <r>
    <n v="4096"/>
    <x v="382"/>
    <s v="Sales invoice issued"/>
    <x v="273"/>
    <s v="2899.02"/>
    <x v="3"/>
    <x v="2"/>
  </r>
  <r>
    <n v="4096"/>
    <x v="382"/>
    <s v="Sales invoice issued"/>
    <x v="273"/>
    <s v="217.43"/>
    <x v="4"/>
    <x v="3"/>
  </r>
  <r>
    <n v="4097"/>
    <x v="382"/>
    <s v="Customer payment received"/>
    <x v="1579"/>
    <s v="0.0"/>
    <x v="0"/>
    <x v="0"/>
  </r>
  <r>
    <n v="4097"/>
    <x v="382"/>
    <s v="Customer payment received"/>
    <x v="273"/>
    <s v="2553.83"/>
    <x v="2"/>
    <x v="0"/>
  </r>
  <r>
    <n v="4098"/>
    <x v="382"/>
    <s v="Customer payment received"/>
    <x v="1586"/>
    <s v="0.0"/>
    <x v="0"/>
    <x v="0"/>
  </r>
  <r>
    <n v="4098"/>
    <x v="382"/>
    <s v="Customer payment received"/>
    <x v="273"/>
    <s v="83.27"/>
    <x v="2"/>
    <x v="0"/>
  </r>
  <r>
    <n v="4099"/>
    <x v="382"/>
    <s v="Customer payment received"/>
    <x v="1702"/>
    <s v="0.0"/>
    <x v="0"/>
    <x v="0"/>
  </r>
  <r>
    <n v="4099"/>
    <x v="382"/>
    <s v="Customer payment received"/>
    <x v="273"/>
    <s v="1338.43"/>
    <x v="2"/>
    <x v="0"/>
  </r>
  <r>
    <n v="4100"/>
    <x v="382"/>
    <s v="Customer payment received"/>
    <x v="1715"/>
    <s v="0.0"/>
    <x v="0"/>
    <x v="0"/>
  </r>
  <r>
    <n v="4100"/>
    <x v="382"/>
    <s v="Customer payment received"/>
    <x v="273"/>
    <s v="3116.45"/>
    <x v="2"/>
    <x v="0"/>
  </r>
  <r>
    <n v="4101"/>
    <x v="382"/>
    <s v="Supplier invoice received"/>
    <x v="303"/>
    <s v="0.0"/>
    <x v="9"/>
    <x v="4"/>
  </r>
  <r>
    <n v="4101"/>
    <x v="382"/>
    <s v="Supplier invoice received"/>
    <x v="304"/>
    <s v="0.0"/>
    <x v="10"/>
    <x v="0"/>
  </r>
  <r>
    <n v="4101"/>
    <x v="382"/>
    <s v="Supplier invoice received"/>
    <x v="273"/>
    <s v="550.4"/>
    <x v="11"/>
    <x v="3"/>
  </r>
  <r>
    <n v="4102"/>
    <x v="382"/>
    <s v="Supplier invoice received"/>
    <x v="295"/>
    <s v="0.0"/>
    <x v="9"/>
    <x v="4"/>
  </r>
  <r>
    <n v="4102"/>
    <x v="382"/>
    <s v="Supplier invoice received"/>
    <x v="296"/>
    <s v="0.0"/>
    <x v="10"/>
    <x v="0"/>
  </r>
  <r>
    <n v="4102"/>
    <x v="382"/>
    <s v="Supplier invoice received"/>
    <x v="273"/>
    <s v="1766.46"/>
    <x v="11"/>
    <x v="3"/>
  </r>
  <r>
    <n v="4103"/>
    <x v="382"/>
    <s v="Supplier payment made"/>
    <x v="309"/>
    <s v="0.0"/>
    <x v="11"/>
    <x v="3"/>
  </r>
  <r>
    <n v="4103"/>
    <x v="382"/>
    <s v="Supplier payment made"/>
    <x v="273"/>
    <s v="4812.46"/>
    <x v="0"/>
    <x v="0"/>
  </r>
  <r>
    <n v="4104"/>
    <x v="382"/>
    <s v="Supplier payment made"/>
    <x v="313"/>
    <s v="0.0"/>
    <x v="11"/>
    <x v="3"/>
  </r>
  <r>
    <n v="4104"/>
    <x v="382"/>
    <s v="Supplier payment made"/>
    <x v="273"/>
    <s v="1159.84"/>
    <x v="0"/>
    <x v="0"/>
  </r>
  <r>
    <n v="4105"/>
    <x v="382"/>
    <s v="Supplier payment made"/>
    <x v="351"/>
    <s v="0.0"/>
    <x v="11"/>
    <x v="3"/>
  </r>
  <r>
    <n v="4105"/>
    <x v="382"/>
    <s v="Supplier payment made"/>
    <x v="273"/>
    <s v="179.01"/>
    <x v="0"/>
    <x v="0"/>
  </r>
  <r>
    <n v="4106"/>
    <x v="383"/>
    <s v="Sales invoice issued"/>
    <x v="1716"/>
    <s v="0.0"/>
    <x v="2"/>
    <x v="0"/>
  </r>
  <r>
    <n v="4106"/>
    <x v="383"/>
    <s v="Sales invoice issued"/>
    <x v="273"/>
    <s v="263.12"/>
    <x v="3"/>
    <x v="2"/>
  </r>
  <r>
    <n v="4106"/>
    <x v="383"/>
    <s v="Sales invoice issued"/>
    <x v="273"/>
    <s v="19.73"/>
    <x v="4"/>
    <x v="3"/>
  </r>
  <r>
    <n v="4107"/>
    <x v="383"/>
    <s v="Sales invoice issued"/>
    <x v="1717"/>
    <s v="0.0"/>
    <x v="2"/>
    <x v="0"/>
  </r>
  <r>
    <n v="4107"/>
    <x v="383"/>
    <s v="Sales invoice issued"/>
    <x v="273"/>
    <s v="736.4"/>
    <x v="3"/>
    <x v="2"/>
  </r>
  <r>
    <n v="4107"/>
    <x v="383"/>
    <s v="Sales invoice issued"/>
    <x v="273"/>
    <s v="55.23"/>
    <x v="4"/>
    <x v="3"/>
  </r>
  <r>
    <n v="4108"/>
    <x v="383"/>
    <s v="Sales invoice issued"/>
    <x v="1718"/>
    <s v="0.0"/>
    <x v="2"/>
    <x v="0"/>
  </r>
  <r>
    <n v="4108"/>
    <x v="383"/>
    <s v="Sales invoice issued"/>
    <x v="273"/>
    <s v="1006.56"/>
    <x v="3"/>
    <x v="2"/>
  </r>
  <r>
    <n v="4108"/>
    <x v="383"/>
    <s v="Sales invoice issued"/>
    <x v="273"/>
    <s v="75.49"/>
    <x v="4"/>
    <x v="3"/>
  </r>
  <r>
    <n v="4109"/>
    <x v="383"/>
    <s v="Sales invoice issued"/>
    <x v="1719"/>
    <s v="0.0"/>
    <x v="2"/>
    <x v="0"/>
  </r>
  <r>
    <n v="4109"/>
    <x v="383"/>
    <s v="Sales invoice issued"/>
    <x v="273"/>
    <s v="3061.25"/>
    <x v="3"/>
    <x v="2"/>
  </r>
  <r>
    <n v="4109"/>
    <x v="383"/>
    <s v="Sales invoice issued"/>
    <x v="273"/>
    <s v="229.59"/>
    <x v="4"/>
    <x v="3"/>
  </r>
  <r>
    <n v="4110"/>
    <x v="383"/>
    <s v="Customer payment received"/>
    <x v="1495"/>
    <s v="0.0"/>
    <x v="0"/>
    <x v="0"/>
  </r>
  <r>
    <n v="4110"/>
    <x v="383"/>
    <s v="Customer payment received"/>
    <x v="273"/>
    <s v="3687.18"/>
    <x v="2"/>
    <x v="0"/>
  </r>
  <r>
    <n v="4111"/>
    <x v="383"/>
    <s v="Customer payment received"/>
    <x v="1603"/>
    <s v="0.0"/>
    <x v="0"/>
    <x v="0"/>
  </r>
  <r>
    <n v="4111"/>
    <x v="383"/>
    <s v="Customer payment received"/>
    <x v="273"/>
    <s v="5103.03"/>
    <x v="2"/>
    <x v="0"/>
  </r>
  <r>
    <n v="4112"/>
    <x v="383"/>
    <s v="Customer payment received"/>
    <x v="1657"/>
    <s v="0.0"/>
    <x v="0"/>
    <x v="0"/>
  </r>
  <r>
    <n v="4112"/>
    <x v="383"/>
    <s v="Customer payment received"/>
    <x v="273"/>
    <s v="224.85"/>
    <x v="2"/>
    <x v="0"/>
  </r>
  <r>
    <n v="4113"/>
    <x v="383"/>
    <s v="Customer payment received"/>
    <x v="1683"/>
    <s v="0.0"/>
    <x v="0"/>
    <x v="0"/>
  </r>
  <r>
    <n v="4113"/>
    <x v="383"/>
    <s v="Customer payment received"/>
    <x v="273"/>
    <s v="2065.95"/>
    <x v="2"/>
    <x v="0"/>
  </r>
  <r>
    <n v="4114"/>
    <x v="383"/>
    <s v="Customer payment received"/>
    <x v="1698"/>
    <s v="0.0"/>
    <x v="0"/>
    <x v="0"/>
  </r>
  <r>
    <n v="4114"/>
    <x v="383"/>
    <s v="Customer payment received"/>
    <x v="273"/>
    <s v="4290.21"/>
    <x v="2"/>
    <x v="0"/>
  </r>
  <r>
    <n v="4115"/>
    <x v="383"/>
    <s v="Customer payment received"/>
    <x v="1717"/>
    <s v="0.0"/>
    <x v="0"/>
    <x v="0"/>
  </r>
  <r>
    <n v="4115"/>
    <x v="383"/>
    <s v="Customer payment received"/>
    <x v="273"/>
    <s v="791.63"/>
    <x v="2"/>
    <x v="0"/>
  </r>
  <r>
    <n v="4116"/>
    <x v="384"/>
    <s v="Payroll processed"/>
    <x v="535"/>
    <s v="0.0"/>
    <x v="5"/>
    <x v="4"/>
  </r>
  <r>
    <n v="4116"/>
    <x v="384"/>
    <s v="Payroll processed"/>
    <x v="536"/>
    <s v="0.0"/>
    <x v="6"/>
    <x v="4"/>
  </r>
  <r>
    <n v="4116"/>
    <x v="384"/>
    <s v="Payroll processed"/>
    <x v="273"/>
    <s v="17968.47"/>
    <x v="0"/>
    <x v="0"/>
  </r>
  <r>
    <n v="4116"/>
    <x v="384"/>
    <s v="Payroll processed"/>
    <x v="273"/>
    <s v="4069.27"/>
    <x v="7"/>
    <x v="3"/>
  </r>
  <r>
    <n v="4116"/>
    <x v="384"/>
    <s v="Payroll processed"/>
    <x v="273"/>
    <s v="881.51"/>
    <x v="8"/>
    <x v="3"/>
  </r>
  <r>
    <n v="4117"/>
    <x v="384"/>
    <s v="Sales invoice issued"/>
    <x v="1720"/>
    <s v="0.0"/>
    <x v="2"/>
    <x v="0"/>
  </r>
  <r>
    <n v="4117"/>
    <x v="384"/>
    <s v="Sales invoice issued"/>
    <x v="273"/>
    <s v="3496.33"/>
    <x v="3"/>
    <x v="2"/>
  </r>
  <r>
    <n v="4117"/>
    <x v="384"/>
    <s v="Sales invoice issued"/>
    <x v="273"/>
    <s v="262.23"/>
    <x v="4"/>
    <x v="3"/>
  </r>
  <r>
    <n v="4118"/>
    <x v="384"/>
    <s v="Sales invoice issued"/>
    <x v="1721"/>
    <s v="0.0"/>
    <x v="2"/>
    <x v="0"/>
  </r>
  <r>
    <n v="4118"/>
    <x v="384"/>
    <s v="Sales invoice issued"/>
    <x v="273"/>
    <s v="432.45"/>
    <x v="3"/>
    <x v="2"/>
  </r>
  <r>
    <n v="4118"/>
    <x v="384"/>
    <s v="Sales invoice issued"/>
    <x v="273"/>
    <s v="32.43"/>
    <x v="4"/>
    <x v="3"/>
  </r>
  <r>
    <n v="4119"/>
    <x v="384"/>
    <s v="Sales invoice issued"/>
    <x v="1722"/>
    <s v="0.0"/>
    <x v="2"/>
    <x v="0"/>
  </r>
  <r>
    <n v="4119"/>
    <x v="384"/>
    <s v="Sales invoice issued"/>
    <x v="273"/>
    <s v="866.3"/>
    <x v="3"/>
    <x v="2"/>
  </r>
  <r>
    <n v="4119"/>
    <x v="384"/>
    <s v="Sales invoice issued"/>
    <x v="273"/>
    <s v="64.98"/>
    <x v="4"/>
    <x v="3"/>
  </r>
  <r>
    <n v="4120"/>
    <x v="384"/>
    <s v="Customer payment received"/>
    <x v="1543"/>
    <s v="0.0"/>
    <x v="0"/>
    <x v="0"/>
  </r>
  <r>
    <n v="4120"/>
    <x v="384"/>
    <s v="Customer payment received"/>
    <x v="273"/>
    <s v="3204.32"/>
    <x v="2"/>
    <x v="0"/>
  </r>
  <r>
    <n v="4121"/>
    <x v="384"/>
    <s v="Customer payment received"/>
    <x v="1676"/>
    <s v="0.0"/>
    <x v="0"/>
    <x v="0"/>
  </r>
  <r>
    <n v="4121"/>
    <x v="384"/>
    <s v="Customer payment received"/>
    <x v="273"/>
    <s v="4183.19"/>
    <x v="2"/>
    <x v="0"/>
  </r>
  <r>
    <n v="4122"/>
    <x v="384"/>
    <s v="Customer payment received"/>
    <x v="1677"/>
    <s v="0.0"/>
    <x v="0"/>
    <x v="0"/>
  </r>
  <r>
    <n v="4122"/>
    <x v="384"/>
    <s v="Customer payment received"/>
    <x v="273"/>
    <s v="6219.18"/>
    <x v="2"/>
    <x v="0"/>
  </r>
  <r>
    <n v="4123"/>
    <x v="384"/>
    <s v="Customer payment received"/>
    <x v="1708"/>
    <s v="0.0"/>
    <x v="0"/>
    <x v="0"/>
  </r>
  <r>
    <n v="4123"/>
    <x v="384"/>
    <s v="Customer payment received"/>
    <x v="273"/>
    <s v="3498.16"/>
    <x v="2"/>
    <x v="0"/>
  </r>
  <r>
    <n v="4124"/>
    <x v="384"/>
    <s v="Supplier invoice received"/>
    <x v="299"/>
    <s v="0.0"/>
    <x v="9"/>
    <x v="4"/>
  </r>
  <r>
    <n v="4124"/>
    <x v="384"/>
    <s v="Supplier invoice received"/>
    <x v="300"/>
    <s v="0.0"/>
    <x v="10"/>
    <x v="0"/>
  </r>
  <r>
    <n v="4124"/>
    <x v="384"/>
    <s v="Supplier invoice received"/>
    <x v="273"/>
    <s v="2918.17"/>
    <x v="11"/>
    <x v="3"/>
  </r>
  <r>
    <n v="4125"/>
    <x v="384"/>
    <s v="Supplier payment made"/>
    <x v="515"/>
    <s v="0.0"/>
    <x v="11"/>
    <x v="3"/>
  </r>
  <r>
    <n v="4125"/>
    <x v="384"/>
    <s v="Supplier payment made"/>
    <x v="273"/>
    <s v="862.91"/>
    <x v="0"/>
    <x v="0"/>
  </r>
  <r>
    <n v="4126"/>
    <x v="384"/>
    <s v="Supplier payment made"/>
    <x v="340"/>
    <s v="0.0"/>
    <x v="11"/>
    <x v="3"/>
  </r>
  <r>
    <n v="4126"/>
    <x v="384"/>
    <s v="Supplier payment made"/>
    <x v="273"/>
    <s v="1304.62"/>
    <x v="0"/>
    <x v="0"/>
  </r>
  <r>
    <n v="4127"/>
    <x v="384"/>
    <s v="Supplier payment made"/>
    <x v="424"/>
    <s v="0.0"/>
    <x v="11"/>
    <x v="3"/>
  </r>
  <r>
    <n v="4127"/>
    <x v="384"/>
    <s v="Supplier payment made"/>
    <x v="273"/>
    <s v="1591.54"/>
    <x v="0"/>
    <x v="0"/>
  </r>
  <r>
    <n v="4128"/>
    <x v="385"/>
    <s v="Sales invoice issued"/>
    <x v="1723"/>
    <s v="0.0"/>
    <x v="2"/>
    <x v="0"/>
  </r>
  <r>
    <n v="4128"/>
    <x v="385"/>
    <s v="Sales invoice issued"/>
    <x v="273"/>
    <s v="1677.33"/>
    <x v="3"/>
    <x v="2"/>
  </r>
  <r>
    <n v="4128"/>
    <x v="385"/>
    <s v="Sales invoice issued"/>
    <x v="273"/>
    <s v="125.8"/>
    <x v="4"/>
    <x v="3"/>
  </r>
  <r>
    <n v="4129"/>
    <x v="385"/>
    <s v="Sales invoice issued"/>
    <x v="1724"/>
    <s v="0.0"/>
    <x v="2"/>
    <x v="0"/>
  </r>
  <r>
    <n v="4129"/>
    <x v="385"/>
    <s v="Sales invoice issued"/>
    <x v="273"/>
    <s v="1676.59"/>
    <x v="3"/>
    <x v="2"/>
  </r>
  <r>
    <n v="4129"/>
    <x v="385"/>
    <s v="Sales invoice issued"/>
    <x v="273"/>
    <s v="125.75"/>
    <x v="4"/>
    <x v="3"/>
  </r>
  <r>
    <n v="4130"/>
    <x v="385"/>
    <s v="Sales invoice issued"/>
    <x v="1725"/>
    <s v="0.0"/>
    <x v="2"/>
    <x v="0"/>
  </r>
  <r>
    <n v="4130"/>
    <x v="385"/>
    <s v="Sales invoice issued"/>
    <x v="273"/>
    <s v="1004.64"/>
    <x v="3"/>
    <x v="2"/>
  </r>
  <r>
    <n v="4130"/>
    <x v="385"/>
    <s v="Sales invoice issued"/>
    <x v="273"/>
    <s v="75.34"/>
    <x v="4"/>
    <x v="3"/>
  </r>
  <r>
    <n v="4131"/>
    <x v="385"/>
    <s v="Sales invoice issued"/>
    <x v="1726"/>
    <s v="0.0"/>
    <x v="2"/>
    <x v="0"/>
  </r>
  <r>
    <n v="4131"/>
    <x v="385"/>
    <s v="Sales invoice issued"/>
    <x v="273"/>
    <s v="641.96"/>
    <x v="3"/>
    <x v="2"/>
  </r>
  <r>
    <n v="4131"/>
    <x v="385"/>
    <s v="Sales invoice issued"/>
    <x v="273"/>
    <s v="48.15"/>
    <x v="4"/>
    <x v="3"/>
  </r>
  <r>
    <n v="4132"/>
    <x v="385"/>
    <s v="Sales invoice issued"/>
    <x v="1727"/>
    <s v="0.0"/>
    <x v="2"/>
    <x v="0"/>
  </r>
  <r>
    <n v="4132"/>
    <x v="385"/>
    <s v="Sales invoice issued"/>
    <x v="273"/>
    <s v="902.94"/>
    <x v="3"/>
    <x v="2"/>
  </r>
  <r>
    <n v="4132"/>
    <x v="385"/>
    <s v="Sales invoice issued"/>
    <x v="273"/>
    <s v="67.72"/>
    <x v="4"/>
    <x v="3"/>
  </r>
  <r>
    <n v="4133"/>
    <x v="385"/>
    <s v="Sales invoice issued"/>
    <x v="753"/>
    <s v="0.0"/>
    <x v="2"/>
    <x v="0"/>
  </r>
  <r>
    <n v="4133"/>
    <x v="385"/>
    <s v="Sales invoice issued"/>
    <x v="273"/>
    <s v="549.5"/>
    <x v="3"/>
    <x v="2"/>
  </r>
  <r>
    <n v="4133"/>
    <x v="385"/>
    <s v="Sales invoice issued"/>
    <x v="273"/>
    <s v="41.21"/>
    <x v="4"/>
    <x v="3"/>
  </r>
  <r>
    <n v="4134"/>
    <x v="385"/>
    <s v="Sales invoice issued"/>
    <x v="1728"/>
    <s v="0.0"/>
    <x v="2"/>
    <x v="0"/>
  </r>
  <r>
    <n v="4134"/>
    <x v="385"/>
    <s v="Sales invoice issued"/>
    <x v="273"/>
    <s v="1673.41"/>
    <x v="3"/>
    <x v="2"/>
  </r>
  <r>
    <n v="4134"/>
    <x v="385"/>
    <s v="Sales invoice issued"/>
    <x v="273"/>
    <s v="125.51"/>
    <x v="4"/>
    <x v="3"/>
  </r>
  <r>
    <n v="4135"/>
    <x v="385"/>
    <s v="Sales invoice issued"/>
    <x v="1729"/>
    <s v="0.0"/>
    <x v="2"/>
    <x v="0"/>
  </r>
  <r>
    <n v="4135"/>
    <x v="385"/>
    <s v="Sales invoice issued"/>
    <x v="273"/>
    <s v="2002.02"/>
    <x v="3"/>
    <x v="2"/>
  </r>
  <r>
    <n v="4135"/>
    <x v="385"/>
    <s v="Sales invoice issued"/>
    <x v="273"/>
    <s v="150.15"/>
    <x v="4"/>
    <x v="3"/>
  </r>
  <r>
    <n v="4136"/>
    <x v="385"/>
    <s v="Sales invoice issued"/>
    <x v="1730"/>
    <s v="0.0"/>
    <x v="2"/>
    <x v="0"/>
  </r>
  <r>
    <n v="4136"/>
    <x v="385"/>
    <s v="Sales invoice issued"/>
    <x v="273"/>
    <s v="3492.16"/>
    <x v="3"/>
    <x v="2"/>
  </r>
  <r>
    <n v="4136"/>
    <x v="385"/>
    <s v="Sales invoice issued"/>
    <x v="273"/>
    <s v="261.92"/>
    <x v="4"/>
    <x v="3"/>
  </r>
  <r>
    <n v="4137"/>
    <x v="385"/>
    <s v="Sales invoice issued"/>
    <x v="1731"/>
    <s v="0.0"/>
    <x v="2"/>
    <x v="0"/>
  </r>
  <r>
    <n v="4137"/>
    <x v="385"/>
    <s v="Sales invoice issued"/>
    <x v="273"/>
    <s v="2485.86"/>
    <x v="3"/>
    <x v="2"/>
  </r>
  <r>
    <n v="4137"/>
    <x v="385"/>
    <s v="Sales invoice issued"/>
    <x v="273"/>
    <s v="186.45"/>
    <x v="4"/>
    <x v="3"/>
  </r>
  <r>
    <n v="4138"/>
    <x v="385"/>
    <s v="Customer payment received"/>
    <x v="1729"/>
    <s v="0.0"/>
    <x v="0"/>
    <x v="0"/>
  </r>
  <r>
    <n v="4138"/>
    <x v="385"/>
    <s v="Customer payment received"/>
    <x v="273"/>
    <s v="2152.17"/>
    <x v="2"/>
    <x v="0"/>
  </r>
  <r>
    <n v="4139"/>
    <x v="385"/>
    <s v="Supplier invoice received"/>
    <x v="301"/>
    <s v="0.0"/>
    <x v="9"/>
    <x v="4"/>
  </r>
  <r>
    <n v="4139"/>
    <x v="385"/>
    <s v="Supplier invoice received"/>
    <x v="302"/>
    <s v="0.0"/>
    <x v="10"/>
    <x v="0"/>
  </r>
  <r>
    <n v="4139"/>
    <x v="385"/>
    <s v="Supplier invoice received"/>
    <x v="273"/>
    <s v="4812.46"/>
    <x v="11"/>
    <x v="3"/>
  </r>
  <r>
    <n v="4140"/>
    <x v="385"/>
    <s v="Supplier payment made"/>
    <x v="392"/>
    <s v="0.0"/>
    <x v="11"/>
    <x v="3"/>
  </r>
  <r>
    <n v="4140"/>
    <x v="385"/>
    <s v="Supplier payment made"/>
    <x v="273"/>
    <s v="1023.42"/>
    <x v="0"/>
    <x v="0"/>
  </r>
  <r>
    <n v="4141"/>
    <x v="386"/>
    <s v="Sales invoice issued"/>
    <x v="1732"/>
    <s v="0.0"/>
    <x v="2"/>
    <x v="0"/>
  </r>
  <r>
    <n v="4141"/>
    <x v="386"/>
    <s v="Sales invoice issued"/>
    <x v="273"/>
    <s v="1719.93"/>
    <x v="3"/>
    <x v="2"/>
  </r>
  <r>
    <n v="4141"/>
    <x v="386"/>
    <s v="Sales invoice issued"/>
    <x v="273"/>
    <s v="128.99"/>
    <x v="4"/>
    <x v="3"/>
  </r>
  <r>
    <n v="4142"/>
    <x v="386"/>
    <s v="Sales invoice issued"/>
    <x v="1733"/>
    <s v="0.0"/>
    <x v="2"/>
    <x v="0"/>
  </r>
  <r>
    <n v="4142"/>
    <x v="386"/>
    <s v="Sales invoice issued"/>
    <x v="273"/>
    <s v="691.38"/>
    <x v="3"/>
    <x v="2"/>
  </r>
  <r>
    <n v="4142"/>
    <x v="386"/>
    <s v="Sales invoice issued"/>
    <x v="273"/>
    <s v="51.86"/>
    <x v="4"/>
    <x v="3"/>
  </r>
  <r>
    <n v="4143"/>
    <x v="386"/>
    <s v="Sales invoice issued"/>
    <x v="1734"/>
    <s v="0.0"/>
    <x v="2"/>
    <x v="0"/>
  </r>
  <r>
    <n v="4143"/>
    <x v="386"/>
    <s v="Sales invoice issued"/>
    <x v="273"/>
    <s v="1721.21"/>
    <x v="3"/>
    <x v="2"/>
  </r>
  <r>
    <n v="4143"/>
    <x v="386"/>
    <s v="Sales invoice issued"/>
    <x v="273"/>
    <s v="129.09"/>
    <x v="4"/>
    <x v="3"/>
  </r>
  <r>
    <n v="4144"/>
    <x v="386"/>
    <s v="Sales invoice issued"/>
    <x v="1735"/>
    <s v="0.0"/>
    <x v="2"/>
    <x v="0"/>
  </r>
  <r>
    <n v="4144"/>
    <x v="386"/>
    <s v="Sales invoice issued"/>
    <x v="273"/>
    <s v="1540.31"/>
    <x v="3"/>
    <x v="2"/>
  </r>
  <r>
    <n v="4144"/>
    <x v="386"/>
    <s v="Sales invoice issued"/>
    <x v="273"/>
    <s v="115.52"/>
    <x v="4"/>
    <x v="3"/>
  </r>
  <r>
    <n v="4145"/>
    <x v="386"/>
    <s v="Sales invoice issued"/>
    <x v="1736"/>
    <s v="0.0"/>
    <x v="2"/>
    <x v="0"/>
  </r>
  <r>
    <n v="4145"/>
    <x v="386"/>
    <s v="Sales invoice issued"/>
    <x v="273"/>
    <s v="3522.87"/>
    <x v="3"/>
    <x v="2"/>
  </r>
  <r>
    <n v="4145"/>
    <x v="386"/>
    <s v="Sales invoice issued"/>
    <x v="273"/>
    <s v="264.23"/>
    <x v="4"/>
    <x v="3"/>
  </r>
  <r>
    <n v="4146"/>
    <x v="386"/>
    <s v="Sales invoice issued"/>
    <x v="1737"/>
    <s v="0.0"/>
    <x v="2"/>
    <x v="0"/>
  </r>
  <r>
    <n v="4146"/>
    <x v="386"/>
    <s v="Sales invoice issued"/>
    <x v="273"/>
    <s v="2828.94"/>
    <x v="3"/>
    <x v="2"/>
  </r>
  <r>
    <n v="4146"/>
    <x v="386"/>
    <s v="Sales invoice issued"/>
    <x v="273"/>
    <s v="212.16"/>
    <x v="4"/>
    <x v="3"/>
  </r>
  <r>
    <n v="4147"/>
    <x v="386"/>
    <s v="Customer payment received"/>
    <x v="1442"/>
    <s v="0.0"/>
    <x v="0"/>
    <x v="0"/>
  </r>
  <r>
    <n v="4147"/>
    <x v="386"/>
    <s v="Customer payment received"/>
    <x v="273"/>
    <s v="1733.94"/>
    <x v="2"/>
    <x v="0"/>
  </r>
  <r>
    <n v="4148"/>
    <x v="386"/>
    <s v="Customer payment received"/>
    <x v="1542"/>
    <s v="0.0"/>
    <x v="0"/>
    <x v="0"/>
  </r>
  <r>
    <n v="4148"/>
    <x v="386"/>
    <s v="Customer payment received"/>
    <x v="273"/>
    <s v="3333.58"/>
    <x v="2"/>
    <x v="0"/>
  </r>
  <r>
    <n v="4149"/>
    <x v="386"/>
    <s v="Customer payment received"/>
    <x v="1568"/>
    <s v="0.0"/>
    <x v="0"/>
    <x v="0"/>
  </r>
  <r>
    <n v="4149"/>
    <x v="386"/>
    <s v="Customer payment received"/>
    <x v="273"/>
    <s v="4722.9"/>
    <x v="2"/>
    <x v="0"/>
  </r>
  <r>
    <n v="4150"/>
    <x v="386"/>
    <s v="Customer payment received"/>
    <x v="1572"/>
    <s v="0.0"/>
    <x v="0"/>
    <x v="0"/>
  </r>
  <r>
    <n v="4150"/>
    <x v="386"/>
    <s v="Customer payment received"/>
    <x v="273"/>
    <s v="2423.01"/>
    <x v="2"/>
    <x v="0"/>
  </r>
  <r>
    <n v="4151"/>
    <x v="386"/>
    <s v="Customer payment received"/>
    <x v="1578"/>
    <s v="0.0"/>
    <x v="0"/>
    <x v="0"/>
  </r>
  <r>
    <n v="4151"/>
    <x v="386"/>
    <s v="Customer payment received"/>
    <x v="273"/>
    <s v="404.2"/>
    <x v="2"/>
    <x v="0"/>
  </r>
  <r>
    <n v="4152"/>
    <x v="386"/>
    <s v="Customer payment received"/>
    <x v="1596"/>
    <s v="0.0"/>
    <x v="0"/>
    <x v="0"/>
  </r>
  <r>
    <n v="4152"/>
    <x v="386"/>
    <s v="Customer payment received"/>
    <x v="273"/>
    <s v="3022.27"/>
    <x v="2"/>
    <x v="0"/>
  </r>
  <r>
    <n v="4153"/>
    <x v="386"/>
    <s v="Customer payment received"/>
    <x v="1601"/>
    <s v="0.0"/>
    <x v="0"/>
    <x v="0"/>
  </r>
  <r>
    <n v="4153"/>
    <x v="386"/>
    <s v="Customer payment received"/>
    <x v="273"/>
    <s v="467.34"/>
    <x v="2"/>
    <x v="0"/>
  </r>
  <r>
    <n v="4154"/>
    <x v="386"/>
    <s v="Customer payment received"/>
    <x v="1625"/>
    <s v="0.0"/>
    <x v="0"/>
    <x v="0"/>
  </r>
  <r>
    <n v="4154"/>
    <x v="386"/>
    <s v="Customer payment received"/>
    <x v="273"/>
    <s v="1549.41"/>
    <x v="2"/>
    <x v="0"/>
  </r>
  <r>
    <n v="4155"/>
    <x v="386"/>
    <s v="Customer payment received"/>
    <x v="1656"/>
    <s v="0.0"/>
    <x v="0"/>
    <x v="0"/>
  </r>
  <r>
    <n v="4155"/>
    <x v="386"/>
    <s v="Customer payment received"/>
    <x v="273"/>
    <s v="1105.42"/>
    <x v="2"/>
    <x v="0"/>
  </r>
  <r>
    <n v="4156"/>
    <x v="386"/>
    <s v="Customer payment received"/>
    <x v="1661"/>
    <s v="0.0"/>
    <x v="0"/>
    <x v="0"/>
  </r>
  <r>
    <n v="4156"/>
    <x v="386"/>
    <s v="Customer payment received"/>
    <x v="273"/>
    <s v="3539.37"/>
    <x v="2"/>
    <x v="0"/>
  </r>
  <r>
    <n v="4157"/>
    <x v="386"/>
    <s v="Customer payment received"/>
    <x v="1738"/>
    <s v="0.0"/>
    <x v="0"/>
    <x v="0"/>
  </r>
  <r>
    <n v="4157"/>
    <x v="386"/>
    <s v="Customer payment received"/>
    <x v="273"/>
    <s v="2281.59"/>
    <x v="2"/>
    <x v="0"/>
  </r>
  <r>
    <n v="4158"/>
    <x v="386"/>
    <s v="Customer payment received"/>
    <x v="1716"/>
    <s v="0.0"/>
    <x v="0"/>
    <x v="0"/>
  </r>
  <r>
    <n v="4158"/>
    <x v="386"/>
    <s v="Customer payment received"/>
    <x v="273"/>
    <s v="282.85"/>
    <x v="2"/>
    <x v="0"/>
  </r>
  <r>
    <n v="4159"/>
    <x v="386"/>
    <s v="Customer payment received"/>
    <x v="1727"/>
    <s v="0.0"/>
    <x v="0"/>
    <x v="0"/>
  </r>
  <r>
    <n v="4159"/>
    <x v="386"/>
    <s v="Customer payment received"/>
    <x v="273"/>
    <s v="970.66"/>
    <x v="2"/>
    <x v="0"/>
  </r>
  <r>
    <n v="4160"/>
    <x v="386"/>
    <s v="Supplier invoice received"/>
    <x v="330"/>
    <s v="0.0"/>
    <x v="9"/>
    <x v="4"/>
  </r>
  <r>
    <n v="4160"/>
    <x v="386"/>
    <s v="Supplier invoice received"/>
    <x v="331"/>
    <s v="0.0"/>
    <x v="10"/>
    <x v="0"/>
  </r>
  <r>
    <n v="4160"/>
    <x v="386"/>
    <s v="Supplier invoice received"/>
    <x v="273"/>
    <s v="1935.04"/>
    <x v="11"/>
    <x v="3"/>
  </r>
  <r>
    <n v="4161"/>
    <x v="386"/>
    <s v="Supplier invoice received"/>
    <x v="366"/>
    <s v="0.0"/>
    <x v="9"/>
    <x v="4"/>
  </r>
  <r>
    <n v="4161"/>
    <x v="386"/>
    <s v="Supplier invoice received"/>
    <x v="367"/>
    <s v="0.0"/>
    <x v="10"/>
    <x v="0"/>
  </r>
  <r>
    <n v="4161"/>
    <x v="386"/>
    <s v="Supplier invoice received"/>
    <x v="273"/>
    <s v="201.5"/>
    <x v="11"/>
    <x v="3"/>
  </r>
  <r>
    <n v="4162"/>
    <x v="386"/>
    <s v="Supplier invoice received"/>
    <x v="303"/>
    <s v="0.0"/>
    <x v="9"/>
    <x v="4"/>
  </r>
  <r>
    <n v="4162"/>
    <x v="386"/>
    <s v="Supplier invoice received"/>
    <x v="304"/>
    <s v="0.0"/>
    <x v="10"/>
    <x v="0"/>
  </r>
  <r>
    <n v="4162"/>
    <x v="386"/>
    <s v="Supplier invoice received"/>
    <x v="273"/>
    <s v="550.4"/>
    <x v="11"/>
    <x v="3"/>
  </r>
  <r>
    <n v="4163"/>
    <x v="386"/>
    <s v="Supplier payment made"/>
    <x v="318"/>
    <s v="0.0"/>
    <x v="11"/>
    <x v="3"/>
  </r>
  <r>
    <n v="4163"/>
    <x v="386"/>
    <s v="Supplier payment made"/>
    <x v="273"/>
    <s v="2504.23"/>
    <x v="0"/>
    <x v="0"/>
  </r>
  <r>
    <n v="4164"/>
    <x v="386"/>
    <s v="Supplier payment made"/>
    <x v="466"/>
    <s v="0.0"/>
    <x v="11"/>
    <x v="3"/>
  </r>
  <r>
    <n v="4164"/>
    <x v="386"/>
    <s v="Supplier payment made"/>
    <x v="273"/>
    <s v="748.26"/>
    <x v="0"/>
    <x v="0"/>
  </r>
  <r>
    <n v="4165"/>
    <x v="386"/>
    <s v="Supplier payment made"/>
    <x v="407"/>
    <s v="0.0"/>
    <x v="11"/>
    <x v="3"/>
  </r>
  <r>
    <n v="4165"/>
    <x v="386"/>
    <s v="Supplier payment made"/>
    <x v="273"/>
    <s v="201.5"/>
    <x v="0"/>
    <x v="0"/>
  </r>
  <r>
    <n v="4166"/>
    <x v="387"/>
    <s v="Sales invoice issued"/>
    <x v="1739"/>
    <s v="0.0"/>
    <x v="2"/>
    <x v="0"/>
  </r>
  <r>
    <n v="4166"/>
    <x v="387"/>
    <s v="Sales invoice issued"/>
    <x v="273"/>
    <s v="421.36"/>
    <x v="3"/>
    <x v="2"/>
  </r>
  <r>
    <n v="4166"/>
    <x v="387"/>
    <s v="Sales invoice issued"/>
    <x v="273"/>
    <s v="31.6"/>
    <x v="4"/>
    <x v="3"/>
  </r>
  <r>
    <n v="4167"/>
    <x v="387"/>
    <s v="Sales invoice issued"/>
    <x v="1740"/>
    <s v="0.0"/>
    <x v="2"/>
    <x v="0"/>
  </r>
  <r>
    <n v="4167"/>
    <x v="387"/>
    <s v="Sales invoice issued"/>
    <x v="273"/>
    <s v="1373.7"/>
    <x v="3"/>
    <x v="2"/>
  </r>
  <r>
    <n v="4167"/>
    <x v="387"/>
    <s v="Sales invoice issued"/>
    <x v="273"/>
    <s v="103.03"/>
    <x v="4"/>
    <x v="3"/>
  </r>
  <r>
    <n v="4168"/>
    <x v="387"/>
    <s v="Sales invoice issued"/>
    <x v="1741"/>
    <s v="0.0"/>
    <x v="2"/>
    <x v="0"/>
  </r>
  <r>
    <n v="4168"/>
    <x v="387"/>
    <s v="Sales invoice issued"/>
    <x v="273"/>
    <s v="2481.85"/>
    <x v="3"/>
    <x v="2"/>
  </r>
  <r>
    <n v="4168"/>
    <x v="387"/>
    <s v="Sales invoice issued"/>
    <x v="273"/>
    <s v="186.13"/>
    <x v="4"/>
    <x v="3"/>
  </r>
  <r>
    <n v="4169"/>
    <x v="387"/>
    <s v="Sales invoice issued"/>
    <x v="1742"/>
    <s v="0.0"/>
    <x v="2"/>
    <x v="0"/>
  </r>
  <r>
    <n v="4169"/>
    <x v="387"/>
    <s v="Sales invoice issued"/>
    <x v="273"/>
    <s v="191.55"/>
    <x v="3"/>
    <x v="2"/>
  </r>
  <r>
    <n v="4169"/>
    <x v="387"/>
    <s v="Sales invoice issued"/>
    <x v="273"/>
    <s v="14.37"/>
    <x v="4"/>
    <x v="3"/>
  </r>
  <r>
    <n v="4170"/>
    <x v="387"/>
    <s v="Customer payment received"/>
    <x v="1560"/>
    <s v="0.0"/>
    <x v="0"/>
    <x v="0"/>
  </r>
  <r>
    <n v="4170"/>
    <x v="387"/>
    <s v="Customer payment received"/>
    <x v="273"/>
    <s v="995.04"/>
    <x v="2"/>
    <x v="0"/>
  </r>
  <r>
    <n v="4171"/>
    <x v="387"/>
    <s v="Customer payment received"/>
    <x v="1598"/>
    <s v="0.0"/>
    <x v="0"/>
    <x v="0"/>
  </r>
  <r>
    <n v="4171"/>
    <x v="387"/>
    <s v="Customer payment received"/>
    <x v="273"/>
    <s v="2993.25"/>
    <x v="2"/>
    <x v="0"/>
  </r>
  <r>
    <n v="4172"/>
    <x v="387"/>
    <s v="Customer payment received"/>
    <x v="1618"/>
    <s v="0.0"/>
    <x v="0"/>
    <x v="0"/>
  </r>
  <r>
    <n v="4172"/>
    <x v="387"/>
    <s v="Customer payment received"/>
    <x v="273"/>
    <s v="3972.97"/>
    <x v="2"/>
    <x v="0"/>
  </r>
  <r>
    <n v="4173"/>
    <x v="387"/>
    <s v="Customer payment received"/>
    <x v="1725"/>
    <s v="0.0"/>
    <x v="0"/>
    <x v="0"/>
  </r>
  <r>
    <n v="4173"/>
    <x v="387"/>
    <s v="Customer payment received"/>
    <x v="273"/>
    <s v="1079.98"/>
    <x v="2"/>
    <x v="0"/>
  </r>
  <r>
    <n v="4174"/>
    <x v="387"/>
    <s v="Customer payment received"/>
    <x v="1743"/>
    <s v="0.0"/>
    <x v="0"/>
    <x v="0"/>
  </r>
  <r>
    <n v="4174"/>
    <x v="387"/>
    <s v="Customer payment received"/>
    <x v="273"/>
    <s v="1444.51"/>
    <x v="2"/>
    <x v="0"/>
  </r>
  <r>
    <n v="4175"/>
    <x v="387"/>
    <s v="Supplier payment made"/>
    <x v="353"/>
    <s v="0.0"/>
    <x v="11"/>
    <x v="3"/>
  </r>
  <r>
    <n v="4175"/>
    <x v="387"/>
    <s v="Supplier payment made"/>
    <x v="273"/>
    <s v="2918.17"/>
    <x v="0"/>
    <x v="0"/>
  </r>
  <r>
    <n v="4176"/>
    <x v="388"/>
    <s v="Sales invoice issued"/>
    <x v="1744"/>
    <s v="0.0"/>
    <x v="2"/>
    <x v="0"/>
  </r>
  <r>
    <n v="4176"/>
    <x v="388"/>
    <s v="Sales invoice issued"/>
    <x v="273"/>
    <s v="3630.36"/>
    <x v="3"/>
    <x v="2"/>
  </r>
  <r>
    <n v="4176"/>
    <x v="388"/>
    <s v="Sales invoice issued"/>
    <x v="273"/>
    <s v="272.27"/>
    <x v="4"/>
    <x v="3"/>
  </r>
  <r>
    <n v="4177"/>
    <x v="388"/>
    <s v="Sales invoice issued"/>
    <x v="1745"/>
    <s v="0.0"/>
    <x v="2"/>
    <x v="0"/>
  </r>
  <r>
    <n v="4177"/>
    <x v="388"/>
    <s v="Sales invoice issued"/>
    <x v="273"/>
    <s v="1048.65"/>
    <x v="3"/>
    <x v="2"/>
  </r>
  <r>
    <n v="4177"/>
    <x v="388"/>
    <s v="Sales invoice issued"/>
    <x v="273"/>
    <s v="78.66"/>
    <x v="4"/>
    <x v="3"/>
  </r>
  <r>
    <n v="4178"/>
    <x v="388"/>
    <s v="Sales invoice issued"/>
    <x v="1746"/>
    <s v="0.0"/>
    <x v="2"/>
    <x v="0"/>
  </r>
  <r>
    <n v="4178"/>
    <x v="388"/>
    <s v="Sales invoice issued"/>
    <x v="273"/>
    <s v="203.27"/>
    <x v="3"/>
    <x v="2"/>
  </r>
  <r>
    <n v="4178"/>
    <x v="388"/>
    <s v="Sales invoice issued"/>
    <x v="273"/>
    <s v="15.25"/>
    <x v="4"/>
    <x v="3"/>
  </r>
  <r>
    <n v="4179"/>
    <x v="388"/>
    <s v="Sales invoice issued"/>
    <x v="1747"/>
    <s v="0.0"/>
    <x v="2"/>
    <x v="0"/>
  </r>
  <r>
    <n v="4179"/>
    <x v="388"/>
    <s v="Sales invoice issued"/>
    <x v="273"/>
    <s v="1998.73"/>
    <x v="3"/>
    <x v="2"/>
  </r>
  <r>
    <n v="4179"/>
    <x v="388"/>
    <s v="Sales invoice issued"/>
    <x v="273"/>
    <s v="149.91"/>
    <x v="4"/>
    <x v="3"/>
  </r>
  <r>
    <n v="4180"/>
    <x v="388"/>
    <s v="Sales invoice issued"/>
    <x v="1748"/>
    <s v="0.0"/>
    <x v="2"/>
    <x v="0"/>
  </r>
  <r>
    <n v="4180"/>
    <x v="388"/>
    <s v="Sales invoice issued"/>
    <x v="273"/>
    <s v="926.52"/>
    <x v="3"/>
    <x v="2"/>
  </r>
  <r>
    <n v="4180"/>
    <x v="388"/>
    <s v="Sales invoice issued"/>
    <x v="273"/>
    <s v="69.49"/>
    <x v="4"/>
    <x v="3"/>
  </r>
  <r>
    <n v="4181"/>
    <x v="388"/>
    <s v="Sales invoice issued"/>
    <x v="1749"/>
    <s v="0.0"/>
    <x v="2"/>
    <x v="0"/>
  </r>
  <r>
    <n v="4181"/>
    <x v="388"/>
    <s v="Sales invoice issued"/>
    <x v="273"/>
    <s v="1575.84"/>
    <x v="3"/>
    <x v="2"/>
  </r>
  <r>
    <n v="4181"/>
    <x v="388"/>
    <s v="Sales invoice issued"/>
    <x v="273"/>
    <s v="118.19"/>
    <x v="4"/>
    <x v="3"/>
  </r>
  <r>
    <n v="4182"/>
    <x v="388"/>
    <s v="Sales invoice issued"/>
    <x v="1750"/>
    <s v="0.0"/>
    <x v="2"/>
    <x v="0"/>
  </r>
  <r>
    <n v="4182"/>
    <x v="388"/>
    <s v="Sales invoice issued"/>
    <x v="273"/>
    <s v="592.02"/>
    <x v="3"/>
    <x v="2"/>
  </r>
  <r>
    <n v="4182"/>
    <x v="388"/>
    <s v="Sales invoice issued"/>
    <x v="273"/>
    <s v="44.4"/>
    <x v="4"/>
    <x v="3"/>
  </r>
  <r>
    <n v="4183"/>
    <x v="388"/>
    <s v="Sales invoice issued"/>
    <x v="1751"/>
    <s v="0.0"/>
    <x v="2"/>
    <x v="0"/>
  </r>
  <r>
    <n v="4183"/>
    <x v="388"/>
    <s v="Sales invoice issued"/>
    <x v="273"/>
    <s v="3036.18"/>
    <x v="3"/>
    <x v="2"/>
  </r>
  <r>
    <n v="4183"/>
    <x v="388"/>
    <s v="Sales invoice issued"/>
    <x v="273"/>
    <s v="227.71"/>
    <x v="4"/>
    <x v="3"/>
  </r>
  <r>
    <n v="4184"/>
    <x v="388"/>
    <s v="Sales invoice issued"/>
    <x v="1752"/>
    <s v="0.0"/>
    <x v="2"/>
    <x v="0"/>
  </r>
  <r>
    <n v="4184"/>
    <x v="388"/>
    <s v="Sales invoice issued"/>
    <x v="273"/>
    <s v="1742.91"/>
    <x v="3"/>
    <x v="2"/>
  </r>
  <r>
    <n v="4184"/>
    <x v="388"/>
    <s v="Sales invoice issued"/>
    <x v="273"/>
    <s v="130.72"/>
    <x v="4"/>
    <x v="3"/>
  </r>
  <r>
    <n v="4185"/>
    <x v="388"/>
    <s v="Sales invoice issued"/>
    <x v="1753"/>
    <s v="0.0"/>
    <x v="2"/>
    <x v="0"/>
  </r>
  <r>
    <n v="4185"/>
    <x v="388"/>
    <s v="Sales invoice issued"/>
    <x v="273"/>
    <s v="2422.69"/>
    <x v="3"/>
    <x v="2"/>
  </r>
  <r>
    <n v="4185"/>
    <x v="388"/>
    <s v="Sales invoice issued"/>
    <x v="273"/>
    <s v="181.7"/>
    <x v="4"/>
    <x v="3"/>
  </r>
  <r>
    <n v="4186"/>
    <x v="388"/>
    <s v="Customer payment received"/>
    <x v="1342"/>
    <s v="0.0"/>
    <x v="0"/>
    <x v="0"/>
  </r>
  <r>
    <n v="4186"/>
    <x v="388"/>
    <s v="Customer payment received"/>
    <x v="273"/>
    <s v="59.07"/>
    <x v="2"/>
    <x v="0"/>
  </r>
  <r>
    <n v="4187"/>
    <x v="388"/>
    <s v="Customer payment received"/>
    <x v="1602"/>
    <s v="0.0"/>
    <x v="0"/>
    <x v="0"/>
  </r>
  <r>
    <n v="4187"/>
    <x v="388"/>
    <s v="Customer payment received"/>
    <x v="273"/>
    <s v="5176.24"/>
    <x v="2"/>
    <x v="0"/>
  </r>
  <r>
    <n v="4188"/>
    <x v="388"/>
    <s v="Customer payment received"/>
    <x v="1668"/>
    <s v="0.0"/>
    <x v="0"/>
    <x v="0"/>
  </r>
  <r>
    <n v="4188"/>
    <x v="388"/>
    <s v="Customer payment received"/>
    <x v="273"/>
    <s v="294.08"/>
    <x v="2"/>
    <x v="0"/>
  </r>
  <r>
    <n v="4189"/>
    <x v="388"/>
    <s v="Customer payment received"/>
    <x v="1704"/>
    <s v="0.0"/>
    <x v="0"/>
    <x v="0"/>
  </r>
  <r>
    <n v="4189"/>
    <x v="388"/>
    <s v="Customer payment received"/>
    <x v="273"/>
    <s v="2346.31"/>
    <x v="2"/>
    <x v="0"/>
  </r>
  <r>
    <n v="4190"/>
    <x v="388"/>
    <s v="Customer payment received"/>
    <x v="1719"/>
    <s v="0.0"/>
    <x v="0"/>
    <x v="0"/>
  </r>
  <r>
    <n v="4190"/>
    <x v="388"/>
    <s v="Customer payment received"/>
    <x v="273"/>
    <s v="3290.84"/>
    <x v="2"/>
    <x v="0"/>
  </r>
  <r>
    <n v="4191"/>
    <x v="388"/>
    <s v="Customer payment received"/>
    <x v="1740"/>
    <s v="0.0"/>
    <x v="0"/>
    <x v="0"/>
  </r>
  <r>
    <n v="4191"/>
    <x v="388"/>
    <s v="Customer payment received"/>
    <x v="273"/>
    <s v="1476.73"/>
    <x v="2"/>
    <x v="0"/>
  </r>
  <r>
    <n v="4192"/>
    <x v="388"/>
    <s v="Supplier invoice received"/>
    <x v="405"/>
    <s v="0.0"/>
    <x v="9"/>
    <x v="4"/>
  </r>
  <r>
    <n v="4192"/>
    <x v="388"/>
    <s v="Supplier invoice received"/>
    <x v="406"/>
    <s v="0.0"/>
    <x v="10"/>
    <x v="0"/>
  </r>
  <r>
    <n v="4192"/>
    <x v="388"/>
    <s v="Supplier invoice received"/>
    <x v="273"/>
    <s v="2635.36"/>
    <x v="11"/>
    <x v="3"/>
  </r>
  <r>
    <n v="4193"/>
    <x v="388"/>
    <s v="Supplier invoice received"/>
    <x v="332"/>
    <s v="0.0"/>
    <x v="9"/>
    <x v="4"/>
  </r>
  <r>
    <n v="4193"/>
    <x v="388"/>
    <s v="Supplier invoice received"/>
    <x v="333"/>
    <s v="0.0"/>
    <x v="10"/>
    <x v="0"/>
  </r>
  <r>
    <n v="4193"/>
    <x v="388"/>
    <s v="Supplier invoice received"/>
    <x v="273"/>
    <s v="1023.42"/>
    <x v="11"/>
    <x v="3"/>
  </r>
  <r>
    <n v="4194"/>
    <x v="388"/>
    <s v="Supplier payment made"/>
    <x v="334"/>
    <s v="0.0"/>
    <x v="11"/>
    <x v="3"/>
  </r>
  <r>
    <n v="4194"/>
    <x v="388"/>
    <s v="Supplier payment made"/>
    <x v="273"/>
    <s v="3528.97"/>
    <x v="0"/>
    <x v="0"/>
  </r>
  <r>
    <n v="4195"/>
    <x v="388"/>
    <s v="Supplier payment made"/>
    <x v="504"/>
    <s v="0.0"/>
    <x v="11"/>
    <x v="3"/>
  </r>
  <r>
    <n v="4195"/>
    <x v="388"/>
    <s v="Supplier payment made"/>
    <x v="273"/>
    <s v="1958.74"/>
    <x v="0"/>
    <x v="0"/>
  </r>
  <r>
    <n v="4196"/>
    <x v="389"/>
    <s v="Sales invoice issued"/>
    <x v="1754"/>
    <s v="0.0"/>
    <x v="2"/>
    <x v="0"/>
  </r>
  <r>
    <n v="4196"/>
    <x v="389"/>
    <s v="Sales invoice issued"/>
    <x v="273"/>
    <s v="1069.13"/>
    <x v="3"/>
    <x v="2"/>
  </r>
  <r>
    <n v="4196"/>
    <x v="389"/>
    <s v="Sales invoice issued"/>
    <x v="273"/>
    <s v="80.18"/>
    <x v="4"/>
    <x v="3"/>
  </r>
  <r>
    <n v="4197"/>
    <x v="389"/>
    <s v="Sales invoice issued"/>
    <x v="1755"/>
    <s v="0.0"/>
    <x v="2"/>
    <x v="0"/>
  </r>
  <r>
    <n v="4197"/>
    <x v="389"/>
    <s v="Sales invoice issued"/>
    <x v="273"/>
    <s v="2282.52"/>
    <x v="3"/>
    <x v="2"/>
  </r>
  <r>
    <n v="4197"/>
    <x v="389"/>
    <s v="Sales invoice issued"/>
    <x v="273"/>
    <s v="171.19"/>
    <x v="4"/>
    <x v="3"/>
  </r>
  <r>
    <n v="4198"/>
    <x v="389"/>
    <s v="Sales invoice issued"/>
    <x v="1756"/>
    <s v="0.0"/>
    <x v="2"/>
    <x v="0"/>
  </r>
  <r>
    <n v="4198"/>
    <x v="389"/>
    <s v="Sales invoice issued"/>
    <x v="273"/>
    <s v="3151.45"/>
    <x v="3"/>
    <x v="2"/>
  </r>
  <r>
    <n v="4198"/>
    <x v="389"/>
    <s v="Sales invoice issued"/>
    <x v="273"/>
    <s v="236.36"/>
    <x v="4"/>
    <x v="3"/>
  </r>
  <r>
    <n v="4199"/>
    <x v="389"/>
    <s v="Sales invoice issued"/>
    <x v="1757"/>
    <s v="0.0"/>
    <x v="2"/>
    <x v="0"/>
  </r>
  <r>
    <n v="4199"/>
    <x v="389"/>
    <s v="Sales invoice issued"/>
    <x v="273"/>
    <s v="766.81"/>
    <x v="3"/>
    <x v="2"/>
  </r>
  <r>
    <n v="4199"/>
    <x v="389"/>
    <s v="Sales invoice issued"/>
    <x v="273"/>
    <s v="57.51"/>
    <x v="4"/>
    <x v="3"/>
  </r>
  <r>
    <n v="4200"/>
    <x v="389"/>
    <s v="Customer payment received"/>
    <x v="1555"/>
    <s v="0.0"/>
    <x v="0"/>
    <x v="0"/>
  </r>
  <r>
    <n v="4200"/>
    <x v="389"/>
    <s v="Customer payment received"/>
    <x v="273"/>
    <s v="1774.86"/>
    <x v="2"/>
    <x v="0"/>
  </r>
  <r>
    <n v="4201"/>
    <x v="389"/>
    <s v="Customer payment received"/>
    <x v="1617"/>
    <s v="0.0"/>
    <x v="0"/>
    <x v="0"/>
  </r>
  <r>
    <n v="4201"/>
    <x v="389"/>
    <s v="Customer payment received"/>
    <x v="273"/>
    <s v="2906.55"/>
    <x v="2"/>
    <x v="0"/>
  </r>
  <r>
    <n v="4202"/>
    <x v="389"/>
    <s v="Customer payment received"/>
    <x v="1640"/>
    <s v="0.0"/>
    <x v="0"/>
    <x v="0"/>
  </r>
  <r>
    <n v="4202"/>
    <x v="389"/>
    <s v="Customer payment received"/>
    <x v="273"/>
    <s v="1663.07"/>
    <x v="2"/>
    <x v="0"/>
  </r>
  <r>
    <n v="4203"/>
    <x v="389"/>
    <s v="Customer payment received"/>
    <x v="1703"/>
    <s v="0.0"/>
    <x v="0"/>
    <x v="0"/>
  </r>
  <r>
    <n v="4203"/>
    <x v="389"/>
    <s v="Customer payment received"/>
    <x v="273"/>
    <s v="1970.44"/>
    <x v="2"/>
    <x v="0"/>
  </r>
  <r>
    <n v="4204"/>
    <x v="389"/>
    <s v="Customer payment received"/>
    <x v="1758"/>
    <s v="0.0"/>
    <x v="0"/>
    <x v="0"/>
  </r>
  <r>
    <n v="4204"/>
    <x v="389"/>
    <s v="Customer payment received"/>
    <x v="273"/>
    <s v="1874.71"/>
    <x v="2"/>
    <x v="0"/>
  </r>
  <r>
    <n v="4205"/>
    <x v="389"/>
    <s v="Customer payment received"/>
    <x v="1726"/>
    <s v="0.0"/>
    <x v="0"/>
    <x v="0"/>
  </r>
  <r>
    <n v="4205"/>
    <x v="389"/>
    <s v="Customer payment received"/>
    <x v="273"/>
    <s v="690.11"/>
    <x v="2"/>
    <x v="0"/>
  </r>
  <r>
    <n v="4206"/>
    <x v="389"/>
    <s v="Supplier invoice received"/>
    <x v="297"/>
    <s v="0.0"/>
    <x v="9"/>
    <x v="4"/>
  </r>
  <r>
    <n v="4206"/>
    <x v="389"/>
    <s v="Supplier invoice received"/>
    <x v="298"/>
    <s v="0.0"/>
    <x v="10"/>
    <x v="0"/>
  </r>
  <r>
    <n v="4206"/>
    <x v="389"/>
    <s v="Supplier invoice received"/>
    <x v="273"/>
    <s v="3528.97"/>
    <x v="11"/>
    <x v="3"/>
  </r>
  <r>
    <n v="4207"/>
    <x v="389"/>
    <s v="Supplier payment made"/>
    <x v="496"/>
    <s v="0.0"/>
    <x v="11"/>
    <x v="3"/>
  </r>
  <r>
    <n v="4207"/>
    <x v="389"/>
    <s v="Supplier payment made"/>
    <x v="273"/>
    <s v="7227.44"/>
    <x v="0"/>
    <x v="0"/>
  </r>
  <r>
    <n v="4208"/>
    <x v="389"/>
    <s v="Supplier payment made"/>
    <x v="310"/>
    <s v="0.0"/>
    <x v="11"/>
    <x v="3"/>
  </r>
  <r>
    <n v="4208"/>
    <x v="389"/>
    <s v="Supplier payment made"/>
    <x v="273"/>
    <s v="276.32"/>
    <x v="0"/>
    <x v="0"/>
  </r>
  <r>
    <n v="4209"/>
    <x v="389"/>
    <s v="Supplier payment made"/>
    <x v="352"/>
    <s v="0.0"/>
    <x v="11"/>
    <x v="3"/>
  </r>
  <r>
    <n v="4209"/>
    <x v="389"/>
    <s v="Supplier payment made"/>
    <x v="273"/>
    <s v="9336.67"/>
    <x v="0"/>
    <x v="0"/>
  </r>
  <r>
    <n v="4210"/>
    <x v="390"/>
    <s v="Sales invoice issued"/>
    <x v="1759"/>
    <s v="0.0"/>
    <x v="2"/>
    <x v="0"/>
  </r>
  <r>
    <n v="4210"/>
    <x v="390"/>
    <s v="Sales invoice issued"/>
    <x v="273"/>
    <s v="2996.94"/>
    <x v="3"/>
    <x v="2"/>
  </r>
  <r>
    <n v="4210"/>
    <x v="390"/>
    <s v="Sales invoice issued"/>
    <x v="273"/>
    <s v="224.77"/>
    <x v="4"/>
    <x v="3"/>
  </r>
  <r>
    <n v="4211"/>
    <x v="390"/>
    <s v="Sales invoice issued"/>
    <x v="1760"/>
    <s v="0.0"/>
    <x v="2"/>
    <x v="0"/>
  </r>
  <r>
    <n v="4211"/>
    <x v="390"/>
    <s v="Sales invoice issued"/>
    <x v="273"/>
    <s v="2005.89"/>
    <x v="3"/>
    <x v="2"/>
  </r>
  <r>
    <n v="4211"/>
    <x v="390"/>
    <s v="Sales invoice issued"/>
    <x v="273"/>
    <s v="150.44"/>
    <x v="4"/>
    <x v="3"/>
  </r>
  <r>
    <n v="4212"/>
    <x v="390"/>
    <s v="Sales invoice issued"/>
    <x v="1761"/>
    <s v="0.0"/>
    <x v="2"/>
    <x v="0"/>
  </r>
  <r>
    <n v="4212"/>
    <x v="390"/>
    <s v="Sales invoice issued"/>
    <x v="273"/>
    <s v="2422.36"/>
    <x v="3"/>
    <x v="2"/>
  </r>
  <r>
    <n v="4212"/>
    <x v="390"/>
    <s v="Sales invoice issued"/>
    <x v="273"/>
    <s v="181.68"/>
    <x v="4"/>
    <x v="3"/>
  </r>
  <r>
    <n v="4213"/>
    <x v="390"/>
    <s v="Sales invoice issued"/>
    <x v="1762"/>
    <s v="0.0"/>
    <x v="2"/>
    <x v="0"/>
  </r>
  <r>
    <n v="4213"/>
    <x v="390"/>
    <s v="Sales invoice issued"/>
    <x v="273"/>
    <s v="1217.8"/>
    <x v="3"/>
    <x v="2"/>
  </r>
  <r>
    <n v="4213"/>
    <x v="390"/>
    <s v="Sales invoice issued"/>
    <x v="273"/>
    <s v="91.33"/>
    <x v="4"/>
    <x v="3"/>
  </r>
  <r>
    <n v="4214"/>
    <x v="390"/>
    <s v="Sales invoice issued"/>
    <x v="1763"/>
    <s v="0.0"/>
    <x v="2"/>
    <x v="0"/>
  </r>
  <r>
    <n v="4214"/>
    <x v="390"/>
    <s v="Sales invoice issued"/>
    <x v="273"/>
    <s v="5933.43"/>
    <x v="3"/>
    <x v="2"/>
  </r>
  <r>
    <n v="4214"/>
    <x v="390"/>
    <s v="Sales invoice issued"/>
    <x v="273"/>
    <s v="445.02"/>
    <x v="4"/>
    <x v="3"/>
  </r>
  <r>
    <n v="4215"/>
    <x v="390"/>
    <s v="Customer payment received"/>
    <x v="1753"/>
    <s v="0.0"/>
    <x v="0"/>
    <x v="0"/>
  </r>
  <r>
    <n v="4215"/>
    <x v="390"/>
    <s v="Customer payment received"/>
    <x v="273"/>
    <s v="2604.39"/>
    <x v="2"/>
    <x v="0"/>
  </r>
  <r>
    <n v="4216"/>
    <x v="390"/>
    <s v="Supplier invoice received"/>
    <x v="338"/>
    <s v="0.0"/>
    <x v="9"/>
    <x v="4"/>
  </r>
  <r>
    <n v="4216"/>
    <x v="390"/>
    <s v="Supplier invoice received"/>
    <x v="339"/>
    <s v="0.0"/>
    <x v="10"/>
    <x v="0"/>
  </r>
  <r>
    <n v="4216"/>
    <x v="390"/>
    <s v="Supplier invoice received"/>
    <x v="273"/>
    <s v="1159.84"/>
    <x v="11"/>
    <x v="3"/>
  </r>
  <r>
    <n v="4217"/>
    <x v="390"/>
    <s v="Supplier invoice received"/>
    <x v="441"/>
    <s v="0.0"/>
    <x v="9"/>
    <x v="4"/>
  </r>
  <r>
    <n v="4217"/>
    <x v="390"/>
    <s v="Supplier invoice received"/>
    <x v="442"/>
    <s v="0.0"/>
    <x v="10"/>
    <x v="0"/>
  </r>
  <r>
    <n v="4217"/>
    <x v="390"/>
    <s v="Supplier invoice received"/>
    <x v="273"/>
    <s v="179.01"/>
    <x v="11"/>
    <x v="3"/>
  </r>
  <r>
    <n v="4218"/>
    <x v="390"/>
    <s v="Supplier payment made"/>
    <x v="336"/>
    <s v="0.0"/>
    <x v="11"/>
    <x v="3"/>
  </r>
  <r>
    <n v="4218"/>
    <x v="390"/>
    <s v="Supplier payment made"/>
    <x v="273"/>
    <s v="2093.28"/>
    <x v="0"/>
    <x v="0"/>
  </r>
  <r>
    <n v="4219"/>
    <x v="390"/>
    <s v="Supplier payment made"/>
    <x v="309"/>
    <s v="0.0"/>
    <x v="11"/>
    <x v="3"/>
  </r>
  <r>
    <n v="4219"/>
    <x v="390"/>
    <s v="Supplier payment made"/>
    <x v="273"/>
    <s v="4812.46"/>
    <x v="0"/>
    <x v="0"/>
  </r>
  <r>
    <n v="4220"/>
    <x v="390"/>
    <s v="Supplier payment made"/>
    <x v="335"/>
    <s v="0.0"/>
    <x v="11"/>
    <x v="3"/>
  </r>
  <r>
    <n v="4220"/>
    <x v="390"/>
    <s v="Supplier payment made"/>
    <x v="273"/>
    <s v="550.4"/>
    <x v="0"/>
    <x v="0"/>
  </r>
  <r>
    <n v="4221"/>
    <x v="391"/>
    <s v="Sales invoice issued"/>
    <x v="1764"/>
    <s v="0.0"/>
    <x v="2"/>
    <x v="0"/>
  </r>
  <r>
    <n v="4221"/>
    <x v="391"/>
    <s v="Sales invoice issued"/>
    <x v="273"/>
    <s v="2653.78"/>
    <x v="3"/>
    <x v="2"/>
  </r>
  <r>
    <n v="4221"/>
    <x v="391"/>
    <s v="Sales invoice issued"/>
    <x v="273"/>
    <s v="199.03"/>
    <x v="4"/>
    <x v="3"/>
  </r>
  <r>
    <n v="4222"/>
    <x v="391"/>
    <s v="Sales invoice issued"/>
    <x v="1765"/>
    <s v="0.0"/>
    <x v="2"/>
    <x v="0"/>
  </r>
  <r>
    <n v="4222"/>
    <x v="391"/>
    <s v="Sales invoice issued"/>
    <x v="273"/>
    <s v="3241.18"/>
    <x v="3"/>
    <x v="2"/>
  </r>
  <r>
    <n v="4222"/>
    <x v="391"/>
    <s v="Sales invoice issued"/>
    <x v="273"/>
    <s v="243.09"/>
    <x v="4"/>
    <x v="3"/>
  </r>
  <r>
    <n v="4223"/>
    <x v="391"/>
    <s v="Sales invoice issued"/>
    <x v="1766"/>
    <s v="0.0"/>
    <x v="2"/>
    <x v="0"/>
  </r>
  <r>
    <n v="4223"/>
    <x v="391"/>
    <s v="Sales invoice issued"/>
    <x v="273"/>
    <s v="3640.67"/>
    <x v="3"/>
    <x v="2"/>
  </r>
  <r>
    <n v="4223"/>
    <x v="391"/>
    <s v="Sales invoice issued"/>
    <x v="273"/>
    <s v="273.04"/>
    <x v="4"/>
    <x v="3"/>
  </r>
  <r>
    <n v="4224"/>
    <x v="391"/>
    <s v="Customer payment received"/>
    <x v="1552"/>
    <s v="0.0"/>
    <x v="0"/>
    <x v="0"/>
  </r>
  <r>
    <n v="4224"/>
    <x v="391"/>
    <s v="Customer payment received"/>
    <x v="273"/>
    <s v="3667.34"/>
    <x v="2"/>
    <x v="0"/>
  </r>
  <r>
    <n v="4225"/>
    <x v="391"/>
    <s v="Customer payment received"/>
    <x v="1620"/>
    <s v="0.0"/>
    <x v="0"/>
    <x v="0"/>
  </r>
  <r>
    <n v="4225"/>
    <x v="391"/>
    <s v="Customer payment received"/>
    <x v="273"/>
    <s v="2441.62"/>
    <x v="2"/>
    <x v="0"/>
  </r>
  <r>
    <n v="4226"/>
    <x v="391"/>
    <s v="Customer payment received"/>
    <x v="1671"/>
    <s v="0.0"/>
    <x v="0"/>
    <x v="0"/>
  </r>
  <r>
    <n v="4226"/>
    <x v="391"/>
    <s v="Customer payment received"/>
    <x v="273"/>
    <s v="2351.53"/>
    <x v="2"/>
    <x v="0"/>
  </r>
  <r>
    <n v="4227"/>
    <x v="391"/>
    <s v="Customer payment received"/>
    <x v="1679"/>
    <s v="0.0"/>
    <x v="0"/>
    <x v="0"/>
  </r>
  <r>
    <n v="4227"/>
    <x v="391"/>
    <s v="Customer payment received"/>
    <x v="273"/>
    <s v="250.25"/>
    <x v="2"/>
    <x v="0"/>
  </r>
  <r>
    <n v="4228"/>
    <x v="391"/>
    <s v="Customer payment received"/>
    <x v="1337"/>
    <s v="0.0"/>
    <x v="0"/>
    <x v="0"/>
  </r>
  <r>
    <n v="4228"/>
    <x v="391"/>
    <s v="Customer payment received"/>
    <x v="273"/>
    <s v="1101.12"/>
    <x v="2"/>
    <x v="0"/>
  </r>
  <r>
    <n v="4229"/>
    <x v="391"/>
    <s v="Supplier invoice received"/>
    <x v="374"/>
    <s v="0.0"/>
    <x v="9"/>
    <x v="4"/>
  </r>
  <r>
    <n v="4229"/>
    <x v="391"/>
    <s v="Supplier invoice received"/>
    <x v="375"/>
    <s v="0.0"/>
    <x v="10"/>
    <x v="0"/>
  </r>
  <r>
    <n v="4229"/>
    <x v="391"/>
    <s v="Supplier invoice received"/>
    <x v="273"/>
    <s v="2504.23"/>
    <x v="11"/>
    <x v="3"/>
  </r>
  <r>
    <n v="4230"/>
    <x v="391"/>
    <s v="Supplier invoice received"/>
    <x v="461"/>
    <s v="0.0"/>
    <x v="9"/>
    <x v="4"/>
  </r>
  <r>
    <n v="4230"/>
    <x v="391"/>
    <s v="Supplier invoice received"/>
    <x v="462"/>
    <s v="0.0"/>
    <x v="10"/>
    <x v="0"/>
  </r>
  <r>
    <n v="4230"/>
    <x v="391"/>
    <s v="Supplier invoice received"/>
    <x v="273"/>
    <s v="2182.41"/>
    <x v="11"/>
    <x v="3"/>
  </r>
  <r>
    <n v="4231"/>
    <x v="391"/>
    <s v="Supplier invoice received"/>
    <x v="372"/>
    <s v="0.0"/>
    <x v="9"/>
    <x v="4"/>
  </r>
  <r>
    <n v="4231"/>
    <x v="391"/>
    <s v="Supplier invoice received"/>
    <x v="373"/>
    <s v="0.0"/>
    <x v="10"/>
    <x v="0"/>
  </r>
  <r>
    <n v="4231"/>
    <x v="391"/>
    <s v="Supplier invoice received"/>
    <x v="273"/>
    <s v="412.54"/>
    <x v="11"/>
    <x v="3"/>
  </r>
  <r>
    <n v="4232"/>
    <x v="391"/>
    <s v="Supplier invoice received"/>
    <x v="307"/>
    <s v="0.0"/>
    <x v="9"/>
    <x v="4"/>
  </r>
  <r>
    <n v="4232"/>
    <x v="391"/>
    <s v="Supplier invoice received"/>
    <x v="308"/>
    <s v="0.0"/>
    <x v="10"/>
    <x v="0"/>
  </r>
  <r>
    <n v="4232"/>
    <x v="391"/>
    <s v="Supplier invoice received"/>
    <x v="273"/>
    <s v="2093.28"/>
    <x v="11"/>
    <x v="3"/>
  </r>
  <r>
    <n v="4233"/>
    <x v="391"/>
    <s v="Supplier invoice received"/>
    <x v="301"/>
    <s v="0.0"/>
    <x v="9"/>
    <x v="4"/>
  </r>
  <r>
    <n v="4233"/>
    <x v="391"/>
    <s v="Supplier invoice received"/>
    <x v="302"/>
    <s v="0.0"/>
    <x v="10"/>
    <x v="0"/>
  </r>
  <r>
    <n v="4233"/>
    <x v="391"/>
    <s v="Supplier invoice received"/>
    <x v="273"/>
    <s v="4812.46"/>
    <x v="11"/>
    <x v="3"/>
  </r>
  <r>
    <n v="4234"/>
    <x v="391"/>
    <s v="Supplier payment made"/>
    <x v="313"/>
    <s v="0.0"/>
    <x v="11"/>
    <x v="3"/>
  </r>
  <r>
    <n v="4234"/>
    <x v="391"/>
    <s v="Supplier payment made"/>
    <x v="273"/>
    <s v="1159.84"/>
    <x v="0"/>
    <x v="0"/>
  </r>
  <r>
    <n v="4235"/>
    <x v="391"/>
    <s v="Supplier payment made"/>
    <x v="309"/>
    <s v="0.0"/>
    <x v="11"/>
    <x v="3"/>
  </r>
  <r>
    <n v="4235"/>
    <x v="391"/>
    <s v="Supplier payment made"/>
    <x v="273"/>
    <s v="4812.46"/>
    <x v="0"/>
    <x v="0"/>
  </r>
  <r>
    <n v="4236"/>
    <x v="391"/>
    <s v="Supplier payment made"/>
    <x v="335"/>
    <s v="0.0"/>
    <x v="11"/>
    <x v="3"/>
  </r>
  <r>
    <n v="4236"/>
    <x v="391"/>
    <s v="Supplier payment made"/>
    <x v="273"/>
    <s v="550.4"/>
    <x v="0"/>
    <x v="0"/>
  </r>
  <r>
    <n v="4237"/>
    <x v="391"/>
    <s v="Supplier payment made"/>
    <x v="392"/>
    <s v="0.0"/>
    <x v="11"/>
    <x v="3"/>
  </r>
  <r>
    <n v="4237"/>
    <x v="391"/>
    <s v="Supplier payment made"/>
    <x v="273"/>
    <s v="1023.42"/>
    <x v="0"/>
    <x v="0"/>
  </r>
  <r>
    <n v="4238"/>
    <x v="391"/>
    <s v="Depreciation â€” POS System"/>
    <x v="425"/>
    <s v="0.0"/>
    <x v="12"/>
    <x v="4"/>
  </r>
  <r>
    <n v="4238"/>
    <x v="391"/>
    <s v="Depreciation â€” POS System"/>
    <x v="273"/>
    <s v="93.61"/>
    <x v="13"/>
    <x v="0"/>
  </r>
  <r>
    <n v="4239"/>
    <x v="391"/>
    <s v="Depreciation â€” Laptop x2"/>
    <x v="426"/>
    <s v="0.0"/>
    <x v="12"/>
    <x v="4"/>
  </r>
  <r>
    <n v="4239"/>
    <x v="391"/>
    <s v="Depreciation â€” Laptop x2"/>
    <x v="273"/>
    <s v="76.86"/>
    <x v="13"/>
    <x v="0"/>
  </r>
  <r>
    <n v="4240"/>
    <x v="391"/>
    <s v="Depreciation â€” Printer/Scanner"/>
    <x v="427"/>
    <s v="0.0"/>
    <x v="12"/>
    <x v="4"/>
  </r>
  <r>
    <n v="4240"/>
    <x v="391"/>
    <s v="Depreciation â€” Printer/Scanner"/>
    <x v="273"/>
    <s v="20.03"/>
    <x v="13"/>
    <x v="0"/>
  </r>
  <r>
    <n v="4241"/>
    <x v="391"/>
    <s v="Depreciation â€” Shop Shelving"/>
    <x v="428"/>
    <s v="0.0"/>
    <x v="12"/>
    <x v="4"/>
  </r>
  <r>
    <n v="4241"/>
    <x v="391"/>
    <s v="Depreciation â€” Shop Shelving"/>
    <x v="273"/>
    <s v="86.89"/>
    <x v="14"/>
    <x v="0"/>
  </r>
  <r>
    <n v="4242"/>
    <x v="391"/>
    <s v="Depreciation â€” Display Stands"/>
    <x v="429"/>
    <s v="0.0"/>
    <x v="12"/>
    <x v="4"/>
  </r>
  <r>
    <n v="4242"/>
    <x v="391"/>
    <s v="Depreciation â€” Display Stands"/>
    <x v="273"/>
    <s v="76.8"/>
    <x v="14"/>
    <x v="0"/>
  </r>
  <r>
    <n v="4243"/>
    <x v="391"/>
    <s v="Depreciation â€” Counter &amp; Checkout"/>
    <x v="430"/>
    <s v="0.0"/>
    <x v="12"/>
    <x v="4"/>
  </r>
  <r>
    <n v="4243"/>
    <x v="391"/>
    <s v="Depreciation â€” Counter &amp; Checkout"/>
    <x v="273"/>
    <s v="48.28"/>
    <x v="14"/>
    <x v="0"/>
  </r>
  <r>
    <n v="4244"/>
    <x v="391"/>
    <s v="Depreciation â€” Signage"/>
    <x v="431"/>
    <s v="0.0"/>
    <x v="12"/>
    <x v="4"/>
  </r>
  <r>
    <n v="4244"/>
    <x v="391"/>
    <s v="Depreciation â€” Signage"/>
    <x v="273"/>
    <s v="53.21"/>
    <x v="14"/>
    <x v="0"/>
  </r>
  <r>
    <n v="4245"/>
    <x v="391"/>
    <s v="Depreciation â€” Delivery Van"/>
    <x v="432"/>
    <s v="0.0"/>
    <x v="12"/>
    <x v="4"/>
  </r>
  <r>
    <n v="4245"/>
    <x v="391"/>
    <s v="Depreciation â€” Delivery Van"/>
    <x v="273"/>
    <s v="232.19"/>
    <x v="15"/>
    <x v="0"/>
  </r>
  <r>
    <n v="4246"/>
    <x v="391"/>
    <s v="Depreciation â€” Security System"/>
    <x v="433"/>
    <s v="0.0"/>
    <x v="12"/>
    <x v="4"/>
  </r>
  <r>
    <n v="4246"/>
    <x v="391"/>
    <s v="Depreciation â€” Security System"/>
    <x v="273"/>
    <s v="43.85"/>
    <x v="13"/>
    <x v="0"/>
  </r>
  <r>
    <n v="4247"/>
    <x v="392"/>
    <s v="Sales invoice issued"/>
    <x v="1767"/>
    <s v="0.0"/>
    <x v="2"/>
    <x v="0"/>
  </r>
  <r>
    <n v="4247"/>
    <x v="392"/>
    <s v="Sales invoice issued"/>
    <x v="273"/>
    <s v="718.18"/>
    <x v="3"/>
    <x v="2"/>
  </r>
  <r>
    <n v="4247"/>
    <x v="392"/>
    <s v="Sales invoice issued"/>
    <x v="273"/>
    <s v="53.86"/>
    <x v="4"/>
    <x v="3"/>
  </r>
  <r>
    <n v="4248"/>
    <x v="392"/>
    <s v="Sales invoice issued"/>
    <x v="1768"/>
    <s v="0.0"/>
    <x v="2"/>
    <x v="0"/>
  </r>
  <r>
    <n v="4248"/>
    <x v="392"/>
    <s v="Sales invoice issued"/>
    <x v="273"/>
    <s v="101.1"/>
    <x v="3"/>
    <x v="2"/>
  </r>
  <r>
    <n v="4248"/>
    <x v="392"/>
    <s v="Sales invoice issued"/>
    <x v="273"/>
    <s v="7.58"/>
    <x v="4"/>
    <x v="3"/>
  </r>
  <r>
    <n v="4249"/>
    <x v="392"/>
    <s v="Sales invoice issued"/>
    <x v="1769"/>
    <s v="0.0"/>
    <x v="2"/>
    <x v="0"/>
  </r>
  <r>
    <n v="4249"/>
    <x v="392"/>
    <s v="Sales invoice issued"/>
    <x v="273"/>
    <s v="99.18"/>
    <x v="3"/>
    <x v="2"/>
  </r>
  <r>
    <n v="4249"/>
    <x v="392"/>
    <s v="Sales invoice issued"/>
    <x v="273"/>
    <s v="7.44"/>
    <x v="4"/>
    <x v="3"/>
  </r>
  <r>
    <n v="4250"/>
    <x v="392"/>
    <s v="Sales invoice issued"/>
    <x v="1770"/>
    <s v="0.0"/>
    <x v="2"/>
    <x v="0"/>
  </r>
  <r>
    <n v="4250"/>
    <x v="392"/>
    <s v="Sales invoice issued"/>
    <x v="273"/>
    <s v="2179.84"/>
    <x v="3"/>
    <x v="2"/>
  </r>
  <r>
    <n v="4250"/>
    <x v="392"/>
    <s v="Sales invoice issued"/>
    <x v="273"/>
    <s v="163.49"/>
    <x v="4"/>
    <x v="3"/>
  </r>
  <r>
    <n v="4251"/>
    <x v="392"/>
    <s v="Sales invoice issued"/>
    <x v="1771"/>
    <s v="0.0"/>
    <x v="2"/>
    <x v="0"/>
  </r>
  <r>
    <n v="4251"/>
    <x v="392"/>
    <s v="Sales invoice issued"/>
    <x v="273"/>
    <s v="1431.32"/>
    <x v="3"/>
    <x v="2"/>
  </r>
  <r>
    <n v="4251"/>
    <x v="392"/>
    <s v="Sales invoice issued"/>
    <x v="273"/>
    <s v="107.36"/>
    <x v="4"/>
    <x v="3"/>
  </r>
  <r>
    <n v="4252"/>
    <x v="392"/>
    <s v="Sales invoice issued"/>
    <x v="1772"/>
    <s v="0.0"/>
    <x v="2"/>
    <x v="0"/>
  </r>
  <r>
    <n v="4252"/>
    <x v="392"/>
    <s v="Sales invoice issued"/>
    <x v="273"/>
    <s v="417.39"/>
    <x v="3"/>
    <x v="2"/>
  </r>
  <r>
    <n v="4252"/>
    <x v="392"/>
    <s v="Sales invoice issued"/>
    <x v="273"/>
    <s v="31.3"/>
    <x v="4"/>
    <x v="3"/>
  </r>
  <r>
    <n v="4253"/>
    <x v="392"/>
    <s v="Sales invoice issued"/>
    <x v="1773"/>
    <s v="0.0"/>
    <x v="2"/>
    <x v="0"/>
  </r>
  <r>
    <n v="4253"/>
    <x v="392"/>
    <s v="Sales invoice issued"/>
    <x v="273"/>
    <s v="17.26"/>
    <x v="3"/>
    <x v="2"/>
  </r>
  <r>
    <n v="4253"/>
    <x v="392"/>
    <s v="Sales invoice issued"/>
    <x v="273"/>
    <s v="1.29"/>
    <x v="4"/>
    <x v="3"/>
  </r>
  <r>
    <n v="4254"/>
    <x v="392"/>
    <s v="Sales invoice issued"/>
    <x v="1774"/>
    <s v="0.0"/>
    <x v="2"/>
    <x v="0"/>
  </r>
  <r>
    <n v="4254"/>
    <x v="392"/>
    <s v="Sales invoice issued"/>
    <x v="273"/>
    <s v="3771.6"/>
    <x v="3"/>
    <x v="2"/>
  </r>
  <r>
    <n v="4254"/>
    <x v="392"/>
    <s v="Sales invoice issued"/>
    <x v="273"/>
    <s v="282.88"/>
    <x v="4"/>
    <x v="3"/>
  </r>
  <r>
    <n v="4255"/>
    <x v="392"/>
    <s v="Sales invoice issued"/>
    <x v="1775"/>
    <s v="0.0"/>
    <x v="2"/>
    <x v="0"/>
  </r>
  <r>
    <n v="4255"/>
    <x v="392"/>
    <s v="Sales invoice issued"/>
    <x v="273"/>
    <s v="1307.85"/>
    <x v="3"/>
    <x v="2"/>
  </r>
  <r>
    <n v="4255"/>
    <x v="392"/>
    <s v="Sales invoice issued"/>
    <x v="273"/>
    <s v="98.09"/>
    <x v="4"/>
    <x v="3"/>
  </r>
  <r>
    <n v="4256"/>
    <x v="392"/>
    <s v="Customer payment received"/>
    <x v="1540"/>
    <s v="0.0"/>
    <x v="0"/>
    <x v="0"/>
  </r>
  <r>
    <n v="4256"/>
    <x v="392"/>
    <s v="Customer payment received"/>
    <x v="273"/>
    <s v="1369.4"/>
    <x v="2"/>
    <x v="0"/>
  </r>
  <r>
    <n v="4257"/>
    <x v="392"/>
    <s v="Customer payment received"/>
    <x v="1776"/>
    <s v="0.0"/>
    <x v="0"/>
    <x v="0"/>
  </r>
  <r>
    <n v="4257"/>
    <x v="392"/>
    <s v="Customer payment received"/>
    <x v="273"/>
    <s v="837.07"/>
    <x v="2"/>
    <x v="0"/>
  </r>
  <r>
    <n v="4258"/>
    <x v="392"/>
    <s v="Customer payment received"/>
    <x v="1566"/>
    <s v="0.0"/>
    <x v="0"/>
    <x v="0"/>
  </r>
  <r>
    <n v="4258"/>
    <x v="392"/>
    <s v="Customer payment received"/>
    <x v="273"/>
    <s v="2804.8"/>
    <x v="2"/>
    <x v="0"/>
  </r>
  <r>
    <n v="4259"/>
    <x v="392"/>
    <s v="Customer payment received"/>
    <x v="1653"/>
    <s v="0.0"/>
    <x v="0"/>
    <x v="0"/>
  </r>
  <r>
    <n v="4259"/>
    <x v="392"/>
    <s v="Customer payment received"/>
    <x v="273"/>
    <s v="1162.69"/>
    <x v="2"/>
    <x v="0"/>
  </r>
  <r>
    <n v="4260"/>
    <x v="392"/>
    <s v="Customer payment received"/>
    <x v="1666"/>
    <s v="0.0"/>
    <x v="0"/>
    <x v="0"/>
  </r>
  <r>
    <n v="4260"/>
    <x v="392"/>
    <s v="Customer payment received"/>
    <x v="273"/>
    <s v="1709.47"/>
    <x v="2"/>
    <x v="0"/>
  </r>
  <r>
    <n v="4261"/>
    <x v="392"/>
    <s v="Customer payment received"/>
    <x v="1692"/>
    <s v="0.0"/>
    <x v="0"/>
    <x v="0"/>
  </r>
  <r>
    <n v="4261"/>
    <x v="392"/>
    <s v="Customer payment received"/>
    <x v="273"/>
    <s v="3271.32"/>
    <x v="2"/>
    <x v="0"/>
  </r>
  <r>
    <n v="4262"/>
    <x v="392"/>
    <s v="Customer payment received"/>
    <x v="1736"/>
    <s v="0.0"/>
    <x v="0"/>
    <x v="0"/>
  </r>
  <r>
    <n v="4262"/>
    <x v="392"/>
    <s v="Customer payment received"/>
    <x v="273"/>
    <s v="3787.1"/>
    <x v="2"/>
    <x v="0"/>
  </r>
  <r>
    <n v="4263"/>
    <x v="392"/>
    <s v="Supplier invoice received"/>
    <x v="383"/>
    <s v="0.0"/>
    <x v="9"/>
    <x v="4"/>
  </r>
  <r>
    <n v="4263"/>
    <x v="392"/>
    <s v="Supplier invoice received"/>
    <x v="384"/>
    <s v="0.0"/>
    <x v="10"/>
    <x v="0"/>
  </r>
  <r>
    <n v="4263"/>
    <x v="392"/>
    <s v="Supplier invoice received"/>
    <x v="273"/>
    <s v="3868.8"/>
    <x v="11"/>
    <x v="3"/>
  </r>
  <r>
    <n v="4264"/>
    <x v="392"/>
    <s v="Supplier payment made"/>
    <x v="353"/>
    <s v="0.0"/>
    <x v="11"/>
    <x v="3"/>
  </r>
  <r>
    <n v="4264"/>
    <x v="392"/>
    <s v="Supplier payment made"/>
    <x v="273"/>
    <s v="2918.17"/>
    <x v="0"/>
    <x v="0"/>
  </r>
  <r>
    <n v="4265"/>
    <x v="392"/>
    <s v="Supplier payment made"/>
    <x v="327"/>
    <s v="0.0"/>
    <x v="11"/>
    <x v="3"/>
  </r>
  <r>
    <n v="4265"/>
    <x v="392"/>
    <s v="Supplier payment made"/>
    <x v="273"/>
    <s v="1935.04"/>
    <x v="0"/>
    <x v="0"/>
  </r>
  <r>
    <n v="4266"/>
    <x v="393"/>
    <s v="Sales invoice issued"/>
    <x v="1777"/>
    <s v="0.0"/>
    <x v="2"/>
    <x v="0"/>
  </r>
  <r>
    <n v="4266"/>
    <x v="393"/>
    <s v="Sales invoice issued"/>
    <x v="273"/>
    <s v="3155.11"/>
    <x v="3"/>
    <x v="2"/>
  </r>
  <r>
    <n v="4266"/>
    <x v="393"/>
    <s v="Sales invoice issued"/>
    <x v="273"/>
    <s v="236.63"/>
    <x v="4"/>
    <x v="3"/>
  </r>
  <r>
    <n v="4267"/>
    <x v="393"/>
    <s v="Sales invoice issued"/>
    <x v="1778"/>
    <s v="0.0"/>
    <x v="2"/>
    <x v="0"/>
  </r>
  <r>
    <n v="4267"/>
    <x v="393"/>
    <s v="Sales invoice issued"/>
    <x v="273"/>
    <s v="6073.05"/>
    <x v="3"/>
    <x v="2"/>
  </r>
  <r>
    <n v="4267"/>
    <x v="393"/>
    <s v="Sales invoice issued"/>
    <x v="273"/>
    <s v="455.49"/>
    <x v="4"/>
    <x v="3"/>
  </r>
  <r>
    <n v="4268"/>
    <x v="393"/>
    <s v="Sales invoice issued"/>
    <x v="1779"/>
    <s v="0.0"/>
    <x v="2"/>
    <x v="0"/>
  </r>
  <r>
    <n v="4268"/>
    <x v="393"/>
    <s v="Sales invoice issued"/>
    <x v="273"/>
    <s v="128.9"/>
    <x v="3"/>
    <x v="2"/>
  </r>
  <r>
    <n v="4268"/>
    <x v="393"/>
    <s v="Sales invoice issued"/>
    <x v="273"/>
    <s v="9.67"/>
    <x v="4"/>
    <x v="3"/>
  </r>
  <r>
    <n v="4269"/>
    <x v="393"/>
    <s v="Sales invoice issued"/>
    <x v="1780"/>
    <s v="0.0"/>
    <x v="2"/>
    <x v="0"/>
  </r>
  <r>
    <n v="4269"/>
    <x v="393"/>
    <s v="Sales invoice issued"/>
    <x v="273"/>
    <s v="475.51"/>
    <x v="3"/>
    <x v="2"/>
  </r>
  <r>
    <n v="4269"/>
    <x v="393"/>
    <s v="Sales invoice issued"/>
    <x v="273"/>
    <s v="35.67"/>
    <x v="4"/>
    <x v="3"/>
  </r>
  <r>
    <n v="4270"/>
    <x v="393"/>
    <s v="Sales invoice issued"/>
    <x v="1781"/>
    <s v="0.0"/>
    <x v="2"/>
    <x v="0"/>
  </r>
  <r>
    <n v="4270"/>
    <x v="393"/>
    <s v="Sales invoice issued"/>
    <x v="273"/>
    <s v="1912.31"/>
    <x v="3"/>
    <x v="2"/>
  </r>
  <r>
    <n v="4270"/>
    <x v="393"/>
    <s v="Sales invoice issued"/>
    <x v="273"/>
    <s v="143.43"/>
    <x v="4"/>
    <x v="3"/>
  </r>
  <r>
    <n v="4271"/>
    <x v="393"/>
    <s v="Sales invoice issued"/>
    <x v="1782"/>
    <s v="0.0"/>
    <x v="2"/>
    <x v="0"/>
  </r>
  <r>
    <n v="4271"/>
    <x v="393"/>
    <s v="Sales invoice issued"/>
    <x v="273"/>
    <s v="92.05"/>
    <x v="3"/>
    <x v="2"/>
  </r>
  <r>
    <n v="4271"/>
    <x v="393"/>
    <s v="Sales invoice issued"/>
    <x v="273"/>
    <s v="6.9"/>
    <x v="4"/>
    <x v="3"/>
  </r>
  <r>
    <n v="4272"/>
    <x v="393"/>
    <s v="Sales invoice issued"/>
    <x v="1783"/>
    <s v="0.0"/>
    <x v="2"/>
    <x v="0"/>
  </r>
  <r>
    <n v="4272"/>
    <x v="393"/>
    <s v="Sales invoice issued"/>
    <x v="273"/>
    <s v="1125.1"/>
    <x v="3"/>
    <x v="2"/>
  </r>
  <r>
    <n v="4272"/>
    <x v="393"/>
    <s v="Sales invoice issued"/>
    <x v="273"/>
    <s v="84.37"/>
    <x v="4"/>
    <x v="3"/>
  </r>
  <r>
    <n v="4273"/>
    <x v="393"/>
    <s v="Customer payment received"/>
    <x v="1517"/>
    <s v="0.0"/>
    <x v="0"/>
    <x v="0"/>
  </r>
  <r>
    <n v="4273"/>
    <x v="393"/>
    <s v="Customer payment received"/>
    <x v="273"/>
    <s v="1252.17"/>
    <x v="2"/>
    <x v="0"/>
  </r>
  <r>
    <n v="4274"/>
    <x v="393"/>
    <s v="Customer payment received"/>
    <x v="1784"/>
    <s v="0.0"/>
    <x v="0"/>
    <x v="0"/>
  </r>
  <r>
    <n v="4274"/>
    <x v="393"/>
    <s v="Customer payment received"/>
    <x v="273"/>
    <s v="2859.43"/>
    <x v="2"/>
    <x v="0"/>
  </r>
  <r>
    <n v="4275"/>
    <x v="393"/>
    <s v="Customer payment received"/>
    <x v="1785"/>
    <s v="0.0"/>
    <x v="0"/>
    <x v="0"/>
  </r>
  <r>
    <n v="4275"/>
    <x v="393"/>
    <s v="Customer payment received"/>
    <x v="273"/>
    <s v="1818.61"/>
    <x v="2"/>
    <x v="0"/>
  </r>
  <r>
    <n v="4276"/>
    <x v="393"/>
    <s v="Customer payment received"/>
    <x v="1641"/>
    <s v="0.0"/>
    <x v="0"/>
    <x v="0"/>
  </r>
  <r>
    <n v="4276"/>
    <x v="393"/>
    <s v="Customer payment received"/>
    <x v="273"/>
    <s v="660.0"/>
    <x v="2"/>
    <x v="0"/>
  </r>
  <r>
    <n v="4277"/>
    <x v="393"/>
    <s v="Customer payment received"/>
    <x v="1694"/>
    <s v="0.0"/>
    <x v="0"/>
    <x v="0"/>
  </r>
  <r>
    <n v="4277"/>
    <x v="393"/>
    <s v="Customer payment received"/>
    <x v="273"/>
    <s v="1441.7"/>
    <x v="2"/>
    <x v="0"/>
  </r>
  <r>
    <n v="4278"/>
    <x v="393"/>
    <s v="Customer payment received"/>
    <x v="1712"/>
    <s v="0.0"/>
    <x v="0"/>
    <x v="0"/>
  </r>
  <r>
    <n v="4278"/>
    <x v="393"/>
    <s v="Customer payment received"/>
    <x v="273"/>
    <s v="197.45"/>
    <x v="2"/>
    <x v="0"/>
  </r>
  <r>
    <n v="4279"/>
    <x v="393"/>
    <s v="Customer payment received"/>
    <x v="1735"/>
    <s v="0.0"/>
    <x v="0"/>
    <x v="0"/>
  </r>
  <r>
    <n v="4279"/>
    <x v="393"/>
    <s v="Customer payment received"/>
    <x v="273"/>
    <s v="1655.83"/>
    <x v="2"/>
    <x v="0"/>
  </r>
  <r>
    <n v="4280"/>
    <x v="393"/>
    <s v="Customer payment received"/>
    <x v="1786"/>
    <s v="0.0"/>
    <x v="0"/>
    <x v="0"/>
  </r>
  <r>
    <n v="4280"/>
    <x v="393"/>
    <s v="Customer payment received"/>
    <x v="273"/>
    <s v="70.87"/>
    <x v="2"/>
    <x v="0"/>
  </r>
  <r>
    <n v="4281"/>
    <x v="393"/>
    <s v="Customer payment received"/>
    <x v="1750"/>
    <s v="0.0"/>
    <x v="0"/>
    <x v="0"/>
  </r>
  <r>
    <n v="4281"/>
    <x v="393"/>
    <s v="Customer payment received"/>
    <x v="273"/>
    <s v="636.42"/>
    <x v="2"/>
    <x v="0"/>
  </r>
  <r>
    <n v="4282"/>
    <x v="393"/>
    <s v="Customer payment received"/>
    <x v="1762"/>
    <s v="0.0"/>
    <x v="0"/>
    <x v="0"/>
  </r>
  <r>
    <n v="4282"/>
    <x v="393"/>
    <s v="Customer payment received"/>
    <x v="273"/>
    <s v="1309.13"/>
    <x v="2"/>
    <x v="0"/>
  </r>
  <r>
    <n v="4283"/>
    <x v="393"/>
    <s v="Supplier invoice received"/>
    <x v="474"/>
    <s v="0.0"/>
    <x v="9"/>
    <x v="4"/>
  </r>
  <r>
    <n v="4283"/>
    <x v="393"/>
    <s v="Supplier invoice received"/>
    <x v="475"/>
    <s v="0.0"/>
    <x v="10"/>
    <x v="0"/>
  </r>
  <r>
    <n v="4283"/>
    <x v="393"/>
    <s v="Supplier invoice received"/>
    <x v="273"/>
    <s v="862.91"/>
    <x v="11"/>
    <x v="3"/>
  </r>
  <r>
    <n v="4284"/>
    <x v="393"/>
    <s v="Supplier payment made"/>
    <x v="353"/>
    <s v="0.0"/>
    <x v="11"/>
    <x v="3"/>
  </r>
  <r>
    <n v="4284"/>
    <x v="393"/>
    <s v="Supplier payment made"/>
    <x v="273"/>
    <s v="2918.17"/>
    <x v="0"/>
    <x v="0"/>
  </r>
  <r>
    <n v="4285"/>
    <x v="393"/>
    <s v="Supplier payment made"/>
    <x v="313"/>
    <s v="0.0"/>
    <x v="11"/>
    <x v="3"/>
  </r>
  <r>
    <n v="4285"/>
    <x v="393"/>
    <s v="Supplier payment made"/>
    <x v="273"/>
    <s v="1159.84"/>
    <x v="0"/>
    <x v="0"/>
  </r>
  <r>
    <n v="4286"/>
    <x v="394"/>
    <s v="Payroll processed"/>
    <x v="1787"/>
    <s v="0.0"/>
    <x v="5"/>
    <x v="4"/>
  </r>
  <r>
    <n v="4286"/>
    <x v="394"/>
    <s v="Payroll processed"/>
    <x v="1788"/>
    <s v="0.0"/>
    <x v="6"/>
    <x v="4"/>
  </r>
  <r>
    <n v="4286"/>
    <x v="394"/>
    <s v="Payroll processed"/>
    <x v="273"/>
    <s v="18718.31"/>
    <x v="0"/>
    <x v="0"/>
  </r>
  <r>
    <n v="4286"/>
    <x v="394"/>
    <s v="Payroll processed"/>
    <x v="273"/>
    <s v="4315.09"/>
    <x v="7"/>
    <x v="3"/>
  </r>
  <r>
    <n v="4286"/>
    <x v="394"/>
    <s v="Payroll processed"/>
    <x v="273"/>
    <s v="921.34"/>
    <x v="8"/>
    <x v="3"/>
  </r>
  <r>
    <n v="4287"/>
    <x v="394"/>
    <s v="Sales invoice issued"/>
    <x v="1789"/>
    <s v="0.0"/>
    <x v="2"/>
    <x v="0"/>
  </r>
  <r>
    <n v="4287"/>
    <x v="394"/>
    <s v="Sales invoice issued"/>
    <x v="273"/>
    <s v="1829.25"/>
    <x v="3"/>
    <x v="2"/>
  </r>
  <r>
    <n v="4287"/>
    <x v="394"/>
    <s v="Sales invoice issued"/>
    <x v="273"/>
    <s v="137.18"/>
    <x v="4"/>
    <x v="3"/>
  </r>
  <r>
    <n v="4288"/>
    <x v="394"/>
    <s v="Sales invoice issued"/>
    <x v="1790"/>
    <s v="0.0"/>
    <x v="2"/>
    <x v="0"/>
  </r>
  <r>
    <n v="4288"/>
    <x v="394"/>
    <s v="Sales invoice issued"/>
    <x v="273"/>
    <s v="956.33"/>
    <x v="3"/>
    <x v="2"/>
  </r>
  <r>
    <n v="4288"/>
    <x v="394"/>
    <s v="Sales invoice issued"/>
    <x v="273"/>
    <s v="71.73"/>
    <x v="4"/>
    <x v="3"/>
  </r>
  <r>
    <n v="4289"/>
    <x v="394"/>
    <s v="Sales invoice issued"/>
    <x v="1791"/>
    <s v="0.0"/>
    <x v="2"/>
    <x v="0"/>
  </r>
  <r>
    <n v="4289"/>
    <x v="394"/>
    <s v="Sales invoice issued"/>
    <x v="273"/>
    <s v="479.51"/>
    <x v="3"/>
    <x v="2"/>
  </r>
  <r>
    <n v="4289"/>
    <x v="394"/>
    <s v="Sales invoice issued"/>
    <x v="273"/>
    <s v="35.96"/>
    <x v="4"/>
    <x v="3"/>
  </r>
  <r>
    <n v="4290"/>
    <x v="394"/>
    <s v="Sales invoice issued"/>
    <x v="1792"/>
    <s v="0.0"/>
    <x v="2"/>
    <x v="0"/>
  </r>
  <r>
    <n v="4290"/>
    <x v="394"/>
    <s v="Sales invoice issued"/>
    <x v="273"/>
    <s v="1801.26"/>
    <x v="3"/>
    <x v="2"/>
  </r>
  <r>
    <n v="4290"/>
    <x v="394"/>
    <s v="Sales invoice issued"/>
    <x v="273"/>
    <s v="135.09"/>
    <x v="4"/>
    <x v="3"/>
  </r>
  <r>
    <n v="4291"/>
    <x v="394"/>
    <s v="Sales invoice issued"/>
    <x v="1793"/>
    <s v="0.0"/>
    <x v="2"/>
    <x v="0"/>
  </r>
  <r>
    <n v="4291"/>
    <x v="394"/>
    <s v="Sales invoice issued"/>
    <x v="273"/>
    <s v="3280.99"/>
    <x v="3"/>
    <x v="2"/>
  </r>
  <r>
    <n v="4291"/>
    <x v="394"/>
    <s v="Sales invoice issued"/>
    <x v="273"/>
    <s v="246.08"/>
    <x v="4"/>
    <x v="3"/>
  </r>
  <r>
    <n v="4292"/>
    <x v="394"/>
    <s v="Sales invoice issued"/>
    <x v="1188"/>
    <s v="0.0"/>
    <x v="2"/>
    <x v="0"/>
  </r>
  <r>
    <n v="4292"/>
    <x v="394"/>
    <s v="Sales invoice issued"/>
    <x v="273"/>
    <s v="268.17"/>
    <x v="3"/>
    <x v="2"/>
  </r>
  <r>
    <n v="4292"/>
    <x v="394"/>
    <s v="Sales invoice issued"/>
    <x v="273"/>
    <s v="20.11"/>
    <x v="4"/>
    <x v="3"/>
  </r>
  <r>
    <n v="4293"/>
    <x v="394"/>
    <s v="Sales invoice issued"/>
    <x v="1794"/>
    <s v="0.0"/>
    <x v="2"/>
    <x v="0"/>
  </r>
  <r>
    <n v="4293"/>
    <x v="394"/>
    <s v="Sales invoice issued"/>
    <x v="273"/>
    <s v="2428.24"/>
    <x v="3"/>
    <x v="2"/>
  </r>
  <r>
    <n v="4293"/>
    <x v="394"/>
    <s v="Sales invoice issued"/>
    <x v="273"/>
    <s v="182.12"/>
    <x v="4"/>
    <x v="3"/>
  </r>
  <r>
    <n v="4294"/>
    <x v="394"/>
    <s v="Customer payment received"/>
    <x v="1503"/>
    <s v="0.0"/>
    <x v="0"/>
    <x v="0"/>
  </r>
  <r>
    <n v="4294"/>
    <x v="394"/>
    <s v="Customer payment received"/>
    <x v="273"/>
    <s v="4531.04"/>
    <x v="2"/>
    <x v="0"/>
  </r>
  <r>
    <n v="4295"/>
    <x v="394"/>
    <s v="Customer payment received"/>
    <x v="1556"/>
    <s v="0.0"/>
    <x v="0"/>
    <x v="0"/>
  </r>
  <r>
    <n v="4295"/>
    <x v="394"/>
    <s v="Customer payment received"/>
    <x v="273"/>
    <s v="3259.51"/>
    <x v="2"/>
    <x v="0"/>
  </r>
  <r>
    <n v="4296"/>
    <x v="394"/>
    <s v="Customer payment received"/>
    <x v="1580"/>
    <s v="0.0"/>
    <x v="0"/>
    <x v="0"/>
  </r>
  <r>
    <n v="4296"/>
    <x v="394"/>
    <s v="Customer payment received"/>
    <x v="273"/>
    <s v="1617.72"/>
    <x v="2"/>
    <x v="0"/>
  </r>
  <r>
    <n v="4297"/>
    <x v="394"/>
    <s v="Customer payment received"/>
    <x v="1782"/>
    <s v="0.0"/>
    <x v="0"/>
    <x v="0"/>
  </r>
  <r>
    <n v="4297"/>
    <x v="394"/>
    <s v="Customer payment received"/>
    <x v="273"/>
    <s v="98.95"/>
    <x v="2"/>
    <x v="0"/>
  </r>
  <r>
    <n v="4298"/>
    <x v="394"/>
    <s v="Supplier invoice received"/>
    <x v="445"/>
    <s v="0.0"/>
    <x v="9"/>
    <x v="4"/>
  </r>
  <r>
    <n v="4298"/>
    <x v="394"/>
    <s v="Supplier invoice received"/>
    <x v="446"/>
    <s v="0.0"/>
    <x v="10"/>
    <x v="0"/>
  </r>
  <r>
    <n v="4298"/>
    <x v="394"/>
    <s v="Supplier invoice received"/>
    <x v="273"/>
    <s v="1794.11"/>
    <x v="11"/>
    <x v="3"/>
  </r>
  <r>
    <n v="4299"/>
    <x v="394"/>
    <s v="Supplier payment made"/>
    <x v="496"/>
    <s v="0.0"/>
    <x v="11"/>
    <x v="3"/>
  </r>
  <r>
    <n v="4299"/>
    <x v="394"/>
    <s v="Supplier payment made"/>
    <x v="273"/>
    <s v="7227.44"/>
    <x v="0"/>
    <x v="0"/>
  </r>
  <r>
    <n v="4300"/>
    <x v="394"/>
    <s v="Supplier payment made"/>
    <x v="515"/>
    <s v="0.0"/>
    <x v="11"/>
    <x v="3"/>
  </r>
  <r>
    <n v="4300"/>
    <x v="394"/>
    <s v="Supplier payment made"/>
    <x v="273"/>
    <s v="862.91"/>
    <x v="0"/>
    <x v="0"/>
  </r>
  <r>
    <n v="4301"/>
    <x v="394"/>
    <s v="Supplier payment made"/>
    <x v="350"/>
    <s v="0.0"/>
    <x v="11"/>
    <x v="3"/>
  </r>
  <r>
    <n v="4301"/>
    <x v="394"/>
    <s v="Supplier payment made"/>
    <x v="273"/>
    <s v="1794.11"/>
    <x v="0"/>
    <x v="0"/>
  </r>
  <r>
    <n v="4302"/>
    <x v="395"/>
    <s v="Sales invoice issued"/>
    <x v="1795"/>
    <s v="0.0"/>
    <x v="2"/>
    <x v="0"/>
  </r>
  <r>
    <n v="4302"/>
    <x v="395"/>
    <s v="Sales invoice issued"/>
    <x v="273"/>
    <s v="441.73"/>
    <x v="3"/>
    <x v="2"/>
  </r>
  <r>
    <n v="4302"/>
    <x v="395"/>
    <s v="Sales invoice issued"/>
    <x v="273"/>
    <s v="33.13"/>
    <x v="4"/>
    <x v="3"/>
  </r>
  <r>
    <n v="4303"/>
    <x v="395"/>
    <s v="Sales invoice issued"/>
    <x v="1796"/>
    <s v="0.0"/>
    <x v="2"/>
    <x v="0"/>
  </r>
  <r>
    <n v="4303"/>
    <x v="395"/>
    <s v="Sales invoice issued"/>
    <x v="273"/>
    <s v="3903.03"/>
    <x v="3"/>
    <x v="2"/>
  </r>
  <r>
    <n v="4303"/>
    <x v="395"/>
    <s v="Sales invoice issued"/>
    <x v="273"/>
    <s v="292.73"/>
    <x v="4"/>
    <x v="3"/>
  </r>
  <r>
    <n v="4304"/>
    <x v="395"/>
    <s v="Sales invoice issued"/>
    <x v="1797"/>
    <s v="0.0"/>
    <x v="2"/>
    <x v="0"/>
  </r>
  <r>
    <n v="4304"/>
    <x v="395"/>
    <s v="Sales invoice issued"/>
    <x v="273"/>
    <s v="4297.16"/>
    <x v="3"/>
    <x v="2"/>
  </r>
  <r>
    <n v="4304"/>
    <x v="395"/>
    <s v="Sales invoice issued"/>
    <x v="273"/>
    <s v="322.29"/>
    <x v="4"/>
    <x v="3"/>
  </r>
  <r>
    <n v="4305"/>
    <x v="395"/>
    <s v="Sales invoice issued"/>
    <x v="1798"/>
    <s v="0.0"/>
    <x v="2"/>
    <x v="0"/>
  </r>
  <r>
    <n v="4305"/>
    <x v="395"/>
    <s v="Sales invoice issued"/>
    <x v="273"/>
    <s v="2966.21"/>
    <x v="3"/>
    <x v="2"/>
  </r>
  <r>
    <n v="4305"/>
    <x v="395"/>
    <s v="Sales invoice issued"/>
    <x v="273"/>
    <s v="222.46"/>
    <x v="4"/>
    <x v="3"/>
  </r>
  <r>
    <n v="4306"/>
    <x v="395"/>
    <s v="Customer payment received"/>
    <x v="1531"/>
    <s v="0.0"/>
    <x v="0"/>
    <x v="0"/>
  </r>
  <r>
    <n v="4306"/>
    <x v="395"/>
    <s v="Customer payment received"/>
    <x v="273"/>
    <s v="3390.54"/>
    <x v="2"/>
    <x v="0"/>
  </r>
  <r>
    <n v="4307"/>
    <x v="395"/>
    <s v="Customer payment received"/>
    <x v="1574"/>
    <s v="0.0"/>
    <x v="0"/>
    <x v="0"/>
  </r>
  <r>
    <n v="4307"/>
    <x v="395"/>
    <s v="Customer payment received"/>
    <x v="273"/>
    <s v="1022.16"/>
    <x v="2"/>
    <x v="0"/>
  </r>
  <r>
    <n v="4308"/>
    <x v="395"/>
    <s v="Customer payment received"/>
    <x v="1597"/>
    <s v="0.0"/>
    <x v="0"/>
    <x v="0"/>
  </r>
  <r>
    <n v="4308"/>
    <x v="395"/>
    <s v="Customer payment received"/>
    <x v="273"/>
    <s v="4209.77"/>
    <x v="2"/>
    <x v="0"/>
  </r>
  <r>
    <n v="4309"/>
    <x v="395"/>
    <s v="Customer payment received"/>
    <x v="1623"/>
    <s v="0.0"/>
    <x v="0"/>
    <x v="0"/>
  </r>
  <r>
    <n v="4309"/>
    <x v="395"/>
    <s v="Customer payment received"/>
    <x v="273"/>
    <s v="2375.9"/>
    <x v="2"/>
    <x v="0"/>
  </r>
  <r>
    <n v="4310"/>
    <x v="395"/>
    <s v="Customer payment received"/>
    <x v="1669"/>
    <s v="0.0"/>
    <x v="0"/>
    <x v="0"/>
  </r>
  <r>
    <n v="4310"/>
    <x v="395"/>
    <s v="Customer payment received"/>
    <x v="273"/>
    <s v="2694.56"/>
    <x v="2"/>
    <x v="0"/>
  </r>
  <r>
    <n v="4311"/>
    <x v="395"/>
    <s v="Customer payment received"/>
    <x v="1699"/>
    <s v="0.0"/>
    <x v="0"/>
    <x v="0"/>
  </r>
  <r>
    <n v="4311"/>
    <x v="395"/>
    <s v="Customer payment received"/>
    <x v="273"/>
    <s v="1706.78"/>
    <x v="2"/>
    <x v="0"/>
  </r>
  <r>
    <n v="4312"/>
    <x v="395"/>
    <s v="Customer payment received"/>
    <x v="1799"/>
    <s v="0.0"/>
    <x v="0"/>
    <x v="0"/>
  </r>
  <r>
    <n v="4312"/>
    <x v="395"/>
    <s v="Customer payment received"/>
    <x v="273"/>
    <s v="708.59"/>
    <x v="2"/>
    <x v="0"/>
  </r>
  <r>
    <n v="4313"/>
    <x v="395"/>
    <s v="Customer payment received"/>
    <x v="1752"/>
    <s v="0.0"/>
    <x v="0"/>
    <x v="0"/>
  </r>
  <r>
    <n v="4313"/>
    <x v="395"/>
    <s v="Customer payment received"/>
    <x v="273"/>
    <s v="1873.63"/>
    <x v="2"/>
    <x v="0"/>
  </r>
  <r>
    <n v="4314"/>
    <x v="395"/>
    <s v="Customer payment received"/>
    <x v="1779"/>
    <s v="0.0"/>
    <x v="0"/>
    <x v="0"/>
  </r>
  <r>
    <n v="4314"/>
    <x v="395"/>
    <s v="Customer payment received"/>
    <x v="273"/>
    <s v="138.57"/>
    <x v="2"/>
    <x v="0"/>
  </r>
  <r>
    <n v="4315"/>
    <x v="395"/>
    <s v="Customer payment received"/>
    <x v="1793"/>
    <s v="0.0"/>
    <x v="0"/>
    <x v="0"/>
  </r>
  <r>
    <n v="4315"/>
    <x v="395"/>
    <s v="Customer payment received"/>
    <x v="273"/>
    <s v="3527.07"/>
    <x v="2"/>
    <x v="0"/>
  </r>
  <r>
    <n v="4316"/>
    <x v="395"/>
    <s v="Supplier invoice received"/>
    <x v="443"/>
    <s v="0.0"/>
    <x v="9"/>
    <x v="4"/>
  </r>
  <r>
    <n v="4316"/>
    <x v="395"/>
    <s v="Supplier invoice received"/>
    <x v="444"/>
    <s v="0.0"/>
    <x v="10"/>
    <x v="0"/>
  </r>
  <r>
    <n v="4316"/>
    <x v="395"/>
    <s v="Supplier invoice received"/>
    <x v="273"/>
    <s v="748.26"/>
    <x v="11"/>
    <x v="3"/>
  </r>
  <r>
    <n v="4317"/>
    <x v="395"/>
    <s v="Supplier invoice received"/>
    <x v="305"/>
    <s v="0.0"/>
    <x v="9"/>
    <x v="4"/>
  </r>
  <r>
    <n v="4317"/>
    <x v="395"/>
    <s v="Supplier invoice received"/>
    <x v="306"/>
    <s v="0.0"/>
    <x v="10"/>
    <x v="0"/>
  </r>
  <r>
    <n v="4317"/>
    <x v="395"/>
    <s v="Supplier invoice received"/>
    <x v="273"/>
    <s v="276.32"/>
    <x v="11"/>
    <x v="3"/>
  </r>
  <r>
    <n v="4318"/>
    <x v="395"/>
    <s v="Supplier payment made"/>
    <x v="351"/>
    <s v="0.0"/>
    <x v="11"/>
    <x v="3"/>
  </r>
  <r>
    <n v="4318"/>
    <x v="395"/>
    <s v="Supplier payment made"/>
    <x v="273"/>
    <s v="179.01"/>
    <x v="0"/>
    <x v="0"/>
  </r>
  <r>
    <n v="4319"/>
    <x v="395"/>
    <s v="Supplier payment made"/>
    <x v="336"/>
    <s v="0.0"/>
    <x v="11"/>
    <x v="3"/>
  </r>
  <r>
    <n v="4319"/>
    <x v="395"/>
    <s v="Supplier payment made"/>
    <x v="273"/>
    <s v="2093.28"/>
    <x v="0"/>
    <x v="0"/>
  </r>
  <r>
    <n v="4320"/>
    <x v="395"/>
    <s v="Supplier payment made"/>
    <x v="310"/>
    <s v="0.0"/>
    <x v="11"/>
    <x v="3"/>
  </r>
  <r>
    <n v="4320"/>
    <x v="395"/>
    <s v="Supplier payment made"/>
    <x v="273"/>
    <s v="276.32"/>
    <x v="0"/>
    <x v="0"/>
  </r>
  <r>
    <n v="4321"/>
    <x v="396"/>
    <s v="Sales invoice issued"/>
    <x v="1800"/>
    <s v="0.0"/>
    <x v="2"/>
    <x v="0"/>
  </r>
  <r>
    <n v="4321"/>
    <x v="396"/>
    <s v="Sales invoice issued"/>
    <x v="273"/>
    <s v="1034.84"/>
    <x v="3"/>
    <x v="2"/>
  </r>
  <r>
    <n v="4321"/>
    <x v="396"/>
    <s v="Sales invoice issued"/>
    <x v="273"/>
    <s v="77.61"/>
    <x v="4"/>
    <x v="3"/>
  </r>
  <r>
    <n v="4322"/>
    <x v="396"/>
    <s v="Sales invoice issued"/>
    <x v="1801"/>
    <s v="0.0"/>
    <x v="2"/>
    <x v="0"/>
  </r>
  <r>
    <n v="4322"/>
    <x v="396"/>
    <s v="Sales invoice issued"/>
    <x v="273"/>
    <s v="446.0"/>
    <x v="3"/>
    <x v="2"/>
  </r>
  <r>
    <n v="4322"/>
    <x v="396"/>
    <s v="Sales invoice issued"/>
    <x v="273"/>
    <s v="33.46"/>
    <x v="4"/>
    <x v="3"/>
  </r>
  <r>
    <n v="4323"/>
    <x v="396"/>
    <s v="Sales invoice issued"/>
    <x v="1802"/>
    <s v="0.0"/>
    <x v="2"/>
    <x v="0"/>
  </r>
  <r>
    <n v="4323"/>
    <x v="396"/>
    <s v="Sales invoice issued"/>
    <x v="273"/>
    <s v="499.97"/>
    <x v="3"/>
    <x v="2"/>
  </r>
  <r>
    <n v="4323"/>
    <x v="396"/>
    <s v="Sales invoice issued"/>
    <x v="273"/>
    <s v="37.5"/>
    <x v="4"/>
    <x v="3"/>
  </r>
  <r>
    <n v="4324"/>
    <x v="396"/>
    <s v="Sales invoice issued"/>
    <x v="1803"/>
    <s v="0.0"/>
    <x v="2"/>
    <x v="0"/>
  </r>
  <r>
    <n v="4324"/>
    <x v="396"/>
    <s v="Sales invoice issued"/>
    <x v="273"/>
    <s v="393.18"/>
    <x v="3"/>
    <x v="2"/>
  </r>
  <r>
    <n v="4324"/>
    <x v="396"/>
    <s v="Sales invoice issued"/>
    <x v="273"/>
    <s v="29.48"/>
    <x v="4"/>
    <x v="3"/>
  </r>
  <r>
    <n v="4325"/>
    <x v="396"/>
    <s v="Sales invoice issued"/>
    <x v="1804"/>
    <s v="0.0"/>
    <x v="2"/>
    <x v="0"/>
  </r>
  <r>
    <n v="4325"/>
    <x v="396"/>
    <s v="Sales invoice issued"/>
    <x v="273"/>
    <s v="890.16"/>
    <x v="3"/>
    <x v="2"/>
  </r>
  <r>
    <n v="4325"/>
    <x v="396"/>
    <s v="Sales invoice issued"/>
    <x v="273"/>
    <s v="66.76"/>
    <x v="4"/>
    <x v="3"/>
  </r>
  <r>
    <n v="4326"/>
    <x v="396"/>
    <s v="Sales invoice issued"/>
    <x v="1805"/>
    <s v="0.0"/>
    <x v="2"/>
    <x v="0"/>
  </r>
  <r>
    <n v="4326"/>
    <x v="396"/>
    <s v="Sales invoice issued"/>
    <x v="273"/>
    <s v="3219.56"/>
    <x v="3"/>
    <x v="2"/>
  </r>
  <r>
    <n v="4326"/>
    <x v="396"/>
    <s v="Sales invoice issued"/>
    <x v="273"/>
    <s v="241.45"/>
    <x v="4"/>
    <x v="3"/>
  </r>
  <r>
    <n v="4327"/>
    <x v="396"/>
    <s v="Sales invoice issued"/>
    <x v="1806"/>
    <s v="0.0"/>
    <x v="2"/>
    <x v="0"/>
  </r>
  <r>
    <n v="4327"/>
    <x v="396"/>
    <s v="Sales invoice issued"/>
    <x v="273"/>
    <s v="2488.78"/>
    <x v="3"/>
    <x v="2"/>
  </r>
  <r>
    <n v="4327"/>
    <x v="396"/>
    <s v="Sales invoice issued"/>
    <x v="273"/>
    <s v="186.68"/>
    <x v="4"/>
    <x v="3"/>
  </r>
  <r>
    <n v="4328"/>
    <x v="396"/>
    <s v="Sales invoice issued"/>
    <x v="1807"/>
    <s v="0.0"/>
    <x v="2"/>
    <x v="0"/>
  </r>
  <r>
    <n v="4328"/>
    <x v="396"/>
    <s v="Sales invoice issued"/>
    <x v="273"/>
    <s v="4369.48"/>
    <x v="3"/>
    <x v="2"/>
  </r>
  <r>
    <n v="4328"/>
    <x v="396"/>
    <s v="Sales invoice issued"/>
    <x v="273"/>
    <s v="327.7"/>
    <x v="4"/>
    <x v="3"/>
  </r>
  <r>
    <n v="4329"/>
    <x v="396"/>
    <s v="Sales invoice issued"/>
    <x v="1808"/>
    <s v="0.0"/>
    <x v="2"/>
    <x v="0"/>
  </r>
  <r>
    <n v="4329"/>
    <x v="396"/>
    <s v="Sales invoice issued"/>
    <x v="273"/>
    <s v="1335.38"/>
    <x v="3"/>
    <x v="2"/>
  </r>
  <r>
    <n v="4329"/>
    <x v="396"/>
    <s v="Sales invoice issued"/>
    <x v="273"/>
    <s v="100.15"/>
    <x v="4"/>
    <x v="3"/>
  </r>
  <r>
    <n v="4330"/>
    <x v="396"/>
    <s v="Sales invoice issued"/>
    <x v="1809"/>
    <s v="0.0"/>
    <x v="2"/>
    <x v="0"/>
  </r>
  <r>
    <n v="4330"/>
    <x v="396"/>
    <s v="Sales invoice issued"/>
    <x v="273"/>
    <s v="446.81"/>
    <x v="3"/>
    <x v="2"/>
  </r>
  <r>
    <n v="4330"/>
    <x v="396"/>
    <s v="Sales invoice issued"/>
    <x v="273"/>
    <s v="33.51"/>
    <x v="4"/>
    <x v="3"/>
  </r>
  <r>
    <n v="4331"/>
    <x v="396"/>
    <s v="Sales invoice issued"/>
    <x v="1810"/>
    <s v="0.0"/>
    <x v="2"/>
    <x v="0"/>
  </r>
  <r>
    <n v="4331"/>
    <x v="396"/>
    <s v="Sales invoice issued"/>
    <x v="273"/>
    <s v="388.7"/>
    <x v="3"/>
    <x v="2"/>
  </r>
  <r>
    <n v="4331"/>
    <x v="396"/>
    <s v="Sales invoice issued"/>
    <x v="273"/>
    <s v="29.15"/>
    <x v="4"/>
    <x v="3"/>
  </r>
  <r>
    <n v="4332"/>
    <x v="396"/>
    <s v="Customer payment received"/>
    <x v="1629"/>
    <s v="0.0"/>
    <x v="0"/>
    <x v="0"/>
  </r>
  <r>
    <n v="4332"/>
    <x v="396"/>
    <s v="Customer payment received"/>
    <x v="273"/>
    <s v="2106.45"/>
    <x v="2"/>
    <x v="0"/>
  </r>
  <r>
    <n v="4333"/>
    <x v="396"/>
    <s v="Customer payment received"/>
    <x v="1689"/>
    <s v="0.0"/>
    <x v="0"/>
    <x v="0"/>
  </r>
  <r>
    <n v="4333"/>
    <x v="396"/>
    <s v="Customer payment received"/>
    <x v="273"/>
    <s v="1951.86"/>
    <x v="2"/>
    <x v="0"/>
  </r>
  <r>
    <n v="4334"/>
    <x v="396"/>
    <s v="Customer payment received"/>
    <x v="1700"/>
    <s v="0.0"/>
    <x v="0"/>
    <x v="0"/>
  </r>
  <r>
    <n v="4334"/>
    <x v="396"/>
    <s v="Customer payment received"/>
    <x v="273"/>
    <s v="919.05"/>
    <x v="2"/>
    <x v="0"/>
  </r>
  <r>
    <n v="4335"/>
    <x v="396"/>
    <s v="Customer payment received"/>
    <x v="1751"/>
    <s v="0.0"/>
    <x v="0"/>
    <x v="0"/>
  </r>
  <r>
    <n v="4335"/>
    <x v="396"/>
    <s v="Customer payment received"/>
    <x v="273"/>
    <s v="3263.89"/>
    <x v="2"/>
    <x v="0"/>
  </r>
  <r>
    <n v="4336"/>
    <x v="396"/>
    <s v="Customer payment received"/>
    <x v="1790"/>
    <s v="0.0"/>
    <x v="0"/>
    <x v="0"/>
  </r>
  <r>
    <n v="4336"/>
    <x v="396"/>
    <s v="Customer payment received"/>
    <x v="273"/>
    <s v="1028.06"/>
    <x v="2"/>
    <x v="0"/>
  </r>
  <r>
    <n v="4337"/>
    <x v="396"/>
    <s v="Supplier invoice received"/>
    <x v="284"/>
    <s v="0.0"/>
    <x v="9"/>
    <x v="4"/>
  </r>
  <r>
    <n v="4337"/>
    <x v="396"/>
    <s v="Supplier invoice received"/>
    <x v="285"/>
    <s v="0.0"/>
    <x v="10"/>
    <x v="0"/>
  </r>
  <r>
    <n v="4337"/>
    <x v="396"/>
    <s v="Supplier invoice received"/>
    <x v="273"/>
    <s v="9336.67"/>
    <x v="11"/>
    <x v="3"/>
  </r>
  <r>
    <n v="4338"/>
    <x v="396"/>
    <s v="Supplier invoice received"/>
    <x v="299"/>
    <s v="0.0"/>
    <x v="9"/>
    <x v="4"/>
  </r>
  <r>
    <n v="4338"/>
    <x v="396"/>
    <s v="Supplier invoice received"/>
    <x v="300"/>
    <s v="0.0"/>
    <x v="10"/>
    <x v="0"/>
  </r>
  <r>
    <n v="4338"/>
    <x v="396"/>
    <s v="Supplier invoice received"/>
    <x v="273"/>
    <s v="2918.17"/>
    <x v="11"/>
    <x v="3"/>
  </r>
  <r>
    <n v="4339"/>
    <x v="396"/>
    <s v="Supplier invoice received"/>
    <x v="332"/>
    <s v="0.0"/>
    <x v="9"/>
    <x v="4"/>
  </r>
  <r>
    <n v="4339"/>
    <x v="396"/>
    <s v="Supplier invoice received"/>
    <x v="333"/>
    <s v="0.0"/>
    <x v="10"/>
    <x v="0"/>
  </r>
  <r>
    <n v="4339"/>
    <x v="396"/>
    <s v="Supplier invoice received"/>
    <x v="273"/>
    <s v="1023.42"/>
    <x v="11"/>
    <x v="3"/>
  </r>
  <r>
    <n v="4340"/>
    <x v="396"/>
    <s v="Supplier payment made"/>
    <x v="393"/>
    <s v="0.0"/>
    <x v="11"/>
    <x v="3"/>
  </r>
  <r>
    <n v="4340"/>
    <x v="396"/>
    <s v="Supplier payment made"/>
    <x v="273"/>
    <s v="412.54"/>
    <x v="0"/>
    <x v="0"/>
  </r>
  <r>
    <n v="4341"/>
    <x v="396"/>
    <s v="Supplier payment made"/>
    <x v="334"/>
    <s v="0.0"/>
    <x v="11"/>
    <x v="3"/>
  </r>
  <r>
    <n v="4341"/>
    <x v="396"/>
    <s v="Supplier payment made"/>
    <x v="273"/>
    <s v="3528.97"/>
    <x v="0"/>
    <x v="0"/>
  </r>
  <r>
    <n v="4342"/>
    <x v="396"/>
    <s v="Supplier payment made"/>
    <x v="318"/>
    <s v="0.0"/>
    <x v="11"/>
    <x v="3"/>
  </r>
  <r>
    <n v="4342"/>
    <x v="396"/>
    <s v="Supplier payment made"/>
    <x v="273"/>
    <s v="2504.23"/>
    <x v="0"/>
    <x v="0"/>
  </r>
  <r>
    <n v="4343"/>
    <x v="397"/>
    <s v="Sales invoice issued"/>
    <x v="1811"/>
    <s v="0.0"/>
    <x v="2"/>
    <x v="0"/>
  </r>
  <r>
    <n v="4343"/>
    <x v="397"/>
    <s v="Sales invoice issued"/>
    <x v="273"/>
    <s v="4369.92"/>
    <x v="3"/>
    <x v="2"/>
  </r>
  <r>
    <n v="4343"/>
    <x v="397"/>
    <s v="Sales invoice issued"/>
    <x v="273"/>
    <s v="327.75"/>
    <x v="4"/>
    <x v="3"/>
  </r>
  <r>
    <n v="4344"/>
    <x v="397"/>
    <s v="Sales invoice issued"/>
    <x v="1812"/>
    <s v="0.0"/>
    <x v="2"/>
    <x v="0"/>
  </r>
  <r>
    <n v="4344"/>
    <x v="397"/>
    <s v="Sales invoice issued"/>
    <x v="273"/>
    <s v="2749.23"/>
    <x v="3"/>
    <x v="2"/>
  </r>
  <r>
    <n v="4344"/>
    <x v="397"/>
    <s v="Sales invoice issued"/>
    <x v="273"/>
    <s v="206.19"/>
    <x v="4"/>
    <x v="3"/>
  </r>
  <r>
    <n v="4345"/>
    <x v="397"/>
    <s v="Sales invoice issued"/>
    <x v="1813"/>
    <s v="0.0"/>
    <x v="2"/>
    <x v="0"/>
  </r>
  <r>
    <n v="4345"/>
    <x v="397"/>
    <s v="Sales invoice issued"/>
    <x v="273"/>
    <s v="2160.5"/>
    <x v="3"/>
    <x v="2"/>
  </r>
  <r>
    <n v="4345"/>
    <x v="397"/>
    <s v="Sales invoice issued"/>
    <x v="273"/>
    <s v="162.05"/>
    <x v="4"/>
    <x v="3"/>
  </r>
  <r>
    <n v="4346"/>
    <x v="397"/>
    <s v="Customer payment received"/>
    <x v="1550"/>
    <s v="0.0"/>
    <x v="0"/>
    <x v="0"/>
  </r>
  <r>
    <n v="4346"/>
    <x v="397"/>
    <s v="Customer payment received"/>
    <x v="273"/>
    <s v="3992.47"/>
    <x v="2"/>
    <x v="0"/>
  </r>
  <r>
    <n v="4347"/>
    <x v="397"/>
    <s v="Customer payment received"/>
    <x v="1619"/>
    <s v="0.0"/>
    <x v="0"/>
    <x v="0"/>
  </r>
  <r>
    <n v="4347"/>
    <x v="397"/>
    <s v="Customer payment received"/>
    <x v="273"/>
    <s v="5144.53"/>
    <x v="2"/>
    <x v="0"/>
  </r>
  <r>
    <n v="4348"/>
    <x v="397"/>
    <s v="Customer payment received"/>
    <x v="1688"/>
    <s v="0.0"/>
    <x v="0"/>
    <x v="0"/>
  </r>
  <r>
    <n v="4348"/>
    <x v="397"/>
    <s v="Customer payment received"/>
    <x v="273"/>
    <s v="744.46"/>
    <x v="2"/>
    <x v="0"/>
  </r>
  <r>
    <n v="4349"/>
    <x v="397"/>
    <s v="Customer payment received"/>
    <x v="1756"/>
    <s v="0.0"/>
    <x v="0"/>
    <x v="0"/>
  </r>
  <r>
    <n v="4349"/>
    <x v="397"/>
    <s v="Customer payment received"/>
    <x v="273"/>
    <s v="3387.81"/>
    <x v="2"/>
    <x v="0"/>
  </r>
  <r>
    <n v="4350"/>
    <x v="397"/>
    <s v="Customer payment received"/>
    <x v="1814"/>
    <s v="0.0"/>
    <x v="0"/>
    <x v="0"/>
  </r>
  <r>
    <n v="4350"/>
    <x v="397"/>
    <s v="Customer payment received"/>
    <x v="273"/>
    <s v="3586.32"/>
    <x v="2"/>
    <x v="0"/>
  </r>
  <r>
    <n v="4351"/>
    <x v="397"/>
    <s v="Supplier invoice received"/>
    <x v="297"/>
    <s v="0.0"/>
    <x v="9"/>
    <x v="4"/>
  </r>
  <r>
    <n v="4351"/>
    <x v="397"/>
    <s v="Supplier invoice received"/>
    <x v="298"/>
    <s v="0.0"/>
    <x v="10"/>
    <x v="0"/>
  </r>
  <r>
    <n v="4351"/>
    <x v="397"/>
    <s v="Supplier invoice received"/>
    <x v="273"/>
    <s v="3528.97"/>
    <x v="11"/>
    <x v="3"/>
  </r>
  <r>
    <n v="4352"/>
    <x v="397"/>
    <s v="Supplier invoice received"/>
    <x v="325"/>
    <s v="0.0"/>
    <x v="9"/>
    <x v="4"/>
  </r>
  <r>
    <n v="4352"/>
    <x v="397"/>
    <s v="Supplier invoice received"/>
    <x v="326"/>
    <s v="0.0"/>
    <x v="10"/>
    <x v="0"/>
  </r>
  <r>
    <n v="4352"/>
    <x v="397"/>
    <s v="Supplier invoice received"/>
    <x v="273"/>
    <s v="1304.62"/>
    <x v="11"/>
    <x v="3"/>
  </r>
  <r>
    <n v="4353"/>
    <x v="397"/>
    <s v="Supplier payment made"/>
    <x v="407"/>
    <s v="0.0"/>
    <x v="11"/>
    <x v="3"/>
  </r>
  <r>
    <n v="4353"/>
    <x v="397"/>
    <s v="Supplier payment made"/>
    <x v="273"/>
    <s v="201.5"/>
    <x v="0"/>
    <x v="0"/>
  </r>
  <r>
    <n v="4354"/>
    <x v="398"/>
    <s v="Sales invoice issued"/>
    <x v="1815"/>
    <s v="0.0"/>
    <x v="2"/>
    <x v="0"/>
  </r>
  <r>
    <n v="4354"/>
    <x v="398"/>
    <s v="Sales invoice issued"/>
    <x v="273"/>
    <s v="3481.81"/>
    <x v="3"/>
    <x v="2"/>
  </r>
  <r>
    <n v="4354"/>
    <x v="398"/>
    <s v="Sales invoice issued"/>
    <x v="273"/>
    <s v="261.13"/>
    <x v="4"/>
    <x v="3"/>
  </r>
  <r>
    <n v="4355"/>
    <x v="398"/>
    <s v="Sales invoice issued"/>
    <x v="1816"/>
    <s v="0.0"/>
    <x v="2"/>
    <x v="0"/>
  </r>
  <r>
    <n v="4355"/>
    <x v="398"/>
    <s v="Sales invoice issued"/>
    <x v="273"/>
    <s v="75.2"/>
    <x v="3"/>
    <x v="2"/>
  </r>
  <r>
    <n v="4355"/>
    <x v="398"/>
    <s v="Sales invoice issued"/>
    <x v="273"/>
    <s v="5.64"/>
    <x v="4"/>
    <x v="3"/>
  </r>
  <r>
    <n v="4356"/>
    <x v="398"/>
    <s v="Sales invoice issued"/>
    <x v="1817"/>
    <s v="0.0"/>
    <x v="2"/>
    <x v="0"/>
  </r>
  <r>
    <n v="4356"/>
    <x v="398"/>
    <s v="Sales invoice issued"/>
    <x v="273"/>
    <s v="4615.6"/>
    <x v="3"/>
    <x v="2"/>
  </r>
  <r>
    <n v="4356"/>
    <x v="398"/>
    <s v="Sales invoice issued"/>
    <x v="273"/>
    <s v="346.17"/>
    <x v="4"/>
    <x v="3"/>
  </r>
  <r>
    <n v="4357"/>
    <x v="398"/>
    <s v="Customer payment received"/>
    <x v="1532"/>
    <s v="0.0"/>
    <x v="0"/>
    <x v="0"/>
  </r>
  <r>
    <n v="4357"/>
    <x v="398"/>
    <s v="Customer payment received"/>
    <x v="273"/>
    <s v="2785.87"/>
    <x v="2"/>
    <x v="0"/>
  </r>
  <r>
    <n v="4358"/>
    <x v="398"/>
    <s v="Customer payment received"/>
    <x v="1538"/>
    <s v="0.0"/>
    <x v="0"/>
    <x v="0"/>
  </r>
  <r>
    <n v="4358"/>
    <x v="398"/>
    <s v="Customer payment received"/>
    <x v="273"/>
    <s v="2669.65"/>
    <x v="2"/>
    <x v="0"/>
  </r>
  <r>
    <n v="4359"/>
    <x v="398"/>
    <s v="Customer payment received"/>
    <x v="1662"/>
    <s v="0.0"/>
    <x v="0"/>
    <x v="0"/>
  </r>
  <r>
    <n v="4359"/>
    <x v="398"/>
    <s v="Customer payment received"/>
    <x v="273"/>
    <s v="1116.69"/>
    <x v="2"/>
    <x v="0"/>
  </r>
  <r>
    <n v="4360"/>
    <x v="398"/>
    <s v="Customer payment received"/>
    <x v="1696"/>
    <s v="0.0"/>
    <x v="0"/>
    <x v="0"/>
  </r>
  <r>
    <n v="4360"/>
    <x v="398"/>
    <s v="Customer payment received"/>
    <x v="273"/>
    <s v="1282.93"/>
    <x v="2"/>
    <x v="0"/>
  </r>
  <r>
    <n v="4361"/>
    <x v="398"/>
    <s v="Customer payment received"/>
    <x v="1697"/>
    <s v="0.0"/>
    <x v="0"/>
    <x v="0"/>
  </r>
  <r>
    <n v="4361"/>
    <x v="398"/>
    <s v="Customer payment received"/>
    <x v="273"/>
    <s v="2430.73"/>
    <x v="2"/>
    <x v="0"/>
  </r>
  <r>
    <n v="4362"/>
    <x v="398"/>
    <s v="Supplier invoice received"/>
    <x v="338"/>
    <s v="0.0"/>
    <x v="9"/>
    <x v="4"/>
  </r>
  <r>
    <n v="4362"/>
    <x v="398"/>
    <s v="Supplier invoice received"/>
    <x v="339"/>
    <s v="0.0"/>
    <x v="10"/>
    <x v="0"/>
  </r>
  <r>
    <n v="4362"/>
    <x v="398"/>
    <s v="Supplier invoice received"/>
    <x v="273"/>
    <s v="1159.84"/>
    <x v="11"/>
    <x v="3"/>
  </r>
  <r>
    <n v="4363"/>
    <x v="398"/>
    <s v="Supplier payment made"/>
    <x v="408"/>
    <s v="0.0"/>
    <x v="11"/>
    <x v="3"/>
  </r>
  <r>
    <n v="4363"/>
    <x v="398"/>
    <s v="Supplier payment made"/>
    <x v="273"/>
    <s v="3868.8"/>
    <x v="0"/>
    <x v="0"/>
  </r>
  <r>
    <n v="4364"/>
    <x v="399"/>
    <s v="Sales invoice issued"/>
    <x v="1818"/>
    <s v="0.0"/>
    <x v="2"/>
    <x v="0"/>
  </r>
  <r>
    <n v="4364"/>
    <x v="399"/>
    <s v="Sales invoice issued"/>
    <x v="273"/>
    <s v="1306.97"/>
    <x v="3"/>
    <x v="2"/>
  </r>
  <r>
    <n v="4364"/>
    <x v="399"/>
    <s v="Sales invoice issued"/>
    <x v="273"/>
    <s v="98.03"/>
    <x v="4"/>
    <x v="3"/>
  </r>
  <r>
    <n v="4365"/>
    <x v="399"/>
    <s v="Sales invoice issued"/>
    <x v="1819"/>
    <s v="0.0"/>
    <x v="2"/>
    <x v="0"/>
  </r>
  <r>
    <n v="4365"/>
    <x v="399"/>
    <s v="Sales invoice issued"/>
    <x v="273"/>
    <s v="507.08"/>
    <x v="3"/>
    <x v="2"/>
  </r>
  <r>
    <n v="4365"/>
    <x v="399"/>
    <s v="Sales invoice issued"/>
    <x v="273"/>
    <s v="38.03"/>
    <x v="4"/>
    <x v="3"/>
  </r>
  <r>
    <n v="4366"/>
    <x v="399"/>
    <s v="Sales invoice issued"/>
    <x v="1820"/>
    <s v="0.0"/>
    <x v="2"/>
    <x v="0"/>
  </r>
  <r>
    <n v="4366"/>
    <x v="399"/>
    <s v="Sales invoice issued"/>
    <x v="273"/>
    <s v="2601.93"/>
    <x v="3"/>
    <x v="2"/>
  </r>
  <r>
    <n v="4366"/>
    <x v="399"/>
    <s v="Sales invoice issued"/>
    <x v="273"/>
    <s v="195.14"/>
    <x v="4"/>
    <x v="3"/>
  </r>
  <r>
    <n v="4367"/>
    <x v="399"/>
    <s v="Sales invoice issued"/>
    <x v="1821"/>
    <s v="0.0"/>
    <x v="2"/>
    <x v="0"/>
  </r>
  <r>
    <n v="4367"/>
    <x v="399"/>
    <s v="Sales invoice issued"/>
    <x v="273"/>
    <s v="2184.45"/>
    <x v="3"/>
    <x v="2"/>
  </r>
  <r>
    <n v="4367"/>
    <x v="399"/>
    <s v="Sales invoice issued"/>
    <x v="273"/>
    <s v="163.83"/>
    <x v="4"/>
    <x v="3"/>
  </r>
  <r>
    <n v="4368"/>
    <x v="399"/>
    <s v="Sales invoice issued"/>
    <x v="1822"/>
    <s v="0.0"/>
    <x v="2"/>
    <x v="0"/>
  </r>
  <r>
    <n v="4368"/>
    <x v="399"/>
    <s v="Sales invoice issued"/>
    <x v="273"/>
    <s v="2554.84"/>
    <x v="3"/>
    <x v="2"/>
  </r>
  <r>
    <n v="4368"/>
    <x v="399"/>
    <s v="Sales invoice issued"/>
    <x v="273"/>
    <s v="191.61"/>
    <x v="4"/>
    <x v="3"/>
  </r>
  <r>
    <n v="4369"/>
    <x v="399"/>
    <s v="Sales invoice issued"/>
    <x v="1823"/>
    <s v="0.0"/>
    <x v="2"/>
    <x v="0"/>
  </r>
  <r>
    <n v="4369"/>
    <x v="399"/>
    <s v="Sales invoice issued"/>
    <x v="273"/>
    <s v="2767.31"/>
    <x v="3"/>
    <x v="2"/>
  </r>
  <r>
    <n v="4369"/>
    <x v="399"/>
    <s v="Sales invoice issued"/>
    <x v="273"/>
    <s v="207.55"/>
    <x v="4"/>
    <x v="3"/>
  </r>
  <r>
    <n v="4370"/>
    <x v="399"/>
    <s v="Sales invoice issued"/>
    <x v="1824"/>
    <s v="0.0"/>
    <x v="2"/>
    <x v="0"/>
  </r>
  <r>
    <n v="4370"/>
    <x v="399"/>
    <s v="Sales invoice issued"/>
    <x v="273"/>
    <s v="2705.03"/>
    <x v="3"/>
    <x v="2"/>
  </r>
  <r>
    <n v="4370"/>
    <x v="399"/>
    <s v="Sales invoice issued"/>
    <x v="273"/>
    <s v="202.87"/>
    <x v="4"/>
    <x v="3"/>
  </r>
  <r>
    <n v="4371"/>
    <x v="399"/>
    <s v="Customer payment received"/>
    <x v="1523"/>
    <s v="0.0"/>
    <x v="0"/>
    <x v="0"/>
  </r>
  <r>
    <n v="4371"/>
    <x v="399"/>
    <s v="Customer payment received"/>
    <x v="273"/>
    <s v="4023.98"/>
    <x v="2"/>
    <x v="0"/>
  </r>
  <r>
    <n v="4372"/>
    <x v="399"/>
    <s v="Customer payment received"/>
    <x v="1582"/>
    <s v="0.0"/>
    <x v="0"/>
    <x v="0"/>
  </r>
  <r>
    <n v="4372"/>
    <x v="399"/>
    <s v="Customer payment received"/>
    <x v="273"/>
    <s v="2862.69"/>
    <x v="2"/>
    <x v="0"/>
  </r>
  <r>
    <n v="4373"/>
    <x v="399"/>
    <s v="Customer payment received"/>
    <x v="1600"/>
    <s v="0.0"/>
    <x v="0"/>
    <x v="0"/>
  </r>
  <r>
    <n v="4373"/>
    <x v="399"/>
    <s v="Customer payment received"/>
    <x v="273"/>
    <s v="1931.07"/>
    <x v="2"/>
    <x v="0"/>
  </r>
  <r>
    <n v="4374"/>
    <x v="399"/>
    <s v="Customer payment received"/>
    <x v="1648"/>
    <s v="0.0"/>
    <x v="0"/>
    <x v="0"/>
  </r>
  <r>
    <n v="4374"/>
    <x v="399"/>
    <s v="Customer payment received"/>
    <x v="273"/>
    <s v="2202.7"/>
    <x v="2"/>
    <x v="0"/>
  </r>
  <r>
    <n v="4375"/>
    <x v="399"/>
    <s v="Customer payment received"/>
    <x v="1659"/>
    <s v="0.0"/>
    <x v="0"/>
    <x v="0"/>
  </r>
  <r>
    <n v="4375"/>
    <x v="399"/>
    <s v="Customer payment received"/>
    <x v="273"/>
    <s v="1568.59"/>
    <x v="2"/>
    <x v="0"/>
  </r>
  <r>
    <n v="4376"/>
    <x v="399"/>
    <s v="Customer payment received"/>
    <x v="1687"/>
    <s v="0.0"/>
    <x v="0"/>
    <x v="0"/>
  </r>
  <r>
    <n v="4376"/>
    <x v="399"/>
    <s v="Customer payment received"/>
    <x v="273"/>
    <s v="2938.89"/>
    <x v="2"/>
    <x v="0"/>
  </r>
  <r>
    <n v="4377"/>
    <x v="399"/>
    <s v="Customer payment received"/>
    <x v="1707"/>
    <s v="0.0"/>
    <x v="0"/>
    <x v="0"/>
  </r>
  <r>
    <n v="4377"/>
    <x v="399"/>
    <s v="Customer payment received"/>
    <x v="273"/>
    <s v="44.64"/>
    <x v="2"/>
    <x v="0"/>
  </r>
  <r>
    <n v="4378"/>
    <x v="399"/>
    <s v="Customer payment received"/>
    <x v="1711"/>
    <s v="0.0"/>
    <x v="0"/>
    <x v="0"/>
  </r>
  <r>
    <n v="4378"/>
    <x v="399"/>
    <s v="Customer payment received"/>
    <x v="273"/>
    <s v="2569.65"/>
    <x v="2"/>
    <x v="0"/>
  </r>
  <r>
    <n v="4379"/>
    <x v="399"/>
    <s v="Customer payment received"/>
    <x v="753"/>
    <s v="0.0"/>
    <x v="0"/>
    <x v="0"/>
  </r>
  <r>
    <n v="4379"/>
    <x v="399"/>
    <s v="Customer payment received"/>
    <x v="273"/>
    <s v="590.71"/>
    <x v="2"/>
    <x v="0"/>
  </r>
  <r>
    <n v="4380"/>
    <x v="399"/>
    <s v="Customer payment received"/>
    <x v="1731"/>
    <s v="0.0"/>
    <x v="0"/>
    <x v="0"/>
  </r>
  <r>
    <n v="4380"/>
    <x v="399"/>
    <s v="Customer payment received"/>
    <x v="273"/>
    <s v="2672.31"/>
    <x v="2"/>
    <x v="0"/>
  </r>
  <r>
    <n v="4381"/>
    <x v="399"/>
    <s v="Customer payment received"/>
    <x v="1757"/>
    <s v="0.0"/>
    <x v="0"/>
    <x v="0"/>
  </r>
  <r>
    <n v="4381"/>
    <x v="399"/>
    <s v="Customer payment received"/>
    <x v="273"/>
    <s v="824.32"/>
    <x v="2"/>
    <x v="0"/>
  </r>
  <r>
    <n v="4382"/>
    <x v="399"/>
    <s v="Customer payment received"/>
    <x v="1812"/>
    <s v="0.0"/>
    <x v="0"/>
    <x v="0"/>
  </r>
  <r>
    <n v="4382"/>
    <x v="399"/>
    <s v="Customer payment received"/>
    <x v="273"/>
    <s v="2955.42"/>
    <x v="2"/>
    <x v="0"/>
  </r>
  <r>
    <n v="4383"/>
    <x v="399"/>
    <s v="Supplier invoice received"/>
    <x v="307"/>
    <s v="0.0"/>
    <x v="9"/>
    <x v="4"/>
  </r>
  <r>
    <n v="4383"/>
    <x v="399"/>
    <s v="Supplier invoice received"/>
    <x v="308"/>
    <s v="0.0"/>
    <x v="10"/>
    <x v="0"/>
  </r>
  <r>
    <n v="4383"/>
    <x v="399"/>
    <s v="Supplier invoice received"/>
    <x v="273"/>
    <s v="2093.28"/>
    <x v="11"/>
    <x v="3"/>
  </r>
  <r>
    <n v="4384"/>
    <x v="399"/>
    <s v="Supplier invoice received"/>
    <x v="374"/>
    <s v="0.0"/>
    <x v="9"/>
    <x v="4"/>
  </r>
  <r>
    <n v="4384"/>
    <x v="399"/>
    <s v="Supplier invoice received"/>
    <x v="375"/>
    <s v="0.0"/>
    <x v="10"/>
    <x v="0"/>
  </r>
  <r>
    <n v="4384"/>
    <x v="399"/>
    <s v="Supplier invoice received"/>
    <x v="273"/>
    <s v="2504.23"/>
    <x v="11"/>
    <x v="3"/>
  </r>
  <r>
    <n v="4385"/>
    <x v="399"/>
    <s v="Supplier invoice received"/>
    <x v="305"/>
    <s v="0.0"/>
    <x v="9"/>
    <x v="4"/>
  </r>
  <r>
    <n v="4385"/>
    <x v="399"/>
    <s v="Supplier invoice received"/>
    <x v="306"/>
    <s v="0.0"/>
    <x v="10"/>
    <x v="0"/>
  </r>
  <r>
    <n v="4385"/>
    <x v="399"/>
    <s v="Supplier invoice received"/>
    <x v="273"/>
    <s v="276.32"/>
    <x v="11"/>
    <x v="3"/>
  </r>
  <r>
    <n v="4386"/>
    <x v="399"/>
    <s v="Supplier payment made"/>
    <x v="309"/>
    <s v="0.0"/>
    <x v="11"/>
    <x v="3"/>
  </r>
  <r>
    <n v="4386"/>
    <x v="399"/>
    <s v="Supplier payment made"/>
    <x v="273"/>
    <s v="4812.46"/>
    <x v="0"/>
    <x v="0"/>
  </r>
  <r>
    <n v="4387"/>
    <x v="400"/>
    <s v="Sales invoice issued"/>
    <x v="1825"/>
    <s v="0.0"/>
    <x v="2"/>
    <x v="0"/>
  </r>
  <r>
    <n v="4387"/>
    <x v="400"/>
    <s v="Sales invoice issued"/>
    <x v="273"/>
    <s v="3006.87"/>
    <x v="3"/>
    <x v="2"/>
  </r>
  <r>
    <n v="4387"/>
    <x v="400"/>
    <s v="Sales invoice issued"/>
    <x v="273"/>
    <s v="225.52"/>
    <x v="4"/>
    <x v="3"/>
  </r>
  <r>
    <n v="4388"/>
    <x v="400"/>
    <s v="Sales invoice issued"/>
    <x v="1826"/>
    <s v="0.0"/>
    <x v="2"/>
    <x v="0"/>
  </r>
  <r>
    <n v="4388"/>
    <x v="400"/>
    <s v="Sales invoice issued"/>
    <x v="273"/>
    <s v="2357.64"/>
    <x v="3"/>
    <x v="2"/>
  </r>
  <r>
    <n v="4388"/>
    <x v="400"/>
    <s v="Sales invoice issued"/>
    <x v="273"/>
    <s v="176.82"/>
    <x v="4"/>
    <x v="3"/>
  </r>
  <r>
    <n v="4389"/>
    <x v="400"/>
    <s v="Sales invoice issued"/>
    <x v="1827"/>
    <s v="0.0"/>
    <x v="2"/>
    <x v="0"/>
  </r>
  <r>
    <n v="4389"/>
    <x v="400"/>
    <s v="Sales invoice issued"/>
    <x v="273"/>
    <s v="1107.58"/>
    <x v="3"/>
    <x v="2"/>
  </r>
  <r>
    <n v="4389"/>
    <x v="400"/>
    <s v="Sales invoice issued"/>
    <x v="273"/>
    <s v="83.07"/>
    <x v="4"/>
    <x v="3"/>
  </r>
  <r>
    <n v="4390"/>
    <x v="400"/>
    <s v="Sales invoice issued"/>
    <x v="1828"/>
    <s v="0.0"/>
    <x v="2"/>
    <x v="0"/>
  </r>
  <r>
    <n v="4390"/>
    <x v="400"/>
    <s v="Sales invoice issued"/>
    <x v="273"/>
    <s v="2066.14"/>
    <x v="3"/>
    <x v="2"/>
  </r>
  <r>
    <n v="4390"/>
    <x v="400"/>
    <s v="Sales invoice issued"/>
    <x v="273"/>
    <s v="154.96"/>
    <x v="4"/>
    <x v="3"/>
  </r>
  <r>
    <n v="4391"/>
    <x v="400"/>
    <s v="Sales invoice issued"/>
    <x v="1829"/>
    <s v="0.0"/>
    <x v="2"/>
    <x v="0"/>
  </r>
  <r>
    <n v="4391"/>
    <x v="400"/>
    <s v="Sales invoice issued"/>
    <x v="273"/>
    <s v="3244.07"/>
    <x v="3"/>
    <x v="2"/>
  </r>
  <r>
    <n v="4391"/>
    <x v="400"/>
    <s v="Sales invoice issued"/>
    <x v="273"/>
    <s v="243.31"/>
    <x v="4"/>
    <x v="3"/>
  </r>
  <r>
    <n v="4392"/>
    <x v="400"/>
    <s v="Customer payment received"/>
    <x v="1714"/>
    <s v="0.0"/>
    <x v="0"/>
    <x v="0"/>
  </r>
  <r>
    <n v="4392"/>
    <x v="400"/>
    <s v="Customer payment received"/>
    <x v="273"/>
    <s v="2980.75"/>
    <x v="2"/>
    <x v="0"/>
  </r>
  <r>
    <n v="4393"/>
    <x v="400"/>
    <s v="Customer payment received"/>
    <x v="1830"/>
    <s v="0.0"/>
    <x v="0"/>
    <x v="0"/>
  </r>
  <r>
    <n v="4393"/>
    <x v="400"/>
    <s v="Customer payment received"/>
    <x v="273"/>
    <s v="39.14"/>
    <x v="2"/>
    <x v="0"/>
  </r>
  <r>
    <n v="4394"/>
    <x v="400"/>
    <s v="Customer payment received"/>
    <x v="1789"/>
    <s v="0.0"/>
    <x v="0"/>
    <x v="0"/>
  </r>
  <r>
    <n v="4394"/>
    <x v="400"/>
    <s v="Customer payment received"/>
    <x v="273"/>
    <s v="1966.43"/>
    <x v="2"/>
    <x v="0"/>
  </r>
  <r>
    <n v="4395"/>
    <x v="400"/>
    <s v="Customer payment received"/>
    <x v="1804"/>
    <s v="0.0"/>
    <x v="0"/>
    <x v="0"/>
  </r>
  <r>
    <n v="4395"/>
    <x v="400"/>
    <s v="Customer payment received"/>
    <x v="273"/>
    <s v="956.92"/>
    <x v="2"/>
    <x v="0"/>
  </r>
  <r>
    <n v="4396"/>
    <x v="400"/>
    <s v="Customer payment received"/>
    <x v="1831"/>
    <s v="0.0"/>
    <x v="0"/>
    <x v="0"/>
  </r>
  <r>
    <n v="4396"/>
    <x v="400"/>
    <s v="Customer payment received"/>
    <x v="273"/>
    <s v="1719.99"/>
    <x v="2"/>
    <x v="0"/>
  </r>
  <r>
    <n v="4397"/>
    <x v="400"/>
    <s v="Customer payment received"/>
    <x v="1819"/>
    <s v="0.0"/>
    <x v="0"/>
    <x v="0"/>
  </r>
  <r>
    <n v="4397"/>
    <x v="400"/>
    <s v="Customer payment received"/>
    <x v="273"/>
    <s v="545.11"/>
    <x v="2"/>
    <x v="0"/>
  </r>
  <r>
    <n v="4398"/>
    <x v="400"/>
    <s v="Supplier invoice received"/>
    <x v="330"/>
    <s v="0.0"/>
    <x v="9"/>
    <x v="4"/>
  </r>
  <r>
    <n v="4398"/>
    <x v="400"/>
    <s v="Supplier invoice received"/>
    <x v="331"/>
    <s v="0.0"/>
    <x v="10"/>
    <x v="0"/>
  </r>
  <r>
    <n v="4398"/>
    <x v="400"/>
    <s v="Supplier invoice received"/>
    <x v="273"/>
    <s v="1935.04"/>
    <x v="11"/>
    <x v="3"/>
  </r>
  <r>
    <n v="4399"/>
    <x v="400"/>
    <s v="Supplier invoice received"/>
    <x v="303"/>
    <s v="0.0"/>
    <x v="9"/>
    <x v="4"/>
  </r>
  <r>
    <n v="4399"/>
    <x v="400"/>
    <s v="Supplier invoice received"/>
    <x v="304"/>
    <s v="0.0"/>
    <x v="10"/>
    <x v="0"/>
  </r>
  <r>
    <n v="4399"/>
    <x v="400"/>
    <s v="Supplier invoice received"/>
    <x v="273"/>
    <s v="550.4"/>
    <x v="11"/>
    <x v="3"/>
  </r>
  <r>
    <n v="4400"/>
    <x v="400"/>
    <s v="Supplier invoice received"/>
    <x v="366"/>
    <s v="0.0"/>
    <x v="9"/>
    <x v="4"/>
  </r>
  <r>
    <n v="4400"/>
    <x v="400"/>
    <s v="Supplier invoice received"/>
    <x v="367"/>
    <s v="0.0"/>
    <x v="10"/>
    <x v="0"/>
  </r>
  <r>
    <n v="4400"/>
    <x v="400"/>
    <s v="Supplier invoice received"/>
    <x v="273"/>
    <s v="201.5"/>
    <x v="11"/>
    <x v="3"/>
  </r>
  <r>
    <n v="4401"/>
    <x v="400"/>
    <s v="Supplier invoice received"/>
    <x v="357"/>
    <s v="0.0"/>
    <x v="9"/>
    <x v="4"/>
  </r>
  <r>
    <n v="4401"/>
    <x v="400"/>
    <s v="Supplier invoice received"/>
    <x v="358"/>
    <s v="0.0"/>
    <x v="10"/>
    <x v="0"/>
  </r>
  <r>
    <n v="4401"/>
    <x v="400"/>
    <s v="Supplier invoice received"/>
    <x v="273"/>
    <s v="1958.74"/>
    <x v="11"/>
    <x v="3"/>
  </r>
  <r>
    <n v="4402"/>
    <x v="400"/>
    <s v="Supplier invoice received"/>
    <x v="441"/>
    <s v="0.0"/>
    <x v="9"/>
    <x v="4"/>
  </r>
  <r>
    <n v="4402"/>
    <x v="400"/>
    <s v="Supplier invoice received"/>
    <x v="442"/>
    <s v="0.0"/>
    <x v="10"/>
    <x v="0"/>
  </r>
  <r>
    <n v="4402"/>
    <x v="400"/>
    <s v="Supplier invoice received"/>
    <x v="273"/>
    <s v="179.01"/>
    <x v="11"/>
    <x v="3"/>
  </r>
  <r>
    <n v="4403"/>
    <x v="400"/>
    <s v="Supplier invoice received"/>
    <x v="301"/>
    <s v="0.0"/>
    <x v="9"/>
    <x v="4"/>
  </r>
  <r>
    <n v="4403"/>
    <x v="400"/>
    <s v="Supplier invoice received"/>
    <x v="302"/>
    <s v="0.0"/>
    <x v="10"/>
    <x v="0"/>
  </r>
  <r>
    <n v="4403"/>
    <x v="400"/>
    <s v="Supplier invoice received"/>
    <x v="273"/>
    <s v="4812.46"/>
    <x v="11"/>
    <x v="3"/>
  </r>
  <r>
    <n v="4404"/>
    <x v="400"/>
    <s v="Supplier invoice received"/>
    <x v="443"/>
    <s v="0.0"/>
    <x v="9"/>
    <x v="4"/>
  </r>
  <r>
    <n v="4404"/>
    <x v="400"/>
    <s v="Supplier invoice received"/>
    <x v="444"/>
    <s v="0.0"/>
    <x v="10"/>
    <x v="0"/>
  </r>
  <r>
    <n v="4404"/>
    <x v="400"/>
    <s v="Supplier invoice received"/>
    <x v="273"/>
    <s v="748.26"/>
    <x v="11"/>
    <x v="3"/>
  </r>
  <r>
    <n v="4405"/>
    <x v="400"/>
    <s v="Supplier invoice received"/>
    <x v="295"/>
    <s v="0.0"/>
    <x v="9"/>
    <x v="4"/>
  </r>
  <r>
    <n v="4405"/>
    <x v="400"/>
    <s v="Supplier invoice received"/>
    <x v="296"/>
    <s v="0.0"/>
    <x v="10"/>
    <x v="0"/>
  </r>
  <r>
    <n v="4405"/>
    <x v="400"/>
    <s v="Supplier invoice received"/>
    <x v="273"/>
    <s v="1766.46"/>
    <x v="11"/>
    <x v="3"/>
  </r>
  <r>
    <n v="4406"/>
    <x v="400"/>
    <s v="Supplier invoice received"/>
    <x v="284"/>
    <s v="0.0"/>
    <x v="9"/>
    <x v="4"/>
  </r>
  <r>
    <n v="4406"/>
    <x v="400"/>
    <s v="Supplier invoice received"/>
    <x v="285"/>
    <s v="0.0"/>
    <x v="10"/>
    <x v="0"/>
  </r>
  <r>
    <n v="4406"/>
    <x v="400"/>
    <s v="Supplier invoice received"/>
    <x v="273"/>
    <s v="9336.67"/>
    <x v="11"/>
    <x v="3"/>
  </r>
  <r>
    <n v="4407"/>
    <x v="400"/>
    <s v="Supplier invoice received"/>
    <x v="299"/>
    <s v="0.0"/>
    <x v="9"/>
    <x v="4"/>
  </r>
  <r>
    <n v="4407"/>
    <x v="400"/>
    <s v="Supplier invoice received"/>
    <x v="300"/>
    <s v="0.0"/>
    <x v="10"/>
    <x v="0"/>
  </r>
  <r>
    <n v="4407"/>
    <x v="400"/>
    <s v="Supplier invoice received"/>
    <x v="273"/>
    <s v="2918.17"/>
    <x v="11"/>
    <x v="3"/>
  </r>
  <r>
    <n v="4408"/>
    <x v="400"/>
    <s v="Supplier invoice received"/>
    <x v="332"/>
    <s v="0.0"/>
    <x v="9"/>
    <x v="4"/>
  </r>
  <r>
    <n v="4408"/>
    <x v="400"/>
    <s v="Supplier invoice received"/>
    <x v="333"/>
    <s v="0.0"/>
    <x v="10"/>
    <x v="0"/>
  </r>
  <r>
    <n v="4408"/>
    <x v="400"/>
    <s v="Supplier invoice received"/>
    <x v="273"/>
    <s v="1023.42"/>
    <x v="11"/>
    <x v="3"/>
  </r>
  <r>
    <n v="4409"/>
    <x v="400"/>
    <s v="Supplier payment made"/>
    <x v="353"/>
    <s v="0.0"/>
    <x v="11"/>
    <x v="3"/>
  </r>
  <r>
    <n v="4409"/>
    <x v="400"/>
    <s v="Supplier payment made"/>
    <x v="273"/>
    <s v="2918.17"/>
    <x v="0"/>
    <x v="0"/>
  </r>
  <r>
    <n v="4410"/>
    <x v="401"/>
    <s v="Sales invoice issued"/>
    <x v="1832"/>
    <s v="0.0"/>
    <x v="2"/>
    <x v="0"/>
  </r>
  <r>
    <n v="4410"/>
    <x v="401"/>
    <s v="Sales invoice issued"/>
    <x v="273"/>
    <s v="490.11"/>
    <x v="3"/>
    <x v="2"/>
  </r>
  <r>
    <n v="4410"/>
    <x v="401"/>
    <s v="Sales invoice issued"/>
    <x v="273"/>
    <s v="36.76"/>
    <x v="4"/>
    <x v="3"/>
  </r>
  <r>
    <n v="4411"/>
    <x v="401"/>
    <s v="Sales invoice issued"/>
    <x v="1833"/>
    <s v="0.0"/>
    <x v="2"/>
    <x v="0"/>
  </r>
  <r>
    <n v="4411"/>
    <x v="401"/>
    <s v="Sales invoice issued"/>
    <x v="273"/>
    <s v="1831.85"/>
    <x v="3"/>
    <x v="2"/>
  </r>
  <r>
    <n v="4411"/>
    <x v="401"/>
    <s v="Sales invoice issued"/>
    <x v="273"/>
    <s v="137.39"/>
    <x v="4"/>
    <x v="3"/>
  </r>
  <r>
    <n v="4412"/>
    <x v="401"/>
    <s v="Sales invoice issued"/>
    <x v="1834"/>
    <s v="0.0"/>
    <x v="2"/>
    <x v="0"/>
  </r>
  <r>
    <n v="4412"/>
    <x v="401"/>
    <s v="Sales invoice issued"/>
    <x v="273"/>
    <s v="3067.21"/>
    <x v="3"/>
    <x v="2"/>
  </r>
  <r>
    <n v="4412"/>
    <x v="401"/>
    <s v="Sales invoice issued"/>
    <x v="273"/>
    <s v="230.04"/>
    <x v="4"/>
    <x v="3"/>
  </r>
  <r>
    <n v="4413"/>
    <x v="401"/>
    <s v="Sales invoice issued"/>
    <x v="1835"/>
    <s v="0.0"/>
    <x v="2"/>
    <x v="0"/>
  </r>
  <r>
    <n v="4413"/>
    <x v="401"/>
    <s v="Sales invoice issued"/>
    <x v="273"/>
    <s v="669.24"/>
    <x v="3"/>
    <x v="2"/>
  </r>
  <r>
    <n v="4413"/>
    <x v="401"/>
    <s v="Sales invoice issued"/>
    <x v="273"/>
    <s v="50.19"/>
    <x v="4"/>
    <x v="3"/>
  </r>
  <r>
    <n v="4414"/>
    <x v="401"/>
    <s v="Customer payment received"/>
    <x v="1649"/>
    <s v="0.0"/>
    <x v="0"/>
    <x v="0"/>
  </r>
  <r>
    <n v="4414"/>
    <x v="401"/>
    <s v="Customer payment received"/>
    <x v="273"/>
    <s v="1924.91"/>
    <x v="2"/>
    <x v="0"/>
  </r>
  <r>
    <n v="4415"/>
    <x v="401"/>
    <s v="Customer payment received"/>
    <x v="1836"/>
    <s v="0.0"/>
    <x v="0"/>
    <x v="0"/>
  </r>
  <r>
    <n v="4415"/>
    <x v="401"/>
    <s v="Customer payment received"/>
    <x v="273"/>
    <s v="2052.03"/>
    <x v="2"/>
    <x v="0"/>
  </r>
  <r>
    <n v="4416"/>
    <x v="401"/>
    <s v="Customer payment received"/>
    <x v="1778"/>
    <s v="0.0"/>
    <x v="0"/>
    <x v="0"/>
  </r>
  <r>
    <n v="4416"/>
    <x v="401"/>
    <s v="Customer payment received"/>
    <x v="273"/>
    <s v="6528.54"/>
    <x v="2"/>
    <x v="0"/>
  </r>
  <r>
    <n v="4417"/>
    <x v="401"/>
    <s v="Supplier invoice received"/>
    <x v="359"/>
    <s v="0.0"/>
    <x v="9"/>
    <x v="4"/>
  </r>
  <r>
    <n v="4417"/>
    <x v="401"/>
    <s v="Supplier invoice received"/>
    <x v="360"/>
    <s v="0.0"/>
    <x v="10"/>
    <x v="0"/>
  </r>
  <r>
    <n v="4417"/>
    <x v="401"/>
    <s v="Supplier invoice received"/>
    <x v="273"/>
    <s v="1591.54"/>
    <x v="11"/>
    <x v="3"/>
  </r>
  <r>
    <n v="4418"/>
    <x v="401"/>
    <s v="Supplier payment made"/>
    <x v="292"/>
    <s v="0.0"/>
    <x v="11"/>
    <x v="3"/>
  </r>
  <r>
    <n v="4418"/>
    <x v="401"/>
    <s v="Supplier payment made"/>
    <x v="273"/>
    <s v="1766.46"/>
    <x v="0"/>
    <x v="0"/>
  </r>
  <r>
    <n v="4419"/>
    <x v="401"/>
    <s v="Supplier payment made"/>
    <x v="352"/>
    <s v="0.0"/>
    <x v="11"/>
    <x v="3"/>
  </r>
  <r>
    <n v="4419"/>
    <x v="401"/>
    <s v="Supplier payment made"/>
    <x v="273"/>
    <s v="9336.67"/>
    <x v="0"/>
    <x v="0"/>
  </r>
  <r>
    <n v="4420"/>
    <x v="401"/>
    <s v="Supplier payment made"/>
    <x v="334"/>
    <s v="0.0"/>
    <x v="11"/>
    <x v="3"/>
  </r>
  <r>
    <n v="4420"/>
    <x v="401"/>
    <s v="Supplier payment made"/>
    <x v="273"/>
    <s v="3528.97"/>
    <x v="0"/>
    <x v="0"/>
  </r>
  <r>
    <n v="4421"/>
    <x v="402"/>
    <s v="Sales invoice issued"/>
    <x v="1837"/>
    <s v="0.0"/>
    <x v="2"/>
    <x v="0"/>
  </r>
  <r>
    <n v="4421"/>
    <x v="402"/>
    <s v="Sales invoice issued"/>
    <x v="273"/>
    <s v="1972.25"/>
    <x v="3"/>
    <x v="2"/>
  </r>
  <r>
    <n v="4421"/>
    <x v="402"/>
    <s v="Sales invoice issued"/>
    <x v="273"/>
    <s v="147.92"/>
    <x v="4"/>
    <x v="3"/>
  </r>
  <r>
    <n v="4422"/>
    <x v="402"/>
    <s v="Sales invoice issued"/>
    <x v="1838"/>
    <s v="0.0"/>
    <x v="2"/>
    <x v="0"/>
  </r>
  <r>
    <n v="4422"/>
    <x v="402"/>
    <s v="Sales invoice issued"/>
    <x v="273"/>
    <s v="3830.09"/>
    <x v="3"/>
    <x v="2"/>
  </r>
  <r>
    <n v="4422"/>
    <x v="402"/>
    <s v="Sales invoice issued"/>
    <x v="273"/>
    <s v="287.25"/>
    <x v="4"/>
    <x v="3"/>
  </r>
  <r>
    <n v="4423"/>
    <x v="402"/>
    <s v="Sales invoice issued"/>
    <x v="1225"/>
    <s v="0.0"/>
    <x v="2"/>
    <x v="0"/>
  </r>
  <r>
    <n v="4423"/>
    <x v="402"/>
    <s v="Sales invoice issued"/>
    <x v="273"/>
    <s v="104.4"/>
    <x v="3"/>
    <x v="2"/>
  </r>
  <r>
    <n v="4423"/>
    <x v="402"/>
    <s v="Sales invoice issued"/>
    <x v="273"/>
    <s v="7.83"/>
    <x v="4"/>
    <x v="3"/>
  </r>
  <r>
    <n v="4424"/>
    <x v="402"/>
    <s v="Customer payment received"/>
    <x v="1651"/>
    <s v="0.0"/>
    <x v="0"/>
    <x v="0"/>
  </r>
  <r>
    <n v="4424"/>
    <x v="402"/>
    <s v="Customer payment received"/>
    <x v="273"/>
    <s v="747.38"/>
    <x v="2"/>
    <x v="0"/>
  </r>
  <r>
    <n v="4425"/>
    <x v="402"/>
    <s v="Customer payment received"/>
    <x v="1709"/>
    <s v="0.0"/>
    <x v="0"/>
    <x v="0"/>
  </r>
  <r>
    <n v="4425"/>
    <x v="402"/>
    <s v="Customer payment received"/>
    <x v="273"/>
    <s v="539.93"/>
    <x v="2"/>
    <x v="0"/>
  </r>
  <r>
    <n v="4426"/>
    <x v="402"/>
    <s v="Customer payment received"/>
    <x v="1730"/>
    <s v="0.0"/>
    <x v="0"/>
    <x v="0"/>
  </r>
  <r>
    <n v="4426"/>
    <x v="402"/>
    <s v="Customer payment received"/>
    <x v="273"/>
    <s v="3754.08"/>
    <x v="2"/>
    <x v="0"/>
  </r>
  <r>
    <n v="4427"/>
    <x v="402"/>
    <s v="Customer payment received"/>
    <x v="1773"/>
    <s v="0.0"/>
    <x v="0"/>
    <x v="0"/>
  </r>
  <r>
    <n v="4427"/>
    <x v="402"/>
    <s v="Customer payment received"/>
    <x v="273"/>
    <s v="18.55"/>
    <x v="2"/>
    <x v="0"/>
  </r>
  <r>
    <n v="4428"/>
    <x v="402"/>
    <s v="Supplier invoice received"/>
    <x v="448"/>
    <s v="0.0"/>
    <x v="9"/>
    <x v="4"/>
  </r>
  <r>
    <n v="4428"/>
    <x v="402"/>
    <s v="Supplier invoice received"/>
    <x v="449"/>
    <s v="0.0"/>
    <x v="10"/>
    <x v="0"/>
  </r>
  <r>
    <n v="4428"/>
    <x v="402"/>
    <s v="Supplier invoice received"/>
    <x v="273"/>
    <s v="7227.44"/>
    <x v="11"/>
    <x v="3"/>
  </r>
  <r>
    <n v="4429"/>
    <x v="402"/>
    <s v="Supplier invoice received"/>
    <x v="405"/>
    <s v="0.0"/>
    <x v="9"/>
    <x v="4"/>
  </r>
  <r>
    <n v="4429"/>
    <x v="402"/>
    <s v="Supplier invoice received"/>
    <x v="406"/>
    <s v="0.0"/>
    <x v="10"/>
    <x v="0"/>
  </r>
  <r>
    <n v="4429"/>
    <x v="402"/>
    <s v="Supplier invoice received"/>
    <x v="273"/>
    <s v="2635.36"/>
    <x v="11"/>
    <x v="3"/>
  </r>
  <r>
    <n v="4430"/>
    <x v="402"/>
    <s v="Supplier payment made"/>
    <x v="392"/>
    <s v="0.0"/>
    <x v="11"/>
    <x v="3"/>
  </r>
  <r>
    <n v="4430"/>
    <x v="402"/>
    <s v="Supplier payment made"/>
    <x v="273"/>
    <s v="1023.42"/>
    <x v="0"/>
    <x v="0"/>
  </r>
  <r>
    <n v="4431"/>
    <x v="402"/>
    <s v="Supplier payment made"/>
    <x v="313"/>
    <s v="0.0"/>
    <x v="11"/>
    <x v="3"/>
  </r>
  <r>
    <n v="4431"/>
    <x v="402"/>
    <s v="Supplier payment made"/>
    <x v="273"/>
    <s v="1159.84"/>
    <x v="0"/>
    <x v="0"/>
  </r>
  <r>
    <n v="4432"/>
    <x v="402"/>
    <s v="Supplier payment made"/>
    <x v="318"/>
    <s v="0.0"/>
    <x v="11"/>
    <x v="3"/>
  </r>
  <r>
    <n v="4432"/>
    <x v="402"/>
    <s v="Supplier payment made"/>
    <x v="273"/>
    <s v="2504.23"/>
    <x v="0"/>
    <x v="0"/>
  </r>
  <r>
    <n v="4433"/>
    <x v="402"/>
    <s v="Supplier payment made"/>
    <x v="280"/>
    <s v="0.0"/>
    <x v="11"/>
    <x v="3"/>
  </r>
  <r>
    <n v="4433"/>
    <x v="402"/>
    <s v="Supplier payment made"/>
    <x v="273"/>
    <s v="2635.36"/>
    <x v="0"/>
    <x v="0"/>
  </r>
  <r>
    <n v="4434"/>
    <x v="403"/>
    <s v="Payroll processed"/>
    <x v="1787"/>
    <s v="0.0"/>
    <x v="5"/>
    <x v="4"/>
  </r>
  <r>
    <n v="4434"/>
    <x v="403"/>
    <s v="Payroll processed"/>
    <x v="1788"/>
    <s v="0.0"/>
    <x v="6"/>
    <x v="4"/>
  </r>
  <r>
    <n v="4434"/>
    <x v="403"/>
    <s v="Payroll processed"/>
    <x v="273"/>
    <s v="18718.31"/>
    <x v="0"/>
    <x v="0"/>
  </r>
  <r>
    <n v="4434"/>
    <x v="403"/>
    <s v="Payroll processed"/>
    <x v="273"/>
    <s v="4315.09"/>
    <x v="7"/>
    <x v="3"/>
  </r>
  <r>
    <n v="4434"/>
    <x v="403"/>
    <s v="Payroll processed"/>
    <x v="273"/>
    <s v="921.34"/>
    <x v="8"/>
    <x v="3"/>
  </r>
  <r>
    <n v="4435"/>
    <x v="403"/>
    <s v="Sales invoice issued"/>
    <x v="1839"/>
    <s v="0.0"/>
    <x v="2"/>
    <x v="0"/>
  </r>
  <r>
    <n v="4435"/>
    <x v="403"/>
    <s v="Sales invoice issued"/>
    <x v="273"/>
    <s v="954.8"/>
    <x v="3"/>
    <x v="2"/>
  </r>
  <r>
    <n v="4435"/>
    <x v="403"/>
    <s v="Sales invoice issued"/>
    <x v="273"/>
    <s v="71.61"/>
    <x v="4"/>
    <x v="3"/>
  </r>
  <r>
    <n v="4436"/>
    <x v="403"/>
    <s v="Sales invoice issued"/>
    <x v="1840"/>
    <s v="0.0"/>
    <x v="2"/>
    <x v="0"/>
  </r>
  <r>
    <n v="4436"/>
    <x v="403"/>
    <s v="Sales invoice issued"/>
    <x v="273"/>
    <s v="4396.26"/>
    <x v="3"/>
    <x v="2"/>
  </r>
  <r>
    <n v="4436"/>
    <x v="403"/>
    <s v="Sales invoice issued"/>
    <x v="273"/>
    <s v="329.72"/>
    <x v="4"/>
    <x v="3"/>
  </r>
  <r>
    <n v="4437"/>
    <x v="403"/>
    <s v="Customer payment received"/>
    <x v="1680"/>
    <s v="0.0"/>
    <x v="0"/>
    <x v="0"/>
  </r>
  <r>
    <n v="4437"/>
    <x v="403"/>
    <s v="Customer payment received"/>
    <x v="273"/>
    <s v="1560.55"/>
    <x v="2"/>
    <x v="0"/>
  </r>
  <r>
    <n v="4438"/>
    <x v="403"/>
    <s v="Customer payment received"/>
    <x v="1690"/>
    <s v="0.0"/>
    <x v="0"/>
    <x v="0"/>
  </r>
  <r>
    <n v="4438"/>
    <x v="403"/>
    <s v="Customer payment received"/>
    <x v="273"/>
    <s v="2140.35"/>
    <x v="2"/>
    <x v="0"/>
  </r>
  <r>
    <n v="4439"/>
    <x v="403"/>
    <s v="Customer payment received"/>
    <x v="1722"/>
    <s v="0.0"/>
    <x v="0"/>
    <x v="0"/>
  </r>
  <r>
    <n v="4439"/>
    <x v="403"/>
    <s v="Customer payment received"/>
    <x v="273"/>
    <s v="931.28"/>
    <x v="2"/>
    <x v="0"/>
  </r>
  <r>
    <n v="4440"/>
    <x v="403"/>
    <s v="Customer payment received"/>
    <x v="1747"/>
    <s v="0.0"/>
    <x v="0"/>
    <x v="0"/>
  </r>
  <r>
    <n v="4440"/>
    <x v="403"/>
    <s v="Customer payment received"/>
    <x v="273"/>
    <s v="2148.64"/>
    <x v="2"/>
    <x v="0"/>
  </r>
  <r>
    <n v="4441"/>
    <x v="403"/>
    <s v="Customer payment received"/>
    <x v="1777"/>
    <s v="0.0"/>
    <x v="0"/>
    <x v="0"/>
  </r>
  <r>
    <n v="4441"/>
    <x v="403"/>
    <s v="Customer payment received"/>
    <x v="273"/>
    <s v="3391.74"/>
    <x v="2"/>
    <x v="0"/>
  </r>
  <r>
    <n v="4442"/>
    <x v="403"/>
    <s v="Supplier invoice received"/>
    <x v="374"/>
    <s v="0.0"/>
    <x v="9"/>
    <x v="4"/>
  </r>
  <r>
    <n v="4442"/>
    <x v="403"/>
    <s v="Supplier invoice received"/>
    <x v="375"/>
    <s v="0.0"/>
    <x v="10"/>
    <x v="0"/>
  </r>
  <r>
    <n v="4442"/>
    <x v="403"/>
    <s v="Supplier invoice received"/>
    <x v="273"/>
    <s v="2504.23"/>
    <x v="11"/>
    <x v="3"/>
  </r>
  <r>
    <n v="4443"/>
    <x v="403"/>
    <s v="Supplier invoice received"/>
    <x v="305"/>
    <s v="0.0"/>
    <x v="9"/>
    <x v="4"/>
  </r>
  <r>
    <n v="4443"/>
    <x v="403"/>
    <s v="Supplier invoice received"/>
    <x v="306"/>
    <s v="0.0"/>
    <x v="10"/>
    <x v="0"/>
  </r>
  <r>
    <n v="4443"/>
    <x v="403"/>
    <s v="Supplier invoice received"/>
    <x v="273"/>
    <s v="276.32"/>
    <x v="11"/>
    <x v="3"/>
  </r>
  <r>
    <n v="4444"/>
    <x v="404"/>
    <s v="Sales invoice issued"/>
    <x v="1841"/>
    <s v="0.0"/>
    <x v="2"/>
    <x v="0"/>
  </r>
  <r>
    <n v="4444"/>
    <x v="404"/>
    <s v="Sales invoice issued"/>
    <x v="273"/>
    <s v="897.72"/>
    <x v="3"/>
    <x v="2"/>
  </r>
  <r>
    <n v="4444"/>
    <x v="404"/>
    <s v="Sales invoice issued"/>
    <x v="273"/>
    <s v="67.33"/>
    <x v="4"/>
    <x v="3"/>
  </r>
  <r>
    <n v="4445"/>
    <x v="404"/>
    <s v="Sales invoice issued"/>
    <x v="1842"/>
    <s v="0.0"/>
    <x v="2"/>
    <x v="0"/>
  </r>
  <r>
    <n v="4445"/>
    <x v="404"/>
    <s v="Sales invoice issued"/>
    <x v="273"/>
    <s v="2232.48"/>
    <x v="3"/>
    <x v="2"/>
  </r>
  <r>
    <n v="4445"/>
    <x v="404"/>
    <s v="Sales invoice issued"/>
    <x v="273"/>
    <s v="167.43"/>
    <x v="4"/>
    <x v="3"/>
  </r>
  <r>
    <n v="4446"/>
    <x v="404"/>
    <s v="Sales invoice issued"/>
    <x v="1843"/>
    <s v="0.0"/>
    <x v="2"/>
    <x v="0"/>
  </r>
  <r>
    <n v="4446"/>
    <x v="404"/>
    <s v="Sales invoice issued"/>
    <x v="273"/>
    <s v="1346.84"/>
    <x v="3"/>
    <x v="2"/>
  </r>
  <r>
    <n v="4446"/>
    <x v="404"/>
    <s v="Sales invoice issued"/>
    <x v="273"/>
    <s v="101.02"/>
    <x v="4"/>
    <x v="3"/>
  </r>
  <r>
    <n v="4447"/>
    <x v="404"/>
    <s v="Sales invoice issued"/>
    <x v="1844"/>
    <s v="0.0"/>
    <x v="2"/>
    <x v="0"/>
  </r>
  <r>
    <n v="4447"/>
    <x v="404"/>
    <s v="Sales invoice issued"/>
    <x v="273"/>
    <s v="556.19"/>
    <x v="3"/>
    <x v="2"/>
  </r>
  <r>
    <n v="4447"/>
    <x v="404"/>
    <s v="Sales invoice issued"/>
    <x v="273"/>
    <s v="41.71"/>
    <x v="4"/>
    <x v="3"/>
  </r>
  <r>
    <n v="4448"/>
    <x v="404"/>
    <s v="Sales invoice issued"/>
    <x v="1845"/>
    <s v="0.0"/>
    <x v="2"/>
    <x v="0"/>
  </r>
  <r>
    <n v="4448"/>
    <x v="404"/>
    <s v="Sales invoice issued"/>
    <x v="273"/>
    <s v="460.47"/>
    <x v="3"/>
    <x v="2"/>
  </r>
  <r>
    <n v="4448"/>
    <x v="404"/>
    <s v="Sales invoice issued"/>
    <x v="273"/>
    <s v="34.54"/>
    <x v="4"/>
    <x v="3"/>
  </r>
  <r>
    <n v="4449"/>
    <x v="404"/>
    <s v="Customer payment received"/>
    <x v="1575"/>
    <s v="0.0"/>
    <x v="0"/>
    <x v="0"/>
  </r>
  <r>
    <n v="4449"/>
    <x v="404"/>
    <s v="Customer payment received"/>
    <x v="273"/>
    <s v="1893.77"/>
    <x v="2"/>
    <x v="0"/>
  </r>
  <r>
    <n v="4450"/>
    <x v="404"/>
    <s v="Customer payment received"/>
    <x v="1646"/>
    <s v="0.0"/>
    <x v="0"/>
    <x v="0"/>
  </r>
  <r>
    <n v="4450"/>
    <x v="404"/>
    <s v="Customer payment received"/>
    <x v="273"/>
    <s v="2704.01"/>
    <x v="2"/>
    <x v="0"/>
  </r>
  <r>
    <n v="4451"/>
    <x v="404"/>
    <s v="Customer payment received"/>
    <x v="1701"/>
    <s v="0.0"/>
    <x v="0"/>
    <x v="0"/>
  </r>
  <r>
    <n v="4451"/>
    <x v="404"/>
    <s v="Customer payment received"/>
    <x v="273"/>
    <s v="1360.79"/>
    <x v="2"/>
    <x v="0"/>
  </r>
  <r>
    <n v="4452"/>
    <x v="404"/>
    <s v="Customer payment received"/>
    <x v="1734"/>
    <s v="0.0"/>
    <x v="0"/>
    <x v="0"/>
  </r>
  <r>
    <n v="4452"/>
    <x v="404"/>
    <s v="Customer payment received"/>
    <x v="273"/>
    <s v="1850.3"/>
    <x v="2"/>
    <x v="0"/>
  </r>
  <r>
    <n v="4453"/>
    <x v="404"/>
    <s v="Customer payment received"/>
    <x v="1755"/>
    <s v="0.0"/>
    <x v="0"/>
    <x v="0"/>
  </r>
  <r>
    <n v="4453"/>
    <x v="404"/>
    <s v="Customer payment received"/>
    <x v="273"/>
    <s v="2453.71"/>
    <x v="2"/>
    <x v="0"/>
  </r>
  <r>
    <n v="4454"/>
    <x v="404"/>
    <s v="Customer payment received"/>
    <x v="1802"/>
    <s v="0.0"/>
    <x v="0"/>
    <x v="0"/>
  </r>
  <r>
    <n v="4454"/>
    <x v="404"/>
    <s v="Customer payment received"/>
    <x v="273"/>
    <s v="537.47"/>
    <x v="2"/>
    <x v="0"/>
  </r>
  <r>
    <n v="4455"/>
    <x v="404"/>
    <s v="Customer payment received"/>
    <x v="1817"/>
    <s v="0.0"/>
    <x v="0"/>
    <x v="0"/>
  </r>
  <r>
    <n v="4455"/>
    <x v="404"/>
    <s v="Customer payment received"/>
    <x v="273"/>
    <s v="4961.77"/>
    <x v="2"/>
    <x v="0"/>
  </r>
  <r>
    <n v="4456"/>
    <x v="404"/>
    <s v="Customer payment received"/>
    <x v="1845"/>
    <s v="0.0"/>
    <x v="0"/>
    <x v="0"/>
  </r>
  <r>
    <n v="4456"/>
    <x v="404"/>
    <s v="Customer payment received"/>
    <x v="273"/>
    <s v="495.01"/>
    <x v="2"/>
    <x v="0"/>
  </r>
  <r>
    <n v="4457"/>
    <x v="404"/>
    <s v="Supplier invoice received"/>
    <x v="441"/>
    <s v="0.0"/>
    <x v="9"/>
    <x v="4"/>
  </r>
  <r>
    <n v="4457"/>
    <x v="404"/>
    <s v="Supplier invoice received"/>
    <x v="442"/>
    <s v="0.0"/>
    <x v="10"/>
    <x v="0"/>
  </r>
  <r>
    <n v="4457"/>
    <x v="404"/>
    <s v="Supplier invoice received"/>
    <x v="273"/>
    <s v="179.01"/>
    <x v="11"/>
    <x v="3"/>
  </r>
  <r>
    <n v="4458"/>
    <x v="404"/>
    <s v="Supplier payment made"/>
    <x v="340"/>
    <s v="0.0"/>
    <x v="11"/>
    <x v="3"/>
  </r>
  <r>
    <n v="4458"/>
    <x v="404"/>
    <s v="Supplier payment made"/>
    <x v="273"/>
    <s v="1304.62"/>
    <x v="0"/>
    <x v="0"/>
  </r>
  <r>
    <n v="4459"/>
    <x v="404"/>
    <s v="Supplier payment made"/>
    <x v="496"/>
    <s v="0.0"/>
    <x v="11"/>
    <x v="3"/>
  </r>
  <r>
    <n v="4459"/>
    <x v="404"/>
    <s v="Supplier payment made"/>
    <x v="273"/>
    <s v="7227.44"/>
    <x v="0"/>
    <x v="0"/>
  </r>
  <r>
    <n v="4460"/>
    <x v="405"/>
    <s v="Sales invoice issued"/>
    <x v="1846"/>
    <s v="0.0"/>
    <x v="2"/>
    <x v="0"/>
  </r>
  <r>
    <n v="4460"/>
    <x v="405"/>
    <s v="Sales invoice issued"/>
    <x v="273"/>
    <s v="3907.23"/>
    <x v="3"/>
    <x v="2"/>
  </r>
  <r>
    <n v="4460"/>
    <x v="405"/>
    <s v="Sales invoice issued"/>
    <x v="273"/>
    <s v="293.04"/>
    <x v="4"/>
    <x v="3"/>
  </r>
  <r>
    <n v="4461"/>
    <x v="405"/>
    <s v="Sales invoice issued"/>
    <x v="1847"/>
    <s v="0.0"/>
    <x v="2"/>
    <x v="0"/>
  </r>
  <r>
    <n v="4461"/>
    <x v="405"/>
    <s v="Sales invoice issued"/>
    <x v="273"/>
    <s v="3705.94"/>
    <x v="3"/>
    <x v="2"/>
  </r>
  <r>
    <n v="4461"/>
    <x v="405"/>
    <s v="Sales invoice issued"/>
    <x v="273"/>
    <s v="277.94"/>
    <x v="4"/>
    <x v="3"/>
  </r>
  <r>
    <n v="4462"/>
    <x v="405"/>
    <s v="Sales invoice issued"/>
    <x v="1848"/>
    <s v="0.0"/>
    <x v="2"/>
    <x v="0"/>
  </r>
  <r>
    <n v="4462"/>
    <x v="405"/>
    <s v="Sales invoice issued"/>
    <x v="273"/>
    <s v="2830.72"/>
    <x v="3"/>
    <x v="2"/>
  </r>
  <r>
    <n v="4462"/>
    <x v="405"/>
    <s v="Sales invoice issued"/>
    <x v="273"/>
    <s v="212.31"/>
    <x v="4"/>
    <x v="3"/>
  </r>
  <r>
    <n v="4463"/>
    <x v="405"/>
    <s v="Sales invoice issued"/>
    <x v="1849"/>
    <s v="0.0"/>
    <x v="2"/>
    <x v="0"/>
  </r>
  <r>
    <n v="4463"/>
    <x v="405"/>
    <s v="Sales invoice issued"/>
    <x v="273"/>
    <s v="3890.84"/>
    <x v="3"/>
    <x v="2"/>
  </r>
  <r>
    <n v="4463"/>
    <x v="405"/>
    <s v="Sales invoice issued"/>
    <x v="273"/>
    <s v="291.82"/>
    <x v="4"/>
    <x v="3"/>
  </r>
  <r>
    <n v="4464"/>
    <x v="405"/>
    <s v="Sales invoice issued"/>
    <x v="1850"/>
    <s v="0.0"/>
    <x v="2"/>
    <x v="0"/>
  </r>
  <r>
    <n v="4464"/>
    <x v="405"/>
    <s v="Sales invoice issued"/>
    <x v="273"/>
    <s v="3203.29"/>
    <x v="3"/>
    <x v="2"/>
  </r>
  <r>
    <n v="4464"/>
    <x v="405"/>
    <s v="Sales invoice issued"/>
    <x v="273"/>
    <s v="240.24"/>
    <x v="4"/>
    <x v="3"/>
  </r>
  <r>
    <n v="4465"/>
    <x v="405"/>
    <s v="Sales invoice issued"/>
    <x v="1851"/>
    <s v="0.0"/>
    <x v="2"/>
    <x v="0"/>
  </r>
  <r>
    <n v="4465"/>
    <x v="405"/>
    <s v="Sales invoice issued"/>
    <x v="273"/>
    <s v="2177.27"/>
    <x v="3"/>
    <x v="2"/>
  </r>
  <r>
    <n v="4465"/>
    <x v="405"/>
    <s v="Sales invoice issued"/>
    <x v="273"/>
    <s v="163.29"/>
    <x v="4"/>
    <x v="3"/>
  </r>
  <r>
    <n v="4466"/>
    <x v="405"/>
    <s v="Sales invoice issued"/>
    <x v="1852"/>
    <s v="0.0"/>
    <x v="2"/>
    <x v="0"/>
  </r>
  <r>
    <n v="4466"/>
    <x v="405"/>
    <s v="Sales invoice issued"/>
    <x v="273"/>
    <s v="2653.71"/>
    <x v="3"/>
    <x v="2"/>
  </r>
  <r>
    <n v="4466"/>
    <x v="405"/>
    <s v="Sales invoice issued"/>
    <x v="273"/>
    <s v="199.02"/>
    <x v="4"/>
    <x v="3"/>
  </r>
  <r>
    <n v="4467"/>
    <x v="405"/>
    <s v="Customer payment received"/>
    <x v="1733"/>
    <s v="0.0"/>
    <x v="0"/>
    <x v="0"/>
  </r>
  <r>
    <n v="4467"/>
    <x v="405"/>
    <s v="Customer payment received"/>
    <x v="273"/>
    <s v="743.24"/>
    <x v="2"/>
    <x v="0"/>
  </r>
  <r>
    <n v="4468"/>
    <x v="405"/>
    <s v="Supplier invoice received"/>
    <x v="372"/>
    <s v="0.0"/>
    <x v="9"/>
    <x v="4"/>
  </r>
  <r>
    <n v="4468"/>
    <x v="405"/>
    <s v="Supplier invoice received"/>
    <x v="373"/>
    <s v="0.0"/>
    <x v="10"/>
    <x v="0"/>
  </r>
  <r>
    <n v="4468"/>
    <x v="405"/>
    <s v="Supplier invoice received"/>
    <x v="273"/>
    <s v="412.54"/>
    <x v="11"/>
    <x v="3"/>
  </r>
  <r>
    <n v="4469"/>
    <x v="405"/>
    <s v="Supplier invoice received"/>
    <x v="383"/>
    <s v="0.0"/>
    <x v="9"/>
    <x v="4"/>
  </r>
  <r>
    <n v="4469"/>
    <x v="405"/>
    <s v="Supplier invoice received"/>
    <x v="384"/>
    <s v="0.0"/>
    <x v="10"/>
    <x v="0"/>
  </r>
  <r>
    <n v="4469"/>
    <x v="405"/>
    <s v="Supplier invoice received"/>
    <x v="273"/>
    <s v="3868.8"/>
    <x v="11"/>
    <x v="3"/>
  </r>
  <r>
    <n v="4470"/>
    <x v="405"/>
    <s v="Supplier invoice received"/>
    <x v="297"/>
    <s v="0.0"/>
    <x v="9"/>
    <x v="4"/>
  </r>
  <r>
    <n v="4470"/>
    <x v="405"/>
    <s v="Supplier invoice received"/>
    <x v="298"/>
    <s v="0.0"/>
    <x v="10"/>
    <x v="0"/>
  </r>
  <r>
    <n v="4470"/>
    <x v="405"/>
    <s v="Supplier invoice received"/>
    <x v="273"/>
    <s v="3528.97"/>
    <x v="11"/>
    <x v="3"/>
  </r>
  <r>
    <n v="4471"/>
    <x v="405"/>
    <s v="Supplier invoice received"/>
    <x v="307"/>
    <s v="0.0"/>
    <x v="9"/>
    <x v="4"/>
  </r>
  <r>
    <n v="4471"/>
    <x v="405"/>
    <s v="Supplier invoice received"/>
    <x v="308"/>
    <s v="0.0"/>
    <x v="10"/>
    <x v="0"/>
  </r>
  <r>
    <n v="4471"/>
    <x v="405"/>
    <s v="Supplier invoice received"/>
    <x v="273"/>
    <s v="2093.28"/>
    <x v="11"/>
    <x v="3"/>
  </r>
  <r>
    <n v="4472"/>
    <x v="405"/>
    <s v="Supplier invoice received"/>
    <x v="474"/>
    <s v="0.0"/>
    <x v="9"/>
    <x v="4"/>
  </r>
  <r>
    <n v="4472"/>
    <x v="405"/>
    <s v="Supplier invoice received"/>
    <x v="475"/>
    <s v="0.0"/>
    <x v="10"/>
    <x v="0"/>
  </r>
  <r>
    <n v="4472"/>
    <x v="405"/>
    <s v="Supplier invoice received"/>
    <x v="273"/>
    <s v="862.91"/>
    <x v="11"/>
    <x v="3"/>
  </r>
  <r>
    <n v="4473"/>
    <x v="405"/>
    <s v="Supplier invoice received"/>
    <x v="301"/>
    <s v="0.0"/>
    <x v="9"/>
    <x v="4"/>
  </r>
  <r>
    <n v="4473"/>
    <x v="405"/>
    <s v="Supplier invoice received"/>
    <x v="302"/>
    <s v="0.0"/>
    <x v="10"/>
    <x v="0"/>
  </r>
  <r>
    <n v="4473"/>
    <x v="405"/>
    <s v="Supplier invoice received"/>
    <x v="273"/>
    <s v="4812.46"/>
    <x v="11"/>
    <x v="3"/>
  </r>
  <r>
    <n v="4474"/>
    <x v="405"/>
    <s v="Supplier invoice received"/>
    <x v="299"/>
    <s v="0.0"/>
    <x v="9"/>
    <x v="4"/>
  </r>
  <r>
    <n v="4474"/>
    <x v="405"/>
    <s v="Supplier invoice received"/>
    <x v="300"/>
    <s v="0.0"/>
    <x v="10"/>
    <x v="0"/>
  </r>
  <r>
    <n v="4474"/>
    <x v="405"/>
    <s v="Supplier invoice received"/>
    <x v="273"/>
    <s v="2918.17"/>
    <x v="11"/>
    <x v="3"/>
  </r>
  <r>
    <n v="4475"/>
    <x v="405"/>
    <s v="Supplier invoice received"/>
    <x v="332"/>
    <s v="0.0"/>
    <x v="9"/>
    <x v="4"/>
  </r>
  <r>
    <n v="4475"/>
    <x v="405"/>
    <s v="Supplier invoice received"/>
    <x v="333"/>
    <s v="0.0"/>
    <x v="10"/>
    <x v="0"/>
  </r>
  <r>
    <n v="4475"/>
    <x v="405"/>
    <s v="Supplier invoice received"/>
    <x v="273"/>
    <s v="1023.42"/>
    <x v="11"/>
    <x v="3"/>
  </r>
  <r>
    <n v="4476"/>
    <x v="405"/>
    <s v="Supplier invoice received"/>
    <x v="405"/>
    <s v="0.0"/>
    <x v="9"/>
    <x v="4"/>
  </r>
  <r>
    <n v="4476"/>
    <x v="405"/>
    <s v="Supplier invoice received"/>
    <x v="406"/>
    <s v="0.0"/>
    <x v="10"/>
    <x v="0"/>
  </r>
  <r>
    <n v="4476"/>
    <x v="405"/>
    <s v="Supplier invoice received"/>
    <x v="273"/>
    <s v="2635.36"/>
    <x v="11"/>
    <x v="3"/>
  </r>
  <r>
    <n v="4477"/>
    <x v="405"/>
    <s v="Supplier payment made"/>
    <x v="351"/>
    <s v="0.0"/>
    <x v="11"/>
    <x v="3"/>
  </r>
  <r>
    <n v="4477"/>
    <x v="405"/>
    <s v="Supplier payment made"/>
    <x v="273"/>
    <s v="179.01"/>
    <x v="0"/>
    <x v="0"/>
  </r>
  <r>
    <n v="4478"/>
    <x v="405"/>
    <s v="Supplier payment made"/>
    <x v="424"/>
    <s v="0.0"/>
    <x v="11"/>
    <x v="3"/>
  </r>
  <r>
    <n v="4478"/>
    <x v="405"/>
    <s v="Supplier payment made"/>
    <x v="273"/>
    <s v="1591.54"/>
    <x v="0"/>
    <x v="0"/>
  </r>
  <r>
    <n v="4479"/>
    <x v="405"/>
    <s v="Supplier payment made"/>
    <x v="515"/>
    <s v="0.0"/>
    <x v="11"/>
    <x v="3"/>
  </r>
  <r>
    <n v="4479"/>
    <x v="405"/>
    <s v="Supplier payment made"/>
    <x v="273"/>
    <s v="862.91"/>
    <x v="0"/>
    <x v="0"/>
  </r>
  <r>
    <n v="4480"/>
    <x v="406"/>
    <s v="Sales invoice issued"/>
    <x v="1853"/>
    <s v="0.0"/>
    <x v="2"/>
    <x v="0"/>
  </r>
  <r>
    <n v="4480"/>
    <x v="406"/>
    <s v="Sales invoice issued"/>
    <x v="273"/>
    <s v="410.12"/>
    <x v="3"/>
    <x v="2"/>
  </r>
  <r>
    <n v="4480"/>
    <x v="406"/>
    <s v="Sales invoice issued"/>
    <x v="273"/>
    <s v="30.76"/>
    <x v="4"/>
    <x v="3"/>
  </r>
  <r>
    <n v="4481"/>
    <x v="406"/>
    <s v="Sales invoice issued"/>
    <x v="1854"/>
    <s v="0.0"/>
    <x v="2"/>
    <x v="0"/>
  </r>
  <r>
    <n v="4481"/>
    <x v="406"/>
    <s v="Sales invoice issued"/>
    <x v="273"/>
    <s v="2286.87"/>
    <x v="3"/>
    <x v="2"/>
  </r>
  <r>
    <n v="4481"/>
    <x v="406"/>
    <s v="Sales invoice issued"/>
    <x v="273"/>
    <s v="171.53"/>
    <x v="4"/>
    <x v="3"/>
  </r>
  <r>
    <n v="4482"/>
    <x v="406"/>
    <s v="Sales invoice issued"/>
    <x v="1855"/>
    <s v="0.0"/>
    <x v="2"/>
    <x v="0"/>
  </r>
  <r>
    <n v="4482"/>
    <x v="406"/>
    <s v="Sales invoice issued"/>
    <x v="273"/>
    <s v="1470.35"/>
    <x v="3"/>
    <x v="2"/>
  </r>
  <r>
    <n v="4482"/>
    <x v="406"/>
    <s v="Sales invoice issued"/>
    <x v="273"/>
    <s v="110.28"/>
    <x v="4"/>
    <x v="3"/>
  </r>
  <r>
    <n v="4483"/>
    <x v="406"/>
    <s v="Sales invoice issued"/>
    <x v="1856"/>
    <s v="0.0"/>
    <x v="2"/>
    <x v="0"/>
  </r>
  <r>
    <n v="4483"/>
    <x v="406"/>
    <s v="Sales invoice issued"/>
    <x v="273"/>
    <s v="3984.71"/>
    <x v="3"/>
    <x v="2"/>
  </r>
  <r>
    <n v="4483"/>
    <x v="406"/>
    <s v="Sales invoice issued"/>
    <x v="273"/>
    <s v="298.85"/>
    <x v="4"/>
    <x v="3"/>
  </r>
  <r>
    <n v="4484"/>
    <x v="406"/>
    <s v="Sales invoice issued"/>
    <x v="1857"/>
    <s v="0.0"/>
    <x v="2"/>
    <x v="0"/>
  </r>
  <r>
    <n v="4484"/>
    <x v="406"/>
    <s v="Sales invoice issued"/>
    <x v="273"/>
    <s v="277.56"/>
    <x v="3"/>
    <x v="2"/>
  </r>
  <r>
    <n v="4484"/>
    <x v="406"/>
    <s v="Sales invoice issued"/>
    <x v="273"/>
    <s v="20.82"/>
    <x v="4"/>
    <x v="3"/>
  </r>
  <r>
    <n v="4485"/>
    <x v="406"/>
    <s v="Sales invoice issued"/>
    <x v="1858"/>
    <s v="0.0"/>
    <x v="2"/>
    <x v="0"/>
  </r>
  <r>
    <n v="4485"/>
    <x v="406"/>
    <s v="Sales invoice issued"/>
    <x v="273"/>
    <s v="3695.29"/>
    <x v="3"/>
    <x v="2"/>
  </r>
  <r>
    <n v="4485"/>
    <x v="406"/>
    <s v="Sales invoice issued"/>
    <x v="273"/>
    <s v="277.15"/>
    <x v="4"/>
    <x v="3"/>
  </r>
  <r>
    <n v="4486"/>
    <x v="406"/>
    <s v="Customer payment received"/>
    <x v="1608"/>
    <s v="0.0"/>
    <x v="0"/>
    <x v="0"/>
  </r>
  <r>
    <n v="4486"/>
    <x v="406"/>
    <s v="Customer payment received"/>
    <x v="273"/>
    <s v="1026.66"/>
    <x v="2"/>
    <x v="0"/>
  </r>
  <r>
    <n v="4487"/>
    <x v="406"/>
    <s v="Customer payment received"/>
    <x v="1634"/>
    <s v="0.0"/>
    <x v="0"/>
    <x v="0"/>
  </r>
  <r>
    <n v="4487"/>
    <x v="406"/>
    <s v="Customer payment received"/>
    <x v="273"/>
    <s v="928.55"/>
    <x v="2"/>
    <x v="0"/>
  </r>
  <r>
    <n v="4488"/>
    <x v="406"/>
    <s v="Customer payment received"/>
    <x v="1859"/>
    <s v="0.0"/>
    <x v="0"/>
    <x v="0"/>
  </r>
  <r>
    <n v="4488"/>
    <x v="406"/>
    <s v="Customer payment received"/>
    <x v="273"/>
    <s v="1726.62"/>
    <x v="2"/>
    <x v="0"/>
  </r>
  <r>
    <n v="4489"/>
    <x v="406"/>
    <s v="Customer payment received"/>
    <x v="1741"/>
    <s v="0.0"/>
    <x v="0"/>
    <x v="0"/>
  </r>
  <r>
    <n v="4489"/>
    <x v="406"/>
    <s v="Customer payment received"/>
    <x v="273"/>
    <s v="2667.98"/>
    <x v="2"/>
    <x v="0"/>
  </r>
  <r>
    <n v="4490"/>
    <x v="406"/>
    <s v="Customer payment received"/>
    <x v="1853"/>
    <s v="0.0"/>
    <x v="0"/>
    <x v="0"/>
  </r>
  <r>
    <n v="4490"/>
    <x v="406"/>
    <s v="Customer payment received"/>
    <x v="273"/>
    <s v="440.88"/>
    <x v="2"/>
    <x v="0"/>
  </r>
  <r>
    <n v="4491"/>
    <x v="406"/>
    <s v="Supplier invoice received"/>
    <x v="461"/>
    <s v="0.0"/>
    <x v="9"/>
    <x v="4"/>
  </r>
  <r>
    <n v="4491"/>
    <x v="406"/>
    <s v="Supplier invoice received"/>
    <x v="462"/>
    <s v="0.0"/>
    <x v="10"/>
    <x v="0"/>
  </r>
  <r>
    <n v="4491"/>
    <x v="406"/>
    <s v="Supplier invoice received"/>
    <x v="273"/>
    <s v="2182.41"/>
    <x v="11"/>
    <x v="3"/>
  </r>
  <r>
    <n v="4492"/>
    <x v="406"/>
    <s v="Supplier payment made"/>
    <x v="336"/>
    <s v="0.0"/>
    <x v="11"/>
    <x v="3"/>
  </r>
  <r>
    <n v="4492"/>
    <x v="406"/>
    <s v="Supplier payment made"/>
    <x v="273"/>
    <s v="2093.28"/>
    <x v="0"/>
    <x v="0"/>
  </r>
  <r>
    <n v="4493"/>
    <x v="406"/>
    <s v="Supplier payment made"/>
    <x v="327"/>
    <s v="0.0"/>
    <x v="11"/>
    <x v="3"/>
  </r>
  <r>
    <n v="4493"/>
    <x v="406"/>
    <s v="Supplier payment made"/>
    <x v="273"/>
    <s v="1935.04"/>
    <x v="0"/>
    <x v="0"/>
  </r>
  <r>
    <n v="4494"/>
    <x v="406"/>
    <s v="Supplier payment made"/>
    <x v="309"/>
    <s v="0.0"/>
    <x v="11"/>
    <x v="3"/>
  </r>
  <r>
    <n v="4494"/>
    <x v="406"/>
    <s v="Supplier payment made"/>
    <x v="273"/>
    <s v="4812.46"/>
    <x v="0"/>
    <x v="0"/>
  </r>
  <r>
    <n v="4495"/>
    <x v="406"/>
    <s v="Supplier payment made"/>
    <x v="351"/>
    <s v="0.0"/>
    <x v="11"/>
    <x v="3"/>
  </r>
  <r>
    <n v="4495"/>
    <x v="406"/>
    <s v="Supplier payment made"/>
    <x v="273"/>
    <s v="179.01"/>
    <x v="0"/>
    <x v="0"/>
  </r>
  <r>
    <n v="4496"/>
    <x v="407"/>
    <s v="Sales invoice issued"/>
    <x v="1860"/>
    <s v="0.0"/>
    <x v="2"/>
    <x v="0"/>
  </r>
  <r>
    <n v="4496"/>
    <x v="407"/>
    <s v="Sales invoice issued"/>
    <x v="273"/>
    <s v="3020.57"/>
    <x v="3"/>
    <x v="2"/>
  </r>
  <r>
    <n v="4496"/>
    <x v="407"/>
    <s v="Sales invoice issued"/>
    <x v="273"/>
    <s v="226.55"/>
    <x v="4"/>
    <x v="3"/>
  </r>
  <r>
    <n v="4497"/>
    <x v="407"/>
    <s v="Sales invoice issued"/>
    <x v="658"/>
    <s v="0.0"/>
    <x v="2"/>
    <x v="0"/>
  </r>
  <r>
    <n v="4497"/>
    <x v="407"/>
    <s v="Sales invoice issued"/>
    <x v="273"/>
    <s v="299.24"/>
    <x v="3"/>
    <x v="2"/>
  </r>
  <r>
    <n v="4497"/>
    <x v="407"/>
    <s v="Sales invoice issued"/>
    <x v="273"/>
    <s v="22.44"/>
    <x v="4"/>
    <x v="3"/>
  </r>
  <r>
    <n v="4498"/>
    <x v="407"/>
    <s v="Sales invoice issued"/>
    <x v="1861"/>
    <s v="0.0"/>
    <x v="2"/>
    <x v="0"/>
  </r>
  <r>
    <n v="4498"/>
    <x v="407"/>
    <s v="Sales invoice issued"/>
    <x v="273"/>
    <s v="3284.67"/>
    <x v="3"/>
    <x v="2"/>
  </r>
  <r>
    <n v="4498"/>
    <x v="407"/>
    <s v="Sales invoice issued"/>
    <x v="273"/>
    <s v="246.34"/>
    <x v="4"/>
    <x v="3"/>
  </r>
  <r>
    <n v="4499"/>
    <x v="407"/>
    <s v="Sales invoice issued"/>
    <x v="1862"/>
    <s v="0.0"/>
    <x v="2"/>
    <x v="0"/>
  </r>
  <r>
    <n v="4499"/>
    <x v="407"/>
    <s v="Sales invoice issued"/>
    <x v="273"/>
    <s v="218.86"/>
    <x v="3"/>
    <x v="2"/>
  </r>
  <r>
    <n v="4499"/>
    <x v="407"/>
    <s v="Sales invoice issued"/>
    <x v="273"/>
    <s v="16.42"/>
    <x v="4"/>
    <x v="3"/>
  </r>
  <r>
    <n v="4500"/>
    <x v="407"/>
    <s v="Sales invoice issued"/>
    <x v="1863"/>
    <s v="0.0"/>
    <x v="2"/>
    <x v="0"/>
  </r>
  <r>
    <n v="4500"/>
    <x v="407"/>
    <s v="Sales invoice issued"/>
    <x v="273"/>
    <s v="2694.15"/>
    <x v="3"/>
    <x v="2"/>
  </r>
  <r>
    <n v="4500"/>
    <x v="407"/>
    <s v="Sales invoice issued"/>
    <x v="273"/>
    <s v="202.06"/>
    <x v="4"/>
    <x v="3"/>
  </r>
  <r>
    <n v="4501"/>
    <x v="407"/>
    <s v="Sales invoice issued"/>
    <x v="1864"/>
    <s v="0.0"/>
    <x v="2"/>
    <x v="0"/>
  </r>
  <r>
    <n v="4501"/>
    <x v="407"/>
    <s v="Sales invoice issued"/>
    <x v="273"/>
    <s v="1498.75"/>
    <x v="3"/>
    <x v="2"/>
  </r>
  <r>
    <n v="4501"/>
    <x v="407"/>
    <s v="Sales invoice issued"/>
    <x v="273"/>
    <s v="112.41"/>
    <x v="4"/>
    <x v="3"/>
  </r>
  <r>
    <n v="4502"/>
    <x v="407"/>
    <s v="Customer payment received"/>
    <x v="1584"/>
    <s v="0.0"/>
    <x v="0"/>
    <x v="0"/>
  </r>
  <r>
    <n v="4502"/>
    <x v="407"/>
    <s v="Customer payment received"/>
    <x v="273"/>
    <s v="1187.63"/>
    <x v="2"/>
    <x v="0"/>
  </r>
  <r>
    <n v="4503"/>
    <x v="407"/>
    <s v="Customer payment received"/>
    <x v="1645"/>
    <s v="0.0"/>
    <x v="0"/>
    <x v="0"/>
  </r>
  <r>
    <n v="4503"/>
    <x v="407"/>
    <s v="Customer payment received"/>
    <x v="273"/>
    <s v="6306.59"/>
    <x v="2"/>
    <x v="0"/>
  </r>
  <r>
    <n v="4504"/>
    <x v="407"/>
    <s v="Customer payment received"/>
    <x v="1744"/>
    <s v="0.0"/>
    <x v="0"/>
    <x v="0"/>
  </r>
  <r>
    <n v="4504"/>
    <x v="407"/>
    <s v="Customer payment received"/>
    <x v="273"/>
    <s v="3902.63"/>
    <x v="2"/>
    <x v="0"/>
  </r>
  <r>
    <n v="4505"/>
    <x v="407"/>
    <s v="Customer payment received"/>
    <x v="1759"/>
    <s v="0.0"/>
    <x v="0"/>
    <x v="0"/>
  </r>
  <r>
    <n v="4505"/>
    <x v="407"/>
    <s v="Customer payment received"/>
    <x v="273"/>
    <s v="3221.71"/>
    <x v="2"/>
    <x v="0"/>
  </r>
  <r>
    <n v="4506"/>
    <x v="407"/>
    <s v="Customer payment received"/>
    <x v="1760"/>
    <s v="0.0"/>
    <x v="0"/>
    <x v="0"/>
  </r>
  <r>
    <n v="4506"/>
    <x v="407"/>
    <s v="Customer payment received"/>
    <x v="273"/>
    <s v="2156.33"/>
    <x v="2"/>
    <x v="0"/>
  </r>
  <r>
    <n v="4507"/>
    <x v="407"/>
    <s v="Customer payment received"/>
    <x v="1797"/>
    <s v="0.0"/>
    <x v="0"/>
    <x v="0"/>
  </r>
  <r>
    <n v="4507"/>
    <x v="407"/>
    <s v="Customer payment received"/>
    <x v="273"/>
    <s v="4619.45"/>
    <x v="2"/>
    <x v="0"/>
  </r>
  <r>
    <n v="4508"/>
    <x v="407"/>
    <s v="Customer payment received"/>
    <x v="1800"/>
    <s v="0.0"/>
    <x v="0"/>
    <x v="0"/>
  </r>
  <r>
    <n v="4508"/>
    <x v="407"/>
    <s v="Customer payment received"/>
    <x v="273"/>
    <s v="1112.45"/>
    <x v="2"/>
    <x v="0"/>
  </r>
  <r>
    <n v="4509"/>
    <x v="407"/>
    <s v="Customer payment received"/>
    <x v="1844"/>
    <s v="0.0"/>
    <x v="0"/>
    <x v="0"/>
  </r>
  <r>
    <n v="4509"/>
    <x v="407"/>
    <s v="Customer payment received"/>
    <x v="273"/>
    <s v="597.9"/>
    <x v="2"/>
    <x v="0"/>
  </r>
  <r>
    <n v="4510"/>
    <x v="407"/>
    <s v="Customer payment received"/>
    <x v="1849"/>
    <s v="0.0"/>
    <x v="0"/>
    <x v="0"/>
  </r>
  <r>
    <n v="4510"/>
    <x v="407"/>
    <s v="Customer payment received"/>
    <x v="273"/>
    <s v="4182.66"/>
    <x v="2"/>
    <x v="0"/>
  </r>
  <r>
    <n v="4511"/>
    <x v="407"/>
    <s v="Supplier payment made"/>
    <x v="310"/>
    <s v="0.0"/>
    <x v="11"/>
    <x v="3"/>
  </r>
  <r>
    <n v="4511"/>
    <x v="407"/>
    <s v="Supplier payment made"/>
    <x v="273"/>
    <s v="276.32"/>
    <x v="0"/>
    <x v="0"/>
  </r>
  <r>
    <n v="4512"/>
    <x v="407"/>
    <s v="Supplier payment made"/>
    <x v="310"/>
    <s v="0.0"/>
    <x v="11"/>
    <x v="3"/>
  </r>
  <r>
    <n v="4512"/>
    <x v="407"/>
    <s v="Supplier payment made"/>
    <x v="273"/>
    <s v="276.32"/>
    <x v="0"/>
    <x v="0"/>
  </r>
  <r>
    <n v="4513"/>
    <x v="408"/>
    <s v="Sales invoice issued"/>
    <x v="1865"/>
    <s v="0.0"/>
    <x v="2"/>
    <x v="0"/>
  </r>
  <r>
    <n v="4513"/>
    <x v="408"/>
    <s v="Sales invoice issued"/>
    <x v="273"/>
    <s v="1710.83"/>
    <x v="3"/>
    <x v="2"/>
  </r>
  <r>
    <n v="4513"/>
    <x v="408"/>
    <s v="Sales invoice issued"/>
    <x v="273"/>
    <s v="128.32"/>
    <x v="4"/>
    <x v="3"/>
  </r>
  <r>
    <n v="4514"/>
    <x v="408"/>
    <s v="Sales invoice issued"/>
    <x v="1866"/>
    <s v="0.0"/>
    <x v="2"/>
    <x v="0"/>
  </r>
  <r>
    <n v="4514"/>
    <x v="408"/>
    <s v="Sales invoice issued"/>
    <x v="273"/>
    <s v="2082.23"/>
    <x v="3"/>
    <x v="2"/>
  </r>
  <r>
    <n v="4514"/>
    <x v="408"/>
    <s v="Sales invoice issued"/>
    <x v="273"/>
    <s v="156.17"/>
    <x v="4"/>
    <x v="3"/>
  </r>
  <r>
    <n v="4515"/>
    <x v="408"/>
    <s v="Sales invoice issued"/>
    <x v="1867"/>
    <s v="0.0"/>
    <x v="2"/>
    <x v="0"/>
  </r>
  <r>
    <n v="4515"/>
    <x v="408"/>
    <s v="Sales invoice issued"/>
    <x v="273"/>
    <s v="5380.76"/>
    <x v="3"/>
    <x v="2"/>
  </r>
  <r>
    <n v="4515"/>
    <x v="408"/>
    <s v="Sales invoice issued"/>
    <x v="273"/>
    <s v="403.56"/>
    <x v="4"/>
    <x v="3"/>
  </r>
  <r>
    <n v="4516"/>
    <x v="408"/>
    <s v="Customer payment received"/>
    <x v="1754"/>
    <s v="0.0"/>
    <x v="0"/>
    <x v="0"/>
  </r>
  <r>
    <n v="4516"/>
    <x v="408"/>
    <s v="Customer payment received"/>
    <x v="273"/>
    <s v="1149.31"/>
    <x v="2"/>
    <x v="0"/>
  </r>
  <r>
    <n v="4517"/>
    <x v="408"/>
    <s v="Customer payment received"/>
    <x v="1767"/>
    <s v="0.0"/>
    <x v="0"/>
    <x v="0"/>
  </r>
  <r>
    <n v="4517"/>
    <x v="408"/>
    <s v="Customer payment received"/>
    <x v="273"/>
    <s v="772.04"/>
    <x v="2"/>
    <x v="0"/>
  </r>
  <r>
    <n v="4518"/>
    <x v="408"/>
    <s v="Customer payment received"/>
    <x v="1774"/>
    <s v="0.0"/>
    <x v="0"/>
    <x v="0"/>
  </r>
  <r>
    <n v="4518"/>
    <x v="408"/>
    <s v="Customer payment received"/>
    <x v="273"/>
    <s v="4054.48"/>
    <x v="2"/>
    <x v="0"/>
  </r>
  <r>
    <n v="4519"/>
    <x v="408"/>
    <s v="Customer payment received"/>
    <x v="1801"/>
    <s v="0.0"/>
    <x v="0"/>
    <x v="0"/>
  </r>
  <r>
    <n v="4519"/>
    <x v="408"/>
    <s v="Customer payment received"/>
    <x v="273"/>
    <s v="479.46"/>
    <x v="2"/>
    <x v="0"/>
  </r>
  <r>
    <n v="4520"/>
    <x v="408"/>
    <s v="Supplier payment made"/>
    <x v="280"/>
    <s v="0.0"/>
    <x v="11"/>
    <x v="3"/>
  </r>
  <r>
    <n v="4520"/>
    <x v="408"/>
    <s v="Supplier payment made"/>
    <x v="273"/>
    <s v="2635.36"/>
    <x v="0"/>
    <x v="0"/>
  </r>
  <r>
    <n v="4521"/>
    <x v="409"/>
    <s v="Sales invoice issued"/>
    <x v="1868"/>
    <s v="0.0"/>
    <x v="2"/>
    <x v="0"/>
  </r>
  <r>
    <n v="4521"/>
    <x v="409"/>
    <s v="Sales invoice issued"/>
    <x v="273"/>
    <s v="674.28"/>
    <x v="3"/>
    <x v="2"/>
  </r>
  <r>
    <n v="4521"/>
    <x v="409"/>
    <s v="Sales invoice issued"/>
    <x v="273"/>
    <s v="50.57"/>
    <x v="4"/>
    <x v="3"/>
  </r>
  <r>
    <n v="4522"/>
    <x v="409"/>
    <s v="Sales invoice issued"/>
    <x v="1869"/>
    <s v="0.0"/>
    <x v="2"/>
    <x v="0"/>
  </r>
  <r>
    <n v="4522"/>
    <x v="409"/>
    <s v="Sales invoice issued"/>
    <x v="273"/>
    <s v="114.02"/>
    <x v="3"/>
    <x v="2"/>
  </r>
  <r>
    <n v="4522"/>
    <x v="409"/>
    <s v="Sales invoice issued"/>
    <x v="273"/>
    <s v="8.55"/>
    <x v="4"/>
    <x v="3"/>
  </r>
  <r>
    <n v="4523"/>
    <x v="409"/>
    <s v="Customer payment received"/>
    <x v="1737"/>
    <s v="0.0"/>
    <x v="0"/>
    <x v="0"/>
  </r>
  <r>
    <n v="4523"/>
    <x v="409"/>
    <s v="Customer payment received"/>
    <x v="273"/>
    <s v="3041.1"/>
    <x v="2"/>
    <x v="0"/>
  </r>
  <r>
    <n v="4524"/>
    <x v="409"/>
    <s v="Customer payment received"/>
    <x v="1775"/>
    <s v="0.0"/>
    <x v="0"/>
    <x v="0"/>
  </r>
  <r>
    <n v="4524"/>
    <x v="409"/>
    <s v="Customer payment received"/>
    <x v="273"/>
    <s v="1405.94"/>
    <x v="2"/>
    <x v="0"/>
  </r>
  <r>
    <n v="4525"/>
    <x v="409"/>
    <s v="Customer payment received"/>
    <x v="1823"/>
    <s v="0.0"/>
    <x v="0"/>
    <x v="0"/>
  </r>
  <r>
    <n v="4525"/>
    <x v="409"/>
    <s v="Customer payment received"/>
    <x v="273"/>
    <s v="2974.86"/>
    <x v="2"/>
    <x v="0"/>
  </r>
  <r>
    <n v="4526"/>
    <x v="409"/>
    <s v="Customer payment received"/>
    <x v="1833"/>
    <s v="0.0"/>
    <x v="0"/>
    <x v="0"/>
  </r>
  <r>
    <n v="4526"/>
    <x v="409"/>
    <s v="Customer payment received"/>
    <x v="273"/>
    <s v="1969.24"/>
    <x v="2"/>
    <x v="0"/>
  </r>
  <r>
    <n v="4527"/>
    <x v="409"/>
    <s v="Customer payment received"/>
    <x v="1834"/>
    <s v="0.0"/>
    <x v="0"/>
    <x v="0"/>
  </r>
  <r>
    <n v="4527"/>
    <x v="409"/>
    <s v="Customer payment received"/>
    <x v="273"/>
    <s v="3297.25"/>
    <x v="2"/>
    <x v="0"/>
  </r>
  <r>
    <n v="4528"/>
    <x v="409"/>
    <s v="Customer payment received"/>
    <x v="1840"/>
    <s v="0.0"/>
    <x v="0"/>
    <x v="0"/>
  </r>
  <r>
    <n v="4528"/>
    <x v="409"/>
    <s v="Customer payment received"/>
    <x v="273"/>
    <s v="4725.98"/>
    <x v="2"/>
    <x v="0"/>
  </r>
  <r>
    <n v="4529"/>
    <x v="409"/>
    <s v="Supplier invoice received"/>
    <x v="307"/>
    <s v="0.0"/>
    <x v="9"/>
    <x v="4"/>
  </r>
  <r>
    <n v="4529"/>
    <x v="409"/>
    <s v="Supplier invoice received"/>
    <x v="308"/>
    <s v="0.0"/>
    <x v="10"/>
    <x v="0"/>
  </r>
  <r>
    <n v="4529"/>
    <x v="409"/>
    <s v="Supplier invoice received"/>
    <x v="273"/>
    <s v="2093.28"/>
    <x v="11"/>
    <x v="3"/>
  </r>
  <r>
    <n v="4530"/>
    <x v="409"/>
    <s v="Supplier invoice received"/>
    <x v="297"/>
    <s v="0.0"/>
    <x v="9"/>
    <x v="4"/>
  </r>
  <r>
    <n v="4530"/>
    <x v="409"/>
    <s v="Supplier invoice received"/>
    <x v="298"/>
    <s v="0.0"/>
    <x v="10"/>
    <x v="0"/>
  </r>
  <r>
    <n v="4530"/>
    <x v="409"/>
    <s v="Supplier invoice received"/>
    <x v="273"/>
    <s v="3528.97"/>
    <x v="11"/>
    <x v="3"/>
  </r>
  <r>
    <n v="4531"/>
    <x v="410"/>
    <s v="Sales invoice issued"/>
    <x v="1870"/>
    <s v="0.0"/>
    <x v="2"/>
    <x v="0"/>
  </r>
  <r>
    <n v="4531"/>
    <x v="410"/>
    <s v="Sales invoice issued"/>
    <x v="273"/>
    <s v="3275.85"/>
    <x v="3"/>
    <x v="2"/>
  </r>
  <r>
    <n v="4531"/>
    <x v="410"/>
    <s v="Sales invoice issued"/>
    <x v="273"/>
    <s v="245.69"/>
    <x v="4"/>
    <x v="3"/>
  </r>
  <r>
    <n v="4532"/>
    <x v="410"/>
    <s v="Sales invoice issued"/>
    <x v="1871"/>
    <s v="0.0"/>
    <x v="2"/>
    <x v="0"/>
  </r>
  <r>
    <n v="4532"/>
    <x v="410"/>
    <s v="Sales invoice issued"/>
    <x v="273"/>
    <s v="3134.45"/>
    <x v="3"/>
    <x v="2"/>
  </r>
  <r>
    <n v="4532"/>
    <x v="410"/>
    <s v="Sales invoice issued"/>
    <x v="273"/>
    <s v="235.09"/>
    <x v="4"/>
    <x v="3"/>
  </r>
  <r>
    <n v="4533"/>
    <x v="410"/>
    <s v="Customer payment received"/>
    <x v="1872"/>
    <s v="0.0"/>
    <x v="0"/>
    <x v="0"/>
  </r>
  <r>
    <n v="4533"/>
    <x v="410"/>
    <s v="Customer payment received"/>
    <x v="273"/>
    <s v="223.08"/>
    <x v="2"/>
    <x v="0"/>
  </r>
  <r>
    <n v="4534"/>
    <x v="410"/>
    <s v="Customer payment received"/>
    <x v="1822"/>
    <s v="0.0"/>
    <x v="0"/>
    <x v="0"/>
  </r>
  <r>
    <n v="4534"/>
    <x v="410"/>
    <s v="Customer payment received"/>
    <x v="273"/>
    <s v="2746.45"/>
    <x v="2"/>
    <x v="0"/>
  </r>
  <r>
    <n v="4535"/>
    <x v="410"/>
    <s v="Customer payment received"/>
    <x v="1826"/>
    <s v="0.0"/>
    <x v="0"/>
    <x v="0"/>
  </r>
  <r>
    <n v="4535"/>
    <x v="410"/>
    <s v="Customer payment received"/>
    <x v="273"/>
    <s v="2534.46"/>
    <x v="2"/>
    <x v="0"/>
  </r>
  <r>
    <n v="4536"/>
    <x v="410"/>
    <s v="Customer payment received"/>
    <x v="1842"/>
    <s v="0.0"/>
    <x v="0"/>
    <x v="0"/>
  </r>
  <r>
    <n v="4536"/>
    <x v="410"/>
    <s v="Customer payment received"/>
    <x v="273"/>
    <s v="2399.91"/>
    <x v="2"/>
    <x v="0"/>
  </r>
  <r>
    <n v="4537"/>
    <x v="410"/>
    <s v="Supplier invoice received"/>
    <x v="295"/>
    <s v="0.0"/>
    <x v="9"/>
    <x v="4"/>
  </r>
  <r>
    <n v="4537"/>
    <x v="410"/>
    <s v="Supplier invoice received"/>
    <x v="296"/>
    <s v="0.0"/>
    <x v="10"/>
    <x v="0"/>
  </r>
  <r>
    <n v="4537"/>
    <x v="410"/>
    <s v="Supplier invoice received"/>
    <x v="273"/>
    <s v="1766.46"/>
    <x v="11"/>
    <x v="3"/>
  </r>
  <r>
    <n v="4538"/>
    <x v="410"/>
    <s v="Supplier payment made"/>
    <x v="309"/>
    <s v="0.0"/>
    <x v="11"/>
    <x v="3"/>
  </r>
  <r>
    <n v="4538"/>
    <x v="410"/>
    <s v="Supplier payment made"/>
    <x v="273"/>
    <s v="4812.46"/>
    <x v="0"/>
    <x v="0"/>
  </r>
  <r>
    <n v="4539"/>
    <x v="410"/>
    <s v="Supplier payment made"/>
    <x v="335"/>
    <s v="0.0"/>
    <x v="11"/>
    <x v="3"/>
  </r>
  <r>
    <n v="4539"/>
    <x v="410"/>
    <s v="Supplier payment made"/>
    <x v="273"/>
    <s v="550.4"/>
    <x v="0"/>
    <x v="0"/>
  </r>
  <r>
    <n v="4540"/>
    <x v="410"/>
    <s v="Supplier payment made"/>
    <x v="408"/>
    <s v="0.0"/>
    <x v="11"/>
    <x v="3"/>
  </r>
  <r>
    <n v="4540"/>
    <x v="410"/>
    <s v="Supplier payment made"/>
    <x v="273"/>
    <s v="3868.8"/>
    <x v="0"/>
    <x v="0"/>
  </r>
  <r>
    <n v="4541"/>
    <x v="410"/>
    <s v="Supplier payment made"/>
    <x v="334"/>
    <s v="0.0"/>
    <x v="11"/>
    <x v="3"/>
  </r>
  <r>
    <n v="4541"/>
    <x v="410"/>
    <s v="Supplier payment made"/>
    <x v="273"/>
    <s v="3528.97"/>
    <x v="0"/>
    <x v="0"/>
  </r>
  <r>
    <n v="4542"/>
    <x v="411"/>
    <s v="Sales invoice issued"/>
    <x v="1873"/>
    <s v="0.0"/>
    <x v="2"/>
    <x v="0"/>
  </r>
  <r>
    <n v="4542"/>
    <x v="411"/>
    <s v="Sales invoice issued"/>
    <x v="273"/>
    <s v="1919.82"/>
    <x v="3"/>
    <x v="2"/>
  </r>
  <r>
    <n v="4542"/>
    <x v="411"/>
    <s v="Sales invoice issued"/>
    <x v="273"/>
    <s v="143.99"/>
    <x v="4"/>
    <x v="3"/>
  </r>
  <r>
    <n v="4543"/>
    <x v="411"/>
    <s v="Sales invoice issued"/>
    <x v="283"/>
    <s v="0.0"/>
    <x v="2"/>
    <x v="0"/>
  </r>
  <r>
    <n v="4543"/>
    <x v="411"/>
    <s v="Sales invoice issued"/>
    <x v="273"/>
    <s v="342.06"/>
    <x v="3"/>
    <x v="2"/>
  </r>
  <r>
    <n v="4543"/>
    <x v="411"/>
    <s v="Sales invoice issued"/>
    <x v="273"/>
    <s v="25.65"/>
    <x v="4"/>
    <x v="3"/>
  </r>
  <r>
    <n v="4544"/>
    <x v="411"/>
    <s v="Sales invoice issued"/>
    <x v="1874"/>
    <s v="0.0"/>
    <x v="2"/>
    <x v="0"/>
  </r>
  <r>
    <n v="4544"/>
    <x v="411"/>
    <s v="Sales invoice issued"/>
    <x v="273"/>
    <s v="2211.49"/>
    <x v="3"/>
    <x v="2"/>
  </r>
  <r>
    <n v="4544"/>
    <x v="411"/>
    <s v="Sales invoice issued"/>
    <x v="273"/>
    <s v="165.86"/>
    <x v="4"/>
    <x v="3"/>
  </r>
  <r>
    <n v="4545"/>
    <x v="411"/>
    <s v="Sales invoice issued"/>
    <x v="1875"/>
    <s v="0.0"/>
    <x v="2"/>
    <x v="0"/>
  </r>
  <r>
    <n v="4545"/>
    <x v="411"/>
    <s v="Sales invoice issued"/>
    <x v="273"/>
    <s v="390.93"/>
    <x v="3"/>
    <x v="2"/>
  </r>
  <r>
    <n v="4545"/>
    <x v="411"/>
    <s v="Sales invoice issued"/>
    <x v="273"/>
    <s v="29.32"/>
    <x v="4"/>
    <x v="3"/>
  </r>
  <r>
    <n v="4546"/>
    <x v="411"/>
    <s v="Customer payment received"/>
    <x v="1766"/>
    <s v="0.0"/>
    <x v="0"/>
    <x v="0"/>
  </r>
  <r>
    <n v="4546"/>
    <x v="411"/>
    <s v="Customer payment received"/>
    <x v="273"/>
    <s v="3913.71"/>
    <x v="2"/>
    <x v="0"/>
  </r>
  <r>
    <n v="4547"/>
    <x v="411"/>
    <s v="Customer payment received"/>
    <x v="1768"/>
    <s v="0.0"/>
    <x v="0"/>
    <x v="0"/>
  </r>
  <r>
    <n v="4547"/>
    <x v="411"/>
    <s v="Customer payment received"/>
    <x v="273"/>
    <s v="108.68"/>
    <x v="2"/>
    <x v="0"/>
  </r>
  <r>
    <n v="4548"/>
    <x v="411"/>
    <s v="Customer payment received"/>
    <x v="1781"/>
    <s v="0.0"/>
    <x v="0"/>
    <x v="0"/>
  </r>
  <r>
    <n v="4548"/>
    <x v="411"/>
    <s v="Customer payment received"/>
    <x v="273"/>
    <s v="2055.74"/>
    <x v="2"/>
    <x v="0"/>
  </r>
  <r>
    <n v="4549"/>
    <x v="411"/>
    <s v="Customer payment received"/>
    <x v="1820"/>
    <s v="0.0"/>
    <x v="0"/>
    <x v="0"/>
  </r>
  <r>
    <n v="4549"/>
    <x v="411"/>
    <s v="Customer payment received"/>
    <x v="273"/>
    <s v="2797.07"/>
    <x v="2"/>
    <x v="0"/>
  </r>
  <r>
    <n v="4550"/>
    <x v="411"/>
    <s v="Customer payment received"/>
    <x v="1843"/>
    <s v="0.0"/>
    <x v="0"/>
    <x v="0"/>
  </r>
  <r>
    <n v="4550"/>
    <x v="411"/>
    <s v="Customer payment received"/>
    <x v="273"/>
    <s v="1447.86"/>
    <x v="2"/>
    <x v="0"/>
  </r>
  <r>
    <n v="4551"/>
    <x v="411"/>
    <s v="Customer payment received"/>
    <x v="1864"/>
    <s v="0.0"/>
    <x v="0"/>
    <x v="0"/>
  </r>
  <r>
    <n v="4551"/>
    <x v="411"/>
    <s v="Customer payment received"/>
    <x v="273"/>
    <s v="1611.16"/>
    <x v="2"/>
    <x v="0"/>
  </r>
  <r>
    <n v="4552"/>
    <x v="411"/>
    <s v="Supplier invoice received"/>
    <x v="338"/>
    <s v="0.0"/>
    <x v="9"/>
    <x v="4"/>
  </r>
  <r>
    <n v="4552"/>
    <x v="411"/>
    <s v="Supplier invoice received"/>
    <x v="339"/>
    <s v="0.0"/>
    <x v="10"/>
    <x v="0"/>
  </r>
  <r>
    <n v="4552"/>
    <x v="411"/>
    <s v="Supplier invoice received"/>
    <x v="273"/>
    <s v="1159.84"/>
    <x v="11"/>
    <x v="3"/>
  </r>
  <r>
    <n v="4553"/>
    <x v="411"/>
    <s v="Supplier payment made"/>
    <x v="318"/>
    <s v="0.0"/>
    <x v="11"/>
    <x v="3"/>
  </r>
  <r>
    <n v="4553"/>
    <x v="411"/>
    <s v="Supplier payment made"/>
    <x v="273"/>
    <s v="2504.23"/>
    <x v="0"/>
    <x v="0"/>
  </r>
  <r>
    <n v="4554"/>
    <x v="411"/>
    <s v="Supplier payment made"/>
    <x v="336"/>
    <s v="0.0"/>
    <x v="11"/>
    <x v="3"/>
  </r>
  <r>
    <n v="4554"/>
    <x v="411"/>
    <s v="Supplier payment made"/>
    <x v="273"/>
    <s v="2093.28"/>
    <x v="0"/>
    <x v="0"/>
  </r>
  <r>
    <n v="4555"/>
    <x v="412"/>
    <s v="Sales invoice issued"/>
    <x v="1876"/>
    <s v="0.0"/>
    <x v="2"/>
    <x v="0"/>
  </r>
  <r>
    <n v="4555"/>
    <x v="412"/>
    <s v="Sales invoice issued"/>
    <x v="273"/>
    <s v="2582.78"/>
    <x v="3"/>
    <x v="2"/>
  </r>
  <r>
    <n v="4555"/>
    <x v="412"/>
    <s v="Sales invoice issued"/>
    <x v="273"/>
    <s v="193.72"/>
    <x v="4"/>
    <x v="3"/>
  </r>
  <r>
    <n v="4556"/>
    <x v="412"/>
    <s v="Sales invoice issued"/>
    <x v="1877"/>
    <s v="0.0"/>
    <x v="2"/>
    <x v="0"/>
  </r>
  <r>
    <n v="4556"/>
    <x v="412"/>
    <s v="Sales invoice issued"/>
    <x v="273"/>
    <s v="6424.4"/>
    <x v="3"/>
    <x v="2"/>
  </r>
  <r>
    <n v="4556"/>
    <x v="412"/>
    <s v="Sales invoice issued"/>
    <x v="273"/>
    <s v="481.83"/>
    <x v="4"/>
    <x v="3"/>
  </r>
  <r>
    <n v="4557"/>
    <x v="412"/>
    <s v="Sales invoice issued"/>
    <x v="1878"/>
    <s v="0.0"/>
    <x v="2"/>
    <x v="0"/>
  </r>
  <r>
    <n v="4557"/>
    <x v="412"/>
    <s v="Sales invoice issued"/>
    <x v="273"/>
    <s v="2941.63"/>
    <x v="3"/>
    <x v="2"/>
  </r>
  <r>
    <n v="4557"/>
    <x v="412"/>
    <s v="Sales invoice issued"/>
    <x v="273"/>
    <s v="220.63"/>
    <x v="4"/>
    <x v="3"/>
  </r>
  <r>
    <n v="4558"/>
    <x v="412"/>
    <s v="Sales invoice issued"/>
    <x v="1879"/>
    <s v="0.0"/>
    <x v="2"/>
    <x v="0"/>
  </r>
  <r>
    <n v="4558"/>
    <x v="412"/>
    <s v="Sales invoice issued"/>
    <x v="273"/>
    <s v="2055.88"/>
    <x v="3"/>
    <x v="2"/>
  </r>
  <r>
    <n v="4558"/>
    <x v="412"/>
    <s v="Sales invoice issued"/>
    <x v="273"/>
    <s v="154.2"/>
    <x v="4"/>
    <x v="3"/>
  </r>
  <r>
    <n v="4559"/>
    <x v="412"/>
    <s v="Sales invoice issued"/>
    <x v="1880"/>
    <s v="0.0"/>
    <x v="2"/>
    <x v="0"/>
  </r>
  <r>
    <n v="4559"/>
    <x v="412"/>
    <s v="Sales invoice issued"/>
    <x v="273"/>
    <s v="3048.06"/>
    <x v="3"/>
    <x v="2"/>
  </r>
  <r>
    <n v="4559"/>
    <x v="412"/>
    <s v="Sales invoice issued"/>
    <x v="273"/>
    <s v="228.6"/>
    <x v="4"/>
    <x v="3"/>
  </r>
  <r>
    <n v="4560"/>
    <x v="412"/>
    <s v="Customer payment received"/>
    <x v="1721"/>
    <s v="0.0"/>
    <x v="0"/>
    <x v="0"/>
  </r>
  <r>
    <n v="4560"/>
    <x v="412"/>
    <s v="Customer payment received"/>
    <x v="273"/>
    <s v="464.88"/>
    <x v="2"/>
    <x v="0"/>
  </r>
  <r>
    <n v="4561"/>
    <x v="412"/>
    <s v="Customer payment received"/>
    <x v="1771"/>
    <s v="0.0"/>
    <x v="0"/>
    <x v="0"/>
  </r>
  <r>
    <n v="4561"/>
    <x v="412"/>
    <s v="Customer payment received"/>
    <x v="273"/>
    <s v="1538.68"/>
    <x v="2"/>
    <x v="0"/>
  </r>
  <r>
    <n v="4562"/>
    <x v="412"/>
    <s v="Customer payment received"/>
    <x v="1829"/>
    <s v="0.0"/>
    <x v="0"/>
    <x v="0"/>
  </r>
  <r>
    <n v="4562"/>
    <x v="412"/>
    <s v="Customer payment received"/>
    <x v="273"/>
    <s v="3487.38"/>
    <x v="2"/>
    <x v="0"/>
  </r>
  <r>
    <n v="4563"/>
    <x v="412"/>
    <s v="Customer payment received"/>
    <x v="1838"/>
    <s v="0.0"/>
    <x v="0"/>
    <x v="0"/>
  </r>
  <r>
    <n v="4563"/>
    <x v="412"/>
    <s v="Customer payment received"/>
    <x v="273"/>
    <s v="4117.34"/>
    <x v="2"/>
    <x v="0"/>
  </r>
  <r>
    <n v="4564"/>
    <x v="412"/>
    <s v="Customer payment received"/>
    <x v="1841"/>
    <s v="0.0"/>
    <x v="0"/>
    <x v="0"/>
  </r>
  <r>
    <n v="4564"/>
    <x v="412"/>
    <s v="Customer payment received"/>
    <x v="273"/>
    <s v="965.05"/>
    <x v="2"/>
    <x v="0"/>
  </r>
  <r>
    <n v="4565"/>
    <x v="412"/>
    <s v="Customer payment received"/>
    <x v="1861"/>
    <s v="0.0"/>
    <x v="0"/>
    <x v="0"/>
  </r>
  <r>
    <n v="4565"/>
    <x v="412"/>
    <s v="Customer payment received"/>
    <x v="273"/>
    <s v="3531.01"/>
    <x v="2"/>
    <x v="0"/>
  </r>
  <r>
    <n v="4566"/>
    <x v="412"/>
    <s v="Customer payment received"/>
    <x v="1875"/>
    <s v="0.0"/>
    <x v="0"/>
    <x v="0"/>
  </r>
  <r>
    <n v="4566"/>
    <x v="412"/>
    <s v="Customer payment received"/>
    <x v="273"/>
    <s v="420.25"/>
    <x v="2"/>
    <x v="0"/>
  </r>
  <r>
    <n v="4567"/>
    <x v="412"/>
    <s v="Supplier invoice received"/>
    <x v="374"/>
    <s v="0.0"/>
    <x v="9"/>
    <x v="4"/>
  </r>
  <r>
    <n v="4567"/>
    <x v="412"/>
    <s v="Supplier invoice received"/>
    <x v="375"/>
    <s v="0.0"/>
    <x v="10"/>
    <x v="0"/>
  </r>
  <r>
    <n v="4567"/>
    <x v="412"/>
    <s v="Supplier invoice received"/>
    <x v="273"/>
    <s v="2504.23"/>
    <x v="11"/>
    <x v="3"/>
  </r>
  <r>
    <n v="4568"/>
    <x v="412"/>
    <s v="Supplier payment made"/>
    <x v="488"/>
    <s v="0.0"/>
    <x v="11"/>
    <x v="3"/>
  </r>
  <r>
    <n v="4568"/>
    <x v="412"/>
    <s v="Supplier payment made"/>
    <x v="273"/>
    <s v="2182.41"/>
    <x v="0"/>
    <x v="0"/>
  </r>
  <r>
    <n v="4569"/>
    <x v="412"/>
    <s v="Supplier payment made"/>
    <x v="393"/>
    <s v="0.0"/>
    <x v="11"/>
    <x v="3"/>
  </r>
  <r>
    <n v="4569"/>
    <x v="412"/>
    <s v="Supplier payment made"/>
    <x v="273"/>
    <s v="412.54"/>
    <x v="0"/>
    <x v="0"/>
  </r>
  <r>
    <n v="4570"/>
    <x v="413"/>
    <s v="Payroll processed"/>
    <x v="1787"/>
    <s v="0.0"/>
    <x v="5"/>
    <x v="4"/>
  </r>
  <r>
    <n v="4570"/>
    <x v="413"/>
    <s v="Payroll processed"/>
    <x v="1788"/>
    <s v="0.0"/>
    <x v="6"/>
    <x v="4"/>
  </r>
  <r>
    <n v="4570"/>
    <x v="413"/>
    <s v="Payroll processed"/>
    <x v="273"/>
    <s v="18718.31"/>
    <x v="0"/>
    <x v="0"/>
  </r>
  <r>
    <n v="4570"/>
    <x v="413"/>
    <s v="Payroll processed"/>
    <x v="273"/>
    <s v="4315.09"/>
    <x v="7"/>
    <x v="3"/>
  </r>
  <r>
    <n v="4570"/>
    <x v="413"/>
    <s v="Payroll processed"/>
    <x v="273"/>
    <s v="921.34"/>
    <x v="8"/>
    <x v="3"/>
  </r>
  <r>
    <n v="4571"/>
    <x v="413"/>
    <s v="Sales invoice issued"/>
    <x v="1881"/>
    <s v="0.0"/>
    <x v="2"/>
    <x v="0"/>
  </r>
  <r>
    <n v="4571"/>
    <x v="413"/>
    <s v="Sales invoice issued"/>
    <x v="273"/>
    <s v="894.72"/>
    <x v="3"/>
    <x v="2"/>
  </r>
  <r>
    <n v="4571"/>
    <x v="413"/>
    <s v="Sales invoice issued"/>
    <x v="273"/>
    <s v="67.1"/>
    <x v="4"/>
    <x v="3"/>
  </r>
  <r>
    <n v="4572"/>
    <x v="413"/>
    <s v="Sales invoice issued"/>
    <x v="1882"/>
    <s v="0.0"/>
    <x v="2"/>
    <x v="0"/>
  </r>
  <r>
    <n v="4572"/>
    <x v="413"/>
    <s v="Sales invoice issued"/>
    <x v="273"/>
    <s v="1547.51"/>
    <x v="3"/>
    <x v="2"/>
  </r>
  <r>
    <n v="4572"/>
    <x v="413"/>
    <s v="Sales invoice issued"/>
    <x v="273"/>
    <s v="116.06"/>
    <x v="4"/>
    <x v="3"/>
  </r>
  <r>
    <n v="4573"/>
    <x v="413"/>
    <s v="Sales invoice issued"/>
    <x v="1883"/>
    <s v="0.0"/>
    <x v="2"/>
    <x v="0"/>
  </r>
  <r>
    <n v="4573"/>
    <x v="413"/>
    <s v="Sales invoice issued"/>
    <x v="273"/>
    <s v="2414.51"/>
    <x v="3"/>
    <x v="2"/>
  </r>
  <r>
    <n v="4573"/>
    <x v="413"/>
    <s v="Sales invoice issued"/>
    <x v="273"/>
    <s v="181.09"/>
    <x v="4"/>
    <x v="3"/>
  </r>
  <r>
    <n v="4574"/>
    <x v="413"/>
    <s v="Customer payment received"/>
    <x v="1884"/>
    <s v="0.0"/>
    <x v="0"/>
    <x v="0"/>
  </r>
  <r>
    <n v="4574"/>
    <x v="413"/>
    <s v="Customer payment received"/>
    <x v="273"/>
    <s v="179.91"/>
    <x v="2"/>
    <x v="0"/>
  </r>
  <r>
    <n v="4575"/>
    <x v="413"/>
    <s v="Customer payment received"/>
    <x v="1794"/>
    <s v="0.0"/>
    <x v="0"/>
    <x v="0"/>
  </r>
  <r>
    <n v="4575"/>
    <x v="413"/>
    <s v="Customer payment received"/>
    <x v="273"/>
    <s v="2610.36"/>
    <x v="2"/>
    <x v="0"/>
  </r>
  <r>
    <n v="4576"/>
    <x v="413"/>
    <s v="Customer payment received"/>
    <x v="1803"/>
    <s v="0.0"/>
    <x v="0"/>
    <x v="0"/>
  </r>
  <r>
    <n v="4576"/>
    <x v="413"/>
    <s v="Customer payment received"/>
    <x v="273"/>
    <s v="422.66"/>
    <x v="2"/>
    <x v="0"/>
  </r>
  <r>
    <n v="4577"/>
    <x v="413"/>
    <s v="Customer payment received"/>
    <x v="1876"/>
    <s v="0.0"/>
    <x v="0"/>
    <x v="0"/>
  </r>
  <r>
    <n v="4577"/>
    <x v="413"/>
    <s v="Customer payment received"/>
    <x v="273"/>
    <s v="2776.5"/>
    <x v="2"/>
    <x v="0"/>
  </r>
  <r>
    <n v="4578"/>
    <x v="413"/>
    <s v="Supplier invoice received"/>
    <x v="441"/>
    <s v="0.0"/>
    <x v="9"/>
    <x v="4"/>
  </r>
  <r>
    <n v="4578"/>
    <x v="413"/>
    <s v="Supplier invoice received"/>
    <x v="442"/>
    <s v="0.0"/>
    <x v="10"/>
    <x v="0"/>
  </r>
  <r>
    <n v="4578"/>
    <x v="413"/>
    <s v="Supplier invoice received"/>
    <x v="273"/>
    <s v="179.01"/>
    <x v="11"/>
    <x v="3"/>
  </r>
  <r>
    <n v="4579"/>
    <x v="413"/>
    <s v="Supplier invoice received"/>
    <x v="297"/>
    <s v="0.0"/>
    <x v="9"/>
    <x v="4"/>
  </r>
  <r>
    <n v="4579"/>
    <x v="413"/>
    <s v="Supplier invoice received"/>
    <x v="298"/>
    <s v="0.0"/>
    <x v="10"/>
    <x v="0"/>
  </r>
  <r>
    <n v="4579"/>
    <x v="413"/>
    <s v="Supplier invoice received"/>
    <x v="273"/>
    <s v="3528.97"/>
    <x v="11"/>
    <x v="3"/>
  </r>
  <r>
    <n v="4580"/>
    <x v="413"/>
    <s v="Supplier payment made"/>
    <x v="408"/>
    <s v="0.0"/>
    <x v="11"/>
    <x v="3"/>
  </r>
  <r>
    <n v="4580"/>
    <x v="413"/>
    <s v="Supplier payment made"/>
    <x v="273"/>
    <s v="3868.8"/>
    <x v="0"/>
    <x v="0"/>
  </r>
  <r>
    <n v="4581"/>
    <x v="413"/>
    <s v="Supplier payment made"/>
    <x v="392"/>
    <s v="0.0"/>
    <x v="11"/>
    <x v="3"/>
  </r>
  <r>
    <n v="4581"/>
    <x v="413"/>
    <s v="Supplier payment made"/>
    <x v="273"/>
    <s v="1023.42"/>
    <x v="0"/>
    <x v="0"/>
  </r>
  <r>
    <n v="4582"/>
    <x v="413"/>
    <s v="Supplier payment made"/>
    <x v="488"/>
    <s v="0.0"/>
    <x v="11"/>
    <x v="3"/>
  </r>
  <r>
    <n v="4582"/>
    <x v="413"/>
    <s v="Supplier payment made"/>
    <x v="273"/>
    <s v="2182.41"/>
    <x v="0"/>
    <x v="0"/>
  </r>
  <r>
    <n v="4583"/>
    <x v="413"/>
    <s v="Depreciation â€” POS System"/>
    <x v="425"/>
    <s v="0.0"/>
    <x v="12"/>
    <x v="4"/>
  </r>
  <r>
    <n v="4583"/>
    <x v="413"/>
    <s v="Depreciation â€” POS System"/>
    <x v="273"/>
    <s v="93.61"/>
    <x v="13"/>
    <x v="0"/>
  </r>
  <r>
    <n v="4584"/>
    <x v="413"/>
    <s v="Depreciation â€” Laptop x2"/>
    <x v="426"/>
    <s v="0.0"/>
    <x v="12"/>
    <x v="4"/>
  </r>
  <r>
    <n v="4584"/>
    <x v="413"/>
    <s v="Depreciation â€” Laptop x2"/>
    <x v="273"/>
    <s v="76.86"/>
    <x v="13"/>
    <x v="0"/>
  </r>
  <r>
    <n v="4585"/>
    <x v="413"/>
    <s v="Depreciation â€” Printer/Scanner"/>
    <x v="427"/>
    <s v="0.0"/>
    <x v="12"/>
    <x v="4"/>
  </r>
  <r>
    <n v="4585"/>
    <x v="413"/>
    <s v="Depreciation â€” Printer/Scanner"/>
    <x v="273"/>
    <s v="20.03"/>
    <x v="13"/>
    <x v="0"/>
  </r>
  <r>
    <n v="4586"/>
    <x v="413"/>
    <s v="Depreciation â€” Shop Shelving"/>
    <x v="428"/>
    <s v="0.0"/>
    <x v="12"/>
    <x v="4"/>
  </r>
  <r>
    <n v="4586"/>
    <x v="413"/>
    <s v="Depreciation â€” Shop Shelving"/>
    <x v="273"/>
    <s v="86.89"/>
    <x v="14"/>
    <x v="0"/>
  </r>
  <r>
    <n v="4587"/>
    <x v="413"/>
    <s v="Depreciation â€” Display Stands"/>
    <x v="429"/>
    <s v="0.0"/>
    <x v="12"/>
    <x v="4"/>
  </r>
  <r>
    <n v="4587"/>
    <x v="413"/>
    <s v="Depreciation â€” Display Stands"/>
    <x v="273"/>
    <s v="76.8"/>
    <x v="14"/>
    <x v="0"/>
  </r>
  <r>
    <n v="4588"/>
    <x v="413"/>
    <s v="Depreciation â€” Counter &amp; Checkout"/>
    <x v="430"/>
    <s v="0.0"/>
    <x v="12"/>
    <x v="4"/>
  </r>
  <r>
    <n v="4588"/>
    <x v="413"/>
    <s v="Depreciation â€” Counter &amp; Checkout"/>
    <x v="273"/>
    <s v="48.28"/>
    <x v="14"/>
    <x v="0"/>
  </r>
  <r>
    <n v="4589"/>
    <x v="413"/>
    <s v="Depreciation â€” Signage"/>
    <x v="431"/>
    <s v="0.0"/>
    <x v="12"/>
    <x v="4"/>
  </r>
  <r>
    <n v="4589"/>
    <x v="413"/>
    <s v="Depreciation â€” Signage"/>
    <x v="273"/>
    <s v="53.21"/>
    <x v="14"/>
    <x v="0"/>
  </r>
  <r>
    <n v="4590"/>
    <x v="413"/>
    <s v="Depreciation â€” Delivery Van"/>
    <x v="432"/>
    <s v="0.0"/>
    <x v="12"/>
    <x v="4"/>
  </r>
  <r>
    <n v="4590"/>
    <x v="413"/>
    <s v="Depreciation â€” Delivery Van"/>
    <x v="273"/>
    <s v="232.19"/>
    <x v="15"/>
    <x v="0"/>
  </r>
  <r>
    <n v="4591"/>
    <x v="413"/>
    <s v="Depreciation â€” Security System"/>
    <x v="433"/>
    <s v="0.0"/>
    <x v="12"/>
    <x v="4"/>
  </r>
  <r>
    <n v="4591"/>
    <x v="413"/>
    <s v="Depreciation â€” Security System"/>
    <x v="273"/>
    <s v="43.85"/>
    <x v="13"/>
    <x v="0"/>
  </r>
  <r>
    <n v="4592"/>
    <x v="414"/>
    <s v="Sales invoice issued"/>
    <x v="1885"/>
    <s v="0.0"/>
    <x v="2"/>
    <x v="0"/>
  </r>
  <r>
    <n v="4592"/>
    <x v="414"/>
    <s v="Sales invoice issued"/>
    <x v="273"/>
    <s v="2635.14"/>
    <x v="3"/>
    <x v="2"/>
  </r>
  <r>
    <n v="4592"/>
    <x v="414"/>
    <s v="Sales invoice issued"/>
    <x v="273"/>
    <s v="197.65"/>
    <x v="4"/>
    <x v="3"/>
  </r>
  <r>
    <n v="4593"/>
    <x v="414"/>
    <s v="Sales invoice issued"/>
    <x v="1886"/>
    <s v="0.0"/>
    <x v="2"/>
    <x v="0"/>
  </r>
  <r>
    <n v="4593"/>
    <x v="414"/>
    <s v="Sales invoice issued"/>
    <x v="273"/>
    <s v="2078.4"/>
    <x v="3"/>
    <x v="2"/>
  </r>
  <r>
    <n v="4593"/>
    <x v="414"/>
    <s v="Sales invoice issued"/>
    <x v="273"/>
    <s v="155.89"/>
    <x v="4"/>
    <x v="3"/>
  </r>
  <r>
    <n v="4594"/>
    <x v="414"/>
    <s v="Sales invoice issued"/>
    <x v="1887"/>
    <s v="0.0"/>
    <x v="2"/>
    <x v="0"/>
  </r>
  <r>
    <n v="4594"/>
    <x v="414"/>
    <s v="Sales invoice issued"/>
    <x v="273"/>
    <s v="1607.76"/>
    <x v="3"/>
    <x v="2"/>
  </r>
  <r>
    <n v="4594"/>
    <x v="414"/>
    <s v="Sales invoice issued"/>
    <x v="273"/>
    <s v="120.59"/>
    <x v="4"/>
    <x v="3"/>
  </r>
  <r>
    <n v="4595"/>
    <x v="414"/>
    <s v="Sales invoice issued"/>
    <x v="1888"/>
    <s v="0.0"/>
    <x v="2"/>
    <x v="0"/>
  </r>
  <r>
    <n v="4595"/>
    <x v="414"/>
    <s v="Sales invoice issued"/>
    <x v="273"/>
    <s v="1054.14"/>
    <x v="3"/>
    <x v="2"/>
  </r>
  <r>
    <n v="4595"/>
    <x v="414"/>
    <s v="Sales invoice issued"/>
    <x v="273"/>
    <s v="79.07"/>
    <x v="4"/>
    <x v="3"/>
  </r>
  <r>
    <n v="4596"/>
    <x v="414"/>
    <s v="Sales invoice issued"/>
    <x v="1889"/>
    <s v="0.0"/>
    <x v="2"/>
    <x v="0"/>
  </r>
  <r>
    <n v="4596"/>
    <x v="414"/>
    <s v="Sales invoice issued"/>
    <x v="273"/>
    <s v="163.78"/>
    <x v="3"/>
    <x v="2"/>
  </r>
  <r>
    <n v="4596"/>
    <x v="414"/>
    <s v="Sales invoice issued"/>
    <x v="273"/>
    <s v="12.28"/>
    <x v="4"/>
    <x v="3"/>
  </r>
  <r>
    <n v="4597"/>
    <x v="414"/>
    <s v="Sales invoice issued"/>
    <x v="1890"/>
    <s v="0.0"/>
    <x v="2"/>
    <x v="0"/>
  </r>
  <r>
    <n v="4597"/>
    <x v="414"/>
    <s v="Sales invoice issued"/>
    <x v="273"/>
    <s v="2642.86"/>
    <x v="3"/>
    <x v="2"/>
  </r>
  <r>
    <n v="4597"/>
    <x v="414"/>
    <s v="Sales invoice issued"/>
    <x v="273"/>
    <s v="198.21"/>
    <x v="4"/>
    <x v="3"/>
  </r>
  <r>
    <n v="4598"/>
    <x v="414"/>
    <s v="Sales invoice issued"/>
    <x v="1891"/>
    <s v="0.0"/>
    <x v="2"/>
    <x v="0"/>
  </r>
  <r>
    <n v="4598"/>
    <x v="414"/>
    <s v="Sales invoice issued"/>
    <x v="273"/>
    <s v="1153.73"/>
    <x v="3"/>
    <x v="2"/>
  </r>
  <r>
    <n v="4598"/>
    <x v="414"/>
    <s v="Sales invoice issued"/>
    <x v="273"/>
    <s v="86.53"/>
    <x v="4"/>
    <x v="3"/>
  </r>
  <r>
    <n v="4599"/>
    <x v="414"/>
    <s v="Sales invoice issued"/>
    <x v="1892"/>
    <s v="0.0"/>
    <x v="2"/>
    <x v="0"/>
  </r>
  <r>
    <n v="4599"/>
    <x v="414"/>
    <s v="Sales invoice issued"/>
    <x v="273"/>
    <s v="754.74"/>
    <x v="3"/>
    <x v="2"/>
  </r>
  <r>
    <n v="4599"/>
    <x v="414"/>
    <s v="Sales invoice issued"/>
    <x v="273"/>
    <s v="56.6"/>
    <x v="4"/>
    <x v="3"/>
  </r>
  <r>
    <n v="4600"/>
    <x v="414"/>
    <s v="Sales invoice issued"/>
    <x v="1893"/>
    <s v="0.0"/>
    <x v="2"/>
    <x v="0"/>
  </r>
  <r>
    <n v="4600"/>
    <x v="414"/>
    <s v="Sales invoice issued"/>
    <x v="273"/>
    <s v="1141.98"/>
    <x v="3"/>
    <x v="2"/>
  </r>
  <r>
    <n v="4600"/>
    <x v="414"/>
    <s v="Sales invoice issued"/>
    <x v="273"/>
    <s v="85.65"/>
    <x v="4"/>
    <x v="3"/>
  </r>
  <r>
    <n v="4601"/>
    <x v="414"/>
    <s v="Sales invoice issued"/>
    <x v="1894"/>
    <s v="0.0"/>
    <x v="2"/>
    <x v="0"/>
  </r>
  <r>
    <n v="4601"/>
    <x v="414"/>
    <s v="Sales invoice issued"/>
    <x v="273"/>
    <s v="3020.61"/>
    <x v="3"/>
    <x v="2"/>
  </r>
  <r>
    <n v="4601"/>
    <x v="414"/>
    <s v="Sales invoice issued"/>
    <x v="273"/>
    <s v="226.54"/>
    <x v="4"/>
    <x v="3"/>
  </r>
  <r>
    <n v="4602"/>
    <x v="414"/>
    <s v="Sales invoice issued"/>
    <x v="1895"/>
    <s v="0.0"/>
    <x v="2"/>
    <x v="0"/>
  </r>
  <r>
    <n v="4602"/>
    <x v="414"/>
    <s v="Sales invoice issued"/>
    <x v="273"/>
    <s v="3797.59"/>
    <x v="3"/>
    <x v="2"/>
  </r>
  <r>
    <n v="4602"/>
    <x v="414"/>
    <s v="Sales invoice issued"/>
    <x v="273"/>
    <s v="284.82"/>
    <x v="4"/>
    <x v="3"/>
  </r>
  <r>
    <n v="4603"/>
    <x v="414"/>
    <s v="Customer payment received"/>
    <x v="1637"/>
    <s v="0.0"/>
    <x v="0"/>
    <x v="0"/>
  </r>
  <r>
    <n v="4603"/>
    <x v="414"/>
    <s v="Customer payment received"/>
    <x v="273"/>
    <s v="1258.29"/>
    <x v="2"/>
    <x v="0"/>
  </r>
  <r>
    <n v="4604"/>
    <x v="414"/>
    <s v="Customer payment received"/>
    <x v="1706"/>
    <s v="0.0"/>
    <x v="0"/>
    <x v="0"/>
  </r>
  <r>
    <n v="4604"/>
    <x v="414"/>
    <s v="Customer payment received"/>
    <x v="273"/>
    <s v="3341.36"/>
    <x v="2"/>
    <x v="0"/>
  </r>
  <r>
    <n v="4605"/>
    <x v="414"/>
    <s v="Customer payment received"/>
    <x v="1807"/>
    <s v="0.0"/>
    <x v="0"/>
    <x v="0"/>
  </r>
  <r>
    <n v="4605"/>
    <x v="414"/>
    <s v="Customer payment received"/>
    <x v="273"/>
    <s v="4697.18"/>
    <x v="2"/>
    <x v="0"/>
  </r>
  <r>
    <n v="4606"/>
    <x v="414"/>
    <s v="Customer payment received"/>
    <x v="1811"/>
    <s v="0.0"/>
    <x v="0"/>
    <x v="0"/>
  </r>
  <r>
    <n v="4606"/>
    <x v="414"/>
    <s v="Customer payment received"/>
    <x v="273"/>
    <s v="4697.67"/>
    <x v="2"/>
    <x v="0"/>
  </r>
  <r>
    <n v="4607"/>
    <x v="414"/>
    <s v="Customer payment received"/>
    <x v="1825"/>
    <s v="0.0"/>
    <x v="0"/>
    <x v="0"/>
  </r>
  <r>
    <n v="4607"/>
    <x v="414"/>
    <s v="Customer payment received"/>
    <x v="273"/>
    <s v="3232.39"/>
    <x v="2"/>
    <x v="0"/>
  </r>
  <r>
    <n v="4608"/>
    <x v="414"/>
    <s v="Customer payment received"/>
    <x v="1857"/>
    <s v="0.0"/>
    <x v="0"/>
    <x v="0"/>
  </r>
  <r>
    <n v="4608"/>
    <x v="414"/>
    <s v="Customer payment received"/>
    <x v="273"/>
    <s v="298.38"/>
    <x v="2"/>
    <x v="0"/>
  </r>
  <r>
    <n v="4609"/>
    <x v="414"/>
    <s v="Customer payment received"/>
    <x v="1865"/>
    <s v="0.0"/>
    <x v="0"/>
    <x v="0"/>
  </r>
  <r>
    <n v="4609"/>
    <x v="414"/>
    <s v="Customer payment received"/>
    <x v="273"/>
    <s v="1839.15"/>
    <x v="2"/>
    <x v="0"/>
  </r>
  <r>
    <n v="4610"/>
    <x v="414"/>
    <s v="Customer payment received"/>
    <x v="1869"/>
    <s v="0.0"/>
    <x v="0"/>
    <x v="0"/>
  </r>
  <r>
    <n v="4610"/>
    <x v="414"/>
    <s v="Customer payment received"/>
    <x v="273"/>
    <s v="122.57"/>
    <x v="2"/>
    <x v="0"/>
  </r>
  <r>
    <n v="4611"/>
    <x v="414"/>
    <s v="Customer payment received"/>
    <x v="1888"/>
    <s v="0.0"/>
    <x v="0"/>
    <x v="0"/>
  </r>
  <r>
    <n v="4611"/>
    <x v="414"/>
    <s v="Customer payment received"/>
    <x v="273"/>
    <s v="1133.21"/>
    <x v="2"/>
    <x v="0"/>
  </r>
  <r>
    <n v="4612"/>
    <x v="415"/>
    <s v="Sales invoice issued"/>
    <x v="1896"/>
    <s v="0.0"/>
    <x v="2"/>
    <x v="0"/>
  </r>
  <r>
    <n v="4612"/>
    <x v="415"/>
    <s v="Sales invoice issued"/>
    <x v="273"/>
    <s v="1257.68"/>
    <x v="3"/>
    <x v="2"/>
  </r>
  <r>
    <n v="4612"/>
    <x v="415"/>
    <s v="Sales invoice issued"/>
    <x v="273"/>
    <s v="94.33"/>
    <x v="4"/>
    <x v="3"/>
  </r>
  <r>
    <n v="4613"/>
    <x v="415"/>
    <s v="Sales invoice issued"/>
    <x v="1897"/>
    <s v="0.0"/>
    <x v="2"/>
    <x v="0"/>
  </r>
  <r>
    <n v="4613"/>
    <x v="415"/>
    <s v="Sales invoice issued"/>
    <x v="273"/>
    <s v="3382.37"/>
    <x v="3"/>
    <x v="2"/>
  </r>
  <r>
    <n v="4613"/>
    <x v="415"/>
    <s v="Sales invoice issued"/>
    <x v="273"/>
    <s v="253.67"/>
    <x v="4"/>
    <x v="3"/>
  </r>
  <r>
    <n v="4614"/>
    <x v="415"/>
    <s v="Sales invoice issued"/>
    <x v="1898"/>
    <s v="0.0"/>
    <x v="2"/>
    <x v="0"/>
  </r>
  <r>
    <n v="4614"/>
    <x v="415"/>
    <s v="Sales invoice issued"/>
    <x v="273"/>
    <s v="983.15"/>
    <x v="3"/>
    <x v="2"/>
  </r>
  <r>
    <n v="4614"/>
    <x v="415"/>
    <s v="Sales invoice issued"/>
    <x v="273"/>
    <s v="73.74"/>
    <x v="4"/>
    <x v="3"/>
  </r>
  <r>
    <n v="4615"/>
    <x v="415"/>
    <s v="Customer payment received"/>
    <x v="1852"/>
    <s v="0.0"/>
    <x v="0"/>
    <x v="0"/>
  </r>
  <r>
    <n v="4615"/>
    <x v="415"/>
    <s v="Customer payment received"/>
    <x v="273"/>
    <s v="2852.73"/>
    <x v="2"/>
    <x v="0"/>
  </r>
  <r>
    <n v="4616"/>
    <x v="415"/>
    <s v="Supplier invoice received"/>
    <x v="330"/>
    <s v="0.0"/>
    <x v="9"/>
    <x v="4"/>
  </r>
  <r>
    <n v="4616"/>
    <x v="415"/>
    <s v="Supplier invoice received"/>
    <x v="331"/>
    <s v="0.0"/>
    <x v="10"/>
    <x v="0"/>
  </r>
  <r>
    <n v="4616"/>
    <x v="415"/>
    <s v="Supplier invoice received"/>
    <x v="273"/>
    <s v="1935.04"/>
    <x v="11"/>
    <x v="3"/>
  </r>
  <r>
    <n v="4617"/>
    <x v="415"/>
    <s v="Supplier invoice received"/>
    <x v="303"/>
    <s v="0.0"/>
    <x v="9"/>
    <x v="4"/>
  </r>
  <r>
    <n v="4617"/>
    <x v="415"/>
    <s v="Supplier invoice received"/>
    <x v="304"/>
    <s v="0.0"/>
    <x v="10"/>
    <x v="0"/>
  </r>
  <r>
    <n v="4617"/>
    <x v="415"/>
    <s v="Supplier invoice received"/>
    <x v="273"/>
    <s v="550.4"/>
    <x v="11"/>
    <x v="3"/>
  </r>
  <r>
    <n v="4618"/>
    <x v="415"/>
    <s v="Supplier invoice received"/>
    <x v="443"/>
    <s v="0.0"/>
    <x v="9"/>
    <x v="4"/>
  </r>
  <r>
    <n v="4618"/>
    <x v="415"/>
    <s v="Supplier invoice received"/>
    <x v="444"/>
    <s v="0.0"/>
    <x v="10"/>
    <x v="0"/>
  </r>
  <r>
    <n v="4618"/>
    <x v="415"/>
    <s v="Supplier invoice received"/>
    <x v="273"/>
    <s v="748.26"/>
    <x v="11"/>
    <x v="3"/>
  </r>
  <r>
    <n v="4619"/>
    <x v="415"/>
    <s v="Supplier invoice received"/>
    <x v="366"/>
    <s v="0.0"/>
    <x v="9"/>
    <x v="4"/>
  </r>
  <r>
    <n v="4619"/>
    <x v="415"/>
    <s v="Supplier invoice received"/>
    <x v="367"/>
    <s v="0.0"/>
    <x v="10"/>
    <x v="0"/>
  </r>
  <r>
    <n v="4619"/>
    <x v="415"/>
    <s v="Supplier invoice received"/>
    <x v="273"/>
    <s v="201.5"/>
    <x v="11"/>
    <x v="3"/>
  </r>
  <r>
    <n v="4620"/>
    <x v="415"/>
    <s v="Supplier invoice received"/>
    <x v="357"/>
    <s v="0.0"/>
    <x v="9"/>
    <x v="4"/>
  </r>
  <r>
    <n v="4620"/>
    <x v="415"/>
    <s v="Supplier invoice received"/>
    <x v="358"/>
    <s v="0.0"/>
    <x v="10"/>
    <x v="0"/>
  </r>
  <r>
    <n v="4620"/>
    <x v="415"/>
    <s v="Supplier invoice received"/>
    <x v="273"/>
    <s v="1958.74"/>
    <x v="11"/>
    <x v="3"/>
  </r>
  <r>
    <n v="4621"/>
    <x v="415"/>
    <s v="Supplier invoice received"/>
    <x v="448"/>
    <s v="0.0"/>
    <x v="9"/>
    <x v="4"/>
  </r>
  <r>
    <n v="4621"/>
    <x v="415"/>
    <s v="Supplier invoice received"/>
    <x v="449"/>
    <s v="0.0"/>
    <x v="10"/>
    <x v="0"/>
  </r>
  <r>
    <n v="4621"/>
    <x v="415"/>
    <s v="Supplier invoice received"/>
    <x v="273"/>
    <s v="7227.44"/>
    <x v="11"/>
    <x v="3"/>
  </r>
  <r>
    <n v="4622"/>
    <x v="415"/>
    <s v="Supplier invoice received"/>
    <x v="299"/>
    <s v="0.0"/>
    <x v="9"/>
    <x v="4"/>
  </r>
  <r>
    <n v="4622"/>
    <x v="415"/>
    <s v="Supplier invoice received"/>
    <x v="300"/>
    <s v="0.0"/>
    <x v="10"/>
    <x v="0"/>
  </r>
  <r>
    <n v="4622"/>
    <x v="415"/>
    <s v="Supplier invoice received"/>
    <x v="273"/>
    <s v="2918.17"/>
    <x v="11"/>
    <x v="3"/>
  </r>
  <r>
    <n v="4623"/>
    <x v="415"/>
    <s v="Supplier invoice received"/>
    <x v="383"/>
    <s v="0.0"/>
    <x v="9"/>
    <x v="4"/>
  </r>
  <r>
    <n v="4623"/>
    <x v="415"/>
    <s v="Supplier invoice received"/>
    <x v="384"/>
    <s v="0.0"/>
    <x v="10"/>
    <x v="0"/>
  </r>
  <r>
    <n v="4623"/>
    <x v="415"/>
    <s v="Supplier invoice received"/>
    <x v="273"/>
    <s v="3868.8"/>
    <x v="11"/>
    <x v="3"/>
  </r>
  <r>
    <n v="4624"/>
    <x v="415"/>
    <s v="Supplier invoice received"/>
    <x v="374"/>
    <s v="0.0"/>
    <x v="9"/>
    <x v="4"/>
  </r>
  <r>
    <n v="4624"/>
    <x v="415"/>
    <s v="Supplier invoice received"/>
    <x v="375"/>
    <s v="0.0"/>
    <x v="10"/>
    <x v="0"/>
  </r>
  <r>
    <n v="4624"/>
    <x v="415"/>
    <s v="Supplier invoice received"/>
    <x v="273"/>
    <s v="2504.23"/>
    <x v="11"/>
    <x v="3"/>
  </r>
  <r>
    <n v="4625"/>
    <x v="415"/>
    <s v="Supplier payment made"/>
    <x v="466"/>
    <s v="0.0"/>
    <x v="11"/>
    <x v="3"/>
  </r>
  <r>
    <n v="4625"/>
    <x v="415"/>
    <s v="Supplier payment made"/>
    <x v="273"/>
    <s v="748.26"/>
    <x v="0"/>
    <x v="0"/>
  </r>
  <r>
    <n v="4626"/>
    <x v="415"/>
    <s v="Supplier payment made"/>
    <x v="334"/>
    <s v="0.0"/>
    <x v="11"/>
    <x v="3"/>
  </r>
  <r>
    <n v="4626"/>
    <x v="415"/>
    <s v="Supplier payment made"/>
    <x v="273"/>
    <s v="3528.97"/>
    <x v="0"/>
    <x v="0"/>
  </r>
  <r>
    <n v="4627"/>
    <x v="416"/>
    <s v="Sales invoice issued"/>
    <x v="1899"/>
    <s v="0.0"/>
    <x v="2"/>
    <x v="0"/>
  </r>
  <r>
    <n v="4627"/>
    <x v="416"/>
    <s v="Sales invoice issued"/>
    <x v="273"/>
    <s v="2330.86"/>
    <x v="3"/>
    <x v="2"/>
  </r>
  <r>
    <n v="4627"/>
    <x v="416"/>
    <s v="Sales invoice issued"/>
    <x v="273"/>
    <s v="174.82"/>
    <x v="4"/>
    <x v="3"/>
  </r>
  <r>
    <n v="4628"/>
    <x v="416"/>
    <s v="Sales invoice issued"/>
    <x v="1900"/>
    <s v="0.0"/>
    <x v="2"/>
    <x v="0"/>
  </r>
  <r>
    <n v="4628"/>
    <x v="416"/>
    <s v="Sales invoice issued"/>
    <x v="273"/>
    <s v="2396.01"/>
    <x v="3"/>
    <x v="2"/>
  </r>
  <r>
    <n v="4628"/>
    <x v="416"/>
    <s v="Sales invoice issued"/>
    <x v="273"/>
    <s v="179.69"/>
    <x v="4"/>
    <x v="3"/>
  </r>
  <r>
    <n v="4629"/>
    <x v="416"/>
    <s v="Sales invoice issued"/>
    <x v="1901"/>
    <s v="0.0"/>
    <x v="2"/>
    <x v="0"/>
  </r>
  <r>
    <n v="4629"/>
    <x v="416"/>
    <s v="Sales invoice issued"/>
    <x v="273"/>
    <s v="657.8"/>
    <x v="3"/>
    <x v="2"/>
  </r>
  <r>
    <n v="4629"/>
    <x v="416"/>
    <s v="Sales invoice issued"/>
    <x v="273"/>
    <s v="49.34"/>
    <x v="4"/>
    <x v="3"/>
  </r>
  <r>
    <n v="4630"/>
    <x v="416"/>
    <s v="Sales invoice issued"/>
    <x v="1902"/>
    <s v="0.0"/>
    <x v="2"/>
    <x v="0"/>
  </r>
  <r>
    <n v="4630"/>
    <x v="416"/>
    <s v="Sales invoice issued"/>
    <x v="273"/>
    <s v="2170.08"/>
    <x v="3"/>
    <x v="2"/>
  </r>
  <r>
    <n v="4630"/>
    <x v="416"/>
    <s v="Sales invoice issued"/>
    <x v="273"/>
    <s v="162.76"/>
    <x v="4"/>
    <x v="3"/>
  </r>
  <r>
    <n v="4631"/>
    <x v="416"/>
    <s v="Sales invoice issued"/>
    <x v="1903"/>
    <s v="0.0"/>
    <x v="2"/>
    <x v="0"/>
  </r>
  <r>
    <n v="4631"/>
    <x v="416"/>
    <s v="Sales invoice issued"/>
    <x v="273"/>
    <s v="589.54"/>
    <x v="3"/>
    <x v="2"/>
  </r>
  <r>
    <n v="4631"/>
    <x v="416"/>
    <s v="Sales invoice issued"/>
    <x v="273"/>
    <s v="44.22"/>
    <x v="4"/>
    <x v="3"/>
  </r>
  <r>
    <n v="4632"/>
    <x v="416"/>
    <s v="Sales invoice issued"/>
    <x v="1904"/>
    <s v="0.0"/>
    <x v="2"/>
    <x v="0"/>
  </r>
  <r>
    <n v="4632"/>
    <x v="416"/>
    <s v="Sales invoice issued"/>
    <x v="273"/>
    <s v="1561.51"/>
    <x v="3"/>
    <x v="2"/>
  </r>
  <r>
    <n v="4632"/>
    <x v="416"/>
    <s v="Sales invoice issued"/>
    <x v="273"/>
    <s v="117.1"/>
    <x v="4"/>
    <x v="3"/>
  </r>
  <r>
    <n v="4633"/>
    <x v="416"/>
    <s v="Sales invoice issued"/>
    <x v="1905"/>
    <s v="0.0"/>
    <x v="2"/>
    <x v="0"/>
  </r>
  <r>
    <n v="4633"/>
    <x v="416"/>
    <s v="Sales invoice issued"/>
    <x v="273"/>
    <s v="411.73"/>
    <x v="3"/>
    <x v="2"/>
  </r>
  <r>
    <n v="4633"/>
    <x v="416"/>
    <s v="Sales invoice issued"/>
    <x v="273"/>
    <s v="30.89"/>
    <x v="4"/>
    <x v="3"/>
  </r>
  <r>
    <n v="4634"/>
    <x v="416"/>
    <s v="Sales invoice issued"/>
    <x v="1906"/>
    <s v="0.0"/>
    <x v="2"/>
    <x v="0"/>
  </r>
  <r>
    <n v="4634"/>
    <x v="416"/>
    <s v="Sales invoice issued"/>
    <x v="273"/>
    <s v="248.13"/>
    <x v="3"/>
    <x v="2"/>
  </r>
  <r>
    <n v="4634"/>
    <x v="416"/>
    <s v="Sales invoice issued"/>
    <x v="273"/>
    <s v="18.61"/>
    <x v="4"/>
    <x v="3"/>
  </r>
  <r>
    <n v="4635"/>
    <x v="416"/>
    <s v="Sales invoice issued"/>
    <x v="1907"/>
    <s v="0.0"/>
    <x v="2"/>
    <x v="0"/>
  </r>
  <r>
    <n v="4635"/>
    <x v="416"/>
    <s v="Sales invoice issued"/>
    <x v="273"/>
    <s v="2444.98"/>
    <x v="3"/>
    <x v="2"/>
  </r>
  <r>
    <n v="4635"/>
    <x v="416"/>
    <s v="Sales invoice issued"/>
    <x v="273"/>
    <s v="183.37"/>
    <x v="4"/>
    <x v="3"/>
  </r>
  <r>
    <n v="4636"/>
    <x v="416"/>
    <s v="Customer payment received"/>
    <x v="1796"/>
    <s v="0.0"/>
    <x v="0"/>
    <x v="0"/>
  </r>
  <r>
    <n v="4636"/>
    <x v="416"/>
    <s v="Customer payment received"/>
    <x v="273"/>
    <s v="4195.76"/>
    <x v="2"/>
    <x v="0"/>
  </r>
  <r>
    <n v="4637"/>
    <x v="416"/>
    <s v="Customer payment received"/>
    <x v="1818"/>
    <s v="0.0"/>
    <x v="0"/>
    <x v="0"/>
  </r>
  <r>
    <n v="4637"/>
    <x v="416"/>
    <s v="Customer payment received"/>
    <x v="273"/>
    <s v="1405.0"/>
    <x v="2"/>
    <x v="0"/>
  </r>
  <r>
    <n v="4638"/>
    <x v="416"/>
    <s v="Customer payment received"/>
    <x v="1821"/>
    <s v="0.0"/>
    <x v="0"/>
    <x v="0"/>
  </r>
  <r>
    <n v="4638"/>
    <x v="416"/>
    <s v="Customer payment received"/>
    <x v="273"/>
    <s v="2348.28"/>
    <x v="2"/>
    <x v="0"/>
  </r>
  <r>
    <n v="4639"/>
    <x v="416"/>
    <s v="Customer payment received"/>
    <x v="1866"/>
    <s v="0.0"/>
    <x v="0"/>
    <x v="0"/>
  </r>
  <r>
    <n v="4639"/>
    <x v="416"/>
    <s v="Customer payment received"/>
    <x v="273"/>
    <s v="2238.4"/>
    <x v="2"/>
    <x v="0"/>
  </r>
  <r>
    <n v="4640"/>
    <x v="416"/>
    <s v="Customer payment received"/>
    <x v="1908"/>
    <s v="0.0"/>
    <x v="0"/>
    <x v="0"/>
  </r>
  <r>
    <n v="4640"/>
    <x v="416"/>
    <s v="Customer payment received"/>
    <x v="273"/>
    <s v="1807.32"/>
    <x v="2"/>
    <x v="0"/>
  </r>
  <r>
    <n v="4641"/>
    <x v="416"/>
    <s v="Supplier invoice received"/>
    <x v="325"/>
    <s v="0.0"/>
    <x v="9"/>
    <x v="4"/>
  </r>
  <r>
    <n v="4641"/>
    <x v="416"/>
    <s v="Supplier invoice received"/>
    <x v="326"/>
    <s v="0.0"/>
    <x v="10"/>
    <x v="0"/>
  </r>
  <r>
    <n v="4641"/>
    <x v="416"/>
    <s v="Supplier invoice received"/>
    <x v="273"/>
    <s v="1304.62"/>
    <x v="11"/>
    <x v="3"/>
  </r>
  <r>
    <n v="4642"/>
    <x v="416"/>
    <s v="Supplier payment made"/>
    <x v="318"/>
    <s v="0.0"/>
    <x v="11"/>
    <x v="3"/>
  </r>
  <r>
    <n v="4642"/>
    <x v="416"/>
    <s v="Supplier payment made"/>
    <x v="273"/>
    <s v="2504.23"/>
    <x v="0"/>
    <x v="0"/>
  </r>
  <r>
    <n v="4643"/>
    <x v="416"/>
    <s v="Supplier payment made"/>
    <x v="351"/>
    <s v="0.0"/>
    <x v="11"/>
    <x v="3"/>
  </r>
  <r>
    <n v="4643"/>
    <x v="416"/>
    <s v="Supplier payment made"/>
    <x v="273"/>
    <s v="179.01"/>
    <x v="0"/>
    <x v="0"/>
  </r>
  <r>
    <n v="4644"/>
    <x v="416"/>
    <s v="Supplier payment made"/>
    <x v="504"/>
    <s v="0.0"/>
    <x v="11"/>
    <x v="3"/>
  </r>
  <r>
    <n v="4644"/>
    <x v="416"/>
    <s v="Supplier payment made"/>
    <x v="273"/>
    <s v="1958.74"/>
    <x v="0"/>
    <x v="0"/>
  </r>
  <r>
    <n v="4645"/>
    <x v="417"/>
    <s v="Sales invoice issued"/>
    <x v="1334"/>
    <s v="0.0"/>
    <x v="2"/>
    <x v="0"/>
  </r>
  <r>
    <n v="4645"/>
    <x v="417"/>
    <s v="Sales invoice issued"/>
    <x v="273"/>
    <s v="317.82"/>
    <x v="3"/>
    <x v="2"/>
  </r>
  <r>
    <n v="4645"/>
    <x v="417"/>
    <s v="Sales invoice issued"/>
    <x v="273"/>
    <s v="23.84"/>
    <x v="4"/>
    <x v="3"/>
  </r>
  <r>
    <n v="4646"/>
    <x v="417"/>
    <s v="Sales invoice issued"/>
    <x v="1909"/>
    <s v="0.0"/>
    <x v="2"/>
    <x v="0"/>
  </r>
  <r>
    <n v="4646"/>
    <x v="417"/>
    <s v="Sales invoice issued"/>
    <x v="273"/>
    <s v="4956.05"/>
    <x v="3"/>
    <x v="2"/>
  </r>
  <r>
    <n v="4646"/>
    <x v="417"/>
    <s v="Sales invoice issued"/>
    <x v="273"/>
    <s v="371.7"/>
    <x v="4"/>
    <x v="3"/>
  </r>
  <r>
    <n v="4647"/>
    <x v="417"/>
    <s v="Sales invoice issued"/>
    <x v="1910"/>
    <s v="0.0"/>
    <x v="2"/>
    <x v="0"/>
  </r>
  <r>
    <n v="4647"/>
    <x v="417"/>
    <s v="Sales invoice issued"/>
    <x v="273"/>
    <s v="2654.58"/>
    <x v="3"/>
    <x v="2"/>
  </r>
  <r>
    <n v="4647"/>
    <x v="417"/>
    <s v="Sales invoice issued"/>
    <x v="273"/>
    <s v="199.1"/>
    <x v="4"/>
    <x v="3"/>
  </r>
  <r>
    <n v="4648"/>
    <x v="417"/>
    <s v="Sales invoice issued"/>
    <x v="1911"/>
    <s v="0.0"/>
    <x v="2"/>
    <x v="0"/>
  </r>
  <r>
    <n v="4648"/>
    <x v="417"/>
    <s v="Sales invoice issued"/>
    <x v="273"/>
    <s v="1311.89"/>
    <x v="3"/>
    <x v="2"/>
  </r>
  <r>
    <n v="4648"/>
    <x v="417"/>
    <s v="Sales invoice issued"/>
    <x v="273"/>
    <s v="98.39"/>
    <x v="4"/>
    <x v="3"/>
  </r>
  <r>
    <n v="4649"/>
    <x v="417"/>
    <s v="Sales invoice issued"/>
    <x v="1912"/>
    <s v="0.0"/>
    <x v="2"/>
    <x v="0"/>
  </r>
  <r>
    <n v="4649"/>
    <x v="417"/>
    <s v="Sales invoice issued"/>
    <x v="273"/>
    <s v="1874.37"/>
    <x v="3"/>
    <x v="2"/>
  </r>
  <r>
    <n v="4649"/>
    <x v="417"/>
    <s v="Sales invoice issued"/>
    <x v="273"/>
    <s v="140.57"/>
    <x v="4"/>
    <x v="3"/>
  </r>
  <r>
    <n v="4650"/>
    <x v="417"/>
    <s v="Sales invoice issued"/>
    <x v="1913"/>
    <s v="0.0"/>
    <x v="2"/>
    <x v="0"/>
  </r>
  <r>
    <n v="4650"/>
    <x v="417"/>
    <s v="Sales invoice issued"/>
    <x v="273"/>
    <s v="2948.68"/>
    <x v="3"/>
    <x v="2"/>
  </r>
  <r>
    <n v="4650"/>
    <x v="417"/>
    <s v="Sales invoice issued"/>
    <x v="273"/>
    <s v="221.14"/>
    <x v="4"/>
    <x v="3"/>
  </r>
  <r>
    <n v="4651"/>
    <x v="417"/>
    <s v="Customer payment received"/>
    <x v="1728"/>
    <s v="0.0"/>
    <x v="0"/>
    <x v="0"/>
  </r>
  <r>
    <n v="4651"/>
    <x v="417"/>
    <s v="Customer payment received"/>
    <x v="273"/>
    <s v="1798.92"/>
    <x v="2"/>
    <x v="0"/>
  </r>
  <r>
    <n v="4652"/>
    <x v="417"/>
    <s v="Customer payment received"/>
    <x v="1783"/>
    <s v="0.0"/>
    <x v="0"/>
    <x v="0"/>
  </r>
  <r>
    <n v="4652"/>
    <x v="417"/>
    <s v="Customer payment received"/>
    <x v="273"/>
    <s v="1209.47"/>
    <x v="2"/>
    <x v="0"/>
  </r>
  <r>
    <n v="4653"/>
    <x v="417"/>
    <s v="Customer payment received"/>
    <x v="1827"/>
    <s v="0.0"/>
    <x v="0"/>
    <x v="0"/>
  </r>
  <r>
    <n v="4653"/>
    <x v="417"/>
    <s v="Customer payment received"/>
    <x v="273"/>
    <s v="1190.65"/>
    <x v="2"/>
    <x v="0"/>
  </r>
  <r>
    <n v="4654"/>
    <x v="417"/>
    <s v="Customer payment received"/>
    <x v="1858"/>
    <s v="0.0"/>
    <x v="0"/>
    <x v="0"/>
  </r>
  <r>
    <n v="4654"/>
    <x v="417"/>
    <s v="Customer payment received"/>
    <x v="273"/>
    <s v="3972.44"/>
    <x v="2"/>
    <x v="0"/>
  </r>
  <r>
    <n v="4655"/>
    <x v="417"/>
    <s v="Customer payment received"/>
    <x v="1914"/>
    <s v="0.0"/>
    <x v="0"/>
    <x v="0"/>
  </r>
  <r>
    <n v="4655"/>
    <x v="417"/>
    <s v="Customer payment received"/>
    <x v="273"/>
    <s v="2904.87"/>
    <x v="2"/>
    <x v="0"/>
  </r>
  <r>
    <n v="4656"/>
    <x v="417"/>
    <s v="Customer payment received"/>
    <x v="1882"/>
    <s v="0.0"/>
    <x v="0"/>
    <x v="0"/>
  </r>
  <r>
    <n v="4656"/>
    <x v="417"/>
    <s v="Customer payment received"/>
    <x v="273"/>
    <s v="1663.57"/>
    <x v="2"/>
    <x v="0"/>
  </r>
  <r>
    <n v="4657"/>
    <x v="417"/>
    <s v="Supplier payment made"/>
    <x v="336"/>
    <s v="0.0"/>
    <x v="11"/>
    <x v="3"/>
  </r>
  <r>
    <n v="4657"/>
    <x v="417"/>
    <s v="Supplier payment made"/>
    <x v="273"/>
    <s v="2093.28"/>
    <x v="0"/>
    <x v="0"/>
  </r>
  <r>
    <n v="4658"/>
    <x v="417"/>
    <s v="Supplier payment made"/>
    <x v="335"/>
    <s v="0.0"/>
    <x v="11"/>
    <x v="3"/>
  </r>
  <r>
    <n v="4658"/>
    <x v="417"/>
    <s v="Supplier payment made"/>
    <x v="273"/>
    <s v="550.4"/>
    <x v="0"/>
    <x v="0"/>
  </r>
  <r>
    <n v="4659"/>
    <x v="418"/>
    <s v="Sales invoice issued"/>
    <x v="1915"/>
    <s v="0.0"/>
    <x v="2"/>
    <x v="0"/>
  </r>
  <r>
    <n v="4659"/>
    <x v="418"/>
    <s v="Sales invoice issued"/>
    <x v="273"/>
    <s v="3483.23"/>
    <x v="3"/>
    <x v="2"/>
  </r>
  <r>
    <n v="4659"/>
    <x v="418"/>
    <s v="Sales invoice issued"/>
    <x v="273"/>
    <s v="261.25"/>
    <x v="4"/>
    <x v="3"/>
  </r>
  <r>
    <n v="4660"/>
    <x v="418"/>
    <s v="Sales invoice issued"/>
    <x v="1916"/>
    <s v="0.0"/>
    <x v="2"/>
    <x v="0"/>
  </r>
  <r>
    <n v="4660"/>
    <x v="418"/>
    <s v="Sales invoice issued"/>
    <x v="273"/>
    <s v="471.73"/>
    <x v="3"/>
    <x v="2"/>
  </r>
  <r>
    <n v="4660"/>
    <x v="418"/>
    <s v="Sales invoice issued"/>
    <x v="273"/>
    <s v="35.38"/>
    <x v="4"/>
    <x v="3"/>
  </r>
  <r>
    <n v="4661"/>
    <x v="418"/>
    <s v="Sales invoice issued"/>
    <x v="1917"/>
    <s v="0.0"/>
    <x v="2"/>
    <x v="0"/>
  </r>
  <r>
    <n v="4661"/>
    <x v="418"/>
    <s v="Sales invoice issued"/>
    <x v="273"/>
    <s v="1843.46"/>
    <x v="3"/>
    <x v="2"/>
  </r>
  <r>
    <n v="4661"/>
    <x v="418"/>
    <s v="Sales invoice issued"/>
    <x v="273"/>
    <s v="138.26"/>
    <x v="4"/>
    <x v="3"/>
  </r>
  <r>
    <n v="4662"/>
    <x v="418"/>
    <s v="Sales invoice issued"/>
    <x v="1918"/>
    <s v="0.0"/>
    <x v="2"/>
    <x v="0"/>
  </r>
  <r>
    <n v="4662"/>
    <x v="418"/>
    <s v="Sales invoice issued"/>
    <x v="273"/>
    <s v="2138.17"/>
    <x v="3"/>
    <x v="2"/>
  </r>
  <r>
    <n v="4662"/>
    <x v="418"/>
    <s v="Sales invoice issued"/>
    <x v="273"/>
    <s v="160.36"/>
    <x v="4"/>
    <x v="3"/>
  </r>
  <r>
    <n v="4663"/>
    <x v="418"/>
    <s v="Sales invoice issued"/>
    <x v="1505"/>
    <s v="0.0"/>
    <x v="2"/>
    <x v="0"/>
  </r>
  <r>
    <n v="4663"/>
    <x v="418"/>
    <s v="Sales invoice issued"/>
    <x v="273"/>
    <s v="86.3"/>
    <x v="3"/>
    <x v="2"/>
  </r>
  <r>
    <n v="4663"/>
    <x v="418"/>
    <s v="Sales invoice issued"/>
    <x v="273"/>
    <s v="6.47"/>
    <x v="4"/>
    <x v="3"/>
  </r>
  <r>
    <n v="4664"/>
    <x v="418"/>
    <s v="Customer payment received"/>
    <x v="1739"/>
    <s v="0.0"/>
    <x v="0"/>
    <x v="0"/>
  </r>
  <r>
    <n v="4664"/>
    <x v="418"/>
    <s v="Customer payment received"/>
    <x v="273"/>
    <s v="452.96"/>
    <x v="2"/>
    <x v="0"/>
  </r>
  <r>
    <n v="4665"/>
    <x v="418"/>
    <s v="Customer payment received"/>
    <x v="1792"/>
    <s v="0.0"/>
    <x v="0"/>
    <x v="0"/>
  </r>
  <r>
    <n v="4665"/>
    <x v="418"/>
    <s v="Customer payment received"/>
    <x v="273"/>
    <s v="1936.35"/>
    <x v="2"/>
    <x v="0"/>
  </r>
  <r>
    <n v="4666"/>
    <x v="418"/>
    <s v="Customer payment received"/>
    <x v="1881"/>
    <s v="0.0"/>
    <x v="0"/>
    <x v="0"/>
  </r>
  <r>
    <n v="4666"/>
    <x v="418"/>
    <s v="Customer payment received"/>
    <x v="273"/>
    <s v="961.82"/>
    <x v="2"/>
    <x v="0"/>
  </r>
  <r>
    <n v="4667"/>
    <x v="418"/>
    <s v="Customer payment received"/>
    <x v="1901"/>
    <s v="0.0"/>
    <x v="0"/>
    <x v="0"/>
  </r>
  <r>
    <n v="4667"/>
    <x v="418"/>
    <s v="Customer payment received"/>
    <x v="273"/>
    <s v="707.14"/>
    <x v="2"/>
    <x v="0"/>
  </r>
  <r>
    <n v="4668"/>
    <x v="418"/>
    <s v="Customer payment received"/>
    <x v="1916"/>
    <s v="0.0"/>
    <x v="0"/>
    <x v="0"/>
  </r>
  <r>
    <n v="4668"/>
    <x v="418"/>
    <s v="Customer payment received"/>
    <x v="273"/>
    <s v="507.11"/>
    <x v="2"/>
    <x v="0"/>
  </r>
  <r>
    <n v="4669"/>
    <x v="418"/>
    <s v="Supplier invoice received"/>
    <x v="307"/>
    <s v="0.0"/>
    <x v="9"/>
    <x v="4"/>
  </r>
  <r>
    <n v="4669"/>
    <x v="418"/>
    <s v="Supplier invoice received"/>
    <x v="308"/>
    <s v="0.0"/>
    <x v="10"/>
    <x v="0"/>
  </r>
  <r>
    <n v="4669"/>
    <x v="418"/>
    <s v="Supplier invoice received"/>
    <x v="273"/>
    <s v="2093.28"/>
    <x v="11"/>
    <x v="3"/>
  </r>
  <r>
    <n v="4670"/>
    <x v="418"/>
    <s v="Supplier payment made"/>
    <x v="496"/>
    <s v="0.0"/>
    <x v="11"/>
    <x v="3"/>
  </r>
  <r>
    <n v="4670"/>
    <x v="418"/>
    <s v="Supplier payment made"/>
    <x v="273"/>
    <s v="7227.44"/>
    <x v="0"/>
    <x v="0"/>
  </r>
  <r>
    <n v="4671"/>
    <x v="419"/>
    <s v="Sales invoice issued"/>
    <x v="1919"/>
    <s v="0.0"/>
    <x v="2"/>
    <x v="0"/>
  </r>
  <r>
    <n v="4671"/>
    <x v="419"/>
    <s v="Sales invoice issued"/>
    <x v="273"/>
    <s v="555.88"/>
    <x v="3"/>
    <x v="2"/>
  </r>
  <r>
    <n v="4671"/>
    <x v="419"/>
    <s v="Sales invoice issued"/>
    <x v="273"/>
    <s v="41.69"/>
    <x v="4"/>
    <x v="3"/>
  </r>
  <r>
    <n v="4672"/>
    <x v="419"/>
    <s v="Sales invoice issued"/>
    <x v="1920"/>
    <s v="0.0"/>
    <x v="2"/>
    <x v="0"/>
  </r>
  <r>
    <n v="4672"/>
    <x v="419"/>
    <s v="Sales invoice issued"/>
    <x v="273"/>
    <s v="128.11"/>
    <x v="3"/>
    <x v="2"/>
  </r>
  <r>
    <n v="4672"/>
    <x v="419"/>
    <s v="Sales invoice issued"/>
    <x v="273"/>
    <s v="9.61"/>
    <x v="4"/>
    <x v="3"/>
  </r>
  <r>
    <n v="4673"/>
    <x v="419"/>
    <s v="Sales invoice issued"/>
    <x v="1921"/>
    <s v="0.0"/>
    <x v="2"/>
    <x v="0"/>
  </r>
  <r>
    <n v="4673"/>
    <x v="419"/>
    <s v="Sales invoice issued"/>
    <x v="273"/>
    <s v="344.79"/>
    <x v="3"/>
    <x v="2"/>
  </r>
  <r>
    <n v="4673"/>
    <x v="419"/>
    <s v="Sales invoice issued"/>
    <x v="273"/>
    <s v="25.86"/>
    <x v="4"/>
    <x v="3"/>
  </r>
  <r>
    <n v="4674"/>
    <x v="419"/>
    <s v="Customer payment received"/>
    <x v="1664"/>
    <s v="0.0"/>
    <x v="0"/>
    <x v="0"/>
  </r>
  <r>
    <n v="4674"/>
    <x v="419"/>
    <s v="Customer payment received"/>
    <x v="273"/>
    <s v="8.82"/>
    <x v="2"/>
    <x v="0"/>
  </r>
  <r>
    <n v="4675"/>
    <x v="419"/>
    <s v="Customer payment received"/>
    <x v="1742"/>
    <s v="0.0"/>
    <x v="0"/>
    <x v="0"/>
  </r>
  <r>
    <n v="4675"/>
    <x v="419"/>
    <s v="Customer payment received"/>
    <x v="273"/>
    <s v="205.92"/>
    <x v="2"/>
    <x v="0"/>
  </r>
  <r>
    <n v="4676"/>
    <x v="419"/>
    <s v="Customer payment received"/>
    <x v="1828"/>
    <s v="0.0"/>
    <x v="0"/>
    <x v="0"/>
  </r>
  <r>
    <n v="4676"/>
    <x v="419"/>
    <s v="Customer payment received"/>
    <x v="273"/>
    <s v="2221.1"/>
    <x v="2"/>
    <x v="0"/>
  </r>
  <r>
    <n v="4677"/>
    <x v="419"/>
    <s v="Customer payment received"/>
    <x v="1879"/>
    <s v="0.0"/>
    <x v="0"/>
    <x v="0"/>
  </r>
  <r>
    <n v="4677"/>
    <x v="419"/>
    <s v="Customer payment received"/>
    <x v="273"/>
    <s v="2210.08"/>
    <x v="2"/>
    <x v="0"/>
  </r>
  <r>
    <n v="4678"/>
    <x v="419"/>
    <s v="Customer payment received"/>
    <x v="1885"/>
    <s v="0.0"/>
    <x v="0"/>
    <x v="0"/>
  </r>
  <r>
    <n v="4678"/>
    <x v="419"/>
    <s v="Customer payment received"/>
    <x v="273"/>
    <s v="2832.79"/>
    <x v="2"/>
    <x v="0"/>
  </r>
  <r>
    <n v="4679"/>
    <x v="419"/>
    <s v="Customer payment received"/>
    <x v="1887"/>
    <s v="0.0"/>
    <x v="0"/>
    <x v="0"/>
  </r>
  <r>
    <n v="4679"/>
    <x v="419"/>
    <s v="Customer payment received"/>
    <x v="273"/>
    <s v="1728.35"/>
    <x v="2"/>
    <x v="0"/>
  </r>
  <r>
    <n v="4680"/>
    <x v="419"/>
    <s v="Supplier invoice received"/>
    <x v="443"/>
    <s v="0.0"/>
    <x v="9"/>
    <x v="4"/>
  </r>
  <r>
    <n v="4680"/>
    <x v="419"/>
    <s v="Supplier invoice received"/>
    <x v="444"/>
    <s v="0.0"/>
    <x v="10"/>
    <x v="0"/>
  </r>
  <r>
    <n v="4680"/>
    <x v="419"/>
    <s v="Supplier invoice received"/>
    <x v="273"/>
    <s v="748.26"/>
    <x v="11"/>
    <x v="3"/>
  </r>
  <r>
    <n v="4681"/>
    <x v="419"/>
    <s v="Supplier invoice received"/>
    <x v="305"/>
    <s v="0.0"/>
    <x v="9"/>
    <x v="4"/>
  </r>
  <r>
    <n v="4681"/>
    <x v="419"/>
    <s v="Supplier invoice received"/>
    <x v="306"/>
    <s v="0.0"/>
    <x v="10"/>
    <x v="0"/>
  </r>
  <r>
    <n v="4681"/>
    <x v="419"/>
    <s v="Supplier invoice received"/>
    <x v="273"/>
    <s v="276.32"/>
    <x v="11"/>
    <x v="3"/>
  </r>
  <r>
    <n v="4682"/>
    <x v="419"/>
    <s v="Supplier payment made"/>
    <x v="392"/>
    <s v="0.0"/>
    <x v="11"/>
    <x v="3"/>
  </r>
  <r>
    <n v="4682"/>
    <x v="419"/>
    <s v="Supplier payment made"/>
    <x v="273"/>
    <s v="1023.42"/>
    <x v="0"/>
    <x v="0"/>
  </r>
  <r>
    <n v="4683"/>
    <x v="419"/>
    <s v="Supplier payment made"/>
    <x v="280"/>
    <s v="0.0"/>
    <x v="11"/>
    <x v="3"/>
  </r>
  <r>
    <n v="4683"/>
    <x v="419"/>
    <s v="Supplier payment made"/>
    <x v="273"/>
    <s v="2635.36"/>
    <x v="0"/>
    <x v="0"/>
  </r>
  <r>
    <n v="4684"/>
    <x v="420"/>
    <s v="Sales invoice issued"/>
    <x v="1922"/>
    <s v="0.0"/>
    <x v="2"/>
    <x v="0"/>
  </r>
  <r>
    <n v="4684"/>
    <x v="420"/>
    <s v="Sales invoice issued"/>
    <x v="273"/>
    <s v="2797.72"/>
    <x v="3"/>
    <x v="2"/>
  </r>
  <r>
    <n v="4684"/>
    <x v="420"/>
    <s v="Sales invoice issued"/>
    <x v="273"/>
    <s v="209.83"/>
    <x v="4"/>
    <x v="3"/>
  </r>
  <r>
    <n v="4685"/>
    <x v="420"/>
    <s v="Sales invoice issued"/>
    <x v="1923"/>
    <s v="0.0"/>
    <x v="2"/>
    <x v="0"/>
  </r>
  <r>
    <n v="4685"/>
    <x v="420"/>
    <s v="Sales invoice issued"/>
    <x v="273"/>
    <s v="3416.71"/>
    <x v="3"/>
    <x v="2"/>
  </r>
  <r>
    <n v="4685"/>
    <x v="420"/>
    <s v="Sales invoice issued"/>
    <x v="273"/>
    <s v="256.26"/>
    <x v="4"/>
    <x v="3"/>
  </r>
  <r>
    <n v="4686"/>
    <x v="420"/>
    <s v="Sales invoice issued"/>
    <x v="1924"/>
    <s v="0.0"/>
    <x v="2"/>
    <x v="0"/>
  </r>
  <r>
    <n v="4686"/>
    <x v="420"/>
    <s v="Sales invoice issued"/>
    <x v="273"/>
    <s v="1933.08"/>
    <x v="3"/>
    <x v="2"/>
  </r>
  <r>
    <n v="4686"/>
    <x v="420"/>
    <s v="Sales invoice issued"/>
    <x v="273"/>
    <s v="144.98"/>
    <x v="4"/>
    <x v="3"/>
  </r>
  <r>
    <n v="4687"/>
    <x v="420"/>
    <s v="Sales invoice issued"/>
    <x v="1206"/>
    <s v="0.0"/>
    <x v="2"/>
    <x v="0"/>
  </r>
  <r>
    <n v="4687"/>
    <x v="420"/>
    <s v="Sales invoice issued"/>
    <x v="273"/>
    <s v="200.96"/>
    <x v="3"/>
    <x v="2"/>
  </r>
  <r>
    <n v="4687"/>
    <x v="420"/>
    <s v="Sales invoice issued"/>
    <x v="273"/>
    <s v="15.07"/>
    <x v="4"/>
    <x v="3"/>
  </r>
  <r>
    <n v="4688"/>
    <x v="420"/>
    <s v="Sales invoice issued"/>
    <x v="1925"/>
    <s v="0.0"/>
    <x v="2"/>
    <x v="0"/>
  </r>
  <r>
    <n v="4688"/>
    <x v="420"/>
    <s v="Sales invoice issued"/>
    <x v="273"/>
    <s v="3138.98"/>
    <x v="3"/>
    <x v="2"/>
  </r>
  <r>
    <n v="4688"/>
    <x v="420"/>
    <s v="Sales invoice issued"/>
    <x v="273"/>
    <s v="235.42"/>
    <x v="4"/>
    <x v="3"/>
  </r>
  <r>
    <n v="4689"/>
    <x v="420"/>
    <s v="Sales invoice issued"/>
    <x v="1926"/>
    <s v="0.0"/>
    <x v="2"/>
    <x v="0"/>
  </r>
  <r>
    <n v="4689"/>
    <x v="420"/>
    <s v="Sales invoice issued"/>
    <x v="273"/>
    <s v="1633.27"/>
    <x v="3"/>
    <x v="2"/>
  </r>
  <r>
    <n v="4689"/>
    <x v="420"/>
    <s v="Sales invoice issued"/>
    <x v="273"/>
    <s v="122.49"/>
    <x v="4"/>
    <x v="3"/>
  </r>
  <r>
    <n v="4690"/>
    <x v="420"/>
    <s v="Sales invoice issued"/>
    <x v="1927"/>
    <s v="0.0"/>
    <x v="2"/>
    <x v="0"/>
  </r>
  <r>
    <n v="4690"/>
    <x v="420"/>
    <s v="Sales invoice issued"/>
    <x v="273"/>
    <s v="2699.18"/>
    <x v="3"/>
    <x v="2"/>
  </r>
  <r>
    <n v="4690"/>
    <x v="420"/>
    <s v="Sales invoice issued"/>
    <x v="273"/>
    <s v="202.42"/>
    <x v="4"/>
    <x v="3"/>
  </r>
  <r>
    <n v="4691"/>
    <x v="420"/>
    <s v="Sales invoice issued"/>
    <x v="1928"/>
    <s v="0.0"/>
    <x v="2"/>
    <x v="0"/>
  </r>
  <r>
    <n v="4691"/>
    <x v="420"/>
    <s v="Sales invoice issued"/>
    <x v="273"/>
    <s v="119.65"/>
    <x v="3"/>
    <x v="2"/>
  </r>
  <r>
    <n v="4691"/>
    <x v="420"/>
    <s v="Sales invoice issued"/>
    <x v="273"/>
    <s v="8.98"/>
    <x v="4"/>
    <x v="3"/>
  </r>
  <r>
    <n v="4692"/>
    <x v="420"/>
    <s v="Sales invoice issued"/>
    <x v="1929"/>
    <s v="0.0"/>
    <x v="2"/>
    <x v="0"/>
  </r>
  <r>
    <n v="4692"/>
    <x v="420"/>
    <s v="Sales invoice issued"/>
    <x v="273"/>
    <s v="1659.27"/>
    <x v="3"/>
    <x v="2"/>
  </r>
  <r>
    <n v="4692"/>
    <x v="420"/>
    <s v="Sales invoice issued"/>
    <x v="273"/>
    <s v="124.44"/>
    <x v="4"/>
    <x v="3"/>
  </r>
  <r>
    <n v="4693"/>
    <x v="420"/>
    <s v="Sales invoice issued"/>
    <x v="1930"/>
    <s v="0.0"/>
    <x v="2"/>
    <x v="0"/>
  </r>
  <r>
    <n v="4693"/>
    <x v="420"/>
    <s v="Sales invoice issued"/>
    <x v="273"/>
    <s v="459.34"/>
    <x v="3"/>
    <x v="2"/>
  </r>
  <r>
    <n v="4693"/>
    <x v="420"/>
    <s v="Sales invoice issued"/>
    <x v="273"/>
    <s v="34.45"/>
    <x v="4"/>
    <x v="3"/>
  </r>
  <r>
    <n v="4694"/>
    <x v="420"/>
    <s v="Customer payment received"/>
    <x v="1854"/>
    <s v="0.0"/>
    <x v="0"/>
    <x v="0"/>
  </r>
  <r>
    <n v="4694"/>
    <x v="420"/>
    <s v="Customer payment received"/>
    <x v="273"/>
    <s v="2458.4"/>
    <x v="2"/>
    <x v="0"/>
  </r>
  <r>
    <n v="4695"/>
    <x v="420"/>
    <s v="Customer payment received"/>
    <x v="1860"/>
    <s v="0.0"/>
    <x v="0"/>
    <x v="0"/>
  </r>
  <r>
    <n v="4695"/>
    <x v="420"/>
    <s v="Customer payment received"/>
    <x v="273"/>
    <s v="3247.12"/>
    <x v="2"/>
    <x v="0"/>
  </r>
  <r>
    <n v="4696"/>
    <x v="420"/>
    <s v="Customer payment received"/>
    <x v="1918"/>
    <s v="0.0"/>
    <x v="0"/>
    <x v="0"/>
  </r>
  <r>
    <n v="4696"/>
    <x v="420"/>
    <s v="Customer payment received"/>
    <x v="273"/>
    <s v="2298.53"/>
    <x v="2"/>
    <x v="0"/>
  </r>
  <r>
    <n v="4697"/>
    <x v="420"/>
    <s v="Customer payment received"/>
    <x v="1922"/>
    <s v="0.0"/>
    <x v="0"/>
    <x v="0"/>
  </r>
  <r>
    <n v="4697"/>
    <x v="420"/>
    <s v="Customer payment received"/>
    <x v="273"/>
    <s v="3007.55"/>
    <x v="2"/>
    <x v="0"/>
  </r>
  <r>
    <n v="4698"/>
    <x v="420"/>
    <s v="Supplier invoice received"/>
    <x v="301"/>
    <s v="0.0"/>
    <x v="9"/>
    <x v="4"/>
  </r>
  <r>
    <n v="4698"/>
    <x v="420"/>
    <s v="Supplier invoice received"/>
    <x v="302"/>
    <s v="0.0"/>
    <x v="10"/>
    <x v="0"/>
  </r>
  <r>
    <n v="4698"/>
    <x v="420"/>
    <s v="Supplier invoice received"/>
    <x v="273"/>
    <s v="4812.46"/>
    <x v="11"/>
    <x v="3"/>
  </r>
  <r>
    <n v="4699"/>
    <x v="420"/>
    <s v="Supplier invoice received"/>
    <x v="405"/>
    <s v="0.0"/>
    <x v="9"/>
    <x v="4"/>
  </r>
  <r>
    <n v="4699"/>
    <x v="420"/>
    <s v="Supplier invoice received"/>
    <x v="406"/>
    <s v="0.0"/>
    <x v="10"/>
    <x v="0"/>
  </r>
  <r>
    <n v="4699"/>
    <x v="420"/>
    <s v="Supplier invoice received"/>
    <x v="273"/>
    <s v="2635.36"/>
    <x v="11"/>
    <x v="3"/>
  </r>
  <r>
    <n v="4700"/>
    <x v="420"/>
    <s v="Supplier invoice received"/>
    <x v="332"/>
    <s v="0.0"/>
    <x v="9"/>
    <x v="4"/>
  </r>
  <r>
    <n v="4700"/>
    <x v="420"/>
    <s v="Supplier invoice received"/>
    <x v="333"/>
    <s v="0.0"/>
    <x v="10"/>
    <x v="0"/>
  </r>
  <r>
    <n v="4700"/>
    <x v="420"/>
    <s v="Supplier invoice received"/>
    <x v="273"/>
    <s v="1023.42"/>
    <x v="11"/>
    <x v="3"/>
  </r>
  <r>
    <n v="4701"/>
    <x v="420"/>
    <s v="Supplier invoice received"/>
    <x v="372"/>
    <s v="0.0"/>
    <x v="9"/>
    <x v="4"/>
  </r>
  <r>
    <n v="4701"/>
    <x v="420"/>
    <s v="Supplier invoice received"/>
    <x v="373"/>
    <s v="0.0"/>
    <x v="10"/>
    <x v="0"/>
  </r>
  <r>
    <n v="4701"/>
    <x v="420"/>
    <s v="Supplier invoice received"/>
    <x v="273"/>
    <s v="412.54"/>
    <x v="11"/>
    <x v="3"/>
  </r>
  <r>
    <n v="4702"/>
    <x v="420"/>
    <s v="Supplier invoice received"/>
    <x v="366"/>
    <s v="0.0"/>
    <x v="9"/>
    <x v="4"/>
  </r>
  <r>
    <n v="4702"/>
    <x v="420"/>
    <s v="Supplier invoice received"/>
    <x v="367"/>
    <s v="0.0"/>
    <x v="10"/>
    <x v="0"/>
  </r>
  <r>
    <n v="4702"/>
    <x v="420"/>
    <s v="Supplier invoice received"/>
    <x v="273"/>
    <s v="201.5"/>
    <x v="11"/>
    <x v="3"/>
  </r>
  <r>
    <n v="4703"/>
    <x v="420"/>
    <s v="Supplier invoice received"/>
    <x v="461"/>
    <s v="0.0"/>
    <x v="9"/>
    <x v="4"/>
  </r>
  <r>
    <n v="4703"/>
    <x v="420"/>
    <s v="Supplier invoice received"/>
    <x v="462"/>
    <s v="0.0"/>
    <x v="10"/>
    <x v="0"/>
  </r>
  <r>
    <n v="4703"/>
    <x v="420"/>
    <s v="Supplier invoice received"/>
    <x v="273"/>
    <s v="2182.41"/>
    <x v="11"/>
    <x v="3"/>
  </r>
  <r>
    <n v="4704"/>
    <x v="420"/>
    <s v="Supplier payment made"/>
    <x v="407"/>
    <s v="0.0"/>
    <x v="11"/>
    <x v="3"/>
  </r>
  <r>
    <n v="4704"/>
    <x v="420"/>
    <s v="Supplier payment made"/>
    <x v="273"/>
    <s v="201.5"/>
    <x v="0"/>
    <x v="0"/>
  </r>
  <r>
    <n v="4705"/>
    <x v="420"/>
    <s v="Supplier payment made"/>
    <x v="466"/>
    <s v="0.0"/>
    <x v="11"/>
    <x v="3"/>
  </r>
  <r>
    <n v="4705"/>
    <x v="420"/>
    <s v="Supplier payment made"/>
    <x v="273"/>
    <s v="748.26"/>
    <x v="0"/>
    <x v="0"/>
  </r>
  <r>
    <n v="4706"/>
    <x v="420"/>
    <s v="Supplier payment made"/>
    <x v="292"/>
    <s v="0.0"/>
    <x v="11"/>
    <x v="3"/>
  </r>
  <r>
    <n v="4706"/>
    <x v="420"/>
    <s v="Supplier payment made"/>
    <x v="273"/>
    <s v="1766.46"/>
    <x v="0"/>
    <x v="0"/>
  </r>
  <r>
    <n v="4707"/>
    <x v="420"/>
    <s v="Supplier payment made"/>
    <x v="393"/>
    <s v="0.0"/>
    <x v="11"/>
    <x v="3"/>
  </r>
  <r>
    <n v="4707"/>
    <x v="420"/>
    <s v="Supplier payment made"/>
    <x v="273"/>
    <s v="412.54"/>
    <x v="0"/>
    <x v="0"/>
  </r>
  <r>
    <n v="4708"/>
    <x v="421"/>
    <s v="Sales invoice issued"/>
    <x v="1931"/>
    <s v="0.0"/>
    <x v="2"/>
    <x v="0"/>
  </r>
  <r>
    <n v="4708"/>
    <x v="421"/>
    <s v="Sales invoice issued"/>
    <x v="273"/>
    <s v="1306.45"/>
    <x v="3"/>
    <x v="2"/>
  </r>
  <r>
    <n v="4708"/>
    <x v="421"/>
    <s v="Sales invoice issued"/>
    <x v="273"/>
    <s v="97.98"/>
    <x v="4"/>
    <x v="3"/>
  </r>
  <r>
    <n v="4709"/>
    <x v="421"/>
    <s v="Sales invoice issued"/>
    <x v="1932"/>
    <s v="0.0"/>
    <x v="2"/>
    <x v="0"/>
  </r>
  <r>
    <n v="4709"/>
    <x v="421"/>
    <s v="Sales invoice issued"/>
    <x v="273"/>
    <s v="1348.03"/>
    <x v="3"/>
    <x v="2"/>
  </r>
  <r>
    <n v="4709"/>
    <x v="421"/>
    <s v="Sales invoice issued"/>
    <x v="273"/>
    <s v="101.1"/>
    <x v="4"/>
    <x v="3"/>
  </r>
  <r>
    <n v="4710"/>
    <x v="421"/>
    <s v="Sales invoice issued"/>
    <x v="1933"/>
    <s v="0.0"/>
    <x v="2"/>
    <x v="0"/>
  </r>
  <r>
    <n v="4710"/>
    <x v="421"/>
    <s v="Sales invoice issued"/>
    <x v="273"/>
    <s v="153.69"/>
    <x v="3"/>
    <x v="2"/>
  </r>
  <r>
    <n v="4710"/>
    <x v="421"/>
    <s v="Sales invoice issued"/>
    <x v="273"/>
    <s v="11.53"/>
    <x v="4"/>
    <x v="3"/>
  </r>
  <r>
    <n v="4711"/>
    <x v="421"/>
    <s v="Customer payment received"/>
    <x v="1633"/>
    <s v="0.0"/>
    <x v="0"/>
    <x v="0"/>
  </r>
  <r>
    <n v="4711"/>
    <x v="421"/>
    <s v="Customer payment received"/>
    <x v="273"/>
    <s v="1098.69"/>
    <x v="2"/>
    <x v="0"/>
  </r>
  <r>
    <n v="4712"/>
    <x v="421"/>
    <s v="Customer payment received"/>
    <x v="1749"/>
    <s v="0.0"/>
    <x v="0"/>
    <x v="0"/>
  </r>
  <r>
    <n v="4712"/>
    <x v="421"/>
    <s v="Customer payment received"/>
    <x v="273"/>
    <s v="1694.03"/>
    <x v="2"/>
    <x v="0"/>
  </r>
  <r>
    <n v="4713"/>
    <x v="421"/>
    <s v="Customer payment received"/>
    <x v="1764"/>
    <s v="0.0"/>
    <x v="0"/>
    <x v="0"/>
  </r>
  <r>
    <n v="4713"/>
    <x v="421"/>
    <s v="Customer payment received"/>
    <x v="273"/>
    <s v="2852.81"/>
    <x v="2"/>
    <x v="0"/>
  </r>
  <r>
    <n v="4714"/>
    <x v="421"/>
    <s v="Customer payment received"/>
    <x v="1809"/>
    <s v="0.0"/>
    <x v="0"/>
    <x v="0"/>
  </r>
  <r>
    <n v="4714"/>
    <x v="421"/>
    <s v="Customer payment received"/>
    <x v="273"/>
    <s v="480.32"/>
    <x v="2"/>
    <x v="0"/>
  </r>
  <r>
    <n v="4715"/>
    <x v="421"/>
    <s v="Customer payment received"/>
    <x v="1883"/>
    <s v="0.0"/>
    <x v="0"/>
    <x v="0"/>
  </r>
  <r>
    <n v="4715"/>
    <x v="421"/>
    <s v="Customer payment received"/>
    <x v="273"/>
    <s v="2595.6"/>
    <x v="2"/>
    <x v="0"/>
  </r>
  <r>
    <n v="4716"/>
    <x v="421"/>
    <s v="Customer payment received"/>
    <x v="1934"/>
    <s v="0.0"/>
    <x v="0"/>
    <x v="0"/>
  </r>
  <r>
    <n v="4716"/>
    <x v="421"/>
    <s v="Customer payment received"/>
    <x v="273"/>
    <s v="1378.38"/>
    <x v="2"/>
    <x v="0"/>
  </r>
  <r>
    <n v="4717"/>
    <x v="421"/>
    <s v="Customer payment received"/>
    <x v="1933"/>
    <s v="0.0"/>
    <x v="0"/>
    <x v="0"/>
  </r>
  <r>
    <n v="4717"/>
    <x v="421"/>
    <s v="Customer payment received"/>
    <x v="273"/>
    <s v="165.22"/>
    <x v="2"/>
    <x v="0"/>
  </r>
  <r>
    <n v="4718"/>
    <x v="421"/>
    <s v="Supplier payment made"/>
    <x v="352"/>
    <s v="0.0"/>
    <x v="11"/>
    <x v="3"/>
  </r>
  <r>
    <n v="4718"/>
    <x v="421"/>
    <s v="Supplier payment made"/>
    <x v="273"/>
    <s v="9336.67"/>
    <x v="0"/>
    <x v="0"/>
  </r>
  <r>
    <n v="4719"/>
    <x v="421"/>
    <s v="Supplier payment made"/>
    <x v="353"/>
    <s v="0.0"/>
    <x v="11"/>
    <x v="3"/>
  </r>
  <r>
    <n v="4719"/>
    <x v="421"/>
    <s v="Supplier payment made"/>
    <x v="273"/>
    <s v="2918.17"/>
    <x v="0"/>
    <x v="0"/>
  </r>
  <r>
    <n v="4720"/>
    <x v="422"/>
    <s v="Sales invoice issued"/>
    <x v="1935"/>
    <s v="0.0"/>
    <x v="2"/>
    <x v="0"/>
  </r>
  <r>
    <n v="4720"/>
    <x v="422"/>
    <s v="Sales invoice issued"/>
    <x v="273"/>
    <s v="130.5"/>
    <x v="3"/>
    <x v="2"/>
  </r>
  <r>
    <n v="4720"/>
    <x v="422"/>
    <s v="Sales invoice issued"/>
    <x v="273"/>
    <s v="9.79"/>
    <x v="4"/>
    <x v="3"/>
  </r>
  <r>
    <n v="4721"/>
    <x v="422"/>
    <s v="Sales invoice issued"/>
    <x v="1936"/>
    <s v="0.0"/>
    <x v="2"/>
    <x v="0"/>
  </r>
  <r>
    <n v="4721"/>
    <x v="422"/>
    <s v="Sales invoice issued"/>
    <x v="273"/>
    <s v="3614.75"/>
    <x v="3"/>
    <x v="2"/>
  </r>
  <r>
    <n v="4721"/>
    <x v="422"/>
    <s v="Sales invoice issued"/>
    <x v="273"/>
    <s v="271.11"/>
    <x v="4"/>
    <x v="3"/>
  </r>
  <r>
    <n v="4722"/>
    <x v="422"/>
    <s v="Sales invoice issued"/>
    <x v="1937"/>
    <s v="0.0"/>
    <x v="2"/>
    <x v="0"/>
  </r>
  <r>
    <n v="4722"/>
    <x v="422"/>
    <s v="Sales invoice issued"/>
    <x v="273"/>
    <s v="2020.39"/>
    <x v="3"/>
    <x v="2"/>
  </r>
  <r>
    <n v="4722"/>
    <x v="422"/>
    <s v="Sales invoice issued"/>
    <x v="273"/>
    <s v="151.53"/>
    <x v="4"/>
    <x v="3"/>
  </r>
  <r>
    <n v="4723"/>
    <x v="422"/>
    <s v="Sales invoice issued"/>
    <x v="1938"/>
    <s v="0.0"/>
    <x v="2"/>
    <x v="0"/>
  </r>
  <r>
    <n v="4723"/>
    <x v="422"/>
    <s v="Sales invoice issued"/>
    <x v="273"/>
    <s v="266.27"/>
    <x v="3"/>
    <x v="2"/>
  </r>
  <r>
    <n v="4723"/>
    <x v="422"/>
    <s v="Sales invoice issued"/>
    <x v="273"/>
    <s v="19.97"/>
    <x v="4"/>
    <x v="3"/>
  </r>
  <r>
    <n v="4724"/>
    <x v="422"/>
    <s v="Sales invoice issued"/>
    <x v="1939"/>
    <s v="0.0"/>
    <x v="2"/>
    <x v="0"/>
  </r>
  <r>
    <n v="4724"/>
    <x v="422"/>
    <s v="Sales invoice issued"/>
    <x v="273"/>
    <s v="2340.8"/>
    <x v="3"/>
    <x v="2"/>
  </r>
  <r>
    <n v="4724"/>
    <x v="422"/>
    <s v="Sales invoice issued"/>
    <x v="273"/>
    <s v="175.56"/>
    <x v="4"/>
    <x v="3"/>
  </r>
  <r>
    <n v="4725"/>
    <x v="422"/>
    <s v="Sales invoice issued"/>
    <x v="1940"/>
    <s v="0.0"/>
    <x v="2"/>
    <x v="0"/>
  </r>
  <r>
    <n v="4725"/>
    <x v="422"/>
    <s v="Sales invoice issued"/>
    <x v="273"/>
    <s v="1994.27"/>
    <x v="3"/>
    <x v="2"/>
  </r>
  <r>
    <n v="4725"/>
    <x v="422"/>
    <s v="Sales invoice issued"/>
    <x v="273"/>
    <s v="149.57"/>
    <x v="4"/>
    <x v="3"/>
  </r>
  <r>
    <n v="4726"/>
    <x v="422"/>
    <s v="Customer payment received"/>
    <x v="1748"/>
    <s v="0.0"/>
    <x v="0"/>
    <x v="0"/>
  </r>
  <r>
    <n v="4726"/>
    <x v="422"/>
    <s v="Customer payment received"/>
    <x v="273"/>
    <s v="996.01"/>
    <x v="2"/>
    <x v="0"/>
  </r>
  <r>
    <n v="4727"/>
    <x v="422"/>
    <s v="Customer payment received"/>
    <x v="1765"/>
    <s v="0.0"/>
    <x v="0"/>
    <x v="0"/>
  </r>
  <r>
    <n v="4727"/>
    <x v="422"/>
    <s v="Customer payment received"/>
    <x v="273"/>
    <s v="3484.27"/>
    <x v="2"/>
    <x v="0"/>
  </r>
  <r>
    <n v="4728"/>
    <x v="422"/>
    <s v="Customer payment received"/>
    <x v="658"/>
    <s v="0.0"/>
    <x v="0"/>
    <x v="0"/>
  </r>
  <r>
    <n v="4728"/>
    <x v="422"/>
    <s v="Customer payment received"/>
    <x v="273"/>
    <s v="321.68"/>
    <x v="2"/>
    <x v="0"/>
  </r>
  <r>
    <n v="4729"/>
    <x v="422"/>
    <s v="Customer payment received"/>
    <x v="1903"/>
    <s v="0.0"/>
    <x v="0"/>
    <x v="0"/>
  </r>
  <r>
    <n v="4729"/>
    <x v="422"/>
    <s v="Customer payment received"/>
    <x v="273"/>
    <s v="633.76"/>
    <x v="2"/>
    <x v="0"/>
  </r>
  <r>
    <n v="4730"/>
    <x v="422"/>
    <s v="Customer payment received"/>
    <x v="1910"/>
    <s v="0.0"/>
    <x v="0"/>
    <x v="0"/>
  </r>
  <r>
    <n v="4730"/>
    <x v="422"/>
    <s v="Customer payment received"/>
    <x v="273"/>
    <s v="2853.68"/>
    <x v="2"/>
    <x v="0"/>
  </r>
  <r>
    <n v="4731"/>
    <x v="422"/>
    <s v="Supplier invoice received"/>
    <x v="441"/>
    <s v="0.0"/>
    <x v="9"/>
    <x v="4"/>
  </r>
  <r>
    <n v="4731"/>
    <x v="422"/>
    <s v="Supplier invoice received"/>
    <x v="442"/>
    <s v="0.0"/>
    <x v="10"/>
    <x v="0"/>
  </r>
  <r>
    <n v="4731"/>
    <x v="422"/>
    <s v="Supplier invoice received"/>
    <x v="273"/>
    <s v="179.01"/>
    <x v="11"/>
    <x v="3"/>
  </r>
  <r>
    <n v="4732"/>
    <x v="422"/>
    <s v="Supplier payment made"/>
    <x v="327"/>
    <s v="0.0"/>
    <x v="11"/>
    <x v="3"/>
  </r>
  <r>
    <n v="4732"/>
    <x v="422"/>
    <s v="Supplier payment made"/>
    <x v="273"/>
    <s v="1935.04"/>
    <x v="0"/>
    <x v="0"/>
  </r>
  <r>
    <n v="4733"/>
    <x v="423"/>
    <s v="Payroll processed"/>
    <x v="1941"/>
    <s v="0.0"/>
    <x v="5"/>
    <x v="4"/>
  </r>
  <r>
    <n v="4733"/>
    <x v="423"/>
    <s v="Payroll processed"/>
    <x v="1942"/>
    <s v="0.0"/>
    <x v="6"/>
    <x v="4"/>
  </r>
  <r>
    <n v="4733"/>
    <x v="423"/>
    <s v="Payroll processed"/>
    <x v="273"/>
    <s v="17507.81"/>
    <x v="0"/>
    <x v="0"/>
  </r>
  <r>
    <n v="4733"/>
    <x v="423"/>
    <s v="Payroll processed"/>
    <x v="273"/>
    <s v="4035.89"/>
    <x v="7"/>
    <x v="3"/>
  </r>
  <r>
    <n v="4733"/>
    <x v="423"/>
    <s v="Payroll processed"/>
    <x v="273"/>
    <s v="861.75"/>
    <x v="8"/>
    <x v="3"/>
  </r>
  <r>
    <n v="4734"/>
    <x v="423"/>
    <s v="Sales invoice issued"/>
    <x v="1943"/>
    <s v="0.0"/>
    <x v="2"/>
    <x v="0"/>
  </r>
  <r>
    <n v="4734"/>
    <x v="423"/>
    <s v="Sales invoice issued"/>
    <x v="273"/>
    <s v="1240.28"/>
    <x v="3"/>
    <x v="2"/>
  </r>
  <r>
    <n v="4734"/>
    <x v="423"/>
    <s v="Sales invoice issued"/>
    <x v="273"/>
    <s v="93.02"/>
    <x v="4"/>
    <x v="3"/>
  </r>
  <r>
    <n v="4735"/>
    <x v="423"/>
    <s v="Sales invoice issued"/>
    <x v="1944"/>
    <s v="0.0"/>
    <x v="2"/>
    <x v="0"/>
  </r>
  <r>
    <n v="4735"/>
    <x v="423"/>
    <s v="Sales invoice issued"/>
    <x v="273"/>
    <s v="3666.03"/>
    <x v="3"/>
    <x v="2"/>
  </r>
  <r>
    <n v="4735"/>
    <x v="423"/>
    <s v="Sales invoice issued"/>
    <x v="273"/>
    <s v="274.95"/>
    <x v="4"/>
    <x v="3"/>
  </r>
  <r>
    <n v="4736"/>
    <x v="423"/>
    <s v="Sales invoice issued"/>
    <x v="1945"/>
    <s v="0.0"/>
    <x v="2"/>
    <x v="0"/>
  </r>
  <r>
    <n v="4736"/>
    <x v="423"/>
    <s v="Sales invoice issued"/>
    <x v="273"/>
    <s v="561.58"/>
    <x v="3"/>
    <x v="2"/>
  </r>
  <r>
    <n v="4736"/>
    <x v="423"/>
    <s v="Sales invoice issued"/>
    <x v="273"/>
    <s v="42.12"/>
    <x v="4"/>
    <x v="3"/>
  </r>
  <r>
    <n v="4737"/>
    <x v="423"/>
    <s v="Customer payment received"/>
    <x v="1710"/>
    <s v="0.0"/>
    <x v="0"/>
    <x v="0"/>
  </r>
  <r>
    <n v="4737"/>
    <x v="423"/>
    <s v="Customer payment received"/>
    <x v="273"/>
    <s v="1826.77"/>
    <x v="2"/>
    <x v="0"/>
  </r>
  <r>
    <n v="4738"/>
    <x v="423"/>
    <s v="Customer payment received"/>
    <x v="1808"/>
    <s v="0.0"/>
    <x v="0"/>
    <x v="0"/>
  </r>
  <r>
    <n v="4738"/>
    <x v="423"/>
    <s v="Customer payment received"/>
    <x v="273"/>
    <s v="1435.53"/>
    <x v="2"/>
    <x v="0"/>
  </r>
  <r>
    <n v="4739"/>
    <x v="423"/>
    <s v="Customer payment received"/>
    <x v="1832"/>
    <s v="0.0"/>
    <x v="0"/>
    <x v="0"/>
  </r>
  <r>
    <n v="4739"/>
    <x v="423"/>
    <s v="Customer payment received"/>
    <x v="273"/>
    <s v="526.87"/>
    <x v="2"/>
    <x v="0"/>
  </r>
  <r>
    <n v="4740"/>
    <x v="423"/>
    <s v="Customer payment received"/>
    <x v="1225"/>
    <s v="0.0"/>
    <x v="0"/>
    <x v="0"/>
  </r>
  <r>
    <n v="4740"/>
    <x v="423"/>
    <s v="Customer payment received"/>
    <x v="273"/>
    <s v="112.23"/>
    <x v="2"/>
    <x v="0"/>
  </r>
  <r>
    <n v="4741"/>
    <x v="423"/>
    <s v="Customer payment received"/>
    <x v="1851"/>
    <s v="0.0"/>
    <x v="0"/>
    <x v="0"/>
  </r>
  <r>
    <n v="4741"/>
    <x v="423"/>
    <s v="Customer payment received"/>
    <x v="273"/>
    <s v="2340.56"/>
    <x v="2"/>
    <x v="0"/>
  </r>
  <r>
    <n v="4742"/>
    <x v="423"/>
    <s v="Customer payment received"/>
    <x v="1855"/>
    <s v="0.0"/>
    <x v="0"/>
    <x v="0"/>
  </r>
  <r>
    <n v="4742"/>
    <x v="423"/>
    <s v="Customer payment received"/>
    <x v="273"/>
    <s v="1580.63"/>
    <x v="2"/>
    <x v="0"/>
  </r>
  <r>
    <n v="4743"/>
    <x v="423"/>
    <s v="Customer payment received"/>
    <x v="1930"/>
    <s v="0.0"/>
    <x v="0"/>
    <x v="0"/>
  </r>
  <r>
    <n v="4743"/>
    <x v="423"/>
    <s v="Customer payment received"/>
    <x v="273"/>
    <s v="493.79"/>
    <x v="2"/>
    <x v="0"/>
  </r>
  <r>
    <n v="4744"/>
    <x v="423"/>
    <s v="Supplier payment made"/>
    <x v="336"/>
    <s v="0.0"/>
    <x v="11"/>
    <x v="3"/>
  </r>
  <r>
    <n v="4744"/>
    <x v="423"/>
    <s v="Supplier payment made"/>
    <x v="273"/>
    <s v="2093.28"/>
    <x v="0"/>
    <x v="0"/>
  </r>
  <r>
    <n v="4745"/>
    <x v="424"/>
    <s v="Sales invoice issued"/>
    <x v="1946"/>
    <s v="0.0"/>
    <x v="2"/>
    <x v="0"/>
  </r>
  <r>
    <n v="4745"/>
    <x v="424"/>
    <s v="Sales invoice issued"/>
    <x v="273"/>
    <s v="4442.0"/>
    <x v="3"/>
    <x v="2"/>
  </r>
  <r>
    <n v="4745"/>
    <x v="424"/>
    <s v="Sales invoice issued"/>
    <x v="273"/>
    <s v="333.15"/>
    <x v="4"/>
    <x v="3"/>
  </r>
  <r>
    <n v="4746"/>
    <x v="424"/>
    <s v="Sales invoice issued"/>
    <x v="1947"/>
    <s v="0.0"/>
    <x v="2"/>
    <x v="0"/>
  </r>
  <r>
    <n v="4746"/>
    <x v="424"/>
    <s v="Sales invoice issued"/>
    <x v="273"/>
    <s v="410.47"/>
    <x v="3"/>
    <x v="2"/>
  </r>
  <r>
    <n v="4746"/>
    <x v="424"/>
    <s v="Sales invoice issued"/>
    <x v="273"/>
    <s v="30.79"/>
    <x v="4"/>
    <x v="3"/>
  </r>
  <r>
    <n v="4747"/>
    <x v="424"/>
    <s v="Sales invoice issued"/>
    <x v="406"/>
    <s v="0.0"/>
    <x v="2"/>
    <x v="0"/>
  </r>
  <r>
    <n v="4747"/>
    <x v="424"/>
    <s v="Sales invoice issued"/>
    <x v="273"/>
    <s v="171.03"/>
    <x v="3"/>
    <x v="2"/>
  </r>
  <r>
    <n v="4747"/>
    <x v="424"/>
    <s v="Sales invoice issued"/>
    <x v="273"/>
    <s v="12.83"/>
    <x v="4"/>
    <x v="3"/>
  </r>
  <r>
    <n v="4748"/>
    <x v="424"/>
    <s v="Sales invoice issued"/>
    <x v="1948"/>
    <s v="0.0"/>
    <x v="2"/>
    <x v="0"/>
  </r>
  <r>
    <n v="4748"/>
    <x v="424"/>
    <s v="Sales invoice issued"/>
    <x v="273"/>
    <s v="219.8"/>
    <x v="3"/>
    <x v="2"/>
  </r>
  <r>
    <n v="4748"/>
    <x v="424"/>
    <s v="Sales invoice issued"/>
    <x v="273"/>
    <s v="16.49"/>
    <x v="4"/>
    <x v="3"/>
  </r>
  <r>
    <n v="4749"/>
    <x v="424"/>
    <s v="Sales invoice issued"/>
    <x v="1949"/>
    <s v="0.0"/>
    <x v="2"/>
    <x v="0"/>
  </r>
  <r>
    <n v="4749"/>
    <x v="424"/>
    <s v="Sales invoice issued"/>
    <x v="273"/>
    <s v="991.45"/>
    <x v="3"/>
    <x v="2"/>
  </r>
  <r>
    <n v="4749"/>
    <x v="424"/>
    <s v="Sales invoice issued"/>
    <x v="273"/>
    <s v="74.36"/>
    <x v="4"/>
    <x v="3"/>
  </r>
  <r>
    <n v="4750"/>
    <x v="424"/>
    <s v="Customer payment received"/>
    <x v="1813"/>
    <s v="0.0"/>
    <x v="0"/>
    <x v="0"/>
  </r>
  <r>
    <n v="4750"/>
    <x v="424"/>
    <s v="Customer payment received"/>
    <x v="273"/>
    <s v="2322.55"/>
    <x v="2"/>
    <x v="0"/>
  </r>
  <r>
    <n v="4751"/>
    <x v="424"/>
    <s v="Customer payment received"/>
    <x v="1835"/>
    <s v="0.0"/>
    <x v="0"/>
    <x v="0"/>
  </r>
  <r>
    <n v="4751"/>
    <x v="424"/>
    <s v="Customer payment received"/>
    <x v="273"/>
    <s v="719.43"/>
    <x v="2"/>
    <x v="0"/>
  </r>
  <r>
    <n v="4752"/>
    <x v="424"/>
    <s v="Customer payment received"/>
    <x v="1895"/>
    <s v="0.0"/>
    <x v="0"/>
    <x v="0"/>
  </r>
  <r>
    <n v="4752"/>
    <x v="424"/>
    <s v="Customer payment received"/>
    <x v="273"/>
    <s v="4082.41"/>
    <x v="2"/>
    <x v="0"/>
  </r>
  <r>
    <n v="4753"/>
    <x v="424"/>
    <s v="Customer payment received"/>
    <x v="1898"/>
    <s v="0.0"/>
    <x v="0"/>
    <x v="0"/>
  </r>
  <r>
    <n v="4753"/>
    <x v="424"/>
    <s v="Customer payment received"/>
    <x v="273"/>
    <s v="1056.89"/>
    <x v="2"/>
    <x v="0"/>
  </r>
  <r>
    <n v="4754"/>
    <x v="424"/>
    <s v="Supplier invoice received"/>
    <x v="330"/>
    <s v="0.0"/>
    <x v="9"/>
    <x v="4"/>
  </r>
  <r>
    <n v="4754"/>
    <x v="424"/>
    <s v="Supplier invoice received"/>
    <x v="331"/>
    <s v="0.0"/>
    <x v="10"/>
    <x v="0"/>
  </r>
  <r>
    <n v="4754"/>
    <x v="424"/>
    <s v="Supplier invoice received"/>
    <x v="273"/>
    <s v="1935.04"/>
    <x v="11"/>
    <x v="3"/>
  </r>
  <r>
    <n v="4755"/>
    <x v="424"/>
    <s v="Supplier payment made"/>
    <x v="504"/>
    <s v="0.0"/>
    <x v="11"/>
    <x v="3"/>
  </r>
  <r>
    <n v="4755"/>
    <x v="424"/>
    <s v="Supplier payment made"/>
    <x v="273"/>
    <s v="1958.74"/>
    <x v="0"/>
    <x v="0"/>
  </r>
  <r>
    <n v="4756"/>
    <x v="424"/>
    <s v="Supplier payment made"/>
    <x v="353"/>
    <s v="0.0"/>
    <x v="11"/>
    <x v="3"/>
  </r>
  <r>
    <n v="4756"/>
    <x v="424"/>
    <s v="Supplier payment made"/>
    <x v="273"/>
    <s v="2918.17"/>
    <x v="0"/>
    <x v="0"/>
  </r>
  <r>
    <n v="4757"/>
    <x v="425"/>
    <s v="Sales invoice issued"/>
    <x v="1950"/>
    <s v="0.0"/>
    <x v="2"/>
    <x v="0"/>
  </r>
  <r>
    <n v="4757"/>
    <x v="425"/>
    <s v="Sales invoice issued"/>
    <x v="273"/>
    <s v="3052.1"/>
    <x v="3"/>
    <x v="2"/>
  </r>
  <r>
    <n v="4757"/>
    <x v="425"/>
    <s v="Sales invoice issued"/>
    <x v="273"/>
    <s v="228.9"/>
    <x v="4"/>
    <x v="3"/>
  </r>
  <r>
    <n v="4758"/>
    <x v="425"/>
    <s v="Sales invoice issued"/>
    <x v="1951"/>
    <s v="0.0"/>
    <x v="2"/>
    <x v="0"/>
  </r>
  <r>
    <n v="4758"/>
    <x v="425"/>
    <s v="Sales invoice issued"/>
    <x v="273"/>
    <s v="618.93"/>
    <x v="3"/>
    <x v="2"/>
  </r>
  <r>
    <n v="4758"/>
    <x v="425"/>
    <s v="Sales invoice issued"/>
    <x v="273"/>
    <s v="46.42"/>
    <x v="4"/>
    <x v="3"/>
  </r>
  <r>
    <n v="4759"/>
    <x v="425"/>
    <s v="Sales invoice issued"/>
    <x v="1952"/>
    <s v="0.0"/>
    <x v="2"/>
    <x v="0"/>
  </r>
  <r>
    <n v="4759"/>
    <x v="425"/>
    <s v="Sales invoice issued"/>
    <x v="273"/>
    <s v="925.99"/>
    <x v="3"/>
    <x v="2"/>
  </r>
  <r>
    <n v="4759"/>
    <x v="425"/>
    <s v="Sales invoice issued"/>
    <x v="273"/>
    <s v="69.45"/>
    <x v="4"/>
    <x v="3"/>
  </r>
  <r>
    <n v="4760"/>
    <x v="425"/>
    <s v="Sales invoice issued"/>
    <x v="1750"/>
    <s v="0.0"/>
    <x v="2"/>
    <x v="0"/>
  </r>
  <r>
    <n v="4760"/>
    <x v="425"/>
    <s v="Sales invoice issued"/>
    <x v="273"/>
    <s v="592.02"/>
    <x v="3"/>
    <x v="2"/>
  </r>
  <r>
    <n v="4760"/>
    <x v="425"/>
    <s v="Sales invoice issued"/>
    <x v="273"/>
    <s v="44.4"/>
    <x v="4"/>
    <x v="3"/>
  </r>
  <r>
    <n v="4761"/>
    <x v="425"/>
    <s v="Customer payment received"/>
    <x v="1839"/>
    <s v="0.0"/>
    <x v="0"/>
    <x v="0"/>
  </r>
  <r>
    <n v="4761"/>
    <x v="425"/>
    <s v="Customer payment received"/>
    <x v="273"/>
    <s v="1026.41"/>
    <x v="2"/>
    <x v="0"/>
  </r>
  <r>
    <n v="4762"/>
    <x v="425"/>
    <s v="Customer payment received"/>
    <x v="1863"/>
    <s v="0.0"/>
    <x v="0"/>
    <x v="0"/>
  </r>
  <r>
    <n v="4762"/>
    <x v="425"/>
    <s v="Customer payment received"/>
    <x v="273"/>
    <s v="2896.21"/>
    <x v="2"/>
    <x v="0"/>
  </r>
  <r>
    <n v="4763"/>
    <x v="425"/>
    <s v="Customer payment received"/>
    <x v="1877"/>
    <s v="0.0"/>
    <x v="0"/>
    <x v="0"/>
  </r>
  <r>
    <n v="4763"/>
    <x v="425"/>
    <s v="Customer payment received"/>
    <x v="273"/>
    <s v="6906.23"/>
    <x v="2"/>
    <x v="0"/>
  </r>
  <r>
    <n v="4764"/>
    <x v="425"/>
    <s v="Customer payment received"/>
    <x v="1917"/>
    <s v="0.0"/>
    <x v="0"/>
    <x v="0"/>
  </r>
  <r>
    <n v="4764"/>
    <x v="425"/>
    <s v="Customer payment received"/>
    <x v="273"/>
    <s v="1981.72"/>
    <x v="2"/>
    <x v="0"/>
  </r>
  <r>
    <n v="4765"/>
    <x v="425"/>
    <s v="Customer payment received"/>
    <x v="1920"/>
    <s v="0.0"/>
    <x v="0"/>
    <x v="0"/>
  </r>
  <r>
    <n v="4765"/>
    <x v="425"/>
    <s v="Customer payment received"/>
    <x v="273"/>
    <s v="137.72"/>
    <x v="2"/>
    <x v="0"/>
  </r>
  <r>
    <n v="4766"/>
    <x v="425"/>
    <s v="Customer payment received"/>
    <x v="1953"/>
    <s v="0.0"/>
    <x v="0"/>
    <x v="0"/>
  </r>
  <r>
    <n v="4766"/>
    <x v="425"/>
    <s v="Customer payment received"/>
    <x v="273"/>
    <s v="1458.59"/>
    <x v="2"/>
    <x v="0"/>
  </r>
  <r>
    <n v="4767"/>
    <x v="425"/>
    <s v="Supplier invoice received"/>
    <x v="445"/>
    <s v="0.0"/>
    <x v="9"/>
    <x v="4"/>
  </r>
  <r>
    <n v="4767"/>
    <x v="425"/>
    <s v="Supplier invoice received"/>
    <x v="446"/>
    <s v="0.0"/>
    <x v="10"/>
    <x v="0"/>
  </r>
  <r>
    <n v="4767"/>
    <x v="425"/>
    <s v="Supplier invoice received"/>
    <x v="273"/>
    <s v="1794.11"/>
    <x v="11"/>
    <x v="3"/>
  </r>
  <r>
    <n v="4768"/>
    <x v="425"/>
    <s v="Supplier invoice received"/>
    <x v="303"/>
    <s v="0.0"/>
    <x v="9"/>
    <x v="4"/>
  </r>
  <r>
    <n v="4768"/>
    <x v="425"/>
    <s v="Supplier invoice received"/>
    <x v="304"/>
    <s v="0.0"/>
    <x v="10"/>
    <x v="0"/>
  </r>
  <r>
    <n v="4768"/>
    <x v="425"/>
    <s v="Supplier invoice received"/>
    <x v="273"/>
    <s v="550.4"/>
    <x v="11"/>
    <x v="3"/>
  </r>
  <r>
    <n v="4769"/>
    <x v="425"/>
    <s v="Supplier invoice received"/>
    <x v="307"/>
    <s v="0.0"/>
    <x v="9"/>
    <x v="4"/>
  </r>
  <r>
    <n v="4769"/>
    <x v="425"/>
    <s v="Supplier invoice received"/>
    <x v="308"/>
    <s v="0.0"/>
    <x v="10"/>
    <x v="0"/>
  </r>
  <r>
    <n v="4769"/>
    <x v="425"/>
    <s v="Supplier invoice received"/>
    <x v="273"/>
    <s v="2093.28"/>
    <x v="11"/>
    <x v="3"/>
  </r>
  <r>
    <n v="4770"/>
    <x v="425"/>
    <s v="Supplier invoice received"/>
    <x v="332"/>
    <s v="0.0"/>
    <x v="9"/>
    <x v="4"/>
  </r>
  <r>
    <n v="4770"/>
    <x v="425"/>
    <s v="Supplier invoice received"/>
    <x v="333"/>
    <s v="0.0"/>
    <x v="10"/>
    <x v="0"/>
  </r>
  <r>
    <n v="4770"/>
    <x v="425"/>
    <s v="Supplier invoice received"/>
    <x v="273"/>
    <s v="1023.42"/>
    <x v="11"/>
    <x v="3"/>
  </r>
  <r>
    <n v="4771"/>
    <x v="425"/>
    <s v="Supplier invoice received"/>
    <x v="325"/>
    <s v="0.0"/>
    <x v="9"/>
    <x v="4"/>
  </r>
  <r>
    <n v="4771"/>
    <x v="425"/>
    <s v="Supplier invoice received"/>
    <x v="326"/>
    <s v="0.0"/>
    <x v="10"/>
    <x v="0"/>
  </r>
  <r>
    <n v="4771"/>
    <x v="425"/>
    <s v="Supplier invoice received"/>
    <x v="273"/>
    <s v="1304.62"/>
    <x v="11"/>
    <x v="3"/>
  </r>
  <r>
    <n v="4772"/>
    <x v="425"/>
    <s v="Supplier payment made"/>
    <x v="393"/>
    <s v="0.0"/>
    <x v="11"/>
    <x v="3"/>
  </r>
  <r>
    <n v="4772"/>
    <x v="425"/>
    <s v="Supplier payment made"/>
    <x v="273"/>
    <s v="412.54"/>
    <x v="0"/>
    <x v="0"/>
  </r>
  <r>
    <n v="4773"/>
    <x v="425"/>
    <s v="Supplier payment made"/>
    <x v="353"/>
    <s v="0.0"/>
    <x v="11"/>
    <x v="3"/>
  </r>
  <r>
    <n v="4773"/>
    <x v="425"/>
    <s v="Supplier payment made"/>
    <x v="273"/>
    <s v="2918.17"/>
    <x v="0"/>
    <x v="0"/>
  </r>
  <r>
    <n v="4774"/>
    <x v="425"/>
    <s v="Supplier payment made"/>
    <x v="488"/>
    <s v="0.0"/>
    <x v="11"/>
    <x v="3"/>
  </r>
  <r>
    <n v="4774"/>
    <x v="425"/>
    <s v="Supplier payment made"/>
    <x v="273"/>
    <s v="2182.41"/>
    <x v="0"/>
    <x v="0"/>
  </r>
  <r>
    <n v="4775"/>
    <x v="425"/>
    <s v="Supplier payment made"/>
    <x v="351"/>
    <s v="0.0"/>
    <x v="11"/>
    <x v="3"/>
  </r>
  <r>
    <n v="4775"/>
    <x v="425"/>
    <s v="Supplier payment made"/>
    <x v="273"/>
    <s v="179.01"/>
    <x v="0"/>
    <x v="0"/>
  </r>
  <r>
    <n v="4776"/>
    <x v="425"/>
    <s v="Supplier payment made"/>
    <x v="340"/>
    <s v="0.0"/>
    <x v="11"/>
    <x v="3"/>
  </r>
  <r>
    <n v="4776"/>
    <x v="425"/>
    <s v="Supplier payment made"/>
    <x v="273"/>
    <s v="1304.62"/>
    <x v="0"/>
    <x v="0"/>
  </r>
  <r>
    <n v="4777"/>
    <x v="426"/>
    <s v="Sales invoice issued"/>
    <x v="1954"/>
    <s v="0.0"/>
    <x v="2"/>
    <x v="0"/>
  </r>
  <r>
    <n v="4777"/>
    <x v="426"/>
    <s v="Sales invoice issued"/>
    <x v="273"/>
    <s v="1780.36"/>
    <x v="3"/>
    <x v="2"/>
  </r>
  <r>
    <n v="4777"/>
    <x v="426"/>
    <s v="Sales invoice issued"/>
    <x v="273"/>
    <s v="133.53"/>
    <x v="4"/>
    <x v="3"/>
  </r>
  <r>
    <n v="4778"/>
    <x v="426"/>
    <s v="Sales invoice issued"/>
    <x v="1955"/>
    <s v="0.0"/>
    <x v="2"/>
    <x v="0"/>
  </r>
  <r>
    <n v="4778"/>
    <x v="426"/>
    <s v="Sales invoice issued"/>
    <x v="273"/>
    <s v="4670.63"/>
    <x v="3"/>
    <x v="2"/>
  </r>
  <r>
    <n v="4778"/>
    <x v="426"/>
    <s v="Sales invoice issued"/>
    <x v="273"/>
    <s v="350.3"/>
    <x v="4"/>
    <x v="3"/>
  </r>
  <r>
    <n v="4779"/>
    <x v="426"/>
    <s v="Sales invoice issued"/>
    <x v="1956"/>
    <s v="0.0"/>
    <x v="2"/>
    <x v="0"/>
  </r>
  <r>
    <n v="4779"/>
    <x v="426"/>
    <s v="Sales invoice issued"/>
    <x v="273"/>
    <s v="1080.67"/>
    <x v="3"/>
    <x v="2"/>
  </r>
  <r>
    <n v="4779"/>
    <x v="426"/>
    <s v="Sales invoice issued"/>
    <x v="273"/>
    <s v="81.05"/>
    <x v="4"/>
    <x v="3"/>
  </r>
  <r>
    <n v="4780"/>
    <x v="426"/>
    <s v="Sales invoice issued"/>
    <x v="1957"/>
    <s v="0.0"/>
    <x v="2"/>
    <x v="0"/>
  </r>
  <r>
    <n v="4780"/>
    <x v="426"/>
    <s v="Sales invoice issued"/>
    <x v="273"/>
    <s v="1289.95"/>
    <x v="3"/>
    <x v="2"/>
  </r>
  <r>
    <n v="4780"/>
    <x v="426"/>
    <s v="Sales invoice issued"/>
    <x v="273"/>
    <s v="96.75"/>
    <x v="4"/>
    <x v="3"/>
  </r>
  <r>
    <n v="4781"/>
    <x v="426"/>
    <s v="Customer payment received"/>
    <x v="1724"/>
    <s v="0.0"/>
    <x v="0"/>
    <x v="0"/>
  </r>
  <r>
    <n v="4781"/>
    <x v="426"/>
    <s v="Customer payment received"/>
    <x v="273"/>
    <s v="1802.34"/>
    <x v="2"/>
    <x v="0"/>
  </r>
  <r>
    <n v="4782"/>
    <x v="426"/>
    <s v="Customer payment received"/>
    <x v="1772"/>
    <s v="0.0"/>
    <x v="0"/>
    <x v="0"/>
  </r>
  <r>
    <n v="4782"/>
    <x v="426"/>
    <s v="Customer payment received"/>
    <x v="273"/>
    <s v="448.69"/>
    <x v="2"/>
    <x v="0"/>
  </r>
  <r>
    <n v="4783"/>
    <x v="426"/>
    <s v="Customer payment received"/>
    <x v="1847"/>
    <s v="0.0"/>
    <x v="0"/>
    <x v="0"/>
  </r>
  <r>
    <n v="4783"/>
    <x v="426"/>
    <s v="Customer payment received"/>
    <x v="273"/>
    <s v="3983.88"/>
    <x v="2"/>
    <x v="0"/>
  </r>
  <r>
    <n v="4784"/>
    <x v="426"/>
    <s v="Customer payment received"/>
    <x v="1848"/>
    <s v="0.0"/>
    <x v="0"/>
    <x v="0"/>
  </r>
  <r>
    <n v="4784"/>
    <x v="426"/>
    <s v="Customer payment received"/>
    <x v="273"/>
    <s v="3043.03"/>
    <x v="2"/>
    <x v="0"/>
  </r>
  <r>
    <n v="4785"/>
    <x v="426"/>
    <s v="Customer payment received"/>
    <x v="1878"/>
    <s v="0.0"/>
    <x v="0"/>
    <x v="0"/>
  </r>
  <r>
    <n v="4785"/>
    <x v="426"/>
    <s v="Customer payment received"/>
    <x v="273"/>
    <s v="3162.26"/>
    <x v="2"/>
    <x v="0"/>
  </r>
  <r>
    <n v="4786"/>
    <x v="426"/>
    <s v="Customer payment received"/>
    <x v="1928"/>
    <s v="0.0"/>
    <x v="0"/>
    <x v="0"/>
  </r>
  <r>
    <n v="4786"/>
    <x v="426"/>
    <s v="Customer payment received"/>
    <x v="273"/>
    <s v="128.63"/>
    <x v="2"/>
    <x v="0"/>
  </r>
  <r>
    <n v="4787"/>
    <x v="426"/>
    <s v="Supplier invoice received"/>
    <x v="338"/>
    <s v="0.0"/>
    <x v="9"/>
    <x v="4"/>
  </r>
  <r>
    <n v="4787"/>
    <x v="426"/>
    <s v="Supplier invoice received"/>
    <x v="339"/>
    <s v="0.0"/>
    <x v="10"/>
    <x v="0"/>
  </r>
  <r>
    <n v="4787"/>
    <x v="426"/>
    <s v="Supplier invoice received"/>
    <x v="273"/>
    <s v="1159.84"/>
    <x v="11"/>
    <x v="3"/>
  </r>
  <r>
    <n v="4788"/>
    <x v="426"/>
    <s v="Supplier invoice received"/>
    <x v="297"/>
    <s v="0.0"/>
    <x v="9"/>
    <x v="4"/>
  </r>
  <r>
    <n v="4788"/>
    <x v="426"/>
    <s v="Supplier invoice received"/>
    <x v="298"/>
    <s v="0.0"/>
    <x v="10"/>
    <x v="0"/>
  </r>
  <r>
    <n v="4788"/>
    <x v="426"/>
    <s v="Supplier invoice received"/>
    <x v="273"/>
    <s v="3528.97"/>
    <x v="11"/>
    <x v="3"/>
  </r>
  <r>
    <n v="4789"/>
    <x v="426"/>
    <s v="Supplier payment made"/>
    <x v="334"/>
    <s v="0.0"/>
    <x v="11"/>
    <x v="3"/>
  </r>
  <r>
    <n v="4789"/>
    <x v="426"/>
    <s v="Supplier payment made"/>
    <x v="273"/>
    <s v="3528.97"/>
    <x v="0"/>
    <x v="0"/>
  </r>
  <r>
    <n v="4790"/>
    <x v="426"/>
    <s v="Supplier payment made"/>
    <x v="408"/>
    <s v="0.0"/>
    <x v="11"/>
    <x v="3"/>
  </r>
  <r>
    <n v="4790"/>
    <x v="426"/>
    <s v="Supplier payment made"/>
    <x v="273"/>
    <s v="3868.8"/>
    <x v="0"/>
    <x v="0"/>
  </r>
  <r>
    <n v="4791"/>
    <x v="427"/>
    <s v="Sales invoice issued"/>
    <x v="1958"/>
    <s v="0.0"/>
    <x v="2"/>
    <x v="0"/>
  </r>
  <r>
    <n v="4791"/>
    <x v="427"/>
    <s v="Sales invoice issued"/>
    <x v="273"/>
    <s v="138.82"/>
    <x v="3"/>
    <x v="2"/>
  </r>
  <r>
    <n v="4791"/>
    <x v="427"/>
    <s v="Sales invoice issued"/>
    <x v="273"/>
    <s v="10.41"/>
    <x v="4"/>
    <x v="3"/>
  </r>
  <r>
    <n v="4792"/>
    <x v="427"/>
    <s v="Sales invoice issued"/>
    <x v="1959"/>
    <s v="0.0"/>
    <x v="2"/>
    <x v="0"/>
  </r>
  <r>
    <n v="4792"/>
    <x v="427"/>
    <s v="Sales invoice issued"/>
    <x v="273"/>
    <s v="1661.5"/>
    <x v="3"/>
    <x v="2"/>
  </r>
  <r>
    <n v="4792"/>
    <x v="427"/>
    <s v="Sales invoice issued"/>
    <x v="273"/>
    <s v="124.6"/>
    <x v="4"/>
    <x v="3"/>
  </r>
  <r>
    <n v="4793"/>
    <x v="427"/>
    <s v="Sales invoice issued"/>
    <x v="1960"/>
    <s v="0.0"/>
    <x v="2"/>
    <x v="0"/>
  </r>
  <r>
    <n v="4793"/>
    <x v="427"/>
    <s v="Sales invoice issued"/>
    <x v="273"/>
    <s v="2716.78"/>
    <x v="3"/>
    <x v="2"/>
  </r>
  <r>
    <n v="4793"/>
    <x v="427"/>
    <s v="Sales invoice issued"/>
    <x v="273"/>
    <s v="203.75"/>
    <x v="4"/>
    <x v="3"/>
  </r>
  <r>
    <n v="4794"/>
    <x v="427"/>
    <s v="Sales invoice issued"/>
    <x v="1961"/>
    <s v="0.0"/>
    <x v="2"/>
    <x v="0"/>
  </r>
  <r>
    <n v="4794"/>
    <x v="427"/>
    <s v="Sales invoice issued"/>
    <x v="273"/>
    <s v="4808.9"/>
    <x v="3"/>
    <x v="2"/>
  </r>
  <r>
    <n v="4794"/>
    <x v="427"/>
    <s v="Sales invoice issued"/>
    <x v="273"/>
    <s v="360.66"/>
    <x v="4"/>
    <x v="3"/>
  </r>
  <r>
    <n v="4795"/>
    <x v="427"/>
    <s v="Customer payment received"/>
    <x v="1718"/>
    <s v="0.0"/>
    <x v="0"/>
    <x v="0"/>
  </r>
  <r>
    <n v="4795"/>
    <x v="427"/>
    <s v="Customer payment received"/>
    <x v="273"/>
    <s v="1082.05"/>
    <x v="2"/>
    <x v="0"/>
  </r>
  <r>
    <n v="4796"/>
    <x v="427"/>
    <s v="Customer payment received"/>
    <x v="1913"/>
    <s v="0.0"/>
    <x v="0"/>
    <x v="0"/>
  </r>
  <r>
    <n v="4796"/>
    <x v="427"/>
    <s v="Customer payment received"/>
    <x v="273"/>
    <s v="3169.82"/>
    <x v="2"/>
    <x v="0"/>
  </r>
  <r>
    <n v="4797"/>
    <x v="427"/>
    <s v="Customer payment received"/>
    <x v="1206"/>
    <s v="0.0"/>
    <x v="0"/>
    <x v="0"/>
  </r>
  <r>
    <n v="4797"/>
    <x v="427"/>
    <s v="Customer payment received"/>
    <x v="273"/>
    <s v="216.03"/>
    <x v="2"/>
    <x v="0"/>
  </r>
  <r>
    <n v="4798"/>
    <x v="427"/>
    <s v="Customer payment received"/>
    <x v="1947"/>
    <s v="0.0"/>
    <x v="0"/>
    <x v="0"/>
  </r>
  <r>
    <n v="4798"/>
    <x v="427"/>
    <s v="Customer payment received"/>
    <x v="273"/>
    <s v="441.26"/>
    <x v="2"/>
    <x v="0"/>
  </r>
  <r>
    <n v="4799"/>
    <x v="427"/>
    <s v="Supplier invoice received"/>
    <x v="372"/>
    <s v="0.0"/>
    <x v="9"/>
    <x v="4"/>
  </r>
  <r>
    <n v="4799"/>
    <x v="427"/>
    <s v="Supplier invoice received"/>
    <x v="373"/>
    <s v="0.0"/>
    <x v="10"/>
    <x v="0"/>
  </r>
  <r>
    <n v="4799"/>
    <x v="427"/>
    <s v="Supplier invoice received"/>
    <x v="273"/>
    <s v="412.54"/>
    <x v="11"/>
    <x v="3"/>
  </r>
  <r>
    <n v="4800"/>
    <x v="427"/>
    <s v="Supplier payment made"/>
    <x v="309"/>
    <s v="0.0"/>
    <x v="11"/>
    <x v="3"/>
  </r>
  <r>
    <n v="4800"/>
    <x v="427"/>
    <s v="Supplier payment made"/>
    <x v="273"/>
    <s v="4812.46"/>
    <x v="0"/>
    <x v="0"/>
  </r>
  <r>
    <n v="4801"/>
    <x v="427"/>
    <s v="Supplier payment made"/>
    <x v="327"/>
    <s v="0.0"/>
    <x v="11"/>
    <x v="3"/>
  </r>
  <r>
    <n v="4801"/>
    <x v="427"/>
    <s v="Supplier payment made"/>
    <x v="273"/>
    <s v="1935.04"/>
    <x v="0"/>
    <x v="0"/>
  </r>
  <r>
    <n v="4802"/>
    <x v="427"/>
    <s v="Supplier payment made"/>
    <x v="336"/>
    <s v="0.0"/>
    <x v="11"/>
    <x v="3"/>
  </r>
  <r>
    <n v="4802"/>
    <x v="427"/>
    <s v="Supplier payment made"/>
    <x v="273"/>
    <s v="2093.28"/>
    <x v="0"/>
    <x v="0"/>
  </r>
  <r>
    <n v="4803"/>
    <x v="427"/>
    <s v="Supplier payment made"/>
    <x v="392"/>
    <s v="0.0"/>
    <x v="11"/>
    <x v="3"/>
  </r>
  <r>
    <n v="4803"/>
    <x v="427"/>
    <s v="Supplier payment made"/>
    <x v="273"/>
    <s v="1023.42"/>
    <x v="0"/>
    <x v="0"/>
  </r>
  <r>
    <n v="4804"/>
    <x v="428"/>
    <s v="Sales invoice issued"/>
    <x v="1962"/>
    <s v="0.0"/>
    <x v="2"/>
    <x v="0"/>
  </r>
  <r>
    <n v="4804"/>
    <x v="428"/>
    <s v="Sales invoice issued"/>
    <x v="273"/>
    <s v="1100.73"/>
    <x v="3"/>
    <x v="2"/>
  </r>
  <r>
    <n v="4804"/>
    <x v="428"/>
    <s v="Sales invoice issued"/>
    <x v="273"/>
    <s v="82.55"/>
    <x v="4"/>
    <x v="3"/>
  </r>
  <r>
    <n v="4805"/>
    <x v="428"/>
    <s v="Sales invoice issued"/>
    <x v="1963"/>
    <s v="0.0"/>
    <x v="2"/>
    <x v="0"/>
  </r>
  <r>
    <n v="4805"/>
    <x v="428"/>
    <s v="Sales invoice issued"/>
    <x v="273"/>
    <s v="3039.65"/>
    <x v="3"/>
    <x v="2"/>
  </r>
  <r>
    <n v="4805"/>
    <x v="428"/>
    <s v="Sales invoice issued"/>
    <x v="273"/>
    <s v="227.97"/>
    <x v="4"/>
    <x v="3"/>
  </r>
  <r>
    <n v="4806"/>
    <x v="428"/>
    <s v="Sales invoice issued"/>
    <x v="1964"/>
    <s v="0.0"/>
    <x v="2"/>
    <x v="0"/>
  </r>
  <r>
    <n v="4806"/>
    <x v="428"/>
    <s v="Sales invoice issued"/>
    <x v="273"/>
    <s v="1043.3"/>
    <x v="3"/>
    <x v="2"/>
  </r>
  <r>
    <n v="4806"/>
    <x v="428"/>
    <s v="Sales invoice issued"/>
    <x v="273"/>
    <s v="78.25"/>
    <x v="4"/>
    <x v="3"/>
  </r>
  <r>
    <n v="4807"/>
    <x v="428"/>
    <s v="Sales invoice issued"/>
    <x v="1965"/>
    <s v="0.0"/>
    <x v="2"/>
    <x v="0"/>
  </r>
  <r>
    <n v="4807"/>
    <x v="428"/>
    <s v="Sales invoice issued"/>
    <x v="273"/>
    <s v="2392.55"/>
    <x v="3"/>
    <x v="2"/>
  </r>
  <r>
    <n v="4807"/>
    <x v="428"/>
    <s v="Sales invoice issued"/>
    <x v="273"/>
    <s v="179.44"/>
    <x v="4"/>
    <x v="3"/>
  </r>
  <r>
    <n v="4808"/>
    <x v="428"/>
    <s v="Sales invoice issued"/>
    <x v="398"/>
    <s v="0.0"/>
    <x v="2"/>
    <x v="0"/>
  </r>
  <r>
    <n v="4808"/>
    <x v="428"/>
    <s v="Sales invoice issued"/>
    <x v="273"/>
    <s v="416.97"/>
    <x v="3"/>
    <x v="2"/>
  </r>
  <r>
    <n v="4808"/>
    <x v="428"/>
    <s v="Sales invoice issued"/>
    <x v="273"/>
    <s v="31.27"/>
    <x v="4"/>
    <x v="3"/>
  </r>
  <r>
    <n v="4809"/>
    <x v="428"/>
    <s v="Sales invoice issued"/>
    <x v="1966"/>
    <s v="0.0"/>
    <x v="2"/>
    <x v="0"/>
  </r>
  <r>
    <n v="4809"/>
    <x v="428"/>
    <s v="Sales invoice issued"/>
    <x v="273"/>
    <s v="1811.77"/>
    <x v="3"/>
    <x v="2"/>
  </r>
  <r>
    <n v="4809"/>
    <x v="428"/>
    <s v="Sales invoice issued"/>
    <x v="273"/>
    <s v="135.89"/>
    <x v="4"/>
    <x v="3"/>
  </r>
  <r>
    <n v="4810"/>
    <x v="428"/>
    <s v="Sales invoice issued"/>
    <x v="1967"/>
    <s v="0.0"/>
    <x v="2"/>
    <x v="0"/>
  </r>
  <r>
    <n v="4810"/>
    <x v="428"/>
    <s v="Sales invoice issued"/>
    <x v="273"/>
    <s v="5178.14"/>
    <x v="3"/>
    <x v="2"/>
  </r>
  <r>
    <n v="4810"/>
    <x v="428"/>
    <s v="Sales invoice issued"/>
    <x v="273"/>
    <s v="388.36"/>
    <x v="4"/>
    <x v="3"/>
  </r>
  <r>
    <n v="4811"/>
    <x v="428"/>
    <s v="Customer payment received"/>
    <x v="1810"/>
    <s v="0.0"/>
    <x v="0"/>
    <x v="0"/>
  </r>
  <r>
    <n v="4811"/>
    <x v="428"/>
    <s v="Customer payment received"/>
    <x v="273"/>
    <s v="417.85"/>
    <x v="2"/>
    <x v="0"/>
  </r>
  <r>
    <n v="4812"/>
    <x v="428"/>
    <s v="Customer payment received"/>
    <x v="1816"/>
    <s v="0.0"/>
    <x v="0"/>
    <x v="0"/>
  </r>
  <r>
    <n v="4812"/>
    <x v="428"/>
    <s v="Customer payment received"/>
    <x v="273"/>
    <s v="80.84"/>
    <x v="2"/>
    <x v="0"/>
  </r>
  <r>
    <n v="4813"/>
    <x v="428"/>
    <s v="Customer payment received"/>
    <x v="1856"/>
    <s v="0.0"/>
    <x v="0"/>
    <x v="0"/>
  </r>
  <r>
    <n v="4813"/>
    <x v="428"/>
    <s v="Customer payment received"/>
    <x v="273"/>
    <s v="4283.56"/>
    <x v="2"/>
    <x v="0"/>
  </r>
  <r>
    <n v="4814"/>
    <x v="428"/>
    <s v="Customer payment received"/>
    <x v="1868"/>
    <s v="0.0"/>
    <x v="0"/>
    <x v="0"/>
  </r>
  <r>
    <n v="4814"/>
    <x v="428"/>
    <s v="Customer payment received"/>
    <x v="273"/>
    <s v="724.85"/>
    <x v="2"/>
    <x v="0"/>
  </r>
  <r>
    <n v="4815"/>
    <x v="428"/>
    <s v="Customer payment received"/>
    <x v="1871"/>
    <s v="0.0"/>
    <x v="0"/>
    <x v="0"/>
  </r>
  <r>
    <n v="4815"/>
    <x v="428"/>
    <s v="Customer payment received"/>
    <x v="273"/>
    <s v="3369.54"/>
    <x v="2"/>
    <x v="0"/>
  </r>
  <r>
    <n v="4816"/>
    <x v="428"/>
    <s v="Customer payment received"/>
    <x v="1886"/>
    <s v="0.0"/>
    <x v="0"/>
    <x v="0"/>
  </r>
  <r>
    <n v="4816"/>
    <x v="428"/>
    <s v="Customer payment received"/>
    <x v="273"/>
    <s v="2234.29"/>
    <x v="2"/>
    <x v="0"/>
  </r>
  <r>
    <n v="4817"/>
    <x v="428"/>
    <s v="Customer payment received"/>
    <x v="1966"/>
    <s v="0.0"/>
    <x v="0"/>
    <x v="0"/>
  </r>
  <r>
    <n v="4817"/>
    <x v="428"/>
    <s v="Customer payment received"/>
    <x v="273"/>
    <s v="1947.66"/>
    <x v="2"/>
    <x v="0"/>
  </r>
  <r>
    <n v="4818"/>
    <x v="428"/>
    <s v="Supplier invoice received"/>
    <x v="443"/>
    <s v="0.0"/>
    <x v="9"/>
    <x v="4"/>
  </r>
  <r>
    <n v="4818"/>
    <x v="428"/>
    <s v="Supplier invoice received"/>
    <x v="444"/>
    <s v="0.0"/>
    <x v="10"/>
    <x v="0"/>
  </r>
  <r>
    <n v="4818"/>
    <x v="428"/>
    <s v="Supplier invoice received"/>
    <x v="273"/>
    <s v="748.26"/>
    <x v="11"/>
    <x v="3"/>
  </r>
  <r>
    <n v="4819"/>
    <x v="428"/>
    <s v="Supplier payment made"/>
    <x v="466"/>
    <s v="0.0"/>
    <x v="11"/>
    <x v="3"/>
  </r>
  <r>
    <n v="4819"/>
    <x v="428"/>
    <s v="Supplier payment made"/>
    <x v="273"/>
    <s v="748.26"/>
    <x v="0"/>
    <x v="0"/>
  </r>
  <r>
    <n v="4820"/>
    <x v="428"/>
    <s v="Supplier payment made"/>
    <x v="310"/>
    <s v="0.0"/>
    <x v="11"/>
    <x v="3"/>
  </r>
  <r>
    <n v="4820"/>
    <x v="428"/>
    <s v="Supplier payment made"/>
    <x v="273"/>
    <s v="276.32"/>
    <x v="0"/>
    <x v="0"/>
  </r>
  <r>
    <n v="4821"/>
    <x v="429"/>
    <s v="Sales invoice issued"/>
    <x v="1968"/>
    <s v="0.0"/>
    <x v="2"/>
    <x v="0"/>
  </r>
  <r>
    <n v="4821"/>
    <x v="429"/>
    <s v="Sales invoice issued"/>
    <x v="273"/>
    <s v="1723.54"/>
    <x v="3"/>
    <x v="2"/>
  </r>
  <r>
    <n v="4821"/>
    <x v="429"/>
    <s v="Sales invoice issued"/>
    <x v="273"/>
    <s v="129.25"/>
    <x v="4"/>
    <x v="3"/>
  </r>
  <r>
    <n v="4822"/>
    <x v="429"/>
    <s v="Sales invoice issued"/>
    <x v="1969"/>
    <s v="0.0"/>
    <x v="2"/>
    <x v="0"/>
  </r>
  <r>
    <n v="4822"/>
    <x v="429"/>
    <s v="Sales invoice issued"/>
    <x v="273"/>
    <s v="248.7"/>
    <x v="3"/>
    <x v="2"/>
  </r>
  <r>
    <n v="4822"/>
    <x v="429"/>
    <s v="Sales invoice issued"/>
    <x v="273"/>
    <s v="18.66"/>
    <x v="4"/>
    <x v="3"/>
  </r>
  <r>
    <n v="4823"/>
    <x v="429"/>
    <s v="Sales invoice issued"/>
    <x v="1970"/>
    <s v="0.0"/>
    <x v="2"/>
    <x v="0"/>
  </r>
  <r>
    <n v="4823"/>
    <x v="429"/>
    <s v="Sales invoice issued"/>
    <x v="273"/>
    <s v="2591.74"/>
    <x v="3"/>
    <x v="2"/>
  </r>
  <r>
    <n v="4823"/>
    <x v="429"/>
    <s v="Sales invoice issued"/>
    <x v="273"/>
    <s v="194.37"/>
    <x v="4"/>
    <x v="3"/>
  </r>
  <r>
    <n v="4824"/>
    <x v="429"/>
    <s v="Sales invoice issued"/>
    <x v="1971"/>
    <s v="0.0"/>
    <x v="2"/>
    <x v="0"/>
  </r>
  <r>
    <n v="4824"/>
    <x v="429"/>
    <s v="Sales invoice issued"/>
    <x v="273"/>
    <s v="1640.64"/>
    <x v="3"/>
    <x v="2"/>
  </r>
  <r>
    <n v="4824"/>
    <x v="429"/>
    <s v="Sales invoice issued"/>
    <x v="273"/>
    <s v="123.06"/>
    <x v="4"/>
    <x v="3"/>
  </r>
  <r>
    <n v="4825"/>
    <x v="429"/>
    <s v="Customer payment received"/>
    <x v="1897"/>
    <s v="0.0"/>
    <x v="0"/>
    <x v="0"/>
  </r>
  <r>
    <n v="4825"/>
    <x v="429"/>
    <s v="Customer payment received"/>
    <x v="273"/>
    <s v="3636.04"/>
    <x v="2"/>
    <x v="0"/>
  </r>
  <r>
    <n v="4826"/>
    <x v="429"/>
    <s v="Customer payment received"/>
    <x v="1334"/>
    <s v="0.0"/>
    <x v="0"/>
    <x v="0"/>
  </r>
  <r>
    <n v="4826"/>
    <x v="429"/>
    <s v="Customer payment received"/>
    <x v="273"/>
    <s v="341.66"/>
    <x v="2"/>
    <x v="0"/>
  </r>
  <r>
    <n v="4827"/>
    <x v="429"/>
    <s v="Customer payment received"/>
    <x v="1963"/>
    <s v="0.0"/>
    <x v="0"/>
    <x v="0"/>
  </r>
  <r>
    <n v="4827"/>
    <x v="429"/>
    <s v="Customer payment received"/>
    <x v="273"/>
    <s v="3267.62"/>
    <x v="2"/>
    <x v="0"/>
  </r>
  <r>
    <n v="4828"/>
    <x v="429"/>
    <s v="Supplier invoice received"/>
    <x v="366"/>
    <s v="0.0"/>
    <x v="9"/>
    <x v="4"/>
  </r>
  <r>
    <n v="4828"/>
    <x v="429"/>
    <s v="Supplier invoice received"/>
    <x v="367"/>
    <s v="0.0"/>
    <x v="10"/>
    <x v="0"/>
  </r>
  <r>
    <n v="4828"/>
    <x v="429"/>
    <s v="Supplier invoice received"/>
    <x v="273"/>
    <s v="201.5"/>
    <x v="11"/>
    <x v="3"/>
  </r>
  <r>
    <n v="4829"/>
    <x v="429"/>
    <s v="Supplier invoice received"/>
    <x v="295"/>
    <s v="0.0"/>
    <x v="9"/>
    <x v="4"/>
  </r>
  <r>
    <n v="4829"/>
    <x v="429"/>
    <s v="Supplier invoice received"/>
    <x v="296"/>
    <s v="0.0"/>
    <x v="10"/>
    <x v="0"/>
  </r>
  <r>
    <n v="4829"/>
    <x v="429"/>
    <s v="Supplier invoice received"/>
    <x v="273"/>
    <s v="1766.46"/>
    <x v="11"/>
    <x v="3"/>
  </r>
  <r>
    <n v="4830"/>
    <x v="430"/>
    <s v="Sales invoice issued"/>
    <x v="1662"/>
    <s v="0.0"/>
    <x v="2"/>
    <x v="0"/>
  </r>
  <r>
    <n v="4830"/>
    <x v="430"/>
    <s v="Sales invoice issued"/>
    <x v="273"/>
    <s v="1038.78"/>
    <x v="3"/>
    <x v="2"/>
  </r>
  <r>
    <n v="4830"/>
    <x v="430"/>
    <s v="Sales invoice issued"/>
    <x v="273"/>
    <s v="77.91"/>
    <x v="4"/>
    <x v="3"/>
  </r>
  <r>
    <n v="4831"/>
    <x v="430"/>
    <s v="Sales invoice issued"/>
    <x v="1972"/>
    <s v="0.0"/>
    <x v="2"/>
    <x v="0"/>
  </r>
  <r>
    <n v="4831"/>
    <x v="430"/>
    <s v="Sales invoice issued"/>
    <x v="273"/>
    <s v="255.56"/>
    <x v="3"/>
    <x v="2"/>
  </r>
  <r>
    <n v="4831"/>
    <x v="430"/>
    <s v="Sales invoice issued"/>
    <x v="273"/>
    <s v="19.17"/>
    <x v="4"/>
    <x v="3"/>
  </r>
  <r>
    <n v="4832"/>
    <x v="430"/>
    <s v="Sales invoice issued"/>
    <x v="1973"/>
    <s v="0.0"/>
    <x v="2"/>
    <x v="0"/>
  </r>
  <r>
    <n v="4832"/>
    <x v="430"/>
    <s v="Sales invoice issued"/>
    <x v="273"/>
    <s v="2350.54"/>
    <x v="3"/>
    <x v="2"/>
  </r>
  <r>
    <n v="4832"/>
    <x v="430"/>
    <s v="Sales invoice issued"/>
    <x v="273"/>
    <s v="176.3"/>
    <x v="4"/>
    <x v="3"/>
  </r>
  <r>
    <n v="4833"/>
    <x v="430"/>
    <s v="Sales invoice issued"/>
    <x v="1974"/>
    <s v="0.0"/>
    <x v="2"/>
    <x v="0"/>
  </r>
  <r>
    <n v="4833"/>
    <x v="430"/>
    <s v="Sales invoice issued"/>
    <x v="273"/>
    <s v="1721.22"/>
    <x v="3"/>
    <x v="2"/>
  </r>
  <r>
    <n v="4833"/>
    <x v="430"/>
    <s v="Sales invoice issued"/>
    <x v="273"/>
    <s v="129.09"/>
    <x v="4"/>
    <x v="3"/>
  </r>
  <r>
    <n v="4834"/>
    <x v="430"/>
    <s v="Sales invoice issued"/>
    <x v="1975"/>
    <s v="0.0"/>
    <x v="2"/>
    <x v="0"/>
  </r>
  <r>
    <n v="4834"/>
    <x v="430"/>
    <s v="Sales invoice issued"/>
    <x v="273"/>
    <s v="48.53"/>
    <x v="3"/>
    <x v="2"/>
  </r>
  <r>
    <n v="4834"/>
    <x v="430"/>
    <s v="Sales invoice issued"/>
    <x v="273"/>
    <s v="3.64"/>
    <x v="4"/>
    <x v="3"/>
  </r>
  <r>
    <n v="4835"/>
    <x v="430"/>
    <s v="Sales invoice issued"/>
    <x v="1976"/>
    <s v="0.0"/>
    <x v="2"/>
    <x v="0"/>
  </r>
  <r>
    <n v="4835"/>
    <x v="430"/>
    <s v="Sales invoice issued"/>
    <x v="273"/>
    <s v="1544.09"/>
    <x v="3"/>
    <x v="2"/>
  </r>
  <r>
    <n v="4835"/>
    <x v="430"/>
    <s v="Sales invoice issued"/>
    <x v="273"/>
    <s v="115.81"/>
    <x v="4"/>
    <x v="3"/>
  </r>
  <r>
    <n v="4836"/>
    <x v="430"/>
    <s v="Sales invoice issued"/>
    <x v="1977"/>
    <s v="0.0"/>
    <x v="2"/>
    <x v="0"/>
  </r>
  <r>
    <n v="4836"/>
    <x v="430"/>
    <s v="Sales invoice issued"/>
    <x v="273"/>
    <s v="1077.35"/>
    <x v="3"/>
    <x v="2"/>
  </r>
  <r>
    <n v="4836"/>
    <x v="430"/>
    <s v="Sales invoice issued"/>
    <x v="273"/>
    <s v="80.8"/>
    <x v="4"/>
    <x v="3"/>
  </r>
  <r>
    <n v="4837"/>
    <x v="430"/>
    <s v="Sales invoice issued"/>
    <x v="1978"/>
    <s v="0.0"/>
    <x v="2"/>
    <x v="0"/>
  </r>
  <r>
    <n v="4837"/>
    <x v="430"/>
    <s v="Sales invoice issued"/>
    <x v="273"/>
    <s v="3068.95"/>
    <x v="3"/>
    <x v="2"/>
  </r>
  <r>
    <n v="4837"/>
    <x v="430"/>
    <s v="Sales invoice issued"/>
    <x v="273"/>
    <s v="230.18"/>
    <x v="4"/>
    <x v="3"/>
  </r>
  <r>
    <n v="4838"/>
    <x v="430"/>
    <s v="Sales invoice issued"/>
    <x v="584"/>
    <s v="0.0"/>
    <x v="2"/>
    <x v="0"/>
  </r>
  <r>
    <n v="4838"/>
    <x v="430"/>
    <s v="Sales invoice issued"/>
    <x v="273"/>
    <s v="306.48"/>
    <x v="3"/>
    <x v="2"/>
  </r>
  <r>
    <n v="4838"/>
    <x v="430"/>
    <s v="Sales invoice issued"/>
    <x v="273"/>
    <s v="22.99"/>
    <x v="4"/>
    <x v="3"/>
  </r>
  <r>
    <n v="4839"/>
    <x v="430"/>
    <s v="Sales invoice issued"/>
    <x v="1979"/>
    <s v="0.0"/>
    <x v="2"/>
    <x v="0"/>
  </r>
  <r>
    <n v="4839"/>
    <x v="430"/>
    <s v="Sales invoice issued"/>
    <x v="273"/>
    <s v="610.61"/>
    <x v="3"/>
    <x v="2"/>
  </r>
  <r>
    <n v="4839"/>
    <x v="430"/>
    <s v="Sales invoice issued"/>
    <x v="273"/>
    <s v="45.8"/>
    <x v="4"/>
    <x v="3"/>
  </r>
  <r>
    <n v="4840"/>
    <x v="430"/>
    <s v="Customer payment received"/>
    <x v="1837"/>
    <s v="0.0"/>
    <x v="0"/>
    <x v="0"/>
  </r>
  <r>
    <n v="4840"/>
    <x v="430"/>
    <s v="Customer payment received"/>
    <x v="273"/>
    <s v="2120.17"/>
    <x v="2"/>
    <x v="0"/>
  </r>
  <r>
    <n v="4841"/>
    <x v="430"/>
    <s v="Customer payment received"/>
    <x v="1873"/>
    <s v="0.0"/>
    <x v="0"/>
    <x v="0"/>
  </r>
  <r>
    <n v="4841"/>
    <x v="430"/>
    <s v="Customer payment received"/>
    <x v="273"/>
    <s v="2063.81"/>
    <x v="2"/>
    <x v="0"/>
  </r>
  <r>
    <n v="4842"/>
    <x v="430"/>
    <s v="Customer payment received"/>
    <x v="1893"/>
    <s v="0.0"/>
    <x v="0"/>
    <x v="0"/>
  </r>
  <r>
    <n v="4842"/>
    <x v="430"/>
    <s v="Customer payment received"/>
    <x v="273"/>
    <s v="1227.63"/>
    <x v="2"/>
    <x v="0"/>
  </r>
  <r>
    <n v="4843"/>
    <x v="430"/>
    <s v="Customer payment received"/>
    <x v="1949"/>
    <s v="0.0"/>
    <x v="0"/>
    <x v="0"/>
  </r>
  <r>
    <n v="4843"/>
    <x v="430"/>
    <s v="Customer payment received"/>
    <x v="273"/>
    <s v="1065.81"/>
    <x v="2"/>
    <x v="0"/>
  </r>
  <r>
    <n v="4844"/>
    <x v="430"/>
    <s v="Customer payment received"/>
    <x v="1972"/>
    <s v="0.0"/>
    <x v="0"/>
    <x v="0"/>
  </r>
  <r>
    <n v="4844"/>
    <x v="430"/>
    <s v="Customer payment received"/>
    <x v="273"/>
    <s v="274.73"/>
    <x v="2"/>
    <x v="0"/>
  </r>
  <r>
    <n v="4845"/>
    <x v="430"/>
    <s v="Supplier invoice received"/>
    <x v="284"/>
    <s v="0.0"/>
    <x v="9"/>
    <x v="4"/>
  </r>
  <r>
    <n v="4845"/>
    <x v="430"/>
    <s v="Supplier invoice received"/>
    <x v="285"/>
    <s v="0.0"/>
    <x v="10"/>
    <x v="0"/>
  </r>
  <r>
    <n v="4845"/>
    <x v="430"/>
    <s v="Supplier invoice received"/>
    <x v="273"/>
    <s v="9336.67"/>
    <x v="11"/>
    <x v="3"/>
  </r>
  <r>
    <n v="4846"/>
    <x v="430"/>
    <s v="Supplier invoice received"/>
    <x v="359"/>
    <s v="0.0"/>
    <x v="9"/>
    <x v="4"/>
  </r>
  <r>
    <n v="4846"/>
    <x v="430"/>
    <s v="Supplier invoice received"/>
    <x v="360"/>
    <s v="0.0"/>
    <x v="10"/>
    <x v="0"/>
  </r>
  <r>
    <n v="4846"/>
    <x v="430"/>
    <s v="Supplier invoice received"/>
    <x v="273"/>
    <s v="1591.54"/>
    <x v="11"/>
    <x v="3"/>
  </r>
  <r>
    <n v="4847"/>
    <x v="430"/>
    <s v="Supplier invoice received"/>
    <x v="299"/>
    <s v="0.0"/>
    <x v="9"/>
    <x v="4"/>
  </r>
  <r>
    <n v="4847"/>
    <x v="430"/>
    <s v="Supplier invoice received"/>
    <x v="300"/>
    <s v="0.0"/>
    <x v="10"/>
    <x v="0"/>
  </r>
  <r>
    <n v="4847"/>
    <x v="430"/>
    <s v="Supplier invoice received"/>
    <x v="273"/>
    <s v="2918.17"/>
    <x v="11"/>
    <x v="3"/>
  </r>
  <r>
    <n v="4848"/>
    <x v="430"/>
    <s v="Supplier invoice received"/>
    <x v="374"/>
    <s v="0.0"/>
    <x v="9"/>
    <x v="4"/>
  </r>
  <r>
    <n v="4848"/>
    <x v="430"/>
    <s v="Supplier invoice received"/>
    <x v="375"/>
    <s v="0.0"/>
    <x v="10"/>
    <x v="0"/>
  </r>
  <r>
    <n v="4848"/>
    <x v="430"/>
    <s v="Supplier invoice received"/>
    <x v="273"/>
    <s v="2504.23"/>
    <x v="11"/>
    <x v="3"/>
  </r>
  <r>
    <n v="4849"/>
    <x v="430"/>
    <s v="Supplier invoice received"/>
    <x v="301"/>
    <s v="0.0"/>
    <x v="9"/>
    <x v="4"/>
  </r>
  <r>
    <n v="4849"/>
    <x v="430"/>
    <s v="Supplier invoice received"/>
    <x v="302"/>
    <s v="0.0"/>
    <x v="10"/>
    <x v="0"/>
  </r>
  <r>
    <n v="4849"/>
    <x v="430"/>
    <s v="Supplier invoice received"/>
    <x v="273"/>
    <s v="4812.46"/>
    <x v="11"/>
    <x v="3"/>
  </r>
  <r>
    <n v="4850"/>
    <x v="430"/>
    <s v="Supplier invoice received"/>
    <x v="383"/>
    <s v="0.0"/>
    <x v="9"/>
    <x v="4"/>
  </r>
  <r>
    <n v="4850"/>
    <x v="430"/>
    <s v="Supplier invoice received"/>
    <x v="384"/>
    <s v="0.0"/>
    <x v="10"/>
    <x v="0"/>
  </r>
  <r>
    <n v="4850"/>
    <x v="430"/>
    <s v="Supplier invoice received"/>
    <x v="273"/>
    <s v="3868.8"/>
    <x v="11"/>
    <x v="3"/>
  </r>
  <r>
    <n v="4851"/>
    <x v="430"/>
    <s v="Supplier payment made"/>
    <x v="466"/>
    <s v="0.0"/>
    <x v="11"/>
    <x v="3"/>
  </r>
  <r>
    <n v="4851"/>
    <x v="430"/>
    <s v="Supplier payment made"/>
    <x v="273"/>
    <s v="748.26"/>
    <x v="0"/>
    <x v="0"/>
  </r>
  <r>
    <n v="4852"/>
    <x v="430"/>
    <s v="Supplier payment made"/>
    <x v="334"/>
    <s v="0.0"/>
    <x v="11"/>
    <x v="3"/>
  </r>
  <r>
    <n v="4852"/>
    <x v="430"/>
    <s v="Supplier payment made"/>
    <x v="273"/>
    <s v="3528.97"/>
    <x v="0"/>
    <x v="0"/>
  </r>
  <r>
    <n v="4853"/>
    <x v="431"/>
    <s v="Sales invoice issued"/>
    <x v="1980"/>
    <s v="0.0"/>
    <x v="2"/>
    <x v="0"/>
  </r>
  <r>
    <n v="4853"/>
    <x v="431"/>
    <s v="Sales invoice issued"/>
    <x v="273"/>
    <s v="1880.64"/>
    <x v="3"/>
    <x v="2"/>
  </r>
  <r>
    <n v="4853"/>
    <x v="431"/>
    <s v="Sales invoice issued"/>
    <x v="273"/>
    <s v="141.05"/>
    <x v="4"/>
    <x v="3"/>
  </r>
  <r>
    <n v="4854"/>
    <x v="431"/>
    <s v="Sales invoice issued"/>
    <x v="1981"/>
    <s v="0.0"/>
    <x v="2"/>
    <x v="0"/>
  </r>
  <r>
    <n v="4854"/>
    <x v="431"/>
    <s v="Sales invoice issued"/>
    <x v="273"/>
    <s v="5324.19"/>
    <x v="3"/>
    <x v="2"/>
  </r>
  <r>
    <n v="4854"/>
    <x v="431"/>
    <s v="Sales invoice issued"/>
    <x v="273"/>
    <s v="399.32"/>
    <x v="4"/>
    <x v="3"/>
  </r>
  <r>
    <n v="4855"/>
    <x v="431"/>
    <s v="Sales invoice issued"/>
    <x v="491"/>
    <s v="0.0"/>
    <x v="2"/>
    <x v="0"/>
  </r>
  <r>
    <n v="4855"/>
    <x v="431"/>
    <s v="Sales invoice issued"/>
    <x v="273"/>
    <s v="694.1"/>
    <x v="3"/>
    <x v="2"/>
  </r>
  <r>
    <n v="4855"/>
    <x v="431"/>
    <s v="Sales invoice issued"/>
    <x v="273"/>
    <s v="52.06"/>
    <x v="4"/>
    <x v="3"/>
  </r>
  <r>
    <n v="4856"/>
    <x v="431"/>
    <s v="Sales invoice issued"/>
    <x v="1982"/>
    <s v="0.0"/>
    <x v="2"/>
    <x v="0"/>
  </r>
  <r>
    <n v="4856"/>
    <x v="431"/>
    <s v="Sales invoice issued"/>
    <x v="273"/>
    <s v="581.68"/>
    <x v="3"/>
    <x v="2"/>
  </r>
  <r>
    <n v="4856"/>
    <x v="431"/>
    <s v="Sales invoice issued"/>
    <x v="273"/>
    <s v="43.62"/>
    <x v="4"/>
    <x v="3"/>
  </r>
  <r>
    <n v="4857"/>
    <x v="431"/>
    <s v="Customer payment received"/>
    <x v="1911"/>
    <s v="0.0"/>
    <x v="0"/>
    <x v="0"/>
  </r>
  <r>
    <n v="4857"/>
    <x v="431"/>
    <s v="Customer payment received"/>
    <x v="273"/>
    <s v="1410.28"/>
    <x v="2"/>
    <x v="0"/>
  </r>
  <r>
    <n v="4858"/>
    <x v="431"/>
    <s v="Customer payment received"/>
    <x v="1939"/>
    <s v="0.0"/>
    <x v="0"/>
    <x v="0"/>
  </r>
  <r>
    <n v="4858"/>
    <x v="431"/>
    <s v="Customer payment received"/>
    <x v="273"/>
    <s v="2516.36"/>
    <x v="2"/>
    <x v="0"/>
  </r>
  <r>
    <n v="4859"/>
    <x v="431"/>
    <s v="Customer payment received"/>
    <x v="1940"/>
    <s v="0.0"/>
    <x v="0"/>
    <x v="0"/>
  </r>
  <r>
    <n v="4859"/>
    <x v="431"/>
    <s v="Customer payment received"/>
    <x v="273"/>
    <s v="2143.84"/>
    <x v="2"/>
    <x v="0"/>
  </r>
  <r>
    <n v="4860"/>
    <x v="431"/>
    <s v="Customer payment received"/>
    <x v="1943"/>
    <s v="0.0"/>
    <x v="0"/>
    <x v="0"/>
  </r>
  <r>
    <n v="4860"/>
    <x v="431"/>
    <s v="Customer payment received"/>
    <x v="273"/>
    <s v="1333.3"/>
    <x v="2"/>
    <x v="0"/>
  </r>
  <r>
    <n v="4861"/>
    <x v="431"/>
    <s v="Customer payment received"/>
    <x v="1971"/>
    <s v="0.0"/>
    <x v="0"/>
    <x v="0"/>
  </r>
  <r>
    <n v="4861"/>
    <x v="431"/>
    <s v="Customer payment received"/>
    <x v="273"/>
    <s v="1763.7"/>
    <x v="2"/>
    <x v="0"/>
  </r>
  <r>
    <n v="4862"/>
    <x v="431"/>
    <s v="Customer payment received"/>
    <x v="584"/>
    <s v="0.0"/>
    <x v="0"/>
    <x v="0"/>
  </r>
  <r>
    <n v="4862"/>
    <x v="431"/>
    <s v="Customer payment received"/>
    <x v="273"/>
    <s v="329.47"/>
    <x v="2"/>
    <x v="0"/>
  </r>
  <r>
    <n v="4863"/>
    <x v="431"/>
    <s v="Supplier invoice received"/>
    <x v="441"/>
    <s v="0.0"/>
    <x v="9"/>
    <x v="4"/>
  </r>
  <r>
    <n v="4863"/>
    <x v="431"/>
    <s v="Supplier invoice received"/>
    <x v="442"/>
    <s v="0.0"/>
    <x v="10"/>
    <x v="0"/>
  </r>
  <r>
    <n v="4863"/>
    <x v="431"/>
    <s v="Supplier invoice received"/>
    <x v="273"/>
    <s v="179.01"/>
    <x v="11"/>
    <x v="3"/>
  </r>
  <r>
    <n v="4864"/>
    <x v="431"/>
    <s v="Supplier invoice received"/>
    <x v="305"/>
    <s v="0.0"/>
    <x v="9"/>
    <x v="4"/>
  </r>
  <r>
    <n v="4864"/>
    <x v="431"/>
    <s v="Supplier invoice received"/>
    <x v="306"/>
    <s v="0.0"/>
    <x v="10"/>
    <x v="0"/>
  </r>
  <r>
    <n v="4864"/>
    <x v="431"/>
    <s v="Supplier invoice received"/>
    <x v="273"/>
    <s v="276.32"/>
    <x v="11"/>
    <x v="3"/>
  </r>
  <r>
    <n v="4865"/>
    <x v="431"/>
    <s v="Supplier payment made"/>
    <x v="335"/>
    <s v="0.0"/>
    <x v="11"/>
    <x v="3"/>
  </r>
  <r>
    <n v="4865"/>
    <x v="431"/>
    <s v="Supplier payment made"/>
    <x v="273"/>
    <s v="550.4"/>
    <x v="0"/>
    <x v="0"/>
  </r>
  <r>
    <n v="4866"/>
    <x v="431"/>
    <s v="Supplier payment made"/>
    <x v="466"/>
    <s v="0.0"/>
    <x v="11"/>
    <x v="3"/>
  </r>
  <r>
    <n v="4866"/>
    <x v="431"/>
    <s v="Supplier payment made"/>
    <x v="273"/>
    <s v="748.26"/>
    <x v="0"/>
    <x v="0"/>
  </r>
  <r>
    <n v="4867"/>
    <x v="431"/>
    <s v="Supplier payment made"/>
    <x v="351"/>
    <s v="0.0"/>
    <x v="11"/>
    <x v="3"/>
  </r>
  <r>
    <n v="4867"/>
    <x v="431"/>
    <s v="Supplier payment made"/>
    <x v="273"/>
    <s v="179.01"/>
    <x v="0"/>
    <x v="0"/>
  </r>
  <r>
    <n v="4868"/>
    <x v="432"/>
    <s v="Sales invoice issued"/>
    <x v="1983"/>
    <s v="0.0"/>
    <x v="2"/>
    <x v="0"/>
  </r>
  <r>
    <n v="4868"/>
    <x v="432"/>
    <s v="Sales invoice issued"/>
    <x v="273"/>
    <s v="802.67"/>
    <x v="3"/>
    <x v="2"/>
  </r>
  <r>
    <n v="4868"/>
    <x v="432"/>
    <s v="Sales invoice issued"/>
    <x v="273"/>
    <s v="60.2"/>
    <x v="4"/>
    <x v="3"/>
  </r>
  <r>
    <n v="4869"/>
    <x v="432"/>
    <s v="Sales invoice issued"/>
    <x v="1984"/>
    <s v="0.0"/>
    <x v="2"/>
    <x v="0"/>
  </r>
  <r>
    <n v="4869"/>
    <x v="432"/>
    <s v="Sales invoice issued"/>
    <x v="273"/>
    <s v="3382.05"/>
    <x v="3"/>
    <x v="2"/>
  </r>
  <r>
    <n v="4869"/>
    <x v="432"/>
    <s v="Sales invoice issued"/>
    <x v="273"/>
    <s v="253.65"/>
    <x v="4"/>
    <x v="3"/>
  </r>
  <r>
    <n v="4870"/>
    <x v="432"/>
    <s v="Sales invoice issued"/>
    <x v="1985"/>
    <s v="0.0"/>
    <x v="2"/>
    <x v="0"/>
  </r>
  <r>
    <n v="4870"/>
    <x v="432"/>
    <s v="Sales invoice issued"/>
    <x v="273"/>
    <s v="6313.32"/>
    <x v="3"/>
    <x v="2"/>
  </r>
  <r>
    <n v="4870"/>
    <x v="432"/>
    <s v="Sales invoice issued"/>
    <x v="273"/>
    <s v="473.51"/>
    <x v="4"/>
    <x v="3"/>
  </r>
  <r>
    <n v="4871"/>
    <x v="432"/>
    <s v="Sales invoice issued"/>
    <x v="1986"/>
    <s v="0.0"/>
    <x v="2"/>
    <x v="0"/>
  </r>
  <r>
    <n v="4871"/>
    <x v="432"/>
    <s v="Sales invoice issued"/>
    <x v="273"/>
    <s v="548.74"/>
    <x v="3"/>
    <x v="2"/>
  </r>
  <r>
    <n v="4871"/>
    <x v="432"/>
    <s v="Sales invoice issued"/>
    <x v="273"/>
    <s v="41.16"/>
    <x v="4"/>
    <x v="3"/>
  </r>
  <r>
    <n v="4872"/>
    <x v="432"/>
    <s v="Customer payment received"/>
    <x v="1891"/>
    <s v="0.0"/>
    <x v="0"/>
    <x v="0"/>
  </r>
  <r>
    <n v="4872"/>
    <x v="432"/>
    <s v="Customer payment received"/>
    <x v="273"/>
    <s v="1240.26"/>
    <x v="2"/>
    <x v="0"/>
  </r>
  <r>
    <n v="4873"/>
    <x v="432"/>
    <s v="Customer payment received"/>
    <x v="1924"/>
    <s v="0.0"/>
    <x v="0"/>
    <x v="0"/>
  </r>
  <r>
    <n v="4873"/>
    <x v="432"/>
    <s v="Customer payment received"/>
    <x v="273"/>
    <s v="2078.06"/>
    <x v="2"/>
    <x v="0"/>
  </r>
  <r>
    <n v="4874"/>
    <x v="432"/>
    <s v="Customer payment received"/>
    <x v="1957"/>
    <s v="0.0"/>
    <x v="0"/>
    <x v="0"/>
  </r>
  <r>
    <n v="4874"/>
    <x v="432"/>
    <s v="Customer payment received"/>
    <x v="273"/>
    <s v="1386.7"/>
    <x v="2"/>
    <x v="0"/>
  </r>
  <r>
    <n v="4875"/>
    <x v="432"/>
    <s v="Customer payment received"/>
    <x v="1974"/>
    <s v="0.0"/>
    <x v="0"/>
    <x v="0"/>
  </r>
  <r>
    <n v="4875"/>
    <x v="432"/>
    <s v="Customer payment received"/>
    <x v="273"/>
    <s v="1850.31"/>
    <x v="2"/>
    <x v="0"/>
  </r>
  <r>
    <n v="4876"/>
    <x v="432"/>
    <s v="Supplier payment made"/>
    <x v="407"/>
    <s v="0.0"/>
    <x v="11"/>
    <x v="3"/>
  </r>
  <r>
    <n v="4876"/>
    <x v="432"/>
    <s v="Supplier payment made"/>
    <x v="273"/>
    <s v="201.5"/>
    <x v="0"/>
    <x v="0"/>
  </r>
  <r>
    <n v="4877"/>
    <x v="433"/>
    <s v="Payroll processed"/>
    <x v="1987"/>
    <s v="0.0"/>
    <x v="5"/>
    <x v="4"/>
  </r>
  <r>
    <n v="4877"/>
    <x v="433"/>
    <s v="Payroll processed"/>
    <x v="1988"/>
    <s v="0.0"/>
    <x v="6"/>
    <x v="4"/>
  </r>
  <r>
    <n v="4877"/>
    <x v="433"/>
    <s v="Payroll processed"/>
    <x v="273"/>
    <s v="17567.66"/>
    <x v="0"/>
    <x v="0"/>
  </r>
  <r>
    <n v="4877"/>
    <x v="433"/>
    <s v="Payroll processed"/>
    <x v="273"/>
    <s v="4035.89"/>
    <x v="7"/>
    <x v="3"/>
  </r>
  <r>
    <n v="4877"/>
    <x v="433"/>
    <s v="Payroll processed"/>
    <x v="273"/>
    <s v="864.14"/>
    <x v="8"/>
    <x v="3"/>
  </r>
  <r>
    <n v="4878"/>
    <x v="433"/>
    <s v="Sales invoice issued"/>
    <x v="1989"/>
    <s v="0.0"/>
    <x v="2"/>
    <x v="0"/>
  </r>
  <r>
    <n v="4878"/>
    <x v="433"/>
    <s v="Sales invoice issued"/>
    <x v="273"/>
    <s v="290.78"/>
    <x v="3"/>
    <x v="2"/>
  </r>
  <r>
    <n v="4878"/>
    <x v="433"/>
    <s v="Sales invoice issued"/>
    <x v="273"/>
    <s v="21.81"/>
    <x v="4"/>
    <x v="3"/>
  </r>
  <r>
    <n v="4879"/>
    <x v="433"/>
    <s v="Sales invoice issued"/>
    <x v="921"/>
    <s v="0.0"/>
    <x v="2"/>
    <x v="0"/>
  </r>
  <r>
    <n v="4879"/>
    <x v="433"/>
    <s v="Sales invoice issued"/>
    <x v="273"/>
    <s v="167.05"/>
    <x v="3"/>
    <x v="2"/>
  </r>
  <r>
    <n v="4879"/>
    <x v="433"/>
    <s v="Sales invoice issued"/>
    <x v="273"/>
    <s v="12.53"/>
    <x v="4"/>
    <x v="3"/>
  </r>
  <r>
    <n v="4880"/>
    <x v="433"/>
    <s v="Sales invoice issued"/>
    <x v="1990"/>
    <s v="0.0"/>
    <x v="2"/>
    <x v="0"/>
  </r>
  <r>
    <n v="4880"/>
    <x v="433"/>
    <s v="Sales invoice issued"/>
    <x v="273"/>
    <s v="1954.0"/>
    <x v="3"/>
    <x v="2"/>
  </r>
  <r>
    <n v="4880"/>
    <x v="433"/>
    <s v="Sales invoice issued"/>
    <x v="273"/>
    <s v="146.55"/>
    <x v="4"/>
    <x v="3"/>
  </r>
  <r>
    <n v="4881"/>
    <x v="433"/>
    <s v="Customer payment received"/>
    <x v="1780"/>
    <s v="0.0"/>
    <x v="0"/>
    <x v="0"/>
  </r>
  <r>
    <n v="4881"/>
    <x v="433"/>
    <s v="Customer payment received"/>
    <x v="273"/>
    <s v="511.18"/>
    <x v="2"/>
    <x v="0"/>
  </r>
  <r>
    <n v="4882"/>
    <x v="433"/>
    <s v="Customer payment received"/>
    <x v="1850"/>
    <s v="0.0"/>
    <x v="0"/>
    <x v="0"/>
  </r>
  <r>
    <n v="4882"/>
    <x v="433"/>
    <s v="Customer payment received"/>
    <x v="273"/>
    <s v="3443.53"/>
    <x v="2"/>
    <x v="0"/>
  </r>
  <r>
    <n v="4883"/>
    <x v="433"/>
    <s v="Customer payment received"/>
    <x v="1892"/>
    <s v="0.0"/>
    <x v="0"/>
    <x v="0"/>
  </r>
  <r>
    <n v="4883"/>
    <x v="433"/>
    <s v="Customer payment received"/>
    <x v="273"/>
    <s v="811.34"/>
    <x v="2"/>
    <x v="0"/>
  </r>
  <r>
    <n v="4884"/>
    <x v="433"/>
    <s v="Customer payment received"/>
    <x v="1991"/>
    <s v="0.0"/>
    <x v="0"/>
    <x v="0"/>
  </r>
  <r>
    <n v="4884"/>
    <x v="433"/>
    <s v="Customer payment received"/>
    <x v="273"/>
    <s v="212.4"/>
    <x v="2"/>
    <x v="0"/>
  </r>
  <r>
    <n v="4885"/>
    <x v="433"/>
    <s v="Customer payment received"/>
    <x v="1992"/>
    <s v="0.0"/>
    <x v="0"/>
    <x v="0"/>
  </r>
  <r>
    <n v="4885"/>
    <x v="433"/>
    <s v="Customer payment received"/>
    <x v="273"/>
    <s v="2733.48"/>
    <x v="2"/>
    <x v="0"/>
  </r>
  <r>
    <n v="4886"/>
    <x v="433"/>
    <s v="Customer payment received"/>
    <x v="1962"/>
    <s v="0.0"/>
    <x v="0"/>
    <x v="0"/>
  </r>
  <r>
    <n v="4886"/>
    <x v="433"/>
    <s v="Customer payment received"/>
    <x v="273"/>
    <s v="1183.28"/>
    <x v="2"/>
    <x v="0"/>
  </r>
  <r>
    <n v="4887"/>
    <x v="433"/>
    <s v="Supplier payment made"/>
    <x v="292"/>
    <s v="0.0"/>
    <x v="11"/>
    <x v="3"/>
  </r>
  <r>
    <n v="4887"/>
    <x v="433"/>
    <s v="Supplier payment made"/>
    <x v="273"/>
    <s v="1766.46"/>
    <x v="0"/>
    <x v="0"/>
  </r>
  <r>
    <n v="4888"/>
    <x v="433"/>
    <s v="Supplier payment made"/>
    <x v="313"/>
    <s v="0.0"/>
    <x v="11"/>
    <x v="3"/>
  </r>
  <r>
    <n v="4888"/>
    <x v="433"/>
    <s v="Supplier payment made"/>
    <x v="273"/>
    <s v="1159.84"/>
    <x v="0"/>
    <x v="0"/>
  </r>
  <r>
    <n v="4889"/>
    <x v="433"/>
    <s v="Supplier payment made"/>
    <x v="407"/>
    <s v="0.0"/>
    <x v="11"/>
    <x v="3"/>
  </r>
  <r>
    <n v="4889"/>
    <x v="433"/>
    <s v="Supplier payment made"/>
    <x v="273"/>
    <s v="201.5"/>
    <x v="0"/>
    <x v="0"/>
  </r>
  <r>
    <n v="4890"/>
    <x v="433"/>
    <s v="Supplier payment made"/>
    <x v="318"/>
    <s v="0.0"/>
    <x v="11"/>
    <x v="3"/>
  </r>
  <r>
    <n v="4890"/>
    <x v="433"/>
    <s v="Supplier payment made"/>
    <x v="273"/>
    <s v="2504.23"/>
    <x v="0"/>
    <x v="0"/>
  </r>
  <r>
    <n v="4891"/>
    <x v="433"/>
    <s v="Supplier payment made"/>
    <x v="352"/>
    <s v="0.0"/>
    <x v="11"/>
    <x v="3"/>
  </r>
  <r>
    <n v="4891"/>
    <x v="433"/>
    <s v="Supplier payment made"/>
    <x v="273"/>
    <s v="9336.67"/>
    <x v="0"/>
    <x v="0"/>
  </r>
  <r>
    <n v="4892"/>
    <x v="434"/>
    <s v="Sales invoice issued"/>
    <x v="1993"/>
    <s v="0.0"/>
    <x v="2"/>
    <x v="0"/>
  </r>
  <r>
    <n v="4892"/>
    <x v="434"/>
    <s v="Sales invoice issued"/>
    <x v="273"/>
    <s v="367.84"/>
    <x v="3"/>
    <x v="2"/>
  </r>
  <r>
    <n v="4892"/>
    <x v="434"/>
    <s v="Sales invoice issued"/>
    <x v="273"/>
    <s v="27.59"/>
    <x v="4"/>
    <x v="3"/>
  </r>
  <r>
    <n v="4893"/>
    <x v="434"/>
    <s v="Sales invoice issued"/>
    <x v="1994"/>
    <s v="0.0"/>
    <x v="2"/>
    <x v="0"/>
  </r>
  <r>
    <n v="4893"/>
    <x v="434"/>
    <s v="Sales invoice issued"/>
    <x v="273"/>
    <s v="1573.14"/>
    <x v="3"/>
    <x v="2"/>
  </r>
  <r>
    <n v="4893"/>
    <x v="434"/>
    <s v="Sales invoice issued"/>
    <x v="273"/>
    <s v="117.99"/>
    <x v="4"/>
    <x v="3"/>
  </r>
  <r>
    <n v="4894"/>
    <x v="434"/>
    <s v="Sales invoice issued"/>
    <x v="1995"/>
    <s v="0.0"/>
    <x v="2"/>
    <x v="0"/>
  </r>
  <r>
    <n v="4894"/>
    <x v="434"/>
    <s v="Sales invoice issued"/>
    <x v="273"/>
    <s v="1241.77"/>
    <x v="3"/>
    <x v="2"/>
  </r>
  <r>
    <n v="4894"/>
    <x v="434"/>
    <s v="Sales invoice issued"/>
    <x v="273"/>
    <s v="93.13"/>
    <x v="4"/>
    <x v="3"/>
  </r>
  <r>
    <n v="4895"/>
    <x v="434"/>
    <s v="Sales invoice issued"/>
    <x v="1996"/>
    <s v="0.0"/>
    <x v="2"/>
    <x v="0"/>
  </r>
  <r>
    <n v="4895"/>
    <x v="434"/>
    <s v="Sales invoice issued"/>
    <x v="273"/>
    <s v="1717.74"/>
    <x v="3"/>
    <x v="2"/>
  </r>
  <r>
    <n v="4895"/>
    <x v="434"/>
    <s v="Sales invoice issued"/>
    <x v="273"/>
    <s v="128.83"/>
    <x v="4"/>
    <x v="3"/>
  </r>
  <r>
    <n v="4896"/>
    <x v="434"/>
    <s v="Sales invoice issued"/>
    <x v="1997"/>
    <s v="0.0"/>
    <x v="2"/>
    <x v="0"/>
  </r>
  <r>
    <n v="4896"/>
    <x v="434"/>
    <s v="Sales invoice issued"/>
    <x v="273"/>
    <s v="3332.74"/>
    <x v="3"/>
    <x v="2"/>
  </r>
  <r>
    <n v="4896"/>
    <x v="434"/>
    <s v="Sales invoice issued"/>
    <x v="273"/>
    <s v="249.96"/>
    <x v="4"/>
    <x v="3"/>
  </r>
  <r>
    <n v="4897"/>
    <x v="434"/>
    <s v="Customer payment received"/>
    <x v="1806"/>
    <s v="0.0"/>
    <x v="0"/>
    <x v="0"/>
  </r>
  <r>
    <n v="4897"/>
    <x v="434"/>
    <s v="Customer payment received"/>
    <x v="273"/>
    <s v="2675.46"/>
    <x v="2"/>
    <x v="0"/>
  </r>
  <r>
    <n v="4898"/>
    <x v="434"/>
    <s v="Customer payment received"/>
    <x v="283"/>
    <s v="0.0"/>
    <x v="0"/>
    <x v="0"/>
  </r>
  <r>
    <n v="4898"/>
    <x v="434"/>
    <s v="Customer payment received"/>
    <x v="273"/>
    <s v="367.71"/>
    <x v="2"/>
    <x v="0"/>
  </r>
  <r>
    <n v="4899"/>
    <x v="434"/>
    <s v="Customer payment received"/>
    <x v="1894"/>
    <s v="0.0"/>
    <x v="0"/>
    <x v="0"/>
  </r>
  <r>
    <n v="4899"/>
    <x v="434"/>
    <s v="Customer payment received"/>
    <x v="273"/>
    <s v="3247.15"/>
    <x v="2"/>
    <x v="0"/>
  </r>
  <r>
    <n v="4900"/>
    <x v="434"/>
    <s v="Customer payment received"/>
    <x v="1912"/>
    <s v="0.0"/>
    <x v="0"/>
    <x v="0"/>
  </r>
  <r>
    <n v="4900"/>
    <x v="434"/>
    <s v="Customer payment received"/>
    <x v="273"/>
    <s v="2014.94"/>
    <x v="2"/>
    <x v="0"/>
  </r>
  <r>
    <n v="4901"/>
    <x v="434"/>
    <s v="Customer payment received"/>
    <x v="1959"/>
    <s v="0.0"/>
    <x v="0"/>
    <x v="0"/>
  </r>
  <r>
    <n v="4901"/>
    <x v="434"/>
    <s v="Customer payment received"/>
    <x v="273"/>
    <s v="1786.1"/>
    <x v="2"/>
    <x v="0"/>
  </r>
  <r>
    <n v="4902"/>
    <x v="434"/>
    <s v="Customer payment received"/>
    <x v="1990"/>
    <s v="0.0"/>
    <x v="0"/>
    <x v="0"/>
  </r>
  <r>
    <n v="4902"/>
    <x v="434"/>
    <s v="Customer payment received"/>
    <x v="273"/>
    <s v="2100.55"/>
    <x v="2"/>
    <x v="0"/>
  </r>
  <r>
    <n v="4903"/>
    <x v="434"/>
    <s v="Supplier invoice received"/>
    <x v="474"/>
    <s v="0.0"/>
    <x v="9"/>
    <x v="4"/>
  </r>
  <r>
    <n v="4903"/>
    <x v="434"/>
    <s v="Supplier invoice received"/>
    <x v="475"/>
    <s v="0.0"/>
    <x v="10"/>
    <x v="0"/>
  </r>
  <r>
    <n v="4903"/>
    <x v="434"/>
    <s v="Supplier invoice received"/>
    <x v="273"/>
    <s v="862.91"/>
    <x v="11"/>
    <x v="3"/>
  </r>
  <r>
    <n v="4904"/>
    <x v="434"/>
    <s v="Supplier invoice received"/>
    <x v="301"/>
    <s v="0.0"/>
    <x v="9"/>
    <x v="4"/>
  </r>
  <r>
    <n v="4904"/>
    <x v="434"/>
    <s v="Supplier invoice received"/>
    <x v="302"/>
    <s v="0.0"/>
    <x v="10"/>
    <x v="0"/>
  </r>
  <r>
    <n v="4904"/>
    <x v="434"/>
    <s v="Supplier invoice received"/>
    <x v="273"/>
    <s v="4812.46"/>
    <x v="11"/>
    <x v="3"/>
  </r>
  <r>
    <n v="4905"/>
    <x v="435"/>
    <s v="Depreciation â€” POS System"/>
    <x v="425"/>
    <s v="0.0"/>
    <x v="12"/>
    <x v="4"/>
  </r>
  <r>
    <n v="4905"/>
    <x v="435"/>
    <s v="Depreciation â€” POS System"/>
    <x v="273"/>
    <s v="93.61"/>
    <x v="13"/>
    <x v="0"/>
  </r>
  <r>
    <n v="4906"/>
    <x v="435"/>
    <s v="Depreciation â€” Laptop x2"/>
    <x v="426"/>
    <s v="0.0"/>
    <x v="12"/>
    <x v="4"/>
  </r>
  <r>
    <n v="4906"/>
    <x v="435"/>
    <s v="Depreciation â€” Laptop x2"/>
    <x v="273"/>
    <s v="76.86"/>
    <x v="13"/>
    <x v="0"/>
  </r>
  <r>
    <n v="4907"/>
    <x v="435"/>
    <s v="Depreciation â€” Printer/Scanner"/>
    <x v="427"/>
    <s v="0.0"/>
    <x v="12"/>
    <x v="4"/>
  </r>
  <r>
    <n v="4907"/>
    <x v="435"/>
    <s v="Depreciation â€” Printer/Scanner"/>
    <x v="273"/>
    <s v="20.03"/>
    <x v="13"/>
    <x v="0"/>
  </r>
  <r>
    <n v="4908"/>
    <x v="435"/>
    <s v="Depreciation â€” Shop Shelving"/>
    <x v="428"/>
    <s v="0.0"/>
    <x v="12"/>
    <x v="4"/>
  </r>
  <r>
    <n v="4908"/>
    <x v="435"/>
    <s v="Depreciation â€” Shop Shelving"/>
    <x v="273"/>
    <s v="86.89"/>
    <x v="14"/>
    <x v="0"/>
  </r>
  <r>
    <n v="4909"/>
    <x v="435"/>
    <s v="Depreciation â€” Display Stands"/>
    <x v="429"/>
    <s v="0.0"/>
    <x v="12"/>
    <x v="4"/>
  </r>
  <r>
    <n v="4909"/>
    <x v="435"/>
    <s v="Depreciation â€” Display Stands"/>
    <x v="273"/>
    <s v="76.8"/>
    <x v="14"/>
    <x v="0"/>
  </r>
  <r>
    <n v="4910"/>
    <x v="435"/>
    <s v="Depreciation â€” Counter &amp; Checkout"/>
    <x v="430"/>
    <s v="0.0"/>
    <x v="12"/>
    <x v="4"/>
  </r>
  <r>
    <n v="4910"/>
    <x v="435"/>
    <s v="Depreciation â€” Counter &amp; Checkout"/>
    <x v="273"/>
    <s v="48.28"/>
    <x v="14"/>
    <x v="0"/>
  </r>
  <r>
    <n v="4911"/>
    <x v="435"/>
    <s v="Depreciation â€” Signage"/>
    <x v="431"/>
    <s v="0.0"/>
    <x v="12"/>
    <x v="4"/>
  </r>
  <r>
    <n v="4911"/>
    <x v="435"/>
    <s v="Depreciation â€” Signage"/>
    <x v="273"/>
    <s v="53.21"/>
    <x v="14"/>
    <x v="0"/>
  </r>
  <r>
    <n v="4912"/>
    <x v="435"/>
    <s v="Depreciation â€” Delivery Van"/>
    <x v="432"/>
    <s v="0.0"/>
    <x v="12"/>
    <x v="4"/>
  </r>
  <r>
    <n v="4912"/>
    <x v="435"/>
    <s v="Depreciation â€” Delivery Van"/>
    <x v="273"/>
    <s v="232.19"/>
    <x v="15"/>
    <x v="0"/>
  </r>
  <r>
    <n v="4913"/>
    <x v="435"/>
    <s v="Depreciation â€” Security System"/>
    <x v="433"/>
    <s v="0.0"/>
    <x v="12"/>
    <x v="4"/>
  </r>
  <r>
    <n v="4913"/>
    <x v="435"/>
    <s v="Depreciation â€” Security System"/>
    <x v="273"/>
    <s v="43.85"/>
    <x v="13"/>
    <x v="0"/>
  </r>
  <r>
    <n v="4914"/>
    <x v="436"/>
    <s v="Sales invoice issued"/>
    <x v="1998"/>
    <s v="0.0"/>
    <x v="2"/>
    <x v="0"/>
  </r>
  <r>
    <n v="4914"/>
    <x v="436"/>
    <s v="Sales invoice issued"/>
    <x v="273"/>
    <s v="3622.81"/>
    <x v="3"/>
    <x v="2"/>
  </r>
  <r>
    <n v="4914"/>
    <x v="436"/>
    <s v="Sales invoice issued"/>
    <x v="273"/>
    <s v="271.72"/>
    <x v="4"/>
    <x v="3"/>
  </r>
  <r>
    <n v="4915"/>
    <x v="436"/>
    <s v="Sales invoice issued"/>
    <x v="1999"/>
    <s v="0.0"/>
    <x v="2"/>
    <x v="0"/>
  </r>
  <r>
    <n v="4915"/>
    <x v="436"/>
    <s v="Sales invoice issued"/>
    <x v="273"/>
    <s v="52.2"/>
    <x v="3"/>
    <x v="2"/>
  </r>
  <r>
    <n v="4915"/>
    <x v="436"/>
    <s v="Sales invoice issued"/>
    <x v="273"/>
    <s v="3.92"/>
    <x v="4"/>
    <x v="3"/>
  </r>
  <r>
    <n v="4916"/>
    <x v="436"/>
    <s v="Sales invoice issued"/>
    <x v="2000"/>
    <s v="0.0"/>
    <x v="2"/>
    <x v="0"/>
  </r>
  <r>
    <n v="4916"/>
    <x v="436"/>
    <s v="Sales invoice issued"/>
    <x v="273"/>
    <s v="2030.91"/>
    <x v="3"/>
    <x v="2"/>
  </r>
  <r>
    <n v="4916"/>
    <x v="436"/>
    <s v="Sales invoice issued"/>
    <x v="273"/>
    <s v="152.32"/>
    <x v="4"/>
    <x v="3"/>
  </r>
  <r>
    <n v="4917"/>
    <x v="436"/>
    <s v="Sales invoice issued"/>
    <x v="2001"/>
    <s v="0.0"/>
    <x v="2"/>
    <x v="0"/>
  </r>
  <r>
    <n v="4917"/>
    <x v="436"/>
    <s v="Sales invoice issued"/>
    <x v="273"/>
    <s v="590.63"/>
    <x v="3"/>
    <x v="2"/>
  </r>
  <r>
    <n v="4917"/>
    <x v="436"/>
    <s v="Sales invoice issued"/>
    <x v="273"/>
    <s v="44.3"/>
    <x v="4"/>
    <x v="3"/>
  </r>
  <r>
    <n v="4918"/>
    <x v="436"/>
    <s v="Sales invoice issued"/>
    <x v="2002"/>
    <s v="0.0"/>
    <x v="2"/>
    <x v="0"/>
  </r>
  <r>
    <n v="4918"/>
    <x v="436"/>
    <s v="Sales invoice issued"/>
    <x v="273"/>
    <s v="1028.08"/>
    <x v="3"/>
    <x v="2"/>
  </r>
  <r>
    <n v="4918"/>
    <x v="436"/>
    <s v="Sales invoice issued"/>
    <x v="273"/>
    <s v="77.1"/>
    <x v="4"/>
    <x v="3"/>
  </r>
  <r>
    <n v="4919"/>
    <x v="436"/>
    <s v="Sales invoice issued"/>
    <x v="2003"/>
    <s v="0.0"/>
    <x v="2"/>
    <x v="0"/>
  </r>
  <r>
    <n v="4919"/>
    <x v="436"/>
    <s v="Sales invoice issued"/>
    <x v="273"/>
    <s v="1606.41"/>
    <x v="3"/>
    <x v="2"/>
  </r>
  <r>
    <n v="4919"/>
    <x v="436"/>
    <s v="Sales invoice issued"/>
    <x v="273"/>
    <s v="120.48"/>
    <x v="4"/>
    <x v="3"/>
  </r>
  <r>
    <n v="4920"/>
    <x v="436"/>
    <s v="Sales invoice issued"/>
    <x v="2004"/>
    <s v="0.0"/>
    <x v="2"/>
    <x v="0"/>
  </r>
  <r>
    <n v="4920"/>
    <x v="436"/>
    <s v="Sales invoice issued"/>
    <x v="273"/>
    <s v="3407.12"/>
    <x v="3"/>
    <x v="2"/>
  </r>
  <r>
    <n v="4920"/>
    <x v="436"/>
    <s v="Sales invoice issued"/>
    <x v="273"/>
    <s v="255.53"/>
    <x v="4"/>
    <x v="3"/>
  </r>
  <r>
    <n v="4921"/>
    <x v="436"/>
    <s v="Customer payment received"/>
    <x v="1824"/>
    <s v="0.0"/>
    <x v="0"/>
    <x v="0"/>
  </r>
  <r>
    <n v="4921"/>
    <x v="436"/>
    <s v="Customer payment received"/>
    <x v="273"/>
    <s v="2907.9"/>
    <x v="2"/>
    <x v="0"/>
  </r>
  <r>
    <n v="4922"/>
    <x v="436"/>
    <s v="Customer payment received"/>
    <x v="1909"/>
    <s v="0.0"/>
    <x v="0"/>
    <x v="0"/>
  </r>
  <r>
    <n v="4922"/>
    <x v="436"/>
    <s v="Customer payment received"/>
    <x v="273"/>
    <s v="5327.75"/>
    <x v="2"/>
    <x v="0"/>
  </r>
  <r>
    <n v="4923"/>
    <x v="436"/>
    <s v="Customer payment received"/>
    <x v="1926"/>
    <s v="0.0"/>
    <x v="0"/>
    <x v="0"/>
  </r>
  <r>
    <n v="4923"/>
    <x v="436"/>
    <s v="Customer payment received"/>
    <x v="273"/>
    <s v="1755.76"/>
    <x v="2"/>
    <x v="0"/>
  </r>
  <r>
    <n v="4924"/>
    <x v="436"/>
    <s v="Customer payment received"/>
    <x v="2005"/>
    <s v="0.0"/>
    <x v="0"/>
    <x v="0"/>
  </r>
  <r>
    <n v="4924"/>
    <x v="436"/>
    <s v="Customer payment received"/>
    <x v="273"/>
    <s v="2609.81"/>
    <x v="2"/>
    <x v="0"/>
  </r>
  <r>
    <n v="4925"/>
    <x v="436"/>
    <s v="Supplier invoice received"/>
    <x v="405"/>
    <s v="0.0"/>
    <x v="9"/>
    <x v="4"/>
  </r>
  <r>
    <n v="4925"/>
    <x v="436"/>
    <s v="Supplier invoice received"/>
    <x v="406"/>
    <s v="0.0"/>
    <x v="10"/>
    <x v="0"/>
  </r>
  <r>
    <n v="4925"/>
    <x v="436"/>
    <s v="Supplier invoice received"/>
    <x v="273"/>
    <s v="2635.36"/>
    <x v="11"/>
    <x v="3"/>
  </r>
  <r>
    <n v="4926"/>
    <x v="436"/>
    <s v="Supplier invoice received"/>
    <x v="330"/>
    <s v="0.0"/>
    <x v="9"/>
    <x v="4"/>
  </r>
  <r>
    <n v="4926"/>
    <x v="436"/>
    <s v="Supplier invoice received"/>
    <x v="331"/>
    <s v="0.0"/>
    <x v="10"/>
    <x v="0"/>
  </r>
  <r>
    <n v="4926"/>
    <x v="436"/>
    <s v="Supplier invoice received"/>
    <x v="273"/>
    <s v="1935.04"/>
    <x v="11"/>
    <x v="3"/>
  </r>
  <r>
    <n v="4927"/>
    <x v="436"/>
    <s v="Supplier invoice received"/>
    <x v="332"/>
    <s v="0.0"/>
    <x v="9"/>
    <x v="4"/>
  </r>
  <r>
    <n v="4927"/>
    <x v="436"/>
    <s v="Supplier invoice received"/>
    <x v="333"/>
    <s v="0.0"/>
    <x v="10"/>
    <x v="0"/>
  </r>
  <r>
    <n v="4927"/>
    <x v="436"/>
    <s v="Supplier invoice received"/>
    <x v="273"/>
    <s v="1023.42"/>
    <x v="11"/>
    <x v="3"/>
  </r>
  <r>
    <n v="4928"/>
    <x v="436"/>
    <s v="Supplier invoice received"/>
    <x v="445"/>
    <s v="0.0"/>
    <x v="9"/>
    <x v="4"/>
  </r>
  <r>
    <n v="4928"/>
    <x v="436"/>
    <s v="Supplier invoice received"/>
    <x v="446"/>
    <s v="0.0"/>
    <x v="10"/>
    <x v="0"/>
  </r>
  <r>
    <n v="4928"/>
    <x v="436"/>
    <s v="Supplier invoice received"/>
    <x v="273"/>
    <s v="1794.11"/>
    <x v="11"/>
    <x v="3"/>
  </r>
  <r>
    <n v="4929"/>
    <x v="436"/>
    <s v="Supplier invoice received"/>
    <x v="338"/>
    <s v="0.0"/>
    <x v="9"/>
    <x v="4"/>
  </r>
  <r>
    <n v="4929"/>
    <x v="436"/>
    <s v="Supplier invoice received"/>
    <x v="339"/>
    <s v="0.0"/>
    <x v="10"/>
    <x v="0"/>
  </r>
  <r>
    <n v="4929"/>
    <x v="436"/>
    <s v="Supplier invoice received"/>
    <x v="273"/>
    <s v="1159.84"/>
    <x v="11"/>
    <x v="3"/>
  </r>
  <r>
    <n v="4930"/>
    <x v="436"/>
    <s v="Supplier invoice received"/>
    <x v="357"/>
    <s v="0.0"/>
    <x v="9"/>
    <x v="4"/>
  </r>
  <r>
    <n v="4930"/>
    <x v="436"/>
    <s v="Supplier invoice received"/>
    <x v="358"/>
    <s v="0.0"/>
    <x v="10"/>
    <x v="0"/>
  </r>
  <r>
    <n v="4930"/>
    <x v="436"/>
    <s v="Supplier invoice received"/>
    <x v="273"/>
    <s v="1958.74"/>
    <x v="11"/>
    <x v="3"/>
  </r>
  <r>
    <n v="4931"/>
    <x v="436"/>
    <s v="Supplier invoice received"/>
    <x v="443"/>
    <s v="0.0"/>
    <x v="9"/>
    <x v="4"/>
  </r>
  <r>
    <n v="4931"/>
    <x v="436"/>
    <s v="Supplier invoice received"/>
    <x v="444"/>
    <s v="0.0"/>
    <x v="10"/>
    <x v="0"/>
  </r>
  <r>
    <n v="4931"/>
    <x v="436"/>
    <s v="Supplier invoice received"/>
    <x v="273"/>
    <s v="748.26"/>
    <x v="11"/>
    <x v="3"/>
  </r>
  <r>
    <n v="4932"/>
    <x v="436"/>
    <s v="Supplier invoice received"/>
    <x v="366"/>
    <s v="0.0"/>
    <x v="9"/>
    <x v="4"/>
  </r>
  <r>
    <n v="4932"/>
    <x v="436"/>
    <s v="Supplier invoice received"/>
    <x v="367"/>
    <s v="0.0"/>
    <x v="10"/>
    <x v="0"/>
  </r>
  <r>
    <n v="4932"/>
    <x v="436"/>
    <s v="Supplier invoice received"/>
    <x v="273"/>
    <s v="201.5"/>
    <x v="11"/>
    <x v="3"/>
  </r>
  <r>
    <n v="4933"/>
    <x v="436"/>
    <s v="Supplier invoice received"/>
    <x v="441"/>
    <s v="0.0"/>
    <x v="9"/>
    <x v="4"/>
  </r>
  <r>
    <n v="4933"/>
    <x v="436"/>
    <s v="Supplier invoice received"/>
    <x v="442"/>
    <s v="0.0"/>
    <x v="10"/>
    <x v="0"/>
  </r>
  <r>
    <n v="4933"/>
    <x v="436"/>
    <s v="Supplier invoice received"/>
    <x v="273"/>
    <s v="179.01"/>
    <x v="11"/>
    <x v="3"/>
  </r>
  <r>
    <n v="4934"/>
    <x v="436"/>
    <s v="Supplier payment made"/>
    <x v="309"/>
    <s v="0.0"/>
    <x v="11"/>
    <x v="3"/>
  </r>
  <r>
    <n v="4934"/>
    <x v="436"/>
    <s v="Supplier payment made"/>
    <x v="273"/>
    <s v="4812.46"/>
    <x v="0"/>
    <x v="0"/>
  </r>
  <r>
    <n v="4935"/>
    <x v="436"/>
    <s v="Supplier payment made"/>
    <x v="327"/>
    <s v="0.0"/>
    <x v="11"/>
    <x v="3"/>
  </r>
  <r>
    <n v="4935"/>
    <x v="436"/>
    <s v="Supplier payment made"/>
    <x v="273"/>
    <s v="1935.04"/>
    <x v="0"/>
    <x v="0"/>
  </r>
  <r>
    <n v="4936"/>
    <x v="437"/>
    <s v="Sales invoice issued"/>
    <x v="2006"/>
    <s v="0.0"/>
    <x v="2"/>
    <x v="0"/>
  </r>
  <r>
    <n v="4936"/>
    <x v="437"/>
    <s v="Sales invoice issued"/>
    <x v="273"/>
    <s v="2401.0"/>
    <x v="3"/>
    <x v="2"/>
  </r>
  <r>
    <n v="4936"/>
    <x v="437"/>
    <s v="Sales invoice issued"/>
    <x v="273"/>
    <s v="180.08"/>
    <x v="4"/>
    <x v="3"/>
  </r>
  <r>
    <n v="4937"/>
    <x v="437"/>
    <s v="Sales invoice issued"/>
    <x v="2007"/>
    <s v="0.0"/>
    <x v="2"/>
    <x v="0"/>
  </r>
  <r>
    <n v="4937"/>
    <x v="437"/>
    <s v="Sales invoice issued"/>
    <x v="273"/>
    <s v="2149.54"/>
    <x v="3"/>
    <x v="2"/>
  </r>
  <r>
    <n v="4937"/>
    <x v="437"/>
    <s v="Sales invoice issued"/>
    <x v="273"/>
    <s v="161.22"/>
    <x v="4"/>
    <x v="3"/>
  </r>
  <r>
    <n v="4938"/>
    <x v="437"/>
    <s v="Sales invoice issued"/>
    <x v="2008"/>
    <s v="0.0"/>
    <x v="2"/>
    <x v="0"/>
  </r>
  <r>
    <n v="4938"/>
    <x v="437"/>
    <s v="Sales invoice issued"/>
    <x v="273"/>
    <s v="503.87"/>
    <x v="3"/>
    <x v="2"/>
  </r>
  <r>
    <n v="4938"/>
    <x v="437"/>
    <s v="Sales invoice issued"/>
    <x v="273"/>
    <s v="37.79"/>
    <x v="4"/>
    <x v="3"/>
  </r>
  <r>
    <n v="4939"/>
    <x v="437"/>
    <s v="Sales invoice issued"/>
    <x v="2009"/>
    <s v="0.0"/>
    <x v="2"/>
    <x v="0"/>
  </r>
  <r>
    <n v="4939"/>
    <x v="437"/>
    <s v="Sales invoice issued"/>
    <x v="273"/>
    <s v="5556.76"/>
    <x v="3"/>
    <x v="2"/>
  </r>
  <r>
    <n v="4939"/>
    <x v="437"/>
    <s v="Sales invoice issued"/>
    <x v="273"/>
    <s v="416.76"/>
    <x v="4"/>
    <x v="3"/>
  </r>
  <r>
    <n v="4940"/>
    <x v="437"/>
    <s v="Sales invoice issued"/>
    <x v="2010"/>
    <s v="0.0"/>
    <x v="2"/>
    <x v="0"/>
  </r>
  <r>
    <n v="4940"/>
    <x v="437"/>
    <s v="Sales invoice issued"/>
    <x v="273"/>
    <s v="2365.11"/>
    <x v="3"/>
    <x v="2"/>
  </r>
  <r>
    <n v="4940"/>
    <x v="437"/>
    <s v="Sales invoice issued"/>
    <x v="273"/>
    <s v="177.38"/>
    <x v="4"/>
    <x v="3"/>
  </r>
  <r>
    <n v="4941"/>
    <x v="437"/>
    <s v="Sales invoice issued"/>
    <x v="2011"/>
    <s v="0.0"/>
    <x v="2"/>
    <x v="0"/>
  </r>
  <r>
    <n v="4941"/>
    <x v="437"/>
    <s v="Sales invoice issued"/>
    <x v="273"/>
    <s v="2126.21"/>
    <x v="3"/>
    <x v="2"/>
  </r>
  <r>
    <n v="4941"/>
    <x v="437"/>
    <s v="Sales invoice issued"/>
    <x v="273"/>
    <s v="159.46"/>
    <x v="4"/>
    <x v="3"/>
  </r>
  <r>
    <n v="4942"/>
    <x v="437"/>
    <s v="Sales invoice issued"/>
    <x v="2012"/>
    <s v="0.0"/>
    <x v="2"/>
    <x v="0"/>
  </r>
  <r>
    <n v="4942"/>
    <x v="437"/>
    <s v="Sales invoice issued"/>
    <x v="273"/>
    <s v="1174.83"/>
    <x v="3"/>
    <x v="2"/>
  </r>
  <r>
    <n v="4942"/>
    <x v="437"/>
    <s v="Sales invoice issued"/>
    <x v="273"/>
    <s v="88.11"/>
    <x v="4"/>
    <x v="3"/>
  </r>
  <r>
    <n v="4943"/>
    <x v="437"/>
    <s v="Sales invoice issued"/>
    <x v="2013"/>
    <s v="0.0"/>
    <x v="2"/>
    <x v="0"/>
  </r>
  <r>
    <n v="4943"/>
    <x v="437"/>
    <s v="Sales invoice issued"/>
    <x v="273"/>
    <s v="1230.95"/>
    <x v="3"/>
    <x v="2"/>
  </r>
  <r>
    <n v="4943"/>
    <x v="437"/>
    <s v="Sales invoice issued"/>
    <x v="273"/>
    <s v="92.32"/>
    <x v="4"/>
    <x v="3"/>
  </r>
  <r>
    <n v="4944"/>
    <x v="437"/>
    <s v="Customer payment received"/>
    <x v="1761"/>
    <s v="0.0"/>
    <x v="0"/>
    <x v="0"/>
  </r>
  <r>
    <n v="4944"/>
    <x v="437"/>
    <s v="Customer payment received"/>
    <x v="273"/>
    <s v="2604.04"/>
    <x v="2"/>
    <x v="0"/>
  </r>
  <r>
    <n v="4945"/>
    <x v="437"/>
    <s v="Customer payment received"/>
    <x v="1798"/>
    <s v="0.0"/>
    <x v="0"/>
    <x v="0"/>
  </r>
  <r>
    <n v="4945"/>
    <x v="437"/>
    <s v="Customer payment received"/>
    <x v="273"/>
    <s v="3188.67"/>
    <x v="2"/>
    <x v="0"/>
  </r>
  <r>
    <n v="4946"/>
    <x v="437"/>
    <s v="Customer payment received"/>
    <x v="1874"/>
    <s v="0.0"/>
    <x v="0"/>
    <x v="0"/>
  </r>
  <r>
    <n v="4946"/>
    <x v="437"/>
    <s v="Customer payment received"/>
    <x v="273"/>
    <s v="2377.35"/>
    <x v="2"/>
    <x v="0"/>
  </r>
  <r>
    <n v="4947"/>
    <x v="437"/>
    <s v="Customer payment received"/>
    <x v="1969"/>
    <s v="0.0"/>
    <x v="0"/>
    <x v="0"/>
  </r>
  <r>
    <n v="4947"/>
    <x v="437"/>
    <s v="Customer payment received"/>
    <x v="273"/>
    <s v="267.36"/>
    <x v="2"/>
    <x v="0"/>
  </r>
  <r>
    <n v="4948"/>
    <x v="437"/>
    <s v="Customer payment received"/>
    <x v="1975"/>
    <s v="0.0"/>
    <x v="0"/>
    <x v="0"/>
  </r>
  <r>
    <n v="4948"/>
    <x v="437"/>
    <s v="Customer payment received"/>
    <x v="273"/>
    <s v="52.17"/>
    <x v="2"/>
    <x v="0"/>
  </r>
  <r>
    <n v="4949"/>
    <x v="437"/>
    <s v="Customer payment received"/>
    <x v="1999"/>
    <s v="0.0"/>
    <x v="0"/>
    <x v="0"/>
  </r>
  <r>
    <n v="4949"/>
    <x v="437"/>
    <s v="Customer payment received"/>
    <x v="273"/>
    <s v="56.12"/>
    <x v="2"/>
    <x v="0"/>
  </r>
  <r>
    <n v="4950"/>
    <x v="437"/>
    <s v="Supplier payment made"/>
    <x v="280"/>
    <s v="0.0"/>
    <x v="11"/>
    <x v="3"/>
  </r>
  <r>
    <n v="4950"/>
    <x v="437"/>
    <s v="Supplier payment made"/>
    <x v="273"/>
    <s v="2635.36"/>
    <x v="0"/>
    <x v="0"/>
  </r>
  <r>
    <n v="4951"/>
    <x v="437"/>
    <s v="Supplier payment made"/>
    <x v="392"/>
    <s v="0.0"/>
    <x v="11"/>
    <x v="3"/>
  </r>
  <r>
    <n v="4951"/>
    <x v="437"/>
    <s v="Supplier payment made"/>
    <x v="273"/>
    <s v="1023.42"/>
    <x v="0"/>
    <x v="0"/>
  </r>
  <r>
    <n v="4952"/>
    <x v="438"/>
    <s v="Sales invoice issued"/>
    <x v="2014"/>
    <s v="0.0"/>
    <x v="2"/>
    <x v="0"/>
  </r>
  <r>
    <n v="4952"/>
    <x v="438"/>
    <s v="Sales invoice issued"/>
    <x v="273"/>
    <s v="1232.4"/>
    <x v="3"/>
    <x v="2"/>
  </r>
  <r>
    <n v="4952"/>
    <x v="438"/>
    <s v="Sales invoice issued"/>
    <x v="273"/>
    <s v="92.43"/>
    <x v="4"/>
    <x v="3"/>
  </r>
  <r>
    <n v="4953"/>
    <x v="438"/>
    <s v="Sales invoice issued"/>
    <x v="2015"/>
    <s v="0.0"/>
    <x v="2"/>
    <x v="0"/>
  </r>
  <r>
    <n v="4953"/>
    <x v="438"/>
    <s v="Sales invoice issued"/>
    <x v="273"/>
    <s v="1845.91"/>
    <x v="3"/>
    <x v="2"/>
  </r>
  <r>
    <n v="4953"/>
    <x v="438"/>
    <s v="Sales invoice issued"/>
    <x v="273"/>
    <s v="138.44"/>
    <x v="4"/>
    <x v="3"/>
  </r>
  <r>
    <n v="4954"/>
    <x v="438"/>
    <s v="Customer payment received"/>
    <x v="1862"/>
    <s v="0.0"/>
    <x v="0"/>
    <x v="0"/>
  </r>
  <r>
    <n v="4954"/>
    <x v="438"/>
    <s v="Customer payment received"/>
    <x v="273"/>
    <s v="235.28"/>
    <x v="2"/>
    <x v="0"/>
  </r>
  <r>
    <n v="4955"/>
    <x v="438"/>
    <s v="Customer payment received"/>
    <x v="1662"/>
    <s v="0.0"/>
    <x v="0"/>
    <x v="0"/>
  </r>
  <r>
    <n v="4955"/>
    <x v="438"/>
    <s v="Customer payment received"/>
    <x v="273"/>
    <s v="1116.69"/>
    <x v="2"/>
    <x v="0"/>
  </r>
  <r>
    <n v="4956"/>
    <x v="438"/>
    <s v="Supplier payment made"/>
    <x v="340"/>
    <s v="0.0"/>
    <x v="11"/>
    <x v="3"/>
  </r>
  <r>
    <n v="4956"/>
    <x v="438"/>
    <s v="Supplier payment made"/>
    <x v="273"/>
    <s v="1304.62"/>
    <x v="0"/>
    <x v="0"/>
  </r>
  <r>
    <n v="4957"/>
    <x v="438"/>
    <s v="Supplier payment made"/>
    <x v="280"/>
    <s v="0.0"/>
    <x v="11"/>
    <x v="3"/>
  </r>
  <r>
    <n v="4957"/>
    <x v="438"/>
    <s v="Supplier payment made"/>
    <x v="273"/>
    <s v="2635.36"/>
    <x v="0"/>
    <x v="0"/>
  </r>
  <r>
    <n v="4958"/>
    <x v="438"/>
    <s v="Supplier payment made"/>
    <x v="392"/>
    <s v="0.0"/>
    <x v="11"/>
    <x v="3"/>
  </r>
  <r>
    <n v="4958"/>
    <x v="438"/>
    <s v="Supplier payment made"/>
    <x v="273"/>
    <s v="1023.42"/>
    <x v="0"/>
    <x v="0"/>
  </r>
  <r>
    <n v="4959"/>
    <x v="438"/>
    <s v="Supplier payment made"/>
    <x v="313"/>
    <s v="0.0"/>
    <x v="11"/>
    <x v="3"/>
  </r>
  <r>
    <n v="4959"/>
    <x v="438"/>
    <s v="Supplier payment made"/>
    <x v="273"/>
    <s v="1159.84"/>
    <x v="0"/>
    <x v="0"/>
  </r>
  <r>
    <n v="4960"/>
    <x v="438"/>
    <s v="Supplier payment made"/>
    <x v="408"/>
    <s v="0.0"/>
    <x v="11"/>
    <x v="3"/>
  </r>
  <r>
    <n v="4960"/>
    <x v="438"/>
    <s v="Supplier payment made"/>
    <x v="273"/>
    <s v="3868.8"/>
    <x v="0"/>
    <x v="0"/>
  </r>
  <r>
    <n v="4961"/>
    <x v="438"/>
    <s v="Supplier payment made"/>
    <x v="310"/>
    <s v="0.0"/>
    <x v="11"/>
    <x v="3"/>
  </r>
  <r>
    <n v="4961"/>
    <x v="438"/>
    <s v="Supplier payment made"/>
    <x v="273"/>
    <s v="276.32"/>
    <x v="0"/>
    <x v="0"/>
  </r>
  <r>
    <n v="4962"/>
    <x v="439"/>
    <s v="Sales invoice issued"/>
    <x v="2016"/>
    <s v="0.0"/>
    <x v="2"/>
    <x v="0"/>
  </r>
  <r>
    <n v="4962"/>
    <x v="439"/>
    <s v="Sales invoice issued"/>
    <x v="273"/>
    <s v="3262.29"/>
    <x v="3"/>
    <x v="2"/>
  </r>
  <r>
    <n v="4962"/>
    <x v="439"/>
    <s v="Sales invoice issued"/>
    <x v="273"/>
    <s v="244.67"/>
    <x v="4"/>
    <x v="3"/>
  </r>
  <r>
    <n v="4963"/>
    <x v="439"/>
    <s v="Sales invoice issued"/>
    <x v="2017"/>
    <s v="0.0"/>
    <x v="2"/>
    <x v="0"/>
  </r>
  <r>
    <n v="4963"/>
    <x v="439"/>
    <s v="Sales invoice issued"/>
    <x v="273"/>
    <s v="3625.25"/>
    <x v="3"/>
    <x v="2"/>
  </r>
  <r>
    <n v="4963"/>
    <x v="439"/>
    <s v="Sales invoice issued"/>
    <x v="273"/>
    <s v="271.9"/>
    <x v="4"/>
    <x v="3"/>
  </r>
  <r>
    <n v="4964"/>
    <x v="439"/>
    <s v="Sales invoice issued"/>
    <x v="2018"/>
    <s v="0.0"/>
    <x v="2"/>
    <x v="0"/>
  </r>
  <r>
    <n v="4964"/>
    <x v="439"/>
    <s v="Sales invoice issued"/>
    <x v="273"/>
    <s v="2185.79"/>
    <x v="3"/>
    <x v="2"/>
  </r>
  <r>
    <n v="4964"/>
    <x v="439"/>
    <s v="Sales invoice issued"/>
    <x v="273"/>
    <s v="163.93"/>
    <x v="4"/>
    <x v="3"/>
  </r>
  <r>
    <n v="4965"/>
    <x v="439"/>
    <s v="Sales invoice issued"/>
    <x v="2019"/>
    <s v="0.0"/>
    <x v="2"/>
    <x v="0"/>
  </r>
  <r>
    <n v="4965"/>
    <x v="439"/>
    <s v="Sales invoice issued"/>
    <x v="273"/>
    <s v="779.94"/>
    <x v="3"/>
    <x v="2"/>
  </r>
  <r>
    <n v="4965"/>
    <x v="439"/>
    <s v="Sales invoice issued"/>
    <x v="273"/>
    <s v="58.5"/>
    <x v="4"/>
    <x v="3"/>
  </r>
  <r>
    <n v="4966"/>
    <x v="439"/>
    <s v="Sales invoice issued"/>
    <x v="2020"/>
    <s v="0.0"/>
    <x v="2"/>
    <x v="0"/>
  </r>
  <r>
    <n v="4966"/>
    <x v="439"/>
    <s v="Sales invoice issued"/>
    <x v="273"/>
    <s v="1591.23"/>
    <x v="3"/>
    <x v="2"/>
  </r>
  <r>
    <n v="4966"/>
    <x v="439"/>
    <s v="Sales invoice issued"/>
    <x v="273"/>
    <s v="119.34"/>
    <x v="4"/>
    <x v="3"/>
  </r>
  <r>
    <n v="4967"/>
    <x v="439"/>
    <s v="Sales invoice issued"/>
    <x v="2021"/>
    <s v="0.0"/>
    <x v="2"/>
    <x v="0"/>
  </r>
  <r>
    <n v="4967"/>
    <x v="439"/>
    <s v="Sales invoice issued"/>
    <x v="273"/>
    <s v="459.96"/>
    <x v="3"/>
    <x v="2"/>
  </r>
  <r>
    <n v="4967"/>
    <x v="439"/>
    <s v="Sales invoice issued"/>
    <x v="273"/>
    <s v="34.5"/>
    <x v="4"/>
    <x v="3"/>
  </r>
  <r>
    <n v="4968"/>
    <x v="439"/>
    <s v="Sales invoice issued"/>
    <x v="2022"/>
    <s v="0.0"/>
    <x v="2"/>
    <x v="0"/>
  </r>
  <r>
    <n v="4968"/>
    <x v="439"/>
    <s v="Sales invoice issued"/>
    <x v="273"/>
    <s v="391.25"/>
    <x v="3"/>
    <x v="2"/>
  </r>
  <r>
    <n v="4968"/>
    <x v="439"/>
    <s v="Sales invoice issued"/>
    <x v="273"/>
    <s v="29.34"/>
    <x v="4"/>
    <x v="3"/>
  </r>
  <r>
    <n v="4969"/>
    <x v="439"/>
    <s v="Sales invoice issued"/>
    <x v="753"/>
    <s v="0.0"/>
    <x v="2"/>
    <x v="0"/>
  </r>
  <r>
    <n v="4969"/>
    <x v="439"/>
    <s v="Sales invoice issued"/>
    <x v="273"/>
    <s v="549.5"/>
    <x v="3"/>
    <x v="2"/>
  </r>
  <r>
    <n v="4969"/>
    <x v="439"/>
    <s v="Sales invoice issued"/>
    <x v="273"/>
    <s v="41.21"/>
    <x v="4"/>
    <x v="3"/>
  </r>
  <r>
    <n v="4970"/>
    <x v="439"/>
    <s v="Customer payment received"/>
    <x v="1188"/>
    <s v="0.0"/>
    <x v="0"/>
    <x v="0"/>
  </r>
  <r>
    <n v="4970"/>
    <x v="439"/>
    <s v="Customer payment received"/>
    <x v="273"/>
    <s v="288.28"/>
    <x v="2"/>
    <x v="0"/>
  </r>
  <r>
    <n v="4971"/>
    <x v="439"/>
    <s v="Customer payment received"/>
    <x v="1899"/>
    <s v="0.0"/>
    <x v="0"/>
    <x v="0"/>
  </r>
  <r>
    <n v="4971"/>
    <x v="439"/>
    <s v="Customer payment received"/>
    <x v="273"/>
    <s v="2505.68"/>
    <x v="2"/>
    <x v="0"/>
  </r>
  <r>
    <n v="4972"/>
    <x v="439"/>
    <s v="Customer payment received"/>
    <x v="2018"/>
    <s v="0.0"/>
    <x v="0"/>
    <x v="0"/>
  </r>
  <r>
    <n v="4972"/>
    <x v="439"/>
    <s v="Customer payment received"/>
    <x v="273"/>
    <s v="2349.72"/>
    <x v="2"/>
    <x v="0"/>
  </r>
  <r>
    <n v="4973"/>
    <x v="439"/>
    <s v="Supplier payment made"/>
    <x v="350"/>
    <s v="0.0"/>
    <x v="11"/>
    <x v="3"/>
  </r>
  <r>
    <n v="4973"/>
    <x v="439"/>
    <s v="Supplier payment made"/>
    <x v="273"/>
    <s v="1794.11"/>
    <x v="0"/>
    <x v="0"/>
  </r>
  <r>
    <n v="4974"/>
    <x v="440"/>
    <s v="Sales invoice issued"/>
    <x v="2023"/>
    <s v="0.0"/>
    <x v="2"/>
    <x v="0"/>
  </r>
  <r>
    <n v="4974"/>
    <x v="440"/>
    <s v="Sales invoice issued"/>
    <x v="273"/>
    <s v="1980.72"/>
    <x v="3"/>
    <x v="2"/>
  </r>
  <r>
    <n v="4974"/>
    <x v="440"/>
    <s v="Sales invoice issued"/>
    <x v="273"/>
    <s v="148.55"/>
    <x v="4"/>
    <x v="3"/>
  </r>
  <r>
    <n v="4975"/>
    <x v="440"/>
    <s v="Sales invoice issued"/>
    <x v="2024"/>
    <s v="0.0"/>
    <x v="2"/>
    <x v="0"/>
  </r>
  <r>
    <n v="4975"/>
    <x v="440"/>
    <s v="Sales invoice issued"/>
    <x v="273"/>
    <s v="1672.94"/>
    <x v="3"/>
    <x v="2"/>
  </r>
  <r>
    <n v="4975"/>
    <x v="440"/>
    <s v="Sales invoice issued"/>
    <x v="273"/>
    <s v="125.47"/>
    <x v="4"/>
    <x v="3"/>
  </r>
  <r>
    <n v="4976"/>
    <x v="440"/>
    <s v="Sales invoice issued"/>
    <x v="2025"/>
    <s v="0.0"/>
    <x v="2"/>
    <x v="0"/>
  </r>
  <r>
    <n v="4976"/>
    <x v="440"/>
    <s v="Sales invoice issued"/>
    <x v="273"/>
    <s v="2268.93"/>
    <x v="3"/>
    <x v="2"/>
  </r>
  <r>
    <n v="4976"/>
    <x v="440"/>
    <s v="Sales invoice issued"/>
    <x v="273"/>
    <s v="170.18"/>
    <x v="4"/>
    <x v="3"/>
  </r>
  <r>
    <n v="4977"/>
    <x v="440"/>
    <s v="Sales invoice issued"/>
    <x v="2026"/>
    <s v="0.0"/>
    <x v="2"/>
    <x v="0"/>
  </r>
  <r>
    <n v="4977"/>
    <x v="440"/>
    <s v="Sales invoice issued"/>
    <x v="273"/>
    <s v="1927.26"/>
    <x v="3"/>
    <x v="2"/>
  </r>
  <r>
    <n v="4977"/>
    <x v="440"/>
    <s v="Sales invoice issued"/>
    <x v="273"/>
    <s v="144.54"/>
    <x v="4"/>
    <x v="3"/>
  </r>
  <r>
    <n v="4978"/>
    <x v="440"/>
    <s v="Customer payment received"/>
    <x v="1846"/>
    <s v="0.0"/>
    <x v="0"/>
    <x v="0"/>
  </r>
  <r>
    <n v="4978"/>
    <x v="440"/>
    <s v="Customer payment received"/>
    <x v="273"/>
    <s v="4200.27"/>
    <x v="2"/>
    <x v="0"/>
  </r>
  <r>
    <n v="4979"/>
    <x v="440"/>
    <s v="Customer payment received"/>
    <x v="1890"/>
    <s v="0.0"/>
    <x v="0"/>
    <x v="0"/>
  </r>
  <r>
    <n v="4979"/>
    <x v="440"/>
    <s v="Customer payment received"/>
    <x v="273"/>
    <s v="2841.07"/>
    <x v="2"/>
    <x v="0"/>
  </r>
  <r>
    <n v="4980"/>
    <x v="440"/>
    <s v="Customer payment received"/>
    <x v="1932"/>
    <s v="0.0"/>
    <x v="0"/>
    <x v="0"/>
  </r>
  <r>
    <n v="4980"/>
    <x v="440"/>
    <s v="Customer payment received"/>
    <x v="273"/>
    <s v="1449.13"/>
    <x v="2"/>
    <x v="0"/>
  </r>
  <r>
    <n v="4981"/>
    <x v="440"/>
    <s v="Customer payment received"/>
    <x v="2027"/>
    <s v="0.0"/>
    <x v="0"/>
    <x v="0"/>
  </r>
  <r>
    <n v="4981"/>
    <x v="440"/>
    <s v="Customer payment received"/>
    <x v="273"/>
    <s v="1064.94"/>
    <x v="2"/>
    <x v="0"/>
  </r>
  <r>
    <n v="4982"/>
    <x v="440"/>
    <s v="Customer payment received"/>
    <x v="1960"/>
    <s v="0.0"/>
    <x v="0"/>
    <x v="0"/>
  </r>
  <r>
    <n v="4982"/>
    <x v="440"/>
    <s v="Customer payment received"/>
    <x v="273"/>
    <s v="2920.53"/>
    <x v="2"/>
    <x v="0"/>
  </r>
  <r>
    <n v="4983"/>
    <x v="440"/>
    <s v="Customer payment received"/>
    <x v="1977"/>
    <s v="0.0"/>
    <x v="0"/>
    <x v="0"/>
  </r>
  <r>
    <n v="4983"/>
    <x v="440"/>
    <s v="Customer payment received"/>
    <x v="273"/>
    <s v="1158.15"/>
    <x v="2"/>
    <x v="0"/>
  </r>
  <r>
    <n v="4984"/>
    <x v="440"/>
    <s v="Customer payment received"/>
    <x v="1984"/>
    <s v="0.0"/>
    <x v="0"/>
    <x v="0"/>
  </r>
  <r>
    <n v="4984"/>
    <x v="440"/>
    <s v="Customer payment received"/>
    <x v="273"/>
    <s v="3635.7"/>
    <x v="2"/>
    <x v="0"/>
  </r>
  <r>
    <n v="4985"/>
    <x v="440"/>
    <s v="Customer payment received"/>
    <x v="1994"/>
    <s v="0.0"/>
    <x v="0"/>
    <x v="0"/>
  </r>
  <r>
    <n v="4985"/>
    <x v="440"/>
    <s v="Customer payment received"/>
    <x v="273"/>
    <s v="1691.13"/>
    <x v="2"/>
    <x v="0"/>
  </r>
  <r>
    <n v="4986"/>
    <x v="440"/>
    <s v="Customer payment received"/>
    <x v="2023"/>
    <s v="0.0"/>
    <x v="0"/>
    <x v="0"/>
  </r>
  <r>
    <n v="4986"/>
    <x v="440"/>
    <s v="Customer payment received"/>
    <x v="273"/>
    <s v="2129.27"/>
    <x v="2"/>
    <x v="0"/>
  </r>
  <r>
    <n v="4987"/>
    <x v="440"/>
    <s v="Supplier invoice received"/>
    <x v="372"/>
    <s v="0.0"/>
    <x v="9"/>
    <x v="4"/>
  </r>
  <r>
    <n v="4987"/>
    <x v="440"/>
    <s v="Supplier invoice received"/>
    <x v="373"/>
    <s v="0.0"/>
    <x v="10"/>
    <x v="0"/>
  </r>
  <r>
    <n v="4987"/>
    <x v="440"/>
    <s v="Supplier invoice received"/>
    <x v="273"/>
    <s v="412.54"/>
    <x v="11"/>
    <x v="3"/>
  </r>
  <r>
    <n v="4988"/>
    <x v="441"/>
    <s v="Sales invoice issued"/>
    <x v="2028"/>
    <s v="0.0"/>
    <x v="2"/>
    <x v="0"/>
  </r>
  <r>
    <n v="4988"/>
    <x v="441"/>
    <s v="Sales invoice issued"/>
    <x v="273"/>
    <s v="4445.39"/>
    <x v="3"/>
    <x v="2"/>
  </r>
  <r>
    <n v="4988"/>
    <x v="441"/>
    <s v="Sales invoice issued"/>
    <x v="273"/>
    <s v="333.39"/>
    <x v="4"/>
    <x v="3"/>
  </r>
  <r>
    <n v="4989"/>
    <x v="441"/>
    <s v="Sales invoice issued"/>
    <x v="2029"/>
    <s v="0.0"/>
    <x v="2"/>
    <x v="0"/>
  </r>
  <r>
    <n v="4989"/>
    <x v="441"/>
    <s v="Sales invoice issued"/>
    <x v="273"/>
    <s v="2586.5"/>
    <x v="3"/>
    <x v="2"/>
  </r>
  <r>
    <n v="4989"/>
    <x v="441"/>
    <s v="Sales invoice issued"/>
    <x v="273"/>
    <s v="193.99"/>
    <x v="4"/>
    <x v="3"/>
  </r>
  <r>
    <n v="4990"/>
    <x v="441"/>
    <s v="Sales invoice issued"/>
    <x v="2030"/>
    <s v="0.0"/>
    <x v="2"/>
    <x v="0"/>
  </r>
  <r>
    <n v="4990"/>
    <x v="441"/>
    <s v="Sales invoice issued"/>
    <x v="273"/>
    <s v="3323.9"/>
    <x v="3"/>
    <x v="2"/>
  </r>
  <r>
    <n v="4990"/>
    <x v="441"/>
    <s v="Sales invoice issued"/>
    <x v="273"/>
    <s v="249.28"/>
    <x v="4"/>
    <x v="3"/>
  </r>
  <r>
    <n v="4991"/>
    <x v="441"/>
    <s v="Sales invoice issued"/>
    <x v="2031"/>
    <s v="0.0"/>
    <x v="2"/>
    <x v="0"/>
  </r>
  <r>
    <n v="4991"/>
    <x v="441"/>
    <s v="Sales invoice issued"/>
    <x v="273"/>
    <s v="1139.8"/>
    <x v="3"/>
    <x v="2"/>
  </r>
  <r>
    <n v="4991"/>
    <x v="441"/>
    <s v="Sales invoice issued"/>
    <x v="273"/>
    <s v="85.49"/>
    <x v="4"/>
    <x v="3"/>
  </r>
  <r>
    <n v="4992"/>
    <x v="441"/>
    <s v="Sales invoice issued"/>
    <x v="2032"/>
    <s v="0.0"/>
    <x v="2"/>
    <x v="0"/>
  </r>
  <r>
    <n v="4992"/>
    <x v="441"/>
    <s v="Sales invoice issued"/>
    <x v="273"/>
    <s v="2018.36"/>
    <x v="3"/>
    <x v="2"/>
  </r>
  <r>
    <n v="4992"/>
    <x v="441"/>
    <s v="Sales invoice issued"/>
    <x v="273"/>
    <s v="151.38"/>
    <x v="4"/>
    <x v="3"/>
  </r>
  <r>
    <n v="4993"/>
    <x v="441"/>
    <s v="Customer payment received"/>
    <x v="1907"/>
    <s v="0.0"/>
    <x v="0"/>
    <x v="0"/>
  </r>
  <r>
    <n v="4993"/>
    <x v="441"/>
    <s v="Customer payment received"/>
    <x v="273"/>
    <s v="2628.35"/>
    <x v="2"/>
    <x v="0"/>
  </r>
  <r>
    <n v="4994"/>
    <x v="441"/>
    <s v="Customer payment received"/>
    <x v="2033"/>
    <s v="0.0"/>
    <x v="0"/>
    <x v="0"/>
  </r>
  <r>
    <n v="4994"/>
    <x v="441"/>
    <s v="Customer payment received"/>
    <x v="273"/>
    <s v="97.4"/>
    <x v="2"/>
    <x v="0"/>
  </r>
  <r>
    <n v="4995"/>
    <x v="441"/>
    <s v="Customer payment received"/>
    <x v="1976"/>
    <s v="0.0"/>
    <x v="0"/>
    <x v="0"/>
  </r>
  <r>
    <n v="4995"/>
    <x v="441"/>
    <s v="Customer payment received"/>
    <x v="273"/>
    <s v="1659.9"/>
    <x v="2"/>
    <x v="0"/>
  </r>
  <r>
    <n v="4996"/>
    <x v="441"/>
    <s v="Customer payment received"/>
    <x v="1982"/>
    <s v="0.0"/>
    <x v="0"/>
    <x v="0"/>
  </r>
  <r>
    <n v="4996"/>
    <x v="441"/>
    <s v="Customer payment received"/>
    <x v="273"/>
    <s v="625.3"/>
    <x v="2"/>
    <x v="0"/>
  </r>
  <r>
    <n v="4997"/>
    <x v="441"/>
    <s v="Customer payment received"/>
    <x v="1996"/>
    <s v="0.0"/>
    <x v="0"/>
    <x v="0"/>
  </r>
  <r>
    <n v="4997"/>
    <x v="441"/>
    <s v="Customer payment received"/>
    <x v="273"/>
    <s v="1846.57"/>
    <x v="2"/>
    <x v="0"/>
  </r>
  <r>
    <n v="4998"/>
    <x v="441"/>
    <s v="Supplier invoice received"/>
    <x v="307"/>
    <s v="0.0"/>
    <x v="9"/>
    <x v="4"/>
  </r>
  <r>
    <n v="4998"/>
    <x v="441"/>
    <s v="Supplier invoice received"/>
    <x v="308"/>
    <s v="0.0"/>
    <x v="10"/>
    <x v="0"/>
  </r>
  <r>
    <n v="4998"/>
    <x v="441"/>
    <s v="Supplier invoice received"/>
    <x v="273"/>
    <s v="2093.28"/>
    <x v="11"/>
    <x v="3"/>
  </r>
  <r>
    <n v="4999"/>
    <x v="441"/>
    <s v="Supplier invoice received"/>
    <x v="303"/>
    <s v="0.0"/>
    <x v="9"/>
    <x v="4"/>
  </r>
  <r>
    <n v="4999"/>
    <x v="441"/>
    <s v="Supplier invoice received"/>
    <x v="304"/>
    <s v="0.0"/>
    <x v="10"/>
    <x v="0"/>
  </r>
  <r>
    <n v="4999"/>
    <x v="441"/>
    <s v="Supplier invoice received"/>
    <x v="273"/>
    <s v="550.4"/>
    <x v="11"/>
    <x v="3"/>
  </r>
  <r>
    <n v="5000"/>
    <x v="441"/>
    <s v="Supplier invoice received"/>
    <x v="359"/>
    <s v="0.0"/>
    <x v="9"/>
    <x v="4"/>
  </r>
  <r>
    <n v="5000"/>
    <x v="441"/>
    <s v="Supplier invoice received"/>
    <x v="360"/>
    <s v="0.0"/>
    <x v="10"/>
    <x v="0"/>
  </r>
  <r>
    <n v="5000"/>
    <x v="441"/>
    <s v="Supplier invoice received"/>
    <x v="273"/>
    <s v="1591.54"/>
    <x v="11"/>
    <x v="3"/>
  </r>
  <r>
    <n v="5001"/>
    <x v="441"/>
    <s v="Supplier invoice received"/>
    <x v="297"/>
    <s v="0.0"/>
    <x v="9"/>
    <x v="4"/>
  </r>
  <r>
    <n v="5001"/>
    <x v="441"/>
    <s v="Supplier invoice received"/>
    <x v="298"/>
    <s v="0.0"/>
    <x v="10"/>
    <x v="0"/>
  </r>
  <r>
    <n v="5001"/>
    <x v="441"/>
    <s v="Supplier invoice received"/>
    <x v="273"/>
    <s v="3528.97"/>
    <x v="11"/>
    <x v="3"/>
  </r>
  <r>
    <n v="5002"/>
    <x v="441"/>
    <s v="Supplier invoice received"/>
    <x v="405"/>
    <s v="0.0"/>
    <x v="9"/>
    <x v="4"/>
  </r>
  <r>
    <n v="5002"/>
    <x v="441"/>
    <s v="Supplier invoice received"/>
    <x v="406"/>
    <s v="0.0"/>
    <x v="10"/>
    <x v="0"/>
  </r>
  <r>
    <n v="5002"/>
    <x v="441"/>
    <s v="Supplier invoice received"/>
    <x v="273"/>
    <s v="2635.36"/>
    <x v="11"/>
    <x v="3"/>
  </r>
  <r>
    <n v="5003"/>
    <x v="441"/>
    <s v="Supplier invoice received"/>
    <x v="443"/>
    <s v="0.0"/>
    <x v="9"/>
    <x v="4"/>
  </r>
  <r>
    <n v="5003"/>
    <x v="441"/>
    <s v="Supplier invoice received"/>
    <x v="444"/>
    <s v="0.0"/>
    <x v="10"/>
    <x v="0"/>
  </r>
  <r>
    <n v="5003"/>
    <x v="441"/>
    <s v="Supplier invoice received"/>
    <x v="273"/>
    <s v="748.26"/>
    <x v="11"/>
    <x v="3"/>
  </r>
  <r>
    <n v="5004"/>
    <x v="441"/>
    <s v="Supplier invoice received"/>
    <x v="366"/>
    <s v="0.0"/>
    <x v="9"/>
    <x v="4"/>
  </r>
  <r>
    <n v="5004"/>
    <x v="441"/>
    <s v="Supplier invoice received"/>
    <x v="367"/>
    <s v="0.0"/>
    <x v="10"/>
    <x v="0"/>
  </r>
  <r>
    <n v="5004"/>
    <x v="441"/>
    <s v="Supplier invoice received"/>
    <x v="273"/>
    <s v="201.5"/>
    <x v="11"/>
    <x v="3"/>
  </r>
  <r>
    <n v="5005"/>
    <x v="441"/>
    <s v="Supplier payment made"/>
    <x v="309"/>
    <s v="0.0"/>
    <x v="11"/>
    <x v="3"/>
  </r>
  <r>
    <n v="5005"/>
    <x v="441"/>
    <s v="Supplier payment made"/>
    <x v="273"/>
    <s v="4812.46"/>
    <x v="0"/>
    <x v="0"/>
  </r>
  <r>
    <n v="5006"/>
    <x v="441"/>
    <s v="Supplier payment made"/>
    <x v="407"/>
    <s v="0.0"/>
    <x v="11"/>
    <x v="3"/>
  </r>
  <r>
    <n v="5006"/>
    <x v="441"/>
    <s v="Supplier payment made"/>
    <x v="273"/>
    <s v="201.5"/>
    <x v="0"/>
    <x v="0"/>
  </r>
  <r>
    <n v="5007"/>
    <x v="441"/>
    <s v="Supplier payment made"/>
    <x v="292"/>
    <s v="0.0"/>
    <x v="11"/>
    <x v="3"/>
  </r>
  <r>
    <n v="5007"/>
    <x v="441"/>
    <s v="Supplier payment made"/>
    <x v="273"/>
    <s v="1766.46"/>
    <x v="0"/>
    <x v="0"/>
  </r>
  <r>
    <n v="5008"/>
    <x v="441"/>
    <s v="Supplier payment made"/>
    <x v="313"/>
    <s v="0.0"/>
    <x v="11"/>
    <x v="3"/>
  </r>
  <r>
    <n v="5008"/>
    <x v="441"/>
    <s v="Supplier payment made"/>
    <x v="273"/>
    <s v="1159.84"/>
    <x v="0"/>
    <x v="0"/>
  </r>
  <r>
    <n v="5009"/>
    <x v="441"/>
    <s v="Supplier payment made"/>
    <x v="504"/>
    <s v="0.0"/>
    <x v="11"/>
    <x v="3"/>
  </r>
  <r>
    <n v="5009"/>
    <x v="441"/>
    <s v="Supplier payment made"/>
    <x v="273"/>
    <s v="1958.74"/>
    <x v="0"/>
    <x v="0"/>
  </r>
  <r>
    <n v="5010"/>
    <x v="441"/>
    <s v="Supplier payment made"/>
    <x v="466"/>
    <s v="0.0"/>
    <x v="11"/>
    <x v="3"/>
  </r>
  <r>
    <n v="5010"/>
    <x v="441"/>
    <s v="Supplier payment made"/>
    <x v="273"/>
    <s v="748.26"/>
    <x v="0"/>
    <x v="0"/>
  </r>
  <r>
    <n v="5011"/>
    <x v="442"/>
    <s v="Sales invoice issued"/>
    <x v="2034"/>
    <s v="0.0"/>
    <x v="2"/>
    <x v="0"/>
  </r>
  <r>
    <n v="5011"/>
    <x v="442"/>
    <s v="Sales invoice issued"/>
    <x v="273"/>
    <s v="2574.87"/>
    <x v="3"/>
    <x v="2"/>
  </r>
  <r>
    <n v="5011"/>
    <x v="442"/>
    <s v="Sales invoice issued"/>
    <x v="273"/>
    <s v="193.12"/>
    <x v="4"/>
    <x v="3"/>
  </r>
  <r>
    <n v="5012"/>
    <x v="442"/>
    <s v="Sales invoice issued"/>
    <x v="2035"/>
    <s v="0.0"/>
    <x v="2"/>
    <x v="0"/>
  </r>
  <r>
    <n v="5012"/>
    <x v="442"/>
    <s v="Sales invoice issued"/>
    <x v="273"/>
    <s v="4644.31"/>
    <x v="3"/>
    <x v="2"/>
  </r>
  <r>
    <n v="5012"/>
    <x v="442"/>
    <s v="Sales invoice issued"/>
    <x v="273"/>
    <s v="348.33"/>
    <x v="4"/>
    <x v="3"/>
  </r>
  <r>
    <n v="5013"/>
    <x v="442"/>
    <s v="Sales invoice issued"/>
    <x v="2036"/>
    <s v="0.0"/>
    <x v="2"/>
    <x v="0"/>
  </r>
  <r>
    <n v="5013"/>
    <x v="442"/>
    <s v="Sales invoice issued"/>
    <x v="273"/>
    <s v="2202.86"/>
    <x v="3"/>
    <x v="2"/>
  </r>
  <r>
    <n v="5013"/>
    <x v="442"/>
    <s v="Sales invoice issued"/>
    <x v="273"/>
    <s v="165.21"/>
    <x v="4"/>
    <x v="3"/>
  </r>
  <r>
    <n v="5014"/>
    <x v="442"/>
    <s v="Sales invoice issued"/>
    <x v="2037"/>
    <s v="0.0"/>
    <x v="2"/>
    <x v="0"/>
  </r>
  <r>
    <n v="5014"/>
    <x v="442"/>
    <s v="Sales invoice issued"/>
    <x v="273"/>
    <s v="1757.13"/>
    <x v="3"/>
    <x v="2"/>
  </r>
  <r>
    <n v="5014"/>
    <x v="442"/>
    <s v="Sales invoice issued"/>
    <x v="273"/>
    <s v="131.79"/>
    <x v="4"/>
    <x v="3"/>
  </r>
  <r>
    <n v="5015"/>
    <x v="442"/>
    <s v="Sales invoice issued"/>
    <x v="2038"/>
    <s v="0.0"/>
    <x v="2"/>
    <x v="0"/>
  </r>
  <r>
    <n v="5015"/>
    <x v="442"/>
    <s v="Sales invoice issued"/>
    <x v="273"/>
    <s v="683.61"/>
    <x v="3"/>
    <x v="2"/>
  </r>
  <r>
    <n v="5015"/>
    <x v="442"/>
    <s v="Sales invoice issued"/>
    <x v="273"/>
    <s v="51.27"/>
    <x v="4"/>
    <x v="3"/>
  </r>
  <r>
    <n v="5016"/>
    <x v="442"/>
    <s v="Customer payment received"/>
    <x v="1946"/>
    <s v="0.0"/>
    <x v="0"/>
    <x v="0"/>
  </r>
  <r>
    <n v="5016"/>
    <x v="442"/>
    <s v="Customer payment received"/>
    <x v="273"/>
    <s v="4775.15"/>
    <x v="2"/>
    <x v="0"/>
  </r>
  <r>
    <n v="5017"/>
    <x v="442"/>
    <s v="Customer payment received"/>
    <x v="2001"/>
    <s v="0.0"/>
    <x v="0"/>
    <x v="0"/>
  </r>
  <r>
    <n v="5017"/>
    <x v="442"/>
    <s v="Customer payment received"/>
    <x v="273"/>
    <s v="634.93"/>
    <x v="2"/>
    <x v="0"/>
  </r>
  <r>
    <n v="5018"/>
    <x v="442"/>
    <s v="Customer payment received"/>
    <x v="2036"/>
    <s v="0.0"/>
    <x v="0"/>
    <x v="0"/>
  </r>
  <r>
    <n v="5018"/>
    <x v="442"/>
    <s v="Customer payment received"/>
    <x v="273"/>
    <s v="2368.07"/>
    <x v="2"/>
    <x v="0"/>
  </r>
  <r>
    <n v="5019"/>
    <x v="442"/>
    <s v="Supplier payment made"/>
    <x v="393"/>
    <s v="0.0"/>
    <x v="11"/>
    <x v="3"/>
  </r>
  <r>
    <n v="5019"/>
    <x v="442"/>
    <s v="Supplier payment made"/>
    <x v="273"/>
    <s v="412.54"/>
    <x v="0"/>
    <x v="0"/>
  </r>
  <r>
    <n v="5020"/>
    <x v="442"/>
    <s v="Supplier payment made"/>
    <x v="350"/>
    <s v="0.0"/>
    <x v="11"/>
    <x v="3"/>
  </r>
  <r>
    <n v="5020"/>
    <x v="442"/>
    <s v="Supplier payment made"/>
    <x v="273"/>
    <s v="1794.11"/>
    <x v="0"/>
    <x v="0"/>
  </r>
  <r>
    <n v="5021"/>
    <x v="442"/>
    <s v="Supplier payment made"/>
    <x v="336"/>
    <s v="0.0"/>
    <x v="11"/>
    <x v="3"/>
  </r>
  <r>
    <n v="5021"/>
    <x v="442"/>
    <s v="Supplier payment made"/>
    <x v="273"/>
    <s v="2093.28"/>
    <x v="0"/>
    <x v="0"/>
  </r>
  <r>
    <n v="5022"/>
    <x v="443"/>
    <s v="Sales invoice issued"/>
    <x v="2039"/>
    <s v="0.0"/>
    <x v="2"/>
    <x v="0"/>
  </r>
  <r>
    <n v="5022"/>
    <x v="443"/>
    <s v="Sales invoice issued"/>
    <x v="273"/>
    <s v="1017.13"/>
    <x v="3"/>
    <x v="2"/>
  </r>
  <r>
    <n v="5022"/>
    <x v="443"/>
    <s v="Sales invoice issued"/>
    <x v="273"/>
    <s v="76.29"/>
    <x v="4"/>
    <x v="3"/>
  </r>
  <r>
    <n v="5023"/>
    <x v="443"/>
    <s v="Sales invoice issued"/>
    <x v="2040"/>
    <s v="0.0"/>
    <x v="2"/>
    <x v="0"/>
  </r>
  <r>
    <n v="5023"/>
    <x v="443"/>
    <s v="Sales invoice issued"/>
    <x v="273"/>
    <s v="3952.89"/>
    <x v="3"/>
    <x v="2"/>
  </r>
  <r>
    <n v="5023"/>
    <x v="443"/>
    <s v="Sales invoice issued"/>
    <x v="273"/>
    <s v="296.47"/>
    <x v="4"/>
    <x v="3"/>
  </r>
  <r>
    <n v="5024"/>
    <x v="443"/>
    <s v="Sales invoice issued"/>
    <x v="2041"/>
    <s v="0.0"/>
    <x v="2"/>
    <x v="0"/>
  </r>
  <r>
    <n v="5024"/>
    <x v="443"/>
    <s v="Sales invoice issued"/>
    <x v="273"/>
    <s v="2621.42"/>
    <x v="3"/>
    <x v="2"/>
  </r>
  <r>
    <n v="5024"/>
    <x v="443"/>
    <s v="Sales invoice issued"/>
    <x v="273"/>
    <s v="196.6"/>
    <x v="4"/>
    <x v="3"/>
  </r>
  <r>
    <n v="5025"/>
    <x v="443"/>
    <s v="Sales invoice issued"/>
    <x v="2042"/>
    <s v="0.0"/>
    <x v="2"/>
    <x v="0"/>
  </r>
  <r>
    <n v="5025"/>
    <x v="443"/>
    <s v="Sales invoice issued"/>
    <x v="273"/>
    <s v="1315.86"/>
    <x v="3"/>
    <x v="2"/>
  </r>
  <r>
    <n v="5025"/>
    <x v="443"/>
    <s v="Sales invoice issued"/>
    <x v="273"/>
    <s v="98.69"/>
    <x v="4"/>
    <x v="3"/>
  </r>
  <r>
    <n v="5026"/>
    <x v="443"/>
    <s v="Sales invoice issued"/>
    <x v="2043"/>
    <s v="0.0"/>
    <x v="2"/>
    <x v="0"/>
  </r>
  <r>
    <n v="5026"/>
    <x v="443"/>
    <s v="Sales invoice issued"/>
    <x v="273"/>
    <s v="793.48"/>
    <x v="3"/>
    <x v="2"/>
  </r>
  <r>
    <n v="5026"/>
    <x v="443"/>
    <s v="Sales invoice issued"/>
    <x v="273"/>
    <s v="59.51"/>
    <x v="4"/>
    <x v="3"/>
  </r>
  <r>
    <n v="5027"/>
    <x v="443"/>
    <s v="Sales invoice issued"/>
    <x v="2044"/>
    <s v="0.0"/>
    <x v="2"/>
    <x v="0"/>
  </r>
  <r>
    <n v="5027"/>
    <x v="443"/>
    <s v="Sales invoice issued"/>
    <x v="273"/>
    <s v="3026.68"/>
    <x v="3"/>
    <x v="2"/>
  </r>
  <r>
    <n v="5027"/>
    <x v="443"/>
    <s v="Sales invoice issued"/>
    <x v="273"/>
    <s v="227.0"/>
    <x v="4"/>
    <x v="3"/>
  </r>
  <r>
    <n v="5028"/>
    <x v="443"/>
    <s v="Sales invoice issued"/>
    <x v="2045"/>
    <s v="0.0"/>
    <x v="2"/>
    <x v="0"/>
  </r>
  <r>
    <n v="5028"/>
    <x v="443"/>
    <s v="Sales invoice issued"/>
    <x v="273"/>
    <s v="2715.46"/>
    <x v="3"/>
    <x v="2"/>
  </r>
  <r>
    <n v="5028"/>
    <x v="443"/>
    <s v="Sales invoice issued"/>
    <x v="273"/>
    <s v="203.65"/>
    <x v="4"/>
    <x v="3"/>
  </r>
  <r>
    <n v="5029"/>
    <x v="443"/>
    <s v="Sales invoice issued"/>
    <x v="2046"/>
    <s v="0.0"/>
    <x v="2"/>
    <x v="0"/>
  </r>
  <r>
    <n v="5029"/>
    <x v="443"/>
    <s v="Sales invoice issued"/>
    <x v="273"/>
    <s v="3441.58"/>
    <x v="3"/>
    <x v="2"/>
  </r>
  <r>
    <n v="5029"/>
    <x v="443"/>
    <s v="Sales invoice issued"/>
    <x v="273"/>
    <s v="258.12"/>
    <x v="4"/>
    <x v="3"/>
  </r>
  <r>
    <n v="5030"/>
    <x v="443"/>
    <s v="Customer payment received"/>
    <x v="1870"/>
    <s v="0.0"/>
    <x v="0"/>
    <x v="0"/>
  </r>
  <r>
    <n v="5030"/>
    <x v="443"/>
    <s v="Customer payment received"/>
    <x v="273"/>
    <s v="3521.54"/>
    <x v="2"/>
    <x v="0"/>
  </r>
  <r>
    <n v="5031"/>
    <x v="443"/>
    <s v="Customer payment received"/>
    <x v="1896"/>
    <s v="0.0"/>
    <x v="0"/>
    <x v="0"/>
  </r>
  <r>
    <n v="5031"/>
    <x v="443"/>
    <s v="Customer payment received"/>
    <x v="273"/>
    <s v="1352.01"/>
    <x v="2"/>
    <x v="0"/>
  </r>
  <r>
    <n v="5032"/>
    <x v="443"/>
    <s v="Customer payment received"/>
    <x v="1923"/>
    <s v="0.0"/>
    <x v="0"/>
    <x v="0"/>
  </r>
  <r>
    <n v="5032"/>
    <x v="443"/>
    <s v="Customer payment received"/>
    <x v="273"/>
    <s v="3672.97"/>
    <x v="2"/>
    <x v="0"/>
  </r>
  <r>
    <n v="5033"/>
    <x v="443"/>
    <s v="Customer payment received"/>
    <x v="406"/>
    <s v="0.0"/>
    <x v="0"/>
    <x v="0"/>
  </r>
  <r>
    <n v="5033"/>
    <x v="443"/>
    <s v="Customer payment received"/>
    <x v="273"/>
    <s v="183.86"/>
    <x v="2"/>
    <x v="0"/>
  </r>
  <r>
    <n v="5034"/>
    <x v="443"/>
    <s v="Customer payment received"/>
    <x v="1961"/>
    <s v="0.0"/>
    <x v="0"/>
    <x v="0"/>
  </r>
  <r>
    <n v="5034"/>
    <x v="443"/>
    <s v="Customer payment received"/>
    <x v="273"/>
    <s v="5169.56"/>
    <x v="2"/>
    <x v="0"/>
  </r>
  <r>
    <n v="5035"/>
    <x v="443"/>
    <s v="Customer payment received"/>
    <x v="2012"/>
    <s v="0.0"/>
    <x v="0"/>
    <x v="0"/>
  </r>
  <r>
    <n v="5035"/>
    <x v="443"/>
    <s v="Customer payment received"/>
    <x v="273"/>
    <s v="1262.94"/>
    <x v="2"/>
    <x v="0"/>
  </r>
  <r>
    <n v="5036"/>
    <x v="443"/>
    <s v="Customer payment received"/>
    <x v="2025"/>
    <s v="0.0"/>
    <x v="0"/>
    <x v="0"/>
  </r>
  <r>
    <n v="5036"/>
    <x v="443"/>
    <s v="Customer payment received"/>
    <x v="273"/>
    <s v="2439.11"/>
    <x v="2"/>
    <x v="0"/>
  </r>
  <r>
    <n v="5037"/>
    <x v="443"/>
    <s v="Customer payment received"/>
    <x v="2028"/>
    <s v="0.0"/>
    <x v="0"/>
    <x v="0"/>
  </r>
  <r>
    <n v="5037"/>
    <x v="443"/>
    <s v="Customer payment received"/>
    <x v="273"/>
    <s v="4778.78"/>
    <x v="2"/>
    <x v="0"/>
  </r>
  <r>
    <n v="5038"/>
    <x v="443"/>
    <s v="Customer payment received"/>
    <x v="2034"/>
    <s v="0.0"/>
    <x v="0"/>
    <x v="0"/>
  </r>
  <r>
    <n v="5038"/>
    <x v="443"/>
    <s v="Customer payment received"/>
    <x v="273"/>
    <s v="2767.99"/>
    <x v="2"/>
    <x v="0"/>
  </r>
  <r>
    <n v="5039"/>
    <x v="443"/>
    <s v="Customer payment received"/>
    <x v="2035"/>
    <s v="0.0"/>
    <x v="0"/>
    <x v="0"/>
  </r>
  <r>
    <n v="5039"/>
    <x v="443"/>
    <s v="Customer payment received"/>
    <x v="273"/>
    <s v="4992.64"/>
    <x v="2"/>
    <x v="0"/>
  </r>
  <r>
    <n v="5040"/>
    <x v="443"/>
    <s v="Supplier payment made"/>
    <x v="309"/>
    <s v="0.0"/>
    <x v="11"/>
    <x v="3"/>
  </r>
  <r>
    <n v="5040"/>
    <x v="443"/>
    <s v="Supplier payment made"/>
    <x v="273"/>
    <s v="4812.46"/>
    <x v="0"/>
    <x v="0"/>
  </r>
  <r>
    <n v="5041"/>
    <x v="443"/>
    <s v="Supplier payment made"/>
    <x v="407"/>
    <s v="0.0"/>
    <x v="11"/>
    <x v="3"/>
  </r>
  <r>
    <n v="5041"/>
    <x v="443"/>
    <s v="Supplier payment made"/>
    <x v="273"/>
    <s v="201.5"/>
    <x v="0"/>
    <x v="0"/>
  </r>
  <r>
    <n v="5042"/>
    <x v="444"/>
    <s v="Payroll processed"/>
    <x v="2047"/>
    <s v="0.0"/>
    <x v="5"/>
    <x v="4"/>
  </r>
  <r>
    <n v="5042"/>
    <x v="444"/>
    <s v="Payroll processed"/>
    <x v="2048"/>
    <s v="0.0"/>
    <x v="6"/>
    <x v="4"/>
  </r>
  <r>
    <n v="5042"/>
    <x v="444"/>
    <s v="Payroll processed"/>
    <x v="273"/>
    <s v="18218.72"/>
    <x v="0"/>
    <x v="0"/>
  </r>
  <r>
    <n v="5042"/>
    <x v="444"/>
    <s v="Payroll processed"/>
    <x v="273"/>
    <s v="4352.58"/>
    <x v="7"/>
    <x v="3"/>
  </r>
  <r>
    <n v="5042"/>
    <x v="444"/>
    <s v="Payroll processed"/>
    <x v="273"/>
    <s v="902.86"/>
    <x v="8"/>
    <x v="3"/>
  </r>
  <r>
    <n v="5043"/>
    <x v="444"/>
    <s v="Sales invoice issued"/>
    <x v="2049"/>
    <s v="0.0"/>
    <x v="2"/>
    <x v="0"/>
  </r>
  <r>
    <n v="5043"/>
    <x v="444"/>
    <s v="Sales invoice issued"/>
    <x v="273"/>
    <s v="13.81"/>
    <x v="3"/>
    <x v="2"/>
  </r>
  <r>
    <n v="5043"/>
    <x v="444"/>
    <s v="Sales invoice issued"/>
    <x v="273"/>
    <s v="1.04"/>
    <x v="4"/>
    <x v="3"/>
  </r>
  <r>
    <n v="5044"/>
    <x v="444"/>
    <s v="Sales invoice issued"/>
    <x v="2050"/>
    <s v="0.0"/>
    <x v="2"/>
    <x v="0"/>
  </r>
  <r>
    <n v="5044"/>
    <x v="444"/>
    <s v="Sales invoice issued"/>
    <x v="273"/>
    <s v="6589.9"/>
    <x v="3"/>
    <x v="2"/>
  </r>
  <r>
    <n v="5044"/>
    <x v="444"/>
    <s v="Sales invoice issued"/>
    <x v="273"/>
    <s v="494.24"/>
    <x v="4"/>
    <x v="3"/>
  </r>
  <r>
    <n v="5045"/>
    <x v="444"/>
    <s v="Sales invoice issued"/>
    <x v="2051"/>
    <s v="0.0"/>
    <x v="2"/>
    <x v="0"/>
  </r>
  <r>
    <n v="5045"/>
    <x v="444"/>
    <s v="Sales invoice issued"/>
    <x v="273"/>
    <s v="2484.03"/>
    <x v="3"/>
    <x v="2"/>
  </r>
  <r>
    <n v="5045"/>
    <x v="444"/>
    <s v="Sales invoice issued"/>
    <x v="273"/>
    <s v="186.31"/>
    <x v="4"/>
    <x v="3"/>
  </r>
  <r>
    <n v="5046"/>
    <x v="444"/>
    <s v="Sales invoice issued"/>
    <x v="2052"/>
    <s v="0.0"/>
    <x v="2"/>
    <x v="0"/>
  </r>
  <r>
    <n v="5046"/>
    <x v="444"/>
    <s v="Sales invoice issued"/>
    <x v="273"/>
    <s v="1191.95"/>
    <x v="3"/>
    <x v="2"/>
  </r>
  <r>
    <n v="5046"/>
    <x v="444"/>
    <s v="Sales invoice issued"/>
    <x v="273"/>
    <s v="89.39"/>
    <x v="4"/>
    <x v="3"/>
  </r>
  <r>
    <n v="5047"/>
    <x v="444"/>
    <s v="Sales invoice issued"/>
    <x v="2053"/>
    <s v="0.0"/>
    <x v="2"/>
    <x v="0"/>
  </r>
  <r>
    <n v="5047"/>
    <x v="444"/>
    <s v="Sales invoice issued"/>
    <x v="273"/>
    <s v="1275.02"/>
    <x v="3"/>
    <x v="2"/>
  </r>
  <r>
    <n v="5047"/>
    <x v="444"/>
    <s v="Sales invoice issued"/>
    <x v="273"/>
    <s v="95.62"/>
    <x v="4"/>
    <x v="3"/>
  </r>
  <r>
    <n v="5048"/>
    <x v="444"/>
    <s v="Sales invoice issued"/>
    <x v="2054"/>
    <s v="0.0"/>
    <x v="2"/>
    <x v="0"/>
  </r>
  <r>
    <n v="5048"/>
    <x v="444"/>
    <s v="Sales invoice issued"/>
    <x v="273"/>
    <s v="2674.18"/>
    <x v="3"/>
    <x v="2"/>
  </r>
  <r>
    <n v="5048"/>
    <x v="444"/>
    <s v="Sales invoice issued"/>
    <x v="273"/>
    <s v="200.57"/>
    <x v="4"/>
    <x v="3"/>
  </r>
  <r>
    <n v="5049"/>
    <x v="444"/>
    <s v="Sales invoice issued"/>
    <x v="2055"/>
    <s v="0.0"/>
    <x v="2"/>
    <x v="0"/>
  </r>
  <r>
    <n v="5049"/>
    <x v="444"/>
    <s v="Sales invoice issued"/>
    <x v="273"/>
    <s v="3054.73"/>
    <x v="3"/>
    <x v="2"/>
  </r>
  <r>
    <n v="5049"/>
    <x v="444"/>
    <s v="Sales invoice issued"/>
    <x v="273"/>
    <s v="229.1"/>
    <x v="4"/>
    <x v="3"/>
  </r>
  <r>
    <n v="5050"/>
    <x v="444"/>
    <s v="Sales invoice issued"/>
    <x v="2056"/>
    <s v="0.0"/>
    <x v="2"/>
    <x v="0"/>
  </r>
  <r>
    <n v="5050"/>
    <x v="444"/>
    <s v="Sales invoice issued"/>
    <x v="273"/>
    <s v="1798.62"/>
    <x v="3"/>
    <x v="2"/>
  </r>
  <r>
    <n v="5050"/>
    <x v="444"/>
    <s v="Sales invoice issued"/>
    <x v="273"/>
    <s v="134.89"/>
    <x v="4"/>
    <x v="3"/>
  </r>
  <r>
    <n v="5051"/>
    <x v="444"/>
    <s v="Customer payment received"/>
    <x v="1929"/>
    <s v="0.0"/>
    <x v="0"/>
    <x v="0"/>
  </r>
  <r>
    <n v="5051"/>
    <x v="444"/>
    <s v="Customer payment received"/>
    <x v="273"/>
    <s v="1783.71"/>
    <x v="2"/>
    <x v="0"/>
  </r>
  <r>
    <n v="5052"/>
    <x v="444"/>
    <s v="Customer payment received"/>
    <x v="1954"/>
    <s v="0.0"/>
    <x v="0"/>
    <x v="0"/>
  </r>
  <r>
    <n v="5052"/>
    <x v="444"/>
    <s v="Customer payment received"/>
    <x v="273"/>
    <s v="1913.89"/>
    <x v="2"/>
    <x v="0"/>
  </r>
  <r>
    <n v="5053"/>
    <x v="444"/>
    <s v="Customer payment received"/>
    <x v="1989"/>
    <s v="0.0"/>
    <x v="0"/>
    <x v="0"/>
  </r>
  <r>
    <n v="5053"/>
    <x v="444"/>
    <s v="Customer payment received"/>
    <x v="273"/>
    <s v="312.59"/>
    <x v="2"/>
    <x v="0"/>
  </r>
  <r>
    <n v="5054"/>
    <x v="444"/>
    <s v="Customer payment received"/>
    <x v="2039"/>
    <s v="0.0"/>
    <x v="0"/>
    <x v="0"/>
  </r>
  <r>
    <n v="5054"/>
    <x v="444"/>
    <s v="Customer payment received"/>
    <x v="273"/>
    <s v="1093.42"/>
    <x v="2"/>
    <x v="0"/>
  </r>
  <r>
    <n v="5055"/>
    <x v="444"/>
    <s v="Customer payment received"/>
    <x v="2054"/>
    <s v="0.0"/>
    <x v="0"/>
    <x v="0"/>
  </r>
  <r>
    <n v="5055"/>
    <x v="444"/>
    <s v="Customer payment received"/>
    <x v="273"/>
    <s v="2874.75"/>
    <x v="2"/>
    <x v="0"/>
  </r>
  <r>
    <n v="5056"/>
    <x v="445"/>
    <s v="Sales invoice issued"/>
    <x v="2057"/>
    <s v="0.0"/>
    <x v="2"/>
    <x v="0"/>
  </r>
  <r>
    <n v="5056"/>
    <x v="445"/>
    <s v="Sales invoice issued"/>
    <x v="273"/>
    <s v="710.71"/>
    <x v="3"/>
    <x v="2"/>
  </r>
  <r>
    <n v="5056"/>
    <x v="445"/>
    <s v="Sales invoice issued"/>
    <x v="273"/>
    <s v="53.3"/>
    <x v="4"/>
    <x v="3"/>
  </r>
  <r>
    <n v="5057"/>
    <x v="445"/>
    <s v="Sales invoice issued"/>
    <x v="2058"/>
    <s v="0.0"/>
    <x v="2"/>
    <x v="0"/>
  </r>
  <r>
    <n v="5057"/>
    <x v="445"/>
    <s v="Sales invoice issued"/>
    <x v="273"/>
    <s v="844.05"/>
    <x v="3"/>
    <x v="2"/>
  </r>
  <r>
    <n v="5057"/>
    <x v="445"/>
    <s v="Sales invoice issued"/>
    <x v="273"/>
    <s v="63.3"/>
    <x v="4"/>
    <x v="3"/>
  </r>
  <r>
    <n v="5058"/>
    <x v="445"/>
    <s v="Sales invoice issued"/>
    <x v="2059"/>
    <s v="0.0"/>
    <x v="2"/>
    <x v="0"/>
  </r>
  <r>
    <n v="5058"/>
    <x v="445"/>
    <s v="Sales invoice issued"/>
    <x v="273"/>
    <s v="3477.84"/>
    <x v="3"/>
    <x v="2"/>
  </r>
  <r>
    <n v="5058"/>
    <x v="445"/>
    <s v="Sales invoice issued"/>
    <x v="273"/>
    <s v="260.84"/>
    <x v="4"/>
    <x v="3"/>
  </r>
  <r>
    <n v="5059"/>
    <x v="445"/>
    <s v="Sales invoice issued"/>
    <x v="2060"/>
    <s v="0.0"/>
    <x v="2"/>
    <x v="0"/>
  </r>
  <r>
    <n v="5059"/>
    <x v="445"/>
    <s v="Sales invoice issued"/>
    <x v="273"/>
    <s v="2119.2"/>
    <x v="3"/>
    <x v="2"/>
  </r>
  <r>
    <n v="5059"/>
    <x v="445"/>
    <s v="Sales invoice issued"/>
    <x v="273"/>
    <s v="158.93"/>
    <x v="4"/>
    <x v="3"/>
  </r>
  <r>
    <n v="5060"/>
    <x v="445"/>
    <s v="Sales invoice issued"/>
    <x v="2061"/>
    <s v="0.0"/>
    <x v="2"/>
    <x v="0"/>
  </r>
  <r>
    <n v="5060"/>
    <x v="445"/>
    <s v="Sales invoice issued"/>
    <x v="273"/>
    <s v="203.72"/>
    <x v="3"/>
    <x v="2"/>
  </r>
  <r>
    <n v="5060"/>
    <x v="445"/>
    <s v="Sales invoice issued"/>
    <x v="273"/>
    <s v="15.28"/>
    <x v="4"/>
    <x v="3"/>
  </r>
  <r>
    <n v="5061"/>
    <x v="445"/>
    <s v="Customer payment received"/>
    <x v="1505"/>
    <s v="0.0"/>
    <x v="0"/>
    <x v="0"/>
  </r>
  <r>
    <n v="5061"/>
    <x v="445"/>
    <s v="Customer payment received"/>
    <x v="273"/>
    <s v="92.77"/>
    <x v="2"/>
    <x v="0"/>
  </r>
  <r>
    <n v="5062"/>
    <x v="445"/>
    <s v="Customer payment received"/>
    <x v="1944"/>
    <s v="0.0"/>
    <x v="0"/>
    <x v="0"/>
  </r>
  <r>
    <n v="5062"/>
    <x v="445"/>
    <s v="Customer payment received"/>
    <x v="273"/>
    <s v="3940.98"/>
    <x v="2"/>
    <x v="0"/>
  </r>
  <r>
    <n v="5063"/>
    <x v="445"/>
    <s v="Customer payment received"/>
    <x v="1750"/>
    <s v="0.0"/>
    <x v="0"/>
    <x v="0"/>
  </r>
  <r>
    <n v="5063"/>
    <x v="445"/>
    <s v="Customer payment received"/>
    <x v="273"/>
    <s v="636.42"/>
    <x v="2"/>
    <x v="0"/>
  </r>
  <r>
    <n v="5064"/>
    <x v="445"/>
    <s v="Customer payment received"/>
    <x v="2006"/>
    <s v="0.0"/>
    <x v="0"/>
    <x v="0"/>
  </r>
  <r>
    <n v="5064"/>
    <x v="445"/>
    <s v="Customer payment received"/>
    <x v="273"/>
    <s v="2581.08"/>
    <x v="2"/>
    <x v="0"/>
  </r>
  <r>
    <n v="5065"/>
    <x v="445"/>
    <s v="Supplier invoice received"/>
    <x v="448"/>
    <s v="0.0"/>
    <x v="9"/>
    <x v="4"/>
  </r>
  <r>
    <n v="5065"/>
    <x v="445"/>
    <s v="Supplier invoice received"/>
    <x v="449"/>
    <s v="0.0"/>
    <x v="10"/>
    <x v="0"/>
  </r>
  <r>
    <n v="5065"/>
    <x v="445"/>
    <s v="Supplier invoice received"/>
    <x v="273"/>
    <s v="7227.44"/>
    <x v="11"/>
    <x v="3"/>
  </r>
  <r>
    <n v="5066"/>
    <x v="445"/>
    <s v="Supplier invoice received"/>
    <x v="441"/>
    <s v="0.0"/>
    <x v="9"/>
    <x v="4"/>
  </r>
  <r>
    <n v="5066"/>
    <x v="445"/>
    <s v="Supplier invoice received"/>
    <x v="442"/>
    <s v="0.0"/>
    <x v="10"/>
    <x v="0"/>
  </r>
  <r>
    <n v="5066"/>
    <x v="445"/>
    <s v="Supplier invoice received"/>
    <x v="273"/>
    <s v="179.01"/>
    <x v="11"/>
    <x v="3"/>
  </r>
  <r>
    <n v="5067"/>
    <x v="445"/>
    <s v="Supplier invoice received"/>
    <x v="307"/>
    <s v="0.0"/>
    <x v="9"/>
    <x v="4"/>
  </r>
  <r>
    <n v="5067"/>
    <x v="445"/>
    <s v="Supplier invoice received"/>
    <x v="308"/>
    <s v="0.0"/>
    <x v="10"/>
    <x v="0"/>
  </r>
  <r>
    <n v="5067"/>
    <x v="445"/>
    <s v="Supplier invoice received"/>
    <x v="273"/>
    <s v="2093.28"/>
    <x v="11"/>
    <x v="3"/>
  </r>
  <r>
    <n v="5068"/>
    <x v="445"/>
    <s v="Supplier payment made"/>
    <x v="351"/>
    <s v="0.0"/>
    <x v="11"/>
    <x v="3"/>
  </r>
  <r>
    <n v="5068"/>
    <x v="445"/>
    <s v="Supplier payment made"/>
    <x v="273"/>
    <s v="179.01"/>
    <x v="0"/>
    <x v="0"/>
  </r>
  <r>
    <n v="5069"/>
    <x v="446"/>
    <s v="Sales invoice issued"/>
    <x v="2062"/>
    <s v="0.0"/>
    <x v="2"/>
    <x v="0"/>
  </r>
  <r>
    <n v="5069"/>
    <x v="446"/>
    <s v="Sales invoice issued"/>
    <x v="273"/>
    <s v="1203.3"/>
    <x v="3"/>
    <x v="2"/>
  </r>
  <r>
    <n v="5069"/>
    <x v="446"/>
    <s v="Sales invoice issued"/>
    <x v="273"/>
    <s v="90.25"/>
    <x v="4"/>
    <x v="3"/>
  </r>
  <r>
    <n v="5070"/>
    <x v="446"/>
    <s v="Sales invoice issued"/>
    <x v="2063"/>
    <s v="0.0"/>
    <x v="2"/>
    <x v="0"/>
  </r>
  <r>
    <n v="5070"/>
    <x v="446"/>
    <s v="Sales invoice issued"/>
    <x v="273"/>
    <s v="150.68"/>
    <x v="3"/>
    <x v="2"/>
  </r>
  <r>
    <n v="5070"/>
    <x v="446"/>
    <s v="Sales invoice issued"/>
    <x v="273"/>
    <s v="11.3"/>
    <x v="4"/>
    <x v="3"/>
  </r>
  <r>
    <n v="5071"/>
    <x v="446"/>
    <s v="Sales invoice issued"/>
    <x v="2064"/>
    <s v="0.0"/>
    <x v="2"/>
    <x v="0"/>
  </r>
  <r>
    <n v="5071"/>
    <x v="446"/>
    <s v="Sales invoice issued"/>
    <x v="273"/>
    <s v="2435.92"/>
    <x v="3"/>
    <x v="2"/>
  </r>
  <r>
    <n v="5071"/>
    <x v="446"/>
    <s v="Sales invoice issued"/>
    <x v="273"/>
    <s v="182.69"/>
    <x v="4"/>
    <x v="3"/>
  </r>
  <r>
    <n v="5072"/>
    <x v="446"/>
    <s v="Sales invoice issued"/>
    <x v="2065"/>
    <s v="0.0"/>
    <x v="2"/>
    <x v="0"/>
  </r>
  <r>
    <n v="5072"/>
    <x v="446"/>
    <s v="Sales invoice issued"/>
    <x v="273"/>
    <s v="1382.21"/>
    <x v="3"/>
    <x v="2"/>
  </r>
  <r>
    <n v="5072"/>
    <x v="446"/>
    <s v="Sales invoice issued"/>
    <x v="273"/>
    <s v="103.67"/>
    <x v="4"/>
    <x v="3"/>
  </r>
  <r>
    <n v="5073"/>
    <x v="446"/>
    <s v="Sales invoice issued"/>
    <x v="2066"/>
    <s v="0.0"/>
    <x v="2"/>
    <x v="0"/>
  </r>
  <r>
    <n v="5073"/>
    <x v="446"/>
    <s v="Sales invoice issued"/>
    <x v="273"/>
    <s v="3657.53"/>
    <x v="3"/>
    <x v="2"/>
  </r>
  <r>
    <n v="5073"/>
    <x v="446"/>
    <s v="Sales invoice issued"/>
    <x v="273"/>
    <s v="274.32"/>
    <x v="4"/>
    <x v="3"/>
  </r>
  <r>
    <n v="5074"/>
    <x v="446"/>
    <s v="Sales invoice issued"/>
    <x v="2067"/>
    <s v="0.0"/>
    <x v="2"/>
    <x v="0"/>
  </r>
  <r>
    <n v="5074"/>
    <x v="446"/>
    <s v="Sales invoice issued"/>
    <x v="273"/>
    <s v="3382.41"/>
    <x v="3"/>
    <x v="2"/>
  </r>
  <r>
    <n v="5074"/>
    <x v="446"/>
    <s v="Sales invoice issued"/>
    <x v="273"/>
    <s v="253.69"/>
    <x v="4"/>
    <x v="3"/>
  </r>
  <r>
    <n v="5075"/>
    <x v="446"/>
    <s v="Sales invoice issued"/>
    <x v="2068"/>
    <s v="0.0"/>
    <x v="2"/>
    <x v="0"/>
  </r>
  <r>
    <n v="5075"/>
    <x v="446"/>
    <s v="Sales invoice issued"/>
    <x v="273"/>
    <s v="795.21"/>
    <x v="3"/>
    <x v="2"/>
  </r>
  <r>
    <n v="5075"/>
    <x v="446"/>
    <s v="Sales invoice issued"/>
    <x v="273"/>
    <s v="59.64"/>
    <x v="4"/>
    <x v="3"/>
  </r>
  <r>
    <n v="5076"/>
    <x v="446"/>
    <s v="Customer payment received"/>
    <x v="1880"/>
    <s v="0.0"/>
    <x v="0"/>
    <x v="0"/>
  </r>
  <r>
    <n v="5076"/>
    <x v="446"/>
    <s v="Customer payment received"/>
    <x v="273"/>
    <s v="3276.66"/>
    <x v="2"/>
    <x v="0"/>
  </r>
  <r>
    <n v="5077"/>
    <x v="446"/>
    <s v="Customer payment received"/>
    <x v="1927"/>
    <s v="0.0"/>
    <x v="0"/>
    <x v="0"/>
  </r>
  <r>
    <n v="5077"/>
    <x v="446"/>
    <s v="Customer payment received"/>
    <x v="273"/>
    <s v="2901.6"/>
    <x v="2"/>
    <x v="0"/>
  </r>
  <r>
    <n v="5078"/>
    <x v="446"/>
    <s v="Customer payment received"/>
    <x v="1936"/>
    <s v="0.0"/>
    <x v="0"/>
    <x v="0"/>
  </r>
  <r>
    <n v="5078"/>
    <x v="446"/>
    <s v="Customer payment received"/>
    <x v="273"/>
    <s v="3885.86"/>
    <x v="2"/>
    <x v="0"/>
  </r>
  <r>
    <n v="5079"/>
    <x v="446"/>
    <s v="Customer payment received"/>
    <x v="1938"/>
    <s v="0.0"/>
    <x v="0"/>
    <x v="0"/>
  </r>
  <r>
    <n v="5079"/>
    <x v="446"/>
    <s v="Customer payment received"/>
    <x v="273"/>
    <s v="286.24"/>
    <x v="2"/>
    <x v="0"/>
  </r>
  <r>
    <n v="5080"/>
    <x v="446"/>
    <s v="Customer payment received"/>
    <x v="2003"/>
    <s v="0.0"/>
    <x v="0"/>
    <x v="0"/>
  </r>
  <r>
    <n v="5080"/>
    <x v="446"/>
    <s v="Customer payment received"/>
    <x v="273"/>
    <s v="1726.89"/>
    <x v="2"/>
    <x v="0"/>
  </r>
  <r>
    <n v="5081"/>
    <x v="446"/>
    <s v="Customer payment received"/>
    <x v="2016"/>
    <s v="0.0"/>
    <x v="0"/>
    <x v="0"/>
  </r>
  <r>
    <n v="5081"/>
    <x v="446"/>
    <s v="Customer payment received"/>
    <x v="273"/>
    <s v="3506.96"/>
    <x v="2"/>
    <x v="0"/>
  </r>
  <r>
    <n v="5082"/>
    <x v="446"/>
    <s v="Customer payment received"/>
    <x v="2019"/>
    <s v="0.0"/>
    <x v="0"/>
    <x v="0"/>
  </r>
  <r>
    <n v="5082"/>
    <x v="446"/>
    <s v="Customer payment received"/>
    <x v="273"/>
    <s v="838.44"/>
    <x v="2"/>
    <x v="0"/>
  </r>
  <r>
    <n v="5083"/>
    <x v="446"/>
    <s v="Supplier invoice received"/>
    <x v="299"/>
    <s v="0.0"/>
    <x v="9"/>
    <x v="4"/>
  </r>
  <r>
    <n v="5083"/>
    <x v="446"/>
    <s v="Supplier invoice received"/>
    <x v="300"/>
    <s v="0.0"/>
    <x v="10"/>
    <x v="0"/>
  </r>
  <r>
    <n v="5083"/>
    <x v="446"/>
    <s v="Supplier invoice received"/>
    <x v="273"/>
    <s v="2918.17"/>
    <x v="11"/>
    <x v="3"/>
  </r>
  <r>
    <n v="5084"/>
    <x v="446"/>
    <s v="Supplier invoice received"/>
    <x v="374"/>
    <s v="0.0"/>
    <x v="9"/>
    <x v="4"/>
  </r>
  <r>
    <n v="5084"/>
    <x v="446"/>
    <s v="Supplier invoice received"/>
    <x v="375"/>
    <s v="0.0"/>
    <x v="10"/>
    <x v="0"/>
  </r>
  <r>
    <n v="5084"/>
    <x v="446"/>
    <s v="Supplier invoice received"/>
    <x v="273"/>
    <s v="2504.23"/>
    <x v="11"/>
    <x v="3"/>
  </r>
  <r>
    <n v="5085"/>
    <x v="446"/>
    <s v="Supplier invoice received"/>
    <x v="301"/>
    <s v="0.0"/>
    <x v="9"/>
    <x v="4"/>
  </r>
  <r>
    <n v="5085"/>
    <x v="446"/>
    <s v="Supplier invoice received"/>
    <x v="302"/>
    <s v="0.0"/>
    <x v="10"/>
    <x v="0"/>
  </r>
  <r>
    <n v="5085"/>
    <x v="446"/>
    <s v="Supplier invoice received"/>
    <x v="273"/>
    <s v="4812.46"/>
    <x v="11"/>
    <x v="3"/>
  </r>
  <r>
    <n v="5086"/>
    <x v="446"/>
    <s v="Supplier invoice received"/>
    <x v="461"/>
    <s v="0.0"/>
    <x v="9"/>
    <x v="4"/>
  </r>
  <r>
    <n v="5086"/>
    <x v="446"/>
    <s v="Supplier invoice received"/>
    <x v="462"/>
    <s v="0.0"/>
    <x v="10"/>
    <x v="0"/>
  </r>
  <r>
    <n v="5086"/>
    <x v="446"/>
    <s v="Supplier invoice received"/>
    <x v="273"/>
    <s v="2182.41"/>
    <x v="11"/>
    <x v="3"/>
  </r>
  <r>
    <n v="5087"/>
    <x v="446"/>
    <s v="Supplier invoice received"/>
    <x v="405"/>
    <s v="0.0"/>
    <x v="9"/>
    <x v="4"/>
  </r>
  <r>
    <n v="5087"/>
    <x v="446"/>
    <s v="Supplier invoice received"/>
    <x v="406"/>
    <s v="0.0"/>
    <x v="10"/>
    <x v="0"/>
  </r>
  <r>
    <n v="5087"/>
    <x v="446"/>
    <s v="Supplier invoice received"/>
    <x v="273"/>
    <s v="2635.36"/>
    <x v="11"/>
    <x v="3"/>
  </r>
  <r>
    <n v="5088"/>
    <x v="446"/>
    <s v="Supplier payment made"/>
    <x v="424"/>
    <s v="0.0"/>
    <x v="11"/>
    <x v="3"/>
  </r>
  <r>
    <n v="5088"/>
    <x v="446"/>
    <s v="Supplier payment made"/>
    <x v="273"/>
    <s v="1591.54"/>
    <x v="0"/>
    <x v="0"/>
  </r>
  <r>
    <n v="5089"/>
    <x v="446"/>
    <s v="Supplier payment made"/>
    <x v="334"/>
    <s v="0.0"/>
    <x v="11"/>
    <x v="3"/>
  </r>
  <r>
    <n v="5089"/>
    <x v="446"/>
    <s v="Supplier payment made"/>
    <x v="273"/>
    <s v="3528.97"/>
    <x v="0"/>
    <x v="0"/>
  </r>
  <r>
    <n v="5090"/>
    <x v="447"/>
    <s v="Sales invoice issued"/>
    <x v="2069"/>
    <s v="0.0"/>
    <x v="2"/>
    <x v="0"/>
  </r>
  <r>
    <n v="5090"/>
    <x v="447"/>
    <s v="Sales invoice issued"/>
    <x v="273"/>
    <s v="3207.59"/>
    <x v="3"/>
    <x v="2"/>
  </r>
  <r>
    <n v="5090"/>
    <x v="447"/>
    <s v="Sales invoice issued"/>
    <x v="273"/>
    <s v="240.57"/>
    <x v="4"/>
    <x v="3"/>
  </r>
  <r>
    <n v="5091"/>
    <x v="447"/>
    <s v="Sales invoice issued"/>
    <x v="2070"/>
    <s v="0.0"/>
    <x v="2"/>
    <x v="0"/>
  </r>
  <r>
    <n v="5091"/>
    <x v="447"/>
    <s v="Sales invoice issued"/>
    <x v="273"/>
    <s v="1529.48"/>
    <x v="3"/>
    <x v="2"/>
  </r>
  <r>
    <n v="5091"/>
    <x v="447"/>
    <s v="Sales invoice issued"/>
    <x v="273"/>
    <s v="114.71"/>
    <x v="4"/>
    <x v="3"/>
  </r>
  <r>
    <n v="5092"/>
    <x v="447"/>
    <s v="Sales invoice issued"/>
    <x v="2071"/>
    <s v="0.0"/>
    <x v="2"/>
    <x v="0"/>
  </r>
  <r>
    <n v="5092"/>
    <x v="447"/>
    <s v="Sales invoice issued"/>
    <x v="273"/>
    <s v="3407.53"/>
    <x v="3"/>
    <x v="2"/>
  </r>
  <r>
    <n v="5092"/>
    <x v="447"/>
    <s v="Sales invoice issued"/>
    <x v="273"/>
    <s v="255.57"/>
    <x v="4"/>
    <x v="3"/>
  </r>
  <r>
    <n v="5093"/>
    <x v="447"/>
    <s v="Sales invoice issued"/>
    <x v="2072"/>
    <s v="0.0"/>
    <x v="2"/>
    <x v="0"/>
  </r>
  <r>
    <n v="5093"/>
    <x v="447"/>
    <s v="Sales invoice issued"/>
    <x v="273"/>
    <s v="2820.83"/>
    <x v="3"/>
    <x v="2"/>
  </r>
  <r>
    <n v="5093"/>
    <x v="447"/>
    <s v="Sales invoice issued"/>
    <x v="273"/>
    <s v="211.56"/>
    <x v="4"/>
    <x v="3"/>
  </r>
  <r>
    <n v="5094"/>
    <x v="447"/>
    <s v="Sales invoice issued"/>
    <x v="2073"/>
    <s v="0.0"/>
    <x v="2"/>
    <x v="0"/>
  </r>
  <r>
    <n v="5094"/>
    <x v="447"/>
    <s v="Sales invoice issued"/>
    <x v="273"/>
    <s v="5771.73"/>
    <x v="3"/>
    <x v="2"/>
  </r>
  <r>
    <n v="5094"/>
    <x v="447"/>
    <s v="Sales invoice issued"/>
    <x v="273"/>
    <s v="432.89"/>
    <x v="4"/>
    <x v="3"/>
  </r>
  <r>
    <n v="5095"/>
    <x v="447"/>
    <s v="Sales invoice issued"/>
    <x v="2074"/>
    <s v="0.0"/>
    <x v="2"/>
    <x v="0"/>
  </r>
  <r>
    <n v="5095"/>
    <x v="447"/>
    <s v="Sales invoice issued"/>
    <x v="273"/>
    <s v="1172.21"/>
    <x v="3"/>
    <x v="2"/>
  </r>
  <r>
    <n v="5095"/>
    <x v="447"/>
    <s v="Sales invoice issued"/>
    <x v="273"/>
    <s v="87.91"/>
    <x v="4"/>
    <x v="3"/>
  </r>
  <r>
    <n v="5096"/>
    <x v="447"/>
    <s v="Sales invoice issued"/>
    <x v="2075"/>
    <s v="0.0"/>
    <x v="2"/>
    <x v="0"/>
  </r>
  <r>
    <n v="5096"/>
    <x v="447"/>
    <s v="Sales invoice issued"/>
    <x v="273"/>
    <s v="1866.07"/>
    <x v="3"/>
    <x v="2"/>
  </r>
  <r>
    <n v="5096"/>
    <x v="447"/>
    <s v="Sales invoice issued"/>
    <x v="273"/>
    <s v="139.95"/>
    <x v="4"/>
    <x v="3"/>
  </r>
  <r>
    <n v="5097"/>
    <x v="447"/>
    <s v="Customer payment received"/>
    <x v="1815"/>
    <s v="0.0"/>
    <x v="0"/>
    <x v="0"/>
  </r>
  <r>
    <n v="5097"/>
    <x v="447"/>
    <s v="Customer payment received"/>
    <x v="273"/>
    <s v="3742.94"/>
    <x v="2"/>
    <x v="0"/>
  </r>
  <r>
    <n v="5098"/>
    <x v="447"/>
    <s v="Customer payment received"/>
    <x v="1905"/>
    <s v="0.0"/>
    <x v="0"/>
    <x v="0"/>
  </r>
  <r>
    <n v="5098"/>
    <x v="447"/>
    <s v="Customer payment received"/>
    <x v="273"/>
    <s v="442.62"/>
    <x v="2"/>
    <x v="0"/>
  </r>
  <r>
    <n v="5099"/>
    <x v="447"/>
    <s v="Customer payment received"/>
    <x v="1931"/>
    <s v="0.0"/>
    <x v="0"/>
    <x v="0"/>
  </r>
  <r>
    <n v="5099"/>
    <x v="447"/>
    <s v="Customer payment received"/>
    <x v="273"/>
    <s v="1404.43"/>
    <x v="2"/>
    <x v="0"/>
  </r>
  <r>
    <n v="5100"/>
    <x v="447"/>
    <s v="Customer payment received"/>
    <x v="1983"/>
    <s v="0.0"/>
    <x v="0"/>
    <x v="0"/>
  </r>
  <r>
    <n v="5100"/>
    <x v="447"/>
    <s v="Customer payment received"/>
    <x v="273"/>
    <s v="862.87"/>
    <x v="2"/>
    <x v="0"/>
  </r>
  <r>
    <n v="5101"/>
    <x v="447"/>
    <s v="Customer payment received"/>
    <x v="2007"/>
    <s v="0.0"/>
    <x v="0"/>
    <x v="0"/>
  </r>
  <r>
    <n v="5101"/>
    <x v="447"/>
    <s v="Customer payment received"/>
    <x v="273"/>
    <s v="2310.76"/>
    <x v="2"/>
    <x v="0"/>
  </r>
  <r>
    <n v="5102"/>
    <x v="447"/>
    <s v="Customer payment received"/>
    <x v="2029"/>
    <s v="0.0"/>
    <x v="0"/>
    <x v="0"/>
  </r>
  <r>
    <n v="5102"/>
    <x v="447"/>
    <s v="Customer payment received"/>
    <x v="273"/>
    <s v="2780.49"/>
    <x v="2"/>
    <x v="0"/>
  </r>
  <r>
    <n v="5103"/>
    <x v="447"/>
    <s v="Supplier payment made"/>
    <x v="336"/>
    <s v="0.0"/>
    <x v="11"/>
    <x v="3"/>
  </r>
  <r>
    <n v="5103"/>
    <x v="447"/>
    <s v="Supplier payment made"/>
    <x v="273"/>
    <s v="2093.28"/>
    <x v="0"/>
    <x v="0"/>
  </r>
  <r>
    <n v="5104"/>
    <x v="448"/>
    <s v="Sales invoice issued"/>
    <x v="2076"/>
    <s v="0.0"/>
    <x v="2"/>
    <x v="0"/>
  </r>
  <r>
    <n v="5104"/>
    <x v="448"/>
    <s v="Sales invoice issued"/>
    <x v="273"/>
    <s v="2839.13"/>
    <x v="3"/>
    <x v="2"/>
  </r>
  <r>
    <n v="5104"/>
    <x v="448"/>
    <s v="Sales invoice issued"/>
    <x v="273"/>
    <s v="212.92"/>
    <x v="4"/>
    <x v="3"/>
  </r>
  <r>
    <n v="5105"/>
    <x v="448"/>
    <s v="Sales invoice issued"/>
    <x v="2077"/>
    <s v="0.0"/>
    <x v="2"/>
    <x v="0"/>
  </r>
  <r>
    <n v="5105"/>
    <x v="448"/>
    <s v="Sales invoice issued"/>
    <x v="273"/>
    <s v="4734.89"/>
    <x v="3"/>
    <x v="2"/>
  </r>
  <r>
    <n v="5105"/>
    <x v="448"/>
    <s v="Sales invoice issued"/>
    <x v="273"/>
    <s v="355.11"/>
    <x v="4"/>
    <x v="3"/>
  </r>
  <r>
    <n v="5106"/>
    <x v="448"/>
    <s v="Sales invoice issued"/>
    <x v="2078"/>
    <s v="0.0"/>
    <x v="2"/>
    <x v="0"/>
  </r>
  <r>
    <n v="5106"/>
    <x v="448"/>
    <s v="Sales invoice issued"/>
    <x v="273"/>
    <s v="1272.4"/>
    <x v="3"/>
    <x v="2"/>
  </r>
  <r>
    <n v="5106"/>
    <x v="448"/>
    <s v="Sales invoice issued"/>
    <x v="273"/>
    <s v="95.43"/>
    <x v="4"/>
    <x v="3"/>
  </r>
  <r>
    <n v="5107"/>
    <x v="448"/>
    <s v="Sales invoice issued"/>
    <x v="2079"/>
    <s v="0.0"/>
    <x v="2"/>
    <x v="0"/>
  </r>
  <r>
    <n v="5107"/>
    <x v="448"/>
    <s v="Sales invoice issued"/>
    <x v="273"/>
    <s v="1162.57"/>
    <x v="3"/>
    <x v="2"/>
  </r>
  <r>
    <n v="5107"/>
    <x v="448"/>
    <s v="Sales invoice issued"/>
    <x v="273"/>
    <s v="87.19"/>
    <x v="4"/>
    <x v="3"/>
  </r>
  <r>
    <n v="5108"/>
    <x v="448"/>
    <s v="Customer payment received"/>
    <x v="1951"/>
    <s v="0.0"/>
    <x v="0"/>
    <x v="0"/>
  </r>
  <r>
    <n v="5108"/>
    <x v="448"/>
    <s v="Customer payment received"/>
    <x v="273"/>
    <s v="665.35"/>
    <x v="2"/>
    <x v="0"/>
  </r>
  <r>
    <n v="5109"/>
    <x v="448"/>
    <s v="Customer payment received"/>
    <x v="2040"/>
    <s v="0.0"/>
    <x v="0"/>
    <x v="0"/>
  </r>
  <r>
    <n v="5109"/>
    <x v="448"/>
    <s v="Customer payment received"/>
    <x v="273"/>
    <s v="4249.36"/>
    <x v="2"/>
    <x v="0"/>
  </r>
  <r>
    <n v="5110"/>
    <x v="448"/>
    <s v="Customer payment received"/>
    <x v="2064"/>
    <s v="0.0"/>
    <x v="0"/>
    <x v="0"/>
  </r>
  <r>
    <n v="5110"/>
    <x v="448"/>
    <s v="Customer payment received"/>
    <x v="273"/>
    <s v="2618.61"/>
    <x v="2"/>
    <x v="0"/>
  </r>
  <r>
    <n v="5111"/>
    <x v="448"/>
    <s v="Supplier payment made"/>
    <x v="515"/>
    <s v="0.0"/>
    <x v="11"/>
    <x v="3"/>
  </r>
  <r>
    <n v="5111"/>
    <x v="448"/>
    <s v="Supplier payment made"/>
    <x v="273"/>
    <s v="862.91"/>
    <x v="0"/>
    <x v="0"/>
  </r>
  <r>
    <n v="5112"/>
    <x v="448"/>
    <s v="Supplier payment made"/>
    <x v="351"/>
    <s v="0.0"/>
    <x v="11"/>
    <x v="3"/>
  </r>
  <r>
    <n v="5112"/>
    <x v="448"/>
    <s v="Supplier payment made"/>
    <x v="273"/>
    <s v="179.01"/>
    <x v="0"/>
    <x v="0"/>
  </r>
  <r>
    <n v="5113"/>
    <x v="448"/>
    <s v="Supplier payment made"/>
    <x v="393"/>
    <s v="0.0"/>
    <x v="11"/>
    <x v="3"/>
  </r>
  <r>
    <n v="5113"/>
    <x v="448"/>
    <s v="Supplier payment made"/>
    <x v="273"/>
    <s v="412.54"/>
    <x v="0"/>
    <x v="0"/>
  </r>
  <r>
    <n v="5114"/>
    <x v="449"/>
    <s v="Sales invoice issued"/>
    <x v="2080"/>
    <s v="0.0"/>
    <x v="2"/>
    <x v="0"/>
  </r>
  <r>
    <n v="5114"/>
    <x v="449"/>
    <s v="Sales invoice issued"/>
    <x v="273"/>
    <s v="4681.42"/>
    <x v="3"/>
    <x v="2"/>
  </r>
  <r>
    <n v="5114"/>
    <x v="449"/>
    <s v="Sales invoice issued"/>
    <x v="273"/>
    <s v="351.12"/>
    <x v="4"/>
    <x v="3"/>
  </r>
  <r>
    <n v="5115"/>
    <x v="449"/>
    <s v="Sales invoice issued"/>
    <x v="2081"/>
    <s v="0.0"/>
    <x v="2"/>
    <x v="0"/>
  </r>
  <r>
    <n v="5115"/>
    <x v="449"/>
    <s v="Sales invoice issued"/>
    <x v="273"/>
    <s v="729.97"/>
    <x v="3"/>
    <x v="2"/>
  </r>
  <r>
    <n v="5115"/>
    <x v="449"/>
    <s v="Sales invoice issued"/>
    <x v="273"/>
    <s v="54.75"/>
    <x v="4"/>
    <x v="3"/>
  </r>
  <r>
    <n v="5116"/>
    <x v="449"/>
    <s v="Sales invoice issued"/>
    <x v="2082"/>
    <s v="0.0"/>
    <x v="2"/>
    <x v="0"/>
  </r>
  <r>
    <n v="5116"/>
    <x v="449"/>
    <s v="Sales invoice issued"/>
    <x v="273"/>
    <s v="2159.81"/>
    <x v="3"/>
    <x v="2"/>
  </r>
  <r>
    <n v="5116"/>
    <x v="449"/>
    <s v="Sales invoice issued"/>
    <x v="273"/>
    <s v="161.98"/>
    <x v="4"/>
    <x v="3"/>
  </r>
  <r>
    <n v="5117"/>
    <x v="449"/>
    <s v="Sales invoice issued"/>
    <x v="2083"/>
    <s v="0.0"/>
    <x v="2"/>
    <x v="0"/>
  </r>
  <r>
    <n v="5117"/>
    <x v="449"/>
    <s v="Sales invoice issued"/>
    <x v="273"/>
    <s v="367.63"/>
    <x v="3"/>
    <x v="2"/>
  </r>
  <r>
    <n v="5117"/>
    <x v="449"/>
    <s v="Sales invoice issued"/>
    <x v="273"/>
    <s v="27.58"/>
    <x v="4"/>
    <x v="3"/>
  </r>
  <r>
    <n v="5118"/>
    <x v="449"/>
    <s v="Sales invoice issued"/>
    <x v="2084"/>
    <s v="0.0"/>
    <x v="2"/>
    <x v="0"/>
  </r>
  <r>
    <n v="5118"/>
    <x v="449"/>
    <s v="Sales invoice issued"/>
    <x v="273"/>
    <s v="3056.84"/>
    <x v="3"/>
    <x v="2"/>
  </r>
  <r>
    <n v="5118"/>
    <x v="449"/>
    <s v="Sales invoice issued"/>
    <x v="273"/>
    <s v="229.26"/>
    <x v="4"/>
    <x v="3"/>
  </r>
  <r>
    <n v="5119"/>
    <x v="449"/>
    <s v="Sales invoice issued"/>
    <x v="1255"/>
    <s v="0.0"/>
    <x v="2"/>
    <x v="0"/>
  </r>
  <r>
    <n v="5119"/>
    <x v="449"/>
    <s v="Sales invoice issued"/>
    <x v="273"/>
    <s v="1031.22"/>
    <x v="3"/>
    <x v="2"/>
  </r>
  <r>
    <n v="5119"/>
    <x v="449"/>
    <s v="Sales invoice issued"/>
    <x v="273"/>
    <s v="77.34"/>
    <x v="4"/>
    <x v="3"/>
  </r>
  <r>
    <n v="5120"/>
    <x v="449"/>
    <s v="Customer payment received"/>
    <x v="2017"/>
    <s v="0.0"/>
    <x v="0"/>
    <x v="0"/>
  </r>
  <r>
    <n v="5120"/>
    <x v="449"/>
    <s v="Customer payment received"/>
    <x v="273"/>
    <s v="3897.15"/>
    <x v="2"/>
    <x v="0"/>
  </r>
  <r>
    <n v="5121"/>
    <x v="449"/>
    <s v="Customer payment received"/>
    <x v="2024"/>
    <s v="0.0"/>
    <x v="0"/>
    <x v="0"/>
  </r>
  <r>
    <n v="5121"/>
    <x v="449"/>
    <s v="Customer payment received"/>
    <x v="273"/>
    <s v="1798.41"/>
    <x v="2"/>
    <x v="0"/>
  </r>
  <r>
    <n v="5122"/>
    <x v="449"/>
    <s v="Customer payment received"/>
    <x v="2079"/>
    <s v="0.0"/>
    <x v="0"/>
    <x v="0"/>
  </r>
  <r>
    <n v="5122"/>
    <x v="449"/>
    <s v="Customer payment received"/>
    <x v="273"/>
    <s v="1249.76"/>
    <x v="2"/>
    <x v="0"/>
  </r>
  <r>
    <n v="5123"/>
    <x v="449"/>
    <s v="Supplier invoice received"/>
    <x v="383"/>
    <s v="0.0"/>
    <x v="9"/>
    <x v="4"/>
  </r>
  <r>
    <n v="5123"/>
    <x v="449"/>
    <s v="Supplier invoice received"/>
    <x v="384"/>
    <s v="0.0"/>
    <x v="10"/>
    <x v="0"/>
  </r>
  <r>
    <n v="5123"/>
    <x v="449"/>
    <s v="Supplier invoice received"/>
    <x v="273"/>
    <s v="3868.8"/>
    <x v="11"/>
    <x v="3"/>
  </r>
  <r>
    <n v="5124"/>
    <x v="450"/>
    <s v="Sales invoice issued"/>
    <x v="2085"/>
    <s v="0.0"/>
    <x v="2"/>
    <x v="0"/>
  </r>
  <r>
    <n v="5124"/>
    <x v="450"/>
    <s v="Sales invoice issued"/>
    <x v="273"/>
    <s v="4439.58"/>
    <x v="3"/>
    <x v="2"/>
  </r>
  <r>
    <n v="5124"/>
    <x v="450"/>
    <s v="Sales invoice issued"/>
    <x v="273"/>
    <s v="332.97"/>
    <x v="4"/>
    <x v="3"/>
  </r>
  <r>
    <n v="5125"/>
    <x v="450"/>
    <s v="Sales invoice issued"/>
    <x v="2086"/>
    <s v="0.0"/>
    <x v="2"/>
    <x v="0"/>
  </r>
  <r>
    <n v="5125"/>
    <x v="450"/>
    <s v="Sales invoice issued"/>
    <x v="273"/>
    <s v="1465.22"/>
    <x v="3"/>
    <x v="2"/>
  </r>
  <r>
    <n v="5125"/>
    <x v="450"/>
    <s v="Sales invoice issued"/>
    <x v="273"/>
    <s v="109.89"/>
    <x v="4"/>
    <x v="3"/>
  </r>
  <r>
    <n v="5126"/>
    <x v="450"/>
    <s v="Sales invoice issued"/>
    <x v="2087"/>
    <s v="0.0"/>
    <x v="2"/>
    <x v="0"/>
  </r>
  <r>
    <n v="5126"/>
    <x v="450"/>
    <s v="Sales invoice issued"/>
    <x v="273"/>
    <s v="3116.15"/>
    <x v="3"/>
    <x v="2"/>
  </r>
  <r>
    <n v="5126"/>
    <x v="450"/>
    <s v="Sales invoice issued"/>
    <x v="273"/>
    <s v="233.71"/>
    <x v="4"/>
    <x v="3"/>
  </r>
  <r>
    <n v="5127"/>
    <x v="450"/>
    <s v="Sales invoice issued"/>
    <x v="2088"/>
    <s v="0.0"/>
    <x v="2"/>
    <x v="0"/>
  </r>
  <r>
    <n v="5127"/>
    <x v="450"/>
    <s v="Sales invoice issued"/>
    <x v="273"/>
    <s v="859.93"/>
    <x v="3"/>
    <x v="2"/>
  </r>
  <r>
    <n v="5127"/>
    <x v="450"/>
    <s v="Sales invoice issued"/>
    <x v="273"/>
    <s v="64.49"/>
    <x v="4"/>
    <x v="3"/>
  </r>
  <r>
    <n v="5128"/>
    <x v="450"/>
    <s v="Sales invoice issued"/>
    <x v="2089"/>
    <s v="0.0"/>
    <x v="2"/>
    <x v="0"/>
  </r>
  <r>
    <n v="5128"/>
    <x v="450"/>
    <s v="Sales invoice issued"/>
    <x v="273"/>
    <s v="1017.22"/>
    <x v="3"/>
    <x v="2"/>
  </r>
  <r>
    <n v="5128"/>
    <x v="450"/>
    <s v="Sales invoice issued"/>
    <x v="273"/>
    <s v="76.29"/>
    <x v="4"/>
    <x v="3"/>
  </r>
  <r>
    <n v="5129"/>
    <x v="450"/>
    <s v="Sales invoice issued"/>
    <x v="2090"/>
    <s v="0.0"/>
    <x v="2"/>
    <x v="0"/>
  </r>
  <r>
    <n v="5129"/>
    <x v="450"/>
    <s v="Sales invoice issued"/>
    <x v="273"/>
    <s v="253.16"/>
    <x v="3"/>
    <x v="2"/>
  </r>
  <r>
    <n v="5129"/>
    <x v="450"/>
    <s v="Sales invoice issued"/>
    <x v="273"/>
    <s v="18.99"/>
    <x v="4"/>
    <x v="3"/>
  </r>
  <r>
    <n v="5130"/>
    <x v="450"/>
    <s v="Sales invoice issued"/>
    <x v="2091"/>
    <s v="0.0"/>
    <x v="2"/>
    <x v="0"/>
  </r>
  <r>
    <n v="5130"/>
    <x v="450"/>
    <s v="Sales invoice issued"/>
    <x v="273"/>
    <s v="3337.36"/>
    <x v="3"/>
    <x v="2"/>
  </r>
  <r>
    <n v="5130"/>
    <x v="450"/>
    <s v="Sales invoice issued"/>
    <x v="273"/>
    <s v="250.3"/>
    <x v="4"/>
    <x v="3"/>
  </r>
  <r>
    <n v="5131"/>
    <x v="450"/>
    <s v="Sales invoice issued"/>
    <x v="2092"/>
    <s v="0.0"/>
    <x v="2"/>
    <x v="0"/>
  </r>
  <r>
    <n v="5131"/>
    <x v="450"/>
    <s v="Sales invoice issued"/>
    <x v="273"/>
    <s v="1195.82"/>
    <x v="3"/>
    <x v="2"/>
  </r>
  <r>
    <n v="5131"/>
    <x v="450"/>
    <s v="Sales invoice issued"/>
    <x v="273"/>
    <s v="89.68"/>
    <x v="4"/>
    <x v="3"/>
  </r>
  <r>
    <n v="5132"/>
    <x v="450"/>
    <s v="Sales invoice issued"/>
    <x v="2093"/>
    <s v="0.0"/>
    <x v="2"/>
    <x v="0"/>
  </r>
  <r>
    <n v="5132"/>
    <x v="450"/>
    <s v="Sales invoice issued"/>
    <x v="273"/>
    <s v="4752.28"/>
    <x v="3"/>
    <x v="2"/>
  </r>
  <r>
    <n v="5132"/>
    <x v="450"/>
    <s v="Sales invoice issued"/>
    <x v="273"/>
    <s v="356.42"/>
    <x v="4"/>
    <x v="3"/>
  </r>
  <r>
    <n v="5133"/>
    <x v="450"/>
    <s v="Sales invoice issued"/>
    <x v="2094"/>
    <s v="0.0"/>
    <x v="2"/>
    <x v="0"/>
  </r>
  <r>
    <n v="5133"/>
    <x v="450"/>
    <s v="Sales invoice issued"/>
    <x v="273"/>
    <s v="188.17"/>
    <x v="3"/>
    <x v="2"/>
  </r>
  <r>
    <n v="5133"/>
    <x v="450"/>
    <s v="Sales invoice issued"/>
    <x v="273"/>
    <s v="14.12"/>
    <x v="4"/>
    <x v="3"/>
  </r>
  <r>
    <n v="5134"/>
    <x v="450"/>
    <s v="Customer payment received"/>
    <x v="1956"/>
    <s v="0.0"/>
    <x v="0"/>
    <x v="0"/>
  </r>
  <r>
    <n v="5134"/>
    <x v="450"/>
    <s v="Customer payment received"/>
    <x v="273"/>
    <s v="1161.72"/>
    <x v="2"/>
    <x v="0"/>
  </r>
  <r>
    <n v="5135"/>
    <x v="450"/>
    <s v="Customer payment received"/>
    <x v="1965"/>
    <s v="0.0"/>
    <x v="0"/>
    <x v="0"/>
  </r>
  <r>
    <n v="5135"/>
    <x v="450"/>
    <s v="Customer payment received"/>
    <x v="273"/>
    <s v="2571.99"/>
    <x v="2"/>
    <x v="0"/>
  </r>
  <r>
    <n v="5136"/>
    <x v="450"/>
    <s v="Customer payment received"/>
    <x v="1967"/>
    <s v="0.0"/>
    <x v="0"/>
    <x v="0"/>
  </r>
  <r>
    <n v="5136"/>
    <x v="450"/>
    <s v="Customer payment received"/>
    <x v="273"/>
    <s v="5566.5"/>
    <x v="2"/>
    <x v="0"/>
  </r>
  <r>
    <n v="5137"/>
    <x v="450"/>
    <s v="Customer payment received"/>
    <x v="2014"/>
    <s v="0.0"/>
    <x v="0"/>
    <x v="0"/>
  </r>
  <r>
    <n v="5137"/>
    <x v="450"/>
    <s v="Customer payment received"/>
    <x v="273"/>
    <s v="1324.83"/>
    <x v="2"/>
    <x v="0"/>
  </r>
  <r>
    <n v="5138"/>
    <x v="450"/>
    <s v="Customer payment received"/>
    <x v="2044"/>
    <s v="0.0"/>
    <x v="0"/>
    <x v="0"/>
  </r>
  <r>
    <n v="5138"/>
    <x v="450"/>
    <s v="Customer payment received"/>
    <x v="273"/>
    <s v="3253.68"/>
    <x v="2"/>
    <x v="0"/>
  </r>
  <r>
    <n v="5139"/>
    <x v="450"/>
    <s v="Customer payment received"/>
    <x v="2067"/>
    <s v="0.0"/>
    <x v="0"/>
    <x v="0"/>
  </r>
  <r>
    <n v="5139"/>
    <x v="450"/>
    <s v="Customer payment received"/>
    <x v="273"/>
    <s v="3636.1"/>
    <x v="2"/>
    <x v="0"/>
  </r>
  <r>
    <n v="5140"/>
    <x v="450"/>
    <s v="Supplier invoice received"/>
    <x v="474"/>
    <s v="0.0"/>
    <x v="9"/>
    <x v="4"/>
  </r>
  <r>
    <n v="5140"/>
    <x v="450"/>
    <s v="Supplier invoice received"/>
    <x v="475"/>
    <s v="0.0"/>
    <x v="10"/>
    <x v="0"/>
  </r>
  <r>
    <n v="5140"/>
    <x v="450"/>
    <s v="Supplier invoice received"/>
    <x v="273"/>
    <s v="862.91"/>
    <x v="11"/>
    <x v="3"/>
  </r>
  <r>
    <n v="5141"/>
    <x v="450"/>
    <s v="Supplier invoice received"/>
    <x v="297"/>
    <s v="0.0"/>
    <x v="9"/>
    <x v="4"/>
  </r>
  <r>
    <n v="5141"/>
    <x v="450"/>
    <s v="Supplier invoice received"/>
    <x v="298"/>
    <s v="0.0"/>
    <x v="10"/>
    <x v="0"/>
  </r>
  <r>
    <n v="5141"/>
    <x v="450"/>
    <s v="Supplier invoice received"/>
    <x v="273"/>
    <s v="3528.97"/>
    <x v="11"/>
    <x v="3"/>
  </r>
  <r>
    <n v="5142"/>
    <x v="450"/>
    <s v="Supplier invoice received"/>
    <x v="366"/>
    <s v="0.0"/>
    <x v="9"/>
    <x v="4"/>
  </r>
  <r>
    <n v="5142"/>
    <x v="450"/>
    <s v="Supplier invoice received"/>
    <x v="367"/>
    <s v="0.0"/>
    <x v="10"/>
    <x v="0"/>
  </r>
  <r>
    <n v="5142"/>
    <x v="450"/>
    <s v="Supplier invoice received"/>
    <x v="273"/>
    <s v="201.5"/>
    <x v="11"/>
    <x v="3"/>
  </r>
  <r>
    <n v="5143"/>
    <x v="451"/>
    <s v="Sales invoice issued"/>
    <x v="2095"/>
    <s v="0.0"/>
    <x v="2"/>
    <x v="0"/>
  </r>
  <r>
    <n v="5143"/>
    <x v="451"/>
    <s v="Sales invoice issued"/>
    <x v="273"/>
    <s v="1595.12"/>
    <x v="3"/>
    <x v="2"/>
  </r>
  <r>
    <n v="5143"/>
    <x v="451"/>
    <s v="Sales invoice issued"/>
    <x v="273"/>
    <s v="119.63"/>
    <x v="4"/>
    <x v="3"/>
  </r>
  <r>
    <n v="5144"/>
    <x v="451"/>
    <s v="Sales invoice issued"/>
    <x v="2096"/>
    <s v="0.0"/>
    <x v="2"/>
    <x v="0"/>
  </r>
  <r>
    <n v="5144"/>
    <x v="451"/>
    <s v="Sales invoice issued"/>
    <x v="273"/>
    <s v="3796.0"/>
    <x v="3"/>
    <x v="2"/>
  </r>
  <r>
    <n v="5144"/>
    <x v="451"/>
    <s v="Sales invoice issued"/>
    <x v="273"/>
    <s v="284.69"/>
    <x v="4"/>
    <x v="3"/>
  </r>
  <r>
    <n v="5145"/>
    <x v="451"/>
    <s v="Sales invoice issued"/>
    <x v="2097"/>
    <s v="0.0"/>
    <x v="2"/>
    <x v="0"/>
  </r>
  <r>
    <n v="5145"/>
    <x v="451"/>
    <s v="Sales invoice issued"/>
    <x v="273"/>
    <s v="1999.53"/>
    <x v="3"/>
    <x v="2"/>
  </r>
  <r>
    <n v="5145"/>
    <x v="451"/>
    <s v="Sales invoice issued"/>
    <x v="273"/>
    <s v="149.97"/>
    <x v="4"/>
    <x v="3"/>
  </r>
  <r>
    <n v="5146"/>
    <x v="451"/>
    <s v="Sales invoice issued"/>
    <x v="2098"/>
    <s v="0.0"/>
    <x v="2"/>
    <x v="0"/>
  </r>
  <r>
    <n v="5146"/>
    <x v="451"/>
    <s v="Sales invoice issued"/>
    <x v="273"/>
    <s v="3155.37"/>
    <x v="3"/>
    <x v="2"/>
  </r>
  <r>
    <n v="5146"/>
    <x v="451"/>
    <s v="Sales invoice issued"/>
    <x v="273"/>
    <s v="236.65"/>
    <x v="4"/>
    <x v="3"/>
  </r>
  <r>
    <n v="5147"/>
    <x v="451"/>
    <s v="Sales invoice issued"/>
    <x v="2099"/>
    <s v="0.0"/>
    <x v="2"/>
    <x v="0"/>
  </r>
  <r>
    <n v="5147"/>
    <x v="451"/>
    <s v="Sales invoice issued"/>
    <x v="273"/>
    <s v="1973.24"/>
    <x v="3"/>
    <x v="2"/>
  </r>
  <r>
    <n v="5147"/>
    <x v="451"/>
    <s v="Sales invoice issued"/>
    <x v="273"/>
    <s v="147.99"/>
    <x v="4"/>
    <x v="3"/>
  </r>
  <r>
    <n v="5148"/>
    <x v="451"/>
    <s v="Sales invoice issued"/>
    <x v="1241"/>
    <s v="0.0"/>
    <x v="2"/>
    <x v="0"/>
  </r>
  <r>
    <n v="5148"/>
    <x v="451"/>
    <s v="Sales invoice issued"/>
    <x v="273"/>
    <s v="42.7"/>
    <x v="3"/>
    <x v="2"/>
  </r>
  <r>
    <n v="5148"/>
    <x v="451"/>
    <s v="Sales invoice issued"/>
    <x v="273"/>
    <s v="3.2"/>
    <x v="4"/>
    <x v="3"/>
  </r>
  <r>
    <n v="5149"/>
    <x v="451"/>
    <s v="Sales invoice issued"/>
    <x v="2100"/>
    <s v="0.0"/>
    <x v="2"/>
    <x v="0"/>
  </r>
  <r>
    <n v="5149"/>
    <x v="451"/>
    <s v="Sales invoice issued"/>
    <x v="273"/>
    <s v="930.97"/>
    <x v="3"/>
    <x v="2"/>
  </r>
  <r>
    <n v="5149"/>
    <x v="451"/>
    <s v="Sales invoice issued"/>
    <x v="273"/>
    <s v="69.82"/>
    <x v="4"/>
    <x v="3"/>
  </r>
  <r>
    <n v="5150"/>
    <x v="451"/>
    <s v="Customer payment received"/>
    <x v="1979"/>
    <s v="0.0"/>
    <x v="0"/>
    <x v="0"/>
  </r>
  <r>
    <n v="5150"/>
    <x v="451"/>
    <s v="Customer payment received"/>
    <x v="273"/>
    <s v="656.41"/>
    <x v="2"/>
    <x v="0"/>
  </r>
  <r>
    <n v="5151"/>
    <x v="451"/>
    <s v="Customer payment received"/>
    <x v="1981"/>
    <s v="0.0"/>
    <x v="0"/>
    <x v="0"/>
  </r>
  <r>
    <n v="5151"/>
    <x v="451"/>
    <s v="Customer payment received"/>
    <x v="273"/>
    <s v="5723.51"/>
    <x v="2"/>
    <x v="0"/>
  </r>
  <r>
    <n v="5152"/>
    <x v="451"/>
    <s v="Customer payment received"/>
    <x v="491"/>
    <s v="0.0"/>
    <x v="0"/>
    <x v="0"/>
  </r>
  <r>
    <n v="5152"/>
    <x v="451"/>
    <s v="Customer payment received"/>
    <x v="273"/>
    <s v="746.16"/>
    <x v="2"/>
    <x v="0"/>
  </r>
  <r>
    <n v="5153"/>
    <x v="451"/>
    <s v="Customer payment received"/>
    <x v="2022"/>
    <s v="0.0"/>
    <x v="0"/>
    <x v="0"/>
  </r>
  <r>
    <n v="5153"/>
    <x v="451"/>
    <s v="Customer payment received"/>
    <x v="273"/>
    <s v="420.59"/>
    <x v="2"/>
    <x v="0"/>
  </r>
  <r>
    <n v="5154"/>
    <x v="451"/>
    <s v="Customer payment received"/>
    <x v="2046"/>
    <s v="0.0"/>
    <x v="0"/>
    <x v="0"/>
  </r>
  <r>
    <n v="5154"/>
    <x v="451"/>
    <s v="Customer payment received"/>
    <x v="273"/>
    <s v="3699.7"/>
    <x v="2"/>
    <x v="0"/>
  </r>
  <r>
    <n v="5155"/>
    <x v="451"/>
    <s v="Customer payment received"/>
    <x v="2056"/>
    <s v="0.0"/>
    <x v="0"/>
    <x v="0"/>
  </r>
  <r>
    <n v="5155"/>
    <x v="451"/>
    <s v="Customer payment received"/>
    <x v="273"/>
    <s v="1933.51"/>
    <x v="2"/>
    <x v="0"/>
  </r>
  <r>
    <n v="5156"/>
    <x v="451"/>
    <s v="Customer payment received"/>
    <x v="2063"/>
    <s v="0.0"/>
    <x v="0"/>
    <x v="0"/>
  </r>
  <r>
    <n v="5156"/>
    <x v="451"/>
    <s v="Customer payment received"/>
    <x v="273"/>
    <s v="161.98"/>
    <x v="2"/>
    <x v="0"/>
  </r>
  <r>
    <n v="5157"/>
    <x v="451"/>
    <s v="Customer payment received"/>
    <x v="2093"/>
    <s v="0.0"/>
    <x v="0"/>
    <x v="0"/>
  </r>
  <r>
    <n v="5157"/>
    <x v="451"/>
    <s v="Customer payment received"/>
    <x v="273"/>
    <s v="5108.7"/>
    <x v="2"/>
    <x v="0"/>
  </r>
  <r>
    <n v="5158"/>
    <x v="451"/>
    <s v="Supplier invoice received"/>
    <x v="330"/>
    <s v="0.0"/>
    <x v="9"/>
    <x v="4"/>
  </r>
  <r>
    <n v="5158"/>
    <x v="451"/>
    <s v="Supplier invoice received"/>
    <x v="331"/>
    <s v="0.0"/>
    <x v="10"/>
    <x v="0"/>
  </r>
  <r>
    <n v="5158"/>
    <x v="451"/>
    <s v="Supplier invoice received"/>
    <x v="273"/>
    <s v="1935.04"/>
    <x v="11"/>
    <x v="3"/>
  </r>
  <r>
    <n v="5159"/>
    <x v="451"/>
    <s v="Supplier invoice received"/>
    <x v="332"/>
    <s v="0.0"/>
    <x v="9"/>
    <x v="4"/>
  </r>
  <r>
    <n v="5159"/>
    <x v="451"/>
    <s v="Supplier invoice received"/>
    <x v="333"/>
    <s v="0.0"/>
    <x v="10"/>
    <x v="0"/>
  </r>
  <r>
    <n v="5159"/>
    <x v="451"/>
    <s v="Supplier invoice received"/>
    <x v="273"/>
    <s v="1023.42"/>
    <x v="11"/>
    <x v="3"/>
  </r>
  <r>
    <n v="5160"/>
    <x v="451"/>
    <s v="Supplier invoice received"/>
    <x v="338"/>
    <s v="0.0"/>
    <x v="9"/>
    <x v="4"/>
  </r>
  <r>
    <n v="5160"/>
    <x v="451"/>
    <s v="Supplier invoice received"/>
    <x v="339"/>
    <s v="0.0"/>
    <x v="10"/>
    <x v="0"/>
  </r>
  <r>
    <n v="5160"/>
    <x v="451"/>
    <s v="Supplier invoice received"/>
    <x v="273"/>
    <s v="1159.84"/>
    <x v="11"/>
    <x v="3"/>
  </r>
  <r>
    <n v="5161"/>
    <x v="451"/>
    <s v="Supplier invoice received"/>
    <x v="443"/>
    <s v="0.0"/>
    <x v="9"/>
    <x v="4"/>
  </r>
  <r>
    <n v="5161"/>
    <x v="451"/>
    <s v="Supplier invoice received"/>
    <x v="444"/>
    <s v="0.0"/>
    <x v="10"/>
    <x v="0"/>
  </r>
  <r>
    <n v="5161"/>
    <x v="451"/>
    <s v="Supplier invoice received"/>
    <x v="273"/>
    <s v="748.26"/>
    <x v="11"/>
    <x v="3"/>
  </r>
  <r>
    <n v="5162"/>
    <x v="451"/>
    <s v="Supplier invoice received"/>
    <x v="301"/>
    <s v="0.0"/>
    <x v="9"/>
    <x v="4"/>
  </r>
  <r>
    <n v="5162"/>
    <x v="451"/>
    <s v="Supplier invoice received"/>
    <x v="302"/>
    <s v="0.0"/>
    <x v="10"/>
    <x v="0"/>
  </r>
  <r>
    <n v="5162"/>
    <x v="451"/>
    <s v="Supplier invoice received"/>
    <x v="273"/>
    <s v="4812.46"/>
    <x v="11"/>
    <x v="3"/>
  </r>
  <r>
    <n v="5163"/>
    <x v="451"/>
    <s v="Supplier invoice received"/>
    <x v="374"/>
    <s v="0.0"/>
    <x v="9"/>
    <x v="4"/>
  </r>
  <r>
    <n v="5163"/>
    <x v="451"/>
    <s v="Supplier invoice received"/>
    <x v="375"/>
    <s v="0.0"/>
    <x v="10"/>
    <x v="0"/>
  </r>
  <r>
    <n v="5163"/>
    <x v="451"/>
    <s v="Supplier invoice received"/>
    <x v="273"/>
    <s v="2504.23"/>
    <x v="11"/>
    <x v="3"/>
  </r>
  <r>
    <n v="5164"/>
    <x v="451"/>
    <s v="Supplier invoice received"/>
    <x v="405"/>
    <s v="0.0"/>
    <x v="9"/>
    <x v="4"/>
  </r>
  <r>
    <n v="5164"/>
    <x v="451"/>
    <s v="Supplier invoice received"/>
    <x v="406"/>
    <s v="0.0"/>
    <x v="10"/>
    <x v="0"/>
  </r>
  <r>
    <n v="5164"/>
    <x v="451"/>
    <s v="Supplier invoice received"/>
    <x v="273"/>
    <s v="2635.36"/>
    <x v="11"/>
    <x v="3"/>
  </r>
  <r>
    <n v="5165"/>
    <x v="451"/>
    <s v="Supplier payment made"/>
    <x v="318"/>
    <s v="0.0"/>
    <x v="11"/>
    <x v="3"/>
  </r>
  <r>
    <n v="5165"/>
    <x v="451"/>
    <s v="Supplier payment made"/>
    <x v="273"/>
    <s v="2504.23"/>
    <x v="0"/>
    <x v="0"/>
  </r>
  <r>
    <n v="5166"/>
    <x v="451"/>
    <s v="Supplier payment made"/>
    <x v="313"/>
    <s v="0.0"/>
    <x v="11"/>
    <x v="3"/>
  </r>
  <r>
    <n v="5166"/>
    <x v="451"/>
    <s v="Supplier payment made"/>
    <x v="273"/>
    <s v="1159.84"/>
    <x v="0"/>
    <x v="0"/>
  </r>
  <r>
    <n v="5167"/>
    <x v="452"/>
    <s v="Sales invoice issued"/>
    <x v="2101"/>
    <s v="0.0"/>
    <x v="2"/>
    <x v="0"/>
  </r>
  <r>
    <n v="5167"/>
    <x v="452"/>
    <s v="Sales invoice issued"/>
    <x v="273"/>
    <s v="135.62"/>
    <x v="3"/>
    <x v="2"/>
  </r>
  <r>
    <n v="5167"/>
    <x v="452"/>
    <s v="Sales invoice issued"/>
    <x v="273"/>
    <s v="10.17"/>
    <x v="4"/>
    <x v="3"/>
  </r>
  <r>
    <n v="5168"/>
    <x v="452"/>
    <s v="Sales invoice issued"/>
    <x v="2102"/>
    <s v="0.0"/>
    <x v="2"/>
    <x v="0"/>
  </r>
  <r>
    <n v="5168"/>
    <x v="452"/>
    <s v="Sales invoice issued"/>
    <x v="273"/>
    <s v="2217.26"/>
    <x v="3"/>
    <x v="2"/>
  </r>
  <r>
    <n v="5168"/>
    <x v="452"/>
    <s v="Sales invoice issued"/>
    <x v="273"/>
    <s v="166.3"/>
    <x v="4"/>
    <x v="3"/>
  </r>
  <r>
    <n v="5169"/>
    <x v="452"/>
    <s v="Sales invoice issued"/>
    <x v="2103"/>
    <s v="0.0"/>
    <x v="2"/>
    <x v="0"/>
  </r>
  <r>
    <n v="5169"/>
    <x v="452"/>
    <s v="Sales invoice issued"/>
    <x v="273"/>
    <s v="3923.45"/>
    <x v="3"/>
    <x v="2"/>
  </r>
  <r>
    <n v="5169"/>
    <x v="452"/>
    <s v="Sales invoice issued"/>
    <x v="273"/>
    <s v="294.25"/>
    <x v="4"/>
    <x v="3"/>
  </r>
  <r>
    <n v="5170"/>
    <x v="452"/>
    <s v="Sales invoice issued"/>
    <x v="2104"/>
    <s v="0.0"/>
    <x v="2"/>
    <x v="0"/>
  </r>
  <r>
    <n v="5170"/>
    <x v="452"/>
    <s v="Sales invoice issued"/>
    <x v="273"/>
    <s v="1229.52"/>
    <x v="3"/>
    <x v="2"/>
  </r>
  <r>
    <n v="5170"/>
    <x v="452"/>
    <s v="Sales invoice issued"/>
    <x v="273"/>
    <s v="92.21"/>
    <x v="4"/>
    <x v="3"/>
  </r>
  <r>
    <n v="5171"/>
    <x v="452"/>
    <s v="Sales invoice issued"/>
    <x v="2105"/>
    <s v="0.0"/>
    <x v="2"/>
    <x v="0"/>
  </r>
  <r>
    <n v="5171"/>
    <x v="452"/>
    <s v="Sales invoice issued"/>
    <x v="273"/>
    <s v="2413.75"/>
    <x v="3"/>
    <x v="2"/>
  </r>
  <r>
    <n v="5171"/>
    <x v="452"/>
    <s v="Sales invoice issued"/>
    <x v="273"/>
    <s v="181.02"/>
    <x v="4"/>
    <x v="3"/>
  </r>
  <r>
    <n v="5172"/>
    <x v="452"/>
    <s v="Customer payment received"/>
    <x v="1919"/>
    <s v="0.0"/>
    <x v="0"/>
    <x v="0"/>
  </r>
  <r>
    <n v="5172"/>
    <x v="452"/>
    <s v="Customer payment received"/>
    <x v="273"/>
    <s v="597.57"/>
    <x v="2"/>
    <x v="0"/>
  </r>
  <r>
    <n v="5173"/>
    <x v="452"/>
    <s v="Customer payment received"/>
    <x v="1945"/>
    <s v="0.0"/>
    <x v="0"/>
    <x v="0"/>
  </r>
  <r>
    <n v="5173"/>
    <x v="452"/>
    <s v="Customer payment received"/>
    <x v="273"/>
    <s v="603.7"/>
    <x v="2"/>
    <x v="0"/>
  </r>
  <r>
    <n v="5174"/>
    <x v="452"/>
    <s v="Customer payment received"/>
    <x v="398"/>
    <s v="0.0"/>
    <x v="0"/>
    <x v="0"/>
  </r>
  <r>
    <n v="5174"/>
    <x v="452"/>
    <s v="Customer payment received"/>
    <x v="273"/>
    <s v="448.24"/>
    <x v="2"/>
    <x v="0"/>
  </r>
  <r>
    <n v="5175"/>
    <x v="452"/>
    <s v="Customer payment received"/>
    <x v="1985"/>
    <s v="0.0"/>
    <x v="0"/>
    <x v="0"/>
  </r>
  <r>
    <n v="5175"/>
    <x v="452"/>
    <s v="Customer payment received"/>
    <x v="273"/>
    <s v="6786.83"/>
    <x v="2"/>
    <x v="0"/>
  </r>
  <r>
    <n v="5176"/>
    <x v="452"/>
    <s v="Customer payment received"/>
    <x v="2041"/>
    <s v="0.0"/>
    <x v="0"/>
    <x v="0"/>
  </r>
  <r>
    <n v="5176"/>
    <x v="452"/>
    <s v="Customer payment received"/>
    <x v="273"/>
    <s v="2818.02"/>
    <x v="2"/>
    <x v="0"/>
  </r>
  <r>
    <n v="5177"/>
    <x v="452"/>
    <s v="Customer payment received"/>
    <x v="2057"/>
    <s v="0.0"/>
    <x v="0"/>
    <x v="0"/>
  </r>
  <r>
    <n v="5177"/>
    <x v="452"/>
    <s v="Customer payment received"/>
    <x v="273"/>
    <s v="764.01"/>
    <x v="2"/>
    <x v="0"/>
  </r>
  <r>
    <n v="5178"/>
    <x v="452"/>
    <s v="Customer payment received"/>
    <x v="2082"/>
    <s v="0.0"/>
    <x v="0"/>
    <x v="0"/>
  </r>
  <r>
    <n v="5178"/>
    <x v="452"/>
    <s v="Customer payment received"/>
    <x v="273"/>
    <s v="2321.79"/>
    <x v="2"/>
    <x v="0"/>
  </r>
  <r>
    <n v="5179"/>
    <x v="452"/>
    <s v="Supplier invoice received"/>
    <x v="305"/>
    <s v="0.0"/>
    <x v="9"/>
    <x v="4"/>
  </r>
  <r>
    <n v="5179"/>
    <x v="452"/>
    <s v="Supplier invoice received"/>
    <x v="306"/>
    <s v="0.0"/>
    <x v="10"/>
    <x v="0"/>
  </r>
  <r>
    <n v="5179"/>
    <x v="452"/>
    <s v="Supplier invoice received"/>
    <x v="273"/>
    <s v="276.32"/>
    <x v="11"/>
    <x v="3"/>
  </r>
  <r>
    <n v="5180"/>
    <x v="452"/>
    <s v="Supplier payment made"/>
    <x v="424"/>
    <s v="0.0"/>
    <x v="11"/>
    <x v="3"/>
  </r>
  <r>
    <n v="5180"/>
    <x v="452"/>
    <s v="Supplier payment made"/>
    <x v="273"/>
    <s v="1591.54"/>
    <x v="0"/>
    <x v="0"/>
  </r>
  <r>
    <n v="5181"/>
    <x v="452"/>
    <s v="Supplier payment made"/>
    <x v="353"/>
    <s v="0.0"/>
    <x v="11"/>
    <x v="3"/>
  </r>
  <r>
    <n v="5181"/>
    <x v="452"/>
    <s v="Supplier payment made"/>
    <x v="273"/>
    <s v="2918.17"/>
    <x v="0"/>
    <x v="0"/>
  </r>
  <r>
    <n v="5182"/>
    <x v="452"/>
    <s v="Supplier payment made"/>
    <x v="310"/>
    <s v="0.0"/>
    <x v="11"/>
    <x v="3"/>
  </r>
  <r>
    <n v="5182"/>
    <x v="452"/>
    <s v="Supplier payment made"/>
    <x v="273"/>
    <s v="276.32"/>
    <x v="0"/>
    <x v="0"/>
  </r>
  <r>
    <n v="5183"/>
    <x v="453"/>
    <s v="Sales invoice issued"/>
    <x v="2106"/>
    <s v="0.0"/>
    <x v="2"/>
    <x v="0"/>
  </r>
  <r>
    <n v="5183"/>
    <x v="453"/>
    <s v="Sales invoice issued"/>
    <x v="273"/>
    <s v="4790.5"/>
    <x v="3"/>
    <x v="2"/>
  </r>
  <r>
    <n v="5183"/>
    <x v="453"/>
    <s v="Sales invoice issued"/>
    <x v="273"/>
    <s v="359.29"/>
    <x v="4"/>
    <x v="3"/>
  </r>
  <r>
    <n v="5184"/>
    <x v="453"/>
    <s v="Sales invoice issued"/>
    <x v="2107"/>
    <s v="0.0"/>
    <x v="2"/>
    <x v="0"/>
  </r>
  <r>
    <n v="5184"/>
    <x v="453"/>
    <s v="Sales invoice issued"/>
    <x v="273"/>
    <s v="369.12"/>
    <x v="3"/>
    <x v="2"/>
  </r>
  <r>
    <n v="5184"/>
    <x v="453"/>
    <s v="Sales invoice issued"/>
    <x v="273"/>
    <s v="27.68"/>
    <x v="4"/>
    <x v="3"/>
  </r>
  <r>
    <n v="5185"/>
    <x v="453"/>
    <s v="Sales invoice issued"/>
    <x v="2108"/>
    <s v="0.0"/>
    <x v="2"/>
    <x v="0"/>
  </r>
  <r>
    <n v="5185"/>
    <x v="453"/>
    <s v="Sales invoice issued"/>
    <x v="273"/>
    <s v="1942.92"/>
    <x v="3"/>
    <x v="2"/>
  </r>
  <r>
    <n v="5185"/>
    <x v="453"/>
    <s v="Sales invoice issued"/>
    <x v="273"/>
    <s v="145.72"/>
    <x v="4"/>
    <x v="3"/>
  </r>
  <r>
    <n v="5186"/>
    <x v="453"/>
    <s v="Sales invoice issued"/>
    <x v="2109"/>
    <s v="0.0"/>
    <x v="2"/>
    <x v="0"/>
  </r>
  <r>
    <n v="5186"/>
    <x v="453"/>
    <s v="Sales invoice issued"/>
    <x v="273"/>
    <s v="2373.78"/>
    <x v="3"/>
    <x v="2"/>
  </r>
  <r>
    <n v="5186"/>
    <x v="453"/>
    <s v="Sales invoice issued"/>
    <x v="273"/>
    <s v="178.04"/>
    <x v="4"/>
    <x v="3"/>
  </r>
  <r>
    <n v="5187"/>
    <x v="453"/>
    <s v="Sales invoice issued"/>
    <x v="2110"/>
    <s v="0.0"/>
    <x v="2"/>
    <x v="0"/>
  </r>
  <r>
    <n v="5187"/>
    <x v="453"/>
    <s v="Sales invoice issued"/>
    <x v="273"/>
    <s v="2677.42"/>
    <x v="3"/>
    <x v="2"/>
  </r>
  <r>
    <n v="5187"/>
    <x v="453"/>
    <s v="Sales invoice issued"/>
    <x v="273"/>
    <s v="200.81"/>
    <x v="4"/>
    <x v="3"/>
  </r>
  <r>
    <n v="5188"/>
    <x v="453"/>
    <s v="Sales invoice issued"/>
    <x v="2111"/>
    <s v="0.0"/>
    <x v="2"/>
    <x v="0"/>
  </r>
  <r>
    <n v="5188"/>
    <x v="453"/>
    <s v="Sales invoice issued"/>
    <x v="273"/>
    <s v="3249.69"/>
    <x v="3"/>
    <x v="2"/>
  </r>
  <r>
    <n v="5188"/>
    <x v="453"/>
    <s v="Sales invoice issued"/>
    <x v="273"/>
    <s v="243.72"/>
    <x v="4"/>
    <x v="3"/>
  </r>
  <r>
    <n v="5189"/>
    <x v="453"/>
    <s v="Sales invoice issued"/>
    <x v="2112"/>
    <s v="0.0"/>
    <x v="2"/>
    <x v="0"/>
  </r>
  <r>
    <n v="5189"/>
    <x v="453"/>
    <s v="Sales invoice issued"/>
    <x v="273"/>
    <s v="4366.73"/>
    <x v="3"/>
    <x v="2"/>
  </r>
  <r>
    <n v="5189"/>
    <x v="453"/>
    <s v="Sales invoice issued"/>
    <x v="273"/>
    <s v="327.51"/>
    <x v="4"/>
    <x v="3"/>
  </r>
  <r>
    <n v="5190"/>
    <x v="453"/>
    <s v="Customer payment received"/>
    <x v="1978"/>
    <s v="0.0"/>
    <x v="0"/>
    <x v="0"/>
  </r>
  <r>
    <n v="5190"/>
    <x v="453"/>
    <s v="Customer payment received"/>
    <x v="273"/>
    <s v="3299.13"/>
    <x v="2"/>
    <x v="0"/>
  </r>
  <r>
    <n v="5191"/>
    <x v="453"/>
    <s v="Customer payment received"/>
    <x v="1993"/>
    <s v="0.0"/>
    <x v="0"/>
    <x v="0"/>
  </r>
  <r>
    <n v="5191"/>
    <x v="453"/>
    <s v="Customer payment received"/>
    <x v="273"/>
    <s v="395.43"/>
    <x v="2"/>
    <x v="0"/>
  </r>
  <r>
    <n v="5192"/>
    <x v="453"/>
    <s v="Customer payment received"/>
    <x v="753"/>
    <s v="0.0"/>
    <x v="0"/>
    <x v="0"/>
  </r>
  <r>
    <n v="5192"/>
    <x v="453"/>
    <s v="Customer payment received"/>
    <x v="273"/>
    <s v="590.71"/>
    <x v="2"/>
    <x v="0"/>
  </r>
  <r>
    <n v="5193"/>
    <x v="453"/>
    <s v="Customer payment received"/>
    <x v="2055"/>
    <s v="0.0"/>
    <x v="0"/>
    <x v="0"/>
  </r>
  <r>
    <n v="5193"/>
    <x v="453"/>
    <s v="Customer payment received"/>
    <x v="273"/>
    <s v="3283.83"/>
    <x v="2"/>
    <x v="0"/>
  </r>
  <r>
    <n v="5194"/>
    <x v="453"/>
    <s v="Customer payment received"/>
    <x v="2059"/>
    <s v="0.0"/>
    <x v="0"/>
    <x v="0"/>
  </r>
  <r>
    <n v="5194"/>
    <x v="453"/>
    <s v="Customer payment received"/>
    <x v="273"/>
    <s v="3738.68"/>
    <x v="2"/>
    <x v="0"/>
  </r>
  <r>
    <n v="5195"/>
    <x v="453"/>
    <s v="Customer payment received"/>
    <x v="2072"/>
    <s v="0.0"/>
    <x v="0"/>
    <x v="0"/>
  </r>
  <r>
    <n v="5195"/>
    <x v="453"/>
    <s v="Customer payment received"/>
    <x v="273"/>
    <s v="3032.39"/>
    <x v="2"/>
    <x v="0"/>
  </r>
  <r>
    <n v="5196"/>
    <x v="453"/>
    <s v="Customer payment received"/>
    <x v="2076"/>
    <s v="0.0"/>
    <x v="0"/>
    <x v="0"/>
  </r>
  <r>
    <n v="5196"/>
    <x v="453"/>
    <s v="Customer payment received"/>
    <x v="273"/>
    <s v="3052.05"/>
    <x v="2"/>
    <x v="0"/>
  </r>
  <r>
    <n v="5197"/>
    <x v="453"/>
    <s v="Customer payment received"/>
    <x v="2077"/>
    <s v="0.0"/>
    <x v="0"/>
    <x v="0"/>
  </r>
  <r>
    <n v="5197"/>
    <x v="453"/>
    <s v="Customer payment received"/>
    <x v="273"/>
    <s v="5090.0"/>
    <x v="2"/>
    <x v="0"/>
  </r>
  <r>
    <n v="5198"/>
    <x v="453"/>
    <s v="Customer payment received"/>
    <x v="1241"/>
    <s v="0.0"/>
    <x v="0"/>
    <x v="0"/>
  </r>
  <r>
    <n v="5198"/>
    <x v="453"/>
    <s v="Customer payment received"/>
    <x v="273"/>
    <s v="45.9"/>
    <x v="2"/>
    <x v="0"/>
  </r>
  <r>
    <n v="5199"/>
    <x v="453"/>
    <s v="Customer payment received"/>
    <x v="2113"/>
    <s v="0.0"/>
    <x v="0"/>
    <x v="0"/>
  </r>
  <r>
    <n v="5199"/>
    <x v="453"/>
    <s v="Customer payment received"/>
    <x v="273"/>
    <s v="1446.37"/>
    <x v="2"/>
    <x v="0"/>
  </r>
  <r>
    <n v="5200"/>
    <x v="453"/>
    <s v="Supplier payment made"/>
    <x v="309"/>
    <s v="0.0"/>
    <x v="11"/>
    <x v="3"/>
  </r>
  <r>
    <n v="5200"/>
    <x v="453"/>
    <s v="Supplier payment made"/>
    <x v="273"/>
    <s v="4812.46"/>
    <x v="0"/>
    <x v="0"/>
  </r>
  <r>
    <n v="5201"/>
    <x v="453"/>
    <s v="Supplier payment made"/>
    <x v="408"/>
    <s v="0.0"/>
    <x v="11"/>
    <x v="3"/>
  </r>
  <r>
    <n v="5201"/>
    <x v="453"/>
    <s v="Supplier payment made"/>
    <x v="273"/>
    <s v="3868.8"/>
    <x v="0"/>
    <x v="0"/>
  </r>
  <r>
    <n v="5202"/>
    <x v="454"/>
    <s v="Payroll processed"/>
    <x v="2114"/>
    <s v="0.0"/>
    <x v="5"/>
    <x v="4"/>
  </r>
  <r>
    <n v="5202"/>
    <x v="454"/>
    <s v="Payroll processed"/>
    <x v="2115"/>
    <s v="0.0"/>
    <x v="6"/>
    <x v="4"/>
  </r>
  <r>
    <n v="5202"/>
    <x v="454"/>
    <s v="Payroll processed"/>
    <x v="273"/>
    <s v="18279.35"/>
    <x v="0"/>
    <x v="0"/>
  </r>
  <r>
    <n v="5202"/>
    <x v="454"/>
    <s v="Payroll processed"/>
    <x v="273"/>
    <s v="4352.58"/>
    <x v="7"/>
    <x v="3"/>
  </r>
  <r>
    <n v="5202"/>
    <x v="454"/>
    <s v="Payroll processed"/>
    <x v="273"/>
    <s v="905.28"/>
    <x v="8"/>
    <x v="3"/>
  </r>
  <r>
    <n v="5203"/>
    <x v="454"/>
    <s v="Sales invoice issued"/>
    <x v="2116"/>
    <s v="0.0"/>
    <x v="2"/>
    <x v="0"/>
  </r>
  <r>
    <n v="5203"/>
    <x v="454"/>
    <s v="Sales invoice issued"/>
    <x v="273"/>
    <s v="811.71"/>
    <x v="3"/>
    <x v="2"/>
  </r>
  <r>
    <n v="5203"/>
    <x v="454"/>
    <s v="Sales invoice issued"/>
    <x v="273"/>
    <s v="60.87"/>
    <x v="4"/>
    <x v="3"/>
  </r>
  <r>
    <n v="5204"/>
    <x v="454"/>
    <s v="Sales invoice issued"/>
    <x v="2117"/>
    <s v="0.0"/>
    <x v="2"/>
    <x v="0"/>
  </r>
  <r>
    <n v="5204"/>
    <x v="454"/>
    <s v="Sales invoice issued"/>
    <x v="273"/>
    <s v="4948.59"/>
    <x v="3"/>
    <x v="2"/>
  </r>
  <r>
    <n v="5204"/>
    <x v="454"/>
    <s v="Sales invoice issued"/>
    <x v="273"/>
    <s v="371.15"/>
    <x v="4"/>
    <x v="3"/>
  </r>
  <r>
    <n v="5205"/>
    <x v="454"/>
    <s v="Sales invoice issued"/>
    <x v="2118"/>
    <s v="0.0"/>
    <x v="2"/>
    <x v="0"/>
  </r>
  <r>
    <n v="5205"/>
    <x v="454"/>
    <s v="Sales invoice issued"/>
    <x v="273"/>
    <s v="1703.47"/>
    <x v="3"/>
    <x v="2"/>
  </r>
  <r>
    <n v="5205"/>
    <x v="454"/>
    <s v="Sales invoice issued"/>
    <x v="273"/>
    <s v="127.76"/>
    <x v="4"/>
    <x v="3"/>
  </r>
  <r>
    <n v="5206"/>
    <x v="454"/>
    <s v="Sales invoice issued"/>
    <x v="2119"/>
    <s v="0.0"/>
    <x v="2"/>
    <x v="0"/>
  </r>
  <r>
    <n v="5206"/>
    <x v="454"/>
    <s v="Sales invoice issued"/>
    <x v="273"/>
    <s v="3028.78"/>
    <x v="3"/>
    <x v="2"/>
  </r>
  <r>
    <n v="5206"/>
    <x v="454"/>
    <s v="Sales invoice issued"/>
    <x v="273"/>
    <s v="227.15"/>
    <x v="4"/>
    <x v="3"/>
  </r>
  <r>
    <n v="5207"/>
    <x v="454"/>
    <s v="Sales invoice issued"/>
    <x v="2120"/>
    <s v="0.0"/>
    <x v="2"/>
    <x v="0"/>
  </r>
  <r>
    <n v="5207"/>
    <x v="454"/>
    <s v="Sales invoice issued"/>
    <x v="273"/>
    <s v="3027.28"/>
    <x v="3"/>
    <x v="2"/>
  </r>
  <r>
    <n v="5207"/>
    <x v="454"/>
    <s v="Sales invoice issued"/>
    <x v="273"/>
    <s v="227.05"/>
    <x v="4"/>
    <x v="3"/>
  </r>
  <r>
    <n v="5208"/>
    <x v="454"/>
    <s v="Sales invoice issued"/>
    <x v="2121"/>
    <s v="0.0"/>
    <x v="2"/>
    <x v="0"/>
  </r>
  <r>
    <n v="5208"/>
    <x v="454"/>
    <s v="Sales invoice issued"/>
    <x v="273"/>
    <s v="4363.52"/>
    <x v="3"/>
    <x v="2"/>
  </r>
  <r>
    <n v="5208"/>
    <x v="454"/>
    <s v="Sales invoice issued"/>
    <x v="273"/>
    <s v="327.27"/>
    <x v="4"/>
    <x v="3"/>
  </r>
  <r>
    <n v="5209"/>
    <x v="454"/>
    <s v="Sales invoice issued"/>
    <x v="282"/>
    <s v="0.0"/>
    <x v="2"/>
    <x v="0"/>
  </r>
  <r>
    <n v="5209"/>
    <x v="454"/>
    <s v="Sales invoice issued"/>
    <x v="273"/>
    <s v="652.08"/>
    <x v="3"/>
    <x v="2"/>
  </r>
  <r>
    <n v="5209"/>
    <x v="454"/>
    <s v="Sales invoice issued"/>
    <x v="273"/>
    <s v="48.91"/>
    <x v="4"/>
    <x v="3"/>
  </r>
  <r>
    <n v="5210"/>
    <x v="454"/>
    <s v="Sales invoice issued"/>
    <x v="2122"/>
    <s v="0.0"/>
    <x v="2"/>
    <x v="0"/>
  </r>
  <r>
    <n v="5210"/>
    <x v="454"/>
    <s v="Sales invoice issued"/>
    <x v="273"/>
    <s v="851.04"/>
    <x v="3"/>
    <x v="2"/>
  </r>
  <r>
    <n v="5210"/>
    <x v="454"/>
    <s v="Sales invoice issued"/>
    <x v="273"/>
    <s v="63.83"/>
    <x v="4"/>
    <x v="3"/>
  </r>
  <r>
    <n v="5211"/>
    <x v="454"/>
    <s v="Sales invoice issued"/>
    <x v="2123"/>
    <s v="0.0"/>
    <x v="2"/>
    <x v="0"/>
  </r>
  <r>
    <n v="5211"/>
    <x v="454"/>
    <s v="Sales invoice issued"/>
    <x v="273"/>
    <s v="3855.4"/>
    <x v="3"/>
    <x v="2"/>
  </r>
  <r>
    <n v="5211"/>
    <x v="454"/>
    <s v="Sales invoice issued"/>
    <x v="273"/>
    <s v="289.15"/>
    <x v="4"/>
    <x v="3"/>
  </r>
  <r>
    <n v="5212"/>
    <x v="454"/>
    <s v="Sales invoice issued"/>
    <x v="2124"/>
    <s v="0.0"/>
    <x v="2"/>
    <x v="0"/>
  </r>
  <r>
    <n v="5212"/>
    <x v="454"/>
    <s v="Sales invoice issued"/>
    <x v="273"/>
    <s v="200.46"/>
    <x v="3"/>
    <x v="2"/>
  </r>
  <r>
    <n v="5212"/>
    <x v="454"/>
    <s v="Sales invoice issued"/>
    <x v="273"/>
    <s v="15.03"/>
    <x v="4"/>
    <x v="3"/>
  </r>
  <r>
    <n v="5213"/>
    <x v="454"/>
    <s v="Customer payment received"/>
    <x v="1723"/>
    <s v="0.0"/>
    <x v="0"/>
    <x v="0"/>
  </r>
  <r>
    <n v="5213"/>
    <x v="454"/>
    <s v="Customer payment received"/>
    <x v="273"/>
    <s v="1803.13"/>
    <x v="2"/>
    <x v="0"/>
  </r>
  <r>
    <n v="5214"/>
    <x v="454"/>
    <s v="Customer payment received"/>
    <x v="1770"/>
    <s v="0.0"/>
    <x v="0"/>
    <x v="0"/>
  </r>
  <r>
    <n v="5214"/>
    <x v="454"/>
    <s v="Customer payment received"/>
    <x v="273"/>
    <s v="2343.33"/>
    <x v="2"/>
    <x v="0"/>
  </r>
  <r>
    <n v="5215"/>
    <x v="454"/>
    <s v="Customer payment received"/>
    <x v="2000"/>
    <s v="0.0"/>
    <x v="0"/>
    <x v="0"/>
  </r>
  <r>
    <n v="5215"/>
    <x v="454"/>
    <s v="Customer payment received"/>
    <x v="273"/>
    <s v="2183.23"/>
    <x v="2"/>
    <x v="0"/>
  </r>
  <r>
    <n v="5216"/>
    <x v="454"/>
    <s v="Customer payment received"/>
    <x v="2008"/>
    <s v="0.0"/>
    <x v="0"/>
    <x v="0"/>
  </r>
  <r>
    <n v="5216"/>
    <x v="454"/>
    <s v="Customer payment received"/>
    <x v="273"/>
    <s v="541.66"/>
    <x v="2"/>
    <x v="0"/>
  </r>
  <r>
    <n v="5217"/>
    <x v="454"/>
    <s v="Customer payment received"/>
    <x v="2068"/>
    <s v="0.0"/>
    <x v="0"/>
    <x v="0"/>
  </r>
  <r>
    <n v="5217"/>
    <x v="454"/>
    <s v="Customer payment received"/>
    <x v="273"/>
    <s v="854.85"/>
    <x v="2"/>
    <x v="0"/>
  </r>
  <r>
    <n v="5218"/>
    <x v="454"/>
    <s v="Customer payment received"/>
    <x v="2089"/>
    <s v="0.0"/>
    <x v="0"/>
    <x v="0"/>
  </r>
  <r>
    <n v="5218"/>
    <x v="454"/>
    <s v="Customer payment received"/>
    <x v="273"/>
    <s v="1093.51"/>
    <x v="2"/>
    <x v="0"/>
  </r>
  <r>
    <n v="5219"/>
    <x v="454"/>
    <s v="Supplier invoice received"/>
    <x v="325"/>
    <s v="0.0"/>
    <x v="9"/>
    <x v="4"/>
  </r>
  <r>
    <n v="5219"/>
    <x v="454"/>
    <s v="Supplier invoice received"/>
    <x v="326"/>
    <s v="0.0"/>
    <x v="10"/>
    <x v="0"/>
  </r>
  <r>
    <n v="5219"/>
    <x v="454"/>
    <s v="Supplier invoice received"/>
    <x v="273"/>
    <s v="1304.62"/>
    <x v="11"/>
    <x v="3"/>
  </r>
  <r>
    <n v="5220"/>
    <x v="454"/>
    <s v="Supplier invoice received"/>
    <x v="307"/>
    <s v="0.0"/>
    <x v="9"/>
    <x v="4"/>
  </r>
  <r>
    <n v="5220"/>
    <x v="454"/>
    <s v="Supplier invoice received"/>
    <x v="308"/>
    <s v="0.0"/>
    <x v="10"/>
    <x v="0"/>
  </r>
  <r>
    <n v="5220"/>
    <x v="454"/>
    <s v="Supplier invoice received"/>
    <x v="273"/>
    <s v="2093.28"/>
    <x v="11"/>
    <x v="3"/>
  </r>
  <r>
    <n v="5221"/>
    <x v="454"/>
    <s v="Supplier payment made"/>
    <x v="334"/>
    <s v="0.0"/>
    <x v="11"/>
    <x v="3"/>
  </r>
  <r>
    <n v="5221"/>
    <x v="454"/>
    <s v="Supplier payment made"/>
    <x v="273"/>
    <s v="3528.97"/>
    <x v="0"/>
    <x v="0"/>
  </r>
  <r>
    <n v="5222"/>
    <x v="454"/>
    <s v="Supplier payment made"/>
    <x v="318"/>
    <s v="0.0"/>
    <x v="11"/>
    <x v="3"/>
  </r>
  <r>
    <n v="5222"/>
    <x v="454"/>
    <s v="Supplier payment made"/>
    <x v="273"/>
    <s v="2504.23"/>
    <x v="0"/>
    <x v="0"/>
  </r>
  <r>
    <n v="5223"/>
    <x v="455"/>
    <s v="Sales invoice issued"/>
    <x v="2125"/>
    <s v="0.0"/>
    <x v="2"/>
    <x v="0"/>
  </r>
  <r>
    <n v="5223"/>
    <x v="455"/>
    <s v="Sales invoice issued"/>
    <x v="273"/>
    <s v="2279.61"/>
    <x v="3"/>
    <x v="2"/>
  </r>
  <r>
    <n v="5223"/>
    <x v="455"/>
    <s v="Sales invoice issued"/>
    <x v="273"/>
    <s v="170.97"/>
    <x v="4"/>
    <x v="3"/>
  </r>
  <r>
    <n v="5224"/>
    <x v="455"/>
    <s v="Sales invoice issued"/>
    <x v="2126"/>
    <s v="0.0"/>
    <x v="2"/>
    <x v="0"/>
  </r>
  <r>
    <n v="5224"/>
    <x v="455"/>
    <s v="Sales invoice issued"/>
    <x v="273"/>
    <s v="2774.31"/>
    <x v="3"/>
    <x v="2"/>
  </r>
  <r>
    <n v="5224"/>
    <x v="455"/>
    <s v="Sales invoice issued"/>
    <x v="273"/>
    <s v="208.07"/>
    <x v="4"/>
    <x v="3"/>
  </r>
  <r>
    <n v="5225"/>
    <x v="455"/>
    <s v="Sales invoice issued"/>
    <x v="2127"/>
    <s v="0.0"/>
    <x v="2"/>
    <x v="0"/>
  </r>
  <r>
    <n v="5225"/>
    <x v="455"/>
    <s v="Sales invoice issued"/>
    <x v="273"/>
    <s v="3254.94"/>
    <x v="3"/>
    <x v="2"/>
  </r>
  <r>
    <n v="5225"/>
    <x v="455"/>
    <s v="Sales invoice issued"/>
    <x v="273"/>
    <s v="244.11"/>
    <x v="4"/>
    <x v="3"/>
  </r>
  <r>
    <n v="5226"/>
    <x v="455"/>
    <s v="Sales invoice issued"/>
    <x v="2128"/>
    <s v="0.0"/>
    <x v="2"/>
    <x v="0"/>
  </r>
  <r>
    <n v="5226"/>
    <x v="455"/>
    <s v="Sales invoice issued"/>
    <x v="273"/>
    <s v="1824.55"/>
    <x v="3"/>
    <x v="2"/>
  </r>
  <r>
    <n v="5226"/>
    <x v="455"/>
    <s v="Sales invoice issued"/>
    <x v="273"/>
    <s v="136.84"/>
    <x v="4"/>
    <x v="3"/>
  </r>
  <r>
    <n v="5227"/>
    <x v="455"/>
    <s v="Sales invoice issued"/>
    <x v="2129"/>
    <s v="0.0"/>
    <x v="2"/>
    <x v="0"/>
  </r>
  <r>
    <n v="5227"/>
    <x v="455"/>
    <s v="Sales invoice issued"/>
    <x v="273"/>
    <s v="1359.68"/>
    <x v="3"/>
    <x v="2"/>
  </r>
  <r>
    <n v="5227"/>
    <x v="455"/>
    <s v="Sales invoice issued"/>
    <x v="273"/>
    <s v="101.98"/>
    <x v="4"/>
    <x v="3"/>
  </r>
  <r>
    <n v="5228"/>
    <x v="455"/>
    <s v="Sales invoice issued"/>
    <x v="2130"/>
    <s v="0.0"/>
    <x v="2"/>
    <x v="0"/>
  </r>
  <r>
    <n v="5228"/>
    <x v="455"/>
    <s v="Sales invoice issued"/>
    <x v="273"/>
    <s v="2657.14"/>
    <x v="3"/>
    <x v="2"/>
  </r>
  <r>
    <n v="5228"/>
    <x v="455"/>
    <s v="Sales invoice issued"/>
    <x v="273"/>
    <s v="199.28"/>
    <x v="4"/>
    <x v="3"/>
  </r>
  <r>
    <n v="5229"/>
    <x v="455"/>
    <s v="Sales invoice issued"/>
    <x v="2131"/>
    <s v="0.0"/>
    <x v="2"/>
    <x v="0"/>
  </r>
  <r>
    <n v="5229"/>
    <x v="455"/>
    <s v="Sales invoice issued"/>
    <x v="273"/>
    <s v="4898.33"/>
    <x v="3"/>
    <x v="2"/>
  </r>
  <r>
    <n v="5229"/>
    <x v="455"/>
    <s v="Sales invoice issued"/>
    <x v="273"/>
    <s v="367.37"/>
    <x v="4"/>
    <x v="3"/>
  </r>
  <r>
    <n v="5230"/>
    <x v="455"/>
    <s v="Sales invoice issued"/>
    <x v="2132"/>
    <s v="0.0"/>
    <x v="2"/>
    <x v="0"/>
  </r>
  <r>
    <n v="5230"/>
    <x v="455"/>
    <s v="Sales invoice issued"/>
    <x v="273"/>
    <s v="2009.12"/>
    <x v="3"/>
    <x v="2"/>
  </r>
  <r>
    <n v="5230"/>
    <x v="455"/>
    <s v="Sales invoice issued"/>
    <x v="273"/>
    <s v="150.67"/>
    <x v="4"/>
    <x v="3"/>
  </r>
  <r>
    <n v="5231"/>
    <x v="455"/>
    <s v="Sales invoice issued"/>
    <x v="2133"/>
    <s v="0.0"/>
    <x v="2"/>
    <x v="0"/>
  </r>
  <r>
    <n v="5231"/>
    <x v="455"/>
    <s v="Sales invoice issued"/>
    <x v="273"/>
    <s v="1368.56"/>
    <x v="3"/>
    <x v="2"/>
  </r>
  <r>
    <n v="5231"/>
    <x v="455"/>
    <s v="Sales invoice issued"/>
    <x v="273"/>
    <s v="102.65"/>
    <x v="4"/>
    <x v="3"/>
  </r>
  <r>
    <n v="5232"/>
    <x v="455"/>
    <s v="Customer payment received"/>
    <x v="1948"/>
    <s v="0.0"/>
    <x v="0"/>
    <x v="0"/>
  </r>
  <r>
    <n v="5232"/>
    <x v="455"/>
    <s v="Customer payment received"/>
    <x v="273"/>
    <s v="236.29"/>
    <x v="2"/>
    <x v="0"/>
  </r>
  <r>
    <n v="5233"/>
    <x v="455"/>
    <s v="Customer payment received"/>
    <x v="1964"/>
    <s v="0.0"/>
    <x v="0"/>
    <x v="0"/>
  </r>
  <r>
    <n v="5233"/>
    <x v="455"/>
    <s v="Customer payment received"/>
    <x v="273"/>
    <s v="1121.55"/>
    <x v="2"/>
    <x v="0"/>
  </r>
  <r>
    <n v="5234"/>
    <x v="455"/>
    <s v="Customer payment received"/>
    <x v="2013"/>
    <s v="0.0"/>
    <x v="0"/>
    <x v="0"/>
  </r>
  <r>
    <n v="5234"/>
    <x v="455"/>
    <s v="Customer payment received"/>
    <x v="273"/>
    <s v="1323.27"/>
    <x v="2"/>
    <x v="0"/>
  </r>
  <r>
    <n v="5235"/>
    <x v="455"/>
    <s v="Customer payment received"/>
    <x v="2065"/>
    <s v="0.0"/>
    <x v="0"/>
    <x v="0"/>
  </r>
  <r>
    <n v="5235"/>
    <x v="455"/>
    <s v="Customer payment received"/>
    <x v="273"/>
    <s v="1485.88"/>
    <x v="2"/>
    <x v="0"/>
  </r>
  <r>
    <n v="5236"/>
    <x v="455"/>
    <s v="Customer payment received"/>
    <x v="2134"/>
    <s v="0.0"/>
    <x v="0"/>
    <x v="0"/>
  </r>
  <r>
    <n v="5236"/>
    <x v="455"/>
    <s v="Customer payment received"/>
    <x v="273"/>
    <s v="1714.23"/>
    <x v="2"/>
    <x v="0"/>
  </r>
  <r>
    <n v="5237"/>
    <x v="455"/>
    <s v="Customer payment received"/>
    <x v="2128"/>
    <s v="0.0"/>
    <x v="0"/>
    <x v="0"/>
  </r>
  <r>
    <n v="5237"/>
    <x v="455"/>
    <s v="Customer payment received"/>
    <x v="273"/>
    <s v="1961.39"/>
    <x v="2"/>
    <x v="0"/>
  </r>
  <r>
    <n v="5238"/>
    <x v="455"/>
    <s v="Customer payment received"/>
    <x v="2131"/>
    <s v="0.0"/>
    <x v="0"/>
    <x v="0"/>
  </r>
  <r>
    <n v="5238"/>
    <x v="455"/>
    <s v="Customer payment received"/>
    <x v="273"/>
    <s v="5265.7"/>
    <x v="2"/>
    <x v="0"/>
  </r>
  <r>
    <n v="5239"/>
    <x v="455"/>
    <s v="Supplier invoice received"/>
    <x v="357"/>
    <s v="0.0"/>
    <x v="9"/>
    <x v="4"/>
  </r>
  <r>
    <n v="5239"/>
    <x v="455"/>
    <s v="Supplier invoice received"/>
    <x v="358"/>
    <s v="0.0"/>
    <x v="10"/>
    <x v="0"/>
  </r>
  <r>
    <n v="5239"/>
    <x v="455"/>
    <s v="Supplier invoice received"/>
    <x v="273"/>
    <s v="1958.74"/>
    <x v="11"/>
    <x v="3"/>
  </r>
  <r>
    <n v="5240"/>
    <x v="455"/>
    <s v="Supplier payment made"/>
    <x v="488"/>
    <s v="0.0"/>
    <x v="11"/>
    <x v="3"/>
  </r>
  <r>
    <n v="5240"/>
    <x v="455"/>
    <s v="Supplier payment made"/>
    <x v="273"/>
    <s v="2182.41"/>
    <x v="0"/>
    <x v="0"/>
  </r>
  <r>
    <n v="5241"/>
    <x v="456"/>
    <s v="Sales invoice issued"/>
    <x v="2135"/>
    <s v="0.0"/>
    <x v="2"/>
    <x v="0"/>
  </r>
  <r>
    <n v="5241"/>
    <x v="456"/>
    <s v="Sales invoice issued"/>
    <x v="273"/>
    <s v="1693.45"/>
    <x v="3"/>
    <x v="2"/>
  </r>
  <r>
    <n v="5241"/>
    <x v="456"/>
    <s v="Sales invoice issued"/>
    <x v="273"/>
    <s v="127.01"/>
    <x v="4"/>
    <x v="3"/>
  </r>
  <r>
    <n v="5242"/>
    <x v="456"/>
    <s v="Sales invoice issued"/>
    <x v="2136"/>
    <s v="0.0"/>
    <x v="2"/>
    <x v="0"/>
  </r>
  <r>
    <n v="5242"/>
    <x v="456"/>
    <s v="Sales invoice issued"/>
    <x v="273"/>
    <s v="4714.74"/>
    <x v="3"/>
    <x v="2"/>
  </r>
  <r>
    <n v="5242"/>
    <x v="456"/>
    <s v="Sales invoice issued"/>
    <x v="273"/>
    <s v="353.6"/>
    <x v="4"/>
    <x v="3"/>
  </r>
  <r>
    <n v="5243"/>
    <x v="456"/>
    <s v="Sales invoice issued"/>
    <x v="2137"/>
    <s v="0.0"/>
    <x v="2"/>
    <x v="0"/>
  </r>
  <r>
    <n v="5243"/>
    <x v="456"/>
    <s v="Sales invoice issued"/>
    <x v="273"/>
    <s v="2487.39"/>
    <x v="3"/>
    <x v="2"/>
  </r>
  <r>
    <n v="5243"/>
    <x v="456"/>
    <s v="Sales invoice issued"/>
    <x v="273"/>
    <s v="186.54"/>
    <x v="4"/>
    <x v="3"/>
  </r>
  <r>
    <n v="5244"/>
    <x v="456"/>
    <s v="Sales invoice issued"/>
    <x v="2138"/>
    <s v="0.0"/>
    <x v="2"/>
    <x v="0"/>
  </r>
  <r>
    <n v="5244"/>
    <x v="456"/>
    <s v="Sales invoice issued"/>
    <x v="273"/>
    <s v="1388.68"/>
    <x v="3"/>
    <x v="2"/>
  </r>
  <r>
    <n v="5244"/>
    <x v="456"/>
    <s v="Sales invoice issued"/>
    <x v="273"/>
    <s v="104.15"/>
    <x v="4"/>
    <x v="3"/>
  </r>
  <r>
    <n v="5245"/>
    <x v="456"/>
    <s v="Sales invoice issued"/>
    <x v="2139"/>
    <s v="0.0"/>
    <x v="2"/>
    <x v="0"/>
  </r>
  <r>
    <n v="5245"/>
    <x v="456"/>
    <s v="Sales invoice issued"/>
    <x v="273"/>
    <s v="133.64"/>
    <x v="3"/>
    <x v="2"/>
  </r>
  <r>
    <n v="5245"/>
    <x v="456"/>
    <s v="Sales invoice issued"/>
    <x v="273"/>
    <s v="10.02"/>
    <x v="4"/>
    <x v="3"/>
  </r>
  <r>
    <n v="5246"/>
    <x v="456"/>
    <s v="Sales invoice issued"/>
    <x v="2140"/>
    <s v="0.0"/>
    <x v="2"/>
    <x v="0"/>
  </r>
  <r>
    <n v="5246"/>
    <x v="456"/>
    <s v="Sales invoice issued"/>
    <x v="273"/>
    <s v="2673.13"/>
    <x v="3"/>
    <x v="2"/>
  </r>
  <r>
    <n v="5246"/>
    <x v="456"/>
    <s v="Sales invoice issued"/>
    <x v="273"/>
    <s v="200.49"/>
    <x v="4"/>
    <x v="3"/>
  </r>
  <r>
    <n v="5247"/>
    <x v="456"/>
    <s v="Sales invoice issued"/>
    <x v="2141"/>
    <s v="0.0"/>
    <x v="2"/>
    <x v="0"/>
  </r>
  <r>
    <n v="5247"/>
    <x v="456"/>
    <s v="Sales invoice issued"/>
    <x v="273"/>
    <s v="1939.5"/>
    <x v="3"/>
    <x v="2"/>
  </r>
  <r>
    <n v="5247"/>
    <x v="456"/>
    <s v="Sales invoice issued"/>
    <x v="273"/>
    <s v="145.45"/>
    <x v="4"/>
    <x v="3"/>
  </r>
  <r>
    <n v="5248"/>
    <x v="456"/>
    <s v="Customer payment received"/>
    <x v="2142"/>
    <s v="0.0"/>
    <x v="0"/>
    <x v="0"/>
  </r>
  <r>
    <n v="5248"/>
    <x v="456"/>
    <s v="Customer payment received"/>
    <x v="273"/>
    <s v="1074.72"/>
    <x v="2"/>
    <x v="0"/>
  </r>
  <r>
    <n v="5249"/>
    <x v="456"/>
    <s v="Customer payment received"/>
    <x v="921"/>
    <s v="0.0"/>
    <x v="0"/>
    <x v="0"/>
  </r>
  <r>
    <n v="5249"/>
    <x v="456"/>
    <s v="Customer payment received"/>
    <x v="273"/>
    <s v="179.58"/>
    <x v="2"/>
    <x v="0"/>
  </r>
  <r>
    <n v="5250"/>
    <x v="456"/>
    <s v="Customer payment received"/>
    <x v="2004"/>
    <s v="0.0"/>
    <x v="0"/>
    <x v="0"/>
  </r>
  <r>
    <n v="5250"/>
    <x v="456"/>
    <s v="Customer payment received"/>
    <x v="273"/>
    <s v="3662.65"/>
    <x v="2"/>
    <x v="0"/>
  </r>
  <r>
    <n v="5251"/>
    <x v="456"/>
    <s v="Supplier invoice received"/>
    <x v="284"/>
    <s v="0.0"/>
    <x v="9"/>
    <x v="4"/>
  </r>
  <r>
    <n v="5251"/>
    <x v="456"/>
    <s v="Supplier invoice received"/>
    <x v="285"/>
    <s v="0.0"/>
    <x v="10"/>
    <x v="0"/>
  </r>
  <r>
    <n v="5251"/>
    <x v="456"/>
    <s v="Supplier invoice received"/>
    <x v="273"/>
    <s v="9336.67"/>
    <x v="11"/>
    <x v="3"/>
  </r>
  <r>
    <n v="5252"/>
    <x v="456"/>
    <s v="Supplier invoice received"/>
    <x v="303"/>
    <s v="0.0"/>
    <x v="9"/>
    <x v="4"/>
  </r>
  <r>
    <n v="5252"/>
    <x v="456"/>
    <s v="Supplier invoice received"/>
    <x v="304"/>
    <s v="0.0"/>
    <x v="10"/>
    <x v="0"/>
  </r>
  <r>
    <n v="5252"/>
    <x v="456"/>
    <s v="Supplier invoice received"/>
    <x v="273"/>
    <s v="550.4"/>
    <x v="11"/>
    <x v="3"/>
  </r>
  <r>
    <n v="5253"/>
    <x v="456"/>
    <s v="Supplier invoice received"/>
    <x v="295"/>
    <s v="0.0"/>
    <x v="9"/>
    <x v="4"/>
  </r>
  <r>
    <n v="5253"/>
    <x v="456"/>
    <s v="Supplier invoice received"/>
    <x v="296"/>
    <s v="0.0"/>
    <x v="10"/>
    <x v="0"/>
  </r>
  <r>
    <n v="5253"/>
    <x v="456"/>
    <s v="Supplier invoice received"/>
    <x v="273"/>
    <s v="1766.46"/>
    <x v="11"/>
    <x v="3"/>
  </r>
  <r>
    <n v="5254"/>
    <x v="456"/>
    <s v="Supplier invoice received"/>
    <x v="448"/>
    <s v="0.0"/>
    <x v="9"/>
    <x v="4"/>
  </r>
  <r>
    <n v="5254"/>
    <x v="456"/>
    <s v="Supplier invoice received"/>
    <x v="449"/>
    <s v="0.0"/>
    <x v="10"/>
    <x v="0"/>
  </r>
  <r>
    <n v="5254"/>
    <x v="456"/>
    <s v="Supplier invoice received"/>
    <x v="273"/>
    <s v="7227.44"/>
    <x v="11"/>
    <x v="3"/>
  </r>
  <r>
    <n v="5255"/>
    <x v="456"/>
    <s v="Supplier invoice received"/>
    <x v="441"/>
    <s v="0.0"/>
    <x v="9"/>
    <x v="4"/>
  </r>
  <r>
    <n v="5255"/>
    <x v="456"/>
    <s v="Supplier invoice received"/>
    <x v="442"/>
    <s v="0.0"/>
    <x v="10"/>
    <x v="0"/>
  </r>
  <r>
    <n v="5255"/>
    <x v="456"/>
    <s v="Supplier invoice received"/>
    <x v="273"/>
    <s v="179.01"/>
    <x v="11"/>
    <x v="3"/>
  </r>
  <r>
    <n v="5256"/>
    <x v="456"/>
    <s v="Supplier invoice received"/>
    <x v="299"/>
    <s v="0.0"/>
    <x v="9"/>
    <x v="4"/>
  </r>
  <r>
    <n v="5256"/>
    <x v="456"/>
    <s v="Supplier invoice received"/>
    <x v="300"/>
    <s v="0.0"/>
    <x v="10"/>
    <x v="0"/>
  </r>
  <r>
    <n v="5256"/>
    <x v="456"/>
    <s v="Supplier invoice received"/>
    <x v="273"/>
    <s v="2918.17"/>
    <x v="11"/>
    <x v="3"/>
  </r>
  <r>
    <n v="5257"/>
    <x v="456"/>
    <s v="Supplier invoice received"/>
    <x v="474"/>
    <s v="0.0"/>
    <x v="9"/>
    <x v="4"/>
  </r>
  <r>
    <n v="5257"/>
    <x v="456"/>
    <s v="Supplier invoice received"/>
    <x v="475"/>
    <s v="0.0"/>
    <x v="10"/>
    <x v="0"/>
  </r>
  <r>
    <n v="5257"/>
    <x v="456"/>
    <s v="Supplier invoice received"/>
    <x v="273"/>
    <s v="862.91"/>
    <x v="11"/>
    <x v="3"/>
  </r>
  <r>
    <n v="5258"/>
    <x v="456"/>
    <s v="Supplier invoice received"/>
    <x v="374"/>
    <s v="0.0"/>
    <x v="9"/>
    <x v="4"/>
  </r>
  <r>
    <n v="5258"/>
    <x v="456"/>
    <s v="Supplier invoice received"/>
    <x v="375"/>
    <s v="0.0"/>
    <x v="10"/>
    <x v="0"/>
  </r>
  <r>
    <n v="5258"/>
    <x v="456"/>
    <s v="Supplier invoice received"/>
    <x v="273"/>
    <s v="2504.23"/>
    <x v="11"/>
    <x v="3"/>
  </r>
  <r>
    <n v="5259"/>
    <x v="456"/>
    <s v="Supplier invoice received"/>
    <x v="383"/>
    <s v="0.0"/>
    <x v="9"/>
    <x v="4"/>
  </r>
  <r>
    <n v="5259"/>
    <x v="456"/>
    <s v="Supplier invoice received"/>
    <x v="384"/>
    <s v="0.0"/>
    <x v="10"/>
    <x v="0"/>
  </r>
  <r>
    <n v="5259"/>
    <x v="456"/>
    <s v="Supplier invoice received"/>
    <x v="273"/>
    <s v="3868.8"/>
    <x v="11"/>
    <x v="3"/>
  </r>
  <r>
    <n v="5260"/>
    <x v="456"/>
    <s v="Supplier invoice received"/>
    <x v="443"/>
    <s v="0.0"/>
    <x v="9"/>
    <x v="4"/>
  </r>
  <r>
    <n v="5260"/>
    <x v="456"/>
    <s v="Supplier invoice received"/>
    <x v="444"/>
    <s v="0.0"/>
    <x v="10"/>
    <x v="0"/>
  </r>
  <r>
    <n v="5260"/>
    <x v="456"/>
    <s v="Supplier invoice received"/>
    <x v="273"/>
    <s v="748.26"/>
    <x v="11"/>
    <x v="3"/>
  </r>
  <r>
    <n v="5261"/>
    <x v="456"/>
    <s v="Supplier invoice received"/>
    <x v="372"/>
    <s v="0.0"/>
    <x v="9"/>
    <x v="4"/>
  </r>
  <r>
    <n v="5261"/>
    <x v="456"/>
    <s v="Supplier invoice received"/>
    <x v="373"/>
    <s v="0.0"/>
    <x v="10"/>
    <x v="0"/>
  </r>
  <r>
    <n v="5261"/>
    <x v="456"/>
    <s v="Supplier invoice received"/>
    <x v="273"/>
    <s v="412.54"/>
    <x v="11"/>
    <x v="3"/>
  </r>
  <r>
    <n v="5262"/>
    <x v="456"/>
    <s v="Supplier payment made"/>
    <x v="466"/>
    <s v="0.0"/>
    <x v="11"/>
    <x v="3"/>
  </r>
  <r>
    <n v="5262"/>
    <x v="456"/>
    <s v="Supplier payment made"/>
    <x v="273"/>
    <s v="748.26"/>
    <x v="0"/>
    <x v="0"/>
  </r>
  <r>
    <n v="5263"/>
    <x v="457"/>
    <s v="Sales invoice issued"/>
    <x v="2143"/>
    <s v="0.0"/>
    <x v="2"/>
    <x v="0"/>
  </r>
  <r>
    <n v="5263"/>
    <x v="457"/>
    <s v="Sales invoice issued"/>
    <x v="273"/>
    <s v="2602.87"/>
    <x v="3"/>
    <x v="2"/>
  </r>
  <r>
    <n v="5263"/>
    <x v="457"/>
    <s v="Sales invoice issued"/>
    <x v="273"/>
    <s v="195.21"/>
    <x v="4"/>
    <x v="3"/>
  </r>
  <r>
    <n v="5264"/>
    <x v="457"/>
    <s v="Sales invoice issued"/>
    <x v="2144"/>
    <s v="0.0"/>
    <x v="2"/>
    <x v="0"/>
  </r>
  <r>
    <n v="5264"/>
    <x v="457"/>
    <s v="Sales invoice issued"/>
    <x v="273"/>
    <s v="1246.54"/>
    <x v="3"/>
    <x v="2"/>
  </r>
  <r>
    <n v="5264"/>
    <x v="457"/>
    <s v="Sales invoice issued"/>
    <x v="273"/>
    <s v="93.49"/>
    <x v="4"/>
    <x v="3"/>
  </r>
  <r>
    <n v="5265"/>
    <x v="457"/>
    <s v="Sales invoice issued"/>
    <x v="2145"/>
    <s v="0.0"/>
    <x v="2"/>
    <x v="0"/>
  </r>
  <r>
    <n v="5265"/>
    <x v="457"/>
    <s v="Sales invoice issued"/>
    <x v="273"/>
    <s v="1120.4"/>
    <x v="3"/>
    <x v="2"/>
  </r>
  <r>
    <n v="5265"/>
    <x v="457"/>
    <s v="Sales invoice issued"/>
    <x v="273"/>
    <s v="84.03"/>
    <x v="4"/>
    <x v="3"/>
  </r>
  <r>
    <n v="5266"/>
    <x v="457"/>
    <s v="Sales invoice issued"/>
    <x v="2146"/>
    <s v="0.0"/>
    <x v="2"/>
    <x v="0"/>
  </r>
  <r>
    <n v="5266"/>
    <x v="457"/>
    <s v="Sales invoice issued"/>
    <x v="273"/>
    <s v="3012.53"/>
    <x v="3"/>
    <x v="2"/>
  </r>
  <r>
    <n v="5266"/>
    <x v="457"/>
    <s v="Sales invoice issued"/>
    <x v="273"/>
    <s v="225.94"/>
    <x v="4"/>
    <x v="3"/>
  </r>
  <r>
    <n v="5267"/>
    <x v="457"/>
    <s v="Sales invoice issued"/>
    <x v="2147"/>
    <s v="0.0"/>
    <x v="2"/>
    <x v="0"/>
  </r>
  <r>
    <n v="5267"/>
    <x v="457"/>
    <s v="Sales invoice issued"/>
    <x v="273"/>
    <s v="5448.39"/>
    <x v="3"/>
    <x v="2"/>
  </r>
  <r>
    <n v="5267"/>
    <x v="457"/>
    <s v="Sales invoice issued"/>
    <x v="273"/>
    <s v="408.62"/>
    <x v="4"/>
    <x v="3"/>
  </r>
  <r>
    <n v="5268"/>
    <x v="457"/>
    <s v="Customer payment received"/>
    <x v="1995"/>
    <s v="0.0"/>
    <x v="0"/>
    <x v="0"/>
  </r>
  <r>
    <n v="5268"/>
    <x v="457"/>
    <s v="Customer payment received"/>
    <x v="273"/>
    <s v="1334.9"/>
    <x v="2"/>
    <x v="0"/>
  </r>
  <r>
    <n v="5269"/>
    <x v="457"/>
    <s v="Customer payment received"/>
    <x v="2042"/>
    <s v="0.0"/>
    <x v="0"/>
    <x v="0"/>
  </r>
  <r>
    <n v="5269"/>
    <x v="457"/>
    <s v="Customer payment received"/>
    <x v="273"/>
    <s v="1414.55"/>
    <x v="2"/>
    <x v="0"/>
  </r>
  <r>
    <n v="5270"/>
    <x v="457"/>
    <s v="Customer payment received"/>
    <x v="2083"/>
    <s v="0.0"/>
    <x v="0"/>
    <x v="0"/>
  </r>
  <r>
    <n v="5270"/>
    <x v="457"/>
    <s v="Customer payment received"/>
    <x v="273"/>
    <s v="395.21"/>
    <x v="2"/>
    <x v="0"/>
  </r>
  <r>
    <n v="5271"/>
    <x v="457"/>
    <s v="Customer payment received"/>
    <x v="2094"/>
    <s v="0.0"/>
    <x v="0"/>
    <x v="0"/>
  </r>
  <r>
    <n v="5271"/>
    <x v="457"/>
    <s v="Customer payment received"/>
    <x v="273"/>
    <s v="202.29"/>
    <x v="2"/>
    <x v="0"/>
  </r>
  <r>
    <n v="5272"/>
    <x v="457"/>
    <s v="Customer payment received"/>
    <x v="2095"/>
    <s v="0.0"/>
    <x v="0"/>
    <x v="0"/>
  </r>
  <r>
    <n v="5272"/>
    <x v="457"/>
    <s v="Customer payment received"/>
    <x v="273"/>
    <s v="1714.75"/>
    <x v="2"/>
    <x v="0"/>
  </r>
  <r>
    <n v="5273"/>
    <x v="457"/>
    <s v="Customer payment received"/>
    <x v="2148"/>
    <s v="0.0"/>
    <x v="0"/>
    <x v="0"/>
  </r>
  <r>
    <n v="5273"/>
    <x v="457"/>
    <s v="Customer payment received"/>
    <x v="273"/>
    <s v="341.78"/>
    <x v="2"/>
    <x v="0"/>
  </r>
  <r>
    <n v="5274"/>
    <x v="457"/>
    <s v="Customer payment received"/>
    <x v="282"/>
    <s v="0.0"/>
    <x v="0"/>
    <x v="0"/>
  </r>
  <r>
    <n v="5274"/>
    <x v="457"/>
    <s v="Customer payment received"/>
    <x v="273"/>
    <s v="700.99"/>
    <x v="2"/>
    <x v="0"/>
  </r>
  <r>
    <n v="5275"/>
    <x v="457"/>
    <s v="Customer payment received"/>
    <x v="2127"/>
    <s v="0.0"/>
    <x v="0"/>
    <x v="0"/>
  </r>
  <r>
    <n v="5275"/>
    <x v="457"/>
    <s v="Customer payment received"/>
    <x v="273"/>
    <s v="3499.05"/>
    <x v="2"/>
    <x v="0"/>
  </r>
  <r>
    <n v="5276"/>
    <x v="457"/>
    <s v="Supplier invoice received"/>
    <x v="445"/>
    <s v="0.0"/>
    <x v="9"/>
    <x v="4"/>
  </r>
  <r>
    <n v="5276"/>
    <x v="457"/>
    <s v="Supplier invoice received"/>
    <x v="446"/>
    <s v="0.0"/>
    <x v="10"/>
    <x v="0"/>
  </r>
  <r>
    <n v="5276"/>
    <x v="457"/>
    <s v="Supplier invoice received"/>
    <x v="273"/>
    <s v="1794.11"/>
    <x v="11"/>
    <x v="3"/>
  </r>
  <r>
    <n v="5277"/>
    <x v="457"/>
    <s v="Supplier payment made"/>
    <x v="407"/>
    <s v="0.0"/>
    <x v="11"/>
    <x v="3"/>
  </r>
  <r>
    <n v="5277"/>
    <x v="457"/>
    <s v="Supplier payment made"/>
    <x v="273"/>
    <s v="201.5"/>
    <x v="0"/>
    <x v="0"/>
  </r>
  <r>
    <n v="5278"/>
    <x v="457"/>
    <s v="Depreciation â€” POS System"/>
    <x v="425"/>
    <s v="0.0"/>
    <x v="12"/>
    <x v="4"/>
  </r>
  <r>
    <n v="5278"/>
    <x v="457"/>
    <s v="Depreciation â€” POS System"/>
    <x v="273"/>
    <s v="93.61"/>
    <x v="13"/>
    <x v="0"/>
  </r>
  <r>
    <n v="5279"/>
    <x v="457"/>
    <s v="Depreciation â€” Laptop x2"/>
    <x v="426"/>
    <s v="0.0"/>
    <x v="12"/>
    <x v="4"/>
  </r>
  <r>
    <n v="5279"/>
    <x v="457"/>
    <s v="Depreciation â€” Laptop x2"/>
    <x v="273"/>
    <s v="76.86"/>
    <x v="13"/>
    <x v="0"/>
  </r>
  <r>
    <n v="5280"/>
    <x v="457"/>
    <s v="Depreciation â€” Printer/Scanner"/>
    <x v="427"/>
    <s v="0.0"/>
    <x v="12"/>
    <x v="4"/>
  </r>
  <r>
    <n v="5280"/>
    <x v="457"/>
    <s v="Depreciation â€” Printer/Scanner"/>
    <x v="273"/>
    <s v="20.03"/>
    <x v="13"/>
    <x v="0"/>
  </r>
  <r>
    <n v="5281"/>
    <x v="457"/>
    <s v="Depreciation â€” Shop Shelving"/>
    <x v="428"/>
    <s v="0.0"/>
    <x v="12"/>
    <x v="4"/>
  </r>
  <r>
    <n v="5281"/>
    <x v="457"/>
    <s v="Depreciation â€” Shop Shelving"/>
    <x v="273"/>
    <s v="86.89"/>
    <x v="14"/>
    <x v="0"/>
  </r>
  <r>
    <n v="5282"/>
    <x v="457"/>
    <s v="Depreciation â€” Display Stands"/>
    <x v="429"/>
    <s v="0.0"/>
    <x v="12"/>
    <x v="4"/>
  </r>
  <r>
    <n v="5282"/>
    <x v="457"/>
    <s v="Depreciation â€” Display Stands"/>
    <x v="273"/>
    <s v="76.8"/>
    <x v="14"/>
    <x v="0"/>
  </r>
  <r>
    <n v="5283"/>
    <x v="457"/>
    <s v="Depreciation â€” Counter &amp; Checkout"/>
    <x v="430"/>
    <s v="0.0"/>
    <x v="12"/>
    <x v="4"/>
  </r>
  <r>
    <n v="5283"/>
    <x v="457"/>
    <s v="Depreciation â€” Counter &amp; Checkout"/>
    <x v="273"/>
    <s v="48.28"/>
    <x v="14"/>
    <x v="0"/>
  </r>
  <r>
    <n v="5284"/>
    <x v="457"/>
    <s v="Depreciation â€” Signage"/>
    <x v="431"/>
    <s v="0.0"/>
    <x v="12"/>
    <x v="4"/>
  </r>
  <r>
    <n v="5284"/>
    <x v="457"/>
    <s v="Depreciation â€” Signage"/>
    <x v="273"/>
    <s v="53.21"/>
    <x v="14"/>
    <x v="0"/>
  </r>
  <r>
    <n v="5285"/>
    <x v="457"/>
    <s v="Depreciation â€” Delivery Van"/>
    <x v="432"/>
    <s v="0.0"/>
    <x v="12"/>
    <x v="4"/>
  </r>
  <r>
    <n v="5285"/>
    <x v="457"/>
    <s v="Depreciation â€” Delivery Van"/>
    <x v="273"/>
    <s v="232.19"/>
    <x v="15"/>
    <x v="0"/>
  </r>
  <r>
    <n v="5286"/>
    <x v="457"/>
    <s v="Depreciation â€” Security System"/>
    <x v="433"/>
    <s v="0.0"/>
    <x v="12"/>
    <x v="4"/>
  </r>
  <r>
    <n v="5286"/>
    <x v="457"/>
    <s v="Depreciation â€” Security System"/>
    <x v="273"/>
    <s v="43.85"/>
    <x v="13"/>
    <x v="0"/>
  </r>
  <r>
    <n v="5287"/>
    <x v="458"/>
    <s v="Sales invoice issued"/>
    <x v="2149"/>
    <s v="0.0"/>
    <x v="2"/>
    <x v="0"/>
  </r>
  <r>
    <n v="5287"/>
    <x v="458"/>
    <s v="Sales invoice issued"/>
    <x v="273"/>
    <s v="2398.55"/>
    <x v="3"/>
    <x v="2"/>
  </r>
  <r>
    <n v="5287"/>
    <x v="458"/>
    <s v="Sales invoice issued"/>
    <x v="273"/>
    <s v="179.89"/>
    <x v="4"/>
    <x v="3"/>
  </r>
  <r>
    <n v="5288"/>
    <x v="458"/>
    <s v="Sales invoice issued"/>
    <x v="2150"/>
    <s v="0.0"/>
    <x v="2"/>
    <x v="0"/>
  </r>
  <r>
    <n v="5288"/>
    <x v="458"/>
    <s v="Sales invoice issued"/>
    <x v="273"/>
    <s v="2059.44"/>
    <x v="3"/>
    <x v="2"/>
  </r>
  <r>
    <n v="5288"/>
    <x v="458"/>
    <s v="Sales invoice issued"/>
    <x v="273"/>
    <s v="154.46"/>
    <x v="4"/>
    <x v="3"/>
  </r>
  <r>
    <n v="5289"/>
    <x v="458"/>
    <s v="Sales invoice issued"/>
    <x v="2151"/>
    <s v="0.0"/>
    <x v="2"/>
    <x v="0"/>
  </r>
  <r>
    <n v="5289"/>
    <x v="458"/>
    <s v="Sales invoice issued"/>
    <x v="273"/>
    <s v="4403.72"/>
    <x v="3"/>
    <x v="2"/>
  </r>
  <r>
    <n v="5289"/>
    <x v="458"/>
    <s v="Sales invoice issued"/>
    <x v="273"/>
    <s v="330.29"/>
    <x v="4"/>
    <x v="3"/>
  </r>
  <r>
    <n v="5290"/>
    <x v="458"/>
    <s v="Sales invoice issued"/>
    <x v="2152"/>
    <s v="0.0"/>
    <x v="2"/>
    <x v="0"/>
  </r>
  <r>
    <n v="5290"/>
    <x v="458"/>
    <s v="Sales invoice issued"/>
    <x v="273"/>
    <s v="1011.99"/>
    <x v="3"/>
    <x v="2"/>
  </r>
  <r>
    <n v="5290"/>
    <x v="458"/>
    <s v="Sales invoice issued"/>
    <x v="273"/>
    <s v="75.89"/>
    <x v="4"/>
    <x v="3"/>
  </r>
  <r>
    <n v="5291"/>
    <x v="458"/>
    <s v="Sales invoice issued"/>
    <x v="2153"/>
    <s v="0.0"/>
    <x v="2"/>
    <x v="0"/>
  </r>
  <r>
    <n v="5291"/>
    <x v="458"/>
    <s v="Sales invoice issued"/>
    <x v="273"/>
    <s v="2303.64"/>
    <x v="3"/>
    <x v="2"/>
  </r>
  <r>
    <n v="5291"/>
    <x v="458"/>
    <s v="Sales invoice issued"/>
    <x v="273"/>
    <s v="172.77"/>
    <x v="4"/>
    <x v="3"/>
  </r>
  <r>
    <n v="5292"/>
    <x v="458"/>
    <s v="Sales invoice issued"/>
    <x v="2154"/>
    <s v="0.0"/>
    <x v="2"/>
    <x v="0"/>
  </r>
  <r>
    <n v="5292"/>
    <x v="458"/>
    <s v="Sales invoice issued"/>
    <x v="273"/>
    <s v="1125.67"/>
    <x v="3"/>
    <x v="2"/>
  </r>
  <r>
    <n v="5292"/>
    <x v="458"/>
    <s v="Sales invoice issued"/>
    <x v="273"/>
    <s v="84.42"/>
    <x v="4"/>
    <x v="3"/>
  </r>
  <r>
    <n v="5293"/>
    <x v="458"/>
    <s v="Sales invoice issued"/>
    <x v="2155"/>
    <s v="0.0"/>
    <x v="2"/>
    <x v="0"/>
  </r>
  <r>
    <n v="5293"/>
    <x v="458"/>
    <s v="Sales invoice issued"/>
    <x v="273"/>
    <s v="1115.29"/>
    <x v="3"/>
    <x v="2"/>
  </r>
  <r>
    <n v="5293"/>
    <x v="458"/>
    <s v="Sales invoice issued"/>
    <x v="273"/>
    <s v="83.64"/>
    <x v="4"/>
    <x v="3"/>
  </r>
  <r>
    <n v="5294"/>
    <x v="458"/>
    <s v="Sales invoice issued"/>
    <x v="2156"/>
    <s v="0.0"/>
    <x v="2"/>
    <x v="0"/>
  </r>
  <r>
    <n v="5294"/>
    <x v="458"/>
    <s v="Sales invoice issued"/>
    <x v="273"/>
    <s v="1007.73"/>
    <x v="3"/>
    <x v="2"/>
  </r>
  <r>
    <n v="5294"/>
    <x v="458"/>
    <s v="Sales invoice issued"/>
    <x v="273"/>
    <s v="75.58"/>
    <x v="4"/>
    <x v="3"/>
  </r>
  <r>
    <n v="5295"/>
    <x v="458"/>
    <s v="Customer payment received"/>
    <x v="1889"/>
    <s v="0.0"/>
    <x v="0"/>
    <x v="0"/>
  </r>
  <r>
    <n v="5295"/>
    <x v="458"/>
    <s v="Customer payment received"/>
    <x v="273"/>
    <s v="176.06"/>
    <x v="2"/>
    <x v="0"/>
  </r>
  <r>
    <n v="5296"/>
    <x v="458"/>
    <s v="Customer payment received"/>
    <x v="2015"/>
    <s v="0.0"/>
    <x v="0"/>
    <x v="0"/>
  </r>
  <r>
    <n v="5296"/>
    <x v="458"/>
    <s v="Customer payment received"/>
    <x v="273"/>
    <s v="1984.35"/>
    <x v="2"/>
    <x v="0"/>
  </r>
  <r>
    <n v="5297"/>
    <x v="458"/>
    <s v="Customer payment received"/>
    <x v="2069"/>
    <s v="0.0"/>
    <x v="0"/>
    <x v="0"/>
  </r>
  <r>
    <n v="5297"/>
    <x v="458"/>
    <s v="Customer payment received"/>
    <x v="273"/>
    <s v="3448.16"/>
    <x v="2"/>
    <x v="0"/>
  </r>
  <r>
    <n v="5298"/>
    <x v="458"/>
    <s v="Customer payment received"/>
    <x v="2078"/>
    <s v="0.0"/>
    <x v="0"/>
    <x v="0"/>
  </r>
  <r>
    <n v="5298"/>
    <x v="458"/>
    <s v="Customer payment received"/>
    <x v="273"/>
    <s v="1367.83"/>
    <x v="2"/>
    <x v="0"/>
  </r>
  <r>
    <n v="5299"/>
    <x v="458"/>
    <s v="Customer payment received"/>
    <x v="2112"/>
    <s v="0.0"/>
    <x v="0"/>
    <x v="0"/>
  </r>
  <r>
    <n v="5299"/>
    <x v="458"/>
    <s v="Customer payment received"/>
    <x v="273"/>
    <s v="4694.24"/>
    <x v="2"/>
    <x v="0"/>
  </r>
  <r>
    <n v="5300"/>
    <x v="458"/>
    <s v="Customer payment received"/>
    <x v="2155"/>
    <s v="0.0"/>
    <x v="0"/>
    <x v="0"/>
  </r>
  <r>
    <n v="5300"/>
    <x v="458"/>
    <s v="Customer payment received"/>
    <x v="273"/>
    <s v="1198.93"/>
    <x v="2"/>
    <x v="0"/>
  </r>
  <r>
    <n v="5301"/>
    <x v="458"/>
    <s v="Supplier invoice received"/>
    <x v="359"/>
    <s v="0.0"/>
    <x v="9"/>
    <x v="4"/>
  </r>
  <r>
    <n v="5301"/>
    <x v="458"/>
    <s v="Supplier invoice received"/>
    <x v="360"/>
    <s v="0.0"/>
    <x v="10"/>
    <x v="0"/>
  </r>
  <r>
    <n v="5301"/>
    <x v="458"/>
    <s v="Supplier invoice received"/>
    <x v="273"/>
    <s v="1591.54"/>
    <x v="11"/>
    <x v="3"/>
  </r>
  <r>
    <n v="5302"/>
    <x v="458"/>
    <s v="Supplier payment made"/>
    <x v="496"/>
    <s v="0.0"/>
    <x v="11"/>
    <x v="3"/>
  </r>
  <r>
    <n v="5302"/>
    <x v="458"/>
    <s v="Supplier payment made"/>
    <x v="273"/>
    <s v="7227.44"/>
    <x v="0"/>
    <x v="0"/>
  </r>
  <r>
    <n v="5303"/>
    <x v="458"/>
    <s v="Supplier payment made"/>
    <x v="336"/>
    <s v="0.0"/>
    <x v="11"/>
    <x v="3"/>
  </r>
  <r>
    <n v="5303"/>
    <x v="458"/>
    <s v="Supplier payment made"/>
    <x v="273"/>
    <s v="2093.28"/>
    <x v="0"/>
    <x v="0"/>
  </r>
  <r>
    <n v="5304"/>
    <x v="458"/>
    <s v="Supplier payment made"/>
    <x v="504"/>
    <s v="0.0"/>
    <x v="11"/>
    <x v="3"/>
  </r>
  <r>
    <n v="5304"/>
    <x v="458"/>
    <s v="Supplier payment made"/>
    <x v="273"/>
    <s v="1958.74"/>
    <x v="0"/>
    <x v="0"/>
  </r>
  <r>
    <n v="5305"/>
    <x v="459"/>
    <s v="Sales invoice issued"/>
    <x v="2157"/>
    <s v="0.0"/>
    <x v="2"/>
    <x v="0"/>
  </r>
  <r>
    <n v="5305"/>
    <x v="459"/>
    <s v="Sales invoice issued"/>
    <x v="273"/>
    <s v="2985.93"/>
    <x v="3"/>
    <x v="2"/>
  </r>
  <r>
    <n v="5305"/>
    <x v="459"/>
    <s v="Sales invoice issued"/>
    <x v="273"/>
    <s v="223.93"/>
    <x v="4"/>
    <x v="3"/>
  </r>
  <r>
    <n v="5306"/>
    <x v="459"/>
    <s v="Sales invoice issued"/>
    <x v="2158"/>
    <s v="0.0"/>
    <x v="2"/>
    <x v="0"/>
  </r>
  <r>
    <n v="5306"/>
    <x v="459"/>
    <s v="Sales invoice issued"/>
    <x v="273"/>
    <s v="2163.91"/>
    <x v="3"/>
    <x v="2"/>
  </r>
  <r>
    <n v="5306"/>
    <x v="459"/>
    <s v="Sales invoice issued"/>
    <x v="273"/>
    <s v="162.3"/>
    <x v="4"/>
    <x v="3"/>
  </r>
  <r>
    <n v="5307"/>
    <x v="459"/>
    <s v="Sales invoice issued"/>
    <x v="2159"/>
    <s v="0.0"/>
    <x v="2"/>
    <x v="0"/>
  </r>
  <r>
    <n v="5307"/>
    <x v="459"/>
    <s v="Sales invoice issued"/>
    <x v="273"/>
    <s v="4868.48"/>
    <x v="3"/>
    <x v="2"/>
  </r>
  <r>
    <n v="5307"/>
    <x v="459"/>
    <s v="Sales invoice issued"/>
    <x v="273"/>
    <s v="365.13"/>
    <x v="4"/>
    <x v="3"/>
  </r>
  <r>
    <n v="5308"/>
    <x v="459"/>
    <s v="Sales invoice issued"/>
    <x v="2160"/>
    <s v="0.0"/>
    <x v="2"/>
    <x v="0"/>
  </r>
  <r>
    <n v="5308"/>
    <x v="459"/>
    <s v="Sales invoice issued"/>
    <x v="273"/>
    <s v="2129.54"/>
    <x v="3"/>
    <x v="2"/>
  </r>
  <r>
    <n v="5308"/>
    <x v="459"/>
    <s v="Sales invoice issued"/>
    <x v="273"/>
    <s v="159.72"/>
    <x v="4"/>
    <x v="3"/>
  </r>
  <r>
    <n v="5309"/>
    <x v="459"/>
    <s v="Sales invoice issued"/>
    <x v="1935"/>
    <s v="0.0"/>
    <x v="2"/>
    <x v="0"/>
  </r>
  <r>
    <n v="5309"/>
    <x v="459"/>
    <s v="Sales invoice issued"/>
    <x v="273"/>
    <s v="130.5"/>
    <x v="3"/>
    <x v="2"/>
  </r>
  <r>
    <n v="5309"/>
    <x v="459"/>
    <s v="Sales invoice issued"/>
    <x v="273"/>
    <s v="9.79"/>
    <x v="4"/>
    <x v="3"/>
  </r>
  <r>
    <n v="5310"/>
    <x v="459"/>
    <s v="Sales invoice issued"/>
    <x v="2161"/>
    <s v="0.0"/>
    <x v="2"/>
    <x v="0"/>
  </r>
  <r>
    <n v="5310"/>
    <x v="459"/>
    <s v="Sales invoice issued"/>
    <x v="273"/>
    <s v="2008.74"/>
    <x v="3"/>
    <x v="2"/>
  </r>
  <r>
    <n v="5310"/>
    <x v="459"/>
    <s v="Sales invoice issued"/>
    <x v="273"/>
    <s v="150.66"/>
    <x v="4"/>
    <x v="3"/>
  </r>
  <r>
    <n v="5311"/>
    <x v="459"/>
    <s v="Sales invoice issued"/>
    <x v="2162"/>
    <s v="0.0"/>
    <x v="2"/>
    <x v="0"/>
  </r>
  <r>
    <n v="5311"/>
    <x v="459"/>
    <s v="Sales invoice issued"/>
    <x v="273"/>
    <s v="943.37"/>
    <x v="3"/>
    <x v="2"/>
  </r>
  <r>
    <n v="5311"/>
    <x v="459"/>
    <s v="Sales invoice issued"/>
    <x v="273"/>
    <s v="70.75"/>
    <x v="4"/>
    <x v="3"/>
  </r>
  <r>
    <n v="5312"/>
    <x v="459"/>
    <s v="Sales invoice issued"/>
    <x v="2163"/>
    <s v="0.0"/>
    <x v="2"/>
    <x v="0"/>
  </r>
  <r>
    <n v="5312"/>
    <x v="459"/>
    <s v="Sales invoice issued"/>
    <x v="273"/>
    <s v="2547.49"/>
    <x v="3"/>
    <x v="2"/>
  </r>
  <r>
    <n v="5312"/>
    <x v="459"/>
    <s v="Sales invoice issued"/>
    <x v="273"/>
    <s v="191.07"/>
    <x v="4"/>
    <x v="3"/>
  </r>
  <r>
    <n v="5313"/>
    <x v="459"/>
    <s v="Sales invoice issued"/>
    <x v="2164"/>
    <s v="0.0"/>
    <x v="2"/>
    <x v="0"/>
  </r>
  <r>
    <n v="5313"/>
    <x v="459"/>
    <s v="Sales invoice issued"/>
    <x v="273"/>
    <s v="1237.46"/>
    <x v="3"/>
    <x v="2"/>
  </r>
  <r>
    <n v="5313"/>
    <x v="459"/>
    <s v="Sales invoice issued"/>
    <x v="273"/>
    <s v="92.81"/>
    <x v="4"/>
    <x v="3"/>
  </r>
  <r>
    <n v="5314"/>
    <x v="459"/>
    <s v="Sales invoice issued"/>
    <x v="2165"/>
    <s v="0.0"/>
    <x v="2"/>
    <x v="0"/>
  </r>
  <r>
    <n v="5314"/>
    <x v="459"/>
    <s v="Sales invoice issued"/>
    <x v="273"/>
    <s v="2725.24"/>
    <x v="3"/>
    <x v="2"/>
  </r>
  <r>
    <n v="5314"/>
    <x v="459"/>
    <s v="Sales invoice issued"/>
    <x v="273"/>
    <s v="204.4"/>
    <x v="4"/>
    <x v="3"/>
  </r>
  <r>
    <n v="5315"/>
    <x v="459"/>
    <s v="Sales invoice issued"/>
    <x v="2166"/>
    <s v="0.0"/>
    <x v="2"/>
    <x v="0"/>
  </r>
  <r>
    <n v="5315"/>
    <x v="459"/>
    <s v="Sales invoice issued"/>
    <x v="273"/>
    <s v="2716.58"/>
    <x v="3"/>
    <x v="2"/>
  </r>
  <r>
    <n v="5315"/>
    <x v="459"/>
    <s v="Sales invoice issued"/>
    <x v="273"/>
    <s v="203.74"/>
    <x v="4"/>
    <x v="3"/>
  </r>
  <r>
    <n v="5316"/>
    <x v="459"/>
    <s v="Customer payment received"/>
    <x v="1925"/>
    <s v="0.0"/>
    <x v="0"/>
    <x v="0"/>
  </r>
  <r>
    <n v="5316"/>
    <x v="459"/>
    <s v="Customer payment received"/>
    <x v="273"/>
    <s v="3374.4"/>
    <x v="2"/>
    <x v="0"/>
  </r>
  <r>
    <n v="5317"/>
    <x v="459"/>
    <s v="Customer payment received"/>
    <x v="1973"/>
    <s v="0.0"/>
    <x v="0"/>
    <x v="0"/>
  </r>
  <r>
    <n v="5317"/>
    <x v="459"/>
    <s v="Customer payment received"/>
    <x v="273"/>
    <s v="2526.84"/>
    <x v="2"/>
    <x v="0"/>
  </r>
  <r>
    <n v="5318"/>
    <x v="459"/>
    <s v="Customer payment received"/>
    <x v="2030"/>
    <s v="0.0"/>
    <x v="0"/>
    <x v="0"/>
  </r>
  <r>
    <n v="5318"/>
    <x v="459"/>
    <s v="Customer payment received"/>
    <x v="273"/>
    <s v="3573.18"/>
    <x v="2"/>
    <x v="0"/>
  </r>
  <r>
    <n v="5319"/>
    <x v="459"/>
    <s v="Customer payment received"/>
    <x v="2096"/>
    <s v="0.0"/>
    <x v="0"/>
    <x v="0"/>
  </r>
  <r>
    <n v="5319"/>
    <x v="459"/>
    <s v="Customer payment received"/>
    <x v="273"/>
    <s v="4080.69"/>
    <x v="2"/>
    <x v="0"/>
  </r>
  <r>
    <n v="5320"/>
    <x v="459"/>
    <s v="Customer payment received"/>
    <x v="2154"/>
    <s v="0.0"/>
    <x v="0"/>
    <x v="0"/>
  </r>
  <r>
    <n v="5320"/>
    <x v="459"/>
    <s v="Customer payment received"/>
    <x v="273"/>
    <s v="1210.09"/>
    <x v="2"/>
    <x v="0"/>
  </r>
  <r>
    <n v="5321"/>
    <x v="459"/>
    <s v="Customer payment received"/>
    <x v="2165"/>
    <s v="0.0"/>
    <x v="0"/>
    <x v="0"/>
  </r>
  <r>
    <n v="5321"/>
    <x v="459"/>
    <s v="Customer payment received"/>
    <x v="273"/>
    <s v="2929.64"/>
    <x v="2"/>
    <x v="0"/>
  </r>
  <r>
    <n v="5322"/>
    <x v="459"/>
    <s v="Supplier invoice received"/>
    <x v="366"/>
    <s v="0.0"/>
    <x v="9"/>
    <x v="4"/>
  </r>
  <r>
    <n v="5322"/>
    <x v="459"/>
    <s v="Supplier invoice received"/>
    <x v="367"/>
    <s v="0.0"/>
    <x v="10"/>
    <x v="0"/>
  </r>
  <r>
    <n v="5322"/>
    <x v="459"/>
    <s v="Supplier invoice received"/>
    <x v="273"/>
    <s v="201.5"/>
    <x v="11"/>
    <x v="3"/>
  </r>
  <r>
    <n v="5323"/>
    <x v="459"/>
    <s v="Supplier payment made"/>
    <x v="280"/>
    <s v="0.0"/>
    <x v="11"/>
    <x v="3"/>
  </r>
  <r>
    <n v="5323"/>
    <x v="459"/>
    <s v="Supplier payment made"/>
    <x v="273"/>
    <s v="2635.36"/>
    <x v="0"/>
    <x v="0"/>
  </r>
  <r>
    <n v="5324"/>
    <x v="459"/>
    <s v="Supplier payment made"/>
    <x v="292"/>
    <s v="0.0"/>
    <x v="11"/>
    <x v="3"/>
  </r>
  <r>
    <n v="5324"/>
    <x v="459"/>
    <s v="Supplier payment made"/>
    <x v="273"/>
    <s v="1766.46"/>
    <x v="0"/>
    <x v="0"/>
  </r>
  <r>
    <n v="5325"/>
    <x v="459"/>
    <s v="Supplier payment made"/>
    <x v="424"/>
    <s v="0.0"/>
    <x v="11"/>
    <x v="3"/>
  </r>
  <r>
    <n v="5325"/>
    <x v="459"/>
    <s v="Supplier payment made"/>
    <x v="273"/>
    <s v="1591.54"/>
    <x v="0"/>
    <x v="0"/>
  </r>
  <r>
    <n v="5326"/>
    <x v="460"/>
    <s v="Sales invoice issued"/>
    <x v="2167"/>
    <s v="0.0"/>
    <x v="2"/>
    <x v="0"/>
  </r>
  <r>
    <n v="5326"/>
    <x v="460"/>
    <s v="Sales invoice issued"/>
    <x v="273"/>
    <s v="3011.24"/>
    <x v="3"/>
    <x v="2"/>
  </r>
  <r>
    <n v="5326"/>
    <x v="460"/>
    <s v="Sales invoice issued"/>
    <x v="273"/>
    <s v="225.84"/>
    <x v="4"/>
    <x v="3"/>
  </r>
  <r>
    <n v="5327"/>
    <x v="460"/>
    <s v="Sales invoice issued"/>
    <x v="2168"/>
    <s v="0.0"/>
    <x v="2"/>
    <x v="0"/>
  </r>
  <r>
    <n v="5327"/>
    <x v="460"/>
    <s v="Sales invoice issued"/>
    <x v="273"/>
    <s v="2070.2"/>
    <x v="3"/>
    <x v="2"/>
  </r>
  <r>
    <n v="5327"/>
    <x v="460"/>
    <s v="Sales invoice issued"/>
    <x v="273"/>
    <s v="155.26"/>
    <x v="4"/>
    <x v="3"/>
  </r>
  <r>
    <n v="5328"/>
    <x v="460"/>
    <s v="Sales invoice issued"/>
    <x v="2169"/>
    <s v="0.0"/>
    <x v="2"/>
    <x v="0"/>
  </r>
  <r>
    <n v="5328"/>
    <x v="460"/>
    <s v="Sales invoice issued"/>
    <x v="273"/>
    <s v="1698.62"/>
    <x v="3"/>
    <x v="2"/>
  </r>
  <r>
    <n v="5328"/>
    <x v="460"/>
    <s v="Sales invoice issued"/>
    <x v="273"/>
    <s v="127.4"/>
    <x v="4"/>
    <x v="3"/>
  </r>
  <r>
    <n v="5329"/>
    <x v="460"/>
    <s v="Customer payment received"/>
    <x v="1921"/>
    <s v="0.0"/>
    <x v="0"/>
    <x v="0"/>
  </r>
  <r>
    <n v="5329"/>
    <x v="460"/>
    <s v="Customer payment received"/>
    <x v="273"/>
    <s v="370.65"/>
    <x v="2"/>
    <x v="0"/>
  </r>
  <r>
    <n v="5330"/>
    <x v="460"/>
    <s v="Customer payment received"/>
    <x v="2011"/>
    <s v="0.0"/>
    <x v="0"/>
    <x v="0"/>
  </r>
  <r>
    <n v="5330"/>
    <x v="460"/>
    <s v="Customer payment received"/>
    <x v="273"/>
    <s v="2285.67"/>
    <x v="2"/>
    <x v="0"/>
  </r>
  <r>
    <n v="5331"/>
    <x v="460"/>
    <s v="Supplier invoice received"/>
    <x v="299"/>
    <s v="0.0"/>
    <x v="9"/>
    <x v="4"/>
  </r>
  <r>
    <n v="5331"/>
    <x v="460"/>
    <s v="Supplier invoice received"/>
    <x v="300"/>
    <s v="0.0"/>
    <x v="10"/>
    <x v="0"/>
  </r>
  <r>
    <n v="5331"/>
    <x v="460"/>
    <s v="Supplier invoice received"/>
    <x v="273"/>
    <s v="2918.17"/>
    <x v="11"/>
    <x v="3"/>
  </r>
  <r>
    <n v="5332"/>
    <x v="460"/>
    <s v="Supplier invoice received"/>
    <x v="295"/>
    <s v="0.0"/>
    <x v="9"/>
    <x v="4"/>
  </r>
  <r>
    <n v="5332"/>
    <x v="460"/>
    <s v="Supplier invoice received"/>
    <x v="296"/>
    <s v="0.0"/>
    <x v="10"/>
    <x v="0"/>
  </r>
  <r>
    <n v="5332"/>
    <x v="460"/>
    <s v="Supplier invoice received"/>
    <x v="273"/>
    <s v="1766.46"/>
    <x v="11"/>
    <x v="3"/>
  </r>
  <r>
    <n v="5333"/>
    <x v="460"/>
    <s v="Supplier payment made"/>
    <x v="393"/>
    <s v="0.0"/>
    <x v="11"/>
    <x v="3"/>
  </r>
  <r>
    <n v="5333"/>
    <x v="460"/>
    <s v="Supplier payment made"/>
    <x v="273"/>
    <s v="412.54"/>
    <x v="0"/>
    <x v="0"/>
  </r>
  <r>
    <n v="5334"/>
    <x v="461"/>
    <s v="Sales invoice issued"/>
    <x v="919"/>
    <s v="0.0"/>
    <x v="2"/>
    <x v="0"/>
  </r>
  <r>
    <n v="5334"/>
    <x v="461"/>
    <s v="Sales invoice issued"/>
    <x v="273"/>
    <s v="1383.21"/>
    <x v="3"/>
    <x v="2"/>
  </r>
  <r>
    <n v="5334"/>
    <x v="461"/>
    <s v="Sales invoice issued"/>
    <x v="273"/>
    <s v="103.74"/>
    <x v="4"/>
    <x v="3"/>
  </r>
  <r>
    <n v="5335"/>
    <x v="461"/>
    <s v="Sales invoice issued"/>
    <x v="2170"/>
    <s v="0.0"/>
    <x v="2"/>
    <x v="0"/>
  </r>
  <r>
    <n v="5335"/>
    <x v="461"/>
    <s v="Sales invoice issued"/>
    <x v="273"/>
    <s v="1522.62"/>
    <x v="3"/>
    <x v="2"/>
  </r>
  <r>
    <n v="5335"/>
    <x v="461"/>
    <s v="Sales invoice issued"/>
    <x v="273"/>
    <s v="114.2"/>
    <x v="4"/>
    <x v="3"/>
  </r>
  <r>
    <n v="5336"/>
    <x v="461"/>
    <s v="Sales invoice issued"/>
    <x v="2171"/>
    <s v="0.0"/>
    <x v="2"/>
    <x v="0"/>
  </r>
  <r>
    <n v="5336"/>
    <x v="461"/>
    <s v="Sales invoice issued"/>
    <x v="273"/>
    <s v="1440.13"/>
    <x v="3"/>
    <x v="2"/>
  </r>
  <r>
    <n v="5336"/>
    <x v="461"/>
    <s v="Sales invoice issued"/>
    <x v="273"/>
    <s v="108.0"/>
    <x v="4"/>
    <x v="3"/>
  </r>
  <r>
    <n v="5337"/>
    <x v="461"/>
    <s v="Sales invoice issued"/>
    <x v="2172"/>
    <s v="0.0"/>
    <x v="2"/>
    <x v="0"/>
  </r>
  <r>
    <n v="5337"/>
    <x v="461"/>
    <s v="Sales invoice issued"/>
    <x v="273"/>
    <s v="4791.2"/>
    <x v="3"/>
    <x v="2"/>
  </r>
  <r>
    <n v="5337"/>
    <x v="461"/>
    <s v="Sales invoice issued"/>
    <x v="273"/>
    <s v="359.34"/>
    <x v="4"/>
    <x v="3"/>
  </r>
  <r>
    <n v="5338"/>
    <x v="461"/>
    <s v="Sales invoice issued"/>
    <x v="2173"/>
    <s v="0.0"/>
    <x v="2"/>
    <x v="0"/>
  </r>
  <r>
    <n v="5338"/>
    <x v="461"/>
    <s v="Sales invoice issued"/>
    <x v="273"/>
    <s v="2570.34"/>
    <x v="3"/>
    <x v="2"/>
  </r>
  <r>
    <n v="5338"/>
    <x v="461"/>
    <s v="Sales invoice issued"/>
    <x v="273"/>
    <s v="192.77"/>
    <x v="4"/>
    <x v="3"/>
  </r>
  <r>
    <n v="5339"/>
    <x v="461"/>
    <s v="Sales invoice issued"/>
    <x v="2174"/>
    <s v="0.0"/>
    <x v="2"/>
    <x v="0"/>
  </r>
  <r>
    <n v="5339"/>
    <x v="461"/>
    <s v="Sales invoice issued"/>
    <x v="273"/>
    <s v="1500.89"/>
    <x v="3"/>
    <x v="2"/>
  </r>
  <r>
    <n v="5339"/>
    <x v="461"/>
    <s v="Sales invoice issued"/>
    <x v="273"/>
    <s v="112.57"/>
    <x v="4"/>
    <x v="3"/>
  </r>
  <r>
    <n v="5340"/>
    <x v="461"/>
    <s v="Sales invoice issued"/>
    <x v="2175"/>
    <s v="0.0"/>
    <x v="2"/>
    <x v="0"/>
  </r>
  <r>
    <n v="5340"/>
    <x v="461"/>
    <s v="Sales invoice issued"/>
    <x v="273"/>
    <s v="326.04"/>
    <x v="3"/>
    <x v="2"/>
  </r>
  <r>
    <n v="5340"/>
    <x v="461"/>
    <s v="Sales invoice issued"/>
    <x v="273"/>
    <s v="24.45"/>
    <x v="4"/>
    <x v="3"/>
  </r>
  <r>
    <n v="5341"/>
    <x v="461"/>
    <s v="Customer payment received"/>
    <x v="1915"/>
    <s v="0.0"/>
    <x v="0"/>
    <x v="0"/>
  </r>
  <r>
    <n v="5341"/>
    <x v="461"/>
    <s v="Customer payment received"/>
    <x v="273"/>
    <s v="3744.48"/>
    <x v="2"/>
    <x v="0"/>
  </r>
  <r>
    <n v="5342"/>
    <x v="461"/>
    <s v="Customer payment received"/>
    <x v="2043"/>
    <s v="0.0"/>
    <x v="0"/>
    <x v="0"/>
  </r>
  <r>
    <n v="5342"/>
    <x v="461"/>
    <s v="Customer payment received"/>
    <x v="273"/>
    <s v="852.99"/>
    <x v="2"/>
    <x v="0"/>
  </r>
  <r>
    <n v="5343"/>
    <x v="461"/>
    <s v="Customer payment received"/>
    <x v="2053"/>
    <s v="0.0"/>
    <x v="0"/>
    <x v="0"/>
  </r>
  <r>
    <n v="5343"/>
    <x v="461"/>
    <s v="Customer payment received"/>
    <x v="273"/>
    <s v="1370.64"/>
    <x v="2"/>
    <x v="0"/>
  </r>
  <r>
    <n v="5344"/>
    <x v="461"/>
    <s v="Customer payment received"/>
    <x v="2103"/>
    <s v="0.0"/>
    <x v="0"/>
    <x v="0"/>
  </r>
  <r>
    <n v="5344"/>
    <x v="461"/>
    <s v="Customer payment received"/>
    <x v="273"/>
    <s v="4217.7"/>
    <x v="2"/>
    <x v="0"/>
  </r>
  <r>
    <n v="5345"/>
    <x v="461"/>
    <s v="Customer payment received"/>
    <x v="2122"/>
    <s v="0.0"/>
    <x v="0"/>
    <x v="0"/>
  </r>
  <r>
    <n v="5345"/>
    <x v="461"/>
    <s v="Customer payment received"/>
    <x v="273"/>
    <s v="914.87"/>
    <x v="2"/>
    <x v="0"/>
  </r>
  <r>
    <n v="5346"/>
    <x v="461"/>
    <s v="Supplier invoice received"/>
    <x v="301"/>
    <s v="0.0"/>
    <x v="9"/>
    <x v="4"/>
  </r>
  <r>
    <n v="5346"/>
    <x v="461"/>
    <s v="Supplier invoice received"/>
    <x v="302"/>
    <s v="0.0"/>
    <x v="10"/>
    <x v="0"/>
  </r>
  <r>
    <n v="5346"/>
    <x v="461"/>
    <s v="Supplier invoice received"/>
    <x v="273"/>
    <s v="4812.46"/>
    <x v="11"/>
    <x v="3"/>
  </r>
  <r>
    <n v="5347"/>
    <x v="461"/>
    <s v="Supplier invoice received"/>
    <x v="338"/>
    <s v="0.0"/>
    <x v="9"/>
    <x v="4"/>
  </r>
  <r>
    <n v="5347"/>
    <x v="461"/>
    <s v="Supplier invoice received"/>
    <x v="339"/>
    <s v="0.0"/>
    <x v="10"/>
    <x v="0"/>
  </r>
  <r>
    <n v="5347"/>
    <x v="461"/>
    <s v="Supplier invoice received"/>
    <x v="273"/>
    <s v="1159.84"/>
    <x v="11"/>
    <x v="3"/>
  </r>
  <r>
    <n v="5348"/>
    <x v="461"/>
    <s v="Supplier invoice received"/>
    <x v="305"/>
    <s v="0.0"/>
    <x v="9"/>
    <x v="4"/>
  </r>
  <r>
    <n v="5348"/>
    <x v="461"/>
    <s v="Supplier invoice received"/>
    <x v="306"/>
    <s v="0.0"/>
    <x v="10"/>
    <x v="0"/>
  </r>
  <r>
    <n v="5348"/>
    <x v="461"/>
    <s v="Supplier invoice received"/>
    <x v="273"/>
    <s v="276.32"/>
    <x v="11"/>
    <x v="3"/>
  </r>
  <r>
    <n v="5349"/>
    <x v="461"/>
    <s v="Supplier invoice received"/>
    <x v="374"/>
    <s v="0.0"/>
    <x v="9"/>
    <x v="4"/>
  </r>
  <r>
    <n v="5349"/>
    <x v="461"/>
    <s v="Supplier invoice received"/>
    <x v="375"/>
    <s v="0.0"/>
    <x v="10"/>
    <x v="0"/>
  </r>
  <r>
    <n v="5349"/>
    <x v="461"/>
    <s v="Supplier invoice received"/>
    <x v="273"/>
    <s v="2504.23"/>
    <x v="11"/>
    <x v="3"/>
  </r>
  <r>
    <n v="5350"/>
    <x v="461"/>
    <s v="Supplier invoice received"/>
    <x v="303"/>
    <s v="0.0"/>
    <x v="9"/>
    <x v="4"/>
  </r>
  <r>
    <n v="5350"/>
    <x v="461"/>
    <s v="Supplier invoice received"/>
    <x v="304"/>
    <s v="0.0"/>
    <x v="10"/>
    <x v="0"/>
  </r>
  <r>
    <n v="5350"/>
    <x v="461"/>
    <s v="Supplier invoice received"/>
    <x v="273"/>
    <s v="550.4"/>
    <x v="11"/>
    <x v="3"/>
  </r>
  <r>
    <n v="5351"/>
    <x v="461"/>
    <s v="Supplier invoice received"/>
    <x v="443"/>
    <s v="0.0"/>
    <x v="9"/>
    <x v="4"/>
  </r>
  <r>
    <n v="5351"/>
    <x v="461"/>
    <s v="Supplier invoice received"/>
    <x v="444"/>
    <s v="0.0"/>
    <x v="10"/>
    <x v="0"/>
  </r>
  <r>
    <n v="5351"/>
    <x v="461"/>
    <s v="Supplier invoice received"/>
    <x v="273"/>
    <s v="748.26"/>
    <x v="11"/>
    <x v="3"/>
  </r>
  <r>
    <n v="5352"/>
    <x v="461"/>
    <s v="Supplier invoice received"/>
    <x v="372"/>
    <s v="0.0"/>
    <x v="9"/>
    <x v="4"/>
  </r>
  <r>
    <n v="5352"/>
    <x v="461"/>
    <s v="Supplier invoice received"/>
    <x v="373"/>
    <s v="0.0"/>
    <x v="10"/>
    <x v="0"/>
  </r>
  <r>
    <n v="5352"/>
    <x v="461"/>
    <s v="Supplier invoice received"/>
    <x v="273"/>
    <s v="412.54"/>
    <x v="11"/>
    <x v="3"/>
  </r>
  <r>
    <n v="5353"/>
    <x v="461"/>
    <s v="Supplier invoice received"/>
    <x v="366"/>
    <s v="0.0"/>
    <x v="9"/>
    <x v="4"/>
  </r>
  <r>
    <n v="5353"/>
    <x v="461"/>
    <s v="Supplier invoice received"/>
    <x v="367"/>
    <s v="0.0"/>
    <x v="10"/>
    <x v="0"/>
  </r>
  <r>
    <n v="5353"/>
    <x v="461"/>
    <s v="Supplier invoice received"/>
    <x v="273"/>
    <s v="201.5"/>
    <x v="11"/>
    <x v="3"/>
  </r>
  <r>
    <n v="5354"/>
    <x v="461"/>
    <s v="Supplier payment made"/>
    <x v="335"/>
    <s v="0.0"/>
    <x v="11"/>
    <x v="3"/>
  </r>
  <r>
    <n v="5354"/>
    <x v="461"/>
    <s v="Supplier payment made"/>
    <x v="273"/>
    <s v="550.4"/>
    <x v="0"/>
    <x v="0"/>
  </r>
  <r>
    <n v="5355"/>
    <x v="461"/>
    <s v="Supplier payment made"/>
    <x v="466"/>
    <s v="0.0"/>
    <x v="11"/>
    <x v="3"/>
  </r>
  <r>
    <n v="5355"/>
    <x v="461"/>
    <s v="Supplier payment made"/>
    <x v="273"/>
    <s v="748.26"/>
    <x v="0"/>
    <x v="0"/>
  </r>
  <r>
    <n v="5356"/>
    <x v="461"/>
    <s v="Supplier payment made"/>
    <x v="515"/>
    <s v="0.0"/>
    <x v="11"/>
    <x v="3"/>
  </r>
  <r>
    <n v="5356"/>
    <x v="461"/>
    <s v="Supplier payment made"/>
    <x v="273"/>
    <s v="862.91"/>
    <x v="0"/>
    <x v="0"/>
  </r>
  <r>
    <n v="5357"/>
    <x v="461"/>
    <s v="Supplier payment made"/>
    <x v="280"/>
    <s v="0.0"/>
    <x v="11"/>
    <x v="3"/>
  </r>
  <r>
    <n v="5357"/>
    <x v="461"/>
    <s v="Supplier payment made"/>
    <x v="273"/>
    <s v="2635.36"/>
    <x v="0"/>
    <x v="0"/>
  </r>
  <r>
    <n v="5358"/>
    <x v="461"/>
    <s v="Supplier payment made"/>
    <x v="353"/>
    <s v="0.0"/>
    <x v="11"/>
    <x v="3"/>
  </r>
  <r>
    <n v="5358"/>
    <x v="461"/>
    <s v="Supplier payment made"/>
    <x v="273"/>
    <s v="2918.17"/>
    <x v="0"/>
    <x v="0"/>
  </r>
  <r>
    <n v="5359"/>
    <x v="461"/>
    <s v="Supplier payment made"/>
    <x v="515"/>
    <s v="0.0"/>
    <x v="11"/>
    <x v="3"/>
  </r>
  <r>
    <n v="5359"/>
    <x v="461"/>
    <s v="Supplier payment made"/>
    <x v="273"/>
    <s v="862.91"/>
    <x v="0"/>
    <x v="0"/>
  </r>
  <r>
    <n v="5360"/>
    <x v="461"/>
    <s v="Supplier payment made"/>
    <x v="350"/>
    <s v="0.0"/>
    <x v="11"/>
    <x v="3"/>
  </r>
  <r>
    <n v="5360"/>
    <x v="461"/>
    <s v="Supplier payment made"/>
    <x v="273"/>
    <s v="1794.11"/>
    <x v="0"/>
    <x v="0"/>
  </r>
  <r>
    <n v="5361"/>
    <x v="461"/>
    <s v="Supplier payment made"/>
    <x v="353"/>
    <s v="0.0"/>
    <x v="11"/>
    <x v="3"/>
  </r>
  <r>
    <n v="5361"/>
    <x v="461"/>
    <s v="Supplier payment made"/>
    <x v="273"/>
    <s v="2918.17"/>
    <x v="0"/>
    <x v="0"/>
  </r>
  <r>
    <n v="5362"/>
    <x v="461"/>
    <s v="Supplier payment made"/>
    <x v="313"/>
    <s v="0.0"/>
    <x v="11"/>
    <x v="3"/>
  </r>
  <r>
    <n v="5362"/>
    <x v="461"/>
    <s v="Supplier payment made"/>
    <x v="273"/>
    <s v="1159.84"/>
    <x v="0"/>
    <x v="0"/>
  </r>
  <r>
    <n v="5363"/>
    <x v="462"/>
    <s v="Sales invoice issued"/>
    <x v="2176"/>
    <s v="0.0"/>
    <x v="2"/>
    <x v="0"/>
  </r>
  <r>
    <n v="5363"/>
    <x v="462"/>
    <s v="Sales invoice issued"/>
    <x v="273"/>
    <s v="2709.19"/>
    <x v="3"/>
    <x v="2"/>
  </r>
  <r>
    <n v="5363"/>
    <x v="462"/>
    <s v="Sales invoice issued"/>
    <x v="273"/>
    <s v="203.18"/>
    <x v="4"/>
    <x v="3"/>
  </r>
  <r>
    <n v="5364"/>
    <x v="462"/>
    <s v="Sales invoice issued"/>
    <x v="2177"/>
    <s v="0.0"/>
    <x v="2"/>
    <x v="0"/>
  </r>
  <r>
    <n v="5364"/>
    <x v="462"/>
    <s v="Sales invoice issued"/>
    <x v="273"/>
    <s v="3742.39"/>
    <x v="3"/>
    <x v="2"/>
  </r>
  <r>
    <n v="5364"/>
    <x v="462"/>
    <s v="Sales invoice issued"/>
    <x v="273"/>
    <s v="280.67"/>
    <x v="4"/>
    <x v="3"/>
  </r>
  <r>
    <n v="5365"/>
    <x v="462"/>
    <s v="Sales invoice issued"/>
    <x v="2178"/>
    <s v="0.0"/>
    <x v="2"/>
    <x v="0"/>
  </r>
  <r>
    <n v="5365"/>
    <x v="462"/>
    <s v="Sales invoice issued"/>
    <x v="273"/>
    <s v="1454.56"/>
    <x v="3"/>
    <x v="2"/>
  </r>
  <r>
    <n v="5365"/>
    <x v="462"/>
    <s v="Sales invoice issued"/>
    <x v="273"/>
    <s v="109.09"/>
    <x v="4"/>
    <x v="3"/>
  </r>
  <r>
    <n v="5366"/>
    <x v="462"/>
    <s v="Sales invoice issued"/>
    <x v="1251"/>
    <s v="0.0"/>
    <x v="2"/>
    <x v="0"/>
  </r>
  <r>
    <n v="5366"/>
    <x v="462"/>
    <s v="Sales invoice issued"/>
    <x v="273"/>
    <s v="733.59"/>
    <x v="3"/>
    <x v="2"/>
  </r>
  <r>
    <n v="5366"/>
    <x v="462"/>
    <s v="Sales invoice issued"/>
    <x v="273"/>
    <s v="55.02"/>
    <x v="4"/>
    <x v="3"/>
  </r>
  <r>
    <n v="5367"/>
    <x v="462"/>
    <s v="Sales invoice issued"/>
    <x v="2179"/>
    <s v="0.0"/>
    <x v="2"/>
    <x v="0"/>
  </r>
  <r>
    <n v="5367"/>
    <x v="462"/>
    <s v="Sales invoice issued"/>
    <x v="273"/>
    <s v="2666.5"/>
    <x v="3"/>
    <x v="2"/>
  </r>
  <r>
    <n v="5367"/>
    <x v="462"/>
    <s v="Sales invoice issued"/>
    <x v="273"/>
    <s v="199.99"/>
    <x v="4"/>
    <x v="3"/>
  </r>
  <r>
    <n v="5368"/>
    <x v="462"/>
    <s v="Sales invoice issued"/>
    <x v="2180"/>
    <s v="0.0"/>
    <x v="2"/>
    <x v="0"/>
  </r>
  <r>
    <n v="5368"/>
    <x v="462"/>
    <s v="Sales invoice issued"/>
    <x v="273"/>
    <s v="1928.26"/>
    <x v="3"/>
    <x v="2"/>
  </r>
  <r>
    <n v="5368"/>
    <x v="462"/>
    <s v="Sales invoice issued"/>
    <x v="273"/>
    <s v="144.62"/>
    <x v="4"/>
    <x v="3"/>
  </r>
  <r>
    <n v="5369"/>
    <x v="462"/>
    <s v="Sales invoice issued"/>
    <x v="2181"/>
    <s v="0.0"/>
    <x v="2"/>
    <x v="0"/>
  </r>
  <r>
    <n v="5369"/>
    <x v="462"/>
    <s v="Sales invoice issued"/>
    <x v="273"/>
    <s v="2392.68"/>
    <x v="3"/>
    <x v="2"/>
  </r>
  <r>
    <n v="5369"/>
    <x v="462"/>
    <s v="Sales invoice issued"/>
    <x v="273"/>
    <s v="179.45"/>
    <x v="4"/>
    <x v="3"/>
  </r>
  <r>
    <n v="5370"/>
    <x v="462"/>
    <s v="Sales invoice issued"/>
    <x v="2182"/>
    <s v="0.0"/>
    <x v="2"/>
    <x v="0"/>
  </r>
  <r>
    <n v="5370"/>
    <x v="462"/>
    <s v="Sales invoice issued"/>
    <x v="273"/>
    <s v="1803.89"/>
    <x v="3"/>
    <x v="2"/>
  </r>
  <r>
    <n v="5370"/>
    <x v="462"/>
    <s v="Sales invoice issued"/>
    <x v="273"/>
    <s v="135.3"/>
    <x v="4"/>
    <x v="3"/>
  </r>
  <r>
    <n v="5371"/>
    <x v="462"/>
    <s v="Sales invoice issued"/>
    <x v="2183"/>
    <s v="0.0"/>
    <x v="2"/>
    <x v="0"/>
  </r>
  <r>
    <n v="5371"/>
    <x v="462"/>
    <s v="Sales invoice issued"/>
    <x v="273"/>
    <s v="875.27"/>
    <x v="3"/>
    <x v="2"/>
  </r>
  <r>
    <n v="5371"/>
    <x v="462"/>
    <s v="Sales invoice issued"/>
    <x v="273"/>
    <s v="65.65"/>
    <x v="4"/>
    <x v="3"/>
  </r>
  <r>
    <n v="5372"/>
    <x v="462"/>
    <s v="Customer payment received"/>
    <x v="1968"/>
    <s v="0.0"/>
    <x v="0"/>
    <x v="0"/>
  </r>
  <r>
    <n v="5372"/>
    <x v="462"/>
    <s v="Customer payment received"/>
    <x v="273"/>
    <s v="1852.79"/>
    <x v="2"/>
    <x v="0"/>
  </r>
  <r>
    <n v="5373"/>
    <x v="462"/>
    <s v="Customer payment received"/>
    <x v="2184"/>
    <s v="0.0"/>
    <x v="0"/>
    <x v="0"/>
  </r>
  <r>
    <n v="5373"/>
    <x v="462"/>
    <s v="Customer payment received"/>
    <x v="273"/>
    <s v="280.9"/>
    <x v="2"/>
    <x v="0"/>
  </r>
  <r>
    <n v="5374"/>
    <x v="462"/>
    <s v="Customer payment received"/>
    <x v="2060"/>
    <s v="0.0"/>
    <x v="0"/>
    <x v="0"/>
  </r>
  <r>
    <n v="5374"/>
    <x v="462"/>
    <s v="Customer payment received"/>
    <x v="273"/>
    <s v="2278.13"/>
    <x v="2"/>
    <x v="0"/>
  </r>
  <r>
    <n v="5375"/>
    <x v="462"/>
    <s v="Customer payment received"/>
    <x v="2106"/>
    <s v="0.0"/>
    <x v="0"/>
    <x v="0"/>
  </r>
  <r>
    <n v="5375"/>
    <x v="462"/>
    <s v="Customer payment received"/>
    <x v="273"/>
    <s v="5149.79"/>
    <x v="2"/>
    <x v="0"/>
  </r>
  <r>
    <n v="5376"/>
    <x v="462"/>
    <s v="Customer payment received"/>
    <x v="2118"/>
    <s v="0.0"/>
    <x v="0"/>
    <x v="0"/>
  </r>
  <r>
    <n v="5376"/>
    <x v="462"/>
    <s v="Customer payment received"/>
    <x v="273"/>
    <s v="1831.23"/>
    <x v="2"/>
    <x v="0"/>
  </r>
  <r>
    <n v="5377"/>
    <x v="462"/>
    <s v="Supplier payment made"/>
    <x v="392"/>
    <s v="0.0"/>
    <x v="11"/>
    <x v="3"/>
  </r>
  <r>
    <n v="5377"/>
    <x v="462"/>
    <s v="Supplier payment made"/>
    <x v="273"/>
    <s v="1023.42"/>
    <x v="0"/>
    <x v="0"/>
  </r>
  <r>
    <n v="5378"/>
    <x v="462"/>
    <s v="Supplier payment made"/>
    <x v="496"/>
    <s v="0.0"/>
    <x v="11"/>
    <x v="3"/>
  </r>
  <r>
    <n v="5378"/>
    <x v="462"/>
    <s v="Supplier payment made"/>
    <x v="273"/>
    <s v="7227.44"/>
    <x v="0"/>
    <x v="0"/>
  </r>
  <r>
    <n v="5379"/>
    <x v="462"/>
    <s v="Supplier payment made"/>
    <x v="407"/>
    <s v="0.0"/>
    <x v="11"/>
    <x v="3"/>
  </r>
  <r>
    <n v="5379"/>
    <x v="462"/>
    <s v="Supplier payment made"/>
    <x v="273"/>
    <s v="201.5"/>
    <x v="0"/>
    <x v="0"/>
  </r>
  <r>
    <n v="5380"/>
    <x v="463"/>
    <s v="Sales invoice issued"/>
    <x v="2185"/>
    <s v="0.0"/>
    <x v="2"/>
    <x v="0"/>
  </r>
  <r>
    <n v="5380"/>
    <x v="463"/>
    <s v="Sales invoice issued"/>
    <x v="273"/>
    <s v="1376.96"/>
    <x v="3"/>
    <x v="2"/>
  </r>
  <r>
    <n v="5380"/>
    <x v="463"/>
    <s v="Sales invoice issued"/>
    <x v="273"/>
    <s v="103.27"/>
    <x v="4"/>
    <x v="3"/>
  </r>
  <r>
    <n v="5381"/>
    <x v="463"/>
    <s v="Sales invoice issued"/>
    <x v="2186"/>
    <s v="0.0"/>
    <x v="2"/>
    <x v="0"/>
  </r>
  <r>
    <n v="5381"/>
    <x v="463"/>
    <s v="Sales invoice issued"/>
    <x v="273"/>
    <s v="5078.48"/>
    <x v="3"/>
    <x v="2"/>
  </r>
  <r>
    <n v="5381"/>
    <x v="463"/>
    <s v="Sales invoice issued"/>
    <x v="273"/>
    <s v="380.9"/>
    <x v="4"/>
    <x v="3"/>
  </r>
  <r>
    <n v="5382"/>
    <x v="463"/>
    <s v="Sales invoice issued"/>
    <x v="2187"/>
    <s v="0.0"/>
    <x v="2"/>
    <x v="0"/>
  </r>
  <r>
    <n v="5382"/>
    <x v="463"/>
    <s v="Sales invoice issued"/>
    <x v="273"/>
    <s v="3666.04"/>
    <x v="3"/>
    <x v="2"/>
  </r>
  <r>
    <n v="5382"/>
    <x v="463"/>
    <s v="Sales invoice issued"/>
    <x v="273"/>
    <s v="274.95"/>
    <x v="4"/>
    <x v="3"/>
  </r>
  <r>
    <n v="5383"/>
    <x v="463"/>
    <s v="Sales invoice issued"/>
    <x v="2188"/>
    <s v="0.0"/>
    <x v="2"/>
    <x v="0"/>
  </r>
  <r>
    <n v="5383"/>
    <x v="463"/>
    <s v="Sales invoice issued"/>
    <x v="273"/>
    <s v="3152.48"/>
    <x v="3"/>
    <x v="2"/>
  </r>
  <r>
    <n v="5383"/>
    <x v="463"/>
    <s v="Sales invoice issued"/>
    <x v="273"/>
    <s v="236.43"/>
    <x v="4"/>
    <x v="3"/>
  </r>
  <r>
    <n v="5384"/>
    <x v="463"/>
    <s v="Sales invoice issued"/>
    <x v="2189"/>
    <s v="0.0"/>
    <x v="2"/>
    <x v="0"/>
  </r>
  <r>
    <n v="5384"/>
    <x v="463"/>
    <s v="Sales invoice issued"/>
    <x v="273"/>
    <s v="89.64"/>
    <x v="3"/>
    <x v="2"/>
  </r>
  <r>
    <n v="5384"/>
    <x v="463"/>
    <s v="Sales invoice issued"/>
    <x v="273"/>
    <s v="6.72"/>
    <x v="4"/>
    <x v="3"/>
  </r>
  <r>
    <n v="5385"/>
    <x v="463"/>
    <s v="Customer payment received"/>
    <x v="2020"/>
    <s v="0.0"/>
    <x v="0"/>
    <x v="0"/>
  </r>
  <r>
    <n v="5385"/>
    <x v="463"/>
    <s v="Customer payment received"/>
    <x v="273"/>
    <s v="1710.57"/>
    <x v="2"/>
    <x v="0"/>
  </r>
  <r>
    <n v="5386"/>
    <x v="463"/>
    <s v="Customer payment received"/>
    <x v="2051"/>
    <s v="0.0"/>
    <x v="0"/>
    <x v="0"/>
  </r>
  <r>
    <n v="5386"/>
    <x v="463"/>
    <s v="Customer payment received"/>
    <x v="273"/>
    <s v="2670.34"/>
    <x v="2"/>
    <x v="0"/>
  </r>
  <r>
    <n v="5387"/>
    <x v="463"/>
    <s v="Customer payment received"/>
    <x v="2071"/>
    <s v="0.0"/>
    <x v="0"/>
    <x v="0"/>
  </r>
  <r>
    <n v="5387"/>
    <x v="463"/>
    <s v="Customer payment received"/>
    <x v="273"/>
    <s v="3663.1"/>
    <x v="2"/>
    <x v="0"/>
  </r>
  <r>
    <n v="5388"/>
    <x v="463"/>
    <s v="Customer payment received"/>
    <x v="2123"/>
    <s v="0.0"/>
    <x v="0"/>
    <x v="0"/>
  </r>
  <r>
    <n v="5388"/>
    <x v="463"/>
    <s v="Customer payment received"/>
    <x v="273"/>
    <s v="4144.55"/>
    <x v="2"/>
    <x v="0"/>
  </r>
  <r>
    <n v="5389"/>
    <x v="463"/>
    <s v="Customer payment received"/>
    <x v="2125"/>
    <s v="0.0"/>
    <x v="0"/>
    <x v="0"/>
  </r>
  <r>
    <n v="5389"/>
    <x v="463"/>
    <s v="Customer payment received"/>
    <x v="273"/>
    <s v="2450.58"/>
    <x v="2"/>
    <x v="0"/>
  </r>
  <r>
    <n v="5390"/>
    <x v="463"/>
    <s v="Customer payment received"/>
    <x v="2133"/>
    <s v="0.0"/>
    <x v="0"/>
    <x v="0"/>
  </r>
  <r>
    <n v="5390"/>
    <x v="463"/>
    <s v="Customer payment received"/>
    <x v="273"/>
    <s v="1471.21"/>
    <x v="2"/>
    <x v="0"/>
  </r>
  <r>
    <n v="5391"/>
    <x v="463"/>
    <s v="Customer payment received"/>
    <x v="2140"/>
    <s v="0.0"/>
    <x v="0"/>
    <x v="0"/>
  </r>
  <r>
    <n v="5391"/>
    <x v="463"/>
    <s v="Customer payment received"/>
    <x v="273"/>
    <s v="2873.62"/>
    <x v="2"/>
    <x v="0"/>
  </r>
  <r>
    <n v="5392"/>
    <x v="463"/>
    <s v="Customer payment received"/>
    <x v="2146"/>
    <s v="0.0"/>
    <x v="0"/>
    <x v="0"/>
  </r>
  <r>
    <n v="5392"/>
    <x v="463"/>
    <s v="Customer payment received"/>
    <x v="273"/>
    <s v="3238.47"/>
    <x v="2"/>
    <x v="0"/>
  </r>
  <r>
    <n v="5393"/>
    <x v="463"/>
    <s v="Customer payment received"/>
    <x v="2151"/>
    <s v="0.0"/>
    <x v="0"/>
    <x v="0"/>
  </r>
  <r>
    <n v="5393"/>
    <x v="463"/>
    <s v="Customer payment received"/>
    <x v="273"/>
    <s v="4734.01"/>
    <x v="2"/>
    <x v="0"/>
  </r>
  <r>
    <n v="5394"/>
    <x v="463"/>
    <s v="Customer payment received"/>
    <x v="2156"/>
    <s v="0.0"/>
    <x v="0"/>
    <x v="0"/>
  </r>
  <r>
    <n v="5394"/>
    <x v="463"/>
    <s v="Customer payment received"/>
    <x v="273"/>
    <s v="1083.31"/>
    <x v="2"/>
    <x v="0"/>
  </r>
  <r>
    <n v="5395"/>
    <x v="463"/>
    <s v="Customer payment received"/>
    <x v="2172"/>
    <s v="0.0"/>
    <x v="0"/>
    <x v="0"/>
  </r>
  <r>
    <n v="5395"/>
    <x v="463"/>
    <s v="Customer payment received"/>
    <x v="273"/>
    <s v="5150.54"/>
    <x v="2"/>
    <x v="0"/>
  </r>
  <r>
    <n v="5396"/>
    <x v="463"/>
    <s v="Customer payment received"/>
    <x v="2174"/>
    <s v="0.0"/>
    <x v="0"/>
    <x v="0"/>
  </r>
  <r>
    <n v="5396"/>
    <x v="463"/>
    <s v="Customer payment received"/>
    <x v="273"/>
    <s v="1613.46"/>
    <x v="2"/>
    <x v="0"/>
  </r>
  <r>
    <n v="5397"/>
    <x v="463"/>
    <s v="Customer payment received"/>
    <x v="2177"/>
    <s v="0.0"/>
    <x v="0"/>
    <x v="0"/>
  </r>
  <r>
    <n v="5397"/>
    <x v="463"/>
    <s v="Customer payment received"/>
    <x v="273"/>
    <s v="4023.06"/>
    <x v="2"/>
    <x v="0"/>
  </r>
  <r>
    <n v="5398"/>
    <x v="463"/>
    <s v="Supplier invoice received"/>
    <x v="307"/>
    <s v="0.0"/>
    <x v="9"/>
    <x v="4"/>
  </r>
  <r>
    <n v="5398"/>
    <x v="463"/>
    <s v="Supplier invoice received"/>
    <x v="308"/>
    <s v="0.0"/>
    <x v="10"/>
    <x v="0"/>
  </r>
  <r>
    <n v="5398"/>
    <x v="463"/>
    <s v="Supplier invoice received"/>
    <x v="273"/>
    <s v="2093.28"/>
    <x v="11"/>
    <x v="3"/>
  </r>
  <r>
    <n v="5399"/>
    <x v="463"/>
    <s v="Supplier payment made"/>
    <x v="408"/>
    <s v="0.0"/>
    <x v="11"/>
    <x v="3"/>
  </r>
  <r>
    <n v="5399"/>
    <x v="463"/>
    <s v="Supplier payment made"/>
    <x v="273"/>
    <s v="3868.8"/>
    <x v="0"/>
    <x v="0"/>
  </r>
  <r>
    <n v="5400"/>
    <x v="463"/>
    <s v="Supplier payment made"/>
    <x v="335"/>
    <s v="0.0"/>
    <x v="11"/>
    <x v="3"/>
  </r>
  <r>
    <n v="5400"/>
    <x v="463"/>
    <s v="Supplier payment made"/>
    <x v="273"/>
    <s v="550.4"/>
    <x v="0"/>
    <x v="0"/>
  </r>
  <r>
    <n v="5401"/>
    <x v="464"/>
    <s v="Payroll processed"/>
    <x v="2190"/>
    <s v="0.0"/>
    <x v="5"/>
    <x v="4"/>
  </r>
  <r>
    <n v="5401"/>
    <x v="464"/>
    <s v="Payroll processed"/>
    <x v="2191"/>
    <s v="0.0"/>
    <x v="6"/>
    <x v="4"/>
  </r>
  <r>
    <n v="5401"/>
    <x v="464"/>
    <s v="Payroll processed"/>
    <x v="273"/>
    <s v="18329.06"/>
    <x v="0"/>
    <x v="0"/>
  </r>
  <r>
    <n v="5401"/>
    <x v="464"/>
    <s v="Payroll processed"/>
    <x v="273"/>
    <s v="4352.58"/>
    <x v="7"/>
    <x v="3"/>
  </r>
  <r>
    <n v="5401"/>
    <x v="464"/>
    <s v="Payroll processed"/>
    <x v="273"/>
    <s v="907.27"/>
    <x v="8"/>
    <x v="3"/>
  </r>
  <r>
    <n v="5402"/>
    <x v="464"/>
    <s v="Sales invoice issued"/>
    <x v="2192"/>
    <s v="0.0"/>
    <x v="2"/>
    <x v="0"/>
  </r>
  <r>
    <n v="5402"/>
    <x v="464"/>
    <s v="Sales invoice issued"/>
    <x v="273"/>
    <s v="1264.0"/>
    <x v="3"/>
    <x v="2"/>
  </r>
  <r>
    <n v="5402"/>
    <x v="464"/>
    <s v="Sales invoice issued"/>
    <x v="273"/>
    <s v="94.81"/>
    <x v="4"/>
    <x v="3"/>
  </r>
  <r>
    <n v="5403"/>
    <x v="464"/>
    <s v="Customer payment received"/>
    <x v="2037"/>
    <s v="0.0"/>
    <x v="0"/>
    <x v="0"/>
  </r>
  <r>
    <n v="5403"/>
    <x v="464"/>
    <s v="Customer payment received"/>
    <x v="273"/>
    <s v="1888.92"/>
    <x v="2"/>
    <x v="0"/>
  </r>
  <r>
    <n v="5404"/>
    <x v="464"/>
    <s v="Customer payment received"/>
    <x v="2070"/>
    <s v="0.0"/>
    <x v="0"/>
    <x v="0"/>
  </r>
  <r>
    <n v="5404"/>
    <x v="464"/>
    <s v="Customer payment received"/>
    <x v="273"/>
    <s v="1644.19"/>
    <x v="2"/>
    <x v="0"/>
  </r>
  <r>
    <n v="5405"/>
    <x v="464"/>
    <s v="Customer payment received"/>
    <x v="2086"/>
    <s v="0.0"/>
    <x v="0"/>
    <x v="0"/>
  </r>
  <r>
    <n v="5405"/>
    <x v="464"/>
    <s v="Customer payment received"/>
    <x v="273"/>
    <s v="1575.11"/>
    <x v="2"/>
    <x v="0"/>
  </r>
  <r>
    <n v="5406"/>
    <x v="464"/>
    <s v="Customer payment received"/>
    <x v="2139"/>
    <s v="0.0"/>
    <x v="0"/>
    <x v="0"/>
  </r>
  <r>
    <n v="5406"/>
    <x v="464"/>
    <s v="Customer payment received"/>
    <x v="273"/>
    <s v="143.66"/>
    <x v="2"/>
    <x v="0"/>
  </r>
  <r>
    <n v="5407"/>
    <x v="464"/>
    <s v="Customer payment received"/>
    <x v="2180"/>
    <s v="0.0"/>
    <x v="0"/>
    <x v="0"/>
  </r>
  <r>
    <n v="5407"/>
    <x v="464"/>
    <s v="Customer payment received"/>
    <x v="273"/>
    <s v="2072.88"/>
    <x v="2"/>
    <x v="0"/>
  </r>
  <r>
    <n v="5408"/>
    <x v="464"/>
    <s v="Customer payment received"/>
    <x v="2183"/>
    <s v="0.0"/>
    <x v="0"/>
    <x v="0"/>
  </r>
  <r>
    <n v="5408"/>
    <x v="464"/>
    <s v="Customer payment received"/>
    <x v="273"/>
    <s v="940.92"/>
    <x v="2"/>
    <x v="0"/>
  </r>
  <r>
    <n v="5409"/>
    <x v="465"/>
    <s v="Sales invoice issued"/>
    <x v="2193"/>
    <s v="0.0"/>
    <x v="2"/>
    <x v="0"/>
  </r>
  <r>
    <n v="5409"/>
    <x v="465"/>
    <s v="Sales invoice issued"/>
    <x v="273"/>
    <s v="2192.22"/>
    <x v="3"/>
    <x v="2"/>
  </r>
  <r>
    <n v="5409"/>
    <x v="465"/>
    <s v="Sales invoice issued"/>
    <x v="273"/>
    <s v="164.41"/>
    <x v="4"/>
    <x v="3"/>
  </r>
  <r>
    <n v="5410"/>
    <x v="465"/>
    <s v="Sales invoice issued"/>
    <x v="2194"/>
    <s v="0.0"/>
    <x v="2"/>
    <x v="0"/>
  </r>
  <r>
    <n v="5410"/>
    <x v="465"/>
    <s v="Sales invoice issued"/>
    <x v="273"/>
    <s v="1082.27"/>
    <x v="3"/>
    <x v="2"/>
  </r>
  <r>
    <n v="5410"/>
    <x v="465"/>
    <s v="Sales invoice issued"/>
    <x v="273"/>
    <s v="81.17"/>
    <x v="4"/>
    <x v="3"/>
  </r>
  <r>
    <n v="5411"/>
    <x v="465"/>
    <s v="Sales invoice issued"/>
    <x v="2195"/>
    <s v="0.0"/>
    <x v="2"/>
    <x v="0"/>
  </r>
  <r>
    <n v="5411"/>
    <x v="465"/>
    <s v="Sales invoice issued"/>
    <x v="273"/>
    <s v="298.8"/>
    <x v="3"/>
    <x v="2"/>
  </r>
  <r>
    <n v="5411"/>
    <x v="465"/>
    <s v="Sales invoice issued"/>
    <x v="273"/>
    <s v="22.41"/>
    <x v="4"/>
    <x v="3"/>
  </r>
  <r>
    <n v="5412"/>
    <x v="465"/>
    <s v="Sales invoice issued"/>
    <x v="2196"/>
    <s v="0.0"/>
    <x v="2"/>
    <x v="0"/>
  </r>
  <r>
    <n v="5412"/>
    <x v="465"/>
    <s v="Sales invoice issued"/>
    <x v="273"/>
    <s v="1035.42"/>
    <x v="3"/>
    <x v="2"/>
  </r>
  <r>
    <n v="5412"/>
    <x v="465"/>
    <s v="Sales invoice issued"/>
    <x v="273"/>
    <s v="77.66"/>
    <x v="4"/>
    <x v="3"/>
  </r>
  <r>
    <n v="5413"/>
    <x v="465"/>
    <s v="Sales invoice issued"/>
    <x v="2197"/>
    <s v="0.0"/>
    <x v="2"/>
    <x v="0"/>
  </r>
  <r>
    <n v="5413"/>
    <x v="465"/>
    <s v="Sales invoice issued"/>
    <x v="273"/>
    <s v="5241.82"/>
    <x v="3"/>
    <x v="2"/>
  </r>
  <r>
    <n v="5413"/>
    <x v="465"/>
    <s v="Sales invoice issued"/>
    <x v="273"/>
    <s v="393.14"/>
    <x v="4"/>
    <x v="3"/>
  </r>
  <r>
    <n v="5414"/>
    <x v="465"/>
    <s v="Sales invoice issued"/>
    <x v="2198"/>
    <s v="0.0"/>
    <x v="2"/>
    <x v="0"/>
  </r>
  <r>
    <n v="5414"/>
    <x v="465"/>
    <s v="Sales invoice issued"/>
    <x v="273"/>
    <s v="357.19"/>
    <x v="3"/>
    <x v="2"/>
  </r>
  <r>
    <n v="5414"/>
    <x v="465"/>
    <s v="Sales invoice issued"/>
    <x v="273"/>
    <s v="26.79"/>
    <x v="4"/>
    <x v="3"/>
  </r>
  <r>
    <n v="5415"/>
    <x v="465"/>
    <s v="Customer payment received"/>
    <x v="2002"/>
    <s v="0.0"/>
    <x v="0"/>
    <x v="0"/>
  </r>
  <r>
    <n v="5415"/>
    <x v="465"/>
    <s v="Customer payment received"/>
    <x v="273"/>
    <s v="1105.18"/>
    <x v="2"/>
    <x v="0"/>
  </r>
  <r>
    <n v="5416"/>
    <x v="465"/>
    <s v="Customer payment received"/>
    <x v="2026"/>
    <s v="0.0"/>
    <x v="0"/>
    <x v="0"/>
  </r>
  <r>
    <n v="5416"/>
    <x v="465"/>
    <s v="Customer payment received"/>
    <x v="273"/>
    <s v="2071.8"/>
    <x v="2"/>
    <x v="0"/>
  </r>
  <r>
    <n v="5417"/>
    <x v="465"/>
    <s v="Customer payment received"/>
    <x v="2074"/>
    <s v="0.0"/>
    <x v="0"/>
    <x v="0"/>
  </r>
  <r>
    <n v="5417"/>
    <x v="465"/>
    <s v="Customer payment received"/>
    <x v="273"/>
    <s v="1260.12"/>
    <x v="2"/>
    <x v="0"/>
  </r>
  <r>
    <n v="5418"/>
    <x v="465"/>
    <s v="Customer payment received"/>
    <x v="2107"/>
    <s v="0.0"/>
    <x v="0"/>
    <x v="0"/>
  </r>
  <r>
    <n v="5418"/>
    <x v="465"/>
    <s v="Customer payment received"/>
    <x v="273"/>
    <s v="396.8"/>
    <x v="2"/>
    <x v="0"/>
  </r>
  <r>
    <n v="5419"/>
    <x v="465"/>
    <s v="Customer payment received"/>
    <x v="2136"/>
    <s v="0.0"/>
    <x v="0"/>
    <x v="0"/>
  </r>
  <r>
    <n v="5419"/>
    <x v="465"/>
    <s v="Customer payment received"/>
    <x v="273"/>
    <s v="5068.34"/>
    <x v="2"/>
    <x v="0"/>
  </r>
  <r>
    <n v="5420"/>
    <x v="465"/>
    <s v="Customer payment received"/>
    <x v="2150"/>
    <s v="0.0"/>
    <x v="0"/>
    <x v="0"/>
  </r>
  <r>
    <n v="5420"/>
    <x v="465"/>
    <s v="Customer payment received"/>
    <x v="273"/>
    <s v="2213.9"/>
    <x v="2"/>
    <x v="0"/>
  </r>
  <r>
    <n v="5421"/>
    <x v="465"/>
    <s v="Customer payment received"/>
    <x v="2169"/>
    <s v="0.0"/>
    <x v="0"/>
    <x v="0"/>
  </r>
  <r>
    <n v="5421"/>
    <x v="465"/>
    <s v="Customer payment received"/>
    <x v="273"/>
    <s v="1826.02"/>
    <x v="2"/>
    <x v="0"/>
  </r>
  <r>
    <n v="5422"/>
    <x v="465"/>
    <s v="Supplier invoice received"/>
    <x v="443"/>
    <s v="0.0"/>
    <x v="9"/>
    <x v="4"/>
  </r>
  <r>
    <n v="5422"/>
    <x v="465"/>
    <s v="Supplier invoice received"/>
    <x v="444"/>
    <s v="0.0"/>
    <x v="10"/>
    <x v="0"/>
  </r>
  <r>
    <n v="5422"/>
    <x v="465"/>
    <s v="Supplier invoice received"/>
    <x v="273"/>
    <s v="748.26"/>
    <x v="11"/>
    <x v="3"/>
  </r>
  <r>
    <n v="5423"/>
    <x v="465"/>
    <s v="Supplier invoice received"/>
    <x v="305"/>
    <s v="0.0"/>
    <x v="9"/>
    <x v="4"/>
  </r>
  <r>
    <n v="5423"/>
    <x v="465"/>
    <s v="Supplier invoice received"/>
    <x v="306"/>
    <s v="0.0"/>
    <x v="10"/>
    <x v="0"/>
  </r>
  <r>
    <n v="5423"/>
    <x v="465"/>
    <s v="Supplier invoice received"/>
    <x v="273"/>
    <s v="276.32"/>
    <x v="11"/>
    <x v="3"/>
  </r>
  <r>
    <n v="5424"/>
    <x v="465"/>
    <s v="Supplier payment made"/>
    <x v="407"/>
    <s v="0.0"/>
    <x v="11"/>
    <x v="3"/>
  </r>
  <r>
    <n v="5424"/>
    <x v="465"/>
    <s v="Supplier payment made"/>
    <x v="273"/>
    <s v="201.5"/>
    <x v="0"/>
    <x v="0"/>
  </r>
  <r>
    <n v="5425"/>
    <x v="465"/>
    <s v="Supplier payment made"/>
    <x v="327"/>
    <s v="0.0"/>
    <x v="11"/>
    <x v="3"/>
  </r>
  <r>
    <n v="5425"/>
    <x v="465"/>
    <s v="Supplier payment made"/>
    <x v="273"/>
    <s v="1935.04"/>
    <x v="0"/>
    <x v="0"/>
  </r>
  <r>
    <n v="5426"/>
    <x v="465"/>
    <s v="Supplier payment made"/>
    <x v="351"/>
    <s v="0.0"/>
    <x v="11"/>
    <x v="3"/>
  </r>
  <r>
    <n v="5426"/>
    <x v="465"/>
    <s v="Supplier payment made"/>
    <x v="273"/>
    <s v="179.01"/>
    <x v="0"/>
    <x v="0"/>
  </r>
  <r>
    <n v="5427"/>
    <x v="466"/>
    <s v="Sales invoice issued"/>
    <x v="2199"/>
    <s v="0.0"/>
    <x v="2"/>
    <x v="0"/>
  </r>
  <r>
    <n v="5427"/>
    <x v="466"/>
    <s v="Sales invoice issued"/>
    <x v="273"/>
    <s v="728.0"/>
    <x v="3"/>
    <x v="2"/>
  </r>
  <r>
    <n v="5427"/>
    <x v="466"/>
    <s v="Sales invoice issued"/>
    <x v="273"/>
    <s v="54.6"/>
    <x v="4"/>
    <x v="3"/>
  </r>
  <r>
    <n v="5428"/>
    <x v="466"/>
    <s v="Sales invoice issued"/>
    <x v="2200"/>
    <s v="0.0"/>
    <x v="2"/>
    <x v="0"/>
  </r>
  <r>
    <n v="5428"/>
    <x v="466"/>
    <s v="Sales invoice issued"/>
    <x v="273"/>
    <s v="1805.59"/>
    <x v="3"/>
    <x v="2"/>
  </r>
  <r>
    <n v="5428"/>
    <x v="466"/>
    <s v="Sales invoice issued"/>
    <x v="273"/>
    <s v="135.42"/>
    <x v="4"/>
    <x v="3"/>
  </r>
  <r>
    <n v="5429"/>
    <x v="466"/>
    <s v="Sales invoice issued"/>
    <x v="2201"/>
    <s v="0.0"/>
    <x v="2"/>
    <x v="0"/>
  </r>
  <r>
    <n v="5429"/>
    <x v="466"/>
    <s v="Sales invoice issued"/>
    <x v="273"/>
    <s v="1294.02"/>
    <x v="3"/>
    <x v="2"/>
  </r>
  <r>
    <n v="5429"/>
    <x v="466"/>
    <s v="Sales invoice issued"/>
    <x v="273"/>
    <s v="97.05"/>
    <x v="4"/>
    <x v="3"/>
  </r>
  <r>
    <n v="5430"/>
    <x v="466"/>
    <s v="Sales invoice issued"/>
    <x v="2202"/>
    <s v="0.0"/>
    <x v="2"/>
    <x v="0"/>
  </r>
  <r>
    <n v="5430"/>
    <x v="466"/>
    <s v="Sales invoice issued"/>
    <x v="273"/>
    <s v="1945.38"/>
    <x v="3"/>
    <x v="2"/>
  </r>
  <r>
    <n v="5430"/>
    <x v="466"/>
    <s v="Sales invoice issued"/>
    <x v="273"/>
    <s v="145.89"/>
    <x v="4"/>
    <x v="3"/>
  </r>
  <r>
    <n v="5431"/>
    <x v="466"/>
    <s v="Sales invoice issued"/>
    <x v="2203"/>
    <s v="0.0"/>
    <x v="2"/>
    <x v="0"/>
  </r>
  <r>
    <n v="5431"/>
    <x v="466"/>
    <s v="Sales invoice issued"/>
    <x v="273"/>
    <s v="956.4"/>
    <x v="3"/>
    <x v="2"/>
  </r>
  <r>
    <n v="5431"/>
    <x v="466"/>
    <s v="Sales invoice issued"/>
    <x v="273"/>
    <s v="71.74"/>
    <x v="4"/>
    <x v="3"/>
  </r>
  <r>
    <n v="5432"/>
    <x v="466"/>
    <s v="Sales invoice issued"/>
    <x v="2204"/>
    <s v="0.0"/>
    <x v="2"/>
    <x v="0"/>
  </r>
  <r>
    <n v="5432"/>
    <x v="466"/>
    <s v="Sales invoice issued"/>
    <x v="273"/>
    <s v="3020.05"/>
    <x v="3"/>
    <x v="2"/>
  </r>
  <r>
    <n v="5432"/>
    <x v="466"/>
    <s v="Sales invoice issued"/>
    <x v="273"/>
    <s v="226.5"/>
    <x v="4"/>
    <x v="3"/>
  </r>
  <r>
    <n v="5433"/>
    <x v="466"/>
    <s v="Sales invoice issued"/>
    <x v="2205"/>
    <s v="0.0"/>
    <x v="2"/>
    <x v="0"/>
  </r>
  <r>
    <n v="5433"/>
    <x v="466"/>
    <s v="Sales invoice issued"/>
    <x v="273"/>
    <s v="3895.32"/>
    <x v="3"/>
    <x v="2"/>
  </r>
  <r>
    <n v="5433"/>
    <x v="466"/>
    <s v="Sales invoice issued"/>
    <x v="273"/>
    <s v="292.16"/>
    <x v="4"/>
    <x v="3"/>
  </r>
  <r>
    <n v="5434"/>
    <x v="466"/>
    <s v="Sales invoice issued"/>
    <x v="2206"/>
    <s v="0.0"/>
    <x v="2"/>
    <x v="0"/>
  </r>
  <r>
    <n v="5434"/>
    <x v="466"/>
    <s v="Sales invoice issued"/>
    <x v="273"/>
    <s v="3634.95"/>
    <x v="3"/>
    <x v="2"/>
  </r>
  <r>
    <n v="5434"/>
    <x v="466"/>
    <s v="Sales invoice issued"/>
    <x v="273"/>
    <s v="272.61"/>
    <x v="4"/>
    <x v="3"/>
  </r>
  <r>
    <n v="5435"/>
    <x v="466"/>
    <s v="Customer payment received"/>
    <x v="1952"/>
    <s v="0.0"/>
    <x v="0"/>
    <x v="0"/>
  </r>
  <r>
    <n v="5435"/>
    <x v="466"/>
    <s v="Customer payment received"/>
    <x v="273"/>
    <s v="995.44"/>
    <x v="2"/>
    <x v="0"/>
  </r>
  <r>
    <n v="5436"/>
    <x v="466"/>
    <s v="Customer payment received"/>
    <x v="2049"/>
    <s v="0.0"/>
    <x v="0"/>
    <x v="0"/>
  </r>
  <r>
    <n v="5436"/>
    <x v="466"/>
    <s v="Customer payment received"/>
    <x v="273"/>
    <s v="14.85"/>
    <x v="2"/>
    <x v="0"/>
  </r>
  <r>
    <n v="5437"/>
    <x v="466"/>
    <s v="Customer payment received"/>
    <x v="2117"/>
    <s v="0.0"/>
    <x v="0"/>
    <x v="0"/>
  </r>
  <r>
    <n v="5437"/>
    <x v="466"/>
    <s v="Customer payment received"/>
    <x v="273"/>
    <s v="5319.74"/>
    <x v="2"/>
    <x v="0"/>
  </r>
  <r>
    <n v="5438"/>
    <x v="466"/>
    <s v="Customer payment received"/>
    <x v="2164"/>
    <s v="0.0"/>
    <x v="0"/>
    <x v="0"/>
  </r>
  <r>
    <n v="5438"/>
    <x v="466"/>
    <s v="Customer payment received"/>
    <x v="273"/>
    <s v="1330.27"/>
    <x v="2"/>
    <x v="0"/>
  </r>
  <r>
    <n v="5439"/>
    <x v="466"/>
    <s v="Customer payment received"/>
    <x v="2171"/>
    <s v="0.0"/>
    <x v="0"/>
    <x v="0"/>
  </r>
  <r>
    <n v="5439"/>
    <x v="466"/>
    <s v="Customer payment received"/>
    <x v="273"/>
    <s v="1548.13"/>
    <x v="2"/>
    <x v="0"/>
  </r>
  <r>
    <n v="5440"/>
    <x v="466"/>
    <s v="Customer payment received"/>
    <x v="2185"/>
    <s v="0.0"/>
    <x v="0"/>
    <x v="0"/>
  </r>
  <r>
    <n v="5440"/>
    <x v="466"/>
    <s v="Customer payment received"/>
    <x v="273"/>
    <s v="1480.23"/>
    <x v="2"/>
    <x v="0"/>
  </r>
  <r>
    <n v="5441"/>
    <x v="466"/>
    <s v="Customer payment received"/>
    <x v="2195"/>
    <s v="0.0"/>
    <x v="0"/>
    <x v="0"/>
  </r>
  <r>
    <n v="5441"/>
    <x v="466"/>
    <s v="Customer payment received"/>
    <x v="273"/>
    <s v="321.21"/>
    <x v="2"/>
    <x v="0"/>
  </r>
  <r>
    <n v="5442"/>
    <x v="466"/>
    <s v="Supplier invoice received"/>
    <x v="297"/>
    <s v="0.0"/>
    <x v="9"/>
    <x v="4"/>
  </r>
  <r>
    <n v="5442"/>
    <x v="466"/>
    <s v="Supplier invoice received"/>
    <x v="298"/>
    <s v="0.0"/>
    <x v="10"/>
    <x v="0"/>
  </r>
  <r>
    <n v="5442"/>
    <x v="466"/>
    <s v="Supplier invoice received"/>
    <x v="273"/>
    <s v="3528.97"/>
    <x v="11"/>
    <x v="3"/>
  </r>
  <r>
    <n v="5443"/>
    <x v="466"/>
    <s v="Supplier invoice received"/>
    <x v="461"/>
    <s v="0.0"/>
    <x v="9"/>
    <x v="4"/>
  </r>
  <r>
    <n v="5443"/>
    <x v="466"/>
    <s v="Supplier invoice received"/>
    <x v="462"/>
    <s v="0.0"/>
    <x v="10"/>
    <x v="0"/>
  </r>
  <r>
    <n v="5443"/>
    <x v="466"/>
    <s v="Supplier invoice received"/>
    <x v="273"/>
    <s v="2182.41"/>
    <x v="11"/>
    <x v="3"/>
  </r>
  <r>
    <n v="5444"/>
    <x v="466"/>
    <s v="Supplier invoice received"/>
    <x v="330"/>
    <s v="0.0"/>
    <x v="9"/>
    <x v="4"/>
  </r>
  <r>
    <n v="5444"/>
    <x v="466"/>
    <s v="Supplier invoice received"/>
    <x v="331"/>
    <s v="0.0"/>
    <x v="10"/>
    <x v="0"/>
  </r>
  <r>
    <n v="5444"/>
    <x v="466"/>
    <s v="Supplier invoice received"/>
    <x v="273"/>
    <s v="1935.04"/>
    <x v="11"/>
    <x v="3"/>
  </r>
  <r>
    <n v="5445"/>
    <x v="466"/>
    <s v="Supplier invoice received"/>
    <x v="405"/>
    <s v="0.0"/>
    <x v="9"/>
    <x v="4"/>
  </r>
  <r>
    <n v="5445"/>
    <x v="466"/>
    <s v="Supplier invoice received"/>
    <x v="406"/>
    <s v="0.0"/>
    <x v="10"/>
    <x v="0"/>
  </r>
  <r>
    <n v="5445"/>
    <x v="466"/>
    <s v="Supplier invoice received"/>
    <x v="273"/>
    <s v="2635.36"/>
    <x v="11"/>
    <x v="3"/>
  </r>
  <r>
    <n v="5446"/>
    <x v="466"/>
    <s v="Supplier invoice received"/>
    <x v="332"/>
    <s v="0.0"/>
    <x v="9"/>
    <x v="4"/>
  </r>
  <r>
    <n v="5446"/>
    <x v="466"/>
    <s v="Supplier invoice received"/>
    <x v="333"/>
    <s v="0.0"/>
    <x v="10"/>
    <x v="0"/>
  </r>
  <r>
    <n v="5446"/>
    <x v="466"/>
    <s v="Supplier invoice received"/>
    <x v="273"/>
    <s v="1023.42"/>
    <x v="11"/>
    <x v="3"/>
  </r>
  <r>
    <n v="5447"/>
    <x v="466"/>
    <s v="Supplier invoice received"/>
    <x v="448"/>
    <s v="0.0"/>
    <x v="9"/>
    <x v="4"/>
  </r>
  <r>
    <n v="5447"/>
    <x v="466"/>
    <s v="Supplier invoice received"/>
    <x v="449"/>
    <s v="0.0"/>
    <x v="10"/>
    <x v="0"/>
  </r>
  <r>
    <n v="5447"/>
    <x v="466"/>
    <s v="Supplier invoice received"/>
    <x v="273"/>
    <s v="7227.44"/>
    <x v="11"/>
    <x v="3"/>
  </r>
  <r>
    <n v="5448"/>
    <x v="466"/>
    <s v="Supplier invoice received"/>
    <x v="357"/>
    <s v="0.0"/>
    <x v="9"/>
    <x v="4"/>
  </r>
  <r>
    <n v="5448"/>
    <x v="466"/>
    <s v="Supplier invoice received"/>
    <x v="358"/>
    <s v="0.0"/>
    <x v="10"/>
    <x v="0"/>
  </r>
  <r>
    <n v="5448"/>
    <x v="466"/>
    <s v="Supplier invoice received"/>
    <x v="273"/>
    <s v="1958.74"/>
    <x v="11"/>
    <x v="3"/>
  </r>
  <r>
    <n v="5449"/>
    <x v="466"/>
    <s v="Supplier invoice received"/>
    <x v="383"/>
    <s v="0.0"/>
    <x v="9"/>
    <x v="4"/>
  </r>
  <r>
    <n v="5449"/>
    <x v="466"/>
    <s v="Supplier invoice received"/>
    <x v="384"/>
    <s v="0.0"/>
    <x v="10"/>
    <x v="0"/>
  </r>
  <r>
    <n v="5449"/>
    <x v="466"/>
    <s v="Supplier invoice received"/>
    <x v="273"/>
    <s v="3868.8"/>
    <x v="11"/>
    <x v="3"/>
  </r>
  <r>
    <n v="5450"/>
    <x v="466"/>
    <s v="Supplier invoice received"/>
    <x v="359"/>
    <s v="0.0"/>
    <x v="9"/>
    <x v="4"/>
  </r>
  <r>
    <n v="5450"/>
    <x v="466"/>
    <s v="Supplier invoice received"/>
    <x v="360"/>
    <s v="0.0"/>
    <x v="10"/>
    <x v="0"/>
  </r>
  <r>
    <n v="5450"/>
    <x v="466"/>
    <s v="Supplier invoice received"/>
    <x v="273"/>
    <s v="1591.54"/>
    <x v="11"/>
    <x v="3"/>
  </r>
  <r>
    <n v="5451"/>
    <x v="466"/>
    <s v="Supplier invoice received"/>
    <x v="303"/>
    <s v="0.0"/>
    <x v="9"/>
    <x v="4"/>
  </r>
  <r>
    <n v="5451"/>
    <x v="466"/>
    <s v="Supplier invoice received"/>
    <x v="304"/>
    <s v="0.0"/>
    <x v="10"/>
    <x v="0"/>
  </r>
  <r>
    <n v="5451"/>
    <x v="466"/>
    <s v="Supplier invoice received"/>
    <x v="273"/>
    <s v="550.4"/>
    <x v="11"/>
    <x v="3"/>
  </r>
  <r>
    <n v="5452"/>
    <x v="466"/>
    <s v="Supplier payment made"/>
    <x v="353"/>
    <s v="0.0"/>
    <x v="11"/>
    <x v="3"/>
  </r>
  <r>
    <n v="5452"/>
    <x v="466"/>
    <s v="Supplier payment made"/>
    <x v="273"/>
    <s v="2918.17"/>
    <x v="0"/>
    <x v="0"/>
  </r>
  <r>
    <n v="5453"/>
    <x v="466"/>
    <s v="Supplier payment made"/>
    <x v="280"/>
    <s v="0.0"/>
    <x v="11"/>
    <x v="3"/>
  </r>
  <r>
    <n v="5453"/>
    <x v="466"/>
    <s v="Supplier payment made"/>
    <x v="273"/>
    <s v="2635.36"/>
    <x v="0"/>
    <x v="0"/>
  </r>
  <r>
    <n v="5454"/>
    <x v="466"/>
    <s v="Supplier payment made"/>
    <x v="352"/>
    <s v="0.0"/>
    <x v="11"/>
    <x v="3"/>
  </r>
  <r>
    <n v="5454"/>
    <x v="466"/>
    <s v="Supplier payment made"/>
    <x v="273"/>
    <s v="9336.67"/>
    <x v="0"/>
    <x v="0"/>
  </r>
  <r>
    <n v="5455"/>
    <x v="466"/>
    <s v="Supplier payment made"/>
    <x v="292"/>
    <s v="0.0"/>
    <x v="11"/>
    <x v="3"/>
  </r>
  <r>
    <n v="5455"/>
    <x v="466"/>
    <s v="Supplier payment made"/>
    <x v="273"/>
    <s v="1766.46"/>
    <x v="0"/>
    <x v="0"/>
  </r>
  <r>
    <n v="5456"/>
    <x v="466"/>
    <s v="Supplier payment made"/>
    <x v="309"/>
    <s v="0.0"/>
    <x v="11"/>
    <x v="3"/>
  </r>
  <r>
    <n v="5456"/>
    <x v="466"/>
    <s v="Supplier payment made"/>
    <x v="273"/>
    <s v="4812.46"/>
    <x v="0"/>
    <x v="0"/>
  </r>
  <r>
    <n v="5457"/>
    <x v="466"/>
    <s v="Supplier payment made"/>
    <x v="310"/>
    <s v="0.0"/>
    <x v="11"/>
    <x v="3"/>
  </r>
  <r>
    <n v="5457"/>
    <x v="466"/>
    <s v="Supplier payment made"/>
    <x v="273"/>
    <s v="276.32"/>
    <x v="0"/>
    <x v="0"/>
  </r>
  <r>
    <n v="5458"/>
    <x v="466"/>
    <s v="Supplier payment made"/>
    <x v="336"/>
    <s v="0.0"/>
    <x v="11"/>
    <x v="3"/>
  </r>
  <r>
    <n v="5458"/>
    <x v="466"/>
    <s v="Supplier payment made"/>
    <x v="273"/>
    <s v="2093.28"/>
    <x v="0"/>
    <x v="0"/>
  </r>
  <r>
    <n v="5459"/>
    <x v="466"/>
    <s v="Supplier payment made"/>
    <x v="392"/>
    <s v="0.0"/>
    <x v="11"/>
    <x v="3"/>
  </r>
  <r>
    <n v="5459"/>
    <x v="466"/>
    <s v="Supplier payment made"/>
    <x v="273"/>
    <s v="1023.42"/>
    <x v="0"/>
    <x v="0"/>
  </r>
  <r>
    <n v="5460"/>
    <x v="467"/>
    <s v="Sales invoice issued"/>
    <x v="2207"/>
    <s v="0.0"/>
    <x v="2"/>
    <x v="0"/>
  </r>
  <r>
    <n v="5460"/>
    <x v="467"/>
    <s v="Sales invoice issued"/>
    <x v="273"/>
    <s v="940.37"/>
    <x v="3"/>
    <x v="2"/>
  </r>
  <r>
    <n v="5460"/>
    <x v="467"/>
    <s v="Sales invoice issued"/>
    <x v="273"/>
    <s v="70.53"/>
    <x v="4"/>
    <x v="3"/>
  </r>
  <r>
    <n v="5461"/>
    <x v="467"/>
    <s v="Sales invoice issued"/>
    <x v="2208"/>
    <s v="0.0"/>
    <x v="2"/>
    <x v="0"/>
  </r>
  <r>
    <n v="5461"/>
    <x v="467"/>
    <s v="Sales invoice issued"/>
    <x v="273"/>
    <s v="1547.26"/>
    <x v="3"/>
    <x v="2"/>
  </r>
  <r>
    <n v="5461"/>
    <x v="467"/>
    <s v="Sales invoice issued"/>
    <x v="273"/>
    <s v="116.04"/>
    <x v="4"/>
    <x v="3"/>
  </r>
  <r>
    <n v="5462"/>
    <x v="467"/>
    <s v="Sales invoice issued"/>
    <x v="2209"/>
    <s v="0.0"/>
    <x v="2"/>
    <x v="0"/>
  </r>
  <r>
    <n v="5462"/>
    <x v="467"/>
    <s v="Sales invoice issued"/>
    <x v="273"/>
    <s v="99.32"/>
    <x v="3"/>
    <x v="2"/>
  </r>
  <r>
    <n v="5462"/>
    <x v="467"/>
    <s v="Sales invoice issued"/>
    <x v="273"/>
    <s v="7.45"/>
    <x v="4"/>
    <x v="3"/>
  </r>
  <r>
    <n v="5463"/>
    <x v="467"/>
    <s v="Sales invoice issued"/>
    <x v="1251"/>
    <s v="0.0"/>
    <x v="2"/>
    <x v="0"/>
  </r>
  <r>
    <n v="5463"/>
    <x v="467"/>
    <s v="Sales invoice issued"/>
    <x v="273"/>
    <s v="733.59"/>
    <x v="3"/>
    <x v="2"/>
  </r>
  <r>
    <n v="5463"/>
    <x v="467"/>
    <s v="Sales invoice issued"/>
    <x v="273"/>
    <s v="55.02"/>
    <x v="4"/>
    <x v="3"/>
  </r>
  <r>
    <n v="5464"/>
    <x v="467"/>
    <s v="Sales invoice issued"/>
    <x v="2210"/>
    <s v="0.0"/>
    <x v="2"/>
    <x v="0"/>
  </r>
  <r>
    <n v="5464"/>
    <x v="467"/>
    <s v="Sales invoice issued"/>
    <x v="273"/>
    <s v="766.82"/>
    <x v="3"/>
    <x v="2"/>
  </r>
  <r>
    <n v="5464"/>
    <x v="467"/>
    <s v="Sales invoice issued"/>
    <x v="273"/>
    <s v="57.52"/>
    <x v="4"/>
    <x v="3"/>
  </r>
  <r>
    <n v="5465"/>
    <x v="467"/>
    <s v="Sales invoice issued"/>
    <x v="2211"/>
    <s v="0.0"/>
    <x v="2"/>
    <x v="0"/>
  </r>
  <r>
    <n v="5465"/>
    <x v="467"/>
    <s v="Sales invoice issued"/>
    <x v="273"/>
    <s v="2641.05"/>
    <x v="3"/>
    <x v="2"/>
  </r>
  <r>
    <n v="5465"/>
    <x v="467"/>
    <s v="Sales invoice issued"/>
    <x v="273"/>
    <s v="198.09"/>
    <x v="4"/>
    <x v="3"/>
  </r>
  <r>
    <n v="5466"/>
    <x v="467"/>
    <s v="Customer payment received"/>
    <x v="1980"/>
    <s v="0.0"/>
    <x v="0"/>
    <x v="0"/>
  </r>
  <r>
    <n v="5466"/>
    <x v="467"/>
    <s v="Customer payment received"/>
    <x v="273"/>
    <s v="2021.69"/>
    <x v="2"/>
    <x v="0"/>
  </r>
  <r>
    <n v="5467"/>
    <x v="467"/>
    <s v="Customer payment received"/>
    <x v="2010"/>
    <s v="0.0"/>
    <x v="0"/>
    <x v="0"/>
  </r>
  <r>
    <n v="5467"/>
    <x v="467"/>
    <s v="Customer payment received"/>
    <x v="273"/>
    <s v="2542.49"/>
    <x v="2"/>
    <x v="0"/>
  </r>
  <r>
    <n v="5468"/>
    <x v="467"/>
    <s v="Customer payment received"/>
    <x v="2062"/>
    <s v="0.0"/>
    <x v="0"/>
    <x v="0"/>
  </r>
  <r>
    <n v="5468"/>
    <x v="467"/>
    <s v="Customer payment received"/>
    <x v="273"/>
    <s v="1293.55"/>
    <x v="2"/>
    <x v="0"/>
  </r>
  <r>
    <n v="5469"/>
    <x v="467"/>
    <s v="Customer payment received"/>
    <x v="2085"/>
    <s v="0.0"/>
    <x v="0"/>
    <x v="0"/>
  </r>
  <r>
    <n v="5469"/>
    <x v="467"/>
    <s v="Customer payment received"/>
    <x v="273"/>
    <s v="4772.55"/>
    <x v="2"/>
    <x v="0"/>
  </r>
  <r>
    <n v="5470"/>
    <x v="467"/>
    <s v="Customer payment received"/>
    <x v="2088"/>
    <s v="0.0"/>
    <x v="0"/>
    <x v="0"/>
  </r>
  <r>
    <n v="5470"/>
    <x v="467"/>
    <s v="Customer payment received"/>
    <x v="273"/>
    <s v="924.42"/>
    <x v="2"/>
    <x v="0"/>
  </r>
  <r>
    <n v="5471"/>
    <x v="467"/>
    <s v="Customer payment received"/>
    <x v="2101"/>
    <s v="0.0"/>
    <x v="0"/>
    <x v="0"/>
  </r>
  <r>
    <n v="5471"/>
    <x v="467"/>
    <s v="Customer payment received"/>
    <x v="273"/>
    <s v="145.79"/>
    <x v="2"/>
    <x v="0"/>
  </r>
  <r>
    <n v="5472"/>
    <x v="467"/>
    <s v="Customer payment received"/>
    <x v="2138"/>
    <s v="0.0"/>
    <x v="0"/>
    <x v="0"/>
  </r>
  <r>
    <n v="5472"/>
    <x v="467"/>
    <s v="Customer payment received"/>
    <x v="273"/>
    <s v="1492.83"/>
    <x v="2"/>
    <x v="0"/>
  </r>
  <r>
    <n v="5473"/>
    <x v="467"/>
    <s v="Customer payment received"/>
    <x v="1935"/>
    <s v="0.0"/>
    <x v="0"/>
    <x v="0"/>
  </r>
  <r>
    <n v="5473"/>
    <x v="467"/>
    <s v="Customer payment received"/>
    <x v="273"/>
    <s v="140.29"/>
    <x v="2"/>
    <x v="0"/>
  </r>
  <r>
    <n v="5474"/>
    <x v="467"/>
    <s v="Supplier invoice received"/>
    <x v="325"/>
    <s v="0.0"/>
    <x v="9"/>
    <x v="4"/>
  </r>
  <r>
    <n v="5474"/>
    <x v="467"/>
    <s v="Supplier invoice received"/>
    <x v="326"/>
    <s v="0.0"/>
    <x v="10"/>
    <x v="0"/>
  </r>
  <r>
    <n v="5474"/>
    <x v="467"/>
    <s v="Supplier invoice received"/>
    <x v="273"/>
    <s v="1304.62"/>
    <x v="11"/>
    <x v="3"/>
  </r>
  <r>
    <n v="5475"/>
    <x v="467"/>
    <s v="Supplier invoice received"/>
    <x v="307"/>
    <s v="0.0"/>
    <x v="9"/>
    <x v="4"/>
  </r>
  <r>
    <n v="5475"/>
    <x v="467"/>
    <s v="Supplier invoice received"/>
    <x v="308"/>
    <s v="0.0"/>
    <x v="10"/>
    <x v="0"/>
  </r>
  <r>
    <n v="5475"/>
    <x v="467"/>
    <s v="Supplier invoice received"/>
    <x v="273"/>
    <s v="2093.28"/>
    <x v="11"/>
    <x v="3"/>
  </r>
  <r>
    <n v="5476"/>
    <x v="468"/>
    <s v="Sales invoice issued"/>
    <x v="2212"/>
    <s v="0.0"/>
    <x v="2"/>
    <x v="0"/>
  </r>
  <r>
    <n v="5476"/>
    <x v="468"/>
    <s v="Sales invoice issued"/>
    <x v="273"/>
    <s v="5166.27"/>
    <x v="3"/>
    <x v="2"/>
  </r>
  <r>
    <n v="5476"/>
    <x v="468"/>
    <s v="Sales invoice issued"/>
    <x v="273"/>
    <s v="387.48"/>
    <x v="4"/>
    <x v="3"/>
  </r>
  <r>
    <n v="5477"/>
    <x v="468"/>
    <s v="Sales invoice issued"/>
    <x v="2213"/>
    <s v="0.0"/>
    <x v="2"/>
    <x v="0"/>
  </r>
  <r>
    <n v="5477"/>
    <x v="468"/>
    <s v="Sales invoice issued"/>
    <x v="273"/>
    <s v="1931.61"/>
    <x v="3"/>
    <x v="2"/>
  </r>
  <r>
    <n v="5477"/>
    <x v="468"/>
    <s v="Sales invoice issued"/>
    <x v="273"/>
    <s v="144.88"/>
    <x v="4"/>
    <x v="3"/>
  </r>
  <r>
    <n v="5478"/>
    <x v="468"/>
    <s v="Sales invoice issued"/>
    <x v="2214"/>
    <s v="0.0"/>
    <x v="2"/>
    <x v="0"/>
  </r>
  <r>
    <n v="5478"/>
    <x v="468"/>
    <s v="Sales invoice issued"/>
    <x v="273"/>
    <s v="2605.05"/>
    <x v="3"/>
    <x v="2"/>
  </r>
  <r>
    <n v="5478"/>
    <x v="468"/>
    <s v="Sales invoice issued"/>
    <x v="273"/>
    <s v="195.39"/>
    <x v="4"/>
    <x v="3"/>
  </r>
  <r>
    <n v="5479"/>
    <x v="468"/>
    <s v="Sales invoice issued"/>
    <x v="2215"/>
    <s v="0.0"/>
    <x v="2"/>
    <x v="0"/>
  </r>
  <r>
    <n v="5479"/>
    <x v="468"/>
    <s v="Sales invoice issued"/>
    <x v="273"/>
    <s v="1737.33"/>
    <x v="3"/>
    <x v="2"/>
  </r>
  <r>
    <n v="5479"/>
    <x v="468"/>
    <s v="Sales invoice issued"/>
    <x v="273"/>
    <s v="130.29"/>
    <x v="4"/>
    <x v="3"/>
  </r>
  <r>
    <n v="5480"/>
    <x v="468"/>
    <s v="Sales invoice issued"/>
    <x v="2216"/>
    <s v="0.0"/>
    <x v="2"/>
    <x v="0"/>
  </r>
  <r>
    <n v="5480"/>
    <x v="468"/>
    <s v="Sales invoice issued"/>
    <x v="273"/>
    <s v="3002.01"/>
    <x v="3"/>
    <x v="2"/>
  </r>
  <r>
    <n v="5480"/>
    <x v="468"/>
    <s v="Sales invoice issued"/>
    <x v="273"/>
    <s v="225.15"/>
    <x v="4"/>
    <x v="3"/>
  </r>
  <r>
    <n v="5481"/>
    <x v="468"/>
    <s v="Customer payment received"/>
    <x v="1904"/>
    <s v="0.0"/>
    <x v="0"/>
    <x v="0"/>
  </r>
  <r>
    <n v="5481"/>
    <x v="468"/>
    <s v="Customer payment received"/>
    <x v="273"/>
    <s v="1678.61"/>
    <x v="2"/>
    <x v="0"/>
  </r>
  <r>
    <n v="5482"/>
    <x v="468"/>
    <s v="Customer payment received"/>
    <x v="2132"/>
    <s v="0.0"/>
    <x v="0"/>
    <x v="0"/>
  </r>
  <r>
    <n v="5482"/>
    <x v="468"/>
    <s v="Customer payment received"/>
    <x v="273"/>
    <s v="2159.79"/>
    <x v="2"/>
    <x v="0"/>
  </r>
  <r>
    <n v="5483"/>
    <x v="468"/>
    <s v="Customer payment received"/>
    <x v="2217"/>
    <s v="0.0"/>
    <x v="0"/>
    <x v="0"/>
  </r>
  <r>
    <n v="5483"/>
    <x v="468"/>
    <s v="Customer payment received"/>
    <x v="273"/>
    <s v="1180.05"/>
    <x v="2"/>
    <x v="0"/>
  </r>
  <r>
    <n v="5484"/>
    <x v="468"/>
    <s v="Customer payment received"/>
    <x v="2159"/>
    <s v="0.0"/>
    <x v="0"/>
    <x v="0"/>
  </r>
  <r>
    <n v="5484"/>
    <x v="468"/>
    <s v="Customer payment received"/>
    <x v="273"/>
    <s v="5233.61"/>
    <x v="2"/>
    <x v="0"/>
  </r>
  <r>
    <n v="5485"/>
    <x v="468"/>
    <s v="Customer payment received"/>
    <x v="2218"/>
    <s v="0.0"/>
    <x v="0"/>
    <x v="0"/>
  </r>
  <r>
    <n v="5485"/>
    <x v="468"/>
    <s v="Customer payment received"/>
    <x v="273"/>
    <s v="1906.44"/>
    <x v="2"/>
    <x v="0"/>
  </r>
  <r>
    <n v="5486"/>
    <x v="469"/>
    <s v="Sales invoice issued"/>
    <x v="2219"/>
    <s v="0.0"/>
    <x v="2"/>
    <x v="0"/>
  </r>
  <r>
    <n v="5486"/>
    <x v="469"/>
    <s v="Sales invoice issued"/>
    <x v="273"/>
    <s v="4709.56"/>
    <x v="3"/>
    <x v="2"/>
  </r>
  <r>
    <n v="5486"/>
    <x v="469"/>
    <s v="Sales invoice issued"/>
    <x v="273"/>
    <s v="353.21"/>
    <x v="4"/>
    <x v="3"/>
  </r>
  <r>
    <n v="5487"/>
    <x v="469"/>
    <s v="Sales invoice issued"/>
    <x v="2220"/>
    <s v="0.0"/>
    <x v="2"/>
    <x v="0"/>
  </r>
  <r>
    <n v="5487"/>
    <x v="469"/>
    <s v="Sales invoice issued"/>
    <x v="273"/>
    <s v="851.06"/>
    <x v="3"/>
    <x v="2"/>
  </r>
  <r>
    <n v="5487"/>
    <x v="469"/>
    <s v="Sales invoice issued"/>
    <x v="273"/>
    <s v="63.83"/>
    <x v="4"/>
    <x v="3"/>
  </r>
  <r>
    <n v="5488"/>
    <x v="469"/>
    <s v="Sales invoice issued"/>
    <x v="2221"/>
    <s v="0.0"/>
    <x v="2"/>
    <x v="0"/>
  </r>
  <r>
    <n v="5488"/>
    <x v="469"/>
    <s v="Sales invoice issued"/>
    <x v="273"/>
    <s v="3455.36"/>
    <x v="3"/>
    <x v="2"/>
  </r>
  <r>
    <n v="5488"/>
    <x v="469"/>
    <s v="Sales invoice issued"/>
    <x v="273"/>
    <s v="259.15"/>
    <x v="4"/>
    <x v="3"/>
  </r>
  <r>
    <n v="5489"/>
    <x v="469"/>
    <s v="Sales invoice issued"/>
    <x v="2222"/>
    <s v="0.0"/>
    <x v="2"/>
    <x v="0"/>
  </r>
  <r>
    <n v="5489"/>
    <x v="469"/>
    <s v="Sales invoice issued"/>
    <x v="273"/>
    <s v="734.82"/>
    <x v="3"/>
    <x v="2"/>
  </r>
  <r>
    <n v="5489"/>
    <x v="469"/>
    <s v="Sales invoice issued"/>
    <x v="273"/>
    <s v="55.11"/>
    <x v="4"/>
    <x v="3"/>
  </r>
  <r>
    <n v="5490"/>
    <x v="469"/>
    <s v="Sales invoice issued"/>
    <x v="2223"/>
    <s v="0.0"/>
    <x v="2"/>
    <x v="0"/>
  </r>
  <r>
    <n v="5490"/>
    <x v="469"/>
    <s v="Sales invoice issued"/>
    <x v="273"/>
    <s v="185.32"/>
    <x v="3"/>
    <x v="2"/>
  </r>
  <r>
    <n v="5490"/>
    <x v="469"/>
    <s v="Sales invoice issued"/>
    <x v="273"/>
    <s v="13.9"/>
    <x v="4"/>
    <x v="3"/>
  </r>
  <r>
    <n v="5491"/>
    <x v="469"/>
    <s v="Sales invoice issued"/>
    <x v="2224"/>
    <s v="0.0"/>
    <x v="2"/>
    <x v="0"/>
  </r>
  <r>
    <n v="5491"/>
    <x v="469"/>
    <s v="Sales invoice issued"/>
    <x v="273"/>
    <s v="2997.66"/>
    <x v="3"/>
    <x v="2"/>
  </r>
  <r>
    <n v="5491"/>
    <x v="469"/>
    <s v="Sales invoice issued"/>
    <x v="273"/>
    <s v="224.82"/>
    <x v="4"/>
    <x v="3"/>
  </r>
  <r>
    <n v="5492"/>
    <x v="469"/>
    <s v="Sales invoice issued"/>
    <x v="2225"/>
    <s v="0.0"/>
    <x v="2"/>
    <x v="0"/>
  </r>
  <r>
    <n v="5492"/>
    <x v="469"/>
    <s v="Sales invoice issued"/>
    <x v="273"/>
    <s v="2209.1"/>
    <x v="3"/>
    <x v="2"/>
  </r>
  <r>
    <n v="5492"/>
    <x v="469"/>
    <s v="Sales invoice issued"/>
    <x v="273"/>
    <s v="165.69"/>
    <x v="4"/>
    <x v="3"/>
  </r>
  <r>
    <n v="5493"/>
    <x v="469"/>
    <s v="Customer payment received"/>
    <x v="2021"/>
    <s v="0.0"/>
    <x v="0"/>
    <x v="0"/>
  </r>
  <r>
    <n v="5493"/>
    <x v="469"/>
    <s v="Customer payment received"/>
    <x v="273"/>
    <s v="494.46"/>
    <x v="2"/>
    <x v="0"/>
  </r>
  <r>
    <n v="5494"/>
    <x v="469"/>
    <s v="Customer payment received"/>
    <x v="2058"/>
    <s v="0.0"/>
    <x v="0"/>
    <x v="0"/>
  </r>
  <r>
    <n v="5494"/>
    <x v="469"/>
    <s v="Customer payment received"/>
    <x v="273"/>
    <s v="907.35"/>
    <x v="2"/>
    <x v="0"/>
  </r>
  <r>
    <n v="5495"/>
    <x v="469"/>
    <s v="Customer payment received"/>
    <x v="2161"/>
    <s v="0.0"/>
    <x v="0"/>
    <x v="0"/>
  </r>
  <r>
    <n v="5495"/>
    <x v="469"/>
    <s v="Customer payment received"/>
    <x v="273"/>
    <s v="2159.4"/>
    <x v="2"/>
    <x v="0"/>
  </r>
  <r>
    <n v="5496"/>
    <x v="469"/>
    <s v="Customer payment received"/>
    <x v="2207"/>
    <s v="0.0"/>
    <x v="0"/>
    <x v="0"/>
  </r>
  <r>
    <n v="5496"/>
    <x v="469"/>
    <s v="Customer payment received"/>
    <x v="273"/>
    <s v="1010.9"/>
    <x v="2"/>
    <x v="0"/>
  </r>
  <r>
    <n v="5497"/>
    <x v="469"/>
    <s v="Supplier payment made"/>
    <x v="504"/>
    <s v="0.0"/>
    <x v="11"/>
    <x v="3"/>
  </r>
  <r>
    <n v="5497"/>
    <x v="469"/>
    <s v="Supplier payment made"/>
    <x v="273"/>
    <s v="1958.74"/>
    <x v="0"/>
    <x v="0"/>
  </r>
  <r>
    <n v="5498"/>
    <x v="470"/>
    <s v="Sales invoice issued"/>
    <x v="2226"/>
    <s v="0.0"/>
    <x v="2"/>
    <x v="0"/>
  </r>
  <r>
    <n v="5498"/>
    <x v="470"/>
    <s v="Sales invoice issued"/>
    <x v="273"/>
    <s v="2353.46"/>
    <x v="3"/>
    <x v="2"/>
  </r>
  <r>
    <n v="5498"/>
    <x v="470"/>
    <s v="Sales invoice issued"/>
    <x v="273"/>
    <s v="176.51"/>
    <x v="4"/>
    <x v="3"/>
  </r>
  <r>
    <n v="5499"/>
    <x v="470"/>
    <s v="Sales invoice issued"/>
    <x v="2227"/>
    <s v="0.0"/>
    <x v="2"/>
    <x v="0"/>
  </r>
  <r>
    <n v="5499"/>
    <x v="470"/>
    <s v="Sales invoice issued"/>
    <x v="273"/>
    <s v="666.96"/>
    <x v="3"/>
    <x v="2"/>
  </r>
  <r>
    <n v="5499"/>
    <x v="470"/>
    <s v="Sales invoice issued"/>
    <x v="273"/>
    <s v="50.01"/>
    <x v="4"/>
    <x v="3"/>
  </r>
  <r>
    <n v="5500"/>
    <x v="470"/>
    <s v="Sales invoice issued"/>
    <x v="2228"/>
    <s v="0.0"/>
    <x v="2"/>
    <x v="0"/>
  </r>
  <r>
    <n v="5500"/>
    <x v="470"/>
    <s v="Sales invoice issued"/>
    <x v="273"/>
    <s v="1372.61"/>
    <x v="3"/>
    <x v="2"/>
  </r>
  <r>
    <n v="5500"/>
    <x v="470"/>
    <s v="Sales invoice issued"/>
    <x v="273"/>
    <s v="102.95"/>
    <x v="4"/>
    <x v="3"/>
  </r>
  <r>
    <n v="5501"/>
    <x v="470"/>
    <s v="Sales invoice issued"/>
    <x v="2229"/>
    <s v="0.0"/>
    <x v="2"/>
    <x v="0"/>
  </r>
  <r>
    <n v="5501"/>
    <x v="470"/>
    <s v="Sales invoice issued"/>
    <x v="273"/>
    <s v="1502.65"/>
    <x v="3"/>
    <x v="2"/>
  </r>
  <r>
    <n v="5501"/>
    <x v="470"/>
    <s v="Sales invoice issued"/>
    <x v="273"/>
    <s v="112.69"/>
    <x v="4"/>
    <x v="3"/>
  </r>
  <r>
    <n v="5502"/>
    <x v="470"/>
    <s v="Sales invoice issued"/>
    <x v="2230"/>
    <s v="0.0"/>
    <x v="2"/>
    <x v="0"/>
  </r>
  <r>
    <n v="5502"/>
    <x v="470"/>
    <s v="Sales invoice issued"/>
    <x v="273"/>
    <s v="2272.43"/>
    <x v="3"/>
    <x v="2"/>
  </r>
  <r>
    <n v="5502"/>
    <x v="470"/>
    <s v="Sales invoice issued"/>
    <x v="273"/>
    <s v="170.43"/>
    <x v="4"/>
    <x v="3"/>
  </r>
  <r>
    <n v="5503"/>
    <x v="470"/>
    <s v="Sales invoice issued"/>
    <x v="2231"/>
    <s v="0.0"/>
    <x v="2"/>
    <x v="0"/>
  </r>
  <r>
    <n v="5503"/>
    <x v="470"/>
    <s v="Sales invoice issued"/>
    <x v="273"/>
    <s v="1569.52"/>
    <x v="3"/>
    <x v="2"/>
  </r>
  <r>
    <n v="5503"/>
    <x v="470"/>
    <s v="Sales invoice issued"/>
    <x v="273"/>
    <s v="117.72"/>
    <x v="4"/>
    <x v="3"/>
  </r>
  <r>
    <n v="5504"/>
    <x v="470"/>
    <s v="Sales invoice issued"/>
    <x v="2232"/>
    <s v="0.0"/>
    <x v="2"/>
    <x v="0"/>
  </r>
  <r>
    <n v="5504"/>
    <x v="470"/>
    <s v="Sales invoice issued"/>
    <x v="273"/>
    <s v="1551.96"/>
    <x v="3"/>
    <x v="2"/>
  </r>
  <r>
    <n v="5504"/>
    <x v="470"/>
    <s v="Sales invoice issued"/>
    <x v="273"/>
    <s v="116.4"/>
    <x v="4"/>
    <x v="3"/>
  </r>
  <r>
    <n v="5505"/>
    <x v="470"/>
    <s v="Sales invoice issued"/>
    <x v="2233"/>
    <s v="0.0"/>
    <x v="2"/>
    <x v="0"/>
  </r>
  <r>
    <n v="5505"/>
    <x v="470"/>
    <s v="Sales invoice issued"/>
    <x v="273"/>
    <s v="1148.29"/>
    <x v="3"/>
    <x v="2"/>
  </r>
  <r>
    <n v="5505"/>
    <x v="470"/>
    <s v="Sales invoice issued"/>
    <x v="273"/>
    <s v="86.13"/>
    <x v="4"/>
    <x v="3"/>
  </r>
  <r>
    <n v="5506"/>
    <x v="470"/>
    <s v="Sales invoice issued"/>
    <x v="2234"/>
    <s v="0.0"/>
    <x v="2"/>
    <x v="0"/>
  </r>
  <r>
    <n v="5506"/>
    <x v="470"/>
    <s v="Sales invoice issued"/>
    <x v="273"/>
    <s v="3113.75"/>
    <x v="3"/>
    <x v="2"/>
  </r>
  <r>
    <n v="5506"/>
    <x v="470"/>
    <s v="Sales invoice issued"/>
    <x v="273"/>
    <s v="233.53"/>
    <x v="4"/>
    <x v="3"/>
  </r>
  <r>
    <n v="5507"/>
    <x v="470"/>
    <s v="Customer payment received"/>
    <x v="2235"/>
    <s v="0.0"/>
    <x v="0"/>
    <x v="0"/>
  </r>
  <r>
    <n v="5507"/>
    <x v="470"/>
    <s v="Customer payment received"/>
    <x v="273"/>
    <s v="901.11"/>
    <x v="2"/>
    <x v="0"/>
  </r>
  <r>
    <n v="5508"/>
    <x v="470"/>
    <s v="Customer payment received"/>
    <x v="1251"/>
    <s v="0.0"/>
    <x v="0"/>
    <x v="0"/>
  </r>
  <r>
    <n v="5508"/>
    <x v="470"/>
    <s v="Customer payment received"/>
    <x v="273"/>
    <s v="788.61"/>
    <x v="2"/>
    <x v="0"/>
  </r>
  <r>
    <n v="5509"/>
    <x v="470"/>
    <s v="Customer payment received"/>
    <x v="2197"/>
    <s v="0.0"/>
    <x v="0"/>
    <x v="0"/>
  </r>
  <r>
    <n v="5509"/>
    <x v="470"/>
    <s v="Customer payment received"/>
    <x v="273"/>
    <s v="5634.96"/>
    <x v="2"/>
    <x v="0"/>
  </r>
  <r>
    <n v="5510"/>
    <x v="470"/>
    <s v="Customer payment received"/>
    <x v="2203"/>
    <s v="0.0"/>
    <x v="0"/>
    <x v="0"/>
  </r>
  <r>
    <n v="5510"/>
    <x v="470"/>
    <s v="Customer payment received"/>
    <x v="273"/>
    <s v="1028.14"/>
    <x v="2"/>
    <x v="0"/>
  </r>
  <r>
    <n v="5511"/>
    <x v="470"/>
    <s v="Customer payment received"/>
    <x v="2211"/>
    <s v="0.0"/>
    <x v="0"/>
    <x v="0"/>
  </r>
  <r>
    <n v="5511"/>
    <x v="470"/>
    <s v="Customer payment received"/>
    <x v="273"/>
    <s v="2839.14"/>
    <x v="2"/>
    <x v="0"/>
  </r>
  <r>
    <n v="5512"/>
    <x v="470"/>
    <s v="Customer payment received"/>
    <x v="2214"/>
    <s v="0.0"/>
    <x v="0"/>
    <x v="0"/>
  </r>
  <r>
    <n v="5512"/>
    <x v="470"/>
    <s v="Customer payment received"/>
    <x v="273"/>
    <s v="2800.44"/>
    <x v="2"/>
    <x v="0"/>
  </r>
  <r>
    <n v="5513"/>
    <x v="470"/>
    <s v="Supplier invoice received"/>
    <x v="405"/>
    <s v="0.0"/>
    <x v="9"/>
    <x v="4"/>
  </r>
  <r>
    <n v="5513"/>
    <x v="470"/>
    <s v="Supplier invoice received"/>
    <x v="406"/>
    <s v="0.0"/>
    <x v="10"/>
    <x v="0"/>
  </r>
  <r>
    <n v="5513"/>
    <x v="470"/>
    <s v="Supplier invoice received"/>
    <x v="273"/>
    <s v="2635.36"/>
    <x v="11"/>
    <x v="3"/>
  </r>
  <r>
    <n v="5514"/>
    <x v="471"/>
    <s v="Sales invoice issued"/>
    <x v="2236"/>
    <s v="0.0"/>
    <x v="2"/>
    <x v="0"/>
  </r>
  <r>
    <n v="5514"/>
    <x v="471"/>
    <s v="Sales invoice issued"/>
    <x v="273"/>
    <s v="1513.22"/>
    <x v="3"/>
    <x v="2"/>
  </r>
  <r>
    <n v="5514"/>
    <x v="471"/>
    <s v="Sales invoice issued"/>
    <x v="273"/>
    <s v="113.48"/>
    <x v="4"/>
    <x v="3"/>
  </r>
  <r>
    <n v="5515"/>
    <x v="471"/>
    <s v="Sales invoice issued"/>
    <x v="2237"/>
    <s v="0.0"/>
    <x v="2"/>
    <x v="0"/>
  </r>
  <r>
    <n v="5515"/>
    <x v="471"/>
    <s v="Sales invoice issued"/>
    <x v="273"/>
    <s v="1275.91"/>
    <x v="3"/>
    <x v="2"/>
  </r>
  <r>
    <n v="5515"/>
    <x v="471"/>
    <s v="Sales invoice issued"/>
    <x v="273"/>
    <s v="95.69"/>
    <x v="4"/>
    <x v="3"/>
  </r>
  <r>
    <n v="5516"/>
    <x v="471"/>
    <s v="Sales invoice issued"/>
    <x v="2238"/>
    <s v="0.0"/>
    <x v="2"/>
    <x v="0"/>
  </r>
  <r>
    <n v="5516"/>
    <x v="471"/>
    <s v="Sales invoice issued"/>
    <x v="273"/>
    <s v="323.71"/>
    <x v="3"/>
    <x v="2"/>
  </r>
  <r>
    <n v="5516"/>
    <x v="471"/>
    <s v="Sales invoice issued"/>
    <x v="273"/>
    <s v="24.28"/>
    <x v="4"/>
    <x v="3"/>
  </r>
  <r>
    <n v="5517"/>
    <x v="471"/>
    <s v="Sales invoice issued"/>
    <x v="2239"/>
    <s v="0.0"/>
    <x v="2"/>
    <x v="0"/>
  </r>
  <r>
    <n v="5517"/>
    <x v="471"/>
    <s v="Sales invoice issued"/>
    <x v="273"/>
    <s v="1164.94"/>
    <x v="3"/>
    <x v="2"/>
  </r>
  <r>
    <n v="5517"/>
    <x v="471"/>
    <s v="Sales invoice issued"/>
    <x v="273"/>
    <s v="87.37"/>
    <x v="4"/>
    <x v="3"/>
  </r>
  <r>
    <n v="5518"/>
    <x v="471"/>
    <s v="Sales invoice issued"/>
    <x v="2240"/>
    <s v="0.0"/>
    <x v="2"/>
    <x v="0"/>
  </r>
  <r>
    <n v="5518"/>
    <x v="471"/>
    <s v="Sales invoice issued"/>
    <x v="273"/>
    <s v="219.44"/>
    <x v="3"/>
    <x v="2"/>
  </r>
  <r>
    <n v="5518"/>
    <x v="471"/>
    <s v="Sales invoice issued"/>
    <x v="273"/>
    <s v="16.46"/>
    <x v="4"/>
    <x v="3"/>
  </r>
  <r>
    <n v="5519"/>
    <x v="471"/>
    <s v="Sales invoice issued"/>
    <x v="2241"/>
    <s v="0.0"/>
    <x v="2"/>
    <x v="0"/>
  </r>
  <r>
    <n v="5519"/>
    <x v="471"/>
    <s v="Sales invoice issued"/>
    <x v="273"/>
    <s v="535.82"/>
    <x v="3"/>
    <x v="2"/>
  </r>
  <r>
    <n v="5519"/>
    <x v="471"/>
    <s v="Sales invoice issued"/>
    <x v="273"/>
    <s v="40.18"/>
    <x v="4"/>
    <x v="3"/>
  </r>
  <r>
    <n v="5520"/>
    <x v="471"/>
    <s v="Sales invoice issued"/>
    <x v="2242"/>
    <s v="0.0"/>
    <x v="2"/>
    <x v="0"/>
  </r>
  <r>
    <n v="5520"/>
    <x v="471"/>
    <s v="Sales invoice issued"/>
    <x v="273"/>
    <s v="1306.14"/>
    <x v="3"/>
    <x v="2"/>
  </r>
  <r>
    <n v="5520"/>
    <x v="471"/>
    <s v="Sales invoice issued"/>
    <x v="273"/>
    <s v="97.96"/>
    <x v="4"/>
    <x v="3"/>
  </r>
  <r>
    <n v="5521"/>
    <x v="471"/>
    <s v="Sales invoice issued"/>
    <x v="2243"/>
    <s v="0.0"/>
    <x v="2"/>
    <x v="0"/>
  </r>
  <r>
    <n v="5521"/>
    <x v="471"/>
    <s v="Sales invoice issued"/>
    <x v="273"/>
    <s v="3034.27"/>
    <x v="3"/>
    <x v="2"/>
  </r>
  <r>
    <n v="5521"/>
    <x v="471"/>
    <s v="Sales invoice issued"/>
    <x v="273"/>
    <s v="227.56"/>
    <x v="4"/>
    <x v="3"/>
  </r>
  <r>
    <n v="5522"/>
    <x v="471"/>
    <s v="Sales invoice issued"/>
    <x v="2244"/>
    <s v="0.0"/>
    <x v="2"/>
    <x v="0"/>
  </r>
  <r>
    <n v="5522"/>
    <x v="471"/>
    <s v="Sales invoice issued"/>
    <x v="273"/>
    <s v="4506.46"/>
    <x v="3"/>
    <x v="2"/>
  </r>
  <r>
    <n v="5522"/>
    <x v="471"/>
    <s v="Sales invoice issued"/>
    <x v="273"/>
    <s v="338.0"/>
    <x v="4"/>
    <x v="3"/>
  </r>
  <r>
    <n v="5523"/>
    <x v="471"/>
    <s v="Sales invoice issued"/>
    <x v="2245"/>
    <s v="0.0"/>
    <x v="2"/>
    <x v="0"/>
  </r>
  <r>
    <n v="5523"/>
    <x v="471"/>
    <s v="Sales invoice issued"/>
    <x v="273"/>
    <s v="964.9"/>
    <x v="3"/>
    <x v="2"/>
  </r>
  <r>
    <n v="5523"/>
    <x v="471"/>
    <s v="Sales invoice issued"/>
    <x v="273"/>
    <s v="72.36"/>
    <x v="4"/>
    <x v="3"/>
  </r>
  <r>
    <n v="5524"/>
    <x v="471"/>
    <s v="Customer payment received"/>
    <x v="2075"/>
    <s v="0.0"/>
    <x v="0"/>
    <x v="0"/>
  </r>
  <r>
    <n v="5524"/>
    <x v="471"/>
    <s v="Customer payment received"/>
    <x v="273"/>
    <s v="2006.02"/>
    <x v="2"/>
    <x v="0"/>
  </r>
  <r>
    <n v="5525"/>
    <x v="471"/>
    <s v="Customer payment received"/>
    <x v="2129"/>
    <s v="0.0"/>
    <x v="0"/>
    <x v="0"/>
  </r>
  <r>
    <n v="5525"/>
    <x v="471"/>
    <s v="Customer payment received"/>
    <x v="273"/>
    <s v="1461.66"/>
    <x v="2"/>
    <x v="0"/>
  </r>
  <r>
    <n v="5526"/>
    <x v="471"/>
    <s v="Customer payment received"/>
    <x v="2204"/>
    <s v="0.0"/>
    <x v="0"/>
    <x v="0"/>
  </r>
  <r>
    <n v="5526"/>
    <x v="471"/>
    <s v="Customer payment received"/>
    <x v="273"/>
    <s v="3246.55"/>
    <x v="2"/>
    <x v="0"/>
  </r>
  <r>
    <n v="5527"/>
    <x v="471"/>
    <s v="Customer payment received"/>
    <x v="2241"/>
    <s v="0.0"/>
    <x v="0"/>
    <x v="0"/>
  </r>
  <r>
    <n v="5527"/>
    <x v="471"/>
    <s v="Customer payment received"/>
    <x v="273"/>
    <s v="576.0"/>
    <x v="2"/>
    <x v="0"/>
  </r>
  <r>
    <n v="5528"/>
    <x v="471"/>
    <s v="Supplier invoice received"/>
    <x v="284"/>
    <s v="0.0"/>
    <x v="9"/>
    <x v="4"/>
  </r>
  <r>
    <n v="5528"/>
    <x v="471"/>
    <s v="Supplier invoice received"/>
    <x v="285"/>
    <s v="0.0"/>
    <x v="10"/>
    <x v="0"/>
  </r>
  <r>
    <n v="5528"/>
    <x v="471"/>
    <s v="Supplier invoice received"/>
    <x v="273"/>
    <s v="9336.67"/>
    <x v="11"/>
    <x v="3"/>
  </r>
  <r>
    <n v="5529"/>
    <x v="471"/>
    <s v="Supplier invoice received"/>
    <x v="441"/>
    <s v="0.0"/>
    <x v="9"/>
    <x v="4"/>
  </r>
  <r>
    <n v="5529"/>
    <x v="471"/>
    <s v="Supplier invoice received"/>
    <x v="442"/>
    <s v="0.0"/>
    <x v="10"/>
    <x v="0"/>
  </r>
  <r>
    <n v="5529"/>
    <x v="471"/>
    <s v="Supplier invoice received"/>
    <x v="273"/>
    <s v="179.01"/>
    <x v="11"/>
    <x v="3"/>
  </r>
  <r>
    <n v="5530"/>
    <x v="471"/>
    <s v="Supplier invoice received"/>
    <x v="295"/>
    <s v="0.0"/>
    <x v="9"/>
    <x v="4"/>
  </r>
  <r>
    <n v="5530"/>
    <x v="471"/>
    <s v="Supplier invoice received"/>
    <x v="296"/>
    <s v="0.0"/>
    <x v="10"/>
    <x v="0"/>
  </r>
  <r>
    <n v="5530"/>
    <x v="471"/>
    <s v="Supplier invoice received"/>
    <x v="273"/>
    <s v="1766.46"/>
    <x v="11"/>
    <x v="3"/>
  </r>
  <r>
    <n v="5531"/>
    <x v="471"/>
    <s v="Supplier invoice received"/>
    <x v="301"/>
    <s v="0.0"/>
    <x v="9"/>
    <x v="4"/>
  </r>
  <r>
    <n v="5531"/>
    <x v="471"/>
    <s v="Supplier invoice received"/>
    <x v="302"/>
    <s v="0.0"/>
    <x v="10"/>
    <x v="0"/>
  </r>
  <r>
    <n v="5531"/>
    <x v="471"/>
    <s v="Supplier invoice received"/>
    <x v="273"/>
    <s v="4812.46"/>
    <x v="11"/>
    <x v="3"/>
  </r>
  <r>
    <n v="5532"/>
    <x v="471"/>
    <s v="Supplier invoice received"/>
    <x v="338"/>
    <s v="0.0"/>
    <x v="9"/>
    <x v="4"/>
  </r>
  <r>
    <n v="5532"/>
    <x v="471"/>
    <s v="Supplier invoice received"/>
    <x v="339"/>
    <s v="0.0"/>
    <x v="10"/>
    <x v="0"/>
  </r>
  <r>
    <n v="5532"/>
    <x v="471"/>
    <s v="Supplier invoice received"/>
    <x v="273"/>
    <s v="1159.84"/>
    <x v="11"/>
    <x v="3"/>
  </r>
  <r>
    <n v="5533"/>
    <x v="471"/>
    <s v="Supplier invoice received"/>
    <x v="366"/>
    <s v="0.0"/>
    <x v="9"/>
    <x v="4"/>
  </r>
  <r>
    <n v="5533"/>
    <x v="471"/>
    <s v="Supplier invoice received"/>
    <x v="367"/>
    <s v="0.0"/>
    <x v="10"/>
    <x v="0"/>
  </r>
  <r>
    <n v="5533"/>
    <x v="471"/>
    <s v="Supplier invoice received"/>
    <x v="273"/>
    <s v="201.5"/>
    <x v="11"/>
    <x v="3"/>
  </r>
  <r>
    <n v="5534"/>
    <x v="471"/>
    <s v="Supplier invoice received"/>
    <x v="448"/>
    <s v="0.0"/>
    <x v="9"/>
    <x v="4"/>
  </r>
  <r>
    <n v="5534"/>
    <x v="471"/>
    <s v="Supplier invoice received"/>
    <x v="449"/>
    <s v="0.0"/>
    <x v="10"/>
    <x v="0"/>
  </r>
  <r>
    <n v="5534"/>
    <x v="471"/>
    <s v="Supplier invoice received"/>
    <x v="273"/>
    <s v="7227.44"/>
    <x v="11"/>
    <x v="3"/>
  </r>
  <r>
    <n v="5535"/>
    <x v="471"/>
    <s v="Supplier invoice received"/>
    <x v="297"/>
    <s v="0.0"/>
    <x v="9"/>
    <x v="4"/>
  </r>
  <r>
    <n v="5535"/>
    <x v="471"/>
    <s v="Supplier invoice received"/>
    <x v="298"/>
    <s v="0.0"/>
    <x v="10"/>
    <x v="0"/>
  </r>
  <r>
    <n v="5535"/>
    <x v="471"/>
    <s v="Supplier invoice received"/>
    <x v="273"/>
    <s v="3528.97"/>
    <x v="11"/>
    <x v="3"/>
  </r>
  <r>
    <n v="5536"/>
    <x v="471"/>
    <s v="Supplier invoice received"/>
    <x v="461"/>
    <s v="0.0"/>
    <x v="9"/>
    <x v="4"/>
  </r>
  <r>
    <n v="5536"/>
    <x v="471"/>
    <s v="Supplier invoice received"/>
    <x v="462"/>
    <s v="0.0"/>
    <x v="10"/>
    <x v="0"/>
  </r>
  <r>
    <n v="5536"/>
    <x v="471"/>
    <s v="Supplier invoice received"/>
    <x v="273"/>
    <s v="2182.41"/>
    <x v="11"/>
    <x v="3"/>
  </r>
  <r>
    <n v="5537"/>
    <x v="471"/>
    <s v="Supplier invoice received"/>
    <x v="307"/>
    <s v="0.0"/>
    <x v="9"/>
    <x v="4"/>
  </r>
  <r>
    <n v="5537"/>
    <x v="471"/>
    <s v="Supplier invoice received"/>
    <x v="308"/>
    <s v="0.0"/>
    <x v="10"/>
    <x v="0"/>
  </r>
  <r>
    <n v="5537"/>
    <x v="471"/>
    <s v="Supplier invoice received"/>
    <x v="273"/>
    <s v="2093.28"/>
    <x v="11"/>
    <x v="3"/>
  </r>
  <r>
    <n v="5538"/>
    <x v="471"/>
    <s v="Supplier payment made"/>
    <x v="466"/>
    <s v="0.0"/>
    <x v="11"/>
    <x v="3"/>
  </r>
  <r>
    <n v="5538"/>
    <x v="471"/>
    <s v="Supplier payment made"/>
    <x v="273"/>
    <s v="748.26"/>
    <x v="0"/>
    <x v="0"/>
  </r>
  <r>
    <n v="5539"/>
    <x v="471"/>
    <s v="Supplier payment made"/>
    <x v="488"/>
    <s v="0.0"/>
    <x v="11"/>
    <x v="3"/>
  </r>
  <r>
    <n v="5539"/>
    <x v="471"/>
    <s v="Supplier payment made"/>
    <x v="273"/>
    <s v="2182.41"/>
    <x v="0"/>
    <x v="0"/>
  </r>
  <r>
    <n v="5540"/>
    <x v="471"/>
    <s v="Supplier payment made"/>
    <x v="351"/>
    <s v="0.0"/>
    <x v="11"/>
    <x v="3"/>
  </r>
  <r>
    <n v="5540"/>
    <x v="471"/>
    <s v="Supplier payment made"/>
    <x v="273"/>
    <s v="179.01"/>
    <x v="0"/>
    <x v="0"/>
  </r>
  <r>
    <n v="5541"/>
    <x v="471"/>
    <s v="Supplier payment made"/>
    <x v="336"/>
    <s v="0.0"/>
    <x v="11"/>
    <x v="3"/>
  </r>
  <r>
    <n v="5541"/>
    <x v="471"/>
    <s v="Supplier payment made"/>
    <x v="273"/>
    <s v="2093.28"/>
    <x v="0"/>
    <x v="0"/>
  </r>
  <r>
    <n v="5542"/>
    <x v="472"/>
    <s v="Sales invoice issued"/>
    <x v="2246"/>
    <s v="0.0"/>
    <x v="2"/>
    <x v="0"/>
  </r>
  <r>
    <n v="5542"/>
    <x v="472"/>
    <s v="Sales invoice issued"/>
    <x v="273"/>
    <s v="3567.27"/>
    <x v="3"/>
    <x v="2"/>
  </r>
  <r>
    <n v="5542"/>
    <x v="472"/>
    <s v="Sales invoice issued"/>
    <x v="273"/>
    <s v="267.54"/>
    <x v="4"/>
    <x v="3"/>
  </r>
  <r>
    <n v="5543"/>
    <x v="472"/>
    <s v="Sales invoice issued"/>
    <x v="2247"/>
    <s v="0.0"/>
    <x v="2"/>
    <x v="0"/>
  </r>
  <r>
    <n v="5543"/>
    <x v="472"/>
    <s v="Sales invoice issued"/>
    <x v="273"/>
    <s v="84.08"/>
    <x v="3"/>
    <x v="2"/>
  </r>
  <r>
    <n v="5543"/>
    <x v="472"/>
    <s v="Sales invoice issued"/>
    <x v="273"/>
    <s v="6.3"/>
    <x v="4"/>
    <x v="3"/>
  </r>
  <r>
    <n v="5544"/>
    <x v="472"/>
    <s v="Sales invoice issued"/>
    <x v="2248"/>
    <s v="0.0"/>
    <x v="2"/>
    <x v="0"/>
  </r>
  <r>
    <n v="5544"/>
    <x v="472"/>
    <s v="Sales invoice issued"/>
    <x v="273"/>
    <s v="1136.77"/>
    <x v="3"/>
    <x v="2"/>
  </r>
  <r>
    <n v="5544"/>
    <x v="472"/>
    <s v="Sales invoice issued"/>
    <x v="273"/>
    <s v="85.26"/>
    <x v="4"/>
    <x v="3"/>
  </r>
  <r>
    <n v="5545"/>
    <x v="472"/>
    <s v="Sales invoice issued"/>
    <x v="2249"/>
    <s v="0.0"/>
    <x v="2"/>
    <x v="0"/>
  </r>
  <r>
    <n v="5545"/>
    <x v="472"/>
    <s v="Sales invoice issued"/>
    <x v="273"/>
    <s v="1436.0"/>
    <x v="3"/>
    <x v="2"/>
  </r>
  <r>
    <n v="5545"/>
    <x v="472"/>
    <s v="Sales invoice issued"/>
    <x v="273"/>
    <s v="107.7"/>
    <x v="4"/>
    <x v="3"/>
  </r>
  <r>
    <n v="5546"/>
    <x v="472"/>
    <s v="Sales invoice issued"/>
    <x v="2250"/>
    <s v="0.0"/>
    <x v="2"/>
    <x v="0"/>
  </r>
  <r>
    <n v="5546"/>
    <x v="472"/>
    <s v="Sales invoice issued"/>
    <x v="273"/>
    <s v="494.55"/>
    <x v="3"/>
    <x v="2"/>
  </r>
  <r>
    <n v="5546"/>
    <x v="472"/>
    <s v="Sales invoice issued"/>
    <x v="273"/>
    <s v="37.09"/>
    <x v="4"/>
    <x v="3"/>
  </r>
  <r>
    <n v="5547"/>
    <x v="472"/>
    <s v="Sales invoice issued"/>
    <x v="2251"/>
    <s v="0.0"/>
    <x v="2"/>
    <x v="0"/>
  </r>
  <r>
    <n v="5547"/>
    <x v="472"/>
    <s v="Sales invoice issued"/>
    <x v="273"/>
    <s v="2144.15"/>
    <x v="3"/>
    <x v="2"/>
  </r>
  <r>
    <n v="5547"/>
    <x v="472"/>
    <s v="Sales invoice issued"/>
    <x v="273"/>
    <s v="160.81"/>
    <x v="4"/>
    <x v="3"/>
  </r>
  <r>
    <n v="5548"/>
    <x v="472"/>
    <s v="Sales invoice issued"/>
    <x v="868"/>
    <s v="0.0"/>
    <x v="2"/>
    <x v="0"/>
  </r>
  <r>
    <n v="5548"/>
    <x v="472"/>
    <s v="Sales invoice issued"/>
    <x v="273"/>
    <s v="268.92"/>
    <x v="3"/>
    <x v="2"/>
  </r>
  <r>
    <n v="5548"/>
    <x v="472"/>
    <s v="Sales invoice issued"/>
    <x v="273"/>
    <s v="20.17"/>
    <x v="4"/>
    <x v="3"/>
  </r>
  <r>
    <n v="5549"/>
    <x v="472"/>
    <s v="Sales invoice issued"/>
    <x v="2252"/>
    <s v="0.0"/>
    <x v="2"/>
    <x v="0"/>
  </r>
  <r>
    <n v="5549"/>
    <x v="472"/>
    <s v="Sales invoice issued"/>
    <x v="273"/>
    <s v="887.73"/>
    <x v="3"/>
    <x v="2"/>
  </r>
  <r>
    <n v="5549"/>
    <x v="472"/>
    <s v="Sales invoice issued"/>
    <x v="273"/>
    <s v="66.58"/>
    <x v="4"/>
    <x v="3"/>
  </r>
  <r>
    <n v="5550"/>
    <x v="472"/>
    <s v="Sales invoice issued"/>
    <x v="2253"/>
    <s v="0.0"/>
    <x v="2"/>
    <x v="0"/>
  </r>
  <r>
    <n v="5550"/>
    <x v="472"/>
    <s v="Sales invoice issued"/>
    <x v="273"/>
    <s v="2925.86"/>
    <x v="3"/>
    <x v="2"/>
  </r>
  <r>
    <n v="5550"/>
    <x v="472"/>
    <s v="Sales invoice issued"/>
    <x v="273"/>
    <s v="219.43"/>
    <x v="4"/>
    <x v="3"/>
  </r>
  <r>
    <n v="5551"/>
    <x v="472"/>
    <s v="Customer payment received"/>
    <x v="1998"/>
    <s v="0.0"/>
    <x v="0"/>
    <x v="0"/>
  </r>
  <r>
    <n v="5551"/>
    <x v="472"/>
    <s v="Customer payment received"/>
    <x v="273"/>
    <s v="3894.53"/>
    <x v="2"/>
    <x v="0"/>
  </r>
  <r>
    <n v="5552"/>
    <x v="472"/>
    <s v="Customer payment received"/>
    <x v="2090"/>
    <s v="0.0"/>
    <x v="0"/>
    <x v="0"/>
  </r>
  <r>
    <n v="5552"/>
    <x v="472"/>
    <s v="Customer payment received"/>
    <x v="273"/>
    <s v="272.15"/>
    <x v="2"/>
    <x v="0"/>
  </r>
  <r>
    <n v="5553"/>
    <x v="472"/>
    <s v="Customer payment received"/>
    <x v="2124"/>
    <s v="0.0"/>
    <x v="0"/>
    <x v="0"/>
  </r>
  <r>
    <n v="5553"/>
    <x v="472"/>
    <s v="Customer payment received"/>
    <x v="273"/>
    <s v="215.49"/>
    <x v="2"/>
    <x v="0"/>
  </r>
  <r>
    <n v="5554"/>
    <x v="472"/>
    <s v="Customer payment received"/>
    <x v="2232"/>
    <s v="0.0"/>
    <x v="0"/>
    <x v="0"/>
  </r>
  <r>
    <n v="5554"/>
    <x v="472"/>
    <s v="Customer payment received"/>
    <x v="273"/>
    <s v="1668.36"/>
    <x v="2"/>
    <x v="0"/>
  </r>
  <r>
    <n v="5555"/>
    <x v="472"/>
    <s v="Customer payment received"/>
    <x v="2245"/>
    <s v="0.0"/>
    <x v="0"/>
    <x v="0"/>
  </r>
  <r>
    <n v="5555"/>
    <x v="472"/>
    <s v="Customer payment received"/>
    <x v="273"/>
    <s v="1037.26"/>
    <x v="2"/>
    <x v="0"/>
  </r>
  <r>
    <n v="5556"/>
    <x v="472"/>
    <s v="Supplier payment made"/>
    <x v="318"/>
    <s v="0.0"/>
    <x v="11"/>
    <x v="3"/>
  </r>
  <r>
    <n v="5556"/>
    <x v="472"/>
    <s v="Supplier payment made"/>
    <x v="273"/>
    <s v="2504.23"/>
    <x v="0"/>
    <x v="0"/>
  </r>
  <r>
    <n v="5557"/>
    <x v="472"/>
    <s v="Supplier payment made"/>
    <x v="318"/>
    <s v="0.0"/>
    <x v="11"/>
    <x v="3"/>
  </r>
  <r>
    <n v="5557"/>
    <x v="472"/>
    <s v="Supplier payment made"/>
    <x v="273"/>
    <s v="2504.23"/>
    <x v="0"/>
    <x v="0"/>
  </r>
  <r>
    <n v="5558"/>
    <x v="472"/>
    <s v="Supplier payment made"/>
    <x v="334"/>
    <s v="0.0"/>
    <x v="11"/>
    <x v="3"/>
  </r>
  <r>
    <n v="5558"/>
    <x v="472"/>
    <s v="Supplier payment made"/>
    <x v="273"/>
    <s v="3528.97"/>
    <x v="0"/>
    <x v="0"/>
  </r>
  <r>
    <n v="5559"/>
    <x v="473"/>
    <s v="Sales invoice issued"/>
    <x v="2254"/>
    <s v="0.0"/>
    <x v="2"/>
    <x v="0"/>
  </r>
  <r>
    <n v="5559"/>
    <x v="473"/>
    <s v="Sales invoice issued"/>
    <x v="273"/>
    <s v="1940.85"/>
    <x v="3"/>
    <x v="2"/>
  </r>
  <r>
    <n v="5559"/>
    <x v="473"/>
    <s v="Sales invoice issued"/>
    <x v="273"/>
    <s v="145.56"/>
    <x v="4"/>
    <x v="3"/>
  </r>
  <r>
    <n v="5560"/>
    <x v="473"/>
    <s v="Sales invoice issued"/>
    <x v="2255"/>
    <s v="0.0"/>
    <x v="2"/>
    <x v="0"/>
  </r>
  <r>
    <n v="5560"/>
    <x v="473"/>
    <s v="Sales invoice issued"/>
    <x v="273"/>
    <s v="632.52"/>
    <x v="3"/>
    <x v="2"/>
  </r>
  <r>
    <n v="5560"/>
    <x v="473"/>
    <s v="Sales invoice issued"/>
    <x v="273"/>
    <s v="47.44"/>
    <x v="4"/>
    <x v="3"/>
  </r>
  <r>
    <n v="5561"/>
    <x v="473"/>
    <s v="Sales invoice issued"/>
    <x v="2256"/>
    <s v="0.0"/>
    <x v="2"/>
    <x v="0"/>
  </r>
  <r>
    <n v="5561"/>
    <x v="473"/>
    <s v="Sales invoice issued"/>
    <x v="273"/>
    <s v="1102.5"/>
    <x v="3"/>
    <x v="2"/>
  </r>
  <r>
    <n v="5561"/>
    <x v="473"/>
    <s v="Sales invoice issued"/>
    <x v="273"/>
    <s v="82.69"/>
    <x v="4"/>
    <x v="3"/>
  </r>
  <r>
    <n v="5562"/>
    <x v="473"/>
    <s v="Sales invoice issued"/>
    <x v="2257"/>
    <s v="0.0"/>
    <x v="2"/>
    <x v="0"/>
  </r>
  <r>
    <n v="5562"/>
    <x v="473"/>
    <s v="Sales invoice issued"/>
    <x v="273"/>
    <s v="2660.07"/>
    <x v="3"/>
    <x v="2"/>
  </r>
  <r>
    <n v="5562"/>
    <x v="473"/>
    <s v="Sales invoice issued"/>
    <x v="273"/>
    <s v="199.5"/>
    <x v="4"/>
    <x v="3"/>
  </r>
  <r>
    <n v="5563"/>
    <x v="473"/>
    <s v="Customer payment received"/>
    <x v="1986"/>
    <s v="0.0"/>
    <x v="0"/>
    <x v="0"/>
  </r>
  <r>
    <n v="5563"/>
    <x v="473"/>
    <s v="Customer payment received"/>
    <x v="273"/>
    <s v="589.9"/>
    <x v="2"/>
    <x v="0"/>
  </r>
  <r>
    <n v="5564"/>
    <x v="473"/>
    <s v="Customer payment received"/>
    <x v="2032"/>
    <s v="0.0"/>
    <x v="0"/>
    <x v="0"/>
  </r>
  <r>
    <n v="5564"/>
    <x v="473"/>
    <s v="Customer payment received"/>
    <x v="273"/>
    <s v="2169.74"/>
    <x v="2"/>
    <x v="0"/>
  </r>
  <r>
    <n v="5565"/>
    <x v="473"/>
    <s v="Customer payment received"/>
    <x v="2061"/>
    <s v="0.0"/>
    <x v="0"/>
    <x v="0"/>
  </r>
  <r>
    <n v="5565"/>
    <x v="473"/>
    <s v="Customer payment received"/>
    <x v="273"/>
    <s v="219.0"/>
    <x v="2"/>
    <x v="0"/>
  </r>
  <r>
    <n v="5566"/>
    <x v="473"/>
    <s v="Customer payment received"/>
    <x v="2081"/>
    <s v="0.0"/>
    <x v="0"/>
    <x v="0"/>
  </r>
  <r>
    <n v="5566"/>
    <x v="473"/>
    <s v="Customer payment received"/>
    <x v="273"/>
    <s v="784.72"/>
    <x v="2"/>
    <x v="0"/>
  </r>
  <r>
    <n v="5567"/>
    <x v="473"/>
    <s v="Customer payment received"/>
    <x v="2092"/>
    <s v="0.0"/>
    <x v="0"/>
    <x v="0"/>
  </r>
  <r>
    <n v="5567"/>
    <x v="473"/>
    <s v="Customer payment received"/>
    <x v="273"/>
    <s v="1285.5"/>
    <x v="2"/>
    <x v="0"/>
  </r>
  <r>
    <n v="5568"/>
    <x v="473"/>
    <s v="Customer payment received"/>
    <x v="2102"/>
    <s v="0.0"/>
    <x v="0"/>
    <x v="0"/>
  </r>
  <r>
    <n v="5568"/>
    <x v="473"/>
    <s v="Customer payment received"/>
    <x v="273"/>
    <s v="2383.56"/>
    <x v="2"/>
    <x v="0"/>
  </r>
  <r>
    <n v="5569"/>
    <x v="473"/>
    <s v="Customer payment received"/>
    <x v="2105"/>
    <s v="0.0"/>
    <x v="0"/>
    <x v="0"/>
  </r>
  <r>
    <n v="5569"/>
    <x v="473"/>
    <s v="Customer payment received"/>
    <x v="273"/>
    <s v="2594.77"/>
    <x v="2"/>
    <x v="0"/>
  </r>
  <r>
    <n v="5570"/>
    <x v="473"/>
    <s v="Customer payment received"/>
    <x v="2141"/>
    <s v="0.0"/>
    <x v="0"/>
    <x v="0"/>
  </r>
  <r>
    <n v="5570"/>
    <x v="473"/>
    <s v="Customer payment received"/>
    <x v="273"/>
    <s v="2084.95"/>
    <x v="2"/>
    <x v="0"/>
  </r>
  <r>
    <n v="5571"/>
    <x v="473"/>
    <s v="Customer payment received"/>
    <x v="2194"/>
    <s v="0.0"/>
    <x v="0"/>
    <x v="0"/>
  </r>
  <r>
    <n v="5571"/>
    <x v="473"/>
    <s v="Customer payment received"/>
    <x v="273"/>
    <s v="1163.44"/>
    <x v="2"/>
    <x v="0"/>
  </r>
  <r>
    <n v="5572"/>
    <x v="473"/>
    <s v="Customer payment received"/>
    <x v="2210"/>
    <s v="0.0"/>
    <x v="0"/>
    <x v="0"/>
  </r>
  <r>
    <n v="5572"/>
    <x v="473"/>
    <s v="Customer payment received"/>
    <x v="273"/>
    <s v="824.34"/>
    <x v="2"/>
    <x v="0"/>
  </r>
  <r>
    <n v="5573"/>
    <x v="473"/>
    <s v="Customer payment received"/>
    <x v="2250"/>
    <s v="0.0"/>
    <x v="0"/>
    <x v="0"/>
  </r>
  <r>
    <n v="5573"/>
    <x v="473"/>
    <s v="Customer payment received"/>
    <x v="273"/>
    <s v="531.64"/>
    <x v="2"/>
    <x v="0"/>
  </r>
  <r>
    <n v="5574"/>
    <x v="473"/>
    <s v="Customer payment received"/>
    <x v="2256"/>
    <s v="0.0"/>
    <x v="0"/>
    <x v="0"/>
  </r>
  <r>
    <n v="5574"/>
    <x v="473"/>
    <s v="Customer payment received"/>
    <x v="273"/>
    <s v="1185.19"/>
    <x v="2"/>
    <x v="0"/>
  </r>
  <r>
    <n v="5575"/>
    <x v="473"/>
    <s v="Supplier payment made"/>
    <x v="309"/>
    <s v="0.0"/>
    <x v="11"/>
    <x v="3"/>
  </r>
  <r>
    <n v="5575"/>
    <x v="473"/>
    <s v="Supplier payment made"/>
    <x v="273"/>
    <s v="4812.46"/>
    <x v="0"/>
    <x v="0"/>
  </r>
  <r>
    <n v="5576"/>
    <x v="473"/>
    <s v="Supplier payment made"/>
    <x v="407"/>
    <s v="0.0"/>
    <x v="11"/>
    <x v="3"/>
  </r>
  <r>
    <n v="5576"/>
    <x v="473"/>
    <s v="Supplier payment made"/>
    <x v="273"/>
    <s v="201.5"/>
    <x v="0"/>
    <x v="0"/>
  </r>
  <r>
    <n v="5577"/>
    <x v="473"/>
    <s v="Supplier payment made"/>
    <x v="466"/>
    <s v="0.0"/>
    <x v="11"/>
    <x v="3"/>
  </r>
  <r>
    <n v="5577"/>
    <x v="473"/>
    <s v="Supplier payment made"/>
    <x v="273"/>
    <s v="748.26"/>
    <x v="0"/>
    <x v="0"/>
  </r>
  <r>
    <n v="5578"/>
    <x v="474"/>
    <s v="Payroll processed"/>
    <x v="2258"/>
    <s v="0.0"/>
    <x v="5"/>
    <x v="4"/>
  </r>
  <r>
    <n v="5578"/>
    <x v="474"/>
    <s v="Payroll processed"/>
    <x v="2259"/>
    <s v="0.0"/>
    <x v="6"/>
    <x v="4"/>
  </r>
  <r>
    <n v="5578"/>
    <x v="474"/>
    <s v="Payroll processed"/>
    <x v="273"/>
    <s v="18071.6"/>
    <x v="0"/>
    <x v="0"/>
  </r>
  <r>
    <n v="5578"/>
    <x v="474"/>
    <s v="Payroll processed"/>
    <x v="273"/>
    <s v="4352.58"/>
    <x v="7"/>
    <x v="3"/>
  </r>
  <r>
    <n v="5578"/>
    <x v="474"/>
    <s v="Payroll processed"/>
    <x v="273"/>
    <s v="896.97"/>
    <x v="8"/>
    <x v="3"/>
  </r>
  <r>
    <n v="5579"/>
    <x v="474"/>
    <s v="Sales invoice issued"/>
    <x v="2260"/>
    <s v="0.0"/>
    <x v="2"/>
    <x v="0"/>
  </r>
  <r>
    <n v="5579"/>
    <x v="474"/>
    <s v="Sales invoice issued"/>
    <x v="273"/>
    <s v="3102.61"/>
    <x v="3"/>
    <x v="2"/>
  </r>
  <r>
    <n v="5579"/>
    <x v="474"/>
    <s v="Sales invoice issued"/>
    <x v="273"/>
    <s v="232.7"/>
    <x v="4"/>
    <x v="3"/>
  </r>
  <r>
    <n v="5580"/>
    <x v="474"/>
    <s v="Sales invoice issued"/>
    <x v="1440"/>
    <s v="0.0"/>
    <x v="2"/>
    <x v="0"/>
  </r>
  <r>
    <n v="5580"/>
    <x v="474"/>
    <s v="Sales invoice issued"/>
    <x v="273"/>
    <s v="383.1"/>
    <x v="3"/>
    <x v="2"/>
  </r>
  <r>
    <n v="5580"/>
    <x v="474"/>
    <s v="Sales invoice issued"/>
    <x v="273"/>
    <s v="28.73"/>
    <x v="4"/>
    <x v="3"/>
  </r>
  <r>
    <n v="5581"/>
    <x v="474"/>
    <s v="Sales invoice issued"/>
    <x v="2261"/>
    <s v="0.0"/>
    <x v="2"/>
    <x v="0"/>
  </r>
  <r>
    <n v="5581"/>
    <x v="474"/>
    <s v="Sales invoice issued"/>
    <x v="273"/>
    <s v="4378.84"/>
    <x v="3"/>
    <x v="2"/>
  </r>
  <r>
    <n v="5581"/>
    <x v="474"/>
    <s v="Sales invoice issued"/>
    <x v="273"/>
    <s v="328.42"/>
    <x v="4"/>
    <x v="3"/>
  </r>
  <r>
    <n v="5582"/>
    <x v="474"/>
    <s v="Sales invoice issued"/>
    <x v="2262"/>
    <s v="0.0"/>
    <x v="2"/>
    <x v="0"/>
  </r>
  <r>
    <n v="5582"/>
    <x v="474"/>
    <s v="Sales invoice issued"/>
    <x v="273"/>
    <s v="5134.37"/>
    <x v="3"/>
    <x v="2"/>
  </r>
  <r>
    <n v="5582"/>
    <x v="474"/>
    <s v="Sales invoice issued"/>
    <x v="273"/>
    <s v="385.08"/>
    <x v="4"/>
    <x v="3"/>
  </r>
  <r>
    <n v="5583"/>
    <x v="474"/>
    <s v="Sales invoice issued"/>
    <x v="2263"/>
    <s v="0.0"/>
    <x v="2"/>
    <x v="0"/>
  </r>
  <r>
    <n v="5583"/>
    <x v="474"/>
    <s v="Sales invoice issued"/>
    <x v="273"/>
    <s v="850.52"/>
    <x v="3"/>
    <x v="2"/>
  </r>
  <r>
    <n v="5583"/>
    <x v="474"/>
    <s v="Sales invoice issued"/>
    <x v="273"/>
    <s v="63.79"/>
    <x v="4"/>
    <x v="3"/>
  </r>
  <r>
    <n v="5584"/>
    <x v="474"/>
    <s v="Customer payment received"/>
    <x v="2052"/>
    <s v="0.0"/>
    <x v="0"/>
    <x v="0"/>
  </r>
  <r>
    <n v="5584"/>
    <x v="474"/>
    <s v="Customer payment received"/>
    <x v="273"/>
    <s v="1281.34"/>
    <x v="2"/>
    <x v="0"/>
  </r>
  <r>
    <n v="5585"/>
    <x v="474"/>
    <s v="Customer payment received"/>
    <x v="2109"/>
    <s v="0.0"/>
    <x v="0"/>
    <x v="0"/>
  </r>
  <r>
    <n v="5585"/>
    <x v="474"/>
    <s v="Customer payment received"/>
    <x v="273"/>
    <s v="2551.82"/>
    <x v="2"/>
    <x v="0"/>
  </r>
  <r>
    <n v="5586"/>
    <x v="474"/>
    <s v="Customer payment received"/>
    <x v="2137"/>
    <s v="0.0"/>
    <x v="0"/>
    <x v="0"/>
  </r>
  <r>
    <n v="5586"/>
    <x v="474"/>
    <s v="Customer payment received"/>
    <x v="273"/>
    <s v="2673.93"/>
    <x v="2"/>
    <x v="0"/>
  </r>
  <r>
    <n v="5587"/>
    <x v="474"/>
    <s v="Customer payment received"/>
    <x v="2201"/>
    <s v="0.0"/>
    <x v="0"/>
    <x v="0"/>
  </r>
  <r>
    <n v="5587"/>
    <x v="474"/>
    <s v="Customer payment received"/>
    <x v="273"/>
    <s v="1391.07"/>
    <x v="2"/>
    <x v="0"/>
  </r>
  <r>
    <n v="5588"/>
    <x v="474"/>
    <s v="Customer payment received"/>
    <x v="2208"/>
    <s v="0.0"/>
    <x v="0"/>
    <x v="0"/>
  </r>
  <r>
    <n v="5588"/>
    <x v="474"/>
    <s v="Customer payment received"/>
    <x v="273"/>
    <s v="1663.3"/>
    <x v="2"/>
    <x v="0"/>
  </r>
  <r>
    <n v="5589"/>
    <x v="474"/>
    <s v="Customer payment received"/>
    <x v="2219"/>
    <s v="0.0"/>
    <x v="0"/>
    <x v="0"/>
  </r>
  <r>
    <n v="5589"/>
    <x v="474"/>
    <s v="Customer payment received"/>
    <x v="273"/>
    <s v="5062.77"/>
    <x v="2"/>
    <x v="0"/>
  </r>
  <r>
    <n v="5590"/>
    <x v="474"/>
    <s v="Customer payment received"/>
    <x v="2220"/>
    <s v="0.0"/>
    <x v="0"/>
    <x v="0"/>
  </r>
  <r>
    <n v="5590"/>
    <x v="474"/>
    <s v="Customer payment received"/>
    <x v="273"/>
    <s v="914.89"/>
    <x v="2"/>
    <x v="0"/>
  </r>
  <r>
    <n v="5591"/>
    <x v="474"/>
    <s v="Customer payment received"/>
    <x v="2224"/>
    <s v="0.0"/>
    <x v="0"/>
    <x v="0"/>
  </r>
  <r>
    <n v="5591"/>
    <x v="474"/>
    <s v="Customer payment received"/>
    <x v="273"/>
    <s v="3222.48"/>
    <x v="2"/>
    <x v="0"/>
  </r>
  <r>
    <n v="5592"/>
    <x v="474"/>
    <s v="Customer payment received"/>
    <x v="2238"/>
    <s v="0.0"/>
    <x v="0"/>
    <x v="0"/>
  </r>
  <r>
    <n v="5592"/>
    <x v="474"/>
    <s v="Customer payment received"/>
    <x v="273"/>
    <s v="347.99"/>
    <x v="2"/>
    <x v="0"/>
  </r>
  <r>
    <n v="5593"/>
    <x v="474"/>
    <s v="Customer payment received"/>
    <x v="2244"/>
    <s v="0.0"/>
    <x v="0"/>
    <x v="0"/>
  </r>
  <r>
    <n v="5593"/>
    <x v="474"/>
    <s v="Customer payment received"/>
    <x v="273"/>
    <s v="4844.46"/>
    <x v="2"/>
    <x v="0"/>
  </r>
  <r>
    <n v="5594"/>
    <x v="474"/>
    <s v="Customer payment received"/>
    <x v="2264"/>
    <s v="0.0"/>
    <x v="0"/>
    <x v="0"/>
  </r>
  <r>
    <n v="5594"/>
    <x v="474"/>
    <s v="Customer payment received"/>
    <x v="273"/>
    <s v="1703.82"/>
    <x v="2"/>
    <x v="0"/>
  </r>
  <r>
    <n v="5595"/>
    <x v="474"/>
    <s v="Supplier invoice received"/>
    <x v="445"/>
    <s v="0.0"/>
    <x v="9"/>
    <x v="4"/>
  </r>
  <r>
    <n v="5595"/>
    <x v="474"/>
    <s v="Supplier invoice received"/>
    <x v="446"/>
    <s v="0.0"/>
    <x v="10"/>
    <x v="0"/>
  </r>
  <r>
    <n v="5595"/>
    <x v="474"/>
    <s v="Supplier invoice received"/>
    <x v="273"/>
    <s v="1794.11"/>
    <x v="11"/>
    <x v="3"/>
  </r>
  <r>
    <n v="5596"/>
    <x v="474"/>
    <s v="Supplier invoice received"/>
    <x v="405"/>
    <s v="0.0"/>
    <x v="9"/>
    <x v="4"/>
  </r>
  <r>
    <n v="5596"/>
    <x v="474"/>
    <s v="Supplier invoice received"/>
    <x v="406"/>
    <s v="0.0"/>
    <x v="10"/>
    <x v="0"/>
  </r>
  <r>
    <n v="5596"/>
    <x v="474"/>
    <s v="Supplier invoice received"/>
    <x v="273"/>
    <s v="2635.36"/>
    <x v="11"/>
    <x v="3"/>
  </r>
  <r>
    <n v="5597"/>
    <x v="474"/>
    <s v="Supplier payment made"/>
    <x v="340"/>
    <s v="0.0"/>
    <x v="11"/>
    <x v="3"/>
  </r>
  <r>
    <n v="5597"/>
    <x v="474"/>
    <s v="Supplier payment made"/>
    <x v="273"/>
    <s v="1304.62"/>
    <x v="0"/>
    <x v="0"/>
  </r>
  <r>
    <n v="5598"/>
    <x v="474"/>
    <s v="Supplier payment made"/>
    <x v="310"/>
    <s v="0.0"/>
    <x v="11"/>
    <x v="3"/>
  </r>
  <r>
    <n v="5598"/>
    <x v="474"/>
    <s v="Supplier payment made"/>
    <x v="273"/>
    <s v="276.32"/>
    <x v="0"/>
    <x v="0"/>
  </r>
  <r>
    <n v="5599"/>
    <x v="474"/>
    <s v="Supplier payment made"/>
    <x v="496"/>
    <s v="0.0"/>
    <x v="11"/>
    <x v="3"/>
  </r>
  <r>
    <n v="5599"/>
    <x v="474"/>
    <s v="Supplier payment made"/>
    <x v="273"/>
    <s v="7227.44"/>
    <x v="0"/>
    <x v="0"/>
  </r>
  <r>
    <n v="5600"/>
    <x v="474"/>
    <s v="Supplier payment made"/>
    <x v="280"/>
    <s v="0.0"/>
    <x v="11"/>
    <x v="3"/>
  </r>
  <r>
    <n v="5600"/>
    <x v="474"/>
    <s v="Supplier payment made"/>
    <x v="273"/>
    <s v="2635.36"/>
    <x v="0"/>
    <x v="0"/>
  </r>
  <r>
    <n v="5601"/>
    <x v="475"/>
    <s v="Sales invoice issued"/>
    <x v="2265"/>
    <s v="0.0"/>
    <x v="2"/>
    <x v="0"/>
  </r>
  <r>
    <n v="5601"/>
    <x v="475"/>
    <s v="Sales invoice issued"/>
    <x v="273"/>
    <s v="3033.25"/>
    <x v="3"/>
    <x v="2"/>
  </r>
  <r>
    <n v="5601"/>
    <x v="475"/>
    <s v="Sales invoice issued"/>
    <x v="273"/>
    <s v="227.49"/>
    <x v="4"/>
    <x v="3"/>
  </r>
  <r>
    <n v="5602"/>
    <x v="475"/>
    <s v="Sales invoice issued"/>
    <x v="2266"/>
    <s v="0.0"/>
    <x v="2"/>
    <x v="0"/>
  </r>
  <r>
    <n v="5602"/>
    <x v="475"/>
    <s v="Sales invoice issued"/>
    <x v="273"/>
    <s v="2258.61"/>
    <x v="3"/>
    <x v="2"/>
  </r>
  <r>
    <n v="5602"/>
    <x v="475"/>
    <s v="Sales invoice issued"/>
    <x v="273"/>
    <s v="169.41"/>
    <x v="4"/>
    <x v="3"/>
  </r>
  <r>
    <n v="5603"/>
    <x v="475"/>
    <s v="Sales invoice issued"/>
    <x v="2267"/>
    <s v="0.0"/>
    <x v="2"/>
    <x v="0"/>
  </r>
  <r>
    <n v="5603"/>
    <x v="475"/>
    <s v="Sales invoice issued"/>
    <x v="273"/>
    <s v="388.86"/>
    <x v="3"/>
    <x v="2"/>
  </r>
  <r>
    <n v="5603"/>
    <x v="475"/>
    <s v="Sales invoice issued"/>
    <x v="273"/>
    <s v="29.16"/>
    <x v="4"/>
    <x v="3"/>
  </r>
  <r>
    <n v="5604"/>
    <x v="475"/>
    <s v="Customer payment received"/>
    <x v="1958"/>
    <s v="0.0"/>
    <x v="0"/>
    <x v="0"/>
  </r>
  <r>
    <n v="5604"/>
    <x v="475"/>
    <s v="Customer payment received"/>
    <x v="273"/>
    <s v="149.23"/>
    <x v="2"/>
    <x v="0"/>
  </r>
  <r>
    <n v="5605"/>
    <x v="475"/>
    <s v="Customer payment received"/>
    <x v="2152"/>
    <s v="0.0"/>
    <x v="0"/>
    <x v="0"/>
  </r>
  <r>
    <n v="5605"/>
    <x v="475"/>
    <s v="Customer payment received"/>
    <x v="273"/>
    <s v="1087.88"/>
    <x v="2"/>
    <x v="0"/>
  </r>
  <r>
    <n v="5606"/>
    <x v="475"/>
    <s v="Customer payment received"/>
    <x v="2268"/>
    <s v="0.0"/>
    <x v="0"/>
    <x v="0"/>
  </r>
  <r>
    <n v="5606"/>
    <x v="475"/>
    <s v="Customer payment received"/>
    <x v="273"/>
    <s v="793.72"/>
    <x v="2"/>
    <x v="0"/>
  </r>
  <r>
    <n v="5607"/>
    <x v="475"/>
    <s v="Supplier invoice received"/>
    <x v="299"/>
    <s v="0.0"/>
    <x v="9"/>
    <x v="4"/>
  </r>
  <r>
    <n v="5607"/>
    <x v="475"/>
    <s v="Supplier invoice received"/>
    <x v="300"/>
    <s v="0.0"/>
    <x v="10"/>
    <x v="0"/>
  </r>
  <r>
    <n v="5607"/>
    <x v="475"/>
    <s v="Supplier invoice received"/>
    <x v="273"/>
    <s v="2918.17"/>
    <x v="11"/>
    <x v="3"/>
  </r>
  <r>
    <n v="5608"/>
    <x v="475"/>
    <s v="Supplier invoice received"/>
    <x v="330"/>
    <s v="0.0"/>
    <x v="9"/>
    <x v="4"/>
  </r>
  <r>
    <n v="5608"/>
    <x v="475"/>
    <s v="Supplier invoice received"/>
    <x v="331"/>
    <s v="0.0"/>
    <x v="10"/>
    <x v="0"/>
  </r>
  <r>
    <n v="5608"/>
    <x v="475"/>
    <s v="Supplier invoice received"/>
    <x v="273"/>
    <s v="1935.04"/>
    <x v="11"/>
    <x v="3"/>
  </r>
  <r>
    <n v="5609"/>
    <x v="475"/>
    <s v="Supplier invoice received"/>
    <x v="359"/>
    <s v="0.0"/>
    <x v="9"/>
    <x v="4"/>
  </r>
  <r>
    <n v="5609"/>
    <x v="475"/>
    <s v="Supplier invoice received"/>
    <x v="360"/>
    <s v="0.0"/>
    <x v="10"/>
    <x v="0"/>
  </r>
  <r>
    <n v="5609"/>
    <x v="475"/>
    <s v="Supplier invoice received"/>
    <x v="273"/>
    <s v="1591.54"/>
    <x v="11"/>
    <x v="3"/>
  </r>
  <r>
    <n v="5610"/>
    <x v="475"/>
    <s v="Supplier invoice received"/>
    <x v="297"/>
    <s v="0.0"/>
    <x v="9"/>
    <x v="4"/>
  </r>
  <r>
    <n v="5610"/>
    <x v="475"/>
    <s v="Supplier invoice received"/>
    <x v="298"/>
    <s v="0.0"/>
    <x v="10"/>
    <x v="0"/>
  </r>
  <r>
    <n v="5610"/>
    <x v="475"/>
    <s v="Supplier invoice received"/>
    <x v="273"/>
    <s v="3528.97"/>
    <x v="11"/>
    <x v="3"/>
  </r>
  <r>
    <n v="5611"/>
    <x v="475"/>
    <s v="Supplier invoice received"/>
    <x v="441"/>
    <s v="0.0"/>
    <x v="9"/>
    <x v="4"/>
  </r>
  <r>
    <n v="5611"/>
    <x v="475"/>
    <s v="Supplier invoice received"/>
    <x v="442"/>
    <s v="0.0"/>
    <x v="10"/>
    <x v="0"/>
  </r>
  <r>
    <n v="5611"/>
    <x v="475"/>
    <s v="Supplier invoice received"/>
    <x v="273"/>
    <s v="179.01"/>
    <x v="11"/>
    <x v="3"/>
  </r>
  <r>
    <n v="5612"/>
    <x v="475"/>
    <s v="Supplier payment made"/>
    <x v="408"/>
    <s v="0.0"/>
    <x v="11"/>
    <x v="3"/>
  </r>
  <r>
    <n v="5612"/>
    <x v="475"/>
    <s v="Supplier payment made"/>
    <x v="273"/>
    <s v="3868.8"/>
    <x v="0"/>
    <x v="0"/>
  </r>
  <r>
    <n v="5613"/>
    <x v="475"/>
    <s v="Supplier payment made"/>
    <x v="496"/>
    <s v="0.0"/>
    <x v="11"/>
    <x v="3"/>
  </r>
  <r>
    <n v="5613"/>
    <x v="475"/>
    <s v="Supplier payment made"/>
    <x v="273"/>
    <s v="7227.44"/>
    <x v="0"/>
    <x v="0"/>
  </r>
  <r>
    <n v="5614"/>
    <x v="475"/>
    <s v="Supplier payment made"/>
    <x v="488"/>
    <s v="0.0"/>
    <x v="11"/>
    <x v="3"/>
  </r>
  <r>
    <n v="5614"/>
    <x v="475"/>
    <s v="Supplier payment made"/>
    <x v="273"/>
    <s v="2182.41"/>
    <x v="0"/>
    <x v="0"/>
  </r>
  <r>
    <n v="5615"/>
    <x v="475"/>
    <s v="Supplier payment made"/>
    <x v="353"/>
    <s v="0.0"/>
    <x v="11"/>
    <x v="3"/>
  </r>
  <r>
    <n v="5615"/>
    <x v="475"/>
    <s v="Supplier payment made"/>
    <x v="273"/>
    <s v="2918.17"/>
    <x v="0"/>
    <x v="0"/>
  </r>
  <r>
    <n v="5616"/>
    <x v="475"/>
    <s v="Supplier payment made"/>
    <x v="351"/>
    <s v="0.0"/>
    <x v="11"/>
    <x v="3"/>
  </r>
  <r>
    <n v="5616"/>
    <x v="475"/>
    <s v="Supplier payment made"/>
    <x v="273"/>
    <s v="179.01"/>
    <x v="0"/>
    <x v="0"/>
  </r>
  <r>
    <n v="5617"/>
    <x v="476"/>
    <s v="Sales invoice issued"/>
    <x v="509"/>
    <s v="0.0"/>
    <x v="2"/>
    <x v="0"/>
  </r>
  <r>
    <n v="5617"/>
    <x v="476"/>
    <s v="Sales invoice issued"/>
    <x v="273"/>
    <s v="100.48"/>
    <x v="3"/>
    <x v="2"/>
  </r>
  <r>
    <n v="5617"/>
    <x v="476"/>
    <s v="Sales invoice issued"/>
    <x v="273"/>
    <s v="7.54"/>
    <x v="4"/>
    <x v="3"/>
  </r>
  <r>
    <n v="5618"/>
    <x v="476"/>
    <s v="Sales invoice issued"/>
    <x v="2269"/>
    <s v="0.0"/>
    <x v="2"/>
    <x v="0"/>
  </r>
  <r>
    <n v="5618"/>
    <x v="476"/>
    <s v="Sales invoice issued"/>
    <x v="273"/>
    <s v="1069.35"/>
    <x v="3"/>
    <x v="2"/>
  </r>
  <r>
    <n v="5618"/>
    <x v="476"/>
    <s v="Sales invoice issued"/>
    <x v="273"/>
    <s v="80.21"/>
    <x v="4"/>
    <x v="3"/>
  </r>
  <r>
    <n v="5619"/>
    <x v="476"/>
    <s v="Sales invoice issued"/>
    <x v="401"/>
    <s v="0.0"/>
    <x v="2"/>
    <x v="0"/>
  </r>
  <r>
    <n v="5619"/>
    <x v="476"/>
    <s v="Sales invoice issued"/>
    <x v="273"/>
    <s v="2200.94"/>
    <x v="3"/>
    <x v="2"/>
  </r>
  <r>
    <n v="5619"/>
    <x v="476"/>
    <s v="Sales invoice issued"/>
    <x v="273"/>
    <s v="165.07"/>
    <x v="4"/>
    <x v="3"/>
  </r>
  <r>
    <n v="5620"/>
    <x v="476"/>
    <s v="Sales invoice issued"/>
    <x v="1742"/>
    <s v="0.0"/>
    <x v="2"/>
    <x v="0"/>
  </r>
  <r>
    <n v="5620"/>
    <x v="476"/>
    <s v="Sales invoice issued"/>
    <x v="273"/>
    <s v="191.55"/>
    <x v="3"/>
    <x v="2"/>
  </r>
  <r>
    <n v="5620"/>
    <x v="476"/>
    <s v="Sales invoice issued"/>
    <x v="273"/>
    <s v="14.37"/>
    <x v="4"/>
    <x v="3"/>
  </r>
  <r>
    <n v="5621"/>
    <x v="476"/>
    <s v="Sales invoice issued"/>
    <x v="2270"/>
    <s v="0.0"/>
    <x v="2"/>
    <x v="0"/>
  </r>
  <r>
    <n v="5621"/>
    <x v="476"/>
    <s v="Sales invoice issued"/>
    <x v="273"/>
    <s v="4234.1"/>
    <x v="3"/>
    <x v="2"/>
  </r>
  <r>
    <n v="5621"/>
    <x v="476"/>
    <s v="Sales invoice issued"/>
    <x v="273"/>
    <s v="317.56"/>
    <x v="4"/>
    <x v="3"/>
  </r>
  <r>
    <n v="5622"/>
    <x v="476"/>
    <s v="Sales invoice issued"/>
    <x v="2271"/>
    <s v="0.0"/>
    <x v="2"/>
    <x v="0"/>
  </r>
  <r>
    <n v="5622"/>
    <x v="476"/>
    <s v="Sales invoice issued"/>
    <x v="273"/>
    <s v="4761.01"/>
    <x v="3"/>
    <x v="2"/>
  </r>
  <r>
    <n v="5622"/>
    <x v="476"/>
    <s v="Sales invoice issued"/>
    <x v="273"/>
    <s v="357.08"/>
    <x v="4"/>
    <x v="3"/>
  </r>
  <r>
    <n v="5623"/>
    <x v="476"/>
    <s v="Customer payment received"/>
    <x v="2147"/>
    <s v="0.0"/>
    <x v="0"/>
    <x v="0"/>
  </r>
  <r>
    <n v="5623"/>
    <x v="476"/>
    <s v="Customer payment received"/>
    <x v="273"/>
    <s v="5857.01"/>
    <x v="2"/>
    <x v="0"/>
  </r>
  <r>
    <n v="5624"/>
    <x v="476"/>
    <s v="Customer payment received"/>
    <x v="2162"/>
    <s v="0.0"/>
    <x v="0"/>
    <x v="0"/>
  </r>
  <r>
    <n v="5624"/>
    <x v="476"/>
    <s v="Customer payment received"/>
    <x v="273"/>
    <s v="1014.12"/>
    <x v="2"/>
    <x v="0"/>
  </r>
  <r>
    <n v="5625"/>
    <x v="476"/>
    <s v="Customer payment received"/>
    <x v="2188"/>
    <s v="0.0"/>
    <x v="0"/>
    <x v="0"/>
  </r>
  <r>
    <n v="5625"/>
    <x v="476"/>
    <s v="Customer payment received"/>
    <x v="273"/>
    <s v="3388.91"/>
    <x v="2"/>
    <x v="0"/>
  </r>
  <r>
    <n v="5626"/>
    <x v="476"/>
    <s v="Customer payment received"/>
    <x v="2206"/>
    <s v="0.0"/>
    <x v="0"/>
    <x v="0"/>
  </r>
  <r>
    <n v="5626"/>
    <x v="476"/>
    <s v="Customer payment received"/>
    <x v="273"/>
    <s v="3907.56"/>
    <x v="2"/>
    <x v="0"/>
  </r>
  <r>
    <n v="5627"/>
    <x v="476"/>
    <s v="Customer payment received"/>
    <x v="2212"/>
    <s v="0.0"/>
    <x v="0"/>
    <x v="0"/>
  </r>
  <r>
    <n v="5627"/>
    <x v="476"/>
    <s v="Customer payment received"/>
    <x v="273"/>
    <s v="5553.75"/>
    <x v="2"/>
    <x v="0"/>
  </r>
  <r>
    <n v="5628"/>
    <x v="476"/>
    <s v="Customer payment received"/>
    <x v="2263"/>
    <s v="0.0"/>
    <x v="0"/>
    <x v="0"/>
  </r>
  <r>
    <n v="5628"/>
    <x v="476"/>
    <s v="Customer payment received"/>
    <x v="273"/>
    <s v="914.31"/>
    <x v="2"/>
    <x v="0"/>
  </r>
  <r>
    <n v="5629"/>
    <x v="476"/>
    <s v="Supplier invoice received"/>
    <x v="374"/>
    <s v="0.0"/>
    <x v="9"/>
    <x v="4"/>
  </r>
  <r>
    <n v="5629"/>
    <x v="476"/>
    <s v="Supplier invoice received"/>
    <x v="375"/>
    <s v="0.0"/>
    <x v="10"/>
    <x v="0"/>
  </r>
  <r>
    <n v="5629"/>
    <x v="476"/>
    <s v="Supplier invoice received"/>
    <x v="273"/>
    <s v="2504.23"/>
    <x v="11"/>
    <x v="3"/>
  </r>
  <r>
    <n v="5630"/>
    <x v="476"/>
    <s v="Supplier invoice received"/>
    <x v="303"/>
    <s v="0.0"/>
    <x v="9"/>
    <x v="4"/>
  </r>
  <r>
    <n v="5630"/>
    <x v="476"/>
    <s v="Supplier invoice received"/>
    <x v="304"/>
    <s v="0.0"/>
    <x v="10"/>
    <x v="0"/>
  </r>
  <r>
    <n v="5630"/>
    <x v="476"/>
    <s v="Supplier invoice received"/>
    <x v="273"/>
    <s v="550.4"/>
    <x v="11"/>
    <x v="3"/>
  </r>
  <r>
    <n v="5631"/>
    <x v="476"/>
    <s v="Supplier invoice received"/>
    <x v="325"/>
    <s v="0.0"/>
    <x v="9"/>
    <x v="4"/>
  </r>
  <r>
    <n v="5631"/>
    <x v="476"/>
    <s v="Supplier invoice received"/>
    <x v="326"/>
    <s v="0.0"/>
    <x v="10"/>
    <x v="0"/>
  </r>
  <r>
    <n v="5631"/>
    <x v="476"/>
    <s v="Supplier invoice received"/>
    <x v="273"/>
    <s v="1304.62"/>
    <x v="11"/>
    <x v="3"/>
  </r>
  <r>
    <n v="5632"/>
    <x v="476"/>
    <s v="Supplier payment made"/>
    <x v="424"/>
    <s v="0.0"/>
    <x v="11"/>
    <x v="3"/>
  </r>
  <r>
    <n v="5632"/>
    <x v="476"/>
    <s v="Supplier payment made"/>
    <x v="273"/>
    <s v="1591.54"/>
    <x v="0"/>
    <x v="0"/>
  </r>
  <r>
    <n v="5633"/>
    <x v="476"/>
    <s v="Supplier payment made"/>
    <x v="292"/>
    <s v="0.0"/>
    <x v="11"/>
    <x v="3"/>
  </r>
  <r>
    <n v="5633"/>
    <x v="476"/>
    <s v="Supplier payment made"/>
    <x v="273"/>
    <s v="1766.46"/>
    <x v="0"/>
    <x v="0"/>
  </r>
  <r>
    <n v="5634"/>
    <x v="476"/>
    <s v="Supplier payment made"/>
    <x v="309"/>
    <s v="0.0"/>
    <x v="11"/>
    <x v="3"/>
  </r>
  <r>
    <n v="5634"/>
    <x v="476"/>
    <s v="Supplier payment made"/>
    <x v="273"/>
    <s v="4812.46"/>
    <x v="0"/>
    <x v="0"/>
  </r>
  <r>
    <n v="5635"/>
    <x v="476"/>
    <s v="Supplier payment made"/>
    <x v="313"/>
    <s v="0.0"/>
    <x v="11"/>
    <x v="3"/>
  </r>
  <r>
    <n v="5635"/>
    <x v="476"/>
    <s v="Supplier payment made"/>
    <x v="273"/>
    <s v="1159.84"/>
    <x v="0"/>
    <x v="0"/>
  </r>
  <r>
    <n v="5636"/>
    <x v="476"/>
    <s v="Supplier payment made"/>
    <x v="407"/>
    <s v="0.0"/>
    <x v="11"/>
    <x v="3"/>
  </r>
  <r>
    <n v="5636"/>
    <x v="476"/>
    <s v="Supplier payment made"/>
    <x v="273"/>
    <s v="201.5"/>
    <x v="0"/>
    <x v="0"/>
  </r>
  <r>
    <n v="5637"/>
    <x v="477"/>
    <s v="Sales invoice issued"/>
    <x v="2272"/>
    <s v="0.0"/>
    <x v="2"/>
    <x v="0"/>
  </r>
  <r>
    <n v="5637"/>
    <x v="477"/>
    <s v="Sales invoice issued"/>
    <x v="273"/>
    <s v="823.6"/>
    <x v="3"/>
    <x v="2"/>
  </r>
  <r>
    <n v="5637"/>
    <x v="477"/>
    <s v="Sales invoice issued"/>
    <x v="273"/>
    <s v="61.77"/>
    <x v="4"/>
    <x v="3"/>
  </r>
  <r>
    <n v="5638"/>
    <x v="477"/>
    <s v="Sales invoice issued"/>
    <x v="983"/>
    <s v="0.0"/>
    <x v="2"/>
    <x v="0"/>
  </r>
  <r>
    <n v="5638"/>
    <x v="477"/>
    <s v="Sales invoice issued"/>
    <x v="273"/>
    <s v="138.42"/>
    <x v="3"/>
    <x v="2"/>
  </r>
  <r>
    <n v="5638"/>
    <x v="477"/>
    <s v="Sales invoice issued"/>
    <x v="273"/>
    <s v="10.38"/>
    <x v="4"/>
    <x v="3"/>
  </r>
  <r>
    <n v="5639"/>
    <x v="477"/>
    <s v="Sales invoice issued"/>
    <x v="2273"/>
    <s v="0.0"/>
    <x v="2"/>
    <x v="0"/>
  </r>
  <r>
    <n v="5639"/>
    <x v="477"/>
    <s v="Sales invoice issued"/>
    <x v="273"/>
    <s v="2228.11"/>
    <x v="3"/>
    <x v="2"/>
  </r>
  <r>
    <n v="5639"/>
    <x v="477"/>
    <s v="Sales invoice issued"/>
    <x v="273"/>
    <s v="167.11"/>
    <x v="4"/>
    <x v="3"/>
  </r>
  <r>
    <n v="5640"/>
    <x v="477"/>
    <s v="Sales invoice issued"/>
    <x v="1947"/>
    <s v="0.0"/>
    <x v="2"/>
    <x v="0"/>
  </r>
  <r>
    <n v="5640"/>
    <x v="477"/>
    <s v="Sales invoice issued"/>
    <x v="273"/>
    <s v="410.47"/>
    <x v="3"/>
    <x v="2"/>
  </r>
  <r>
    <n v="5640"/>
    <x v="477"/>
    <s v="Sales invoice issued"/>
    <x v="273"/>
    <s v="30.79"/>
    <x v="4"/>
    <x v="3"/>
  </r>
  <r>
    <n v="5641"/>
    <x v="477"/>
    <s v="Sales invoice issued"/>
    <x v="2274"/>
    <s v="0.0"/>
    <x v="2"/>
    <x v="0"/>
  </r>
  <r>
    <n v="5641"/>
    <x v="477"/>
    <s v="Sales invoice issued"/>
    <x v="273"/>
    <s v="1922.29"/>
    <x v="3"/>
    <x v="2"/>
  </r>
  <r>
    <n v="5641"/>
    <x v="477"/>
    <s v="Sales invoice issued"/>
    <x v="273"/>
    <s v="144.17"/>
    <x v="4"/>
    <x v="3"/>
  </r>
  <r>
    <n v="5642"/>
    <x v="477"/>
    <s v="Sales invoice issued"/>
    <x v="2275"/>
    <s v="0.0"/>
    <x v="2"/>
    <x v="0"/>
  </r>
  <r>
    <n v="5642"/>
    <x v="477"/>
    <s v="Sales invoice issued"/>
    <x v="273"/>
    <s v="2330.7"/>
    <x v="3"/>
    <x v="2"/>
  </r>
  <r>
    <n v="5642"/>
    <x v="477"/>
    <s v="Sales invoice issued"/>
    <x v="273"/>
    <s v="174.8"/>
    <x v="4"/>
    <x v="3"/>
  </r>
  <r>
    <n v="5643"/>
    <x v="477"/>
    <s v="Customer payment received"/>
    <x v="2050"/>
    <s v="0.0"/>
    <x v="0"/>
    <x v="0"/>
  </r>
  <r>
    <n v="5643"/>
    <x v="477"/>
    <s v="Customer payment received"/>
    <x v="273"/>
    <s v="7084.14"/>
    <x v="2"/>
    <x v="0"/>
  </r>
  <r>
    <n v="5644"/>
    <x v="477"/>
    <s v="Customer payment received"/>
    <x v="2228"/>
    <s v="0.0"/>
    <x v="0"/>
    <x v="0"/>
  </r>
  <r>
    <n v="5644"/>
    <x v="477"/>
    <s v="Customer payment received"/>
    <x v="273"/>
    <s v="1475.56"/>
    <x v="2"/>
    <x v="0"/>
  </r>
  <r>
    <n v="5645"/>
    <x v="477"/>
    <s v="Customer payment received"/>
    <x v="2234"/>
    <s v="0.0"/>
    <x v="0"/>
    <x v="0"/>
  </r>
  <r>
    <n v="5645"/>
    <x v="477"/>
    <s v="Customer payment received"/>
    <x v="273"/>
    <s v="3347.28"/>
    <x v="2"/>
    <x v="0"/>
  </r>
  <r>
    <n v="5646"/>
    <x v="477"/>
    <s v="Supplier invoice received"/>
    <x v="474"/>
    <s v="0.0"/>
    <x v="9"/>
    <x v="4"/>
  </r>
  <r>
    <n v="5646"/>
    <x v="477"/>
    <s v="Supplier invoice received"/>
    <x v="475"/>
    <s v="0.0"/>
    <x v="10"/>
    <x v="0"/>
  </r>
  <r>
    <n v="5646"/>
    <x v="477"/>
    <s v="Supplier invoice received"/>
    <x v="273"/>
    <s v="862.91"/>
    <x v="11"/>
    <x v="3"/>
  </r>
  <r>
    <n v="5647"/>
    <x v="477"/>
    <s v="Supplier payment made"/>
    <x v="335"/>
    <s v="0.0"/>
    <x v="11"/>
    <x v="3"/>
  </r>
  <r>
    <n v="5647"/>
    <x v="477"/>
    <s v="Supplier payment made"/>
    <x v="273"/>
    <s v="550.4"/>
    <x v="0"/>
    <x v="0"/>
  </r>
  <r>
    <n v="5648"/>
    <x v="477"/>
    <s v="Supplier payment made"/>
    <x v="466"/>
    <s v="0.0"/>
    <x v="11"/>
    <x v="3"/>
  </r>
  <r>
    <n v="5648"/>
    <x v="477"/>
    <s v="Supplier payment made"/>
    <x v="273"/>
    <s v="748.26"/>
    <x v="0"/>
    <x v="0"/>
  </r>
  <r>
    <n v="5649"/>
    <x v="477"/>
    <s v="Supplier payment made"/>
    <x v="352"/>
    <s v="0.0"/>
    <x v="11"/>
    <x v="3"/>
  </r>
  <r>
    <n v="5649"/>
    <x v="477"/>
    <s v="Supplier payment made"/>
    <x v="273"/>
    <s v="9336.67"/>
    <x v="0"/>
    <x v="0"/>
  </r>
  <r>
    <n v="5650"/>
    <x v="477"/>
    <s v="Supplier payment made"/>
    <x v="515"/>
    <s v="0.0"/>
    <x v="11"/>
    <x v="3"/>
  </r>
  <r>
    <n v="5650"/>
    <x v="477"/>
    <s v="Supplier payment made"/>
    <x v="273"/>
    <s v="862.91"/>
    <x v="0"/>
    <x v="0"/>
  </r>
  <r>
    <n v="5651"/>
    <x v="478"/>
    <s v="Sales invoice issued"/>
    <x v="2276"/>
    <s v="0.0"/>
    <x v="2"/>
    <x v="0"/>
  </r>
  <r>
    <n v="5651"/>
    <x v="478"/>
    <s v="Sales invoice issued"/>
    <x v="273"/>
    <s v="3598.75"/>
    <x v="3"/>
    <x v="2"/>
  </r>
  <r>
    <n v="5651"/>
    <x v="478"/>
    <s v="Sales invoice issued"/>
    <x v="273"/>
    <s v="269.9"/>
    <x v="4"/>
    <x v="3"/>
  </r>
  <r>
    <n v="5652"/>
    <x v="478"/>
    <s v="Sales invoice issued"/>
    <x v="2277"/>
    <s v="0.0"/>
    <x v="2"/>
    <x v="0"/>
  </r>
  <r>
    <n v="5652"/>
    <x v="478"/>
    <s v="Sales invoice issued"/>
    <x v="273"/>
    <s v="4073.98"/>
    <x v="3"/>
    <x v="2"/>
  </r>
  <r>
    <n v="5652"/>
    <x v="478"/>
    <s v="Sales invoice issued"/>
    <x v="273"/>
    <s v="305.55"/>
    <x v="4"/>
    <x v="3"/>
  </r>
  <r>
    <n v="5653"/>
    <x v="478"/>
    <s v="Sales invoice issued"/>
    <x v="2278"/>
    <s v="0.0"/>
    <x v="2"/>
    <x v="0"/>
  </r>
  <r>
    <n v="5653"/>
    <x v="478"/>
    <s v="Sales invoice issued"/>
    <x v="273"/>
    <s v="4069.41"/>
    <x v="3"/>
    <x v="2"/>
  </r>
  <r>
    <n v="5653"/>
    <x v="478"/>
    <s v="Sales invoice issued"/>
    <x v="273"/>
    <s v="305.2"/>
    <x v="4"/>
    <x v="3"/>
  </r>
  <r>
    <n v="5654"/>
    <x v="478"/>
    <s v="Customer payment received"/>
    <x v="2279"/>
    <s v="0.0"/>
    <x v="0"/>
    <x v="0"/>
  </r>
  <r>
    <n v="5654"/>
    <x v="478"/>
    <s v="Customer payment received"/>
    <x v="273"/>
    <s v="1744.19"/>
    <x v="2"/>
    <x v="0"/>
  </r>
  <r>
    <n v="5655"/>
    <x v="478"/>
    <s v="Customer payment received"/>
    <x v="2200"/>
    <s v="0.0"/>
    <x v="0"/>
    <x v="0"/>
  </r>
  <r>
    <n v="5655"/>
    <x v="478"/>
    <s v="Customer payment received"/>
    <x v="273"/>
    <s v="1941.01"/>
    <x v="2"/>
    <x v="0"/>
  </r>
  <r>
    <n v="5656"/>
    <x v="478"/>
    <s v="Customer payment received"/>
    <x v="2226"/>
    <s v="0.0"/>
    <x v="0"/>
    <x v="0"/>
  </r>
  <r>
    <n v="5656"/>
    <x v="478"/>
    <s v="Customer payment received"/>
    <x v="273"/>
    <s v="2529.97"/>
    <x v="2"/>
    <x v="0"/>
  </r>
  <r>
    <n v="5657"/>
    <x v="478"/>
    <s v="Customer payment received"/>
    <x v="2260"/>
    <s v="0.0"/>
    <x v="0"/>
    <x v="0"/>
  </r>
  <r>
    <n v="5657"/>
    <x v="478"/>
    <s v="Customer payment received"/>
    <x v="273"/>
    <s v="3335.31"/>
    <x v="2"/>
    <x v="0"/>
  </r>
  <r>
    <n v="5658"/>
    <x v="478"/>
    <s v="Supplier invoice received"/>
    <x v="405"/>
    <s v="0.0"/>
    <x v="9"/>
    <x v="4"/>
  </r>
  <r>
    <n v="5658"/>
    <x v="478"/>
    <s v="Supplier invoice received"/>
    <x v="406"/>
    <s v="0.0"/>
    <x v="10"/>
    <x v="0"/>
  </r>
  <r>
    <n v="5658"/>
    <x v="478"/>
    <s v="Supplier invoice received"/>
    <x v="273"/>
    <s v="2635.36"/>
    <x v="11"/>
    <x v="3"/>
  </r>
  <r>
    <n v="5659"/>
    <x v="478"/>
    <s v="Supplier invoice received"/>
    <x v="445"/>
    <s v="0.0"/>
    <x v="9"/>
    <x v="4"/>
  </r>
  <r>
    <n v="5659"/>
    <x v="478"/>
    <s v="Supplier invoice received"/>
    <x v="446"/>
    <s v="0.0"/>
    <x v="10"/>
    <x v="0"/>
  </r>
  <r>
    <n v="5659"/>
    <x v="478"/>
    <s v="Supplier invoice received"/>
    <x v="273"/>
    <s v="1794.11"/>
    <x v="11"/>
    <x v="3"/>
  </r>
  <r>
    <n v="5660"/>
    <x v="478"/>
    <s v="Supplier payment made"/>
    <x v="335"/>
    <s v="0.0"/>
    <x v="11"/>
    <x v="3"/>
  </r>
  <r>
    <n v="5660"/>
    <x v="478"/>
    <s v="Supplier payment made"/>
    <x v="273"/>
    <s v="550.4"/>
    <x v="0"/>
    <x v="0"/>
  </r>
  <r>
    <n v="5661"/>
    <x v="478"/>
    <s v="Supplier payment made"/>
    <x v="327"/>
    <s v="0.0"/>
    <x v="11"/>
    <x v="3"/>
  </r>
  <r>
    <n v="5661"/>
    <x v="478"/>
    <s v="Supplier payment made"/>
    <x v="273"/>
    <s v="1935.04"/>
    <x v="0"/>
    <x v="0"/>
  </r>
  <r>
    <n v="5662"/>
    <x v="478"/>
    <s v="Supplier payment made"/>
    <x v="350"/>
    <s v="0.0"/>
    <x v="11"/>
    <x v="3"/>
  </r>
  <r>
    <n v="5662"/>
    <x v="478"/>
    <s v="Supplier payment made"/>
    <x v="273"/>
    <s v="1794.11"/>
    <x v="0"/>
    <x v="0"/>
  </r>
  <r>
    <n v="5663"/>
    <x v="479"/>
    <s v="Sales invoice issued"/>
    <x v="2280"/>
    <s v="0.0"/>
    <x v="2"/>
    <x v="0"/>
  </r>
  <r>
    <n v="5663"/>
    <x v="479"/>
    <s v="Sales invoice issued"/>
    <x v="273"/>
    <s v="2746.19"/>
    <x v="3"/>
    <x v="2"/>
  </r>
  <r>
    <n v="5663"/>
    <x v="479"/>
    <s v="Sales invoice issued"/>
    <x v="273"/>
    <s v="205.97"/>
    <x v="4"/>
    <x v="3"/>
  </r>
  <r>
    <n v="5664"/>
    <x v="479"/>
    <s v="Sales invoice issued"/>
    <x v="2281"/>
    <s v="0.0"/>
    <x v="2"/>
    <x v="0"/>
  </r>
  <r>
    <n v="5664"/>
    <x v="479"/>
    <s v="Sales invoice issued"/>
    <x v="273"/>
    <s v="2504.81"/>
    <x v="3"/>
    <x v="2"/>
  </r>
  <r>
    <n v="5664"/>
    <x v="479"/>
    <s v="Sales invoice issued"/>
    <x v="273"/>
    <s v="187.85"/>
    <x v="4"/>
    <x v="3"/>
  </r>
  <r>
    <n v="5665"/>
    <x v="479"/>
    <s v="Sales invoice issued"/>
    <x v="2282"/>
    <s v="0.0"/>
    <x v="2"/>
    <x v="0"/>
  </r>
  <r>
    <n v="5665"/>
    <x v="479"/>
    <s v="Sales invoice issued"/>
    <x v="273"/>
    <s v="1625.43"/>
    <x v="3"/>
    <x v="2"/>
  </r>
  <r>
    <n v="5665"/>
    <x v="479"/>
    <s v="Sales invoice issued"/>
    <x v="273"/>
    <s v="121.91"/>
    <x v="4"/>
    <x v="3"/>
  </r>
  <r>
    <n v="5666"/>
    <x v="479"/>
    <s v="Sales invoice issued"/>
    <x v="2283"/>
    <s v="0.0"/>
    <x v="2"/>
    <x v="0"/>
  </r>
  <r>
    <n v="5666"/>
    <x v="479"/>
    <s v="Sales invoice issued"/>
    <x v="273"/>
    <s v="4236.13"/>
    <x v="3"/>
    <x v="2"/>
  </r>
  <r>
    <n v="5666"/>
    <x v="479"/>
    <s v="Sales invoice issued"/>
    <x v="273"/>
    <s v="317.7"/>
    <x v="4"/>
    <x v="3"/>
  </r>
  <r>
    <n v="5667"/>
    <x v="479"/>
    <s v="Sales invoice issued"/>
    <x v="2284"/>
    <s v="0.0"/>
    <x v="2"/>
    <x v="0"/>
  </r>
  <r>
    <n v="5667"/>
    <x v="479"/>
    <s v="Sales invoice issued"/>
    <x v="273"/>
    <s v="2573.27"/>
    <x v="3"/>
    <x v="2"/>
  </r>
  <r>
    <n v="5667"/>
    <x v="479"/>
    <s v="Sales invoice issued"/>
    <x v="273"/>
    <s v="192.98"/>
    <x v="4"/>
    <x v="3"/>
  </r>
  <r>
    <n v="5668"/>
    <x v="479"/>
    <s v="Sales invoice issued"/>
    <x v="2285"/>
    <s v="0.0"/>
    <x v="2"/>
    <x v="0"/>
  </r>
  <r>
    <n v="5668"/>
    <x v="479"/>
    <s v="Sales invoice issued"/>
    <x v="273"/>
    <s v="4746.57"/>
    <x v="3"/>
    <x v="2"/>
  </r>
  <r>
    <n v="5668"/>
    <x v="479"/>
    <s v="Sales invoice issued"/>
    <x v="273"/>
    <s v="356.0"/>
    <x v="4"/>
    <x v="3"/>
  </r>
  <r>
    <n v="5669"/>
    <x v="479"/>
    <s v="Sales invoice issued"/>
    <x v="2286"/>
    <s v="0.0"/>
    <x v="2"/>
    <x v="0"/>
  </r>
  <r>
    <n v="5669"/>
    <x v="479"/>
    <s v="Sales invoice issued"/>
    <x v="273"/>
    <s v="228.04"/>
    <x v="3"/>
    <x v="2"/>
  </r>
  <r>
    <n v="5669"/>
    <x v="479"/>
    <s v="Sales invoice issued"/>
    <x v="273"/>
    <s v="17.1"/>
    <x v="4"/>
    <x v="3"/>
  </r>
  <r>
    <n v="5670"/>
    <x v="479"/>
    <s v="Customer payment received"/>
    <x v="2066"/>
    <s v="0.0"/>
    <x v="0"/>
    <x v="0"/>
  </r>
  <r>
    <n v="5670"/>
    <x v="479"/>
    <s v="Customer payment received"/>
    <x v="273"/>
    <s v="3931.85"/>
    <x v="2"/>
    <x v="0"/>
  </r>
  <r>
    <n v="5671"/>
    <x v="479"/>
    <s v="Customer payment received"/>
    <x v="1255"/>
    <s v="0.0"/>
    <x v="0"/>
    <x v="0"/>
  </r>
  <r>
    <n v="5671"/>
    <x v="479"/>
    <s v="Customer payment received"/>
    <x v="273"/>
    <s v="1108.56"/>
    <x v="2"/>
    <x v="0"/>
  </r>
  <r>
    <n v="5672"/>
    <x v="479"/>
    <s v="Customer payment received"/>
    <x v="2287"/>
    <s v="0.0"/>
    <x v="0"/>
    <x v="0"/>
  </r>
  <r>
    <n v="5672"/>
    <x v="479"/>
    <s v="Customer payment received"/>
    <x v="273"/>
    <s v="1046.37"/>
    <x v="2"/>
    <x v="0"/>
  </r>
  <r>
    <n v="5673"/>
    <x v="479"/>
    <s v="Customer payment received"/>
    <x v="2178"/>
    <s v="0.0"/>
    <x v="0"/>
    <x v="0"/>
  </r>
  <r>
    <n v="5673"/>
    <x v="479"/>
    <s v="Customer payment received"/>
    <x v="273"/>
    <s v="1563.65"/>
    <x v="2"/>
    <x v="0"/>
  </r>
  <r>
    <n v="5674"/>
    <x v="479"/>
    <s v="Customer payment received"/>
    <x v="1251"/>
    <s v="0.0"/>
    <x v="0"/>
    <x v="0"/>
  </r>
  <r>
    <n v="5674"/>
    <x v="479"/>
    <s v="Customer payment received"/>
    <x v="273"/>
    <s v="788.61"/>
    <x v="2"/>
    <x v="0"/>
  </r>
  <r>
    <n v="5675"/>
    <x v="479"/>
    <s v="Customer payment received"/>
    <x v="2271"/>
    <s v="0.0"/>
    <x v="0"/>
    <x v="0"/>
  </r>
  <r>
    <n v="5675"/>
    <x v="479"/>
    <s v="Customer payment received"/>
    <x v="273"/>
    <s v="5118.09"/>
    <x v="2"/>
    <x v="0"/>
  </r>
  <r>
    <n v="5676"/>
    <x v="479"/>
    <s v="Customer payment received"/>
    <x v="2283"/>
    <s v="0.0"/>
    <x v="0"/>
    <x v="0"/>
  </r>
  <r>
    <n v="5676"/>
    <x v="479"/>
    <s v="Customer payment received"/>
    <x v="273"/>
    <s v="4553.83"/>
    <x v="2"/>
    <x v="0"/>
  </r>
  <r>
    <n v="5677"/>
    <x v="479"/>
    <s v="Supplier payment made"/>
    <x v="424"/>
    <s v="0.0"/>
    <x v="11"/>
    <x v="3"/>
  </r>
  <r>
    <n v="5677"/>
    <x v="479"/>
    <s v="Supplier payment made"/>
    <x v="273"/>
    <s v="1591.54"/>
    <x v="0"/>
    <x v="0"/>
  </r>
  <r>
    <n v="5678"/>
    <x v="480"/>
    <s v="Sales invoice issued"/>
    <x v="2288"/>
    <s v="0.0"/>
    <x v="2"/>
    <x v="0"/>
  </r>
  <r>
    <n v="5678"/>
    <x v="480"/>
    <s v="Sales invoice issued"/>
    <x v="273"/>
    <s v="3209.67"/>
    <x v="3"/>
    <x v="2"/>
  </r>
  <r>
    <n v="5678"/>
    <x v="480"/>
    <s v="Sales invoice issued"/>
    <x v="273"/>
    <s v="240.72"/>
    <x v="4"/>
    <x v="3"/>
  </r>
  <r>
    <n v="5679"/>
    <x v="480"/>
    <s v="Sales invoice issued"/>
    <x v="2289"/>
    <s v="0.0"/>
    <x v="2"/>
    <x v="0"/>
  </r>
  <r>
    <n v="5679"/>
    <x v="480"/>
    <s v="Sales invoice issued"/>
    <x v="273"/>
    <s v="4205.36"/>
    <x v="3"/>
    <x v="2"/>
  </r>
  <r>
    <n v="5679"/>
    <x v="480"/>
    <s v="Sales invoice issued"/>
    <x v="273"/>
    <s v="315.4"/>
    <x v="4"/>
    <x v="3"/>
  </r>
  <r>
    <n v="5680"/>
    <x v="480"/>
    <s v="Sales invoice issued"/>
    <x v="2290"/>
    <s v="0.0"/>
    <x v="2"/>
    <x v="0"/>
  </r>
  <r>
    <n v="5680"/>
    <x v="480"/>
    <s v="Sales invoice issued"/>
    <x v="273"/>
    <s v="3166.77"/>
    <x v="3"/>
    <x v="2"/>
  </r>
  <r>
    <n v="5680"/>
    <x v="480"/>
    <s v="Sales invoice issued"/>
    <x v="273"/>
    <s v="237.51"/>
    <x v="4"/>
    <x v="3"/>
  </r>
  <r>
    <n v="5681"/>
    <x v="480"/>
    <s v="Sales invoice issued"/>
    <x v="1397"/>
    <s v="0.0"/>
    <x v="2"/>
    <x v="0"/>
  </r>
  <r>
    <n v="5681"/>
    <x v="480"/>
    <s v="Sales invoice issued"/>
    <x v="273"/>
    <s v="314.42"/>
    <x v="3"/>
    <x v="2"/>
  </r>
  <r>
    <n v="5681"/>
    <x v="480"/>
    <s v="Sales invoice issued"/>
    <x v="273"/>
    <s v="23.58"/>
    <x v="4"/>
    <x v="3"/>
  </r>
  <r>
    <n v="5682"/>
    <x v="480"/>
    <s v="Sales invoice issued"/>
    <x v="2291"/>
    <s v="0.0"/>
    <x v="2"/>
    <x v="0"/>
  </r>
  <r>
    <n v="5682"/>
    <x v="480"/>
    <s v="Sales invoice issued"/>
    <x v="273"/>
    <s v="3318.68"/>
    <x v="3"/>
    <x v="2"/>
  </r>
  <r>
    <n v="5682"/>
    <x v="480"/>
    <s v="Sales invoice issued"/>
    <x v="273"/>
    <s v="248.9"/>
    <x v="4"/>
    <x v="3"/>
  </r>
  <r>
    <n v="5683"/>
    <x v="480"/>
    <s v="Sales invoice issued"/>
    <x v="2292"/>
    <s v="0.0"/>
    <x v="2"/>
    <x v="0"/>
  </r>
  <r>
    <n v="5683"/>
    <x v="480"/>
    <s v="Sales invoice issued"/>
    <x v="273"/>
    <s v="2414.43"/>
    <x v="3"/>
    <x v="2"/>
  </r>
  <r>
    <n v="5683"/>
    <x v="480"/>
    <s v="Sales invoice issued"/>
    <x v="273"/>
    <s v="181.08"/>
    <x v="4"/>
    <x v="3"/>
  </r>
  <r>
    <n v="5684"/>
    <x v="480"/>
    <s v="Sales invoice issued"/>
    <x v="2293"/>
    <s v="0.0"/>
    <x v="2"/>
    <x v="0"/>
  </r>
  <r>
    <n v="5684"/>
    <x v="480"/>
    <s v="Sales invoice issued"/>
    <x v="273"/>
    <s v="5472.56"/>
    <x v="3"/>
    <x v="2"/>
  </r>
  <r>
    <n v="5684"/>
    <x v="480"/>
    <s v="Sales invoice issued"/>
    <x v="273"/>
    <s v="410.44"/>
    <x v="4"/>
    <x v="3"/>
  </r>
  <r>
    <n v="5685"/>
    <x v="480"/>
    <s v="Customer payment received"/>
    <x v="2100"/>
    <s v="0.0"/>
    <x v="0"/>
    <x v="0"/>
  </r>
  <r>
    <n v="5685"/>
    <x v="480"/>
    <s v="Customer payment received"/>
    <x v="273"/>
    <s v="1000.79"/>
    <x v="2"/>
    <x v="0"/>
  </r>
  <r>
    <n v="5686"/>
    <x v="480"/>
    <s v="Customer payment received"/>
    <x v="2153"/>
    <s v="0.0"/>
    <x v="0"/>
    <x v="0"/>
  </r>
  <r>
    <n v="5686"/>
    <x v="480"/>
    <s v="Customer payment received"/>
    <x v="273"/>
    <s v="2476.41"/>
    <x v="2"/>
    <x v="0"/>
  </r>
  <r>
    <n v="5687"/>
    <x v="480"/>
    <s v="Customer payment received"/>
    <x v="2168"/>
    <s v="0.0"/>
    <x v="0"/>
    <x v="0"/>
  </r>
  <r>
    <n v="5687"/>
    <x v="480"/>
    <s v="Customer payment received"/>
    <x v="273"/>
    <s v="2225.46"/>
    <x v="2"/>
    <x v="0"/>
  </r>
  <r>
    <n v="5688"/>
    <x v="480"/>
    <s v="Customer payment received"/>
    <x v="2186"/>
    <s v="0.0"/>
    <x v="0"/>
    <x v="0"/>
  </r>
  <r>
    <n v="5688"/>
    <x v="480"/>
    <s v="Customer payment received"/>
    <x v="273"/>
    <s v="5459.38"/>
    <x v="2"/>
    <x v="0"/>
  </r>
  <r>
    <n v="5689"/>
    <x v="480"/>
    <s v="Customer payment received"/>
    <x v="2227"/>
    <s v="0.0"/>
    <x v="0"/>
    <x v="0"/>
  </r>
  <r>
    <n v="5689"/>
    <x v="480"/>
    <s v="Customer payment received"/>
    <x v="273"/>
    <s v="716.97"/>
    <x v="2"/>
    <x v="0"/>
  </r>
  <r>
    <n v="5690"/>
    <x v="480"/>
    <s v="Customer payment received"/>
    <x v="2229"/>
    <s v="0.0"/>
    <x v="0"/>
    <x v="0"/>
  </r>
  <r>
    <n v="5690"/>
    <x v="480"/>
    <s v="Customer payment received"/>
    <x v="273"/>
    <s v="1615.34"/>
    <x v="2"/>
    <x v="0"/>
  </r>
  <r>
    <n v="5691"/>
    <x v="480"/>
    <s v="Customer payment received"/>
    <x v="2265"/>
    <s v="0.0"/>
    <x v="0"/>
    <x v="0"/>
  </r>
  <r>
    <n v="5691"/>
    <x v="480"/>
    <s v="Customer payment received"/>
    <x v="273"/>
    <s v="3260.74"/>
    <x v="2"/>
    <x v="0"/>
  </r>
  <r>
    <n v="5692"/>
    <x v="480"/>
    <s v="Supplier invoice received"/>
    <x v="295"/>
    <s v="0.0"/>
    <x v="9"/>
    <x v="4"/>
  </r>
  <r>
    <n v="5692"/>
    <x v="480"/>
    <s v="Supplier invoice received"/>
    <x v="296"/>
    <s v="0.0"/>
    <x v="10"/>
    <x v="0"/>
  </r>
  <r>
    <n v="5692"/>
    <x v="480"/>
    <s v="Supplier invoice received"/>
    <x v="273"/>
    <s v="1766.46"/>
    <x v="11"/>
    <x v="3"/>
  </r>
  <r>
    <n v="5693"/>
    <x v="480"/>
    <s v="Supplier payment made"/>
    <x v="334"/>
    <s v="0.0"/>
    <x v="11"/>
    <x v="3"/>
  </r>
  <r>
    <n v="5693"/>
    <x v="480"/>
    <s v="Supplier payment made"/>
    <x v="273"/>
    <s v="3528.97"/>
    <x v="0"/>
    <x v="0"/>
  </r>
  <r>
    <n v="5694"/>
    <x v="480"/>
    <s v="Depreciation â€” POS System"/>
    <x v="2294"/>
    <s v="0.0"/>
    <x v="12"/>
    <x v="4"/>
  </r>
  <r>
    <n v="5694"/>
    <x v="480"/>
    <s v="Depreciation â€” POS System"/>
    <x v="273"/>
    <s v="93.37"/>
    <x v="13"/>
    <x v="0"/>
  </r>
  <r>
    <n v="5695"/>
    <x v="480"/>
    <s v="Depreciation â€” Laptop x2"/>
    <x v="2295"/>
    <s v="0.0"/>
    <x v="12"/>
    <x v="4"/>
  </r>
  <r>
    <n v="5695"/>
    <x v="480"/>
    <s v="Depreciation â€” Laptop x2"/>
    <x v="273"/>
    <s v="0.04"/>
    <x v="13"/>
    <x v="0"/>
  </r>
  <r>
    <n v="5696"/>
    <x v="480"/>
    <s v="Depreciation â€” Printer/Scanner"/>
    <x v="427"/>
    <s v="0.0"/>
    <x v="12"/>
    <x v="4"/>
  </r>
  <r>
    <n v="5696"/>
    <x v="480"/>
    <s v="Depreciation â€” Printer/Scanner"/>
    <x v="273"/>
    <s v="20.03"/>
    <x v="13"/>
    <x v="0"/>
  </r>
  <r>
    <n v="5697"/>
    <x v="480"/>
    <s v="Depreciation â€” Shop Shelving"/>
    <x v="428"/>
    <s v="0.0"/>
    <x v="12"/>
    <x v="4"/>
  </r>
  <r>
    <n v="5697"/>
    <x v="480"/>
    <s v="Depreciation â€” Shop Shelving"/>
    <x v="273"/>
    <s v="86.89"/>
    <x v="14"/>
    <x v="0"/>
  </r>
  <r>
    <n v="5698"/>
    <x v="480"/>
    <s v="Depreciation â€” Display Stands"/>
    <x v="429"/>
    <s v="0.0"/>
    <x v="12"/>
    <x v="4"/>
  </r>
  <r>
    <n v="5698"/>
    <x v="480"/>
    <s v="Depreciation â€” Display Stands"/>
    <x v="273"/>
    <s v="76.8"/>
    <x v="14"/>
    <x v="0"/>
  </r>
  <r>
    <n v="5699"/>
    <x v="480"/>
    <s v="Depreciation â€” Counter &amp; Checkout"/>
    <x v="430"/>
    <s v="0.0"/>
    <x v="12"/>
    <x v="4"/>
  </r>
  <r>
    <n v="5699"/>
    <x v="480"/>
    <s v="Depreciation â€” Counter &amp; Checkout"/>
    <x v="273"/>
    <s v="48.28"/>
    <x v="14"/>
    <x v="0"/>
  </r>
  <r>
    <n v="5700"/>
    <x v="480"/>
    <s v="Depreciation â€” Signage"/>
    <x v="431"/>
    <s v="0.0"/>
    <x v="12"/>
    <x v="4"/>
  </r>
  <r>
    <n v="5700"/>
    <x v="480"/>
    <s v="Depreciation â€” Signage"/>
    <x v="273"/>
    <s v="53.21"/>
    <x v="14"/>
    <x v="0"/>
  </r>
  <r>
    <n v="5701"/>
    <x v="480"/>
    <s v="Depreciation â€” Delivery Van"/>
    <x v="432"/>
    <s v="0.0"/>
    <x v="12"/>
    <x v="4"/>
  </r>
  <r>
    <n v="5701"/>
    <x v="480"/>
    <s v="Depreciation â€” Delivery Van"/>
    <x v="273"/>
    <s v="232.19"/>
    <x v="15"/>
    <x v="0"/>
  </r>
  <r>
    <n v="5702"/>
    <x v="480"/>
    <s v="Depreciation â€” Security System"/>
    <x v="433"/>
    <s v="0.0"/>
    <x v="12"/>
    <x v="4"/>
  </r>
  <r>
    <n v="5702"/>
    <x v="480"/>
    <s v="Depreciation â€” Security System"/>
    <x v="273"/>
    <s v="43.85"/>
    <x v="13"/>
    <x v="0"/>
  </r>
  <r>
    <n v="5703"/>
    <x v="481"/>
    <s v="Sales invoice issued"/>
    <x v="2296"/>
    <s v="0.0"/>
    <x v="2"/>
    <x v="0"/>
  </r>
  <r>
    <n v="5703"/>
    <x v="481"/>
    <s v="Sales invoice issued"/>
    <x v="273"/>
    <s v="1536.9"/>
    <x v="3"/>
    <x v="2"/>
  </r>
  <r>
    <n v="5703"/>
    <x v="481"/>
    <s v="Sales invoice issued"/>
    <x v="273"/>
    <s v="115.27"/>
    <x v="4"/>
    <x v="3"/>
  </r>
  <r>
    <n v="5704"/>
    <x v="481"/>
    <s v="Sales invoice issued"/>
    <x v="2297"/>
    <s v="0.0"/>
    <x v="2"/>
    <x v="0"/>
  </r>
  <r>
    <n v="5704"/>
    <x v="481"/>
    <s v="Sales invoice issued"/>
    <x v="273"/>
    <s v="3508.97"/>
    <x v="3"/>
    <x v="2"/>
  </r>
  <r>
    <n v="5704"/>
    <x v="481"/>
    <s v="Sales invoice issued"/>
    <x v="273"/>
    <s v="263.18"/>
    <x v="4"/>
    <x v="3"/>
  </r>
  <r>
    <n v="5705"/>
    <x v="481"/>
    <s v="Sales invoice issued"/>
    <x v="2298"/>
    <s v="0.0"/>
    <x v="2"/>
    <x v="0"/>
  </r>
  <r>
    <n v="5705"/>
    <x v="481"/>
    <s v="Sales invoice issued"/>
    <x v="273"/>
    <s v="2163.26"/>
    <x v="3"/>
    <x v="2"/>
  </r>
  <r>
    <n v="5705"/>
    <x v="481"/>
    <s v="Sales invoice issued"/>
    <x v="273"/>
    <s v="162.26"/>
    <x v="4"/>
    <x v="3"/>
  </r>
  <r>
    <n v="5706"/>
    <x v="481"/>
    <s v="Sales invoice issued"/>
    <x v="2299"/>
    <s v="0.0"/>
    <x v="2"/>
    <x v="0"/>
  </r>
  <r>
    <n v="5706"/>
    <x v="481"/>
    <s v="Sales invoice issued"/>
    <x v="273"/>
    <s v="1897.53"/>
    <x v="3"/>
    <x v="2"/>
  </r>
  <r>
    <n v="5706"/>
    <x v="481"/>
    <s v="Sales invoice issued"/>
    <x v="273"/>
    <s v="142.31"/>
    <x v="4"/>
    <x v="3"/>
  </r>
  <r>
    <n v="5707"/>
    <x v="481"/>
    <s v="Sales invoice issued"/>
    <x v="2300"/>
    <s v="0.0"/>
    <x v="2"/>
    <x v="0"/>
  </r>
  <r>
    <n v="5707"/>
    <x v="481"/>
    <s v="Sales invoice issued"/>
    <x v="273"/>
    <s v="1901.25"/>
    <x v="3"/>
    <x v="2"/>
  </r>
  <r>
    <n v="5707"/>
    <x v="481"/>
    <s v="Sales invoice issued"/>
    <x v="273"/>
    <s v="142.59"/>
    <x v="4"/>
    <x v="3"/>
  </r>
  <r>
    <n v="5708"/>
    <x v="481"/>
    <s v="Sales invoice issued"/>
    <x v="2301"/>
    <s v="0.0"/>
    <x v="2"/>
    <x v="0"/>
  </r>
  <r>
    <n v="5708"/>
    <x v="481"/>
    <s v="Sales invoice issued"/>
    <x v="273"/>
    <s v="2766.92"/>
    <x v="3"/>
    <x v="2"/>
  </r>
  <r>
    <n v="5708"/>
    <x v="481"/>
    <s v="Sales invoice issued"/>
    <x v="273"/>
    <s v="207.52"/>
    <x v="4"/>
    <x v="3"/>
  </r>
  <r>
    <n v="5709"/>
    <x v="481"/>
    <s v="Sales invoice issued"/>
    <x v="2302"/>
    <s v="0.0"/>
    <x v="2"/>
    <x v="0"/>
  </r>
  <r>
    <n v="5709"/>
    <x v="481"/>
    <s v="Sales invoice issued"/>
    <x v="273"/>
    <s v="1597.77"/>
    <x v="3"/>
    <x v="2"/>
  </r>
  <r>
    <n v="5709"/>
    <x v="481"/>
    <s v="Sales invoice issued"/>
    <x v="273"/>
    <s v="119.83"/>
    <x v="4"/>
    <x v="3"/>
  </r>
  <r>
    <n v="5710"/>
    <x v="481"/>
    <s v="Sales invoice issued"/>
    <x v="2303"/>
    <s v="0.0"/>
    <x v="2"/>
    <x v="0"/>
  </r>
  <r>
    <n v="5710"/>
    <x v="481"/>
    <s v="Sales invoice issued"/>
    <x v="273"/>
    <s v="1332.46"/>
    <x v="3"/>
    <x v="2"/>
  </r>
  <r>
    <n v="5710"/>
    <x v="481"/>
    <s v="Sales invoice issued"/>
    <x v="273"/>
    <s v="99.94"/>
    <x v="4"/>
    <x v="3"/>
  </r>
  <r>
    <n v="5711"/>
    <x v="481"/>
    <s v="Sales invoice issued"/>
    <x v="2304"/>
    <s v="0.0"/>
    <x v="2"/>
    <x v="0"/>
  </r>
  <r>
    <n v="5711"/>
    <x v="481"/>
    <s v="Sales invoice issued"/>
    <x v="273"/>
    <s v="580.08"/>
    <x v="3"/>
    <x v="2"/>
  </r>
  <r>
    <n v="5711"/>
    <x v="481"/>
    <s v="Sales invoice issued"/>
    <x v="273"/>
    <s v="43.5"/>
    <x v="4"/>
    <x v="3"/>
  </r>
  <r>
    <n v="5712"/>
    <x v="481"/>
    <s v="Sales invoice issued"/>
    <x v="2305"/>
    <s v="0.0"/>
    <x v="2"/>
    <x v="0"/>
  </r>
  <r>
    <n v="5712"/>
    <x v="481"/>
    <s v="Sales invoice issued"/>
    <x v="273"/>
    <s v="1181.42"/>
    <x v="3"/>
    <x v="2"/>
  </r>
  <r>
    <n v="5712"/>
    <x v="481"/>
    <s v="Sales invoice issued"/>
    <x v="273"/>
    <s v="88.61"/>
    <x v="4"/>
    <x v="3"/>
  </r>
  <r>
    <n v="5713"/>
    <x v="481"/>
    <s v="Customer payment received"/>
    <x v="2080"/>
    <s v="0.0"/>
    <x v="0"/>
    <x v="0"/>
  </r>
  <r>
    <n v="5713"/>
    <x v="481"/>
    <s v="Customer payment received"/>
    <x v="273"/>
    <s v="5032.54"/>
    <x v="2"/>
    <x v="0"/>
  </r>
  <r>
    <n v="5714"/>
    <x v="481"/>
    <s v="Customer payment received"/>
    <x v="2149"/>
    <s v="0.0"/>
    <x v="0"/>
    <x v="0"/>
  </r>
  <r>
    <n v="5714"/>
    <x v="481"/>
    <s v="Customer payment received"/>
    <x v="273"/>
    <s v="2578.44"/>
    <x v="2"/>
    <x v="0"/>
  </r>
  <r>
    <n v="5715"/>
    <x v="481"/>
    <s v="Customer payment received"/>
    <x v="2167"/>
    <s v="0.0"/>
    <x v="0"/>
    <x v="0"/>
  </r>
  <r>
    <n v="5715"/>
    <x v="481"/>
    <s v="Customer payment received"/>
    <x v="273"/>
    <s v="3237.08"/>
    <x v="2"/>
    <x v="0"/>
  </r>
  <r>
    <n v="5716"/>
    <x v="481"/>
    <s v="Customer payment received"/>
    <x v="2175"/>
    <s v="0.0"/>
    <x v="0"/>
    <x v="0"/>
  </r>
  <r>
    <n v="5716"/>
    <x v="481"/>
    <s v="Customer payment received"/>
    <x v="273"/>
    <s v="350.49"/>
    <x v="2"/>
    <x v="0"/>
  </r>
  <r>
    <n v="5717"/>
    <x v="481"/>
    <s v="Customer payment received"/>
    <x v="2181"/>
    <s v="0.0"/>
    <x v="0"/>
    <x v="0"/>
  </r>
  <r>
    <n v="5717"/>
    <x v="481"/>
    <s v="Customer payment received"/>
    <x v="273"/>
    <s v="2572.13"/>
    <x v="2"/>
    <x v="0"/>
  </r>
  <r>
    <n v="5718"/>
    <x v="481"/>
    <s v="Customer payment received"/>
    <x v="2216"/>
    <s v="0.0"/>
    <x v="0"/>
    <x v="0"/>
  </r>
  <r>
    <n v="5718"/>
    <x v="481"/>
    <s v="Customer payment received"/>
    <x v="273"/>
    <s v="3227.16"/>
    <x v="2"/>
    <x v="0"/>
  </r>
  <r>
    <n v="5719"/>
    <x v="481"/>
    <s v="Customer payment received"/>
    <x v="1440"/>
    <s v="0.0"/>
    <x v="0"/>
    <x v="0"/>
  </r>
  <r>
    <n v="5719"/>
    <x v="481"/>
    <s v="Customer payment received"/>
    <x v="273"/>
    <s v="411.83"/>
    <x v="2"/>
    <x v="0"/>
  </r>
  <r>
    <n v="5720"/>
    <x v="481"/>
    <s v="Customer payment received"/>
    <x v="401"/>
    <s v="0.0"/>
    <x v="0"/>
    <x v="0"/>
  </r>
  <r>
    <n v="5720"/>
    <x v="481"/>
    <s v="Customer payment received"/>
    <x v="273"/>
    <s v="2366.01"/>
    <x v="2"/>
    <x v="0"/>
  </r>
  <r>
    <n v="5721"/>
    <x v="481"/>
    <s v="Customer payment received"/>
    <x v="2275"/>
    <s v="0.0"/>
    <x v="0"/>
    <x v="0"/>
  </r>
  <r>
    <n v="5721"/>
    <x v="481"/>
    <s v="Customer payment received"/>
    <x v="273"/>
    <s v="2505.5"/>
    <x v="2"/>
    <x v="0"/>
  </r>
  <r>
    <n v="5722"/>
    <x v="481"/>
    <s v="Customer payment received"/>
    <x v="2297"/>
    <s v="0.0"/>
    <x v="0"/>
    <x v="0"/>
  </r>
  <r>
    <n v="5722"/>
    <x v="481"/>
    <s v="Customer payment received"/>
    <x v="273"/>
    <s v="3772.15"/>
    <x v="2"/>
    <x v="0"/>
  </r>
  <r>
    <n v="5723"/>
    <x v="481"/>
    <s v="Supplier invoice received"/>
    <x v="443"/>
    <s v="0.0"/>
    <x v="9"/>
    <x v="4"/>
  </r>
  <r>
    <n v="5723"/>
    <x v="481"/>
    <s v="Supplier invoice received"/>
    <x v="444"/>
    <s v="0.0"/>
    <x v="10"/>
    <x v="0"/>
  </r>
  <r>
    <n v="5723"/>
    <x v="481"/>
    <s v="Supplier invoice received"/>
    <x v="273"/>
    <s v="748.26"/>
    <x v="11"/>
    <x v="3"/>
  </r>
  <r>
    <n v="5724"/>
    <x v="481"/>
    <s v="Supplier invoice received"/>
    <x v="332"/>
    <s v="0.0"/>
    <x v="9"/>
    <x v="4"/>
  </r>
  <r>
    <n v="5724"/>
    <x v="481"/>
    <s v="Supplier invoice received"/>
    <x v="333"/>
    <s v="0.0"/>
    <x v="10"/>
    <x v="0"/>
  </r>
  <r>
    <n v="5724"/>
    <x v="481"/>
    <s v="Supplier invoice received"/>
    <x v="273"/>
    <s v="1023.42"/>
    <x v="11"/>
    <x v="3"/>
  </r>
  <r>
    <n v="5725"/>
    <x v="481"/>
    <s v="Supplier invoice received"/>
    <x v="284"/>
    <s v="0.0"/>
    <x v="9"/>
    <x v="4"/>
  </r>
  <r>
    <n v="5725"/>
    <x v="481"/>
    <s v="Supplier invoice received"/>
    <x v="285"/>
    <s v="0.0"/>
    <x v="10"/>
    <x v="0"/>
  </r>
  <r>
    <n v="5725"/>
    <x v="481"/>
    <s v="Supplier invoice received"/>
    <x v="273"/>
    <s v="9336.67"/>
    <x v="11"/>
    <x v="3"/>
  </r>
  <r>
    <n v="5726"/>
    <x v="481"/>
    <s v="Supplier invoice received"/>
    <x v="461"/>
    <s v="0.0"/>
    <x v="9"/>
    <x v="4"/>
  </r>
  <r>
    <n v="5726"/>
    <x v="481"/>
    <s v="Supplier invoice received"/>
    <x v="462"/>
    <s v="0.0"/>
    <x v="10"/>
    <x v="0"/>
  </r>
  <r>
    <n v="5726"/>
    <x v="481"/>
    <s v="Supplier invoice received"/>
    <x v="273"/>
    <s v="2182.41"/>
    <x v="11"/>
    <x v="3"/>
  </r>
  <r>
    <n v="5727"/>
    <x v="481"/>
    <s v="Supplier invoice received"/>
    <x v="448"/>
    <s v="0.0"/>
    <x v="9"/>
    <x v="4"/>
  </r>
  <r>
    <n v="5727"/>
    <x v="481"/>
    <s v="Supplier invoice received"/>
    <x v="449"/>
    <s v="0.0"/>
    <x v="10"/>
    <x v="0"/>
  </r>
  <r>
    <n v="5727"/>
    <x v="481"/>
    <s v="Supplier invoice received"/>
    <x v="273"/>
    <s v="7227.44"/>
    <x v="11"/>
    <x v="3"/>
  </r>
  <r>
    <n v="5728"/>
    <x v="481"/>
    <s v="Supplier invoice received"/>
    <x v="305"/>
    <s v="0.0"/>
    <x v="9"/>
    <x v="4"/>
  </r>
  <r>
    <n v="5728"/>
    <x v="481"/>
    <s v="Supplier invoice received"/>
    <x v="306"/>
    <s v="0.0"/>
    <x v="10"/>
    <x v="0"/>
  </r>
  <r>
    <n v="5728"/>
    <x v="481"/>
    <s v="Supplier invoice received"/>
    <x v="273"/>
    <s v="276.32"/>
    <x v="11"/>
    <x v="3"/>
  </r>
  <r>
    <n v="5729"/>
    <x v="481"/>
    <s v="Supplier invoice received"/>
    <x v="474"/>
    <s v="0.0"/>
    <x v="9"/>
    <x v="4"/>
  </r>
  <r>
    <n v="5729"/>
    <x v="481"/>
    <s v="Supplier invoice received"/>
    <x v="475"/>
    <s v="0.0"/>
    <x v="10"/>
    <x v="0"/>
  </r>
  <r>
    <n v="5729"/>
    <x v="481"/>
    <s v="Supplier invoice received"/>
    <x v="273"/>
    <s v="862.91"/>
    <x v="11"/>
    <x v="3"/>
  </r>
  <r>
    <n v="5730"/>
    <x v="481"/>
    <s v="Supplier payment made"/>
    <x v="393"/>
    <s v="0.0"/>
    <x v="11"/>
    <x v="3"/>
  </r>
  <r>
    <n v="5730"/>
    <x v="481"/>
    <s v="Supplier payment made"/>
    <x v="273"/>
    <s v="412.54"/>
    <x v="0"/>
    <x v="0"/>
  </r>
  <r>
    <n v="5731"/>
    <x v="482"/>
    <s v="Sales invoice issued"/>
    <x v="2306"/>
    <s v="0.0"/>
    <x v="2"/>
    <x v="0"/>
  </r>
  <r>
    <n v="5731"/>
    <x v="482"/>
    <s v="Sales invoice issued"/>
    <x v="273"/>
    <s v="1507.14"/>
    <x v="3"/>
    <x v="2"/>
  </r>
  <r>
    <n v="5731"/>
    <x v="482"/>
    <s v="Sales invoice issued"/>
    <x v="273"/>
    <s v="113.04"/>
    <x v="4"/>
    <x v="3"/>
  </r>
  <r>
    <n v="5732"/>
    <x v="482"/>
    <s v="Sales invoice issued"/>
    <x v="2307"/>
    <s v="0.0"/>
    <x v="2"/>
    <x v="0"/>
  </r>
  <r>
    <n v="5732"/>
    <x v="482"/>
    <s v="Sales invoice issued"/>
    <x v="273"/>
    <s v="1589.49"/>
    <x v="3"/>
    <x v="2"/>
  </r>
  <r>
    <n v="5732"/>
    <x v="482"/>
    <s v="Sales invoice issued"/>
    <x v="273"/>
    <s v="119.21"/>
    <x v="4"/>
    <x v="3"/>
  </r>
  <r>
    <n v="5733"/>
    <x v="482"/>
    <s v="Sales invoice issued"/>
    <x v="2308"/>
    <s v="0.0"/>
    <x v="2"/>
    <x v="0"/>
  </r>
  <r>
    <n v="5733"/>
    <x v="482"/>
    <s v="Sales invoice issued"/>
    <x v="273"/>
    <s v="2342.84"/>
    <x v="3"/>
    <x v="2"/>
  </r>
  <r>
    <n v="5733"/>
    <x v="482"/>
    <s v="Sales invoice issued"/>
    <x v="273"/>
    <s v="175.73"/>
    <x v="4"/>
    <x v="3"/>
  </r>
  <r>
    <n v="5734"/>
    <x v="482"/>
    <s v="Sales invoice issued"/>
    <x v="2309"/>
    <s v="0.0"/>
    <x v="2"/>
    <x v="0"/>
  </r>
  <r>
    <n v="5734"/>
    <x v="482"/>
    <s v="Sales invoice issued"/>
    <x v="273"/>
    <s v="1141.92"/>
    <x v="3"/>
    <x v="2"/>
  </r>
  <r>
    <n v="5734"/>
    <x v="482"/>
    <s v="Sales invoice issued"/>
    <x v="273"/>
    <s v="85.64"/>
    <x v="4"/>
    <x v="3"/>
  </r>
  <r>
    <n v="5735"/>
    <x v="482"/>
    <s v="Sales invoice issued"/>
    <x v="2310"/>
    <s v="0.0"/>
    <x v="2"/>
    <x v="0"/>
  </r>
  <r>
    <n v="5735"/>
    <x v="482"/>
    <s v="Sales invoice issued"/>
    <x v="273"/>
    <s v="1536.29"/>
    <x v="3"/>
    <x v="2"/>
  </r>
  <r>
    <n v="5735"/>
    <x v="482"/>
    <s v="Sales invoice issued"/>
    <x v="273"/>
    <s v="115.22"/>
    <x v="4"/>
    <x v="3"/>
  </r>
  <r>
    <n v="5736"/>
    <x v="482"/>
    <s v="Sales invoice issued"/>
    <x v="2311"/>
    <s v="0.0"/>
    <x v="2"/>
    <x v="0"/>
  </r>
  <r>
    <n v="5736"/>
    <x v="482"/>
    <s v="Sales invoice issued"/>
    <x v="273"/>
    <s v="3713.19"/>
    <x v="3"/>
    <x v="2"/>
  </r>
  <r>
    <n v="5736"/>
    <x v="482"/>
    <s v="Sales invoice issued"/>
    <x v="273"/>
    <s v="278.49"/>
    <x v="4"/>
    <x v="3"/>
  </r>
  <r>
    <n v="5737"/>
    <x v="482"/>
    <s v="Customer payment received"/>
    <x v="2312"/>
    <s v="0.0"/>
    <x v="0"/>
    <x v="0"/>
  </r>
  <r>
    <n v="5737"/>
    <x v="482"/>
    <s v="Customer payment received"/>
    <x v="273"/>
    <s v="2492.71"/>
    <x v="2"/>
    <x v="0"/>
  </r>
  <r>
    <n v="5738"/>
    <x v="482"/>
    <s v="Customer payment received"/>
    <x v="2087"/>
    <s v="0.0"/>
    <x v="0"/>
    <x v="0"/>
  </r>
  <r>
    <n v="5738"/>
    <x v="482"/>
    <s v="Customer payment received"/>
    <x v="273"/>
    <s v="3349.86"/>
    <x v="2"/>
    <x v="0"/>
  </r>
  <r>
    <n v="5739"/>
    <x v="482"/>
    <s v="Customer payment received"/>
    <x v="2143"/>
    <s v="0.0"/>
    <x v="0"/>
    <x v="0"/>
  </r>
  <r>
    <n v="5739"/>
    <x v="482"/>
    <s v="Customer payment received"/>
    <x v="273"/>
    <s v="2798.08"/>
    <x v="2"/>
    <x v="0"/>
  </r>
  <r>
    <n v="5740"/>
    <x v="482"/>
    <s v="Customer payment received"/>
    <x v="2176"/>
    <s v="0.0"/>
    <x v="0"/>
    <x v="0"/>
  </r>
  <r>
    <n v="5740"/>
    <x v="482"/>
    <s v="Customer payment received"/>
    <x v="273"/>
    <s v="2912.37"/>
    <x v="2"/>
    <x v="0"/>
  </r>
  <r>
    <n v="5741"/>
    <x v="482"/>
    <s v="Customer payment received"/>
    <x v="2205"/>
    <s v="0.0"/>
    <x v="0"/>
    <x v="0"/>
  </r>
  <r>
    <n v="5741"/>
    <x v="482"/>
    <s v="Customer payment received"/>
    <x v="273"/>
    <s v="4187.48"/>
    <x v="2"/>
    <x v="0"/>
  </r>
  <r>
    <n v="5742"/>
    <x v="482"/>
    <s v="Customer payment received"/>
    <x v="2221"/>
    <s v="0.0"/>
    <x v="0"/>
    <x v="0"/>
  </r>
  <r>
    <n v="5742"/>
    <x v="482"/>
    <s v="Customer payment received"/>
    <x v="273"/>
    <s v="3714.51"/>
    <x v="2"/>
    <x v="0"/>
  </r>
  <r>
    <n v="5743"/>
    <x v="482"/>
    <s v="Customer payment received"/>
    <x v="2277"/>
    <s v="0.0"/>
    <x v="0"/>
    <x v="0"/>
  </r>
  <r>
    <n v="5743"/>
    <x v="482"/>
    <s v="Customer payment received"/>
    <x v="273"/>
    <s v="4379.53"/>
    <x v="2"/>
    <x v="0"/>
  </r>
  <r>
    <n v="5744"/>
    <x v="482"/>
    <s v="Supplier invoice received"/>
    <x v="405"/>
    <s v="0.0"/>
    <x v="9"/>
    <x v="4"/>
  </r>
  <r>
    <n v="5744"/>
    <x v="482"/>
    <s v="Supplier invoice received"/>
    <x v="406"/>
    <s v="0.0"/>
    <x v="10"/>
    <x v="0"/>
  </r>
  <r>
    <n v="5744"/>
    <x v="482"/>
    <s v="Supplier invoice received"/>
    <x v="273"/>
    <s v="2635.36"/>
    <x v="11"/>
    <x v="3"/>
  </r>
  <r>
    <n v="5745"/>
    <x v="482"/>
    <s v="Supplier invoice received"/>
    <x v="445"/>
    <s v="0.0"/>
    <x v="9"/>
    <x v="4"/>
  </r>
  <r>
    <n v="5745"/>
    <x v="482"/>
    <s v="Supplier invoice received"/>
    <x v="446"/>
    <s v="0.0"/>
    <x v="10"/>
    <x v="0"/>
  </r>
  <r>
    <n v="5745"/>
    <x v="482"/>
    <s v="Supplier invoice received"/>
    <x v="273"/>
    <s v="1794.11"/>
    <x v="11"/>
    <x v="3"/>
  </r>
  <r>
    <n v="5746"/>
    <x v="482"/>
    <s v="Supplier payment made"/>
    <x v="318"/>
    <s v="0.0"/>
    <x v="11"/>
    <x v="3"/>
  </r>
  <r>
    <n v="5746"/>
    <x v="482"/>
    <s v="Supplier payment made"/>
    <x v="273"/>
    <s v="2504.23"/>
    <x v="0"/>
    <x v="0"/>
  </r>
  <r>
    <n v="5747"/>
    <x v="482"/>
    <s v="Supplier payment made"/>
    <x v="340"/>
    <s v="0.0"/>
    <x v="11"/>
    <x v="3"/>
  </r>
  <r>
    <n v="5747"/>
    <x v="482"/>
    <s v="Supplier payment made"/>
    <x v="273"/>
    <s v="1304.62"/>
    <x v="0"/>
    <x v="0"/>
  </r>
  <r>
    <n v="5748"/>
    <x v="482"/>
    <s v="Supplier payment made"/>
    <x v="496"/>
    <s v="0.0"/>
    <x v="11"/>
    <x v="3"/>
  </r>
  <r>
    <n v="5748"/>
    <x v="482"/>
    <s v="Supplier payment made"/>
    <x v="273"/>
    <s v="7227.44"/>
    <x v="0"/>
    <x v="0"/>
  </r>
  <r>
    <n v="5749"/>
    <x v="483"/>
    <s v="Sales invoice issued"/>
    <x v="2313"/>
    <s v="0.0"/>
    <x v="2"/>
    <x v="0"/>
  </r>
  <r>
    <n v="5749"/>
    <x v="483"/>
    <s v="Sales invoice issued"/>
    <x v="273"/>
    <s v="3899.89"/>
    <x v="3"/>
    <x v="2"/>
  </r>
  <r>
    <n v="5749"/>
    <x v="483"/>
    <s v="Sales invoice issued"/>
    <x v="273"/>
    <s v="292.49"/>
    <x v="4"/>
    <x v="3"/>
  </r>
  <r>
    <n v="5750"/>
    <x v="483"/>
    <s v="Sales invoice issued"/>
    <x v="1271"/>
    <s v="0.0"/>
    <x v="2"/>
    <x v="0"/>
  </r>
  <r>
    <n v="5750"/>
    <x v="483"/>
    <s v="Sales invoice issued"/>
    <x v="273"/>
    <s v="135.36"/>
    <x v="3"/>
    <x v="2"/>
  </r>
  <r>
    <n v="5750"/>
    <x v="483"/>
    <s v="Sales invoice issued"/>
    <x v="273"/>
    <s v="10.15"/>
    <x v="4"/>
    <x v="3"/>
  </r>
  <r>
    <n v="5751"/>
    <x v="483"/>
    <s v="Sales invoice issued"/>
    <x v="983"/>
    <s v="0.0"/>
    <x v="2"/>
    <x v="0"/>
  </r>
  <r>
    <n v="5751"/>
    <x v="483"/>
    <s v="Sales invoice issued"/>
    <x v="273"/>
    <s v="138.42"/>
    <x v="3"/>
    <x v="2"/>
  </r>
  <r>
    <n v="5751"/>
    <x v="483"/>
    <s v="Sales invoice issued"/>
    <x v="273"/>
    <s v="10.38"/>
    <x v="4"/>
    <x v="3"/>
  </r>
  <r>
    <n v="5752"/>
    <x v="483"/>
    <s v="Sales invoice issued"/>
    <x v="2314"/>
    <s v="0.0"/>
    <x v="2"/>
    <x v="0"/>
  </r>
  <r>
    <n v="5752"/>
    <x v="483"/>
    <s v="Sales invoice issued"/>
    <x v="273"/>
    <s v="1588.02"/>
    <x v="3"/>
    <x v="2"/>
  </r>
  <r>
    <n v="5752"/>
    <x v="483"/>
    <s v="Sales invoice issued"/>
    <x v="273"/>
    <s v="119.1"/>
    <x v="4"/>
    <x v="3"/>
  </r>
  <r>
    <n v="5753"/>
    <x v="483"/>
    <s v="Sales invoice issued"/>
    <x v="2315"/>
    <s v="0.0"/>
    <x v="2"/>
    <x v="0"/>
  </r>
  <r>
    <n v="5753"/>
    <x v="483"/>
    <s v="Sales invoice issued"/>
    <x v="273"/>
    <s v="2486.78"/>
    <x v="3"/>
    <x v="2"/>
  </r>
  <r>
    <n v="5753"/>
    <x v="483"/>
    <s v="Sales invoice issued"/>
    <x v="273"/>
    <s v="186.5"/>
    <x v="4"/>
    <x v="3"/>
  </r>
  <r>
    <n v="5754"/>
    <x v="483"/>
    <s v="Sales invoice issued"/>
    <x v="2316"/>
    <s v="0.0"/>
    <x v="2"/>
    <x v="0"/>
  </r>
  <r>
    <n v="5754"/>
    <x v="483"/>
    <s v="Sales invoice issued"/>
    <x v="273"/>
    <s v="2639.42"/>
    <x v="3"/>
    <x v="2"/>
  </r>
  <r>
    <n v="5754"/>
    <x v="483"/>
    <s v="Sales invoice issued"/>
    <x v="273"/>
    <s v="197.96"/>
    <x v="4"/>
    <x v="3"/>
  </r>
  <r>
    <n v="5755"/>
    <x v="483"/>
    <s v="Sales invoice issued"/>
    <x v="2317"/>
    <s v="0.0"/>
    <x v="2"/>
    <x v="0"/>
  </r>
  <r>
    <n v="5755"/>
    <x v="483"/>
    <s v="Sales invoice issued"/>
    <x v="273"/>
    <s v="461.13"/>
    <x v="3"/>
    <x v="2"/>
  </r>
  <r>
    <n v="5755"/>
    <x v="483"/>
    <s v="Sales invoice issued"/>
    <x v="273"/>
    <s v="34.59"/>
    <x v="4"/>
    <x v="3"/>
  </r>
  <r>
    <n v="5756"/>
    <x v="483"/>
    <s v="Sales invoice issued"/>
    <x v="2318"/>
    <s v="0.0"/>
    <x v="2"/>
    <x v="0"/>
  </r>
  <r>
    <n v="5756"/>
    <x v="483"/>
    <s v="Sales invoice issued"/>
    <x v="273"/>
    <s v="278.85"/>
    <x v="3"/>
    <x v="2"/>
  </r>
  <r>
    <n v="5756"/>
    <x v="483"/>
    <s v="Sales invoice issued"/>
    <x v="273"/>
    <s v="20.91"/>
    <x v="4"/>
    <x v="3"/>
  </r>
  <r>
    <n v="5757"/>
    <x v="483"/>
    <s v="Sales invoice issued"/>
    <x v="1767"/>
    <s v="0.0"/>
    <x v="2"/>
    <x v="0"/>
  </r>
  <r>
    <n v="5757"/>
    <x v="483"/>
    <s v="Sales invoice issued"/>
    <x v="273"/>
    <s v="718.18"/>
    <x v="3"/>
    <x v="2"/>
  </r>
  <r>
    <n v="5757"/>
    <x v="483"/>
    <s v="Sales invoice issued"/>
    <x v="273"/>
    <s v="53.86"/>
    <x v="4"/>
    <x v="3"/>
  </r>
  <r>
    <n v="5758"/>
    <x v="483"/>
    <s v="Sales invoice issued"/>
    <x v="2319"/>
    <s v="0.0"/>
    <x v="2"/>
    <x v="0"/>
  </r>
  <r>
    <n v="5758"/>
    <x v="483"/>
    <s v="Sales invoice issued"/>
    <x v="273"/>
    <s v="3476.14"/>
    <x v="3"/>
    <x v="2"/>
  </r>
  <r>
    <n v="5758"/>
    <x v="483"/>
    <s v="Sales invoice issued"/>
    <x v="273"/>
    <s v="260.72"/>
    <x v="4"/>
    <x v="3"/>
  </r>
  <r>
    <n v="5759"/>
    <x v="483"/>
    <s v="Customer payment received"/>
    <x v="2031"/>
    <s v="0.0"/>
    <x v="0"/>
    <x v="0"/>
  </r>
  <r>
    <n v="5759"/>
    <x v="483"/>
    <s v="Customer payment received"/>
    <x v="273"/>
    <s v="1225.29"/>
    <x v="2"/>
    <x v="0"/>
  </r>
  <r>
    <n v="5760"/>
    <x v="483"/>
    <s v="Customer payment received"/>
    <x v="2170"/>
    <s v="0.0"/>
    <x v="0"/>
    <x v="0"/>
  </r>
  <r>
    <n v="5760"/>
    <x v="483"/>
    <s v="Customer payment received"/>
    <x v="273"/>
    <s v="1636.82"/>
    <x v="2"/>
    <x v="0"/>
  </r>
  <r>
    <n v="5761"/>
    <x v="483"/>
    <s v="Customer payment received"/>
    <x v="2192"/>
    <s v="0.0"/>
    <x v="0"/>
    <x v="0"/>
  </r>
  <r>
    <n v="5761"/>
    <x v="483"/>
    <s v="Customer payment received"/>
    <x v="273"/>
    <s v="1358.81"/>
    <x v="2"/>
    <x v="0"/>
  </r>
  <r>
    <n v="5762"/>
    <x v="483"/>
    <s v="Customer payment received"/>
    <x v="2202"/>
    <s v="0.0"/>
    <x v="0"/>
    <x v="0"/>
  </r>
  <r>
    <n v="5762"/>
    <x v="483"/>
    <s v="Customer payment received"/>
    <x v="273"/>
    <s v="2091.27"/>
    <x v="2"/>
    <x v="0"/>
  </r>
  <r>
    <n v="5763"/>
    <x v="483"/>
    <s v="Customer payment received"/>
    <x v="2240"/>
    <s v="0.0"/>
    <x v="0"/>
    <x v="0"/>
  </r>
  <r>
    <n v="5763"/>
    <x v="483"/>
    <s v="Customer payment received"/>
    <x v="273"/>
    <s v="235.9"/>
    <x v="2"/>
    <x v="0"/>
  </r>
  <r>
    <n v="5764"/>
    <x v="483"/>
    <s v="Customer payment received"/>
    <x v="2247"/>
    <s v="0.0"/>
    <x v="0"/>
    <x v="0"/>
  </r>
  <r>
    <n v="5764"/>
    <x v="483"/>
    <s v="Customer payment received"/>
    <x v="273"/>
    <s v="90.38"/>
    <x v="2"/>
    <x v="0"/>
  </r>
  <r>
    <n v="5765"/>
    <x v="483"/>
    <s v="Customer payment received"/>
    <x v="1271"/>
    <s v="0.0"/>
    <x v="0"/>
    <x v="0"/>
  </r>
  <r>
    <n v="5765"/>
    <x v="483"/>
    <s v="Customer payment received"/>
    <x v="273"/>
    <s v="145.51"/>
    <x v="2"/>
    <x v="0"/>
  </r>
  <r>
    <n v="5766"/>
    <x v="483"/>
    <s v="Customer payment received"/>
    <x v="2318"/>
    <s v="0.0"/>
    <x v="0"/>
    <x v="0"/>
  </r>
  <r>
    <n v="5766"/>
    <x v="483"/>
    <s v="Customer payment received"/>
    <x v="273"/>
    <s v="299.76"/>
    <x v="2"/>
    <x v="0"/>
  </r>
  <r>
    <n v="5767"/>
    <x v="483"/>
    <s v="Supplier payment made"/>
    <x v="336"/>
    <s v="0.0"/>
    <x v="11"/>
    <x v="3"/>
  </r>
  <r>
    <n v="5767"/>
    <x v="483"/>
    <s v="Supplier payment made"/>
    <x v="273"/>
    <s v="2093.28"/>
    <x v="0"/>
    <x v="0"/>
  </r>
  <r>
    <n v="5768"/>
    <x v="483"/>
    <s v="Supplier payment made"/>
    <x v="280"/>
    <s v="0.0"/>
    <x v="11"/>
    <x v="3"/>
  </r>
  <r>
    <n v="5768"/>
    <x v="483"/>
    <s v="Supplier payment made"/>
    <x v="273"/>
    <s v="2635.36"/>
    <x v="0"/>
    <x v="0"/>
  </r>
  <r>
    <n v="5769"/>
    <x v="484"/>
    <s v="Payroll processed"/>
    <x v="2320"/>
    <s v="0.0"/>
    <x v="5"/>
    <x v="4"/>
  </r>
  <r>
    <n v="5769"/>
    <x v="484"/>
    <s v="Payroll processed"/>
    <x v="2321"/>
    <s v="0.0"/>
    <x v="6"/>
    <x v="4"/>
  </r>
  <r>
    <n v="5769"/>
    <x v="484"/>
    <s v="Payroll processed"/>
    <x v="273"/>
    <s v="18366.32"/>
    <x v="0"/>
    <x v="0"/>
  </r>
  <r>
    <n v="5769"/>
    <x v="484"/>
    <s v="Payroll processed"/>
    <x v="273"/>
    <s v="4352.58"/>
    <x v="7"/>
    <x v="3"/>
  </r>
  <r>
    <n v="5769"/>
    <x v="484"/>
    <s v="Payroll processed"/>
    <x v="273"/>
    <s v="908.76"/>
    <x v="8"/>
    <x v="3"/>
  </r>
  <r>
    <n v="5770"/>
    <x v="484"/>
    <s v="Sales invoice issued"/>
    <x v="2322"/>
    <s v="0.0"/>
    <x v="2"/>
    <x v="0"/>
  </r>
  <r>
    <n v="5770"/>
    <x v="484"/>
    <s v="Sales invoice issued"/>
    <x v="273"/>
    <s v="2700.95"/>
    <x v="3"/>
    <x v="2"/>
  </r>
  <r>
    <n v="5770"/>
    <x v="484"/>
    <s v="Sales invoice issued"/>
    <x v="273"/>
    <s v="202.57"/>
    <x v="4"/>
    <x v="3"/>
  </r>
  <r>
    <n v="5771"/>
    <x v="484"/>
    <s v="Sales invoice issued"/>
    <x v="2323"/>
    <s v="0.0"/>
    <x v="2"/>
    <x v="0"/>
  </r>
  <r>
    <n v="5771"/>
    <x v="484"/>
    <s v="Sales invoice issued"/>
    <x v="273"/>
    <s v="3486.3"/>
    <x v="3"/>
    <x v="2"/>
  </r>
  <r>
    <n v="5771"/>
    <x v="484"/>
    <s v="Sales invoice issued"/>
    <x v="273"/>
    <s v="261.46"/>
    <x v="4"/>
    <x v="3"/>
  </r>
  <r>
    <n v="5772"/>
    <x v="484"/>
    <s v="Sales invoice issued"/>
    <x v="2324"/>
    <s v="0.0"/>
    <x v="2"/>
    <x v="0"/>
  </r>
  <r>
    <n v="5772"/>
    <x v="484"/>
    <s v="Sales invoice issued"/>
    <x v="273"/>
    <s v="1786.61"/>
    <x v="3"/>
    <x v="2"/>
  </r>
  <r>
    <n v="5772"/>
    <x v="484"/>
    <s v="Sales invoice issued"/>
    <x v="273"/>
    <s v="133.99"/>
    <x v="4"/>
    <x v="3"/>
  </r>
  <r>
    <n v="5773"/>
    <x v="484"/>
    <s v="Sales invoice issued"/>
    <x v="282"/>
    <s v="0.0"/>
    <x v="2"/>
    <x v="0"/>
  </r>
  <r>
    <n v="5773"/>
    <x v="484"/>
    <s v="Sales invoice issued"/>
    <x v="273"/>
    <s v="652.08"/>
    <x v="3"/>
    <x v="2"/>
  </r>
  <r>
    <n v="5773"/>
    <x v="484"/>
    <s v="Sales invoice issued"/>
    <x v="273"/>
    <s v="48.91"/>
    <x v="4"/>
    <x v="3"/>
  </r>
  <r>
    <n v="5774"/>
    <x v="484"/>
    <s v="Sales invoice issued"/>
    <x v="2325"/>
    <s v="0.0"/>
    <x v="2"/>
    <x v="0"/>
  </r>
  <r>
    <n v="5774"/>
    <x v="484"/>
    <s v="Sales invoice issued"/>
    <x v="273"/>
    <s v="5960.46"/>
    <x v="3"/>
    <x v="2"/>
  </r>
  <r>
    <n v="5774"/>
    <x v="484"/>
    <s v="Sales invoice issued"/>
    <x v="273"/>
    <s v="447.04"/>
    <x v="4"/>
    <x v="3"/>
  </r>
  <r>
    <n v="5775"/>
    <x v="484"/>
    <s v="Sales invoice issued"/>
    <x v="2326"/>
    <s v="0.0"/>
    <x v="2"/>
    <x v="0"/>
  </r>
  <r>
    <n v="5775"/>
    <x v="484"/>
    <s v="Sales invoice issued"/>
    <x v="273"/>
    <s v="3244.2"/>
    <x v="3"/>
    <x v="2"/>
  </r>
  <r>
    <n v="5775"/>
    <x v="484"/>
    <s v="Sales invoice issued"/>
    <x v="273"/>
    <s v="243.31"/>
    <x v="4"/>
    <x v="3"/>
  </r>
  <r>
    <n v="5776"/>
    <x v="484"/>
    <s v="Sales invoice issued"/>
    <x v="2327"/>
    <s v="0.0"/>
    <x v="2"/>
    <x v="0"/>
  </r>
  <r>
    <n v="5776"/>
    <x v="484"/>
    <s v="Sales invoice issued"/>
    <x v="273"/>
    <s v="3366.55"/>
    <x v="3"/>
    <x v="2"/>
  </r>
  <r>
    <n v="5776"/>
    <x v="484"/>
    <s v="Sales invoice issued"/>
    <x v="273"/>
    <s v="252.49"/>
    <x v="4"/>
    <x v="3"/>
  </r>
  <r>
    <n v="5777"/>
    <x v="484"/>
    <s v="Sales invoice issued"/>
    <x v="2328"/>
    <s v="0.0"/>
    <x v="2"/>
    <x v="0"/>
  </r>
  <r>
    <n v="5777"/>
    <x v="484"/>
    <s v="Sales invoice issued"/>
    <x v="273"/>
    <s v="3766.39"/>
    <x v="3"/>
    <x v="2"/>
  </r>
  <r>
    <n v="5777"/>
    <x v="484"/>
    <s v="Sales invoice issued"/>
    <x v="273"/>
    <s v="282.48"/>
    <x v="4"/>
    <x v="3"/>
  </r>
  <r>
    <n v="5778"/>
    <x v="484"/>
    <s v="Sales invoice issued"/>
    <x v="2329"/>
    <s v="0.0"/>
    <x v="2"/>
    <x v="0"/>
  </r>
  <r>
    <n v="5778"/>
    <x v="484"/>
    <s v="Sales invoice issued"/>
    <x v="273"/>
    <s v="2997.9"/>
    <x v="3"/>
    <x v="2"/>
  </r>
  <r>
    <n v="5778"/>
    <x v="484"/>
    <s v="Sales invoice issued"/>
    <x v="273"/>
    <s v="224.84"/>
    <x v="4"/>
    <x v="3"/>
  </r>
  <r>
    <n v="5779"/>
    <x v="484"/>
    <s v="Sales invoice issued"/>
    <x v="2330"/>
    <s v="0.0"/>
    <x v="2"/>
    <x v="0"/>
  </r>
  <r>
    <n v="5779"/>
    <x v="484"/>
    <s v="Sales invoice issued"/>
    <x v="273"/>
    <s v="4043.8"/>
    <x v="3"/>
    <x v="2"/>
  </r>
  <r>
    <n v="5779"/>
    <x v="484"/>
    <s v="Sales invoice issued"/>
    <x v="273"/>
    <s v="303.29"/>
    <x v="4"/>
    <x v="3"/>
  </r>
  <r>
    <n v="5780"/>
    <x v="484"/>
    <s v="Sales invoice issued"/>
    <x v="2331"/>
    <s v="0.0"/>
    <x v="2"/>
    <x v="0"/>
  </r>
  <r>
    <n v="5780"/>
    <x v="484"/>
    <s v="Sales invoice issued"/>
    <x v="273"/>
    <s v="530.68"/>
    <x v="3"/>
    <x v="2"/>
  </r>
  <r>
    <n v="5780"/>
    <x v="484"/>
    <s v="Sales invoice issued"/>
    <x v="273"/>
    <s v="39.81"/>
    <x v="4"/>
    <x v="3"/>
  </r>
  <r>
    <n v="5781"/>
    <x v="484"/>
    <s v="Customer payment received"/>
    <x v="2189"/>
    <s v="0.0"/>
    <x v="0"/>
    <x v="0"/>
  </r>
  <r>
    <n v="5781"/>
    <x v="484"/>
    <s v="Customer payment received"/>
    <x v="273"/>
    <s v="96.36"/>
    <x v="2"/>
    <x v="0"/>
  </r>
  <r>
    <n v="5782"/>
    <x v="484"/>
    <s v="Customer payment received"/>
    <x v="509"/>
    <s v="0.0"/>
    <x v="0"/>
    <x v="0"/>
  </r>
  <r>
    <n v="5782"/>
    <x v="484"/>
    <s v="Customer payment received"/>
    <x v="273"/>
    <s v="108.02"/>
    <x v="2"/>
    <x v="0"/>
  </r>
  <r>
    <n v="5783"/>
    <x v="484"/>
    <s v="Customer payment received"/>
    <x v="2285"/>
    <s v="0.0"/>
    <x v="0"/>
    <x v="0"/>
  </r>
  <r>
    <n v="5783"/>
    <x v="484"/>
    <s v="Customer payment received"/>
    <x v="273"/>
    <s v="5102.57"/>
    <x v="2"/>
    <x v="0"/>
  </r>
  <r>
    <n v="5784"/>
    <x v="484"/>
    <s v="Customer payment received"/>
    <x v="983"/>
    <s v="0.0"/>
    <x v="0"/>
    <x v="0"/>
  </r>
  <r>
    <n v="5784"/>
    <x v="484"/>
    <s v="Customer payment received"/>
    <x v="273"/>
    <s v="148.8"/>
    <x v="2"/>
    <x v="0"/>
  </r>
  <r>
    <n v="5785"/>
    <x v="484"/>
    <s v="Customer payment received"/>
    <x v="2316"/>
    <s v="0.0"/>
    <x v="0"/>
    <x v="0"/>
  </r>
  <r>
    <n v="5785"/>
    <x v="484"/>
    <s v="Customer payment received"/>
    <x v="273"/>
    <s v="2837.38"/>
    <x v="2"/>
    <x v="0"/>
  </r>
  <r>
    <n v="5786"/>
    <x v="484"/>
    <s v="Customer payment received"/>
    <x v="2328"/>
    <s v="0.0"/>
    <x v="0"/>
    <x v="0"/>
  </r>
  <r>
    <n v="5786"/>
    <x v="484"/>
    <s v="Customer payment received"/>
    <x v="273"/>
    <s v="4048.87"/>
    <x v="2"/>
    <x v="0"/>
  </r>
  <r>
    <n v="5787"/>
    <x v="484"/>
    <s v="Supplier invoice received"/>
    <x v="299"/>
    <s v="0.0"/>
    <x v="9"/>
    <x v="4"/>
  </r>
  <r>
    <n v="5787"/>
    <x v="484"/>
    <s v="Supplier invoice received"/>
    <x v="300"/>
    <s v="0.0"/>
    <x v="10"/>
    <x v="0"/>
  </r>
  <r>
    <n v="5787"/>
    <x v="484"/>
    <s v="Supplier invoice received"/>
    <x v="273"/>
    <s v="2918.17"/>
    <x v="11"/>
    <x v="3"/>
  </r>
  <r>
    <n v="5788"/>
    <x v="484"/>
    <s v="Supplier invoice received"/>
    <x v="441"/>
    <s v="0.0"/>
    <x v="9"/>
    <x v="4"/>
  </r>
  <r>
    <n v="5788"/>
    <x v="484"/>
    <s v="Supplier invoice received"/>
    <x v="442"/>
    <s v="0.0"/>
    <x v="10"/>
    <x v="0"/>
  </r>
  <r>
    <n v="5788"/>
    <x v="484"/>
    <s v="Supplier invoice received"/>
    <x v="273"/>
    <s v="179.01"/>
    <x v="11"/>
    <x v="3"/>
  </r>
  <r>
    <n v="5789"/>
    <x v="484"/>
    <s v="Supplier payment made"/>
    <x v="280"/>
    <s v="0.0"/>
    <x v="11"/>
    <x v="3"/>
  </r>
  <r>
    <n v="5789"/>
    <x v="484"/>
    <s v="Supplier payment made"/>
    <x v="273"/>
    <s v="2635.36"/>
    <x v="0"/>
    <x v="0"/>
  </r>
  <r>
    <n v="5790"/>
    <x v="484"/>
    <s v="Supplier payment made"/>
    <x v="335"/>
    <s v="0.0"/>
    <x v="11"/>
    <x v="3"/>
  </r>
  <r>
    <n v="5790"/>
    <x v="484"/>
    <s v="Supplier payment made"/>
    <x v="273"/>
    <s v="550.4"/>
    <x v="0"/>
    <x v="0"/>
  </r>
  <r>
    <n v="5791"/>
    <x v="484"/>
    <s v="Supplier payment made"/>
    <x v="466"/>
    <s v="0.0"/>
    <x v="11"/>
    <x v="3"/>
  </r>
  <r>
    <n v="5791"/>
    <x v="484"/>
    <s v="Supplier payment made"/>
    <x v="273"/>
    <s v="748.26"/>
    <x v="0"/>
    <x v="0"/>
  </r>
  <r>
    <n v="5792"/>
    <x v="484"/>
    <s v="Supplier payment made"/>
    <x v="392"/>
    <s v="0.0"/>
    <x v="11"/>
    <x v="3"/>
  </r>
  <r>
    <n v="5792"/>
    <x v="484"/>
    <s v="Supplier payment made"/>
    <x v="273"/>
    <s v="1023.42"/>
    <x v="0"/>
    <x v="0"/>
  </r>
  <r>
    <n v="5793"/>
    <x v="485"/>
    <s v="Sales invoice issued"/>
    <x v="2332"/>
    <s v="0.0"/>
    <x v="2"/>
    <x v="0"/>
  </r>
  <r>
    <n v="5793"/>
    <x v="485"/>
    <s v="Sales invoice issued"/>
    <x v="273"/>
    <s v="1659.17"/>
    <x v="3"/>
    <x v="2"/>
  </r>
  <r>
    <n v="5793"/>
    <x v="485"/>
    <s v="Sales invoice issued"/>
    <x v="273"/>
    <s v="124.44"/>
    <x v="4"/>
    <x v="3"/>
  </r>
  <r>
    <n v="5794"/>
    <x v="485"/>
    <s v="Sales invoice issued"/>
    <x v="2333"/>
    <s v="0.0"/>
    <x v="2"/>
    <x v="0"/>
  </r>
  <r>
    <n v="5794"/>
    <x v="485"/>
    <s v="Sales invoice issued"/>
    <x v="273"/>
    <s v="4039.23"/>
    <x v="3"/>
    <x v="2"/>
  </r>
  <r>
    <n v="5794"/>
    <x v="485"/>
    <s v="Sales invoice issued"/>
    <x v="273"/>
    <s v="302.96"/>
    <x v="4"/>
    <x v="3"/>
  </r>
  <r>
    <n v="5795"/>
    <x v="485"/>
    <s v="Sales invoice issued"/>
    <x v="2334"/>
    <s v="0.0"/>
    <x v="2"/>
    <x v="0"/>
  </r>
  <r>
    <n v="5795"/>
    <x v="485"/>
    <s v="Sales invoice issued"/>
    <x v="273"/>
    <s v="2455.36"/>
    <x v="3"/>
    <x v="2"/>
  </r>
  <r>
    <n v="5795"/>
    <x v="485"/>
    <s v="Sales invoice issued"/>
    <x v="273"/>
    <s v="184.15"/>
    <x v="4"/>
    <x v="3"/>
  </r>
  <r>
    <n v="5796"/>
    <x v="485"/>
    <s v="Sales invoice issued"/>
    <x v="2335"/>
    <s v="0.0"/>
    <x v="2"/>
    <x v="0"/>
  </r>
  <r>
    <n v="5796"/>
    <x v="485"/>
    <s v="Sales invoice issued"/>
    <x v="273"/>
    <s v="1372.87"/>
    <x v="3"/>
    <x v="2"/>
  </r>
  <r>
    <n v="5796"/>
    <x v="485"/>
    <s v="Sales invoice issued"/>
    <x v="273"/>
    <s v="102.97"/>
    <x v="4"/>
    <x v="3"/>
  </r>
  <r>
    <n v="5797"/>
    <x v="485"/>
    <s v="Sales invoice issued"/>
    <x v="2336"/>
    <s v="0.0"/>
    <x v="2"/>
    <x v="0"/>
  </r>
  <r>
    <n v="5797"/>
    <x v="485"/>
    <s v="Sales invoice issued"/>
    <x v="273"/>
    <s v="4364.15"/>
    <x v="3"/>
    <x v="2"/>
  </r>
  <r>
    <n v="5797"/>
    <x v="485"/>
    <s v="Sales invoice issued"/>
    <x v="273"/>
    <s v="327.3"/>
    <x v="4"/>
    <x v="3"/>
  </r>
  <r>
    <n v="5798"/>
    <x v="485"/>
    <s v="Sales invoice issued"/>
    <x v="2337"/>
    <s v="0.0"/>
    <x v="2"/>
    <x v="0"/>
  </r>
  <r>
    <n v="5798"/>
    <x v="485"/>
    <s v="Sales invoice issued"/>
    <x v="273"/>
    <s v="1758.1"/>
    <x v="3"/>
    <x v="2"/>
  </r>
  <r>
    <n v="5798"/>
    <x v="485"/>
    <s v="Sales invoice issued"/>
    <x v="273"/>
    <s v="131.85"/>
    <x v="4"/>
    <x v="3"/>
  </r>
  <r>
    <n v="5799"/>
    <x v="485"/>
    <s v="Customer payment received"/>
    <x v="2091"/>
    <s v="0.0"/>
    <x v="0"/>
    <x v="0"/>
  </r>
  <r>
    <n v="5799"/>
    <x v="485"/>
    <s v="Customer payment received"/>
    <x v="273"/>
    <s v="3587.66"/>
    <x v="2"/>
    <x v="0"/>
  </r>
  <r>
    <n v="5800"/>
    <x v="485"/>
    <s v="Customer payment received"/>
    <x v="2097"/>
    <s v="0.0"/>
    <x v="0"/>
    <x v="0"/>
  </r>
  <r>
    <n v="5800"/>
    <x v="485"/>
    <s v="Customer payment received"/>
    <x v="273"/>
    <s v="2149.5"/>
    <x v="2"/>
    <x v="0"/>
  </r>
  <r>
    <n v="5801"/>
    <x v="485"/>
    <s v="Customer payment received"/>
    <x v="2135"/>
    <s v="0.0"/>
    <x v="0"/>
    <x v="0"/>
  </r>
  <r>
    <n v="5801"/>
    <x v="485"/>
    <s v="Customer payment received"/>
    <x v="273"/>
    <s v="1820.46"/>
    <x v="2"/>
    <x v="0"/>
  </r>
  <r>
    <n v="5802"/>
    <x v="485"/>
    <s v="Customer payment received"/>
    <x v="2193"/>
    <s v="0.0"/>
    <x v="0"/>
    <x v="0"/>
  </r>
  <r>
    <n v="5802"/>
    <x v="485"/>
    <s v="Customer payment received"/>
    <x v="273"/>
    <s v="2356.63"/>
    <x v="2"/>
    <x v="0"/>
  </r>
  <r>
    <n v="5803"/>
    <x v="485"/>
    <s v="Customer payment received"/>
    <x v="2273"/>
    <s v="0.0"/>
    <x v="0"/>
    <x v="0"/>
  </r>
  <r>
    <n v="5803"/>
    <x v="485"/>
    <s v="Customer payment received"/>
    <x v="273"/>
    <s v="2395.22"/>
    <x v="2"/>
    <x v="0"/>
  </r>
  <r>
    <n v="5804"/>
    <x v="485"/>
    <s v="Customer payment received"/>
    <x v="2292"/>
    <s v="0.0"/>
    <x v="0"/>
    <x v="0"/>
  </r>
  <r>
    <n v="5804"/>
    <x v="485"/>
    <s v="Customer payment received"/>
    <x v="273"/>
    <s v="2595.51"/>
    <x v="2"/>
    <x v="0"/>
  </r>
  <r>
    <n v="5805"/>
    <x v="485"/>
    <s v="Customer payment received"/>
    <x v="2317"/>
    <s v="0.0"/>
    <x v="0"/>
    <x v="0"/>
  </r>
  <r>
    <n v="5805"/>
    <x v="485"/>
    <s v="Customer payment received"/>
    <x v="273"/>
    <s v="495.72"/>
    <x v="2"/>
    <x v="0"/>
  </r>
  <r>
    <n v="5806"/>
    <x v="485"/>
    <s v="Customer payment received"/>
    <x v="2335"/>
    <s v="0.0"/>
    <x v="0"/>
    <x v="0"/>
  </r>
  <r>
    <n v="5806"/>
    <x v="485"/>
    <s v="Customer payment received"/>
    <x v="273"/>
    <s v="1475.84"/>
    <x v="2"/>
    <x v="0"/>
  </r>
  <r>
    <n v="5807"/>
    <x v="485"/>
    <s v="Supplier invoice received"/>
    <x v="372"/>
    <s v="0.0"/>
    <x v="9"/>
    <x v="4"/>
  </r>
  <r>
    <n v="5807"/>
    <x v="485"/>
    <s v="Supplier invoice received"/>
    <x v="373"/>
    <s v="0.0"/>
    <x v="10"/>
    <x v="0"/>
  </r>
  <r>
    <n v="5807"/>
    <x v="485"/>
    <s v="Supplier invoice received"/>
    <x v="273"/>
    <s v="412.54"/>
    <x v="11"/>
    <x v="3"/>
  </r>
  <r>
    <n v="5808"/>
    <x v="485"/>
    <s v="Supplier invoice received"/>
    <x v="303"/>
    <s v="0.0"/>
    <x v="9"/>
    <x v="4"/>
  </r>
  <r>
    <n v="5808"/>
    <x v="485"/>
    <s v="Supplier invoice received"/>
    <x v="304"/>
    <s v="0.0"/>
    <x v="10"/>
    <x v="0"/>
  </r>
  <r>
    <n v="5808"/>
    <x v="485"/>
    <s v="Supplier invoice received"/>
    <x v="273"/>
    <s v="550.4"/>
    <x v="11"/>
    <x v="3"/>
  </r>
  <r>
    <n v="5809"/>
    <x v="485"/>
    <s v="Supplier invoice received"/>
    <x v="325"/>
    <s v="0.0"/>
    <x v="9"/>
    <x v="4"/>
  </r>
  <r>
    <n v="5809"/>
    <x v="485"/>
    <s v="Supplier invoice received"/>
    <x v="326"/>
    <s v="0.0"/>
    <x v="10"/>
    <x v="0"/>
  </r>
  <r>
    <n v="5809"/>
    <x v="485"/>
    <s v="Supplier invoice received"/>
    <x v="273"/>
    <s v="1304.62"/>
    <x v="11"/>
    <x v="3"/>
  </r>
  <r>
    <n v="5810"/>
    <x v="485"/>
    <s v="Supplier payment made"/>
    <x v="340"/>
    <s v="0.0"/>
    <x v="11"/>
    <x v="3"/>
  </r>
  <r>
    <n v="5810"/>
    <x v="485"/>
    <s v="Supplier payment made"/>
    <x v="273"/>
    <s v="1304.62"/>
    <x v="0"/>
    <x v="0"/>
  </r>
  <r>
    <n v="5811"/>
    <x v="485"/>
    <s v="Supplier payment made"/>
    <x v="340"/>
    <s v="0.0"/>
    <x v="11"/>
    <x v="3"/>
  </r>
  <r>
    <n v="5811"/>
    <x v="485"/>
    <s v="Supplier payment made"/>
    <x v="273"/>
    <s v="1304.62"/>
    <x v="0"/>
    <x v="0"/>
  </r>
  <r>
    <n v="5812"/>
    <x v="486"/>
    <s v="Sales invoice issued"/>
    <x v="2338"/>
    <s v="0.0"/>
    <x v="2"/>
    <x v="0"/>
  </r>
  <r>
    <n v="5812"/>
    <x v="486"/>
    <s v="Sales invoice issued"/>
    <x v="273"/>
    <s v="1444.95"/>
    <x v="3"/>
    <x v="2"/>
  </r>
  <r>
    <n v="5812"/>
    <x v="486"/>
    <s v="Sales invoice issued"/>
    <x v="273"/>
    <s v="108.37"/>
    <x v="4"/>
    <x v="3"/>
  </r>
  <r>
    <n v="5813"/>
    <x v="486"/>
    <s v="Sales invoice issued"/>
    <x v="2339"/>
    <s v="0.0"/>
    <x v="2"/>
    <x v="0"/>
  </r>
  <r>
    <n v="5813"/>
    <x v="486"/>
    <s v="Sales invoice issued"/>
    <x v="273"/>
    <s v="1429.8"/>
    <x v="3"/>
    <x v="2"/>
  </r>
  <r>
    <n v="5813"/>
    <x v="486"/>
    <s v="Sales invoice issued"/>
    <x v="273"/>
    <s v="107.24"/>
    <x v="4"/>
    <x v="3"/>
  </r>
  <r>
    <n v="5814"/>
    <x v="486"/>
    <s v="Sales invoice issued"/>
    <x v="2340"/>
    <s v="0.0"/>
    <x v="2"/>
    <x v="0"/>
  </r>
  <r>
    <n v="5814"/>
    <x v="486"/>
    <s v="Sales invoice issued"/>
    <x v="273"/>
    <s v="2844.59"/>
    <x v="3"/>
    <x v="2"/>
  </r>
  <r>
    <n v="5814"/>
    <x v="486"/>
    <s v="Sales invoice issued"/>
    <x v="273"/>
    <s v="213.35"/>
    <x v="4"/>
    <x v="3"/>
  </r>
  <r>
    <n v="5815"/>
    <x v="486"/>
    <s v="Sales invoice issued"/>
    <x v="2341"/>
    <s v="0.0"/>
    <x v="2"/>
    <x v="0"/>
  </r>
  <r>
    <n v="5815"/>
    <x v="486"/>
    <s v="Sales invoice issued"/>
    <x v="273"/>
    <s v="4857.52"/>
    <x v="3"/>
    <x v="2"/>
  </r>
  <r>
    <n v="5815"/>
    <x v="486"/>
    <s v="Sales invoice issued"/>
    <x v="273"/>
    <s v="364.31"/>
    <x v="4"/>
    <x v="3"/>
  </r>
  <r>
    <n v="5816"/>
    <x v="486"/>
    <s v="Sales invoice issued"/>
    <x v="1841"/>
    <s v="0.0"/>
    <x v="2"/>
    <x v="0"/>
  </r>
  <r>
    <n v="5816"/>
    <x v="486"/>
    <s v="Sales invoice issued"/>
    <x v="273"/>
    <s v="897.72"/>
    <x v="3"/>
    <x v="2"/>
  </r>
  <r>
    <n v="5816"/>
    <x v="486"/>
    <s v="Sales invoice issued"/>
    <x v="273"/>
    <s v="67.33"/>
    <x v="4"/>
    <x v="3"/>
  </r>
  <r>
    <n v="5817"/>
    <x v="486"/>
    <s v="Sales invoice issued"/>
    <x v="2342"/>
    <s v="0.0"/>
    <x v="2"/>
    <x v="0"/>
  </r>
  <r>
    <n v="5817"/>
    <x v="486"/>
    <s v="Sales invoice issued"/>
    <x v="273"/>
    <s v="1849.41"/>
    <x v="3"/>
    <x v="2"/>
  </r>
  <r>
    <n v="5817"/>
    <x v="486"/>
    <s v="Sales invoice issued"/>
    <x v="273"/>
    <s v="138.69"/>
    <x v="4"/>
    <x v="3"/>
  </r>
  <r>
    <n v="5818"/>
    <x v="486"/>
    <s v="Sales invoice issued"/>
    <x v="2343"/>
    <s v="0.0"/>
    <x v="2"/>
    <x v="0"/>
  </r>
  <r>
    <n v="5818"/>
    <x v="486"/>
    <s v="Sales invoice issued"/>
    <x v="273"/>
    <s v="2369.74"/>
    <x v="3"/>
    <x v="2"/>
  </r>
  <r>
    <n v="5818"/>
    <x v="486"/>
    <s v="Sales invoice issued"/>
    <x v="273"/>
    <s v="177.73"/>
    <x v="4"/>
    <x v="3"/>
  </r>
  <r>
    <n v="5819"/>
    <x v="486"/>
    <s v="Sales invoice issued"/>
    <x v="2344"/>
    <s v="0.0"/>
    <x v="2"/>
    <x v="0"/>
  </r>
  <r>
    <n v="5819"/>
    <x v="486"/>
    <s v="Sales invoice issued"/>
    <x v="273"/>
    <s v="2676.5"/>
    <x v="3"/>
    <x v="2"/>
  </r>
  <r>
    <n v="5819"/>
    <x v="486"/>
    <s v="Sales invoice issued"/>
    <x v="273"/>
    <s v="200.74"/>
    <x v="4"/>
    <x v="3"/>
  </r>
  <r>
    <n v="5820"/>
    <x v="486"/>
    <s v="Sales invoice issued"/>
    <x v="2345"/>
    <s v="0.0"/>
    <x v="2"/>
    <x v="0"/>
  </r>
  <r>
    <n v="5820"/>
    <x v="486"/>
    <s v="Sales invoice issued"/>
    <x v="273"/>
    <s v="2981.98"/>
    <x v="3"/>
    <x v="2"/>
  </r>
  <r>
    <n v="5820"/>
    <x v="486"/>
    <s v="Sales invoice issued"/>
    <x v="273"/>
    <s v="223.65"/>
    <x v="4"/>
    <x v="3"/>
  </r>
  <r>
    <n v="5821"/>
    <x v="486"/>
    <s v="Sales invoice issued"/>
    <x v="2346"/>
    <s v="0.0"/>
    <x v="2"/>
    <x v="0"/>
  </r>
  <r>
    <n v="5821"/>
    <x v="486"/>
    <s v="Sales invoice issued"/>
    <x v="273"/>
    <s v="1395.18"/>
    <x v="3"/>
    <x v="2"/>
  </r>
  <r>
    <n v="5821"/>
    <x v="486"/>
    <s v="Sales invoice issued"/>
    <x v="273"/>
    <s v="104.64"/>
    <x v="4"/>
    <x v="3"/>
  </r>
  <r>
    <n v="5822"/>
    <x v="486"/>
    <s v="Sales invoice issued"/>
    <x v="2347"/>
    <s v="0.0"/>
    <x v="2"/>
    <x v="0"/>
  </r>
  <r>
    <n v="5822"/>
    <x v="486"/>
    <s v="Sales invoice issued"/>
    <x v="273"/>
    <s v="1112.13"/>
    <x v="3"/>
    <x v="2"/>
  </r>
  <r>
    <n v="5822"/>
    <x v="486"/>
    <s v="Sales invoice issued"/>
    <x v="273"/>
    <s v="83.4"/>
    <x v="4"/>
    <x v="3"/>
  </r>
  <r>
    <n v="5823"/>
    <x v="486"/>
    <s v="Sales invoice issued"/>
    <x v="2348"/>
    <s v="0.0"/>
    <x v="2"/>
    <x v="0"/>
  </r>
  <r>
    <n v="5823"/>
    <x v="486"/>
    <s v="Sales invoice issued"/>
    <x v="273"/>
    <s v="2896.63"/>
    <x v="3"/>
    <x v="2"/>
  </r>
  <r>
    <n v="5823"/>
    <x v="486"/>
    <s v="Sales invoice issued"/>
    <x v="273"/>
    <s v="217.24"/>
    <x v="4"/>
    <x v="3"/>
  </r>
  <r>
    <n v="5824"/>
    <x v="486"/>
    <s v="Sales invoice issued"/>
    <x v="2349"/>
    <s v="0.0"/>
    <x v="2"/>
    <x v="0"/>
  </r>
  <r>
    <n v="5824"/>
    <x v="486"/>
    <s v="Sales invoice issued"/>
    <x v="273"/>
    <s v="3336.38"/>
    <x v="3"/>
    <x v="2"/>
  </r>
  <r>
    <n v="5824"/>
    <x v="486"/>
    <s v="Sales invoice issued"/>
    <x v="273"/>
    <s v="250.24"/>
    <x v="4"/>
    <x v="3"/>
  </r>
  <r>
    <n v="5825"/>
    <x v="486"/>
    <s v="Customer payment received"/>
    <x v="2045"/>
    <s v="0.0"/>
    <x v="0"/>
    <x v="0"/>
  </r>
  <r>
    <n v="5825"/>
    <x v="486"/>
    <s v="Customer payment received"/>
    <x v="273"/>
    <s v="2919.11"/>
    <x v="2"/>
    <x v="0"/>
  </r>
  <r>
    <n v="5826"/>
    <x v="486"/>
    <s v="Customer payment received"/>
    <x v="2213"/>
    <s v="0.0"/>
    <x v="0"/>
    <x v="0"/>
  </r>
  <r>
    <n v="5826"/>
    <x v="486"/>
    <s v="Customer payment received"/>
    <x v="273"/>
    <s v="2076.49"/>
    <x v="2"/>
    <x v="0"/>
  </r>
  <r>
    <n v="5827"/>
    <x v="486"/>
    <s v="Customer payment received"/>
    <x v="2307"/>
    <s v="0.0"/>
    <x v="0"/>
    <x v="0"/>
  </r>
  <r>
    <n v="5827"/>
    <x v="486"/>
    <s v="Customer payment received"/>
    <x v="273"/>
    <s v="1708.7"/>
    <x v="2"/>
    <x v="0"/>
  </r>
  <r>
    <n v="5828"/>
    <x v="486"/>
    <s v="Customer payment received"/>
    <x v="2313"/>
    <s v="0.0"/>
    <x v="0"/>
    <x v="0"/>
  </r>
  <r>
    <n v="5828"/>
    <x v="486"/>
    <s v="Customer payment received"/>
    <x v="273"/>
    <s v="4192.38"/>
    <x v="2"/>
    <x v="0"/>
  </r>
  <r>
    <n v="5829"/>
    <x v="486"/>
    <s v="Customer payment received"/>
    <x v="2341"/>
    <s v="0.0"/>
    <x v="0"/>
    <x v="0"/>
  </r>
  <r>
    <n v="5829"/>
    <x v="486"/>
    <s v="Customer payment received"/>
    <x v="273"/>
    <s v="5221.83"/>
    <x v="2"/>
    <x v="0"/>
  </r>
  <r>
    <n v="5830"/>
    <x v="486"/>
    <s v="Supplier invoice received"/>
    <x v="301"/>
    <s v="0.0"/>
    <x v="9"/>
    <x v="4"/>
  </r>
  <r>
    <n v="5830"/>
    <x v="486"/>
    <s v="Supplier invoice received"/>
    <x v="302"/>
    <s v="0.0"/>
    <x v="10"/>
    <x v="0"/>
  </r>
  <r>
    <n v="5830"/>
    <x v="486"/>
    <s v="Supplier invoice received"/>
    <x v="273"/>
    <s v="4812.46"/>
    <x v="11"/>
    <x v="3"/>
  </r>
  <r>
    <n v="5831"/>
    <x v="486"/>
    <s v="Supplier invoice received"/>
    <x v="307"/>
    <s v="0.0"/>
    <x v="9"/>
    <x v="4"/>
  </r>
  <r>
    <n v="5831"/>
    <x v="486"/>
    <s v="Supplier invoice received"/>
    <x v="308"/>
    <s v="0.0"/>
    <x v="10"/>
    <x v="0"/>
  </r>
  <r>
    <n v="5831"/>
    <x v="486"/>
    <s v="Supplier invoice received"/>
    <x v="273"/>
    <s v="2093.28"/>
    <x v="11"/>
    <x v="3"/>
  </r>
  <r>
    <n v="5832"/>
    <x v="486"/>
    <s v="Supplier invoice received"/>
    <x v="338"/>
    <s v="0.0"/>
    <x v="9"/>
    <x v="4"/>
  </r>
  <r>
    <n v="5832"/>
    <x v="486"/>
    <s v="Supplier invoice received"/>
    <x v="339"/>
    <s v="0.0"/>
    <x v="10"/>
    <x v="0"/>
  </r>
  <r>
    <n v="5832"/>
    <x v="486"/>
    <s v="Supplier invoice received"/>
    <x v="273"/>
    <s v="1159.84"/>
    <x v="11"/>
    <x v="3"/>
  </r>
  <r>
    <n v="5833"/>
    <x v="486"/>
    <s v="Supplier invoice received"/>
    <x v="366"/>
    <s v="0.0"/>
    <x v="9"/>
    <x v="4"/>
  </r>
  <r>
    <n v="5833"/>
    <x v="486"/>
    <s v="Supplier invoice received"/>
    <x v="367"/>
    <s v="0.0"/>
    <x v="10"/>
    <x v="0"/>
  </r>
  <r>
    <n v="5833"/>
    <x v="486"/>
    <s v="Supplier invoice received"/>
    <x v="273"/>
    <s v="201.5"/>
    <x v="11"/>
    <x v="3"/>
  </r>
  <r>
    <n v="5834"/>
    <x v="486"/>
    <s v="Supplier invoice received"/>
    <x v="374"/>
    <s v="0.0"/>
    <x v="9"/>
    <x v="4"/>
  </r>
  <r>
    <n v="5834"/>
    <x v="486"/>
    <s v="Supplier invoice received"/>
    <x v="375"/>
    <s v="0.0"/>
    <x v="10"/>
    <x v="0"/>
  </r>
  <r>
    <n v="5834"/>
    <x v="486"/>
    <s v="Supplier invoice received"/>
    <x v="273"/>
    <s v="2504.23"/>
    <x v="11"/>
    <x v="3"/>
  </r>
  <r>
    <n v="5835"/>
    <x v="486"/>
    <s v="Supplier invoice received"/>
    <x v="295"/>
    <s v="0.0"/>
    <x v="9"/>
    <x v="4"/>
  </r>
  <r>
    <n v="5835"/>
    <x v="486"/>
    <s v="Supplier invoice received"/>
    <x v="296"/>
    <s v="0.0"/>
    <x v="10"/>
    <x v="0"/>
  </r>
  <r>
    <n v="5835"/>
    <x v="486"/>
    <s v="Supplier invoice received"/>
    <x v="273"/>
    <s v="1766.46"/>
    <x v="11"/>
    <x v="3"/>
  </r>
  <r>
    <n v="5836"/>
    <x v="486"/>
    <s v="Supplier invoice received"/>
    <x v="443"/>
    <s v="0.0"/>
    <x v="9"/>
    <x v="4"/>
  </r>
  <r>
    <n v="5836"/>
    <x v="486"/>
    <s v="Supplier invoice received"/>
    <x v="444"/>
    <s v="0.0"/>
    <x v="10"/>
    <x v="0"/>
  </r>
  <r>
    <n v="5836"/>
    <x v="486"/>
    <s v="Supplier invoice received"/>
    <x v="273"/>
    <s v="748.26"/>
    <x v="11"/>
    <x v="3"/>
  </r>
  <r>
    <n v="5837"/>
    <x v="486"/>
    <s v="Supplier invoice received"/>
    <x v="305"/>
    <s v="0.0"/>
    <x v="9"/>
    <x v="4"/>
  </r>
  <r>
    <n v="5837"/>
    <x v="486"/>
    <s v="Supplier invoice received"/>
    <x v="306"/>
    <s v="0.0"/>
    <x v="10"/>
    <x v="0"/>
  </r>
  <r>
    <n v="5837"/>
    <x v="486"/>
    <s v="Supplier invoice received"/>
    <x v="273"/>
    <s v="276.32"/>
    <x v="11"/>
    <x v="3"/>
  </r>
  <r>
    <n v="5838"/>
    <x v="486"/>
    <s v="Supplier payment made"/>
    <x v="327"/>
    <s v="0.0"/>
    <x v="11"/>
    <x v="3"/>
  </r>
  <r>
    <n v="5838"/>
    <x v="486"/>
    <s v="Supplier payment made"/>
    <x v="273"/>
    <s v="1935.04"/>
    <x v="0"/>
    <x v="0"/>
  </r>
  <r>
    <n v="5839"/>
    <x v="486"/>
    <s v="Supplier payment made"/>
    <x v="350"/>
    <s v="0.0"/>
    <x v="11"/>
    <x v="3"/>
  </r>
  <r>
    <n v="5839"/>
    <x v="486"/>
    <s v="Supplier payment made"/>
    <x v="273"/>
    <s v="1794.11"/>
    <x v="0"/>
    <x v="0"/>
  </r>
  <r>
    <n v="5840"/>
    <x v="487"/>
    <s v="Sales invoice issued"/>
    <x v="2350"/>
    <s v="0.0"/>
    <x v="2"/>
    <x v="0"/>
  </r>
  <r>
    <n v="5840"/>
    <x v="487"/>
    <s v="Sales invoice issued"/>
    <x v="273"/>
    <s v="828.45"/>
    <x v="3"/>
    <x v="2"/>
  </r>
  <r>
    <n v="5840"/>
    <x v="487"/>
    <s v="Sales invoice issued"/>
    <x v="273"/>
    <s v="62.13"/>
    <x v="4"/>
    <x v="3"/>
  </r>
  <r>
    <n v="5841"/>
    <x v="487"/>
    <s v="Sales invoice issued"/>
    <x v="2351"/>
    <s v="0.0"/>
    <x v="2"/>
    <x v="0"/>
  </r>
  <r>
    <n v="5841"/>
    <x v="487"/>
    <s v="Sales invoice issued"/>
    <x v="273"/>
    <s v="181.98"/>
    <x v="3"/>
    <x v="2"/>
  </r>
  <r>
    <n v="5841"/>
    <x v="487"/>
    <s v="Sales invoice issued"/>
    <x v="273"/>
    <s v="13.65"/>
    <x v="4"/>
    <x v="3"/>
  </r>
  <r>
    <n v="5842"/>
    <x v="487"/>
    <s v="Sales invoice issued"/>
    <x v="2352"/>
    <s v="0.0"/>
    <x v="2"/>
    <x v="0"/>
  </r>
  <r>
    <n v="5842"/>
    <x v="487"/>
    <s v="Sales invoice issued"/>
    <x v="273"/>
    <s v="625.51"/>
    <x v="3"/>
    <x v="2"/>
  </r>
  <r>
    <n v="5842"/>
    <x v="487"/>
    <s v="Sales invoice issued"/>
    <x v="273"/>
    <s v="46.91"/>
    <x v="4"/>
    <x v="3"/>
  </r>
  <r>
    <n v="5843"/>
    <x v="487"/>
    <s v="Sales invoice issued"/>
    <x v="2353"/>
    <s v="0.0"/>
    <x v="2"/>
    <x v="0"/>
  </r>
  <r>
    <n v="5843"/>
    <x v="487"/>
    <s v="Sales invoice issued"/>
    <x v="273"/>
    <s v="5219.88"/>
    <x v="3"/>
    <x v="2"/>
  </r>
  <r>
    <n v="5843"/>
    <x v="487"/>
    <s v="Sales invoice issued"/>
    <x v="273"/>
    <s v="391.5"/>
    <x v="4"/>
    <x v="3"/>
  </r>
  <r>
    <n v="5844"/>
    <x v="487"/>
    <s v="Sales invoice issued"/>
    <x v="2354"/>
    <s v="0.0"/>
    <x v="2"/>
    <x v="0"/>
  </r>
  <r>
    <n v="5844"/>
    <x v="487"/>
    <s v="Sales invoice issued"/>
    <x v="273"/>
    <s v="2679.78"/>
    <x v="3"/>
    <x v="2"/>
  </r>
  <r>
    <n v="5844"/>
    <x v="487"/>
    <s v="Sales invoice issued"/>
    <x v="273"/>
    <s v="200.98"/>
    <x v="4"/>
    <x v="3"/>
  </r>
  <r>
    <n v="5845"/>
    <x v="487"/>
    <s v="Sales invoice issued"/>
    <x v="2355"/>
    <s v="0.0"/>
    <x v="2"/>
    <x v="0"/>
  </r>
  <r>
    <n v="5845"/>
    <x v="487"/>
    <s v="Sales invoice issued"/>
    <x v="273"/>
    <s v="313.22"/>
    <x v="3"/>
    <x v="2"/>
  </r>
  <r>
    <n v="5845"/>
    <x v="487"/>
    <s v="Sales invoice issued"/>
    <x v="273"/>
    <s v="23.49"/>
    <x v="4"/>
    <x v="3"/>
  </r>
  <r>
    <n v="5846"/>
    <x v="487"/>
    <s v="Sales invoice issued"/>
    <x v="2356"/>
    <s v="0.0"/>
    <x v="2"/>
    <x v="0"/>
  </r>
  <r>
    <n v="5846"/>
    <x v="487"/>
    <s v="Sales invoice issued"/>
    <x v="273"/>
    <s v="222.17"/>
    <x v="3"/>
    <x v="2"/>
  </r>
  <r>
    <n v="5846"/>
    <x v="487"/>
    <s v="Sales invoice issued"/>
    <x v="273"/>
    <s v="16.66"/>
    <x v="4"/>
    <x v="3"/>
  </r>
  <r>
    <n v="5847"/>
    <x v="487"/>
    <s v="Sales invoice issued"/>
    <x v="2357"/>
    <s v="0.0"/>
    <x v="2"/>
    <x v="0"/>
  </r>
  <r>
    <n v="5847"/>
    <x v="487"/>
    <s v="Sales invoice issued"/>
    <x v="273"/>
    <s v="1401.02"/>
    <x v="3"/>
    <x v="2"/>
  </r>
  <r>
    <n v="5847"/>
    <x v="487"/>
    <s v="Sales invoice issued"/>
    <x v="273"/>
    <s v="105.07"/>
    <x v="4"/>
    <x v="3"/>
  </r>
  <r>
    <n v="5848"/>
    <x v="487"/>
    <s v="Sales invoice issued"/>
    <x v="2358"/>
    <s v="0.0"/>
    <x v="2"/>
    <x v="0"/>
  </r>
  <r>
    <n v="5848"/>
    <x v="487"/>
    <s v="Sales invoice issued"/>
    <x v="273"/>
    <s v="793.35"/>
    <x v="3"/>
    <x v="2"/>
  </r>
  <r>
    <n v="5848"/>
    <x v="487"/>
    <s v="Sales invoice issued"/>
    <x v="273"/>
    <s v="59.5"/>
    <x v="4"/>
    <x v="3"/>
  </r>
  <r>
    <n v="5849"/>
    <x v="487"/>
    <s v="Sales invoice issued"/>
    <x v="2359"/>
    <s v="0.0"/>
    <x v="2"/>
    <x v="0"/>
  </r>
  <r>
    <n v="5849"/>
    <x v="487"/>
    <s v="Sales invoice issued"/>
    <x v="273"/>
    <s v="5442.58"/>
    <x v="3"/>
    <x v="2"/>
  </r>
  <r>
    <n v="5849"/>
    <x v="487"/>
    <s v="Sales invoice issued"/>
    <x v="273"/>
    <s v="408.2"/>
    <x v="4"/>
    <x v="3"/>
  </r>
  <r>
    <n v="5850"/>
    <x v="487"/>
    <s v="Sales invoice issued"/>
    <x v="2360"/>
    <s v="0.0"/>
    <x v="2"/>
    <x v="0"/>
  </r>
  <r>
    <n v="5850"/>
    <x v="487"/>
    <s v="Sales invoice issued"/>
    <x v="273"/>
    <s v="3079.55"/>
    <x v="3"/>
    <x v="2"/>
  </r>
  <r>
    <n v="5850"/>
    <x v="487"/>
    <s v="Sales invoice issued"/>
    <x v="273"/>
    <s v="230.96"/>
    <x v="4"/>
    <x v="3"/>
  </r>
  <r>
    <n v="5851"/>
    <x v="487"/>
    <s v="Customer payment received"/>
    <x v="2098"/>
    <s v="0.0"/>
    <x v="0"/>
    <x v="0"/>
  </r>
  <r>
    <n v="5851"/>
    <x v="487"/>
    <s v="Customer payment received"/>
    <x v="273"/>
    <s v="3392.02"/>
    <x v="2"/>
    <x v="0"/>
  </r>
  <r>
    <n v="5852"/>
    <x v="487"/>
    <s v="Customer payment received"/>
    <x v="2361"/>
    <s v="0.0"/>
    <x v="0"/>
    <x v="0"/>
  </r>
  <r>
    <n v="5852"/>
    <x v="487"/>
    <s v="Customer payment received"/>
    <x v="273"/>
    <s v="737.76"/>
    <x v="2"/>
    <x v="0"/>
  </r>
  <r>
    <n v="5853"/>
    <x v="487"/>
    <s v="Customer payment received"/>
    <x v="2120"/>
    <s v="0.0"/>
    <x v="0"/>
    <x v="0"/>
  </r>
  <r>
    <n v="5853"/>
    <x v="487"/>
    <s v="Customer payment received"/>
    <x v="273"/>
    <s v="3254.33"/>
    <x v="2"/>
    <x v="0"/>
  </r>
  <r>
    <n v="5854"/>
    <x v="487"/>
    <s v="Customer payment received"/>
    <x v="2157"/>
    <s v="0.0"/>
    <x v="0"/>
    <x v="0"/>
  </r>
  <r>
    <n v="5854"/>
    <x v="487"/>
    <s v="Customer payment received"/>
    <x v="273"/>
    <s v="3209.86"/>
    <x v="2"/>
    <x v="0"/>
  </r>
  <r>
    <n v="5855"/>
    <x v="487"/>
    <s v="Customer payment received"/>
    <x v="2225"/>
    <s v="0.0"/>
    <x v="0"/>
    <x v="0"/>
  </r>
  <r>
    <n v="5855"/>
    <x v="487"/>
    <s v="Customer payment received"/>
    <x v="273"/>
    <s v="2374.79"/>
    <x v="2"/>
    <x v="0"/>
  </r>
  <r>
    <n v="5856"/>
    <x v="487"/>
    <s v="Customer payment received"/>
    <x v="2314"/>
    <s v="0.0"/>
    <x v="0"/>
    <x v="0"/>
  </r>
  <r>
    <n v="5856"/>
    <x v="487"/>
    <s v="Customer payment received"/>
    <x v="273"/>
    <s v="1707.12"/>
    <x v="2"/>
    <x v="0"/>
  </r>
  <r>
    <n v="5857"/>
    <x v="487"/>
    <s v="Customer payment received"/>
    <x v="2329"/>
    <s v="0.0"/>
    <x v="0"/>
    <x v="0"/>
  </r>
  <r>
    <n v="5857"/>
    <x v="487"/>
    <s v="Customer payment received"/>
    <x v="273"/>
    <s v="3222.74"/>
    <x v="2"/>
    <x v="0"/>
  </r>
  <r>
    <n v="5858"/>
    <x v="487"/>
    <s v="Customer payment received"/>
    <x v="2332"/>
    <s v="0.0"/>
    <x v="0"/>
    <x v="0"/>
  </r>
  <r>
    <n v="5858"/>
    <x v="487"/>
    <s v="Customer payment received"/>
    <x v="273"/>
    <s v="1783.61"/>
    <x v="2"/>
    <x v="0"/>
  </r>
  <r>
    <n v="5859"/>
    <x v="487"/>
    <s v="Customer payment received"/>
    <x v="2334"/>
    <s v="0.0"/>
    <x v="0"/>
    <x v="0"/>
  </r>
  <r>
    <n v="5859"/>
    <x v="487"/>
    <s v="Customer payment received"/>
    <x v="273"/>
    <s v="2639.51"/>
    <x v="2"/>
    <x v="0"/>
  </r>
  <r>
    <n v="5860"/>
    <x v="487"/>
    <s v="Supplier invoice received"/>
    <x v="383"/>
    <s v="0.0"/>
    <x v="9"/>
    <x v="4"/>
  </r>
  <r>
    <n v="5860"/>
    <x v="487"/>
    <s v="Supplier invoice received"/>
    <x v="384"/>
    <s v="0.0"/>
    <x v="10"/>
    <x v="0"/>
  </r>
  <r>
    <n v="5860"/>
    <x v="487"/>
    <s v="Supplier invoice received"/>
    <x v="273"/>
    <s v="3868.8"/>
    <x v="11"/>
    <x v="3"/>
  </r>
  <r>
    <n v="5861"/>
    <x v="487"/>
    <s v="Supplier invoice received"/>
    <x v="299"/>
    <s v="0.0"/>
    <x v="9"/>
    <x v="4"/>
  </r>
  <r>
    <n v="5861"/>
    <x v="487"/>
    <s v="Supplier invoice received"/>
    <x v="300"/>
    <s v="0.0"/>
    <x v="10"/>
    <x v="0"/>
  </r>
  <r>
    <n v="5861"/>
    <x v="487"/>
    <s v="Supplier invoice received"/>
    <x v="273"/>
    <s v="2918.17"/>
    <x v="11"/>
    <x v="3"/>
  </r>
  <r>
    <n v="5862"/>
    <x v="487"/>
    <s v="Supplier payment made"/>
    <x v="292"/>
    <s v="0.0"/>
    <x v="11"/>
    <x v="3"/>
  </r>
  <r>
    <n v="5862"/>
    <x v="487"/>
    <s v="Supplier payment made"/>
    <x v="273"/>
    <s v="1766.46"/>
    <x v="0"/>
    <x v="0"/>
  </r>
  <r>
    <n v="5863"/>
    <x v="487"/>
    <s v="Supplier payment made"/>
    <x v="350"/>
    <s v="0.0"/>
    <x v="11"/>
    <x v="3"/>
  </r>
  <r>
    <n v="5863"/>
    <x v="487"/>
    <s v="Supplier payment made"/>
    <x v="273"/>
    <s v="1794.11"/>
    <x v="0"/>
    <x v="0"/>
  </r>
  <r>
    <n v="5864"/>
    <x v="487"/>
    <s v="Supplier payment made"/>
    <x v="353"/>
    <s v="0.0"/>
    <x v="11"/>
    <x v="3"/>
  </r>
  <r>
    <n v="5864"/>
    <x v="487"/>
    <s v="Supplier payment made"/>
    <x v="273"/>
    <s v="2918.17"/>
    <x v="0"/>
    <x v="0"/>
  </r>
  <r>
    <n v="5865"/>
    <x v="487"/>
    <s v="Supplier payment made"/>
    <x v="351"/>
    <s v="0.0"/>
    <x v="11"/>
    <x v="3"/>
  </r>
  <r>
    <n v="5865"/>
    <x v="487"/>
    <s v="Supplier payment made"/>
    <x v="273"/>
    <s v="179.01"/>
    <x v="0"/>
    <x v="0"/>
  </r>
  <r>
    <n v="5866"/>
    <x v="487"/>
    <s v="Supplier payment made"/>
    <x v="335"/>
    <s v="0.0"/>
    <x v="11"/>
    <x v="3"/>
  </r>
  <r>
    <n v="5866"/>
    <x v="487"/>
    <s v="Supplier payment made"/>
    <x v="273"/>
    <s v="550.4"/>
    <x v="0"/>
    <x v="0"/>
  </r>
  <r>
    <n v="5867"/>
    <x v="488"/>
    <s v="Sales invoice issued"/>
    <x v="2362"/>
    <s v="0.0"/>
    <x v="2"/>
    <x v="0"/>
  </r>
  <r>
    <n v="5867"/>
    <x v="488"/>
    <s v="Sales invoice issued"/>
    <x v="273"/>
    <s v="360.83"/>
    <x v="3"/>
    <x v="2"/>
  </r>
  <r>
    <n v="5867"/>
    <x v="488"/>
    <s v="Sales invoice issued"/>
    <x v="273"/>
    <s v="27.06"/>
    <x v="4"/>
    <x v="3"/>
  </r>
  <r>
    <n v="5868"/>
    <x v="488"/>
    <s v="Sales invoice issued"/>
    <x v="2363"/>
    <s v="0.0"/>
    <x v="2"/>
    <x v="0"/>
  </r>
  <r>
    <n v="5868"/>
    <x v="488"/>
    <s v="Sales invoice issued"/>
    <x v="273"/>
    <s v="1455.61"/>
    <x v="3"/>
    <x v="2"/>
  </r>
  <r>
    <n v="5868"/>
    <x v="488"/>
    <s v="Sales invoice issued"/>
    <x v="273"/>
    <s v="109.17"/>
    <x v="4"/>
    <x v="3"/>
  </r>
  <r>
    <n v="5869"/>
    <x v="488"/>
    <s v="Sales invoice issued"/>
    <x v="2364"/>
    <s v="0.0"/>
    <x v="2"/>
    <x v="0"/>
  </r>
  <r>
    <n v="5869"/>
    <x v="488"/>
    <s v="Sales invoice issued"/>
    <x v="273"/>
    <s v="613.93"/>
    <x v="3"/>
    <x v="2"/>
  </r>
  <r>
    <n v="5869"/>
    <x v="488"/>
    <s v="Sales invoice issued"/>
    <x v="273"/>
    <s v="46.05"/>
    <x v="4"/>
    <x v="3"/>
  </r>
  <r>
    <n v="5870"/>
    <x v="488"/>
    <s v="Sales invoice issued"/>
    <x v="2365"/>
    <s v="0.0"/>
    <x v="2"/>
    <x v="0"/>
  </r>
  <r>
    <n v="5870"/>
    <x v="488"/>
    <s v="Sales invoice issued"/>
    <x v="273"/>
    <s v="1223.45"/>
    <x v="3"/>
    <x v="2"/>
  </r>
  <r>
    <n v="5870"/>
    <x v="488"/>
    <s v="Sales invoice issued"/>
    <x v="273"/>
    <s v="91.75"/>
    <x v="4"/>
    <x v="3"/>
  </r>
  <r>
    <n v="5871"/>
    <x v="488"/>
    <s v="Sales invoice issued"/>
    <x v="2366"/>
    <s v="0.0"/>
    <x v="2"/>
    <x v="0"/>
  </r>
  <r>
    <n v="5871"/>
    <x v="488"/>
    <s v="Sales invoice issued"/>
    <x v="273"/>
    <s v="2501.22"/>
    <x v="3"/>
    <x v="2"/>
  </r>
  <r>
    <n v="5871"/>
    <x v="488"/>
    <s v="Sales invoice issued"/>
    <x v="273"/>
    <s v="187.59"/>
    <x v="4"/>
    <x v="3"/>
  </r>
  <r>
    <n v="5872"/>
    <x v="488"/>
    <s v="Sales invoice issued"/>
    <x v="2367"/>
    <s v="0.0"/>
    <x v="2"/>
    <x v="0"/>
  </r>
  <r>
    <n v="5872"/>
    <x v="488"/>
    <s v="Sales invoice issued"/>
    <x v="273"/>
    <s v="1706.0"/>
    <x v="3"/>
    <x v="2"/>
  </r>
  <r>
    <n v="5872"/>
    <x v="488"/>
    <s v="Sales invoice issued"/>
    <x v="273"/>
    <s v="127.95"/>
    <x v="4"/>
    <x v="3"/>
  </r>
  <r>
    <n v="5873"/>
    <x v="488"/>
    <s v="Sales invoice issued"/>
    <x v="2368"/>
    <s v="0.0"/>
    <x v="2"/>
    <x v="0"/>
  </r>
  <r>
    <n v="5873"/>
    <x v="488"/>
    <s v="Sales invoice issued"/>
    <x v="273"/>
    <s v="3378.88"/>
    <x v="3"/>
    <x v="2"/>
  </r>
  <r>
    <n v="5873"/>
    <x v="488"/>
    <s v="Sales invoice issued"/>
    <x v="273"/>
    <s v="253.43"/>
    <x v="4"/>
    <x v="3"/>
  </r>
  <r>
    <n v="5874"/>
    <x v="488"/>
    <s v="Sales invoice issued"/>
    <x v="2369"/>
    <s v="0.0"/>
    <x v="2"/>
    <x v="0"/>
  </r>
  <r>
    <n v="5874"/>
    <x v="488"/>
    <s v="Sales invoice issued"/>
    <x v="273"/>
    <s v="5738.75"/>
    <x v="3"/>
    <x v="2"/>
  </r>
  <r>
    <n v="5874"/>
    <x v="488"/>
    <s v="Sales invoice issued"/>
    <x v="273"/>
    <s v="430.42"/>
    <x v="4"/>
    <x v="3"/>
  </r>
  <r>
    <n v="5875"/>
    <x v="488"/>
    <s v="Customer payment received"/>
    <x v="2145"/>
    <s v="0.0"/>
    <x v="0"/>
    <x v="0"/>
  </r>
  <r>
    <n v="5875"/>
    <x v="488"/>
    <s v="Customer payment received"/>
    <x v="273"/>
    <s v="1204.43"/>
    <x v="2"/>
    <x v="0"/>
  </r>
  <r>
    <n v="5876"/>
    <x v="488"/>
    <s v="Customer payment received"/>
    <x v="2196"/>
    <s v="0.0"/>
    <x v="0"/>
    <x v="0"/>
  </r>
  <r>
    <n v="5876"/>
    <x v="488"/>
    <s v="Customer payment received"/>
    <x v="273"/>
    <s v="1113.08"/>
    <x v="2"/>
    <x v="0"/>
  </r>
  <r>
    <n v="5877"/>
    <x v="488"/>
    <s v="Customer payment received"/>
    <x v="2198"/>
    <s v="0.0"/>
    <x v="0"/>
    <x v="0"/>
  </r>
  <r>
    <n v="5877"/>
    <x v="488"/>
    <s v="Customer payment received"/>
    <x v="273"/>
    <s v="383.98"/>
    <x v="2"/>
    <x v="0"/>
  </r>
  <r>
    <n v="5878"/>
    <x v="488"/>
    <s v="Customer payment received"/>
    <x v="2199"/>
    <s v="0.0"/>
    <x v="0"/>
    <x v="0"/>
  </r>
  <r>
    <n v="5878"/>
    <x v="488"/>
    <s v="Customer payment received"/>
    <x v="273"/>
    <s v="782.6"/>
    <x v="2"/>
    <x v="0"/>
  </r>
  <r>
    <n v="5879"/>
    <x v="488"/>
    <s v="Customer payment received"/>
    <x v="2215"/>
    <s v="0.0"/>
    <x v="0"/>
    <x v="0"/>
  </r>
  <r>
    <n v="5879"/>
    <x v="488"/>
    <s v="Customer payment received"/>
    <x v="273"/>
    <s v="1867.62"/>
    <x v="2"/>
    <x v="0"/>
  </r>
  <r>
    <n v="5880"/>
    <x v="488"/>
    <s v="Customer payment received"/>
    <x v="2300"/>
    <s v="0.0"/>
    <x v="0"/>
    <x v="0"/>
  </r>
  <r>
    <n v="5880"/>
    <x v="488"/>
    <s v="Customer payment received"/>
    <x v="273"/>
    <s v="2043.84"/>
    <x v="2"/>
    <x v="0"/>
  </r>
  <r>
    <n v="5881"/>
    <x v="488"/>
    <s v="Customer payment received"/>
    <x v="2308"/>
    <s v="0.0"/>
    <x v="0"/>
    <x v="0"/>
  </r>
  <r>
    <n v="5881"/>
    <x v="488"/>
    <s v="Customer payment received"/>
    <x v="273"/>
    <s v="2518.57"/>
    <x v="2"/>
    <x v="0"/>
  </r>
  <r>
    <n v="5882"/>
    <x v="488"/>
    <s v="Customer payment received"/>
    <x v="2330"/>
    <s v="0.0"/>
    <x v="0"/>
    <x v="0"/>
  </r>
  <r>
    <n v="5882"/>
    <x v="488"/>
    <s v="Customer payment received"/>
    <x v="273"/>
    <s v="4347.09"/>
    <x v="2"/>
    <x v="0"/>
  </r>
  <r>
    <n v="5883"/>
    <x v="488"/>
    <s v="Customer payment received"/>
    <x v="2370"/>
    <s v="0.0"/>
    <x v="0"/>
    <x v="0"/>
  </r>
  <r>
    <n v="5883"/>
    <x v="488"/>
    <s v="Customer payment received"/>
    <x v="273"/>
    <s v="650.89"/>
    <x v="2"/>
    <x v="0"/>
  </r>
  <r>
    <n v="5884"/>
    <x v="488"/>
    <s v="Supplier invoice received"/>
    <x v="372"/>
    <s v="0.0"/>
    <x v="9"/>
    <x v="4"/>
  </r>
  <r>
    <n v="5884"/>
    <x v="488"/>
    <s v="Supplier invoice received"/>
    <x v="373"/>
    <s v="0.0"/>
    <x v="10"/>
    <x v="0"/>
  </r>
  <r>
    <n v="5884"/>
    <x v="488"/>
    <s v="Supplier invoice received"/>
    <x v="273"/>
    <s v="412.54"/>
    <x v="11"/>
    <x v="3"/>
  </r>
  <r>
    <n v="5885"/>
    <x v="488"/>
    <s v="Supplier payment made"/>
    <x v="280"/>
    <s v="0.0"/>
    <x v="11"/>
    <x v="3"/>
  </r>
  <r>
    <n v="5885"/>
    <x v="488"/>
    <s v="Supplier payment made"/>
    <x v="273"/>
    <s v="2635.36"/>
    <x v="0"/>
    <x v="0"/>
  </r>
  <r>
    <n v="5886"/>
    <x v="488"/>
    <s v="Supplier payment made"/>
    <x v="352"/>
    <s v="0.0"/>
    <x v="11"/>
    <x v="3"/>
  </r>
  <r>
    <n v="5886"/>
    <x v="488"/>
    <s v="Supplier payment made"/>
    <x v="273"/>
    <s v="9336.67"/>
    <x v="0"/>
    <x v="0"/>
  </r>
  <r>
    <n v="5887"/>
    <x v="488"/>
    <s v="Supplier payment made"/>
    <x v="310"/>
    <s v="0.0"/>
    <x v="11"/>
    <x v="3"/>
  </r>
  <r>
    <n v="5887"/>
    <x v="488"/>
    <s v="Supplier payment made"/>
    <x v="273"/>
    <s v="276.32"/>
    <x v="0"/>
    <x v="0"/>
  </r>
  <r>
    <n v="5888"/>
    <x v="488"/>
    <s v="Supplier payment made"/>
    <x v="318"/>
    <s v="0.0"/>
    <x v="11"/>
    <x v="3"/>
  </r>
  <r>
    <n v="5888"/>
    <x v="488"/>
    <s v="Supplier payment made"/>
    <x v="273"/>
    <s v="2504.23"/>
    <x v="0"/>
    <x v="0"/>
  </r>
  <r>
    <n v="5889"/>
    <x v="489"/>
    <s v="Sales invoice issued"/>
    <x v="2371"/>
    <s v="0.0"/>
    <x v="2"/>
    <x v="0"/>
  </r>
  <r>
    <n v="5889"/>
    <x v="489"/>
    <s v="Sales invoice issued"/>
    <x v="273"/>
    <s v="1866.03"/>
    <x v="3"/>
    <x v="2"/>
  </r>
  <r>
    <n v="5889"/>
    <x v="489"/>
    <s v="Sales invoice issued"/>
    <x v="273"/>
    <s v="139.95"/>
    <x v="4"/>
    <x v="3"/>
  </r>
  <r>
    <n v="5890"/>
    <x v="489"/>
    <s v="Sales invoice issued"/>
    <x v="2372"/>
    <s v="0.0"/>
    <x v="2"/>
    <x v="0"/>
  </r>
  <r>
    <n v="5890"/>
    <x v="489"/>
    <s v="Sales invoice issued"/>
    <x v="273"/>
    <s v="1541.71"/>
    <x v="3"/>
    <x v="2"/>
  </r>
  <r>
    <n v="5890"/>
    <x v="489"/>
    <s v="Sales invoice issued"/>
    <x v="273"/>
    <s v="115.63"/>
    <x v="4"/>
    <x v="3"/>
  </r>
  <r>
    <n v="5891"/>
    <x v="489"/>
    <s v="Sales invoice issued"/>
    <x v="2373"/>
    <s v="0.0"/>
    <x v="2"/>
    <x v="0"/>
  </r>
  <r>
    <n v="5891"/>
    <x v="489"/>
    <s v="Sales invoice issued"/>
    <x v="273"/>
    <s v="448.35"/>
    <x v="3"/>
    <x v="2"/>
  </r>
  <r>
    <n v="5891"/>
    <x v="489"/>
    <s v="Sales invoice issued"/>
    <x v="273"/>
    <s v="33.62"/>
    <x v="4"/>
    <x v="3"/>
  </r>
  <r>
    <n v="5892"/>
    <x v="489"/>
    <s v="Sales invoice issued"/>
    <x v="2374"/>
    <s v="0.0"/>
    <x v="2"/>
    <x v="0"/>
  </r>
  <r>
    <n v="5892"/>
    <x v="489"/>
    <s v="Sales invoice issued"/>
    <x v="273"/>
    <s v="354.46"/>
    <x v="3"/>
    <x v="2"/>
  </r>
  <r>
    <n v="5892"/>
    <x v="489"/>
    <s v="Sales invoice issued"/>
    <x v="273"/>
    <s v="26.59"/>
    <x v="4"/>
    <x v="3"/>
  </r>
  <r>
    <n v="5893"/>
    <x v="489"/>
    <s v="Sales invoice issued"/>
    <x v="2375"/>
    <s v="0.0"/>
    <x v="2"/>
    <x v="0"/>
  </r>
  <r>
    <n v="5893"/>
    <x v="489"/>
    <s v="Sales invoice issued"/>
    <x v="273"/>
    <s v="2545.8"/>
    <x v="3"/>
    <x v="2"/>
  </r>
  <r>
    <n v="5893"/>
    <x v="489"/>
    <s v="Sales invoice issued"/>
    <x v="273"/>
    <s v="190.94"/>
    <x v="4"/>
    <x v="3"/>
  </r>
  <r>
    <n v="5894"/>
    <x v="489"/>
    <s v="Sales invoice issued"/>
    <x v="2376"/>
    <s v="0.0"/>
    <x v="2"/>
    <x v="0"/>
  </r>
  <r>
    <n v="5894"/>
    <x v="489"/>
    <s v="Sales invoice issued"/>
    <x v="273"/>
    <s v="4117.87"/>
    <x v="3"/>
    <x v="2"/>
  </r>
  <r>
    <n v="5894"/>
    <x v="489"/>
    <s v="Sales invoice issued"/>
    <x v="273"/>
    <s v="308.84"/>
    <x v="4"/>
    <x v="3"/>
  </r>
  <r>
    <n v="5895"/>
    <x v="489"/>
    <s v="Sales invoice issued"/>
    <x v="2377"/>
    <s v="0.0"/>
    <x v="2"/>
    <x v="0"/>
  </r>
  <r>
    <n v="5895"/>
    <x v="489"/>
    <s v="Sales invoice issued"/>
    <x v="273"/>
    <s v="805.14"/>
    <x v="3"/>
    <x v="2"/>
  </r>
  <r>
    <n v="5895"/>
    <x v="489"/>
    <s v="Sales invoice issued"/>
    <x v="273"/>
    <s v="60.38"/>
    <x v="4"/>
    <x v="3"/>
  </r>
  <r>
    <n v="5896"/>
    <x v="489"/>
    <s v="Customer payment received"/>
    <x v="2073"/>
    <s v="0.0"/>
    <x v="0"/>
    <x v="0"/>
  </r>
  <r>
    <n v="5896"/>
    <x v="489"/>
    <s v="Customer payment received"/>
    <x v="273"/>
    <s v="6204.62"/>
    <x v="2"/>
    <x v="0"/>
  </r>
  <r>
    <n v="5897"/>
    <x v="489"/>
    <s v="Customer payment received"/>
    <x v="2084"/>
    <s v="0.0"/>
    <x v="0"/>
    <x v="0"/>
  </r>
  <r>
    <n v="5897"/>
    <x v="489"/>
    <s v="Customer payment received"/>
    <x v="273"/>
    <s v="3286.1"/>
    <x v="2"/>
    <x v="0"/>
  </r>
  <r>
    <n v="5898"/>
    <x v="489"/>
    <s v="Customer payment received"/>
    <x v="2121"/>
    <s v="0.0"/>
    <x v="0"/>
    <x v="0"/>
  </r>
  <r>
    <n v="5898"/>
    <x v="489"/>
    <s v="Customer payment received"/>
    <x v="273"/>
    <s v="4690.79"/>
    <x v="2"/>
    <x v="0"/>
  </r>
  <r>
    <n v="5899"/>
    <x v="489"/>
    <s v="Customer payment received"/>
    <x v="2179"/>
    <s v="0.0"/>
    <x v="0"/>
    <x v="0"/>
  </r>
  <r>
    <n v="5899"/>
    <x v="489"/>
    <s v="Customer payment received"/>
    <x v="273"/>
    <s v="2866.49"/>
    <x v="2"/>
    <x v="0"/>
  </r>
  <r>
    <n v="5900"/>
    <x v="489"/>
    <s v="Customer payment received"/>
    <x v="2304"/>
    <s v="0.0"/>
    <x v="0"/>
    <x v="0"/>
  </r>
  <r>
    <n v="5900"/>
    <x v="489"/>
    <s v="Customer payment received"/>
    <x v="273"/>
    <s v="623.58"/>
    <x v="2"/>
    <x v="0"/>
  </r>
  <r>
    <n v="5901"/>
    <x v="489"/>
    <s v="Customer payment received"/>
    <x v="2326"/>
    <s v="0.0"/>
    <x v="0"/>
    <x v="0"/>
  </r>
  <r>
    <n v="5901"/>
    <x v="489"/>
    <s v="Customer payment received"/>
    <x v="273"/>
    <s v="3487.51"/>
    <x v="2"/>
    <x v="0"/>
  </r>
  <r>
    <n v="5902"/>
    <x v="489"/>
    <s v="Customer payment received"/>
    <x v="2327"/>
    <s v="0.0"/>
    <x v="0"/>
    <x v="0"/>
  </r>
  <r>
    <n v="5902"/>
    <x v="489"/>
    <s v="Customer payment received"/>
    <x v="273"/>
    <s v="3619.04"/>
    <x v="2"/>
    <x v="0"/>
  </r>
  <r>
    <n v="5903"/>
    <x v="489"/>
    <s v="Customer payment received"/>
    <x v="2336"/>
    <s v="0.0"/>
    <x v="0"/>
    <x v="0"/>
  </r>
  <r>
    <n v="5903"/>
    <x v="489"/>
    <s v="Customer payment received"/>
    <x v="273"/>
    <s v="4691.45"/>
    <x v="2"/>
    <x v="0"/>
  </r>
  <r>
    <n v="5904"/>
    <x v="489"/>
    <s v="Customer payment received"/>
    <x v="2351"/>
    <s v="0.0"/>
    <x v="0"/>
    <x v="0"/>
  </r>
  <r>
    <n v="5904"/>
    <x v="489"/>
    <s v="Customer payment received"/>
    <x v="273"/>
    <s v="195.63"/>
    <x v="2"/>
    <x v="0"/>
  </r>
  <r>
    <n v="5905"/>
    <x v="489"/>
    <s v="Supplier payment made"/>
    <x v="488"/>
    <s v="0.0"/>
    <x v="11"/>
    <x v="3"/>
  </r>
  <r>
    <n v="5905"/>
    <x v="489"/>
    <s v="Supplier payment made"/>
    <x v="273"/>
    <s v="2182.41"/>
    <x v="0"/>
    <x v="0"/>
  </r>
  <r>
    <n v="5906"/>
    <x v="489"/>
    <s v="Supplier payment made"/>
    <x v="353"/>
    <s v="0.0"/>
    <x v="11"/>
    <x v="3"/>
  </r>
  <r>
    <n v="5906"/>
    <x v="489"/>
    <s v="Supplier payment made"/>
    <x v="273"/>
    <s v="2918.17"/>
    <x v="0"/>
    <x v="0"/>
  </r>
  <r>
    <n v="5907"/>
    <x v="490"/>
    <s v="Sales invoice issued"/>
    <x v="2378"/>
    <s v="0.0"/>
    <x v="2"/>
    <x v="0"/>
  </r>
  <r>
    <n v="5907"/>
    <x v="490"/>
    <s v="Sales invoice issued"/>
    <x v="273"/>
    <s v="2012.29"/>
    <x v="3"/>
    <x v="2"/>
  </r>
  <r>
    <n v="5907"/>
    <x v="490"/>
    <s v="Sales invoice issued"/>
    <x v="273"/>
    <s v="150.92"/>
    <x v="4"/>
    <x v="3"/>
  </r>
  <r>
    <n v="5908"/>
    <x v="490"/>
    <s v="Sales invoice issued"/>
    <x v="2379"/>
    <s v="0.0"/>
    <x v="2"/>
    <x v="0"/>
  </r>
  <r>
    <n v="5908"/>
    <x v="490"/>
    <s v="Sales invoice issued"/>
    <x v="273"/>
    <s v="3357.86"/>
    <x v="3"/>
    <x v="2"/>
  </r>
  <r>
    <n v="5908"/>
    <x v="490"/>
    <s v="Sales invoice issued"/>
    <x v="273"/>
    <s v="251.84"/>
    <x v="4"/>
    <x v="3"/>
  </r>
  <r>
    <n v="5909"/>
    <x v="490"/>
    <s v="Sales invoice issued"/>
    <x v="2380"/>
    <s v="0.0"/>
    <x v="2"/>
    <x v="0"/>
  </r>
  <r>
    <n v="5909"/>
    <x v="490"/>
    <s v="Sales invoice issued"/>
    <x v="273"/>
    <s v="1864.33"/>
    <x v="3"/>
    <x v="2"/>
  </r>
  <r>
    <n v="5909"/>
    <x v="490"/>
    <s v="Sales invoice issued"/>
    <x v="273"/>
    <s v="139.82"/>
    <x v="4"/>
    <x v="3"/>
  </r>
  <r>
    <n v="5910"/>
    <x v="490"/>
    <s v="Sales invoice issued"/>
    <x v="2381"/>
    <s v="0.0"/>
    <x v="2"/>
    <x v="0"/>
  </r>
  <r>
    <n v="5910"/>
    <x v="490"/>
    <s v="Sales invoice issued"/>
    <x v="273"/>
    <s v="1817.76"/>
    <x v="3"/>
    <x v="2"/>
  </r>
  <r>
    <n v="5910"/>
    <x v="490"/>
    <s v="Sales invoice issued"/>
    <x v="273"/>
    <s v="136.34"/>
    <x v="4"/>
    <x v="3"/>
  </r>
  <r>
    <n v="5911"/>
    <x v="490"/>
    <s v="Sales invoice issued"/>
    <x v="2382"/>
    <s v="0.0"/>
    <x v="2"/>
    <x v="0"/>
  </r>
  <r>
    <n v="5911"/>
    <x v="490"/>
    <s v="Sales invoice issued"/>
    <x v="273"/>
    <s v="2327.53"/>
    <x v="3"/>
    <x v="2"/>
  </r>
  <r>
    <n v="5911"/>
    <x v="490"/>
    <s v="Sales invoice issued"/>
    <x v="273"/>
    <s v="174.57"/>
    <x v="4"/>
    <x v="3"/>
  </r>
  <r>
    <n v="5912"/>
    <x v="490"/>
    <s v="Sales invoice issued"/>
    <x v="2383"/>
    <s v="0.0"/>
    <x v="2"/>
    <x v="0"/>
  </r>
  <r>
    <n v="5912"/>
    <x v="490"/>
    <s v="Sales invoice issued"/>
    <x v="273"/>
    <s v="2089.43"/>
    <x v="3"/>
    <x v="2"/>
  </r>
  <r>
    <n v="5912"/>
    <x v="490"/>
    <s v="Sales invoice issued"/>
    <x v="273"/>
    <s v="156.72"/>
    <x v="4"/>
    <x v="3"/>
  </r>
  <r>
    <n v="5913"/>
    <x v="490"/>
    <s v="Sales invoice issued"/>
    <x v="2384"/>
    <s v="0.0"/>
    <x v="2"/>
    <x v="0"/>
  </r>
  <r>
    <n v="5913"/>
    <x v="490"/>
    <s v="Sales invoice issued"/>
    <x v="273"/>
    <s v="4112.88"/>
    <x v="3"/>
    <x v="2"/>
  </r>
  <r>
    <n v="5913"/>
    <x v="490"/>
    <s v="Sales invoice issued"/>
    <x v="273"/>
    <s v="308.46"/>
    <x v="4"/>
    <x v="3"/>
  </r>
  <r>
    <n v="5914"/>
    <x v="490"/>
    <s v="Sales invoice issued"/>
    <x v="2385"/>
    <s v="0.0"/>
    <x v="2"/>
    <x v="0"/>
  </r>
  <r>
    <n v="5914"/>
    <x v="490"/>
    <s v="Sales invoice issued"/>
    <x v="273"/>
    <s v="5824.53"/>
    <x v="3"/>
    <x v="2"/>
  </r>
  <r>
    <n v="5914"/>
    <x v="490"/>
    <s v="Sales invoice issued"/>
    <x v="273"/>
    <s v="436.83"/>
    <x v="4"/>
    <x v="3"/>
  </r>
  <r>
    <n v="5915"/>
    <x v="490"/>
    <s v="Customer payment received"/>
    <x v="2111"/>
    <s v="0.0"/>
    <x v="0"/>
    <x v="0"/>
  </r>
  <r>
    <n v="5915"/>
    <x v="490"/>
    <s v="Customer payment received"/>
    <x v="273"/>
    <s v="3493.41"/>
    <x v="2"/>
    <x v="0"/>
  </r>
  <r>
    <n v="5916"/>
    <x v="490"/>
    <s v="Customer payment received"/>
    <x v="2119"/>
    <s v="0.0"/>
    <x v="0"/>
    <x v="0"/>
  </r>
  <r>
    <n v="5916"/>
    <x v="490"/>
    <s v="Customer payment received"/>
    <x v="273"/>
    <s v="3255.93"/>
    <x v="2"/>
    <x v="0"/>
  </r>
  <r>
    <n v="5917"/>
    <x v="490"/>
    <s v="Customer payment received"/>
    <x v="2163"/>
    <s v="0.0"/>
    <x v="0"/>
    <x v="0"/>
  </r>
  <r>
    <n v="5917"/>
    <x v="490"/>
    <s v="Customer payment received"/>
    <x v="273"/>
    <s v="2738.56"/>
    <x v="2"/>
    <x v="0"/>
  </r>
  <r>
    <n v="5918"/>
    <x v="490"/>
    <s v="Customer payment received"/>
    <x v="2289"/>
    <s v="0.0"/>
    <x v="0"/>
    <x v="0"/>
  </r>
  <r>
    <n v="5918"/>
    <x v="490"/>
    <s v="Customer payment received"/>
    <x v="273"/>
    <s v="4520.76"/>
    <x v="2"/>
    <x v="0"/>
  </r>
  <r>
    <n v="5919"/>
    <x v="490"/>
    <s v="Customer payment received"/>
    <x v="2291"/>
    <s v="0.0"/>
    <x v="0"/>
    <x v="0"/>
  </r>
  <r>
    <n v="5919"/>
    <x v="490"/>
    <s v="Customer payment received"/>
    <x v="273"/>
    <s v="3567.58"/>
    <x v="2"/>
    <x v="0"/>
  </r>
  <r>
    <n v="5920"/>
    <x v="490"/>
    <s v="Customer payment received"/>
    <x v="2301"/>
    <s v="0.0"/>
    <x v="0"/>
    <x v="0"/>
  </r>
  <r>
    <n v="5920"/>
    <x v="490"/>
    <s v="Customer payment received"/>
    <x v="273"/>
    <s v="2974.44"/>
    <x v="2"/>
    <x v="0"/>
  </r>
  <r>
    <n v="5921"/>
    <x v="490"/>
    <s v="Customer payment received"/>
    <x v="2337"/>
    <s v="0.0"/>
    <x v="0"/>
    <x v="0"/>
  </r>
  <r>
    <n v="5921"/>
    <x v="490"/>
    <s v="Customer payment received"/>
    <x v="273"/>
    <s v="1889.95"/>
    <x v="2"/>
    <x v="0"/>
  </r>
  <r>
    <n v="5922"/>
    <x v="490"/>
    <s v="Customer payment received"/>
    <x v="2346"/>
    <s v="0.0"/>
    <x v="0"/>
    <x v="0"/>
  </r>
  <r>
    <n v="5922"/>
    <x v="490"/>
    <s v="Customer payment received"/>
    <x v="273"/>
    <s v="1499.82"/>
    <x v="2"/>
    <x v="0"/>
  </r>
  <r>
    <n v="5923"/>
    <x v="490"/>
    <s v="Customer payment received"/>
    <x v="2359"/>
    <s v="0.0"/>
    <x v="0"/>
    <x v="0"/>
  </r>
  <r>
    <n v="5923"/>
    <x v="490"/>
    <s v="Customer payment received"/>
    <x v="273"/>
    <s v="5850.78"/>
    <x v="2"/>
    <x v="0"/>
  </r>
  <r>
    <n v="5924"/>
    <x v="490"/>
    <s v="Supplier invoice received"/>
    <x v="330"/>
    <s v="0.0"/>
    <x v="9"/>
    <x v="4"/>
  </r>
  <r>
    <n v="5924"/>
    <x v="490"/>
    <s v="Supplier invoice received"/>
    <x v="331"/>
    <s v="0.0"/>
    <x v="10"/>
    <x v="0"/>
  </r>
  <r>
    <n v="5924"/>
    <x v="490"/>
    <s v="Supplier invoice received"/>
    <x v="273"/>
    <s v="1935.04"/>
    <x v="11"/>
    <x v="3"/>
  </r>
  <r>
    <n v="5925"/>
    <x v="490"/>
    <s v="Supplier invoice received"/>
    <x v="297"/>
    <s v="0.0"/>
    <x v="9"/>
    <x v="4"/>
  </r>
  <r>
    <n v="5925"/>
    <x v="490"/>
    <s v="Supplier invoice received"/>
    <x v="298"/>
    <s v="0.0"/>
    <x v="10"/>
    <x v="0"/>
  </r>
  <r>
    <n v="5925"/>
    <x v="490"/>
    <s v="Supplier invoice received"/>
    <x v="273"/>
    <s v="3528.97"/>
    <x v="11"/>
    <x v="3"/>
  </r>
  <r>
    <n v="5926"/>
    <x v="490"/>
    <s v="Supplier invoice received"/>
    <x v="284"/>
    <s v="0.0"/>
    <x v="9"/>
    <x v="4"/>
  </r>
  <r>
    <n v="5926"/>
    <x v="490"/>
    <s v="Supplier invoice received"/>
    <x v="285"/>
    <s v="0.0"/>
    <x v="10"/>
    <x v="0"/>
  </r>
  <r>
    <n v="5926"/>
    <x v="490"/>
    <s v="Supplier invoice received"/>
    <x v="273"/>
    <s v="9336.67"/>
    <x v="11"/>
    <x v="3"/>
  </r>
  <r>
    <n v="5927"/>
    <x v="490"/>
    <s v="Supplier invoice received"/>
    <x v="332"/>
    <s v="0.0"/>
    <x v="9"/>
    <x v="4"/>
  </r>
  <r>
    <n v="5927"/>
    <x v="490"/>
    <s v="Supplier invoice received"/>
    <x v="333"/>
    <s v="0.0"/>
    <x v="10"/>
    <x v="0"/>
  </r>
  <r>
    <n v="5927"/>
    <x v="490"/>
    <s v="Supplier invoice received"/>
    <x v="273"/>
    <s v="1023.42"/>
    <x v="11"/>
    <x v="3"/>
  </r>
  <r>
    <n v="5928"/>
    <x v="490"/>
    <s v="Supplier invoice received"/>
    <x v="441"/>
    <s v="0.0"/>
    <x v="9"/>
    <x v="4"/>
  </r>
  <r>
    <n v="5928"/>
    <x v="490"/>
    <s v="Supplier invoice received"/>
    <x v="442"/>
    <s v="0.0"/>
    <x v="10"/>
    <x v="0"/>
  </r>
  <r>
    <n v="5928"/>
    <x v="490"/>
    <s v="Supplier invoice received"/>
    <x v="273"/>
    <s v="179.01"/>
    <x v="11"/>
    <x v="3"/>
  </r>
  <r>
    <n v="5929"/>
    <x v="490"/>
    <s v="Supplier invoice received"/>
    <x v="301"/>
    <s v="0.0"/>
    <x v="9"/>
    <x v="4"/>
  </r>
  <r>
    <n v="5929"/>
    <x v="490"/>
    <s v="Supplier invoice received"/>
    <x v="302"/>
    <s v="0.0"/>
    <x v="10"/>
    <x v="0"/>
  </r>
  <r>
    <n v="5929"/>
    <x v="490"/>
    <s v="Supplier invoice received"/>
    <x v="273"/>
    <s v="4812.46"/>
    <x v="11"/>
    <x v="3"/>
  </r>
  <r>
    <n v="5930"/>
    <x v="490"/>
    <s v="Supplier invoice received"/>
    <x v="374"/>
    <s v="0.0"/>
    <x v="9"/>
    <x v="4"/>
  </r>
  <r>
    <n v="5930"/>
    <x v="490"/>
    <s v="Supplier invoice received"/>
    <x v="375"/>
    <s v="0.0"/>
    <x v="10"/>
    <x v="0"/>
  </r>
  <r>
    <n v="5930"/>
    <x v="490"/>
    <s v="Supplier invoice received"/>
    <x v="273"/>
    <s v="2504.23"/>
    <x v="11"/>
    <x v="3"/>
  </r>
  <r>
    <n v="5931"/>
    <x v="490"/>
    <s v="Supplier invoice received"/>
    <x v="366"/>
    <s v="0.0"/>
    <x v="9"/>
    <x v="4"/>
  </r>
  <r>
    <n v="5931"/>
    <x v="490"/>
    <s v="Supplier invoice received"/>
    <x v="367"/>
    <s v="0.0"/>
    <x v="10"/>
    <x v="0"/>
  </r>
  <r>
    <n v="5931"/>
    <x v="490"/>
    <s v="Supplier invoice received"/>
    <x v="273"/>
    <s v="201.5"/>
    <x v="11"/>
    <x v="3"/>
  </r>
  <r>
    <n v="5932"/>
    <x v="490"/>
    <s v="Supplier invoice received"/>
    <x v="325"/>
    <s v="0.0"/>
    <x v="9"/>
    <x v="4"/>
  </r>
  <r>
    <n v="5932"/>
    <x v="490"/>
    <s v="Supplier invoice received"/>
    <x v="326"/>
    <s v="0.0"/>
    <x v="10"/>
    <x v="0"/>
  </r>
  <r>
    <n v="5932"/>
    <x v="490"/>
    <s v="Supplier invoice received"/>
    <x v="273"/>
    <s v="1304.62"/>
    <x v="11"/>
    <x v="3"/>
  </r>
  <r>
    <n v="5933"/>
    <x v="490"/>
    <s v="Supplier invoice received"/>
    <x v="299"/>
    <s v="0.0"/>
    <x v="9"/>
    <x v="4"/>
  </r>
  <r>
    <n v="5933"/>
    <x v="490"/>
    <s v="Supplier invoice received"/>
    <x v="300"/>
    <s v="0.0"/>
    <x v="10"/>
    <x v="0"/>
  </r>
  <r>
    <n v="5933"/>
    <x v="490"/>
    <s v="Supplier invoice received"/>
    <x v="273"/>
    <s v="2918.17"/>
    <x v="11"/>
    <x v="3"/>
  </r>
  <r>
    <n v="5934"/>
    <x v="490"/>
    <s v="Supplier invoice received"/>
    <x v="372"/>
    <s v="0.0"/>
    <x v="9"/>
    <x v="4"/>
  </r>
  <r>
    <n v="5934"/>
    <x v="490"/>
    <s v="Supplier invoice received"/>
    <x v="373"/>
    <s v="0.0"/>
    <x v="10"/>
    <x v="0"/>
  </r>
  <r>
    <n v="5934"/>
    <x v="490"/>
    <s v="Supplier invoice received"/>
    <x v="273"/>
    <s v="412.54"/>
    <x v="11"/>
    <x v="3"/>
  </r>
  <r>
    <n v="5935"/>
    <x v="490"/>
    <s v="Supplier payment made"/>
    <x v="280"/>
    <s v="0.0"/>
    <x v="11"/>
    <x v="3"/>
  </r>
  <r>
    <n v="5935"/>
    <x v="490"/>
    <s v="Supplier payment made"/>
    <x v="273"/>
    <s v="2635.36"/>
    <x v="0"/>
    <x v="0"/>
  </r>
  <r>
    <n v="5936"/>
    <x v="491"/>
    <s v="Sales invoice issued"/>
    <x v="2386"/>
    <s v="0.0"/>
    <x v="2"/>
    <x v="0"/>
  </r>
  <r>
    <n v="5936"/>
    <x v="491"/>
    <s v="Sales invoice issued"/>
    <x v="273"/>
    <s v="5122.57"/>
    <x v="3"/>
    <x v="2"/>
  </r>
  <r>
    <n v="5936"/>
    <x v="491"/>
    <s v="Sales invoice issued"/>
    <x v="273"/>
    <s v="384.2"/>
    <x v="4"/>
    <x v="3"/>
  </r>
  <r>
    <n v="5937"/>
    <x v="491"/>
    <s v="Sales invoice issued"/>
    <x v="2387"/>
    <s v="0.0"/>
    <x v="2"/>
    <x v="0"/>
  </r>
  <r>
    <n v="5937"/>
    <x v="491"/>
    <s v="Sales invoice issued"/>
    <x v="273"/>
    <s v="2647.06"/>
    <x v="3"/>
    <x v="2"/>
  </r>
  <r>
    <n v="5937"/>
    <x v="491"/>
    <s v="Sales invoice issued"/>
    <x v="273"/>
    <s v="198.53"/>
    <x v="4"/>
    <x v="3"/>
  </r>
  <r>
    <n v="5938"/>
    <x v="491"/>
    <s v="Sales invoice issued"/>
    <x v="2388"/>
    <s v="0.0"/>
    <x v="2"/>
    <x v="0"/>
  </r>
  <r>
    <n v="5938"/>
    <x v="491"/>
    <s v="Sales invoice issued"/>
    <x v="273"/>
    <s v="1370.86"/>
    <x v="3"/>
    <x v="2"/>
  </r>
  <r>
    <n v="5938"/>
    <x v="491"/>
    <s v="Sales invoice issued"/>
    <x v="273"/>
    <s v="102.81"/>
    <x v="4"/>
    <x v="3"/>
  </r>
  <r>
    <n v="5939"/>
    <x v="491"/>
    <s v="Sales invoice issued"/>
    <x v="2389"/>
    <s v="0.0"/>
    <x v="2"/>
    <x v="0"/>
  </r>
  <r>
    <n v="5939"/>
    <x v="491"/>
    <s v="Sales invoice issued"/>
    <x v="273"/>
    <s v="2828.22"/>
    <x v="3"/>
    <x v="2"/>
  </r>
  <r>
    <n v="5939"/>
    <x v="491"/>
    <s v="Sales invoice issued"/>
    <x v="273"/>
    <s v="212.11"/>
    <x v="4"/>
    <x v="3"/>
  </r>
  <r>
    <n v="5940"/>
    <x v="491"/>
    <s v="Sales invoice issued"/>
    <x v="2390"/>
    <s v="0.0"/>
    <x v="2"/>
    <x v="0"/>
  </r>
  <r>
    <n v="5940"/>
    <x v="491"/>
    <s v="Sales invoice issued"/>
    <x v="273"/>
    <s v="536.9"/>
    <x v="3"/>
    <x v="2"/>
  </r>
  <r>
    <n v="5940"/>
    <x v="491"/>
    <s v="Sales invoice issued"/>
    <x v="273"/>
    <s v="40.27"/>
    <x v="4"/>
    <x v="3"/>
  </r>
  <r>
    <n v="5941"/>
    <x v="491"/>
    <s v="Sales invoice issued"/>
    <x v="2391"/>
    <s v="0.0"/>
    <x v="2"/>
    <x v="0"/>
  </r>
  <r>
    <n v="5941"/>
    <x v="491"/>
    <s v="Sales invoice issued"/>
    <x v="273"/>
    <s v="1814.43"/>
    <x v="3"/>
    <x v="2"/>
  </r>
  <r>
    <n v="5941"/>
    <x v="491"/>
    <s v="Sales invoice issued"/>
    <x v="273"/>
    <s v="136.07"/>
    <x v="4"/>
    <x v="3"/>
  </r>
  <r>
    <n v="5942"/>
    <x v="491"/>
    <s v="Sales invoice issued"/>
    <x v="2392"/>
    <s v="0.0"/>
    <x v="2"/>
    <x v="0"/>
  </r>
  <r>
    <n v="5942"/>
    <x v="491"/>
    <s v="Sales invoice issued"/>
    <x v="273"/>
    <s v="2839.97"/>
    <x v="3"/>
    <x v="2"/>
  </r>
  <r>
    <n v="5942"/>
    <x v="491"/>
    <s v="Sales invoice issued"/>
    <x v="273"/>
    <s v="212.99"/>
    <x v="4"/>
    <x v="3"/>
  </r>
  <r>
    <n v="5943"/>
    <x v="491"/>
    <s v="Sales invoice issued"/>
    <x v="2393"/>
    <s v="0.0"/>
    <x v="2"/>
    <x v="0"/>
  </r>
  <r>
    <n v="5943"/>
    <x v="491"/>
    <s v="Sales invoice issued"/>
    <x v="273"/>
    <s v="1984.89"/>
    <x v="3"/>
    <x v="2"/>
  </r>
  <r>
    <n v="5943"/>
    <x v="491"/>
    <s v="Sales invoice issued"/>
    <x v="273"/>
    <s v="148.87"/>
    <x v="4"/>
    <x v="3"/>
  </r>
  <r>
    <n v="5944"/>
    <x v="491"/>
    <s v="Customer payment received"/>
    <x v="2394"/>
    <s v="0.0"/>
    <x v="0"/>
    <x v="0"/>
  </r>
  <r>
    <n v="5944"/>
    <x v="491"/>
    <s v="Customer payment received"/>
    <x v="273"/>
    <s v="460.26"/>
    <x v="2"/>
    <x v="0"/>
  </r>
  <r>
    <n v="5945"/>
    <x v="491"/>
    <s v="Customer payment received"/>
    <x v="2166"/>
    <s v="0.0"/>
    <x v="0"/>
    <x v="0"/>
  </r>
  <r>
    <n v="5945"/>
    <x v="491"/>
    <s v="Customer payment received"/>
    <x v="273"/>
    <s v="2920.32"/>
    <x v="2"/>
    <x v="0"/>
  </r>
  <r>
    <n v="5946"/>
    <x v="491"/>
    <s v="Customer payment received"/>
    <x v="2230"/>
    <s v="0.0"/>
    <x v="0"/>
    <x v="0"/>
  </r>
  <r>
    <n v="5946"/>
    <x v="491"/>
    <s v="Customer payment received"/>
    <x v="273"/>
    <s v="2442.86"/>
    <x v="2"/>
    <x v="0"/>
  </r>
  <r>
    <n v="5947"/>
    <x v="491"/>
    <s v="Customer payment received"/>
    <x v="2255"/>
    <s v="0.0"/>
    <x v="0"/>
    <x v="0"/>
  </r>
  <r>
    <n v="5947"/>
    <x v="491"/>
    <s v="Customer payment received"/>
    <x v="273"/>
    <s v="679.96"/>
    <x v="2"/>
    <x v="0"/>
  </r>
  <r>
    <n v="5948"/>
    <x v="491"/>
    <s v="Customer payment received"/>
    <x v="2342"/>
    <s v="0.0"/>
    <x v="0"/>
    <x v="0"/>
  </r>
  <r>
    <n v="5948"/>
    <x v="491"/>
    <s v="Customer payment received"/>
    <x v="273"/>
    <s v="1988.1"/>
    <x v="2"/>
    <x v="0"/>
  </r>
  <r>
    <n v="5949"/>
    <x v="491"/>
    <s v="Customer payment received"/>
    <x v="2347"/>
    <s v="0.0"/>
    <x v="0"/>
    <x v="0"/>
  </r>
  <r>
    <n v="5949"/>
    <x v="491"/>
    <s v="Customer payment received"/>
    <x v="273"/>
    <s v="1195.53"/>
    <x v="2"/>
    <x v="0"/>
  </r>
  <r>
    <n v="5950"/>
    <x v="491"/>
    <s v="Customer payment received"/>
    <x v="2352"/>
    <s v="0.0"/>
    <x v="0"/>
    <x v="0"/>
  </r>
  <r>
    <n v="5950"/>
    <x v="491"/>
    <s v="Customer payment received"/>
    <x v="273"/>
    <s v="672.42"/>
    <x v="2"/>
    <x v="0"/>
  </r>
  <r>
    <n v="5951"/>
    <x v="491"/>
    <s v="Supplier invoice received"/>
    <x v="357"/>
    <s v="0.0"/>
    <x v="9"/>
    <x v="4"/>
  </r>
  <r>
    <n v="5951"/>
    <x v="491"/>
    <s v="Supplier invoice received"/>
    <x v="358"/>
    <s v="0.0"/>
    <x v="10"/>
    <x v="0"/>
  </r>
  <r>
    <n v="5951"/>
    <x v="491"/>
    <s v="Supplier invoice received"/>
    <x v="273"/>
    <s v="1958.74"/>
    <x v="11"/>
    <x v="3"/>
  </r>
  <r>
    <n v="5952"/>
    <x v="492"/>
    <s v="Sales invoice issued"/>
    <x v="2395"/>
    <s v="0.0"/>
    <x v="2"/>
    <x v="0"/>
  </r>
  <r>
    <n v="5952"/>
    <x v="492"/>
    <s v="Sales invoice issued"/>
    <x v="273"/>
    <s v="415.83"/>
    <x v="3"/>
    <x v="2"/>
  </r>
  <r>
    <n v="5952"/>
    <x v="492"/>
    <s v="Sales invoice issued"/>
    <x v="273"/>
    <s v="31.18"/>
    <x v="4"/>
    <x v="3"/>
  </r>
  <r>
    <n v="5953"/>
    <x v="492"/>
    <s v="Sales invoice issued"/>
    <x v="2396"/>
    <s v="0.0"/>
    <x v="2"/>
    <x v="0"/>
  </r>
  <r>
    <n v="5953"/>
    <x v="492"/>
    <s v="Sales invoice issued"/>
    <x v="273"/>
    <s v="330.39"/>
    <x v="3"/>
    <x v="2"/>
  </r>
  <r>
    <n v="5953"/>
    <x v="492"/>
    <s v="Sales invoice issued"/>
    <x v="273"/>
    <s v="24.78"/>
    <x v="4"/>
    <x v="3"/>
  </r>
  <r>
    <n v="5954"/>
    <x v="492"/>
    <s v="Sales invoice issued"/>
    <x v="2397"/>
    <s v="0.0"/>
    <x v="2"/>
    <x v="0"/>
  </r>
  <r>
    <n v="5954"/>
    <x v="492"/>
    <s v="Sales invoice issued"/>
    <x v="273"/>
    <s v="867.33"/>
    <x v="3"/>
    <x v="2"/>
  </r>
  <r>
    <n v="5954"/>
    <x v="492"/>
    <s v="Sales invoice issued"/>
    <x v="273"/>
    <s v="65.05"/>
    <x v="4"/>
    <x v="3"/>
  </r>
  <r>
    <n v="5955"/>
    <x v="492"/>
    <s v="Sales invoice issued"/>
    <x v="2398"/>
    <s v="0.0"/>
    <x v="2"/>
    <x v="0"/>
  </r>
  <r>
    <n v="5955"/>
    <x v="492"/>
    <s v="Sales invoice issued"/>
    <x v="273"/>
    <s v="2430.41"/>
    <x v="3"/>
    <x v="2"/>
  </r>
  <r>
    <n v="5955"/>
    <x v="492"/>
    <s v="Sales invoice issued"/>
    <x v="273"/>
    <s v="182.27"/>
    <x v="4"/>
    <x v="3"/>
  </r>
  <r>
    <n v="5956"/>
    <x v="492"/>
    <s v="Sales invoice issued"/>
    <x v="2399"/>
    <s v="0.0"/>
    <x v="2"/>
    <x v="0"/>
  </r>
  <r>
    <n v="5956"/>
    <x v="492"/>
    <s v="Sales invoice issued"/>
    <x v="273"/>
    <s v="1763.37"/>
    <x v="3"/>
    <x v="2"/>
  </r>
  <r>
    <n v="5956"/>
    <x v="492"/>
    <s v="Sales invoice issued"/>
    <x v="273"/>
    <s v="132.25"/>
    <x v="4"/>
    <x v="3"/>
  </r>
  <r>
    <n v="5957"/>
    <x v="492"/>
    <s v="Sales invoice issued"/>
    <x v="2400"/>
    <s v="0.0"/>
    <x v="2"/>
    <x v="0"/>
  </r>
  <r>
    <n v="5957"/>
    <x v="492"/>
    <s v="Sales invoice issued"/>
    <x v="273"/>
    <s v="367.4"/>
    <x v="3"/>
    <x v="2"/>
  </r>
  <r>
    <n v="5957"/>
    <x v="492"/>
    <s v="Sales invoice issued"/>
    <x v="273"/>
    <s v="27.56"/>
    <x v="4"/>
    <x v="3"/>
  </r>
  <r>
    <n v="5958"/>
    <x v="492"/>
    <s v="Sales invoice issued"/>
    <x v="2401"/>
    <s v="0.0"/>
    <x v="2"/>
    <x v="0"/>
  </r>
  <r>
    <n v="5958"/>
    <x v="492"/>
    <s v="Sales invoice issued"/>
    <x v="273"/>
    <s v="1445.24"/>
    <x v="3"/>
    <x v="2"/>
  </r>
  <r>
    <n v="5958"/>
    <x v="492"/>
    <s v="Sales invoice issued"/>
    <x v="273"/>
    <s v="108.4"/>
    <x v="4"/>
    <x v="3"/>
  </r>
  <r>
    <n v="5959"/>
    <x v="492"/>
    <s v="Sales invoice issued"/>
    <x v="2402"/>
    <s v="0.0"/>
    <x v="2"/>
    <x v="0"/>
  </r>
  <r>
    <n v="5959"/>
    <x v="492"/>
    <s v="Sales invoice issued"/>
    <x v="273"/>
    <s v="4478.2"/>
    <x v="3"/>
    <x v="2"/>
  </r>
  <r>
    <n v="5959"/>
    <x v="492"/>
    <s v="Sales invoice issued"/>
    <x v="273"/>
    <s v="335.85"/>
    <x v="4"/>
    <x v="3"/>
  </r>
  <r>
    <n v="5960"/>
    <x v="492"/>
    <s v="Sales invoice issued"/>
    <x v="2403"/>
    <s v="0.0"/>
    <x v="2"/>
    <x v="0"/>
  </r>
  <r>
    <n v="5960"/>
    <x v="492"/>
    <s v="Sales invoice issued"/>
    <x v="273"/>
    <s v="1602.58"/>
    <x v="3"/>
    <x v="2"/>
  </r>
  <r>
    <n v="5960"/>
    <x v="492"/>
    <s v="Sales invoice issued"/>
    <x v="273"/>
    <s v="120.19"/>
    <x v="4"/>
    <x v="3"/>
  </r>
  <r>
    <n v="5961"/>
    <x v="492"/>
    <s v="Sales invoice issued"/>
    <x v="2404"/>
    <s v="0.0"/>
    <x v="2"/>
    <x v="0"/>
  </r>
  <r>
    <n v="5961"/>
    <x v="492"/>
    <s v="Sales invoice issued"/>
    <x v="273"/>
    <s v="457.81"/>
    <x v="3"/>
    <x v="2"/>
  </r>
  <r>
    <n v="5961"/>
    <x v="492"/>
    <s v="Sales invoice issued"/>
    <x v="273"/>
    <s v="34.34"/>
    <x v="4"/>
    <x v="3"/>
  </r>
  <r>
    <n v="5962"/>
    <x v="492"/>
    <s v="Customer payment received"/>
    <x v="2110"/>
    <s v="0.0"/>
    <x v="0"/>
    <x v="0"/>
  </r>
  <r>
    <n v="5962"/>
    <x v="492"/>
    <s v="Customer payment received"/>
    <x v="273"/>
    <s v="2878.23"/>
    <x v="2"/>
    <x v="0"/>
  </r>
  <r>
    <n v="5963"/>
    <x v="492"/>
    <s v="Customer payment received"/>
    <x v="2231"/>
    <s v="0.0"/>
    <x v="0"/>
    <x v="0"/>
  </r>
  <r>
    <n v="5963"/>
    <x v="492"/>
    <s v="Customer payment received"/>
    <x v="273"/>
    <s v="1687.24"/>
    <x v="2"/>
    <x v="0"/>
  </r>
  <r>
    <n v="5964"/>
    <x v="492"/>
    <s v="Customer payment received"/>
    <x v="2243"/>
    <s v="0.0"/>
    <x v="0"/>
    <x v="0"/>
  </r>
  <r>
    <n v="5964"/>
    <x v="492"/>
    <s v="Customer payment received"/>
    <x v="273"/>
    <s v="3261.83"/>
    <x v="2"/>
    <x v="0"/>
  </r>
  <r>
    <n v="5965"/>
    <x v="492"/>
    <s v="Customer payment received"/>
    <x v="2360"/>
    <s v="0.0"/>
    <x v="0"/>
    <x v="0"/>
  </r>
  <r>
    <n v="5965"/>
    <x v="492"/>
    <s v="Customer payment received"/>
    <x v="273"/>
    <s v="3310.51"/>
    <x v="2"/>
    <x v="0"/>
  </r>
  <r>
    <n v="5966"/>
    <x v="492"/>
    <s v="Customer payment received"/>
    <x v="2397"/>
    <s v="0.0"/>
    <x v="0"/>
    <x v="0"/>
  </r>
  <r>
    <n v="5966"/>
    <x v="492"/>
    <s v="Customer payment received"/>
    <x v="273"/>
    <s v="932.38"/>
    <x v="2"/>
    <x v="0"/>
  </r>
  <r>
    <n v="5967"/>
    <x v="492"/>
    <s v="Supplier invoice received"/>
    <x v="405"/>
    <s v="0.0"/>
    <x v="9"/>
    <x v="4"/>
  </r>
  <r>
    <n v="5967"/>
    <x v="492"/>
    <s v="Supplier invoice received"/>
    <x v="406"/>
    <s v="0.0"/>
    <x v="10"/>
    <x v="0"/>
  </r>
  <r>
    <n v="5967"/>
    <x v="492"/>
    <s v="Supplier invoice received"/>
    <x v="273"/>
    <s v="2635.36"/>
    <x v="11"/>
    <x v="3"/>
  </r>
  <r>
    <n v="5968"/>
    <x v="492"/>
    <s v="Supplier payment made"/>
    <x v="407"/>
    <s v="0.0"/>
    <x v="11"/>
    <x v="3"/>
  </r>
  <r>
    <n v="5968"/>
    <x v="492"/>
    <s v="Supplier payment made"/>
    <x v="273"/>
    <s v="201.5"/>
    <x v="0"/>
    <x v="0"/>
  </r>
  <r>
    <n v="5969"/>
    <x v="493"/>
    <s v="Payroll processed"/>
    <x v="2258"/>
    <s v="0.0"/>
    <x v="5"/>
    <x v="4"/>
  </r>
  <r>
    <n v="5969"/>
    <x v="493"/>
    <s v="Payroll processed"/>
    <x v="2259"/>
    <s v="0.0"/>
    <x v="6"/>
    <x v="4"/>
  </r>
  <r>
    <n v="5969"/>
    <x v="493"/>
    <s v="Payroll processed"/>
    <x v="273"/>
    <s v="18071.6"/>
    <x v="0"/>
    <x v="0"/>
  </r>
  <r>
    <n v="5969"/>
    <x v="493"/>
    <s v="Payroll processed"/>
    <x v="273"/>
    <s v="4352.58"/>
    <x v="7"/>
    <x v="3"/>
  </r>
  <r>
    <n v="5969"/>
    <x v="493"/>
    <s v="Payroll processed"/>
    <x v="273"/>
    <s v="896.97"/>
    <x v="8"/>
    <x v="3"/>
  </r>
  <r>
    <n v="5970"/>
    <x v="493"/>
    <s v="Sales invoice issued"/>
    <x v="2405"/>
    <s v="0.0"/>
    <x v="2"/>
    <x v="0"/>
  </r>
  <r>
    <n v="5970"/>
    <x v="493"/>
    <s v="Sales invoice issued"/>
    <x v="273"/>
    <s v="3188.51"/>
    <x v="3"/>
    <x v="2"/>
  </r>
  <r>
    <n v="5970"/>
    <x v="493"/>
    <s v="Sales invoice issued"/>
    <x v="273"/>
    <s v="239.14"/>
    <x v="4"/>
    <x v="3"/>
  </r>
  <r>
    <n v="5971"/>
    <x v="493"/>
    <s v="Sales invoice issued"/>
    <x v="2406"/>
    <s v="0.0"/>
    <x v="2"/>
    <x v="0"/>
  </r>
  <r>
    <n v="5971"/>
    <x v="493"/>
    <s v="Sales invoice issued"/>
    <x v="273"/>
    <s v="1303.01"/>
    <x v="3"/>
    <x v="2"/>
  </r>
  <r>
    <n v="5971"/>
    <x v="493"/>
    <s v="Sales invoice issued"/>
    <x v="273"/>
    <s v="97.72"/>
    <x v="4"/>
    <x v="3"/>
  </r>
  <r>
    <n v="5972"/>
    <x v="493"/>
    <s v="Sales invoice issued"/>
    <x v="2407"/>
    <s v="0.0"/>
    <x v="2"/>
    <x v="0"/>
  </r>
  <r>
    <n v="5972"/>
    <x v="493"/>
    <s v="Sales invoice issued"/>
    <x v="273"/>
    <s v="1695.99"/>
    <x v="3"/>
    <x v="2"/>
  </r>
  <r>
    <n v="5972"/>
    <x v="493"/>
    <s v="Sales invoice issued"/>
    <x v="273"/>
    <s v="127.2"/>
    <x v="4"/>
    <x v="3"/>
  </r>
  <r>
    <n v="5973"/>
    <x v="493"/>
    <s v="Sales invoice issued"/>
    <x v="2408"/>
    <s v="0.0"/>
    <x v="2"/>
    <x v="0"/>
  </r>
  <r>
    <n v="5973"/>
    <x v="493"/>
    <s v="Sales invoice issued"/>
    <x v="273"/>
    <s v="4227.54"/>
    <x v="3"/>
    <x v="2"/>
  </r>
  <r>
    <n v="5973"/>
    <x v="493"/>
    <s v="Sales invoice issued"/>
    <x v="273"/>
    <s v="317.07"/>
    <x v="4"/>
    <x v="3"/>
  </r>
  <r>
    <n v="5974"/>
    <x v="493"/>
    <s v="Sales invoice issued"/>
    <x v="2409"/>
    <s v="0.0"/>
    <x v="2"/>
    <x v="0"/>
  </r>
  <r>
    <n v="5974"/>
    <x v="493"/>
    <s v="Sales invoice issued"/>
    <x v="273"/>
    <s v="727.73"/>
    <x v="3"/>
    <x v="2"/>
  </r>
  <r>
    <n v="5974"/>
    <x v="493"/>
    <s v="Sales invoice issued"/>
    <x v="273"/>
    <s v="54.57"/>
    <x v="4"/>
    <x v="3"/>
  </r>
  <r>
    <n v="5975"/>
    <x v="493"/>
    <s v="Sales invoice issued"/>
    <x v="2410"/>
    <s v="0.0"/>
    <x v="2"/>
    <x v="0"/>
  </r>
  <r>
    <n v="5975"/>
    <x v="493"/>
    <s v="Sales invoice issued"/>
    <x v="273"/>
    <s v="3504.4"/>
    <x v="3"/>
    <x v="2"/>
  </r>
  <r>
    <n v="5975"/>
    <x v="493"/>
    <s v="Sales invoice issued"/>
    <x v="273"/>
    <s v="262.82"/>
    <x v="4"/>
    <x v="3"/>
  </r>
  <r>
    <n v="5976"/>
    <x v="493"/>
    <s v="Sales invoice issued"/>
    <x v="2411"/>
    <s v="0.0"/>
    <x v="2"/>
    <x v="0"/>
  </r>
  <r>
    <n v="5976"/>
    <x v="493"/>
    <s v="Sales invoice issued"/>
    <x v="273"/>
    <s v="4867.29"/>
    <x v="3"/>
    <x v="2"/>
  </r>
  <r>
    <n v="5976"/>
    <x v="493"/>
    <s v="Sales invoice issued"/>
    <x v="273"/>
    <s v="365.05"/>
    <x v="4"/>
    <x v="3"/>
  </r>
  <r>
    <n v="5977"/>
    <x v="493"/>
    <s v="Sales invoice issued"/>
    <x v="2412"/>
    <s v="0.0"/>
    <x v="2"/>
    <x v="0"/>
  </r>
  <r>
    <n v="5977"/>
    <x v="493"/>
    <s v="Sales invoice issued"/>
    <x v="273"/>
    <s v="2545.6"/>
    <x v="3"/>
    <x v="2"/>
  </r>
  <r>
    <n v="5977"/>
    <x v="493"/>
    <s v="Sales invoice issued"/>
    <x v="273"/>
    <s v="190.93"/>
    <x v="4"/>
    <x v="3"/>
  </r>
  <r>
    <n v="5978"/>
    <x v="493"/>
    <s v="Sales invoice issued"/>
    <x v="2413"/>
    <s v="0.0"/>
    <x v="2"/>
    <x v="0"/>
  </r>
  <r>
    <n v="5978"/>
    <x v="493"/>
    <s v="Sales invoice issued"/>
    <x v="273"/>
    <s v="6194.49"/>
    <x v="3"/>
    <x v="2"/>
  </r>
  <r>
    <n v="5978"/>
    <x v="493"/>
    <s v="Sales invoice issued"/>
    <x v="273"/>
    <s v="464.58"/>
    <x v="4"/>
    <x v="3"/>
  </r>
  <r>
    <n v="5979"/>
    <x v="493"/>
    <s v="Sales invoice issued"/>
    <x v="2414"/>
    <s v="0.0"/>
    <x v="2"/>
    <x v="0"/>
  </r>
  <r>
    <n v="5979"/>
    <x v="493"/>
    <s v="Sales invoice issued"/>
    <x v="273"/>
    <s v="460.12"/>
    <x v="3"/>
    <x v="2"/>
  </r>
  <r>
    <n v="5979"/>
    <x v="493"/>
    <s v="Sales invoice issued"/>
    <x v="273"/>
    <s v="34.51"/>
    <x v="4"/>
    <x v="3"/>
  </r>
  <r>
    <n v="5980"/>
    <x v="493"/>
    <s v="Sales invoice issued"/>
    <x v="2124"/>
    <s v="0.0"/>
    <x v="2"/>
    <x v="0"/>
  </r>
  <r>
    <n v="5980"/>
    <x v="493"/>
    <s v="Sales invoice issued"/>
    <x v="273"/>
    <s v="200.46"/>
    <x v="3"/>
    <x v="2"/>
  </r>
  <r>
    <n v="5980"/>
    <x v="493"/>
    <s v="Sales invoice issued"/>
    <x v="273"/>
    <s v="15.03"/>
    <x v="4"/>
    <x v="3"/>
  </r>
  <r>
    <n v="5981"/>
    <x v="493"/>
    <s v="Sales invoice issued"/>
    <x v="2415"/>
    <s v="0.0"/>
    <x v="2"/>
    <x v="0"/>
  </r>
  <r>
    <n v="5981"/>
    <x v="493"/>
    <s v="Sales invoice issued"/>
    <x v="273"/>
    <s v="4455.23"/>
    <x v="3"/>
    <x v="2"/>
  </r>
  <r>
    <n v="5981"/>
    <x v="493"/>
    <s v="Sales invoice issued"/>
    <x v="273"/>
    <s v="334.16"/>
    <x v="4"/>
    <x v="3"/>
  </r>
  <r>
    <n v="5982"/>
    <x v="493"/>
    <s v="Customer payment received"/>
    <x v="2182"/>
    <s v="0.0"/>
    <x v="0"/>
    <x v="0"/>
  </r>
  <r>
    <n v="5982"/>
    <x v="493"/>
    <s v="Customer payment received"/>
    <x v="273"/>
    <s v="1939.19"/>
    <x v="2"/>
    <x v="0"/>
  </r>
  <r>
    <n v="5983"/>
    <x v="493"/>
    <s v="Customer payment received"/>
    <x v="2222"/>
    <s v="0.0"/>
    <x v="0"/>
    <x v="0"/>
  </r>
  <r>
    <n v="5983"/>
    <x v="493"/>
    <s v="Customer payment received"/>
    <x v="273"/>
    <s v="789.93"/>
    <x v="2"/>
    <x v="0"/>
  </r>
  <r>
    <n v="5984"/>
    <x v="493"/>
    <s v="Customer payment received"/>
    <x v="2323"/>
    <s v="0.0"/>
    <x v="0"/>
    <x v="0"/>
  </r>
  <r>
    <n v="5984"/>
    <x v="493"/>
    <s v="Customer payment received"/>
    <x v="273"/>
    <s v="3747.76"/>
    <x v="2"/>
    <x v="0"/>
  </r>
  <r>
    <n v="5985"/>
    <x v="493"/>
    <s v="Customer payment received"/>
    <x v="2350"/>
    <s v="0.0"/>
    <x v="0"/>
    <x v="0"/>
  </r>
  <r>
    <n v="5985"/>
    <x v="493"/>
    <s v="Customer payment received"/>
    <x v="273"/>
    <s v="890.58"/>
    <x v="2"/>
    <x v="0"/>
  </r>
  <r>
    <n v="5986"/>
    <x v="493"/>
    <s v="Customer payment received"/>
    <x v="2356"/>
    <s v="0.0"/>
    <x v="0"/>
    <x v="0"/>
  </r>
  <r>
    <n v="5986"/>
    <x v="493"/>
    <s v="Customer payment received"/>
    <x v="273"/>
    <s v="238.83"/>
    <x v="2"/>
    <x v="0"/>
  </r>
  <r>
    <n v="5987"/>
    <x v="493"/>
    <s v="Customer payment received"/>
    <x v="2371"/>
    <s v="0.0"/>
    <x v="0"/>
    <x v="0"/>
  </r>
  <r>
    <n v="5987"/>
    <x v="493"/>
    <s v="Customer payment received"/>
    <x v="273"/>
    <s v="2005.98"/>
    <x v="2"/>
    <x v="0"/>
  </r>
  <r>
    <n v="5988"/>
    <x v="493"/>
    <s v="Supplier payment made"/>
    <x v="334"/>
    <s v="0.0"/>
    <x v="11"/>
    <x v="3"/>
  </r>
  <r>
    <n v="5988"/>
    <x v="493"/>
    <s v="Supplier payment made"/>
    <x v="273"/>
    <s v="3528.97"/>
    <x v="0"/>
    <x v="0"/>
  </r>
  <r>
    <n v="5989"/>
    <x v="493"/>
    <s v="Supplier payment made"/>
    <x v="515"/>
    <s v="0.0"/>
    <x v="11"/>
    <x v="3"/>
  </r>
  <r>
    <n v="5989"/>
    <x v="493"/>
    <s v="Supplier payment made"/>
    <x v="273"/>
    <s v="862.91"/>
    <x v="0"/>
    <x v="0"/>
  </r>
  <r>
    <n v="5990"/>
    <x v="494"/>
    <s v="Sales invoice issued"/>
    <x v="2416"/>
    <s v="0.0"/>
    <x v="2"/>
    <x v="0"/>
  </r>
  <r>
    <n v="5990"/>
    <x v="494"/>
    <s v="Sales invoice issued"/>
    <x v="273"/>
    <s v="1134.48"/>
    <x v="3"/>
    <x v="2"/>
  </r>
  <r>
    <n v="5990"/>
    <x v="494"/>
    <s v="Sales invoice issued"/>
    <x v="273"/>
    <s v="85.08"/>
    <x v="4"/>
    <x v="3"/>
  </r>
  <r>
    <n v="5991"/>
    <x v="494"/>
    <s v="Sales invoice issued"/>
    <x v="2417"/>
    <s v="0.0"/>
    <x v="2"/>
    <x v="0"/>
  </r>
  <r>
    <n v="5991"/>
    <x v="494"/>
    <s v="Sales invoice issued"/>
    <x v="273"/>
    <s v="4780.15"/>
    <x v="3"/>
    <x v="2"/>
  </r>
  <r>
    <n v="5991"/>
    <x v="494"/>
    <s v="Sales invoice issued"/>
    <x v="273"/>
    <s v="358.52"/>
    <x v="4"/>
    <x v="3"/>
  </r>
  <r>
    <n v="5992"/>
    <x v="494"/>
    <s v="Sales invoice issued"/>
    <x v="2418"/>
    <s v="0.0"/>
    <x v="2"/>
    <x v="0"/>
  </r>
  <r>
    <n v="5992"/>
    <x v="494"/>
    <s v="Sales invoice issued"/>
    <x v="273"/>
    <s v="815.1"/>
    <x v="3"/>
    <x v="2"/>
  </r>
  <r>
    <n v="5992"/>
    <x v="494"/>
    <s v="Sales invoice issued"/>
    <x v="273"/>
    <s v="61.13"/>
    <x v="4"/>
    <x v="3"/>
  </r>
  <r>
    <n v="5993"/>
    <x v="494"/>
    <s v="Sales invoice issued"/>
    <x v="2419"/>
    <s v="0.0"/>
    <x v="2"/>
    <x v="0"/>
  </r>
  <r>
    <n v="5993"/>
    <x v="494"/>
    <s v="Sales invoice issued"/>
    <x v="273"/>
    <s v="4329.27"/>
    <x v="3"/>
    <x v="2"/>
  </r>
  <r>
    <n v="5993"/>
    <x v="494"/>
    <s v="Sales invoice issued"/>
    <x v="273"/>
    <s v="324.69"/>
    <x v="4"/>
    <x v="3"/>
  </r>
  <r>
    <n v="5994"/>
    <x v="494"/>
    <s v="Sales invoice issued"/>
    <x v="2420"/>
    <s v="0.0"/>
    <x v="2"/>
    <x v="0"/>
  </r>
  <r>
    <n v="5994"/>
    <x v="494"/>
    <s v="Sales invoice issued"/>
    <x v="273"/>
    <s v="520.44"/>
    <x v="3"/>
    <x v="2"/>
  </r>
  <r>
    <n v="5994"/>
    <x v="494"/>
    <s v="Sales invoice issued"/>
    <x v="273"/>
    <s v="39.04"/>
    <x v="4"/>
    <x v="3"/>
  </r>
  <r>
    <n v="5995"/>
    <x v="494"/>
    <s v="Sales invoice issued"/>
    <x v="1009"/>
    <s v="0.0"/>
    <x v="2"/>
    <x v="0"/>
  </r>
  <r>
    <n v="5995"/>
    <x v="494"/>
    <s v="Sales invoice issued"/>
    <x v="273"/>
    <s v="138.99"/>
    <x v="3"/>
    <x v="2"/>
  </r>
  <r>
    <n v="5995"/>
    <x v="494"/>
    <s v="Sales invoice issued"/>
    <x v="273"/>
    <s v="10.42"/>
    <x v="4"/>
    <x v="3"/>
  </r>
  <r>
    <n v="5996"/>
    <x v="494"/>
    <s v="Sales invoice issued"/>
    <x v="2421"/>
    <s v="0.0"/>
    <x v="2"/>
    <x v="0"/>
  </r>
  <r>
    <n v="5996"/>
    <x v="494"/>
    <s v="Sales invoice issued"/>
    <x v="273"/>
    <s v="2920.45"/>
    <x v="3"/>
    <x v="2"/>
  </r>
  <r>
    <n v="5996"/>
    <x v="494"/>
    <s v="Sales invoice issued"/>
    <x v="273"/>
    <s v="219.04"/>
    <x v="4"/>
    <x v="3"/>
  </r>
  <r>
    <n v="5997"/>
    <x v="494"/>
    <s v="Sales invoice issued"/>
    <x v="2422"/>
    <s v="0.0"/>
    <x v="2"/>
    <x v="0"/>
  </r>
  <r>
    <n v="5997"/>
    <x v="494"/>
    <s v="Sales invoice issued"/>
    <x v="273"/>
    <s v="981.49"/>
    <x v="3"/>
    <x v="2"/>
  </r>
  <r>
    <n v="5997"/>
    <x v="494"/>
    <s v="Sales invoice issued"/>
    <x v="273"/>
    <s v="73.62"/>
    <x v="4"/>
    <x v="3"/>
  </r>
  <r>
    <n v="5998"/>
    <x v="494"/>
    <s v="Sales invoice issued"/>
    <x v="2423"/>
    <s v="0.0"/>
    <x v="2"/>
    <x v="0"/>
  </r>
  <r>
    <n v="5998"/>
    <x v="494"/>
    <s v="Sales invoice issued"/>
    <x v="273"/>
    <s v="5946.3"/>
    <x v="3"/>
    <x v="2"/>
  </r>
  <r>
    <n v="5998"/>
    <x v="494"/>
    <s v="Sales invoice issued"/>
    <x v="273"/>
    <s v="445.98"/>
    <x v="4"/>
    <x v="3"/>
  </r>
  <r>
    <n v="5999"/>
    <x v="494"/>
    <s v="Sales invoice issued"/>
    <x v="2424"/>
    <s v="0.0"/>
    <x v="2"/>
    <x v="0"/>
  </r>
  <r>
    <n v="5999"/>
    <x v="494"/>
    <s v="Sales invoice issued"/>
    <x v="273"/>
    <s v="3846.58"/>
    <x v="3"/>
    <x v="2"/>
  </r>
  <r>
    <n v="5999"/>
    <x v="494"/>
    <s v="Sales invoice issued"/>
    <x v="273"/>
    <s v="288.48"/>
    <x v="4"/>
    <x v="3"/>
  </r>
  <r>
    <n v="6000"/>
    <x v="494"/>
    <s v="Sales invoice issued"/>
    <x v="1107"/>
    <s v="0.0"/>
    <x v="2"/>
    <x v="0"/>
  </r>
  <r>
    <n v="6000"/>
    <x v="494"/>
    <s v="Sales invoice issued"/>
    <x v="273"/>
    <s v="519.39"/>
    <x v="3"/>
    <x v="2"/>
  </r>
  <r>
    <n v="6000"/>
    <x v="494"/>
    <s v="Sales invoice issued"/>
    <x v="273"/>
    <s v="38.95"/>
    <x v="4"/>
    <x v="3"/>
  </r>
  <r>
    <n v="6001"/>
    <x v="494"/>
    <s v="Sales invoice issued"/>
    <x v="2425"/>
    <s v="0.0"/>
    <x v="2"/>
    <x v="0"/>
  </r>
  <r>
    <n v="6001"/>
    <x v="494"/>
    <s v="Sales invoice issued"/>
    <x v="273"/>
    <s v="3025.4"/>
    <x v="3"/>
    <x v="2"/>
  </r>
  <r>
    <n v="6001"/>
    <x v="494"/>
    <s v="Sales invoice issued"/>
    <x v="273"/>
    <s v="226.92"/>
    <x v="4"/>
    <x v="3"/>
  </r>
  <r>
    <n v="6002"/>
    <x v="494"/>
    <s v="Customer payment received"/>
    <x v="2280"/>
    <s v="0.0"/>
    <x v="0"/>
    <x v="0"/>
  </r>
  <r>
    <n v="6002"/>
    <x v="494"/>
    <s v="Customer payment received"/>
    <x v="273"/>
    <s v="2952.16"/>
    <x v="2"/>
    <x v="0"/>
  </r>
  <r>
    <n v="6003"/>
    <x v="494"/>
    <s v="Customer payment received"/>
    <x v="2288"/>
    <s v="0.0"/>
    <x v="0"/>
    <x v="0"/>
  </r>
  <r>
    <n v="6003"/>
    <x v="494"/>
    <s v="Customer payment received"/>
    <x v="273"/>
    <s v="3450.39"/>
    <x v="2"/>
    <x v="0"/>
  </r>
  <r>
    <n v="6004"/>
    <x v="494"/>
    <s v="Customer payment received"/>
    <x v="2324"/>
    <s v="0.0"/>
    <x v="0"/>
    <x v="0"/>
  </r>
  <r>
    <n v="6004"/>
    <x v="494"/>
    <s v="Customer payment received"/>
    <x v="273"/>
    <s v="1920.6"/>
    <x v="2"/>
    <x v="0"/>
  </r>
  <r>
    <n v="6005"/>
    <x v="494"/>
    <s v="Customer payment received"/>
    <x v="2363"/>
    <s v="0.0"/>
    <x v="0"/>
    <x v="0"/>
  </r>
  <r>
    <n v="6005"/>
    <x v="494"/>
    <s v="Customer payment received"/>
    <x v="273"/>
    <s v="1564.78"/>
    <x v="2"/>
    <x v="0"/>
  </r>
  <r>
    <n v="6006"/>
    <x v="494"/>
    <s v="Customer payment received"/>
    <x v="2395"/>
    <s v="0.0"/>
    <x v="0"/>
    <x v="0"/>
  </r>
  <r>
    <n v="6006"/>
    <x v="494"/>
    <s v="Customer payment received"/>
    <x v="273"/>
    <s v="447.01"/>
    <x v="2"/>
    <x v="0"/>
  </r>
  <r>
    <n v="6007"/>
    <x v="494"/>
    <s v="Customer payment received"/>
    <x v="1107"/>
    <s v="0.0"/>
    <x v="0"/>
    <x v="0"/>
  </r>
  <r>
    <n v="6007"/>
    <x v="494"/>
    <s v="Customer payment received"/>
    <x v="273"/>
    <s v="558.34"/>
    <x v="2"/>
    <x v="0"/>
  </r>
  <r>
    <n v="6008"/>
    <x v="494"/>
    <s v="Supplier invoice received"/>
    <x v="359"/>
    <s v="0.0"/>
    <x v="9"/>
    <x v="4"/>
  </r>
  <r>
    <n v="6008"/>
    <x v="494"/>
    <s v="Supplier invoice received"/>
    <x v="360"/>
    <s v="0.0"/>
    <x v="10"/>
    <x v="0"/>
  </r>
  <r>
    <n v="6008"/>
    <x v="494"/>
    <s v="Supplier invoice received"/>
    <x v="273"/>
    <s v="1591.54"/>
    <x v="11"/>
    <x v="3"/>
  </r>
  <r>
    <n v="6009"/>
    <x v="494"/>
    <s v="Supplier invoice received"/>
    <x v="284"/>
    <s v="0.0"/>
    <x v="9"/>
    <x v="4"/>
  </r>
  <r>
    <n v="6009"/>
    <x v="494"/>
    <s v="Supplier invoice received"/>
    <x v="285"/>
    <s v="0.0"/>
    <x v="10"/>
    <x v="0"/>
  </r>
  <r>
    <n v="6009"/>
    <x v="494"/>
    <s v="Supplier invoice received"/>
    <x v="273"/>
    <s v="9336.67"/>
    <x v="11"/>
    <x v="3"/>
  </r>
  <r>
    <n v="6010"/>
    <x v="494"/>
    <s v="Supplier invoice received"/>
    <x v="330"/>
    <s v="0.0"/>
    <x v="9"/>
    <x v="4"/>
  </r>
  <r>
    <n v="6010"/>
    <x v="494"/>
    <s v="Supplier invoice received"/>
    <x v="331"/>
    <s v="0.0"/>
    <x v="10"/>
    <x v="0"/>
  </r>
  <r>
    <n v="6010"/>
    <x v="494"/>
    <s v="Supplier invoice received"/>
    <x v="273"/>
    <s v="1935.04"/>
    <x v="11"/>
    <x v="3"/>
  </r>
  <r>
    <n v="6011"/>
    <x v="494"/>
    <s v="Supplier invoice received"/>
    <x v="374"/>
    <s v="0.0"/>
    <x v="9"/>
    <x v="4"/>
  </r>
  <r>
    <n v="6011"/>
    <x v="494"/>
    <s v="Supplier invoice received"/>
    <x v="375"/>
    <s v="0.0"/>
    <x v="10"/>
    <x v="0"/>
  </r>
  <r>
    <n v="6011"/>
    <x v="494"/>
    <s v="Supplier invoice received"/>
    <x v="273"/>
    <s v="2504.23"/>
    <x v="11"/>
    <x v="3"/>
  </r>
  <r>
    <n v="6012"/>
    <x v="494"/>
    <s v="Supplier invoice received"/>
    <x v="332"/>
    <s v="0.0"/>
    <x v="9"/>
    <x v="4"/>
  </r>
  <r>
    <n v="6012"/>
    <x v="494"/>
    <s v="Supplier invoice received"/>
    <x v="333"/>
    <s v="0.0"/>
    <x v="10"/>
    <x v="0"/>
  </r>
  <r>
    <n v="6012"/>
    <x v="494"/>
    <s v="Supplier invoice received"/>
    <x v="273"/>
    <s v="1023.42"/>
    <x v="11"/>
    <x v="3"/>
  </r>
  <r>
    <n v="6013"/>
    <x v="494"/>
    <s v="Supplier invoice received"/>
    <x v="441"/>
    <s v="0.0"/>
    <x v="9"/>
    <x v="4"/>
  </r>
  <r>
    <n v="6013"/>
    <x v="494"/>
    <s v="Supplier invoice received"/>
    <x v="442"/>
    <s v="0.0"/>
    <x v="10"/>
    <x v="0"/>
  </r>
  <r>
    <n v="6013"/>
    <x v="494"/>
    <s v="Supplier invoice received"/>
    <x v="273"/>
    <s v="179.01"/>
    <x v="11"/>
    <x v="3"/>
  </r>
  <r>
    <n v="6014"/>
    <x v="494"/>
    <s v="Supplier payment made"/>
    <x v="334"/>
    <s v="0.0"/>
    <x v="11"/>
    <x v="3"/>
  </r>
  <r>
    <n v="6014"/>
    <x v="494"/>
    <s v="Supplier payment made"/>
    <x v="273"/>
    <s v="3528.97"/>
    <x v="0"/>
    <x v="0"/>
  </r>
  <r>
    <n v="6015"/>
    <x v="494"/>
    <s v="Supplier payment made"/>
    <x v="392"/>
    <s v="0.0"/>
    <x v="11"/>
    <x v="3"/>
  </r>
  <r>
    <n v="6015"/>
    <x v="494"/>
    <s v="Supplier payment made"/>
    <x v="273"/>
    <s v="1023.42"/>
    <x v="0"/>
    <x v="0"/>
  </r>
  <r>
    <n v="6016"/>
    <x v="494"/>
    <s v="Supplier payment made"/>
    <x v="504"/>
    <s v="0.0"/>
    <x v="11"/>
    <x v="3"/>
  </r>
  <r>
    <n v="6016"/>
    <x v="494"/>
    <s v="Supplier payment made"/>
    <x v="273"/>
    <s v="1958.74"/>
    <x v="0"/>
    <x v="0"/>
  </r>
  <r>
    <n v="6017"/>
    <x v="494"/>
    <s v="Supplier payment made"/>
    <x v="280"/>
    <s v="0.0"/>
    <x v="11"/>
    <x v="3"/>
  </r>
  <r>
    <n v="6017"/>
    <x v="494"/>
    <s v="Supplier payment made"/>
    <x v="273"/>
    <s v="2635.36"/>
    <x v="0"/>
    <x v="0"/>
  </r>
  <r>
    <n v="6018"/>
    <x v="495"/>
    <s v="Sales invoice issued"/>
    <x v="2426"/>
    <s v="0.0"/>
    <x v="2"/>
    <x v="0"/>
  </r>
  <r>
    <n v="6018"/>
    <x v="495"/>
    <s v="Sales invoice issued"/>
    <x v="273"/>
    <s v="3887.81"/>
    <x v="3"/>
    <x v="2"/>
  </r>
  <r>
    <n v="6018"/>
    <x v="495"/>
    <s v="Sales invoice issued"/>
    <x v="273"/>
    <s v="291.6"/>
    <x v="4"/>
    <x v="3"/>
  </r>
  <r>
    <n v="6019"/>
    <x v="495"/>
    <s v="Sales invoice issued"/>
    <x v="1742"/>
    <s v="0.0"/>
    <x v="2"/>
    <x v="0"/>
  </r>
  <r>
    <n v="6019"/>
    <x v="495"/>
    <s v="Sales invoice issued"/>
    <x v="273"/>
    <s v="191.55"/>
    <x v="3"/>
    <x v="2"/>
  </r>
  <r>
    <n v="6019"/>
    <x v="495"/>
    <s v="Sales invoice issued"/>
    <x v="273"/>
    <s v="14.37"/>
    <x v="4"/>
    <x v="3"/>
  </r>
  <r>
    <n v="6020"/>
    <x v="495"/>
    <s v="Sales invoice issued"/>
    <x v="2427"/>
    <s v="0.0"/>
    <x v="2"/>
    <x v="0"/>
  </r>
  <r>
    <n v="6020"/>
    <x v="495"/>
    <s v="Sales invoice issued"/>
    <x v="273"/>
    <s v="3836.1"/>
    <x v="3"/>
    <x v="2"/>
  </r>
  <r>
    <n v="6020"/>
    <x v="495"/>
    <s v="Sales invoice issued"/>
    <x v="273"/>
    <s v="287.71"/>
    <x v="4"/>
    <x v="3"/>
  </r>
  <r>
    <n v="6021"/>
    <x v="495"/>
    <s v="Sales invoice issued"/>
    <x v="1023"/>
    <s v="0.0"/>
    <x v="2"/>
    <x v="0"/>
  </r>
  <r>
    <n v="6021"/>
    <x v="495"/>
    <s v="Sales invoice issued"/>
    <x v="273"/>
    <s v="251.2"/>
    <x v="3"/>
    <x v="2"/>
  </r>
  <r>
    <n v="6021"/>
    <x v="495"/>
    <s v="Sales invoice issued"/>
    <x v="273"/>
    <s v="18.84"/>
    <x v="4"/>
    <x v="3"/>
  </r>
  <r>
    <n v="6022"/>
    <x v="495"/>
    <s v="Sales invoice issued"/>
    <x v="2428"/>
    <s v="0.0"/>
    <x v="2"/>
    <x v="0"/>
  </r>
  <r>
    <n v="6022"/>
    <x v="495"/>
    <s v="Sales invoice issued"/>
    <x v="273"/>
    <s v="4033.7"/>
    <x v="3"/>
    <x v="2"/>
  </r>
  <r>
    <n v="6022"/>
    <x v="495"/>
    <s v="Sales invoice issued"/>
    <x v="273"/>
    <s v="302.53"/>
    <x v="4"/>
    <x v="3"/>
  </r>
  <r>
    <n v="6023"/>
    <x v="495"/>
    <s v="Sales invoice issued"/>
    <x v="2429"/>
    <s v="0.0"/>
    <x v="2"/>
    <x v="0"/>
  </r>
  <r>
    <n v="6023"/>
    <x v="495"/>
    <s v="Sales invoice issued"/>
    <x v="273"/>
    <s v="3994.04"/>
    <x v="3"/>
    <x v="2"/>
  </r>
  <r>
    <n v="6023"/>
    <x v="495"/>
    <s v="Sales invoice issued"/>
    <x v="273"/>
    <s v="299.55"/>
    <x v="4"/>
    <x v="3"/>
  </r>
  <r>
    <n v="6024"/>
    <x v="495"/>
    <s v="Sales invoice issued"/>
    <x v="2430"/>
    <s v="0.0"/>
    <x v="2"/>
    <x v="0"/>
  </r>
  <r>
    <n v="6024"/>
    <x v="495"/>
    <s v="Sales invoice issued"/>
    <x v="273"/>
    <s v="3338.4"/>
    <x v="3"/>
    <x v="2"/>
  </r>
  <r>
    <n v="6024"/>
    <x v="495"/>
    <s v="Sales invoice issued"/>
    <x v="273"/>
    <s v="250.38"/>
    <x v="4"/>
    <x v="3"/>
  </r>
  <r>
    <n v="6025"/>
    <x v="495"/>
    <s v="Customer payment received"/>
    <x v="2223"/>
    <s v="0.0"/>
    <x v="0"/>
    <x v="0"/>
  </r>
  <r>
    <n v="6025"/>
    <x v="495"/>
    <s v="Customer payment received"/>
    <x v="273"/>
    <s v="199.22"/>
    <x v="2"/>
    <x v="0"/>
  </r>
  <r>
    <n v="6026"/>
    <x v="495"/>
    <s v="Customer payment received"/>
    <x v="2237"/>
    <s v="0.0"/>
    <x v="0"/>
    <x v="0"/>
  </r>
  <r>
    <n v="6026"/>
    <x v="495"/>
    <s v="Customer payment received"/>
    <x v="273"/>
    <s v="1371.6"/>
    <x v="2"/>
    <x v="0"/>
  </r>
  <r>
    <n v="6027"/>
    <x v="495"/>
    <s v="Customer payment received"/>
    <x v="2286"/>
    <s v="0.0"/>
    <x v="0"/>
    <x v="0"/>
  </r>
  <r>
    <n v="6027"/>
    <x v="495"/>
    <s v="Customer payment received"/>
    <x v="273"/>
    <s v="245.14"/>
    <x v="2"/>
    <x v="0"/>
  </r>
  <r>
    <n v="6028"/>
    <x v="495"/>
    <s v="Customer payment received"/>
    <x v="2349"/>
    <s v="0.0"/>
    <x v="0"/>
    <x v="0"/>
  </r>
  <r>
    <n v="6028"/>
    <x v="495"/>
    <s v="Customer payment received"/>
    <x v="273"/>
    <s v="3586.62"/>
    <x v="2"/>
    <x v="0"/>
  </r>
  <r>
    <n v="6029"/>
    <x v="495"/>
    <s v="Customer payment received"/>
    <x v="2431"/>
    <s v="0.0"/>
    <x v="0"/>
    <x v="0"/>
  </r>
  <r>
    <n v="6029"/>
    <x v="495"/>
    <s v="Customer payment received"/>
    <x v="273"/>
    <s v="2009.13"/>
    <x v="2"/>
    <x v="0"/>
  </r>
  <r>
    <n v="6030"/>
    <x v="495"/>
    <s v="Customer payment received"/>
    <x v="2396"/>
    <s v="0.0"/>
    <x v="0"/>
    <x v="0"/>
  </r>
  <r>
    <n v="6030"/>
    <x v="495"/>
    <s v="Customer payment received"/>
    <x v="273"/>
    <s v="355.17"/>
    <x v="2"/>
    <x v="0"/>
  </r>
  <r>
    <n v="6031"/>
    <x v="495"/>
    <s v="Supplier invoice received"/>
    <x v="448"/>
    <s v="0.0"/>
    <x v="9"/>
    <x v="4"/>
  </r>
  <r>
    <n v="6031"/>
    <x v="495"/>
    <s v="Supplier invoice received"/>
    <x v="449"/>
    <s v="0.0"/>
    <x v="10"/>
    <x v="0"/>
  </r>
  <r>
    <n v="6031"/>
    <x v="495"/>
    <s v="Supplier invoice received"/>
    <x v="273"/>
    <s v="7227.44"/>
    <x v="11"/>
    <x v="3"/>
  </r>
  <r>
    <n v="6032"/>
    <x v="495"/>
    <s v="Supplier invoice received"/>
    <x v="303"/>
    <s v="0.0"/>
    <x v="9"/>
    <x v="4"/>
  </r>
  <r>
    <n v="6032"/>
    <x v="495"/>
    <s v="Supplier invoice received"/>
    <x v="304"/>
    <s v="0.0"/>
    <x v="10"/>
    <x v="0"/>
  </r>
  <r>
    <n v="6032"/>
    <x v="495"/>
    <s v="Supplier invoice received"/>
    <x v="273"/>
    <s v="550.4"/>
    <x v="11"/>
    <x v="3"/>
  </r>
  <r>
    <n v="6033"/>
    <x v="495"/>
    <s v="Supplier invoice received"/>
    <x v="307"/>
    <s v="0.0"/>
    <x v="9"/>
    <x v="4"/>
  </r>
  <r>
    <n v="6033"/>
    <x v="495"/>
    <s v="Supplier invoice received"/>
    <x v="308"/>
    <s v="0.0"/>
    <x v="10"/>
    <x v="0"/>
  </r>
  <r>
    <n v="6033"/>
    <x v="495"/>
    <s v="Supplier invoice received"/>
    <x v="273"/>
    <s v="2093.28"/>
    <x v="11"/>
    <x v="3"/>
  </r>
  <r>
    <n v="6034"/>
    <x v="495"/>
    <s v="Supplier invoice received"/>
    <x v="405"/>
    <s v="0.0"/>
    <x v="9"/>
    <x v="4"/>
  </r>
  <r>
    <n v="6034"/>
    <x v="495"/>
    <s v="Supplier invoice received"/>
    <x v="406"/>
    <s v="0.0"/>
    <x v="10"/>
    <x v="0"/>
  </r>
  <r>
    <n v="6034"/>
    <x v="495"/>
    <s v="Supplier invoice received"/>
    <x v="273"/>
    <s v="2635.36"/>
    <x v="11"/>
    <x v="3"/>
  </r>
  <r>
    <n v="6035"/>
    <x v="495"/>
    <s v="Supplier payment made"/>
    <x v="351"/>
    <s v="0.0"/>
    <x v="11"/>
    <x v="3"/>
  </r>
  <r>
    <n v="6035"/>
    <x v="495"/>
    <s v="Supplier payment made"/>
    <x v="273"/>
    <s v="179.01"/>
    <x v="0"/>
    <x v="0"/>
  </r>
  <r>
    <n v="6036"/>
    <x v="496"/>
    <s v="Sales invoice issued"/>
    <x v="1768"/>
    <s v="0.0"/>
    <x v="2"/>
    <x v="0"/>
  </r>
  <r>
    <n v="6036"/>
    <x v="496"/>
    <s v="Sales invoice issued"/>
    <x v="273"/>
    <s v="101.1"/>
    <x v="3"/>
    <x v="2"/>
  </r>
  <r>
    <n v="6036"/>
    <x v="496"/>
    <s v="Sales invoice issued"/>
    <x v="273"/>
    <s v="7.58"/>
    <x v="4"/>
    <x v="3"/>
  </r>
  <r>
    <n v="6037"/>
    <x v="496"/>
    <s v="Sales invoice issued"/>
    <x v="2432"/>
    <s v="0.0"/>
    <x v="2"/>
    <x v="0"/>
  </r>
  <r>
    <n v="6037"/>
    <x v="496"/>
    <s v="Sales invoice issued"/>
    <x v="273"/>
    <s v="5255.1"/>
    <x v="3"/>
    <x v="2"/>
  </r>
  <r>
    <n v="6037"/>
    <x v="496"/>
    <s v="Sales invoice issued"/>
    <x v="273"/>
    <s v="394.13"/>
    <x v="4"/>
    <x v="3"/>
  </r>
  <r>
    <n v="6038"/>
    <x v="496"/>
    <s v="Sales invoice issued"/>
    <x v="2433"/>
    <s v="0.0"/>
    <x v="2"/>
    <x v="0"/>
  </r>
  <r>
    <n v="6038"/>
    <x v="496"/>
    <s v="Sales invoice issued"/>
    <x v="273"/>
    <s v="1521.81"/>
    <x v="3"/>
    <x v="2"/>
  </r>
  <r>
    <n v="6038"/>
    <x v="496"/>
    <s v="Sales invoice issued"/>
    <x v="273"/>
    <s v="114.14"/>
    <x v="4"/>
    <x v="3"/>
  </r>
  <r>
    <n v="6039"/>
    <x v="496"/>
    <s v="Sales invoice issued"/>
    <x v="2434"/>
    <s v="0.0"/>
    <x v="2"/>
    <x v="0"/>
  </r>
  <r>
    <n v="6039"/>
    <x v="496"/>
    <s v="Sales invoice issued"/>
    <x v="273"/>
    <s v="2017.99"/>
    <x v="3"/>
    <x v="2"/>
  </r>
  <r>
    <n v="6039"/>
    <x v="496"/>
    <s v="Sales invoice issued"/>
    <x v="273"/>
    <s v="151.36"/>
    <x v="4"/>
    <x v="3"/>
  </r>
  <r>
    <n v="6040"/>
    <x v="496"/>
    <s v="Sales invoice issued"/>
    <x v="2435"/>
    <s v="0.0"/>
    <x v="2"/>
    <x v="0"/>
  </r>
  <r>
    <n v="6040"/>
    <x v="496"/>
    <s v="Sales invoice issued"/>
    <x v="273"/>
    <s v="182.42"/>
    <x v="3"/>
    <x v="2"/>
  </r>
  <r>
    <n v="6040"/>
    <x v="496"/>
    <s v="Sales invoice issued"/>
    <x v="273"/>
    <s v="13.69"/>
    <x v="4"/>
    <x v="3"/>
  </r>
  <r>
    <n v="6041"/>
    <x v="496"/>
    <s v="Sales invoice issued"/>
    <x v="2436"/>
    <s v="0.0"/>
    <x v="2"/>
    <x v="0"/>
  </r>
  <r>
    <n v="6041"/>
    <x v="496"/>
    <s v="Sales invoice issued"/>
    <x v="273"/>
    <s v="4518.65"/>
    <x v="3"/>
    <x v="2"/>
  </r>
  <r>
    <n v="6041"/>
    <x v="496"/>
    <s v="Sales invoice issued"/>
    <x v="273"/>
    <s v="338.89"/>
    <x v="4"/>
    <x v="3"/>
  </r>
  <r>
    <n v="6042"/>
    <x v="496"/>
    <s v="Customer payment received"/>
    <x v="2233"/>
    <s v="0.0"/>
    <x v="0"/>
    <x v="0"/>
  </r>
  <r>
    <n v="6042"/>
    <x v="496"/>
    <s v="Customer payment received"/>
    <x v="273"/>
    <s v="1234.42"/>
    <x v="2"/>
    <x v="0"/>
  </r>
  <r>
    <n v="6043"/>
    <x v="496"/>
    <s v="Customer payment received"/>
    <x v="2276"/>
    <s v="0.0"/>
    <x v="0"/>
    <x v="0"/>
  </r>
  <r>
    <n v="6043"/>
    <x v="496"/>
    <s v="Customer payment received"/>
    <x v="273"/>
    <s v="3868.65"/>
    <x v="2"/>
    <x v="0"/>
  </r>
  <r>
    <n v="6044"/>
    <x v="496"/>
    <s v="Customer payment received"/>
    <x v="2319"/>
    <s v="0.0"/>
    <x v="0"/>
    <x v="0"/>
  </r>
  <r>
    <n v="6044"/>
    <x v="496"/>
    <s v="Customer payment received"/>
    <x v="273"/>
    <s v="3736.86"/>
    <x v="2"/>
    <x v="0"/>
  </r>
  <r>
    <n v="6045"/>
    <x v="496"/>
    <s v="Customer payment received"/>
    <x v="2338"/>
    <s v="0.0"/>
    <x v="0"/>
    <x v="0"/>
  </r>
  <r>
    <n v="6045"/>
    <x v="496"/>
    <s v="Customer payment received"/>
    <x v="273"/>
    <s v="1553.32"/>
    <x v="2"/>
    <x v="0"/>
  </r>
  <r>
    <n v="6046"/>
    <x v="496"/>
    <s v="Customer payment received"/>
    <x v="2368"/>
    <s v="0.0"/>
    <x v="0"/>
    <x v="0"/>
  </r>
  <r>
    <n v="6046"/>
    <x v="496"/>
    <s v="Customer payment received"/>
    <x v="273"/>
    <s v="3632.31"/>
    <x v="2"/>
    <x v="0"/>
  </r>
  <r>
    <n v="6047"/>
    <x v="496"/>
    <s v="Customer payment received"/>
    <x v="2393"/>
    <s v="0.0"/>
    <x v="0"/>
    <x v="0"/>
  </r>
  <r>
    <n v="6047"/>
    <x v="496"/>
    <s v="Customer payment received"/>
    <x v="273"/>
    <s v="2133.76"/>
    <x v="2"/>
    <x v="0"/>
  </r>
  <r>
    <n v="6048"/>
    <x v="496"/>
    <s v="Customer payment received"/>
    <x v="2429"/>
    <s v="0.0"/>
    <x v="0"/>
    <x v="0"/>
  </r>
  <r>
    <n v="6048"/>
    <x v="496"/>
    <s v="Customer payment received"/>
    <x v="273"/>
    <s v="4293.59"/>
    <x v="2"/>
    <x v="0"/>
  </r>
  <r>
    <n v="6049"/>
    <x v="496"/>
    <s v="Customer payment received"/>
    <x v="2435"/>
    <s v="0.0"/>
    <x v="0"/>
    <x v="0"/>
  </r>
  <r>
    <n v="6049"/>
    <x v="496"/>
    <s v="Customer payment received"/>
    <x v="273"/>
    <s v="196.11"/>
    <x v="2"/>
    <x v="0"/>
  </r>
  <r>
    <n v="6050"/>
    <x v="496"/>
    <s v="Supplier invoice received"/>
    <x v="383"/>
    <s v="0.0"/>
    <x v="9"/>
    <x v="4"/>
  </r>
  <r>
    <n v="6050"/>
    <x v="496"/>
    <s v="Supplier invoice received"/>
    <x v="384"/>
    <s v="0.0"/>
    <x v="10"/>
    <x v="0"/>
  </r>
  <r>
    <n v="6050"/>
    <x v="496"/>
    <s v="Supplier invoice received"/>
    <x v="273"/>
    <s v="3868.8"/>
    <x v="11"/>
    <x v="3"/>
  </r>
  <r>
    <n v="6051"/>
    <x v="496"/>
    <s v="Supplier payment made"/>
    <x v="292"/>
    <s v="0.0"/>
    <x v="11"/>
    <x v="3"/>
  </r>
  <r>
    <n v="6051"/>
    <x v="496"/>
    <s v="Supplier payment made"/>
    <x v="273"/>
    <s v="1766.46"/>
    <x v="0"/>
    <x v="0"/>
  </r>
  <r>
    <n v="6052"/>
    <x v="496"/>
    <s v="Supplier payment made"/>
    <x v="352"/>
    <s v="0.0"/>
    <x v="11"/>
    <x v="3"/>
  </r>
  <r>
    <n v="6052"/>
    <x v="496"/>
    <s v="Supplier payment made"/>
    <x v="273"/>
    <s v="9336.67"/>
    <x v="0"/>
    <x v="0"/>
  </r>
  <r>
    <n v="6053"/>
    <x v="497"/>
    <s v="Sales invoice issued"/>
    <x v="2437"/>
    <s v="0.0"/>
    <x v="2"/>
    <x v="0"/>
  </r>
  <r>
    <n v="6053"/>
    <x v="497"/>
    <s v="Sales invoice issued"/>
    <x v="273"/>
    <s v="2545.63"/>
    <x v="3"/>
    <x v="2"/>
  </r>
  <r>
    <n v="6053"/>
    <x v="497"/>
    <s v="Sales invoice issued"/>
    <x v="273"/>
    <s v="190.93"/>
    <x v="4"/>
    <x v="3"/>
  </r>
  <r>
    <n v="6054"/>
    <x v="497"/>
    <s v="Sales invoice issued"/>
    <x v="2438"/>
    <s v="0.0"/>
    <x v="2"/>
    <x v="0"/>
  </r>
  <r>
    <n v="6054"/>
    <x v="497"/>
    <s v="Sales invoice issued"/>
    <x v="273"/>
    <s v="1922.19"/>
    <x v="3"/>
    <x v="2"/>
  </r>
  <r>
    <n v="6054"/>
    <x v="497"/>
    <s v="Sales invoice issued"/>
    <x v="273"/>
    <s v="144.17"/>
    <x v="4"/>
    <x v="3"/>
  </r>
  <r>
    <n v="6055"/>
    <x v="497"/>
    <s v="Sales invoice issued"/>
    <x v="2439"/>
    <s v="0.0"/>
    <x v="2"/>
    <x v="0"/>
  </r>
  <r>
    <n v="6055"/>
    <x v="497"/>
    <s v="Sales invoice issued"/>
    <x v="273"/>
    <s v="3358.73"/>
    <x v="3"/>
    <x v="2"/>
  </r>
  <r>
    <n v="6055"/>
    <x v="497"/>
    <s v="Sales invoice issued"/>
    <x v="273"/>
    <s v="251.91"/>
    <x v="4"/>
    <x v="3"/>
  </r>
  <r>
    <n v="6056"/>
    <x v="497"/>
    <s v="Sales invoice issued"/>
    <x v="2440"/>
    <s v="0.0"/>
    <x v="2"/>
    <x v="0"/>
  </r>
  <r>
    <n v="6056"/>
    <x v="497"/>
    <s v="Sales invoice issued"/>
    <x v="273"/>
    <s v="3835.73"/>
    <x v="3"/>
    <x v="2"/>
  </r>
  <r>
    <n v="6056"/>
    <x v="497"/>
    <s v="Sales invoice issued"/>
    <x v="273"/>
    <s v="287.67"/>
    <x v="4"/>
    <x v="3"/>
  </r>
  <r>
    <n v="6057"/>
    <x v="497"/>
    <s v="Sales invoice issued"/>
    <x v="2441"/>
    <s v="0.0"/>
    <x v="2"/>
    <x v="0"/>
  </r>
  <r>
    <n v="6057"/>
    <x v="497"/>
    <s v="Sales invoice issued"/>
    <x v="273"/>
    <s v="5925.61"/>
    <x v="3"/>
    <x v="2"/>
  </r>
  <r>
    <n v="6057"/>
    <x v="497"/>
    <s v="Sales invoice issued"/>
    <x v="273"/>
    <s v="444.42"/>
    <x v="4"/>
    <x v="3"/>
  </r>
  <r>
    <n v="6058"/>
    <x v="497"/>
    <s v="Sales invoice issued"/>
    <x v="2442"/>
    <s v="0.0"/>
    <x v="2"/>
    <x v="0"/>
  </r>
  <r>
    <n v="6058"/>
    <x v="497"/>
    <s v="Sales invoice issued"/>
    <x v="273"/>
    <s v="1726.95"/>
    <x v="3"/>
    <x v="2"/>
  </r>
  <r>
    <n v="6058"/>
    <x v="497"/>
    <s v="Sales invoice issued"/>
    <x v="273"/>
    <s v="129.52"/>
    <x v="4"/>
    <x v="3"/>
  </r>
  <r>
    <n v="6059"/>
    <x v="497"/>
    <s v="Sales invoice issued"/>
    <x v="2443"/>
    <s v="0.0"/>
    <x v="2"/>
    <x v="0"/>
  </r>
  <r>
    <n v="6059"/>
    <x v="497"/>
    <s v="Sales invoice issued"/>
    <x v="273"/>
    <s v="5795.27"/>
    <x v="3"/>
    <x v="2"/>
  </r>
  <r>
    <n v="6059"/>
    <x v="497"/>
    <s v="Sales invoice issued"/>
    <x v="273"/>
    <s v="434.64"/>
    <x v="4"/>
    <x v="3"/>
  </r>
  <r>
    <n v="6060"/>
    <x v="497"/>
    <s v="Sales invoice issued"/>
    <x v="2444"/>
    <s v="0.0"/>
    <x v="2"/>
    <x v="0"/>
  </r>
  <r>
    <n v="6060"/>
    <x v="497"/>
    <s v="Sales invoice issued"/>
    <x v="273"/>
    <s v="1853.38"/>
    <x v="3"/>
    <x v="2"/>
  </r>
  <r>
    <n v="6060"/>
    <x v="497"/>
    <s v="Sales invoice issued"/>
    <x v="273"/>
    <s v="139.01"/>
    <x v="4"/>
    <x v="3"/>
  </r>
  <r>
    <n v="6061"/>
    <x v="497"/>
    <s v="Sales invoice issued"/>
    <x v="2445"/>
    <s v="0.0"/>
    <x v="2"/>
    <x v="0"/>
  </r>
  <r>
    <n v="6061"/>
    <x v="497"/>
    <s v="Sales invoice issued"/>
    <x v="273"/>
    <s v="2388.23"/>
    <x v="3"/>
    <x v="2"/>
  </r>
  <r>
    <n v="6061"/>
    <x v="497"/>
    <s v="Sales invoice issued"/>
    <x v="273"/>
    <s v="179.11"/>
    <x v="4"/>
    <x v="3"/>
  </r>
  <r>
    <n v="6062"/>
    <x v="497"/>
    <s v="Customer payment received"/>
    <x v="2274"/>
    <s v="0.0"/>
    <x v="0"/>
    <x v="0"/>
  </r>
  <r>
    <n v="6062"/>
    <x v="497"/>
    <s v="Customer payment received"/>
    <x v="273"/>
    <s v="2066.46"/>
    <x v="2"/>
    <x v="0"/>
  </r>
  <r>
    <n v="6063"/>
    <x v="497"/>
    <s v="Customer payment received"/>
    <x v="1397"/>
    <s v="0.0"/>
    <x v="0"/>
    <x v="0"/>
  </r>
  <r>
    <n v="6063"/>
    <x v="497"/>
    <s v="Customer payment received"/>
    <x v="273"/>
    <s v="338.0"/>
    <x v="2"/>
    <x v="0"/>
  </r>
  <r>
    <n v="6064"/>
    <x v="497"/>
    <s v="Customer payment received"/>
    <x v="2303"/>
    <s v="0.0"/>
    <x v="0"/>
    <x v="0"/>
  </r>
  <r>
    <n v="6064"/>
    <x v="497"/>
    <s v="Customer payment received"/>
    <x v="273"/>
    <s v="1432.4"/>
    <x v="2"/>
    <x v="0"/>
  </r>
  <r>
    <n v="6065"/>
    <x v="497"/>
    <s v="Customer payment received"/>
    <x v="2354"/>
    <s v="0.0"/>
    <x v="0"/>
    <x v="0"/>
  </r>
  <r>
    <n v="6065"/>
    <x v="497"/>
    <s v="Customer payment received"/>
    <x v="273"/>
    <s v="2880.76"/>
    <x v="2"/>
    <x v="0"/>
  </r>
  <r>
    <n v="6066"/>
    <x v="497"/>
    <s v="Customer payment received"/>
    <x v="2369"/>
    <s v="0.0"/>
    <x v="0"/>
    <x v="0"/>
  </r>
  <r>
    <n v="6066"/>
    <x v="497"/>
    <s v="Customer payment received"/>
    <x v="273"/>
    <s v="6169.17"/>
    <x v="2"/>
    <x v="0"/>
  </r>
  <r>
    <n v="6067"/>
    <x v="497"/>
    <s v="Customer payment received"/>
    <x v="2379"/>
    <s v="0.0"/>
    <x v="0"/>
    <x v="0"/>
  </r>
  <r>
    <n v="6067"/>
    <x v="497"/>
    <s v="Customer payment received"/>
    <x v="273"/>
    <s v="3609.7"/>
    <x v="2"/>
    <x v="0"/>
  </r>
  <r>
    <n v="6068"/>
    <x v="497"/>
    <s v="Customer payment received"/>
    <x v="2419"/>
    <s v="0.0"/>
    <x v="0"/>
    <x v="0"/>
  </r>
  <r>
    <n v="6068"/>
    <x v="497"/>
    <s v="Customer payment received"/>
    <x v="273"/>
    <s v="4653.96"/>
    <x v="2"/>
    <x v="0"/>
  </r>
  <r>
    <n v="6069"/>
    <x v="497"/>
    <s v="Customer payment received"/>
    <x v="2425"/>
    <s v="0.0"/>
    <x v="0"/>
    <x v="0"/>
  </r>
  <r>
    <n v="6069"/>
    <x v="497"/>
    <s v="Customer payment received"/>
    <x v="273"/>
    <s v="3252.32"/>
    <x v="2"/>
    <x v="0"/>
  </r>
  <r>
    <n v="6070"/>
    <x v="497"/>
    <s v="Customer payment received"/>
    <x v="2426"/>
    <s v="0.0"/>
    <x v="0"/>
    <x v="0"/>
  </r>
  <r>
    <n v="6070"/>
    <x v="497"/>
    <s v="Customer payment received"/>
    <x v="273"/>
    <s v="4179.41"/>
    <x v="2"/>
    <x v="0"/>
  </r>
  <r>
    <n v="6071"/>
    <x v="497"/>
    <s v="Customer payment received"/>
    <x v="2441"/>
    <s v="0.0"/>
    <x v="0"/>
    <x v="0"/>
  </r>
  <r>
    <n v="6071"/>
    <x v="497"/>
    <s v="Customer payment received"/>
    <x v="273"/>
    <s v="6370.03"/>
    <x v="2"/>
    <x v="0"/>
  </r>
  <r>
    <n v="6072"/>
    <x v="497"/>
    <s v="Supplier invoice received"/>
    <x v="325"/>
    <s v="0.0"/>
    <x v="9"/>
    <x v="4"/>
  </r>
  <r>
    <n v="6072"/>
    <x v="497"/>
    <s v="Supplier invoice received"/>
    <x v="326"/>
    <s v="0.0"/>
    <x v="10"/>
    <x v="0"/>
  </r>
  <r>
    <n v="6072"/>
    <x v="497"/>
    <s v="Supplier invoice received"/>
    <x v="273"/>
    <s v="1304.62"/>
    <x v="11"/>
    <x v="3"/>
  </r>
  <r>
    <n v="6073"/>
    <x v="498"/>
    <s v="Sales invoice issued"/>
    <x v="2446"/>
    <s v="0.0"/>
    <x v="2"/>
    <x v="0"/>
  </r>
  <r>
    <n v="6073"/>
    <x v="498"/>
    <s v="Sales invoice issued"/>
    <x v="273"/>
    <s v="2492.12"/>
    <x v="3"/>
    <x v="2"/>
  </r>
  <r>
    <n v="6073"/>
    <x v="498"/>
    <s v="Sales invoice issued"/>
    <x v="273"/>
    <s v="186.92"/>
    <x v="4"/>
    <x v="3"/>
  </r>
  <r>
    <n v="6074"/>
    <x v="498"/>
    <s v="Sales invoice issued"/>
    <x v="2447"/>
    <s v="0.0"/>
    <x v="2"/>
    <x v="0"/>
  </r>
  <r>
    <n v="6074"/>
    <x v="498"/>
    <s v="Sales invoice issued"/>
    <x v="273"/>
    <s v="537.57"/>
    <x v="3"/>
    <x v="2"/>
  </r>
  <r>
    <n v="6074"/>
    <x v="498"/>
    <s v="Sales invoice issued"/>
    <x v="273"/>
    <s v="40.31"/>
    <x v="4"/>
    <x v="3"/>
  </r>
  <r>
    <n v="6075"/>
    <x v="498"/>
    <s v="Sales invoice issued"/>
    <x v="2448"/>
    <s v="0.0"/>
    <x v="2"/>
    <x v="0"/>
  </r>
  <r>
    <n v="6075"/>
    <x v="498"/>
    <s v="Sales invoice issued"/>
    <x v="273"/>
    <s v="1456.78"/>
    <x v="3"/>
    <x v="2"/>
  </r>
  <r>
    <n v="6075"/>
    <x v="498"/>
    <s v="Sales invoice issued"/>
    <x v="273"/>
    <s v="109.25"/>
    <x v="4"/>
    <x v="3"/>
  </r>
  <r>
    <n v="6076"/>
    <x v="498"/>
    <s v="Sales invoice issued"/>
    <x v="2449"/>
    <s v="0.0"/>
    <x v="2"/>
    <x v="0"/>
  </r>
  <r>
    <n v="6076"/>
    <x v="498"/>
    <s v="Sales invoice issued"/>
    <x v="273"/>
    <s v="3466.71"/>
    <x v="3"/>
    <x v="2"/>
  </r>
  <r>
    <n v="6076"/>
    <x v="498"/>
    <s v="Sales invoice issued"/>
    <x v="273"/>
    <s v="260.01"/>
    <x v="4"/>
    <x v="3"/>
  </r>
  <r>
    <n v="6077"/>
    <x v="498"/>
    <s v="Sales invoice issued"/>
    <x v="2450"/>
    <s v="0.0"/>
    <x v="2"/>
    <x v="0"/>
  </r>
  <r>
    <n v="6077"/>
    <x v="498"/>
    <s v="Sales invoice issued"/>
    <x v="273"/>
    <s v="1727.64"/>
    <x v="3"/>
    <x v="2"/>
  </r>
  <r>
    <n v="6077"/>
    <x v="498"/>
    <s v="Sales invoice issued"/>
    <x v="273"/>
    <s v="129.57"/>
    <x v="4"/>
    <x v="3"/>
  </r>
  <r>
    <n v="6078"/>
    <x v="498"/>
    <s v="Sales invoice issued"/>
    <x v="2451"/>
    <s v="0.0"/>
    <x v="2"/>
    <x v="0"/>
  </r>
  <r>
    <n v="6078"/>
    <x v="498"/>
    <s v="Sales invoice issued"/>
    <x v="273"/>
    <s v="636.37"/>
    <x v="3"/>
    <x v="2"/>
  </r>
  <r>
    <n v="6078"/>
    <x v="498"/>
    <s v="Sales invoice issued"/>
    <x v="273"/>
    <s v="47.73"/>
    <x v="4"/>
    <x v="3"/>
  </r>
  <r>
    <n v="6079"/>
    <x v="498"/>
    <s v="Sales invoice issued"/>
    <x v="2452"/>
    <s v="0.0"/>
    <x v="2"/>
    <x v="0"/>
  </r>
  <r>
    <n v="6079"/>
    <x v="498"/>
    <s v="Sales invoice issued"/>
    <x v="273"/>
    <s v="2372.07"/>
    <x v="3"/>
    <x v="2"/>
  </r>
  <r>
    <n v="6079"/>
    <x v="498"/>
    <s v="Sales invoice issued"/>
    <x v="273"/>
    <s v="177.9"/>
    <x v="4"/>
    <x v="3"/>
  </r>
  <r>
    <n v="6080"/>
    <x v="498"/>
    <s v="Sales invoice issued"/>
    <x v="2453"/>
    <s v="0.0"/>
    <x v="2"/>
    <x v="0"/>
  </r>
  <r>
    <n v="6080"/>
    <x v="498"/>
    <s v="Sales invoice issued"/>
    <x v="273"/>
    <s v="1269.47"/>
    <x v="3"/>
    <x v="2"/>
  </r>
  <r>
    <n v="6080"/>
    <x v="498"/>
    <s v="Sales invoice issued"/>
    <x v="273"/>
    <s v="95.21"/>
    <x v="4"/>
    <x v="3"/>
  </r>
  <r>
    <n v="6081"/>
    <x v="498"/>
    <s v="Sales invoice issued"/>
    <x v="2454"/>
    <s v="0.0"/>
    <x v="2"/>
    <x v="0"/>
  </r>
  <r>
    <n v="6081"/>
    <x v="498"/>
    <s v="Sales invoice issued"/>
    <x v="273"/>
    <s v="3570.15"/>
    <x v="3"/>
    <x v="2"/>
  </r>
  <r>
    <n v="6081"/>
    <x v="498"/>
    <s v="Sales invoice issued"/>
    <x v="273"/>
    <s v="267.76"/>
    <x v="4"/>
    <x v="3"/>
  </r>
  <r>
    <n v="6082"/>
    <x v="498"/>
    <s v="Sales invoice issued"/>
    <x v="2455"/>
    <s v="0.0"/>
    <x v="2"/>
    <x v="0"/>
  </r>
  <r>
    <n v="6082"/>
    <x v="498"/>
    <s v="Sales invoice issued"/>
    <x v="273"/>
    <s v="483.75"/>
    <x v="3"/>
    <x v="2"/>
  </r>
  <r>
    <n v="6082"/>
    <x v="498"/>
    <s v="Sales invoice issued"/>
    <x v="273"/>
    <s v="36.28"/>
    <x v="4"/>
    <x v="3"/>
  </r>
  <r>
    <n v="6083"/>
    <x v="498"/>
    <s v="Sales invoice issued"/>
    <x v="2456"/>
    <s v="0.0"/>
    <x v="2"/>
    <x v="0"/>
  </r>
  <r>
    <n v="6083"/>
    <x v="498"/>
    <s v="Sales invoice issued"/>
    <x v="273"/>
    <s v="910.77"/>
    <x v="3"/>
    <x v="2"/>
  </r>
  <r>
    <n v="6083"/>
    <x v="498"/>
    <s v="Sales invoice issued"/>
    <x v="273"/>
    <s v="68.3"/>
    <x v="4"/>
    <x v="3"/>
  </r>
  <r>
    <n v="6084"/>
    <x v="498"/>
    <s v="Sales invoice issued"/>
    <x v="2457"/>
    <s v="0.0"/>
    <x v="2"/>
    <x v="0"/>
  </r>
  <r>
    <n v="6084"/>
    <x v="498"/>
    <s v="Sales invoice issued"/>
    <x v="273"/>
    <s v="2953.88"/>
    <x v="3"/>
    <x v="2"/>
  </r>
  <r>
    <n v="6084"/>
    <x v="498"/>
    <s v="Sales invoice issued"/>
    <x v="273"/>
    <s v="221.53"/>
    <x v="4"/>
    <x v="3"/>
  </r>
  <r>
    <n v="6085"/>
    <x v="498"/>
    <s v="Sales invoice issued"/>
    <x v="2458"/>
    <s v="0.0"/>
    <x v="2"/>
    <x v="0"/>
  </r>
  <r>
    <n v="6085"/>
    <x v="498"/>
    <s v="Sales invoice issued"/>
    <x v="273"/>
    <s v="1980.3"/>
    <x v="3"/>
    <x v="2"/>
  </r>
  <r>
    <n v="6085"/>
    <x v="498"/>
    <s v="Sales invoice issued"/>
    <x v="273"/>
    <s v="148.51"/>
    <x v="4"/>
    <x v="3"/>
  </r>
  <r>
    <n v="6086"/>
    <x v="498"/>
    <s v="Customer payment received"/>
    <x v="1742"/>
    <s v="0.0"/>
    <x v="0"/>
    <x v="0"/>
  </r>
  <r>
    <n v="6086"/>
    <x v="498"/>
    <s v="Customer payment received"/>
    <x v="273"/>
    <s v="205.92"/>
    <x v="2"/>
    <x v="0"/>
  </r>
  <r>
    <n v="6087"/>
    <x v="498"/>
    <s v="Customer payment received"/>
    <x v="2299"/>
    <s v="0.0"/>
    <x v="0"/>
    <x v="0"/>
  </r>
  <r>
    <n v="6087"/>
    <x v="498"/>
    <s v="Customer payment received"/>
    <x v="273"/>
    <s v="2039.84"/>
    <x v="2"/>
    <x v="0"/>
  </r>
  <r>
    <n v="6088"/>
    <x v="498"/>
    <s v="Customer payment received"/>
    <x v="2302"/>
    <s v="0.0"/>
    <x v="0"/>
    <x v="0"/>
  </r>
  <r>
    <n v="6088"/>
    <x v="498"/>
    <s v="Customer payment received"/>
    <x v="273"/>
    <s v="1717.6"/>
    <x v="2"/>
    <x v="0"/>
  </r>
  <r>
    <n v="6089"/>
    <x v="498"/>
    <s v="Customer payment received"/>
    <x v="2305"/>
    <s v="0.0"/>
    <x v="0"/>
    <x v="0"/>
  </r>
  <r>
    <n v="6089"/>
    <x v="498"/>
    <s v="Customer payment received"/>
    <x v="273"/>
    <s v="1270.03"/>
    <x v="2"/>
    <x v="0"/>
  </r>
  <r>
    <n v="6090"/>
    <x v="498"/>
    <s v="Customer payment received"/>
    <x v="2367"/>
    <s v="0.0"/>
    <x v="0"/>
    <x v="0"/>
  </r>
  <r>
    <n v="6090"/>
    <x v="498"/>
    <s v="Customer payment received"/>
    <x v="273"/>
    <s v="1833.95"/>
    <x v="2"/>
    <x v="0"/>
  </r>
  <r>
    <n v="6091"/>
    <x v="498"/>
    <s v="Customer payment received"/>
    <x v="2398"/>
    <s v="0.0"/>
    <x v="0"/>
    <x v="0"/>
  </r>
  <r>
    <n v="6091"/>
    <x v="498"/>
    <s v="Customer payment received"/>
    <x v="273"/>
    <s v="2612.68"/>
    <x v="2"/>
    <x v="0"/>
  </r>
  <r>
    <n v="6092"/>
    <x v="498"/>
    <s v="Customer payment received"/>
    <x v="2459"/>
    <s v="0.0"/>
    <x v="0"/>
    <x v="0"/>
  </r>
  <r>
    <n v="6092"/>
    <x v="498"/>
    <s v="Customer payment received"/>
    <x v="273"/>
    <s v="1299.25"/>
    <x v="2"/>
    <x v="0"/>
  </r>
  <r>
    <n v="6093"/>
    <x v="498"/>
    <s v="Customer payment received"/>
    <x v="2404"/>
    <s v="0.0"/>
    <x v="0"/>
    <x v="0"/>
  </r>
  <r>
    <n v="6093"/>
    <x v="498"/>
    <s v="Customer payment received"/>
    <x v="273"/>
    <s v="492.15"/>
    <x v="2"/>
    <x v="0"/>
  </r>
  <r>
    <n v="6094"/>
    <x v="498"/>
    <s v="Customer payment received"/>
    <x v="2423"/>
    <s v="0.0"/>
    <x v="0"/>
    <x v="0"/>
  </r>
  <r>
    <n v="6094"/>
    <x v="498"/>
    <s v="Customer payment received"/>
    <x v="273"/>
    <s v="6392.28"/>
    <x v="2"/>
    <x v="0"/>
  </r>
  <r>
    <n v="6095"/>
    <x v="498"/>
    <s v="Supplier invoice received"/>
    <x v="441"/>
    <s v="0.0"/>
    <x v="9"/>
    <x v="4"/>
  </r>
  <r>
    <n v="6095"/>
    <x v="498"/>
    <s v="Supplier invoice received"/>
    <x v="442"/>
    <s v="0.0"/>
    <x v="10"/>
    <x v="0"/>
  </r>
  <r>
    <n v="6095"/>
    <x v="498"/>
    <s v="Supplier invoice received"/>
    <x v="273"/>
    <s v="179.01"/>
    <x v="11"/>
    <x v="3"/>
  </r>
  <r>
    <n v="6096"/>
    <x v="498"/>
    <s v="Supplier payment made"/>
    <x v="318"/>
    <s v="0.0"/>
    <x v="11"/>
    <x v="3"/>
  </r>
  <r>
    <n v="6096"/>
    <x v="498"/>
    <s v="Supplier payment made"/>
    <x v="273"/>
    <s v="2504.23"/>
    <x v="0"/>
    <x v="0"/>
  </r>
  <r>
    <n v="6097"/>
    <x v="498"/>
    <s v="Supplier payment made"/>
    <x v="318"/>
    <s v="0.0"/>
    <x v="11"/>
    <x v="3"/>
  </r>
  <r>
    <n v="6097"/>
    <x v="498"/>
    <s v="Supplier payment made"/>
    <x v="273"/>
    <s v="2504.23"/>
    <x v="0"/>
    <x v="0"/>
  </r>
  <r>
    <n v="6098"/>
    <x v="498"/>
    <s v="Supplier payment made"/>
    <x v="336"/>
    <s v="0.0"/>
    <x v="11"/>
    <x v="3"/>
  </r>
  <r>
    <n v="6098"/>
    <x v="498"/>
    <s v="Supplier payment made"/>
    <x v="273"/>
    <s v="2093.28"/>
    <x v="0"/>
    <x v="0"/>
  </r>
  <r>
    <n v="6099"/>
    <x v="499"/>
    <s v="Sales invoice issued"/>
    <x v="2460"/>
    <s v="0.0"/>
    <x v="2"/>
    <x v="0"/>
  </r>
  <r>
    <n v="6099"/>
    <x v="499"/>
    <s v="Sales invoice issued"/>
    <x v="273"/>
    <s v="1803.71"/>
    <x v="3"/>
    <x v="2"/>
  </r>
  <r>
    <n v="6099"/>
    <x v="499"/>
    <s v="Sales invoice issued"/>
    <x v="273"/>
    <s v="135.29"/>
    <x v="4"/>
    <x v="3"/>
  </r>
  <r>
    <n v="6100"/>
    <x v="499"/>
    <s v="Sales invoice issued"/>
    <x v="2461"/>
    <s v="0.0"/>
    <x v="2"/>
    <x v="0"/>
  </r>
  <r>
    <n v="6100"/>
    <x v="499"/>
    <s v="Sales invoice issued"/>
    <x v="273"/>
    <s v="985.03"/>
    <x v="3"/>
    <x v="2"/>
  </r>
  <r>
    <n v="6100"/>
    <x v="499"/>
    <s v="Sales invoice issued"/>
    <x v="273"/>
    <s v="73.88"/>
    <x v="4"/>
    <x v="3"/>
  </r>
  <r>
    <n v="6101"/>
    <x v="499"/>
    <s v="Sales invoice issued"/>
    <x v="2462"/>
    <s v="0.0"/>
    <x v="2"/>
    <x v="0"/>
  </r>
  <r>
    <n v="6101"/>
    <x v="499"/>
    <s v="Sales invoice issued"/>
    <x v="273"/>
    <s v="320.48"/>
    <x v="3"/>
    <x v="2"/>
  </r>
  <r>
    <n v="6101"/>
    <x v="499"/>
    <s v="Sales invoice issued"/>
    <x v="273"/>
    <s v="24.04"/>
    <x v="4"/>
    <x v="3"/>
  </r>
  <r>
    <n v="6102"/>
    <x v="499"/>
    <s v="Sales invoice issued"/>
    <x v="1045"/>
    <s v="0.0"/>
    <x v="2"/>
    <x v="0"/>
  </r>
  <r>
    <n v="6102"/>
    <x v="499"/>
    <s v="Sales invoice issued"/>
    <x v="273"/>
    <s v="43.15"/>
    <x v="3"/>
    <x v="2"/>
  </r>
  <r>
    <n v="6102"/>
    <x v="499"/>
    <s v="Sales invoice issued"/>
    <x v="273"/>
    <s v="3.24"/>
    <x v="4"/>
    <x v="3"/>
  </r>
  <r>
    <n v="6103"/>
    <x v="499"/>
    <s v="Sales invoice issued"/>
    <x v="2463"/>
    <s v="0.0"/>
    <x v="2"/>
    <x v="0"/>
  </r>
  <r>
    <n v="6103"/>
    <x v="499"/>
    <s v="Sales invoice issued"/>
    <x v="273"/>
    <s v="1641.3"/>
    <x v="3"/>
    <x v="2"/>
  </r>
  <r>
    <n v="6103"/>
    <x v="499"/>
    <s v="Sales invoice issued"/>
    <x v="273"/>
    <s v="123.09"/>
    <x v="4"/>
    <x v="3"/>
  </r>
  <r>
    <n v="6104"/>
    <x v="499"/>
    <s v="Sales invoice issued"/>
    <x v="2464"/>
    <s v="0.0"/>
    <x v="2"/>
    <x v="0"/>
  </r>
  <r>
    <n v="6104"/>
    <x v="499"/>
    <s v="Sales invoice issued"/>
    <x v="273"/>
    <s v="906.24"/>
    <x v="3"/>
    <x v="2"/>
  </r>
  <r>
    <n v="6104"/>
    <x v="499"/>
    <s v="Sales invoice issued"/>
    <x v="273"/>
    <s v="67.97"/>
    <x v="4"/>
    <x v="3"/>
  </r>
  <r>
    <n v="6105"/>
    <x v="499"/>
    <s v="Sales invoice issued"/>
    <x v="2465"/>
    <s v="0.0"/>
    <x v="2"/>
    <x v="0"/>
  </r>
  <r>
    <n v="6105"/>
    <x v="499"/>
    <s v="Sales invoice issued"/>
    <x v="273"/>
    <s v="933.86"/>
    <x v="3"/>
    <x v="2"/>
  </r>
  <r>
    <n v="6105"/>
    <x v="499"/>
    <s v="Sales invoice issued"/>
    <x v="273"/>
    <s v="70.04"/>
    <x v="4"/>
    <x v="3"/>
  </r>
  <r>
    <n v="6106"/>
    <x v="499"/>
    <s v="Sales invoice issued"/>
    <x v="2466"/>
    <s v="0.0"/>
    <x v="2"/>
    <x v="0"/>
  </r>
  <r>
    <n v="6106"/>
    <x v="499"/>
    <s v="Sales invoice issued"/>
    <x v="273"/>
    <s v="2807.05"/>
    <x v="3"/>
    <x v="2"/>
  </r>
  <r>
    <n v="6106"/>
    <x v="499"/>
    <s v="Sales invoice issued"/>
    <x v="273"/>
    <s v="210.52"/>
    <x v="4"/>
    <x v="3"/>
  </r>
  <r>
    <n v="6107"/>
    <x v="499"/>
    <s v="Sales invoice issued"/>
    <x v="2467"/>
    <s v="0.0"/>
    <x v="2"/>
    <x v="0"/>
  </r>
  <r>
    <n v="6107"/>
    <x v="499"/>
    <s v="Sales invoice issued"/>
    <x v="273"/>
    <s v="1075.83"/>
    <x v="3"/>
    <x v="2"/>
  </r>
  <r>
    <n v="6107"/>
    <x v="499"/>
    <s v="Sales invoice issued"/>
    <x v="273"/>
    <s v="80.69"/>
    <x v="4"/>
    <x v="3"/>
  </r>
  <r>
    <n v="6108"/>
    <x v="499"/>
    <s v="Sales invoice issued"/>
    <x v="2468"/>
    <s v="0.0"/>
    <x v="2"/>
    <x v="0"/>
  </r>
  <r>
    <n v="6108"/>
    <x v="499"/>
    <s v="Sales invoice issued"/>
    <x v="273"/>
    <s v="5484.01"/>
    <x v="3"/>
    <x v="2"/>
  </r>
  <r>
    <n v="6108"/>
    <x v="499"/>
    <s v="Sales invoice issued"/>
    <x v="273"/>
    <s v="411.3"/>
    <x v="4"/>
    <x v="3"/>
  </r>
  <r>
    <n v="6109"/>
    <x v="499"/>
    <s v="Sales invoice issued"/>
    <x v="2469"/>
    <s v="0.0"/>
    <x v="2"/>
    <x v="0"/>
  </r>
  <r>
    <n v="6109"/>
    <x v="499"/>
    <s v="Sales invoice issued"/>
    <x v="273"/>
    <s v="1706.8"/>
    <x v="3"/>
    <x v="2"/>
  </r>
  <r>
    <n v="6109"/>
    <x v="499"/>
    <s v="Sales invoice issued"/>
    <x v="273"/>
    <s v="128.01"/>
    <x v="4"/>
    <x v="3"/>
  </r>
  <r>
    <n v="6110"/>
    <x v="499"/>
    <s v="Sales invoice issued"/>
    <x v="2470"/>
    <s v="0.0"/>
    <x v="2"/>
    <x v="0"/>
  </r>
  <r>
    <n v="6110"/>
    <x v="499"/>
    <s v="Sales invoice issued"/>
    <x v="273"/>
    <s v="2983.23"/>
    <x v="3"/>
    <x v="2"/>
  </r>
  <r>
    <n v="6110"/>
    <x v="499"/>
    <s v="Sales invoice issued"/>
    <x v="273"/>
    <s v="223.74"/>
    <x v="4"/>
    <x v="3"/>
  </r>
  <r>
    <n v="6111"/>
    <x v="499"/>
    <s v="Sales invoice issued"/>
    <x v="2471"/>
    <s v="0.0"/>
    <x v="2"/>
    <x v="0"/>
  </r>
  <r>
    <n v="6111"/>
    <x v="499"/>
    <s v="Sales invoice issued"/>
    <x v="273"/>
    <s v="2924.62"/>
    <x v="3"/>
    <x v="2"/>
  </r>
  <r>
    <n v="6111"/>
    <x v="499"/>
    <s v="Sales invoice issued"/>
    <x v="273"/>
    <s v="219.34"/>
    <x v="4"/>
    <x v="3"/>
  </r>
  <r>
    <n v="6112"/>
    <x v="499"/>
    <s v="Sales invoice issued"/>
    <x v="2472"/>
    <s v="0.0"/>
    <x v="2"/>
    <x v="0"/>
  </r>
  <r>
    <n v="6112"/>
    <x v="499"/>
    <s v="Sales invoice issued"/>
    <x v="273"/>
    <s v="441.16"/>
    <x v="3"/>
    <x v="2"/>
  </r>
  <r>
    <n v="6112"/>
    <x v="499"/>
    <s v="Sales invoice issued"/>
    <x v="273"/>
    <s v="33.09"/>
    <x v="4"/>
    <x v="3"/>
  </r>
  <r>
    <n v="6113"/>
    <x v="499"/>
    <s v="Sales invoice issued"/>
    <x v="884"/>
    <s v="0.0"/>
    <x v="2"/>
    <x v="0"/>
  </r>
  <r>
    <n v="6113"/>
    <x v="499"/>
    <s v="Sales invoice issued"/>
    <x v="273"/>
    <s v="485.87"/>
    <x v="3"/>
    <x v="2"/>
  </r>
  <r>
    <n v="6113"/>
    <x v="499"/>
    <s v="Sales invoice issued"/>
    <x v="273"/>
    <s v="36.44"/>
    <x v="4"/>
    <x v="3"/>
  </r>
  <r>
    <n v="6114"/>
    <x v="499"/>
    <s v="Customer payment received"/>
    <x v="2266"/>
    <s v="0.0"/>
    <x v="0"/>
    <x v="0"/>
  </r>
  <r>
    <n v="6114"/>
    <x v="499"/>
    <s v="Customer payment received"/>
    <x v="273"/>
    <s v="2428.02"/>
    <x v="2"/>
    <x v="0"/>
  </r>
  <r>
    <n v="6115"/>
    <x v="499"/>
    <s v="Customer payment received"/>
    <x v="2296"/>
    <s v="0.0"/>
    <x v="0"/>
    <x v="0"/>
  </r>
  <r>
    <n v="6115"/>
    <x v="499"/>
    <s v="Customer payment received"/>
    <x v="273"/>
    <s v="1652.17"/>
    <x v="2"/>
    <x v="0"/>
  </r>
  <r>
    <n v="6116"/>
    <x v="499"/>
    <s v="Customer payment received"/>
    <x v="2333"/>
    <s v="0.0"/>
    <x v="0"/>
    <x v="0"/>
  </r>
  <r>
    <n v="6116"/>
    <x v="499"/>
    <s v="Customer payment received"/>
    <x v="273"/>
    <s v="4342.19"/>
    <x v="2"/>
    <x v="0"/>
  </r>
  <r>
    <n v="6117"/>
    <x v="499"/>
    <s v="Customer payment received"/>
    <x v="2384"/>
    <s v="0.0"/>
    <x v="0"/>
    <x v="0"/>
  </r>
  <r>
    <n v="6117"/>
    <x v="499"/>
    <s v="Customer payment received"/>
    <x v="273"/>
    <s v="4421.34"/>
    <x v="2"/>
    <x v="0"/>
  </r>
  <r>
    <n v="6118"/>
    <x v="499"/>
    <s v="Customer payment received"/>
    <x v="2411"/>
    <s v="0.0"/>
    <x v="0"/>
    <x v="0"/>
  </r>
  <r>
    <n v="6118"/>
    <x v="499"/>
    <s v="Customer payment received"/>
    <x v="273"/>
    <s v="5232.34"/>
    <x v="2"/>
    <x v="0"/>
  </r>
  <r>
    <n v="6119"/>
    <x v="499"/>
    <s v="Customer payment received"/>
    <x v="2416"/>
    <s v="0.0"/>
    <x v="0"/>
    <x v="0"/>
  </r>
  <r>
    <n v="6119"/>
    <x v="499"/>
    <s v="Customer payment received"/>
    <x v="273"/>
    <s v="1219.56"/>
    <x v="2"/>
    <x v="0"/>
  </r>
  <r>
    <n v="6120"/>
    <x v="499"/>
    <s v="Customer payment received"/>
    <x v="1045"/>
    <s v="0.0"/>
    <x v="0"/>
    <x v="0"/>
  </r>
  <r>
    <n v="6120"/>
    <x v="499"/>
    <s v="Customer payment received"/>
    <x v="273"/>
    <s v="46.39"/>
    <x v="2"/>
    <x v="0"/>
  </r>
  <r>
    <n v="6121"/>
    <x v="499"/>
    <s v="Supplier invoice received"/>
    <x v="297"/>
    <s v="0.0"/>
    <x v="9"/>
    <x v="4"/>
  </r>
  <r>
    <n v="6121"/>
    <x v="499"/>
    <s v="Supplier invoice received"/>
    <x v="298"/>
    <s v="0.0"/>
    <x v="10"/>
    <x v="0"/>
  </r>
  <r>
    <n v="6121"/>
    <x v="499"/>
    <s v="Supplier invoice received"/>
    <x v="273"/>
    <s v="3528.97"/>
    <x v="11"/>
    <x v="3"/>
  </r>
  <r>
    <n v="6122"/>
    <x v="499"/>
    <s v="Supplier invoice received"/>
    <x v="366"/>
    <s v="0.0"/>
    <x v="9"/>
    <x v="4"/>
  </r>
  <r>
    <n v="6122"/>
    <x v="499"/>
    <s v="Supplier invoice received"/>
    <x v="367"/>
    <s v="0.0"/>
    <x v="10"/>
    <x v="0"/>
  </r>
  <r>
    <n v="6122"/>
    <x v="499"/>
    <s v="Supplier invoice received"/>
    <x v="273"/>
    <s v="201.5"/>
    <x v="11"/>
    <x v="3"/>
  </r>
  <r>
    <n v="6123"/>
    <x v="499"/>
    <s v="Supplier invoice received"/>
    <x v="303"/>
    <s v="0.0"/>
    <x v="9"/>
    <x v="4"/>
  </r>
  <r>
    <n v="6123"/>
    <x v="499"/>
    <s v="Supplier invoice received"/>
    <x v="304"/>
    <s v="0.0"/>
    <x v="10"/>
    <x v="0"/>
  </r>
  <r>
    <n v="6123"/>
    <x v="499"/>
    <s v="Supplier invoice received"/>
    <x v="273"/>
    <s v="550.4"/>
    <x v="11"/>
    <x v="3"/>
  </r>
  <r>
    <n v="6124"/>
    <x v="499"/>
    <s v="Supplier payment made"/>
    <x v="392"/>
    <s v="0.0"/>
    <x v="11"/>
    <x v="3"/>
  </r>
  <r>
    <n v="6124"/>
    <x v="499"/>
    <s v="Supplier payment made"/>
    <x v="273"/>
    <s v="1023.42"/>
    <x v="0"/>
    <x v="0"/>
  </r>
  <r>
    <n v="6125"/>
    <x v="500"/>
    <s v="Depreciation â€” Printer/Scanner"/>
    <x v="427"/>
    <s v="0.0"/>
    <x v="12"/>
    <x v="4"/>
  </r>
  <r>
    <n v="6125"/>
    <x v="500"/>
    <s v="Depreciation â€” Printer/Scanner"/>
    <x v="273"/>
    <s v="20.03"/>
    <x v="13"/>
    <x v="0"/>
  </r>
  <r>
    <n v="6126"/>
    <x v="500"/>
    <s v="Depreciation â€” Shop Shelving"/>
    <x v="428"/>
    <s v="0.0"/>
    <x v="12"/>
    <x v="4"/>
  </r>
  <r>
    <n v="6126"/>
    <x v="500"/>
    <s v="Depreciation â€” Shop Shelving"/>
    <x v="273"/>
    <s v="86.89"/>
    <x v="14"/>
    <x v="0"/>
  </r>
  <r>
    <n v="6127"/>
    <x v="500"/>
    <s v="Depreciation â€” Display Stands"/>
    <x v="429"/>
    <s v="0.0"/>
    <x v="12"/>
    <x v="4"/>
  </r>
  <r>
    <n v="6127"/>
    <x v="500"/>
    <s v="Depreciation â€” Display Stands"/>
    <x v="273"/>
    <s v="76.8"/>
    <x v="14"/>
    <x v="0"/>
  </r>
  <r>
    <n v="6128"/>
    <x v="500"/>
    <s v="Depreciation â€” Counter &amp; Checkout"/>
    <x v="430"/>
    <s v="0.0"/>
    <x v="12"/>
    <x v="4"/>
  </r>
  <r>
    <n v="6128"/>
    <x v="500"/>
    <s v="Depreciation â€” Counter &amp; Checkout"/>
    <x v="273"/>
    <s v="48.28"/>
    <x v="14"/>
    <x v="0"/>
  </r>
  <r>
    <n v="6129"/>
    <x v="500"/>
    <s v="Depreciation â€” Signage"/>
    <x v="431"/>
    <s v="0.0"/>
    <x v="12"/>
    <x v="4"/>
  </r>
  <r>
    <n v="6129"/>
    <x v="500"/>
    <s v="Depreciation â€” Signage"/>
    <x v="273"/>
    <s v="53.21"/>
    <x v="14"/>
    <x v="0"/>
  </r>
  <r>
    <n v="6130"/>
    <x v="500"/>
    <s v="Depreciation â€” Delivery Van"/>
    <x v="432"/>
    <s v="0.0"/>
    <x v="12"/>
    <x v="4"/>
  </r>
  <r>
    <n v="6130"/>
    <x v="500"/>
    <s v="Depreciation â€” Delivery Van"/>
    <x v="273"/>
    <s v="232.19"/>
    <x v="15"/>
    <x v="0"/>
  </r>
  <r>
    <n v="6131"/>
    <x v="500"/>
    <s v="Depreciation â€” Security System"/>
    <x v="433"/>
    <s v="0.0"/>
    <x v="12"/>
    <x v="4"/>
  </r>
  <r>
    <n v="6131"/>
    <x v="500"/>
    <s v="Depreciation â€” Security System"/>
    <x v="273"/>
    <s v="43.85"/>
    <x v="13"/>
    <x v="0"/>
  </r>
  <r>
    <n v="6132"/>
    <x v="501"/>
    <s v="Sales invoice issued"/>
    <x v="2473"/>
    <s v="0.0"/>
    <x v="2"/>
    <x v="0"/>
  </r>
  <r>
    <n v="6132"/>
    <x v="501"/>
    <s v="Sales invoice issued"/>
    <x v="273"/>
    <s v="188.35"/>
    <x v="3"/>
    <x v="2"/>
  </r>
  <r>
    <n v="6132"/>
    <x v="501"/>
    <s v="Sales invoice issued"/>
    <x v="273"/>
    <s v="14.13"/>
    <x v="4"/>
    <x v="3"/>
  </r>
  <r>
    <n v="6133"/>
    <x v="501"/>
    <s v="Sales invoice issued"/>
    <x v="2350"/>
    <s v="0.0"/>
    <x v="2"/>
    <x v="0"/>
  </r>
  <r>
    <n v="6133"/>
    <x v="501"/>
    <s v="Sales invoice issued"/>
    <x v="273"/>
    <s v="828.45"/>
    <x v="3"/>
    <x v="2"/>
  </r>
  <r>
    <n v="6133"/>
    <x v="501"/>
    <s v="Sales invoice issued"/>
    <x v="273"/>
    <s v="62.13"/>
    <x v="4"/>
    <x v="3"/>
  </r>
  <r>
    <n v="6134"/>
    <x v="501"/>
    <s v="Sales invoice issued"/>
    <x v="2474"/>
    <s v="0.0"/>
    <x v="2"/>
    <x v="0"/>
  </r>
  <r>
    <n v="6134"/>
    <x v="501"/>
    <s v="Sales invoice issued"/>
    <x v="273"/>
    <s v="4857.04"/>
    <x v="3"/>
    <x v="2"/>
  </r>
  <r>
    <n v="6134"/>
    <x v="501"/>
    <s v="Sales invoice issued"/>
    <x v="273"/>
    <s v="364.28"/>
    <x v="4"/>
    <x v="3"/>
  </r>
  <r>
    <n v="6135"/>
    <x v="501"/>
    <s v="Sales invoice issued"/>
    <x v="2475"/>
    <s v="0.0"/>
    <x v="2"/>
    <x v="0"/>
  </r>
  <r>
    <n v="6135"/>
    <x v="501"/>
    <s v="Sales invoice issued"/>
    <x v="273"/>
    <s v="1863.23"/>
    <x v="3"/>
    <x v="2"/>
  </r>
  <r>
    <n v="6135"/>
    <x v="501"/>
    <s v="Sales invoice issued"/>
    <x v="273"/>
    <s v="139.74"/>
    <x v="4"/>
    <x v="3"/>
  </r>
  <r>
    <n v="6136"/>
    <x v="501"/>
    <s v="Sales invoice issued"/>
    <x v="2476"/>
    <s v="0.0"/>
    <x v="2"/>
    <x v="0"/>
  </r>
  <r>
    <n v="6136"/>
    <x v="501"/>
    <s v="Sales invoice issued"/>
    <x v="273"/>
    <s v="1131.08"/>
    <x v="3"/>
    <x v="2"/>
  </r>
  <r>
    <n v="6136"/>
    <x v="501"/>
    <s v="Sales invoice issued"/>
    <x v="273"/>
    <s v="84.83"/>
    <x v="4"/>
    <x v="3"/>
  </r>
  <r>
    <n v="6137"/>
    <x v="501"/>
    <s v="Sales invoice issued"/>
    <x v="2477"/>
    <s v="0.0"/>
    <x v="2"/>
    <x v="0"/>
  </r>
  <r>
    <n v="6137"/>
    <x v="501"/>
    <s v="Sales invoice issued"/>
    <x v="273"/>
    <s v="4068.05"/>
    <x v="3"/>
    <x v="2"/>
  </r>
  <r>
    <n v="6137"/>
    <x v="501"/>
    <s v="Sales invoice issued"/>
    <x v="273"/>
    <s v="305.12"/>
    <x v="4"/>
    <x v="3"/>
  </r>
  <r>
    <n v="6138"/>
    <x v="501"/>
    <s v="Sales invoice issued"/>
    <x v="2478"/>
    <s v="0.0"/>
    <x v="2"/>
    <x v="0"/>
  </r>
  <r>
    <n v="6138"/>
    <x v="501"/>
    <s v="Sales invoice issued"/>
    <x v="273"/>
    <s v="1267.42"/>
    <x v="3"/>
    <x v="2"/>
  </r>
  <r>
    <n v="6138"/>
    <x v="501"/>
    <s v="Sales invoice issued"/>
    <x v="273"/>
    <s v="95.06"/>
    <x v="4"/>
    <x v="3"/>
  </r>
  <r>
    <n v="6139"/>
    <x v="501"/>
    <s v="Sales invoice issued"/>
    <x v="2479"/>
    <s v="0.0"/>
    <x v="2"/>
    <x v="0"/>
  </r>
  <r>
    <n v="6139"/>
    <x v="501"/>
    <s v="Sales invoice issued"/>
    <x v="273"/>
    <s v="1917.33"/>
    <x v="3"/>
    <x v="2"/>
  </r>
  <r>
    <n v="6139"/>
    <x v="501"/>
    <s v="Sales invoice issued"/>
    <x v="273"/>
    <s v="143.8"/>
    <x v="4"/>
    <x v="3"/>
  </r>
  <r>
    <n v="6140"/>
    <x v="501"/>
    <s v="Sales invoice issued"/>
    <x v="2480"/>
    <s v="0.0"/>
    <x v="2"/>
    <x v="0"/>
  </r>
  <r>
    <n v="6140"/>
    <x v="501"/>
    <s v="Sales invoice issued"/>
    <x v="273"/>
    <s v="1880.45"/>
    <x v="3"/>
    <x v="2"/>
  </r>
  <r>
    <n v="6140"/>
    <x v="501"/>
    <s v="Sales invoice issued"/>
    <x v="273"/>
    <s v="141.03"/>
    <x v="4"/>
    <x v="3"/>
  </r>
  <r>
    <n v="6141"/>
    <x v="501"/>
    <s v="Sales invoice issued"/>
    <x v="636"/>
    <s v="0.0"/>
    <x v="2"/>
    <x v="0"/>
  </r>
  <r>
    <n v="6141"/>
    <x v="501"/>
    <s v="Sales invoice issued"/>
    <x v="273"/>
    <s v="65.25"/>
    <x v="3"/>
    <x v="2"/>
  </r>
  <r>
    <n v="6141"/>
    <x v="501"/>
    <s v="Sales invoice issued"/>
    <x v="273"/>
    <s v="4.89"/>
    <x v="4"/>
    <x v="3"/>
  </r>
  <r>
    <n v="6142"/>
    <x v="501"/>
    <s v="Sales invoice issued"/>
    <x v="2481"/>
    <s v="0.0"/>
    <x v="2"/>
    <x v="0"/>
  </r>
  <r>
    <n v="6142"/>
    <x v="501"/>
    <s v="Sales invoice issued"/>
    <x v="273"/>
    <s v="947.2"/>
    <x v="3"/>
    <x v="2"/>
  </r>
  <r>
    <n v="6142"/>
    <x v="501"/>
    <s v="Sales invoice issued"/>
    <x v="273"/>
    <s v="71.04"/>
    <x v="4"/>
    <x v="3"/>
  </r>
  <r>
    <n v="6143"/>
    <x v="501"/>
    <s v="Sales invoice issued"/>
    <x v="717"/>
    <s v="0.0"/>
    <x v="2"/>
    <x v="0"/>
  </r>
  <r>
    <n v="6143"/>
    <x v="501"/>
    <s v="Sales invoice issued"/>
    <x v="273"/>
    <s v="125.6"/>
    <x v="3"/>
    <x v="2"/>
  </r>
  <r>
    <n v="6143"/>
    <x v="501"/>
    <s v="Sales invoice issued"/>
    <x v="273"/>
    <s v="9.42"/>
    <x v="4"/>
    <x v="3"/>
  </r>
  <r>
    <n v="6144"/>
    <x v="501"/>
    <s v="Sales invoice issued"/>
    <x v="2482"/>
    <s v="0.0"/>
    <x v="2"/>
    <x v="0"/>
  </r>
  <r>
    <n v="6144"/>
    <x v="501"/>
    <s v="Sales invoice issued"/>
    <x v="273"/>
    <s v="828.8"/>
    <x v="3"/>
    <x v="2"/>
  </r>
  <r>
    <n v="6144"/>
    <x v="501"/>
    <s v="Sales invoice issued"/>
    <x v="273"/>
    <s v="62.17"/>
    <x v="4"/>
    <x v="3"/>
  </r>
  <r>
    <n v="6145"/>
    <x v="501"/>
    <s v="Customer payment received"/>
    <x v="2278"/>
    <s v="0.0"/>
    <x v="0"/>
    <x v="0"/>
  </r>
  <r>
    <n v="6145"/>
    <x v="501"/>
    <s v="Customer payment received"/>
    <x v="273"/>
    <s v="4374.61"/>
    <x v="2"/>
    <x v="0"/>
  </r>
  <r>
    <n v="6146"/>
    <x v="501"/>
    <s v="Customer payment received"/>
    <x v="2309"/>
    <s v="0.0"/>
    <x v="0"/>
    <x v="0"/>
  </r>
  <r>
    <n v="6146"/>
    <x v="501"/>
    <s v="Customer payment received"/>
    <x v="273"/>
    <s v="1227.56"/>
    <x v="2"/>
    <x v="0"/>
  </r>
  <r>
    <n v="6147"/>
    <x v="501"/>
    <s v="Customer payment received"/>
    <x v="2483"/>
    <s v="0.0"/>
    <x v="0"/>
    <x v="0"/>
  </r>
  <r>
    <n v="6147"/>
    <x v="501"/>
    <s v="Customer payment received"/>
    <x v="273"/>
    <s v="250.27"/>
    <x v="2"/>
    <x v="0"/>
  </r>
  <r>
    <n v="6148"/>
    <x v="501"/>
    <s v="Customer payment received"/>
    <x v="282"/>
    <s v="0.0"/>
    <x v="0"/>
    <x v="0"/>
  </r>
  <r>
    <n v="6148"/>
    <x v="501"/>
    <s v="Customer payment received"/>
    <x v="273"/>
    <s v="700.99"/>
    <x v="2"/>
    <x v="0"/>
  </r>
  <r>
    <n v="6149"/>
    <x v="501"/>
    <s v="Customer payment received"/>
    <x v="2331"/>
    <s v="0.0"/>
    <x v="0"/>
    <x v="0"/>
  </r>
  <r>
    <n v="6149"/>
    <x v="501"/>
    <s v="Customer payment received"/>
    <x v="273"/>
    <s v="570.49"/>
    <x v="2"/>
    <x v="0"/>
  </r>
  <r>
    <n v="6150"/>
    <x v="501"/>
    <s v="Customer payment received"/>
    <x v="2355"/>
    <s v="0.0"/>
    <x v="0"/>
    <x v="0"/>
  </r>
  <r>
    <n v="6150"/>
    <x v="501"/>
    <s v="Customer payment received"/>
    <x v="273"/>
    <s v="336.71"/>
    <x v="2"/>
    <x v="0"/>
  </r>
  <r>
    <n v="6151"/>
    <x v="501"/>
    <s v="Customer payment received"/>
    <x v="1742"/>
    <s v="0.0"/>
    <x v="0"/>
    <x v="0"/>
  </r>
  <r>
    <n v="6151"/>
    <x v="501"/>
    <s v="Customer payment received"/>
    <x v="273"/>
    <s v="205.92"/>
    <x v="2"/>
    <x v="0"/>
  </r>
  <r>
    <n v="6152"/>
    <x v="501"/>
    <s v="Customer payment received"/>
    <x v="2452"/>
    <s v="0.0"/>
    <x v="0"/>
    <x v="0"/>
  </r>
  <r>
    <n v="6152"/>
    <x v="501"/>
    <s v="Customer payment received"/>
    <x v="273"/>
    <s v="2549.97"/>
    <x v="2"/>
    <x v="0"/>
  </r>
  <r>
    <n v="6153"/>
    <x v="501"/>
    <s v="Customer payment received"/>
    <x v="2468"/>
    <s v="0.0"/>
    <x v="0"/>
    <x v="0"/>
  </r>
  <r>
    <n v="6153"/>
    <x v="501"/>
    <s v="Customer payment received"/>
    <x v="273"/>
    <s v="5895.31"/>
    <x v="2"/>
    <x v="0"/>
  </r>
  <r>
    <n v="6154"/>
    <x v="501"/>
    <s v="Customer payment received"/>
    <x v="2484"/>
    <s v="0.0"/>
    <x v="0"/>
    <x v="0"/>
  </r>
  <r>
    <n v="6154"/>
    <x v="501"/>
    <s v="Customer payment received"/>
    <x v="273"/>
    <s v="1347.34"/>
    <x v="2"/>
    <x v="0"/>
  </r>
  <r>
    <n v="6155"/>
    <x v="501"/>
    <s v="Supplier invoice received"/>
    <x v="461"/>
    <s v="0.0"/>
    <x v="9"/>
    <x v="4"/>
  </r>
  <r>
    <n v="6155"/>
    <x v="501"/>
    <s v="Supplier invoice received"/>
    <x v="462"/>
    <s v="0.0"/>
    <x v="10"/>
    <x v="0"/>
  </r>
  <r>
    <n v="6155"/>
    <x v="501"/>
    <s v="Supplier invoice received"/>
    <x v="273"/>
    <s v="2182.41"/>
    <x v="11"/>
    <x v="3"/>
  </r>
  <r>
    <n v="6156"/>
    <x v="501"/>
    <s v="Supplier invoice received"/>
    <x v="338"/>
    <s v="0.0"/>
    <x v="9"/>
    <x v="4"/>
  </r>
  <r>
    <n v="6156"/>
    <x v="501"/>
    <s v="Supplier invoice received"/>
    <x v="339"/>
    <s v="0.0"/>
    <x v="10"/>
    <x v="0"/>
  </r>
  <r>
    <n v="6156"/>
    <x v="501"/>
    <s v="Supplier invoice received"/>
    <x v="273"/>
    <s v="1159.84"/>
    <x v="11"/>
    <x v="3"/>
  </r>
  <r>
    <n v="6157"/>
    <x v="501"/>
    <s v="Supplier invoice received"/>
    <x v="443"/>
    <s v="0.0"/>
    <x v="9"/>
    <x v="4"/>
  </r>
  <r>
    <n v="6157"/>
    <x v="501"/>
    <s v="Supplier invoice received"/>
    <x v="444"/>
    <s v="0.0"/>
    <x v="10"/>
    <x v="0"/>
  </r>
  <r>
    <n v="6157"/>
    <x v="501"/>
    <s v="Supplier invoice received"/>
    <x v="273"/>
    <s v="748.26"/>
    <x v="11"/>
    <x v="3"/>
  </r>
  <r>
    <n v="6158"/>
    <x v="501"/>
    <s v="Supplier invoice received"/>
    <x v="445"/>
    <s v="0.0"/>
    <x v="9"/>
    <x v="4"/>
  </r>
  <r>
    <n v="6158"/>
    <x v="501"/>
    <s v="Supplier invoice received"/>
    <x v="446"/>
    <s v="0.0"/>
    <x v="10"/>
    <x v="0"/>
  </r>
  <r>
    <n v="6158"/>
    <x v="501"/>
    <s v="Supplier invoice received"/>
    <x v="273"/>
    <s v="1794.11"/>
    <x v="11"/>
    <x v="3"/>
  </r>
  <r>
    <n v="6159"/>
    <x v="501"/>
    <s v="Supplier invoice received"/>
    <x v="295"/>
    <s v="0.0"/>
    <x v="9"/>
    <x v="4"/>
  </r>
  <r>
    <n v="6159"/>
    <x v="501"/>
    <s v="Supplier invoice received"/>
    <x v="296"/>
    <s v="0.0"/>
    <x v="10"/>
    <x v="0"/>
  </r>
  <r>
    <n v="6159"/>
    <x v="501"/>
    <s v="Supplier invoice received"/>
    <x v="273"/>
    <s v="1766.46"/>
    <x v="11"/>
    <x v="3"/>
  </r>
  <r>
    <n v="6160"/>
    <x v="501"/>
    <s v="Supplier invoice received"/>
    <x v="305"/>
    <s v="0.0"/>
    <x v="9"/>
    <x v="4"/>
  </r>
  <r>
    <n v="6160"/>
    <x v="501"/>
    <s v="Supplier invoice received"/>
    <x v="306"/>
    <s v="0.0"/>
    <x v="10"/>
    <x v="0"/>
  </r>
  <r>
    <n v="6160"/>
    <x v="501"/>
    <s v="Supplier invoice received"/>
    <x v="273"/>
    <s v="276.32"/>
    <x v="11"/>
    <x v="3"/>
  </r>
  <r>
    <n v="6161"/>
    <x v="501"/>
    <s v="Supplier invoice received"/>
    <x v="448"/>
    <s v="0.0"/>
    <x v="9"/>
    <x v="4"/>
  </r>
  <r>
    <n v="6161"/>
    <x v="501"/>
    <s v="Supplier invoice received"/>
    <x v="449"/>
    <s v="0.0"/>
    <x v="10"/>
    <x v="0"/>
  </r>
  <r>
    <n v="6161"/>
    <x v="501"/>
    <s v="Supplier invoice received"/>
    <x v="273"/>
    <s v="7227.44"/>
    <x v="11"/>
    <x v="3"/>
  </r>
  <r>
    <n v="6162"/>
    <x v="501"/>
    <s v="Supplier invoice received"/>
    <x v="284"/>
    <s v="0.0"/>
    <x v="9"/>
    <x v="4"/>
  </r>
  <r>
    <n v="6162"/>
    <x v="501"/>
    <s v="Supplier invoice received"/>
    <x v="285"/>
    <s v="0.0"/>
    <x v="10"/>
    <x v="0"/>
  </r>
  <r>
    <n v="6162"/>
    <x v="501"/>
    <s v="Supplier invoice received"/>
    <x v="273"/>
    <s v="9336.67"/>
    <x v="11"/>
    <x v="3"/>
  </r>
  <r>
    <n v="6163"/>
    <x v="501"/>
    <s v="Supplier payment made"/>
    <x v="309"/>
    <s v="0.0"/>
    <x v="11"/>
    <x v="3"/>
  </r>
  <r>
    <n v="6163"/>
    <x v="501"/>
    <s v="Supplier payment made"/>
    <x v="273"/>
    <s v="4812.46"/>
    <x v="0"/>
    <x v="0"/>
  </r>
  <r>
    <n v="6164"/>
    <x v="501"/>
    <s v="Supplier payment made"/>
    <x v="353"/>
    <s v="0.0"/>
    <x v="11"/>
    <x v="3"/>
  </r>
  <r>
    <n v="6164"/>
    <x v="501"/>
    <s v="Supplier payment made"/>
    <x v="273"/>
    <s v="2918.17"/>
    <x v="0"/>
    <x v="0"/>
  </r>
  <r>
    <n v="6165"/>
    <x v="501"/>
    <s v="Supplier payment made"/>
    <x v="335"/>
    <s v="0.0"/>
    <x v="11"/>
    <x v="3"/>
  </r>
  <r>
    <n v="6165"/>
    <x v="501"/>
    <s v="Supplier payment made"/>
    <x v="273"/>
    <s v="550.4"/>
    <x v="0"/>
    <x v="0"/>
  </r>
  <r>
    <n v="6166"/>
    <x v="501"/>
    <s v="Supplier payment made"/>
    <x v="408"/>
    <s v="0.0"/>
    <x v="11"/>
    <x v="3"/>
  </r>
  <r>
    <n v="6166"/>
    <x v="501"/>
    <s v="Supplier payment made"/>
    <x v="273"/>
    <s v="3868.8"/>
    <x v="0"/>
    <x v="0"/>
  </r>
  <r>
    <n v="6167"/>
    <x v="501"/>
    <s v="Supplier payment made"/>
    <x v="352"/>
    <s v="0.0"/>
    <x v="11"/>
    <x v="3"/>
  </r>
  <r>
    <n v="6167"/>
    <x v="501"/>
    <s v="Supplier payment made"/>
    <x v="273"/>
    <s v="9336.67"/>
    <x v="0"/>
    <x v="0"/>
  </r>
  <r>
    <n v="6168"/>
    <x v="502"/>
    <s v="Sales invoice issued"/>
    <x v="2485"/>
    <s v="0.0"/>
    <x v="2"/>
    <x v="0"/>
  </r>
  <r>
    <n v="6168"/>
    <x v="502"/>
    <s v="Sales invoice issued"/>
    <x v="273"/>
    <s v="3608.83"/>
    <x v="3"/>
    <x v="2"/>
  </r>
  <r>
    <n v="6168"/>
    <x v="502"/>
    <s v="Sales invoice issued"/>
    <x v="273"/>
    <s v="270.65"/>
    <x v="4"/>
    <x v="3"/>
  </r>
  <r>
    <n v="6169"/>
    <x v="502"/>
    <s v="Sales invoice issued"/>
    <x v="2486"/>
    <s v="0.0"/>
    <x v="2"/>
    <x v="0"/>
  </r>
  <r>
    <n v="6169"/>
    <x v="502"/>
    <s v="Sales invoice issued"/>
    <x v="273"/>
    <s v="3070.01"/>
    <x v="3"/>
    <x v="2"/>
  </r>
  <r>
    <n v="6169"/>
    <x v="502"/>
    <s v="Sales invoice issued"/>
    <x v="273"/>
    <s v="230.25"/>
    <x v="4"/>
    <x v="3"/>
  </r>
  <r>
    <n v="6170"/>
    <x v="502"/>
    <s v="Sales invoice issued"/>
    <x v="2487"/>
    <s v="0.0"/>
    <x v="2"/>
    <x v="0"/>
  </r>
  <r>
    <n v="6170"/>
    <x v="502"/>
    <s v="Sales invoice issued"/>
    <x v="273"/>
    <s v="861.6"/>
    <x v="3"/>
    <x v="2"/>
  </r>
  <r>
    <n v="6170"/>
    <x v="502"/>
    <s v="Sales invoice issued"/>
    <x v="273"/>
    <s v="64.62"/>
    <x v="4"/>
    <x v="3"/>
  </r>
  <r>
    <n v="6171"/>
    <x v="502"/>
    <s v="Sales invoice issued"/>
    <x v="2488"/>
    <s v="0.0"/>
    <x v="2"/>
    <x v="0"/>
  </r>
  <r>
    <n v="6171"/>
    <x v="502"/>
    <s v="Sales invoice issued"/>
    <x v="273"/>
    <s v="3564.07"/>
    <x v="3"/>
    <x v="2"/>
  </r>
  <r>
    <n v="6171"/>
    <x v="502"/>
    <s v="Sales invoice issued"/>
    <x v="273"/>
    <s v="267.31"/>
    <x v="4"/>
    <x v="3"/>
  </r>
  <r>
    <n v="6172"/>
    <x v="502"/>
    <s v="Sales invoice issued"/>
    <x v="2489"/>
    <s v="0.0"/>
    <x v="2"/>
    <x v="0"/>
  </r>
  <r>
    <n v="6172"/>
    <x v="502"/>
    <s v="Sales invoice issued"/>
    <x v="273"/>
    <s v="3509.64"/>
    <x v="3"/>
    <x v="2"/>
  </r>
  <r>
    <n v="6172"/>
    <x v="502"/>
    <s v="Sales invoice issued"/>
    <x v="273"/>
    <s v="263.23"/>
    <x v="4"/>
    <x v="3"/>
  </r>
  <r>
    <n v="6173"/>
    <x v="502"/>
    <s v="Sales invoice issued"/>
    <x v="2490"/>
    <s v="0.0"/>
    <x v="2"/>
    <x v="0"/>
  </r>
  <r>
    <n v="6173"/>
    <x v="502"/>
    <s v="Sales invoice issued"/>
    <x v="273"/>
    <s v="694.34"/>
    <x v="3"/>
    <x v="2"/>
  </r>
  <r>
    <n v="6173"/>
    <x v="502"/>
    <s v="Sales invoice issued"/>
    <x v="273"/>
    <s v="52.07"/>
    <x v="4"/>
    <x v="3"/>
  </r>
  <r>
    <n v="6174"/>
    <x v="502"/>
    <s v="Sales invoice issued"/>
    <x v="2491"/>
    <s v="0.0"/>
    <x v="2"/>
    <x v="0"/>
  </r>
  <r>
    <n v="6174"/>
    <x v="502"/>
    <s v="Sales invoice issued"/>
    <x v="273"/>
    <s v="1261.27"/>
    <x v="3"/>
    <x v="2"/>
  </r>
  <r>
    <n v="6174"/>
    <x v="502"/>
    <s v="Sales invoice issued"/>
    <x v="273"/>
    <s v="94.6"/>
    <x v="4"/>
    <x v="3"/>
  </r>
  <r>
    <n v="6175"/>
    <x v="502"/>
    <s v="Sales invoice issued"/>
    <x v="2492"/>
    <s v="0.0"/>
    <x v="2"/>
    <x v="0"/>
  </r>
  <r>
    <n v="6175"/>
    <x v="502"/>
    <s v="Sales invoice issued"/>
    <x v="273"/>
    <s v="879.68"/>
    <x v="3"/>
    <x v="2"/>
  </r>
  <r>
    <n v="6175"/>
    <x v="502"/>
    <s v="Sales invoice issued"/>
    <x v="273"/>
    <s v="65.97"/>
    <x v="4"/>
    <x v="3"/>
  </r>
  <r>
    <n v="6176"/>
    <x v="502"/>
    <s v="Sales invoice issued"/>
    <x v="2493"/>
    <s v="0.0"/>
    <x v="2"/>
    <x v="0"/>
  </r>
  <r>
    <n v="6176"/>
    <x v="502"/>
    <s v="Sales invoice issued"/>
    <x v="273"/>
    <s v="3403.35"/>
    <x v="3"/>
    <x v="2"/>
  </r>
  <r>
    <n v="6176"/>
    <x v="502"/>
    <s v="Sales invoice issued"/>
    <x v="273"/>
    <s v="255.25"/>
    <x v="4"/>
    <x v="3"/>
  </r>
  <r>
    <n v="6177"/>
    <x v="502"/>
    <s v="Sales invoice issued"/>
    <x v="2494"/>
    <s v="0.0"/>
    <x v="2"/>
    <x v="0"/>
  </r>
  <r>
    <n v="6177"/>
    <x v="502"/>
    <s v="Sales invoice issued"/>
    <x v="273"/>
    <s v="1572.27"/>
    <x v="3"/>
    <x v="2"/>
  </r>
  <r>
    <n v="6177"/>
    <x v="502"/>
    <s v="Sales invoice issued"/>
    <x v="273"/>
    <s v="117.92"/>
    <x v="4"/>
    <x v="3"/>
  </r>
  <r>
    <n v="6178"/>
    <x v="502"/>
    <s v="Sales invoice issued"/>
    <x v="2495"/>
    <s v="0.0"/>
    <x v="2"/>
    <x v="0"/>
  </r>
  <r>
    <n v="6178"/>
    <x v="502"/>
    <s v="Sales invoice issued"/>
    <x v="273"/>
    <s v="60.16"/>
    <x v="3"/>
    <x v="2"/>
  </r>
  <r>
    <n v="6178"/>
    <x v="502"/>
    <s v="Sales invoice issued"/>
    <x v="273"/>
    <s v="4.51"/>
    <x v="4"/>
    <x v="3"/>
  </r>
  <r>
    <n v="6179"/>
    <x v="502"/>
    <s v="Sales invoice issued"/>
    <x v="2496"/>
    <s v="0.0"/>
    <x v="2"/>
    <x v="0"/>
  </r>
  <r>
    <n v="6179"/>
    <x v="502"/>
    <s v="Sales invoice issued"/>
    <x v="273"/>
    <s v="584.36"/>
    <x v="3"/>
    <x v="2"/>
  </r>
  <r>
    <n v="6179"/>
    <x v="502"/>
    <s v="Sales invoice issued"/>
    <x v="273"/>
    <s v="43.83"/>
    <x v="4"/>
    <x v="3"/>
  </r>
  <r>
    <n v="6180"/>
    <x v="502"/>
    <s v="Sales invoice issued"/>
    <x v="2497"/>
    <s v="0.0"/>
    <x v="2"/>
    <x v="0"/>
  </r>
  <r>
    <n v="6180"/>
    <x v="502"/>
    <s v="Sales invoice issued"/>
    <x v="273"/>
    <s v="1795.44"/>
    <x v="3"/>
    <x v="2"/>
  </r>
  <r>
    <n v="6180"/>
    <x v="502"/>
    <s v="Sales invoice issued"/>
    <x v="273"/>
    <s v="134.66"/>
    <x v="4"/>
    <x v="3"/>
  </r>
  <r>
    <n v="6181"/>
    <x v="502"/>
    <s v="Sales invoice issued"/>
    <x v="2498"/>
    <s v="0.0"/>
    <x v="2"/>
    <x v="0"/>
  </r>
  <r>
    <n v="6181"/>
    <x v="502"/>
    <s v="Sales invoice issued"/>
    <x v="273"/>
    <s v="3072.56"/>
    <x v="3"/>
    <x v="2"/>
  </r>
  <r>
    <n v="6181"/>
    <x v="502"/>
    <s v="Sales invoice issued"/>
    <x v="273"/>
    <s v="230.44"/>
    <x v="4"/>
    <x v="3"/>
  </r>
  <r>
    <n v="6182"/>
    <x v="502"/>
    <s v="Customer payment received"/>
    <x v="2130"/>
    <s v="0.0"/>
    <x v="0"/>
    <x v="0"/>
  </r>
  <r>
    <n v="6182"/>
    <x v="502"/>
    <s v="Customer payment received"/>
    <x v="273"/>
    <s v="2856.42"/>
    <x v="2"/>
    <x v="0"/>
  </r>
  <r>
    <n v="6183"/>
    <x v="502"/>
    <s v="Customer payment received"/>
    <x v="2144"/>
    <s v="0.0"/>
    <x v="0"/>
    <x v="0"/>
  </r>
  <r>
    <n v="6183"/>
    <x v="502"/>
    <s v="Customer payment received"/>
    <x v="273"/>
    <s v="1340.03"/>
    <x v="2"/>
    <x v="0"/>
  </r>
  <r>
    <n v="6184"/>
    <x v="502"/>
    <s v="Customer payment received"/>
    <x v="983"/>
    <s v="0.0"/>
    <x v="0"/>
    <x v="0"/>
  </r>
  <r>
    <n v="6184"/>
    <x v="502"/>
    <s v="Customer payment received"/>
    <x v="273"/>
    <s v="148.8"/>
    <x v="2"/>
    <x v="0"/>
  </r>
  <r>
    <n v="6185"/>
    <x v="502"/>
    <s v="Customer payment received"/>
    <x v="2388"/>
    <s v="0.0"/>
    <x v="0"/>
    <x v="0"/>
  </r>
  <r>
    <n v="6185"/>
    <x v="502"/>
    <s v="Customer payment received"/>
    <x v="273"/>
    <s v="1473.67"/>
    <x v="2"/>
    <x v="0"/>
  </r>
  <r>
    <n v="6186"/>
    <x v="502"/>
    <s v="Customer payment received"/>
    <x v="2399"/>
    <s v="0.0"/>
    <x v="0"/>
    <x v="0"/>
  </r>
  <r>
    <n v="6186"/>
    <x v="502"/>
    <s v="Customer payment received"/>
    <x v="273"/>
    <s v="1895.62"/>
    <x v="2"/>
    <x v="0"/>
  </r>
  <r>
    <n v="6187"/>
    <x v="502"/>
    <s v="Customer payment received"/>
    <x v="2405"/>
    <s v="0.0"/>
    <x v="0"/>
    <x v="0"/>
  </r>
  <r>
    <n v="6187"/>
    <x v="502"/>
    <s v="Customer payment received"/>
    <x v="273"/>
    <s v="3427.65"/>
    <x v="2"/>
    <x v="0"/>
  </r>
  <r>
    <n v="6188"/>
    <x v="502"/>
    <s v="Customer payment received"/>
    <x v="2124"/>
    <s v="0.0"/>
    <x v="0"/>
    <x v="0"/>
  </r>
  <r>
    <n v="6188"/>
    <x v="502"/>
    <s v="Customer payment received"/>
    <x v="273"/>
    <s v="215.49"/>
    <x v="2"/>
    <x v="0"/>
  </r>
  <r>
    <n v="6189"/>
    <x v="502"/>
    <s v="Customer payment received"/>
    <x v="1009"/>
    <s v="0.0"/>
    <x v="0"/>
    <x v="0"/>
  </r>
  <r>
    <n v="6189"/>
    <x v="502"/>
    <s v="Customer payment received"/>
    <x v="273"/>
    <s v="149.41"/>
    <x v="2"/>
    <x v="0"/>
  </r>
  <r>
    <n v="6190"/>
    <x v="502"/>
    <s v="Customer payment received"/>
    <x v="1023"/>
    <s v="0.0"/>
    <x v="0"/>
    <x v="0"/>
  </r>
  <r>
    <n v="6190"/>
    <x v="502"/>
    <s v="Customer payment received"/>
    <x v="273"/>
    <s v="270.04"/>
    <x v="2"/>
    <x v="0"/>
  </r>
  <r>
    <n v="6191"/>
    <x v="502"/>
    <s v="Customer payment received"/>
    <x v="2439"/>
    <s v="0.0"/>
    <x v="0"/>
    <x v="0"/>
  </r>
  <r>
    <n v="6191"/>
    <x v="502"/>
    <s v="Customer payment received"/>
    <x v="273"/>
    <s v="3610.64"/>
    <x v="2"/>
    <x v="0"/>
  </r>
  <r>
    <n v="6192"/>
    <x v="502"/>
    <s v="Customer payment received"/>
    <x v="884"/>
    <s v="0.0"/>
    <x v="0"/>
    <x v="0"/>
  </r>
  <r>
    <n v="6192"/>
    <x v="502"/>
    <s v="Customer payment received"/>
    <x v="273"/>
    <s v="522.31"/>
    <x v="2"/>
    <x v="0"/>
  </r>
  <r>
    <n v="6193"/>
    <x v="502"/>
    <s v="Customer payment received"/>
    <x v="2475"/>
    <s v="0.0"/>
    <x v="0"/>
    <x v="0"/>
  </r>
  <r>
    <n v="6193"/>
    <x v="502"/>
    <s v="Customer payment received"/>
    <x v="273"/>
    <s v="2002.97"/>
    <x v="2"/>
    <x v="0"/>
  </r>
  <r>
    <n v="6194"/>
    <x v="502"/>
    <s v="Customer payment received"/>
    <x v="2489"/>
    <s v="0.0"/>
    <x v="0"/>
    <x v="0"/>
  </r>
  <r>
    <n v="6194"/>
    <x v="502"/>
    <s v="Customer payment received"/>
    <x v="273"/>
    <s v="3772.87"/>
    <x v="2"/>
    <x v="0"/>
  </r>
  <r>
    <n v="6195"/>
    <x v="502"/>
    <s v="Customer payment received"/>
    <x v="2492"/>
    <s v="0.0"/>
    <x v="0"/>
    <x v="0"/>
  </r>
  <r>
    <n v="6195"/>
    <x v="502"/>
    <s v="Customer payment received"/>
    <x v="273"/>
    <s v="945.65"/>
    <x v="2"/>
    <x v="0"/>
  </r>
  <r>
    <n v="6196"/>
    <x v="502"/>
    <s v="Supplier invoice received"/>
    <x v="372"/>
    <s v="0.0"/>
    <x v="9"/>
    <x v="4"/>
  </r>
  <r>
    <n v="6196"/>
    <x v="502"/>
    <s v="Supplier invoice received"/>
    <x v="373"/>
    <s v="0.0"/>
    <x v="10"/>
    <x v="0"/>
  </r>
  <r>
    <n v="6196"/>
    <x v="502"/>
    <s v="Supplier invoice received"/>
    <x v="273"/>
    <s v="412.54"/>
    <x v="11"/>
    <x v="3"/>
  </r>
  <r>
    <n v="6197"/>
    <x v="502"/>
    <s v="Supplier payment made"/>
    <x v="393"/>
    <s v="0.0"/>
    <x v="11"/>
    <x v="3"/>
  </r>
  <r>
    <n v="6197"/>
    <x v="502"/>
    <s v="Supplier payment made"/>
    <x v="273"/>
    <s v="412.54"/>
    <x v="0"/>
    <x v="0"/>
  </r>
  <r>
    <n v="6198"/>
    <x v="503"/>
    <s v="Sales invoice issued"/>
    <x v="2499"/>
    <s v="0.0"/>
    <x v="2"/>
    <x v="0"/>
  </r>
  <r>
    <n v="6198"/>
    <x v="503"/>
    <s v="Sales invoice issued"/>
    <x v="273"/>
    <s v="2378.3"/>
    <x v="3"/>
    <x v="2"/>
  </r>
  <r>
    <n v="6198"/>
    <x v="503"/>
    <s v="Sales invoice issued"/>
    <x v="273"/>
    <s v="178.37"/>
    <x v="4"/>
    <x v="3"/>
  </r>
  <r>
    <n v="6199"/>
    <x v="503"/>
    <s v="Sales invoice issued"/>
    <x v="2500"/>
    <s v="0.0"/>
    <x v="2"/>
    <x v="0"/>
  </r>
  <r>
    <n v="6199"/>
    <x v="503"/>
    <s v="Sales invoice issued"/>
    <x v="273"/>
    <s v="978.28"/>
    <x v="3"/>
    <x v="2"/>
  </r>
  <r>
    <n v="6199"/>
    <x v="503"/>
    <s v="Sales invoice issued"/>
    <x v="273"/>
    <s v="73.37"/>
    <x v="4"/>
    <x v="3"/>
  </r>
  <r>
    <n v="6200"/>
    <x v="503"/>
    <s v="Sales invoice issued"/>
    <x v="2501"/>
    <s v="0.0"/>
    <x v="2"/>
    <x v="0"/>
  </r>
  <r>
    <n v="6200"/>
    <x v="503"/>
    <s v="Sales invoice issued"/>
    <x v="273"/>
    <s v="1981.04"/>
    <x v="3"/>
    <x v="2"/>
  </r>
  <r>
    <n v="6200"/>
    <x v="503"/>
    <s v="Sales invoice issued"/>
    <x v="273"/>
    <s v="148.58"/>
    <x v="4"/>
    <x v="3"/>
  </r>
  <r>
    <n v="6201"/>
    <x v="503"/>
    <s v="Sales invoice issued"/>
    <x v="2495"/>
    <s v="0.0"/>
    <x v="2"/>
    <x v="0"/>
  </r>
  <r>
    <n v="6201"/>
    <x v="503"/>
    <s v="Sales invoice issued"/>
    <x v="273"/>
    <s v="60.16"/>
    <x v="3"/>
    <x v="2"/>
  </r>
  <r>
    <n v="6201"/>
    <x v="503"/>
    <s v="Sales invoice issued"/>
    <x v="273"/>
    <s v="4.51"/>
    <x v="4"/>
    <x v="3"/>
  </r>
  <r>
    <n v="6202"/>
    <x v="503"/>
    <s v="Sales invoice issued"/>
    <x v="484"/>
    <s v="0.0"/>
    <x v="2"/>
    <x v="0"/>
  </r>
  <r>
    <n v="6202"/>
    <x v="503"/>
    <s v="Sales invoice issued"/>
    <x v="273"/>
    <s v="570.1"/>
    <x v="3"/>
    <x v="2"/>
  </r>
  <r>
    <n v="6202"/>
    <x v="503"/>
    <s v="Sales invoice issued"/>
    <x v="273"/>
    <s v="42.76"/>
    <x v="4"/>
    <x v="3"/>
  </r>
  <r>
    <n v="6203"/>
    <x v="503"/>
    <s v="Sales invoice issued"/>
    <x v="2502"/>
    <s v="0.0"/>
    <x v="2"/>
    <x v="0"/>
  </r>
  <r>
    <n v="6203"/>
    <x v="503"/>
    <s v="Sales invoice issued"/>
    <x v="273"/>
    <s v="77.67"/>
    <x v="3"/>
    <x v="2"/>
  </r>
  <r>
    <n v="6203"/>
    <x v="503"/>
    <s v="Sales invoice issued"/>
    <x v="273"/>
    <s v="5.83"/>
    <x v="4"/>
    <x v="3"/>
  </r>
  <r>
    <n v="6204"/>
    <x v="503"/>
    <s v="Sales invoice issued"/>
    <x v="2503"/>
    <s v="0.0"/>
    <x v="2"/>
    <x v="0"/>
  </r>
  <r>
    <n v="6204"/>
    <x v="503"/>
    <s v="Sales invoice issued"/>
    <x v="273"/>
    <s v="1905.73"/>
    <x v="3"/>
    <x v="2"/>
  </r>
  <r>
    <n v="6204"/>
    <x v="503"/>
    <s v="Sales invoice issued"/>
    <x v="273"/>
    <s v="142.94"/>
    <x v="4"/>
    <x v="3"/>
  </r>
  <r>
    <n v="6205"/>
    <x v="503"/>
    <s v="Sales invoice issued"/>
    <x v="2504"/>
    <s v="0.0"/>
    <x v="2"/>
    <x v="0"/>
  </r>
  <r>
    <n v="6205"/>
    <x v="503"/>
    <s v="Sales invoice issued"/>
    <x v="273"/>
    <s v="3868.93"/>
    <x v="3"/>
    <x v="2"/>
  </r>
  <r>
    <n v="6205"/>
    <x v="503"/>
    <s v="Sales invoice issued"/>
    <x v="273"/>
    <s v="290.17"/>
    <x v="4"/>
    <x v="3"/>
  </r>
  <r>
    <n v="6206"/>
    <x v="503"/>
    <s v="Sales invoice issued"/>
    <x v="2505"/>
    <s v="0.0"/>
    <x v="2"/>
    <x v="0"/>
  </r>
  <r>
    <n v="6206"/>
    <x v="503"/>
    <s v="Sales invoice issued"/>
    <x v="273"/>
    <s v="2218.88"/>
    <x v="3"/>
    <x v="2"/>
  </r>
  <r>
    <n v="6206"/>
    <x v="503"/>
    <s v="Sales invoice issued"/>
    <x v="273"/>
    <s v="166.41"/>
    <x v="4"/>
    <x v="3"/>
  </r>
  <r>
    <n v="6207"/>
    <x v="503"/>
    <s v="Sales invoice issued"/>
    <x v="2506"/>
    <s v="0.0"/>
    <x v="2"/>
    <x v="0"/>
  </r>
  <r>
    <n v="6207"/>
    <x v="503"/>
    <s v="Sales invoice issued"/>
    <x v="273"/>
    <s v="2195.47"/>
    <x v="3"/>
    <x v="2"/>
  </r>
  <r>
    <n v="6207"/>
    <x v="503"/>
    <s v="Sales invoice issued"/>
    <x v="273"/>
    <s v="164.65"/>
    <x v="4"/>
    <x v="3"/>
  </r>
  <r>
    <n v="6208"/>
    <x v="503"/>
    <s v="Sales invoice issued"/>
    <x v="2507"/>
    <s v="0.0"/>
    <x v="2"/>
    <x v="0"/>
  </r>
  <r>
    <n v="6208"/>
    <x v="503"/>
    <s v="Sales invoice issued"/>
    <x v="273"/>
    <s v="5237.64"/>
    <x v="3"/>
    <x v="2"/>
  </r>
  <r>
    <n v="6208"/>
    <x v="503"/>
    <s v="Sales invoice issued"/>
    <x v="273"/>
    <s v="392.82"/>
    <x v="4"/>
    <x v="3"/>
  </r>
  <r>
    <n v="6209"/>
    <x v="503"/>
    <s v="Sales invoice issued"/>
    <x v="2508"/>
    <s v="0.0"/>
    <x v="2"/>
    <x v="0"/>
  </r>
  <r>
    <n v="6209"/>
    <x v="503"/>
    <s v="Sales invoice issued"/>
    <x v="273"/>
    <s v="594.48"/>
    <x v="3"/>
    <x v="2"/>
  </r>
  <r>
    <n v="6209"/>
    <x v="503"/>
    <s v="Sales invoice issued"/>
    <x v="273"/>
    <s v="44.59"/>
    <x v="4"/>
    <x v="3"/>
  </r>
  <r>
    <n v="6210"/>
    <x v="503"/>
    <s v="Sales invoice issued"/>
    <x v="1999"/>
    <s v="0.0"/>
    <x v="2"/>
    <x v="0"/>
  </r>
  <r>
    <n v="6210"/>
    <x v="503"/>
    <s v="Sales invoice issued"/>
    <x v="273"/>
    <s v="52.2"/>
    <x v="3"/>
    <x v="2"/>
  </r>
  <r>
    <n v="6210"/>
    <x v="503"/>
    <s v="Sales invoice issued"/>
    <x v="273"/>
    <s v="3.92"/>
    <x v="4"/>
    <x v="3"/>
  </r>
  <r>
    <n v="6211"/>
    <x v="503"/>
    <s v="Sales invoice issued"/>
    <x v="2509"/>
    <s v="0.0"/>
    <x v="2"/>
    <x v="0"/>
  </r>
  <r>
    <n v="6211"/>
    <x v="503"/>
    <s v="Sales invoice issued"/>
    <x v="273"/>
    <s v="614.41"/>
    <x v="3"/>
    <x v="2"/>
  </r>
  <r>
    <n v="6211"/>
    <x v="503"/>
    <s v="Sales invoice issued"/>
    <x v="273"/>
    <s v="46.08"/>
    <x v="4"/>
    <x v="3"/>
  </r>
  <r>
    <n v="6212"/>
    <x v="503"/>
    <s v="Sales invoice issued"/>
    <x v="2510"/>
    <s v="0.0"/>
    <x v="2"/>
    <x v="0"/>
  </r>
  <r>
    <n v="6212"/>
    <x v="503"/>
    <s v="Sales invoice issued"/>
    <x v="273"/>
    <s v="2886.62"/>
    <x v="3"/>
    <x v="2"/>
  </r>
  <r>
    <n v="6212"/>
    <x v="503"/>
    <s v="Sales invoice issued"/>
    <x v="273"/>
    <s v="216.5"/>
    <x v="4"/>
    <x v="3"/>
  </r>
  <r>
    <n v="6213"/>
    <x v="503"/>
    <s v="Sales invoice issued"/>
    <x v="2511"/>
    <s v="0.0"/>
    <x v="2"/>
    <x v="0"/>
  </r>
  <r>
    <n v="6213"/>
    <x v="503"/>
    <s v="Sales invoice issued"/>
    <x v="273"/>
    <s v="753.92"/>
    <x v="3"/>
    <x v="2"/>
  </r>
  <r>
    <n v="6213"/>
    <x v="503"/>
    <s v="Sales invoice issued"/>
    <x v="273"/>
    <s v="56.55"/>
    <x v="4"/>
    <x v="3"/>
  </r>
  <r>
    <n v="6214"/>
    <x v="503"/>
    <s v="Customer payment received"/>
    <x v="2512"/>
    <s v="0.0"/>
    <x v="0"/>
    <x v="0"/>
  </r>
  <r>
    <n v="6214"/>
    <x v="503"/>
    <s v="Customer payment received"/>
    <x v="273"/>
    <s v="224.17"/>
    <x v="2"/>
    <x v="0"/>
  </r>
  <r>
    <n v="6215"/>
    <x v="503"/>
    <s v="Customer payment received"/>
    <x v="2311"/>
    <s v="0.0"/>
    <x v="0"/>
    <x v="0"/>
  </r>
  <r>
    <n v="6215"/>
    <x v="503"/>
    <s v="Customer payment received"/>
    <x v="273"/>
    <s v="3991.68"/>
    <x v="2"/>
    <x v="0"/>
  </r>
  <r>
    <n v="6216"/>
    <x v="503"/>
    <s v="Customer payment received"/>
    <x v="2340"/>
    <s v="0.0"/>
    <x v="0"/>
    <x v="0"/>
  </r>
  <r>
    <n v="6216"/>
    <x v="503"/>
    <s v="Customer payment received"/>
    <x v="273"/>
    <s v="3057.94"/>
    <x v="2"/>
    <x v="0"/>
  </r>
  <r>
    <n v="6217"/>
    <x v="503"/>
    <s v="Customer payment received"/>
    <x v="2417"/>
    <s v="0.0"/>
    <x v="0"/>
    <x v="0"/>
  </r>
  <r>
    <n v="6217"/>
    <x v="503"/>
    <s v="Customer payment received"/>
    <x v="273"/>
    <s v="5138.67"/>
    <x v="2"/>
    <x v="0"/>
  </r>
  <r>
    <n v="6218"/>
    <x v="503"/>
    <s v="Customer payment received"/>
    <x v="2440"/>
    <s v="0.0"/>
    <x v="0"/>
    <x v="0"/>
  </r>
  <r>
    <n v="6218"/>
    <x v="503"/>
    <s v="Customer payment received"/>
    <x v="273"/>
    <s v="4123.4"/>
    <x v="2"/>
    <x v="0"/>
  </r>
  <r>
    <n v="6219"/>
    <x v="503"/>
    <s v="Customer payment received"/>
    <x v="2457"/>
    <s v="0.0"/>
    <x v="0"/>
    <x v="0"/>
  </r>
  <r>
    <n v="6219"/>
    <x v="503"/>
    <s v="Customer payment received"/>
    <x v="273"/>
    <s v="3175.41"/>
    <x v="2"/>
    <x v="0"/>
  </r>
  <r>
    <n v="6220"/>
    <x v="503"/>
    <s v="Customer payment received"/>
    <x v="2463"/>
    <s v="0.0"/>
    <x v="0"/>
    <x v="0"/>
  </r>
  <r>
    <n v="6220"/>
    <x v="503"/>
    <s v="Customer payment received"/>
    <x v="273"/>
    <s v="1764.39"/>
    <x v="2"/>
    <x v="0"/>
  </r>
  <r>
    <n v="6221"/>
    <x v="503"/>
    <s v="Customer payment received"/>
    <x v="2481"/>
    <s v="0.0"/>
    <x v="0"/>
    <x v="0"/>
  </r>
  <r>
    <n v="6221"/>
    <x v="503"/>
    <s v="Customer payment received"/>
    <x v="273"/>
    <s v="1018.24"/>
    <x v="2"/>
    <x v="0"/>
  </r>
  <r>
    <n v="6222"/>
    <x v="503"/>
    <s v="Supplier invoice received"/>
    <x v="357"/>
    <s v="0.0"/>
    <x v="9"/>
    <x v="4"/>
  </r>
  <r>
    <n v="6222"/>
    <x v="503"/>
    <s v="Supplier invoice received"/>
    <x v="358"/>
    <s v="0.0"/>
    <x v="10"/>
    <x v="0"/>
  </r>
  <r>
    <n v="6222"/>
    <x v="503"/>
    <s v="Supplier invoice received"/>
    <x v="273"/>
    <s v="1958.74"/>
    <x v="11"/>
    <x v="3"/>
  </r>
  <r>
    <n v="6223"/>
    <x v="503"/>
    <s v="Supplier payment made"/>
    <x v="310"/>
    <s v="0.0"/>
    <x v="11"/>
    <x v="3"/>
  </r>
  <r>
    <n v="6223"/>
    <x v="503"/>
    <s v="Supplier payment made"/>
    <x v="273"/>
    <s v="276.32"/>
    <x v="0"/>
    <x v="0"/>
  </r>
  <r>
    <n v="6224"/>
    <x v="503"/>
    <s v="Supplier payment made"/>
    <x v="393"/>
    <s v="0.0"/>
    <x v="11"/>
    <x v="3"/>
  </r>
  <r>
    <n v="6224"/>
    <x v="503"/>
    <s v="Supplier payment made"/>
    <x v="273"/>
    <s v="412.54"/>
    <x v="0"/>
    <x v="0"/>
  </r>
  <r>
    <n v="6225"/>
    <x v="503"/>
    <s v="Supplier payment made"/>
    <x v="407"/>
    <s v="0.0"/>
    <x v="11"/>
    <x v="3"/>
  </r>
  <r>
    <n v="6225"/>
    <x v="503"/>
    <s v="Supplier payment made"/>
    <x v="273"/>
    <s v="201.5"/>
    <x v="0"/>
    <x v="0"/>
  </r>
  <r>
    <n v="6226"/>
    <x v="503"/>
    <s v="Supplier payment made"/>
    <x v="352"/>
    <s v="0.0"/>
    <x v="11"/>
    <x v="3"/>
  </r>
  <r>
    <n v="6226"/>
    <x v="503"/>
    <s v="Supplier payment made"/>
    <x v="273"/>
    <s v="9336.67"/>
    <x v="0"/>
    <x v="0"/>
  </r>
  <r>
    <n v="6227"/>
    <x v="503"/>
    <s v="Supplier payment made"/>
    <x v="327"/>
    <s v="0.0"/>
    <x v="11"/>
    <x v="3"/>
  </r>
  <r>
    <n v="6227"/>
    <x v="503"/>
    <s v="Supplier payment made"/>
    <x v="273"/>
    <s v="1935.04"/>
    <x v="0"/>
    <x v="0"/>
  </r>
  <r>
    <n v="6228"/>
    <x v="504"/>
    <s v="Payroll processed"/>
    <x v="2513"/>
    <s v="0.0"/>
    <x v="5"/>
    <x v="4"/>
  </r>
  <r>
    <n v="6228"/>
    <x v="504"/>
    <s v="Payroll processed"/>
    <x v="2514"/>
    <s v="0.0"/>
    <x v="6"/>
    <x v="4"/>
  </r>
  <r>
    <n v="6228"/>
    <x v="504"/>
    <s v="Payroll processed"/>
    <x v="273"/>
    <s v="18356.96"/>
    <x v="0"/>
    <x v="0"/>
  </r>
  <r>
    <n v="6228"/>
    <x v="504"/>
    <s v="Payroll processed"/>
    <x v="273"/>
    <s v="4352.58"/>
    <x v="7"/>
    <x v="3"/>
  </r>
  <r>
    <n v="6228"/>
    <x v="504"/>
    <s v="Payroll processed"/>
    <x v="273"/>
    <s v="908.38"/>
    <x v="8"/>
    <x v="3"/>
  </r>
  <r>
    <n v="6229"/>
    <x v="504"/>
    <s v="Sales invoice issued"/>
    <x v="2515"/>
    <s v="0.0"/>
    <x v="2"/>
    <x v="0"/>
  </r>
  <r>
    <n v="6229"/>
    <x v="504"/>
    <s v="Sales invoice issued"/>
    <x v="273"/>
    <s v="2434.65"/>
    <x v="3"/>
    <x v="2"/>
  </r>
  <r>
    <n v="6229"/>
    <x v="504"/>
    <s v="Sales invoice issued"/>
    <x v="273"/>
    <s v="182.59"/>
    <x v="4"/>
    <x v="3"/>
  </r>
  <r>
    <n v="6230"/>
    <x v="504"/>
    <s v="Sales invoice issued"/>
    <x v="2516"/>
    <s v="0.0"/>
    <x v="2"/>
    <x v="0"/>
  </r>
  <r>
    <n v="6230"/>
    <x v="504"/>
    <s v="Sales invoice issued"/>
    <x v="273"/>
    <s v="923.38"/>
    <x v="3"/>
    <x v="2"/>
  </r>
  <r>
    <n v="6230"/>
    <x v="504"/>
    <s v="Sales invoice issued"/>
    <x v="273"/>
    <s v="69.25"/>
    <x v="4"/>
    <x v="3"/>
  </r>
  <r>
    <n v="6231"/>
    <x v="504"/>
    <s v="Sales invoice issued"/>
    <x v="1256"/>
    <s v="0.0"/>
    <x v="2"/>
    <x v="0"/>
  </r>
  <r>
    <n v="6231"/>
    <x v="504"/>
    <s v="Sales invoice issued"/>
    <x v="273"/>
    <s v="78.3"/>
    <x v="3"/>
    <x v="2"/>
  </r>
  <r>
    <n v="6231"/>
    <x v="504"/>
    <s v="Sales invoice issued"/>
    <x v="273"/>
    <s v="5.87"/>
    <x v="4"/>
    <x v="3"/>
  </r>
  <r>
    <n v="6232"/>
    <x v="504"/>
    <s v="Sales invoice issued"/>
    <x v="2517"/>
    <s v="0.0"/>
    <x v="2"/>
    <x v="0"/>
  </r>
  <r>
    <n v="6232"/>
    <x v="504"/>
    <s v="Sales invoice issued"/>
    <x v="273"/>
    <s v="3733.99"/>
    <x v="3"/>
    <x v="2"/>
  </r>
  <r>
    <n v="6232"/>
    <x v="504"/>
    <s v="Sales invoice issued"/>
    <x v="273"/>
    <s v="280.04"/>
    <x v="4"/>
    <x v="3"/>
  </r>
  <r>
    <n v="6233"/>
    <x v="504"/>
    <s v="Sales invoice issued"/>
    <x v="2518"/>
    <s v="0.0"/>
    <x v="2"/>
    <x v="0"/>
  </r>
  <r>
    <n v="6233"/>
    <x v="504"/>
    <s v="Sales invoice issued"/>
    <x v="273"/>
    <s v="1545.07"/>
    <x v="3"/>
    <x v="2"/>
  </r>
  <r>
    <n v="6233"/>
    <x v="504"/>
    <s v="Sales invoice issued"/>
    <x v="273"/>
    <s v="115.88"/>
    <x v="4"/>
    <x v="3"/>
  </r>
  <r>
    <n v="6234"/>
    <x v="504"/>
    <s v="Sales invoice issued"/>
    <x v="2519"/>
    <s v="0.0"/>
    <x v="2"/>
    <x v="0"/>
  </r>
  <r>
    <n v="6234"/>
    <x v="504"/>
    <s v="Sales invoice issued"/>
    <x v="273"/>
    <s v="3314.77"/>
    <x v="3"/>
    <x v="2"/>
  </r>
  <r>
    <n v="6234"/>
    <x v="504"/>
    <s v="Sales invoice issued"/>
    <x v="273"/>
    <s v="248.6"/>
    <x v="4"/>
    <x v="3"/>
  </r>
  <r>
    <n v="6235"/>
    <x v="504"/>
    <s v="Sales invoice issued"/>
    <x v="2520"/>
    <s v="0.0"/>
    <x v="2"/>
    <x v="0"/>
  </r>
  <r>
    <n v="6235"/>
    <x v="504"/>
    <s v="Sales invoice issued"/>
    <x v="273"/>
    <s v="4060.25"/>
    <x v="3"/>
    <x v="2"/>
  </r>
  <r>
    <n v="6235"/>
    <x v="504"/>
    <s v="Sales invoice issued"/>
    <x v="273"/>
    <s v="304.52"/>
    <x v="4"/>
    <x v="3"/>
  </r>
  <r>
    <n v="6236"/>
    <x v="504"/>
    <s v="Sales invoice issued"/>
    <x v="2521"/>
    <s v="0.0"/>
    <x v="2"/>
    <x v="0"/>
  </r>
  <r>
    <n v="6236"/>
    <x v="504"/>
    <s v="Sales invoice issued"/>
    <x v="273"/>
    <s v="263.92"/>
    <x v="3"/>
    <x v="2"/>
  </r>
  <r>
    <n v="6236"/>
    <x v="504"/>
    <s v="Sales invoice issued"/>
    <x v="273"/>
    <s v="19.79"/>
    <x v="4"/>
    <x v="3"/>
  </r>
  <r>
    <n v="6237"/>
    <x v="504"/>
    <s v="Sales invoice issued"/>
    <x v="2522"/>
    <s v="0.0"/>
    <x v="2"/>
    <x v="0"/>
  </r>
  <r>
    <n v="6237"/>
    <x v="504"/>
    <s v="Sales invoice issued"/>
    <x v="273"/>
    <s v="975.25"/>
    <x v="3"/>
    <x v="2"/>
  </r>
  <r>
    <n v="6237"/>
    <x v="504"/>
    <s v="Sales invoice issued"/>
    <x v="273"/>
    <s v="73.15"/>
    <x v="4"/>
    <x v="3"/>
  </r>
  <r>
    <n v="6238"/>
    <x v="504"/>
    <s v="Customer payment received"/>
    <x v="2366"/>
    <s v="0.0"/>
    <x v="0"/>
    <x v="0"/>
  </r>
  <r>
    <n v="6238"/>
    <x v="504"/>
    <s v="Customer payment received"/>
    <x v="273"/>
    <s v="2688.81"/>
    <x v="2"/>
    <x v="0"/>
  </r>
  <r>
    <n v="6239"/>
    <x v="504"/>
    <s v="Customer payment received"/>
    <x v="2385"/>
    <s v="0.0"/>
    <x v="0"/>
    <x v="0"/>
  </r>
  <r>
    <n v="6239"/>
    <x v="504"/>
    <s v="Customer payment received"/>
    <x v="273"/>
    <s v="6261.36"/>
    <x v="2"/>
    <x v="0"/>
  </r>
  <r>
    <n v="6240"/>
    <x v="504"/>
    <s v="Customer payment received"/>
    <x v="2421"/>
    <s v="0.0"/>
    <x v="0"/>
    <x v="0"/>
  </r>
  <r>
    <n v="6240"/>
    <x v="504"/>
    <s v="Customer payment received"/>
    <x v="273"/>
    <s v="3139.49"/>
    <x v="2"/>
    <x v="0"/>
  </r>
  <r>
    <n v="6241"/>
    <x v="504"/>
    <s v="Customer payment received"/>
    <x v="2434"/>
    <s v="0.0"/>
    <x v="0"/>
    <x v="0"/>
  </r>
  <r>
    <n v="6241"/>
    <x v="504"/>
    <s v="Customer payment received"/>
    <x v="273"/>
    <s v="2169.35"/>
    <x v="2"/>
    <x v="0"/>
  </r>
  <r>
    <n v="6242"/>
    <x v="504"/>
    <s v="Customer payment received"/>
    <x v="2515"/>
    <s v="0.0"/>
    <x v="0"/>
    <x v="0"/>
  </r>
  <r>
    <n v="6242"/>
    <x v="504"/>
    <s v="Customer payment received"/>
    <x v="273"/>
    <s v="2617.24"/>
    <x v="2"/>
    <x v="0"/>
  </r>
  <r>
    <n v="6243"/>
    <x v="504"/>
    <s v="Supplier payment made"/>
    <x v="280"/>
    <s v="0.0"/>
    <x v="11"/>
    <x v="3"/>
  </r>
  <r>
    <n v="6243"/>
    <x v="504"/>
    <s v="Supplier payment made"/>
    <x v="273"/>
    <s v="2635.36"/>
    <x v="0"/>
    <x v="0"/>
  </r>
  <r>
    <n v="6244"/>
    <x v="504"/>
    <s v="Supplier payment made"/>
    <x v="334"/>
    <s v="0.0"/>
    <x v="11"/>
    <x v="3"/>
  </r>
  <r>
    <n v="6244"/>
    <x v="504"/>
    <s v="Supplier payment made"/>
    <x v="273"/>
    <s v="3528.97"/>
    <x v="0"/>
    <x v="0"/>
  </r>
  <r>
    <n v="6245"/>
    <x v="504"/>
    <s v="Supplier payment made"/>
    <x v="407"/>
    <s v="0.0"/>
    <x v="11"/>
    <x v="3"/>
  </r>
  <r>
    <n v="6245"/>
    <x v="504"/>
    <s v="Supplier payment made"/>
    <x v="273"/>
    <s v="201.5"/>
    <x v="0"/>
    <x v="0"/>
  </r>
  <r>
    <n v="6246"/>
    <x v="505"/>
    <s v="Sales invoice issued"/>
    <x v="2495"/>
    <s v="0.0"/>
    <x v="2"/>
    <x v="0"/>
  </r>
  <r>
    <n v="6246"/>
    <x v="505"/>
    <s v="Sales invoice issued"/>
    <x v="273"/>
    <s v="60.16"/>
    <x v="3"/>
    <x v="2"/>
  </r>
  <r>
    <n v="6246"/>
    <x v="505"/>
    <s v="Sales invoice issued"/>
    <x v="273"/>
    <s v="4.51"/>
    <x v="4"/>
    <x v="3"/>
  </r>
  <r>
    <n v="6247"/>
    <x v="505"/>
    <s v="Sales invoice issued"/>
    <x v="2523"/>
    <s v="0.0"/>
    <x v="2"/>
    <x v="0"/>
  </r>
  <r>
    <n v="6247"/>
    <x v="505"/>
    <s v="Sales invoice issued"/>
    <x v="273"/>
    <s v="3524.39"/>
    <x v="3"/>
    <x v="2"/>
  </r>
  <r>
    <n v="6247"/>
    <x v="505"/>
    <s v="Sales invoice issued"/>
    <x v="273"/>
    <s v="264.33"/>
    <x v="4"/>
    <x v="3"/>
  </r>
  <r>
    <n v="6248"/>
    <x v="505"/>
    <s v="Sales invoice issued"/>
    <x v="704"/>
    <s v="0.0"/>
    <x v="2"/>
    <x v="0"/>
  </r>
  <r>
    <n v="6248"/>
    <x v="505"/>
    <s v="Sales invoice issued"/>
    <x v="273"/>
    <s v="285.05"/>
    <x v="3"/>
    <x v="2"/>
  </r>
  <r>
    <n v="6248"/>
    <x v="505"/>
    <s v="Sales invoice issued"/>
    <x v="273"/>
    <s v="21.38"/>
    <x v="4"/>
    <x v="3"/>
  </r>
  <r>
    <n v="6249"/>
    <x v="505"/>
    <s v="Sales invoice issued"/>
    <x v="2524"/>
    <s v="0.0"/>
    <x v="2"/>
    <x v="0"/>
  </r>
  <r>
    <n v="6249"/>
    <x v="505"/>
    <s v="Sales invoice issued"/>
    <x v="273"/>
    <s v="5819.74"/>
    <x v="3"/>
    <x v="2"/>
  </r>
  <r>
    <n v="6249"/>
    <x v="505"/>
    <s v="Sales invoice issued"/>
    <x v="273"/>
    <s v="436.48"/>
    <x v="4"/>
    <x v="3"/>
  </r>
  <r>
    <n v="6250"/>
    <x v="505"/>
    <s v="Sales invoice issued"/>
    <x v="2525"/>
    <s v="0.0"/>
    <x v="2"/>
    <x v="0"/>
  </r>
  <r>
    <n v="6250"/>
    <x v="505"/>
    <s v="Sales invoice issued"/>
    <x v="273"/>
    <s v="1815.66"/>
    <x v="3"/>
    <x v="2"/>
  </r>
  <r>
    <n v="6250"/>
    <x v="505"/>
    <s v="Sales invoice issued"/>
    <x v="273"/>
    <s v="136.18"/>
    <x v="4"/>
    <x v="3"/>
  </r>
  <r>
    <n v="6251"/>
    <x v="505"/>
    <s v="Sales invoice issued"/>
    <x v="2526"/>
    <s v="0.0"/>
    <x v="2"/>
    <x v="0"/>
  </r>
  <r>
    <n v="6251"/>
    <x v="505"/>
    <s v="Sales invoice issued"/>
    <x v="273"/>
    <s v="987.6"/>
    <x v="3"/>
    <x v="2"/>
  </r>
  <r>
    <n v="6251"/>
    <x v="505"/>
    <s v="Sales invoice issued"/>
    <x v="273"/>
    <s v="74.07"/>
    <x v="4"/>
    <x v="3"/>
  </r>
  <r>
    <n v="6252"/>
    <x v="505"/>
    <s v="Sales invoice issued"/>
    <x v="2527"/>
    <s v="0.0"/>
    <x v="2"/>
    <x v="0"/>
  </r>
  <r>
    <n v="6252"/>
    <x v="505"/>
    <s v="Sales invoice issued"/>
    <x v="273"/>
    <s v="3620.63"/>
    <x v="3"/>
    <x v="2"/>
  </r>
  <r>
    <n v="6252"/>
    <x v="505"/>
    <s v="Sales invoice issued"/>
    <x v="273"/>
    <s v="271.55"/>
    <x v="4"/>
    <x v="3"/>
  </r>
  <r>
    <n v="6253"/>
    <x v="505"/>
    <s v="Sales invoice issued"/>
    <x v="2528"/>
    <s v="0.0"/>
    <x v="2"/>
    <x v="0"/>
  </r>
  <r>
    <n v="6253"/>
    <x v="505"/>
    <s v="Sales invoice issued"/>
    <x v="273"/>
    <s v="1727.94"/>
    <x v="3"/>
    <x v="2"/>
  </r>
  <r>
    <n v="6253"/>
    <x v="505"/>
    <s v="Sales invoice issued"/>
    <x v="273"/>
    <s v="129.6"/>
    <x v="4"/>
    <x v="3"/>
  </r>
  <r>
    <n v="6254"/>
    <x v="505"/>
    <s v="Sales invoice issued"/>
    <x v="2529"/>
    <s v="0.0"/>
    <x v="2"/>
    <x v="0"/>
  </r>
  <r>
    <n v="6254"/>
    <x v="505"/>
    <s v="Sales invoice issued"/>
    <x v="273"/>
    <s v="30.08"/>
    <x v="3"/>
    <x v="2"/>
  </r>
  <r>
    <n v="6254"/>
    <x v="505"/>
    <s v="Sales invoice issued"/>
    <x v="273"/>
    <s v="2.26"/>
    <x v="4"/>
    <x v="3"/>
  </r>
  <r>
    <n v="6255"/>
    <x v="505"/>
    <s v="Sales invoice issued"/>
    <x v="2530"/>
    <s v="0.0"/>
    <x v="2"/>
    <x v="0"/>
  </r>
  <r>
    <n v="6255"/>
    <x v="505"/>
    <s v="Sales invoice issued"/>
    <x v="273"/>
    <s v="2953.29"/>
    <x v="3"/>
    <x v="2"/>
  </r>
  <r>
    <n v="6255"/>
    <x v="505"/>
    <s v="Sales invoice issued"/>
    <x v="273"/>
    <s v="221.49"/>
    <x v="4"/>
    <x v="3"/>
  </r>
  <r>
    <n v="6256"/>
    <x v="505"/>
    <s v="Sales invoice issued"/>
    <x v="2531"/>
    <s v="0.0"/>
    <x v="2"/>
    <x v="0"/>
  </r>
  <r>
    <n v="6256"/>
    <x v="505"/>
    <s v="Sales invoice issued"/>
    <x v="273"/>
    <s v="1425.15"/>
    <x v="3"/>
    <x v="2"/>
  </r>
  <r>
    <n v="6256"/>
    <x v="505"/>
    <s v="Sales invoice issued"/>
    <x v="273"/>
    <s v="106.88"/>
    <x v="4"/>
    <x v="3"/>
  </r>
  <r>
    <n v="6257"/>
    <x v="505"/>
    <s v="Customer payment received"/>
    <x v="2298"/>
    <s v="0.0"/>
    <x v="0"/>
    <x v="0"/>
  </r>
  <r>
    <n v="6257"/>
    <x v="505"/>
    <s v="Customer payment received"/>
    <x v="273"/>
    <s v="2325.52"/>
    <x v="2"/>
    <x v="0"/>
  </r>
  <r>
    <n v="6258"/>
    <x v="505"/>
    <s v="Customer payment received"/>
    <x v="2339"/>
    <s v="0.0"/>
    <x v="0"/>
    <x v="0"/>
  </r>
  <r>
    <n v="6258"/>
    <x v="505"/>
    <s v="Customer payment received"/>
    <x v="273"/>
    <s v="1537.04"/>
    <x v="2"/>
    <x v="0"/>
  </r>
  <r>
    <n v="6259"/>
    <x v="505"/>
    <s v="Customer payment received"/>
    <x v="2382"/>
    <s v="0.0"/>
    <x v="0"/>
    <x v="0"/>
  </r>
  <r>
    <n v="6259"/>
    <x v="505"/>
    <s v="Customer payment received"/>
    <x v="273"/>
    <s v="2502.1"/>
    <x v="2"/>
    <x v="0"/>
  </r>
  <r>
    <n v="6260"/>
    <x v="505"/>
    <s v="Customer payment received"/>
    <x v="2458"/>
    <s v="0.0"/>
    <x v="0"/>
    <x v="0"/>
  </r>
  <r>
    <n v="6260"/>
    <x v="505"/>
    <s v="Customer payment received"/>
    <x v="273"/>
    <s v="2128.81"/>
    <x v="2"/>
    <x v="0"/>
  </r>
  <r>
    <n v="6261"/>
    <x v="505"/>
    <s v="Customer payment received"/>
    <x v="2460"/>
    <s v="0.0"/>
    <x v="0"/>
    <x v="0"/>
  </r>
  <r>
    <n v="6261"/>
    <x v="505"/>
    <s v="Customer payment received"/>
    <x v="273"/>
    <s v="1939.0"/>
    <x v="2"/>
    <x v="0"/>
  </r>
  <r>
    <n v="6262"/>
    <x v="505"/>
    <s v="Customer payment received"/>
    <x v="2476"/>
    <s v="0.0"/>
    <x v="0"/>
    <x v="0"/>
  </r>
  <r>
    <n v="6262"/>
    <x v="505"/>
    <s v="Customer payment received"/>
    <x v="273"/>
    <s v="1215.91"/>
    <x v="2"/>
    <x v="0"/>
  </r>
  <r>
    <n v="6263"/>
    <x v="505"/>
    <s v="Customer payment received"/>
    <x v="2496"/>
    <s v="0.0"/>
    <x v="0"/>
    <x v="0"/>
  </r>
  <r>
    <n v="6263"/>
    <x v="505"/>
    <s v="Customer payment received"/>
    <x v="273"/>
    <s v="628.19"/>
    <x v="2"/>
    <x v="0"/>
  </r>
  <r>
    <n v="6264"/>
    <x v="505"/>
    <s v="Customer payment received"/>
    <x v="2509"/>
    <s v="0.0"/>
    <x v="0"/>
    <x v="0"/>
  </r>
  <r>
    <n v="6264"/>
    <x v="505"/>
    <s v="Customer payment received"/>
    <x v="273"/>
    <s v="660.49"/>
    <x v="2"/>
    <x v="0"/>
  </r>
  <r>
    <n v="6265"/>
    <x v="505"/>
    <s v="Customer payment received"/>
    <x v="2495"/>
    <s v="0.0"/>
    <x v="0"/>
    <x v="0"/>
  </r>
  <r>
    <n v="6265"/>
    <x v="505"/>
    <s v="Customer payment received"/>
    <x v="273"/>
    <s v="64.67"/>
    <x v="2"/>
    <x v="0"/>
  </r>
  <r>
    <n v="6266"/>
    <x v="505"/>
    <s v="Supplier invoice received"/>
    <x v="448"/>
    <s v="0.0"/>
    <x v="9"/>
    <x v="4"/>
  </r>
  <r>
    <n v="6266"/>
    <x v="505"/>
    <s v="Supplier invoice received"/>
    <x v="449"/>
    <s v="0.0"/>
    <x v="10"/>
    <x v="0"/>
  </r>
  <r>
    <n v="6266"/>
    <x v="505"/>
    <s v="Supplier invoice received"/>
    <x v="273"/>
    <s v="7227.44"/>
    <x v="11"/>
    <x v="3"/>
  </r>
  <r>
    <n v="6267"/>
    <x v="505"/>
    <s v="Supplier payment made"/>
    <x v="351"/>
    <s v="0.0"/>
    <x v="11"/>
    <x v="3"/>
  </r>
  <r>
    <n v="6267"/>
    <x v="505"/>
    <s v="Supplier payment made"/>
    <x v="273"/>
    <s v="179.01"/>
    <x v="0"/>
    <x v="0"/>
  </r>
  <r>
    <n v="6268"/>
    <x v="505"/>
    <s v="Supplier payment made"/>
    <x v="340"/>
    <s v="0.0"/>
    <x v="11"/>
    <x v="3"/>
  </r>
  <r>
    <n v="6268"/>
    <x v="505"/>
    <s v="Supplier payment made"/>
    <x v="273"/>
    <s v="1304.62"/>
    <x v="0"/>
    <x v="0"/>
  </r>
  <r>
    <n v="6269"/>
    <x v="506"/>
    <s v="Sales invoice issued"/>
    <x v="2532"/>
    <s v="0.0"/>
    <x v="2"/>
    <x v="0"/>
  </r>
  <r>
    <n v="6269"/>
    <x v="506"/>
    <s v="Sales invoice issued"/>
    <x v="273"/>
    <s v="3619.59"/>
    <x v="3"/>
    <x v="2"/>
  </r>
  <r>
    <n v="6269"/>
    <x v="506"/>
    <s v="Sales invoice issued"/>
    <x v="273"/>
    <s v="271.47"/>
    <x v="4"/>
    <x v="3"/>
  </r>
  <r>
    <n v="6270"/>
    <x v="506"/>
    <s v="Sales invoice issued"/>
    <x v="2533"/>
    <s v="0.0"/>
    <x v="2"/>
    <x v="0"/>
  </r>
  <r>
    <n v="6270"/>
    <x v="506"/>
    <s v="Sales invoice issued"/>
    <x v="273"/>
    <s v="3221.59"/>
    <x v="3"/>
    <x v="2"/>
  </r>
  <r>
    <n v="6270"/>
    <x v="506"/>
    <s v="Sales invoice issued"/>
    <x v="273"/>
    <s v="241.61"/>
    <x v="4"/>
    <x v="3"/>
  </r>
  <r>
    <n v="6271"/>
    <x v="506"/>
    <s v="Sales invoice issued"/>
    <x v="2534"/>
    <s v="0.0"/>
    <x v="2"/>
    <x v="0"/>
  </r>
  <r>
    <n v="6271"/>
    <x v="506"/>
    <s v="Sales invoice issued"/>
    <x v="273"/>
    <s v="5646.74"/>
    <x v="3"/>
    <x v="2"/>
  </r>
  <r>
    <n v="6271"/>
    <x v="506"/>
    <s v="Sales invoice issued"/>
    <x v="273"/>
    <s v="423.5"/>
    <x v="4"/>
    <x v="3"/>
  </r>
  <r>
    <n v="6272"/>
    <x v="506"/>
    <s v="Sales invoice issued"/>
    <x v="2535"/>
    <s v="0.0"/>
    <x v="2"/>
    <x v="0"/>
  </r>
  <r>
    <n v="6272"/>
    <x v="506"/>
    <s v="Sales invoice issued"/>
    <x v="273"/>
    <s v="769.53"/>
    <x v="3"/>
    <x v="2"/>
  </r>
  <r>
    <n v="6272"/>
    <x v="506"/>
    <s v="Sales invoice issued"/>
    <x v="273"/>
    <s v="57.72"/>
    <x v="4"/>
    <x v="3"/>
  </r>
  <r>
    <n v="6273"/>
    <x v="506"/>
    <s v="Sales invoice issued"/>
    <x v="2536"/>
    <s v="0.0"/>
    <x v="2"/>
    <x v="0"/>
  </r>
  <r>
    <n v="6273"/>
    <x v="506"/>
    <s v="Sales invoice issued"/>
    <x v="273"/>
    <s v="1585.62"/>
    <x v="3"/>
    <x v="2"/>
  </r>
  <r>
    <n v="6273"/>
    <x v="506"/>
    <s v="Sales invoice issued"/>
    <x v="273"/>
    <s v="118.92"/>
    <x v="4"/>
    <x v="3"/>
  </r>
  <r>
    <n v="6274"/>
    <x v="506"/>
    <s v="Customer payment received"/>
    <x v="2537"/>
    <s v="0.0"/>
    <x v="0"/>
    <x v="0"/>
  </r>
  <r>
    <n v="6274"/>
    <x v="506"/>
    <s v="Customer payment received"/>
    <x v="273"/>
    <s v="363.71"/>
    <x v="2"/>
    <x v="0"/>
  </r>
  <r>
    <n v="6275"/>
    <x v="506"/>
    <s v="Customer payment received"/>
    <x v="2362"/>
    <s v="0.0"/>
    <x v="0"/>
    <x v="0"/>
  </r>
  <r>
    <n v="6275"/>
    <x v="506"/>
    <s v="Customer payment received"/>
    <x v="273"/>
    <s v="387.89"/>
    <x v="2"/>
    <x v="0"/>
  </r>
  <r>
    <n v="6276"/>
    <x v="506"/>
    <s v="Customer payment received"/>
    <x v="2436"/>
    <s v="0.0"/>
    <x v="0"/>
    <x v="0"/>
  </r>
  <r>
    <n v="6276"/>
    <x v="506"/>
    <s v="Customer payment received"/>
    <x v="273"/>
    <s v="4857.54"/>
    <x v="2"/>
    <x v="0"/>
  </r>
  <r>
    <n v="6277"/>
    <x v="506"/>
    <s v="Customer payment received"/>
    <x v="2461"/>
    <s v="0.0"/>
    <x v="0"/>
    <x v="0"/>
  </r>
  <r>
    <n v="6277"/>
    <x v="506"/>
    <s v="Customer payment received"/>
    <x v="273"/>
    <s v="1058.91"/>
    <x v="2"/>
    <x v="0"/>
  </r>
  <r>
    <n v="6278"/>
    <x v="506"/>
    <s v="Customer payment received"/>
    <x v="2350"/>
    <s v="0.0"/>
    <x v="0"/>
    <x v="0"/>
  </r>
  <r>
    <n v="6278"/>
    <x v="506"/>
    <s v="Customer payment received"/>
    <x v="273"/>
    <s v="890.58"/>
    <x v="2"/>
    <x v="0"/>
  </r>
  <r>
    <n v="6279"/>
    <x v="506"/>
    <s v="Customer payment received"/>
    <x v="2478"/>
    <s v="0.0"/>
    <x v="0"/>
    <x v="0"/>
  </r>
  <r>
    <n v="6279"/>
    <x v="506"/>
    <s v="Customer payment received"/>
    <x v="273"/>
    <s v="1362.48"/>
    <x v="2"/>
    <x v="0"/>
  </r>
  <r>
    <n v="6280"/>
    <x v="506"/>
    <s v="Supplier invoice received"/>
    <x v="474"/>
    <s v="0.0"/>
    <x v="9"/>
    <x v="4"/>
  </r>
  <r>
    <n v="6280"/>
    <x v="506"/>
    <s v="Supplier invoice received"/>
    <x v="475"/>
    <s v="0.0"/>
    <x v="10"/>
    <x v="0"/>
  </r>
  <r>
    <n v="6280"/>
    <x v="506"/>
    <s v="Supplier invoice received"/>
    <x v="273"/>
    <s v="862.91"/>
    <x v="11"/>
    <x v="3"/>
  </r>
  <r>
    <n v="6281"/>
    <x v="506"/>
    <s v="Supplier invoice received"/>
    <x v="301"/>
    <s v="0.0"/>
    <x v="9"/>
    <x v="4"/>
  </r>
  <r>
    <n v="6281"/>
    <x v="506"/>
    <s v="Supplier invoice received"/>
    <x v="302"/>
    <s v="0.0"/>
    <x v="10"/>
    <x v="0"/>
  </r>
  <r>
    <n v="6281"/>
    <x v="506"/>
    <s v="Supplier invoice received"/>
    <x v="273"/>
    <s v="4812.46"/>
    <x v="11"/>
    <x v="3"/>
  </r>
  <r>
    <n v="6282"/>
    <x v="506"/>
    <s v="Supplier invoice received"/>
    <x v="299"/>
    <s v="0.0"/>
    <x v="9"/>
    <x v="4"/>
  </r>
  <r>
    <n v="6282"/>
    <x v="506"/>
    <s v="Supplier invoice received"/>
    <x v="300"/>
    <s v="0.0"/>
    <x v="10"/>
    <x v="0"/>
  </r>
  <r>
    <n v="6282"/>
    <x v="506"/>
    <s v="Supplier invoice received"/>
    <x v="273"/>
    <s v="2918.17"/>
    <x v="11"/>
    <x v="3"/>
  </r>
  <r>
    <n v="6283"/>
    <x v="506"/>
    <s v="Supplier invoice received"/>
    <x v="330"/>
    <s v="0.0"/>
    <x v="9"/>
    <x v="4"/>
  </r>
  <r>
    <n v="6283"/>
    <x v="506"/>
    <s v="Supplier invoice received"/>
    <x v="331"/>
    <s v="0.0"/>
    <x v="10"/>
    <x v="0"/>
  </r>
  <r>
    <n v="6283"/>
    <x v="506"/>
    <s v="Supplier invoice received"/>
    <x v="273"/>
    <s v="1935.04"/>
    <x v="11"/>
    <x v="3"/>
  </r>
  <r>
    <n v="6284"/>
    <x v="506"/>
    <s v="Supplier invoice received"/>
    <x v="461"/>
    <s v="0.0"/>
    <x v="9"/>
    <x v="4"/>
  </r>
  <r>
    <n v="6284"/>
    <x v="506"/>
    <s v="Supplier invoice received"/>
    <x v="462"/>
    <s v="0.0"/>
    <x v="10"/>
    <x v="0"/>
  </r>
  <r>
    <n v="6284"/>
    <x v="506"/>
    <s v="Supplier invoice received"/>
    <x v="273"/>
    <s v="2182.41"/>
    <x v="11"/>
    <x v="3"/>
  </r>
  <r>
    <n v="6285"/>
    <x v="506"/>
    <s v="Supplier invoice received"/>
    <x v="305"/>
    <s v="0.0"/>
    <x v="9"/>
    <x v="4"/>
  </r>
  <r>
    <n v="6285"/>
    <x v="506"/>
    <s v="Supplier invoice received"/>
    <x v="306"/>
    <s v="0.0"/>
    <x v="10"/>
    <x v="0"/>
  </r>
  <r>
    <n v="6285"/>
    <x v="506"/>
    <s v="Supplier invoice received"/>
    <x v="273"/>
    <s v="276.32"/>
    <x v="11"/>
    <x v="3"/>
  </r>
  <r>
    <n v="6286"/>
    <x v="506"/>
    <s v="Supplier payment made"/>
    <x v="393"/>
    <s v="0.0"/>
    <x v="11"/>
    <x v="3"/>
  </r>
  <r>
    <n v="6286"/>
    <x v="506"/>
    <s v="Supplier payment made"/>
    <x v="273"/>
    <s v="412.54"/>
    <x v="0"/>
    <x v="0"/>
  </r>
  <r>
    <n v="6287"/>
    <x v="506"/>
    <s v="Supplier payment made"/>
    <x v="309"/>
    <s v="0.0"/>
    <x v="11"/>
    <x v="3"/>
  </r>
  <r>
    <n v="6287"/>
    <x v="506"/>
    <s v="Supplier payment made"/>
    <x v="273"/>
    <s v="4812.46"/>
    <x v="0"/>
    <x v="0"/>
  </r>
  <r>
    <n v="6288"/>
    <x v="506"/>
    <s v="Supplier payment made"/>
    <x v="309"/>
    <s v="0.0"/>
    <x v="11"/>
    <x v="3"/>
  </r>
  <r>
    <n v="6288"/>
    <x v="506"/>
    <s v="Supplier payment made"/>
    <x v="273"/>
    <s v="4812.46"/>
    <x v="0"/>
    <x v="0"/>
  </r>
  <r>
    <n v="6289"/>
    <x v="507"/>
    <s v="Sales invoice issued"/>
    <x v="2538"/>
    <s v="0.0"/>
    <x v="2"/>
    <x v="0"/>
  </r>
  <r>
    <n v="6289"/>
    <x v="507"/>
    <s v="Sales invoice issued"/>
    <x v="273"/>
    <s v="2809.1"/>
    <x v="3"/>
    <x v="2"/>
  </r>
  <r>
    <n v="6289"/>
    <x v="507"/>
    <s v="Sales invoice issued"/>
    <x v="273"/>
    <s v="210.68"/>
    <x v="4"/>
    <x v="3"/>
  </r>
  <r>
    <n v="6290"/>
    <x v="507"/>
    <s v="Sales invoice issued"/>
    <x v="2539"/>
    <s v="0.0"/>
    <x v="2"/>
    <x v="0"/>
  </r>
  <r>
    <n v="6290"/>
    <x v="507"/>
    <s v="Sales invoice issued"/>
    <x v="273"/>
    <s v="1215.87"/>
    <x v="3"/>
    <x v="2"/>
  </r>
  <r>
    <n v="6290"/>
    <x v="507"/>
    <s v="Sales invoice issued"/>
    <x v="273"/>
    <s v="91.19"/>
    <x v="4"/>
    <x v="3"/>
  </r>
  <r>
    <n v="6291"/>
    <x v="507"/>
    <s v="Sales invoice issued"/>
    <x v="2540"/>
    <s v="0.0"/>
    <x v="2"/>
    <x v="0"/>
  </r>
  <r>
    <n v="6291"/>
    <x v="507"/>
    <s v="Sales invoice issued"/>
    <x v="273"/>
    <s v="1492.73"/>
    <x v="3"/>
    <x v="2"/>
  </r>
  <r>
    <n v="6291"/>
    <x v="507"/>
    <s v="Sales invoice issued"/>
    <x v="273"/>
    <s v="111.96"/>
    <x v="4"/>
    <x v="3"/>
  </r>
  <r>
    <n v="6292"/>
    <x v="507"/>
    <s v="Sales invoice issued"/>
    <x v="2541"/>
    <s v="0.0"/>
    <x v="2"/>
    <x v="0"/>
  </r>
  <r>
    <n v="6292"/>
    <x v="507"/>
    <s v="Sales invoice issued"/>
    <x v="273"/>
    <s v="4212.64"/>
    <x v="3"/>
    <x v="2"/>
  </r>
  <r>
    <n v="6292"/>
    <x v="507"/>
    <s v="Sales invoice issued"/>
    <x v="273"/>
    <s v="315.95"/>
    <x v="4"/>
    <x v="3"/>
  </r>
  <r>
    <n v="6293"/>
    <x v="507"/>
    <s v="Sales invoice issued"/>
    <x v="2542"/>
    <s v="0.0"/>
    <x v="2"/>
    <x v="0"/>
  </r>
  <r>
    <n v="6293"/>
    <x v="507"/>
    <s v="Sales invoice issued"/>
    <x v="273"/>
    <s v="1317.57"/>
    <x v="3"/>
    <x v="2"/>
  </r>
  <r>
    <n v="6293"/>
    <x v="507"/>
    <s v="Sales invoice issued"/>
    <x v="273"/>
    <s v="98.83"/>
    <x v="4"/>
    <x v="3"/>
  </r>
  <r>
    <n v="6294"/>
    <x v="507"/>
    <s v="Sales invoice issued"/>
    <x v="922"/>
    <s v="0.0"/>
    <x v="2"/>
    <x v="0"/>
  </r>
  <r>
    <n v="6294"/>
    <x v="507"/>
    <s v="Sales invoice issued"/>
    <x v="273"/>
    <s v="114.93"/>
    <x v="3"/>
    <x v="2"/>
  </r>
  <r>
    <n v="6294"/>
    <x v="507"/>
    <s v="Sales invoice issued"/>
    <x v="273"/>
    <s v="8.62"/>
    <x v="4"/>
    <x v="3"/>
  </r>
  <r>
    <n v="6295"/>
    <x v="507"/>
    <s v="Sales invoice issued"/>
    <x v="2543"/>
    <s v="0.0"/>
    <x v="2"/>
    <x v="0"/>
  </r>
  <r>
    <n v="6295"/>
    <x v="507"/>
    <s v="Sales invoice issued"/>
    <x v="273"/>
    <s v="1457.95"/>
    <x v="3"/>
    <x v="2"/>
  </r>
  <r>
    <n v="6295"/>
    <x v="507"/>
    <s v="Sales invoice issued"/>
    <x v="273"/>
    <s v="109.34"/>
    <x v="4"/>
    <x v="3"/>
  </r>
  <r>
    <n v="6296"/>
    <x v="507"/>
    <s v="Sales invoice issued"/>
    <x v="2544"/>
    <s v="0.0"/>
    <x v="2"/>
    <x v="0"/>
  </r>
  <r>
    <n v="6296"/>
    <x v="507"/>
    <s v="Sales invoice issued"/>
    <x v="273"/>
    <s v="3459.82"/>
    <x v="3"/>
    <x v="2"/>
  </r>
  <r>
    <n v="6296"/>
    <x v="507"/>
    <s v="Sales invoice issued"/>
    <x v="273"/>
    <s v="259.49"/>
    <x v="4"/>
    <x v="3"/>
  </r>
  <r>
    <n v="6297"/>
    <x v="507"/>
    <s v="Sales invoice issued"/>
    <x v="2545"/>
    <s v="0.0"/>
    <x v="2"/>
    <x v="0"/>
  </r>
  <r>
    <n v="6297"/>
    <x v="507"/>
    <s v="Sales invoice issued"/>
    <x v="273"/>
    <s v="1532.47"/>
    <x v="3"/>
    <x v="2"/>
  </r>
  <r>
    <n v="6297"/>
    <x v="507"/>
    <s v="Sales invoice issued"/>
    <x v="273"/>
    <s v="114.93"/>
    <x v="4"/>
    <x v="3"/>
  </r>
  <r>
    <n v="6298"/>
    <x v="507"/>
    <s v="Sales invoice issued"/>
    <x v="2546"/>
    <s v="0.0"/>
    <x v="2"/>
    <x v="0"/>
  </r>
  <r>
    <n v="6298"/>
    <x v="507"/>
    <s v="Sales invoice issued"/>
    <x v="273"/>
    <s v="2581.41"/>
    <x v="3"/>
    <x v="2"/>
  </r>
  <r>
    <n v="6298"/>
    <x v="507"/>
    <s v="Sales invoice issued"/>
    <x v="273"/>
    <s v="193.61"/>
    <x v="4"/>
    <x v="3"/>
  </r>
  <r>
    <n v="6299"/>
    <x v="507"/>
    <s v="Sales invoice issued"/>
    <x v="2547"/>
    <s v="0.0"/>
    <x v="2"/>
    <x v="0"/>
  </r>
  <r>
    <n v="6299"/>
    <x v="507"/>
    <s v="Sales invoice issued"/>
    <x v="273"/>
    <s v="1686.84"/>
    <x v="3"/>
    <x v="2"/>
  </r>
  <r>
    <n v="6299"/>
    <x v="507"/>
    <s v="Sales invoice issued"/>
    <x v="273"/>
    <s v="126.51"/>
    <x v="4"/>
    <x v="3"/>
  </r>
  <r>
    <n v="6300"/>
    <x v="507"/>
    <s v="Sales invoice issued"/>
    <x v="2548"/>
    <s v="0.0"/>
    <x v="2"/>
    <x v="0"/>
  </r>
  <r>
    <n v="6300"/>
    <x v="507"/>
    <s v="Sales invoice issued"/>
    <x v="273"/>
    <s v="2489.29"/>
    <x v="3"/>
    <x v="2"/>
  </r>
  <r>
    <n v="6300"/>
    <x v="507"/>
    <s v="Sales invoice issued"/>
    <x v="273"/>
    <s v="186.71"/>
    <x v="4"/>
    <x v="3"/>
  </r>
  <r>
    <n v="6301"/>
    <x v="507"/>
    <s v="Sales invoice issued"/>
    <x v="2549"/>
    <s v="0.0"/>
    <x v="2"/>
    <x v="0"/>
  </r>
  <r>
    <n v="6301"/>
    <x v="507"/>
    <s v="Sales invoice issued"/>
    <x v="273"/>
    <s v="2189.44"/>
    <x v="3"/>
    <x v="2"/>
  </r>
  <r>
    <n v="6301"/>
    <x v="507"/>
    <s v="Sales invoice issued"/>
    <x v="273"/>
    <s v="164.2"/>
    <x v="4"/>
    <x v="3"/>
  </r>
  <r>
    <n v="6302"/>
    <x v="507"/>
    <s v="Sales invoice issued"/>
    <x v="2550"/>
    <s v="0.0"/>
    <x v="2"/>
    <x v="0"/>
  </r>
  <r>
    <n v="6302"/>
    <x v="507"/>
    <s v="Sales invoice issued"/>
    <x v="273"/>
    <s v="1301.31"/>
    <x v="3"/>
    <x v="2"/>
  </r>
  <r>
    <n v="6302"/>
    <x v="507"/>
    <s v="Sales invoice issued"/>
    <x v="273"/>
    <s v="97.58"/>
    <x v="4"/>
    <x v="3"/>
  </r>
  <r>
    <n v="6303"/>
    <x v="507"/>
    <s v="Sales invoice issued"/>
    <x v="2551"/>
    <s v="0.0"/>
    <x v="2"/>
    <x v="0"/>
  </r>
  <r>
    <n v="6303"/>
    <x v="507"/>
    <s v="Sales invoice issued"/>
    <x v="273"/>
    <s v="384.65"/>
    <x v="3"/>
    <x v="2"/>
  </r>
  <r>
    <n v="6303"/>
    <x v="507"/>
    <s v="Sales invoice issued"/>
    <x v="273"/>
    <s v="28.85"/>
    <x v="4"/>
    <x v="3"/>
  </r>
  <r>
    <n v="6304"/>
    <x v="507"/>
    <s v="Sales invoice issued"/>
    <x v="2552"/>
    <s v="0.0"/>
    <x v="2"/>
    <x v="0"/>
  </r>
  <r>
    <n v="6304"/>
    <x v="507"/>
    <s v="Sales invoice issued"/>
    <x v="273"/>
    <s v="433.74"/>
    <x v="3"/>
    <x v="2"/>
  </r>
  <r>
    <n v="6304"/>
    <x v="507"/>
    <s v="Sales invoice issued"/>
    <x v="273"/>
    <s v="32.54"/>
    <x v="4"/>
    <x v="3"/>
  </r>
  <r>
    <n v="6305"/>
    <x v="507"/>
    <s v="Sales invoice issued"/>
    <x v="2553"/>
    <s v="0.0"/>
    <x v="2"/>
    <x v="0"/>
  </r>
  <r>
    <n v="6305"/>
    <x v="507"/>
    <s v="Sales invoice issued"/>
    <x v="273"/>
    <s v="1208.47"/>
    <x v="3"/>
    <x v="2"/>
  </r>
  <r>
    <n v="6305"/>
    <x v="507"/>
    <s v="Sales invoice issued"/>
    <x v="273"/>
    <s v="90.63"/>
    <x v="4"/>
    <x v="3"/>
  </r>
  <r>
    <n v="6306"/>
    <x v="507"/>
    <s v="Sales invoice issued"/>
    <x v="2554"/>
    <s v="0.0"/>
    <x v="2"/>
    <x v="0"/>
  </r>
  <r>
    <n v="6306"/>
    <x v="507"/>
    <s v="Sales invoice issued"/>
    <x v="273"/>
    <s v="729.57"/>
    <x v="3"/>
    <x v="2"/>
  </r>
  <r>
    <n v="6306"/>
    <x v="507"/>
    <s v="Sales invoice issued"/>
    <x v="273"/>
    <s v="54.72"/>
    <x v="4"/>
    <x v="3"/>
  </r>
  <r>
    <n v="6307"/>
    <x v="507"/>
    <s v="Sales invoice issued"/>
    <x v="2555"/>
    <s v="0.0"/>
    <x v="2"/>
    <x v="0"/>
  </r>
  <r>
    <n v="6307"/>
    <x v="507"/>
    <s v="Sales invoice issued"/>
    <x v="273"/>
    <s v="1674.76"/>
    <x v="3"/>
    <x v="2"/>
  </r>
  <r>
    <n v="6307"/>
    <x v="507"/>
    <s v="Sales invoice issued"/>
    <x v="273"/>
    <s v="125.61"/>
    <x v="4"/>
    <x v="3"/>
  </r>
  <r>
    <n v="6308"/>
    <x v="507"/>
    <s v="Customer payment received"/>
    <x v="2310"/>
    <s v="0.0"/>
    <x v="0"/>
    <x v="0"/>
  </r>
  <r>
    <n v="6308"/>
    <x v="507"/>
    <s v="Customer payment received"/>
    <x v="273"/>
    <s v="1651.51"/>
    <x v="2"/>
    <x v="0"/>
  </r>
  <r>
    <n v="6309"/>
    <x v="507"/>
    <s v="Customer payment received"/>
    <x v="1841"/>
    <s v="0.0"/>
    <x v="0"/>
    <x v="0"/>
  </r>
  <r>
    <n v="6309"/>
    <x v="507"/>
    <s v="Customer payment received"/>
    <x v="273"/>
    <s v="965.05"/>
    <x v="2"/>
    <x v="0"/>
  </r>
  <r>
    <n v="6310"/>
    <x v="507"/>
    <s v="Customer payment received"/>
    <x v="2372"/>
    <s v="0.0"/>
    <x v="0"/>
    <x v="0"/>
  </r>
  <r>
    <n v="6310"/>
    <x v="507"/>
    <s v="Customer payment received"/>
    <x v="273"/>
    <s v="1657.34"/>
    <x v="2"/>
    <x v="0"/>
  </r>
  <r>
    <n v="6311"/>
    <x v="507"/>
    <s v="Customer payment received"/>
    <x v="2377"/>
    <s v="0.0"/>
    <x v="0"/>
    <x v="0"/>
  </r>
  <r>
    <n v="6311"/>
    <x v="507"/>
    <s v="Customer payment received"/>
    <x v="273"/>
    <s v="865.52"/>
    <x v="2"/>
    <x v="0"/>
  </r>
  <r>
    <n v="6312"/>
    <x v="507"/>
    <s v="Customer payment received"/>
    <x v="2381"/>
    <s v="0.0"/>
    <x v="0"/>
    <x v="0"/>
  </r>
  <r>
    <n v="6312"/>
    <x v="507"/>
    <s v="Customer payment received"/>
    <x v="273"/>
    <s v="1954.1"/>
    <x v="2"/>
    <x v="0"/>
  </r>
  <r>
    <n v="6313"/>
    <x v="507"/>
    <s v="Customer payment received"/>
    <x v="2453"/>
    <s v="0.0"/>
    <x v="0"/>
    <x v="0"/>
  </r>
  <r>
    <n v="6313"/>
    <x v="507"/>
    <s v="Customer payment received"/>
    <x v="273"/>
    <s v="1364.68"/>
    <x v="2"/>
    <x v="0"/>
  </r>
  <r>
    <n v="6314"/>
    <x v="507"/>
    <s v="Customer payment received"/>
    <x v="2479"/>
    <s v="0.0"/>
    <x v="0"/>
    <x v="0"/>
  </r>
  <r>
    <n v="6314"/>
    <x v="507"/>
    <s v="Customer payment received"/>
    <x v="273"/>
    <s v="2061.13"/>
    <x v="2"/>
    <x v="0"/>
  </r>
  <r>
    <n v="6315"/>
    <x v="507"/>
    <s v="Customer payment received"/>
    <x v="2487"/>
    <s v="0.0"/>
    <x v="0"/>
    <x v="0"/>
  </r>
  <r>
    <n v="6315"/>
    <x v="507"/>
    <s v="Customer payment received"/>
    <x v="273"/>
    <s v="926.22"/>
    <x v="2"/>
    <x v="0"/>
  </r>
  <r>
    <n v="6316"/>
    <x v="507"/>
    <s v="Customer payment received"/>
    <x v="2488"/>
    <s v="0.0"/>
    <x v="0"/>
    <x v="0"/>
  </r>
  <r>
    <n v="6316"/>
    <x v="507"/>
    <s v="Customer payment received"/>
    <x v="273"/>
    <s v="3831.38"/>
    <x v="2"/>
    <x v="0"/>
  </r>
  <r>
    <n v="6317"/>
    <x v="507"/>
    <s v="Customer payment received"/>
    <x v="2504"/>
    <s v="0.0"/>
    <x v="0"/>
    <x v="0"/>
  </r>
  <r>
    <n v="6317"/>
    <x v="507"/>
    <s v="Customer payment received"/>
    <x v="273"/>
    <s v="4159.1"/>
    <x v="2"/>
    <x v="0"/>
  </r>
  <r>
    <n v="6318"/>
    <x v="507"/>
    <s v="Customer payment received"/>
    <x v="2520"/>
    <s v="0.0"/>
    <x v="0"/>
    <x v="0"/>
  </r>
  <r>
    <n v="6318"/>
    <x v="507"/>
    <s v="Customer payment received"/>
    <x v="273"/>
    <s v="4364.77"/>
    <x v="2"/>
    <x v="0"/>
  </r>
  <r>
    <n v="6319"/>
    <x v="507"/>
    <s v="Customer payment received"/>
    <x v="2521"/>
    <s v="0.0"/>
    <x v="0"/>
    <x v="0"/>
  </r>
  <r>
    <n v="6319"/>
    <x v="507"/>
    <s v="Customer payment received"/>
    <x v="273"/>
    <s v="283.71"/>
    <x v="2"/>
    <x v="0"/>
  </r>
  <r>
    <n v="6320"/>
    <x v="507"/>
    <s v="Customer payment received"/>
    <x v="2555"/>
    <s v="0.0"/>
    <x v="0"/>
    <x v="0"/>
  </r>
  <r>
    <n v="6320"/>
    <x v="507"/>
    <s v="Customer payment received"/>
    <x v="273"/>
    <s v="1800.37"/>
    <x v="2"/>
    <x v="0"/>
  </r>
  <r>
    <n v="6321"/>
    <x v="507"/>
    <s v="Supplier payment made"/>
    <x v="336"/>
    <s v="0.0"/>
    <x v="11"/>
    <x v="3"/>
  </r>
  <r>
    <n v="6321"/>
    <x v="507"/>
    <s v="Supplier payment made"/>
    <x v="273"/>
    <s v="2093.28"/>
    <x v="0"/>
    <x v="0"/>
  </r>
  <r>
    <n v="6322"/>
    <x v="507"/>
    <s v="Supplier payment made"/>
    <x v="466"/>
    <s v="0.0"/>
    <x v="11"/>
    <x v="3"/>
  </r>
  <r>
    <n v="6322"/>
    <x v="507"/>
    <s v="Supplier payment made"/>
    <x v="273"/>
    <s v="748.26"/>
    <x v="0"/>
    <x v="0"/>
  </r>
  <r>
    <n v="6323"/>
    <x v="507"/>
    <s v="Supplier payment made"/>
    <x v="496"/>
    <s v="0.0"/>
    <x v="11"/>
    <x v="3"/>
  </r>
  <r>
    <n v="6323"/>
    <x v="507"/>
    <s v="Supplier payment made"/>
    <x v="273"/>
    <s v="7227.44"/>
    <x v="0"/>
    <x v="0"/>
  </r>
  <r>
    <n v="6324"/>
    <x v="508"/>
    <s v="Sales invoice issued"/>
    <x v="2556"/>
    <s v="0.0"/>
    <x v="2"/>
    <x v="0"/>
  </r>
  <r>
    <n v="6324"/>
    <x v="508"/>
    <s v="Sales invoice issued"/>
    <x v="273"/>
    <s v="940.18"/>
    <x v="3"/>
    <x v="2"/>
  </r>
  <r>
    <n v="6324"/>
    <x v="508"/>
    <s v="Sales invoice issued"/>
    <x v="273"/>
    <s v="70.51"/>
    <x v="4"/>
    <x v="3"/>
  </r>
  <r>
    <n v="6325"/>
    <x v="508"/>
    <s v="Sales invoice issued"/>
    <x v="2557"/>
    <s v="0.0"/>
    <x v="2"/>
    <x v="0"/>
  </r>
  <r>
    <n v="6325"/>
    <x v="508"/>
    <s v="Sales invoice issued"/>
    <x v="273"/>
    <s v="1757.91"/>
    <x v="3"/>
    <x v="2"/>
  </r>
  <r>
    <n v="6325"/>
    <x v="508"/>
    <s v="Sales invoice issued"/>
    <x v="273"/>
    <s v="131.84"/>
    <x v="4"/>
    <x v="3"/>
  </r>
  <r>
    <n v="6326"/>
    <x v="508"/>
    <s v="Sales invoice issued"/>
    <x v="2558"/>
    <s v="0.0"/>
    <x v="2"/>
    <x v="0"/>
  </r>
  <r>
    <n v="6326"/>
    <x v="508"/>
    <s v="Sales invoice issued"/>
    <x v="273"/>
    <s v="3725.24"/>
    <x v="3"/>
    <x v="2"/>
  </r>
  <r>
    <n v="6326"/>
    <x v="508"/>
    <s v="Sales invoice issued"/>
    <x v="273"/>
    <s v="279.39"/>
    <x v="4"/>
    <x v="3"/>
  </r>
  <r>
    <n v="6327"/>
    <x v="508"/>
    <s v="Sales invoice issued"/>
    <x v="2559"/>
    <s v="0.0"/>
    <x v="2"/>
    <x v="0"/>
  </r>
  <r>
    <n v="6327"/>
    <x v="508"/>
    <s v="Sales invoice issued"/>
    <x v="273"/>
    <s v="1216.69"/>
    <x v="3"/>
    <x v="2"/>
  </r>
  <r>
    <n v="6327"/>
    <x v="508"/>
    <s v="Sales invoice issued"/>
    <x v="273"/>
    <s v="91.26"/>
    <x v="4"/>
    <x v="3"/>
  </r>
  <r>
    <n v="6328"/>
    <x v="508"/>
    <s v="Sales invoice issued"/>
    <x v="2560"/>
    <s v="0.0"/>
    <x v="2"/>
    <x v="0"/>
  </r>
  <r>
    <n v="6328"/>
    <x v="508"/>
    <s v="Sales invoice issued"/>
    <x v="273"/>
    <s v="480.0"/>
    <x v="3"/>
    <x v="2"/>
  </r>
  <r>
    <n v="6328"/>
    <x v="508"/>
    <s v="Sales invoice issued"/>
    <x v="273"/>
    <s v="36.01"/>
    <x v="4"/>
    <x v="3"/>
  </r>
  <r>
    <n v="6329"/>
    <x v="508"/>
    <s v="Sales invoice issued"/>
    <x v="2561"/>
    <s v="0.0"/>
    <x v="2"/>
    <x v="0"/>
  </r>
  <r>
    <n v="6329"/>
    <x v="508"/>
    <s v="Sales invoice issued"/>
    <x v="273"/>
    <s v="2585.34"/>
    <x v="3"/>
    <x v="2"/>
  </r>
  <r>
    <n v="6329"/>
    <x v="508"/>
    <s v="Sales invoice issued"/>
    <x v="273"/>
    <s v="193.89"/>
    <x v="4"/>
    <x v="3"/>
  </r>
  <r>
    <n v="6330"/>
    <x v="508"/>
    <s v="Sales invoice issued"/>
    <x v="2562"/>
    <s v="0.0"/>
    <x v="2"/>
    <x v="0"/>
  </r>
  <r>
    <n v="6330"/>
    <x v="508"/>
    <s v="Sales invoice issued"/>
    <x v="273"/>
    <s v="1397.43"/>
    <x v="3"/>
    <x v="2"/>
  </r>
  <r>
    <n v="6330"/>
    <x v="508"/>
    <s v="Sales invoice issued"/>
    <x v="273"/>
    <s v="104.8"/>
    <x v="4"/>
    <x v="3"/>
  </r>
  <r>
    <n v="6331"/>
    <x v="508"/>
    <s v="Sales invoice issued"/>
    <x v="2563"/>
    <s v="0.0"/>
    <x v="2"/>
    <x v="0"/>
  </r>
  <r>
    <n v="6331"/>
    <x v="508"/>
    <s v="Sales invoice issued"/>
    <x v="273"/>
    <s v="1574.69"/>
    <x v="3"/>
    <x v="2"/>
  </r>
  <r>
    <n v="6331"/>
    <x v="508"/>
    <s v="Sales invoice issued"/>
    <x v="273"/>
    <s v="118.11"/>
    <x v="4"/>
    <x v="3"/>
  </r>
  <r>
    <n v="6332"/>
    <x v="508"/>
    <s v="Sales invoice issued"/>
    <x v="2564"/>
    <s v="0.0"/>
    <x v="2"/>
    <x v="0"/>
  </r>
  <r>
    <n v="6332"/>
    <x v="508"/>
    <s v="Sales invoice issued"/>
    <x v="273"/>
    <s v="3485.71"/>
    <x v="3"/>
    <x v="2"/>
  </r>
  <r>
    <n v="6332"/>
    <x v="508"/>
    <s v="Sales invoice issued"/>
    <x v="273"/>
    <s v="261.42"/>
    <x v="4"/>
    <x v="3"/>
  </r>
  <r>
    <n v="6333"/>
    <x v="508"/>
    <s v="Sales invoice issued"/>
    <x v="2565"/>
    <s v="0.0"/>
    <x v="2"/>
    <x v="0"/>
  </r>
  <r>
    <n v="6333"/>
    <x v="508"/>
    <s v="Sales invoice issued"/>
    <x v="273"/>
    <s v="1866.33"/>
    <x v="3"/>
    <x v="2"/>
  </r>
  <r>
    <n v="6333"/>
    <x v="508"/>
    <s v="Sales invoice issued"/>
    <x v="273"/>
    <s v="139.98"/>
    <x v="4"/>
    <x v="3"/>
  </r>
  <r>
    <n v="6334"/>
    <x v="508"/>
    <s v="Sales invoice issued"/>
    <x v="2566"/>
    <s v="0.0"/>
    <x v="2"/>
    <x v="0"/>
  </r>
  <r>
    <n v="6334"/>
    <x v="508"/>
    <s v="Sales invoice issued"/>
    <x v="273"/>
    <s v="1636.35"/>
    <x v="3"/>
    <x v="2"/>
  </r>
  <r>
    <n v="6334"/>
    <x v="508"/>
    <s v="Sales invoice issued"/>
    <x v="273"/>
    <s v="122.72"/>
    <x v="4"/>
    <x v="3"/>
  </r>
  <r>
    <n v="6335"/>
    <x v="508"/>
    <s v="Sales invoice issued"/>
    <x v="2567"/>
    <s v="0.0"/>
    <x v="2"/>
    <x v="0"/>
  </r>
  <r>
    <n v="6335"/>
    <x v="508"/>
    <s v="Sales invoice issued"/>
    <x v="273"/>
    <s v="2539.23"/>
    <x v="3"/>
    <x v="2"/>
  </r>
  <r>
    <n v="6335"/>
    <x v="508"/>
    <s v="Sales invoice issued"/>
    <x v="273"/>
    <s v="190.43"/>
    <x v="4"/>
    <x v="3"/>
  </r>
  <r>
    <n v="6336"/>
    <x v="508"/>
    <s v="Sales invoice issued"/>
    <x v="2568"/>
    <s v="0.0"/>
    <x v="2"/>
    <x v="0"/>
  </r>
  <r>
    <n v="6336"/>
    <x v="508"/>
    <s v="Sales invoice issued"/>
    <x v="273"/>
    <s v="847.83"/>
    <x v="3"/>
    <x v="2"/>
  </r>
  <r>
    <n v="6336"/>
    <x v="508"/>
    <s v="Sales invoice issued"/>
    <x v="273"/>
    <s v="63.59"/>
    <x v="4"/>
    <x v="3"/>
  </r>
  <r>
    <n v="6337"/>
    <x v="508"/>
    <s v="Customer payment received"/>
    <x v="2358"/>
    <s v="0.0"/>
    <x v="0"/>
    <x v="0"/>
  </r>
  <r>
    <n v="6337"/>
    <x v="508"/>
    <s v="Customer payment received"/>
    <x v="273"/>
    <s v="852.85"/>
    <x v="2"/>
    <x v="0"/>
  </r>
  <r>
    <n v="6338"/>
    <x v="508"/>
    <s v="Customer payment received"/>
    <x v="2386"/>
    <s v="0.0"/>
    <x v="0"/>
    <x v="0"/>
  </r>
  <r>
    <n v="6338"/>
    <x v="508"/>
    <s v="Customer payment received"/>
    <x v="273"/>
    <s v="5506.77"/>
    <x v="2"/>
    <x v="0"/>
  </r>
  <r>
    <n v="6339"/>
    <x v="508"/>
    <s v="Customer payment received"/>
    <x v="2414"/>
    <s v="0.0"/>
    <x v="0"/>
    <x v="0"/>
  </r>
  <r>
    <n v="6339"/>
    <x v="508"/>
    <s v="Customer payment received"/>
    <x v="273"/>
    <s v="494.63"/>
    <x v="2"/>
    <x v="0"/>
  </r>
  <r>
    <n v="6340"/>
    <x v="508"/>
    <s v="Customer payment received"/>
    <x v="2448"/>
    <s v="0.0"/>
    <x v="0"/>
    <x v="0"/>
  </r>
  <r>
    <n v="6340"/>
    <x v="508"/>
    <s v="Customer payment received"/>
    <x v="273"/>
    <s v="1566.03"/>
    <x v="2"/>
    <x v="0"/>
  </r>
  <r>
    <n v="6341"/>
    <x v="508"/>
    <s v="Customer payment received"/>
    <x v="2497"/>
    <s v="0.0"/>
    <x v="0"/>
    <x v="0"/>
  </r>
  <r>
    <n v="6341"/>
    <x v="508"/>
    <s v="Customer payment received"/>
    <x v="273"/>
    <s v="1930.1"/>
    <x v="2"/>
    <x v="0"/>
  </r>
  <r>
    <n v="6342"/>
    <x v="508"/>
    <s v="Customer payment received"/>
    <x v="2500"/>
    <s v="0.0"/>
    <x v="0"/>
    <x v="0"/>
  </r>
  <r>
    <n v="6342"/>
    <x v="508"/>
    <s v="Customer payment received"/>
    <x v="273"/>
    <s v="1051.65"/>
    <x v="2"/>
    <x v="0"/>
  </r>
  <r>
    <n v="6343"/>
    <x v="508"/>
    <s v="Customer payment received"/>
    <x v="484"/>
    <s v="0.0"/>
    <x v="0"/>
    <x v="0"/>
  </r>
  <r>
    <n v="6343"/>
    <x v="508"/>
    <s v="Customer payment received"/>
    <x v="273"/>
    <s v="612.86"/>
    <x v="2"/>
    <x v="0"/>
  </r>
  <r>
    <n v="6344"/>
    <x v="508"/>
    <s v="Customer payment received"/>
    <x v="2503"/>
    <s v="0.0"/>
    <x v="0"/>
    <x v="0"/>
  </r>
  <r>
    <n v="6344"/>
    <x v="508"/>
    <s v="Customer payment received"/>
    <x v="273"/>
    <s v="2048.67"/>
    <x v="2"/>
    <x v="0"/>
  </r>
  <r>
    <n v="6345"/>
    <x v="508"/>
    <s v="Customer payment received"/>
    <x v="2569"/>
    <s v="0.0"/>
    <x v="0"/>
    <x v="0"/>
  </r>
  <r>
    <n v="6345"/>
    <x v="508"/>
    <s v="Customer payment received"/>
    <x v="273"/>
    <s v="982.51"/>
    <x v="2"/>
    <x v="0"/>
  </r>
  <r>
    <n v="6346"/>
    <x v="508"/>
    <s v="Customer payment received"/>
    <x v="2553"/>
    <s v="0.0"/>
    <x v="0"/>
    <x v="0"/>
  </r>
  <r>
    <n v="6346"/>
    <x v="508"/>
    <s v="Customer payment received"/>
    <x v="273"/>
    <s v="1299.1"/>
    <x v="2"/>
    <x v="0"/>
  </r>
  <r>
    <n v="6347"/>
    <x v="508"/>
    <s v="Customer payment received"/>
    <x v="2564"/>
    <s v="0.0"/>
    <x v="0"/>
    <x v="0"/>
  </r>
  <r>
    <n v="6347"/>
    <x v="508"/>
    <s v="Customer payment received"/>
    <x v="273"/>
    <s v="3747.13"/>
    <x v="2"/>
    <x v="0"/>
  </r>
  <r>
    <n v="6348"/>
    <x v="508"/>
    <s v="Supplier payment made"/>
    <x v="335"/>
    <s v="0.0"/>
    <x v="11"/>
    <x v="3"/>
  </r>
  <r>
    <n v="6348"/>
    <x v="508"/>
    <s v="Supplier payment made"/>
    <x v="273"/>
    <s v="550.4"/>
    <x v="0"/>
    <x v="0"/>
  </r>
  <r>
    <n v="6349"/>
    <x v="508"/>
    <s v="Supplier payment made"/>
    <x v="310"/>
    <s v="0.0"/>
    <x v="11"/>
    <x v="3"/>
  </r>
  <r>
    <n v="6349"/>
    <x v="508"/>
    <s v="Supplier payment made"/>
    <x v="273"/>
    <s v="276.32"/>
    <x v="0"/>
    <x v="0"/>
  </r>
  <r>
    <n v="6350"/>
    <x v="509"/>
    <s v="Sales invoice issued"/>
    <x v="1173"/>
    <s v="0.0"/>
    <x v="2"/>
    <x v="0"/>
  </r>
  <r>
    <n v="6350"/>
    <x v="509"/>
    <s v="Sales invoice issued"/>
    <x v="273"/>
    <s v="76.62"/>
    <x v="3"/>
    <x v="2"/>
  </r>
  <r>
    <n v="6350"/>
    <x v="509"/>
    <s v="Sales invoice issued"/>
    <x v="273"/>
    <s v="5.75"/>
    <x v="4"/>
    <x v="3"/>
  </r>
  <r>
    <n v="6351"/>
    <x v="509"/>
    <s v="Sales invoice issued"/>
    <x v="2570"/>
    <s v="0.0"/>
    <x v="2"/>
    <x v="0"/>
  </r>
  <r>
    <n v="6351"/>
    <x v="509"/>
    <s v="Sales invoice issued"/>
    <x v="273"/>
    <s v="3784.92"/>
    <x v="3"/>
    <x v="2"/>
  </r>
  <r>
    <n v="6351"/>
    <x v="509"/>
    <s v="Sales invoice issued"/>
    <x v="273"/>
    <s v="283.86"/>
    <x v="4"/>
    <x v="3"/>
  </r>
  <r>
    <n v="6352"/>
    <x v="509"/>
    <s v="Sales invoice issued"/>
    <x v="2571"/>
    <s v="0.0"/>
    <x v="2"/>
    <x v="0"/>
  </r>
  <r>
    <n v="6352"/>
    <x v="509"/>
    <s v="Sales invoice issued"/>
    <x v="273"/>
    <s v="1130.35"/>
    <x v="3"/>
    <x v="2"/>
  </r>
  <r>
    <n v="6352"/>
    <x v="509"/>
    <s v="Sales invoice issued"/>
    <x v="273"/>
    <s v="84.77"/>
    <x v="4"/>
    <x v="3"/>
  </r>
  <r>
    <n v="6353"/>
    <x v="509"/>
    <s v="Sales invoice issued"/>
    <x v="2572"/>
    <s v="0.0"/>
    <x v="2"/>
    <x v="0"/>
  </r>
  <r>
    <n v="6353"/>
    <x v="509"/>
    <s v="Sales invoice issued"/>
    <x v="273"/>
    <s v="2031.64"/>
    <x v="3"/>
    <x v="2"/>
  </r>
  <r>
    <n v="6353"/>
    <x v="509"/>
    <s v="Sales invoice issued"/>
    <x v="273"/>
    <s v="152.38"/>
    <x v="4"/>
    <x v="3"/>
  </r>
  <r>
    <n v="6354"/>
    <x v="509"/>
    <s v="Sales invoice issued"/>
    <x v="2573"/>
    <s v="0.0"/>
    <x v="2"/>
    <x v="0"/>
  </r>
  <r>
    <n v="6354"/>
    <x v="509"/>
    <s v="Sales invoice issued"/>
    <x v="273"/>
    <s v="2097.54"/>
    <x v="3"/>
    <x v="2"/>
  </r>
  <r>
    <n v="6354"/>
    <x v="509"/>
    <s v="Sales invoice issued"/>
    <x v="273"/>
    <s v="157.32"/>
    <x v="4"/>
    <x v="3"/>
  </r>
  <r>
    <n v="6355"/>
    <x v="509"/>
    <s v="Sales invoice issued"/>
    <x v="2574"/>
    <s v="0.0"/>
    <x v="2"/>
    <x v="0"/>
  </r>
  <r>
    <n v="6355"/>
    <x v="509"/>
    <s v="Sales invoice issued"/>
    <x v="273"/>
    <s v="805.64"/>
    <x v="3"/>
    <x v="2"/>
  </r>
  <r>
    <n v="6355"/>
    <x v="509"/>
    <s v="Sales invoice issued"/>
    <x v="273"/>
    <s v="60.42"/>
    <x v="4"/>
    <x v="3"/>
  </r>
  <r>
    <n v="6356"/>
    <x v="509"/>
    <s v="Sales invoice issued"/>
    <x v="2575"/>
    <s v="0.0"/>
    <x v="2"/>
    <x v="0"/>
  </r>
  <r>
    <n v="6356"/>
    <x v="509"/>
    <s v="Sales invoice issued"/>
    <x v="273"/>
    <s v="347.05"/>
    <x v="3"/>
    <x v="2"/>
  </r>
  <r>
    <n v="6356"/>
    <x v="509"/>
    <s v="Sales invoice issued"/>
    <x v="273"/>
    <s v="26.03"/>
    <x v="4"/>
    <x v="3"/>
  </r>
  <r>
    <n v="6357"/>
    <x v="509"/>
    <s v="Sales invoice issued"/>
    <x v="2576"/>
    <s v="0.0"/>
    <x v="2"/>
    <x v="0"/>
  </r>
  <r>
    <n v="6357"/>
    <x v="509"/>
    <s v="Sales invoice issued"/>
    <x v="273"/>
    <s v="4832.47"/>
    <x v="3"/>
    <x v="2"/>
  </r>
  <r>
    <n v="6357"/>
    <x v="509"/>
    <s v="Sales invoice issued"/>
    <x v="273"/>
    <s v="362.44"/>
    <x v="4"/>
    <x v="3"/>
  </r>
  <r>
    <n v="6358"/>
    <x v="509"/>
    <s v="Sales invoice issued"/>
    <x v="2577"/>
    <s v="0.0"/>
    <x v="2"/>
    <x v="0"/>
  </r>
  <r>
    <n v="6358"/>
    <x v="509"/>
    <s v="Sales invoice issued"/>
    <x v="273"/>
    <s v="1833.11"/>
    <x v="3"/>
    <x v="2"/>
  </r>
  <r>
    <n v="6358"/>
    <x v="509"/>
    <s v="Sales invoice issued"/>
    <x v="273"/>
    <s v="137.48"/>
    <x v="4"/>
    <x v="3"/>
  </r>
  <r>
    <n v="6359"/>
    <x v="509"/>
    <s v="Sales invoice issued"/>
    <x v="2578"/>
    <s v="0.0"/>
    <x v="2"/>
    <x v="0"/>
  </r>
  <r>
    <n v="6359"/>
    <x v="509"/>
    <s v="Sales invoice issued"/>
    <x v="273"/>
    <s v="1738.32"/>
    <x v="3"/>
    <x v="2"/>
  </r>
  <r>
    <n v="6359"/>
    <x v="509"/>
    <s v="Sales invoice issued"/>
    <x v="273"/>
    <s v="130.37"/>
    <x v="4"/>
    <x v="3"/>
  </r>
  <r>
    <n v="6360"/>
    <x v="509"/>
    <s v="Sales invoice issued"/>
    <x v="2579"/>
    <s v="0.0"/>
    <x v="2"/>
    <x v="0"/>
  </r>
  <r>
    <n v="6360"/>
    <x v="509"/>
    <s v="Sales invoice issued"/>
    <x v="273"/>
    <s v="4516.95"/>
    <x v="3"/>
    <x v="2"/>
  </r>
  <r>
    <n v="6360"/>
    <x v="509"/>
    <s v="Sales invoice issued"/>
    <x v="273"/>
    <s v="338.78"/>
    <x v="4"/>
    <x v="3"/>
  </r>
  <r>
    <n v="6361"/>
    <x v="509"/>
    <s v="Sales invoice issued"/>
    <x v="2580"/>
    <s v="0.0"/>
    <x v="2"/>
    <x v="0"/>
  </r>
  <r>
    <n v="6361"/>
    <x v="509"/>
    <s v="Sales invoice issued"/>
    <x v="273"/>
    <s v="3949.47"/>
    <x v="3"/>
    <x v="2"/>
  </r>
  <r>
    <n v="6361"/>
    <x v="509"/>
    <s v="Sales invoice issued"/>
    <x v="273"/>
    <s v="296.2"/>
    <x v="4"/>
    <x v="3"/>
  </r>
  <r>
    <n v="6362"/>
    <x v="509"/>
    <s v="Sales invoice issued"/>
    <x v="1067"/>
    <s v="0.0"/>
    <x v="2"/>
    <x v="0"/>
  </r>
  <r>
    <n v="6362"/>
    <x v="509"/>
    <s v="Sales invoice issued"/>
    <x v="273"/>
    <s v="415.26"/>
    <x v="3"/>
    <x v="2"/>
  </r>
  <r>
    <n v="6362"/>
    <x v="509"/>
    <s v="Sales invoice issued"/>
    <x v="273"/>
    <s v="31.14"/>
    <x v="4"/>
    <x v="3"/>
  </r>
  <r>
    <n v="6363"/>
    <x v="509"/>
    <s v="Sales invoice issued"/>
    <x v="2581"/>
    <s v="0.0"/>
    <x v="2"/>
    <x v="0"/>
  </r>
  <r>
    <n v="6363"/>
    <x v="509"/>
    <s v="Sales invoice issued"/>
    <x v="273"/>
    <s v="3312.78"/>
    <x v="3"/>
    <x v="2"/>
  </r>
  <r>
    <n v="6363"/>
    <x v="509"/>
    <s v="Sales invoice issued"/>
    <x v="273"/>
    <s v="248.46"/>
    <x v="4"/>
    <x v="3"/>
  </r>
  <r>
    <n v="6364"/>
    <x v="509"/>
    <s v="Sales invoice issued"/>
    <x v="2582"/>
    <s v="0.0"/>
    <x v="2"/>
    <x v="0"/>
  </r>
  <r>
    <n v="6364"/>
    <x v="509"/>
    <s v="Sales invoice issued"/>
    <x v="273"/>
    <s v="1473.45"/>
    <x v="3"/>
    <x v="2"/>
  </r>
  <r>
    <n v="6364"/>
    <x v="509"/>
    <s v="Sales invoice issued"/>
    <x v="273"/>
    <s v="110.51"/>
    <x v="4"/>
    <x v="3"/>
  </r>
  <r>
    <n v="6365"/>
    <x v="509"/>
    <s v="Sales invoice issued"/>
    <x v="2583"/>
    <s v="0.0"/>
    <x v="2"/>
    <x v="0"/>
  </r>
  <r>
    <n v="6365"/>
    <x v="509"/>
    <s v="Sales invoice issued"/>
    <x v="273"/>
    <s v="958.72"/>
    <x v="3"/>
    <x v="2"/>
  </r>
  <r>
    <n v="6365"/>
    <x v="509"/>
    <s v="Sales invoice issued"/>
    <x v="273"/>
    <s v="71.91"/>
    <x v="4"/>
    <x v="3"/>
  </r>
  <r>
    <n v="6366"/>
    <x v="509"/>
    <s v="Sales invoice issued"/>
    <x v="2584"/>
    <s v="0.0"/>
    <x v="2"/>
    <x v="0"/>
  </r>
  <r>
    <n v="6366"/>
    <x v="509"/>
    <s v="Sales invoice issued"/>
    <x v="273"/>
    <s v="2225.89"/>
    <x v="3"/>
    <x v="2"/>
  </r>
  <r>
    <n v="6366"/>
    <x v="509"/>
    <s v="Sales invoice issued"/>
    <x v="273"/>
    <s v="166.94"/>
    <x v="4"/>
    <x v="3"/>
  </r>
  <r>
    <n v="6367"/>
    <x v="509"/>
    <s v="Sales invoice issued"/>
    <x v="2585"/>
    <s v="0.0"/>
    <x v="2"/>
    <x v="0"/>
  </r>
  <r>
    <n v="6367"/>
    <x v="509"/>
    <s v="Sales invoice issued"/>
    <x v="273"/>
    <s v="2613.32"/>
    <x v="3"/>
    <x v="2"/>
  </r>
  <r>
    <n v="6367"/>
    <x v="509"/>
    <s v="Sales invoice issued"/>
    <x v="273"/>
    <s v="195.99"/>
    <x v="4"/>
    <x v="3"/>
  </r>
  <r>
    <n v="6368"/>
    <x v="509"/>
    <s v="Sales invoice issued"/>
    <x v="2586"/>
    <s v="0.0"/>
    <x v="2"/>
    <x v="0"/>
  </r>
  <r>
    <n v="6368"/>
    <x v="509"/>
    <s v="Sales invoice issued"/>
    <x v="273"/>
    <s v="8.63"/>
    <x v="3"/>
    <x v="2"/>
  </r>
  <r>
    <n v="6368"/>
    <x v="509"/>
    <s v="Sales invoice issued"/>
    <x v="273"/>
    <s v="0.65"/>
    <x v="4"/>
    <x v="3"/>
  </r>
  <r>
    <n v="6369"/>
    <x v="509"/>
    <s v="Sales invoice issued"/>
    <x v="2587"/>
    <s v="0.0"/>
    <x v="2"/>
    <x v="0"/>
  </r>
  <r>
    <n v="6369"/>
    <x v="509"/>
    <s v="Sales invoice issued"/>
    <x v="273"/>
    <s v="1231.44"/>
    <x v="3"/>
    <x v="2"/>
  </r>
  <r>
    <n v="6369"/>
    <x v="509"/>
    <s v="Sales invoice issued"/>
    <x v="273"/>
    <s v="92.36"/>
    <x v="4"/>
    <x v="3"/>
  </r>
  <r>
    <n v="6370"/>
    <x v="509"/>
    <s v="Sales invoice issued"/>
    <x v="2588"/>
    <s v="0.0"/>
    <x v="2"/>
    <x v="0"/>
  </r>
  <r>
    <n v="6370"/>
    <x v="509"/>
    <s v="Sales invoice issued"/>
    <x v="273"/>
    <s v="150.4"/>
    <x v="3"/>
    <x v="2"/>
  </r>
  <r>
    <n v="6370"/>
    <x v="509"/>
    <s v="Sales invoice issued"/>
    <x v="273"/>
    <s v="11.28"/>
    <x v="4"/>
    <x v="3"/>
  </r>
  <r>
    <n v="6371"/>
    <x v="509"/>
    <s v="Sales invoice issued"/>
    <x v="2589"/>
    <s v="0.0"/>
    <x v="2"/>
    <x v="0"/>
  </r>
  <r>
    <n v="6371"/>
    <x v="509"/>
    <s v="Sales invoice issued"/>
    <x v="273"/>
    <s v="1141.73"/>
    <x v="3"/>
    <x v="2"/>
  </r>
  <r>
    <n v="6371"/>
    <x v="509"/>
    <s v="Sales invoice issued"/>
    <x v="273"/>
    <s v="85.63"/>
    <x v="4"/>
    <x v="3"/>
  </r>
  <r>
    <n v="6372"/>
    <x v="509"/>
    <s v="Customer payment received"/>
    <x v="2248"/>
    <s v="0.0"/>
    <x v="0"/>
    <x v="0"/>
  </r>
  <r>
    <n v="6372"/>
    <x v="509"/>
    <s v="Customer payment received"/>
    <x v="273"/>
    <s v="1222.03"/>
    <x v="2"/>
    <x v="0"/>
  </r>
  <r>
    <n v="6373"/>
    <x v="509"/>
    <s v="Customer payment received"/>
    <x v="2251"/>
    <s v="0.0"/>
    <x v="0"/>
    <x v="0"/>
  </r>
  <r>
    <n v="6373"/>
    <x v="509"/>
    <s v="Customer payment received"/>
    <x v="273"/>
    <s v="2304.96"/>
    <x v="2"/>
    <x v="0"/>
  </r>
  <r>
    <n v="6374"/>
    <x v="509"/>
    <s v="Customer payment received"/>
    <x v="2254"/>
    <s v="0.0"/>
    <x v="0"/>
    <x v="0"/>
  </r>
  <r>
    <n v="6374"/>
    <x v="509"/>
    <s v="Customer payment received"/>
    <x v="273"/>
    <s v="2086.41"/>
    <x v="2"/>
    <x v="0"/>
  </r>
  <r>
    <n v="6375"/>
    <x v="509"/>
    <s v="Customer payment received"/>
    <x v="2306"/>
    <s v="0.0"/>
    <x v="0"/>
    <x v="0"/>
  </r>
  <r>
    <n v="6375"/>
    <x v="509"/>
    <s v="Customer payment received"/>
    <x v="273"/>
    <s v="1620.18"/>
    <x v="2"/>
    <x v="0"/>
  </r>
  <r>
    <n v="6376"/>
    <x v="509"/>
    <s v="Customer payment received"/>
    <x v="2353"/>
    <s v="0.0"/>
    <x v="0"/>
    <x v="0"/>
  </r>
  <r>
    <n v="6376"/>
    <x v="509"/>
    <s v="Customer payment received"/>
    <x v="273"/>
    <s v="5611.38"/>
    <x v="2"/>
    <x v="0"/>
  </r>
  <r>
    <n v="6377"/>
    <x v="509"/>
    <s v="Customer payment received"/>
    <x v="2373"/>
    <s v="0.0"/>
    <x v="0"/>
    <x v="0"/>
  </r>
  <r>
    <n v="6377"/>
    <x v="509"/>
    <s v="Customer payment received"/>
    <x v="273"/>
    <s v="481.97"/>
    <x v="2"/>
    <x v="0"/>
  </r>
  <r>
    <n v="6378"/>
    <x v="509"/>
    <s v="Customer payment received"/>
    <x v="2380"/>
    <s v="0.0"/>
    <x v="0"/>
    <x v="0"/>
  </r>
  <r>
    <n v="6378"/>
    <x v="509"/>
    <s v="Customer payment received"/>
    <x v="273"/>
    <s v="2004.15"/>
    <x v="2"/>
    <x v="0"/>
  </r>
  <r>
    <n v="6379"/>
    <x v="509"/>
    <s v="Customer payment received"/>
    <x v="2391"/>
    <s v="0.0"/>
    <x v="0"/>
    <x v="0"/>
  </r>
  <r>
    <n v="6379"/>
    <x v="509"/>
    <s v="Customer payment received"/>
    <x v="273"/>
    <s v="1950.5"/>
    <x v="2"/>
    <x v="0"/>
  </r>
  <r>
    <n v="6380"/>
    <x v="509"/>
    <s v="Customer payment received"/>
    <x v="2392"/>
    <s v="0.0"/>
    <x v="0"/>
    <x v="0"/>
  </r>
  <r>
    <n v="6380"/>
    <x v="509"/>
    <s v="Customer payment received"/>
    <x v="273"/>
    <s v="3052.96"/>
    <x v="2"/>
    <x v="0"/>
  </r>
  <r>
    <n v="6381"/>
    <x v="509"/>
    <s v="Customer payment received"/>
    <x v="2445"/>
    <s v="0.0"/>
    <x v="0"/>
    <x v="0"/>
  </r>
  <r>
    <n v="6381"/>
    <x v="509"/>
    <s v="Customer payment received"/>
    <x v="273"/>
    <s v="2567.34"/>
    <x v="2"/>
    <x v="0"/>
  </r>
  <r>
    <n v="6382"/>
    <x v="509"/>
    <s v="Customer payment received"/>
    <x v="2491"/>
    <s v="0.0"/>
    <x v="0"/>
    <x v="0"/>
  </r>
  <r>
    <n v="6382"/>
    <x v="509"/>
    <s v="Customer payment received"/>
    <x v="273"/>
    <s v="1355.87"/>
    <x v="2"/>
    <x v="0"/>
  </r>
  <r>
    <n v="6383"/>
    <x v="509"/>
    <s v="Customer payment received"/>
    <x v="2498"/>
    <s v="0.0"/>
    <x v="0"/>
    <x v="0"/>
  </r>
  <r>
    <n v="6383"/>
    <x v="509"/>
    <s v="Customer payment received"/>
    <x v="273"/>
    <s v="3303.0"/>
    <x v="2"/>
    <x v="0"/>
  </r>
  <r>
    <n v="6384"/>
    <x v="509"/>
    <s v="Customer payment received"/>
    <x v="2495"/>
    <s v="0.0"/>
    <x v="0"/>
    <x v="0"/>
  </r>
  <r>
    <n v="6384"/>
    <x v="509"/>
    <s v="Customer payment received"/>
    <x v="273"/>
    <s v="64.67"/>
    <x v="2"/>
    <x v="0"/>
  </r>
  <r>
    <n v="6385"/>
    <x v="509"/>
    <s v="Customer payment received"/>
    <x v="2517"/>
    <s v="0.0"/>
    <x v="0"/>
    <x v="0"/>
  </r>
  <r>
    <n v="6385"/>
    <x v="509"/>
    <s v="Customer payment received"/>
    <x v="273"/>
    <s v="4014.03"/>
    <x v="2"/>
    <x v="0"/>
  </r>
  <r>
    <n v="6386"/>
    <x v="509"/>
    <s v="Supplier invoice received"/>
    <x v="297"/>
    <s v="0.0"/>
    <x v="9"/>
    <x v="4"/>
  </r>
  <r>
    <n v="6386"/>
    <x v="509"/>
    <s v="Supplier invoice received"/>
    <x v="298"/>
    <s v="0.0"/>
    <x v="10"/>
    <x v="0"/>
  </r>
  <r>
    <n v="6386"/>
    <x v="509"/>
    <s v="Supplier invoice received"/>
    <x v="273"/>
    <s v="3528.97"/>
    <x v="11"/>
    <x v="3"/>
  </r>
  <r>
    <n v="6387"/>
    <x v="509"/>
    <s v="Supplier invoice received"/>
    <x v="383"/>
    <s v="0.0"/>
    <x v="9"/>
    <x v="4"/>
  </r>
  <r>
    <n v="6387"/>
    <x v="509"/>
    <s v="Supplier invoice received"/>
    <x v="384"/>
    <s v="0.0"/>
    <x v="10"/>
    <x v="0"/>
  </r>
  <r>
    <n v="6387"/>
    <x v="509"/>
    <s v="Supplier invoice received"/>
    <x v="273"/>
    <s v="3868.8"/>
    <x v="11"/>
    <x v="3"/>
  </r>
  <r>
    <n v="6388"/>
    <x v="509"/>
    <s v="Supplier invoice received"/>
    <x v="448"/>
    <s v="0.0"/>
    <x v="9"/>
    <x v="4"/>
  </r>
  <r>
    <n v="6388"/>
    <x v="509"/>
    <s v="Supplier invoice received"/>
    <x v="449"/>
    <s v="0.0"/>
    <x v="10"/>
    <x v="0"/>
  </r>
  <r>
    <n v="6388"/>
    <x v="509"/>
    <s v="Supplier invoice received"/>
    <x v="273"/>
    <s v="7227.44"/>
    <x v="11"/>
    <x v="3"/>
  </r>
  <r>
    <n v="6389"/>
    <x v="509"/>
    <s v="Supplier payment made"/>
    <x v="496"/>
    <s v="0.0"/>
    <x v="11"/>
    <x v="3"/>
  </r>
  <r>
    <n v="6389"/>
    <x v="509"/>
    <s v="Supplier payment made"/>
    <x v="273"/>
    <s v="7227.44"/>
    <x v="0"/>
    <x v="0"/>
  </r>
  <r>
    <n v="6390"/>
    <x v="509"/>
    <s v="Supplier payment made"/>
    <x v="334"/>
    <s v="0.0"/>
    <x v="11"/>
    <x v="3"/>
  </r>
  <r>
    <n v="6390"/>
    <x v="509"/>
    <s v="Supplier payment made"/>
    <x v="273"/>
    <s v="3528.97"/>
    <x v="0"/>
    <x v="0"/>
  </r>
  <r>
    <n v="6391"/>
    <x v="510"/>
    <s v="Sales invoice issued"/>
    <x v="2590"/>
    <s v="0.0"/>
    <x v="2"/>
    <x v="0"/>
  </r>
  <r>
    <n v="6391"/>
    <x v="510"/>
    <s v="Sales invoice issued"/>
    <x v="273"/>
    <s v="2634.78"/>
    <x v="3"/>
    <x v="2"/>
  </r>
  <r>
    <n v="6391"/>
    <x v="510"/>
    <s v="Sales invoice issued"/>
    <x v="273"/>
    <s v="197.6"/>
    <x v="4"/>
    <x v="3"/>
  </r>
  <r>
    <n v="6392"/>
    <x v="510"/>
    <s v="Sales invoice issued"/>
    <x v="2591"/>
    <s v="0.0"/>
    <x v="2"/>
    <x v="0"/>
  </r>
  <r>
    <n v="6392"/>
    <x v="510"/>
    <s v="Sales invoice issued"/>
    <x v="273"/>
    <s v="2125.13"/>
    <x v="3"/>
    <x v="2"/>
  </r>
  <r>
    <n v="6392"/>
    <x v="510"/>
    <s v="Sales invoice issued"/>
    <x v="273"/>
    <s v="159.39"/>
    <x v="4"/>
    <x v="3"/>
  </r>
  <r>
    <n v="6393"/>
    <x v="510"/>
    <s v="Sales invoice issued"/>
    <x v="2592"/>
    <s v="0.0"/>
    <x v="2"/>
    <x v="0"/>
  </r>
  <r>
    <n v="6393"/>
    <x v="510"/>
    <s v="Sales invoice issued"/>
    <x v="273"/>
    <s v="3843.19"/>
    <x v="3"/>
    <x v="2"/>
  </r>
  <r>
    <n v="6393"/>
    <x v="510"/>
    <s v="Sales invoice issued"/>
    <x v="273"/>
    <s v="288.23"/>
    <x v="4"/>
    <x v="3"/>
  </r>
  <r>
    <n v="6394"/>
    <x v="510"/>
    <s v="Sales invoice issued"/>
    <x v="275"/>
    <s v="0.0"/>
    <x v="2"/>
    <x v="0"/>
  </r>
  <r>
    <n v="6394"/>
    <x v="510"/>
    <s v="Sales invoice issued"/>
    <x v="273"/>
    <s v="120.32"/>
    <x v="3"/>
    <x v="2"/>
  </r>
  <r>
    <n v="6394"/>
    <x v="510"/>
    <s v="Sales invoice issued"/>
    <x v="273"/>
    <s v="9.02"/>
    <x v="4"/>
    <x v="3"/>
  </r>
  <r>
    <n v="6395"/>
    <x v="510"/>
    <s v="Sales invoice issued"/>
    <x v="2593"/>
    <s v="0.0"/>
    <x v="2"/>
    <x v="0"/>
  </r>
  <r>
    <n v="6395"/>
    <x v="510"/>
    <s v="Sales invoice issued"/>
    <x v="273"/>
    <s v="2567.14"/>
    <x v="3"/>
    <x v="2"/>
  </r>
  <r>
    <n v="6395"/>
    <x v="510"/>
    <s v="Sales invoice issued"/>
    <x v="273"/>
    <s v="192.54"/>
    <x v="4"/>
    <x v="3"/>
  </r>
  <r>
    <n v="6396"/>
    <x v="510"/>
    <s v="Sales invoice issued"/>
    <x v="2594"/>
    <s v="0.0"/>
    <x v="2"/>
    <x v="0"/>
  </r>
  <r>
    <n v="6396"/>
    <x v="510"/>
    <s v="Sales invoice issued"/>
    <x v="273"/>
    <s v="1484.39"/>
    <x v="3"/>
    <x v="2"/>
  </r>
  <r>
    <n v="6396"/>
    <x v="510"/>
    <s v="Sales invoice issued"/>
    <x v="273"/>
    <s v="111.32"/>
    <x v="4"/>
    <x v="3"/>
  </r>
  <r>
    <n v="6397"/>
    <x v="510"/>
    <s v="Sales invoice issued"/>
    <x v="2595"/>
    <s v="0.0"/>
    <x v="2"/>
    <x v="0"/>
  </r>
  <r>
    <n v="6397"/>
    <x v="510"/>
    <s v="Sales invoice issued"/>
    <x v="273"/>
    <s v="444.21"/>
    <x v="3"/>
    <x v="2"/>
  </r>
  <r>
    <n v="6397"/>
    <x v="510"/>
    <s v="Sales invoice issued"/>
    <x v="273"/>
    <s v="33.32"/>
    <x v="4"/>
    <x v="3"/>
  </r>
  <r>
    <n v="6398"/>
    <x v="510"/>
    <s v="Sales invoice issued"/>
    <x v="2596"/>
    <s v="0.0"/>
    <x v="2"/>
    <x v="0"/>
  </r>
  <r>
    <n v="6398"/>
    <x v="510"/>
    <s v="Sales invoice issued"/>
    <x v="273"/>
    <s v="1932.81"/>
    <x v="3"/>
    <x v="2"/>
  </r>
  <r>
    <n v="6398"/>
    <x v="510"/>
    <s v="Sales invoice issued"/>
    <x v="273"/>
    <s v="144.96"/>
    <x v="4"/>
    <x v="3"/>
  </r>
  <r>
    <n v="6399"/>
    <x v="510"/>
    <s v="Sales invoice issued"/>
    <x v="711"/>
    <s v="0.0"/>
    <x v="2"/>
    <x v="0"/>
  </r>
  <r>
    <n v="6399"/>
    <x v="510"/>
    <s v="Sales invoice issued"/>
    <x v="273"/>
    <s v="37.67"/>
    <x v="3"/>
    <x v="2"/>
  </r>
  <r>
    <n v="6399"/>
    <x v="510"/>
    <s v="Sales invoice issued"/>
    <x v="273"/>
    <s v="2.83"/>
    <x v="4"/>
    <x v="3"/>
  </r>
  <r>
    <n v="6400"/>
    <x v="510"/>
    <s v="Sales invoice issued"/>
    <x v="2597"/>
    <s v="0.0"/>
    <x v="2"/>
    <x v="0"/>
  </r>
  <r>
    <n v="6400"/>
    <x v="510"/>
    <s v="Sales invoice issued"/>
    <x v="273"/>
    <s v="1137.59"/>
    <x v="3"/>
    <x v="2"/>
  </r>
  <r>
    <n v="6400"/>
    <x v="510"/>
    <s v="Sales invoice issued"/>
    <x v="273"/>
    <s v="85.32"/>
    <x v="4"/>
    <x v="3"/>
  </r>
  <r>
    <n v="6401"/>
    <x v="510"/>
    <s v="Customer payment received"/>
    <x v="2267"/>
    <s v="0.0"/>
    <x v="0"/>
    <x v="0"/>
  </r>
  <r>
    <n v="6401"/>
    <x v="510"/>
    <s v="Customer payment received"/>
    <x v="273"/>
    <s v="418.02"/>
    <x v="2"/>
    <x v="0"/>
  </r>
  <r>
    <n v="6402"/>
    <x v="510"/>
    <s v="Customer payment received"/>
    <x v="2281"/>
    <s v="0.0"/>
    <x v="0"/>
    <x v="0"/>
  </r>
  <r>
    <n v="6402"/>
    <x v="510"/>
    <s v="Customer payment received"/>
    <x v="273"/>
    <s v="2692.66"/>
    <x v="2"/>
    <x v="0"/>
  </r>
  <r>
    <n v="6403"/>
    <x v="510"/>
    <s v="Customer payment received"/>
    <x v="2315"/>
    <s v="0.0"/>
    <x v="0"/>
    <x v="0"/>
  </r>
  <r>
    <n v="6403"/>
    <x v="510"/>
    <s v="Customer payment received"/>
    <x v="273"/>
    <s v="2673.28"/>
    <x v="2"/>
    <x v="0"/>
  </r>
  <r>
    <n v="6404"/>
    <x v="510"/>
    <s v="Customer payment received"/>
    <x v="2480"/>
    <s v="0.0"/>
    <x v="0"/>
    <x v="0"/>
  </r>
  <r>
    <n v="6404"/>
    <x v="510"/>
    <s v="Customer payment received"/>
    <x v="273"/>
    <s v="2021.48"/>
    <x v="2"/>
    <x v="0"/>
  </r>
  <r>
    <n v="6405"/>
    <x v="510"/>
    <s v="Customer payment received"/>
    <x v="2485"/>
    <s v="0.0"/>
    <x v="0"/>
    <x v="0"/>
  </r>
  <r>
    <n v="6405"/>
    <x v="510"/>
    <s v="Customer payment received"/>
    <x v="273"/>
    <s v="3879.48"/>
    <x v="2"/>
    <x v="0"/>
  </r>
  <r>
    <n v="6406"/>
    <x v="510"/>
    <s v="Customer payment received"/>
    <x v="2511"/>
    <s v="0.0"/>
    <x v="0"/>
    <x v="0"/>
  </r>
  <r>
    <n v="6406"/>
    <x v="510"/>
    <s v="Customer payment received"/>
    <x v="273"/>
    <s v="810.47"/>
    <x v="2"/>
    <x v="0"/>
  </r>
  <r>
    <n v="6407"/>
    <x v="510"/>
    <s v="Customer payment received"/>
    <x v="2538"/>
    <s v="0.0"/>
    <x v="0"/>
    <x v="0"/>
  </r>
  <r>
    <n v="6407"/>
    <x v="510"/>
    <s v="Customer payment received"/>
    <x v="273"/>
    <s v="3019.78"/>
    <x v="2"/>
    <x v="0"/>
  </r>
  <r>
    <n v="6408"/>
    <x v="510"/>
    <s v="Customer payment received"/>
    <x v="2548"/>
    <s v="0.0"/>
    <x v="0"/>
    <x v="0"/>
  </r>
  <r>
    <n v="6408"/>
    <x v="510"/>
    <s v="Customer payment received"/>
    <x v="273"/>
    <s v="2676.0"/>
    <x v="2"/>
    <x v="0"/>
  </r>
  <r>
    <n v="6409"/>
    <x v="510"/>
    <s v="Customer payment received"/>
    <x v="711"/>
    <s v="0.0"/>
    <x v="0"/>
    <x v="0"/>
  </r>
  <r>
    <n v="6409"/>
    <x v="510"/>
    <s v="Customer payment received"/>
    <x v="273"/>
    <s v="40.5"/>
    <x v="2"/>
    <x v="0"/>
  </r>
  <r>
    <n v="6410"/>
    <x v="510"/>
    <s v="Supplier invoice received"/>
    <x v="332"/>
    <s v="0.0"/>
    <x v="9"/>
    <x v="4"/>
  </r>
  <r>
    <n v="6410"/>
    <x v="510"/>
    <s v="Supplier invoice received"/>
    <x v="333"/>
    <s v="0.0"/>
    <x v="10"/>
    <x v="0"/>
  </r>
  <r>
    <n v="6410"/>
    <x v="510"/>
    <s v="Supplier invoice received"/>
    <x v="273"/>
    <s v="1023.42"/>
    <x v="11"/>
    <x v="3"/>
  </r>
  <r>
    <n v="6411"/>
    <x v="510"/>
    <s v="Supplier invoice received"/>
    <x v="359"/>
    <s v="0.0"/>
    <x v="9"/>
    <x v="4"/>
  </r>
  <r>
    <n v="6411"/>
    <x v="510"/>
    <s v="Supplier invoice received"/>
    <x v="360"/>
    <s v="0.0"/>
    <x v="10"/>
    <x v="0"/>
  </r>
  <r>
    <n v="6411"/>
    <x v="510"/>
    <s v="Supplier invoice received"/>
    <x v="273"/>
    <s v="1591.54"/>
    <x v="11"/>
    <x v="3"/>
  </r>
  <r>
    <n v="6412"/>
    <x v="510"/>
    <s v="Supplier payment made"/>
    <x v="313"/>
    <s v="0.0"/>
    <x v="11"/>
    <x v="3"/>
  </r>
  <r>
    <n v="6412"/>
    <x v="510"/>
    <s v="Supplier payment made"/>
    <x v="273"/>
    <s v="1159.84"/>
    <x v="0"/>
    <x v="0"/>
  </r>
  <r>
    <n v="6413"/>
    <x v="510"/>
    <s v="Supplier payment made"/>
    <x v="504"/>
    <s v="0.0"/>
    <x v="11"/>
    <x v="3"/>
  </r>
  <r>
    <n v="6413"/>
    <x v="510"/>
    <s v="Supplier payment made"/>
    <x v="273"/>
    <s v="1958.74"/>
    <x v="0"/>
    <x v="0"/>
  </r>
  <r>
    <n v="6414"/>
    <x v="510"/>
    <s v="Supplier payment made"/>
    <x v="488"/>
    <s v="0.0"/>
    <x v="11"/>
    <x v="3"/>
  </r>
  <r>
    <n v="6414"/>
    <x v="510"/>
    <s v="Supplier payment made"/>
    <x v="273"/>
    <s v="2182.41"/>
    <x v="0"/>
    <x v="0"/>
  </r>
  <r>
    <n v="6415"/>
    <x v="511"/>
    <s v="Sales invoice issued"/>
    <x v="2598"/>
    <s v="0.0"/>
    <x v="2"/>
    <x v="0"/>
  </r>
  <r>
    <n v="6415"/>
    <x v="511"/>
    <s v="Sales invoice issued"/>
    <x v="273"/>
    <s v="3106.12"/>
    <x v="3"/>
    <x v="2"/>
  </r>
  <r>
    <n v="6415"/>
    <x v="511"/>
    <s v="Sales invoice issued"/>
    <x v="273"/>
    <s v="232.95"/>
    <x v="4"/>
    <x v="3"/>
  </r>
  <r>
    <n v="6416"/>
    <x v="511"/>
    <s v="Sales invoice issued"/>
    <x v="2599"/>
    <s v="0.0"/>
    <x v="2"/>
    <x v="0"/>
  </r>
  <r>
    <n v="6416"/>
    <x v="511"/>
    <s v="Sales invoice issued"/>
    <x v="273"/>
    <s v="2033.65"/>
    <x v="3"/>
    <x v="2"/>
  </r>
  <r>
    <n v="6416"/>
    <x v="511"/>
    <s v="Sales invoice issued"/>
    <x v="273"/>
    <s v="152.53"/>
    <x v="4"/>
    <x v="3"/>
  </r>
  <r>
    <n v="6417"/>
    <x v="511"/>
    <s v="Sales invoice issued"/>
    <x v="2600"/>
    <s v="0.0"/>
    <x v="2"/>
    <x v="0"/>
  </r>
  <r>
    <n v="6417"/>
    <x v="511"/>
    <s v="Sales invoice issued"/>
    <x v="273"/>
    <s v="2343.69"/>
    <x v="3"/>
    <x v="2"/>
  </r>
  <r>
    <n v="6417"/>
    <x v="511"/>
    <s v="Sales invoice issued"/>
    <x v="273"/>
    <s v="175.78"/>
    <x v="4"/>
    <x v="3"/>
  </r>
  <r>
    <n v="6418"/>
    <x v="511"/>
    <s v="Sales invoice issued"/>
    <x v="1179"/>
    <s v="0.0"/>
    <x v="2"/>
    <x v="0"/>
  </r>
  <r>
    <n v="6418"/>
    <x v="511"/>
    <s v="Sales invoice issued"/>
    <x v="273"/>
    <s v="40.44"/>
    <x v="3"/>
    <x v="2"/>
  </r>
  <r>
    <n v="6418"/>
    <x v="511"/>
    <s v="Sales invoice issued"/>
    <x v="273"/>
    <s v="3.03"/>
    <x v="4"/>
    <x v="3"/>
  </r>
  <r>
    <n v="6419"/>
    <x v="511"/>
    <s v="Sales invoice issued"/>
    <x v="2601"/>
    <s v="0.0"/>
    <x v="2"/>
    <x v="0"/>
  </r>
  <r>
    <n v="6419"/>
    <x v="511"/>
    <s v="Sales invoice issued"/>
    <x v="273"/>
    <s v="2890.23"/>
    <x v="3"/>
    <x v="2"/>
  </r>
  <r>
    <n v="6419"/>
    <x v="511"/>
    <s v="Sales invoice issued"/>
    <x v="273"/>
    <s v="216.77"/>
    <x v="4"/>
    <x v="3"/>
  </r>
  <r>
    <n v="6420"/>
    <x v="511"/>
    <s v="Sales invoice issued"/>
    <x v="2602"/>
    <s v="0.0"/>
    <x v="2"/>
    <x v="0"/>
  </r>
  <r>
    <n v="6420"/>
    <x v="511"/>
    <s v="Sales invoice issued"/>
    <x v="273"/>
    <s v="2688.07"/>
    <x v="3"/>
    <x v="2"/>
  </r>
  <r>
    <n v="6420"/>
    <x v="511"/>
    <s v="Sales invoice issued"/>
    <x v="273"/>
    <s v="201.6"/>
    <x v="4"/>
    <x v="3"/>
  </r>
  <r>
    <n v="6421"/>
    <x v="511"/>
    <s v="Sales invoice issued"/>
    <x v="2603"/>
    <s v="0.0"/>
    <x v="2"/>
    <x v="0"/>
  </r>
  <r>
    <n v="6421"/>
    <x v="511"/>
    <s v="Sales invoice issued"/>
    <x v="273"/>
    <s v="1495.44"/>
    <x v="3"/>
    <x v="2"/>
  </r>
  <r>
    <n v="6421"/>
    <x v="511"/>
    <s v="Sales invoice issued"/>
    <x v="273"/>
    <s v="112.16"/>
    <x v="4"/>
    <x v="3"/>
  </r>
  <r>
    <n v="6422"/>
    <x v="511"/>
    <s v="Sales invoice issued"/>
    <x v="2604"/>
    <s v="0.0"/>
    <x v="2"/>
    <x v="0"/>
  </r>
  <r>
    <n v="6422"/>
    <x v="511"/>
    <s v="Sales invoice issued"/>
    <x v="273"/>
    <s v="113.51"/>
    <x v="3"/>
    <x v="2"/>
  </r>
  <r>
    <n v="6422"/>
    <x v="511"/>
    <s v="Sales invoice issued"/>
    <x v="273"/>
    <s v="8.51"/>
    <x v="4"/>
    <x v="3"/>
  </r>
  <r>
    <n v="6423"/>
    <x v="511"/>
    <s v="Sales invoice issued"/>
    <x v="2605"/>
    <s v="0.0"/>
    <x v="2"/>
    <x v="0"/>
  </r>
  <r>
    <n v="6423"/>
    <x v="511"/>
    <s v="Sales invoice issued"/>
    <x v="273"/>
    <s v="1175.88"/>
    <x v="3"/>
    <x v="2"/>
  </r>
  <r>
    <n v="6423"/>
    <x v="511"/>
    <s v="Sales invoice issued"/>
    <x v="273"/>
    <s v="88.19"/>
    <x v="4"/>
    <x v="3"/>
  </r>
  <r>
    <n v="6424"/>
    <x v="511"/>
    <s v="Sales invoice issued"/>
    <x v="2606"/>
    <s v="0.0"/>
    <x v="2"/>
    <x v="0"/>
  </r>
  <r>
    <n v="6424"/>
    <x v="511"/>
    <s v="Sales invoice issued"/>
    <x v="273"/>
    <s v="794.56"/>
    <x v="3"/>
    <x v="2"/>
  </r>
  <r>
    <n v="6424"/>
    <x v="511"/>
    <s v="Sales invoice issued"/>
    <x v="273"/>
    <s v="59.59"/>
    <x v="4"/>
    <x v="3"/>
  </r>
  <r>
    <n v="6425"/>
    <x v="511"/>
    <s v="Sales invoice issued"/>
    <x v="2607"/>
    <s v="0.0"/>
    <x v="2"/>
    <x v="0"/>
  </r>
  <r>
    <n v="6425"/>
    <x v="511"/>
    <s v="Sales invoice issued"/>
    <x v="273"/>
    <s v="3984.32"/>
    <x v="3"/>
    <x v="2"/>
  </r>
  <r>
    <n v="6425"/>
    <x v="511"/>
    <s v="Sales invoice issued"/>
    <x v="273"/>
    <s v="298.83"/>
    <x v="4"/>
    <x v="3"/>
  </r>
  <r>
    <n v="6426"/>
    <x v="511"/>
    <s v="Customer payment received"/>
    <x v="2209"/>
    <s v="0.0"/>
    <x v="0"/>
    <x v="0"/>
  </r>
  <r>
    <n v="6426"/>
    <x v="511"/>
    <s v="Customer payment received"/>
    <x v="273"/>
    <s v="106.77"/>
    <x v="2"/>
    <x v="0"/>
  </r>
  <r>
    <n v="6427"/>
    <x v="511"/>
    <s v="Customer payment received"/>
    <x v="2246"/>
    <s v="0.0"/>
    <x v="0"/>
    <x v="0"/>
  </r>
  <r>
    <n v="6427"/>
    <x v="511"/>
    <s v="Customer payment received"/>
    <x v="273"/>
    <s v="3834.81"/>
    <x v="2"/>
    <x v="0"/>
  </r>
  <r>
    <n v="6428"/>
    <x v="511"/>
    <s v="Customer payment received"/>
    <x v="2284"/>
    <s v="0.0"/>
    <x v="0"/>
    <x v="0"/>
  </r>
  <r>
    <n v="6428"/>
    <x v="511"/>
    <s v="Customer payment received"/>
    <x v="273"/>
    <s v="2766.25"/>
    <x v="2"/>
    <x v="0"/>
  </r>
  <r>
    <n v="6429"/>
    <x v="511"/>
    <s v="Customer payment received"/>
    <x v="2345"/>
    <s v="0.0"/>
    <x v="0"/>
    <x v="0"/>
  </r>
  <r>
    <n v="6429"/>
    <x v="511"/>
    <s v="Customer payment received"/>
    <x v="273"/>
    <s v="3205.63"/>
    <x v="2"/>
    <x v="0"/>
  </r>
  <r>
    <n v="6430"/>
    <x v="511"/>
    <s v="Customer payment received"/>
    <x v="2383"/>
    <s v="0.0"/>
    <x v="0"/>
    <x v="0"/>
  </r>
  <r>
    <n v="6430"/>
    <x v="511"/>
    <s v="Customer payment received"/>
    <x v="273"/>
    <s v="2246.15"/>
    <x v="2"/>
    <x v="0"/>
  </r>
  <r>
    <n v="6431"/>
    <x v="511"/>
    <s v="Customer payment received"/>
    <x v="2402"/>
    <s v="0.0"/>
    <x v="0"/>
    <x v="0"/>
  </r>
  <r>
    <n v="6431"/>
    <x v="511"/>
    <s v="Customer payment received"/>
    <x v="273"/>
    <s v="4814.05"/>
    <x v="2"/>
    <x v="0"/>
  </r>
  <r>
    <n v="6432"/>
    <x v="511"/>
    <s v="Customer payment received"/>
    <x v="2424"/>
    <s v="0.0"/>
    <x v="0"/>
    <x v="0"/>
  </r>
  <r>
    <n v="6432"/>
    <x v="511"/>
    <s v="Customer payment received"/>
    <x v="273"/>
    <s v="4135.06"/>
    <x v="2"/>
    <x v="0"/>
  </r>
  <r>
    <n v="6433"/>
    <x v="511"/>
    <s v="Customer payment received"/>
    <x v="2482"/>
    <s v="0.0"/>
    <x v="0"/>
    <x v="0"/>
  </r>
  <r>
    <n v="6433"/>
    <x v="511"/>
    <s v="Customer payment received"/>
    <x v="273"/>
    <s v="890.97"/>
    <x v="2"/>
    <x v="0"/>
  </r>
  <r>
    <n v="6434"/>
    <x v="511"/>
    <s v="Customer payment received"/>
    <x v="2486"/>
    <s v="0.0"/>
    <x v="0"/>
    <x v="0"/>
  </r>
  <r>
    <n v="6434"/>
    <x v="511"/>
    <s v="Customer payment received"/>
    <x v="273"/>
    <s v="3300.26"/>
    <x v="2"/>
    <x v="0"/>
  </r>
  <r>
    <n v="6435"/>
    <x v="511"/>
    <s v="Customer payment received"/>
    <x v="2495"/>
    <s v="0.0"/>
    <x v="0"/>
    <x v="0"/>
  </r>
  <r>
    <n v="6435"/>
    <x v="511"/>
    <s v="Customer payment received"/>
    <x v="273"/>
    <s v="64.67"/>
    <x v="2"/>
    <x v="0"/>
  </r>
  <r>
    <n v="6436"/>
    <x v="511"/>
    <s v="Customer payment received"/>
    <x v="1256"/>
    <s v="0.0"/>
    <x v="0"/>
    <x v="0"/>
  </r>
  <r>
    <n v="6436"/>
    <x v="511"/>
    <s v="Customer payment received"/>
    <x v="273"/>
    <s v="84.17"/>
    <x v="2"/>
    <x v="0"/>
  </r>
  <r>
    <n v="6437"/>
    <x v="511"/>
    <s v="Customer payment received"/>
    <x v="2525"/>
    <s v="0.0"/>
    <x v="0"/>
    <x v="0"/>
  </r>
  <r>
    <n v="6437"/>
    <x v="511"/>
    <s v="Customer payment received"/>
    <x v="273"/>
    <s v="1951.84"/>
    <x v="2"/>
    <x v="0"/>
  </r>
  <r>
    <n v="6438"/>
    <x v="511"/>
    <s v="Customer payment received"/>
    <x v="2541"/>
    <s v="0.0"/>
    <x v="0"/>
    <x v="0"/>
  </r>
  <r>
    <n v="6438"/>
    <x v="511"/>
    <s v="Customer payment received"/>
    <x v="273"/>
    <s v="4528.59"/>
    <x v="2"/>
    <x v="0"/>
  </r>
  <r>
    <n v="6439"/>
    <x v="511"/>
    <s v="Customer payment received"/>
    <x v="2545"/>
    <s v="0.0"/>
    <x v="0"/>
    <x v="0"/>
  </r>
  <r>
    <n v="6439"/>
    <x v="511"/>
    <s v="Customer payment received"/>
    <x v="273"/>
    <s v="1647.4"/>
    <x v="2"/>
    <x v="0"/>
  </r>
  <r>
    <n v="6440"/>
    <x v="511"/>
    <s v="Customer payment received"/>
    <x v="2605"/>
    <s v="0.0"/>
    <x v="0"/>
    <x v="0"/>
  </r>
  <r>
    <n v="6440"/>
    <x v="511"/>
    <s v="Customer payment received"/>
    <x v="273"/>
    <s v="1264.07"/>
    <x v="2"/>
    <x v="0"/>
  </r>
  <r>
    <n v="6441"/>
    <x v="511"/>
    <s v="Supplier invoice received"/>
    <x v="374"/>
    <s v="0.0"/>
    <x v="9"/>
    <x v="4"/>
  </r>
  <r>
    <n v="6441"/>
    <x v="511"/>
    <s v="Supplier invoice received"/>
    <x v="375"/>
    <s v="0.0"/>
    <x v="10"/>
    <x v="0"/>
  </r>
  <r>
    <n v="6441"/>
    <x v="511"/>
    <s v="Supplier invoice received"/>
    <x v="273"/>
    <s v="2504.23"/>
    <x v="11"/>
    <x v="3"/>
  </r>
  <r>
    <n v="6442"/>
    <x v="511"/>
    <s v="Supplier invoice received"/>
    <x v="307"/>
    <s v="0.0"/>
    <x v="9"/>
    <x v="4"/>
  </r>
  <r>
    <n v="6442"/>
    <x v="511"/>
    <s v="Supplier invoice received"/>
    <x v="308"/>
    <s v="0.0"/>
    <x v="10"/>
    <x v="0"/>
  </r>
  <r>
    <n v="6442"/>
    <x v="511"/>
    <s v="Supplier invoice received"/>
    <x v="273"/>
    <s v="2093.28"/>
    <x v="11"/>
    <x v="3"/>
  </r>
  <r>
    <n v="6443"/>
    <x v="511"/>
    <s v="Supplier invoice received"/>
    <x v="405"/>
    <s v="0.0"/>
    <x v="9"/>
    <x v="4"/>
  </r>
  <r>
    <n v="6443"/>
    <x v="511"/>
    <s v="Supplier invoice received"/>
    <x v="406"/>
    <s v="0.0"/>
    <x v="10"/>
    <x v="0"/>
  </r>
  <r>
    <n v="6443"/>
    <x v="511"/>
    <s v="Supplier invoice received"/>
    <x v="273"/>
    <s v="2635.36"/>
    <x v="11"/>
    <x v="3"/>
  </r>
  <r>
    <n v="6444"/>
    <x v="511"/>
    <s v="Supplier invoice received"/>
    <x v="303"/>
    <s v="0.0"/>
    <x v="9"/>
    <x v="4"/>
  </r>
  <r>
    <n v="6444"/>
    <x v="511"/>
    <s v="Supplier invoice received"/>
    <x v="304"/>
    <s v="0.0"/>
    <x v="10"/>
    <x v="0"/>
  </r>
  <r>
    <n v="6444"/>
    <x v="511"/>
    <s v="Supplier invoice received"/>
    <x v="273"/>
    <s v="550.4"/>
    <x v="11"/>
    <x v="3"/>
  </r>
  <r>
    <n v="6445"/>
    <x v="511"/>
    <s v="Supplier invoice received"/>
    <x v="366"/>
    <s v="0.0"/>
    <x v="9"/>
    <x v="4"/>
  </r>
  <r>
    <n v="6445"/>
    <x v="511"/>
    <s v="Supplier invoice received"/>
    <x v="367"/>
    <s v="0.0"/>
    <x v="10"/>
    <x v="0"/>
  </r>
  <r>
    <n v="6445"/>
    <x v="511"/>
    <s v="Supplier invoice received"/>
    <x v="273"/>
    <s v="201.5"/>
    <x v="11"/>
    <x v="3"/>
  </r>
  <r>
    <n v="6446"/>
    <x v="511"/>
    <s v="Supplier invoice received"/>
    <x v="338"/>
    <s v="0.0"/>
    <x v="9"/>
    <x v="4"/>
  </r>
  <r>
    <n v="6446"/>
    <x v="511"/>
    <s v="Supplier invoice received"/>
    <x v="339"/>
    <s v="0.0"/>
    <x v="10"/>
    <x v="0"/>
  </r>
  <r>
    <n v="6446"/>
    <x v="511"/>
    <s v="Supplier invoice received"/>
    <x v="273"/>
    <s v="1159.84"/>
    <x v="11"/>
    <x v="3"/>
  </r>
  <r>
    <n v="6447"/>
    <x v="511"/>
    <s v="Supplier invoice received"/>
    <x v="372"/>
    <s v="0.0"/>
    <x v="9"/>
    <x v="4"/>
  </r>
  <r>
    <n v="6447"/>
    <x v="511"/>
    <s v="Supplier invoice received"/>
    <x v="373"/>
    <s v="0.0"/>
    <x v="10"/>
    <x v="0"/>
  </r>
  <r>
    <n v="6447"/>
    <x v="511"/>
    <s v="Supplier invoice received"/>
    <x v="273"/>
    <s v="412.54"/>
    <x v="11"/>
    <x v="3"/>
  </r>
  <r>
    <n v="6448"/>
    <x v="511"/>
    <s v="Supplier invoice received"/>
    <x v="301"/>
    <s v="0.0"/>
    <x v="9"/>
    <x v="4"/>
  </r>
  <r>
    <n v="6448"/>
    <x v="511"/>
    <s v="Supplier invoice received"/>
    <x v="302"/>
    <s v="0.0"/>
    <x v="10"/>
    <x v="0"/>
  </r>
  <r>
    <n v="6448"/>
    <x v="511"/>
    <s v="Supplier invoice received"/>
    <x v="273"/>
    <s v="4812.46"/>
    <x v="11"/>
    <x v="3"/>
  </r>
  <r>
    <n v="6449"/>
    <x v="511"/>
    <s v="Supplier invoice received"/>
    <x v="299"/>
    <s v="0.0"/>
    <x v="9"/>
    <x v="4"/>
  </r>
  <r>
    <n v="6449"/>
    <x v="511"/>
    <s v="Supplier invoice received"/>
    <x v="300"/>
    <s v="0.0"/>
    <x v="10"/>
    <x v="0"/>
  </r>
  <r>
    <n v="6449"/>
    <x v="511"/>
    <s v="Supplier invoice received"/>
    <x v="273"/>
    <s v="2918.17"/>
    <x v="11"/>
    <x v="3"/>
  </r>
  <r>
    <n v="6450"/>
    <x v="511"/>
    <s v="Supplier invoice received"/>
    <x v="474"/>
    <s v="0.0"/>
    <x v="9"/>
    <x v="4"/>
  </r>
  <r>
    <n v="6450"/>
    <x v="511"/>
    <s v="Supplier invoice received"/>
    <x v="475"/>
    <s v="0.0"/>
    <x v="10"/>
    <x v="0"/>
  </r>
  <r>
    <n v="6450"/>
    <x v="511"/>
    <s v="Supplier invoice received"/>
    <x v="273"/>
    <s v="862.91"/>
    <x v="11"/>
    <x v="3"/>
  </r>
  <r>
    <n v="6451"/>
    <x v="511"/>
    <s v="Supplier invoice received"/>
    <x v="305"/>
    <s v="0.0"/>
    <x v="9"/>
    <x v="4"/>
  </r>
  <r>
    <n v="6451"/>
    <x v="511"/>
    <s v="Supplier invoice received"/>
    <x v="306"/>
    <s v="0.0"/>
    <x v="10"/>
    <x v="0"/>
  </r>
  <r>
    <n v="6451"/>
    <x v="511"/>
    <s v="Supplier invoice received"/>
    <x v="273"/>
    <s v="276.32"/>
    <x v="11"/>
    <x v="3"/>
  </r>
  <r>
    <n v="6452"/>
    <x v="511"/>
    <s v="Supplier payment made"/>
    <x v="327"/>
    <s v="0.0"/>
    <x v="11"/>
    <x v="3"/>
  </r>
  <r>
    <n v="6452"/>
    <x v="511"/>
    <s v="Supplier payment made"/>
    <x v="273"/>
    <s v="1935.04"/>
    <x v="0"/>
    <x v="0"/>
  </r>
  <r>
    <n v="6453"/>
    <x v="511"/>
    <s v="Supplier payment made"/>
    <x v="336"/>
    <s v="0.0"/>
    <x v="11"/>
    <x v="3"/>
  </r>
  <r>
    <n v="6453"/>
    <x v="511"/>
    <s v="Supplier payment made"/>
    <x v="273"/>
    <s v="2093.28"/>
    <x v="0"/>
    <x v="0"/>
  </r>
  <r>
    <n v="6454"/>
    <x v="511"/>
    <s v="Supplier payment made"/>
    <x v="335"/>
    <s v="0.0"/>
    <x v="11"/>
    <x v="3"/>
  </r>
  <r>
    <n v="6454"/>
    <x v="511"/>
    <s v="Supplier payment made"/>
    <x v="273"/>
    <s v="550.4"/>
    <x v="0"/>
    <x v="0"/>
  </r>
  <r>
    <n v="6455"/>
    <x v="511"/>
    <s v="Supplier payment made"/>
    <x v="309"/>
    <s v="0.0"/>
    <x v="11"/>
    <x v="3"/>
  </r>
  <r>
    <n v="6455"/>
    <x v="511"/>
    <s v="Supplier payment made"/>
    <x v="273"/>
    <s v="4812.46"/>
    <x v="0"/>
    <x v="0"/>
  </r>
  <r>
    <n v="6456"/>
    <x v="511"/>
    <s v="Supplier payment made"/>
    <x v="310"/>
    <s v="0.0"/>
    <x v="11"/>
    <x v="3"/>
  </r>
  <r>
    <n v="6456"/>
    <x v="511"/>
    <s v="Supplier payment made"/>
    <x v="273"/>
    <s v="276.32"/>
    <x v="0"/>
    <x v="0"/>
  </r>
  <r>
    <n v="6457"/>
    <x v="512"/>
    <s v="Sales invoice issued"/>
    <x v="2608"/>
    <s v="0.0"/>
    <x v="2"/>
    <x v="0"/>
  </r>
  <r>
    <n v="6457"/>
    <x v="512"/>
    <s v="Sales invoice issued"/>
    <x v="273"/>
    <s v="179.28"/>
    <x v="3"/>
    <x v="2"/>
  </r>
  <r>
    <n v="6457"/>
    <x v="512"/>
    <s v="Sales invoice issued"/>
    <x v="273"/>
    <s v="13.45"/>
    <x v="4"/>
    <x v="3"/>
  </r>
  <r>
    <n v="6458"/>
    <x v="512"/>
    <s v="Sales invoice issued"/>
    <x v="2609"/>
    <s v="0.0"/>
    <x v="2"/>
    <x v="0"/>
  </r>
  <r>
    <n v="6458"/>
    <x v="512"/>
    <s v="Sales invoice issued"/>
    <x v="273"/>
    <s v="343.74"/>
    <x v="3"/>
    <x v="2"/>
  </r>
  <r>
    <n v="6458"/>
    <x v="512"/>
    <s v="Sales invoice issued"/>
    <x v="273"/>
    <s v="25.78"/>
    <x v="4"/>
    <x v="3"/>
  </r>
  <r>
    <n v="6459"/>
    <x v="512"/>
    <s v="Sales invoice issued"/>
    <x v="2610"/>
    <s v="0.0"/>
    <x v="2"/>
    <x v="0"/>
  </r>
  <r>
    <n v="6459"/>
    <x v="512"/>
    <s v="Sales invoice issued"/>
    <x v="273"/>
    <s v="834.32"/>
    <x v="3"/>
    <x v="2"/>
  </r>
  <r>
    <n v="6459"/>
    <x v="512"/>
    <s v="Sales invoice issued"/>
    <x v="273"/>
    <s v="62.58"/>
    <x v="4"/>
    <x v="3"/>
  </r>
  <r>
    <n v="6460"/>
    <x v="512"/>
    <s v="Sales invoice issued"/>
    <x v="2611"/>
    <s v="0.0"/>
    <x v="2"/>
    <x v="0"/>
  </r>
  <r>
    <n v="6460"/>
    <x v="512"/>
    <s v="Sales invoice issued"/>
    <x v="273"/>
    <s v="1827.09"/>
    <x v="3"/>
    <x v="2"/>
  </r>
  <r>
    <n v="6460"/>
    <x v="512"/>
    <s v="Sales invoice issued"/>
    <x v="273"/>
    <s v="137.03"/>
    <x v="4"/>
    <x v="3"/>
  </r>
  <r>
    <n v="6461"/>
    <x v="512"/>
    <s v="Sales invoice issued"/>
    <x v="2612"/>
    <s v="0.0"/>
    <x v="2"/>
    <x v="0"/>
  </r>
  <r>
    <n v="6461"/>
    <x v="512"/>
    <s v="Sales invoice issued"/>
    <x v="273"/>
    <s v="547.61"/>
    <x v="3"/>
    <x v="2"/>
  </r>
  <r>
    <n v="6461"/>
    <x v="512"/>
    <s v="Sales invoice issued"/>
    <x v="273"/>
    <s v="41.07"/>
    <x v="4"/>
    <x v="3"/>
  </r>
  <r>
    <n v="6462"/>
    <x v="512"/>
    <s v="Sales invoice issued"/>
    <x v="2613"/>
    <s v="0.0"/>
    <x v="2"/>
    <x v="0"/>
  </r>
  <r>
    <n v="6462"/>
    <x v="512"/>
    <s v="Sales invoice issued"/>
    <x v="273"/>
    <s v="953.08"/>
    <x v="3"/>
    <x v="2"/>
  </r>
  <r>
    <n v="6462"/>
    <x v="512"/>
    <s v="Sales invoice issued"/>
    <x v="273"/>
    <s v="71.48"/>
    <x v="4"/>
    <x v="3"/>
  </r>
  <r>
    <n v="6463"/>
    <x v="512"/>
    <s v="Sales invoice issued"/>
    <x v="907"/>
    <s v="0.0"/>
    <x v="2"/>
    <x v="0"/>
  </r>
  <r>
    <n v="6463"/>
    <x v="512"/>
    <s v="Sales invoice issued"/>
    <x v="273"/>
    <s v="865.65"/>
    <x v="3"/>
    <x v="2"/>
  </r>
  <r>
    <n v="6463"/>
    <x v="512"/>
    <s v="Sales invoice issued"/>
    <x v="273"/>
    <s v="64.92"/>
    <x v="4"/>
    <x v="3"/>
  </r>
  <r>
    <n v="6464"/>
    <x v="512"/>
    <s v="Sales invoice issued"/>
    <x v="2614"/>
    <s v="0.0"/>
    <x v="2"/>
    <x v="0"/>
  </r>
  <r>
    <n v="6464"/>
    <x v="512"/>
    <s v="Sales invoice issued"/>
    <x v="273"/>
    <s v="94.35"/>
    <x v="3"/>
    <x v="2"/>
  </r>
  <r>
    <n v="6464"/>
    <x v="512"/>
    <s v="Sales invoice issued"/>
    <x v="273"/>
    <s v="7.08"/>
    <x v="4"/>
    <x v="3"/>
  </r>
  <r>
    <n v="6465"/>
    <x v="512"/>
    <s v="Sales invoice issued"/>
    <x v="2615"/>
    <s v="0.0"/>
    <x v="2"/>
    <x v="0"/>
  </r>
  <r>
    <n v="6465"/>
    <x v="512"/>
    <s v="Sales invoice issued"/>
    <x v="273"/>
    <s v="3495.67"/>
    <x v="3"/>
    <x v="2"/>
  </r>
  <r>
    <n v="6465"/>
    <x v="512"/>
    <s v="Sales invoice issued"/>
    <x v="273"/>
    <s v="262.17"/>
    <x v="4"/>
    <x v="3"/>
  </r>
  <r>
    <n v="6466"/>
    <x v="512"/>
    <s v="Sales invoice issued"/>
    <x v="2616"/>
    <s v="0.0"/>
    <x v="2"/>
    <x v="0"/>
  </r>
  <r>
    <n v="6466"/>
    <x v="512"/>
    <s v="Sales invoice issued"/>
    <x v="273"/>
    <s v="2141.46"/>
    <x v="3"/>
    <x v="2"/>
  </r>
  <r>
    <n v="6466"/>
    <x v="512"/>
    <s v="Sales invoice issued"/>
    <x v="273"/>
    <s v="160.61"/>
    <x v="4"/>
    <x v="3"/>
  </r>
  <r>
    <n v="6467"/>
    <x v="512"/>
    <s v="Sales invoice issued"/>
    <x v="2617"/>
    <s v="0.0"/>
    <x v="2"/>
    <x v="0"/>
  </r>
  <r>
    <n v="6467"/>
    <x v="512"/>
    <s v="Sales invoice issued"/>
    <x v="273"/>
    <s v="3573.33"/>
    <x v="3"/>
    <x v="2"/>
  </r>
  <r>
    <n v="6467"/>
    <x v="512"/>
    <s v="Sales invoice issued"/>
    <x v="273"/>
    <s v="268.0"/>
    <x v="4"/>
    <x v="3"/>
  </r>
  <r>
    <n v="6468"/>
    <x v="512"/>
    <s v="Sales invoice issued"/>
    <x v="2618"/>
    <s v="0.0"/>
    <x v="2"/>
    <x v="0"/>
  </r>
  <r>
    <n v="6468"/>
    <x v="512"/>
    <s v="Sales invoice issued"/>
    <x v="273"/>
    <s v="496.61"/>
    <x v="3"/>
    <x v="2"/>
  </r>
  <r>
    <n v="6468"/>
    <x v="512"/>
    <s v="Sales invoice issued"/>
    <x v="273"/>
    <s v="37.25"/>
    <x v="4"/>
    <x v="3"/>
  </r>
  <r>
    <n v="6469"/>
    <x v="512"/>
    <s v="Sales invoice issued"/>
    <x v="2619"/>
    <s v="0.0"/>
    <x v="2"/>
    <x v="0"/>
  </r>
  <r>
    <n v="6469"/>
    <x v="512"/>
    <s v="Sales invoice issued"/>
    <x v="273"/>
    <s v="5519.14"/>
    <x v="3"/>
    <x v="2"/>
  </r>
  <r>
    <n v="6469"/>
    <x v="512"/>
    <s v="Sales invoice issued"/>
    <x v="273"/>
    <s v="413.94"/>
    <x v="4"/>
    <x v="3"/>
  </r>
  <r>
    <n v="6470"/>
    <x v="512"/>
    <s v="Sales invoice issued"/>
    <x v="2620"/>
    <s v="0.0"/>
    <x v="2"/>
    <x v="0"/>
  </r>
  <r>
    <n v="6470"/>
    <x v="512"/>
    <s v="Sales invoice issued"/>
    <x v="273"/>
    <s v="5512.27"/>
    <x v="3"/>
    <x v="2"/>
  </r>
  <r>
    <n v="6470"/>
    <x v="512"/>
    <s v="Sales invoice issued"/>
    <x v="273"/>
    <s v="413.41"/>
    <x v="4"/>
    <x v="3"/>
  </r>
  <r>
    <n v="6471"/>
    <x v="512"/>
    <s v="Sales invoice issued"/>
    <x v="2621"/>
    <s v="0.0"/>
    <x v="2"/>
    <x v="0"/>
  </r>
  <r>
    <n v="6471"/>
    <x v="512"/>
    <s v="Sales invoice issued"/>
    <x v="273"/>
    <s v="3797.6"/>
    <x v="3"/>
    <x v="2"/>
  </r>
  <r>
    <n v="6471"/>
    <x v="512"/>
    <s v="Sales invoice issued"/>
    <x v="273"/>
    <s v="284.82"/>
    <x v="4"/>
    <x v="3"/>
  </r>
  <r>
    <n v="6472"/>
    <x v="512"/>
    <s v="Sales invoice issued"/>
    <x v="2622"/>
    <s v="0.0"/>
    <x v="2"/>
    <x v="0"/>
  </r>
  <r>
    <n v="6472"/>
    <x v="512"/>
    <s v="Sales invoice issued"/>
    <x v="273"/>
    <s v="141.04"/>
    <x v="3"/>
    <x v="2"/>
  </r>
  <r>
    <n v="6472"/>
    <x v="512"/>
    <s v="Sales invoice issued"/>
    <x v="273"/>
    <s v="10.58"/>
    <x v="4"/>
    <x v="3"/>
  </r>
  <r>
    <n v="6473"/>
    <x v="512"/>
    <s v="Customer payment received"/>
    <x v="2261"/>
    <s v="0.0"/>
    <x v="0"/>
    <x v="0"/>
  </r>
  <r>
    <n v="6473"/>
    <x v="512"/>
    <s v="Customer payment received"/>
    <x v="273"/>
    <s v="4707.26"/>
    <x v="2"/>
    <x v="0"/>
  </r>
  <r>
    <n v="6474"/>
    <x v="512"/>
    <s v="Customer payment received"/>
    <x v="2272"/>
    <s v="0.0"/>
    <x v="0"/>
    <x v="0"/>
  </r>
  <r>
    <n v="6474"/>
    <x v="512"/>
    <s v="Customer payment received"/>
    <x v="273"/>
    <s v="885.37"/>
    <x v="2"/>
    <x v="0"/>
  </r>
  <r>
    <n v="6475"/>
    <x v="512"/>
    <s v="Customer payment received"/>
    <x v="2378"/>
    <s v="0.0"/>
    <x v="0"/>
    <x v="0"/>
  </r>
  <r>
    <n v="6475"/>
    <x v="512"/>
    <s v="Customer payment received"/>
    <x v="273"/>
    <s v="2163.21"/>
    <x v="2"/>
    <x v="0"/>
  </r>
  <r>
    <n v="6476"/>
    <x v="512"/>
    <s v="Customer payment received"/>
    <x v="2418"/>
    <s v="0.0"/>
    <x v="0"/>
    <x v="0"/>
  </r>
  <r>
    <n v="6476"/>
    <x v="512"/>
    <s v="Customer payment received"/>
    <x v="273"/>
    <s v="876.23"/>
    <x v="2"/>
    <x v="0"/>
  </r>
  <r>
    <n v="6477"/>
    <x v="512"/>
    <s v="Customer payment received"/>
    <x v="2562"/>
    <s v="0.0"/>
    <x v="0"/>
    <x v="0"/>
  </r>
  <r>
    <n v="6477"/>
    <x v="512"/>
    <s v="Customer payment received"/>
    <x v="273"/>
    <s v="1502.23"/>
    <x v="2"/>
    <x v="0"/>
  </r>
  <r>
    <n v="6478"/>
    <x v="512"/>
    <s v="Customer payment received"/>
    <x v="2565"/>
    <s v="0.0"/>
    <x v="0"/>
    <x v="0"/>
  </r>
  <r>
    <n v="6478"/>
    <x v="512"/>
    <s v="Customer payment received"/>
    <x v="273"/>
    <s v="2006.31"/>
    <x v="2"/>
    <x v="0"/>
  </r>
  <r>
    <n v="6479"/>
    <x v="512"/>
    <s v="Customer payment received"/>
    <x v="2571"/>
    <s v="0.0"/>
    <x v="0"/>
    <x v="0"/>
  </r>
  <r>
    <n v="6479"/>
    <x v="512"/>
    <s v="Customer payment received"/>
    <x v="273"/>
    <s v="1215.12"/>
    <x v="2"/>
    <x v="0"/>
  </r>
  <r>
    <n v="6480"/>
    <x v="512"/>
    <s v="Customer payment received"/>
    <x v="2603"/>
    <s v="0.0"/>
    <x v="0"/>
    <x v="0"/>
  </r>
  <r>
    <n v="6480"/>
    <x v="512"/>
    <s v="Customer payment received"/>
    <x v="273"/>
    <s v="1607.6"/>
    <x v="2"/>
    <x v="0"/>
  </r>
  <r>
    <n v="6481"/>
    <x v="512"/>
    <s v="Customer payment received"/>
    <x v="2611"/>
    <s v="0.0"/>
    <x v="0"/>
    <x v="0"/>
  </r>
  <r>
    <n v="6481"/>
    <x v="512"/>
    <s v="Customer payment received"/>
    <x v="273"/>
    <s v="1964.12"/>
    <x v="2"/>
    <x v="0"/>
  </r>
  <r>
    <n v="6482"/>
    <x v="512"/>
    <s v="Supplier invoice received"/>
    <x v="441"/>
    <s v="0.0"/>
    <x v="9"/>
    <x v="4"/>
  </r>
  <r>
    <n v="6482"/>
    <x v="512"/>
    <s v="Supplier invoice received"/>
    <x v="442"/>
    <s v="0.0"/>
    <x v="10"/>
    <x v="0"/>
  </r>
  <r>
    <n v="6482"/>
    <x v="512"/>
    <s v="Supplier invoice received"/>
    <x v="273"/>
    <s v="179.01"/>
    <x v="11"/>
    <x v="3"/>
  </r>
  <r>
    <n v="6483"/>
    <x v="512"/>
    <s v="Supplier payment made"/>
    <x v="318"/>
    <s v="0.0"/>
    <x v="11"/>
    <x v="3"/>
  </r>
  <r>
    <n v="6483"/>
    <x v="512"/>
    <s v="Supplier payment made"/>
    <x v="273"/>
    <s v="2504.23"/>
    <x v="0"/>
    <x v="0"/>
  </r>
  <r>
    <n v="6484"/>
    <x v="512"/>
    <s v="Supplier payment made"/>
    <x v="340"/>
    <s v="0.0"/>
    <x v="11"/>
    <x v="3"/>
  </r>
  <r>
    <n v="6484"/>
    <x v="512"/>
    <s v="Supplier payment made"/>
    <x v="273"/>
    <s v="1304.62"/>
    <x v="0"/>
    <x v="0"/>
  </r>
  <r>
    <n v="6485"/>
    <x v="512"/>
    <s v="Supplier payment made"/>
    <x v="515"/>
    <s v="0.0"/>
    <x v="11"/>
    <x v="3"/>
  </r>
  <r>
    <n v="6485"/>
    <x v="512"/>
    <s v="Supplier payment made"/>
    <x v="273"/>
    <s v="862.91"/>
    <x v="0"/>
    <x v="0"/>
  </r>
  <r>
    <n v="6486"/>
    <x v="513"/>
    <s v="Sales invoice issued"/>
    <x v="2623"/>
    <s v="0.0"/>
    <x v="2"/>
    <x v="0"/>
  </r>
  <r>
    <n v="6486"/>
    <x v="513"/>
    <s v="Sales invoice issued"/>
    <x v="273"/>
    <s v="5106.77"/>
    <x v="3"/>
    <x v="2"/>
  </r>
  <r>
    <n v="6486"/>
    <x v="513"/>
    <s v="Sales invoice issued"/>
    <x v="273"/>
    <s v="383.01"/>
    <x v="4"/>
    <x v="3"/>
  </r>
  <r>
    <n v="6487"/>
    <x v="513"/>
    <s v="Sales invoice issued"/>
    <x v="2624"/>
    <s v="0.0"/>
    <x v="2"/>
    <x v="0"/>
  </r>
  <r>
    <n v="6487"/>
    <x v="513"/>
    <s v="Sales invoice issued"/>
    <x v="273"/>
    <s v="3032.96"/>
    <x v="3"/>
    <x v="2"/>
  </r>
  <r>
    <n v="6487"/>
    <x v="513"/>
    <s v="Sales invoice issued"/>
    <x v="273"/>
    <s v="227.47"/>
    <x v="4"/>
    <x v="3"/>
  </r>
  <r>
    <n v="6488"/>
    <x v="513"/>
    <s v="Sales invoice issued"/>
    <x v="2625"/>
    <s v="0.0"/>
    <x v="2"/>
    <x v="0"/>
  </r>
  <r>
    <n v="6488"/>
    <x v="513"/>
    <s v="Sales invoice issued"/>
    <x v="273"/>
    <s v="1330.46"/>
    <x v="3"/>
    <x v="2"/>
  </r>
  <r>
    <n v="6488"/>
    <x v="513"/>
    <s v="Sales invoice issued"/>
    <x v="273"/>
    <s v="99.78"/>
    <x v="4"/>
    <x v="3"/>
  </r>
  <r>
    <n v="6489"/>
    <x v="513"/>
    <s v="Sales invoice issued"/>
    <x v="2626"/>
    <s v="0.0"/>
    <x v="2"/>
    <x v="0"/>
  </r>
  <r>
    <n v="6489"/>
    <x v="513"/>
    <s v="Sales invoice issued"/>
    <x v="273"/>
    <s v="1688.07"/>
    <x v="3"/>
    <x v="2"/>
  </r>
  <r>
    <n v="6489"/>
    <x v="513"/>
    <s v="Sales invoice issued"/>
    <x v="273"/>
    <s v="126.6"/>
    <x v="4"/>
    <x v="3"/>
  </r>
  <r>
    <n v="6490"/>
    <x v="513"/>
    <s v="Sales invoice issued"/>
    <x v="2627"/>
    <s v="0.0"/>
    <x v="2"/>
    <x v="0"/>
  </r>
  <r>
    <n v="6490"/>
    <x v="513"/>
    <s v="Sales invoice issued"/>
    <x v="273"/>
    <s v="4411.68"/>
    <x v="3"/>
    <x v="2"/>
  </r>
  <r>
    <n v="6490"/>
    <x v="513"/>
    <s v="Sales invoice issued"/>
    <x v="273"/>
    <s v="330.87"/>
    <x v="4"/>
    <x v="3"/>
  </r>
  <r>
    <n v="6491"/>
    <x v="513"/>
    <s v="Sales invoice issued"/>
    <x v="2628"/>
    <s v="0.0"/>
    <x v="2"/>
    <x v="0"/>
  </r>
  <r>
    <n v="6491"/>
    <x v="513"/>
    <s v="Sales invoice issued"/>
    <x v="273"/>
    <s v="1630.31"/>
    <x v="3"/>
    <x v="2"/>
  </r>
  <r>
    <n v="6491"/>
    <x v="513"/>
    <s v="Sales invoice issued"/>
    <x v="273"/>
    <s v="122.27"/>
    <x v="4"/>
    <x v="3"/>
  </r>
  <r>
    <n v="6492"/>
    <x v="513"/>
    <s v="Sales invoice issued"/>
    <x v="2629"/>
    <s v="0.0"/>
    <x v="2"/>
    <x v="0"/>
  </r>
  <r>
    <n v="6492"/>
    <x v="513"/>
    <s v="Sales invoice issued"/>
    <x v="273"/>
    <s v="4239.12"/>
    <x v="3"/>
    <x v="2"/>
  </r>
  <r>
    <n v="6492"/>
    <x v="513"/>
    <s v="Sales invoice issued"/>
    <x v="273"/>
    <s v="317.94"/>
    <x v="4"/>
    <x v="3"/>
  </r>
  <r>
    <n v="6493"/>
    <x v="513"/>
    <s v="Sales invoice issued"/>
    <x v="1881"/>
    <s v="0.0"/>
    <x v="2"/>
    <x v="0"/>
  </r>
  <r>
    <n v="6493"/>
    <x v="513"/>
    <s v="Sales invoice issued"/>
    <x v="273"/>
    <s v="894.72"/>
    <x v="3"/>
    <x v="2"/>
  </r>
  <r>
    <n v="6493"/>
    <x v="513"/>
    <s v="Sales invoice issued"/>
    <x v="273"/>
    <s v="67.1"/>
    <x v="4"/>
    <x v="3"/>
  </r>
  <r>
    <n v="6494"/>
    <x v="513"/>
    <s v="Sales invoice issued"/>
    <x v="2630"/>
    <s v="0.0"/>
    <x v="2"/>
    <x v="0"/>
  </r>
  <r>
    <n v="6494"/>
    <x v="513"/>
    <s v="Sales invoice issued"/>
    <x v="273"/>
    <s v="1558.17"/>
    <x v="3"/>
    <x v="2"/>
  </r>
  <r>
    <n v="6494"/>
    <x v="513"/>
    <s v="Sales invoice issued"/>
    <x v="273"/>
    <s v="116.86"/>
    <x v="4"/>
    <x v="3"/>
  </r>
  <r>
    <n v="6495"/>
    <x v="513"/>
    <s v="Sales invoice issued"/>
    <x v="2631"/>
    <s v="0.0"/>
    <x v="2"/>
    <x v="0"/>
  </r>
  <r>
    <n v="6495"/>
    <x v="513"/>
    <s v="Sales invoice issued"/>
    <x v="273"/>
    <s v="1802.62"/>
    <x v="3"/>
    <x v="2"/>
  </r>
  <r>
    <n v="6495"/>
    <x v="513"/>
    <s v="Sales invoice issued"/>
    <x v="273"/>
    <s v="135.2"/>
    <x v="4"/>
    <x v="3"/>
  </r>
  <r>
    <n v="6496"/>
    <x v="513"/>
    <s v="Sales invoice issued"/>
    <x v="2632"/>
    <s v="0.0"/>
    <x v="2"/>
    <x v="0"/>
  </r>
  <r>
    <n v="6496"/>
    <x v="513"/>
    <s v="Sales invoice issued"/>
    <x v="273"/>
    <s v="1638.66"/>
    <x v="3"/>
    <x v="2"/>
  </r>
  <r>
    <n v="6496"/>
    <x v="513"/>
    <s v="Sales invoice issued"/>
    <x v="273"/>
    <s v="122.9"/>
    <x v="4"/>
    <x v="3"/>
  </r>
  <r>
    <n v="6497"/>
    <x v="513"/>
    <s v="Sales invoice issued"/>
    <x v="2633"/>
    <s v="0.0"/>
    <x v="2"/>
    <x v="0"/>
  </r>
  <r>
    <n v="6497"/>
    <x v="513"/>
    <s v="Sales invoice issued"/>
    <x v="273"/>
    <s v="5980.78"/>
    <x v="3"/>
    <x v="2"/>
  </r>
  <r>
    <n v="6497"/>
    <x v="513"/>
    <s v="Sales invoice issued"/>
    <x v="273"/>
    <s v="448.55"/>
    <x v="4"/>
    <x v="3"/>
  </r>
  <r>
    <n v="6498"/>
    <x v="513"/>
    <s v="Sales invoice issued"/>
    <x v="2634"/>
    <s v="0.0"/>
    <x v="2"/>
    <x v="0"/>
  </r>
  <r>
    <n v="6498"/>
    <x v="513"/>
    <s v="Sales invoice issued"/>
    <x v="273"/>
    <s v="3139.44"/>
    <x v="3"/>
    <x v="2"/>
  </r>
  <r>
    <n v="6498"/>
    <x v="513"/>
    <s v="Sales invoice issued"/>
    <x v="273"/>
    <s v="235.45"/>
    <x v="4"/>
    <x v="3"/>
  </r>
  <r>
    <n v="6499"/>
    <x v="513"/>
    <s v="Customer payment received"/>
    <x v="2236"/>
    <s v="0.0"/>
    <x v="0"/>
    <x v="0"/>
  </r>
  <r>
    <n v="6499"/>
    <x v="513"/>
    <s v="Customer payment received"/>
    <x v="273"/>
    <s v="1626.7"/>
    <x v="2"/>
    <x v="0"/>
  </r>
  <r>
    <n v="6500"/>
    <x v="513"/>
    <s v="Customer payment received"/>
    <x v="2375"/>
    <s v="0.0"/>
    <x v="0"/>
    <x v="0"/>
  </r>
  <r>
    <n v="6500"/>
    <x v="513"/>
    <s v="Customer payment received"/>
    <x v="273"/>
    <s v="2736.74"/>
    <x v="2"/>
    <x v="0"/>
  </r>
  <r>
    <n v="6501"/>
    <x v="513"/>
    <s v="Customer payment received"/>
    <x v="2400"/>
    <s v="0.0"/>
    <x v="0"/>
    <x v="0"/>
  </r>
  <r>
    <n v="6501"/>
    <x v="513"/>
    <s v="Customer payment received"/>
    <x v="273"/>
    <s v="394.96"/>
    <x v="2"/>
    <x v="0"/>
  </r>
  <r>
    <n v="6502"/>
    <x v="513"/>
    <s v="Customer payment received"/>
    <x v="2410"/>
    <s v="0.0"/>
    <x v="0"/>
    <x v="0"/>
  </r>
  <r>
    <n v="6502"/>
    <x v="513"/>
    <s v="Customer payment received"/>
    <x v="273"/>
    <s v="3767.22"/>
    <x v="2"/>
    <x v="0"/>
  </r>
  <r>
    <n v="6503"/>
    <x v="513"/>
    <s v="Customer payment received"/>
    <x v="2420"/>
    <s v="0.0"/>
    <x v="0"/>
    <x v="0"/>
  </r>
  <r>
    <n v="6503"/>
    <x v="513"/>
    <s v="Customer payment received"/>
    <x v="273"/>
    <s v="559.48"/>
    <x v="2"/>
    <x v="0"/>
  </r>
  <r>
    <n v="6504"/>
    <x v="513"/>
    <s v="Customer payment received"/>
    <x v="2518"/>
    <s v="0.0"/>
    <x v="0"/>
    <x v="0"/>
  </r>
  <r>
    <n v="6504"/>
    <x v="513"/>
    <s v="Customer payment received"/>
    <x v="273"/>
    <s v="1660.95"/>
    <x v="2"/>
    <x v="0"/>
  </r>
  <r>
    <n v="6505"/>
    <x v="513"/>
    <s v="Customer payment received"/>
    <x v="2522"/>
    <s v="0.0"/>
    <x v="0"/>
    <x v="0"/>
  </r>
  <r>
    <n v="6505"/>
    <x v="513"/>
    <s v="Customer payment received"/>
    <x v="273"/>
    <s v="1048.4"/>
    <x v="2"/>
    <x v="0"/>
  </r>
  <r>
    <n v="6506"/>
    <x v="513"/>
    <s v="Customer payment received"/>
    <x v="2526"/>
    <s v="0.0"/>
    <x v="0"/>
    <x v="0"/>
  </r>
  <r>
    <n v="6506"/>
    <x v="513"/>
    <s v="Customer payment received"/>
    <x v="273"/>
    <s v="1061.67"/>
    <x v="2"/>
    <x v="0"/>
  </r>
  <r>
    <n v="6507"/>
    <x v="513"/>
    <s v="Customer payment received"/>
    <x v="2556"/>
    <s v="0.0"/>
    <x v="0"/>
    <x v="0"/>
  </r>
  <r>
    <n v="6507"/>
    <x v="513"/>
    <s v="Customer payment received"/>
    <x v="273"/>
    <s v="1010.69"/>
    <x v="2"/>
    <x v="0"/>
  </r>
  <r>
    <n v="6508"/>
    <x v="513"/>
    <s v="Supplier invoice received"/>
    <x v="284"/>
    <s v="0.0"/>
    <x v="9"/>
    <x v="4"/>
  </r>
  <r>
    <n v="6508"/>
    <x v="513"/>
    <s v="Supplier invoice received"/>
    <x v="285"/>
    <s v="0.0"/>
    <x v="10"/>
    <x v="0"/>
  </r>
  <r>
    <n v="6508"/>
    <x v="513"/>
    <s v="Supplier invoice received"/>
    <x v="273"/>
    <s v="9336.67"/>
    <x v="11"/>
    <x v="3"/>
  </r>
  <r>
    <n v="6509"/>
    <x v="513"/>
    <s v="Supplier invoice received"/>
    <x v="357"/>
    <s v="0.0"/>
    <x v="9"/>
    <x v="4"/>
  </r>
  <r>
    <n v="6509"/>
    <x v="513"/>
    <s v="Supplier invoice received"/>
    <x v="358"/>
    <s v="0.0"/>
    <x v="10"/>
    <x v="0"/>
  </r>
  <r>
    <n v="6509"/>
    <x v="513"/>
    <s v="Supplier invoice received"/>
    <x v="273"/>
    <s v="1958.74"/>
    <x v="11"/>
    <x v="3"/>
  </r>
  <r>
    <n v="6510"/>
    <x v="513"/>
    <s v="Supplier payment made"/>
    <x v="351"/>
    <s v="0.0"/>
    <x v="11"/>
    <x v="3"/>
  </r>
  <r>
    <n v="6510"/>
    <x v="513"/>
    <s v="Supplier payment made"/>
    <x v="273"/>
    <s v="179.01"/>
    <x v="0"/>
    <x v="0"/>
  </r>
  <r>
    <n v="6511"/>
    <x v="513"/>
    <s v="Supplier payment made"/>
    <x v="350"/>
    <s v="0.0"/>
    <x v="11"/>
    <x v="3"/>
  </r>
  <r>
    <n v="6511"/>
    <x v="513"/>
    <s v="Supplier payment made"/>
    <x v="273"/>
    <s v="1794.11"/>
    <x v="0"/>
    <x v="0"/>
  </r>
  <r>
    <n v="6512"/>
    <x v="513"/>
    <s v="Supplier payment made"/>
    <x v="408"/>
    <s v="0.0"/>
    <x v="11"/>
    <x v="3"/>
  </r>
  <r>
    <n v="6512"/>
    <x v="513"/>
    <s v="Supplier payment made"/>
    <x v="273"/>
    <s v="3868.8"/>
    <x v="0"/>
    <x v="0"/>
  </r>
  <r>
    <n v="6513"/>
    <x v="514"/>
    <s v="Payroll processed"/>
    <x v="2258"/>
    <s v="0.0"/>
    <x v="5"/>
    <x v="4"/>
  </r>
  <r>
    <n v="6513"/>
    <x v="514"/>
    <s v="Payroll processed"/>
    <x v="2259"/>
    <s v="0.0"/>
    <x v="6"/>
    <x v="4"/>
  </r>
  <r>
    <n v="6513"/>
    <x v="514"/>
    <s v="Payroll processed"/>
    <x v="273"/>
    <s v="18071.6"/>
    <x v="0"/>
    <x v="0"/>
  </r>
  <r>
    <n v="6513"/>
    <x v="514"/>
    <s v="Payroll processed"/>
    <x v="273"/>
    <s v="4352.58"/>
    <x v="7"/>
    <x v="3"/>
  </r>
  <r>
    <n v="6513"/>
    <x v="514"/>
    <s v="Payroll processed"/>
    <x v="273"/>
    <s v="896.97"/>
    <x v="8"/>
    <x v="3"/>
  </r>
  <r>
    <n v="6514"/>
    <x v="514"/>
    <s v="Sales invoice issued"/>
    <x v="2635"/>
    <s v="0.0"/>
    <x v="2"/>
    <x v="0"/>
  </r>
  <r>
    <n v="6514"/>
    <x v="514"/>
    <s v="Sales invoice issued"/>
    <x v="273"/>
    <s v="2556.48"/>
    <x v="3"/>
    <x v="2"/>
  </r>
  <r>
    <n v="6514"/>
    <x v="514"/>
    <s v="Sales invoice issued"/>
    <x v="273"/>
    <s v="191.75"/>
    <x v="4"/>
    <x v="3"/>
  </r>
  <r>
    <n v="6515"/>
    <x v="514"/>
    <s v="Sales invoice issued"/>
    <x v="2636"/>
    <s v="0.0"/>
    <x v="2"/>
    <x v="0"/>
  </r>
  <r>
    <n v="6515"/>
    <x v="514"/>
    <s v="Sales invoice issued"/>
    <x v="273"/>
    <s v="1189.42"/>
    <x v="3"/>
    <x v="2"/>
  </r>
  <r>
    <n v="6515"/>
    <x v="514"/>
    <s v="Sales invoice issued"/>
    <x v="273"/>
    <s v="89.21"/>
    <x v="4"/>
    <x v="3"/>
  </r>
  <r>
    <n v="6516"/>
    <x v="514"/>
    <s v="Sales invoice issued"/>
    <x v="2637"/>
    <s v="0.0"/>
    <x v="2"/>
    <x v="0"/>
  </r>
  <r>
    <n v="6516"/>
    <x v="514"/>
    <s v="Sales invoice issued"/>
    <x v="273"/>
    <s v="1934.05"/>
    <x v="3"/>
    <x v="2"/>
  </r>
  <r>
    <n v="6516"/>
    <x v="514"/>
    <s v="Sales invoice issued"/>
    <x v="273"/>
    <s v="145.05"/>
    <x v="4"/>
    <x v="3"/>
  </r>
  <r>
    <n v="6517"/>
    <x v="514"/>
    <s v="Sales invoice issued"/>
    <x v="2638"/>
    <s v="0.0"/>
    <x v="2"/>
    <x v="0"/>
  </r>
  <r>
    <n v="6517"/>
    <x v="514"/>
    <s v="Sales invoice issued"/>
    <x v="273"/>
    <s v="3206.39"/>
    <x v="3"/>
    <x v="2"/>
  </r>
  <r>
    <n v="6517"/>
    <x v="514"/>
    <s v="Sales invoice issued"/>
    <x v="273"/>
    <s v="240.48"/>
    <x v="4"/>
    <x v="3"/>
  </r>
  <r>
    <n v="6518"/>
    <x v="514"/>
    <s v="Sales invoice issued"/>
    <x v="2639"/>
    <s v="0.0"/>
    <x v="2"/>
    <x v="0"/>
  </r>
  <r>
    <n v="6518"/>
    <x v="514"/>
    <s v="Sales invoice issued"/>
    <x v="273"/>
    <s v="1548.31"/>
    <x v="3"/>
    <x v="2"/>
  </r>
  <r>
    <n v="6518"/>
    <x v="514"/>
    <s v="Sales invoice issued"/>
    <x v="273"/>
    <s v="116.12"/>
    <x v="4"/>
    <x v="3"/>
  </r>
  <r>
    <n v="6519"/>
    <x v="514"/>
    <s v="Sales invoice issued"/>
    <x v="2640"/>
    <s v="0.0"/>
    <x v="2"/>
    <x v="0"/>
  </r>
  <r>
    <n v="6519"/>
    <x v="514"/>
    <s v="Sales invoice issued"/>
    <x v="273"/>
    <s v="649.83"/>
    <x v="3"/>
    <x v="2"/>
  </r>
  <r>
    <n v="6519"/>
    <x v="514"/>
    <s v="Sales invoice issued"/>
    <x v="273"/>
    <s v="48.74"/>
    <x v="4"/>
    <x v="3"/>
  </r>
  <r>
    <n v="6520"/>
    <x v="514"/>
    <s v="Sales invoice issued"/>
    <x v="2641"/>
    <s v="0.0"/>
    <x v="2"/>
    <x v="0"/>
  </r>
  <r>
    <n v="6520"/>
    <x v="514"/>
    <s v="Sales invoice issued"/>
    <x v="273"/>
    <s v="1640.11"/>
    <x v="3"/>
    <x v="2"/>
  </r>
  <r>
    <n v="6520"/>
    <x v="514"/>
    <s v="Sales invoice issued"/>
    <x v="273"/>
    <s v="123.02"/>
    <x v="4"/>
    <x v="3"/>
  </r>
  <r>
    <n v="6521"/>
    <x v="514"/>
    <s v="Customer payment received"/>
    <x v="2249"/>
    <s v="0.0"/>
    <x v="0"/>
    <x v="0"/>
  </r>
  <r>
    <n v="6521"/>
    <x v="514"/>
    <s v="Customer payment received"/>
    <x v="273"/>
    <s v="1543.7"/>
    <x v="2"/>
    <x v="0"/>
  </r>
  <r>
    <n v="6522"/>
    <x v="514"/>
    <s v="Customer payment received"/>
    <x v="2262"/>
    <s v="0.0"/>
    <x v="0"/>
    <x v="0"/>
  </r>
  <r>
    <n v="6522"/>
    <x v="514"/>
    <s v="Customer payment received"/>
    <x v="273"/>
    <s v="5519.45"/>
    <x v="2"/>
    <x v="0"/>
  </r>
  <r>
    <n v="6523"/>
    <x v="514"/>
    <s v="Customer payment received"/>
    <x v="2269"/>
    <s v="0.0"/>
    <x v="0"/>
    <x v="0"/>
  </r>
  <r>
    <n v="6523"/>
    <x v="514"/>
    <s v="Customer payment received"/>
    <x v="273"/>
    <s v="1149.56"/>
    <x v="2"/>
    <x v="0"/>
  </r>
  <r>
    <n v="6524"/>
    <x v="514"/>
    <s v="Customer payment received"/>
    <x v="2282"/>
    <s v="0.0"/>
    <x v="0"/>
    <x v="0"/>
  </r>
  <r>
    <n v="6524"/>
    <x v="514"/>
    <s v="Customer payment received"/>
    <x v="273"/>
    <s v="1747.34"/>
    <x v="2"/>
    <x v="0"/>
  </r>
  <r>
    <n v="6525"/>
    <x v="514"/>
    <s v="Customer payment received"/>
    <x v="2290"/>
    <s v="0.0"/>
    <x v="0"/>
    <x v="0"/>
  </r>
  <r>
    <n v="6525"/>
    <x v="514"/>
    <s v="Customer payment received"/>
    <x v="273"/>
    <s v="3404.28"/>
    <x v="2"/>
    <x v="0"/>
  </r>
  <r>
    <n v="6526"/>
    <x v="514"/>
    <s v="Customer payment received"/>
    <x v="2348"/>
    <s v="0.0"/>
    <x v="0"/>
    <x v="0"/>
  </r>
  <r>
    <n v="6526"/>
    <x v="514"/>
    <s v="Customer payment received"/>
    <x v="273"/>
    <s v="3113.87"/>
    <x v="2"/>
    <x v="0"/>
  </r>
  <r>
    <n v="6527"/>
    <x v="514"/>
    <s v="Customer payment received"/>
    <x v="2428"/>
    <s v="0.0"/>
    <x v="0"/>
    <x v="0"/>
  </r>
  <r>
    <n v="6527"/>
    <x v="514"/>
    <s v="Customer payment received"/>
    <x v="273"/>
    <s v="4336.23"/>
    <x v="2"/>
    <x v="0"/>
  </r>
  <r>
    <n v="6528"/>
    <x v="514"/>
    <s v="Customer payment received"/>
    <x v="2508"/>
    <s v="0.0"/>
    <x v="0"/>
    <x v="0"/>
  </r>
  <r>
    <n v="6528"/>
    <x v="514"/>
    <s v="Customer payment received"/>
    <x v="273"/>
    <s v="639.07"/>
    <x v="2"/>
    <x v="0"/>
  </r>
  <r>
    <n v="6529"/>
    <x v="514"/>
    <s v="Customer payment received"/>
    <x v="2539"/>
    <s v="0.0"/>
    <x v="0"/>
    <x v="0"/>
  </r>
  <r>
    <n v="6529"/>
    <x v="514"/>
    <s v="Customer payment received"/>
    <x v="273"/>
    <s v="1307.06"/>
    <x v="2"/>
    <x v="0"/>
  </r>
  <r>
    <n v="6530"/>
    <x v="514"/>
    <s v="Customer payment received"/>
    <x v="2551"/>
    <s v="0.0"/>
    <x v="0"/>
    <x v="0"/>
  </r>
  <r>
    <n v="6530"/>
    <x v="514"/>
    <s v="Customer payment received"/>
    <x v="273"/>
    <s v="413.5"/>
    <x v="2"/>
    <x v="0"/>
  </r>
  <r>
    <n v="6531"/>
    <x v="514"/>
    <s v="Customer payment received"/>
    <x v="2591"/>
    <s v="0.0"/>
    <x v="0"/>
    <x v="0"/>
  </r>
  <r>
    <n v="6531"/>
    <x v="514"/>
    <s v="Customer payment received"/>
    <x v="273"/>
    <s v="2284.52"/>
    <x v="2"/>
    <x v="0"/>
  </r>
  <r>
    <n v="6532"/>
    <x v="514"/>
    <s v="Supplier invoice received"/>
    <x v="448"/>
    <s v="0.0"/>
    <x v="9"/>
    <x v="4"/>
  </r>
  <r>
    <n v="6532"/>
    <x v="514"/>
    <s v="Supplier invoice received"/>
    <x v="449"/>
    <s v="0.0"/>
    <x v="10"/>
    <x v="0"/>
  </r>
  <r>
    <n v="6532"/>
    <x v="514"/>
    <s v="Supplier invoice received"/>
    <x v="273"/>
    <s v="7227.44"/>
    <x v="11"/>
    <x v="3"/>
  </r>
  <r>
    <n v="6533"/>
    <x v="514"/>
    <s v="Supplier invoice received"/>
    <x v="332"/>
    <s v="0.0"/>
    <x v="9"/>
    <x v="4"/>
  </r>
  <r>
    <n v="6533"/>
    <x v="514"/>
    <s v="Supplier invoice received"/>
    <x v="333"/>
    <s v="0.0"/>
    <x v="10"/>
    <x v="0"/>
  </r>
  <r>
    <n v="6533"/>
    <x v="514"/>
    <s v="Supplier invoice received"/>
    <x v="273"/>
    <s v="1023.42"/>
    <x v="11"/>
    <x v="3"/>
  </r>
  <r>
    <n v="6534"/>
    <x v="514"/>
    <s v="Supplier payment made"/>
    <x v="408"/>
    <s v="0.0"/>
    <x v="11"/>
    <x v="3"/>
  </r>
  <r>
    <n v="6534"/>
    <x v="514"/>
    <s v="Supplier payment made"/>
    <x v="273"/>
    <s v="3868.8"/>
    <x v="0"/>
    <x v="0"/>
  </r>
  <r>
    <n v="6535"/>
    <x v="514"/>
    <s v="Supplier payment made"/>
    <x v="327"/>
    <s v="0.0"/>
    <x v="11"/>
    <x v="3"/>
  </r>
  <r>
    <n v="6535"/>
    <x v="514"/>
    <s v="Supplier payment made"/>
    <x v="273"/>
    <s v="1935.04"/>
    <x v="0"/>
    <x v="0"/>
  </r>
  <r>
    <n v="6536"/>
    <x v="515"/>
    <s v="Sales invoice issued"/>
    <x v="2642"/>
    <s v="0.0"/>
    <x v="2"/>
    <x v="0"/>
  </r>
  <r>
    <n v="6536"/>
    <x v="515"/>
    <s v="Sales invoice issued"/>
    <x v="273"/>
    <s v="1744.73"/>
    <x v="3"/>
    <x v="2"/>
  </r>
  <r>
    <n v="6536"/>
    <x v="515"/>
    <s v="Sales invoice issued"/>
    <x v="273"/>
    <s v="130.86"/>
    <x v="4"/>
    <x v="3"/>
  </r>
  <r>
    <n v="6537"/>
    <x v="515"/>
    <s v="Sales invoice issued"/>
    <x v="2643"/>
    <s v="0.0"/>
    <x v="2"/>
    <x v="0"/>
  </r>
  <r>
    <n v="6537"/>
    <x v="515"/>
    <s v="Sales invoice issued"/>
    <x v="273"/>
    <s v="3094.9"/>
    <x v="3"/>
    <x v="2"/>
  </r>
  <r>
    <n v="6537"/>
    <x v="515"/>
    <s v="Sales invoice issued"/>
    <x v="273"/>
    <s v="232.1"/>
    <x v="4"/>
    <x v="3"/>
  </r>
  <r>
    <n v="6538"/>
    <x v="515"/>
    <s v="Sales invoice issued"/>
    <x v="2644"/>
    <s v="0.0"/>
    <x v="2"/>
    <x v="0"/>
  </r>
  <r>
    <n v="6538"/>
    <x v="515"/>
    <s v="Sales invoice issued"/>
    <x v="273"/>
    <s v="2318.37"/>
    <x v="3"/>
    <x v="2"/>
  </r>
  <r>
    <n v="6538"/>
    <x v="515"/>
    <s v="Sales invoice issued"/>
    <x v="273"/>
    <s v="173.88"/>
    <x v="4"/>
    <x v="3"/>
  </r>
  <r>
    <n v="6539"/>
    <x v="515"/>
    <s v="Sales invoice issued"/>
    <x v="2645"/>
    <s v="0.0"/>
    <x v="2"/>
    <x v="0"/>
  </r>
  <r>
    <n v="6539"/>
    <x v="515"/>
    <s v="Sales invoice issued"/>
    <x v="273"/>
    <s v="3504.05"/>
    <x v="3"/>
    <x v="2"/>
  </r>
  <r>
    <n v="6539"/>
    <x v="515"/>
    <s v="Sales invoice issued"/>
    <x v="273"/>
    <s v="262.81"/>
    <x v="4"/>
    <x v="3"/>
  </r>
  <r>
    <n v="6540"/>
    <x v="515"/>
    <s v="Sales invoice issued"/>
    <x v="2646"/>
    <s v="0.0"/>
    <x v="2"/>
    <x v="0"/>
  </r>
  <r>
    <n v="6540"/>
    <x v="515"/>
    <s v="Sales invoice issued"/>
    <x v="273"/>
    <s v="1721.64"/>
    <x v="3"/>
    <x v="2"/>
  </r>
  <r>
    <n v="6540"/>
    <x v="515"/>
    <s v="Sales invoice issued"/>
    <x v="273"/>
    <s v="129.12"/>
    <x v="4"/>
    <x v="3"/>
  </r>
  <r>
    <n v="6541"/>
    <x v="515"/>
    <s v="Sales invoice issued"/>
    <x v="2647"/>
    <s v="0.0"/>
    <x v="2"/>
    <x v="0"/>
  </r>
  <r>
    <n v="6541"/>
    <x v="515"/>
    <s v="Sales invoice issued"/>
    <x v="273"/>
    <s v="2519.93"/>
    <x v="3"/>
    <x v="2"/>
  </r>
  <r>
    <n v="6541"/>
    <x v="515"/>
    <s v="Sales invoice issued"/>
    <x v="273"/>
    <s v="189.0"/>
    <x v="4"/>
    <x v="3"/>
  </r>
  <r>
    <n v="6542"/>
    <x v="515"/>
    <s v="Sales invoice issued"/>
    <x v="2648"/>
    <s v="0.0"/>
    <x v="2"/>
    <x v="0"/>
  </r>
  <r>
    <n v="6542"/>
    <x v="515"/>
    <s v="Sales invoice issued"/>
    <x v="273"/>
    <s v="1899.54"/>
    <x v="3"/>
    <x v="2"/>
  </r>
  <r>
    <n v="6542"/>
    <x v="515"/>
    <s v="Sales invoice issued"/>
    <x v="273"/>
    <s v="142.47"/>
    <x v="4"/>
    <x v="3"/>
  </r>
  <r>
    <n v="6543"/>
    <x v="515"/>
    <s v="Sales invoice issued"/>
    <x v="2649"/>
    <s v="0.0"/>
    <x v="2"/>
    <x v="0"/>
  </r>
  <r>
    <n v="6543"/>
    <x v="515"/>
    <s v="Sales invoice issued"/>
    <x v="273"/>
    <s v="2156.46"/>
    <x v="3"/>
    <x v="2"/>
  </r>
  <r>
    <n v="6543"/>
    <x v="515"/>
    <s v="Sales invoice issued"/>
    <x v="273"/>
    <s v="161.74"/>
    <x v="4"/>
    <x v="3"/>
  </r>
  <r>
    <n v="6544"/>
    <x v="515"/>
    <s v="Sales invoice issued"/>
    <x v="2650"/>
    <s v="0.0"/>
    <x v="2"/>
    <x v="0"/>
  </r>
  <r>
    <n v="6544"/>
    <x v="515"/>
    <s v="Sales invoice issued"/>
    <x v="273"/>
    <s v="912.56"/>
    <x v="3"/>
    <x v="2"/>
  </r>
  <r>
    <n v="6544"/>
    <x v="515"/>
    <s v="Sales invoice issued"/>
    <x v="273"/>
    <s v="68.44"/>
    <x v="4"/>
    <x v="3"/>
  </r>
  <r>
    <n v="6545"/>
    <x v="515"/>
    <s v="Sales invoice issued"/>
    <x v="2651"/>
    <s v="0.0"/>
    <x v="2"/>
    <x v="0"/>
  </r>
  <r>
    <n v="6545"/>
    <x v="515"/>
    <s v="Sales invoice issued"/>
    <x v="273"/>
    <s v="496.09"/>
    <x v="3"/>
    <x v="2"/>
  </r>
  <r>
    <n v="6545"/>
    <x v="515"/>
    <s v="Sales invoice issued"/>
    <x v="273"/>
    <s v="37.2"/>
    <x v="4"/>
    <x v="3"/>
  </r>
  <r>
    <n v="6546"/>
    <x v="515"/>
    <s v="Sales invoice issued"/>
    <x v="2652"/>
    <s v="0.0"/>
    <x v="2"/>
    <x v="0"/>
  </r>
  <r>
    <n v="6546"/>
    <x v="515"/>
    <s v="Sales invoice issued"/>
    <x v="273"/>
    <s v="1654.19"/>
    <x v="3"/>
    <x v="2"/>
  </r>
  <r>
    <n v="6546"/>
    <x v="515"/>
    <s v="Sales invoice issued"/>
    <x v="273"/>
    <s v="124.06"/>
    <x v="4"/>
    <x v="3"/>
  </r>
  <r>
    <n v="6547"/>
    <x v="515"/>
    <s v="Sales invoice issued"/>
    <x v="2653"/>
    <s v="0.0"/>
    <x v="2"/>
    <x v="0"/>
  </r>
  <r>
    <n v="6547"/>
    <x v="515"/>
    <s v="Sales invoice issued"/>
    <x v="273"/>
    <s v="3392.86"/>
    <x v="3"/>
    <x v="2"/>
  </r>
  <r>
    <n v="6547"/>
    <x v="515"/>
    <s v="Sales invoice issued"/>
    <x v="273"/>
    <s v="254.46"/>
    <x v="4"/>
    <x v="3"/>
  </r>
  <r>
    <n v="6548"/>
    <x v="515"/>
    <s v="Sales invoice issued"/>
    <x v="2654"/>
    <s v="0.0"/>
    <x v="2"/>
    <x v="0"/>
  </r>
  <r>
    <n v="6548"/>
    <x v="515"/>
    <s v="Sales invoice issued"/>
    <x v="273"/>
    <s v="3355.85"/>
    <x v="3"/>
    <x v="2"/>
  </r>
  <r>
    <n v="6548"/>
    <x v="515"/>
    <s v="Sales invoice issued"/>
    <x v="273"/>
    <s v="251.68"/>
    <x v="4"/>
    <x v="3"/>
  </r>
  <r>
    <n v="6549"/>
    <x v="515"/>
    <s v="Sales invoice issued"/>
    <x v="1252"/>
    <s v="0.0"/>
    <x v="2"/>
    <x v="0"/>
  </r>
  <r>
    <n v="6549"/>
    <x v="515"/>
    <s v="Sales invoice issued"/>
    <x v="273"/>
    <s v="1374.96"/>
    <x v="3"/>
    <x v="2"/>
  </r>
  <r>
    <n v="6549"/>
    <x v="515"/>
    <s v="Sales invoice issued"/>
    <x v="273"/>
    <s v="103.12"/>
    <x v="4"/>
    <x v="3"/>
  </r>
  <r>
    <n v="6550"/>
    <x v="515"/>
    <s v="Sales invoice issued"/>
    <x v="2655"/>
    <s v="0.0"/>
    <x v="2"/>
    <x v="0"/>
  </r>
  <r>
    <n v="6550"/>
    <x v="515"/>
    <s v="Sales invoice issued"/>
    <x v="273"/>
    <s v="335.52"/>
    <x v="3"/>
    <x v="2"/>
  </r>
  <r>
    <n v="6550"/>
    <x v="515"/>
    <s v="Sales invoice issued"/>
    <x v="273"/>
    <s v="25.16"/>
    <x v="4"/>
    <x v="3"/>
  </r>
  <r>
    <n v="6551"/>
    <x v="515"/>
    <s v="Sales invoice issued"/>
    <x v="2656"/>
    <s v="0.0"/>
    <x v="2"/>
    <x v="0"/>
  </r>
  <r>
    <n v="6551"/>
    <x v="515"/>
    <s v="Sales invoice issued"/>
    <x v="273"/>
    <s v="441.84"/>
    <x v="3"/>
    <x v="2"/>
  </r>
  <r>
    <n v="6551"/>
    <x v="515"/>
    <s v="Sales invoice issued"/>
    <x v="273"/>
    <s v="33.14"/>
    <x v="4"/>
    <x v="3"/>
  </r>
  <r>
    <n v="6552"/>
    <x v="515"/>
    <s v="Customer payment received"/>
    <x v="2239"/>
    <s v="0.0"/>
    <x v="0"/>
    <x v="0"/>
  </r>
  <r>
    <n v="6552"/>
    <x v="515"/>
    <s v="Customer payment received"/>
    <x v="273"/>
    <s v="1252.31"/>
    <x v="2"/>
    <x v="0"/>
  </r>
  <r>
    <n v="6553"/>
    <x v="515"/>
    <s v="Customer payment received"/>
    <x v="2270"/>
    <s v="0.0"/>
    <x v="0"/>
    <x v="0"/>
  </r>
  <r>
    <n v="6553"/>
    <x v="515"/>
    <s v="Customer payment received"/>
    <x v="273"/>
    <s v="4551.66"/>
    <x v="2"/>
    <x v="0"/>
  </r>
  <r>
    <n v="6554"/>
    <x v="515"/>
    <s v="Customer payment received"/>
    <x v="1947"/>
    <s v="0.0"/>
    <x v="0"/>
    <x v="0"/>
  </r>
  <r>
    <n v="6554"/>
    <x v="515"/>
    <s v="Customer payment received"/>
    <x v="273"/>
    <s v="441.26"/>
    <x v="2"/>
    <x v="0"/>
  </r>
  <r>
    <n v="6555"/>
    <x v="515"/>
    <s v="Customer payment received"/>
    <x v="2344"/>
    <s v="0.0"/>
    <x v="0"/>
    <x v="0"/>
  </r>
  <r>
    <n v="6555"/>
    <x v="515"/>
    <s v="Customer payment received"/>
    <x v="273"/>
    <s v="2877.24"/>
    <x v="2"/>
    <x v="0"/>
  </r>
  <r>
    <n v="6556"/>
    <x v="515"/>
    <s v="Customer payment received"/>
    <x v="2408"/>
    <s v="0.0"/>
    <x v="0"/>
    <x v="0"/>
  </r>
  <r>
    <n v="6556"/>
    <x v="515"/>
    <s v="Customer payment received"/>
    <x v="273"/>
    <s v="4544.61"/>
    <x v="2"/>
    <x v="0"/>
  </r>
  <r>
    <n v="6557"/>
    <x v="515"/>
    <s v="Customer payment received"/>
    <x v="2413"/>
    <s v="0.0"/>
    <x v="0"/>
    <x v="0"/>
  </r>
  <r>
    <n v="6557"/>
    <x v="515"/>
    <s v="Customer payment received"/>
    <x v="273"/>
    <s v="6659.07"/>
    <x v="2"/>
    <x v="0"/>
  </r>
  <r>
    <n v="6558"/>
    <x v="515"/>
    <s v="Customer payment received"/>
    <x v="2467"/>
    <s v="0.0"/>
    <x v="0"/>
    <x v="0"/>
  </r>
  <r>
    <n v="6558"/>
    <x v="515"/>
    <s v="Customer payment received"/>
    <x v="273"/>
    <s v="1156.52"/>
    <x v="2"/>
    <x v="0"/>
  </r>
  <r>
    <n v="6559"/>
    <x v="515"/>
    <s v="Customer payment received"/>
    <x v="2519"/>
    <s v="0.0"/>
    <x v="0"/>
    <x v="0"/>
  </r>
  <r>
    <n v="6559"/>
    <x v="515"/>
    <s v="Customer payment received"/>
    <x v="273"/>
    <s v="3563.37"/>
    <x v="2"/>
    <x v="0"/>
  </r>
  <r>
    <n v="6560"/>
    <x v="515"/>
    <s v="Customer payment received"/>
    <x v="2535"/>
    <s v="0.0"/>
    <x v="0"/>
    <x v="0"/>
  </r>
  <r>
    <n v="6560"/>
    <x v="515"/>
    <s v="Customer payment received"/>
    <x v="273"/>
    <s v="827.25"/>
    <x v="2"/>
    <x v="0"/>
  </r>
  <r>
    <n v="6561"/>
    <x v="515"/>
    <s v="Customer payment received"/>
    <x v="2590"/>
    <s v="0.0"/>
    <x v="0"/>
    <x v="0"/>
  </r>
  <r>
    <n v="6561"/>
    <x v="515"/>
    <s v="Customer payment received"/>
    <x v="273"/>
    <s v="2832.38"/>
    <x v="2"/>
    <x v="0"/>
  </r>
  <r>
    <n v="6562"/>
    <x v="515"/>
    <s v="Customer payment received"/>
    <x v="2592"/>
    <s v="0.0"/>
    <x v="0"/>
    <x v="0"/>
  </r>
  <r>
    <n v="6562"/>
    <x v="515"/>
    <s v="Customer payment received"/>
    <x v="273"/>
    <s v="4131.42"/>
    <x v="2"/>
    <x v="0"/>
  </r>
  <r>
    <n v="6563"/>
    <x v="515"/>
    <s v="Customer payment received"/>
    <x v="2622"/>
    <s v="0.0"/>
    <x v="0"/>
    <x v="0"/>
  </r>
  <r>
    <n v="6563"/>
    <x v="515"/>
    <s v="Customer payment received"/>
    <x v="273"/>
    <s v="151.62"/>
    <x v="2"/>
    <x v="0"/>
  </r>
  <r>
    <n v="6564"/>
    <x v="515"/>
    <s v="Customer payment received"/>
    <x v="2628"/>
    <s v="0.0"/>
    <x v="0"/>
    <x v="0"/>
  </r>
  <r>
    <n v="6564"/>
    <x v="515"/>
    <s v="Customer payment received"/>
    <x v="273"/>
    <s v="1752.58"/>
    <x v="2"/>
    <x v="0"/>
  </r>
  <r>
    <n v="6565"/>
    <x v="515"/>
    <s v="Supplier payment made"/>
    <x v="392"/>
    <s v="0.0"/>
    <x v="11"/>
    <x v="3"/>
  </r>
  <r>
    <n v="6565"/>
    <x v="515"/>
    <s v="Supplier payment made"/>
    <x v="273"/>
    <s v="1023.42"/>
    <x v="0"/>
    <x v="0"/>
  </r>
  <r>
    <n v="6566"/>
    <x v="516"/>
    <s v="Sales invoice issued"/>
    <x v="2657"/>
    <s v="0.0"/>
    <x v="2"/>
    <x v="0"/>
  </r>
  <r>
    <n v="6566"/>
    <x v="516"/>
    <s v="Sales invoice issued"/>
    <x v="273"/>
    <s v="1989.85"/>
    <x v="3"/>
    <x v="2"/>
  </r>
  <r>
    <n v="6566"/>
    <x v="516"/>
    <s v="Sales invoice issued"/>
    <x v="273"/>
    <s v="149.24"/>
    <x v="4"/>
    <x v="3"/>
  </r>
  <r>
    <n v="6567"/>
    <x v="516"/>
    <s v="Sales invoice issued"/>
    <x v="2658"/>
    <s v="0.0"/>
    <x v="2"/>
    <x v="0"/>
  </r>
  <r>
    <n v="6567"/>
    <x v="516"/>
    <s v="Sales invoice issued"/>
    <x v="273"/>
    <s v="1884.47"/>
    <x v="3"/>
    <x v="2"/>
  </r>
  <r>
    <n v="6567"/>
    <x v="516"/>
    <s v="Sales invoice issued"/>
    <x v="273"/>
    <s v="141.33"/>
    <x v="4"/>
    <x v="3"/>
  </r>
  <r>
    <n v="6568"/>
    <x v="516"/>
    <s v="Sales invoice issued"/>
    <x v="2659"/>
    <s v="0.0"/>
    <x v="2"/>
    <x v="0"/>
  </r>
  <r>
    <n v="6568"/>
    <x v="516"/>
    <s v="Sales invoice issued"/>
    <x v="273"/>
    <s v="1758.44"/>
    <x v="3"/>
    <x v="2"/>
  </r>
  <r>
    <n v="6568"/>
    <x v="516"/>
    <s v="Sales invoice issued"/>
    <x v="273"/>
    <s v="131.89"/>
    <x v="4"/>
    <x v="3"/>
  </r>
  <r>
    <n v="6569"/>
    <x v="516"/>
    <s v="Sales invoice issued"/>
    <x v="398"/>
    <s v="0.0"/>
    <x v="2"/>
    <x v="0"/>
  </r>
  <r>
    <n v="6569"/>
    <x v="516"/>
    <s v="Sales invoice issued"/>
    <x v="273"/>
    <s v="416.97"/>
    <x v="3"/>
    <x v="2"/>
  </r>
  <r>
    <n v="6569"/>
    <x v="516"/>
    <s v="Sales invoice issued"/>
    <x v="273"/>
    <s v="31.27"/>
    <x v="4"/>
    <x v="3"/>
  </r>
  <r>
    <n v="6570"/>
    <x v="516"/>
    <s v="Sales invoice issued"/>
    <x v="2660"/>
    <s v="0.0"/>
    <x v="2"/>
    <x v="0"/>
  </r>
  <r>
    <n v="6570"/>
    <x v="516"/>
    <s v="Sales invoice issued"/>
    <x v="273"/>
    <s v="4397.66"/>
    <x v="3"/>
    <x v="2"/>
  </r>
  <r>
    <n v="6570"/>
    <x v="516"/>
    <s v="Sales invoice issued"/>
    <x v="273"/>
    <s v="329.81"/>
    <x v="4"/>
    <x v="3"/>
  </r>
  <r>
    <n v="6571"/>
    <x v="516"/>
    <s v="Sales invoice issued"/>
    <x v="2661"/>
    <s v="0.0"/>
    <x v="2"/>
    <x v="0"/>
  </r>
  <r>
    <n v="6571"/>
    <x v="516"/>
    <s v="Sales invoice issued"/>
    <x v="273"/>
    <s v="3386.47"/>
    <x v="3"/>
    <x v="2"/>
  </r>
  <r>
    <n v="6571"/>
    <x v="516"/>
    <s v="Sales invoice issued"/>
    <x v="273"/>
    <s v="253.99"/>
    <x v="4"/>
    <x v="3"/>
  </r>
  <r>
    <n v="6572"/>
    <x v="516"/>
    <s v="Sales invoice issued"/>
    <x v="2662"/>
    <s v="0.0"/>
    <x v="2"/>
    <x v="0"/>
  </r>
  <r>
    <n v="6572"/>
    <x v="516"/>
    <s v="Sales invoice issued"/>
    <x v="273"/>
    <s v="4943.62"/>
    <x v="3"/>
    <x v="2"/>
  </r>
  <r>
    <n v="6572"/>
    <x v="516"/>
    <s v="Sales invoice issued"/>
    <x v="273"/>
    <s v="370.77"/>
    <x v="4"/>
    <x v="3"/>
  </r>
  <r>
    <n v="6573"/>
    <x v="516"/>
    <s v="Sales invoice issued"/>
    <x v="2663"/>
    <s v="0.0"/>
    <x v="2"/>
    <x v="0"/>
  </r>
  <r>
    <n v="6573"/>
    <x v="516"/>
    <s v="Sales invoice issued"/>
    <x v="273"/>
    <s v="2996.43"/>
    <x v="3"/>
    <x v="2"/>
  </r>
  <r>
    <n v="6573"/>
    <x v="516"/>
    <s v="Sales invoice issued"/>
    <x v="273"/>
    <s v="224.74"/>
    <x v="4"/>
    <x v="3"/>
  </r>
  <r>
    <n v="6574"/>
    <x v="516"/>
    <s v="Sales invoice issued"/>
    <x v="2664"/>
    <s v="0.0"/>
    <x v="2"/>
    <x v="0"/>
  </r>
  <r>
    <n v="6574"/>
    <x v="516"/>
    <s v="Sales invoice issued"/>
    <x v="273"/>
    <s v="1916.62"/>
    <x v="3"/>
    <x v="2"/>
  </r>
  <r>
    <n v="6574"/>
    <x v="516"/>
    <s v="Sales invoice issued"/>
    <x v="273"/>
    <s v="143.75"/>
    <x v="4"/>
    <x v="3"/>
  </r>
  <r>
    <n v="6575"/>
    <x v="516"/>
    <s v="Sales invoice issued"/>
    <x v="2665"/>
    <s v="0.0"/>
    <x v="2"/>
    <x v="0"/>
  </r>
  <r>
    <n v="6575"/>
    <x v="516"/>
    <s v="Sales invoice issued"/>
    <x v="273"/>
    <s v="1119.64"/>
    <x v="3"/>
    <x v="2"/>
  </r>
  <r>
    <n v="6575"/>
    <x v="516"/>
    <s v="Sales invoice issued"/>
    <x v="273"/>
    <s v="83.98"/>
    <x v="4"/>
    <x v="3"/>
  </r>
  <r>
    <n v="6576"/>
    <x v="516"/>
    <s v="Sales invoice issued"/>
    <x v="2666"/>
    <s v="0.0"/>
    <x v="2"/>
    <x v="0"/>
  </r>
  <r>
    <n v="6576"/>
    <x v="516"/>
    <s v="Sales invoice issued"/>
    <x v="273"/>
    <s v="1554.57"/>
    <x v="3"/>
    <x v="2"/>
  </r>
  <r>
    <n v="6576"/>
    <x v="516"/>
    <s v="Sales invoice issued"/>
    <x v="273"/>
    <s v="116.59"/>
    <x v="4"/>
    <x v="3"/>
  </r>
  <r>
    <n v="6577"/>
    <x v="516"/>
    <s v="Customer payment received"/>
    <x v="2293"/>
    <s v="0.0"/>
    <x v="0"/>
    <x v="0"/>
  </r>
  <r>
    <n v="6577"/>
    <x v="516"/>
    <s v="Customer payment received"/>
    <x v="273"/>
    <s v="5883.0"/>
    <x v="2"/>
    <x v="0"/>
  </r>
  <r>
    <n v="6578"/>
    <x v="516"/>
    <s v="Customer payment received"/>
    <x v="2365"/>
    <s v="0.0"/>
    <x v="0"/>
    <x v="0"/>
  </r>
  <r>
    <n v="6578"/>
    <x v="516"/>
    <s v="Customer payment received"/>
    <x v="273"/>
    <s v="1315.2"/>
    <x v="2"/>
    <x v="0"/>
  </r>
  <r>
    <n v="6579"/>
    <x v="516"/>
    <s v="Customer payment received"/>
    <x v="2450"/>
    <s v="0.0"/>
    <x v="0"/>
    <x v="0"/>
  </r>
  <r>
    <n v="6579"/>
    <x v="516"/>
    <s v="Customer payment received"/>
    <x v="273"/>
    <s v="1857.21"/>
    <x v="2"/>
    <x v="0"/>
  </r>
  <r>
    <n v="6580"/>
    <x v="516"/>
    <s v="Customer payment received"/>
    <x v="2465"/>
    <s v="0.0"/>
    <x v="0"/>
    <x v="0"/>
  </r>
  <r>
    <n v="6580"/>
    <x v="516"/>
    <s v="Customer payment received"/>
    <x v="273"/>
    <s v="1003.9"/>
    <x v="2"/>
    <x v="0"/>
  </r>
  <r>
    <n v="6581"/>
    <x v="516"/>
    <s v="Customer payment received"/>
    <x v="2473"/>
    <s v="0.0"/>
    <x v="0"/>
    <x v="0"/>
  </r>
  <r>
    <n v="6581"/>
    <x v="516"/>
    <s v="Customer payment received"/>
    <x v="273"/>
    <s v="202.48"/>
    <x v="2"/>
    <x v="0"/>
  </r>
  <r>
    <n v="6582"/>
    <x v="516"/>
    <s v="Customer payment received"/>
    <x v="2493"/>
    <s v="0.0"/>
    <x v="0"/>
    <x v="0"/>
  </r>
  <r>
    <n v="6582"/>
    <x v="516"/>
    <s v="Customer payment received"/>
    <x v="273"/>
    <s v="3658.6"/>
    <x v="2"/>
    <x v="0"/>
  </r>
  <r>
    <n v="6583"/>
    <x v="516"/>
    <s v="Customer payment received"/>
    <x v="2536"/>
    <s v="0.0"/>
    <x v="0"/>
    <x v="0"/>
  </r>
  <r>
    <n v="6583"/>
    <x v="516"/>
    <s v="Customer payment received"/>
    <x v="273"/>
    <s v="1704.54"/>
    <x v="2"/>
    <x v="0"/>
  </r>
  <r>
    <n v="6584"/>
    <x v="516"/>
    <s v="Customer payment received"/>
    <x v="2566"/>
    <s v="0.0"/>
    <x v="0"/>
    <x v="0"/>
  </r>
  <r>
    <n v="6584"/>
    <x v="516"/>
    <s v="Customer payment received"/>
    <x v="273"/>
    <s v="1759.07"/>
    <x v="2"/>
    <x v="0"/>
  </r>
  <r>
    <n v="6585"/>
    <x v="516"/>
    <s v="Customer payment received"/>
    <x v="2567"/>
    <s v="0.0"/>
    <x v="0"/>
    <x v="0"/>
  </r>
  <r>
    <n v="6585"/>
    <x v="516"/>
    <s v="Customer payment received"/>
    <x v="273"/>
    <s v="2729.66"/>
    <x v="2"/>
    <x v="0"/>
  </r>
  <r>
    <n v="6586"/>
    <x v="516"/>
    <s v="Customer payment received"/>
    <x v="2615"/>
    <s v="0.0"/>
    <x v="0"/>
    <x v="0"/>
  </r>
  <r>
    <n v="6586"/>
    <x v="516"/>
    <s v="Customer payment received"/>
    <x v="273"/>
    <s v="3757.84"/>
    <x v="2"/>
    <x v="0"/>
  </r>
  <r>
    <n v="6587"/>
    <x v="516"/>
    <s v="Customer payment received"/>
    <x v="2657"/>
    <s v="0.0"/>
    <x v="0"/>
    <x v="0"/>
  </r>
  <r>
    <n v="6587"/>
    <x v="516"/>
    <s v="Customer payment received"/>
    <x v="273"/>
    <s v="2139.09"/>
    <x v="2"/>
    <x v="0"/>
  </r>
  <r>
    <n v="6588"/>
    <x v="516"/>
    <s v="Supplier invoice received"/>
    <x v="443"/>
    <s v="0.0"/>
    <x v="9"/>
    <x v="4"/>
  </r>
  <r>
    <n v="6588"/>
    <x v="516"/>
    <s v="Supplier invoice received"/>
    <x v="444"/>
    <s v="0.0"/>
    <x v="10"/>
    <x v="0"/>
  </r>
  <r>
    <n v="6588"/>
    <x v="516"/>
    <s v="Supplier invoice received"/>
    <x v="273"/>
    <s v="748.26"/>
    <x v="11"/>
    <x v="3"/>
  </r>
  <r>
    <n v="6589"/>
    <x v="516"/>
    <s v="Supplier invoice received"/>
    <x v="445"/>
    <s v="0.0"/>
    <x v="9"/>
    <x v="4"/>
  </r>
  <r>
    <n v="6589"/>
    <x v="516"/>
    <s v="Supplier invoice received"/>
    <x v="446"/>
    <s v="0.0"/>
    <x v="10"/>
    <x v="0"/>
  </r>
  <r>
    <n v="6589"/>
    <x v="516"/>
    <s v="Supplier invoice received"/>
    <x v="273"/>
    <s v="1794.11"/>
    <x v="11"/>
    <x v="3"/>
  </r>
  <r>
    <n v="6590"/>
    <x v="516"/>
    <s v="Supplier invoice received"/>
    <x v="295"/>
    <s v="0.0"/>
    <x v="9"/>
    <x v="4"/>
  </r>
  <r>
    <n v="6590"/>
    <x v="516"/>
    <s v="Supplier invoice received"/>
    <x v="296"/>
    <s v="0.0"/>
    <x v="10"/>
    <x v="0"/>
  </r>
  <r>
    <n v="6590"/>
    <x v="516"/>
    <s v="Supplier invoice received"/>
    <x v="273"/>
    <s v="1766.46"/>
    <x v="11"/>
    <x v="3"/>
  </r>
  <r>
    <n v="6591"/>
    <x v="516"/>
    <s v="Supplier invoice received"/>
    <x v="461"/>
    <s v="0.0"/>
    <x v="9"/>
    <x v="4"/>
  </r>
  <r>
    <n v="6591"/>
    <x v="516"/>
    <s v="Supplier invoice received"/>
    <x v="462"/>
    <s v="0.0"/>
    <x v="10"/>
    <x v="0"/>
  </r>
  <r>
    <n v="6591"/>
    <x v="516"/>
    <s v="Supplier invoice received"/>
    <x v="273"/>
    <s v="2182.41"/>
    <x v="11"/>
    <x v="3"/>
  </r>
  <r>
    <n v="6592"/>
    <x v="516"/>
    <s v="Supplier invoice received"/>
    <x v="383"/>
    <s v="0.0"/>
    <x v="9"/>
    <x v="4"/>
  </r>
  <r>
    <n v="6592"/>
    <x v="516"/>
    <s v="Supplier invoice received"/>
    <x v="384"/>
    <s v="0.0"/>
    <x v="10"/>
    <x v="0"/>
  </r>
  <r>
    <n v="6592"/>
    <x v="516"/>
    <s v="Supplier invoice received"/>
    <x v="273"/>
    <s v="3868.8"/>
    <x v="11"/>
    <x v="3"/>
  </r>
  <r>
    <n v="6593"/>
    <x v="516"/>
    <s v="Supplier payment made"/>
    <x v="393"/>
    <s v="0.0"/>
    <x v="11"/>
    <x v="3"/>
  </r>
  <r>
    <n v="6593"/>
    <x v="516"/>
    <s v="Supplier payment made"/>
    <x v="273"/>
    <s v="412.54"/>
    <x v="0"/>
    <x v="0"/>
  </r>
  <r>
    <n v="6594"/>
    <x v="516"/>
    <s v="Supplier payment made"/>
    <x v="407"/>
    <s v="0.0"/>
    <x v="11"/>
    <x v="3"/>
  </r>
  <r>
    <n v="6594"/>
    <x v="516"/>
    <s v="Supplier payment made"/>
    <x v="273"/>
    <s v="201.5"/>
    <x v="0"/>
    <x v="0"/>
  </r>
  <r>
    <n v="6595"/>
    <x v="516"/>
    <s v="Supplier payment made"/>
    <x v="313"/>
    <s v="0.0"/>
    <x v="11"/>
    <x v="3"/>
  </r>
  <r>
    <n v="6595"/>
    <x v="516"/>
    <s v="Supplier payment made"/>
    <x v="273"/>
    <s v="1159.84"/>
    <x v="0"/>
    <x v="0"/>
  </r>
  <r>
    <n v="6596"/>
    <x v="516"/>
    <s v="Supplier payment made"/>
    <x v="393"/>
    <s v="0.0"/>
    <x v="11"/>
    <x v="3"/>
  </r>
  <r>
    <n v="6596"/>
    <x v="516"/>
    <s v="Supplier payment made"/>
    <x v="273"/>
    <s v="412.54"/>
    <x v="0"/>
    <x v="0"/>
  </r>
  <r>
    <n v="6597"/>
    <x v="517"/>
    <s v="Sales invoice issued"/>
    <x v="2667"/>
    <s v="0.0"/>
    <x v="2"/>
    <x v="0"/>
  </r>
  <r>
    <n v="6597"/>
    <x v="517"/>
    <s v="Sales invoice issued"/>
    <x v="273"/>
    <s v="1391.11"/>
    <x v="3"/>
    <x v="2"/>
  </r>
  <r>
    <n v="6597"/>
    <x v="517"/>
    <s v="Sales invoice issued"/>
    <x v="273"/>
    <s v="104.34"/>
    <x v="4"/>
    <x v="3"/>
  </r>
  <r>
    <n v="6598"/>
    <x v="517"/>
    <s v="Sales invoice issued"/>
    <x v="1662"/>
    <s v="0.0"/>
    <x v="2"/>
    <x v="0"/>
  </r>
  <r>
    <n v="6598"/>
    <x v="517"/>
    <s v="Sales invoice issued"/>
    <x v="273"/>
    <s v="1038.78"/>
    <x v="3"/>
    <x v="2"/>
  </r>
  <r>
    <n v="6598"/>
    <x v="517"/>
    <s v="Sales invoice issued"/>
    <x v="273"/>
    <s v="77.91"/>
    <x v="4"/>
    <x v="3"/>
  </r>
  <r>
    <n v="6599"/>
    <x v="517"/>
    <s v="Sales invoice issued"/>
    <x v="2668"/>
    <s v="0.0"/>
    <x v="2"/>
    <x v="0"/>
  </r>
  <r>
    <n v="6599"/>
    <x v="517"/>
    <s v="Sales invoice issued"/>
    <x v="273"/>
    <s v="5169.81"/>
    <x v="3"/>
    <x v="2"/>
  </r>
  <r>
    <n v="6599"/>
    <x v="517"/>
    <s v="Sales invoice issued"/>
    <x v="273"/>
    <s v="387.73"/>
    <x v="4"/>
    <x v="3"/>
  </r>
  <r>
    <n v="6600"/>
    <x v="517"/>
    <s v="Sales invoice issued"/>
    <x v="2669"/>
    <s v="0.0"/>
    <x v="2"/>
    <x v="0"/>
  </r>
  <r>
    <n v="6600"/>
    <x v="517"/>
    <s v="Sales invoice issued"/>
    <x v="273"/>
    <s v="840.53"/>
    <x v="3"/>
    <x v="2"/>
  </r>
  <r>
    <n v="6600"/>
    <x v="517"/>
    <s v="Sales invoice issued"/>
    <x v="273"/>
    <s v="63.04"/>
    <x v="4"/>
    <x v="3"/>
  </r>
  <r>
    <n v="6601"/>
    <x v="517"/>
    <s v="Sales invoice issued"/>
    <x v="2670"/>
    <s v="0.0"/>
    <x v="2"/>
    <x v="0"/>
  </r>
  <r>
    <n v="6601"/>
    <x v="517"/>
    <s v="Sales invoice issued"/>
    <x v="273"/>
    <s v="1566.18"/>
    <x v="3"/>
    <x v="2"/>
  </r>
  <r>
    <n v="6601"/>
    <x v="517"/>
    <s v="Sales invoice issued"/>
    <x v="273"/>
    <s v="117.47"/>
    <x v="4"/>
    <x v="3"/>
  </r>
  <r>
    <n v="6602"/>
    <x v="517"/>
    <s v="Sales invoice issued"/>
    <x v="2671"/>
    <s v="0.0"/>
    <x v="2"/>
    <x v="0"/>
  </r>
  <r>
    <n v="6602"/>
    <x v="517"/>
    <s v="Sales invoice issued"/>
    <x v="273"/>
    <s v="834.51"/>
    <x v="3"/>
    <x v="2"/>
  </r>
  <r>
    <n v="6602"/>
    <x v="517"/>
    <s v="Sales invoice issued"/>
    <x v="273"/>
    <s v="62.58"/>
    <x v="4"/>
    <x v="3"/>
  </r>
  <r>
    <n v="6603"/>
    <x v="517"/>
    <s v="Sales invoice issued"/>
    <x v="2672"/>
    <s v="0.0"/>
    <x v="2"/>
    <x v="0"/>
  </r>
  <r>
    <n v="6603"/>
    <x v="517"/>
    <s v="Sales invoice issued"/>
    <x v="273"/>
    <s v="1538.45"/>
    <x v="3"/>
    <x v="2"/>
  </r>
  <r>
    <n v="6603"/>
    <x v="517"/>
    <s v="Sales invoice issued"/>
    <x v="273"/>
    <s v="115.39"/>
    <x v="4"/>
    <x v="3"/>
  </r>
  <r>
    <n v="6604"/>
    <x v="517"/>
    <s v="Sales invoice issued"/>
    <x v="2673"/>
    <s v="0.0"/>
    <x v="2"/>
    <x v="0"/>
  </r>
  <r>
    <n v="6604"/>
    <x v="517"/>
    <s v="Sales invoice issued"/>
    <x v="273"/>
    <s v="2226.49"/>
    <x v="3"/>
    <x v="2"/>
  </r>
  <r>
    <n v="6604"/>
    <x v="517"/>
    <s v="Sales invoice issued"/>
    <x v="273"/>
    <s v="166.99"/>
    <x v="4"/>
    <x v="3"/>
  </r>
  <r>
    <n v="6605"/>
    <x v="517"/>
    <s v="Sales invoice issued"/>
    <x v="2674"/>
    <s v="0.0"/>
    <x v="2"/>
    <x v="0"/>
  </r>
  <r>
    <n v="6605"/>
    <x v="517"/>
    <s v="Sales invoice issued"/>
    <x v="273"/>
    <s v="371.85"/>
    <x v="3"/>
    <x v="2"/>
  </r>
  <r>
    <n v="6605"/>
    <x v="517"/>
    <s v="Sales invoice issued"/>
    <x v="273"/>
    <s v="27.89"/>
    <x v="4"/>
    <x v="3"/>
  </r>
  <r>
    <n v="6606"/>
    <x v="517"/>
    <s v="Sales invoice issued"/>
    <x v="2675"/>
    <s v="0.0"/>
    <x v="2"/>
    <x v="0"/>
  </r>
  <r>
    <n v="6606"/>
    <x v="517"/>
    <s v="Sales invoice issued"/>
    <x v="273"/>
    <s v="834.3"/>
    <x v="3"/>
    <x v="2"/>
  </r>
  <r>
    <n v="6606"/>
    <x v="517"/>
    <s v="Sales invoice issued"/>
    <x v="273"/>
    <s v="62.57"/>
    <x v="4"/>
    <x v="3"/>
  </r>
  <r>
    <n v="6607"/>
    <x v="517"/>
    <s v="Sales invoice issued"/>
    <x v="2676"/>
    <s v="0.0"/>
    <x v="2"/>
    <x v="0"/>
  </r>
  <r>
    <n v="6607"/>
    <x v="517"/>
    <s v="Sales invoice issued"/>
    <x v="273"/>
    <s v="1845.48"/>
    <x v="3"/>
    <x v="2"/>
  </r>
  <r>
    <n v="6607"/>
    <x v="517"/>
    <s v="Sales invoice issued"/>
    <x v="273"/>
    <s v="138.41"/>
    <x v="4"/>
    <x v="3"/>
  </r>
  <r>
    <n v="6608"/>
    <x v="517"/>
    <s v="Customer payment received"/>
    <x v="2257"/>
    <s v="0.0"/>
    <x v="0"/>
    <x v="0"/>
  </r>
  <r>
    <n v="6608"/>
    <x v="517"/>
    <s v="Customer payment received"/>
    <x v="273"/>
    <s v="2859.57"/>
    <x v="2"/>
    <x v="0"/>
  </r>
  <r>
    <n v="6609"/>
    <x v="517"/>
    <s v="Customer payment received"/>
    <x v="2364"/>
    <s v="0.0"/>
    <x v="0"/>
    <x v="0"/>
  </r>
  <r>
    <n v="6609"/>
    <x v="517"/>
    <s v="Customer payment received"/>
    <x v="273"/>
    <s v="659.98"/>
    <x v="2"/>
    <x v="0"/>
  </r>
  <r>
    <n v="6610"/>
    <x v="517"/>
    <s v="Customer payment received"/>
    <x v="2432"/>
    <s v="0.0"/>
    <x v="0"/>
    <x v="0"/>
  </r>
  <r>
    <n v="6610"/>
    <x v="517"/>
    <s v="Customer payment received"/>
    <x v="273"/>
    <s v="5649.23"/>
    <x v="2"/>
    <x v="0"/>
  </r>
  <r>
    <n v="6611"/>
    <x v="517"/>
    <s v="Customer payment received"/>
    <x v="2438"/>
    <s v="0.0"/>
    <x v="0"/>
    <x v="0"/>
  </r>
  <r>
    <n v="6611"/>
    <x v="517"/>
    <s v="Customer payment received"/>
    <x v="273"/>
    <s v="2066.36"/>
    <x v="2"/>
    <x v="0"/>
  </r>
  <r>
    <n v="6612"/>
    <x v="517"/>
    <s v="Customer payment received"/>
    <x v="2454"/>
    <s v="0.0"/>
    <x v="0"/>
    <x v="0"/>
  </r>
  <r>
    <n v="6612"/>
    <x v="517"/>
    <s v="Customer payment received"/>
    <x v="273"/>
    <s v="3837.91"/>
    <x v="2"/>
    <x v="0"/>
  </r>
  <r>
    <n v="6613"/>
    <x v="517"/>
    <s v="Customer payment received"/>
    <x v="2677"/>
    <s v="0.0"/>
    <x v="0"/>
    <x v="0"/>
  </r>
  <r>
    <n v="6613"/>
    <x v="517"/>
    <s v="Customer payment received"/>
    <x v="273"/>
    <s v="1696.61"/>
    <x v="2"/>
    <x v="0"/>
  </r>
  <r>
    <n v="6614"/>
    <x v="517"/>
    <s v="Customer payment received"/>
    <x v="1067"/>
    <s v="0.0"/>
    <x v="0"/>
    <x v="0"/>
  </r>
  <r>
    <n v="6614"/>
    <x v="517"/>
    <s v="Customer payment received"/>
    <x v="273"/>
    <s v="446.4"/>
    <x v="2"/>
    <x v="0"/>
  </r>
  <r>
    <n v="6615"/>
    <x v="517"/>
    <s v="Customer payment received"/>
    <x v="2588"/>
    <s v="0.0"/>
    <x v="0"/>
    <x v="0"/>
  </r>
  <r>
    <n v="6615"/>
    <x v="517"/>
    <s v="Customer payment received"/>
    <x v="273"/>
    <s v="161.68"/>
    <x v="2"/>
    <x v="0"/>
  </r>
  <r>
    <n v="6616"/>
    <x v="517"/>
    <s v="Customer payment received"/>
    <x v="2609"/>
    <s v="0.0"/>
    <x v="0"/>
    <x v="0"/>
  </r>
  <r>
    <n v="6616"/>
    <x v="517"/>
    <s v="Customer payment received"/>
    <x v="273"/>
    <s v="369.52"/>
    <x v="2"/>
    <x v="0"/>
  </r>
  <r>
    <n v="6617"/>
    <x v="517"/>
    <s v="Customer payment received"/>
    <x v="2648"/>
    <s v="0.0"/>
    <x v="0"/>
    <x v="0"/>
  </r>
  <r>
    <n v="6617"/>
    <x v="517"/>
    <s v="Customer payment received"/>
    <x v="273"/>
    <s v="2042.01"/>
    <x v="2"/>
    <x v="0"/>
  </r>
  <r>
    <n v="6618"/>
    <x v="517"/>
    <s v="Customer payment received"/>
    <x v="2658"/>
    <s v="0.0"/>
    <x v="0"/>
    <x v="0"/>
  </r>
  <r>
    <n v="6618"/>
    <x v="517"/>
    <s v="Customer payment received"/>
    <x v="273"/>
    <s v="2025.8"/>
    <x v="2"/>
    <x v="0"/>
  </r>
  <r>
    <n v="6619"/>
    <x v="517"/>
    <s v="Customer payment received"/>
    <x v="2664"/>
    <s v="0.0"/>
    <x v="0"/>
    <x v="0"/>
  </r>
  <r>
    <n v="6619"/>
    <x v="517"/>
    <s v="Customer payment received"/>
    <x v="273"/>
    <s v="2060.37"/>
    <x v="2"/>
    <x v="0"/>
  </r>
  <r>
    <n v="6620"/>
    <x v="517"/>
    <s v="Customer payment received"/>
    <x v="2676"/>
    <s v="0.0"/>
    <x v="0"/>
    <x v="0"/>
  </r>
  <r>
    <n v="6620"/>
    <x v="517"/>
    <s v="Customer payment received"/>
    <x v="273"/>
    <s v="1983.89"/>
    <x v="2"/>
    <x v="0"/>
  </r>
  <r>
    <n v="6621"/>
    <x v="517"/>
    <s v="Supplier payment made"/>
    <x v="424"/>
    <s v="0.0"/>
    <x v="11"/>
    <x v="3"/>
  </r>
  <r>
    <n v="6621"/>
    <x v="517"/>
    <s v="Supplier payment made"/>
    <x v="273"/>
    <s v="1591.54"/>
    <x v="0"/>
    <x v="0"/>
  </r>
  <r>
    <n v="6622"/>
    <x v="517"/>
    <s v="Supplier payment made"/>
    <x v="353"/>
    <s v="0.0"/>
    <x v="11"/>
    <x v="3"/>
  </r>
  <r>
    <n v="6622"/>
    <x v="517"/>
    <s v="Supplier payment made"/>
    <x v="273"/>
    <s v="2918.17"/>
    <x v="0"/>
    <x v="0"/>
  </r>
  <r>
    <n v="6623"/>
    <x v="518"/>
    <s v="Sales invoice issued"/>
    <x v="2678"/>
    <s v="0.0"/>
    <x v="2"/>
    <x v="0"/>
  </r>
  <r>
    <n v="6623"/>
    <x v="518"/>
    <s v="Sales invoice issued"/>
    <x v="273"/>
    <s v="243.67"/>
    <x v="3"/>
    <x v="2"/>
  </r>
  <r>
    <n v="6623"/>
    <x v="518"/>
    <s v="Sales invoice issued"/>
    <x v="273"/>
    <s v="18.27"/>
    <x v="4"/>
    <x v="3"/>
  </r>
  <r>
    <n v="6624"/>
    <x v="518"/>
    <s v="Sales invoice issued"/>
    <x v="2139"/>
    <s v="0.0"/>
    <x v="2"/>
    <x v="0"/>
  </r>
  <r>
    <n v="6624"/>
    <x v="518"/>
    <s v="Sales invoice issued"/>
    <x v="273"/>
    <s v="133.64"/>
    <x v="3"/>
    <x v="2"/>
  </r>
  <r>
    <n v="6624"/>
    <x v="518"/>
    <s v="Sales invoice issued"/>
    <x v="273"/>
    <s v="10.02"/>
    <x v="4"/>
    <x v="3"/>
  </r>
  <r>
    <n v="6625"/>
    <x v="518"/>
    <s v="Sales invoice issued"/>
    <x v="2679"/>
    <s v="0.0"/>
    <x v="2"/>
    <x v="0"/>
  </r>
  <r>
    <n v="6625"/>
    <x v="518"/>
    <s v="Sales invoice issued"/>
    <x v="273"/>
    <s v="2618.33"/>
    <x v="3"/>
    <x v="2"/>
  </r>
  <r>
    <n v="6625"/>
    <x v="518"/>
    <s v="Sales invoice issued"/>
    <x v="273"/>
    <s v="196.39"/>
    <x v="4"/>
    <x v="3"/>
  </r>
  <r>
    <n v="6626"/>
    <x v="518"/>
    <s v="Sales invoice issued"/>
    <x v="2680"/>
    <s v="0.0"/>
    <x v="2"/>
    <x v="0"/>
  </r>
  <r>
    <n v="6626"/>
    <x v="518"/>
    <s v="Sales invoice issued"/>
    <x v="273"/>
    <s v="3980.52"/>
    <x v="3"/>
    <x v="2"/>
  </r>
  <r>
    <n v="6626"/>
    <x v="518"/>
    <s v="Sales invoice issued"/>
    <x v="273"/>
    <s v="298.53"/>
    <x v="4"/>
    <x v="3"/>
  </r>
  <r>
    <n v="6627"/>
    <x v="518"/>
    <s v="Sales invoice issued"/>
    <x v="2681"/>
    <s v="0.0"/>
    <x v="2"/>
    <x v="0"/>
  </r>
  <r>
    <n v="6627"/>
    <x v="518"/>
    <s v="Sales invoice issued"/>
    <x v="273"/>
    <s v="3543.84"/>
    <x v="3"/>
    <x v="2"/>
  </r>
  <r>
    <n v="6627"/>
    <x v="518"/>
    <s v="Sales invoice issued"/>
    <x v="273"/>
    <s v="265.79"/>
    <x v="4"/>
    <x v="3"/>
  </r>
  <r>
    <n v="6628"/>
    <x v="518"/>
    <s v="Sales invoice issued"/>
    <x v="2682"/>
    <s v="0.0"/>
    <x v="2"/>
    <x v="0"/>
  </r>
  <r>
    <n v="6628"/>
    <x v="518"/>
    <s v="Sales invoice issued"/>
    <x v="273"/>
    <s v="3467.26"/>
    <x v="3"/>
    <x v="2"/>
  </r>
  <r>
    <n v="6628"/>
    <x v="518"/>
    <s v="Sales invoice issued"/>
    <x v="273"/>
    <s v="260.04"/>
    <x v="4"/>
    <x v="3"/>
  </r>
  <r>
    <n v="6629"/>
    <x v="518"/>
    <s v="Sales invoice issued"/>
    <x v="2683"/>
    <s v="0.0"/>
    <x v="2"/>
    <x v="0"/>
  </r>
  <r>
    <n v="6629"/>
    <x v="518"/>
    <s v="Sales invoice issued"/>
    <x v="273"/>
    <s v="415.7"/>
    <x v="3"/>
    <x v="2"/>
  </r>
  <r>
    <n v="6629"/>
    <x v="518"/>
    <s v="Sales invoice issued"/>
    <x v="273"/>
    <s v="31.18"/>
    <x v="4"/>
    <x v="3"/>
  </r>
  <r>
    <n v="6630"/>
    <x v="518"/>
    <s v="Customer payment received"/>
    <x v="2325"/>
    <s v="0.0"/>
    <x v="0"/>
    <x v="0"/>
  </r>
  <r>
    <n v="6630"/>
    <x v="518"/>
    <s v="Customer payment received"/>
    <x v="273"/>
    <s v="6407.5"/>
    <x v="2"/>
    <x v="0"/>
  </r>
  <r>
    <n v="6631"/>
    <x v="518"/>
    <s v="Customer payment received"/>
    <x v="2390"/>
    <s v="0.0"/>
    <x v="0"/>
    <x v="0"/>
  </r>
  <r>
    <n v="6631"/>
    <x v="518"/>
    <s v="Customer payment received"/>
    <x v="273"/>
    <s v="577.17"/>
    <x v="2"/>
    <x v="0"/>
  </r>
  <r>
    <n v="6632"/>
    <x v="518"/>
    <s v="Customer payment received"/>
    <x v="2433"/>
    <s v="0.0"/>
    <x v="0"/>
    <x v="0"/>
  </r>
  <r>
    <n v="6632"/>
    <x v="518"/>
    <s v="Customer payment received"/>
    <x v="273"/>
    <s v="1635.95"/>
    <x v="2"/>
    <x v="0"/>
  </r>
  <r>
    <n v="6633"/>
    <x v="518"/>
    <s v="Customer payment received"/>
    <x v="1999"/>
    <s v="0.0"/>
    <x v="0"/>
    <x v="0"/>
  </r>
  <r>
    <n v="6633"/>
    <x v="518"/>
    <s v="Customer payment received"/>
    <x v="273"/>
    <s v="56.12"/>
    <x v="2"/>
    <x v="0"/>
  </r>
  <r>
    <n v="6634"/>
    <x v="518"/>
    <s v="Customer payment received"/>
    <x v="2598"/>
    <s v="0.0"/>
    <x v="0"/>
    <x v="0"/>
  </r>
  <r>
    <n v="6634"/>
    <x v="518"/>
    <s v="Customer payment received"/>
    <x v="273"/>
    <s v="3339.07"/>
    <x v="2"/>
    <x v="0"/>
  </r>
  <r>
    <n v="6635"/>
    <x v="518"/>
    <s v="Customer payment received"/>
    <x v="2630"/>
    <s v="0.0"/>
    <x v="0"/>
    <x v="0"/>
  </r>
  <r>
    <n v="6635"/>
    <x v="518"/>
    <s v="Customer payment received"/>
    <x v="273"/>
    <s v="1675.03"/>
    <x v="2"/>
    <x v="0"/>
  </r>
  <r>
    <n v="6636"/>
    <x v="518"/>
    <s v="Customer payment received"/>
    <x v="2633"/>
    <s v="0.0"/>
    <x v="0"/>
    <x v="0"/>
  </r>
  <r>
    <n v="6636"/>
    <x v="518"/>
    <s v="Customer payment received"/>
    <x v="273"/>
    <s v="6429.33"/>
    <x v="2"/>
    <x v="0"/>
  </r>
  <r>
    <n v="6637"/>
    <x v="518"/>
    <s v="Customer payment received"/>
    <x v="2675"/>
    <s v="0.0"/>
    <x v="0"/>
    <x v="0"/>
  </r>
  <r>
    <n v="6637"/>
    <x v="518"/>
    <s v="Customer payment received"/>
    <x v="273"/>
    <s v="896.87"/>
    <x v="2"/>
    <x v="0"/>
  </r>
  <r>
    <n v="6638"/>
    <x v="518"/>
    <s v="Supplier invoice received"/>
    <x v="325"/>
    <s v="0.0"/>
    <x v="9"/>
    <x v="4"/>
  </r>
  <r>
    <n v="6638"/>
    <x v="518"/>
    <s v="Supplier invoice received"/>
    <x v="326"/>
    <s v="0.0"/>
    <x v="10"/>
    <x v="0"/>
  </r>
  <r>
    <n v="6638"/>
    <x v="518"/>
    <s v="Supplier invoice received"/>
    <x v="273"/>
    <s v="1304.62"/>
    <x v="11"/>
    <x v="3"/>
  </r>
  <r>
    <n v="6639"/>
    <x v="518"/>
    <s v="Supplier invoice received"/>
    <x v="297"/>
    <s v="0.0"/>
    <x v="9"/>
    <x v="4"/>
  </r>
  <r>
    <n v="6639"/>
    <x v="518"/>
    <s v="Supplier invoice received"/>
    <x v="298"/>
    <s v="0.0"/>
    <x v="10"/>
    <x v="0"/>
  </r>
  <r>
    <n v="6639"/>
    <x v="518"/>
    <s v="Supplier invoice received"/>
    <x v="273"/>
    <s v="3528.97"/>
    <x v="11"/>
    <x v="3"/>
  </r>
  <r>
    <n v="6640"/>
    <x v="518"/>
    <s v="Supplier invoice received"/>
    <x v="332"/>
    <s v="0.0"/>
    <x v="9"/>
    <x v="4"/>
  </r>
  <r>
    <n v="6640"/>
    <x v="518"/>
    <s v="Supplier invoice received"/>
    <x v="333"/>
    <s v="0.0"/>
    <x v="10"/>
    <x v="0"/>
  </r>
  <r>
    <n v="6640"/>
    <x v="518"/>
    <s v="Supplier invoice received"/>
    <x v="273"/>
    <s v="1023.42"/>
    <x v="11"/>
    <x v="3"/>
  </r>
  <r>
    <n v="6641"/>
    <x v="519"/>
    <s v="Sales invoice issued"/>
    <x v="2684"/>
    <s v="0.0"/>
    <x v="2"/>
    <x v="0"/>
  </r>
  <r>
    <n v="6641"/>
    <x v="519"/>
    <s v="Sales invoice issued"/>
    <x v="273"/>
    <s v="2449.72"/>
    <x v="3"/>
    <x v="2"/>
  </r>
  <r>
    <n v="6641"/>
    <x v="519"/>
    <s v="Sales invoice issued"/>
    <x v="273"/>
    <s v="183.73"/>
    <x v="4"/>
    <x v="3"/>
  </r>
  <r>
    <n v="6642"/>
    <x v="519"/>
    <s v="Sales invoice issued"/>
    <x v="2685"/>
    <s v="0.0"/>
    <x v="2"/>
    <x v="0"/>
  </r>
  <r>
    <n v="6642"/>
    <x v="519"/>
    <s v="Sales invoice issued"/>
    <x v="273"/>
    <s v="1694.02"/>
    <x v="3"/>
    <x v="2"/>
  </r>
  <r>
    <n v="6642"/>
    <x v="519"/>
    <s v="Sales invoice issued"/>
    <x v="273"/>
    <s v="127.06"/>
    <x v="4"/>
    <x v="3"/>
  </r>
  <r>
    <n v="6643"/>
    <x v="519"/>
    <s v="Sales invoice issued"/>
    <x v="2686"/>
    <s v="0.0"/>
    <x v="2"/>
    <x v="0"/>
  </r>
  <r>
    <n v="6643"/>
    <x v="519"/>
    <s v="Sales invoice issued"/>
    <x v="273"/>
    <s v="5839.45"/>
    <x v="3"/>
    <x v="2"/>
  </r>
  <r>
    <n v="6643"/>
    <x v="519"/>
    <s v="Sales invoice issued"/>
    <x v="273"/>
    <s v="437.96"/>
    <x v="4"/>
    <x v="3"/>
  </r>
  <r>
    <n v="6644"/>
    <x v="519"/>
    <s v="Sales invoice issued"/>
    <x v="2687"/>
    <s v="0.0"/>
    <x v="2"/>
    <x v="0"/>
  </r>
  <r>
    <n v="6644"/>
    <x v="519"/>
    <s v="Sales invoice issued"/>
    <x v="273"/>
    <s v="1723.95"/>
    <x v="3"/>
    <x v="2"/>
  </r>
  <r>
    <n v="6644"/>
    <x v="519"/>
    <s v="Sales invoice issued"/>
    <x v="273"/>
    <s v="129.3"/>
    <x v="4"/>
    <x v="3"/>
  </r>
  <r>
    <n v="6645"/>
    <x v="519"/>
    <s v="Sales invoice issued"/>
    <x v="2688"/>
    <s v="0.0"/>
    <x v="2"/>
    <x v="0"/>
  </r>
  <r>
    <n v="6645"/>
    <x v="519"/>
    <s v="Sales invoice issued"/>
    <x v="273"/>
    <s v="2883.54"/>
    <x v="3"/>
    <x v="2"/>
  </r>
  <r>
    <n v="6645"/>
    <x v="519"/>
    <s v="Sales invoice issued"/>
    <x v="273"/>
    <s v="216.27"/>
    <x v="4"/>
    <x v="3"/>
  </r>
  <r>
    <n v="6646"/>
    <x v="519"/>
    <s v="Sales invoice issued"/>
    <x v="2689"/>
    <s v="0.0"/>
    <x v="2"/>
    <x v="0"/>
  </r>
  <r>
    <n v="6646"/>
    <x v="519"/>
    <s v="Sales invoice issued"/>
    <x v="273"/>
    <s v="1241.3"/>
    <x v="3"/>
    <x v="2"/>
  </r>
  <r>
    <n v="6646"/>
    <x v="519"/>
    <s v="Sales invoice issued"/>
    <x v="273"/>
    <s v="93.1"/>
    <x v="4"/>
    <x v="3"/>
  </r>
  <r>
    <n v="6647"/>
    <x v="519"/>
    <s v="Sales invoice issued"/>
    <x v="2690"/>
    <s v="0.0"/>
    <x v="2"/>
    <x v="0"/>
  </r>
  <r>
    <n v="6647"/>
    <x v="519"/>
    <s v="Sales invoice issued"/>
    <x v="273"/>
    <s v="1546.89"/>
    <x v="3"/>
    <x v="2"/>
  </r>
  <r>
    <n v="6647"/>
    <x v="519"/>
    <s v="Sales invoice issued"/>
    <x v="273"/>
    <s v="116.02"/>
    <x v="4"/>
    <x v="3"/>
  </r>
  <r>
    <n v="6648"/>
    <x v="519"/>
    <s v="Sales invoice issued"/>
    <x v="2691"/>
    <s v="0.0"/>
    <x v="2"/>
    <x v="0"/>
  </r>
  <r>
    <n v="6648"/>
    <x v="519"/>
    <s v="Sales invoice issued"/>
    <x v="273"/>
    <s v="4469.26"/>
    <x v="3"/>
    <x v="2"/>
  </r>
  <r>
    <n v="6648"/>
    <x v="519"/>
    <s v="Sales invoice issued"/>
    <x v="273"/>
    <s v="335.19"/>
    <x v="4"/>
    <x v="3"/>
  </r>
  <r>
    <n v="6649"/>
    <x v="519"/>
    <s v="Sales invoice issued"/>
    <x v="2692"/>
    <s v="0.0"/>
    <x v="2"/>
    <x v="0"/>
  </r>
  <r>
    <n v="6649"/>
    <x v="519"/>
    <s v="Sales invoice issued"/>
    <x v="273"/>
    <s v="13.05"/>
    <x v="3"/>
    <x v="2"/>
  </r>
  <r>
    <n v="6649"/>
    <x v="519"/>
    <s v="Sales invoice issued"/>
    <x v="273"/>
    <s v="0.98"/>
    <x v="4"/>
    <x v="3"/>
  </r>
  <r>
    <n v="6650"/>
    <x v="519"/>
    <s v="Customer payment received"/>
    <x v="2401"/>
    <s v="0.0"/>
    <x v="0"/>
    <x v="0"/>
  </r>
  <r>
    <n v="6650"/>
    <x v="519"/>
    <s v="Customer payment received"/>
    <x v="273"/>
    <s v="1553.64"/>
    <x v="2"/>
    <x v="0"/>
  </r>
  <r>
    <n v="6651"/>
    <x v="519"/>
    <s v="Customer payment received"/>
    <x v="2474"/>
    <s v="0.0"/>
    <x v="0"/>
    <x v="0"/>
  </r>
  <r>
    <n v="6651"/>
    <x v="519"/>
    <s v="Customer payment received"/>
    <x v="273"/>
    <s v="5221.32"/>
    <x v="2"/>
    <x v="0"/>
  </r>
  <r>
    <n v="6652"/>
    <x v="519"/>
    <s v="Customer payment received"/>
    <x v="636"/>
    <s v="0.0"/>
    <x v="0"/>
    <x v="0"/>
  </r>
  <r>
    <n v="6652"/>
    <x v="519"/>
    <s v="Customer payment received"/>
    <x v="273"/>
    <s v="70.14"/>
    <x v="2"/>
    <x v="0"/>
  </r>
  <r>
    <n v="6653"/>
    <x v="519"/>
    <s v="Customer payment received"/>
    <x v="2587"/>
    <s v="0.0"/>
    <x v="0"/>
    <x v="0"/>
  </r>
  <r>
    <n v="6653"/>
    <x v="519"/>
    <s v="Customer payment received"/>
    <x v="273"/>
    <s v="1323.8"/>
    <x v="2"/>
    <x v="0"/>
  </r>
  <r>
    <n v="6654"/>
    <x v="519"/>
    <s v="Customer payment received"/>
    <x v="907"/>
    <s v="0.0"/>
    <x v="0"/>
    <x v="0"/>
  </r>
  <r>
    <n v="6654"/>
    <x v="519"/>
    <s v="Customer payment received"/>
    <x v="273"/>
    <s v="930.57"/>
    <x v="2"/>
    <x v="0"/>
  </r>
  <r>
    <n v="6655"/>
    <x v="519"/>
    <s v="Customer payment received"/>
    <x v="2616"/>
    <s v="0.0"/>
    <x v="0"/>
    <x v="0"/>
  </r>
  <r>
    <n v="6655"/>
    <x v="519"/>
    <s v="Customer payment received"/>
    <x v="273"/>
    <s v="2302.07"/>
    <x v="2"/>
    <x v="0"/>
  </r>
  <r>
    <n v="6656"/>
    <x v="519"/>
    <s v="Customer payment received"/>
    <x v="2631"/>
    <s v="0.0"/>
    <x v="0"/>
    <x v="0"/>
  </r>
  <r>
    <n v="6656"/>
    <x v="519"/>
    <s v="Customer payment received"/>
    <x v="273"/>
    <s v="1937.82"/>
    <x v="2"/>
    <x v="0"/>
  </r>
  <r>
    <n v="6657"/>
    <x v="519"/>
    <s v="Customer payment received"/>
    <x v="2640"/>
    <s v="0.0"/>
    <x v="0"/>
    <x v="0"/>
  </r>
  <r>
    <n v="6657"/>
    <x v="519"/>
    <s v="Customer payment received"/>
    <x v="273"/>
    <s v="698.57"/>
    <x v="2"/>
    <x v="0"/>
  </r>
  <r>
    <n v="6658"/>
    <x v="519"/>
    <s v="Customer payment received"/>
    <x v="2647"/>
    <s v="0.0"/>
    <x v="0"/>
    <x v="0"/>
  </r>
  <r>
    <n v="6658"/>
    <x v="519"/>
    <s v="Customer payment received"/>
    <x v="273"/>
    <s v="2708.93"/>
    <x v="2"/>
    <x v="0"/>
  </r>
  <r>
    <n v="6659"/>
    <x v="519"/>
    <s v="Customer payment received"/>
    <x v="2661"/>
    <s v="0.0"/>
    <x v="0"/>
    <x v="0"/>
  </r>
  <r>
    <n v="6659"/>
    <x v="519"/>
    <s v="Customer payment received"/>
    <x v="273"/>
    <s v="3640.46"/>
    <x v="2"/>
    <x v="0"/>
  </r>
  <r>
    <n v="6660"/>
    <x v="519"/>
    <s v="Customer payment received"/>
    <x v="2679"/>
    <s v="0.0"/>
    <x v="0"/>
    <x v="0"/>
  </r>
  <r>
    <n v="6660"/>
    <x v="519"/>
    <s v="Customer payment received"/>
    <x v="273"/>
    <s v="2814.72"/>
    <x v="2"/>
    <x v="0"/>
  </r>
  <r>
    <n v="6661"/>
    <x v="519"/>
    <s v="Customer payment received"/>
    <x v="2691"/>
    <s v="0.0"/>
    <x v="0"/>
    <x v="0"/>
  </r>
  <r>
    <n v="6661"/>
    <x v="519"/>
    <s v="Customer payment received"/>
    <x v="273"/>
    <s v="4804.45"/>
    <x v="2"/>
    <x v="0"/>
  </r>
  <r>
    <n v="6662"/>
    <x v="519"/>
    <s v="Supplier invoice received"/>
    <x v="405"/>
    <s v="0.0"/>
    <x v="9"/>
    <x v="4"/>
  </r>
  <r>
    <n v="6662"/>
    <x v="519"/>
    <s v="Supplier invoice received"/>
    <x v="406"/>
    <s v="0.0"/>
    <x v="10"/>
    <x v="0"/>
  </r>
  <r>
    <n v="6662"/>
    <x v="519"/>
    <s v="Supplier invoice received"/>
    <x v="273"/>
    <s v="2635.36"/>
    <x v="11"/>
    <x v="3"/>
  </r>
  <r>
    <n v="6663"/>
    <x v="519"/>
    <s v="Supplier invoice received"/>
    <x v="303"/>
    <s v="0.0"/>
    <x v="9"/>
    <x v="4"/>
  </r>
  <r>
    <n v="6663"/>
    <x v="519"/>
    <s v="Supplier invoice received"/>
    <x v="304"/>
    <s v="0.0"/>
    <x v="10"/>
    <x v="0"/>
  </r>
  <r>
    <n v="6663"/>
    <x v="519"/>
    <s v="Supplier invoice received"/>
    <x v="273"/>
    <s v="550.4"/>
    <x v="11"/>
    <x v="3"/>
  </r>
  <r>
    <n v="6664"/>
    <x v="519"/>
    <s v="Supplier invoice received"/>
    <x v="383"/>
    <s v="0.0"/>
    <x v="9"/>
    <x v="4"/>
  </r>
  <r>
    <n v="6664"/>
    <x v="519"/>
    <s v="Supplier invoice received"/>
    <x v="384"/>
    <s v="0.0"/>
    <x v="10"/>
    <x v="0"/>
  </r>
  <r>
    <n v="6664"/>
    <x v="519"/>
    <s v="Supplier invoice received"/>
    <x v="273"/>
    <s v="3868.8"/>
    <x v="11"/>
    <x v="3"/>
  </r>
  <r>
    <n v="6665"/>
    <x v="519"/>
    <s v="Supplier invoice received"/>
    <x v="443"/>
    <s v="0.0"/>
    <x v="9"/>
    <x v="4"/>
  </r>
  <r>
    <n v="6665"/>
    <x v="519"/>
    <s v="Supplier invoice received"/>
    <x v="444"/>
    <s v="0.0"/>
    <x v="10"/>
    <x v="0"/>
  </r>
  <r>
    <n v="6665"/>
    <x v="519"/>
    <s v="Supplier invoice received"/>
    <x v="273"/>
    <s v="748.26"/>
    <x v="11"/>
    <x v="3"/>
  </r>
  <r>
    <n v="6666"/>
    <x v="519"/>
    <s v="Supplier payment made"/>
    <x v="352"/>
    <s v="0.0"/>
    <x v="11"/>
    <x v="3"/>
  </r>
  <r>
    <n v="6666"/>
    <x v="519"/>
    <s v="Supplier payment made"/>
    <x v="273"/>
    <s v="9336.67"/>
    <x v="0"/>
    <x v="0"/>
  </r>
  <r>
    <n v="6667"/>
    <x v="519"/>
    <s v="Supplier payment made"/>
    <x v="496"/>
    <s v="0.0"/>
    <x v="11"/>
    <x v="3"/>
  </r>
  <r>
    <n v="6667"/>
    <x v="519"/>
    <s v="Supplier payment made"/>
    <x v="273"/>
    <s v="7227.44"/>
    <x v="0"/>
    <x v="0"/>
  </r>
  <r>
    <n v="6668"/>
    <x v="519"/>
    <s v="Supplier payment made"/>
    <x v="408"/>
    <s v="0.0"/>
    <x v="11"/>
    <x v="3"/>
  </r>
  <r>
    <n v="6668"/>
    <x v="519"/>
    <s v="Supplier payment made"/>
    <x v="273"/>
    <s v="3868.8"/>
    <x v="0"/>
    <x v="0"/>
  </r>
  <r>
    <n v="6669"/>
    <x v="520"/>
    <s v="Sales invoice issued"/>
    <x v="2693"/>
    <s v="0.0"/>
    <x v="2"/>
    <x v="0"/>
  </r>
  <r>
    <n v="6669"/>
    <x v="520"/>
    <s v="Sales invoice issued"/>
    <x v="273"/>
    <s v="1337.04"/>
    <x v="3"/>
    <x v="2"/>
  </r>
  <r>
    <n v="6669"/>
    <x v="520"/>
    <s v="Sales invoice issued"/>
    <x v="273"/>
    <s v="100.27"/>
    <x v="4"/>
    <x v="3"/>
  </r>
  <r>
    <n v="6670"/>
    <x v="520"/>
    <s v="Sales invoice issued"/>
    <x v="2694"/>
    <s v="0.0"/>
    <x v="2"/>
    <x v="0"/>
  </r>
  <r>
    <n v="6670"/>
    <x v="520"/>
    <s v="Sales invoice issued"/>
    <x v="273"/>
    <s v="1530.6"/>
    <x v="3"/>
    <x v="2"/>
  </r>
  <r>
    <n v="6670"/>
    <x v="520"/>
    <s v="Sales invoice issued"/>
    <x v="273"/>
    <s v="114.79"/>
    <x v="4"/>
    <x v="3"/>
  </r>
  <r>
    <n v="6671"/>
    <x v="520"/>
    <s v="Sales invoice issued"/>
    <x v="1023"/>
    <s v="0.0"/>
    <x v="2"/>
    <x v="0"/>
  </r>
  <r>
    <n v="6671"/>
    <x v="520"/>
    <s v="Sales invoice issued"/>
    <x v="273"/>
    <s v="251.2"/>
    <x v="3"/>
    <x v="2"/>
  </r>
  <r>
    <n v="6671"/>
    <x v="520"/>
    <s v="Sales invoice issued"/>
    <x v="273"/>
    <s v="18.84"/>
    <x v="4"/>
    <x v="3"/>
  </r>
  <r>
    <n v="6672"/>
    <x v="520"/>
    <s v="Sales invoice issued"/>
    <x v="2695"/>
    <s v="0.0"/>
    <x v="2"/>
    <x v="0"/>
  </r>
  <r>
    <n v="6672"/>
    <x v="520"/>
    <s v="Sales invoice issued"/>
    <x v="273"/>
    <s v="2754.81"/>
    <x v="3"/>
    <x v="2"/>
  </r>
  <r>
    <n v="6672"/>
    <x v="520"/>
    <s v="Sales invoice issued"/>
    <x v="273"/>
    <s v="206.6"/>
    <x v="4"/>
    <x v="3"/>
  </r>
  <r>
    <n v="6673"/>
    <x v="520"/>
    <s v="Sales invoice issued"/>
    <x v="2696"/>
    <s v="0.0"/>
    <x v="2"/>
    <x v="0"/>
  </r>
  <r>
    <n v="6673"/>
    <x v="520"/>
    <s v="Sales invoice issued"/>
    <x v="273"/>
    <s v="922.17"/>
    <x v="3"/>
    <x v="2"/>
  </r>
  <r>
    <n v="6673"/>
    <x v="520"/>
    <s v="Sales invoice issued"/>
    <x v="273"/>
    <s v="69.17"/>
    <x v="4"/>
    <x v="3"/>
  </r>
  <r>
    <n v="6674"/>
    <x v="520"/>
    <s v="Sales invoice issued"/>
    <x v="2697"/>
    <s v="0.0"/>
    <x v="2"/>
    <x v="0"/>
  </r>
  <r>
    <n v="6674"/>
    <x v="520"/>
    <s v="Sales invoice issued"/>
    <x v="273"/>
    <s v="2118.78"/>
    <x v="3"/>
    <x v="2"/>
  </r>
  <r>
    <n v="6674"/>
    <x v="520"/>
    <s v="Sales invoice issued"/>
    <x v="273"/>
    <s v="158.91"/>
    <x v="4"/>
    <x v="3"/>
  </r>
  <r>
    <n v="6675"/>
    <x v="520"/>
    <s v="Sales invoice issued"/>
    <x v="2698"/>
    <s v="0.0"/>
    <x v="2"/>
    <x v="0"/>
  </r>
  <r>
    <n v="6675"/>
    <x v="520"/>
    <s v="Sales invoice issued"/>
    <x v="273"/>
    <s v="2793.28"/>
    <x v="3"/>
    <x v="2"/>
  </r>
  <r>
    <n v="6675"/>
    <x v="520"/>
    <s v="Sales invoice issued"/>
    <x v="273"/>
    <s v="209.52"/>
    <x v="4"/>
    <x v="3"/>
  </r>
  <r>
    <n v="6676"/>
    <x v="520"/>
    <s v="Sales invoice issued"/>
    <x v="2699"/>
    <s v="0.0"/>
    <x v="2"/>
    <x v="0"/>
  </r>
  <r>
    <n v="6676"/>
    <x v="520"/>
    <s v="Sales invoice issued"/>
    <x v="273"/>
    <s v="306.96"/>
    <x v="3"/>
    <x v="2"/>
  </r>
  <r>
    <n v="6676"/>
    <x v="520"/>
    <s v="Sales invoice issued"/>
    <x v="273"/>
    <s v="23.03"/>
    <x v="4"/>
    <x v="3"/>
  </r>
  <r>
    <n v="6677"/>
    <x v="520"/>
    <s v="Sales invoice issued"/>
    <x v="2700"/>
    <s v="0.0"/>
    <x v="2"/>
    <x v="0"/>
  </r>
  <r>
    <n v="6677"/>
    <x v="520"/>
    <s v="Sales invoice issued"/>
    <x v="273"/>
    <s v="1522.0"/>
    <x v="3"/>
    <x v="2"/>
  </r>
  <r>
    <n v="6677"/>
    <x v="520"/>
    <s v="Sales invoice issued"/>
    <x v="273"/>
    <s v="114.15"/>
    <x v="4"/>
    <x v="3"/>
  </r>
  <r>
    <n v="6678"/>
    <x v="520"/>
    <s v="Sales invoice issued"/>
    <x v="2701"/>
    <s v="0.0"/>
    <x v="2"/>
    <x v="0"/>
  </r>
  <r>
    <n v="6678"/>
    <x v="520"/>
    <s v="Sales invoice issued"/>
    <x v="273"/>
    <s v="1787.28"/>
    <x v="3"/>
    <x v="2"/>
  </r>
  <r>
    <n v="6678"/>
    <x v="520"/>
    <s v="Sales invoice issued"/>
    <x v="273"/>
    <s v="134.04"/>
    <x v="4"/>
    <x v="3"/>
  </r>
  <r>
    <n v="6679"/>
    <x v="520"/>
    <s v="Sales invoice issued"/>
    <x v="2702"/>
    <s v="0.0"/>
    <x v="2"/>
    <x v="0"/>
  </r>
  <r>
    <n v="6679"/>
    <x v="520"/>
    <s v="Sales invoice issued"/>
    <x v="273"/>
    <s v="555.28"/>
    <x v="3"/>
    <x v="2"/>
  </r>
  <r>
    <n v="6679"/>
    <x v="520"/>
    <s v="Sales invoice issued"/>
    <x v="273"/>
    <s v="41.65"/>
    <x v="4"/>
    <x v="3"/>
  </r>
  <r>
    <n v="6680"/>
    <x v="520"/>
    <s v="Sales invoice issued"/>
    <x v="2703"/>
    <s v="0.0"/>
    <x v="2"/>
    <x v="0"/>
  </r>
  <r>
    <n v="6680"/>
    <x v="520"/>
    <s v="Sales invoice issued"/>
    <x v="273"/>
    <s v="2333.92"/>
    <x v="3"/>
    <x v="2"/>
  </r>
  <r>
    <n v="6680"/>
    <x v="520"/>
    <s v="Sales invoice issued"/>
    <x v="273"/>
    <s v="175.03"/>
    <x v="4"/>
    <x v="3"/>
  </r>
  <r>
    <n v="6681"/>
    <x v="520"/>
    <s v="Customer payment received"/>
    <x v="2343"/>
    <s v="0.0"/>
    <x v="0"/>
    <x v="0"/>
  </r>
  <r>
    <n v="6681"/>
    <x v="520"/>
    <s v="Customer payment received"/>
    <x v="273"/>
    <s v="2547.47"/>
    <x v="2"/>
    <x v="0"/>
  </r>
  <r>
    <n v="6682"/>
    <x v="520"/>
    <s v="Customer payment received"/>
    <x v="2449"/>
    <s v="0.0"/>
    <x v="0"/>
    <x v="0"/>
  </r>
  <r>
    <n v="6682"/>
    <x v="520"/>
    <s v="Customer payment received"/>
    <x v="273"/>
    <s v="3726.72"/>
    <x v="2"/>
    <x v="0"/>
  </r>
  <r>
    <n v="6683"/>
    <x v="520"/>
    <s v="Customer payment received"/>
    <x v="2528"/>
    <s v="0.0"/>
    <x v="0"/>
    <x v="0"/>
  </r>
  <r>
    <n v="6683"/>
    <x v="520"/>
    <s v="Customer payment received"/>
    <x v="273"/>
    <s v="1857.54"/>
    <x v="2"/>
    <x v="0"/>
  </r>
  <r>
    <n v="6684"/>
    <x v="520"/>
    <s v="Customer payment received"/>
    <x v="2589"/>
    <s v="0.0"/>
    <x v="0"/>
    <x v="0"/>
  </r>
  <r>
    <n v="6684"/>
    <x v="520"/>
    <s v="Customer payment received"/>
    <x v="273"/>
    <s v="1227.36"/>
    <x v="2"/>
    <x v="0"/>
  </r>
  <r>
    <n v="6685"/>
    <x v="520"/>
    <s v="Customer payment received"/>
    <x v="2607"/>
    <s v="0.0"/>
    <x v="0"/>
    <x v="0"/>
  </r>
  <r>
    <n v="6685"/>
    <x v="520"/>
    <s v="Customer payment received"/>
    <x v="273"/>
    <s v="4283.15"/>
    <x v="2"/>
    <x v="0"/>
  </r>
  <r>
    <n v="6686"/>
    <x v="520"/>
    <s v="Customer payment received"/>
    <x v="2608"/>
    <s v="0.0"/>
    <x v="0"/>
    <x v="0"/>
  </r>
  <r>
    <n v="6686"/>
    <x v="520"/>
    <s v="Customer payment received"/>
    <x v="273"/>
    <s v="192.73"/>
    <x v="2"/>
    <x v="0"/>
  </r>
  <r>
    <n v="6687"/>
    <x v="520"/>
    <s v="Customer payment received"/>
    <x v="2704"/>
    <s v="0.0"/>
    <x v="0"/>
    <x v="0"/>
  </r>
  <r>
    <n v="6687"/>
    <x v="520"/>
    <s v="Customer payment received"/>
    <x v="273"/>
    <s v="449.85"/>
    <x v="2"/>
    <x v="0"/>
  </r>
  <r>
    <n v="6688"/>
    <x v="520"/>
    <s v="Customer payment received"/>
    <x v="2665"/>
    <s v="0.0"/>
    <x v="0"/>
    <x v="0"/>
  </r>
  <r>
    <n v="6688"/>
    <x v="520"/>
    <s v="Customer payment received"/>
    <x v="273"/>
    <s v="1203.62"/>
    <x v="2"/>
    <x v="0"/>
  </r>
  <r>
    <n v="6689"/>
    <x v="520"/>
    <s v="Customer payment received"/>
    <x v="2678"/>
    <s v="0.0"/>
    <x v="0"/>
    <x v="0"/>
  </r>
  <r>
    <n v="6689"/>
    <x v="520"/>
    <s v="Customer payment received"/>
    <x v="273"/>
    <s v="261.94"/>
    <x v="2"/>
    <x v="0"/>
  </r>
  <r>
    <n v="6690"/>
    <x v="520"/>
    <s v="Customer payment received"/>
    <x v="2139"/>
    <s v="0.0"/>
    <x v="0"/>
    <x v="0"/>
  </r>
  <r>
    <n v="6690"/>
    <x v="520"/>
    <s v="Customer payment received"/>
    <x v="273"/>
    <s v="143.66"/>
    <x v="2"/>
    <x v="0"/>
  </r>
  <r>
    <n v="6691"/>
    <x v="520"/>
    <s v="Customer payment received"/>
    <x v="2702"/>
    <s v="0.0"/>
    <x v="0"/>
    <x v="0"/>
  </r>
  <r>
    <n v="6691"/>
    <x v="520"/>
    <s v="Customer payment received"/>
    <x v="273"/>
    <s v="596.93"/>
    <x v="2"/>
    <x v="0"/>
  </r>
  <r>
    <n v="6692"/>
    <x v="520"/>
    <s v="Supplier invoice received"/>
    <x v="330"/>
    <s v="0.0"/>
    <x v="9"/>
    <x v="4"/>
  </r>
  <r>
    <n v="6692"/>
    <x v="520"/>
    <s v="Supplier invoice received"/>
    <x v="331"/>
    <s v="0.0"/>
    <x v="10"/>
    <x v="0"/>
  </r>
  <r>
    <n v="6692"/>
    <x v="520"/>
    <s v="Supplier invoice received"/>
    <x v="273"/>
    <s v="1935.04"/>
    <x v="11"/>
    <x v="3"/>
  </r>
  <r>
    <n v="6693"/>
    <x v="520"/>
    <s v="Supplier invoice received"/>
    <x v="374"/>
    <s v="0.0"/>
    <x v="9"/>
    <x v="4"/>
  </r>
  <r>
    <n v="6693"/>
    <x v="520"/>
    <s v="Supplier invoice received"/>
    <x v="375"/>
    <s v="0.0"/>
    <x v="10"/>
    <x v="0"/>
  </r>
  <r>
    <n v="6693"/>
    <x v="520"/>
    <s v="Supplier invoice received"/>
    <x v="273"/>
    <s v="2504.23"/>
    <x v="11"/>
    <x v="3"/>
  </r>
  <r>
    <n v="6694"/>
    <x v="520"/>
    <s v="Supplier invoice received"/>
    <x v="338"/>
    <s v="0.0"/>
    <x v="9"/>
    <x v="4"/>
  </r>
  <r>
    <n v="6694"/>
    <x v="520"/>
    <s v="Supplier invoice received"/>
    <x v="339"/>
    <s v="0.0"/>
    <x v="10"/>
    <x v="0"/>
  </r>
  <r>
    <n v="6694"/>
    <x v="520"/>
    <s v="Supplier invoice received"/>
    <x v="273"/>
    <s v="1159.84"/>
    <x v="11"/>
    <x v="3"/>
  </r>
  <r>
    <n v="6695"/>
    <x v="520"/>
    <s v="Supplier invoice received"/>
    <x v="366"/>
    <s v="0.0"/>
    <x v="9"/>
    <x v="4"/>
  </r>
  <r>
    <n v="6695"/>
    <x v="520"/>
    <s v="Supplier invoice received"/>
    <x v="367"/>
    <s v="0.0"/>
    <x v="10"/>
    <x v="0"/>
  </r>
  <r>
    <n v="6695"/>
    <x v="520"/>
    <s v="Supplier invoice received"/>
    <x v="273"/>
    <s v="201.5"/>
    <x v="11"/>
    <x v="3"/>
  </r>
  <r>
    <n v="6696"/>
    <x v="520"/>
    <s v="Supplier invoice received"/>
    <x v="372"/>
    <s v="0.0"/>
    <x v="9"/>
    <x v="4"/>
  </r>
  <r>
    <n v="6696"/>
    <x v="520"/>
    <s v="Supplier invoice received"/>
    <x v="373"/>
    <s v="0.0"/>
    <x v="10"/>
    <x v="0"/>
  </r>
  <r>
    <n v="6696"/>
    <x v="520"/>
    <s v="Supplier invoice received"/>
    <x v="273"/>
    <s v="412.54"/>
    <x v="11"/>
    <x v="3"/>
  </r>
  <r>
    <n v="6697"/>
    <x v="520"/>
    <s v="Supplier invoice received"/>
    <x v="305"/>
    <s v="0.0"/>
    <x v="9"/>
    <x v="4"/>
  </r>
  <r>
    <n v="6697"/>
    <x v="520"/>
    <s v="Supplier invoice received"/>
    <x v="306"/>
    <s v="0.0"/>
    <x v="10"/>
    <x v="0"/>
  </r>
  <r>
    <n v="6697"/>
    <x v="520"/>
    <s v="Supplier invoice received"/>
    <x v="273"/>
    <s v="276.32"/>
    <x v="11"/>
    <x v="3"/>
  </r>
  <r>
    <n v="6698"/>
    <x v="520"/>
    <s v="Supplier invoice received"/>
    <x v="441"/>
    <s v="0.0"/>
    <x v="9"/>
    <x v="4"/>
  </r>
  <r>
    <n v="6698"/>
    <x v="520"/>
    <s v="Supplier invoice received"/>
    <x v="442"/>
    <s v="0.0"/>
    <x v="10"/>
    <x v="0"/>
  </r>
  <r>
    <n v="6698"/>
    <x v="520"/>
    <s v="Supplier invoice received"/>
    <x v="273"/>
    <s v="179.01"/>
    <x v="11"/>
    <x v="3"/>
  </r>
  <r>
    <n v="6699"/>
    <x v="520"/>
    <s v="Supplier invoice received"/>
    <x v="295"/>
    <s v="0.0"/>
    <x v="9"/>
    <x v="4"/>
  </r>
  <r>
    <n v="6699"/>
    <x v="520"/>
    <s v="Supplier invoice received"/>
    <x v="296"/>
    <s v="0.0"/>
    <x v="10"/>
    <x v="0"/>
  </r>
  <r>
    <n v="6699"/>
    <x v="520"/>
    <s v="Supplier invoice received"/>
    <x v="273"/>
    <s v="1766.46"/>
    <x v="11"/>
    <x v="3"/>
  </r>
  <r>
    <n v="6700"/>
    <x v="520"/>
    <s v="Supplier payment made"/>
    <x v="488"/>
    <s v="0.0"/>
    <x v="11"/>
    <x v="3"/>
  </r>
  <r>
    <n v="6700"/>
    <x v="520"/>
    <s v="Supplier payment made"/>
    <x v="273"/>
    <s v="2182.41"/>
    <x v="0"/>
    <x v="0"/>
  </r>
  <r>
    <n v="6701"/>
    <x v="520"/>
    <s v="Supplier payment made"/>
    <x v="292"/>
    <s v="0.0"/>
    <x v="11"/>
    <x v="3"/>
  </r>
  <r>
    <n v="6701"/>
    <x v="520"/>
    <s v="Supplier payment made"/>
    <x v="273"/>
    <s v="1766.46"/>
    <x v="0"/>
    <x v="0"/>
  </r>
  <r>
    <n v="6702"/>
    <x v="520"/>
    <s v="Supplier payment made"/>
    <x v="496"/>
    <s v="0.0"/>
    <x v="11"/>
    <x v="3"/>
  </r>
  <r>
    <n v="6702"/>
    <x v="520"/>
    <s v="Supplier payment made"/>
    <x v="273"/>
    <s v="7227.44"/>
    <x v="0"/>
    <x v="0"/>
  </r>
  <r>
    <n v="6703"/>
    <x v="520"/>
    <s v="Supplier payment made"/>
    <x v="488"/>
    <s v="0.0"/>
    <x v="11"/>
    <x v="3"/>
  </r>
  <r>
    <n v="6703"/>
    <x v="520"/>
    <s v="Supplier payment made"/>
    <x v="273"/>
    <s v="2182.41"/>
    <x v="0"/>
    <x v="0"/>
  </r>
  <r>
    <n v="6704"/>
    <x v="520"/>
    <s v="Supplier payment made"/>
    <x v="334"/>
    <s v="0.0"/>
    <x v="11"/>
    <x v="3"/>
  </r>
  <r>
    <n v="6704"/>
    <x v="520"/>
    <s v="Supplier payment made"/>
    <x v="273"/>
    <s v="3528.97"/>
    <x v="0"/>
    <x v="0"/>
  </r>
  <r>
    <n v="6705"/>
    <x v="520"/>
    <s v="Supplier payment made"/>
    <x v="393"/>
    <s v="0.0"/>
    <x v="11"/>
    <x v="3"/>
  </r>
  <r>
    <n v="6705"/>
    <x v="520"/>
    <s v="Supplier payment made"/>
    <x v="273"/>
    <s v="412.54"/>
    <x v="0"/>
    <x v="0"/>
  </r>
  <r>
    <n v="6706"/>
    <x v="520"/>
    <s v="Supplier payment made"/>
    <x v="310"/>
    <s v="0.0"/>
    <x v="11"/>
    <x v="3"/>
  </r>
  <r>
    <n v="6706"/>
    <x v="520"/>
    <s v="Supplier payment made"/>
    <x v="273"/>
    <s v="276.32"/>
    <x v="0"/>
    <x v="0"/>
  </r>
  <r>
    <n v="6707"/>
    <x v="521"/>
    <s v="Sales invoice issued"/>
    <x v="2705"/>
    <s v="0.0"/>
    <x v="2"/>
    <x v="0"/>
  </r>
  <r>
    <n v="6707"/>
    <x v="521"/>
    <s v="Sales invoice issued"/>
    <x v="273"/>
    <s v="1687.45"/>
    <x v="3"/>
    <x v="2"/>
  </r>
  <r>
    <n v="6707"/>
    <x v="521"/>
    <s v="Sales invoice issued"/>
    <x v="273"/>
    <s v="126.56"/>
    <x v="4"/>
    <x v="3"/>
  </r>
  <r>
    <n v="6708"/>
    <x v="521"/>
    <s v="Sales invoice issued"/>
    <x v="2706"/>
    <s v="0.0"/>
    <x v="2"/>
    <x v="0"/>
  </r>
  <r>
    <n v="6708"/>
    <x v="521"/>
    <s v="Sales invoice issued"/>
    <x v="273"/>
    <s v="419.2"/>
    <x v="3"/>
    <x v="2"/>
  </r>
  <r>
    <n v="6708"/>
    <x v="521"/>
    <s v="Sales invoice issued"/>
    <x v="273"/>
    <s v="31.44"/>
    <x v="4"/>
    <x v="3"/>
  </r>
  <r>
    <n v="6709"/>
    <x v="521"/>
    <s v="Sales invoice issued"/>
    <x v="2707"/>
    <s v="0.0"/>
    <x v="2"/>
    <x v="0"/>
  </r>
  <r>
    <n v="6709"/>
    <x v="521"/>
    <s v="Sales invoice issued"/>
    <x v="273"/>
    <s v="2265.46"/>
    <x v="3"/>
    <x v="2"/>
  </r>
  <r>
    <n v="6709"/>
    <x v="521"/>
    <s v="Sales invoice issued"/>
    <x v="273"/>
    <s v="169.91"/>
    <x v="4"/>
    <x v="3"/>
  </r>
  <r>
    <n v="6710"/>
    <x v="521"/>
    <s v="Sales invoice issued"/>
    <x v="2708"/>
    <s v="0.0"/>
    <x v="2"/>
    <x v="0"/>
  </r>
  <r>
    <n v="6710"/>
    <x v="521"/>
    <s v="Sales invoice issued"/>
    <x v="273"/>
    <s v="1421.52"/>
    <x v="3"/>
    <x v="2"/>
  </r>
  <r>
    <n v="6710"/>
    <x v="521"/>
    <s v="Sales invoice issued"/>
    <x v="273"/>
    <s v="106.61"/>
    <x v="4"/>
    <x v="3"/>
  </r>
  <r>
    <n v="6711"/>
    <x v="521"/>
    <s v="Sales invoice issued"/>
    <x v="2709"/>
    <s v="0.0"/>
    <x v="2"/>
    <x v="0"/>
  </r>
  <r>
    <n v="6711"/>
    <x v="521"/>
    <s v="Sales invoice issued"/>
    <x v="273"/>
    <s v="788.96"/>
    <x v="3"/>
    <x v="2"/>
  </r>
  <r>
    <n v="6711"/>
    <x v="521"/>
    <s v="Sales invoice issued"/>
    <x v="273"/>
    <s v="59.17"/>
    <x v="4"/>
    <x v="3"/>
  </r>
  <r>
    <n v="6712"/>
    <x v="521"/>
    <s v="Sales invoice issued"/>
    <x v="2710"/>
    <s v="0.0"/>
    <x v="2"/>
    <x v="0"/>
  </r>
  <r>
    <n v="6712"/>
    <x v="521"/>
    <s v="Sales invoice issued"/>
    <x v="273"/>
    <s v="5139.55"/>
    <x v="3"/>
    <x v="2"/>
  </r>
  <r>
    <n v="6712"/>
    <x v="521"/>
    <s v="Sales invoice issued"/>
    <x v="273"/>
    <s v="385.48"/>
    <x v="4"/>
    <x v="3"/>
  </r>
  <r>
    <n v="6713"/>
    <x v="521"/>
    <s v="Sales invoice issued"/>
    <x v="2711"/>
    <s v="0.0"/>
    <x v="2"/>
    <x v="0"/>
  </r>
  <r>
    <n v="6713"/>
    <x v="521"/>
    <s v="Sales invoice issued"/>
    <x v="273"/>
    <s v="2665.72"/>
    <x v="3"/>
    <x v="2"/>
  </r>
  <r>
    <n v="6713"/>
    <x v="521"/>
    <s v="Sales invoice issued"/>
    <x v="273"/>
    <s v="199.92"/>
    <x v="4"/>
    <x v="3"/>
  </r>
  <r>
    <n v="6714"/>
    <x v="521"/>
    <s v="Sales invoice issued"/>
    <x v="2712"/>
    <s v="0.0"/>
    <x v="2"/>
    <x v="0"/>
  </r>
  <r>
    <n v="6714"/>
    <x v="521"/>
    <s v="Sales invoice issued"/>
    <x v="273"/>
    <s v="1819.05"/>
    <x v="3"/>
    <x v="2"/>
  </r>
  <r>
    <n v="6714"/>
    <x v="521"/>
    <s v="Sales invoice issued"/>
    <x v="273"/>
    <s v="136.44"/>
    <x v="4"/>
    <x v="3"/>
  </r>
  <r>
    <n v="6715"/>
    <x v="521"/>
    <s v="Sales invoice issued"/>
    <x v="2713"/>
    <s v="0.0"/>
    <x v="2"/>
    <x v="0"/>
  </r>
  <r>
    <n v="6715"/>
    <x v="521"/>
    <s v="Sales invoice issued"/>
    <x v="273"/>
    <s v="1929.36"/>
    <x v="3"/>
    <x v="2"/>
  </r>
  <r>
    <n v="6715"/>
    <x v="521"/>
    <s v="Sales invoice issued"/>
    <x v="273"/>
    <s v="144.71"/>
    <x v="4"/>
    <x v="3"/>
  </r>
  <r>
    <n v="6716"/>
    <x v="521"/>
    <s v="Customer payment received"/>
    <x v="2427"/>
    <s v="0.0"/>
    <x v="0"/>
    <x v="0"/>
  </r>
  <r>
    <n v="6716"/>
    <x v="521"/>
    <s v="Customer payment received"/>
    <x v="273"/>
    <s v="4123.81"/>
    <x v="2"/>
    <x v="0"/>
  </r>
  <r>
    <n v="6717"/>
    <x v="521"/>
    <s v="Customer payment received"/>
    <x v="2446"/>
    <s v="0.0"/>
    <x v="0"/>
    <x v="0"/>
  </r>
  <r>
    <n v="6717"/>
    <x v="521"/>
    <s v="Customer payment received"/>
    <x v="273"/>
    <s v="2679.04"/>
    <x v="2"/>
    <x v="0"/>
  </r>
  <r>
    <n v="6718"/>
    <x v="521"/>
    <s v="Customer payment received"/>
    <x v="2451"/>
    <s v="0.0"/>
    <x v="0"/>
    <x v="0"/>
  </r>
  <r>
    <n v="6718"/>
    <x v="521"/>
    <s v="Customer payment received"/>
    <x v="273"/>
    <s v="684.1"/>
    <x v="2"/>
    <x v="0"/>
  </r>
  <r>
    <n v="6719"/>
    <x v="521"/>
    <s v="Customer payment received"/>
    <x v="2466"/>
    <s v="0.0"/>
    <x v="0"/>
    <x v="0"/>
  </r>
  <r>
    <n v="6719"/>
    <x v="521"/>
    <s v="Customer payment received"/>
    <x v="273"/>
    <s v="3017.57"/>
    <x v="2"/>
    <x v="0"/>
  </r>
  <r>
    <n v="6720"/>
    <x v="521"/>
    <s v="Customer payment received"/>
    <x v="2502"/>
    <s v="0.0"/>
    <x v="0"/>
    <x v="0"/>
  </r>
  <r>
    <n v="6720"/>
    <x v="521"/>
    <s v="Customer payment received"/>
    <x v="273"/>
    <s v="83.5"/>
    <x v="2"/>
    <x v="0"/>
  </r>
  <r>
    <n v="6721"/>
    <x v="521"/>
    <s v="Customer payment received"/>
    <x v="2529"/>
    <s v="0.0"/>
    <x v="0"/>
    <x v="0"/>
  </r>
  <r>
    <n v="6721"/>
    <x v="521"/>
    <s v="Customer payment received"/>
    <x v="273"/>
    <s v="32.34"/>
    <x v="2"/>
    <x v="0"/>
  </r>
  <r>
    <n v="6722"/>
    <x v="521"/>
    <s v="Customer payment received"/>
    <x v="2581"/>
    <s v="0.0"/>
    <x v="0"/>
    <x v="0"/>
  </r>
  <r>
    <n v="6722"/>
    <x v="521"/>
    <s v="Customer payment received"/>
    <x v="273"/>
    <s v="3561.24"/>
    <x v="2"/>
    <x v="0"/>
  </r>
  <r>
    <n v="6723"/>
    <x v="521"/>
    <s v="Customer payment received"/>
    <x v="2714"/>
    <s v="0.0"/>
    <x v="0"/>
    <x v="0"/>
  </r>
  <r>
    <n v="6723"/>
    <x v="521"/>
    <s v="Customer payment received"/>
    <x v="273"/>
    <s v="368.28"/>
    <x v="2"/>
    <x v="0"/>
  </r>
  <r>
    <n v="6724"/>
    <x v="521"/>
    <s v="Customer payment received"/>
    <x v="2621"/>
    <s v="0.0"/>
    <x v="0"/>
    <x v="0"/>
  </r>
  <r>
    <n v="6724"/>
    <x v="521"/>
    <s v="Customer payment received"/>
    <x v="273"/>
    <s v="4082.42"/>
    <x v="2"/>
    <x v="0"/>
  </r>
  <r>
    <n v="6725"/>
    <x v="521"/>
    <s v="Customer payment received"/>
    <x v="2626"/>
    <s v="0.0"/>
    <x v="0"/>
    <x v="0"/>
  </r>
  <r>
    <n v="6725"/>
    <x v="521"/>
    <s v="Customer payment received"/>
    <x v="273"/>
    <s v="1814.67"/>
    <x v="2"/>
    <x v="0"/>
  </r>
  <r>
    <n v="6726"/>
    <x v="521"/>
    <s v="Customer payment received"/>
    <x v="2637"/>
    <s v="0.0"/>
    <x v="0"/>
    <x v="0"/>
  </r>
  <r>
    <n v="6726"/>
    <x v="521"/>
    <s v="Customer payment received"/>
    <x v="273"/>
    <s v="2079.1"/>
    <x v="2"/>
    <x v="0"/>
  </r>
  <r>
    <n v="6727"/>
    <x v="521"/>
    <s v="Customer payment received"/>
    <x v="2645"/>
    <s v="0.0"/>
    <x v="0"/>
    <x v="0"/>
  </r>
  <r>
    <n v="6727"/>
    <x v="521"/>
    <s v="Customer payment received"/>
    <x v="273"/>
    <s v="3766.86"/>
    <x v="2"/>
    <x v="0"/>
  </r>
  <r>
    <n v="6728"/>
    <x v="521"/>
    <s v="Customer payment received"/>
    <x v="1662"/>
    <s v="0.0"/>
    <x v="0"/>
    <x v="0"/>
  </r>
  <r>
    <n v="6728"/>
    <x v="521"/>
    <s v="Customer payment received"/>
    <x v="273"/>
    <s v="1116.69"/>
    <x v="2"/>
    <x v="0"/>
  </r>
  <r>
    <n v="6729"/>
    <x v="521"/>
    <s v="Customer payment received"/>
    <x v="2672"/>
    <s v="0.0"/>
    <x v="0"/>
    <x v="0"/>
  </r>
  <r>
    <n v="6729"/>
    <x v="521"/>
    <s v="Customer payment received"/>
    <x v="273"/>
    <s v="1653.84"/>
    <x v="2"/>
    <x v="0"/>
  </r>
  <r>
    <n v="6730"/>
    <x v="521"/>
    <s v="Customer payment received"/>
    <x v="2715"/>
    <s v="0.0"/>
    <x v="0"/>
    <x v="0"/>
  </r>
  <r>
    <n v="6730"/>
    <x v="521"/>
    <s v="Customer payment received"/>
    <x v="273"/>
    <s v="1419.6"/>
    <x v="2"/>
    <x v="0"/>
  </r>
  <r>
    <n v="6731"/>
    <x v="521"/>
    <s v="Supplier payment made"/>
    <x v="313"/>
    <s v="0.0"/>
    <x v="11"/>
    <x v="3"/>
  </r>
  <r>
    <n v="6731"/>
    <x v="521"/>
    <s v="Supplier payment made"/>
    <x v="273"/>
    <s v="1159.84"/>
    <x v="0"/>
    <x v="0"/>
  </r>
  <r>
    <n v="6732"/>
    <x v="521"/>
    <s v="Supplier payment made"/>
    <x v="466"/>
    <s v="0.0"/>
    <x v="11"/>
    <x v="3"/>
  </r>
  <r>
    <n v="6732"/>
    <x v="521"/>
    <s v="Supplier payment made"/>
    <x v="273"/>
    <s v="748.26"/>
    <x v="0"/>
    <x v="0"/>
  </r>
  <r>
    <n v="6733"/>
    <x v="521"/>
    <s v="Supplier payment made"/>
    <x v="515"/>
    <s v="0.0"/>
    <x v="11"/>
    <x v="3"/>
  </r>
  <r>
    <n v="6733"/>
    <x v="521"/>
    <s v="Supplier payment made"/>
    <x v="273"/>
    <s v="862.91"/>
    <x v="0"/>
    <x v="0"/>
  </r>
  <r>
    <n v="6734"/>
    <x v="521"/>
    <s v="Supplier payment made"/>
    <x v="392"/>
    <s v="0.0"/>
    <x v="11"/>
    <x v="3"/>
  </r>
  <r>
    <n v="6734"/>
    <x v="521"/>
    <s v="Supplier payment made"/>
    <x v="273"/>
    <s v="1023.42"/>
    <x v="0"/>
    <x v="0"/>
  </r>
  <r>
    <n v="6735"/>
    <x v="521"/>
    <s v="Supplier payment made"/>
    <x v="408"/>
    <s v="0.0"/>
    <x v="11"/>
    <x v="3"/>
  </r>
  <r>
    <n v="6735"/>
    <x v="521"/>
    <s v="Supplier payment made"/>
    <x v="273"/>
    <s v="3868.8"/>
    <x v="0"/>
    <x v="0"/>
  </r>
  <r>
    <n v="6736"/>
    <x v="521"/>
    <s v="Supplier payment made"/>
    <x v="335"/>
    <s v="0.0"/>
    <x v="11"/>
    <x v="3"/>
  </r>
  <r>
    <n v="6736"/>
    <x v="521"/>
    <s v="Supplier payment made"/>
    <x v="273"/>
    <s v="550.4"/>
    <x v="0"/>
    <x v="0"/>
  </r>
  <r>
    <n v="6737"/>
    <x v="522"/>
    <s v="Sales invoice issued"/>
    <x v="2716"/>
    <s v="0.0"/>
    <x v="2"/>
    <x v="0"/>
  </r>
  <r>
    <n v="6737"/>
    <x v="522"/>
    <s v="Sales invoice issued"/>
    <x v="273"/>
    <s v="3017.24"/>
    <x v="3"/>
    <x v="2"/>
  </r>
  <r>
    <n v="6737"/>
    <x v="522"/>
    <s v="Sales invoice issued"/>
    <x v="273"/>
    <s v="226.3"/>
    <x v="4"/>
    <x v="3"/>
  </r>
  <r>
    <n v="6738"/>
    <x v="522"/>
    <s v="Sales invoice issued"/>
    <x v="2717"/>
    <s v="0.0"/>
    <x v="2"/>
    <x v="0"/>
  </r>
  <r>
    <n v="6738"/>
    <x v="522"/>
    <s v="Sales invoice issued"/>
    <x v="273"/>
    <s v="2852.76"/>
    <x v="3"/>
    <x v="2"/>
  </r>
  <r>
    <n v="6738"/>
    <x v="522"/>
    <s v="Sales invoice issued"/>
    <x v="273"/>
    <s v="213.96"/>
    <x v="4"/>
    <x v="3"/>
  </r>
  <r>
    <n v="6739"/>
    <x v="522"/>
    <s v="Sales invoice issued"/>
    <x v="2718"/>
    <s v="0.0"/>
    <x v="2"/>
    <x v="0"/>
  </r>
  <r>
    <n v="6739"/>
    <x v="522"/>
    <s v="Sales invoice issued"/>
    <x v="273"/>
    <s v="1411.21"/>
    <x v="3"/>
    <x v="2"/>
  </r>
  <r>
    <n v="6739"/>
    <x v="522"/>
    <s v="Sales invoice issued"/>
    <x v="273"/>
    <s v="105.84"/>
    <x v="4"/>
    <x v="3"/>
  </r>
  <r>
    <n v="6740"/>
    <x v="522"/>
    <s v="Sales invoice issued"/>
    <x v="2719"/>
    <s v="0.0"/>
    <x v="2"/>
    <x v="0"/>
  </r>
  <r>
    <n v="6740"/>
    <x v="522"/>
    <s v="Sales invoice issued"/>
    <x v="273"/>
    <s v="3831.34"/>
    <x v="3"/>
    <x v="2"/>
  </r>
  <r>
    <n v="6740"/>
    <x v="522"/>
    <s v="Sales invoice issued"/>
    <x v="273"/>
    <s v="287.35"/>
    <x v="4"/>
    <x v="3"/>
  </r>
  <r>
    <n v="6741"/>
    <x v="522"/>
    <s v="Sales invoice issued"/>
    <x v="2720"/>
    <s v="0.0"/>
    <x v="2"/>
    <x v="0"/>
  </r>
  <r>
    <n v="6741"/>
    <x v="522"/>
    <s v="Sales invoice issued"/>
    <x v="273"/>
    <s v="2516.78"/>
    <x v="3"/>
    <x v="2"/>
  </r>
  <r>
    <n v="6741"/>
    <x v="522"/>
    <s v="Sales invoice issued"/>
    <x v="273"/>
    <s v="188.76"/>
    <x v="4"/>
    <x v="3"/>
  </r>
  <r>
    <n v="6742"/>
    <x v="522"/>
    <s v="Sales invoice issued"/>
    <x v="2721"/>
    <s v="0.0"/>
    <x v="2"/>
    <x v="0"/>
  </r>
  <r>
    <n v="6742"/>
    <x v="522"/>
    <s v="Sales invoice issued"/>
    <x v="273"/>
    <s v="3280.54"/>
    <x v="3"/>
    <x v="2"/>
  </r>
  <r>
    <n v="6742"/>
    <x v="522"/>
    <s v="Sales invoice issued"/>
    <x v="273"/>
    <s v="246.04"/>
    <x v="4"/>
    <x v="3"/>
  </r>
  <r>
    <n v="6743"/>
    <x v="522"/>
    <s v="Sales invoice issued"/>
    <x v="919"/>
    <s v="0.0"/>
    <x v="2"/>
    <x v="0"/>
  </r>
  <r>
    <n v="6743"/>
    <x v="522"/>
    <s v="Sales invoice issued"/>
    <x v="273"/>
    <s v="1383.21"/>
    <x v="3"/>
    <x v="2"/>
  </r>
  <r>
    <n v="6743"/>
    <x v="522"/>
    <s v="Sales invoice issued"/>
    <x v="273"/>
    <s v="103.74"/>
    <x v="4"/>
    <x v="3"/>
  </r>
  <r>
    <n v="6744"/>
    <x v="522"/>
    <s v="Sales invoice issued"/>
    <x v="2722"/>
    <s v="0.0"/>
    <x v="2"/>
    <x v="0"/>
  </r>
  <r>
    <n v="6744"/>
    <x v="522"/>
    <s v="Sales invoice issued"/>
    <x v="273"/>
    <s v="798.34"/>
    <x v="3"/>
    <x v="2"/>
  </r>
  <r>
    <n v="6744"/>
    <x v="522"/>
    <s v="Sales invoice issued"/>
    <x v="273"/>
    <s v="59.88"/>
    <x v="4"/>
    <x v="3"/>
  </r>
  <r>
    <n v="6745"/>
    <x v="522"/>
    <s v="Sales invoice issued"/>
    <x v="2723"/>
    <s v="0.0"/>
    <x v="2"/>
    <x v="0"/>
  </r>
  <r>
    <n v="6745"/>
    <x v="522"/>
    <s v="Sales invoice issued"/>
    <x v="273"/>
    <s v="38.35"/>
    <x v="3"/>
    <x v="2"/>
  </r>
  <r>
    <n v="6745"/>
    <x v="522"/>
    <s v="Sales invoice issued"/>
    <x v="273"/>
    <s v="2.88"/>
    <x v="4"/>
    <x v="3"/>
  </r>
  <r>
    <n v="6746"/>
    <x v="522"/>
    <s v="Sales invoice issued"/>
    <x v="2724"/>
    <s v="0.0"/>
    <x v="2"/>
    <x v="0"/>
  </r>
  <r>
    <n v="6746"/>
    <x v="522"/>
    <s v="Sales invoice issued"/>
    <x v="273"/>
    <s v="1517.38"/>
    <x v="3"/>
    <x v="2"/>
  </r>
  <r>
    <n v="6746"/>
    <x v="522"/>
    <s v="Sales invoice issued"/>
    <x v="273"/>
    <s v="113.8"/>
    <x v="4"/>
    <x v="3"/>
  </r>
  <r>
    <n v="6747"/>
    <x v="522"/>
    <s v="Sales invoice issued"/>
    <x v="2725"/>
    <s v="0.0"/>
    <x v="2"/>
    <x v="0"/>
  </r>
  <r>
    <n v="6747"/>
    <x v="522"/>
    <s v="Sales invoice issued"/>
    <x v="273"/>
    <s v="1375.2"/>
    <x v="3"/>
    <x v="2"/>
  </r>
  <r>
    <n v="6747"/>
    <x v="522"/>
    <s v="Sales invoice issued"/>
    <x v="273"/>
    <s v="103.13"/>
    <x v="4"/>
    <x v="3"/>
  </r>
  <r>
    <n v="6748"/>
    <x v="522"/>
    <s v="Customer payment received"/>
    <x v="2444"/>
    <s v="0.0"/>
    <x v="0"/>
    <x v="0"/>
  </r>
  <r>
    <n v="6748"/>
    <x v="522"/>
    <s v="Customer payment received"/>
    <x v="273"/>
    <s v="1992.39"/>
    <x v="2"/>
    <x v="0"/>
  </r>
  <r>
    <n v="6749"/>
    <x v="522"/>
    <s v="Customer payment received"/>
    <x v="2494"/>
    <s v="0.0"/>
    <x v="0"/>
    <x v="0"/>
  </r>
  <r>
    <n v="6749"/>
    <x v="522"/>
    <s v="Customer payment received"/>
    <x v="273"/>
    <s v="1690.19"/>
    <x v="2"/>
    <x v="0"/>
  </r>
  <r>
    <n v="6750"/>
    <x v="522"/>
    <s v="Customer payment received"/>
    <x v="2506"/>
    <s v="0.0"/>
    <x v="0"/>
    <x v="0"/>
  </r>
  <r>
    <n v="6750"/>
    <x v="522"/>
    <s v="Customer payment received"/>
    <x v="273"/>
    <s v="2360.12"/>
    <x v="2"/>
    <x v="0"/>
  </r>
  <r>
    <n v="6751"/>
    <x v="522"/>
    <s v="Customer payment received"/>
    <x v="2572"/>
    <s v="0.0"/>
    <x v="0"/>
    <x v="0"/>
  </r>
  <r>
    <n v="6751"/>
    <x v="522"/>
    <s v="Customer payment received"/>
    <x v="273"/>
    <s v="2184.02"/>
    <x v="2"/>
    <x v="0"/>
  </r>
  <r>
    <n v="6752"/>
    <x v="522"/>
    <s v="Customer payment received"/>
    <x v="2573"/>
    <s v="0.0"/>
    <x v="0"/>
    <x v="0"/>
  </r>
  <r>
    <n v="6752"/>
    <x v="522"/>
    <s v="Customer payment received"/>
    <x v="273"/>
    <s v="2254.86"/>
    <x v="2"/>
    <x v="0"/>
  </r>
  <r>
    <n v="6753"/>
    <x v="522"/>
    <s v="Customer payment received"/>
    <x v="2635"/>
    <s v="0.0"/>
    <x v="0"/>
    <x v="0"/>
  </r>
  <r>
    <n v="6753"/>
    <x v="522"/>
    <s v="Customer payment received"/>
    <x v="273"/>
    <s v="2748.23"/>
    <x v="2"/>
    <x v="0"/>
  </r>
  <r>
    <n v="6754"/>
    <x v="522"/>
    <s v="Supplier payment made"/>
    <x v="496"/>
    <s v="0.0"/>
    <x v="11"/>
    <x v="3"/>
  </r>
  <r>
    <n v="6754"/>
    <x v="522"/>
    <s v="Supplier payment made"/>
    <x v="273"/>
    <s v="7227.44"/>
    <x v="0"/>
    <x v="0"/>
  </r>
  <r>
    <n v="6755"/>
    <x v="522"/>
    <s v="Supplier payment made"/>
    <x v="318"/>
    <s v="0.0"/>
    <x v="11"/>
    <x v="3"/>
  </r>
  <r>
    <n v="6755"/>
    <x v="522"/>
    <s v="Supplier payment made"/>
    <x v="273"/>
    <s v="2504.23"/>
    <x v="0"/>
    <x v="0"/>
  </r>
  <r>
    <n v="6756"/>
    <x v="522"/>
    <s v="Supplier payment made"/>
    <x v="353"/>
    <s v="0.0"/>
    <x v="11"/>
    <x v="3"/>
  </r>
  <r>
    <n v="6756"/>
    <x v="522"/>
    <s v="Supplier payment made"/>
    <x v="273"/>
    <s v="2918.17"/>
    <x v="0"/>
    <x v="0"/>
  </r>
  <r>
    <n v="6757"/>
    <x v="522"/>
    <s v="Supplier payment made"/>
    <x v="407"/>
    <s v="0.0"/>
    <x v="11"/>
    <x v="3"/>
  </r>
  <r>
    <n v="6757"/>
    <x v="522"/>
    <s v="Supplier payment made"/>
    <x v="273"/>
    <s v="201.5"/>
    <x v="0"/>
    <x v="0"/>
  </r>
  <r>
    <n v="6758"/>
    <x v="522"/>
    <s v="Depreciation â€” Printer/Scanner"/>
    <x v="427"/>
    <s v="0.0"/>
    <x v="12"/>
    <x v="4"/>
  </r>
  <r>
    <n v="6758"/>
    <x v="522"/>
    <s v="Depreciation â€” Printer/Scanner"/>
    <x v="273"/>
    <s v="20.03"/>
    <x v="13"/>
    <x v="0"/>
  </r>
  <r>
    <n v="6759"/>
    <x v="522"/>
    <s v="Depreciation â€” Shop Shelving"/>
    <x v="428"/>
    <s v="0.0"/>
    <x v="12"/>
    <x v="4"/>
  </r>
  <r>
    <n v="6759"/>
    <x v="522"/>
    <s v="Depreciation â€” Shop Shelving"/>
    <x v="273"/>
    <s v="86.89"/>
    <x v="14"/>
    <x v="0"/>
  </r>
  <r>
    <n v="6760"/>
    <x v="522"/>
    <s v="Depreciation â€” Display Stands"/>
    <x v="429"/>
    <s v="0.0"/>
    <x v="12"/>
    <x v="4"/>
  </r>
  <r>
    <n v="6760"/>
    <x v="522"/>
    <s v="Depreciation â€” Display Stands"/>
    <x v="273"/>
    <s v="76.8"/>
    <x v="14"/>
    <x v="0"/>
  </r>
  <r>
    <n v="6761"/>
    <x v="522"/>
    <s v="Depreciation â€” Counter &amp; Checkout"/>
    <x v="430"/>
    <s v="0.0"/>
    <x v="12"/>
    <x v="4"/>
  </r>
  <r>
    <n v="6761"/>
    <x v="522"/>
    <s v="Depreciation â€” Counter &amp; Checkout"/>
    <x v="273"/>
    <s v="48.28"/>
    <x v="14"/>
    <x v="0"/>
  </r>
  <r>
    <n v="6762"/>
    <x v="522"/>
    <s v="Depreciation â€” Signage"/>
    <x v="431"/>
    <s v="0.0"/>
    <x v="12"/>
    <x v="4"/>
  </r>
  <r>
    <n v="6762"/>
    <x v="522"/>
    <s v="Depreciation â€” Signage"/>
    <x v="273"/>
    <s v="53.21"/>
    <x v="14"/>
    <x v="0"/>
  </r>
  <r>
    <n v="6763"/>
    <x v="522"/>
    <s v="Depreciation â€” Delivery Van"/>
    <x v="432"/>
    <s v="0.0"/>
    <x v="12"/>
    <x v="4"/>
  </r>
  <r>
    <n v="6763"/>
    <x v="522"/>
    <s v="Depreciation â€” Delivery Van"/>
    <x v="273"/>
    <s v="232.19"/>
    <x v="15"/>
    <x v="0"/>
  </r>
  <r>
    <n v="6764"/>
    <x v="522"/>
    <s v="Depreciation â€” Security System"/>
    <x v="433"/>
    <s v="0.0"/>
    <x v="12"/>
    <x v="4"/>
  </r>
  <r>
    <n v="6764"/>
    <x v="522"/>
    <s v="Depreciation â€” Security System"/>
    <x v="273"/>
    <s v="43.85"/>
    <x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ACB1B-BFC6-4DFD-AEE7-343AED84FD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1" firstHeaderRow="0" firstDataRow="1" firstDataCol="1" rowPageCount="2" colPageCount="1"/>
  <pivotFields count="7">
    <pivotField showAll="0"/>
    <pivotField axis="axisPage" numFmtId="14" multipleItemSelectionAllowed="1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t="default"/>
      </items>
    </pivotField>
    <pivotField showAll="0"/>
    <pivotField dataField="1" showAll="0">
      <items count="2727">
        <item x="1"/>
        <item x="150"/>
        <item x="152"/>
        <item x="135"/>
        <item x="58"/>
        <item x="105"/>
        <item x="246"/>
        <item x="84"/>
        <item x="64"/>
        <item x="61"/>
        <item x="121"/>
        <item x="62"/>
        <item x="96"/>
        <item x="36"/>
        <item x="60"/>
        <item x="57"/>
        <item x="177"/>
        <item x="59"/>
        <item x="154"/>
        <item x="161"/>
        <item x="56"/>
        <item x="221"/>
        <item x="34"/>
        <item x="264"/>
        <item x="109"/>
        <item x="86"/>
        <item x="148"/>
        <item x="269"/>
        <item x="191"/>
        <item x="212"/>
        <item x="81"/>
        <item x="149"/>
        <item x="44"/>
        <item x="199"/>
        <item x="214"/>
        <item x="151"/>
        <item x="162"/>
        <item x="51"/>
        <item x="175"/>
        <item x="63"/>
        <item x="258"/>
        <item x="22"/>
        <item x="233"/>
        <item x="134"/>
        <item x="144"/>
        <item x="193"/>
        <item x="157"/>
        <item x="40"/>
        <item x="30"/>
        <item x="72"/>
        <item x="126"/>
        <item x="210"/>
        <item x="119"/>
        <item x="100"/>
        <item x="9"/>
        <item x="236"/>
        <item x="107"/>
        <item x="178"/>
        <item x="104"/>
        <item x="114"/>
        <item x="224"/>
        <item x="76"/>
        <item x="255"/>
        <item x="234"/>
        <item x="124"/>
        <item x="102"/>
        <item x="167"/>
        <item x="4"/>
        <item x="146"/>
        <item x="129"/>
        <item x="184"/>
        <item x="245"/>
        <item x="137"/>
        <item x="138"/>
        <item x="68"/>
        <item x="262"/>
        <item x="92"/>
        <item x="79"/>
        <item x="75"/>
        <item x="25"/>
        <item x="55"/>
        <item x="174"/>
        <item x="77"/>
        <item x="88"/>
        <item x="120"/>
        <item x="20"/>
        <item x="46"/>
        <item x="208"/>
        <item x="125"/>
        <item x="243"/>
        <item x="48"/>
        <item x="139"/>
        <item x="95"/>
        <item x="198"/>
        <item x="153"/>
        <item x="29"/>
        <item x="31"/>
        <item x="6"/>
        <item x="123"/>
        <item x="164"/>
        <item x="230"/>
        <item x="113"/>
        <item x="27"/>
        <item x="106"/>
        <item x="24"/>
        <item x="195"/>
        <item x="103"/>
        <item x="3"/>
        <item x="35"/>
        <item x="159"/>
        <item x="97"/>
        <item x="247"/>
        <item x="18"/>
        <item x="45"/>
        <item x="169"/>
        <item x="189"/>
        <item x="271"/>
        <item x="69"/>
        <item x="16"/>
        <item x="176"/>
        <item x="98"/>
        <item x="259"/>
        <item x="145"/>
        <item x="200"/>
        <item x="65"/>
        <item x="89"/>
        <item x="53"/>
        <item x="266"/>
        <item x="160"/>
        <item x="8"/>
        <item x="66"/>
        <item x="216"/>
        <item x="226"/>
        <item x="33"/>
        <item x="132"/>
        <item x="15"/>
        <item x="222"/>
        <item x="108"/>
        <item x="70"/>
        <item x="188"/>
        <item x="10"/>
        <item x="204"/>
        <item x="131"/>
        <item x="111"/>
        <item x="12"/>
        <item x="127"/>
        <item x="180"/>
        <item x="85"/>
        <item x="147"/>
        <item x="26"/>
        <item x="241"/>
        <item x="179"/>
        <item x="215"/>
        <item x="78"/>
        <item x="19"/>
        <item x="128"/>
        <item x="185"/>
        <item x="268"/>
        <item x="190"/>
        <item x="205"/>
        <item x="7"/>
        <item x="2"/>
        <item x="136"/>
        <item x="42"/>
        <item x="173"/>
        <item x="142"/>
        <item x="130"/>
        <item x="211"/>
        <item x="166"/>
        <item x="201"/>
        <item x="253"/>
        <item x="14"/>
        <item x="181"/>
        <item x="242"/>
        <item x="80"/>
        <item x="41"/>
        <item x="228"/>
        <item x="165"/>
        <item x="257"/>
        <item x="239"/>
        <item x="17"/>
        <item x="110"/>
        <item x="260"/>
        <item x="87"/>
        <item x="220"/>
        <item x="227"/>
        <item x="172"/>
        <item x="217"/>
        <item x="250"/>
        <item x="207"/>
        <item x="83"/>
        <item x="43"/>
        <item x="261"/>
        <item x="94"/>
        <item x="118"/>
        <item x="251"/>
        <item x="213"/>
        <item x="49"/>
        <item x="219"/>
        <item x="52"/>
        <item x="39"/>
        <item x="38"/>
        <item x="203"/>
        <item x="206"/>
        <item x="101"/>
        <item x="50"/>
        <item x="194"/>
        <item x="143"/>
        <item x="235"/>
        <item x="265"/>
        <item x="202"/>
        <item x="170"/>
        <item x="82"/>
        <item x="141"/>
        <item x="254"/>
        <item x="187"/>
        <item x="197"/>
        <item x="156"/>
        <item x="244"/>
        <item x="116"/>
        <item x="196"/>
        <item x="117"/>
        <item x="158"/>
        <item x="99"/>
        <item x="249"/>
        <item x="21"/>
        <item x="237"/>
        <item x="112"/>
        <item x="256"/>
        <item x="231"/>
        <item x="232"/>
        <item x="93"/>
        <item x="186"/>
        <item x="32"/>
        <item x="171"/>
        <item x="248"/>
        <item x="73"/>
        <item x="71"/>
        <item x="192"/>
        <item x="267"/>
        <item x="37"/>
        <item x="182"/>
        <item x="155"/>
        <item x="263"/>
        <item x="218"/>
        <item x="140"/>
        <item x="13"/>
        <item x="209"/>
        <item x="47"/>
        <item x="90"/>
        <item x="240"/>
        <item x="91"/>
        <item x="23"/>
        <item x="252"/>
        <item x="270"/>
        <item x="168"/>
        <item x="115"/>
        <item x="133"/>
        <item x="238"/>
        <item x="11"/>
        <item x="67"/>
        <item x="183"/>
        <item x="223"/>
        <item x="225"/>
        <item x="54"/>
        <item x="74"/>
        <item x="28"/>
        <item x="5"/>
        <item x="122"/>
        <item x="163"/>
        <item x="229"/>
        <item x="0"/>
        <item x="273"/>
        <item x="2295"/>
        <item x="2100"/>
        <item x="2465"/>
        <item x="1454"/>
        <item x="2614"/>
        <item x="322"/>
        <item x="2556"/>
        <item x="2207"/>
        <item x="713"/>
        <item x="2162"/>
        <item x="570"/>
        <item x="2481"/>
        <item x="865"/>
        <item x="582"/>
        <item x="1574"/>
        <item x="831"/>
        <item x="392"/>
        <item x="2613"/>
        <item x="1839"/>
        <item x="1608"/>
        <item x="1790"/>
        <item x="2203"/>
        <item x="1316"/>
        <item x="904"/>
        <item x="2583"/>
        <item x="1022"/>
        <item x="1628"/>
        <item x="1056"/>
        <item x="2245"/>
        <item x="288"/>
        <item x="1057"/>
        <item x="1168"/>
        <item x="618"/>
        <item x="2287"/>
        <item x="2522"/>
        <item x="881"/>
        <item x="1383"/>
        <item x="2500"/>
        <item x="2422"/>
        <item x="499"/>
        <item x="439"/>
        <item x="1898"/>
        <item x="1234"/>
        <item x="2461"/>
        <item x="1769"/>
        <item x="1205"/>
        <item x="2209"/>
        <item x="1483"/>
        <item x="1390"/>
        <item x="2526"/>
        <item x="2027"/>
        <item x="1949"/>
        <item x="561"/>
        <item x="1685"/>
        <item x="2142"/>
        <item x="338"/>
        <item x="1725"/>
        <item x="509"/>
        <item x="1768"/>
        <item x="595"/>
        <item x="545"/>
        <item x="1718"/>
        <item x="2156"/>
        <item x="411"/>
        <item x="2152"/>
        <item x="783"/>
        <item x="777"/>
        <item x="2039"/>
        <item x="2089"/>
        <item x="1095"/>
        <item x="1633"/>
        <item x="1337"/>
        <item x="1529"/>
        <item x="2002"/>
        <item x="1656"/>
        <item x="557"/>
        <item x="1616"/>
        <item x="1255"/>
        <item x="1031"/>
        <item x="360"/>
        <item x="1800"/>
        <item x="526"/>
        <item x="2196"/>
        <item x="1662"/>
        <item x="1225"/>
        <item x="1964"/>
        <item x="963"/>
        <item x="438"/>
        <item x="1745"/>
        <item x="903"/>
        <item x="1888"/>
        <item x="901"/>
        <item x="458"/>
        <item x="1496"/>
        <item x="1754"/>
        <item x="2269"/>
        <item x="1315"/>
        <item x="988"/>
        <item x="1446"/>
        <item x="2467"/>
        <item x="1977"/>
        <item x="313"/>
        <item x="1401"/>
        <item x="1463"/>
        <item x="1956"/>
        <item x="1653"/>
        <item x="1142"/>
        <item x="2194"/>
        <item x="1034"/>
        <item x="873"/>
        <item x="1460"/>
        <item x="615"/>
        <item x="987"/>
        <item x="1559"/>
        <item x="2217"/>
        <item x="1548"/>
        <item x="1254"/>
        <item x="1962"/>
        <item x="2256"/>
        <item x="1584"/>
        <item x="1827"/>
        <item x="2347"/>
        <item x="1149"/>
        <item x="766"/>
        <item x="1308"/>
        <item x="2155"/>
        <item x="442"/>
        <item x="687"/>
        <item x="979"/>
        <item x="1096"/>
        <item x="2665"/>
        <item x="2145"/>
        <item x="1783"/>
        <item x="1644"/>
        <item x="2154"/>
        <item x="1220"/>
        <item x="835"/>
        <item x="1184"/>
        <item x="325"/>
        <item x="943"/>
        <item x="2571"/>
        <item x="2476"/>
        <item x="1052"/>
        <item x="680"/>
        <item x="2416"/>
        <item x="2604"/>
        <item x="1869"/>
        <item x="1219"/>
        <item x="2248"/>
        <item x="2597"/>
        <item x="984"/>
        <item x="2031"/>
        <item x="544"/>
        <item x="1626"/>
        <item x="2589"/>
        <item x="2309"/>
        <item x="1893"/>
        <item x="731"/>
        <item x="296"/>
        <item x="922"/>
        <item x="1196"/>
        <item x="2233"/>
        <item x="1231"/>
        <item x="1891"/>
        <item x="1139"/>
        <item x="1137"/>
        <item x="852"/>
        <item x="459"/>
        <item x="2079"/>
        <item x="446"/>
        <item x="1200"/>
        <item x="1517"/>
        <item x="2239"/>
        <item x="1169"/>
        <item x="386"/>
        <item x="1637"/>
        <item x="733"/>
        <item x="2074"/>
        <item x="2012"/>
        <item x="2605"/>
        <item x="1068"/>
        <item x="2305"/>
        <item x="665"/>
        <item x="1284"/>
        <item x="772"/>
        <item x="2636"/>
        <item x="978"/>
        <item x="1282"/>
        <item x="1928"/>
        <item x="2052"/>
        <item x="1696"/>
        <item x="996"/>
        <item x="2092"/>
        <item x="839"/>
        <item x="776"/>
        <item x="1143"/>
        <item x="275"/>
        <item x="1204"/>
        <item x="1427"/>
        <item x="2062"/>
        <item x="1311"/>
        <item x="1222"/>
        <item x="2553"/>
        <item x="2459"/>
        <item x="1298"/>
        <item x="340"/>
        <item x="2539"/>
        <item x="1212"/>
        <item x="2559"/>
        <item x="1762"/>
        <item x="1430"/>
        <item x="823"/>
        <item x="667"/>
        <item x="2365"/>
        <item x="519"/>
        <item x="2104"/>
        <item x="2013"/>
        <item x="689"/>
        <item x="2587"/>
        <item x="2014"/>
        <item x="602"/>
        <item x="1537"/>
        <item x="1457"/>
        <item x="2164"/>
        <item x="1943"/>
        <item x="1217"/>
        <item x="2689"/>
        <item x="1995"/>
        <item x="1702"/>
        <item x="780"/>
        <item x="2144"/>
        <item x="2484"/>
        <item x="1050"/>
        <item x="331"/>
        <item x="717"/>
        <item x="1294"/>
        <item x="1117"/>
        <item x="1896"/>
        <item x="1406"/>
        <item x="2491"/>
        <item x="2192"/>
        <item x="1264"/>
        <item x="358"/>
        <item x="1701"/>
        <item x="2478"/>
        <item x="1583"/>
        <item x="2453"/>
        <item x="1371"/>
        <item x="797"/>
        <item x="2078"/>
        <item x="1540"/>
        <item x="1920"/>
        <item x="2053"/>
        <item x="2237"/>
        <item x="1934"/>
        <item x="369"/>
        <item x="1779"/>
        <item x="915"/>
        <item x="362"/>
        <item x="1957"/>
        <item x="1318"/>
        <item x="750"/>
        <item x="1066"/>
        <item x="399"/>
        <item x="2201"/>
        <item x="1175"/>
        <item x="643"/>
        <item x="2550"/>
        <item x="2692"/>
        <item x="367"/>
        <item x="2049"/>
        <item x="1935"/>
        <item x="2406"/>
        <item x="744"/>
        <item x="923"/>
        <item x="2242"/>
        <item x="1931"/>
        <item x="1818"/>
        <item x="1775"/>
        <item x="1232"/>
        <item x="1911"/>
        <item x="2042"/>
        <item x="2542"/>
        <item x="2715"/>
        <item x="2139"/>
        <item x="2625"/>
        <item x="1195"/>
        <item x="2303"/>
        <item x="1808"/>
        <item x="693"/>
        <item x="906"/>
        <item x="2693"/>
        <item x="671"/>
        <item x="995"/>
        <item x="1694"/>
        <item x="1743"/>
        <item x="833"/>
        <item x="2113"/>
        <item x="1843"/>
        <item x="1932"/>
        <item x="1271"/>
        <item x="2101"/>
        <item x="379"/>
        <item x="434"/>
        <item x="1593"/>
        <item x="1953"/>
        <item x="308"/>
        <item x="2129"/>
        <item x="1154"/>
        <item x="1509"/>
        <item x="1672"/>
        <item x="625"/>
        <item x="782"/>
        <item x="2133"/>
        <item x="1236"/>
        <item x="2388"/>
        <item x="938"/>
        <item x="2228"/>
        <item x="2335"/>
        <item x="1740"/>
        <item x="1252"/>
        <item x="566"/>
        <item x="2725"/>
        <item x="1211"/>
        <item x="983"/>
        <item x="2185"/>
        <item x="359"/>
        <item x="878"/>
        <item x="1029"/>
        <item x="2065"/>
        <item x="919"/>
        <item x="1678"/>
        <item x="652"/>
        <item x="1221"/>
        <item x="1958"/>
        <item x="976"/>
        <item x="1009"/>
        <item x="1449"/>
        <item x="2138"/>
        <item x="2667"/>
        <item x="648"/>
        <item x="2346"/>
        <item x="606"/>
        <item x="497"/>
        <item x="1384"/>
        <item x="2562"/>
        <item x="1338"/>
        <item x="485"/>
        <item x="315"/>
        <item x="2357"/>
        <item x="454"/>
        <item x="608"/>
        <item x="2622"/>
        <item x="945"/>
        <item x="317"/>
        <item x="2718"/>
        <item x="1402"/>
        <item x="1307"/>
        <item x="508"/>
        <item x="462"/>
        <item x="642"/>
        <item x="841"/>
        <item x="2708"/>
        <item x="2531"/>
        <item x="1005"/>
        <item x="2339"/>
        <item x="1771"/>
        <item x="1377"/>
        <item x="877"/>
        <item x="2249"/>
        <item x="957"/>
        <item x="2171"/>
        <item x="1625"/>
        <item x="349"/>
        <item x="2338"/>
        <item x="2401"/>
        <item x="1606"/>
        <item x="738"/>
        <item x="1266"/>
        <item x="1405"/>
        <item x="1680"/>
        <item x="1469"/>
        <item x="2178"/>
        <item x="2363"/>
        <item x="2448"/>
        <item x="1189"/>
        <item x="2543"/>
        <item x="1659"/>
        <item x="1488"/>
        <item x="2086"/>
        <item x="1305"/>
        <item x="861"/>
        <item x="1855"/>
        <item x="550"/>
        <item x="2582"/>
        <item x="1161"/>
        <item x="593"/>
        <item x="792"/>
        <item x="424"/>
        <item x="467"/>
        <item x="2594"/>
        <item x="1243"/>
        <item x="1274"/>
        <item x="810"/>
        <item x="2540"/>
        <item x="1070"/>
        <item x="2603"/>
        <item x="1312"/>
        <item x="2588"/>
        <item x="2063"/>
        <item x="1864"/>
        <item x="477"/>
        <item x="2174"/>
        <item x="2229"/>
        <item x="826"/>
        <item x="1580"/>
        <item x="2306"/>
        <item x="1245"/>
        <item x="2236"/>
        <item x="779"/>
        <item x="910"/>
        <item x="2724"/>
        <item x="347"/>
        <item x="2433"/>
        <item x="2700"/>
        <item x="596"/>
        <item x="2170"/>
        <item x="1228"/>
        <item x="787"/>
        <item x="295"/>
        <item x="2070"/>
        <item x="2694"/>
        <item x="2545"/>
        <item x="1604"/>
        <item x="1933"/>
        <item x="1451"/>
        <item x="2310"/>
        <item x="2296"/>
        <item x="417"/>
        <item x="682"/>
        <item x="2672"/>
        <item x="1735"/>
        <item x="2372"/>
        <item x="1976"/>
        <item x="441"/>
        <item x="2518"/>
        <item x="2690"/>
        <item x="1640"/>
        <item x="2208"/>
        <item x="1882"/>
        <item x="2639"/>
        <item x="2232"/>
        <item x="445"/>
        <item x="601"/>
        <item x="1627"/>
        <item x="2666"/>
        <item x="965"/>
        <item x="1482"/>
        <item x="937"/>
        <item x="2630"/>
        <item x="1015"/>
        <item x="1904"/>
        <item x="1493"/>
        <item x="2670"/>
        <item x="1278"/>
        <item x="2231"/>
        <item x="843"/>
        <item x="476"/>
        <item x="286"/>
        <item x="2494"/>
        <item x="1994"/>
        <item x="2563"/>
        <item x="1749"/>
        <item x="2677"/>
        <item x="1088"/>
        <item x="1275"/>
        <item x="2264"/>
        <item x="1003"/>
        <item x="2536"/>
        <item x="1699"/>
        <item x="2314"/>
        <item x="2307"/>
        <item x="1666"/>
        <item x="412"/>
        <item x="2020"/>
        <item x="1076"/>
        <item x="2134"/>
        <item x="2095"/>
        <item x="2302"/>
        <item x="1831"/>
        <item x="1450"/>
        <item x="2403"/>
        <item x="1859"/>
        <item x="1520"/>
        <item x="2003"/>
        <item x="1887"/>
        <item x="276"/>
        <item x="551"/>
        <item x="1302"/>
        <item x="1065"/>
        <item x="1442"/>
        <item x="1335"/>
        <item x="375"/>
        <item x="1546"/>
        <item x="637"/>
        <item x="2279"/>
        <item x="1508"/>
        <item x="2282"/>
        <item x="1012"/>
        <item x="769"/>
        <item x="2628"/>
        <item x="1926"/>
        <item x="1510"/>
        <item x="2566"/>
        <item x="1138"/>
        <item x="949"/>
        <item x="851"/>
        <item x="1889"/>
        <item x="2632"/>
        <item x="1684"/>
        <item x="385"/>
        <item x="2641"/>
        <item x="1382"/>
        <item x="1971"/>
        <item x="2463"/>
        <item x="292"/>
        <item x="1555"/>
        <item x="677"/>
        <item x="2652"/>
        <item x="1528"/>
        <item x="2332"/>
        <item x="1929"/>
        <item x="1959"/>
        <item x="510"/>
        <item x="351"/>
        <item x="921"/>
        <item x="1296"/>
        <item x="1884"/>
        <item x="1326"/>
        <item x="746"/>
        <item x="350"/>
        <item x="2024"/>
        <item x="1728"/>
        <item x="1136"/>
        <item x="1773"/>
        <item x="985"/>
        <item x="330"/>
        <item x="1039"/>
        <item x="2555"/>
        <item x="1724"/>
        <item x="609"/>
        <item x="1723"/>
        <item x="1277"/>
        <item x="1908"/>
        <item x="975"/>
        <item x="795"/>
        <item x="610"/>
        <item x="834"/>
        <item x="621"/>
        <item x="2547"/>
        <item x="2705"/>
        <item x="2626"/>
        <item x="816"/>
        <item x="656"/>
        <item x="480"/>
        <item x="1785"/>
        <item x="2135"/>
        <item x="1525"/>
        <item x="2685"/>
        <item x="1233"/>
        <item x="357"/>
        <item x="706"/>
        <item x="2407"/>
        <item x="585"/>
        <item x="1362"/>
        <item x="419"/>
        <item x="2169"/>
        <item x="1710"/>
        <item x="507"/>
        <item x="1562"/>
        <item x="406"/>
        <item x="2118"/>
        <item x="1210"/>
        <item x="2367"/>
        <item x="2469"/>
        <item x="1079"/>
        <item x="1865"/>
        <item x="409"/>
        <item x="727"/>
        <item x="814"/>
        <item x="1359"/>
        <item x="1534"/>
        <item x="1010"/>
        <item x="592"/>
        <item x="828"/>
        <item x="1996"/>
        <item x="1025"/>
        <item x="1732"/>
        <item x="760"/>
        <item x="1734"/>
        <item x="1974"/>
        <item x="2646"/>
        <item x="1285"/>
        <item x="1968"/>
        <item x="2687"/>
        <item x="1324"/>
        <item x="2442"/>
        <item x="2450"/>
        <item x="2528"/>
        <item x="1038"/>
        <item x="1171"/>
        <item x="605"/>
        <item x="2215"/>
        <item x="2578"/>
        <item x="366"/>
        <item x="1443"/>
        <item x="1752"/>
        <item x="1758"/>
        <item x="2642"/>
        <item x="1160"/>
        <item x="457"/>
        <item x="1374"/>
        <item x="1051"/>
        <item x="1459"/>
        <item x="413"/>
        <item x="2037"/>
        <item x="2557"/>
        <item x="2337"/>
        <item x="1492"/>
        <item x="2659"/>
        <item x="1329"/>
        <item x="518"/>
        <item x="747"/>
        <item x="1575"/>
        <item x="2399"/>
        <item x="306"/>
        <item x="1323"/>
        <item x="1607"/>
        <item x="737"/>
        <item x="2218"/>
        <item x="514"/>
        <item x="1954"/>
        <item x="1400"/>
        <item x="2608"/>
        <item x="1396"/>
        <item x="2324"/>
        <item x="2701"/>
        <item x="1408"/>
        <item x="1649"/>
        <item x="465"/>
        <item x="1638"/>
        <item x="468"/>
        <item x="2497"/>
        <item x="1600"/>
        <item x="2056"/>
        <item x="327"/>
        <item x="1792"/>
        <item x="2631"/>
        <item x="2460"/>
        <item x="2182"/>
        <item x="2200"/>
        <item x="400"/>
        <item x="473"/>
        <item x="307"/>
        <item x="1966"/>
        <item x="2351"/>
        <item x="2391"/>
        <item x="875"/>
        <item x="2525"/>
        <item x="1689"/>
        <item x="2381"/>
        <item x="2712"/>
        <item x="1499"/>
        <item x="504"/>
        <item x="2435"/>
        <item x="1675"/>
        <item x="2128"/>
        <item x="1094"/>
        <item x="1119"/>
        <item x="2611"/>
        <item x="1789"/>
        <item x="1833"/>
        <item x="1712"/>
        <item x="1703"/>
        <item x="2577"/>
        <item x="328"/>
        <item x="980"/>
        <item x="1917"/>
        <item x="2676"/>
        <item x="690"/>
        <item x="611"/>
        <item x="2015"/>
        <item x="1017"/>
        <item x="2342"/>
        <item x="2223"/>
        <item x="1524"/>
        <item x="1693"/>
        <item x="2444"/>
        <item x="1333"/>
        <item x="1438"/>
        <item x="522"/>
        <item x="427"/>
        <item x="2475"/>
        <item x="2380"/>
        <item x="2371"/>
        <item x="2075"/>
        <item x="2565"/>
        <item x="650"/>
        <item x="2431"/>
        <item x="654"/>
        <item x="407"/>
        <item x="1912"/>
        <item x="1194"/>
        <item x="591"/>
        <item x="891"/>
        <item x="1447"/>
        <item x="2094"/>
        <item x="2473"/>
        <item x="720"/>
        <item x="2480"/>
        <item x="1980"/>
        <item x="1182"/>
        <item x="2658"/>
        <item x="279"/>
        <item x="300"/>
        <item x="461"/>
        <item x="622"/>
        <item x="1444"/>
        <item x="1267"/>
        <item x="572"/>
        <item x="542"/>
        <item x="820"/>
        <item x="1260"/>
        <item x="2299"/>
        <item x="832"/>
        <item x="1465"/>
        <item x="2648"/>
        <item x="377"/>
        <item x="2300"/>
        <item x="1313"/>
        <item x="1554"/>
        <item x="2503"/>
        <item x="1742"/>
        <item x="1147"/>
        <item x="1836"/>
        <item x="695"/>
        <item x="1418"/>
        <item x="1439"/>
        <item x="1781"/>
        <item x="848"/>
        <item x="856"/>
        <item x="998"/>
        <item x="2664"/>
        <item x="2479"/>
        <item x="1104"/>
        <item x="1873"/>
        <item x="1683"/>
        <item x="2438"/>
        <item x="2274"/>
        <item x="1612"/>
        <item x="1043"/>
        <item x="2026"/>
        <item x="2180"/>
        <item x="2713"/>
        <item x="1547"/>
        <item x="435"/>
        <item x="2213"/>
        <item x="2596"/>
        <item x="1924"/>
        <item x="344"/>
        <item x="549"/>
        <item x="2637"/>
        <item x="371"/>
        <item x="1270"/>
        <item x="600"/>
        <item x="1414"/>
        <item x="2141"/>
        <item x="2254"/>
        <item x="2108"/>
        <item x="2202"/>
        <item x="790"/>
        <item x="336"/>
        <item x="1365"/>
        <item x="314"/>
        <item x="389"/>
        <item x="1145"/>
        <item x="1990"/>
        <item x="1629"/>
        <item x="751"/>
        <item x="676"/>
        <item x="1369"/>
        <item x="1991"/>
        <item x="1837"/>
        <item x="1471"/>
        <item x="2099"/>
        <item x="2458"/>
        <item x="1486"/>
        <item x="2023"/>
        <item x="2501"/>
        <item x="319"/>
        <item x="2393"/>
        <item x="1111"/>
        <item x="1048"/>
        <item x="455"/>
        <item x="2657"/>
        <item x="1690"/>
        <item x="707"/>
        <item x="807"/>
        <item x="1940"/>
        <item x="1108"/>
        <item x="337"/>
        <item x="1747"/>
        <item x="2097"/>
        <item x="2124"/>
        <item x="1115"/>
        <item x="838"/>
        <item x="502"/>
        <item x="1729"/>
        <item x="1072"/>
        <item x="1941"/>
        <item x="1760"/>
        <item x="2161"/>
        <item x="2132"/>
        <item x="1206"/>
        <item x="1987"/>
        <item x="2378"/>
        <item x="793"/>
        <item x="1336"/>
        <item x="1643"/>
        <item x="2434"/>
        <item x="2032"/>
        <item x="312"/>
        <item x="1327"/>
        <item x="1099"/>
        <item x="1937"/>
        <item x="741"/>
        <item x="1746"/>
        <item x="663"/>
        <item x="488"/>
        <item x="2000"/>
        <item x="2572"/>
        <item x="594"/>
        <item x="2599"/>
        <item x="2061"/>
        <item x="1648"/>
        <item x="535"/>
        <item x="1879"/>
        <item x="2150"/>
        <item x="598"/>
        <item x="950"/>
        <item x="1551"/>
        <item x="1636"/>
        <item x="1828"/>
        <item x="1172"/>
        <item x="523"/>
        <item x="761"/>
        <item x="2168"/>
        <item x="804"/>
        <item x="1673"/>
        <item x="1516"/>
        <item x="1140"/>
        <item x="1063"/>
        <item x="604"/>
        <item x="1872"/>
        <item x="619"/>
        <item x="867"/>
        <item x="564"/>
        <item x="1124"/>
        <item x="1886"/>
        <item x="1526"/>
        <item x="773"/>
        <item x="1866"/>
        <item x="1467"/>
        <item x="1190"/>
        <item x="2512"/>
        <item x="1657"/>
        <item x="2258"/>
        <item x="1314"/>
        <item x="1346"/>
        <item x="2383"/>
        <item x="863"/>
        <item x="531"/>
        <item x="1561"/>
        <item x="1654"/>
        <item x="1587"/>
        <item x="941"/>
        <item x="2573"/>
        <item x="1484"/>
        <item x="278"/>
        <item x="2047"/>
        <item x="1044"/>
        <item x="423"/>
        <item x="840"/>
        <item x="569"/>
        <item x="2114"/>
        <item x="785"/>
        <item x="1180"/>
        <item x="2190"/>
        <item x="1381"/>
        <item x="1242"/>
        <item x="2513"/>
        <item x="953"/>
        <item x="2320"/>
        <item x="365"/>
        <item x="1085"/>
        <item x="635"/>
        <item x="2697"/>
        <item x="1075"/>
        <item x="2060"/>
        <item x="1159"/>
        <item x="1738"/>
        <item x="961"/>
        <item x="1590"/>
        <item x="2591"/>
        <item x="436"/>
        <item x="2011"/>
        <item x="2160"/>
        <item x="1289"/>
        <item x="277"/>
        <item x="1918"/>
        <item x="2616"/>
        <item x="1027"/>
        <item x="1787"/>
        <item x="460"/>
        <item x="2251"/>
        <item x="1631"/>
        <item x="323"/>
        <item x="1667"/>
        <item x="498"/>
        <item x="740"/>
        <item x="2007"/>
        <item x="316"/>
        <item x="2649"/>
        <item x="432"/>
        <item x="2082"/>
        <item x="1813"/>
        <item x="694"/>
        <item x="2298"/>
        <item x="846"/>
        <item x="2158"/>
        <item x="701"/>
        <item x="374"/>
        <item x="1902"/>
        <item x="735"/>
        <item x="1851"/>
        <item x="1770"/>
        <item x="723"/>
        <item x="1704"/>
        <item x="1821"/>
        <item x="710"/>
        <item x="2018"/>
        <item x="1862"/>
        <item x="2240"/>
        <item x="1671"/>
        <item x="489"/>
        <item x="2549"/>
        <item x="1412"/>
        <item x="791"/>
        <item x="2193"/>
        <item x="1948"/>
        <item x="2506"/>
        <item x="685"/>
        <item x="1436"/>
        <item x="724"/>
        <item x="401"/>
        <item x="361"/>
        <item x="2036"/>
        <item x="321"/>
        <item x="1642"/>
        <item x="629"/>
        <item x="1595"/>
        <item x="2225"/>
        <item x="1623"/>
        <item x="946"/>
        <item x="1874"/>
        <item x="2356"/>
        <item x="2102"/>
        <item x="493"/>
        <item x="2505"/>
        <item x="1322"/>
        <item x="837"/>
        <item x="463"/>
        <item x="1118"/>
        <item x="808"/>
        <item x="2584"/>
        <item x="2673"/>
        <item x="2273"/>
        <item x="1650"/>
        <item x="1842"/>
        <item x="1291"/>
        <item x="1413"/>
        <item x="552"/>
        <item x="1042"/>
        <item x="1328"/>
        <item x="743"/>
        <item x="664"/>
        <item x="1572"/>
        <item x="1518"/>
        <item x="2266"/>
        <item x="1480"/>
        <item x="1481"/>
        <item x="354"/>
        <item x="1697"/>
        <item x="2707"/>
        <item x="1059"/>
        <item x="770"/>
        <item x="2025"/>
        <item x="1620"/>
        <item x="2230"/>
        <item x="786"/>
        <item x="1090"/>
        <item x="2286"/>
        <item x="2125"/>
        <item x="405"/>
        <item x="1755"/>
        <item x="1854"/>
        <item x="1428"/>
        <item x="298"/>
        <item x="560"/>
        <item x="829"/>
        <item x="1345"/>
        <item x="2153"/>
        <item x="290"/>
        <item x="749"/>
        <item x="1074"/>
        <item x="1347"/>
        <item x="1287"/>
        <item x="368"/>
        <item x="2644"/>
        <item x="2312"/>
        <item x="1317"/>
        <item x="1141"/>
        <item x="1679"/>
        <item x="2483"/>
        <item x="1349"/>
        <item x="2382"/>
        <item x="1071"/>
        <item x="318"/>
        <item x="2275"/>
        <item x="1899"/>
        <item x="2703"/>
        <item x="824"/>
        <item x="1306"/>
        <item x="1416"/>
        <item x="537"/>
        <item x="538"/>
        <item x="933"/>
        <item x="1939"/>
        <item x="2308"/>
        <item x="2600"/>
        <item x="1246"/>
        <item x="541"/>
        <item x="1295"/>
        <item x="1652"/>
        <item x="1973"/>
        <item x="2226"/>
        <item x="646"/>
        <item x="757"/>
        <item x="1826"/>
        <item x="827"/>
        <item x="2010"/>
        <item x="2343"/>
        <item x="2452"/>
        <item x="2109"/>
        <item x="486"/>
        <item x="1579"/>
        <item x="558"/>
        <item x="2499"/>
        <item x="1433"/>
        <item x="715"/>
        <item x="2445"/>
        <item x="1711"/>
        <item x="305"/>
        <item x="1445"/>
        <item x="1965"/>
        <item x="2181"/>
        <item x="1028"/>
        <item x="532"/>
        <item x="929"/>
        <item x="1355"/>
        <item x="1900"/>
        <item x="2149"/>
        <item x="2006"/>
        <item x="1122"/>
        <item x="813"/>
        <item x="1082"/>
        <item x="2105"/>
        <item x="2292"/>
        <item x="1883"/>
        <item x="684"/>
        <item x="1301"/>
        <item x="1761"/>
        <item x="1753"/>
        <item x="1435"/>
        <item x="2005"/>
        <item x="2678"/>
        <item x="1794"/>
        <item x="2398"/>
        <item x="1249"/>
        <item x="700"/>
        <item x="478"/>
        <item x="2515"/>
        <item x="2064"/>
        <item x="894"/>
        <item x="587"/>
        <item x="1907"/>
        <item x="1237"/>
        <item x="567"/>
        <item x="2684"/>
        <item x="280"/>
        <item x="1519"/>
        <item x="2334"/>
        <item x="1216"/>
        <item x="729"/>
        <item x="1036"/>
        <item x="289"/>
        <item x="698"/>
        <item x="1906"/>
        <item x="1376"/>
        <item x="568"/>
        <item x="853"/>
        <item x="525"/>
        <item x="1741"/>
        <item x="1538"/>
        <item x="1969"/>
        <item x="2051"/>
        <item x="972"/>
        <item x="639"/>
        <item x="1731"/>
        <item x="939"/>
        <item x="2315"/>
        <item x="2137"/>
        <item x="1343"/>
        <item x="1806"/>
        <item x="1193"/>
        <item x="2548"/>
        <item x="2446"/>
        <item x="1364"/>
        <item x="913"/>
        <item x="1497"/>
        <item x="2366"/>
        <item x="384"/>
        <item x="2281"/>
        <item x="1669"/>
        <item x="516"/>
        <item x="1021"/>
        <item x="1472"/>
        <item x="1630"/>
        <item x="1023"/>
        <item x="935"/>
        <item x="688"/>
        <item x="651"/>
        <item x="1646"/>
        <item x="2720"/>
        <item x="1573"/>
        <item x="1605"/>
        <item x="2647"/>
        <item x="771"/>
        <item x="299"/>
        <item x="272"/>
        <item x="453"/>
        <item x="2090"/>
        <item x="927"/>
        <item x="836"/>
        <item x="1016"/>
        <item x="2567"/>
        <item x="1240"/>
        <item x="1992"/>
        <item x="703"/>
        <item x="2412"/>
        <item x="2437"/>
        <item x="2375"/>
        <item x="1120"/>
        <item x="2163"/>
        <item x="1972"/>
        <item x="1280"/>
        <item x="1665"/>
        <item x="420"/>
        <item x="1822"/>
        <item x="1109"/>
        <item x="2635"/>
        <item x="1133"/>
        <item x="691"/>
        <item x="2593"/>
        <item x="310"/>
        <item x="2173"/>
        <item x="981"/>
        <item x="2284"/>
        <item x="2034"/>
        <item x="2546"/>
        <item x="1876"/>
        <item x="1375"/>
        <item x="1501"/>
        <item x="675"/>
        <item x="2561"/>
        <item x="930"/>
        <item x="1682"/>
        <item x="2029"/>
        <item x="533"/>
        <item x="1532"/>
        <item x="1970"/>
        <item x="1037"/>
        <item x="936"/>
        <item x="613"/>
        <item x="345"/>
        <item x="472"/>
        <item x="666"/>
        <item x="540"/>
        <item x="1820"/>
        <item x="2143"/>
        <item x="683"/>
        <item x="373"/>
        <item x="2184"/>
        <item x="2214"/>
        <item x="1131"/>
        <item x="1566"/>
        <item x="574"/>
        <item x="2585"/>
        <item x="855"/>
        <item x="893"/>
        <item x="1353"/>
        <item x="2679"/>
        <item x="2041"/>
        <item x="931"/>
        <item x="1502"/>
        <item x="1716"/>
        <item x="2521"/>
        <item x="2590"/>
        <item x="1885"/>
        <item x="607"/>
        <item x="742"/>
        <item x="759"/>
        <item x="2316"/>
        <item x="2211"/>
        <item x="1890"/>
        <item x="623"/>
        <item x="2387"/>
        <item x="1239"/>
        <item x="1852"/>
        <item x="1764"/>
        <item x="1910"/>
        <item x="2130"/>
        <item x="1784"/>
        <item x="2257"/>
        <item x="697"/>
        <item x="355"/>
        <item x="1938"/>
        <item x="1292"/>
        <item x="1582"/>
        <item x="580"/>
        <item x="2711"/>
        <item x="2179"/>
        <item x="1299"/>
        <item x="679"/>
        <item x="784"/>
        <item x="699"/>
        <item x="914"/>
        <item x="2140"/>
        <item x="2054"/>
        <item x="2344"/>
        <item x="2110"/>
        <item x="1188"/>
        <item x="2354"/>
        <item x="1491"/>
        <item x="1047"/>
        <item x="692"/>
        <item x="2602"/>
        <item x="868"/>
        <item x="1863"/>
        <item x="1033"/>
        <item x="1927"/>
        <item x="1663"/>
        <item x="2322"/>
        <item x="1914"/>
        <item x="1617"/>
        <item x="1824"/>
        <item x="2176"/>
        <item x="1001"/>
        <item x="1166"/>
        <item x="1592"/>
        <item x="353"/>
        <item x="2045"/>
        <item x="524"/>
        <item x="2166"/>
        <item x="1960"/>
        <item x="2165"/>
        <item x="1473"/>
        <item x="869"/>
        <item x="527"/>
        <item x="681"/>
        <item x="1687"/>
        <item x="1668"/>
        <item x="1576"/>
        <item x="548"/>
        <item x="947"/>
        <item x="1511"/>
        <item x="2280"/>
        <item x="801"/>
        <item x="1812"/>
        <item x="1144"/>
        <item x="2695"/>
        <item x="954"/>
        <item x="1148"/>
        <item x="579"/>
        <item x="2301"/>
        <item x="1823"/>
        <item x="1498"/>
        <item x="620"/>
        <item x="1857"/>
        <item x="1132"/>
        <item x="1714"/>
        <item x="959"/>
        <item x="2126"/>
        <item x="1214"/>
        <item x="1422"/>
        <item x="2318"/>
        <item x="571"/>
        <item x="1598"/>
        <item x="955"/>
        <item x="2698"/>
        <item x="1922"/>
        <item x="774"/>
        <item x="997"/>
        <item x="2466"/>
        <item x="2538"/>
        <item x="1596"/>
        <item x="958"/>
        <item x="2072"/>
        <item x="573"/>
        <item x="2389"/>
        <item x="1737"/>
        <item x="1848"/>
        <item x="819"/>
        <item x="1041"/>
        <item x="1713"/>
        <item x="2076"/>
        <item x="2392"/>
        <item x="418"/>
        <item x="2340"/>
        <item x="768"/>
        <item x="704"/>
        <item x="2717"/>
        <item x="952"/>
        <item x="1281"/>
        <item x="395"/>
        <item x="1461"/>
        <item x="1360"/>
        <item x="974"/>
        <item x="2688"/>
        <item x="2510"/>
        <item x="2601"/>
        <item x="672"/>
        <item x="1032"/>
        <item x="2348"/>
        <item x="1049"/>
        <item x="1715"/>
        <item x="1372"/>
        <item x="1989"/>
        <item x="1585"/>
        <item x="416"/>
        <item x="641"/>
        <item x="962"/>
        <item x="394"/>
        <item x="2421"/>
        <item x="628"/>
        <item x="1420"/>
        <item x="2471"/>
        <item x="2253"/>
        <item x="422"/>
        <item x="917"/>
        <item x="1878"/>
        <item x="644"/>
        <item x="505"/>
        <item x="1083"/>
        <item x="1913"/>
        <item x="294"/>
        <item x="2530"/>
        <item x="512"/>
        <item x="2457"/>
        <item x="1514"/>
        <item x="669"/>
        <item x="845"/>
        <item x="916"/>
        <item x="1798"/>
        <item x="1283"/>
        <item x="1203"/>
        <item x="1577"/>
        <item x="500"/>
        <item x="2529"/>
        <item x="1543"/>
        <item x="1431"/>
        <item x="942"/>
        <item x="2345"/>
        <item x="1404"/>
        <item x="2470"/>
        <item x="2157"/>
        <item x="2195"/>
        <item x="658"/>
        <item x="1533"/>
        <item x="2663"/>
        <item x="1759"/>
        <item x="2224"/>
        <item x="2329"/>
        <item x="825"/>
        <item x="2216"/>
        <item x="909"/>
        <item x="1198"/>
        <item x="1263"/>
        <item x="440"/>
        <item x="1248"/>
        <item x="1825"/>
        <item x="905"/>
        <item x="2167"/>
        <item x="2146"/>
        <item x="1456"/>
        <item x="632"/>
        <item x="1489"/>
        <item x="986"/>
        <item x="1209"/>
        <item x="2716"/>
        <item x="329"/>
        <item x="2204"/>
        <item x="1860"/>
        <item x="1894"/>
        <item x="1103"/>
        <item x="1223"/>
        <item x="2425"/>
        <item x="1000"/>
        <item x="2044"/>
        <item x="2120"/>
        <item x="2119"/>
        <item x="589"/>
        <item x="1556"/>
        <item x="2624"/>
        <item x="2265"/>
        <item x="1421"/>
        <item x="2243"/>
        <item x="920"/>
        <item x="1751"/>
        <item x="850"/>
        <item x="1963"/>
        <item x="1692"/>
        <item x="1379"/>
        <item x="1474"/>
        <item x="1880"/>
        <item x="1950"/>
        <item x="297"/>
        <item x="2055"/>
        <item x="1341"/>
        <item x="2084"/>
        <item x="584"/>
        <item x="2699"/>
        <item x="1719"/>
        <item x="1098"/>
        <item x="1834"/>
        <item x="1978"/>
        <item x="287"/>
        <item x="2486"/>
        <item x="926"/>
        <item x="1512"/>
        <item x="2498"/>
        <item x="2360"/>
        <item x="1087"/>
        <item x="1452"/>
        <item x="718"/>
        <item x="2643"/>
        <item x="543"/>
        <item x="1542"/>
        <item x="1230"/>
        <item x="2260"/>
        <item x="1432"/>
        <item x="2598"/>
        <item x="1706"/>
        <item x="2234"/>
        <item x="2087"/>
        <item x="302"/>
        <item x="1521"/>
        <item x="343"/>
        <item x="2355"/>
        <item x="879"/>
        <item x="940"/>
        <item x="960"/>
        <item x="1871"/>
        <item x="999"/>
        <item x="1269"/>
        <item x="1925"/>
        <item x="2634"/>
        <item x="1599"/>
        <item x="1397"/>
        <item x="1564"/>
        <item x="798"/>
        <item x="1756"/>
        <item x="2188"/>
        <item x="1366"/>
        <item x="1531"/>
        <item x="1777"/>
        <item x="2098"/>
        <item x="293"/>
        <item x="1479"/>
        <item x="1350"/>
        <item x="2290"/>
        <item x="1334"/>
        <item x="2148"/>
        <item x="1297"/>
        <item x="450"/>
        <item x="1441"/>
        <item x="728"/>
        <item x="1146"/>
        <item x="796"/>
        <item x="1309"/>
        <item x="1409"/>
        <item x="2405"/>
        <item x="346"/>
        <item x="1054"/>
        <item x="1300"/>
        <item x="1030"/>
        <item x="2462"/>
        <item x="1850"/>
        <item x="2638"/>
        <item x="381"/>
        <item x="2069"/>
        <item x="2288"/>
        <item x="447"/>
        <item x="631"/>
        <item x="789"/>
        <item x="1112"/>
        <item x="1805"/>
        <item x="2533"/>
        <item x="973"/>
        <item x="2238"/>
        <item x="1398"/>
        <item x="1686"/>
        <item x="895"/>
        <item x="900"/>
        <item x="415"/>
        <item x="1765"/>
        <item x="554"/>
        <item x="1829"/>
        <item x="2326"/>
        <item x="586"/>
        <item x="2111"/>
        <item x="1247"/>
        <item x="356"/>
        <item x="1250"/>
        <item x="1708"/>
        <item x="2127"/>
        <item x="1097"/>
        <item x="2175"/>
        <item x="2016"/>
        <item x="794"/>
        <item x="924"/>
        <item x="730"/>
        <item x="1389"/>
        <item x="1229"/>
        <item x="1870"/>
        <item x="2721"/>
        <item x="1793"/>
        <item x="334"/>
        <item x="1861"/>
        <item x="1356"/>
        <item x="885"/>
        <item x="1661"/>
        <item x="1286"/>
        <item x="517"/>
        <item x="402"/>
        <item x="2396"/>
        <item x="590"/>
        <item x="1218"/>
        <item x="2581"/>
        <item x="1464"/>
        <item x="2519"/>
        <item x="844"/>
        <item x="2291"/>
        <item x="1423"/>
        <item x="2030"/>
        <item x="1567"/>
        <item x="1997"/>
        <item x="1186"/>
        <item x="882"/>
        <item x="1814"/>
        <item x="2349"/>
        <item x="2091"/>
        <item x="2430"/>
        <item x="1388"/>
        <item x="726"/>
        <item x="811"/>
        <item x="383"/>
        <item x="2655"/>
        <item x="2654"/>
        <item x="2379"/>
        <item x="2439"/>
        <item x="1320"/>
        <item x="1261"/>
        <item x="2327"/>
        <item x="908"/>
        <item x="714"/>
        <item x="1273"/>
        <item x="2537"/>
        <item x="754"/>
        <item x="2368"/>
        <item x="1984"/>
        <item x="1897"/>
        <item x="2067"/>
        <item x="2661"/>
        <item x="2653"/>
        <item x="397"/>
        <item x="627"/>
        <item x="1506"/>
        <item x="2493"/>
        <item x="2004"/>
        <item x="2071"/>
        <item x="1552"/>
        <item x="752"/>
        <item x="1558"/>
        <item x="709"/>
        <item x="283"/>
        <item x="1923"/>
        <item x="1563"/>
        <item x="2714"/>
        <item x="1192"/>
        <item x="870"/>
        <item x="1495"/>
        <item x="555"/>
        <item x="2609"/>
        <item x="1361"/>
        <item x="764"/>
        <item x="2046"/>
        <item x="1921"/>
        <item x="886"/>
        <item x="1100"/>
        <item x="2221"/>
        <item x="1092"/>
        <item x="2544"/>
        <item x="1257"/>
        <item x="1470"/>
        <item x="1453"/>
        <item x="2449"/>
        <item x="2682"/>
        <item x="2575"/>
        <item x="2319"/>
        <item x="2059"/>
        <item x="1815"/>
        <item x="1915"/>
        <item x="2564"/>
        <item x="2323"/>
        <item x="889"/>
        <item x="1570"/>
        <item x="576"/>
        <item x="1730"/>
        <item x="862"/>
        <item x="1084"/>
        <item x="1494"/>
        <item x="2615"/>
        <item x="1720"/>
        <item x="614"/>
        <item x="2645"/>
        <item x="2410"/>
        <item x="482"/>
        <item x="1658"/>
        <item x="2297"/>
        <item x="2489"/>
        <item x="812"/>
        <item x="818"/>
        <item x="492"/>
        <item x="470"/>
        <item x="1736"/>
        <item x="2523"/>
        <item x="630"/>
        <item x="1392"/>
        <item x="304"/>
        <item x="1425"/>
        <item x="755"/>
        <item x="2681"/>
        <item x="2374"/>
        <item x="324"/>
        <item x="487"/>
        <item x="1378"/>
        <item x="634"/>
        <item x="372"/>
        <item x="2198"/>
        <item x="2488"/>
        <item x="1258"/>
        <item x="2246"/>
        <item x="2454"/>
        <item x="1513"/>
        <item x="2617"/>
        <item x="1609"/>
        <item x="388"/>
        <item x="1476"/>
        <item x="2276"/>
        <item x="408"/>
        <item x="2362"/>
        <item x="1055"/>
        <item x="2485"/>
        <item x="1262"/>
        <item x="1936"/>
        <item x="1058"/>
        <item x="2532"/>
        <item x="2527"/>
        <item x="1998"/>
        <item x="506"/>
        <item x="2017"/>
        <item x="1830"/>
        <item x="1127"/>
        <item x="1744"/>
        <item x="815"/>
        <item x="2206"/>
        <item x="624"/>
        <item x="1156"/>
        <item x="1766"/>
        <item x="1331"/>
        <item x="1170"/>
        <item x="2066"/>
        <item x="1319"/>
        <item x="1466"/>
        <item x="2400"/>
        <item x="1944"/>
        <item x="2187"/>
        <item x="2083"/>
        <item x="1993"/>
        <item x="982"/>
        <item x="1040"/>
        <item x="653"/>
        <item x="2107"/>
        <item x="1858"/>
        <item x="1618"/>
        <item x="1847"/>
        <item x="1541"/>
        <item x="2674"/>
        <item x="2311"/>
        <item x="1550"/>
        <item x="1330"/>
        <item x="711"/>
        <item x="2558"/>
        <item x="2517"/>
        <item x="2177"/>
        <item x="1523"/>
        <item x="1165"/>
        <item x="645"/>
        <item x="1265"/>
        <item x="1578"/>
        <item x="1500"/>
        <item x="977"/>
        <item x="2328"/>
        <item x="1774"/>
        <item x="1380"/>
        <item x="1367"/>
        <item x="1530"/>
        <item x="1018"/>
        <item x="2570"/>
        <item x="581"/>
        <item x="2096"/>
        <item x="1895"/>
        <item x="2621"/>
        <item x="563"/>
        <item x="830"/>
        <item x="1134"/>
        <item x="842"/>
        <item x="2723"/>
        <item x="616"/>
        <item x="1440"/>
        <item x="1838"/>
        <item x="2719"/>
        <item x="393"/>
        <item x="2440"/>
        <item x="2427"/>
        <item x="1340"/>
        <item x="2551"/>
        <item x="2592"/>
        <item x="2424"/>
        <item x="1363"/>
        <item x="2123"/>
        <item x="520"/>
        <item x="274"/>
        <item x="2504"/>
        <item x="1681"/>
        <item x="1004"/>
        <item x="481"/>
        <item x="1810"/>
        <item x="469"/>
        <item x="2426"/>
        <item x="2267"/>
        <item x="281"/>
        <item x="1429"/>
        <item x="1849"/>
        <item x="1676"/>
        <item x="1485"/>
        <item x="2205"/>
        <item x="2313"/>
        <item x="1796"/>
        <item x="657"/>
        <item x="1875"/>
        <item x="918"/>
        <item x="2022"/>
        <item x="1846"/>
        <item x="1597"/>
        <item x="2103"/>
        <item x="880"/>
        <item x="1611"/>
        <item x="944"/>
        <item x="1803"/>
        <item x="471"/>
        <item x="1411"/>
        <item x="1162"/>
        <item x="806"/>
        <item x="2580"/>
        <item x="2040"/>
        <item x="1008"/>
        <item x="1426"/>
        <item x="1086"/>
        <item x="2680"/>
        <item x="964"/>
        <item x="2607"/>
        <item x="1856"/>
        <item x="1698"/>
        <item x="2429"/>
        <item x="1179"/>
        <item x="433"/>
        <item x="705"/>
        <item x="1332"/>
        <item x="911"/>
        <item x="1647"/>
        <item x="674"/>
        <item x="1352"/>
        <item x="668"/>
        <item x="1419"/>
        <item x="2428"/>
        <item x="1434"/>
        <item x="1272"/>
        <item x="1024"/>
        <item x="2333"/>
        <item x="1089"/>
        <item x="2330"/>
        <item x="2520"/>
        <item x="2477"/>
        <item x="2278"/>
        <item x="2277"/>
        <item x="647"/>
        <item x="1035"/>
        <item x="494"/>
        <item x="1304"/>
        <item x="1279"/>
        <item x="1707"/>
        <item x="1853"/>
        <item x="1947"/>
        <item x="1695"/>
        <item x="702"/>
        <item x="1244"/>
        <item x="739"/>
        <item x="860"/>
        <item x="1905"/>
        <item x="2384"/>
        <item x="2376"/>
        <item x="1387"/>
        <item x="1373"/>
        <item x="897"/>
        <item x="1046"/>
        <item x="529"/>
        <item x="1113"/>
        <item x="1067"/>
        <item x="2683"/>
        <item x="370"/>
        <item x="528"/>
        <item x="2395"/>
        <item x="1437"/>
        <item x="301"/>
        <item x="398"/>
        <item x="1772"/>
        <item x="1129"/>
        <item x="1121"/>
        <item x="1515"/>
        <item x="732"/>
        <item x="2704"/>
        <item x="1385"/>
        <item x="1241"/>
        <item x="2706"/>
        <item x="859"/>
        <item x="1621"/>
        <item x="1739"/>
        <item x="2289"/>
        <item x="864"/>
        <item x="2541"/>
        <item x="1424"/>
        <item x="1503"/>
        <item x="2408"/>
        <item x="2270"/>
        <item x="822"/>
        <item x="2283"/>
        <item x="2629"/>
        <item x="1002"/>
        <item x="1344"/>
        <item x="725"/>
        <item x="1490"/>
        <item x="1549"/>
        <item x="854"/>
        <item x="1045"/>
        <item x="2394"/>
        <item x="1610"/>
        <item x="1020"/>
        <item x="1797"/>
        <item x="1014"/>
        <item x="1410"/>
        <item x="1238"/>
        <item x="404"/>
        <item x="1721"/>
        <item x="1106"/>
        <item x="2419"/>
        <item x="2552"/>
        <item x="1601"/>
        <item x="626"/>
        <item x="1114"/>
        <item x="1276"/>
        <item x="1093"/>
        <item x="2121"/>
        <item x="2336"/>
        <item x="2112"/>
        <item x="1807"/>
        <item x="1811"/>
        <item x="2261"/>
        <item x="1568"/>
        <item x="1840"/>
        <item x="2660"/>
        <item x="2151"/>
        <item x="2472"/>
        <item x="1153"/>
        <item x="1101"/>
        <item x="1795"/>
        <item x="2656"/>
        <item x="2627"/>
        <item x="1019"/>
        <item x="967"/>
        <item x="2595"/>
        <item x="2085"/>
        <item x="1946"/>
        <item x="765"/>
        <item x="2028"/>
        <item x="1544"/>
        <item x="1181"/>
        <item x="2415"/>
        <item x="1801"/>
        <item x="817"/>
        <item x="430"/>
        <item x="1809"/>
        <item x="1215"/>
        <item x="1061"/>
        <item x="2691"/>
        <item x="2373"/>
        <item x="662"/>
        <item x="309"/>
        <item x="2402"/>
        <item x="547"/>
        <item x="1557"/>
        <item x="756"/>
        <item x="1185"/>
        <item x="970"/>
        <item x="577"/>
        <item x="2244"/>
        <item x="2579"/>
        <item x="2436"/>
        <item x="382"/>
        <item x="1167"/>
        <item x="670"/>
        <item x="403"/>
        <item x="1613"/>
        <item x="775"/>
        <item x="2404"/>
        <item x="1660"/>
        <item x="1930"/>
        <item x="2021"/>
        <item x="2414"/>
        <item x="736"/>
        <item x="479"/>
        <item x="1845"/>
        <item x="2317"/>
        <item x="1817"/>
        <item x="511"/>
        <item x="1268"/>
        <item x="1691"/>
        <item x="712"/>
        <item x="2035"/>
        <item x="1955"/>
        <item x="871"/>
        <item x="2080"/>
        <item x="449"/>
        <item x="376"/>
        <item x="872"/>
        <item x="849"/>
        <item x="898"/>
        <item x="2219"/>
        <item x="673"/>
        <item x="588"/>
        <item x="2136"/>
        <item x="1916"/>
        <item x="1178"/>
        <item x="2077"/>
        <item x="857"/>
        <item x="686"/>
        <item x="2285"/>
        <item x="1603"/>
        <item x="2093"/>
        <item x="1780"/>
        <item x="734"/>
        <item x="2271"/>
        <item x="303"/>
        <item x="2417"/>
        <item x="1619"/>
        <item x="858"/>
        <item x="2106"/>
        <item x="1791"/>
        <item x="2172"/>
        <item x="2560"/>
        <item x="1504"/>
        <item x="902"/>
        <item x="1639"/>
        <item x="1961"/>
        <item x="1073"/>
        <item x="925"/>
        <item x="1602"/>
        <item x="2576"/>
        <item x="1975"/>
        <item x="444"/>
        <item x="2455"/>
        <item x="884"/>
        <item x="2474"/>
        <item x="2341"/>
        <item x="2411"/>
        <item x="2159"/>
        <item x="1615"/>
        <item x="348"/>
        <item x="341"/>
        <item x="1081"/>
        <item x="1624"/>
        <item x="1832"/>
        <item x="2131"/>
        <item x="431"/>
        <item x="2250"/>
        <item x="2662"/>
        <item x="2117"/>
        <item x="1006"/>
        <item x="1909"/>
        <item x="2651"/>
        <item x="1310"/>
        <item x="2618"/>
        <item x="495"/>
        <item x="1462"/>
        <item x="1155"/>
        <item x="956"/>
        <item x="1802"/>
        <item x="1709"/>
        <item x="2008"/>
        <item x="1007"/>
        <item x="1536"/>
        <item x="421"/>
        <item x="802"/>
        <item x="1819"/>
        <item x="1477"/>
        <item x="612"/>
        <item x="2186"/>
        <item x="578"/>
        <item x="342"/>
        <item x="2623"/>
        <item x="1253"/>
        <item x="335"/>
        <item x="2386"/>
        <item x="1339"/>
        <item x="2262"/>
        <item x="2710"/>
        <item x="2212"/>
        <item x="2668"/>
        <item x="1967"/>
        <item x="1478"/>
        <item x="1107"/>
        <item x="1594"/>
        <item x="2420"/>
        <item x="1553"/>
        <item x="513"/>
        <item x="1999"/>
        <item x="556"/>
        <item x="2353"/>
        <item x="1391"/>
        <item x="890"/>
        <item x="781"/>
        <item x="2507"/>
        <item x="2197"/>
        <item x="2432"/>
        <item x="1026"/>
        <item x="1487"/>
        <item x="1357"/>
        <item x="2331"/>
        <item x="876"/>
        <item x="1981"/>
        <item x="1370"/>
        <item x="2241"/>
        <item x="2390"/>
        <item x="2447"/>
        <item x="1867"/>
        <item x="1201"/>
        <item x="1395"/>
        <item x="800"/>
        <item x="722"/>
        <item x="932"/>
        <item x="2359"/>
        <item x="2147"/>
        <item x="1176"/>
        <item x="1187"/>
        <item x="1151"/>
        <item x="1164"/>
        <item x="1670"/>
        <item x="2612"/>
        <item x="2293"/>
        <item x="1986"/>
        <item x="2468"/>
        <item x="1407"/>
        <item x="1342"/>
        <item x="753"/>
        <item x="1394"/>
        <item x="2620"/>
        <item x="678"/>
        <item x="2619"/>
        <item x="2702"/>
        <item x="1588"/>
        <item x="1177"/>
        <item x="1919"/>
        <item x="1844"/>
        <item x="2009"/>
        <item x="475"/>
        <item x="1507"/>
        <item x="1150"/>
        <item x="1945"/>
        <item x="1448"/>
        <item x="2534"/>
        <item x="1174"/>
        <item x="1227"/>
        <item x="484"/>
        <item x="1199"/>
        <item x="2369"/>
        <item x="530"/>
        <item x="2073"/>
        <item x="546"/>
        <item x="1677"/>
        <item x="659"/>
        <item x="2443"/>
        <item x="2304"/>
        <item x="1982"/>
        <item x="2524"/>
        <item x="2385"/>
        <item x="874"/>
        <item x="2686"/>
        <item x="2496"/>
        <item x="1645"/>
        <item x="1303"/>
        <item x="501"/>
        <item x="1903"/>
        <item x="2001"/>
        <item x="1622"/>
        <item x="1750"/>
        <item x="1288"/>
        <item x="2441"/>
        <item x="1763"/>
        <item x="2508"/>
        <item x="2423"/>
        <item x="2495"/>
        <item x="991"/>
        <item x="1013"/>
        <item x="2325"/>
        <item x="638"/>
        <item x="2633"/>
        <item x="378"/>
        <item x="994"/>
        <item x="1105"/>
        <item x="2370"/>
        <item x="285"/>
        <item x="1110"/>
        <item x="1778"/>
        <item x="1183"/>
        <item x="1979"/>
        <item x="708"/>
        <item x="1581"/>
        <item x="696"/>
        <item x="716"/>
        <item x="2364"/>
        <item x="1126"/>
        <item x="1641"/>
        <item x="2509"/>
        <item x="559"/>
        <item x="1417"/>
        <item x="1080"/>
        <item x="758"/>
        <item x="883"/>
        <item x="483"/>
        <item x="1951"/>
        <item x="719"/>
        <item x="2413"/>
        <item x="437"/>
        <item x="2352"/>
        <item x="448"/>
        <item x="410"/>
        <item x="649"/>
        <item x="291"/>
        <item x="1569"/>
        <item x="821"/>
        <item x="1985"/>
        <item x="866"/>
        <item x="2255"/>
        <item x="1060"/>
        <item x="888"/>
        <item x="934"/>
        <item x="2451"/>
        <item x="640"/>
        <item x="847"/>
        <item x="1726"/>
        <item x="1877"/>
        <item x="745"/>
        <item x="539"/>
        <item x="617"/>
        <item x="464"/>
        <item x="443"/>
        <item x="2640"/>
        <item x="636"/>
        <item x="809"/>
        <item x="1786"/>
        <item x="282"/>
        <item x="1705"/>
        <item x="1901"/>
        <item x="1799"/>
        <item x="2050"/>
        <item x="333"/>
        <item x="971"/>
        <item x="311"/>
        <item x="562"/>
        <item x="2227"/>
        <item x="1835"/>
        <item x="892"/>
        <item x="1393"/>
        <item x="1078"/>
        <item x="496"/>
        <item x="1522"/>
        <item x="1868"/>
        <item x="1545"/>
        <item x="899"/>
        <item x="2038"/>
        <item x="633"/>
        <item x="2361"/>
        <item x="1733"/>
        <item x="1688"/>
        <item x="491"/>
        <item x="2490"/>
        <item x="1235"/>
        <item x="1651"/>
        <item x="466"/>
        <item x="1130"/>
        <item x="380"/>
        <item x="1128"/>
        <item x="1157"/>
        <item x="490"/>
        <item x="1116"/>
        <item x="1207"/>
        <item x="429"/>
        <item x="1674"/>
        <item x="426"/>
        <item x="534"/>
        <item x="1197"/>
        <item x="1011"/>
        <item x="2057"/>
        <item x="1767"/>
        <item x="1539"/>
        <item x="912"/>
        <item x="896"/>
        <item x="2409"/>
        <item x="2199"/>
        <item x="2554"/>
        <item x="2081"/>
        <item x="990"/>
        <item x="1251"/>
        <item x="2222"/>
        <item x="1565"/>
        <item x="661"/>
        <item x="788"/>
        <item x="1717"/>
        <item x="414"/>
        <item x="2268"/>
        <item x="1664"/>
        <item x="1816"/>
        <item x="339"/>
        <item x="474"/>
        <item x="1351"/>
        <item x="1368"/>
        <item x="799"/>
        <item x="966"/>
        <item x="1535"/>
        <item x="2511"/>
        <item x="1892"/>
        <item x="1399"/>
        <item x="1173"/>
        <item x="1757"/>
        <item x="2210"/>
        <item x="2535"/>
        <item x="1586"/>
        <item x="2502"/>
        <item x="603"/>
        <item x="767"/>
        <item x="363"/>
        <item x="1053"/>
        <item x="1776"/>
        <item x="2019"/>
        <item x="968"/>
        <item x="969"/>
        <item x="1256"/>
        <item x="1293"/>
        <item x="1226"/>
        <item x="1290"/>
        <item x="1348"/>
        <item x="1571"/>
        <item x="1475"/>
        <item x="2709"/>
        <item x="320"/>
        <item x="928"/>
        <item x="2358"/>
        <item x="2043"/>
        <item x="2606"/>
        <item x="2068"/>
        <item x="456"/>
        <item x="2722"/>
        <item x="428"/>
        <item x="1614"/>
        <item x="503"/>
        <item x="1942"/>
        <item x="1983"/>
        <item x="515"/>
        <item x="1988"/>
        <item x="2377"/>
        <item x="1135"/>
        <item x="2574"/>
        <item x="803"/>
        <item x="597"/>
        <item x="396"/>
        <item x="1386"/>
        <item x="284"/>
        <item x="364"/>
        <item x="2116"/>
        <item x="2418"/>
        <item x="1468"/>
        <item x="1163"/>
        <item x="1354"/>
        <item x="536"/>
        <item x="1102"/>
        <item x="989"/>
        <item x="2272"/>
        <item x="599"/>
        <item x="762"/>
        <item x="805"/>
        <item x="2350"/>
        <item x="2482"/>
        <item x="1064"/>
        <item x="565"/>
        <item x="1125"/>
        <item x="1527"/>
        <item x="1259"/>
        <item x="1191"/>
        <item x="2675"/>
        <item x="2610"/>
        <item x="2259"/>
        <item x="2671"/>
        <item x="1655"/>
        <item x="2586"/>
        <item x="2247"/>
        <item x="2235"/>
        <item x="2048"/>
        <item x="2669"/>
        <item x="2115"/>
        <item x="553"/>
        <item x="778"/>
        <item x="2191"/>
        <item x="2058"/>
        <item x="1202"/>
        <item x="2514"/>
        <item x="2321"/>
        <item x="326"/>
        <item x="660"/>
        <item x="1208"/>
        <item x="2568"/>
        <item x="1591"/>
        <item x="2263"/>
        <item x="2122"/>
        <item x="2220"/>
        <item x="1458"/>
        <item x="1700"/>
        <item x="1325"/>
        <item x="655"/>
        <item x="1505"/>
        <item x="1788"/>
        <item x="1455"/>
        <item x="575"/>
        <item x="2088"/>
        <item x="1415"/>
        <item x="2487"/>
        <item x="1634"/>
        <item x="1403"/>
        <item x="583"/>
        <item x="1213"/>
        <item x="2294"/>
        <item x="425"/>
        <item x="907"/>
        <item x="1722"/>
        <item x="1589"/>
        <item x="2397"/>
        <item x="352"/>
        <item x="1358"/>
        <item x="2183"/>
        <item x="2492"/>
        <item x="748"/>
        <item x="1635"/>
        <item x="332"/>
        <item x="2252"/>
        <item x="1632"/>
        <item x="451"/>
        <item x="1224"/>
        <item x="1804"/>
        <item x="1158"/>
        <item x="2189"/>
        <item x="1069"/>
        <item x="390"/>
        <item x="948"/>
        <item x="391"/>
        <item x="1881"/>
        <item x="763"/>
        <item x="1841"/>
        <item x="521"/>
        <item x="2033"/>
        <item x="887"/>
        <item x="1727"/>
        <item x="1077"/>
        <item x="993"/>
        <item x="2464"/>
        <item x="1123"/>
        <item x="387"/>
        <item x="1321"/>
        <item x="1062"/>
        <item x="2456"/>
        <item x="1782"/>
        <item x="2650"/>
        <item x="2569"/>
        <item x="721"/>
        <item x="992"/>
        <item x="951"/>
        <item x="1091"/>
        <item x="452"/>
        <item x="2696"/>
        <item x="2516"/>
        <item x="1560"/>
        <item x="1152"/>
        <item x="1952"/>
        <item x="1748"/>
        <item t="default"/>
      </items>
    </pivotField>
    <pivotField dataField="1" showAll="0"/>
    <pivotField axis="axisRow" showAll="0">
      <items count="17">
        <item x="11"/>
        <item x="2"/>
        <item x="0"/>
        <item x="9"/>
        <item x="12"/>
        <item x="6"/>
        <item x="7"/>
        <item x="8"/>
        <item x="14"/>
        <item x="13"/>
        <item x="15"/>
        <item x="1"/>
        <item x="5"/>
        <item x="3"/>
        <item x="4"/>
        <item x="10"/>
        <item t="default"/>
      </items>
    </pivotField>
    <pivotField axis="axisPage" multipleItemSelectionAllowed="1" showAll="0">
      <items count="6">
        <item x="0"/>
        <item x="1"/>
        <item x="4"/>
        <item x="3"/>
        <item x="2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6" hier="-1"/>
  </pageFields>
  <dataFields count="2">
    <dataField name="Sum of debit" fld="3" baseField="5" baseItem="0"/>
    <dataField name="Sum of credit" fld="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4071-5B6C-4D5D-BAED-F3FEAC2AFC0F}">
  <dimension ref="A1:C21"/>
  <sheetViews>
    <sheetView workbookViewId="0">
      <selection activeCell="D19" sqref="D19"/>
    </sheetView>
  </sheetViews>
  <sheetFormatPr defaultRowHeight="14.5" x14ac:dyDescent="0.35"/>
  <cols>
    <col min="1" max="1" width="44.26953125" bestFit="1" customWidth="1"/>
    <col min="2" max="2" width="15.81640625" bestFit="1" customWidth="1"/>
    <col min="3" max="3" width="11.90625" bestFit="1" customWidth="1"/>
    <col min="4" max="4" width="19.7265625" bestFit="1" customWidth="1"/>
    <col min="5" max="5" width="7.81640625" bestFit="1" customWidth="1"/>
    <col min="6" max="6" width="7.54296875" bestFit="1" customWidth="1"/>
    <col min="7" max="7" width="11.90625" bestFit="1" customWidth="1"/>
    <col min="8" max="8" width="6.81640625" bestFit="1" customWidth="1"/>
    <col min="9" max="9" width="7.81640625" bestFit="1" customWidth="1"/>
    <col min="10" max="11" width="8.81640625" bestFit="1" customWidth="1"/>
    <col min="12" max="12" width="15.90625" bestFit="1" customWidth="1"/>
    <col min="13" max="13" width="16.453125" bestFit="1" customWidth="1"/>
    <col min="14" max="16" width="4.81640625" bestFit="1" customWidth="1"/>
    <col min="17" max="22" width="5.81640625" bestFit="1" customWidth="1"/>
    <col min="23" max="28" width="6.81640625" bestFit="1" customWidth="1"/>
    <col min="29" max="29" width="3.81640625" bestFit="1" customWidth="1"/>
    <col min="30" max="37" width="6.81640625" bestFit="1" customWidth="1"/>
    <col min="38" max="38" width="5.81640625" bestFit="1" customWidth="1"/>
    <col min="39" max="51" width="6.81640625" bestFit="1" customWidth="1"/>
    <col min="52" max="52" width="5.81640625" bestFit="1" customWidth="1"/>
    <col min="53" max="72" width="6.81640625" bestFit="1" customWidth="1"/>
    <col min="73" max="73" width="3.81640625" bestFit="1" customWidth="1"/>
    <col min="74" max="81" width="6.81640625" bestFit="1" customWidth="1"/>
    <col min="82" max="82" width="5.81640625" bestFit="1" customWidth="1"/>
    <col min="83" max="98" width="6.81640625" bestFit="1" customWidth="1"/>
    <col min="99" max="99" width="5.81640625" bestFit="1" customWidth="1"/>
    <col min="100" max="110" width="6.81640625" bestFit="1" customWidth="1"/>
    <col min="111" max="111" width="5.81640625" bestFit="1" customWidth="1"/>
    <col min="112" max="113" width="6.81640625" bestFit="1" customWidth="1"/>
    <col min="114" max="117" width="7.81640625" bestFit="1" customWidth="1"/>
    <col min="118" max="119" width="6.81640625" bestFit="1" customWidth="1"/>
    <col min="120" max="129" width="7.81640625" bestFit="1" customWidth="1"/>
    <col min="130" max="131" width="6.81640625" bestFit="1" customWidth="1"/>
    <col min="132" max="138" width="7.81640625" bestFit="1" customWidth="1"/>
    <col min="139" max="139" width="6.81640625" bestFit="1" customWidth="1"/>
    <col min="140" max="141" width="7.81640625" bestFit="1" customWidth="1"/>
    <col min="142" max="142" width="6.81640625" bestFit="1" customWidth="1"/>
    <col min="143" max="162" width="7.81640625" bestFit="1" customWidth="1"/>
    <col min="163" max="163" width="6.81640625" bestFit="1" customWidth="1"/>
    <col min="164" max="173" width="7.81640625" bestFit="1" customWidth="1"/>
    <col min="174" max="174" width="6.81640625" bestFit="1" customWidth="1"/>
    <col min="175" max="176" width="7.81640625" bestFit="1" customWidth="1"/>
    <col min="177" max="177" width="6.81640625" bestFit="1" customWidth="1"/>
    <col min="178" max="182" width="7.81640625" bestFit="1" customWidth="1"/>
    <col min="183" max="183" width="6.81640625" bestFit="1" customWidth="1"/>
    <col min="184" max="197" width="7.81640625" bestFit="1" customWidth="1"/>
    <col min="198" max="198" width="6.81640625" bestFit="1" customWidth="1"/>
    <col min="199" max="203" width="7.81640625" bestFit="1" customWidth="1"/>
    <col min="204" max="204" width="4.81640625" bestFit="1" customWidth="1"/>
    <col min="205" max="208" width="7.81640625" bestFit="1" customWidth="1"/>
    <col min="209" max="209" width="6.81640625" bestFit="1" customWidth="1"/>
    <col min="210" max="216" width="7.81640625" bestFit="1" customWidth="1"/>
    <col min="217" max="217" width="6.81640625" bestFit="1" customWidth="1"/>
    <col min="218" max="220" width="7.81640625" bestFit="1" customWidth="1"/>
    <col min="221" max="221" width="6.81640625" bestFit="1" customWidth="1"/>
    <col min="222" max="223" width="7.81640625" bestFit="1" customWidth="1"/>
    <col min="224" max="224" width="6.81640625" bestFit="1" customWidth="1"/>
    <col min="225" max="225" width="7.81640625" bestFit="1" customWidth="1"/>
    <col min="226" max="226" width="6.81640625" bestFit="1" customWidth="1"/>
    <col min="227" max="245" width="7.81640625" bestFit="1" customWidth="1"/>
    <col min="246" max="246" width="6.81640625" bestFit="1" customWidth="1"/>
    <col min="247" max="262" width="7.81640625" bestFit="1" customWidth="1"/>
    <col min="263" max="263" width="6.81640625" bestFit="1" customWidth="1"/>
    <col min="264" max="267" width="7.81640625" bestFit="1" customWidth="1"/>
    <col min="268" max="271" width="8.81640625" bestFit="1" customWidth="1"/>
    <col min="272" max="272" width="7.81640625" bestFit="1" customWidth="1"/>
    <col min="273" max="273" width="6.81640625" bestFit="1" customWidth="1"/>
    <col min="274" max="274" width="3.36328125" bestFit="1" customWidth="1"/>
    <col min="275" max="275" width="4.36328125" bestFit="1" customWidth="1"/>
    <col min="276" max="276" width="7.36328125" bestFit="1" customWidth="1"/>
    <col min="277" max="277" width="6.36328125" bestFit="1" customWidth="1"/>
    <col min="278" max="278" width="7.36328125" bestFit="1" customWidth="1"/>
    <col min="279" max="279" width="6.36328125" bestFit="1" customWidth="1"/>
    <col min="280" max="281" width="7.36328125" bestFit="1" customWidth="1"/>
    <col min="282" max="282" width="6.36328125" bestFit="1" customWidth="1"/>
    <col min="283" max="304" width="7.36328125" bestFit="1" customWidth="1"/>
    <col min="305" max="305" width="6.36328125" bestFit="1" customWidth="1"/>
    <col min="306" max="308" width="7.36328125" bestFit="1" customWidth="1"/>
    <col min="309" max="309" width="6.36328125" bestFit="1" customWidth="1"/>
    <col min="310" max="314" width="7.36328125" bestFit="1" customWidth="1"/>
    <col min="315" max="315" width="6.36328125" bestFit="1" customWidth="1"/>
    <col min="316" max="318" width="7.36328125" bestFit="1" customWidth="1"/>
    <col min="319" max="321" width="6.36328125" bestFit="1" customWidth="1"/>
    <col min="322" max="327" width="7.36328125" bestFit="1" customWidth="1"/>
    <col min="328" max="328" width="6.36328125" bestFit="1" customWidth="1"/>
    <col min="329" max="331" width="7.36328125" bestFit="1" customWidth="1"/>
    <col min="332" max="333" width="6.36328125" bestFit="1" customWidth="1"/>
    <col min="334" max="334" width="7.36328125" bestFit="1" customWidth="1"/>
    <col min="335" max="335" width="6.36328125" bestFit="1" customWidth="1"/>
    <col min="336" max="340" width="7.36328125" bestFit="1" customWidth="1"/>
    <col min="341" max="341" width="6.36328125" bestFit="1" customWidth="1"/>
    <col min="342" max="352" width="7.36328125" bestFit="1" customWidth="1"/>
    <col min="353" max="354" width="6.36328125" bestFit="1" customWidth="1"/>
    <col min="355" max="358" width="7.36328125" bestFit="1" customWidth="1"/>
    <col min="359" max="359" width="6.36328125" bestFit="1" customWidth="1"/>
    <col min="360" max="363" width="7.36328125" bestFit="1" customWidth="1"/>
    <col min="364" max="364" width="6.36328125" bestFit="1" customWidth="1"/>
    <col min="365" max="366" width="7.36328125" bestFit="1" customWidth="1"/>
    <col min="367" max="367" width="6.36328125" bestFit="1" customWidth="1"/>
    <col min="368" max="370" width="7.36328125" bestFit="1" customWidth="1"/>
    <col min="371" max="371" width="6.36328125" bestFit="1" customWidth="1"/>
    <col min="372" max="376" width="7.36328125" bestFit="1" customWidth="1"/>
    <col min="377" max="377" width="6.36328125" bestFit="1" customWidth="1"/>
    <col min="378" max="380" width="7.36328125" bestFit="1" customWidth="1"/>
    <col min="381" max="381" width="6.36328125" bestFit="1" customWidth="1"/>
    <col min="382" max="400" width="7.36328125" bestFit="1" customWidth="1"/>
    <col min="401" max="401" width="5.36328125" bestFit="1" customWidth="1"/>
    <col min="402" max="402" width="6.36328125" bestFit="1" customWidth="1"/>
    <col min="403" max="412" width="7.36328125" bestFit="1" customWidth="1"/>
    <col min="413" max="413" width="6.36328125" bestFit="1" customWidth="1"/>
    <col min="414" max="419" width="7.36328125" bestFit="1" customWidth="1"/>
    <col min="420" max="422" width="6.36328125" bestFit="1" customWidth="1"/>
    <col min="423" max="432" width="7.36328125" bestFit="1" customWidth="1"/>
    <col min="433" max="434" width="6.36328125" bestFit="1" customWidth="1"/>
    <col min="435" max="438" width="7.36328125" bestFit="1" customWidth="1"/>
    <col min="439" max="439" width="6.36328125" bestFit="1" customWidth="1"/>
    <col min="440" max="443" width="7.36328125" bestFit="1" customWidth="1"/>
    <col min="444" max="444" width="6.36328125" bestFit="1" customWidth="1"/>
    <col min="445" max="450" width="7.36328125" bestFit="1" customWidth="1"/>
    <col min="451" max="451" width="6.36328125" bestFit="1" customWidth="1"/>
    <col min="452" max="462" width="7.36328125" bestFit="1" customWidth="1"/>
    <col min="463" max="463" width="6.36328125" bestFit="1" customWidth="1"/>
    <col min="464" max="466" width="7.36328125" bestFit="1" customWidth="1"/>
    <col min="467" max="467" width="6.36328125" bestFit="1" customWidth="1"/>
    <col min="468" max="470" width="7.36328125" bestFit="1" customWidth="1"/>
    <col min="471" max="471" width="6.36328125" bestFit="1" customWidth="1"/>
    <col min="472" max="476" width="7.36328125" bestFit="1" customWidth="1"/>
    <col min="477" max="477" width="6.36328125" bestFit="1" customWidth="1"/>
    <col min="478" max="487" width="7.36328125" bestFit="1" customWidth="1"/>
    <col min="488" max="488" width="6.36328125" bestFit="1" customWidth="1"/>
    <col min="489" max="492" width="7.36328125" bestFit="1" customWidth="1"/>
    <col min="493" max="493" width="6.36328125" bestFit="1" customWidth="1"/>
    <col min="494" max="498" width="7.36328125" bestFit="1" customWidth="1"/>
    <col min="499" max="499" width="6.36328125" bestFit="1" customWidth="1"/>
    <col min="500" max="500" width="7.36328125" bestFit="1" customWidth="1"/>
    <col min="501" max="502" width="6.36328125" bestFit="1" customWidth="1"/>
    <col min="503" max="503" width="7.36328125" bestFit="1" customWidth="1"/>
    <col min="504" max="504" width="6.36328125" bestFit="1" customWidth="1"/>
    <col min="505" max="507" width="7.36328125" bestFit="1" customWidth="1"/>
    <col min="508" max="508" width="5.36328125" bestFit="1" customWidth="1"/>
    <col min="509" max="509" width="6.36328125" bestFit="1" customWidth="1"/>
    <col min="510" max="516" width="7.36328125" bestFit="1" customWidth="1"/>
    <col min="517" max="517" width="6.36328125" bestFit="1" customWidth="1"/>
    <col min="518" max="524" width="7.36328125" bestFit="1" customWidth="1"/>
    <col min="525" max="526" width="6.36328125" bestFit="1" customWidth="1"/>
    <col min="527" max="527" width="7.36328125" bestFit="1" customWidth="1"/>
    <col min="528" max="528" width="6.36328125" bestFit="1" customWidth="1"/>
    <col min="529" max="530" width="7.36328125" bestFit="1" customWidth="1"/>
    <col min="531" max="531" width="6.36328125" bestFit="1" customWidth="1"/>
    <col min="532" max="533" width="7.36328125" bestFit="1" customWidth="1"/>
    <col min="534" max="534" width="6.36328125" bestFit="1" customWidth="1"/>
    <col min="535" max="542" width="7.36328125" bestFit="1" customWidth="1"/>
    <col min="543" max="545" width="5.36328125" bestFit="1" customWidth="1"/>
    <col min="546" max="546" width="6.36328125" bestFit="1" customWidth="1"/>
    <col min="547" max="549" width="7.36328125" bestFit="1" customWidth="1"/>
    <col min="550" max="550" width="6.36328125" bestFit="1" customWidth="1"/>
    <col min="551" max="551" width="7.36328125" bestFit="1" customWidth="1"/>
    <col min="552" max="552" width="6.36328125" bestFit="1" customWidth="1"/>
    <col min="553" max="556" width="7.36328125" bestFit="1" customWidth="1"/>
    <col min="557" max="559" width="6.36328125" bestFit="1" customWidth="1"/>
    <col min="560" max="561" width="7.36328125" bestFit="1" customWidth="1"/>
    <col min="562" max="562" width="6.36328125" bestFit="1" customWidth="1"/>
    <col min="563" max="568" width="7.36328125" bestFit="1" customWidth="1"/>
    <col min="569" max="569" width="6.36328125" bestFit="1" customWidth="1"/>
    <col min="570" max="574" width="7.36328125" bestFit="1" customWidth="1"/>
    <col min="575" max="577" width="6.36328125" bestFit="1" customWidth="1"/>
    <col min="578" max="580" width="7.36328125" bestFit="1" customWidth="1"/>
    <col min="581" max="581" width="6.36328125" bestFit="1" customWidth="1"/>
    <col min="582" max="597" width="7.36328125" bestFit="1" customWidth="1"/>
    <col min="598" max="598" width="6.36328125" bestFit="1" customWidth="1"/>
    <col min="599" max="599" width="5.36328125" bestFit="1" customWidth="1"/>
    <col min="600" max="600" width="7.36328125" bestFit="1" customWidth="1"/>
    <col min="601" max="601" width="6.36328125" bestFit="1" customWidth="1"/>
    <col min="602" max="605" width="7.36328125" bestFit="1" customWidth="1"/>
    <col min="606" max="606" width="6.36328125" bestFit="1" customWidth="1"/>
    <col min="607" max="607" width="7.36328125" bestFit="1" customWidth="1"/>
    <col min="608" max="611" width="6.36328125" bestFit="1" customWidth="1"/>
    <col min="612" max="620" width="7.36328125" bestFit="1" customWidth="1"/>
    <col min="621" max="621" width="6.36328125" bestFit="1" customWidth="1"/>
    <col min="622" max="626" width="7.36328125" bestFit="1" customWidth="1"/>
    <col min="627" max="627" width="6.36328125" bestFit="1" customWidth="1"/>
    <col min="628" max="632" width="7.36328125" bestFit="1" customWidth="1"/>
    <col min="633" max="634" width="6.36328125" bestFit="1" customWidth="1"/>
    <col min="635" max="641" width="7.36328125" bestFit="1" customWidth="1"/>
    <col min="642" max="642" width="6.36328125" bestFit="1" customWidth="1"/>
    <col min="643" max="643" width="7.36328125" bestFit="1" customWidth="1"/>
    <col min="644" max="644" width="6.36328125" bestFit="1" customWidth="1"/>
    <col min="645" max="647" width="7.36328125" bestFit="1" customWidth="1"/>
    <col min="648" max="648" width="6.36328125" bestFit="1" customWidth="1"/>
    <col min="649" max="671" width="7.36328125" bestFit="1" customWidth="1"/>
    <col min="672" max="672" width="6.36328125" bestFit="1" customWidth="1"/>
    <col min="673" max="675" width="7.36328125" bestFit="1" customWidth="1"/>
    <col min="676" max="677" width="6.36328125" bestFit="1" customWidth="1"/>
    <col min="678" max="680" width="7.36328125" bestFit="1" customWidth="1"/>
    <col min="681" max="684" width="6.36328125" bestFit="1" customWidth="1"/>
    <col min="685" max="688" width="7.36328125" bestFit="1" customWidth="1"/>
    <col min="689" max="689" width="6.36328125" bestFit="1" customWidth="1"/>
    <col min="690" max="692" width="7.36328125" bestFit="1" customWidth="1"/>
    <col min="693" max="694" width="6.36328125" bestFit="1" customWidth="1"/>
    <col min="695" max="706" width="7.36328125" bestFit="1" customWidth="1"/>
    <col min="707" max="707" width="6.36328125" bestFit="1" customWidth="1"/>
    <col min="708" max="708" width="7.36328125" bestFit="1" customWidth="1"/>
    <col min="709" max="710" width="6.36328125" bestFit="1" customWidth="1"/>
    <col min="711" max="717" width="7.36328125" bestFit="1" customWidth="1"/>
    <col min="718" max="719" width="6.36328125" bestFit="1" customWidth="1"/>
    <col min="720" max="722" width="7.36328125" bestFit="1" customWidth="1"/>
    <col min="723" max="723" width="6.36328125" bestFit="1" customWidth="1"/>
    <col min="724" max="728" width="7.36328125" bestFit="1" customWidth="1"/>
    <col min="729" max="729" width="6.36328125" bestFit="1" customWidth="1"/>
    <col min="730" max="741" width="7.36328125" bestFit="1" customWidth="1"/>
    <col min="742" max="742" width="6.36328125" bestFit="1" customWidth="1"/>
    <col min="743" max="745" width="7.36328125" bestFit="1" customWidth="1"/>
    <col min="746" max="746" width="6.36328125" bestFit="1" customWidth="1"/>
    <col min="747" max="749" width="7.36328125" bestFit="1" customWidth="1"/>
    <col min="750" max="750" width="5.36328125" bestFit="1" customWidth="1"/>
    <col min="751" max="755" width="7.36328125" bestFit="1" customWidth="1"/>
    <col min="756" max="756" width="6.36328125" bestFit="1" customWidth="1"/>
    <col min="757" max="762" width="7.36328125" bestFit="1" customWidth="1"/>
    <col min="763" max="763" width="6.36328125" bestFit="1" customWidth="1"/>
    <col min="764" max="771" width="7.36328125" bestFit="1" customWidth="1"/>
    <col min="772" max="772" width="6.36328125" bestFit="1" customWidth="1"/>
    <col min="773" max="776" width="7.36328125" bestFit="1" customWidth="1"/>
    <col min="777" max="777" width="6.36328125" bestFit="1" customWidth="1"/>
    <col min="778" max="791" width="7.36328125" bestFit="1" customWidth="1"/>
    <col min="792" max="792" width="6.36328125" bestFit="1" customWidth="1"/>
    <col min="793" max="797" width="7.36328125" bestFit="1" customWidth="1"/>
    <col min="798" max="798" width="6.36328125" bestFit="1" customWidth="1"/>
    <col min="799" max="806" width="7.36328125" bestFit="1" customWidth="1"/>
    <col min="807" max="807" width="6.36328125" bestFit="1" customWidth="1"/>
    <col min="808" max="808" width="7.36328125" bestFit="1" customWidth="1"/>
    <col min="809" max="812" width="6.36328125" bestFit="1" customWidth="1"/>
    <col min="813" max="818" width="7.36328125" bestFit="1" customWidth="1"/>
    <col min="819" max="819" width="5.36328125" bestFit="1" customWidth="1"/>
    <col min="820" max="820" width="6.36328125" bestFit="1" customWidth="1"/>
    <col min="821" max="828" width="7.36328125" bestFit="1" customWidth="1"/>
    <col min="829" max="829" width="6.36328125" bestFit="1" customWidth="1"/>
    <col min="830" max="845" width="7.36328125" bestFit="1" customWidth="1"/>
    <col min="846" max="846" width="6.36328125" bestFit="1" customWidth="1"/>
    <col min="847" max="847" width="7.36328125" bestFit="1" customWidth="1"/>
    <col min="848" max="848" width="6.36328125" bestFit="1" customWidth="1"/>
    <col min="849" max="849" width="7.36328125" bestFit="1" customWidth="1"/>
    <col min="850" max="850" width="6.36328125" bestFit="1" customWidth="1"/>
    <col min="851" max="854" width="7.36328125" bestFit="1" customWidth="1"/>
    <col min="855" max="855" width="6.36328125" bestFit="1" customWidth="1"/>
    <col min="856" max="856" width="7.36328125" bestFit="1" customWidth="1"/>
    <col min="857" max="857" width="6.36328125" bestFit="1" customWidth="1"/>
    <col min="858" max="862" width="7.36328125" bestFit="1" customWidth="1"/>
    <col min="863" max="866" width="6.36328125" bestFit="1" customWidth="1"/>
    <col min="867" max="868" width="7.36328125" bestFit="1" customWidth="1"/>
    <col min="869" max="869" width="6.36328125" bestFit="1" customWidth="1"/>
    <col min="870" max="870" width="7.36328125" bestFit="1" customWidth="1"/>
    <col min="871" max="871" width="6.36328125" bestFit="1" customWidth="1"/>
    <col min="872" max="873" width="7.36328125" bestFit="1" customWidth="1"/>
    <col min="874" max="874" width="6.36328125" bestFit="1" customWidth="1"/>
    <col min="875" max="888" width="7.36328125" bestFit="1" customWidth="1"/>
    <col min="889" max="889" width="6.36328125" bestFit="1" customWidth="1"/>
    <col min="890" max="895" width="7.36328125" bestFit="1" customWidth="1"/>
    <col min="896" max="896" width="6.36328125" bestFit="1" customWidth="1"/>
    <col min="897" max="902" width="7.36328125" bestFit="1" customWidth="1"/>
    <col min="903" max="903" width="6.36328125" bestFit="1" customWidth="1"/>
    <col min="904" max="905" width="7.36328125" bestFit="1" customWidth="1"/>
    <col min="906" max="906" width="6.36328125" bestFit="1" customWidth="1"/>
    <col min="907" max="909" width="7.36328125" bestFit="1" customWidth="1"/>
    <col min="910" max="910" width="5.36328125" bestFit="1" customWidth="1"/>
    <col min="911" max="914" width="7.36328125" bestFit="1" customWidth="1"/>
    <col min="915" max="915" width="6.36328125" bestFit="1" customWidth="1"/>
    <col min="916" max="917" width="7.36328125" bestFit="1" customWidth="1"/>
    <col min="918" max="918" width="6.36328125" bestFit="1" customWidth="1"/>
    <col min="919" max="919" width="7.36328125" bestFit="1" customWidth="1"/>
    <col min="920" max="920" width="6.36328125" bestFit="1" customWidth="1"/>
    <col min="921" max="925" width="7.36328125" bestFit="1" customWidth="1"/>
    <col min="926" max="927" width="6.36328125" bestFit="1" customWidth="1"/>
    <col min="928" max="932" width="7.36328125" bestFit="1" customWidth="1"/>
    <col min="933" max="933" width="6.36328125" bestFit="1" customWidth="1"/>
    <col min="934" max="939" width="7.36328125" bestFit="1" customWidth="1"/>
    <col min="940" max="941" width="6.36328125" bestFit="1" customWidth="1"/>
    <col min="942" max="944" width="7.36328125" bestFit="1" customWidth="1"/>
    <col min="945" max="945" width="6.36328125" bestFit="1" customWidth="1"/>
    <col min="946" max="948" width="7.36328125" bestFit="1" customWidth="1"/>
    <col min="949" max="950" width="6.36328125" bestFit="1" customWidth="1"/>
    <col min="951" max="956" width="7.36328125" bestFit="1" customWidth="1"/>
    <col min="957" max="957" width="6.36328125" bestFit="1" customWidth="1"/>
    <col min="958" max="960" width="7.36328125" bestFit="1" customWidth="1"/>
    <col min="961" max="961" width="6.36328125" bestFit="1" customWidth="1"/>
    <col min="962" max="963" width="7.36328125" bestFit="1" customWidth="1"/>
    <col min="964" max="964" width="6.36328125" bestFit="1" customWidth="1"/>
    <col min="965" max="967" width="7.36328125" bestFit="1" customWidth="1"/>
    <col min="968" max="969" width="6.36328125" bestFit="1" customWidth="1"/>
    <col min="970" max="975" width="7.36328125" bestFit="1" customWidth="1"/>
    <col min="976" max="976" width="5.36328125" bestFit="1" customWidth="1"/>
    <col min="977" max="984" width="7.36328125" bestFit="1" customWidth="1"/>
    <col min="985" max="985" width="5.36328125" bestFit="1" customWidth="1"/>
    <col min="986" max="990" width="7.36328125" bestFit="1" customWidth="1"/>
    <col min="991" max="992" width="6.36328125" bestFit="1" customWidth="1"/>
    <col min="993" max="995" width="7.36328125" bestFit="1" customWidth="1"/>
    <col min="996" max="997" width="6.36328125" bestFit="1" customWidth="1"/>
    <col min="998" max="998" width="7.36328125" bestFit="1" customWidth="1"/>
    <col min="999" max="999" width="6.36328125" bestFit="1" customWidth="1"/>
    <col min="1000" max="1008" width="7.36328125" bestFit="1" customWidth="1"/>
    <col min="1009" max="1009" width="6.36328125" bestFit="1" customWidth="1"/>
    <col min="1010" max="1016" width="7.36328125" bestFit="1" customWidth="1"/>
    <col min="1017" max="1017" width="6.36328125" bestFit="1" customWidth="1"/>
    <col min="1018" max="1024" width="7.36328125" bestFit="1" customWidth="1"/>
    <col min="1025" max="1025" width="6.36328125" bestFit="1" customWidth="1"/>
    <col min="1026" max="1034" width="7.36328125" bestFit="1" customWidth="1"/>
    <col min="1035" max="1036" width="6.36328125" bestFit="1" customWidth="1"/>
    <col min="1037" max="1038" width="7.36328125" bestFit="1" customWidth="1"/>
    <col min="1039" max="1039" width="6.36328125" bestFit="1" customWidth="1"/>
    <col min="1040" max="1045" width="7.36328125" bestFit="1" customWidth="1"/>
    <col min="1046" max="1046" width="6.36328125" bestFit="1" customWidth="1"/>
    <col min="1047" max="1062" width="7.36328125" bestFit="1" customWidth="1"/>
    <col min="1063" max="1063" width="6.36328125" bestFit="1" customWidth="1"/>
    <col min="1064" max="1064" width="7.36328125" bestFit="1" customWidth="1"/>
    <col min="1065" max="1065" width="6.36328125" bestFit="1" customWidth="1"/>
    <col min="1066" max="1066" width="5.36328125" bestFit="1" customWidth="1"/>
    <col min="1067" max="1073" width="7.36328125" bestFit="1" customWidth="1"/>
    <col min="1074" max="1074" width="8.36328125" bestFit="1" customWidth="1"/>
    <col min="1075" max="1076" width="7.36328125" bestFit="1" customWidth="1"/>
    <col min="1077" max="1077" width="6.36328125" bestFit="1" customWidth="1"/>
    <col min="1078" max="1078" width="8.36328125" bestFit="1" customWidth="1"/>
    <col min="1079" max="1081" width="7.36328125" bestFit="1" customWidth="1"/>
    <col min="1082" max="1082" width="6.36328125" bestFit="1" customWidth="1"/>
    <col min="1083" max="1084" width="7.36328125" bestFit="1" customWidth="1"/>
    <col min="1085" max="1085" width="6.36328125" bestFit="1" customWidth="1"/>
    <col min="1086" max="1086" width="7.36328125" bestFit="1" customWidth="1"/>
    <col min="1087" max="1089" width="6.36328125" bestFit="1" customWidth="1"/>
    <col min="1090" max="1090" width="7.36328125" bestFit="1" customWidth="1"/>
    <col min="1091" max="1091" width="8.36328125" bestFit="1" customWidth="1"/>
    <col min="1092" max="1095" width="7.36328125" bestFit="1" customWidth="1"/>
    <col min="1096" max="1096" width="6.36328125" bestFit="1" customWidth="1"/>
    <col min="1097" max="1097" width="7.36328125" bestFit="1" customWidth="1"/>
    <col min="1098" max="1098" width="6.36328125" bestFit="1" customWidth="1"/>
    <col min="1099" max="1099" width="8.36328125" bestFit="1" customWidth="1"/>
    <col min="1100" max="1105" width="7.36328125" bestFit="1" customWidth="1"/>
    <col min="1106" max="1106" width="6.36328125" bestFit="1" customWidth="1"/>
    <col min="1107" max="1107" width="7.36328125" bestFit="1" customWidth="1"/>
    <col min="1108" max="1108" width="6.36328125" bestFit="1" customWidth="1"/>
    <col min="1109" max="1109" width="7.36328125" bestFit="1" customWidth="1"/>
    <col min="1110" max="1112" width="6.36328125" bestFit="1" customWidth="1"/>
    <col min="1113" max="1117" width="7.36328125" bestFit="1" customWidth="1"/>
    <col min="1118" max="1118" width="5.36328125" bestFit="1" customWidth="1"/>
    <col min="1119" max="1119" width="6.36328125" bestFit="1" customWidth="1"/>
    <col min="1120" max="1120" width="8.36328125" bestFit="1" customWidth="1"/>
    <col min="1121" max="1121" width="7.36328125" bestFit="1" customWidth="1"/>
    <col min="1122" max="1122" width="6.36328125" bestFit="1" customWidth="1"/>
    <col min="1123" max="1123" width="8.36328125" bestFit="1" customWidth="1"/>
    <col min="1124" max="1126" width="7.36328125" bestFit="1" customWidth="1"/>
    <col min="1127" max="1127" width="6.36328125" bestFit="1" customWidth="1"/>
    <col min="1128" max="1129" width="7.36328125" bestFit="1" customWidth="1"/>
    <col min="1130" max="1130" width="8.36328125" bestFit="1" customWidth="1"/>
    <col min="1131" max="1131" width="7.36328125" bestFit="1" customWidth="1"/>
    <col min="1132" max="1132" width="8.36328125" bestFit="1" customWidth="1"/>
    <col min="1133" max="1135" width="7.36328125" bestFit="1" customWidth="1"/>
    <col min="1136" max="1136" width="8.36328125" bestFit="1" customWidth="1"/>
    <col min="1137" max="1137" width="7.36328125" bestFit="1" customWidth="1"/>
    <col min="1138" max="1140" width="6.36328125" bestFit="1" customWidth="1"/>
    <col min="1141" max="1142" width="8.36328125" bestFit="1" customWidth="1"/>
    <col min="1143" max="1143" width="7.36328125" bestFit="1" customWidth="1"/>
    <col min="1144" max="1144" width="8.36328125" bestFit="1" customWidth="1"/>
    <col min="1145" max="1145" width="7.36328125" bestFit="1" customWidth="1"/>
    <col min="1146" max="1146" width="6.36328125" bestFit="1" customWidth="1"/>
    <col min="1147" max="1147" width="7.36328125" bestFit="1" customWidth="1"/>
    <col min="1148" max="1148" width="8.36328125" bestFit="1" customWidth="1"/>
    <col min="1149" max="1150" width="6.36328125" bestFit="1" customWidth="1"/>
    <col min="1151" max="1151" width="8.36328125" bestFit="1" customWidth="1"/>
    <col min="1152" max="1152" width="7.36328125" bestFit="1" customWidth="1"/>
    <col min="1153" max="1153" width="6.36328125" bestFit="1" customWidth="1"/>
    <col min="1154" max="1157" width="7.36328125" bestFit="1" customWidth="1"/>
    <col min="1158" max="1158" width="8.36328125" bestFit="1" customWidth="1"/>
    <col min="1159" max="1166" width="7.36328125" bestFit="1" customWidth="1"/>
    <col min="1167" max="1167" width="6.36328125" bestFit="1" customWidth="1"/>
    <col min="1168" max="1168" width="7.36328125" bestFit="1" customWidth="1"/>
    <col min="1169" max="1169" width="8.36328125" bestFit="1" customWidth="1"/>
    <col min="1170" max="1171" width="7.36328125" bestFit="1" customWidth="1"/>
    <col min="1172" max="1172" width="8.36328125" bestFit="1" customWidth="1"/>
    <col min="1173" max="1174" width="7.36328125" bestFit="1" customWidth="1"/>
    <col min="1175" max="1175" width="8.36328125" bestFit="1" customWidth="1"/>
    <col min="1176" max="1183" width="7.36328125" bestFit="1" customWidth="1"/>
    <col min="1184" max="1184" width="6.36328125" bestFit="1" customWidth="1"/>
    <col min="1185" max="1186" width="7.36328125" bestFit="1" customWidth="1"/>
    <col min="1187" max="1187" width="8.36328125" bestFit="1" customWidth="1"/>
    <col min="1188" max="1191" width="7.36328125" bestFit="1" customWidth="1"/>
    <col min="1192" max="1192" width="6.36328125" bestFit="1" customWidth="1"/>
    <col min="1193" max="1203" width="7.36328125" bestFit="1" customWidth="1"/>
    <col min="1204" max="1204" width="6.36328125" bestFit="1" customWidth="1"/>
    <col min="1205" max="1206" width="7.36328125" bestFit="1" customWidth="1"/>
    <col min="1207" max="1208" width="6.36328125" bestFit="1" customWidth="1"/>
    <col min="1209" max="1225" width="7.36328125" bestFit="1" customWidth="1"/>
    <col min="1226" max="1226" width="6.36328125" bestFit="1" customWidth="1"/>
    <col min="1227" max="1227" width="5.36328125" bestFit="1" customWidth="1"/>
    <col min="1228" max="1233" width="7.36328125" bestFit="1" customWidth="1"/>
    <col min="1234" max="1234" width="6.36328125" bestFit="1" customWidth="1"/>
    <col min="1235" max="1246" width="7.36328125" bestFit="1" customWidth="1"/>
    <col min="1247" max="1247" width="6.36328125" bestFit="1" customWidth="1"/>
    <col min="1248" max="1249" width="7.36328125" bestFit="1" customWidth="1"/>
    <col min="1250" max="1250" width="6.36328125" bestFit="1" customWidth="1"/>
    <col min="1251" max="1254" width="7.36328125" bestFit="1" customWidth="1"/>
    <col min="1255" max="1255" width="6.36328125" bestFit="1" customWidth="1"/>
    <col min="1256" max="1263" width="7.36328125" bestFit="1" customWidth="1"/>
    <col min="1264" max="1264" width="6.36328125" bestFit="1" customWidth="1"/>
    <col min="1265" max="1266" width="7.36328125" bestFit="1" customWidth="1"/>
    <col min="1267" max="1267" width="6.36328125" bestFit="1" customWidth="1"/>
    <col min="1268" max="1273" width="7.36328125" bestFit="1" customWidth="1"/>
    <col min="1274" max="1275" width="6.36328125" bestFit="1" customWidth="1"/>
    <col min="1276" max="1276" width="5.36328125" bestFit="1" customWidth="1"/>
    <col min="1277" max="1285" width="7.36328125" bestFit="1" customWidth="1"/>
    <col min="1286" max="1286" width="6.36328125" bestFit="1" customWidth="1"/>
    <col min="1287" max="1287" width="7.36328125" bestFit="1" customWidth="1"/>
    <col min="1288" max="1288" width="6.36328125" bestFit="1" customWidth="1"/>
    <col min="1289" max="1289" width="7.36328125" bestFit="1" customWidth="1"/>
    <col min="1290" max="1290" width="6.36328125" bestFit="1" customWidth="1"/>
    <col min="1291" max="1291" width="7.36328125" bestFit="1" customWidth="1"/>
    <col min="1292" max="1292" width="6.36328125" bestFit="1" customWidth="1"/>
    <col min="1293" max="1294" width="7.36328125" bestFit="1" customWidth="1"/>
    <col min="1295" max="1295" width="5.36328125" bestFit="1" customWidth="1"/>
    <col min="1296" max="1306" width="7.36328125" bestFit="1" customWidth="1"/>
    <col min="1307" max="1308" width="6.36328125" bestFit="1" customWidth="1"/>
    <col min="1309" max="1309" width="7.36328125" bestFit="1" customWidth="1"/>
    <col min="1310" max="1310" width="6.36328125" bestFit="1" customWidth="1"/>
    <col min="1311" max="1312" width="7.36328125" bestFit="1" customWidth="1"/>
    <col min="1313" max="1313" width="6.36328125" bestFit="1" customWidth="1"/>
    <col min="1314" max="1316" width="7.36328125" bestFit="1" customWidth="1"/>
    <col min="1317" max="1317" width="6.36328125" bestFit="1" customWidth="1"/>
    <col min="1318" max="1330" width="7.36328125" bestFit="1" customWidth="1"/>
    <col min="1331" max="1331" width="5.36328125" bestFit="1" customWidth="1"/>
    <col min="1332" max="1340" width="7.36328125" bestFit="1" customWidth="1"/>
    <col min="1341" max="1341" width="6.36328125" bestFit="1" customWidth="1"/>
    <col min="1342" max="1342" width="7.36328125" bestFit="1" customWidth="1"/>
    <col min="1343" max="1344" width="6.36328125" bestFit="1" customWidth="1"/>
    <col min="1345" max="1346" width="7.36328125" bestFit="1" customWidth="1"/>
    <col min="1347" max="1348" width="6.36328125" bestFit="1" customWidth="1"/>
    <col min="1349" max="1354" width="7.36328125" bestFit="1" customWidth="1"/>
    <col min="1355" max="1355" width="6.36328125" bestFit="1" customWidth="1"/>
    <col min="1356" max="1358" width="7.36328125" bestFit="1" customWidth="1"/>
    <col min="1359" max="1359" width="6.36328125" bestFit="1" customWidth="1"/>
    <col min="1360" max="1362" width="7.36328125" bestFit="1" customWidth="1"/>
    <col min="1363" max="1364" width="6.36328125" bestFit="1" customWidth="1"/>
    <col min="1365" max="1369" width="7.36328125" bestFit="1" customWidth="1"/>
    <col min="1370" max="1370" width="6.36328125" bestFit="1" customWidth="1"/>
    <col min="1371" max="1386" width="7.36328125" bestFit="1" customWidth="1"/>
    <col min="1387" max="1387" width="6.36328125" bestFit="1" customWidth="1"/>
    <col min="1388" max="1391" width="7.36328125" bestFit="1" customWidth="1"/>
    <col min="1392" max="1392" width="6.36328125" bestFit="1" customWidth="1"/>
    <col min="1393" max="1394" width="7.36328125" bestFit="1" customWidth="1"/>
    <col min="1395" max="1395" width="6.36328125" bestFit="1" customWidth="1"/>
    <col min="1396" max="1398" width="7.36328125" bestFit="1" customWidth="1"/>
    <col min="1399" max="1399" width="6.36328125" bestFit="1" customWidth="1"/>
    <col min="1400" max="1401" width="7.36328125" bestFit="1" customWidth="1"/>
    <col min="1402" max="1402" width="6.36328125" bestFit="1" customWidth="1"/>
    <col min="1403" max="1409" width="7.36328125" bestFit="1" customWidth="1"/>
    <col min="1410" max="1410" width="6.36328125" bestFit="1" customWidth="1"/>
    <col min="1411" max="1412" width="7.36328125" bestFit="1" customWidth="1"/>
    <col min="1413" max="1413" width="6.36328125" bestFit="1" customWidth="1"/>
    <col min="1414" max="1415" width="7.36328125" bestFit="1" customWidth="1"/>
    <col min="1416" max="1416" width="6.36328125" bestFit="1" customWidth="1"/>
    <col min="1417" max="1421" width="7.36328125" bestFit="1" customWidth="1"/>
    <col min="1422" max="1422" width="5.36328125" bestFit="1" customWidth="1"/>
    <col min="1423" max="1424" width="6.36328125" bestFit="1" customWidth="1"/>
    <col min="1425" max="1435" width="7.36328125" bestFit="1" customWidth="1"/>
    <col min="1436" max="1436" width="6.36328125" bestFit="1" customWidth="1"/>
    <col min="1437" max="1437" width="7.36328125" bestFit="1" customWidth="1"/>
    <col min="1438" max="1438" width="6.36328125" bestFit="1" customWidth="1"/>
    <col min="1439" max="1448" width="7.36328125" bestFit="1" customWidth="1"/>
    <col min="1449" max="1449" width="6.36328125" bestFit="1" customWidth="1"/>
    <col min="1450" max="1458" width="7.36328125" bestFit="1" customWidth="1"/>
    <col min="1459" max="1459" width="6.36328125" bestFit="1" customWidth="1"/>
    <col min="1460" max="1464" width="7.36328125" bestFit="1" customWidth="1"/>
    <col min="1465" max="1465" width="6.36328125" bestFit="1" customWidth="1"/>
    <col min="1466" max="1466" width="7.36328125" bestFit="1" customWidth="1"/>
    <col min="1467" max="1467" width="6.36328125" bestFit="1" customWidth="1"/>
    <col min="1468" max="1469" width="7.36328125" bestFit="1" customWidth="1"/>
    <col min="1470" max="1471" width="6.36328125" bestFit="1" customWidth="1"/>
    <col min="1472" max="1484" width="7.36328125" bestFit="1" customWidth="1"/>
    <col min="1485" max="1487" width="5.36328125" bestFit="1" customWidth="1"/>
    <col min="1488" max="1489" width="7.36328125" bestFit="1" customWidth="1"/>
    <col min="1490" max="1490" width="6.36328125" bestFit="1" customWidth="1"/>
    <col min="1491" max="1499" width="7.36328125" bestFit="1" customWidth="1"/>
    <col min="1500" max="1501" width="6.36328125" bestFit="1" customWidth="1"/>
    <col min="1502" max="1519" width="7.36328125" bestFit="1" customWidth="1"/>
    <col min="1520" max="1522" width="6.36328125" bestFit="1" customWidth="1"/>
    <col min="1523" max="1527" width="7.36328125" bestFit="1" customWidth="1"/>
    <col min="1528" max="1528" width="6.36328125" bestFit="1" customWidth="1"/>
    <col min="1529" max="1535" width="7.36328125" bestFit="1" customWidth="1"/>
    <col min="1536" max="1536" width="6.36328125" bestFit="1" customWidth="1"/>
    <col min="1537" max="1539" width="7.36328125" bestFit="1" customWidth="1"/>
    <col min="1540" max="1540" width="6.36328125" bestFit="1" customWidth="1"/>
    <col min="1541" max="1541" width="7.36328125" bestFit="1" customWidth="1"/>
    <col min="1542" max="1542" width="6.36328125" bestFit="1" customWidth="1"/>
    <col min="1543" max="1544" width="7.36328125" bestFit="1" customWidth="1"/>
    <col min="1545" max="1545" width="6.36328125" bestFit="1" customWidth="1"/>
    <col min="1546" max="1549" width="7.36328125" bestFit="1" customWidth="1"/>
    <col min="1550" max="1550" width="6.36328125" bestFit="1" customWidth="1"/>
    <col min="1551" max="1553" width="7.36328125" bestFit="1" customWidth="1"/>
    <col min="1554" max="1554" width="6.36328125" bestFit="1" customWidth="1"/>
    <col min="1555" max="1565" width="7.36328125" bestFit="1" customWidth="1"/>
    <col min="1566" max="1566" width="6.36328125" bestFit="1" customWidth="1"/>
    <col min="1567" max="1567" width="7.36328125" bestFit="1" customWidth="1"/>
    <col min="1568" max="1569" width="6.36328125" bestFit="1" customWidth="1"/>
    <col min="1570" max="1575" width="7.36328125" bestFit="1" customWidth="1"/>
    <col min="1576" max="1576" width="5.36328125" bestFit="1" customWidth="1"/>
    <col min="1577" max="1577" width="7.36328125" bestFit="1" customWidth="1"/>
    <col min="1578" max="1578" width="6.36328125" bestFit="1" customWidth="1"/>
    <col min="1579" max="1581" width="7.36328125" bestFit="1" customWidth="1"/>
    <col min="1582" max="1583" width="6.36328125" bestFit="1" customWidth="1"/>
    <col min="1584" max="1589" width="7.36328125" bestFit="1" customWidth="1"/>
    <col min="1590" max="1590" width="6.36328125" bestFit="1" customWidth="1"/>
    <col min="1591" max="1593" width="7.36328125" bestFit="1" customWidth="1"/>
    <col min="1594" max="1594" width="6.36328125" bestFit="1" customWidth="1"/>
    <col min="1595" max="1604" width="7.36328125" bestFit="1" customWidth="1"/>
    <col min="1605" max="1605" width="6.36328125" bestFit="1" customWidth="1"/>
    <col min="1606" max="1611" width="7.36328125" bestFit="1" customWidth="1"/>
    <col min="1612" max="1612" width="6.36328125" bestFit="1" customWidth="1"/>
    <col min="1613" max="1613" width="7.36328125" bestFit="1" customWidth="1"/>
    <col min="1614" max="1615" width="6.36328125" bestFit="1" customWidth="1"/>
    <col min="1616" max="1617" width="7.36328125" bestFit="1" customWidth="1"/>
    <col min="1618" max="1618" width="6.36328125" bestFit="1" customWidth="1"/>
    <col min="1619" max="1619" width="7.36328125" bestFit="1" customWidth="1"/>
    <col min="1620" max="1620" width="6.36328125" bestFit="1" customWidth="1"/>
    <col min="1621" max="1621" width="7.36328125" bestFit="1" customWidth="1"/>
    <col min="1622" max="1622" width="6.36328125" bestFit="1" customWidth="1"/>
    <col min="1623" max="1624" width="7.36328125" bestFit="1" customWidth="1"/>
    <col min="1625" max="1625" width="6.36328125" bestFit="1" customWidth="1"/>
    <col min="1626" max="1630" width="7.36328125" bestFit="1" customWidth="1"/>
    <col min="1631" max="1632" width="6.36328125" bestFit="1" customWidth="1"/>
    <col min="1633" max="1635" width="7.36328125" bestFit="1" customWidth="1"/>
    <col min="1636" max="1636" width="6.36328125" bestFit="1" customWidth="1"/>
    <col min="1637" max="1647" width="7.36328125" bestFit="1" customWidth="1"/>
    <col min="1648" max="1648" width="6.36328125" bestFit="1" customWidth="1"/>
    <col min="1649" max="1653" width="7.36328125" bestFit="1" customWidth="1"/>
    <col min="1654" max="1654" width="6.36328125" bestFit="1" customWidth="1"/>
    <col min="1655" max="1662" width="7.36328125" bestFit="1" customWidth="1"/>
    <col min="1663" max="1663" width="5.36328125" bestFit="1" customWidth="1"/>
    <col min="1664" max="1670" width="7.36328125" bestFit="1" customWidth="1"/>
    <col min="1671" max="1672" width="6.36328125" bestFit="1" customWidth="1"/>
    <col min="1673" max="1679" width="7.36328125" bestFit="1" customWidth="1"/>
    <col min="1680" max="1680" width="6.36328125" bestFit="1" customWidth="1"/>
    <col min="1681" max="1683" width="7.36328125" bestFit="1" customWidth="1"/>
    <col min="1684" max="1684" width="6.36328125" bestFit="1" customWidth="1"/>
    <col min="1685" max="1698" width="7.36328125" bestFit="1" customWidth="1"/>
    <col min="1699" max="1699" width="6.36328125" bestFit="1" customWidth="1"/>
    <col min="1700" max="1705" width="7.36328125" bestFit="1" customWidth="1"/>
    <col min="1706" max="1706" width="6.36328125" bestFit="1" customWidth="1"/>
    <col min="1707" max="1709" width="7.36328125" bestFit="1" customWidth="1"/>
    <col min="1710" max="1710" width="6.36328125" bestFit="1" customWidth="1"/>
    <col min="1711" max="1719" width="7.36328125" bestFit="1" customWidth="1"/>
    <col min="1720" max="1720" width="6.36328125" bestFit="1" customWidth="1"/>
    <col min="1721" max="1723" width="7.36328125" bestFit="1" customWidth="1"/>
    <col min="1724" max="1726" width="6.36328125" bestFit="1" customWidth="1"/>
    <col min="1727" max="1734" width="7.36328125" bestFit="1" customWidth="1"/>
    <col min="1735" max="1735" width="6.36328125" bestFit="1" customWidth="1"/>
    <col min="1736" max="1736" width="7.36328125" bestFit="1" customWidth="1"/>
    <col min="1737" max="1737" width="6.36328125" bestFit="1" customWidth="1"/>
    <col min="1738" max="1739" width="7.36328125" bestFit="1" customWidth="1"/>
    <col min="1740" max="1740" width="6.36328125" bestFit="1" customWidth="1"/>
    <col min="1741" max="1749" width="7.36328125" bestFit="1" customWidth="1"/>
    <col min="1750" max="1750" width="6.36328125" bestFit="1" customWidth="1"/>
    <col min="1751" max="1752" width="7.36328125" bestFit="1" customWidth="1"/>
    <col min="1753" max="1753" width="6.36328125" bestFit="1" customWidth="1"/>
    <col min="1754" max="1755" width="7.36328125" bestFit="1" customWidth="1"/>
    <col min="1756" max="1756" width="6.36328125" bestFit="1" customWidth="1"/>
    <col min="1757" max="1757" width="7.36328125" bestFit="1" customWidth="1"/>
    <col min="1758" max="1758" width="5.36328125" bestFit="1" customWidth="1"/>
    <col min="1759" max="1760" width="6.36328125" bestFit="1" customWidth="1"/>
    <col min="1761" max="1762" width="7.36328125" bestFit="1" customWidth="1"/>
    <col min="1763" max="1763" width="5.36328125" bestFit="1" customWidth="1"/>
    <col min="1764" max="1767" width="7.36328125" bestFit="1" customWidth="1"/>
    <col min="1768" max="1768" width="6.36328125" bestFit="1" customWidth="1"/>
    <col min="1769" max="1775" width="7.36328125" bestFit="1" customWidth="1"/>
    <col min="1776" max="1777" width="6.36328125" bestFit="1" customWidth="1"/>
    <col min="1778" max="1788" width="7.36328125" bestFit="1" customWidth="1"/>
    <col min="1789" max="1789" width="6.36328125" bestFit="1" customWidth="1"/>
    <col min="1790" max="1790" width="7.36328125" bestFit="1" customWidth="1"/>
    <col min="1791" max="1791" width="6.36328125" bestFit="1" customWidth="1"/>
    <col min="1792" max="1801" width="7.36328125" bestFit="1" customWidth="1"/>
    <col min="1802" max="1802" width="6.36328125" bestFit="1" customWidth="1"/>
    <col min="1803" max="1803" width="5.36328125" bestFit="1" customWidth="1"/>
    <col min="1804" max="1804" width="6.36328125" bestFit="1" customWidth="1"/>
    <col min="1805" max="1821" width="7.36328125" bestFit="1" customWidth="1"/>
    <col min="1822" max="1822" width="6.36328125" bestFit="1" customWidth="1"/>
    <col min="1823" max="1826" width="7.36328125" bestFit="1" customWidth="1"/>
    <col min="1827" max="1828" width="6.36328125" bestFit="1" customWidth="1"/>
    <col min="1829" max="1836" width="7.36328125" bestFit="1" customWidth="1"/>
    <col min="1837" max="1837" width="6.36328125" bestFit="1" customWidth="1"/>
    <col min="1838" max="1839" width="7.36328125" bestFit="1" customWidth="1"/>
    <col min="1840" max="1840" width="6.36328125" bestFit="1" customWidth="1"/>
    <col min="1841" max="1841" width="7.36328125" bestFit="1" customWidth="1"/>
    <col min="1842" max="1842" width="5.36328125" bestFit="1" customWidth="1"/>
    <col min="1843" max="1850" width="7.36328125" bestFit="1" customWidth="1"/>
    <col min="1851" max="1851" width="6.36328125" bestFit="1" customWidth="1"/>
    <col min="1852" max="1861" width="7.36328125" bestFit="1" customWidth="1"/>
    <col min="1862" max="1862" width="6.36328125" bestFit="1" customWidth="1"/>
    <col min="1863" max="1863" width="7.36328125" bestFit="1" customWidth="1"/>
    <col min="1864" max="1864" width="6.36328125" bestFit="1" customWidth="1"/>
    <col min="1865" max="1869" width="7.36328125" bestFit="1" customWidth="1"/>
    <col min="1870" max="1870" width="6.36328125" bestFit="1" customWidth="1"/>
    <col min="1871" max="1871" width="7.36328125" bestFit="1" customWidth="1"/>
    <col min="1872" max="1872" width="6.36328125" bestFit="1" customWidth="1"/>
    <col min="1873" max="1874" width="7.36328125" bestFit="1" customWidth="1"/>
    <col min="1875" max="1875" width="6.36328125" bestFit="1" customWidth="1"/>
    <col min="1876" max="1876" width="7.36328125" bestFit="1" customWidth="1"/>
    <col min="1877" max="1877" width="6.36328125" bestFit="1" customWidth="1"/>
    <col min="1878" max="1882" width="7.36328125" bestFit="1" customWidth="1"/>
    <col min="1883" max="1883" width="6.36328125" bestFit="1" customWidth="1"/>
    <col min="1884" max="1884" width="7.36328125" bestFit="1" customWidth="1"/>
    <col min="1885" max="1885" width="6.36328125" bestFit="1" customWidth="1"/>
    <col min="1886" max="1888" width="7.36328125" bestFit="1" customWidth="1"/>
    <col min="1889" max="1890" width="6.36328125" bestFit="1" customWidth="1"/>
    <col min="1891" max="1892" width="7.36328125" bestFit="1" customWidth="1"/>
    <col min="1893" max="1894" width="6.36328125" bestFit="1" customWidth="1"/>
    <col min="1895" max="1897" width="7.36328125" bestFit="1" customWidth="1"/>
    <col min="1898" max="1898" width="6.36328125" bestFit="1" customWidth="1"/>
    <col min="1899" max="1900" width="7.36328125" bestFit="1" customWidth="1"/>
    <col min="1901" max="1902" width="6.36328125" bestFit="1" customWidth="1"/>
    <col min="1903" max="1907" width="7.36328125" bestFit="1" customWidth="1"/>
    <col min="1908" max="1908" width="6.36328125" bestFit="1" customWidth="1"/>
    <col min="1909" max="1911" width="7.36328125" bestFit="1" customWidth="1"/>
    <col min="1912" max="1913" width="6.36328125" bestFit="1" customWidth="1"/>
    <col min="1914" max="1920" width="7.36328125" bestFit="1" customWidth="1"/>
    <col min="1921" max="1922" width="6.36328125" bestFit="1" customWidth="1"/>
    <col min="1923" max="1928" width="7.36328125" bestFit="1" customWidth="1"/>
    <col min="1929" max="1929" width="6.36328125" bestFit="1" customWidth="1"/>
    <col min="1930" max="1932" width="7.36328125" bestFit="1" customWidth="1"/>
    <col min="1933" max="1933" width="6.36328125" bestFit="1" customWidth="1"/>
    <col min="1934" max="1939" width="7.36328125" bestFit="1" customWidth="1"/>
    <col min="1940" max="1940" width="6.36328125" bestFit="1" customWidth="1"/>
    <col min="1941" max="1943" width="7.36328125" bestFit="1" customWidth="1"/>
    <col min="1944" max="1944" width="4.36328125" bestFit="1" customWidth="1"/>
    <col min="1945" max="1947" width="7.36328125" bestFit="1" customWidth="1"/>
    <col min="1948" max="1948" width="6.36328125" bestFit="1" customWidth="1"/>
    <col min="1949" max="1950" width="7.36328125" bestFit="1" customWidth="1"/>
    <col min="1951" max="1951" width="6.36328125" bestFit="1" customWidth="1"/>
    <col min="1952" max="1952" width="5.36328125" bestFit="1" customWidth="1"/>
    <col min="1953" max="1954" width="6.36328125" bestFit="1" customWidth="1"/>
    <col min="1955" max="1955" width="7.36328125" bestFit="1" customWidth="1"/>
    <col min="1956" max="1956" width="6.36328125" bestFit="1" customWidth="1"/>
    <col min="1957" max="1964" width="7.36328125" bestFit="1" customWidth="1"/>
    <col min="1965" max="1966" width="6.36328125" bestFit="1" customWidth="1"/>
    <col min="1967" max="1976" width="7.36328125" bestFit="1" customWidth="1"/>
    <col min="1977" max="1977" width="5.36328125" bestFit="1" customWidth="1"/>
    <col min="1978" max="1981" width="7.36328125" bestFit="1" customWidth="1"/>
    <col min="1982" max="1982" width="6.36328125" bestFit="1" customWidth="1"/>
    <col min="1983" max="1983" width="5.36328125" bestFit="1" customWidth="1"/>
    <col min="1984" max="1989" width="7.36328125" bestFit="1" customWidth="1"/>
    <col min="1990" max="1990" width="6.36328125" bestFit="1" customWidth="1"/>
    <col min="1991" max="1992" width="7.36328125" bestFit="1" customWidth="1"/>
    <col min="1993" max="1995" width="6.36328125" bestFit="1" customWidth="1"/>
    <col min="1996" max="1997" width="7.36328125" bestFit="1" customWidth="1"/>
    <col min="1998" max="1998" width="5.36328125" bestFit="1" customWidth="1"/>
    <col min="1999" max="2001" width="7.36328125" bestFit="1" customWidth="1"/>
    <col min="2002" max="2003" width="6.36328125" bestFit="1" customWidth="1"/>
    <col min="2004" max="2006" width="7.36328125" bestFit="1" customWidth="1"/>
    <col min="2007" max="2007" width="4.36328125" bestFit="1" customWidth="1"/>
    <col min="2008" max="2014" width="7.36328125" bestFit="1" customWidth="1"/>
    <col min="2015" max="2015" width="5.36328125" bestFit="1" customWidth="1"/>
    <col min="2016" max="2028" width="7.36328125" bestFit="1" customWidth="1"/>
    <col min="2029" max="2029" width="6.36328125" bestFit="1" customWidth="1"/>
    <col min="2030" max="2031" width="7.36328125" bestFit="1" customWidth="1"/>
    <col min="2032" max="2033" width="5.36328125" bestFit="1" customWidth="1"/>
    <col min="2034" max="2035" width="6.36328125" bestFit="1" customWidth="1"/>
    <col min="2036" max="2037" width="7.36328125" bestFit="1" customWidth="1"/>
    <col min="2038" max="2039" width="6.36328125" bestFit="1" customWidth="1"/>
    <col min="2040" max="2041" width="7.36328125" bestFit="1" customWidth="1"/>
    <col min="2042" max="2042" width="5.36328125" bestFit="1" customWidth="1"/>
    <col min="2043" max="2048" width="7.36328125" bestFit="1" customWidth="1"/>
    <col min="2049" max="2049" width="6.36328125" bestFit="1" customWidth="1"/>
    <col min="2050" max="2052" width="7.36328125" bestFit="1" customWidth="1"/>
    <col min="2053" max="2053" width="6.36328125" bestFit="1" customWidth="1"/>
    <col min="2054" max="2055" width="7.36328125" bestFit="1" customWidth="1"/>
    <col min="2056" max="2058" width="6.36328125" bestFit="1" customWidth="1"/>
    <col min="2059" max="2060" width="7.36328125" bestFit="1" customWidth="1"/>
    <col min="2061" max="2061" width="6.36328125" bestFit="1" customWidth="1"/>
    <col min="2062" max="2064" width="7.36328125" bestFit="1" customWidth="1"/>
    <col min="2065" max="2065" width="5.36328125" bestFit="1" customWidth="1"/>
    <col min="2066" max="2068" width="6.36328125" bestFit="1" customWidth="1"/>
    <col min="2069" max="2070" width="7.36328125" bestFit="1" customWidth="1"/>
    <col min="2071" max="2072" width="6.36328125" bestFit="1" customWidth="1"/>
    <col min="2073" max="2073" width="7.36328125" bestFit="1" customWidth="1"/>
    <col min="2074" max="2076" width="6.36328125" bestFit="1" customWidth="1"/>
    <col min="2077" max="2081" width="7.36328125" bestFit="1" customWidth="1"/>
    <col min="2082" max="2082" width="6.36328125" bestFit="1" customWidth="1"/>
    <col min="2083" max="2085" width="7.36328125" bestFit="1" customWidth="1"/>
    <col min="2086" max="2086" width="6.36328125" bestFit="1" customWidth="1"/>
    <col min="2087" max="2090" width="7.36328125" bestFit="1" customWidth="1"/>
    <col min="2091" max="2092" width="5.36328125" bestFit="1" customWidth="1"/>
    <col min="2093" max="2093" width="7.36328125" bestFit="1" customWidth="1"/>
    <col min="2094" max="2094" width="6.36328125" bestFit="1" customWidth="1"/>
    <col min="2095" max="2111" width="7.36328125" bestFit="1" customWidth="1"/>
    <col min="2112" max="2112" width="6.36328125" bestFit="1" customWidth="1"/>
    <col min="2113" max="2116" width="7.36328125" bestFit="1" customWidth="1"/>
    <col min="2117" max="2117" width="5.36328125" bestFit="1" customWidth="1"/>
    <col min="2118" max="2120" width="6.36328125" bestFit="1" customWidth="1"/>
    <col min="2121" max="2123" width="7.36328125" bestFit="1" customWidth="1"/>
    <col min="2124" max="2125" width="6.36328125" bestFit="1" customWidth="1"/>
    <col min="2126" max="2127" width="7.36328125" bestFit="1" customWidth="1"/>
    <col min="2128" max="2128" width="6.36328125" bestFit="1" customWidth="1"/>
    <col min="2129" max="2129" width="5.36328125" bestFit="1" customWidth="1"/>
    <col min="2130" max="2132" width="7.36328125" bestFit="1" customWidth="1"/>
    <col min="2133" max="2133" width="6.36328125" bestFit="1" customWidth="1"/>
    <col min="2134" max="2134" width="5.36328125" bestFit="1" customWidth="1"/>
    <col min="2135" max="2135" width="6.36328125" bestFit="1" customWidth="1"/>
    <col min="2136" max="2137" width="7.36328125" bestFit="1" customWidth="1"/>
    <col min="2138" max="2139" width="6.36328125" bestFit="1" customWidth="1"/>
    <col min="2140" max="2140" width="7.36328125" bestFit="1" customWidth="1"/>
    <col min="2141" max="2142" width="6.36328125" bestFit="1" customWidth="1"/>
    <col min="2143" max="2146" width="7.36328125" bestFit="1" customWidth="1"/>
    <col min="2147" max="2147" width="6.36328125" bestFit="1" customWidth="1"/>
    <col min="2148" max="2148" width="7.36328125" bestFit="1" customWidth="1"/>
    <col min="2149" max="2149" width="4.36328125" bestFit="1" customWidth="1"/>
    <col min="2150" max="2150" width="6.36328125" bestFit="1" customWidth="1"/>
    <col min="2151" max="2151" width="7.36328125" bestFit="1" customWidth="1"/>
    <col min="2152" max="2152" width="5.36328125" bestFit="1" customWidth="1"/>
    <col min="2153" max="2153" width="6.36328125" bestFit="1" customWidth="1"/>
    <col min="2154" max="2160" width="7.36328125" bestFit="1" customWidth="1"/>
    <col min="2161" max="2161" width="6.36328125" bestFit="1" customWidth="1"/>
    <col min="2162" max="2163" width="7.36328125" bestFit="1" customWidth="1"/>
    <col min="2164" max="2165" width="6.36328125" bestFit="1" customWidth="1"/>
    <col min="2166" max="2168" width="7.36328125" bestFit="1" customWidth="1"/>
    <col min="2169" max="2169" width="6.36328125" bestFit="1" customWidth="1"/>
    <col min="2170" max="2170" width="5.36328125" bestFit="1" customWidth="1"/>
    <col min="2171" max="2172" width="6.36328125" bestFit="1" customWidth="1"/>
    <col min="2173" max="2176" width="7.36328125" bestFit="1" customWidth="1"/>
    <col min="2177" max="2179" width="6.36328125" bestFit="1" customWidth="1"/>
    <col min="2180" max="2181" width="7.36328125" bestFit="1" customWidth="1"/>
    <col min="2182" max="2183" width="6.36328125" bestFit="1" customWidth="1"/>
    <col min="2184" max="2184" width="7.36328125" bestFit="1" customWidth="1"/>
    <col min="2185" max="2185" width="5.36328125" bestFit="1" customWidth="1"/>
    <col min="2186" max="2186" width="7.36328125" bestFit="1" customWidth="1"/>
    <col min="2187" max="2187" width="6.36328125" bestFit="1" customWidth="1"/>
    <col min="2188" max="2193" width="7.36328125" bestFit="1" customWidth="1"/>
    <col min="2194" max="2194" width="6.36328125" bestFit="1" customWidth="1"/>
    <col min="2195" max="2197" width="7.36328125" bestFit="1" customWidth="1"/>
    <col min="2198" max="2202" width="6.36328125" bestFit="1" customWidth="1"/>
    <col min="2203" max="2205" width="7.36328125" bestFit="1" customWidth="1"/>
    <col min="2206" max="2206" width="6.36328125" bestFit="1" customWidth="1"/>
    <col min="2207" max="2213" width="7.36328125" bestFit="1" customWidth="1"/>
    <col min="2214" max="2214" width="6.36328125" bestFit="1" customWidth="1"/>
    <col min="2215" max="2215" width="7.36328125" bestFit="1" customWidth="1"/>
    <col min="2216" max="2216" width="5.36328125" bestFit="1" customWidth="1"/>
    <col min="2217" max="2219" width="6.36328125" bestFit="1" customWidth="1"/>
    <col min="2220" max="2220" width="7.36328125" bestFit="1" customWidth="1"/>
    <col min="2221" max="2221" width="6.36328125" bestFit="1" customWidth="1"/>
    <col min="2222" max="2227" width="7.36328125" bestFit="1" customWidth="1"/>
    <col min="2228" max="2229" width="6.36328125" bestFit="1" customWidth="1"/>
    <col min="2230" max="2235" width="7.36328125" bestFit="1" customWidth="1"/>
    <col min="2236" max="2236" width="6.36328125" bestFit="1" customWidth="1"/>
    <col min="2237" max="2238" width="7.36328125" bestFit="1" customWidth="1"/>
    <col min="2239" max="2239" width="4.36328125" bestFit="1" customWidth="1"/>
    <col min="2240" max="2240" width="6.36328125" bestFit="1" customWidth="1"/>
    <col min="2241" max="2241" width="7.36328125" bestFit="1" customWidth="1"/>
    <col min="2242" max="2248" width="6.36328125" bestFit="1" customWidth="1"/>
    <col min="2249" max="2250" width="7.36328125" bestFit="1" customWidth="1"/>
    <col min="2251" max="2252" width="6.36328125" bestFit="1" customWidth="1"/>
    <col min="2253" max="2255" width="7.36328125" bestFit="1" customWidth="1"/>
    <col min="2256" max="2256" width="6.36328125" bestFit="1" customWidth="1"/>
    <col min="2257" max="2257" width="7.36328125" bestFit="1" customWidth="1"/>
    <col min="2258" max="2258" width="6.36328125" bestFit="1" customWidth="1"/>
    <col min="2259" max="2260" width="7.36328125" bestFit="1" customWidth="1"/>
    <col min="2261" max="2262" width="6.36328125" bestFit="1" customWidth="1"/>
    <col min="2263" max="2266" width="7.36328125" bestFit="1" customWidth="1"/>
    <col min="2267" max="2267" width="6.36328125" bestFit="1" customWidth="1"/>
    <col min="2268" max="2268" width="7.36328125" bestFit="1" customWidth="1"/>
    <col min="2269" max="2269" width="6.36328125" bestFit="1" customWidth="1"/>
    <col min="2270" max="2270" width="7.36328125" bestFit="1" customWidth="1"/>
    <col min="2271" max="2271" width="6.36328125" bestFit="1" customWidth="1"/>
    <col min="2272" max="2273" width="7.36328125" bestFit="1" customWidth="1"/>
    <col min="2274" max="2275" width="6.36328125" bestFit="1" customWidth="1"/>
    <col min="2276" max="2277" width="7.36328125" bestFit="1" customWidth="1"/>
    <col min="2278" max="2278" width="5.36328125" bestFit="1" customWidth="1"/>
    <col min="2279" max="2282" width="7.36328125" bestFit="1" customWidth="1"/>
    <col min="2283" max="2283" width="6.36328125" bestFit="1" customWidth="1"/>
    <col min="2284" max="2284" width="7.36328125" bestFit="1" customWidth="1"/>
    <col min="2285" max="2287" width="6.36328125" bestFit="1" customWidth="1"/>
    <col min="2288" max="2289" width="7.36328125" bestFit="1" customWidth="1"/>
    <col min="2290" max="2290" width="6.36328125" bestFit="1" customWidth="1"/>
    <col min="2291" max="2293" width="7.36328125" bestFit="1" customWidth="1"/>
    <col min="2294" max="2294" width="5.36328125" bestFit="1" customWidth="1"/>
    <col min="2295" max="2295" width="4.36328125" bestFit="1" customWidth="1"/>
    <col min="2296" max="2297" width="6.36328125" bestFit="1" customWidth="1"/>
    <col min="2298" max="2305" width="7.36328125" bestFit="1" customWidth="1"/>
    <col min="2306" max="2308" width="6.36328125" bestFit="1" customWidth="1"/>
    <col min="2309" max="2309" width="5.36328125" bestFit="1" customWidth="1"/>
    <col min="2310" max="2310" width="6.36328125" bestFit="1" customWidth="1"/>
    <col min="2311" max="2314" width="7.36328125" bestFit="1" customWidth="1"/>
    <col min="2315" max="2319" width="6.36328125" bestFit="1" customWidth="1"/>
    <col min="2320" max="2320" width="7.36328125" bestFit="1" customWidth="1"/>
    <col min="2321" max="2324" width="6.36328125" bestFit="1" customWidth="1"/>
    <col min="2325" max="2327" width="7.36328125" bestFit="1" customWidth="1"/>
    <col min="2328" max="2330" width="6.36328125" bestFit="1" customWidth="1"/>
    <col min="2331" max="2335" width="7.36328125" bestFit="1" customWidth="1"/>
    <col min="2336" max="2336" width="6.36328125" bestFit="1" customWidth="1"/>
    <col min="2337" max="2337" width="5.36328125" bestFit="1" customWidth="1"/>
    <col min="2338" max="2338" width="7.36328125" bestFit="1" customWidth="1"/>
    <col min="2339" max="2339" width="6.36328125" bestFit="1" customWidth="1"/>
    <col min="2340" max="2343" width="7.36328125" bestFit="1" customWidth="1"/>
    <col min="2344" max="2344" width="6.36328125" bestFit="1" customWidth="1"/>
    <col min="2345" max="2345" width="7.36328125" bestFit="1" customWidth="1"/>
    <col min="2346" max="2346" width="6.36328125" bestFit="1" customWidth="1"/>
    <col min="2347" max="2347" width="7.36328125" bestFit="1" customWidth="1"/>
    <col min="2348" max="2348" width="6.36328125" bestFit="1" customWidth="1"/>
    <col min="2349" max="2350" width="7.36328125" bestFit="1" customWidth="1"/>
    <col min="2351" max="2351" width="5.36328125" bestFit="1" customWidth="1"/>
    <col min="2352" max="2352" width="6.36328125" bestFit="1" customWidth="1"/>
    <col min="2353" max="2355" width="7.36328125" bestFit="1" customWidth="1"/>
    <col min="2356" max="2356" width="6.36328125" bestFit="1" customWidth="1"/>
    <col min="2357" max="2359" width="7.36328125" bestFit="1" customWidth="1"/>
    <col min="2360" max="2360" width="6.36328125" bestFit="1" customWidth="1"/>
    <col min="2361" max="2361" width="7.36328125" bestFit="1" customWidth="1"/>
    <col min="2362" max="2364" width="6.36328125" bestFit="1" customWidth="1"/>
    <col min="2365" max="2365" width="7.36328125" bestFit="1" customWidth="1"/>
    <col min="2366" max="2366" width="6.36328125" bestFit="1" customWidth="1"/>
    <col min="2367" max="2367" width="5.36328125" bestFit="1" customWidth="1"/>
    <col min="2368" max="2369" width="6.36328125" bestFit="1" customWidth="1"/>
    <col min="2370" max="2370" width="7.36328125" bestFit="1" customWidth="1"/>
    <col min="2371" max="2371" width="6.36328125" bestFit="1" customWidth="1"/>
    <col min="2372" max="2372" width="7.36328125" bestFit="1" customWidth="1"/>
    <col min="2373" max="2375" width="6.36328125" bestFit="1" customWidth="1"/>
    <col min="2376" max="2380" width="7.36328125" bestFit="1" customWidth="1"/>
    <col min="2381" max="2381" width="6.36328125" bestFit="1" customWidth="1"/>
    <col min="2382" max="2382" width="7.36328125" bestFit="1" customWidth="1"/>
    <col min="2383" max="2384" width="6.36328125" bestFit="1" customWidth="1"/>
    <col min="2385" max="2385" width="5.36328125" bestFit="1" customWidth="1"/>
    <col min="2386" max="2387" width="7.36328125" bestFit="1" customWidth="1"/>
    <col min="2388" max="2388" width="5.36328125" bestFit="1" customWidth="1"/>
    <col min="2389" max="2389" width="6.36328125" bestFit="1" customWidth="1"/>
    <col min="2390" max="2391" width="7.36328125" bestFit="1" customWidth="1"/>
    <col min="2392" max="2392" width="6.36328125" bestFit="1" customWidth="1"/>
    <col min="2393" max="2393" width="7.36328125" bestFit="1" customWidth="1"/>
    <col min="2394" max="2394" width="6.36328125" bestFit="1" customWidth="1"/>
    <col min="2395" max="2395" width="7.36328125" bestFit="1" customWidth="1"/>
    <col min="2396" max="2397" width="6.36328125" bestFit="1" customWidth="1"/>
    <col min="2398" max="2398" width="5.36328125" bestFit="1" customWidth="1"/>
    <col min="2399" max="2399" width="7.36328125" bestFit="1" customWidth="1"/>
    <col min="2400" max="2400" width="4.36328125" bestFit="1" customWidth="1"/>
    <col min="2401" max="2401" width="7.36328125" bestFit="1" customWidth="1"/>
    <col min="2402" max="2402" width="6.36328125" bestFit="1" customWidth="1"/>
    <col min="2403" max="2403" width="5.36328125" bestFit="1" customWidth="1"/>
    <col min="2404" max="2405" width="7.36328125" bestFit="1" customWidth="1"/>
    <col min="2406" max="2406" width="6.36328125" bestFit="1" customWidth="1"/>
    <col min="2407" max="2407" width="5.36328125" bestFit="1" customWidth="1"/>
    <col min="2408" max="2409" width="6.36328125" bestFit="1" customWidth="1"/>
    <col min="2410" max="2414" width="7.36328125" bestFit="1" customWidth="1"/>
    <col min="2415" max="2415" width="6.36328125" bestFit="1" customWidth="1"/>
    <col min="2416" max="2416" width="7.36328125" bestFit="1" customWidth="1"/>
    <col min="2417" max="2417" width="6.36328125" bestFit="1" customWidth="1"/>
    <col min="2418" max="2418" width="5.36328125" bestFit="1" customWidth="1"/>
    <col min="2419" max="2420" width="7.36328125" bestFit="1" customWidth="1"/>
    <col min="2421" max="2421" width="5.36328125" bestFit="1" customWidth="1"/>
    <col min="2422" max="2422" width="7.36328125" bestFit="1" customWidth="1"/>
    <col min="2423" max="2423" width="6.36328125" bestFit="1" customWidth="1"/>
    <col min="2424" max="2424" width="7.36328125" bestFit="1" customWidth="1"/>
    <col min="2425" max="2428" width="6.36328125" bestFit="1" customWidth="1"/>
    <col min="2429" max="2429" width="7.36328125" bestFit="1" customWidth="1"/>
    <col min="2430" max="2431" width="6.36328125" bestFit="1" customWidth="1"/>
    <col min="2432" max="2433" width="7.36328125" bestFit="1" customWidth="1"/>
    <col min="2434" max="2434" width="6.36328125" bestFit="1" customWidth="1"/>
    <col min="2435" max="2435" width="7.36328125" bestFit="1" customWidth="1"/>
    <col min="2436" max="2437" width="5.36328125" bestFit="1" customWidth="1"/>
    <col min="2438" max="2440" width="6.36328125" bestFit="1" customWidth="1"/>
    <col min="2441" max="2441" width="7.36328125" bestFit="1" customWidth="1"/>
    <col min="2442" max="2442" width="6.36328125" bestFit="1" customWidth="1"/>
    <col min="2443" max="2443" width="7.36328125" bestFit="1" customWidth="1"/>
    <col min="2444" max="2445" width="6.36328125" bestFit="1" customWidth="1"/>
    <col min="2446" max="2446" width="5.36328125" bestFit="1" customWidth="1"/>
    <col min="2447" max="2448" width="7.36328125" bestFit="1" customWidth="1"/>
    <col min="2449" max="2451" width="6.36328125" bestFit="1" customWidth="1"/>
    <col min="2452" max="2452" width="7.36328125" bestFit="1" customWidth="1"/>
    <col min="2453" max="2455" width="6.36328125" bestFit="1" customWidth="1"/>
    <col min="2456" max="2456" width="7.36328125" bestFit="1" customWidth="1"/>
    <col min="2457" max="2457" width="5.36328125" bestFit="1" customWidth="1"/>
    <col min="2458" max="2463" width="6.36328125" bestFit="1" customWidth="1"/>
    <col min="2464" max="2464" width="7.36328125" bestFit="1" customWidth="1"/>
    <col min="2465" max="2465" width="6.36328125" bestFit="1" customWidth="1"/>
    <col min="2466" max="2468" width="7.36328125" bestFit="1" customWidth="1"/>
    <col min="2469" max="2471" width="6.36328125" bestFit="1" customWidth="1"/>
    <col min="2472" max="2473" width="7.36328125" bestFit="1" customWidth="1"/>
    <col min="2474" max="2474" width="5.36328125" bestFit="1" customWidth="1"/>
    <col min="2475" max="2476" width="7.36328125" bestFit="1" customWidth="1"/>
    <col min="2477" max="2478" width="6.36328125" bestFit="1" customWidth="1"/>
    <col min="2479" max="2480" width="7.36328125" bestFit="1" customWidth="1"/>
    <col min="2481" max="2481" width="6.36328125" bestFit="1" customWidth="1"/>
    <col min="2482" max="2482" width="5.36328125" bestFit="1" customWidth="1"/>
    <col min="2483" max="2483" width="6.36328125" bestFit="1" customWidth="1"/>
    <col min="2484" max="2484" width="7.36328125" bestFit="1" customWidth="1"/>
    <col min="2485" max="2485" width="6.36328125" bestFit="1" customWidth="1"/>
    <col min="2486" max="2486" width="7.36328125" bestFit="1" customWidth="1"/>
    <col min="2487" max="2487" width="6.36328125" bestFit="1" customWidth="1"/>
    <col min="2488" max="2490" width="7.36328125" bestFit="1" customWidth="1"/>
    <col min="2491" max="2492" width="6.36328125" bestFit="1" customWidth="1"/>
    <col min="2493" max="2495" width="5.36328125" bestFit="1" customWidth="1"/>
    <col min="2496" max="2499" width="6.36328125" bestFit="1" customWidth="1"/>
    <col min="2500" max="2500" width="7.36328125" bestFit="1" customWidth="1"/>
    <col min="2501" max="2501" width="4.36328125" bestFit="1" customWidth="1"/>
    <col min="2502" max="2502" width="5.36328125" bestFit="1" customWidth="1"/>
    <col min="2503" max="2503" width="7.36328125" bestFit="1" customWidth="1"/>
    <col min="2504" max="2507" width="6.36328125" bestFit="1" customWidth="1"/>
    <col min="2508" max="2508" width="5.36328125" bestFit="1" customWidth="1"/>
    <col min="2509" max="2509" width="4.36328125" bestFit="1" customWidth="1"/>
    <col min="2510" max="2510" width="7.36328125" bestFit="1" customWidth="1"/>
    <col min="2511" max="2512" width="6.36328125" bestFit="1" customWidth="1"/>
    <col min="2513" max="2513" width="7.36328125" bestFit="1" customWidth="1"/>
    <col min="2514" max="2521" width="6.36328125" bestFit="1" customWidth="1"/>
    <col min="2522" max="2522" width="7.36328125" bestFit="1" customWidth="1"/>
    <col min="2523" max="2526" width="6.36328125" bestFit="1" customWidth="1"/>
    <col min="2527" max="2527" width="7.36328125" bestFit="1" customWidth="1"/>
    <col min="2528" max="2528" width="6.36328125" bestFit="1" customWidth="1"/>
    <col min="2529" max="2530" width="7.36328125" bestFit="1" customWidth="1"/>
    <col min="2531" max="2531" width="5.36328125" bestFit="1" customWidth="1"/>
    <col min="2532" max="2532" width="4.36328125" bestFit="1" customWidth="1"/>
    <col min="2533" max="2535" width="5.36328125" bestFit="1" customWidth="1"/>
    <col min="2536" max="2541" width="6.36328125" bestFit="1" customWidth="1"/>
    <col min="2542" max="2544" width="5.36328125" bestFit="1" customWidth="1"/>
    <col min="2545" max="2549" width="6.36328125" bestFit="1" customWidth="1"/>
    <col min="2550" max="2551" width="5.36328125" bestFit="1" customWidth="1"/>
    <col min="2552" max="2555" width="6.36328125" bestFit="1" customWidth="1"/>
    <col min="2556" max="2556" width="4.36328125" bestFit="1" customWidth="1"/>
    <col min="2557" max="2558" width="5.36328125" bestFit="1" customWidth="1"/>
    <col min="2559" max="2567" width="6.36328125" bestFit="1" customWidth="1"/>
    <col min="2568" max="2568" width="5.36328125" bestFit="1" customWidth="1"/>
    <col min="2569" max="2571" width="6.36328125" bestFit="1" customWidth="1"/>
    <col min="2572" max="2572" width="5.36328125" bestFit="1" customWidth="1"/>
    <col min="2573" max="2573" width="4.36328125" bestFit="1" customWidth="1"/>
    <col min="2574" max="2576" width="6.36328125" bestFit="1" customWidth="1"/>
    <col min="2577" max="2577" width="5.36328125" bestFit="1" customWidth="1"/>
    <col min="2578" max="2580" width="6.36328125" bestFit="1" customWidth="1"/>
    <col min="2581" max="2582" width="5.36328125" bestFit="1" customWidth="1"/>
    <col min="2583" max="2584" width="6.36328125" bestFit="1" customWidth="1"/>
    <col min="2585" max="2585" width="5.36328125" bestFit="1" customWidth="1"/>
    <col min="2586" max="2586" width="6.36328125" bestFit="1" customWidth="1"/>
    <col min="2587" max="2587" width="7.36328125" bestFit="1" customWidth="1"/>
    <col min="2588" max="2597" width="6.36328125" bestFit="1" customWidth="1"/>
    <col min="2598" max="2598" width="5.36328125" bestFit="1" customWidth="1"/>
    <col min="2599" max="2611" width="6.36328125" bestFit="1" customWidth="1"/>
    <col min="2612" max="2612" width="7.36328125" bestFit="1" customWidth="1"/>
    <col min="2613" max="2613" width="5.36328125" bestFit="1" customWidth="1"/>
    <col min="2614" max="2624" width="6.36328125" bestFit="1" customWidth="1"/>
    <col min="2625" max="2625" width="5.36328125" bestFit="1" customWidth="1"/>
    <col min="2626" max="2634" width="6.36328125" bestFit="1" customWidth="1"/>
    <col min="2635" max="2635" width="5.36328125" bestFit="1" customWidth="1"/>
    <col min="2636" max="2638" width="6.36328125" bestFit="1" customWidth="1"/>
    <col min="2639" max="2639" width="4.36328125" bestFit="1" customWidth="1"/>
    <col min="2640" max="2640" width="5.36328125" bestFit="1" customWidth="1"/>
    <col min="2641" max="2651" width="6.36328125" bestFit="1" customWidth="1"/>
    <col min="2652" max="2652" width="5.36328125" bestFit="1" customWidth="1"/>
    <col min="2653" max="2663" width="6.36328125" bestFit="1" customWidth="1"/>
    <col min="2664" max="2664" width="5.36328125" bestFit="1" customWidth="1"/>
    <col min="2665" max="2665" width="6.36328125" bestFit="1" customWidth="1"/>
    <col min="2666" max="2666" width="5.36328125" bestFit="1" customWidth="1"/>
    <col min="2667" max="2673" width="6.36328125" bestFit="1" customWidth="1"/>
    <col min="2674" max="2676" width="5.36328125" bestFit="1" customWidth="1"/>
    <col min="2677" max="2680" width="6.36328125" bestFit="1" customWidth="1"/>
    <col min="2681" max="2681" width="7.36328125" bestFit="1" customWidth="1"/>
    <col min="2682" max="2692" width="6.36328125" bestFit="1" customWidth="1"/>
    <col min="2693" max="2694" width="5.36328125" bestFit="1" customWidth="1"/>
    <col min="2695" max="2701" width="6.36328125" bestFit="1" customWidth="1"/>
    <col min="2702" max="2702" width="5.36328125" bestFit="1" customWidth="1"/>
    <col min="2703" max="2703" width="4.36328125" bestFit="1" customWidth="1"/>
    <col min="2704" max="2705" width="6.36328125" bestFit="1" customWidth="1"/>
    <col min="2706" max="2706" width="5.36328125" bestFit="1" customWidth="1"/>
    <col min="2707" max="2710" width="6.36328125" bestFit="1" customWidth="1"/>
    <col min="2711" max="2711" width="5.36328125" bestFit="1" customWidth="1"/>
    <col min="2712" max="2713" width="6.36328125" bestFit="1" customWidth="1"/>
    <col min="2714" max="2715" width="5.36328125" bestFit="1" customWidth="1"/>
    <col min="2716" max="2718" width="6.36328125" bestFit="1" customWidth="1"/>
    <col min="2719" max="2719" width="4.36328125" bestFit="1" customWidth="1"/>
    <col min="2720" max="2720" width="6.36328125" bestFit="1" customWidth="1"/>
    <col min="2721" max="2721" width="5.36328125" bestFit="1" customWidth="1"/>
    <col min="2722" max="2727" width="6.36328125" bestFit="1" customWidth="1"/>
    <col min="2728" max="2728" width="10.36328125" bestFit="1" customWidth="1"/>
  </cols>
  <sheetData>
    <row r="1" spans="1:3" x14ac:dyDescent="0.35">
      <c r="A1" s="3" t="s">
        <v>1</v>
      </c>
      <c r="B1" t="s">
        <v>47</v>
      </c>
    </row>
    <row r="2" spans="1:3" x14ac:dyDescent="0.35">
      <c r="A2" s="3" t="s">
        <v>6</v>
      </c>
      <c r="B2" t="s">
        <v>48</v>
      </c>
    </row>
    <row r="4" spans="1:3" x14ac:dyDescent="0.35">
      <c r="A4" s="3" t="s">
        <v>43</v>
      </c>
      <c r="B4" t="s">
        <v>45</v>
      </c>
      <c r="C4" t="s">
        <v>46</v>
      </c>
    </row>
    <row r="5" spans="1:3" x14ac:dyDescent="0.35">
      <c r="A5" s="4" t="s">
        <v>28</v>
      </c>
      <c r="B5">
        <v>7056.619999999999</v>
      </c>
      <c r="C5">
        <v>19311.46</v>
      </c>
    </row>
    <row r="6" spans="1:3" x14ac:dyDescent="0.35">
      <c r="A6" s="4" t="s">
        <v>13</v>
      </c>
      <c r="B6">
        <v>63871.589999999982</v>
      </c>
      <c r="C6">
        <v>22553.889999999989</v>
      </c>
    </row>
    <row r="7" spans="1:3" x14ac:dyDescent="0.35">
      <c r="A7" s="4" t="s">
        <v>8</v>
      </c>
      <c r="B7">
        <v>222553.89000000004</v>
      </c>
      <c r="C7">
        <v>42077.79</v>
      </c>
    </row>
    <row r="8" spans="1:3" x14ac:dyDescent="0.35">
      <c r="A8" s="4" t="s">
        <v>26</v>
      </c>
      <c r="B8">
        <v>17964.150000000001</v>
      </c>
      <c r="C8">
        <v>0</v>
      </c>
    </row>
    <row r="9" spans="1:3" x14ac:dyDescent="0.35">
      <c r="A9" s="4" t="s">
        <v>31</v>
      </c>
      <c r="B9">
        <v>731.72</v>
      </c>
      <c r="C9">
        <v>0</v>
      </c>
    </row>
    <row r="10" spans="1:3" x14ac:dyDescent="0.35">
      <c r="A10" s="4" t="s">
        <v>21</v>
      </c>
      <c r="B10">
        <v>1710.52</v>
      </c>
      <c r="C10">
        <v>0</v>
      </c>
    </row>
    <row r="11" spans="1:3" x14ac:dyDescent="0.35">
      <c r="A11" s="4" t="s">
        <v>22</v>
      </c>
      <c r="B11">
        <v>0</v>
      </c>
      <c r="C11">
        <v>7741.3</v>
      </c>
    </row>
    <row r="12" spans="1:3" x14ac:dyDescent="0.35">
      <c r="A12" s="4" t="s">
        <v>23</v>
      </c>
      <c r="B12">
        <v>0</v>
      </c>
      <c r="C12">
        <v>1710.52</v>
      </c>
    </row>
    <row r="13" spans="1:3" x14ac:dyDescent="0.35">
      <c r="A13" s="4" t="s">
        <v>36</v>
      </c>
      <c r="B13">
        <v>0</v>
      </c>
      <c r="C13">
        <v>265.18</v>
      </c>
    </row>
    <row r="14" spans="1:3" x14ac:dyDescent="0.35">
      <c r="A14" s="4" t="s">
        <v>32</v>
      </c>
      <c r="B14">
        <v>0</v>
      </c>
      <c r="C14">
        <v>234.35</v>
      </c>
    </row>
    <row r="15" spans="1:3" x14ac:dyDescent="0.35">
      <c r="A15" s="4" t="s">
        <v>41</v>
      </c>
      <c r="B15">
        <v>0</v>
      </c>
      <c r="C15">
        <v>232.19</v>
      </c>
    </row>
    <row r="16" spans="1:3" x14ac:dyDescent="0.35">
      <c r="A16" s="4" t="s">
        <v>10</v>
      </c>
      <c r="B16">
        <v>0</v>
      </c>
      <c r="C16">
        <v>200000</v>
      </c>
    </row>
    <row r="17" spans="1:3" x14ac:dyDescent="0.35">
      <c r="A17" s="4" t="s">
        <v>19</v>
      </c>
      <c r="B17">
        <v>42762.47</v>
      </c>
      <c r="C17">
        <v>0</v>
      </c>
    </row>
    <row r="18" spans="1:3" x14ac:dyDescent="0.35">
      <c r="A18" s="4" t="s">
        <v>14</v>
      </c>
      <c r="B18">
        <v>0</v>
      </c>
      <c r="C18">
        <v>59415.490000000013</v>
      </c>
    </row>
    <row r="19" spans="1:3" x14ac:dyDescent="0.35">
      <c r="A19" s="4" t="s">
        <v>16</v>
      </c>
      <c r="B19">
        <v>0</v>
      </c>
      <c r="C19">
        <v>4456.0999999999995</v>
      </c>
    </row>
    <row r="20" spans="1:3" x14ac:dyDescent="0.35">
      <c r="A20" s="4" t="s">
        <v>27</v>
      </c>
      <c r="B20">
        <v>1347.31</v>
      </c>
      <c r="C20">
        <v>0</v>
      </c>
    </row>
    <row r="21" spans="1:3" x14ac:dyDescent="0.35">
      <c r="A21" s="4" t="s">
        <v>44</v>
      </c>
      <c r="B21">
        <v>357998.27000000008</v>
      </c>
      <c r="C21">
        <v>357998.26999999996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F9F8-93DB-4399-AC17-58355F0AAE7B}">
  <dimension ref="A1:I17028"/>
  <sheetViews>
    <sheetView workbookViewId="0">
      <selection activeCell="M23" sqref="M23"/>
    </sheetView>
  </sheetViews>
  <sheetFormatPr defaultRowHeight="14.5" x14ac:dyDescent="0.35"/>
  <cols>
    <col min="1" max="1" width="11.90625" bestFit="1" customWidth="1"/>
    <col min="2" max="2" width="10.08984375" bestFit="1" customWidth="1"/>
    <col min="3" max="3" width="40.1796875" bestFit="1" customWidth="1"/>
    <col min="4" max="4" width="13.90625" style="2" customWidth="1"/>
    <col min="5" max="5" width="12.6328125" style="2" customWidth="1"/>
    <col min="6" max="6" width="44.26953125" bestFit="1" customWidth="1"/>
    <col min="7" max="7" width="11.7265625" bestFit="1" customWidth="1"/>
    <col min="9" max="9" width="11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I1" s="2"/>
    </row>
    <row r="2" spans="1:9" x14ac:dyDescent="0.35">
      <c r="A2">
        <v>1</v>
      </c>
      <c r="B2" s="1">
        <v>45292</v>
      </c>
      <c r="C2" t="s">
        <v>7</v>
      </c>
      <c r="D2" s="2">
        <v>200000</v>
      </c>
      <c r="E2" s="2">
        <v>0</v>
      </c>
      <c r="F2" t="s">
        <v>8</v>
      </c>
      <c r="G2" t="s">
        <v>9</v>
      </c>
    </row>
    <row r="3" spans="1:9" x14ac:dyDescent="0.35">
      <c r="A3">
        <v>1</v>
      </c>
      <c r="B3" s="1">
        <v>45292</v>
      </c>
      <c r="C3" t="s">
        <v>7</v>
      </c>
      <c r="D3" s="2">
        <v>0</v>
      </c>
      <c r="E3" s="2">
        <v>200000</v>
      </c>
      <c r="F3" t="s">
        <v>10</v>
      </c>
      <c r="G3" t="s">
        <v>11</v>
      </c>
    </row>
    <row r="4" spans="1:9" x14ac:dyDescent="0.35">
      <c r="A4">
        <v>2</v>
      </c>
      <c r="B4" s="1">
        <v>45293</v>
      </c>
      <c r="C4" t="s">
        <v>12</v>
      </c>
      <c r="D4" s="2">
        <v>1847.6</v>
      </c>
      <c r="E4" s="2">
        <v>0</v>
      </c>
      <c r="F4" t="s">
        <v>13</v>
      </c>
      <c r="G4" t="s">
        <v>9</v>
      </c>
    </row>
    <row r="5" spans="1:9" x14ac:dyDescent="0.35">
      <c r="A5">
        <v>2</v>
      </c>
      <c r="B5" s="1">
        <v>45293</v>
      </c>
      <c r="C5" t="s">
        <v>12</v>
      </c>
      <c r="D5" s="2">
        <v>0</v>
      </c>
      <c r="E5" s="2">
        <v>1718.7</v>
      </c>
      <c r="F5" t="s">
        <v>14</v>
      </c>
      <c r="G5" t="s">
        <v>15</v>
      </c>
      <c r="I5" s="2"/>
    </row>
    <row r="6" spans="1:9" x14ac:dyDescent="0.35">
      <c r="A6">
        <v>2</v>
      </c>
      <c r="B6" s="1">
        <v>45293</v>
      </c>
      <c r="C6" t="s">
        <v>12</v>
      </c>
      <c r="D6" s="2">
        <v>0</v>
      </c>
      <c r="E6" s="2">
        <v>128.9</v>
      </c>
      <c r="F6" t="s">
        <v>16</v>
      </c>
      <c r="G6" t="s">
        <v>17</v>
      </c>
      <c r="I6" s="2"/>
    </row>
    <row r="7" spans="1:9" x14ac:dyDescent="0.35">
      <c r="A7">
        <v>3</v>
      </c>
      <c r="B7" s="1">
        <v>45293</v>
      </c>
      <c r="C7" t="s">
        <v>12</v>
      </c>
      <c r="D7" s="2">
        <v>948.28</v>
      </c>
      <c r="E7" s="2">
        <v>0</v>
      </c>
      <c r="F7" t="s">
        <v>13</v>
      </c>
      <c r="G7" t="s">
        <v>9</v>
      </c>
    </row>
    <row r="8" spans="1:9" x14ac:dyDescent="0.35">
      <c r="A8">
        <v>3</v>
      </c>
      <c r="B8" s="1">
        <v>45293</v>
      </c>
      <c r="C8" t="s">
        <v>12</v>
      </c>
      <c r="D8" s="2">
        <v>0</v>
      </c>
      <c r="E8" s="2">
        <v>882.13</v>
      </c>
      <c r="F8" t="s">
        <v>14</v>
      </c>
      <c r="G8" t="s">
        <v>15</v>
      </c>
    </row>
    <row r="9" spans="1:9" x14ac:dyDescent="0.35">
      <c r="A9">
        <v>3</v>
      </c>
      <c r="B9" s="1">
        <v>45293</v>
      </c>
      <c r="C9" t="s">
        <v>12</v>
      </c>
      <c r="D9" s="2">
        <v>0</v>
      </c>
      <c r="E9" s="2">
        <v>66.150000000000006</v>
      </c>
      <c r="F9" t="s">
        <v>16</v>
      </c>
      <c r="G9" t="s">
        <v>17</v>
      </c>
    </row>
    <row r="10" spans="1:9" x14ac:dyDescent="0.35">
      <c r="A10">
        <v>4</v>
      </c>
      <c r="B10" s="1">
        <v>45294</v>
      </c>
      <c r="C10" t="s">
        <v>12</v>
      </c>
      <c r="D10" s="2">
        <v>494.99</v>
      </c>
      <c r="E10" s="2">
        <v>0</v>
      </c>
      <c r="F10" t="s">
        <v>13</v>
      </c>
      <c r="G10" t="s">
        <v>9</v>
      </c>
    </row>
    <row r="11" spans="1:9" x14ac:dyDescent="0.35">
      <c r="A11">
        <v>4</v>
      </c>
      <c r="B11" s="1">
        <v>45294</v>
      </c>
      <c r="C11" t="s">
        <v>12</v>
      </c>
      <c r="D11" s="2">
        <v>0</v>
      </c>
      <c r="E11" s="2">
        <v>460.46</v>
      </c>
      <c r="F11" t="s">
        <v>14</v>
      </c>
      <c r="G11" t="s">
        <v>15</v>
      </c>
    </row>
    <row r="12" spans="1:9" x14ac:dyDescent="0.35">
      <c r="A12">
        <v>4</v>
      </c>
      <c r="B12" s="1">
        <v>45294</v>
      </c>
      <c r="C12" t="s">
        <v>12</v>
      </c>
      <c r="D12" s="2">
        <v>0</v>
      </c>
      <c r="E12" s="2">
        <v>34.53</v>
      </c>
      <c r="F12" t="s">
        <v>16</v>
      </c>
      <c r="G12" t="s">
        <v>17</v>
      </c>
    </row>
    <row r="13" spans="1:9" x14ac:dyDescent="0.35">
      <c r="A13">
        <v>5</v>
      </c>
      <c r="B13" s="1">
        <v>45295</v>
      </c>
      <c r="C13" t="s">
        <v>18</v>
      </c>
      <c r="D13" s="2">
        <v>21454.79</v>
      </c>
      <c r="E13" s="2">
        <v>0</v>
      </c>
      <c r="F13" t="s">
        <v>19</v>
      </c>
      <c r="G13" t="s">
        <v>20</v>
      </c>
      <c r="I13" s="2"/>
    </row>
    <row r="14" spans="1:9" x14ac:dyDescent="0.35">
      <c r="A14">
        <v>5</v>
      </c>
      <c r="B14" s="1">
        <v>45295</v>
      </c>
      <c r="C14" t="s">
        <v>18</v>
      </c>
      <c r="D14" s="2">
        <v>858.2</v>
      </c>
      <c r="E14" s="2">
        <v>0</v>
      </c>
      <c r="F14" t="s">
        <v>21</v>
      </c>
      <c r="G14" t="s">
        <v>20</v>
      </c>
    </row>
    <row r="15" spans="1:9" x14ac:dyDescent="0.35">
      <c r="A15">
        <v>5</v>
      </c>
      <c r="B15" s="1">
        <v>45295</v>
      </c>
      <c r="C15" t="s">
        <v>18</v>
      </c>
      <c r="D15" s="2">
        <v>0</v>
      </c>
      <c r="E15" s="2">
        <v>17584.14</v>
      </c>
      <c r="F15" t="s">
        <v>8</v>
      </c>
      <c r="G15" t="s">
        <v>9</v>
      </c>
    </row>
    <row r="16" spans="1:9" x14ac:dyDescent="0.35">
      <c r="A16">
        <v>5</v>
      </c>
      <c r="B16" s="1">
        <v>45295</v>
      </c>
      <c r="C16" t="s">
        <v>18</v>
      </c>
      <c r="D16" s="2">
        <v>0</v>
      </c>
      <c r="E16" s="2">
        <v>3870.65</v>
      </c>
      <c r="F16" t="s">
        <v>22</v>
      </c>
      <c r="G16" t="s">
        <v>17</v>
      </c>
    </row>
    <row r="17" spans="1:7" x14ac:dyDescent="0.35">
      <c r="A17">
        <v>5</v>
      </c>
      <c r="B17" s="1">
        <v>45295</v>
      </c>
      <c r="C17" t="s">
        <v>18</v>
      </c>
      <c r="D17" s="2">
        <v>0</v>
      </c>
      <c r="E17" s="2">
        <v>858.2</v>
      </c>
      <c r="F17" t="s">
        <v>23</v>
      </c>
      <c r="G17" t="s">
        <v>17</v>
      </c>
    </row>
    <row r="18" spans="1:7" x14ac:dyDescent="0.35">
      <c r="A18">
        <v>6</v>
      </c>
      <c r="B18" s="1">
        <v>45296</v>
      </c>
      <c r="C18" t="s">
        <v>12</v>
      </c>
      <c r="D18" s="2">
        <v>1843.14</v>
      </c>
      <c r="E18" s="2">
        <v>0</v>
      </c>
      <c r="F18" t="s">
        <v>13</v>
      </c>
      <c r="G18" t="s">
        <v>9</v>
      </c>
    </row>
    <row r="19" spans="1:7" x14ac:dyDescent="0.35">
      <c r="A19">
        <v>6</v>
      </c>
      <c r="B19" s="1">
        <v>45296</v>
      </c>
      <c r="C19" t="s">
        <v>12</v>
      </c>
      <c r="D19" s="2">
        <v>0</v>
      </c>
      <c r="E19" s="2">
        <v>1714.55</v>
      </c>
      <c r="F19" t="s">
        <v>14</v>
      </c>
      <c r="G19" t="s">
        <v>15</v>
      </c>
    </row>
    <row r="20" spans="1:7" x14ac:dyDescent="0.35">
      <c r="A20">
        <v>6</v>
      </c>
      <c r="B20" s="1">
        <v>45296</v>
      </c>
      <c r="C20" t="s">
        <v>12</v>
      </c>
      <c r="D20" s="2">
        <v>0</v>
      </c>
      <c r="E20" s="2">
        <v>128.59</v>
      </c>
      <c r="F20" t="s">
        <v>16</v>
      </c>
      <c r="G20" t="s">
        <v>17</v>
      </c>
    </row>
    <row r="21" spans="1:7" x14ac:dyDescent="0.35">
      <c r="A21">
        <v>7</v>
      </c>
      <c r="B21" s="1">
        <v>45296</v>
      </c>
      <c r="C21" t="s">
        <v>12</v>
      </c>
      <c r="D21" s="2">
        <v>1251.0999999999999</v>
      </c>
      <c r="E21" s="2">
        <v>0</v>
      </c>
      <c r="F21" t="s">
        <v>13</v>
      </c>
      <c r="G21" t="s">
        <v>9</v>
      </c>
    </row>
    <row r="22" spans="1:7" x14ac:dyDescent="0.35">
      <c r="A22">
        <v>7</v>
      </c>
      <c r="B22" s="1">
        <v>45296</v>
      </c>
      <c r="C22" t="s">
        <v>12</v>
      </c>
      <c r="D22" s="2">
        <v>0</v>
      </c>
      <c r="E22" s="2">
        <v>1163.81</v>
      </c>
      <c r="F22" t="s">
        <v>14</v>
      </c>
      <c r="G22" t="s">
        <v>15</v>
      </c>
    </row>
    <row r="23" spans="1:7" x14ac:dyDescent="0.35">
      <c r="A23">
        <v>7</v>
      </c>
      <c r="B23" s="1">
        <v>45296</v>
      </c>
      <c r="C23" t="s">
        <v>12</v>
      </c>
      <c r="D23" s="2">
        <v>0</v>
      </c>
      <c r="E23" s="2">
        <v>87.29</v>
      </c>
      <c r="F23" t="s">
        <v>16</v>
      </c>
      <c r="G23" t="s">
        <v>17</v>
      </c>
    </row>
    <row r="24" spans="1:7" x14ac:dyDescent="0.35">
      <c r="A24">
        <v>8</v>
      </c>
      <c r="B24" s="1">
        <v>45299</v>
      </c>
      <c r="C24" t="s">
        <v>12</v>
      </c>
      <c r="D24" s="2">
        <v>356.55</v>
      </c>
      <c r="E24" s="2">
        <v>0</v>
      </c>
      <c r="F24" t="s">
        <v>13</v>
      </c>
      <c r="G24" t="s">
        <v>9</v>
      </c>
    </row>
    <row r="25" spans="1:7" x14ac:dyDescent="0.35">
      <c r="A25">
        <v>8</v>
      </c>
      <c r="B25" s="1">
        <v>45299</v>
      </c>
      <c r="C25" t="s">
        <v>12</v>
      </c>
      <c r="D25" s="2">
        <v>0</v>
      </c>
      <c r="E25" s="2">
        <v>331.68</v>
      </c>
      <c r="F25" t="s">
        <v>14</v>
      </c>
      <c r="G25" t="s">
        <v>15</v>
      </c>
    </row>
    <row r="26" spans="1:7" x14ac:dyDescent="0.35">
      <c r="A26">
        <v>8</v>
      </c>
      <c r="B26" s="1">
        <v>45299</v>
      </c>
      <c r="C26" t="s">
        <v>12</v>
      </c>
      <c r="D26" s="2">
        <v>0</v>
      </c>
      <c r="E26" s="2">
        <v>24.87</v>
      </c>
      <c r="F26" t="s">
        <v>16</v>
      </c>
      <c r="G26" t="s">
        <v>17</v>
      </c>
    </row>
    <row r="27" spans="1:7" x14ac:dyDescent="0.35">
      <c r="A27">
        <v>9</v>
      </c>
      <c r="B27" s="1">
        <v>45299</v>
      </c>
      <c r="C27" t="s">
        <v>12</v>
      </c>
      <c r="D27" s="2">
        <v>1531.7</v>
      </c>
      <c r="E27" s="2">
        <v>0</v>
      </c>
      <c r="F27" t="s">
        <v>13</v>
      </c>
      <c r="G27" t="s">
        <v>9</v>
      </c>
    </row>
    <row r="28" spans="1:7" x14ac:dyDescent="0.35">
      <c r="A28">
        <v>9</v>
      </c>
      <c r="B28" s="1">
        <v>45299</v>
      </c>
      <c r="C28" t="s">
        <v>12</v>
      </c>
      <c r="D28" s="2">
        <v>0</v>
      </c>
      <c r="E28" s="2">
        <v>1424.84</v>
      </c>
      <c r="F28" t="s">
        <v>14</v>
      </c>
      <c r="G28" t="s">
        <v>15</v>
      </c>
    </row>
    <row r="29" spans="1:7" x14ac:dyDescent="0.35">
      <c r="A29">
        <v>9</v>
      </c>
      <c r="B29" s="1">
        <v>45299</v>
      </c>
      <c r="C29" t="s">
        <v>12</v>
      </c>
      <c r="D29" s="2">
        <v>0</v>
      </c>
      <c r="E29" s="2">
        <v>106.86</v>
      </c>
      <c r="F29" t="s">
        <v>16</v>
      </c>
      <c r="G29" t="s">
        <v>17</v>
      </c>
    </row>
    <row r="30" spans="1:7" x14ac:dyDescent="0.35">
      <c r="A30">
        <v>10</v>
      </c>
      <c r="B30" s="1">
        <v>45300</v>
      </c>
      <c r="C30" t="s">
        <v>12</v>
      </c>
      <c r="D30" s="2">
        <v>5674.46</v>
      </c>
      <c r="E30" s="2">
        <v>0</v>
      </c>
      <c r="F30" t="s">
        <v>13</v>
      </c>
      <c r="G30" t="s">
        <v>9</v>
      </c>
    </row>
    <row r="31" spans="1:7" x14ac:dyDescent="0.35">
      <c r="A31">
        <v>10</v>
      </c>
      <c r="B31" s="1">
        <v>45300</v>
      </c>
      <c r="C31" t="s">
        <v>12</v>
      </c>
      <c r="D31" s="2">
        <v>0</v>
      </c>
      <c r="E31" s="2">
        <v>5278.57</v>
      </c>
      <c r="F31" t="s">
        <v>14</v>
      </c>
      <c r="G31" t="s">
        <v>15</v>
      </c>
    </row>
    <row r="32" spans="1:7" x14ac:dyDescent="0.35">
      <c r="A32">
        <v>10</v>
      </c>
      <c r="B32" s="1">
        <v>45300</v>
      </c>
      <c r="C32" t="s">
        <v>12</v>
      </c>
      <c r="D32" s="2">
        <v>0</v>
      </c>
      <c r="E32" s="2">
        <v>395.89</v>
      </c>
      <c r="F32" t="s">
        <v>16</v>
      </c>
      <c r="G32" t="s">
        <v>17</v>
      </c>
    </row>
    <row r="33" spans="1:7" x14ac:dyDescent="0.35">
      <c r="A33">
        <v>11</v>
      </c>
      <c r="B33" s="1">
        <v>45300</v>
      </c>
      <c r="C33" t="s">
        <v>12</v>
      </c>
      <c r="D33" s="2">
        <v>1615.55</v>
      </c>
      <c r="E33" s="2">
        <v>0</v>
      </c>
      <c r="F33" t="s">
        <v>13</v>
      </c>
      <c r="G33" t="s">
        <v>9</v>
      </c>
    </row>
    <row r="34" spans="1:7" x14ac:dyDescent="0.35">
      <c r="A34">
        <v>11</v>
      </c>
      <c r="B34" s="1">
        <v>45300</v>
      </c>
      <c r="C34" t="s">
        <v>12</v>
      </c>
      <c r="D34" s="2">
        <v>0</v>
      </c>
      <c r="E34" s="2">
        <v>1502.83</v>
      </c>
      <c r="F34" t="s">
        <v>14</v>
      </c>
      <c r="G34" t="s">
        <v>15</v>
      </c>
    </row>
    <row r="35" spans="1:7" x14ac:dyDescent="0.35">
      <c r="A35">
        <v>11</v>
      </c>
      <c r="B35" s="1">
        <v>45300</v>
      </c>
      <c r="C35" t="s">
        <v>12</v>
      </c>
      <c r="D35" s="2">
        <v>0</v>
      </c>
      <c r="E35" s="2">
        <v>112.72</v>
      </c>
      <c r="F35" t="s">
        <v>16</v>
      </c>
      <c r="G35" t="s">
        <v>17</v>
      </c>
    </row>
    <row r="36" spans="1:7" x14ac:dyDescent="0.35">
      <c r="A36">
        <v>12</v>
      </c>
      <c r="B36" s="1">
        <v>45301</v>
      </c>
      <c r="C36" t="s">
        <v>12</v>
      </c>
      <c r="D36" s="2">
        <v>4178.9799999999996</v>
      </c>
      <c r="E36" s="2">
        <v>0</v>
      </c>
      <c r="F36" t="s">
        <v>13</v>
      </c>
      <c r="G36" t="s">
        <v>9</v>
      </c>
    </row>
    <row r="37" spans="1:7" x14ac:dyDescent="0.35">
      <c r="A37">
        <v>12</v>
      </c>
      <c r="B37" s="1">
        <v>45301</v>
      </c>
      <c r="C37" t="s">
        <v>12</v>
      </c>
      <c r="D37" s="2">
        <v>0</v>
      </c>
      <c r="E37" s="2">
        <v>3887.42</v>
      </c>
      <c r="F37" t="s">
        <v>14</v>
      </c>
      <c r="G37" t="s">
        <v>15</v>
      </c>
    </row>
    <row r="38" spans="1:7" x14ac:dyDescent="0.35">
      <c r="A38">
        <v>12</v>
      </c>
      <c r="B38" s="1">
        <v>45301</v>
      </c>
      <c r="C38" t="s">
        <v>12</v>
      </c>
      <c r="D38" s="2">
        <v>0</v>
      </c>
      <c r="E38" s="2">
        <v>291.56</v>
      </c>
      <c r="F38" t="s">
        <v>16</v>
      </c>
      <c r="G38" t="s">
        <v>17</v>
      </c>
    </row>
    <row r="39" spans="1:7" x14ac:dyDescent="0.35">
      <c r="A39">
        <v>13</v>
      </c>
      <c r="B39" s="1">
        <v>45301</v>
      </c>
      <c r="C39" t="s">
        <v>12</v>
      </c>
      <c r="D39" s="2">
        <v>1966.07</v>
      </c>
      <c r="E39" s="2">
        <v>0</v>
      </c>
      <c r="F39" t="s">
        <v>13</v>
      </c>
      <c r="G39" t="s">
        <v>9</v>
      </c>
    </row>
    <row r="40" spans="1:7" x14ac:dyDescent="0.35">
      <c r="A40">
        <v>13</v>
      </c>
      <c r="B40" s="1">
        <v>45301</v>
      </c>
      <c r="C40" t="s">
        <v>12</v>
      </c>
      <c r="D40" s="2">
        <v>0</v>
      </c>
      <c r="E40" s="2">
        <v>1828.91</v>
      </c>
      <c r="F40" t="s">
        <v>14</v>
      </c>
      <c r="G40" t="s">
        <v>15</v>
      </c>
    </row>
    <row r="41" spans="1:7" x14ac:dyDescent="0.35">
      <c r="A41">
        <v>13</v>
      </c>
      <c r="B41" s="1">
        <v>45301</v>
      </c>
      <c r="C41" t="s">
        <v>12</v>
      </c>
      <c r="D41" s="2">
        <v>0</v>
      </c>
      <c r="E41" s="2">
        <v>137.16</v>
      </c>
      <c r="F41" t="s">
        <v>16</v>
      </c>
      <c r="G41" t="s">
        <v>17</v>
      </c>
    </row>
    <row r="42" spans="1:7" x14ac:dyDescent="0.35">
      <c r="A42">
        <v>14</v>
      </c>
      <c r="B42" s="1">
        <v>45302</v>
      </c>
      <c r="C42" t="s">
        <v>12</v>
      </c>
      <c r="D42" s="2">
        <v>1413.94</v>
      </c>
      <c r="E42" s="2">
        <v>0</v>
      </c>
      <c r="F42" t="s">
        <v>13</v>
      </c>
      <c r="G42" t="s">
        <v>9</v>
      </c>
    </row>
    <row r="43" spans="1:7" x14ac:dyDescent="0.35">
      <c r="A43">
        <v>14</v>
      </c>
      <c r="B43" s="1">
        <v>45302</v>
      </c>
      <c r="C43" t="s">
        <v>12</v>
      </c>
      <c r="D43" s="2">
        <v>0</v>
      </c>
      <c r="E43" s="2">
        <v>1315.3</v>
      </c>
      <c r="F43" t="s">
        <v>14</v>
      </c>
      <c r="G43" t="s">
        <v>15</v>
      </c>
    </row>
    <row r="44" spans="1:7" x14ac:dyDescent="0.35">
      <c r="A44">
        <v>14</v>
      </c>
      <c r="B44" s="1">
        <v>45302</v>
      </c>
      <c r="C44" t="s">
        <v>12</v>
      </c>
      <c r="D44" s="2">
        <v>0</v>
      </c>
      <c r="E44" s="2">
        <v>98.64</v>
      </c>
      <c r="F44" t="s">
        <v>16</v>
      </c>
      <c r="G44" t="s">
        <v>17</v>
      </c>
    </row>
    <row r="45" spans="1:7" x14ac:dyDescent="0.35">
      <c r="A45">
        <v>15</v>
      </c>
      <c r="B45" s="1">
        <v>45302</v>
      </c>
      <c r="C45" t="s">
        <v>12</v>
      </c>
      <c r="D45" s="2">
        <v>1073.4100000000001</v>
      </c>
      <c r="E45" s="2">
        <v>0</v>
      </c>
      <c r="F45" t="s">
        <v>13</v>
      </c>
      <c r="G45" t="s">
        <v>9</v>
      </c>
    </row>
    <row r="46" spans="1:7" x14ac:dyDescent="0.35">
      <c r="A46">
        <v>15</v>
      </c>
      <c r="B46" s="1">
        <v>45302</v>
      </c>
      <c r="C46" t="s">
        <v>12</v>
      </c>
      <c r="D46" s="2">
        <v>0</v>
      </c>
      <c r="E46" s="2">
        <v>998.52</v>
      </c>
      <c r="F46" t="s">
        <v>14</v>
      </c>
      <c r="G46" t="s">
        <v>15</v>
      </c>
    </row>
    <row r="47" spans="1:7" x14ac:dyDescent="0.35">
      <c r="A47">
        <v>15</v>
      </c>
      <c r="B47" s="1">
        <v>45302</v>
      </c>
      <c r="C47" t="s">
        <v>12</v>
      </c>
      <c r="D47" s="2">
        <v>0</v>
      </c>
      <c r="E47" s="2">
        <v>74.89</v>
      </c>
      <c r="F47" t="s">
        <v>16</v>
      </c>
      <c r="G47" t="s">
        <v>17</v>
      </c>
    </row>
    <row r="48" spans="1:7" x14ac:dyDescent="0.35">
      <c r="A48">
        <v>16</v>
      </c>
      <c r="B48" s="1">
        <v>45302</v>
      </c>
      <c r="C48" t="s">
        <v>12</v>
      </c>
      <c r="D48" s="2">
        <v>2122.35</v>
      </c>
      <c r="E48" s="2">
        <v>0</v>
      </c>
      <c r="F48" t="s">
        <v>13</v>
      </c>
      <c r="G48" t="s">
        <v>9</v>
      </c>
    </row>
    <row r="49" spans="1:7" x14ac:dyDescent="0.35">
      <c r="A49">
        <v>16</v>
      </c>
      <c r="B49" s="1">
        <v>45302</v>
      </c>
      <c r="C49" t="s">
        <v>12</v>
      </c>
      <c r="D49" s="2">
        <v>0</v>
      </c>
      <c r="E49" s="2">
        <v>1974.27</v>
      </c>
      <c r="F49" t="s">
        <v>14</v>
      </c>
      <c r="G49" t="s">
        <v>15</v>
      </c>
    </row>
    <row r="50" spans="1:7" x14ac:dyDescent="0.35">
      <c r="A50">
        <v>16</v>
      </c>
      <c r="B50" s="1">
        <v>45302</v>
      </c>
      <c r="C50" t="s">
        <v>12</v>
      </c>
      <c r="D50" s="2">
        <v>0</v>
      </c>
      <c r="E50" s="2">
        <v>148.08000000000001</v>
      </c>
      <c r="F50" t="s">
        <v>16</v>
      </c>
      <c r="G50" t="s">
        <v>17</v>
      </c>
    </row>
    <row r="51" spans="1:7" x14ac:dyDescent="0.35">
      <c r="A51">
        <v>17</v>
      </c>
      <c r="B51" s="1">
        <v>45303</v>
      </c>
      <c r="C51" t="s">
        <v>12</v>
      </c>
      <c r="D51" s="2">
        <v>1012.89</v>
      </c>
      <c r="E51" s="2">
        <v>0</v>
      </c>
      <c r="F51" t="s">
        <v>13</v>
      </c>
      <c r="G51" t="s">
        <v>9</v>
      </c>
    </row>
    <row r="52" spans="1:7" x14ac:dyDescent="0.35">
      <c r="A52">
        <v>17</v>
      </c>
      <c r="B52" s="1">
        <v>45303</v>
      </c>
      <c r="C52" t="s">
        <v>12</v>
      </c>
      <c r="D52" s="2">
        <v>0</v>
      </c>
      <c r="E52" s="2">
        <v>942.23</v>
      </c>
      <c r="F52" t="s">
        <v>14</v>
      </c>
      <c r="G52" t="s">
        <v>15</v>
      </c>
    </row>
    <row r="53" spans="1:7" x14ac:dyDescent="0.35">
      <c r="A53">
        <v>17</v>
      </c>
      <c r="B53" s="1">
        <v>45303</v>
      </c>
      <c r="C53" t="s">
        <v>12</v>
      </c>
      <c r="D53" s="2">
        <v>0</v>
      </c>
      <c r="E53" s="2">
        <v>70.66</v>
      </c>
      <c r="F53" t="s">
        <v>16</v>
      </c>
      <c r="G53" t="s">
        <v>17</v>
      </c>
    </row>
    <row r="54" spans="1:7" x14ac:dyDescent="0.35">
      <c r="A54">
        <v>18</v>
      </c>
      <c r="B54" s="1">
        <v>45303</v>
      </c>
      <c r="C54" t="s">
        <v>12</v>
      </c>
      <c r="D54" s="2">
        <v>1739.79</v>
      </c>
      <c r="E54" s="2">
        <v>0</v>
      </c>
      <c r="F54" t="s">
        <v>13</v>
      </c>
      <c r="G54" t="s">
        <v>9</v>
      </c>
    </row>
    <row r="55" spans="1:7" x14ac:dyDescent="0.35">
      <c r="A55">
        <v>18</v>
      </c>
      <c r="B55" s="1">
        <v>45303</v>
      </c>
      <c r="C55" t="s">
        <v>12</v>
      </c>
      <c r="D55" s="2">
        <v>0</v>
      </c>
      <c r="E55" s="2">
        <v>1618.41</v>
      </c>
      <c r="F55" t="s">
        <v>14</v>
      </c>
      <c r="G55" t="s">
        <v>15</v>
      </c>
    </row>
    <row r="56" spans="1:7" x14ac:dyDescent="0.35">
      <c r="A56">
        <v>18</v>
      </c>
      <c r="B56" s="1">
        <v>45303</v>
      </c>
      <c r="C56" t="s">
        <v>12</v>
      </c>
      <c r="D56" s="2">
        <v>0</v>
      </c>
      <c r="E56" s="2">
        <v>121.38</v>
      </c>
      <c r="F56" t="s">
        <v>16</v>
      </c>
      <c r="G56" t="s">
        <v>17</v>
      </c>
    </row>
    <row r="57" spans="1:7" x14ac:dyDescent="0.35">
      <c r="A57">
        <v>19</v>
      </c>
      <c r="B57" s="1">
        <v>45303</v>
      </c>
      <c r="C57" t="s">
        <v>24</v>
      </c>
      <c r="D57" s="2">
        <v>1413.94</v>
      </c>
      <c r="E57" s="2">
        <v>0</v>
      </c>
      <c r="F57" t="s">
        <v>8</v>
      </c>
      <c r="G57" t="s">
        <v>9</v>
      </c>
    </row>
    <row r="58" spans="1:7" x14ac:dyDescent="0.35">
      <c r="A58">
        <v>19</v>
      </c>
      <c r="B58" s="1">
        <v>45303</v>
      </c>
      <c r="C58" t="s">
        <v>24</v>
      </c>
      <c r="D58" s="2">
        <v>0</v>
      </c>
      <c r="E58" s="2">
        <v>1413.94</v>
      </c>
      <c r="F58" t="s">
        <v>13</v>
      </c>
      <c r="G58" t="s">
        <v>9</v>
      </c>
    </row>
    <row r="59" spans="1:7" x14ac:dyDescent="0.35">
      <c r="A59">
        <v>20</v>
      </c>
      <c r="B59" s="1">
        <v>45306</v>
      </c>
      <c r="C59" t="s">
        <v>12</v>
      </c>
      <c r="D59" s="2">
        <v>698.38</v>
      </c>
      <c r="E59" s="2">
        <v>0</v>
      </c>
      <c r="F59" t="s">
        <v>13</v>
      </c>
      <c r="G59" t="s">
        <v>9</v>
      </c>
    </row>
    <row r="60" spans="1:7" x14ac:dyDescent="0.35">
      <c r="A60">
        <v>20</v>
      </c>
      <c r="B60" s="1">
        <v>45306</v>
      </c>
      <c r="C60" t="s">
        <v>12</v>
      </c>
      <c r="D60" s="2">
        <v>0</v>
      </c>
      <c r="E60" s="2">
        <v>649.66</v>
      </c>
      <c r="F60" t="s">
        <v>14</v>
      </c>
      <c r="G60" t="s">
        <v>15</v>
      </c>
    </row>
    <row r="61" spans="1:7" x14ac:dyDescent="0.35">
      <c r="A61">
        <v>20</v>
      </c>
      <c r="B61" s="1">
        <v>45306</v>
      </c>
      <c r="C61" t="s">
        <v>12</v>
      </c>
      <c r="D61" s="2">
        <v>0</v>
      </c>
      <c r="E61" s="2">
        <v>48.72</v>
      </c>
      <c r="F61" t="s">
        <v>16</v>
      </c>
      <c r="G61" t="s">
        <v>17</v>
      </c>
    </row>
    <row r="62" spans="1:7" x14ac:dyDescent="0.35">
      <c r="A62">
        <v>21</v>
      </c>
      <c r="B62" s="1">
        <v>45306</v>
      </c>
      <c r="C62" t="s">
        <v>24</v>
      </c>
      <c r="D62" s="2">
        <v>1966.07</v>
      </c>
      <c r="E62" s="2">
        <v>0</v>
      </c>
      <c r="F62" t="s">
        <v>8</v>
      </c>
      <c r="G62" t="s">
        <v>9</v>
      </c>
    </row>
    <row r="63" spans="1:7" x14ac:dyDescent="0.35">
      <c r="A63">
        <v>21</v>
      </c>
      <c r="B63" s="1">
        <v>45306</v>
      </c>
      <c r="C63" t="s">
        <v>24</v>
      </c>
      <c r="D63" s="2">
        <v>0</v>
      </c>
      <c r="E63" s="2">
        <v>1966.07</v>
      </c>
      <c r="F63" t="s">
        <v>13</v>
      </c>
      <c r="G63" t="s">
        <v>9</v>
      </c>
    </row>
    <row r="64" spans="1:7" x14ac:dyDescent="0.35">
      <c r="A64">
        <v>22</v>
      </c>
      <c r="B64" s="1">
        <v>45306</v>
      </c>
      <c r="C64" t="s">
        <v>25</v>
      </c>
      <c r="D64" s="2">
        <v>3282.76</v>
      </c>
      <c r="E64" s="2">
        <v>0</v>
      </c>
      <c r="F64" t="s">
        <v>26</v>
      </c>
      <c r="G64" t="s">
        <v>20</v>
      </c>
    </row>
    <row r="65" spans="1:7" x14ac:dyDescent="0.35">
      <c r="A65">
        <v>22</v>
      </c>
      <c r="B65" s="1">
        <v>45306</v>
      </c>
      <c r="C65" t="s">
        <v>25</v>
      </c>
      <c r="D65" s="2">
        <v>246.21</v>
      </c>
      <c r="E65" s="2">
        <v>0</v>
      </c>
      <c r="F65" t="s">
        <v>27</v>
      </c>
      <c r="G65" t="s">
        <v>9</v>
      </c>
    </row>
    <row r="66" spans="1:7" x14ac:dyDescent="0.35">
      <c r="A66">
        <v>22</v>
      </c>
      <c r="B66" s="1">
        <v>45306</v>
      </c>
      <c r="C66" t="s">
        <v>25</v>
      </c>
      <c r="D66" s="2">
        <v>0</v>
      </c>
      <c r="E66" s="2">
        <v>3528.97</v>
      </c>
      <c r="F66" t="s">
        <v>28</v>
      </c>
      <c r="G66" t="s">
        <v>17</v>
      </c>
    </row>
    <row r="67" spans="1:7" x14ac:dyDescent="0.35">
      <c r="A67">
        <v>23</v>
      </c>
      <c r="B67" s="1">
        <v>45307</v>
      </c>
      <c r="C67" t="s">
        <v>12</v>
      </c>
      <c r="D67" s="2">
        <v>4711.45</v>
      </c>
      <c r="E67" s="2">
        <v>0</v>
      </c>
      <c r="F67" t="s">
        <v>13</v>
      </c>
      <c r="G67" t="s">
        <v>9</v>
      </c>
    </row>
    <row r="68" spans="1:7" x14ac:dyDescent="0.35">
      <c r="A68">
        <v>23</v>
      </c>
      <c r="B68" s="1">
        <v>45307</v>
      </c>
      <c r="C68" t="s">
        <v>12</v>
      </c>
      <c r="D68" s="2">
        <v>0</v>
      </c>
      <c r="E68" s="2">
        <v>4382.75</v>
      </c>
      <c r="F68" t="s">
        <v>14</v>
      </c>
      <c r="G68" t="s">
        <v>15</v>
      </c>
    </row>
    <row r="69" spans="1:7" x14ac:dyDescent="0.35">
      <c r="A69">
        <v>23</v>
      </c>
      <c r="B69" s="1">
        <v>45307</v>
      </c>
      <c r="C69" t="s">
        <v>12</v>
      </c>
      <c r="D69" s="2">
        <v>0</v>
      </c>
      <c r="E69" s="2">
        <v>328.7</v>
      </c>
      <c r="F69" t="s">
        <v>16</v>
      </c>
      <c r="G69" t="s">
        <v>17</v>
      </c>
    </row>
    <row r="70" spans="1:7" x14ac:dyDescent="0.35">
      <c r="A70">
        <v>24</v>
      </c>
      <c r="B70" s="1">
        <v>45307</v>
      </c>
      <c r="C70" t="s">
        <v>12</v>
      </c>
      <c r="D70" s="2">
        <v>889.57</v>
      </c>
      <c r="E70" s="2">
        <v>0</v>
      </c>
      <c r="F70" t="s">
        <v>13</v>
      </c>
      <c r="G70" t="s">
        <v>9</v>
      </c>
    </row>
    <row r="71" spans="1:7" x14ac:dyDescent="0.35">
      <c r="A71">
        <v>24</v>
      </c>
      <c r="B71" s="1">
        <v>45307</v>
      </c>
      <c r="C71" t="s">
        <v>12</v>
      </c>
      <c r="D71" s="2">
        <v>0</v>
      </c>
      <c r="E71" s="2">
        <v>827.5</v>
      </c>
      <c r="F71" t="s">
        <v>14</v>
      </c>
      <c r="G71" t="s">
        <v>15</v>
      </c>
    </row>
    <row r="72" spans="1:7" x14ac:dyDescent="0.35">
      <c r="A72">
        <v>24</v>
      </c>
      <c r="B72" s="1">
        <v>45307</v>
      </c>
      <c r="C72" t="s">
        <v>12</v>
      </c>
      <c r="D72" s="2">
        <v>0</v>
      </c>
      <c r="E72" s="2">
        <v>62.07</v>
      </c>
      <c r="F72" t="s">
        <v>16</v>
      </c>
      <c r="G72" t="s">
        <v>17</v>
      </c>
    </row>
    <row r="73" spans="1:7" x14ac:dyDescent="0.35">
      <c r="A73">
        <v>25</v>
      </c>
      <c r="B73" s="1">
        <v>45307</v>
      </c>
      <c r="C73" t="s">
        <v>12</v>
      </c>
      <c r="D73" s="2">
        <v>578.88</v>
      </c>
      <c r="E73" s="2">
        <v>0</v>
      </c>
      <c r="F73" t="s">
        <v>13</v>
      </c>
      <c r="G73" t="s">
        <v>9</v>
      </c>
    </row>
    <row r="74" spans="1:7" x14ac:dyDescent="0.35">
      <c r="A74">
        <v>25</v>
      </c>
      <c r="B74" s="1">
        <v>45307</v>
      </c>
      <c r="C74" t="s">
        <v>12</v>
      </c>
      <c r="D74" s="2">
        <v>0</v>
      </c>
      <c r="E74" s="2">
        <v>538.49</v>
      </c>
      <c r="F74" t="s">
        <v>14</v>
      </c>
      <c r="G74" t="s">
        <v>15</v>
      </c>
    </row>
    <row r="75" spans="1:7" x14ac:dyDescent="0.35">
      <c r="A75">
        <v>25</v>
      </c>
      <c r="B75" s="1">
        <v>45307</v>
      </c>
      <c r="C75" t="s">
        <v>12</v>
      </c>
      <c r="D75" s="2">
        <v>0</v>
      </c>
      <c r="E75" s="2">
        <v>40.39</v>
      </c>
      <c r="F75" t="s">
        <v>16</v>
      </c>
      <c r="G75" t="s">
        <v>17</v>
      </c>
    </row>
    <row r="76" spans="1:7" x14ac:dyDescent="0.35">
      <c r="A76">
        <v>26</v>
      </c>
      <c r="B76" s="1">
        <v>45308</v>
      </c>
      <c r="C76" t="s">
        <v>12</v>
      </c>
      <c r="D76" s="2">
        <v>1675.99</v>
      </c>
      <c r="E76" s="2">
        <v>0</v>
      </c>
      <c r="F76" t="s">
        <v>13</v>
      </c>
      <c r="G76" t="s">
        <v>9</v>
      </c>
    </row>
    <row r="77" spans="1:7" x14ac:dyDescent="0.35">
      <c r="A77">
        <v>26</v>
      </c>
      <c r="B77" s="1">
        <v>45308</v>
      </c>
      <c r="C77" t="s">
        <v>12</v>
      </c>
      <c r="D77" s="2">
        <v>0</v>
      </c>
      <c r="E77" s="2">
        <v>1559.06</v>
      </c>
      <c r="F77" t="s">
        <v>14</v>
      </c>
      <c r="G77" t="s">
        <v>15</v>
      </c>
    </row>
    <row r="78" spans="1:7" x14ac:dyDescent="0.35">
      <c r="A78">
        <v>26</v>
      </c>
      <c r="B78" s="1">
        <v>45308</v>
      </c>
      <c r="C78" t="s">
        <v>12</v>
      </c>
      <c r="D78" s="2">
        <v>0</v>
      </c>
      <c r="E78" s="2">
        <v>116.93</v>
      </c>
      <c r="F78" t="s">
        <v>16</v>
      </c>
      <c r="G78" t="s">
        <v>17</v>
      </c>
    </row>
    <row r="79" spans="1:7" x14ac:dyDescent="0.35">
      <c r="A79">
        <v>27</v>
      </c>
      <c r="B79" s="1">
        <v>45308</v>
      </c>
      <c r="C79" t="s">
        <v>12</v>
      </c>
      <c r="D79" s="2">
        <v>862.97</v>
      </c>
      <c r="E79" s="2">
        <v>0</v>
      </c>
      <c r="F79" t="s">
        <v>13</v>
      </c>
      <c r="G79" t="s">
        <v>9</v>
      </c>
    </row>
    <row r="80" spans="1:7" x14ac:dyDescent="0.35">
      <c r="A80">
        <v>27</v>
      </c>
      <c r="B80" s="1">
        <v>45308</v>
      </c>
      <c r="C80" t="s">
        <v>12</v>
      </c>
      <c r="D80" s="2">
        <v>0</v>
      </c>
      <c r="E80" s="2">
        <v>802.76</v>
      </c>
      <c r="F80" t="s">
        <v>14</v>
      </c>
      <c r="G80" t="s">
        <v>15</v>
      </c>
    </row>
    <row r="81" spans="1:7" x14ac:dyDescent="0.35">
      <c r="A81">
        <v>27</v>
      </c>
      <c r="B81" s="1">
        <v>45308</v>
      </c>
      <c r="C81" t="s">
        <v>12</v>
      </c>
      <c r="D81" s="2">
        <v>0</v>
      </c>
      <c r="E81" s="2">
        <v>60.21</v>
      </c>
      <c r="F81" t="s">
        <v>16</v>
      </c>
      <c r="G81" t="s">
        <v>17</v>
      </c>
    </row>
    <row r="82" spans="1:7" x14ac:dyDescent="0.35">
      <c r="A82">
        <v>28</v>
      </c>
      <c r="B82" s="1">
        <v>45308</v>
      </c>
      <c r="C82" t="s">
        <v>24</v>
      </c>
      <c r="D82" s="2">
        <v>4178.9799999999996</v>
      </c>
      <c r="E82" s="2">
        <v>0</v>
      </c>
      <c r="F82" t="s">
        <v>8</v>
      </c>
      <c r="G82" t="s">
        <v>9</v>
      </c>
    </row>
    <row r="83" spans="1:7" x14ac:dyDescent="0.35">
      <c r="A83">
        <v>28</v>
      </c>
      <c r="B83" s="1">
        <v>45308</v>
      </c>
      <c r="C83" t="s">
        <v>24</v>
      </c>
      <c r="D83" s="2">
        <v>0</v>
      </c>
      <c r="E83" s="2">
        <v>4178.9799999999996</v>
      </c>
      <c r="F83" t="s">
        <v>13</v>
      </c>
      <c r="G83" t="s">
        <v>9</v>
      </c>
    </row>
    <row r="84" spans="1:7" x14ac:dyDescent="0.35">
      <c r="A84">
        <v>29</v>
      </c>
      <c r="B84" s="1">
        <v>45309</v>
      </c>
      <c r="C84" t="s">
        <v>18</v>
      </c>
      <c r="D84" s="2">
        <v>21307.68</v>
      </c>
      <c r="E84" s="2">
        <v>0</v>
      </c>
      <c r="F84" t="s">
        <v>19</v>
      </c>
      <c r="G84" t="s">
        <v>20</v>
      </c>
    </row>
    <row r="85" spans="1:7" x14ac:dyDescent="0.35">
      <c r="A85">
        <v>29</v>
      </c>
      <c r="B85" s="1">
        <v>45309</v>
      </c>
      <c r="C85" t="s">
        <v>18</v>
      </c>
      <c r="D85" s="2">
        <v>852.32</v>
      </c>
      <c r="E85" s="2">
        <v>0</v>
      </c>
      <c r="F85" t="s">
        <v>21</v>
      </c>
      <c r="G85" t="s">
        <v>20</v>
      </c>
    </row>
    <row r="86" spans="1:7" x14ac:dyDescent="0.35">
      <c r="A86">
        <v>29</v>
      </c>
      <c r="B86" s="1">
        <v>45309</v>
      </c>
      <c r="C86" t="s">
        <v>18</v>
      </c>
      <c r="D86" s="2">
        <v>0</v>
      </c>
      <c r="E86" s="2">
        <v>17437.03</v>
      </c>
      <c r="F86" t="s">
        <v>8</v>
      </c>
      <c r="G86" t="s">
        <v>9</v>
      </c>
    </row>
    <row r="87" spans="1:7" x14ac:dyDescent="0.35">
      <c r="A87">
        <v>29</v>
      </c>
      <c r="B87" s="1">
        <v>45309</v>
      </c>
      <c r="C87" t="s">
        <v>18</v>
      </c>
      <c r="D87" s="2">
        <v>0</v>
      </c>
      <c r="E87" s="2">
        <v>3870.65</v>
      </c>
      <c r="F87" t="s">
        <v>22</v>
      </c>
      <c r="G87" t="s">
        <v>17</v>
      </c>
    </row>
    <row r="88" spans="1:7" x14ac:dyDescent="0.35">
      <c r="A88">
        <v>29</v>
      </c>
      <c r="B88" s="1">
        <v>45309</v>
      </c>
      <c r="C88" t="s">
        <v>18</v>
      </c>
      <c r="D88" s="2">
        <v>0</v>
      </c>
      <c r="E88" s="2">
        <v>852.32</v>
      </c>
      <c r="F88" t="s">
        <v>23</v>
      </c>
      <c r="G88" t="s">
        <v>17</v>
      </c>
    </row>
    <row r="89" spans="1:7" x14ac:dyDescent="0.35">
      <c r="A89">
        <v>30</v>
      </c>
      <c r="B89" s="1">
        <v>45309</v>
      </c>
      <c r="C89" t="s">
        <v>12</v>
      </c>
      <c r="D89" s="2">
        <v>323.24</v>
      </c>
      <c r="E89" s="2">
        <v>0</v>
      </c>
      <c r="F89" t="s">
        <v>13</v>
      </c>
      <c r="G89" t="s">
        <v>9</v>
      </c>
    </row>
    <row r="90" spans="1:7" x14ac:dyDescent="0.35">
      <c r="A90">
        <v>30</v>
      </c>
      <c r="B90" s="1">
        <v>45309</v>
      </c>
      <c r="C90" t="s">
        <v>12</v>
      </c>
      <c r="D90" s="2">
        <v>0</v>
      </c>
      <c r="E90" s="2">
        <v>300.69</v>
      </c>
      <c r="F90" t="s">
        <v>14</v>
      </c>
      <c r="G90" t="s">
        <v>15</v>
      </c>
    </row>
    <row r="91" spans="1:7" x14ac:dyDescent="0.35">
      <c r="A91">
        <v>30</v>
      </c>
      <c r="B91" s="1">
        <v>45309</v>
      </c>
      <c r="C91" t="s">
        <v>12</v>
      </c>
      <c r="D91" s="2">
        <v>0</v>
      </c>
      <c r="E91" s="2">
        <v>22.55</v>
      </c>
      <c r="F91" t="s">
        <v>16</v>
      </c>
      <c r="G91" t="s">
        <v>17</v>
      </c>
    </row>
    <row r="92" spans="1:7" x14ac:dyDescent="0.35">
      <c r="A92">
        <v>31</v>
      </c>
      <c r="B92" s="1">
        <v>45309</v>
      </c>
      <c r="C92" t="s">
        <v>12</v>
      </c>
      <c r="D92" s="2">
        <v>855.31</v>
      </c>
      <c r="E92" s="2">
        <v>0</v>
      </c>
      <c r="F92" t="s">
        <v>13</v>
      </c>
      <c r="G92" t="s">
        <v>9</v>
      </c>
    </row>
    <row r="93" spans="1:7" x14ac:dyDescent="0.35">
      <c r="A93">
        <v>31</v>
      </c>
      <c r="B93" s="1">
        <v>45309</v>
      </c>
      <c r="C93" t="s">
        <v>12</v>
      </c>
      <c r="D93" s="2">
        <v>0</v>
      </c>
      <c r="E93" s="2">
        <v>795.64</v>
      </c>
      <c r="F93" t="s">
        <v>14</v>
      </c>
      <c r="G93" t="s">
        <v>15</v>
      </c>
    </row>
    <row r="94" spans="1:7" x14ac:dyDescent="0.35">
      <c r="A94">
        <v>31</v>
      </c>
      <c r="B94" s="1">
        <v>45309</v>
      </c>
      <c r="C94" t="s">
        <v>12</v>
      </c>
      <c r="D94" s="2">
        <v>0</v>
      </c>
      <c r="E94" s="2">
        <v>59.67</v>
      </c>
      <c r="F94" t="s">
        <v>16</v>
      </c>
      <c r="G94" t="s">
        <v>17</v>
      </c>
    </row>
    <row r="95" spans="1:7" x14ac:dyDescent="0.35">
      <c r="A95">
        <v>32</v>
      </c>
      <c r="B95" s="1">
        <v>45309</v>
      </c>
      <c r="C95" t="s">
        <v>24</v>
      </c>
      <c r="D95" s="2">
        <v>1843.14</v>
      </c>
      <c r="E95" s="2">
        <v>0</v>
      </c>
      <c r="F95" t="s">
        <v>8</v>
      </c>
      <c r="G95" t="s">
        <v>9</v>
      </c>
    </row>
    <row r="96" spans="1:7" x14ac:dyDescent="0.35">
      <c r="A96">
        <v>32</v>
      </c>
      <c r="B96" s="1">
        <v>45309</v>
      </c>
      <c r="C96" t="s">
        <v>24</v>
      </c>
      <c r="D96" s="2">
        <v>0</v>
      </c>
      <c r="E96" s="2">
        <v>1843.14</v>
      </c>
      <c r="F96" t="s">
        <v>13</v>
      </c>
      <c r="G96" t="s">
        <v>9</v>
      </c>
    </row>
    <row r="97" spans="1:7" x14ac:dyDescent="0.35">
      <c r="A97">
        <v>33</v>
      </c>
      <c r="B97" s="1">
        <v>45309</v>
      </c>
      <c r="C97" t="s">
        <v>24</v>
      </c>
      <c r="D97" s="2">
        <v>356.55</v>
      </c>
      <c r="E97" s="2">
        <v>0</v>
      </c>
      <c r="F97" t="s">
        <v>8</v>
      </c>
      <c r="G97" t="s">
        <v>9</v>
      </c>
    </row>
    <row r="98" spans="1:7" x14ac:dyDescent="0.35">
      <c r="A98">
        <v>33</v>
      </c>
      <c r="B98" s="1">
        <v>45309</v>
      </c>
      <c r="C98" t="s">
        <v>24</v>
      </c>
      <c r="D98" s="2">
        <v>0</v>
      </c>
      <c r="E98" s="2">
        <v>356.55</v>
      </c>
      <c r="F98" t="s">
        <v>13</v>
      </c>
      <c r="G98" t="s">
        <v>9</v>
      </c>
    </row>
    <row r="99" spans="1:7" x14ac:dyDescent="0.35">
      <c r="A99">
        <v>34</v>
      </c>
      <c r="B99" s="1">
        <v>45309</v>
      </c>
      <c r="C99" t="s">
        <v>29</v>
      </c>
      <c r="D99" s="2">
        <v>3528.97</v>
      </c>
      <c r="E99" s="2">
        <v>0</v>
      </c>
      <c r="F99" t="s">
        <v>28</v>
      </c>
      <c r="G99" t="s">
        <v>17</v>
      </c>
    </row>
    <row r="100" spans="1:7" x14ac:dyDescent="0.35">
      <c r="A100">
        <v>34</v>
      </c>
      <c r="B100" s="1">
        <v>45309</v>
      </c>
      <c r="C100" t="s">
        <v>29</v>
      </c>
      <c r="D100" s="2">
        <v>0</v>
      </c>
      <c r="E100" s="2">
        <v>3528.97</v>
      </c>
      <c r="F100" t="s">
        <v>8</v>
      </c>
      <c r="G100" t="s">
        <v>9</v>
      </c>
    </row>
    <row r="101" spans="1:7" x14ac:dyDescent="0.35">
      <c r="A101">
        <v>35</v>
      </c>
      <c r="B101" s="1">
        <v>45313</v>
      </c>
      <c r="C101" t="s">
        <v>12</v>
      </c>
      <c r="D101" s="2">
        <v>1345.94</v>
      </c>
      <c r="E101" s="2">
        <v>0</v>
      </c>
      <c r="F101" t="s">
        <v>13</v>
      </c>
      <c r="G101" t="s">
        <v>9</v>
      </c>
    </row>
    <row r="102" spans="1:7" x14ac:dyDescent="0.35">
      <c r="A102">
        <v>35</v>
      </c>
      <c r="B102" s="1">
        <v>45313</v>
      </c>
      <c r="C102" t="s">
        <v>12</v>
      </c>
      <c r="D102" s="2">
        <v>0</v>
      </c>
      <c r="E102" s="2">
        <v>1252.04</v>
      </c>
      <c r="F102" t="s">
        <v>14</v>
      </c>
      <c r="G102" t="s">
        <v>15</v>
      </c>
    </row>
    <row r="103" spans="1:7" x14ac:dyDescent="0.35">
      <c r="A103">
        <v>35</v>
      </c>
      <c r="B103" s="1">
        <v>45313</v>
      </c>
      <c r="C103" t="s">
        <v>12</v>
      </c>
      <c r="D103" s="2">
        <v>0</v>
      </c>
      <c r="E103" s="2">
        <v>93.9</v>
      </c>
      <c r="F103" t="s">
        <v>16</v>
      </c>
      <c r="G103" t="s">
        <v>17</v>
      </c>
    </row>
    <row r="104" spans="1:7" x14ac:dyDescent="0.35">
      <c r="A104">
        <v>36</v>
      </c>
      <c r="B104" s="1">
        <v>45313</v>
      </c>
      <c r="C104" t="s">
        <v>12</v>
      </c>
      <c r="D104" s="2">
        <v>108.02</v>
      </c>
      <c r="E104" s="2">
        <v>0</v>
      </c>
      <c r="F104" t="s">
        <v>13</v>
      </c>
      <c r="G104" t="s">
        <v>9</v>
      </c>
    </row>
    <row r="105" spans="1:7" x14ac:dyDescent="0.35">
      <c r="A105">
        <v>36</v>
      </c>
      <c r="B105" s="1">
        <v>45313</v>
      </c>
      <c r="C105" t="s">
        <v>12</v>
      </c>
      <c r="D105" s="2">
        <v>0</v>
      </c>
      <c r="E105" s="2">
        <v>100.48</v>
      </c>
      <c r="F105" t="s">
        <v>14</v>
      </c>
      <c r="G105" t="s">
        <v>15</v>
      </c>
    </row>
    <row r="106" spans="1:7" x14ac:dyDescent="0.35">
      <c r="A106">
        <v>36</v>
      </c>
      <c r="B106" s="1">
        <v>45313</v>
      </c>
      <c r="C106" t="s">
        <v>12</v>
      </c>
      <c r="D106" s="2">
        <v>0</v>
      </c>
      <c r="E106" s="2">
        <v>7.54</v>
      </c>
      <c r="F106" t="s">
        <v>16</v>
      </c>
      <c r="G106" t="s">
        <v>17</v>
      </c>
    </row>
    <row r="107" spans="1:7" x14ac:dyDescent="0.35">
      <c r="A107">
        <v>37</v>
      </c>
      <c r="B107" s="1">
        <v>45313</v>
      </c>
      <c r="C107" t="s">
        <v>25</v>
      </c>
      <c r="D107" s="2">
        <v>952.02</v>
      </c>
      <c r="E107" s="2">
        <v>0</v>
      </c>
      <c r="F107" t="s">
        <v>26</v>
      </c>
      <c r="G107" t="s">
        <v>20</v>
      </c>
    </row>
    <row r="108" spans="1:7" x14ac:dyDescent="0.35">
      <c r="A108">
        <v>37</v>
      </c>
      <c r="B108" s="1">
        <v>45313</v>
      </c>
      <c r="C108" t="s">
        <v>25</v>
      </c>
      <c r="D108" s="2">
        <v>71.400000000000006</v>
      </c>
      <c r="E108" s="2">
        <v>0</v>
      </c>
      <c r="F108" t="s">
        <v>27</v>
      </c>
      <c r="G108" t="s">
        <v>9</v>
      </c>
    </row>
    <row r="109" spans="1:7" x14ac:dyDescent="0.35">
      <c r="A109">
        <v>37</v>
      </c>
      <c r="B109" s="1">
        <v>45313</v>
      </c>
      <c r="C109" t="s">
        <v>25</v>
      </c>
      <c r="D109" s="2">
        <v>0</v>
      </c>
      <c r="E109" s="2">
        <v>1023.42</v>
      </c>
      <c r="F109" t="s">
        <v>28</v>
      </c>
      <c r="G109" t="s">
        <v>17</v>
      </c>
    </row>
    <row r="110" spans="1:7" x14ac:dyDescent="0.35">
      <c r="A110">
        <v>38</v>
      </c>
      <c r="B110" s="1">
        <v>45314</v>
      </c>
      <c r="C110" t="s">
        <v>12</v>
      </c>
      <c r="D110" s="2">
        <v>3727.16</v>
      </c>
      <c r="E110" s="2">
        <v>0</v>
      </c>
      <c r="F110" t="s">
        <v>13</v>
      </c>
      <c r="G110" t="s">
        <v>9</v>
      </c>
    </row>
    <row r="111" spans="1:7" x14ac:dyDescent="0.35">
      <c r="A111">
        <v>38</v>
      </c>
      <c r="B111" s="1">
        <v>45314</v>
      </c>
      <c r="C111" t="s">
        <v>12</v>
      </c>
      <c r="D111" s="2">
        <v>0</v>
      </c>
      <c r="E111" s="2">
        <v>3467.13</v>
      </c>
      <c r="F111" t="s">
        <v>14</v>
      </c>
      <c r="G111" t="s">
        <v>15</v>
      </c>
    </row>
    <row r="112" spans="1:7" x14ac:dyDescent="0.35">
      <c r="A112">
        <v>38</v>
      </c>
      <c r="B112" s="1">
        <v>45314</v>
      </c>
      <c r="C112" t="s">
        <v>12</v>
      </c>
      <c r="D112" s="2">
        <v>0</v>
      </c>
      <c r="E112" s="2">
        <v>260.02999999999997</v>
      </c>
      <c r="F112" t="s">
        <v>16</v>
      </c>
      <c r="G112" t="s">
        <v>17</v>
      </c>
    </row>
    <row r="113" spans="1:7" x14ac:dyDescent="0.35">
      <c r="A113">
        <v>39</v>
      </c>
      <c r="B113" s="1">
        <v>45314</v>
      </c>
      <c r="C113" t="s">
        <v>12</v>
      </c>
      <c r="D113" s="2">
        <v>2559.5700000000002</v>
      </c>
      <c r="E113" s="2">
        <v>0</v>
      </c>
      <c r="F113" t="s">
        <v>13</v>
      </c>
      <c r="G113" t="s">
        <v>9</v>
      </c>
    </row>
    <row r="114" spans="1:7" x14ac:dyDescent="0.35">
      <c r="A114">
        <v>39</v>
      </c>
      <c r="B114" s="1">
        <v>45314</v>
      </c>
      <c r="C114" t="s">
        <v>12</v>
      </c>
      <c r="D114" s="2">
        <v>0</v>
      </c>
      <c r="E114" s="2">
        <v>2381</v>
      </c>
      <c r="F114" t="s">
        <v>14</v>
      </c>
      <c r="G114" t="s">
        <v>15</v>
      </c>
    </row>
    <row r="115" spans="1:7" x14ac:dyDescent="0.35">
      <c r="A115">
        <v>39</v>
      </c>
      <c r="B115" s="1">
        <v>45314</v>
      </c>
      <c r="C115" t="s">
        <v>12</v>
      </c>
      <c r="D115" s="2">
        <v>0</v>
      </c>
      <c r="E115" s="2">
        <v>178.57</v>
      </c>
      <c r="F115" t="s">
        <v>16</v>
      </c>
      <c r="G115" t="s">
        <v>17</v>
      </c>
    </row>
    <row r="116" spans="1:7" x14ac:dyDescent="0.35">
      <c r="A116">
        <v>40</v>
      </c>
      <c r="B116" s="1">
        <v>45314</v>
      </c>
      <c r="C116" t="s">
        <v>12</v>
      </c>
      <c r="D116" s="2">
        <v>2520.4899999999998</v>
      </c>
      <c r="E116" s="2">
        <v>0</v>
      </c>
      <c r="F116" t="s">
        <v>13</v>
      </c>
      <c r="G116" t="s">
        <v>9</v>
      </c>
    </row>
    <row r="117" spans="1:7" x14ac:dyDescent="0.35">
      <c r="A117">
        <v>40</v>
      </c>
      <c r="B117" s="1">
        <v>45314</v>
      </c>
      <c r="C117" t="s">
        <v>12</v>
      </c>
      <c r="D117" s="2">
        <v>0</v>
      </c>
      <c r="E117" s="2">
        <v>2344.64</v>
      </c>
      <c r="F117" t="s">
        <v>14</v>
      </c>
      <c r="G117" t="s">
        <v>15</v>
      </c>
    </row>
    <row r="118" spans="1:7" x14ac:dyDescent="0.35">
      <c r="A118">
        <v>40</v>
      </c>
      <c r="B118" s="1">
        <v>45314</v>
      </c>
      <c r="C118" t="s">
        <v>12</v>
      </c>
      <c r="D118" s="2">
        <v>0</v>
      </c>
      <c r="E118" s="2">
        <v>175.85</v>
      </c>
      <c r="F118" t="s">
        <v>16</v>
      </c>
      <c r="G118" t="s">
        <v>17</v>
      </c>
    </row>
    <row r="119" spans="1:7" x14ac:dyDescent="0.35">
      <c r="A119">
        <v>41</v>
      </c>
      <c r="B119" s="1">
        <v>45314</v>
      </c>
      <c r="C119" t="s">
        <v>12</v>
      </c>
      <c r="D119" s="2">
        <v>321.20999999999998</v>
      </c>
      <c r="E119" s="2">
        <v>0</v>
      </c>
      <c r="F119" t="s">
        <v>13</v>
      </c>
      <c r="G119" t="s">
        <v>9</v>
      </c>
    </row>
    <row r="120" spans="1:7" x14ac:dyDescent="0.35">
      <c r="A120">
        <v>41</v>
      </c>
      <c r="B120" s="1">
        <v>45314</v>
      </c>
      <c r="C120" t="s">
        <v>12</v>
      </c>
      <c r="D120" s="2">
        <v>0</v>
      </c>
      <c r="E120" s="2">
        <v>298.8</v>
      </c>
      <c r="F120" t="s">
        <v>14</v>
      </c>
      <c r="G120" t="s">
        <v>15</v>
      </c>
    </row>
    <row r="121" spans="1:7" x14ac:dyDescent="0.35">
      <c r="A121">
        <v>41</v>
      </c>
      <c r="B121" s="1">
        <v>45314</v>
      </c>
      <c r="C121" t="s">
        <v>12</v>
      </c>
      <c r="D121" s="2">
        <v>0</v>
      </c>
      <c r="E121" s="2">
        <v>22.41</v>
      </c>
      <c r="F121" t="s">
        <v>16</v>
      </c>
      <c r="G121" t="s">
        <v>17</v>
      </c>
    </row>
    <row r="122" spans="1:7" x14ac:dyDescent="0.35">
      <c r="A122">
        <v>42</v>
      </c>
      <c r="B122" s="1">
        <v>45315</v>
      </c>
      <c r="C122" t="s">
        <v>12</v>
      </c>
      <c r="D122" s="2">
        <v>2041.2</v>
      </c>
      <c r="E122" s="2">
        <v>0</v>
      </c>
      <c r="F122" t="s">
        <v>13</v>
      </c>
      <c r="G122" t="s">
        <v>9</v>
      </c>
    </row>
    <row r="123" spans="1:7" x14ac:dyDescent="0.35">
      <c r="A123">
        <v>42</v>
      </c>
      <c r="B123" s="1">
        <v>45315</v>
      </c>
      <c r="C123" t="s">
        <v>12</v>
      </c>
      <c r="D123" s="2">
        <v>0</v>
      </c>
      <c r="E123" s="2">
        <v>1898.79</v>
      </c>
      <c r="F123" t="s">
        <v>14</v>
      </c>
      <c r="G123" t="s">
        <v>15</v>
      </c>
    </row>
    <row r="124" spans="1:7" x14ac:dyDescent="0.35">
      <c r="A124">
        <v>42</v>
      </c>
      <c r="B124" s="1">
        <v>45315</v>
      </c>
      <c r="C124" t="s">
        <v>12</v>
      </c>
      <c r="D124" s="2">
        <v>0</v>
      </c>
      <c r="E124" s="2">
        <v>142.41</v>
      </c>
      <c r="F124" t="s">
        <v>16</v>
      </c>
      <c r="G124" t="s">
        <v>17</v>
      </c>
    </row>
    <row r="125" spans="1:7" x14ac:dyDescent="0.35">
      <c r="A125">
        <v>43</v>
      </c>
      <c r="B125" s="1">
        <v>45315</v>
      </c>
      <c r="C125" t="s">
        <v>12</v>
      </c>
      <c r="D125" s="2">
        <v>1879.76</v>
      </c>
      <c r="E125" s="2">
        <v>0</v>
      </c>
      <c r="F125" t="s">
        <v>13</v>
      </c>
      <c r="G125" t="s">
        <v>9</v>
      </c>
    </row>
    <row r="126" spans="1:7" x14ac:dyDescent="0.35">
      <c r="A126">
        <v>43</v>
      </c>
      <c r="B126" s="1">
        <v>45315</v>
      </c>
      <c r="C126" t="s">
        <v>12</v>
      </c>
      <c r="D126" s="2">
        <v>0</v>
      </c>
      <c r="E126" s="2">
        <v>1748.62</v>
      </c>
      <c r="F126" t="s">
        <v>14</v>
      </c>
      <c r="G126" t="s">
        <v>15</v>
      </c>
    </row>
    <row r="127" spans="1:7" x14ac:dyDescent="0.35">
      <c r="A127">
        <v>43</v>
      </c>
      <c r="B127" s="1">
        <v>45315</v>
      </c>
      <c r="C127" t="s">
        <v>12</v>
      </c>
      <c r="D127" s="2">
        <v>0</v>
      </c>
      <c r="E127" s="2">
        <v>131.13999999999999</v>
      </c>
      <c r="F127" t="s">
        <v>16</v>
      </c>
      <c r="G127" t="s">
        <v>17</v>
      </c>
    </row>
    <row r="128" spans="1:7" x14ac:dyDescent="0.35">
      <c r="A128">
        <v>44</v>
      </c>
      <c r="B128" s="1">
        <v>45315</v>
      </c>
      <c r="C128" t="s">
        <v>24</v>
      </c>
      <c r="D128" s="2">
        <v>4711.45</v>
      </c>
      <c r="E128" s="2">
        <v>0</v>
      </c>
      <c r="F128" t="s">
        <v>8</v>
      </c>
      <c r="G128" t="s">
        <v>9</v>
      </c>
    </row>
    <row r="129" spans="1:7" x14ac:dyDescent="0.35">
      <c r="A129">
        <v>44</v>
      </c>
      <c r="B129" s="1">
        <v>45315</v>
      </c>
      <c r="C129" t="s">
        <v>24</v>
      </c>
      <c r="D129" s="2">
        <v>0</v>
      </c>
      <c r="E129" s="2">
        <v>4711.45</v>
      </c>
      <c r="F129" t="s">
        <v>13</v>
      </c>
      <c r="G129" t="s">
        <v>9</v>
      </c>
    </row>
    <row r="130" spans="1:7" x14ac:dyDescent="0.35">
      <c r="A130">
        <v>45</v>
      </c>
      <c r="B130" s="1">
        <v>45315</v>
      </c>
      <c r="C130" t="s">
        <v>25</v>
      </c>
      <c r="D130" s="2">
        <v>2329.52</v>
      </c>
      <c r="E130" s="2">
        <v>0</v>
      </c>
      <c r="F130" t="s">
        <v>26</v>
      </c>
      <c r="G130" t="s">
        <v>20</v>
      </c>
    </row>
    <row r="131" spans="1:7" x14ac:dyDescent="0.35">
      <c r="A131">
        <v>45</v>
      </c>
      <c r="B131" s="1">
        <v>45315</v>
      </c>
      <c r="C131" t="s">
        <v>25</v>
      </c>
      <c r="D131" s="2">
        <v>174.71</v>
      </c>
      <c r="E131" s="2">
        <v>0</v>
      </c>
      <c r="F131" t="s">
        <v>27</v>
      </c>
      <c r="G131" t="s">
        <v>9</v>
      </c>
    </row>
    <row r="132" spans="1:7" x14ac:dyDescent="0.35">
      <c r="A132">
        <v>45</v>
      </c>
      <c r="B132" s="1">
        <v>45315</v>
      </c>
      <c r="C132" t="s">
        <v>25</v>
      </c>
      <c r="D132" s="2">
        <v>0</v>
      </c>
      <c r="E132" s="2">
        <v>2504.23</v>
      </c>
      <c r="F132" t="s">
        <v>28</v>
      </c>
      <c r="G132" t="s">
        <v>17</v>
      </c>
    </row>
    <row r="133" spans="1:7" x14ac:dyDescent="0.35">
      <c r="A133">
        <v>46</v>
      </c>
      <c r="B133" s="1">
        <v>45315</v>
      </c>
      <c r="C133" t="s">
        <v>29</v>
      </c>
      <c r="D133" s="2">
        <v>1023.42</v>
      </c>
      <c r="E133" s="2">
        <v>0</v>
      </c>
      <c r="F133" t="s">
        <v>28</v>
      </c>
      <c r="G133" t="s">
        <v>17</v>
      </c>
    </row>
    <row r="134" spans="1:7" x14ac:dyDescent="0.35">
      <c r="A134">
        <v>46</v>
      </c>
      <c r="B134" s="1">
        <v>45315</v>
      </c>
      <c r="C134" t="s">
        <v>29</v>
      </c>
      <c r="D134" s="2">
        <v>0</v>
      </c>
      <c r="E134" s="2">
        <v>1023.42</v>
      </c>
      <c r="F134" t="s">
        <v>8</v>
      </c>
      <c r="G134" t="s">
        <v>9</v>
      </c>
    </row>
    <row r="135" spans="1:7" x14ac:dyDescent="0.35">
      <c r="A135">
        <v>47</v>
      </c>
      <c r="B135" s="1">
        <v>45316</v>
      </c>
      <c r="C135" t="s">
        <v>24</v>
      </c>
      <c r="D135" s="2">
        <v>698.38</v>
      </c>
      <c r="E135" s="2">
        <v>0</v>
      </c>
      <c r="F135" t="s">
        <v>8</v>
      </c>
      <c r="G135" t="s">
        <v>9</v>
      </c>
    </row>
    <row r="136" spans="1:7" x14ac:dyDescent="0.35">
      <c r="A136">
        <v>47</v>
      </c>
      <c r="B136" s="1">
        <v>45316</v>
      </c>
      <c r="C136" t="s">
        <v>24</v>
      </c>
      <c r="D136" s="2">
        <v>0</v>
      </c>
      <c r="E136" s="2">
        <v>698.38</v>
      </c>
      <c r="F136" t="s">
        <v>13</v>
      </c>
      <c r="G136" t="s">
        <v>9</v>
      </c>
    </row>
    <row r="137" spans="1:7" x14ac:dyDescent="0.35">
      <c r="A137">
        <v>48</v>
      </c>
      <c r="B137" s="1">
        <v>45316</v>
      </c>
      <c r="C137" t="s">
        <v>24</v>
      </c>
      <c r="D137" s="2">
        <v>862.97</v>
      </c>
      <c r="E137" s="2">
        <v>0</v>
      </c>
      <c r="F137" t="s">
        <v>8</v>
      </c>
      <c r="G137" t="s">
        <v>9</v>
      </c>
    </row>
    <row r="138" spans="1:7" x14ac:dyDescent="0.35">
      <c r="A138">
        <v>48</v>
      </c>
      <c r="B138" s="1">
        <v>45316</v>
      </c>
      <c r="C138" t="s">
        <v>24</v>
      </c>
      <c r="D138" s="2">
        <v>0</v>
      </c>
      <c r="E138" s="2">
        <v>862.97</v>
      </c>
      <c r="F138" t="s">
        <v>13</v>
      </c>
      <c r="G138" t="s">
        <v>9</v>
      </c>
    </row>
    <row r="139" spans="1:7" x14ac:dyDescent="0.35">
      <c r="A139">
        <v>49</v>
      </c>
      <c r="B139" s="1">
        <v>45316</v>
      </c>
      <c r="C139" t="s">
        <v>24</v>
      </c>
      <c r="D139" s="2">
        <v>323.24</v>
      </c>
      <c r="E139" s="2">
        <v>0</v>
      </c>
      <c r="F139" t="s">
        <v>8</v>
      </c>
      <c r="G139" t="s">
        <v>9</v>
      </c>
    </row>
    <row r="140" spans="1:7" x14ac:dyDescent="0.35">
      <c r="A140">
        <v>49</v>
      </c>
      <c r="B140" s="1">
        <v>45316</v>
      </c>
      <c r="C140" t="s">
        <v>24</v>
      </c>
      <c r="D140" s="2">
        <v>0</v>
      </c>
      <c r="E140" s="2">
        <v>323.24</v>
      </c>
      <c r="F140" t="s">
        <v>13</v>
      </c>
      <c r="G140" t="s">
        <v>9</v>
      </c>
    </row>
    <row r="141" spans="1:7" x14ac:dyDescent="0.35">
      <c r="A141">
        <v>50</v>
      </c>
      <c r="B141" s="1">
        <v>45317</v>
      </c>
      <c r="C141" t="s">
        <v>12</v>
      </c>
      <c r="D141" s="2">
        <v>723.25</v>
      </c>
      <c r="E141" s="2">
        <v>0</v>
      </c>
      <c r="F141" t="s">
        <v>13</v>
      </c>
      <c r="G141" t="s">
        <v>9</v>
      </c>
    </row>
    <row r="142" spans="1:7" x14ac:dyDescent="0.35">
      <c r="A142">
        <v>50</v>
      </c>
      <c r="B142" s="1">
        <v>45317</v>
      </c>
      <c r="C142" t="s">
        <v>12</v>
      </c>
      <c r="D142" s="2">
        <v>0</v>
      </c>
      <c r="E142" s="2">
        <v>672.8</v>
      </c>
      <c r="F142" t="s">
        <v>14</v>
      </c>
      <c r="G142" t="s">
        <v>15</v>
      </c>
    </row>
    <row r="143" spans="1:7" x14ac:dyDescent="0.35">
      <c r="A143">
        <v>50</v>
      </c>
      <c r="B143" s="1">
        <v>45317</v>
      </c>
      <c r="C143" t="s">
        <v>12</v>
      </c>
      <c r="D143" s="2">
        <v>0</v>
      </c>
      <c r="E143" s="2">
        <v>50.45</v>
      </c>
      <c r="F143" t="s">
        <v>16</v>
      </c>
      <c r="G143" t="s">
        <v>17</v>
      </c>
    </row>
    <row r="144" spans="1:7" x14ac:dyDescent="0.35">
      <c r="A144">
        <v>51</v>
      </c>
      <c r="B144" s="1">
        <v>45317</v>
      </c>
      <c r="C144" t="s">
        <v>24</v>
      </c>
      <c r="D144" s="2">
        <v>723.25</v>
      </c>
      <c r="E144" s="2">
        <v>0</v>
      </c>
      <c r="F144" t="s">
        <v>8</v>
      </c>
      <c r="G144" t="s">
        <v>9</v>
      </c>
    </row>
    <row r="145" spans="1:7" x14ac:dyDescent="0.35">
      <c r="A145">
        <v>51</v>
      </c>
      <c r="B145" s="1">
        <v>45317</v>
      </c>
      <c r="C145" t="s">
        <v>24</v>
      </c>
      <c r="D145" s="2">
        <v>0</v>
      </c>
      <c r="E145" s="2">
        <v>723.25</v>
      </c>
      <c r="F145" t="s">
        <v>13</v>
      </c>
      <c r="G145" t="s">
        <v>9</v>
      </c>
    </row>
    <row r="146" spans="1:7" x14ac:dyDescent="0.35">
      <c r="A146">
        <v>52</v>
      </c>
      <c r="B146" s="1">
        <v>45320</v>
      </c>
      <c r="C146" t="s">
        <v>12</v>
      </c>
      <c r="D146" s="2">
        <v>4522.24</v>
      </c>
      <c r="E146" s="2">
        <v>0</v>
      </c>
      <c r="F146" t="s">
        <v>13</v>
      </c>
      <c r="G146" t="s">
        <v>9</v>
      </c>
    </row>
    <row r="147" spans="1:7" x14ac:dyDescent="0.35">
      <c r="A147">
        <v>52</v>
      </c>
      <c r="B147" s="1">
        <v>45320</v>
      </c>
      <c r="C147" t="s">
        <v>12</v>
      </c>
      <c r="D147" s="2">
        <v>0</v>
      </c>
      <c r="E147" s="2">
        <v>4206.7299999999996</v>
      </c>
      <c r="F147" t="s">
        <v>14</v>
      </c>
      <c r="G147" t="s">
        <v>15</v>
      </c>
    </row>
    <row r="148" spans="1:7" x14ac:dyDescent="0.35">
      <c r="A148">
        <v>52</v>
      </c>
      <c r="B148" s="1">
        <v>45320</v>
      </c>
      <c r="C148" t="s">
        <v>12</v>
      </c>
      <c r="D148" s="2">
        <v>0</v>
      </c>
      <c r="E148" s="2">
        <v>315.51</v>
      </c>
      <c r="F148" t="s">
        <v>16</v>
      </c>
      <c r="G148" t="s">
        <v>17</v>
      </c>
    </row>
    <row r="149" spans="1:7" x14ac:dyDescent="0.35">
      <c r="A149">
        <v>53</v>
      </c>
      <c r="B149" s="1">
        <v>45320</v>
      </c>
      <c r="C149" t="s">
        <v>12</v>
      </c>
      <c r="D149" s="2">
        <v>774.84</v>
      </c>
      <c r="E149" s="2">
        <v>0</v>
      </c>
      <c r="F149" t="s">
        <v>13</v>
      </c>
      <c r="G149" t="s">
        <v>9</v>
      </c>
    </row>
    <row r="150" spans="1:7" x14ac:dyDescent="0.35">
      <c r="A150">
        <v>53</v>
      </c>
      <c r="B150" s="1">
        <v>45320</v>
      </c>
      <c r="C150" t="s">
        <v>12</v>
      </c>
      <c r="D150" s="2">
        <v>0</v>
      </c>
      <c r="E150" s="2">
        <v>720.79</v>
      </c>
      <c r="F150" t="s">
        <v>14</v>
      </c>
      <c r="G150" t="s">
        <v>15</v>
      </c>
    </row>
    <row r="151" spans="1:7" x14ac:dyDescent="0.35">
      <c r="A151">
        <v>53</v>
      </c>
      <c r="B151" s="1">
        <v>45320</v>
      </c>
      <c r="C151" t="s">
        <v>12</v>
      </c>
      <c r="D151" s="2">
        <v>0</v>
      </c>
      <c r="E151" s="2">
        <v>54.05</v>
      </c>
      <c r="F151" t="s">
        <v>16</v>
      </c>
      <c r="G151" t="s">
        <v>17</v>
      </c>
    </row>
    <row r="152" spans="1:7" x14ac:dyDescent="0.35">
      <c r="A152">
        <v>54</v>
      </c>
      <c r="B152" s="1">
        <v>45320</v>
      </c>
      <c r="C152" t="s">
        <v>12</v>
      </c>
      <c r="D152" s="2">
        <v>2479.04</v>
      </c>
      <c r="E152" s="2">
        <v>0</v>
      </c>
      <c r="F152" t="s">
        <v>13</v>
      </c>
      <c r="G152" t="s">
        <v>9</v>
      </c>
    </row>
    <row r="153" spans="1:7" x14ac:dyDescent="0.35">
      <c r="A153">
        <v>54</v>
      </c>
      <c r="B153" s="1">
        <v>45320</v>
      </c>
      <c r="C153" t="s">
        <v>12</v>
      </c>
      <c r="D153" s="2">
        <v>0</v>
      </c>
      <c r="E153" s="2">
        <v>2306.09</v>
      </c>
      <c r="F153" t="s">
        <v>14</v>
      </c>
      <c r="G153" t="s">
        <v>15</v>
      </c>
    </row>
    <row r="154" spans="1:7" x14ac:dyDescent="0.35">
      <c r="A154">
        <v>54</v>
      </c>
      <c r="B154" s="1">
        <v>45320</v>
      </c>
      <c r="C154" t="s">
        <v>12</v>
      </c>
      <c r="D154" s="2">
        <v>0</v>
      </c>
      <c r="E154" s="2">
        <v>172.95</v>
      </c>
      <c r="F154" t="s">
        <v>16</v>
      </c>
      <c r="G154" t="s">
        <v>17</v>
      </c>
    </row>
    <row r="155" spans="1:7" x14ac:dyDescent="0.35">
      <c r="A155">
        <v>55</v>
      </c>
      <c r="B155" s="1">
        <v>45320</v>
      </c>
      <c r="C155" t="s">
        <v>24</v>
      </c>
      <c r="D155" s="2">
        <v>1847.6</v>
      </c>
      <c r="E155" s="2">
        <v>0</v>
      </c>
      <c r="F155" t="s">
        <v>8</v>
      </c>
      <c r="G155" t="s">
        <v>9</v>
      </c>
    </row>
    <row r="156" spans="1:7" x14ac:dyDescent="0.35">
      <c r="A156">
        <v>55</v>
      </c>
      <c r="B156" s="1">
        <v>45320</v>
      </c>
      <c r="C156" t="s">
        <v>24</v>
      </c>
      <c r="D156" s="2">
        <v>0</v>
      </c>
      <c r="E156" s="2">
        <v>1847.6</v>
      </c>
      <c r="F156" t="s">
        <v>13</v>
      </c>
      <c r="G156" t="s">
        <v>9</v>
      </c>
    </row>
    <row r="157" spans="1:7" x14ac:dyDescent="0.35">
      <c r="A157">
        <v>56</v>
      </c>
      <c r="B157" s="1">
        <v>45320</v>
      </c>
      <c r="C157" t="s">
        <v>24</v>
      </c>
      <c r="D157" s="2">
        <v>1345.94</v>
      </c>
      <c r="E157" s="2">
        <v>0</v>
      </c>
      <c r="F157" t="s">
        <v>8</v>
      </c>
      <c r="G157" t="s">
        <v>9</v>
      </c>
    </row>
    <row r="158" spans="1:7" x14ac:dyDescent="0.35">
      <c r="A158">
        <v>56</v>
      </c>
      <c r="B158" s="1">
        <v>45320</v>
      </c>
      <c r="C158" t="s">
        <v>24</v>
      </c>
      <c r="D158" s="2">
        <v>0</v>
      </c>
      <c r="E158" s="2">
        <v>1345.94</v>
      </c>
      <c r="F158" t="s">
        <v>13</v>
      </c>
      <c r="G158" t="s">
        <v>9</v>
      </c>
    </row>
    <row r="159" spans="1:7" x14ac:dyDescent="0.35">
      <c r="A159">
        <v>57</v>
      </c>
      <c r="B159" s="1">
        <v>45320</v>
      </c>
      <c r="C159" t="s">
        <v>25</v>
      </c>
      <c r="D159" s="2">
        <v>2714.58</v>
      </c>
      <c r="E159" s="2">
        <v>0</v>
      </c>
      <c r="F159" t="s">
        <v>26</v>
      </c>
      <c r="G159" t="s">
        <v>20</v>
      </c>
    </row>
    <row r="160" spans="1:7" x14ac:dyDescent="0.35">
      <c r="A160">
        <v>57</v>
      </c>
      <c r="B160" s="1">
        <v>45320</v>
      </c>
      <c r="C160" t="s">
        <v>25</v>
      </c>
      <c r="D160" s="2">
        <v>203.59</v>
      </c>
      <c r="E160" s="2">
        <v>0</v>
      </c>
      <c r="F160" t="s">
        <v>27</v>
      </c>
      <c r="G160" t="s">
        <v>9</v>
      </c>
    </row>
    <row r="161" spans="1:7" x14ac:dyDescent="0.35">
      <c r="A161">
        <v>57</v>
      </c>
      <c r="B161" s="1">
        <v>45320</v>
      </c>
      <c r="C161" t="s">
        <v>25</v>
      </c>
      <c r="D161" s="2">
        <v>0</v>
      </c>
      <c r="E161" s="2">
        <v>2918.17</v>
      </c>
      <c r="F161" t="s">
        <v>28</v>
      </c>
      <c r="G161" t="s">
        <v>17</v>
      </c>
    </row>
    <row r="162" spans="1:7" x14ac:dyDescent="0.35">
      <c r="A162">
        <v>58</v>
      </c>
      <c r="B162" s="1">
        <v>45320</v>
      </c>
      <c r="C162" t="s">
        <v>29</v>
      </c>
      <c r="D162" s="2">
        <v>2504.23</v>
      </c>
      <c r="E162" s="2">
        <v>0</v>
      </c>
      <c r="F162" t="s">
        <v>28</v>
      </c>
      <c r="G162" t="s">
        <v>17</v>
      </c>
    </row>
    <row r="163" spans="1:7" x14ac:dyDescent="0.35">
      <c r="A163">
        <v>58</v>
      </c>
      <c r="B163" s="1">
        <v>45320</v>
      </c>
      <c r="C163" t="s">
        <v>29</v>
      </c>
      <c r="D163" s="2">
        <v>0</v>
      </c>
      <c r="E163" s="2">
        <v>2504.23</v>
      </c>
      <c r="F163" t="s">
        <v>8</v>
      </c>
      <c r="G163" t="s">
        <v>9</v>
      </c>
    </row>
    <row r="164" spans="1:7" x14ac:dyDescent="0.35">
      <c r="A164">
        <v>59</v>
      </c>
      <c r="B164" s="1">
        <v>45321</v>
      </c>
      <c r="C164" t="s">
        <v>12</v>
      </c>
      <c r="D164" s="2">
        <v>1202.28</v>
      </c>
      <c r="E164" s="2">
        <v>0</v>
      </c>
      <c r="F164" t="s">
        <v>13</v>
      </c>
      <c r="G164" t="s">
        <v>9</v>
      </c>
    </row>
    <row r="165" spans="1:7" x14ac:dyDescent="0.35">
      <c r="A165">
        <v>59</v>
      </c>
      <c r="B165" s="1">
        <v>45321</v>
      </c>
      <c r="C165" t="s">
        <v>12</v>
      </c>
      <c r="D165" s="2">
        <v>0</v>
      </c>
      <c r="E165" s="2">
        <v>1118.4000000000001</v>
      </c>
      <c r="F165" t="s">
        <v>14</v>
      </c>
      <c r="G165" t="s">
        <v>15</v>
      </c>
    </row>
    <row r="166" spans="1:7" x14ac:dyDescent="0.35">
      <c r="A166">
        <v>59</v>
      </c>
      <c r="B166" s="1">
        <v>45321</v>
      </c>
      <c r="C166" t="s">
        <v>12</v>
      </c>
      <c r="D166" s="2">
        <v>0</v>
      </c>
      <c r="E166" s="2">
        <v>83.88</v>
      </c>
      <c r="F166" t="s">
        <v>16</v>
      </c>
      <c r="G166" t="s">
        <v>17</v>
      </c>
    </row>
    <row r="167" spans="1:7" x14ac:dyDescent="0.35">
      <c r="A167">
        <v>60</v>
      </c>
      <c r="B167" s="1">
        <v>45321</v>
      </c>
      <c r="C167" t="s">
        <v>24</v>
      </c>
      <c r="D167" s="2">
        <v>948.28</v>
      </c>
      <c r="E167" s="2">
        <v>0</v>
      </c>
      <c r="F167" t="s">
        <v>8</v>
      </c>
      <c r="G167" t="s">
        <v>9</v>
      </c>
    </row>
    <row r="168" spans="1:7" x14ac:dyDescent="0.35">
      <c r="A168">
        <v>60</v>
      </c>
      <c r="B168" s="1">
        <v>45321</v>
      </c>
      <c r="C168" t="s">
        <v>24</v>
      </c>
      <c r="D168" s="2">
        <v>0</v>
      </c>
      <c r="E168" s="2">
        <v>948.28</v>
      </c>
      <c r="F168" t="s">
        <v>13</v>
      </c>
      <c r="G168" t="s">
        <v>9</v>
      </c>
    </row>
    <row r="169" spans="1:7" x14ac:dyDescent="0.35">
      <c r="A169">
        <v>61</v>
      </c>
      <c r="B169" s="1">
        <v>45321</v>
      </c>
      <c r="C169" t="s">
        <v>25</v>
      </c>
      <c r="D169" s="2">
        <v>8685.27</v>
      </c>
      <c r="E169" s="2">
        <v>0</v>
      </c>
      <c r="F169" t="s">
        <v>26</v>
      </c>
      <c r="G169" t="s">
        <v>20</v>
      </c>
    </row>
    <row r="170" spans="1:7" x14ac:dyDescent="0.35">
      <c r="A170">
        <v>61</v>
      </c>
      <c r="B170" s="1">
        <v>45321</v>
      </c>
      <c r="C170" t="s">
        <v>25</v>
      </c>
      <c r="D170" s="2">
        <v>651.4</v>
      </c>
      <c r="E170" s="2">
        <v>0</v>
      </c>
      <c r="F170" t="s">
        <v>27</v>
      </c>
      <c r="G170" t="s">
        <v>9</v>
      </c>
    </row>
    <row r="171" spans="1:7" x14ac:dyDescent="0.35">
      <c r="A171">
        <v>61</v>
      </c>
      <c r="B171" s="1">
        <v>45321</v>
      </c>
      <c r="C171" t="s">
        <v>25</v>
      </c>
      <c r="D171" s="2">
        <v>0</v>
      </c>
      <c r="E171" s="2">
        <v>9336.67</v>
      </c>
      <c r="F171" t="s">
        <v>28</v>
      </c>
      <c r="G171" t="s">
        <v>17</v>
      </c>
    </row>
    <row r="172" spans="1:7" x14ac:dyDescent="0.35">
      <c r="A172">
        <v>62</v>
      </c>
      <c r="B172" s="1">
        <v>45322</v>
      </c>
      <c r="C172" t="s">
        <v>24</v>
      </c>
      <c r="D172" s="2">
        <v>1012.89</v>
      </c>
      <c r="E172" s="2">
        <v>0</v>
      </c>
      <c r="F172" t="s">
        <v>8</v>
      </c>
      <c r="G172" t="s">
        <v>9</v>
      </c>
    </row>
    <row r="173" spans="1:7" x14ac:dyDescent="0.35">
      <c r="A173">
        <v>62</v>
      </c>
      <c r="B173" s="1">
        <v>45322</v>
      </c>
      <c r="C173" t="s">
        <v>24</v>
      </c>
      <c r="D173" s="2">
        <v>0</v>
      </c>
      <c r="E173" s="2">
        <v>1012.89</v>
      </c>
      <c r="F173" t="s">
        <v>13</v>
      </c>
      <c r="G173" t="s">
        <v>9</v>
      </c>
    </row>
    <row r="174" spans="1:7" x14ac:dyDescent="0.35">
      <c r="A174">
        <v>63</v>
      </c>
      <c r="B174" s="1">
        <v>45322</v>
      </c>
      <c r="C174" t="s">
        <v>24</v>
      </c>
      <c r="D174" s="2">
        <v>321.20999999999998</v>
      </c>
      <c r="E174" s="2">
        <v>0</v>
      </c>
      <c r="F174" t="s">
        <v>8</v>
      </c>
      <c r="G174" t="s">
        <v>9</v>
      </c>
    </row>
    <row r="175" spans="1:7" x14ac:dyDescent="0.35">
      <c r="A175">
        <v>63</v>
      </c>
      <c r="B175" s="1">
        <v>45322</v>
      </c>
      <c r="C175" t="s">
        <v>24</v>
      </c>
      <c r="D175" s="2">
        <v>0</v>
      </c>
      <c r="E175" s="2">
        <v>321.20999999999998</v>
      </c>
      <c r="F175" t="s">
        <v>13</v>
      </c>
      <c r="G175" t="s">
        <v>9</v>
      </c>
    </row>
    <row r="176" spans="1:7" x14ac:dyDescent="0.35">
      <c r="A176">
        <v>64</v>
      </c>
      <c r="B176" s="1">
        <v>45322</v>
      </c>
      <c r="C176" t="s">
        <v>30</v>
      </c>
      <c r="D176" s="2">
        <v>93.61</v>
      </c>
      <c r="E176" s="2">
        <v>0</v>
      </c>
      <c r="F176" t="s">
        <v>31</v>
      </c>
      <c r="G176" t="s">
        <v>20</v>
      </c>
    </row>
    <row r="177" spans="1:7" x14ac:dyDescent="0.35">
      <c r="A177">
        <v>64</v>
      </c>
      <c r="B177" s="1">
        <v>45322</v>
      </c>
      <c r="C177" t="s">
        <v>30</v>
      </c>
      <c r="D177" s="2">
        <v>0</v>
      </c>
      <c r="E177" s="2">
        <v>93.61</v>
      </c>
      <c r="F177" t="s">
        <v>32</v>
      </c>
      <c r="G177" t="s">
        <v>9</v>
      </c>
    </row>
    <row r="178" spans="1:7" x14ac:dyDescent="0.35">
      <c r="A178">
        <v>65</v>
      </c>
      <c r="B178" s="1">
        <v>45322</v>
      </c>
      <c r="C178" t="s">
        <v>33</v>
      </c>
      <c r="D178" s="2">
        <v>76.86</v>
      </c>
      <c r="E178" s="2">
        <v>0</v>
      </c>
      <c r="F178" t="s">
        <v>31</v>
      </c>
      <c r="G178" t="s">
        <v>20</v>
      </c>
    </row>
    <row r="179" spans="1:7" x14ac:dyDescent="0.35">
      <c r="A179">
        <v>65</v>
      </c>
      <c r="B179" s="1">
        <v>45322</v>
      </c>
      <c r="C179" t="s">
        <v>33</v>
      </c>
      <c r="D179" s="2">
        <v>0</v>
      </c>
      <c r="E179" s="2">
        <v>76.86</v>
      </c>
      <c r="F179" t="s">
        <v>32</v>
      </c>
      <c r="G179" t="s">
        <v>9</v>
      </c>
    </row>
    <row r="180" spans="1:7" x14ac:dyDescent="0.35">
      <c r="A180">
        <v>66</v>
      </c>
      <c r="B180" s="1">
        <v>45322</v>
      </c>
      <c r="C180" t="s">
        <v>34</v>
      </c>
      <c r="D180" s="2">
        <v>20.03</v>
      </c>
      <c r="E180" s="2">
        <v>0</v>
      </c>
      <c r="F180" t="s">
        <v>31</v>
      </c>
      <c r="G180" t="s">
        <v>20</v>
      </c>
    </row>
    <row r="181" spans="1:7" x14ac:dyDescent="0.35">
      <c r="A181">
        <v>66</v>
      </c>
      <c r="B181" s="1">
        <v>45322</v>
      </c>
      <c r="C181" t="s">
        <v>34</v>
      </c>
      <c r="D181" s="2">
        <v>0</v>
      </c>
      <c r="E181" s="2">
        <v>20.03</v>
      </c>
      <c r="F181" t="s">
        <v>32</v>
      </c>
      <c r="G181" t="s">
        <v>9</v>
      </c>
    </row>
    <row r="182" spans="1:7" x14ac:dyDescent="0.35">
      <c r="A182">
        <v>67</v>
      </c>
      <c r="B182" s="1">
        <v>45322</v>
      </c>
      <c r="C182" t="s">
        <v>35</v>
      </c>
      <c r="D182" s="2">
        <v>86.89</v>
      </c>
      <c r="E182" s="2">
        <v>0</v>
      </c>
      <c r="F182" t="s">
        <v>31</v>
      </c>
      <c r="G182" t="s">
        <v>20</v>
      </c>
    </row>
    <row r="183" spans="1:7" x14ac:dyDescent="0.35">
      <c r="A183">
        <v>67</v>
      </c>
      <c r="B183" s="1">
        <v>45322</v>
      </c>
      <c r="C183" t="s">
        <v>35</v>
      </c>
      <c r="D183" s="2">
        <v>0</v>
      </c>
      <c r="E183" s="2">
        <v>86.89</v>
      </c>
      <c r="F183" t="s">
        <v>36</v>
      </c>
      <c r="G183" t="s">
        <v>9</v>
      </c>
    </row>
    <row r="184" spans="1:7" x14ac:dyDescent="0.35">
      <c r="A184">
        <v>68</v>
      </c>
      <c r="B184" s="1">
        <v>45322</v>
      </c>
      <c r="C184" t="s">
        <v>37</v>
      </c>
      <c r="D184" s="2">
        <v>76.8</v>
      </c>
      <c r="E184" s="2">
        <v>0</v>
      </c>
      <c r="F184" t="s">
        <v>31</v>
      </c>
      <c r="G184" t="s">
        <v>20</v>
      </c>
    </row>
    <row r="185" spans="1:7" x14ac:dyDescent="0.35">
      <c r="A185">
        <v>68</v>
      </c>
      <c r="B185" s="1">
        <v>45322</v>
      </c>
      <c r="C185" t="s">
        <v>37</v>
      </c>
      <c r="D185" s="2">
        <v>0</v>
      </c>
      <c r="E185" s="2">
        <v>76.8</v>
      </c>
      <c r="F185" t="s">
        <v>36</v>
      </c>
      <c r="G185" t="s">
        <v>9</v>
      </c>
    </row>
    <row r="186" spans="1:7" x14ac:dyDescent="0.35">
      <c r="A186">
        <v>69</v>
      </c>
      <c r="B186" s="1">
        <v>45322</v>
      </c>
      <c r="C186" t="s">
        <v>38</v>
      </c>
      <c r="D186" s="2">
        <v>48.28</v>
      </c>
      <c r="E186" s="2">
        <v>0</v>
      </c>
      <c r="F186" t="s">
        <v>31</v>
      </c>
      <c r="G186" t="s">
        <v>20</v>
      </c>
    </row>
    <row r="187" spans="1:7" x14ac:dyDescent="0.35">
      <c r="A187">
        <v>69</v>
      </c>
      <c r="B187" s="1">
        <v>45322</v>
      </c>
      <c r="C187" t="s">
        <v>38</v>
      </c>
      <c r="D187" s="2">
        <v>0</v>
      </c>
      <c r="E187" s="2">
        <v>48.28</v>
      </c>
      <c r="F187" t="s">
        <v>36</v>
      </c>
      <c r="G187" t="s">
        <v>9</v>
      </c>
    </row>
    <row r="188" spans="1:7" x14ac:dyDescent="0.35">
      <c r="A188">
        <v>70</v>
      </c>
      <c r="B188" s="1">
        <v>45322</v>
      </c>
      <c r="C188" t="s">
        <v>39</v>
      </c>
      <c r="D188" s="2">
        <v>53.21</v>
      </c>
      <c r="E188" s="2">
        <v>0</v>
      </c>
      <c r="F188" t="s">
        <v>31</v>
      </c>
      <c r="G188" t="s">
        <v>20</v>
      </c>
    </row>
    <row r="189" spans="1:7" x14ac:dyDescent="0.35">
      <c r="A189">
        <v>70</v>
      </c>
      <c r="B189" s="1">
        <v>45322</v>
      </c>
      <c r="C189" t="s">
        <v>39</v>
      </c>
      <c r="D189" s="2">
        <v>0</v>
      </c>
      <c r="E189" s="2">
        <v>53.21</v>
      </c>
      <c r="F189" t="s">
        <v>36</v>
      </c>
      <c r="G189" t="s">
        <v>9</v>
      </c>
    </row>
    <row r="190" spans="1:7" x14ac:dyDescent="0.35">
      <c r="A190">
        <v>71</v>
      </c>
      <c r="B190" s="1">
        <v>45322</v>
      </c>
      <c r="C190" t="s">
        <v>40</v>
      </c>
      <c r="D190" s="2">
        <v>232.19</v>
      </c>
      <c r="E190" s="2">
        <v>0</v>
      </c>
      <c r="F190" t="s">
        <v>31</v>
      </c>
      <c r="G190" t="s">
        <v>20</v>
      </c>
    </row>
    <row r="191" spans="1:7" x14ac:dyDescent="0.35">
      <c r="A191">
        <v>71</v>
      </c>
      <c r="B191" s="1">
        <v>45322</v>
      </c>
      <c r="C191" t="s">
        <v>40</v>
      </c>
      <c r="D191" s="2">
        <v>0</v>
      </c>
      <c r="E191" s="2">
        <v>232.19</v>
      </c>
      <c r="F191" t="s">
        <v>41</v>
      </c>
      <c r="G191" t="s">
        <v>9</v>
      </c>
    </row>
    <row r="192" spans="1:7" x14ac:dyDescent="0.35">
      <c r="A192">
        <v>72</v>
      </c>
      <c r="B192" s="1">
        <v>45322</v>
      </c>
      <c r="C192" t="s">
        <v>42</v>
      </c>
      <c r="D192" s="2">
        <v>43.85</v>
      </c>
      <c r="E192" s="2">
        <v>0</v>
      </c>
      <c r="F192" t="s">
        <v>31</v>
      </c>
      <c r="G192" t="s">
        <v>20</v>
      </c>
    </row>
    <row r="193" spans="1:7" x14ac:dyDescent="0.35">
      <c r="A193">
        <v>72</v>
      </c>
      <c r="B193" s="1">
        <v>45322</v>
      </c>
      <c r="C193" t="s">
        <v>42</v>
      </c>
      <c r="D193" s="2">
        <v>0</v>
      </c>
      <c r="E193" s="2">
        <v>43.85</v>
      </c>
      <c r="F193" t="s">
        <v>32</v>
      </c>
      <c r="G193" t="s">
        <v>9</v>
      </c>
    </row>
    <row r="194" spans="1:7" x14ac:dyDescent="0.35">
      <c r="A194">
        <v>73</v>
      </c>
      <c r="B194" s="1">
        <v>45323</v>
      </c>
      <c r="C194" t="s">
        <v>18</v>
      </c>
      <c r="D194" s="2">
        <v>21307.68</v>
      </c>
      <c r="E194" s="2">
        <v>0</v>
      </c>
      <c r="F194" t="s">
        <v>19</v>
      </c>
      <c r="G194" t="s">
        <v>20</v>
      </c>
    </row>
    <row r="195" spans="1:7" x14ac:dyDescent="0.35">
      <c r="A195">
        <v>73</v>
      </c>
      <c r="B195" s="1">
        <v>45323</v>
      </c>
      <c r="C195" t="s">
        <v>18</v>
      </c>
      <c r="D195" s="2">
        <v>852.32</v>
      </c>
      <c r="E195" s="2">
        <v>0</v>
      </c>
      <c r="F195" t="s">
        <v>21</v>
      </c>
      <c r="G195" t="s">
        <v>20</v>
      </c>
    </row>
    <row r="196" spans="1:7" x14ac:dyDescent="0.35">
      <c r="A196">
        <v>73</v>
      </c>
      <c r="B196" s="1">
        <v>45323</v>
      </c>
      <c r="C196" t="s">
        <v>18</v>
      </c>
      <c r="D196" s="2">
        <v>0</v>
      </c>
      <c r="E196" s="2">
        <v>17437.03</v>
      </c>
      <c r="F196" t="s">
        <v>8</v>
      </c>
      <c r="G196" t="s">
        <v>9</v>
      </c>
    </row>
    <row r="197" spans="1:7" x14ac:dyDescent="0.35">
      <c r="A197">
        <v>73</v>
      </c>
      <c r="B197" s="1">
        <v>45323</v>
      </c>
      <c r="C197" t="s">
        <v>18</v>
      </c>
      <c r="D197" s="2">
        <v>0</v>
      </c>
      <c r="E197" s="2">
        <v>3870.65</v>
      </c>
      <c r="F197" t="s">
        <v>22</v>
      </c>
      <c r="G197" t="s">
        <v>17</v>
      </c>
    </row>
    <row r="198" spans="1:7" x14ac:dyDescent="0.35">
      <c r="A198">
        <v>73</v>
      </c>
      <c r="B198" s="1">
        <v>45323</v>
      </c>
      <c r="C198" t="s">
        <v>18</v>
      </c>
      <c r="D198" s="2">
        <v>0</v>
      </c>
      <c r="E198" s="2">
        <v>852.32</v>
      </c>
      <c r="F198" t="s">
        <v>23</v>
      </c>
      <c r="G198" t="s">
        <v>17</v>
      </c>
    </row>
    <row r="199" spans="1:7" x14ac:dyDescent="0.35">
      <c r="A199">
        <v>74</v>
      </c>
      <c r="B199" s="1">
        <v>45323</v>
      </c>
      <c r="C199" t="s">
        <v>12</v>
      </c>
      <c r="D199" s="2">
        <v>1175.76</v>
      </c>
      <c r="E199" s="2">
        <v>0</v>
      </c>
      <c r="F199" t="s">
        <v>13</v>
      </c>
      <c r="G199" t="s">
        <v>9</v>
      </c>
    </row>
    <row r="200" spans="1:7" x14ac:dyDescent="0.35">
      <c r="A200">
        <v>74</v>
      </c>
      <c r="B200" s="1">
        <v>45323</v>
      </c>
      <c r="C200" t="s">
        <v>12</v>
      </c>
      <c r="D200" s="2">
        <v>0</v>
      </c>
      <c r="E200" s="2">
        <v>1093.73</v>
      </c>
      <c r="F200" t="s">
        <v>14</v>
      </c>
      <c r="G200" t="s">
        <v>15</v>
      </c>
    </row>
    <row r="201" spans="1:7" x14ac:dyDescent="0.35">
      <c r="A201">
        <v>74</v>
      </c>
      <c r="B201" s="1">
        <v>45323</v>
      </c>
      <c r="C201" t="s">
        <v>12</v>
      </c>
      <c r="D201" s="2">
        <v>0</v>
      </c>
      <c r="E201" s="2">
        <v>82.03</v>
      </c>
      <c r="F201" t="s">
        <v>16</v>
      </c>
      <c r="G201" t="s">
        <v>17</v>
      </c>
    </row>
    <row r="202" spans="1:7" x14ac:dyDescent="0.35">
      <c r="A202">
        <v>75</v>
      </c>
      <c r="B202" s="1">
        <v>45323</v>
      </c>
      <c r="C202" t="s">
        <v>12</v>
      </c>
      <c r="D202" s="2">
        <v>1252.76</v>
      </c>
      <c r="E202" s="2">
        <v>0</v>
      </c>
      <c r="F202" t="s">
        <v>13</v>
      </c>
      <c r="G202" t="s">
        <v>9</v>
      </c>
    </row>
    <row r="203" spans="1:7" x14ac:dyDescent="0.35">
      <c r="A203">
        <v>75</v>
      </c>
      <c r="B203" s="1">
        <v>45323</v>
      </c>
      <c r="C203" t="s">
        <v>12</v>
      </c>
      <c r="D203" s="2">
        <v>0</v>
      </c>
      <c r="E203" s="2">
        <v>1165.3599999999999</v>
      </c>
      <c r="F203" t="s">
        <v>14</v>
      </c>
      <c r="G203" t="s">
        <v>15</v>
      </c>
    </row>
    <row r="204" spans="1:7" x14ac:dyDescent="0.35">
      <c r="A204">
        <v>75</v>
      </c>
      <c r="B204" s="1">
        <v>45323</v>
      </c>
      <c r="C204" t="s">
        <v>12</v>
      </c>
      <c r="D204" s="2">
        <v>0</v>
      </c>
      <c r="E204" s="2">
        <v>87.4</v>
      </c>
      <c r="F204" t="s">
        <v>16</v>
      </c>
      <c r="G204" t="s">
        <v>17</v>
      </c>
    </row>
    <row r="205" spans="1:7" x14ac:dyDescent="0.35">
      <c r="A205">
        <v>76</v>
      </c>
      <c r="B205" s="1">
        <v>45323</v>
      </c>
      <c r="C205" t="s">
        <v>12</v>
      </c>
      <c r="D205" s="2">
        <v>6672.81</v>
      </c>
      <c r="E205" s="2">
        <v>0</v>
      </c>
      <c r="F205" t="s">
        <v>13</v>
      </c>
      <c r="G205" t="s">
        <v>9</v>
      </c>
    </row>
    <row r="206" spans="1:7" x14ac:dyDescent="0.35">
      <c r="A206">
        <v>76</v>
      </c>
      <c r="B206" s="1">
        <v>45323</v>
      </c>
      <c r="C206" t="s">
        <v>12</v>
      </c>
      <c r="D206" s="2">
        <v>0</v>
      </c>
      <c r="E206" s="2">
        <v>6207.27</v>
      </c>
      <c r="F206" t="s">
        <v>14</v>
      </c>
      <c r="G206" t="s">
        <v>15</v>
      </c>
    </row>
    <row r="207" spans="1:7" x14ac:dyDescent="0.35">
      <c r="A207">
        <v>76</v>
      </c>
      <c r="B207" s="1">
        <v>45323</v>
      </c>
      <c r="C207" t="s">
        <v>12</v>
      </c>
      <c r="D207" s="2">
        <v>0</v>
      </c>
      <c r="E207" s="2">
        <v>465.54</v>
      </c>
      <c r="F207" t="s">
        <v>16</v>
      </c>
      <c r="G207" t="s">
        <v>17</v>
      </c>
    </row>
    <row r="208" spans="1:7" x14ac:dyDescent="0.35">
      <c r="A208">
        <v>77</v>
      </c>
      <c r="B208" s="1">
        <v>45323</v>
      </c>
      <c r="C208" t="s">
        <v>12</v>
      </c>
      <c r="D208" s="2">
        <v>533.85</v>
      </c>
      <c r="E208" s="2">
        <v>0</v>
      </c>
      <c r="F208" t="s">
        <v>13</v>
      </c>
      <c r="G208" t="s">
        <v>9</v>
      </c>
    </row>
    <row r="209" spans="1:7" x14ac:dyDescent="0.35">
      <c r="A209">
        <v>77</v>
      </c>
      <c r="B209" s="1">
        <v>45323</v>
      </c>
      <c r="C209" t="s">
        <v>12</v>
      </c>
      <c r="D209" s="2">
        <v>0</v>
      </c>
      <c r="E209" s="2">
        <v>496.6</v>
      </c>
      <c r="F209" t="s">
        <v>14</v>
      </c>
      <c r="G209" t="s">
        <v>15</v>
      </c>
    </row>
    <row r="210" spans="1:7" x14ac:dyDescent="0.35">
      <c r="A210">
        <v>77</v>
      </c>
      <c r="B210" s="1">
        <v>45323</v>
      </c>
      <c r="C210" t="s">
        <v>12</v>
      </c>
      <c r="D210" s="2">
        <v>0</v>
      </c>
      <c r="E210" s="2">
        <v>37.25</v>
      </c>
      <c r="F210" t="s">
        <v>16</v>
      </c>
      <c r="G210" t="s">
        <v>17</v>
      </c>
    </row>
    <row r="211" spans="1:7" x14ac:dyDescent="0.35">
      <c r="A211">
        <v>78</v>
      </c>
      <c r="B211" s="1">
        <v>45323</v>
      </c>
      <c r="C211" t="s">
        <v>24</v>
      </c>
      <c r="D211" s="2">
        <v>2041.2</v>
      </c>
      <c r="E211" s="2">
        <v>0</v>
      </c>
      <c r="F211" t="s">
        <v>8</v>
      </c>
      <c r="G211" t="s">
        <v>9</v>
      </c>
    </row>
    <row r="212" spans="1:7" x14ac:dyDescent="0.35">
      <c r="A212">
        <v>78</v>
      </c>
      <c r="B212" s="1">
        <v>45323</v>
      </c>
      <c r="C212" t="s">
        <v>24</v>
      </c>
      <c r="D212" s="2">
        <v>0</v>
      </c>
      <c r="E212" s="2">
        <v>2041.2</v>
      </c>
      <c r="F212" t="s">
        <v>13</v>
      </c>
      <c r="G212" t="s">
        <v>9</v>
      </c>
    </row>
    <row r="213" spans="1:7" x14ac:dyDescent="0.35">
      <c r="A213">
        <v>79</v>
      </c>
      <c r="B213" s="1">
        <v>45323</v>
      </c>
      <c r="C213" t="s">
        <v>24</v>
      </c>
      <c r="D213" s="2">
        <v>1175.76</v>
      </c>
      <c r="E213" s="2">
        <v>0</v>
      </c>
      <c r="F213" t="s">
        <v>8</v>
      </c>
      <c r="G213" t="s">
        <v>9</v>
      </c>
    </row>
    <row r="214" spans="1:7" x14ac:dyDescent="0.35">
      <c r="A214">
        <v>79</v>
      </c>
      <c r="B214" s="1">
        <v>45323</v>
      </c>
      <c r="C214" t="s">
        <v>24</v>
      </c>
      <c r="D214" s="2">
        <v>0</v>
      </c>
      <c r="E214" s="2">
        <v>1175.76</v>
      </c>
      <c r="F214" t="s">
        <v>13</v>
      </c>
      <c r="G214" t="s">
        <v>9</v>
      </c>
    </row>
    <row r="215" spans="1:7" x14ac:dyDescent="0.35">
      <c r="A215">
        <v>80</v>
      </c>
      <c r="B215" s="1">
        <v>45323</v>
      </c>
      <c r="C215" t="s">
        <v>24</v>
      </c>
      <c r="D215" s="2">
        <v>1252.76</v>
      </c>
      <c r="E215" s="2">
        <v>0</v>
      </c>
      <c r="F215" t="s">
        <v>8</v>
      </c>
      <c r="G215" t="s">
        <v>9</v>
      </c>
    </row>
    <row r="216" spans="1:7" x14ac:dyDescent="0.35">
      <c r="A216">
        <v>80</v>
      </c>
      <c r="B216" s="1">
        <v>45323</v>
      </c>
      <c r="C216" t="s">
        <v>24</v>
      </c>
      <c r="D216" s="2">
        <v>0</v>
      </c>
      <c r="E216" s="2">
        <v>1252.76</v>
      </c>
      <c r="F216" t="s">
        <v>13</v>
      </c>
      <c r="G216" t="s">
        <v>9</v>
      </c>
    </row>
    <row r="217" spans="1:7" x14ac:dyDescent="0.35">
      <c r="A217">
        <v>81</v>
      </c>
      <c r="B217" s="1">
        <v>45323</v>
      </c>
      <c r="C217" t="s">
        <v>24</v>
      </c>
      <c r="D217" s="2">
        <v>6672.81</v>
      </c>
      <c r="E217" s="2">
        <v>0</v>
      </c>
      <c r="F217" t="s">
        <v>8</v>
      </c>
      <c r="G217" t="s">
        <v>9</v>
      </c>
    </row>
    <row r="218" spans="1:7" x14ac:dyDescent="0.35">
      <c r="A218">
        <v>81</v>
      </c>
      <c r="B218" s="1">
        <v>45323</v>
      </c>
      <c r="C218" t="s">
        <v>24</v>
      </c>
      <c r="D218" s="2">
        <v>0</v>
      </c>
      <c r="E218" s="2">
        <v>6672.81</v>
      </c>
      <c r="F218" t="s">
        <v>13</v>
      </c>
      <c r="G218" t="s">
        <v>9</v>
      </c>
    </row>
    <row r="219" spans="1:7" x14ac:dyDescent="0.35">
      <c r="A219">
        <v>82</v>
      </c>
      <c r="B219" s="1">
        <v>45324</v>
      </c>
      <c r="C219" t="s">
        <v>12</v>
      </c>
      <c r="D219" s="2">
        <v>1071.5999999999999</v>
      </c>
      <c r="E219" s="2">
        <v>0</v>
      </c>
      <c r="F219" t="s">
        <v>13</v>
      </c>
      <c r="G219" t="s">
        <v>9</v>
      </c>
    </row>
    <row r="220" spans="1:7" x14ac:dyDescent="0.35">
      <c r="A220">
        <v>82</v>
      </c>
      <c r="B220" s="1">
        <v>45324</v>
      </c>
      <c r="C220" t="s">
        <v>12</v>
      </c>
      <c r="D220" s="2">
        <v>0</v>
      </c>
      <c r="E220" s="2">
        <v>996.83</v>
      </c>
      <c r="F220" t="s">
        <v>14</v>
      </c>
      <c r="G220" t="s">
        <v>15</v>
      </c>
    </row>
    <row r="221" spans="1:7" x14ac:dyDescent="0.35">
      <c r="A221">
        <v>82</v>
      </c>
      <c r="B221" s="1">
        <v>45324</v>
      </c>
      <c r="C221" t="s">
        <v>12</v>
      </c>
      <c r="D221" s="2">
        <v>0</v>
      </c>
      <c r="E221" s="2">
        <v>74.77</v>
      </c>
      <c r="F221" t="s">
        <v>16</v>
      </c>
      <c r="G221" t="s">
        <v>17</v>
      </c>
    </row>
    <row r="222" spans="1:7" x14ac:dyDescent="0.35">
      <c r="A222">
        <v>83</v>
      </c>
      <c r="B222" s="1">
        <v>45324</v>
      </c>
      <c r="C222" t="s">
        <v>24</v>
      </c>
      <c r="D222" s="2">
        <v>1879.76</v>
      </c>
      <c r="E222" s="2">
        <v>0</v>
      </c>
      <c r="F222" t="s">
        <v>8</v>
      </c>
      <c r="G222" t="s">
        <v>9</v>
      </c>
    </row>
    <row r="223" spans="1:7" x14ac:dyDescent="0.35">
      <c r="A223">
        <v>83</v>
      </c>
      <c r="B223" s="1">
        <v>45324</v>
      </c>
      <c r="C223" t="s">
        <v>24</v>
      </c>
      <c r="D223" s="2">
        <v>0</v>
      </c>
      <c r="E223" s="2">
        <v>1879.76</v>
      </c>
      <c r="F223" t="s">
        <v>13</v>
      </c>
      <c r="G223" t="s">
        <v>9</v>
      </c>
    </row>
    <row r="224" spans="1:7" x14ac:dyDescent="0.35">
      <c r="A224">
        <v>84</v>
      </c>
      <c r="B224" s="1">
        <v>45327</v>
      </c>
      <c r="C224" t="s">
        <v>12</v>
      </c>
      <c r="D224" s="2">
        <v>1488.92</v>
      </c>
      <c r="E224" s="2">
        <v>0</v>
      </c>
      <c r="F224" t="s">
        <v>13</v>
      </c>
      <c r="G224" t="s">
        <v>9</v>
      </c>
    </row>
    <row r="225" spans="1:7" x14ac:dyDescent="0.35">
      <c r="A225">
        <v>84</v>
      </c>
      <c r="B225" s="1">
        <v>45327</v>
      </c>
      <c r="C225" t="s">
        <v>12</v>
      </c>
      <c r="D225" s="2">
        <v>0</v>
      </c>
      <c r="E225" s="2">
        <v>1385.04</v>
      </c>
      <c r="F225" t="s">
        <v>14</v>
      </c>
      <c r="G225" t="s">
        <v>15</v>
      </c>
    </row>
    <row r="226" spans="1:7" x14ac:dyDescent="0.35">
      <c r="A226">
        <v>84</v>
      </c>
      <c r="B226" s="1">
        <v>45327</v>
      </c>
      <c r="C226" t="s">
        <v>12</v>
      </c>
      <c r="D226" s="2">
        <v>0</v>
      </c>
      <c r="E226" s="2">
        <v>103.88</v>
      </c>
      <c r="F226" t="s">
        <v>16</v>
      </c>
      <c r="G226" t="s">
        <v>17</v>
      </c>
    </row>
    <row r="227" spans="1:7" x14ac:dyDescent="0.35">
      <c r="A227">
        <v>85</v>
      </c>
      <c r="B227" s="1">
        <v>45327</v>
      </c>
      <c r="C227" t="s">
        <v>24</v>
      </c>
      <c r="D227" s="2">
        <v>5674.46</v>
      </c>
      <c r="E227" s="2">
        <v>0</v>
      </c>
      <c r="F227" t="s">
        <v>8</v>
      </c>
      <c r="G227" t="s">
        <v>9</v>
      </c>
    </row>
    <row r="228" spans="1:7" x14ac:dyDescent="0.35">
      <c r="A228">
        <v>85</v>
      </c>
      <c r="B228" s="1">
        <v>45327</v>
      </c>
      <c r="C228" t="s">
        <v>24</v>
      </c>
      <c r="D228" s="2">
        <v>0</v>
      </c>
      <c r="E228" s="2">
        <v>5674.46</v>
      </c>
      <c r="F228" t="s">
        <v>13</v>
      </c>
      <c r="G228" t="s">
        <v>9</v>
      </c>
    </row>
    <row r="229" spans="1:7" x14ac:dyDescent="0.35">
      <c r="A229">
        <v>86</v>
      </c>
      <c r="B229" s="1">
        <v>45327</v>
      </c>
      <c r="C229" t="s">
        <v>24</v>
      </c>
      <c r="D229" s="2">
        <v>1073.4100000000001</v>
      </c>
      <c r="E229" s="2">
        <v>0</v>
      </c>
      <c r="F229" t="s">
        <v>8</v>
      </c>
      <c r="G229" t="s">
        <v>9</v>
      </c>
    </row>
    <row r="230" spans="1:7" x14ac:dyDescent="0.35">
      <c r="A230">
        <v>86</v>
      </c>
      <c r="B230" s="1">
        <v>45327</v>
      </c>
      <c r="C230" t="s">
        <v>24</v>
      </c>
      <c r="D230" s="2">
        <v>0</v>
      </c>
      <c r="E230" s="2">
        <v>1073.4100000000001</v>
      </c>
      <c r="F230" t="s">
        <v>13</v>
      </c>
      <c r="G230" t="s">
        <v>9</v>
      </c>
    </row>
    <row r="231" spans="1:7" x14ac:dyDescent="0.35">
      <c r="A231">
        <v>87</v>
      </c>
      <c r="B231" s="1">
        <v>45327</v>
      </c>
      <c r="C231" t="s">
        <v>24</v>
      </c>
      <c r="D231" s="2">
        <v>774.84</v>
      </c>
      <c r="E231" s="2">
        <v>0</v>
      </c>
      <c r="F231" t="s">
        <v>8</v>
      </c>
      <c r="G231" t="s">
        <v>9</v>
      </c>
    </row>
    <row r="232" spans="1:7" x14ac:dyDescent="0.35">
      <c r="A232">
        <v>87</v>
      </c>
      <c r="B232" s="1">
        <v>45327</v>
      </c>
      <c r="C232" t="s">
        <v>24</v>
      </c>
      <c r="D232" s="2">
        <v>0</v>
      </c>
      <c r="E232" s="2">
        <v>774.84</v>
      </c>
      <c r="F232" t="s">
        <v>13</v>
      </c>
      <c r="G232" t="s">
        <v>9</v>
      </c>
    </row>
    <row r="233" spans="1:7" x14ac:dyDescent="0.35">
      <c r="A233">
        <v>88</v>
      </c>
      <c r="B233" s="1">
        <v>45328</v>
      </c>
      <c r="C233" t="s">
        <v>12</v>
      </c>
      <c r="D233" s="2">
        <v>3595.63</v>
      </c>
      <c r="E233" s="2">
        <v>0</v>
      </c>
      <c r="F233" t="s">
        <v>13</v>
      </c>
      <c r="G233" t="s">
        <v>9</v>
      </c>
    </row>
    <row r="234" spans="1:7" x14ac:dyDescent="0.35">
      <c r="A234">
        <v>88</v>
      </c>
      <c r="B234" s="1">
        <v>45328</v>
      </c>
      <c r="C234" t="s">
        <v>12</v>
      </c>
      <c r="D234" s="2">
        <v>0</v>
      </c>
      <c r="E234" s="2">
        <v>3344.77</v>
      </c>
      <c r="F234" t="s">
        <v>14</v>
      </c>
      <c r="G234" t="s">
        <v>15</v>
      </c>
    </row>
    <row r="235" spans="1:7" x14ac:dyDescent="0.35">
      <c r="A235">
        <v>88</v>
      </c>
      <c r="B235" s="1">
        <v>45328</v>
      </c>
      <c r="C235" t="s">
        <v>12</v>
      </c>
      <c r="D235" s="2">
        <v>0</v>
      </c>
      <c r="E235" s="2">
        <v>250.86</v>
      </c>
      <c r="F235" t="s">
        <v>16</v>
      </c>
      <c r="G235" t="s">
        <v>17</v>
      </c>
    </row>
    <row r="236" spans="1:7" x14ac:dyDescent="0.35">
      <c r="A236">
        <v>89</v>
      </c>
      <c r="B236" s="1">
        <v>45328</v>
      </c>
      <c r="C236" t="s">
        <v>12</v>
      </c>
      <c r="D236" s="2">
        <v>324.32</v>
      </c>
      <c r="E236" s="2">
        <v>0</v>
      </c>
      <c r="F236" t="s">
        <v>13</v>
      </c>
      <c r="G236" t="s">
        <v>9</v>
      </c>
    </row>
    <row r="237" spans="1:7" x14ac:dyDescent="0.35">
      <c r="A237">
        <v>89</v>
      </c>
      <c r="B237" s="1">
        <v>45328</v>
      </c>
      <c r="C237" t="s">
        <v>12</v>
      </c>
      <c r="D237" s="2">
        <v>0</v>
      </c>
      <c r="E237" s="2">
        <v>301.69</v>
      </c>
      <c r="F237" t="s">
        <v>14</v>
      </c>
      <c r="G237" t="s">
        <v>15</v>
      </c>
    </row>
    <row r="238" spans="1:7" x14ac:dyDescent="0.35">
      <c r="A238">
        <v>89</v>
      </c>
      <c r="B238" s="1">
        <v>45328</v>
      </c>
      <c r="C238" t="s">
        <v>12</v>
      </c>
      <c r="D238" s="2">
        <v>0</v>
      </c>
      <c r="E238" s="2">
        <v>22.63</v>
      </c>
      <c r="F238" t="s">
        <v>16</v>
      </c>
      <c r="G238" t="s">
        <v>17</v>
      </c>
    </row>
    <row r="239" spans="1:7" x14ac:dyDescent="0.35">
      <c r="A239">
        <v>90</v>
      </c>
      <c r="B239" s="1">
        <v>45328</v>
      </c>
      <c r="C239" t="s">
        <v>24</v>
      </c>
      <c r="D239" s="2">
        <v>1202.28</v>
      </c>
      <c r="E239" s="2">
        <v>0</v>
      </c>
      <c r="F239" t="s">
        <v>8</v>
      </c>
      <c r="G239" t="s">
        <v>9</v>
      </c>
    </row>
    <row r="240" spans="1:7" x14ac:dyDescent="0.35">
      <c r="A240">
        <v>90</v>
      </c>
      <c r="B240" s="1">
        <v>45328</v>
      </c>
      <c r="C240" t="s">
        <v>24</v>
      </c>
      <c r="D240" s="2">
        <v>0</v>
      </c>
      <c r="E240" s="2">
        <v>1202.28</v>
      </c>
      <c r="F240" t="s">
        <v>13</v>
      </c>
      <c r="G240" t="s">
        <v>9</v>
      </c>
    </row>
    <row r="241" spans="1:7" x14ac:dyDescent="0.35">
      <c r="A241">
        <v>91</v>
      </c>
      <c r="B241" s="1">
        <v>45329</v>
      </c>
      <c r="C241" t="s">
        <v>12</v>
      </c>
      <c r="D241" s="2">
        <v>3586.77</v>
      </c>
      <c r="E241" s="2">
        <v>0</v>
      </c>
      <c r="F241" t="s">
        <v>13</v>
      </c>
      <c r="G241" t="s">
        <v>9</v>
      </c>
    </row>
    <row r="242" spans="1:7" x14ac:dyDescent="0.35">
      <c r="A242">
        <v>91</v>
      </c>
      <c r="B242" s="1">
        <v>45329</v>
      </c>
      <c r="C242" t="s">
        <v>12</v>
      </c>
      <c r="D242" s="2">
        <v>0</v>
      </c>
      <c r="E242" s="2">
        <v>3336.53</v>
      </c>
      <c r="F242" t="s">
        <v>14</v>
      </c>
      <c r="G242" t="s">
        <v>15</v>
      </c>
    </row>
    <row r="243" spans="1:7" x14ac:dyDescent="0.35">
      <c r="A243">
        <v>91</v>
      </c>
      <c r="B243" s="1">
        <v>45329</v>
      </c>
      <c r="C243" t="s">
        <v>12</v>
      </c>
      <c r="D243" s="2">
        <v>0</v>
      </c>
      <c r="E243" s="2">
        <v>250.24</v>
      </c>
      <c r="F243" t="s">
        <v>16</v>
      </c>
      <c r="G243" t="s">
        <v>17</v>
      </c>
    </row>
    <row r="244" spans="1:7" x14ac:dyDescent="0.35">
      <c r="A244">
        <v>92</v>
      </c>
      <c r="B244" s="1">
        <v>45329</v>
      </c>
      <c r="C244" t="s">
        <v>24</v>
      </c>
      <c r="D244" s="2">
        <v>494.99</v>
      </c>
      <c r="E244" s="2">
        <v>0</v>
      </c>
      <c r="F244" t="s">
        <v>8</v>
      </c>
      <c r="G244" t="s">
        <v>9</v>
      </c>
    </row>
    <row r="245" spans="1:7" x14ac:dyDescent="0.35">
      <c r="A245">
        <v>92</v>
      </c>
      <c r="B245" s="1">
        <v>45329</v>
      </c>
      <c r="C245" t="s">
        <v>24</v>
      </c>
      <c r="D245" s="2">
        <v>0</v>
      </c>
      <c r="E245" s="2">
        <v>494.99</v>
      </c>
      <c r="F245" t="s">
        <v>13</v>
      </c>
      <c r="G245" t="s">
        <v>9</v>
      </c>
    </row>
    <row r="246" spans="1:7" x14ac:dyDescent="0.35">
      <c r="A246">
        <v>93</v>
      </c>
      <c r="B246" s="1">
        <v>45329</v>
      </c>
      <c r="C246" t="s">
        <v>29</v>
      </c>
      <c r="D246" s="2">
        <v>9336.67</v>
      </c>
      <c r="E246" s="2">
        <v>0</v>
      </c>
      <c r="F246" t="s">
        <v>28</v>
      </c>
      <c r="G246" t="s">
        <v>17</v>
      </c>
    </row>
    <row r="247" spans="1:7" x14ac:dyDescent="0.35">
      <c r="A247">
        <v>93</v>
      </c>
      <c r="B247" s="1">
        <v>45329</v>
      </c>
      <c r="C247" t="s">
        <v>29</v>
      </c>
      <c r="D247" s="2">
        <v>0</v>
      </c>
      <c r="E247" s="2">
        <v>9336.67</v>
      </c>
      <c r="F247" t="s">
        <v>8</v>
      </c>
      <c r="G247" t="s">
        <v>9</v>
      </c>
    </row>
    <row r="248" spans="1:7" x14ac:dyDescent="0.35">
      <c r="A248">
        <v>94</v>
      </c>
      <c r="B248" s="1">
        <v>45330</v>
      </c>
      <c r="C248" t="s">
        <v>12</v>
      </c>
      <c r="D248" s="2">
        <v>578.66999999999996</v>
      </c>
      <c r="E248" s="2">
        <v>0</v>
      </c>
      <c r="F248" t="s">
        <v>13</v>
      </c>
      <c r="G248" t="s">
        <v>9</v>
      </c>
    </row>
    <row r="249" spans="1:7" x14ac:dyDescent="0.35">
      <c r="A249">
        <v>94</v>
      </c>
      <c r="B249" s="1">
        <v>45330</v>
      </c>
      <c r="C249" t="s">
        <v>12</v>
      </c>
      <c r="D249" s="2">
        <v>0</v>
      </c>
      <c r="E249" s="2">
        <v>538.29999999999995</v>
      </c>
      <c r="F249" t="s">
        <v>14</v>
      </c>
      <c r="G249" t="s">
        <v>15</v>
      </c>
    </row>
    <row r="250" spans="1:7" x14ac:dyDescent="0.35">
      <c r="A250">
        <v>94</v>
      </c>
      <c r="B250" s="1">
        <v>45330</v>
      </c>
      <c r="C250" t="s">
        <v>12</v>
      </c>
      <c r="D250" s="2">
        <v>0</v>
      </c>
      <c r="E250" s="2">
        <v>40.369999999999997</v>
      </c>
      <c r="F250" t="s">
        <v>16</v>
      </c>
      <c r="G250" t="s">
        <v>17</v>
      </c>
    </row>
    <row r="251" spans="1:7" x14ac:dyDescent="0.35">
      <c r="A251">
        <v>95</v>
      </c>
      <c r="B251" s="1">
        <v>45330</v>
      </c>
      <c r="C251" t="s">
        <v>12</v>
      </c>
      <c r="D251" s="2">
        <v>444.06</v>
      </c>
      <c r="E251" s="2">
        <v>0</v>
      </c>
      <c r="F251" t="s">
        <v>13</v>
      </c>
      <c r="G251" t="s">
        <v>9</v>
      </c>
    </row>
    <row r="252" spans="1:7" x14ac:dyDescent="0.35">
      <c r="A252">
        <v>95</v>
      </c>
      <c r="B252" s="1">
        <v>45330</v>
      </c>
      <c r="C252" t="s">
        <v>12</v>
      </c>
      <c r="D252" s="2">
        <v>0</v>
      </c>
      <c r="E252" s="2">
        <v>413.08</v>
      </c>
      <c r="F252" t="s">
        <v>14</v>
      </c>
      <c r="G252" t="s">
        <v>15</v>
      </c>
    </row>
    <row r="253" spans="1:7" x14ac:dyDescent="0.35">
      <c r="A253">
        <v>95</v>
      </c>
      <c r="B253" s="1">
        <v>45330</v>
      </c>
      <c r="C253" t="s">
        <v>12</v>
      </c>
      <c r="D253" s="2">
        <v>0</v>
      </c>
      <c r="E253" s="2">
        <v>30.98</v>
      </c>
      <c r="F253" t="s">
        <v>16</v>
      </c>
      <c r="G253" t="s">
        <v>17</v>
      </c>
    </row>
    <row r="254" spans="1:7" x14ac:dyDescent="0.35">
      <c r="A254">
        <v>96</v>
      </c>
      <c r="B254" s="1">
        <v>45331</v>
      </c>
      <c r="C254" t="s">
        <v>24</v>
      </c>
      <c r="D254" s="2">
        <v>1531.7</v>
      </c>
      <c r="E254" s="2">
        <v>0</v>
      </c>
      <c r="F254" t="s">
        <v>8</v>
      </c>
      <c r="G254" t="s">
        <v>9</v>
      </c>
    </row>
    <row r="255" spans="1:7" x14ac:dyDescent="0.35">
      <c r="A255">
        <v>96</v>
      </c>
      <c r="B255" s="1">
        <v>45331</v>
      </c>
      <c r="C255" t="s">
        <v>24</v>
      </c>
      <c r="D255" s="2">
        <v>0</v>
      </c>
      <c r="E255" s="2">
        <v>1531.7</v>
      </c>
      <c r="F255" t="s">
        <v>13</v>
      </c>
      <c r="G255" t="s">
        <v>9</v>
      </c>
    </row>
    <row r="256" spans="1:7" x14ac:dyDescent="0.35">
      <c r="A256">
        <v>97</v>
      </c>
      <c r="B256" s="1">
        <v>45334</v>
      </c>
      <c r="C256" t="s">
        <v>12</v>
      </c>
      <c r="D256" s="2">
        <v>670.59</v>
      </c>
      <c r="E256" s="2">
        <v>0</v>
      </c>
      <c r="F256" t="s">
        <v>13</v>
      </c>
      <c r="G256" t="s">
        <v>9</v>
      </c>
    </row>
    <row r="257" spans="1:7" x14ac:dyDescent="0.35">
      <c r="A257">
        <v>97</v>
      </c>
      <c r="B257" s="1">
        <v>45334</v>
      </c>
      <c r="C257" t="s">
        <v>12</v>
      </c>
      <c r="D257" s="2">
        <v>0</v>
      </c>
      <c r="E257" s="2">
        <v>623.79999999999995</v>
      </c>
      <c r="F257" t="s">
        <v>14</v>
      </c>
      <c r="G257" t="s">
        <v>15</v>
      </c>
    </row>
    <row r="258" spans="1:7" x14ac:dyDescent="0.35">
      <c r="A258">
        <v>97</v>
      </c>
      <c r="B258" s="1">
        <v>45334</v>
      </c>
      <c r="C258" t="s">
        <v>12</v>
      </c>
      <c r="D258" s="2">
        <v>0</v>
      </c>
      <c r="E258" s="2">
        <v>46.79</v>
      </c>
      <c r="F258" t="s">
        <v>16</v>
      </c>
      <c r="G258" t="s">
        <v>17</v>
      </c>
    </row>
    <row r="259" spans="1:7" x14ac:dyDescent="0.35">
      <c r="A259">
        <v>98</v>
      </c>
      <c r="B259" s="1">
        <v>45334</v>
      </c>
      <c r="C259" t="s">
        <v>12</v>
      </c>
      <c r="D259" s="2">
        <v>1722.42</v>
      </c>
      <c r="E259" s="2">
        <v>0</v>
      </c>
      <c r="F259" t="s">
        <v>13</v>
      </c>
      <c r="G259" t="s">
        <v>9</v>
      </c>
    </row>
    <row r="260" spans="1:7" x14ac:dyDescent="0.35">
      <c r="A260">
        <v>98</v>
      </c>
      <c r="B260" s="1">
        <v>45334</v>
      </c>
      <c r="C260" t="s">
        <v>12</v>
      </c>
      <c r="D260" s="2">
        <v>0</v>
      </c>
      <c r="E260" s="2">
        <v>1602.26</v>
      </c>
      <c r="F260" t="s">
        <v>14</v>
      </c>
      <c r="G260" t="s">
        <v>15</v>
      </c>
    </row>
    <row r="261" spans="1:7" x14ac:dyDescent="0.35">
      <c r="A261">
        <v>98</v>
      </c>
      <c r="B261" s="1">
        <v>45334</v>
      </c>
      <c r="C261" t="s">
        <v>12</v>
      </c>
      <c r="D261" s="2">
        <v>0</v>
      </c>
      <c r="E261" s="2">
        <v>120.16</v>
      </c>
      <c r="F261" t="s">
        <v>16</v>
      </c>
      <c r="G261" t="s">
        <v>17</v>
      </c>
    </row>
    <row r="262" spans="1:7" x14ac:dyDescent="0.35">
      <c r="A262">
        <v>99</v>
      </c>
      <c r="B262" s="1">
        <v>45334</v>
      </c>
      <c r="C262" t="s">
        <v>12</v>
      </c>
      <c r="D262" s="2">
        <v>564.67999999999995</v>
      </c>
      <c r="E262" s="2">
        <v>0</v>
      </c>
      <c r="F262" t="s">
        <v>13</v>
      </c>
      <c r="G262" t="s">
        <v>9</v>
      </c>
    </row>
    <row r="263" spans="1:7" x14ac:dyDescent="0.35">
      <c r="A263">
        <v>99</v>
      </c>
      <c r="B263" s="1">
        <v>45334</v>
      </c>
      <c r="C263" t="s">
        <v>12</v>
      </c>
      <c r="D263" s="2">
        <v>0</v>
      </c>
      <c r="E263" s="2">
        <v>525.28</v>
      </c>
      <c r="F263" t="s">
        <v>14</v>
      </c>
      <c r="G263" t="s">
        <v>15</v>
      </c>
    </row>
    <row r="264" spans="1:7" x14ac:dyDescent="0.35">
      <c r="A264">
        <v>99</v>
      </c>
      <c r="B264" s="1">
        <v>45334</v>
      </c>
      <c r="C264" t="s">
        <v>12</v>
      </c>
      <c r="D264" s="2">
        <v>0</v>
      </c>
      <c r="E264" s="2">
        <v>39.4</v>
      </c>
      <c r="F264" t="s">
        <v>16</v>
      </c>
      <c r="G264" t="s">
        <v>17</v>
      </c>
    </row>
    <row r="265" spans="1:7" x14ac:dyDescent="0.35">
      <c r="A265">
        <v>100</v>
      </c>
      <c r="B265" s="1">
        <v>45334</v>
      </c>
      <c r="C265" t="s">
        <v>25</v>
      </c>
      <c r="D265" s="2">
        <v>2030.15</v>
      </c>
      <c r="E265" s="2">
        <v>0</v>
      </c>
      <c r="F265" t="s">
        <v>26</v>
      </c>
      <c r="G265" t="s">
        <v>20</v>
      </c>
    </row>
    <row r="266" spans="1:7" x14ac:dyDescent="0.35">
      <c r="A266">
        <v>100</v>
      </c>
      <c r="B266" s="1">
        <v>45334</v>
      </c>
      <c r="C266" t="s">
        <v>25</v>
      </c>
      <c r="D266" s="2">
        <v>152.26</v>
      </c>
      <c r="E266" s="2">
        <v>0</v>
      </c>
      <c r="F266" t="s">
        <v>27</v>
      </c>
      <c r="G266" t="s">
        <v>9</v>
      </c>
    </row>
    <row r="267" spans="1:7" x14ac:dyDescent="0.35">
      <c r="A267">
        <v>100</v>
      </c>
      <c r="B267" s="1">
        <v>45334</v>
      </c>
      <c r="C267" t="s">
        <v>25</v>
      </c>
      <c r="D267" s="2">
        <v>0</v>
      </c>
      <c r="E267" s="2">
        <v>2182.41</v>
      </c>
      <c r="F267" t="s">
        <v>28</v>
      </c>
      <c r="G267" t="s">
        <v>17</v>
      </c>
    </row>
    <row r="268" spans="1:7" x14ac:dyDescent="0.35">
      <c r="A268">
        <v>101</v>
      </c>
      <c r="B268" s="1">
        <v>45334</v>
      </c>
      <c r="C268" t="s">
        <v>29</v>
      </c>
      <c r="D268" s="2">
        <v>2918.17</v>
      </c>
      <c r="E268" s="2">
        <v>0</v>
      </c>
      <c r="F268" t="s">
        <v>28</v>
      </c>
      <c r="G268" t="s">
        <v>17</v>
      </c>
    </row>
    <row r="269" spans="1:7" x14ac:dyDescent="0.35">
      <c r="A269">
        <v>101</v>
      </c>
      <c r="B269" s="1">
        <v>45334</v>
      </c>
      <c r="C269" t="s">
        <v>29</v>
      </c>
      <c r="D269" s="2">
        <v>0</v>
      </c>
      <c r="E269" s="2">
        <v>2918.17</v>
      </c>
      <c r="F269" t="s">
        <v>8</v>
      </c>
      <c r="G269" t="s">
        <v>9</v>
      </c>
    </row>
    <row r="270" spans="1:7" x14ac:dyDescent="0.35">
      <c r="A270">
        <v>102</v>
      </c>
      <c r="B270" s="1">
        <v>45335</v>
      </c>
      <c r="C270" t="s">
        <v>12</v>
      </c>
      <c r="D270" s="2">
        <v>2318.94</v>
      </c>
      <c r="E270" s="2">
        <v>0</v>
      </c>
      <c r="F270" t="s">
        <v>13</v>
      </c>
      <c r="G270" t="s">
        <v>9</v>
      </c>
    </row>
    <row r="271" spans="1:7" x14ac:dyDescent="0.35">
      <c r="A271">
        <v>102</v>
      </c>
      <c r="B271" s="1">
        <v>45335</v>
      </c>
      <c r="C271" t="s">
        <v>12</v>
      </c>
      <c r="D271" s="2">
        <v>0</v>
      </c>
      <c r="E271" s="2">
        <v>2157.15</v>
      </c>
      <c r="F271" t="s">
        <v>14</v>
      </c>
      <c r="G271" t="s">
        <v>15</v>
      </c>
    </row>
    <row r="272" spans="1:7" x14ac:dyDescent="0.35">
      <c r="A272">
        <v>102</v>
      </c>
      <c r="B272" s="1">
        <v>45335</v>
      </c>
      <c r="C272" t="s">
        <v>12</v>
      </c>
      <c r="D272" s="2">
        <v>0</v>
      </c>
      <c r="E272" s="2">
        <v>161.79</v>
      </c>
      <c r="F272" t="s">
        <v>16</v>
      </c>
      <c r="G272" t="s">
        <v>17</v>
      </c>
    </row>
    <row r="273" spans="1:7" x14ac:dyDescent="0.35">
      <c r="A273">
        <v>103</v>
      </c>
      <c r="B273" s="1">
        <v>45335</v>
      </c>
      <c r="C273" t="s">
        <v>12</v>
      </c>
      <c r="D273" s="2">
        <v>42.09</v>
      </c>
      <c r="E273" s="2">
        <v>0</v>
      </c>
      <c r="F273" t="s">
        <v>13</v>
      </c>
      <c r="G273" t="s">
        <v>9</v>
      </c>
    </row>
    <row r="274" spans="1:7" x14ac:dyDescent="0.35">
      <c r="A274">
        <v>103</v>
      </c>
      <c r="B274" s="1">
        <v>45335</v>
      </c>
      <c r="C274" t="s">
        <v>12</v>
      </c>
      <c r="D274" s="2">
        <v>0</v>
      </c>
      <c r="E274" s="2">
        <v>39.15</v>
      </c>
      <c r="F274" t="s">
        <v>14</v>
      </c>
      <c r="G274" t="s">
        <v>15</v>
      </c>
    </row>
    <row r="275" spans="1:7" x14ac:dyDescent="0.35">
      <c r="A275">
        <v>103</v>
      </c>
      <c r="B275" s="1">
        <v>45335</v>
      </c>
      <c r="C275" t="s">
        <v>12</v>
      </c>
      <c r="D275" s="2">
        <v>0</v>
      </c>
      <c r="E275" s="2">
        <v>2.94</v>
      </c>
      <c r="F275" t="s">
        <v>16</v>
      </c>
      <c r="G275" t="s">
        <v>17</v>
      </c>
    </row>
    <row r="276" spans="1:7" x14ac:dyDescent="0.35">
      <c r="A276">
        <v>104</v>
      </c>
      <c r="B276" s="1">
        <v>45335</v>
      </c>
      <c r="C276" t="s">
        <v>25</v>
      </c>
      <c r="D276" s="2">
        <v>1643.22</v>
      </c>
      <c r="E276" s="2">
        <v>0</v>
      </c>
      <c r="F276" t="s">
        <v>26</v>
      </c>
      <c r="G276" t="s">
        <v>20</v>
      </c>
    </row>
    <row r="277" spans="1:7" x14ac:dyDescent="0.35">
      <c r="A277">
        <v>104</v>
      </c>
      <c r="B277" s="1">
        <v>45335</v>
      </c>
      <c r="C277" t="s">
        <v>25</v>
      </c>
      <c r="D277" s="2">
        <v>123.24</v>
      </c>
      <c r="E277" s="2">
        <v>0</v>
      </c>
      <c r="F277" t="s">
        <v>27</v>
      </c>
      <c r="G277" t="s">
        <v>9</v>
      </c>
    </row>
    <row r="278" spans="1:7" x14ac:dyDescent="0.35">
      <c r="A278">
        <v>104</v>
      </c>
      <c r="B278" s="1">
        <v>45335</v>
      </c>
      <c r="C278" t="s">
        <v>25</v>
      </c>
      <c r="D278" s="2">
        <v>0</v>
      </c>
      <c r="E278" s="2">
        <v>1766.46</v>
      </c>
      <c r="F278" t="s">
        <v>28</v>
      </c>
      <c r="G278" t="s">
        <v>17</v>
      </c>
    </row>
    <row r="279" spans="1:7" x14ac:dyDescent="0.35">
      <c r="A279">
        <v>105</v>
      </c>
      <c r="B279" s="1">
        <v>45335</v>
      </c>
      <c r="C279" t="s">
        <v>29</v>
      </c>
      <c r="D279" s="2">
        <v>2182.41</v>
      </c>
      <c r="E279" s="2">
        <v>0</v>
      </c>
      <c r="F279" t="s">
        <v>28</v>
      </c>
      <c r="G279" t="s">
        <v>17</v>
      </c>
    </row>
    <row r="280" spans="1:7" x14ac:dyDescent="0.35">
      <c r="A280">
        <v>105</v>
      </c>
      <c r="B280" s="1">
        <v>45335</v>
      </c>
      <c r="C280" t="s">
        <v>29</v>
      </c>
      <c r="D280" s="2">
        <v>0</v>
      </c>
      <c r="E280" s="2">
        <v>2182.41</v>
      </c>
      <c r="F280" t="s">
        <v>8</v>
      </c>
      <c r="G280" t="s">
        <v>9</v>
      </c>
    </row>
    <row r="281" spans="1:7" x14ac:dyDescent="0.35">
      <c r="A281">
        <v>106</v>
      </c>
      <c r="B281" s="1">
        <v>45336</v>
      </c>
      <c r="C281" t="s">
        <v>12</v>
      </c>
      <c r="D281" s="2">
        <v>677.83</v>
      </c>
      <c r="E281" s="2">
        <v>0</v>
      </c>
      <c r="F281" t="s">
        <v>13</v>
      </c>
      <c r="G281" t="s">
        <v>9</v>
      </c>
    </row>
    <row r="282" spans="1:7" x14ac:dyDescent="0.35">
      <c r="A282">
        <v>106</v>
      </c>
      <c r="B282" s="1">
        <v>45336</v>
      </c>
      <c r="C282" t="s">
        <v>12</v>
      </c>
      <c r="D282" s="2">
        <v>0</v>
      </c>
      <c r="E282" s="2">
        <v>630.53</v>
      </c>
      <c r="F282" t="s">
        <v>14</v>
      </c>
      <c r="G282" t="s">
        <v>15</v>
      </c>
    </row>
    <row r="283" spans="1:7" x14ac:dyDescent="0.35">
      <c r="A283">
        <v>106</v>
      </c>
      <c r="B283" s="1">
        <v>45336</v>
      </c>
      <c r="C283" t="s">
        <v>12</v>
      </c>
      <c r="D283" s="2">
        <v>0</v>
      </c>
      <c r="E283" s="2">
        <v>47.3</v>
      </c>
      <c r="F283" t="s">
        <v>16</v>
      </c>
      <c r="G283" t="s">
        <v>17</v>
      </c>
    </row>
    <row r="284" spans="1:7" x14ac:dyDescent="0.35">
      <c r="A284">
        <v>107</v>
      </c>
      <c r="B284" s="1">
        <v>45336</v>
      </c>
      <c r="C284" t="s">
        <v>12</v>
      </c>
      <c r="D284" s="2">
        <v>1193.48</v>
      </c>
      <c r="E284" s="2">
        <v>0</v>
      </c>
      <c r="F284" t="s">
        <v>13</v>
      </c>
      <c r="G284" t="s">
        <v>9</v>
      </c>
    </row>
    <row r="285" spans="1:7" x14ac:dyDescent="0.35">
      <c r="A285">
        <v>107</v>
      </c>
      <c r="B285" s="1">
        <v>45336</v>
      </c>
      <c r="C285" t="s">
        <v>12</v>
      </c>
      <c r="D285" s="2">
        <v>0</v>
      </c>
      <c r="E285" s="2">
        <v>1110.21</v>
      </c>
      <c r="F285" t="s">
        <v>14</v>
      </c>
      <c r="G285" t="s">
        <v>15</v>
      </c>
    </row>
    <row r="286" spans="1:7" x14ac:dyDescent="0.35">
      <c r="A286">
        <v>107</v>
      </c>
      <c r="B286" s="1">
        <v>45336</v>
      </c>
      <c r="C286" t="s">
        <v>12</v>
      </c>
      <c r="D286" s="2">
        <v>0</v>
      </c>
      <c r="E286" s="2">
        <v>83.27</v>
      </c>
      <c r="F286" t="s">
        <v>16</v>
      </c>
      <c r="G286" t="s">
        <v>17</v>
      </c>
    </row>
    <row r="287" spans="1:7" x14ac:dyDescent="0.35">
      <c r="A287">
        <v>108</v>
      </c>
      <c r="B287" s="1">
        <v>45336</v>
      </c>
      <c r="C287" t="s">
        <v>24</v>
      </c>
      <c r="D287" s="2">
        <v>578.88</v>
      </c>
      <c r="E287" s="2">
        <v>0</v>
      </c>
      <c r="F287" t="s">
        <v>8</v>
      </c>
      <c r="G287" t="s">
        <v>9</v>
      </c>
    </row>
    <row r="288" spans="1:7" x14ac:dyDescent="0.35">
      <c r="A288">
        <v>108</v>
      </c>
      <c r="B288" s="1">
        <v>45336</v>
      </c>
      <c r="C288" t="s">
        <v>24</v>
      </c>
      <c r="D288" s="2">
        <v>0</v>
      </c>
      <c r="E288" s="2">
        <v>578.88</v>
      </c>
      <c r="F288" t="s">
        <v>13</v>
      </c>
      <c r="G288" t="s">
        <v>9</v>
      </c>
    </row>
    <row r="289" spans="1:7" x14ac:dyDescent="0.35">
      <c r="A289">
        <v>109</v>
      </c>
      <c r="B289" s="1">
        <v>45337</v>
      </c>
      <c r="C289" t="s">
        <v>18</v>
      </c>
      <c r="D289" s="2">
        <v>21307.68</v>
      </c>
      <c r="E289" s="2">
        <v>0</v>
      </c>
      <c r="F289" t="s">
        <v>19</v>
      </c>
      <c r="G289" t="s">
        <v>20</v>
      </c>
    </row>
    <row r="290" spans="1:7" x14ac:dyDescent="0.35">
      <c r="A290">
        <v>109</v>
      </c>
      <c r="B290" s="1">
        <v>45337</v>
      </c>
      <c r="C290" t="s">
        <v>18</v>
      </c>
      <c r="D290" s="2">
        <v>852.32</v>
      </c>
      <c r="E290" s="2">
        <v>0</v>
      </c>
      <c r="F290" t="s">
        <v>21</v>
      </c>
      <c r="G290" t="s">
        <v>20</v>
      </c>
    </row>
    <row r="291" spans="1:7" x14ac:dyDescent="0.35">
      <c r="A291">
        <v>109</v>
      </c>
      <c r="B291" s="1">
        <v>45337</v>
      </c>
      <c r="C291" t="s">
        <v>18</v>
      </c>
      <c r="D291" s="2">
        <v>0</v>
      </c>
      <c r="E291" s="2">
        <v>17437.03</v>
      </c>
      <c r="F291" t="s">
        <v>8</v>
      </c>
      <c r="G291" t="s">
        <v>9</v>
      </c>
    </row>
    <row r="292" spans="1:7" x14ac:dyDescent="0.35">
      <c r="A292">
        <v>109</v>
      </c>
      <c r="B292" s="1">
        <v>45337</v>
      </c>
      <c r="C292" t="s">
        <v>18</v>
      </c>
      <c r="D292" s="2">
        <v>0</v>
      </c>
      <c r="E292" s="2">
        <v>3870.65</v>
      </c>
      <c r="F292" t="s">
        <v>22</v>
      </c>
      <c r="G292" t="s">
        <v>17</v>
      </c>
    </row>
    <row r="293" spans="1:7" x14ac:dyDescent="0.35">
      <c r="A293">
        <v>109</v>
      </c>
      <c r="B293" s="1">
        <v>45337</v>
      </c>
      <c r="C293" t="s">
        <v>18</v>
      </c>
      <c r="D293" s="2">
        <v>0</v>
      </c>
      <c r="E293" s="2">
        <v>852.32</v>
      </c>
      <c r="F293" t="s">
        <v>23</v>
      </c>
      <c r="G293" t="s">
        <v>17</v>
      </c>
    </row>
    <row r="294" spans="1:7" x14ac:dyDescent="0.35">
      <c r="A294">
        <v>110</v>
      </c>
      <c r="B294" s="1">
        <v>45337</v>
      </c>
      <c r="C294" t="s">
        <v>12</v>
      </c>
      <c r="D294" s="2">
        <v>4587.67</v>
      </c>
      <c r="E294" s="2">
        <v>0</v>
      </c>
      <c r="F294" t="s">
        <v>13</v>
      </c>
      <c r="G294" t="s">
        <v>9</v>
      </c>
    </row>
    <row r="295" spans="1:7" x14ac:dyDescent="0.35">
      <c r="A295">
        <v>110</v>
      </c>
      <c r="B295" s="1">
        <v>45337</v>
      </c>
      <c r="C295" t="s">
        <v>12</v>
      </c>
      <c r="D295" s="2">
        <v>0</v>
      </c>
      <c r="E295" s="2">
        <v>4267.6000000000004</v>
      </c>
      <c r="F295" t="s">
        <v>14</v>
      </c>
      <c r="G295" t="s">
        <v>15</v>
      </c>
    </row>
    <row r="296" spans="1:7" x14ac:dyDescent="0.35">
      <c r="A296">
        <v>110</v>
      </c>
      <c r="B296" s="1">
        <v>45337</v>
      </c>
      <c r="C296" t="s">
        <v>12</v>
      </c>
      <c r="D296" s="2">
        <v>0</v>
      </c>
      <c r="E296" s="2">
        <v>320.07</v>
      </c>
      <c r="F296" t="s">
        <v>16</v>
      </c>
      <c r="G296" t="s">
        <v>17</v>
      </c>
    </row>
    <row r="297" spans="1:7" x14ac:dyDescent="0.35">
      <c r="A297">
        <v>111</v>
      </c>
      <c r="B297" s="1">
        <v>45337</v>
      </c>
      <c r="C297" t="s">
        <v>12</v>
      </c>
      <c r="D297" s="2">
        <v>4623.3500000000004</v>
      </c>
      <c r="E297" s="2">
        <v>0</v>
      </c>
      <c r="F297" t="s">
        <v>13</v>
      </c>
      <c r="G297" t="s">
        <v>9</v>
      </c>
    </row>
    <row r="298" spans="1:7" x14ac:dyDescent="0.35">
      <c r="A298">
        <v>111</v>
      </c>
      <c r="B298" s="1">
        <v>45337</v>
      </c>
      <c r="C298" t="s">
        <v>12</v>
      </c>
      <c r="D298" s="2">
        <v>0</v>
      </c>
      <c r="E298" s="2">
        <v>4300.79</v>
      </c>
      <c r="F298" t="s">
        <v>14</v>
      </c>
      <c r="G298" t="s">
        <v>15</v>
      </c>
    </row>
    <row r="299" spans="1:7" x14ac:dyDescent="0.35">
      <c r="A299">
        <v>111</v>
      </c>
      <c r="B299" s="1">
        <v>45337</v>
      </c>
      <c r="C299" t="s">
        <v>12</v>
      </c>
      <c r="D299" s="2">
        <v>0</v>
      </c>
      <c r="E299" s="2">
        <v>322.56</v>
      </c>
      <c r="F299" t="s">
        <v>16</v>
      </c>
      <c r="G299" t="s">
        <v>17</v>
      </c>
    </row>
    <row r="300" spans="1:7" x14ac:dyDescent="0.35">
      <c r="A300">
        <v>112</v>
      </c>
      <c r="B300" s="1">
        <v>45337</v>
      </c>
      <c r="C300" t="s">
        <v>24</v>
      </c>
      <c r="D300" s="2">
        <v>551.01</v>
      </c>
      <c r="E300" s="2">
        <v>0</v>
      </c>
      <c r="F300" t="s">
        <v>8</v>
      </c>
      <c r="G300" t="s">
        <v>9</v>
      </c>
    </row>
    <row r="301" spans="1:7" x14ac:dyDescent="0.35">
      <c r="A301">
        <v>112</v>
      </c>
      <c r="B301" s="1">
        <v>45337</v>
      </c>
      <c r="C301" t="s">
        <v>24</v>
      </c>
      <c r="D301" s="2">
        <v>0</v>
      </c>
      <c r="E301" s="2">
        <v>551.01</v>
      </c>
      <c r="F301" t="s">
        <v>13</v>
      </c>
      <c r="G301" t="s">
        <v>9</v>
      </c>
    </row>
    <row r="302" spans="1:7" x14ac:dyDescent="0.35">
      <c r="A302">
        <v>113</v>
      </c>
      <c r="B302" s="1">
        <v>45337</v>
      </c>
      <c r="C302" t="s">
        <v>24</v>
      </c>
      <c r="D302" s="2">
        <v>3586.77</v>
      </c>
      <c r="E302" s="2">
        <v>0</v>
      </c>
      <c r="F302" t="s">
        <v>8</v>
      </c>
      <c r="G302" t="s">
        <v>9</v>
      </c>
    </row>
    <row r="303" spans="1:7" x14ac:dyDescent="0.35">
      <c r="A303">
        <v>113</v>
      </c>
      <c r="B303" s="1">
        <v>45337</v>
      </c>
      <c r="C303" t="s">
        <v>24</v>
      </c>
      <c r="D303" s="2">
        <v>0</v>
      </c>
      <c r="E303" s="2">
        <v>3586.77</v>
      </c>
      <c r="F303" t="s">
        <v>13</v>
      </c>
      <c r="G303" t="s">
        <v>9</v>
      </c>
    </row>
    <row r="304" spans="1:7" x14ac:dyDescent="0.35">
      <c r="A304">
        <v>114</v>
      </c>
      <c r="B304" s="1">
        <v>45338</v>
      </c>
      <c r="C304" t="s">
        <v>12</v>
      </c>
      <c r="D304" s="2">
        <v>3503.64</v>
      </c>
      <c r="E304" s="2">
        <v>0</v>
      </c>
      <c r="F304" t="s">
        <v>13</v>
      </c>
      <c r="G304" t="s">
        <v>9</v>
      </c>
    </row>
    <row r="305" spans="1:7" x14ac:dyDescent="0.35">
      <c r="A305">
        <v>114</v>
      </c>
      <c r="B305" s="1">
        <v>45338</v>
      </c>
      <c r="C305" t="s">
        <v>12</v>
      </c>
      <c r="D305" s="2">
        <v>0</v>
      </c>
      <c r="E305" s="2">
        <v>3259.19</v>
      </c>
      <c r="F305" t="s">
        <v>14</v>
      </c>
      <c r="G305" t="s">
        <v>15</v>
      </c>
    </row>
    <row r="306" spans="1:7" x14ac:dyDescent="0.35">
      <c r="A306">
        <v>114</v>
      </c>
      <c r="B306" s="1">
        <v>45338</v>
      </c>
      <c r="C306" t="s">
        <v>12</v>
      </c>
      <c r="D306" s="2">
        <v>0</v>
      </c>
      <c r="E306" s="2">
        <v>244.45</v>
      </c>
      <c r="F306" t="s">
        <v>16</v>
      </c>
      <c r="G306" t="s">
        <v>17</v>
      </c>
    </row>
    <row r="307" spans="1:7" x14ac:dyDescent="0.35">
      <c r="A307">
        <v>115</v>
      </c>
      <c r="B307" s="1">
        <v>45338</v>
      </c>
      <c r="C307" t="s">
        <v>24</v>
      </c>
      <c r="D307" s="2">
        <v>1488.92</v>
      </c>
      <c r="E307" s="2">
        <v>0</v>
      </c>
      <c r="F307" t="s">
        <v>8</v>
      </c>
      <c r="G307" t="s">
        <v>9</v>
      </c>
    </row>
    <row r="308" spans="1:7" x14ac:dyDescent="0.35">
      <c r="A308">
        <v>115</v>
      </c>
      <c r="B308" s="1">
        <v>45338</v>
      </c>
      <c r="C308" t="s">
        <v>24</v>
      </c>
      <c r="D308" s="2">
        <v>0</v>
      </c>
      <c r="E308" s="2">
        <v>1488.92</v>
      </c>
      <c r="F308" t="s">
        <v>13</v>
      </c>
      <c r="G308" t="s">
        <v>9</v>
      </c>
    </row>
    <row r="309" spans="1:7" x14ac:dyDescent="0.35">
      <c r="A309">
        <v>116</v>
      </c>
      <c r="B309" s="1">
        <v>45341</v>
      </c>
      <c r="C309" t="s">
        <v>12</v>
      </c>
      <c r="D309" s="2">
        <v>2415.42</v>
      </c>
      <c r="E309" s="2">
        <v>0</v>
      </c>
      <c r="F309" t="s">
        <v>13</v>
      </c>
      <c r="G309" t="s">
        <v>9</v>
      </c>
    </row>
    <row r="310" spans="1:7" x14ac:dyDescent="0.35">
      <c r="A310">
        <v>116</v>
      </c>
      <c r="B310" s="1">
        <v>45341</v>
      </c>
      <c r="C310" t="s">
        <v>12</v>
      </c>
      <c r="D310" s="2">
        <v>0</v>
      </c>
      <c r="E310" s="2">
        <v>2246.91</v>
      </c>
      <c r="F310" t="s">
        <v>14</v>
      </c>
      <c r="G310" t="s">
        <v>15</v>
      </c>
    </row>
    <row r="311" spans="1:7" x14ac:dyDescent="0.35">
      <c r="A311">
        <v>116</v>
      </c>
      <c r="B311" s="1">
        <v>45341</v>
      </c>
      <c r="C311" t="s">
        <v>12</v>
      </c>
      <c r="D311" s="2">
        <v>0</v>
      </c>
      <c r="E311" s="2">
        <v>168.51</v>
      </c>
      <c r="F311" t="s">
        <v>16</v>
      </c>
      <c r="G311" t="s">
        <v>17</v>
      </c>
    </row>
    <row r="312" spans="1:7" x14ac:dyDescent="0.35">
      <c r="A312">
        <v>117</v>
      </c>
      <c r="B312" s="1">
        <v>45341</v>
      </c>
      <c r="C312" t="s">
        <v>24</v>
      </c>
      <c r="D312" s="2">
        <v>564.67999999999995</v>
      </c>
      <c r="E312" s="2">
        <v>0</v>
      </c>
      <c r="F312" t="s">
        <v>8</v>
      </c>
      <c r="G312" t="s">
        <v>9</v>
      </c>
    </row>
    <row r="313" spans="1:7" x14ac:dyDescent="0.35">
      <c r="A313">
        <v>117</v>
      </c>
      <c r="B313" s="1">
        <v>45341</v>
      </c>
      <c r="C313" t="s">
        <v>24</v>
      </c>
      <c r="D313" s="2">
        <v>0</v>
      </c>
      <c r="E313" s="2">
        <v>564.67999999999995</v>
      </c>
      <c r="F313" t="s">
        <v>13</v>
      </c>
      <c r="G313" t="s">
        <v>9</v>
      </c>
    </row>
    <row r="314" spans="1:7" x14ac:dyDescent="0.35">
      <c r="A314">
        <v>118</v>
      </c>
      <c r="B314" s="1">
        <v>45341</v>
      </c>
      <c r="C314" t="s">
        <v>25</v>
      </c>
      <c r="D314" s="2">
        <v>802.71</v>
      </c>
      <c r="E314" s="2">
        <v>0</v>
      </c>
      <c r="F314" t="s">
        <v>26</v>
      </c>
      <c r="G314" t="s">
        <v>20</v>
      </c>
    </row>
    <row r="315" spans="1:7" x14ac:dyDescent="0.35">
      <c r="A315">
        <v>118</v>
      </c>
      <c r="B315" s="1">
        <v>45341</v>
      </c>
      <c r="C315" t="s">
        <v>25</v>
      </c>
      <c r="D315" s="2">
        <v>60.2</v>
      </c>
      <c r="E315" s="2">
        <v>0</v>
      </c>
      <c r="F315" t="s">
        <v>27</v>
      </c>
      <c r="G315" t="s">
        <v>9</v>
      </c>
    </row>
    <row r="316" spans="1:7" x14ac:dyDescent="0.35">
      <c r="A316">
        <v>118</v>
      </c>
      <c r="B316" s="1">
        <v>45341</v>
      </c>
      <c r="C316" t="s">
        <v>25</v>
      </c>
      <c r="D316" s="2">
        <v>0</v>
      </c>
      <c r="E316" s="2">
        <v>862.91</v>
      </c>
      <c r="F316" t="s">
        <v>28</v>
      </c>
      <c r="G316" t="s">
        <v>17</v>
      </c>
    </row>
    <row r="317" spans="1:7" x14ac:dyDescent="0.35">
      <c r="A317">
        <v>119</v>
      </c>
      <c r="B317" s="1">
        <v>45342</v>
      </c>
      <c r="C317" t="s">
        <v>12</v>
      </c>
      <c r="D317" s="2">
        <v>960.49</v>
      </c>
      <c r="E317" s="2">
        <v>0</v>
      </c>
      <c r="F317" t="s">
        <v>13</v>
      </c>
      <c r="G317" t="s">
        <v>9</v>
      </c>
    </row>
    <row r="318" spans="1:7" x14ac:dyDescent="0.35">
      <c r="A318">
        <v>119</v>
      </c>
      <c r="B318" s="1">
        <v>45342</v>
      </c>
      <c r="C318" t="s">
        <v>12</v>
      </c>
      <c r="D318" s="2">
        <v>0</v>
      </c>
      <c r="E318" s="2">
        <v>893.48</v>
      </c>
      <c r="F318" t="s">
        <v>14</v>
      </c>
      <c r="G318" t="s">
        <v>15</v>
      </c>
    </row>
    <row r="319" spans="1:7" x14ac:dyDescent="0.35">
      <c r="A319">
        <v>119</v>
      </c>
      <c r="B319" s="1">
        <v>45342</v>
      </c>
      <c r="C319" t="s">
        <v>12</v>
      </c>
      <c r="D319" s="2">
        <v>0</v>
      </c>
      <c r="E319" s="2">
        <v>67.010000000000005</v>
      </c>
      <c r="F319" t="s">
        <v>16</v>
      </c>
      <c r="G319" t="s">
        <v>17</v>
      </c>
    </row>
    <row r="320" spans="1:7" x14ac:dyDescent="0.35">
      <c r="A320">
        <v>120</v>
      </c>
      <c r="B320" s="1">
        <v>45342</v>
      </c>
      <c r="C320" t="s">
        <v>12</v>
      </c>
      <c r="D320" s="2">
        <v>1116.69</v>
      </c>
      <c r="E320" s="2">
        <v>0</v>
      </c>
      <c r="F320" t="s">
        <v>13</v>
      </c>
      <c r="G320" t="s">
        <v>9</v>
      </c>
    </row>
    <row r="321" spans="1:7" x14ac:dyDescent="0.35">
      <c r="A321">
        <v>120</v>
      </c>
      <c r="B321" s="1">
        <v>45342</v>
      </c>
      <c r="C321" t="s">
        <v>12</v>
      </c>
      <c r="D321" s="2">
        <v>0</v>
      </c>
      <c r="E321" s="2">
        <v>1038.78</v>
      </c>
      <c r="F321" t="s">
        <v>14</v>
      </c>
      <c r="G321" t="s">
        <v>15</v>
      </c>
    </row>
    <row r="322" spans="1:7" x14ac:dyDescent="0.35">
      <c r="A322">
        <v>120</v>
      </c>
      <c r="B322" s="1">
        <v>45342</v>
      </c>
      <c r="C322" t="s">
        <v>12</v>
      </c>
      <c r="D322" s="2">
        <v>0</v>
      </c>
      <c r="E322" s="2">
        <v>77.91</v>
      </c>
      <c r="F322" t="s">
        <v>16</v>
      </c>
      <c r="G322" t="s">
        <v>17</v>
      </c>
    </row>
    <row r="323" spans="1:7" x14ac:dyDescent="0.35">
      <c r="A323">
        <v>121</v>
      </c>
      <c r="B323" s="1">
        <v>45342</v>
      </c>
      <c r="C323" t="s">
        <v>12</v>
      </c>
      <c r="D323" s="2">
        <v>3236.42</v>
      </c>
      <c r="E323" s="2">
        <v>0</v>
      </c>
      <c r="F323" t="s">
        <v>13</v>
      </c>
      <c r="G323" t="s">
        <v>9</v>
      </c>
    </row>
    <row r="324" spans="1:7" x14ac:dyDescent="0.35">
      <c r="A324">
        <v>121</v>
      </c>
      <c r="B324" s="1">
        <v>45342</v>
      </c>
      <c r="C324" t="s">
        <v>12</v>
      </c>
      <c r="D324" s="2">
        <v>0</v>
      </c>
      <c r="E324" s="2">
        <v>3010.62</v>
      </c>
      <c r="F324" t="s">
        <v>14</v>
      </c>
      <c r="G324" t="s">
        <v>15</v>
      </c>
    </row>
    <row r="325" spans="1:7" x14ac:dyDescent="0.35">
      <c r="A325">
        <v>121</v>
      </c>
      <c r="B325" s="1">
        <v>45342</v>
      </c>
      <c r="C325" t="s">
        <v>12</v>
      </c>
      <c r="D325" s="2">
        <v>0</v>
      </c>
      <c r="E325" s="2">
        <v>225.8</v>
      </c>
      <c r="F325" t="s">
        <v>16</v>
      </c>
      <c r="G325" t="s">
        <v>17</v>
      </c>
    </row>
    <row r="326" spans="1:7" x14ac:dyDescent="0.35">
      <c r="A326">
        <v>122</v>
      </c>
      <c r="B326" s="1">
        <v>45342</v>
      </c>
      <c r="C326" t="s">
        <v>12</v>
      </c>
      <c r="D326" s="2">
        <v>354.43</v>
      </c>
      <c r="E326" s="2">
        <v>0</v>
      </c>
      <c r="F326" t="s">
        <v>13</v>
      </c>
      <c r="G326" t="s">
        <v>9</v>
      </c>
    </row>
    <row r="327" spans="1:7" x14ac:dyDescent="0.35">
      <c r="A327">
        <v>122</v>
      </c>
      <c r="B327" s="1">
        <v>45342</v>
      </c>
      <c r="C327" t="s">
        <v>12</v>
      </c>
      <c r="D327" s="2">
        <v>0</v>
      </c>
      <c r="E327" s="2">
        <v>329.7</v>
      </c>
      <c r="F327" t="s">
        <v>14</v>
      </c>
      <c r="G327" t="s">
        <v>15</v>
      </c>
    </row>
    <row r="328" spans="1:7" x14ac:dyDescent="0.35">
      <c r="A328">
        <v>122</v>
      </c>
      <c r="B328" s="1">
        <v>45342</v>
      </c>
      <c r="C328" t="s">
        <v>12</v>
      </c>
      <c r="D328" s="2">
        <v>0</v>
      </c>
      <c r="E328" s="2">
        <v>24.73</v>
      </c>
      <c r="F328" t="s">
        <v>16</v>
      </c>
      <c r="G328" t="s">
        <v>17</v>
      </c>
    </row>
    <row r="329" spans="1:7" x14ac:dyDescent="0.35">
      <c r="A329">
        <v>123</v>
      </c>
      <c r="B329" s="1">
        <v>45342</v>
      </c>
      <c r="C329" t="s">
        <v>24</v>
      </c>
      <c r="D329" s="2">
        <v>1675.99</v>
      </c>
      <c r="E329" s="2">
        <v>0</v>
      </c>
      <c r="F329" t="s">
        <v>8</v>
      </c>
      <c r="G329" t="s">
        <v>9</v>
      </c>
    </row>
    <row r="330" spans="1:7" x14ac:dyDescent="0.35">
      <c r="A330">
        <v>123</v>
      </c>
      <c r="B330" s="1">
        <v>45342</v>
      </c>
      <c r="C330" t="s">
        <v>24</v>
      </c>
      <c r="D330" s="2">
        <v>0</v>
      </c>
      <c r="E330" s="2">
        <v>1675.99</v>
      </c>
      <c r="F330" t="s">
        <v>13</v>
      </c>
      <c r="G330" t="s">
        <v>9</v>
      </c>
    </row>
    <row r="331" spans="1:7" x14ac:dyDescent="0.35">
      <c r="A331">
        <v>124</v>
      </c>
      <c r="B331" s="1">
        <v>45343</v>
      </c>
      <c r="C331" t="s">
        <v>12</v>
      </c>
      <c r="D331" s="2">
        <v>2662.71</v>
      </c>
      <c r="E331" s="2">
        <v>0</v>
      </c>
      <c r="F331" t="s">
        <v>13</v>
      </c>
      <c r="G331" t="s">
        <v>9</v>
      </c>
    </row>
    <row r="332" spans="1:7" x14ac:dyDescent="0.35">
      <c r="A332">
        <v>124</v>
      </c>
      <c r="B332" s="1">
        <v>45343</v>
      </c>
      <c r="C332" t="s">
        <v>12</v>
      </c>
      <c r="D332" s="2">
        <v>0</v>
      </c>
      <c r="E332" s="2">
        <v>2476.9299999999998</v>
      </c>
      <c r="F332" t="s">
        <v>14</v>
      </c>
      <c r="G332" t="s">
        <v>15</v>
      </c>
    </row>
    <row r="333" spans="1:7" x14ac:dyDescent="0.35">
      <c r="A333">
        <v>124</v>
      </c>
      <c r="B333" s="1">
        <v>45343</v>
      </c>
      <c r="C333" t="s">
        <v>12</v>
      </c>
      <c r="D333" s="2">
        <v>0</v>
      </c>
      <c r="E333" s="2">
        <v>185.78</v>
      </c>
      <c r="F333" t="s">
        <v>16</v>
      </c>
      <c r="G333" t="s">
        <v>17</v>
      </c>
    </row>
    <row r="334" spans="1:7" x14ac:dyDescent="0.35">
      <c r="A334">
        <v>125</v>
      </c>
      <c r="B334" s="1">
        <v>45343</v>
      </c>
      <c r="C334" t="s">
        <v>12</v>
      </c>
      <c r="D334" s="2">
        <v>494.08</v>
      </c>
      <c r="E334" s="2">
        <v>0</v>
      </c>
      <c r="F334" t="s">
        <v>13</v>
      </c>
      <c r="G334" t="s">
        <v>9</v>
      </c>
    </row>
    <row r="335" spans="1:7" x14ac:dyDescent="0.35">
      <c r="A335">
        <v>125</v>
      </c>
      <c r="B335" s="1">
        <v>45343</v>
      </c>
      <c r="C335" t="s">
        <v>12</v>
      </c>
      <c r="D335" s="2">
        <v>0</v>
      </c>
      <c r="E335" s="2">
        <v>459.61</v>
      </c>
      <c r="F335" t="s">
        <v>14</v>
      </c>
      <c r="G335" t="s">
        <v>15</v>
      </c>
    </row>
    <row r="336" spans="1:7" x14ac:dyDescent="0.35">
      <c r="A336">
        <v>125</v>
      </c>
      <c r="B336" s="1">
        <v>45343</v>
      </c>
      <c r="C336" t="s">
        <v>12</v>
      </c>
      <c r="D336" s="2">
        <v>0</v>
      </c>
      <c r="E336" s="2">
        <v>34.47</v>
      </c>
      <c r="F336" t="s">
        <v>16</v>
      </c>
      <c r="G336" t="s">
        <v>17</v>
      </c>
    </row>
    <row r="337" spans="1:7" x14ac:dyDescent="0.35">
      <c r="A337">
        <v>126</v>
      </c>
      <c r="B337" s="1">
        <v>45343</v>
      </c>
      <c r="C337" t="s">
        <v>24</v>
      </c>
      <c r="D337" s="2">
        <v>1251.0999999999999</v>
      </c>
      <c r="E337" s="2">
        <v>0</v>
      </c>
      <c r="F337" t="s">
        <v>8</v>
      </c>
      <c r="G337" t="s">
        <v>9</v>
      </c>
    </row>
    <row r="338" spans="1:7" x14ac:dyDescent="0.35">
      <c r="A338">
        <v>126</v>
      </c>
      <c r="B338" s="1">
        <v>45343</v>
      </c>
      <c r="C338" t="s">
        <v>24</v>
      </c>
      <c r="D338" s="2">
        <v>0</v>
      </c>
      <c r="E338" s="2">
        <v>1251.0999999999999</v>
      </c>
      <c r="F338" t="s">
        <v>13</v>
      </c>
      <c r="G338" t="s">
        <v>9</v>
      </c>
    </row>
    <row r="339" spans="1:7" x14ac:dyDescent="0.35">
      <c r="A339">
        <v>127</v>
      </c>
      <c r="B339" s="1">
        <v>45343</v>
      </c>
      <c r="C339" t="s">
        <v>24</v>
      </c>
      <c r="D339" s="2">
        <v>923.55</v>
      </c>
      <c r="E339" s="2">
        <v>0</v>
      </c>
      <c r="F339" t="s">
        <v>8</v>
      </c>
      <c r="G339" t="s">
        <v>9</v>
      </c>
    </row>
    <row r="340" spans="1:7" x14ac:dyDescent="0.35">
      <c r="A340">
        <v>127</v>
      </c>
      <c r="B340" s="1">
        <v>45343</v>
      </c>
      <c r="C340" t="s">
        <v>24</v>
      </c>
      <c r="D340" s="2">
        <v>0</v>
      </c>
      <c r="E340" s="2">
        <v>923.55</v>
      </c>
      <c r="F340" t="s">
        <v>13</v>
      </c>
      <c r="G340" t="s">
        <v>9</v>
      </c>
    </row>
    <row r="341" spans="1:7" x14ac:dyDescent="0.35">
      <c r="A341">
        <v>128</v>
      </c>
      <c r="B341" s="1">
        <v>45343</v>
      </c>
      <c r="C341" t="s">
        <v>25</v>
      </c>
      <c r="D341" s="2">
        <v>383.76</v>
      </c>
      <c r="E341" s="2">
        <v>0</v>
      </c>
      <c r="F341" t="s">
        <v>26</v>
      </c>
      <c r="G341" t="s">
        <v>20</v>
      </c>
    </row>
    <row r="342" spans="1:7" x14ac:dyDescent="0.35">
      <c r="A342">
        <v>128</v>
      </c>
      <c r="B342" s="1">
        <v>45343</v>
      </c>
      <c r="C342" t="s">
        <v>25</v>
      </c>
      <c r="D342" s="2">
        <v>28.78</v>
      </c>
      <c r="E342" s="2">
        <v>0</v>
      </c>
      <c r="F342" t="s">
        <v>27</v>
      </c>
      <c r="G342" t="s">
        <v>9</v>
      </c>
    </row>
    <row r="343" spans="1:7" x14ac:dyDescent="0.35">
      <c r="A343">
        <v>128</v>
      </c>
      <c r="B343" s="1">
        <v>45343</v>
      </c>
      <c r="C343" t="s">
        <v>25</v>
      </c>
      <c r="D343" s="2">
        <v>0</v>
      </c>
      <c r="E343" s="2">
        <v>412.54</v>
      </c>
      <c r="F343" t="s">
        <v>28</v>
      </c>
      <c r="G343" t="s">
        <v>17</v>
      </c>
    </row>
    <row r="344" spans="1:7" x14ac:dyDescent="0.35">
      <c r="A344">
        <v>129</v>
      </c>
      <c r="B344" s="1">
        <v>45344</v>
      </c>
      <c r="C344" t="s">
        <v>12</v>
      </c>
      <c r="D344" s="2">
        <v>877.92</v>
      </c>
      <c r="E344" s="2">
        <v>0</v>
      </c>
      <c r="F344" t="s">
        <v>13</v>
      </c>
      <c r="G344" t="s">
        <v>9</v>
      </c>
    </row>
    <row r="345" spans="1:7" x14ac:dyDescent="0.35">
      <c r="A345">
        <v>129</v>
      </c>
      <c r="B345" s="1">
        <v>45344</v>
      </c>
      <c r="C345" t="s">
        <v>12</v>
      </c>
      <c r="D345" s="2">
        <v>0</v>
      </c>
      <c r="E345" s="2">
        <v>816.66</v>
      </c>
      <c r="F345" t="s">
        <v>14</v>
      </c>
      <c r="G345" t="s">
        <v>15</v>
      </c>
    </row>
    <row r="346" spans="1:7" x14ac:dyDescent="0.35">
      <c r="A346">
        <v>129</v>
      </c>
      <c r="B346" s="1">
        <v>45344</v>
      </c>
      <c r="C346" t="s">
        <v>12</v>
      </c>
      <c r="D346" s="2">
        <v>0</v>
      </c>
      <c r="E346" s="2">
        <v>61.26</v>
      </c>
      <c r="F346" t="s">
        <v>16</v>
      </c>
      <c r="G346" t="s">
        <v>17</v>
      </c>
    </row>
    <row r="347" spans="1:7" x14ac:dyDescent="0.35">
      <c r="A347">
        <v>130</v>
      </c>
      <c r="B347" s="1">
        <v>45344</v>
      </c>
      <c r="C347" t="s">
        <v>12</v>
      </c>
      <c r="D347" s="2">
        <v>357.47</v>
      </c>
      <c r="E347" s="2">
        <v>0</v>
      </c>
      <c r="F347" t="s">
        <v>13</v>
      </c>
      <c r="G347" t="s">
        <v>9</v>
      </c>
    </row>
    <row r="348" spans="1:7" x14ac:dyDescent="0.35">
      <c r="A348">
        <v>130</v>
      </c>
      <c r="B348" s="1">
        <v>45344</v>
      </c>
      <c r="C348" t="s">
        <v>12</v>
      </c>
      <c r="D348" s="2">
        <v>0</v>
      </c>
      <c r="E348" s="2">
        <v>332.53</v>
      </c>
      <c r="F348" t="s">
        <v>14</v>
      </c>
      <c r="G348" t="s">
        <v>15</v>
      </c>
    </row>
    <row r="349" spans="1:7" x14ac:dyDescent="0.35">
      <c r="A349">
        <v>130</v>
      </c>
      <c r="B349" s="1">
        <v>45344</v>
      </c>
      <c r="C349" t="s">
        <v>12</v>
      </c>
      <c r="D349" s="2">
        <v>0</v>
      </c>
      <c r="E349" s="2">
        <v>24.94</v>
      </c>
      <c r="F349" t="s">
        <v>16</v>
      </c>
      <c r="G349" t="s">
        <v>17</v>
      </c>
    </row>
    <row r="350" spans="1:7" x14ac:dyDescent="0.35">
      <c r="A350">
        <v>131</v>
      </c>
      <c r="B350" s="1">
        <v>45344</v>
      </c>
      <c r="C350" t="s">
        <v>24</v>
      </c>
      <c r="D350" s="2">
        <v>2122.35</v>
      </c>
      <c r="E350" s="2">
        <v>0</v>
      </c>
      <c r="F350" t="s">
        <v>8</v>
      </c>
      <c r="G350" t="s">
        <v>9</v>
      </c>
    </row>
    <row r="351" spans="1:7" x14ac:dyDescent="0.35">
      <c r="A351">
        <v>131</v>
      </c>
      <c r="B351" s="1">
        <v>45344</v>
      </c>
      <c r="C351" t="s">
        <v>24</v>
      </c>
      <c r="D351" s="2">
        <v>0</v>
      </c>
      <c r="E351" s="2">
        <v>2122.35</v>
      </c>
      <c r="F351" t="s">
        <v>13</v>
      </c>
      <c r="G351" t="s">
        <v>9</v>
      </c>
    </row>
    <row r="352" spans="1:7" x14ac:dyDescent="0.35">
      <c r="A352">
        <v>132</v>
      </c>
      <c r="B352" s="1">
        <v>45344</v>
      </c>
      <c r="C352" t="s">
        <v>24</v>
      </c>
      <c r="D352" s="2">
        <v>4522.24</v>
      </c>
      <c r="E352" s="2">
        <v>0</v>
      </c>
      <c r="F352" t="s">
        <v>8</v>
      </c>
      <c r="G352" t="s">
        <v>9</v>
      </c>
    </row>
    <row r="353" spans="1:7" x14ac:dyDescent="0.35">
      <c r="A353">
        <v>132</v>
      </c>
      <c r="B353" s="1">
        <v>45344</v>
      </c>
      <c r="C353" t="s">
        <v>24</v>
      </c>
      <c r="D353" s="2">
        <v>0</v>
      </c>
      <c r="E353" s="2">
        <v>4522.24</v>
      </c>
      <c r="F353" t="s">
        <v>13</v>
      </c>
      <c r="G353" t="s">
        <v>9</v>
      </c>
    </row>
    <row r="354" spans="1:7" x14ac:dyDescent="0.35">
      <c r="A354">
        <v>133</v>
      </c>
      <c r="B354" s="1">
        <v>45344</v>
      </c>
      <c r="C354" t="s">
        <v>24</v>
      </c>
      <c r="D354" s="2">
        <v>670.59</v>
      </c>
      <c r="E354" s="2">
        <v>0</v>
      </c>
      <c r="F354" t="s">
        <v>8</v>
      </c>
      <c r="G354" t="s">
        <v>9</v>
      </c>
    </row>
    <row r="355" spans="1:7" x14ac:dyDescent="0.35">
      <c r="A355">
        <v>133</v>
      </c>
      <c r="B355" s="1">
        <v>45344</v>
      </c>
      <c r="C355" t="s">
        <v>24</v>
      </c>
      <c r="D355" s="2">
        <v>0</v>
      </c>
      <c r="E355" s="2">
        <v>670.59</v>
      </c>
      <c r="F355" t="s">
        <v>13</v>
      </c>
      <c r="G355" t="s">
        <v>9</v>
      </c>
    </row>
    <row r="356" spans="1:7" x14ac:dyDescent="0.35">
      <c r="A356">
        <v>134</v>
      </c>
      <c r="B356" s="1">
        <v>45344</v>
      </c>
      <c r="C356" t="s">
        <v>24</v>
      </c>
      <c r="D356" s="2">
        <v>4587.67</v>
      </c>
      <c r="E356" s="2">
        <v>0</v>
      </c>
      <c r="F356" t="s">
        <v>8</v>
      </c>
      <c r="G356" t="s">
        <v>9</v>
      </c>
    </row>
    <row r="357" spans="1:7" x14ac:dyDescent="0.35">
      <c r="A357">
        <v>134</v>
      </c>
      <c r="B357" s="1">
        <v>45344</v>
      </c>
      <c r="C357" t="s">
        <v>24</v>
      </c>
      <c r="D357" s="2">
        <v>0</v>
      </c>
      <c r="E357" s="2">
        <v>4587.67</v>
      </c>
      <c r="F357" t="s">
        <v>13</v>
      </c>
      <c r="G357" t="s">
        <v>9</v>
      </c>
    </row>
    <row r="358" spans="1:7" x14ac:dyDescent="0.35">
      <c r="A358">
        <v>135</v>
      </c>
      <c r="B358" s="1">
        <v>45344</v>
      </c>
      <c r="C358" t="s">
        <v>25</v>
      </c>
      <c r="D358" s="2">
        <v>1480.5</v>
      </c>
      <c r="E358" s="2">
        <v>0</v>
      </c>
      <c r="F358" t="s">
        <v>26</v>
      </c>
      <c r="G358" t="s">
        <v>20</v>
      </c>
    </row>
    <row r="359" spans="1:7" x14ac:dyDescent="0.35">
      <c r="A359">
        <v>135</v>
      </c>
      <c r="B359" s="1">
        <v>45344</v>
      </c>
      <c r="C359" t="s">
        <v>25</v>
      </c>
      <c r="D359" s="2">
        <v>111.04</v>
      </c>
      <c r="E359" s="2">
        <v>0</v>
      </c>
      <c r="F359" t="s">
        <v>27</v>
      </c>
      <c r="G359" t="s">
        <v>9</v>
      </c>
    </row>
    <row r="360" spans="1:7" x14ac:dyDescent="0.35">
      <c r="A360">
        <v>135</v>
      </c>
      <c r="B360" s="1">
        <v>45344</v>
      </c>
      <c r="C360" t="s">
        <v>25</v>
      </c>
      <c r="D360" s="2">
        <v>0</v>
      </c>
      <c r="E360" s="2">
        <v>1591.54</v>
      </c>
      <c r="F360" t="s">
        <v>28</v>
      </c>
      <c r="G360" t="s">
        <v>17</v>
      </c>
    </row>
    <row r="361" spans="1:7" x14ac:dyDescent="0.35">
      <c r="A361">
        <v>136</v>
      </c>
      <c r="B361" s="1">
        <v>45345</v>
      </c>
      <c r="C361" t="s">
        <v>12</v>
      </c>
      <c r="D361" s="2">
        <v>2151.3000000000002</v>
      </c>
      <c r="E361" s="2">
        <v>0</v>
      </c>
      <c r="F361" t="s">
        <v>13</v>
      </c>
      <c r="G361" t="s">
        <v>9</v>
      </c>
    </row>
    <row r="362" spans="1:7" x14ac:dyDescent="0.35">
      <c r="A362">
        <v>136</v>
      </c>
      <c r="B362" s="1">
        <v>45345</v>
      </c>
      <c r="C362" t="s">
        <v>12</v>
      </c>
      <c r="D362" s="2">
        <v>0</v>
      </c>
      <c r="E362" s="2">
        <v>2001.21</v>
      </c>
      <c r="F362" t="s">
        <v>14</v>
      </c>
      <c r="G362" t="s">
        <v>15</v>
      </c>
    </row>
    <row r="363" spans="1:7" x14ac:dyDescent="0.35">
      <c r="A363">
        <v>136</v>
      </c>
      <c r="B363" s="1">
        <v>45345</v>
      </c>
      <c r="C363" t="s">
        <v>12</v>
      </c>
      <c r="D363" s="2">
        <v>0</v>
      </c>
      <c r="E363" s="2">
        <v>150.09</v>
      </c>
      <c r="F363" t="s">
        <v>16</v>
      </c>
      <c r="G363" t="s">
        <v>17</v>
      </c>
    </row>
    <row r="364" spans="1:7" x14ac:dyDescent="0.35">
      <c r="A364">
        <v>137</v>
      </c>
      <c r="B364" s="1">
        <v>45345</v>
      </c>
      <c r="C364" t="s">
        <v>24</v>
      </c>
      <c r="D364" s="2">
        <v>2479.04</v>
      </c>
      <c r="E364" s="2">
        <v>0</v>
      </c>
      <c r="F364" t="s">
        <v>8</v>
      </c>
      <c r="G364" t="s">
        <v>9</v>
      </c>
    </row>
    <row r="365" spans="1:7" x14ac:dyDescent="0.35">
      <c r="A365">
        <v>137</v>
      </c>
      <c r="B365" s="1">
        <v>45345</v>
      </c>
      <c r="C365" t="s">
        <v>24</v>
      </c>
      <c r="D365" s="2">
        <v>0</v>
      </c>
      <c r="E365" s="2">
        <v>2479.04</v>
      </c>
      <c r="F365" t="s">
        <v>13</v>
      </c>
      <c r="G365" t="s">
        <v>9</v>
      </c>
    </row>
    <row r="366" spans="1:7" x14ac:dyDescent="0.35">
      <c r="A366">
        <v>138</v>
      </c>
      <c r="B366" s="1">
        <v>45345</v>
      </c>
      <c r="C366" t="s">
        <v>24</v>
      </c>
      <c r="D366" s="2">
        <v>1071.5999999999999</v>
      </c>
      <c r="E366" s="2">
        <v>0</v>
      </c>
      <c r="F366" t="s">
        <v>8</v>
      </c>
      <c r="G366" t="s">
        <v>9</v>
      </c>
    </row>
    <row r="367" spans="1:7" x14ac:dyDescent="0.35">
      <c r="A367">
        <v>138</v>
      </c>
      <c r="B367" s="1">
        <v>45345</v>
      </c>
      <c r="C367" t="s">
        <v>24</v>
      </c>
      <c r="D367" s="2">
        <v>0</v>
      </c>
      <c r="E367" s="2">
        <v>1071.5999999999999</v>
      </c>
      <c r="F367" t="s">
        <v>13</v>
      </c>
      <c r="G367" t="s">
        <v>9</v>
      </c>
    </row>
    <row r="368" spans="1:7" x14ac:dyDescent="0.35">
      <c r="A368">
        <v>139</v>
      </c>
      <c r="B368" s="1">
        <v>45345</v>
      </c>
      <c r="C368" t="s">
        <v>29</v>
      </c>
      <c r="D368" s="2">
        <v>1591.54</v>
      </c>
      <c r="E368" s="2">
        <v>0</v>
      </c>
      <c r="F368" t="s">
        <v>28</v>
      </c>
      <c r="G368" t="s">
        <v>17</v>
      </c>
    </row>
    <row r="369" spans="1:7" x14ac:dyDescent="0.35">
      <c r="A369">
        <v>139</v>
      </c>
      <c r="B369" s="1">
        <v>45345</v>
      </c>
      <c r="C369" t="s">
        <v>29</v>
      </c>
      <c r="D369" s="2">
        <v>0</v>
      </c>
      <c r="E369" s="2">
        <v>1591.54</v>
      </c>
      <c r="F369" t="s">
        <v>8</v>
      </c>
      <c r="G369" t="s">
        <v>9</v>
      </c>
    </row>
    <row r="370" spans="1:7" x14ac:dyDescent="0.35">
      <c r="A370">
        <v>140</v>
      </c>
      <c r="B370" s="1">
        <v>45348</v>
      </c>
      <c r="C370" t="s">
        <v>12</v>
      </c>
      <c r="D370" s="2">
        <v>3432.66</v>
      </c>
      <c r="E370" s="2">
        <v>0</v>
      </c>
      <c r="F370" t="s">
        <v>13</v>
      </c>
      <c r="G370" t="s">
        <v>9</v>
      </c>
    </row>
    <row r="371" spans="1:7" x14ac:dyDescent="0.35">
      <c r="A371">
        <v>140</v>
      </c>
      <c r="B371" s="1">
        <v>45348</v>
      </c>
      <c r="C371" t="s">
        <v>12</v>
      </c>
      <c r="D371" s="2">
        <v>0</v>
      </c>
      <c r="E371" s="2">
        <v>3193.18</v>
      </c>
      <c r="F371" t="s">
        <v>14</v>
      </c>
      <c r="G371" t="s">
        <v>15</v>
      </c>
    </row>
    <row r="372" spans="1:7" x14ac:dyDescent="0.35">
      <c r="A372">
        <v>140</v>
      </c>
      <c r="B372" s="1">
        <v>45348</v>
      </c>
      <c r="C372" t="s">
        <v>12</v>
      </c>
      <c r="D372" s="2">
        <v>0</v>
      </c>
      <c r="E372" s="2">
        <v>239.48</v>
      </c>
      <c r="F372" t="s">
        <v>16</v>
      </c>
      <c r="G372" t="s">
        <v>17</v>
      </c>
    </row>
    <row r="373" spans="1:7" x14ac:dyDescent="0.35">
      <c r="A373">
        <v>141</v>
      </c>
      <c r="B373" s="1">
        <v>45348</v>
      </c>
      <c r="C373" t="s">
        <v>24</v>
      </c>
      <c r="D373" s="2">
        <v>2318.94</v>
      </c>
      <c r="E373" s="2">
        <v>0</v>
      </c>
      <c r="F373" t="s">
        <v>8</v>
      </c>
      <c r="G373" t="s">
        <v>9</v>
      </c>
    </row>
    <row r="374" spans="1:7" x14ac:dyDescent="0.35">
      <c r="A374">
        <v>141</v>
      </c>
      <c r="B374" s="1">
        <v>45348</v>
      </c>
      <c r="C374" t="s">
        <v>24</v>
      </c>
      <c r="D374" s="2">
        <v>0</v>
      </c>
      <c r="E374" s="2">
        <v>2318.94</v>
      </c>
      <c r="F374" t="s">
        <v>13</v>
      </c>
      <c r="G374" t="s">
        <v>9</v>
      </c>
    </row>
    <row r="375" spans="1:7" x14ac:dyDescent="0.35">
      <c r="A375">
        <v>142</v>
      </c>
      <c r="B375" s="1">
        <v>45348</v>
      </c>
      <c r="C375" t="s">
        <v>25</v>
      </c>
      <c r="D375" s="2">
        <v>2329.52</v>
      </c>
      <c r="E375" s="2">
        <v>0</v>
      </c>
      <c r="F375" t="s">
        <v>26</v>
      </c>
      <c r="G375" t="s">
        <v>20</v>
      </c>
    </row>
    <row r="376" spans="1:7" x14ac:dyDescent="0.35">
      <c r="A376">
        <v>142</v>
      </c>
      <c r="B376" s="1">
        <v>45348</v>
      </c>
      <c r="C376" t="s">
        <v>25</v>
      </c>
      <c r="D376" s="2">
        <v>174.71</v>
      </c>
      <c r="E376" s="2">
        <v>0</v>
      </c>
      <c r="F376" t="s">
        <v>27</v>
      </c>
      <c r="G376" t="s">
        <v>9</v>
      </c>
    </row>
    <row r="377" spans="1:7" x14ac:dyDescent="0.35">
      <c r="A377">
        <v>142</v>
      </c>
      <c r="B377" s="1">
        <v>45348</v>
      </c>
      <c r="C377" t="s">
        <v>25</v>
      </c>
      <c r="D377" s="2">
        <v>0</v>
      </c>
      <c r="E377" s="2">
        <v>2504.23</v>
      </c>
      <c r="F377" t="s">
        <v>28</v>
      </c>
      <c r="G377" t="s">
        <v>17</v>
      </c>
    </row>
    <row r="378" spans="1:7" x14ac:dyDescent="0.35">
      <c r="A378">
        <v>143</v>
      </c>
      <c r="B378" s="1">
        <v>45348</v>
      </c>
      <c r="C378" t="s">
        <v>25</v>
      </c>
      <c r="D378" s="2">
        <v>952.02</v>
      </c>
      <c r="E378" s="2">
        <v>0</v>
      </c>
      <c r="F378" t="s">
        <v>26</v>
      </c>
      <c r="G378" t="s">
        <v>20</v>
      </c>
    </row>
    <row r="379" spans="1:7" x14ac:dyDescent="0.35">
      <c r="A379">
        <v>143</v>
      </c>
      <c r="B379" s="1">
        <v>45348</v>
      </c>
      <c r="C379" t="s">
        <v>25</v>
      </c>
      <c r="D379" s="2">
        <v>71.400000000000006</v>
      </c>
      <c r="E379" s="2">
        <v>0</v>
      </c>
      <c r="F379" t="s">
        <v>27</v>
      </c>
      <c r="G379" t="s">
        <v>9</v>
      </c>
    </row>
    <row r="380" spans="1:7" x14ac:dyDescent="0.35">
      <c r="A380">
        <v>143</v>
      </c>
      <c r="B380" s="1">
        <v>45348</v>
      </c>
      <c r="C380" t="s">
        <v>25</v>
      </c>
      <c r="D380" s="2">
        <v>0</v>
      </c>
      <c r="E380" s="2">
        <v>1023.42</v>
      </c>
      <c r="F380" t="s">
        <v>28</v>
      </c>
      <c r="G380" t="s">
        <v>17</v>
      </c>
    </row>
    <row r="381" spans="1:7" x14ac:dyDescent="0.35">
      <c r="A381">
        <v>144</v>
      </c>
      <c r="B381" s="1">
        <v>45348</v>
      </c>
      <c r="C381" t="s">
        <v>29</v>
      </c>
      <c r="D381" s="2">
        <v>862.91</v>
      </c>
      <c r="E381" s="2">
        <v>0</v>
      </c>
      <c r="F381" t="s">
        <v>28</v>
      </c>
      <c r="G381" t="s">
        <v>17</v>
      </c>
    </row>
    <row r="382" spans="1:7" x14ac:dyDescent="0.35">
      <c r="A382">
        <v>144</v>
      </c>
      <c r="B382" s="1">
        <v>45348</v>
      </c>
      <c r="C382" t="s">
        <v>29</v>
      </c>
      <c r="D382" s="2">
        <v>0</v>
      </c>
      <c r="E382" s="2">
        <v>862.91</v>
      </c>
      <c r="F382" t="s">
        <v>8</v>
      </c>
      <c r="G382" t="s">
        <v>9</v>
      </c>
    </row>
    <row r="383" spans="1:7" x14ac:dyDescent="0.35">
      <c r="A383">
        <v>145</v>
      </c>
      <c r="B383" s="1">
        <v>45348</v>
      </c>
      <c r="C383" t="s">
        <v>29</v>
      </c>
      <c r="D383" s="2">
        <v>412.54</v>
      </c>
      <c r="E383" s="2">
        <v>0</v>
      </c>
      <c r="F383" t="s">
        <v>28</v>
      </c>
      <c r="G383" t="s">
        <v>17</v>
      </c>
    </row>
    <row r="384" spans="1:7" x14ac:dyDescent="0.35">
      <c r="A384">
        <v>145</v>
      </c>
      <c r="B384" s="1">
        <v>45348</v>
      </c>
      <c r="C384" t="s">
        <v>29</v>
      </c>
      <c r="D384" s="2">
        <v>0</v>
      </c>
      <c r="E384" s="2">
        <v>412.54</v>
      </c>
      <c r="F384" t="s">
        <v>8</v>
      </c>
      <c r="G384" t="s">
        <v>9</v>
      </c>
    </row>
    <row r="385" spans="1:7" x14ac:dyDescent="0.35">
      <c r="A385">
        <v>146</v>
      </c>
      <c r="B385" s="1">
        <v>45349</v>
      </c>
      <c r="C385" t="s">
        <v>12</v>
      </c>
      <c r="D385" s="2">
        <v>5151.59</v>
      </c>
      <c r="E385" s="2">
        <v>0</v>
      </c>
      <c r="F385" t="s">
        <v>13</v>
      </c>
      <c r="G385" t="s">
        <v>9</v>
      </c>
    </row>
    <row r="386" spans="1:7" x14ac:dyDescent="0.35">
      <c r="A386">
        <v>146</v>
      </c>
      <c r="B386" s="1">
        <v>45349</v>
      </c>
      <c r="C386" t="s">
        <v>12</v>
      </c>
      <c r="D386" s="2">
        <v>0</v>
      </c>
      <c r="E386" s="2">
        <v>4792.18</v>
      </c>
      <c r="F386" t="s">
        <v>14</v>
      </c>
      <c r="G386" t="s">
        <v>15</v>
      </c>
    </row>
    <row r="387" spans="1:7" x14ac:dyDescent="0.35">
      <c r="A387">
        <v>146</v>
      </c>
      <c r="B387" s="1">
        <v>45349</v>
      </c>
      <c r="C387" t="s">
        <v>12</v>
      </c>
      <c r="D387" s="2">
        <v>0</v>
      </c>
      <c r="E387" s="2">
        <v>359.41</v>
      </c>
      <c r="F387" t="s">
        <v>16</v>
      </c>
      <c r="G387" t="s">
        <v>17</v>
      </c>
    </row>
    <row r="388" spans="1:7" x14ac:dyDescent="0.35">
      <c r="A388">
        <v>147</v>
      </c>
      <c r="B388" s="1">
        <v>45349</v>
      </c>
      <c r="C388" t="s">
        <v>12</v>
      </c>
      <c r="D388" s="2">
        <v>3148.1</v>
      </c>
      <c r="E388" s="2">
        <v>0</v>
      </c>
      <c r="F388" t="s">
        <v>13</v>
      </c>
      <c r="G388" t="s">
        <v>9</v>
      </c>
    </row>
    <row r="389" spans="1:7" x14ac:dyDescent="0.35">
      <c r="A389">
        <v>147</v>
      </c>
      <c r="B389" s="1">
        <v>45349</v>
      </c>
      <c r="C389" t="s">
        <v>12</v>
      </c>
      <c r="D389" s="2">
        <v>0</v>
      </c>
      <c r="E389" s="2">
        <v>2928.46</v>
      </c>
      <c r="F389" t="s">
        <v>14</v>
      </c>
      <c r="G389" t="s">
        <v>15</v>
      </c>
    </row>
    <row r="390" spans="1:7" x14ac:dyDescent="0.35">
      <c r="A390">
        <v>147</v>
      </c>
      <c r="B390" s="1">
        <v>45349</v>
      </c>
      <c r="C390" t="s">
        <v>12</v>
      </c>
      <c r="D390" s="2">
        <v>0</v>
      </c>
      <c r="E390" s="2">
        <v>219.64</v>
      </c>
      <c r="F390" t="s">
        <v>16</v>
      </c>
      <c r="G390" t="s">
        <v>17</v>
      </c>
    </row>
    <row r="391" spans="1:7" x14ac:dyDescent="0.35">
      <c r="A391">
        <v>148</v>
      </c>
      <c r="B391" s="1">
        <v>45349</v>
      </c>
      <c r="C391" t="s">
        <v>24</v>
      </c>
      <c r="D391" s="2">
        <v>1615.55</v>
      </c>
      <c r="E391" s="2">
        <v>0</v>
      </c>
      <c r="F391" t="s">
        <v>8</v>
      </c>
      <c r="G391" t="s">
        <v>9</v>
      </c>
    </row>
    <row r="392" spans="1:7" x14ac:dyDescent="0.35">
      <c r="A392">
        <v>148</v>
      </c>
      <c r="B392" s="1">
        <v>45349</v>
      </c>
      <c r="C392" t="s">
        <v>24</v>
      </c>
      <c r="D392" s="2">
        <v>0</v>
      </c>
      <c r="E392" s="2">
        <v>1615.55</v>
      </c>
      <c r="F392" t="s">
        <v>13</v>
      </c>
      <c r="G392" t="s">
        <v>9</v>
      </c>
    </row>
    <row r="393" spans="1:7" x14ac:dyDescent="0.35">
      <c r="A393">
        <v>149</v>
      </c>
      <c r="B393" s="1">
        <v>45349</v>
      </c>
      <c r="C393" t="s">
        <v>24</v>
      </c>
      <c r="D393" s="2">
        <v>578.66999999999996</v>
      </c>
      <c r="E393" s="2">
        <v>0</v>
      </c>
      <c r="F393" t="s">
        <v>8</v>
      </c>
      <c r="G393" t="s">
        <v>9</v>
      </c>
    </row>
    <row r="394" spans="1:7" x14ac:dyDescent="0.35">
      <c r="A394">
        <v>149</v>
      </c>
      <c r="B394" s="1">
        <v>45349</v>
      </c>
      <c r="C394" t="s">
        <v>24</v>
      </c>
      <c r="D394" s="2">
        <v>0</v>
      </c>
      <c r="E394" s="2">
        <v>578.66999999999996</v>
      </c>
      <c r="F394" t="s">
        <v>13</v>
      </c>
      <c r="G394" t="s">
        <v>9</v>
      </c>
    </row>
    <row r="395" spans="1:7" x14ac:dyDescent="0.35">
      <c r="A395">
        <v>150</v>
      </c>
      <c r="B395" s="1">
        <v>45350</v>
      </c>
      <c r="C395" t="s">
        <v>12</v>
      </c>
      <c r="D395" s="2">
        <v>3200.68</v>
      </c>
      <c r="E395" s="2">
        <v>0</v>
      </c>
      <c r="F395" t="s">
        <v>13</v>
      </c>
      <c r="G395" t="s">
        <v>9</v>
      </c>
    </row>
    <row r="396" spans="1:7" x14ac:dyDescent="0.35">
      <c r="A396">
        <v>150</v>
      </c>
      <c r="B396" s="1">
        <v>45350</v>
      </c>
      <c r="C396" t="s">
        <v>12</v>
      </c>
      <c r="D396" s="2">
        <v>0</v>
      </c>
      <c r="E396" s="2">
        <v>2977.38</v>
      </c>
      <c r="F396" t="s">
        <v>14</v>
      </c>
      <c r="G396" t="s">
        <v>15</v>
      </c>
    </row>
    <row r="397" spans="1:7" x14ac:dyDescent="0.35">
      <c r="A397">
        <v>150</v>
      </c>
      <c r="B397" s="1">
        <v>45350</v>
      </c>
      <c r="C397" t="s">
        <v>12</v>
      </c>
      <c r="D397" s="2">
        <v>0</v>
      </c>
      <c r="E397" s="2">
        <v>223.3</v>
      </c>
      <c r="F397" t="s">
        <v>16</v>
      </c>
      <c r="G397" t="s">
        <v>17</v>
      </c>
    </row>
    <row r="398" spans="1:7" x14ac:dyDescent="0.35">
      <c r="A398">
        <v>151</v>
      </c>
      <c r="B398" s="1">
        <v>45350</v>
      </c>
      <c r="C398" t="s">
        <v>12</v>
      </c>
      <c r="D398" s="2">
        <v>2434.4699999999998</v>
      </c>
      <c r="E398" s="2">
        <v>0</v>
      </c>
      <c r="F398" t="s">
        <v>13</v>
      </c>
      <c r="G398" t="s">
        <v>9</v>
      </c>
    </row>
    <row r="399" spans="1:7" x14ac:dyDescent="0.35">
      <c r="A399">
        <v>151</v>
      </c>
      <c r="B399" s="1">
        <v>45350</v>
      </c>
      <c r="C399" t="s">
        <v>12</v>
      </c>
      <c r="D399" s="2">
        <v>0</v>
      </c>
      <c r="E399" s="2">
        <v>2264.62</v>
      </c>
      <c r="F399" t="s">
        <v>14</v>
      </c>
      <c r="G399" t="s">
        <v>15</v>
      </c>
    </row>
    <row r="400" spans="1:7" x14ac:dyDescent="0.35">
      <c r="A400">
        <v>151</v>
      </c>
      <c r="B400" s="1">
        <v>45350</v>
      </c>
      <c r="C400" t="s">
        <v>12</v>
      </c>
      <c r="D400" s="2">
        <v>0</v>
      </c>
      <c r="E400" s="2">
        <v>169.85</v>
      </c>
      <c r="F400" t="s">
        <v>16</v>
      </c>
      <c r="G400" t="s">
        <v>17</v>
      </c>
    </row>
    <row r="401" spans="1:7" x14ac:dyDescent="0.35">
      <c r="A401">
        <v>152</v>
      </c>
      <c r="B401" s="1">
        <v>45350</v>
      </c>
      <c r="C401" t="s">
        <v>12</v>
      </c>
      <c r="D401" s="2">
        <v>353.57</v>
      </c>
      <c r="E401" s="2">
        <v>0</v>
      </c>
      <c r="F401" t="s">
        <v>13</v>
      </c>
      <c r="G401" t="s">
        <v>9</v>
      </c>
    </row>
    <row r="402" spans="1:7" x14ac:dyDescent="0.35">
      <c r="A402">
        <v>152</v>
      </c>
      <c r="B402" s="1">
        <v>45350</v>
      </c>
      <c r="C402" t="s">
        <v>12</v>
      </c>
      <c r="D402" s="2">
        <v>0</v>
      </c>
      <c r="E402" s="2">
        <v>328.9</v>
      </c>
      <c r="F402" t="s">
        <v>14</v>
      </c>
      <c r="G402" t="s">
        <v>15</v>
      </c>
    </row>
    <row r="403" spans="1:7" x14ac:dyDescent="0.35">
      <c r="A403">
        <v>152</v>
      </c>
      <c r="B403" s="1">
        <v>45350</v>
      </c>
      <c r="C403" t="s">
        <v>12</v>
      </c>
      <c r="D403" s="2">
        <v>0</v>
      </c>
      <c r="E403" s="2">
        <v>24.67</v>
      </c>
      <c r="F403" t="s">
        <v>16</v>
      </c>
      <c r="G403" t="s">
        <v>17</v>
      </c>
    </row>
    <row r="404" spans="1:7" x14ac:dyDescent="0.35">
      <c r="A404">
        <v>153</v>
      </c>
      <c r="B404" s="1">
        <v>45350</v>
      </c>
      <c r="C404" t="s">
        <v>24</v>
      </c>
      <c r="D404" s="2">
        <v>3236.42</v>
      </c>
      <c r="E404" s="2">
        <v>0</v>
      </c>
      <c r="F404" t="s">
        <v>8</v>
      </c>
      <c r="G404" t="s">
        <v>9</v>
      </c>
    </row>
    <row r="405" spans="1:7" x14ac:dyDescent="0.35">
      <c r="A405">
        <v>153</v>
      </c>
      <c r="B405" s="1">
        <v>45350</v>
      </c>
      <c r="C405" t="s">
        <v>24</v>
      </c>
      <c r="D405" s="2">
        <v>0</v>
      </c>
      <c r="E405" s="2">
        <v>3236.42</v>
      </c>
      <c r="F405" t="s">
        <v>13</v>
      </c>
      <c r="G405" t="s">
        <v>9</v>
      </c>
    </row>
    <row r="406" spans="1:7" x14ac:dyDescent="0.35">
      <c r="A406">
        <v>154</v>
      </c>
      <c r="B406" s="1">
        <v>45350</v>
      </c>
      <c r="C406" t="s">
        <v>25</v>
      </c>
      <c r="D406" s="2">
        <v>696.06</v>
      </c>
      <c r="E406" s="2">
        <v>0</v>
      </c>
      <c r="F406" t="s">
        <v>26</v>
      </c>
      <c r="G406" t="s">
        <v>20</v>
      </c>
    </row>
    <row r="407" spans="1:7" x14ac:dyDescent="0.35">
      <c r="A407">
        <v>154</v>
      </c>
      <c r="B407" s="1">
        <v>45350</v>
      </c>
      <c r="C407" t="s">
        <v>25</v>
      </c>
      <c r="D407" s="2">
        <v>52.2</v>
      </c>
      <c r="E407" s="2">
        <v>0</v>
      </c>
      <c r="F407" t="s">
        <v>27</v>
      </c>
      <c r="G407" t="s">
        <v>9</v>
      </c>
    </row>
    <row r="408" spans="1:7" x14ac:dyDescent="0.35">
      <c r="A408">
        <v>154</v>
      </c>
      <c r="B408" s="1">
        <v>45350</v>
      </c>
      <c r="C408" t="s">
        <v>25</v>
      </c>
      <c r="D408" s="2">
        <v>0</v>
      </c>
      <c r="E408" s="2">
        <v>748.26</v>
      </c>
      <c r="F408" t="s">
        <v>28</v>
      </c>
      <c r="G408" t="s">
        <v>17</v>
      </c>
    </row>
    <row r="409" spans="1:7" x14ac:dyDescent="0.35">
      <c r="A409">
        <v>155</v>
      </c>
      <c r="B409" s="1">
        <v>45351</v>
      </c>
      <c r="C409" t="s">
        <v>18</v>
      </c>
      <c r="D409" s="2">
        <v>21469.91</v>
      </c>
      <c r="E409" s="2">
        <v>0</v>
      </c>
      <c r="F409" t="s">
        <v>19</v>
      </c>
      <c r="G409" t="s">
        <v>20</v>
      </c>
    </row>
    <row r="410" spans="1:7" x14ac:dyDescent="0.35">
      <c r="A410">
        <v>155</v>
      </c>
      <c r="B410" s="1">
        <v>45351</v>
      </c>
      <c r="C410" t="s">
        <v>18</v>
      </c>
      <c r="D410" s="2">
        <v>858.81</v>
      </c>
      <c r="E410" s="2">
        <v>0</v>
      </c>
      <c r="F410" t="s">
        <v>21</v>
      </c>
      <c r="G410" t="s">
        <v>20</v>
      </c>
    </row>
    <row r="411" spans="1:7" x14ac:dyDescent="0.35">
      <c r="A411">
        <v>155</v>
      </c>
      <c r="B411" s="1">
        <v>45351</v>
      </c>
      <c r="C411" t="s">
        <v>18</v>
      </c>
      <c r="D411" s="2">
        <v>0</v>
      </c>
      <c r="E411" s="2">
        <v>17599.259999999998</v>
      </c>
      <c r="F411" t="s">
        <v>8</v>
      </c>
      <c r="G411" t="s">
        <v>9</v>
      </c>
    </row>
    <row r="412" spans="1:7" x14ac:dyDescent="0.35">
      <c r="A412">
        <v>155</v>
      </c>
      <c r="B412" s="1">
        <v>45351</v>
      </c>
      <c r="C412" t="s">
        <v>18</v>
      </c>
      <c r="D412" s="2">
        <v>0</v>
      </c>
      <c r="E412" s="2">
        <v>3870.65</v>
      </c>
      <c r="F412" t="s">
        <v>22</v>
      </c>
      <c r="G412" t="s">
        <v>17</v>
      </c>
    </row>
    <row r="413" spans="1:7" x14ac:dyDescent="0.35">
      <c r="A413">
        <v>155</v>
      </c>
      <c r="B413" s="1">
        <v>45351</v>
      </c>
      <c r="C413" t="s">
        <v>18</v>
      </c>
      <c r="D413" s="2">
        <v>0</v>
      </c>
      <c r="E413" s="2">
        <v>858.81</v>
      </c>
      <c r="F413" t="s">
        <v>23</v>
      </c>
      <c r="G413" t="s">
        <v>17</v>
      </c>
    </row>
    <row r="414" spans="1:7" x14ac:dyDescent="0.35">
      <c r="A414">
        <v>156</v>
      </c>
      <c r="B414" s="1">
        <v>45351</v>
      </c>
      <c r="C414" t="s">
        <v>12</v>
      </c>
      <c r="D414" s="2">
        <v>490.82</v>
      </c>
      <c r="E414" s="2">
        <v>0</v>
      </c>
      <c r="F414" t="s">
        <v>13</v>
      </c>
      <c r="G414" t="s">
        <v>9</v>
      </c>
    </row>
    <row r="415" spans="1:7" x14ac:dyDescent="0.35">
      <c r="A415">
        <v>156</v>
      </c>
      <c r="B415" s="1">
        <v>45351</v>
      </c>
      <c r="C415" t="s">
        <v>12</v>
      </c>
      <c r="D415" s="2">
        <v>0</v>
      </c>
      <c r="E415" s="2">
        <v>456.58</v>
      </c>
      <c r="F415" t="s">
        <v>14</v>
      </c>
      <c r="G415" t="s">
        <v>15</v>
      </c>
    </row>
    <row r="416" spans="1:7" x14ac:dyDescent="0.35">
      <c r="A416">
        <v>156</v>
      </c>
      <c r="B416" s="1">
        <v>45351</v>
      </c>
      <c r="C416" t="s">
        <v>12</v>
      </c>
      <c r="D416" s="2">
        <v>0</v>
      </c>
      <c r="E416" s="2">
        <v>34.24</v>
      </c>
      <c r="F416" t="s">
        <v>16</v>
      </c>
      <c r="G416" t="s">
        <v>17</v>
      </c>
    </row>
    <row r="417" spans="1:7" x14ac:dyDescent="0.35">
      <c r="A417">
        <v>157</v>
      </c>
      <c r="B417" s="1">
        <v>45351</v>
      </c>
      <c r="C417" t="s">
        <v>24</v>
      </c>
      <c r="D417" s="2">
        <v>1722.42</v>
      </c>
      <c r="E417" s="2">
        <v>0</v>
      </c>
      <c r="F417" t="s">
        <v>8</v>
      </c>
      <c r="G417" t="s">
        <v>9</v>
      </c>
    </row>
    <row r="418" spans="1:7" x14ac:dyDescent="0.35">
      <c r="A418">
        <v>157</v>
      </c>
      <c r="B418" s="1">
        <v>45351</v>
      </c>
      <c r="C418" t="s">
        <v>24</v>
      </c>
      <c r="D418" s="2">
        <v>0</v>
      </c>
      <c r="E418" s="2">
        <v>1722.42</v>
      </c>
      <c r="F418" t="s">
        <v>13</v>
      </c>
      <c r="G418" t="s">
        <v>9</v>
      </c>
    </row>
    <row r="419" spans="1:7" x14ac:dyDescent="0.35">
      <c r="A419">
        <v>158</v>
      </c>
      <c r="B419" s="1">
        <v>45351</v>
      </c>
      <c r="C419" t="s">
        <v>29</v>
      </c>
      <c r="D419" s="2">
        <v>748.26</v>
      </c>
      <c r="E419" s="2">
        <v>0</v>
      </c>
      <c r="F419" t="s">
        <v>28</v>
      </c>
      <c r="G419" t="s">
        <v>17</v>
      </c>
    </row>
    <row r="420" spans="1:7" x14ac:dyDescent="0.35">
      <c r="A420">
        <v>158</v>
      </c>
      <c r="B420" s="1">
        <v>45351</v>
      </c>
      <c r="C420" t="s">
        <v>29</v>
      </c>
      <c r="D420" s="2">
        <v>0</v>
      </c>
      <c r="E420" s="2">
        <v>748.26</v>
      </c>
      <c r="F420" t="s">
        <v>8</v>
      </c>
      <c r="G420" t="s">
        <v>9</v>
      </c>
    </row>
    <row r="421" spans="1:7" x14ac:dyDescent="0.35">
      <c r="A421">
        <v>159</v>
      </c>
      <c r="B421" s="1">
        <v>45351</v>
      </c>
      <c r="C421" t="s">
        <v>30</v>
      </c>
      <c r="D421" s="2">
        <v>93.61</v>
      </c>
      <c r="E421" s="2">
        <v>0</v>
      </c>
      <c r="F421" t="s">
        <v>31</v>
      </c>
      <c r="G421" t="s">
        <v>20</v>
      </c>
    </row>
    <row r="422" spans="1:7" x14ac:dyDescent="0.35">
      <c r="A422">
        <v>159</v>
      </c>
      <c r="B422" s="1">
        <v>45351</v>
      </c>
      <c r="C422" t="s">
        <v>30</v>
      </c>
      <c r="D422" s="2">
        <v>0</v>
      </c>
      <c r="E422" s="2">
        <v>93.61</v>
      </c>
      <c r="F422" t="s">
        <v>32</v>
      </c>
      <c r="G422" t="s">
        <v>9</v>
      </c>
    </row>
    <row r="423" spans="1:7" x14ac:dyDescent="0.35">
      <c r="A423">
        <v>160</v>
      </c>
      <c r="B423" s="1">
        <v>45351</v>
      </c>
      <c r="C423" t="s">
        <v>33</v>
      </c>
      <c r="D423" s="2">
        <v>76.86</v>
      </c>
      <c r="E423" s="2">
        <v>0</v>
      </c>
      <c r="F423" t="s">
        <v>31</v>
      </c>
      <c r="G423" t="s">
        <v>20</v>
      </c>
    </row>
    <row r="424" spans="1:7" x14ac:dyDescent="0.35">
      <c r="A424">
        <v>160</v>
      </c>
      <c r="B424" s="1">
        <v>45351</v>
      </c>
      <c r="C424" t="s">
        <v>33</v>
      </c>
      <c r="D424" s="2">
        <v>0</v>
      </c>
      <c r="E424" s="2">
        <v>76.86</v>
      </c>
      <c r="F424" t="s">
        <v>32</v>
      </c>
      <c r="G424" t="s">
        <v>9</v>
      </c>
    </row>
    <row r="425" spans="1:7" x14ac:dyDescent="0.35">
      <c r="A425">
        <v>161</v>
      </c>
      <c r="B425" s="1">
        <v>45351</v>
      </c>
      <c r="C425" t="s">
        <v>34</v>
      </c>
      <c r="D425" s="2">
        <v>20.03</v>
      </c>
      <c r="E425" s="2">
        <v>0</v>
      </c>
      <c r="F425" t="s">
        <v>31</v>
      </c>
      <c r="G425" t="s">
        <v>20</v>
      </c>
    </row>
    <row r="426" spans="1:7" x14ac:dyDescent="0.35">
      <c r="A426">
        <v>161</v>
      </c>
      <c r="B426" s="1">
        <v>45351</v>
      </c>
      <c r="C426" t="s">
        <v>34</v>
      </c>
      <c r="D426" s="2">
        <v>0</v>
      </c>
      <c r="E426" s="2">
        <v>20.03</v>
      </c>
      <c r="F426" t="s">
        <v>32</v>
      </c>
      <c r="G426" t="s">
        <v>9</v>
      </c>
    </row>
    <row r="427" spans="1:7" x14ac:dyDescent="0.35">
      <c r="A427">
        <v>162</v>
      </c>
      <c r="B427" s="1">
        <v>45351</v>
      </c>
      <c r="C427" t="s">
        <v>35</v>
      </c>
      <c r="D427" s="2">
        <v>86.89</v>
      </c>
      <c r="E427" s="2">
        <v>0</v>
      </c>
      <c r="F427" t="s">
        <v>31</v>
      </c>
      <c r="G427" t="s">
        <v>20</v>
      </c>
    </row>
    <row r="428" spans="1:7" x14ac:dyDescent="0.35">
      <c r="A428">
        <v>162</v>
      </c>
      <c r="B428" s="1">
        <v>45351</v>
      </c>
      <c r="C428" t="s">
        <v>35</v>
      </c>
      <c r="D428" s="2">
        <v>0</v>
      </c>
      <c r="E428" s="2">
        <v>86.89</v>
      </c>
      <c r="F428" t="s">
        <v>36</v>
      </c>
      <c r="G428" t="s">
        <v>9</v>
      </c>
    </row>
    <row r="429" spans="1:7" x14ac:dyDescent="0.35">
      <c r="A429">
        <v>163</v>
      </c>
      <c r="B429" s="1">
        <v>45351</v>
      </c>
      <c r="C429" t="s">
        <v>37</v>
      </c>
      <c r="D429" s="2">
        <v>76.8</v>
      </c>
      <c r="E429" s="2">
        <v>0</v>
      </c>
      <c r="F429" t="s">
        <v>31</v>
      </c>
      <c r="G429" t="s">
        <v>20</v>
      </c>
    </row>
    <row r="430" spans="1:7" x14ac:dyDescent="0.35">
      <c r="A430">
        <v>163</v>
      </c>
      <c r="B430" s="1">
        <v>45351</v>
      </c>
      <c r="C430" t="s">
        <v>37</v>
      </c>
      <c r="D430" s="2">
        <v>0</v>
      </c>
      <c r="E430" s="2">
        <v>76.8</v>
      </c>
      <c r="F430" t="s">
        <v>36</v>
      </c>
      <c r="G430" t="s">
        <v>9</v>
      </c>
    </row>
    <row r="431" spans="1:7" x14ac:dyDescent="0.35">
      <c r="A431">
        <v>164</v>
      </c>
      <c r="B431" s="1">
        <v>45351</v>
      </c>
      <c r="C431" t="s">
        <v>38</v>
      </c>
      <c r="D431" s="2">
        <v>48.28</v>
      </c>
      <c r="E431" s="2">
        <v>0</v>
      </c>
      <c r="F431" t="s">
        <v>31</v>
      </c>
      <c r="G431" t="s">
        <v>20</v>
      </c>
    </row>
    <row r="432" spans="1:7" x14ac:dyDescent="0.35">
      <c r="A432">
        <v>164</v>
      </c>
      <c r="B432" s="1">
        <v>45351</v>
      </c>
      <c r="C432" t="s">
        <v>38</v>
      </c>
      <c r="D432" s="2">
        <v>0</v>
      </c>
      <c r="E432" s="2">
        <v>48.28</v>
      </c>
      <c r="F432" t="s">
        <v>36</v>
      </c>
      <c r="G432" t="s">
        <v>9</v>
      </c>
    </row>
    <row r="433" spans="1:7" x14ac:dyDescent="0.35">
      <c r="A433">
        <v>165</v>
      </c>
      <c r="B433" s="1">
        <v>45351</v>
      </c>
      <c r="C433" t="s">
        <v>39</v>
      </c>
      <c r="D433" s="2">
        <v>53.21</v>
      </c>
      <c r="E433" s="2">
        <v>0</v>
      </c>
      <c r="F433" t="s">
        <v>31</v>
      </c>
      <c r="G433" t="s">
        <v>20</v>
      </c>
    </row>
    <row r="434" spans="1:7" x14ac:dyDescent="0.35">
      <c r="A434">
        <v>165</v>
      </c>
      <c r="B434" s="1">
        <v>45351</v>
      </c>
      <c r="C434" t="s">
        <v>39</v>
      </c>
      <c r="D434" s="2">
        <v>0</v>
      </c>
      <c r="E434" s="2">
        <v>53.21</v>
      </c>
      <c r="F434" t="s">
        <v>36</v>
      </c>
      <c r="G434" t="s">
        <v>9</v>
      </c>
    </row>
    <row r="435" spans="1:7" x14ac:dyDescent="0.35">
      <c r="A435">
        <v>166</v>
      </c>
      <c r="B435" s="1">
        <v>45351</v>
      </c>
      <c r="C435" t="s">
        <v>40</v>
      </c>
      <c r="D435" s="2">
        <v>232.19</v>
      </c>
      <c r="E435" s="2">
        <v>0</v>
      </c>
      <c r="F435" t="s">
        <v>31</v>
      </c>
      <c r="G435" t="s">
        <v>20</v>
      </c>
    </row>
    <row r="436" spans="1:7" x14ac:dyDescent="0.35">
      <c r="A436">
        <v>166</v>
      </c>
      <c r="B436" s="1">
        <v>45351</v>
      </c>
      <c r="C436" t="s">
        <v>40</v>
      </c>
      <c r="D436" s="2">
        <v>0</v>
      </c>
      <c r="E436" s="2">
        <v>232.19</v>
      </c>
      <c r="F436" t="s">
        <v>41</v>
      </c>
      <c r="G436" t="s">
        <v>9</v>
      </c>
    </row>
    <row r="437" spans="1:7" x14ac:dyDescent="0.35">
      <c r="A437">
        <v>167</v>
      </c>
      <c r="B437" s="1">
        <v>45351</v>
      </c>
      <c r="C437" t="s">
        <v>42</v>
      </c>
      <c r="D437" s="2">
        <v>43.85</v>
      </c>
      <c r="E437" s="2">
        <v>0</v>
      </c>
      <c r="F437" t="s">
        <v>31</v>
      </c>
      <c r="G437" t="s">
        <v>20</v>
      </c>
    </row>
    <row r="438" spans="1:7" x14ac:dyDescent="0.35">
      <c r="A438">
        <v>167</v>
      </c>
      <c r="B438" s="1">
        <v>45351</v>
      </c>
      <c r="C438" t="s">
        <v>42</v>
      </c>
      <c r="D438" s="2">
        <v>0</v>
      </c>
      <c r="E438" s="2">
        <v>43.85</v>
      </c>
      <c r="F438" t="s">
        <v>32</v>
      </c>
      <c r="G438" t="s">
        <v>9</v>
      </c>
    </row>
    <row r="439" spans="1:7" x14ac:dyDescent="0.35">
      <c r="A439">
        <v>168</v>
      </c>
      <c r="B439" s="1">
        <v>45352</v>
      </c>
      <c r="C439" t="s">
        <v>12</v>
      </c>
      <c r="D439" s="2">
        <v>334.5</v>
      </c>
      <c r="E439" s="2">
        <v>0</v>
      </c>
      <c r="F439" t="s">
        <v>13</v>
      </c>
      <c r="G439" t="s">
        <v>9</v>
      </c>
    </row>
    <row r="440" spans="1:7" x14ac:dyDescent="0.35">
      <c r="A440">
        <v>168</v>
      </c>
      <c r="B440" s="1">
        <v>45352</v>
      </c>
      <c r="C440" t="s">
        <v>12</v>
      </c>
      <c r="D440" s="2">
        <v>0</v>
      </c>
      <c r="E440" s="2">
        <v>311.16000000000003</v>
      </c>
      <c r="F440" t="s">
        <v>14</v>
      </c>
      <c r="G440" t="s">
        <v>15</v>
      </c>
    </row>
    <row r="441" spans="1:7" x14ac:dyDescent="0.35">
      <c r="A441">
        <v>168</v>
      </c>
      <c r="B441" s="1">
        <v>45352</v>
      </c>
      <c r="C441" t="s">
        <v>12</v>
      </c>
      <c r="D441" s="2">
        <v>0</v>
      </c>
      <c r="E441" s="2">
        <v>23.34</v>
      </c>
      <c r="F441" t="s">
        <v>16</v>
      </c>
      <c r="G441" t="s">
        <v>17</v>
      </c>
    </row>
    <row r="442" spans="1:7" x14ac:dyDescent="0.35">
      <c r="A442">
        <v>169</v>
      </c>
      <c r="B442" s="1">
        <v>45352</v>
      </c>
      <c r="C442" t="s">
        <v>12</v>
      </c>
      <c r="D442" s="2">
        <v>1632.69</v>
      </c>
      <c r="E442" s="2">
        <v>0</v>
      </c>
      <c r="F442" t="s">
        <v>13</v>
      </c>
      <c r="G442" t="s">
        <v>9</v>
      </c>
    </row>
    <row r="443" spans="1:7" x14ac:dyDescent="0.35">
      <c r="A443">
        <v>169</v>
      </c>
      <c r="B443" s="1">
        <v>45352</v>
      </c>
      <c r="C443" t="s">
        <v>12</v>
      </c>
      <c r="D443" s="2">
        <v>0</v>
      </c>
      <c r="E443" s="2">
        <v>1518.78</v>
      </c>
      <c r="F443" t="s">
        <v>14</v>
      </c>
      <c r="G443" t="s">
        <v>15</v>
      </c>
    </row>
    <row r="444" spans="1:7" x14ac:dyDescent="0.35">
      <c r="A444">
        <v>169</v>
      </c>
      <c r="B444" s="1">
        <v>45352</v>
      </c>
      <c r="C444" t="s">
        <v>12</v>
      </c>
      <c r="D444" s="2">
        <v>0</v>
      </c>
      <c r="E444" s="2">
        <v>113.91</v>
      </c>
      <c r="F444" t="s">
        <v>16</v>
      </c>
      <c r="G444" t="s">
        <v>17</v>
      </c>
    </row>
    <row r="445" spans="1:7" x14ac:dyDescent="0.35">
      <c r="A445">
        <v>170</v>
      </c>
      <c r="B445" s="1">
        <v>45352</v>
      </c>
      <c r="C445" t="s">
        <v>29</v>
      </c>
      <c r="D445" s="2">
        <v>1766.46</v>
      </c>
      <c r="E445" s="2">
        <v>0</v>
      </c>
      <c r="F445" t="s">
        <v>28</v>
      </c>
      <c r="G445" t="s">
        <v>17</v>
      </c>
    </row>
    <row r="446" spans="1:7" x14ac:dyDescent="0.35">
      <c r="A446">
        <v>170</v>
      </c>
      <c r="B446" s="1">
        <v>45352</v>
      </c>
      <c r="C446" t="s">
        <v>29</v>
      </c>
      <c r="D446" s="2">
        <v>0</v>
      </c>
      <c r="E446" s="2">
        <v>1766.46</v>
      </c>
      <c r="F446" t="s">
        <v>8</v>
      </c>
      <c r="G446" t="s">
        <v>9</v>
      </c>
    </row>
    <row r="447" spans="1:7" x14ac:dyDescent="0.35">
      <c r="A447">
        <v>171</v>
      </c>
      <c r="B447" s="1">
        <v>45355</v>
      </c>
      <c r="C447" t="s">
        <v>12</v>
      </c>
      <c r="D447" s="2">
        <v>495.56</v>
      </c>
      <c r="E447" s="2">
        <v>0</v>
      </c>
      <c r="F447" t="s">
        <v>13</v>
      </c>
      <c r="G447" t="s">
        <v>9</v>
      </c>
    </row>
    <row r="448" spans="1:7" x14ac:dyDescent="0.35">
      <c r="A448">
        <v>171</v>
      </c>
      <c r="B448" s="1">
        <v>45355</v>
      </c>
      <c r="C448" t="s">
        <v>12</v>
      </c>
      <c r="D448" s="2">
        <v>0</v>
      </c>
      <c r="E448" s="2">
        <v>460.98</v>
      </c>
      <c r="F448" t="s">
        <v>14</v>
      </c>
      <c r="G448" t="s">
        <v>15</v>
      </c>
    </row>
    <row r="449" spans="1:7" x14ac:dyDescent="0.35">
      <c r="A449">
        <v>171</v>
      </c>
      <c r="B449" s="1">
        <v>45355</v>
      </c>
      <c r="C449" t="s">
        <v>12</v>
      </c>
      <c r="D449" s="2">
        <v>0</v>
      </c>
      <c r="E449" s="2">
        <v>34.58</v>
      </c>
      <c r="F449" t="s">
        <v>16</v>
      </c>
      <c r="G449" t="s">
        <v>17</v>
      </c>
    </row>
    <row r="450" spans="1:7" x14ac:dyDescent="0.35">
      <c r="A450">
        <v>172</v>
      </c>
      <c r="B450" s="1">
        <v>45355</v>
      </c>
      <c r="C450" t="s">
        <v>12</v>
      </c>
      <c r="D450" s="2">
        <v>1947.12</v>
      </c>
      <c r="E450" s="2">
        <v>0</v>
      </c>
      <c r="F450" t="s">
        <v>13</v>
      </c>
      <c r="G450" t="s">
        <v>9</v>
      </c>
    </row>
    <row r="451" spans="1:7" x14ac:dyDescent="0.35">
      <c r="A451">
        <v>172</v>
      </c>
      <c r="B451" s="1">
        <v>45355</v>
      </c>
      <c r="C451" t="s">
        <v>12</v>
      </c>
      <c r="D451" s="2">
        <v>0</v>
      </c>
      <c r="E451" s="2">
        <v>1811.28</v>
      </c>
      <c r="F451" t="s">
        <v>14</v>
      </c>
      <c r="G451" t="s">
        <v>15</v>
      </c>
    </row>
    <row r="452" spans="1:7" x14ac:dyDescent="0.35">
      <c r="A452">
        <v>172</v>
      </c>
      <c r="B452" s="1">
        <v>45355</v>
      </c>
      <c r="C452" t="s">
        <v>12</v>
      </c>
      <c r="D452" s="2">
        <v>0</v>
      </c>
      <c r="E452" s="2">
        <v>135.84</v>
      </c>
      <c r="F452" t="s">
        <v>16</v>
      </c>
      <c r="G452" t="s">
        <v>17</v>
      </c>
    </row>
    <row r="453" spans="1:7" x14ac:dyDescent="0.35">
      <c r="A453">
        <v>173</v>
      </c>
      <c r="B453" s="1">
        <v>45355</v>
      </c>
      <c r="C453" t="s">
        <v>12</v>
      </c>
      <c r="D453" s="2">
        <v>1586.96</v>
      </c>
      <c r="E453" s="2">
        <v>0</v>
      </c>
      <c r="F453" t="s">
        <v>13</v>
      </c>
      <c r="G453" t="s">
        <v>9</v>
      </c>
    </row>
    <row r="454" spans="1:7" x14ac:dyDescent="0.35">
      <c r="A454">
        <v>173</v>
      </c>
      <c r="B454" s="1">
        <v>45355</v>
      </c>
      <c r="C454" t="s">
        <v>12</v>
      </c>
      <c r="D454" s="2">
        <v>0</v>
      </c>
      <c r="E454" s="2">
        <v>1476.25</v>
      </c>
      <c r="F454" t="s">
        <v>14</v>
      </c>
      <c r="G454" t="s">
        <v>15</v>
      </c>
    </row>
    <row r="455" spans="1:7" x14ac:dyDescent="0.35">
      <c r="A455">
        <v>173</v>
      </c>
      <c r="B455" s="1">
        <v>45355</v>
      </c>
      <c r="C455" t="s">
        <v>12</v>
      </c>
      <c r="D455" s="2">
        <v>0</v>
      </c>
      <c r="E455" s="2">
        <v>110.71</v>
      </c>
      <c r="F455" t="s">
        <v>16</v>
      </c>
      <c r="G455" t="s">
        <v>17</v>
      </c>
    </row>
    <row r="456" spans="1:7" x14ac:dyDescent="0.35">
      <c r="A456">
        <v>174</v>
      </c>
      <c r="B456" s="1">
        <v>45355</v>
      </c>
      <c r="C456" t="s">
        <v>25</v>
      </c>
      <c r="D456" s="2">
        <v>3282.76</v>
      </c>
      <c r="E456" s="2">
        <v>0</v>
      </c>
      <c r="F456" t="s">
        <v>26</v>
      </c>
      <c r="G456" t="s">
        <v>20</v>
      </c>
    </row>
    <row r="457" spans="1:7" x14ac:dyDescent="0.35">
      <c r="A457">
        <v>174</v>
      </c>
      <c r="B457" s="1">
        <v>45355</v>
      </c>
      <c r="C457" t="s">
        <v>25</v>
      </c>
      <c r="D457" s="2">
        <v>246.21</v>
      </c>
      <c r="E457" s="2">
        <v>0</v>
      </c>
      <c r="F457" t="s">
        <v>27</v>
      </c>
      <c r="G457" t="s">
        <v>9</v>
      </c>
    </row>
    <row r="458" spans="1:7" x14ac:dyDescent="0.35">
      <c r="A458">
        <v>174</v>
      </c>
      <c r="B458" s="1">
        <v>45355</v>
      </c>
      <c r="C458" t="s">
        <v>25</v>
      </c>
      <c r="D458" s="2">
        <v>0</v>
      </c>
      <c r="E458" s="2">
        <v>3528.97</v>
      </c>
      <c r="F458" t="s">
        <v>28</v>
      </c>
      <c r="G458" t="s">
        <v>17</v>
      </c>
    </row>
    <row r="459" spans="1:7" x14ac:dyDescent="0.35">
      <c r="A459">
        <v>175</v>
      </c>
      <c r="B459" s="1">
        <v>45355</v>
      </c>
      <c r="C459" t="s">
        <v>29</v>
      </c>
      <c r="D459" s="2">
        <v>2504.23</v>
      </c>
      <c r="E459" s="2">
        <v>0</v>
      </c>
      <c r="F459" t="s">
        <v>28</v>
      </c>
      <c r="G459" t="s">
        <v>17</v>
      </c>
    </row>
    <row r="460" spans="1:7" x14ac:dyDescent="0.35">
      <c r="A460">
        <v>175</v>
      </c>
      <c r="B460" s="1">
        <v>45355</v>
      </c>
      <c r="C460" t="s">
        <v>29</v>
      </c>
      <c r="D460" s="2">
        <v>0</v>
      </c>
      <c r="E460" s="2">
        <v>2504.23</v>
      </c>
      <c r="F460" t="s">
        <v>8</v>
      </c>
      <c r="G460" t="s">
        <v>9</v>
      </c>
    </row>
    <row r="461" spans="1:7" x14ac:dyDescent="0.35">
      <c r="A461">
        <v>176</v>
      </c>
      <c r="B461" s="1">
        <v>45356</v>
      </c>
      <c r="C461" t="s">
        <v>12</v>
      </c>
      <c r="D461" s="2">
        <v>1410.87</v>
      </c>
      <c r="E461" s="2">
        <v>0</v>
      </c>
      <c r="F461" t="s">
        <v>13</v>
      </c>
      <c r="G461" t="s">
        <v>9</v>
      </c>
    </row>
    <row r="462" spans="1:7" x14ac:dyDescent="0.35">
      <c r="A462">
        <v>176</v>
      </c>
      <c r="B462" s="1">
        <v>45356</v>
      </c>
      <c r="C462" t="s">
        <v>12</v>
      </c>
      <c r="D462" s="2">
        <v>0</v>
      </c>
      <c r="E462" s="2">
        <v>1312.43</v>
      </c>
      <c r="F462" t="s">
        <v>14</v>
      </c>
      <c r="G462" t="s">
        <v>15</v>
      </c>
    </row>
    <row r="463" spans="1:7" x14ac:dyDescent="0.35">
      <c r="A463">
        <v>176</v>
      </c>
      <c r="B463" s="1">
        <v>45356</v>
      </c>
      <c r="C463" t="s">
        <v>12</v>
      </c>
      <c r="D463" s="2">
        <v>0</v>
      </c>
      <c r="E463" s="2">
        <v>98.44</v>
      </c>
      <c r="F463" t="s">
        <v>16</v>
      </c>
      <c r="G463" t="s">
        <v>17</v>
      </c>
    </row>
    <row r="464" spans="1:7" x14ac:dyDescent="0.35">
      <c r="A464">
        <v>177</v>
      </c>
      <c r="B464" s="1">
        <v>45356</v>
      </c>
      <c r="C464" t="s">
        <v>12</v>
      </c>
      <c r="D464" s="2">
        <v>5223.57</v>
      </c>
      <c r="E464" s="2">
        <v>0</v>
      </c>
      <c r="F464" t="s">
        <v>13</v>
      </c>
      <c r="G464" t="s">
        <v>9</v>
      </c>
    </row>
    <row r="465" spans="1:7" x14ac:dyDescent="0.35">
      <c r="A465">
        <v>177</v>
      </c>
      <c r="B465" s="1">
        <v>45356</v>
      </c>
      <c r="C465" t="s">
        <v>12</v>
      </c>
      <c r="D465" s="2">
        <v>0</v>
      </c>
      <c r="E465" s="2">
        <v>4859.12</v>
      </c>
      <c r="F465" t="s">
        <v>14</v>
      </c>
      <c r="G465" t="s">
        <v>15</v>
      </c>
    </row>
    <row r="466" spans="1:7" x14ac:dyDescent="0.35">
      <c r="A466">
        <v>177</v>
      </c>
      <c r="B466" s="1">
        <v>45356</v>
      </c>
      <c r="C466" t="s">
        <v>12</v>
      </c>
      <c r="D466" s="2">
        <v>0</v>
      </c>
      <c r="E466" s="2">
        <v>364.45</v>
      </c>
      <c r="F466" t="s">
        <v>16</v>
      </c>
      <c r="G466" t="s">
        <v>17</v>
      </c>
    </row>
    <row r="467" spans="1:7" x14ac:dyDescent="0.35">
      <c r="A467">
        <v>178</v>
      </c>
      <c r="B467" s="1">
        <v>45356</v>
      </c>
      <c r="C467" t="s">
        <v>24</v>
      </c>
      <c r="D467" s="2">
        <v>3727.16</v>
      </c>
      <c r="E467" s="2">
        <v>0</v>
      </c>
      <c r="F467" t="s">
        <v>8</v>
      </c>
      <c r="G467" t="s">
        <v>9</v>
      </c>
    </row>
    <row r="468" spans="1:7" x14ac:dyDescent="0.35">
      <c r="A468">
        <v>178</v>
      </c>
      <c r="B468" s="1">
        <v>45356</v>
      </c>
      <c r="C468" t="s">
        <v>24</v>
      </c>
      <c r="D468" s="2">
        <v>0</v>
      </c>
      <c r="E468" s="2">
        <v>3727.16</v>
      </c>
      <c r="F468" t="s">
        <v>13</v>
      </c>
      <c r="G468" t="s">
        <v>9</v>
      </c>
    </row>
    <row r="469" spans="1:7" x14ac:dyDescent="0.35">
      <c r="A469">
        <v>179</v>
      </c>
      <c r="B469" s="1">
        <v>45356</v>
      </c>
      <c r="C469" t="s">
        <v>24</v>
      </c>
      <c r="D469" s="2">
        <v>495.56</v>
      </c>
      <c r="E469" s="2">
        <v>0</v>
      </c>
      <c r="F469" t="s">
        <v>8</v>
      </c>
      <c r="G469" t="s">
        <v>9</v>
      </c>
    </row>
    <row r="470" spans="1:7" x14ac:dyDescent="0.35">
      <c r="A470">
        <v>179</v>
      </c>
      <c r="B470" s="1">
        <v>45356</v>
      </c>
      <c r="C470" t="s">
        <v>24</v>
      </c>
      <c r="D470" s="2">
        <v>0</v>
      </c>
      <c r="E470" s="2">
        <v>495.56</v>
      </c>
      <c r="F470" t="s">
        <v>13</v>
      </c>
      <c r="G470" t="s">
        <v>9</v>
      </c>
    </row>
    <row r="471" spans="1:7" x14ac:dyDescent="0.35">
      <c r="A471">
        <v>180</v>
      </c>
      <c r="B471" s="1">
        <v>45356</v>
      </c>
      <c r="C471" t="s">
        <v>24</v>
      </c>
      <c r="D471" s="2">
        <v>1586.96</v>
      </c>
      <c r="E471" s="2">
        <v>0</v>
      </c>
      <c r="F471" t="s">
        <v>8</v>
      </c>
      <c r="G471" t="s">
        <v>9</v>
      </c>
    </row>
    <row r="472" spans="1:7" x14ac:dyDescent="0.35">
      <c r="A472">
        <v>180</v>
      </c>
      <c r="B472" s="1">
        <v>45356</v>
      </c>
      <c r="C472" t="s">
        <v>24</v>
      </c>
      <c r="D472" s="2">
        <v>0</v>
      </c>
      <c r="E472" s="2">
        <v>1586.96</v>
      </c>
      <c r="F472" t="s">
        <v>13</v>
      </c>
      <c r="G472" t="s">
        <v>9</v>
      </c>
    </row>
    <row r="473" spans="1:7" x14ac:dyDescent="0.35">
      <c r="A473">
        <v>181</v>
      </c>
      <c r="B473" s="1">
        <v>45356</v>
      </c>
      <c r="C473" t="s">
        <v>25</v>
      </c>
      <c r="D473" s="2">
        <v>257.04000000000002</v>
      </c>
      <c r="E473" s="2">
        <v>0</v>
      </c>
      <c r="F473" t="s">
        <v>26</v>
      </c>
      <c r="G473" t="s">
        <v>20</v>
      </c>
    </row>
    <row r="474" spans="1:7" x14ac:dyDescent="0.35">
      <c r="A474">
        <v>181</v>
      </c>
      <c r="B474" s="1">
        <v>45356</v>
      </c>
      <c r="C474" t="s">
        <v>25</v>
      </c>
      <c r="D474" s="2">
        <v>19.28</v>
      </c>
      <c r="E474" s="2">
        <v>0</v>
      </c>
      <c r="F474" t="s">
        <v>27</v>
      </c>
      <c r="G474" t="s">
        <v>9</v>
      </c>
    </row>
    <row r="475" spans="1:7" x14ac:dyDescent="0.35">
      <c r="A475">
        <v>181</v>
      </c>
      <c r="B475" s="1">
        <v>45356</v>
      </c>
      <c r="C475" t="s">
        <v>25</v>
      </c>
      <c r="D475" s="2">
        <v>0</v>
      </c>
      <c r="E475" s="2">
        <v>276.32</v>
      </c>
      <c r="F475" t="s">
        <v>28</v>
      </c>
      <c r="G475" t="s">
        <v>17</v>
      </c>
    </row>
    <row r="476" spans="1:7" x14ac:dyDescent="0.35">
      <c r="A476">
        <v>182</v>
      </c>
      <c r="B476" s="1">
        <v>45357</v>
      </c>
      <c r="C476" t="s">
        <v>12</v>
      </c>
      <c r="D476" s="2">
        <v>1866.77</v>
      </c>
      <c r="E476" s="2">
        <v>0</v>
      </c>
      <c r="F476" t="s">
        <v>13</v>
      </c>
      <c r="G476" t="s">
        <v>9</v>
      </c>
    </row>
    <row r="477" spans="1:7" x14ac:dyDescent="0.35">
      <c r="A477">
        <v>182</v>
      </c>
      <c r="B477" s="1">
        <v>45357</v>
      </c>
      <c r="C477" t="s">
        <v>12</v>
      </c>
      <c r="D477" s="2">
        <v>0</v>
      </c>
      <c r="E477" s="2">
        <v>1736.53</v>
      </c>
      <c r="F477" t="s">
        <v>14</v>
      </c>
      <c r="G477" t="s">
        <v>15</v>
      </c>
    </row>
    <row r="478" spans="1:7" x14ac:dyDescent="0.35">
      <c r="A478">
        <v>182</v>
      </c>
      <c r="B478" s="1">
        <v>45357</v>
      </c>
      <c r="C478" t="s">
        <v>12</v>
      </c>
      <c r="D478" s="2">
        <v>0</v>
      </c>
      <c r="E478" s="2">
        <v>130.24</v>
      </c>
      <c r="F478" t="s">
        <v>16</v>
      </c>
      <c r="G478" t="s">
        <v>17</v>
      </c>
    </row>
    <row r="479" spans="1:7" x14ac:dyDescent="0.35">
      <c r="A479">
        <v>183</v>
      </c>
      <c r="B479" s="1">
        <v>45357</v>
      </c>
      <c r="C479" t="s">
        <v>12</v>
      </c>
      <c r="D479" s="2">
        <v>513.22</v>
      </c>
      <c r="E479" s="2">
        <v>0</v>
      </c>
      <c r="F479" t="s">
        <v>13</v>
      </c>
      <c r="G479" t="s">
        <v>9</v>
      </c>
    </row>
    <row r="480" spans="1:7" x14ac:dyDescent="0.35">
      <c r="A480">
        <v>183</v>
      </c>
      <c r="B480" s="1">
        <v>45357</v>
      </c>
      <c r="C480" t="s">
        <v>12</v>
      </c>
      <c r="D480" s="2">
        <v>0</v>
      </c>
      <c r="E480" s="2">
        <v>477.41</v>
      </c>
      <c r="F480" t="s">
        <v>14</v>
      </c>
      <c r="G480" t="s">
        <v>15</v>
      </c>
    </row>
    <row r="481" spans="1:7" x14ac:dyDescent="0.35">
      <c r="A481">
        <v>183</v>
      </c>
      <c r="B481" s="1">
        <v>45357</v>
      </c>
      <c r="C481" t="s">
        <v>12</v>
      </c>
      <c r="D481" s="2">
        <v>0</v>
      </c>
      <c r="E481" s="2">
        <v>35.81</v>
      </c>
      <c r="F481" t="s">
        <v>16</v>
      </c>
      <c r="G481" t="s">
        <v>17</v>
      </c>
    </row>
    <row r="482" spans="1:7" x14ac:dyDescent="0.35">
      <c r="A482">
        <v>184</v>
      </c>
      <c r="B482" s="1">
        <v>45357</v>
      </c>
      <c r="C482" t="s">
        <v>24</v>
      </c>
      <c r="D482" s="2">
        <v>1632.69</v>
      </c>
      <c r="E482" s="2">
        <v>0</v>
      </c>
      <c r="F482" t="s">
        <v>8</v>
      </c>
      <c r="G482" t="s">
        <v>9</v>
      </c>
    </row>
    <row r="483" spans="1:7" x14ac:dyDescent="0.35">
      <c r="A483">
        <v>184</v>
      </c>
      <c r="B483" s="1">
        <v>45357</v>
      </c>
      <c r="C483" t="s">
        <v>24</v>
      </c>
      <c r="D483" s="2">
        <v>0</v>
      </c>
      <c r="E483" s="2">
        <v>1632.69</v>
      </c>
      <c r="F483" t="s">
        <v>13</v>
      </c>
      <c r="G483" t="s">
        <v>9</v>
      </c>
    </row>
    <row r="484" spans="1:7" x14ac:dyDescent="0.35">
      <c r="A484">
        <v>185</v>
      </c>
      <c r="B484" s="1">
        <v>45358</v>
      </c>
      <c r="C484" t="s">
        <v>12</v>
      </c>
      <c r="D484" s="2">
        <v>525.74</v>
      </c>
      <c r="E484" s="2">
        <v>0</v>
      </c>
      <c r="F484" t="s">
        <v>13</v>
      </c>
      <c r="G484" t="s">
        <v>9</v>
      </c>
    </row>
    <row r="485" spans="1:7" x14ac:dyDescent="0.35">
      <c r="A485">
        <v>185</v>
      </c>
      <c r="B485" s="1">
        <v>45358</v>
      </c>
      <c r="C485" t="s">
        <v>12</v>
      </c>
      <c r="D485" s="2">
        <v>0</v>
      </c>
      <c r="E485" s="2">
        <v>489.06</v>
      </c>
      <c r="F485" t="s">
        <v>14</v>
      </c>
      <c r="G485" t="s">
        <v>15</v>
      </c>
    </row>
    <row r="486" spans="1:7" x14ac:dyDescent="0.35">
      <c r="A486">
        <v>185</v>
      </c>
      <c r="B486" s="1">
        <v>45358</v>
      </c>
      <c r="C486" t="s">
        <v>12</v>
      </c>
      <c r="D486" s="2">
        <v>0</v>
      </c>
      <c r="E486" s="2">
        <v>36.68</v>
      </c>
      <c r="F486" t="s">
        <v>16</v>
      </c>
      <c r="G486" t="s">
        <v>17</v>
      </c>
    </row>
    <row r="487" spans="1:7" x14ac:dyDescent="0.35">
      <c r="A487">
        <v>186</v>
      </c>
      <c r="B487" s="1">
        <v>45358</v>
      </c>
      <c r="C487" t="s">
        <v>12</v>
      </c>
      <c r="D487" s="2">
        <v>796.68</v>
      </c>
      <c r="E487" s="2">
        <v>0</v>
      </c>
      <c r="F487" t="s">
        <v>13</v>
      </c>
      <c r="G487" t="s">
        <v>9</v>
      </c>
    </row>
    <row r="488" spans="1:7" x14ac:dyDescent="0.35">
      <c r="A488">
        <v>186</v>
      </c>
      <c r="B488" s="1">
        <v>45358</v>
      </c>
      <c r="C488" t="s">
        <v>12</v>
      </c>
      <c r="D488" s="2">
        <v>0</v>
      </c>
      <c r="E488" s="2">
        <v>741.09</v>
      </c>
      <c r="F488" t="s">
        <v>14</v>
      </c>
      <c r="G488" t="s">
        <v>15</v>
      </c>
    </row>
    <row r="489" spans="1:7" x14ac:dyDescent="0.35">
      <c r="A489">
        <v>186</v>
      </c>
      <c r="B489" s="1">
        <v>45358</v>
      </c>
      <c r="C489" t="s">
        <v>12</v>
      </c>
      <c r="D489" s="2">
        <v>0</v>
      </c>
      <c r="E489" s="2">
        <v>55.59</v>
      </c>
      <c r="F489" t="s">
        <v>16</v>
      </c>
      <c r="G489" t="s">
        <v>17</v>
      </c>
    </row>
    <row r="490" spans="1:7" x14ac:dyDescent="0.35">
      <c r="A490">
        <v>187</v>
      </c>
      <c r="B490" s="1">
        <v>45358</v>
      </c>
      <c r="C490" t="s">
        <v>24</v>
      </c>
      <c r="D490" s="2">
        <v>3595.63</v>
      </c>
      <c r="E490" s="2">
        <v>0</v>
      </c>
      <c r="F490" t="s">
        <v>8</v>
      </c>
      <c r="G490" t="s">
        <v>9</v>
      </c>
    </row>
    <row r="491" spans="1:7" x14ac:dyDescent="0.35">
      <c r="A491">
        <v>187</v>
      </c>
      <c r="B491" s="1">
        <v>45358</v>
      </c>
      <c r="C491" t="s">
        <v>24</v>
      </c>
      <c r="D491" s="2">
        <v>0</v>
      </c>
      <c r="E491" s="2">
        <v>3595.63</v>
      </c>
      <c r="F491" t="s">
        <v>13</v>
      </c>
      <c r="G491" t="s">
        <v>9</v>
      </c>
    </row>
    <row r="492" spans="1:7" x14ac:dyDescent="0.35">
      <c r="A492">
        <v>188</v>
      </c>
      <c r="B492" s="1">
        <v>45358</v>
      </c>
      <c r="C492" t="s">
        <v>24</v>
      </c>
      <c r="D492" s="2">
        <v>3432.66</v>
      </c>
      <c r="E492" s="2">
        <v>0</v>
      </c>
      <c r="F492" t="s">
        <v>8</v>
      </c>
      <c r="G492" t="s">
        <v>9</v>
      </c>
    </row>
    <row r="493" spans="1:7" x14ac:dyDescent="0.35">
      <c r="A493">
        <v>188</v>
      </c>
      <c r="B493" s="1">
        <v>45358</v>
      </c>
      <c r="C493" t="s">
        <v>24</v>
      </c>
      <c r="D493" s="2">
        <v>0</v>
      </c>
      <c r="E493" s="2">
        <v>3432.66</v>
      </c>
      <c r="F493" t="s">
        <v>13</v>
      </c>
      <c r="G493" t="s">
        <v>9</v>
      </c>
    </row>
    <row r="494" spans="1:7" x14ac:dyDescent="0.35">
      <c r="A494">
        <v>189</v>
      </c>
      <c r="B494" s="1">
        <v>45358</v>
      </c>
      <c r="C494" t="s">
        <v>24</v>
      </c>
      <c r="D494" s="2">
        <v>3200.68</v>
      </c>
      <c r="E494" s="2">
        <v>0</v>
      </c>
      <c r="F494" t="s">
        <v>8</v>
      </c>
      <c r="G494" t="s">
        <v>9</v>
      </c>
    </row>
    <row r="495" spans="1:7" x14ac:dyDescent="0.35">
      <c r="A495">
        <v>189</v>
      </c>
      <c r="B495" s="1">
        <v>45358</v>
      </c>
      <c r="C495" t="s">
        <v>24</v>
      </c>
      <c r="D495" s="2">
        <v>0</v>
      </c>
      <c r="E495" s="2">
        <v>3200.68</v>
      </c>
      <c r="F495" t="s">
        <v>13</v>
      </c>
      <c r="G495" t="s">
        <v>9</v>
      </c>
    </row>
    <row r="496" spans="1:7" x14ac:dyDescent="0.35">
      <c r="A496">
        <v>190</v>
      </c>
      <c r="B496" s="1">
        <v>45359</v>
      </c>
      <c r="C496" t="s">
        <v>12</v>
      </c>
      <c r="D496" s="2">
        <v>3892.96</v>
      </c>
      <c r="E496" s="2">
        <v>0</v>
      </c>
      <c r="F496" t="s">
        <v>13</v>
      </c>
      <c r="G496" t="s">
        <v>9</v>
      </c>
    </row>
    <row r="497" spans="1:7" x14ac:dyDescent="0.35">
      <c r="A497">
        <v>190</v>
      </c>
      <c r="B497" s="1">
        <v>45359</v>
      </c>
      <c r="C497" t="s">
        <v>12</v>
      </c>
      <c r="D497" s="2">
        <v>0</v>
      </c>
      <c r="E497" s="2">
        <v>3621.36</v>
      </c>
      <c r="F497" t="s">
        <v>14</v>
      </c>
      <c r="G497" t="s">
        <v>15</v>
      </c>
    </row>
    <row r="498" spans="1:7" x14ac:dyDescent="0.35">
      <c r="A498">
        <v>190</v>
      </c>
      <c r="B498" s="1">
        <v>45359</v>
      </c>
      <c r="C498" t="s">
        <v>12</v>
      </c>
      <c r="D498" s="2">
        <v>0</v>
      </c>
      <c r="E498" s="2">
        <v>271.60000000000002</v>
      </c>
      <c r="F498" t="s">
        <v>16</v>
      </c>
      <c r="G498" t="s">
        <v>17</v>
      </c>
    </row>
    <row r="499" spans="1:7" x14ac:dyDescent="0.35">
      <c r="A499">
        <v>191</v>
      </c>
      <c r="B499" s="1">
        <v>45359</v>
      </c>
      <c r="C499" t="s">
        <v>12</v>
      </c>
      <c r="D499" s="2">
        <v>2930.15</v>
      </c>
      <c r="E499" s="2">
        <v>0</v>
      </c>
      <c r="F499" t="s">
        <v>13</v>
      </c>
      <c r="G499" t="s">
        <v>9</v>
      </c>
    </row>
    <row r="500" spans="1:7" x14ac:dyDescent="0.35">
      <c r="A500">
        <v>191</v>
      </c>
      <c r="B500" s="1">
        <v>45359</v>
      </c>
      <c r="C500" t="s">
        <v>12</v>
      </c>
      <c r="D500" s="2">
        <v>0</v>
      </c>
      <c r="E500" s="2">
        <v>2725.72</v>
      </c>
      <c r="F500" t="s">
        <v>14</v>
      </c>
      <c r="G500" t="s">
        <v>15</v>
      </c>
    </row>
    <row r="501" spans="1:7" x14ac:dyDescent="0.35">
      <c r="A501">
        <v>191</v>
      </c>
      <c r="B501" s="1">
        <v>45359</v>
      </c>
      <c r="C501" t="s">
        <v>12</v>
      </c>
      <c r="D501" s="2">
        <v>0</v>
      </c>
      <c r="E501" s="2">
        <v>204.43</v>
      </c>
      <c r="F501" t="s">
        <v>16</v>
      </c>
      <c r="G501" t="s">
        <v>17</v>
      </c>
    </row>
    <row r="502" spans="1:7" x14ac:dyDescent="0.35">
      <c r="A502">
        <v>192</v>
      </c>
      <c r="B502" s="1">
        <v>45359</v>
      </c>
      <c r="C502" t="s">
        <v>24</v>
      </c>
      <c r="D502" s="2">
        <v>108.02</v>
      </c>
      <c r="E502" s="2">
        <v>0</v>
      </c>
      <c r="F502" t="s">
        <v>8</v>
      </c>
      <c r="G502" t="s">
        <v>9</v>
      </c>
    </row>
    <row r="503" spans="1:7" x14ac:dyDescent="0.35">
      <c r="A503">
        <v>192</v>
      </c>
      <c r="B503" s="1">
        <v>45359</v>
      </c>
      <c r="C503" t="s">
        <v>24</v>
      </c>
      <c r="D503" s="2">
        <v>0</v>
      </c>
      <c r="E503" s="2">
        <v>108.02</v>
      </c>
      <c r="F503" t="s">
        <v>13</v>
      </c>
      <c r="G503" t="s">
        <v>9</v>
      </c>
    </row>
    <row r="504" spans="1:7" x14ac:dyDescent="0.35">
      <c r="A504">
        <v>193</v>
      </c>
      <c r="B504" s="1">
        <v>45359</v>
      </c>
      <c r="C504" t="s">
        <v>24</v>
      </c>
      <c r="D504" s="2">
        <v>42.09</v>
      </c>
      <c r="E504" s="2">
        <v>0</v>
      </c>
      <c r="F504" t="s">
        <v>8</v>
      </c>
      <c r="G504" t="s">
        <v>9</v>
      </c>
    </row>
    <row r="505" spans="1:7" x14ac:dyDescent="0.35">
      <c r="A505">
        <v>193</v>
      </c>
      <c r="B505" s="1">
        <v>45359</v>
      </c>
      <c r="C505" t="s">
        <v>24</v>
      </c>
      <c r="D505" s="2">
        <v>0</v>
      </c>
      <c r="E505" s="2">
        <v>42.09</v>
      </c>
      <c r="F505" t="s">
        <v>13</v>
      </c>
      <c r="G505" t="s">
        <v>9</v>
      </c>
    </row>
    <row r="506" spans="1:7" x14ac:dyDescent="0.35">
      <c r="A506">
        <v>194</v>
      </c>
      <c r="B506" s="1">
        <v>45359</v>
      </c>
      <c r="C506" t="s">
        <v>24</v>
      </c>
      <c r="D506" s="2">
        <v>1193.48</v>
      </c>
      <c r="E506" s="2">
        <v>0</v>
      </c>
      <c r="F506" t="s">
        <v>8</v>
      </c>
      <c r="G506" t="s">
        <v>9</v>
      </c>
    </row>
    <row r="507" spans="1:7" x14ac:dyDescent="0.35">
      <c r="A507">
        <v>194</v>
      </c>
      <c r="B507" s="1">
        <v>45359</v>
      </c>
      <c r="C507" t="s">
        <v>24</v>
      </c>
      <c r="D507" s="2">
        <v>0</v>
      </c>
      <c r="E507" s="2">
        <v>1193.48</v>
      </c>
      <c r="F507" t="s">
        <v>13</v>
      </c>
      <c r="G507" t="s">
        <v>9</v>
      </c>
    </row>
    <row r="508" spans="1:7" x14ac:dyDescent="0.35">
      <c r="A508">
        <v>195</v>
      </c>
      <c r="B508" s="1">
        <v>45362</v>
      </c>
      <c r="C508" t="s">
        <v>12</v>
      </c>
      <c r="D508" s="2">
        <v>1930.29</v>
      </c>
      <c r="E508" s="2">
        <v>0</v>
      </c>
      <c r="F508" t="s">
        <v>13</v>
      </c>
      <c r="G508" t="s">
        <v>9</v>
      </c>
    </row>
    <row r="509" spans="1:7" x14ac:dyDescent="0.35">
      <c r="A509">
        <v>195</v>
      </c>
      <c r="B509" s="1">
        <v>45362</v>
      </c>
      <c r="C509" t="s">
        <v>12</v>
      </c>
      <c r="D509" s="2">
        <v>0</v>
      </c>
      <c r="E509" s="2">
        <v>1795.62</v>
      </c>
      <c r="F509" t="s">
        <v>14</v>
      </c>
      <c r="G509" t="s">
        <v>15</v>
      </c>
    </row>
    <row r="510" spans="1:7" x14ac:dyDescent="0.35">
      <c r="A510">
        <v>195</v>
      </c>
      <c r="B510" s="1">
        <v>45362</v>
      </c>
      <c r="C510" t="s">
        <v>12</v>
      </c>
      <c r="D510" s="2">
        <v>0</v>
      </c>
      <c r="E510" s="2">
        <v>134.66999999999999</v>
      </c>
      <c r="F510" t="s">
        <v>16</v>
      </c>
      <c r="G510" t="s">
        <v>17</v>
      </c>
    </row>
    <row r="511" spans="1:7" x14ac:dyDescent="0.35">
      <c r="A511">
        <v>196</v>
      </c>
      <c r="B511" s="1">
        <v>45362</v>
      </c>
      <c r="C511" t="s">
        <v>12</v>
      </c>
      <c r="D511" s="2">
        <v>2762.6</v>
      </c>
      <c r="E511" s="2">
        <v>0</v>
      </c>
      <c r="F511" t="s">
        <v>13</v>
      </c>
      <c r="G511" t="s">
        <v>9</v>
      </c>
    </row>
    <row r="512" spans="1:7" x14ac:dyDescent="0.35">
      <c r="A512">
        <v>196</v>
      </c>
      <c r="B512" s="1">
        <v>45362</v>
      </c>
      <c r="C512" t="s">
        <v>12</v>
      </c>
      <c r="D512" s="2">
        <v>0</v>
      </c>
      <c r="E512" s="2">
        <v>2569.86</v>
      </c>
      <c r="F512" t="s">
        <v>14</v>
      </c>
      <c r="G512" t="s">
        <v>15</v>
      </c>
    </row>
    <row r="513" spans="1:7" x14ac:dyDescent="0.35">
      <c r="A513">
        <v>196</v>
      </c>
      <c r="B513" s="1">
        <v>45362</v>
      </c>
      <c r="C513" t="s">
        <v>12</v>
      </c>
      <c r="D513" s="2">
        <v>0</v>
      </c>
      <c r="E513" s="2">
        <v>192.74</v>
      </c>
      <c r="F513" t="s">
        <v>16</v>
      </c>
      <c r="G513" t="s">
        <v>17</v>
      </c>
    </row>
    <row r="514" spans="1:7" x14ac:dyDescent="0.35">
      <c r="A514">
        <v>197</v>
      </c>
      <c r="B514" s="1">
        <v>45362</v>
      </c>
      <c r="C514" t="s">
        <v>12</v>
      </c>
      <c r="D514" s="2">
        <v>262.87</v>
      </c>
      <c r="E514" s="2">
        <v>0</v>
      </c>
      <c r="F514" t="s">
        <v>13</v>
      </c>
      <c r="G514" t="s">
        <v>9</v>
      </c>
    </row>
    <row r="515" spans="1:7" x14ac:dyDescent="0.35">
      <c r="A515">
        <v>197</v>
      </c>
      <c r="B515" s="1">
        <v>45362</v>
      </c>
      <c r="C515" t="s">
        <v>12</v>
      </c>
      <c r="D515" s="2">
        <v>0</v>
      </c>
      <c r="E515" s="2">
        <v>244.53</v>
      </c>
      <c r="F515" t="s">
        <v>14</v>
      </c>
      <c r="G515" t="s">
        <v>15</v>
      </c>
    </row>
    <row r="516" spans="1:7" x14ac:dyDescent="0.35">
      <c r="A516">
        <v>197</v>
      </c>
      <c r="B516" s="1">
        <v>45362</v>
      </c>
      <c r="C516" t="s">
        <v>12</v>
      </c>
      <c r="D516" s="2">
        <v>0</v>
      </c>
      <c r="E516" s="2">
        <v>18.34</v>
      </c>
      <c r="F516" t="s">
        <v>16</v>
      </c>
      <c r="G516" t="s">
        <v>17</v>
      </c>
    </row>
    <row r="517" spans="1:7" x14ac:dyDescent="0.35">
      <c r="A517">
        <v>198</v>
      </c>
      <c r="B517" s="1">
        <v>45362</v>
      </c>
      <c r="C517" t="s">
        <v>12</v>
      </c>
      <c r="D517" s="2">
        <v>1130.58</v>
      </c>
      <c r="E517" s="2">
        <v>0</v>
      </c>
      <c r="F517" t="s">
        <v>13</v>
      </c>
      <c r="G517" t="s">
        <v>9</v>
      </c>
    </row>
    <row r="518" spans="1:7" x14ac:dyDescent="0.35">
      <c r="A518">
        <v>198</v>
      </c>
      <c r="B518" s="1">
        <v>45362</v>
      </c>
      <c r="C518" t="s">
        <v>12</v>
      </c>
      <c r="D518" s="2">
        <v>0</v>
      </c>
      <c r="E518" s="2">
        <v>1051.7</v>
      </c>
      <c r="F518" t="s">
        <v>14</v>
      </c>
      <c r="G518" t="s">
        <v>15</v>
      </c>
    </row>
    <row r="519" spans="1:7" x14ac:dyDescent="0.35">
      <c r="A519">
        <v>198</v>
      </c>
      <c r="B519" s="1">
        <v>45362</v>
      </c>
      <c r="C519" t="s">
        <v>12</v>
      </c>
      <c r="D519" s="2">
        <v>0</v>
      </c>
      <c r="E519" s="2">
        <v>78.88</v>
      </c>
      <c r="F519" t="s">
        <v>16</v>
      </c>
      <c r="G519" t="s">
        <v>17</v>
      </c>
    </row>
    <row r="520" spans="1:7" x14ac:dyDescent="0.35">
      <c r="A520">
        <v>199</v>
      </c>
      <c r="B520" s="1">
        <v>45362</v>
      </c>
      <c r="C520" t="s">
        <v>12</v>
      </c>
      <c r="D520" s="2">
        <v>495.26</v>
      </c>
      <c r="E520" s="2">
        <v>0</v>
      </c>
      <c r="F520" t="s">
        <v>13</v>
      </c>
      <c r="G520" t="s">
        <v>9</v>
      </c>
    </row>
    <row r="521" spans="1:7" x14ac:dyDescent="0.35">
      <c r="A521">
        <v>199</v>
      </c>
      <c r="B521" s="1">
        <v>45362</v>
      </c>
      <c r="C521" t="s">
        <v>12</v>
      </c>
      <c r="D521" s="2">
        <v>0</v>
      </c>
      <c r="E521" s="2">
        <v>460.71</v>
      </c>
      <c r="F521" t="s">
        <v>14</v>
      </c>
      <c r="G521" t="s">
        <v>15</v>
      </c>
    </row>
    <row r="522" spans="1:7" x14ac:dyDescent="0.35">
      <c r="A522">
        <v>199</v>
      </c>
      <c r="B522" s="1">
        <v>45362</v>
      </c>
      <c r="C522" t="s">
        <v>12</v>
      </c>
      <c r="D522" s="2">
        <v>0</v>
      </c>
      <c r="E522" s="2">
        <v>34.549999999999997</v>
      </c>
      <c r="F522" t="s">
        <v>16</v>
      </c>
      <c r="G522" t="s">
        <v>17</v>
      </c>
    </row>
    <row r="523" spans="1:7" x14ac:dyDescent="0.35">
      <c r="A523">
        <v>200</v>
      </c>
      <c r="B523" s="1">
        <v>45362</v>
      </c>
      <c r="C523" t="s">
        <v>24</v>
      </c>
      <c r="D523" s="2">
        <v>525.74</v>
      </c>
      <c r="E523" s="2">
        <v>0</v>
      </c>
      <c r="F523" t="s">
        <v>8</v>
      </c>
      <c r="G523" t="s">
        <v>9</v>
      </c>
    </row>
    <row r="524" spans="1:7" x14ac:dyDescent="0.35">
      <c r="A524">
        <v>200</v>
      </c>
      <c r="B524" s="1">
        <v>45362</v>
      </c>
      <c r="C524" t="s">
        <v>24</v>
      </c>
      <c r="D524" s="2">
        <v>0</v>
      </c>
      <c r="E524" s="2">
        <v>525.74</v>
      </c>
      <c r="F524" t="s">
        <v>13</v>
      </c>
      <c r="G524" t="s">
        <v>9</v>
      </c>
    </row>
    <row r="525" spans="1:7" x14ac:dyDescent="0.35">
      <c r="A525">
        <v>201</v>
      </c>
      <c r="B525" s="1">
        <v>45362</v>
      </c>
      <c r="C525" t="s">
        <v>25</v>
      </c>
      <c r="D525" s="2">
        <v>1668.94</v>
      </c>
      <c r="E525" s="2">
        <v>0</v>
      </c>
      <c r="F525" t="s">
        <v>26</v>
      </c>
      <c r="G525" t="s">
        <v>20</v>
      </c>
    </row>
    <row r="526" spans="1:7" x14ac:dyDescent="0.35">
      <c r="A526">
        <v>201</v>
      </c>
      <c r="B526" s="1">
        <v>45362</v>
      </c>
      <c r="C526" t="s">
        <v>25</v>
      </c>
      <c r="D526" s="2">
        <v>125.17</v>
      </c>
      <c r="E526" s="2">
        <v>0</v>
      </c>
      <c r="F526" t="s">
        <v>27</v>
      </c>
      <c r="G526" t="s">
        <v>9</v>
      </c>
    </row>
    <row r="527" spans="1:7" x14ac:dyDescent="0.35">
      <c r="A527">
        <v>201</v>
      </c>
      <c r="B527" s="1">
        <v>45362</v>
      </c>
      <c r="C527" t="s">
        <v>25</v>
      </c>
      <c r="D527" s="2">
        <v>0</v>
      </c>
      <c r="E527" s="2">
        <v>1794.11</v>
      </c>
      <c r="F527" t="s">
        <v>28</v>
      </c>
      <c r="G527" t="s">
        <v>17</v>
      </c>
    </row>
    <row r="528" spans="1:7" x14ac:dyDescent="0.35">
      <c r="A528">
        <v>202</v>
      </c>
      <c r="B528" s="1">
        <v>45362</v>
      </c>
      <c r="C528" t="s">
        <v>25</v>
      </c>
      <c r="D528" s="2">
        <v>166.52</v>
      </c>
      <c r="E528" s="2">
        <v>0</v>
      </c>
      <c r="F528" t="s">
        <v>26</v>
      </c>
      <c r="G528" t="s">
        <v>20</v>
      </c>
    </row>
    <row r="529" spans="1:7" x14ac:dyDescent="0.35">
      <c r="A529">
        <v>202</v>
      </c>
      <c r="B529" s="1">
        <v>45362</v>
      </c>
      <c r="C529" t="s">
        <v>25</v>
      </c>
      <c r="D529" s="2">
        <v>12.49</v>
      </c>
      <c r="E529" s="2">
        <v>0</v>
      </c>
      <c r="F529" t="s">
        <v>27</v>
      </c>
      <c r="G529" t="s">
        <v>9</v>
      </c>
    </row>
    <row r="530" spans="1:7" x14ac:dyDescent="0.35">
      <c r="A530">
        <v>202</v>
      </c>
      <c r="B530" s="1">
        <v>45362</v>
      </c>
      <c r="C530" t="s">
        <v>25</v>
      </c>
      <c r="D530" s="2">
        <v>0</v>
      </c>
      <c r="E530" s="2">
        <v>179.01</v>
      </c>
      <c r="F530" t="s">
        <v>28</v>
      </c>
      <c r="G530" t="s">
        <v>17</v>
      </c>
    </row>
    <row r="531" spans="1:7" x14ac:dyDescent="0.35">
      <c r="A531">
        <v>203</v>
      </c>
      <c r="B531" s="1">
        <v>45362</v>
      </c>
      <c r="C531" t="s">
        <v>25</v>
      </c>
      <c r="D531" s="2">
        <v>187.44</v>
      </c>
      <c r="E531" s="2">
        <v>0</v>
      </c>
      <c r="F531" t="s">
        <v>26</v>
      </c>
      <c r="G531" t="s">
        <v>20</v>
      </c>
    </row>
    <row r="532" spans="1:7" x14ac:dyDescent="0.35">
      <c r="A532">
        <v>203</v>
      </c>
      <c r="B532" s="1">
        <v>45362</v>
      </c>
      <c r="C532" t="s">
        <v>25</v>
      </c>
      <c r="D532" s="2">
        <v>14.06</v>
      </c>
      <c r="E532" s="2">
        <v>0</v>
      </c>
      <c r="F532" t="s">
        <v>27</v>
      </c>
      <c r="G532" t="s">
        <v>9</v>
      </c>
    </row>
    <row r="533" spans="1:7" x14ac:dyDescent="0.35">
      <c r="A533">
        <v>203</v>
      </c>
      <c r="B533" s="1">
        <v>45362</v>
      </c>
      <c r="C533" t="s">
        <v>25</v>
      </c>
      <c r="D533" s="2">
        <v>0</v>
      </c>
      <c r="E533" s="2">
        <v>201.5</v>
      </c>
      <c r="F533" t="s">
        <v>28</v>
      </c>
      <c r="G533" t="s">
        <v>17</v>
      </c>
    </row>
    <row r="534" spans="1:7" x14ac:dyDescent="0.35">
      <c r="A534">
        <v>204</v>
      </c>
      <c r="B534" s="1">
        <v>45363</v>
      </c>
      <c r="C534" t="s">
        <v>12</v>
      </c>
      <c r="D534" s="2">
        <v>825.49</v>
      </c>
      <c r="E534" s="2">
        <v>0</v>
      </c>
      <c r="F534" t="s">
        <v>13</v>
      </c>
      <c r="G534" t="s">
        <v>9</v>
      </c>
    </row>
    <row r="535" spans="1:7" x14ac:dyDescent="0.35">
      <c r="A535">
        <v>204</v>
      </c>
      <c r="B535" s="1">
        <v>45363</v>
      </c>
      <c r="C535" t="s">
        <v>12</v>
      </c>
      <c r="D535" s="2">
        <v>0</v>
      </c>
      <c r="E535" s="2">
        <v>767.9</v>
      </c>
      <c r="F535" t="s">
        <v>14</v>
      </c>
      <c r="G535" t="s">
        <v>15</v>
      </c>
    </row>
    <row r="536" spans="1:7" x14ac:dyDescent="0.35">
      <c r="A536">
        <v>204</v>
      </c>
      <c r="B536" s="1">
        <v>45363</v>
      </c>
      <c r="C536" t="s">
        <v>12</v>
      </c>
      <c r="D536" s="2">
        <v>0</v>
      </c>
      <c r="E536" s="2">
        <v>57.59</v>
      </c>
      <c r="F536" t="s">
        <v>16</v>
      </c>
      <c r="G536" t="s">
        <v>17</v>
      </c>
    </row>
    <row r="537" spans="1:7" x14ac:dyDescent="0.35">
      <c r="A537">
        <v>205</v>
      </c>
      <c r="B537" s="1">
        <v>45363</v>
      </c>
      <c r="C537" t="s">
        <v>12</v>
      </c>
      <c r="D537" s="2">
        <v>87.62</v>
      </c>
      <c r="E537" s="2">
        <v>0</v>
      </c>
      <c r="F537" t="s">
        <v>13</v>
      </c>
      <c r="G537" t="s">
        <v>9</v>
      </c>
    </row>
    <row r="538" spans="1:7" x14ac:dyDescent="0.35">
      <c r="A538">
        <v>205</v>
      </c>
      <c r="B538" s="1">
        <v>45363</v>
      </c>
      <c r="C538" t="s">
        <v>12</v>
      </c>
      <c r="D538" s="2">
        <v>0</v>
      </c>
      <c r="E538" s="2">
        <v>81.510000000000005</v>
      </c>
      <c r="F538" t="s">
        <v>14</v>
      </c>
      <c r="G538" t="s">
        <v>15</v>
      </c>
    </row>
    <row r="539" spans="1:7" x14ac:dyDescent="0.35">
      <c r="A539">
        <v>205</v>
      </c>
      <c r="B539" s="1">
        <v>45363</v>
      </c>
      <c r="C539" t="s">
        <v>12</v>
      </c>
      <c r="D539" s="2">
        <v>0</v>
      </c>
      <c r="E539" s="2">
        <v>6.11</v>
      </c>
      <c r="F539" t="s">
        <v>16</v>
      </c>
      <c r="G539" t="s">
        <v>17</v>
      </c>
    </row>
    <row r="540" spans="1:7" x14ac:dyDescent="0.35">
      <c r="A540">
        <v>206</v>
      </c>
      <c r="B540" s="1">
        <v>45363</v>
      </c>
      <c r="C540" t="s">
        <v>12</v>
      </c>
      <c r="D540" s="2">
        <v>3785.42</v>
      </c>
      <c r="E540" s="2">
        <v>0</v>
      </c>
      <c r="F540" t="s">
        <v>13</v>
      </c>
      <c r="G540" t="s">
        <v>9</v>
      </c>
    </row>
    <row r="541" spans="1:7" x14ac:dyDescent="0.35">
      <c r="A541">
        <v>206</v>
      </c>
      <c r="B541" s="1">
        <v>45363</v>
      </c>
      <c r="C541" t="s">
        <v>12</v>
      </c>
      <c r="D541" s="2">
        <v>0</v>
      </c>
      <c r="E541" s="2">
        <v>3521.33</v>
      </c>
      <c r="F541" t="s">
        <v>14</v>
      </c>
      <c r="G541" t="s">
        <v>15</v>
      </c>
    </row>
    <row r="542" spans="1:7" x14ac:dyDescent="0.35">
      <c r="A542">
        <v>206</v>
      </c>
      <c r="B542" s="1">
        <v>45363</v>
      </c>
      <c r="C542" t="s">
        <v>12</v>
      </c>
      <c r="D542" s="2">
        <v>0</v>
      </c>
      <c r="E542" s="2">
        <v>264.08999999999997</v>
      </c>
      <c r="F542" t="s">
        <v>16</v>
      </c>
      <c r="G542" t="s">
        <v>17</v>
      </c>
    </row>
    <row r="543" spans="1:7" x14ac:dyDescent="0.35">
      <c r="A543">
        <v>207</v>
      </c>
      <c r="B543" s="1">
        <v>45363</v>
      </c>
      <c r="C543" t="s">
        <v>12</v>
      </c>
      <c r="D543" s="2">
        <v>3121.57</v>
      </c>
      <c r="E543" s="2">
        <v>0</v>
      </c>
      <c r="F543" t="s">
        <v>13</v>
      </c>
      <c r="G543" t="s">
        <v>9</v>
      </c>
    </row>
    <row r="544" spans="1:7" x14ac:dyDescent="0.35">
      <c r="A544">
        <v>207</v>
      </c>
      <c r="B544" s="1">
        <v>45363</v>
      </c>
      <c r="C544" t="s">
        <v>12</v>
      </c>
      <c r="D544" s="2">
        <v>0</v>
      </c>
      <c r="E544" s="2">
        <v>2903.78</v>
      </c>
      <c r="F544" t="s">
        <v>14</v>
      </c>
      <c r="G544" t="s">
        <v>15</v>
      </c>
    </row>
    <row r="545" spans="1:7" x14ac:dyDescent="0.35">
      <c r="A545">
        <v>207</v>
      </c>
      <c r="B545" s="1">
        <v>45363</v>
      </c>
      <c r="C545" t="s">
        <v>12</v>
      </c>
      <c r="D545" s="2">
        <v>0</v>
      </c>
      <c r="E545" s="2">
        <v>217.79</v>
      </c>
      <c r="F545" t="s">
        <v>16</v>
      </c>
      <c r="G545" t="s">
        <v>17</v>
      </c>
    </row>
    <row r="546" spans="1:7" x14ac:dyDescent="0.35">
      <c r="A546">
        <v>208</v>
      </c>
      <c r="B546" s="1">
        <v>45363</v>
      </c>
      <c r="C546" t="s">
        <v>24</v>
      </c>
      <c r="D546" s="2">
        <v>533.85</v>
      </c>
      <c r="E546" s="2">
        <v>0</v>
      </c>
      <c r="F546" t="s">
        <v>8</v>
      </c>
      <c r="G546" t="s">
        <v>9</v>
      </c>
    </row>
    <row r="547" spans="1:7" x14ac:dyDescent="0.35">
      <c r="A547">
        <v>208</v>
      </c>
      <c r="B547" s="1">
        <v>45363</v>
      </c>
      <c r="C547" t="s">
        <v>24</v>
      </c>
      <c r="D547" s="2">
        <v>0</v>
      </c>
      <c r="E547" s="2">
        <v>533.85</v>
      </c>
      <c r="F547" t="s">
        <v>13</v>
      </c>
      <c r="G547" t="s">
        <v>9</v>
      </c>
    </row>
    <row r="548" spans="1:7" x14ac:dyDescent="0.35">
      <c r="A548">
        <v>209</v>
      </c>
      <c r="B548" s="1">
        <v>45363</v>
      </c>
      <c r="C548" t="s">
        <v>24</v>
      </c>
      <c r="D548" s="2">
        <v>960.49</v>
      </c>
      <c r="E548" s="2">
        <v>0</v>
      </c>
      <c r="F548" t="s">
        <v>8</v>
      </c>
      <c r="G548" t="s">
        <v>9</v>
      </c>
    </row>
    <row r="549" spans="1:7" x14ac:dyDescent="0.35">
      <c r="A549">
        <v>209</v>
      </c>
      <c r="B549" s="1">
        <v>45363</v>
      </c>
      <c r="C549" t="s">
        <v>24</v>
      </c>
      <c r="D549" s="2">
        <v>0</v>
      </c>
      <c r="E549" s="2">
        <v>960.49</v>
      </c>
      <c r="F549" t="s">
        <v>13</v>
      </c>
      <c r="G549" t="s">
        <v>9</v>
      </c>
    </row>
    <row r="550" spans="1:7" x14ac:dyDescent="0.35">
      <c r="A550">
        <v>210</v>
      </c>
      <c r="B550" s="1">
        <v>45363</v>
      </c>
      <c r="C550" t="s">
        <v>29</v>
      </c>
      <c r="D550" s="2">
        <v>276.32</v>
      </c>
      <c r="E550" s="2">
        <v>0</v>
      </c>
      <c r="F550" t="s">
        <v>28</v>
      </c>
      <c r="G550" t="s">
        <v>17</v>
      </c>
    </row>
    <row r="551" spans="1:7" x14ac:dyDescent="0.35">
      <c r="A551">
        <v>210</v>
      </c>
      <c r="B551" s="1">
        <v>45363</v>
      </c>
      <c r="C551" t="s">
        <v>29</v>
      </c>
      <c r="D551" s="2">
        <v>0</v>
      </c>
      <c r="E551" s="2">
        <v>276.32</v>
      </c>
      <c r="F551" t="s">
        <v>8</v>
      </c>
      <c r="G551" t="s">
        <v>9</v>
      </c>
    </row>
    <row r="552" spans="1:7" x14ac:dyDescent="0.35">
      <c r="A552">
        <v>211</v>
      </c>
      <c r="B552" s="1">
        <v>45364</v>
      </c>
      <c r="C552" t="s">
        <v>12</v>
      </c>
      <c r="D552" s="2">
        <v>3223.4</v>
      </c>
      <c r="E552" s="2">
        <v>0</v>
      </c>
      <c r="F552" t="s">
        <v>13</v>
      </c>
      <c r="G552" t="s">
        <v>9</v>
      </c>
    </row>
    <row r="553" spans="1:7" x14ac:dyDescent="0.35">
      <c r="A553">
        <v>211</v>
      </c>
      <c r="B553" s="1">
        <v>45364</v>
      </c>
      <c r="C553" t="s">
        <v>12</v>
      </c>
      <c r="D553" s="2">
        <v>0</v>
      </c>
      <c r="E553" s="2">
        <v>2998.52</v>
      </c>
      <c r="F553" t="s">
        <v>14</v>
      </c>
      <c r="G553" t="s">
        <v>15</v>
      </c>
    </row>
    <row r="554" spans="1:7" x14ac:dyDescent="0.35">
      <c r="A554">
        <v>211</v>
      </c>
      <c r="B554" s="1">
        <v>45364</v>
      </c>
      <c r="C554" t="s">
        <v>12</v>
      </c>
      <c r="D554" s="2">
        <v>0</v>
      </c>
      <c r="E554" s="2">
        <v>224.88</v>
      </c>
      <c r="F554" t="s">
        <v>16</v>
      </c>
      <c r="G554" t="s">
        <v>17</v>
      </c>
    </row>
    <row r="555" spans="1:7" x14ac:dyDescent="0.35">
      <c r="A555">
        <v>212</v>
      </c>
      <c r="B555" s="1">
        <v>45364</v>
      </c>
      <c r="C555" t="s">
        <v>12</v>
      </c>
      <c r="D555" s="2">
        <v>956.6</v>
      </c>
      <c r="E555" s="2">
        <v>0</v>
      </c>
      <c r="F555" t="s">
        <v>13</v>
      </c>
      <c r="G555" t="s">
        <v>9</v>
      </c>
    </row>
    <row r="556" spans="1:7" x14ac:dyDescent="0.35">
      <c r="A556">
        <v>212</v>
      </c>
      <c r="B556" s="1">
        <v>45364</v>
      </c>
      <c r="C556" t="s">
        <v>12</v>
      </c>
      <c r="D556" s="2">
        <v>0</v>
      </c>
      <c r="E556" s="2">
        <v>889.86</v>
      </c>
      <c r="F556" t="s">
        <v>14</v>
      </c>
      <c r="G556" t="s">
        <v>15</v>
      </c>
    </row>
    <row r="557" spans="1:7" x14ac:dyDescent="0.35">
      <c r="A557">
        <v>212</v>
      </c>
      <c r="B557" s="1">
        <v>45364</v>
      </c>
      <c r="C557" t="s">
        <v>12</v>
      </c>
      <c r="D557" s="2">
        <v>0</v>
      </c>
      <c r="E557" s="2">
        <v>66.739999999999995</v>
      </c>
      <c r="F557" t="s">
        <v>16</v>
      </c>
      <c r="G557" t="s">
        <v>17</v>
      </c>
    </row>
    <row r="558" spans="1:7" x14ac:dyDescent="0.35">
      <c r="A558">
        <v>213</v>
      </c>
      <c r="B558" s="1">
        <v>45364</v>
      </c>
      <c r="C558" t="s">
        <v>24</v>
      </c>
      <c r="D558" s="2">
        <v>3121.57</v>
      </c>
      <c r="E558" s="2">
        <v>0</v>
      </c>
      <c r="F558" t="s">
        <v>8</v>
      </c>
      <c r="G558" t="s">
        <v>9</v>
      </c>
    </row>
    <row r="559" spans="1:7" x14ac:dyDescent="0.35">
      <c r="A559">
        <v>213</v>
      </c>
      <c r="B559" s="1">
        <v>45364</v>
      </c>
      <c r="C559" t="s">
        <v>24</v>
      </c>
      <c r="D559" s="2">
        <v>0</v>
      </c>
      <c r="E559" s="2">
        <v>3121.57</v>
      </c>
      <c r="F559" t="s">
        <v>13</v>
      </c>
      <c r="G559" t="s">
        <v>9</v>
      </c>
    </row>
    <row r="560" spans="1:7" x14ac:dyDescent="0.35">
      <c r="A560">
        <v>214</v>
      </c>
      <c r="B560" s="1">
        <v>45364</v>
      </c>
      <c r="C560" t="s">
        <v>25</v>
      </c>
      <c r="D560" s="2">
        <v>1213.5999999999999</v>
      </c>
      <c r="E560" s="2">
        <v>0</v>
      </c>
      <c r="F560" t="s">
        <v>26</v>
      </c>
      <c r="G560" t="s">
        <v>20</v>
      </c>
    </row>
    <row r="561" spans="1:7" x14ac:dyDescent="0.35">
      <c r="A561">
        <v>214</v>
      </c>
      <c r="B561" s="1">
        <v>45364</v>
      </c>
      <c r="C561" t="s">
        <v>25</v>
      </c>
      <c r="D561" s="2">
        <v>91.02</v>
      </c>
      <c r="E561" s="2">
        <v>0</v>
      </c>
      <c r="F561" t="s">
        <v>27</v>
      </c>
      <c r="G561" t="s">
        <v>9</v>
      </c>
    </row>
    <row r="562" spans="1:7" x14ac:dyDescent="0.35">
      <c r="A562">
        <v>214</v>
      </c>
      <c r="B562" s="1">
        <v>45364</v>
      </c>
      <c r="C562" t="s">
        <v>25</v>
      </c>
      <c r="D562" s="2">
        <v>0</v>
      </c>
      <c r="E562" s="2">
        <v>1304.6199999999999</v>
      </c>
      <c r="F562" t="s">
        <v>28</v>
      </c>
      <c r="G562" t="s">
        <v>17</v>
      </c>
    </row>
    <row r="563" spans="1:7" x14ac:dyDescent="0.35">
      <c r="A563">
        <v>215</v>
      </c>
      <c r="B563" s="1">
        <v>45364</v>
      </c>
      <c r="C563" t="s">
        <v>29</v>
      </c>
      <c r="D563" s="2">
        <v>201.5</v>
      </c>
      <c r="E563" s="2">
        <v>0</v>
      </c>
      <c r="F563" t="s">
        <v>28</v>
      </c>
      <c r="G563" t="s">
        <v>17</v>
      </c>
    </row>
    <row r="564" spans="1:7" x14ac:dyDescent="0.35">
      <c r="A564">
        <v>215</v>
      </c>
      <c r="B564" s="1">
        <v>45364</v>
      </c>
      <c r="C564" t="s">
        <v>29</v>
      </c>
      <c r="D564" s="2">
        <v>0</v>
      </c>
      <c r="E564" s="2">
        <v>201.5</v>
      </c>
      <c r="F564" t="s">
        <v>8</v>
      </c>
      <c r="G564" t="s">
        <v>9</v>
      </c>
    </row>
    <row r="565" spans="1:7" x14ac:dyDescent="0.35">
      <c r="A565">
        <v>216</v>
      </c>
      <c r="B565" s="1">
        <v>45365</v>
      </c>
      <c r="C565" t="s">
        <v>18</v>
      </c>
      <c r="D565" s="2">
        <v>21502.35</v>
      </c>
      <c r="E565" s="2">
        <v>0</v>
      </c>
      <c r="F565" t="s">
        <v>19</v>
      </c>
      <c r="G565" t="s">
        <v>20</v>
      </c>
    </row>
    <row r="566" spans="1:7" x14ac:dyDescent="0.35">
      <c r="A566">
        <v>216</v>
      </c>
      <c r="B566" s="1">
        <v>45365</v>
      </c>
      <c r="C566" t="s">
        <v>18</v>
      </c>
      <c r="D566" s="2">
        <v>860.11</v>
      </c>
      <c r="E566" s="2">
        <v>0</v>
      </c>
      <c r="F566" t="s">
        <v>21</v>
      </c>
      <c r="G566" t="s">
        <v>20</v>
      </c>
    </row>
    <row r="567" spans="1:7" x14ac:dyDescent="0.35">
      <c r="A567">
        <v>216</v>
      </c>
      <c r="B567" s="1">
        <v>45365</v>
      </c>
      <c r="C567" t="s">
        <v>18</v>
      </c>
      <c r="D567" s="2">
        <v>0</v>
      </c>
      <c r="E567" s="2">
        <v>17631.7</v>
      </c>
      <c r="F567" t="s">
        <v>8</v>
      </c>
      <c r="G567" t="s">
        <v>9</v>
      </c>
    </row>
    <row r="568" spans="1:7" x14ac:dyDescent="0.35">
      <c r="A568">
        <v>216</v>
      </c>
      <c r="B568" s="1">
        <v>45365</v>
      </c>
      <c r="C568" t="s">
        <v>18</v>
      </c>
      <c r="D568" s="2">
        <v>0</v>
      </c>
      <c r="E568" s="2">
        <v>3870.65</v>
      </c>
      <c r="F568" t="s">
        <v>22</v>
      </c>
      <c r="G568" t="s">
        <v>17</v>
      </c>
    </row>
    <row r="569" spans="1:7" x14ac:dyDescent="0.35">
      <c r="A569">
        <v>216</v>
      </c>
      <c r="B569" s="1">
        <v>45365</v>
      </c>
      <c r="C569" t="s">
        <v>18</v>
      </c>
      <c r="D569" s="2">
        <v>0</v>
      </c>
      <c r="E569" s="2">
        <v>860.11</v>
      </c>
      <c r="F569" t="s">
        <v>23</v>
      </c>
      <c r="G569" t="s">
        <v>17</v>
      </c>
    </row>
    <row r="570" spans="1:7" x14ac:dyDescent="0.35">
      <c r="A570">
        <v>217</v>
      </c>
      <c r="B570" s="1">
        <v>45365</v>
      </c>
      <c r="C570" t="s">
        <v>12</v>
      </c>
      <c r="D570" s="2">
        <v>2080.1799999999998</v>
      </c>
      <c r="E570" s="2">
        <v>0</v>
      </c>
      <c r="F570" t="s">
        <v>13</v>
      </c>
      <c r="G570" t="s">
        <v>9</v>
      </c>
    </row>
    <row r="571" spans="1:7" x14ac:dyDescent="0.35">
      <c r="A571">
        <v>217</v>
      </c>
      <c r="B571" s="1">
        <v>45365</v>
      </c>
      <c r="C571" t="s">
        <v>12</v>
      </c>
      <c r="D571" s="2">
        <v>0</v>
      </c>
      <c r="E571" s="2">
        <v>1935.04</v>
      </c>
      <c r="F571" t="s">
        <v>14</v>
      </c>
      <c r="G571" t="s">
        <v>15</v>
      </c>
    </row>
    <row r="572" spans="1:7" x14ac:dyDescent="0.35">
      <c r="A572">
        <v>217</v>
      </c>
      <c r="B572" s="1">
        <v>45365</v>
      </c>
      <c r="C572" t="s">
        <v>12</v>
      </c>
      <c r="D572" s="2">
        <v>0</v>
      </c>
      <c r="E572" s="2">
        <v>145.13999999999999</v>
      </c>
      <c r="F572" t="s">
        <v>16</v>
      </c>
      <c r="G572" t="s">
        <v>17</v>
      </c>
    </row>
    <row r="573" spans="1:7" x14ac:dyDescent="0.35">
      <c r="A573">
        <v>218</v>
      </c>
      <c r="B573" s="1">
        <v>45365</v>
      </c>
      <c r="C573" t="s">
        <v>12</v>
      </c>
      <c r="D573" s="2">
        <v>1956.88</v>
      </c>
      <c r="E573" s="2">
        <v>0</v>
      </c>
      <c r="F573" t="s">
        <v>13</v>
      </c>
      <c r="G573" t="s">
        <v>9</v>
      </c>
    </row>
    <row r="574" spans="1:7" x14ac:dyDescent="0.35">
      <c r="A574">
        <v>218</v>
      </c>
      <c r="B574" s="1">
        <v>45365</v>
      </c>
      <c r="C574" t="s">
        <v>12</v>
      </c>
      <c r="D574" s="2">
        <v>0</v>
      </c>
      <c r="E574" s="2">
        <v>1820.35</v>
      </c>
      <c r="F574" t="s">
        <v>14</v>
      </c>
      <c r="G574" t="s">
        <v>15</v>
      </c>
    </row>
    <row r="575" spans="1:7" x14ac:dyDescent="0.35">
      <c r="A575">
        <v>218</v>
      </c>
      <c r="B575" s="1">
        <v>45365</v>
      </c>
      <c r="C575" t="s">
        <v>12</v>
      </c>
      <c r="D575" s="2">
        <v>0</v>
      </c>
      <c r="E575" s="2">
        <v>136.53</v>
      </c>
      <c r="F575" t="s">
        <v>16</v>
      </c>
      <c r="G575" t="s">
        <v>17</v>
      </c>
    </row>
    <row r="576" spans="1:7" x14ac:dyDescent="0.35">
      <c r="A576">
        <v>219</v>
      </c>
      <c r="B576" s="1">
        <v>45365</v>
      </c>
      <c r="C576" t="s">
        <v>12</v>
      </c>
      <c r="D576" s="2">
        <v>494.77</v>
      </c>
      <c r="E576" s="2">
        <v>0</v>
      </c>
      <c r="F576" t="s">
        <v>13</v>
      </c>
      <c r="G576" t="s">
        <v>9</v>
      </c>
    </row>
    <row r="577" spans="1:7" x14ac:dyDescent="0.35">
      <c r="A577">
        <v>219</v>
      </c>
      <c r="B577" s="1">
        <v>45365</v>
      </c>
      <c r="C577" t="s">
        <v>12</v>
      </c>
      <c r="D577" s="2">
        <v>0</v>
      </c>
      <c r="E577" s="2">
        <v>460.25</v>
      </c>
      <c r="F577" t="s">
        <v>14</v>
      </c>
      <c r="G577" t="s">
        <v>15</v>
      </c>
    </row>
    <row r="578" spans="1:7" x14ac:dyDescent="0.35">
      <c r="A578">
        <v>219</v>
      </c>
      <c r="B578" s="1">
        <v>45365</v>
      </c>
      <c r="C578" t="s">
        <v>12</v>
      </c>
      <c r="D578" s="2">
        <v>0</v>
      </c>
      <c r="E578" s="2">
        <v>34.520000000000003</v>
      </c>
      <c r="F578" t="s">
        <v>16</v>
      </c>
      <c r="G578" t="s">
        <v>17</v>
      </c>
    </row>
    <row r="579" spans="1:7" x14ac:dyDescent="0.35">
      <c r="A579">
        <v>220</v>
      </c>
      <c r="B579" s="1">
        <v>45365</v>
      </c>
      <c r="C579" t="s">
        <v>12</v>
      </c>
      <c r="D579" s="2">
        <v>5132.88</v>
      </c>
      <c r="E579" s="2">
        <v>0</v>
      </c>
      <c r="F579" t="s">
        <v>13</v>
      </c>
      <c r="G579" t="s">
        <v>9</v>
      </c>
    </row>
    <row r="580" spans="1:7" x14ac:dyDescent="0.35">
      <c r="A580">
        <v>220</v>
      </c>
      <c r="B580" s="1">
        <v>45365</v>
      </c>
      <c r="C580" t="s">
        <v>12</v>
      </c>
      <c r="D580" s="2">
        <v>0</v>
      </c>
      <c r="E580" s="2">
        <v>4774.7700000000004</v>
      </c>
      <c r="F580" t="s">
        <v>14</v>
      </c>
      <c r="G580" t="s">
        <v>15</v>
      </c>
    </row>
    <row r="581" spans="1:7" x14ac:dyDescent="0.35">
      <c r="A581">
        <v>220</v>
      </c>
      <c r="B581" s="1">
        <v>45365</v>
      </c>
      <c r="C581" t="s">
        <v>12</v>
      </c>
      <c r="D581" s="2">
        <v>0</v>
      </c>
      <c r="E581" s="2">
        <v>358.11</v>
      </c>
      <c r="F581" t="s">
        <v>16</v>
      </c>
      <c r="G581" t="s">
        <v>17</v>
      </c>
    </row>
    <row r="582" spans="1:7" x14ac:dyDescent="0.35">
      <c r="A582">
        <v>221</v>
      </c>
      <c r="B582" s="1">
        <v>45365</v>
      </c>
      <c r="C582" t="s">
        <v>24</v>
      </c>
      <c r="D582" s="2">
        <v>2559.5700000000002</v>
      </c>
      <c r="E582" s="2">
        <v>0</v>
      </c>
      <c r="F582" t="s">
        <v>8</v>
      </c>
      <c r="G582" t="s">
        <v>9</v>
      </c>
    </row>
    <row r="583" spans="1:7" x14ac:dyDescent="0.35">
      <c r="A583">
        <v>221</v>
      </c>
      <c r="B583" s="1">
        <v>45365</v>
      </c>
      <c r="C583" t="s">
        <v>24</v>
      </c>
      <c r="D583" s="2">
        <v>0</v>
      </c>
      <c r="E583" s="2">
        <v>2559.5700000000002</v>
      </c>
      <c r="F583" t="s">
        <v>13</v>
      </c>
      <c r="G583" t="s">
        <v>9</v>
      </c>
    </row>
    <row r="584" spans="1:7" x14ac:dyDescent="0.35">
      <c r="A584">
        <v>222</v>
      </c>
      <c r="B584" s="1">
        <v>45365</v>
      </c>
      <c r="C584" t="s">
        <v>24</v>
      </c>
      <c r="D584" s="2">
        <v>444.06</v>
      </c>
      <c r="E584" s="2">
        <v>0</v>
      </c>
      <c r="F584" t="s">
        <v>8</v>
      </c>
      <c r="G584" t="s">
        <v>9</v>
      </c>
    </row>
    <row r="585" spans="1:7" x14ac:dyDescent="0.35">
      <c r="A585">
        <v>222</v>
      </c>
      <c r="B585" s="1">
        <v>45365</v>
      </c>
      <c r="C585" t="s">
        <v>24</v>
      </c>
      <c r="D585" s="2">
        <v>0</v>
      </c>
      <c r="E585" s="2">
        <v>444.06</v>
      </c>
      <c r="F585" t="s">
        <v>13</v>
      </c>
      <c r="G585" t="s">
        <v>9</v>
      </c>
    </row>
    <row r="586" spans="1:7" x14ac:dyDescent="0.35">
      <c r="A586">
        <v>223</v>
      </c>
      <c r="B586" s="1">
        <v>45365</v>
      </c>
      <c r="C586" t="s">
        <v>24</v>
      </c>
      <c r="D586" s="2">
        <v>354.43</v>
      </c>
      <c r="E586" s="2">
        <v>0</v>
      </c>
      <c r="F586" t="s">
        <v>8</v>
      </c>
      <c r="G586" t="s">
        <v>9</v>
      </c>
    </row>
    <row r="587" spans="1:7" x14ac:dyDescent="0.35">
      <c r="A587">
        <v>223</v>
      </c>
      <c r="B587" s="1">
        <v>45365</v>
      </c>
      <c r="C587" t="s">
        <v>24</v>
      </c>
      <c r="D587" s="2">
        <v>0</v>
      </c>
      <c r="E587" s="2">
        <v>354.43</v>
      </c>
      <c r="F587" t="s">
        <v>13</v>
      </c>
      <c r="G587" t="s">
        <v>9</v>
      </c>
    </row>
    <row r="588" spans="1:7" x14ac:dyDescent="0.35">
      <c r="A588">
        <v>224</v>
      </c>
      <c r="B588" s="1">
        <v>45365</v>
      </c>
      <c r="C588" t="s">
        <v>24</v>
      </c>
      <c r="D588" s="2">
        <v>5151.59</v>
      </c>
      <c r="E588" s="2">
        <v>0</v>
      </c>
      <c r="F588" t="s">
        <v>8</v>
      </c>
      <c r="G588" t="s">
        <v>9</v>
      </c>
    </row>
    <row r="589" spans="1:7" x14ac:dyDescent="0.35">
      <c r="A589">
        <v>224</v>
      </c>
      <c r="B589" s="1">
        <v>45365</v>
      </c>
      <c r="C589" t="s">
        <v>24</v>
      </c>
      <c r="D589" s="2">
        <v>0</v>
      </c>
      <c r="E589" s="2">
        <v>5151.59</v>
      </c>
      <c r="F589" t="s">
        <v>13</v>
      </c>
      <c r="G589" t="s">
        <v>9</v>
      </c>
    </row>
    <row r="590" spans="1:7" x14ac:dyDescent="0.35">
      <c r="A590">
        <v>225</v>
      </c>
      <c r="B590" s="1">
        <v>45365</v>
      </c>
      <c r="C590" t="s">
        <v>24</v>
      </c>
      <c r="D590" s="2">
        <v>796.68</v>
      </c>
      <c r="E590" s="2">
        <v>0</v>
      </c>
      <c r="F590" t="s">
        <v>8</v>
      </c>
      <c r="G590" t="s">
        <v>9</v>
      </c>
    </row>
    <row r="591" spans="1:7" x14ac:dyDescent="0.35">
      <c r="A591">
        <v>225</v>
      </c>
      <c r="B591" s="1">
        <v>45365</v>
      </c>
      <c r="C591" t="s">
        <v>24</v>
      </c>
      <c r="D591" s="2">
        <v>0</v>
      </c>
      <c r="E591" s="2">
        <v>796.68</v>
      </c>
      <c r="F591" t="s">
        <v>13</v>
      </c>
      <c r="G591" t="s">
        <v>9</v>
      </c>
    </row>
    <row r="592" spans="1:7" x14ac:dyDescent="0.35">
      <c r="A592">
        <v>226</v>
      </c>
      <c r="B592" s="1">
        <v>45366</v>
      </c>
      <c r="C592" t="s">
        <v>12</v>
      </c>
      <c r="D592" s="2">
        <v>1037.45</v>
      </c>
      <c r="E592" s="2">
        <v>0</v>
      </c>
      <c r="F592" t="s">
        <v>13</v>
      </c>
      <c r="G592" t="s">
        <v>9</v>
      </c>
    </row>
    <row r="593" spans="1:7" x14ac:dyDescent="0.35">
      <c r="A593">
        <v>226</v>
      </c>
      <c r="B593" s="1">
        <v>45366</v>
      </c>
      <c r="C593" t="s">
        <v>12</v>
      </c>
      <c r="D593" s="2">
        <v>0</v>
      </c>
      <c r="E593" s="2">
        <v>965.07</v>
      </c>
      <c r="F593" t="s">
        <v>14</v>
      </c>
      <c r="G593" t="s">
        <v>15</v>
      </c>
    </row>
    <row r="594" spans="1:7" x14ac:dyDescent="0.35">
      <c r="A594">
        <v>226</v>
      </c>
      <c r="B594" s="1">
        <v>45366</v>
      </c>
      <c r="C594" t="s">
        <v>12</v>
      </c>
      <c r="D594" s="2">
        <v>0</v>
      </c>
      <c r="E594" s="2">
        <v>72.38</v>
      </c>
      <c r="F594" t="s">
        <v>16</v>
      </c>
      <c r="G594" t="s">
        <v>17</v>
      </c>
    </row>
    <row r="595" spans="1:7" x14ac:dyDescent="0.35">
      <c r="A595">
        <v>227</v>
      </c>
      <c r="B595" s="1">
        <v>45366</v>
      </c>
      <c r="C595" t="s">
        <v>12</v>
      </c>
      <c r="D595" s="2">
        <v>2866.61</v>
      </c>
      <c r="E595" s="2">
        <v>0</v>
      </c>
      <c r="F595" t="s">
        <v>13</v>
      </c>
      <c r="G595" t="s">
        <v>9</v>
      </c>
    </row>
    <row r="596" spans="1:7" x14ac:dyDescent="0.35">
      <c r="A596">
        <v>227</v>
      </c>
      <c r="B596" s="1">
        <v>45366</v>
      </c>
      <c r="C596" t="s">
        <v>12</v>
      </c>
      <c r="D596" s="2">
        <v>0</v>
      </c>
      <c r="E596" s="2">
        <v>2666.61</v>
      </c>
      <c r="F596" t="s">
        <v>14</v>
      </c>
      <c r="G596" t="s">
        <v>15</v>
      </c>
    </row>
    <row r="597" spans="1:7" x14ac:dyDescent="0.35">
      <c r="A597">
        <v>227</v>
      </c>
      <c r="B597" s="1">
        <v>45366</v>
      </c>
      <c r="C597" t="s">
        <v>12</v>
      </c>
      <c r="D597" s="2">
        <v>0</v>
      </c>
      <c r="E597" s="2">
        <v>200</v>
      </c>
      <c r="F597" t="s">
        <v>16</v>
      </c>
      <c r="G597" t="s">
        <v>17</v>
      </c>
    </row>
    <row r="598" spans="1:7" x14ac:dyDescent="0.35">
      <c r="A598">
        <v>228</v>
      </c>
      <c r="B598" s="1">
        <v>45366</v>
      </c>
      <c r="C598" t="s">
        <v>24</v>
      </c>
      <c r="D598" s="2">
        <v>4623.3500000000004</v>
      </c>
      <c r="E598" s="2">
        <v>0</v>
      </c>
      <c r="F598" t="s">
        <v>8</v>
      </c>
      <c r="G598" t="s">
        <v>9</v>
      </c>
    </row>
    <row r="599" spans="1:7" x14ac:dyDescent="0.35">
      <c r="A599">
        <v>228</v>
      </c>
      <c r="B599" s="1">
        <v>45366</v>
      </c>
      <c r="C599" t="s">
        <v>24</v>
      </c>
      <c r="D599" s="2">
        <v>0</v>
      </c>
      <c r="E599" s="2">
        <v>4623.3500000000004</v>
      </c>
      <c r="F599" t="s">
        <v>13</v>
      </c>
      <c r="G599" t="s">
        <v>9</v>
      </c>
    </row>
    <row r="600" spans="1:7" x14ac:dyDescent="0.35">
      <c r="A600">
        <v>229</v>
      </c>
      <c r="B600" s="1">
        <v>45366</v>
      </c>
      <c r="C600" t="s">
        <v>24</v>
      </c>
      <c r="D600" s="2">
        <v>490.82</v>
      </c>
      <c r="E600" s="2">
        <v>0</v>
      </c>
      <c r="F600" t="s">
        <v>8</v>
      </c>
      <c r="G600" t="s">
        <v>9</v>
      </c>
    </row>
    <row r="601" spans="1:7" x14ac:dyDescent="0.35">
      <c r="A601">
        <v>229</v>
      </c>
      <c r="B601" s="1">
        <v>45366</v>
      </c>
      <c r="C601" t="s">
        <v>24</v>
      </c>
      <c r="D601" s="2">
        <v>0</v>
      </c>
      <c r="E601" s="2">
        <v>490.82</v>
      </c>
      <c r="F601" t="s">
        <v>13</v>
      </c>
      <c r="G601" t="s">
        <v>9</v>
      </c>
    </row>
    <row r="602" spans="1:7" x14ac:dyDescent="0.35">
      <c r="A602">
        <v>230</v>
      </c>
      <c r="B602" s="1">
        <v>45366</v>
      </c>
      <c r="C602" t="s">
        <v>24</v>
      </c>
      <c r="D602" s="2">
        <v>2866.61</v>
      </c>
      <c r="E602" s="2">
        <v>0</v>
      </c>
      <c r="F602" t="s">
        <v>8</v>
      </c>
      <c r="G602" t="s">
        <v>9</v>
      </c>
    </row>
    <row r="603" spans="1:7" x14ac:dyDescent="0.35">
      <c r="A603">
        <v>230</v>
      </c>
      <c r="B603" s="1">
        <v>45366</v>
      </c>
      <c r="C603" t="s">
        <v>24</v>
      </c>
      <c r="D603" s="2">
        <v>0</v>
      </c>
      <c r="E603" s="2">
        <v>2866.61</v>
      </c>
      <c r="F603" t="s">
        <v>13</v>
      </c>
      <c r="G603" t="s">
        <v>9</v>
      </c>
    </row>
    <row r="604" spans="1:7" x14ac:dyDescent="0.35">
      <c r="A604">
        <v>231</v>
      </c>
      <c r="B604" s="1">
        <v>45369</v>
      </c>
      <c r="C604" t="s">
        <v>12</v>
      </c>
      <c r="D604" s="2">
        <v>3535.63</v>
      </c>
      <c r="E604" s="2">
        <v>0</v>
      </c>
      <c r="F604" t="s">
        <v>13</v>
      </c>
      <c r="G604" t="s">
        <v>9</v>
      </c>
    </row>
    <row r="605" spans="1:7" x14ac:dyDescent="0.35">
      <c r="A605">
        <v>231</v>
      </c>
      <c r="B605" s="1">
        <v>45369</v>
      </c>
      <c r="C605" t="s">
        <v>12</v>
      </c>
      <c r="D605" s="2">
        <v>0</v>
      </c>
      <c r="E605" s="2">
        <v>3288.96</v>
      </c>
      <c r="F605" t="s">
        <v>14</v>
      </c>
      <c r="G605" t="s">
        <v>15</v>
      </c>
    </row>
    <row r="606" spans="1:7" x14ac:dyDescent="0.35">
      <c r="A606">
        <v>231</v>
      </c>
      <c r="B606" s="1">
        <v>45369</v>
      </c>
      <c r="C606" t="s">
        <v>12</v>
      </c>
      <c r="D606" s="2">
        <v>0</v>
      </c>
      <c r="E606" s="2">
        <v>246.67</v>
      </c>
      <c r="F606" t="s">
        <v>16</v>
      </c>
      <c r="G606" t="s">
        <v>17</v>
      </c>
    </row>
    <row r="607" spans="1:7" x14ac:dyDescent="0.35">
      <c r="A607">
        <v>232</v>
      </c>
      <c r="B607" s="1">
        <v>45369</v>
      </c>
      <c r="C607" t="s">
        <v>12</v>
      </c>
      <c r="D607" s="2">
        <v>2272.39</v>
      </c>
      <c r="E607" s="2">
        <v>0</v>
      </c>
      <c r="F607" t="s">
        <v>13</v>
      </c>
      <c r="G607" t="s">
        <v>9</v>
      </c>
    </row>
    <row r="608" spans="1:7" x14ac:dyDescent="0.35">
      <c r="A608">
        <v>232</v>
      </c>
      <c r="B608" s="1">
        <v>45369</v>
      </c>
      <c r="C608" t="s">
        <v>12</v>
      </c>
      <c r="D608" s="2">
        <v>0</v>
      </c>
      <c r="E608" s="2">
        <v>2113.85</v>
      </c>
      <c r="F608" t="s">
        <v>14</v>
      </c>
      <c r="G608" t="s">
        <v>15</v>
      </c>
    </row>
    <row r="609" spans="1:7" x14ac:dyDescent="0.35">
      <c r="A609">
        <v>232</v>
      </c>
      <c r="B609" s="1">
        <v>45369</v>
      </c>
      <c r="C609" t="s">
        <v>12</v>
      </c>
      <c r="D609" s="2">
        <v>0</v>
      </c>
      <c r="E609" s="2">
        <v>158.54</v>
      </c>
      <c r="F609" t="s">
        <v>16</v>
      </c>
      <c r="G609" t="s">
        <v>17</v>
      </c>
    </row>
    <row r="610" spans="1:7" x14ac:dyDescent="0.35">
      <c r="A610">
        <v>233</v>
      </c>
      <c r="B610" s="1">
        <v>45369</v>
      </c>
      <c r="C610" t="s">
        <v>12</v>
      </c>
      <c r="D610" s="2">
        <v>1904.11</v>
      </c>
      <c r="E610" s="2">
        <v>0</v>
      </c>
      <c r="F610" t="s">
        <v>13</v>
      </c>
      <c r="G610" t="s">
        <v>9</v>
      </c>
    </row>
    <row r="611" spans="1:7" x14ac:dyDescent="0.35">
      <c r="A611">
        <v>233</v>
      </c>
      <c r="B611" s="1">
        <v>45369</v>
      </c>
      <c r="C611" t="s">
        <v>12</v>
      </c>
      <c r="D611" s="2">
        <v>0</v>
      </c>
      <c r="E611" s="2">
        <v>1771.27</v>
      </c>
      <c r="F611" t="s">
        <v>14</v>
      </c>
      <c r="G611" t="s">
        <v>15</v>
      </c>
    </row>
    <row r="612" spans="1:7" x14ac:dyDescent="0.35">
      <c r="A612">
        <v>233</v>
      </c>
      <c r="B612" s="1">
        <v>45369</v>
      </c>
      <c r="C612" t="s">
        <v>12</v>
      </c>
      <c r="D612" s="2">
        <v>0</v>
      </c>
      <c r="E612" s="2">
        <v>132.84</v>
      </c>
      <c r="F612" t="s">
        <v>16</v>
      </c>
      <c r="G612" t="s">
        <v>17</v>
      </c>
    </row>
    <row r="613" spans="1:7" x14ac:dyDescent="0.35">
      <c r="A613">
        <v>234</v>
      </c>
      <c r="B613" s="1">
        <v>45369</v>
      </c>
      <c r="C613" t="s">
        <v>12</v>
      </c>
      <c r="D613" s="2">
        <v>670.22</v>
      </c>
      <c r="E613" s="2">
        <v>0</v>
      </c>
      <c r="F613" t="s">
        <v>13</v>
      </c>
      <c r="G613" t="s">
        <v>9</v>
      </c>
    </row>
    <row r="614" spans="1:7" x14ac:dyDescent="0.35">
      <c r="A614">
        <v>234</v>
      </c>
      <c r="B614" s="1">
        <v>45369</v>
      </c>
      <c r="C614" t="s">
        <v>12</v>
      </c>
      <c r="D614" s="2">
        <v>0</v>
      </c>
      <c r="E614" s="2">
        <v>623.47</v>
      </c>
      <c r="F614" t="s">
        <v>14</v>
      </c>
      <c r="G614" t="s">
        <v>15</v>
      </c>
    </row>
    <row r="615" spans="1:7" x14ac:dyDescent="0.35">
      <c r="A615">
        <v>234</v>
      </c>
      <c r="B615" s="1">
        <v>45369</v>
      </c>
      <c r="C615" t="s">
        <v>12</v>
      </c>
      <c r="D615" s="2">
        <v>0</v>
      </c>
      <c r="E615" s="2">
        <v>46.75</v>
      </c>
      <c r="F615" t="s">
        <v>16</v>
      </c>
      <c r="G615" t="s">
        <v>17</v>
      </c>
    </row>
    <row r="616" spans="1:7" x14ac:dyDescent="0.35">
      <c r="A616">
        <v>235</v>
      </c>
      <c r="B616" s="1">
        <v>45369</v>
      </c>
      <c r="C616" t="s">
        <v>12</v>
      </c>
      <c r="D616" s="2">
        <v>211.26</v>
      </c>
      <c r="E616" s="2">
        <v>0</v>
      </c>
      <c r="F616" t="s">
        <v>13</v>
      </c>
      <c r="G616" t="s">
        <v>9</v>
      </c>
    </row>
    <row r="617" spans="1:7" x14ac:dyDescent="0.35">
      <c r="A617">
        <v>235</v>
      </c>
      <c r="B617" s="1">
        <v>45369</v>
      </c>
      <c r="C617" t="s">
        <v>12</v>
      </c>
      <c r="D617" s="2">
        <v>0</v>
      </c>
      <c r="E617" s="2">
        <v>196.52</v>
      </c>
      <c r="F617" t="s">
        <v>14</v>
      </c>
      <c r="G617" t="s">
        <v>15</v>
      </c>
    </row>
    <row r="618" spans="1:7" x14ac:dyDescent="0.35">
      <c r="A618">
        <v>235</v>
      </c>
      <c r="B618" s="1">
        <v>45369</v>
      </c>
      <c r="C618" t="s">
        <v>12</v>
      </c>
      <c r="D618" s="2">
        <v>0</v>
      </c>
      <c r="E618" s="2">
        <v>14.74</v>
      </c>
      <c r="F618" t="s">
        <v>16</v>
      </c>
      <c r="G618" t="s">
        <v>17</v>
      </c>
    </row>
    <row r="619" spans="1:7" x14ac:dyDescent="0.35">
      <c r="A619">
        <v>236</v>
      </c>
      <c r="B619" s="1">
        <v>45369</v>
      </c>
      <c r="C619" t="s">
        <v>24</v>
      </c>
      <c r="D619" s="2">
        <v>677.83</v>
      </c>
      <c r="E619" s="2">
        <v>0</v>
      </c>
      <c r="F619" t="s">
        <v>8</v>
      </c>
      <c r="G619" t="s">
        <v>9</v>
      </c>
    </row>
    <row r="620" spans="1:7" x14ac:dyDescent="0.35">
      <c r="A620">
        <v>236</v>
      </c>
      <c r="B620" s="1">
        <v>45369</v>
      </c>
      <c r="C620" t="s">
        <v>24</v>
      </c>
      <c r="D620" s="2">
        <v>0</v>
      </c>
      <c r="E620" s="2">
        <v>677.83</v>
      </c>
      <c r="F620" t="s">
        <v>13</v>
      </c>
      <c r="G620" t="s">
        <v>9</v>
      </c>
    </row>
    <row r="621" spans="1:7" x14ac:dyDescent="0.35">
      <c r="A621">
        <v>237</v>
      </c>
      <c r="B621" s="1">
        <v>45369</v>
      </c>
      <c r="C621" t="s">
        <v>24</v>
      </c>
      <c r="D621" s="2">
        <v>877.92</v>
      </c>
      <c r="E621" s="2">
        <v>0</v>
      </c>
      <c r="F621" t="s">
        <v>8</v>
      </c>
      <c r="G621" t="s">
        <v>9</v>
      </c>
    </row>
    <row r="622" spans="1:7" x14ac:dyDescent="0.35">
      <c r="A622">
        <v>237</v>
      </c>
      <c r="B622" s="1">
        <v>45369</v>
      </c>
      <c r="C622" t="s">
        <v>24</v>
      </c>
      <c r="D622" s="2">
        <v>0</v>
      </c>
      <c r="E622" s="2">
        <v>877.92</v>
      </c>
      <c r="F622" t="s">
        <v>13</v>
      </c>
      <c r="G622" t="s">
        <v>9</v>
      </c>
    </row>
    <row r="623" spans="1:7" x14ac:dyDescent="0.35">
      <c r="A623">
        <v>238</v>
      </c>
      <c r="B623" s="1">
        <v>45369</v>
      </c>
      <c r="C623" t="s">
        <v>24</v>
      </c>
      <c r="D623" s="2">
        <v>2151.3000000000002</v>
      </c>
      <c r="E623" s="2">
        <v>0</v>
      </c>
      <c r="F623" t="s">
        <v>8</v>
      </c>
      <c r="G623" t="s">
        <v>9</v>
      </c>
    </row>
    <row r="624" spans="1:7" x14ac:dyDescent="0.35">
      <c r="A624">
        <v>238</v>
      </c>
      <c r="B624" s="1">
        <v>45369</v>
      </c>
      <c r="C624" t="s">
        <v>24</v>
      </c>
      <c r="D624" s="2">
        <v>0</v>
      </c>
      <c r="E624" s="2">
        <v>2151.3000000000002</v>
      </c>
      <c r="F624" t="s">
        <v>13</v>
      </c>
      <c r="G624" t="s">
        <v>9</v>
      </c>
    </row>
    <row r="625" spans="1:7" x14ac:dyDescent="0.35">
      <c r="A625">
        <v>239</v>
      </c>
      <c r="B625" s="1">
        <v>45369</v>
      </c>
      <c r="C625" t="s">
        <v>24</v>
      </c>
      <c r="D625" s="2">
        <v>1930.29</v>
      </c>
      <c r="E625" s="2">
        <v>0</v>
      </c>
      <c r="F625" t="s">
        <v>8</v>
      </c>
      <c r="G625" t="s">
        <v>9</v>
      </c>
    </row>
    <row r="626" spans="1:7" x14ac:dyDescent="0.35">
      <c r="A626">
        <v>239</v>
      </c>
      <c r="B626" s="1">
        <v>45369</v>
      </c>
      <c r="C626" t="s">
        <v>24</v>
      </c>
      <c r="D626" s="2">
        <v>0</v>
      </c>
      <c r="E626" s="2">
        <v>1930.29</v>
      </c>
      <c r="F626" t="s">
        <v>13</v>
      </c>
      <c r="G626" t="s">
        <v>9</v>
      </c>
    </row>
    <row r="627" spans="1:7" x14ac:dyDescent="0.35">
      <c r="A627">
        <v>240</v>
      </c>
      <c r="B627" s="1">
        <v>45369</v>
      </c>
      <c r="C627" t="s">
        <v>24</v>
      </c>
      <c r="D627" s="2">
        <v>2762.6</v>
      </c>
      <c r="E627" s="2">
        <v>0</v>
      </c>
      <c r="F627" t="s">
        <v>8</v>
      </c>
      <c r="G627" t="s">
        <v>9</v>
      </c>
    </row>
    <row r="628" spans="1:7" x14ac:dyDescent="0.35">
      <c r="A628">
        <v>240</v>
      </c>
      <c r="B628" s="1">
        <v>45369</v>
      </c>
      <c r="C628" t="s">
        <v>24</v>
      </c>
      <c r="D628" s="2">
        <v>0</v>
      </c>
      <c r="E628" s="2">
        <v>2762.6</v>
      </c>
      <c r="F628" t="s">
        <v>13</v>
      </c>
      <c r="G628" t="s">
        <v>9</v>
      </c>
    </row>
    <row r="629" spans="1:7" x14ac:dyDescent="0.35">
      <c r="A629">
        <v>241</v>
      </c>
      <c r="B629" s="1">
        <v>45369</v>
      </c>
      <c r="C629" t="s">
        <v>24</v>
      </c>
      <c r="D629" s="2">
        <v>494.77</v>
      </c>
      <c r="E629" s="2">
        <v>0</v>
      </c>
      <c r="F629" t="s">
        <v>8</v>
      </c>
      <c r="G629" t="s">
        <v>9</v>
      </c>
    </row>
    <row r="630" spans="1:7" x14ac:dyDescent="0.35">
      <c r="A630">
        <v>241</v>
      </c>
      <c r="B630" s="1">
        <v>45369</v>
      </c>
      <c r="C630" t="s">
        <v>24</v>
      </c>
      <c r="D630" s="2">
        <v>0</v>
      </c>
      <c r="E630" s="2">
        <v>494.77</v>
      </c>
      <c r="F630" t="s">
        <v>13</v>
      </c>
      <c r="G630" t="s">
        <v>9</v>
      </c>
    </row>
    <row r="631" spans="1:7" x14ac:dyDescent="0.35">
      <c r="A631">
        <v>242</v>
      </c>
      <c r="B631" s="1">
        <v>45369</v>
      </c>
      <c r="C631" t="s">
        <v>24</v>
      </c>
      <c r="D631" s="2">
        <v>1037.45</v>
      </c>
      <c r="E631" s="2">
        <v>0</v>
      </c>
      <c r="F631" t="s">
        <v>8</v>
      </c>
      <c r="G631" t="s">
        <v>9</v>
      </c>
    </row>
    <row r="632" spans="1:7" x14ac:dyDescent="0.35">
      <c r="A632">
        <v>242</v>
      </c>
      <c r="B632" s="1">
        <v>45369</v>
      </c>
      <c r="C632" t="s">
        <v>24</v>
      </c>
      <c r="D632" s="2">
        <v>0</v>
      </c>
      <c r="E632" s="2">
        <v>1037.45</v>
      </c>
      <c r="F632" t="s">
        <v>13</v>
      </c>
      <c r="G632" t="s">
        <v>9</v>
      </c>
    </row>
    <row r="633" spans="1:7" x14ac:dyDescent="0.35">
      <c r="A633">
        <v>243</v>
      </c>
      <c r="B633" s="1">
        <v>45369</v>
      </c>
      <c r="C633" t="s">
        <v>25</v>
      </c>
      <c r="D633" s="2">
        <v>952.02</v>
      </c>
      <c r="E633" s="2">
        <v>0</v>
      </c>
      <c r="F633" t="s">
        <v>26</v>
      </c>
      <c r="G633" t="s">
        <v>20</v>
      </c>
    </row>
    <row r="634" spans="1:7" x14ac:dyDescent="0.35">
      <c r="A634">
        <v>243</v>
      </c>
      <c r="B634" s="1">
        <v>45369</v>
      </c>
      <c r="C634" t="s">
        <v>25</v>
      </c>
      <c r="D634" s="2">
        <v>71.400000000000006</v>
      </c>
      <c r="E634" s="2">
        <v>0</v>
      </c>
      <c r="F634" t="s">
        <v>27</v>
      </c>
      <c r="G634" t="s">
        <v>9</v>
      </c>
    </row>
    <row r="635" spans="1:7" x14ac:dyDescent="0.35">
      <c r="A635">
        <v>243</v>
      </c>
      <c r="B635" s="1">
        <v>45369</v>
      </c>
      <c r="C635" t="s">
        <v>25</v>
      </c>
      <c r="D635" s="2">
        <v>0</v>
      </c>
      <c r="E635" s="2">
        <v>1023.42</v>
      </c>
      <c r="F635" t="s">
        <v>28</v>
      </c>
      <c r="G635" t="s">
        <v>17</v>
      </c>
    </row>
    <row r="636" spans="1:7" x14ac:dyDescent="0.35">
      <c r="A636">
        <v>244</v>
      </c>
      <c r="B636" s="1">
        <v>45369</v>
      </c>
      <c r="C636" t="s">
        <v>25</v>
      </c>
      <c r="D636" s="2">
        <v>2329.52</v>
      </c>
      <c r="E636" s="2">
        <v>0</v>
      </c>
      <c r="F636" t="s">
        <v>26</v>
      </c>
      <c r="G636" t="s">
        <v>20</v>
      </c>
    </row>
    <row r="637" spans="1:7" x14ac:dyDescent="0.35">
      <c r="A637">
        <v>244</v>
      </c>
      <c r="B637" s="1">
        <v>45369</v>
      </c>
      <c r="C637" t="s">
        <v>25</v>
      </c>
      <c r="D637" s="2">
        <v>174.71</v>
      </c>
      <c r="E637" s="2">
        <v>0</v>
      </c>
      <c r="F637" t="s">
        <v>27</v>
      </c>
      <c r="G637" t="s">
        <v>9</v>
      </c>
    </row>
    <row r="638" spans="1:7" x14ac:dyDescent="0.35">
      <c r="A638">
        <v>244</v>
      </c>
      <c r="B638" s="1">
        <v>45369</v>
      </c>
      <c r="C638" t="s">
        <v>25</v>
      </c>
      <c r="D638" s="2">
        <v>0</v>
      </c>
      <c r="E638" s="2">
        <v>2504.23</v>
      </c>
      <c r="F638" t="s">
        <v>28</v>
      </c>
      <c r="G638" t="s">
        <v>17</v>
      </c>
    </row>
    <row r="639" spans="1:7" x14ac:dyDescent="0.35">
      <c r="A639">
        <v>245</v>
      </c>
      <c r="B639" s="1">
        <v>45370</v>
      </c>
      <c r="C639" t="s">
        <v>24</v>
      </c>
      <c r="D639" s="2">
        <v>324.32</v>
      </c>
      <c r="E639" s="2">
        <v>0</v>
      </c>
      <c r="F639" t="s">
        <v>8</v>
      </c>
      <c r="G639" t="s">
        <v>9</v>
      </c>
    </row>
    <row r="640" spans="1:7" x14ac:dyDescent="0.35">
      <c r="A640">
        <v>245</v>
      </c>
      <c r="B640" s="1">
        <v>45370</v>
      </c>
      <c r="C640" t="s">
        <v>24</v>
      </c>
      <c r="D640" s="2">
        <v>0</v>
      </c>
      <c r="E640" s="2">
        <v>324.32</v>
      </c>
      <c r="F640" t="s">
        <v>13</v>
      </c>
      <c r="G640" t="s">
        <v>9</v>
      </c>
    </row>
    <row r="641" spans="1:7" x14ac:dyDescent="0.35">
      <c r="A641">
        <v>246</v>
      </c>
      <c r="B641" s="1">
        <v>45370</v>
      </c>
      <c r="C641" t="s">
        <v>24</v>
      </c>
      <c r="D641" s="2">
        <v>3148.1</v>
      </c>
      <c r="E641" s="2">
        <v>0</v>
      </c>
      <c r="F641" t="s">
        <v>8</v>
      </c>
      <c r="G641" t="s">
        <v>9</v>
      </c>
    </row>
    <row r="642" spans="1:7" x14ac:dyDescent="0.35">
      <c r="A642">
        <v>246</v>
      </c>
      <c r="B642" s="1">
        <v>45370</v>
      </c>
      <c r="C642" t="s">
        <v>24</v>
      </c>
      <c r="D642" s="2">
        <v>0</v>
      </c>
      <c r="E642" s="2">
        <v>3148.1</v>
      </c>
      <c r="F642" t="s">
        <v>13</v>
      </c>
      <c r="G642" t="s">
        <v>9</v>
      </c>
    </row>
    <row r="643" spans="1:7" x14ac:dyDescent="0.35">
      <c r="A643">
        <v>247</v>
      </c>
      <c r="B643" s="1">
        <v>45370</v>
      </c>
      <c r="C643" t="s">
        <v>24</v>
      </c>
      <c r="D643" s="2">
        <v>1410.87</v>
      </c>
      <c r="E643" s="2">
        <v>0</v>
      </c>
      <c r="F643" t="s">
        <v>8</v>
      </c>
      <c r="G643" t="s">
        <v>9</v>
      </c>
    </row>
    <row r="644" spans="1:7" x14ac:dyDescent="0.35">
      <c r="A644">
        <v>247</v>
      </c>
      <c r="B644" s="1">
        <v>45370</v>
      </c>
      <c r="C644" t="s">
        <v>24</v>
      </c>
      <c r="D644" s="2">
        <v>0</v>
      </c>
      <c r="E644" s="2">
        <v>1410.87</v>
      </c>
      <c r="F644" t="s">
        <v>13</v>
      </c>
      <c r="G644" t="s">
        <v>9</v>
      </c>
    </row>
    <row r="645" spans="1:7" x14ac:dyDescent="0.35">
      <c r="A645">
        <v>248</v>
      </c>
      <c r="B645" s="1">
        <v>45370</v>
      </c>
      <c r="C645" t="s">
        <v>24</v>
      </c>
      <c r="D645" s="2">
        <v>3892.96</v>
      </c>
      <c r="E645" s="2">
        <v>0</v>
      </c>
      <c r="F645" t="s">
        <v>8</v>
      </c>
      <c r="G645" t="s">
        <v>9</v>
      </c>
    </row>
    <row r="646" spans="1:7" x14ac:dyDescent="0.35">
      <c r="A646">
        <v>248</v>
      </c>
      <c r="B646" s="1">
        <v>45370</v>
      </c>
      <c r="C646" t="s">
        <v>24</v>
      </c>
      <c r="D646" s="2">
        <v>0</v>
      </c>
      <c r="E646" s="2">
        <v>3892.96</v>
      </c>
      <c r="F646" t="s">
        <v>13</v>
      </c>
      <c r="G646" t="s">
        <v>9</v>
      </c>
    </row>
    <row r="647" spans="1:7" x14ac:dyDescent="0.35">
      <c r="A647">
        <v>249</v>
      </c>
      <c r="B647" s="1">
        <v>45370</v>
      </c>
      <c r="C647" t="s">
        <v>24</v>
      </c>
      <c r="D647" s="2">
        <v>1904.11</v>
      </c>
      <c r="E647" s="2">
        <v>0</v>
      </c>
      <c r="F647" t="s">
        <v>8</v>
      </c>
      <c r="G647" t="s">
        <v>9</v>
      </c>
    </row>
    <row r="648" spans="1:7" x14ac:dyDescent="0.35">
      <c r="A648">
        <v>249</v>
      </c>
      <c r="B648" s="1">
        <v>45370</v>
      </c>
      <c r="C648" t="s">
        <v>24</v>
      </c>
      <c r="D648" s="2">
        <v>0</v>
      </c>
      <c r="E648" s="2">
        <v>1904.11</v>
      </c>
      <c r="F648" t="s">
        <v>13</v>
      </c>
      <c r="G648" t="s">
        <v>9</v>
      </c>
    </row>
    <row r="649" spans="1:7" x14ac:dyDescent="0.35">
      <c r="A649">
        <v>250</v>
      </c>
      <c r="B649" s="1">
        <v>45370</v>
      </c>
      <c r="C649" t="s">
        <v>25</v>
      </c>
      <c r="D649" s="2">
        <v>1078.92</v>
      </c>
      <c r="E649" s="2">
        <v>0</v>
      </c>
      <c r="F649" t="s">
        <v>26</v>
      </c>
      <c r="G649" t="s">
        <v>20</v>
      </c>
    </row>
    <row r="650" spans="1:7" x14ac:dyDescent="0.35">
      <c r="A650">
        <v>250</v>
      </c>
      <c r="B650" s="1">
        <v>45370</v>
      </c>
      <c r="C650" t="s">
        <v>25</v>
      </c>
      <c r="D650" s="2">
        <v>80.92</v>
      </c>
      <c r="E650" s="2">
        <v>0</v>
      </c>
      <c r="F650" t="s">
        <v>27</v>
      </c>
      <c r="G650" t="s">
        <v>9</v>
      </c>
    </row>
    <row r="651" spans="1:7" x14ac:dyDescent="0.35">
      <c r="A651">
        <v>250</v>
      </c>
      <c r="B651" s="1">
        <v>45370</v>
      </c>
      <c r="C651" t="s">
        <v>25</v>
      </c>
      <c r="D651" s="2">
        <v>0</v>
      </c>
      <c r="E651" s="2">
        <v>1159.8399999999999</v>
      </c>
      <c r="F651" t="s">
        <v>28</v>
      </c>
      <c r="G651" t="s">
        <v>17</v>
      </c>
    </row>
    <row r="652" spans="1:7" x14ac:dyDescent="0.35">
      <c r="A652">
        <v>251</v>
      </c>
      <c r="B652" s="1">
        <v>45371</v>
      </c>
      <c r="C652" t="s">
        <v>12</v>
      </c>
      <c r="D652" s="2">
        <v>367.71</v>
      </c>
      <c r="E652" s="2">
        <v>0</v>
      </c>
      <c r="F652" t="s">
        <v>13</v>
      </c>
      <c r="G652" t="s">
        <v>9</v>
      </c>
    </row>
    <row r="653" spans="1:7" x14ac:dyDescent="0.35">
      <c r="A653">
        <v>251</v>
      </c>
      <c r="B653" s="1">
        <v>45371</v>
      </c>
      <c r="C653" t="s">
        <v>12</v>
      </c>
      <c r="D653" s="2">
        <v>0</v>
      </c>
      <c r="E653" s="2">
        <v>342.06</v>
      </c>
      <c r="F653" t="s">
        <v>14</v>
      </c>
      <c r="G653" t="s">
        <v>15</v>
      </c>
    </row>
    <row r="654" spans="1:7" x14ac:dyDescent="0.35">
      <c r="A654">
        <v>251</v>
      </c>
      <c r="B654" s="1">
        <v>45371</v>
      </c>
      <c r="C654" t="s">
        <v>12</v>
      </c>
      <c r="D654" s="2">
        <v>0</v>
      </c>
      <c r="E654" s="2">
        <v>25.65</v>
      </c>
      <c r="F654" t="s">
        <v>16</v>
      </c>
      <c r="G654" t="s">
        <v>17</v>
      </c>
    </row>
    <row r="655" spans="1:7" x14ac:dyDescent="0.35">
      <c r="A655">
        <v>252</v>
      </c>
      <c r="B655" s="1">
        <v>45371</v>
      </c>
      <c r="C655" t="s">
        <v>12</v>
      </c>
      <c r="D655" s="2">
        <v>1715.77</v>
      </c>
      <c r="E655" s="2">
        <v>0</v>
      </c>
      <c r="F655" t="s">
        <v>13</v>
      </c>
      <c r="G655" t="s">
        <v>9</v>
      </c>
    </row>
    <row r="656" spans="1:7" x14ac:dyDescent="0.35">
      <c r="A656">
        <v>252</v>
      </c>
      <c r="B656" s="1">
        <v>45371</v>
      </c>
      <c r="C656" t="s">
        <v>12</v>
      </c>
      <c r="D656" s="2">
        <v>0</v>
      </c>
      <c r="E656" s="2">
        <v>1596.05</v>
      </c>
      <c r="F656" t="s">
        <v>14</v>
      </c>
      <c r="G656" t="s">
        <v>15</v>
      </c>
    </row>
    <row r="657" spans="1:7" x14ac:dyDescent="0.35">
      <c r="A657">
        <v>252</v>
      </c>
      <c r="B657" s="1">
        <v>45371</v>
      </c>
      <c r="C657" t="s">
        <v>12</v>
      </c>
      <c r="D657" s="2">
        <v>0</v>
      </c>
      <c r="E657" s="2">
        <v>119.72</v>
      </c>
      <c r="F657" t="s">
        <v>16</v>
      </c>
      <c r="G657" t="s">
        <v>17</v>
      </c>
    </row>
    <row r="658" spans="1:7" x14ac:dyDescent="0.35">
      <c r="A658">
        <v>253</v>
      </c>
      <c r="B658" s="1">
        <v>45371</v>
      </c>
      <c r="C658" t="s">
        <v>12</v>
      </c>
      <c r="D658" s="2">
        <v>1636.48</v>
      </c>
      <c r="E658" s="2">
        <v>0</v>
      </c>
      <c r="F658" t="s">
        <v>13</v>
      </c>
      <c r="G658" t="s">
        <v>9</v>
      </c>
    </row>
    <row r="659" spans="1:7" x14ac:dyDescent="0.35">
      <c r="A659">
        <v>253</v>
      </c>
      <c r="B659" s="1">
        <v>45371</v>
      </c>
      <c r="C659" t="s">
        <v>12</v>
      </c>
      <c r="D659" s="2">
        <v>0</v>
      </c>
      <c r="E659" s="2">
        <v>1522.3</v>
      </c>
      <c r="F659" t="s">
        <v>14</v>
      </c>
      <c r="G659" t="s">
        <v>15</v>
      </c>
    </row>
    <row r="660" spans="1:7" x14ac:dyDescent="0.35">
      <c r="A660">
        <v>253</v>
      </c>
      <c r="B660" s="1">
        <v>45371</v>
      </c>
      <c r="C660" t="s">
        <v>12</v>
      </c>
      <c r="D660" s="2">
        <v>0</v>
      </c>
      <c r="E660" s="2">
        <v>114.18</v>
      </c>
      <c r="F660" t="s">
        <v>16</v>
      </c>
      <c r="G660" t="s">
        <v>17</v>
      </c>
    </row>
    <row r="661" spans="1:7" x14ac:dyDescent="0.35">
      <c r="A661">
        <v>254</v>
      </c>
      <c r="B661" s="1">
        <v>45371</v>
      </c>
      <c r="C661" t="s">
        <v>12</v>
      </c>
      <c r="D661" s="2">
        <v>1969.9</v>
      </c>
      <c r="E661" s="2">
        <v>0</v>
      </c>
      <c r="F661" t="s">
        <v>13</v>
      </c>
      <c r="G661" t="s">
        <v>9</v>
      </c>
    </row>
    <row r="662" spans="1:7" x14ac:dyDescent="0.35">
      <c r="A662">
        <v>254</v>
      </c>
      <c r="B662" s="1">
        <v>45371</v>
      </c>
      <c r="C662" t="s">
        <v>12</v>
      </c>
      <c r="D662" s="2">
        <v>0</v>
      </c>
      <c r="E662" s="2">
        <v>1832.46</v>
      </c>
      <c r="F662" t="s">
        <v>14</v>
      </c>
      <c r="G662" t="s">
        <v>15</v>
      </c>
    </row>
    <row r="663" spans="1:7" x14ac:dyDescent="0.35">
      <c r="A663">
        <v>254</v>
      </c>
      <c r="B663" s="1">
        <v>45371</v>
      </c>
      <c r="C663" t="s">
        <v>12</v>
      </c>
      <c r="D663" s="2">
        <v>0</v>
      </c>
      <c r="E663" s="2">
        <v>137.44</v>
      </c>
      <c r="F663" t="s">
        <v>16</v>
      </c>
      <c r="G663" t="s">
        <v>17</v>
      </c>
    </row>
    <row r="664" spans="1:7" x14ac:dyDescent="0.35">
      <c r="A664">
        <v>255</v>
      </c>
      <c r="B664" s="1">
        <v>45371</v>
      </c>
      <c r="C664" t="s">
        <v>12</v>
      </c>
      <c r="D664" s="2">
        <v>3729.84</v>
      </c>
      <c r="E664" s="2">
        <v>0</v>
      </c>
      <c r="F664" t="s">
        <v>13</v>
      </c>
      <c r="G664" t="s">
        <v>9</v>
      </c>
    </row>
    <row r="665" spans="1:7" x14ac:dyDescent="0.35">
      <c r="A665">
        <v>255</v>
      </c>
      <c r="B665" s="1">
        <v>45371</v>
      </c>
      <c r="C665" t="s">
        <v>12</v>
      </c>
      <c r="D665" s="2">
        <v>0</v>
      </c>
      <c r="E665" s="2">
        <v>3469.63</v>
      </c>
      <c r="F665" t="s">
        <v>14</v>
      </c>
      <c r="G665" t="s">
        <v>15</v>
      </c>
    </row>
    <row r="666" spans="1:7" x14ac:dyDescent="0.35">
      <c r="A666">
        <v>255</v>
      </c>
      <c r="B666" s="1">
        <v>45371</v>
      </c>
      <c r="C666" t="s">
        <v>12</v>
      </c>
      <c r="D666" s="2">
        <v>0</v>
      </c>
      <c r="E666" s="2">
        <v>260.20999999999998</v>
      </c>
      <c r="F666" t="s">
        <v>16</v>
      </c>
      <c r="G666" t="s">
        <v>17</v>
      </c>
    </row>
    <row r="667" spans="1:7" x14ac:dyDescent="0.35">
      <c r="A667">
        <v>256</v>
      </c>
      <c r="B667" s="1">
        <v>45371</v>
      </c>
      <c r="C667" t="s">
        <v>24</v>
      </c>
      <c r="D667" s="2">
        <v>357.47</v>
      </c>
      <c r="E667" s="2">
        <v>0</v>
      </c>
      <c r="F667" t="s">
        <v>8</v>
      </c>
      <c r="G667" t="s">
        <v>9</v>
      </c>
    </row>
    <row r="668" spans="1:7" x14ac:dyDescent="0.35">
      <c r="A668">
        <v>256</v>
      </c>
      <c r="B668" s="1">
        <v>45371</v>
      </c>
      <c r="C668" t="s">
        <v>24</v>
      </c>
      <c r="D668" s="2">
        <v>0</v>
      </c>
      <c r="E668" s="2">
        <v>357.47</v>
      </c>
      <c r="F668" t="s">
        <v>13</v>
      </c>
      <c r="G668" t="s">
        <v>9</v>
      </c>
    </row>
    <row r="669" spans="1:7" x14ac:dyDescent="0.35">
      <c r="A669">
        <v>257</v>
      </c>
      <c r="B669" s="1">
        <v>45371</v>
      </c>
      <c r="C669" t="s">
        <v>24</v>
      </c>
      <c r="D669" s="2">
        <v>2930.15</v>
      </c>
      <c r="E669" s="2">
        <v>0</v>
      </c>
      <c r="F669" t="s">
        <v>8</v>
      </c>
      <c r="G669" t="s">
        <v>9</v>
      </c>
    </row>
    <row r="670" spans="1:7" x14ac:dyDescent="0.35">
      <c r="A670">
        <v>257</v>
      </c>
      <c r="B670" s="1">
        <v>45371</v>
      </c>
      <c r="C670" t="s">
        <v>24</v>
      </c>
      <c r="D670" s="2">
        <v>0</v>
      </c>
      <c r="E670" s="2">
        <v>2930.15</v>
      </c>
      <c r="F670" t="s">
        <v>13</v>
      </c>
      <c r="G670" t="s">
        <v>9</v>
      </c>
    </row>
    <row r="671" spans="1:7" x14ac:dyDescent="0.35">
      <c r="A671">
        <v>258</v>
      </c>
      <c r="B671" s="1">
        <v>45371</v>
      </c>
      <c r="C671" t="s">
        <v>24</v>
      </c>
      <c r="D671" s="2">
        <v>3785.42</v>
      </c>
      <c r="E671" s="2">
        <v>0</v>
      </c>
      <c r="F671" t="s">
        <v>8</v>
      </c>
      <c r="G671" t="s">
        <v>9</v>
      </c>
    </row>
    <row r="672" spans="1:7" x14ac:dyDescent="0.35">
      <c r="A672">
        <v>258</v>
      </c>
      <c r="B672" s="1">
        <v>45371</v>
      </c>
      <c r="C672" t="s">
        <v>24</v>
      </c>
      <c r="D672" s="2">
        <v>0</v>
      </c>
      <c r="E672" s="2">
        <v>3785.42</v>
      </c>
      <c r="F672" t="s">
        <v>13</v>
      </c>
      <c r="G672" t="s">
        <v>9</v>
      </c>
    </row>
    <row r="673" spans="1:7" x14ac:dyDescent="0.35">
      <c r="A673">
        <v>259</v>
      </c>
      <c r="B673" s="1">
        <v>45371</v>
      </c>
      <c r="C673" t="s">
        <v>25</v>
      </c>
      <c r="D673" s="2">
        <v>6723.2</v>
      </c>
      <c r="E673" s="2">
        <v>0</v>
      </c>
      <c r="F673" t="s">
        <v>26</v>
      </c>
      <c r="G673" t="s">
        <v>20</v>
      </c>
    </row>
    <row r="674" spans="1:7" x14ac:dyDescent="0.35">
      <c r="A674">
        <v>259</v>
      </c>
      <c r="B674" s="1">
        <v>45371</v>
      </c>
      <c r="C674" t="s">
        <v>25</v>
      </c>
      <c r="D674" s="2">
        <v>504.24</v>
      </c>
      <c r="E674" s="2">
        <v>0</v>
      </c>
      <c r="F674" t="s">
        <v>27</v>
      </c>
      <c r="G674" t="s">
        <v>9</v>
      </c>
    </row>
    <row r="675" spans="1:7" x14ac:dyDescent="0.35">
      <c r="A675">
        <v>259</v>
      </c>
      <c r="B675" s="1">
        <v>45371</v>
      </c>
      <c r="C675" t="s">
        <v>25</v>
      </c>
      <c r="D675" s="2">
        <v>0</v>
      </c>
      <c r="E675" s="2">
        <v>7227.44</v>
      </c>
      <c r="F675" t="s">
        <v>28</v>
      </c>
      <c r="G675" t="s">
        <v>17</v>
      </c>
    </row>
    <row r="676" spans="1:7" x14ac:dyDescent="0.35">
      <c r="A676">
        <v>260</v>
      </c>
      <c r="B676" s="1">
        <v>45371</v>
      </c>
      <c r="C676" t="s">
        <v>29</v>
      </c>
      <c r="D676" s="2">
        <v>1794.11</v>
      </c>
      <c r="E676" s="2">
        <v>0</v>
      </c>
      <c r="F676" t="s">
        <v>28</v>
      </c>
      <c r="G676" t="s">
        <v>17</v>
      </c>
    </row>
    <row r="677" spans="1:7" x14ac:dyDescent="0.35">
      <c r="A677">
        <v>260</v>
      </c>
      <c r="B677" s="1">
        <v>45371</v>
      </c>
      <c r="C677" t="s">
        <v>29</v>
      </c>
      <c r="D677" s="2">
        <v>0</v>
      </c>
      <c r="E677" s="2">
        <v>1794.11</v>
      </c>
      <c r="F677" t="s">
        <v>8</v>
      </c>
      <c r="G677" t="s">
        <v>9</v>
      </c>
    </row>
    <row r="678" spans="1:7" x14ac:dyDescent="0.35">
      <c r="A678">
        <v>261</v>
      </c>
      <c r="B678" s="1">
        <v>45372</v>
      </c>
      <c r="C678" t="s">
        <v>12</v>
      </c>
      <c r="D678" s="2">
        <v>3514.96</v>
      </c>
      <c r="E678" s="2">
        <v>0</v>
      </c>
      <c r="F678" t="s">
        <v>13</v>
      </c>
      <c r="G678" t="s">
        <v>9</v>
      </c>
    </row>
    <row r="679" spans="1:7" x14ac:dyDescent="0.35">
      <c r="A679">
        <v>261</v>
      </c>
      <c r="B679" s="1">
        <v>45372</v>
      </c>
      <c r="C679" t="s">
        <v>12</v>
      </c>
      <c r="D679" s="2">
        <v>0</v>
      </c>
      <c r="E679" s="2">
        <v>3269.73</v>
      </c>
      <c r="F679" t="s">
        <v>14</v>
      </c>
      <c r="G679" t="s">
        <v>15</v>
      </c>
    </row>
    <row r="680" spans="1:7" x14ac:dyDescent="0.35">
      <c r="A680">
        <v>261</v>
      </c>
      <c r="B680" s="1">
        <v>45372</v>
      </c>
      <c r="C680" t="s">
        <v>12</v>
      </c>
      <c r="D680" s="2">
        <v>0</v>
      </c>
      <c r="E680" s="2">
        <v>245.23</v>
      </c>
      <c r="F680" t="s">
        <v>16</v>
      </c>
      <c r="G680" t="s">
        <v>17</v>
      </c>
    </row>
    <row r="681" spans="1:7" x14ac:dyDescent="0.35">
      <c r="A681">
        <v>262</v>
      </c>
      <c r="B681" s="1">
        <v>45372</v>
      </c>
      <c r="C681" t="s">
        <v>12</v>
      </c>
      <c r="D681" s="2">
        <v>3073.1</v>
      </c>
      <c r="E681" s="2">
        <v>0</v>
      </c>
      <c r="F681" t="s">
        <v>13</v>
      </c>
      <c r="G681" t="s">
        <v>9</v>
      </c>
    </row>
    <row r="682" spans="1:7" x14ac:dyDescent="0.35">
      <c r="A682">
        <v>262</v>
      </c>
      <c r="B682" s="1">
        <v>45372</v>
      </c>
      <c r="C682" t="s">
        <v>12</v>
      </c>
      <c r="D682" s="2">
        <v>0</v>
      </c>
      <c r="E682" s="2">
        <v>2858.69</v>
      </c>
      <c r="F682" t="s">
        <v>14</v>
      </c>
      <c r="G682" t="s">
        <v>15</v>
      </c>
    </row>
    <row r="683" spans="1:7" x14ac:dyDescent="0.35">
      <c r="A683">
        <v>262</v>
      </c>
      <c r="B683" s="1">
        <v>45372</v>
      </c>
      <c r="C683" t="s">
        <v>12</v>
      </c>
      <c r="D683" s="2">
        <v>0</v>
      </c>
      <c r="E683" s="2">
        <v>214.41</v>
      </c>
      <c r="F683" t="s">
        <v>16</v>
      </c>
      <c r="G683" t="s">
        <v>17</v>
      </c>
    </row>
    <row r="684" spans="1:7" x14ac:dyDescent="0.35">
      <c r="A684">
        <v>263</v>
      </c>
      <c r="B684" s="1">
        <v>45372</v>
      </c>
      <c r="C684" t="s">
        <v>12</v>
      </c>
      <c r="D684" s="2">
        <v>1515.29</v>
      </c>
      <c r="E684" s="2">
        <v>0</v>
      </c>
      <c r="F684" t="s">
        <v>13</v>
      </c>
      <c r="G684" t="s">
        <v>9</v>
      </c>
    </row>
    <row r="685" spans="1:7" x14ac:dyDescent="0.35">
      <c r="A685">
        <v>263</v>
      </c>
      <c r="B685" s="1">
        <v>45372</v>
      </c>
      <c r="C685" t="s">
        <v>12</v>
      </c>
      <c r="D685" s="2">
        <v>0</v>
      </c>
      <c r="E685" s="2">
        <v>1409.57</v>
      </c>
      <c r="F685" t="s">
        <v>14</v>
      </c>
      <c r="G685" t="s">
        <v>15</v>
      </c>
    </row>
    <row r="686" spans="1:7" x14ac:dyDescent="0.35">
      <c r="A686">
        <v>263</v>
      </c>
      <c r="B686" s="1">
        <v>45372</v>
      </c>
      <c r="C686" t="s">
        <v>12</v>
      </c>
      <c r="D686" s="2">
        <v>0</v>
      </c>
      <c r="E686" s="2">
        <v>105.72</v>
      </c>
      <c r="F686" t="s">
        <v>16</v>
      </c>
      <c r="G686" t="s">
        <v>17</v>
      </c>
    </row>
    <row r="687" spans="1:7" x14ac:dyDescent="0.35">
      <c r="A687">
        <v>264</v>
      </c>
      <c r="B687" s="1">
        <v>45372</v>
      </c>
      <c r="C687" t="s">
        <v>12</v>
      </c>
      <c r="D687" s="2">
        <v>1037.53</v>
      </c>
      <c r="E687" s="2">
        <v>0</v>
      </c>
      <c r="F687" t="s">
        <v>13</v>
      </c>
      <c r="G687" t="s">
        <v>9</v>
      </c>
    </row>
    <row r="688" spans="1:7" x14ac:dyDescent="0.35">
      <c r="A688">
        <v>264</v>
      </c>
      <c r="B688" s="1">
        <v>45372</v>
      </c>
      <c r="C688" t="s">
        <v>12</v>
      </c>
      <c r="D688" s="2">
        <v>0</v>
      </c>
      <c r="E688" s="2">
        <v>965.14</v>
      </c>
      <c r="F688" t="s">
        <v>14</v>
      </c>
      <c r="G688" t="s">
        <v>15</v>
      </c>
    </row>
    <row r="689" spans="1:7" x14ac:dyDescent="0.35">
      <c r="A689">
        <v>264</v>
      </c>
      <c r="B689" s="1">
        <v>45372</v>
      </c>
      <c r="C689" t="s">
        <v>12</v>
      </c>
      <c r="D689" s="2">
        <v>0</v>
      </c>
      <c r="E689" s="2">
        <v>72.39</v>
      </c>
      <c r="F689" t="s">
        <v>16</v>
      </c>
      <c r="G689" t="s">
        <v>17</v>
      </c>
    </row>
    <row r="690" spans="1:7" x14ac:dyDescent="0.35">
      <c r="A690">
        <v>265</v>
      </c>
      <c r="B690" s="1">
        <v>45372</v>
      </c>
      <c r="C690" t="s">
        <v>25</v>
      </c>
      <c r="D690" s="2">
        <v>1822.08</v>
      </c>
      <c r="E690" s="2">
        <v>0</v>
      </c>
      <c r="F690" t="s">
        <v>26</v>
      </c>
      <c r="G690" t="s">
        <v>20</v>
      </c>
    </row>
    <row r="691" spans="1:7" x14ac:dyDescent="0.35">
      <c r="A691">
        <v>265</v>
      </c>
      <c r="B691" s="1">
        <v>45372</v>
      </c>
      <c r="C691" t="s">
        <v>25</v>
      </c>
      <c r="D691" s="2">
        <v>136.66</v>
      </c>
      <c r="E691" s="2">
        <v>0</v>
      </c>
      <c r="F691" t="s">
        <v>27</v>
      </c>
      <c r="G691" t="s">
        <v>9</v>
      </c>
    </row>
    <row r="692" spans="1:7" x14ac:dyDescent="0.35">
      <c r="A692">
        <v>265</v>
      </c>
      <c r="B692" s="1">
        <v>45372</v>
      </c>
      <c r="C692" t="s">
        <v>25</v>
      </c>
      <c r="D692" s="2">
        <v>0</v>
      </c>
      <c r="E692" s="2">
        <v>1958.74</v>
      </c>
      <c r="F692" t="s">
        <v>28</v>
      </c>
      <c r="G692" t="s">
        <v>17</v>
      </c>
    </row>
    <row r="693" spans="1:7" x14ac:dyDescent="0.35">
      <c r="A693">
        <v>266</v>
      </c>
      <c r="B693" s="1">
        <v>45372</v>
      </c>
      <c r="C693" t="s">
        <v>25</v>
      </c>
      <c r="D693" s="2">
        <v>3598.88</v>
      </c>
      <c r="E693" s="2">
        <v>0</v>
      </c>
      <c r="F693" t="s">
        <v>26</v>
      </c>
      <c r="G693" t="s">
        <v>20</v>
      </c>
    </row>
    <row r="694" spans="1:7" x14ac:dyDescent="0.35">
      <c r="A694">
        <v>266</v>
      </c>
      <c r="B694" s="1">
        <v>45372</v>
      </c>
      <c r="C694" t="s">
        <v>25</v>
      </c>
      <c r="D694" s="2">
        <v>269.92</v>
      </c>
      <c r="E694" s="2">
        <v>0</v>
      </c>
      <c r="F694" t="s">
        <v>27</v>
      </c>
      <c r="G694" t="s">
        <v>9</v>
      </c>
    </row>
    <row r="695" spans="1:7" x14ac:dyDescent="0.35">
      <c r="A695">
        <v>266</v>
      </c>
      <c r="B695" s="1">
        <v>45372</v>
      </c>
      <c r="C695" t="s">
        <v>25</v>
      </c>
      <c r="D695" s="2">
        <v>0</v>
      </c>
      <c r="E695" s="2">
        <v>3868.8</v>
      </c>
      <c r="F695" t="s">
        <v>28</v>
      </c>
      <c r="G695" t="s">
        <v>17</v>
      </c>
    </row>
    <row r="696" spans="1:7" x14ac:dyDescent="0.35">
      <c r="A696">
        <v>267</v>
      </c>
      <c r="B696" s="1">
        <v>45373</v>
      </c>
      <c r="C696" t="s">
        <v>12</v>
      </c>
      <c r="D696" s="2">
        <v>2761.46</v>
      </c>
      <c r="E696" s="2">
        <v>0</v>
      </c>
      <c r="F696" t="s">
        <v>13</v>
      </c>
      <c r="G696" t="s">
        <v>9</v>
      </c>
    </row>
    <row r="697" spans="1:7" x14ac:dyDescent="0.35">
      <c r="A697">
        <v>267</v>
      </c>
      <c r="B697" s="1">
        <v>45373</v>
      </c>
      <c r="C697" t="s">
        <v>12</v>
      </c>
      <c r="D697" s="2">
        <v>0</v>
      </c>
      <c r="E697" s="2">
        <v>2568.8000000000002</v>
      </c>
      <c r="F697" t="s">
        <v>14</v>
      </c>
      <c r="G697" t="s">
        <v>15</v>
      </c>
    </row>
    <row r="698" spans="1:7" x14ac:dyDescent="0.35">
      <c r="A698">
        <v>267</v>
      </c>
      <c r="B698" s="1">
        <v>45373</v>
      </c>
      <c r="C698" t="s">
        <v>12</v>
      </c>
      <c r="D698" s="2">
        <v>0</v>
      </c>
      <c r="E698" s="2">
        <v>192.66</v>
      </c>
      <c r="F698" t="s">
        <v>16</v>
      </c>
      <c r="G698" t="s">
        <v>17</v>
      </c>
    </row>
    <row r="699" spans="1:7" x14ac:dyDescent="0.35">
      <c r="A699">
        <v>268</v>
      </c>
      <c r="B699" s="1">
        <v>45373</v>
      </c>
      <c r="C699" t="s">
        <v>12</v>
      </c>
      <c r="D699" s="2">
        <v>906.48</v>
      </c>
      <c r="E699" s="2">
        <v>0</v>
      </c>
      <c r="F699" t="s">
        <v>13</v>
      </c>
      <c r="G699" t="s">
        <v>9</v>
      </c>
    </row>
    <row r="700" spans="1:7" x14ac:dyDescent="0.35">
      <c r="A700">
        <v>268</v>
      </c>
      <c r="B700" s="1">
        <v>45373</v>
      </c>
      <c r="C700" t="s">
        <v>12</v>
      </c>
      <c r="D700" s="2">
        <v>0</v>
      </c>
      <c r="E700" s="2">
        <v>843.24</v>
      </c>
      <c r="F700" t="s">
        <v>14</v>
      </c>
      <c r="G700" t="s">
        <v>15</v>
      </c>
    </row>
    <row r="701" spans="1:7" x14ac:dyDescent="0.35">
      <c r="A701">
        <v>268</v>
      </c>
      <c r="B701" s="1">
        <v>45373</v>
      </c>
      <c r="C701" t="s">
        <v>12</v>
      </c>
      <c r="D701" s="2">
        <v>0</v>
      </c>
      <c r="E701" s="2">
        <v>63.24</v>
      </c>
      <c r="F701" t="s">
        <v>16</v>
      </c>
      <c r="G701" t="s">
        <v>17</v>
      </c>
    </row>
    <row r="702" spans="1:7" x14ac:dyDescent="0.35">
      <c r="A702">
        <v>269</v>
      </c>
      <c r="B702" s="1">
        <v>45373</v>
      </c>
      <c r="C702" t="s">
        <v>24</v>
      </c>
      <c r="D702" s="2">
        <v>2520.4899999999998</v>
      </c>
      <c r="E702" s="2">
        <v>0</v>
      </c>
      <c r="F702" t="s">
        <v>8</v>
      </c>
      <c r="G702" t="s">
        <v>9</v>
      </c>
    </row>
    <row r="703" spans="1:7" x14ac:dyDescent="0.35">
      <c r="A703">
        <v>269</v>
      </c>
      <c r="B703" s="1">
        <v>45373</v>
      </c>
      <c r="C703" t="s">
        <v>24</v>
      </c>
      <c r="D703" s="2">
        <v>0</v>
      </c>
      <c r="E703" s="2">
        <v>2520.4899999999998</v>
      </c>
      <c r="F703" t="s">
        <v>13</v>
      </c>
      <c r="G703" t="s">
        <v>9</v>
      </c>
    </row>
    <row r="704" spans="1:7" x14ac:dyDescent="0.35">
      <c r="A704">
        <v>270</v>
      </c>
      <c r="B704" s="1">
        <v>45373</v>
      </c>
      <c r="C704" t="s">
        <v>24</v>
      </c>
      <c r="D704" s="2">
        <v>87.62</v>
      </c>
      <c r="E704" s="2">
        <v>0</v>
      </c>
      <c r="F704" t="s">
        <v>8</v>
      </c>
      <c r="G704" t="s">
        <v>9</v>
      </c>
    </row>
    <row r="705" spans="1:7" x14ac:dyDescent="0.35">
      <c r="A705">
        <v>270</v>
      </c>
      <c r="B705" s="1">
        <v>45373</v>
      </c>
      <c r="C705" t="s">
        <v>24</v>
      </c>
      <c r="D705" s="2">
        <v>0</v>
      </c>
      <c r="E705" s="2">
        <v>87.62</v>
      </c>
      <c r="F705" t="s">
        <v>13</v>
      </c>
      <c r="G705" t="s">
        <v>9</v>
      </c>
    </row>
    <row r="706" spans="1:7" x14ac:dyDescent="0.35">
      <c r="A706">
        <v>271</v>
      </c>
      <c r="B706" s="1">
        <v>45373</v>
      </c>
      <c r="C706" t="s">
        <v>24</v>
      </c>
      <c r="D706" s="2">
        <v>670.22</v>
      </c>
      <c r="E706" s="2">
        <v>0</v>
      </c>
      <c r="F706" t="s">
        <v>8</v>
      </c>
      <c r="G706" t="s">
        <v>9</v>
      </c>
    </row>
    <row r="707" spans="1:7" x14ac:dyDescent="0.35">
      <c r="A707">
        <v>271</v>
      </c>
      <c r="B707" s="1">
        <v>45373</v>
      </c>
      <c r="C707" t="s">
        <v>24</v>
      </c>
      <c r="D707" s="2">
        <v>0</v>
      </c>
      <c r="E707" s="2">
        <v>670.22</v>
      </c>
      <c r="F707" t="s">
        <v>13</v>
      </c>
      <c r="G707" t="s">
        <v>9</v>
      </c>
    </row>
    <row r="708" spans="1:7" x14ac:dyDescent="0.35">
      <c r="A708">
        <v>272</v>
      </c>
      <c r="B708" s="1">
        <v>45373</v>
      </c>
      <c r="C708" t="s">
        <v>25</v>
      </c>
      <c r="D708" s="2">
        <v>187.44</v>
      </c>
      <c r="E708" s="2">
        <v>0</v>
      </c>
      <c r="F708" t="s">
        <v>26</v>
      </c>
      <c r="G708" t="s">
        <v>20</v>
      </c>
    </row>
    <row r="709" spans="1:7" x14ac:dyDescent="0.35">
      <c r="A709">
        <v>272</v>
      </c>
      <c r="B709" s="1">
        <v>45373</v>
      </c>
      <c r="C709" t="s">
        <v>25</v>
      </c>
      <c r="D709" s="2">
        <v>14.06</v>
      </c>
      <c r="E709" s="2">
        <v>0</v>
      </c>
      <c r="F709" t="s">
        <v>27</v>
      </c>
      <c r="G709" t="s">
        <v>9</v>
      </c>
    </row>
    <row r="710" spans="1:7" x14ac:dyDescent="0.35">
      <c r="A710">
        <v>272</v>
      </c>
      <c r="B710" s="1">
        <v>45373</v>
      </c>
      <c r="C710" t="s">
        <v>25</v>
      </c>
      <c r="D710" s="2">
        <v>0</v>
      </c>
      <c r="E710" s="2">
        <v>201.5</v>
      </c>
      <c r="F710" t="s">
        <v>28</v>
      </c>
      <c r="G710" t="s">
        <v>17</v>
      </c>
    </row>
    <row r="711" spans="1:7" x14ac:dyDescent="0.35">
      <c r="A711">
        <v>273</v>
      </c>
      <c r="B711" s="1">
        <v>45373</v>
      </c>
      <c r="C711" t="s">
        <v>25</v>
      </c>
      <c r="D711" s="2">
        <v>257.04000000000002</v>
      </c>
      <c r="E711" s="2">
        <v>0</v>
      </c>
      <c r="F711" t="s">
        <v>26</v>
      </c>
      <c r="G711" t="s">
        <v>20</v>
      </c>
    </row>
    <row r="712" spans="1:7" x14ac:dyDescent="0.35">
      <c r="A712">
        <v>273</v>
      </c>
      <c r="B712" s="1">
        <v>45373</v>
      </c>
      <c r="C712" t="s">
        <v>25</v>
      </c>
      <c r="D712" s="2">
        <v>19.28</v>
      </c>
      <c r="E712" s="2">
        <v>0</v>
      </c>
      <c r="F712" t="s">
        <v>27</v>
      </c>
      <c r="G712" t="s">
        <v>9</v>
      </c>
    </row>
    <row r="713" spans="1:7" x14ac:dyDescent="0.35">
      <c r="A713">
        <v>273</v>
      </c>
      <c r="B713" s="1">
        <v>45373</v>
      </c>
      <c r="C713" t="s">
        <v>25</v>
      </c>
      <c r="D713" s="2">
        <v>0</v>
      </c>
      <c r="E713" s="2">
        <v>276.32</v>
      </c>
      <c r="F713" t="s">
        <v>28</v>
      </c>
      <c r="G713" t="s">
        <v>17</v>
      </c>
    </row>
    <row r="714" spans="1:7" x14ac:dyDescent="0.35">
      <c r="A714">
        <v>274</v>
      </c>
      <c r="B714" s="1">
        <v>45376</v>
      </c>
      <c r="C714" t="s">
        <v>12</v>
      </c>
      <c r="D714" s="2">
        <v>3173.64</v>
      </c>
      <c r="E714" s="2">
        <v>0</v>
      </c>
      <c r="F714" t="s">
        <v>13</v>
      </c>
      <c r="G714" t="s">
        <v>9</v>
      </c>
    </row>
    <row r="715" spans="1:7" x14ac:dyDescent="0.35">
      <c r="A715">
        <v>274</v>
      </c>
      <c r="B715" s="1">
        <v>45376</v>
      </c>
      <c r="C715" t="s">
        <v>12</v>
      </c>
      <c r="D715" s="2">
        <v>0</v>
      </c>
      <c r="E715" s="2">
        <v>2952.22</v>
      </c>
      <c r="F715" t="s">
        <v>14</v>
      </c>
      <c r="G715" t="s">
        <v>15</v>
      </c>
    </row>
    <row r="716" spans="1:7" x14ac:dyDescent="0.35">
      <c r="A716">
        <v>274</v>
      </c>
      <c r="B716" s="1">
        <v>45376</v>
      </c>
      <c r="C716" t="s">
        <v>12</v>
      </c>
      <c r="D716" s="2">
        <v>0</v>
      </c>
      <c r="E716" s="2">
        <v>221.42</v>
      </c>
      <c r="F716" t="s">
        <v>16</v>
      </c>
      <c r="G716" t="s">
        <v>17</v>
      </c>
    </row>
    <row r="717" spans="1:7" x14ac:dyDescent="0.35">
      <c r="A717">
        <v>275</v>
      </c>
      <c r="B717" s="1">
        <v>45376</v>
      </c>
      <c r="C717" t="s">
        <v>12</v>
      </c>
      <c r="D717" s="2">
        <v>3089.77</v>
      </c>
      <c r="E717" s="2">
        <v>0</v>
      </c>
      <c r="F717" t="s">
        <v>13</v>
      </c>
      <c r="G717" t="s">
        <v>9</v>
      </c>
    </row>
    <row r="718" spans="1:7" x14ac:dyDescent="0.35">
      <c r="A718">
        <v>275</v>
      </c>
      <c r="B718" s="1">
        <v>45376</v>
      </c>
      <c r="C718" t="s">
        <v>12</v>
      </c>
      <c r="D718" s="2">
        <v>0</v>
      </c>
      <c r="E718" s="2">
        <v>2874.19</v>
      </c>
      <c r="F718" t="s">
        <v>14</v>
      </c>
      <c r="G718" t="s">
        <v>15</v>
      </c>
    </row>
    <row r="719" spans="1:7" x14ac:dyDescent="0.35">
      <c r="A719">
        <v>275</v>
      </c>
      <c r="B719" s="1">
        <v>45376</v>
      </c>
      <c r="C719" t="s">
        <v>12</v>
      </c>
      <c r="D719" s="2">
        <v>0</v>
      </c>
      <c r="E719" s="2">
        <v>215.58</v>
      </c>
      <c r="F719" t="s">
        <v>16</v>
      </c>
      <c r="G719" t="s">
        <v>17</v>
      </c>
    </row>
    <row r="720" spans="1:7" x14ac:dyDescent="0.35">
      <c r="A720">
        <v>276</v>
      </c>
      <c r="B720" s="1">
        <v>45376</v>
      </c>
      <c r="C720" t="s">
        <v>12</v>
      </c>
      <c r="D720" s="2">
        <v>813.71</v>
      </c>
      <c r="E720" s="2">
        <v>0</v>
      </c>
      <c r="F720" t="s">
        <v>13</v>
      </c>
      <c r="G720" t="s">
        <v>9</v>
      </c>
    </row>
    <row r="721" spans="1:7" x14ac:dyDescent="0.35">
      <c r="A721">
        <v>276</v>
      </c>
      <c r="B721" s="1">
        <v>45376</v>
      </c>
      <c r="C721" t="s">
        <v>12</v>
      </c>
      <c r="D721" s="2">
        <v>0</v>
      </c>
      <c r="E721" s="2">
        <v>756.94</v>
      </c>
      <c r="F721" t="s">
        <v>14</v>
      </c>
      <c r="G721" t="s">
        <v>15</v>
      </c>
    </row>
    <row r="722" spans="1:7" x14ac:dyDescent="0.35">
      <c r="A722">
        <v>276</v>
      </c>
      <c r="B722" s="1">
        <v>45376</v>
      </c>
      <c r="C722" t="s">
        <v>12</v>
      </c>
      <c r="D722" s="2">
        <v>0</v>
      </c>
      <c r="E722" s="2">
        <v>56.77</v>
      </c>
      <c r="F722" t="s">
        <v>16</v>
      </c>
      <c r="G722" t="s">
        <v>17</v>
      </c>
    </row>
    <row r="723" spans="1:7" x14ac:dyDescent="0.35">
      <c r="A723">
        <v>277</v>
      </c>
      <c r="B723" s="1">
        <v>45376</v>
      </c>
      <c r="C723" t="s">
        <v>24</v>
      </c>
      <c r="D723" s="2">
        <v>334.5</v>
      </c>
      <c r="E723" s="2">
        <v>0</v>
      </c>
      <c r="F723" t="s">
        <v>8</v>
      </c>
      <c r="G723" t="s">
        <v>9</v>
      </c>
    </row>
    <row r="724" spans="1:7" x14ac:dyDescent="0.35">
      <c r="A724">
        <v>277</v>
      </c>
      <c r="B724" s="1">
        <v>45376</v>
      </c>
      <c r="C724" t="s">
        <v>24</v>
      </c>
      <c r="D724" s="2">
        <v>0</v>
      </c>
      <c r="E724" s="2">
        <v>334.5</v>
      </c>
      <c r="F724" t="s">
        <v>13</v>
      </c>
      <c r="G724" t="s">
        <v>9</v>
      </c>
    </row>
    <row r="725" spans="1:7" x14ac:dyDescent="0.35">
      <c r="A725">
        <v>278</v>
      </c>
      <c r="B725" s="1">
        <v>45376</v>
      </c>
      <c r="C725" t="s">
        <v>25</v>
      </c>
      <c r="D725" s="2">
        <v>696.06</v>
      </c>
      <c r="E725" s="2">
        <v>0</v>
      </c>
      <c r="F725" t="s">
        <v>26</v>
      </c>
      <c r="G725" t="s">
        <v>20</v>
      </c>
    </row>
    <row r="726" spans="1:7" x14ac:dyDescent="0.35">
      <c r="A726">
        <v>278</v>
      </c>
      <c r="B726" s="1">
        <v>45376</v>
      </c>
      <c r="C726" t="s">
        <v>25</v>
      </c>
      <c r="D726" s="2">
        <v>52.2</v>
      </c>
      <c r="E726" s="2">
        <v>0</v>
      </c>
      <c r="F726" t="s">
        <v>27</v>
      </c>
      <c r="G726" t="s">
        <v>9</v>
      </c>
    </row>
    <row r="727" spans="1:7" x14ac:dyDescent="0.35">
      <c r="A727">
        <v>278</v>
      </c>
      <c r="B727" s="1">
        <v>45376</v>
      </c>
      <c r="C727" t="s">
        <v>25</v>
      </c>
      <c r="D727" s="2">
        <v>0</v>
      </c>
      <c r="E727" s="2">
        <v>748.26</v>
      </c>
      <c r="F727" t="s">
        <v>28</v>
      </c>
      <c r="G727" t="s">
        <v>17</v>
      </c>
    </row>
    <row r="728" spans="1:7" x14ac:dyDescent="0.35">
      <c r="A728">
        <v>279</v>
      </c>
      <c r="B728" s="1">
        <v>45376</v>
      </c>
      <c r="C728" t="s">
        <v>25</v>
      </c>
      <c r="D728" s="2">
        <v>3282.76</v>
      </c>
      <c r="E728" s="2">
        <v>0</v>
      </c>
      <c r="F728" t="s">
        <v>26</v>
      </c>
      <c r="G728" t="s">
        <v>20</v>
      </c>
    </row>
    <row r="729" spans="1:7" x14ac:dyDescent="0.35">
      <c r="A729">
        <v>279</v>
      </c>
      <c r="B729" s="1">
        <v>45376</v>
      </c>
      <c r="C729" t="s">
        <v>25</v>
      </c>
      <c r="D729" s="2">
        <v>246.21</v>
      </c>
      <c r="E729" s="2">
        <v>0</v>
      </c>
      <c r="F729" t="s">
        <v>27</v>
      </c>
      <c r="G729" t="s">
        <v>9</v>
      </c>
    </row>
    <row r="730" spans="1:7" x14ac:dyDescent="0.35">
      <c r="A730">
        <v>279</v>
      </c>
      <c r="B730" s="1">
        <v>45376</v>
      </c>
      <c r="C730" t="s">
        <v>25</v>
      </c>
      <c r="D730" s="2">
        <v>0</v>
      </c>
      <c r="E730" s="2">
        <v>3528.97</v>
      </c>
      <c r="F730" t="s">
        <v>28</v>
      </c>
      <c r="G730" t="s">
        <v>17</v>
      </c>
    </row>
    <row r="731" spans="1:7" x14ac:dyDescent="0.35">
      <c r="A731">
        <v>280</v>
      </c>
      <c r="B731" s="1">
        <v>45376</v>
      </c>
      <c r="C731" t="s">
        <v>29</v>
      </c>
      <c r="D731" s="2">
        <v>1023.42</v>
      </c>
      <c r="E731" s="2">
        <v>0</v>
      </c>
      <c r="F731" t="s">
        <v>28</v>
      </c>
      <c r="G731" t="s">
        <v>17</v>
      </c>
    </row>
    <row r="732" spans="1:7" x14ac:dyDescent="0.35">
      <c r="A732">
        <v>280</v>
      </c>
      <c r="B732" s="1">
        <v>45376</v>
      </c>
      <c r="C732" t="s">
        <v>29</v>
      </c>
      <c r="D732" s="2">
        <v>0</v>
      </c>
      <c r="E732" s="2">
        <v>1023.42</v>
      </c>
      <c r="F732" t="s">
        <v>8</v>
      </c>
      <c r="G732" t="s">
        <v>9</v>
      </c>
    </row>
    <row r="733" spans="1:7" x14ac:dyDescent="0.35">
      <c r="A733">
        <v>281</v>
      </c>
      <c r="B733" s="1">
        <v>45376</v>
      </c>
      <c r="C733" t="s">
        <v>29</v>
      </c>
      <c r="D733" s="2">
        <v>179.01</v>
      </c>
      <c r="E733" s="2">
        <v>0</v>
      </c>
      <c r="F733" t="s">
        <v>28</v>
      </c>
      <c r="G733" t="s">
        <v>17</v>
      </c>
    </row>
    <row r="734" spans="1:7" x14ac:dyDescent="0.35">
      <c r="A734">
        <v>281</v>
      </c>
      <c r="B734" s="1">
        <v>45376</v>
      </c>
      <c r="C734" t="s">
        <v>29</v>
      </c>
      <c r="D734" s="2">
        <v>0</v>
      </c>
      <c r="E734" s="2">
        <v>179.01</v>
      </c>
      <c r="F734" t="s">
        <v>8</v>
      </c>
      <c r="G734" t="s">
        <v>9</v>
      </c>
    </row>
    <row r="735" spans="1:7" x14ac:dyDescent="0.35">
      <c r="A735">
        <v>282</v>
      </c>
      <c r="B735" s="1">
        <v>45376</v>
      </c>
      <c r="C735" t="s">
        <v>29</v>
      </c>
      <c r="D735" s="2">
        <v>1023.42</v>
      </c>
      <c r="E735" s="2">
        <v>0</v>
      </c>
      <c r="F735" t="s">
        <v>28</v>
      </c>
      <c r="G735" t="s">
        <v>17</v>
      </c>
    </row>
    <row r="736" spans="1:7" x14ac:dyDescent="0.35">
      <c r="A736">
        <v>282</v>
      </c>
      <c r="B736" s="1">
        <v>45376</v>
      </c>
      <c r="C736" t="s">
        <v>29</v>
      </c>
      <c r="D736" s="2">
        <v>0</v>
      </c>
      <c r="E736" s="2">
        <v>1023.42</v>
      </c>
      <c r="F736" t="s">
        <v>8</v>
      </c>
      <c r="G736" t="s">
        <v>9</v>
      </c>
    </row>
    <row r="737" spans="1:7" x14ac:dyDescent="0.35">
      <c r="A737">
        <v>283</v>
      </c>
      <c r="B737" s="1">
        <v>45376</v>
      </c>
      <c r="C737" t="s">
        <v>29</v>
      </c>
      <c r="D737" s="2">
        <v>1159.8399999999999</v>
      </c>
      <c r="E737" s="2">
        <v>0</v>
      </c>
      <c r="F737" t="s">
        <v>28</v>
      </c>
      <c r="G737" t="s">
        <v>17</v>
      </c>
    </row>
    <row r="738" spans="1:7" x14ac:dyDescent="0.35">
      <c r="A738">
        <v>283</v>
      </c>
      <c r="B738" s="1">
        <v>45376</v>
      </c>
      <c r="C738" t="s">
        <v>29</v>
      </c>
      <c r="D738" s="2">
        <v>0</v>
      </c>
      <c r="E738" s="2">
        <v>1159.8399999999999</v>
      </c>
      <c r="F738" t="s">
        <v>8</v>
      </c>
      <c r="G738" t="s">
        <v>9</v>
      </c>
    </row>
    <row r="739" spans="1:7" x14ac:dyDescent="0.35">
      <c r="A739">
        <v>284</v>
      </c>
      <c r="B739" s="1">
        <v>45376</v>
      </c>
      <c r="C739" t="s">
        <v>29</v>
      </c>
      <c r="D739" s="2">
        <v>1958.74</v>
      </c>
      <c r="E739" s="2">
        <v>0</v>
      </c>
      <c r="F739" t="s">
        <v>28</v>
      </c>
      <c r="G739" t="s">
        <v>17</v>
      </c>
    </row>
    <row r="740" spans="1:7" x14ac:dyDescent="0.35">
      <c r="A740">
        <v>284</v>
      </c>
      <c r="B740" s="1">
        <v>45376</v>
      </c>
      <c r="C740" t="s">
        <v>29</v>
      </c>
      <c r="D740" s="2">
        <v>0</v>
      </c>
      <c r="E740" s="2">
        <v>1958.74</v>
      </c>
      <c r="F740" t="s">
        <v>8</v>
      </c>
      <c r="G740" t="s">
        <v>9</v>
      </c>
    </row>
    <row r="741" spans="1:7" x14ac:dyDescent="0.35">
      <c r="A741">
        <v>285</v>
      </c>
      <c r="B741" s="1">
        <v>45377</v>
      </c>
      <c r="C741" t="s">
        <v>24</v>
      </c>
      <c r="D741" s="2">
        <v>1116.69</v>
      </c>
      <c r="E741" s="2">
        <v>0</v>
      </c>
      <c r="F741" t="s">
        <v>8</v>
      </c>
      <c r="G741" t="s">
        <v>9</v>
      </c>
    </row>
    <row r="742" spans="1:7" x14ac:dyDescent="0.35">
      <c r="A742">
        <v>285</v>
      </c>
      <c r="B742" s="1">
        <v>45377</v>
      </c>
      <c r="C742" t="s">
        <v>24</v>
      </c>
      <c r="D742" s="2">
        <v>0</v>
      </c>
      <c r="E742" s="2">
        <v>1116.69</v>
      </c>
      <c r="F742" t="s">
        <v>13</v>
      </c>
      <c r="G742" t="s">
        <v>9</v>
      </c>
    </row>
    <row r="743" spans="1:7" x14ac:dyDescent="0.35">
      <c r="A743">
        <v>286</v>
      </c>
      <c r="B743" s="1">
        <v>45377</v>
      </c>
      <c r="C743" t="s">
        <v>24</v>
      </c>
      <c r="D743" s="2">
        <v>353.57</v>
      </c>
      <c r="E743" s="2">
        <v>0</v>
      </c>
      <c r="F743" t="s">
        <v>8</v>
      </c>
      <c r="G743" t="s">
        <v>9</v>
      </c>
    </row>
    <row r="744" spans="1:7" x14ac:dyDescent="0.35">
      <c r="A744">
        <v>286</v>
      </c>
      <c r="B744" s="1">
        <v>45377</v>
      </c>
      <c r="C744" t="s">
        <v>24</v>
      </c>
      <c r="D744" s="2">
        <v>0</v>
      </c>
      <c r="E744" s="2">
        <v>353.57</v>
      </c>
      <c r="F744" t="s">
        <v>13</v>
      </c>
      <c r="G744" t="s">
        <v>9</v>
      </c>
    </row>
    <row r="745" spans="1:7" x14ac:dyDescent="0.35">
      <c r="A745">
        <v>287</v>
      </c>
      <c r="B745" s="1">
        <v>45377</v>
      </c>
      <c r="C745" t="s">
        <v>29</v>
      </c>
      <c r="D745" s="2">
        <v>3528.97</v>
      </c>
      <c r="E745" s="2">
        <v>0</v>
      </c>
      <c r="F745" t="s">
        <v>28</v>
      </c>
      <c r="G745" t="s">
        <v>17</v>
      </c>
    </row>
    <row r="746" spans="1:7" x14ac:dyDescent="0.35">
      <c r="A746">
        <v>287</v>
      </c>
      <c r="B746" s="1">
        <v>45377</v>
      </c>
      <c r="C746" t="s">
        <v>29</v>
      </c>
      <c r="D746" s="2">
        <v>0</v>
      </c>
      <c r="E746" s="2">
        <v>3528.97</v>
      </c>
      <c r="F746" t="s">
        <v>8</v>
      </c>
      <c r="G746" t="s">
        <v>9</v>
      </c>
    </row>
    <row r="747" spans="1:7" x14ac:dyDescent="0.35">
      <c r="A747">
        <v>288</v>
      </c>
      <c r="B747" s="1">
        <v>45378</v>
      </c>
      <c r="C747" t="s">
        <v>12</v>
      </c>
      <c r="D747" s="2">
        <v>2865.41</v>
      </c>
      <c r="E747" s="2">
        <v>0</v>
      </c>
      <c r="F747" t="s">
        <v>13</v>
      </c>
      <c r="G747" t="s">
        <v>9</v>
      </c>
    </row>
    <row r="748" spans="1:7" x14ac:dyDescent="0.35">
      <c r="A748">
        <v>288</v>
      </c>
      <c r="B748" s="1">
        <v>45378</v>
      </c>
      <c r="C748" t="s">
        <v>12</v>
      </c>
      <c r="D748" s="2">
        <v>0</v>
      </c>
      <c r="E748" s="2">
        <v>2665.49</v>
      </c>
      <c r="F748" t="s">
        <v>14</v>
      </c>
      <c r="G748" t="s">
        <v>15</v>
      </c>
    </row>
    <row r="749" spans="1:7" x14ac:dyDescent="0.35">
      <c r="A749">
        <v>288</v>
      </c>
      <c r="B749" s="1">
        <v>45378</v>
      </c>
      <c r="C749" t="s">
        <v>12</v>
      </c>
      <c r="D749" s="2">
        <v>0</v>
      </c>
      <c r="E749" s="2">
        <v>199.92</v>
      </c>
      <c r="F749" t="s">
        <v>16</v>
      </c>
      <c r="G749" t="s">
        <v>17</v>
      </c>
    </row>
    <row r="750" spans="1:7" x14ac:dyDescent="0.35">
      <c r="A750">
        <v>289</v>
      </c>
      <c r="B750" s="1">
        <v>45378</v>
      </c>
      <c r="C750" t="s">
        <v>12</v>
      </c>
      <c r="D750" s="2">
        <v>2622</v>
      </c>
      <c r="E750" s="2">
        <v>0</v>
      </c>
      <c r="F750" t="s">
        <v>13</v>
      </c>
      <c r="G750" t="s">
        <v>9</v>
      </c>
    </row>
    <row r="751" spans="1:7" x14ac:dyDescent="0.35">
      <c r="A751">
        <v>289</v>
      </c>
      <c r="B751" s="1">
        <v>45378</v>
      </c>
      <c r="C751" t="s">
        <v>12</v>
      </c>
      <c r="D751" s="2">
        <v>0</v>
      </c>
      <c r="E751" s="2">
        <v>2439.0700000000002</v>
      </c>
      <c r="F751" t="s">
        <v>14</v>
      </c>
      <c r="G751" t="s">
        <v>15</v>
      </c>
    </row>
    <row r="752" spans="1:7" x14ac:dyDescent="0.35">
      <c r="A752">
        <v>289</v>
      </c>
      <c r="B752" s="1">
        <v>45378</v>
      </c>
      <c r="C752" t="s">
        <v>12</v>
      </c>
      <c r="D752" s="2">
        <v>0</v>
      </c>
      <c r="E752" s="2">
        <v>182.93</v>
      </c>
      <c r="F752" t="s">
        <v>16</v>
      </c>
      <c r="G752" t="s">
        <v>17</v>
      </c>
    </row>
    <row r="753" spans="1:7" x14ac:dyDescent="0.35">
      <c r="A753">
        <v>290</v>
      </c>
      <c r="B753" s="1">
        <v>45378</v>
      </c>
      <c r="C753" t="s">
        <v>24</v>
      </c>
      <c r="D753" s="2">
        <v>262.87</v>
      </c>
      <c r="E753" s="2">
        <v>0</v>
      </c>
      <c r="F753" t="s">
        <v>8</v>
      </c>
      <c r="G753" t="s">
        <v>9</v>
      </c>
    </row>
    <row r="754" spans="1:7" x14ac:dyDescent="0.35">
      <c r="A754">
        <v>290</v>
      </c>
      <c r="B754" s="1">
        <v>45378</v>
      </c>
      <c r="C754" t="s">
        <v>24</v>
      </c>
      <c r="D754" s="2">
        <v>0</v>
      </c>
      <c r="E754" s="2">
        <v>262.87</v>
      </c>
      <c r="F754" t="s">
        <v>13</v>
      </c>
      <c r="G754" t="s">
        <v>9</v>
      </c>
    </row>
    <row r="755" spans="1:7" x14ac:dyDescent="0.35">
      <c r="A755">
        <v>291</v>
      </c>
      <c r="B755" s="1">
        <v>45378</v>
      </c>
      <c r="C755" t="s">
        <v>24</v>
      </c>
      <c r="D755" s="2">
        <v>2761.46</v>
      </c>
      <c r="E755" s="2">
        <v>0</v>
      </c>
      <c r="F755" t="s">
        <v>8</v>
      </c>
      <c r="G755" t="s">
        <v>9</v>
      </c>
    </row>
    <row r="756" spans="1:7" x14ac:dyDescent="0.35">
      <c r="A756">
        <v>291</v>
      </c>
      <c r="B756" s="1">
        <v>45378</v>
      </c>
      <c r="C756" t="s">
        <v>24</v>
      </c>
      <c r="D756" s="2">
        <v>0</v>
      </c>
      <c r="E756" s="2">
        <v>2761.46</v>
      </c>
      <c r="F756" t="s">
        <v>13</v>
      </c>
      <c r="G756" t="s">
        <v>9</v>
      </c>
    </row>
    <row r="757" spans="1:7" x14ac:dyDescent="0.35">
      <c r="A757">
        <v>292</v>
      </c>
      <c r="B757" s="1">
        <v>45378</v>
      </c>
      <c r="C757" t="s">
        <v>29</v>
      </c>
      <c r="D757" s="2">
        <v>201.5</v>
      </c>
      <c r="E757" s="2">
        <v>0</v>
      </c>
      <c r="F757" t="s">
        <v>28</v>
      </c>
      <c r="G757" t="s">
        <v>17</v>
      </c>
    </row>
    <row r="758" spans="1:7" x14ac:dyDescent="0.35">
      <c r="A758">
        <v>292</v>
      </c>
      <c r="B758" s="1">
        <v>45378</v>
      </c>
      <c r="C758" t="s">
        <v>29</v>
      </c>
      <c r="D758" s="2">
        <v>0</v>
      </c>
      <c r="E758" s="2">
        <v>201.5</v>
      </c>
      <c r="F758" t="s">
        <v>8</v>
      </c>
      <c r="G758" t="s">
        <v>9</v>
      </c>
    </row>
    <row r="759" spans="1:7" x14ac:dyDescent="0.35">
      <c r="A759">
        <v>293</v>
      </c>
      <c r="B759" s="1">
        <v>45379</v>
      </c>
      <c r="C759" t="s">
        <v>18</v>
      </c>
      <c r="D759" s="2">
        <v>21307.68</v>
      </c>
      <c r="E759" s="2">
        <v>0</v>
      </c>
      <c r="F759" t="s">
        <v>19</v>
      </c>
      <c r="G759" t="s">
        <v>20</v>
      </c>
    </row>
    <row r="760" spans="1:7" x14ac:dyDescent="0.35">
      <c r="A760">
        <v>293</v>
      </c>
      <c r="B760" s="1">
        <v>45379</v>
      </c>
      <c r="C760" t="s">
        <v>18</v>
      </c>
      <c r="D760" s="2">
        <v>852.32</v>
      </c>
      <c r="E760" s="2">
        <v>0</v>
      </c>
      <c r="F760" t="s">
        <v>21</v>
      </c>
      <c r="G760" t="s">
        <v>20</v>
      </c>
    </row>
    <row r="761" spans="1:7" x14ac:dyDescent="0.35">
      <c r="A761">
        <v>293</v>
      </c>
      <c r="B761" s="1">
        <v>45379</v>
      </c>
      <c r="C761" t="s">
        <v>18</v>
      </c>
      <c r="D761" s="2">
        <v>0</v>
      </c>
      <c r="E761" s="2">
        <v>17437.03</v>
      </c>
      <c r="F761" t="s">
        <v>8</v>
      </c>
      <c r="G761" t="s">
        <v>9</v>
      </c>
    </row>
    <row r="762" spans="1:7" x14ac:dyDescent="0.35">
      <c r="A762">
        <v>293</v>
      </c>
      <c r="B762" s="1">
        <v>45379</v>
      </c>
      <c r="C762" t="s">
        <v>18</v>
      </c>
      <c r="D762" s="2">
        <v>0</v>
      </c>
      <c r="E762" s="2">
        <v>3870.65</v>
      </c>
      <c r="F762" t="s">
        <v>22</v>
      </c>
      <c r="G762" t="s">
        <v>17</v>
      </c>
    </row>
    <row r="763" spans="1:7" x14ac:dyDescent="0.35">
      <c r="A763">
        <v>293</v>
      </c>
      <c r="B763" s="1">
        <v>45379</v>
      </c>
      <c r="C763" t="s">
        <v>18</v>
      </c>
      <c r="D763" s="2">
        <v>0</v>
      </c>
      <c r="E763" s="2">
        <v>852.32</v>
      </c>
      <c r="F763" t="s">
        <v>23</v>
      </c>
      <c r="G763" t="s">
        <v>17</v>
      </c>
    </row>
    <row r="764" spans="1:7" x14ac:dyDescent="0.35">
      <c r="A764">
        <v>294</v>
      </c>
      <c r="B764" s="1">
        <v>45379</v>
      </c>
      <c r="C764" t="s">
        <v>12</v>
      </c>
      <c r="D764" s="2">
        <v>1568.55</v>
      </c>
      <c r="E764" s="2">
        <v>0</v>
      </c>
      <c r="F764" t="s">
        <v>13</v>
      </c>
      <c r="G764" t="s">
        <v>9</v>
      </c>
    </row>
    <row r="765" spans="1:7" x14ac:dyDescent="0.35">
      <c r="A765">
        <v>294</v>
      </c>
      <c r="B765" s="1">
        <v>45379</v>
      </c>
      <c r="C765" t="s">
        <v>12</v>
      </c>
      <c r="D765" s="2">
        <v>0</v>
      </c>
      <c r="E765" s="2">
        <v>1459.11</v>
      </c>
      <c r="F765" t="s">
        <v>14</v>
      </c>
      <c r="G765" t="s">
        <v>15</v>
      </c>
    </row>
    <row r="766" spans="1:7" x14ac:dyDescent="0.35">
      <c r="A766">
        <v>294</v>
      </c>
      <c r="B766" s="1">
        <v>45379</v>
      </c>
      <c r="C766" t="s">
        <v>12</v>
      </c>
      <c r="D766" s="2">
        <v>0</v>
      </c>
      <c r="E766" s="2">
        <v>109.44</v>
      </c>
      <c r="F766" t="s">
        <v>16</v>
      </c>
      <c r="G766" t="s">
        <v>17</v>
      </c>
    </row>
    <row r="767" spans="1:7" x14ac:dyDescent="0.35">
      <c r="A767">
        <v>295</v>
      </c>
      <c r="B767" s="1">
        <v>45379</v>
      </c>
      <c r="C767" t="s">
        <v>24</v>
      </c>
      <c r="D767" s="2">
        <v>3503.64</v>
      </c>
      <c r="E767" s="2">
        <v>0</v>
      </c>
      <c r="F767" t="s">
        <v>8</v>
      </c>
      <c r="G767" t="s">
        <v>9</v>
      </c>
    </row>
    <row r="768" spans="1:7" x14ac:dyDescent="0.35">
      <c r="A768">
        <v>295</v>
      </c>
      <c r="B768" s="1">
        <v>45379</v>
      </c>
      <c r="C768" t="s">
        <v>24</v>
      </c>
      <c r="D768" s="2">
        <v>0</v>
      </c>
      <c r="E768" s="2">
        <v>3503.64</v>
      </c>
      <c r="F768" t="s">
        <v>13</v>
      </c>
      <c r="G768" t="s">
        <v>9</v>
      </c>
    </row>
    <row r="769" spans="1:7" x14ac:dyDescent="0.35">
      <c r="A769">
        <v>296</v>
      </c>
      <c r="B769" s="1">
        <v>45379</v>
      </c>
      <c r="C769" t="s">
        <v>24</v>
      </c>
      <c r="D769" s="2">
        <v>825.49</v>
      </c>
      <c r="E769" s="2">
        <v>0</v>
      </c>
      <c r="F769" t="s">
        <v>8</v>
      </c>
      <c r="G769" t="s">
        <v>9</v>
      </c>
    </row>
    <row r="770" spans="1:7" x14ac:dyDescent="0.35">
      <c r="A770">
        <v>296</v>
      </c>
      <c r="B770" s="1">
        <v>45379</v>
      </c>
      <c r="C770" t="s">
        <v>24</v>
      </c>
      <c r="D770" s="2">
        <v>0</v>
      </c>
      <c r="E770" s="2">
        <v>825.49</v>
      </c>
      <c r="F770" t="s">
        <v>13</v>
      </c>
      <c r="G770" t="s">
        <v>9</v>
      </c>
    </row>
    <row r="771" spans="1:7" x14ac:dyDescent="0.35">
      <c r="A771">
        <v>297</v>
      </c>
      <c r="B771" s="1">
        <v>45379</v>
      </c>
      <c r="C771" t="s">
        <v>24</v>
      </c>
      <c r="D771" s="2">
        <v>1636.48</v>
      </c>
      <c r="E771" s="2">
        <v>0</v>
      </c>
      <c r="F771" t="s">
        <v>8</v>
      </c>
      <c r="G771" t="s">
        <v>9</v>
      </c>
    </row>
    <row r="772" spans="1:7" x14ac:dyDescent="0.35">
      <c r="A772">
        <v>297</v>
      </c>
      <c r="B772" s="1">
        <v>45379</v>
      </c>
      <c r="C772" t="s">
        <v>24</v>
      </c>
      <c r="D772" s="2">
        <v>0</v>
      </c>
      <c r="E772" s="2">
        <v>1636.48</v>
      </c>
      <c r="F772" t="s">
        <v>13</v>
      </c>
      <c r="G772" t="s">
        <v>9</v>
      </c>
    </row>
    <row r="773" spans="1:7" x14ac:dyDescent="0.35">
      <c r="A773">
        <v>298</v>
      </c>
      <c r="B773" s="1">
        <v>45379</v>
      </c>
      <c r="C773" t="s">
        <v>24</v>
      </c>
      <c r="D773" s="2">
        <v>2622</v>
      </c>
      <c r="E773" s="2">
        <v>0</v>
      </c>
      <c r="F773" t="s">
        <v>8</v>
      </c>
      <c r="G773" t="s">
        <v>9</v>
      </c>
    </row>
    <row r="774" spans="1:7" x14ac:dyDescent="0.35">
      <c r="A774">
        <v>298</v>
      </c>
      <c r="B774" s="1">
        <v>45379</v>
      </c>
      <c r="C774" t="s">
        <v>24</v>
      </c>
      <c r="D774" s="2">
        <v>0</v>
      </c>
      <c r="E774" s="2">
        <v>2622</v>
      </c>
      <c r="F774" t="s">
        <v>13</v>
      </c>
      <c r="G774" t="s">
        <v>9</v>
      </c>
    </row>
    <row r="775" spans="1:7" x14ac:dyDescent="0.35">
      <c r="A775">
        <v>299</v>
      </c>
      <c r="B775" s="1">
        <v>45380</v>
      </c>
      <c r="C775" t="s">
        <v>12</v>
      </c>
      <c r="D775" s="2">
        <v>1833.28</v>
      </c>
      <c r="E775" s="2">
        <v>0</v>
      </c>
      <c r="F775" t="s">
        <v>13</v>
      </c>
      <c r="G775" t="s">
        <v>9</v>
      </c>
    </row>
    <row r="776" spans="1:7" x14ac:dyDescent="0.35">
      <c r="A776">
        <v>299</v>
      </c>
      <c r="B776" s="1">
        <v>45380</v>
      </c>
      <c r="C776" t="s">
        <v>12</v>
      </c>
      <c r="D776" s="2">
        <v>0</v>
      </c>
      <c r="E776" s="2">
        <v>1705.38</v>
      </c>
      <c r="F776" t="s">
        <v>14</v>
      </c>
      <c r="G776" t="s">
        <v>15</v>
      </c>
    </row>
    <row r="777" spans="1:7" x14ac:dyDescent="0.35">
      <c r="A777">
        <v>299</v>
      </c>
      <c r="B777" s="1">
        <v>45380</v>
      </c>
      <c r="C777" t="s">
        <v>12</v>
      </c>
      <c r="D777" s="2">
        <v>0</v>
      </c>
      <c r="E777" s="2">
        <v>127.9</v>
      </c>
      <c r="F777" t="s">
        <v>16</v>
      </c>
      <c r="G777" t="s">
        <v>17</v>
      </c>
    </row>
    <row r="778" spans="1:7" x14ac:dyDescent="0.35">
      <c r="A778">
        <v>300</v>
      </c>
      <c r="B778" s="1">
        <v>45380</v>
      </c>
      <c r="C778" t="s">
        <v>12</v>
      </c>
      <c r="D778" s="2">
        <v>2651.83</v>
      </c>
      <c r="E778" s="2">
        <v>0</v>
      </c>
      <c r="F778" t="s">
        <v>13</v>
      </c>
      <c r="G778" t="s">
        <v>9</v>
      </c>
    </row>
    <row r="779" spans="1:7" x14ac:dyDescent="0.35">
      <c r="A779">
        <v>300</v>
      </c>
      <c r="B779" s="1">
        <v>45380</v>
      </c>
      <c r="C779" t="s">
        <v>12</v>
      </c>
      <c r="D779" s="2">
        <v>0</v>
      </c>
      <c r="E779" s="2">
        <v>2466.8200000000002</v>
      </c>
      <c r="F779" t="s">
        <v>14</v>
      </c>
      <c r="G779" t="s">
        <v>15</v>
      </c>
    </row>
    <row r="780" spans="1:7" x14ac:dyDescent="0.35">
      <c r="A780">
        <v>300</v>
      </c>
      <c r="B780" s="1">
        <v>45380</v>
      </c>
      <c r="C780" t="s">
        <v>12</v>
      </c>
      <c r="D780" s="2">
        <v>0</v>
      </c>
      <c r="E780" s="2">
        <v>185.01</v>
      </c>
      <c r="F780" t="s">
        <v>16</v>
      </c>
      <c r="G780" t="s">
        <v>17</v>
      </c>
    </row>
    <row r="781" spans="1:7" x14ac:dyDescent="0.35">
      <c r="A781">
        <v>301</v>
      </c>
      <c r="B781" s="1">
        <v>45380</v>
      </c>
      <c r="C781" t="s">
        <v>12</v>
      </c>
      <c r="D781" s="2">
        <v>2317.71</v>
      </c>
      <c r="E781" s="2">
        <v>0</v>
      </c>
      <c r="F781" t="s">
        <v>13</v>
      </c>
      <c r="G781" t="s">
        <v>9</v>
      </c>
    </row>
    <row r="782" spans="1:7" x14ac:dyDescent="0.35">
      <c r="A782">
        <v>301</v>
      </c>
      <c r="B782" s="1">
        <v>45380</v>
      </c>
      <c r="C782" t="s">
        <v>12</v>
      </c>
      <c r="D782" s="2">
        <v>0</v>
      </c>
      <c r="E782" s="2">
        <v>2156</v>
      </c>
      <c r="F782" t="s">
        <v>14</v>
      </c>
      <c r="G782" t="s">
        <v>15</v>
      </c>
    </row>
    <row r="783" spans="1:7" x14ac:dyDescent="0.35">
      <c r="A783">
        <v>301</v>
      </c>
      <c r="B783" s="1">
        <v>45380</v>
      </c>
      <c r="C783" t="s">
        <v>12</v>
      </c>
      <c r="D783" s="2">
        <v>0</v>
      </c>
      <c r="E783" s="2">
        <v>161.71</v>
      </c>
      <c r="F783" t="s">
        <v>16</v>
      </c>
      <c r="G783" t="s">
        <v>17</v>
      </c>
    </row>
    <row r="784" spans="1:7" x14ac:dyDescent="0.35">
      <c r="A784">
        <v>302</v>
      </c>
      <c r="B784" s="1">
        <v>45380</v>
      </c>
      <c r="C784" t="s">
        <v>24</v>
      </c>
      <c r="D784" s="2">
        <v>1715.77</v>
      </c>
      <c r="E784" s="2">
        <v>0</v>
      </c>
      <c r="F784" t="s">
        <v>8</v>
      </c>
      <c r="G784" t="s">
        <v>9</v>
      </c>
    </row>
    <row r="785" spans="1:7" x14ac:dyDescent="0.35">
      <c r="A785">
        <v>302</v>
      </c>
      <c r="B785" s="1">
        <v>45380</v>
      </c>
      <c r="C785" t="s">
        <v>24</v>
      </c>
      <c r="D785" s="2">
        <v>0</v>
      </c>
      <c r="E785" s="2">
        <v>1715.77</v>
      </c>
      <c r="F785" t="s">
        <v>13</v>
      </c>
      <c r="G785" t="s">
        <v>9</v>
      </c>
    </row>
    <row r="786" spans="1:7" x14ac:dyDescent="0.35">
      <c r="A786">
        <v>303</v>
      </c>
      <c r="B786" s="1">
        <v>45380</v>
      </c>
      <c r="C786" t="s">
        <v>25</v>
      </c>
      <c r="D786" s="2">
        <v>383.76</v>
      </c>
      <c r="E786" s="2">
        <v>0</v>
      </c>
      <c r="F786" t="s">
        <v>26</v>
      </c>
      <c r="G786" t="s">
        <v>20</v>
      </c>
    </row>
    <row r="787" spans="1:7" x14ac:dyDescent="0.35">
      <c r="A787">
        <v>303</v>
      </c>
      <c r="B787" s="1">
        <v>45380</v>
      </c>
      <c r="C787" t="s">
        <v>25</v>
      </c>
      <c r="D787" s="2">
        <v>28.78</v>
      </c>
      <c r="E787" s="2">
        <v>0</v>
      </c>
      <c r="F787" t="s">
        <v>27</v>
      </c>
      <c r="G787" t="s">
        <v>9</v>
      </c>
    </row>
    <row r="788" spans="1:7" x14ac:dyDescent="0.35">
      <c r="A788">
        <v>303</v>
      </c>
      <c r="B788" s="1">
        <v>45380</v>
      </c>
      <c r="C788" t="s">
        <v>25</v>
      </c>
      <c r="D788" s="2">
        <v>0</v>
      </c>
      <c r="E788" s="2">
        <v>412.54</v>
      </c>
      <c r="F788" t="s">
        <v>28</v>
      </c>
      <c r="G788" t="s">
        <v>17</v>
      </c>
    </row>
    <row r="789" spans="1:7" x14ac:dyDescent="0.35">
      <c r="A789">
        <v>304</v>
      </c>
      <c r="B789" s="1">
        <v>45382</v>
      </c>
      <c r="C789" t="s">
        <v>30</v>
      </c>
      <c r="D789" s="2">
        <v>93.61</v>
      </c>
      <c r="E789" s="2">
        <v>0</v>
      </c>
      <c r="F789" t="s">
        <v>31</v>
      </c>
      <c r="G789" t="s">
        <v>20</v>
      </c>
    </row>
    <row r="790" spans="1:7" x14ac:dyDescent="0.35">
      <c r="A790">
        <v>304</v>
      </c>
      <c r="B790" s="1">
        <v>45382</v>
      </c>
      <c r="C790" t="s">
        <v>30</v>
      </c>
      <c r="D790" s="2">
        <v>0</v>
      </c>
      <c r="E790" s="2">
        <v>93.61</v>
      </c>
      <c r="F790" t="s">
        <v>32</v>
      </c>
      <c r="G790" t="s">
        <v>9</v>
      </c>
    </row>
    <row r="791" spans="1:7" x14ac:dyDescent="0.35">
      <c r="A791">
        <v>305</v>
      </c>
      <c r="B791" s="1">
        <v>45382</v>
      </c>
      <c r="C791" t="s">
        <v>33</v>
      </c>
      <c r="D791" s="2">
        <v>76.86</v>
      </c>
      <c r="E791" s="2">
        <v>0</v>
      </c>
      <c r="F791" t="s">
        <v>31</v>
      </c>
      <c r="G791" t="s">
        <v>20</v>
      </c>
    </row>
    <row r="792" spans="1:7" x14ac:dyDescent="0.35">
      <c r="A792">
        <v>305</v>
      </c>
      <c r="B792" s="1">
        <v>45382</v>
      </c>
      <c r="C792" t="s">
        <v>33</v>
      </c>
      <c r="D792" s="2">
        <v>0</v>
      </c>
      <c r="E792" s="2">
        <v>76.86</v>
      </c>
      <c r="F792" t="s">
        <v>32</v>
      </c>
      <c r="G792" t="s">
        <v>9</v>
      </c>
    </row>
    <row r="793" spans="1:7" x14ac:dyDescent="0.35">
      <c r="A793">
        <v>306</v>
      </c>
      <c r="B793" s="1">
        <v>45382</v>
      </c>
      <c r="C793" t="s">
        <v>34</v>
      </c>
      <c r="D793" s="2">
        <v>20.03</v>
      </c>
      <c r="E793" s="2">
        <v>0</v>
      </c>
      <c r="F793" t="s">
        <v>31</v>
      </c>
      <c r="G793" t="s">
        <v>20</v>
      </c>
    </row>
    <row r="794" spans="1:7" x14ac:dyDescent="0.35">
      <c r="A794">
        <v>306</v>
      </c>
      <c r="B794" s="1">
        <v>45382</v>
      </c>
      <c r="C794" t="s">
        <v>34</v>
      </c>
      <c r="D794" s="2">
        <v>0</v>
      </c>
      <c r="E794" s="2">
        <v>20.03</v>
      </c>
      <c r="F794" t="s">
        <v>32</v>
      </c>
      <c r="G794" t="s">
        <v>9</v>
      </c>
    </row>
    <row r="795" spans="1:7" x14ac:dyDescent="0.35">
      <c r="A795">
        <v>307</v>
      </c>
      <c r="B795" s="1">
        <v>45382</v>
      </c>
      <c r="C795" t="s">
        <v>35</v>
      </c>
      <c r="D795" s="2">
        <v>86.89</v>
      </c>
      <c r="E795" s="2">
        <v>0</v>
      </c>
      <c r="F795" t="s">
        <v>31</v>
      </c>
      <c r="G795" t="s">
        <v>20</v>
      </c>
    </row>
    <row r="796" spans="1:7" x14ac:dyDescent="0.35">
      <c r="A796">
        <v>307</v>
      </c>
      <c r="B796" s="1">
        <v>45382</v>
      </c>
      <c r="C796" t="s">
        <v>35</v>
      </c>
      <c r="D796" s="2">
        <v>0</v>
      </c>
      <c r="E796" s="2">
        <v>86.89</v>
      </c>
      <c r="F796" t="s">
        <v>36</v>
      </c>
      <c r="G796" t="s">
        <v>9</v>
      </c>
    </row>
    <row r="797" spans="1:7" x14ac:dyDescent="0.35">
      <c r="A797">
        <v>308</v>
      </c>
      <c r="B797" s="1">
        <v>45382</v>
      </c>
      <c r="C797" t="s">
        <v>37</v>
      </c>
      <c r="D797" s="2">
        <v>76.8</v>
      </c>
      <c r="E797" s="2">
        <v>0</v>
      </c>
      <c r="F797" t="s">
        <v>31</v>
      </c>
      <c r="G797" t="s">
        <v>20</v>
      </c>
    </row>
    <row r="798" spans="1:7" x14ac:dyDescent="0.35">
      <c r="A798">
        <v>308</v>
      </c>
      <c r="B798" s="1">
        <v>45382</v>
      </c>
      <c r="C798" t="s">
        <v>37</v>
      </c>
      <c r="D798" s="2">
        <v>0</v>
      </c>
      <c r="E798" s="2">
        <v>76.8</v>
      </c>
      <c r="F798" t="s">
        <v>36</v>
      </c>
      <c r="G798" t="s">
        <v>9</v>
      </c>
    </row>
    <row r="799" spans="1:7" x14ac:dyDescent="0.35">
      <c r="A799">
        <v>309</v>
      </c>
      <c r="B799" s="1">
        <v>45382</v>
      </c>
      <c r="C799" t="s">
        <v>38</v>
      </c>
      <c r="D799" s="2">
        <v>48.28</v>
      </c>
      <c r="E799" s="2">
        <v>0</v>
      </c>
      <c r="F799" t="s">
        <v>31</v>
      </c>
      <c r="G799" t="s">
        <v>20</v>
      </c>
    </row>
    <row r="800" spans="1:7" x14ac:dyDescent="0.35">
      <c r="A800">
        <v>309</v>
      </c>
      <c r="B800" s="1">
        <v>45382</v>
      </c>
      <c r="C800" t="s">
        <v>38</v>
      </c>
      <c r="D800" s="2">
        <v>0</v>
      </c>
      <c r="E800" s="2">
        <v>48.28</v>
      </c>
      <c r="F800" t="s">
        <v>36</v>
      </c>
      <c r="G800" t="s">
        <v>9</v>
      </c>
    </row>
    <row r="801" spans="1:7" x14ac:dyDescent="0.35">
      <c r="A801">
        <v>310</v>
      </c>
      <c r="B801" s="1">
        <v>45382</v>
      </c>
      <c r="C801" t="s">
        <v>39</v>
      </c>
      <c r="D801" s="2">
        <v>53.21</v>
      </c>
      <c r="E801" s="2">
        <v>0</v>
      </c>
      <c r="F801" t="s">
        <v>31</v>
      </c>
      <c r="G801" t="s">
        <v>20</v>
      </c>
    </row>
    <row r="802" spans="1:7" x14ac:dyDescent="0.35">
      <c r="A802">
        <v>310</v>
      </c>
      <c r="B802" s="1">
        <v>45382</v>
      </c>
      <c r="C802" t="s">
        <v>39</v>
      </c>
      <c r="D802" s="2">
        <v>0</v>
      </c>
      <c r="E802" s="2">
        <v>53.21</v>
      </c>
      <c r="F802" t="s">
        <v>36</v>
      </c>
      <c r="G802" t="s">
        <v>9</v>
      </c>
    </row>
    <row r="803" spans="1:7" x14ac:dyDescent="0.35">
      <c r="A803">
        <v>311</v>
      </c>
      <c r="B803" s="1">
        <v>45382</v>
      </c>
      <c r="C803" t="s">
        <v>40</v>
      </c>
      <c r="D803" s="2">
        <v>232.19</v>
      </c>
      <c r="E803" s="2">
        <v>0</v>
      </c>
      <c r="F803" t="s">
        <v>31</v>
      </c>
      <c r="G803" t="s">
        <v>20</v>
      </c>
    </row>
    <row r="804" spans="1:7" x14ac:dyDescent="0.35">
      <c r="A804">
        <v>311</v>
      </c>
      <c r="B804" s="1">
        <v>45382</v>
      </c>
      <c r="C804" t="s">
        <v>40</v>
      </c>
      <c r="D804" s="2">
        <v>0</v>
      </c>
      <c r="E804" s="2">
        <v>232.19</v>
      </c>
      <c r="F804" t="s">
        <v>41</v>
      </c>
      <c r="G804" t="s">
        <v>9</v>
      </c>
    </row>
    <row r="805" spans="1:7" x14ac:dyDescent="0.35">
      <c r="A805">
        <v>312</v>
      </c>
      <c r="B805" s="1">
        <v>45382</v>
      </c>
      <c r="C805" t="s">
        <v>42</v>
      </c>
      <c r="D805" s="2">
        <v>43.85</v>
      </c>
      <c r="E805" s="2">
        <v>0</v>
      </c>
      <c r="F805" t="s">
        <v>31</v>
      </c>
      <c r="G805" t="s">
        <v>20</v>
      </c>
    </row>
    <row r="806" spans="1:7" x14ac:dyDescent="0.35">
      <c r="A806">
        <v>312</v>
      </c>
      <c r="B806" s="1">
        <v>45382</v>
      </c>
      <c r="C806" t="s">
        <v>42</v>
      </c>
      <c r="D806" s="2">
        <v>0</v>
      </c>
      <c r="E806" s="2">
        <v>43.85</v>
      </c>
      <c r="F806" t="s">
        <v>32</v>
      </c>
      <c r="G806" t="s">
        <v>9</v>
      </c>
    </row>
    <row r="807" spans="1:7" x14ac:dyDescent="0.35">
      <c r="A807">
        <v>313</v>
      </c>
      <c r="B807" s="1">
        <v>45383</v>
      </c>
      <c r="C807" t="s">
        <v>12</v>
      </c>
      <c r="D807" s="2">
        <v>747.38</v>
      </c>
      <c r="E807" s="2">
        <v>0</v>
      </c>
      <c r="F807" t="s">
        <v>13</v>
      </c>
      <c r="G807" t="s">
        <v>9</v>
      </c>
    </row>
    <row r="808" spans="1:7" x14ac:dyDescent="0.35">
      <c r="A808">
        <v>313</v>
      </c>
      <c r="B808" s="1">
        <v>45383</v>
      </c>
      <c r="C808" t="s">
        <v>12</v>
      </c>
      <c r="D808" s="2">
        <v>0</v>
      </c>
      <c r="E808" s="2">
        <v>695.24</v>
      </c>
      <c r="F808" t="s">
        <v>14</v>
      </c>
      <c r="G808" t="s">
        <v>15</v>
      </c>
    </row>
    <row r="809" spans="1:7" x14ac:dyDescent="0.35">
      <c r="A809">
        <v>313</v>
      </c>
      <c r="B809" s="1">
        <v>45383</v>
      </c>
      <c r="C809" t="s">
        <v>12</v>
      </c>
      <c r="D809" s="2">
        <v>0</v>
      </c>
      <c r="E809" s="2">
        <v>52.14</v>
      </c>
      <c r="F809" t="s">
        <v>16</v>
      </c>
      <c r="G809" t="s">
        <v>17</v>
      </c>
    </row>
    <row r="810" spans="1:7" x14ac:dyDescent="0.35">
      <c r="A810">
        <v>314</v>
      </c>
      <c r="B810" s="1">
        <v>45383</v>
      </c>
      <c r="C810" t="s">
        <v>24</v>
      </c>
      <c r="D810" s="2">
        <v>1947.12</v>
      </c>
      <c r="E810" s="2">
        <v>0</v>
      </c>
      <c r="F810" t="s">
        <v>8</v>
      </c>
      <c r="G810" t="s">
        <v>9</v>
      </c>
    </row>
    <row r="811" spans="1:7" x14ac:dyDescent="0.35">
      <c r="A811">
        <v>314</v>
      </c>
      <c r="B811" s="1">
        <v>45383</v>
      </c>
      <c r="C811" t="s">
        <v>24</v>
      </c>
      <c r="D811" s="2">
        <v>0</v>
      </c>
      <c r="E811" s="2">
        <v>1947.12</v>
      </c>
      <c r="F811" t="s">
        <v>13</v>
      </c>
      <c r="G811" t="s">
        <v>9</v>
      </c>
    </row>
    <row r="812" spans="1:7" x14ac:dyDescent="0.35">
      <c r="A812">
        <v>315</v>
      </c>
      <c r="B812" s="1">
        <v>45383</v>
      </c>
      <c r="C812" t="s">
        <v>24</v>
      </c>
      <c r="D812" s="2">
        <v>1130.58</v>
      </c>
      <c r="E812" s="2">
        <v>0</v>
      </c>
      <c r="F812" t="s">
        <v>8</v>
      </c>
      <c r="G812" t="s">
        <v>9</v>
      </c>
    </row>
    <row r="813" spans="1:7" x14ac:dyDescent="0.35">
      <c r="A813">
        <v>315</v>
      </c>
      <c r="B813" s="1">
        <v>45383</v>
      </c>
      <c r="C813" t="s">
        <v>24</v>
      </c>
      <c r="D813" s="2">
        <v>0</v>
      </c>
      <c r="E813" s="2">
        <v>1130.58</v>
      </c>
      <c r="F813" t="s">
        <v>13</v>
      </c>
      <c r="G813" t="s">
        <v>9</v>
      </c>
    </row>
    <row r="814" spans="1:7" x14ac:dyDescent="0.35">
      <c r="A814">
        <v>316</v>
      </c>
      <c r="B814" s="1">
        <v>45383</v>
      </c>
      <c r="C814" t="s">
        <v>24</v>
      </c>
      <c r="D814" s="2">
        <v>3514.96</v>
      </c>
      <c r="E814" s="2">
        <v>0</v>
      </c>
      <c r="F814" t="s">
        <v>8</v>
      </c>
      <c r="G814" t="s">
        <v>9</v>
      </c>
    </row>
    <row r="815" spans="1:7" x14ac:dyDescent="0.35">
      <c r="A815">
        <v>316</v>
      </c>
      <c r="B815" s="1">
        <v>45383</v>
      </c>
      <c r="C815" t="s">
        <v>24</v>
      </c>
      <c r="D815" s="2">
        <v>0</v>
      </c>
      <c r="E815" s="2">
        <v>3514.96</v>
      </c>
      <c r="F815" t="s">
        <v>13</v>
      </c>
      <c r="G815" t="s">
        <v>9</v>
      </c>
    </row>
    <row r="816" spans="1:7" x14ac:dyDescent="0.35">
      <c r="A816">
        <v>317</v>
      </c>
      <c r="B816" s="1">
        <v>45383</v>
      </c>
      <c r="C816" t="s">
        <v>25</v>
      </c>
      <c r="D816" s="2">
        <v>2714.58</v>
      </c>
      <c r="E816" s="2">
        <v>0</v>
      </c>
      <c r="F816" t="s">
        <v>26</v>
      </c>
      <c r="G816" t="s">
        <v>20</v>
      </c>
    </row>
    <row r="817" spans="1:7" x14ac:dyDescent="0.35">
      <c r="A817">
        <v>317</v>
      </c>
      <c r="B817" s="1">
        <v>45383</v>
      </c>
      <c r="C817" t="s">
        <v>25</v>
      </c>
      <c r="D817" s="2">
        <v>203.59</v>
      </c>
      <c r="E817" s="2">
        <v>0</v>
      </c>
      <c r="F817" t="s">
        <v>27</v>
      </c>
      <c r="G817" t="s">
        <v>9</v>
      </c>
    </row>
    <row r="818" spans="1:7" x14ac:dyDescent="0.35">
      <c r="A818">
        <v>317</v>
      </c>
      <c r="B818" s="1">
        <v>45383</v>
      </c>
      <c r="C818" t="s">
        <v>25</v>
      </c>
      <c r="D818" s="2">
        <v>0</v>
      </c>
      <c r="E818" s="2">
        <v>2918.17</v>
      </c>
      <c r="F818" t="s">
        <v>28</v>
      </c>
      <c r="G818" t="s">
        <v>17</v>
      </c>
    </row>
    <row r="819" spans="1:7" x14ac:dyDescent="0.35">
      <c r="A819">
        <v>318</v>
      </c>
      <c r="B819" s="1">
        <v>45383</v>
      </c>
      <c r="C819" t="s">
        <v>25</v>
      </c>
      <c r="D819" s="2">
        <v>4476.71</v>
      </c>
      <c r="E819" s="2">
        <v>0</v>
      </c>
      <c r="F819" t="s">
        <v>26</v>
      </c>
      <c r="G819" t="s">
        <v>20</v>
      </c>
    </row>
    <row r="820" spans="1:7" x14ac:dyDescent="0.35">
      <c r="A820">
        <v>318</v>
      </c>
      <c r="B820" s="1">
        <v>45383</v>
      </c>
      <c r="C820" t="s">
        <v>25</v>
      </c>
      <c r="D820" s="2">
        <v>335.75</v>
      </c>
      <c r="E820" s="2">
        <v>0</v>
      </c>
      <c r="F820" t="s">
        <v>27</v>
      </c>
      <c r="G820" t="s">
        <v>9</v>
      </c>
    </row>
    <row r="821" spans="1:7" x14ac:dyDescent="0.35">
      <c r="A821">
        <v>318</v>
      </c>
      <c r="B821" s="1">
        <v>45383</v>
      </c>
      <c r="C821" t="s">
        <v>25</v>
      </c>
      <c r="D821" s="2">
        <v>0</v>
      </c>
      <c r="E821" s="2">
        <v>4812.46</v>
      </c>
      <c r="F821" t="s">
        <v>28</v>
      </c>
      <c r="G821" t="s">
        <v>17</v>
      </c>
    </row>
    <row r="822" spans="1:7" x14ac:dyDescent="0.35">
      <c r="A822">
        <v>319</v>
      </c>
      <c r="B822" s="1">
        <v>45383</v>
      </c>
      <c r="C822" t="s">
        <v>25</v>
      </c>
      <c r="D822" s="2">
        <v>1947.24</v>
      </c>
      <c r="E822" s="2">
        <v>0</v>
      </c>
      <c r="F822" t="s">
        <v>26</v>
      </c>
      <c r="G822" t="s">
        <v>20</v>
      </c>
    </row>
    <row r="823" spans="1:7" x14ac:dyDescent="0.35">
      <c r="A823">
        <v>319</v>
      </c>
      <c r="B823" s="1">
        <v>45383</v>
      </c>
      <c r="C823" t="s">
        <v>25</v>
      </c>
      <c r="D823" s="2">
        <v>146.04</v>
      </c>
      <c r="E823" s="2">
        <v>0</v>
      </c>
      <c r="F823" t="s">
        <v>27</v>
      </c>
      <c r="G823" t="s">
        <v>9</v>
      </c>
    </row>
    <row r="824" spans="1:7" x14ac:dyDescent="0.35">
      <c r="A824">
        <v>319</v>
      </c>
      <c r="B824" s="1">
        <v>45383</v>
      </c>
      <c r="C824" t="s">
        <v>25</v>
      </c>
      <c r="D824" s="2">
        <v>0</v>
      </c>
      <c r="E824" s="2">
        <v>2093.2800000000002</v>
      </c>
      <c r="F824" t="s">
        <v>28</v>
      </c>
      <c r="G824" t="s">
        <v>17</v>
      </c>
    </row>
    <row r="825" spans="1:7" x14ac:dyDescent="0.35">
      <c r="A825">
        <v>320</v>
      </c>
      <c r="B825" s="1">
        <v>45383</v>
      </c>
      <c r="C825" t="s">
        <v>25</v>
      </c>
      <c r="D825" s="2">
        <v>187.44</v>
      </c>
      <c r="E825" s="2">
        <v>0</v>
      </c>
      <c r="F825" t="s">
        <v>26</v>
      </c>
      <c r="G825" t="s">
        <v>20</v>
      </c>
    </row>
    <row r="826" spans="1:7" x14ac:dyDescent="0.35">
      <c r="A826">
        <v>320</v>
      </c>
      <c r="B826" s="1">
        <v>45383</v>
      </c>
      <c r="C826" t="s">
        <v>25</v>
      </c>
      <c r="D826" s="2">
        <v>14.06</v>
      </c>
      <c r="E826" s="2">
        <v>0</v>
      </c>
      <c r="F826" t="s">
        <v>27</v>
      </c>
      <c r="G826" t="s">
        <v>9</v>
      </c>
    </row>
    <row r="827" spans="1:7" x14ac:dyDescent="0.35">
      <c r="A827">
        <v>320</v>
      </c>
      <c r="B827" s="1">
        <v>45383</v>
      </c>
      <c r="C827" t="s">
        <v>25</v>
      </c>
      <c r="D827" s="2">
        <v>0</v>
      </c>
      <c r="E827" s="2">
        <v>201.5</v>
      </c>
      <c r="F827" t="s">
        <v>28</v>
      </c>
      <c r="G827" t="s">
        <v>17</v>
      </c>
    </row>
    <row r="828" spans="1:7" x14ac:dyDescent="0.35">
      <c r="A828">
        <v>321</v>
      </c>
      <c r="B828" s="1">
        <v>45383</v>
      </c>
      <c r="C828" t="s">
        <v>25</v>
      </c>
      <c r="D828" s="2">
        <v>2451.5</v>
      </c>
      <c r="E828" s="2">
        <v>0</v>
      </c>
      <c r="F828" t="s">
        <v>26</v>
      </c>
      <c r="G828" t="s">
        <v>20</v>
      </c>
    </row>
    <row r="829" spans="1:7" x14ac:dyDescent="0.35">
      <c r="A829">
        <v>321</v>
      </c>
      <c r="B829" s="1">
        <v>45383</v>
      </c>
      <c r="C829" t="s">
        <v>25</v>
      </c>
      <c r="D829" s="2">
        <v>183.86</v>
      </c>
      <c r="E829" s="2">
        <v>0</v>
      </c>
      <c r="F829" t="s">
        <v>27</v>
      </c>
      <c r="G829" t="s">
        <v>9</v>
      </c>
    </row>
    <row r="830" spans="1:7" x14ac:dyDescent="0.35">
      <c r="A830">
        <v>321</v>
      </c>
      <c r="B830" s="1">
        <v>45383</v>
      </c>
      <c r="C830" t="s">
        <v>25</v>
      </c>
      <c r="D830" s="2">
        <v>0</v>
      </c>
      <c r="E830" s="2">
        <v>2635.36</v>
      </c>
      <c r="F830" t="s">
        <v>28</v>
      </c>
      <c r="G830" t="s">
        <v>17</v>
      </c>
    </row>
    <row r="831" spans="1:7" x14ac:dyDescent="0.35">
      <c r="A831">
        <v>322</v>
      </c>
      <c r="B831" s="1">
        <v>45383</v>
      </c>
      <c r="C831" t="s">
        <v>25</v>
      </c>
      <c r="D831" s="2">
        <v>802.71</v>
      </c>
      <c r="E831" s="2">
        <v>0</v>
      </c>
      <c r="F831" t="s">
        <v>26</v>
      </c>
      <c r="G831" t="s">
        <v>20</v>
      </c>
    </row>
    <row r="832" spans="1:7" x14ac:dyDescent="0.35">
      <c r="A832">
        <v>322</v>
      </c>
      <c r="B832" s="1">
        <v>45383</v>
      </c>
      <c r="C832" t="s">
        <v>25</v>
      </c>
      <c r="D832" s="2">
        <v>60.2</v>
      </c>
      <c r="E832" s="2">
        <v>0</v>
      </c>
      <c r="F832" t="s">
        <v>27</v>
      </c>
      <c r="G832" t="s">
        <v>9</v>
      </c>
    </row>
    <row r="833" spans="1:7" x14ac:dyDescent="0.35">
      <c r="A833">
        <v>322</v>
      </c>
      <c r="B833" s="1">
        <v>45383</v>
      </c>
      <c r="C833" t="s">
        <v>25</v>
      </c>
      <c r="D833" s="2">
        <v>0</v>
      </c>
      <c r="E833" s="2">
        <v>862.91</v>
      </c>
      <c r="F833" t="s">
        <v>28</v>
      </c>
      <c r="G833" t="s">
        <v>17</v>
      </c>
    </row>
    <row r="834" spans="1:7" x14ac:dyDescent="0.35">
      <c r="A834">
        <v>323</v>
      </c>
      <c r="B834" s="1">
        <v>45384</v>
      </c>
      <c r="C834" t="s">
        <v>12</v>
      </c>
      <c r="D834" s="2">
        <v>1718.21</v>
      </c>
      <c r="E834" s="2">
        <v>0</v>
      </c>
      <c r="F834" t="s">
        <v>13</v>
      </c>
      <c r="G834" t="s">
        <v>9</v>
      </c>
    </row>
    <row r="835" spans="1:7" x14ac:dyDescent="0.35">
      <c r="A835">
        <v>323</v>
      </c>
      <c r="B835" s="1">
        <v>45384</v>
      </c>
      <c r="C835" t="s">
        <v>12</v>
      </c>
      <c r="D835" s="2">
        <v>0</v>
      </c>
      <c r="E835" s="2">
        <v>1598.33</v>
      </c>
      <c r="F835" t="s">
        <v>14</v>
      </c>
      <c r="G835" t="s">
        <v>15</v>
      </c>
    </row>
    <row r="836" spans="1:7" x14ac:dyDescent="0.35">
      <c r="A836">
        <v>323</v>
      </c>
      <c r="B836" s="1">
        <v>45384</v>
      </c>
      <c r="C836" t="s">
        <v>12</v>
      </c>
      <c r="D836" s="2">
        <v>0</v>
      </c>
      <c r="E836" s="2">
        <v>119.88</v>
      </c>
      <c r="F836" t="s">
        <v>16</v>
      </c>
      <c r="G836" t="s">
        <v>17</v>
      </c>
    </row>
    <row r="837" spans="1:7" x14ac:dyDescent="0.35">
      <c r="A837">
        <v>324</v>
      </c>
      <c r="B837" s="1">
        <v>45384</v>
      </c>
      <c r="C837" t="s">
        <v>12</v>
      </c>
      <c r="D837" s="2">
        <v>1276.07</v>
      </c>
      <c r="E837" s="2">
        <v>0</v>
      </c>
      <c r="F837" t="s">
        <v>13</v>
      </c>
      <c r="G837" t="s">
        <v>9</v>
      </c>
    </row>
    <row r="838" spans="1:7" x14ac:dyDescent="0.35">
      <c r="A838">
        <v>324</v>
      </c>
      <c r="B838" s="1">
        <v>45384</v>
      </c>
      <c r="C838" t="s">
        <v>12</v>
      </c>
      <c r="D838" s="2">
        <v>0</v>
      </c>
      <c r="E838" s="2">
        <v>1187.03</v>
      </c>
      <c r="F838" t="s">
        <v>14</v>
      </c>
      <c r="G838" t="s">
        <v>15</v>
      </c>
    </row>
    <row r="839" spans="1:7" x14ac:dyDescent="0.35">
      <c r="A839">
        <v>324</v>
      </c>
      <c r="B839" s="1">
        <v>45384</v>
      </c>
      <c r="C839" t="s">
        <v>12</v>
      </c>
      <c r="D839" s="2">
        <v>0</v>
      </c>
      <c r="E839" s="2">
        <v>89.04</v>
      </c>
      <c r="F839" t="s">
        <v>16</v>
      </c>
      <c r="G839" t="s">
        <v>17</v>
      </c>
    </row>
    <row r="840" spans="1:7" x14ac:dyDescent="0.35">
      <c r="A840">
        <v>325</v>
      </c>
      <c r="B840" s="1">
        <v>45384</v>
      </c>
      <c r="C840" t="s">
        <v>12</v>
      </c>
      <c r="D840" s="2">
        <v>2294.17</v>
      </c>
      <c r="E840" s="2">
        <v>0</v>
      </c>
      <c r="F840" t="s">
        <v>13</v>
      </c>
      <c r="G840" t="s">
        <v>9</v>
      </c>
    </row>
    <row r="841" spans="1:7" x14ac:dyDescent="0.35">
      <c r="A841">
        <v>325</v>
      </c>
      <c r="B841" s="1">
        <v>45384</v>
      </c>
      <c r="C841" t="s">
        <v>12</v>
      </c>
      <c r="D841" s="2">
        <v>0</v>
      </c>
      <c r="E841" s="2">
        <v>2134.11</v>
      </c>
      <c r="F841" t="s">
        <v>14</v>
      </c>
      <c r="G841" t="s">
        <v>15</v>
      </c>
    </row>
    <row r="842" spans="1:7" x14ac:dyDescent="0.35">
      <c r="A842">
        <v>325</v>
      </c>
      <c r="B842" s="1">
        <v>45384</v>
      </c>
      <c r="C842" t="s">
        <v>12</v>
      </c>
      <c r="D842" s="2">
        <v>0</v>
      </c>
      <c r="E842" s="2">
        <v>160.06</v>
      </c>
      <c r="F842" t="s">
        <v>16</v>
      </c>
      <c r="G842" t="s">
        <v>17</v>
      </c>
    </row>
    <row r="843" spans="1:7" x14ac:dyDescent="0.35">
      <c r="A843">
        <v>326</v>
      </c>
      <c r="B843" s="1">
        <v>45384</v>
      </c>
      <c r="C843" t="s">
        <v>24</v>
      </c>
      <c r="D843" s="2">
        <v>2415.42</v>
      </c>
      <c r="E843" s="2">
        <v>0</v>
      </c>
      <c r="F843" t="s">
        <v>8</v>
      </c>
      <c r="G843" t="s">
        <v>9</v>
      </c>
    </row>
    <row r="844" spans="1:7" x14ac:dyDescent="0.35">
      <c r="A844">
        <v>326</v>
      </c>
      <c r="B844" s="1">
        <v>45384</v>
      </c>
      <c r="C844" t="s">
        <v>24</v>
      </c>
      <c r="D844" s="2">
        <v>0</v>
      </c>
      <c r="E844" s="2">
        <v>2415.42</v>
      </c>
      <c r="F844" t="s">
        <v>13</v>
      </c>
      <c r="G844" t="s">
        <v>9</v>
      </c>
    </row>
    <row r="845" spans="1:7" x14ac:dyDescent="0.35">
      <c r="A845">
        <v>327</v>
      </c>
      <c r="B845" s="1">
        <v>45384</v>
      </c>
      <c r="C845" t="s">
        <v>24</v>
      </c>
      <c r="D845" s="2">
        <v>2662.71</v>
      </c>
      <c r="E845" s="2">
        <v>0</v>
      </c>
      <c r="F845" t="s">
        <v>8</v>
      </c>
      <c r="G845" t="s">
        <v>9</v>
      </c>
    </row>
    <row r="846" spans="1:7" x14ac:dyDescent="0.35">
      <c r="A846">
        <v>327</v>
      </c>
      <c r="B846" s="1">
        <v>45384</v>
      </c>
      <c r="C846" t="s">
        <v>24</v>
      </c>
      <c r="D846" s="2">
        <v>0</v>
      </c>
      <c r="E846" s="2">
        <v>2662.71</v>
      </c>
      <c r="F846" t="s">
        <v>13</v>
      </c>
      <c r="G846" t="s">
        <v>9</v>
      </c>
    </row>
    <row r="847" spans="1:7" x14ac:dyDescent="0.35">
      <c r="A847">
        <v>328</v>
      </c>
      <c r="B847" s="1">
        <v>45384</v>
      </c>
      <c r="C847" t="s">
        <v>24</v>
      </c>
      <c r="D847" s="2">
        <v>3223.4</v>
      </c>
      <c r="E847" s="2">
        <v>0</v>
      </c>
      <c r="F847" t="s">
        <v>8</v>
      </c>
      <c r="G847" t="s">
        <v>9</v>
      </c>
    </row>
    <row r="848" spans="1:7" x14ac:dyDescent="0.35">
      <c r="A848">
        <v>328</v>
      </c>
      <c r="B848" s="1">
        <v>45384</v>
      </c>
      <c r="C848" t="s">
        <v>24</v>
      </c>
      <c r="D848" s="2">
        <v>0</v>
      </c>
      <c r="E848" s="2">
        <v>3223.4</v>
      </c>
      <c r="F848" t="s">
        <v>13</v>
      </c>
      <c r="G848" t="s">
        <v>9</v>
      </c>
    </row>
    <row r="849" spans="1:7" x14ac:dyDescent="0.35">
      <c r="A849">
        <v>329</v>
      </c>
      <c r="B849" s="1">
        <v>45384</v>
      </c>
      <c r="C849" t="s">
        <v>29</v>
      </c>
      <c r="D849" s="2">
        <v>3868.8</v>
      </c>
      <c r="E849" s="2">
        <v>0</v>
      </c>
      <c r="F849" t="s">
        <v>28</v>
      </c>
      <c r="G849" t="s">
        <v>17</v>
      </c>
    </row>
    <row r="850" spans="1:7" x14ac:dyDescent="0.35">
      <c r="A850">
        <v>329</v>
      </c>
      <c r="B850" s="1">
        <v>45384</v>
      </c>
      <c r="C850" t="s">
        <v>29</v>
      </c>
      <c r="D850" s="2">
        <v>0</v>
      </c>
      <c r="E850" s="2">
        <v>3868.8</v>
      </c>
      <c r="F850" t="s">
        <v>8</v>
      </c>
      <c r="G850" t="s">
        <v>9</v>
      </c>
    </row>
    <row r="851" spans="1:7" x14ac:dyDescent="0.35">
      <c r="A851">
        <v>330</v>
      </c>
      <c r="B851" s="1">
        <v>45385</v>
      </c>
      <c r="C851" t="s">
        <v>12</v>
      </c>
      <c r="D851" s="2">
        <v>2482.59</v>
      </c>
      <c r="E851" s="2">
        <v>0</v>
      </c>
      <c r="F851" t="s">
        <v>13</v>
      </c>
      <c r="G851" t="s">
        <v>9</v>
      </c>
    </row>
    <row r="852" spans="1:7" x14ac:dyDescent="0.35">
      <c r="A852">
        <v>330</v>
      </c>
      <c r="B852" s="1">
        <v>45385</v>
      </c>
      <c r="C852" t="s">
        <v>12</v>
      </c>
      <c r="D852" s="2">
        <v>0</v>
      </c>
      <c r="E852" s="2">
        <v>2309.4</v>
      </c>
      <c r="F852" t="s">
        <v>14</v>
      </c>
      <c r="G852" t="s">
        <v>15</v>
      </c>
    </row>
    <row r="853" spans="1:7" x14ac:dyDescent="0.35">
      <c r="A853">
        <v>330</v>
      </c>
      <c r="B853" s="1">
        <v>45385</v>
      </c>
      <c r="C853" t="s">
        <v>12</v>
      </c>
      <c r="D853" s="2">
        <v>0</v>
      </c>
      <c r="E853" s="2">
        <v>173.19</v>
      </c>
      <c r="F853" t="s">
        <v>16</v>
      </c>
      <c r="G853" t="s">
        <v>17</v>
      </c>
    </row>
    <row r="854" spans="1:7" x14ac:dyDescent="0.35">
      <c r="A854">
        <v>331</v>
      </c>
      <c r="B854" s="1">
        <v>45385</v>
      </c>
      <c r="C854" t="s">
        <v>12</v>
      </c>
      <c r="D854" s="2">
        <v>2257.8200000000002</v>
      </c>
      <c r="E854" s="2">
        <v>0</v>
      </c>
      <c r="F854" t="s">
        <v>13</v>
      </c>
      <c r="G854" t="s">
        <v>9</v>
      </c>
    </row>
    <row r="855" spans="1:7" x14ac:dyDescent="0.35">
      <c r="A855">
        <v>331</v>
      </c>
      <c r="B855" s="1">
        <v>45385</v>
      </c>
      <c r="C855" t="s">
        <v>12</v>
      </c>
      <c r="D855" s="2">
        <v>0</v>
      </c>
      <c r="E855" s="2">
        <v>2100.3000000000002</v>
      </c>
      <c r="F855" t="s">
        <v>14</v>
      </c>
      <c r="G855" t="s">
        <v>15</v>
      </c>
    </row>
    <row r="856" spans="1:7" x14ac:dyDescent="0.35">
      <c r="A856">
        <v>331</v>
      </c>
      <c r="B856" s="1">
        <v>45385</v>
      </c>
      <c r="C856" t="s">
        <v>12</v>
      </c>
      <c r="D856" s="2">
        <v>0</v>
      </c>
      <c r="E856" s="2">
        <v>157.52000000000001</v>
      </c>
      <c r="F856" t="s">
        <v>16</v>
      </c>
      <c r="G856" t="s">
        <v>17</v>
      </c>
    </row>
    <row r="857" spans="1:7" x14ac:dyDescent="0.35">
      <c r="A857">
        <v>332</v>
      </c>
      <c r="B857" s="1">
        <v>45385</v>
      </c>
      <c r="C857" t="s">
        <v>24</v>
      </c>
      <c r="D857" s="2">
        <v>2865.41</v>
      </c>
      <c r="E857" s="2">
        <v>0</v>
      </c>
      <c r="F857" t="s">
        <v>8</v>
      </c>
      <c r="G857" t="s">
        <v>9</v>
      </c>
    </row>
    <row r="858" spans="1:7" x14ac:dyDescent="0.35">
      <c r="A858">
        <v>332</v>
      </c>
      <c r="B858" s="1">
        <v>45385</v>
      </c>
      <c r="C858" t="s">
        <v>24</v>
      </c>
      <c r="D858" s="2">
        <v>0</v>
      </c>
      <c r="E858" s="2">
        <v>2865.41</v>
      </c>
      <c r="F858" t="s">
        <v>13</v>
      </c>
      <c r="G858" t="s">
        <v>9</v>
      </c>
    </row>
    <row r="859" spans="1:7" x14ac:dyDescent="0.35">
      <c r="A859">
        <v>333</v>
      </c>
      <c r="B859" s="1">
        <v>45385</v>
      </c>
      <c r="C859" t="s">
        <v>25</v>
      </c>
      <c r="D859" s="2">
        <v>2030.15</v>
      </c>
      <c r="E859" s="2">
        <v>0</v>
      </c>
      <c r="F859" t="s">
        <v>26</v>
      </c>
      <c r="G859" t="s">
        <v>20</v>
      </c>
    </row>
    <row r="860" spans="1:7" x14ac:dyDescent="0.35">
      <c r="A860">
        <v>333</v>
      </c>
      <c r="B860" s="1">
        <v>45385</v>
      </c>
      <c r="C860" t="s">
        <v>25</v>
      </c>
      <c r="D860" s="2">
        <v>152.26</v>
      </c>
      <c r="E860" s="2">
        <v>0</v>
      </c>
      <c r="F860" t="s">
        <v>27</v>
      </c>
      <c r="G860" t="s">
        <v>9</v>
      </c>
    </row>
    <row r="861" spans="1:7" x14ac:dyDescent="0.35">
      <c r="A861">
        <v>333</v>
      </c>
      <c r="B861" s="1">
        <v>45385</v>
      </c>
      <c r="C861" t="s">
        <v>25</v>
      </c>
      <c r="D861" s="2">
        <v>0</v>
      </c>
      <c r="E861" s="2">
        <v>2182.41</v>
      </c>
      <c r="F861" t="s">
        <v>28</v>
      </c>
      <c r="G861" t="s">
        <v>17</v>
      </c>
    </row>
    <row r="862" spans="1:7" x14ac:dyDescent="0.35">
      <c r="A862">
        <v>334</v>
      </c>
      <c r="B862" s="1">
        <v>45385</v>
      </c>
      <c r="C862" t="s">
        <v>29</v>
      </c>
      <c r="D862" s="2">
        <v>862.91</v>
      </c>
      <c r="E862" s="2">
        <v>0</v>
      </c>
      <c r="F862" t="s">
        <v>28</v>
      </c>
      <c r="G862" t="s">
        <v>17</v>
      </c>
    </row>
    <row r="863" spans="1:7" x14ac:dyDescent="0.35">
      <c r="A863">
        <v>334</v>
      </c>
      <c r="B863" s="1">
        <v>45385</v>
      </c>
      <c r="C863" t="s">
        <v>29</v>
      </c>
      <c r="D863" s="2">
        <v>0</v>
      </c>
      <c r="E863" s="2">
        <v>862.91</v>
      </c>
      <c r="F863" t="s">
        <v>8</v>
      </c>
      <c r="G863" t="s">
        <v>9</v>
      </c>
    </row>
    <row r="864" spans="1:7" x14ac:dyDescent="0.35">
      <c r="A864">
        <v>335</v>
      </c>
      <c r="B864" s="1">
        <v>45386</v>
      </c>
      <c r="C864" t="s">
        <v>12</v>
      </c>
      <c r="D864" s="2">
        <v>106.77</v>
      </c>
      <c r="E864" s="2">
        <v>0</v>
      </c>
      <c r="F864" t="s">
        <v>13</v>
      </c>
      <c r="G864" t="s">
        <v>9</v>
      </c>
    </row>
    <row r="865" spans="1:7" x14ac:dyDescent="0.35">
      <c r="A865">
        <v>335</v>
      </c>
      <c r="B865" s="1">
        <v>45386</v>
      </c>
      <c r="C865" t="s">
        <v>12</v>
      </c>
      <c r="D865" s="2">
        <v>0</v>
      </c>
      <c r="E865" s="2">
        <v>99.32</v>
      </c>
      <c r="F865" t="s">
        <v>14</v>
      </c>
      <c r="G865" t="s">
        <v>15</v>
      </c>
    </row>
    <row r="866" spans="1:7" x14ac:dyDescent="0.35">
      <c r="A866">
        <v>335</v>
      </c>
      <c r="B866" s="1">
        <v>45386</v>
      </c>
      <c r="C866" t="s">
        <v>12</v>
      </c>
      <c r="D866" s="2">
        <v>0</v>
      </c>
      <c r="E866" s="2">
        <v>7.45</v>
      </c>
      <c r="F866" t="s">
        <v>16</v>
      </c>
      <c r="G866" t="s">
        <v>17</v>
      </c>
    </row>
    <row r="867" spans="1:7" x14ac:dyDescent="0.35">
      <c r="A867">
        <v>336</v>
      </c>
      <c r="B867" s="1">
        <v>45386</v>
      </c>
      <c r="C867" t="s">
        <v>12</v>
      </c>
      <c r="D867" s="2">
        <v>1417.67</v>
      </c>
      <c r="E867" s="2">
        <v>0</v>
      </c>
      <c r="F867" t="s">
        <v>13</v>
      </c>
      <c r="G867" t="s">
        <v>9</v>
      </c>
    </row>
    <row r="868" spans="1:7" x14ac:dyDescent="0.35">
      <c r="A868">
        <v>336</v>
      </c>
      <c r="B868" s="1">
        <v>45386</v>
      </c>
      <c r="C868" t="s">
        <v>12</v>
      </c>
      <c r="D868" s="2">
        <v>0</v>
      </c>
      <c r="E868" s="2">
        <v>1318.77</v>
      </c>
      <c r="F868" t="s">
        <v>14</v>
      </c>
      <c r="G868" t="s">
        <v>15</v>
      </c>
    </row>
    <row r="869" spans="1:7" x14ac:dyDescent="0.35">
      <c r="A869">
        <v>336</v>
      </c>
      <c r="B869" s="1">
        <v>45386</v>
      </c>
      <c r="C869" t="s">
        <v>12</v>
      </c>
      <c r="D869" s="2">
        <v>0</v>
      </c>
      <c r="E869" s="2">
        <v>98.9</v>
      </c>
      <c r="F869" t="s">
        <v>16</v>
      </c>
      <c r="G869" t="s">
        <v>17</v>
      </c>
    </row>
    <row r="870" spans="1:7" x14ac:dyDescent="0.35">
      <c r="A870">
        <v>337</v>
      </c>
      <c r="B870" s="1">
        <v>45386</v>
      </c>
      <c r="C870" t="s">
        <v>12</v>
      </c>
      <c r="D870" s="2">
        <v>6755.14</v>
      </c>
      <c r="E870" s="2">
        <v>0</v>
      </c>
      <c r="F870" t="s">
        <v>13</v>
      </c>
      <c r="G870" t="s">
        <v>9</v>
      </c>
    </row>
    <row r="871" spans="1:7" x14ac:dyDescent="0.35">
      <c r="A871">
        <v>337</v>
      </c>
      <c r="B871" s="1">
        <v>45386</v>
      </c>
      <c r="C871" t="s">
        <v>12</v>
      </c>
      <c r="D871" s="2">
        <v>0</v>
      </c>
      <c r="E871" s="2">
        <v>6283.85</v>
      </c>
      <c r="F871" t="s">
        <v>14</v>
      </c>
      <c r="G871" t="s">
        <v>15</v>
      </c>
    </row>
    <row r="872" spans="1:7" x14ac:dyDescent="0.35">
      <c r="A872">
        <v>337</v>
      </c>
      <c r="B872" s="1">
        <v>45386</v>
      </c>
      <c r="C872" t="s">
        <v>12</v>
      </c>
      <c r="D872" s="2">
        <v>0</v>
      </c>
      <c r="E872" s="2">
        <v>471.29</v>
      </c>
      <c r="F872" t="s">
        <v>16</v>
      </c>
      <c r="G872" t="s">
        <v>17</v>
      </c>
    </row>
    <row r="873" spans="1:7" x14ac:dyDescent="0.35">
      <c r="A873">
        <v>338</v>
      </c>
      <c r="B873" s="1">
        <v>45386</v>
      </c>
      <c r="C873" t="s">
        <v>12</v>
      </c>
      <c r="D873" s="2">
        <v>440.44</v>
      </c>
      <c r="E873" s="2">
        <v>0</v>
      </c>
      <c r="F873" t="s">
        <v>13</v>
      </c>
      <c r="G873" t="s">
        <v>9</v>
      </c>
    </row>
    <row r="874" spans="1:7" x14ac:dyDescent="0.35">
      <c r="A874">
        <v>338</v>
      </c>
      <c r="B874" s="1">
        <v>45386</v>
      </c>
      <c r="C874" t="s">
        <v>12</v>
      </c>
      <c r="D874" s="2">
        <v>0</v>
      </c>
      <c r="E874" s="2">
        <v>409.71</v>
      </c>
      <c r="F874" t="s">
        <v>14</v>
      </c>
      <c r="G874" t="s">
        <v>15</v>
      </c>
    </row>
    <row r="875" spans="1:7" x14ac:dyDescent="0.35">
      <c r="A875">
        <v>338</v>
      </c>
      <c r="B875" s="1">
        <v>45386</v>
      </c>
      <c r="C875" t="s">
        <v>12</v>
      </c>
      <c r="D875" s="2">
        <v>0</v>
      </c>
      <c r="E875" s="2">
        <v>30.73</v>
      </c>
      <c r="F875" t="s">
        <v>16</v>
      </c>
      <c r="G875" t="s">
        <v>17</v>
      </c>
    </row>
    <row r="876" spans="1:7" x14ac:dyDescent="0.35">
      <c r="A876">
        <v>339</v>
      </c>
      <c r="B876" s="1">
        <v>45386</v>
      </c>
      <c r="C876" t="s">
        <v>24</v>
      </c>
      <c r="D876" s="2">
        <v>2434.4699999999998</v>
      </c>
      <c r="E876" s="2">
        <v>0</v>
      </c>
      <c r="F876" t="s">
        <v>8</v>
      </c>
      <c r="G876" t="s">
        <v>9</v>
      </c>
    </row>
    <row r="877" spans="1:7" x14ac:dyDescent="0.35">
      <c r="A877">
        <v>339</v>
      </c>
      <c r="B877" s="1">
        <v>45386</v>
      </c>
      <c r="C877" t="s">
        <v>24</v>
      </c>
      <c r="D877" s="2">
        <v>0</v>
      </c>
      <c r="E877" s="2">
        <v>2434.4699999999998</v>
      </c>
      <c r="F877" t="s">
        <v>13</v>
      </c>
      <c r="G877" t="s">
        <v>9</v>
      </c>
    </row>
    <row r="878" spans="1:7" x14ac:dyDescent="0.35">
      <c r="A878">
        <v>340</v>
      </c>
      <c r="B878" s="1">
        <v>45386</v>
      </c>
      <c r="C878" t="s">
        <v>25</v>
      </c>
      <c r="D878" s="2">
        <v>1643.22</v>
      </c>
      <c r="E878" s="2">
        <v>0</v>
      </c>
      <c r="F878" t="s">
        <v>26</v>
      </c>
      <c r="G878" t="s">
        <v>20</v>
      </c>
    </row>
    <row r="879" spans="1:7" x14ac:dyDescent="0.35">
      <c r="A879">
        <v>340</v>
      </c>
      <c r="B879" s="1">
        <v>45386</v>
      </c>
      <c r="C879" t="s">
        <v>25</v>
      </c>
      <c r="D879" s="2">
        <v>123.24</v>
      </c>
      <c r="E879" s="2">
        <v>0</v>
      </c>
      <c r="F879" t="s">
        <v>27</v>
      </c>
      <c r="G879" t="s">
        <v>9</v>
      </c>
    </row>
    <row r="880" spans="1:7" x14ac:dyDescent="0.35">
      <c r="A880">
        <v>340</v>
      </c>
      <c r="B880" s="1">
        <v>45386</v>
      </c>
      <c r="C880" t="s">
        <v>25</v>
      </c>
      <c r="D880" s="2">
        <v>0</v>
      </c>
      <c r="E880" s="2">
        <v>1766.46</v>
      </c>
      <c r="F880" t="s">
        <v>28</v>
      </c>
      <c r="G880" t="s">
        <v>17</v>
      </c>
    </row>
    <row r="881" spans="1:7" x14ac:dyDescent="0.35">
      <c r="A881">
        <v>341</v>
      </c>
      <c r="B881" s="1">
        <v>45386</v>
      </c>
      <c r="C881" t="s">
        <v>29</v>
      </c>
      <c r="D881" s="2">
        <v>7227.44</v>
      </c>
      <c r="E881" s="2">
        <v>0</v>
      </c>
      <c r="F881" t="s">
        <v>28</v>
      </c>
      <c r="G881" t="s">
        <v>17</v>
      </c>
    </row>
    <row r="882" spans="1:7" x14ac:dyDescent="0.35">
      <c r="A882">
        <v>341</v>
      </c>
      <c r="B882" s="1">
        <v>45386</v>
      </c>
      <c r="C882" t="s">
        <v>29</v>
      </c>
      <c r="D882" s="2">
        <v>0</v>
      </c>
      <c r="E882" s="2">
        <v>7227.44</v>
      </c>
      <c r="F882" t="s">
        <v>8</v>
      </c>
      <c r="G882" t="s">
        <v>9</v>
      </c>
    </row>
    <row r="883" spans="1:7" x14ac:dyDescent="0.35">
      <c r="A883">
        <v>342</v>
      </c>
      <c r="B883" s="1">
        <v>45386</v>
      </c>
      <c r="C883" t="s">
        <v>29</v>
      </c>
      <c r="D883" s="2">
        <v>276.32</v>
      </c>
      <c r="E883" s="2">
        <v>0</v>
      </c>
      <c r="F883" t="s">
        <v>28</v>
      </c>
      <c r="G883" t="s">
        <v>17</v>
      </c>
    </row>
    <row r="884" spans="1:7" x14ac:dyDescent="0.35">
      <c r="A884">
        <v>342</v>
      </c>
      <c r="B884" s="1">
        <v>45386</v>
      </c>
      <c r="C884" t="s">
        <v>29</v>
      </c>
      <c r="D884" s="2">
        <v>0</v>
      </c>
      <c r="E884" s="2">
        <v>276.32</v>
      </c>
      <c r="F884" t="s">
        <v>8</v>
      </c>
      <c r="G884" t="s">
        <v>9</v>
      </c>
    </row>
    <row r="885" spans="1:7" x14ac:dyDescent="0.35">
      <c r="A885">
        <v>343</v>
      </c>
      <c r="B885" s="1">
        <v>45387</v>
      </c>
      <c r="C885" t="s">
        <v>24</v>
      </c>
      <c r="D885" s="2">
        <v>889.57</v>
      </c>
      <c r="E885" s="2">
        <v>0</v>
      </c>
      <c r="F885" t="s">
        <v>8</v>
      </c>
      <c r="G885" t="s">
        <v>9</v>
      </c>
    </row>
    <row r="886" spans="1:7" x14ac:dyDescent="0.35">
      <c r="A886">
        <v>343</v>
      </c>
      <c r="B886" s="1">
        <v>45387</v>
      </c>
      <c r="C886" t="s">
        <v>24</v>
      </c>
      <c r="D886" s="2">
        <v>0</v>
      </c>
      <c r="E886" s="2">
        <v>889.57</v>
      </c>
      <c r="F886" t="s">
        <v>13</v>
      </c>
      <c r="G886" t="s">
        <v>9</v>
      </c>
    </row>
    <row r="887" spans="1:7" x14ac:dyDescent="0.35">
      <c r="A887">
        <v>344</v>
      </c>
      <c r="B887" s="1">
        <v>45387</v>
      </c>
      <c r="C887" t="s">
        <v>24</v>
      </c>
      <c r="D887" s="2">
        <v>211.26</v>
      </c>
      <c r="E887" s="2">
        <v>0</v>
      </c>
      <c r="F887" t="s">
        <v>8</v>
      </c>
      <c r="G887" t="s">
        <v>9</v>
      </c>
    </row>
    <row r="888" spans="1:7" x14ac:dyDescent="0.35">
      <c r="A888">
        <v>344</v>
      </c>
      <c r="B888" s="1">
        <v>45387</v>
      </c>
      <c r="C888" t="s">
        <v>24</v>
      </c>
      <c r="D888" s="2">
        <v>0</v>
      </c>
      <c r="E888" s="2">
        <v>211.26</v>
      </c>
      <c r="F888" t="s">
        <v>13</v>
      </c>
      <c r="G888" t="s">
        <v>9</v>
      </c>
    </row>
    <row r="889" spans="1:7" x14ac:dyDescent="0.35">
      <c r="A889">
        <v>345</v>
      </c>
      <c r="B889" s="1">
        <v>45387</v>
      </c>
      <c r="C889" t="s">
        <v>24</v>
      </c>
      <c r="D889" s="2">
        <v>367.71</v>
      </c>
      <c r="E889" s="2">
        <v>0</v>
      </c>
      <c r="F889" t="s">
        <v>8</v>
      </c>
      <c r="G889" t="s">
        <v>9</v>
      </c>
    </row>
    <row r="890" spans="1:7" x14ac:dyDescent="0.35">
      <c r="A890">
        <v>345</v>
      </c>
      <c r="B890" s="1">
        <v>45387</v>
      </c>
      <c r="C890" t="s">
        <v>24</v>
      </c>
      <c r="D890" s="2">
        <v>0</v>
      </c>
      <c r="E890" s="2">
        <v>367.71</v>
      </c>
      <c r="F890" t="s">
        <v>13</v>
      </c>
      <c r="G890" t="s">
        <v>9</v>
      </c>
    </row>
    <row r="891" spans="1:7" x14ac:dyDescent="0.35">
      <c r="A891">
        <v>346</v>
      </c>
      <c r="B891" s="1">
        <v>45387</v>
      </c>
      <c r="C891" t="s">
        <v>24</v>
      </c>
      <c r="D891" s="2">
        <v>1969.9</v>
      </c>
      <c r="E891" s="2">
        <v>0</v>
      </c>
      <c r="F891" t="s">
        <v>8</v>
      </c>
      <c r="G891" t="s">
        <v>9</v>
      </c>
    </row>
    <row r="892" spans="1:7" x14ac:dyDescent="0.35">
      <c r="A892">
        <v>346</v>
      </c>
      <c r="B892" s="1">
        <v>45387</v>
      </c>
      <c r="C892" t="s">
        <v>24</v>
      </c>
      <c r="D892" s="2">
        <v>0</v>
      </c>
      <c r="E892" s="2">
        <v>1969.9</v>
      </c>
      <c r="F892" t="s">
        <v>13</v>
      </c>
      <c r="G892" t="s">
        <v>9</v>
      </c>
    </row>
    <row r="893" spans="1:7" x14ac:dyDescent="0.35">
      <c r="A893">
        <v>347</v>
      </c>
      <c r="B893" s="1">
        <v>45387</v>
      </c>
      <c r="C893" t="s">
        <v>24</v>
      </c>
      <c r="D893" s="2">
        <v>1718.21</v>
      </c>
      <c r="E893" s="2">
        <v>0</v>
      </c>
      <c r="F893" t="s">
        <v>8</v>
      </c>
      <c r="G893" t="s">
        <v>9</v>
      </c>
    </row>
    <row r="894" spans="1:7" x14ac:dyDescent="0.35">
      <c r="A894">
        <v>347</v>
      </c>
      <c r="B894" s="1">
        <v>45387</v>
      </c>
      <c r="C894" t="s">
        <v>24</v>
      </c>
      <c r="D894" s="2">
        <v>0</v>
      </c>
      <c r="E894" s="2">
        <v>1718.21</v>
      </c>
      <c r="F894" t="s">
        <v>13</v>
      </c>
      <c r="G894" t="s">
        <v>9</v>
      </c>
    </row>
    <row r="895" spans="1:7" x14ac:dyDescent="0.35">
      <c r="A895">
        <v>348</v>
      </c>
      <c r="B895" s="1">
        <v>45387</v>
      </c>
      <c r="C895" t="s">
        <v>24</v>
      </c>
      <c r="D895" s="2">
        <v>106.77</v>
      </c>
      <c r="E895" s="2">
        <v>0</v>
      </c>
      <c r="F895" t="s">
        <v>8</v>
      </c>
      <c r="G895" t="s">
        <v>9</v>
      </c>
    </row>
    <row r="896" spans="1:7" x14ac:dyDescent="0.35">
      <c r="A896">
        <v>348</v>
      </c>
      <c r="B896" s="1">
        <v>45387</v>
      </c>
      <c r="C896" t="s">
        <v>24</v>
      </c>
      <c r="D896" s="2">
        <v>0</v>
      </c>
      <c r="E896" s="2">
        <v>106.77</v>
      </c>
      <c r="F896" t="s">
        <v>13</v>
      </c>
      <c r="G896" t="s">
        <v>9</v>
      </c>
    </row>
    <row r="897" spans="1:7" x14ac:dyDescent="0.35">
      <c r="A897">
        <v>349</v>
      </c>
      <c r="B897" s="1">
        <v>45387</v>
      </c>
      <c r="C897" t="s">
        <v>29</v>
      </c>
      <c r="D897" s="2">
        <v>1304.6199999999999</v>
      </c>
      <c r="E897" s="2">
        <v>0</v>
      </c>
      <c r="F897" t="s">
        <v>28</v>
      </c>
      <c r="G897" t="s">
        <v>17</v>
      </c>
    </row>
    <row r="898" spans="1:7" x14ac:dyDescent="0.35">
      <c r="A898">
        <v>349</v>
      </c>
      <c r="B898" s="1">
        <v>45387</v>
      </c>
      <c r="C898" t="s">
        <v>29</v>
      </c>
      <c r="D898" s="2">
        <v>0</v>
      </c>
      <c r="E898" s="2">
        <v>1304.6199999999999</v>
      </c>
      <c r="F898" t="s">
        <v>8</v>
      </c>
      <c r="G898" t="s">
        <v>9</v>
      </c>
    </row>
    <row r="899" spans="1:7" x14ac:dyDescent="0.35">
      <c r="A899">
        <v>350</v>
      </c>
      <c r="B899" s="1">
        <v>45387</v>
      </c>
      <c r="C899" t="s">
        <v>29</v>
      </c>
      <c r="D899" s="2">
        <v>748.26</v>
      </c>
      <c r="E899" s="2">
        <v>0</v>
      </c>
      <c r="F899" t="s">
        <v>28</v>
      </c>
      <c r="G899" t="s">
        <v>17</v>
      </c>
    </row>
    <row r="900" spans="1:7" x14ac:dyDescent="0.35">
      <c r="A900">
        <v>350</v>
      </c>
      <c r="B900" s="1">
        <v>45387</v>
      </c>
      <c r="C900" t="s">
        <v>29</v>
      </c>
      <c r="D900" s="2">
        <v>0</v>
      </c>
      <c r="E900" s="2">
        <v>748.26</v>
      </c>
      <c r="F900" t="s">
        <v>8</v>
      </c>
      <c r="G900" t="s">
        <v>9</v>
      </c>
    </row>
    <row r="901" spans="1:7" x14ac:dyDescent="0.35">
      <c r="A901">
        <v>351</v>
      </c>
      <c r="B901" s="1">
        <v>45390</v>
      </c>
      <c r="C901" t="s">
        <v>12</v>
      </c>
      <c r="D901" s="2">
        <v>2260.5300000000002</v>
      </c>
      <c r="E901" s="2">
        <v>0</v>
      </c>
      <c r="F901" t="s">
        <v>13</v>
      </c>
      <c r="G901" t="s">
        <v>9</v>
      </c>
    </row>
    <row r="902" spans="1:7" x14ac:dyDescent="0.35">
      <c r="A902">
        <v>351</v>
      </c>
      <c r="B902" s="1">
        <v>45390</v>
      </c>
      <c r="C902" t="s">
        <v>12</v>
      </c>
      <c r="D902" s="2">
        <v>0</v>
      </c>
      <c r="E902" s="2">
        <v>2102.83</v>
      </c>
      <c r="F902" t="s">
        <v>14</v>
      </c>
      <c r="G902" t="s">
        <v>15</v>
      </c>
    </row>
    <row r="903" spans="1:7" x14ac:dyDescent="0.35">
      <c r="A903">
        <v>351</v>
      </c>
      <c r="B903" s="1">
        <v>45390</v>
      </c>
      <c r="C903" t="s">
        <v>12</v>
      </c>
      <c r="D903" s="2">
        <v>0</v>
      </c>
      <c r="E903" s="2">
        <v>157.69999999999999</v>
      </c>
      <c r="F903" t="s">
        <v>16</v>
      </c>
      <c r="G903" t="s">
        <v>17</v>
      </c>
    </row>
    <row r="904" spans="1:7" x14ac:dyDescent="0.35">
      <c r="A904">
        <v>352</v>
      </c>
      <c r="B904" s="1">
        <v>45390</v>
      </c>
      <c r="C904" t="s">
        <v>24</v>
      </c>
      <c r="D904" s="2">
        <v>513.22</v>
      </c>
      <c r="E904" s="2">
        <v>0</v>
      </c>
      <c r="F904" t="s">
        <v>8</v>
      </c>
      <c r="G904" t="s">
        <v>9</v>
      </c>
    </row>
    <row r="905" spans="1:7" x14ac:dyDescent="0.35">
      <c r="A905">
        <v>352</v>
      </c>
      <c r="B905" s="1">
        <v>45390</v>
      </c>
      <c r="C905" t="s">
        <v>24</v>
      </c>
      <c r="D905" s="2">
        <v>0</v>
      </c>
      <c r="E905" s="2">
        <v>513.22</v>
      </c>
      <c r="F905" t="s">
        <v>13</v>
      </c>
      <c r="G905" t="s">
        <v>9</v>
      </c>
    </row>
    <row r="906" spans="1:7" x14ac:dyDescent="0.35">
      <c r="A906">
        <v>353</v>
      </c>
      <c r="B906" s="1">
        <v>45390</v>
      </c>
      <c r="C906" t="s">
        <v>24</v>
      </c>
      <c r="D906" s="2">
        <v>747.38</v>
      </c>
      <c r="E906" s="2">
        <v>0</v>
      </c>
      <c r="F906" t="s">
        <v>8</v>
      </c>
      <c r="G906" t="s">
        <v>9</v>
      </c>
    </row>
    <row r="907" spans="1:7" x14ac:dyDescent="0.35">
      <c r="A907">
        <v>353</v>
      </c>
      <c r="B907" s="1">
        <v>45390</v>
      </c>
      <c r="C907" t="s">
        <v>24</v>
      </c>
      <c r="D907" s="2">
        <v>0</v>
      </c>
      <c r="E907" s="2">
        <v>747.38</v>
      </c>
      <c r="F907" t="s">
        <v>13</v>
      </c>
      <c r="G907" t="s">
        <v>9</v>
      </c>
    </row>
    <row r="908" spans="1:7" x14ac:dyDescent="0.35">
      <c r="A908">
        <v>354</v>
      </c>
      <c r="B908" s="1">
        <v>45390</v>
      </c>
      <c r="C908" t="s">
        <v>25</v>
      </c>
      <c r="D908" s="2">
        <v>4476.71</v>
      </c>
      <c r="E908" s="2">
        <v>0</v>
      </c>
      <c r="F908" t="s">
        <v>26</v>
      </c>
      <c r="G908" t="s">
        <v>20</v>
      </c>
    </row>
    <row r="909" spans="1:7" x14ac:dyDescent="0.35">
      <c r="A909">
        <v>354</v>
      </c>
      <c r="B909" s="1">
        <v>45390</v>
      </c>
      <c r="C909" t="s">
        <v>25</v>
      </c>
      <c r="D909" s="2">
        <v>335.75</v>
      </c>
      <c r="E909" s="2">
        <v>0</v>
      </c>
      <c r="F909" t="s">
        <v>27</v>
      </c>
      <c r="G909" t="s">
        <v>9</v>
      </c>
    </row>
    <row r="910" spans="1:7" x14ac:dyDescent="0.35">
      <c r="A910">
        <v>354</v>
      </c>
      <c r="B910" s="1">
        <v>45390</v>
      </c>
      <c r="C910" t="s">
        <v>25</v>
      </c>
      <c r="D910" s="2">
        <v>0</v>
      </c>
      <c r="E910" s="2">
        <v>4812.46</v>
      </c>
      <c r="F910" t="s">
        <v>28</v>
      </c>
      <c r="G910" t="s">
        <v>17</v>
      </c>
    </row>
    <row r="911" spans="1:7" x14ac:dyDescent="0.35">
      <c r="A911">
        <v>355</v>
      </c>
      <c r="B911" s="1">
        <v>45391</v>
      </c>
      <c r="C911" t="s">
        <v>24</v>
      </c>
      <c r="D911" s="2">
        <v>494.08</v>
      </c>
      <c r="E911" s="2">
        <v>0</v>
      </c>
      <c r="F911" t="s">
        <v>8</v>
      </c>
      <c r="G911" t="s">
        <v>9</v>
      </c>
    </row>
    <row r="912" spans="1:7" x14ac:dyDescent="0.35">
      <c r="A912">
        <v>355</v>
      </c>
      <c r="B912" s="1">
        <v>45391</v>
      </c>
      <c r="C912" t="s">
        <v>24</v>
      </c>
      <c r="D912" s="2">
        <v>0</v>
      </c>
      <c r="E912" s="2">
        <v>494.08</v>
      </c>
      <c r="F912" t="s">
        <v>13</v>
      </c>
      <c r="G912" t="s">
        <v>9</v>
      </c>
    </row>
    <row r="913" spans="1:7" x14ac:dyDescent="0.35">
      <c r="A913">
        <v>356</v>
      </c>
      <c r="B913" s="1">
        <v>45391</v>
      </c>
      <c r="C913" t="s">
        <v>24</v>
      </c>
      <c r="D913" s="2">
        <v>956.6</v>
      </c>
      <c r="E913" s="2">
        <v>0</v>
      </c>
      <c r="F913" t="s">
        <v>8</v>
      </c>
      <c r="G913" t="s">
        <v>9</v>
      </c>
    </row>
    <row r="914" spans="1:7" x14ac:dyDescent="0.35">
      <c r="A914">
        <v>356</v>
      </c>
      <c r="B914" s="1">
        <v>45391</v>
      </c>
      <c r="C914" t="s">
        <v>24</v>
      </c>
      <c r="D914" s="2">
        <v>0</v>
      </c>
      <c r="E914" s="2">
        <v>956.6</v>
      </c>
      <c r="F914" t="s">
        <v>13</v>
      </c>
      <c r="G914" t="s">
        <v>9</v>
      </c>
    </row>
    <row r="915" spans="1:7" x14ac:dyDescent="0.35">
      <c r="A915">
        <v>357</v>
      </c>
      <c r="B915" s="1">
        <v>45391</v>
      </c>
      <c r="C915" t="s">
        <v>25</v>
      </c>
      <c r="D915" s="2">
        <v>1078.92</v>
      </c>
      <c r="E915" s="2">
        <v>0</v>
      </c>
      <c r="F915" t="s">
        <v>26</v>
      </c>
      <c r="G915" t="s">
        <v>20</v>
      </c>
    </row>
    <row r="916" spans="1:7" x14ac:dyDescent="0.35">
      <c r="A916">
        <v>357</v>
      </c>
      <c r="B916" s="1">
        <v>45391</v>
      </c>
      <c r="C916" t="s">
        <v>25</v>
      </c>
      <c r="D916" s="2">
        <v>80.92</v>
      </c>
      <c r="E916" s="2">
        <v>0</v>
      </c>
      <c r="F916" t="s">
        <v>27</v>
      </c>
      <c r="G916" t="s">
        <v>9</v>
      </c>
    </row>
    <row r="917" spans="1:7" x14ac:dyDescent="0.35">
      <c r="A917">
        <v>357</v>
      </c>
      <c r="B917" s="1">
        <v>45391</v>
      </c>
      <c r="C917" t="s">
        <v>25</v>
      </c>
      <c r="D917" s="2">
        <v>0</v>
      </c>
      <c r="E917" s="2">
        <v>1159.8399999999999</v>
      </c>
      <c r="F917" t="s">
        <v>28</v>
      </c>
      <c r="G917" t="s">
        <v>17</v>
      </c>
    </row>
    <row r="918" spans="1:7" x14ac:dyDescent="0.35">
      <c r="A918">
        <v>358</v>
      </c>
      <c r="B918" s="1">
        <v>45391</v>
      </c>
      <c r="C918" t="s">
        <v>29</v>
      </c>
      <c r="D918" s="2">
        <v>2182.41</v>
      </c>
      <c r="E918" s="2">
        <v>0</v>
      </c>
      <c r="F918" t="s">
        <v>28</v>
      </c>
      <c r="G918" t="s">
        <v>17</v>
      </c>
    </row>
    <row r="919" spans="1:7" x14ac:dyDescent="0.35">
      <c r="A919">
        <v>358</v>
      </c>
      <c r="B919" s="1">
        <v>45391</v>
      </c>
      <c r="C919" t="s">
        <v>29</v>
      </c>
      <c r="D919" s="2">
        <v>0</v>
      </c>
      <c r="E919" s="2">
        <v>2182.41</v>
      </c>
      <c r="F919" t="s">
        <v>8</v>
      </c>
      <c r="G919" t="s">
        <v>9</v>
      </c>
    </row>
    <row r="920" spans="1:7" x14ac:dyDescent="0.35">
      <c r="A920">
        <v>359</v>
      </c>
      <c r="B920" s="1">
        <v>45392</v>
      </c>
      <c r="C920" t="s">
        <v>12</v>
      </c>
      <c r="D920" s="2">
        <v>2078.48</v>
      </c>
      <c r="E920" s="2">
        <v>0</v>
      </c>
      <c r="F920" t="s">
        <v>13</v>
      </c>
      <c r="G920" t="s">
        <v>9</v>
      </c>
    </row>
    <row r="921" spans="1:7" x14ac:dyDescent="0.35">
      <c r="A921">
        <v>359</v>
      </c>
      <c r="B921" s="1">
        <v>45392</v>
      </c>
      <c r="C921" t="s">
        <v>12</v>
      </c>
      <c r="D921" s="2">
        <v>0</v>
      </c>
      <c r="E921" s="2">
        <v>1933.47</v>
      </c>
      <c r="F921" t="s">
        <v>14</v>
      </c>
      <c r="G921" t="s">
        <v>15</v>
      </c>
    </row>
    <row r="922" spans="1:7" x14ac:dyDescent="0.35">
      <c r="A922">
        <v>359</v>
      </c>
      <c r="B922" s="1">
        <v>45392</v>
      </c>
      <c r="C922" t="s">
        <v>12</v>
      </c>
      <c r="D922" s="2">
        <v>0</v>
      </c>
      <c r="E922" s="2">
        <v>145.01</v>
      </c>
      <c r="F922" t="s">
        <v>16</v>
      </c>
      <c r="G922" t="s">
        <v>17</v>
      </c>
    </row>
    <row r="923" spans="1:7" x14ac:dyDescent="0.35">
      <c r="A923">
        <v>360</v>
      </c>
      <c r="B923" s="1">
        <v>45392</v>
      </c>
      <c r="C923" t="s">
        <v>24</v>
      </c>
      <c r="D923" s="2">
        <v>495.26</v>
      </c>
      <c r="E923" s="2">
        <v>0</v>
      </c>
      <c r="F923" t="s">
        <v>8</v>
      </c>
      <c r="G923" t="s">
        <v>9</v>
      </c>
    </row>
    <row r="924" spans="1:7" x14ac:dyDescent="0.35">
      <c r="A924">
        <v>360</v>
      </c>
      <c r="B924" s="1">
        <v>45392</v>
      </c>
      <c r="C924" t="s">
        <v>24</v>
      </c>
      <c r="D924" s="2">
        <v>0</v>
      </c>
      <c r="E924" s="2">
        <v>495.26</v>
      </c>
      <c r="F924" t="s">
        <v>13</v>
      </c>
      <c r="G924" t="s">
        <v>9</v>
      </c>
    </row>
    <row r="925" spans="1:7" x14ac:dyDescent="0.35">
      <c r="A925">
        <v>361</v>
      </c>
      <c r="B925" s="1">
        <v>45392</v>
      </c>
      <c r="C925" t="s">
        <v>25</v>
      </c>
      <c r="D925" s="2">
        <v>1668.94</v>
      </c>
      <c r="E925" s="2">
        <v>0</v>
      </c>
      <c r="F925" t="s">
        <v>26</v>
      </c>
      <c r="G925" t="s">
        <v>20</v>
      </c>
    </row>
    <row r="926" spans="1:7" x14ac:dyDescent="0.35">
      <c r="A926">
        <v>361</v>
      </c>
      <c r="B926" s="1">
        <v>45392</v>
      </c>
      <c r="C926" t="s">
        <v>25</v>
      </c>
      <c r="D926" s="2">
        <v>125.17</v>
      </c>
      <c r="E926" s="2">
        <v>0</v>
      </c>
      <c r="F926" t="s">
        <v>27</v>
      </c>
      <c r="G926" t="s">
        <v>9</v>
      </c>
    </row>
    <row r="927" spans="1:7" x14ac:dyDescent="0.35">
      <c r="A927">
        <v>361</v>
      </c>
      <c r="B927" s="1">
        <v>45392</v>
      </c>
      <c r="C927" t="s">
        <v>25</v>
      </c>
      <c r="D927" s="2">
        <v>0</v>
      </c>
      <c r="E927" s="2">
        <v>1794.11</v>
      </c>
      <c r="F927" t="s">
        <v>28</v>
      </c>
      <c r="G927" t="s">
        <v>17</v>
      </c>
    </row>
    <row r="928" spans="1:7" x14ac:dyDescent="0.35">
      <c r="A928">
        <v>362</v>
      </c>
      <c r="B928" s="1">
        <v>45392</v>
      </c>
      <c r="C928" t="s">
        <v>29</v>
      </c>
      <c r="D928" s="2">
        <v>412.54</v>
      </c>
      <c r="E928" s="2">
        <v>0</v>
      </c>
      <c r="F928" t="s">
        <v>28</v>
      </c>
      <c r="G928" t="s">
        <v>17</v>
      </c>
    </row>
    <row r="929" spans="1:7" x14ac:dyDescent="0.35">
      <c r="A929">
        <v>362</v>
      </c>
      <c r="B929" s="1">
        <v>45392</v>
      </c>
      <c r="C929" t="s">
        <v>29</v>
      </c>
      <c r="D929" s="2">
        <v>0</v>
      </c>
      <c r="E929" s="2">
        <v>412.54</v>
      </c>
      <c r="F929" t="s">
        <v>8</v>
      </c>
      <c r="G929" t="s">
        <v>9</v>
      </c>
    </row>
    <row r="930" spans="1:7" x14ac:dyDescent="0.35">
      <c r="A930">
        <v>363</v>
      </c>
      <c r="B930" s="1">
        <v>45393</v>
      </c>
      <c r="C930" t="s">
        <v>18</v>
      </c>
      <c r="D930" s="2">
        <v>21534.799999999999</v>
      </c>
      <c r="E930" s="2">
        <v>0</v>
      </c>
      <c r="F930" t="s">
        <v>19</v>
      </c>
      <c r="G930" t="s">
        <v>20</v>
      </c>
    </row>
    <row r="931" spans="1:7" x14ac:dyDescent="0.35">
      <c r="A931">
        <v>363</v>
      </c>
      <c r="B931" s="1">
        <v>45393</v>
      </c>
      <c r="C931" t="s">
        <v>18</v>
      </c>
      <c r="D931" s="2">
        <v>861.41</v>
      </c>
      <c r="E931" s="2">
        <v>0</v>
      </c>
      <c r="F931" t="s">
        <v>21</v>
      </c>
      <c r="G931" t="s">
        <v>20</v>
      </c>
    </row>
    <row r="932" spans="1:7" x14ac:dyDescent="0.35">
      <c r="A932">
        <v>363</v>
      </c>
      <c r="B932" s="1">
        <v>45393</v>
      </c>
      <c r="C932" t="s">
        <v>18</v>
      </c>
      <c r="D932" s="2">
        <v>0</v>
      </c>
      <c r="E932" s="2">
        <v>17664.150000000001</v>
      </c>
      <c r="F932" t="s">
        <v>8</v>
      </c>
      <c r="G932" t="s">
        <v>9</v>
      </c>
    </row>
    <row r="933" spans="1:7" x14ac:dyDescent="0.35">
      <c r="A933">
        <v>363</v>
      </c>
      <c r="B933" s="1">
        <v>45393</v>
      </c>
      <c r="C933" t="s">
        <v>18</v>
      </c>
      <c r="D933" s="2">
        <v>0</v>
      </c>
      <c r="E933" s="2">
        <v>3870.65</v>
      </c>
      <c r="F933" t="s">
        <v>22</v>
      </c>
      <c r="G933" t="s">
        <v>17</v>
      </c>
    </row>
    <row r="934" spans="1:7" x14ac:dyDescent="0.35">
      <c r="A934">
        <v>363</v>
      </c>
      <c r="B934" s="1">
        <v>45393</v>
      </c>
      <c r="C934" t="s">
        <v>18</v>
      </c>
      <c r="D934" s="2">
        <v>0</v>
      </c>
      <c r="E934" s="2">
        <v>861.41</v>
      </c>
      <c r="F934" t="s">
        <v>23</v>
      </c>
      <c r="G934" t="s">
        <v>17</v>
      </c>
    </row>
    <row r="935" spans="1:7" x14ac:dyDescent="0.35">
      <c r="A935">
        <v>364</v>
      </c>
      <c r="B935" s="1">
        <v>45393</v>
      </c>
      <c r="C935" t="s">
        <v>12</v>
      </c>
      <c r="D935" s="2">
        <v>3480.05</v>
      </c>
      <c r="E935" s="2">
        <v>0</v>
      </c>
      <c r="F935" t="s">
        <v>13</v>
      </c>
      <c r="G935" t="s">
        <v>9</v>
      </c>
    </row>
    <row r="936" spans="1:7" x14ac:dyDescent="0.35">
      <c r="A936">
        <v>364</v>
      </c>
      <c r="B936" s="1">
        <v>45393</v>
      </c>
      <c r="C936" t="s">
        <v>12</v>
      </c>
      <c r="D936" s="2">
        <v>0</v>
      </c>
      <c r="E936" s="2">
        <v>3237.26</v>
      </c>
      <c r="F936" t="s">
        <v>14</v>
      </c>
      <c r="G936" t="s">
        <v>15</v>
      </c>
    </row>
    <row r="937" spans="1:7" x14ac:dyDescent="0.35">
      <c r="A937">
        <v>364</v>
      </c>
      <c r="B937" s="1">
        <v>45393</v>
      </c>
      <c r="C937" t="s">
        <v>12</v>
      </c>
      <c r="D937" s="2">
        <v>0</v>
      </c>
      <c r="E937" s="2">
        <v>242.79</v>
      </c>
      <c r="F937" t="s">
        <v>16</v>
      </c>
      <c r="G937" t="s">
        <v>17</v>
      </c>
    </row>
    <row r="938" spans="1:7" x14ac:dyDescent="0.35">
      <c r="A938">
        <v>365</v>
      </c>
      <c r="B938" s="1">
        <v>45393</v>
      </c>
      <c r="C938" t="s">
        <v>24</v>
      </c>
      <c r="D938" s="2">
        <v>2080.1799999999998</v>
      </c>
      <c r="E938" s="2">
        <v>0</v>
      </c>
      <c r="F938" t="s">
        <v>8</v>
      </c>
      <c r="G938" t="s">
        <v>9</v>
      </c>
    </row>
    <row r="939" spans="1:7" x14ac:dyDescent="0.35">
      <c r="A939">
        <v>365</v>
      </c>
      <c r="B939" s="1">
        <v>45393</v>
      </c>
      <c r="C939" t="s">
        <v>24</v>
      </c>
      <c r="D939" s="2">
        <v>0</v>
      </c>
      <c r="E939" s="2">
        <v>2080.1799999999998</v>
      </c>
      <c r="F939" t="s">
        <v>13</v>
      </c>
      <c r="G939" t="s">
        <v>9</v>
      </c>
    </row>
    <row r="940" spans="1:7" x14ac:dyDescent="0.35">
      <c r="A940">
        <v>366</v>
      </c>
      <c r="B940" s="1">
        <v>45393</v>
      </c>
      <c r="C940" t="s">
        <v>24</v>
      </c>
      <c r="D940" s="2">
        <v>906.48</v>
      </c>
      <c r="E940" s="2">
        <v>0</v>
      </c>
      <c r="F940" t="s">
        <v>8</v>
      </c>
      <c r="G940" t="s">
        <v>9</v>
      </c>
    </row>
    <row r="941" spans="1:7" x14ac:dyDescent="0.35">
      <c r="A941">
        <v>366</v>
      </c>
      <c r="B941" s="1">
        <v>45393</v>
      </c>
      <c r="C941" t="s">
        <v>24</v>
      </c>
      <c r="D941" s="2">
        <v>0</v>
      </c>
      <c r="E941" s="2">
        <v>906.48</v>
      </c>
      <c r="F941" t="s">
        <v>13</v>
      </c>
      <c r="G941" t="s">
        <v>9</v>
      </c>
    </row>
    <row r="942" spans="1:7" x14ac:dyDescent="0.35">
      <c r="A942">
        <v>367</v>
      </c>
      <c r="B942" s="1">
        <v>45393</v>
      </c>
      <c r="C942" t="s">
        <v>24</v>
      </c>
      <c r="D942" s="2">
        <v>3480.05</v>
      </c>
      <c r="E942" s="2">
        <v>0</v>
      </c>
      <c r="F942" t="s">
        <v>8</v>
      </c>
      <c r="G942" t="s">
        <v>9</v>
      </c>
    </row>
    <row r="943" spans="1:7" x14ac:dyDescent="0.35">
      <c r="A943">
        <v>367</v>
      </c>
      <c r="B943" s="1">
        <v>45393</v>
      </c>
      <c r="C943" t="s">
        <v>24</v>
      </c>
      <c r="D943" s="2">
        <v>0</v>
      </c>
      <c r="E943" s="2">
        <v>3480.05</v>
      </c>
      <c r="F943" t="s">
        <v>13</v>
      </c>
      <c r="G943" t="s">
        <v>9</v>
      </c>
    </row>
    <row r="944" spans="1:7" x14ac:dyDescent="0.35">
      <c r="A944">
        <v>368</v>
      </c>
      <c r="B944" s="1">
        <v>45393</v>
      </c>
      <c r="C944" t="s">
        <v>29</v>
      </c>
      <c r="D944" s="2">
        <v>201.5</v>
      </c>
      <c r="E944" s="2">
        <v>0</v>
      </c>
      <c r="F944" t="s">
        <v>28</v>
      </c>
      <c r="G944" t="s">
        <v>17</v>
      </c>
    </row>
    <row r="945" spans="1:7" x14ac:dyDescent="0.35">
      <c r="A945">
        <v>368</v>
      </c>
      <c r="B945" s="1">
        <v>45393</v>
      </c>
      <c r="C945" t="s">
        <v>29</v>
      </c>
      <c r="D945" s="2">
        <v>0</v>
      </c>
      <c r="E945" s="2">
        <v>201.5</v>
      </c>
      <c r="F945" t="s">
        <v>8</v>
      </c>
      <c r="G945" t="s">
        <v>9</v>
      </c>
    </row>
    <row r="946" spans="1:7" x14ac:dyDescent="0.35">
      <c r="A946">
        <v>369</v>
      </c>
      <c r="B946" s="1">
        <v>45394</v>
      </c>
      <c r="C946" t="s">
        <v>12</v>
      </c>
      <c r="D946" s="2">
        <v>3495.93</v>
      </c>
      <c r="E946" s="2">
        <v>0</v>
      </c>
      <c r="F946" t="s">
        <v>13</v>
      </c>
      <c r="G946" t="s">
        <v>9</v>
      </c>
    </row>
    <row r="947" spans="1:7" x14ac:dyDescent="0.35">
      <c r="A947">
        <v>369</v>
      </c>
      <c r="B947" s="1">
        <v>45394</v>
      </c>
      <c r="C947" t="s">
        <v>12</v>
      </c>
      <c r="D947" s="2">
        <v>0</v>
      </c>
      <c r="E947" s="2">
        <v>3252.02</v>
      </c>
      <c r="F947" t="s">
        <v>14</v>
      </c>
      <c r="G947" t="s">
        <v>15</v>
      </c>
    </row>
    <row r="948" spans="1:7" x14ac:dyDescent="0.35">
      <c r="A948">
        <v>369</v>
      </c>
      <c r="B948" s="1">
        <v>45394</v>
      </c>
      <c r="C948" t="s">
        <v>12</v>
      </c>
      <c r="D948" s="2">
        <v>0</v>
      </c>
      <c r="E948" s="2">
        <v>243.91</v>
      </c>
      <c r="F948" t="s">
        <v>16</v>
      </c>
      <c r="G948" t="s">
        <v>17</v>
      </c>
    </row>
    <row r="949" spans="1:7" x14ac:dyDescent="0.35">
      <c r="A949">
        <v>370</v>
      </c>
      <c r="B949" s="1">
        <v>45394</v>
      </c>
      <c r="C949" t="s">
        <v>12</v>
      </c>
      <c r="D949" s="2">
        <v>253.54</v>
      </c>
      <c r="E949" s="2">
        <v>0</v>
      </c>
      <c r="F949" t="s">
        <v>13</v>
      </c>
      <c r="G949" t="s">
        <v>9</v>
      </c>
    </row>
    <row r="950" spans="1:7" x14ac:dyDescent="0.35">
      <c r="A950">
        <v>370</v>
      </c>
      <c r="B950" s="1">
        <v>45394</v>
      </c>
      <c r="C950" t="s">
        <v>12</v>
      </c>
      <c r="D950" s="2">
        <v>0</v>
      </c>
      <c r="E950" s="2">
        <v>235.85</v>
      </c>
      <c r="F950" t="s">
        <v>14</v>
      </c>
      <c r="G950" t="s">
        <v>15</v>
      </c>
    </row>
    <row r="951" spans="1:7" x14ac:dyDescent="0.35">
      <c r="A951">
        <v>370</v>
      </c>
      <c r="B951" s="1">
        <v>45394</v>
      </c>
      <c r="C951" t="s">
        <v>12</v>
      </c>
      <c r="D951" s="2">
        <v>0</v>
      </c>
      <c r="E951" s="2">
        <v>17.690000000000001</v>
      </c>
      <c r="F951" t="s">
        <v>16</v>
      </c>
      <c r="G951" t="s">
        <v>17</v>
      </c>
    </row>
    <row r="952" spans="1:7" x14ac:dyDescent="0.35">
      <c r="A952">
        <v>371</v>
      </c>
      <c r="B952" s="1">
        <v>45397</v>
      </c>
      <c r="C952" t="s">
        <v>12</v>
      </c>
      <c r="D952" s="2">
        <v>480.59</v>
      </c>
      <c r="E952" s="2">
        <v>0</v>
      </c>
      <c r="F952" t="s">
        <v>13</v>
      </c>
      <c r="G952" t="s">
        <v>9</v>
      </c>
    </row>
    <row r="953" spans="1:7" x14ac:dyDescent="0.35">
      <c r="A953">
        <v>371</v>
      </c>
      <c r="B953" s="1">
        <v>45397</v>
      </c>
      <c r="C953" t="s">
        <v>12</v>
      </c>
      <c r="D953" s="2">
        <v>0</v>
      </c>
      <c r="E953" s="2">
        <v>447.06</v>
      </c>
      <c r="F953" t="s">
        <v>14</v>
      </c>
      <c r="G953" t="s">
        <v>15</v>
      </c>
    </row>
    <row r="954" spans="1:7" x14ac:dyDescent="0.35">
      <c r="A954">
        <v>371</v>
      </c>
      <c r="B954" s="1">
        <v>45397</v>
      </c>
      <c r="C954" t="s">
        <v>12</v>
      </c>
      <c r="D954" s="2">
        <v>0</v>
      </c>
      <c r="E954" s="2">
        <v>33.53</v>
      </c>
      <c r="F954" t="s">
        <v>16</v>
      </c>
      <c r="G954" t="s">
        <v>17</v>
      </c>
    </row>
    <row r="955" spans="1:7" x14ac:dyDescent="0.35">
      <c r="A955">
        <v>372</v>
      </c>
      <c r="B955" s="1">
        <v>45397</v>
      </c>
      <c r="C955" t="s">
        <v>25</v>
      </c>
      <c r="D955" s="2">
        <v>952.02</v>
      </c>
      <c r="E955" s="2">
        <v>0</v>
      </c>
      <c r="F955" t="s">
        <v>26</v>
      </c>
      <c r="G955" t="s">
        <v>20</v>
      </c>
    </row>
    <row r="956" spans="1:7" x14ac:dyDescent="0.35">
      <c r="A956">
        <v>372</v>
      </c>
      <c r="B956" s="1">
        <v>45397</v>
      </c>
      <c r="C956" t="s">
        <v>25</v>
      </c>
      <c r="D956" s="2">
        <v>71.400000000000006</v>
      </c>
      <c r="E956" s="2">
        <v>0</v>
      </c>
      <c r="F956" t="s">
        <v>27</v>
      </c>
      <c r="G956" t="s">
        <v>9</v>
      </c>
    </row>
    <row r="957" spans="1:7" x14ac:dyDescent="0.35">
      <c r="A957">
        <v>372</v>
      </c>
      <c r="B957" s="1">
        <v>45397</v>
      </c>
      <c r="C957" t="s">
        <v>25</v>
      </c>
      <c r="D957" s="2">
        <v>0</v>
      </c>
      <c r="E957" s="2">
        <v>1023.42</v>
      </c>
      <c r="F957" t="s">
        <v>28</v>
      </c>
      <c r="G957" t="s">
        <v>17</v>
      </c>
    </row>
    <row r="958" spans="1:7" x14ac:dyDescent="0.35">
      <c r="A958">
        <v>373</v>
      </c>
      <c r="B958" s="1">
        <v>45397</v>
      </c>
      <c r="C958" t="s">
        <v>25</v>
      </c>
      <c r="D958" s="2">
        <v>166.52</v>
      </c>
      <c r="E958" s="2">
        <v>0</v>
      </c>
      <c r="F958" t="s">
        <v>26</v>
      </c>
      <c r="G958" t="s">
        <v>20</v>
      </c>
    </row>
    <row r="959" spans="1:7" x14ac:dyDescent="0.35">
      <c r="A959">
        <v>373</v>
      </c>
      <c r="B959" s="1">
        <v>45397</v>
      </c>
      <c r="C959" t="s">
        <v>25</v>
      </c>
      <c r="D959" s="2">
        <v>12.49</v>
      </c>
      <c r="E959" s="2">
        <v>0</v>
      </c>
      <c r="F959" t="s">
        <v>27</v>
      </c>
      <c r="G959" t="s">
        <v>9</v>
      </c>
    </row>
    <row r="960" spans="1:7" x14ac:dyDescent="0.35">
      <c r="A960">
        <v>373</v>
      </c>
      <c r="B960" s="1">
        <v>45397</v>
      </c>
      <c r="C960" t="s">
        <v>25</v>
      </c>
      <c r="D960" s="2">
        <v>0</v>
      </c>
      <c r="E960" s="2">
        <v>179.01</v>
      </c>
      <c r="F960" t="s">
        <v>28</v>
      </c>
      <c r="G960" t="s">
        <v>17</v>
      </c>
    </row>
    <row r="961" spans="1:7" x14ac:dyDescent="0.35">
      <c r="A961">
        <v>374</v>
      </c>
      <c r="B961" s="1">
        <v>45397</v>
      </c>
      <c r="C961" t="s">
        <v>25</v>
      </c>
      <c r="D961" s="2">
        <v>696.06</v>
      </c>
      <c r="E961" s="2">
        <v>0</v>
      </c>
      <c r="F961" t="s">
        <v>26</v>
      </c>
      <c r="G961" t="s">
        <v>20</v>
      </c>
    </row>
    <row r="962" spans="1:7" x14ac:dyDescent="0.35">
      <c r="A962">
        <v>374</v>
      </c>
      <c r="B962" s="1">
        <v>45397</v>
      </c>
      <c r="C962" t="s">
        <v>25</v>
      </c>
      <c r="D962" s="2">
        <v>52.2</v>
      </c>
      <c r="E962" s="2">
        <v>0</v>
      </c>
      <c r="F962" t="s">
        <v>27</v>
      </c>
      <c r="G962" t="s">
        <v>9</v>
      </c>
    </row>
    <row r="963" spans="1:7" x14ac:dyDescent="0.35">
      <c r="A963">
        <v>374</v>
      </c>
      <c r="B963" s="1">
        <v>45397</v>
      </c>
      <c r="C963" t="s">
        <v>25</v>
      </c>
      <c r="D963" s="2">
        <v>0</v>
      </c>
      <c r="E963" s="2">
        <v>748.26</v>
      </c>
      <c r="F963" t="s">
        <v>28</v>
      </c>
      <c r="G963" t="s">
        <v>17</v>
      </c>
    </row>
    <row r="964" spans="1:7" x14ac:dyDescent="0.35">
      <c r="A964">
        <v>375</v>
      </c>
      <c r="B964" s="1">
        <v>45397</v>
      </c>
      <c r="C964" t="s">
        <v>29</v>
      </c>
      <c r="D964" s="2">
        <v>1159.8399999999999</v>
      </c>
      <c r="E964" s="2">
        <v>0</v>
      </c>
      <c r="F964" t="s">
        <v>28</v>
      </c>
      <c r="G964" t="s">
        <v>17</v>
      </c>
    </row>
    <row r="965" spans="1:7" x14ac:dyDescent="0.35">
      <c r="A965">
        <v>375</v>
      </c>
      <c r="B965" s="1">
        <v>45397</v>
      </c>
      <c r="C965" t="s">
        <v>29</v>
      </c>
      <c r="D965" s="2">
        <v>0</v>
      </c>
      <c r="E965" s="2">
        <v>1159.8399999999999</v>
      </c>
      <c r="F965" t="s">
        <v>8</v>
      </c>
      <c r="G965" t="s">
        <v>9</v>
      </c>
    </row>
    <row r="966" spans="1:7" x14ac:dyDescent="0.35">
      <c r="A966">
        <v>376</v>
      </c>
      <c r="B966" s="1">
        <v>45398</v>
      </c>
      <c r="C966" t="s">
        <v>12</v>
      </c>
      <c r="D966" s="2">
        <v>2792.85</v>
      </c>
      <c r="E966" s="2">
        <v>0</v>
      </c>
      <c r="F966" t="s">
        <v>13</v>
      </c>
      <c r="G966" t="s">
        <v>9</v>
      </c>
    </row>
    <row r="967" spans="1:7" x14ac:dyDescent="0.35">
      <c r="A967">
        <v>376</v>
      </c>
      <c r="B967" s="1">
        <v>45398</v>
      </c>
      <c r="C967" t="s">
        <v>12</v>
      </c>
      <c r="D967" s="2">
        <v>0</v>
      </c>
      <c r="E967" s="2">
        <v>2597.9899999999998</v>
      </c>
      <c r="F967" t="s">
        <v>14</v>
      </c>
      <c r="G967" t="s">
        <v>15</v>
      </c>
    </row>
    <row r="968" spans="1:7" x14ac:dyDescent="0.35">
      <c r="A968">
        <v>376</v>
      </c>
      <c r="B968" s="1">
        <v>45398</v>
      </c>
      <c r="C968" t="s">
        <v>12</v>
      </c>
      <c r="D968" s="2">
        <v>0</v>
      </c>
      <c r="E968" s="2">
        <v>194.86</v>
      </c>
      <c r="F968" t="s">
        <v>16</v>
      </c>
      <c r="G968" t="s">
        <v>17</v>
      </c>
    </row>
    <row r="969" spans="1:7" x14ac:dyDescent="0.35">
      <c r="A969">
        <v>377</v>
      </c>
      <c r="B969" s="1">
        <v>45398</v>
      </c>
      <c r="C969" t="s">
        <v>12</v>
      </c>
      <c r="D969" s="2">
        <v>357.29</v>
      </c>
      <c r="E969" s="2">
        <v>0</v>
      </c>
      <c r="F969" t="s">
        <v>13</v>
      </c>
      <c r="G969" t="s">
        <v>9</v>
      </c>
    </row>
    <row r="970" spans="1:7" x14ac:dyDescent="0.35">
      <c r="A970">
        <v>377</v>
      </c>
      <c r="B970" s="1">
        <v>45398</v>
      </c>
      <c r="C970" t="s">
        <v>12</v>
      </c>
      <c r="D970" s="2">
        <v>0</v>
      </c>
      <c r="E970" s="2">
        <v>332.36</v>
      </c>
      <c r="F970" t="s">
        <v>14</v>
      </c>
      <c r="G970" t="s">
        <v>15</v>
      </c>
    </row>
    <row r="971" spans="1:7" x14ac:dyDescent="0.35">
      <c r="A971">
        <v>377</v>
      </c>
      <c r="B971" s="1">
        <v>45398</v>
      </c>
      <c r="C971" t="s">
        <v>12</v>
      </c>
      <c r="D971" s="2">
        <v>0</v>
      </c>
      <c r="E971" s="2">
        <v>24.93</v>
      </c>
      <c r="F971" t="s">
        <v>16</v>
      </c>
      <c r="G971" t="s">
        <v>17</v>
      </c>
    </row>
    <row r="972" spans="1:7" x14ac:dyDescent="0.35">
      <c r="A972">
        <v>378</v>
      </c>
      <c r="B972" s="1">
        <v>45398</v>
      </c>
      <c r="C972" t="s">
        <v>12</v>
      </c>
      <c r="D972" s="2">
        <v>3363.34</v>
      </c>
      <c r="E972" s="2">
        <v>0</v>
      </c>
      <c r="F972" t="s">
        <v>13</v>
      </c>
      <c r="G972" t="s">
        <v>9</v>
      </c>
    </row>
    <row r="973" spans="1:7" x14ac:dyDescent="0.35">
      <c r="A973">
        <v>378</v>
      </c>
      <c r="B973" s="1">
        <v>45398</v>
      </c>
      <c r="C973" t="s">
        <v>12</v>
      </c>
      <c r="D973" s="2">
        <v>0</v>
      </c>
      <c r="E973" s="2">
        <v>3128.68</v>
      </c>
      <c r="F973" t="s">
        <v>14</v>
      </c>
      <c r="G973" t="s">
        <v>15</v>
      </c>
    </row>
    <row r="974" spans="1:7" x14ac:dyDescent="0.35">
      <c r="A974">
        <v>378</v>
      </c>
      <c r="B974" s="1">
        <v>45398</v>
      </c>
      <c r="C974" t="s">
        <v>12</v>
      </c>
      <c r="D974" s="2">
        <v>0</v>
      </c>
      <c r="E974" s="2">
        <v>234.66</v>
      </c>
      <c r="F974" t="s">
        <v>16</v>
      </c>
      <c r="G974" t="s">
        <v>17</v>
      </c>
    </row>
    <row r="975" spans="1:7" x14ac:dyDescent="0.35">
      <c r="A975">
        <v>379</v>
      </c>
      <c r="B975" s="1">
        <v>45398</v>
      </c>
      <c r="C975" t="s">
        <v>24</v>
      </c>
      <c r="D975" s="2">
        <v>5223.57</v>
      </c>
      <c r="E975" s="2">
        <v>0</v>
      </c>
      <c r="F975" t="s">
        <v>8</v>
      </c>
      <c r="G975" t="s">
        <v>9</v>
      </c>
    </row>
    <row r="976" spans="1:7" x14ac:dyDescent="0.35">
      <c r="A976">
        <v>379</v>
      </c>
      <c r="B976" s="1">
        <v>45398</v>
      </c>
      <c r="C976" t="s">
        <v>24</v>
      </c>
      <c r="D976" s="2">
        <v>0</v>
      </c>
      <c r="E976" s="2">
        <v>5223.57</v>
      </c>
      <c r="F976" t="s">
        <v>13</v>
      </c>
      <c r="G976" t="s">
        <v>9</v>
      </c>
    </row>
    <row r="977" spans="1:7" x14ac:dyDescent="0.35">
      <c r="A977">
        <v>380</v>
      </c>
      <c r="B977" s="1">
        <v>45398</v>
      </c>
      <c r="C977" t="s">
        <v>24</v>
      </c>
      <c r="D977" s="2">
        <v>5132.88</v>
      </c>
      <c r="E977" s="2">
        <v>0</v>
      </c>
      <c r="F977" t="s">
        <v>8</v>
      </c>
      <c r="G977" t="s">
        <v>9</v>
      </c>
    </row>
    <row r="978" spans="1:7" x14ac:dyDescent="0.35">
      <c r="A978">
        <v>380</v>
      </c>
      <c r="B978" s="1">
        <v>45398</v>
      </c>
      <c r="C978" t="s">
        <v>24</v>
      </c>
      <c r="D978" s="2">
        <v>0</v>
      </c>
      <c r="E978" s="2">
        <v>5132.88</v>
      </c>
      <c r="F978" t="s">
        <v>13</v>
      </c>
      <c r="G978" t="s">
        <v>9</v>
      </c>
    </row>
    <row r="979" spans="1:7" x14ac:dyDescent="0.35">
      <c r="A979">
        <v>381</v>
      </c>
      <c r="B979" s="1">
        <v>45398</v>
      </c>
      <c r="C979" t="s">
        <v>24</v>
      </c>
      <c r="D979" s="2">
        <v>3089.77</v>
      </c>
      <c r="E979" s="2">
        <v>0</v>
      </c>
      <c r="F979" t="s">
        <v>8</v>
      </c>
      <c r="G979" t="s">
        <v>9</v>
      </c>
    </row>
    <row r="980" spans="1:7" x14ac:dyDescent="0.35">
      <c r="A980">
        <v>381</v>
      </c>
      <c r="B980" s="1">
        <v>45398</v>
      </c>
      <c r="C980" t="s">
        <v>24</v>
      </c>
      <c r="D980" s="2">
        <v>0</v>
      </c>
      <c r="E980" s="2">
        <v>3089.77</v>
      </c>
      <c r="F980" t="s">
        <v>13</v>
      </c>
      <c r="G980" t="s">
        <v>9</v>
      </c>
    </row>
    <row r="981" spans="1:7" x14ac:dyDescent="0.35">
      <c r="A981">
        <v>382</v>
      </c>
      <c r="B981" s="1">
        <v>45398</v>
      </c>
      <c r="C981" t="s">
        <v>24</v>
      </c>
      <c r="D981" s="2">
        <v>1568.55</v>
      </c>
      <c r="E981" s="2">
        <v>0</v>
      </c>
      <c r="F981" t="s">
        <v>8</v>
      </c>
      <c r="G981" t="s">
        <v>9</v>
      </c>
    </row>
    <row r="982" spans="1:7" x14ac:dyDescent="0.35">
      <c r="A982">
        <v>382</v>
      </c>
      <c r="B982" s="1">
        <v>45398</v>
      </c>
      <c r="C982" t="s">
        <v>24</v>
      </c>
      <c r="D982" s="2">
        <v>0</v>
      </c>
      <c r="E982" s="2">
        <v>1568.55</v>
      </c>
      <c r="F982" t="s">
        <v>13</v>
      </c>
      <c r="G982" t="s">
        <v>9</v>
      </c>
    </row>
    <row r="983" spans="1:7" x14ac:dyDescent="0.35">
      <c r="A983">
        <v>383</v>
      </c>
      <c r="B983" s="1">
        <v>45398</v>
      </c>
      <c r="C983" t="s">
        <v>24</v>
      </c>
      <c r="D983" s="2">
        <v>440.44</v>
      </c>
      <c r="E983" s="2">
        <v>0</v>
      </c>
      <c r="F983" t="s">
        <v>8</v>
      </c>
      <c r="G983" t="s">
        <v>9</v>
      </c>
    </row>
    <row r="984" spans="1:7" x14ac:dyDescent="0.35">
      <c r="A984">
        <v>383</v>
      </c>
      <c r="B984" s="1">
        <v>45398</v>
      </c>
      <c r="C984" t="s">
        <v>24</v>
      </c>
      <c r="D984" s="2">
        <v>0</v>
      </c>
      <c r="E984" s="2">
        <v>440.44</v>
      </c>
      <c r="F984" t="s">
        <v>13</v>
      </c>
      <c r="G984" t="s">
        <v>9</v>
      </c>
    </row>
    <row r="985" spans="1:7" x14ac:dyDescent="0.35">
      <c r="A985">
        <v>384</v>
      </c>
      <c r="B985" s="1">
        <v>45399</v>
      </c>
      <c r="C985" t="s">
        <v>12</v>
      </c>
      <c r="D985" s="2">
        <v>5248.18</v>
      </c>
      <c r="E985" s="2">
        <v>0</v>
      </c>
      <c r="F985" t="s">
        <v>13</v>
      </c>
      <c r="G985" t="s">
        <v>9</v>
      </c>
    </row>
    <row r="986" spans="1:7" x14ac:dyDescent="0.35">
      <c r="A986">
        <v>384</v>
      </c>
      <c r="B986" s="1">
        <v>45399</v>
      </c>
      <c r="C986" t="s">
        <v>12</v>
      </c>
      <c r="D986" s="2">
        <v>0</v>
      </c>
      <c r="E986" s="2">
        <v>4882.0200000000004</v>
      </c>
      <c r="F986" t="s">
        <v>14</v>
      </c>
      <c r="G986" t="s">
        <v>15</v>
      </c>
    </row>
    <row r="987" spans="1:7" x14ac:dyDescent="0.35">
      <c r="A987">
        <v>384</v>
      </c>
      <c r="B987" s="1">
        <v>45399</v>
      </c>
      <c r="C987" t="s">
        <v>12</v>
      </c>
      <c r="D987" s="2">
        <v>0</v>
      </c>
      <c r="E987" s="2">
        <v>366.16</v>
      </c>
      <c r="F987" t="s">
        <v>16</v>
      </c>
      <c r="G987" t="s">
        <v>17</v>
      </c>
    </row>
    <row r="988" spans="1:7" x14ac:dyDescent="0.35">
      <c r="A988">
        <v>385</v>
      </c>
      <c r="B988" s="1">
        <v>45399</v>
      </c>
      <c r="C988" t="s">
        <v>25</v>
      </c>
      <c r="D988" s="2">
        <v>1947.24</v>
      </c>
      <c r="E988" s="2">
        <v>0</v>
      </c>
      <c r="F988" t="s">
        <v>26</v>
      </c>
      <c r="G988" t="s">
        <v>20</v>
      </c>
    </row>
    <row r="989" spans="1:7" x14ac:dyDescent="0.35">
      <c r="A989">
        <v>385</v>
      </c>
      <c r="B989" s="1">
        <v>45399</v>
      </c>
      <c r="C989" t="s">
        <v>25</v>
      </c>
      <c r="D989" s="2">
        <v>146.04</v>
      </c>
      <c r="E989" s="2">
        <v>0</v>
      </c>
      <c r="F989" t="s">
        <v>27</v>
      </c>
      <c r="G989" t="s">
        <v>9</v>
      </c>
    </row>
    <row r="990" spans="1:7" x14ac:dyDescent="0.35">
      <c r="A990">
        <v>385</v>
      </c>
      <c r="B990" s="1">
        <v>45399</v>
      </c>
      <c r="C990" t="s">
        <v>25</v>
      </c>
      <c r="D990" s="2">
        <v>0</v>
      </c>
      <c r="E990" s="2">
        <v>2093.2800000000002</v>
      </c>
      <c r="F990" t="s">
        <v>28</v>
      </c>
      <c r="G990" t="s">
        <v>17</v>
      </c>
    </row>
    <row r="991" spans="1:7" x14ac:dyDescent="0.35">
      <c r="A991">
        <v>386</v>
      </c>
      <c r="B991" s="1">
        <v>45399</v>
      </c>
      <c r="C991" t="s">
        <v>29</v>
      </c>
      <c r="D991" s="2">
        <v>2093.2800000000002</v>
      </c>
      <c r="E991" s="2">
        <v>0</v>
      </c>
      <c r="F991" t="s">
        <v>28</v>
      </c>
      <c r="G991" t="s">
        <v>17</v>
      </c>
    </row>
    <row r="992" spans="1:7" x14ac:dyDescent="0.35">
      <c r="A992">
        <v>386</v>
      </c>
      <c r="B992" s="1">
        <v>45399</v>
      </c>
      <c r="C992" t="s">
        <v>29</v>
      </c>
      <c r="D992" s="2">
        <v>0</v>
      </c>
      <c r="E992" s="2">
        <v>2093.2800000000002</v>
      </c>
      <c r="F992" t="s">
        <v>8</v>
      </c>
      <c r="G992" t="s">
        <v>9</v>
      </c>
    </row>
    <row r="993" spans="1:7" x14ac:dyDescent="0.35">
      <c r="A993">
        <v>387</v>
      </c>
      <c r="B993" s="1">
        <v>45400</v>
      </c>
      <c r="C993" t="s">
        <v>12</v>
      </c>
      <c r="D993" s="2">
        <v>4595.53</v>
      </c>
      <c r="E993" s="2">
        <v>0</v>
      </c>
      <c r="F993" t="s">
        <v>13</v>
      </c>
      <c r="G993" t="s">
        <v>9</v>
      </c>
    </row>
    <row r="994" spans="1:7" x14ac:dyDescent="0.35">
      <c r="A994">
        <v>387</v>
      </c>
      <c r="B994" s="1">
        <v>45400</v>
      </c>
      <c r="C994" t="s">
        <v>12</v>
      </c>
      <c r="D994" s="2">
        <v>0</v>
      </c>
      <c r="E994" s="2">
        <v>4274.92</v>
      </c>
      <c r="F994" t="s">
        <v>14</v>
      </c>
      <c r="G994" t="s">
        <v>15</v>
      </c>
    </row>
    <row r="995" spans="1:7" x14ac:dyDescent="0.35">
      <c r="A995">
        <v>387</v>
      </c>
      <c r="B995" s="1">
        <v>45400</v>
      </c>
      <c r="C995" t="s">
        <v>12</v>
      </c>
      <c r="D995" s="2">
        <v>0</v>
      </c>
      <c r="E995" s="2">
        <v>320.61</v>
      </c>
      <c r="F995" t="s">
        <v>16</v>
      </c>
      <c r="G995" t="s">
        <v>17</v>
      </c>
    </row>
    <row r="996" spans="1:7" x14ac:dyDescent="0.35">
      <c r="A996">
        <v>388</v>
      </c>
      <c r="B996" s="1">
        <v>45400</v>
      </c>
      <c r="C996" t="s">
        <v>12</v>
      </c>
      <c r="D996" s="2">
        <v>367.71</v>
      </c>
      <c r="E996" s="2">
        <v>0</v>
      </c>
      <c r="F996" t="s">
        <v>13</v>
      </c>
      <c r="G996" t="s">
        <v>9</v>
      </c>
    </row>
    <row r="997" spans="1:7" x14ac:dyDescent="0.35">
      <c r="A997">
        <v>388</v>
      </c>
      <c r="B997" s="1">
        <v>45400</v>
      </c>
      <c r="C997" t="s">
        <v>12</v>
      </c>
      <c r="D997" s="2">
        <v>0</v>
      </c>
      <c r="E997" s="2">
        <v>342.06</v>
      </c>
      <c r="F997" t="s">
        <v>14</v>
      </c>
      <c r="G997" t="s">
        <v>15</v>
      </c>
    </row>
    <row r="998" spans="1:7" x14ac:dyDescent="0.35">
      <c r="A998">
        <v>388</v>
      </c>
      <c r="B998" s="1">
        <v>45400</v>
      </c>
      <c r="C998" t="s">
        <v>12</v>
      </c>
      <c r="D998" s="2">
        <v>0</v>
      </c>
      <c r="E998" s="2">
        <v>25.65</v>
      </c>
      <c r="F998" t="s">
        <v>16</v>
      </c>
      <c r="G998" t="s">
        <v>17</v>
      </c>
    </row>
    <row r="999" spans="1:7" x14ac:dyDescent="0.35">
      <c r="A999">
        <v>389</v>
      </c>
      <c r="B999" s="1">
        <v>45400</v>
      </c>
      <c r="C999" t="s">
        <v>29</v>
      </c>
      <c r="D999" s="2">
        <v>2918.17</v>
      </c>
      <c r="E999" s="2">
        <v>0</v>
      </c>
      <c r="F999" t="s">
        <v>28</v>
      </c>
      <c r="G999" t="s">
        <v>17</v>
      </c>
    </row>
    <row r="1000" spans="1:7" x14ac:dyDescent="0.35">
      <c r="A1000">
        <v>389</v>
      </c>
      <c r="B1000" s="1">
        <v>45400</v>
      </c>
      <c r="C1000" t="s">
        <v>29</v>
      </c>
      <c r="D1000" s="2">
        <v>0</v>
      </c>
      <c r="E1000" s="2">
        <v>2918.17</v>
      </c>
      <c r="F1000" t="s">
        <v>8</v>
      </c>
      <c r="G1000" t="s">
        <v>9</v>
      </c>
    </row>
    <row r="1001" spans="1:7" x14ac:dyDescent="0.35">
      <c r="A1001">
        <v>390</v>
      </c>
      <c r="B1001" s="1">
        <v>45400</v>
      </c>
      <c r="C1001" t="s">
        <v>29</v>
      </c>
      <c r="D1001" s="2">
        <v>2093.2800000000002</v>
      </c>
      <c r="E1001" s="2">
        <v>0</v>
      </c>
      <c r="F1001" t="s">
        <v>28</v>
      </c>
      <c r="G1001" t="s">
        <v>17</v>
      </c>
    </row>
    <row r="1002" spans="1:7" x14ac:dyDescent="0.35">
      <c r="A1002">
        <v>390</v>
      </c>
      <c r="B1002" s="1">
        <v>45400</v>
      </c>
      <c r="C1002" t="s">
        <v>29</v>
      </c>
      <c r="D1002" s="2">
        <v>0</v>
      </c>
      <c r="E1002" s="2">
        <v>2093.2800000000002</v>
      </c>
      <c r="F1002" t="s">
        <v>8</v>
      </c>
      <c r="G1002" t="s">
        <v>9</v>
      </c>
    </row>
    <row r="1003" spans="1:7" x14ac:dyDescent="0.35">
      <c r="A1003">
        <v>391</v>
      </c>
      <c r="B1003" s="1">
        <v>45401</v>
      </c>
      <c r="C1003" t="s">
        <v>12</v>
      </c>
      <c r="D1003" s="2">
        <v>1713.42</v>
      </c>
      <c r="E1003" s="2">
        <v>0</v>
      </c>
      <c r="F1003" t="s">
        <v>13</v>
      </c>
      <c r="G1003" t="s">
        <v>9</v>
      </c>
    </row>
    <row r="1004" spans="1:7" x14ac:dyDescent="0.35">
      <c r="A1004">
        <v>391</v>
      </c>
      <c r="B1004" s="1">
        <v>45401</v>
      </c>
      <c r="C1004" t="s">
        <v>12</v>
      </c>
      <c r="D1004" s="2">
        <v>0</v>
      </c>
      <c r="E1004" s="2">
        <v>1593.88</v>
      </c>
      <c r="F1004" t="s">
        <v>14</v>
      </c>
      <c r="G1004" t="s">
        <v>15</v>
      </c>
    </row>
    <row r="1005" spans="1:7" x14ac:dyDescent="0.35">
      <c r="A1005">
        <v>391</v>
      </c>
      <c r="B1005" s="1">
        <v>45401</v>
      </c>
      <c r="C1005" t="s">
        <v>12</v>
      </c>
      <c r="D1005" s="2">
        <v>0</v>
      </c>
      <c r="E1005" s="2">
        <v>119.54</v>
      </c>
      <c r="F1005" t="s">
        <v>16</v>
      </c>
      <c r="G1005" t="s">
        <v>17</v>
      </c>
    </row>
    <row r="1006" spans="1:7" x14ac:dyDescent="0.35">
      <c r="A1006">
        <v>392</v>
      </c>
      <c r="B1006" s="1">
        <v>45401</v>
      </c>
      <c r="C1006" t="s">
        <v>12</v>
      </c>
      <c r="D1006" s="2">
        <v>2027.99</v>
      </c>
      <c r="E1006" s="2">
        <v>0</v>
      </c>
      <c r="F1006" t="s">
        <v>13</v>
      </c>
      <c r="G1006" t="s">
        <v>9</v>
      </c>
    </row>
    <row r="1007" spans="1:7" x14ac:dyDescent="0.35">
      <c r="A1007">
        <v>392</v>
      </c>
      <c r="B1007" s="1">
        <v>45401</v>
      </c>
      <c r="C1007" t="s">
        <v>12</v>
      </c>
      <c r="D1007" s="2">
        <v>0</v>
      </c>
      <c r="E1007" s="2">
        <v>1886.5</v>
      </c>
      <c r="F1007" t="s">
        <v>14</v>
      </c>
      <c r="G1007" t="s">
        <v>15</v>
      </c>
    </row>
    <row r="1008" spans="1:7" x14ac:dyDescent="0.35">
      <c r="A1008">
        <v>392</v>
      </c>
      <c r="B1008" s="1">
        <v>45401</v>
      </c>
      <c r="C1008" t="s">
        <v>12</v>
      </c>
      <c r="D1008" s="2">
        <v>0</v>
      </c>
      <c r="E1008" s="2">
        <v>141.49</v>
      </c>
      <c r="F1008" t="s">
        <v>16</v>
      </c>
      <c r="G1008" t="s">
        <v>17</v>
      </c>
    </row>
    <row r="1009" spans="1:7" x14ac:dyDescent="0.35">
      <c r="A1009">
        <v>393</v>
      </c>
      <c r="B1009" s="1">
        <v>45401</v>
      </c>
      <c r="C1009" t="s">
        <v>24</v>
      </c>
      <c r="D1009" s="2">
        <v>1956.88</v>
      </c>
      <c r="E1009" s="2">
        <v>0</v>
      </c>
      <c r="F1009" t="s">
        <v>8</v>
      </c>
      <c r="G1009" t="s">
        <v>9</v>
      </c>
    </row>
    <row r="1010" spans="1:7" x14ac:dyDescent="0.35">
      <c r="A1010">
        <v>393</v>
      </c>
      <c r="B1010" s="1">
        <v>45401</v>
      </c>
      <c r="C1010" t="s">
        <v>24</v>
      </c>
      <c r="D1010" s="2">
        <v>0</v>
      </c>
      <c r="E1010" s="2">
        <v>1956.88</v>
      </c>
      <c r="F1010" t="s">
        <v>13</v>
      </c>
      <c r="G1010" t="s">
        <v>9</v>
      </c>
    </row>
    <row r="1011" spans="1:7" x14ac:dyDescent="0.35">
      <c r="A1011">
        <v>394</v>
      </c>
      <c r="B1011" s="1">
        <v>45401</v>
      </c>
      <c r="C1011" t="s">
        <v>24</v>
      </c>
      <c r="D1011" s="2">
        <v>3729.84</v>
      </c>
      <c r="E1011" s="2">
        <v>0</v>
      </c>
      <c r="F1011" t="s">
        <v>8</v>
      </c>
      <c r="G1011" t="s">
        <v>9</v>
      </c>
    </row>
    <row r="1012" spans="1:7" x14ac:dyDescent="0.35">
      <c r="A1012">
        <v>394</v>
      </c>
      <c r="B1012" s="1">
        <v>45401</v>
      </c>
      <c r="C1012" t="s">
        <v>24</v>
      </c>
      <c r="D1012" s="2">
        <v>0</v>
      </c>
      <c r="E1012" s="2">
        <v>3729.84</v>
      </c>
      <c r="F1012" t="s">
        <v>13</v>
      </c>
      <c r="G1012" t="s">
        <v>9</v>
      </c>
    </row>
    <row r="1013" spans="1:7" x14ac:dyDescent="0.35">
      <c r="A1013">
        <v>395</v>
      </c>
      <c r="B1013" s="1">
        <v>45401</v>
      </c>
      <c r="C1013" t="s">
        <v>24</v>
      </c>
      <c r="D1013" s="2">
        <v>3073.1</v>
      </c>
      <c r="E1013" s="2">
        <v>0</v>
      </c>
      <c r="F1013" t="s">
        <v>8</v>
      </c>
      <c r="G1013" t="s">
        <v>9</v>
      </c>
    </row>
    <row r="1014" spans="1:7" x14ac:dyDescent="0.35">
      <c r="A1014">
        <v>395</v>
      </c>
      <c r="B1014" s="1">
        <v>45401</v>
      </c>
      <c r="C1014" t="s">
        <v>24</v>
      </c>
      <c r="D1014" s="2">
        <v>0</v>
      </c>
      <c r="E1014" s="2">
        <v>3073.1</v>
      </c>
      <c r="F1014" t="s">
        <v>13</v>
      </c>
      <c r="G1014" t="s">
        <v>9</v>
      </c>
    </row>
    <row r="1015" spans="1:7" x14ac:dyDescent="0.35">
      <c r="A1015">
        <v>396</v>
      </c>
      <c r="B1015" s="1">
        <v>45401</v>
      </c>
      <c r="C1015" t="s">
        <v>24</v>
      </c>
      <c r="D1015" s="2">
        <v>2317.71</v>
      </c>
      <c r="E1015" s="2">
        <v>0</v>
      </c>
      <c r="F1015" t="s">
        <v>8</v>
      </c>
      <c r="G1015" t="s">
        <v>9</v>
      </c>
    </row>
    <row r="1016" spans="1:7" x14ac:dyDescent="0.35">
      <c r="A1016">
        <v>396</v>
      </c>
      <c r="B1016" s="1">
        <v>45401</v>
      </c>
      <c r="C1016" t="s">
        <v>24</v>
      </c>
      <c r="D1016" s="2">
        <v>0</v>
      </c>
      <c r="E1016" s="2">
        <v>2317.71</v>
      </c>
      <c r="F1016" t="s">
        <v>13</v>
      </c>
      <c r="G1016" t="s">
        <v>9</v>
      </c>
    </row>
    <row r="1017" spans="1:7" x14ac:dyDescent="0.35">
      <c r="A1017">
        <v>397</v>
      </c>
      <c r="B1017" s="1">
        <v>45401</v>
      </c>
      <c r="C1017" t="s">
        <v>24</v>
      </c>
      <c r="D1017" s="2">
        <v>1276.07</v>
      </c>
      <c r="E1017" s="2">
        <v>0</v>
      </c>
      <c r="F1017" t="s">
        <v>8</v>
      </c>
      <c r="G1017" t="s">
        <v>9</v>
      </c>
    </row>
    <row r="1018" spans="1:7" x14ac:dyDescent="0.35">
      <c r="A1018">
        <v>397</v>
      </c>
      <c r="B1018" s="1">
        <v>45401</v>
      </c>
      <c r="C1018" t="s">
        <v>24</v>
      </c>
      <c r="D1018" s="2">
        <v>0</v>
      </c>
      <c r="E1018" s="2">
        <v>1276.07</v>
      </c>
      <c r="F1018" t="s">
        <v>13</v>
      </c>
      <c r="G1018" t="s">
        <v>9</v>
      </c>
    </row>
    <row r="1019" spans="1:7" x14ac:dyDescent="0.35">
      <c r="A1019">
        <v>398</v>
      </c>
      <c r="B1019" s="1">
        <v>45401</v>
      </c>
      <c r="C1019" t="s">
        <v>24</v>
      </c>
      <c r="D1019" s="2">
        <v>480.59</v>
      </c>
      <c r="E1019" s="2">
        <v>0</v>
      </c>
      <c r="F1019" t="s">
        <v>8</v>
      </c>
      <c r="G1019" t="s">
        <v>9</v>
      </c>
    </row>
    <row r="1020" spans="1:7" x14ac:dyDescent="0.35">
      <c r="A1020">
        <v>398</v>
      </c>
      <c r="B1020" s="1">
        <v>45401</v>
      </c>
      <c r="C1020" t="s">
        <v>24</v>
      </c>
      <c r="D1020" s="2">
        <v>0</v>
      </c>
      <c r="E1020" s="2">
        <v>480.59</v>
      </c>
      <c r="F1020" t="s">
        <v>13</v>
      </c>
      <c r="G1020" t="s">
        <v>9</v>
      </c>
    </row>
    <row r="1021" spans="1:7" x14ac:dyDescent="0.35">
      <c r="A1021">
        <v>399</v>
      </c>
      <c r="B1021" s="1">
        <v>45401</v>
      </c>
      <c r="C1021" t="s">
        <v>24</v>
      </c>
      <c r="D1021" s="2">
        <v>3363.34</v>
      </c>
      <c r="E1021" s="2">
        <v>0</v>
      </c>
      <c r="F1021" t="s">
        <v>8</v>
      </c>
      <c r="G1021" t="s">
        <v>9</v>
      </c>
    </row>
    <row r="1022" spans="1:7" x14ac:dyDescent="0.35">
      <c r="A1022">
        <v>399</v>
      </c>
      <c r="B1022" s="1">
        <v>45401</v>
      </c>
      <c r="C1022" t="s">
        <v>24</v>
      </c>
      <c r="D1022" s="2">
        <v>0</v>
      </c>
      <c r="E1022" s="2">
        <v>3363.34</v>
      </c>
      <c r="F1022" t="s">
        <v>13</v>
      </c>
      <c r="G1022" t="s">
        <v>9</v>
      </c>
    </row>
    <row r="1023" spans="1:7" x14ac:dyDescent="0.35">
      <c r="A1023">
        <v>400</v>
      </c>
      <c r="B1023" s="1">
        <v>45401</v>
      </c>
      <c r="C1023" t="s">
        <v>24</v>
      </c>
      <c r="D1023" s="2">
        <v>5248.18</v>
      </c>
      <c r="E1023" s="2">
        <v>0</v>
      </c>
      <c r="F1023" t="s">
        <v>8</v>
      </c>
      <c r="G1023" t="s">
        <v>9</v>
      </c>
    </row>
    <row r="1024" spans="1:7" x14ac:dyDescent="0.35">
      <c r="A1024">
        <v>400</v>
      </c>
      <c r="B1024" s="1">
        <v>45401</v>
      </c>
      <c r="C1024" t="s">
        <v>24</v>
      </c>
      <c r="D1024" s="2">
        <v>0</v>
      </c>
      <c r="E1024" s="2">
        <v>5248.18</v>
      </c>
      <c r="F1024" t="s">
        <v>13</v>
      </c>
      <c r="G1024" t="s">
        <v>9</v>
      </c>
    </row>
    <row r="1025" spans="1:7" x14ac:dyDescent="0.35">
      <c r="A1025">
        <v>401</v>
      </c>
      <c r="B1025" s="1">
        <v>45404</v>
      </c>
      <c r="C1025" t="s">
        <v>12</v>
      </c>
      <c r="D1025" s="2">
        <v>753.91</v>
      </c>
      <c r="E1025" s="2">
        <v>0</v>
      </c>
      <c r="F1025" t="s">
        <v>13</v>
      </c>
      <c r="G1025" t="s">
        <v>9</v>
      </c>
    </row>
    <row r="1026" spans="1:7" x14ac:dyDescent="0.35">
      <c r="A1026">
        <v>401</v>
      </c>
      <c r="B1026" s="1">
        <v>45404</v>
      </c>
      <c r="C1026" t="s">
        <v>12</v>
      </c>
      <c r="D1026" s="2">
        <v>0</v>
      </c>
      <c r="E1026" s="2">
        <v>701.31</v>
      </c>
      <c r="F1026" t="s">
        <v>14</v>
      </c>
      <c r="G1026" t="s">
        <v>15</v>
      </c>
    </row>
    <row r="1027" spans="1:7" x14ac:dyDescent="0.35">
      <c r="A1027">
        <v>401</v>
      </c>
      <c r="B1027" s="1">
        <v>45404</v>
      </c>
      <c r="C1027" t="s">
        <v>12</v>
      </c>
      <c r="D1027" s="2">
        <v>0</v>
      </c>
      <c r="E1027" s="2">
        <v>52.6</v>
      </c>
      <c r="F1027" t="s">
        <v>16</v>
      </c>
      <c r="G1027" t="s">
        <v>17</v>
      </c>
    </row>
    <row r="1028" spans="1:7" x14ac:dyDescent="0.35">
      <c r="A1028">
        <v>402</v>
      </c>
      <c r="B1028" s="1">
        <v>45404</v>
      </c>
      <c r="C1028" t="s">
        <v>12</v>
      </c>
      <c r="D1028" s="2">
        <v>3129.75</v>
      </c>
      <c r="E1028" s="2">
        <v>0</v>
      </c>
      <c r="F1028" t="s">
        <v>13</v>
      </c>
      <c r="G1028" t="s">
        <v>9</v>
      </c>
    </row>
    <row r="1029" spans="1:7" x14ac:dyDescent="0.35">
      <c r="A1029">
        <v>402</v>
      </c>
      <c r="B1029" s="1">
        <v>45404</v>
      </c>
      <c r="C1029" t="s">
        <v>12</v>
      </c>
      <c r="D1029" s="2">
        <v>0</v>
      </c>
      <c r="E1029" s="2">
        <v>2911.39</v>
      </c>
      <c r="F1029" t="s">
        <v>14</v>
      </c>
      <c r="G1029" t="s">
        <v>15</v>
      </c>
    </row>
    <row r="1030" spans="1:7" x14ac:dyDescent="0.35">
      <c r="A1030">
        <v>402</v>
      </c>
      <c r="B1030" s="1">
        <v>45404</v>
      </c>
      <c r="C1030" t="s">
        <v>12</v>
      </c>
      <c r="D1030" s="2">
        <v>0</v>
      </c>
      <c r="E1030" s="2">
        <v>218.36</v>
      </c>
      <c r="F1030" t="s">
        <v>16</v>
      </c>
      <c r="G1030" t="s">
        <v>17</v>
      </c>
    </row>
    <row r="1031" spans="1:7" x14ac:dyDescent="0.35">
      <c r="A1031">
        <v>403</v>
      </c>
      <c r="B1031" s="1">
        <v>45404</v>
      </c>
      <c r="C1031" t="s">
        <v>24</v>
      </c>
      <c r="D1031" s="2">
        <v>1866.77</v>
      </c>
      <c r="E1031" s="2">
        <v>0</v>
      </c>
      <c r="F1031" t="s">
        <v>8</v>
      </c>
      <c r="G1031" t="s">
        <v>9</v>
      </c>
    </row>
    <row r="1032" spans="1:7" x14ac:dyDescent="0.35">
      <c r="A1032">
        <v>403</v>
      </c>
      <c r="B1032" s="1">
        <v>45404</v>
      </c>
      <c r="C1032" t="s">
        <v>24</v>
      </c>
      <c r="D1032" s="2">
        <v>0</v>
      </c>
      <c r="E1032" s="2">
        <v>1866.77</v>
      </c>
      <c r="F1032" t="s">
        <v>13</v>
      </c>
      <c r="G1032" t="s">
        <v>9</v>
      </c>
    </row>
    <row r="1033" spans="1:7" x14ac:dyDescent="0.35">
      <c r="A1033">
        <v>404</v>
      </c>
      <c r="B1033" s="1">
        <v>45404</v>
      </c>
      <c r="C1033" t="s">
        <v>25</v>
      </c>
      <c r="D1033" s="2">
        <v>2329.52</v>
      </c>
      <c r="E1033" s="2">
        <v>0</v>
      </c>
      <c r="F1033" t="s">
        <v>26</v>
      </c>
      <c r="G1033" t="s">
        <v>20</v>
      </c>
    </row>
    <row r="1034" spans="1:7" x14ac:dyDescent="0.35">
      <c r="A1034">
        <v>404</v>
      </c>
      <c r="B1034" s="1">
        <v>45404</v>
      </c>
      <c r="C1034" t="s">
        <v>25</v>
      </c>
      <c r="D1034" s="2">
        <v>174.71</v>
      </c>
      <c r="E1034" s="2">
        <v>0</v>
      </c>
      <c r="F1034" t="s">
        <v>27</v>
      </c>
      <c r="G1034" t="s">
        <v>9</v>
      </c>
    </row>
    <row r="1035" spans="1:7" x14ac:dyDescent="0.35">
      <c r="A1035">
        <v>404</v>
      </c>
      <c r="B1035" s="1">
        <v>45404</v>
      </c>
      <c r="C1035" t="s">
        <v>25</v>
      </c>
      <c r="D1035" s="2">
        <v>0</v>
      </c>
      <c r="E1035" s="2">
        <v>2504.23</v>
      </c>
      <c r="F1035" t="s">
        <v>28</v>
      </c>
      <c r="G1035" t="s">
        <v>17</v>
      </c>
    </row>
    <row r="1036" spans="1:7" x14ac:dyDescent="0.35">
      <c r="A1036">
        <v>405</v>
      </c>
      <c r="B1036" s="1">
        <v>45404</v>
      </c>
      <c r="C1036" t="s">
        <v>25</v>
      </c>
      <c r="D1036" s="2">
        <v>512</v>
      </c>
      <c r="E1036" s="2">
        <v>0</v>
      </c>
      <c r="F1036" t="s">
        <v>26</v>
      </c>
      <c r="G1036" t="s">
        <v>20</v>
      </c>
    </row>
    <row r="1037" spans="1:7" x14ac:dyDescent="0.35">
      <c r="A1037">
        <v>405</v>
      </c>
      <c r="B1037" s="1">
        <v>45404</v>
      </c>
      <c r="C1037" t="s">
        <v>25</v>
      </c>
      <c r="D1037" s="2">
        <v>38.4</v>
      </c>
      <c r="E1037" s="2">
        <v>0</v>
      </c>
      <c r="F1037" t="s">
        <v>27</v>
      </c>
      <c r="G1037" t="s">
        <v>9</v>
      </c>
    </row>
    <row r="1038" spans="1:7" x14ac:dyDescent="0.35">
      <c r="A1038">
        <v>405</v>
      </c>
      <c r="B1038" s="1">
        <v>45404</v>
      </c>
      <c r="C1038" t="s">
        <v>25</v>
      </c>
      <c r="D1038" s="2">
        <v>0</v>
      </c>
      <c r="E1038" s="2">
        <v>550.4</v>
      </c>
      <c r="F1038" t="s">
        <v>28</v>
      </c>
      <c r="G1038" t="s">
        <v>17</v>
      </c>
    </row>
    <row r="1039" spans="1:7" x14ac:dyDescent="0.35">
      <c r="A1039">
        <v>406</v>
      </c>
      <c r="B1039" s="1">
        <v>45404</v>
      </c>
      <c r="C1039" t="s">
        <v>29</v>
      </c>
      <c r="D1039" s="2">
        <v>2504.23</v>
      </c>
      <c r="E1039" s="2">
        <v>0</v>
      </c>
      <c r="F1039" t="s">
        <v>28</v>
      </c>
      <c r="G1039" t="s">
        <v>17</v>
      </c>
    </row>
    <row r="1040" spans="1:7" x14ac:dyDescent="0.35">
      <c r="A1040">
        <v>406</v>
      </c>
      <c r="B1040" s="1">
        <v>45404</v>
      </c>
      <c r="C1040" t="s">
        <v>29</v>
      </c>
      <c r="D1040" s="2">
        <v>0</v>
      </c>
      <c r="E1040" s="2">
        <v>2504.23</v>
      </c>
      <c r="F1040" t="s">
        <v>8</v>
      </c>
      <c r="G1040" t="s">
        <v>9</v>
      </c>
    </row>
    <row r="1041" spans="1:7" x14ac:dyDescent="0.35">
      <c r="A1041">
        <v>407</v>
      </c>
      <c r="B1041" s="1">
        <v>45404</v>
      </c>
      <c r="C1041" t="s">
        <v>29</v>
      </c>
      <c r="D1041" s="2">
        <v>3528.97</v>
      </c>
      <c r="E1041" s="2">
        <v>0</v>
      </c>
      <c r="F1041" t="s">
        <v>28</v>
      </c>
      <c r="G1041" t="s">
        <v>17</v>
      </c>
    </row>
    <row r="1042" spans="1:7" x14ac:dyDescent="0.35">
      <c r="A1042">
        <v>407</v>
      </c>
      <c r="B1042" s="1">
        <v>45404</v>
      </c>
      <c r="C1042" t="s">
        <v>29</v>
      </c>
      <c r="D1042" s="2">
        <v>0</v>
      </c>
      <c r="E1042" s="2">
        <v>3528.97</v>
      </c>
      <c r="F1042" t="s">
        <v>8</v>
      </c>
      <c r="G1042" t="s">
        <v>9</v>
      </c>
    </row>
    <row r="1043" spans="1:7" x14ac:dyDescent="0.35">
      <c r="A1043">
        <v>408</v>
      </c>
      <c r="B1043" s="1">
        <v>45404</v>
      </c>
      <c r="C1043" t="s">
        <v>29</v>
      </c>
      <c r="D1043" s="2">
        <v>748.26</v>
      </c>
      <c r="E1043" s="2">
        <v>0</v>
      </c>
      <c r="F1043" t="s">
        <v>28</v>
      </c>
      <c r="G1043" t="s">
        <v>17</v>
      </c>
    </row>
    <row r="1044" spans="1:7" x14ac:dyDescent="0.35">
      <c r="A1044">
        <v>408</v>
      </c>
      <c r="B1044" s="1">
        <v>45404</v>
      </c>
      <c r="C1044" t="s">
        <v>29</v>
      </c>
      <c r="D1044" s="2">
        <v>0</v>
      </c>
      <c r="E1044" s="2">
        <v>748.26</v>
      </c>
      <c r="F1044" t="s">
        <v>8</v>
      </c>
      <c r="G1044" t="s">
        <v>9</v>
      </c>
    </row>
    <row r="1045" spans="1:7" x14ac:dyDescent="0.35">
      <c r="A1045">
        <v>409</v>
      </c>
      <c r="B1045" s="1">
        <v>45405</v>
      </c>
      <c r="C1045" t="s">
        <v>12</v>
      </c>
      <c r="D1045" s="2">
        <v>960.92</v>
      </c>
      <c r="E1045" s="2">
        <v>0</v>
      </c>
      <c r="F1045" t="s">
        <v>13</v>
      </c>
      <c r="G1045" t="s">
        <v>9</v>
      </c>
    </row>
    <row r="1046" spans="1:7" x14ac:dyDescent="0.35">
      <c r="A1046">
        <v>409</v>
      </c>
      <c r="B1046" s="1">
        <v>45405</v>
      </c>
      <c r="C1046" t="s">
        <v>12</v>
      </c>
      <c r="D1046" s="2">
        <v>0</v>
      </c>
      <c r="E1046" s="2">
        <v>893.88</v>
      </c>
      <c r="F1046" t="s">
        <v>14</v>
      </c>
      <c r="G1046" t="s">
        <v>15</v>
      </c>
    </row>
    <row r="1047" spans="1:7" x14ac:dyDescent="0.35">
      <c r="A1047">
        <v>409</v>
      </c>
      <c r="B1047" s="1">
        <v>45405</v>
      </c>
      <c r="C1047" t="s">
        <v>12</v>
      </c>
      <c r="D1047" s="2">
        <v>0</v>
      </c>
      <c r="E1047" s="2">
        <v>67.040000000000006</v>
      </c>
      <c r="F1047" t="s">
        <v>16</v>
      </c>
      <c r="G1047" t="s">
        <v>17</v>
      </c>
    </row>
    <row r="1048" spans="1:7" x14ac:dyDescent="0.35">
      <c r="A1048">
        <v>410</v>
      </c>
      <c r="B1048" s="1">
        <v>45405</v>
      </c>
      <c r="C1048" t="s">
        <v>12</v>
      </c>
      <c r="D1048" s="2">
        <v>3568.41</v>
      </c>
      <c r="E1048" s="2">
        <v>0</v>
      </c>
      <c r="F1048" t="s">
        <v>13</v>
      </c>
      <c r="G1048" t="s">
        <v>9</v>
      </c>
    </row>
    <row r="1049" spans="1:7" x14ac:dyDescent="0.35">
      <c r="A1049">
        <v>410</v>
      </c>
      <c r="B1049" s="1">
        <v>45405</v>
      </c>
      <c r="C1049" t="s">
        <v>12</v>
      </c>
      <c r="D1049" s="2">
        <v>0</v>
      </c>
      <c r="E1049" s="2">
        <v>3319.44</v>
      </c>
      <c r="F1049" t="s">
        <v>14</v>
      </c>
      <c r="G1049" t="s">
        <v>15</v>
      </c>
    </row>
    <row r="1050" spans="1:7" x14ac:dyDescent="0.35">
      <c r="A1050">
        <v>410</v>
      </c>
      <c r="B1050" s="1">
        <v>45405</v>
      </c>
      <c r="C1050" t="s">
        <v>12</v>
      </c>
      <c r="D1050" s="2">
        <v>0</v>
      </c>
      <c r="E1050" s="2">
        <v>248.97</v>
      </c>
      <c r="F1050" t="s">
        <v>16</v>
      </c>
      <c r="G1050" t="s">
        <v>17</v>
      </c>
    </row>
    <row r="1051" spans="1:7" x14ac:dyDescent="0.35">
      <c r="A1051">
        <v>411</v>
      </c>
      <c r="B1051" s="1">
        <v>45405</v>
      </c>
      <c r="C1051" t="s">
        <v>12</v>
      </c>
      <c r="D1051" s="2">
        <v>3276.6</v>
      </c>
      <c r="E1051" s="2">
        <v>0</v>
      </c>
      <c r="F1051" t="s">
        <v>13</v>
      </c>
      <c r="G1051" t="s">
        <v>9</v>
      </c>
    </row>
    <row r="1052" spans="1:7" x14ac:dyDescent="0.35">
      <c r="A1052">
        <v>411</v>
      </c>
      <c r="B1052" s="1">
        <v>45405</v>
      </c>
      <c r="C1052" t="s">
        <v>12</v>
      </c>
      <c r="D1052" s="2">
        <v>0</v>
      </c>
      <c r="E1052" s="2">
        <v>3048</v>
      </c>
      <c r="F1052" t="s">
        <v>14</v>
      </c>
      <c r="G1052" t="s">
        <v>15</v>
      </c>
    </row>
    <row r="1053" spans="1:7" x14ac:dyDescent="0.35">
      <c r="A1053">
        <v>411</v>
      </c>
      <c r="B1053" s="1">
        <v>45405</v>
      </c>
      <c r="C1053" t="s">
        <v>12</v>
      </c>
      <c r="D1053" s="2">
        <v>0</v>
      </c>
      <c r="E1053" s="2">
        <v>228.6</v>
      </c>
      <c r="F1053" t="s">
        <v>16</v>
      </c>
      <c r="G1053" t="s">
        <v>17</v>
      </c>
    </row>
    <row r="1054" spans="1:7" x14ac:dyDescent="0.35">
      <c r="A1054">
        <v>412</v>
      </c>
      <c r="B1054" s="1">
        <v>45405</v>
      </c>
      <c r="C1054" t="s">
        <v>12</v>
      </c>
      <c r="D1054" s="2">
        <v>2304.62</v>
      </c>
      <c r="E1054" s="2">
        <v>0</v>
      </c>
      <c r="F1054" t="s">
        <v>13</v>
      </c>
      <c r="G1054" t="s">
        <v>9</v>
      </c>
    </row>
    <row r="1055" spans="1:7" x14ac:dyDescent="0.35">
      <c r="A1055">
        <v>412</v>
      </c>
      <c r="B1055" s="1">
        <v>45405</v>
      </c>
      <c r="C1055" t="s">
        <v>12</v>
      </c>
      <c r="D1055" s="2">
        <v>0</v>
      </c>
      <c r="E1055" s="2">
        <v>2143.84</v>
      </c>
      <c r="F1055" t="s">
        <v>14</v>
      </c>
      <c r="G1055" t="s">
        <v>15</v>
      </c>
    </row>
    <row r="1056" spans="1:7" x14ac:dyDescent="0.35">
      <c r="A1056">
        <v>412</v>
      </c>
      <c r="B1056" s="1">
        <v>45405</v>
      </c>
      <c r="C1056" t="s">
        <v>12</v>
      </c>
      <c r="D1056" s="2">
        <v>0</v>
      </c>
      <c r="E1056" s="2">
        <v>160.78</v>
      </c>
      <c r="F1056" t="s">
        <v>16</v>
      </c>
      <c r="G1056" t="s">
        <v>17</v>
      </c>
    </row>
    <row r="1057" spans="1:7" x14ac:dyDescent="0.35">
      <c r="A1057">
        <v>413</v>
      </c>
      <c r="B1057" s="1">
        <v>45405</v>
      </c>
      <c r="C1057" t="s">
        <v>12</v>
      </c>
      <c r="D1057" s="2">
        <v>2448.11</v>
      </c>
      <c r="E1057" s="2">
        <v>0</v>
      </c>
      <c r="F1057" t="s">
        <v>13</v>
      </c>
      <c r="G1057" t="s">
        <v>9</v>
      </c>
    </row>
    <row r="1058" spans="1:7" x14ac:dyDescent="0.35">
      <c r="A1058">
        <v>413</v>
      </c>
      <c r="B1058" s="1">
        <v>45405</v>
      </c>
      <c r="C1058" t="s">
        <v>12</v>
      </c>
      <c r="D1058" s="2">
        <v>0</v>
      </c>
      <c r="E1058" s="2">
        <v>2277.31</v>
      </c>
      <c r="F1058" t="s">
        <v>14</v>
      </c>
      <c r="G1058" t="s">
        <v>15</v>
      </c>
    </row>
    <row r="1059" spans="1:7" x14ac:dyDescent="0.35">
      <c r="A1059">
        <v>413</v>
      </c>
      <c r="B1059" s="1">
        <v>45405</v>
      </c>
      <c r="C1059" t="s">
        <v>12</v>
      </c>
      <c r="D1059" s="2">
        <v>0</v>
      </c>
      <c r="E1059" s="2">
        <v>170.8</v>
      </c>
      <c r="F1059" t="s">
        <v>16</v>
      </c>
      <c r="G1059" t="s">
        <v>17</v>
      </c>
    </row>
    <row r="1060" spans="1:7" x14ac:dyDescent="0.35">
      <c r="A1060">
        <v>414</v>
      </c>
      <c r="B1060" s="1">
        <v>45405</v>
      </c>
      <c r="C1060" t="s">
        <v>24</v>
      </c>
      <c r="D1060" s="2">
        <v>1833.28</v>
      </c>
      <c r="E1060" s="2">
        <v>0</v>
      </c>
      <c r="F1060" t="s">
        <v>8</v>
      </c>
      <c r="G1060" t="s">
        <v>9</v>
      </c>
    </row>
    <row r="1061" spans="1:7" x14ac:dyDescent="0.35">
      <c r="A1061">
        <v>414</v>
      </c>
      <c r="B1061" s="1">
        <v>45405</v>
      </c>
      <c r="C1061" t="s">
        <v>24</v>
      </c>
      <c r="D1061" s="2">
        <v>0</v>
      </c>
      <c r="E1061" s="2">
        <v>1833.28</v>
      </c>
      <c r="F1061" t="s">
        <v>13</v>
      </c>
      <c r="G1061" t="s">
        <v>9</v>
      </c>
    </row>
    <row r="1062" spans="1:7" x14ac:dyDescent="0.35">
      <c r="A1062">
        <v>415</v>
      </c>
      <c r="B1062" s="1">
        <v>45405</v>
      </c>
      <c r="C1062" t="s">
        <v>24</v>
      </c>
      <c r="D1062" s="2">
        <v>2260.5300000000002</v>
      </c>
      <c r="E1062" s="2">
        <v>0</v>
      </c>
      <c r="F1062" t="s">
        <v>8</v>
      </c>
      <c r="G1062" t="s">
        <v>9</v>
      </c>
    </row>
    <row r="1063" spans="1:7" x14ac:dyDescent="0.35">
      <c r="A1063">
        <v>415</v>
      </c>
      <c r="B1063" s="1">
        <v>45405</v>
      </c>
      <c r="C1063" t="s">
        <v>24</v>
      </c>
      <c r="D1063" s="2">
        <v>0</v>
      </c>
      <c r="E1063" s="2">
        <v>2260.5300000000002</v>
      </c>
      <c r="F1063" t="s">
        <v>13</v>
      </c>
      <c r="G1063" t="s">
        <v>9</v>
      </c>
    </row>
    <row r="1064" spans="1:7" x14ac:dyDescent="0.35">
      <c r="A1064">
        <v>416</v>
      </c>
      <c r="B1064" s="1">
        <v>45405</v>
      </c>
      <c r="C1064" t="s">
        <v>29</v>
      </c>
      <c r="D1064" s="2">
        <v>4812.46</v>
      </c>
      <c r="E1064" s="2">
        <v>0</v>
      </c>
      <c r="F1064" t="s">
        <v>28</v>
      </c>
      <c r="G1064" t="s">
        <v>17</v>
      </c>
    </row>
    <row r="1065" spans="1:7" x14ac:dyDescent="0.35">
      <c r="A1065">
        <v>416</v>
      </c>
      <c r="B1065" s="1">
        <v>45405</v>
      </c>
      <c r="C1065" t="s">
        <v>29</v>
      </c>
      <c r="D1065" s="2">
        <v>0</v>
      </c>
      <c r="E1065" s="2">
        <v>4812.46</v>
      </c>
      <c r="F1065" t="s">
        <v>8</v>
      </c>
      <c r="G1065" t="s">
        <v>9</v>
      </c>
    </row>
    <row r="1066" spans="1:7" x14ac:dyDescent="0.35">
      <c r="A1066">
        <v>417</v>
      </c>
      <c r="B1066" s="1">
        <v>45406</v>
      </c>
      <c r="C1066" t="s">
        <v>24</v>
      </c>
      <c r="D1066" s="2">
        <v>3535.63</v>
      </c>
      <c r="E1066" s="2">
        <v>0</v>
      </c>
      <c r="F1066" t="s">
        <v>8</v>
      </c>
      <c r="G1066" t="s">
        <v>9</v>
      </c>
    </row>
    <row r="1067" spans="1:7" x14ac:dyDescent="0.35">
      <c r="A1067">
        <v>417</v>
      </c>
      <c r="B1067" s="1">
        <v>45406</v>
      </c>
      <c r="C1067" t="s">
        <v>24</v>
      </c>
      <c r="D1067" s="2">
        <v>0</v>
      </c>
      <c r="E1067" s="2">
        <v>3535.63</v>
      </c>
      <c r="F1067" t="s">
        <v>13</v>
      </c>
      <c r="G1067" t="s">
        <v>9</v>
      </c>
    </row>
    <row r="1068" spans="1:7" x14ac:dyDescent="0.35">
      <c r="A1068">
        <v>418</v>
      </c>
      <c r="B1068" s="1">
        <v>45406</v>
      </c>
      <c r="C1068" t="s">
        <v>24</v>
      </c>
      <c r="D1068" s="2">
        <v>1713.42</v>
      </c>
      <c r="E1068" s="2">
        <v>0</v>
      </c>
      <c r="F1068" t="s">
        <v>8</v>
      </c>
      <c r="G1068" t="s">
        <v>9</v>
      </c>
    </row>
    <row r="1069" spans="1:7" x14ac:dyDescent="0.35">
      <c r="A1069">
        <v>418</v>
      </c>
      <c r="B1069" s="1">
        <v>45406</v>
      </c>
      <c r="C1069" t="s">
        <v>24</v>
      </c>
      <c r="D1069" s="2">
        <v>0</v>
      </c>
      <c r="E1069" s="2">
        <v>1713.42</v>
      </c>
      <c r="F1069" t="s">
        <v>13</v>
      </c>
      <c r="G1069" t="s">
        <v>9</v>
      </c>
    </row>
    <row r="1070" spans="1:7" x14ac:dyDescent="0.35">
      <c r="A1070">
        <v>419</v>
      </c>
      <c r="B1070" s="1">
        <v>45406</v>
      </c>
      <c r="C1070" t="s">
        <v>24</v>
      </c>
      <c r="D1070" s="2">
        <v>3276.6</v>
      </c>
      <c r="E1070" s="2">
        <v>0</v>
      </c>
      <c r="F1070" t="s">
        <v>8</v>
      </c>
      <c r="G1070" t="s">
        <v>9</v>
      </c>
    </row>
    <row r="1071" spans="1:7" x14ac:dyDescent="0.35">
      <c r="A1071">
        <v>419</v>
      </c>
      <c r="B1071" s="1">
        <v>45406</v>
      </c>
      <c r="C1071" t="s">
        <v>24</v>
      </c>
      <c r="D1071" s="2">
        <v>0</v>
      </c>
      <c r="E1071" s="2">
        <v>3276.6</v>
      </c>
      <c r="F1071" t="s">
        <v>13</v>
      </c>
      <c r="G1071" t="s">
        <v>9</v>
      </c>
    </row>
    <row r="1072" spans="1:7" x14ac:dyDescent="0.35">
      <c r="A1072">
        <v>420</v>
      </c>
      <c r="B1072" s="1">
        <v>45407</v>
      </c>
      <c r="C1072" t="s">
        <v>18</v>
      </c>
      <c r="D1072" s="2">
        <v>21307.68</v>
      </c>
      <c r="E1072" s="2">
        <v>0</v>
      </c>
      <c r="F1072" t="s">
        <v>19</v>
      </c>
      <c r="G1072" t="s">
        <v>20</v>
      </c>
    </row>
    <row r="1073" spans="1:7" x14ac:dyDescent="0.35">
      <c r="A1073">
        <v>420</v>
      </c>
      <c r="B1073" s="1">
        <v>45407</v>
      </c>
      <c r="C1073" t="s">
        <v>18</v>
      </c>
      <c r="D1073" s="2">
        <v>852.32</v>
      </c>
      <c r="E1073" s="2">
        <v>0</v>
      </c>
      <c r="F1073" t="s">
        <v>21</v>
      </c>
      <c r="G1073" t="s">
        <v>20</v>
      </c>
    </row>
    <row r="1074" spans="1:7" x14ac:dyDescent="0.35">
      <c r="A1074">
        <v>420</v>
      </c>
      <c r="B1074" s="1">
        <v>45407</v>
      </c>
      <c r="C1074" t="s">
        <v>18</v>
      </c>
      <c r="D1074" s="2">
        <v>0</v>
      </c>
      <c r="E1074" s="2">
        <v>17437.03</v>
      </c>
      <c r="F1074" t="s">
        <v>8</v>
      </c>
      <c r="G1074" t="s">
        <v>9</v>
      </c>
    </row>
    <row r="1075" spans="1:7" x14ac:dyDescent="0.35">
      <c r="A1075">
        <v>420</v>
      </c>
      <c r="B1075" s="1">
        <v>45407</v>
      </c>
      <c r="C1075" t="s">
        <v>18</v>
      </c>
      <c r="D1075" s="2">
        <v>0</v>
      </c>
      <c r="E1075" s="2">
        <v>3870.65</v>
      </c>
      <c r="F1075" t="s">
        <v>22</v>
      </c>
      <c r="G1075" t="s">
        <v>17</v>
      </c>
    </row>
    <row r="1076" spans="1:7" x14ac:dyDescent="0.35">
      <c r="A1076">
        <v>420</v>
      </c>
      <c r="B1076" s="1">
        <v>45407</v>
      </c>
      <c r="C1076" t="s">
        <v>18</v>
      </c>
      <c r="D1076" s="2">
        <v>0</v>
      </c>
      <c r="E1076" s="2">
        <v>852.32</v>
      </c>
      <c r="F1076" t="s">
        <v>23</v>
      </c>
      <c r="G1076" t="s">
        <v>17</v>
      </c>
    </row>
    <row r="1077" spans="1:7" x14ac:dyDescent="0.35">
      <c r="A1077">
        <v>421</v>
      </c>
      <c r="B1077" s="1">
        <v>45407</v>
      </c>
      <c r="C1077" t="s">
        <v>12</v>
      </c>
      <c r="D1077" s="2">
        <v>1963.76</v>
      </c>
      <c r="E1077" s="2">
        <v>0</v>
      </c>
      <c r="F1077" t="s">
        <v>13</v>
      </c>
      <c r="G1077" t="s">
        <v>9</v>
      </c>
    </row>
    <row r="1078" spans="1:7" x14ac:dyDescent="0.35">
      <c r="A1078">
        <v>421</v>
      </c>
      <c r="B1078" s="1">
        <v>45407</v>
      </c>
      <c r="C1078" t="s">
        <v>12</v>
      </c>
      <c r="D1078" s="2">
        <v>0</v>
      </c>
      <c r="E1078" s="2">
        <v>1826.76</v>
      </c>
      <c r="F1078" t="s">
        <v>14</v>
      </c>
      <c r="G1078" t="s">
        <v>15</v>
      </c>
    </row>
    <row r="1079" spans="1:7" x14ac:dyDescent="0.35">
      <c r="A1079">
        <v>421</v>
      </c>
      <c r="B1079" s="1">
        <v>45407</v>
      </c>
      <c r="C1079" t="s">
        <v>12</v>
      </c>
      <c r="D1079" s="2">
        <v>0</v>
      </c>
      <c r="E1079" s="2">
        <v>137</v>
      </c>
      <c r="F1079" t="s">
        <v>16</v>
      </c>
      <c r="G1079" t="s">
        <v>17</v>
      </c>
    </row>
    <row r="1080" spans="1:7" x14ac:dyDescent="0.35">
      <c r="A1080">
        <v>422</v>
      </c>
      <c r="B1080" s="1">
        <v>45407</v>
      </c>
      <c r="C1080" t="s">
        <v>12</v>
      </c>
      <c r="D1080" s="2">
        <v>3070.53</v>
      </c>
      <c r="E1080" s="2">
        <v>0</v>
      </c>
      <c r="F1080" t="s">
        <v>13</v>
      </c>
      <c r="G1080" t="s">
        <v>9</v>
      </c>
    </row>
    <row r="1081" spans="1:7" x14ac:dyDescent="0.35">
      <c r="A1081">
        <v>422</v>
      </c>
      <c r="B1081" s="1">
        <v>45407</v>
      </c>
      <c r="C1081" t="s">
        <v>12</v>
      </c>
      <c r="D1081" s="2">
        <v>0</v>
      </c>
      <c r="E1081" s="2">
        <v>2856.31</v>
      </c>
      <c r="F1081" t="s">
        <v>14</v>
      </c>
      <c r="G1081" t="s">
        <v>15</v>
      </c>
    </row>
    <row r="1082" spans="1:7" x14ac:dyDescent="0.35">
      <c r="A1082">
        <v>422</v>
      </c>
      <c r="B1082" s="1">
        <v>45407</v>
      </c>
      <c r="C1082" t="s">
        <v>12</v>
      </c>
      <c r="D1082" s="2">
        <v>0</v>
      </c>
      <c r="E1082" s="2">
        <v>214.22</v>
      </c>
      <c r="F1082" t="s">
        <v>16</v>
      </c>
      <c r="G1082" t="s">
        <v>17</v>
      </c>
    </row>
    <row r="1083" spans="1:7" x14ac:dyDescent="0.35">
      <c r="A1083">
        <v>423</v>
      </c>
      <c r="B1083" s="1">
        <v>45407</v>
      </c>
      <c r="C1083" t="s">
        <v>12</v>
      </c>
      <c r="D1083" s="2">
        <v>464.57</v>
      </c>
      <c r="E1083" s="2">
        <v>0</v>
      </c>
      <c r="F1083" t="s">
        <v>13</v>
      </c>
      <c r="G1083" t="s">
        <v>9</v>
      </c>
    </row>
    <row r="1084" spans="1:7" x14ac:dyDescent="0.35">
      <c r="A1084">
        <v>423</v>
      </c>
      <c r="B1084" s="1">
        <v>45407</v>
      </c>
      <c r="C1084" t="s">
        <v>12</v>
      </c>
      <c r="D1084" s="2">
        <v>0</v>
      </c>
      <c r="E1084" s="2">
        <v>432.16</v>
      </c>
      <c r="F1084" t="s">
        <v>14</v>
      </c>
      <c r="G1084" t="s">
        <v>15</v>
      </c>
    </row>
    <row r="1085" spans="1:7" x14ac:dyDescent="0.35">
      <c r="A1085">
        <v>423</v>
      </c>
      <c r="B1085" s="1">
        <v>45407</v>
      </c>
      <c r="C1085" t="s">
        <v>12</v>
      </c>
      <c r="D1085" s="2">
        <v>0</v>
      </c>
      <c r="E1085" s="2">
        <v>32.409999999999997</v>
      </c>
      <c r="F1085" t="s">
        <v>16</v>
      </c>
      <c r="G1085" t="s">
        <v>17</v>
      </c>
    </row>
    <row r="1086" spans="1:7" x14ac:dyDescent="0.35">
      <c r="A1086">
        <v>424</v>
      </c>
      <c r="B1086" s="1">
        <v>45407</v>
      </c>
      <c r="C1086" t="s">
        <v>12</v>
      </c>
      <c r="D1086" s="2">
        <v>3447.01</v>
      </c>
      <c r="E1086" s="2">
        <v>0</v>
      </c>
      <c r="F1086" t="s">
        <v>13</v>
      </c>
      <c r="G1086" t="s">
        <v>9</v>
      </c>
    </row>
    <row r="1087" spans="1:7" x14ac:dyDescent="0.35">
      <c r="A1087">
        <v>424</v>
      </c>
      <c r="B1087" s="1">
        <v>45407</v>
      </c>
      <c r="C1087" t="s">
        <v>12</v>
      </c>
      <c r="D1087" s="2">
        <v>0</v>
      </c>
      <c r="E1087" s="2">
        <v>3206.53</v>
      </c>
      <c r="F1087" t="s">
        <v>14</v>
      </c>
      <c r="G1087" t="s">
        <v>15</v>
      </c>
    </row>
    <row r="1088" spans="1:7" x14ac:dyDescent="0.35">
      <c r="A1088">
        <v>424</v>
      </c>
      <c r="B1088" s="1">
        <v>45407</v>
      </c>
      <c r="C1088" t="s">
        <v>12</v>
      </c>
      <c r="D1088" s="2">
        <v>0</v>
      </c>
      <c r="E1088" s="2">
        <v>240.48</v>
      </c>
      <c r="F1088" t="s">
        <v>16</v>
      </c>
      <c r="G1088" t="s">
        <v>17</v>
      </c>
    </row>
    <row r="1089" spans="1:7" x14ac:dyDescent="0.35">
      <c r="A1089">
        <v>425</v>
      </c>
      <c r="B1089" s="1">
        <v>45407</v>
      </c>
      <c r="C1089" t="s">
        <v>12</v>
      </c>
      <c r="D1089" s="2">
        <v>2080.5300000000002</v>
      </c>
      <c r="E1089" s="2">
        <v>0</v>
      </c>
      <c r="F1089" t="s">
        <v>13</v>
      </c>
      <c r="G1089" t="s">
        <v>9</v>
      </c>
    </row>
    <row r="1090" spans="1:7" x14ac:dyDescent="0.35">
      <c r="A1090">
        <v>425</v>
      </c>
      <c r="B1090" s="1">
        <v>45407</v>
      </c>
      <c r="C1090" t="s">
        <v>12</v>
      </c>
      <c r="D1090" s="2">
        <v>0</v>
      </c>
      <c r="E1090" s="2">
        <v>1935.38</v>
      </c>
      <c r="F1090" t="s">
        <v>14</v>
      </c>
      <c r="G1090" t="s">
        <v>15</v>
      </c>
    </row>
    <row r="1091" spans="1:7" x14ac:dyDescent="0.35">
      <c r="A1091">
        <v>425</v>
      </c>
      <c r="B1091" s="1">
        <v>45407</v>
      </c>
      <c r="C1091" t="s">
        <v>12</v>
      </c>
      <c r="D1091" s="2">
        <v>0</v>
      </c>
      <c r="E1091" s="2">
        <v>145.15</v>
      </c>
      <c r="F1091" t="s">
        <v>16</v>
      </c>
      <c r="G1091" t="s">
        <v>17</v>
      </c>
    </row>
    <row r="1092" spans="1:7" x14ac:dyDescent="0.35">
      <c r="A1092">
        <v>426</v>
      </c>
      <c r="B1092" s="1">
        <v>45407</v>
      </c>
      <c r="C1092" t="s">
        <v>24</v>
      </c>
      <c r="D1092" s="2">
        <v>813.71</v>
      </c>
      <c r="E1092" s="2">
        <v>0</v>
      </c>
      <c r="F1092" t="s">
        <v>8</v>
      </c>
      <c r="G1092" t="s">
        <v>9</v>
      </c>
    </row>
    <row r="1093" spans="1:7" x14ac:dyDescent="0.35">
      <c r="A1093">
        <v>426</v>
      </c>
      <c r="B1093" s="1">
        <v>45407</v>
      </c>
      <c r="C1093" t="s">
        <v>24</v>
      </c>
      <c r="D1093" s="2">
        <v>0</v>
      </c>
      <c r="E1093" s="2">
        <v>813.71</v>
      </c>
      <c r="F1093" t="s">
        <v>13</v>
      </c>
      <c r="G1093" t="s">
        <v>9</v>
      </c>
    </row>
    <row r="1094" spans="1:7" x14ac:dyDescent="0.35">
      <c r="A1094">
        <v>427</v>
      </c>
      <c r="B1094" s="1">
        <v>45407</v>
      </c>
      <c r="C1094" t="s">
        <v>24</v>
      </c>
      <c r="D1094" s="2">
        <v>1417.67</v>
      </c>
      <c r="E1094" s="2">
        <v>0</v>
      </c>
      <c r="F1094" t="s">
        <v>8</v>
      </c>
      <c r="G1094" t="s">
        <v>9</v>
      </c>
    </row>
    <row r="1095" spans="1:7" x14ac:dyDescent="0.35">
      <c r="A1095">
        <v>427</v>
      </c>
      <c r="B1095" s="1">
        <v>45407</v>
      </c>
      <c r="C1095" t="s">
        <v>24</v>
      </c>
      <c r="D1095" s="2">
        <v>0</v>
      </c>
      <c r="E1095" s="2">
        <v>1417.67</v>
      </c>
      <c r="F1095" t="s">
        <v>13</v>
      </c>
      <c r="G1095" t="s">
        <v>9</v>
      </c>
    </row>
    <row r="1096" spans="1:7" x14ac:dyDescent="0.35">
      <c r="A1096">
        <v>428</v>
      </c>
      <c r="B1096" s="1">
        <v>45407</v>
      </c>
      <c r="C1096" t="s">
        <v>24</v>
      </c>
      <c r="D1096" s="2">
        <v>234.96</v>
      </c>
      <c r="E1096" s="2">
        <v>0</v>
      </c>
      <c r="F1096" t="s">
        <v>8</v>
      </c>
      <c r="G1096" t="s">
        <v>9</v>
      </c>
    </row>
    <row r="1097" spans="1:7" x14ac:dyDescent="0.35">
      <c r="A1097">
        <v>428</v>
      </c>
      <c r="B1097" s="1">
        <v>45407</v>
      </c>
      <c r="C1097" t="s">
        <v>24</v>
      </c>
      <c r="D1097" s="2">
        <v>0</v>
      </c>
      <c r="E1097" s="2">
        <v>234.96</v>
      </c>
      <c r="F1097" t="s">
        <v>13</v>
      </c>
      <c r="G1097" t="s">
        <v>9</v>
      </c>
    </row>
    <row r="1098" spans="1:7" x14ac:dyDescent="0.35">
      <c r="A1098">
        <v>429</v>
      </c>
      <c r="B1098" s="1">
        <v>45407</v>
      </c>
      <c r="C1098" t="s">
        <v>24</v>
      </c>
      <c r="D1098" s="2">
        <v>3129.75</v>
      </c>
      <c r="E1098" s="2">
        <v>0</v>
      </c>
      <c r="F1098" t="s">
        <v>8</v>
      </c>
      <c r="G1098" t="s">
        <v>9</v>
      </c>
    </row>
    <row r="1099" spans="1:7" x14ac:dyDescent="0.35">
      <c r="A1099">
        <v>429</v>
      </c>
      <c r="B1099" s="1">
        <v>45407</v>
      </c>
      <c r="C1099" t="s">
        <v>24</v>
      </c>
      <c r="D1099" s="2">
        <v>0</v>
      </c>
      <c r="E1099" s="2">
        <v>3129.75</v>
      </c>
      <c r="F1099" t="s">
        <v>13</v>
      </c>
      <c r="G1099" t="s">
        <v>9</v>
      </c>
    </row>
    <row r="1100" spans="1:7" x14ac:dyDescent="0.35">
      <c r="A1100">
        <v>430</v>
      </c>
      <c r="B1100" s="1">
        <v>45407</v>
      </c>
      <c r="C1100" t="s">
        <v>24</v>
      </c>
      <c r="D1100" s="2">
        <v>3568.41</v>
      </c>
      <c r="E1100" s="2">
        <v>0</v>
      </c>
      <c r="F1100" t="s">
        <v>8</v>
      </c>
      <c r="G1100" t="s">
        <v>9</v>
      </c>
    </row>
    <row r="1101" spans="1:7" x14ac:dyDescent="0.35">
      <c r="A1101">
        <v>430</v>
      </c>
      <c r="B1101" s="1">
        <v>45407</v>
      </c>
      <c r="C1101" t="s">
        <v>24</v>
      </c>
      <c r="D1101" s="2">
        <v>0</v>
      </c>
      <c r="E1101" s="2">
        <v>3568.41</v>
      </c>
      <c r="F1101" t="s">
        <v>13</v>
      </c>
      <c r="G1101" t="s">
        <v>9</v>
      </c>
    </row>
    <row r="1102" spans="1:7" x14ac:dyDescent="0.35">
      <c r="A1102">
        <v>431</v>
      </c>
      <c r="B1102" s="1">
        <v>45407</v>
      </c>
      <c r="C1102" t="s">
        <v>25</v>
      </c>
      <c r="D1102" s="2">
        <v>187.44</v>
      </c>
      <c r="E1102" s="2">
        <v>0</v>
      </c>
      <c r="F1102" t="s">
        <v>26</v>
      </c>
      <c r="G1102" t="s">
        <v>20</v>
      </c>
    </row>
    <row r="1103" spans="1:7" x14ac:dyDescent="0.35">
      <c r="A1103">
        <v>431</v>
      </c>
      <c r="B1103" s="1">
        <v>45407</v>
      </c>
      <c r="C1103" t="s">
        <v>25</v>
      </c>
      <c r="D1103" s="2">
        <v>14.06</v>
      </c>
      <c r="E1103" s="2">
        <v>0</v>
      </c>
      <c r="F1103" t="s">
        <v>27</v>
      </c>
      <c r="G1103" t="s">
        <v>9</v>
      </c>
    </row>
    <row r="1104" spans="1:7" x14ac:dyDescent="0.35">
      <c r="A1104">
        <v>431</v>
      </c>
      <c r="B1104" s="1">
        <v>45407</v>
      </c>
      <c r="C1104" t="s">
        <v>25</v>
      </c>
      <c r="D1104" s="2">
        <v>0</v>
      </c>
      <c r="E1104" s="2">
        <v>201.5</v>
      </c>
      <c r="F1104" t="s">
        <v>28</v>
      </c>
      <c r="G1104" t="s">
        <v>17</v>
      </c>
    </row>
    <row r="1105" spans="1:7" x14ac:dyDescent="0.35">
      <c r="A1105">
        <v>432</v>
      </c>
      <c r="B1105" s="1">
        <v>45408</v>
      </c>
      <c r="C1105" t="s">
        <v>12</v>
      </c>
      <c r="D1105" s="2">
        <v>1125.8900000000001</v>
      </c>
      <c r="E1105" s="2">
        <v>0</v>
      </c>
      <c r="F1105" t="s">
        <v>13</v>
      </c>
      <c r="G1105" t="s">
        <v>9</v>
      </c>
    </row>
    <row r="1106" spans="1:7" x14ac:dyDescent="0.35">
      <c r="A1106">
        <v>432</v>
      </c>
      <c r="B1106" s="1">
        <v>45408</v>
      </c>
      <c r="C1106" t="s">
        <v>12</v>
      </c>
      <c r="D1106" s="2">
        <v>0</v>
      </c>
      <c r="E1106" s="2">
        <v>1047.3399999999999</v>
      </c>
      <c r="F1106" t="s">
        <v>14</v>
      </c>
      <c r="G1106" t="s">
        <v>15</v>
      </c>
    </row>
    <row r="1107" spans="1:7" x14ac:dyDescent="0.35">
      <c r="A1107">
        <v>432</v>
      </c>
      <c r="B1107" s="1">
        <v>45408</v>
      </c>
      <c r="C1107" t="s">
        <v>12</v>
      </c>
      <c r="D1107" s="2">
        <v>0</v>
      </c>
      <c r="E1107" s="2">
        <v>78.55</v>
      </c>
      <c r="F1107" t="s">
        <v>16</v>
      </c>
      <c r="G1107" t="s">
        <v>17</v>
      </c>
    </row>
    <row r="1108" spans="1:7" x14ac:dyDescent="0.35">
      <c r="A1108">
        <v>433</v>
      </c>
      <c r="B1108" s="1">
        <v>45408</v>
      </c>
      <c r="C1108" t="s">
        <v>12</v>
      </c>
      <c r="D1108" s="2">
        <v>2169.69</v>
      </c>
      <c r="E1108" s="2">
        <v>0</v>
      </c>
      <c r="F1108" t="s">
        <v>13</v>
      </c>
      <c r="G1108" t="s">
        <v>9</v>
      </c>
    </row>
    <row r="1109" spans="1:7" x14ac:dyDescent="0.35">
      <c r="A1109">
        <v>433</v>
      </c>
      <c r="B1109" s="1">
        <v>45408</v>
      </c>
      <c r="C1109" t="s">
        <v>12</v>
      </c>
      <c r="D1109" s="2">
        <v>0</v>
      </c>
      <c r="E1109" s="2">
        <v>2018.31</v>
      </c>
      <c r="F1109" t="s">
        <v>14</v>
      </c>
      <c r="G1109" t="s">
        <v>15</v>
      </c>
    </row>
    <row r="1110" spans="1:7" x14ac:dyDescent="0.35">
      <c r="A1110">
        <v>433</v>
      </c>
      <c r="B1110" s="1">
        <v>45408</v>
      </c>
      <c r="C1110" t="s">
        <v>12</v>
      </c>
      <c r="D1110" s="2">
        <v>0</v>
      </c>
      <c r="E1110" s="2">
        <v>151.38</v>
      </c>
      <c r="F1110" t="s">
        <v>16</v>
      </c>
      <c r="G1110" t="s">
        <v>17</v>
      </c>
    </row>
    <row r="1111" spans="1:7" x14ac:dyDescent="0.35">
      <c r="A1111">
        <v>434</v>
      </c>
      <c r="B1111" s="1">
        <v>45408</v>
      </c>
      <c r="C1111" t="s">
        <v>12</v>
      </c>
      <c r="D1111" s="2">
        <v>2361.2800000000002</v>
      </c>
      <c r="E1111" s="2">
        <v>0</v>
      </c>
      <c r="F1111" t="s">
        <v>13</v>
      </c>
      <c r="G1111" t="s">
        <v>9</v>
      </c>
    </row>
    <row r="1112" spans="1:7" x14ac:dyDescent="0.35">
      <c r="A1112">
        <v>434</v>
      </c>
      <c r="B1112" s="1">
        <v>45408</v>
      </c>
      <c r="C1112" t="s">
        <v>12</v>
      </c>
      <c r="D1112" s="2">
        <v>0</v>
      </c>
      <c r="E1112" s="2">
        <v>2196.5500000000002</v>
      </c>
      <c r="F1112" t="s">
        <v>14</v>
      </c>
      <c r="G1112" t="s">
        <v>15</v>
      </c>
    </row>
    <row r="1113" spans="1:7" x14ac:dyDescent="0.35">
      <c r="A1113">
        <v>434</v>
      </c>
      <c r="B1113" s="1">
        <v>45408</v>
      </c>
      <c r="C1113" t="s">
        <v>12</v>
      </c>
      <c r="D1113" s="2">
        <v>0</v>
      </c>
      <c r="E1113" s="2">
        <v>164.73</v>
      </c>
      <c r="F1113" t="s">
        <v>16</v>
      </c>
      <c r="G1113" t="s">
        <v>17</v>
      </c>
    </row>
    <row r="1114" spans="1:7" x14ac:dyDescent="0.35">
      <c r="A1114">
        <v>435</v>
      </c>
      <c r="B1114" s="1">
        <v>45408</v>
      </c>
      <c r="C1114" t="s">
        <v>12</v>
      </c>
      <c r="D1114" s="2">
        <v>534.91999999999996</v>
      </c>
      <c r="E1114" s="2">
        <v>0</v>
      </c>
      <c r="F1114" t="s">
        <v>13</v>
      </c>
      <c r="G1114" t="s">
        <v>9</v>
      </c>
    </row>
    <row r="1115" spans="1:7" x14ac:dyDescent="0.35">
      <c r="A1115">
        <v>435</v>
      </c>
      <c r="B1115" s="1">
        <v>45408</v>
      </c>
      <c r="C1115" t="s">
        <v>12</v>
      </c>
      <c r="D1115" s="2">
        <v>0</v>
      </c>
      <c r="E1115" s="2">
        <v>497.6</v>
      </c>
      <c r="F1115" t="s">
        <v>14</v>
      </c>
      <c r="G1115" t="s">
        <v>15</v>
      </c>
    </row>
    <row r="1116" spans="1:7" x14ac:dyDescent="0.35">
      <c r="A1116">
        <v>435</v>
      </c>
      <c r="B1116" s="1">
        <v>45408</v>
      </c>
      <c r="C1116" t="s">
        <v>12</v>
      </c>
      <c r="D1116" s="2">
        <v>0</v>
      </c>
      <c r="E1116" s="2">
        <v>37.32</v>
      </c>
      <c r="F1116" t="s">
        <v>16</v>
      </c>
      <c r="G1116" t="s">
        <v>17</v>
      </c>
    </row>
    <row r="1117" spans="1:7" x14ac:dyDescent="0.35">
      <c r="A1117">
        <v>436</v>
      </c>
      <c r="B1117" s="1">
        <v>45408</v>
      </c>
      <c r="C1117" t="s">
        <v>12</v>
      </c>
      <c r="D1117" s="2">
        <v>3811.45</v>
      </c>
      <c r="E1117" s="2">
        <v>0</v>
      </c>
      <c r="F1117" t="s">
        <v>13</v>
      </c>
      <c r="G1117" t="s">
        <v>9</v>
      </c>
    </row>
    <row r="1118" spans="1:7" x14ac:dyDescent="0.35">
      <c r="A1118">
        <v>436</v>
      </c>
      <c r="B1118" s="1">
        <v>45408</v>
      </c>
      <c r="C1118" t="s">
        <v>12</v>
      </c>
      <c r="D1118" s="2">
        <v>0</v>
      </c>
      <c r="E1118" s="2">
        <v>3545.54</v>
      </c>
      <c r="F1118" t="s">
        <v>14</v>
      </c>
      <c r="G1118" t="s">
        <v>15</v>
      </c>
    </row>
    <row r="1119" spans="1:7" x14ac:dyDescent="0.35">
      <c r="A1119">
        <v>436</v>
      </c>
      <c r="B1119" s="1">
        <v>45408</v>
      </c>
      <c r="C1119" t="s">
        <v>12</v>
      </c>
      <c r="D1119" s="2">
        <v>0</v>
      </c>
      <c r="E1119" s="2">
        <v>265.91000000000003</v>
      </c>
      <c r="F1119" t="s">
        <v>16</v>
      </c>
      <c r="G1119" t="s">
        <v>17</v>
      </c>
    </row>
    <row r="1120" spans="1:7" x14ac:dyDescent="0.35">
      <c r="A1120">
        <v>437</v>
      </c>
      <c r="B1120" s="1">
        <v>45408</v>
      </c>
      <c r="C1120" t="s">
        <v>24</v>
      </c>
      <c r="D1120" s="2">
        <v>108.07</v>
      </c>
      <c r="E1120" s="2">
        <v>0</v>
      </c>
      <c r="F1120" t="s">
        <v>8</v>
      </c>
      <c r="G1120" t="s">
        <v>9</v>
      </c>
    </row>
    <row r="1121" spans="1:7" x14ac:dyDescent="0.35">
      <c r="A1121">
        <v>437</v>
      </c>
      <c r="B1121" s="1">
        <v>45408</v>
      </c>
      <c r="C1121" t="s">
        <v>24</v>
      </c>
      <c r="D1121" s="2">
        <v>0</v>
      </c>
      <c r="E1121" s="2">
        <v>108.07</v>
      </c>
      <c r="F1121" t="s">
        <v>13</v>
      </c>
      <c r="G1121" t="s">
        <v>9</v>
      </c>
    </row>
    <row r="1122" spans="1:7" x14ac:dyDescent="0.35">
      <c r="A1122">
        <v>438</v>
      </c>
      <c r="B1122" s="1">
        <v>45408</v>
      </c>
      <c r="C1122" t="s">
        <v>24</v>
      </c>
      <c r="D1122" s="2">
        <v>4595.53</v>
      </c>
      <c r="E1122" s="2">
        <v>0</v>
      </c>
      <c r="F1122" t="s">
        <v>8</v>
      </c>
      <c r="G1122" t="s">
        <v>9</v>
      </c>
    </row>
    <row r="1123" spans="1:7" x14ac:dyDescent="0.35">
      <c r="A1123">
        <v>438</v>
      </c>
      <c r="B1123" s="1">
        <v>45408</v>
      </c>
      <c r="C1123" t="s">
        <v>24</v>
      </c>
      <c r="D1123" s="2">
        <v>0</v>
      </c>
      <c r="E1123" s="2">
        <v>4595.53</v>
      </c>
      <c r="F1123" t="s">
        <v>13</v>
      </c>
      <c r="G1123" t="s">
        <v>9</v>
      </c>
    </row>
    <row r="1124" spans="1:7" x14ac:dyDescent="0.35">
      <c r="A1124">
        <v>439</v>
      </c>
      <c r="B1124" s="1">
        <v>45408</v>
      </c>
      <c r="C1124" t="s">
        <v>24</v>
      </c>
      <c r="D1124" s="2">
        <v>2169.69</v>
      </c>
      <c r="E1124" s="2">
        <v>0</v>
      </c>
      <c r="F1124" t="s">
        <v>8</v>
      </c>
      <c r="G1124" t="s">
        <v>9</v>
      </c>
    </row>
    <row r="1125" spans="1:7" x14ac:dyDescent="0.35">
      <c r="A1125">
        <v>439</v>
      </c>
      <c r="B1125" s="1">
        <v>45408</v>
      </c>
      <c r="C1125" t="s">
        <v>24</v>
      </c>
      <c r="D1125" s="2">
        <v>0</v>
      </c>
      <c r="E1125" s="2">
        <v>2169.69</v>
      </c>
      <c r="F1125" t="s">
        <v>13</v>
      </c>
      <c r="G1125" t="s">
        <v>9</v>
      </c>
    </row>
    <row r="1126" spans="1:7" x14ac:dyDescent="0.35">
      <c r="A1126">
        <v>440</v>
      </c>
      <c r="B1126" s="1">
        <v>45408</v>
      </c>
      <c r="C1126" t="s">
        <v>24</v>
      </c>
      <c r="D1126" s="2">
        <v>2361.2800000000002</v>
      </c>
      <c r="E1126" s="2">
        <v>0</v>
      </c>
      <c r="F1126" t="s">
        <v>8</v>
      </c>
      <c r="G1126" t="s">
        <v>9</v>
      </c>
    </row>
    <row r="1127" spans="1:7" x14ac:dyDescent="0.35">
      <c r="A1127">
        <v>440</v>
      </c>
      <c r="B1127" s="1">
        <v>45408</v>
      </c>
      <c r="C1127" t="s">
        <v>24</v>
      </c>
      <c r="D1127" s="2">
        <v>0</v>
      </c>
      <c r="E1127" s="2">
        <v>2361.2800000000002</v>
      </c>
      <c r="F1127" t="s">
        <v>13</v>
      </c>
      <c r="G1127" t="s">
        <v>9</v>
      </c>
    </row>
    <row r="1128" spans="1:7" x14ac:dyDescent="0.35">
      <c r="A1128">
        <v>441</v>
      </c>
      <c r="B1128" s="1">
        <v>45411</v>
      </c>
      <c r="C1128" t="s">
        <v>12</v>
      </c>
      <c r="D1128" s="2">
        <v>2792.87</v>
      </c>
      <c r="E1128" s="2">
        <v>0</v>
      </c>
      <c r="F1128" t="s">
        <v>13</v>
      </c>
      <c r="G1128" t="s">
        <v>9</v>
      </c>
    </row>
    <row r="1129" spans="1:7" x14ac:dyDescent="0.35">
      <c r="A1129">
        <v>441</v>
      </c>
      <c r="B1129" s="1">
        <v>45411</v>
      </c>
      <c r="C1129" t="s">
        <v>12</v>
      </c>
      <c r="D1129" s="2">
        <v>0</v>
      </c>
      <c r="E1129" s="2">
        <v>2598.02</v>
      </c>
      <c r="F1129" t="s">
        <v>14</v>
      </c>
      <c r="G1129" t="s">
        <v>15</v>
      </c>
    </row>
    <row r="1130" spans="1:7" x14ac:dyDescent="0.35">
      <c r="A1130">
        <v>441</v>
      </c>
      <c r="B1130" s="1">
        <v>45411</v>
      </c>
      <c r="C1130" t="s">
        <v>12</v>
      </c>
      <c r="D1130" s="2">
        <v>0</v>
      </c>
      <c r="E1130" s="2">
        <v>194.85</v>
      </c>
      <c r="F1130" t="s">
        <v>16</v>
      </c>
      <c r="G1130" t="s">
        <v>17</v>
      </c>
    </row>
    <row r="1131" spans="1:7" x14ac:dyDescent="0.35">
      <c r="A1131">
        <v>442</v>
      </c>
      <c r="B1131" s="1">
        <v>45411</v>
      </c>
      <c r="C1131" t="s">
        <v>12</v>
      </c>
      <c r="D1131" s="2">
        <v>1208.32</v>
      </c>
      <c r="E1131" s="2">
        <v>0</v>
      </c>
      <c r="F1131" t="s">
        <v>13</v>
      </c>
      <c r="G1131" t="s">
        <v>9</v>
      </c>
    </row>
    <row r="1132" spans="1:7" x14ac:dyDescent="0.35">
      <c r="A1132">
        <v>442</v>
      </c>
      <c r="B1132" s="1">
        <v>45411</v>
      </c>
      <c r="C1132" t="s">
        <v>12</v>
      </c>
      <c r="D1132" s="2">
        <v>0</v>
      </c>
      <c r="E1132" s="2">
        <v>1124.02</v>
      </c>
      <c r="F1132" t="s">
        <v>14</v>
      </c>
      <c r="G1132" t="s">
        <v>15</v>
      </c>
    </row>
    <row r="1133" spans="1:7" x14ac:dyDescent="0.35">
      <c r="A1133">
        <v>442</v>
      </c>
      <c r="B1133" s="1">
        <v>45411</v>
      </c>
      <c r="C1133" t="s">
        <v>12</v>
      </c>
      <c r="D1133" s="2">
        <v>0</v>
      </c>
      <c r="E1133" s="2">
        <v>84.3</v>
      </c>
      <c r="F1133" t="s">
        <v>16</v>
      </c>
      <c r="G1133" t="s">
        <v>17</v>
      </c>
    </row>
    <row r="1134" spans="1:7" x14ac:dyDescent="0.35">
      <c r="A1134">
        <v>443</v>
      </c>
      <c r="B1134" s="1">
        <v>45411</v>
      </c>
      <c r="C1134" t="s">
        <v>12</v>
      </c>
      <c r="D1134" s="2">
        <v>3648.55</v>
      </c>
      <c r="E1134" s="2">
        <v>0</v>
      </c>
      <c r="F1134" t="s">
        <v>13</v>
      </c>
      <c r="G1134" t="s">
        <v>9</v>
      </c>
    </row>
    <row r="1135" spans="1:7" x14ac:dyDescent="0.35">
      <c r="A1135">
        <v>443</v>
      </c>
      <c r="B1135" s="1">
        <v>45411</v>
      </c>
      <c r="C1135" t="s">
        <v>12</v>
      </c>
      <c r="D1135" s="2">
        <v>0</v>
      </c>
      <c r="E1135" s="2">
        <v>3394</v>
      </c>
      <c r="F1135" t="s">
        <v>14</v>
      </c>
      <c r="G1135" t="s">
        <v>15</v>
      </c>
    </row>
    <row r="1136" spans="1:7" x14ac:dyDescent="0.35">
      <c r="A1136">
        <v>443</v>
      </c>
      <c r="B1136" s="1">
        <v>45411</v>
      </c>
      <c r="C1136" t="s">
        <v>12</v>
      </c>
      <c r="D1136" s="2">
        <v>0</v>
      </c>
      <c r="E1136" s="2">
        <v>254.55</v>
      </c>
      <c r="F1136" t="s">
        <v>16</v>
      </c>
      <c r="G1136" t="s">
        <v>17</v>
      </c>
    </row>
    <row r="1137" spans="1:7" x14ac:dyDescent="0.35">
      <c r="A1137">
        <v>444</v>
      </c>
      <c r="B1137" s="1">
        <v>45411</v>
      </c>
      <c r="C1137" t="s">
        <v>24</v>
      </c>
      <c r="D1137" s="2">
        <v>2448.11</v>
      </c>
      <c r="E1137" s="2">
        <v>0</v>
      </c>
      <c r="F1137" t="s">
        <v>8</v>
      </c>
      <c r="G1137" t="s">
        <v>9</v>
      </c>
    </row>
    <row r="1138" spans="1:7" x14ac:dyDescent="0.35">
      <c r="A1138">
        <v>444</v>
      </c>
      <c r="B1138" s="1">
        <v>45411</v>
      </c>
      <c r="C1138" t="s">
        <v>24</v>
      </c>
      <c r="D1138" s="2">
        <v>0</v>
      </c>
      <c r="E1138" s="2">
        <v>2448.11</v>
      </c>
      <c r="F1138" t="s">
        <v>13</v>
      </c>
      <c r="G1138" t="s">
        <v>9</v>
      </c>
    </row>
    <row r="1139" spans="1:7" x14ac:dyDescent="0.35">
      <c r="A1139">
        <v>445</v>
      </c>
      <c r="B1139" s="1">
        <v>45411</v>
      </c>
      <c r="C1139" t="s">
        <v>25</v>
      </c>
      <c r="D1139" s="2">
        <v>952.02</v>
      </c>
      <c r="E1139" s="2">
        <v>0</v>
      </c>
      <c r="F1139" t="s">
        <v>26</v>
      </c>
      <c r="G1139" t="s">
        <v>20</v>
      </c>
    </row>
    <row r="1140" spans="1:7" x14ac:dyDescent="0.35">
      <c r="A1140">
        <v>445</v>
      </c>
      <c r="B1140" s="1">
        <v>45411</v>
      </c>
      <c r="C1140" t="s">
        <v>25</v>
      </c>
      <c r="D1140" s="2">
        <v>71.400000000000006</v>
      </c>
      <c r="E1140" s="2">
        <v>0</v>
      </c>
      <c r="F1140" t="s">
        <v>27</v>
      </c>
      <c r="G1140" t="s">
        <v>9</v>
      </c>
    </row>
    <row r="1141" spans="1:7" x14ac:dyDescent="0.35">
      <c r="A1141">
        <v>445</v>
      </c>
      <c r="B1141" s="1">
        <v>45411</v>
      </c>
      <c r="C1141" t="s">
        <v>25</v>
      </c>
      <c r="D1141" s="2">
        <v>0</v>
      </c>
      <c r="E1141" s="2">
        <v>1023.42</v>
      </c>
      <c r="F1141" t="s">
        <v>28</v>
      </c>
      <c r="G1141" t="s">
        <v>17</v>
      </c>
    </row>
    <row r="1142" spans="1:7" x14ac:dyDescent="0.35">
      <c r="A1142">
        <v>446</v>
      </c>
      <c r="B1142" s="1">
        <v>45411</v>
      </c>
      <c r="C1142" t="s">
        <v>25</v>
      </c>
      <c r="D1142" s="2">
        <v>1800.04</v>
      </c>
      <c r="E1142" s="2">
        <v>0</v>
      </c>
      <c r="F1142" t="s">
        <v>26</v>
      </c>
      <c r="G1142" t="s">
        <v>20</v>
      </c>
    </row>
    <row r="1143" spans="1:7" x14ac:dyDescent="0.35">
      <c r="A1143">
        <v>446</v>
      </c>
      <c r="B1143" s="1">
        <v>45411</v>
      </c>
      <c r="C1143" t="s">
        <v>25</v>
      </c>
      <c r="D1143" s="2">
        <v>135</v>
      </c>
      <c r="E1143" s="2">
        <v>0</v>
      </c>
      <c r="F1143" t="s">
        <v>27</v>
      </c>
      <c r="G1143" t="s">
        <v>9</v>
      </c>
    </row>
    <row r="1144" spans="1:7" x14ac:dyDescent="0.35">
      <c r="A1144">
        <v>446</v>
      </c>
      <c r="B1144" s="1">
        <v>45411</v>
      </c>
      <c r="C1144" t="s">
        <v>25</v>
      </c>
      <c r="D1144" s="2">
        <v>0</v>
      </c>
      <c r="E1144" s="2">
        <v>1935.04</v>
      </c>
      <c r="F1144" t="s">
        <v>28</v>
      </c>
      <c r="G1144" t="s">
        <v>17</v>
      </c>
    </row>
    <row r="1145" spans="1:7" x14ac:dyDescent="0.35">
      <c r="A1145">
        <v>447</v>
      </c>
      <c r="B1145" s="1">
        <v>45411</v>
      </c>
      <c r="C1145" t="s">
        <v>25</v>
      </c>
      <c r="D1145" s="2">
        <v>2451.5</v>
      </c>
      <c r="E1145" s="2">
        <v>0</v>
      </c>
      <c r="F1145" t="s">
        <v>26</v>
      </c>
      <c r="G1145" t="s">
        <v>20</v>
      </c>
    </row>
    <row r="1146" spans="1:7" x14ac:dyDescent="0.35">
      <c r="A1146">
        <v>447</v>
      </c>
      <c r="B1146" s="1">
        <v>45411</v>
      </c>
      <c r="C1146" t="s">
        <v>25</v>
      </c>
      <c r="D1146" s="2">
        <v>183.86</v>
      </c>
      <c r="E1146" s="2">
        <v>0</v>
      </c>
      <c r="F1146" t="s">
        <v>27</v>
      </c>
      <c r="G1146" t="s">
        <v>9</v>
      </c>
    </row>
    <row r="1147" spans="1:7" x14ac:dyDescent="0.35">
      <c r="A1147">
        <v>447</v>
      </c>
      <c r="B1147" s="1">
        <v>45411</v>
      </c>
      <c r="C1147" t="s">
        <v>25</v>
      </c>
      <c r="D1147" s="2">
        <v>0</v>
      </c>
      <c r="E1147" s="2">
        <v>2635.36</v>
      </c>
      <c r="F1147" t="s">
        <v>28</v>
      </c>
      <c r="G1147" t="s">
        <v>17</v>
      </c>
    </row>
    <row r="1148" spans="1:7" x14ac:dyDescent="0.35">
      <c r="A1148">
        <v>448</v>
      </c>
      <c r="B1148" s="1">
        <v>45411</v>
      </c>
      <c r="C1148" t="s">
        <v>25</v>
      </c>
      <c r="D1148" s="2">
        <v>1078.92</v>
      </c>
      <c r="E1148" s="2">
        <v>0</v>
      </c>
      <c r="F1148" t="s">
        <v>26</v>
      </c>
      <c r="G1148" t="s">
        <v>20</v>
      </c>
    </row>
    <row r="1149" spans="1:7" x14ac:dyDescent="0.35">
      <c r="A1149">
        <v>448</v>
      </c>
      <c r="B1149" s="1">
        <v>45411</v>
      </c>
      <c r="C1149" t="s">
        <v>25</v>
      </c>
      <c r="D1149" s="2">
        <v>80.92</v>
      </c>
      <c r="E1149" s="2">
        <v>0</v>
      </c>
      <c r="F1149" t="s">
        <v>27</v>
      </c>
      <c r="G1149" t="s">
        <v>9</v>
      </c>
    </row>
    <row r="1150" spans="1:7" x14ac:dyDescent="0.35">
      <c r="A1150">
        <v>448</v>
      </c>
      <c r="B1150" s="1">
        <v>45411</v>
      </c>
      <c r="C1150" t="s">
        <v>25</v>
      </c>
      <c r="D1150" s="2">
        <v>0</v>
      </c>
      <c r="E1150" s="2">
        <v>1159.8399999999999</v>
      </c>
      <c r="F1150" t="s">
        <v>28</v>
      </c>
      <c r="G1150" t="s">
        <v>17</v>
      </c>
    </row>
    <row r="1151" spans="1:7" x14ac:dyDescent="0.35">
      <c r="A1151">
        <v>449</v>
      </c>
      <c r="B1151" s="1">
        <v>45411</v>
      </c>
      <c r="C1151" t="s">
        <v>25</v>
      </c>
      <c r="D1151" s="2">
        <v>4476.71</v>
      </c>
      <c r="E1151" s="2">
        <v>0</v>
      </c>
      <c r="F1151" t="s">
        <v>26</v>
      </c>
      <c r="G1151" t="s">
        <v>20</v>
      </c>
    </row>
    <row r="1152" spans="1:7" x14ac:dyDescent="0.35">
      <c r="A1152">
        <v>449</v>
      </c>
      <c r="B1152" s="1">
        <v>45411</v>
      </c>
      <c r="C1152" t="s">
        <v>25</v>
      </c>
      <c r="D1152" s="2">
        <v>335.75</v>
      </c>
      <c r="E1152" s="2">
        <v>0</v>
      </c>
      <c r="F1152" t="s">
        <v>27</v>
      </c>
      <c r="G1152" t="s">
        <v>9</v>
      </c>
    </row>
    <row r="1153" spans="1:7" x14ac:dyDescent="0.35">
      <c r="A1153">
        <v>449</v>
      </c>
      <c r="B1153" s="1">
        <v>45411</v>
      </c>
      <c r="C1153" t="s">
        <v>25</v>
      </c>
      <c r="D1153" s="2">
        <v>0</v>
      </c>
      <c r="E1153" s="2">
        <v>4812.46</v>
      </c>
      <c r="F1153" t="s">
        <v>28</v>
      </c>
      <c r="G1153" t="s">
        <v>17</v>
      </c>
    </row>
    <row r="1154" spans="1:7" x14ac:dyDescent="0.35">
      <c r="A1154">
        <v>450</v>
      </c>
      <c r="B1154" s="1">
        <v>45411</v>
      </c>
      <c r="C1154" t="s">
        <v>29</v>
      </c>
      <c r="D1154" s="2">
        <v>4812.46</v>
      </c>
      <c r="E1154" s="2">
        <v>0</v>
      </c>
      <c r="F1154" t="s">
        <v>28</v>
      </c>
      <c r="G1154" t="s">
        <v>17</v>
      </c>
    </row>
    <row r="1155" spans="1:7" x14ac:dyDescent="0.35">
      <c r="A1155">
        <v>450</v>
      </c>
      <c r="B1155" s="1">
        <v>45411</v>
      </c>
      <c r="C1155" t="s">
        <v>29</v>
      </c>
      <c r="D1155" s="2">
        <v>0</v>
      </c>
      <c r="E1155" s="2">
        <v>4812.46</v>
      </c>
      <c r="F1155" t="s">
        <v>8</v>
      </c>
      <c r="G1155" t="s">
        <v>9</v>
      </c>
    </row>
    <row r="1156" spans="1:7" x14ac:dyDescent="0.35">
      <c r="A1156">
        <v>451</v>
      </c>
      <c r="B1156" s="1">
        <v>45411</v>
      </c>
      <c r="C1156" t="s">
        <v>29</v>
      </c>
      <c r="D1156" s="2">
        <v>1023.42</v>
      </c>
      <c r="E1156" s="2">
        <v>0</v>
      </c>
      <c r="F1156" t="s">
        <v>28</v>
      </c>
      <c r="G1156" t="s">
        <v>17</v>
      </c>
    </row>
    <row r="1157" spans="1:7" x14ac:dyDescent="0.35">
      <c r="A1157">
        <v>451</v>
      </c>
      <c r="B1157" s="1">
        <v>45411</v>
      </c>
      <c r="C1157" t="s">
        <v>29</v>
      </c>
      <c r="D1157" s="2">
        <v>0</v>
      </c>
      <c r="E1157" s="2">
        <v>1023.42</v>
      </c>
      <c r="F1157" t="s">
        <v>8</v>
      </c>
      <c r="G1157" t="s">
        <v>9</v>
      </c>
    </row>
    <row r="1158" spans="1:7" x14ac:dyDescent="0.35">
      <c r="A1158">
        <v>452</v>
      </c>
      <c r="B1158" s="1">
        <v>45411</v>
      </c>
      <c r="C1158" t="s">
        <v>29</v>
      </c>
      <c r="D1158" s="2">
        <v>1023.42</v>
      </c>
      <c r="E1158" s="2">
        <v>0</v>
      </c>
      <c r="F1158" t="s">
        <v>28</v>
      </c>
      <c r="G1158" t="s">
        <v>17</v>
      </c>
    </row>
    <row r="1159" spans="1:7" x14ac:dyDescent="0.35">
      <c r="A1159">
        <v>452</v>
      </c>
      <c r="B1159" s="1">
        <v>45411</v>
      </c>
      <c r="C1159" t="s">
        <v>29</v>
      </c>
      <c r="D1159" s="2">
        <v>0</v>
      </c>
      <c r="E1159" s="2">
        <v>1023.42</v>
      </c>
      <c r="F1159" t="s">
        <v>8</v>
      </c>
      <c r="G1159" t="s">
        <v>9</v>
      </c>
    </row>
    <row r="1160" spans="1:7" x14ac:dyDescent="0.35">
      <c r="A1160">
        <v>453</v>
      </c>
      <c r="B1160" s="1">
        <v>45412</v>
      </c>
      <c r="C1160" t="s">
        <v>12</v>
      </c>
      <c r="D1160" s="2">
        <v>4861.78</v>
      </c>
      <c r="E1160" s="2">
        <v>0</v>
      </c>
      <c r="F1160" t="s">
        <v>13</v>
      </c>
      <c r="G1160" t="s">
        <v>9</v>
      </c>
    </row>
    <row r="1161" spans="1:7" x14ac:dyDescent="0.35">
      <c r="A1161">
        <v>453</v>
      </c>
      <c r="B1161" s="1">
        <v>45412</v>
      </c>
      <c r="C1161" t="s">
        <v>12</v>
      </c>
      <c r="D1161" s="2">
        <v>0</v>
      </c>
      <c r="E1161" s="2">
        <v>4522.58</v>
      </c>
      <c r="F1161" t="s">
        <v>14</v>
      </c>
      <c r="G1161" t="s">
        <v>15</v>
      </c>
    </row>
    <row r="1162" spans="1:7" x14ac:dyDescent="0.35">
      <c r="A1162">
        <v>453</v>
      </c>
      <c r="B1162" s="1">
        <v>45412</v>
      </c>
      <c r="C1162" t="s">
        <v>12</v>
      </c>
      <c r="D1162" s="2">
        <v>0</v>
      </c>
      <c r="E1162" s="2">
        <v>339.2</v>
      </c>
      <c r="F1162" t="s">
        <v>16</v>
      </c>
      <c r="G1162" t="s">
        <v>17</v>
      </c>
    </row>
    <row r="1163" spans="1:7" x14ac:dyDescent="0.35">
      <c r="A1163">
        <v>454</v>
      </c>
      <c r="B1163" s="1">
        <v>45412</v>
      </c>
      <c r="C1163" t="s">
        <v>12</v>
      </c>
      <c r="D1163" s="2">
        <v>1055.5</v>
      </c>
      <c r="E1163" s="2">
        <v>0</v>
      </c>
      <c r="F1163" t="s">
        <v>13</v>
      </c>
      <c r="G1163" t="s">
        <v>9</v>
      </c>
    </row>
    <row r="1164" spans="1:7" x14ac:dyDescent="0.35">
      <c r="A1164">
        <v>454</v>
      </c>
      <c r="B1164" s="1">
        <v>45412</v>
      </c>
      <c r="C1164" t="s">
        <v>12</v>
      </c>
      <c r="D1164" s="2">
        <v>0</v>
      </c>
      <c r="E1164" s="2">
        <v>981.85</v>
      </c>
      <c r="F1164" t="s">
        <v>14</v>
      </c>
      <c r="G1164" t="s">
        <v>15</v>
      </c>
    </row>
    <row r="1165" spans="1:7" x14ac:dyDescent="0.35">
      <c r="A1165">
        <v>454</v>
      </c>
      <c r="B1165" s="1">
        <v>45412</v>
      </c>
      <c r="C1165" t="s">
        <v>12</v>
      </c>
      <c r="D1165" s="2">
        <v>0</v>
      </c>
      <c r="E1165" s="2">
        <v>73.650000000000006</v>
      </c>
      <c r="F1165" t="s">
        <v>16</v>
      </c>
      <c r="G1165" t="s">
        <v>17</v>
      </c>
    </row>
    <row r="1166" spans="1:7" x14ac:dyDescent="0.35">
      <c r="A1166">
        <v>455</v>
      </c>
      <c r="B1166" s="1">
        <v>45412</v>
      </c>
      <c r="C1166" t="s">
        <v>30</v>
      </c>
      <c r="D1166" s="2">
        <v>93.61</v>
      </c>
      <c r="E1166" s="2">
        <v>0</v>
      </c>
      <c r="F1166" t="s">
        <v>31</v>
      </c>
      <c r="G1166" t="s">
        <v>20</v>
      </c>
    </row>
    <row r="1167" spans="1:7" x14ac:dyDescent="0.35">
      <c r="A1167">
        <v>455</v>
      </c>
      <c r="B1167" s="1">
        <v>45412</v>
      </c>
      <c r="C1167" t="s">
        <v>30</v>
      </c>
      <c r="D1167" s="2">
        <v>0</v>
      </c>
      <c r="E1167" s="2">
        <v>93.61</v>
      </c>
      <c r="F1167" t="s">
        <v>32</v>
      </c>
      <c r="G1167" t="s">
        <v>9</v>
      </c>
    </row>
    <row r="1168" spans="1:7" x14ac:dyDescent="0.35">
      <c r="A1168">
        <v>456</v>
      </c>
      <c r="B1168" s="1">
        <v>45412</v>
      </c>
      <c r="C1168" t="s">
        <v>33</v>
      </c>
      <c r="D1168" s="2">
        <v>76.86</v>
      </c>
      <c r="E1168" s="2">
        <v>0</v>
      </c>
      <c r="F1168" t="s">
        <v>31</v>
      </c>
      <c r="G1168" t="s">
        <v>20</v>
      </c>
    </row>
    <row r="1169" spans="1:7" x14ac:dyDescent="0.35">
      <c r="A1169">
        <v>456</v>
      </c>
      <c r="B1169" s="1">
        <v>45412</v>
      </c>
      <c r="C1169" t="s">
        <v>33</v>
      </c>
      <c r="D1169" s="2">
        <v>0</v>
      </c>
      <c r="E1169" s="2">
        <v>76.86</v>
      </c>
      <c r="F1169" t="s">
        <v>32</v>
      </c>
      <c r="G1169" t="s">
        <v>9</v>
      </c>
    </row>
    <row r="1170" spans="1:7" x14ac:dyDescent="0.35">
      <c r="A1170">
        <v>457</v>
      </c>
      <c r="B1170" s="1">
        <v>45412</v>
      </c>
      <c r="C1170" t="s">
        <v>34</v>
      </c>
      <c r="D1170" s="2">
        <v>20.03</v>
      </c>
      <c r="E1170" s="2">
        <v>0</v>
      </c>
      <c r="F1170" t="s">
        <v>31</v>
      </c>
      <c r="G1170" t="s">
        <v>20</v>
      </c>
    </row>
    <row r="1171" spans="1:7" x14ac:dyDescent="0.35">
      <c r="A1171">
        <v>457</v>
      </c>
      <c r="B1171" s="1">
        <v>45412</v>
      </c>
      <c r="C1171" t="s">
        <v>34</v>
      </c>
      <c r="D1171" s="2">
        <v>0</v>
      </c>
      <c r="E1171" s="2">
        <v>20.03</v>
      </c>
      <c r="F1171" t="s">
        <v>32</v>
      </c>
      <c r="G1171" t="s">
        <v>9</v>
      </c>
    </row>
    <row r="1172" spans="1:7" x14ac:dyDescent="0.35">
      <c r="A1172">
        <v>458</v>
      </c>
      <c r="B1172" s="1">
        <v>45412</v>
      </c>
      <c r="C1172" t="s">
        <v>35</v>
      </c>
      <c r="D1172" s="2">
        <v>86.89</v>
      </c>
      <c r="E1172" s="2">
        <v>0</v>
      </c>
      <c r="F1172" t="s">
        <v>31</v>
      </c>
      <c r="G1172" t="s">
        <v>20</v>
      </c>
    </row>
    <row r="1173" spans="1:7" x14ac:dyDescent="0.35">
      <c r="A1173">
        <v>458</v>
      </c>
      <c r="B1173" s="1">
        <v>45412</v>
      </c>
      <c r="C1173" t="s">
        <v>35</v>
      </c>
      <c r="D1173" s="2">
        <v>0</v>
      </c>
      <c r="E1173" s="2">
        <v>86.89</v>
      </c>
      <c r="F1173" t="s">
        <v>36</v>
      </c>
      <c r="G1173" t="s">
        <v>9</v>
      </c>
    </row>
    <row r="1174" spans="1:7" x14ac:dyDescent="0.35">
      <c r="A1174">
        <v>459</v>
      </c>
      <c r="B1174" s="1">
        <v>45412</v>
      </c>
      <c r="C1174" t="s">
        <v>37</v>
      </c>
      <c r="D1174" s="2">
        <v>76.8</v>
      </c>
      <c r="E1174" s="2">
        <v>0</v>
      </c>
      <c r="F1174" t="s">
        <v>31</v>
      </c>
      <c r="G1174" t="s">
        <v>20</v>
      </c>
    </row>
    <row r="1175" spans="1:7" x14ac:dyDescent="0.35">
      <c r="A1175">
        <v>459</v>
      </c>
      <c r="B1175" s="1">
        <v>45412</v>
      </c>
      <c r="C1175" t="s">
        <v>37</v>
      </c>
      <c r="D1175" s="2">
        <v>0</v>
      </c>
      <c r="E1175" s="2">
        <v>76.8</v>
      </c>
      <c r="F1175" t="s">
        <v>36</v>
      </c>
      <c r="G1175" t="s">
        <v>9</v>
      </c>
    </row>
    <row r="1176" spans="1:7" x14ac:dyDescent="0.35">
      <c r="A1176">
        <v>460</v>
      </c>
      <c r="B1176" s="1">
        <v>45412</v>
      </c>
      <c r="C1176" t="s">
        <v>38</v>
      </c>
      <c r="D1176" s="2">
        <v>48.28</v>
      </c>
      <c r="E1176" s="2">
        <v>0</v>
      </c>
      <c r="F1176" t="s">
        <v>31</v>
      </c>
      <c r="G1176" t="s">
        <v>20</v>
      </c>
    </row>
    <row r="1177" spans="1:7" x14ac:dyDescent="0.35">
      <c r="A1177">
        <v>460</v>
      </c>
      <c r="B1177" s="1">
        <v>45412</v>
      </c>
      <c r="C1177" t="s">
        <v>38</v>
      </c>
      <c r="D1177" s="2">
        <v>0</v>
      </c>
      <c r="E1177" s="2">
        <v>48.28</v>
      </c>
      <c r="F1177" t="s">
        <v>36</v>
      </c>
      <c r="G1177" t="s">
        <v>9</v>
      </c>
    </row>
    <row r="1178" spans="1:7" x14ac:dyDescent="0.35">
      <c r="A1178">
        <v>461</v>
      </c>
      <c r="B1178" s="1">
        <v>45412</v>
      </c>
      <c r="C1178" t="s">
        <v>39</v>
      </c>
      <c r="D1178" s="2">
        <v>53.21</v>
      </c>
      <c r="E1178" s="2">
        <v>0</v>
      </c>
      <c r="F1178" t="s">
        <v>31</v>
      </c>
      <c r="G1178" t="s">
        <v>20</v>
      </c>
    </row>
    <row r="1179" spans="1:7" x14ac:dyDescent="0.35">
      <c r="A1179">
        <v>461</v>
      </c>
      <c r="B1179" s="1">
        <v>45412</v>
      </c>
      <c r="C1179" t="s">
        <v>39</v>
      </c>
      <c r="D1179" s="2">
        <v>0</v>
      </c>
      <c r="E1179" s="2">
        <v>53.21</v>
      </c>
      <c r="F1179" t="s">
        <v>36</v>
      </c>
      <c r="G1179" t="s">
        <v>9</v>
      </c>
    </row>
    <row r="1180" spans="1:7" x14ac:dyDescent="0.35">
      <c r="A1180">
        <v>462</v>
      </c>
      <c r="B1180" s="1">
        <v>45412</v>
      </c>
      <c r="C1180" t="s">
        <v>40</v>
      </c>
      <c r="D1180" s="2">
        <v>232.19</v>
      </c>
      <c r="E1180" s="2">
        <v>0</v>
      </c>
      <c r="F1180" t="s">
        <v>31</v>
      </c>
      <c r="G1180" t="s">
        <v>20</v>
      </c>
    </row>
    <row r="1181" spans="1:7" x14ac:dyDescent="0.35">
      <c r="A1181">
        <v>462</v>
      </c>
      <c r="B1181" s="1">
        <v>45412</v>
      </c>
      <c r="C1181" t="s">
        <v>40</v>
      </c>
      <c r="D1181" s="2">
        <v>0</v>
      </c>
      <c r="E1181" s="2">
        <v>232.19</v>
      </c>
      <c r="F1181" t="s">
        <v>41</v>
      </c>
      <c r="G1181" t="s">
        <v>9</v>
      </c>
    </row>
    <row r="1182" spans="1:7" x14ac:dyDescent="0.35">
      <c r="A1182">
        <v>463</v>
      </c>
      <c r="B1182" s="1">
        <v>45412</v>
      </c>
      <c r="C1182" t="s">
        <v>42</v>
      </c>
      <c r="D1182" s="2">
        <v>43.85</v>
      </c>
      <c r="E1182" s="2">
        <v>0</v>
      </c>
      <c r="F1182" t="s">
        <v>31</v>
      </c>
      <c r="G1182" t="s">
        <v>20</v>
      </c>
    </row>
    <row r="1183" spans="1:7" x14ac:dyDescent="0.35">
      <c r="A1183">
        <v>463</v>
      </c>
      <c r="B1183" s="1">
        <v>45412</v>
      </c>
      <c r="C1183" t="s">
        <v>42</v>
      </c>
      <c r="D1183" s="2">
        <v>0</v>
      </c>
      <c r="E1183" s="2">
        <v>43.85</v>
      </c>
      <c r="F1183" t="s">
        <v>32</v>
      </c>
      <c r="G1183" t="s">
        <v>9</v>
      </c>
    </row>
    <row r="1184" spans="1:7" x14ac:dyDescent="0.35">
      <c r="A1184">
        <v>464</v>
      </c>
      <c r="B1184" s="1">
        <v>45413</v>
      </c>
      <c r="C1184" t="s">
        <v>12</v>
      </c>
      <c r="D1184" s="2">
        <v>2717.21</v>
      </c>
      <c r="E1184" s="2">
        <v>0</v>
      </c>
      <c r="F1184" t="s">
        <v>13</v>
      </c>
      <c r="G1184" t="s">
        <v>9</v>
      </c>
    </row>
    <row r="1185" spans="1:7" x14ac:dyDescent="0.35">
      <c r="A1185">
        <v>464</v>
      </c>
      <c r="B1185" s="1">
        <v>45413</v>
      </c>
      <c r="C1185" t="s">
        <v>12</v>
      </c>
      <c r="D1185" s="2">
        <v>0</v>
      </c>
      <c r="E1185" s="2">
        <v>2527.64</v>
      </c>
      <c r="F1185" t="s">
        <v>14</v>
      </c>
      <c r="G1185" t="s">
        <v>15</v>
      </c>
    </row>
    <row r="1186" spans="1:7" x14ac:dyDescent="0.35">
      <c r="A1186">
        <v>464</v>
      </c>
      <c r="B1186" s="1">
        <v>45413</v>
      </c>
      <c r="C1186" t="s">
        <v>12</v>
      </c>
      <c r="D1186" s="2">
        <v>0</v>
      </c>
      <c r="E1186" s="2">
        <v>189.57</v>
      </c>
      <c r="F1186" t="s">
        <v>16</v>
      </c>
      <c r="G1186" t="s">
        <v>17</v>
      </c>
    </row>
    <row r="1187" spans="1:7" x14ac:dyDescent="0.35">
      <c r="A1187">
        <v>465</v>
      </c>
      <c r="B1187" s="1">
        <v>45413</v>
      </c>
      <c r="C1187" t="s">
        <v>12</v>
      </c>
      <c r="D1187" s="2">
        <v>4155.03</v>
      </c>
      <c r="E1187" s="2">
        <v>0</v>
      </c>
      <c r="F1187" t="s">
        <v>13</v>
      </c>
      <c r="G1187" t="s">
        <v>9</v>
      </c>
    </row>
    <row r="1188" spans="1:7" x14ac:dyDescent="0.35">
      <c r="A1188">
        <v>465</v>
      </c>
      <c r="B1188" s="1">
        <v>45413</v>
      </c>
      <c r="C1188" t="s">
        <v>12</v>
      </c>
      <c r="D1188" s="2">
        <v>0</v>
      </c>
      <c r="E1188" s="2">
        <v>3865.14</v>
      </c>
      <c r="F1188" t="s">
        <v>14</v>
      </c>
      <c r="G1188" t="s">
        <v>15</v>
      </c>
    </row>
    <row r="1189" spans="1:7" x14ac:dyDescent="0.35">
      <c r="A1189">
        <v>465</v>
      </c>
      <c r="B1189" s="1">
        <v>45413</v>
      </c>
      <c r="C1189" t="s">
        <v>12</v>
      </c>
      <c r="D1189" s="2">
        <v>0</v>
      </c>
      <c r="E1189" s="2">
        <v>289.89</v>
      </c>
      <c r="F1189" t="s">
        <v>16</v>
      </c>
      <c r="G1189" t="s">
        <v>17</v>
      </c>
    </row>
    <row r="1190" spans="1:7" x14ac:dyDescent="0.35">
      <c r="A1190">
        <v>466</v>
      </c>
      <c r="B1190" s="1">
        <v>45413</v>
      </c>
      <c r="C1190" t="s">
        <v>12</v>
      </c>
      <c r="D1190" s="2">
        <v>129.34</v>
      </c>
      <c r="E1190" s="2">
        <v>0</v>
      </c>
      <c r="F1190" t="s">
        <v>13</v>
      </c>
      <c r="G1190" t="s">
        <v>9</v>
      </c>
    </row>
    <row r="1191" spans="1:7" x14ac:dyDescent="0.35">
      <c r="A1191">
        <v>466</v>
      </c>
      <c r="B1191" s="1">
        <v>45413</v>
      </c>
      <c r="C1191" t="s">
        <v>12</v>
      </c>
      <c r="D1191" s="2">
        <v>0</v>
      </c>
      <c r="E1191" s="2">
        <v>120.32</v>
      </c>
      <c r="F1191" t="s">
        <v>14</v>
      </c>
      <c r="G1191" t="s">
        <v>15</v>
      </c>
    </row>
    <row r="1192" spans="1:7" x14ac:dyDescent="0.35">
      <c r="A1192">
        <v>466</v>
      </c>
      <c r="B1192" s="1">
        <v>45413</v>
      </c>
      <c r="C1192" t="s">
        <v>12</v>
      </c>
      <c r="D1192" s="2">
        <v>0</v>
      </c>
      <c r="E1192" s="2">
        <v>9.02</v>
      </c>
      <c r="F1192" t="s">
        <v>16</v>
      </c>
      <c r="G1192" t="s">
        <v>17</v>
      </c>
    </row>
    <row r="1193" spans="1:7" x14ac:dyDescent="0.35">
      <c r="A1193">
        <v>467</v>
      </c>
      <c r="B1193" s="1">
        <v>45413</v>
      </c>
      <c r="C1193" t="s">
        <v>12</v>
      </c>
      <c r="D1193" s="2">
        <v>1728.52</v>
      </c>
      <c r="E1193" s="2">
        <v>0</v>
      </c>
      <c r="F1193" t="s">
        <v>13</v>
      </c>
      <c r="G1193" t="s">
        <v>9</v>
      </c>
    </row>
    <row r="1194" spans="1:7" x14ac:dyDescent="0.35">
      <c r="A1194">
        <v>467</v>
      </c>
      <c r="B1194" s="1">
        <v>45413</v>
      </c>
      <c r="C1194" t="s">
        <v>12</v>
      </c>
      <c r="D1194" s="2">
        <v>0</v>
      </c>
      <c r="E1194" s="2">
        <v>1607.92</v>
      </c>
      <c r="F1194" t="s">
        <v>14</v>
      </c>
      <c r="G1194" t="s">
        <v>15</v>
      </c>
    </row>
    <row r="1195" spans="1:7" x14ac:dyDescent="0.35">
      <c r="A1195">
        <v>467</v>
      </c>
      <c r="B1195" s="1">
        <v>45413</v>
      </c>
      <c r="C1195" t="s">
        <v>12</v>
      </c>
      <c r="D1195" s="2">
        <v>0</v>
      </c>
      <c r="E1195" s="2">
        <v>120.6</v>
      </c>
      <c r="F1195" t="s">
        <v>16</v>
      </c>
      <c r="G1195" t="s">
        <v>17</v>
      </c>
    </row>
    <row r="1196" spans="1:7" x14ac:dyDescent="0.35">
      <c r="A1196">
        <v>468</v>
      </c>
      <c r="B1196" s="1">
        <v>45413</v>
      </c>
      <c r="C1196" t="s">
        <v>24</v>
      </c>
      <c r="D1196" s="2">
        <v>2294.17</v>
      </c>
      <c r="E1196" s="2">
        <v>0</v>
      </c>
      <c r="F1196" t="s">
        <v>8</v>
      </c>
      <c r="G1196" t="s">
        <v>9</v>
      </c>
    </row>
    <row r="1197" spans="1:7" x14ac:dyDescent="0.35">
      <c r="A1197">
        <v>468</v>
      </c>
      <c r="B1197" s="1">
        <v>45413</v>
      </c>
      <c r="C1197" t="s">
        <v>24</v>
      </c>
      <c r="D1197" s="2">
        <v>0</v>
      </c>
      <c r="E1197" s="2">
        <v>2294.17</v>
      </c>
      <c r="F1197" t="s">
        <v>13</v>
      </c>
      <c r="G1197" t="s">
        <v>9</v>
      </c>
    </row>
    <row r="1198" spans="1:7" x14ac:dyDescent="0.35">
      <c r="A1198">
        <v>469</v>
      </c>
      <c r="B1198" s="1">
        <v>45413</v>
      </c>
      <c r="C1198" t="s">
        <v>24</v>
      </c>
      <c r="D1198" s="2">
        <v>2257.8200000000002</v>
      </c>
      <c r="E1198" s="2">
        <v>0</v>
      </c>
      <c r="F1198" t="s">
        <v>8</v>
      </c>
      <c r="G1198" t="s">
        <v>9</v>
      </c>
    </row>
    <row r="1199" spans="1:7" x14ac:dyDescent="0.35">
      <c r="A1199">
        <v>469</v>
      </c>
      <c r="B1199" s="1">
        <v>45413</v>
      </c>
      <c r="C1199" t="s">
        <v>24</v>
      </c>
      <c r="D1199" s="2">
        <v>0</v>
      </c>
      <c r="E1199" s="2">
        <v>2257.8200000000002</v>
      </c>
      <c r="F1199" t="s">
        <v>13</v>
      </c>
      <c r="G1199" t="s">
        <v>9</v>
      </c>
    </row>
    <row r="1200" spans="1:7" x14ac:dyDescent="0.35">
      <c r="A1200">
        <v>470</v>
      </c>
      <c r="B1200" s="1">
        <v>45413</v>
      </c>
      <c r="C1200" t="s">
        <v>24</v>
      </c>
      <c r="D1200" s="2">
        <v>2027.99</v>
      </c>
      <c r="E1200" s="2">
        <v>0</v>
      </c>
      <c r="F1200" t="s">
        <v>8</v>
      </c>
      <c r="G1200" t="s">
        <v>9</v>
      </c>
    </row>
    <row r="1201" spans="1:7" x14ac:dyDescent="0.35">
      <c r="A1201">
        <v>470</v>
      </c>
      <c r="B1201" s="1">
        <v>45413</v>
      </c>
      <c r="C1201" t="s">
        <v>24</v>
      </c>
      <c r="D1201" s="2">
        <v>0</v>
      </c>
      <c r="E1201" s="2">
        <v>2027.99</v>
      </c>
      <c r="F1201" t="s">
        <v>13</v>
      </c>
      <c r="G1201" t="s">
        <v>9</v>
      </c>
    </row>
    <row r="1202" spans="1:7" x14ac:dyDescent="0.35">
      <c r="A1202">
        <v>471</v>
      </c>
      <c r="B1202" s="1">
        <v>45413</v>
      </c>
      <c r="C1202" t="s">
        <v>29</v>
      </c>
      <c r="D1202" s="2">
        <v>2635.36</v>
      </c>
      <c r="E1202" s="2">
        <v>0</v>
      </c>
      <c r="F1202" t="s">
        <v>28</v>
      </c>
      <c r="G1202" t="s">
        <v>17</v>
      </c>
    </row>
    <row r="1203" spans="1:7" x14ac:dyDescent="0.35">
      <c r="A1203">
        <v>471</v>
      </c>
      <c r="B1203" s="1">
        <v>45413</v>
      </c>
      <c r="C1203" t="s">
        <v>29</v>
      </c>
      <c r="D1203" s="2">
        <v>0</v>
      </c>
      <c r="E1203" s="2">
        <v>2635.36</v>
      </c>
      <c r="F1203" t="s">
        <v>8</v>
      </c>
      <c r="G1203" t="s">
        <v>9</v>
      </c>
    </row>
    <row r="1204" spans="1:7" x14ac:dyDescent="0.35">
      <c r="A1204">
        <v>472</v>
      </c>
      <c r="B1204" s="1">
        <v>45414</v>
      </c>
      <c r="C1204" t="s">
        <v>12</v>
      </c>
      <c r="D1204" s="2">
        <v>418.25</v>
      </c>
      <c r="E1204" s="2">
        <v>0</v>
      </c>
      <c r="F1204" t="s">
        <v>13</v>
      </c>
      <c r="G1204" t="s">
        <v>9</v>
      </c>
    </row>
    <row r="1205" spans="1:7" x14ac:dyDescent="0.35">
      <c r="A1205">
        <v>472</v>
      </c>
      <c r="B1205" s="1">
        <v>45414</v>
      </c>
      <c r="C1205" t="s">
        <v>12</v>
      </c>
      <c r="D1205" s="2">
        <v>0</v>
      </c>
      <c r="E1205" s="2">
        <v>389.07</v>
      </c>
      <c r="F1205" t="s">
        <v>14</v>
      </c>
      <c r="G1205" t="s">
        <v>15</v>
      </c>
    </row>
    <row r="1206" spans="1:7" x14ac:dyDescent="0.35">
      <c r="A1206">
        <v>472</v>
      </c>
      <c r="B1206" s="1">
        <v>45414</v>
      </c>
      <c r="C1206" t="s">
        <v>12</v>
      </c>
      <c r="D1206" s="2">
        <v>0</v>
      </c>
      <c r="E1206" s="2">
        <v>29.18</v>
      </c>
      <c r="F1206" t="s">
        <v>16</v>
      </c>
      <c r="G1206" t="s">
        <v>17</v>
      </c>
    </row>
    <row r="1207" spans="1:7" x14ac:dyDescent="0.35">
      <c r="A1207">
        <v>473</v>
      </c>
      <c r="B1207" s="1">
        <v>45414</v>
      </c>
      <c r="C1207" t="s">
        <v>12</v>
      </c>
      <c r="D1207" s="2">
        <v>700.99</v>
      </c>
      <c r="E1207" s="2">
        <v>0</v>
      </c>
      <c r="F1207" t="s">
        <v>13</v>
      </c>
      <c r="G1207" t="s">
        <v>9</v>
      </c>
    </row>
    <row r="1208" spans="1:7" x14ac:dyDescent="0.35">
      <c r="A1208">
        <v>473</v>
      </c>
      <c r="B1208" s="1">
        <v>45414</v>
      </c>
      <c r="C1208" t="s">
        <v>12</v>
      </c>
      <c r="D1208" s="2">
        <v>0</v>
      </c>
      <c r="E1208" s="2">
        <v>652.08000000000004</v>
      </c>
      <c r="F1208" t="s">
        <v>14</v>
      </c>
      <c r="G1208" t="s">
        <v>15</v>
      </c>
    </row>
    <row r="1209" spans="1:7" x14ac:dyDescent="0.35">
      <c r="A1209">
        <v>473</v>
      </c>
      <c r="B1209" s="1">
        <v>45414</v>
      </c>
      <c r="C1209" t="s">
        <v>12</v>
      </c>
      <c r="D1209" s="2">
        <v>0</v>
      </c>
      <c r="E1209" s="2">
        <v>48.91</v>
      </c>
      <c r="F1209" t="s">
        <v>16</v>
      </c>
      <c r="G1209" t="s">
        <v>17</v>
      </c>
    </row>
    <row r="1210" spans="1:7" x14ac:dyDescent="0.35">
      <c r="A1210">
        <v>474</v>
      </c>
      <c r="B1210" s="1">
        <v>45414</v>
      </c>
      <c r="C1210" t="s">
        <v>24</v>
      </c>
      <c r="D1210" s="2">
        <v>367.71</v>
      </c>
      <c r="E1210" s="2">
        <v>0</v>
      </c>
      <c r="F1210" t="s">
        <v>8</v>
      </c>
      <c r="G1210" t="s">
        <v>9</v>
      </c>
    </row>
    <row r="1211" spans="1:7" x14ac:dyDescent="0.35">
      <c r="A1211">
        <v>474</v>
      </c>
      <c r="B1211" s="1">
        <v>45414</v>
      </c>
      <c r="C1211" t="s">
        <v>24</v>
      </c>
      <c r="D1211" s="2">
        <v>0</v>
      </c>
      <c r="E1211" s="2">
        <v>367.71</v>
      </c>
      <c r="F1211" t="s">
        <v>13</v>
      </c>
      <c r="G1211" t="s">
        <v>9</v>
      </c>
    </row>
    <row r="1212" spans="1:7" x14ac:dyDescent="0.35">
      <c r="A1212">
        <v>475</v>
      </c>
      <c r="B1212" s="1">
        <v>45414</v>
      </c>
      <c r="C1212" t="s">
        <v>25</v>
      </c>
      <c r="D1212" s="2">
        <v>8685.27</v>
      </c>
      <c r="E1212" s="2">
        <v>0</v>
      </c>
      <c r="F1212" t="s">
        <v>26</v>
      </c>
      <c r="G1212" t="s">
        <v>20</v>
      </c>
    </row>
    <row r="1213" spans="1:7" x14ac:dyDescent="0.35">
      <c r="A1213">
        <v>475</v>
      </c>
      <c r="B1213" s="1">
        <v>45414</v>
      </c>
      <c r="C1213" t="s">
        <v>25</v>
      </c>
      <c r="D1213" s="2">
        <v>651.4</v>
      </c>
      <c r="E1213" s="2">
        <v>0</v>
      </c>
      <c r="F1213" t="s">
        <v>27</v>
      </c>
      <c r="G1213" t="s">
        <v>9</v>
      </c>
    </row>
    <row r="1214" spans="1:7" x14ac:dyDescent="0.35">
      <c r="A1214">
        <v>475</v>
      </c>
      <c r="B1214" s="1">
        <v>45414</v>
      </c>
      <c r="C1214" t="s">
        <v>25</v>
      </c>
      <c r="D1214" s="2">
        <v>0</v>
      </c>
      <c r="E1214" s="2">
        <v>9336.67</v>
      </c>
      <c r="F1214" t="s">
        <v>28</v>
      </c>
      <c r="G1214" t="s">
        <v>17</v>
      </c>
    </row>
    <row r="1215" spans="1:7" x14ac:dyDescent="0.35">
      <c r="A1215">
        <v>476</v>
      </c>
      <c r="B1215" s="1">
        <v>45415</v>
      </c>
      <c r="C1215" t="s">
        <v>12</v>
      </c>
      <c r="D1215" s="2">
        <v>1690.01</v>
      </c>
      <c r="E1215" s="2">
        <v>0</v>
      </c>
      <c r="F1215" t="s">
        <v>13</v>
      </c>
      <c r="G1215" t="s">
        <v>9</v>
      </c>
    </row>
    <row r="1216" spans="1:7" x14ac:dyDescent="0.35">
      <c r="A1216">
        <v>476</v>
      </c>
      <c r="B1216" s="1">
        <v>45415</v>
      </c>
      <c r="C1216" t="s">
        <v>12</v>
      </c>
      <c r="D1216" s="2">
        <v>0</v>
      </c>
      <c r="E1216" s="2">
        <v>1572.1</v>
      </c>
      <c r="F1216" t="s">
        <v>14</v>
      </c>
      <c r="G1216" t="s">
        <v>15</v>
      </c>
    </row>
    <row r="1217" spans="1:7" x14ac:dyDescent="0.35">
      <c r="A1217">
        <v>476</v>
      </c>
      <c r="B1217" s="1">
        <v>45415</v>
      </c>
      <c r="C1217" t="s">
        <v>12</v>
      </c>
      <c r="D1217" s="2">
        <v>0</v>
      </c>
      <c r="E1217" s="2">
        <v>117.91</v>
      </c>
      <c r="F1217" t="s">
        <v>16</v>
      </c>
      <c r="G1217" t="s">
        <v>17</v>
      </c>
    </row>
    <row r="1218" spans="1:7" x14ac:dyDescent="0.35">
      <c r="A1218">
        <v>477</v>
      </c>
      <c r="B1218" s="1">
        <v>45415</v>
      </c>
      <c r="C1218" t="s">
        <v>12</v>
      </c>
      <c r="D1218" s="2">
        <v>3299.92</v>
      </c>
      <c r="E1218" s="2">
        <v>0</v>
      </c>
      <c r="F1218" t="s">
        <v>13</v>
      </c>
      <c r="G1218" t="s">
        <v>9</v>
      </c>
    </row>
    <row r="1219" spans="1:7" x14ac:dyDescent="0.35">
      <c r="A1219">
        <v>477</v>
      </c>
      <c r="B1219" s="1">
        <v>45415</v>
      </c>
      <c r="C1219" t="s">
        <v>12</v>
      </c>
      <c r="D1219" s="2">
        <v>0</v>
      </c>
      <c r="E1219" s="2">
        <v>3069.71</v>
      </c>
      <c r="F1219" t="s">
        <v>14</v>
      </c>
      <c r="G1219" t="s">
        <v>15</v>
      </c>
    </row>
    <row r="1220" spans="1:7" x14ac:dyDescent="0.35">
      <c r="A1220">
        <v>477</v>
      </c>
      <c r="B1220" s="1">
        <v>45415</v>
      </c>
      <c r="C1220" t="s">
        <v>12</v>
      </c>
      <c r="D1220" s="2">
        <v>0</v>
      </c>
      <c r="E1220" s="2">
        <v>230.21</v>
      </c>
      <c r="F1220" t="s">
        <v>16</v>
      </c>
      <c r="G1220" t="s">
        <v>17</v>
      </c>
    </row>
    <row r="1221" spans="1:7" x14ac:dyDescent="0.35">
      <c r="A1221">
        <v>478</v>
      </c>
      <c r="B1221" s="1">
        <v>45415</v>
      </c>
      <c r="C1221" t="s">
        <v>24</v>
      </c>
      <c r="D1221" s="2">
        <v>1037.53</v>
      </c>
      <c r="E1221" s="2">
        <v>0</v>
      </c>
      <c r="F1221" t="s">
        <v>8</v>
      </c>
      <c r="G1221" t="s">
        <v>9</v>
      </c>
    </row>
    <row r="1222" spans="1:7" x14ac:dyDescent="0.35">
      <c r="A1222">
        <v>478</v>
      </c>
      <c r="B1222" s="1">
        <v>45415</v>
      </c>
      <c r="C1222" t="s">
        <v>24</v>
      </c>
      <c r="D1222" s="2">
        <v>0</v>
      </c>
      <c r="E1222" s="2">
        <v>1037.53</v>
      </c>
      <c r="F1222" t="s">
        <v>13</v>
      </c>
      <c r="G1222" t="s">
        <v>9</v>
      </c>
    </row>
    <row r="1223" spans="1:7" x14ac:dyDescent="0.35">
      <c r="A1223">
        <v>479</v>
      </c>
      <c r="B1223" s="1">
        <v>45415</v>
      </c>
      <c r="C1223" t="s">
        <v>24</v>
      </c>
      <c r="D1223" s="2">
        <v>2651.83</v>
      </c>
      <c r="E1223" s="2">
        <v>0</v>
      </c>
      <c r="F1223" t="s">
        <v>8</v>
      </c>
      <c r="G1223" t="s">
        <v>9</v>
      </c>
    </row>
    <row r="1224" spans="1:7" x14ac:dyDescent="0.35">
      <c r="A1224">
        <v>479</v>
      </c>
      <c r="B1224" s="1">
        <v>45415</v>
      </c>
      <c r="C1224" t="s">
        <v>24</v>
      </c>
      <c r="D1224" s="2">
        <v>0</v>
      </c>
      <c r="E1224" s="2">
        <v>2651.83</v>
      </c>
      <c r="F1224" t="s">
        <v>13</v>
      </c>
      <c r="G1224" t="s">
        <v>9</v>
      </c>
    </row>
    <row r="1225" spans="1:7" x14ac:dyDescent="0.35">
      <c r="A1225">
        <v>480</v>
      </c>
      <c r="B1225" s="1">
        <v>45415</v>
      </c>
      <c r="C1225" t="s">
        <v>24</v>
      </c>
      <c r="D1225" s="2">
        <v>2482.59</v>
      </c>
      <c r="E1225" s="2">
        <v>0</v>
      </c>
      <c r="F1225" t="s">
        <v>8</v>
      </c>
      <c r="G1225" t="s">
        <v>9</v>
      </c>
    </row>
    <row r="1226" spans="1:7" x14ac:dyDescent="0.35">
      <c r="A1226">
        <v>480</v>
      </c>
      <c r="B1226" s="1">
        <v>45415</v>
      </c>
      <c r="C1226" t="s">
        <v>24</v>
      </c>
      <c r="D1226" s="2">
        <v>0</v>
      </c>
      <c r="E1226" s="2">
        <v>2482.59</v>
      </c>
      <c r="F1226" t="s">
        <v>13</v>
      </c>
      <c r="G1226" t="s">
        <v>9</v>
      </c>
    </row>
    <row r="1227" spans="1:7" x14ac:dyDescent="0.35">
      <c r="A1227">
        <v>481</v>
      </c>
      <c r="B1227" s="1">
        <v>45415</v>
      </c>
      <c r="C1227" t="s">
        <v>24</v>
      </c>
      <c r="D1227" s="2">
        <v>6755.14</v>
      </c>
      <c r="E1227" s="2">
        <v>0</v>
      </c>
      <c r="F1227" t="s">
        <v>8</v>
      </c>
      <c r="G1227" t="s">
        <v>9</v>
      </c>
    </row>
    <row r="1228" spans="1:7" x14ac:dyDescent="0.35">
      <c r="A1228">
        <v>481</v>
      </c>
      <c r="B1228" s="1">
        <v>45415</v>
      </c>
      <c r="C1228" t="s">
        <v>24</v>
      </c>
      <c r="D1228" s="2">
        <v>0</v>
      </c>
      <c r="E1228" s="2">
        <v>6755.14</v>
      </c>
      <c r="F1228" t="s">
        <v>13</v>
      </c>
      <c r="G1228" t="s">
        <v>9</v>
      </c>
    </row>
    <row r="1229" spans="1:7" x14ac:dyDescent="0.35">
      <c r="A1229">
        <v>482</v>
      </c>
      <c r="B1229" s="1">
        <v>45415</v>
      </c>
      <c r="C1229" t="s">
        <v>29</v>
      </c>
      <c r="D1229" s="2">
        <v>1766.46</v>
      </c>
      <c r="E1229" s="2">
        <v>0</v>
      </c>
      <c r="F1229" t="s">
        <v>28</v>
      </c>
      <c r="G1229" t="s">
        <v>17</v>
      </c>
    </row>
    <row r="1230" spans="1:7" x14ac:dyDescent="0.35">
      <c r="A1230">
        <v>482</v>
      </c>
      <c r="B1230" s="1">
        <v>45415</v>
      </c>
      <c r="C1230" t="s">
        <v>29</v>
      </c>
      <c r="D1230" s="2">
        <v>0</v>
      </c>
      <c r="E1230" s="2">
        <v>1766.46</v>
      </c>
      <c r="F1230" t="s">
        <v>8</v>
      </c>
      <c r="G1230" t="s">
        <v>9</v>
      </c>
    </row>
    <row r="1231" spans="1:7" x14ac:dyDescent="0.35">
      <c r="A1231">
        <v>483</v>
      </c>
      <c r="B1231" s="1">
        <v>45418</v>
      </c>
      <c r="C1231" t="s">
        <v>12</v>
      </c>
      <c r="D1231" s="2">
        <v>3394.45</v>
      </c>
      <c r="E1231" s="2">
        <v>0</v>
      </c>
      <c r="F1231" t="s">
        <v>13</v>
      </c>
      <c r="G1231" t="s">
        <v>9</v>
      </c>
    </row>
    <row r="1232" spans="1:7" x14ac:dyDescent="0.35">
      <c r="A1232">
        <v>483</v>
      </c>
      <c r="B1232" s="1">
        <v>45418</v>
      </c>
      <c r="C1232" t="s">
        <v>12</v>
      </c>
      <c r="D1232" s="2">
        <v>0</v>
      </c>
      <c r="E1232" s="2">
        <v>3157.63</v>
      </c>
      <c r="F1232" t="s">
        <v>14</v>
      </c>
      <c r="G1232" t="s">
        <v>15</v>
      </c>
    </row>
    <row r="1233" spans="1:7" x14ac:dyDescent="0.35">
      <c r="A1233">
        <v>483</v>
      </c>
      <c r="B1233" s="1">
        <v>45418</v>
      </c>
      <c r="C1233" t="s">
        <v>12</v>
      </c>
      <c r="D1233" s="2">
        <v>0</v>
      </c>
      <c r="E1233" s="2">
        <v>236.82</v>
      </c>
      <c r="F1233" t="s">
        <v>16</v>
      </c>
      <c r="G1233" t="s">
        <v>17</v>
      </c>
    </row>
    <row r="1234" spans="1:7" x14ac:dyDescent="0.35">
      <c r="A1234">
        <v>484</v>
      </c>
      <c r="B1234" s="1">
        <v>45418</v>
      </c>
      <c r="C1234" t="s">
        <v>24</v>
      </c>
      <c r="D1234" s="2">
        <v>3173.64</v>
      </c>
      <c r="E1234" s="2">
        <v>0</v>
      </c>
      <c r="F1234" t="s">
        <v>8</v>
      </c>
      <c r="G1234" t="s">
        <v>9</v>
      </c>
    </row>
    <row r="1235" spans="1:7" x14ac:dyDescent="0.35">
      <c r="A1235">
        <v>484</v>
      </c>
      <c r="B1235" s="1">
        <v>45418</v>
      </c>
      <c r="C1235" t="s">
        <v>24</v>
      </c>
      <c r="D1235" s="2">
        <v>0</v>
      </c>
      <c r="E1235" s="2">
        <v>3173.64</v>
      </c>
      <c r="F1235" t="s">
        <v>13</v>
      </c>
      <c r="G1235" t="s">
        <v>9</v>
      </c>
    </row>
    <row r="1236" spans="1:7" x14ac:dyDescent="0.35">
      <c r="A1236">
        <v>485</v>
      </c>
      <c r="B1236" s="1">
        <v>45418</v>
      </c>
      <c r="C1236" t="s">
        <v>24</v>
      </c>
      <c r="D1236" s="2">
        <v>418.25</v>
      </c>
      <c r="E1236" s="2">
        <v>0</v>
      </c>
      <c r="F1236" t="s">
        <v>8</v>
      </c>
      <c r="G1236" t="s">
        <v>9</v>
      </c>
    </row>
    <row r="1237" spans="1:7" x14ac:dyDescent="0.35">
      <c r="A1237">
        <v>485</v>
      </c>
      <c r="B1237" s="1">
        <v>45418</v>
      </c>
      <c r="C1237" t="s">
        <v>24</v>
      </c>
      <c r="D1237" s="2">
        <v>0</v>
      </c>
      <c r="E1237" s="2">
        <v>418.25</v>
      </c>
      <c r="F1237" t="s">
        <v>13</v>
      </c>
      <c r="G1237" t="s">
        <v>9</v>
      </c>
    </row>
    <row r="1238" spans="1:7" x14ac:dyDescent="0.35">
      <c r="A1238">
        <v>486</v>
      </c>
      <c r="B1238" s="1">
        <v>45418</v>
      </c>
      <c r="C1238" t="s">
        <v>25</v>
      </c>
      <c r="D1238" s="2">
        <v>1643.22</v>
      </c>
      <c r="E1238" s="2">
        <v>0</v>
      </c>
      <c r="F1238" t="s">
        <v>26</v>
      </c>
      <c r="G1238" t="s">
        <v>20</v>
      </c>
    </row>
    <row r="1239" spans="1:7" x14ac:dyDescent="0.35">
      <c r="A1239">
        <v>486</v>
      </c>
      <c r="B1239" s="1">
        <v>45418</v>
      </c>
      <c r="C1239" t="s">
        <v>25</v>
      </c>
      <c r="D1239" s="2">
        <v>123.24</v>
      </c>
      <c r="E1239" s="2">
        <v>0</v>
      </c>
      <c r="F1239" t="s">
        <v>27</v>
      </c>
      <c r="G1239" t="s">
        <v>9</v>
      </c>
    </row>
    <row r="1240" spans="1:7" x14ac:dyDescent="0.35">
      <c r="A1240">
        <v>486</v>
      </c>
      <c r="B1240" s="1">
        <v>45418</v>
      </c>
      <c r="C1240" t="s">
        <v>25</v>
      </c>
      <c r="D1240" s="2">
        <v>0</v>
      </c>
      <c r="E1240" s="2">
        <v>1766.46</v>
      </c>
      <c r="F1240" t="s">
        <v>28</v>
      </c>
      <c r="G1240" t="s">
        <v>17</v>
      </c>
    </row>
    <row r="1241" spans="1:7" x14ac:dyDescent="0.35">
      <c r="A1241">
        <v>487</v>
      </c>
      <c r="B1241" s="1">
        <v>45418</v>
      </c>
      <c r="C1241" t="s">
        <v>25</v>
      </c>
      <c r="D1241" s="2">
        <v>3282.76</v>
      </c>
      <c r="E1241" s="2">
        <v>0</v>
      </c>
      <c r="F1241" t="s">
        <v>26</v>
      </c>
      <c r="G1241" t="s">
        <v>20</v>
      </c>
    </row>
    <row r="1242" spans="1:7" x14ac:dyDescent="0.35">
      <c r="A1242">
        <v>487</v>
      </c>
      <c r="B1242" s="1">
        <v>45418</v>
      </c>
      <c r="C1242" t="s">
        <v>25</v>
      </c>
      <c r="D1242" s="2">
        <v>246.21</v>
      </c>
      <c r="E1242" s="2">
        <v>0</v>
      </c>
      <c r="F1242" t="s">
        <v>27</v>
      </c>
      <c r="G1242" t="s">
        <v>9</v>
      </c>
    </row>
    <row r="1243" spans="1:7" x14ac:dyDescent="0.35">
      <c r="A1243">
        <v>487</v>
      </c>
      <c r="B1243" s="1">
        <v>45418</v>
      </c>
      <c r="C1243" t="s">
        <v>25</v>
      </c>
      <c r="D1243" s="2">
        <v>0</v>
      </c>
      <c r="E1243" s="2">
        <v>3528.97</v>
      </c>
      <c r="F1243" t="s">
        <v>28</v>
      </c>
      <c r="G1243" t="s">
        <v>17</v>
      </c>
    </row>
    <row r="1244" spans="1:7" x14ac:dyDescent="0.35">
      <c r="A1244">
        <v>488</v>
      </c>
      <c r="B1244" s="1">
        <v>45418</v>
      </c>
      <c r="C1244" t="s">
        <v>25</v>
      </c>
      <c r="D1244" s="2">
        <v>2714.58</v>
      </c>
      <c r="E1244" s="2">
        <v>0</v>
      </c>
      <c r="F1244" t="s">
        <v>26</v>
      </c>
      <c r="G1244" t="s">
        <v>20</v>
      </c>
    </row>
    <row r="1245" spans="1:7" x14ac:dyDescent="0.35">
      <c r="A1245">
        <v>488</v>
      </c>
      <c r="B1245" s="1">
        <v>45418</v>
      </c>
      <c r="C1245" t="s">
        <v>25</v>
      </c>
      <c r="D1245" s="2">
        <v>203.59</v>
      </c>
      <c r="E1245" s="2">
        <v>0</v>
      </c>
      <c r="F1245" t="s">
        <v>27</v>
      </c>
      <c r="G1245" t="s">
        <v>9</v>
      </c>
    </row>
    <row r="1246" spans="1:7" x14ac:dyDescent="0.35">
      <c r="A1246">
        <v>488</v>
      </c>
      <c r="B1246" s="1">
        <v>45418</v>
      </c>
      <c r="C1246" t="s">
        <v>25</v>
      </c>
      <c r="D1246" s="2">
        <v>0</v>
      </c>
      <c r="E1246" s="2">
        <v>2918.17</v>
      </c>
      <c r="F1246" t="s">
        <v>28</v>
      </c>
      <c r="G1246" t="s">
        <v>17</v>
      </c>
    </row>
    <row r="1247" spans="1:7" x14ac:dyDescent="0.35">
      <c r="A1247">
        <v>489</v>
      </c>
      <c r="B1247" s="1">
        <v>45418</v>
      </c>
      <c r="C1247" t="s">
        <v>25</v>
      </c>
      <c r="D1247" s="2">
        <v>4476.71</v>
      </c>
      <c r="E1247" s="2">
        <v>0</v>
      </c>
      <c r="F1247" t="s">
        <v>26</v>
      </c>
      <c r="G1247" t="s">
        <v>20</v>
      </c>
    </row>
    <row r="1248" spans="1:7" x14ac:dyDescent="0.35">
      <c r="A1248">
        <v>489</v>
      </c>
      <c r="B1248" s="1">
        <v>45418</v>
      </c>
      <c r="C1248" t="s">
        <v>25</v>
      </c>
      <c r="D1248" s="2">
        <v>335.75</v>
      </c>
      <c r="E1248" s="2">
        <v>0</v>
      </c>
      <c r="F1248" t="s">
        <v>27</v>
      </c>
      <c r="G1248" t="s">
        <v>9</v>
      </c>
    </row>
    <row r="1249" spans="1:7" x14ac:dyDescent="0.35">
      <c r="A1249">
        <v>489</v>
      </c>
      <c r="B1249" s="1">
        <v>45418</v>
      </c>
      <c r="C1249" t="s">
        <v>25</v>
      </c>
      <c r="D1249" s="2">
        <v>0</v>
      </c>
      <c r="E1249" s="2">
        <v>4812.46</v>
      </c>
      <c r="F1249" t="s">
        <v>28</v>
      </c>
      <c r="G1249" t="s">
        <v>17</v>
      </c>
    </row>
    <row r="1250" spans="1:7" x14ac:dyDescent="0.35">
      <c r="A1250">
        <v>490</v>
      </c>
      <c r="B1250" s="1">
        <v>45418</v>
      </c>
      <c r="C1250" t="s">
        <v>25</v>
      </c>
      <c r="D1250" s="2">
        <v>512</v>
      </c>
      <c r="E1250" s="2">
        <v>0</v>
      </c>
      <c r="F1250" t="s">
        <v>26</v>
      </c>
      <c r="G1250" t="s">
        <v>20</v>
      </c>
    </row>
    <row r="1251" spans="1:7" x14ac:dyDescent="0.35">
      <c r="A1251">
        <v>490</v>
      </c>
      <c r="B1251" s="1">
        <v>45418</v>
      </c>
      <c r="C1251" t="s">
        <v>25</v>
      </c>
      <c r="D1251" s="2">
        <v>38.4</v>
      </c>
      <c r="E1251" s="2">
        <v>0</v>
      </c>
      <c r="F1251" t="s">
        <v>27</v>
      </c>
      <c r="G1251" t="s">
        <v>9</v>
      </c>
    </row>
    <row r="1252" spans="1:7" x14ac:dyDescent="0.35">
      <c r="A1252">
        <v>490</v>
      </c>
      <c r="B1252" s="1">
        <v>45418</v>
      </c>
      <c r="C1252" t="s">
        <v>25</v>
      </c>
      <c r="D1252" s="2">
        <v>0</v>
      </c>
      <c r="E1252" s="2">
        <v>550.4</v>
      </c>
      <c r="F1252" t="s">
        <v>28</v>
      </c>
      <c r="G1252" t="s">
        <v>17</v>
      </c>
    </row>
    <row r="1253" spans="1:7" x14ac:dyDescent="0.35">
      <c r="A1253">
        <v>491</v>
      </c>
      <c r="B1253" s="1">
        <v>45418</v>
      </c>
      <c r="C1253" t="s">
        <v>25</v>
      </c>
      <c r="D1253" s="2">
        <v>257.04000000000002</v>
      </c>
      <c r="E1253" s="2">
        <v>0</v>
      </c>
      <c r="F1253" t="s">
        <v>26</v>
      </c>
      <c r="G1253" t="s">
        <v>20</v>
      </c>
    </row>
    <row r="1254" spans="1:7" x14ac:dyDescent="0.35">
      <c r="A1254">
        <v>491</v>
      </c>
      <c r="B1254" s="1">
        <v>45418</v>
      </c>
      <c r="C1254" t="s">
        <v>25</v>
      </c>
      <c r="D1254" s="2">
        <v>19.28</v>
      </c>
      <c r="E1254" s="2">
        <v>0</v>
      </c>
      <c r="F1254" t="s">
        <v>27</v>
      </c>
      <c r="G1254" t="s">
        <v>9</v>
      </c>
    </row>
    <row r="1255" spans="1:7" x14ac:dyDescent="0.35">
      <c r="A1255">
        <v>491</v>
      </c>
      <c r="B1255" s="1">
        <v>45418</v>
      </c>
      <c r="C1255" t="s">
        <v>25</v>
      </c>
      <c r="D1255" s="2">
        <v>0</v>
      </c>
      <c r="E1255" s="2">
        <v>276.32</v>
      </c>
      <c r="F1255" t="s">
        <v>28</v>
      </c>
      <c r="G1255" t="s">
        <v>17</v>
      </c>
    </row>
    <row r="1256" spans="1:7" x14ac:dyDescent="0.35">
      <c r="A1256">
        <v>492</v>
      </c>
      <c r="B1256" s="1">
        <v>45418</v>
      </c>
      <c r="C1256" t="s">
        <v>25</v>
      </c>
      <c r="D1256" s="2">
        <v>1947.24</v>
      </c>
      <c r="E1256" s="2">
        <v>0</v>
      </c>
      <c r="F1256" t="s">
        <v>26</v>
      </c>
      <c r="G1256" t="s">
        <v>20</v>
      </c>
    </row>
    <row r="1257" spans="1:7" x14ac:dyDescent="0.35">
      <c r="A1257">
        <v>492</v>
      </c>
      <c r="B1257" s="1">
        <v>45418</v>
      </c>
      <c r="C1257" t="s">
        <v>25</v>
      </c>
      <c r="D1257" s="2">
        <v>146.04</v>
      </c>
      <c r="E1257" s="2">
        <v>0</v>
      </c>
      <c r="F1257" t="s">
        <v>27</v>
      </c>
      <c r="G1257" t="s">
        <v>9</v>
      </c>
    </row>
    <row r="1258" spans="1:7" x14ac:dyDescent="0.35">
      <c r="A1258">
        <v>492</v>
      </c>
      <c r="B1258" s="1">
        <v>45418</v>
      </c>
      <c r="C1258" t="s">
        <v>25</v>
      </c>
      <c r="D1258" s="2">
        <v>0</v>
      </c>
      <c r="E1258" s="2">
        <v>2093.2800000000002</v>
      </c>
      <c r="F1258" t="s">
        <v>28</v>
      </c>
      <c r="G1258" t="s">
        <v>17</v>
      </c>
    </row>
    <row r="1259" spans="1:7" x14ac:dyDescent="0.35">
      <c r="A1259">
        <v>493</v>
      </c>
      <c r="B1259" s="1">
        <v>45418</v>
      </c>
      <c r="C1259" t="s">
        <v>29</v>
      </c>
      <c r="D1259" s="2">
        <v>4812.46</v>
      </c>
      <c r="E1259" s="2">
        <v>0</v>
      </c>
      <c r="F1259" t="s">
        <v>28</v>
      </c>
      <c r="G1259" t="s">
        <v>17</v>
      </c>
    </row>
    <row r="1260" spans="1:7" x14ac:dyDescent="0.35">
      <c r="A1260">
        <v>493</v>
      </c>
      <c r="B1260" s="1">
        <v>45418</v>
      </c>
      <c r="C1260" t="s">
        <v>29</v>
      </c>
      <c r="D1260" s="2">
        <v>0</v>
      </c>
      <c r="E1260" s="2">
        <v>4812.46</v>
      </c>
      <c r="F1260" t="s">
        <v>8</v>
      </c>
      <c r="G1260" t="s">
        <v>9</v>
      </c>
    </row>
    <row r="1261" spans="1:7" x14ac:dyDescent="0.35">
      <c r="A1261">
        <v>494</v>
      </c>
      <c r="B1261" s="1">
        <v>45418</v>
      </c>
      <c r="C1261" t="s">
        <v>29</v>
      </c>
      <c r="D1261" s="2">
        <v>276.32</v>
      </c>
      <c r="E1261" s="2">
        <v>0</v>
      </c>
      <c r="F1261" t="s">
        <v>28</v>
      </c>
      <c r="G1261" t="s">
        <v>17</v>
      </c>
    </row>
    <row r="1262" spans="1:7" x14ac:dyDescent="0.35">
      <c r="A1262">
        <v>494</v>
      </c>
      <c r="B1262" s="1">
        <v>45418</v>
      </c>
      <c r="C1262" t="s">
        <v>29</v>
      </c>
      <c r="D1262" s="2">
        <v>0</v>
      </c>
      <c r="E1262" s="2">
        <v>276.32</v>
      </c>
      <c r="F1262" t="s">
        <v>8</v>
      </c>
      <c r="G1262" t="s">
        <v>9</v>
      </c>
    </row>
    <row r="1263" spans="1:7" x14ac:dyDescent="0.35">
      <c r="A1263">
        <v>495</v>
      </c>
      <c r="B1263" s="1">
        <v>45419</v>
      </c>
      <c r="C1263" t="s">
        <v>12</v>
      </c>
      <c r="D1263" s="2">
        <v>7124.59</v>
      </c>
      <c r="E1263" s="2">
        <v>0</v>
      </c>
      <c r="F1263" t="s">
        <v>13</v>
      </c>
      <c r="G1263" t="s">
        <v>9</v>
      </c>
    </row>
    <row r="1264" spans="1:7" x14ac:dyDescent="0.35">
      <c r="A1264">
        <v>495</v>
      </c>
      <c r="B1264" s="1">
        <v>45419</v>
      </c>
      <c r="C1264" t="s">
        <v>12</v>
      </c>
      <c r="D1264" s="2">
        <v>0</v>
      </c>
      <c r="E1264" s="2">
        <v>6627.51</v>
      </c>
      <c r="F1264" t="s">
        <v>14</v>
      </c>
      <c r="G1264" t="s">
        <v>15</v>
      </c>
    </row>
    <row r="1265" spans="1:7" x14ac:dyDescent="0.35">
      <c r="A1265">
        <v>495</v>
      </c>
      <c r="B1265" s="1">
        <v>45419</v>
      </c>
      <c r="C1265" t="s">
        <v>12</v>
      </c>
      <c r="D1265" s="2">
        <v>0</v>
      </c>
      <c r="E1265" s="2">
        <v>497.08</v>
      </c>
      <c r="F1265" t="s">
        <v>16</v>
      </c>
      <c r="G1265" t="s">
        <v>17</v>
      </c>
    </row>
    <row r="1266" spans="1:7" x14ac:dyDescent="0.35">
      <c r="A1266">
        <v>496</v>
      </c>
      <c r="B1266" s="1">
        <v>45419</v>
      </c>
      <c r="C1266" t="s">
        <v>12</v>
      </c>
      <c r="D1266" s="2">
        <v>217.37</v>
      </c>
      <c r="E1266" s="2">
        <v>0</v>
      </c>
      <c r="F1266" t="s">
        <v>13</v>
      </c>
      <c r="G1266" t="s">
        <v>9</v>
      </c>
    </row>
    <row r="1267" spans="1:7" x14ac:dyDescent="0.35">
      <c r="A1267">
        <v>496</v>
      </c>
      <c r="B1267" s="1">
        <v>45419</v>
      </c>
      <c r="C1267" t="s">
        <v>12</v>
      </c>
      <c r="D1267" s="2">
        <v>0</v>
      </c>
      <c r="E1267" s="2">
        <v>202.2</v>
      </c>
      <c r="F1267" t="s">
        <v>14</v>
      </c>
      <c r="G1267" t="s">
        <v>15</v>
      </c>
    </row>
    <row r="1268" spans="1:7" x14ac:dyDescent="0.35">
      <c r="A1268">
        <v>496</v>
      </c>
      <c r="B1268" s="1">
        <v>45419</v>
      </c>
      <c r="C1268" t="s">
        <v>12</v>
      </c>
      <c r="D1268" s="2">
        <v>0</v>
      </c>
      <c r="E1268" s="2">
        <v>15.17</v>
      </c>
      <c r="F1268" t="s">
        <v>16</v>
      </c>
      <c r="G1268" t="s">
        <v>17</v>
      </c>
    </row>
    <row r="1269" spans="1:7" x14ac:dyDescent="0.35">
      <c r="A1269">
        <v>497</v>
      </c>
      <c r="B1269" s="1">
        <v>45419</v>
      </c>
      <c r="C1269" t="s">
        <v>24</v>
      </c>
      <c r="D1269" s="2">
        <v>217.37</v>
      </c>
      <c r="E1269" s="2">
        <v>0</v>
      </c>
      <c r="F1269" t="s">
        <v>8</v>
      </c>
      <c r="G1269" t="s">
        <v>9</v>
      </c>
    </row>
    <row r="1270" spans="1:7" x14ac:dyDescent="0.35">
      <c r="A1270">
        <v>497</v>
      </c>
      <c r="B1270" s="1">
        <v>45419</v>
      </c>
      <c r="C1270" t="s">
        <v>24</v>
      </c>
      <c r="D1270" s="2">
        <v>0</v>
      </c>
      <c r="E1270" s="2">
        <v>217.37</v>
      </c>
      <c r="F1270" t="s">
        <v>13</v>
      </c>
      <c r="G1270" t="s">
        <v>9</v>
      </c>
    </row>
    <row r="1271" spans="1:7" x14ac:dyDescent="0.35">
      <c r="A1271">
        <v>498</v>
      </c>
      <c r="B1271" s="1">
        <v>45419</v>
      </c>
      <c r="C1271" t="s">
        <v>29</v>
      </c>
      <c r="D1271" s="2">
        <v>2635.36</v>
      </c>
      <c r="E1271" s="2">
        <v>0</v>
      </c>
      <c r="F1271" t="s">
        <v>28</v>
      </c>
      <c r="G1271" t="s">
        <v>17</v>
      </c>
    </row>
    <row r="1272" spans="1:7" x14ac:dyDescent="0.35">
      <c r="A1272">
        <v>498</v>
      </c>
      <c r="B1272" s="1">
        <v>45419</v>
      </c>
      <c r="C1272" t="s">
        <v>29</v>
      </c>
      <c r="D1272" s="2">
        <v>0</v>
      </c>
      <c r="E1272" s="2">
        <v>2635.36</v>
      </c>
      <c r="F1272" t="s">
        <v>8</v>
      </c>
      <c r="G1272" t="s">
        <v>9</v>
      </c>
    </row>
    <row r="1273" spans="1:7" x14ac:dyDescent="0.35">
      <c r="A1273">
        <v>499</v>
      </c>
      <c r="B1273" s="1">
        <v>45419</v>
      </c>
      <c r="C1273" t="s">
        <v>29</v>
      </c>
      <c r="D1273" s="2">
        <v>1159.8399999999999</v>
      </c>
      <c r="E1273" s="2">
        <v>0</v>
      </c>
      <c r="F1273" t="s">
        <v>28</v>
      </c>
      <c r="G1273" t="s">
        <v>17</v>
      </c>
    </row>
    <row r="1274" spans="1:7" x14ac:dyDescent="0.35">
      <c r="A1274">
        <v>499</v>
      </c>
      <c r="B1274" s="1">
        <v>45419</v>
      </c>
      <c r="C1274" t="s">
        <v>29</v>
      </c>
      <c r="D1274" s="2">
        <v>0</v>
      </c>
      <c r="E1274" s="2">
        <v>1159.8399999999999</v>
      </c>
      <c r="F1274" t="s">
        <v>8</v>
      </c>
      <c r="G1274" t="s">
        <v>9</v>
      </c>
    </row>
    <row r="1275" spans="1:7" x14ac:dyDescent="0.35">
      <c r="A1275">
        <v>500</v>
      </c>
      <c r="B1275" s="1">
        <v>45420</v>
      </c>
      <c r="C1275" t="s">
        <v>12</v>
      </c>
      <c r="D1275" s="2">
        <v>2098.4499999999998</v>
      </c>
      <c r="E1275" s="2">
        <v>0</v>
      </c>
      <c r="F1275" t="s">
        <v>13</v>
      </c>
      <c r="G1275" t="s">
        <v>9</v>
      </c>
    </row>
    <row r="1276" spans="1:7" x14ac:dyDescent="0.35">
      <c r="A1276">
        <v>500</v>
      </c>
      <c r="B1276" s="1">
        <v>45420</v>
      </c>
      <c r="C1276" t="s">
        <v>12</v>
      </c>
      <c r="D1276" s="2">
        <v>0</v>
      </c>
      <c r="E1276" s="2">
        <v>1952.05</v>
      </c>
      <c r="F1276" t="s">
        <v>14</v>
      </c>
      <c r="G1276" t="s">
        <v>15</v>
      </c>
    </row>
    <row r="1277" spans="1:7" x14ac:dyDescent="0.35">
      <c r="A1277">
        <v>500</v>
      </c>
      <c r="B1277" s="1">
        <v>45420</v>
      </c>
      <c r="C1277" t="s">
        <v>12</v>
      </c>
      <c r="D1277" s="2">
        <v>0</v>
      </c>
      <c r="E1277" s="2">
        <v>146.4</v>
      </c>
      <c r="F1277" t="s">
        <v>16</v>
      </c>
      <c r="G1277" t="s">
        <v>17</v>
      </c>
    </row>
    <row r="1278" spans="1:7" x14ac:dyDescent="0.35">
      <c r="A1278">
        <v>501</v>
      </c>
      <c r="B1278" s="1">
        <v>45420</v>
      </c>
      <c r="C1278" t="s">
        <v>12</v>
      </c>
      <c r="D1278" s="2">
        <v>1505.42</v>
      </c>
      <c r="E1278" s="2">
        <v>0</v>
      </c>
      <c r="F1278" t="s">
        <v>13</v>
      </c>
      <c r="G1278" t="s">
        <v>9</v>
      </c>
    </row>
    <row r="1279" spans="1:7" x14ac:dyDescent="0.35">
      <c r="A1279">
        <v>501</v>
      </c>
      <c r="B1279" s="1">
        <v>45420</v>
      </c>
      <c r="C1279" t="s">
        <v>12</v>
      </c>
      <c r="D1279" s="2">
        <v>0</v>
      </c>
      <c r="E1279" s="2">
        <v>1400.4</v>
      </c>
      <c r="F1279" t="s">
        <v>14</v>
      </c>
      <c r="G1279" t="s">
        <v>15</v>
      </c>
    </row>
    <row r="1280" spans="1:7" x14ac:dyDescent="0.35">
      <c r="A1280">
        <v>501</v>
      </c>
      <c r="B1280" s="1">
        <v>45420</v>
      </c>
      <c r="C1280" t="s">
        <v>12</v>
      </c>
      <c r="D1280" s="2">
        <v>0</v>
      </c>
      <c r="E1280" s="2">
        <v>105.02</v>
      </c>
      <c r="F1280" t="s">
        <v>16</v>
      </c>
      <c r="G1280" t="s">
        <v>17</v>
      </c>
    </row>
    <row r="1281" spans="1:7" x14ac:dyDescent="0.35">
      <c r="A1281">
        <v>502</v>
      </c>
      <c r="B1281" s="1">
        <v>45420</v>
      </c>
      <c r="C1281" t="s">
        <v>12</v>
      </c>
      <c r="D1281" s="2">
        <v>2311.09</v>
      </c>
      <c r="E1281" s="2">
        <v>0</v>
      </c>
      <c r="F1281" t="s">
        <v>13</v>
      </c>
      <c r="G1281" t="s">
        <v>9</v>
      </c>
    </row>
    <row r="1282" spans="1:7" x14ac:dyDescent="0.35">
      <c r="A1282">
        <v>502</v>
      </c>
      <c r="B1282" s="1">
        <v>45420</v>
      </c>
      <c r="C1282" t="s">
        <v>12</v>
      </c>
      <c r="D1282" s="2">
        <v>0</v>
      </c>
      <c r="E1282" s="2">
        <v>2149.85</v>
      </c>
      <c r="F1282" t="s">
        <v>14</v>
      </c>
      <c r="G1282" t="s">
        <v>15</v>
      </c>
    </row>
    <row r="1283" spans="1:7" x14ac:dyDescent="0.35">
      <c r="A1283">
        <v>502</v>
      </c>
      <c r="B1283" s="1">
        <v>45420</v>
      </c>
      <c r="C1283" t="s">
        <v>12</v>
      </c>
      <c r="D1283" s="2">
        <v>0</v>
      </c>
      <c r="E1283" s="2">
        <v>161.24</v>
      </c>
      <c r="F1283" t="s">
        <v>16</v>
      </c>
      <c r="G1283" t="s">
        <v>17</v>
      </c>
    </row>
    <row r="1284" spans="1:7" x14ac:dyDescent="0.35">
      <c r="A1284">
        <v>503</v>
      </c>
      <c r="B1284" s="1">
        <v>45420</v>
      </c>
      <c r="C1284" t="s">
        <v>24</v>
      </c>
      <c r="D1284" s="2">
        <v>1515.29</v>
      </c>
      <c r="E1284" s="2">
        <v>0</v>
      </c>
      <c r="F1284" t="s">
        <v>8</v>
      </c>
      <c r="G1284" t="s">
        <v>9</v>
      </c>
    </row>
    <row r="1285" spans="1:7" x14ac:dyDescent="0.35">
      <c r="A1285">
        <v>503</v>
      </c>
      <c r="B1285" s="1">
        <v>45420</v>
      </c>
      <c r="C1285" t="s">
        <v>24</v>
      </c>
      <c r="D1285" s="2">
        <v>0</v>
      </c>
      <c r="E1285" s="2">
        <v>1515.29</v>
      </c>
      <c r="F1285" t="s">
        <v>13</v>
      </c>
      <c r="G1285" t="s">
        <v>9</v>
      </c>
    </row>
    <row r="1286" spans="1:7" x14ac:dyDescent="0.35">
      <c r="A1286">
        <v>504</v>
      </c>
      <c r="B1286" s="1">
        <v>45420</v>
      </c>
      <c r="C1286" t="s">
        <v>29</v>
      </c>
      <c r="D1286" s="2">
        <v>2504.23</v>
      </c>
      <c r="E1286" s="2">
        <v>0</v>
      </c>
      <c r="F1286" t="s">
        <v>28</v>
      </c>
      <c r="G1286" t="s">
        <v>17</v>
      </c>
    </row>
    <row r="1287" spans="1:7" x14ac:dyDescent="0.35">
      <c r="A1287">
        <v>504</v>
      </c>
      <c r="B1287" s="1">
        <v>45420</v>
      </c>
      <c r="C1287" t="s">
        <v>29</v>
      </c>
      <c r="D1287" s="2">
        <v>0</v>
      </c>
      <c r="E1287" s="2">
        <v>2504.23</v>
      </c>
      <c r="F1287" t="s">
        <v>8</v>
      </c>
      <c r="G1287" t="s">
        <v>9</v>
      </c>
    </row>
    <row r="1288" spans="1:7" x14ac:dyDescent="0.35">
      <c r="A1288">
        <v>505</v>
      </c>
      <c r="B1288" s="1">
        <v>45421</v>
      </c>
      <c r="C1288" t="s">
        <v>18</v>
      </c>
      <c r="D1288" s="2">
        <v>21307.68</v>
      </c>
      <c r="E1288" s="2">
        <v>0</v>
      </c>
      <c r="F1288" t="s">
        <v>19</v>
      </c>
      <c r="G1288" t="s">
        <v>20</v>
      </c>
    </row>
    <row r="1289" spans="1:7" x14ac:dyDescent="0.35">
      <c r="A1289">
        <v>505</v>
      </c>
      <c r="B1289" s="1">
        <v>45421</v>
      </c>
      <c r="C1289" t="s">
        <v>18</v>
      </c>
      <c r="D1289" s="2">
        <v>852.32</v>
      </c>
      <c r="E1289" s="2">
        <v>0</v>
      </c>
      <c r="F1289" t="s">
        <v>21</v>
      </c>
      <c r="G1289" t="s">
        <v>20</v>
      </c>
    </row>
    <row r="1290" spans="1:7" x14ac:dyDescent="0.35">
      <c r="A1290">
        <v>505</v>
      </c>
      <c r="B1290" s="1">
        <v>45421</v>
      </c>
      <c r="C1290" t="s">
        <v>18</v>
      </c>
      <c r="D1290" s="2">
        <v>0</v>
      </c>
      <c r="E1290" s="2">
        <v>17437.03</v>
      </c>
      <c r="F1290" t="s">
        <v>8</v>
      </c>
      <c r="G1290" t="s">
        <v>9</v>
      </c>
    </row>
    <row r="1291" spans="1:7" x14ac:dyDescent="0.35">
      <c r="A1291">
        <v>505</v>
      </c>
      <c r="B1291" s="1">
        <v>45421</v>
      </c>
      <c r="C1291" t="s">
        <v>18</v>
      </c>
      <c r="D1291" s="2">
        <v>0</v>
      </c>
      <c r="E1291" s="2">
        <v>3870.65</v>
      </c>
      <c r="F1291" t="s">
        <v>22</v>
      </c>
      <c r="G1291" t="s">
        <v>17</v>
      </c>
    </row>
    <row r="1292" spans="1:7" x14ac:dyDescent="0.35">
      <c r="A1292">
        <v>505</v>
      </c>
      <c r="B1292" s="1">
        <v>45421</v>
      </c>
      <c r="C1292" t="s">
        <v>18</v>
      </c>
      <c r="D1292" s="2">
        <v>0</v>
      </c>
      <c r="E1292" s="2">
        <v>852.32</v>
      </c>
      <c r="F1292" t="s">
        <v>23</v>
      </c>
      <c r="G1292" t="s">
        <v>17</v>
      </c>
    </row>
    <row r="1293" spans="1:7" x14ac:dyDescent="0.35">
      <c r="A1293">
        <v>506</v>
      </c>
      <c r="B1293" s="1">
        <v>45421</v>
      </c>
      <c r="C1293" t="s">
        <v>12</v>
      </c>
      <c r="D1293" s="2">
        <v>2368.61</v>
      </c>
      <c r="E1293" s="2">
        <v>0</v>
      </c>
      <c r="F1293" t="s">
        <v>13</v>
      </c>
      <c r="G1293" t="s">
        <v>9</v>
      </c>
    </row>
    <row r="1294" spans="1:7" x14ac:dyDescent="0.35">
      <c r="A1294">
        <v>506</v>
      </c>
      <c r="B1294" s="1">
        <v>45421</v>
      </c>
      <c r="C1294" t="s">
        <v>12</v>
      </c>
      <c r="D1294" s="2">
        <v>0</v>
      </c>
      <c r="E1294" s="2">
        <v>2203.37</v>
      </c>
      <c r="F1294" t="s">
        <v>14</v>
      </c>
      <c r="G1294" t="s">
        <v>15</v>
      </c>
    </row>
    <row r="1295" spans="1:7" x14ac:dyDescent="0.35">
      <c r="A1295">
        <v>506</v>
      </c>
      <c r="B1295" s="1">
        <v>45421</v>
      </c>
      <c r="C1295" t="s">
        <v>12</v>
      </c>
      <c r="D1295" s="2">
        <v>0</v>
      </c>
      <c r="E1295" s="2">
        <v>165.24</v>
      </c>
      <c r="F1295" t="s">
        <v>16</v>
      </c>
      <c r="G1295" t="s">
        <v>17</v>
      </c>
    </row>
    <row r="1296" spans="1:7" x14ac:dyDescent="0.35">
      <c r="A1296">
        <v>507</v>
      </c>
      <c r="B1296" s="1">
        <v>45421</v>
      </c>
      <c r="C1296" t="s">
        <v>12</v>
      </c>
      <c r="D1296" s="2">
        <v>1010.31</v>
      </c>
      <c r="E1296" s="2">
        <v>0</v>
      </c>
      <c r="F1296" t="s">
        <v>13</v>
      </c>
      <c r="G1296" t="s">
        <v>9</v>
      </c>
    </row>
    <row r="1297" spans="1:7" x14ac:dyDescent="0.35">
      <c r="A1297">
        <v>507</v>
      </c>
      <c r="B1297" s="1">
        <v>45421</v>
      </c>
      <c r="C1297" t="s">
        <v>12</v>
      </c>
      <c r="D1297" s="2">
        <v>0</v>
      </c>
      <c r="E1297" s="2">
        <v>939.82</v>
      </c>
      <c r="F1297" t="s">
        <v>14</v>
      </c>
      <c r="G1297" t="s">
        <v>15</v>
      </c>
    </row>
    <row r="1298" spans="1:7" x14ac:dyDescent="0.35">
      <c r="A1298">
        <v>507</v>
      </c>
      <c r="B1298" s="1">
        <v>45421</v>
      </c>
      <c r="C1298" t="s">
        <v>12</v>
      </c>
      <c r="D1298" s="2">
        <v>0</v>
      </c>
      <c r="E1298" s="2">
        <v>70.489999999999995</v>
      </c>
      <c r="F1298" t="s">
        <v>16</v>
      </c>
      <c r="G1298" t="s">
        <v>17</v>
      </c>
    </row>
    <row r="1299" spans="1:7" x14ac:dyDescent="0.35">
      <c r="A1299">
        <v>508</v>
      </c>
      <c r="B1299" s="1">
        <v>45421</v>
      </c>
      <c r="C1299" t="s">
        <v>12</v>
      </c>
      <c r="D1299" s="2">
        <v>2307.5500000000002</v>
      </c>
      <c r="E1299" s="2">
        <v>0</v>
      </c>
      <c r="F1299" t="s">
        <v>13</v>
      </c>
      <c r="G1299" t="s">
        <v>9</v>
      </c>
    </row>
    <row r="1300" spans="1:7" x14ac:dyDescent="0.35">
      <c r="A1300">
        <v>508</v>
      </c>
      <c r="B1300" s="1">
        <v>45421</v>
      </c>
      <c r="C1300" t="s">
        <v>12</v>
      </c>
      <c r="D1300" s="2">
        <v>0</v>
      </c>
      <c r="E1300" s="2">
        <v>2146.56</v>
      </c>
      <c r="F1300" t="s">
        <v>14</v>
      </c>
      <c r="G1300" t="s">
        <v>15</v>
      </c>
    </row>
    <row r="1301" spans="1:7" x14ac:dyDescent="0.35">
      <c r="A1301">
        <v>508</v>
      </c>
      <c r="B1301" s="1">
        <v>45421</v>
      </c>
      <c r="C1301" t="s">
        <v>12</v>
      </c>
      <c r="D1301" s="2">
        <v>0</v>
      </c>
      <c r="E1301" s="2">
        <v>160.99</v>
      </c>
      <c r="F1301" t="s">
        <v>16</v>
      </c>
      <c r="G1301" t="s">
        <v>17</v>
      </c>
    </row>
    <row r="1302" spans="1:7" x14ac:dyDescent="0.35">
      <c r="A1302">
        <v>509</v>
      </c>
      <c r="B1302" s="1">
        <v>45421</v>
      </c>
      <c r="C1302" t="s">
        <v>24</v>
      </c>
      <c r="D1302" s="2">
        <v>3811.45</v>
      </c>
      <c r="E1302" s="2">
        <v>0</v>
      </c>
      <c r="F1302" t="s">
        <v>8</v>
      </c>
      <c r="G1302" t="s">
        <v>9</v>
      </c>
    </row>
    <row r="1303" spans="1:7" x14ac:dyDescent="0.35">
      <c r="A1303">
        <v>509</v>
      </c>
      <c r="B1303" s="1">
        <v>45421</v>
      </c>
      <c r="C1303" t="s">
        <v>24</v>
      </c>
      <c r="D1303" s="2">
        <v>0</v>
      </c>
      <c r="E1303" s="2">
        <v>3811.45</v>
      </c>
      <c r="F1303" t="s">
        <v>13</v>
      </c>
      <c r="G1303" t="s">
        <v>9</v>
      </c>
    </row>
    <row r="1304" spans="1:7" x14ac:dyDescent="0.35">
      <c r="A1304">
        <v>510</v>
      </c>
      <c r="B1304" s="1">
        <v>45421</v>
      </c>
      <c r="C1304" t="s">
        <v>24</v>
      </c>
      <c r="D1304" s="2">
        <v>1505.42</v>
      </c>
      <c r="E1304" s="2">
        <v>0</v>
      </c>
      <c r="F1304" t="s">
        <v>8</v>
      </c>
      <c r="G1304" t="s">
        <v>9</v>
      </c>
    </row>
    <row r="1305" spans="1:7" x14ac:dyDescent="0.35">
      <c r="A1305">
        <v>510</v>
      </c>
      <c r="B1305" s="1">
        <v>45421</v>
      </c>
      <c r="C1305" t="s">
        <v>24</v>
      </c>
      <c r="D1305" s="2">
        <v>0</v>
      </c>
      <c r="E1305" s="2">
        <v>1505.42</v>
      </c>
      <c r="F1305" t="s">
        <v>13</v>
      </c>
      <c r="G1305" t="s">
        <v>9</v>
      </c>
    </row>
    <row r="1306" spans="1:7" x14ac:dyDescent="0.35">
      <c r="A1306">
        <v>511</v>
      </c>
      <c r="B1306" s="1">
        <v>45421</v>
      </c>
      <c r="C1306" t="s">
        <v>25</v>
      </c>
      <c r="D1306" s="2">
        <v>1213.5999999999999</v>
      </c>
      <c r="E1306" s="2">
        <v>0</v>
      </c>
      <c r="F1306" t="s">
        <v>26</v>
      </c>
      <c r="G1306" t="s">
        <v>20</v>
      </c>
    </row>
    <row r="1307" spans="1:7" x14ac:dyDescent="0.35">
      <c r="A1307">
        <v>511</v>
      </c>
      <c r="B1307" s="1">
        <v>45421</v>
      </c>
      <c r="C1307" t="s">
        <v>25</v>
      </c>
      <c r="D1307" s="2">
        <v>91.02</v>
      </c>
      <c r="E1307" s="2">
        <v>0</v>
      </c>
      <c r="F1307" t="s">
        <v>27</v>
      </c>
      <c r="G1307" t="s">
        <v>9</v>
      </c>
    </row>
    <row r="1308" spans="1:7" x14ac:dyDescent="0.35">
      <c r="A1308">
        <v>511</v>
      </c>
      <c r="B1308" s="1">
        <v>45421</v>
      </c>
      <c r="C1308" t="s">
        <v>25</v>
      </c>
      <c r="D1308" s="2">
        <v>0</v>
      </c>
      <c r="E1308" s="2">
        <v>1304.6199999999999</v>
      </c>
      <c r="F1308" t="s">
        <v>28</v>
      </c>
      <c r="G1308" t="s">
        <v>17</v>
      </c>
    </row>
    <row r="1309" spans="1:7" x14ac:dyDescent="0.35">
      <c r="A1309">
        <v>512</v>
      </c>
      <c r="B1309" s="1">
        <v>45421</v>
      </c>
      <c r="C1309" t="s">
        <v>29</v>
      </c>
      <c r="D1309" s="2">
        <v>1935.04</v>
      </c>
      <c r="E1309" s="2">
        <v>0</v>
      </c>
      <c r="F1309" t="s">
        <v>28</v>
      </c>
      <c r="G1309" t="s">
        <v>17</v>
      </c>
    </row>
    <row r="1310" spans="1:7" x14ac:dyDescent="0.35">
      <c r="A1310">
        <v>512</v>
      </c>
      <c r="B1310" s="1">
        <v>45421</v>
      </c>
      <c r="C1310" t="s">
        <v>29</v>
      </c>
      <c r="D1310" s="2">
        <v>0</v>
      </c>
      <c r="E1310" s="2">
        <v>1935.04</v>
      </c>
      <c r="F1310" t="s">
        <v>8</v>
      </c>
      <c r="G1310" t="s">
        <v>9</v>
      </c>
    </row>
    <row r="1311" spans="1:7" x14ac:dyDescent="0.35">
      <c r="A1311">
        <v>513</v>
      </c>
      <c r="B1311" s="1">
        <v>45422</v>
      </c>
      <c r="C1311" t="s">
        <v>12</v>
      </c>
      <c r="D1311" s="2">
        <v>1970.83</v>
      </c>
      <c r="E1311" s="2">
        <v>0</v>
      </c>
      <c r="F1311" t="s">
        <v>13</v>
      </c>
      <c r="G1311" t="s">
        <v>9</v>
      </c>
    </row>
    <row r="1312" spans="1:7" x14ac:dyDescent="0.35">
      <c r="A1312">
        <v>513</v>
      </c>
      <c r="B1312" s="1">
        <v>45422</v>
      </c>
      <c r="C1312" t="s">
        <v>12</v>
      </c>
      <c r="D1312" s="2">
        <v>0</v>
      </c>
      <c r="E1312" s="2">
        <v>1833.33</v>
      </c>
      <c r="F1312" t="s">
        <v>14</v>
      </c>
      <c r="G1312" t="s">
        <v>15</v>
      </c>
    </row>
    <row r="1313" spans="1:7" x14ac:dyDescent="0.35">
      <c r="A1313">
        <v>513</v>
      </c>
      <c r="B1313" s="1">
        <v>45422</v>
      </c>
      <c r="C1313" t="s">
        <v>12</v>
      </c>
      <c r="D1313" s="2">
        <v>0</v>
      </c>
      <c r="E1313" s="2">
        <v>137.5</v>
      </c>
      <c r="F1313" t="s">
        <v>16</v>
      </c>
      <c r="G1313" t="s">
        <v>17</v>
      </c>
    </row>
    <row r="1314" spans="1:7" x14ac:dyDescent="0.35">
      <c r="A1314">
        <v>514</v>
      </c>
      <c r="B1314" s="1">
        <v>45422</v>
      </c>
      <c r="C1314" t="s">
        <v>12</v>
      </c>
      <c r="D1314" s="2">
        <v>3243.59</v>
      </c>
      <c r="E1314" s="2">
        <v>0</v>
      </c>
      <c r="F1314" t="s">
        <v>13</v>
      </c>
      <c r="G1314" t="s">
        <v>9</v>
      </c>
    </row>
    <row r="1315" spans="1:7" x14ac:dyDescent="0.35">
      <c r="A1315">
        <v>514</v>
      </c>
      <c r="B1315" s="1">
        <v>45422</v>
      </c>
      <c r="C1315" t="s">
        <v>12</v>
      </c>
      <c r="D1315" s="2">
        <v>0</v>
      </c>
      <c r="E1315" s="2">
        <v>3017.29</v>
      </c>
      <c r="F1315" t="s">
        <v>14</v>
      </c>
      <c r="G1315" t="s">
        <v>15</v>
      </c>
    </row>
    <row r="1316" spans="1:7" x14ac:dyDescent="0.35">
      <c r="A1316">
        <v>514</v>
      </c>
      <c r="B1316" s="1">
        <v>45422</v>
      </c>
      <c r="C1316" t="s">
        <v>12</v>
      </c>
      <c r="D1316" s="2">
        <v>0</v>
      </c>
      <c r="E1316" s="2">
        <v>226.3</v>
      </c>
      <c r="F1316" t="s">
        <v>16</v>
      </c>
      <c r="G1316" t="s">
        <v>17</v>
      </c>
    </row>
    <row r="1317" spans="1:7" x14ac:dyDescent="0.35">
      <c r="A1317">
        <v>515</v>
      </c>
      <c r="B1317" s="1">
        <v>45422</v>
      </c>
      <c r="C1317" t="s">
        <v>24</v>
      </c>
      <c r="D1317" s="2">
        <v>1970.83</v>
      </c>
      <c r="E1317" s="2">
        <v>0</v>
      </c>
      <c r="F1317" t="s">
        <v>8</v>
      </c>
      <c r="G1317" t="s">
        <v>9</v>
      </c>
    </row>
    <row r="1318" spans="1:7" x14ac:dyDescent="0.35">
      <c r="A1318">
        <v>515</v>
      </c>
      <c r="B1318" s="1">
        <v>45422</v>
      </c>
      <c r="C1318" t="s">
        <v>24</v>
      </c>
      <c r="D1318" s="2">
        <v>0</v>
      </c>
      <c r="E1318" s="2">
        <v>1970.83</v>
      </c>
      <c r="F1318" t="s">
        <v>13</v>
      </c>
      <c r="G1318" t="s">
        <v>9</v>
      </c>
    </row>
    <row r="1319" spans="1:7" x14ac:dyDescent="0.35">
      <c r="A1319">
        <v>516</v>
      </c>
      <c r="B1319" s="1">
        <v>45422</v>
      </c>
      <c r="C1319" t="s">
        <v>25</v>
      </c>
      <c r="D1319" s="2">
        <v>1800.04</v>
      </c>
      <c r="E1319" s="2">
        <v>0</v>
      </c>
      <c r="F1319" t="s">
        <v>26</v>
      </c>
      <c r="G1319" t="s">
        <v>20</v>
      </c>
    </row>
    <row r="1320" spans="1:7" x14ac:dyDescent="0.35">
      <c r="A1320">
        <v>516</v>
      </c>
      <c r="B1320" s="1">
        <v>45422</v>
      </c>
      <c r="C1320" t="s">
        <v>25</v>
      </c>
      <c r="D1320" s="2">
        <v>135</v>
      </c>
      <c r="E1320" s="2">
        <v>0</v>
      </c>
      <c r="F1320" t="s">
        <v>27</v>
      </c>
      <c r="G1320" t="s">
        <v>9</v>
      </c>
    </row>
    <row r="1321" spans="1:7" x14ac:dyDescent="0.35">
      <c r="A1321">
        <v>516</v>
      </c>
      <c r="B1321" s="1">
        <v>45422</v>
      </c>
      <c r="C1321" t="s">
        <v>25</v>
      </c>
      <c r="D1321" s="2">
        <v>0</v>
      </c>
      <c r="E1321" s="2">
        <v>1935.04</v>
      </c>
      <c r="F1321" t="s">
        <v>28</v>
      </c>
      <c r="G1321" t="s">
        <v>17</v>
      </c>
    </row>
    <row r="1322" spans="1:7" x14ac:dyDescent="0.35">
      <c r="A1322">
        <v>517</v>
      </c>
      <c r="B1322" s="1">
        <v>45422</v>
      </c>
      <c r="C1322" t="s">
        <v>25</v>
      </c>
      <c r="D1322" s="2">
        <v>952.02</v>
      </c>
      <c r="E1322" s="2">
        <v>0</v>
      </c>
      <c r="F1322" t="s">
        <v>26</v>
      </c>
      <c r="G1322" t="s">
        <v>20</v>
      </c>
    </row>
    <row r="1323" spans="1:7" x14ac:dyDescent="0.35">
      <c r="A1323">
        <v>517</v>
      </c>
      <c r="B1323" s="1">
        <v>45422</v>
      </c>
      <c r="C1323" t="s">
        <v>25</v>
      </c>
      <c r="D1323" s="2">
        <v>71.400000000000006</v>
      </c>
      <c r="E1323" s="2">
        <v>0</v>
      </c>
      <c r="F1323" t="s">
        <v>27</v>
      </c>
      <c r="G1323" t="s">
        <v>9</v>
      </c>
    </row>
    <row r="1324" spans="1:7" x14ac:dyDescent="0.35">
      <c r="A1324">
        <v>517</v>
      </c>
      <c r="B1324" s="1">
        <v>45422</v>
      </c>
      <c r="C1324" t="s">
        <v>25</v>
      </c>
      <c r="D1324" s="2">
        <v>0</v>
      </c>
      <c r="E1324" s="2">
        <v>1023.42</v>
      </c>
      <c r="F1324" t="s">
        <v>28</v>
      </c>
      <c r="G1324" t="s">
        <v>17</v>
      </c>
    </row>
    <row r="1325" spans="1:7" x14ac:dyDescent="0.35">
      <c r="A1325">
        <v>518</v>
      </c>
      <c r="B1325" s="1">
        <v>45422</v>
      </c>
      <c r="C1325" t="s">
        <v>29</v>
      </c>
      <c r="D1325" s="2">
        <v>3528.97</v>
      </c>
      <c r="E1325" s="2">
        <v>0</v>
      </c>
      <c r="F1325" t="s">
        <v>28</v>
      </c>
      <c r="G1325" t="s">
        <v>17</v>
      </c>
    </row>
    <row r="1326" spans="1:7" x14ac:dyDescent="0.35">
      <c r="A1326">
        <v>518</v>
      </c>
      <c r="B1326" s="1">
        <v>45422</v>
      </c>
      <c r="C1326" t="s">
        <v>29</v>
      </c>
      <c r="D1326" s="2">
        <v>0</v>
      </c>
      <c r="E1326" s="2">
        <v>3528.97</v>
      </c>
      <c r="F1326" t="s">
        <v>8</v>
      </c>
      <c r="G1326" t="s">
        <v>9</v>
      </c>
    </row>
    <row r="1327" spans="1:7" x14ac:dyDescent="0.35">
      <c r="A1327">
        <v>519</v>
      </c>
      <c r="B1327" s="1">
        <v>45422</v>
      </c>
      <c r="C1327" t="s">
        <v>29</v>
      </c>
      <c r="D1327" s="2">
        <v>550.4</v>
      </c>
      <c r="E1327" s="2">
        <v>0</v>
      </c>
      <c r="F1327" t="s">
        <v>28</v>
      </c>
      <c r="G1327" t="s">
        <v>17</v>
      </c>
    </row>
    <row r="1328" spans="1:7" x14ac:dyDescent="0.35">
      <c r="A1328">
        <v>519</v>
      </c>
      <c r="B1328" s="1">
        <v>45422</v>
      </c>
      <c r="C1328" t="s">
        <v>29</v>
      </c>
      <c r="D1328" s="2">
        <v>0</v>
      </c>
      <c r="E1328" s="2">
        <v>550.4</v>
      </c>
      <c r="F1328" t="s">
        <v>8</v>
      </c>
      <c r="G1328" t="s">
        <v>9</v>
      </c>
    </row>
    <row r="1329" spans="1:7" x14ac:dyDescent="0.35">
      <c r="A1329">
        <v>520</v>
      </c>
      <c r="B1329" s="1">
        <v>45422</v>
      </c>
      <c r="C1329" t="s">
        <v>29</v>
      </c>
      <c r="D1329" s="2">
        <v>2093.2800000000002</v>
      </c>
      <c r="E1329" s="2">
        <v>0</v>
      </c>
      <c r="F1329" t="s">
        <v>28</v>
      </c>
      <c r="G1329" t="s">
        <v>17</v>
      </c>
    </row>
    <row r="1330" spans="1:7" x14ac:dyDescent="0.35">
      <c r="A1330">
        <v>520</v>
      </c>
      <c r="B1330" s="1">
        <v>45422</v>
      </c>
      <c r="C1330" t="s">
        <v>29</v>
      </c>
      <c r="D1330" s="2">
        <v>0</v>
      </c>
      <c r="E1330" s="2">
        <v>2093.2800000000002</v>
      </c>
      <c r="F1330" t="s">
        <v>8</v>
      </c>
      <c r="G1330" t="s">
        <v>9</v>
      </c>
    </row>
    <row r="1331" spans="1:7" x14ac:dyDescent="0.35">
      <c r="A1331">
        <v>521</v>
      </c>
      <c r="B1331" s="1">
        <v>45425</v>
      </c>
      <c r="C1331" t="s">
        <v>12</v>
      </c>
      <c r="D1331" s="2">
        <v>2144.6999999999998</v>
      </c>
      <c r="E1331" s="2">
        <v>0</v>
      </c>
      <c r="F1331" t="s">
        <v>13</v>
      </c>
      <c r="G1331" t="s">
        <v>9</v>
      </c>
    </row>
    <row r="1332" spans="1:7" x14ac:dyDescent="0.35">
      <c r="A1332">
        <v>521</v>
      </c>
      <c r="B1332" s="1">
        <v>45425</v>
      </c>
      <c r="C1332" t="s">
        <v>12</v>
      </c>
      <c r="D1332" s="2">
        <v>0</v>
      </c>
      <c r="E1332" s="2">
        <v>1995.07</v>
      </c>
      <c r="F1332" t="s">
        <v>14</v>
      </c>
      <c r="G1332" t="s">
        <v>15</v>
      </c>
    </row>
    <row r="1333" spans="1:7" x14ac:dyDescent="0.35">
      <c r="A1333">
        <v>521</v>
      </c>
      <c r="B1333" s="1">
        <v>45425</v>
      </c>
      <c r="C1333" t="s">
        <v>12</v>
      </c>
      <c r="D1333" s="2">
        <v>0</v>
      </c>
      <c r="E1333" s="2">
        <v>149.63</v>
      </c>
      <c r="F1333" t="s">
        <v>16</v>
      </c>
      <c r="G1333" t="s">
        <v>17</v>
      </c>
    </row>
    <row r="1334" spans="1:7" x14ac:dyDescent="0.35">
      <c r="A1334">
        <v>522</v>
      </c>
      <c r="B1334" s="1">
        <v>45425</v>
      </c>
      <c r="C1334" t="s">
        <v>25</v>
      </c>
      <c r="D1334" s="2">
        <v>1078.92</v>
      </c>
      <c r="E1334" s="2">
        <v>0</v>
      </c>
      <c r="F1334" t="s">
        <v>26</v>
      </c>
      <c r="G1334" t="s">
        <v>20</v>
      </c>
    </row>
    <row r="1335" spans="1:7" x14ac:dyDescent="0.35">
      <c r="A1335">
        <v>522</v>
      </c>
      <c r="B1335" s="1">
        <v>45425</v>
      </c>
      <c r="C1335" t="s">
        <v>25</v>
      </c>
      <c r="D1335" s="2">
        <v>80.92</v>
      </c>
      <c r="E1335" s="2">
        <v>0</v>
      </c>
      <c r="F1335" t="s">
        <v>27</v>
      </c>
      <c r="G1335" t="s">
        <v>9</v>
      </c>
    </row>
    <row r="1336" spans="1:7" x14ac:dyDescent="0.35">
      <c r="A1336">
        <v>522</v>
      </c>
      <c r="B1336" s="1">
        <v>45425</v>
      </c>
      <c r="C1336" t="s">
        <v>25</v>
      </c>
      <c r="D1336" s="2">
        <v>0</v>
      </c>
      <c r="E1336" s="2">
        <v>1159.8399999999999</v>
      </c>
      <c r="F1336" t="s">
        <v>28</v>
      </c>
      <c r="G1336" t="s">
        <v>17</v>
      </c>
    </row>
    <row r="1337" spans="1:7" x14ac:dyDescent="0.35">
      <c r="A1337">
        <v>523</v>
      </c>
      <c r="B1337" s="1">
        <v>45425</v>
      </c>
      <c r="C1337" t="s">
        <v>29</v>
      </c>
      <c r="D1337" s="2">
        <v>1304.6199999999999</v>
      </c>
      <c r="E1337" s="2">
        <v>0</v>
      </c>
      <c r="F1337" t="s">
        <v>28</v>
      </c>
      <c r="G1337" t="s">
        <v>17</v>
      </c>
    </row>
    <row r="1338" spans="1:7" x14ac:dyDescent="0.35">
      <c r="A1338">
        <v>523</v>
      </c>
      <c r="B1338" s="1">
        <v>45425</v>
      </c>
      <c r="C1338" t="s">
        <v>29</v>
      </c>
      <c r="D1338" s="2">
        <v>0</v>
      </c>
      <c r="E1338" s="2">
        <v>1304.6199999999999</v>
      </c>
      <c r="F1338" t="s">
        <v>8</v>
      </c>
      <c r="G1338" t="s">
        <v>9</v>
      </c>
    </row>
    <row r="1339" spans="1:7" x14ac:dyDescent="0.35">
      <c r="A1339">
        <v>524</v>
      </c>
      <c r="B1339" s="1">
        <v>45426</v>
      </c>
      <c r="C1339" t="s">
        <v>12</v>
      </c>
      <c r="D1339" s="2">
        <v>5244.58</v>
      </c>
      <c r="E1339" s="2">
        <v>0</v>
      </c>
      <c r="F1339" t="s">
        <v>13</v>
      </c>
      <c r="G1339" t="s">
        <v>9</v>
      </c>
    </row>
    <row r="1340" spans="1:7" x14ac:dyDescent="0.35">
      <c r="A1340">
        <v>524</v>
      </c>
      <c r="B1340" s="1">
        <v>45426</v>
      </c>
      <c r="C1340" t="s">
        <v>12</v>
      </c>
      <c r="D1340" s="2">
        <v>0</v>
      </c>
      <c r="E1340" s="2">
        <v>4878.67</v>
      </c>
      <c r="F1340" t="s">
        <v>14</v>
      </c>
      <c r="G1340" t="s">
        <v>15</v>
      </c>
    </row>
    <row r="1341" spans="1:7" x14ac:dyDescent="0.35">
      <c r="A1341">
        <v>524</v>
      </c>
      <c r="B1341" s="1">
        <v>45426</v>
      </c>
      <c r="C1341" t="s">
        <v>12</v>
      </c>
      <c r="D1341" s="2">
        <v>0</v>
      </c>
      <c r="E1341" s="2">
        <v>365.91</v>
      </c>
      <c r="F1341" t="s">
        <v>16</v>
      </c>
      <c r="G1341" t="s">
        <v>17</v>
      </c>
    </row>
    <row r="1342" spans="1:7" x14ac:dyDescent="0.35">
      <c r="A1342">
        <v>525</v>
      </c>
      <c r="B1342" s="1">
        <v>45426</v>
      </c>
      <c r="C1342" t="s">
        <v>12</v>
      </c>
      <c r="D1342" s="2">
        <v>5487.81</v>
      </c>
      <c r="E1342" s="2">
        <v>0</v>
      </c>
      <c r="F1342" t="s">
        <v>13</v>
      </c>
      <c r="G1342" t="s">
        <v>9</v>
      </c>
    </row>
    <row r="1343" spans="1:7" x14ac:dyDescent="0.35">
      <c r="A1343">
        <v>525</v>
      </c>
      <c r="B1343" s="1">
        <v>45426</v>
      </c>
      <c r="C1343" t="s">
        <v>12</v>
      </c>
      <c r="D1343" s="2">
        <v>0</v>
      </c>
      <c r="E1343" s="2">
        <v>5104.93</v>
      </c>
      <c r="F1343" t="s">
        <v>14</v>
      </c>
      <c r="G1343" t="s">
        <v>15</v>
      </c>
    </row>
    <row r="1344" spans="1:7" x14ac:dyDescent="0.35">
      <c r="A1344">
        <v>525</v>
      </c>
      <c r="B1344" s="1">
        <v>45426</v>
      </c>
      <c r="C1344" t="s">
        <v>12</v>
      </c>
      <c r="D1344" s="2">
        <v>0</v>
      </c>
      <c r="E1344" s="2">
        <v>382.88</v>
      </c>
      <c r="F1344" t="s">
        <v>16</v>
      </c>
      <c r="G1344" t="s">
        <v>17</v>
      </c>
    </row>
    <row r="1345" spans="1:7" x14ac:dyDescent="0.35">
      <c r="A1345">
        <v>526</v>
      </c>
      <c r="B1345" s="1">
        <v>45426</v>
      </c>
      <c r="C1345" t="s">
        <v>12</v>
      </c>
      <c r="D1345" s="2">
        <v>3354.47</v>
      </c>
      <c r="E1345" s="2">
        <v>0</v>
      </c>
      <c r="F1345" t="s">
        <v>13</v>
      </c>
      <c r="G1345" t="s">
        <v>9</v>
      </c>
    </row>
    <row r="1346" spans="1:7" x14ac:dyDescent="0.35">
      <c r="A1346">
        <v>526</v>
      </c>
      <c r="B1346" s="1">
        <v>45426</v>
      </c>
      <c r="C1346" t="s">
        <v>12</v>
      </c>
      <c r="D1346" s="2">
        <v>0</v>
      </c>
      <c r="E1346" s="2">
        <v>3120.44</v>
      </c>
      <c r="F1346" t="s">
        <v>14</v>
      </c>
      <c r="G1346" t="s">
        <v>15</v>
      </c>
    </row>
    <row r="1347" spans="1:7" x14ac:dyDescent="0.35">
      <c r="A1347">
        <v>526</v>
      </c>
      <c r="B1347" s="1">
        <v>45426</v>
      </c>
      <c r="C1347" t="s">
        <v>12</v>
      </c>
      <c r="D1347" s="2">
        <v>0</v>
      </c>
      <c r="E1347" s="2">
        <v>234.03</v>
      </c>
      <c r="F1347" t="s">
        <v>16</v>
      </c>
      <c r="G1347" t="s">
        <v>17</v>
      </c>
    </row>
    <row r="1348" spans="1:7" x14ac:dyDescent="0.35">
      <c r="A1348">
        <v>527</v>
      </c>
      <c r="B1348" s="1">
        <v>45426</v>
      </c>
      <c r="C1348" t="s">
        <v>24</v>
      </c>
      <c r="D1348" s="2">
        <v>2078.48</v>
      </c>
      <c r="E1348" s="2">
        <v>0</v>
      </c>
      <c r="F1348" t="s">
        <v>8</v>
      </c>
      <c r="G1348" t="s">
        <v>9</v>
      </c>
    </row>
    <row r="1349" spans="1:7" x14ac:dyDescent="0.35">
      <c r="A1349">
        <v>527</v>
      </c>
      <c r="B1349" s="1">
        <v>45426</v>
      </c>
      <c r="C1349" t="s">
        <v>24</v>
      </c>
      <c r="D1349" s="2">
        <v>0</v>
      </c>
      <c r="E1349" s="2">
        <v>2078.48</v>
      </c>
      <c r="F1349" t="s">
        <v>13</v>
      </c>
      <c r="G1349" t="s">
        <v>9</v>
      </c>
    </row>
    <row r="1350" spans="1:7" x14ac:dyDescent="0.35">
      <c r="A1350">
        <v>528</v>
      </c>
      <c r="B1350" s="1">
        <v>45426</v>
      </c>
      <c r="C1350" t="s">
        <v>24</v>
      </c>
      <c r="D1350" s="2">
        <v>2792.85</v>
      </c>
      <c r="E1350" s="2">
        <v>0</v>
      </c>
      <c r="F1350" t="s">
        <v>8</v>
      </c>
      <c r="G1350" t="s">
        <v>9</v>
      </c>
    </row>
    <row r="1351" spans="1:7" x14ac:dyDescent="0.35">
      <c r="A1351">
        <v>528</v>
      </c>
      <c r="B1351" s="1">
        <v>45426</v>
      </c>
      <c r="C1351" t="s">
        <v>24</v>
      </c>
      <c r="D1351" s="2">
        <v>0</v>
      </c>
      <c r="E1351" s="2">
        <v>2792.85</v>
      </c>
      <c r="F1351" t="s">
        <v>13</v>
      </c>
      <c r="G1351" t="s">
        <v>9</v>
      </c>
    </row>
    <row r="1352" spans="1:7" x14ac:dyDescent="0.35">
      <c r="A1352">
        <v>529</v>
      </c>
      <c r="B1352" s="1">
        <v>45427</v>
      </c>
      <c r="C1352" t="s">
        <v>12</v>
      </c>
      <c r="D1352" s="2">
        <v>3428.55</v>
      </c>
      <c r="E1352" s="2">
        <v>0</v>
      </c>
      <c r="F1352" t="s">
        <v>13</v>
      </c>
      <c r="G1352" t="s">
        <v>9</v>
      </c>
    </row>
    <row r="1353" spans="1:7" x14ac:dyDescent="0.35">
      <c r="A1353">
        <v>529</v>
      </c>
      <c r="B1353" s="1">
        <v>45427</v>
      </c>
      <c r="C1353" t="s">
        <v>12</v>
      </c>
      <c r="D1353" s="2">
        <v>0</v>
      </c>
      <c r="E1353" s="2">
        <v>3189.35</v>
      </c>
      <c r="F1353" t="s">
        <v>14</v>
      </c>
      <c r="G1353" t="s">
        <v>15</v>
      </c>
    </row>
    <row r="1354" spans="1:7" x14ac:dyDescent="0.35">
      <c r="A1354">
        <v>529</v>
      </c>
      <c r="B1354" s="1">
        <v>45427</v>
      </c>
      <c r="C1354" t="s">
        <v>12</v>
      </c>
      <c r="D1354" s="2">
        <v>0</v>
      </c>
      <c r="E1354" s="2">
        <v>239.2</v>
      </c>
      <c r="F1354" t="s">
        <v>16</v>
      </c>
      <c r="G1354" t="s">
        <v>17</v>
      </c>
    </row>
    <row r="1355" spans="1:7" x14ac:dyDescent="0.35">
      <c r="A1355">
        <v>530</v>
      </c>
      <c r="B1355" s="1">
        <v>45427</v>
      </c>
      <c r="C1355" t="s">
        <v>12</v>
      </c>
      <c r="D1355" s="2">
        <v>1633.38</v>
      </c>
      <c r="E1355" s="2">
        <v>0</v>
      </c>
      <c r="F1355" t="s">
        <v>13</v>
      </c>
      <c r="G1355" t="s">
        <v>9</v>
      </c>
    </row>
    <row r="1356" spans="1:7" x14ac:dyDescent="0.35">
      <c r="A1356">
        <v>530</v>
      </c>
      <c r="B1356" s="1">
        <v>45427</v>
      </c>
      <c r="C1356" t="s">
        <v>12</v>
      </c>
      <c r="D1356" s="2">
        <v>0</v>
      </c>
      <c r="E1356" s="2">
        <v>1519.42</v>
      </c>
      <c r="F1356" t="s">
        <v>14</v>
      </c>
      <c r="G1356" t="s">
        <v>15</v>
      </c>
    </row>
    <row r="1357" spans="1:7" x14ac:dyDescent="0.35">
      <c r="A1357">
        <v>530</v>
      </c>
      <c r="B1357" s="1">
        <v>45427</v>
      </c>
      <c r="C1357" t="s">
        <v>12</v>
      </c>
      <c r="D1357" s="2">
        <v>0</v>
      </c>
      <c r="E1357" s="2">
        <v>113.96</v>
      </c>
      <c r="F1357" t="s">
        <v>16</v>
      </c>
      <c r="G1357" t="s">
        <v>17</v>
      </c>
    </row>
    <row r="1358" spans="1:7" x14ac:dyDescent="0.35">
      <c r="A1358">
        <v>531</v>
      </c>
      <c r="B1358" s="1">
        <v>45427</v>
      </c>
      <c r="C1358" t="s">
        <v>12</v>
      </c>
      <c r="D1358" s="2">
        <v>5242.46</v>
      </c>
      <c r="E1358" s="2">
        <v>0</v>
      </c>
      <c r="F1358" t="s">
        <v>13</v>
      </c>
      <c r="G1358" t="s">
        <v>9</v>
      </c>
    </row>
    <row r="1359" spans="1:7" x14ac:dyDescent="0.35">
      <c r="A1359">
        <v>531</v>
      </c>
      <c r="B1359" s="1">
        <v>45427</v>
      </c>
      <c r="C1359" t="s">
        <v>12</v>
      </c>
      <c r="D1359" s="2">
        <v>0</v>
      </c>
      <c r="E1359" s="2">
        <v>4876.72</v>
      </c>
      <c r="F1359" t="s">
        <v>14</v>
      </c>
      <c r="G1359" t="s">
        <v>15</v>
      </c>
    </row>
    <row r="1360" spans="1:7" x14ac:dyDescent="0.35">
      <c r="A1360">
        <v>531</v>
      </c>
      <c r="B1360" s="1">
        <v>45427</v>
      </c>
      <c r="C1360" t="s">
        <v>12</v>
      </c>
      <c r="D1360" s="2">
        <v>0</v>
      </c>
      <c r="E1360" s="2">
        <v>365.74</v>
      </c>
      <c r="F1360" t="s">
        <v>16</v>
      </c>
      <c r="G1360" t="s">
        <v>17</v>
      </c>
    </row>
    <row r="1361" spans="1:7" x14ac:dyDescent="0.35">
      <c r="A1361">
        <v>532</v>
      </c>
      <c r="B1361" s="1">
        <v>45427</v>
      </c>
      <c r="C1361" t="s">
        <v>12</v>
      </c>
      <c r="D1361" s="2">
        <v>1551.7</v>
      </c>
      <c r="E1361" s="2">
        <v>0</v>
      </c>
      <c r="F1361" t="s">
        <v>13</v>
      </c>
      <c r="G1361" t="s">
        <v>9</v>
      </c>
    </row>
    <row r="1362" spans="1:7" x14ac:dyDescent="0.35">
      <c r="A1362">
        <v>532</v>
      </c>
      <c r="B1362" s="1">
        <v>45427</v>
      </c>
      <c r="C1362" t="s">
        <v>12</v>
      </c>
      <c r="D1362" s="2">
        <v>0</v>
      </c>
      <c r="E1362" s="2">
        <v>1443.44</v>
      </c>
      <c r="F1362" t="s">
        <v>14</v>
      </c>
      <c r="G1362" t="s">
        <v>15</v>
      </c>
    </row>
    <row r="1363" spans="1:7" x14ac:dyDescent="0.35">
      <c r="A1363">
        <v>532</v>
      </c>
      <c r="B1363" s="1">
        <v>45427</v>
      </c>
      <c r="C1363" t="s">
        <v>12</v>
      </c>
      <c r="D1363" s="2">
        <v>0</v>
      </c>
      <c r="E1363" s="2">
        <v>108.26</v>
      </c>
      <c r="F1363" t="s">
        <v>16</v>
      </c>
      <c r="G1363" t="s">
        <v>17</v>
      </c>
    </row>
    <row r="1364" spans="1:7" x14ac:dyDescent="0.35">
      <c r="A1364">
        <v>533</v>
      </c>
      <c r="B1364" s="1">
        <v>45427</v>
      </c>
      <c r="C1364" t="s">
        <v>24</v>
      </c>
      <c r="D1364" s="2">
        <v>7124.59</v>
      </c>
      <c r="E1364" s="2">
        <v>0</v>
      </c>
      <c r="F1364" t="s">
        <v>8</v>
      </c>
      <c r="G1364" t="s">
        <v>9</v>
      </c>
    </row>
    <row r="1365" spans="1:7" x14ac:dyDescent="0.35">
      <c r="A1365">
        <v>533</v>
      </c>
      <c r="B1365" s="1">
        <v>45427</v>
      </c>
      <c r="C1365" t="s">
        <v>24</v>
      </c>
      <c r="D1365" s="2">
        <v>0</v>
      </c>
      <c r="E1365" s="2">
        <v>7124.59</v>
      </c>
      <c r="F1365" t="s">
        <v>13</v>
      </c>
      <c r="G1365" t="s">
        <v>9</v>
      </c>
    </row>
    <row r="1366" spans="1:7" x14ac:dyDescent="0.35">
      <c r="A1366">
        <v>534</v>
      </c>
      <c r="B1366" s="1">
        <v>45427</v>
      </c>
      <c r="C1366" t="s">
        <v>29</v>
      </c>
      <c r="D1366" s="2">
        <v>1794.11</v>
      </c>
      <c r="E1366" s="2">
        <v>0</v>
      </c>
      <c r="F1366" t="s">
        <v>28</v>
      </c>
      <c r="G1366" t="s">
        <v>17</v>
      </c>
    </row>
    <row r="1367" spans="1:7" x14ac:dyDescent="0.35">
      <c r="A1367">
        <v>534</v>
      </c>
      <c r="B1367" s="1">
        <v>45427</v>
      </c>
      <c r="C1367" t="s">
        <v>29</v>
      </c>
      <c r="D1367" s="2">
        <v>0</v>
      </c>
      <c r="E1367" s="2">
        <v>1794.11</v>
      </c>
      <c r="F1367" t="s">
        <v>8</v>
      </c>
      <c r="G1367" t="s">
        <v>9</v>
      </c>
    </row>
    <row r="1368" spans="1:7" x14ac:dyDescent="0.35">
      <c r="A1368">
        <v>535</v>
      </c>
      <c r="B1368" s="1">
        <v>45427</v>
      </c>
      <c r="C1368" t="s">
        <v>29</v>
      </c>
      <c r="D1368" s="2">
        <v>179.01</v>
      </c>
      <c r="E1368" s="2">
        <v>0</v>
      </c>
      <c r="F1368" t="s">
        <v>28</v>
      </c>
      <c r="G1368" t="s">
        <v>17</v>
      </c>
    </row>
    <row r="1369" spans="1:7" x14ac:dyDescent="0.35">
      <c r="A1369">
        <v>535</v>
      </c>
      <c r="B1369" s="1">
        <v>45427</v>
      </c>
      <c r="C1369" t="s">
        <v>29</v>
      </c>
      <c r="D1369" s="2">
        <v>0</v>
      </c>
      <c r="E1369" s="2">
        <v>179.01</v>
      </c>
      <c r="F1369" t="s">
        <v>8</v>
      </c>
      <c r="G1369" t="s">
        <v>9</v>
      </c>
    </row>
    <row r="1370" spans="1:7" x14ac:dyDescent="0.35">
      <c r="A1370">
        <v>536</v>
      </c>
      <c r="B1370" s="1">
        <v>45427</v>
      </c>
      <c r="C1370" t="s">
        <v>29</v>
      </c>
      <c r="D1370" s="2">
        <v>9336.67</v>
      </c>
      <c r="E1370" s="2">
        <v>0</v>
      </c>
      <c r="F1370" t="s">
        <v>28</v>
      </c>
      <c r="G1370" t="s">
        <v>17</v>
      </c>
    </row>
    <row r="1371" spans="1:7" x14ac:dyDescent="0.35">
      <c r="A1371">
        <v>536</v>
      </c>
      <c r="B1371" s="1">
        <v>45427</v>
      </c>
      <c r="C1371" t="s">
        <v>29</v>
      </c>
      <c r="D1371" s="2">
        <v>0</v>
      </c>
      <c r="E1371" s="2">
        <v>9336.67</v>
      </c>
      <c r="F1371" t="s">
        <v>8</v>
      </c>
      <c r="G1371" t="s">
        <v>9</v>
      </c>
    </row>
    <row r="1372" spans="1:7" x14ac:dyDescent="0.35">
      <c r="A1372">
        <v>537</v>
      </c>
      <c r="B1372" s="1">
        <v>45427</v>
      </c>
      <c r="C1372" t="s">
        <v>29</v>
      </c>
      <c r="D1372" s="2">
        <v>2918.17</v>
      </c>
      <c r="E1372" s="2">
        <v>0</v>
      </c>
      <c r="F1372" t="s">
        <v>28</v>
      </c>
      <c r="G1372" t="s">
        <v>17</v>
      </c>
    </row>
    <row r="1373" spans="1:7" x14ac:dyDescent="0.35">
      <c r="A1373">
        <v>537</v>
      </c>
      <c r="B1373" s="1">
        <v>45427</v>
      </c>
      <c r="C1373" t="s">
        <v>29</v>
      </c>
      <c r="D1373" s="2">
        <v>0</v>
      </c>
      <c r="E1373" s="2">
        <v>2918.17</v>
      </c>
      <c r="F1373" t="s">
        <v>8</v>
      </c>
      <c r="G1373" t="s">
        <v>9</v>
      </c>
    </row>
    <row r="1374" spans="1:7" x14ac:dyDescent="0.35">
      <c r="A1374">
        <v>538</v>
      </c>
      <c r="B1374" s="1">
        <v>45428</v>
      </c>
      <c r="C1374" t="s">
        <v>12</v>
      </c>
      <c r="D1374" s="2">
        <v>243.6</v>
      </c>
      <c r="E1374" s="2">
        <v>0</v>
      </c>
      <c r="F1374" t="s">
        <v>13</v>
      </c>
      <c r="G1374" t="s">
        <v>9</v>
      </c>
    </row>
    <row r="1375" spans="1:7" x14ac:dyDescent="0.35">
      <c r="A1375">
        <v>538</v>
      </c>
      <c r="B1375" s="1">
        <v>45428</v>
      </c>
      <c r="C1375" t="s">
        <v>12</v>
      </c>
      <c r="D1375" s="2">
        <v>0</v>
      </c>
      <c r="E1375" s="2">
        <v>226.6</v>
      </c>
      <c r="F1375" t="s">
        <v>14</v>
      </c>
      <c r="G1375" t="s">
        <v>15</v>
      </c>
    </row>
    <row r="1376" spans="1:7" x14ac:dyDescent="0.35">
      <c r="A1376">
        <v>538</v>
      </c>
      <c r="B1376" s="1">
        <v>45428</v>
      </c>
      <c r="C1376" t="s">
        <v>12</v>
      </c>
      <c r="D1376" s="2">
        <v>0</v>
      </c>
      <c r="E1376" s="2">
        <v>17</v>
      </c>
      <c r="F1376" t="s">
        <v>16</v>
      </c>
      <c r="G1376" t="s">
        <v>17</v>
      </c>
    </row>
    <row r="1377" spans="1:7" x14ac:dyDescent="0.35">
      <c r="A1377">
        <v>539</v>
      </c>
      <c r="B1377" s="1">
        <v>45428</v>
      </c>
      <c r="C1377" t="s">
        <v>12</v>
      </c>
      <c r="D1377" s="2">
        <v>286.17</v>
      </c>
      <c r="E1377" s="2">
        <v>0</v>
      </c>
      <c r="F1377" t="s">
        <v>13</v>
      </c>
      <c r="G1377" t="s">
        <v>9</v>
      </c>
    </row>
    <row r="1378" spans="1:7" x14ac:dyDescent="0.35">
      <c r="A1378">
        <v>539</v>
      </c>
      <c r="B1378" s="1">
        <v>45428</v>
      </c>
      <c r="C1378" t="s">
        <v>12</v>
      </c>
      <c r="D1378" s="2">
        <v>0</v>
      </c>
      <c r="E1378" s="2">
        <v>266.2</v>
      </c>
      <c r="F1378" t="s">
        <v>14</v>
      </c>
      <c r="G1378" t="s">
        <v>15</v>
      </c>
    </row>
    <row r="1379" spans="1:7" x14ac:dyDescent="0.35">
      <c r="A1379">
        <v>539</v>
      </c>
      <c r="B1379" s="1">
        <v>45428</v>
      </c>
      <c r="C1379" t="s">
        <v>12</v>
      </c>
      <c r="D1379" s="2">
        <v>0</v>
      </c>
      <c r="E1379" s="2">
        <v>19.97</v>
      </c>
      <c r="F1379" t="s">
        <v>16</v>
      </c>
      <c r="G1379" t="s">
        <v>17</v>
      </c>
    </row>
    <row r="1380" spans="1:7" x14ac:dyDescent="0.35">
      <c r="A1380">
        <v>540</v>
      </c>
      <c r="B1380" s="1">
        <v>45428</v>
      </c>
      <c r="C1380" t="s">
        <v>24</v>
      </c>
      <c r="D1380" s="2">
        <v>3495.93</v>
      </c>
      <c r="E1380" s="2">
        <v>0</v>
      </c>
      <c r="F1380" t="s">
        <v>8</v>
      </c>
      <c r="G1380" t="s">
        <v>9</v>
      </c>
    </row>
    <row r="1381" spans="1:7" x14ac:dyDescent="0.35">
      <c r="A1381">
        <v>540</v>
      </c>
      <c r="B1381" s="1">
        <v>45428</v>
      </c>
      <c r="C1381" t="s">
        <v>24</v>
      </c>
      <c r="D1381" s="2">
        <v>0</v>
      </c>
      <c r="E1381" s="2">
        <v>3495.93</v>
      </c>
      <c r="F1381" t="s">
        <v>13</v>
      </c>
      <c r="G1381" t="s">
        <v>9</v>
      </c>
    </row>
    <row r="1382" spans="1:7" x14ac:dyDescent="0.35">
      <c r="A1382">
        <v>541</v>
      </c>
      <c r="B1382" s="1">
        <v>45428</v>
      </c>
      <c r="C1382" t="s">
        <v>25</v>
      </c>
      <c r="D1382" s="2">
        <v>1822.08</v>
      </c>
      <c r="E1382" s="2">
        <v>0</v>
      </c>
      <c r="F1382" t="s">
        <v>26</v>
      </c>
      <c r="G1382" t="s">
        <v>20</v>
      </c>
    </row>
    <row r="1383" spans="1:7" x14ac:dyDescent="0.35">
      <c r="A1383">
        <v>541</v>
      </c>
      <c r="B1383" s="1">
        <v>45428</v>
      </c>
      <c r="C1383" t="s">
        <v>25</v>
      </c>
      <c r="D1383" s="2">
        <v>136.66</v>
      </c>
      <c r="E1383" s="2">
        <v>0</v>
      </c>
      <c r="F1383" t="s">
        <v>27</v>
      </c>
      <c r="G1383" t="s">
        <v>9</v>
      </c>
    </row>
    <row r="1384" spans="1:7" x14ac:dyDescent="0.35">
      <c r="A1384">
        <v>541</v>
      </c>
      <c r="B1384" s="1">
        <v>45428</v>
      </c>
      <c r="C1384" t="s">
        <v>25</v>
      </c>
      <c r="D1384" s="2">
        <v>0</v>
      </c>
      <c r="E1384" s="2">
        <v>1958.74</v>
      </c>
      <c r="F1384" t="s">
        <v>28</v>
      </c>
      <c r="G1384" t="s">
        <v>17</v>
      </c>
    </row>
    <row r="1385" spans="1:7" x14ac:dyDescent="0.35">
      <c r="A1385">
        <v>542</v>
      </c>
      <c r="B1385" s="1">
        <v>45428</v>
      </c>
      <c r="C1385" t="s">
        <v>25</v>
      </c>
      <c r="D1385" s="2">
        <v>1480.5</v>
      </c>
      <c r="E1385" s="2">
        <v>0</v>
      </c>
      <c r="F1385" t="s">
        <v>26</v>
      </c>
      <c r="G1385" t="s">
        <v>20</v>
      </c>
    </row>
    <row r="1386" spans="1:7" x14ac:dyDescent="0.35">
      <c r="A1386">
        <v>542</v>
      </c>
      <c r="B1386" s="1">
        <v>45428</v>
      </c>
      <c r="C1386" t="s">
        <v>25</v>
      </c>
      <c r="D1386" s="2">
        <v>111.04</v>
      </c>
      <c r="E1386" s="2">
        <v>0</v>
      </c>
      <c r="F1386" t="s">
        <v>27</v>
      </c>
      <c r="G1386" t="s">
        <v>9</v>
      </c>
    </row>
    <row r="1387" spans="1:7" x14ac:dyDescent="0.35">
      <c r="A1387">
        <v>542</v>
      </c>
      <c r="B1387" s="1">
        <v>45428</v>
      </c>
      <c r="C1387" t="s">
        <v>25</v>
      </c>
      <c r="D1387" s="2">
        <v>0</v>
      </c>
      <c r="E1387" s="2">
        <v>1591.54</v>
      </c>
      <c r="F1387" t="s">
        <v>28</v>
      </c>
      <c r="G1387" t="s">
        <v>17</v>
      </c>
    </row>
    <row r="1388" spans="1:7" x14ac:dyDescent="0.35">
      <c r="A1388">
        <v>543</v>
      </c>
      <c r="B1388" s="1">
        <v>45428</v>
      </c>
      <c r="C1388" t="s">
        <v>29</v>
      </c>
      <c r="D1388" s="2">
        <v>550.4</v>
      </c>
      <c r="E1388" s="2">
        <v>0</v>
      </c>
      <c r="F1388" t="s">
        <v>28</v>
      </c>
      <c r="G1388" t="s">
        <v>17</v>
      </c>
    </row>
    <row r="1389" spans="1:7" x14ac:dyDescent="0.35">
      <c r="A1389">
        <v>543</v>
      </c>
      <c r="B1389" s="1">
        <v>45428</v>
      </c>
      <c r="C1389" t="s">
        <v>29</v>
      </c>
      <c r="D1389" s="2">
        <v>0</v>
      </c>
      <c r="E1389" s="2">
        <v>550.4</v>
      </c>
      <c r="F1389" t="s">
        <v>8</v>
      </c>
      <c r="G1389" t="s">
        <v>9</v>
      </c>
    </row>
    <row r="1390" spans="1:7" x14ac:dyDescent="0.35">
      <c r="A1390">
        <v>544</v>
      </c>
      <c r="B1390" s="1">
        <v>45428</v>
      </c>
      <c r="C1390" t="s">
        <v>29</v>
      </c>
      <c r="D1390" s="2">
        <v>4812.46</v>
      </c>
      <c r="E1390" s="2">
        <v>0</v>
      </c>
      <c r="F1390" t="s">
        <v>28</v>
      </c>
      <c r="G1390" t="s">
        <v>17</v>
      </c>
    </row>
    <row r="1391" spans="1:7" x14ac:dyDescent="0.35">
      <c r="A1391">
        <v>544</v>
      </c>
      <c r="B1391" s="1">
        <v>45428</v>
      </c>
      <c r="C1391" t="s">
        <v>29</v>
      </c>
      <c r="D1391" s="2">
        <v>0</v>
      </c>
      <c r="E1391" s="2">
        <v>4812.46</v>
      </c>
      <c r="F1391" t="s">
        <v>8</v>
      </c>
      <c r="G1391" t="s">
        <v>9</v>
      </c>
    </row>
    <row r="1392" spans="1:7" x14ac:dyDescent="0.35">
      <c r="A1392">
        <v>545</v>
      </c>
      <c r="B1392" s="1">
        <v>45428</v>
      </c>
      <c r="C1392" t="s">
        <v>29</v>
      </c>
      <c r="D1392" s="2">
        <v>1935.04</v>
      </c>
      <c r="E1392" s="2">
        <v>0</v>
      </c>
      <c r="F1392" t="s">
        <v>28</v>
      </c>
      <c r="G1392" t="s">
        <v>17</v>
      </c>
    </row>
    <row r="1393" spans="1:7" x14ac:dyDescent="0.35">
      <c r="A1393">
        <v>545</v>
      </c>
      <c r="B1393" s="1">
        <v>45428</v>
      </c>
      <c r="C1393" t="s">
        <v>29</v>
      </c>
      <c r="D1393" s="2">
        <v>0</v>
      </c>
      <c r="E1393" s="2">
        <v>1935.04</v>
      </c>
      <c r="F1393" t="s">
        <v>8</v>
      </c>
      <c r="G1393" t="s">
        <v>9</v>
      </c>
    </row>
    <row r="1394" spans="1:7" x14ac:dyDescent="0.35">
      <c r="A1394">
        <v>546</v>
      </c>
      <c r="B1394" s="1">
        <v>45428</v>
      </c>
      <c r="C1394" t="s">
        <v>29</v>
      </c>
      <c r="D1394" s="2">
        <v>1159.8399999999999</v>
      </c>
      <c r="E1394" s="2">
        <v>0</v>
      </c>
      <c r="F1394" t="s">
        <v>28</v>
      </c>
      <c r="G1394" t="s">
        <v>17</v>
      </c>
    </row>
    <row r="1395" spans="1:7" x14ac:dyDescent="0.35">
      <c r="A1395">
        <v>546</v>
      </c>
      <c r="B1395" s="1">
        <v>45428</v>
      </c>
      <c r="C1395" t="s">
        <v>29</v>
      </c>
      <c r="D1395" s="2">
        <v>0</v>
      </c>
      <c r="E1395" s="2">
        <v>1159.8399999999999</v>
      </c>
      <c r="F1395" t="s">
        <v>8</v>
      </c>
      <c r="G1395" t="s">
        <v>9</v>
      </c>
    </row>
    <row r="1396" spans="1:7" x14ac:dyDescent="0.35">
      <c r="A1396">
        <v>547</v>
      </c>
      <c r="B1396" s="1">
        <v>45429</v>
      </c>
      <c r="C1396" t="s">
        <v>12</v>
      </c>
      <c r="D1396" s="2">
        <v>2367.61</v>
      </c>
      <c r="E1396" s="2">
        <v>0</v>
      </c>
      <c r="F1396" t="s">
        <v>13</v>
      </c>
      <c r="G1396" t="s">
        <v>9</v>
      </c>
    </row>
    <row r="1397" spans="1:7" x14ac:dyDescent="0.35">
      <c r="A1397">
        <v>547</v>
      </c>
      <c r="B1397" s="1">
        <v>45429</v>
      </c>
      <c r="C1397" t="s">
        <v>12</v>
      </c>
      <c r="D1397" s="2">
        <v>0</v>
      </c>
      <c r="E1397" s="2">
        <v>2202.42</v>
      </c>
      <c r="F1397" t="s">
        <v>14</v>
      </c>
      <c r="G1397" t="s">
        <v>15</v>
      </c>
    </row>
    <row r="1398" spans="1:7" x14ac:dyDescent="0.35">
      <c r="A1398">
        <v>547</v>
      </c>
      <c r="B1398" s="1">
        <v>45429</v>
      </c>
      <c r="C1398" t="s">
        <v>12</v>
      </c>
      <c r="D1398" s="2">
        <v>0</v>
      </c>
      <c r="E1398" s="2">
        <v>165.19</v>
      </c>
      <c r="F1398" t="s">
        <v>16</v>
      </c>
      <c r="G1398" t="s">
        <v>17</v>
      </c>
    </row>
    <row r="1399" spans="1:7" x14ac:dyDescent="0.35">
      <c r="A1399">
        <v>548</v>
      </c>
      <c r="B1399" s="1">
        <v>45429</v>
      </c>
      <c r="C1399" t="s">
        <v>12</v>
      </c>
      <c r="D1399" s="2">
        <v>1386.14</v>
      </c>
      <c r="E1399" s="2">
        <v>0</v>
      </c>
      <c r="F1399" t="s">
        <v>13</v>
      </c>
      <c r="G1399" t="s">
        <v>9</v>
      </c>
    </row>
    <row r="1400" spans="1:7" x14ac:dyDescent="0.35">
      <c r="A1400">
        <v>548</v>
      </c>
      <c r="B1400" s="1">
        <v>45429</v>
      </c>
      <c r="C1400" t="s">
        <v>12</v>
      </c>
      <c r="D1400" s="2">
        <v>0</v>
      </c>
      <c r="E1400" s="2">
        <v>1289.43</v>
      </c>
      <c r="F1400" t="s">
        <v>14</v>
      </c>
      <c r="G1400" t="s">
        <v>15</v>
      </c>
    </row>
    <row r="1401" spans="1:7" x14ac:dyDescent="0.35">
      <c r="A1401">
        <v>548</v>
      </c>
      <c r="B1401" s="1">
        <v>45429</v>
      </c>
      <c r="C1401" t="s">
        <v>12</v>
      </c>
      <c r="D1401" s="2">
        <v>0</v>
      </c>
      <c r="E1401" s="2">
        <v>96.71</v>
      </c>
      <c r="F1401" t="s">
        <v>16</v>
      </c>
      <c r="G1401" t="s">
        <v>17</v>
      </c>
    </row>
    <row r="1402" spans="1:7" x14ac:dyDescent="0.35">
      <c r="A1402">
        <v>549</v>
      </c>
      <c r="B1402" s="1">
        <v>45429</v>
      </c>
      <c r="C1402" t="s">
        <v>12</v>
      </c>
      <c r="D1402" s="2">
        <v>836.24</v>
      </c>
      <c r="E1402" s="2">
        <v>0</v>
      </c>
      <c r="F1402" t="s">
        <v>13</v>
      </c>
      <c r="G1402" t="s">
        <v>9</v>
      </c>
    </row>
    <row r="1403" spans="1:7" x14ac:dyDescent="0.35">
      <c r="A1403">
        <v>549</v>
      </c>
      <c r="B1403" s="1">
        <v>45429</v>
      </c>
      <c r="C1403" t="s">
        <v>12</v>
      </c>
      <c r="D1403" s="2">
        <v>0</v>
      </c>
      <c r="E1403" s="2">
        <v>777.9</v>
      </c>
      <c r="F1403" t="s">
        <v>14</v>
      </c>
      <c r="G1403" t="s">
        <v>15</v>
      </c>
    </row>
    <row r="1404" spans="1:7" x14ac:dyDescent="0.35">
      <c r="A1404">
        <v>549</v>
      </c>
      <c r="B1404" s="1">
        <v>45429</v>
      </c>
      <c r="C1404" t="s">
        <v>12</v>
      </c>
      <c r="D1404" s="2">
        <v>0</v>
      </c>
      <c r="E1404" s="2">
        <v>58.34</v>
      </c>
      <c r="F1404" t="s">
        <v>16</v>
      </c>
      <c r="G1404" t="s">
        <v>17</v>
      </c>
    </row>
    <row r="1405" spans="1:7" x14ac:dyDescent="0.35">
      <c r="A1405">
        <v>550</v>
      </c>
      <c r="B1405" s="1">
        <v>45429</v>
      </c>
      <c r="C1405" t="s">
        <v>12</v>
      </c>
      <c r="D1405" s="2">
        <v>87.62</v>
      </c>
      <c r="E1405" s="2">
        <v>0</v>
      </c>
      <c r="F1405" t="s">
        <v>13</v>
      </c>
      <c r="G1405" t="s">
        <v>9</v>
      </c>
    </row>
    <row r="1406" spans="1:7" x14ac:dyDescent="0.35">
      <c r="A1406">
        <v>550</v>
      </c>
      <c r="B1406" s="1">
        <v>45429</v>
      </c>
      <c r="C1406" t="s">
        <v>12</v>
      </c>
      <c r="D1406" s="2">
        <v>0</v>
      </c>
      <c r="E1406" s="2">
        <v>81.510000000000005</v>
      </c>
      <c r="F1406" t="s">
        <v>14</v>
      </c>
      <c r="G1406" t="s">
        <v>15</v>
      </c>
    </row>
    <row r="1407" spans="1:7" x14ac:dyDescent="0.35">
      <c r="A1407">
        <v>550</v>
      </c>
      <c r="B1407" s="1">
        <v>45429</v>
      </c>
      <c r="C1407" t="s">
        <v>12</v>
      </c>
      <c r="D1407" s="2">
        <v>0</v>
      </c>
      <c r="E1407" s="2">
        <v>6.11</v>
      </c>
      <c r="F1407" t="s">
        <v>16</v>
      </c>
      <c r="G1407" t="s">
        <v>17</v>
      </c>
    </row>
    <row r="1408" spans="1:7" x14ac:dyDescent="0.35">
      <c r="A1408">
        <v>551</v>
      </c>
      <c r="B1408" s="1">
        <v>45429</v>
      </c>
      <c r="C1408" t="s">
        <v>24</v>
      </c>
      <c r="D1408" s="2">
        <v>2272.39</v>
      </c>
      <c r="E1408" s="2">
        <v>0</v>
      </c>
      <c r="F1408" t="s">
        <v>8</v>
      </c>
      <c r="G1408" t="s">
        <v>9</v>
      </c>
    </row>
    <row r="1409" spans="1:7" x14ac:dyDescent="0.35">
      <c r="A1409">
        <v>551</v>
      </c>
      <c r="B1409" s="1">
        <v>45429</v>
      </c>
      <c r="C1409" t="s">
        <v>24</v>
      </c>
      <c r="D1409" s="2">
        <v>0</v>
      </c>
      <c r="E1409" s="2">
        <v>2272.39</v>
      </c>
      <c r="F1409" t="s">
        <v>13</v>
      </c>
      <c r="G1409" t="s">
        <v>9</v>
      </c>
    </row>
    <row r="1410" spans="1:7" x14ac:dyDescent="0.35">
      <c r="A1410">
        <v>552</v>
      </c>
      <c r="B1410" s="1">
        <v>45429</v>
      </c>
      <c r="C1410" t="s">
        <v>24</v>
      </c>
      <c r="D1410" s="2">
        <v>2311.09</v>
      </c>
      <c r="E1410" s="2">
        <v>0</v>
      </c>
      <c r="F1410" t="s">
        <v>8</v>
      </c>
      <c r="G1410" t="s">
        <v>9</v>
      </c>
    </row>
    <row r="1411" spans="1:7" x14ac:dyDescent="0.35">
      <c r="A1411">
        <v>552</v>
      </c>
      <c r="B1411" s="1">
        <v>45429</v>
      </c>
      <c r="C1411" t="s">
        <v>24</v>
      </c>
      <c r="D1411" s="2">
        <v>0</v>
      </c>
      <c r="E1411" s="2">
        <v>2311.09</v>
      </c>
      <c r="F1411" t="s">
        <v>13</v>
      </c>
      <c r="G1411" t="s">
        <v>9</v>
      </c>
    </row>
    <row r="1412" spans="1:7" x14ac:dyDescent="0.35">
      <c r="A1412">
        <v>553</v>
      </c>
      <c r="B1412" s="1">
        <v>45429</v>
      </c>
      <c r="C1412" t="s">
        <v>25</v>
      </c>
      <c r="D1412" s="2">
        <v>187.44</v>
      </c>
      <c r="E1412" s="2">
        <v>0</v>
      </c>
      <c r="F1412" t="s">
        <v>26</v>
      </c>
      <c r="G1412" t="s">
        <v>20</v>
      </c>
    </row>
    <row r="1413" spans="1:7" x14ac:dyDescent="0.35">
      <c r="A1413">
        <v>553</v>
      </c>
      <c r="B1413" s="1">
        <v>45429</v>
      </c>
      <c r="C1413" t="s">
        <v>25</v>
      </c>
      <c r="D1413" s="2">
        <v>14.06</v>
      </c>
      <c r="E1413" s="2">
        <v>0</v>
      </c>
      <c r="F1413" t="s">
        <v>27</v>
      </c>
      <c r="G1413" t="s">
        <v>9</v>
      </c>
    </row>
    <row r="1414" spans="1:7" x14ac:dyDescent="0.35">
      <c r="A1414">
        <v>553</v>
      </c>
      <c r="B1414" s="1">
        <v>45429</v>
      </c>
      <c r="C1414" t="s">
        <v>25</v>
      </c>
      <c r="D1414" s="2">
        <v>0</v>
      </c>
      <c r="E1414" s="2">
        <v>201.5</v>
      </c>
      <c r="F1414" t="s">
        <v>28</v>
      </c>
      <c r="G1414" t="s">
        <v>17</v>
      </c>
    </row>
    <row r="1415" spans="1:7" x14ac:dyDescent="0.35">
      <c r="A1415">
        <v>554</v>
      </c>
      <c r="B1415" s="1">
        <v>45432</v>
      </c>
      <c r="C1415" t="s">
        <v>12</v>
      </c>
      <c r="D1415" s="2">
        <v>2490.75</v>
      </c>
      <c r="E1415" s="2">
        <v>0</v>
      </c>
      <c r="F1415" t="s">
        <v>13</v>
      </c>
      <c r="G1415" t="s">
        <v>9</v>
      </c>
    </row>
    <row r="1416" spans="1:7" x14ac:dyDescent="0.35">
      <c r="A1416">
        <v>554</v>
      </c>
      <c r="B1416" s="1">
        <v>45432</v>
      </c>
      <c r="C1416" t="s">
        <v>12</v>
      </c>
      <c r="D1416" s="2">
        <v>0</v>
      </c>
      <c r="E1416" s="2">
        <v>2316.98</v>
      </c>
      <c r="F1416" t="s">
        <v>14</v>
      </c>
      <c r="G1416" t="s">
        <v>15</v>
      </c>
    </row>
    <row r="1417" spans="1:7" x14ac:dyDescent="0.35">
      <c r="A1417">
        <v>554</v>
      </c>
      <c r="B1417" s="1">
        <v>45432</v>
      </c>
      <c r="C1417" t="s">
        <v>12</v>
      </c>
      <c r="D1417" s="2">
        <v>0</v>
      </c>
      <c r="E1417" s="2">
        <v>173.77</v>
      </c>
      <c r="F1417" t="s">
        <v>16</v>
      </c>
      <c r="G1417" t="s">
        <v>17</v>
      </c>
    </row>
    <row r="1418" spans="1:7" x14ac:dyDescent="0.35">
      <c r="A1418">
        <v>555</v>
      </c>
      <c r="B1418" s="1">
        <v>45432</v>
      </c>
      <c r="C1418" t="s">
        <v>12</v>
      </c>
      <c r="D1418" s="2">
        <v>1379.23</v>
      </c>
      <c r="E1418" s="2">
        <v>0</v>
      </c>
      <c r="F1418" t="s">
        <v>13</v>
      </c>
      <c r="G1418" t="s">
        <v>9</v>
      </c>
    </row>
    <row r="1419" spans="1:7" x14ac:dyDescent="0.35">
      <c r="A1419">
        <v>555</v>
      </c>
      <c r="B1419" s="1">
        <v>45432</v>
      </c>
      <c r="C1419" t="s">
        <v>12</v>
      </c>
      <c r="D1419" s="2">
        <v>0</v>
      </c>
      <c r="E1419" s="2">
        <v>1283.01</v>
      </c>
      <c r="F1419" t="s">
        <v>14</v>
      </c>
      <c r="G1419" t="s">
        <v>15</v>
      </c>
    </row>
    <row r="1420" spans="1:7" x14ac:dyDescent="0.35">
      <c r="A1420">
        <v>555</v>
      </c>
      <c r="B1420" s="1">
        <v>45432</v>
      </c>
      <c r="C1420" t="s">
        <v>12</v>
      </c>
      <c r="D1420" s="2">
        <v>0</v>
      </c>
      <c r="E1420" s="2">
        <v>96.22</v>
      </c>
      <c r="F1420" t="s">
        <v>16</v>
      </c>
      <c r="G1420" t="s">
        <v>17</v>
      </c>
    </row>
    <row r="1421" spans="1:7" x14ac:dyDescent="0.35">
      <c r="A1421">
        <v>556</v>
      </c>
      <c r="B1421" s="1">
        <v>45432</v>
      </c>
      <c r="C1421" t="s">
        <v>12</v>
      </c>
      <c r="D1421" s="2">
        <v>4462.32</v>
      </c>
      <c r="E1421" s="2">
        <v>0</v>
      </c>
      <c r="F1421" t="s">
        <v>13</v>
      </c>
      <c r="G1421" t="s">
        <v>9</v>
      </c>
    </row>
    <row r="1422" spans="1:7" x14ac:dyDescent="0.35">
      <c r="A1422">
        <v>556</v>
      </c>
      <c r="B1422" s="1">
        <v>45432</v>
      </c>
      <c r="C1422" t="s">
        <v>12</v>
      </c>
      <c r="D1422" s="2">
        <v>0</v>
      </c>
      <c r="E1422" s="2">
        <v>4151</v>
      </c>
      <c r="F1422" t="s">
        <v>14</v>
      </c>
      <c r="G1422" t="s">
        <v>15</v>
      </c>
    </row>
    <row r="1423" spans="1:7" x14ac:dyDescent="0.35">
      <c r="A1423">
        <v>556</v>
      </c>
      <c r="B1423" s="1">
        <v>45432</v>
      </c>
      <c r="C1423" t="s">
        <v>12</v>
      </c>
      <c r="D1423" s="2">
        <v>0</v>
      </c>
      <c r="E1423" s="2">
        <v>311.32</v>
      </c>
      <c r="F1423" t="s">
        <v>16</v>
      </c>
      <c r="G1423" t="s">
        <v>17</v>
      </c>
    </row>
    <row r="1424" spans="1:7" x14ac:dyDescent="0.35">
      <c r="A1424">
        <v>557</v>
      </c>
      <c r="B1424" s="1">
        <v>45432</v>
      </c>
      <c r="C1424" t="s">
        <v>24</v>
      </c>
      <c r="D1424" s="2">
        <v>2080.5300000000002</v>
      </c>
      <c r="E1424" s="2">
        <v>0</v>
      </c>
      <c r="F1424" t="s">
        <v>8</v>
      </c>
      <c r="G1424" t="s">
        <v>9</v>
      </c>
    </row>
    <row r="1425" spans="1:7" x14ac:dyDescent="0.35">
      <c r="A1425">
        <v>557</v>
      </c>
      <c r="B1425" s="1">
        <v>45432</v>
      </c>
      <c r="C1425" t="s">
        <v>24</v>
      </c>
      <c r="D1425" s="2">
        <v>0</v>
      </c>
      <c r="E1425" s="2">
        <v>2080.5300000000002</v>
      </c>
      <c r="F1425" t="s">
        <v>13</v>
      </c>
      <c r="G1425" t="s">
        <v>9</v>
      </c>
    </row>
    <row r="1426" spans="1:7" x14ac:dyDescent="0.35">
      <c r="A1426">
        <v>558</v>
      </c>
      <c r="B1426" s="1">
        <v>45432</v>
      </c>
      <c r="C1426" t="s">
        <v>24</v>
      </c>
      <c r="D1426" s="2">
        <v>2307.5500000000002</v>
      </c>
      <c r="E1426" s="2">
        <v>0</v>
      </c>
      <c r="F1426" t="s">
        <v>8</v>
      </c>
      <c r="G1426" t="s">
        <v>9</v>
      </c>
    </row>
    <row r="1427" spans="1:7" x14ac:dyDescent="0.35">
      <c r="A1427">
        <v>558</v>
      </c>
      <c r="B1427" s="1">
        <v>45432</v>
      </c>
      <c r="C1427" t="s">
        <v>24</v>
      </c>
      <c r="D1427" s="2">
        <v>0</v>
      </c>
      <c r="E1427" s="2">
        <v>2307.5500000000002</v>
      </c>
      <c r="F1427" t="s">
        <v>13</v>
      </c>
      <c r="G1427" t="s">
        <v>9</v>
      </c>
    </row>
    <row r="1428" spans="1:7" x14ac:dyDescent="0.35">
      <c r="A1428">
        <v>559</v>
      </c>
      <c r="B1428" s="1">
        <v>45432</v>
      </c>
      <c r="C1428" t="s">
        <v>25</v>
      </c>
      <c r="D1428" s="2">
        <v>383.76</v>
      </c>
      <c r="E1428" s="2">
        <v>0</v>
      </c>
      <c r="F1428" t="s">
        <v>26</v>
      </c>
      <c r="G1428" t="s">
        <v>20</v>
      </c>
    </row>
    <row r="1429" spans="1:7" x14ac:dyDescent="0.35">
      <c r="A1429">
        <v>559</v>
      </c>
      <c r="B1429" s="1">
        <v>45432</v>
      </c>
      <c r="C1429" t="s">
        <v>25</v>
      </c>
      <c r="D1429" s="2">
        <v>28.78</v>
      </c>
      <c r="E1429" s="2">
        <v>0</v>
      </c>
      <c r="F1429" t="s">
        <v>27</v>
      </c>
      <c r="G1429" t="s">
        <v>9</v>
      </c>
    </row>
    <row r="1430" spans="1:7" x14ac:dyDescent="0.35">
      <c r="A1430">
        <v>559</v>
      </c>
      <c r="B1430" s="1">
        <v>45432</v>
      </c>
      <c r="C1430" t="s">
        <v>25</v>
      </c>
      <c r="D1430" s="2">
        <v>0</v>
      </c>
      <c r="E1430" s="2">
        <v>412.54</v>
      </c>
      <c r="F1430" t="s">
        <v>28</v>
      </c>
      <c r="G1430" t="s">
        <v>17</v>
      </c>
    </row>
    <row r="1431" spans="1:7" x14ac:dyDescent="0.35">
      <c r="A1431">
        <v>560</v>
      </c>
      <c r="B1431" s="1">
        <v>45432</v>
      </c>
      <c r="C1431" t="s">
        <v>25</v>
      </c>
      <c r="D1431" s="2">
        <v>3282.76</v>
      </c>
      <c r="E1431" s="2">
        <v>0</v>
      </c>
      <c r="F1431" t="s">
        <v>26</v>
      </c>
      <c r="G1431" t="s">
        <v>20</v>
      </c>
    </row>
    <row r="1432" spans="1:7" x14ac:dyDescent="0.35">
      <c r="A1432">
        <v>560</v>
      </c>
      <c r="B1432" s="1">
        <v>45432</v>
      </c>
      <c r="C1432" t="s">
        <v>25</v>
      </c>
      <c r="D1432" s="2">
        <v>246.21</v>
      </c>
      <c r="E1432" s="2">
        <v>0</v>
      </c>
      <c r="F1432" t="s">
        <v>27</v>
      </c>
      <c r="G1432" t="s">
        <v>9</v>
      </c>
    </row>
    <row r="1433" spans="1:7" x14ac:dyDescent="0.35">
      <c r="A1433">
        <v>560</v>
      </c>
      <c r="B1433" s="1">
        <v>45432</v>
      </c>
      <c r="C1433" t="s">
        <v>25</v>
      </c>
      <c r="D1433" s="2">
        <v>0</v>
      </c>
      <c r="E1433" s="2">
        <v>3528.97</v>
      </c>
      <c r="F1433" t="s">
        <v>28</v>
      </c>
      <c r="G1433" t="s">
        <v>17</v>
      </c>
    </row>
    <row r="1434" spans="1:7" x14ac:dyDescent="0.35">
      <c r="A1434">
        <v>561</v>
      </c>
      <c r="B1434" s="1">
        <v>45432</v>
      </c>
      <c r="C1434" t="s">
        <v>25</v>
      </c>
      <c r="D1434" s="2">
        <v>2329.52</v>
      </c>
      <c r="E1434" s="2">
        <v>0</v>
      </c>
      <c r="F1434" t="s">
        <v>26</v>
      </c>
      <c r="G1434" t="s">
        <v>20</v>
      </c>
    </row>
    <row r="1435" spans="1:7" x14ac:dyDescent="0.35">
      <c r="A1435">
        <v>561</v>
      </c>
      <c r="B1435" s="1">
        <v>45432</v>
      </c>
      <c r="C1435" t="s">
        <v>25</v>
      </c>
      <c r="D1435" s="2">
        <v>174.71</v>
      </c>
      <c r="E1435" s="2">
        <v>0</v>
      </c>
      <c r="F1435" t="s">
        <v>27</v>
      </c>
      <c r="G1435" t="s">
        <v>9</v>
      </c>
    </row>
    <row r="1436" spans="1:7" x14ac:dyDescent="0.35">
      <c r="A1436">
        <v>561</v>
      </c>
      <c r="B1436" s="1">
        <v>45432</v>
      </c>
      <c r="C1436" t="s">
        <v>25</v>
      </c>
      <c r="D1436" s="2">
        <v>0</v>
      </c>
      <c r="E1436" s="2">
        <v>2504.23</v>
      </c>
      <c r="F1436" t="s">
        <v>28</v>
      </c>
      <c r="G1436" t="s">
        <v>17</v>
      </c>
    </row>
    <row r="1437" spans="1:7" x14ac:dyDescent="0.35">
      <c r="A1437">
        <v>562</v>
      </c>
      <c r="B1437" s="1">
        <v>45433</v>
      </c>
      <c r="C1437" t="s">
        <v>12</v>
      </c>
      <c r="D1437" s="2">
        <v>5040.24</v>
      </c>
      <c r="E1437" s="2">
        <v>0</v>
      </c>
      <c r="F1437" t="s">
        <v>13</v>
      </c>
      <c r="G1437" t="s">
        <v>9</v>
      </c>
    </row>
    <row r="1438" spans="1:7" x14ac:dyDescent="0.35">
      <c r="A1438">
        <v>562</v>
      </c>
      <c r="B1438" s="1">
        <v>45433</v>
      </c>
      <c r="C1438" t="s">
        <v>12</v>
      </c>
      <c r="D1438" s="2">
        <v>0</v>
      </c>
      <c r="E1438" s="2">
        <v>4688.58</v>
      </c>
      <c r="F1438" t="s">
        <v>14</v>
      </c>
      <c r="G1438" t="s">
        <v>15</v>
      </c>
    </row>
    <row r="1439" spans="1:7" x14ac:dyDescent="0.35">
      <c r="A1439">
        <v>562</v>
      </c>
      <c r="B1439" s="1">
        <v>45433</v>
      </c>
      <c r="C1439" t="s">
        <v>12</v>
      </c>
      <c r="D1439" s="2">
        <v>0</v>
      </c>
      <c r="E1439" s="2">
        <v>351.66</v>
      </c>
      <c r="F1439" t="s">
        <v>16</v>
      </c>
      <c r="G1439" t="s">
        <v>17</v>
      </c>
    </row>
    <row r="1440" spans="1:7" x14ac:dyDescent="0.35">
      <c r="A1440">
        <v>563</v>
      </c>
      <c r="B1440" s="1">
        <v>45433</v>
      </c>
      <c r="C1440" t="s">
        <v>12</v>
      </c>
      <c r="D1440" s="2">
        <v>2042.13</v>
      </c>
      <c r="E1440" s="2">
        <v>0</v>
      </c>
      <c r="F1440" t="s">
        <v>13</v>
      </c>
      <c r="G1440" t="s">
        <v>9</v>
      </c>
    </row>
    <row r="1441" spans="1:7" x14ac:dyDescent="0.35">
      <c r="A1441">
        <v>563</v>
      </c>
      <c r="B1441" s="1">
        <v>45433</v>
      </c>
      <c r="C1441" t="s">
        <v>12</v>
      </c>
      <c r="D1441" s="2">
        <v>0</v>
      </c>
      <c r="E1441" s="2">
        <v>1899.65</v>
      </c>
      <c r="F1441" t="s">
        <v>14</v>
      </c>
      <c r="G1441" t="s">
        <v>15</v>
      </c>
    </row>
    <row r="1442" spans="1:7" x14ac:dyDescent="0.35">
      <c r="A1442">
        <v>563</v>
      </c>
      <c r="B1442" s="1">
        <v>45433</v>
      </c>
      <c r="C1442" t="s">
        <v>12</v>
      </c>
      <c r="D1442" s="2">
        <v>0</v>
      </c>
      <c r="E1442" s="2">
        <v>142.47999999999999</v>
      </c>
      <c r="F1442" t="s">
        <v>16</v>
      </c>
      <c r="G1442" t="s">
        <v>17</v>
      </c>
    </row>
    <row r="1443" spans="1:7" x14ac:dyDescent="0.35">
      <c r="A1443">
        <v>564</v>
      </c>
      <c r="B1443" s="1">
        <v>45433</v>
      </c>
      <c r="C1443" t="s">
        <v>12</v>
      </c>
      <c r="D1443" s="2">
        <v>644.61</v>
      </c>
      <c r="E1443" s="2">
        <v>0</v>
      </c>
      <c r="F1443" t="s">
        <v>13</v>
      </c>
      <c r="G1443" t="s">
        <v>9</v>
      </c>
    </row>
    <row r="1444" spans="1:7" x14ac:dyDescent="0.35">
      <c r="A1444">
        <v>564</v>
      </c>
      <c r="B1444" s="1">
        <v>45433</v>
      </c>
      <c r="C1444" t="s">
        <v>12</v>
      </c>
      <c r="D1444" s="2">
        <v>0</v>
      </c>
      <c r="E1444" s="2">
        <v>599.64</v>
      </c>
      <c r="F1444" t="s">
        <v>14</v>
      </c>
      <c r="G1444" t="s">
        <v>15</v>
      </c>
    </row>
    <row r="1445" spans="1:7" x14ac:dyDescent="0.35">
      <c r="A1445">
        <v>564</v>
      </c>
      <c r="B1445" s="1">
        <v>45433</v>
      </c>
      <c r="C1445" t="s">
        <v>12</v>
      </c>
      <c r="D1445" s="2">
        <v>0</v>
      </c>
      <c r="E1445" s="2">
        <v>44.97</v>
      </c>
      <c r="F1445" t="s">
        <v>16</v>
      </c>
      <c r="G1445" t="s">
        <v>17</v>
      </c>
    </row>
    <row r="1446" spans="1:7" x14ac:dyDescent="0.35">
      <c r="A1446">
        <v>565</v>
      </c>
      <c r="B1446" s="1">
        <v>45433</v>
      </c>
      <c r="C1446" t="s">
        <v>12</v>
      </c>
      <c r="D1446" s="2">
        <v>1454.6</v>
      </c>
      <c r="E1446" s="2">
        <v>0</v>
      </c>
      <c r="F1446" t="s">
        <v>13</v>
      </c>
      <c r="G1446" t="s">
        <v>9</v>
      </c>
    </row>
    <row r="1447" spans="1:7" x14ac:dyDescent="0.35">
      <c r="A1447">
        <v>565</v>
      </c>
      <c r="B1447" s="1">
        <v>45433</v>
      </c>
      <c r="C1447" t="s">
        <v>12</v>
      </c>
      <c r="D1447" s="2">
        <v>0</v>
      </c>
      <c r="E1447" s="2">
        <v>1353.13</v>
      </c>
      <c r="F1447" t="s">
        <v>14</v>
      </c>
      <c r="G1447" t="s">
        <v>15</v>
      </c>
    </row>
    <row r="1448" spans="1:7" x14ac:dyDescent="0.35">
      <c r="A1448">
        <v>565</v>
      </c>
      <c r="B1448" s="1">
        <v>45433</v>
      </c>
      <c r="C1448" t="s">
        <v>12</v>
      </c>
      <c r="D1448" s="2">
        <v>0</v>
      </c>
      <c r="E1448" s="2">
        <v>101.47</v>
      </c>
      <c r="F1448" t="s">
        <v>16</v>
      </c>
      <c r="G1448" t="s">
        <v>17</v>
      </c>
    </row>
    <row r="1449" spans="1:7" x14ac:dyDescent="0.35">
      <c r="A1449">
        <v>566</v>
      </c>
      <c r="B1449" s="1">
        <v>45433</v>
      </c>
      <c r="C1449" t="s">
        <v>24</v>
      </c>
      <c r="D1449" s="2">
        <v>753.91</v>
      </c>
      <c r="E1449" s="2">
        <v>0</v>
      </c>
      <c r="F1449" t="s">
        <v>8</v>
      </c>
      <c r="G1449" t="s">
        <v>9</v>
      </c>
    </row>
    <row r="1450" spans="1:7" x14ac:dyDescent="0.35">
      <c r="A1450">
        <v>566</v>
      </c>
      <c r="B1450" s="1">
        <v>45433</v>
      </c>
      <c r="C1450" t="s">
        <v>24</v>
      </c>
      <c r="D1450" s="2">
        <v>0</v>
      </c>
      <c r="E1450" s="2">
        <v>753.91</v>
      </c>
      <c r="F1450" t="s">
        <v>13</v>
      </c>
      <c r="G1450" t="s">
        <v>9</v>
      </c>
    </row>
    <row r="1451" spans="1:7" x14ac:dyDescent="0.35">
      <c r="A1451">
        <v>567</v>
      </c>
      <c r="B1451" s="1">
        <v>45433</v>
      </c>
      <c r="C1451" t="s">
        <v>24</v>
      </c>
      <c r="D1451" s="2">
        <v>3447.01</v>
      </c>
      <c r="E1451" s="2">
        <v>0</v>
      </c>
      <c r="F1451" t="s">
        <v>8</v>
      </c>
      <c r="G1451" t="s">
        <v>9</v>
      </c>
    </row>
    <row r="1452" spans="1:7" x14ac:dyDescent="0.35">
      <c r="A1452">
        <v>567</v>
      </c>
      <c r="B1452" s="1">
        <v>45433</v>
      </c>
      <c r="C1452" t="s">
        <v>24</v>
      </c>
      <c r="D1452" s="2">
        <v>0</v>
      </c>
      <c r="E1452" s="2">
        <v>3447.01</v>
      </c>
      <c r="F1452" t="s">
        <v>13</v>
      </c>
      <c r="G1452" t="s">
        <v>9</v>
      </c>
    </row>
    <row r="1453" spans="1:7" x14ac:dyDescent="0.35">
      <c r="A1453">
        <v>568</v>
      </c>
      <c r="B1453" s="1">
        <v>45433</v>
      </c>
      <c r="C1453" t="s">
        <v>24</v>
      </c>
      <c r="D1453" s="2">
        <v>4861.78</v>
      </c>
      <c r="E1453" s="2">
        <v>0</v>
      </c>
      <c r="F1453" t="s">
        <v>8</v>
      </c>
      <c r="G1453" t="s">
        <v>9</v>
      </c>
    </row>
    <row r="1454" spans="1:7" x14ac:dyDescent="0.35">
      <c r="A1454">
        <v>568</v>
      </c>
      <c r="B1454" s="1">
        <v>45433</v>
      </c>
      <c r="C1454" t="s">
        <v>24</v>
      </c>
      <c r="D1454" s="2">
        <v>0</v>
      </c>
      <c r="E1454" s="2">
        <v>4861.78</v>
      </c>
      <c r="F1454" t="s">
        <v>13</v>
      </c>
      <c r="G1454" t="s">
        <v>9</v>
      </c>
    </row>
    <row r="1455" spans="1:7" x14ac:dyDescent="0.35">
      <c r="A1455">
        <v>569</v>
      </c>
      <c r="B1455" s="1">
        <v>45433</v>
      </c>
      <c r="C1455" t="s">
        <v>24</v>
      </c>
      <c r="D1455" s="2">
        <v>1010.31</v>
      </c>
      <c r="E1455" s="2">
        <v>0</v>
      </c>
      <c r="F1455" t="s">
        <v>8</v>
      </c>
      <c r="G1455" t="s">
        <v>9</v>
      </c>
    </row>
    <row r="1456" spans="1:7" x14ac:dyDescent="0.35">
      <c r="A1456">
        <v>569</v>
      </c>
      <c r="B1456" s="1">
        <v>45433</v>
      </c>
      <c r="C1456" t="s">
        <v>24</v>
      </c>
      <c r="D1456" s="2">
        <v>0</v>
      </c>
      <c r="E1456" s="2">
        <v>1010.31</v>
      </c>
      <c r="F1456" t="s">
        <v>13</v>
      </c>
      <c r="G1456" t="s">
        <v>9</v>
      </c>
    </row>
    <row r="1457" spans="1:7" x14ac:dyDescent="0.35">
      <c r="A1457">
        <v>570</v>
      </c>
      <c r="B1457" s="1">
        <v>45433</v>
      </c>
      <c r="C1457" t="s">
        <v>25</v>
      </c>
      <c r="D1457" s="2">
        <v>3598.88</v>
      </c>
      <c r="E1457" s="2">
        <v>0</v>
      </c>
      <c r="F1457" t="s">
        <v>26</v>
      </c>
      <c r="G1457" t="s">
        <v>20</v>
      </c>
    </row>
    <row r="1458" spans="1:7" x14ac:dyDescent="0.35">
      <c r="A1458">
        <v>570</v>
      </c>
      <c r="B1458" s="1">
        <v>45433</v>
      </c>
      <c r="C1458" t="s">
        <v>25</v>
      </c>
      <c r="D1458" s="2">
        <v>269.92</v>
      </c>
      <c r="E1458" s="2">
        <v>0</v>
      </c>
      <c r="F1458" t="s">
        <v>27</v>
      </c>
      <c r="G1458" t="s">
        <v>9</v>
      </c>
    </row>
    <row r="1459" spans="1:7" x14ac:dyDescent="0.35">
      <c r="A1459">
        <v>570</v>
      </c>
      <c r="B1459" s="1">
        <v>45433</v>
      </c>
      <c r="C1459" t="s">
        <v>25</v>
      </c>
      <c r="D1459" s="2">
        <v>0</v>
      </c>
      <c r="E1459" s="2">
        <v>3868.8</v>
      </c>
      <c r="F1459" t="s">
        <v>28</v>
      </c>
      <c r="G1459" t="s">
        <v>17</v>
      </c>
    </row>
    <row r="1460" spans="1:7" x14ac:dyDescent="0.35">
      <c r="A1460">
        <v>571</v>
      </c>
      <c r="B1460" s="1">
        <v>45434</v>
      </c>
      <c r="C1460" t="s">
        <v>12</v>
      </c>
      <c r="D1460" s="2">
        <v>1762.94</v>
      </c>
      <c r="E1460" s="2">
        <v>0</v>
      </c>
      <c r="F1460" t="s">
        <v>13</v>
      </c>
      <c r="G1460" t="s">
        <v>9</v>
      </c>
    </row>
    <row r="1461" spans="1:7" x14ac:dyDescent="0.35">
      <c r="A1461">
        <v>571</v>
      </c>
      <c r="B1461" s="1">
        <v>45434</v>
      </c>
      <c r="C1461" t="s">
        <v>12</v>
      </c>
      <c r="D1461" s="2">
        <v>0</v>
      </c>
      <c r="E1461" s="2">
        <v>1639.95</v>
      </c>
      <c r="F1461" t="s">
        <v>14</v>
      </c>
      <c r="G1461" t="s">
        <v>15</v>
      </c>
    </row>
    <row r="1462" spans="1:7" x14ac:dyDescent="0.35">
      <c r="A1462">
        <v>571</v>
      </c>
      <c r="B1462" s="1">
        <v>45434</v>
      </c>
      <c r="C1462" t="s">
        <v>12</v>
      </c>
      <c r="D1462" s="2">
        <v>0</v>
      </c>
      <c r="E1462" s="2">
        <v>122.99</v>
      </c>
      <c r="F1462" t="s">
        <v>16</v>
      </c>
      <c r="G1462" t="s">
        <v>17</v>
      </c>
    </row>
    <row r="1463" spans="1:7" x14ac:dyDescent="0.35">
      <c r="A1463">
        <v>572</v>
      </c>
      <c r="B1463" s="1">
        <v>45434</v>
      </c>
      <c r="C1463" t="s">
        <v>12</v>
      </c>
      <c r="D1463" s="2">
        <v>1253.24</v>
      </c>
      <c r="E1463" s="2">
        <v>0</v>
      </c>
      <c r="F1463" t="s">
        <v>13</v>
      </c>
      <c r="G1463" t="s">
        <v>9</v>
      </c>
    </row>
    <row r="1464" spans="1:7" x14ac:dyDescent="0.35">
      <c r="A1464">
        <v>572</v>
      </c>
      <c r="B1464" s="1">
        <v>45434</v>
      </c>
      <c r="C1464" t="s">
        <v>12</v>
      </c>
      <c r="D1464" s="2">
        <v>0</v>
      </c>
      <c r="E1464" s="2">
        <v>1165.8</v>
      </c>
      <c r="F1464" t="s">
        <v>14</v>
      </c>
      <c r="G1464" t="s">
        <v>15</v>
      </c>
    </row>
    <row r="1465" spans="1:7" x14ac:dyDescent="0.35">
      <c r="A1465">
        <v>572</v>
      </c>
      <c r="B1465" s="1">
        <v>45434</v>
      </c>
      <c r="C1465" t="s">
        <v>12</v>
      </c>
      <c r="D1465" s="2">
        <v>0</v>
      </c>
      <c r="E1465" s="2">
        <v>87.44</v>
      </c>
      <c r="F1465" t="s">
        <v>16</v>
      </c>
      <c r="G1465" t="s">
        <v>17</v>
      </c>
    </row>
    <row r="1466" spans="1:7" x14ac:dyDescent="0.35">
      <c r="A1466">
        <v>573</v>
      </c>
      <c r="B1466" s="1">
        <v>45434</v>
      </c>
      <c r="C1466" t="s">
        <v>12</v>
      </c>
      <c r="D1466" s="2">
        <v>976.95</v>
      </c>
      <c r="E1466" s="2">
        <v>0</v>
      </c>
      <c r="F1466" t="s">
        <v>13</v>
      </c>
      <c r="G1466" t="s">
        <v>9</v>
      </c>
    </row>
    <row r="1467" spans="1:7" x14ac:dyDescent="0.35">
      <c r="A1467">
        <v>573</v>
      </c>
      <c r="B1467" s="1">
        <v>45434</v>
      </c>
      <c r="C1467" t="s">
        <v>12</v>
      </c>
      <c r="D1467" s="2">
        <v>0</v>
      </c>
      <c r="E1467" s="2">
        <v>908.79</v>
      </c>
      <c r="F1467" t="s">
        <v>14</v>
      </c>
      <c r="G1467" t="s">
        <v>15</v>
      </c>
    </row>
    <row r="1468" spans="1:7" x14ac:dyDescent="0.35">
      <c r="A1468">
        <v>573</v>
      </c>
      <c r="B1468" s="1">
        <v>45434</v>
      </c>
      <c r="C1468" t="s">
        <v>12</v>
      </c>
      <c r="D1468" s="2">
        <v>0</v>
      </c>
      <c r="E1468" s="2">
        <v>68.16</v>
      </c>
      <c r="F1468" t="s">
        <v>16</v>
      </c>
      <c r="G1468" t="s">
        <v>17</v>
      </c>
    </row>
    <row r="1469" spans="1:7" x14ac:dyDescent="0.35">
      <c r="A1469">
        <v>574</v>
      </c>
      <c r="B1469" s="1">
        <v>45434</v>
      </c>
      <c r="C1469" t="s">
        <v>12</v>
      </c>
      <c r="D1469" s="2">
        <v>3858.82</v>
      </c>
      <c r="E1469" s="2">
        <v>0</v>
      </c>
      <c r="F1469" t="s">
        <v>13</v>
      </c>
      <c r="G1469" t="s">
        <v>9</v>
      </c>
    </row>
    <row r="1470" spans="1:7" x14ac:dyDescent="0.35">
      <c r="A1470">
        <v>574</v>
      </c>
      <c r="B1470" s="1">
        <v>45434</v>
      </c>
      <c r="C1470" t="s">
        <v>12</v>
      </c>
      <c r="D1470" s="2">
        <v>0</v>
      </c>
      <c r="E1470" s="2">
        <v>3589.61</v>
      </c>
      <c r="F1470" t="s">
        <v>14</v>
      </c>
      <c r="G1470" t="s">
        <v>15</v>
      </c>
    </row>
    <row r="1471" spans="1:7" x14ac:dyDescent="0.35">
      <c r="A1471">
        <v>574</v>
      </c>
      <c r="B1471" s="1">
        <v>45434</v>
      </c>
      <c r="C1471" t="s">
        <v>12</v>
      </c>
      <c r="D1471" s="2">
        <v>0</v>
      </c>
      <c r="E1471" s="2">
        <v>269.20999999999998</v>
      </c>
      <c r="F1471" t="s">
        <v>16</v>
      </c>
      <c r="G1471" t="s">
        <v>17</v>
      </c>
    </row>
    <row r="1472" spans="1:7" x14ac:dyDescent="0.35">
      <c r="A1472">
        <v>575</v>
      </c>
      <c r="B1472" s="1">
        <v>45434</v>
      </c>
      <c r="C1472" t="s">
        <v>12</v>
      </c>
      <c r="D1472" s="2">
        <v>2099.33</v>
      </c>
      <c r="E1472" s="2">
        <v>0</v>
      </c>
      <c r="F1472" t="s">
        <v>13</v>
      </c>
      <c r="G1472" t="s">
        <v>9</v>
      </c>
    </row>
    <row r="1473" spans="1:7" x14ac:dyDescent="0.35">
      <c r="A1473">
        <v>575</v>
      </c>
      <c r="B1473" s="1">
        <v>45434</v>
      </c>
      <c r="C1473" t="s">
        <v>12</v>
      </c>
      <c r="D1473" s="2">
        <v>0</v>
      </c>
      <c r="E1473" s="2">
        <v>1952.86</v>
      </c>
      <c r="F1473" t="s">
        <v>14</v>
      </c>
      <c r="G1473" t="s">
        <v>15</v>
      </c>
    </row>
    <row r="1474" spans="1:7" x14ac:dyDescent="0.35">
      <c r="A1474">
        <v>575</v>
      </c>
      <c r="B1474" s="1">
        <v>45434</v>
      </c>
      <c r="C1474" t="s">
        <v>12</v>
      </c>
      <c r="D1474" s="2">
        <v>0</v>
      </c>
      <c r="E1474" s="2">
        <v>146.47</v>
      </c>
      <c r="F1474" t="s">
        <v>16</v>
      </c>
      <c r="G1474" t="s">
        <v>17</v>
      </c>
    </row>
    <row r="1475" spans="1:7" x14ac:dyDescent="0.35">
      <c r="A1475">
        <v>576</v>
      </c>
      <c r="B1475" s="1">
        <v>45434</v>
      </c>
      <c r="C1475" t="s">
        <v>24</v>
      </c>
      <c r="D1475" s="2">
        <v>960.92</v>
      </c>
      <c r="E1475" s="2">
        <v>0</v>
      </c>
      <c r="F1475" t="s">
        <v>8</v>
      </c>
      <c r="G1475" t="s">
        <v>9</v>
      </c>
    </row>
    <row r="1476" spans="1:7" x14ac:dyDescent="0.35">
      <c r="A1476">
        <v>576</v>
      </c>
      <c r="B1476" s="1">
        <v>45434</v>
      </c>
      <c r="C1476" t="s">
        <v>24</v>
      </c>
      <c r="D1476" s="2">
        <v>0</v>
      </c>
      <c r="E1476" s="2">
        <v>960.92</v>
      </c>
      <c r="F1476" t="s">
        <v>13</v>
      </c>
      <c r="G1476" t="s">
        <v>9</v>
      </c>
    </row>
    <row r="1477" spans="1:7" x14ac:dyDescent="0.35">
      <c r="A1477">
        <v>577</v>
      </c>
      <c r="B1477" s="1">
        <v>45434</v>
      </c>
      <c r="C1477" t="s">
        <v>24</v>
      </c>
      <c r="D1477" s="2">
        <v>961.45</v>
      </c>
      <c r="E1477" s="2">
        <v>0</v>
      </c>
      <c r="F1477" t="s">
        <v>8</v>
      </c>
      <c r="G1477" t="s">
        <v>9</v>
      </c>
    </row>
    <row r="1478" spans="1:7" x14ac:dyDescent="0.35">
      <c r="A1478">
        <v>577</v>
      </c>
      <c r="B1478" s="1">
        <v>45434</v>
      </c>
      <c r="C1478" t="s">
        <v>24</v>
      </c>
      <c r="D1478" s="2">
        <v>0</v>
      </c>
      <c r="E1478" s="2">
        <v>961.45</v>
      </c>
      <c r="F1478" t="s">
        <v>13</v>
      </c>
      <c r="G1478" t="s">
        <v>9</v>
      </c>
    </row>
    <row r="1479" spans="1:7" x14ac:dyDescent="0.35">
      <c r="A1479">
        <v>578</v>
      </c>
      <c r="B1479" s="1">
        <v>45434</v>
      </c>
      <c r="C1479" t="s">
        <v>24</v>
      </c>
      <c r="D1479" s="2">
        <v>836.24</v>
      </c>
      <c r="E1479" s="2">
        <v>0</v>
      </c>
      <c r="F1479" t="s">
        <v>8</v>
      </c>
      <c r="G1479" t="s">
        <v>9</v>
      </c>
    </row>
    <row r="1480" spans="1:7" x14ac:dyDescent="0.35">
      <c r="A1480">
        <v>578</v>
      </c>
      <c r="B1480" s="1">
        <v>45434</v>
      </c>
      <c r="C1480" t="s">
        <v>24</v>
      </c>
      <c r="D1480" s="2">
        <v>0</v>
      </c>
      <c r="E1480" s="2">
        <v>836.24</v>
      </c>
      <c r="F1480" t="s">
        <v>13</v>
      </c>
      <c r="G1480" t="s">
        <v>9</v>
      </c>
    </row>
    <row r="1481" spans="1:7" x14ac:dyDescent="0.35">
      <c r="A1481">
        <v>579</v>
      </c>
      <c r="B1481" s="1">
        <v>45434</v>
      </c>
      <c r="C1481" t="s">
        <v>29</v>
      </c>
      <c r="D1481" s="2">
        <v>1023.42</v>
      </c>
      <c r="E1481" s="2">
        <v>0</v>
      </c>
      <c r="F1481" t="s">
        <v>28</v>
      </c>
      <c r="G1481" t="s">
        <v>17</v>
      </c>
    </row>
    <row r="1482" spans="1:7" x14ac:dyDescent="0.35">
      <c r="A1482">
        <v>579</v>
      </c>
      <c r="B1482" s="1">
        <v>45434</v>
      </c>
      <c r="C1482" t="s">
        <v>29</v>
      </c>
      <c r="D1482" s="2">
        <v>0</v>
      </c>
      <c r="E1482" s="2">
        <v>1023.42</v>
      </c>
      <c r="F1482" t="s">
        <v>8</v>
      </c>
      <c r="G1482" t="s">
        <v>9</v>
      </c>
    </row>
    <row r="1483" spans="1:7" x14ac:dyDescent="0.35">
      <c r="A1483">
        <v>580</v>
      </c>
      <c r="B1483" s="1">
        <v>45434</v>
      </c>
      <c r="C1483" t="s">
        <v>29</v>
      </c>
      <c r="D1483" s="2">
        <v>412.54</v>
      </c>
      <c r="E1483" s="2">
        <v>0</v>
      </c>
      <c r="F1483" t="s">
        <v>28</v>
      </c>
      <c r="G1483" t="s">
        <v>17</v>
      </c>
    </row>
    <row r="1484" spans="1:7" x14ac:dyDescent="0.35">
      <c r="A1484">
        <v>580</v>
      </c>
      <c r="B1484" s="1">
        <v>45434</v>
      </c>
      <c r="C1484" t="s">
        <v>29</v>
      </c>
      <c r="D1484" s="2">
        <v>0</v>
      </c>
      <c r="E1484" s="2">
        <v>412.54</v>
      </c>
      <c r="F1484" t="s">
        <v>8</v>
      </c>
      <c r="G1484" t="s">
        <v>9</v>
      </c>
    </row>
    <row r="1485" spans="1:7" x14ac:dyDescent="0.35">
      <c r="A1485">
        <v>581</v>
      </c>
      <c r="B1485" s="1">
        <v>45435</v>
      </c>
      <c r="C1485" t="s">
        <v>18</v>
      </c>
      <c r="D1485" s="2">
        <v>21307.68</v>
      </c>
      <c r="E1485" s="2">
        <v>0</v>
      </c>
      <c r="F1485" t="s">
        <v>19</v>
      </c>
      <c r="G1485" t="s">
        <v>20</v>
      </c>
    </row>
    <row r="1486" spans="1:7" x14ac:dyDescent="0.35">
      <c r="A1486">
        <v>581</v>
      </c>
      <c r="B1486" s="1">
        <v>45435</v>
      </c>
      <c r="C1486" t="s">
        <v>18</v>
      </c>
      <c r="D1486" s="2">
        <v>852.32</v>
      </c>
      <c r="E1486" s="2">
        <v>0</v>
      </c>
      <c r="F1486" t="s">
        <v>21</v>
      </c>
      <c r="G1486" t="s">
        <v>20</v>
      </c>
    </row>
    <row r="1487" spans="1:7" x14ac:dyDescent="0.35">
      <c r="A1487">
        <v>581</v>
      </c>
      <c r="B1487" s="1">
        <v>45435</v>
      </c>
      <c r="C1487" t="s">
        <v>18</v>
      </c>
      <c r="D1487" s="2">
        <v>0</v>
      </c>
      <c r="E1487" s="2">
        <v>17437.03</v>
      </c>
      <c r="F1487" t="s">
        <v>8</v>
      </c>
      <c r="G1487" t="s">
        <v>9</v>
      </c>
    </row>
    <row r="1488" spans="1:7" x14ac:dyDescent="0.35">
      <c r="A1488">
        <v>581</v>
      </c>
      <c r="B1488" s="1">
        <v>45435</v>
      </c>
      <c r="C1488" t="s">
        <v>18</v>
      </c>
      <c r="D1488" s="2">
        <v>0</v>
      </c>
      <c r="E1488" s="2">
        <v>3870.65</v>
      </c>
      <c r="F1488" t="s">
        <v>22</v>
      </c>
      <c r="G1488" t="s">
        <v>17</v>
      </c>
    </row>
    <row r="1489" spans="1:7" x14ac:dyDescent="0.35">
      <c r="A1489">
        <v>581</v>
      </c>
      <c r="B1489" s="1">
        <v>45435</v>
      </c>
      <c r="C1489" t="s">
        <v>18</v>
      </c>
      <c r="D1489" s="2">
        <v>0</v>
      </c>
      <c r="E1489" s="2">
        <v>852.32</v>
      </c>
      <c r="F1489" t="s">
        <v>23</v>
      </c>
      <c r="G1489" t="s">
        <v>17</v>
      </c>
    </row>
    <row r="1490" spans="1:7" x14ac:dyDescent="0.35">
      <c r="A1490">
        <v>582</v>
      </c>
      <c r="B1490" s="1">
        <v>45435</v>
      </c>
      <c r="C1490" t="s">
        <v>12</v>
      </c>
      <c r="D1490" s="2">
        <v>3138.18</v>
      </c>
      <c r="E1490" s="2">
        <v>0</v>
      </c>
      <c r="F1490" t="s">
        <v>13</v>
      </c>
      <c r="G1490" t="s">
        <v>9</v>
      </c>
    </row>
    <row r="1491" spans="1:7" x14ac:dyDescent="0.35">
      <c r="A1491">
        <v>582</v>
      </c>
      <c r="B1491" s="1">
        <v>45435</v>
      </c>
      <c r="C1491" t="s">
        <v>12</v>
      </c>
      <c r="D1491" s="2">
        <v>0</v>
      </c>
      <c r="E1491" s="2">
        <v>2919.25</v>
      </c>
      <c r="F1491" t="s">
        <v>14</v>
      </c>
      <c r="G1491" t="s">
        <v>15</v>
      </c>
    </row>
    <row r="1492" spans="1:7" x14ac:dyDescent="0.35">
      <c r="A1492">
        <v>582</v>
      </c>
      <c r="B1492" s="1">
        <v>45435</v>
      </c>
      <c r="C1492" t="s">
        <v>12</v>
      </c>
      <c r="D1492" s="2">
        <v>0</v>
      </c>
      <c r="E1492" s="2">
        <v>218.93</v>
      </c>
      <c r="F1492" t="s">
        <v>16</v>
      </c>
      <c r="G1492" t="s">
        <v>17</v>
      </c>
    </row>
    <row r="1493" spans="1:7" x14ac:dyDescent="0.35">
      <c r="A1493">
        <v>583</v>
      </c>
      <c r="B1493" s="1">
        <v>45435</v>
      </c>
      <c r="C1493" t="s">
        <v>24</v>
      </c>
      <c r="D1493" s="2">
        <v>3070.53</v>
      </c>
      <c r="E1493" s="2">
        <v>0</v>
      </c>
      <c r="F1493" t="s">
        <v>8</v>
      </c>
      <c r="G1493" t="s">
        <v>9</v>
      </c>
    </row>
    <row r="1494" spans="1:7" x14ac:dyDescent="0.35">
      <c r="A1494">
        <v>583</v>
      </c>
      <c r="B1494" s="1">
        <v>45435</v>
      </c>
      <c r="C1494" t="s">
        <v>24</v>
      </c>
      <c r="D1494" s="2">
        <v>0</v>
      </c>
      <c r="E1494" s="2">
        <v>3070.53</v>
      </c>
      <c r="F1494" t="s">
        <v>13</v>
      </c>
      <c r="G1494" t="s">
        <v>9</v>
      </c>
    </row>
    <row r="1495" spans="1:7" x14ac:dyDescent="0.35">
      <c r="A1495">
        <v>584</v>
      </c>
      <c r="B1495" s="1">
        <v>45435</v>
      </c>
      <c r="C1495" t="s">
        <v>24</v>
      </c>
      <c r="D1495" s="2">
        <v>867.75</v>
      </c>
      <c r="E1495" s="2">
        <v>0</v>
      </c>
      <c r="F1495" t="s">
        <v>8</v>
      </c>
      <c r="G1495" t="s">
        <v>9</v>
      </c>
    </row>
    <row r="1496" spans="1:7" x14ac:dyDescent="0.35">
      <c r="A1496">
        <v>584</v>
      </c>
      <c r="B1496" s="1">
        <v>45435</v>
      </c>
      <c r="C1496" t="s">
        <v>24</v>
      </c>
      <c r="D1496" s="2">
        <v>0</v>
      </c>
      <c r="E1496" s="2">
        <v>867.75</v>
      </c>
      <c r="F1496" t="s">
        <v>13</v>
      </c>
      <c r="G1496" t="s">
        <v>9</v>
      </c>
    </row>
    <row r="1497" spans="1:7" x14ac:dyDescent="0.35">
      <c r="A1497">
        <v>585</v>
      </c>
      <c r="B1497" s="1">
        <v>45435</v>
      </c>
      <c r="C1497" t="s">
        <v>24</v>
      </c>
      <c r="D1497" s="2">
        <v>3648.55</v>
      </c>
      <c r="E1497" s="2">
        <v>0</v>
      </c>
      <c r="F1497" t="s">
        <v>8</v>
      </c>
      <c r="G1497" t="s">
        <v>9</v>
      </c>
    </row>
    <row r="1498" spans="1:7" x14ac:dyDescent="0.35">
      <c r="A1498">
        <v>585</v>
      </c>
      <c r="B1498" s="1">
        <v>45435</v>
      </c>
      <c r="C1498" t="s">
        <v>24</v>
      </c>
      <c r="D1498" s="2">
        <v>0</v>
      </c>
      <c r="E1498" s="2">
        <v>3648.55</v>
      </c>
      <c r="F1498" t="s">
        <v>13</v>
      </c>
      <c r="G1498" t="s">
        <v>9</v>
      </c>
    </row>
    <row r="1499" spans="1:7" x14ac:dyDescent="0.35">
      <c r="A1499">
        <v>586</v>
      </c>
      <c r="B1499" s="1">
        <v>45435</v>
      </c>
      <c r="C1499" t="s">
        <v>24</v>
      </c>
      <c r="D1499" s="2">
        <v>2717.21</v>
      </c>
      <c r="E1499" s="2">
        <v>0</v>
      </c>
      <c r="F1499" t="s">
        <v>8</v>
      </c>
      <c r="G1499" t="s">
        <v>9</v>
      </c>
    </row>
    <row r="1500" spans="1:7" x14ac:dyDescent="0.35">
      <c r="A1500">
        <v>586</v>
      </c>
      <c r="B1500" s="1">
        <v>45435</v>
      </c>
      <c r="C1500" t="s">
        <v>24</v>
      </c>
      <c r="D1500" s="2">
        <v>0</v>
      </c>
      <c r="E1500" s="2">
        <v>2717.21</v>
      </c>
      <c r="F1500" t="s">
        <v>13</v>
      </c>
      <c r="G1500" t="s">
        <v>9</v>
      </c>
    </row>
    <row r="1501" spans="1:7" x14ac:dyDescent="0.35">
      <c r="A1501">
        <v>587</v>
      </c>
      <c r="B1501" s="1">
        <v>45435</v>
      </c>
      <c r="C1501" t="s">
        <v>24</v>
      </c>
      <c r="D1501" s="2">
        <v>2490.75</v>
      </c>
      <c r="E1501" s="2">
        <v>0</v>
      </c>
      <c r="F1501" t="s">
        <v>8</v>
      </c>
      <c r="G1501" t="s">
        <v>9</v>
      </c>
    </row>
    <row r="1502" spans="1:7" x14ac:dyDescent="0.35">
      <c r="A1502">
        <v>587</v>
      </c>
      <c r="B1502" s="1">
        <v>45435</v>
      </c>
      <c r="C1502" t="s">
        <v>24</v>
      </c>
      <c r="D1502" s="2">
        <v>0</v>
      </c>
      <c r="E1502" s="2">
        <v>2490.75</v>
      </c>
      <c r="F1502" t="s">
        <v>13</v>
      </c>
      <c r="G1502" t="s">
        <v>9</v>
      </c>
    </row>
    <row r="1503" spans="1:7" x14ac:dyDescent="0.35">
      <c r="A1503">
        <v>588</v>
      </c>
      <c r="B1503" s="1">
        <v>45435</v>
      </c>
      <c r="C1503" t="s">
        <v>25</v>
      </c>
      <c r="D1503" s="2">
        <v>1800.04</v>
      </c>
      <c r="E1503" s="2">
        <v>0</v>
      </c>
      <c r="F1503" t="s">
        <v>26</v>
      </c>
      <c r="G1503" t="s">
        <v>20</v>
      </c>
    </row>
    <row r="1504" spans="1:7" x14ac:dyDescent="0.35">
      <c r="A1504">
        <v>588</v>
      </c>
      <c r="B1504" s="1">
        <v>45435</v>
      </c>
      <c r="C1504" t="s">
        <v>25</v>
      </c>
      <c r="D1504" s="2">
        <v>135</v>
      </c>
      <c r="E1504" s="2">
        <v>0</v>
      </c>
      <c r="F1504" t="s">
        <v>27</v>
      </c>
      <c r="G1504" t="s">
        <v>9</v>
      </c>
    </row>
    <row r="1505" spans="1:7" x14ac:dyDescent="0.35">
      <c r="A1505">
        <v>588</v>
      </c>
      <c r="B1505" s="1">
        <v>45435</v>
      </c>
      <c r="C1505" t="s">
        <v>25</v>
      </c>
      <c r="D1505" s="2">
        <v>0</v>
      </c>
      <c r="E1505" s="2">
        <v>1935.04</v>
      </c>
      <c r="F1505" t="s">
        <v>28</v>
      </c>
      <c r="G1505" t="s">
        <v>17</v>
      </c>
    </row>
    <row r="1506" spans="1:7" x14ac:dyDescent="0.35">
      <c r="A1506">
        <v>589</v>
      </c>
      <c r="B1506" s="1">
        <v>45435</v>
      </c>
      <c r="C1506" t="s">
        <v>25</v>
      </c>
      <c r="D1506" s="2">
        <v>187.44</v>
      </c>
      <c r="E1506" s="2">
        <v>0</v>
      </c>
      <c r="F1506" t="s">
        <v>26</v>
      </c>
      <c r="G1506" t="s">
        <v>20</v>
      </c>
    </row>
    <row r="1507" spans="1:7" x14ac:dyDescent="0.35">
      <c r="A1507">
        <v>589</v>
      </c>
      <c r="B1507" s="1">
        <v>45435</v>
      </c>
      <c r="C1507" t="s">
        <v>25</v>
      </c>
      <c r="D1507" s="2">
        <v>14.06</v>
      </c>
      <c r="E1507" s="2">
        <v>0</v>
      </c>
      <c r="F1507" t="s">
        <v>27</v>
      </c>
      <c r="G1507" t="s">
        <v>9</v>
      </c>
    </row>
    <row r="1508" spans="1:7" x14ac:dyDescent="0.35">
      <c r="A1508">
        <v>589</v>
      </c>
      <c r="B1508" s="1">
        <v>45435</v>
      </c>
      <c r="C1508" t="s">
        <v>25</v>
      </c>
      <c r="D1508" s="2">
        <v>0</v>
      </c>
      <c r="E1508" s="2">
        <v>201.5</v>
      </c>
      <c r="F1508" t="s">
        <v>28</v>
      </c>
      <c r="G1508" t="s">
        <v>17</v>
      </c>
    </row>
    <row r="1509" spans="1:7" x14ac:dyDescent="0.35">
      <c r="A1509">
        <v>590</v>
      </c>
      <c r="B1509" s="1">
        <v>45435</v>
      </c>
      <c r="C1509" t="s">
        <v>29</v>
      </c>
      <c r="D1509" s="2">
        <v>2504.23</v>
      </c>
      <c r="E1509" s="2">
        <v>0</v>
      </c>
      <c r="F1509" t="s">
        <v>28</v>
      </c>
      <c r="G1509" t="s">
        <v>17</v>
      </c>
    </row>
    <row r="1510" spans="1:7" x14ac:dyDescent="0.35">
      <c r="A1510">
        <v>590</v>
      </c>
      <c r="B1510" s="1">
        <v>45435</v>
      </c>
      <c r="C1510" t="s">
        <v>29</v>
      </c>
      <c r="D1510" s="2">
        <v>0</v>
      </c>
      <c r="E1510" s="2">
        <v>2504.23</v>
      </c>
      <c r="F1510" t="s">
        <v>8</v>
      </c>
      <c r="G1510" t="s">
        <v>9</v>
      </c>
    </row>
    <row r="1511" spans="1:7" x14ac:dyDescent="0.35">
      <c r="A1511">
        <v>591</v>
      </c>
      <c r="B1511" s="1">
        <v>45436</v>
      </c>
      <c r="C1511" t="s">
        <v>12</v>
      </c>
      <c r="D1511" s="2">
        <v>448.24</v>
      </c>
      <c r="E1511" s="2">
        <v>0</v>
      </c>
      <c r="F1511" t="s">
        <v>13</v>
      </c>
      <c r="G1511" t="s">
        <v>9</v>
      </c>
    </row>
    <row r="1512" spans="1:7" x14ac:dyDescent="0.35">
      <c r="A1512">
        <v>591</v>
      </c>
      <c r="B1512" s="1">
        <v>45436</v>
      </c>
      <c r="C1512" t="s">
        <v>12</v>
      </c>
      <c r="D1512" s="2">
        <v>0</v>
      </c>
      <c r="E1512" s="2">
        <v>416.97</v>
      </c>
      <c r="F1512" t="s">
        <v>14</v>
      </c>
      <c r="G1512" t="s">
        <v>15</v>
      </c>
    </row>
    <row r="1513" spans="1:7" x14ac:dyDescent="0.35">
      <c r="A1513">
        <v>591</v>
      </c>
      <c r="B1513" s="1">
        <v>45436</v>
      </c>
      <c r="C1513" t="s">
        <v>12</v>
      </c>
      <c r="D1513" s="2">
        <v>0</v>
      </c>
      <c r="E1513" s="2">
        <v>31.27</v>
      </c>
      <c r="F1513" t="s">
        <v>16</v>
      </c>
      <c r="G1513" t="s">
        <v>17</v>
      </c>
    </row>
    <row r="1514" spans="1:7" x14ac:dyDescent="0.35">
      <c r="A1514">
        <v>592</v>
      </c>
      <c r="B1514" s="1">
        <v>45436</v>
      </c>
      <c r="C1514" t="s">
        <v>12</v>
      </c>
      <c r="D1514" s="2">
        <v>1390.91</v>
      </c>
      <c r="E1514" s="2">
        <v>0</v>
      </c>
      <c r="F1514" t="s">
        <v>13</v>
      </c>
      <c r="G1514" t="s">
        <v>9</v>
      </c>
    </row>
    <row r="1515" spans="1:7" x14ac:dyDescent="0.35">
      <c r="A1515">
        <v>592</v>
      </c>
      <c r="B1515" s="1">
        <v>45436</v>
      </c>
      <c r="C1515" t="s">
        <v>12</v>
      </c>
      <c r="D1515" s="2">
        <v>0</v>
      </c>
      <c r="E1515" s="2">
        <v>1293.8599999999999</v>
      </c>
      <c r="F1515" t="s">
        <v>14</v>
      </c>
      <c r="G1515" t="s">
        <v>15</v>
      </c>
    </row>
    <row r="1516" spans="1:7" x14ac:dyDescent="0.35">
      <c r="A1516">
        <v>592</v>
      </c>
      <c r="B1516" s="1">
        <v>45436</v>
      </c>
      <c r="C1516" t="s">
        <v>12</v>
      </c>
      <c r="D1516" s="2">
        <v>0</v>
      </c>
      <c r="E1516" s="2">
        <v>97.05</v>
      </c>
      <c r="F1516" t="s">
        <v>16</v>
      </c>
      <c r="G1516" t="s">
        <v>17</v>
      </c>
    </row>
    <row r="1517" spans="1:7" x14ac:dyDescent="0.35">
      <c r="A1517">
        <v>593</v>
      </c>
      <c r="B1517" s="1">
        <v>45436</v>
      </c>
      <c r="C1517" t="s">
        <v>12</v>
      </c>
      <c r="D1517" s="2">
        <v>1941.81</v>
      </c>
      <c r="E1517" s="2">
        <v>0</v>
      </c>
      <c r="F1517" t="s">
        <v>13</v>
      </c>
      <c r="G1517" t="s">
        <v>9</v>
      </c>
    </row>
    <row r="1518" spans="1:7" x14ac:dyDescent="0.35">
      <c r="A1518">
        <v>593</v>
      </c>
      <c r="B1518" s="1">
        <v>45436</v>
      </c>
      <c r="C1518" t="s">
        <v>12</v>
      </c>
      <c r="D1518" s="2">
        <v>0</v>
      </c>
      <c r="E1518" s="2">
        <v>1806.34</v>
      </c>
      <c r="F1518" t="s">
        <v>14</v>
      </c>
      <c r="G1518" t="s">
        <v>15</v>
      </c>
    </row>
    <row r="1519" spans="1:7" x14ac:dyDescent="0.35">
      <c r="A1519">
        <v>593</v>
      </c>
      <c r="B1519" s="1">
        <v>45436</v>
      </c>
      <c r="C1519" t="s">
        <v>12</v>
      </c>
      <c r="D1519" s="2">
        <v>0</v>
      </c>
      <c r="E1519" s="2">
        <v>135.47</v>
      </c>
      <c r="F1519" t="s">
        <v>16</v>
      </c>
      <c r="G1519" t="s">
        <v>17</v>
      </c>
    </row>
    <row r="1520" spans="1:7" x14ac:dyDescent="0.35">
      <c r="A1520">
        <v>594</v>
      </c>
      <c r="B1520" s="1">
        <v>45436</v>
      </c>
      <c r="C1520" t="s">
        <v>24</v>
      </c>
      <c r="D1520" s="2">
        <v>129.34</v>
      </c>
      <c r="E1520" s="2">
        <v>0</v>
      </c>
      <c r="F1520" t="s">
        <v>8</v>
      </c>
      <c r="G1520" t="s">
        <v>9</v>
      </c>
    </row>
    <row r="1521" spans="1:7" x14ac:dyDescent="0.35">
      <c r="A1521">
        <v>594</v>
      </c>
      <c r="B1521" s="1">
        <v>45436</v>
      </c>
      <c r="C1521" t="s">
        <v>24</v>
      </c>
      <c r="D1521" s="2">
        <v>0</v>
      </c>
      <c r="E1521" s="2">
        <v>129.34</v>
      </c>
      <c r="F1521" t="s">
        <v>13</v>
      </c>
      <c r="G1521" t="s">
        <v>9</v>
      </c>
    </row>
    <row r="1522" spans="1:7" x14ac:dyDescent="0.35">
      <c r="A1522">
        <v>595</v>
      </c>
      <c r="B1522" s="1">
        <v>45436</v>
      </c>
      <c r="C1522" t="s">
        <v>24</v>
      </c>
      <c r="D1522" s="2">
        <v>1551.7</v>
      </c>
      <c r="E1522" s="2">
        <v>0</v>
      </c>
      <c r="F1522" t="s">
        <v>8</v>
      </c>
      <c r="G1522" t="s">
        <v>9</v>
      </c>
    </row>
    <row r="1523" spans="1:7" x14ac:dyDescent="0.35">
      <c r="A1523">
        <v>595</v>
      </c>
      <c r="B1523" s="1">
        <v>45436</v>
      </c>
      <c r="C1523" t="s">
        <v>24</v>
      </c>
      <c r="D1523" s="2">
        <v>0</v>
      </c>
      <c r="E1523" s="2">
        <v>1551.7</v>
      </c>
      <c r="F1523" t="s">
        <v>13</v>
      </c>
      <c r="G1523" t="s">
        <v>9</v>
      </c>
    </row>
    <row r="1524" spans="1:7" x14ac:dyDescent="0.35">
      <c r="A1524">
        <v>596</v>
      </c>
      <c r="B1524" s="1">
        <v>45439</v>
      </c>
      <c r="C1524" t="s">
        <v>12</v>
      </c>
      <c r="D1524" s="2">
        <v>2366.0100000000002</v>
      </c>
      <c r="E1524" s="2">
        <v>0</v>
      </c>
      <c r="F1524" t="s">
        <v>13</v>
      </c>
      <c r="G1524" t="s">
        <v>9</v>
      </c>
    </row>
    <row r="1525" spans="1:7" x14ac:dyDescent="0.35">
      <c r="A1525">
        <v>596</v>
      </c>
      <c r="B1525" s="1">
        <v>45439</v>
      </c>
      <c r="C1525" t="s">
        <v>12</v>
      </c>
      <c r="D1525" s="2">
        <v>0</v>
      </c>
      <c r="E1525" s="2">
        <v>2200.94</v>
      </c>
      <c r="F1525" t="s">
        <v>14</v>
      </c>
      <c r="G1525" t="s">
        <v>15</v>
      </c>
    </row>
    <row r="1526" spans="1:7" x14ac:dyDescent="0.35">
      <c r="A1526">
        <v>596</v>
      </c>
      <c r="B1526" s="1">
        <v>45439</v>
      </c>
      <c r="C1526" t="s">
        <v>12</v>
      </c>
      <c r="D1526" s="2">
        <v>0</v>
      </c>
      <c r="E1526" s="2">
        <v>165.07</v>
      </c>
      <c r="F1526" t="s">
        <v>16</v>
      </c>
      <c r="G1526" t="s">
        <v>17</v>
      </c>
    </row>
    <row r="1527" spans="1:7" x14ac:dyDescent="0.35">
      <c r="A1527">
        <v>597</v>
      </c>
      <c r="B1527" s="1">
        <v>45439</v>
      </c>
      <c r="C1527" t="s">
        <v>12</v>
      </c>
      <c r="D1527" s="2">
        <v>3544.18</v>
      </c>
      <c r="E1527" s="2">
        <v>0</v>
      </c>
      <c r="F1527" t="s">
        <v>13</v>
      </c>
      <c r="G1527" t="s">
        <v>9</v>
      </c>
    </row>
    <row r="1528" spans="1:7" x14ac:dyDescent="0.35">
      <c r="A1528">
        <v>597</v>
      </c>
      <c r="B1528" s="1">
        <v>45439</v>
      </c>
      <c r="C1528" t="s">
        <v>12</v>
      </c>
      <c r="D1528" s="2">
        <v>0</v>
      </c>
      <c r="E1528" s="2">
        <v>3296.91</v>
      </c>
      <c r="F1528" t="s">
        <v>14</v>
      </c>
      <c r="G1528" t="s">
        <v>15</v>
      </c>
    </row>
    <row r="1529" spans="1:7" x14ac:dyDescent="0.35">
      <c r="A1529">
        <v>597</v>
      </c>
      <c r="B1529" s="1">
        <v>45439</v>
      </c>
      <c r="C1529" t="s">
        <v>12</v>
      </c>
      <c r="D1529" s="2">
        <v>0</v>
      </c>
      <c r="E1529" s="2">
        <v>247.27</v>
      </c>
      <c r="F1529" t="s">
        <v>16</v>
      </c>
      <c r="G1529" t="s">
        <v>17</v>
      </c>
    </row>
    <row r="1530" spans="1:7" x14ac:dyDescent="0.35">
      <c r="A1530">
        <v>598</v>
      </c>
      <c r="B1530" s="1">
        <v>45439</v>
      </c>
      <c r="C1530" t="s">
        <v>12</v>
      </c>
      <c r="D1530" s="2">
        <v>4883.4399999999996</v>
      </c>
      <c r="E1530" s="2">
        <v>0</v>
      </c>
      <c r="F1530" t="s">
        <v>13</v>
      </c>
      <c r="G1530" t="s">
        <v>9</v>
      </c>
    </row>
    <row r="1531" spans="1:7" x14ac:dyDescent="0.35">
      <c r="A1531">
        <v>598</v>
      </c>
      <c r="B1531" s="1">
        <v>45439</v>
      </c>
      <c r="C1531" t="s">
        <v>12</v>
      </c>
      <c r="D1531" s="2">
        <v>0</v>
      </c>
      <c r="E1531" s="2">
        <v>4542.7299999999996</v>
      </c>
      <c r="F1531" t="s">
        <v>14</v>
      </c>
      <c r="G1531" t="s">
        <v>15</v>
      </c>
    </row>
    <row r="1532" spans="1:7" x14ac:dyDescent="0.35">
      <c r="A1532">
        <v>598</v>
      </c>
      <c r="B1532" s="1">
        <v>45439</v>
      </c>
      <c r="C1532" t="s">
        <v>12</v>
      </c>
      <c r="D1532" s="2">
        <v>0</v>
      </c>
      <c r="E1532" s="2">
        <v>340.71</v>
      </c>
      <c r="F1532" t="s">
        <v>16</v>
      </c>
      <c r="G1532" t="s">
        <v>17</v>
      </c>
    </row>
    <row r="1533" spans="1:7" x14ac:dyDescent="0.35">
      <c r="A1533">
        <v>599</v>
      </c>
      <c r="B1533" s="1">
        <v>45439</v>
      </c>
      <c r="C1533" t="s">
        <v>24</v>
      </c>
      <c r="D1533" s="2">
        <v>464.57</v>
      </c>
      <c r="E1533" s="2">
        <v>0</v>
      </c>
      <c r="F1533" t="s">
        <v>8</v>
      </c>
      <c r="G1533" t="s">
        <v>9</v>
      </c>
    </row>
    <row r="1534" spans="1:7" x14ac:dyDescent="0.35">
      <c r="A1534">
        <v>599</v>
      </c>
      <c r="B1534" s="1">
        <v>45439</v>
      </c>
      <c r="C1534" t="s">
        <v>24</v>
      </c>
      <c r="D1534" s="2">
        <v>0</v>
      </c>
      <c r="E1534" s="2">
        <v>464.57</v>
      </c>
      <c r="F1534" t="s">
        <v>13</v>
      </c>
      <c r="G1534" t="s">
        <v>9</v>
      </c>
    </row>
    <row r="1535" spans="1:7" x14ac:dyDescent="0.35">
      <c r="A1535">
        <v>600</v>
      </c>
      <c r="B1535" s="1">
        <v>45439</v>
      </c>
      <c r="C1535" t="s">
        <v>24</v>
      </c>
      <c r="D1535" s="2">
        <v>1633.38</v>
      </c>
      <c r="E1535" s="2">
        <v>0</v>
      </c>
      <c r="F1535" t="s">
        <v>8</v>
      </c>
      <c r="G1535" t="s">
        <v>9</v>
      </c>
    </row>
    <row r="1536" spans="1:7" x14ac:dyDescent="0.35">
      <c r="A1536">
        <v>600</v>
      </c>
      <c r="B1536" s="1">
        <v>45439</v>
      </c>
      <c r="C1536" t="s">
        <v>24</v>
      </c>
      <c r="D1536" s="2">
        <v>0</v>
      </c>
      <c r="E1536" s="2">
        <v>1633.38</v>
      </c>
      <c r="F1536" t="s">
        <v>13</v>
      </c>
      <c r="G1536" t="s">
        <v>9</v>
      </c>
    </row>
    <row r="1537" spans="1:7" x14ac:dyDescent="0.35">
      <c r="A1537">
        <v>601</v>
      </c>
      <c r="B1537" s="1">
        <v>45439</v>
      </c>
      <c r="C1537" t="s">
        <v>25</v>
      </c>
      <c r="D1537" s="2">
        <v>2451.5</v>
      </c>
      <c r="E1537" s="2">
        <v>0</v>
      </c>
      <c r="F1537" t="s">
        <v>26</v>
      </c>
      <c r="G1537" t="s">
        <v>20</v>
      </c>
    </row>
    <row r="1538" spans="1:7" x14ac:dyDescent="0.35">
      <c r="A1538">
        <v>601</v>
      </c>
      <c r="B1538" s="1">
        <v>45439</v>
      </c>
      <c r="C1538" t="s">
        <v>25</v>
      </c>
      <c r="D1538" s="2">
        <v>183.86</v>
      </c>
      <c r="E1538" s="2">
        <v>0</v>
      </c>
      <c r="F1538" t="s">
        <v>27</v>
      </c>
      <c r="G1538" t="s">
        <v>9</v>
      </c>
    </row>
    <row r="1539" spans="1:7" x14ac:dyDescent="0.35">
      <c r="A1539">
        <v>601</v>
      </c>
      <c r="B1539" s="1">
        <v>45439</v>
      </c>
      <c r="C1539" t="s">
        <v>25</v>
      </c>
      <c r="D1539" s="2">
        <v>0</v>
      </c>
      <c r="E1539" s="2">
        <v>2635.36</v>
      </c>
      <c r="F1539" t="s">
        <v>28</v>
      </c>
      <c r="G1539" t="s">
        <v>17</v>
      </c>
    </row>
    <row r="1540" spans="1:7" x14ac:dyDescent="0.35">
      <c r="A1540">
        <v>602</v>
      </c>
      <c r="B1540" s="1">
        <v>45439</v>
      </c>
      <c r="C1540" t="s">
        <v>25</v>
      </c>
      <c r="D1540" s="2">
        <v>952.02</v>
      </c>
      <c r="E1540" s="2">
        <v>0</v>
      </c>
      <c r="F1540" t="s">
        <v>26</v>
      </c>
      <c r="G1540" t="s">
        <v>20</v>
      </c>
    </row>
    <row r="1541" spans="1:7" x14ac:dyDescent="0.35">
      <c r="A1541">
        <v>602</v>
      </c>
      <c r="B1541" s="1">
        <v>45439</v>
      </c>
      <c r="C1541" t="s">
        <v>25</v>
      </c>
      <c r="D1541" s="2">
        <v>71.400000000000006</v>
      </c>
      <c r="E1541" s="2">
        <v>0</v>
      </c>
      <c r="F1541" t="s">
        <v>27</v>
      </c>
      <c r="G1541" t="s">
        <v>9</v>
      </c>
    </row>
    <row r="1542" spans="1:7" x14ac:dyDescent="0.35">
      <c r="A1542">
        <v>602</v>
      </c>
      <c r="B1542" s="1">
        <v>45439</v>
      </c>
      <c r="C1542" t="s">
        <v>25</v>
      </c>
      <c r="D1542" s="2">
        <v>0</v>
      </c>
      <c r="E1542" s="2">
        <v>1023.42</v>
      </c>
      <c r="F1542" t="s">
        <v>28</v>
      </c>
      <c r="G1542" t="s">
        <v>17</v>
      </c>
    </row>
    <row r="1543" spans="1:7" x14ac:dyDescent="0.35">
      <c r="A1543">
        <v>603</v>
      </c>
      <c r="B1543" s="1">
        <v>45439</v>
      </c>
      <c r="C1543" t="s">
        <v>25</v>
      </c>
      <c r="D1543" s="2">
        <v>4476.71</v>
      </c>
      <c r="E1543" s="2">
        <v>0</v>
      </c>
      <c r="F1543" t="s">
        <v>26</v>
      </c>
      <c r="G1543" t="s">
        <v>20</v>
      </c>
    </row>
    <row r="1544" spans="1:7" x14ac:dyDescent="0.35">
      <c r="A1544">
        <v>603</v>
      </c>
      <c r="B1544" s="1">
        <v>45439</v>
      </c>
      <c r="C1544" t="s">
        <v>25</v>
      </c>
      <c r="D1544" s="2">
        <v>335.75</v>
      </c>
      <c r="E1544" s="2">
        <v>0</v>
      </c>
      <c r="F1544" t="s">
        <v>27</v>
      </c>
      <c r="G1544" t="s">
        <v>9</v>
      </c>
    </row>
    <row r="1545" spans="1:7" x14ac:dyDescent="0.35">
      <c r="A1545">
        <v>603</v>
      </c>
      <c r="B1545" s="1">
        <v>45439</v>
      </c>
      <c r="C1545" t="s">
        <v>25</v>
      </c>
      <c r="D1545" s="2">
        <v>0</v>
      </c>
      <c r="E1545" s="2">
        <v>4812.46</v>
      </c>
      <c r="F1545" t="s">
        <v>28</v>
      </c>
      <c r="G1545" t="s">
        <v>17</v>
      </c>
    </row>
    <row r="1546" spans="1:7" x14ac:dyDescent="0.35">
      <c r="A1546">
        <v>604</v>
      </c>
      <c r="B1546" s="1">
        <v>45439</v>
      </c>
      <c r="C1546" t="s">
        <v>25</v>
      </c>
      <c r="D1546" s="2">
        <v>2329.52</v>
      </c>
      <c r="E1546" s="2">
        <v>0</v>
      </c>
      <c r="F1546" t="s">
        <v>26</v>
      </c>
      <c r="G1546" t="s">
        <v>20</v>
      </c>
    </row>
    <row r="1547" spans="1:7" x14ac:dyDescent="0.35">
      <c r="A1547">
        <v>604</v>
      </c>
      <c r="B1547" s="1">
        <v>45439</v>
      </c>
      <c r="C1547" t="s">
        <v>25</v>
      </c>
      <c r="D1547" s="2">
        <v>174.71</v>
      </c>
      <c r="E1547" s="2">
        <v>0</v>
      </c>
      <c r="F1547" t="s">
        <v>27</v>
      </c>
      <c r="G1547" t="s">
        <v>9</v>
      </c>
    </row>
    <row r="1548" spans="1:7" x14ac:dyDescent="0.35">
      <c r="A1548">
        <v>604</v>
      </c>
      <c r="B1548" s="1">
        <v>45439</v>
      </c>
      <c r="C1548" t="s">
        <v>25</v>
      </c>
      <c r="D1548" s="2">
        <v>0</v>
      </c>
      <c r="E1548" s="2">
        <v>2504.23</v>
      </c>
      <c r="F1548" t="s">
        <v>28</v>
      </c>
      <c r="G1548" t="s">
        <v>17</v>
      </c>
    </row>
    <row r="1549" spans="1:7" x14ac:dyDescent="0.35">
      <c r="A1549">
        <v>605</v>
      </c>
      <c r="B1549" s="1">
        <v>45439</v>
      </c>
      <c r="C1549" t="s">
        <v>29</v>
      </c>
      <c r="D1549" s="2">
        <v>201.5</v>
      </c>
      <c r="E1549" s="2">
        <v>0</v>
      </c>
      <c r="F1549" t="s">
        <v>28</v>
      </c>
      <c r="G1549" t="s">
        <v>17</v>
      </c>
    </row>
    <row r="1550" spans="1:7" x14ac:dyDescent="0.35">
      <c r="A1550">
        <v>605</v>
      </c>
      <c r="B1550" s="1">
        <v>45439</v>
      </c>
      <c r="C1550" t="s">
        <v>29</v>
      </c>
      <c r="D1550" s="2">
        <v>0</v>
      </c>
      <c r="E1550" s="2">
        <v>201.5</v>
      </c>
      <c r="F1550" t="s">
        <v>8</v>
      </c>
      <c r="G1550" t="s">
        <v>9</v>
      </c>
    </row>
    <row r="1551" spans="1:7" x14ac:dyDescent="0.35">
      <c r="A1551">
        <v>606</v>
      </c>
      <c r="B1551" s="1">
        <v>45439</v>
      </c>
      <c r="C1551" t="s">
        <v>29</v>
      </c>
      <c r="D1551" s="2">
        <v>3868.8</v>
      </c>
      <c r="E1551" s="2">
        <v>0</v>
      </c>
      <c r="F1551" t="s">
        <v>28</v>
      </c>
      <c r="G1551" t="s">
        <v>17</v>
      </c>
    </row>
    <row r="1552" spans="1:7" x14ac:dyDescent="0.35">
      <c r="A1552">
        <v>606</v>
      </c>
      <c r="B1552" s="1">
        <v>45439</v>
      </c>
      <c r="C1552" t="s">
        <v>29</v>
      </c>
      <c r="D1552" s="2">
        <v>0</v>
      </c>
      <c r="E1552" s="2">
        <v>3868.8</v>
      </c>
      <c r="F1552" t="s">
        <v>8</v>
      </c>
      <c r="G1552" t="s">
        <v>9</v>
      </c>
    </row>
    <row r="1553" spans="1:7" x14ac:dyDescent="0.35">
      <c r="A1553">
        <v>607</v>
      </c>
      <c r="B1553" s="1">
        <v>45440</v>
      </c>
      <c r="C1553" t="s">
        <v>12</v>
      </c>
      <c r="D1553" s="2">
        <v>1839.35</v>
      </c>
      <c r="E1553" s="2">
        <v>0</v>
      </c>
      <c r="F1553" t="s">
        <v>13</v>
      </c>
      <c r="G1553" t="s">
        <v>9</v>
      </c>
    </row>
    <row r="1554" spans="1:7" x14ac:dyDescent="0.35">
      <c r="A1554">
        <v>607</v>
      </c>
      <c r="B1554" s="1">
        <v>45440</v>
      </c>
      <c r="C1554" t="s">
        <v>12</v>
      </c>
      <c r="D1554" s="2">
        <v>0</v>
      </c>
      <c r="E1554" s="2">
        <v>1711.03</v>
      </c>
      <c r="F1554" t="s">
        <v>14</v>
      </c>
      <c r="G1554" t="s">
        <v>15</v>
      </c>
    </row>
    <row r="1555" spans="1:7" x14ac:dyDescent="0.35">
      <c r="A1555">
        <v>607</v>
      </c>
      <c r="B1555" s="1">
        <v>45440</v>
      </c>
      <c r="C1555" t="s">
        <v>12</v>
      </c>
      <c r="D1555" s="2">
        <v>0</v>
      </c>
      <c r="E1555" s="2">
        <v>128.32</v>
      </c>
      <c r="F1555" t="s">
        <v>16</v>
      </c>
      <c r="G1555" t="s">
        <v>17</v>
      </c>
    </row>
    <row r="1556" spans="1:7" x14ac:dyDescent="0.35">
      <c r="A1556">
        <v>608</v>
      </c>
      <c r="B1556" s="1">
        <v>45440</v>
      </c>
      <c r="C1556" t="s">
        <v>24</v>
      </c>
      <c r="D1556" s="2">
        <v>700.99</v>
      </c>
      <c r="E1556" s="2">
        <v>0</v>
      </c>
      <c r="F1556" t="s">
        <v>8</v>
      </c>
      <c r="G1556" t="s">
        <v>9</v>
      </c>
    </row>
    <row r="1557" spans="1:7" x14ac:dyDescent="0.35">
      <c r="A1557">
        <v>608</v>
      </c>
      <c r="B1557" s="1">
        <v>45440</v>
      </c>
      <c r="C1557" t="s">
        <v>24</v>
      </c>
      <c r="D1557" s="2">
        <v>0</v>
      </c>
      <c r="E1557" s="2">
        <v>700.99</v>
      </c>
      <c r="F1557" t="s">
        <v>13</v>
      </c>
      <c r="G1557" t="s">
        <v>9</v>
      </c>
    </row>
    <row r="1558" spans="1:7" x14ac:dyDescent="0.35">
      <c r="A1558">
        <v>609</v>
      </c>
      <c r="B1558" s="1">
        <v>45440</v>
      </c>
      <c r="C1558" t="s">
        <v>24</v>
      </c>
      <c r="D1558" s="2">
        <v>1690.01</v>
      </c>
      <c r="E1558" s="2">
        <v>0</v>
      </c>
      <c r="F1558" t="s">
        <v>8</v>
      </c>
      <c r="G1558" t="s">
        <v>9</v>
      </c>
    </row>
    <row r="1559" spans="1:7" x14ac:dyDescent="0.35">
      <c r="A1559">
        <v>609</v>
      </c>
      <c r="B1559" s="1">
        <v>45440</v>
      </c>
      <c r="C1559" t="s">
        <v>24</v>
      </c>
      <c r="D1559" s="2">
        <v>0</v>
      </c>
      <c r="E1559" s="2">
        <v>1690.01</v>
      </c>
      <c r="F1559" t="s">
        <v>13</v>
      </c>
      <c r="G1559" t="s">
        <v>9</v>
      </c>
    </row>
    <row r="1560" spans="1:7" x14ac:dyDescent="0.35">
      <c r="A1560">
        <v>610</v>
      </c>
      <c r="B1560" s="1">
        <v>45440</v>
      </c>
      <c r="C1560" t="s">
        <v>24</v>
      </c>
      <c r="D1560" s="2">
        <v>243.6</v>
      </c>
      <c r="E1560" s="2">
        <v>0</v>
      </c>
      <c r="F1560" t="s">
        <v>8</v>
      </c>
      <c r="G1560" t="s">
        <v>9</v>
      </c>
    </row>
    <row r="1561" spans="1:7" x14ac:dyDescent="0.35">
      <c r="A1561">
        <v>610</v>
      </c>
      <c r="B1561" s="1">
        <v>45440</v>
      </c>
      <c r="C1561" t="s">
        <v>24</v>
      </c>
      <c r="D1561" s="2">
        <v>0</v>
      </c>
      <c r="E1561" s="2">
        <v>243.6</v>
      </c>
      <c r="F1561" t="s">
        <v>13</v>
      </c>
      <c r="G1561" t="s">
        <v>9</v>
      </c>
    </row>
    <row r="1562" spans="1:7" x14ac:dyDescent="0.35">
      <c r="A1562">
        <v>611</v>
      </c>
      <c r="B1562" s="1">
        <v>45440</v>
      </c>
      <c r="C1562" t="s">
        <v>25</v>
      </c>
      <c r="D1562" s="2">
        <v>512</v>
      </c>
      <c r="E1562" s="2">
        <v>0</v>
      </c>
      <c r="F1562" t="s">
        <v>26</v>
      </c>
      <c r="G1562" t="s">
        <v>20</v>
      </c>
    </row>
    <row r="1563" spans="1:7" x14ac:dyDescent="0.35">
      <c r="A1563">
        <v>611</v>
      </c>
      <c r="B1563" s="1">
        <v>45440</v>
      </c>
      <c r="C1563" t="s">
        <v>25</v>
      </c>
      <c r="D1563" s="2">
        <v>38.4</v>
      </c>
      <c r="E1563" s="2">
        <v>0</v>
      </c>
      <c r="F1563" t="s">
        <v>27</v>
      </c>
      <c r="G1563" t="s">
        <v>9</v>
      </c>
    </row>
    <row r="1564" spans="1:7" x14ac:dyDescent="0.35">
      <c r="A1564">
        <v>611</v>
      </c>
      <c r="B1564" s="1">
        <v>45440</v>
      </c>
      <c r="C1564" t="s">
        <v>25</v>
      </c>
      <c r="D1564" s="2">
        <v>0</v>
      </c>
      <c r="E1564" s="2">
        <v>550.4</v>
      </c>
      <c r="F1564" t="s">
        <v>28</v>
      </c>
      <c r="G1564" t="s">
        <v>17</v>
      </c>
    </row>
    <row r="1565" spans="1:7" x14ac:dyDescent="0.35">
      <c r="A1565">
        <v>612</v>
      </c>
      <c r="B1565" s="1">
        <v>45440</v>
      </c>
      <c r="C1565" t="s">
        <v>29</v>
      </c>
      <c r="D1565" s="2">
        <v>1766.46</v>
      </c>
      <c r="E1565" s="2">
        <v>0</v>
      </c>
      <c r="F1565" t="s">
        <v>28</v>
      </c>
      <c r="G1565" t="s">
        <v>17</v>
      </c>
    </row>
    <row r="1566" spans="1:7" x14ac:dyDescent="0.35">
      <c r="A1566">
        <v>612</v>
      </c>
      <c r="B1566" s="1">
        <v>45440</v>
      </c>
      <c r="C1566" t="s">
        <v>29</v>
      </c>
      <c r="D1566" s="2">
        <v>0</v>
      </c>
      <c r="E1566" s="2">
        <v>1766.46</v>
      </c>
      <c r="F1566" t="s">
        <v>8</v>
      </c>
      <c r="G1566" t="s">
        <v>9</v>
      </c>
    </row>
    <row r="1567" spans="1:7" x14ac:dyDescent="0.35">
      <c r="A1567">
        <v>613</v>
      </c>
      <c r="B1567" s="1">
        <v>45440</v>
      </c>
      <c r="C1567" t="s">
        <v>29</v>
      </c>
      <c r="D1567" s="2">
        <v>3528.97</v>
      </c>
      <c r="E1567" s="2">
        <v>0</v>
      </c>
      <c r="F1567" t="s">
        <v>28</v>
      </c>
      <c r="G1567" t="s">
        <v>17</v>
      </c>
    </row>
    <row r="1568" spans="1:7" x14ac:dyDescent="0.35">
      <c r="A1568">
        <v>613</v>
      </c>
      <c r="B1568" s="1">
        <v>45440</v>
      </c>
      <c r="C1568" t="s">
        <v>29</v>
      </c>
      <c r="D1568" s="2">
        <v>0</v>
      </c>
      <c r="E1568" s="2">
        <v>3528.97</v>
      </c>
      <c r="F1568" t="s">
        <v>8</v>
      </c>
      <c r="G1568" t="s">
        <v>9</v>
      </c>
    </row>
    <row r="1569" spans="1:7" x14ac:dyDescent="0.35">
      <c r="A1569">
        <v>614</v>
      </c>
      <c r="B1569" s="1">
        <v>45440</v>
      </c>
      <c r="C1569" t="s">
        <v>29</v>
      </c>
      <c r="D1569" s="2">
        <v>2635.36</v>
      </c>
      <c r="E1569" s="2">
        <v>0</v>
      </c>
      <c r="F1569" t="s">
        <v>28</v>
      </c>
      <c r="G1569" t="s">
        <v>17</v>
      </c>
    </row>
    <row r="1570" spans="1:7" x14ac:dyDescent="0.35">
      <c r="A1570">
        <v>614</v>
      </c>
      <c r="B1570" s="1">
        <v>45440</v>
      </c>
      <c r="C1570" t="s">
        <v>29</v>
      </c>
      <c r="D1570" s="2">
        <v>0</v>
      </c>
      <c r="E1570" s="2">
        <v>2635.36</v>
      </c>
      <c r="F1570" t="s">
        <v>8</v>
      </c>
      <c r="G1570" t="s">
        <v>9</v>
      </c>
    </row>
    <row r="1571" spans="1:7" x14ac:dyDescent="0.35">
      <c r="A1571">
        <v>615</v>
      </c>
      <c r="B1571" s="1">
        <v>45441</v>
      </c>
      <c r="C1571" t="s">
        <v>12</v>
      </c>
      <c r="D1571" s="2">
        <v>6731.9</v>
      </c>
      <c r="E1571" s="2">
        <v>0</v>
      </c>
      <c r="F1571" t="s">
        <v>13</v>
      </c>
      <c r="G1571" t="s">
        <v>9</v>
      </c>
    </row>
    <row r="1572" spans="1:7" x14ac:dyDescent="0.35">
      <c r="A1572">
        <v>615</v>
      </c>
      <c r="B1572" s="1">
        <v>45441</v>
      </c>
      <c r="C1572" t="s">
        <v>12</v>
      </c>
      <c r="D1572" s="2">
        <v>0</v>
      </c>
      <c r="E1572" s="2">
        <v>6262.24</v>
      </c>
      <c r="F1572" t="s">
        <v>14</v>
      </c>
      <c r="G1572" t="s">
        <v>15</v>
      </c>
    </row>
    <row r="1573" spans="1:7" x14ac:dyDescent="0.35">
      <c r="A1573">
        <v>615</v>
      </c>
      <c r="B1573" s="1">
        <v>45441</v>
      </c>
      <c r="C1573" t="s">
        <v>12</v>
      </c>
      <c r="D1573" s="2">
        <v>0</v>
      </c>
      <c r="E1573" s="2">
        <v>469.66</v>
      </c>
      <c r="F1573" t="s">
        <v>16</v>
      </c>
      <c r="G1573" t="s">
        <v>17</v>
      </c>
    </row>
    <row r="1574" spans="1:7" x14ac:dyDescent="0.35">
      <c r="A1574">
        <v>616</v>
      </c>
      <c r="B1574" s="1">
        <v>45441</v>
      </c>
      <c r="C1574" t="s">
        <v>12</v>
      </c>
      <c r="D1574" s="2">
        <v>1084.08</v>
      </c>
      <c r="E1574" s="2">
        <v>0</v>
      </c>
      <c r="F1574" t="s">
        <v>13</v>
      </c>
      <c r="G1574" t="s">
        <v>9</v>
      </c>
    </row>
    <row r="1575" spans="1:7" x14ac:dyDescent="0.35">
      <c r="A1575">
        <v>616</v>
      </c>
      <c r="B1575" s="1">
        <v>45441</v>
      </c>
      <c r="C1575" t="s">
        <v>12</v>
      </c>
      <c r="D1575" s="2">
        <v>0</v>
      </c>
      <c r="E1575" s="2">
        <v>1008.45</v>
      </c>
      <c r="F1575" t="s">
        <v>14</v>
      </c>
      <c r="G1575" t="s">
        <v>15</v>
      </c>
    </row>
    <row r="1576" spans="1:7" x14ac:dyDescent="0.35">
      <c r="A1576">
        <v>616</v>
      </c>
      <c r="B1576" s="1">
        <v>45441</v>
      </c>
      <c r="C1576" t="s">
        <v>12</v>
      </c>
      <c r="D1576" s="2">
        <v>0</v>
      </c>
      <c r="E1576" s="2">
        <v>75.63</v>
      </c>
      <c r="F1576" t="s">
        <v>16</v>
      </c>
      <c r="G1576" t="s">
        <v>17</v>
      </c>
    </row>
    <row r="1577" spans="1:7" x14ac:dyDescent="0.35">
      <c r="A1577">
        <v>617</v>
      </c>
      <c r="B1577" s="1">
        <v>45441</v>
      </c>
      <c r="C1577" t="s">
        <v>12</v>
      </c>
      <c r="D1577" s="2">
        <v>1709.78</v>
      </c>
      <c r="E1577" s="2">
        <v>0</v>
      </c>
      <c r="F1577" t="s">
        <v>13</v>
      </c>
      <c r="G1577" t="s">
        <v>9</v>
      </c>
    </row>
    <row r="1578" spans="1:7" x14ac:dyDescent="0.35">
      <c r="A1578">
        <v>617</v>
      </c>
      <c r="B1578" s="1">
        <v>45441</v>
      </c>
      <c r="C1578" t="s">
        <v>12</v>
      </c>
      <c r="D1578" s="2">
        <v>0</v>
      </c>
      <c r="E1578" s="2">
        <v>1590.49</v>
      </c>
      <c r="F1578" t="s">
        <v>14</v>
      </c>
      <c r="G1578" t="s">
        <v>15</v>
      </c>
    </row>
    <row r="1579" spans="1:7" x14ac:dyDescent="0.35">
      <c r="A1579">
        <v>617</v>
      </c>
      <c r="B1579" s="1">
        <v>45441</v>
      </c>
      <c r="C1579" t="s">
        <v>12</v>
      </c>
      <c r="D1579" s="2">
        <v>0</v>
      </c>
      <c r="E1579" s="2">
        <v>119.29</v>
      </c>
      <c r="F1579" t="s">
        <v>16</v>
      </c>
      <c r="G1579" t="s">
        <v>17</v>
      </c>
    </row>
    <row r="1580" spans="1:7" x14ac:dyDescent="0.35">
      <c r="A1580">
        <v>618</v>
      </c>
      <c r="B1580" s="1">
        <v>45441</v>
      </c>
      <c r="C1580" t="s">
        <v>12</v>
      </c>
      <c r="D1580" s="2">
        <v>1887.99</v>
      </c>
      <c r="E1580" s="2">
        <v>0</v>
      </c>
      <c r="F1580" t="s">
        <v>13</v>
      </c>
      <c r="G1580" t="s">
        <v>9</v>
      </c>
    </row>
    <row r="1581" spans="1:7" x14ac:dyDescent="0.35">
      <c r="A1581">
        <v>618</v>
      </c>
      <c r="B1581" s="1">
        <v>45441</v>
      </c>
      <c r="C1581" t="s">
        <v>12</v>
      </c>
      <c r="D1581" s="2">
        <v>0</v>
      </c>
      <c r="E1581" s="2">
        <v>1756.27</v>
      </c>
      <c r="F1581" t="s">
        <v>14</v>
      </c>
      <c r="G1581" t="s">
        <v>15</v>
      </c>
    </row>
    <row r="1582" spans="1:7" x14ac:dyDescent="0.35">
      <c r="A1582">
        <v>618</v>
      </c>
      <c r="B1582" s="1">
        <v>45441</v>
      </c>
      <c r="C1582" t="s">
        <v>12</v>
      </c>
      <c r="D1582" s="2">
        <v>0</v>
      </c>
      <c r="E1582" s="2">
        <v>131.72</v>
      </c>
      <c r="F1582" t="s">
        <v>16</v>
      </c>
      <c r="G1582" t="s">
        <v>17</v>
      </c>
    </row>
    <row r="1583" spans="1:7" x14ac:dyDescent="0.35">
      <c r="A1583">
        <v>619</v>
      </c>
      <c r="B1583" s="1">
        <v>45441</v>
      </c>
      <c r="C1583" t="s">
        <v>12</v>
      </c>
      <c r="D1583" s="2">
        <v>792.93</v>
      </c>
      <c r="E1583" s="2">
        <v>0</v>
      </c>
      <c r="F1583" t="s">
        <v>13</v>
      </c>
      <c r="G1583" t="s">
        <v>9</v>
      </c>
    </row>
    <row r="1584" spans="1:7" x14ac:dyDescent="0.35">
      <c r="A1584">
        <v>619</v>
      </c>
      <c r="B1584" s="1">
        <v>45441</v>
      </c>
      <c r="C1584" t="s">
        <v>12</v>
      </c>
      <c r="D1584" s="2">
        <v>0</v>
      </c>
      <c r="E1584" s="2">
        <v>737.61</v>
      </c>
      <c r="F1584" t="s">
        <v>14</v>
      </c>
      <c r="G1584" t="s">
        <v>15</v>
      </c>
    </row>
    <row r="1585" spans="1:7" x14ac:dyDescent="0.35">
      <c r="A1585">
        <v>619</v>
      </c>
      <c r="B1585" s="1">
        <v>45441</v>
      </c>
      <c r="C1585" t="s">
        <v>12</v>
      </c>
      <c r="D1585" s="2">
        <v>0</v>
      </c>
      <c r="E1585" s="2">
        <v>55.32</v>
      </c>
      <c r="F1585" t="s">
        <v>16</v>
      </c>
      <c r="G1585" t="s">
        <v>17</v>
      </c>
    </row>
    <row r="1586" spans="1:7" x14ac:dyDescent="0.35">
      <c r="A1586">
        <v>620</v>
      </c>
      <c r="B1586" s="1">
        <v>45441</v>
      </c>
      <c r="C1586" t="s">
        <v>24</v>
      </c>
      <c r="D1586" s="2">
        <v>87.62</v>
      </c>
      <c r="E1586" s="2">
        <v>0</v>
      </c>
      <c r="F1586" t="s">
        <v>8</v>
      </c>
      <c r="G1586" t="s">
        <v>9</v>
      </c>
    </row>
    <row r="1587" spans="1:7" x14ac:dyDescent="0.35">
      <c r="A1587">
        <v>620</v>
      </c>
      <c r="B1587" s="1">
        <v>45441</v>
      </c>
      <c r="C1587" t="s">
        <v>24</v>
      </c>
      <c r="D1587" s="2">
        <v>0</v>
      </c>
      <c r="E1587" s="2">
        <v>87.62</v>
      </c>
      <c r="F1587" t="s">
        <v>13</v>
      </c>
      <c r="G1587" t="s">
        <v>9</v>
      </c>
    </row>
    <row r="1588" spans="1:7" x14ac:dyDescent="0.35">
      <c r="A1588">
        <v>621</v>
      </c>
      <c r="B1588" s="1">
        <v>45441</v>
      </c>
      <c r="C1588" t="s">
        <v>29</v>
      </c>
      <c r="D1588" s="2">
        <v>1935.04</v>
      </c>
      <c r="E1588" s="2">
        <v>0</v>
      </c>
      <c r="F1588" t="s">
        <v>28</v>
      </c>
      <c r="G1588" t="s">
        <v>17</v>
      </c>
    </row>
    <row r="1589" spans="1:7" x14ac:dyDescent="0.35">
      <c r="A1589">
        <v>621</v>
      </c>
      <c r="B1589" s="1">
        <v>45441</v>
      </c>
      <c r="C1589" t="s">
        <v>29</v>
      </c>
      <c r="D1589" s="2">
        <v>0</v>
      </c>
      <c r="E1589" s="2">
        <v>1935.04</v>
      </c>
      <c r="F1589" t="s">
        <v>8</v>
      </c>
      <c r="G1589" t="s">
        <v>9</v>
      </c>
    </row>
    <row r="1590" spans="1:7" x14ac:dyDescent="0.35">
      <c r="A1590">
        <v>622</v>
      </c>
      <c r="B1590" s="1">
        <v>45442</v>
      </c>
      <c r="C1590" t="s">
        <v>12</v>
      </c>
      <c r="D1590" s="2">
        <v>3479.37</v>
      </c>
      <c r="E1590" s="2">
        <v>0</v>
      </c>
      <c r="F1590" t="s">
        <v>13</v>
      </c>
      <c r="G1590" t="s">
        <v>9</v>
      </c>
    </row>
    <row r="1591" spans="1:7" x14ac:dyDescent="0.35">
      <c r="A1591">
        <v>622</v>
      </c>
      <c r="B1591" s="1">
        <v>45442</v>
      </c>
      <c r="C1591" t="s">
        <v>12</v>
      </c>
      <c r="D1591" s="2">
        <v>0</v>
      </c>
      <c r="E1591" s="2">
        <v>3236.63</v>
      </c>
      <c r="F1591" t="s">
        <v>14</v>
      </c>
      <c r="G1591" t="s">
        <v>15</v>
      </c>
    </row>
    <row r="1592" spans="1:7" x14ac:dyDescent="0.35">
      <c r="A1592">
        <v>622</v>
      </c>
      <c r="B1592" s="1">
        <v>45442</v>
      </c>
      <c r="C1592" t="s">
        <v>12</v>
      </c>
      <c r="D1592" s="2">
        <v>0</v>
      </c>
      <c r="E1592" s="2">
        <v>242.74</v>
      </c>
      <c r="F1592" t="s">
        <v>16</v>
      </c>
      <c r="G1592" t="s">
        <v>17</v>
      </c>
    </row>
    <row r="1593" spans="1:7" x14ac:dyDescent="0.35">
      <c r="A1593">
        <v>623</v>
      </c>
      <c r="B1593" s="1">
        <v>45442</v>
      </c>
      <c r="C1593" t="s">
        <v>12</v>
      </c>
      <c r="D1593" s="2">
        <v>3124.78</v>
      </c>
      <c r="E1593" s="2">
        <v>0</v>
      </c>
      <c r="F1593" t="s">
        <v>13</v>
      </c>
      <c r="G1593" t="s">
        <v>9</v>
      </c>
    </row>
    <row r="1594" spans="1:7" x14ac:dyDescent="0.35">
      <c r="A1594">
        <v>623</v>
      </c>
      <c r="B1594" s="1">
        <v>45442</v>
      </c>
      <c r="C1594" t="s">
        <v>12</v>
      </c>
      <c r="D1594" s="2">
        <v>0</v>
      </c>
      <c r="E1594" s="2">
        <v>2906.77</v>
      </c>
      <c r="F1594" t="s">
        <v>14</v>
      </c>
      <c r="G1594" t="s">
        <v>15</v>
      </c>
    </row>
    <row r="1595" spans="1:7" x14ac:dyDescent="0.35">
      <c r="A1595">
        <v>623</v>
      </c>
      <c r="B1595" s="1">
        <v>45442</v>
      </c>
      <c r="C1595" t="s">
        <v>12</v>
      </c>
      <c r="D1595" s="2">
        <v>0</v>
      </c>
      <c r="E1595" s="2">
        <v>218.01</v>
      </c>
      <c r="F1595" t="s">
        <v>16</v>
      </c>
      <c r="G1595" t="s">
        <v>17</v>
      </c>
    </row>
    <row r="1596" spans="1:7" x14ac:dyDescent="0.35">
      <c r="A1596">
        <v>624</v>
      </c>
      <c r="B1596" s="1">
        <v>45442</v>
      </c>
      <c r="C1596" t="s">
        <v>12</v>
      </c>
      <c r="D1596" s="2">
        <v>1653.11</v>
      </c>
      <c r="E1596" s="2">
        <v>0</v>
      </c>
      <c r="F1596" t="s">
        <v>13</v>
      </c>
      <c r="G1596" t="s">
        <v>9</v>
      </c>
    </row>
    <row r="1597" spans="1:7" x14ac:dyDescent="0.35">
      <c r="A1597">
        <v>624</v>
      </c>
      <c r="B1597" s="1">
        <v>45442</v>
      </c>
      <c r="C1597" t="s">
        <v>12</v>
      </c>
      <c r="D1597" s="2">
        <v>0</v>
      </c>
      <c r="E1597" s="2">
        <v>1537.78</v>
      </c>
      <c r="F1597" t="s">
        <v>14</v>
      </c>
      <c r="G1597" t="s">
        <v>15</v>
      </c>
    </row>
    <row r="1598" spans="1:7" x14ac:dyDescent="0.35">
      <c r="A1598">
        <v>624</v>
      </c>
      <c r="B1598" s="1">
        <v>45442</v>
      </c>
      <c r="C1598" t="s">
        <v>12</v>
      </c>
      <c r="D1598" s="2">
        <v>0</v>
      </c>
      <c r="E1598" s="2">
        <v>115.33</v>
      </c>
      <c r="F1598" t="s">
        <v>16</v>
      </c>
      <c r="G1598" t="s">
        <v>17</v>
      </c>
    </row>
    <row r="1599" spans="1:7" x14ac:dyDescent="0.35">
      <c r="A1599">
        <v>625</v>
      </c>
      <c r="B1599" s="1">
        <v>45442</v>
      </c>
      <c r="C1599" t="s">
        <v>12</v>
      </c>
      <c r="D1599" s="2">
        <v>3054</v>
      </c>
      <c r="E1599" s="2">
        <v>0</v>
      </c>
      <c r="F1599" t="s">
        <v>13</v>
      </c>
      <c r="G1599" t="s">
        <v>9</v>
      </c>
    </row>
    <row r="1600" spans="1:7" x14ac:dyDescent="0.35">
      <c r="A1600">
        <v>625</v>
      </c>
      <c r="B1600" s="1">
        <v>45442</v>
      </c>
      <c r="C1600" t="s">
        <v>12</v>
      </c>
      <c r="D1600" s="2">
        <v>0</v>
      </c>
      <c r="E1600" s="2">
        <v>2840.93</v>
      </c>
      <c r="F1600" t="s">
        <v>14</v>
      </c>
      <c r="G1600" t="s">
        <v>15</v>
      </c>
    </row>
    <row r="1601" spans="1:7" x14ac:dyDescent="0.35">
      <c r="A1601">
        <v>625</v>
      </c>
      <c r="B1601" s="1">
        <v>45442</v>
      </c>
      <c r="C1601" t="s">
        <v>12</v>
      </c>
      <c r="D1601" s="2">
        <v>0</v>
      </c>
      <c r="E1601" s="2">
        <v>213.07</v>
      </c>
      <c r="F1601" t="s">
        <v>16</v>
      </c>
      <c r="G1601" t="s">
        <v>17</v>
      </c>
    </row>
    <row r="1602" spans="1:7" x14ac:dyDescent="0.35">
      <c r="A1602">
        <v>626</v>
      </c>
      <c r="B1602" s="1">
        <v>45442</v>
      </c>
      <c r="C1602" t="s">
        <v>24</v>
      </c>
      <c r="D1602" s="2">
        <v>5040.24</v>
      </c>
      <c r="E1602" s="2">
        <v>0</v>
      </c>
      <c r="F1602" t="s">
        <v>8</v>
      </c>
      <c r="G1602" t="s">
        <v>9</v>
      </c>
    </row>
    <row r="1603" spans="1:7" x14ac:dyDescent="0.35">
      <c r="A1603">
        <v>626</v>
      </c>
      <c r="B1603" s="1">
        <v>45442</v>
      </c>
      <c r="C1603" t="s">
        <v>24</v>
      </c>
      <c r="D1603" s="2">
        <v>0</v>
      </c>
      <c r="E1603" s="2">
        <v>5040.24</v>
      </c>
      <c r="F1603" t="s">
        <v>13</v>
      </c>
      <c r="G1603" t="s">
        <v>9</v>
      </c>
    </row>
    <row r="1604" spans="1:7" x14ac:dyDescent="0.35">
      <c r="A1604">
        <v>627</v>
      </c>
      <c r="B1604" s="1">
        <v>45442</v>
      </c>
      <c r="C1604" t="s">
        <v>24</v>
      </c>
      <c r="D1604" s="2">
        <v>6731.9</v>
      </c>
      <c r="E1604" s="2">
        <v>0</v>
      </c>
      <c r="F1604" t="s">
        <v>8</v>
      </c>
      <c r="G1604" t="s">
        <v>9</v>
      </c>
    </row>
    <row r="1605" spans="1:7" x14ac:dyDescent="0.35">
      <c r="A1605">
        <v>627</v>
      </c>
      <c r="B1605" s="1">
        <v>45442</v>
      </c>
      <c r="C1605" t="s">
        <v>24</v>
      </c>
      <c r="D1605" s="2">
        <v>0</v>
      </c>
      <c r="E1605" s="2">
        <v>6731.9</v>
      </c>
      <c r="F1605" t="s">
        <v>13</v>
      </c>
      <c r="G1605" t="s">
        <v>9</v>
      </c>
    </row>
    <row r="1606" spans="1:7" x14ac:dyDescent="0.35">
      <c r="A1606">
        <v>628</v>
      </c>
      <c r="B1606" s="1">
        <v>45442</v>
      </c>
      <c r="C1606" t="s">
        <v>29</v>
      </c>
      <c r="D1606" s="2">
        <v>201.5</v>
      </c>
      <c r="E1606" s="2">
        <v>0</v>
      </c>
      <c r="F1606" t="s">
        <v>28</v>
      </c>
      <c r="G1606" t="s">
        <v>17</v>
      </c>
    </row>
    <row r="1607" spans="1:7" x14ac:dyDescent="0.35">
      <c r="A1607">
        <v>628</v>
      </c>
      <c r="B1607" s="1">
        <v>45442</v>
      </c>
      <c r="C1607" t="s">
        <v>29</v>
      </c>
      <c r="D1607" s="2">
        <v>0</v>
      </c>
      <c r="E1607" s="2">
        <v>201.5</v>
      </c>
      <c r="F1607" t="s">
        <v>8</v>
      </c>
      <c r="G1607" t="s">
        <v>9</v>
      </c>
    </row>
    <row r="1608" spans="1:7" x14ac:dyDescent="0.35">
      <c r="A1608">
        <v>629</v>
      </c>
      <c r="B1608" s="1">
        <v>45442</v>
      </c>
      <c r="C1608" t="s">
        <v>29</v>
      </c>
      <c r="D1608" s="2">
        <v>4812.46</v>
      </c>
      <c r="E1608" s="2">
        <v>0</v>
      </c>
      <c r="F1608" t="s">
        <v>28</v>
      </c>
      <c r="G1608" t="s">
        <v>17</v>
      </c>
    </row>
    <row r="1609" spans="1:7" x14ac:dyDescent="0.35">
      <c r="A1609">
        <v>629</v>
      </c>
      <c r="B1609" s="1">
        <v>45442</v>
      </c>
      <c r="C1609" t="s">
        <v>29</v>
      </c>
      <c r="D1609" s="2">
        <v>0</v>
      </c>
      <c r="E1609" s="2">
        <v>4812.46</v>
      </c>
      <c r="F1609" t="s">
        <v>8</v>
      </c>
      <c r="G1609" t="s">
        <v>9</v>
      </c>
    </row>
    <row r="1610" spans="1:7" x14ac:dyDescent="0.35">
      <c r="A1610">
        <v>630</v>
      </c>
      <c r="B1610" s="1">
        <v>45443</v>
      </c>
      <c r="C1610" t="s">
        <v>12</v>
      </c>
      <c r="D1610" s="2">
        <v>1824.5</v>
      </c>
      <c r="E1610" s="2">
        <v>0</v>
      </c>
      <c r="F1610" t="s">
        <v>13</v>
      </c>
      <c r="G1610" t="s">
        <v>9</v>
      </c>
    </row>
    <row r="1611" spans="1:7" x14ac:dyDescent="0.35">
      <c r="A1611">
        <v>630</v>
      </c>
      <c r="B1611" s="1">
        <v>45443</v>
      </c>
      <c r="C1611" t="s">
        <v>12</v>
      </c>
      <c r="D1611" s="2">
        <v>0</v>
      </c>
      <c r="E1611" s="2">
        <v>1697.21</v>
      </c>
      <c r="F1611" t="s">
        <v>14</v>
      </c>
      <c r="G1611" t="s">
        <v>15</v>
      </c>
    </row>
    <row r="1612" spans="1:7" x14ac:dyDescent="0.35">
      <c r="A1612">
        <v>630</v>
      </c>
      <c r="B1612" s="1">
        <v>45443</v>
      </c>
      <c r="C1612" t="s">
        <v>12</v>
      </c>
      <c r="D1612" s="2">
        <v>0</v>
      </c>
      <c r="E1612" s="2">
        <v>127.29</v>
      </c>
      <c r="F1612" t="s">
        <v>16</v>
      </c>
      <c r="G1612" t="s">
        <v>17</v>
      </c>
    </row>
    <row r="1613" spans="1:7" x14ac:dyDescent="0.35">
      <c r="A1613">
        <v>631</v>
      </c>
      <c r="B1613" s="1">
        <v>45443</v>
      </c>
      <c r="C1613" t="s">
        <v>12</v>
      </c>
      <c r="D1613" s="2">
        <v>2745.58</v>
      </c>
      <c r="E1613" s="2">
        <v>0</v>
      </c>
      <c r="F1613" t="s">
        <v>13</v>
      </c>
      <c r="G1613" t="s">
        <v>9</v>
      </c>
    </row>
    <row r="1614" spans="1:7" x14ac:dyDescent="0.35">
      <c r="A1614">
        <v>631</v>
      </c>
      <c r="B1614" s="1">
        <v>45443</v>
      </c>
      <c r="C1614" t="s">
        <v>12</v>
      </c>
      <c r="D1614" s="2">
        <v>0</v>
      </c>
      <c r="E1614" s="2">
        <v>2554.0300000000002</v>
      </c>
      <c r="F1614" t="s">
        <v>14</v>
      </c>
      <c r="G1614" t="s">
        <v>15</v>
      </c>
    </row>
    <row r="1615" spans="1:7" x14ac:dyDescent="0.35">
      <c r="A1615">
        <v>631</v>
      </c>
      <c r="B1615" s="1">
        <v>45443</v>
      </c>
      <c r="C1615" t="s">
        <v>12</v>
      </c>
      <c r="D1615" s="2">
        <v>0</v>
      </c>
      <c r="E1615" s="2">
        <v>191.55</v>
      </c>
      <c r="F1615" t="s">
        <v>16</v>
      </c>
      <c r="G1615" t="s">
        <v>17</v>
      </c>
    </row>
    <row r="1616" spans="1:7" x14ac:dyDescent="0.35">
      <c r="A1616">
        <v>632</v>
      </c>
      <c r="B1616" s="1">
        <v>45443</v>
      </c>
      <c r="C1616" t="s">
        <v>12</v>
      </c>
      <c r="D1616" s="2">
        <v>5436.99</v>
      </c>
      <c r="E1616" s="2">
        <v>0</v>
      </c>
      <c r="F1616" t="s">
        <v>13</v>
      </c>
      <c r="G1616" t="s">
        <v>9</v>
      </c>
    </row>
    <row r="1617" spans="1:7" x14ac:dyDescent="0.35">
      <c r="A1617">
        <v>632</v>
      </c>
      <c r="B1617" s="1">
        <v>45443</v>
      </c>
      <c r="C1617" t="s">
        <v>12</v>
      </c>
      <c r="D1617" s="2">
        <v>0</v>
      </c>
      <c r="E1617" s="2">
        <v>5057.67</v>
      </c>
      <c r="F1617" t="s">
        <v>14</v>
      </c>
      <c r="G1617" t="s">
        <v>15</v>
      </c>
    </row>
    <row r="1618" spans="1:7" x14ac:dyDescent="0.35">
      <c r="A1618">
        <v>632</v>
      </c>
      <c r="B1618" s="1">
        <v>45443</v>
      </c>
      <c r="C1618" t="s">
        <v>12</v>
      </c>
      <c r="D1618" s="2">
        <v>0</v>
      </c>
      <c r="E1618" s="2">
        <v>379.32</v>
      </c>
      <c r="F1618" t="s">
        <v>16</v>
      </c>
      <c r="G1618" t="s">
        <v>17</v>
      </c>
    </row>
    <row r="1619" spans="1:7" x14ac:dyDescent="0.35">
      <c r="A1619">
        <v>633</v>
      </c>
      <c r="B1619" s="1">
        <v>45443</v>
      </c>
      <c r="C1619" t="s">
        <v>12</v>
      </c>
      <c r="D1619" s="2">
        <v>3151.64</v>
      </c>
      <c r="E1619" s="2">
        <v>0</v>
      </c>
      <c r="F1619" t="s">
        <v>13</v>
      </c>
      <c r="G1619" t="s">
        <v>9</v>
      </c>
    </row>
    <row r="1620" spans="1:7" x14ac:dyDescent="0.35">
      <c r="A1620">
        <v>633</v>
      </c>
      <c r="B1620" s="1">
        <v>45443</v>
      </c>
      <c r="C1620" t="s">
        <v>12</v>
      </c>
      <c r="D1620" s="2">
        <v>0</v>
      </c>
      <c r="E1620" s="2">
        <v>2931.75</v>
      </c>
      <c r="F1620" t="s">
        <v>14</v>
      </c>
      <c r="G1620" t="s">
        <v>15</v>
      </c>
    </row>
    <row r="1621" spans="1:7" x14ac:dyDescent="0.35">
      <c r="A1621">
        <v>633</v>
      </c>
      <c r="B1621" s="1">
        <v>45443</v>
      </c>
      <c r="C1621" t="s">
        <v>12</v>
      </c>
      <c r="D1621" s="2">
        <v>0</v>
      </c>
      <c r="E1621" s="2">
        <v>219.89</v>
      </c>
      <c r="F1621" t="s">
        <v>16</v>
      </c>
      <c r="G1621" t="s">
        <v>17</v>
      </c>
    </row>
    <row r="1622" spans="1:7" x14ac:dyDescent="0.35">
      <c r="A1622">
        <v>634</v>
      </c>
      <c r="B1622" s="1">
        <v>45443</v>
      </c>
      <c r="C1622" t="s">
        <v>12</v>
      </c>
      <c r="D1622" s="2">
        <v>2259.61</v>
      </c>
      <c r="E1622" s="2">
        <v>0</v>
      </c>
      <c r="F1622" t="s">
        <v>13</v>
      </c>
      <c r="G1622" t="s">
        <v>9</v>
      </c>
    </row>
    <row r="1623" spans="1:7" x14ac:dyDescent="0.35">
      <c r="A1623">
        <v>634</v>
      </c>
      <c r="B1623" s="1">
        <v>45443</v>
      </c>
      <c r="C1623" t="s">
        <v>12</v>
      </c>
      <c r="D1623" s="2">
        <v>0</v>
      </c>
      <c r="E1623" s="2">
        <v>2101.9699999999998</v>
      </c>
      <c r="F1623" t="s">
        <v>14</v>
      </c>
      <c r="G1623" t="s">
        <v>15</v>
      </c>
    </row>
    <row r="1624" spans="1:7" x14ac:dyDescent="0.35">
      <c r="A1624">
        <v>634</v>
      </c>
      <c r="B1624" s="1">
        <v>45443</v>
      </c>
      <c r="C1624" t="s">
        <v>12</v>
      </c>
      <c r="D1624" s="2">
        <v>0</v>
      </c>
      <c r="E1624" s="2">
        <v>157.63999999999999</v>
      </c>
      <c r="F1624" t="s">
        <v>16</v>
      </c>
      <c r="G1624" t="s">
        <v>17</v>
      </c>
    </row>
    <row r="1625" spans="1:7" x14ac:dyDescent="0.35">
      <c r="A1625">
        <v>635</v>
      </c>
      <c r="B1625" s="1">
        <v>45443</v>
      </c>
      <c r="C1625" t="s">
        <v>24</v>
      </c>
      <c r="D1625" s="2">
        <v>3299.92</v>
      </c>
      <c r="E1625" s="2">
        <v>0</v>
      </c>
      <c r="F1625" t="s">
        <v>8</v>
      </c>
      <c r="G1625" t="s">
        <v>9</v>
      </c>
    </row>
    <row r="1626" spans="1:7" x14ac:dyDescent="0.35">
      <c r="A1626">
        <v>635</v>
      </c>
      <c r="B1626" s="1">
        <v>45443</v>
      </c>
      <c r="C1626" t="s">
        <v>24</v>
      </c>
      <c r="D1626" s="2">
        <v>0</v>
      </c>
      <c r="E1626" s="2">
        <v>3299.92</v>
      </c>
      <c r="F1626" t="s">
        <v>13</v>
      </c>
      <c r="G1626" t="s">
        <v>9</v>
      </c>
    </row>
    <row r="1627" spans="1:7" x14ac:dyDescent="0.35">
      <c r="A1627">
        <v>636</v>
      </c>
      <c r="B1627" s="1">
        <v>45443</v>
      </c>
      <c r="C1627" t="s">
        <v>24</v>
      </c>
      <c r="D1627" s="2">
        <v>5244.58</v>
      </c>
      <c r="E1627" s="2">
        <v>0</v>
      </c>
      <c r="F1627" t="s">
        <v>8</v>
      </c>
      <c r="G1627" t="s">
        <v>9</v>
      </c>
    </row>
    <row r="1628" spans="1:7" x14ac:dyDescent="0.35">
      <c r="A1628">
        <v>636</v>
      </c>
      <c r="B1628" s="1">
        <v>45443</v>
      </c>
      <c r="C1628" t="s">
        <v>24</v>
      </c>
      <c r="D1628" s="2">
        <v>0</v>
      </c>
      <c r="E1628" s="2">
        <v>5244.58</v>
      </c>
      <c r="F1628" t="s">
        <v>13</v>
      </c>
      <c r="G1628" t="s">
        <v>9</v>
      </c>
    </row>
    <row r="1629" spans="1:7" x14ac:dyDescent="0.35">
      <c r="A1629">
        <v>637</v>
      </c>
      <c r="B1629" s="1">
        <v>45443</v>
      </c>
      <c r="C1629" t="s">
        <v>24</v>
      </c>
      <c r="D1629" s="2">
        <v>286.17</v>
      </c>
      <c r="E1629" s="2">
        <v>0</v>
      </c>
      <c r="F1629" t="s">
        <v>8</v>
      </c>
      <c r="G1629" t="s">
        <v>9</v>
      </c>
    </row>
    <row r="1630" spans="1:7" x14ac:dyDescent="0.35">
      <c r="A1630">
        <v>637</v>
      </c>
      <c r="B1630" s="1">
        <v>45443</v>
      </c>
      <c r="C1630" t="s">
        <v>24</v>
      </c>
      <c r="D1630" s="2">
        <v>0</v>
      </c>
      <c r="E1630" s="2">
        <v>286.17</v>
      </c>
      <c r="F1630" t="s">
        <v>13</v>
      </c>
      <c r="G1630" t="s">
        <v>9</v>
      </c>
    </row>
    <row r="1631" spans="1:7" x14ac:dyDescent="0.35">
      <c r="A1631">
        <v>638</v>
      </c>
      <c r="B1631" s="1">
        <v>45443</v>
      </c>
      <c r="C1631" t="s">
        <v>24</v>
      </c>
      <c r="D1631" s="2">
        <v>3138.18</v>
      </c>
      <c r="E1631" s="2">
        <v>0</v>
      </c>
      <c r="F1631" t="s">
        <v>8</v>
      </c>
      <c r="G1631" t="s">
        <v>9</v>
      </c>
    </row>
    <row r="1632" spans="1:7" x14ac:dyDescent="0.35">
      <c r="A1632">
        <v>638</v>
      </c>
      <c r="B1632" s="1">
        <v>45443</v>
      </c>
      <c r="C1632" t="s">
        <v>24</v>
      </c>
      <c r="D1632" s="2">
        <v>0</v>
      </c>
      <c r="E1632" s="2">
        <v>3138.18</v>
      </c>
      <c r="F1632" t="s">
        <v>13</v>
      </c>
      <c r="G1632" t="s">
        <v>9</v>
      </c>
    </row>
    <row r="1633" spans="1:7" x14ac:dyDescent="0.35">
      <c r="A1633">
        <v>639</v>
      </c>
      <c r="B1633" s="1">
        <v>45443</v>
      </c>
      <c r="C1633" t="s">
        <v>24</v>
      </c>
      <c r="D1633" s="2">
        <v>448.24</v>
      </c>
      <c r="E1633" s="2">
        <v>0</v>
      </c>
      <c r="F1633" t="s">
        <v>8</v>
      </c>
      <c r="G1633" t="s">
        <v>9</v>
      </c>
    </row>
    <row r="1634" spans="1:7" x14ac:dyDescent="0.35">
      <c r="A1634">
        <v>639</v>
      </c>
      <c r="B1634" s="1">
        <v>45443</v>
      </c>
      <c r="C1634" t="s">
        <v>24</v>
      </c>
      <c r="D1634" s="2">
        <v>0</v>
      </c>
      <c r="E1634" s="2">
        <v>448.24</v>
      </c>
      <c r="F1634" t="s">
        <v>13</v>
      </c>
      <c r="G1634" t="s">
        <v>9</v>
      </c>
    </row>
    <row r="1635" spans="1:7" x14ac:dyDescent="0.35">
      <c r="A1635">
        <v>640</v>
      </c>
      <c r="B1635" s="1">
        <v>45443</v>
      </c>
      <c r="C1635" t="s">
        <v>25</v>
      </c>
      <c r="D1635" s="2">
        <v>1643.22</v>
      </c>
      <c r="E1635" s="2">
        <v>0</v>
      </c>
      <c r="F1635" t="s">
        <v>26</v>
      </c>
      <c r="G1635" t="s">
        <v>20</v>
      </c>
    </row>
    <row r="1636" spans="1:7" x14ac:dyDescent="0.35">
      <c r="A1636">
        <v>640</v>
      </c>
      <c r="B1636" s="1">
        <v>45443</v>
      </c>
      <c r="C1636" t="s">
        <v>25</v>
      </c>
      <c r="D1636" s="2">
        <v>123.24</v>
      </c>
      <c r="E1636" s="2">
        <v>0</v>
      </c>
      <c r="F1636" t="s">
        <v>27</v>
      </c>
      <c r="G1636" t="s">
        <v>9</v>
      </c>
    </row>
    <row r="1637" spans="1:7" x14ac:dyDescent="0.35">
      <c r="A1637">
        <v>640</v>
      </c>
      <c r="B1637" s="1">
        <v>45443</v>
      </c>
      <c r="C1637" t="s">
        <v>25</v>
      </c>
      <c r="D1637" s="2">
        <v>0</v>
      </c>
      <c r="E1637" s="2">
        <v>1766.46</v>
      </c>
      <c r="F1637" t="s">
        <v>28</v>
      </c>
      <c r="G1637" t="s">
        <v>17</v>
      </c>
    </row>
    <row r="1638" spans="1:7" x14ac:dyDescent="0.35">
      <c r="A1638">
        <v>641</v>
      </c>
      <c r="B1638" s="1">
        <v>45443</v>
      </c>
      <c r="C1638" t="s">
        <v>29</v>
      </c>
      <c r="D1638" s="2">
        <v>1591.54</v>
      </c>
      <c r="E1638" s="2">
        <v>0</v>
      </c>
      <c r="F1638" t="s">
        <v>28</v>
      </c>
      <c r="G1638" t="s">
        <v>17</v>
      </c>
    </row>
    <row r="1639" spans="1:7" x14ac:dyDescent="0.35">
      <c r="A1639">
        <v>641</v>
      </c>
      <c r="B1639" s="1">
        <v>45443</v>
      </c>
      <c r="C1639" t="s">
        <v>29</v>
      </c>
      <c r="D1639" s="2">
        <v>0</v>
      </c>
      <c r="E1639" s="2">
        <v>1591.54</v>
      </c>
      <c r="F1639" t="s">
        <v>8</v>
      </c>
      <c r="G1639" t="s">
        <v>9</v>
      </c>
    </row>
    <row r="1640" spans="1:7" x14ac:dyDescent="0.35">
      <c r="A1640">
        <v>642</v>
      </c>
      <c r="B1640" s="1">
        <v>45443</v>
      </c>
      <c r="C1640" t="s">
        <v>30</v>
      </c>
      <c r="D1640" s="2">
        <v>93.61</v>
      </c>
      <c r="E1640" s="2">
        <v>0</v>
      </c>
      <c r="F1640" t="s">
        <v>31</v>
      </c>
      <c r="G1640" t="s">
        <v>20</v>
      </c>
    </row>
    <row r="1641" spans="1:7" x14ac:dyDescent="0.35">
      <c r="A1641">
        <v>642</v>
      </c>
      <c r="B1641" s="1">
        <v>45443</v>
      </c>
      <c r="C1641" t="s">
        <v>30</v>
      </c>
      <c r="D1641" s="2">
        <v>0</v>
      </c>
      <c r="E1641" s="2">
        <v>93.61</v>
      </c>
      <c r="F1641" t="s">
        <v>32</v>
      </c>
      <c r="G1641" t="s">
        <v>9</v>
      </c>
    </row>
    <row r="1642" spans="1:7" x14ac:dyDescent="0.35">
      <c r="A1642">
        <v>643</v>
      </c>
      <c r="B1642" s="1">
        <v>45443</v>
      </c>
      <c r="C1642" t="s">
        <v>33</v>
      </c>
      <c r="D1642" s="2">
        <v>76.86</v>
      </c>
      <c r="E1642" s="2">
        <v>0</v>
      </c>
      <c r="F1642" t="s">
        <v>31</v>
      </c>
      <c r="G1642" t="s">
        <v>20</v>
      </c>
    </row>
    <row r="1643" spans="1:7" x14ac:dyDescent="0.35">
      <c r="A1643">
        <v>643</v>
      </c>
      <c r="B1643" s="1">
        <v>45443</v>
      </c>
      <c r="C1643" t="s">
        <v>33</v>
      </c>
      <c r="D1643" s="2">
        <v>0</v>
      </c>
      <c r="E1643" s="2">
        <v>76.86</v>
      </c>
      <c r="F1643" t="s">
        <v>32</v>
      </c>
      <c r="G1643" t="s">
        <v>9</v>
      </c>
    </row>
    <row r="1644" spans="1:7" x14ac:dyDescent="0.35">
      <c r="A1644">
        <v>644</v>
      </c>
      <c r="B1644" s="1">
        <v>45443</v>
      </c>
      <c r="C1644" t="s">
        <v>34</v>
      </c>
      <c r="D1644" s="2">
        <v>20.03</v>
      </c>
      <c r="E1644" s="2">
        <v>0</v>
      </c>
      <c r="F1644" t="s">
        <v>31</v>
      </c>
      <c r="G1644" t="s">
        <v>20</v>
      </c>
    </row>
    <row r="1645" spans="1:7" x14ac:dyDescent="0.35">
      <c r="A1645">
        <v>644</v>
      </c>
      <c r="B1645" s="1">
        <v>45443</v>
      </c>
      <c r="C1645" t="s">
        <v>34</v>
      </c>
      <c r="D1645" s="2">
        <v>0</v>
      </c>
      <c r="E1645" s="2">
        <v>20.03</v>
      </c>
      <c r="F1645" t="s">
        <v>32</v>
      </c>
      <c r="G1645" t="s">
        <v>9</v>
      </c>
    </row>
    <row r="1646" spans="1:7" x14ac:dyDescent="0.35">
      <c r="A1646">
        <v>645</v>
      </c>
      <c r="B1646" s="1">
        <v>45443</v>
      </c>
      <c r="C1646" t="s">
        <v>35</v>
      </c>
      <c r="D1646" s="2">
        <v>86.89</v>
      </c>
      <c r="E1646" s="2">
        <v>0</v>
      </c>
      <c r="F1646" t="s">
        <v>31</v>
      </c>
      <c r="G1646" t="s">
        <v>20</v>
      </c>
    </row>
    <row r="1647" spans="1:7" x14ac:dyDescent="0.35">
      <c r="A1647">
        <v>645</v>
      </c>
      <c r="B1647" s="1">
        <v>45443</v>
      </c>
      <c r="C1647" t="s">
        <v>35</v>
      </c>
      <c r="D1647" s="2">
        <v>0</v>
      </c>
      <c r="E1647" s="2">
        <v>86.89</v>
      </c>
      <c r="F1647" t="s">
        <v>36</v>
      </c>
      <c r="G1647" t="s">
        <v>9</v>
      </c>
    </row>
    <row r="1648" spans="1:7" x14ac:dyDescent="0.35">
      <c r="A1648">
        <v>646</v>
      </c>
      <c r="B1648" s="1">
        <v>45443</v>
      </c>
      <c r="C1648" t="s">
        <v>37</v>
      </c>
      <c r="D1648" s="2">
        <v>76.8</v>
      </c>
      <c r="E1648" s="2">
        <v>0</v>
      </c>
      <c r="F1648" t="s">
        <v>31</v>
      </c>
      <c r="G1648" t="s">
        <v>20</v>
      </c>
    </row>
    <row r="1649" spans="1:7" x14ac:dyDescent="0.35">
      <c r="A1649">
        <v>646</v>
      </c>
      <c r="B1649" s="1">
        <v>45443</v>
      </c>
      <c r="C1649" t="s">
        <v>37</v>
      </c>
      <c r="D1649" s="2">
        <v>0</v>
      </c>
      <c r="E1649" s="2">
        <v>76.8</v>
      </c>
      <c r="F1649" t="s">
        <v>36</v>
      </c>
      <c r="G1649" t="s">
        <v>9</v>
      </c>
    </row>
    <row r="1650" spans="1:7" x14ac:dyDescent="0.35">
      <c r="A1650">
        <v>647</v>
      </c>
      <c r="B1650" s="1">
        <v>45443</v>
      </c>
      <c r="C1650" t="s">
        <v>38</v>
      </c>
      <c r="D1650" s="2">
        <v>48.28</v>
      </c>
      <c r="E1650" s="2">
        <v>0</v>
      </c>
      <c r="F1650" t="s">
        <v>31</v>
      </c>
      <c r="G1650" t="s">
        <v>20</v>
      </c>
    </row>
    <row r="1651" spans="1:7" x14ac:dyDescent="0.35">
      <c r="A1651">
        <v>647</v>
      </c>
      <c r="B1651" s="1">
        <v>45443</v>
      </c>
      <c r="C1651" t="s">
        <v>38</v>
      </c>
      <c r="D1651" s="2">
        <v>0</v>
      </c>
      <c r="E1651" s="2">
        <v>48.28</v>
      </c>
      <c r="F1651" t="s">
        <v>36</v>
      </c>
      <c r="G1651" t="s">
        <v>9</v>
      </c>
    </row>
    <row r="1652" spans="1:7" x14ac:dyDescent="0.35">
      <c r="A1652">
        <v>648</v>
      </c>
      <c r="B1652" s="1">
        <v>45443</v>
      </c>
      <c r="C1652" t="s">
        <v>39</v>
      </c>
      <c r="D1652" s="2">
        <v>53.21</v>
      </c>
      <c r="E1652" s="2">
        <v>0</v>
      </c>
      <c r="F1652" t="s">
        <v>31</v>
      </c>
      <c r="G1652" t="s">
        <v>20</v>
      </c>
    </row>
    <row r="1653" spans="1:7" x14ac:dyDescent="0.35">
      <c r="A1653">
        <v>648</v>
      </c>
      <c r="B1653" s="1">
        <v>45443</v>
      </c>
      <c r="C1653" t="s">
        <v>39</v>
      </c>
      <c r="D1653" s="2">
        <v>0</v>
      </c>
      <c r="E1653" s="2">
        <v>53.21</v>
      </c>
      <c r="F1653" t="s">
        <v>36</v>
      </c>
      <c r="G1653" t="s">
        <v>9</v>
      </c>
    </row>
    <row r="1654" spans="1:7" x14ac:dyDescent="0.35">
      <c r="A1654">
        <v>649</v>
      </c>
      <c r="B1654" s="1">
        <v>45443</v>
      </c>
      <c r="C1654" t="s">
        <v>40</v>
      </c>
      <c r="D1654" s="2">
        <v>232.19</v>
      </c>
      <c r="E1654" s="2">
        <v>0</v>
      </c>
      <c r="F1654" t="s">
        <v>31</v>
      </c>
      <c r="G1654" t="s">
        <v>20</v>
      </c>
    </row>
    <row r="1655" spans="1:7" x14ac:dyDescent="0.35">
      <c r="A1655">
        <v>649</v>
      </c>
      <c r="B1655" s="1">
        <v>45443</v>
      </c>
      <c r="C1655" t="s">
        <v>40</v>
      </c>
      <c r="D1655" s="2">
        <v>0</v>
      </c>
      <c r="E1655" s="2">
        <v>232.19</v>
      </c>
      <c r="F1655" t="s">
        <v>41</v>
      </c>
      <c r="G1655" t="s">
        <v>9</v>
      </c>
    </row>
    <row r="1656" spans="1:7" x14ac:dyDescent="0.35">
      <c r="A1656">
        <v>650</v>
      </c>
      <c r="B1656" s="1">
        <v>45443</v>
      </c>
      <c r="C1656" t="s">
        <v>42</v>
      </c>
      <c r="D1656" s="2">
        <v>43.85</v>
      </c>
      <c r="E1656" s="2">
        <v>0</v>
      </c>
      <c r="F1656" t="s">
        <v>31</v>
      </c>
      <c r="G1656" t="s">
        <v>20</v>
      </c>
    </row>
    <row r="1657" spans="1:7" x14ac:dyDescent="0.35">
      <c r="A1657">
        <v>650</v>
      </c>
      <c r="B1657" s="1">
        <v>45443</v>
      </c>
      <c r="C1657" t="s">
        <v>42</v>
      </c>
      <c r="D1657" s="2">
        <v>0</v>
      </c>
      <c r="E1657" s="2">
        <v>43.85</v>
      </c>
      <c r="F1657" t="s">
        <v>32</v>
      </c>
      <c r="G1657" t="s">
        <v>9</v>
      </c>
    </row>
    <row r="1658" spans="1:7" x14ac:dyDescent="0.35">
      <c r="A1658">
        <v>651</v>
      </c>
      <c r="B1658" s="1">
        <v>45446</v>
      </c>
      <c r="C1658" t="s">
        <v>12</v>
      </c>
      <c r="D1658" s="2">
        <v>1456.37</v>
      </c>
      <c r="E1658" s="2">
        <v>0</v>
      </c>
      <c r="F1658" t="s">
        <v>13</v>
      </c>
      <c r="G1658" t="s">
        <v>9</v>
      </c>
    </row>
    <row r="1659" spans="1:7" x14ac:dyDescent="0.35">
      <c r="A1659">
        <v>651</v>
      </c>
      <c r="B1659" s="1">
        <v>45446</v>
      </c>
      <c r="C1659" t="s">
        <v>12</v>
      </c>
      <c r="D1659" s="2">
        <v>0</v>
      </c>
      <c r="E1659" s="2">
        <v>1354.75</v>
      </c>
      <c r="F1659" t="s">
        <v>14</v>
      </c>
      <c r="G1659" t="s">
        <v>15</v>
      </c>
    </row>
    <row r="1660" spans="1:7" x14ac:dyDescent="0.35">
      <c r="A1660">
        <v>651</v>
      </c>
      <c r="B1660" s="1">
        <v>45446</v>
      </c>
      <c r="C1660" t="s">
        <v>12</v>
      </c>
      <c r="D1660" s="2">
        <v>0</v>
      </c>
      <c r="E1660" s="2">
        <v>101.62</v>
      </c>
      <c r="F1660" t="s">
        <v>16</v>
      </c>
      <c r="G1660" t="s">
        <v>17</v>
      </c>
    </row>
    <row r="1661" spans="1:7" x14ac:dyDescent="0.35">
      <c r="A1661">
        <v>652</v>
      </c>
      <c r="B1661" s="1">
        <v>45446</v>
      </c>
      <c r="C1661" t="s">
        <v>12</v>
      </c>
      <c r="D1661" s="2">
        <v>2075.19</v>
      </c>
      <c r="E1661" s="2">
        <v>0</v>
      </c>
      <c r="F1661" t="s">
        <v>13</v>
      </c>
      <c r="G1661" t="s">
        <v>9</v>
      </c>
    </row>
    <row r="1662" spans="1:7" x14ac:dyDescent="0.35">
      <c r="A1662">
        <v>652</v>
      </c>
      <c r="B1662" s="1">
        <v>45446</v>
      </c>
      <c r="C1662" t="s">
        <v>12</v>
      </c>
      <c r="D1662" s="2">
        <v>0</v>
      </c>
      <c r="E1662" s="2">
        <v>1930.41</v>
      </c>
      <c r="F1662" t="s">
        <v>14</v>
      </c>
      <c r="G1662" t="s">
        <v>15</v>
      </c>
    </row>
    <row r="1663" spans="1:7" x14ac:dyDescent="0.35">
      <c r="A1663">
        <v>652</v>
      </c>
      <c r="B1663" s="1">
        <v>45446</v>
      </c>
      <c r="C1663" t="s">
        <v>12</v>
      </c>
      <c r="D1663" s="2">
        <v>0</v>
      </c>
      <c r="E1663" s="2">
        <v>144.78</v>
      </c>
      <c r="F1663" t="s">
        <v>16</v>
      </c>
      <c r="G1663" t="s">
        <v>17</v>
      </c>
    </row>
    <row r="1664" spans="1:7" x14ac:dyDescent="0.35">
      <c r="A1664">
        <v>653</v>
      </c>
      <c r="B1664" s="1">
        <v>45446</v>
      </c>
      <c r="C1664" t="s">
        <v>12</v>
      </c>
      <c r="D1664" s="2">
        <v>2284.67</v>
      </c>
      <c r="E1664" s="2">
        <v>0</v>
      </c>
      <c r="F1664" t="s">
        <v>13</v>
      </c>
      <c r="G1664" t="s">
        <v>9</v>
      </c>
    </row>
    <row r="1665" spans="1:7" x14ac:dyDescent="0.35">
      <c r="A1665">
        <v>653</v>
      </c>
      <c r="B1665" s="1">
        <v>45446</v>
      </c>
      <c r="C1665" t="s">
        <v>12</v>
      </c>
      <c r="D1665" s="2">
        <v>0</v>
      </c>
      <c r="E1665" s="2">
        <v>2125.2800000000002</v>
      </c>
      <c r="F1665" t="s">
        <v>14</v>
      </c>
      <c r="G1665" t="s">
        <v>15</v>
      </c>
    </row>
    <row r="1666" spans="1:7" x14ac:dyDescent="0.35">
      <c r="A1666">
        <v>653</v>
      </c>
      <c r="B1666" s="1">
        <v>45446</v>
      </c>
      <c r="C1666" t="s">
        <v>12</v>
      </c>
      <c r="D1666" s="2">
        <v>0</v>
      </c>
      <c r="E1666" s="2">
        <v>159.38999999999999</v>
      </c>
      <c r="F1666" t="s">
        <v>16</v>
      </c>
      <c r="G1666" t="s">
        <v>17</v>
      </c>
    </row>
    <row r="1667" spans="1:7" x14ac:dyDescent="0.35">
      <c r="A1667">
        <v>654</v>
      </c>
      <c r="B1667" s="1">
        <v>45446</v>
      </c>
      <c r="C1667" t="s">
        <v>12</v>
      </c>
      <c r="D1667" s="2">
        <v>6711.02</v>
      </c>
      <c r="E1667" s="2">
        <v>0</v>
      </c>
      <c r="F1667" t="s">
        <v>13</v>
      </c>
      <c r="G1667" t="s">
        <v>9</v>
      </c>
    </row>
    <row r="1668" spans="1:7" x14ac:dyDescent="0.35">
      <c r="A1668">
        <v>654</v>
      </c>
      <c r="B1668" s="1">
        <v>45446</v>
      </c>
      <c r="C1668" t="s">
        <v>12</v>
      </c>
      <c r="D1668" s="2">
        <v>0</v>
      </c>
      <c r="E1668" s="2">
        <v>6242.82</v>
      </c>
      <c r="F1668" t="s">
        <v>14</v>
      </c>
      <c r="G1668" t="s">
        <v>15</v>
      </c>
    </row>
    <row r="1669" spans="1:7" x14ac:dyDescent="0.35">
      <c r="A1669">
        <v>654</v>
      </c>
      <c r="B1669" s="1">
        <v>45446</v>
      </c>
      <c r="C1669" t="s">
        <v>12</v>
      </c>
      <c r="D1669" s="2">
        <v>0</v>
      </c>
      <c r="E1669" s="2">
        <v>468.2</v>
      </c>
      <c r="F1669" t="s">
        <v>16</v>
      </c>
      <c r="G1669" t="s">
        <v>17</v>
      </c>
    </row>
    <row r="1670" spans="1:7" x14ac:dyDescent="0.35">
      <c r="A1670">
        <v>655</v>
      </c>
      <c r="B1670" s="1">
        <v>45446</v>
      </c>
      <c r="C1670" t="s">
        <v>24</v>
      </c>
      <c r="D1670" s="2">
        <v>1125.8900000000001</v>
      </c>
      <c r="E1670" s="2">
        <v>0</v>
      </c>
      <c r="F1670" t="s">
        <v>8</v>
      </c>
      <c r="G1670" t="s">
        <v>9</v>
      </c>
    </row>
    <row r="1671" spans="1:7" x14ac:dyDescent="0.35">
      <c r="A1671">
        <v>655</v>
      </c>
      <c r="B1671" s="1">
        <v>45446</v>
      </c>
      <c r="C1671" t="s">
        <v>24</v>
      </c>
      <c r="D1671" s="2">
        <v>0</v>
      </c>
      <c r="E1671" s="2">
        <v>1125.8900000000001</v>
      </c>
      <c r="F1671" t="s">
        <v>13</v>
      </c>
      <c r="G1671" t="s">
        <v>9</v>
      </c>
    </row>
    <row r="1672" spans="1:7" x14ac:dyDescent="0.35">
      <c r="A1672">
        <v>656</v>
      </c>
      <c r="B1672" s="1">
        <v>45446</v>
      </c>
      <c r="C1672" t="s">
        <v>24</v>
      </c>
      <c r="D1672" s="2">
        <v>1055.5</v>
      </c>
      <c r="E1672" s="2">
        <v>0</v>
      </c>
      <c r="F1672" t="s">
        <v>8</v>
      </c>
      <c r="G1672" t="s">
        <v>9</v>
      </c>
    </row>
    <row r="1673" spans="1:7" x14ac:dyDescent="0.35">
      <c r="A1673">
        <v>656</v>
      </c>
      <c r="B1673" s="1">
        <v>45446</v>
      </c>
      <c r="C1673" t="s">
        <v>24</v>
      </c>
      <c r="D1673" s="2">
        <v>0</v>
      </c>
      <c r="E1673" s="2">
        <v>1055.5</v>
      </c>
      <c r="F1673" t="s">
        <v>13</v>
      </c>
      <c r="G1673" t="s">
        <v>9</v>
      </c>
    </row>
    <row r="1674" spans="1:7" x14ac:dyDescent="0.35">
      <c r="A1674">
        <v>657</v>
      </c>
      <c r="B1674" s="1">
        <v>45446</v>
      </c>
      <c r="C1674" t="s">
        <v>24</v>
      </c>
      <c r="D1674" s="2">
        <v>3230.94</v>
      </c>
      <c r="E1674" s="2">
        <v>0</v>
      </c>
      <c r="F1674" t="s">
        <v>8</v>
      </c>
      <c r="G1674" t="s">
        <v>9</v>
      </c>
    </row>
    <row r="1675" spans="1:7" x14ac:dyDescent="0.35">
      <c r="A1675">
        <v>657</v>
      </c>
      <c r="B1675" s="1">
        <v>45446</v>
      </c>
      <c r="C1675" t="s">
        <v>24</v>
      </c>
      <c r="D1675" s="2">
        <v>0</v>
      </c>
      <c r="E1675" s="2">
        <v>3230.94</v>
      </c>
      <c r="F1675" t="s">
        <v>13</v>
      </c>
      <c r="G1675" t="s">
        <v>9</v>
      </c>
    </row>
    <row r="1676" spans="1:7" x14ac:dyDescent="0.35">
      <c r="A1676">
        <v>658</v>
      </c>
      <c r="B1676" s="1">
        <v>45446</v>
      </c>
      <c r="C1676" t="s">
        <v>24</v>
      </c>
      <c r="D1676" s="2">
        <v>1454.6</v>
      </c>
      <c r="E1676" s="2">
        <v>0</v>
      </c>
      <c r="F1676" t="s">
        <v>8</v>
      </c>
      <c r="G1676" t="s">
        <v>9</v>
      </c>
    </row>
    <row r="1677" spans="1:7" x14ac:dyDescent="0.35">
      <c r="A1677">
        <v>658</v>
      </c>
      <c r="B1677" s="1">
        <v>45446</v>
      </c>
      <c r="C1677" t="s">
        <v>24</v>
      </c>
      <c r="D1677" s="2">
        <v>0</v>
      </c>
      <c r="E1677" s="2">
        <v>1454.6</v>
      </c>
      <c r="F1677" t="s">
        <v>13</v>
      </c>
      <c r="G1677" t="s">
        <v>9</v>
      </c>
    </row>
    <row r="1678" spans="1:7" x14ac:dyDescent="0.35">
      <c r="A1678">
        <v>659</v>
      </c>
      <c r="B1678" s="1">
        <v>45446</v>
      </c>
      <c r="C1678" t="s">
        <v>24</v>
      </c>
      <c r="D1678" s="2">
        <v>2366.0100000000002</v>
      </c>
      <c r="E1678" s="2">
        <v>0</v>
      </c>
      <c r="F1678" t="s">
        <v>8</v>
      </c>
      <c r="G1678" t="s">
        <v>9</v>
      </c>
    </row>
    <row r="1679" spans="1:7" x14ac:dyDescent="0.35">
      <c r="A1679">
        <v>659</v>
      </c>
      <c r="B1679" s="1">
        <v>45446</v>
      </c>
      <c r="C1679" t="s">
        <v>24</v>
      </c>
      <c r="D1679" s="2">
        <v>0</v>
      </c>
      <c r="E1679" s="2">
        <v>2366.0100000000002</v>
      </c>
      <c r="F1679" t="s">
        <v>13</v>
      </c>
      <c r="G1679" t="s">
        <v>9</v>
      </c>
    </row>
    <row r="1680" spans="1:7" x14ac:dyDescent="0.35">
      <c r="A1680">
        <v>660</v>
      </c>
      <c r="B1680" s="1">
        <v>45446</v>
      </c>
      <c r="C1680" t="s">
        <v>25</v>
      </c>
      <c r="D1680" s="2">
        <v>166.52</v>
      </c>
      <c r="E1680" s="2">
        <v>0</v>
      </c>
      <c r="F1680" t="s">
        <v>26</v>
      </c>
      <c r="G1680" t="s">
        <v>20</v>
      </c>
    </row>
    <row r="1681" spans="1:7" x14ac:dyDescent="0.35">
      <c r="A1681">
        <v>660</v>
      </c>
      <c r="B1681" s="1">
        <v>45446</v>
      </c>
      <c r="C1681" t="s">
        <v>25</v>
      </c>
      <c r="D1681" s="2">
        <v>12.49</v>
      </c>
      <c r="E1681" s="2">
        <v>0</v>
      </c>
      <c r="F1681" t="s">
        <v>27</v>
      </c>
      <c r="G1681" t="s">
        <v>9</v>
      </c>
    </row>
    <row r="1682" spans="1:7" x14ac:dyDescent="0.35">
      <c r="A1682">
        <v>660</v>
      </c>
      <c r="B1682" s="1">
        <v>45446</v>
      </c>
      <c r="C1682" t="s">
        <v>25</v>
      </c>
      <c r="D1682" s="2">
        <v>0</v>
      </c>
      <c r="E1682" s="2">
        <v>179.01</v>
      </c>
      <c r="F1682" t="s">
        <v>28</v>
      </c>
      <c r="G1682" t="s">
        <v>17</v>
      </c>
    </row>
    <row r="1683" spans="1:7" x14ac:dyDescent="0.35">
      <c r="A1683">
        <v>661</v>
      </c>
      <c r="B1683" s="1">
        <v>45446</v>
      </c>
      <c r="C1683" t="s">
        <v>25</v>
      </c>
      <c r="D1683" s="2">
        <v>696.06</v>
      </c>
      <c r="E1683" s="2">
        <v>0</v>
      </c>
      <c r="F1683" t="s">
        <v>26</v>
      </c>
      <c r="G1683" t="s">
        <v>20</v>
      </c>
    </row>
    <row r="1684" spans="1:7" x14ac:dyDescent="0.35">
      <c r="A1684">
        <v>661</v>
      </c>
      <c r="B1684" s="1">
        <v>45446</v>
      </c>
      <c r="C1684" t="s">
        <v>25</v>
      </c>
      <c r="D1684" s="2">
        <v>52.2</v>
      </c>
      <c r="E1684" s="2">
        <v>0</v>
      </c>
      <c r="F1684" t="s">
        <v>27</v>
      </c>
      <c r="G1684" t="s">
        <v>9</v>
      </c>
    </row>
    <row r="1685" spans="1:7" x14ac:dyDescent="0.35">
      <c r="A1685">
        <v>661</v>
      </c>
      <c r="B1685" s="1">
        <v>45446</v>
      </c>
      <c r="C1685" t="s">
        <v>25</v>
      </c>
      <c r="D1685" s="2">
        <v>0</v>
      </c>
      <c r="E1685" s="2">
        <v>748.26</v>
      </c>
      <c r="F1685" t="s">
        <v>28</v>
      </c>
      <c r="G1685" t="s">
        <v>17</v>
      </c>
    </row>
    <row r="1686" spans="1:7" x14ac:dyDescent="0.35">
      <c r="A1686">
        <v>662</v>
      </c>
      <c r="B1686" s="1">
        <v>45446</v>
      </c>
      <c r="C1686" t="s">
        <v>25</v>
      </c>
      <c r="D1686" s="2">
        <v>2714.58</v>
      </c>
      <c r="E1686" s="2">
        <v>0</v>
      </c>
      <c r="F1686" t="s">
        <v>26</v>
      </c>
      <c r="G1686" t="s">
        <v>20</v>
      </c>
    </row>
    <row r="1687" spans="1:7" x14ac:dyDescent="0.35">
      <c r="A1687">
        <v>662</v>
      </c>
      <c r="B1687" s="1">
        <v>45446</v>
      </c>
      <c r="C1687" t="s">
        <v>25</v>
      </c>
      <c r="D1687" s="2">
        <v>203.59</v>
      </c>
      <c r="E1687" s="2">
        <v>0</v>
      </c>
      <c r="F1687" t="s">
        <v>27</v>
      </c>
      <c r="G1687" t="s">
        <v>9</v>
      </c>
    </row>
    <row r="1688" spans="1:7" x14ac:dyDescent="0.35">
      <c r="A1688">
        <v>662</v>
      </c>
      <c r="B1688" s="1">
        <v>45446</v>
      </c>
      <c r="C1688" t="s">
        <v>25</v>
      </c>
      <c r="D1688" s="2">
        <v>0</v>
      </c>
      <c r="E1688" s="2">
        <v>2918.17</v>
      </c>
      <c r="F1688" t="s">
        <v>28</v>
      </c>
      <c r="G1688" t="s">
        <v>17</v>
      </c>
    </row>
    <row r="1689" spans="1:7" x14ac:dyDescent="0.35">
      <c r="A1689">
        <v>663</v>
      </c>
      <c r="B1689" s="1">
        <v>45446</v>
      </c>
      <c r="C1689" t="s">
        <v>25</v>
      </c>
      <c r="D1689" s="2">
        <v>952.02</v>
      </c>
      <c r="E1689" s="2">
        <v>0</v>
      </c>
      <c r="F1689" t="s">
        <v>26</v>
      </c>
      <c r="G1689" t="s">
        <v>20</v>
      </c>
    </row>
    <row r="1690" spans="1:7" x14ac:dyDescent="0.35">
      <c r="A1690">
        <v>663</v>
      </c>
      <c r="B1690" s="1">
        <v>45446</v>
      </c>
      <c r="C1690" t="s">
        <v>25</v>
      </c>
      <c r="D1690" s="2">
        <v>71.400000000000006</v>
      </c>
      <c r="E1690" s="2">
        <v>0</v>
      </c>
      <c r="F1690" t="s">
        <v>27</v>
      </c>
      <c r="G1690" t="s">
        <v>9</v>
      </c>
    </row>
    <row r="1691" spans="1:7" x14ac:dyDescent="0.35">
      <c r="A1691">
        <v>663</v>
      </c>
      <c r="B1691" s="1">
        <v>45446</v>
      </c>
      <c r="C1691" t="s">
        <v>25</v>
      </c>
      <c r="D1691" s="2">
        <v>0</v>
      </c>
      <c r="E1691" s="2">
        <v>1023.42</v>
      </c>
      <c r="F1691" t="s">
        <v>28</v>
      </c>
      <c r="G1691" t="s">
        <v>17</v>
      </c>
    </row>
    <row r="1692" spans="1:7" x14ac:dyDescent="0.35">
      <c r="A1692">
        <v>664</v>
      </c>
      <c r="B1692" s="1">
        <v>45446</v>
      </c>
      <c r="C1692" t="s">
        <v>25</v>
      </c>
      <c r="D1692" s="2">
        <v>512</v>
      </c>
      <c r="E1692" s="2">
        <v>0</v>
      </c>
      <c r="F1692" t="s">
        <v>26</v>
      </c>
      <c r="G1692" t="s">
        <v>20</v>
      </c>
    </row>
    <row r="1693" spans="1:7" x14ac:dyDescent="0.35">
      <c r="A1693">
        <v>664</v>
      </c>
      <c r="B1693" s="1">
        <v>45446</v>
      </c>
      <c r="C1693" t="s">
        <v>25</v>
      </c>
      <c r="D1693" s="2">
        <v>38.4</v>
      </c>
      <c r="E1693" s="2">
        <v>0</v>
      </c>
      <c r="F1693" t="s">
        <v>27</v>
      </c>
      <c r="G1693" t="s">
        <v>9</v>
      </c>
    </row>
    <row r="1694" spans="1:7" x14ac:dyDescent="0.35">
      <c r="A1694">
        <v>664</v>
      </c>
      <c r="B1694" s="1">
        <v>45446</v>
      </c>
      <c r="C1694" t="s">
        <v>25</v>
      </c>
      <c r="D1694" s="2">
        <v>0</v>
      </c>
      <c r="E1694" s="2">
        <v>550.4</v>
      </c>
      <c r="F1694" t="s">
        <v>28</v>
      </c>
      <c r="G1694" t="s">
        <v>17</v>
      </c>
    </row>
    <row r="1695" spans="1:7" x14ac:dyDescent="0.35">
      <c r="A1695">
        <v>665</v>
      </c>
      <c r="B1695" s="1">
        <v>45446</v>
      </c>
      <c r="C1695" t="s">
        <v>25</v>
      </c>
      <c r="D1695" s="2">
        <v>383.76</v>
      </c>
      <c r="E1695" s="2">
        <v>0</v>
      </c>
      <c r="F1695" t="s">
        <v>26</v>
      </c>
      <c r="G1695" t="s">
        <v>20</v>
      </c>
    </row>
    <row r="1696" spans="1:7" x14ac:dyDescent="0.35">
      <c r="A1696">
        <v>665</v>
      </c>
      <c r="B1696" s="1">
        <v>45446</v>
      </c>
      <c r="C1696" t="s">
        <v>25</v>
      </c>
      <c r="D1696" s="2">
        <v>28.78</v>
      </c>
      <c r="E1696" s="2">
        <v>0</v>
      </c>
      <c r="F1696" t="s">
        <v>27</v>
      </c>
      <c r="G1696" t="s">
        <v>9</v>
      </c>
    </row>
    <row r="1697" spans="1:7" x14ac:dyDescent="0.35">
      <c r="A1697">
        <v>665</v>
      </c>
      <c r="B1697" s="1">
        <v>45446</v>
      </c>
      <c r="C1697" t="s">
        <v>25</v>
      </c>
      <c r="D1697" s="2">
        <v>0</v>
      </c>
      <c r="E1697" s="2">
        <v>412.54</v>
      </c>
      <c r="F1697" t="s">
        <v>28</v>
      </c>
      <c r="G1697" t="s">
        <v>17</v>
      </c>
    </row>
    <row r="1698" spans="1:7" x14ac:dyDescent="0.35">
      <c r="A1698">
        <v>666</v>
      </c>
      <c r="B1698" s="1">
        <v>45446</v>
      </c>
      <c r="C1698" t="s">
        <v>25</v>
      </c>
      <c r="D1698" s="2">
        <v>257.04000000000002</v>
      </c>
      <c r="E1698" s="2">
        <v>0</v>
      </c>
      <c r="F1698" t="s">
        <v>26</v>
      </c>
      <c r="G1698" t="s">
        <v>20</v>
      </c>
    </row>
    <row r="1699" spans="1:7" x14ac:dyDescent="0.35">
      <c r="A1699">
        <v>666</v>
      </c>
      <c r="B1699" s="1">
        <v>45446</v>
      </c>
      <c r="C1699" t="s">
        <v>25</v>
      </c>
      <c r="D1699" s="2">
        <v>19.28</v>
      </c>
      <c r="E1699" s="2">
        <v>0</v>
      </c>
      <c r="F1699" t="s">
        <v>27</v>
      </c>
      <c r="G1699" t="s">
        <v>9</v>
      </c>
    </row>
    <row r="1700" spans="1:7" x14ac:dyDescent="0.35">
      <c r="A1700">
        <v>666</v>
      </c>
      <c r="B1700" s="1">
        <v>45446</v>
      </c>
      <c r="C1700" t="s">
        <v>25</v>
      </c>
      <c r="D1700" s="2">
        <v>0</v>
      </c>
      <c r="E1700" s="2">
        <v>276.32</v>
      </c>
      <c r="F1700" t="s">
        <v>28</v>
      </c>
      <c r="G1700" t="s">
        <v>17</v>
      </c>
    </row>
    <row r="1701" spans="1:7" x14ac:dyDescent="0.35">
      <c r="A1701">
        <v>667</v>
      </c>
      <c r="B1701" s="1">
        <v>45446</v>
      </c>
      <c r="C1701" t="s">
        <v>25</v>
      </c>
      <c r="D1701" s="2">
        <v>1668.94</v>
      </c>
      <c r="E1701" s="2">
        <v>0</v>
      </c>
      <c r="F1701" t="s">
        <v>26</v>
      </c>
      <c r="G1701" t="s">
        <v>20</v>
      </c>
    </row>
    <row r="1702" spans="1:7" x14ac:dyDescent="0.35">
      <c r="A1702">
        <v>667</v>
      </c>
      <c r="B1702" s="1">
        <v>45446</v>
      </c>
      <c r="C1702" t="s">
        <v>25</v>
      </c>
      <c r="D1702" s="2">
        <v>125.17</v>
      </c>
      <c r="E1702" s="2">
        <v>0</v>
      </c>
      <c r="F1702" t="s">
        <v>27</v>
      </c>
      <c r="G1702" t="s">
        <v>9</v>
      </c>
    </row>
    <row r="1703" spans="1:7" x14ac:dyDescent="0.35">
      <c r="A1703">
        <v>667</v>
      </c>
      <c r="B1703" s="1">
        <v>45446</v>
      </c>
      <c r="C1703" t="s">
        <v>25</v>
      </c>
      <c r="D1703" s="2">
        <v>0</v>
      </c>
      <c r="E1703" s="2">
        <v>1794.11</v>
      </c>
      <c r="F1703" t="s">
        <v>28</v>
      </c>
      <c r="G1703" t="s">
        <v>17</v>
      </c>
    </row>
    <row r="1704" spans="1:7" x14ac:dyDescent="0.35">
      <c r="A1704">
        <v>668</v>
      </c>
      <c r="B1704" s="1">
        <v>45446</v>
      </c>
      <c r="C1704" t="s">
        <v>29</v>
      </c>
      <c r="D1704" s="2">
        <v>201.5</v>
      </c>
      <c r="E1704" s="2">
        <v>0</v>
      </c>
      <c r="F1704" t="s">
        <v>28</v>
      </c>
      <c r="G1704" t="s">
        <v>17</v>
      </c>
    </row>
    <row r="1705" spans="1:7" x14ac:dyDescent="0.35">
      <c r="A1705">
        <v>668</v>
      </c>
      <c r="B1705" s="1">
        <v>45446</v>
      </c>
      <c r="C1705" t="s">
        <v>29</v>
      </c>
      <c r="D1705" s="2">
        <v>0</v>
      </c>
      <c r="E1705" s="2">
        <v>201.5</v>
      </c>
      <c r="F1705" t="s">
        <v>8</v>
      </c>
      <c r="G1705" t="s">
        <v>9</v>
      </c>
    </row>
    <row r="1706" spans="1:7" x14ac:dyDescent="0.35">
      <c r="A1706">
        <v>669</v>
      </c>
      <c r="B1706" s="1">
        <v>45447</v>
      </c>
      <c r="C1706" t="s">
        <v>12</v>
      </c>
      <c r="D1706" s="2">
        <v>3452.23</v>
      </c>
      <c r="E1706" s="2">
        <v>0</v>
      </c>
      <c r="F1706" t="s">
        <v>13</v>
      </c>
      <c r="G1706" t="s">
        <v>9</v>
      </c>
    </row>
    <row r="1707" spans="1:7" x14ac:dyDescent="0.35">
      <c r="A1707">
        <v>669</v>
      </c>
      <c r="B1707" s="1">
        <v>45447</v>
      </c>
      <c r="C1707" t="s">
        <v>12</v>
      </c>
      <c r="D1707" s="2">
        <v>0</v>
      </c>
      <c r="E1707" s="2">
        <v>3211.38</v>
      </c>
      <c r="F1707" t="s">
        <v>14</v>
      </c>
      <c r="G1707" t="s">
        <v>15</v>
      </c>
    </row>
    <row r="1708" spans="1:7" x14ac:dyDescent="0.35">
      <c r="A1708">
        <v>669</v>
      </c>
      <c r="B1708" s="1">
        <v>45447</v>
      </c>
      <c r="C1708" t="s">
        <v>12</v>
      </c>
      <c r="D1708" s="2">
        <v>0</v>
      </c>
      <c r="E1708" s="2">
        <v>240.85</v>
      </c>
      <c r="F1708" t="s">
        <v>16</v>
      </c>
      <c r="G1708" t="s">
        <v>17</v>
      </c>
    </row>
    <row r="1709" spans="1:7" x14ac:dyDescent="0.35">
      <c r="A1709">
        <v>670</v>
      </c>
      <c r="B1709" s="1">
        <v>45447</v>
      </c>
      <c r="C1709" t="s">
        <v>25</v>
      </c>
      <c r="D1709" s="2">
        <v>6723.2</v>
      </c>
      <c r="E1709" s="2">
        <v>0</v>
      </c>
      <c r="F1709" t="s">
        <v>26</v>
      </c>
      <c r="G1709" t="s">
        <v>20</v>
      </c>
    </row>
    <row r="1710" spans="1:7" x14ac:dyDescent="0.35">
      <c r="A1710">
        <v>670</v>
      </c>
      <c r="B1710" s="1">
        <v>45447</v>
      </c>
      <c r="C1710" t="s">
        <v>25</v>
      </c>
      <c r="D1710" s="2">
        <v>504.24</v>
      </c>
      <c r="E1710" s="2">
        <v>0</v>
      </c>
      <c r="F1710" t="s">
        <v>27</v>
      </c>
      <c r="G1710" t="s">
        <v>9</v>
      </c>
    </row>
    <row r="1711" spans="1:7" x14ac:dyDescent="0.35">
      <c r="A1711">
        <v>670</v>
      </c>
      <c r="B1711" s="1">
        <v>45447</v>
      </c>
      <c r="C1711" t="s">
        <v>25</v>
      </c>
      <c r="D1711" s="2">
        <v>0</v>
      </c>
      <c r="E1711" s="2">
        <v>7227.44</v>
      </c>
      <c r="F1711" t="s">
        <v>28</v>
      </c>
      <c r="G1711" t="s">
        <v>17</v>
      </c>
    </row>
    <row r="1712" spans="1:7" x14ac:dyDescent="0.35">
      <c r="A1712">
        <v>671</v>
      </c>
      <c r="B1712" s="1">
        <v>45448</v>
      </c>
      <c r="C1712" t="s">
        <v>12</v>
      </c>
      <c r="D1712" s="2">
        <v>3413.14</v>
      </c>
      <c r="E1712" s="2">
        <v>0</v>
      </c>
      <c r="F1712" t="s">
        <v>13</v>
      </c>
      <c r="G1712" t="s">
        <v>9</v>
      </c>
    </row>
    <row r="1713" spans="1:7" x14ac:dyDescent="0.35">
      <c r="A1713">
        <v>671</v>
      </c>
      <c r="B1713" s="1">
        <v>45448</v>
      </c>
      <c r="C1713" t="s">
        <v>12</v>
      </c>
      <c r="D1713" s="2">
        <v>0</v>
      </c>
      <c r="E1713" s="2">
        <v>3175.01</v>
      </c>
      <c r="F1713" t="s">
        <v>14</v>
      </c>
      <c r="G1713" t="s">
        <v>15</v>
      </c>
    </row>
    <row r="1714" spans="1:7" x14ac:dyDescent="0.35">
      <c r="A1714">
        <v>671</v>
      </c>
      <c r="B1714" s="1">
        <v>45448</v>
      </c>
      <c r="C1714" t="s">
        <v>12</v>
      </c>
      <c r="D1714" s="2">
        <v>0</v>
      </c>
      <c r="E1714" s="2">
        <v>238.13</v>
      </c>
      <c r="F1714" t="s">
        <v>16</v>
      </c>
      <c r="G1714" t="s">
        <v>17</v>
      </c>
    </row>
    <row r="1715" spans="1:7" x14ac:dyDescent="0.35">
      <c r="A1715">
        <v>672</v>
      </c>
      <c r="B1715" s="1">
        <v>45448</v>
      </c>
      <c r="C1715" t="s">
        <v>12</v>
      </c>
      <c r="D1715" s="2">
        <v>956.11</v>
      </c>
      <c r="E1715" s="2">
        <v>0</v>
      </c>
      <c r="F1715" t="s">
        <v>13</v>
      </c>
      <c r="G1715" t="s">
        <v>9</v>
      </c>
    </row>
    <row r="1716" spans="1:7" x14ac:dyDescent="0.35">
      <c r="A1716">
        <v>672</v>
      </c>
      <c r="B1716" s="1">
        <v>45448</v>
      </c>
      <c r="C1716" t="s">
        <v>12</v>
      </c>
      <c r="D1716" s="2">
        <v>0</v>
      </c>
      <c r="E1716" s="2">
        <v>889.41</v>
      </c>
      <c r="F1716" t="s">
        <v>14</v>
      </c>
      <c r="G1716" t="s">
        <v>15</v>
      </c>
    </row>
    <row r="1717" spans="1:7" x14ac:dyDescent="0.35">
      <c r="A1717">
        <v>672</v>
      </c>
      <c r="B1717" s="1">
        <v>45448</v>
      </c>
      <c r="C1717" t="s">
        <v>12</v>
      </c>
      <c r="D1717" s="2">
        <v>0</v>
      </c>
      <c r="E1717" s="2">
        <v>66.7</v>
      </c>
      <c r="F1717" t="s">
        <v>16</v>
      </c>
      <c r="G1717" t="s">
        <v>17</v>
      </c>
    </row>
    <row r="1718" spans="1:7" x14ac:dyDescent="0.35">
      <c r="A1718">
        <v>673</v>
      </c>
      <c r="B1718" s="1">
        <v>45448</v>
      </c>
      <c r="C1718" t="s">
        <v>12</v>
      </c>
      <c r="D1718" s="2">
        <v>991.3</v>
      </c>
      <c r="E1718" s="2">
        <v>0</v>
      </c>
      <c r="F1718" t="s">
        <v>13</v>
      </c>
      <c r="G1718" t="s">
        <v>9</v>
      </c>
    </row>
    <row r="1719" spans="1:7" x14ac:dyDescent="0.35">
      <c r="A1719">
        <v>673</v>
      </c>
      <c r="B1719" s="1">
        <v>45448</v>
      </c>
      <c r="C1719" t="s">
        <v>12</v>
      </c>
      <c r="D1719" s="2">
        <v>0</v>
      </c>
      <c r="E1719" s="2">
        <v>922.14</v>
      </c>
      <c r="F1719" t="s">
        <v>14</v>
      </c>
      <c r="G1719" t="s">
        <v>15</v>
      </c>
    </row>
    <row r="1720" spans="1:7" x14ac:dyDescent="0.35">
      <c r="A1720">
        <v>673</v>
      </c>
      <c r="B1720" s="1">
        <v>45448</v>
      </c>
      <c r="C1720" t="s">
        <v>12</v>
      </c>
      <c r="D1720" s="2">
        <v>0</v>
      </c>
      <c r="E1720" s="2">
        <v>69.16</v>
      </c>
      <c r="F1720" t="s">
        <v>16</v>
      </c>
      <c r="G1720" t="s">
        <v>17</v>
      </c>
    </row>
    <row r="1721" spans="1:7" x14ac:dyDescent="0.35">
      <c r="A1721">
        <v>674</v>
      </c>
      <c r="B1721" s="1">
        <v>45448</v>
      </c>
      <c r="C1721" t="s">
        <v>12</v>
      </c>
      <c r="D1721" s="2">
        <v>2717.83</v>
      </c>
      <c r="E1721" s="2">
        <v>0</v>
      </c>
      <c r="F1721" t="s">
        <v>13</v>
      </c>
      <c r="G1721" t="s">
        <v>9</v>
      </c>
    </row>
    <row r="1722" spans="1:7" x14ac:dyDescent="0.35">
      <c r="A1722">
        <v>674</v>
      </c>
      <c r="B1722" s="1">
        <v>45448</v>
      </c>
      <c r="C1722" t="s">
        <v>12</v>
      </c>
      <c r="D1722" s="2">
        <v>0</v>
      </c>
      <c r="E1722" s="2">
        <v>2528.21</v>
      </c>
      <c r="F1722" t="s">
        <v>14</v>
      </c>
      <c r="G1722" t="s">
        <v>15</v>
      </c>
    </row>
    <row r="1723" spans="1:7" x14ac:dyDescent="0.35">
      <c r="A1723">
        <v>674</v>
      </c>
      <c r="B1723" s="1">
        <v>45448</v>
      </c>
      <c r="C1723" t="s">
        <v>12</v>
      </c>
      <c r="D1723" s="2">
        <v>0</v>
      </c>
      <c r="E1723" s="2">
        <v>189.62</v>
      </c>
      <c r="F1723" t="s">
        <v>16</v>
      </c>
      <c r="G1723" t="s">
        <v>17</v>
      </c>
    </row>
    <row r="1724" spans="1:7" x14ac:dyDescent="0.35">
      <c r="A1724">
        <v>675</v>
      </c>
      <c r="B1724" s="1">
        <v>45448</v>
      </c>
      <c r="C1724" t="s">
        <v>12</v>
      </c>
      <c r="D1724" s="2">
        <v>1508.22</v>
      </c>
      <c r="E1724" s="2">
        <v>0</v>
      </c>
      <c r="F1724" t="s">
        <v>13</v>
      </c>
      <c r="G1724" t="s">
        <v>9</v>
      </c>
    </row>
    <row r="1725" spans="1:7" x14ac:dyDescent="0.35">
      <c r="A1725">
        <v>675</v>
      </c>
      <c r="B1725" s="1">
        <v>45448</v>
      </c>
      <c r="C1725" t="s">
        <v>12</v>
      </c>
      <c r="D1725" s="2">
        <v>0</v>
      </c>
      <c r="E1725" s="2">
        <v>1403</v>
      </c>
      <c r="F1725" t="s">
        <v>14</v>
      </c>
      <c r="G1725" t="s">
        <v>15</v>
      </c>
    </row>
    <row r="1726" spans="1:7" x14ac:dyDescent="0.35">
      <c r="A1726">
        <v>675</v>
      </c>
      <c r="B1726" s="1">
        <v>45448</v>
      </c>
      <c r="C1726" t="s">
        <v>12</v>
      </c>
      <c r="D1726" s="2">
        <v>0</v>
      </c>
      <c r="E1726" s="2">
        <v>105.22</v>
      </c>
      <c r="F1726" t="s">
        <v>16</v>
      </c>
      <c r="G1726" t="s">
        <v>17</v>
      </c>
    </row>
    <row r="1727" spans="1:7" x14ac:dyDescent="0.35">
      <c r="A1727">
        <v>676</v>
      </c>
      <c r="B1727" s="1">
        <v>45448</v>
      </c>
      <c r="C1727" t="s">
        <v>24</v>
      </c>
      <c r="D1727" s="2">
        <v>644.61</v>
      </c>
      <c r="E1727" s="2">
        <v>0</v>
      </c>
      <c r="F1727" t="s">
        <v>8</v>
      </c>
      <c r="G1727" t="s">
        <v>9</v>
      </c>
    </row>
    <row r="1728" spans="1:7" x14ac:dyDescent="0.35">
      <c r="A1728">
        <v>676</v>
      </c>
      <c r="B1728" s="1">
        <v>45448</v>
      </c>
      <c r="C1728" t="s">
        <v>24</v>
      </c>
      <c r="D1728" s="2">
        <v>0</v>
      </c>
      <c r="E1728" s="2">
        <v>644.61</v>
      </c>
      <c r="F1728" t="s">
        <v>13</v>
      </c>
      <c r="G1728" t="s">
        <v>9</v>
      </c>
    </row>
    <row r="1729" spans="1:7" x14ac:dyDescent="0.35">
      <c r="A1729">
        <v>677</v>
      </c>
      <c r="B1729" s="1">
        <v>45448</v>
      </c>
      <c r="C1729" t="s">
        <v>24</v>
      </c>
      <c r="D1729" s="2">
        <v>5436.99</v>
      </c>
      <c r="E1729" s="2">
        <v>0</v>
      </c>
      <c r="F1729" t="s">
        <v>8</v>
      </c>
      <c r="G1729" t="s">
        <v>9</v>
      </c>
    </row>
    <row r="1730" spans="1:7" x14ac:dyDescent="0.35">
      <c r="A1730">
        <v>677</v>
      </c>
      <c r="B1730" s="1">
        <v>45448</v>
      </c>
      <c r="C1730" t="s">
        <v>24</v>
      </c>
      <c r="D1730" s="2">
        <v>0</v>
      </c>
      <c r="E1730" s="2">
        <v>5436.99</v>
      </c>
      <c r="F1730" t="s">
        <v>13</v>
      </c>
      <c r="G1730" t="s">
        <v>9</v>
      </c>
    </row>
    <row r="1731" spans="1:7" x14ac:dyDescent="0.35">
      <c r="A1731">
        <v>678</v>
      </c>
      <c r="B1731" s="1">
        <v>45448</v>
      </c>
      <c r="C1731" t="s">
        <v>25</v>
      </c>
      <c r="D1731" s="2">
        <v>1800.04</v>
      </c>
      <c r="E1731" s="2">
        <v>0</v>
      </c>
      <c r="F1731" t="s">
        <v>26</v>
      </c>
      <c r="G1731" t="s">
        <v>20</v>
      </c>
    </row>
    <row r="1732" spans="1:7" x14ac:dyDescent="0.35">
      <c r="A1732">
        <v>678</v>
      </c>
      <c r="B1732" s="1">
        <v>45448</v>
      </c>
      <c r="C1732" t="s">
        <v>25</v>
      </c>
      <c r="D1732" s="2">
        <v>135</v>
      </c>
      <c r="E1732" s="2">
        <v>0</v>
      </c>
      <c r="F1732" t="s">
        <v>27</v>
      </c>
      <c r="G1732" t="s">
        <v>9</v>
      </c>
    </row>
    <row r="1733" spans="1:7" x14ac:dyDescent="0.35">
      <c r="A1733">
        <v>678</v>
      </c>
      <c r="B1733" s="1">
        <v>45448</v>
      </c>
      <c r="C1733" t="s">
        <v>25</v>
      </c>
      <c r="D1733" s="2">
        <v>0</v>
      </c>
      <c r="E1733" s="2">
        <v>1935.04</v>
      </c>
      <c r="F1733" t="s">
        <v>28</v>
      </c>
      <c r="G1733" t="s">
        <v>17</v>
      </c>
    </row>
    <row r="1734" spans="1:7" x14ac:dyDescent="0.35">
      <c r="A1734">
        <v>679</v>
      </c>
      <c r="B1734" s="1">
        <v>45448</v>
      </c>
      <c r="C1734" t="s">
        <v>29</v>
      </c>
      <c r="D1734" s="2">
        <v>1023.42</v>
      </c>
      <c r="E1734" s="2">
        <v>0</v>
      </c>
      <c r="F1734" t="s">
        <v>28</v>
      </c>
      <c r="G1734" t="s">
        <v>17</v>
      </c>
    </row>
    <row r="1735" spans="1:7" x14ac:dyDescent="0.35">
      <c r="A1735">
        <v>679</v>
      </c>
      <c r="B1735" s="1">
        <v>45448</v>
      </c>
      <c r="C1735" t="s">
        <v>29</v>
      </c>
      <c r="D1735" s="2">
        <v>0</v>
      </c>
      <c r="E1735" s="2">
        <v>1023.42</v>
      </c>
      <c r="F1735" t="s">
        <v>8</v>
      </c>
      <c r="G1735" t="s">
        <v>9</v>
      </c>
    </row>
    <row r="1736" spans="1:7" x14ac:dyDescent="0.35">
      <c r="A1736">
        <v>680</v>
      </c>
      <c r="B1736" s="1">
        <v>45449</v>
      </c>
      <c r="C1736" t="s">
        <v>18</v>
      </c>
      <c r="D1736" s="2">
        <v>21381.24</v>
      </c>
      <c r="E1736" s="2">
        <v>0</v>
      </c>
      <c r="F1736" t="s">
        <v>19</v>
      </c>
      <c r="G1736" t="s">
        <v>20</v>
      </c>
    </row>
    <row r="1737" spans="1:7" x14ac:dyDescent="0.35">
      <c r="A1737">
        <v>680</v>
      </c>
      <c r="B1737" s="1">
        <v>45449</v>
      </c>
      <c r="C1737" t="s">
        <v>18</v>
      </c>
      <c r="D1737" s="2">
        <v>855.26</v>
      </c>
      <c r="E1737" s="2">
        <v>0</v>
      </c>
      <c r="F1737" t="s">
        <v>21</v>
      </c>
      <c r="G1737" t="s">
        <v>20</v>
      </c>
    </row>
    <row r="1738" spans="1:7" x14ac:dyDescent="0.35">
      <c r="A1738">
        <v>680</v>
      </c>
      <c r="B1738" s="1">
        <v>45449</v>
      </c>
      <c r="C1738" t="s">
        <v>18</v>
      </c>
      <c r="D1738" s="2">
        <v>0</v>
      </c>
      <c r="E1738" s="2">
        <v>17510.59</v>
      </c>
      <c r="F1738" t="s">
        <v>8</v>
      </c>
      <c r="G1738" t="s">
        <v>9</v>
      </c>
    </row>
    <row r="1739" spans="1:7" x14ac:dyDescent="0.35">
      <c r="A1739">
        <v>680</v>
      </c>
      <c r="B1739" s="1">
        <v>45449</v>
      </c>
      <c r="C1739" t="s">
        <v>18</v>
      </c>
      <c r="D1739" s="2">
        <v>0</v>
      </c>
      <c r="E1739" s="2">
        <v>3870.65</v>
      </c>
      <c r="F1739" t="s">
        <v>22</v>
      </c>
      <c r="G1739" t="s">
        <v>17</v>
      </c>
    </row>
    <row r="1740" spans="1:7" x14ac:dyDescent="0.35">
      <c r="A1740">
        <v>680</v>
      </c>
      <c r="B1740" s="1">
        <v>45449</v>
      </c>
      <c r="C1740" t="s">
        <v>18</v>
      </c>
      <c r="D1740" s="2">
        <v>0</v>
      </c>
      <c r="E1740" s="2">
        <v>855.26</v>
      </c>
      <c r="F1740" t="s">
        <v>23</v>
      </c>
      <c r="G1740" t="s">
        <v>17</v>
      </c>
    </row>
    <row r="1741" spans="1:7" x14ac:dyDescent="0.35">
      <c r="A1741">
        <v>681</v>
      </c>
      <c r="B1741" s="1">
        <v>45449</v>
      </c>
      <c r="C1741" t="s">
        <v>12</v>
      </c>
      <c r="D1741" s="2">
        <v>1881.63</v>
      </c>
      <c r="E1741" s="2">
        <v>0</v>
      </c>
      <c r="F1741" t="s">
        <v>13</v>
      </c>
      <c r="G1741" t="s">
        <v>9</v>
      </c>
    </row>
    <row r="1742" spans="1:7" x14ac:dyDescent="0.35">
      <c r="A1742">
        <v>681</v>
      </c>
      <c r="B1742" s="1">
        <v>45449</v>
      </c>
      <c r="C1742" t="s">
        <v>12</v>
      </c>
      <c r="D1742" s="2">
        <v>0</v>
      </c>
      <c r="E1742" s="2">
        <v>1750.35</v>
      </c>
      <c r="F1742" t="s">
        <v>14</v>
      </c>
      <c r="G1742" t="s">
        <v>15</v>
      </c>
    </row>
    <row r="1743" spans="1:7" x14ac:dyDescent="0.35">
      <c r="A1743">
        <v>681</v>
      </c>
      <c r="B1743" s="1">
        <v>45449</v>
      </c>
      <c r="C1743" t="s">
        <v>12</v>
      </c>
      <c r="D1743" s="2">
        <v>0</v>
      </c>
      <c r="E1743" s="2">
        <v>131.28</v>
      </c>
      <c r="F1743" t="s">
        <v>16</v>
      </c>
      <c r="G1743" t="s">
        <v>17</v>
      </c>
    </row>
    <row r="1744" spans="1:7" x14ac:dyDescent="0.35">
      <c r="A1744">
        <v>682</v>
      </c>
      <c r="B1744" s="1">
        <v>45449</v>
      </c>
      <c r="C1744" t="s">
        <v>12</v>
      </c>
      <c r="D1744" s="2">
        <v>1138.5999999999999</v>
      </c>
      <c r="E1744" s="2">
        <v>0</v>
      </c>
      <c r="F1744" t="s">
        <v>13</v>
      </c>
      <c r="G1744" t="s">
        <v>9</v>
      </c>
    </row>
    <row r="1745" spans="1:7" x14ac:dyDescent="0.35">
      <c r="A1745">
        <v>682</v>
      </c>
      <c r="B1745" s="1">
        <v>45449</v>
      </c>
      <c r="C1745" t="s">
        <v>12</v>
      </c>
      <c r="D1745" s="2">
        <v>0</v>
      </c>
      <c r="E1745" s="2">
        <v>1059.17</v>
      </c>
      <c r="F1745" t="s">
        <v>14</v>
      </c>
      <c r="G1745" t="s">
        <v>15</v>
      </c>
    </row>
    <row r="1746" spans="1:7" x14ac:dyDescent="0.35">
      <c r="A1746">
        <v>682</v>
      </c>
      <c r="B1746" s="1">
        <v>45449</v>
      </c>
      <c r="C1746" t="s">
        <v>12</v>
      </c>
      <c r="D1746" s="2">
        <v>0</v>
      </c>
      <c r="E1746" s="2">
        <v>79.430000000000007</v>
      </c>
      <c r="F1746" t="s">
        <v>16</v>
      </c>
      <c r="G1746" t="s">
        <v>17</v>
      </c>
    </row>
    <row r="1747" spans="1:7" x14ac:dyDescent="0.35">
      <c r="A1747">
        <v>683</v>
      </c>
      <c r="B1747" s="1">
        <v>45449</v>
      </c>
      <c r="C1747" t="s">
        <v>12</v>
      </c>
      <c r="D1747" s="2">
        <v>1247.01</v>
      </c>
      <c r="E1747" s="2">
        <v>0</v>
      </c>
      <c r="F1747" t="s">
        <v>13</v>
      </c>
      <c r="G1747" t="s">
        <v>9</v>
      </c>
    </row>
    <row r="1748" spans="1:7" x14ac:dyDescent="0.35">
      <c r="A1748">
        <v>683</v>
      </c>
      <c r="B1748" s="1">
        <v>45449</v>
      </c>
      <c r="C1748" t="s">
        <v>12</v>
      </c>
      <c r="D1748" s="2">
        <v>0</v>
      </c>
      <c r="E1748" s="2">
        <v>1160.01</v>
      </c>
      <c r="F1748" t="s">
        <v>14</v>
      </c>
      <c r="G1748" t="s">
        <v>15</v>
      </c>
    </row>
    <row r="1749" spans="1:7" x14ac:dyDescent="0.35">
      <c r="A1749">
        <v>683</v>
      </c>
      <c r="B1749" s="1">
        <v>45449</v>
      </c>
      <c r="C1749" t="s">
        <v>12</v>
      </c>
      <c r="D1749" s="2">
        <v>0</v>
      </c>
      <c r="E1749" s="2">
        <v>87</v>
      </c>
      <c r="F1749" t="s">
        <v>16</v>
      </c>
      <c r="G1749" t="s">
        <v>17</v>
      </c>
    </row>
    <row r="1750" spans="1:7" x14ac:dyDescent="0.35">
      <c r="A1750">
        <v>684</v>
      </c>
      <c r="B1750" s="1">
        <v>45449</v>
      </c>
      <c r="C1750" t="s">
        <v>24</v>
      </c>
      <c r="D1750" s="2">
        <v>2304.62</v>
      </c>
      <c r="E1750" s="2">
        <v>0</v>
      </c>
      <c r="F1750" t="s">
        <v>8</v>
      </c>
      <c r="G1750" t="s">
        <v>9</v>
      </c>
    </row>
    <row r="1751" spans="1:7" x14ac:dyDescent="0.35">
      <c r="A1751">
        <v>684</v>
      </c>
      <c r="B1751" s="1">
        <v>45449</v>
      </c>
      <c r="C1751" t="s">
        <v>24</v>
      </c>
      <c r="D1751" s="2">
        <v>0</v>
      </c>
      <c r="E1751" s="2">
        <v>2304.62</v>
      </c>
      <c r="F1751" t="s">
        <v>13</v>
      </c>
      <c r="G1751" t="s">
        <v>9</v>
      </c>
    </row>
    <row r="1752" spans="1:7" x14ac:dyDescent="0.35">
      <c r="A1752">
        <v>685</v>
      </c>
      <c r="B1752" s="1">
        <v>45449</v>
      </c>
      <c r="C1752" t="s">
        <v>25</v>
      </c>
      <c r="D1752" s="2">
        <v>2030.15</v>
      </c>
      <c r="E1752" s="2">
        <v>0</v>
      </c>
      <c r="F1752" t="s">
        <v>26</v>
      </c>
      <c r="G1752" t="s">
        <v>20</v>
      </c>
    </row>
    <row r="1753" spans="1:7" x14ac:dyDescent="0.35">
      <c r="A1753">
        <v>685</v>
      </c>
      <c r="B1753" s="1">
        <v>45449</v>
      </c>
      <c r="C1753" t="s">
        <v>25</v>
      </c>
      <c r="D1753" s="2">
        <v>152.26</v>
      </c>
      <c r="E1753" s="2">
        <v>0</v>
      </c>
      <c r="F1753" t="s">
        <v>27</v>
      </c>
      <c r="G1753" t="s">
        <v>9</v>
      </c>
    </row>
    <row r="1754" spans="1:7" x14ac:dyDescent="0.35">
      <c r="A1754">
        <v>685</v>
      </c>
      <c r="B1754" s="1">
        <v>45449</v>
      </c>
      <c r="C1754" t="s">
        <v>25</v>
      </c>
      <c r="D1754" s="2">
        <v>0</v>
      </c>
      <c r="E1754" s="2">
        <v>2182.41</v>
      </c>
      <c r="F1754" t="s">
        <v>28</v>
      </c>
      <c r="G1754" t="s">
        <v>17</v>
      </c>
    </row>
    <row r="1755" spans="1:7" x14ac:dyDescent="0.35">
      <c r="A1755">
        <v>686</v>
      </c>
      <c r="B1755" s="1">
        <v>45449</v>
      </c>
      <c r="C1755" t="s">
        <v>25</v>
      </c>
      <c r="D1755" s="2">
        <v>1078.92</v>
      </c>
      <c r="E1755" s="2">
        <v>0</v>
      </c>
      <c r="F1755" t="s">
        <v>26</v>
      </c>
      <c r="G1755" t="s">
        <v>20</v>
      </c>
    </row>
    <row r="1756" spans="1:7" x14ac:dyDescent="0.35">
      <c r="A1756">
        <v>686</v>
      </c>
      <c r="B1756" s="1">
        <v>45449</v>
      </c>
      <c r="C1756" t="s">
        <v>25</v>
      </c>
      <c r="D1756" s="2">
        <v>80.92</v>
      </c>
      <c r="E1756" s="2">
        <v>0</v>
      </c>
      <c r="F1756" t="s">
        <v>27</v>
      </c>
      <c r="G1756" t="s">
        <v>9</v>
      </c>
    </row>
    <row r="1757" spans="1:7" x14ac:dyDescent="0.35">
      <c r="A1757">
        <v>686</v>
      </c>
      <c r="B1757" s="1">
        <v>45449</v>
      </c>
      <c r="C1757" t="s">
        <v>25</v>
      </c>
      <c r="D1757" s="2">
        <v>0</v>
      </c>
      <c r="E1757" s="2">
        <v>1159.8399999999999</v>
      </c>
      <c r="F1757" t="s">
        <v>28</v>
      </c>
      <c r="G1757" t="s">
        <v>17</v>
      </c>
    </row>
    <row r="1758" spans="1:7" x14ac:dyDescent="0.35">
      <c r="A1758">
        <v>687</v>
      </c>
      <c r="B1758" s="1">
        <v>45450</v>
      </c>
      <c r="C1758" t="s">
        <v>12</v>
      </c>
      <c r="D1758" s="2">
        <v>2390.7800000000002</v>
      </c>
      <c r="E1758" s="2">
        <v>0</v>
      </c>
      <c r="F1758" t="s">
        <v>13</v>
      </c>
      <c r="G1758" t="s">
        <v>9</v>
      </c>
    </row>
    <row r="1759" spans="1:7" x14ac:dyDescent="0.35">
      <c r="A1759">
        <v>687</v>
      </c>
      <c r="B1759" s="1">
        <v>45450</v>
      </c>
      <c r="C1759" t="s">
        <v>12</v>
      </c>
      <c r="D1759" s="2">
        <v>0</v>
      </c>
      <c r="E1759" s="2">
        <v>2223.98</v>
      </c>
      <c r="F1759" t="s">
        <v>14</v>
      </c>
      <c r="G1759" t="s">
        <v>15</v>
      </c>
    </row>
    <row r="1760" spans="1:7" x14ac:dyDescent="0.35">
      <c r="A1760">
        <v>687</v>
      </c>
      <c r="B1760" s="1">
        <v>45450</v>
      </c>
      <c r="C1760" t="s">
        <v>12</v>
      </c>
      <c r="D1760" s="2">
        <v>0</v>
      </c>
      <c r="E1760" s="2">
        <v>166.8</v>
      </c>
      <c r="F1760" t="s">
        <v>16</v>
      </c>
      <c r="G1760" t="s">
        <v>17</v>
      </c>
    </row>
    <row r="1761" spans="1:7" x14ac:dyDescent="0.35">
      <c r="A1761">
        <v>688</v>
      </c>
      <c r="B1761" s="1">
        <v>45450</v>
      </c>
      <c r="C1761" t="s">
        <v>12</v>
      </c>
      <c r="D1761" s="2">
        <v>6955.93</v>
      </c>
      <c r="E1761" s="2">
        <v>0</v>
      </c>
      <c r="F1761" t="s">
        <v>13</v>
      </c>
      <c r="G1761" t="s">
        <v>9</v>
      </c>
    </row>
    <row r="1762" spans="1:7" x14ac:dyDescent="0.35">
      <c r="A1762">
        <v>688</v>
      </c>
      <c r="B1762" s="1">
        <v>45450</v>
      </c>
      <c r="C1762" t="s">
        <v>12</v>
      </c>
      <c r="D1762" s="2">
        <v>0</v>
      </c>
      <c r="E1762" s="2">
        <v>6470.64</v>
      </c>
      <c r="F1762" t="s">
        <v>14</v>
      </c>
      <c r="G1762" t="s">
        <v>15</v>
      </c>
    </row>
    <row r="1763" spans="1:7" x14ac:dyDescent="0.35">
      <c r="A1763">
        <v>688</v>
      </c>
      <c r="B1763" s="1">
        <v>45450</v>
      </c>
      <c r="C1763" t="s">
        <v>12</v>
      </c>
      <c r="D1763" s="2">
        <v>0</v>
      </c>
      <c r="E1763" s="2">
        <v>485.29</v>
      </c>
      <c r="F1763" t="s">
        <v>16</v>
      </c>
      <c r="G1763" t="s">
        <v>17</v>
      </c>
    </row>
    <row r="1764" spans="1:7" x14ac:dyDescent="0.35">
      <c r="A1764">
        <v>689</v>
      </c>
      <c r="B1764" s="1">
        <v>45450</v>
      </c>
      <c r="C1764" t="s">
        <v>12</v>
      </c>
      <c r="D1764" s="2">
        <v>1925.19</v>
      </c>
      <c r="E1764" s="2">
        <v>0</v>
      </c>
      <c r="F1764" t="s">
        <v>13</v>
      </c>
      <c r="G1764" t="s">
        <v>9</v>
      </c>
    </row>
    <row r="1765" spans="1:7" x14ac:dyDescent="0.35">
      <c r="A1765">
        <v>689</v>
      </c>
      <c r="B1765" s="1">
        <v>45450</v>
      </c>
      <c r="C1765" t="s">
        <v>12</v>
      </c>
      <c r="D1765" s="2">
        <v>0</v>
      </c>
      <c r="E1765" s="2">
        <v>1790.88</v>
      </c>
      <c r="F1765" t="s">
        <v>14</v>
      </c>
      <c r="G1765" t="s">
        <v>15</v>
      </c>
    </row>
    <row r="1766" spans="1:7" x14ac:dyDescent="0.35">
      <c r="A1766">
        <v>689</v>
      </c>
      <c r="B1766" s="1">
        <v>45450</v>
      </c>
      <c r="C1766" t="s">
        <v>12</v>
      </c>
      <c r="D1766" s="2">
        <v>0</v>
      </c>
      <c r="E1766" s="2">
        <v>134.31</v>
      </c>
      <c r="F1766" t="s">
        <v>16</v>
      </c>
      <c r="G1766" t="s">
        <v>17</v>
      </c>
    </row>
    <row r="1767" spans="1:7" x14ac:dyDescent="0.35">
      <c r="A1767">
        <v>690</v>
      </c>
      <c r="B1767" s="1">
        <v>45450</v>
      </c>
      <c r="C1767" t="s">
        <v>24</v>
      </c>
      <c r="D1767" s="2">
        <v>792.93</v>
      </c>
      <c r="E1767" s="2">
        <v>0</v>
      </c>
      <c r="F1767" t="s">
        <v>8</v>
      </c>
      <c r="G1767" t="s">
        <v>9</v>
      </c>
    </row>
    <row r="1768" spans="1:7" x14ac:dyDescent="0.35">
      <c r="A1768">
        <v>690</v>
      </c>
      <c r="B1768" s="1">
        <v>45450</v>
      </c>
      <c r="C1768" t="s">
        <v>24</v>
      </c>
      <c r="D1768" s="2">
        <v>0</v>
      </c>
      <c r="E1768" s="2">
        <v>792.93</v>
      </c>
      <c r="F1768" t="s">
        <v>13</v>
      </c>
      <c r="G1768" t="s">
        <v>9</v>
      </c>
    </row>
    <row r="1769" spans="1:7" x14ac:dyDescent="0.35">
      <c r="A1769">
        <v>691</v>
      </c>
      <c r="B1769" s="1">
        <v>45450</v>
      </c>
      <c r="C1769" t="s">
        <v>24</v>
      </c>
      <c r="D1769" s="2">
        <v>3452.23</v>
      </c>
      <c r="E1769" s="2">
        <v>0</v>
      </c>
      <c r="F1769" t="s">
        <v>8</v>
      </c>
      <c r="G1769" t="s">
        <v>9</v>
      </c>
    </row>
    <row r="1770" spans="1:7" x14ac:dyDescent="0.35">
      <c r="A1770">
        <v>691</v>
      </c>
      <c r="B1770" s="1">
        <v>45450</v>
      </c>
      <c r="C1770" t="s">
        <v>24</v>
      </c>
      <c r="D1770" s="2">
        <v>0</v>
      </c>
      <c r="E1770" s="2">
        <v>3452.23</v>
      </c>
      <c r="F1770" t="s">
        <v>13</v>
      </c>
      <c r="G1770" t="s">
        <v>9</v>
      </c>
    </row>
    <row r="1771" spans="1:7" x14ac:dyDescent="0.35">
      <c r="A1771">
        <v>692</v>
      </c>
      <c r="B1771" s="1">
        <v>45450</v>
      </c>
      <c r="C1771" t="s">
        <v>24</v>
      </c>
      <c r="D1771" s="2">
        <v>2390.7800000000002</v>
      </c>
      <c r="E1771" s="2">
        <v>0</v>
      </c>
      <c r="F1771" t="s">
        <v>8</v>
      </c>
      <c r="G1771" t="s">
        <v>9</v>
      </c>
    </row>
    <row r="1772" spans="1:7" x14ac:dyDescent="0.35">
      <c r="A1772">
        <v>692</v>
      </c>
      <c r="B1772" s="1">
        <v>45450</v>
      </c>
      <c r="C1772" t="s">
        <v>24</v>
      </c>
      <c r="D1772" s="2">
        <v>0</v>
      </c>
      <c r="E1772" s="2">
        <v>2390.7800000000002</v>
      </c>
      <c r="F1772" t="s">
        <v>13</v>
      </c>
      <c r="G1772" t="s">
        <v>9</v>
      </c>
    </row>
    <row r="1773" spans="1:7" x14ac:dyDescent="0.35">
      <c r="A1773">
        <v>693</v>
      </c>
      <c r="B1773" s="1">
        <v>45450</v>
      </c>
      <c r="C1773" t="s">
        <v>25</v>
      </c>
      <c r="D1773" s="2">
        <v>2451.5</v>
      </c>
      <c r="E1773" s="2">
        <v>0</v>
      </c>
      <c r="F1773" t="s">
        <v>26</v>
      </c>
      <c r="G1773" t="s">
        <v>20</v>
      </c>
    </row>
    <row r="1774" spans="1:7" x14ac:dyDescent="0.35">
      <c r="A1774">
        <v>693</v>
      </c>
      <c r="B1774" s="1">
        <v>45450</v>
      </c>
      <c r="C1774" t="s">
        <v>25</v>
      </c>
      <c r="D1774" s="2">
        <v>183.86</v>
      </c>
      <c r="E1774" s="2">
        <v>0</v>
      </c>
      <c r="F1774" t="s">
        <v>27</v>
      </c>
      <c r="G1774" t="s">
        <v>9</v>
      </c>
    </row>
    <row r="1775" spans="1:7" x14ac:dyDescent="0.35">
      <c r="A1775">
        <v>693</v>
      </c>
      <c r="B1775" s="1">
        <v>45450</v>
      </c>
      <c r="C1775" t="s">
        <v>25</v>
      </c>
      <c r="D1775" s="2">
        <v>0</v>
      </c>
      <c r="E1775" s="2">
        <v>2635.36</v>
      </c>
      <c r="F1775" t="s">
        <v>28</v>
      </c>
      <c r="G1775" t="s">
        <v>17</v>
      </c>
    </row>
    <row r="1776" spans="1:7" x14ac:dyDescent="0.35">
      <c r="A1776">
        <v>694</v>
      </c>
      <c r="B1776" s="1">
        <v>45450</v>
      </c>
      <c r="C1776" t="s">
        <v>29</v>
      </c>
      <c r="D1776" s="2">
        <v>1766.46</v>
      </c>
      <c r="E1776" s="2">
        <v>0</v>
      </c>
      <c r="F1776" t="s">
        <v>28</v>
      </c>
      <c r="G1776" t="s">
        <v>17</v>
      </c>
    </row>
    <row r="1777" spans="1:7" x14ac:dyDescent="0.35">
      <c r="A1777">
        <v>694</v>
      </c>
      <c r="B1777" s="1">
        <v>45450</v>
      </c>
      <c r="C1777" t="s">
        <v>29</v>
      </c>
      <c r="D1777" s="2">
        <v>0</v>
      </c>
      <c r="E1777" s="2">
        <v>1766.46</v>
      </c>
      <c r="F1777" t="s">
        <v>8</v>
      </c>
      <c r="G1777" t="s">
        <v>9</v>
      </c>
    </row>
    <row r="1778" spans="1:7" x14ac:dyDescent="0.35">
      <c r="A1778">
        <v>695</v>
      </c>
      <c r="B1778" s="1">
        <v>45450</v>
      </c>
      <c r="C1778" t="s">
        <v>29</v>
      </c>
      <c r="D1778" s="2">
        <v>748.26</v>
      </c>
      <c r="E1778" s="2">
        <v>0</v>
      </c>
      <c r="F1778" t="s">
        <v>28</v>
      </c>
      <c r="G1778" t="s">
        <v>17</v>
      </c>
    </row>
    <row r="1779" spans="1:7" x14ac:dyDescent="0.35">
      <c r="A1779">
        <v>695</v>
      </c>
      <c r="B1779" s="1">
        <v>45450</v>
      </c>
      <c r="C1779" t="s">
        <v>29</v>
      </c>
      <c r="D1779" s="2">
        <v>0</v>
      </c>
      <c r="E1779" s="2">
        <v>748.26</v>
      </c>
      <c r="F1779" t="s">
        <v>8</v>
      </c>
      <c r="G1779" t="s">
        <v>9</v>
      </c>
    </row>
    <row r="1780" spans="1:7" x14ac:dyDescent="0.35">
      <c r="A1780">
        <v>696</v>
      </c>
      <c r="B1780" s="1">
        <v>45453</v>
      </c>
      <c r="C1780" t="s">
        <v>12</v>
      </c>
      <c r="D1780" s="2">
        <v>1594.48</v>
      </c>
      <c r="E1780" s="2">
        <v>0</v>
      </c>
      <c r="F1780" t="s">
        <v>13</v>
      </c>
      <c r="G1780" t="s">
        <v>9</v>
      </c>
    </row>
    <row r="1781" spans="1:7" x14ac:dyDescent="0.35">
      <c r="A1781">
        <v>696</v>
      </c>
      <c r="B1781" s="1">
        <v>45453</v>
      </c>
      <c r="C1781" t="s">
        <v>12</v>
      </c>
      <c r="D1781" s="2">
        <v>0</v>
      </c>
      <c r="E1781" s="2">
        <v>1483.24</v>
      </c>
      <c r="F1781" t="s">
        <v>14</v>
      </c>
      <c r="G1781" t="s">
        <v>15</v>
      </c>
    </row>
    <row r="1782" spans="1:7" x14ac:dyDescent="0.35">
      <c r="A1782">
        <v>696</v>
      </c>
      <c r="B1782" s="1">
        <v>45453</v>
      </c>
      <c r="C1782" t="s">
        <v>12</v>
      </c>
      <c r="D1782" s="2">
        <v>0</v>
      </c>
      <c r="E1782" s="2">
        <v>111.24</v>
      </c>
      <c r="F1782" t="s">
        <v>16</v>
      </c>
      <c r="G1782" t="s">
        <v>17</v>
      </c>
    </row>
    <row r="1783" spans="1:7" x14ac:dyDescent="0.35">
      <c r="A1783">
        <v>697</v>
      </c>
      <c r="B1783" s="1">
        <v>45453</v>
      </c>
      <c r="C1783" t="s">
        <v>12</v>
      </c>
      <c r="D1783" s="2">
        <v>193.94</v>
      </c>
      <c r="E1783" s="2">
        <v>0</v>
      </c>
      <c r="F1783" t="s">
        <v>13</v>
      </c>
      <c r="G1783" t="s">
        <v>9</v>
      </c>
    </row>
    <row r="1784" spans="1:7" x14ac:dyDescent="0.35">
      <c r="A1784">
        <v>697</v>
      </c>
      <c r="B1784" s="1">
        <v>45453</v>
      </c>
      <c r="C1784" t="s">
        <v>12</v>
      </c>
      <c r="D1784" s="2">
        <v>0</v>
      </c>
      <c r="E1784" s="2">
        <v>180.41</v>
      </c>
      <c r="F1784" t="s">
        <v>14</v>
      </c>
      <c r="G1784" t="s">
        <v>15</v>
      </c>
    </row>
    <row r="1785" spans="1:7" x14ac:dyDescent="0.35">
      <c r="A1785">
        <v>697</v>
      </c>
      <c r="B1785" s="1">
        <v>45453</v>
      </c>
      <c r="C1785" t="s">
        <v>12</v>
      </c>
      <c r="D1785" s="2">
        <v>0</v>
      </c>
      <c r="E1785" s="2">
        <v>13.53</v>
      </c>
      <c r="F1785" t="s">
        <v>16</v>
      </c>
      <c r="G1785" t="s">
        <v>17</v>
      </c>
    </row>
    <row r="1786" spans="1:7" x14ac:dyDescent="0.35">
      <c r="A1786">
        <v>698</v>
      </c>
      <c r="B1786" s="1">
        <v>45453</v>
      </c>
      <c r="C1786" t="s">
        <v>12</v>
      </c>
      <c r="D1786" s="2">
        <v>4175.78</v>
      </c>
      <c r="E1786" s="2">
        <v>0</v>
      </c>
      <c r="F1786" t="s">
        <v>13</v>
      </c>
      <c r="G1786" t="s">
        <v>9</v>
      </c>
    </row>
    <row r="1787" spans="1:7" x14ac:dyDescent="0.35">
      <c r="A1787">
        <v>698</v>
      </c>
      <c r="B1787" s="1">
        <v>45453</v>
      </c>
      <c r="C1787" t="s">
        <v>12</v>
      </c>
      <c r="D1787" s="2">
        <v>0</v>
      </c>
      <c r="E1787" s="2">
        <v>3884.45</v>
      </c>
      <c r="F1787" t="s">
        <v>14</v>
      </c>
      <c r="G1787" t="s">
        <v>15</v>
      </c>
    </row>
    <row r="1788" spans="1:7" x14ac:dyDescent="0.35">
      <c r="A1788">
        <v>698</v>
      </c>
      <c r="B1788" s="1">
        <v>45453</v>
      </c>
      <c r="C1788" t="s">
        <v>12</v>
      </c>
      <c r="D1788" s="2">
        <v>0</v>
      </c>
      <c r="E1788" s="2">
        <v>291.33</v>
      </c>
      <c r="F1788" t="s">
        <v>16</v>
      </c>
      <c r="G1788" t="s">
        <v>17</v>
      </c>
    </row>
    <row r="1789" spans="1:7" x14ac:dyDescent="0.35">
      <c r="A1789">
        <v>699</v>
      </c>
      <c r="B1789" s="1">
        <v>45453</v>
      </c>
      <c r="C1789" t="s">
        <v>12</v>
      </c>
      <c r="D1789" s="2">
        <v>3785.13</v>
      </c>
      <c r="E1789" s="2">
        <v>0</v>
      </c>
      <c r="F1789" t="s">
        <v>13</v>
      </c>
      <c r="G1789" t="s">
        <v>9</v>
      </c>
    </row>
    <row r="1790" spans="1:7" x14ac:dyDescent="0.35">
      <c r="A1790">
        <v>699</v>
      </c>
      <c r="B1790" s="1">
        <v>45453</v>
      </c>
      <c r="C1790" t="s">
        <v>12</v>
      </c>
      <c r="D1790" s="2">
        <v>0</v>
      </c>
      <c r="E1790" s="2">
        <v>3521.06</v>
      </c>
      <c r="F1790" t="s">
        <v>14</v>
      </c>
      <c r="G1790" t="s">
        <v>15</v>
      </c>
    </row>
    <row r="1791" spans="1:7" x14ac:dyDescent="0.35">
      <c r="A1791">
        <v>699</v>
      </c>
      <c r="B1791" s="1">
        <v>45453</v>
      </c>
      <c r="C1791" t="s">
        <v>12</v>
      </c>
      <c r="D1791" s="2">
        <v>0</v>
      </c>
      <c r="E1791" s="2">
        <v>264.07</v>
      </c>
      <c r="F1791" t="s">
        <v>16</v>
      </c>
      <c r="G1791" t="s">
        <v>17</v>
      </c>
    </row>
    <row r="1792" spans="1:7" x14ac:dyDescent="0.35">
      <c r="A1792">
        <v>700</v>
      </c>
      <c r="B1792" s="1">
        <v>45453</v>
      </c>
      <c r="C1792" t="s">
        <v>12</v>
      </c>
      <c r="D1792" s="2">
        <v>422.85</v>
      </c>
      <c r="E1792" s="2">
        <v>0</v>
      </c>
      <c r="F1792" t="s">
        <v>13</v>
      </c>
      <c r="G1792" t="s">
        <v>9</v>
      </c>
    </row>
    <row r="1793" spans="1:7" x14ac:dyDescent="0.35">
      <c r="A1793">
        <v>700</v>
      </c>
      <c r="B1793" s="1">
        <v>45453</v>
      </c>
      <c r="C1793" t="s">
        <v>12</v>
      </c>
      <c r="D1793" s="2">
        <v>0</v>
      </c>
      <c r="E1793" s="2">
        <v>393.35</v>
      </c>
      <c r="F1793" t="s">
        <v>14</v>
      </c>
      <c r="G1793" t="s">
        <v>15</v>
      </c>
    </row>
    <row r="1794" spans="1:7" x14ac:dyDescent="0.35">
      <c r="A1794">
        <v>700</v>
      </c>
      <c r="B1794" s="1">
        <v>45453</v>
      </c>
      <c r="C1794" t="s">
        <v>12</v>
      </c>
      <c r="D1794" s="2">
        <v>0</v>
      </c>
      <c r="E1794" s="2">
        <v>29.5</v>
      </c>
      <c r="F1794" t="s">
        <v>16</v>
      </c>
      <c r="G1794" t="s">
        <v>17</v>
      </c>
    </row>
    <row r="1795" spans="1:7" x14ac:dyDescent="0.35">
      <c r="A1795">
        <v>701</v>
      </c>
      <c r="B1795" s="1">
        <v>45453</v>
      </c>
      <c r="C1795" t="s">
        <v>24</v>
      </c>
      <c r="D1795" s="2">
        <v>2792.87</v>
      </c>
      <c r="E1795" s="2">
        <v>0</v>
      </c>
      <c r="F1795" t="s">
        <v>8</v>
      </c>
      <c r="G1795" t="s">
        <v>9</v>
      </c>
    </row>
    <row r="1796" spans="1:7" x14ac:dyDescent="0.35">
      <c r="A1796">
        <v>701</v>
      </c>
      <c r="B1796" s="1">
        <v>45453</v>
      </c>
      <c r="C1796" t="s">
        <v>24</v>
      </c>
      <c r="D1796" s="2">
        <v>0</v>
      </c>
      <c r="E1796" s="2">
        <v>2792.87</v>
      </c>
      <c r="F1796" t="s">
        <v>13</v>
      </c>
      <c r="G1796" t="s">
        <v>9</v>
      </c>
    </row>
    <row r="1797" spans="1:7" x14ac:dyDescent="0.35">
      <c r="A1797">
        <v>702</v>
      </c>
      <c r="B1797" s="1">
        <v>45453</v>
      </c>
      <c r="C1797" t="s">
        <v>24</v>
      </c>
      <c r="D1797" s="2">
        <v>2368.61</v>
      </c>
      <c r="E1797" s="2">
        <v>0</v>
      </c>
      <c r="F1797" t="s">
        <v>8</v>
      </c>
      <c r="G1797" t="s">
        <v>9</v>
      </c>
    </row>
    <row r="1798" spans="1:7" x14ac:dyDescent="0.35">
      <c r="A1798">
        <v>702</v>
      </c>
      <c r="B1798" s="1">
        <v>45453</v>
      </c>
      <c r="C1798" t="s">
        <v>24</v>
      </c>
      <c r="D1798" s="2">
        <v>0</v>
      </c>
      <c r="E1798" s="2">
        <v>2368.61</v>
      </c>
      <c r="F1798" t="s">
        <v>13</v>
      </c>
      <c r="G1798" t="s">
        <v>9</v>
      </c>
    </row>
    <row r="1799" spans="1:7" x14ac:dyDescent="0.35">
      <c r="A1799">
        <v>703</v>
      </c>
      <c r="B1799" s="1">
        <v>45453</v>
      </c>
      <c r="C1799" t="s">
        <v>24</v>
      </c>
      <c r="D1799" s="2">
        <v>1839.35</v>
      </c>
      <c r="E1799" s="2">
        <v>0</v>
      </c>
      <c r="F1799" t="s">
        <v>8</v>
      </c>
      <c r="G1799" t="s">
        <v>9</v>
      </c>
    </row>
    <row r="1800" spans="1:7" x14ac:dyDescent="0.35">
      <c r="A1800">
        <v>703</v>
      </c>
      <c r="B1800" s="1">
        <v>45453</v>
      </c>
      <c r="C1800" t="s">
        <v>24</v>
      </c>
      <c r="D1800" s="2">
        <v>0</v>
      </c>
      <c r="E1800" s="2">
        <v>1839.35</v>
      </c>
      <c r="F1800" t="s">
        <v>13</v>
      </c>
      <c r="G1800" t="s">
        <v>9</v>
      </c>
    </row>
    <row r="1801" spans="1:7" x14ac:dyDescent="0.35">
      <c r="A1801">
        <v>704</v>
      </c>
      <c r="B1801" s="1">
        <v>45453</v>
      </c>
      <c r="C1801" t="s">
        <v>24</v>
      </c>
      <c r="D1801" s="2">
        <v>1944.54</v>
      </c>
      <c r="E1801" s="2">
        <v>0</v>
      </c>
      <c r="F1801" t="s">
        <v>8</v>
      </c>
      <c r="G1801" t="s">
        <v>9</v>
      </c>
    </row>
    <row r="1802" spans="1:7" x14ac:dyDescent="0.35">
      <c r="A1802">
        <v>704</v>
      </c>
      <c r="B1802" s="1">
        <v>45453</v>
      </c>
      <c r="C1802" t="s">
        <v>24</v>
      </c>
      <c r="D1802" s="2">
        <v>0</v>
      </c>
      <c r="E1802" s="2">
        <v>1944.54</v>
      </c>
      <c r="F1802" t="s">
        <v>13</v>
      </c>
      <c r="G1802" t="s">
        <v>9</v>
      </c>
    </row>
    <row r="1803" spans="1:7" x14ac:dyDescent="0.35">
      <c r="A1803">
        <v>705</v>
      </c>
      <c r="B1803" s="1">
        <v>45453</v>
      </c>
      <c r="C1803" t="s">
        <v>25</v>
      </c>
      <c r="D1803" s="2">
        <v>802.71</v>
      </c>
      <c r="E1803" s="2">
        <v>0</v>
      </c>
      <c r="F1803" t="s">
        <v>26</v>
      </c>
      <c r="G1803" t="s">
        <v>20</v>
      </c>
    </row>
    <row r="1804" spans="1:7" x14ac:dyDescent="0.35">
      <c r="A1804">
        <v>705</v>
      </c>
      <c r="B1804" s="1">
        <v>45453</v>
      </c>
      <c r="C1804" t="s">
        <v>25</v>
      </c>
      <c r="D1804" s="2">
        <v>60.2</v>
      </c>
      <c r="E1804" s="2">
        <v>0</v>
      </c>
      <c r="F1804" t="s">
        <v>27</v>
      </c>
      <c r="G1804" t="s">
        <v>9</v>
      </c>
    </row>
    <row r="1805" spans="1:7" x14ac:dyDescent="0.35">
      <c r="A1805">
        <v>705</v>
      </c>
      <c r="B1805" s="1">
        <v>45453</v>
      </c>
      <c r="C1805" t="s">
        <v>25</v>
      </c>
      <c r="D1805" s="2">
        <v>0</v>
      </c>
      <c r="E1805" s="2">
        <v>862.91</v>
      </c>
      <c r="F1805" t="s">
        <v>28</v>
      </c>
      <c r="G1805" t="s">
        <v>17</v>
      </c>
    </row>
    <row r="1806" spans="1:7" x14ac:dyDescent="0.35">
      <c r="A1806">
        <v>706</v>
      </c>
      <c r="B1806" s="1">
        <v>45453</v>
      </c>
      <c r="C1806" t="s">
        <v>25</v>
      </c>
      <c r="D1806" s="2">
        <v>1947.24</v>
      </c>
      <c r="E1806" s="2">
        <v>0</v>
      </c>
      <c r="F1806" t="s">
        <v>26</v>
      </c>
      <c r="G1806" t="s">
        <v>20</v>
      </c>
    </row>
    <row r="1807" spans="1:7" x14ac:dyDescent="0.35">
      <c r="A1807">
        <v>706</v>
      </c>
      <c r="B1807" s="1">
        <v>45453</v>
      </c>
      <c r="C1807" t="s">
        <v>25</v>
      </c>
      <c r="D1807" s="2">
        <v>146.04</v>
      </c>
      <c r="E1807" s="2">
        <v>0</v>
      </c>
      <c r="F1807" t="s">
        <v>27</v>
      </c>
      <c r="G1807" t="s">
        <v>9</v>
      </c>
    </row>
    <row r="1808" spans="1:7" x14ac:dyDescent="0.35">
      <c r="A1808">
        <v>706</v>
      </c>
      <c r="B1808" s="1">
        <v>45453</v>
      </c>
      <c r="C1808" t="s">
        <v>25</v>
      </c>
      <c r="D1808" s="2">
        <v>0</v>
      </c>
      <c r="E1808" s="2">
        <v>2093.2800000000002</v>
      </c>
      <c r="F1808" t="s">
        <v>28</v>
      </c>
      <c r="G1808" t="s">
        <v>17</v>
      </c>
    </row>
    <row r="1809" spans="1:7" x14ac:dyDescent="0.35">
      <c r="A1809">
        <v>707</v>
      </c>
      <c r="B1809" s="1">
        <v>45453</v>
      </c>
      <c r="C1809" t="s">
        <v>25</v>
      </c>
      <c r="D1809" s="2">
        <v>2329.52</v>
      </c>
      <c r="E1809" s="2">
        <v>0</v>
      </c>
      <c r="F1809" t="s">
        <v>26</v>
      </c>
      <c r="G1809" t="s">
        <v>20</v>
      </c>
    </row>
    <row r="1810" spans="1:7" x14ac:dyDescent="0.35">
      <c r="A1810">
        <v>707</v>
      </c>
      <c r="B1810" s="1">
        <v>45453</v>
      </c>
      <c r="C1810" t="s">
        <v>25</v>
      </c>
      <c r="D1810" s="2">
        <v>174.71</v>
      </c>
      <c r="E1810" s="2">
        <v>0</v>
      </c>
      <c r="F1810" t="s">
        <v>27</v>
      </c>
      <c r="G1810" t="s">
        <v>9</v>
      </c>
    </row>
    <row r="1811" spans="1:7" x14ac:dyDescent="0.35">
      <c r="A1811">
        <v>707</v>
      </c>
      <c r="B1811" s="1">
        <v>45453</v>
      </c>
      <c r="C1811" t="s">
        <v>25</v>
      </c>
      <c r="D1811" s="2">
        <v>0</v>
      </c>
      <c r="E1811" s="2">
        <v>2504.23</v>
      </c>
      <c r="F1811" t="s">
        <v>28</v>
      </c>
      <c r="G1811" t="s">
        <v>17</v>
      </c>
    </row>
    <row r="1812" spans="1:7" x14ac:dyDescent="0.35">
      <c r="A1812">
        <v>708</v>
      </c>
      <c r="B1812" s="1">
        <v>45453</v>
      </c>
      <c r="C1812" t="s">
        <v>25</v>
      </c>
      <c r="D1812" s="2">
        <v>1822.08</v>
      </c>
      <c r="E1812" s="2">
        <v>0</v>
      </c>
      <c r="F1812" t="s">
        <v>26</v>
      </c>
      <c r="G1812" t="s">
        <v>20</v>
      </c>
    </row>
    <row r="1813" spans="1:7" x14ac:dyDescent="0.35">
      <c r="A1813">
        <v>708</v>
      </c>
      <c r="B1813" s="1">
        <v>45453</v>
      </c>
      <c r="C1813" t="s">
        <v>25</v>
      </c>
      <c r="D1813" s="2">
        <v>136.66</v>
      </c>
      <c r="E1813" s="2">
        <v>0</v>
      </c>
      <c r="F1813" t="s">
        <v>27</v>
      </c>
      <c r="G1813" t="s">
        <v>9</v>
      </c>
    </row>
    <row r="1814" spans="1:7" x14ac:dyDescent="0.35">
      <c r="A1814">
        <v>708</v>
      </c>
      <c r="B1814" s="1">
        <v>45453</v>
      </c>
      <c r="C1814" t="s">
        <v>25</v>
      </c>
      <c r="D1814" s="2">
        <v>0</v>
      </c>
      <c r="E1814" s="2">
        <v>1958.74</v>
      </c>
      <c r="F1814" t="s">
        <v>28</v>
      </c>
      <c r="G1814" t="s">
        <v>17</v>
      </c>
    </row>
    <row r="1815" spans="1:7" x14ac:dyDescent="0.35">
      <c r="A1815">
        <v>709</v>
      </c>
      <c r="B1815" s="1">
        <v>45453</v>
      </c>
      <c r="C1815" t="s">
        <v>25</v>
      </c>
      <c r="D1815" s="2">
        <v>512</v>
      </c>
      <c r="E1815" s="2">
        <v>0</v>
      </c>
      <c r="F1815" t="s">
        <v>26</v>
      </c>
      <c r="G1815" t="s">
        <v>20</v>
      </c>
    </row>
    <row r="1816" spans="1:7" x14ac:dyDescent="0.35">
      <c r="A1816">
        <v>709</v>
      </c>
      <c r="B1816" s="1">
        <v>45453</v>
      </c>
      <c r="C1816" t="s">
        <v>25</v>
      </c>
      <c r="D1816" s="2">
        <v>38.4</v>
      </c>
      <c r="E1816" s="2">
        <v>0</v>
      </c>
      <c r="F1816" t="s">
        <v>27</v>
      </c>
      <c r="G1816" t="s">
        <v>9</v>
      </c>
    </row>
    <row r="1817" spans="1:7" x14ac:dyDescent="0.35">
      <c r="A1817">
        <v>709</v>
      </c>
      <c r="B1817" s="1">
        <v>45453</v>
      </c>
      <c r="C1817" t="s">
        <v>25</v>
      </c>
      <c r="D1817" s="2">
        <v>0</v>
      </c>
      <c r="E1817" s="2">
        <v>550.4</v>
      </c>
      <c r="F1817" t="s">
        <v>28</v>
      </c>
      <c r="G1817" t="s">
        <v>17</v>
      </c>
    </row>
    <row r="1818" spans="1:7" x14ac:dyDescent="0.35">
      <c r="A1818">
        <v>710</v>
      </c>
      <c r="B1818" s="1">
        <v>45453</v>
      </c>
      <c r="C1818" t="s">
        <v>25</v>
      </c>
      <c r="D1818" s="2">
        <v>952.02</v>
      </c>
      <c r="E1818" s="2">
        <v>0</v>
      </c>
      <c r="F1818" t="s">
        <v>26</v>
      </c>
      <c r="G1818" t="s">
        <v>20</v>
      </c>
    </row>
    <row r="1819" spans="1:7" x14ac:dyDescent="0.35">
      <c r="A1819">
        <v>710</v>
      </c>
      <c r="B1819" s="1">
        <v>45453</v>
      </c>
      <c r="C1819" t="s">
        <v>25</v>
      </c>
      <c r="D1819" s="2">
        <v>71.400000000000006</v>
      </c>
      <c r="E1819" s="2">
        <v>0</v>
      </c>
      <c r="F1819" t="s">
        <v>27</v>
      </c>
      <c r="G1819" t="s">
        <v>9</v>
      </c>
    </row>
    <row r="1820" spans="1:7" x14ac:dyDescent="0.35">
      <c r="A1820">
        <v>710</v>
      </c>
      <c r="B1820" s="1">
        <v>45453</v>
      </c>
      <c r="C1820" t="s">
        <v>25</v>
      </c>
      <c r="D1820" s="2">
        <v>0</v>
      </c>
      <c r="E1820" s="2">
        <v>1023.42</v>
      </c>
      <c r="F1820" t="s">
        <v>28</v>
      </c>
      <c r="G1820" t="s">
        <v>17</v>
      </c>
    </row>
    <row r="1821" spans="1:7" x14ac:dyDescent="0.35">
      <c r="A1821">
        <v>711</v>
      </c>
      <c r="B1821" s="1">
        <v>45453</v>
      </c>
      <c r="C1821" t="s">
        <v>29</v>
      </c>
      <c r="D1821" s="2">
        <v>2504.23</v>
      </c>
      <c r="E1821" s="2">
        <v>0</v>
      </c>
      <c r="F1821" t="s">
        <v>28</v>
      </c>
      <c r="G1821" t="s">
        <v>17</v>
      </c>
    </row>
    <row r="1822" spans="1:7" x14ac:dyDescent="0.35">
      <c r="A1822">
        <v>711</v>
      </c>
      <c r="B1822" s="1">
        <v>45453</v>
      </c>
      <c r="C1822" t="s">
        <v>29</v>
      </c>
      <c r="D1822" s="2">
        <v>0</v>
      </c>
      <c r="E1822" s="2">
        <v>2504.23</v>
      </c>
      <c r="F1822" t="s">
        <v>8</v>
      </c>
      <c r="G1822" t="s">
        <v>9</v>
      </c>
    </row>
    <row r="1823" spans="1:7" x14ac:dyDescent="0.35">
      <c r="A1823">
        <v>712</v>
      </c>
      <c r="B1823" s="1">
        <v>45453</v>
      </c>
      <c r="C1823" t="s">
        <v>29</v>
      </c>
      <c r="D1823" s="2">
        <v>179.01</v>
      </c>
      <c r="E1823" s="2">
        <v>0</v>
      </c>
      <c r="F1823" t="s">
        <v>28</v>
      </c>
      <c r="G1823" t="s">
        <v>17</v>
      </c>
    </row>
    <row r="1824" spans="1:7" x14ac:dyDescent="0.35">
      <c r="A1824">
        <v>712</v>
      </c>
      <c r="B1824" s="1">
        <v>45453</v>
      </c>
      <c r="C1824" t="s">
        <v>29</v>
      </c>
      <c r="D1824" s="2">
        <v>0</v>
      </c>
      <c r="E1824" s="2">
        <v>179.01</v>
      </c>
      <c r="F1824" t="s">
        <v>8</v>
      </c>
      <c r="G1824" t="s">
        <v>9</v>
      </c>
    </row>
    <row r="1825" spans="1:7" x14ac:dyDescent="0.35">
      <c r="A1825">
        <v>713</v>
      </c>
      <c r="B1825" s="1">
        <v>45454</v>
      </c>
      <c r="C1825" t="s">
        <v>12</v>
      </c>
      <c r="D1825" s="2">
        <v>169.99</v>
      </c>
      <c r="E1825" s="2">
        <v>0</v>
      </c>
      <c r="F1825" t="s">
        <v>13</v>
      </c>
      <c r="G1825" t="s">
        <v>9</v>
      </c>
    </row>
    <row r="1826" spans="1:7" x14ac:dyDescent="0.35">
      <c r="A1826">
        <v>713</v>
      </c>
      <c r="B1826" s="1">
        <v>45454</v>
      </c>
      <c r="C1826" t="s">
        <v>12</v>
      </c>
      <c r="D1826" s="2">
        <v>0</v>
      </c>
      <c r="E1826" s="2">
        <v>158.13</v>
      </c>
      <c r="F1826" t="s">
        <v>14</v>
      </c>
      <c r="G1826" t="s">
        <v>15</v>
      </c>
    </row>
    <row r="1827" spans="1:7" x14ac:dyDescent="0.35">
      <c r="A1827">
        <v>713</v>
      </c>
      <c r="B1827" s="1">
        <v>45454</v>
      </c>
      <c r="C1827" t="s">
        <v>12</v>
      </c>
      <c r="D1827" s="2">
        <v>0</v>
      </c>
      <c r="E1827" s="2">
        <v>11.86</v>
      </c>
      <c r="F1827" t="s">
        <v>16</v>
      </c>
      <c r="G1827" t="s">
        <v>17</v>
      </c>
    </row>
    <row r="1828" spans="1:7" x14ac:dyDescent="0.35">
      <c r="A1828">
        <v>714</v>
      </c>
      <c r="B1828" s="1">
        <v>45454</v>
      </c>
      <c r="C1828" t="s">
        <v>12</v>
      </c>
      <c r="D1828" s="2">
        <v>1613.37</v>
      </c>
      <c r="E1828" s="2">
        <v>0</v>
      </c>
      <c r="F1828" t="s">
        <v>13</v>
      </c>
      <c r="G1828" t="s">
        <v>9</v>
      </c>
    </row>
    <row r="1829" spans="1:7" x14ac:dyDescent="0.35">
      <c r="A1829">
        <v>714</v>
      </c>
      <c r="B1829" s="1">
        <v>45454</v>
      </c>
      <c r="C1829" t="s">
        <v>12</v>
      </c>
      <c r="D1829" s="2">
        <v>0</v>
      </c>
      <c r="E1829" s="2">
        <v>1500.81</v>
      </c>
      <c r="F1829" t="s">
        <v>14</v>
      </c>
      <c r="G1829" t="s">
        <v>15</v>
      </c>
    </row>
    <row r="1830" spans="1:7" x14ac:dyDescent="0.35">
      <c r="A1830">
        <v>714</v>
      </c>
      <c r="B1830" s="1">
        <v>45454</v>
      </c>
      <c r="C1830" t="s">
        <v>12</v>
      </c>
      <c r="D1830" s="2">
        <v>0</v>
      </c>
      <c r="E1830" s="2">
        <v>112.56</v>
      </c>
      <c r="F1830" t="s">
        <v>16</v>
      </c>
      <c r="G1830" t="s">
        <v>17</v>
      </c>
    </row>
    <row r="1831" spans="1:7" x14ac:dyDescent="0.35">
      <c r="A1831">
        <v>715</v>
      </c>
      <c r="B1831" s="1">
        <v>45454</v>
      </c>
      <c r="C1831" t="s">
        <v>12</v>
      </c>
      <c r="D1831" s="2">
        <v>2614.5300000000002</v>
      </c>
      <c r="E1831" s="2">
        <v>0</v>
      </c>
      <c r="F1831" t="s">
        <v>13</v>
      </c>
      <c r="G1831" t="s">
        <v>9</v>
      </c>
    </row>
    <row r="1832" spans="1:7" x14ac:dyDescent="0.35">
      <c r="A1832">
        <v>715</v>
      </c>
      <c r="B1832" s="1">
        <v>45454</v>
      </c>
      <c r="C1832" t="s">
        <v>12</v>
      </c>
      <c r="D1832" s="2">
        <v>0</v>
      </c>
      <c r="E1832" s="2">
        <v>2432.12</v>
      </c>
      <c r="F1832" t="s">
        <v>14</v>
      </c>
      <c r="G1832" t="s">
        <v>15</v>
      </c>
    </row>
    <row r="1833" spans="1:7" x14ac:dyDescent="0.35">
      <c r="A1833">
        <v>715</v>
      </c>
      <c r="B1833" s="1">
        <v>45454</v>
      </c>
      <c r="C1833" t="s">
        <v>12</v>
      </c>
      <c r="D1833" s="2">
        <v>0</v>
      </c>
      <c r="E1833" s="2">
        <v>182.41</v>
      </c>
      <c r="F1833" t="s">
        <v>16</v>
      </c>
      <c r="G1833" t="s">
        <v>17</v>
      </c>
    </row>
    <row r="1834" spans="1:7" x14ac:dyDescent="0.35">
      <c r="A1834">
        <v>716</v>
      </c>
      <c r="B1834" s="1">
        <v>45454</v>
      </c>
      <c r="C1834" t="s">
        <v>12</v>
      </c>
      <c r="D1834" s="2">
        <v>494.99</v>
      </c>
      <c r="E1834" s="2">
        <v>0</v>
      </c>
      <c r="F1834" t="s">
        <v>13</v>
      </c>
      <c r="G1834" t="s">
        <v>9</v>
      </c>
    </row>
    <row r="1835" spans="1:7" x14ac:dyDescent="0.35">
      <c r="A1835">
        <v>716</v>
      </c>
      <c r="B1835" s="1">
        <v>45454</v>
      </c>
      <c r="C1835" t="s">
        <v>12</v>
      </c>
      <c r="D1835" s="2">
        <v>0</v>
      </c>
      <c r="E1835" s="2">
        <v>460.46</v>
      </c>
      <c r="F1835" t="s">
        <v>14</v>
      </c>
      <c r="G1835" t="s">
        <v>15</v>
      </c>
    </row>
    <row r="1836" spans="1:7" x14ac:dyDescent="0.35">
      <c r="A1836">
        <v>716</v>
      </c>
      <c r="B1836" s="1">
        <v>45454</v>
      </c>
      <c r="C1836" t="s">
        <v>12</v>
      </c>
      <c r="D1836" s="2">
        <v>0</v>
      </c>
      <c r="E1836" s="2">
        <v>34.53</v>
      </c>
      <c r="F1836" t="s">
        <v>16</v>
      </c>
      <c r="G1836" t="s">
        <v>17</v>
      </c>
    </row>
    <row r="1837" spans="1:7" x14ac:dyDescent="0.35">
      <c r="A1837">
        <v>717</v>
      </c>
      <c r="B1837" s="1">
        <v>45454</v>
      </c>
      <c r="C1837" t="s">
        <v>24</v>
      </c>
      <c r="D1837" s="2">
        <v>1728.52</v>
      </c>
      <c r="E1837" s="2">
        <v>0</v>
      </c>
      <c r="F1837" t="s">
        <v>8</v>
      </c>
      <c r="G1837" t="s">
        <v>9</v>
      </c>
    </row>
    <row r="1838" spans="1:7" x14ac:dyDescent="0.35">
      <c r="A1838">
        <v>717</v>
      </c>
      <c r="B1838" s="1">
        <v>45454</v>
      </c>
      <c r="C1838" t="s">
        <v>24</v>
      </c>
      <c r="D1838" s="2">
        <v>0</v>
      </c>
      <c r="E1838" s="2">
        <v>1728.52</v>
      </c>
      <c r="F1838" t="s">
        <v>13</v>
      </c>
      <c r="G1838" t="s">
        <v>9</v>
      </c>
    </row>
    <row r="1839" spans="1:7" x14ac:dyDescent="0.35">
      <c r="A1839">
        <v>718</v>
      </c>
      <c r="B1839" s="1">
        <v>45454</v>
      </c>
      <c r="C1839" t="s">
        <v>24</v>
      </c>
      <c r="D1839" s="2">
        <v>1941.81</v>
      </c>
      <c r="E1839" s="2">
        <v>0</v>
      </c>
      <c r="F1839" t="s">
        <v>8</v>
      </c>
      <c r="G1839" t="s">
        <v>9</v>
      </c>
    </row>
    <row r="1840" spans="1:7" x14ac:dyDescent="0.35">
      <c r="A1840">
        <v>718</v>
      </c>
      <c r="B1840" s="1">
        <v>45454</v>
      </c>
      <c r="C1840" t="s">
        <v>24</v>
      </c>
      <c r="D1840" s="2">
        <v>0</v>
      </c>
      <c r="E1840" s="2">
        <v>1941.81</v>
      </c>
      <c r="F1840" t="s">
        <v>13</v>
      </c>
      <c r="G1840" t="s">
        <v>9</v>
      </c>
    </row>
    <row r="1841" spans="1:7" x14ac:dyDescent="0.35">
      <c r="A1841">
        <v>719</v>
      </c>
      <c r="B1841" s="1">
        <v>45454</v>
      </c>
      <c r="C1841" t="s">
        <v>24</v>
      </c>
      <c r="D1841" s="2">
        <v>1824.5</v>
      </c>
      <c r="E1841" s="2">
        <v>0</v>
      </c>
      <c r="F1841" t="s">
        <v>8</v>
      </c>
      <c r="G1841" t="s">
        <v>9</v>
      </c>
    </row>
    <row r="1842" spans="1:7" x14ac:dyDescent="0.35">
      <c r="A1842">
        <v>719</v>
      </c>
      <c r="B1842" s="1">
        <v>45454</v>
      </c>
      <c r="C1842" t="s">
        <v>24</v>
      </c>
      <c r="D1842" s="2">
        <v>0</v>
      </c>
      <c r="E1842" s="2">
        <v>1824.5</v>
      </c>
      <c r="F1842" t="s">
        <v>13</v>
      </c>
      <c r="G1842" t="s">
        <v>9</v>
      </c>
    </row>
    <row r="1843" spans="1:7" x14ac:dyDescent="0.35">
      <c r="A1843">
        <v>720</v>
      </c>
      <c r="B1843" s="1">
        <v>45454</v>
      </c>
      <c r="C1843" t="s">
        <v>25</v>
      </c>
      <c r="D1843" s="2">
        <v>1800.04</v>
      </c>
      <c r="E1843" s="2">
        <v>0</v>
      </c>
      <c r="F1843" t="s">
        <v>26</v>
      </c>
      <c r="G1843" t="s">
        <v>20</v>
      </c>
    </row>
    <row r="1844" spans="1:7" x14ac:dyDescent="0.35">
      <c r="A1844">
        <v>720</v>
      </c>
      <c r="B1844" s="1">
        <v>45454</v>
      </c>
      <c r="C1844" t="s">
        <v>25</v>
      </c>
      <c r="D1844" s="2">
        <v>135</v>
      </c>
      <c r="E1844" s="2">
        <v>0</v>
      </c>
      <c r="F1844" t="s">
        <v>27</v>
      </c>
      <c r="G1844" t="s">
        <v>9</v>
      </c>
    </row>
    <row r="1845" spans="1:7" x14ac:dyDescent="0.35">
      <c r="A1845">
        <v>720</v>
      </c>
      <c r="B1845" s="1">
        <v>45454</v>
      </c>
      <c r="C1845" t="s">
        <v>25</v>
      </c>
      <c r="D1845" s="2">
        <v>0</v>
      </c>
      <c r="E1845" s="2">
        <v>1935.04</v>
      </c>
      <c r="F1845" t="s">
        <v>28</v>
      </c>
      <c r="G1845" t="s">
        <v>17</v>
      </c>
    </row>
    <row r="1846" spans="1:7" x14ac:dyDescent="0.35">
      <c r="A1846">
        <v>721</v>
      </c>
      <c r="B1846" s="1">
        <v>45454</v>
      </c>
      <c r="C1846" t="s">
        <v>29</v>
      </c>
      <c r="D1846" s="2">
        <v>2635.36</v>
      </c>
      <c r="E1846" s="2">
        <v>0</v>
      </c>
      <c r="F1846" t="s">
        <v>28</v>
      </c>
      <c r="G1846" t="s">
        <v>17</v>
      </c>
    </row>
    <row r="1847" spans="1:7" x14ac:dyDescent="0.35">
      <c r="A1847">
        <v>721</v>
      </c>
      <c r="B1847" s="1">
        <v>45454</v>
      </c>
      <c r="C1847" t="s">
        <v>29</v>
      </c>
      <c r="D1847" s="2">
        <v>0</v>
      </c>
      <c r="E1847" s="2">
        <v>2635.36</v>
      </c>
      <c r="F1847" t="s">
        <v>8</v>
      </c>
      <c r="G1847" t="s">
        <v>9</v>
      </c>
    </row>
    <row r="1848" spans="1:7" x14ac:dyDescent="0.35">
      <c r="A1848">
        <v>722</v>
      </c>
      <c r="B1848" s="1">
        <v>45454</v>
      </c>
      <c r="C1848" t="s">
        <v>29</v>
      </c>
      <c r="D1848" s="2">
        <v>1935.04</v>
      </c>
      <c r="E1848" s="2">
        <v>0</v>
      </c>
      <c r="F1848" t="s">
        <v>28</v>
      </c>
      <c r="G1848" t="s">
        <v>17</v>
      </c>
    </row>
    <row r="1849" spans="1:7" x14ac:dyDescent="0.35">
      <c r="A1849">
        <v>722</v>
      </c>
      <c r="B1849" s="1">
        <v>45454</v>
      </c>
      <c r="C1849" t="s">
        <v>29</v>
      </c>
      <c r="D1849" s="2">
        <v>0</v>
      </c>
      <c r="E1849" s="2">
        <v>1935.04</v>
      </c>
      <c r="F1849" t="s">
        <v>8</v>
      </c>
      <c r="G1849" t="s">
        <v>9</v>
      </c>
    </row>
    <row r="1850" spans="1:7" x14ac:dyDescent="0.35">
      <c r="A1850">
        <v>723</v>
      </c>
      <c r="B1850" s="1">
        <v>45455</v>
      </c>
      <c r="C1850" t="s">
        <v>12</v>
      </c>
      <c r="D1850" s="2">
        <v>1818.21</v>
      </c>
      <c r="E1850" s="2">
        <v>0</v>
      </c>
      <c r="F1850" t="s">
        <v>13</v>
      </c>
      <c r="G1850" t="s">
        <v>9</v>
      </c>
    </row>
    <row r="1851" spans="1:7" x14ac:dyDescent="0.35">
      <c r="A1851">
        <v>723</v>
      </c>
      <c r="B1851" s="1">
        <v>45455</v>
      </c>
      <c r="C1851" t="s">
        <v>12</v>
      </c>
      <c r="D1851" s="2">
        <v>0</v>
      </c>
      <c r="E1851" s="2">
        <v>1691.36</v>
      </c>
      <c r="F1851" t="s">
        <v>14</v>
      </c>
      <c r="G1851" t="s">
        <v>15</v>
      </c>
    </row>
    <row r="1852" spans="1:7" x14ac:dyDescent="0.35">
      <c r="A1852">
        <v>723</v>
      </c>
      <c r="B1852" s="1">
        <v>45455</v>
      </c>
      <c r="C1852" t="s">
        <v>12</v>
      </c>
      <c r="D1852" s="2">
        <v>0</v>
      </c>
      <c r="E1852" s="2">
        <v>126.85</v>
      </c>
      <c r="F1852" t="s">
        <v>16</v>
      </c>
      <c r="G1852" t="s">
        <v>17</v>
      </c>
    </row>
    <row r="1853" spans="1:7" x14ac:dyDescent="0.35">
      <c r="A1853">
        <v>724</v>
      </c>
      <c r="B1853" s="1">
        <v>45455</v>
      </c>
      <c r="C1853" t="s">
        <v>12</v>
      </c>
      <c r="D1853" s="2">
        <v>4168.84</v>
      </c>
      <c r="E1853" s="2">
        <v>0</v>
      </c>
      <c r="F1853" t="s">
        <v>13</v>
      </c>
      <c r="G1853" t="s">
        <v>9</v>
      </c>
    </row>
    <row r="1854" spans="1:7" x14ac:dyDescent="0.35">
      <c r="A1854">
        <v>724</v>
      </c>
      <c r="B1854" s="1">
        <v>45455</v>
      </c>
      <c r="C1854" t="s">
        <v>12</v>
      </c>
      <c r="D1854" s="2">
        <v>0</v>
      </c>
      <c r="E1854" s="2">
        <v>3877.99</v>
      </c>
      <c r="F1854" t="s">
        <v>14</v>
      </c>
      <c r="G1854" t="s">
        <v>15</v>
      </c>
    </row>
    <row r="1855" spans="1:7" x14ac:dyDescent="0.35">
      <c r="A1855">
        <v>724</v>
      </c>
      <c r="B1855" s="1">
        <v>45455</v>
      </c>
      <c r="C1855" t="s">
        <v>12</v>
      </c>
      <c r="D1855" s="2">
        <v>0</v>
      </c>
      <c r="E1855" s="2">
        <v>290.85000000000002</v>
      </c>
      <c r="F1855" t="s">
        <v>16</v>
      </c>
      <c r="G1855" t="s">
        <v>17</v>
      </c>
    </row>
    <row r="1856" spans="1:7" x14ac:dyDescent="0.35">
      <c r="A1856">
        <v>725</v>
      </c>
      <c r="B1856" s="1">
        <v>45455</v>
      </c>
      <c r="C1856" t="s">
        <v>12</v>
      </c>
      <c r="D1856" s="2">
        <v>3769.89</v>
      </c>
      <c r="E1856" s="2">
        <v>0</v>
      </c>
      <c r="F1856" t="s">
        <v>13</v>
      </c>
      <c r="G1856" t="s">
        <v>9</v>
      </c>
    </row>
    <row r="1857" spans="1:7" x14ac:dyDescent="0.35">
      <c r="A1857">
        <v>725</v>
      </c>
      <c r="B1857" s="1">
        <v>45455</v>
      </c>
      <c r="C1857" t="s">
        <v>12</v>
      </c>
      <c r="D1857" s="2">
        <v>0</v>
      </c>
      <c r="E1857" s="2">
        <v>3506.88</v>
      </c>
      <c r="F1857" t="s">
        <v>14</v>
      </c>
      <c r="G1857" t="s">
        <v>15</v>
      </c>
    </row>
    <row r="1858" spans="1:7" x14ac:dyDescent="0.35">
      <c r="A1858">
        <v>725</v>
      </c>
      <c r="B1858" s="1">
        <v>45455</v>
      </c>
      <c r="C1858" t="s">
        <v>12</v>
      </c>
      <c r="D1858" s="2">
        <v>0</v>
      </c>
      <c r="E1858" s="2">
        <v>263.01</v>
      </c>
      <c r="F1858" t="s">
        <v>16</v>
      </c>
      <c r="G1858" t="s">
        <v>17</v>
      </c>
    </row>
    <row r="1859" spans="1:7" x14ac:dyDescent="0.35">
      <c r="A1859">
        <v>726</v>
      </c>
      <c r="B1859" s="1">
        <v>45455</v>
      </c>
      <c r="C1859" t="s">
        <v>12</v>
      </c>
      <c r="D1859" s="2">
        <v>6640.39</v>
      </c>
      <c r="E1859" s="2">
        <v>0</v>
      </c>
      <c r="F1859" t="s">
        <v>13</v>
      </c>
      <c r="G1859" t="s">
        <v>9</v>
      </c>
    </row>
    <row r="1860" spans="1:7" x14ac:dyDescent="0.35">
      <c r="A1860">
        <v>726</v>
      </c>
      <c r="B1860" s="1">
        <v>45455</v>
      </c>
      <c r="C1860" t="s">
        <v>12</v>
      </c>
      <c r="D1860" s="2">
        <v>0</v>
      </c>
      <c r="E1860" s="2">
        <v>6177.11</v>
      </c>
      <c r="F1860" t="s">
        <v>14</v>
      </c>
      <c r="G1860" t="s">
        <v>15</v>
      </c>
    </row>
    <row r="1861" spans="1:7" x14ac:dyDescent="0.35">
      <c r="A1861">
        <v>726</v>
      </c>
      <c r="B1861" s="1">
        <v>45455</v>
      </c>
      <c r="C1861" t="s">
        <v>12</v>
      </c>
      <c r="D1861" s="2">
        <v>0</v>
      </c>
      <c r="E1861" s="2">
        <v>463.28</v>
      </c>
      <c r="F1861" t="s">
        <v>16</v>
      </c>
      <c r="G1861" t="s">
        <v>17</v>
      </c>
    </row>
    <row r="1862" spans="1:7" x14ac:dyDescent="0.35">
      <c r="A1862">
        <v>727</v>
      </c>
      <c r="B1862" s="1">
        <v>45455</v>
      </c>
      <c r="C1862" t="s">
        <v>12</v>
      </c>
      <c r="D1862" s="2">
        <v>612.86</v>
      </c>
      <c r="E1862" s="2">
        <v>0</v>
      </c>
      <c r="F1862" t="s">
        <v>13</v>
      </c>
      <c r="G1862" t="s">
        <v>9</v>
      </c>
    </row>
    <row r="1863" spans="1:7" x14ac:dyDescent="0.35">
      <c r="A1863">
        <v>727</v>
      </c>
      <c r="B1863" s="1">
        <v>45455</v>
      </c>
      <c r="C1863" t="s">
        <v>12</v>
      </c>
      <c r="D1863" s="2">
        <v>0</v>
      </c>
      <c r="E1863" s="2">
        <v>570.1</v>
      </c>
      <c r="F1863" t="s">
        <v>14</v>
      </c>
      <c r="G1863" t="s">
        <v>15</v>
      </c>
    </row>
    <row r="1864" spans="1:7" x14ac:dyDescent="0.35">
      <c r="A1864">
        <v>727</v>
      </c>
      <c r="B1864" s="1">
        <v>45455</v>
      </c>
      <c r="C1864" t="s">
        <v>12</v>
      </c>
      <c r="D1864" s="2">
        <v>0</v>
      </c>
      <c r="E1864" s="2">
        <v>42.76</v>
      </c>
      <c r="F1864" t="s">
        <v>16</v>
      </c>
      <c r="G1864" t="s">
        <v>17</v>
      </c>
    </row>
    <row r="1865" spans="1:7" x14ac:dyDescent="0.35">
      <c r="A1865">
        <v>728</v>
      </c>
      <c r="B1865" s="1">
        <v>45455</v>
      </c>
      <c r="C1865" t="s">
        <v>12</v>
      </c>
      <c r="D1865" s="2">
        <v>1504.72</v>
      </c>
      <c r="E1865" s="2">
        <v>0</v>
      </c>
      <c r="F1865" t="s">
        <v>13</v>
      </c>
      <c r="G1865" t="s">
        <v>9</v>
      </c>
    </row>
    <row r="1866" spans="1:7" x14ac:dyDescent="0.35">
      <c r="A1866">
        <v>728</v>
      </c>
      <c r="B1866" s="1">
        <v>45455</v>
      </c>
      <c r="C1866" t="s">
        <v>12</v>
      </c>
      <c r="D1866" s="2">
        <v>0</v>
      </c>
      <c r="E1866" s="2">
        <v>1399.74</v>
      </c>
      <c r="F1866" t="s">
        <v>14</v>
      </c>
      <c r="G1866" t="s">
        <v>15</v>
      </c>
    </row>
    <row r="1867" spans="1:7" x14ac:dyDescent="0.35">
      <c r="A1867">
        <v>728</v>
      </c>
      <c r="B1867" s="1">
        <v>45455</v>
      </c>
      <c r="C1867" t="s">
        <v>12</v>
      </c>
      <c r="D1867" s="2">
        <v>0</v>
      </c>
      <c r="E1867" s="2">
        <v>104.98</v>
      </c>
      <c r="F1867" t="s">
        <v>16</v>
      </c>
      <c r="G1867" t="s">
        <v>17</v>
      </c>
    </row>
    <row r="1868" spans="1:7" x14ac:dyDescent="0.35">
      <c r="A1868">
        <v>729</v>
      </c>
      <c r="B1868" s="1">
        <v>45455</v>
      </c>
      <c r="C1868" t="s">
        <v>24</v>
      </c>
      <c r="D1868" s="2">
        <v>4883.4399999999996</v>
      </c>
      <c r="E1868" s="2">
        <v>0</v>
      </c>
      <c r="F1868" t="s">
        <v>8</v>
      </c>
      <c r="G1868" t="s">
        <v>9</v>
      </c>
    </row>
    <row r="1869" spans="1:7" x14ac:dyDescent="0.35">
      <c r="A1869">
        <v>729</v>
      </c>
      <c r="B1869" s="1">
        <v>45455</v>
      </c>
      <c r="C1869" t="s">
        <v>24</v>
      </c>
      <c r="D1869" s="2">
        <v>0</v>
      </c>
      <c r="E1869" s="2">
        <v>4883.4399999999996</v>
      </c>
      <c r="F1869" t="s">
        <v>13</v>
      </c>
      <c r="G1869" t="s">
        <v>9</v>
      </c>
    </row>
    <row r="1870" spans="1:7" x14ac:dyDescent="0.35">
      <c r="A1870">
        <v>730</v>
      </c>
      <c r="B1870" s="1">
        <v>45455</v>
      </c>
      <c r="C1870" t="s">
        <v>24</v>
      </c>
      <c r="D1870" s="2">
        <v>193.94</v>
      </c>
      <c r="E1870" s="2">
        <v>0</v>
      </c>
      <c r="F1870" t="s">
        <v>8</v>
      </c>
      <c r="G1870" t="s">
        <v>9</v>
      </c>
    </row>
    <row r="1871" spans="1:7" x14ac:dyDescent="0.35">
      <c r="A1871">
        <v>730</v>
      </c>
      <c r="B1871" s="1">
        <v>45455</v>
      </c>
      <c r="C1871" t="s">
        <v>24</v>
      </c>
      <c r="D1871" s="2">
        <v>0</v>
      </c>
      <c r="E1871" s="2">
        <v>193.94</v>
      </c>
      <c r="F1871" t="s">
        <v>13</v>
      </c>
      <c r="G1871" t="s">
        <v>9</v>
      </c>
    </row>
    <row r="1872" spans="1:7" x14ac:dyDescent="0.35">
      <c r="A1872">
        <v>731</v>
      </c>
      <c r="B1872" s="1">
        <v>45455</v>
      </c>
      <c r="C1872" t="s">
        <v>24</v>
      </c>
      <c r="D1872" s="2">
        <v>2614.5300000000002</v>
      </c>
      <c r="E1872" s="2">
        <v>0</v>
      </c>
      <c r="F1872" t="s">
        <v>8</v>
      </c>
      <c r="G1872" t="s">
        <v>9</v>
      </c>
    </row>
    <row r="1873" spans="1:7" x14ac:dyDescent="0.35">
      <c r="A1873">
        <v>731</v>
      </c>
      <c r="B1873" s="1">
        <v>45455</v>
      </c>
      <c r="C1873" t="s">
        <v>24</v>
      </c>
      <c r="D1873" s="2">
        <v>0</v>
      </c>
      <c r="E1873" s="2">
        <v>2614.5300000000002</v>
      </c>
      <c r="F1873" t="s">
        <v>13</v>
      </c>
      <c r="G1873" t="s">
        <v>9</v>
      </c>
    </row>
    <row r="1874" spans="1:7" x14ac:dyDescent="0.35">
      <c r="A1874">
        <v>732</v>
      </c>
      <c r="B1874" s="1">
        <v>45455</v>
      </c>
      <c r="C1874" t="s">
        <v>29</v>
      </c>
      <c r="D1874" s="2">
        <v>2918.17</v>
      </c>
      <c r="E1874" s="2">
        <v>0</v>
      </c>
      <c r="F1874" t="s">
        <v>28</v>
      </c>
      <c r="G1874" t="s">
        <v>17</v>
      </c>
    </row>
    <row r="1875" spans="1:7" x14ac:dyDescent="0.35">
      <c r="A1875">
        <v>732</v>
      </c>
      <c r="B1875" s="1">
        <v>45455</v>
      </c>
      <c r="C1875" t="s">
        <v>29</v>
      </c>
      <c r="D1875" s="2">
        <v>0</v>
      </c>
      <c r="E1875" s="2">
        <v>2918.17</v>
      </c>
      <c r="F1875" t="s">
        <v>8</v>
      </c>
      <c r="G1875" t="s">
        <v>9</v>
      </c>
    </row>
    <row r="1876" spans="1:7" x14ac:dyDescent="0.35">
      <c r="A1876">
        <v>733</v>
      </c>
      <c r="B1876" s="1">
        <v>45456</v>
      </c>
      <c r="C1876" t="s">
        <v>12</v>
      </c>
      <c r="D1876" s="2">
        <v>2553.54</v>
      </c>
      <c r="E1876" s="2">
        <v>0</v>
      </c>
      <c r="F1876" t="s">
        <v>13</v>
      </c>
      <c r="G1876" t="s">
        <v>9</v>
      </c>
    </row>
    <row r="1877" spans="1:7" x14ac:dyDescent="0.35">
      <c r="A1877">
        <v>733</v>
      </c>
      <c r="B1877" s="1">
        <v>45456</v>
      </c>
      <c r="C1877" t="s">
        <v>12</v>
      </c>
      <c r="D1877" s="2">
        <v>0</v>
      </c>
      <c r="E1877" s="2">
        <v>2375.38</v>
      </c>
      <c r="F1877" t="s">
        <v>14</v>
      </c>
      <c r="G1877" t="s">
        <v>15</v>
      </c>
    </row>
    <row r="1878" spans="1:7" x14ac:dyDescent="0.35">
      <c r="A1878">
        <v>733</v>
      </c>
      <c r="B1878" s="1">
        <v>45456</v>
      </c>
      <c r="C1878" t="s">
        <v>12</v>
      </c>
      <c r="D1878" s="2">
        <v>0</v>
      </c>
      <c r="E1878" s="2">
        <v>178.16</v>
      </c>
      <c r="F1878" t="s">
        <v>16</v>
      </c>
      <c r="G1878" t="s">
        <v>17</v>
      </c>
    </row>
    <row r="1879" spans="1:7" x14ac:dyDescent="0.35">
      <c r="A1879">
        <v>734</v>
      </c>
      <c r="B1879" s="1">
        <v>45456</v>
      </c>
      <c r="C1879" t="s">
        <v>12</v>
      </c>
      <c r="D1879" s="2">
        <v>3811.64</v>
      </c>
      <c r="E1879" s="2">
        <v>0</v>
      </c>
      <c r="F1879" t="s">
        <v>13</v>
      </c>
      <c r="G1879" t="s">
        <v>9</v>
      </c>
    </row>
    <row r="1880" spans="1:7" x14ac:dyDescent="0.35">
      <c r="A1880">
        <v>734</v>
      </c>
      <c r="B1880" s="1">
        <v>45456</v>
      </c>
      <c r="C1880" t="s">
        <v>12</v>
      </c>
      <c r="D1880" s="2">
        <v>0</v>
      </c>
      <c r="E1880" s="2">
        <v>3545.72</v>
      </c>
      <c r="F1880" t="s">
        <v>14</v>
      </c>
      <c r="G1880" t="s">
        <v>15</v>
      </c>
    </row>
    <row r="1881" spans="1:7" x14ac:dyDescent="0.35">
      <c r="A1881">
        <v>734</v>
      </c>
      <c r="B1881" s="1">
        <v>45456</v>
      </c>
      <c r="C1881" t="s">
        <v>12</v>
      </c>
      <c r="D1881" s="2">
        <v>0</v>
      </c>
      <c r="E1881" s="2">
        <v>265.92</v>
      </c>
      <c r="F1881" t="s">
        <v>16</v>
      </c>
      <c r="G1881" t="s">
        <v>17</v>
      </c>
    </row>
    <row r="1882" spans="1:7" x14ac:dyDescent="0.35">
      <c r="A1882">
        <v>735</v>
      </c>
      <c r="B1882" s="1">
        <v>45456</v>
      </c>
      <c r="C1882" t="s">
        <v>24</v>
      </c>
      <c r="D1882" s="2">
        <v>5487.81</v>
      </c>
      <c r="E1882" s="2">
        <v>0</v>
      </c>
      <c r="F1882" t="s">
        <v>8</v>
      </c>
      <c r="G1882" t="s">
        <v>9</v>
      </c>
    </row>
    <row r="1883" spans="1:7" x14ac:dyDescent="0.35">
      <c r="A1883">
        <v>735</v>
      </c>
      <c r="B1883" s="1">
        <v>45456</v>
      </c>
      <c r="C1883" t="s">
        <v>24</v>
      </c>
      <c r="D1883" s="2">
        <v>0</v>
      </c>
      <c r="E1883" s="2">
        <v>5487.81</v>
      </c>
      <c r="F1883" t="s">
        <v>13</v>
      </c>
      <c r="G1883" t="s">
        <v>9</v>
      </c>
    </row>
    <row r="1884" spans="1:7" x14ac:dyDescent="0.35">
      <c r="A1884">
        <v>736</v>
      </c>
      <c r="B1884" s="1">
        <v>45456</v>
      </c>
      <c r="C1884" t="s">
        <v>24</v>
      </c>
      <c r="D1884" s="2">
        <v>2367.61</v>
      </c>
      <c r="E1884" s="2">
        <v>0</v>
      </c>
      <c r="F1884" t="s">
        <v>8</v>
      </c>
      <c r="G1884" t="s">
        <v>9</v>
      </c>
    </row>
    <row r="1885" spans="1:7" x14ac:dyDescent="0.35">
      <c r="A1885">
        <v>736</v>
      </c>
      <c r="B1885" s="1">
        <v>45456</v>
      </c>
      <c r="C1885" t="s">
        <v>24</v>
      </c>
      <c r="D1885" s="2">
        <v>0</v>
      </c>
      <c r="E1885" s="2">
        <v>2367.61</v>
      </c>
      <c r="F1885" t="s">
        <v>13</v>
      </c>
      <c r="G1885" t="s">
        <v>9</v>
      </c>
    </row>
    <row r="1886" spans="1:7" x14ac:dyDescent="0.35">
      <c r="A1886">
        <v>737</v>
      </c>
      <c r="B1886" s="1">
        <v>45456</v>
      </c>
      <c r="C1886" t="s">
        <v>24</v>
      </c>
      <c r="D1886" s="2">
        <v>6640.39</v>
      </c>
      <c r="E1886" s="2">
        <v>0</v>
      </c>
      <c r="F1886" t="s">
        <v>8</v>
      </c>
      <c r="G1886" t="s">
        <v>9</v>
      </c>
    </row>
    <row r="1887" spans="1:7" x14ac:dyDescent="0.35">
      <c r="A1887">
        <v>737</v>
      </c>
      <c r="B1887" s="1">
        <v>45456</v>
      </c>
      <c r="C1887" t="s">
        <v>24</v>
      </c>
      <c r="D1887" s="2">
        <v>0</v>
      </c>
      <c r="E1887" s="2">
        <v>6640.39</v>
      </c>
      <c r="F1887" t="s">
        <v>13</v>
      </c>
      <c r="G1887" t="s">
        <v>9</v>
      </c>
    </row>
    <row r="1888" spans="1:7" x14ac:dyDescent="0.35">
      <c r="A1888">
        <v>738</v>
      </c>
      <c r="B1888" s="1">
        <v>45456</v>
      </c>
      <c r="C1888" t="s">
        <v>25</v>
      </c>
      <c r="D1888" s="2">
        <v>187.44</v>
      </c>
      <c r="E1888" s="2">
        <v>0</v>
      </c>
      <c r="F1888" t="s">
        <v>26</v>
      </c>
      <c r="G1888" t="s">
        <v>20</v>
      </c>
    </row>
    <row r="1889" spans="1:7" x14ac:dyDescent="0.35">
      <c r="A1889">
        <v>738</v>
      </c>
      <c r="B1889" s="1">
        <v>45456</v>
      </c>
      <c r="C1889" t="s">
        <v>25</v>
      </c>
      <c r="D1889" s="2">
        <v>14.06</v>
      </c>
      <c r="E1889" s="2">
        <v>0</v>
      </c>
      <c r="F1889" t="s">
        <v>27</v>
      </c>
      <c r="G1889" t="s">
        <v>9</v>
      </c>
    </row>
    <row r="1890" spans="1:7" x14ac:dyDescent="0.35">
      <c r="A1890">
        <v>738</v>
      </c>
      <c r="B1890" s="1">
        <v>45456</v>
      </c>
      <c r="C1890" t="s">
        <v>25</v>
      </c>
      <c r="D1890" s="2">
        <v>0</v>
      </c>
      <c r="E1890" s="2">
        <v>201.5</v>
      </c>
      <c r="F1890" t="s">
        <v>28</v>
      </c>
      <c r="G1890" t="s">
        <v>17</v>
      </c>
    </row>
    <row r="1891" spans="1:7" x14ac:dyDescent="0.35">
      <c r="A1891">
        <v>739</v>
      </c>
      <c r="B1891" s="1">
        <v>45456</v>
      </c>
      <c r="C1891" t="s">
        <v>29</v>
      </c>
      <c r="D1891" s="2">
        <v>1023.42</v>
      </c>
      <c r="E1891" s="2">
        <v>0</v>
      </c>
      <c r="F1891" t="s">
        <v>28</v>
      </c>
      <c r="G1891" t="s">
        <v>17</v>
      </c>
    </row>
    <row r="1892" spans="1:7" x14ac:dyDescent="0.35">
      <c r="A1892">
        <v>739</v>
      </c>
      <c r="B1892" s="1">
        <v>45456</v>
      </c>
      <c r="C1892" t="s">
        <v>29</v>
      </c>
      <c r="D1892" s="2">
        <v>0</v>
      </c>
      <c r="E1892" s="2">
        <v>1023.42</v>
      </c>
      <c r="F1892" t="s">
        <v>8</v>
      </c>
      <c r="G1892" t="s">
        <v>9</v>
      </c>
    </row>
    <row r="1893" spans="1:7" x14ac:dyDescent="0.35">
      <c r="A1893">
        <v>740</v>
      </c>
      <c r="B1893" s="1">
        <v>45456</v>
      </c>
      <c r="C1893" t="s">
        <v>29</v>
      </c>
      <c r="D1893" s="2">
        <v>2182.41</v>
      </c>
      <c r="E1893" s="2">
        <v>0</v>
      </c>
      <c r="F1893" t="s">
        <v>28</v>
      </c>
      <c r="G1893" t="s">
        <v>17</v>
      </c>
    </row>
    <row r="1894" spans="1:7" x14ac:dyDescent="0.35">
      <c r="A1894">
        <v>740</v>
      </c>
      <c r="B1894" s="1">
        <v>45456</v>
      </c>
      <c r="C1894" t="s">
        <v>29</v>
      </c>
      <c r="D1894" s="2">
        <v>0</v>
      </c>
      <c r="E1894" s="2">
        <v>2182.41</v>
      </c>
      <c r="F1894" t="s">
        <v>8</v>
      </c>
      <c r="G1894" t="s">
        <v>9</v>
      </c>
    </row>
    <row r="1895" spans="1:7" x14ac:dyDescent="0.35">
      <c r="A1895">
        <v>741</v>
      </c>
      <c r="B1895" s="1">
        <v>45456</v>
      </c>
      <c r="C1895" t="s">
        <v>29</v>
      </c>
      <c r="D1895" s="2">
        <v>2093.2800000000002</v>
      </c>
      <c r="E1895" s="2">
        <v>0</v>
      </c>
      <c r="F1895" t="s">
        <v>28</v>
      </c>
      <c r="G1895" t="s">
        <v>17</v>
      </c>
    </row>
    <row r="1896" spans="1:7" x14ac:dyDescent="0.35">
      <c r="A1896">
        <v>741</v>
      </c>
      <c r="B1896" s="1">
        <v>45456</v>
      </c>
      <c r="C1896" t="s">
        <v>29</v>
      </c>
      <c r="D1896" s="2">
        <v>0</v>
      </c>
      <c r="E1896" s="2">
        <v>2093.2800000000002</v>
      </c>
      <c r="F1896" t="s">
        <v>8</v>
      </c>
      <c r="G1896" t="s">
        <v>9</v>
      </c>
    </row>
    <row r="1897" spans="1:7" x14ac:dyDescent="0.35">
      <c r="A1897">
        <v>742</v>
      </c>
      <c r="B1897" s="1">
        <v>45456</v>
      </c>
      <c r="C1897" t="s">
        <v>29</v>
      </c>
      <c r="D1897" s="2">
        <v>1023.42</v>
      </c>
      <c r="E1897" s="2">
        <v>0</v>
      </c>
      <c r="F1897" t="s">
        <v>28</v>
      </c>
      <c r="G1897" t="s">
        <v>17</v>
      </c>
    </row>
    <row r="1898" spans="1:7" x14ac:dyDescent="0.35">
      <c r="A1898">
        <v>742</v>
      </c>
      <c r="B1898" s="1">
        <v>45456</v>
      </c>
      <c r="C1898" t="s">
        <v>29</v>
      </c>
      <c r="D1898" s="2">
        <v>0</v>
      </c>
      <c r="E1898" s="2">
        <v>1023.42</v>
      </c>
      <c r="F1898" t="s">
        <v>8</v>
      </c>
      <c r="G1898" t="s">
        <v>9</v>
      </c>
    </row>
    <row r="1899" spans="1:7" x14ac:dyDescent="0.35">
      <c r="A1899">
        <v>743</v>
      </c>
      <c r="B1899" s="1">
        <v>45457</v>
      </c>
      <c r="C1899" t="s">
        <v>12</v>
      </c>
      <c r="D1899" s="2">
        <v>2352.04</v>
      </c>
      <c r="E1899" s="2">
        <v>0</v>
      </c>
      <c r="F1899" t="s">
        <v>13</v>
      </c>
      <c r="G1899" t="s">
        <v>9</v>
      </c>
    </row>
    <row r="1900" spans="1:7" x14ac:dyDescent="0.35">
      <c r="A1900">
        <v>743</v>
      </c>
      <c r="B1900" s="1">
        <v>45457</v>
      </c>
      <c r="C1900" t="s">
        <v>12</v>
      </c>
      <c r="D1900" s="2">
        <v>0</v>
      </c>
      <c r="E1900" s="2">
        <v>2187.94</v>
      </c>
      <c r="F1900" t="s">
        <v>14</v>
      </c>
      <c r="G1900" t="s">
        <v>15</v>
      </c>
    </row>
    <row r="1901" spans="1:7" x14ac:dyDescent="0.35">
      <c r="A1901">
        <v>743</v>
      </c>
      <c r="B1901" s="1">
        <v>45457</v>
      </c>
      <c r="C1901" t="s">
        <v>12</v>
      </c>
      <c r="D1901" s="2">
        <v>0</v>
      </c>
      <c r="E1901" s="2">
        <v>164.1</v>
      </c>
      <c r="F1901" t="s">
        <v>16</v>
      </c>
      <c r="G1901" t="s">
        <v>17</v>
      </c>
    </row>
    <row r="1902" spans="1:7" x14ac:dyDescent="0.35">
      <c r="A1902">
        <v>744</v>
      </c>
      <c r="B1902" s="1">
        <v>45457</v>
      </c>
      <c r="C1902" t="s">
        <v>24</v>
      </c>
      <c r="D1902" s="2">
        <v>3479.37</v>
      </c>
      <c r="E1902" s="2">
        <v>0</v>
      </c>
      <c r="F1902" t="s">
        <v>8</v>
      </c>
      <c r="G1902" t="s">
        <v>9</v>
      </c>
    </row>
    <row r="1903" spans="1:7" x14ac:dyDescent="0.35">
      <c r="A1903">
        <v>744</v>
      </c>
      <c r="B1903" s="1">
        <v>45457</v>
      </c>
      <c r="C1903" t="s">
        <v>24</v>
      </c>
      <c r="D1903" s="2">
        <v>0</v>
      </c>
      <c r="E1903" s="2">
        <v>3479.37</v>
      </c>
      <c r="F1903" t="s">
        <v>13</v>
      </c>
      <c r="G1903" t="s">
        <v>9</v>
      </c>
    </row>
    <row r="1904" spans="1:7" x14ac:dyDescent="0.35">
      <c r="A1904">
        <v>745</v>
      </c>
      <c r="B1904" s="1">
        <v>45457</v>
      </c>
      <c r="C1904" t="s">
        <v>24</v>
      </c>
      <c r="D1904" s="2">
        <v>1504.72</v>
      </c>
      <c r="E1904" s="2">
        <v>0</v>
      </c>
      <c r="F1904" t="s">
        <v>8</v>
      </c>
      <c r="G1904" t="s">
        <v>9</v>
      </c>
    </row>
    <row r="1905" spans="1:7" x14ac:dyDescent="0.35">
      <c r="A1905">
        <v>745</v>
      </c>
      <c r="B1905" s="1">
        <v>45457</v>
      </c>
      <c r="C1905" t="s">
        <v>24</v>
      </c>
      <c r="D1905" s="2">
        <v>0</v>
      </c>
      <c r="E1905" s="2">
        <v>1504.72</v>
      </c>
      <c r="F1905" t="s">
        <v>13</v>
      </c>
      <c r="G1905" t="s">
        <v>9</v>
      </c>
    </row>
    <row r="1906" spans="1:7" x14ac:dyDescent="0.35">
      <c r="A1906">
        <v>746</v>
      </c>
      <c r="B1906" s="1">
        <v>45460</v>
      </c>
      <c r="C1906" t="s">
        <v>12</v>
      </c>
      <c r="D1906" s="2">
        <v>7556.11</v>
      </c>
      <c r="E1906" s="2">
        <v>0</v>
      </c>
      <c r="F1906" t="s">
        <v>13</v>
      </c>
      <c r="G1906" t="s">
        <v>9</v>
      </c>
    </row>
    <row r="1907" spans="1:7" x14ac:dyDescent="0.35">
      <c r="A1907">
        <v>746</v>
      </c>
      <c r="B1907" s="1">
        <v>45460</v>
      </c>
      <c r="C1907" t="s">
        <v>12</v>
      </c>
      <c r="D1907" s="2">
        <v>0</v>
      </c>
      <c r="E1907" s="2">
        <v>7028.94</v>
      </c>
      <c r="F1907" t="s">
        <v>14</v>
      </c>
      <c r="G1907" t="s">
        <v>15</v>
      </c>
    </row>
    <row r="1908" spans="1:7" x14ac:dyDescent="0.35">
      <c r="A1908">
        <v>746</v>
      </c>
      <c r="B1908" s="1">
        <v>45460</v>
      </c>
      <c r="C1908" t="s">
        <v>12</v>
      </c>
      <c r="D1908" s="2">
        <v>0</v>
      </c>
      <c r="E1908" s="2">
        <v>527.16999999999996</v>
      </c>
      <c r="F1908" t="s">
        <v>16</v>
      </c>
      <c r="G1908" t="s">
        <v>17</v>
      </c>
    </row>
    <row r="1909" spans="1:7" x14ac:dyDescent="0.35">
      <c r="A1909">
        <v>747</v>
      </c>
      <c r="B1909" s="1">
        <v>45460</v>
      </c>
      <c r="C1909" t="s">
        <v>12</v>
      </c>
      <c r="D1909" s="2">
        <v>746.16</v>
      </c>
      <c r="E1909" s="2">
        <v>0</v>
      </c>
      <c r="F1909" t="s">
        <v>13</v>
      </c>
      <c r="G1909" t="s">
        <v>9</v>
      </c>
    </row>
    <row r="1910" spans="1:7" x14ac:dyDescent="0.35">
      <c r="A1910">
        <v>747</v>
      </c>
      <c r="B1910" s="1">
        <v>45460</v>
      </c>
      <c r="C1910" t="s">
        <v>12</v>
      </c>
      <c r="D1910" s="2">
        <v>0</v>
      </c>
      <c r="E1910" s="2">
        <v>694.1</v>
      </c>
      <c r="F1910" t="s">
        <v>14</v>
      </c>
      <c r="G1910" t="s">
        <v>15</v>
      </c>
    </row>
    <row r="1911" spans="1:7" x14ac:dyDescent="0.35">
      <c r="A1911">
        <v>747</v>
      </c>
      <c r="B1911" s="1">
        <v>45460</v>
      </c>
      <c r="C1911" t="s">
        <v>12</v>
      </c>
      <c r="D1911" s="2">
        <v>0</v>
      </c>
      <c r="E1911" s="2">
        <v>52.06</v>
      </c>
      <c r="F1911" t="s">
        <v>16</v>
      </c>
      <c r="G1911" t="s">
        <v>17</v>
      </c>
    </row>
    <row r="1912" spans="1:7" x14ac:dyDescent="0.35">
      <c r="A1912">
        <v>748</v>
      </c>
      <c r="B1912" s="1">
        <v>45460</v>
      </c>
      <c r="C1912" t="s">
        <v>12</v>
      </c>
      <c r="D1912" s="2">
        <v>3784.16</v>
      </c>
      <c r="E1912" s="2">
        <v>0</v>
      </c>
      <c r="F1912" t="s">
        <v>13</v>
      </c>
      <c r="G1912" t="s">
        <v>9</v>
      </c>
    </row>
    <row r="1913" spans="1:7" x14ac:dyDescent="0.35">
      <c r="A1913">
        <v>748</v>
      </c>
      <c r="B1913" s="1">
        <v>45460</v>
      </c>
      <c r="C1913" t="s">
        <v>12</v>
      </c>
      <c r="D1913" s="2">
        <v>0</v>
      </c>
      <c r="E1913" s="2">
        <v>3520.14</v>
      </c>
      <c r="F1913" t="s">
        <v>14</v>
      </c>
      <c r="G1913" t="s">
        <v>15</v>
      </c>
    </row>
    <row r="1914" spans="1:7" x14ac:dyDescent="0.35">
      <c r="A1914">
        <v>748</v>
      </c>
      <c r="B1914" s="1">
        <v>45460</v>
      </c>
      <c r="C1914" t="s">
        <v>12</v>
      </c>
      <c r="D1914" s="2">
        <v>0</v>
      </c>
      <c r="E1914" s="2">
        <v>264.02</v>
      </c>
      <c r="F1914" t="s">
        <v>16</v>
      </c>
      <c r="G1914" t="s">
        <v>17</v>
      </c>
    </row>
    <row r="1915" spans="1:7" x14ac:dyDescent="0.35">
      <c r="A1915">
        <v>749</v>
      </c>
      <c r="B1915" s="1">
        <v>45460</v>
      </c>
      <c r="C1915" t="s">
        <v>12</v>
      </c>
      <c r="D1915" s="2">
        <v>2384.65</v>
      </c>
      <c r="E1915" s="2">
        <v>0</v>
      </c>
      <c r="F1915" t="s">
        <v>13</v>
      </c>
      <c r="G1915" t="s">
        <v>9</v>
      </c>
    </row>
    <row r="1916" spans="1:7" x14ac:dyDescent="0.35">
      <c r="A1916">
        <v>749</v>
      </c>
      <c r="B1916" s="1">
        <v>45460</v>
      </c>
      <c r="C1916" t="s">
        <v>12</v>
      </c>
      <c r="D1916" s="2">
        <v>0</v>
      </c>
      <c r="E1916" s="2">
        <v>2218.2800000000002</v>
      </c>
      <c r="F1916" t="s">
        <v>14</v>
      </c>
      <c r="G1916" t="s">
        <v>15</v>
      </c>
    </row>
    <row r="1917" spans="1:7" x14ac:dyDescent="0.35">
      <c r="A1917">
        <v>749</v>
      </c>
      <c r="B1917" s="1">
        <v>45460</v>
      </c>
      <c r="C1917" t="s">
        <v>12</v>
      </c>
      <c r="D1917" s="2">
        <v>0</v>
      </c>
      <c r="E1917" s="2">
        <v>166.37</v>
      </c>
      <c r="F1917" t="s">
        <v>16</v>
      </c>
      <c r="G1917" t="s">
        <v>17</v>
      </c>
    </row>
    <row r="1918" spans="1:7" x14ac:dyDescent="0.35">
      <c r="A1918">
        <v>750</v>
      </c>
      <c r="B1918" s="1">
        <v>45460</v>
      </c>
      <c r="C1918" t="s">
        <v>12</v>
      </c>
      <c r="D1918" s="2">
        <v>4393.6499999999996</v>
      </c>
      <c r="E1918" s="2">
        <v>0</v>
      </c>
      <c r="F1918" t="s">
        <v>13</v>
      </c>
      <c r="G1918" t="s">
        <v>9</v>
      </c>
    </row>
    <row r="1919" spans="1:7" x14ac:dyDescent="0.35">
      <c r="A1919">
        <v>750</v>
      </c>
      <c r="B1919" s="1">
        <v>45460</v>
      </c>
      <c r="C1919" t="s">
        <v>12</v>
      </c>
      <c r="D1919" s="2">
        <v>0</v>
      </c>
      <c r="E1919" s="2">
        <v>4087.11</v>
      </c>
      <c r="F1919" t="s">
        <v>14</v>
      </c>
      <c r="G1919" t="s">
        <v>15</v>
      </c>
    </row>
    <row r="1920" spans="1:7" x14ac:dyDescent="0.35">
      <c r="A1920">
        <v>750</v>
      </c>
      <c r="B1920" s="1">
        <v>45460</v>
      </c>
      <c r="C1920" t="s">
        <v>12</v>
      </c>
      <c r="D1920" s="2">
        <v>0</v>
      </c>
      <c r="E1920" s="2">
        <v>306.54000000000002</v>
      </c>
      <c r="F1920" t="s">
        <v>16</v>
      </c>
      <c r="G1920" t="s">
        <v>17</v>
      </c>
    </row>
    <row r="1921" spans="1:7" x14ac:dyDescent="0.35">
      <c r="A1921">
        <v>751</v>
      </c>
      <c r="B1921" s="1">
        <v>45460</v>
      </c>
      <c r="C1921" t="s">
        <v>24</v>
      </c>
      <c r="D1921" s="2">
        <v>534.91999999999996</v>
      </c>
      <c r="E1921" s="2">
        <v>0</v>
      </c>
      <c r="F1921" t="s">
        <v>8</v>
      </c>
      <c r="G1921" t="s">
        <v>9</v>
      </c>
    </row>
    <row r="1922" spans="1:7" x14ac:dyDescent="0.35">
      <c r="A1922">
        <v>751</v>
      </c>
      <c r="B1922" s="1">
        <v>45460</v>
      </c>
      <c r="C1922" t="s">
        <v>24</v>
      </c>
      <c r="D1922" s="2">
        <v>0</v>
      </c>
      <c r="E1922" s="2">
        <v>534.91999999999996</v>
      </c>
      <c r="F1922" t="s">
        <v>13</v>
      </c>
      <c r="G1922" t="s">
        <v>9</v>
      </c>
    </row>
    <row r="1923" spans="1:7" x14ac:dyDescent="0.35">
      <c r="A1923">
        <v>752</v>
      </c>
      <c r="B1923" s="1">
        <v>45460</v>
      </c>
      <c r="C1923" t="s">
        <v>24</v>
      </c>
      <c r="D1923" s="2">
        <v>3243.59</v>
      </c>
      <c r="E1923" s="2">
        <v>0</v>
      </c>
      <c r="F1923" t="s">
        <v>8</v>
      </c>
      <c r="G1923" t="s">
        <v>9</v>
      </c>
    </row>
    <row r="1924" spans="1:7" x14ac:dyDescent="0.35">
      <c r="A1924">
        <v>752</v>
      </c>
      <c r="B1924" s="1">
        <v>45460</v>
      </c>
      <c r="C1924" t="s">
        <v>24</v>
      </c>
      <c r="D1924" s="2">
        <v>0</v>
      </c>
      <c r="E1924" s="2">
        <v>3243.59</v>
      </c>
      <c r="F1924" t="s">
        <v>13</v>
      </c>
      <c r="G1924" t="s">
        <v>9</v>
      </c>
    </row>
    <row r="1925" spans="1:7" x14ac:dyDescent="0.35">
      <c r="A1925">
        <v>753</v>
      </c>
      <c r="B1925" s="1">
        <v>45460</v>
      </c>
      <c r="C1925" t="s">
        <v>24</v>
      </c>
      <c r="D1925" s="2">
        <v>1386.14</v>
      </c>
      <c r="E1925" s="2">
        <v>0</v>
      </c>
      <c r="F1925" t="s">
        <v>8</v>
      </c>
      <c r="G1925" t="s">
        <v>9</v>
      </c>
    </row>
    <row r="1926" spans="1:7" x14ac:dyDescent="0.35">
      <c r="A1926">
        <v>753</v>
      </c>
      <c r="B1926" s="1">
        <v>45460</v>
      </c>
      <c r="C1926" t="s">
        <v>24</v>
      </c>
      <c r="D1926" s="2">
        <v>0</v>
      </c>
      <c r="E1926" s="2">
        <v>1386.14</v>
      </c>
      <c r="F1926" t="s">
        <v>13</v>
      </c>
      <c r="G1926" t="s">
        <v>9</v>
      </c>
    </row>
    <row r="1927" spans="1:7" x14ac:dyDescent="0.35">
      <c r="A1927">
        <v>754</v>
      </c>
      <c r="B1927" s="1">
        <v>45460</v>
      </c>
      <c r="C1927" t="s">
        <v>24</v>
      </c>
      <c r="D1927" s="2">
        <v>1762.94</v>
      </c>
      <c r="E1927" s="2">
        <v>0</v>
      </c>
      <c r="F1927" t="s">
        <v>8</v>
      </c>
      <c r="G1927" t="s">
        <v>9</v>
      </c>
    </row>
    <row r="1928" spans="1:7" x14ac:dyDescent="0.35">
      <c r="A1928">
        <v>754</v>
      </c>
      <c r="B1928" s="1">
        <v>45460</v>
      </c>
      <c r="C1928" t="s">
        <v>24</v>
      </c>
      <c r="D1928" s="2">
        <v>0</v>
      </c>
      <c r="E1928" s="2">
        <v>1762.94</v>
      </c>
      <c r="F1928" t="s">
        <v>13</v>
      </c>
      <c r="G1928" t="s">
        <v>9</v>
      </c>
    </row>
    <row r="1929" spans="1:7" x14ac:dyDescent="0.35">
      <c r="A1929">
        <v>755</v>
      </c>
      <c r="B1929" s="1">
        <v>45460</v>
      </c>
      <c r="C1929" t="s">
        <v>24</v>
      </c>
      <c r="D1929" s="2">
        <v>3858.82</v>
      </c>
      <c r="E1929" s="2">
        <v>0</v>
      </c>
      <c r="F1929" t="s">
        <v>8</v>
      </c>
      <c r="G1929" t="s">
        <v>9</v>
      </c>
    </row>
    <row r="1930" spans="1:7" x14ac:dyDescent="0.35">
      <c r="A1930">
        <v>755</v>
      </c>
      <c r="B1930" s="1">
        <v>45460</v>
      </c>
      <c r="C1930" t="s">
        <v>24</v>
      </c>
      <c r="D1930" s="2">
        <v>0</v>
      </c>
      <c r="E1930" s="2">
        <v>3858.82</v>
      </c>
      <c r="F1930" t="s">
        <v>13</v>
      </c>
      <c r="G1930" t="s">
        <v>9</v>
      </c>
    </row>
    <row r="1931" spans="1:7" x14ac:dyDescent="0.35">
      <c r="A1931">
        <v>756</v>
      </c>
      <c r="B1931" s="1">
        <v>45460</v>
      </c>
      <c r="C1931" t="s">
        <v>24</v>
      </c>
      <c r="D1931" s="2">
        <v>1084.08</v>
      </c>
      <c r="E1931" s="2">
        <v>0</v>
      </c>
      <c r="F1931" t="s">
        <v>8</v>
      </c>
      <c r="G1931" t="s">
        <v>9</v>
      </c>
    </row>
    <row r="1932" spans="1:7" x14ac:dyDescent="0.35">
      <c r="A1932">
        <v>756</v>
      </c>
      <c r="B1932" s="1">
        <v>45460</v>
      </c>
      <c r="C1932" t="s">
        <v>24</v>
      </c>
      <c r="D1932" s="2">
        <v>0</v>
      </c>
      <c r="E1932" s="2">
        <v>1084.08</v>
      </c>
      <c r="F1932" t="s">
        <v>13</v>
      </c>
      <c r="G1932" t="s">
        <v>9</v>
      </c>
    </row>
    <row r="1933" spans="1:7" x14ac:dyDescent="0.35">
      <c r="A1933">
        <v>757</v>
      </c>
      <c r="B1933" s="1">
        <v>45460</v>
      </c>
      <c r="C1933" t="s">
        <v>24</v>
      </c>
      <c r="D1933" s="2">
        <v>991.3</v>
      </c>
      <c r="E1933" s="2">
        <v>0</v>
      </c>
      <c r="F1933" t="s">
        <v>8</v>
      </c>
      <c r="G1933" t="s">
        <v>9</v>
      </c>
    </row>
    <row r="1934" spans="1:7" x14ac:dyDescent="0.35">
      <c r="A1934">
        <v>757</v>
      </c>
      <c r="B1934" s="1">
        <v>45460</v>
      </c>
      <c r="C1934" t="s">
        <v>24</v>
      </c>
      <c r="D1934" s="2">
        <v>0</v>
      </c>
      <c r="E1934" s="2">
        <v>991.3</v>
      </c>
      <c r="F1934" t="s">
        <v>13</v>
      </c>
      <c r="G1934" t="s">
        <v>9</v>
      </c>
    </row>
    <row r="1935" spans="1:7" x14ac:dyDescent="0.35">
      <c r="A1935">
        <v>758</v>
      </c>
      <c r="B1935" s="1">
        <v>45460</v>
      </c>
      <c r="C1935" t="s">
        <v>24</v>
      </c>
      <c r="D1935" s="2">
        <v>422.85</v>
      </c>
      <c r="E1935" s="2">
        <v>0</v>
      </c>
      <c r="F1935" t="s">
        <v>8</v>
      </c>
      <c r="G1935" t="s">
        <v>9</v>
      </c>
    </row>
    <row r="1936" spans="1:7" x14ac:dyDescent="0.35">
      <c r="A1936">
        <v>758</v>
      </c>
      <c r="B1936" s="1">
        <v>45460</v>
      </c>
      <c r="C1936" t="s">
        <v>24</v>
      </c>
      <c r="D1936" s="2">
        <v>0</v>
      </c>
      <c r="E1936" s="2">
        <v>422.85</v>
      </c>
      <c r="F1936" t="s">
        <v>13</v>
      </c>
      <c r="G1936" t="s">
        <v>9</v>
      </c>
    </row>
    <row r="1937" spans="1:7" x14ac:dyDescent="0.35">
      <c r="A1937">
        <v>759</v>
      </c>
      <c r="B1937" s="1">
        <v>45460</v>
      </c>
      <c r="C1937" t="s">
        <v>24</v>
      </c>
      <c r="D1937" s="2">
        <v>4393.6499999999996</v>
      </c>
      <c r="E1937" s="2">
        <v>0</v>
      </c>
      <c r="F1937" t="s">
        <v>8</v>
      </c>
      <c r="G1937" t="s">
        <v>9</v>
      </c>
    </row>
    <row r="1938" spans="1:7" x14ac:dyDescent="0.35">
      <c r="A1938">
        <v>759</v>
      </c>
      <c r="B1938" s="1">
        <v>45460</v>
      </c>
      <c r="C1938" t="s">
        <v>24</v>
      </c>
      <c r="D1938" s="2">
        <v>0</v>
      </c>
      <c r="E1938" s="2">
        <v>4393.6499999999996</v>
      </c>
      <c r="F1938" t="s">
        <v>13</v>
      </c>
      <c r="G1938" t="s">
        <v>9</v>
      </c>
    </row>
    <row r="1939" spans="1:7" x14ac:dyDescent="0.35">
      <c r="A1939">
        <v>760</v>
      </c>
      <c r="B1939" s="1">
        <v>45460</v>
      </c>
      <c r="C1939" t="s">
        <v>25</v>
      </c>
      <c r="D1939" s="2">
        <v>4476.71</v>
      </c>
      <c r="E1939" s="2">
        <v>0</v>
      </c>
      <c r="F1939" t="s">
        <v>26</v>
      </c>
      <c r="G1939" t="s">
        <v>20</v>
      </c>
    </row>
    <row r="1940" spans="1:7" x14ac:dyDescent="0.35">
      <c r="A1940">
        <v>760</v>
      </c>
      <c r="B1940" s="1">
        <v>45460</v>
      </c>
      <c r="C1940" t="s">
        <v>25</v>
      </c>
      <c r="D1940" s="2">
        <v>335.75</v>
      </c>
      <c r="E1940" s="2">
        <v>0</v>
      </c>
      <c r="F1940" t="s">
        <v>27</v>
      </c>
      <c r="G1940" t="s">
        <v>9</v>
      </c>
    </row>
    <row r="1941" spans="1:7" x14ac:dyDescent="0.35">
      <c r="A1941">
        <v>760</v>
      </c>
      <c r="B1941" s="1">
        <v>45460</v>
      </c>
      <c r="C1941" t="s">
        <v>25</v>
      </c>
      <c r="D1941" s="2">
        <v>0</v>
      </c>
      <c r="E1941" s="2">
        <v>4812.46</v>
      </c>
      <c r="F1941" t="s">
        <v>28</v>
      </c>
      <c r="G1941" t="s">
        <v>17</v>
      </c>
    </row>
    <row r="1942" spans="1:7" x14ac:dyDescent="0.35">
      <c r="A1942">
        <v>761</v>
      </c>
      <c r="B1942" s="1">
        <v>45460</v>
      </c>
      <c r="C1942" t="s">
        <v>25</v>
      </c>
      <c r="D1942" s="2">
        <v>1480.5</v>
      </c>
      <c r="E1942" s="2">
        <v>0</v>
      </c>
      <c r="F1942" t="s">
        <v>26</v>
      </c>
      <c r="G1942" t="s">
        <v>20</v>
      </c>
    </row>
    <row r="1943" spans="1:7" x14ac:dyDescent="0.35">
      <c r="A1943">
        <v>761</v>
      </c>
      <c r="B1943" s="1">
        <v>45460</v>
      </c>
      <c r="C1943" t="s">
        <v>25</v>
      </c>
      <c r="D1943" s="2">
        <v>111.04</v>
      </c>
      <c r="E1943" s="2">
        <v>0</v>
      </c>
      <c r="F1943" t="s">
        <v>27</v>
      </c>
      <c r="G1943" t="s">
        <v>9</v>
      </c>
    </row>
    <row r="1944" spans="1:7" x14ac:dyDescent="0.35">
      <c r="A1944">
        <v>761</v>
      </c>
      <c r="B1944" s="1">
        <v>45460</v>
      </c>
      <c r="C1944" t="s">
        <v>25</v>
      </c>
      <c r="D1944" s="2">
        <v>0</v>
      </c>
      <c r="E1944" s="2">
        <v>1591.54</v>
      </c>
      <c r="F1944" t="s">
        <v>28</v>
      </c>
      <c r="G1944" t="s">
        <v>17</v>
      </c>
    </row>
    <row r="1945" spans="1:7" x14ac:dyDescent="0.35">
      <c r="A1945">
        <v>762</v>
      </c>
      <c r="B1945" s="1">
        <v>45460</v>
      </c>
      <c r="C1945" t="s">
        <v>25</v>
      </c>
      <c r="D1945" s="2">
        <v>2714.58</v>
      </c>
      <c r="E1945" s="2">
        <v>0</v>
      </c>
      <c r="F1945" t="s">
        <v>26</v>
      </c>
      <c r="G1945" t="s">
        <v>20</v>
      </c>
    </row>
    <row r="1946" spans="1:7" x14ac:dyDescent="0.35">
      <c r="A1946">
        <v>762</v>
      </c>
      <c r="B1946" s="1">
        <v>45460</v>
      </c>
      <c r="C1946" t="s">
        <v>25</v>
      </c>
      <c r="D1946" s="2">
        <v>203.59</v>
      </c>
      <c r="E1946" s="2">
        <v>0</v>
      </c>
      <c r="F1946" t="s">
        <v>27</v>
      </c>
      <c r="G1946" t="s">
        <v>9</v>
      </c>
    </row>
    <row r="1947" spans="1:7" x14ac:dyDescent="0.35">
      <c r="A1947">
        <v>762</v>
      </c>
      <c r="B1947" s="1">
        <v>45460</v>
      </c>
      <c r="C1947" t="s">
        <v>25</v>
      </c>
      <c r="D1947" s="2">
        <v>0</v>
      </c>
      <c r="E1947" s="2">
        <v>2918.17</v>
      </c>
      <c r="F1947" t="s">
        <v>28</v>
      </c>
      <c r="G1947" t="s">
        <v>17</v>
      </c>
    </row>
    <row r="1948" spans="1:7" x14ac:dyDescent="0.35">
      <c r="A1948">
        <v>763</v>
      </c>
      <c r="B1948" s="1">
        <v>45460</v>
      </c>
      <c r="C1948" t="s">
        <v>25</v>
      </c>
      <c r="D1948" s="2">
        <v>696.06</v>
      </c>
      <c r="E1948" s="2">
        <v>0</v>
      </c>
      <c r="F1948" t="s">
        <v>26</v>
      </c>
      <c r="G1948" t="s">
        <v>20</v>
      </c>
    </row>
    <row r="1949" spans="1:7" x14ac:dyDescent="0.35">
      <c r="A1949">
        <v>763</v>
      </c>
      <c r="B1949" s="1">
        <v>45460</v>
      </c>
      <c r="C1949" t="s">
        <v>25</v>
      </c>
      <c r="D1949" s="2">
        <v>52.2</v>
      </c>
      <c r="E1949" s="2">
        <v>0</v>
      </c>
      <c r="F1949" t="s">
        <v>27</v>
      </c>
      <c r="G1949" t="s">
        <v>9</v>
      </c>
    </row>
    <row r="1950" spans="1:7" x14ac:dyDescent="0.35">
      <c r="A1950">
        <v>763</v>
      </c>
      <c r="B1950" s="1">
        <v>45460</v>
      </c>
      <c r="C1950" t="s">
        <v>25</v>
      </c>
      <c r="D1950" s="2">
        <v>0</v>
      </c>
      <c r="E1950" s="2">
        <v>748.26</v>
      </c>
      <c r="F1950" t="s">
        <v>28</v>
      </c>
      <c r="G1950" t="s">
        <v>17</v>
      </c>
    </row>
    <row r="1951" spans="1:7" x14ac:dyDescent="0.35">
      <c r="A1951">
        <v>764</v>
      </c>
      <c r="B1951" s="1">
        <v>45460</v>
      </c>
      <c r="C1951" t="s">
        <v>25</v>
      </c>
      <c r="D1951" s="2">
        <v>6723.2</v>
      </c>
      <c r="E1951" s="2">
        <v>0</v>
      </c>
      <c r="F1951" t="s">
        <v>26</v>
      </c>
      <c r="G1951" t="s">
        <v>20</v>
      </c>
    </row>
    <row r="1952" spans="1:7" x14ac:dyDescent="0.35">
      <c r="A1952">
        <v>764</v>
      </c>
      <c r="B1952" s="1">
        <v>45460</v>
      </c>
      <c r="C1952" t="s">
        <v>25</v>
      </c>
      <c r="D1952" s="2">
        <v>504.24</v>
      </c>
      <c r="E1952" s="2">
        <v>0</v>
      </c>
      <c r="F1952" t="s">
        <v>27</v>
      </c>
      <c r="G1952" t="s">
        <v>9</v>
      </c>
    </row>
    <row r="1953" spans="1:7" x14ac:dyDescent="0.35">
      <c r="A1953">
        <v>764</v>
      </c>
      <c r="B1953" s="1">
        <v>45460</v>
      </c>
      <c r="C1953" t="s">
        <v>25</v>
      </c>
      <c r="D1953" s="2">
        <v>0</v>
      </c>
      <c r="E1953" s="2">
        <v>7227.44</v>
      </c>
      <c r="F1953" t="s">
        <v>28</v>
      </c>
      <c r="G1953" t="s">
        <v>17</v>
      </c>
    </row>
    <row r="1954" spans="1:7" x14ac:dyDescent="0.35">
      <c r="A1954">
        <v>765</v>
      </c>
      <c r="B1954" s="1">
        <v>45460</v>
      </c>
      <c r="C1954" t="s">
        <v>25</v>
      </c>
      <c r="D1954" s="2">
        <v>8685.27</v>
      </c>
      <c r="E1954" s="2">
        <v>0</v>
      </c>
      <c r="F1954" t="s">
        <v>26</v>
      </c>
      <c r="G1954" t="s">
        <v>20</v>
      </c>
    </row>
    <row r="1955" spans="1:7" x14ac:dyDescent="0.35">
      <c r="A1955">
        <v>765</v>
      </c>
      <c r="B1955" s="1">
        <v>45460</v>
      </c>
      <c r="C1955" t="s">
        <v>25</v>
      </c>
      <c r="D1955" s="2">
        <v>651.4</v>
      </c>
      <c r="E1955" s="2">
        <v>0</v>
      </c>
      <c r="F1955" t="s">
        <v>27</v>
      </c>
      <c r="G1955" t="s">
        <v>9</v>
      </c>
    </row>
    <row r="1956" spans="1:7" x14ac:dyDescent="0.35">
      <c r="A1956">
        <v>765</v>
      </c>
      <c r="B1956" s="1">
        <v>45460</v>
      </c>
      <c r="C1956" t="s">
        <v>25</v>
      </c>
      <c r="D1956" s="2">
        <v>0</v>
      </c>
      <c r="E1956" s="2">
        <v>9336.67</v>
      </c>
      <c r="F1956" t="s">
        <v>28</v>
      </c>
      <c r="G1956" t="s">
        <v>17</v>
      </c>
    </row>
    <row r="1957" spans="1:7" x14ac:dyDescent="0.35">
      <c r="A1957">
        <v>766</v>
      </c>
      <c r="B1957" s="1">
        <v>45460</v>
      </c>
      <c r="C1957" t="s">
        <v>29</v>
      </c>
      <c r="D1957" s="2">
        <v>7227.44</v>
      </c>
      <c r="E1957" s="2">
        <v>0</v>
      </c>
      <c r="F1957" t="s">
        <v>28</v>
      </c>
      <c r="G1957" t="s">
        <v>17</v>
      </c>
    </row>
    <row r="1958" spans="1:7" x14ac:dyDescent="0.35">
      <c r="A1958">
        <v>766</v>
      </c>
      <c r="B1958" s="1">
        <v>45460</v>
      </c>
      <c r="C1958" t="s">
        <v>29</v>
      </c>
      <c r="D1958" s="2">
        <v>0</v>
      </c>
      <c r="E1958" s="2">
        <v>7227.44</v>
      </c>
      <c r="F1958" t="s">
        <v>8</v>
      </c>
      <c r="G1958" t="s">
        <v>9</v>
      </c>
    </row>
    <row r="1959" spans="1:7" x14ac:dyDescent="0.35">
      <c r="A1959">
        <v>767</v>
      </c>
      <c r="B1959" s="1">
        <v>45461</v>
      </c>
      <c r="C1959" t="s">
        <v>12</v>
      </c>
      <c r="D1959" s="2">
        <v>1500.19</v>
      </c>
      <c r="E1959" s="2">
        <v>0</v>
      </c>
      <c r="F1959" t="s">
        <v>13</v>
      </c>
      <c r="G1959" t="s">
        <v>9</v>
      </c>
    </row>
    <row r="1960" spans="1:7" x14ac:dyDescent="0.35">
      <c r="A1960">
        <v>767</v>
      </c>
      <c r="B1960" s="1">
        <v>45461</v>
      </c>
      <c r="C1960" t="s">
        <v>12</v>
      </c>
      <c r="D1960" s="2">
        <v>0</v>
      </c>
      <c r="E1960" s="2">
        <v>1395.52</v>
      </c>
      <c r="F1960" t="s">
        <v>14</v>
      </c>
      <c r="G1960" t="s">
        <v>15</v>
      </c>
    </row>
    <row r="1961" spans="1:7" x14ac:dyDescent="0.35">
      <c r="A1961">
        <v>767</v>
      </c>
      <c r="B1961" s="1">
        <v>45461</v>
      </c>
      <c r="C1961" t="s">
        <v>12</v>
      </c>
      <c r="D1961" s="2">
        <v>0</v>
      </c>
      <c r="E1961" s="2">
        <v>104.67</v>
      </c>
      <c r="F1961" t="s">
        <v>16</v>
      </c>
      <c r="G1961" t="s">
        <v>17</v>
      </c>
    </row>
    <row r="1962" spans="1:7" x14ac:dyDescent="0.35">
      <c r="A1962">
        <v>768</v>
      </c>
      <c r="B1962" s="1">
        <v>45461</v>
      </c>
      <c r="C1962" t="s">
        <v>12</v>
      </c>
      <c r="D1962" s="2">
        <v>2309.0300000000002</v>
      </c>
      <c r="E1962" s="2">
        <v>0</v>
      </c>
      <c r="F1962" t="s">
        <v>13</v>
      </c>
      <c r="G1962" t="s">
        <v>9</v>
      </c>
    </row>
    <row r="1963" spans="1:7" x14ac:dyDescent="0.35">
      <c r="A1963">
        <v>768</v>
      </c>
      <c r="B1963" s="1">
        <v>45461</v>
      </c>
      <c r="C1963" t="s">
        <v>12</v>
      </c>
      <c r="D1963" s="2">
        <v>0</v>
      </c>
      <c r="E1963" s="2">
        <v>2147.94</v>
      </c>
      <c r="F1963" t="s">
        <v>14</v>
      </c>
      <c r="G1963" t="s">
        <v>15</v>
      </c>
    </row>
    <row r="1964" spans="1:7" x14ac:dyDescent="0.35">
      <c r="A1964">
        <v>768</v>
      </c>
      <c r="B1964" s="1">
        <v>45461</v>
      </c>
      <c r="C1964" t="s">
        <v>12</v>
      </c>
      <c r="D1964" s="2">
        <v>0</v>
      </c>
      <c r="E1964" s="2">
        <v>161.09</v>
      </c>
      <c r="F1964" t="s">
        <v>16</v>
      </c>
      <c r="G1964" t="s">
        <v>17</v>
      </c>
    </row>
    <row r="1965" spans="1:7" x14ac:dyDescent="0.35">
      <c r="A1965">
        <v>769</v>
      </c>
      <c r="B1965" s="1">
        <v>45461</v>
      </c>
      <c r="C1965" t="s">
        <v>12</v>
      </c>
      <c r="D1965" s="2">
        <v>1055.1199999999999</v>
      </c>
      <c r="E1965" s="2">
        <v>0</v>
      </c>
      <c r="F1965" t="s">
        <v>13</v>
      </c>
      <c r="G1965" t="s">
        <v>9</v>
      </c>
    </row>
    <row r="1966" spans="1:7" x14ac:dyDescent="0.35">
      <c r="A1966">
        <v>769</v>
      </c>
      <c r="B1966" s="1">
        <v>45461</v>
      </c>
      <c r="C1966" t="s">
        <v>12</v>
      </c>
      <c r="D1966" s="2">
        <v>0</v>
      </c>
      <c r="E1966" s="2">
        <v>981.5</v>
      </c>
      <c r="F1966" t="s">
        <v>14</v>
      </c>
      <c r="G1966" t="s">
        <v>15</v>
      </c>
    </row>
    <row r="1967" spans="1:7" x14ac:dyDescent="0.35">
      <c r="A1967">
        <v>769</v>
      </c>
      <c r="B1967" s="1">
        <v>45461</v>
      </c>
      <c r="C1967" t="s">
        <v>12</v>
      </c>
      <c r="D1967" s="2">
        <v>0</v>
      </c>
      <c r="E1967" s="2">
        <v>73.62</v>
      </c>
      <c r="F1967" t="s">
        <v>16</v>
      </c>
      <c r="G1967" t="s">
        <v>17</v>
      </c>
    </row>
    <row r="1968" spans="1:7" x14ac:dyDescent="0.35">
      <c r="A1968">
        <v>770</v>
      </c>
      <c r="B1968" s="1">
        <v>45461</v>
      </c>
      <c r="C1968" t="s">
        <v>24</v>
      </c>
      <c r="D1968" s="2">
        <v>3428.55</v>
      </c>
      <c r="E1968" s="2">
        <v>0</v>
      </c>
      <c r="F1968" t="s">
        <v>8</v>
      </c>
      <c r="G1968" t="s">
        <v>9</v>
      </c>
    </row>
    <row r="1969" spans="1:7" x14ac:dyDescent="0.35">
      <c r="A1969">
        <v>770</v>
      </c>
      <c r="B1969" s="1">
        <v>45461</v>
      </c>
      <c r="C1969" t="s">
        <v>24</v>
      </c>
      <c r="D1969" s="2">
        <v>0</v>
      </c>
      <c r="E1969" s="2">
        <v>3428.55</v>
      </c>
      <c r="F1969" t="s">
        <v>13</v>
      </c>
      <c r="G1969" t="s">
        <v>9</v>
      </c>
    </row>
    <row r="1970" spans="1:7" x14ac:dyDescent="0.35">
      <c r="A1970">
        <v>771</v>
      </c>
      <c r="B1970" s="1">
        <v>45461</v>
      </c>
      <c r="C1970" t="s">
        <v>24</v>
      </c>
      <c r="D1970" s="2">
        <v>1456.37</v>
      </c>
      <c r="E1970" s="2">
        <v>0</v>
      </c>
      <c r="F1970" t="s">
        <v>8</v>
      </c>
      <c r="G1970" t="s">
        <v>9</v>
      </c>
    </row>
    <row r="1971" spans="1:7" x14ac:dyDescent="0.35">
      <c r="A1971">
        <v>771</v>
      </c>
      <c r="B1971" s="1">
        <v>45461</v>
      </c>
      <c r="C1971" t="s">
        <v>24</v>
      </c>
      <c r="D1971" s="2">
        <v>0</v>
      </c>
      <c r="E1971" s="2">
        <v>1456.37</v>
      </c>
      <c r="F1971" t="s">
        <v>13</v>
      </c>
      <c r="G1971" t="s">
        <v>9</v>
      </c>
    </row>
    <row r="1972" spans="1:7" x14ac:dyDescent="0.35">
      <c r="A1972">
        <v>772</v>
      </c>
      <c r="B1972" s="1">
        <v>45461</v>
      </c>
      <c r="C1972" t="s">
        <v>24</v>
      </c>
      <c r="D1972" s="2">
        <v>3413.14</v>
      </c>
      <c r="E1972" s="2">
        <v>0</v>
      </c>
      <c r="F1972" t="s">
        <v>8</v>
      </c>
      <c r="G1972" t="s">
        <v>9</v>
      </c>
    </row>
    <row r="1973" spans="1:7" x14ac:dyDescent="0.35">
      <c r="A1973">
        <v>772</v>
      </c>
      <c r="B1973" s="1">
        <v>45461</v>
      </c>
      <c r="C1973" t="s">
        <v>24</v>
      </c>
      <c r="D1973" s="2">
        <v>0</v>
      </c>
      <c r="E1973" s="2">
        <v>3413.14</v>
      </c>
      <c r="F1973" t="s">
        <v>13</v>
      </c>
      <c r="G1973" t="s">
        <v>9</v>
      </c>
    </row>
    <row r="1974" spans="1:7" x14ac:dyDescent="0.35">
      <c r="A1974">
        <v>773</v>
      </c>
      <c r="B1974" s="1">
        <v>45461</v>
      </c>
      <c r="C1974" t="s">
        <v>24</v>
      </c>
      <c r="D1974" s="2">
        <v>494.99</v>
      </c>
      <c r="E1974" s="2">
        <v>0</v>
      </c>
      <c r="F1974" t="s">
        <v>8</v>
      </c>
      <c r="G1974" t="s">
        <v>9</v>
      </c>
    </row>
    <row r="1975" spans="1:7" x14ac:dyDescent="0.35">
      <c r="A1975">
        <v>773</v>
      </c>
      <c r="B1975" s="1">
        <v>45461</v>
      </c>
      <c r="C1975" t="s">
        <v>24</v>
      </c>
      <c r="D1975" s="2">
        <v>0</v>
      </c>
      <c r="E1975" s="2">
        <v>494.99</v>
      </c>
      <c r="F1975" t="s">
        <v>13</v>
      </c>
      <c r="G1975" t="s">
        <v>9</v>
      </c>
    </row>
    <row r="1976" spans="1:7" x14ac:dyDescent="0.35">
      <c r="A1976">
        <v>774</v>
      </c>
      <c r="B1976" s="1">
        <v>45461</v>
      </c>
      <c r="C1976" t="s">
        <v>24</v>
      </c>
      <c r="D1976" s="2">
        <v>2384.65</v>
      </c>
      <c r="E1976" s="2">
        <v>0</v>
      </c>
      <c r="F1976" t="s">
        <v>8</v>
      </c>
      <c r="G1976" t="s">
        <v>9</v>
      </c>
    </row>
    <row r="1977" spans="1:7" x14ac:dyDescent="0.35">
      <c r="A1977">
        <v>774</v>
      </c>
      <c r="B1977" s="1">
        <v>45461</v>
      </c>
      <c r="C1977" t="s">
        <v>24</v>
      </c>
      <c r="D1977" s="2">
        <v>0</v>
      </c>
      <c r="E1977" s="2">
        <v>2384.65</v>
      </c>
      <c r="F1977" t="s">
        <v>13</v>
      </c>
      <c r="G1977" t="s">
        <v>9</v>
      </c>
    </row>
    <row r="1978" spans="1:7" x14ac:dyDescent="0.35">
      <c r="A1978">
        <v>775</v>
      </c>
      <c r="B1978" s="1">
        <v>45461</v>
      </c>
      <c r="C1978" t="s">
        <v>29</v>
      </c>
      <c r="D1978" s="2">
        <v>1935.04</v>
      </c>
      <c r="E1978" s="2">
        <v>0</v>
      </c>
      <c r="F1978" t="s">
        <v>28</v>
      </c>
      <c r="G1978" t="s">
        <v>17</v>
      </c>
    </row>
    <row r="1979" spans="1:7" x14ac:dyDescent="0.35">
      <c r="A1979">
        <v>775</v>
      </c>
      <c r="B1979" s="1">
        <v>45461</v>
      </c>
      <c r="C1979" t="s">
        <v>29</v>
      </c>
      <c r="D1979" s="2">
        <v>0</v>
      </c>
      <c r="E1979" s="2">
        <v>1935.04</v>
      </c>
      <c r="F1979" t="s">
        <v>8</v>
      </c>
      <c r="G1979" t="s">
        <v>9</v>
      </c>
    </row>
    <row r="1980" spans="1:7" x14ac:dyDescent="0.35">
      <c r="A1980">
        <v>776</v>
      </c>
      <c r="B1980" s="1">
        <v>45461</v>
      </c>
      <c r="C1980" t="s">
        <v>29</v>
      </c>
      <c r="D1980" s="2">
        <v>1591.54</v>
      </c>
      <c r="E1980" s="2">
        <v>0</v>
      </c>
      <c r="F1980" t="s">
        <v>28</v>
      </c>
      <c r="G1980" t="s">
        <v>17</v>
      </c>
    </row>
    <row r="1981" spans="1:7" x14ac:dyDescent="0.35">
      <c r="A1981">
        <v>776</v>
      </c>
      <c r="B1981" s="1">
        <v>45461</v>
      </c>
      <c r="C1981" t="s">
        <v>29</v>
      </c>
      <c r="D1981" s="2">
        <v>0</v>
      </c>
      <c r="E1981" s="2">
        <v>1591.54</v>
      </c>
      <c r="F1981" t="s">
        <v>8</v>
      </c>
      <c r="G1981" t="s">
        <v>9</v>
      </c>
    </row>
    <row r="1982" spans="1:7" x14ac:dyDescent="0.35">
      <c r="A1982">
        <v>777</v>
      </c>
      <c r="B1982" s="1">
        <v>45462</v>
      </c>
      <c r="C1982" t="s">
        <v>12</v>
      </c>
      <c r="D1982" s="2">
        <v>3198.37</v>
      </c>
      <c r="E1982" s="2">
        <v>0</v>
      </c>
      <c r="F1982" t="s">
        <v>13</v>
      </c>
      <c r="G1982" t="s">
        <v>9</v>
      </c>
    </row>
    <row r="1983" spans="1:7" x14ac:dyDescent="0.35">
      <c r="A1983">
        <v>777</v>
      </c>
      <c r="B1983" s="1">
        <v>45462</v>
      </c>
      <c r="C1983" t="s">
        <v>12</v>
      </c>
      <c r="D1983" s="2">
        <v>0</v>
      </c>
      <c r="E1983" s="2">
        <v>2975.22</v>
      </c>
      <c r="F1983" t="s">
        <v>14</v>
      </c>
      <c r="G1983" t="s">
        <v>15</v>
      </c>
    </row>
    <row r="1984" spans="1:7" x14ac:dyDescent="0.35">
      <c r="A1984">
        <v>777</v>
      </c>
      <c r="B1984" s="1">
        <v>45462</v>
      </c>
      <c r="C1984" t="s">
        <v>12</v>
      </c>
      <c r="D1984" s="2">
        <v>0</v>
      </c>
      <c r="E1984" s="2">
        <v>223.15</v>
      </c>
      <c r="F1984" t="s">
        <v>16</v>
      </c>
      <c r="G1984" t="s">
        <v>17</v>
      </c>
    </row>
    <row r="1985" spans="1:7" x14ac:dyDescent="0.35">
      <c r="A1985">
        <v>778</v>
      </c>
      <c r="B1985" s="1">
        <v>45462</v>
      </c>
      <c r="C1985" t="s">
        <v>12</v>
      </c>
      <c r="D1985" s="2">
        <v>633.69000000000005</v>
      </c>
      <c r="E1985" s="2">
        <v>0</v>
      </c>
      <c r="F1985" t="s">
        <v>13</v>
      </c>
      <c r="G1985" t="s">
        <v>9</v>
      </c>
    </row>
    <row r="1986" spans="1:7" x14ac:dyDescent="0.35">
      <c r="A1986">
        <v>778</v>
      </c>
      <c r="B1986" s="1">
        <v>45462</v>
      </c>
      <c r="C1986" t="s">
        <v>12</v>
      </c>
      <c r="D1986" s="2">
        <v>0</v>
      </c>
      <c r="E1986" s="2">
        <v>589.48</v>
      </c>
      <c r="F1986" t="s">
        <v>14</v>
      </c>
      <c r="G1986" t="s">
        <v>15</v>
      </c>
    </row>
    <row r="1987" spans="1:7" x14ac:dyDescent="0.35">
      <c r="A1987">
        <v>778</v>
      </c>
      <c r="B1987" s="1">
        <v>45462</v>
      </c>
      <c r="C1987" t="s">
        <v>12</v>
      </c>
      <c r="D1987" s="2">
        <v>0</v>
      </c>
      <c r="E1987" s="2">
        <v>44.21</v>
      </c>
      <c r="F1987" t="s">
        <v>16</v>
      </c>
      <c r="G1987" t="s">
        <v>17</v>
      </c>
    </row>
    <row r="1988" spans="1:7" x14ac:dyDescent="0.35">
      <c r="A1988">
        <v>779</v>
      </c>
      <c r="B1988" s="1">
        <v>45462</v>
      </c>
      <c r="C1988" t="s">
        <v>29</v>
      </c>
      <c r="D1988" s="2">
        <v>276.32</v>
      </c>
      <c r="E1988" s="2">
        <v>0</v>
      </c>
      <c r="F1988" t="s">
        <v>28</v>
      </c>
      <c r="G1988" t="s">
        <v>17</v>
      </c>
    </row>
    <row r="1989" spans="1:7" x14ac:dyDescent="0.35">
      <c r="A1989">
        <v>779</v>
      </c>
      <c r="B1989" s="1">
        <v>45462</v>
      </c>
      <c r="C1989" t="s">
        <v>29</v>
      </c>
      <c r="D1989" s="2">
        <v>0</v>
      </c>
      <c r="E1989" s="2">
        <v>276.32</v>
      </c>
      <c r="F1989" t="s">
        <v>8</v>
      </c>
      <c r="G1989" t="s">
        <v>9</v>
      </c>
    </row>
    <row r="1990" spans="1:7" x14ac:dyDescent="0.35">
      <c r="A1990">
        <v>780</v>
      </c>
      <c r="B1990" s="1">
        <v>45462</v>
      </c>
      <c r="C1990" t="s">
        <v>29</v>
      </c>
      <c r="D1990" s="2">
        <v>1794.11</v>
      </c>
      <c r="E1990" s="2">
        <v>0</v>
      </c>
      <c r="F1990" t="s">
        <v>28</v>
      </c>
      <c r="G1990" t="s">
        <v>17</v>
      </c>
    </row>
    <row r="1991" spans="1:7" x14ac:dyDescent="0.35">
      <c r="A1991">
        <v>780</v>
      </c>
      <c r="B1991" s="1">
        <v>45462</v>
      </c>
      <c r="C1991" t="s">
        <v>29</v>
      </c>
      <c r="D1991" s="2">
        <v>0</v>
      </c>
      <c r="E1991" s="2">
        <v>1794.11</v>
      </c>
      <c r="F1991" t="s">
        <v>8</v>
      </c>
      <c r="G1991" t="s">
        <v>9</v>
      </c>
    </row>
    <row r="1992" spans="1:7" x14ac:dyDescent="0.35">
      <c r="A1992">
        <v>781</v>
      </c>
      <c r="B1992" s="1">
        <v>45463</v>
      </c>
      <c r="C1992" t="s">
        <v>18</v>
      </c>
      <c r="D1992" s="2">
        <v>21511.08</v>
      </c>
      <c r="E1992" s="2">
        <v>0</v>
      </c>
      <c r="F1992" t="s">
        <v>19</v>
      </c>
      <c r="G1992" t="s">
        <v>20</v>
      </c>
    </row>
    <row r="1993" spans="1:7" x14ac:dyDescent="0.35">
      <c r="A1993">
        <v>781</v>
      </c>
      <c r="B1993" s="1">
        <v>45463</v>
      </c>
      <c r="C1993" t="s">
        <v>18</v>
      </c>
      <c r="D1993" s="2">
        <v>860.45</v>
      </c>
      <c r="E1993" s="2">
        <v>0</v>
      </c>
      <c r="F1993" t="s">
        <v>21</v>
      </c>
      <c r="G1993" t="s">
        <v>20</v>
      </c>
    </row>
    <row r="1994" spans="1:7" x14ac:dyDescent="0.35">
      <c r="A1994">
        <v>781</v>
      </c>
      <c r="B1994" s="1">
        <v>45463</v>
      </c>
      <c r="C1994" t="s">
        <v>18</v>
      </c>
      <c r="D1994" s="2">
        <v>0</v>
      </c>
      <c r="E1994" s="2">
        <v>17640.43</v>
      </c>
      <c r="F1994" t="s">
        <v>8</v>
      </c>
      <c r="G1994" t="s">
        <v>9</v>
      </c>
    </row>
    <row r="1995" spans="1:7" x14ac:dyDescent="0.35">
      <c r="A1995">
        <v>781</v>
      </c>
      <c r="B1995" s="1">
        <v>45463</v>
      </c>
      <c r="C1995" t="s">
        <v>18</v>
      </c>
      <c r="D1995" s="2">
        <v>0</v>
      </c>
      <c r="E1995" s="2">
        <v>3870.65</v>
      </c>
      <c r="F1995" t="s">
        <v>22</v>
      </c>
      <c r="G1995" t="s">
        <v>17</v>
      </c>
    </row>
    <row r="1996" spans="1:7" x14ac:dyDescent="0.35">
      <c r="A1996">
        <v>781</v>
      </c>
      <c r="B1996" s="1">
        <v>45463</v>
      </c>
      <c r="C1996" t="s">
        <v>18</v>
      </c>
      <c r="D1996" s="2">
        <v>0</v>
      </c>
      <c r="E1996" s="2">
        <v>860.45</v>
      </c>
      <c r="F1996" t="s">
        <v>23</v>
      </c>
      <c r="G1996" t="s">
        <v>17</v>
      </c>
    </row>
    <row r="1997" spans="1:7" x14ac:dyDescent="0.35">
      <c r="A1997">
        <v>782</v>
      </c>
      <c r="B1997" s="1">
        <v>45463</v>
      </c>
      <c r="C1997" t="s">
        <v>24</v>
      </c>
      <c r="D1997" s="2">
        <v>3354.47</v>
      </c>
      <c r="E1997" s="2">
        <v>0</v>
      </c>
      <c r="F1997" t="s">
        <v>8</v>
      </c>
      <c r="G1997" t="s">
        <v>9</v>
      </c>
    </row>
    <row r="1998" spans="1:7" x14ac:dyDescent="0.35">
      <c r="A1998">
        <v>782</v>
      </c>
      <c r="B1998" s="1">
        <v>45463</v>
      </c>
      <c r="C1998" t="s">
        <v>24</v>
      </c>
      <c r="D1998" s="2">
        <v>0</v>
      </c>
      <c r="E1998" s="2">
        <v>3354.47</v>
      </c>
      <c r="F1998" t="s">
        <v>13</v>
      </c>
      <c r="G1998" t="s">
        <v>9</v>
      </c>
    </row>
    <row r="1999" spans="1:7" x14ac:dyDescent="0.35">
      <c r="A1999">
        <v>783</v>
      </c>
      <c r="B1999" s="1">
        <v>45463</v>
      </c>
      <c r="C1999" t="s">
        <v>24</v>
      </c>
      <c r="D1999" s="2">
        <v>1881.63</v>
      </c>
      <c r="E1999" s="2">
        <v>0</v>
      </c>
      <c r="F1999" t="s">
        <v>8</v>
      </c>
      <c r="G1999" t="s">
        <v>9</v>
      </c>
    </row>
    <row r="2000" spans="1:7" x14ac:dyDescent="0.35">
      <c r="A2000">
        <v>783</v>
      </c>
      <c r="B2000" s="1">
        <v>45463</v>
      </c>
      <c r="C2000" t="s">
        <v>24</v>
      </c>
      <c r="D2000" s="2">
        <v>0</v>
      </c>
      <c r="E2000" s="2">
        <v>1881.63</v>
      </c>
      <c r="F2000" t="s">
        <v>13</v>
      </c>
      <c r="G2000" t="s">
        <v>9</v>
      </c>
    </row>
    <row r="2001" spans="1:7" x14ac:dyDescent="0.35">
      <c r="A2001">
        <v>784</v>
      </c>
      <c r="B2001" s="1">
        <v>45463</v>
      </c>
      <c r="C2001" t="s">
        <v>25</v>
      </c>
      <c r="D2001" s="2">
        <v>3282.76</v>
      </c>
      <c r="E2001" s="2">
        <v>0</v>
      </c>
      <c r="F2001" t="s">
        <v>26</v>
      </c>
      <c r="G2001" t="s">
        <v>20</v>
      </c>
    </row>
    <row r="2002" spans="1:7" x14ac:dyDescent="0.35">
      <c r="A2002">
        <v>784</v>
      </c>
      <c r="B2002" s="1">
        <v>45463</v>
      </c>
      <c r="C2002" t="s">
        <v>25</v>
      </c>
      <c r="D2002" s="2">
        <v>246.21</v>
      </c>
      <c r="E2002" s="2">
        <v>0</v>
      </c>
      <c r="F2002" t="s">
        <v>27</v>
      </c>
      <c r="G2002" t="s">
        <v>9</v>
      </c>
    </row>
    <row r="2003" spans="1:7" x14ac:dyDescent="0.35">
      <c r="A2003">
        <v>784</v>
      </c>
      <c r="B2003" s="1">
        <v>45463</v>
      </c>
      <c r="C2003" t="s">
        <v>25</v>
      </c>
      <c r="D2003" s="2">
        <v>0</v>
      </c>
      <c r="E2003" s="2">
        <v>3528.97</v>
      </c>
      <c r="F2003" t="s">
        <v>28</v>
      </c>
      <c r="G2003" t="s">
        <v>17</v>
      </c>
    </row>
    <row r="2004" spans="1:7" x14ac:dyDescent="0.35">
      <c r="A2004">
        <v>785</v>
      </c>
      <c r="B2004" s="1">
        <v>45463</v>
      </c>
      <c r="C2004" t="s">
        <v>29</v>
      </c>
      <c r="D2004" s="2">
        <v>1958.74</v>
      </c>
      <c r="E2004" s="2">
        <v>0</v>
      </c>
      <c r="F2004" t="s">
        <v>28</v>
      </c>
      <c r="G2004" t="s">
        <v>17</v>
      </c>
    </row>
    <row r="2005" spans="1:7" x14ac:dyDescent="0.35">
      <c r="A2005">
        <v>785</v>
      </c>
      <c r="B2005" s="1">
        <v>45463</v>
      </c>
      <c r="C2005" t="s">
        <v>29</v>
      </c>
      <c r="D2005" s="2">
        <v>0</v>
      </c>
      <c r="E2005" s="2">
        <v>1958.74</v>
      </c>
      <c r="F2005" t="s">
        <v>8</v>
      </c>
      <c r="G2005" t="s">
        <v>9</v>
      </c>
    </row>
    <row r="2006" spans="1:7" x14ac:dyDescent="0.35">
      <c r="A2006">
        <v>786</v>
      </c>
      <c r="B2006" s="1">
        <v>45463</v>
      </c>
      <c r="C2006" t="s">
        <v>29</v>
      </c>
      <c r="D2006" s="2">
        <v>1159.8399999999999</v>
      </c>
      <c r="E2006" s="2">
        <v>0</v>
      </c>
      <c r="F2006" t="s">
        <v>28</v>
      </c>
      <c r="G2006" t="s">
        <v>17</v>
      </c>
    </row>
    <row r="2007" spans="1:7" x14ac:dyDescent="0.35">
      <c r="A2007">
        <v>786</v>
      </c>
      <c r="B2007" s="1">
        <v>45463</v>
      </c>
      <c r="C2007" t="s">
        <v>29</v>
      </c>
      <c r="D2007" s="2">
        <v>0</v>
      </c>
      <c r="E2007" s="2">
        <v>1159.8399999999999</v>
      </c>
      <c r="F2007" t="s">
        <v>8</v>
      </c>
      <c r="G2007" t="s">
        <v>9</v>
      </c>
    </row>
    <row r="2008" spans="1:7" x14ac:dyDescent="0.35">
      <c r="A2008">
        <v>787</v>
      </c>
      <c r="B2008" s="1">
        <v>45464</v>
      </c>
      <c r="C2008" t="s">
        <v>12</v>
      </c>
      <c r="D2008" s="2">
        <v>3165.66</v>
      </c>
      <c r="E2008" s="2">
        <v>0</v>
      </c>
      <c r="F2008" t="s">
        <v>13</v>
      </c>
      <c r="G2008" t="s">
        <v>9</v>
      </c>
    </row>
    <row r="2009" spans="1:7" x14ac:dyDescent="0.35">
      <c r="A2009">
        <v>787</v>
      </c>
      <c r="B2009" s="1">
        <v>45464</v>
      </c>
      <c r="C2009" t="s">
        <v>12</v>
      </c>
      <c r="D2009" s="2">
        <v>0</v>
      </c>
      <c r="E2009" s="2">
        <v>2944.8</v>
      </c>
      <c r="F2009" t="s">
        <v>14</v>
      </c>
      <c r="G2009" t="s">
        <v>15</v>
      </c>
    </row>
    <row r="2010" spans="1:7" x14ac:dyDescent="0.35">
      <c r="A2010">
        <v>787</v>
      </c>
      <c r="B2010" s="1">
        <v>45464</v>
      </c>
      <c r="C2010" t="s">
        <v>12</v>
      </c>
      <c r="D2010" s="2">
        <v>0</v>
      </c>
      <c r="E2010" s="2">
        <v>220.86</v>
      </c>
      <c r="F2010" t="s">
        <v>16</v>
      </c>
      <c r="G2010" t="s">
        <v>17</v>
      </c>
    </row>
    <row r="2011" spans="1:7" x14ac:dyDescent="0.35">
      <c r="A2011">
        <v>788</v>
      </c>
      <c r="B2011" s="1">
        <v>45464</v>
      </c>
      <c r="C2011" t="s">
        <v>12</v>
      </c>
      <c r="D2011" s="2">
        <v>3896.94</v>
      </c>
      <c r="E2011" s="2">
        <v>0</v>
      </c>
      <c r="F2011" t="s">
        <v>13</v>
      </c>
      <c r="G2011" t="s">
        <v>9</v>
      </c>
    </row>
    <row r="2012" spans="1:7" x14ac:dyDescent="0.35">
      <c r="A2012">
        <v>788</v>
      </c>
      <c r="B2012" s="1">
        <v>45464</v>
      </c>
      <c r="C2012" t="s">
        <v>12</v>
      </c>
      <c r="D2012" s="2">
        <v>0</v>
      </c>
      <c r="E2012" s="2">
        <v>3625.06</v>
      </c>
      <c r="F2012" t="s">
        <v>14</v>
      </c>
      <c r="G2012" t="s">
        <v>15</v>
      </c>
    </row>
    <row r="2013" spans="1:7" x14ac:dyDescent="0.35">
      <c r="A2013">
        <v>788</v>
      </c>
      <c r="B2013" s="1">
        <v>45464</v>
      </c>
      <c r="C2013" t="s">
        <v>12</v>
      </c>
      <c r="D2013" s="2">
        <v>0</v>
      </c>
      <c r="E2013" s="2">
        <v>271.88</v>
      </c>
      <c r="F2013" t="s">
        <v>16</v>
      </c>
      <c r="G2013" t="s">
        <v>17</v>
      </c>
    </row>
    <row r="2014" spans="1:7" x14ac:dyDescent="0.35">
      <c r="A2014">
        <v>789</v>
      </c>
      <c r="B2014" s="1">
        <v>45464</v>
      </c>
      <c r="C2014" t="s">
        <v>12</v>
      </c>
      <c r="D2014" s="2">
        <v>1828.75</v>
      </c>
      <c r="E2014" s="2">
        <v>0</v>
      </c>
      <c r="F2014" t="s">
        <v>13</v>
      </c>
      <c r="G2014" t="s">
        <v>9</v>
      </c>
    </row>
    <row r="2015" spans="1:7" x14ac:dyDescent="0.35">
      <c r="A2015">
        <v>789</v>
      </c>
      <c r="B2015" s="1">
        <v>45464</v>
      </c>
      <c r="C2015" t="s">
        <v>12</v>
      </c>
      <c r="D2015" s="2">
        <v>0</v>
      </c>
      <c r="E2015" s="2">
        <v>1701.17</v>
      </c>
      <c r="F2015" t="s">
        <v>14</v>
      </c>
      <c r="G2015" t="s">
        <v>15</v>
      </c>
    </row>
    <row r="2016" spans="1:7" x14ac:dyDescent="0.35">
      <c r="A2016">
        <v>789</v>
      </c>
      <c r="B2016" s="1">
        <v>45464</v>
      </c>
      <c r="C2016" t="s">
        <v>12</v>
      </c>
      <c r="D2016" s="2">
        <v>0</v>
      </c>
      <c r="E2016" s="2">
        <v>127.58</v>
      </c>
      <c r="F2016" t="s">
        <v>16</v>
      </c>
      <c r="G2016" t="s">
        <v>17</v>
      </c>
    </row>
    <row r="2017" spans="1:7" x14ac:dyDescent="0.35">
      <c r="A2017">
        <v>790</v>
      </c>
      <c r="B2017" s="1">
        <v>45464</v>
      </c>
      <c r="C2017" t="s">
        <v>12</v>
      </c>
      <c r="D2017" s="2">
        <v>152.16</v>
      </c>
      <c r="E2017" s="2">
        <v>0</v>
      </c>
      <c r="F2017" t="s">
        <v>13</v>
      </c>
      <c r="G2017" t="s">
        <v>9</v>
      </c>
    </row>
    <row r="2018" spans="1:7" x14ac:dyDescent="0.35">
      <c r="A2018">
        <v>790</v>
      </c>
      <c r="B2018" s="1">
        <v>45464</v>
      </c>
      <c r="C2018" t="s">
        <v>12</v>
      </c>
      <c r="D2018" s="2">
        <v>0</v>
      </c>
      <c r="E2018" s="2">
        <v>141.54</v>
      </c>
      <c r="F2018" t="s">
        <v>14</v>
      </c>
      <c r="G2018" t="s">
        <v>15</v>
      </c>
    </row>
    <row r="2019" spans="1:7" x14ac:dyDescent="0.35">
      <c r="A2019">
        <v>790</v>
      </c>
      <c r="B2019" s="1">
        <v>45464</v>
      </c>
      <c r="C2019" t="s">
        <v>12</v>
      </c>
      <c r="D2019" s="2">
        <v>0</v>
      </c>
      <c r="E2019" s="2">
        <v>10.62</v>
      </c>
      <c r="F2019" t="s">
        <v>16</v>
      </c>
      <c r="G2019" t="s">
        <v>17</v>
      </c>
    </row>
    <row r="2020" spans="1:7" x14ac:dyDescent="0.35">
      <c r="A2020">
        <v>791</v>
      </c>
      <c r="B2020" s="1">
        <v>45464</v>
      </c>
      <c r="C2020" t="s">
        <v>12</v>
      </c>
      <c r="D2020" s="2">
        <v>108.02</v>
      </c>
      <c r="E2020" s="2">
        <v>0</v>
      </c>
      <c r="F2020" t="s">
        <v>13</v>
      </c>
      <c r="G2020" t="s">
        <v>9</v>
      </c>
    </row>
    <row r="2021" spans="1:7" x14ac:dyDescent="0.35">
      <c r="A2021">
        <v>791</v>
      </c>
      <c r="B2021" s="1">
        <v>45464</v>
      </c>
      <c r="C2021" t="s">
        <v>12</v>
      </c>
      <c r="D2021" s="2">
        <v>0</v>
      </c>
      <c r="E2021" s="2">
        <v>100.48</v>
      </c>
      <c r="F2021" t="s">
        <v>14</v>
      </c>
      <c r="G2021" t="s">
        <v>15</v>
      </c>
    </row>
    <row r="2022" spans="1:7" x14ac:dyDescent="0.35">
      <c r="A2022">
        <v>791</v>
      </c>
      <c r="B2022" s="1">
        <v>45464</v>
      </c>
      <c r="C2022" t="s">
        <v>12</v>
      </c>
      <c r="D2022" s="2">
        <v>0</v>
      </c>
      <c r="E2022" s="2">
        <v>7.54</v>
      </c>
      <c r="F2022" t="s">
        <v>16</v>
      </c>
      <c r="G2022" t="s">
        <v>17</v>
      </c>
    </row>
    <row r="2023" spans="1:7" x14ac:dyDescent="0.35">
      <c r="A2023">
        <v>792</v>
      </c>
      <c r="B2023" s="1">
        <v>45464</v>
      </c>
      <c r="C2023" t="s">
        <v>24</v>
      </c>
      <c r="D2023" s="2">
        <v>2745.58</v>
      </c>
      <c r="E2023" s="2">
        <v>0</v>
      </c>
      <c r="F2023" t="s">
        <v>8</v>
      </c>
      <c r="G2023" t="s">
        <v>9</v>
      </c>
    </row>
    <row r="2024" spans="1:7" x14ac:dyDescent="0.35">
      <c r="A2024">
        <v>792</v>
      </c>
      <c r="B2024" s="1">
        <v>45464</v>
      </c>
      <c r="C2024" t="s">
        <v>24</v>
      </c>
      <c r="D2024" s="2">
        <v>0</v>
      </c>
      <c r="E2024" s="2">
        <v>2745.58</v>
      </c>
      <c r="F2024" t="s">
        <v>13</v>
      </c>
      <c r="G2024" t="s">
        <v>9</v>
      </c>
    </row>
    <row r="2025" spans="1:7" x14ac:dyDescent="0.35">
      <c r="A2025">
        <v>793</v>
      </c>
      <c r="B2025" s="1">
        <v>45464</v>
      </c>
      <c r="C2025" t="s">
        <v>24</v>
      </c>
      <c r="D2025" s="2">
        <v>6711.02</v>
      </c>
      <c r="E2025" s="2">
        <v>0</v>
      </c>
      <c r="F2025" t="s">
        <v>8</v>
      </c>
      <c r="G2025" t="s">
        <v>9</v>
      </c>
    </row>
    <row r="2026" spans="1:7" x14ac:dyDescent="0.35">
      <c r="A2026">
        <v>793</v>
      </c>
      <c r="B2026" s="1">
        <v>45464</v>
      </c>
      <c r="C2026" t="s">
        <v>24</v>
      </c>
      <c r="D2026" s="2">
        <v>0</v>
      </c>
      <c r="E2026" s="2">
        <v>6711.02</v>
      </c>
      <c r="F2026" t="s">
        <v>13</v>
      </c>
      <c r="G2026" t="s">
        <v>9</v>
      </c>
    </row>
    <row r="2027" spans="1:7" x14ac:dyDescent="0.35">
      <c r="A2027">
        <v>794</v>
      </c>
      <c r="B2027" s="1">
        <v>45464</v>
      </c>
      <c r="C2027" t="s">
        <v>25</v>
      </c>
      <c r="D2027" s="2">
        <v>512</v>
      </c>
      <c r="E2027" s="2">
        <v>0</v>
      </c>
      <c r="F2027" t="s">
        <v>26</v>
      </c>
      <c r="G2027" t="s">
        <v>20</v>
      </c>
    </row>
    <row r="2028" spans="1:7" x14ac:dyDescent="0.35">
      <c r="A2028">
        <v>794</v>
      </c>
      <c r="B2028" s="1">
        <v>45464</v>
      </c>
      <c r="C2028" t="s">
        <v>25</v>
      </c>
      <c r="D2028" s="2">
        <v>38.4</v>
      </c>
      <c r="E2028" s="2">
        <v>0</v>
      </c>
      <c r="F2028" t="s">
        <v>27</v>
      </c>
      <c r="G2028" t="s">
        <v>9</v>
      </c>
    </row>
    <row r="2029" spans="1:7" x14ac:dyDescent="0.35">
      <c r="A2029">
        <v>794</v>
      </c>
      <c r="B2029" s="1">
        <v>45464</v>
      </c>
      <c r="C2029" t="s">
        <v>25</v>
      </c>
      <c r="D2029" s="2">
        <v>0</v>
      </c>
      <c r="E2029" s="2">
        <v>550.4</v>
      </c>
      <c r="F2029" t="s">
        <v>28</v>
      </c>
      <c r="G2029" t="s">
        <v>17</v>
      </c>
    </row>
    <row r="2030" spans="1:7" x14ac:dyDescent="0.35">
      <c r="A2030">
        <v>795</v>
      </c>
      <c r="B2030" s="1">
        <v>45464</v>
      </c>
      <c r="C2030" t="s">
        <v>29</v>
      </c>
      <c r="D2030" s="2">
        <v>412.54</v>
      </c>
      <c r="E2030" s="2">
        <v>0</v>
      </c>
      <c r="F2030" t="s">
        <v>28</v>
      </c>
      <c r="G2030" t="s">
        <v>17</v>
      </c>
    </row>
    <row r="2031" spans="1:7" x14ac:dyDescent="0.35">
      <c r="A2031">
        <v>795</v>
      </c>
      <c r="B2031" s="1">
        <v>45464</v>
      </c>
      <c r="C2031" t="s">
        <v>29</v>
      </c>
      <c r="D2031" s="2">
        <v>0</v>
      </c>
      <c r="E2031" s="2">
        <v>412.54</v>
      </c>
      <c r="F2031" t="s">
        <v>8</v>
      </c>
      <c r="G2031" t="s">
        <v>9</v>
      </c>
    </row>
    <row r="2032" spans="1:7" x14ac:dyDescent="0.35">
      <c r="A2032">
        <v>796</v>
      </c>
      <c r="B2032" s="1">
        <v>45464</v>
      </c>
      <c r="C2032" t="s">
        <v>29</v>
      </c>
      <c r="D2032" s="2">
        <v>2504.23</v>
      </c>
      <c r="E2032" s="2">
        <v>0</v>
      </c>
      <c r="F2032" t="s">
        <v>28</v>
      </c>
      <c r="G2032" t="s">
        <v>17</v>
      </c>
    </row>
    <row r="2033" spans="1:7" x14ac:dyDescent="0.35">
      <c r="A2033">
        <v>796</v>
      </c>
      <c r="B2033" s="1">
        <v>45464</v>
      </c>
      <c r="C2033" t="s">
        <v>29</v>
      </c>
      <c r="D2033" s="2">
        <v>0</v>
      </c>
      <c r="E2033" s="2">
        <v>2504.23</v>
      </c>
      <c r="F2033" t="s">
        <v>8</v>
      </c>
      <c r="G2033" t="s">
        <v>9</v>
      </c>
    </row>
    <row r="2034" spans="1:7" x14ac:dyDescent="0.35">
      <c r="A2034">
        <v>797</v>
      </c>
      <c r="B2034" s="1">
        <v>45467</v>
      </c>
      <c r="C2034" t="s">
        <v>12</v>
      </c>
      <c r="D2034" s="2">
        <v>1786.26</v>
      </c>
      <c r="E2034" s="2">
        <v>0</v>
      </c>
      <c r="F2034" t="s">
        <v>13</v>
      </c>
      <c r="G2034" t="s">
        <v>9</v>
      </c>
    </row>
    <row r="2035" spans="1:7" x14ac:dyDescent="0.35">
      <c r="A2035">
        <v>797</v>
      </c>
      <c r="B2035" s="1">
        <v>45467</v>
      </c>
      <c r="C2035" t="s">
        <v>12</v>
      </c>
      <c r="D2035" s="2">
        <v>0</v>
      </c>
      <c r="E2035" s="2">
        <v>1661.64</v>
      </c>
      <c r="F2035" t="s">
        <v>14</v>
      </c>
      <c r="G2035" t="s">
        <v>15</v>
      </c>
    </row>
    <row r="2036" spans="1:7" x14ac:dyDescent="0.35">
      <c r="A2036">
        <v>797</v>
      </c>
      <c r="B2036" s="1">
        <v>45467</v>
      </c>
      <c r="C2036" t="s">
        <v>12</v>
      </c>
      <c r="D2036" s="2">
        <v>0</v>
      </c>
      <c r="E2036" s="2">
        <v>124.62</v>
      </c>
      <c r="F2036" t="s">
        <v>16</v>
      </c>
      <c r="G2036" t="s">
        <v>17</v>
      </c>
    </row>
    <row r="2037" spans="1:7" x14ac:dyDescent="0.35">
      <c r="A2037">
        <v>798</v>
      </c>
      <c r="B2037" s="1">
        <v>45467</v>
      </c>
      <c r="C2037" t="s">
        <v>12</v>
      </c>
      <c r="D2037" s="2">
        <v>4962.93</v>
      </c>
      <c r="E2037" s="2">
        <v>0</v>
      </c>
      <c r="F2037" t="s">
        <v>13</v>
      </c>
      <c r="G2037" t="s">
        <v>9</v>
      </c>
    </row>
    <row r="2038" spans="1:7" x14ac:dyDescent="0.35">
      <c r="A2038">
        <v>798</v>
      </c>
      <c r="B2038" s="1">
        <v>45467</v>
      </c>
      <c r="C2038" t="s">
        <v>12</v>
      </c>
      <c r="D2038" s="2">
        <v>0</v>
      </c>
      <c r="E2038" s="2">
        <v>4616.67</v>
      </c>
      <c r="F2038" t="s">
        <v>14</v>
      </c>
      <c r="G2038" t="s">
        <v>15</v>
      </c>
    </row>
    <row r="2039" spans="1:7" x14ac:dyDescent="0.35">
      <c r="A2039">
        <v>798</v>
      </c>
      <c r="B2039" s="1">
        <v>45467</v>
      </c>
      <c r="C2039" t="s">
        <v>12</v>
      </c>
      <c r="D2039" s="2">
        <v>0</v>
      </c>
      <c r="E2039" s="2">
        <v>346.26</v>
      </c>
      <c r="F2039" t="s">
        <v>16</v>
      </c>
      <c r="G2039" t="s">
        <v>17</v>
      </c>
    </row>
    <row r="2040" spans="1:7" x14ac:dyDescent="0.35">
      <c r="A2040">
        <v>799</v>
      </c>
      <c r="B2040" s="1">
        <v>45467</v>
      </c>
      <c r="C2040" t="s">
        <v>24</v>
      </c>
      <c r="D2040" s="2">
        <v>3394.45</v>
      </c>
      <c r="E2040" s="2">
        <v>0</v>
      </c>
      <c r="F2040" t="s">
        <v>8</v>
      </c>
      <c r="G2040" t="s">
        <v>9</v>
      </c>
    </row>
    <row r="2041" spans="1:7" x14ac:dyDescent="0.35">
      <c r="A2041">
        <v>799</v>
      </c>
      <c r="B2041" s="1">
        <v>45467</v>
      </c>
      <c r="C2041" t="s">
        <v>24</v>
      </c>
      <c r="D2041" s="2">
        <v>0</v>
      </c>
      <c r="E2041" s="2">
        <v>3394.45</v>
      </c>
      <c r="F2041" t="s">
        <v>13</v>
      </c>
      <c r="G2041" t="s">
        <v>9</v>
      </c>
    </row>
    <row r="2042" spans="1:7" x14ac:dyDescent="0.35">
      <c r="A2042">
        <v>800</v>
      </c>
      <c r="B2042" s="1">
        <v>45467</v>
      </c>
      <c r="C2042" t="s">
        <v>24</v>
      </c>
      <c r="D2042" s="2">
        <v>5242.46</v>
      </c>
      <c r="E2042" s="2">
        <v>0</v>
      </c>
      <c r="F2042" t="s">
        <v>8</v>
      </c>
      <c r="G2042" t="s">
        <v>9</v>
      </c>
    </row>
    <row r="2043" spans="1:7" x14ac:dyDescent="0.35">
      <c r="A2043">
        <v>800</v>
      </c>
      <c r="B2043" s="1">
        <v>45467</v>
      </c>
      <c r="C2043" t="s">
        <v>24</v>
      </c>
      <c r="D2043" s="2">
        <v>0</v>
      </c>
      <c r="E2043" s="2">
        <v>5242.46</v>
      </c>
      <c r="F2043" t="s">
        <v>13</v>
      </c>
      <c r="G2043" t="s">
        <v>9</v>
      </c>
    </row>
    <row r="2044" spans="1:7" x14ac:dyDescent="0.35">
      <c r="A2044">
        <v>801</v>
      </c>
      <c r="B2044" s="1">
        <v>45467</v>
      </c>
      <c r="C2044" t="s">
        <v>24</v>
      </c>
      <c r="D2044" s="2">
        <v>3544.18</v>
      </c>
      <c r="E2044" s="2">
        <v>0</v>
      </c>
      <c r="F2044" t="s">
        <v>8</v>
      </c>
      <c r="G2044" t="s">
        <v>9</v>
      </c>
    </row>
    <row r="2045" spans="1:7" x14ac:dyDescent="0.35">
      <c r="A2045">
        <v>801</v>
      </c>
      <c r="B2045" s="1">
        <v>45467</v>
      </c>
      <c r="C2045" t="s">
        <v>24</v>
      </c>
      <c r="D2045" s="2">
        <v>0</v>
      </c>
      <c r="E2045" s="2">
        <v>3544.18</v>
      </c>
      <c r="F2045" t="s">
        <v>13</v>
      </c>
      <c r="G2045" t="s">
        <v>9</v>
      </c>
    </row>
    <row r="2046" spans="1:7" x14ac:dyDescent="0.35">
      <c r="A2046">
        <v>802</v>
      </c>
      <c r="B2046" s="1">
        <v>45467</v>
      </c>
      <c r="C2046" t="s">
        <v>24</v>
      </c>
      <c r="D2046" s="2">
        <v>1887.99</v>
      </c>
      <c r="E2046" s="2">
        <v>0</v>
      </c>
      <c r="F2046" t="s">
        <v>8</v>
      </c>
      <c r="G2046" t="s">
        <v>9</v>
      </c>
    </row>
    <row r="2047" spans="1:7" x14ac:dyDescent="0.35">
      <c r="A2047">
        <v>802</v>
      </c>
      <c r="B2047" s="1">
        <v>45467</v>
      </c>
      <c r="C2047" t="s">
        <v>24</v>
      </c>
      <c r="D2047" s="2">
        <v>0</v>
      </c>
      <c r="E2047" s="2">
        <v>1887.99</v>
      </c>
      <c r="F2047" t="s">
        <v>13</v>
      </c>
      <c r="G2047" t="s">
        <v>9</v>
      </c>
    </row>
    <row r="2048" spans="1:7" x14ac:dyDescent="0.35">
      <c r="A2048">
        <v>803</v>
      </c>
      <c r="B2048" s="1">
        <v>45467</v>
      </c>
      <c r="C2048" t="s">
        <v>24</v>
      </c>
      <c r="D2048" s="2">
        <v>1653.11</v>
      </c>
      <c r="E2048" s="2">
        <v>0</v>
      </c>
      <c r="F2048" t="s">
        <v>8</v>
      </c>
      <c r="G2048" t="s">
        <v>9</v>
      </c>
    </row>
    <row r="2049" spans="1:7" x14ac:dyDescent="0.35">
      <c r="A2049">
        <v>803</v>
      </c>
      <c r="B2049" s="1">
        <v>45467</v>
      </c>
      <c r="C2049" t="s">
        <v>24</v>
      </c>
      <c r="D2049" s="2">
        <v>0</v>
      </c>
      <c r="E2049" s="2">
        <v>1653.11</v>
      </c>
      <c r="F2049" t="s">
        <v>13</v>
      </c>
      <c r="G2049" t="s">
        <v>9</v>
      </c>
    </row>
    <row r="2050" spans="1:7" x14ac:dyDescent="0.35">
      <c r="A2050">
        <v>804</v>
      </c>
      <c r="B2050" s="1">
        <v>45467</v>
      </c>
      <c r="C2050" t="s">
        <v>24</v>
      </c>
      <c r="D2050" s="2">
        <v>2259.61</v>
      </c>
      <c r="E2050" s="2">
        <v>0</v>
      </c>
      <c r="F2050" t="s">
        <v>8</v>
      </c>
      <c r="G2050" t="s">
        <v>9</v>
      </c>
    </row>
    <row r="2051" spans="1:7" x14ac:dyDescent="0.35">
      <c r="A2051">
        <v>804</v>
      </c>
      <c r="B2051" s="1">
        <v>45467</v>
      </c>
      <c r="C2051" t="s">
        <v>24</v>
      </c>
      <c r="D2051" s="2">
        <v>0</v>
      </c>
      <c r="E2051" s="2">
        <v>2259.61</v>
      </c>
      <c r="F2051" t="s">
        <v>13</v>
      </c>
      <c r="G2051" t="s">
        <v>9</v>
      </c>
    </row>
    <row r="2052" spans="1:7" x14ac:dyDescent="0.35">
      <c r="A2052">
        <v>805</v>
      </c>
      <c r="B2052" s="1">
        <v>45467</v>
      </c>
      <c r="C2052" t="s">
        <v>24</v>
      </c>
      <c r="D2052" s="2">
        <v>1500.19</v>
      </c>
      <c r="E2052" s="2">
        <v>0</v>
      </c>
      <c r="F2052" t="s">
        <v>8</v>
      </c>
      <c r="G2052" t="s">
        <v>9</v>
      </c>
    </row>
    <row r="2053" spans="1:7" x14ac:dyDescent="0.35">
      <c r="A2053">
        <v>805</v>
      </c>
      <c r="B2053" s="1">
        <v>45467</v>
      </c>
      <c r="C2053" t="s">
        <v>24</v>
      </c>
      <c r="D2053" s="2">
        <v>0</v>
      </c>
      <c r="E2053" s="2">
        <v>1500.19</v>
      </c>
      <c r="F2053" t="s">
        <v>13</v>
      </c>
      <c r="G2053" t="s">
        <v>9</v>
      </c>
    </row>
    <row r="2054" spans="1:7" x14ac:dyDescent="0.35">
      <c r="A2054">
        <v>806</v>
      </c>
      <c r="B2054" s="1">
        <v>45467</v>
      </c>
      <c r="C2054" t="s">
        <v>25</v>
      </c>
      <c r="D2054" s="2">
        <v>166.52</v>
      </c>
      <c r="E2054" s="2">
        <v>0</v>
      </c>
      <c r="F2054" t="s">
        <v>26</v>
      </c>
      <c r="G2054" t="s">
        <v>20</v>
      </c>
    </row>
    <row r="2055" spans="1:7" x14ac:dyDescent="0.35">
      <c r="A2055">
        <v>806</v>
      </c>
      <c r="B2055" s="1">
        <v>45467</v>
      </c>
      <c r="C2055" t="s">
        <v>25</v>
      </c>
      <c r="D2055" s="2">
        <v>12.49</v>
      </c>
      <c r="E2055" s="2">
        <v>0</v>
      </c>
      <c r="F2055" t="s">
        <v>27</v>
      </c>
      <c r="G2055" t="s">
        <v>9</v>
      </c>
    </row>
    <row r="2056" spans="1:7" x14ac:dyDescent="0.35">
      <c r="A2056">
        <v>806</v>
      </c>
      <c r="B2056" s="1">
        <v>45467</v>
      </c>
      <c r="C2056" t="s">
        <v>25</v>
      </c>
      <c r="D2056" s="2">
        <v>0</v>
      </c>
      <c r="E2056" s="2">
        <v>179.01</v>
      </c>
      <c r="F2056" t="s">
        <v>28</v>
      </c>
      <c r="G2056" t="s">
        <v>17</v>
      </c>
    </row>
    <row r="2057" spans="1:7" x14ac:dyDescent="0.35">
      <c r="A2057">
        <v>807</v>
      </c>
      <c r="B2057" s="1">
        <v>45467</v>
      </c>
      <c r="C2057" t="s">
        <v>25</v>
      </c>
      <c r="D2057" s="2">
        <v>3598.88</v>
      </c>
      <c r="E2057" s="2">
        <v>0</v>
      </c>
      <c r="F2057" t="s">
        <v>26</v>
      </c>
      <c r="G2057" t="s">
        <v>20</v>
      </c>
    </row>
    <row r="2058" spans="1:7" x14ac:dyDescent="0.35">
      <c r="A2058">
        <v>807</v>
      </c>
      <c r="B2058" s="1">
        <v>45467</v>
      </c>
      <c r="C2058" t="s">
        <v>25</v>
      </c>
      <c r="D2058" s="2">
        <v>269.92</v>
      </c>
      <c r="E2058" s="2">
        <v>0</v>
      </c>
      <c r="F2058" t="s">
        <v>27</v>
      </c>
      <c r="G2058" t="s">
        <v>9</v>
      </c>
    </row>
    <row r="2059" spans="1:7" x14ac:dyDescent="0.35">
      <c r="A2059">
        <v>807</v>
      </c>
      <c r="B2059" s="1">
        <v>45467</v>
      </c>
      <c r="C2059" t="s">
        <v>25</v>
      </c>
      <c r="D2059" s="2">
        <v>0</v>
      </c>
      <c r="E2059" s="2">
        <v>3868.8</v>
      </c>
      <c r="F2059" t="s">
        <v>28</v>
      </c>
      <c r="G2059" t="s">
        <v>17</v>
      </c>
    </row>
    <row r="2060" spans="1:7" x14ac:dyDescent="0.35">
      <c r="A2060">
        <v>808</v>
      </c>
      <c r="B2060" s="1">
        <v>45467</v>
      </c>
      <c r="C2060" t="s">
        <v>25</v>
      </c>
      <c r="D2060" s="2">
        <v>1800.04</v>
      </c>
      <c r="E2060" s="2">
        <v>0</v>
      </c>
      <c r="F2060" t="s">
        <v>26</v>
      </c>
      <c r="G2060" t="s">
        <v>20</v>
      </c>
    </row>
    <row r="2061" spans="1:7" x14ac:dyDescent="0.35">
      <c r="A2061">
        <v>808</v>
      </c>
      <c r="B2061" s="1">
        <v>45467</v>
      </c>
      <c r="C2061" t="s">
        <v>25</v>
      </c>
      <c r="D2061" s="2">
        <v>135</v>
      </c>
      <c r="E2061" s="2">
        <v>0</v>
      </c>
      <c r="F2061" t="s">
        <v>27</v>
      </c>
      <c r="G2061" t="s">
        <v>9</v>
      </c>
    </row>
    <row r="2062" spans="1:7" x14ac:dyDescent="0.35">
      <c r="A2062">
        <v>808</v>
      </c>
      <c r="B2062" s="1">
        <v>45467</v>
      </c>
      <c r="C2062" t="s">
        <v>25</v>
      </c>
      <c r="D2062" s="2">
        <v>0</v>
      </c>
      <c r="E2062" s="2">
        <v>1935.04</v>
      </c>
      <c r="F2062" t="s">
        <v>28</v>
      </c>
      <c r="G2062" t="s">
        <v>17</v>
      </c>
    </row>
    <row r="2063" spans="1:7" x14ac:dyDescent="0.35">
      <c r="A2063">
        <v>809</v>
      </c>
      <c r="B2063" s="1">
        <v>45467</v>
      </c>
      <c r="C2063" t="s">
        <v>25</v>
      </c>
      <c r="D2063" s="2">
        <v>1078.92</v>
      </c>
      <c r="E2063" s="2">
        <v>0</v>
      </c>
      <c r="F2063" t="s">
        <v>26</v>
      </c>
      <c r="G2063" t="s">
        <v>20</v>
      </c>
    </row>
    <row r="2064" spans="1:7" x14ac:dyDescent="0.35">
      <c r="A2064">
        <v>809</v>
      </c>
      <c r="B2064" s="1">
        <v>45467</v>
      </c>
      <c r="C2064" t="s">
        <v>25</v>
      </c>
      <c r="D2064" s="2">
        <v>80.92</v>
      </c>
      <c r="E2064" s="2">
        <v>0</v>
      </c>
      <c r="F2064" t="s">
        <v>27</v>
      </c>
      <c r="G2064" t="s">
        <v>9</v>
      </c>
    </row>
    <row r="2065" spans="1:7" x14ac:dyDescent="0.35">
      <c r="A2065">
        <v>809</v>
      </c>
      <c r="B2065" s="1">
        <v>45467</v>
      </c>
      <c r="C2065" t="s">
        <v>25</v>
      </c>
      <c r="D2065" s="2">
        <v>0</v>
      </c>
      <c r="E2065" s="2">
        <v>1159.8399999999999</v>
      </c>
      <c r="F2065" t="s">
        <v>28</v>
      </c>
      <c r="G2065" t="s">
        <v>17</v>
      </c>
    </row>
    <row r="2066" spans="1:7" x14ac:dyDescent="0.35">
      <c r="A2066">
        <v>810</v>
      </c>
      <c r="B2066" s="1">
        <v>45467</v>
      </c>
      <c r="C2066" t="s">
        <v>25</v>
      </c>
      <c r="D2066" s="2">
        <v>1213.5999999999999</v>
      </c>
      <c r="E2066" s="2">
        <v>0</v>
      </c>
      <c r="F2066" t="s">
        <v>26</v>
      </c>
      <c r="G2066" t="s">
        <v>20</v>
      </c>
    </row>
    <row r="2067" spans="1:7" x14ac:dyDescent="0.35">
      <c r="A2067">
        <v>810</v>
      </c>
      <c r="B2067" s="1">
        <v>45467</v>
      </c>
      <c r="C2067" t="s">
        <v>25</v>
      </c>
      <c r="D2067" s="2">
        <v>91.02</v>
      </c>
      <c r="E2067" s="2">
        <v>0</v>
      </c>
      <c r="F2067" t="s">
        <v>27</v>
      </c>
      <c r="G2067" t="s">
        <v>9</v>
      </c>
    </row>
    <row r="2068" spans="1:7" x14ac:dyDescent="0.35">
      <c r="A2068">
        <v>810</v>
      </c>
      <c r="B2068" s="1">
        <v>45467</v>
      </c>
      <c r="C2068" t="s">
        <v>25</v>
      </c>
      <c r="D2068" s="2">
        <v>0</v>
      </c>
      <c r="E2068" s="2">
        <v>1304.6199999999999</v>
      </c>
      <c r="F2068" t="s">
        <v>28</v>
      </c>
      <c r="G2068" t="s">
        <v>17</v>
      </c>
    </row>
    <row r="2069" spans="1:7" x14ac:dyDescent="0.35">
      <c r="A2069">
        <v>811</v>
      </c>
      <c r="B2069" s="1">
        <v>45467</v>
      </c>
      <c r="C2069" t="s">
        <v>25</v>
      </c>
      <c r="D2069" s="2">
        <v>187.44</v>
      </c>
      <c r="E2069" s="2">
        <v>0</v>
      </c>
      <c r="F2069" t="s">
        <v>26</v>
      </c>
      <c r="G2069" t="s">
        <v>20</v>
      </c>
    </row>
    <row r="2070" spans="1:7" x14ac:dyDescent="0.35">
      <c r="A2070">
        <v>811</v>
      </c>
      <c r="B2070" s="1">
        <v>45467</v>
      </c>
      <c r="C2070" t="s">
        <v>25</v>
      </c>
      <c r="D2070" s="2">
        <v>14.06</v>
      </c>
      <c r="E2070" s="2">
        <v>0</v>
      </c>
      <c r="F2070" t="s">
        <v>27</v>
      </c>
      <c r="G2070" t="s">
        <v>9</v>
      </c>
    </row>
    <row r="2071" spans="1:7" x14ac:dyDescent="0.35">
      <c r="A2071">
        <v>811</v>
      </c>
      <c r="B2071" s="1">
        <v>45467</v>
      </c>
      <c r="C2071" t="s">
        <v>25</v>
      </c>
      <c r="D2071" s="2">
        <v>0</v>
      </c>
      <c r="E2071" s="2">
        <v>201.5</v>
      </c>
      <c r="F2071" t="s">
        <v>28</v>
      </c>
      <c r="G2071" t="s">
        <v>17</v>
      </c>
    </row>
    <row r="2072" spans="1:7" x14ac:dyDescent="0.35">
      <c r="A2072">
        <v>812</v>
      </c>
      <c r="B2072" s="1">
        <v>45468</v>
      </c>
      <c r="C2072" t="s">
        <v>12</v>
      </c>
      <c r="D2072" s="2">
        <v>3175.27</v>
      </c>
      <c r="E2072" s="2">
        <v>0</v>
      </c>
      <c r="F2072" t="s">
        <v>13</v>
      </c>
      <c r="G2072" t="s">
        <v>9</v>
      </c>
    </row>
    <row r="2073" spans="1:7" x14ac:dyDescent="0.35">
      <c r="A2073">
        <v>812</v>
      </c>
      <c r="B2073" s="1">
        <v>45468</v>
      </c>
      <c r="C2073" t="s">
        <v>12</v>
      </c>
      <c r="D2073" s="2">
        <v>0</v>
      </c>
      <c r="E2073" s="2">
        <v>2953.74</v>
      </c>
      <c r="F2073" t="s">
        <v>14</v>
      </c>
      <c r="G2073" t="s">
        <v>15</v>
      </c>
    </row>
    <row r="2074" spans="1:7" x14ac:dyDescent="0.35">
      <c r="A2074">
        <v>812</v>
      </c>
      <c r="B2074" s="1">
        <v>45468</v>
      </c>
      <c r="C2074" t="s">
        <v>12</v>
      </c>
      <c r="D2074" s="2">
        <v>0</v>
      </c>
      <c r="E2074" s="2">
        <v>221.53</v>
      </c>
      <c r="F2074" t="s">
        <v>16</v>
      </c>
      <c r="G2074" t="s">
        <v>17</v>
      </c>
    </row>
    <row r="2075" spans="1:7" x14ac:dyDescent="0.35">
      <c r="A2075">
        <v>813</v>
      </c>
      <c r="B2075" s="1">
        <v>45468</v>
      </c>
      <c r="C2075" t="s">
        <v>12</v>
      </c>
      <c r="D2075" s="2">
        <v>5598.12</v>
      </c>
      <c r="E2075" s="2">
        <v>0</v>
      </c>
      <c r="F2075" t="s">
        <v>13</v>
      </c>
      <c r="G2075" t="s">
        <v>9</v>
      </c>
    </row>
    <row r="2076" spans="1:7" x14ac:dyDescent="0.35">
      <c r="A2076">
        <v>813</v>
      </c>
      <c r="B2076" s="1">
        <v>45468</v>
      </c>
      <c r="C2076" t="s">
        <v>12</v>
      </c>
      <c r="D2076" s="2">
        <v>0</v>
      </c>
      <c r="E2076" s="2">
        <v>5207.55</v>
      </c>
      <c r="F2076" t="s">
        <v>14</v>
      </c>
      <c r="G2076" t="s">
        <v>15</v>
      </c>
    </row>
    <row r="2077" spans="1:7" x14ac:dyDescent="0.35">
      <c r="A2077">
        <v>813</v>
      </c>
      <c r="B2077" s="1">
        <v>45468</v>
      </c>
      <c r="C2077" t="s">
        <v>12</v>
      </c>
      <c r="D2077" s="2">
        <v>0</v>
      </c>
      <c r="E2077" s="2">
        <v>390.57</v>
      </c>
      <c r="F2077" t="s">
        <v>16</v>
      </c>
      <c r="G2077" t="s">
        <v>17</v>
      </c>
    </row>
    <row r="2078" spans="1:7" x14ac:dyDescent="0.35">
      <c r="A2078">
        <v>814</v>
      </c>
      <c r="B2078" s="1">
        <v>45468</v>
      </c>
      <c r="C2078" t="s">
        <v>24</v>
      </c>
      <c r="D2078" s="2">
        <v>2098.4499999999998</v>
      </c>
      <c r="E2078" s="2">
        <v>0</v>
      </c>
      <c r="F2078" t="s">
        <v>8</v>
      </c>
      <c r="G2078" t="s">
        <v>9</v>
      </c>
    </row>
    <row r="2079" spans="1:7" x14ac:dyDescent="0.35">
      <c r="A2079">
        <v>814</v>
      </c>
      <c r="B2079" s="1">
        <v>45468</v>
      </c>
      <c r="C2079" t="s">
        <v>24</v>
      </c>
      <c r="D2079" s="2">
        <v>0</v>
      </c>
      <c r="E2079" s="2">
        <v>2098.4499999999998</v>
      </c>
      <c r="F2079" t="s">
        <v>13</v>
      </c>
      <c r="G2079" t="s">
        <v>9</v>
      </c>
    </row>
    <row r="2080" spans="1:7" x14ac:dyDescent="0.35">
      <c r="A2080">
        <v>815</v>
      </c>
      <c r="B2080" s="1">
        <v>45468</v>
      </c>
      <c r="C2080" t="s">
        <v>24</v>
      </c>
      <c r="D2080" s="2">
        <v>1911.3</v>
      </c>
      <c r="E2080" s="2">
        <v>0</v>
      </c>
      <c r="F2080" t="s">
        <v>8</v>
      </c>
      <c r="G2080" t="s">
        <v>9</v>
      </c>
    </row>
    <row r="2081" spans="1:7" x14ac:dyDescent="0.35">
      <c r="A2081">
        <v>815</v>
      </c>
      <c r="B2081" s="1">
        <v>45468</v>
      </c>
      <c r="C2081" t="s">
        <v>24</v>
      </c>
      <c r="D2081" s="2">
        <v>0</v>
      </c>
      <c r="E2081" s="2">
        <v>1911.3</v>
      </c>
      <c r="F2081" t="s">
        <v>13</v>
      </c>
      <c r="G2081" t="s">
        <v>9</v>
      </c>
    </row>
    <row r="2082" spans="1:7" x14ac:dyDescent="0.35">
      <c r="A2082">
        <v>816</v>
      </c>
      <c r="B2082" s="1">
        <v>45468</v>
      </c>
      <c r="C2082" t="s">
        <v>24</v>
      </c>
      <c r="D2082" s="2">
        <v>1925.19</v>
      </c>
      <c r="E2082" s="2">
        <v>0</v>
      </c>
      <c r="F2082" t="s">
        <v>8</v>
      </c>
      <c r="G2082" t="s">
        <v>9</v>
      </c>
    </row>
    <row r="2083" spans="1:7" x14ac:dyDescent="0.35">
      <c r="A2083">
        <v>816</v>
      </c>
      <c r="B2083" s="1">
        <v>45468</v>
      </c>
      <c r="C2083" t="s">
        <v>24</v>
      </c>
      <c r="D2083" s="2">
        <v>0</v>
      </c>
      <c r="E2083" s="2">
        <v>1925.19</v>
      </c>
      <c r="F2083" t="s">
        <v>13</v>
      </c>
      <c r="G2083" t="s">
        <v>9</v>
      </c>
    </row>
    <row r="2084" spans="1:7" x14ac:dyDescent="0.35">
      <c r="A2084">
        <v>817</v>
      </c>
      <c r="B2084" s="1">
        <v>45468</v>
      </c>
      <c r="C2084" t="s">
        <v>24</v>
      </c>
      <c r="D2084" s="2">
        <v>633.69000000000005</v>
      </c>
      <c r="E2084" s="2">
        <v>0</v>
      </c>
      <c r="F2084" t="s">
        <v>8</v>
      </c>
      <c r="G2084" t="s">
        <v>9</v>
      </c>
    </row>
    <row r="2085" spans="1:7" x14ac:dyDescent="0.35">
      <c r="A2085">
        <v>817</v>
      </c>
      <c r="B2085" s="1">
        <v>45468</v>
      </c>
      <c r="C2085" t="s">
        <v>24</v>
      </c>
      <c r="D2085" s="2">
        <v>0</v>
      </c>
      <c r="E2085" s="2">
        <v>633.69000000000005</v>
      </c>
      <c r="F2085" t="s">
        <v>13</v>
      </c>
      <c r="G2085" t="s">
        <v>9</v>
      </c>
    </row>
    <row r="2086" spans="1:7" x14ac:dyDescent="0.35">
      <c r="A2086">
        <v>818</v>
      </c>
      <c r="B2086" s="1">
        <v>45468</v>
      </c>
      <c r="C2086" t="s">
        <v>25</v>
      </c>
      <c r="D2086" s="2">
        <v>1947.24</v>
      </c>
      <c r="E2086" s="2">
        <v>0</v>
      </c>
      <c r="F2086" t="s">
        <v>26</v>
      </c>
      <c r="G2086" t="s">
        <v>20</v>
      </c>
    </row>
    <row r="2087" spans="1:7" x14ac:dyDescent="0.35">
      <c r="A2087">
        <v>818</v>
      </c>
      <c r="B2087" s="1">
        <v>45468</v>
      </c>
      <c r="C2087" t="s">
        <v>25</v>
      </c>
      <c r="D2087" s="2">
        <v>146.04</v>
      </c>
      <c r="E2087" s="2">
        <v>0</v>
      </c>
      <c r="F2087" t="s">
        <v>27</v>
      </c>
      <c r="G2087" t="s">
        <v>9</v>
      </c>
    </row>
    <row r="2088" spans="1:7" x14ac:dyDescent="0.35">
      <c r="A2088">
        <v>818</v>
      </c>
      <c r="B2088" s="1">
        <v>45468</v>
      </c>
      <c r="C2088" t="s">
        <v>25</v>
      </c>
      <c r="D2088" s="2">
        <v>0</v>
      </c>
      <c r="E2088" s="2">
        <v>2093.2800000000002</v>
      </c>
      <c r="F2088" t="s">
        <v>28</v>
      </c>
      <c r="G2088" t="s">
        <v>17</v>
      </c>
    </row>
    <row r="2089" spans="1:7" x14ac:dyDescent="0.35">
      <c r="A2089">
        <v>819</v>
      </c>
      <c r="B2089" s="1">
        <v>45468</v>
      </c>
      <c r="C2089" t="s">
        <v>29</v>
      </c>
      <c r="D2089" s="2">
        <v>550.4</v>
      </c>
      <c r="E2089" s="2">
        <v>0</v>
      </c>
      <c r="F2089" t="s">
        <v>28</v>
      </c>
      <c r="G2089" t="s">
        <v>17</v>
      </c>
    </row>
    <row r="2090" spans="1:7" x14ac:dyDescent="0.35">
      <c r="A2090">
        <v>819</v>
      </c>
      <c r="B2090" s="1">
        <v>45468</v>
      </c>
      <c r="C2090" t="s">
        <v>29</v>
      </c>
      <c r="D2090" s="2">
        <v>0</v>
      </c>
      <c r="E2090" s="2">
        <v>550.4</v>
      </c>
      <c r="F2090" t="s">
        <v>8</v>
      </c>
      <c r="G2090" t="s">
        <v>9</v>
      </c>
    </row>
    <row r="2091" spans="1:7" x14ac:dyDescent="0.35">
      <c r="A2091">
        <v>820</v>
      </c>
      <c r="B2091" s="1">
        <v>45468</v>
      </c>
      <c r="C2091" t="s">
        <v>29</v>
      </c>
      <c r="D2091" s="2">
        <v>862.91</v>
      </c>
      <c r="E2091" s="2">
        <v>0</v>
      </c>
      <c r="F2091" t="s">
        <v>28</v>
      </c>
      <c r="G2091" t="s">
        <v>17</v>
      </c>
    </row>
    <row r="2092" spans="1:7" x14ac:dyDescent="0.35">
      <c r="A2092">
        <v>820</v>
      </c>
      <c r="B2092" s="1">
        <v>45468</v>
      </c>
      <c r="C2092" t="s">
        <v>29</v>
      </c>
      <c r="D2092" s="2">
        <v>0</v>
      </c>
      <c r="E2092" s="2">
        <v>862.91</v>
      </c>
      <c r="F2092" t="s">
        <v>8</v>
      </c>
      <c r="G2092" t="s">
        <v>9</v>
      </c>
    </row>
    <row r="2093" spans="1:7" x14ac:dyDescent="0.35">
      <c r="A2093">
        <v>821</v>
      </c>
      <c r="B2093" s="1">
        <v>45468</v>
      </c>
      <c r="C2093" t="s">
        <v>29</v>
      </c>
      <c r="D2093" s="2">
        <v>550.4</v>
      </c>
      <c r="E2093" s="2">
        <v>0</v>
      </c>
      <c r="F2093" t="s">
        <v>28</v>
      </c>
      <c r="G2093" t="s">
        <v>17</v>
      </c>
    </row>
    <row r="2094" spans="1:7" x14ac:dyDescent="0.35">
      <c r="A2094">
        <v>821</v>
      </c>
      <c r="B2094" s="1">
        <v>45468</v>
      </c>
      <c r="C2094" t="s">
        <v>29</v>
      </c>
      <c r="D2094" s="2">
        <v>0</v>
      </c>
      <c r="E2094" s="2">
        <v>550.4</v>
      </c>
      <c r="F2094" t="s">
        <v>8</v>
      </c>
      <c r="G2094" t="s">
        <v>9</v>
      </c>
    </row>
    <row r="2095" spans="1:7" x14ac:dyDescent="0.35">
      <c r="A2095">
        <v>822</v>
      </c>
      <c r="B2095" s="1">
        <v>45468</v>
      </c>
      <c r="C2095" t="s">
        <v>29</v>
      </c>
      <c r="D2095" s="2">
        <v>3528.97</v>
      </c>
      <c r="E2095" s="2">
        <v>0</v>
      </c>
      <c r="F2095" t="s">
        <v>28</v>
      </c>
      <c r="G2095" t="s">
        <v>17</v>
      </c>
    </row>
    <row r="2096" spans="1:7" x14ac:dyDescent="0.35">
      <c r="A2096">
        <v>822</v>
      </c>
      <c r="B2096" s="1">
        <v>45468</v>
      </c>
      <c r="C2096" t="s">
        <v>29</v>
      </c>
      <c r="D2096" s="2">
        <v>0</v>
      </c>
      <c r="E2096" s="2">
        <v>3528.97</v>
      </c>
      <c r="F2096" t="s">
        <v>8</v>
      </c>
      <c r="G2096" t="s">
        <v>9</v>
      </c>
    </row>
    <row r="2097" spans="1:7" x14ac:dyDescent="0.35">
      <c r="A2097">
        <v>823</v>
      </c>
      <c r="B2097" s="1">
        <v>45469</v>
      </c>
      <c r="C2097" t="s">
        <v>12</v>
      </c>
      <c r="D2097" s="2">
        <v>2694.99</v>
      </c>
      <c r="E2097" s="2">
        <v>0</v>
      </c>
      <c r="F2097" t="s">
        <v>13</v>
      </c>
      <c r="G2097" t="s">
        <v>9</v>
      </c>
    </row>
    <row r="2098" spans="1:7" x14ac:dyDescent="0.35">
      <c r="A2098">
        <v>823</v>
      </c>
      <c r="B2098" s="1">
        <v>45469</v>
      </c>
      <c r="C2098" t="s">
        <v>12</v>
      </c>
      <c r="D2098" s="2">
        <v>0</v>
      </c>
      <c r="E2098" s="2">
        <v>2506.9699999999998</v>
      </c>
      <c r="F2098" t="s">
        <v>14</v>
      </c>
      <c r="G2098" t="s">
        <v>15</v>
      </c>
    </row>
    <row r="2099" spans="1:7" x14ac:dyDescent="0.35">
      <c r="A2099">
        <v>823</v>
      </c>
      <c r="B2099" s="1">
        <v>45469</v>
      </c>
      <c r="C2099" t="s">
        <v>12</v>
      </c>
      <c r="D2099" s="2">
        <v>0</v>
      </c>
      <c r="E2099" s="2">
        <v>188.02</v>
      </c>
      <c r="F2099" t="s">
        <v>16</v>
      </c>
      <c r="G2099" t="s">
        <v>17</v>
      </c>
    </row>
    <row r="2100" spans="1:7" x14ac:dyDescent="0.35">
      <c r="A2100">
        <v>824</v>
      </c>
      <c r="B2100" s="1">
        <v>45469</v>
      </c>
      <c r="C2100" t="s">
        <v>12</v>
      </c>
      <c r="D2100" s="2">
        <v>3542.62</v>
      </c>
      <c r="E2100" s="2">
        <v>0</v>
      </c>
      <c r="F2100" t="s">
        <v>13</v>
      </c>
      <c r="G2100" t="s">
        <v>9</v>
      </c>
    </row>
    <row r="2101" spans="1:7" x14ac:dyDescent="0.35">
      <c r="A2101">
        <v>824</v>
      </c>
      <c r="B2101" s="1">
        <v>45469</v>
      </c>
      <c r="C2101" t="s">
        <v>12</v>
      </c>
      <c r="D2101" s="2">
        <v>0</v>
      </c>
      <c r="E2101" s="2">
        <v>3295.46</v>
      </c>
      <c r="F2101" t="s">
        <v>14</v>
      </c>
      <c r="G2101" t="s">
        <v>15</v>
      </c>
    </row>
    <row r="2102" spans="1:7" x14ac:dyDescent="0.35">
      <c r="A2102">
        <v>824</v>
      </c>
      <c r="B2102" s="1">
        <v>45469</v>
      </c>
      <c r="C2102" t="s">
        <v>12</v>
      </c>
      <c r="D2102" s="2">
        <v>0</v>
      </c>
      <c r="E2102" s="2">
        <v>247.16</v>
      </c>
      <c r="F2102" t="s">
        <v>16</v>
      </c>
      <c r="G2102" t="s">
        <v>17</v>
      </c>
    </row>
    <row r="2103" spans="1:7" x14ac:dyDescent="0.35">
      <c r="A2103">
        <v>825</v>
      </c>
      <c r="B2103" s="1">
        <v>45469</v>
      </c>
      <c r="C2103" t="s">
        <v>12</v>
      </c>
      <c r="D2103" s="2">
        <v>1891.9</v>
      </c>
      <c r="E2103" s="2">
        <v>0</v>
      </c>
      <c r="F2103" t="s">
        <v>13</v>
      </c>
      <c r="G2103" t="s">
        <v>9</v>
      </c>
    </row>
    <row r="2104" spans="1:7" x14ac:dyDescent="0.35">
      <c r="A2104">
        <v>825</v>
      </c>
      <c r="B2104" s="1">
        <v>45469</v>
      </c>
      <c r="C2104" t="s">
        <v>12</v>
      </c>
      <c r="D2104" s="2">
        <v>0</v>
      </c>
      <c r="E2104" s="2">
        <v>1759.91</v>
      </c>
      <c r="F2104" t="s">
        <v>14</v>
      </c>
      <c r="G2104" t="s">
        <v>15</v>
      </c>
    </row>
    <row r="2105" spans="1:7" x14ac:dyDescent="0.35">
      <c r="A2105">
        <v>825</v>
      </c>
      <c r="B2105" s="1">
        <v>45469</v>
      </c>
      <c r="C2105" t="s">
        <v>12</v>
      </c>
      <c r="D2105" s="2">
        <v>0</v>
      </c>
      <c r="E2105" s="2">
        <v>131.99</v>
      </c>
      <c r="F2105" t="s">
        <v>16</v>
      </c>
      <c r="G2105" t="s">
        <v>17</v>
      </c>
    </row>
    <row r="2106" spans="1:7" x14ac:dyDescent="0.35">
      <c r="A2106">
        <v>826</v>
      </c>
      <c r="B2106" s="1">
        <v>45469</v>
      </c>
      <c r="C2106" t="s">
        <v>12</v>
      </c>
      <c r="D2106" s="2">
        <v>1319.18</v>
      </c>
      <c r="E2106" s="2">
        <v>0</v>
      </c>
      <c r="F2106" t="s">
        <v>13</v>
      </c>
      <c r="G2106" t="s">
        <v>9</v>
      </c>
    </row>
    <row r="2107" spans="1:7" x14ac:dyDescent="0.35">
      <c r="A2107">
        <v>826</v>
      </c>
      <c r="B2107" s="1">
        <v>45469</v>
      </c>
      <c r="C2107" t="s">
        <v>12</v>
      </c>
      <c r="D2107" s="2">
        <v>0</v>
      </c>
      <c r="E2107" s="2">
        <v>1227.1500000000001</v>
      </c>
      <c r="F2107" t="s">
        <v>14</v>
      </c>
      <c r="G2107" t="s">
        <v>15</v>
      </c>
    </row>
    <row r="2108" spans="1:7" x14ac:dyDescent="0.35">
      <c r="A2108">
        <v>826</v>
      </c>
      <c r="B2108" s="1">
        <v>45469</v>
      </c>
      <c r="C2108" t="s">
        <v>12</v>
      </c>
      <c r="D2108" s="2">
        <v>0</v>
      </c>
      <c r="E2108" s="2">
        <v>92.03</v>
      </c>
      <c r="F2108" t="s">
        <v>16</v>
      </c>
      <c r="G2108" t="s">
        <v>17</v>
      </c>
    </row>
    <row r="2109" spans="1:7" x14ac:dyDescent="0.35">
      <c r="A2109">
        <v>827</v>
      </c>
      <c r="B2109" s="1">
        <v>45469</v>
      </c>
      <c r="C2109" t="s">
        <v>24</v>
      </c>
      <c r="D2109" s="2">
        <v>1253.24</v>
      </c>
      <c r="E2109" s="2">
        <v>0</v>
      </c>
      <c r="F2109" t="s">
        <v>8</v>
      </c>
      <c r="G2109" t="s">
        <v>9</v>
      </c>
    </row>
    <row r="2110" spans="1:7" x14ac:dyDescent="0.35">
      <c r="A2110">
        <v>827</v>
      </c>
      <c r="B2110" s="1">
        <v>45469</v>
      </c>
      <c r="C2110" t="s">
        <v>24</v>
      </c>
      <c r="D2110" s="2">
        <v>0</v>
      </c>
      <c r="E2110" s="2">
        <v>1253.24</v>
      </c>
      <c r="F2110" t="s">
        <v>13</v>
      </c>
      <c r="G2110" t="s">
        <v>9</v>
      </c>
    </row>
    <row r="2111" spans="1:7" x14ac:dyDescent="0.35">
      <c r="A2111">
        <v>828</v>
      </c>
      <c r="B2111" s="1">
        <v>45469</v>
      </c>
      <c r="C2111" t="s">
        <v>24</v>
      </c>
      <c r="D2111" s="2">
        <v>612.86</v>
      </c>
      <c r="E2111" s="2">
        <v>0</v>
      </c>
      <c r="F2111" t="s">
        <v>8</v>
      </c>
      <c r="G2111" t="s">
        <v>9</v>
      </c>
    </row>
    <row r="2112" spans="1:7" x14ac:dyDescent="0.35">
      <c r="A2112">
        <v>828</v>
      </c>
      <c r="B2112" s="1">
        <v>45469</v>
      </c>
      <c r="C2112" t="s">
        <v>24</v>
      </c>
      <c r="D2112" s="2">
        <v>0</v>
      </c>
      <c r="E2112" s="2">
        <v>612.86</v>
      </c>
      <c r="F2112" t="s">
        <v>13</v>
      </c>
      <c r="G2112" t="s">
        <v>9</v>
      </c>
    </row>
    <row r="2113" spans="1:7" x14ac:dyDescent="0.35">
      <c r="A2113">
        <v>829</v>
      </c>
      <c r="B2113" s="1">
        <v>45469</v>
      </c>
      <c r="C2113" t="s">
        <v>24</v>
      </c>
      <c r="D2113" s="2">
        <v>2352.04</v>
      </c>
      <c r="E2113" s="2">
        <v>0</v>
      </c>
      <c r="F2113" t="s">
        <v>8</v>
      </c>
      <c r="G2113" t="s">
        <v>9</v>
      </c>
    </row>
    <row r="2114" spans="1:7" x14ac:dyDescent="0.35">
      <c r="A2114">
        <v>829</v>
      </c>
      <c r="B2114" s="1">
        <v>45469</v>
      </c>
      <c r="C2114" t="s">
        <v>24</v>
      </c>
      <c r="D2114" s="2">
        <v>0</v>
      </c>
      <c r="E2114" s="2">
        <v>2352.04</v>
      </c>
      <c r="F2114" t="s">
        <v>13</v>
      </c>
      <c r="G2114" t="s">
        <v>9</v>
      </c>
    </row>
    <row r="2115" spans="1:7" x14ac:dyDescent="0.35">
      <c r="A2115">
        <v>830</v>
      </c>
      <c r="B2115" s="1">
        <v>45470</v>
      </c>
      <c r="C2115" t="s">
        <v>12</v>
      </c>
      <c r="D2115" s="2">
        <v>4148.5200000000004</v>
      </c>
      <c r="E2115" s="2">
        <v>0</v>
      </c>
      <c r="F2115" t="s">
        <v>13</v>
      </c>
      <c r="G2115" t="s">
        <v>9</v>
      </c>
    </row>
    <row r="2116" spans="1:7" x14ac:dyDescent="0.35">
      <c r="A2116">
        <v>830</v>
      </c>
      <c r="B2116" s="1">
        <v>45470</v>
      </c>
      <c r="C2116" t="s">
        <v>12</v>
      </c>
      <c r="D2116" s="2">
        <v>0</v>
      </c>
      <c r="E2116" s="2">
        <v>3859.09</v>
      </c>
      <c r="F2116" t="s">
        <v>14</v>
      </c>
      <c r="G2116" t="s">
        <v>15</v>
      </c>
    </row>
    <row r="2117" spans="1:7" x14ac:dyDescent="0.35">
      <c r="A2117">
        <v>830</v>
      </c>
      <c r="B2117" s="1">
        <v>45470</v>
      </c>
      <c r="C2117" t="s">
        <v>12</v>
      </c>
      <c r="D2117" s="2">
        <v>0</v>
      </c>
      <c r="E2117" s="2">
        <v>289.43</v>
      </c>
      <c r="F2117" t="s">
        <v>16</v>
      </c>
      <c r="G2117" t="s">
        <v>17</v>
      </c>
    </row>
    <row r="2118" spans="1:7" x14ac:dyDescent="0.35">
      <c r="A2118">
        <v>831</v>
      </c>
      <c r="B2118" s="1">
        <v>45470</v>
      </c>
      <c r="C2118" t="s">
        <v>12</v>
      </c>
      <c r="D2118" s="2">
        <v>97.01</v>
      </c>
      <c r="E2118" s="2">
        <v>0</v>
      </c>
      <c r="F2118" t="s">
        <v>13</v>
      </c>
      <c r="G2118" t="s">
        <v>9</v>
      </c>
    </row>
    <row r="2119" spans="1:7" x14ac:dyDescent="0.35">
      <c r="A2119">
        <v>831</v>
      </c>
      <c r="B2119" s="1">
        <v>45470</v>
      </c>
      <c r="C2119" t="s">
        <v>12</v>
      </c>
      <c r="D2119" s="2">
        <v>0</v>
      </c>
      <c r="E2119" s="2">
        <v>90.24</v>
      </c>
      <c r="F2119" t="s">
        <v>14</v>
      </c>
      <c r="G2119" t="s">
        <v>15</v>
      </c>
    </row>
    <row r="2120" spans="1:7" x14ac:dyDescent="0.35">
      <c r="A2120">
        <v>831</v>
      </c>
      <c r="B2120" s="1">
        <v>45470</v>
      </c>
      <c r="C2120" t="s">
        <v>12</v>
      </c>
      <c r="D2120" s="2">
        <v>0</v>
      </c>
      <c r="E2120" s="2">
        <v>6.77</v>
      </c>
      <c r="F2120" t="s">
        <v>16</v>
      </c>
      <c r="G2120" t="s">
        <v>17</v>
      </c>
    </row>
    <row r="2121" spans="1:7" x14ac:dyDescent="0.35">
      <c r="A2121">
        <v>832</v>
      </c>
      <c r="B2121" s="1">
        <v>45470</v>
      </c>
      <c r="C2121" t="s">
        <v>12</v>
      </c>
      <c r="D2121" s="2">
        <v>1999.99</v>
      </c>
      <c r="E2121" s="2">
        <v>0</v>
      </c>
      <c r="F2121" t="s">
        <v>13</v>
      </c>
      <c r="G2121" t="s">
        <v>9</v>
      </c>
    </row>
    <row r="2122" spans="1:7" x14ac:dyDescent="0.35">
      <c r="A2122">
        <v>832</v>
      </c>
      <c r="B2122" s="1">
        <v>45470</v>
      </c>
      <c r="C2122" t="s">
        <v>12</v>
      </c>
      <c r="D2122" s="2">
        <v>0</v>
      </c>
      <c r="E2122" s="2">
        <v>1860.46</v>
      </c>
      <c r="F2122" t="s">
        <v>14</v>
      </c>
      <c r="G2122" t="s">
        <v>15</v>
      </c>
    </row>
    <row r="2123" spans="1:7" x14ac:dyDescent="0.35">
      <c r="A2123">
        <v>832</v>
      </c>
      <c r="B2123" s="1">
        <v>45470</v>
      </c>
      <c r="C2123" t="s">
        <v>12</v>
      </c>
      <c r="D2123" s="2">
        <v>0</v>
      </c>
      <c r="E2123" s="2">
        <v>139.53</v>
      </c>
      <c r="F2123" t="s">
        <v>16</v>
      </c>
      <c r="G2123" t="s">
        <v>17</v>
      </c>
    </row>
    <row r="2124" spans="1:7" x14ac:dyDescent="0.35">
      <c r="A2124">
        <v>833</v>
      </c>
      <c r="B2124" s="1">
        <v>45470</v>
      </c>
      <c r="C2124" t="s">
        <v>29</v>
      </c>
      <c r="D2124" s="2">
        <v>201.5</v>
      </c>
      <c r="E2124" s="2">
        <v>0</v>
      </c>
      <c r="F2124" t="s">
        <v>28</v>
      </c>
      <c r="G2124" t="s">
        <v>17</v>
      </c>
    </row>
    <row r="2125" spans="1:7" x14ac:dyDescent="0.35">
      <c r="A2125">
        <v>833</v>
      </c>
      <c r="B2125" s="1">
        <v>45470</v>
      </c>
      <c r="C2125" t="s">
        <v>29</v>
      </c>
      <c r="D2125" s="2">
        <v>0</v>
      </c>
      <c r="E2125" s="2">
        <v>201.5</v>
      </c>
      <c r="F2125" t="s">
        <v>8</v>
      </c>
      <c r="G2125" t="s">
        <v>9</v>
      </c>
    </row>
    <row r="2126" spans="1:7" x14ac:dyDescent="0.35">
      <c r="A2126">
        <v>834</v>
      </c>
      <c r="B2126" s="1">
        <v>45471</v>
      </c>
      <c r="C2126" t="s">
        <v>12</v>
      </c>
      <c r="D2126" s="2">
        <v>2223.5100000000002</v>
      </c>
      <c r="E2126" s="2">
        <v>0</v>
      </c>
      <c r="F2126" t="s">
        <v>13</v>
      </c>
      <c r="G2126" t="s">
        <v>9</v>
      </c>
    </row>
    <row r="2127" spans="1:7" x14ac:dyDescent="0.35">
      <c r="A2127">
        <v>834</v>
      </c>
      <c r="B2127" s="1">
        <v>45471</v>
      </c>
      <c r="C2127" t="s">
        <v>12</v>
      </c>
      <c r="D2127" s="2">
        <v>0</v>
      </c>
      <c r="E2127" s="2">
        <v>2068.38</v>
      </c>
      <c r="F2127" t="s">
        <v>14</v>
      </c>
      <c r="G2127" t="s">
        <v>15</v>
      </c>
    </row>
    <row r="2128" spans="1:7" x14ac:dyDescent="0.35">
      <c r="A2128">
        <v>834</v>
      </c>
      <c r="B2128" s="1">
        <v>45471</v>
      </c>
      <c r="C2128" t="s">
        <v>12</v>
      </c>
      <c r="D2128" s="2">
        <v>0</v>
      </c>
      <c r="E2128" s="2">
        <v>155.13</v>
      </c>
      <c r="F2128" t="s">
        <v>16</v>
      </c>
      <c r="G2128" t="s">
        <v>17</v>
      </c>
    </row>
    <row r="2129" spans="1:7" x14ac:dyDescent="0.35">
      <c r="A2129">
        <v>835</v>
      </c>
      <c r="B2129" s="1">
        <v>45471</v>
      </c>
      <c r="C2129" t="s">
        <v>12</v>
      </c>
      <c r="D2129" s="2">
        <v>108.02</v>
      </c>
      <c r="E2129" s="2">
        <v>0</v>
      </c>
      <c r="F2129" t="s">
        <v>13</v>
      </c>
      <c r="G2129" t="s">
        <v>9</v>
      </c>
    </row>
    <row r="2130" spans="1:7" x14ac:dyDescent="0.35">
      <c r="A2130">
        <v>835</v>
      </c>
      <c r="B2130" s="1">
        <v>45471</v>
      </c>
      <c r="C2130" t="s">
        <v>12</v>
      </c>
      <c r="D2130" s="2">
        <v>0</v>
      </c>
      <c r="E2130" s="2">
        <v>100.48</v>
      </c>
      <c r="F2130" t="s">
        <v>14</v>
      </c>
      <c r="G2130" t="s">
        <v>15</v>
      </c>
    </row>
    <row r="2131" spans="1:7" x14ac:dyDescent="0.35">
      <c r="A2131">
        <v>835</v>
      </c>
      <c r="B2131" s="1">
        <v>45471</v>
      </c>
      <c r="C2131" t="s">
        <v>12</v>
      </c>
      <c r="D2131" s="2">
        <v>0</v>
      </c>
      <c r="E2131" s="2">
        <v>7.54</v>
      </c>
      <c r="F2131" t="s">
        <v>16</v>
      </c>
      <c r="G2131" t="s">
        <v>17</v>
      </c>
    </row>
    <row r="2132" spans="1:7" x14ac:dyDescent="0.35">
      <c r="A2132">
        <v>836</v>
      </c>
      <c r="B2132" s="1">
        <v>45471</v>
      </c>
      <c r="C2132" t="s">
        <v>24</v>
      </c>
      <c r="D2132" s="2">
        <v>2919.53</v>
      </c>
      <c r="E2132" s="2">
        <v>0</v>
      </c>
      <c r="F2132" t="s">
        <v>8</v>
      </c>
      <c r="G2132" t="s">
        <v>9</v>
      </c>
    </row>
    <row r="2133" spans="1:7" x14ac:dyDescent="0.35">
      <c r="A2133">
        <v>836</v>
      </c>
      <c r="B2133" s="1">
        <v>45471</v>
      </c>
      <c r="C2133" t="s">
        <v>24</v>
      </c>
      <c r="D2133" s="2">
        <v>0</v>
      </c>
      <c r="E2133" s="2">
        <v>2919.53</v>
      </c>
      <c r="F2133" t="s">
        <v>13</v>
      </c>
      <c r="G2133" t="s">
        <v>9</v>
      </c>
    </row>
    <row r="2134" spans="1:7" x14ac:dyDescent="0.35">
      <c r="A2134">
        <v>837</v>
      </c>
      <c r="B2134" s="1">
        <v>45471</v>
      </c>
      <c r="C2134" t="s">
        <v>24</v>
      </c>
      <c r="D2134" s="2">
        <v>1828.75</v>
      </c>
      <c r="E2134" s="2">
        <v>0</v>
      </c>
      <c r="F2134" t="s">
        <v>8</v>
      </c>
      <c r="G2134" t="s">
        <v>9</v>
      </c>
    </row>
    <row r="2135" spans="1:7" x14ac:dyDescent="0.35">
      <c r="A2135">
        <v>837</v>
      </c>
      <c r="B2135" s="1">
        <v>45471</v>
      </c>
      <c r="C2135" t="s">
        <v>24</v>
      </c>
      <c r="D2135" s="2">
        <v>0</v>
      </c>
      <c r="E2135" s="2">
        <v>1828.75</v>
      </c>
      <c r="F2135" t="s">
        <v>13</v>
      </c>
      <c r="G2135" t="s">
        <v>9</v>
      </c>
    </row>
    <row r="2136" spans="1:7" x14ac:dyDescent="0.35">
      <c r="A2136">
        <v>838</v>
      </c>
      <c r="B2136" s="1">
        <v>45471</v>
      </c>
      <c r="C2136" t="s">
        <v>29</v>
      </c>
      <c r="D2136" s="2">
        <v>2918.17</v>
      </c>
      <c r="E2136" s="2">
        <v>0</v>
      </c>
      <c r="F2136" t="s">
        <v>28</v>
      </c>
      <c r="G2136" t="s">
        <v>17</v>
      </c>
    </row>
    <row r="2137" spans="1:7" x14ac:dyDescent="0.35">
      <c r="A2137">
        <v>838</v>
      </c>
      <c r="B2137" s="1">
        <v>45471</v>
      </c>
      <c r="C2137" t="s">
        <v>29</v>
      </c>
      <c r="D2137" s="2">
        <v>0</v>
      </c>
      <c r="E2137" s="2">
        <v>2918.17</v>
      </c>
      <c r="F2137" t="s">
        <v>8</v>
      </c>
      <c r="G2137" t="s">
        <v>9</v>
      </c>
    </row>
    <row r="2138" spans="1:7" x14ac:dyDescent="0.35">
      <c r="A2138">
        <v>839</v>
      </c>
      <c r="B2138" s="1">
        <v>45471</v>
      </c>
      <c r="C2138" t="s">
        <v>29</v>
      </c>
      <c r="D2138" s="2">
        <v>1159.8399999999999</v>
      </c>
      <c r="E2138" s="2">
        <v>0</v>
      </c>
      <c r="F2138" t="s">
        <v>28</v>
      </c>
      <c r="G2138" t="s">
        <v>17</v>
      </c>
    </row>
    <row r="2139" spans="1:7" x14ac:dyDescent="0.35">
      <c r="A2139">
        <v>839</v>
      </c>
      <c r="B2139" s="1">
        <v>45471</v>
      </c>
      <c r="C2139" t="s">
        <v>29</v>
      </c>
      <c r="D2139" s="2">
        <v>0</v>
      </c>
      <c r="E2139" s="2">
        <v>1159.8399999999999</v>
      </c>
      <c r="F2139" t="s">
        <v>8</v>
      </c>
      <c r="G2139" t="s">
        <v>9</v>
      </c>
    </row>
    <row r="2140" spans="1:7" x14ac:dyDescent="0.35">
      <c r="A2140">
        <v>840</v>
      </c>
      <c r="B2140" s="1">
        <v>45473</v>
      </c>
      <c r="C2140" t="s">
        <v>30</v>
      </c>
      <c r="D2140" s="2">
        <v>93.61</v>
      </c>
      <c r="E2140" s="2">
        <v>0</v>
      </c>
      <c r="F2140" t="s">
        <v>31</v>
      </c>
      <c r="G2140" t="s">
        <v>20</v>
      </c>
    </row>
    <row r="2141" spans="1:7" x14ac:dyDescent="0.35">
      <c r="A2141">
        <v>840</v>
      </c>
      <c r="B2141" s="1">
        <v>45473</v>
      </c>
      <c r="C2141" t="s">
        <v>30</v>
      </c>
      <c r="D2141" s="2">
        <v>0</v>
      </c>
      <c r="E2141" s="2">
        <v>93.61</v>
      </c>
      <c r="F2141" t="s">
        <v>32</v>
      </c>
      <c r="G2141" t="s">
        <v>9</v>
      </c>
    </row>
    <row r="2142" spans="1:7" x14ac:dyDescent="0.35">
      <c r="A2142">
        <v>841</v>
      </c>
      <c r="B2142" s="1">
        <v>45473</v>
      </c>
      <c r="C2142" t="s">
        <v>33</v>
      </c>
      <c r="D2142" s="2">
        <v>76.86</v>
      </c>
      <c r="E2142" s="2">
        <v>0</v>
      </c>
      <c r="F2142" t="s">
        <v>31</v>
      </c>
      <c r="G2142" t="s">
        <v>20</v>
      </c>
    </row>
    <row r="2143" spans="1:7" x14ac:dyDescent="0.35">
      <c r="A2143">
        <v>841</v>
      </c>
      <c r="B2143" s="1">
        <v>45473</v>
      </c>
      <c r="C2143" t="s">
        <v>33</v>
      </c>
      <c r="D2143" s="2">
        <v>0</v>
      </c>
      <c r="E2143" s="2">
        <v>76.86</v>
      </c>
      <c r="F2143" t="s">
        <v>32</v>
      </c>
      <c r="G2143" t="s">
        <v>9</v>
      </c>
    </row>
    <row r="2144" spans="1:7" x14ac:dyDescent="0.35">
      <c r="A2144">
        <v>842</v>
      </c>
      <c r="B2144" s="1">
        <v>45473</v>
      </c>
      <c r="C2144" t="s">
        <v>34</v>
      </c>
      <c r="D2144" s="2">
        <v>20.03</v>
      </c>
      <c r="E2144" s="2">
        <v>0</v>
      </c>
      <c r="F2144" t="s">
        <v>31</v>
      </c>
      <c r="G2144" t="s">
        <v>20</v>
      </c>
    </row>
    <row r="2145" spans="1:7" x14ac:dyDescent="0.35">
      <c r="A2145">
        <v>842</v>
      </c>
      <c r="B2145" s="1">
        <v>45473</v>
      </c>
      <c r="C2145" t="s">
        <v>34</v>
      </c>
      <c r="D2145" s="2">
        <v>0</v>
      </c>
      <c r="E2145" s="2">
        <v>20.03</v>
      </c>
      <c r="F2145" t="s">
        <v>32</v>
      </c>
      <c r="G2145" t="s">
        <v>9</v>
      </c>
    </row>
    <row r="2146" spans="1:7" x14ac:dyDescent="0.35">
      <c r="A2146">
        <v>843</v>
      </c>
      <c r="B2146" s="1">
        <v>45473</v>
      </c>
      <c r="C2146" t="s">
        <v>35</v>
      </c>
      <c r="D2146" s="2">
        <v>86.89</v>
      </c>
      <c r="E2146" s="2">
        <v>0</v>
      </c>
      <c r="F2146" t="s">
        <v>31</v>
      </c>
      <c r="G2146" t="s">
        <v>20</v>
      </c>
    </row>
    <row r="2147" spans="1:7" x14ac:dyDescent="0.35">
      <c r="A2147">
        <v>843</v>
      </c>
      <c r="B2147" s="1">
        <v>45473</v>
      </c>
      <c r="C2147" t="s">
        <v>35</v>
      </c>
      <c r="D2147" s="2">
        <v>0</v>
      </c>
      <c r="E2147" s="2">
        <v>86.89</v>
      </c>
      <c r="F2147" t="s">
        <v>36</v>
      </c>
      <c r="G2147" t="s">
        <v>9</v>
      </c>
    </row>
    <row r="2148" spans="1:7" x14ac:dyDescent="0.35">
      <c r="A2148">
        <v>844</v>
      </c>
      <c r="B2148" s="1">
        <v>45473</v>
      </c>
      <c r="C2148" t="s">
        <v>37</v>
      </c>
      <c r="D2148" s="2">
        <v>76.8</v>
      </c>
      <c r="E2148" s="2">
        <v>0</v>
      </c>
      <c r="F2148" t="s">
        <v>31</v>
      </c>
      <c r="G2148" t="s">
        <v>20</v>
      </c>
    </row>
    <row r="2149" spans="1:7" x14ac:dyDescent="0.35">
      <c r="A2149">
        <v>844</v>
      </c>
      <c r="B2149" s="1">
        <v>45473</v>
      </c>
      <c r="C2149" t="s">
        <v>37</v>
      </c>
      <c r="D2149" s="2">
        <v>0</v>
      </c>
      <c r="E2149" s="2">
        <v>76.8</v>
      </c>
      <c r="F2149" t="s">
        <v>36</v>
      </c>
      <c r="G2149" t="s">
        <v>9</v>
      </c>
    </row>
    <row r="2150" spans="1:7" x14ac:dyDescent="0.35">
      <c r="A2150">
        <v>845</v>
      </c>
      <c r="B2150" s="1">
        <v>45473</v>
      </c>
      <c r="C2150" t="s">
        <v>38</v>
      </c>
      <c r="D2150" s="2">
        <v>48.28</v>
      </c>
      <c r="E2150" s="2">
        <v>0</v>
      </c>
      <c r="F2150" t="s">
        <v>31</v>
      </c>
      <c r="G2150" t="s">
        <v>20</v>
      </c>
    </row>
    <row r="2151" spans="1:7" x14ac:dyDescent="0.35">
      <c r="A2151">
        <v>845</v>
      </c>
      <c r="B2151" s="1">
        <v>45473</v>
      </c>
      <c r="C2151" t="s">
        <v>38</v>
      </c>
      <c r="D2151" s="2">
        <v>0</v>
      </c>
      <c r="E2151" s="2">
        <v>48.28</v>
      </c>
      <c r="F2151" t="s">
        <v>36</v>
      </c>
      <c r="G2151" t="s">
        <v>9</v>
      </c>
    </row>
    <row r="2152" spans="1:7" x14ac:dyDescent="0.35">
      <c r="A2152">
        <v>846</v>
      </c>
      <c r="B2152" s="1">
        <v>45473</v>
      </c>
      <c r="C2152" t="s">
        <v>39</v>
      </c>
      <c r="D2152" s="2">
        <v>53.21</v>
      </c>
      <c r="E2152" s="2">
        <v>0</v>
      </c>
      <c r="F2152" t="s">
        <v>31</v>
      </c>
      <c r="G2152" t="s">
        <v>20</v>
      </c>
    </row>
    <row r="2153" spans="1:7" x14ac:dyDescent="0.35">
      <c r="A2153">
        <v>846</v>
      </c>
      <c r="B2153" s="1">
        <v>45473</v>
      </c>
      <c r="C2153" t="s">
        <v>39</v>
      </c>
      <c r="D2153" s="2">
        <v>0</v>
      </c>
      <c r="E2153" s="2">
        <v>53.21</v>
      </c>
      <c r="F2153" t="s">
        <v>36</v>
      </c>
      <c r="G2153" t="s">
        <v>9</v>
      </c>
    </row>
    <row r="2154" spans="1:7" x14ac:dyDescent="0.35">
      <c r="A2154">
        <v>847</v>
      </c>
      <c r="B2154" s="1">
        <v>45473</v>
      </c>
      <c r="C2154" t="s">
        <v>40</v>
      </c>
      <c r="D2154" s="2">
        <v>232.19</v>
      </c>
      <c r="E2154" s="2">
        <v>0</v>
      </c>
      <c r="F2154" t="s">
        <v>31</v>
      </c>
      <c r="G2154" t="s">
        <v>20</v>
      </c>
    </row>
    <row r="2155" spans="1:7" x14ac:dyDescent="0.35">
      <c r="A2155">
        <v>847</v>
      </c>
      <c r="B2155" s="1">
        <v>45473</v>
      </c>
      <c r="C2155" t="s">
        <v>40</v>
      </c>
      <c r="D2155" s="2">
        <v>0</v>
      </c>
      <c r="E2155" s="2">
        <v>232.19</v>
      </c>
      <c r="F2155" t="s">
        <v>41</v>
      </c>
      <c r="G2155" t="s">
        <v>9</v>
      </c>
    </row>
    <row r="2156" spans="1:7" x14ac:dyDescent="0.35">
      <c r="A2156">
        <v>848</v>
      </c>
      <c r="B2156" s="1">
        <v>45473</v>
      </c>
      <c r="C2156" t="s">
        <v>42</v>
      </c>
      <c r="D2156" s="2">
        <v>43.85</v>
      </c>
      <c r="E2156" s="2">
        <v>0</v>
      </c>
      <c r="F2156" t="s">
        <v>31</v>
      </c>
      <c r="G2156" t="s">
        <v>20</v>
      </c>
    </row>
    <row r="2157" spans="1:7" x14ac:dyDescent="0.35">
      <c r="A2157">
        <v>848</v>
      </c>
      <c r="B2157" s="1">
        <v>45473</v>
      </c>
      <c r="C2157" t="s">
        <v>42</v>
      </c>
      <c r="D2157" s="2">
        <v>0</v>
      </c>
      <c r="E2157" s="2">
        <v>43.85</v>
      </c>
      <c r="F2157" t="s">
        <v>32</v>
      </c>
      <c r="G2157" t="s">
        <v>9</v>
      </c>
    </row>
    <row r="2158" spans="1:7" x14ac:dyDescent="0.35">
      <c r="A2158">
        <v>849</v>
      </c>
      <c r="B2158" s="1">
        <v>45474</v>
      </c>
      <c r="C2158" t="s">
        <v>12</v>
      </c>
      <c r="D2158" s="2">
        <v>2667.76</v>
      </c>
      <c r="E2158" s="2">
        <v>0</v>
      </c>
      <c r="F2158" t="s">
        <v>13</v>
      </c>
      <c r="G2158" t="s">
        <v>9</v>
      </c>
    </row>
    <row r="2159" spans="1:7" x14ac:dyDescent="0.35">
      <c r="A2159">
        <v>849</v>
      </c>
      <c r="B2159" s="1">
        <v>45474</v>
      </c>
      <c r="C2159" t="s">
        <v>12</v>
      </c>
      <c r="D2159" s="2">
        <v>0</v>
      </c>
      <c r="E2159" s="2">
        <v>2481.65</v>
      </c>
      <c r="F2159" t="s">
        <v>14</v>
      </c>
      <c r="G2159" t="s">
        <v>15</v>
      </c>
    </row>
    <row r="2160" spans="1:7" x14ac:dyDescent="0.35">
      <c r="A2160">
        <v>849</v>
      </c>
      <c r="B2160" s="1">
        <v>45474</v>
      </c>
      <c r="C2160" t="s">
        <v>12</v>
      </c>
      <c r="D2160" s="2">
        <v>0</v>
      </c>
      <c r="E2160" s="2">
        <v>186.11</v>
      </c>
      <c r="F2160" t="s">
        <v>16</v>
      </c>
      <c r="G2160" t="s">
        <v>17</v>
      </c>
    </row>
    <row r="2161" spans="1:7" x14ac:dyDescent="0.35">
      <c r="A2161">
        <v>850</v>
      </c>
      <c r="B2161" s="1">
        <v>45474</v>
      </c>
      <c r="C2161" t="s">
        <v>24</v>
      </c>
      <c r="D2161" s="2">
        <v>1138.5999999999999</v>
      </c>
      <c r="E2161" s="2">
        <v>0</v>
      </c>
      <c r="F2161" t="s">
        <v>8</v>
      </c>
      <c r="G2161" t="s">
        <v>9</v>
      </c>
    </row>
    <row r="2162" spans="1:7" x14ac:dyDescent="0.35">
      <c r="A2162">
        <v>850</v>
      </c>
      <c r="B2162" s="1">
        <v>45474</v>
      </c>
      <c r="C2162" t="s">
        <v>24</v>
      </c>
      <c r="D2162" s="2">
        <v>0</v>
      </c>
      <c r="E2162" s="2">
        <v>1138.5999999999999</v>
      </c>
      <c r="F2162" t="s">
        <v>13</v>
      </c>
      <c r="G2162" t="s">
        <v>9</v>
      </c>
    </row>
    <row r="2163" spans="1:7" x14ac:dyDescent="0.35">
      <c r="A2163">
        <v>851</v>
      </c>
      <c r="B2163" s="1">
        <v>45474</v>
      </c>
      <c r="C2163" t="s">
        <v>24</v>
      </c>
      <c r="D2163" s="2">
        <v>4175.78</v>
      </c>
      <c r="E2163" s="2">
        <v>0</v>
      </c>
      <c r="F2163" t="s">
        <v>8</v>
      </c>
      <c r="G2163" t="s">
        <v>9</v>
      </c>
    </row>
    <row r="2164" spans="1:7" x14ac:dyDescent="0.35">
      <c r="A2164">
        <v>851</v>
      </c>
      <c r="B2164" s="1">
        <v>45474</v>
      </c>
      <c r="C2164" t="s">
        <v>24</v>
      </c>
      <c r="D2164" s="2">
        <v>0</v>
      </c>
      <c r="E2164" s="2">
        <v>4175.78</v>
      </c>
      <c r="F2164" t="s">
        <v>13</v>
      </c>
      <c r="G2164" t="s">
        <v>9</v>
      </c>
    </row>
    <row r="2165" spans="1:7" x14ac:dyDescent="0.35">
      <c r="A2165">
        <v>852</v>
      </c>
      <c r="B2165" s="1">
        <v>45474</v>
      </c>
      <c r="C2165" t="s">
        <v>24</v>
      </c>
      <c r="D2165" s="2">
        <v>1113.03</v>
      </c>
      <c r="E2165" s="2">
        <v>0</v>
      </c>
      <c r="F2165" t="s">
        <v>8</v>
      </c>
      <c r="G2165" t="s">
        <v>9</v>
      </c>
    </row>
    <row r="2166" spans="1:7" x14ac:dyDescent="0.35">
      <c r="A2166">
        <v>852</v>
      </c>
      <c r="B2166" s="1">
        <v>45474</v>
      </c>
      <c r="C2166" t="s">
        <v>24</v>
      </c>
      <c r="D2166" s="2">
        <v>0</v>
      </c>
      <c r="E2166" s="2">
        <v>1113.03</v>
      </c>
      <c r="F2166" t="s">
        <v>13</v>
      </c>
      <c r="G2166" t="s">
        <v>9</v>
      </c>
    </row>
    <row r="2167" spans="1:7" x14ac:dyDescent="0.35">
      <c r="A2167">
        <v>853</v>
      </c>
      <c r="B2167" s="1">
        <v>45474</v>
      </c>
      <c r="C2167" t="s">
        <v>25</v>
      </c>
      <c r="D2167" s="2">
        <v>1643.22</v>
      </c>
      <c r="E2167" s="2">
        <v>0</v>
      </c>
      <c r="F2167" t="s">
        <v>26</v>
      </c>
      <c r="G2167" t="s">
        <v>20</v>
      </c>
    </row>
    <row r="2168" spans="1:7" x14ac:dyDescent="0.35">
      <c r="A2168">
        <v>853</v>
      </c>
      <c r="B2168" s="1">
        <v>45474</v>
      </c>
      <c r="C2168" t="s">
        <v>25</v>
      </c>
      <c r="D2168" s="2">
        <v>123.24</v>
      </c>
      <c r="E2168" s="2">
        <v>0</v>
      </c>
      <c r="F2168" t="s">
        <v>27</v>
      </c>
      <c r="G2168" t="s">
        <v>9</v>
      </c>
    </row>
    <row r="2169" spans="1:7" x14ac:dyDescent="0.35">
      <c r="A2169">
        <v>853</v>
      </c>
      <c r="B2169" s="1">
        <v>45474</v>
      </c>
      <c r="C2169" t="s">
        <v>25</v>
      </c>
      <c r="D2169" s="2">
        <v>0</v>
      </c>
      <c r="E2169" s="2">
        <v>1766.46</v>
      </c>
      <c r="F2169" t="s">
        <v>28</v>
      </c>
      <c r="G2169" t="s">
        <v>17</v>
      </c>
    </row>
    <row r="2170" spans="1:7" x14ac:dyDescent="0.35">
      <c r="A2170">
        <v>854</v>
      </c>
      <c r="B2170" s="1">
        <v>45474</v>
      </c>
      <c r="C2170" t="s">
        <v>25</v>
      </c>
      <c r="D2170" s="2">
        <v>2329.52</v>
      </c>
      <c r="E2170" s="2">
        <v>0</v>
      </c>
      <c r="F2170" t="s">
        <v>26</v>
      </c>
      <c r="G2170" t="s">
        <v>20</v>
      </c>
    </row>
    <row r="2171" spans="1:7" x14ac:dyDescent="0.35">
      <c r="A2171">
        <v>854</v>
      </c>
      <c r="B2171" s="1">
        <v>45474</v>
      </c>
      <c r="C2171" t="s">
        <v>25</v>
      </c>
      <c r="D2171" s="2">
        <v>174.71</v>
      </c>
      <c r="E2171" s="2">
        <v>0</v>
      </c>
      <c r="F2171" t="s">
        <v>27</v>
      </c>
      <c r="G2171" t="s">
        <v>9</v>
      </c>
    </row>
    <row r="2172" spans="1:7" x14ac:dyDescent="0.35">
      <c r="A2172">
        <v>854</v>
      </c>
      <c r="B2172" s="1">
        <v>45474</v>
      </c>
      <c r="C2172" t="s">
        <v>25</v>
      </c>
      <c r="D2172" s="2">
        <v>0</v>
      </c>
      <c r="E2172" s="2">
        <v>2504.23</v>
      </c>
      <c r="F2172" t="s">
        <v>28</v>
      </c>
      <c r="G2172" t="s">
        <v>17</v>
      </c>
    </row>
    <row r="2173" spans="1:7" x14ac:dyDescent="0.35">
      <c r="A2173">
        <v>855</v>
      </c>
      <c r="B2173" s="1">
        <v>45474</v>
      </c>
      <c r="C2173" t="s">
        <v>25</v>
      </c>
      <c r="D2173" s="2">
        <v>952.02</v>
      </c>
      <c r="E2173" s="2">
        <v>0</v>
      </c>
      <c r="F2173" t="s">
        <v>26</v>
      </c>
      <c r="G2173" t="s">
        <v>20</v>
      </c>
    </row>
    <row r="2174" spans="1:7" x14ac:dyDescent="0.35">
      <c r="A2174">
        <v>855</v>
      </c>
      <c r="B2174" s="1">
        <v>45474</v>
      </c>
      <c r="C2174" t="s">
        <v>25</v>
      </c>
      <c r="D2174" s="2">
        <v>71.400000000000006</v>
      </c>
      <c r="E2174" s="2">
        <v>0</v>
      </c>
      <c r="F2174" t="s">
        <v>27</v>
      </c>
      <c r="G2174" t="s">
        <v>9</v>
      </c>
    </row>
    <row r="2175" spans="1:7" x14ac:dyDescent="0.35">
      <c r="A2175">
        <v>855</v>
      </c>
      <c r="B2175" s="1">
        <v>45474</v>
      </c>
      <c r="C2175" t="s">
        <v>25</v>
      </c>
      <c r="D2175" s="2">
        <v>0</v>
      </c>
      <c r="E2175" s="2">
        <v>1023.42</v>
      </c>
      <c r="F2175" t="s">
        <v>28</v>
      </c>
      <c r="G2175" t="s">
        <v>17</v>
      </c>
    </row>
    <row r="2176" spans="1:7" x14ac:dyDescent="0.35">
      <c r="A2176">
        <v>856</v>
      </c>
      <c r="B2176" s="1">
        <v>45474</v>
      </c>
      <c r="C2176" t="s">
        <v>25</v>
      </c>
      <c r="D2176" s="2">
        <v>383.76</v>
      </c>
      <c r="E2176" s="2">
        <v>0</v>
      </c>
      <c r="F2176" t="s">
        <v>26</v>
      </c>
      <c r="G2176" t="s">
        <v>20</v>
      </c>
    </row>
    <row r="2177" spans="1:7" x14ac:dyDescent="0.35">
      <c r="A2177">
        <v>856</v>
      </c>
      <c r="B2177" s="1">
        <v>45474</v>
      </c>
      <c r="C2177" t="s">
        <v>25</v>
      </c>
      <c r="D2177" s="2">
        <v>28.78</v>
      </c>
      <c r="E2177" s="2">
        <v>0</v>
      </c>
      <c r="F2177" t="s">
        <v>27</v>
      </c>
      <c r="G2177" t="s">
        <v>9</v>
      </c>
    </row>
    <row r="2178" spans="1:7" x14ac:dyDescent="0.35">
      <c r="A2178">
        <v>856</v>
      </c>
      <c r="B2178" s="1">
        <v>45474</v>
      </c>
      <c r="C2178" t="s">
        <v>25</v>
      </c>
      <c r="D2178" s="2">
        <v>0</v>
      </c>
      <c r="E2178" s="2">
        <v>412.54</v>
      </c>
      <c r="F2178" t="s">
        <v>28</v>
      </c>
      <c r="G2178" t="s">
        <v>17</v>
      </c>
    </row>
    <row r="2179" spans="1:7" x14ac:dyDescent="0.35">
      <c r="A2179">
        <v>857</v>
      </c>
      <c r="B2179" s="1">
        <v>45474</v>
      </c>
      <c r="C2179" t="s">
        <v>25</v>
      </c>
      <c r="D2179" s="2">
        <v>2030.15</v>
      </c>
      <c r="E2179" s="2">
        <v>0</v>
      </c>
      <c r="F2179" t="s">
        <v>26</v>
      </c>
      <c r="G2179" t="s">
        <v>20</v>
      </c>
    </row>
    <row r="2180" spans="1:7" x14ac:dyDescent="0.35">
      <c r="A2180">
        <v>857</v>
      </c>
      <c r="B2180" s="1">
        <v>45474</v>
      </c>
      <c r="C2180" t="s">
        <v>25</v>
      </c>
      <c r="D2180" s="2">
        <v>152.26</v>
      </c>
      <c r="E2180" s="2">
        <v>0</v>
      </c>
      <c r="F2180" t="s">
        <v>27</v>
      </c>
      <c r="G2180" t="s">
        <v>9</v>
      </c>
    </row>
    <row r="2181" spans="1:7" x14ac:dyDescent="0.35">
      <c r="A2181">
        <v>857</v>
      </c>
      <c r="B2181" s="1">
        <v>45474</v>
      </c>
      <c r="C2181" t="s">
        <v>25</v>
      </c>
      <c r="D2181" s="2">
        <v>0</v>
      </c>
      <c r="E2181" s="2">
        <v>2182.41</v>
      </c>
      <c r="F2181" t="s">
        <v>28</v>
      </c>
      <c r="G2181" t="s">
        <v>17</v>
      </c>
    </row>
    <row r="2182" spans="1:7" x14ac:dyDescent="0.35">
      <c r="A2182">
        <v>858</v>
      </c>
      <c r="B2182" s="1">
        <v>45474</v>
      </c>
      <c r="C2182" t="s">
        <v>29</v>
      </c>
      <c r="D2182" s="2">
        <v>550.4</v>
      </c>
      <c r="E2182" s="2">
        <v>0</v>
      </c>
      <c r="F2182" t="s">
        <v>28</v>
      </c>
      <c r="G2182" t="s">
        <v>17</v>
      </c>
    </row>
    <row r="2183" spans="1:7" x14ac:dyDescent="0.35">
      <c r="A2183">
        <v>858</v>
      </c>
      <c r="B2183" s="1">
        <v>45474</v>
      </c>
      <c r="C2183" t="s">
        <v>29</v>
      </c>
      <c r="D2183" s="2">
        <v>0</v>
      </c>
      <c r="E2183" s="2">
        <v>550.4</v>
      </c>
      <c r="F2183" t="s">
        <v>8</v>
      </c>
      <c r="G2183" t="s">
        <v>9</v>
      </c>
    </row>
    <row r="2184" spans="1:7" x14ac:dyDescent="0.35">
      <c r="A2184">
        <v>859</v>
      </c>
      <c r="B2184" s="1">
        <v>45474</v>
      </c>
      <c r="C2184" t="s">
        <v>29</v>
      </c>
      <c r="D2184" s="2">
        <v>748.26</v>
      </c>
      <c r="E2184" s="2">
        <v>0</v>
      </c>
      <c r="F2184" t="s">
        <v>28</v>
      </c>
      <c r="G2184" t="s">
        <v>17</v>
      </c>
    </row>
    <row r="2185" spans="1:7" x14ac:dyDescent="0.35">
      <c r="A2185">
        <v>859</v>
      </c>
      <c r="B2185" s="1">
        <v>45474</v>
      </c>
      <c r="C2185" t="s">
        <v>29</v>
      </c>
      <c r="D2185" s="2">
        <v>0</v>
      </c>
      <c r="E2185" s="2">
        <v>748.26</v>
      </c>
      <c r="F2185" t="s">
        <v>8</v>
      </c>
      <c r="G2185" t="s">
        <v>9</v>
      </c>
    </row>
    <row r="2186" spans="1:7" x14ac:dyDescent="0.35">
      <c r="A2186">
        <v>860</v>
      </c>
      <c r="B2186" s="1">
        <v>45474</v>
      </c>
      <c r="C2186" t="s">
        <v>29</v>
      </c>
      <c r="D2186" s="2">
        <v>9336.67</v>
      </c>
      <c r="E2186" s="2">
        <v>0</v>
      </c>
      <c r="F2186" t="s">
        <v>28</v>
      </c>
      <c r="G2186" t="s">
        <v>17</v>
      </c>
    </row>
    <row r="2187" spans="1:7" x14ac:dyDescent="0.35">
      <c r="A2187">
        <v>860</v>
      </c>
      <c r="B2187" s="1">
        <v>45474</v>
      </c>
      <c r="C2187" t="s">
        <v>29</v>
      </c>
      <c r="D2187" s="2">
        <v>0</v>
      </c>
      <c r="E2187" s="2">
        <v>9336.67</v>
      </c>
      <c r="F2187" t="s">
        <v>8</v>
      </c>
      <c r="G2187" t="s">
        <v>9</v>
      </c>
    </row>
    <row r="2188" spans="1:7" x14ac:dyDescent="0.35">
      <c r="A2188">
        <v>861</v>
      </c>
      <c r="B2188" s="1">
        <v>45474</v>
      </c>
      <c r="C2188" t="s">
        <v>29</v>
      </c>
      <c r="D2188" s="2">
        <v>550.4</v>
      </c>
      <c r="E2188" s="2">
        <v>0</v>
      </c>
      <c r="F2188" t="s">
        <v>28</v>
      </c>
      <c r="G2188" t="s">
        <v>17</v>
      </c>
    </row>
    <row r="2189" spans="1:7" x14ac:dyDescent="0.35">
      <c r="A2189">
        <v>861</v>
      </c>
      <c r="B2189" s="1">
        <v>45474</v>
      </c>
      <c r="C2189" t="s">
        <v>29</v>
      </c>
      <c r="D2189" s="2">
        <v>0</v>
      </c>
      <c r="E2189" s="2">
        <v>550.4</v>
      </c>
      <c r="F2189" t="s">
        <v>8</v>
      </c>
      <c r="G2189" t="s">
        <v>9</v>
      </c>
    </row>
    <row r="2190" spans="1:7" x14ac:dyDescent="0.35">
      <c r="A2190">
        <v>862</v>
      </c>
      <c r="B2190" s="1">
        <v>45474</v>
      </c>
      <c r="C2190" t="s">
        <v>29</v>
      </c>
      <c r="D2190" s="2">
        <v>3868.8</v>
      </c>
      <c r="E2190" s="2">
        <v>0</v>
      </c>
      <c r="F2190" t="s">
        <v>28</v>
      </c>
      <c r="G2190" t="s">
        <v>17</v>
      </c>
    </row>
    <row r="2191" spans="1:7" x14ac:dyDescent="0.35">
      <c r="A2191">
        <v>862</v>
      </c>
      <c r="B2191" s="1">
        <v>45474</v>
      </c>
      <c r="C2191" t="s">
        <v>29</v>
      </c>
      <c r="D2191" s="2">
        <v>0</v>
      </c>
      <c r="E2191" s="2">
        <v>3868.8</v>
      </c>
      <c r="F2191" t="s">
        <v>8</v>
      </c>
      <c r="G2191" t="s">
        <v>9</v>
      </c>
    </row>
    <row r="2192" spans="1:7" x14ac:dyDescent="0.35">
      <c r="A2192">
        <v>863</v>
      </c>
      <c r="B2192" s="1">
        <v>45475</v>
      </c>
      <c r="C2192" t="s">
        <v>12</v>
      </c>
      <c r="D2192" s="2">
        <v>2934.63</v>
      </c>
      <c r="E2192" s="2">
        <v>0</v>
      </c>
      <c r="F2192" t="s">
        <v>13</v>
      </c>
      <c r="G2192" t="s">
        <v>9</v>
      </c>
    </row>
    <row r="2193" spans="1:7" x14ac:dyDescent="0.35">
      <c r="A2193">
        <v>863</v>
      </c>
      <c r="B2193" s="1">
        <v>45475</v>
      </c>
      <c r="C2193" t="s">
        <v>12</v>
      </c>
      <c r="D2193" s="2">
        <v>0</v>
      </c>
      <c r="E2193" s="2">
        <v>2729.9</v>
      </c>
      <c r="F2193" t="s">
        <v>14</v>
      </c>
      <c r="G2193" t="s">
        <v>15</v>
      </c>
    </row>
    <row r="2194" spans="1:7" x14ac:dyDescent="0.35">
      <c r="A2194">
        <v>863</v>
      </c>
      <c r="B2194" s="1">
        <v>45475</v>
      </c>
      <c r="C2194" t="s">
        <v>12</v>
      </c>
      <c r="D2194" s="2">
        <v>0</v>
      </c>
      <c r="E2194" s="2">
        <v>204.73</v>
      </c>
      <c r="F2194" t="s">
        <v>16</v>
      </c>
      <c r="G2194" t="s">
        <v>17</v>
      </c>
    </row>
    <row r="2195" spans="1:7" x14ac:dyDescent="0.35">
      <c r="A2195">
        <v>864</v>
      </c>
      <c r="B2195" s="1">
        <v>45475</v>
      </c>
      <c r="C2195" t="s">
        <v>12</v>
      </c>
      <c r="D2195" s="2">
        <v>4467.0600000000004</v>
      </c>
      <c r="E2195" s="2">
        <v>0</v>
      </c>
      <c r="F2195" t="s">
        <v>13</v>
      </c>
      <c r="G2195" t="s">
        <v>9</v>
      </c>
    </row>
    <row r="2196" spans="1:7" x14ac:dyDescent="0.35">
      <c r="A2196">
        <v>864</v>
      </c>
      <c r="B2196" s="1">
        <v>45475</v>
      </c>
      <c r="C2196" t="s">
        <v>12</v>
      </c>
      <c r="D2196" s="2">
        <v>0</v>
      </c>
      <c r="E2196" s="2">
        <v>4155.41</v>
      </c>
      <c r="F2196" t="s">
        <v>14</v>
      </c>
      <c r="G2196" t="s">
        <v>15</v>
      </c>
    </row>
    <row r="2197" spans="1:7" x14ac:dyDescent="0.35">
      <c r="A2197">
        <v>864</v>
      </c>
      <c r="B2197" s="1">
        <v>45475</v>
      </c>
      <c r="C2197" t="s">
        <v>12</v>
      </c>
      <c r="D2197" s="2">
        <v>0</v>
      </c>
      <c r="E2197" s="2">
        <v>311.64999999999998</v>
      </c>
      <c r="F2197" t="s">
        <v>16</v>
      </c>
      <c r="G2197" t="s">
        <v>17</v>
      </c>
    </row>
    <row r="2198" spans="1:7" x14ac:dyDescent="0.35">
      <c r="A2198">
        <v>865</v>
      </c>
      <c r="B2198" s="1">
        <v>45475</v>
      </c>
      <c r="C2198" t="s">
        <v>12</v>
      </c>
      <c r="D2198" s="2">
        <v>4453.28</v>
      </c>
      <c r="E2198" s="2">
        <v>0</v>
      </c>
      <c r="F2198" t="s">
        <v>13</v>
      </c>
      <c r="G2198" t="s">
        <v>9</v>
      </c>
    </row>
    <row r="2199" spans="1:7" x14ac:dyDescent="0.35">
      <c r="A2199">
        <v>865</v>
      </c>
      <c r="B2199" s="1">
        <v>45475</v>
      </c>
      <c r="C2199" t="s">
        <v>12</v>
      </c>
      <c r="D2199" s="2">
        <v>0</v>
      </c>
      <c r="E2199" s="2">
        <v>4142.58</v>
      </c>
      <c r="F2199" t="s">
        <v>14</v>
      </c>
      <c r="G2199" t="s">
        <v>15</v>
      </c>
    </row>
    <row r="2200" spans="1:7" x14ac:dyDescent="0.35">
      <c r="A2200">
        <v>865</v>
      </c>
      <c r="B2200" s="1">
        <v>45475</v>
      </c>
      <c r="C2200" t="s">
        <v>12</v>
      </c>
      <c r="D2200" s="2">
        <v>0</v>
      </c>
      <c r="E2200" s="2">
        <v>310.7</v>
      </c>
      <c r="F2200" t="s">
        <v>16</v>
      </c>
      <c r="G2200" t="s">
        <v>17</v>
      </c>
    </row>
    <row r="2201" spans="1:7" x14ac:dyDescent="0.35">
      <c r="A2201">
        <v>866</v>
      </c>
      <c r="B2201" s="1">
        <v>45475</v>
      </c>
      <c r="C2201" t="s">
        <v>12</v>
      </c>
      <c r="D2201" s="2">
        <v>6186.86</v>
      </c>
      <c r="E2201" s="2">
        <v>0</v>
      </c>
      <c r="F2201" t="s">
        <v>13</v>
      </c>
      <c r="G2201" t="s">
        <v>9</v>
      </c>
    </row>
    <row r="2202" spans="1:7" x14ac:dyDescent="0.35">
      <c r="A2202">
        <v>866</v>
      </c>
      <c r="B2202" s="1">
        <v>45475</v>
      </c>
      <c r="C2202" t="s">
        <v>12</v>
      </c>
      <c r="D2202" s="2">
        <v>0</v>
      </c>
      <c r="E2202" s="2">
        <v>5755.21</v>
      </c>
      <c r="F2202" t="s">
        <v>14</v>
      </c>
      <c r="G2202" t="s">
        <v>15</v>
      </c>
    </row>
    <row r="2203" spans="1:7" x14ac:dyDescent="0.35">
      <c r="A2203">
        <v>866</v>
      </c>
      <c r="B2203" s="1">
        <v>45475</v>
      </c>
      <c r="C2203" t="s">
        <v>12</v>
      </c>
      <c r="D2203" s="2">
        <v>0</v>
      </c>
      <c r="E2203" s="2">
        <v>431.65</v>
      </c>
      <c r="F2203" t="s">
        <v>16</v>
      </c>
      <c r="G2203" t="s">
        <v>17</v>
      </c>
    </row>
    <row r="2204" spans="1:7" x14ac:dyDescent="0.35">
      <c r="A2204">
        <v>867</v>
      </c>
      <c r="B2204" s="1">
        <v>45475</v>
      </c>
      <c r="C2204" t="s">
        <v>12</v>
      </c>
      <c r="D2204" s="2">
        <v>2247.98</v>
      </c>
      <c r="E2204" s="2">
        <v>0</v>
      </c>
      <c r="F2204" t="s">
        <v>13</v>
      </c>
      <c r="G2204" t="s">
        <v>9</v>
      </c>
    </row>
    <row r="2205" spans="1:7" x14ac:dyDescent="0.35">
      <c r="A2205">
        <v>867</v>
      </c>
      <c r="B2205" s="1">
        <v>45475</v>
      </c>
      <c r="C2205" t="s">
        <v>12</v>
      </c>
      <c r="D2205" s="2">
        <v>0</v>
      </c>
      <c r="E2205" s="2">
        <v>2091.14</v>
      </c>
      <c r="F2205" t="s">
        <v>14</v>
      </c>
      <c r="G2205" t="s">
        <v>15</v>
      </c>
    </row>
    <row r="2206" spans="1:7" x14ac:dyDescent="0.35">
      <c r="A2206">
        <v>867</v>
      </c>
      <c r="B2206" s="1">
        <v>45475</v>
      </c>
      <c r="C2206" t="s">
        <v>12</v>
      </c>
      <c r="D2206" s="2">
        <v>0</v>
      </c>
      <c r="E2206" s="2">
        <v>156.84</v>
      </c>
      <c r="F2206" t="s">
        <v>16</v>
      </c>
      <c r="G2206" t="s">
        <v>17</v>
      </c>
    </row>
    <row r="2207" spans="1:7" x14ac:dyDescent="0.35">
      <c r="A2207">
        <v>868</v>
      </c>
      <c r="B2207" s="1">
        <v>45475</v>
      </c>
      <c r="C2207" t="s">
        <v>24</v>
      </c>
      <c r="D2207" s="2">
        <v>2099.33</v>
      </c>
      <c r="E2207" s="2">
        <v>0</v>
      </c>
      <c r="F2207" t="s">
        <v>8</v>
      </c>
      <c r="G2207" t="s">
        <v>9</v>
      </c>
    </row>
    <row r="2208" spans="1:7" x14ac:dyDescent="0.35">
      <c r="A2208">
        <v>868</v>
      </c>
      <c r="B2208" s="1">
        <v>45475</v>
      </c>
      <c r="C2208" t="s">
        <v>24</v>
      </c>
      <c r="D2208" s="2">
        <v>0</v>
      </c>
      <c r="E2208" s="2">
        <v>2099.33</v>
      </c>
      <c r="F2208" t="s">
        <v>13</v>
      </c>
      <c r="G2208" t="s">
        <v>9</v>
      </c>
    </row>
    <row r="2209" spans="1:7" x14ac:dyDescent="0.35">
      <c r="A2209">
        <v>869</v>
      </c>
      <c r="B2209" s="1">
        <v>45475</v>
      </c>
      <c r="C2209" t="s">
        <v>24</v>
      </c>
      <c r="D2209" s="2">
        <v>1390.91</v>
      </c>
      <c r="E2209" s="2">
        <v>0</v>
      </c>
      <c r="F2209" t="s">
        <v>8</v>
      </c>
      <c r="G2209" t="s">
        <v>9</v>
      </c>
    </row>
    <row r="2210" spans="1:7" x14ac:dyDescent="0.35">
      <c r="A2210">
        <v>869</v>
      </c>
      <c r="B2210" s="1">
        <v>45475</v>
      </c>
      <c r="C2210" t="s">
        <v>24</v>
      </c>
      <c r="D2210" s="2">
        <v>0</v>
      </c>
      <c r="E2210" s="2">
        <v>1390.91</v>
      </c>
      <c r="F2210" t="s">
        <v>13</v>
      </c>
      <c r="G2210" t="s">
        <v>9</v>
      </c>
    </row>
    <row r="2211" spans="1:7" x14ac:dyDescent="0.35">
      <c r="A2211">
        <v>870</v>
      </c>
      <c r="B2211" s="1">
        <v>45475</v>
      </c>
      <c r="C2211" t="s">
        <v>24</v>
      </c>
      <c r="D2211" s="2">
        <v>3054</v>
      </c>
      <c r="E2211" s="2">
        <v>0</v>
      </c>
      <c r="F2211" t="s">
        <v>8</v>
      </c>
      <c r="G2211" t="s">
        <v>9</v>
      </c>
    </row>
    <row r="2212" spans="1:7" x14ac:dyDescent="0.35">
      <c r="A2212">
        <v>870</v>
      </c>
      <c r="B2212" s="1">
        <v>45475</v>
      </c>
      <c r="C2212" t="s">
        <v>24</v>
      </c>
      <c r="D2212" s="2">
        <v>0</v>
      </c>
      <c r="E2212" s="2">
        <v>3054</v>
      </c>
      <c r="F2212" t="s">
        <v>13</v>
      </c>
      <c r="G2212" t="s">
        <v>9</v>
      </c>
    </row>
    <row r="2213" spans="1:7" x14ac:dyDescent="0.35">
      <c r="A2213">
        <v>871</v>
      </c>
      <c r="B2213" s="1">
        <v>45475</v>
      </c>
      <c r="C2213" t="s">
        <v>24</v>
      </c>
      <c r="D2213" s="2">
        <v>1319.18</v>
      </c>
      <c r="E2213" s="2">
        <v>0</v>
      </c>
      <c r="F2213" t="s">
        <v>8</v>
      </c>
      <c r="G2213" t="s">
        <v>9</v>
      </c>
    </row>
    <row r="2214" spans="1:7" x14ac:dyDescent="0.35">
      <c r="A2214">
        <v>871</v>
      </c>
      <c r="B2214" s="1">
        <v>45475</v>
      </c>
      <c r="C2214" t="s">
        <v>24</v>
      </c>
      <c r="D2214" s="2">
        <v>0</v>
      </c>
      <c r="E2214" s="2">
        <v>1319.18</v>
      </c>
      <c r="F2214" t="s">
        <v>13</v>
      </c>
      <c r="G2214" t="s">
        <v>9</v>
      </c>
    </row>
    <row r="2215" spans="1:7" x14ac:dyDescent="0.35">
      <c r="A2215">
        <v>872</v>
      </c>
      <c r="B2215" s="1">
        <v>45475</v>
      </c>
      <c r="C2215" t="s">
        <v>29</v>
      </c>
      <c r="D2215" s="2">
        <v>179.01</v>
      </c>
      <c r="E2215" s="2">
        <v>0</v>
      </c>
      <c r="F2215" t="s">
        <v>28</v>
      </c>
      <c r="G2215" t="s">
        <v>17</v>
      </c>
    </row>
    <row r="2216" spans="1:7" x14ac:dyDescent="0.35">
      <c r="A2216">
        <v>872</v>
      </c>
      <c r="B2216" s="1">
        <v>45475</v>
      </c>
      <c r="C2216" t="s">
        <v>29</v>
      </c>
      <c r="D2216" s="2">
        <v>0</v>
      </c>
      <c r="E2216" s="2">
        <v>179.01</v>
      </c>
      <c r="F2216" t="s">
        <v>8</v>
      </c>
      <c r="G2216" t="s">
        <v>9</v>
      </c>
    </row>
    <row r="2217" spans="1:7" x14ac:dyDescent="0.35">
      <c r="A2217">
        <v>873</v>
      </c>
      <c r="B2217" s="1">
        <v>45475</v>
      </c>
      <c r="C2217" t="s">
        <v>29</v>
      </c>
      <c r="D2217" s="2">
        <v>1935.04</v>
      </c>
      <c r="E2217" s="2">
        <v>0</v>
      </c>
      <c r="F2217" t="s">
        <v>28</v>
      </c>
      <c r="G2217" t="s">
        <v>17</v>
      </c>
    </row>
    <row r="2218" spans="1:7" x14ac:dyDescent="0.35">
      <c r="A2218">
        <v>873</v>
      </c>
      <c r="B2218" s="1">
        <v>45475</v>
      </c>
      <c r="C2218" t="s">
        <v>29</v>
      </c>
      <c r="D2218" s="2">
        <v>0</v>
      </c>
      <c r="E2218" s="2">
        <v>1935.04</v>
      </c>
      <c r="F2218" t="s">
        <v>8</v>
      </c>
      <c r="G2218" t="s">
        <v>9</v>
      </c>
    </row>
    <row r="2219" spans="1:7" x14ac:dyDescent="0.35">
      <c r="A2219">
        <v>874</v>
      </c>
      <c r="B2219" s="1">
        <v>45476</v>
      </c>
      <c r="C2219" t="s">
        <v>12</v>
      </c>
      <c r="D2219" s="2">
        <v>2572.9499999999998</v>
      </c>
      <c r="E2219" s="2">
        <v>0</v>
      </c>
      <c r="F2219" t="s">
        <v>13</v>
      </c>
      <c r="G2219" t="s">
        <v>9</v>
      </c>
    </row>
    <row r="2220" spans="1:7" x14ac:dyDescent="0.35">
      <c r="A2220">
        <v>874</v>
      </c>
      <c r="B2220" s="1">
        <v>45476</v>
      </c>
      <c r="C2220" t="s">
        <v>12</v>
      </c>
      <c r="D2220" s="2">
        <v>0</v>
      </c>
      <c r="E2220" s="2">
        <v>2393.44</v>
      </c>
      <c r="F2220" t="s">
        <v>14</v>
      </c>
      <c r="G2220" t="s">
        <v>15</v>
      </c>
    </row>
    <row r="2221" spans="1:7" x14ac:dyDescent="0.35">
      <c r="A2221">
        <v>874</v>
      </c>
      <c r="B2221" s="1">
        <v>45476</v>
      </c>
      <c r="C2221" t="s">
        <v>12</v>
      </c>
      <c r="D2221" s="2">
        <v>0</v>
      </c>
      <c r="E2221" s="2">
        <v>179.51</v>
      </c>
      <c r="F2221" t="s">
        <v>16</v>
      </c>
      <c r="G2221" t="s">
        <v>17</v>
      </c>
    </row>
    <row r="2222" spans="1:7" x14ac:dyDescent="0.35">
      <c r="A2222">
        <v>875</v>
      </c>
      <c r="B2222" s="1">
        <v>45476</v>
      </c>
      <c r="C2222" t="s">
        <v>12</v>
      </c>
      <c r="D2222" s="2">
        <v>2782.68</v>
      </c>
      <c r="E2222" s="2">
        <v>0</v>
      </c>
      <c r="F2222" t="s">
        <v>13</v>
      </c>
      <c r="G2222" t="s">
        <v>9</v>
      </c>
    </row>
    <row r="2223" spans="1:7" x14ac:dyDescent="0.35">
      <c r="A2223">
        <v>875</v>
      </c>
      <c r="B2223" s="1">
        <v>45476</v>
      </c>
      <c r="C2223" t="s">
        <v>12</v>
      </c>
      <c r="D2223" s="2">
        <v>0</v>
      </c>
      <c r="E2223" s="2">
        <v>2588.54</v>
      </c>
      <c r="F2223" t="s">
        <v>14</v>
      </c>
      <c r="G2223" t="s">
        <v>15</v>
      </c>
    </row>
    <row r="2224" spans="1:7" x14ac:dyDescent="0.35">
      <c r="A2224">
        <v>875</v>
      </c>
      <c r="B2224" s="1">
        <v>45476</v>
      </c>
      <c r="C2224" t="s">
        <v>12</v>
      </c>
      <c r="D2224" s="2">
        <v>0</v>
      </c>
      <c r="E2224" s="2">
        <v>194.14</v>
      </c>
      <c r="F2224" t="s">
        <v>16</v>
      </c>
      <c r="G2224" t="s">
        <v>17</v>
      </c>
    </row>
    <row r="2225" spans="1:7" x14ac:dyDescent="0.35">
      <c r="A2225">
        <v>876</v>
      </c>
      <c r="B2225" s="1">
        <v>45476</v>
      </c>
      <c r="C2225" t="s">
        <v>12</v>
      </c>
      <c r="D2225" s="2">
        <v>760</v>
      </c>
      <c r="E2225" s="2">
        <v>0</v>
      </c>
      <c r="F2225" t="s">
        <v>13</v>
      </c>
      <c r="G2225" t="s">
        <v>9</v>
      </c>
    </row>
    <row r="2226" spans="1:7" x14ac:dyDescent="0.35">
      <c r="A2226">
        <v>876</v>
      </c>
      <c r="B2226" s="1">
        <v>45476</v>
      </c>
      <c r="C2226" t="s">
        <v>12</v>
      </c>
      <c r="D2226" s="2">
        <v>0</v>
      </c>
      <c r="E2226" s="2">
        <v>706.98</v>
      </c>
      <c r="F2226" t="s">
        <v>14</v>
      </c>
      <c r="G2226" t="s">
        <v>15</v>
      </c>
    </row>
    <row r="2227" spans="1:7" x14ac:dyDescent="0.35">
      <c r="A2227">
        <v>876</v>
      </c>
      <c r="B2227" s="1">
        <v>45476</v>
      </c>
      <c r="C2227" t="s">
        <v>12</v>
      </c>
      <c r="D2227" s="2">
        <v>0</v>
      </c>
      <c r="E2227" s="2">
        <v>53.02</v>
      </c>
      <c r="F2227" t="s">
        <v>16</v>
      </c>
      <c r="G2227" t="s">
        <v>17</v>
      </c>
    </row>
    <row r="2228" spans="1:7" x14ac:dyDescent="0.35">
      <c r="A2228">
        <v>877</v>
      </c>
      <c r="B2228" s="1">
        <v>45476</v>
      </c>
      <c r="C2228" t="s">
        <v>24</v>
      </c>
      <c r="D2228" s="2">
        <v>2075.19</v>
      </c>
      <c r="E2228" s="2">
        <v>0</v>
      </c>
      <c r="F2228" t="s">
        <v>8</v>
      </c>
      <c r="G2228" t="s">
        <v>9</v>
      </c>
    </row>
    <row r="2229" spans="1:7" x14ac:dyDescent="0.35">
      <c r="A2229">
        <v>877</v>
      </c>
      <c r="B2229" s="1">
        <v>45476</v>
      </c>
      <c r="C2229" t="s">
        <v>24</v>
      </c>
      <c r="D2229" s="2">
        <v>0</v>
      </c>
      <c r="E2229" s="2">
        <v>2075.19</v>
      </c>
      <c r="F2229" t="s">
        <v>13</v>
      </c>
      <c r="G2229" t="s">
        <v>9</v>
      </c>
    </row>
    <row r="2230" spans="1:7" x14ac:dyDescent="0.35">
      <c r="A2230">
        <v>878</v>
      </c>
      <c r="B2230" s="1">
        <v>45476</v>
      </c>
      <c r="C2230" t="s">
        <v>24</v>
      </c>
      <c r="D2230" s="2">
        <v>2284.67</v>
      </c>
      <c r="E2230" s="2">
        <v>0</v>
      </c>
      <c r="F2230" t="s">
        <v>8</v>
      </c>
      <c r="G2230" t="s">
        <v>9</v>
      </c>
    </row>
    <row r="2231" spans="1:7" x14ac:dyDescent="0.35">
      <c r="A2231">
        <v>878</v>
      </c>
      <c r="B2231" s="1">
        <v>45476</v>
      </c>
      <c r="C2231" t="s">
        <v>24</v>
      </c>
      <c r="D2231" s="2">
        <v>0</v>
      </c>
      <c r="E2231" s="2">
        <v>2284.67</v>
      </c>
      <c r="F2231" t="s">
        <v>13</v>
      </c>
      <c r="G2231" t="s">
        <v>9</v>
      </c>
    </row>
    <row r="2232" spans="1:7" x14ac:dyDescent="0.35">
      <c r="A2232">
        <v>879</v>
      </c>
      <c r="B2232" s="1">
        <v>45476</v>
      </c>
      <c r="C2232" t="s">
        <v>24</v>
      </c>
      <c r="D2232" s="2">
        <v>3784.16</v>
      </c>
      <c r="E2232" s="2">
        <v>0</v>
      </c>
      <c r="F2232" t="s">
        <v>8</v>
      </c>
      <c r="G2232" t="s">
        <v>9</v>
      </c>
    </row>
    <row r="2233" spans="1:7" x14ac:dyDescent="0.35">
      <c r="A2233">
        <v>879</v>
      </c>
      <c r="B2233" s="1">
        <v>45476</v>
      </c>
      <c r="C2233" t="s">
        <v>24</v>
      </c>
      <c r="D2233" s="2">
        <v>0</v>
      </c>
      <c r="E2233" s="2">
        <v>3784.16</v>
      </c>
      <c r="F2233" t="s">
        <v>13</v>
      </c>
      <c r="G2233" t="s">
        <v>9</v>
      </c>
    </row>
    <row r="2234" spans="1:7" x14ac:dyDescent="0.35">
      <c r="A2234">
        <v>880</v>
      </c>
      <c r="B2234" s="1">
        <v>45476</v>
      </c>
      <c r="C2234" t="s">
        <v>29</v>
      </c>
      <c r="D2234" s="2">
        <v>7227.44</v>
      </c>
      <c r="E2234" s="2">
        <v>0</v>
      </c>
      <c r="F2234" t="s">
        <v>28</v>
      </c>
      <c r="G2234" t="s">
        <v>17</v>
      </c>
    </row>
    <row r="2235" spans="1:7" x14ac:dyDescent="0.35">
      <c r="A2235">
        <v>880</v>
      </c>
      <c r="B2235" s="1">
        <v>45476</v>
      </c>
      <c r="C2235" t="s">
        <v>29</v>
      </c>
      <c r="D2235" s="2">
        <v>0</v>
      </c>
      <c r="E2235" s="2">
        <v>7227.44</v>
      </c>
      <c r="F2235" t="s">
        <v>8</v>
      </c>
      <c r="G2235" t="s">
        <v>9</v>
      </c>
    </row>
    <row r="2236" spans="1:7" x14ac:dyDescent="0.35">
      <c r="A2236">
        <v>881</v>
      </c>
      <c r="B2236" s="1">
        <v>45476</v>
      </c>
      <c r="C2236" t="s">
        <v>29</v>
      </c>
      <c r="D2236" s="2">
        <v>1304.6199999999999</v>
      </c>
      <c r="E2236" s="2">
        <v>0</v>
      </c>
      <c r="F2236" t="s">
        <v>28</v>
      </c>
      <c r="G2236" t="s">
        <v>17</v>
      </c>
    </row>
    <row r="2237" spans="1:7" x14ac:dyDescent="0.35">
      <c r="A2237">
        <v>881</v>
      </c>
      <c r="B2237" s="1">
        <v>45476</v>
      </c>
      <c r="C2237" t="s">
        <v>29</v>
      </c>
      <c r="D2237" s="2">
        <v>0</v>
      </c>
      <c r="E2237" s="2">
        <v>1304.6199999999999</v>
      </c>
      <c r="F2237" t="s">
        <v>8</v>
      </c>
      <c r="G2237" t="s">
        <v>9</v>
      </c>
    </row>
    <row r="2238" spans="1:7" x14ac:dyDescent="0.35">
      <c r="A2238">
        <v>882</v>
      </c>
      <c r="B2238" s="1">
        <v>45476</v>
      </c>
      <c r="C2238" t="s">
        <v>29</v>
      </c>
      <c r="D2238" s="2">
        <v>2504.23</v>
      </c>
      <c r="E2238" s="2">
        <v>0</v>
      </c>
      <c r="F2238" t="s">
        <v>28</v>
      </c>
      <c r="G2238" t="s">
        <v>17</v>
      </c>
    </row>
    <row r="2239" spans="1:7" x14ac:dyDescent="0.35">
      <c r="A2239">
        <v>882</v>
      </c>
      <c r="B2239" s="1">
        <v>45476</v>
      </c>
      <c r="C2239" t="s">
        <v>29</v>
      </c>
      <c r="D2239" s="2">
        <v>0</v>
      </c>
      <c r="E2239" s="2">
        <v>2504.23</v>
      </c>
      <c r="F2239" t="s">
        <v>8</v>
      </c>
      <c r="G2239" t="s">
        <v>9</v>
      </c>
    </row>
    <row r="2240" spans="1:7" x14ac:dyDescent="0.35">
      <c r="A2240">
        <v>883</v>
      </c>
      <c r="B2240" s="1">
        <v>45477</v>
      </c>
      <c r="C2240" t="s">
        <v>18</v>
      </c>
      <c r="D2240" s="2">
        <v>22037.74</v>
      </c>
      <c r="E2240" s="2">
        <v>0</v>
      </c>
      <c r="F2240" t="s">
        <v>19</v>
      </c>
      <c r="G2240" t="s">
        <v>20</v>
      </c>
    </row>
    <row r="2241" spans="1:7" x14ac:dyDescent="0.35">
      <c r="A2241">
        <v>883</v>
      </c>
      <c r="B2241" s="1">
        <v>45477</v>
      </c>
      <c r="C2241" t="s">
        <v>18</v>
      </c>
      <c r="D2241" s="2">
        <v>881.51</v>
      </c>
      <c r="E2241" s="2">
        <v>0</v>
      </c>
      <c r="F2241" t="s">
        <v>21</v>
      </c>
      <c r="G2241" t="s">
        <v>20</v>
      </c>
    </row>
    <row r="2242" spans="1:7" x14ac:dyDescent="0.35">
      <c r="A2242">
        <v>883</v>
      </c>
      <c r="B2242" s="1">
        <v>45477</v>
      </c>
      <c r="C2242" t="s">
        <v>18</v>
      </c>
      <c r="D2242" s="2">
        <v>0</v>
      </c>
      <c r="E2242" s="2">
        <v>17968.47</v>
      </c>
      <c r="F2242" t="s">
        <v>8</v>
      </c>
      <c r="G2242" t="s">
        <v>9</v>
      </c>
    </row>
    <row r="2243" spans="1:7" x14ac:dyDescent="0.35">
      <c r="A2243">
        <v>883</v>
      </c>
      <c r="B2243" s="1">
        <v>45477</v>
      </c>
      <c r="C2243" t="s">
        <v>18</v>
      </c>
      <c r="D2243" s="2">
        <v>0</v>
      </c>
      <c r="E2243" s="2">
        <v>4069.27</v>
      </c>
      <c r="F2243" t="s">
        <v>22</v>
      </c>
      <c r="G2243" t="s">
        <v>17</v>
      </c>
    </row>
    <row r="2244" spans="1:7" x14ac:dyDescent="0.35">
      <c r="A2244">
        <v>883</v>
      </c>
      <c r="B2244" s="1">
        <v>45477</v>
      </c>
      <c r="C2244" t="s">
        <v>18</v>
      </c>
      <c r="D2244" s="2">
        <v>0</v>
      </c>
      <c r="E2244" s="2">
        <v>881.51</v>
      </c>
      <c r="F2244" t="s">
        <v>23</v>
      </c>
      <c r="G2244" t="s">
        <v>17</v>
      </c>
    </row>
    <row r="2245" spans="1:7" x14ac:dyDescent="0.35">
      <c r="A2245">
        <v>884</v>
      </c>
      <c r="B2245" s="1">
        <v>45478</v>
      </c>
      <c r="C2245" t="s">
        <v>12</v>
      </c>
      <c r="D2245" s="2">
        <v>2511.86</v>
      </c>
      <c r="E2245" s="2">
        <v>0</v>
      </c>
      <c r="F2245" t="s">
        <v>13</v>
      </c>
      <c r="G2245" t="s">
        <v>9</v>
      </c>
    </row>
    <row r="2246" spans="1:7" x14ac:dyDescent="0.35">
      <c r="A2246">
        <v>884</v>
      </c>
      <c r="B2246" s="1">
        <v>45478</v>
      </c>
      <c r="C2246" t="s">
        <v>12</v>
      </c>
      <c r="D2246" s="2">
        <v>0</v>
      </c>
      <c r="E2246" s="2">
        <v>2336.61</v>
      </c>
      <c r="F2246" t="s">
        <v>14</v>
      </c>
      <c r="G2246" t="s">
        <v>15</v>
      </c>
    </row>
    <row r="2247" spans="1:7" x14ac:dyDescent="0.35">
      <c r="A2247">
        <v>884</v>
      </c>
      <c r="B2247" s="1">
        <v>45478</v>
      </c>
      <c r="C2247" t="s">
        <v>12</v>
      </c>
      <c r="D2247" s="2">
        <v>0</v>
      </c>
      <c r="E2247" s="2">
        <v>175.25</v>
      </c>
      <c r="F2247" t="s">
        <v>16</v>
      </c>
      <c r="G2247" t="s">
        <v>17</v>
      </c>
    </row>
    <row r="2248" spans="1:7" x14ac:dyDescent="0.35">
      <c r="A2248">
        <v>885</v>
      </c>
      <c r="B2248" s="1">
        <v>45478</v>
      </c>
      <c r="C2248" t="s">
        <v>12</v>
      </c>
      <c r="D2248" s="2">
        <v>2515.3200000000002</v>
      </c>
      <c r="E2248" s="2">
        <v>0</v>
      </c>
      <c r="F2248" t="s">
        <v>13</v>
      </c>
      <c r="G2248" t="s">
        <v>9</v>
      </c>
    </row>
    <row r="2249" spans="1:7" x14ac:dyDescent="0.35">
      <c r="A2249">
        <v>885</v>
      </c>
      <c r="B2249" s="1">
        <v>45478</v>
      </c>
      <c r="C2249" t="s">
        <v>12</v>
      </c>
      <c r="D2249" s="2">
        <v>0</v>
      </c>
      <c r="E2249" s="2">
        <v>2339.83</v>
      </c>
      <c r="F2249" t="s">
        <v>14</v>
      </c>
      <c r="G2249" t="s">
        <v>15</v>
      </c>
    </row>
    <row r="2250" spans="1:7" x14ac:dyDescent="0.35">
      <c r="A2250">
        <v>885</v>
      </c>
      <c r="B2250" s="1">
        <v>45478</v>
      </c>
      <c r="C2250" t="s">
        <v>12</v>
      </c>
      <c r="D2250" s="2">
        <v>0</v>
      </c>
      <c r="E2250" s="2">
        <v>175.49</v>
      </c>
      <c r="F2250" t="s">
        <v>16</v>
      </c>
      <c r="G2250" t="s">
        <v>17</v>
      </c>
    </row>
    <row r="2251" spans="1:7" x14ac:dyDescent="0.35">
      <c r="A2251">
        <v>886</v>
      </c>
      <c r="B2251" s="1">
        <v>45478</v>
      </c>
      <c r="C2251" t="s">
        <v>24</v>
      </c>
      <c r="D2251" s="2">
        <v>976.95</v>
      </c>
      <c r="E2251" s="2">
        <v>0</v>
      </c>
      <c r="F2251" t="s">
        <v>8</v>
      </c>
      <c r="G2251" t="s">
        <v>9</v>
      </c>
    </row>
    <row r="2252" spans="1:7" x14ac:dyDescent="0.35">
      <c r="A2252">
        <v>886</v>
      </c>
      <c r="B2252" s="1">
        <v>45478</v>
      </c>
      <c r="C2252" t="s">
        <v>24</v>
      </c>
      <c r="D2252" s="2">
        <v>0</v>
      </c>
      <c r="E2252" s="2">
        <v>976.95</v>
      </c>
      <c r="F2252" t="s">
        <v>13</v>
      </c>
      <c r="G2252" t="s">
        <v>9</v>
      </c>
    </row>
    <row r="2253" spans="1:7" x14ac:dyDescent="0.35">
      <c r="A2253">
        <v>887</v>
      </c>
      <c r="B2253" s="1">
        <v>45478</v>
      </c>
      <c r="C2253" t="s">
        <v>24</v>
      </c>
      <c r="D2253" s="2">
        <v>108.02</v>
      </c>
      <c r="E2253" s="2">
        <v>0</v>
      </c>
      <c r="F2253" t="s">
        <v>8</v>
      </c>
      <c r="G2253" t="s">
        <v>9</v>
      </c>
    </row>
    <row r="2254" spans="1:7" x14ac:dyDescent="0.35">
      <c r="A2254">
        <v>887</v>
      </c>
      <c r="B2254" s="1">
        <v>45478</v>
      </c>
      <c r="C2254" t="s">
        <v>24</v>
      </c>
      <c r="D2254" s="2">
        <v>0</v>
      </c>
      <c r="E2254" s="2">
        <v>108.02</v>
      </c>
      <c r="F2254" t="s">
        <v>13</v>
      </c>
      <c r="G2254" t="s">
        <v>9</v>
      </c>
    </row>
    <row r="2255" spans="1:7" x14ac:dyDescent="0.35">
      <c r="A2255">
        <v>888</v>
      </c>
      <c r="B2255" s="1">
        <v>45478</v>
      </c>
      <c r="C2255" t="s">
        <v>25</v>
      </c>
      <c r="D2255" s="2">
        <v>2451.5</v>
      </c>
      <c r="E2255" s="2">
        <v>0</v>
      </c>
      <c r="F2255" t="s">
        <v>26</v>
      </c>
      <c r="G2255" t="s">
        <v>20</v>
      </c>
    </row>
    <row r="2256" spans="1:7" x14ac:dyDescent="0.35">
      <c r="A2256">
        <v>888</v>
      </c>
      <c r="B2256" s="1">
        <v>45478</v>
      </c>
      <c r="C2256" t="s">
        <v>25</v>
      </c>
      <c r="D2256" s="2">
        <v>183.86</v>
      </c>
      <c r="E2256" s="2">
        <v>0</v>
      </c>
      <c r="F2256" t="s">
        <v>27</v>
      </c>
      <c r="G2256" t="s">
        <v>9</v>
      </c>
    </row>
    <row r="2257" spans="1:7" x14ac:dyDescent="0.35">
      <c r="A2257">
        <v>888</v>
      </c>
      <c r="B2257" s="1">
        <v>45478</v>
      </c>
      <c r="C2257" t="s">
        <v>25</v>
      </c>
      <c r="D2257" s="2">
        <v>0</v>
      </c>
      <c r="E2257" s="2">
        <v>2635.36</v>
      </c>
      <c r="F2257" t="s">
        <v>28</v>
      </c>
      <c r="G2257" t="s">
        <v>17</v>
      </c>
    </row>
    <row r="2258" spans="1:7" x14ac:dyDescent="0.35">
      <c r="A2258">
        <v>889</v>
      </c>
      <c r="B2258" s="1">
        <v>45478</v>
      </c>
      <c r="C2258" t="s">
        <v>25</v>
      </c>
      <c r="D2258" s="2">
        <v>1078.92</v>
      </c>
      <c r="E2258" s="2">
        <v>0</v>
      </c>
      <c r="F2258" t="s">
        <v>26</v>
      </c>
      <c r="G2258" t="s">
        <v>20</v>
      </c>
    </row>
    <row r="2259" spans="1:7" x14ac:dyDescent="0.35">
      <c r="A2259">
        <v>889</v>
      </c>
      <c r="B2259" s="1">
        <v>45478</v>
      </c>
      <c r="C2259" t="s">
        <v>25</v>
      </c>
      <c r="D2259" s="2">
        <v>80.92</v>
      </c>
      <c r="E2259" s="2">
        <v>0</v>
      </c>
      <c r="F2259" t="s">
        <v>27</v>
      </c>
      <c r="G2259" t="s">
        <v>9</v>
      </c>
    </row>
    <row r="2260" spans="1:7" x14ac:dyDescent="0.35">
      <c r="A2260">
        <v>889</v>
      </c>
      <c r="B2260" s="1">
        <v>45478</v>
      </c>
      <c r="C2260" t="s">
        <v>25</v>
      </c>
      <c r="D2260" s="2">
        <v>0</v>
      </c>
      <c r="E2260" s="2">
        <v>1159.8399999999999</v>
      </c>
      <c r="F2260" t="s">
        <v>28</v>
      </c>
      <c r="G2260" t="s">
        <v>17</v>
      </c>
    </row>
    <row r="2261" spans="1:7" x14ac:dyDescent="0.35">
      <c r="A2261">
        <v>890</v>
      </c>
      <c r="B2261" s="1">
        <v>45478</v>
      </c>
      <c r="C2261" t="s">
        <v>29</v>
      </c>
      <c r="D2261" s="2">
        <v>2635.36</v>
      </c>
      <c r="E2261" s="2">
        <v>0</v>
      </c>
      <c r="F2261" t="s">
        <v>28</v>
      </c>
      <c r="G2261" t="s">
        <v>17</v>
      </c>
    </row>
    <row r="2262" spans="1:7" x14ac:dyDescent="0.35">
      <c r="A2262">
        <v>890</v>
      </c>
      <c r="B2262" s="1">
        <v>45478</v>
      </c>
      <c r="C2262" t="s">
        <v>29</v>
      </c>
      <c r="D2262" s="2">
        <v>0</v>
      </c>
      <c r="E2262" s="2">
        <v>2635.36</v>
      </c>
      <c r="F2262" t="s">
        <v>8</v>
      </c>
      <c r="G2262" t="s">
        <v>9</v>
      </c>
    </row>
    <row r="2263" spans="1:7" x14ac:dyDescent="0.35">
      <c r="A2263">
        <v>891</v>
      </c>
      <c r="B2263" s="1">
        <v>45481</v>
      </c>
      <c r="C2263" t="s">
        <v>12</v>
      </c>
      <c r="D2263" s="2">
        <v>6935.79</v>
      </c>
      <c r="E2263" s="2">
        <v>0</v>
      </c>
      <c r="F2263" t="s">
        <v>13</v>
      </c>
      <c r="G2263" t="s">
        <v>9</v>
      </c>
    </row>
    <row r="2264" spans="1:7" x14ac:dyDescent="0.35">
      <c r="A2264">
        <v>891</v>
      </c>
      <c r="B2264" s="1">
        <v>45481</v>
      </c>
      <c r="C2264" t="s">
        <v>12</v>
      </c>
      <c r="D2264" s="2">
        <v>0</v>
      </c>
      <c r="E2264" s="2">
        <v>6451.89</v>
      </c>
      <c r="F2264" t="s">
        <v>14</v>
      </c>
      <c r="G2264" t="s">
        <v>15</v>
      </c>
    </row>
    <row r="2265" spans="1:7" x14ac:dyDescent="0.35">
      <c r="A2265">
        <v>891</v>
      </c>
      <c r="B2265" s="1">
        <v>45481</v>
      </c>
      <c r="C2265" t="s">
        <v>12</v>
      </c>
      <c r="D2265" s="2">
        <v>0</v>
      </c>
      <c r="E2265" s="2">
        <v>483.9</v>
      </c>
      <c r="F2265" t="s">
        <v>16</v>
      </c>
      <c r="G2265" t="s">
        <v>17</v>
      </c>
    </row>
    <row r="2266" spans="1:7" x14ac:dyDescent="0.35">
      <c r="A2266">
        <v>892</v>
      </c>
      <c r="B2266" s="1">
        <v>45481</v>
      </c>
      <c r="C2266" t="s">
        <v>12</v>
      </c>
      <c r="D2266" s="2">
        <v>2795.89</v>
      </c>
      <c r="E2266" s="2">
        <v>0</v>
      </c>
      <c r="F2266" t="s">
        <v>13</v>
      </c>
      <c r="G2266" t="s">
        <v>9</v>
      </c>
    </row>
    <row r="2267" spans="1:7" x14ac:dyDescent="0.35">
      <c r="A2267">
        <v>892</v>
      </c>
      <c r="B2267" s="1">
        <v>45481</v>
      </c>
      <c r="C2267" t="s">
        <v>12</v>
      </c>
      <c r="D2267" s="2">
        <v>0</v>
      </c>
      <c r="E2267" s="2">
        <v>2600.83</v>
      </c>
      <c r="F2267" t="s">
        <v>14</v>
      </c>
      <c r="G2267" t="s">
        <v>15</v>
      </c>
    </row>
    <row r="2268" spans="1:7" x14ac:dyDescent="0.35">
      <c r="A2268">
        <v>892</v>
      </c>
      <c r="B2268" s="1">
        <v>45481</v>
      </c>
      <c r="C2268" t="s">
        <v>12</v>
      </c>
      <c r="D2268" s="2">
        <v>0</v>
      </c>
      <c r="E2268" s="2">
        <v>195.06</v>
      </c>
      <c r="F2268" t="s">
        <v>16</v>
      </c>
      <c r="G2268" t="s">
        <v>17</v>
      </c>
    </row>
    <row r="2269" spans="1:7" x14ac:dyDescent="0.35">
      <c r="A2269">
        <v>893</v>
      </c>
      <c r="B2269" s="1">
        <v>45481</v>
      </c>
      <c r="C2269" t="s">
        <v>24</v>
      </c>
      <c r="D2269" s="2">
        <v>1818.21</v>
      </c>
      <c r="E2269" s="2">
        <v>0</v>
      </c>
      <c r="F2269" t="s">
        <v>8</v>
      </c>
      <c r="G2269" t="s">
        <v>9</v>
      </c>
    </row>
    <row r="2270" spans="1:7" x14ac:dyDescent="0.35">
      <c r="A2270">
        <v>893</v>
      </c>
      <c r="B2270" s="1">
        <v>45481</v>
      </c>
      <c r="C2270" t="s">
        <v>24</v>
      </c>
      <c r="D2270" s="2">
        <v>0</v>
      </c>
      <c r="E2270" s="2">
        <v>1818.21</v>
      </c>
      <c r="F2270" t="s">
        <v>13</v>
      </c>
      <c r="G2270" t="s">
        <v>9</v>
      </c>
    </row>
    <row r="2271" spans="1:7" x14ac:dyDescent="0.35">
      <c r="A2271">
        <v>894</v>
      </c>
      <c r="B2271" s="1">
        <v>45481</v>
      </c>
      <c r="C2271" t="s">
        <v>24</v>
      </c>
      <c r="D2271" s="2">
        <v>2522.35</v>
      </c>
      <c r="E2271" s="2">
        <v>0</v>
      </c>
      <c r="F2271" t="s">
        <v>8</v>
      </c>
      <c r="G2271" t="s">
        <v>9</v>
      </c>
    </row>
    <row r="2272" spans="1:7" x14ac:dyDescent="0.35">
      <c r="A2272">
        <v>894</v>
      </c>
      <c r="B2272" s="1">
        <v>45481</v>
      </c>
      <c r="C2272" t="s">
        <v>24</v>
      </c>
      <c r="D2272" s="2">
        <v>0</v>
      </c>
      <c r="E2272" s="2">
        <v>2522.35</v>
      </c>
      <c r="F2272" t="s">
        <v>13</v>
      </c>
      <c r="G2272" t="s">
        <v>9</v>
      </c>
    </row>
    <row r="2273" spans="1:7" x14ac:dyDescent="0.35">
      <c r="A2273">
        <v>895</v>
      </c>
      <c r="B2273" s="1">
        <v>45481</v>
      </c>
      <c r="C2273" t="s">
        <v>24</v>
      </c>
      <c r="D2273" s="2">
        <v>2553.54</v>
      </c>
      <c r="E2273" s="2">
        <v>0</v>
      </c>
      <c r="F2273" t="s">
        <v>8</v>
      </c>
      <c r="G2273" t="s">
        <v>9</v>
      </c>
    </row>
    <row r="2274" spans="1:7" x14ac:dyDescent="0.35">
      <c r="A2274">
        <v>895</v>
      </c>
      <c r="B2274" s="1">
        <v>45481</v>
      </c>
      <c r="C2274" t="s">
        <v>24</v>
      </c>
      <c r="D2274" s="2">
        <v>0</v>
      </c>
      <c r="E2274" s="2">
        <v>2553.54</v>
      </c>
      <c r="F2274" t="s">
        <v>13</v>
      </c>
      <c r="G2274" t="s">
        <v>9</v>
      </c>
    </row>
    <row r="2275" spans="1:7" x14ac:dyDescent="0.35">
      <c r="A2275">
        <v>896</v>
      </c>
      <c r="B2275" s="1">
        <v>45481</v>
      </c>
      <c r="C2275" t="s">
        <v>24</v>
      </c>
      <c r="D2275" s="2">
        <v>3896.94</v>
      </c>
      <c r="E2275" s="2">
        <v>0</v>
      </c>
      <c r="F2275" t="s">
        <v>8</v>
      </c>
      <c r="G2275" t="s">
        <v>9</v>
      </c>
    </row>
    <row r="2276" spans="1:7" x14ac:dyDescent="0.35">
      <c r="A2276">
        <v>896</v>
      </c>
      <c r="B2276" s="1">
        <v>45481</v>
      </c>
      <c r="C2276" t="s">
        <v>24</v>
      </c>
      <c r="D2276" s="2">
        <v>0</v>
      </c>
      <c r="E2276" s="2">
        <v>3896.94</v>
      </c>
      <c r="F2276" t="s">
        <v>13</v>
      </c>
      <c r="G2276" t="s">
        <v>9</v>
      </c>
    </row>
    <row r="2277" spans="1:7" x14ac:dyDescent="0.35">
      <c r="A2277">
        <v>897</v>
      </c>
      <c r="B2277" s="1">
        <v>45481</v>
      </c>
      <c r="C2277" t="s">
        <v>25</v>
      </c>
      <c r="D2277" s="2">
        <v>4476.71</v>
      </c>
      <c r="E2277" s="2">
        <v>0</v>
      </c>
      <c r="F2277" t="s">
        <v>26</v>
      </c>
      <c r="G2277" t="s">
        <v>20</v>
      </c>
    </row>
    <row r="2278" spans="1:7" x14ac:dyDescent="0.35">
      <c r="A2278">
        <v>897</v>
      </c>
      <c r="B2278" s="1">
        <v>45481</v>
      </c>
      <c r="C2278" t="s">
        <v>25</v>
      </c>
      <c r="D2278" s="2">
        <v>335.75</v>
      </c>
      <c r="E2278" s="2">
        <v>0</v>
      </c>
      <c r="F2278" t="s">
        <v>27</v>
      </c>
      <c r="G2278" t="s">
        <v>9</v>
      </c>
    </row>
    <row r="2279" spans="1:7" x14ac:dyDescent="0.35">
      <c r="A2279">
        <v>897</v>
      </c>
      <c r="B2279" s="1">
        <v>45481</v>
      </c>
      <c r="C2279" t="s">
        <v>25</v>
      </c>
      <c r="D2279" s="2">
        <v>0</v>
      </c>
      <c r="E2279" s="2">
        <v>4812.46</v>
      </c>
      <c r="F2279" t="s">
        <v>28</v>
      </c>
      <c r="G2279" t="s">
        <v>17</v>
      </c>
    </row>
    <row r="2280" spans="1:7" x14ac:dyDescent="0.35">
      <c r="A2280">
        <v>898</v>
      </c>
      <c r="B2280" s="1">
        <v>45481</v>
      </c>
      <c r="C2280" t="s">
        <v>25</v>
      </c>
      <c r="D2280" s="2">
        <v>3282.76</v>
      </c>
      <c r="E2280" s="2">
        <v>0</v>
      </c>
      <c r="F2280" t="s">
        <v>26</v>
      </c>
      <c r="G2280" t="s">
        <v>20</v>
      </c>
    </row>
    <row r="2281" spans="1:7" x14ac:dyDescent="0.35">
      <c r="A2281">
        <v>898</v>
      </c>
      <c r="B2281" s="1">
        <v>45481</v>
      </c>
      <c r="C2281" t="s">
        <v>25</v>
      </c>
      <c r="D2281" s="2">
        <v>246.21</v>
      </c>
      <c r="E2281" s="2">
        <v>0</v>
      </c>
      <c r="F2281" t="s">
        <v>27</v>
      </c>
      <c r="G2281" t="s">
        <v>9</v>
      </c>
    </row>
    <row r="2282" spans="1:7" x14ac:dyDescent="0.35">
      <c r="A2282">
        <v>898</v>
      </c>
      <c r="B2282" s="1">
        <v>45481</v>
      </c>
      <c r="C2282" t="s">
        <v>25</v>
      </c>
      <c r="D2282" s="2">
        <v>0</v>
      </c>
      <c r="E2282" s="2">
        <v>3528.97</v>
      </c>
      <c r="F2282" t="s">
        <v>28</v>
      </c>
      <c r="G2282" t="s">
        <v>17</v>
      </c>
    </row>
    <row r="2283" spans="1:7" x14ac:dyDescent="0.35">
      <c r="A2283">
        <v>899</v>
      </c>
      <c r="B2283" s="1">
        <v>45481</v>
      </c>
      <c r="C2283" t="s">
        <v>29</v>
      </c>
      <c r="D2283" s="2">
        <v>1958.74</v>
      </c>
      <c r="E2283" s="2">
        <v>0</v>
      </c>
      <c r="F2283" t="s">
        <v>28</v>
      </c>
      <c r="G2283" t="s">
        <v>17</v>
      </c>
    </row>
    <row r="2284" spans="1:7" x14ac:dyDescent="0.35">
      <c r="A2284">
        <v>899</v>
      </c>
      <c r="B2284" s="1">
        <v>45481</v>
      </c>
      <c r="C2284" t="s">
        <v>29</v>
      </c>
      <c r="D2284" s="2">
        <v>0</v>
      </c>
      <c r="E2284" s="2">
        <v>1958.74</v>
      </c>
      <c r="F2284" t="s">
        <v>8</v>
      </c>
      <c r="G2284" t="s">
        <v>9</v>
      </c>
    </row>
    <row r="2285" spans="1:7" x14ac:dyDescent="0.35">
      <c r="A2285">
        <v>900</v>
      </c>
      <c r="B2285" s="1">
        <v>45481</v>
      </c>
      <c r="C2285" t="s">
        <v>29</v>
      </c>
      <c r="D2285" s="2">
        <v>4812.46</v>
      </c>
      <c r="E2285" s="2">
        <v>0</v>
      </c>
      <c r="F2285" t="s">
        <v>28</v>
      </c>
      <c r="G2285" t="s">
        <v>17</v>
      </c>
    </row>
    <row r="2286" spans="1:7" x14ac:dyDescent="0.35">
      <c r="A2286">
        <v>900</v>
      </c>
      <c r="B2286" s="1">
        <v>45481</v>
      </c>
      <c r="C2286" t="s">
        <v>29</v>
      </c>
      <c r="D2286" s="2">
        <v>0</v>
      </c>
      <c r="E2286" s="2">
        <v>4812.46</v>
      </c>
      <c r="F2286" t="s">
        <v>8</v>
      </c>
      <c r="G2286" t="s">
        <v>9</v>
      </c>
    </row>
    <row r="2287" spans="1:7" x14ac:dyDescent="0.35">
      <c r="A2287">
        <v>901</v>
      </c>
      <c r="B2287" s="1">
        <v>45481</v>
      </c>
      <c r="C2287" t="s">
        <v>29</v>
      </c>
      <c r="D2287" s="2">
        <v>2093.2800000000002</v>
      </c>
      <c r="E2287" s="2">
        <v>0</v>
      </c>
      <c r="F2287" t="s">
        <v>28</v>
      </c>
      <c r="G2287" t="s">
        <v>17</v>
      </c>
    </row>
    <row r="2288" spans="1:7" x14ac:dyDescent="0.35">
      <c r="A2288">
        <v>901</v>
      </c>
      <c r="B2288" s="1">
        <v>45481</v>
      </c>
      <c r="C2288" t="s">
        <v>29</v>
      </c>
      <c r="D2288" s="2">
        <v>0</v>
      </c>
      <c r="E2288" s="2">
        <v>2093.2800000000002</v>
      </c>
      <c r="F2288" t="s">
        <v>8</v>
      </c>
      <c r="G2288" t="s">
        <v>9</v>
      </c>
    </row>
    <row r="2289" spans="1:7" x14ac:dyDescent="0.35">
      <c r="A2289">
        <v>902</v>
      </c>
      <c r="B2289" s="1">
        <v>45482</v>
      </c>
      <c r="C2289" t="s">
        <v>12</v>
      </c>
      <c r="D2289" s="2">
        <v>2037.57</v>
      </c>
      <c r="E2289" s="2">
        <v>0</v>
      </c>
      <c r="F2289" t="s">
        <v>13</v>
      </c>
      <c r="G2289" t="s">
        <v>9</v>
      </c>
    </row>
    <row r="2290" spans="1:7" x14ac:dyDescent="0.35">
      <c r="A2290">
        <v>902</v>
      </c>
      <c r="B2290" s="1">
        <v>45482</v>
      </c>
      <c r="C2290" t="s">
        <v>12</v>
      </c>
      <c r="D2290" s="2">
        <v>0</v>
      </c>
      <c r="E2290" s="2">
        <v>1895.41</v>
      </c>
      <c r="F2290" t="s">
        <v>14</v>
      </c>
      <c r="G2290" t="s">
        <v>15</v>
      </c>
    </row>
    <row r="2291" spans="1:7" x14ac:dyDescent="0.35">
      <c r="A2291">
        <v>902</v>
      </c>
      <c r="B2291" s="1">
        <v>45482</v>
      </c>
      <c r="C2291" t="s">
        <v>12</v>
      </c>
      <c r="D2291" s="2">
        <v>0</v>
      </c>
      <c r="E2291" s="2">
        <v>142.16</v>
      </c>
      <c r="F2291" t="s">
        <v>16</v>
      </c>
      <c r="G2291" t="s">
        <v>17</v>
      </c>
    </row>
    <row r="2292" spans="1:7" x14ac:dyDescent="0.35">
      <c r="A2292">
        <v>903</v>
      </c>
      <c r="B2292" s="1">
        <v>45482</v>
      </c>
      <c r="C2292" t="s">
        <v>12</v>
      </c>
      <c r="D2292" s="2">
        <v>3333.56</v>
      </c>
      <c r="E2292" s="2">
        <v>0</v>
      </c>
      <c r="F2292" t="s">
        <v>13</v>
      </c>
      <c r="G2292" t="s">
        <v>9</v>
      </c>
    </row>
    <row r="2293" spans="1:7" x14ac:dyDescent="0.35">
      <c r="A2293">
        <v>903</v>
      </c>
      <c r="B2293" s="1">
        <v>45482</v>
      </c>
      <c r="C2293" t="s">
        <v>12</v>
      </c>
      <c r="D2293" s="2">
        <v>0</v>
      </c>
      <c r="E2293" s="2">
        <v>3100.99</v>
      </c>
      <c r="F2293" t="s">
        <v>14</v>
      </c>
      <c r="G2293" t="s">
        <v>15</v>
      </c>
    </row>
    <row r="2294" spans="1:7" x14ac:dyDescent="0.35">
      <c r="A2294">
        <v>903</v>
      </c>
      <c r="B2294" s="1">
        <v>45482</v>
      </c>
      <c r="C2294" t="s">
        <v>12</v>
      </c>
      <c r="D2294" s="2">
        <v>0</v>
      </c>
      <c r="E2294" s="2">
        <v>232.57</v>
      </c>
      <c r="F2294" t="s">
        <v>16</v>
      </c>
      <c r="G2294" t="s">
        <v>17</v>
      </c>
    </row>
    <row r="2295" spans="1:7" x14ac:dyDescent="0.35">
      <c r="A2295">
        <v>904</v>
      </c>
      <c r="B2295" s="1">
        <v>45482</v>
      </c>
      <c r="C2295" t="s">
        <v>12</v>
      </c>
      <c r="D2295" s="2">
        <v>1225.3800000000001</v>
      </c>
      <c r="E2295" s="2">
        <v>0</v>
      </c>
      <c r="F2295" t="s">
        <v>13</v>
      </c>
      <c r="G2295" t="s">
        <v>9</v>
      </c>
    </row>
    <row r="2296" spans="1:7" x14ac:dyDescent="0.35">
      <c r="A2296">
        <v>904</v>
      </c>
      <c r="B2296" s="1">
        <v>45482</v>
      </c>
      <c r="C2296" t="s">
        <v>12</v>
      </c>
      <c r="D2296" s="2">
        <v>0</v>
      </c>
      <c r="E2296" s="2">
        <v>1139.8900000000001</v>
      </c>
      <c r="F2296" t="s">
        <v>14</v>
      </c>
      <c r="G2296" t="s">
        <v>15</v>
      </c>
    </row>
    <row r="2297" spans="1:7" x14ac:dyDescent="0.35">
      <c r="A2297">
        <v>904</v>
      </c>
      <c r="B2297" s="1">
        <v>45482</v>
      </c>
      <c r="C2297" t="s">
        <v>12</v>
      </c>
      <c r="D2297" s="2">
        <v>0</v>
      </c>
      <c r="E2297" s="2">
        <v>85.49</v>
      </c>
      <c r="F2297" t="s">
        <v>16</v>
      </c>
      <c r="G2297" t="s">
        <v>17</v>
      </c>
    </row>
    <row r="2298" spans="1:7" x14ac:dyDescent="0.35">
      <c r="A2298">
        <v>905</v>
      </c>
      <c r="B2298" s="1">
        <v>45482</v>
      </c>
      <c r="C2298" t="s">
        <v>24</v>
      </c>
      <c r="D2298" s="2">
        <v>2309.0300000000002</v>
      </c>
      <c r="E2298" s="2">
        <v>0</v>
      </c>
      <c r="F2298" t="s">
        <v>8</v>
      </c>
      <c r="G2298" t="s">
        <v>9</v>
      </c>
    </row>
    <row r="2299" spans="1:7" x14ac:dyDescent="0.35">
      <c r="A2299">
        <v>905</v>
      </c>
      <c r="B2299" s="1">
        <v>45482</v>
      </c>
      <c r="C2299" t="s">
        <v>24</v>
      </c>
      <c r="D2299" s="2">
        <v>0</v>
      </c>
      <c r="E2299" s="2">
        <v>2309.0300000000002</v>
      </c>
      <c r="F2299" t="s">
        <v>13</v>
      </c>
      <c r="G2299" t="s">
        <v>9</v>
      </c>
    </row>
    <row r="2300" spans="1:7" x14ac:dyDescent="0.35">
      <c r="A2300">
        <v>906</v>
      </c>
      <c r="B2300" s="1">
        <v>45482</v>
      </c>
      <c r="C2300" t="s">
        <v>24</v>
      </c>
      <c r="D2300" s="2">
        <v>2694.99</v>
      </c>
      <c r="E2300" s="2">
        <v>0</v>
      </c>
      <c r="F2300" t="s">
        <v>8</v>
      </c>
      <c r="G2300" t="s">
        <v>9</v>
      </c>
    </row>
    <row r="2301" spans="1:7" x14ac:dyDescent="0.35">
      <c r="A2301">
        <v>906</v>
      </c>
      <c r="B2301" s="1">
        <v>45482</v>
      </c>
      <c r="C2301" t="s">
        <v>24</v>
      </c>
      <c r="D2301" s="2">
        <v>0</v>
      </c>
      <c r="E2301" s="2">
        <v>2694.99</v>
      </c>
      <c r="F2301" t="s">
        <v>13</v>
      </c>
      <c r="G2301" t="s">
        <v>9</v>
      </c>
    </row>
    <row r="2302" spans="1:7" x14ac:dyDescent="0.35">
      <c r="A2302">
        <v>907</v>
      </c>
      <c r="B2302" s="1">
        <v>45482</v>
      </c>
      <c r="C2302" t="s">
        <v>24</v>
      </c>
      <c r="D2302" s="2">
        <v>1225.3800000000001</v>
      </c>
      <c r="E2302" s="2">
        <v>0</v>
      </c>
      <c r="F2302" t="s">
        <v>8</v>
      </c>
      <c r="G2302" t="s">
        <v>9</v>
      </c>
    </row>
    <row r="2303" spans="1:7" x14ac:dyDescent="0.35">
      <c r="A2303">
        <v>907</v>
      </c>
      <c r="B2303" s="1">
        <v>45482</v>
      </c>
      <c r="C2303" t="s">
        <v>24</v>
      </c>
      <c r="D2303" s="2">
        <v>0</v>
      </c>
      <c r="E2303" s="2">
        <v>1225.3800000000001</v>
      </c>
      <c r="F2303" t="s">
        <v>13</v>
      </c>
      <c r="G2303" t="s">
        <v>9</v>
      </c>
    </row>
    <row r="2304" spans="1:7" x14ac:dyDescent="0.35">
      <c r="A2304">
        <v>908</v>
      </c>
      <c r="B2304" s="1">
        <v>45483</v>
      </c>
      <c r="C2304" t="s">
        <v>12</v>
      </c>
      <c r="D2304" s="2">
        <v>1081.5999999999999</v>
      </c>
      <c r="E2304" s="2">
        <v>0</v>
      </c>
      <c r="F2304" t="s">
        <v>13</v>
      </c>
      <c r="G2304" t="s">
        <v>9</v>
      </c>
    </row>
    <row r="2305" spans="1:7" x14ac:dyDescent="0.35">
      <c r="A2305">
        <v>908</v>
      </c>
      <c r="B2305" s="1">
        <v>45483</v>
      </c>
      <c r="C2305" t="s">
        <v>12</v>
      </c>
      <c r="D2305" s="2">
        <v>0</v>
      </c>
      <c r="E2305" s="2">
        <v>1006.14</v>
      </c>
      <c r="F2305" t="s">
        <v>14</v>
      </c>
      <c r="G2305" t="s">
        <v>15</v>
      </c>
    </row>
    <row r="2306" spans="1:7" x14ac:dyDescent="0.35">
      <c r="A2306">
        <v>908</v>
      </c>
      <c r="B2306" s="1">
        <v>45483</v>
      </c>
      <c r="C2306" t="s">
        <v>12</v>
      </c>
      <c r="D2306" s="2">
        <v>0</v>
      </c>
      <c r="E2306" s="2">
        <v>75.459999999999994</v>
      </c>
      <c r="F2306" t="s">
        <v>16</v>
      </c>
      <c r="G2306" t="s">
        <v>17</v>
      </c>
    </row>
    <row r="2307" spans="1:7" x14ac:dyDescent="0.35">
      <c r="A2307">
        <v>909</v>
      </c>
      <c r="B2307" s="1">
        <v>45483</v>
      </c>
      <c r="C2307" t="s">
        <v>12</v>
      </c>
      <c r="D2307" s="2">
        <v>6212.53</v>
      </c>
      <c r="E2307" s="2">
        <v>0</v>
      </c>
      <c r="F2307" t="s">
        <v>13</v>
      </c>
      <c r="G2307" t="s">
        <v>9</v>
      </c>
    </row>
    <row r="2308" spans="1:7" x14ac:dyDescent="0.35">
      <c r="A2308">
        <v>909</v>
      </c>
      <c r="B2308" s="1">
        <v>45483</v>
      </c>
      <c r="C2308" t="s">
        <v>12</v>
      </c>
      <c r="D2308" s="2">
        <v>0</v>
      </c>
      <c r="E2308" s="2">
        <v>5779.1</v>
      </c>
      <c r="F2308" t="s">
        <v>14</v>
      </c>
      <c r="G2308" t="s">
        <v>15</v>
      </c>
    </row>
    <row r="2309" spans="1:7" x14ac:dyDescent="0.35">
      <c r="A2309">
        <v>909</v>
      </c>
      <c r="B2309" s="1">
        <v>45483</v>
      </c>
      <c r="C2309" t="s">
        <v>12</v>
      </c>
      <c r="D2309" s="2">
        <v>0</v>
      </c>
      <c r="E2309" s="2">
        <v>433.43</v>
      </c>
      <c r="F2309" t="s">
        <v>16</v>
      </c>
      <c r="G2309" t="s">
        <v>17</v>
      </c>
    </row>
    <row r="2310" spans="1:7" x14ac:dyDescent="0.35">
      <c r="A2310">
        <v>910</v>
      </c>
      <c r="B2310" s="1">
        <v>45483</v>
      </c>
      <c r="C2310" t="s">
        <v>12</v>
      </c>
      <c r="D2310" s="2">
        <v>4819.24</v>
      </c>
      <c r="E2310" s="2">
        <v>0</v>
      </c>
      <c r="F2310" t="s">
        <v>13</v>
      </c>
      <c r="G2310" t="s">
        <v>9</v>
      </c>
    </row>
    <row r="2311" spans="1:7" x14ac:dyDescent="0.35">
      <c r="A2311">
        <v>910</v>
      </c>
      <c r="B2311" s="1">
        <v>45483</v>
      </c>
      <c r="C2311" t="s">
        <v>12</v>
      </c>
      <c r="D2311" s="2">
        <v>0</v>
      </c>
      <c r="E2311" s="2">
        <v>4483.0200000000004</v>
      </c>
      <c r="F2311" t="s">
        <v>14</v>
      </c>
      <c r="G2311" t="s">
        <v>15</v>
      </c>
    </row>
    <row r="2312" spans="1:7" x14ac:dyDescent="0.35">
      <c r="A2312">
        <v>910</v>
      </c>
      <c r="B2312" s="1">
        <v>45483</v>
      </c>
      <c r="C2312" t="s">
        <v>12</v>
      </c>
      <c r="D2312" s="2">
        <v>0</v>
      </c>
      <c r="E2312" s="2">
        <v>336.22</v>
      </c>
      <c r="F2312" t="s">
        <v>16</v>
      </c>
      <c r="G2312" t="s">
        <v>17</v>
      </c>
    </row>
    <row r="2313" spans="1:7" x14ac:dyDescent="0.35">
      <c r="A2313">
        <v>911</v>
      </c>
      <c r="B2313" s="1">
        <v>45483</v>
      </c>
      <c r="C2313" t="s">
        <v>12</v>
      </c>
      <c r="D2313" s="2">
        <v>295.36</v>
      </c>
      <c r="E2313" s="2">
        <v>0</v>
      </c>
      <c r="F2313" t="s">
        <v>13</v>
      </c>
      <c r="G2313" t="s">
        <v>9</v>
      </c>
    </row>
    <row r="2314" spans="1:7" x14ac:dyDescent="0.35">
      <c r="A2314">
        <v>911</v>
      </c>
      <c r="B2314" s="1">
        <v>45483</v>
      </c>
      <c r="C2314" t="s">
        <v>12</v>
      </c>
      <c r="D2314" s="2">
        <v>0</v>
      </c>
      <c r="E2314" s="2">
        <v>274.75</v>
      </c>
      <c r="F2314" t="s">
        <v>14</v>
      </c>
      <c r="G2314" t="s">
        <v>15</v>
      </c>
    </row>
    <row r="2315" spans="1:7" x14ac:dyDescent="0.35">
      <c r="A2315">
        <v>911</v>
      </c>
      <c r="B2315" s="1">
        <v>45483</v>
      </c>
      <c r="C2315" t="s">
        <v>12</v>
      </c>
      <c r="D2315" s="2">
        <v>0</v>
      </c>
      <c r="E2315" s="2">
        <v>20.61</v>
      </c>
      <c r="F2315" t="s">
        <v>16</v>
      </c>
      <c r="G2315" t="s">
        <v>17</v>
      </c>
    </row>
    <row r="2316" spans="1:7" x14ac:dyDescent="0.35">
      <c r="A2316">
        <v>912</v>
      </c>
      <c r="B2316" s="1">
        <v>45483</v>
      </c>
      <c r="C2316" t="s">
        <v>24</v>
      </c>
      <c r="D2316" s="2">
        <v>2042.13</v>
      </c>
      <c r="E2316" s="2">
        <v>0</v>
      </c>
      <c r="F2316" t="s">
        <v>8</v>
      </c>
      <c r="G2316" t="s">
        <v>9</v>
      </c>
    </row>
    <row r="2317" spans="1:7" x14ac:dyDescent="0.35">
      <c r="A2317">
        <v>912</v>
      </c>
      <c r="B2317" s="1">
        <v>45483</v>
      </c>
      <c r="C2317" t="s">
        <v>24</v>
      </c>
      <c r="D2317" s="2">
        <v>0</v>
      </c>
      <c r="E2317" s="2">
        <v>2042.13</v>
      </c>
      <c r="F2317" t="s">
        <v>13</v>
      </c>
      <c r="G2317" t="s">
        <v>9</v>
      </c>
    </row>
    <row r="2318" spans="1:7" x14ac:dyDescent="0.35">
      <c r="A2318">
        <v>913</v>
      </c>
      <c r="B2318" s="1">
        <v>45483</v>
      </c>
      <c r="C2318" t="s">
        <v>24</v>
      </c>
      <c r="D2318" s="2">
        <v>2717.83</v>
      </c>
      <c r="E2318" s="2">
        <v>0</v>
      </c>
      <c r="F2318" t="s">
        <v>8</v>
      </c>
      <c r="G2318" t="s">
        <v>9</v>
      </c>
    </row>
    <row r="2319" spans="1:7" x14ac:dyDescent="0.35">
      <c r="A2319">
        <v>913</v>
      </c>
      <c r="B2319" s="1">
        <v>45483</v>
      </c>
      <c r="C2319" t="s">
        <v>24</v>
      </c>
      <c r="D2319" s="2">
        <v>0</v>
      </c>
      <c r="E2319" s="2">
        <v>2717.83</v>
      </c>
      <c r="F2319" t="s">
        <v>13</v>
      </c>
      <c r="G2319" t="s">
        <v>9</v>
      </c>
    </row>
    <row r="2320" spans="1:7" x14ac:dyDescent="0.35">
      <c r="A2320">
        <v>914</v>
      </c>
      <c r="B2320" s="1">
        <v>45483</v>
      </c>
      <c r="C2320" t="s">
        <v>24</v>
      </c>
      <c r="D2320" s="2">
        <v>169.99</v>
      </c>
      <c r="E2320" s="2">
        <v>0</v>
      </c>
      <c r="F2320" t="s">
        <v>8</v>
      </c>
      <c r="G2320" t="s">
        <v>9</v>
      </c>
    </row>
    <row r="2321" spans="1:7" x14ac:dyDescent="0.35">
      <c r="A2321">
        <v>914</v>
      </c>
      <c r="B2321" s="1">
        <v>45483</v>
      </c>
      <c r="C2321" t="s">
        <v>24</v>
      </c>
      <c r="D2321" s="2">
        <v>0</v>
      </c>
      <c r="E2321" s="2">
        <v>169.99</v>
      </c>
      <c r="F2321" t="s">
        <v>13</v>
      </c>
      <c r="G2321" t="s">
        <v>9</v>
      </c>
    </row>
    <row r="2322" spans="1:7" x14ac:dyDescent="0.35">
      <c r="A2322">
        <v>915</v>
      </c>
      <c r="B2322" s="1">
        <v>45484</v>
      </c>
      <c r="C2322" t="s">
        <v>12</v>
      </c>
      <c r="D2322" s="2">
        <v>2078.56</v>
      </c>
      <c r="E2322" s="2">
        <v>0</v>
      </c>
      <c r="F2322" t="s">
        <v>13</v>
      </c>
      <c r="G2322" t="s">
        <v>9</v>
      </c>
    </row>
    <row r="2323" spans="1:7" x14ac:dyDescent="0.35">
      <c r="A2323">
        <v>915</v>
      </c>
      <c r="B2323" s="1">
        <v>45484</v>
      </c>
      <c r="C2323" t="s">
        <v>12</v>
      </c>
      <c r="D2323" s="2">
        <v>0</v>
      </c>
      <c r="E2323" s="2">
        <v>1933.54</v>
      </c>
      <c r="F2323" t="s">
        <v>14</v>
      </c>
      <c r="G2323" t="s">
        <v>15</v>
      </c>
    </row>
    <row r="2324" spans="1:7" x14ac:dyDescent="0.35">
      <c r="A2324">
        <v>915</v>
      </c>
      <c r="B2324" s="1">
        <v>45484</v>
      </c>
      <c r="C2324" t="s">
        <v>12</v>
      </c>
      <c r="D2324" s="2">
        <v>0</v>
      </c>
      <c r="E2324" s="2">
        <v>145.02000000000001</v>
      </c>
      <c r="F2324" t="s">
        <v>16</v>
      </c>
      <c r="G2324" t="s">
        <v>17</v>
      </c>
    </row>
    <row r="2325" spans="1:7" x14ac:dyDescent="0.35">
      <c r="A2325">
        <v>916</v>
      </c>
      <c r="B2325" s="1">
        <v>45484</v>
      </c>
      <c r="C2325" t="s">
        <v>12</v>
      </c>
      <c r="D2325" s="2">
        <v>1580.92</v>
      </c>
      <c r="E2325" s="2">
        <v>0</v>
      </c>
      <c r="F2325" t="s">
        <v>13</v>
      </c>
      <c r="G2325" t="s">
        <v>9</v>
      </c>
    </row>
    <row r="2326" spans="1:7" x14ac:dyDescent="0.35">
      <c r="A2326">
        <v>916</v>
      </c>
      <c r="B2326" s="1">
        <v>45484</v>
      </c>
      <c r="C2326" t="s">
        <v>12</v>
      </c>
      <c r="D2326" s="2">
        <v>0</v>
      </c>
      <c r="E2326" s="2">
        <v>1470.63</v>
      </c>
      <c r="F2326" t="s">
        <v>14</v>
      </c>
      <c r="G2326" t="s">
        <v>15</v>
      </c>
    </row>
    <row r="2327" spans="1:7" x14ac:dyDescent="0.35">
      <c r="A2327">
        <v>916</v>
      </c>
      <c r="B2327" s="1">
        <v>45484</v>
      </c>
      <c r="C2327" t="s">
        <v>12</v>
      </c>
      <c r="D2327" s="2">
        <v>0</v>
      </c>
      <c r="E2327" s="2">
        <v>110.29</v>
      </c>
      <c r="F2327" t="s">
        <v>16</v>
      </c>
      <c r="G2327" t="s">
        <v>17</v>
      </c>
    </row>
    <row r="2328" spans="1:7" x14ac:dyDescent="0.35">
      <c r="A2328">
        <v>917</v>
      </c>
      <c r="B2328" s="1">
        <v>45484</v>
      </c>
      <c r="C2328" t="s">
        <v>24</v>
      </c>
      <c r="D2328" s="2">
        <v>1055.1199999999999</v>
      </c>
      <c r="E2328" s="2">
        <v>0</v>
      </c>
      <c r="F2328" t="s">
        <v>8</v>
      </c>
      <c r="G2328" t="s">
        <v>9</v>
      </c>
    </row>
    <row r="2329" spans="1:7" x14ac:dyDescent="0.35">
      <c r="A2329">
        <v>917</v>
      </c>
      <c r="B2329" s="1">
        <v>45484</v>
      </c>
      <c r="C2329" t="s">
        <v>24</v>
      </c>
      <c r="D2329" s="2">
        <v>0</v>
      </c>
      <c r="E2329" s="2">
        <v>1055.1199999999999</v>
      </c>
      <c r="F2329" t="s">
        <v>13</v>
      </c>
      <c r="G2329" t="s">
        <v>9</v>
      </c>
    </row>
    <row r="2330" spans="1:7" x14ac:dyDescent="0.35">
      <c r="A2330">
        <v>918</v>
      </c>
      <c r="B2330" s="1">
        <v>45484</v>
      </c>
      <c r="C2330" t="s">
        <v>24</v>
      </c>
      <c r="D2330" s="2">
        <v>5598.12</v>
      </c>
      <c r="E2330" s="2">
        <v>0</v>
      </c>
      <c r="F2330" t="s">
        <v>8</v>
      </c>
      <c r="G2330" t="s">
        <v>9</v>
      </c>
    </row>
    <row r="2331" spans="1:7" x14ac:dyDescent="0.35">
      <c r="A2331">
        <v>918</v>
      </c>
      <c r="B2331" s="1">
        <v>45484</v>
      </c>
      <c r="C2331" t="s">
        <v>24</v>
      </c>
      <c r="D2331" s="2">
        <v>0</v>
      </c>
      <c r="E2331" s="2">
        <v>5598.12</v>
      </c>
      <c r="F2331" t="s">
        <v>13</v>
      </c>
      <c r="G2331" t="s">
        <v>9</v>
      </c>
    </row>
    <row r="2332" spans="1:7" x14ac:dyDescent="0.35">
      <c r="A2332">
        <v>919</v>
      </c>
      <c r="B2332" s="1">
        <v>45484</v>
      </c>
      <c r="C2332" t="s">
        <v>24</v>
      </c>
      <c r="D2332" s="2">
        <v>1891.9</v>
      </c>
      <c r="E2332" s="2">
        <v>0</v>
      </c>
      <c r="F2332" t="s">
        <v>8</v>
      </c>
      <c r="G2332" t="s">
        <v>9</v>
      </c>
    </row>
    <row r="2333" spans="1:7" x14ac:dyDescent="0.35">
      <c r="A2333">
        <v>919</v>
      </c>
      <c r="B2333" s="1">
        <v>45484</v>
      </c>
      <c r="C2333" t="s">
        <v>24</v>
      </c>
      <c r="D2333" s="2">
        <v>0</v>
      </c>
      <c r="E2333" s="2">
        <v>1891.9</v>
      </c>
      <c r="F2333" t="s">
        <v>13</v>
      </c>
      <c r="G2333" t="s">
        <v>9</v>
      </c>
    </row>
    <row r="2334" spans="1:7" x14ac:dyDescent="0.35">
      <c r="A2334">
        <v>920</v>
      </c>
      <c r="B2334" s="1">
        <v>45484</v>
      </c>
      <c r="C2334" t="s">
        <v>24</v>
      </c>
      <c r="D2334" s="2">
        <v>3333.56</v>
      </c>
      <c r="E2334" s="2">
        <v>0</v>
      </c>
      <c r="F2334" t="s">
        <v>8</v>
      </c>
      <c r="G2334" t="s">
        <v>9</v>
      </c>
    </row>
    <row r="2335" spans="1:7" x14ac:dyDescent="0.35">
      <c r="A2335">
        <v>920</v>
      </c>
      <c r="B2335" s="1">
        <v>45484</v>
      </c>
      <c r="C2335" t="s">
        <v>24</v>
      </c>
      <c r="D2335" s="2">
        <v>0</v>
      </c>
      <c r="E2335" s="2">
        <v>3333.56</v>
      </c>
      <c r="F2335" t="s">
        <v>13</v>
      </c>
      <c r="G2335" t="s">
        <v>9</v>
      </c>
    </row>
    <row r="2336" spans="1:7" x14ac:dyDescent="0.35">
      <c r="A2336">
        <v>921</v>
      </c>
      <c r="B2336" s="1">
        <v>45484</v>
      </c>
      <c r="C2336" t="s">
        <v>29</v>
      </c>
      <c r="D2336" s="2">
        <v>201.5</v>
      </c>
      <c r="E2336" s="2">
        <v>0</v>
      </c>
      <c r="F2336" t="s">
        <v>28</v>
      </c>
      <c r="G2336" t="s">
        <v>17</v>
      </c>
    </row>
    <row r="2337" spans="1:7" x14ac:dyDescent="0.35">
      <c r="A2337">
        <v>921</v>
      </c>
      <c r="B2337" s="1">
        <v>45484</v>
      </c>
      <c r="C2337" t="s">
        <v>29</v>
      </c>
      <c r="D2337" s="2">
        <v>0</v>
      </c>
      <c r="E2337" s="2">
        <v>201.5</v>
      </c>
      <c r="F2337" t="s">
        <v>8</v>
      </c>
      <c r="G2337" t="s">
        <v>9</v>
      </c>
    </row>
    <row r="2338" spans="1:7" x14ac:dyDescent="0.35">
      <c r="A2338">
        <v>922</v>
      </c>
      <c r="B2338" s="1">
        <v>45484</v>
      </c>
      <c r="C2338" t="s">
        <v>29</v>
      </c>
      <c r="D2338" s="2">
        <v>1159.8399999999999</v>
      </c>
      <c r="E2338" s="2">
        <v>0</v>
      </c>
      <c r="F2338" t="s">
        <v>28</v>
      </c>
      <c r="G2338" t="s">
        <v>17</v>
      </c>
    </row>
    <row r="2339" spans="1:7" x14ac:dyDescent="0.35">
      <c r="A2339">
        <v>922</v>
      </c>
      <c r="B2339" s="1">
        <v>45484</v>
      </c>
      <c r="C2339" t="s">
        <v>29</v>
      </c>
      <c r="D2339" s="2">
        <v>0</v>
      </c>
      <c r="E2339" s="2">
        <v>1159.8399999999999</v>
      </c>
      <c r="F2339" t="s">
        <v>8</v>
      </c>
      <c r="G2339" t="s">
        <v>9</v>
      </c>
    </row>
    <row r="2340" spans="1:7" x14ac:dyDescent="0.35">
      <c r="A2340">
        <v>923</v>
      </c>
      <c r="B2340" s="1">
        <v>45485</v>
      </c>
      <c r="C2340" t="s">
        <v>12</v>
      </c>
      <c r="D2340" s="2">
        <v>173.89</v>
      </c>
      <c r="E2340" s="2">
        <v>0</v>
      </c>
      <c r="F2340" t="s">
        <v>13</v>
      </c>
      <c r="G2340" t="s">
        <v>9</v>
      </c>
    </row>
    <row r="2341" spans="1:7" x14ac:dyDescent="0.35">
      <c r="A2341">
        <v>923</v>
      </c>
      <c r="B2341" s="1">
        <v>45485</v>
      </c>
      <c r="C2341" t="s">
        <v>12</v>
      </c>
      <c r="D2341" s="2">
        <v>0</v>
      </c>
      <c r="E2341" s="2">
        <v>161.76</v>
      </c>
      <c r="F2341" t="s">
        <v>14</v>
      </c>
      <c r="G2341" t="s">
        <v>15</v>
      </c>
    </row>
    <row r="2342" spans="1:7" x14ac:dyDescent="0.35">
      <c r="A2342">
        <v>923</v>
      </c>
      <c r="B2342" s="1">
        <v>45485</v>
      </c>
      <c r="C2342" t="s">
        <v>12</v>
      </c>
      <c r="D2342" s="2">
        <v>0</v>
      </c>
      <c r="E2342" s="2">
        <v>12.13</v>
      </c>
      <c r="F2342" t="s">
        <v>16</v>
      </c>
      <c r="G2342" t="s">
        <v>17</v>
      </c>
    </row>
    <row r="2343" spans="1:7" x14ac:dyDescent="0.35">
      <c r="A2343">
        <v>924</v>
      </c>
      <c r="B2343" s="1">
        <v>45485</v>
      </c>
      <c r="C2343" t="s">
        <v>12</v>
      </c>
      <c r="D2343" s="2">
        <v>2409.02</v>
      </c>
      <c r="E2343" s="2">
        <v>0</v>
      </c>
      <c r="F2343" t="s">
        <v>13</v>
      </c>
      <c r="G2343" t="s">
        <v>9</v>
      </c>
    </row>
    <row r="2344" spans="1:7" x14ac:dyDescent="0.35">
      <c r="A2344">
        <v>924</v>
      </c>
      <c r="B2344" s="1">
        <v>45485</v>
      </c>
      <c r="C2344" t="s">
        <v>12</v>
      </c>
      <c r="D2344" s="2">
        <v>0</v>
      </c>
      <c r="E2344" s="2">
        <v>2240.94</v>
      </c>
      <c r="F2344" t="s">
        <v>14</v>
      </c>
      <c r="G2344" t="s">
        <v>15</v>
      </c>
    </row>
    <row r="2345" spans="1:7" x14ac:dyDescent="0.35">
      <c r="A2345">
        <v>924</v>
      </c>
      <c r="B2345" s="1">
        <v>45485</v>
      </c>
      <c r="C2345" t="s">
        <v>12</v>
      </c>
      <c r="D2345" s="2">
        <v>0</v>
      </c>
      <c r="E2345" s="2">
        <v>168.08</v>
      </c>
      <c r="F2345" t="s">
        <v>16</v>
      </c>
      <c r="G2345" t="s">
        <v>17</v>
      </c>
    </row>
    <row r="2346" spans="1:7" x14ac:dyDescent="0.35">
      <c r="A2346">
        <v>925</v>
      </c>
      <c r="B2346" s="1">
        <v>45485</v>
      </c>
      <c r="C2346" t="s">
        <v>12</v>
      </c>
      <c r="D2346" s="2">
        <v>906.13</v>
      </c>
      <c r="E2346" s="2">
        <v>0</v>
      </c>
      <c r="F2346" t="s">
        <v>13</v>
      </c>
      <c r="G2346" t="s">
        <v>9</v>
      </c>
    </row>
    <row r="2347" spans="1:7" x14ac:dyDescent="0.35">
      <c r="A2347">
        <v>925</v>
      </c>
      <c r="B2347" s="1">
        <v>45485</v>
      </c>
      <c r="C2347" t="s">
        <v>12</v>
      </c>
      <c r="D2347" s="2">
        <v>0</v>
      </c>
      <c r="E2347" s="2">
        <v>842.91</v>
      </c>
      <c r="F2347" t="s">
        <v>14</v>
      </c>
      <c r="G2347" t="s">
        <v>15</v>
      </c>
    </row>
    <row r="2348" spans="1:7" x14ac:dyDescent="0.35">
      <c r="A2348">
        <v>925</v>
      </c>
      <c r="B2348" s="1">
        <v>45485</v>
      </c>
      <c r="C2348" t="s">
        <v>12</v>
      </c>
      <c r="D2348" s="2">
        <v>0</v>
      </c>
      <c r="E2348" s="2">
        <v>63.22</v>
      </c>
      <c r="F2348" t="s">
        <v>16</v>
      </c>
      <c r="G2348" t="s">
        <v>17</v>
      </c>
    </row>
    <row r="2349" spans="1:7" x14ac:dyDescent="0.35">
      <c r="A2349">
        <v>926</v>
      </c>
      <c r="B2349" s="1">
        <v>45485</v>
      </c>
      <c r="C2349" t="s">
        <v>12</v>
      </c>
      <c r="D2349" s="2">
        <v>3485.58</v>
      </c>
      <c r="E2349" s="2">
        <v>0</v>
      </c>
      <c r="F2349" t="s">
        <v>13</v>
      </c>
      <c r="G2349" t="s">
        <v>9</v>
      </c>
    </row>
    <row r="2350" spans="1:7" x14ac:dyDescent="0.35">
      <c r="A2350">
        <v>926</v>
      </c>
      <c r="B2350" s="1">
        <v>45485</v>
      </c>
      <c r="C2350" t="s">
        <v>12</v>
      </c>
      <c r="D2350" s="2">
        <v>0</v>
      </c>
      <c r="E2350" s="2">
        <v>3242.4</v>
      </c>
      <c r="F2350" t="s">
        <v>14</v>
      </c>
      <c r="G2350" t="s">
        <v>15</v>
      </c>
    </row>
    <row r="2351" spans="1:7" x14ac:dyDescent="0.35">
      <c r="A2351">
        <v>926</v>
      </c>
      <c r="B2351" s="1">
        <v>45485</v>
      </c>
      <c r="C2351" t="s">
        <v>12</v>
      </c>
      <c r="D2351" s="2">
        <v>0</v>
      </c>
      <c r="E2351" s="2">
        <v>243.18</v>
      </c>
      <c r="F2351" t="s">
        <v>16</v>
      </c>
      <c r="G2351" t="s">
        <v>17</v>
      </c>
    </row>
    <row r="2352" spans="1:7" x14ac:dyDescent="0.35">
      <c r="A2352">
        <v>927</v>
      </c>
      <c r="B2352" s="1">
        <v>45485</v>
      </c>
      <c r="C2352" t="s">
        <v>24</v>
      </c>
      <c r="D2352" s="2">
        <v>4467.0600000000004</v>
      </c>
      <c r="E2352" s="2">
        <v>0</v>
      </c>
      <c r="F2352" t="s">
        <v>8</v>
      </c>
      <c r="G2352" t="s">
        <v>9</v>
      </c>
    </row>
    <row r="2353" spans="1:7" x14ac:dyDescent="0.35">
      <c r="A2353">
        <v>927</v>
      </c>
      <c r="B2353" s="1">
        <v>45485</v>
      </c>
      <c r="C2353" t="s">
        <v>24</v>
      </c>
      <c r="D2353" s="2">
        <v>0</v>
      </c>
      <c r="E2353" s="2">
        <v>4467.0600000000004</v>
      </c>
      <c r="F2353" t="s">
        <v>13</v>
      </c>
      <c r="G2353" t="s">
        <v>9</v>
      </c>
    </row>
    <row r="2354" spans="1:7" x14ac:dyDescent="0.35">
      <c r="A2354">
        <v>928</v>
      </c>
      <c r="B2354" s="1">
        <v>45485</v>
      </c>
      <c r="C2354" t="s">
        <v>25</v>
      </c>
      <c r="D2354" s="2">
        <v>2329.52</v>
      </c>
      <c r="E2354" s="2">
        <v>0</v>
      </c>
      <c r="F2354" t="s">
        <v>26</v>
      </c>
      <c r="G2354" t="s">
        <v>20</v>
      </c>
    </row>
    <row r="2355" spans="1:7" x14ac:dyDescent="0.35">
      <c r="A2355">
        <v>928</v>
      </c>
      <c r="B2355" s="1">
        <v>45485</v>
      </c>
      <c r="C2355" t="s">
        <v>25</v>
      </c>
      <c r="D2355" s="2">
        <v>174.71</v>
      </c>
      <c r="E2355" s="2">
        <v>0</v>
      </c>
      <c r="F2355" t="s">
        <v>27</v>
      </c>
      <c r="G2355" t="s">
        <v>9</v>
      </c>
    </row>
    <row r="2356" spans="1:7" x14ac:dyDescent="0.35">
      <c r="A2356">
        <v>928</v>
      </c>
      <c r="B2356" s="1">
        <v>45485</v>
      </c>
      <c r="C2356" t="s">
        <v>25</v>
      </c>
      <c r="D2356" s="2">
        <v>0</v>
      </c>
      <c r="E2356" s="2">
        <v>2504.23</v>
      </c>
      <c r="F2356" t="s">
        <v>28</v>
      </c>
      <c r="G2356" t="s">
        <v>17</v>
      </c>
    </row>
    <row r="2357" spans="1:7" x14ac:dyDescent="0.35">
      <c r="A2357">
        <v>929</v>
      </c>
      <c r="B2357" s="1">
        <v>45485</v>
      </c>
      <c r="C2357" t="s">
        <v>25</v>
      </c>
      <c r="D2357" s="2">
        <v>952.02</v>
      </c>
      <c r="E2357" s="2">
        <v>0</v>
      </c>
      <c r="F2357" t="s">
        <v>26</v>
      </c>
      <c r="G2357" t="s">
        <v>20</v>
      </c>
    </row>
    <row r="2358" spans="1:7" x14ac:dyDescent="0.35">
      <c r="A2358">
        <v>929</v>
      </c>
      <c r="B2358" s="1">
        <v>45485</v>
      </c>
      <c r="C2358" t="s">
        <v>25</v>
      </c>
      <c r="D2358" s="2">
        <v>71.400000000000006</v>
      </c>
      <c r="E2358" s="2">
        <v>0</v>
      </c>
      <c r="F2358" t="s">
        <v>27</v>
      </c>
      <c r="G2358" t="s">
        <v>9</v>
      </c>
    </row>
    <row r="2359" spans="1:7" x14ac:dyDescent="0.35">
      <c r="A2359">
        <v>929</v>
      </c>
      <c r="B2359" s="1">
        <v>45485</v>
      </c>
      <c r="C2359" t="s">
        <v>25</v>
      </c>
      <c r="D2359" s="2">
        <v>0</v>
      </c>
      <c r="E2359" s="2">
        <v>1023.42</v>
      </c>
      <c r="F2359" t="s">
        <v>28</v>
      </c>
      <c r="G2359" t="s">
        <v>17</v>
      </c>
    </row>
    <row r="2360" spans="1:7" x14ac:dyDescent="0.35">
      <c r="A2360">
        <v>930</v>
      </c>
      <c r="B2360" s="1">
        <v>45488</v>
      </c>
      <c r="C2360" t="s">
        <v>12</v>
      </c>
      <c r="D2360" s="2">
        <v>3689.42</v>
      </c>
      <c r="E2360" s="2">
        <v>0</v>
      </c>
      <c r="F2360" t="s">
        <v>13</v>
      </c>
      <c r="G2360" t="s">
        <v>9</v>
      </c>
    </row>
    <row r="2361" spans="1:7" x14ac:dyDescent="0.35">
      <c r="A2361">
        <v>930</v>
      </c>
      <c r="B2361" s="1">
        <v>45488</v>
      </c>
      <c r="C2361" t="s">
        <v>12</v>
      </c>
      <c r="D2361" s="2">
        <v>0</v>
      </c>
      <c r="E2361" s="2">
        <v>3432.02</v>
      </c>
      <c r="F2361" t="s">
        <v>14</v>
      </c>
      <c r="G2361" t="s">
        <v>15</v>
      </c>
    </row>
    <row r="2362" spans="1:7" x14ac:dyDescent="0.35">
      <c r="A2362">
        <v>930</v>
      </c>
      <c r="B2362" s="1">
        <v>45488</v>
      </c>
      <c r="C2362" t="s">
        <v>12</v>
      </c>
      <c r="D2362" s="2">
        <v>0</v>
      </c>
      <c r="E2362" s="2">
        <v>257.39999999999998</v>
      </c>
      <c r="F2362" t="s">
        <v>16</v>
      </c>
      <c r="G2362" t="s">
        <v>17</v>
      </c>
    </row>
    <row r="2363" spans="1:7" x14ac:dyDescent="0.35">
      <c r="A2363">
        <v>931</v>
      </c>
      <c r="B2363" s="1">
        <v>45488</v>
      </c>
      <c r="C2363" t="s">
        <v>12</v>
      </c>
      <c r="D2363" s="2">
        <v>561.25</v>
      </c>
      <c r="E2363" s="2">
        <v>0</v>
      </c>
      <c r="F2363" t="s">
        <v>13</v>
      </c>
      <c r="G2363" t="s">
        <v>9</v>
      </c>
    </row>
    <row r="2364" spans="1:7" x14ac:dyDescent="0.35">
      <c r="A2364">
        <v>931</v>
      </c>
      <c r="B2364" s="1">
        <v>45488</v>
      </c>
      <c r="C2364" t="s">
        <v>12</v>
      </c>
      <c r="D2364" s="2">
        <v>0</v>
      </c>
      <c r="E2364" s="2">
        <v>522.1</v>
      </c>
      <c r="F2364" t="s">
        <v>14</v>
      </c>
      <c r="G2364" t="s">
        <v>15</v>
      </c>
    </row>
    <row r="2365" spans="1:7" x14ac:dyDescent="0.35">
      <c r="A2365">
        <v>931</v>
      </c>
      <c r="B2365" s="1">
        <v>45488</v>
      </c>
      <c r="C2365" t="s">
        <v>12</v>
      </c>
      <c r="D2365" s="2">
        <v>0</v>
      </c>
      <c r="E2365" s="2">
        <v>39.15</v>
      </c>
      <c r="F2365" t="s">
        <v>16</v>
      </c>
      <c r="G2365" t="s">
        <v>17</v>
      </c>
    </row>
    <row r="2366" spans="1:7" x14ac:dyDescent="0.35">
      <c r="A2366">
        <v>932</v>
      </c>
      <c r="B2366" s="1">
        <v>45488</v>
      </c>
      <c r="C2366" t="s">
        <v>12</v>
      </c>
      <c r="D2366" s="2">
        <v>1105.44</v>
      </c>
      <c r="E2366" s="2">
        <v>0</v>
      </c>
      <c r="F2366" t="s">
        <v>13</v>
      </c>
      <c r="G2366" t="s">
        <v>9</v>
      </c>
    </row>
    <row r="2367" spans="1:7" x14ac:dyDescent="0.35">
      <c r="A2367">
        <v>932</v>
      </c>
      <c r="B2367" s="1">
        <v>45488</v>
      </c>
      <c r="C2367" t="s">
        <v>12</v>
      </c>
      <c r="D2367" s="2">
        <v>0</v>
      </c>
      <c r="E2367" s="2">
        <v>1028.32</v>
      </c>
      <c r="F2367" t="s">
        <v>14</v>
      </c>
      <c r="G2367" t="s">
        <v>15</v>
      </c>
    </row>
    <row r="2368" spans="1:7" x14ac:dyDescent="0.35">
      <c r="A2368">
        <v>932</v>
      </c>
      <c r="B2368" s="1">
        <v>45488</v>
      </c>
      <c r="C2368" t="s">
        <v>12</v>
      </c>
      <c r="D2368" s="2">
        <v>0</v>
      </c>
      <c r="E2368" s="2">
        <v>77.12</v>
      </c>
      <c r="F2368" t="s">
        <v>16</v>
      </c>
      <c r="G2368" t="s">
        <v>17</v>
      </c>
    </row>
    <row r="2369" spans="1:7" x14ac:dyDescent="0.35">
      <c r="A2369">
        <v>933</v>
      </c>
      <c r="B2369" s="1">
        <v>45488</v>
      </c>
      <c r="C2369" t="s">
        <v>12</v>
      </c>
      <c r="D2369" s="2">
        <v>2555.1</v>
      </c>
      <c r="E2369" s="2">
        <v>0</v>
      </c>
      <c r="F2369" t="s">
        <v>13</v>
      </c>
      <c r="G2369" t="s">
        <v>9</v>
      </c>
    </row>
    <row r="2370" spans="1:7" x14ac:dyDescent="0.35">
      <c r="A2370">
        <v>933</v>
      </c>
      <c r="B2370" s="1">
        <v>45488</v>
      </c>
      <c r="C2370" t="s">
        <v>12</v>
      </c>
      <c r="D2370" s="2">
        <v>0</v>
      </c>
      <c r="E2370" s="2">
        <v>2376.83</v>
      </c>
      <c r="F2370" t="s">
        <v>14</v>
      </c>
      <c r="G2370" t="s">
        <v>15</v>
      </c>
    </row>
    <row r="2371" spans="1:7" x14ac:dyDescent="0.35">
      <c r="A2371">
        <v>933</v>
      </c>
      <c r="B2371" s="1">
        <v>45488</v>
      </c>
      <c r="C2371" t="s">
        <v>12</v>
      </c>
      <c r="D2371" s="2">
        <v>0</v>
      </c>
      <c r="E2371" s="2">
        <v>178.27</v>
      </c>
      <c r="F2371" t="s">
        <v>16</v>
      </c>
      <c r="G2371" t="s">
        <v>17</v>
      </c>
    </row>
    <row r="2372" spans="1:7" x14ac:dyDescent="0.35">
      <c r="A2372">
        <v>934</v>
      </c>
      <c r="B2372" s="1">
        <v>45488</v>
      </c>
      <c r="C2372" t="s">
        <v>24</v>
      </c>
      <c r="D2372" s="2">
        <v>2144.6999999999998</v>
      </c>
      <c r="E2372" s="2">
        <v>0</v>
      </c>
      <c r="F2372" t="s">
        <v>8</v>
      </c>
      <c r="G2372" t="s">
        <v>9</v>
      </c>
    </row>
    <row r="2373" spans="1:7" x14ac:dyDescent="0.35">
      <c r="A2373">
        <v>934</v>
      </c>
      <c r="B2373" s="1">
        <v>45488</v>
      </c>
      <c r="C2373" t="s">
        <v>24</v>
      </c>
      <c r="D2373" s="2">
        <v>0</v>
      </c>
      <c r="E2373" s="2">
        <v>2144.6999999999998</v>
      </c>
      <c r="F2373" t="s">
        <v>13</v>
      </c>
      <c r="G2373" t="s">
        <v>9</v>
      </c>
    </row>
    <row r="2374" spans="1:7" x14ac:dyDescent="0.35">
      <c r="A2374">
        <v>935</v>
      </c>
      <c r="B2374" s="1">
        <v>45488</v>
      </c>
      <c r="C2374" t="s">
        <v>24</v>
      </c>
      <c r="D2374" s="2">
        <v>561.25</v>
      </c>
      <c r="E2374" s="2">
        <v>0</v>
      </c>
      <c r="F2374" t="s">
        <v>8</v>
      </c>
      <c r="G2374" t="s">
        <v>9</v>
      </c>
    </row>
    <row r="2375" spans="1:7" x14ac:dyDescent="0.35">
      <c r="A2375">
        <v>935</v>
      </c>
      <c r="B2375" s="1">
        <v>45488</v>
      </c>
      <c r="C2375" t="s">
        <v>24</v>
      </c>
      <c r="D2375" s="2">
        <v>0</v>
      </c>
      <c r="E2375" s="2">
        <v>561.25</v>
      </c>
      <c r="F2375" t="s">
        <v>13</v>
      </c>
      <c r="G2375" t="s">
        <v>9</v>
      </c>
    </row>
    <row r="2376" spans="1:7" x14ac:dyDescent="0.35">
      <c r="A2376">
        <v>936</v>
      </c>
      <c r="B2376" s="1">
        <v>45488</v>
      </c>
      <c r="C2376" t="s">
        <v>25</v>
      </c>
      <c r="D2376" s="2">
        <v>512</v>
      </c>
      <c r="E2376" s="2">
        <v>0</v>
      </c>
      <c r="F2376" t="s">
        <v>26</v>
      </c>
      <c r="G2376" t="s">
        <v>20</v>
      </c>
    </row>
    <row r="2377" spans="1:7" x14ac:dyDescent="0.35">
      <c r="A2377">
        <v>936</v>
      </c>
      <c r="B2377" s="1">
        <v>45488</v>
      </c>
      <c r="C2377" t="s">
        <v>25</v>
      </c>
      <c r="D2377" s="2">
        <v>38.4</v>
      </c>
      <c r="E2377" s="2">
        <v>0</v>
      </c>
      <c r="F2377" t="s">
        <v>27</v>
      </c>
      <c r="G2377" t="s">
        <v>9</v>
      </c>
    </row>
    <row r="2378" spans="1:7" x14ac:dyDescent="0.35">
      <c r="A2378">
        <v>936</v>
      </c>
      <c r="B2378" s="1">
        <v>45488</v>
      </c>
      <c r="C2378" t="s">
        <v>25</v>
      </c>
      <c r="D2378" s="2">
        <v>0</v>
      </c>
      <c r="E2378" s="2">
        <v>550.4</v>
      </c>
      <c r="F2378" t="s">
        <v>28</v>
      </c>
      <c r="G2378" t="s">
        <v>17</v>
      </c>
    </row>
    <row r="2379" spans="1:7" x14ac:dyDescent="0.35">
      <c r="A2379">
        <v>937</v>
      </c>
      <c r="B2379" s="1">
        <v>45488</v>
      </c>
      <c r="C2379" t="s">
        <v>25</v>
      </c>
      <c r="D2379" s="2">
        <v>1800.04</v>
      </c>
      <c r="E2379" s="2">
        <v>0</v>
      </c>
      <c r="F2379" t="s">
        <v>26</v>
      </c>
      <c r="G2379" t="s">
        <v>20</v>
      </c>
    </row>
    <row r="2380" spans="1:7" x14ac:dyDescent="0.35">
      <c r="A2380">
        <v>937</v>
      </c>
      <c r="B2380" s="1">
        <v>45488</v>
      </c>
      <c r="C2380" t="s">
        <v>25</v>
      </c>
      <c r="D2380" s="2">
        <v>135</v>
      </c>
      <c r="E2380" s="2">
        <v>0</v>
      </c>
      <c r="F2380" t="s">
        <v>27</v>
      </c>
      <c r="G2380" t="s">
        <v>9</v>
      </c>
    </row>
    <row r="2381" spans="1:7" x14ac:dyDescent="0.35">
      <c r="A2381">
        <v>937</v>
      </c>
      <c r="B2381" s="1">
        <v>45488</v>
      </c>
      <c r="C2381" t="s">
        <v>25</v>
      </c>
      <c r="D2381" s="2">
        <v>0</v>
      </c>
      <c r="E2381" s="2">
        <v>1935.04</v>
      </c>
      <c r="F2381" t="s">
        <v>28</v>
      </c>
      <c r="G2381" t="s">
        <v>17</v>
      </c>
    </row>
    <row r="2382" spans="1:7" x14ac:dyDescent="0.35">
      <c r="A2382">
        <v>938</v>
      </c>
      <c r="B2382" s="1">
        <v>45488</v>
      </c>
      <c r="C2382" t="s">
        <v>25</v>
      </c>
      <c r="D2382" s="2">
        <v>187.44</v>
      </c>
      <c r="E2382" s="2">
        <v>0</v>
      </c>
      <c r="F2382" t="s">
        <v>26</v>
      </c>
      <c r="G2382" t="s">
        <v>20</v>
      </c>
    </row>
    <row r="2383" spans="1:7" x14ac:dyDescent="0.35">
      <c r="A2383">
        <v>938</v>
      </c>
      <c r="B2383" s="1">
        <v>45488</v>
      </c>
      <c r="C2383" t="s">
        <v>25</v>
      </c>
      <c r="D2383" s="2">
        <v>14.06</v>
      </c>
      <c r="E2383" s="2">
        <v>0</v>
      </c>
      <c r="F2383" t="s">
        <v>27</v>
      </c>
      <c r="G2383" t="s">
        <v>9</v>
      </c>
    </row>
    <row r="2384" spans="1:7" x14ac:dyDescent="0.35">
      <c r="A2384">
        <v>938</v>
      </c>
      <c r="B2384" s="1">
        <v>45488</v>
      </c>
      <c r="C2384" t="s">
        <v>25</v>
      </c>
      <c r="D2384" s="2">
        <v>0</v>
      </c>
      <c r="E2384" s="2">
        <v>201.5</v>
      </c>
      <c r="F2384" t="s">
        <v>28</v>
      </c>
      <c r="G2384" t="s">
        <v>17</v>
      </c>
    </row>
    <row r="2385" spans="1:7" x14ac:dyDescent="0.35">
      <c r="A2385">
        <v>939</v>
      </c>
      <c r="B2385" s="1">
        <v>45488</v>
      </c>
      <c r="C2385" t="s">
        <v>25</v>
      </c>
      <c r="D2385" s="2">
        <v>1947.24</v>
      </c>
      <c r="E2385" s="2">
        <v>0</v>
      </c>
      <c r="F2385" t="s">
        <v>26</v>
      </c>
      <c r="G2385" t="s">
        <v>20</v>
      </c>
    </row>
    <row r="2386" spans="1:7" x14ac:dyDescent="0.35">
      <c r="A2386">
        <v>939</v>
      </c>
      <c r="B2386" s="1">
        <v>45488</v>
      </c>
      <c r="C2386" t="s">
        <v>25</v>
      </c>
      <c r="D2386" s="2">
        <v>146.04</v>
      </c>
      <c r="E2386" s="2">
        <v>0</v>
      </c>
      <c r="F2386" t="s">
        <v>27</v>
      </c>
      <c r="G2386" t="s">
        <v>9</v>
      </c>
    </row>
    <row r="2387" spans="1:7" x14ac:dyDescent="0.35">
      <c r="A2387">
        <v>939</v>
      </c>
      <c r="B2387" s="1">
        <v>45488</v>
      </c>
      <c r="C2387" t="s">
        <v>25</v>
      </c>
      <c r="D2387" s="2">
        <v>0</v>
      </c>
      <c r="E2387" s="2">
        <v>2093.2800000000002</v>
      </c>
      <c r="F2387" t="s">
        <v>28</v>
      </c>
      <c r="G2387" t="s">
        <v>17</v>
      </c>
    </row>
    <row r="2388" spans="1:7" x14ac:dyDescent="0.35">
      <c r="A2388">
        <v>940</v>
      </c>
      <c r="B2388" s="1">
        <v>45488</v>
      </c>
      <c r="C2388" t="s">
        <v>25</v>
      </c>
      <c r="D2388" s="2">
        <v>2714.58</v>
      </c>
      <c r="E2388" s="2">
        <v>0</v>
      </c>
      <c r="F2388" t="s">
        <v>26</v>
      </c>
      <c r="G2388" t="s">
        <v>20</v>
      </c>
    </row>
    <row r="2389" spans="1:7" x14ac:dyDescent="0.35">
      <c r="A2389">
        <v>940</v>
      </c>
      <c r="B2389" s="1">
        <v>45488</v>
      </c>
      <c r="C2389" t="s">
        <v>25</v>
      </c>
      <c r="D2389" s="2">
        <v>203.59</v>
      </c>
      <c r="E2389" s="2">
        <v>0</v>
      </c>
      <c r="F2389" t="s">
        <v>27</v>
      </c>
      <c r="G2389" t="s">
        <v>9</v>
      </c>
    </row>
    <row r="2390" spans="1:7" x14ac:dyDescent="0.35">
      <c r="A2390">
        <v>940</v>
      </c>
      <c r="B2390" s="1">
        <v>45488</v>
      </c>
      <c r="C2390" t="s">
        <v>25</v>
      </c>
      <c r="D2390" s="2">
        <v>0</v>
      </c>
      <c r="E2390" s="2">
        <v>2918.17</v>
      </c>
      <c r="F2390" t="s">
        <v>28</v>
      </c>
      <c r="G2390" t="s">
        <v>17</v>
      </c>
    </row>
    <row r="2391" spans="1:7" x14ac:dyDescent="0.35">
      <c r="A2391">
        <v>941</v>
      </c>
      <c r="B2391" s="1">
        <v>45488</v>
      </c>
      <c r="C2391" t="s">
        <v>25</v>
      </c>
      <c r="D2391" s="2">
        <v>166.52</v>
      </c>
      <c r="E2391" s="2">
        <v>0</v>
      </c>
      <c r="F2391" t="s">
        <v>26</v>
      </c>
      <c r="G2391" t="s">
        <v>20</v>
      </c>
    </row>
    <row r="2392" spans="1:7" x14ac:dyDescent="0.35">
      <c r="A2392">
        <v>941</v>
      </c>
      <c r="B2392" s="1">
        <v>45488</v>
      </c>
      <c r="C2392" t="s">
        <v>25</v>
      </c>
      <c r="D2392" s="2">
        <v>12.49</v>
      </c>
      <c r="E2392" s="2">
        <v>0</v>
      </c>
      <c r="F2392" t="s">
        <v>27</v>
      </c>
      <c r="G2392" t="s">
        <v>9</v>
      </c>
    </row>
    <row r="2393" spans="1:7" x14ac:dyDescent="0.35">
      <c r="A2393">
        <v>941</v>
      </c>
      <c r="B2393" s="1">
        <v>45488</v>
      </c>
      <c r="C2393" t="s">
        <v>25</v>
      </c>
      <c r="D2393" s="2">
        <v>0</v>
      </c>
      <c r="E2393" s="2">
        <v>179.01</v>
      </c>
      <c r="F2393" t="s">
        <v>28</v>
      </c>
      <c r="G2393" t="s">
        <v>17</v>
      </c>
    </row>
    <row r="2394" spans="1:7" x14ac:dyDescent="0.35">
      <c r="A2394">
        <v>942</v>
      </c>
      <c r="B2394" s="1">
        <v>45488</v>
      </c>
      <c r="C2394" t="s">
        <v>25</v>
      </c>
      <c r="D2394" s="2">
        <v>802.71</v>
      </c>
      <c r="E2394" s="2">
        <v>0</v>
      </c>
      <c r="F2394" t="s">
        <v>26</v>
      </c>
      <c r="G2394" t="s">
        <v>20</v>
      </c>
    </row>
    <row r="2395" spans="1:7" x14ac:dyDescent="0.35">
      <c r="A2395">
        <v>942</v>
      </c>
      <c r="B2395" s="1">
        <v>45488</v>
      </c>
      <c r="C2395" t="s">
        <v>25</v>
      </c>
      <c r="D2395" s="2">
        <v>60.2</v>
      </c>
      <c r="E2395" s="2">
        <v>0</v>
      </c>
      <c r="F2395" t="s">
        <v>27</v>
      </c>
      <c r="G2395" t="s">
        <v>9</v>
      </c>
    </row>
    <row r="2396" spans="1:7" x14ac:dyDescent="0.35">
      <c r="A2396">
        <v>942</v>
      </c>
      <c r="B2396" s="1">
        <v>45488</v>
      </c>
      <c r="C2396" t="s">
        <v>25</v>
      </c>
      <c r="D2396" s="2">
        <v>0</v>
      </c>
      <c r="E2396" s="2">
        <v>862.91</v>
      </c>
      <c r="F2396" t="s">
        <v>28</v>
      </c>
      <c r="G2396" t="s">
        <v>17</v>
      </c>
    </row>
    <row r="2397" spans="1:7" x14ac:dyDescent="0.35">
      <c r="A2397">
        <v>943</v>
      </c>
      <c r="B2397" s="1">
        <v>45488</v>
      </c>
      <c r="C2397" t="s">
        <v>25</v>
      </c>
      <c r="D2397" s="2">
        <v>1078.92</v>
      </c>
      <c r="E2397" s="2">
        <v>0</v>
      </c>
      <c r="F2397" t="s">
        <v>26</v>
      </c>
      <c r="G2397" t="s">
        <v>20</v>
      </c>
    </row>
    <row r="2398" spans="1:7" x14ac:dyDescent="0.35">
      <c r="A2398">
        <v>943</v>
      </c>
      <c r="B2398" s="1">
        <v>45488</v>
      </c>
      <c r="C2398" t="s">
        <v>25</v>
      </c>
      <c r="D2398" s="2">
        <v>80.92</v>
      </c>
      <c r="E2398" s="2">
        <v>0</v>
      </c>
      <c r="F2398" t="s">
        <v>27</v>
      </c>
      <c r="G2398" t="s">
        <v>9</v>
      </c>
    </row>
    <row r="2399" spans="1:7" x14ac:dyDescent="0.35">
      <c r="A2399">
        <v>943</v>
      </c>
      <c r="B2399" s="1">
        <v>45488</v>
      </c>
      <c r="C2399" t="s">
        <v>25</v>
      </c>
      <c r="D2399" s="2">
        <v>0</v>
      </c>
      <c r="E2399" s="2">
        <v>1159.8399999999999</v>
      </c>
      <c r="F2399" t="s">
        <v>28</v>
      </c>
      <c r="G2399" t="s">
        <v>17</v>
      </c>
    </row>
    <row r="2400" spans="1:7" x14ac:dyDescent="0.35">
      <c r="A2400">
        <v>944</v>
      </c>
      <c r="B2400" s="1">
        <v>45488</v>
      </c>
      <c r="C2400" t="s">
        <v>29</v>
      </c>
      <c r="D2400" s="2">
        <v>862.91</v>
      </c>
      <c r="E2400" s="2">
        <v>0</v>
      </c>
      <c r="F2400" t="s">
        <v>28</v>
      </c>
      <c r="G2400" t="s">
        <v>17</v>
      </c>
    </row>
    <row r="2401" spans="1:7" x14ac:dyDescent="0.35">
      <c r="A2401">
        <v>944</v>
      </c>
      <c r="B2401" s="1">
        <v>45488</v>
      </c>
      <c r="C2401" t="s">
        <v>29</v>
      </c>
      <c r="D2401" s="2">
        <v>0</v>
      </c>
      <c r="E2401" s="2">
        <v>862.91</v>
      </c>
      <c r="F2401" t="s">
        <v>8</v>
      </c>
      <c r="G2401" t="s">
        <v>9</v>
      </c>
    </row>
    <row r="2402" spans="1:7" x14ac:dyDescent="0.35">
      <c r="A2402">
        <v>945</v>
      </c>
      <c r="B2402" s="1">
        <v>45489</v>
      </c>
      <c r="C2402" t="s">
        <v>12</v>
      </c>
      <c r="D2402" s="2">
        <v>660.87</v>
      </c>
      <c r="E2402" s="2">
        <v>0</v>
      </c>
      <c r="F2402" t="s">
        <v>13</v>
      </c>
      <c r="G2402" t="s">
        <v>9</v>
      </c>
    </row>
    <row r="2403" spans="1:7" x14ac:dyDescent="0.35">
      <c r="A2403">
        <v>945</v>
      </c>
      <c r="B2403" s="1">
        <v>45489</v>
      </c>
      <c r="C2403" t="s">
        <v>12</v>
      </c>
      <c r="D2403" s="2">
        <v>0</v>
      </c>
      <c r="E2403" s="2">
        <v>614.76</v>
      </c>
      <c r="F2403" t="s">
        <v>14</v>
      </c>
      <c r="G2403" t="s">
        <v>15</v>
      </c>
    </row>
    <row r="2404" spans="1:7" x14ac:dyDescent="0.35">
      <c r="A2404">
        <v>945</v>
      </c>
      <c r="B2404" s="1">
        <v>45489</v>
      </c>
      <c r="C2404" t="s">
        <v>12</v>
      </c>
      <c r="D2404" s="2">
        <v>0</v>
      </c>
      <c r="E2404" s="2">
        <v>46.11</v>
      </c>
      <c r="F2404" t="s">
        <v>16</v>
      </c>
      <c r="G2404" t="s">
        <v>17</v>
      </c>
    </row>
    <row r="2405" spans="1:7" x14ac:dyDescent="0.35">
      <c r="A2405">
        <v>946</v>
      </c>
      <c r="B2405" s="1">
        <v>45489</v>
      </c>
      <c r="C2405" t="s">
        <v>12</v>
      </c>
      <c r="D2405" s="2">
        <v>2465.69</v>
      </c>
      <c r="E2405" s="2">
        <v>0</v>
      </c>
      <c r="F2405" t="s">
        <v>13</v>
      </c>
      <c r="G2405" t="s">
        <v>9</v>
      </c>
    </row>
    <row r="2406" spans="1:7" x14ac:dyDescent="0.35">
      <c r="A2406">
        <v>946</v>
      </c>
      <c r="B2406" s="1">
        <v>45489</v>
      </c>
      <c r="C2406" t="s">
        <v>12</v>
      </c>
      <c r="D2406" s="2">
        <v>0</v>
      </c>
      <c r="E2406" s="2">
        <v>2293.66</v>
      </c>
      <c r="F2406" t="s">
        <v>14</v>
      </c>
      <c r="G2406" t="s">
        <v>15</v>
      </c>
    </row>
    <row r="2407" spans="1:7" x14ac:dyDescent="0.35">
      <c r="A2407">
        <v>946</v>
      </c>
      <c r="B2407" s="1">
        <v>45489</v>
      </c>
      <c r="C2407" t="s">
        <v>12</v>
      </c>
      <c r="D2407" s="2">
        <v>0</v>
      </c>
      <c r="E2407" s="2">
        <v>172.03</v>
      </c>
      <c r="F2407" t="s">
        <v>16</v>
      </c>
      <c r="G2407" t="s">
        <v>17</v>
      </c>
    </row>
    <row r="2408" spans="1:7" x14ac:dyDescent="0.35">
      <c r="A2408">
        <v>947</v>
      </c>
      <c r="B2408" s="1">
        <v>45489</v>
      </c>
      <c r="C2408" t="s">
        <v>12</v>
      </c>
      <c r="D2408" s="2">
        <v>1067.69</v>
      </c>
      <c r="E2408" s="2">
        <v>0</v>
      </c>
      <c r="F2408" t="s">
        <v>13</v>
      </c>
      <c r="G2408" t="s">
        <v>9</v>
      </c>
    </row>
    <row r="2409" spans="1:7" x14ac:dyDescent="0.35">
      <c r="A2409">
        <v>947</v>
      </c>
      <c r="B2409" s="1">
        <v>45489</v>
      </c>
      <c r="C2409" t="s">
        <v>12</v>
      </c>
      <c r="D2409" s="2">
        <v>0</v>
      </c>
      <c r="E2409" s="2">
        <v>993.2</v>
      </c>
      <c r="F2409" t="s">
        <v>14</v>
      </c>
      <c r="G2409" t="s">
        <v>15</v>
      </c>
    </row>
    <row r="2410" spans="1:7" x14ac:dyDescent="0.35">
      <c r="A2410">
        <v>947</v>
      </c>
      <c r="B2410" s="1">
        <v>45489</v>
      </c>
      <c r="C2410" t="s">
        <v>12</v>
      </c>
      <c r="D2410" s="2">
        <v>0</v>
      </c>
      <c r="E2410" s="2">
        <v>74.489999999999995</v>
      </c>
      <c r="F2410" t="s">
        <v>16</v>
      </c>
      <c r="G2410" t="s">
        <v>17</v>
      </c>
    </row>
    <row r="2411" spans="1:7" x14ac:dyDescent="0.35">
      <c r="A2411">
        <v>948</v>
      </c>
      <c r="B2411" s="1">
        <v>45489</v>
      </c>
      <c r="C2411" t="s">
        <v>12</v>
      </c>
      <c r="D2411" s="2">
        <v>715.61</v>
      </c>
      <c r="E2411" s="2">
        <v>0</v>
      </c>
      <c r="F2411" t="s">
        <v>13</v>
      </c>
      <c r="G2411" t="s">
        <v>9</v>
      </c>
    </row>
    <row r="2412" spans="1:7" x14ac:dyDescent="0.35">
      <c r="A2412">
        <v>948</v>
      </c>
      <c r="B2412" s="1">
        <v>45489</v>
      </c>
      <c r="C2412" t="s">
        <v>12</v>
      </c>
      <c r="D2412" s="2">
        <v>0</v>
      </c>
      <c r="E2412" s="2">
        <v>665.68</v>
      </c>
      <c r="F2412" t="s">
        <v>14</v>
      </c>
      <c r="G2412" t="s">
        <v>15</v>
      </c>
    </row>
    <row r="2413" spans="1:7" x14ac:dyDescent="0.35">
      <c r="A2413">
        <v>948</v>
      </c>
      <c r="B2413" s="1">
        <v>45489</v>
      </c>
      <c r="C2413" t="s">
        <v>12</v>
      </c>
      <c r="D2413" s="2">
        <v>0</v>
      </c>
      <c r="E2413" s="2">
        <v>49.93</v>
      </c>
      <c r="F2413" t="s">
        <v>16</v>
      </c>
      <c r="G2413" t="s">
        <v>17</v>
      </c>
    </row>
    <row r="2414" spans="1:7" x14ac:dyDescent="0.35">
      <c r="A2414">
        <v>949</v>
      </c>
      <c r="B2414" s="1">
        <v>45489</v>
      </c>
      <c r="C2414" t="s">
        <v>24</v>
      </c>
      <c r="D2414" s="2">
        <v>108.02</v>
      </c>
      <c r="E2414" s="2">
        <v>0</v>
      </c>
      <c r="F2414" t="s">
        <v>8</v>
      </c>
      <c r="G2414" t="s">
        <v>9</v>
      </c>
    </row>
    <row r="2415" spans="1:7" x14ac:dyDescent="0.35">
      <c r="A2415">
        <v>949</v>
      </c>
      <c r="B2415" s="1">
        <v>45489</v>
      </c>
      <c r="C2415" t="s">
        <v>24</v>
      </c>
      <c r="D2415" s="2">
        <v>0</v>
      </c>
      <c r="E2415" s="2">
        <v>108.02</v>
      </c>
      <c r="F2415" t="s">
        <v>13</v>
      </c>
      <c r="G2415" t="s">
        <v>9</v>
      </c>
    </row>
    <row r="2416" spans="1:7" x14ac:dyDescent="0.35">
      <c r="A2416">
        <v>950</v>
      </c>
      <c r="B2416" s="1">
        <v>45489</v>
      </c>
      <c r="C2416" t="s">
        <v>24</v>
      </c>
      <c r="D2416" s="2">
        <v>4819.24</v>
      </c>
      <c r="E2416" s="2">
        <v>0</v>
      </c>
      <c r="F2416" t="s">
        <v>8</v>
      </c>
      <c r="G2416" t="s">
        <v>9</v>
      </c>
    </row>
    <row r="2417" spans="1:7" x14ac:dyDescent="0.35">
      <c r="A2417">
        <v>950</v>
      </c>
      <c r="B2417" s="1">
        <v>45489</v>
      </c>
      <c r="C2417" t="s">
        <v>24</v>
      </c>
      <c r="D2417" s="2">
        <v>0</v>
      </c>
      <c r="E2417" s="2">
        <v>4819.24</v>
      </c>
      <c r="F2417" t="s">
        <v>13</v>
      </c>
      <c r="G2417" t="s">
        <v>9</v>
      </c>
    </row>
    <row r="2418" spans="1:7" x14ac:dyDescent="0.35">
      <c r="A2418">
        <v>951</v>
      </c>
      <c r="B2418" s="1">
        <v>45489</v>
      </c>
      <c r="C2418" t="s">
        <v>25</v>
      </c>
      <c r="D2418" s="2">
        <v>696.06</v>
      </c>
      <c r="E2418" s="2">
        <v>0</v>
      </c>
      <c r="F2418" t="s">
        <v>26</v>
      </c>
      <c r="G2418" t="s">
        <v>20</v>
      </c>
    </row>
    <row r="2419" spans="1:7" x14ac:dyDescent="0.35">
      <c r="A2419">
        <v>951</v>
      </c>
      <c r="B2419" s="1">
        <v>45489</v>
      </c>
      <c r="C2419" t="s">
        <v>25</v>
      </c>
      <c r="D2419" s="2">
        <v>52.2</v>
      </c>
      <c r="E2419" s="2">
        <v>0</v>
      </c>
      <c r="F2419" t="s">
        <v>27</v>
      </c>
      <c r="G2419" t="s">
        <v>9</v>
      </c>
    </row>
    <row r="2420" spans="1:7" x14ac:dyDescent="0.35">
      <c r="A2420">
        <v>951</v>
      </c>
      <c r="B2420" s="1">
        <v>45489</v>
      </c>
      <c r="C2420" t="s">
        <v>25</v>
      </c>
      <c r="D2420" s="2">
        <v>0</v>
      </c>
      <c r="E2420" s="2">
        <v>748.26</v>
      </c>
      <c r="F2420" t="s">
        <v>28</v>
      </c>
      <c r="G2420" t="s">
        <v>17</v>
      </c>
    </row>
    <row r="2421" spans="1:7" x14ac:dyDescent="0.35">
      <c r="A2421">
        <v>952</v>
      </c>
      <c r="B2421" s="1">
        <v>45490</v>
      </c>
      <c r="C2421" t="s">
        <v>12</v>
      </c>
      <c r="D2421" s="2">
        <v>4087.9</v>
      </c>
      <c r="E2421" s="2">
        <v>0</v>
      </c>
      <c r="F2421" t="s">
        <v>13</v>
      </c>
      <c r="G2421" t="s">
        <v>9</v>
      </c>
    </row>
    <row r="2422" spans="1:7" x14ac:dyDescent="0.35">
      <c r="A2422">
        <v>952</v>
      </c>
      <c r="B2422" s="1">
        <v>45490</v>
      </c>
      <c r="C2422" t="s">
        <v>12</v>
      </c>
      <c r="D2422" s="2">
        <v>0</v>
      </c>
      <c r="E2422" s="2">
        <v>3802.7</v>
      </c>
      <c r="F2422" t="s">
        <v>14</v>
      </c>
      <c r="G2422" t="s">
        <v>15</v>
      </c>
    </row>
    <row r="2423" spans="1:7" x14ac:dyDescent="0.35">
      <c r="A2423">
        <v>952</v>
      </c>
      <c r="B2423" s="1">
        <v>45490</v>
      </c>
      <c r="C2423" t="s">
        <v>12</v>
      </c>
      <c r="D2423" s="2">
        <v>0</v>
      </c>
      <c r="E2423" s="2">
        <v>285.2</v>
      </c>
      <c r="F2423" t="s">
        <v>16</v>
      </c>
      <c r="G2423" t="s">
        <v>17</v>
      </c>
    </row>
    <row r="2424" spans="1:7" x14ac:dyDescent="0.35">
      <c r="A2424">
        <v>953</v>
      </c>
      <c r="B2424" s="1">
        <v>45490</v>
      </c>
      <c r="C2424" t="s">
        <v>24</v>
      </c>
      <c r="D2424" s="2">
        <v>2667.76</v>
      </c>
      <c r="E2424" s="2">
        <v>0</v>
      </c>
      <c r="F2424" t="s">
        <v>8</v>
      </c>
      <c r="G2424" t="s">
        <v>9</v>
      </c>
    </row>
    <row r="2425" spans="1:7" x14ac:dyDescent="0.35">
      <c r="A2425">
        <v>953</v>
      </c>
      <c r="B2425" s="1">
        <v>45490</v>
      </c>
      <c r="C2425" t="s">
        <v>24</v>
      </c>
      <c r="D2425" s="2">
        <v>0</v>
      </c>
      <c r="E2425" s="2">
        <v>2667.76</v>
      </c>
      <c r="F2425" t="s">
        <v>13</v>
      </c>
      <c r="G2425" t="s">
        <v>9</v>
      </c>
    </row>
    <row r="2426" spans="1:7" x14ac:dyDescent="0.35">
      <c r="A2426">
        <v>954</v>
      </c>
      <c r="B2426" s="1">
        <v>45490</v>
      </c>
      <c r="C2426" t="s">
        <v>29</v>
      </c>
      <c r="D2426" s="2">
        <v>2504.23</v>
      </c>
      <c r="E2426" s="2">
        <v>0</v>
      </c>
      <c r="F2426" t="s">
        <v>28</v>
      </c>
      <c r="G2426" t="s">
        <v>17</v>
      </c>
    </row>
    <row r="2427" spans="1:7" x14ac:dyDescent="0.35">
      <c r="A2427">
        <v>954</v>
      </c>
      <c r="B2427" s="1">
        <v>45490</v>
      </c>
      <c r="C2427" t="s">
        <v>29</v>
      </c>
      <c r="D2427" s="2">
        <v>0</v>
      </c>
      <c r="E2427" s="2">
        <v>2504.23</v>
      </c>
      <c r="F2427" t="s">
        <v>8</v>
      </c>
      <c r="G2427" t="s">
        <v>9</v>
      </c>
    </row>
    <row r="2428" spans="1:7" x14ac:dyDescent="0.35">
      <c r="A2428">
        <v>955</v>
      </c>
      <c r="B2428" s="1">
        <v>45490</v>
      </c>
      <c r="C2428" t="s">
        <v>29</v>
      </c>
      <c r="D2428" s="2">
        <v>1023.42</v>
      </c>
      <c r="E2428" s="2">
        <v>0</v>
      </c>
      <c r="F2428" t="s">
        <v>28</v>
      </c>
      <c r="G2428" t="s">
        <v>17</v>
      </c>
    </row>
    <row r="2429" spans="1:7" x14ac:dyDescent="0.35">
      <c r="A2429">
        <v>955</v>
      </c>
      <c r="B2429" s="1">
        <v>45490</v>
      </c>
      <c r="C2429" t="s">
        <v>29</v>
      </c>
      <c r="D2429" s="2">
        <v>0</v>
      </c>
      <c r="E2429" s="2">
        <v>1023.42</v>
      </c>
      <c r="F2429" t="s">
        <v>8</v>
      </c>
      <c r="G2429" t="s">
        <v>9</v>
      </c>
    </row>
    <row r="2430" spans="1:7" x14ac:dyDescent="0.35">
      <c r="A2430">
        <v>956</v>
      </c>
      <c r="B2430" s="1">
        <v>45490</v>
      </c>
      <c r="C2430" t="s">
        <v>29</v>
      </c>
      <c r="D2430" s="2">
        <v>1159.8399999999999</v>
      </c>
      <c r="E2430" s="2">
        <v>0</v>
      </c>
      <c r="F2430" t="s">
        <v>28</v>
      </c>
      <c r="G2430" t="s">
        <v>17</v>
      </c>
    </row>
    <row r="2431" spans="1:7" x14ac:dyDescent="0.35">
      <c r="A2431">
        <v>956</v>
      </c>
      <c r="B2431" s="1">
        <v>45490</v>
      </c>
      <c r="C2431" t="s">
        <v>29</v>
      </c>
      <c r="D2431" s="2">
        <v>0</v>
      </c>
      <c r="E2431" s="2">
        <v>1159.8399999999999</v>
      </c>
      <c r="F2431" t="s">
        <v>8</v>
      </c>
      <c r="G2431" t="s">
        <v>9</v>
      </c>
    </row>
    <row r="2432" spans="1:7" x14ac:dyDescent="0.35">
      <c r="A2432">
        <v>957</v>
      </c>
      <c r="B2432" s="1">
        <v>45491</v>
      </c>
      <c r="C2432" t="s">
        <v>18</v>
      </c>
      <c r="D2432" s="2">
        <v>22313.89</v>
      </c>
      <c r="E2432" s="2">
        <v>0</v>
      </c>
      <c r="F2432" t="s">
        <v>19</v>
      </c>
      <c r="G2432" t="s">
        <v>20</v>
      </c>
    </row>
    <row r="2433" spans="1:7" x14ac:dyDescent="0.35">
      <c r="A2433">
        <v>957</v>
      </c>
      <c r="B2433" s="1">
        <v>45491</v>
      </c>
      <c r="C2433" t="s">
        <v>18</v>
      </c>
      <c r="D2433" s="2">
        <v>892.55</v>
      </c>
      <c r="E2433" s="2">
        <v>0</v>
      </c>
      <c r="F2433" t="s">
        <v>21</v>
      </c>
      <c r="G2433" t="s">
        <v>20</v>
      </c>
    </row>
    <row r="2434" spans="1:7" x14ac:dyDescent="0.35">
      <c r="A2434">
        <v>957</v>
      </c>
      <c r="B2434" s="1">
        <v>45491</v>
      </c>
      <c r="C2434" t="s">
        <v>18</v>
      </c>
      <c r="D2434" s="2">
        <v>0</v>
      </c>
      <c r="E2434" s="2">
        <v>18244.62</v>
      </c>
      <c r="F2434" t="s">
        <v>8</v>
      </c>
      <c r="G2434" t="s">
        <v>9</v>
      </c>
    </row>
    <row r="2435" spans="1:7" x14ac:dyDescent="0.35">
      <c r="A2435">
        <v>957</v>
      </c>
      <c r="B2435" s="1">
        <v>45491</v>
      </c>
      <c r="C2435" t="s">
        <v>18</v>
      </c>
      <c r="D2435" s="2">
        <v>0</v>
      </c>
      <c r="E2435" s="2">
        <v>4069.27</v>
      </c>
      <c r="F2435" t="s">
        <v>22</v>
      </c>
      <c r="G2435" t="s">
        <v>17</v>
      </c>
    </row>
    <row r="2436" spans="1:7" x14ac:dyDescent="0.35">
      <c r="A2436">
        <v>957</v>
      </c>
      <c r="B2436" s="1">
        <v>45491</v>
      </c>
      <c r="C2436" t="s">
        <v>18</v>
      </c>
      <c r="D2436" s="2">
        <v>0</v>
      </c>
      <c r="E2436" s="2">
        <v>892.55</v>
      </c>
      <c r="F2436" t="s">
        <v>23</v>
      </c>
      <c r="G2436" t="s">
        <v>17</v>
      </c>
    </row>
    <row r="2437" spans="1:7" x14ac:dyDescent="0.35">
      <c r="A2437">
        <v>958</v>
      </c>
      <c r="B2437" s="1">
        <v>45491</v>
      </c>
      <c r="C2437" t="s">
        <v>12</v>
      </c>
      <c r="D2437" s="2">
        <v>1478.19</v>
      </c>
      <c r="E2437" s="2">
        <v>0</v>
      </c>
      <c r="F2437" t="s">
        <v>13</v>
      </c>
      <c r="G2437" t="s">
        <v>9</v>
      </c>
    </row>
    <row r="2438" spans="1:7" x14ac:dyDescent="0.35">
      <c r="A2438">
        <v>958</v>
      </c>
      <c r="B2438" s="1">
        <v>45491</v>
      </c>
      <c r="C2438" t="s">
        <v>12</v>
      </c>
      <c r="D2438" s="2">
        <v>0</v>
      </c>
      <c r="E2438" s="2">
        <v>1375.06</v>
      </c>
      <c r="F2438" t="s">
        <v>14</v>
      </c>
      <c r="G2438" t="s">
        <v>15</v>
      </c>
    </row>
    <row r="2439" spans="1:7" x14ac:dyDescent="0.35">
      <c r="A2439">
        <v>958</v>
      </c>
      <c r="B2439" s="1">
        <v>45491</v>
      </c>
      <c r="C2439" t="s">
        <v>12</v>
      </c>
      <c r="D2439" s="2">
        <v>0</v>
      </c>
      <c r="E2439" s="2">
        <v>103.13</v>
      </c>
      <c r="F2439" t="s">
        <v>16</v>
      </c>
      <c r="G2439" t="s">
        <v>17</v>
      </c>
    </row>
    <row r="2440" spans="1:7" x14ac:dyDescent="0.35">
      <c r="A2440">
        <v>959</v>
      </c>
      <c r="B2440" s="1">
        <v>45491</v>
      </c>
      <c r="C2440" t="s">
        <v>12</v>
      </c>
      <c r="D2440" s="2">
        <v>2632.62</v>
      </c>
      <c r="E2440" s="2">
        <v>0</v>
      </c>
      <c r="F2440" t="s">
        <v>13</v>
      </c>
      <c r="G2440" t="s">
        <v>9</v>
      </c>
    </row>
    <row r="2441" spans="1:7" x14ac:dyDescent="0.35">
      <c r="A2441">
        <v>959</v>
      </c>
      <c r="B2441" s="1">
        <v>45491</v>
      </c>
      <c r="C2441" t="s">
        <v>12</v>
      </c>
      <c r="D2441" s="2">
        <v>0</v>
      </c>
      <c r="E2441" s="2">
        <v>2448.9499999999998</v>
      </c>
      <c r="F2441" t="s">
        <v>14</v>
      </c>
      <c r="G2441" t="s">
        <v>15</v>
      </c>
    </row>
    <row r="2442" spans="1:7" x14ac:dyDescent="0.35">
      <c r="A2442">
        <v>959</v>
      </c>
      <c r="B2442" s="1">
        <v>45491</v>
      </c>
      <c r="C2442" t="s">
        <v>12</v>
      </c>
      <c r="D2442" s="2">
        <v>0</v>
      </c>
      <c r="E2442" s="2">
        <v>183.67</v>
      </c>
      <c r="F2442" t="s">
        <v>16</v>
      </c>
      <c r="G2442" t="s">
        <v>17</v>
      </c>
    </row>
    <row r="2443" spans="1:7" x14ac:dyDescent="0.35">
      <c r="A2443">
        <v>960</v>
      </c>
      <c r="B2443" s="1">
        <v>45491</v>
      </c>
      <c r="C2443" t="s">
        <v>12</v>
      </c>
      <c r="D2443" s="2">
        <v>2664.45</v>
      </c>
      <c r="E2443" s="2">
        <v>0</v>
      </c>
      <c r="F2443" t="s">
        <v>13</v>
      </c>
      <c r="G2443" t="s">
        <v>9</v>
      </c>
    </row>
    <row r="2444" spans="1:7" x14ac:dyDescent="0.35">
      <c r="A2444">
        <v>960</v>
      </c>
      <c r="B2444" s="1">
        <v>45491</v>
      </c>
      <c r="C2444" t="s">
        <v>12</v>
      </c>
      <c r="D2444" s="2">
        <v>0</v>
      </c>
      <c r="E2444" s="2">
        <v>2478.5500000000002</v>
      </c>
      <c r="F2444" t="s">
        <v>14</v>
      </c>
      <c r="G2444" t="s">
        <v>15</v>
      </c>
    </row>
    <row r="2445" spans="1:7" x14ac:dyDescent="0.35">
      <c r="A2445">
        <v>960</v>
      </c>
      <c r="B2445" s="1">
        <v>45491</v>
      </c>
      <c r="C2445" t="s">
        <v>12</v>
      </c>
      <c r="D2445" s="2">
        <v>0</v>
      </c>
      <c r="E2445" s="2">
        <v>185.9</v>
      </c>
      <c r="F2445" t="s">
        <v>16</v>
      </c>
      <c r="G2445" t="s">
        <v>17</v>
      </c>
    </row>
    <row r="2446" spans="1:7" x14ac:dyDescent="0.35">
      <c r="A2446">
        <v>961</v>
      </c>
      <c r="B2446" s="1">
        <v>45491</v>
      </c>
      <c r="C2446" t="s">
        <v>24</v>
      </c>
      <c r="D2446" s="2">
        <v>1508.22</v>
      </c>
      <c r="E2446" s="2">
        <v>0</v>
      </c>
      <c r="F2446" t="s">
        <v>8</v>
      </c>
      <c r="G2446" t="s">
        <v>9</v>
      </c>
    </row>
    <row r="2447" spans="1:7" x14ac:dyDescent="0.35">
      <c r="A2447">
        <v>961</v>
      </c>
      <c r="B2447" s="1">
        <v>45491</v>
      </c>
      <c r="C2447" t="s">
        <v>24</v>
      </c>
      <c r="D2447" s="2">
        <v>0</v>
      </c>
      <c r="E2447" s="2">
        <v>1508.22</v>
      </c>
      <c r="F2447" t="s">
        <v>13</v>
      </c>
      <c r="G2447" t="s">
        <v>9</v>
      </c>
    </row>
    <row r="2448" spans="1:7" x14ac:dyDescent="0.35">
      <c r="A2448">
        <v>962</v>
      </c>
      <c r="B2448" s="1">
        <v>45491</v>
      </c>
      <c r="C2448" t="s">
        <v>24</v>
      </c>
      <c r="D2448" s="2">
        <v>2262.42</v>
      </c>
      <c r="E2448" s="2">
        <v>0</v>
      </c>
      <c r="F2448" t="s">
        <v>8</v>
      </c>
      <c r="G2448" t="s">
        <v>9</v>
      </c>
    </row>
    <row r="2449" spans="1:7" x14ac:dyDescent="0.35">
      <c r="A2449">
        <v>962</v>
      </c>
      <c r="B2449" s="1">
        <v>45491</v>
      </c>
      <c r="C2449" t="s">
        <v>24</v>
      </c>
      <c r="D2449" s="2">
        <v>0</v>
      </c>
      <c r="E2449" s="2">
        <v>2262.42</v>
      </c>
      <c r="F2449" t="s">
        <v>13</v>
      </c>
      <c r="G2449" t="s">
        <v>9</v>
      </c>
    </row>
    <row r="2450" spans="1:7" x14ac:dyDescent="0.35">
      <c r="A2450">
        <v>963</v>
      </c>
      <c r="B2450" s="1">
        <v>45491</v>
      </c>
      <c r="C2450" t="s">
        <v>24</v>
      </c>
      <c r="D2450" s="2">
        <v>97.01</v>
      </c>
      <c r="E2450" s="2">
        <v>0</v>
      </c>
      <c r="F2450" t="s">
        <v>8</v>
      </c>
      <c r="G2450" t="s">
        <v>9</v>
      </c>
    </row>
    <row r="2451" spans="1:7" x14ac:dyDescent="0.35">
      <c r="A2451">
        <v>963</v>
      </c>
      <c r="B2451" s="1">
        <v>45491</v>
      </c>
      <c r="C2451" t="s">
        <v>24</v>
      </c>
      <c r="D2451" s="2">
        <v>0</v>
      </c>
      <c r="E2451" s="2">
        <v>97.01</v>
      </c>
      <c r="F2451" t="s">
        <v>13</v>
      </c>
      <c r="G2451" t="s">
        <v>9</v>
      </c>
    </row>
    <row r="2452" spans="1:7" x14ac:dyDescent="0.35">
      <c r="A2452">
        <v>964</v>
      </c>
      <c r="B2452" s="1">
        <v>45491</v>
      </c>
      <c r="C2452" t="s">
        <v>24</v>
      </c>
      <c r="D2452" s="2">
        <v>2934.63</v>
      </c>
      <c r="E2452" s="2">
        <v>0</v>
      </c>
      <c r="F2452" t="s">
        <v>8</v>
      </c>
      <c r="G2452" t="s">
        <v>9</v>
      </c>
    </row>
    <row r="2453" spans="1:7" x14ac:dyDescent="0.35">
      <c r="A2453">
        <v>964</v>
      </c>
      <c r="B2453" s="1">
        <v>45491</v>
      </c>
      <c r="C2453" t="s">
        <v>24</v>
      </c>
      <c r="D2453" s="2">
        <v>0</v>
      </c>
      <c r="E2453" s="2">
        <v>2934.63</v>
      </c>
      <c r="F2453" t="s">
        <v>13</v>
      </c>
      <c r="G2453" t="s">
        <v>9</v>
      </c>
    </row>
    <row r="2454" spans="1:7" x14ac:dyDescent="0.35">
      <c r="A2454">
        <v>965</v>
      </c>
      <c r="B2454" s="1">
        <v>45491</v>
      </c>
      <c r="C2454" t="s">
        <v>24</v>
      </c>
      <c r="D2454" s="2">
        <v>1081.5999999999999</v>
      </c>
      <c r="E2454" s="2">
        <v>0</v>
      </c>
      <c r="F2454" t="s">
        <v>8</v>
      </c>
      <c r="G2454" t="s">
        <v>9</v>
      </c>
    </row>
    <row r="2455" spans="1:7" x14ac:dyDescent="0.35">
      <c r="A2455">
        <v>965</v>
      </c>
      <c r="B2455" s="1">
        <v>45491</v>
      </c>
      <c r="C2455" t="s">
        <v>24</v>
      </c>
      <c r="D2455" s="2">
        <v>0</v>
      </c>
      <c r="E2455" s="2">
        <v>1081.5999999999999</v>
      </c>
      <c r="F2455" t="s">
        <v>13</v>
      </c>
      <c r="G2455" t="s">
        <v>9</v>
      </c>
    </row>
    <row r="2456" spans="1:7" x14ac:dyDescent="0.35">
      <c r="A2456">
        <v>966</v>
      </c>
      <c r="B2456" s="1">
        <v>45491</v>
      </c>
      <c r="C2456" t="s">
        <v>24</v>
      </c>
      <c r="D2456" s="2">
        <v>2555.1</v>
      </c>
      <c r="E2456" s="2">
        <v>0</v>
      </c>
      <c r="F2456" t="s">
        <v>8</v>
      </c>
      <c r="G2456" t="s">
        <v>9</v>
      </c>
    </row>
    <row r="2457" spans="1:7" x14ac:dyDescent="0.35">
      <c r="A2457">
        <v>966</v>
      </c>
      <c r="B2457" s="1">
        <v>45491</v>
      </c>
      <c r="C2457" t="s">
        <v>24</v>
      </c>
      <c r="D2457" s="2">
        <v>0</v>
      </c>
      <c r="E2457" s="2">
        <v>2555.1</v>
      </c>
      <c r="F2457" t="s">
        <v>13</v>
      </c>
      <c r="G2457" t="s">
        <v>9</v>
      </c>
    </row>
    <row r="2458" spans="1:7" x14ac:dyDescent="0.35">
      <c r="A2458">
        <v>967</v>
      </c>
      <c r="B2458" s="1">
        <v>45492</v>
      </c>
      <c r="C2458" t="s">
        <v>12</v>
      </c>
      <c r="D2458" s="2">
        <v>1015.38</v>
      </c>
      <c r="E2458" s="2">
        <v>0</v>
      </c>
      <c r="F2458" t="s">
        <v>13</v>
      </c>
      <c r="G2458" t="s">
        <v>9</v>
      </c>
    </row>
    <row r="2459" spans="1:7" x14ac:dyDescent="0.35">
      <c r="A2459">
        <v>967</v>
      </c>
      <c r="B2459" s="1">
        <v>45492</v>
      </c>
      <c r="C2459" t="s">
        <v>12</v>
      </c>
      <c r="D2459" s="2">
        <v>0</v>
      </c>
      <c r="E2459" s="2">
        <v>944.54</v>
      </c>
      <c r="F2459" t="s">
        <v>14</v>
      </c>
      <c r="G2459" t="s">
        <v>15</v>
      </c>
    </row>
    <row r="2460" spans="1:7" x14ac:dyDescent="0.35">
      <c r="A2460">
        <v>967</v>
      </c>
      <c r="B2460" s="1">
        <v>45492</v>
      </c>
      <c r="C2460" t="s">
        <v>12</v>
      </c>
      <c r="D2460" s="2">
        <v>0</v>
      </c>
      <c r="E2460" s="2">
        <v>70.84</v>
      </c>
      <c r="F2460" t="s">
        <v>16</v>
      </c>
      <c r="G2460" t="s">
        <v>17</v>
      </c>
    </row>
    <row r="2461" spans="1:7" x14ac:dyDescent="0.35">
      <c r="A2461">
        <v>968</v>
      </c>
      <c r="B2461" s="1">
        <v>45492</v>
      </c>
      <c r="C2461" t="s">
        <v>24</v>
      </c>
      <c r="D2461" s="2">
        <v>173.89</v>
      </c>
      <c r="E2461" s="2">
        <v>0</v>
      </c>
      <c r="F2461" t="s">
        <v>8</v>
      </c>
      <c r="G2461" t="s">
        <v>9</v>
      </c>
    </row>
    <row r="2462" spans="1:7" x14ac:dyDescent="0.35">
      <c r="A2462">
        <v>968</v>
      </c>
      <c r="B2462" s="1">
        <v>45492</v>
      </c>
      <c r="C2462" t="s">
        <v>24</v>
      </c>
      <c r="D2462" s="2">
        <v>0</v>
      </c>
      <c r="E2462" s="2">
        <v>173.89</v>
      </c>
      <c r="F2462" t="s">
        <v>13</v>
      </c>
      <c r="G2462" t="s">
        <v>9</v>
      </c>
    </row>
    <row r="2463" spans="1:7" x14ac:dyDescent="0.35">
      <c r="A2463">
        <v>969</v>
      </c>
      <c r="B2463" s="1">
        <v>45492</v>
      </c>
      <c r="C2463" t="s">
        <v>24</v>
      </c>
      <c r="D2463" s="2">
        <v>3485.58</v>
      </c>
      <c r="E2463" s="2">
        <v>0</v>
      </c>
      <c r="F2463" t="s">
        <v>8</v>
      </c>
      <c r="G2463" t="s">
        <v>9</v>
      </c>
    </row>
    <row r="2464" spans="1:7" x14ac:dyDescent="0.35">
      <c r="A2464">
        <v>969</v>
      </c>
      <c r="B2464" s="1">
        <v>45492</v>
      </c>
      <c r="C2464" t="s">
        <v>24</v>
      </c>
      <c r="D2464" s="2">
        <v>0</v>
      </c>
      <c r="E2464" s="2">
        <v>3485.58</v>
      </c>
      <c r="F2464" t="s">
        <v>13</v>
      </c>
      <c r="G2464" t="s">
        <v>9</v>
      </c>
    </row>
    <row r="2465" spans="1:7" x14ac:dyDescent="0.35">
      <c r="A2465">
        <v>970</v>
      </c>
      <c r="B2465" s="1">
        <v>45492</v>
      </c>
      <c r="C2465" t="s">
        <v>25</v>
      </c>
      <c r="D2465" s="2">
        <v>512</v>
      </c>
      <c r="E2465" s="2">
        <v>0</v>
      </c>
      <c r="F2465" t="s">
        <v>26</v>
      </c>
      <c r="G2465" t="s">
        <v>20</v>
      </c>
    </row>
    <row r="2466" spans="1:7" x14ac:dyDescent="0.35">
      <c r="A2466">
        <v>970</v>
      </c>
      <c r="B2466" s="1">
        <v>45492</v>
      </c>
      <c r="C2466" t="s">
        <v>25</v>
      </c>
      <c r="D2466" s="2">
        <v>38.4</v>
      </c>
      <c r="E2466" s="2">
        <v>0</v>
      </c>
      <c r="F2466" t="s">
        <v>27</v>
      </c>
      <c r="G2466" t="s">
        <v>9</v>
      </c>
    </row>
    <row r="2467" spans="1:7" x14ac:dyDescent="0.35">
      <c r="A2467">
        <v>970</v>
      </c>
      <c r="B2467" s="1">
        <v>45492</v>
      </c>
      <c r="C2467" t="s">
        <v>25</v>
      </c>
      <c r="D2467" s="2">
        <v>0</v>
      </c>
      <c r="E2467" s="2">
        <v>550.4</v>
      </c>
      <c r="F2467" t="s">
        <v>28</v>
      </c>
      <c r="G2467" t="s">
        <v>17</v>
      </c>
    </row>
    <row r="2468" spans="1:7" x14ac:dyDescent="0.35">
      <c r="A2468">
        <v>971</v>
      </c>
      <c r="B2468" s="1">
        <v>45492</v>
      </c>
      <c r="C2468" t="s">
        <v>25</v>
      </c>
      <c r="D2468" s="2">
        <v>1668.94</v>
      </c>
      <c r="E2468" s="2">
        <v>0</v>
      </c>
      <c r="F2468" t="s">
        <v>26</v>
      </c>
      <c r="G2468" t="s">
        <v>20</v>
      </c>
    </row>
    <row r="2469" spans="1:7" x14ac:dyDescent="0.35">
      <c r="A2469">
        <v>971</v>
      </c>
      <c r="B2469" s="1">
        <v>45492</v>
      </c>
      <c r="C2469" t="s">
        <v>25</v>
      </c>
      <c r="D2469" s="2">
        <v>125.17</v>
      </c>
      <c r="E2469" s="2">
        <v>0</v>
      </c>
      <c r="F2469" t="s">
        <v>27</v>
      </c>
      <c r="G2469" t="s">
        <v>9</v>
      </c>
    </row>
    <row r="2470" spans="1:7" x14ac:dyDescent="0.35">
      <c r="A2470">
        <v>971</v>
      </c>
      <c r="B2470" s="1">
        <v>45492</v>
      </c>
      <c r="C2470" t="s">
        <v>25</v>
      </c>
      <c r="D2470" s="2">
        <v>0</v>
      </c>
      <c r="E2470" s="2">
        <v>1794.11</v>
      </c>
      <c r="F2470" t="s">
        <v>28</v>
      </c>
      <c r="G2470" t="s">
        <v>17</v>
      </c>
    </row>
    <row r="2471" spans="1:7" x14ac:dyDescent="0.35">
      <c r="A2471">
        <v>972</v>
      </c>
      <c r="B2471" s="1">
        <v>45492</v>
      </c>
      <c r="C2471" t="s">
        <v>29</v>
      </c>
      <c r="D2471" s="2">
        <v>4812.46</v>
      </c>
      <c r="E2471" s="2">
        <v>0</v>
      </c>
      <c r="F2471" t="s">
        <v>28</v>
      </c>
      <c r="G2471" t="s">
        <v>17</v>
      </c>
    </row>
    <row r="2472" spans="1:7" x14ac:dyDescent="0.35">
      <c r="A2472">
        <v>972</v>
      </c>
      <c r="B2472" s="1">
        <v>45492</v>
      </c>
      <c r="C2472" t="s">
        <v>29</v>
      </c>
      <c r="D2472" s="2">
        <v>0</v>
      </c>
      <c r="E2472" s="2">
        <v>4812.46</v>
      </c>
      <c r="F2472" t="s">
        <v>8</v>
      </c>
      <c r="G2472" t="s">
        <v>9</v>
      </c>
    </row>
    <row r="2473" spans="1:7" x14ac:dyDescent="0.35">
      <c r="A2473">
        <v>973</v>
      </c>
      <c r="B2473" s="1">
        <v>45492</v>
      </c>
      <c r="C2473" t="s">
        <v>29</v>
      </c>
      <c r="D2473" s="2">
        <v>3528.97</v>
      </c>
      <c r="E2473" s="2">
        <v>0</v>
      </c>
      <c r="F2473" t="s">
        <v>28</v>
      </c>
      <c r="G2473" t="s">
        <v>17</v>
      </c>
    </row>
    <row r="2474" spans="1:7" x14ac:dyDescent="0.35">
      <c r="A2474">
        <v>973</v>
      </c>
      <c r="B2474" s="1">
        <v>45492</v>
      </c>
      <c r="C2474" t="s">
        <v>29</v>
      </c>
      <c r="D2474" s="2">
        <v>0</v>
      </c>
      <c r="E2474" s="2">
        <v>3528.97</v>
      </c>
      <c r="F2474" t="s">
        <v>8</v>
      </c>
      <c r="G2474" t="s">
        <v>9</v>
      </c>
    </row>
    <row r="2475" spans="1:7" x14ac:dyDescent="0.35">
      <c r="A2475">
        <v>974</v>
      </c>
      <c r="B2475" s="1">
        <v>45495</v>
      </c>
      <c r="C2475" t="s">
        <v>12</v>
      </c>
      <c r="D2475" s="2">
        <v>2992.69</v>
      </c>
      <c r="E2475" s="2">
        <v>0</v>
      </c>
      <c r="F2475" t="s">
        <v>13</v>
      </c>
      <c r="G2475" t="s">
        <v>9</v>
      </c>
    </row>
    <row r="2476" spans="1:7" x14ac:dyDescent="0.35">
      <c r="A2476">
        <v>974</v>
      </c>
      <c r="B2476" s="1">
        <v>45495</v>
      </c>
      <c r="C2476" t="s">
        <v>12</v>
      </c>
      <c r="D2476" s="2">
        <v>0</v>
      </c>
      <c r="E2476" s="2">
        <v>2783.89</v>
      </c>
      <c r="F2476" t="s">
        <v>14</v>
      </c>
      <c r="G2476" t="s">
        <v>15</v>
      </c>
    </row>
    <row r="2477" spans="1:7" x14ac:dyDescent="0.35">
      <c r="A2477">
        <v>974</v>
      </c>
      <c r="B2477" s="1">
        <v>45495</v>
      </c>
      <c r="C2477" t="s">
        <v>12</v>
      </c>
      <c r="D2477" s="2">
        <v>0</v>
      </c>
      <c r="E2477" s="2">
        <v>208.8</v>
      </c>
      <c r="F2477" t="s">
        <v>16</v>
      </c>
      <c r="G2477" t="s">
        <v>17</v>
      </c>
    </row>
    <row r="2478" spans="1:7" x14ac:dyDescent="0.35">
      <c r="A2478">
        <v>975</v>
      </c>
      <c r="B2478" s="1">
        <v>45495</v>
      </c>
      <c r="C2478" t="s">
        <v>12</v>
      </c>
      <c r="D2478" s="2">
        <v>2034.58</v>
      </c>
      <c r="E2478" s="2">
        <v>0</v>
      </c>
      <c r="F2478" t="s">
        <v>13</v>
      </c>
      <c r="G2478" t="s">
        <v>9</v>
      </c>
    </row>
    <row r="2479" spans="1:7" x14ac:dyDescent="0.35">
      <c r="A2479">
        <v>975</v>
      </c>
      <c r="B2479" s="1">
        <v>45495</v>
      </c>
      <c r="C2479" t="s">
        <v>12</v>
      </c>
      <c r="D2479" s="2">
        <v>0</v>
      </c>
      <c r="E2479" s="2">
        <v>1892.61</v>
      </c>
      <c r="F2479" t="s">
        <v>14</v>
      </c>
      <c r="G2479" t="s">
        <v>15</v>
      </c>
    </row>
    <row r="2480" spans="1:7" x14ac:dyDescent="0.35">
      <c r="A2480">
        <v>975</v>
      </c>
      <c r="B2480" s="1">
        <v>45495</v>
      </c>
      <c r="C2480" t="s">
        <v>12</v>
      </c>
      <c r="D2480" s="2">
        <v>0</v>
      </c>
      <c r="E2480" s="2">
        <v>141.97</v>
      </c>
      <c r="F2480" t="s">
        <v>16</v>
      </c>
      <c r="G2480" t="s">
        <v>17</v>
      </c>
    </row>
    <row r="2481" spans="1:7" x14ac:dyDescent="0.35">
      <c r="A2481">
        <v>976</v>
      </c>
      <c r="B2481" s="1">
        <v>45495</v>
      </c>
      <c r="C2481" t="s">
        <v>12</v>
      </c>
      <c r="D2481" s="2">
        <v>3037.13</v>
      </c>
      <c r="E2481" s="2">
        <v>0</v>
      </c>
      <c r="F2481" t="s">
        <v>13</v>
      </c>
      <c r="G2481" t="s">
        <v>9</v>
      </c>
    </row>
    <row r="2482" spans="1:7" x14ac:dyDescent="0.35">
      <c r="A2482">
        <v>976</v>
      </c>
      <c r="B2482" s="1">
        <v>45495</v>
      </c>
      <c r="C2482" t="s">
        <v>12</v>
      </c>
      <c r="D2482" s="2">
        <v>0</v>
      </c>
      <c r="E2482" s="2">
        <v>2825.23</v>
      </c>
      <c r="F2482" t="s">
        <v>14</v>
      </c>
      <c r="G2482" t="s">
        <v>15</v>
      </c>
    </row>
    <row r="2483" spans="1:7" x14ac:dyDescent="0.35">
      <c r="A2483">
        <v>976</v>
      </c>
      <c r="B2483" s="1">
        <v>45495</v>
      </c>
      <c r="C2483" t="s">
        <v>12</v>
      </c>
      <c r="D2483" s="2">
        <v>0</v>
      </c>
      <c r="E2483" s="2">
        <v>211.9</v>
      </c>
      <c r="F2483" t="s">
        <v>16</v>
      </c>
      <c r="G2483" t="s">
        <v>17</v>
      </c>
    </row>
    <row r="2484" spans="1:7" x14ac:dyDescent="0.35">
      <c r="A2484">
        <v>977</v>
      </c>
      <c r="B2484" s="1">
        <v>45495</v>
      </c>
      <c r="C2484" t="s">
        <v>24</v>
      </c>
      <c r="D2484" s="2">
        <v>6955.93</v>
      </c>
      <c r="E2484" s="2">
        <v>0</v>
      </c>
      <c r="F2484" t="s">
        <v>8</v>
      </c>
      <c r="G2484" t="s">
        <v>9</v>
      </c>
    </row>
    <row r="2485" spans="1:7" x14ac:dyDescent="0.35">
      <c r="A2485">
        <v>977</v>
      </c>
      <c r="B2485" s="1">
        <v>45495</v>
      </c>
      <c r="C2485" t="s">
        <v>24</v>
      </c>
      <c r="D2485" s="2">
        <v>0</v>
      </c>
      <c r="E2485" s="2">
        <v>6955.93</v>
      </c>
      <c r="F2485" t="s">
        <v>13</v>
      </c>
      <c r="G2485" t="s">
        <v>9</v>
      </c>
    </row>
    <row r="2486" spans="1:7" x14ac:dyDescent="0.35">
      <c r="A2486">
        <v>978</v>
      </c>
      <c r="B2486" s="1">
        <v>45495</v>
      </c>
      <c r="C2486" t="s">
        <v>24</v>
      </c>
      <c r="D2486" s="2">
        <v>2572.9499999999998</v>
      </c>
      <c r="E2486" s="2">
        <v>0</v>
      </c>
      <c r="F2486" t="s">
        <v>8</v>
      </c>
      <c r="G2486" t="s">
        <v>9</v>
      </c>
    </row>
    <row r="2487" spans="1:7" x14ac:dyDescent="0.35">
      <c r="A2487">
        <v>978</v>
      </c>
      <c r="B2487" s="1">
        <v>45495</v>
      </c>
      <c r="C2487" t="s">
        <v>24</v>
      </c>
      <c r="D2487" s="2">
        <v>0</v>
      </c>
      <c r="E2487" s="2">
        <v>2572.9499999999998</v>
      </c>
      <c r="F2487" t="s">
        <v>13</v>
      </c>
      <c r="G2487" t="s">
        <v>9</v>
      </c>
    </row>
    <row r="2488" spans="1:7" x14ac:dyDescent="0.35">
      <c r="A2488">
        <v>979</v>
      </c>
      <c r="B2488" s="1">
        <v>45495</v>
      </c>
      <c r="C2488" t="s">
        <v>25</v>
      </c>
      <c r="D2488" s="2">
        <v>952.02</v>
      </c>
      <c r="E2488" s="2">
        <v>0</v>
      </c>
      <c r="F2488" t="s">
        <v>26</v>
      </c>
      <c r="G2488" t="s">
        <v>20</v>
      </c>
    </row>
    <row r="2489" spans="1:7" x14ac:dyDescent="0.35">
      <c r="A2489">
        <v>979</v>
      </c>
      <c r="B2489" s="1">
        <v>45495</v>
      </c>
      <c r="C2489" t="s">
        <v>25</v>
      </c>
      <c r="D2489" s="2">
        <v>71.400000000000006</v>
      </c>
      <c r="E2489" s="2">
        <v>0</v>
      </c>
      <c r="F2489" t="s">
        <v>27</v>
      </c>
      <c r="G2489" t="s">
        <v>9</v>
      </c>
    </row>
    <row r="2490" spans="1:7" x14ac:dyDescent="0.35">
      <c r="A2490">
        <v>979</v>
      </c>
      <c r="B2490" s="1">
        <v>45495</v>
      </c>
      <c r="C2490" t="s">
        <v>25</v>
      </c>
      <c r="D2490" s="2">
        <v>0</v>
      </c>
      <c r="E2490" s="2">
        <v>1023.42</v>
      </c>
      <c r="F2490" t="s">
        <v>28</v>
      </c>
      <c r="G2490" t="s">
        <v>17</v>
      </c>
    </row>
    <row r="2491" spans="1:7" x14ac:dyDescent="0.35">
      <c r="A2491">
        <v>980</v>
      </c>
      <c r="B2491" s="1">
        <v>45495</v>
      </c>
      <c r="C2491" t="s">
        <v>25</v>
      </c>
      <c r="D2491" s="2">
        <v>1078.92</v>
      </c>
      <c r="E2491" s="2">
        <v>0</v>
      </c>
      <c r="F2491" t="s">
        <v>26</v>
      </c>
      <c r="G2491" t="s">
        <v>20</v>
      </c>
    </row>
    <row r="2492" spans="1:7" x14ac:dyDescent="0.35">
      <c r="A2492">
        <v>980</v>
      </c>
      <c r="B2492" s="1">
        <v>45495</v>
      </c>
      <c r="C2492" t="s">
        <v>25</v>
      </c>
      <c r="D2492" s="2">
        <v>80.92</v>
      </c>
      <c r="E2492" s="2">
        <v>0</v>
      </c>
      <c r="F2492" t="s">
        <v>27</v>
      </c>
      <c r="G2492" t="s">
        <v>9</v>
      </c>
    </row>
    <row r="2493" spans="1:7" x14ac:dyDescent="0.35">
      <c r="A2493">
        <v>980</v>
      </c>
      <c r="B2493" s="1">
        <v>45495</v>
      </c>
      <c r="C2493" t="s">
        <v>25</v>
      </c>
      <c r="D2493" s="2">
        <v>0</v>
      </c>
      <c r="E2493" s="2">
        <v>1159.8399999999999</v>
      </c>
      <c r="F2493" t="s">
        <v>28</v>
      </c>
      <c r="G2493" t="s">
        <v>17</v>
      </c>
    </row>
    <row r="2494" spans="1:7" x14ac:dyDescent="0.35">
      <c r="A2494">
        <v>981</v>
      </c>
      <c r="B2494" s="1">
        <v>45495</v>
      </c>
      <c r="C2494" t="s">
        <v>25</v>
      </c>
      <c r="D2494" s="2">
        <v>187.44</v>
      </c>
      <c r="E2494" s="2">
        <v>0</v>
      </c>
      <c r="F2494" t="s">
        <v>26</v>
      </c>
      <c r="G2494" t="s">
        <v>20</v>
      </c>
    </row>
    <row r="2495" spans="1:7" x14ac:dyDescent="0.35">
      <c r="A2495">
        <v>981</v>
      </c>
      <c r="B2495" s="1">
        <v>45495</v>
      </c>
      <c r="C2495" t="s">
        <v>25</v>
      </c>
      <c r="D2495" s="2">
        <v>14.06</v>
      </c>
      <c r="E2495" s="2">
        <v>0</v>
      </c>
      <c r="F2495" t="s">
        <v>27</v>
      </c>
      <c r="G2495" t="s">
        <v>9</v>
      </c>
    </row>
    <row r="2496" spans="1:7" x14ac:dyDescent="0.35">
      <c r="A2496">
        <v>981</v>
      </c>
      <c r="B2496" s="1">
        <v>45495</v>
      </c>
      <c r="C2496" t="s">
        <v>25</v>
      </c>
      <c r="D2496" s="2">
        <v>0</v>
      </c>
      <c r="E2496" s="2">
        <v>201.5</v>
      </c>
      <c r="F2496" t="s">
        <v>28</v>
      </c>
      <c r="G2496" t="s">
        <v>17</v>
      </c>
    </row>
    <row r="2497" spans="1:7" x14ac:dyDescent="0.35">
      <c r="A2497">
        <v>982</v>
      </c>
      <c r="B2497" s="1">
        <v>45495</v>
      </c>
      <c r="C2497" t="s">
        <v>29</v>
      </c>
      <c r="D2497" s="2">
        <v>179.01</v>
      </c>
      <c r="E2497" s="2">
        <v>0</v>
      </c>
      <c r="F2497" t="s">
        <v>28</v>
      </c>
      <c r="G2497" t="s">
        <v>17</v>
      </c>
    </row>
    <row r="2498" spans="1:7" x14ac:dyDescent="0.35">
      <c r="A2498">
        <v>982</v>
      </c>
      <c r="B2498" s="1">
        <v>45495</v>
      </c>
      <c r="C2498" t="s">
        <v>29</v>
      </c>
      <c r="D2498" s="2">
        <v>0</v>
      </c>
      <c r="E2498" s="2">
        <v>179.01</v>
      </c>
      <c r="F2498" t="s">
        <v>8</v>
      </c>
      <c r="G2498" t="s">
        <v>9</v>
      </c>
    </row>
    <row r="2499" spans="1:7" x14ac:dyDescent="0.35">
      <c r="A2499">
        <v>983</v>
      </c>
      <c r="B2499" s="1">
        <v>45496</v>
      </c>
      <c r="C2499" t="s">
        <v>12</v>
      </c>
      <c r="D2499" s="2">
        <v>2806.25</v>
      </c>
      <c r="E2499" s="2">
        <v>0</v>
      </c>
      <c r="F2499" t="s">
        <v>13</v>
      </c>
      <c r="G2499" t="s">
        <v>9</v>
      </c>
    </row>
    <row r="2500" spans="1:7" x14ac:dyDescent="0.35">
      <c r="A2500">
        <v>983</v>
      </c>
      <c r="B2500" s="1">
        <v>45496</v>
      </c>
      <c r="C2500" t="s">
        <v>12</v>
      </c>
      <c r="D2500" s="2">
        <v>0</v>
      </c>
      <c r="E2500" s="2">
        <v>2610.4699999999998</v>
      </c>
      <c r="F2500" t="s">
        <v>14</v>
      </c>
      <c r="G2500" t="s">
        <v>15</v>
      </c>
    </row>
    <row r="2501" spans="1:7" x14ac:dyDescent="0.35">
      <c r="A2501">
        <v>983</v>
      </c>
      <c r="B2501" s="1">
        <v>45496</v>
      </c>
      <c r="C2501" t="s">
        <v>12</v>
      </c>
      <c r="D2501" s="2">
        <v>0</v>
      </c>
      <c r="E2501" s="2">
        <v>195.78</v>
      </c>
      <c r="F2501" t="s">
        <v>16</v>
      </c>
      <c r="G2501" t="s">
        <v>17</v>
      </c>
    </row>
    <row r="2502" spans="1:7" x14ac:dyDescent="0.35">
      <c r="A2502">
        <v>984</v>
      </c>
      <c r="B2502" s="1">
        <v>45496</v>
      </c>
      <c r="C2502" t="s">
        <v>12</v>
      </c>
      <c r="D2502" s="2">
        <v>924.18</v>
      </c>
      <c r="E2502" s="2">
        <v>0</v>
      </c>
      <c r="F2502" t="s">
        <v>13</v>
      </c>
      <c r="G2502" t="s">
        <v>9</v>
      </c>
    </row>
    <row r="2503" spans="1:7" x14ac:dyDescent="0.35">
      <c r="A2503">
        <v>984</v>
      </c>
      <c r="B2503" s="1">
        <v>45496</v>
      </c>
      <c r="C2503" t="s">
        <v>12</v>
      </c>
      <c r="D2503" s="2">
        <v>0</v>
      </c>
      <c r="E2503" s="2">
        <v>859.7</v>
      </c>
      <c r="F2503" t="s">
        <v>14</v>
      </c>
      <c r="G2503" t="s">
        <v>15</v>
      </c>
    </row>
    <row r="2504" spans="1:7" x14ac:dyDescent="0.35">
      <c r="A2504">
        <v>984</v>
      </c>
      <c r="B2504" s="1">
        <v>45496</v>
      </c>
      <c r="C2504" t="s">
        <v>12</v>
      </c>
      <c r="D2504" s="2">
        <v>0</v>
      </c>
      <c r="E2504" s="2">
        <v>64.48</v>
      </c>
      <c r="F2504" t="s">
        <v>16</v>
      </c>
      <c r="G2504" t="s">
        <v>17</v>
      </c>
    </row>
    <row r="2505" spans="1:7" x14ac:dyDescent="0.35">
      <c r="A2505">
        <v>985</v>
      </c>
      <c r="B2505" s="1">
        <v>45496</v>
      </c>
      <c r="C2505" t="s">
        <v>12</v>
      </c>
      <c r="D2505" s="2">
        <v>375.23</v>
      </c>
      <c r="E2505" s="2">
        <v>0</v>
      </c>
      <c r="F2505" t="s">
        <v>13</v>
      </c>
      <c r="G2505" t="s">
        <v>9</v>
      </c>
    </row>
    <row r="2506" spans="1:7" x14ac:dyDescent="0.35">
      <c r="A2506">
        <v>985</v>
      </c>
      <c r="B2506" s="1">
        <v>45496</v>
      </c>
      <c r="C2506" t="s">
        <v>12</v>
      </c>
      <c r="D2506" s="2">
        <v>0</v>
      </c>
      <c r="E2506" s="2">
        <v>349.05</v>
      </c>
      <c r="F2506" t="s">
        <v>14</v>
      </c>
      <c r="G2506" t="s">
        <v>15</v>
      </c>
    </row>
    <row r="2507" spans="1:7" x14ac:dyDescent="0.35">
      <c r="A2507">
        <v>985</v>
      </c>
      <c r="B2507" s="1">
        <v>45496</v>
      </c>
      <c r="C2507" t="s">
        <v>12</v>
      </c>
      <c r="D2507" s="2">
        <v>0</v>
      </c>
      <c r="E2507" s="2">
        <v>26.18</v>
      </c>
      <c r="F2507" t="s">
        <v>16</v>
      </c>
      <c r="G2507" t="s">
        <v>17</v>
      </c>
    </row>
    <row r="2508" spans="1:7" x14ac:dyDescent="0.35">
      <c r="A2508">
        <v>986</v>
      </c>
      <c r="B2508" s="1">
        <v>45496</v>
      </c>
      <c r="C2508" t="s">
        <v>24</v>
      </c>
      <c r="D2508" s="2">
        <v>956.11</v>
      </c>
      <c r="E2508" s="2">
        <v>0</v>
      </c>
      <c r="F2508" t="s">
        <v>8</v>
      </c>
      <c r="G2508" t="s">
        <v>9</v>
      </c>
    </row>
    <row r="2509" spans="1:7" x14ac:dyDescent="0.35">
      <c r="A2509">
        <v>986</v>
      </c>
      <c r="B2509" s="1">
        <v>45496</v>
      </c>
      <c r="C2509" t="s">
        <v>24</v>
      </c>
      <c r="D2509" s="2">
        <v>0</v>
      </c>
      <c r="E2509" s="2">
        <v>956.11</v>
      </c>
      <c r="F2509" t="s">
        <v>13</v>
      </c>
      <c r="G2509" t="s">
        <v>9</v>
      </c>
    </row>
    <row r="2510" spans="1:7" x14ac:dyDescent="0.35">
      <c r="A2510">
        <v>987</v>
      </c>
      <c r="B2510" s="1">
        <v>45496</v>
      </c>
      <c r="C2510" t="s">
        <v>24</v>
      </c>
      <c r="D2510" s="2">
        <v>7556.11</v>
      </c>
      <c r="E2510" s="2">
        <v>0</v>
      </c>
      <c r="F2510" t="s">
        <v>8</v>
      </c>
      <c r="G2510" t="s">
        <v>9</v>
      </c>
    </row>
    <row r="2511" spans="1:7" x14ac:dyDescent="0.35">
      <c r="A2511">
        <v>987</v>
      </c>
      <c r="B2511" s="1">
        <v>45496</v>
      </c>
      <c r="C2511" t="s">
        <v>24</v>
      </c>
      <c r="D2511" s="2">
        <v>0</v>
      </c>
      <c r="E2511" s="2">
        <v>7556.11</v>
      </c>
      <c r="F2511" t="s">
        <v>13</v>
      </c>
      <c r="G2511" t="s">
        <v>9</v>
      </c>
    </row>
    <row r="2512" spans="1:7" x14ac:dyDescent="0.35">
      <c r="A2512">
        <v>988</v>
      </c>
      <c r="B2512" s="1">
        <v>45496</v>
      </c>
      <c r="C2512" t="s">
        <v>24</v>
      </c>
      <c r="D2512" s="2">
        <v>1786.26</v>
      </c>
      <c r="E2512" s="2">
        <v>0</v>
      </c>
      <c r="F2512" t="s">
        <v>8</v>
      </c>
      <c r="G2512" t="s">
        <v>9</v>
      </c>
    </row>
    <row r="2513" spans="1:7" x14ac:dyDescent="0.35">
      <c r="A2513">
        <v>988</v>
      </c>
      <c r="B2513" s="1">
        <v>45496</v>
      </c>
      <c r="C2513" t="s">
        <v>24</v>
      </c>
      <c r="D2513" s="2">
        <v>0</v>
      </c>
      <c r="E2513" s="2">
        <v>1786.26</v>
      </c>
      <c r="F2513" t="s">
        <v>13</v>
      </c>
      <c r="G2513" t="s">
        <v>9</v>
      </c>
    </row>
    <row r="2514" spans="1:7" x14ac:dyDescent="0.35">
      <c r="A2514">
        <v>989</v>
      </c>
      <c r="B2514" s="1">
        <v>45496</v>
      </c>
      <c r="C2514" t="s">
        <v>24</v>
      </c>
      <c r="D2514" s="2">
        <v>3689.42</v>
      </c>
      <c r="E2514" s="2">
        <v>0</v>
      </c>
      <c r="F2514" t="s">
        <v>8</v>
      </c>
      <c r="G2514" t="s">
        <v>9</v>
      </c>
    </row>
    <row r="2515" spans="1:7" x14ac:dyDescent="0.35">
      <c r="A2515">
        <v>989</v>
      </c>
      <c r="B2515" s="1">
        <v>45496</v>
      </c>
      <c r="C2515" t="s">
        <v>24</v>
      </c>
      <c r="D2515" s="2">
        <v>0</v>
      </c>
      <c r="E2515" s="2">
        <v>3689.42</v>
      </c>
      <c r="F2515" t="s">
        <v>13</v>
      </c>
      <c r="G2515" t="s">
        <v>9</v>
      </c>
    </row>
    <row r="2516" spans="1:7" x14ac:dyDescent="0.35">
      <c r="A2516">
        <v>990</v>
      </c>
      <c r="B2516" s="1">
        <v>45496</v>
      </c>
      <c r="C2516" t="s">
        <v>25</v>
      </c>
      <c r="D2516" s="2">
        <v>1643.22</v>
      </c>
      <c r="E2516" s="2">
        <v>0</v>
      </c>
      <c r="F2516" t="s">
        <v>26</v>
      </c>
      <c r="G2516" t="s">
        <v>20</v>
      </c>
    </row>
    <row r="2517" spans="1:7" x14ac:dyDescent="0.35">
      <c r="A2517">
        <v>990</v>
      </c>
      <c r="B2517" s="1">
        <v>45496</v>
      </c>
      <c r="C2517" t="s">
        <v>25</v>
      </c>
      <c r="D2517" s="2">
        <v>123.24</v>
      </c>
      <c r="E2517" s="2">
        <v>0</v>
      </c>
      <c r="F2517" t="s">
        <v>27</v>
      </c>
      <c r="G2517" t="s">
        <v>9</v>
      </c>
    </row>
    <row r="2518" spans="1:7" x14ac:dyDescent="0.35">
      <c r="A2518">
        <v>990</v>
      </c>
      <c r="B2518" s="1">
        <v>45496</v>
      </c>
      <c r="C2518" t="s">
        <v>25</v>
      </c>
      <c r="D2518" s="2">
        <v>0</v>
      </c>
      <c r="E2518" s="2">
        <v>1766.46</v>
      </c>
      <c r="F2518" t="s">
        <v>28</v>
      </c>
      <c r="G2518" t="s">
        <v>17</v>
      </c>
    </row>
    <row r="2519" spans="1:7" x14ac:dyDescent="0.35">
      <c r="A2519">
        <v>991</v>
      </c>
      <c r="B2519" s="1">
        <v>45496</v>
      </c>
      <c r="C2519" t="s">
        <v>29</v>
      </c>
      <c r="D2519" s="2">
        <v>550.4</v>
      </c>
      <c r="E2519" s="2">
        <v>0</v>
      </c>
      <c r="F2519" t="s">
        <v>28</v>
      </c>
      <c r="G2519" t="s">
        <v>17</v>
      </c>
    </row>
    <row r="2520" spans="1:7" x14ac:dyDescent="0.35">
      <c r="A2520">
        <v>991</v>
      </c>
      <c r="B2520" s="1">
        <v>45496</v>
      </c>
      <c r="C2520" t="s">
        <v>29</v>
      </c>
      <c r="D2520" s="2">
        <v>0</v>
      </c>
      <c r="E2520" s="2">
        <v>550.4</v>
      </c>
      <c r="F2520" t="s">
        <v>8</v>
      </c>
      <c r="G2520" t="s">
        <v>9</v>
      </c>
    </row>
    <row r="2521" spans="1:7" x14ac:dyDescent="0.35">
      <c r="A2521">
        <v>992</v>
      </c>
      <c r="B2521" s="1">
        <v>45496</v>
      </c>
      <c r="C2521" t="s">
        <v>29</v>
      </c>
      <c r="D2521" s="2">
        <v>1766.46</v>
      </c>
      <c r="E2521" s="2">
        <v>0</v>
      </c>
      <c r="F2521" t="s">
        <v>28</v>
      </c>
      <c r="G2521" t="s">
        <v>17</v>
      </c>
    </row>
    <row r="2522" spans="1:7" x14ac:dyDescent="0.35">
      <c r="A2522">
        <v>992</v>
      </c>
      <c r="B2522" s="1">
        <v>45496</v>
      </c>
      <c r="C2522" t="s">
        <v>29</v>
      </c>
      <c r="D2522" s="2">
        <v>0</v>
      </c>
      <c r="E2522" s="2">
        <v>1766.46</v>
      </c>
      <c r="F2522" t="s">
        <v>8</v>
      </c>
      <c r="G2522" t="s">
        <v>9</v>
      </c>
    </row>
    <row r="2523" spans="1:7" x14ac:dyDescent="0.35">
      <c r="A2523">
        <v>993</v>
      </c>
      <c r="B2523" s="1">
        <v>45497</v>
      </c>
      <c r="C2523" t="s">
        <v>12</v>
      </c>
      <c r="D2523" s="2">
        <v>4842.6400000000003</v>
      </c>
      <c r="E2523" s="2">
        <v>0</v>
      </c>
      <c r="F2523" t="s">
        <v>13</v>
      </c>
      <c r="G2523" t="s">
        <v>9</v>
      </c>
    </row>
    <row r="2524" spans="1:7" x14ac:dyDescent="0.35">
      <c r="A2524">
        <v>993</v>
      </c>
      <c r="B2524" s="1">
        <v>45497</v>
      </c>
      <c r="C2524" t="s">
        <v>12</v>
      </c>
      <c r="D2524" s="2">
        <v>0</v>
      </c>
      <c r="E2524" s="2">
        <v>4504.78</v>
      </c>
      <c r="F2524" t="s">
        <v>14</v>
      </c>
      <c r="G2524" t="s">
        <v>15</v>
      </c>
    </row>
    <row r="2525" spans="1:7" x14ac:dyDescent="0.35">
      <c r="A2525">
        <v>993</v>
      </c>
      <c r="B2525" s="1">
        <v>45497</v>
      </c>
      <c r="C2525" t="s">
        <v>12</v>
      </c>
      <c r="D2525" s="2">
        <v>0</v>
      </c>
      <c r="E2525" s="2">
        <v>337.86</v>
      </c>
      <c r="F2525" t="s">
        <v>16</v>
      </c>
      <c r="G2525" t="s">
        <v>17</v>
      </c>
    </row>
    <row r="2526" spans="1:7" x14ac:dyDescent="0.35">
      <c r="A2526">
        <v>994</v>
      </c>
      <c r="B2526" s="1">
        <v>45497</v>
      </c>
      <c r="C2526" t="s">
        <v>12</v>
      </c>
      <c r="D2526" s="2">
        <v>5486.77</v>
      </c>
      <c r="E2526" s="2">
        <v>0</v>
      </c>
      <c r="F2526" t="s">
        <v>13</v>
      </c>
      <c r="G2526" t="s">
        <v>9</v>
      </c>
    </row>
    <row r="2527" spans="1:7" x14ac:dyDescent="0.35">
      <c r="A2527">
        <v>994</v>
      </c>
      <c r="B2527" s="1">
        <v>45497</v>
      </c>
      <c r="C2527" t="s">
        <v>12</v>
      </c>
      <c r="D2527" s="2">
        <v>0</v>
      </c>
      <c r="E2527" s="2">
        <v>5103.97</v>
      </c>
      <c r="F2527" t="s">
        <v>14</v>
      </c>
      <c r="G2527" t="s">
        <v>15</v>
      </c>
    </row>
    <row r="2528" spans="1:7" x14ac:dyDescent="0.35">
      <c r="A2528">
        <v>994</v>
      </c>
      <c r="B2528" s="1">
        <v>45497</v>
      </c>
      <c r="C2528" t="s">
        <v>12</v>
      </c>
      <c r="D2528" s="2">
        <v>0</v>
      </c>
      <c r="E2528" s="2">
        <v>382.8</v>
      </c>
      <c r="F2528" t="s">
        <v>16</v>
      </c>
      <c r="G2528" t="s">
        <v>17</v>
      </c>
    </row>
    <row r="2529" spans="1:7" x14ac:dyDescent="0.35">
      <c r="A2529">
        <v>995</v>
      </c>
      <c r="B2529" s="1">
        <v>45497</v>
      </c>
      <c r="C2529" t="s">
        <v>12</v>
      </c>
      <c r="D2529" s="2">
        <v>2974</v>
      </c>
      <c r="E2529" s="2">
        <v>0</v>
      </c>
      <c r="F2529" t="s">
        <v>13</v>
      </c>
      <c r="G2529" t="s">
        <v>9</v>
      </c>
    </row>
    <row r="2530" spans="1:7" x14ac:dyDescent="0.35">
      <c r="A2530">
        <v>995</v>
      </c>
      <c r="B2530" s="1">
        <v>45497</v>
      </c>
      <c r="C2530" t="s">
        <v>12</v>
      </c>
      <c r="D2530" s="2">
        <v>0</v>
      </c>
      <c r="E2530" s="2">
        <v>2766.51</v>
      </c>
      <c r="F2530" t="s">
        <v>14</v>
      </c>
      <c r="G2530" t="s">
        <v>15</v>
      </c>
    </row>
    <row r="2531" spans="1:7" x14ac:dyDescent="0.35">
      <c r="A2531">
        <v>995</v>
      </c>
      <c r="B2531" s="1">
        <v>45497</v>
      </c>
      <c r="C2531" t="s">
        <v>12</v>
      </c>
      <c r="D2531" s="2">
        <v>0</v>
      </c>
      <c r="E2531" s="2">
        <v>207.49</v>
      </c>
      <c r="F2531" t="s">
        <v>16</v>
      </c>
      <c r="G2531" t="s">
        <v>17</v>
      </c>
    </row>
    <row r="2532" spans="1:7" x14ac:dyDescent="0.35">
      <c r="A2532">
        <v>996</v>
      </c>
      <c r="B2532" s="1">
        <v>45497</v>
      </c>
      <c r="C2532" t="s">
        <v>24</v>
      </c>
      <c r="D2532" s="2">
        <v>4148.5200000000004</v>
      </c>
      <c r="E2532" s="2">
        <v>0</v>
      </c>
      <c r="F2532" t="s">
        <v>8</v>
      </c>
      <c r="G2532" t="s">
        <v>9</v>
      </c>
    </row>
    <row r="2533" spans="1:7" x14ac:dyDescent="0.35">
      <c r="A2533">
        <v>996</v>
      </c>
      <c r="B2533" s="1">
        <v>45497</v>
      </c>
      <c r="C2533" t="s">
        <v>24</v>
      </c>
      <c r="D2533" s="2">
        <v>0</v>
      </c>
      <c r="E2533" s="2">
        <v>4148.5200000000004</v>
      </c>
      <c r="F2533" t="s">
        <v>13</v>
      </c>
      <c r="G2533" t="s">
        <v>9</v>
      </c>
    </row>
    <row r="2534" spans="1:7" x14ac:dyDescent="0.35">
      <c r="A2534">
        <v>997</v>
      </c>
      <c r="B2534" s="1">
        <v>45497</v>
      </c>
      <c r="C2534" t="s">
        <v>24</v>
      </c>
      <c r="D2534" s="2">
        <v>1999.99</v>
      </c>
      <c r="E2534" s="2">
        <v>0</v>
      </c>
      <c r="F2534" t="s">
        <v>8</v>
      </c>
      <c r="G2534" t="s">
        <v>9</v>
      </c>
    </row>
    <row r="2535" spans="1:7" x14ac:dyDescent="0.35">
      <c r="A2535">
        <v>997</v>
      </c>
      <c r="B2535" s="1">
        <v>45497</v>
      </c>
      <c r="C2535" t="s">
        <v>24</v>
      </c>
      <c r="D2535" s="2">
        <v>0</v>
      </c>
      <c r="E2535" s="2">
        <v>1999.99</v>
      </c>
      <c r="F2535" t="s">
        <v>13</v>
      </c>
      <c r="G2535" t="s">
        <v>9</v>
      </c>
    </row>
    <row r="2536" spans="1:7" x14ac:dyDescent="0.35">
      <c r="A2536">
        <v>998</v>
      </c>
      <c r="B2536" s="1">
        <v>45497</v>
      </c>
      <c r="C2536" t="s">
        <v>25</v>
      </c>
      <c r="D2536" s="2">
        <v>3282.76</v>
      </c>
      <c r="E2536" s="2">
        <v>0</v>
      </c>
      <c r="F2536" t="s">
        <v>26</v>
      </c>
      <c r="G2536" t="s">
        <v>20</v>
      </c>
    </row>
    <row r="2537" spans="1:7" x14ac:dyDescent="0.35">
      <c r="A2537">
        <v>998</v>
      </c>
      <c r="B2537" s="1">
        <v>45497</v>
      </c>
      <c r="C2537" t="s">
        <v>25</v>
      </c>
      <c r="D2537" s="2">
        <v>246.21</v>
      </c>
      <c r="E2537" s="2">
        <v>0</v>
      </c>
      <c r="F2537" t="s">
        <v>27</v>
      </c>
      <c r="G2537" t="s">
        <v>9</v>
      </c>
    </row>
    <row r="2538" spans="1:7" x14ac:dyDescent="0.35">
      <c r="A2538">
        <v>998</v>
      </c>
      <c r="B2538" s="1">
        <v>45497</v>
      </c>
      <c r="C2538" t="s">
        <v>25</v>
      </c>
      <c r="D2538" s="2">
        <v>0</v>
      </c>
      <c r="E2538" s="2">
        <v>3528.97</v>
      </c>
      <c r="F2538" t="s">
        <v>28</v>
      </c>
      <c r="G2538" t="s">
        <v>17</v>
      </c>
    </row>
    <row r="2539" spans="1:7" x14ac:dyDescent="0.35">
      <c r="A2539">
        <v>999</v>
      </c>
      <c r="B2539" s="1">
        <v>45497</v>
      </c>
      <c r="C2539" t="s">
        <v>29</v>
      </c>
      <c r="D2539" s="2">
        <v>2093.2800000000002</v>
      </c>
      <c r="E2539" s="2">
        <v>0</v>
      </c>
      <c r="F2539" t="s">
        <v>28</v>
      </c>
      <c r="G2539" t="s">
        <v>17</v>
      </c>
    </row>
    <row r="2540" spans="1:7" x14ac:dyDescent="0.35">
      <c r="A2540">
        <v>999</v>
      </c>
      <c r="B2540" s="1">
        <v>45497</v>
      </c>
      <c r="C2540" t="s">
        <v>29</v>
      </c>
      <c r="D2540" s="2">
        <v>0</v>
      </c>
      <c r="E2540" s="2">
        <v>2093.2800000000002</v>
      </c>
      <c r="F2540" t="s">
        <v>8</v>
      </c>
      <c r="G2540" t="s">
        <v>9</v>
      </c>
    </row>
    <row r="2541" spans="1:7" x14ac:dyDescent="0.35">
      <c r="A2541">
        <v>1000</v>
      </c>
      <c r="B2541" s="1">
        <v>45497</v>
      </c>
      <c r="C2541" t="s">
        <v>29</v>
      </c>
      <c r="D2541" s="2">
        <v>2918.17</v>
      </c>
      <c r="E2541" s="2">
        <v>0</v>
      </c>
      <c r="F2541" t="s">
        <v>28</v>
      </c>
      <c r="G2541" t="s">
        <v>17</v>
      </c>
    </row>
    <row r="2542" spans="1:7" x14ac:dyDescent="0.35">
      <c r="A2542">
        <v>1000</v>
      </c>
      <c r="B2542" s="1">
        <v>45497</v>
      </c>
      <c r="C2542" t="s">
        <v>29</v>
      </c>
      <c r="D2542" s="2">
        <v>0</v>
      </c>
      <c r="E2542" s="2">
        <v>2918.17</v>
      </c>
      <c r="F2542" t="s">
        <v>8</v>
      </c>
      <c r="G2542" t="s">
        <v>9</v>
      </c>
    </row>
    <row r="2543" spans="1:7" x14ac:dyDescent="0.35">
      <c r="A2543">
        <v>1001</v>
      </c>
      <c r="B2543" s="1">
        <v>45498</v>
      </c>
      <c r="C2543" t="s">
        <v>12</v>
      </c>
      <c r="D2543" s="2">
        <v>2863.55</v>
      </c>
      <c r="E2543" s="2">
        <v>0</v>
      </c>
      <c r="F2543" t="s">
        <v>13</v>
      </c>
      <c r="G2543" t="s">
        <v>9</v>
      </c>
    </row>
    <row r="2544" spans="1:7" x14ac:dyDescent="0.35">
      <c r="A2544">
        <v>1001</v>
      </c>
      <c r="B2544" s="1">
        <v>45498</v>
      </c>
      <c r="C2544" t="s">
        <v>12</v>
      </c>
      <c r="D2544" s="2">
        <v>0</v>
      </c>
      <c r="E2544" s="2">
        <v>2663.77</v>
      </c>
      <c r="F2544" t="s">
        <v>14</v>
      </c>
      <c r="G2544" t="s">
        <v>15</v>
      </c>
    </row>
    <row r="2545" spans="1:7" x14ac:dyDescent="0.35">
      <c r="A2545">
        <v>1001</v>
      </c>
      <c r="B2545" s="1">
        <v>45498</v>
      </c>
      <c r="C2545" t="s">
        <v>12</v>
      </c>
      <c r="D2545" s="2">
        <v>0</v>
      </c>
      <c r="E2545" s="2">
        <v>199.78</v>
      </c>
      <c r="F2545" t="s">
        <v>16</v>
      </c>
      <c r="G2545" t="s">
        <v>17</v>
      </c>
    </row>
    <row r="2546" spans="1:7" x14ac:dyDescent="0.35">
      <c r="A2546">
        <v>1002</v>
      </c>
      <c r="B2546" s="1">
        <v>45498</v>
      </c>
      <c r="C2546" t="s">
        <v>12</v>
      </c>
      <c r="D2546" s="2">
        <v>4079.52</v>
      </c>
      <c r="E2546" s="2">
        <v>0</v>
      </c>
      <c r="F2546" t="s">
        <v>13</v>
      </c>
      <c r="G2546" t="s">
        <v>9</v>
      </c>
    </row>
    <row r="2547" spans="1:7" x14ac:dyDescent="0.35">
      <c r="A2547">
        <v>1002</v>
      </c>
      <c r="B2547" s="1">
        <v>45498</v>
      </c>
      <c r="C2547" t="s">
        <v>12</v>
      </c>
      <c r="D2547" s="2">
        <v>0</v>
      </c>
      <c r="E2547" s="2">
        <v>3794.91</v>
      </c>
      <c r="F2547" t="s">
        <v>14</v>
      </c>
      <c r="G2547" t="s">
        <v>15</v>
      </c>
    </row>
    <row r="2548" spans="1:7" x14ac:dyDescent="0.35">
      <c r="A2548">
        <v>1002</v>
      </c>
      <c r="B2548" s="1">
        <v>45498</v>
      </c>
      <c r="C2548" t="s">
        <v>12</v>
      </c>
      <c r="D2548" s="2">
        <v>0</v>
      </c>
      <c r="E2548" s="2">
        <v>284.61</v>
      </c>
      <c r="F2548" t="s">
        <v>16</v>
      </c>
      <c r="G2548" t="s">
        <v>17</v>
      </c>
    </row>
    <row r="2549" spans="1:7" x14ac:dyDescent="0.35">
      <c r="A2549">
        <v>1003</v>
      </c>
      <c r="B2549" s="1">
        <v>45498</v>
      </c>
      <c r="C2549" t="s">
        <v>12</v>
      </c>
      <c r="D2549" s="2">
        <v>1020.06</v>
      </c>
      <c r="E2549" s="2">
        <v>0</v>
      </c>
      <c r="F2549" t="s">
        <v>13</v>
      </c>
      <c r="G2549" t="s">
        <v>9</v>
      </c>
    </row>
    <row r="2550" spans="1:7" x14ac:dyDescent="0.35">
      <c r="A2550">
        <v>1003</v>
      </c>
      <c r="B2550" s="1">
        <v>45498</v>
      </c>
      <c r="C2550" t="s">
        <v>12</v>
      </c>
      <c r="D2550" s="2">
        <v>0</v>
      </c>
      <c r="E2550" s="2">
        <v>948.89</v>
      </c>
      <c r="F2550" t="s">
        <v>14</v>
      </c>
      <c r="G2550" t="s">
        <v>15</v>
      </c>
    </row>
    <row r="2551" spans="1:7" x14ac:dyDescent="0.35">
      <c r="A2551">
        <v>1003</v>
      </c>
      <c r="B2551" s="1">
        <v>45498</v>
      </c>
      <c r="C2551" t="s">
        <v>12</v>
      </c>
      <c r="D2551" s="2">
        <v>0</v>
      </c>
      <c r="E2551" s="2">
        <v>71.17</v>
      </c>
      <c r="F2551" t="s">
        <v>16</v>
      </c>
      <c r="G2551" t="s">
        <v>17</v>
      </c>
    </row>
    <row r="2552" spans="1:7" x14ac:dyDescent="0.35">
      <c r="A2552">
        <v>1004</v>
      </c>
      <c r="B2552" s="1">
        <v>45498</v>
      </c>
      <c r="C2552" t="s">
        <v>12</v>
      </c>
      <c r="D2552" s="2">
        <v>929.56</v>
      </c>
      <c r="E2552" s="2">
        <v>0</v>
      </c>
      <c r="F2552" t="s">
        <v>13</v>
      </c>
      <c r="G2552" t="s">
        <v>9</v>
      </c>
    </row>
    <row r="2553" spans="1:7" x14ac:dyDescent="0.35">
      <c r="A2553">
        <v>1004</v>
      </c>
      <c r="B2553" s="1">
        <v>45498</v>
      </c>
      <c r="C2553" t="s">
        <v>12</v>
      </c>
      <c r="D2553" s="2">
        <v>0</v>
      </c>
      <c r="E2553" s="2">
        <v>864.7</v>
      </c>
      <c r="F2553" t="s">
        <v>14</v>
      </c>
      <c r="G2553" t="s">
        <v>15</v>
      </c>
    </row>
    <row r="2554" spans="1:7" x14ac:dyDescent="0.35">
      <c r="A2554">
        <v>1004</v>
      </c>
      <c r="B2554" s="1">
        <v>45498</v>
      </c>
      <c r="C2554" t="s">
        <v>12</v>
      </c>
      <c r="D2554" s="2">
        <v>0</v>
      </c>
      <c r="E2554" s="2">
        <v>64.86</v>
      </c>
      <c r="F2554" t="s">
        <v>16</v>
      </c>
      <c r="G2554" t="s">
        <v>17</v>
      </c>
    </row>
    <row r="2555" spans="1:7" x14ac:dyDescent="0.35">
      <c r="A2555">
        <v>1005</v>
      </c>
      <c r="B2555" s="1">
        <v>45498</v>
      </c>
      <c r="C2555" t="s">
        <v>12</v>
      </c>
      <c r="D2555" s="2">
        <v>329.47</v>
      </c>
      <c r="E2555" s="2">
        <v>0</v>
      </c>
      <c r="F2555" t="s">
        <v>13</v>
      </c>
      <c r="G2555" t="s">
        <v>9</v>
      </c>
    </row>
    <row r="2556" spans="1:7" x14ac:dyDescent="0.35">
      <c r="A2556">
        <v>1005</v>
      </c>
      <c r="B2556" s="1">
        <v>45498</v>
      </c>
      <c r="C2556" t="s">
        <v>12</v>
      </c>
      <c r="D2556" s="2">
        <v>0</v>
      </c>
      <c r="E2556" s="2">
        <v>306.48</v>
      </c>
      <c r="F2556" t="s">
        <v>14</v>
      </c>
      <c r="G2556" t="s">
        <v>15</v>
      </c>
    </row>
    <row r="2557" spans="1:7" x14ac:dyDescent="0.35">
      <c r="A2557">
        <v>1005</v>
      </c>
      <c r="B2557" s="1">
        <v>45498</v>
      </c>
      <c r="C2557" t="s">
        <v>12</v>
      </c>
      <c r="D2557" s="2">
        <v>0</v>
      </c>
      <c r="E2557" s="2">
        <v>22.99</v>
      </c>
      <c r="F2557" t="s">
        <v>16</v>
      </c>
      <c r="G2557" t="s">
        <v>17</v>
      </c>
    </row>
    <row r="2558" spans="1:7" x14ac:dyDescent="0.35">
      <c r="A2558">
        <v>1006</v>
      </c>
      <c r="B2558" s="1">
        <v>45498</v>
      </c>
      <c r="C2558" t="s">
        <v>24</v>
      </c>
      <c r="D2558" s="2">
        <v>1379.23</v>
      </c>
      <c r="E2558" s="2">
        <v>0</v>
      </c>
      <c r="F2558" t="s">
        <v>8</v>
      </c>
      <c r="G2558" t="s">
        <v>9</v>
      </c>
    </row>
    <row r="2559" spans="1:7" x14ac:dyDescent="0.35">
      <c r="A2559">
        <v>1006</v>
      </c>
      <c r="B2559" s="1">
        <v>45498</v>
      </c>
      <c r="C2559" t="s">
        <v>24</v>
      </c>
      <c r="D2559" s="2">
        <v>0</v>
      </c>
      <c r="E2559" s="2">
        <v>1379.23</v>
      </c>
      <c r="F2559" t="s">
        <v>13</v>
      </c>
      <c r="G2559" t="s">
        <v>9</v>
      </c>
    </row>
    <row r="2560" spans="1:7" x14ac:dyDescent="0.35">
      <c r="A2560">
        <v>1007</v>
      </c>
      <c r="B2560" s="1">
        <v>45498</v>
      </c>
      <c r="C2560" t="s">
        <v>24</v>
      </c>
      <c r="D2560" s="2">
        <v>4168.84</v>
      </c>
      <c r="E2560" s="2">
        <v>0</v>
      </c>
      <c r="F2560" t="s">
        <v>8</v>
      </c>
      <c r="G2560" t="s">
        <v>9</v>
      </c>
    </row>
    <row r="2561" spans="1:7" x14ac:dyDescent="0.35">
      <c r="A2561">
        <v>1007</v>
      </c>
      <c r="B2561" s="1">
        <v>45498</v>
      </c>
      <c r="C2561" t="s">
        <v>24</v>
      </c>
      <c r="D2561" s="2">
        <v>0</v>
      </c>
      <c r="E2561" s="2">
        <v>4168.84</v>
      </c>
      <c r="F2561" t="s">
        <v>13</v>
      </c>
      <c r="G2561" t="s">
        <v>9</v>
      </c>
    </row>
    <row r="2562" spans="1:7" x14ac:dyDescent="0.35">
      <c r="A2562">
        <v>1008</v>
      </c>
      <c r="B2562" s="1">
        <v>45498</v>
      </c>
      <c r="C2562" t="s">
        <v>24</v>
      </c>
      <c r="D2562" s="2">
        <v>1823.6</v>
      </c>
      <c r="E2562" s="2">
        <v>0</v>
      </c>
      <c r="F2562" t="s">
        <v>8</v>
      </c>
      <c r="G2562" t="s">
        <v>9</v>
      </c>
    </row>
    <row r="2563" spans="1:7" x14ac:dyDescent="0.35">
      <c r="A2563">
        <v>1008</v>
      </c>
      <c r="B2563" s="1">
        <v>45498</v>
      </c>
      <c r="C2563" t="s">
        <v>24</v>
      </c>
      <c r="D2563" s="2">
        <v>0</v>
      </c>
      <c r="E2563" s="2">
        <v>1823.6</v>
      </c>
      <c r="F2563" t="s">
        <v>13</v>
      </c>
      <c r="G2563" t="s">
        <v>9</v>
      </c>
    </row>
    <row r="2564" spans="1:7" x14ac:dyDescent="0.35">
      <c r="A2564">
        <v>1009</v>
      </c>
      <c r="B2564" s="1">
        <v>45498</v>
      </c>
      <c r="C2564" t="s">
        <v>24</v>
      </c>
      <c r="D2564" s="2">
        <v>2223.5100000000002</v>
      </c>
      <c r="E2564" s="2">
        <v>0</v>
      </c>
      <c r="F2564" t="s">
        <v>8</v>
      </c>
      <c r="G2564" t="s">
        <v>9</v>
      </c>
    </row>
    <row r="2565" spans="1:7" x14ac:dyDescent="0.35">
      <c r="A2565">
        <v>1009</v>
      </c>
      <c r="B2565" s="1">
        <v>45498</v>
      </c>
      <c r="C2565" t="s">
        <v>24</v>
      </c>
      <c r="D2565" s="2">
        <v>0</v>
      </c>
      <c r="E2565" s="2">
        <v>2223.5100000000002</v>
      </c>
      <c r="F2565" t="s">
        <v>13</v>
      </c>
      <c r="G2565" t="s">
        <v>9</v>
      </c>
    </row>
    <row r="2566" spans="1:7" x14ac:dyDescent="0.35">
      <c r="A2566">
        <v>1010</v>
      </c>
      <c r="B2566" s="1">
        <v>45498</v>
      </c>
      <c r="C2566" t="s">
        <v>24</v>
      </c>
      <c r="D2566" s="2">
        <v>6935.79</v>
      </c>
      <c r="E2566" s="2">
        <v>0</v>
      </c>
      <c r="F2566" t="s">
        <v>8</v>
      </c>
      <c r="G2566" t="s">
        <v>9</v>
      </c>
    </row>
    <row r="2567" spans="1:7" x14ac:dyDescent="0.35">
      <c r="A2567">
        <v>1010</v>
      </c>
      <c r="B2567" s="1">
        <v>45498</v>
      </c>
      <c r="C2567" t="s">
        <v>24</v>
      </c>
      <c r="D2567" s="2">
        <v>0</v>
      </c>
      <c r="E2567" s="2">
        <v>6935.79</v>
      </c>
      <c r="F2567" t="s">
        <v>13</v>
      </c>
      <c r="G2567" t="s">
        <v>9</v>
      </c>
    </row>
    <row r="2568" spans="1:7" x14ac:dyDescent="0.35">
      <c r="A2568">
        <v>1011</v>
      </c>
      <c r="B2568" s="1">
        <v>45498</v>
      </c>
      <c r="C2568" t="s">
        <v>24</v>
      </c>
      <c r="D2568" s="2">
        <v>5486.77</v>
      </c>
      <c r="E2568" s="2">
        <v>0</v>
      </c>
      <c r="F2568" t="s">
        <v>8</v>
      </c>
      <c r="G2568" t="s">
        <v>9</v>
      </c>
    </row>
    <row r="2569" spans="1:7" x14ac:dyDescent="0.35">
      <c r="A2569">
        <v>1011</v>
      </c>
      <c r="B2569" s="1">
        <v>45498</v>
      </c>
      <c r="C2569" t="s">
        <v>24</v>
      </c>
      <c r="D2569" s="2">
        <v>0</v>
      </c>
      <c r="E2569" s="2">
        <v>5486.77</v>
      </c>
      <c r="F2569" t="s">
        <v>13</v>
      </c>
      <c r="G2569" t="s">
        <v>9</v>
      </c>
    </row>
    <row r="2570" spans="1:7" x14ac:dyDescent="0.35">
      <c r="A2570">
        <v>1012</v>
      </c>
      <c r="B2570" s="1">
        <v>45498</v>
      </c>
      <c r="C2570" t="s">
        <v>29</v>
      </c>
      <c r="D2570" s="2">
        <v>201.5</v>
      </c>
      <c r="E2570" s="2">
        <v>0</v>
      </c>
      <c r="F2570" t="s">
        <v>28</v>
      </c>
      <c r="G2570" t="s">
        <v>17</v>
      </c>
    </row>
    <row r="2571" spans="1:7" x14ac:dyDescent="0.35">
      <c r="A2571">
        <v>1012</v>
      </c>
      <c r="B2571" s="1">
        <v>45498</v>
      </c>
      <c r="C2571" t="s">
        <v>29</v>
      </c>
      <c r="D2571" s="2">
        <v>0</v>
      </c>
      <c r="E2571" s="2">
        <v>201.5</v>
      </c>
      <c r="F2571" t="s">
        <v>8</v>
      </c>
      <c r="G2571" t="s">
        <v>9</v>
      </c>
    </row>
    <row r="2572" spans="1:7" x14ac:dyDescent="0.35">
      <c r="A2572">
        <v>1013</v>
      </c>
      <c r="B2572" s="1">
        <v>45499</v>
      </c>
      <c r="C2572" t="s">
        <v>24</v>
      </c>
      <c r="D2572" s="2">
        <v>1247.01</v>
      </c>
      <c r="E2572" s="2">
        <v>0</v>
      </c>
      <c r="F2572" t="s">
        <v>8</v>
      </c>
      <c r="G2572" t="s">
        <v>9</v>
      </c>
    </row>
    <row r="2573" spans="1:7" x14ac:dyDescent="0.35">
      <c r="A2573">
        <v>1013</v>
      </c>
      <c r="B2573" s="1">
        <v>45499</v>
      </c>
      <c r="C2573" t="s">
        <v>24</v>
      </c>
      <c r="D2573" s="2">
        <v>0</v>
      </c>
      <c r="E2573" s="2">
        <v>1247.01</v>
      </c>
      <c r="F2573" t="s">
        <v>13</v>
      </c>
      <c r="G2573" t="s">
        <v>9</v>
      </c>
    </row>
    <row r="2574" spans="1:7" x14ac:dyDescent="0.35">
      <c r="A2574">
        <v>1014</v>
      </c>
      <c r="B2574" s="1">
        <v>45499</v>
      </c>
      <c r="C2574" t="s">
        <v>24</v>
      </c>
      <c r="D2574" s="2">
        <v>2782.68</v>
      </c>
      <c r="E2574" s="2">
        <v>0</v>
      </c>
      <c r="F2574" t="s">
        <v>8</v>
      </c>
      <c r="G2574" t="s">
        <v>9</v>
      </c>
    </row>
    <row r="2575" spans="1:7" x14ac:dyDescent="0.35">
      <c r="A2575">
        <v>1014</v>
      </c>
      <c r="B2575" s="1">
        <v>45499</v>
      </c>
      <c r="C2575" t="s">
        <v>24</v>
      </c>
      <c r="D2575" s="2">
        <v>0</v>
      </c>
      <c r="E2575" s="2">
        <v>2782.68</v>
      </c>
      <c r="F2575" t="s">
        <v>13</v>
      </c>
      <c r="G2575" t="s">
        <v>9</v>
      </c>
    </row>
    <row r="2576" spans="1:7" x14ac:dyDescent="0.35">
      <c r="A2576">
        <v>1015</v>
      </c>
      <c r="B2576" s="1">
        <v>45499</v>
      </c>
      <c r="C2576" t="s">
        <v>24</v>
      </c>
      <c r="D2576" s="2">
        <v>2632.62</v>
      </c>
      <c r="E2576" s="2">
        <v>0</v>
      </c>
      <c r="F2576" t="s">
        <v>8</v>
      </c>
      <c r="G2576" t="s">
        <v>9</v>
      </c>
    </row>
    <row r="2577" spans="1:7" x14ac:dyDescent="0.35">
      <c r="A2577">
        <v>1015</v>
      </c>
      <c r="B2577" s="1">
        <v>45499</v>
      </c>
      <c r="C2577" t="s">
        <v>24</v>
      </c>
      <c r="D2577" s="2">
        <v>0</v>
      </c>
      <c r="E2577" s="2">
        <v>2632.62</v>
      </c>
      <c r="F2577" t="s">
        <v>13</v>
      </c>
      <c r="G2577" t="s">
        <v>9</v>
      </c>
    </row>
    <row r="2578" spans="1:7" x14ac:dyDescent="0.35">
      <c r="A2578">
        <v>1016</v>
      </c>
      <c r="B2578" s="1">
        <v>45499</v>
      </c>
      <c r="C2578" t="s">
        <v>24</v>
      </c>
      <c r="D2578" s="2">
        <v>329.47</v>
      </c>
      <c r="E2578" s="2">
        <v>0</v>
      </c>
      <c r="F2578" t="s">
        <v>8</v>
      </c>
      <c r="G2578" t="s">
        <v>9</v>
      </c>
    </row>
    <row r="2579" spans="1:7" x14ac:dyDescent="0.35">
      <c r="A2579">
        <v>1016</v>
      </c>
      <c r="B2579" s="1">
        <v>45499</v>
      </c>
      <c r="C2579" t="s">
        <v>24</v>
      </c>
      <c r="D2579" s="2">
        <v>0</v>
      </c>
      <c r="E2579" s="2">
        <v>329.47</v>
      </c>
      <c r="F2579" t="s">
        <v>13</v>
      </c>
      <c r="G2579" t="s">
        <v>9</v>
      </c>
    </row>
    <row r="2580" spans="1:7" x14ac:dyDescent="0.35">
      <c r="A2580">
        <v>1017</v>
      </c>
      <c r="B2580" s="1">
        <v>45499</v>
      </c>
      <c r="C2580" t="s">
        <v>25</v>
      </c>
      <c r="D2580" s="2">
        <v>1800.04</v>
      </c>
      <c r="E2580" s="2">
        <v>0</v>
      </c>
      <c r="F2580" t="s">
        <v>26</v>
      </c>
      <c r="G2580" t="s">
        <v>20</v>
      </c>
    </row>
    <row r="2581" spans="1:7" x14ac:dyDescent="0.35">
      <c r="A2581">
        <v>1017</v>
      </c>
      <c r="B2581" s="1">
        <v>45499</v>
      </c>
      <c r="C2581" t="s">
        <v>25</v>
      </c>
      <c r="D2581" s="2">
        <v>135</v>
      </c>
      <c r="E2581" s="2">
        <v>0</v>
      </c>
      <c r="F2581" t="s">
        <v>27</v>
      </c>
      <c r="G2581" t="s">
        <v>9</v>
      </c>
    </row>
    <row r="2582" spans="1:7" x14ac:dyDescent="0.35">
      <c r="A2582">
        <v>1017</v>
      </c>
      <c r="B2582" s="1">
        <v>45499</v>
      </c>
      <c r="C2582" t="s">
        <v>25</v>
      </c>
      <c r="D2582" s="2">
        <v>0</v>
      </c>
      <c r="E2582" s="2">
        <v>1935.04</v>
      </c>
      <c r="F2582" t="s">
        <v>28</v>
      </c>
      <c r="G2582" t="s">
        <v>17</v>
      </c>
    </row>
    <row r="2583" spans="1:7" x14ac:dyDescent="0.35">
      <c r="A2583">
        <v>1018</v>
      </c>
      <c r="B2583" s="1">
        <v>45499</v>
      </c>
      <c r="C2583" t="s">
        <v>25</v>
      </c>
      <c r="D2583" s="2">
        <v>1078.92</v>
      </c>
      <c r="E2583" s="2">
        <v>0</v>
      </c>
      <c r="F2583" t="s">
        <v>26</v>
      </c>
      <c r="G2583" t="s">
        <v>20</v>
      </c>
    </row>
    <row r="2584" spans="1:7" x14ac:dyDescent="0.35">
      <c r="A2584">
        <v>1018</v>
      </c>
      <c r="B2584" s="1">
        <v>45499</v>
      </c>
      <c r="C2584" t="s">
        <v>25</v>
      </c>
      <c r="D2584" s="2">
        <v>80.92</v>
      </c>
      <c r="E2584" s="2">
        <v>0</v>
      </c>
      <c r="F2584" t="s">
        <v>27</v>
      </c>
      <c r="G2584" t="s">
        <v>9</v>
      </c>
    </row>
    <row r="2585" spans="1:7" x14ac:dyDescent="0.35">
      <c r="A2585">
        <v>1018</v>
      </c>
      <c r="B2585" s="1">
        <v>45499</v>
      </c>
      <c r="C2585" t="s">
        <v>25</v>
      </c>
      <c r="D2585" s="2">
        <v>0</v>
      </c>
      <c r="E2585" s="2">
        <v>1159.8399999999999</v>
      </c>
      <c r="F2585" t="s">
        <v>28</v>
      </c>
      <c r="G2585" t="s">
        <v>17</v>
      </c>
    </row>
    <row r="2586" spans="1:7" x14ac:dyDescent="0.35">
      <c r="A2586">
        <v>1019</v>
      </c>
      <c r="B2586" s="1">
        <v>45499</v>
      </c>
      <c r="C2586" t="s">
        <v>25</v>
      </c>
      <c r="D2586" s="2">
        <v>187.44</v>
      </c>
      <c r="E2586" s="2">
        <v>0</v>
      </c>
      <c r="F2586" t="s">
        <v>26</v>
      </c>
      <c r="G2586" t="s">
        <v>20</v>
      </c>
    </row>
    <row r="2587" spans="1:7" x14ac:dyDescent="0.35">
      <c r="A2587">
        <v>1019</v>
      </c>
      <c r="B2587" s="1">
        <v>45499</v>
      </c>
      <c r="C2587" t="s">
        <v>25</v>
      </c>
      <c r="D2587" s="2">
        <v>14.06</v>
      </c>
      <c r="E2587" s="2">
        <v>0</v>
      </c>
      <c r="F2587" t="s">
        <v>27</v>
      </c>
      <c r="G2587" t="s">
        <v>9</v>
      </c>
    </row>
    <row r="2588" spans="1:7" x14ac:dyDescent="0.35">
      <c r="A2588">
        <v>1019</v>
      </c>
      <c r="B2588" s="1">
        <v>45499</v>
      </c>
      <c r="C2588" t="s">
        <v>25</v>
      </c>
      <c r="D2588" s="2">
        <v>0</v>
      </c>
      <c r="E2588" s="2">
        <v>201.5</v>
      </c>
      <c r="F2588" t="s">
        <v>28</v>
      </c>
      <c r="G2588" t="s">
        <v>17</v>
      </c>
    </row>
    <row r="2589" spans="1:7" x14ac:dyDescent="0.35">
      <c r="A2589">
        <v>1020</v>
      </c>
      <c r="B2589" s="1">
        <v>45502</v>
      </c>
      <c r="C2589" t="s">
        <v>12</v>
      </c>
      <c r="D2589" s="2">
        <v>3488.92</v>
      </c>
      <c r="E2589" s="2">
        <v>0</v>
      </c>
      <c r="F2589" t="s">
        <v>13</v>
      </c>
      <c r="G2589" t="s">
        <v>9</v>
      </c>
    </row>
    <row r="2590" spans="1:7" x14ac:dyDescent="0.35">
      <c r="A2590">
        <v>1020</v>
      </c>
      <c r="B2590" s="1">
        <v>45502</v>
      </c>
      <c r="C2590" t="s">
        <v>12</v>
      </c>
      <c r="D2590" s="2">
        <v>0</v>
      </c>
      <c r="E2590" s="2">
        <v>3245.51</v>
      </c>
      <c r="F2590" t="s">
        <v>14</v>
      </c>
      <c r="G2590" t="s">
        <v>15</v>
      </c>
    </row>
    <row r="2591" spans="1:7" x14ac:dyDescent="0.35">
      <c r="A2591">
        <v>1020</v>
      </c>
      <c r="B2591" s="1">
        <v>45502</v>
      </c>
      <c r="C2591" t="s">
        <v>12</v>
      </c>
      <c r="D2591" s="2">
        <v>0</v>
      </c>
      <c r="E2591" s="2">
        <v>243.41</v>
      </c>
      <c r="F2591" t="s">
        <v>16</v>
      </c>
      <c r="G2591" t="s">
        <v>17</v>
      </c>
    </row>
    <row r="2592" spans="1:7" x14ac:dyDescent="0.35">
      <c r="A2592">
        <v>1021</v>
      </c>
      <c r="B2592" s="1">
        <v>45502</v>
      </c>
      <c r="C2592" t="s">
        <v>12</v>
      </c>
      <c r="D2592" s="2">
        <v>2625.86</v>
      </c>
      <c r="E2592" s="2">
        <v>0</v>
      </c>
      <c r="F2592" t="s">
        <v>13</v>
      </c>
      <c r="G2592" t="s">
        <v>9</v>
      </c>
    </row>
    <row r="2593" spans="1:7" x14ac:dyDescent="0.35">
      <c r="A2593">
        <v>1021</v>
      </c>
      <c r="B2593" s="1">
        <v>45502</v>
      </c>
      <c r="C2593" t="s">
        <v>12</v>
      </c>
      <c r="D2593" s="2">
        <v>0</v>
      </c>
      <c r="E2593" s="2">
        <v>2442.66</v>
      </c>
      <c r="F2593" t="s">
        <v>14</v>
      </c>
      <c r="G2593" t="s">
        <v>15</v>
      </c>
    </row>
    <row r="2594" spans="1:7" x14ac:dyDescent="0.35">
      <c r="A2594">
        <v>1021</v>
      </c>
      <c r="B2594" s="1">
        <v>45502</v>
      </c>
      <c r="C2594" t="s">
        <v>12</v>
      </c>
      <c r="D2594" s="2">
        <v>0</v>
      </c>
      <c r="E2594" s="2">
        <v>183.2</v>
      </c>
      <c r="F2594" t="s">
        <v>16</v>
      </c>
      <c r="G2594" t="s">
        <v>17</v>
      </c>
    </row>
    <row r="2595" spans="1:7" x14ac:dyDescent="0.35">
      <c r="A2595">
        <v>1022</v>
      </c>
      <c r="B2595" s="1">
        <v>45502</v>
      </c>
      <c r="C2595" t="s">
        <v>12</v>
      </c>
      <c r="D2595" s="2">
        <v>5067.63</v>
      </c>
      <c r="E2595" s="2">
        <v>0</v>
      </c>
      <c r="F2595" t="s">
        <v>13</v>
      </c>
      <c r="G2595" t="s">
        <v>9</v>
      </c>
    </row>
    <row r="2596" spans="1:7" x14ac:dyDescent="0.35">
      <c r="A2596">
        <v>1022</v>
      </c>
      <c r="B2596" s="1">
        <v>45502</v>
      </c>
      <c r="C2596" t="s">
        <v>12</v>
      </c>
      <c r="D2596" s="2">
        <v>0</v>
      </c>
      <c r="E2596" s="2">
        <v>4714.07</v>
      </c>
      <c r="F2596" t="s">
        <v>14</v>
      </c>
      <c r="G2596" t="s">
        <v>15</v>
      </c>
    </row>
    <row r="2597" spans="1:7" x14ac:dyDescent="0.35">
      <c r="A2597">
        <v>1022</v>
      </c>
      <c r="B2597" s="1">
        <v>45502</v>
      </c>
      <c r="C2597" t="s">
        <v>12</v>
      </c>
      <c r="D2597" s="2">
        <v>0</v>
      </c>
      <c r="E2597" s="2">
        <v>353.56</v>
      </c>
      <c r="F2597" t="s">
        <v>16</v>
      </c>
      <c r="G2597" t="s">
        <v>17</v>
      </c>
    </row>
    <row r="2598" spans="1:7" x14ac:dyDescent="0.35">
      <c r="A2598">
        <v>1023</v>
      </c>
      <c r="B2598" s="1">
        <v>45502</v>
      </c>
      <c r="C2598" t="s">
        <v>12</v>
      </c>
      <c r="D2598" s="2">
        <v>3257.1</v>
      </c>
      <c r="E2598" s="2">
        <v>0</v>
      </c>
      <c r="F2598" t="s">
        <v>13</v>
      </c>
      <c r="G2598" t="s">
        <v>9</v>
      </c>
    </row>
    <row r="2599" spans="1:7" x14ac:dyDescent="0.35">
      <c r="A2599">
        <v>1023</v>
      </c>
      <c r="B2599" s="1">
        <v>45502</v>
      </c>
      <c r="C2599" t="s">
        <v>12</v>
      </c>
      <c r="D2599" s="2">
        <v>0</v>
      </c>
      <c r="E2599" s="2">
        <v>3029.87</v>
      </c>
      <c r="F2599" t="s">
        <v>14</v>
      </c>
      <c r="G2599" t="s">
        <v>15</v>
      </c>
    </row>
    <row r="2600" spans="1:7" x14ac:dyDescent="0.35">
      <c r="A2600">
        <v>1023</v>
      </c>
      <c r="B2600" s="1">
        <v>45502</v>
      </c>
      <c r="C2600" t="s">
        <v>12</v>
      </c>
      <c r="D2600" s="2">
        <v>0</v>
      </c>
      <c r="E2600" s="2">
        <v>227.23</v>
      </c>
      <c r="F2600" t="s">
        <v>16</v>
      </c>
      <c r="G2600" t="s">
        <v>17</v>
      </c>
    </row>
    <row r="2601" spans="1:7" x14ac:dyDescent="0.35">
      <c r="A2601">
        <v>1024</v>
      </c>
      <c r="B2601" s="1">
        <v>45502</v>
      </c>
      <c r="C2601" t="s">
        <v>25</v>
      </c>
      <c r="D2601" s="2">
        <v>257.04000000000002</v>
      </c>
      <c r="E2601" s="2">
        <v>0</v>
      </c>
      <c r="F2601" t="s">
        <v>26</v>
      </c>
      <c r="G2601" t="s">
        <v>20</v>
      </c>
    </row>
    <row r="2602" spans="1:7" x14ac:dyDescent="0.35">
      <c r="A2602">
        <v>1024</v>
      </c>
      <c r="B2602" s="1">
        <v>45502</v>
      </c>
      <c r="C2602" t="s">
        <v>25</v>
      </c>
      <c r="D2602" s="2">
        <v>19.28</v>
      </c>
      <c r="E2602" s="2">
        <v>0</v>
      </c>
      <c r="F2602" t="s">
        <v>27</v>
      </c>
      <c r="G2602" t="s">
        <v>9</v>
      </c>
    </row>
    <row r="2603" spans="1:7" x14ac:dyDescent="0.35">
      <c r="A2603">
        <v>1024</v>
      </c>
      <c r="B2603" s="1">
        <v>45502</v>
      </c>
      <c r="C2603" t="s">
        <v>25</v>
      </c>
      <c r="D2603" s="2">
        <v>0</v>
      </c>
      <c r="E2603" s="2">
        <v>276.32</v>
      </c>
      <c r="F2603" t="s">
        <v>28</v>
      </c>
      <c r="G2603" t="s">
        <v>17</v>
      </c>
    </row>
    <row r="2604" spans="1:7" x14ac:dyDescent="0.35">
      <c r="A2604">
        <v>1025</v>
      </c>
      <c r="B2604" s="1">
        <v>45502</v>
      </c>
      <c r="C2604" t="s">
        <v>25</v>
      </c>
      <c r="D2604" s="2">
        <v>4476.71</v>
      </c>
      <c r="E2604" s="2">
        <v>0</v>
      </c>
      <c r="F2604" t="s">
        <v>26</v>
      </c>
      <c r="G2604" t="s">
        <v>20</v>
      </c>
    </row>
    <row r="2605" spans="1:7" x14ac:dyDescent="0.35">
      <c r="A2605">
        <v>1025</v>
      </c>
      <c r="B2605" s="1">
        <v>45502</v>
      </c>
      <c r="C2605" t="s">
        <v>25</v>
      </c>
      <c r="D2605" s="2">
        <v>335.75</v>
      </c>
      <c r="E2605" s="2">
        <v>0</v>
      </c>
      <c r="F2605" t="s">
        <v>27</v>
      </c>
      <c r="G2605" t="s">
        <v>9</v>
      </c>
    </row>
    <row r="2606" spans="1:7" x14ac:dyDescent="0.35">
      <c r="A2606">
        <v>1025</v>
      </c>
      <c r="B2606" s="1">
        <v>45502</v>
      </c>
      <c r="C2606" t="s">
        <v>25</v>
      </c>
      <c r="D2606" s="2">
        <v>0</v>
      </c>
      <c r="E2606" s="2">
        <v>4812.46</v>
      </c>
      <c r="F2606" t="s">
        <v>28</v>
      </c>
      <c r="G2606" t="s">
        <v>17</v>
      </c>
    </row>
    <row r="2607" spans="1:7" x14ac:dyDescent="0.35">
      <c r="A2607">
        <v>1026</v>
      </c>
      <c r="B2607" s="1">
        <v>45502</v>
      </c>
      <c r="C2607" t="s">
        <v>25</v>
      </c>
      <c r="D2607" s="2">
        <v>2329.52</v>
      </c>
      <c r="E2607" s="2">
        <v>0</v>
      </c>
      <c r="F2607" t="s">
        <v>26</v>
      </c>
      <c r="G2607" t="s">
        <v>20</v>
      </c>
    </row>
    <row r="2608" spans="1:7" x14ac:dyDescent="0.35">
      <c r="A2608">
        <v>1026</v>
      </c>
      <c r="B2608" s="1">
        <v>45502</v>
      </c>
      <c r="C2608" t="s">
        <v>25</v>
      </c>
      <c r="D2608" s="2">
        <v>174.71</v>
      </c>
      <c r="E2608" s="2">
        <v>0</v>
      </c>
      <c r="F2608" t="s">
        <v>27</v>
      </c>
      <c r="G2608" t="s">
        <v>9</v>
      </c>
    </row>
    <row r="2609" spans="1:7" x14ac:dyDescent="0.35">
      <c r="A2609">
        <v>1026</v>
      </c>
      <c r="B2609" s="1">
        <v>45502</v>
      </c>
      <c r="C2609" t="s">
        <v>25</v>
      </c>
      <c r="D2609" s="2">
        <v>0</v>
      </c>
      <c r="E2609" s="2">
        <v>2504.23</v>
      </c>
      <c r="F2609" t="s">
        <v>28</v>
      </c>
      <c r="G2609" t="s">
        <v>17</v>
      </c>
    </row>
    <row r="2610" spans="1:7" x14ac:dyDescent="0.35">
      <c r="A2610">
        <v>1027</v>
      </c>
      <c r="B2610" s="1">
        <v>45502</v>
      </c>
      <c r="C2610" t="s">
        <v>25</v>
      </c>
      <c r="D2610" s="2">
        <v>696.06</v>
      </c>
      <c r="E2610" s="2">
        <v>0</v>
      </c>
      <c r="F2610" t="s">
        <v>26</v>
      </c>
      <c r="G2610" t="s">
        <v>20</v>
      </c>
    </row>
    <row r="2611" spans="1:7" x14ac:dyDescent="0.35">
      <c r="A2611">
        <v>1027</v>
      </c>
      <c r="B2611" s="1">
        <v>45502</v>
      </c>
      <c r="C2611" t="s">
        <v>25</v>
      </c>
      <c r="D2611" s="2">
        <v>52.2</v>
      </c>
      <c r="E2611" s="2">
        <v>0</v>
      </c>
      <c r="F2611" t="s">
        <v>27</v>
      </c>
      <c r="G2611" t="s">
        <v>9</v>
      </c>
    </row>
    <row r="2612" spans="1:7" x14ac:dyDescent="0.35">
      <c r="A2612">
        <v>1027</v>
      </c>
      <c r="B2612" s="1">
        <v>45502</v>
      </c>
      <c r="C2612" t="s">
        <v>25</v>
      </c>
      <c r="D2612" s="2">
        <v>0</v>
      </c>
      <c r="E2612" s="2">
        <v>748.26</v>
      </c>
      <c r="F2612" t="s">
        <v>28</v>
      </c>
      <c r="G2612" t="s">
        <v>17</v>
      </c>
    </row>
    <row r="2613" spans="1:7" x14ac:dyDescent="0.35">
      <c r="A2613">
        <v>1028</v>
      </c>
      <c r="B2613" s="1">
        <v>45502</v>
      </c>
      <c r="C2613" t="s">
        <v>29</v>
      </c>
      <c r="D2613" s="2">
        <v>1023.42</v>
      </c>
      <c r="E2613" s="2">
        <v>0</v>
      </c>
      <c r="F2613" t="s">
        <v>28</v>
      </c>
      <c r="G2613" t="s">
        <v>17</v>
      </c>
    </row>
    <row r="2614" spans="1:7" x14ac:dyDescent="0.35">
      <c r="A2614">
        <v>1028</v>
      </c>
      <c r="B2614" s="1">
        <v>45502</v>
      </c>
      <c r="C2614" t="s">
        <v>29</v>
      </c>
      <c r="D2614" s="2">
        <v>0</v>
      </c>
      <c r="E2614" s="2">
        <v>1023.42</v>
      </c>
      <c r="F2614" t="s">
        <v>8</v>
      </c>
      <c r="G2614" t="s">
        <v>9</v>
      </c>
    </row>
    <row r="2615" spans="1:7" x14ac:dyDescent="0.35">
      <c r="A2615">
        <v>1029</v>
      </c>
      <c r="B2615" s="1">
        <v>45502</v>
      </c>
      <c r="C2615" t="s">
        <v>29</v>
      </c>
      <c r="D2615" s="2">
        <v>412.54</v>
      </c>
      <c r="E2615" s="2">
        <v>0</v>
      </c>
      <c r="F2615" t="s">
        <v>28</v>
      </c>
      <c r="G2615" t="s">
        <v>17</v>
      </c>
    </row>
    <row r="2616" spans="1:7" x14ac:dyDescent="0.35">
      <c r="A2616">
        <v>1029</v>
      </c>
      <c r="B2616" s="1">
        <v>45502</v>
      </c>
      <c r="C2616" t="s">
        <v>29</v>
      </c>
      <c r="D2616" s="2">
        <v>0</v>
      </c>
      <c r="E2616" s="2">
        <v>412.54</v>
      </c>
      <c r="F2616" t="s">
        <v>8</v>
      </c>
      <c r="G2616" t="s">
        <v>9</v>
      </c>
    </row>
    <row r="2617" spans="1:7" x14ac:dyDescent="0.35">
      <c r="A2617">
        <v>1030</v>
      </c>
      <c r="B2617" s="1">
        <v>45502</v>
      </c>
      <c r="C2617" t="s">
        <v>29</v>
      </c>
      <c r="D2617" s="2">
        <v>201.5</v>
      </c>
      <c r="E2617" s="2">
        <v>0</v>
      </c>
      <c r="F2617" t="s">
        <v>28</v>
      </c>
      <c r="G2617" t="s">
        <v>17</v>
      </c>
    </row>
    <row r="2618" spans="1:7" x14ac:dyDescent="0.35">
      <c r="A2618">
        <v>1030</v>
      </c>
      <c r="B2618" s="1">
        <v>45502</v>
      </c>
      <c r="C2618" t="s">
        <v>29</v>
      </c>
      <c r="D2618" s="2">
        <v>0</v>
      </c>
      <c r="E2618" s="2">
        <v>201.5</v>
      </c>
      <c r="F2618" t="s">
        <v>8</v>
      </c>
      <c r="G2618" t="s">
        <v>9</v>
      </c>
    </row>
    <row r="2619" spans="1:7" x14ac:dyDescent="0.35">
      <c r="A2619">
        <v>1031</v>
      </c>
      <c r="B2619" s="1">
        <v>45503</v>
      </c>
      <c r="C2619" t="s">
        <v>12</v>
      </c>
      <c r="D2619" s="2">
        <v>3554.72</v>
      </c>
      <c r="E2619" s="2">
        <v>0</v>
      </c>
      <c r="F2619" t="s">
        <v>13</v>
      </c>
      <c r="G2619" t="s">
        <v>9</v>
      </c>
    </row>
    <row r="2620" spans="1:7" x14ac:dyDescent="0.35">
      <c r="A2620">
        <v>1031</v>
      </c>
      <c r="B2620" s="1">
        <v>45503</v>
      </c>
      <c r="C2620" t="s">
        <v>12</v>
      </c>
      <c r="D2620" s="2">
        <v>0</v>
      </c>
      <c r="E2620" s="2">
        <v>3306.72</v>
      </c>
      <c r="F2620" t="s">
        <v>14</v>
      </c>
      <c r="G2620" t="s">
        <v>15</v>
      </c>
    </row>
    <row r="2621" spans="1:7" x14ac:dyDescent="0.35">
      <c r="A2621">
        <v>1031</v>
      </c>
      <c r="B2621" s="1">
        <v>45503</v>
      </c>
      <c r="C2621" t="s">
        <v>12</v>
      </c>
      <c r="D2621" s="2">
        <v>0</v>
      </c>
      <c r="E2621" s="2">
        <v>248</v>
      </c>
      <c r="F2621" t="s">
        <v>16</v>
      </c>
      <c r="G2621" t="s">
        <v>17</v>
      </c>
    </row>
    <row r="2622" spans="1:7" x14ac:dyDescent="0.35">
      <c r="A2622">
        <v>1032</v>
      </c>
      <c r="B2622" s="1">
        <v>45503</v>
      </c>
      <c r="C2622" t="s">
        <v>12</v>
      </c>
      <c r="D2622" s="2">
        <v>2016.35</v>
      </c>
      <c r="E2622" s="2">
        <v>0</v>
      </c>
      <c r="F2622" t="s">
        <v>13</v>
      </c>
      <c r="G2622" t="s">
        <v>9</v>
      </c>
    </row>
    <row r="2623" spans="1:7" x14ac:dyDescent="0.35">
      <c r="A2623">
        <v>1032</v>
      </c>
      <c r="B2623" s="1">
        <v>45503</v>
      </c>
      <c r="C2623" t="s">
        <v>12</v>
      </c>
      <c r="D2623" s="2">
        <v>0</v>
      </c>
      <c r="E2623" s="2">
        <v>1875.67</v>
      </c>
      <c r="F2623" t="s">
        <v>14</v>
      </c>
      <c r="G2623" t="s">
        <v>15</v>
      </c>
    </row>
    <row r="2624" spans="1:7" x14ac:dyDescent="0.35">
      <c r="A2624">
        <v>1032</v>
      </c>
      <c r="B2624" s="1">
        <v>45503</v>
      </c>
      <c r="C2624" t="s">
        <v>12</v>
      </c>
      <c r="D2624" s="2">
        <v>0</v>
      </c>
      <c r="E2624" s="2">
        <v>140.68</v>
      </c>
      <c r="F2624" t="s">
        <v>16</v>
      </c>
      <c r="G2624" t="s">
        <v>17</v>
      </c>
    </row>
    <row r="2625" spans="1:7" x14ac:dyDescent="0.35">
      <c r="A2625">
        <v>1033</v>
      </c>
      <c r="B2625" s="1">
        <v>45503</v>
      </c>
      <c r="C2625" t="s">
        <v>12</v>
      </c>
      <c r="D2625" s="2">
        <v>1844.25</v>
      </c>
      <c r="E2625" s="2">
        <v>0</v>
      </c>
      <c r="F2625" t="s">
        <v>13</v>
      </c>
      <c r="G2625" t="s">
        <v>9</v>
      </c>
    </row>
    <row r="2626" spans="1:7" x14ac:dyDescent="0.35">
      <c r="A2626">
        <v>1033</v>
      </c>
      <c r="B2626" s="1">
        <v>45503</v>
      </c>
      <c r="C2626" t="s">
        <v>12</v>
      </c>
      <c r="D2626" s="2">
        <v>0</v>
      </c>
      <c r="E2626" s="2">
        <v>1715.58</v>
      </c>
      <c r="F2626" t="s">
        <v>14</v>
      </c>
      <c r="G2626" t="s">
        <v>15</v>
      </c>
    </row>
    <row r="2627" spans="1:7" x14ac:dyDescent="0.35">
      <c r="A2627">
        <v>1033</v>
      </c>
      <c r="B2627" s="1">
        <v>45503</v>
      </c>
      <c r="C2627" t="s">
        <v>12</v>
      </c>
      <c r="D2627" s="2">
        <v>0</v>
      </c>
      <c r="E2627" s="2">
        <v>128.66999999999999</v>
      </c>
      <c r="F2627" t="s">
        <v>16</v>
      </c>
      <c r="G2627" t="s">
        <v>17</v>
      </c>
    </row>
    <row r="2628" spans="1:7" x14ac:dyDescent="0.35">
      <c r="A2628">
        <v>1034</v>
      </c>
      <c r="B2628" s="1">
        <v>45503</v>
      </c>
      <c r="C2628" t="s">
        <v>12</v>
      </c>
      <c r="D2628" s="2">
        <v>1589.24</v>
      </c>
      <c r="E2628" s="2">
        <v>0</v>
      </c>
      <c r="F2628" t="s">
        <v>13</v>
      </c>
      <c r="G2628" t="s">
        <v>9</v>
      </c>
    </row>
    <row r="2629" spans="1:7" x14ac:dyDescent="0.35">
      <c r="A2629">
        <v>1034</v>
      </c>
      <c r="B2629" s="1">
        <v>45503</v>
      </c>
      <c r="C2629" t="s">
        <v>12</v>
      </c>
      <c r="D2629" s="2">
        <v>0</v>
      </c>
      <c r="E2629" s="2">
        <v>1478.36</v>
      </c>
      <c r="F2629" t="s">
        <v>14</v>
      </c>
      <c r="G2629" t="s">
        <v>15</v>
      </c>
    </row>
    <row r="2630" spans="1:7" x14ac:dyDescent="0.35">
      <c r="A2630">
        <v>1034</v>
      </c>
      <c r="B2630" s="1">
        <v>45503</v>
      </c>
      <c r="C2630" t="s">
        <v>12</v>
      </c>
      <c r="D2630" s="2">
        <v>0</v>
      </c>
      <c r="E2630" s="2">
        <v>110.88</v>
      </c>
      <c r="F2630" t="s">
        <v>16</v>
      </c>
      <c r="G2630" t="s">
        <v>17</v>
      </c>
    </row>
    <row r="2631" spans="1:7" x14ac:dyDescent="0.35">
      <c r="A2631">
        <v>1035</v>
      </c>
      <c r="B2631" s="1">
        <v>45503</v>
      </c>
      <c r="C2631" t="s">
        <v>24</v>
      </c>
      <c r="D2631" s="2">
        <v>715.61</v>
      </c>
      <c r="E2631" s="2">
        <v>0</v>
      </c>
      <c r="F2631" t="s">
        <v>8</v>
      </c>
      <c r="G2631" t="s">
        <v>9</v>
      </c>
    </row>
    <row r="2632" spans="1:7" x14ac:dyDescent="0.35">
      <c r="A2632">
        <v>1035</v>
      </c>
      <c r="B2632" s="1">
        <v>45503</v>
      </c>
      <c r="C2632" t="s">
        <v>24</v>
      </c>
      <c r="D2632" s="2">
        <v>0</v>
      </c>
      <c r="E2632" s="2">
        <v>715.61</v>
      </c>
      <c r="F2632" t="s">
        <v>13</v>
      </c>
      <c r="G2632" t="s">
        <v>9</v>
      </c>
    </row>
    <row r="2633" spans="1:7" x14ac:dyDescent="0.35">
      <c r="A2633">
        <v>1036</v>
      </c>
      <c r="B2633" s="1">
        <v>45503</v>
      </c>
      <c r="C2633" t="s">
        <v>24</v>
      </c>
      <c r="D2633" s="2">
        <v>2806.25</v>
      </c>
      <c r="E2633" s="2">
        <v>0</v>
      </c>
      <c r="F2633" t="s">
        <v>8</v>
      </c>
      <c r="G2633" t="s">
        <v>9</v>
      </c>
    </row>
    <row r="2634" spans="1:7" x14ac:dyDescent="0.35">
      <c r="A2634">
        <v>1036</v>
      </c>
      <c r="B2634" s="1">
        <v>45503</v>
      </c>
      <c r="C2634" t="s">
        <v>24</v>
      </c>
      <c r="D2634" s="2">
        <v>0</v>
      </c>
      <c r="E2634" s="2">
        <v>2806.25</v>
      </c>
      <c r="F2634" t="s">
        <v>13</v>
      </c>
      <c r="G2634" t="s">
        <v>9</v>
      </c>
    </row>
    <row r="2635" spans="1:7" x14ac:dyDescent="0.35">
      <c r="A2635">
        <v>1037</v>
      </c>
      <c r="B2635" s="1">
        <v>45503</v>
      </c>
      <c r="C2635" t="s">
        <v>29</v>
      </c>
      <c r="D2635" s="2">
        <v>1935.04</v>
      </c>
      <c r="E2635" s="2">
        <v>0</v>
      </c>
      <c r="F2635" t="s">
        <v>28</v>
      </c>
      <c r="G2635" t="s">
        <v>17</v>
      </c>
    </row>
    <row r="2636" spans="1:7" x14ac:dyDescent="0.35">
      <c r="A2636">
        <v>1037</v>
      </c>
      <c r="B2636" s="1">
        <v>45503</v>
      </c>
      <c r="C2636" t="s">
        <v>29</v>
      </c>
      <c r="D2636" s="2">
        <v>0</v>
      </c>
      <c r="E2636" s="2">
        <v>1935.04</v>
      </c>
      <c r="F2636" t="s">
        <v>8</v>
      </c>
      <c r="G2636" t="s">
        <v>9</v>
      </c>
    </row>
    <row r="2637" spans="1:7" x14ac:dyDescent="0.35">
      <c r="A2637">
        <v>1038</v>
      </c>
      <c r="B2637" s="1">
        <v>45504</v>
      </c>
      <c r="C2637" t="s">
        <v>12</v>
      </c>
      <c r="D2637" s="2">
        <v>2184.37</v>
      </c>
      <c r="E2637" s="2">
        <v>0</v>
      </c>
      <c r="F2637" t="s">
        <v>13</v>
      </c>
      <c r="G2637" t="s">
        <v>9</v>
      </c>
    </row>
    <row r="2638" spans="1:7" x14ac:dyDescent="0.35">
      <c r="A2638">
        <v>1038</v>
      </c>
      <c r="B2638" s="1">
        <v>45504</v>
      </c>
      <c r="C2638" t="s">
        <v>12</v>
      </c>
      <c r="D2638" s="2">
        <v>0</v>
      </c>
      <c r="E2638" s="2">
        <v>2031.97</v>
      </c>
      <c r="F2638" t="s">
        <v>14</v>
      </c>
      <c r="G2638" t="s">
        <v>15</v>
      </c>
    </row>
    <row r="2639" spans="1:7" x14ac:dyDescent="0.35">
      <c r="A2639">
        <v>1038</v>
      </c>
      <c r="B2639" s="1">
        <v>45504</v>
      </c>
      <c r="C2639" t="s">
        <v>12</v>
      </c>
      <c r="D2639" s="2">
        <v>0</v>
      </c>
      <c r="E2639" s="2">
        <v>152.4</v>
      </c>
      <c r="F2639" t="s">
        <v>16</v>
      </c>
      <c r="G2639" t="s">
        <v>17</v>
      </c>
    </row>
    <row r="2640" spans="1:7" x14ac:dyDescent="0.35">
      <c r="A2640">
        <v>1039</v>
      </c>
      <c r="B2640" s="1">
        <v>45504</v>
      </c>
      <c r="C2640" t="s">
        <v>12</v>
      </c>
      <c r="D2640" s="2">
        <v>1080.08</v>
      </c>
      <c r="E2640" s="2">
        <v>0</v>
      </c>
      <c r="F2640" t="s">
        <v>13</v>
      </c>
      <c r="G2640" t="s">
        <v>9</v>
      </c>
    </row>
    <row r="2641" spans="1:7" x14ac:dyDescent="0.35">
      <c r="A2641">
        <v>1039</v>
      </c>
      <c r="B2641" s="1">
        <v>45504</v>
      </c>
      <c r="C2641" t="s">
        <v>12</v>
      </c>
      <c r="D2641" s="2">
        <v>0</v>
      </c>
      <c r="E2641" s="2">
        <v>1004.72</v>
      </c>
      <c r="F2641" t="s">
        <v>14</v>
      </c>
      <c r="G2641" t="s">
        <v>15</v>
      </c>
    </row>
    <row r="2642" spans="1:7" x14ac:dyDescent="0.35">
      <c r="A2642">
        <v>1039</v>
      </c>
      <c r="B2642" s="1">
        <v>45504</v>
      </c>
      <c r="C2642" t="s">
        <v>12</v>
      </c>
      <c r="D2642" s="2">
        <v>0</v>
      </c>
      <c r="E2642" s="2">
        <v>75.36</v>
      </c>
      <c r="F2642" t="s">
        <v>16</v>
      </c>
      <c r="G2642" t="s">
        <v>17</v>
      </c>
    </row>
    <row r="2643" spans="1:7" x14ac:dyDescent="0.35">
      <c r="A2643">
        <v>1040</v>
      </c>
      <c r="B2643" s="1">
        <v>45504</v>
      </c>
      <c r="C2643" t="s">
        <v>12</v>
      </c>
      <c r="D2643" s="2">
        <v>1636.77</v>
      </c>
      <c r="E2643" s="2">
        <v>0</v>
      </c>
      <c r="F2643" t="s">
        <v>13</v>
      </c>
      <c r="G2643" t="s">
        <v>9</v>
      </c>
    </row>
    <row r="2644" spans="1:7" x14ac:dyDescent="0.35">
      <c r="A2644">
        <v>1040</v>
      </c>
      <c r="B2644" s="1">
        <v>45504</v>
      </c>
      <c r="C2644" t="s">
        <v>12</v>
      </c>
      <c r="D2644" s="2">
        <v>0</v>
      </c>
      <c r="E2644" s="2">
        <v>1522.58</v>
      </c>
      <c r="F2644" t="s">
        <v>14</v>
      </c>
      <c r="G2644" t="s">
        <v>15</v>
      </c>
    </row>
    <row r="2645" spans="1:7" x14ac:dyDescent="0.35">
      <c r="A2645">
        <v>1040</v>
      </c>
      <c r="B2645" s="1">
        <v>45504</v>
      </c>
      <c r="C2645" t="s">
        <v>12</v>
      </c>
      <c r="D2645" s="2">
        <v>0</v>
      </c>
      <c r="E2645" s="2">
        <v>114.19</v>
      </c>
      <c r="F2645" t="s">
        <v>16</v>
      </c>
      <c r="G2645" t="s">
        <v>17</v>
      </c>
    </row>
    <row r="2646" spans="1:7" x14ac:dyDescent="0.35">
      <c r="A2646">
        <v>1041</v>
      </c>
      <c r="B2646" s="1">
        <v>45504</v>
      </c>
      <c r="C2646" t="s">
        <v>24</v>
      </c>
      <c r="D2646" s="2">
        <v>3175.27</v>
      </c>
      <c r="E2646" s="2">
        <v>0</v>
      </c>
      <c r="F2646" t="s">
        <v>8</v>
      </c>
      <c r="G2646" t="s">
        <v>9</v>
      </c>
    </row>
    <row r="2647" spans="1:7" x14ac:dyDescent="0.35">
      <c r="A2647">
        <v>1041</v>
      </c>
      <c r="B2647" s="1">
        <v>45504</v>
      </c>
      <c r="C2647" t="s">
        <v>24</v>
      </c>
      <c r="D2647" s="2">
        <v>0</v>
      </c>
      <c r="E2647" s="2">
        <v>3175.27</v>
      </c>
      <c r="F2647" t="s">
        <v>13</v>
      </c>
      <c r="G2647" t="s">
        <v>9</v>
      </c>
    </row>
    <row r="2648" spans="1:7" x14ac:dyDescent="0.35">
      <c r="A2648">
        <v>1042</v>
      </c>
      <c r="B2648" s="1">
        <v>45504</v>
      </c>
      <c r="C2648" t="s">
        <v>24</v>
      </c>
      <c r="D2648" s="2">
        <v>2795.89</v>
      </c>
      <c r="E2648" s="2">
        <v>0</v>
      </c>
      <c r="F2648" t="s">
        <v>8</v>
      </c>
      <c r="G2648" t="s">
        <v>9</v>
      </c>
    </row>
    <row r="2649" spans="1:7" x14ac:dyDescent="0.35">
      <c r="A2649">
        <v>1042</v>
      </c>
      <c r="B2649" s="1">
        <v>45504</v>
      </c>
      <c r="C2649" t="s">
        <v>24</v>
      </c>
      <c r="D2649" s="2">
        <v>0</v>
      </c>
      <c r="E2649" s="2">
        <v>2795.89</v>
      </c>
      <c r="F2649" t="s">
        <v>13</v>
      </c>
      <c r="G2649" t="s">
        <v>9</v>
      </c>
    </row>
    <row r="2650" spans="1:7" x14ac:dyDescent="0.35">
      <c r="A2650">
        <v>1043</v>
      </c>
      <c r="B2650" s="1">
        <v>45504</v>
      </c>
      <c r="C2650" t="s">
        <v>24</v>
      </c>
      <c r="D2650" s="2">
        <v>867.27</v>
      </c>
      <c r="E2650" s="2">
        <v>0</v>
      </c>
      <c r="F2650" t="s">
        <v>8</v>
      </c>
      <c r="G2650" t="s">
        <v>9</v>
      </c>
    </row>
    <row r="2651" spans="1:7" x14ac:dyDescent="0.35">
      <c r="A2651">
        <v>1043</v>
      </c>
      <c r="B2651" s="1">
        <v>45504</v>
      </c>
      <c r="C2651" t="s">
        <v>24</v>
      </c>
      <c r="D2651" s="2">
        <v>0</v>
      </c>
      <c r="E2651" s="2">
        <v>867.27</v>
      </c>
      <c r="F2651" t="s">
        <v>13</v>
      </c>
      <c r="G2651" t="s">
        <v>9</v>
      </c>
    </row>
    <row r="2652" spans="1:7" x14ac:dyDescent="0.35">
      <c r="A2652">
        <v>1044</v>
      </c>
      <c r="B2652" s="1">
        <v>45504</v>
      </c>
      <c r="C2652" t="s">
        <v>24</v>
      </c>
      <c r="D2652" s="2">
        <v>924.18</v>
      </c>
      <c r="E2652" s="2">
        <v>0</v>
      </c>
      <c r="F2652" t="s">
        <v>8</v>
      </c>
      <c r="G2652" t="s">
        <v>9</v>
      </c>
    </row>
    <row r="2653" spans="1:7" x14ac:dyDescent="0.35">
      <c r="A2653">
        <v>1044</v>
      </c>
      <c r="B2653" s="1">
        <v>45504</v>
      </c>
      <c r="C2653" t="s">
        <v>24</v>
      </c>
      <c r="D2653" s="2">
        <v>0</v>
      </c>
      <c r="E2653" s="2">
        <v>924.18</v>
      </c>
      <c r="F2653" t="s">
        <v>13</v>
      </c>
      <c r="G2653" t="s">
        <v>9</v>
      </c>
    </row>
    <row r="2654" spans="1:7" x14ac:dyDescent="0.35">
      <c r="A2654">
        <v>1045</v>
      </c>
      <c r="B2654" s="1">
        <v>45504</v>
      </c>
      <c r="C2654" t="s">
        <v>25</v>
      </c>
      <c r="D2654" s="2">
        <v>1480.5</v>
      </c>
      <c r="E2654" s="2">
        <v>0</v>
      </c>
      <c r="F2654" t="s">
        <v>26</v>
      </c>
      <c r="G2654" t="s">
        <v>20</v>
      </c>
    </row>
    <row r="2655" spans="1:7" x14ac:dyDescent="0.35">
      <c r="A2655">
        <v>1045</v>
      </c>
      <c r="B2655" s="1">
        <v>45504</v>
      </c>
      <c r="C2655" t="s">
        <v>25</v>
      </c>
      <c r="D2655" s="2">
        <v>111.04</v>
      </c>
      <c r="E2655" s="2">
        <v>0</v>
      </c>
      <c r="F2655" t="s">
        <v>27</v>
      </c>
      <c r="G2655" t="s">
        <v>9</v>
      </c>
    </row>
    <row r="2656" spans="1:7" x14ac:dyDescent="0.35">
      <c r="A2656">
        <v>1045</v>
      </c>
      <c r="B2656" s="1">
        <v>45504</v>
      </c>
      <c r="C2656" t="s">
        <v>25</v>
      </c>
      <c r="D2656" s="2">
        <v>0</v>
      </c>
      <c r="E2656" s="2">
        <v>1591.54</v>
      </c>
      <c r="F2656" t="s">
        <v>28</v>
      </c>
      <c r="G2656" t="s">
        <v>17</v>
      </c>
    </row>
    <row r="2657" spans="1:7" x14ac:dyDescent="0.35">
      <c r="A2657">
        <v>1046</v>
      </c>
      <c r="B2657" s="1">
        <v>45504</v>
      </c>
      <c r="C2657" t="s">
        <v>29</v>
      </c>
      <c r="D2657" s="2">
        <v>2182.41</v>
      </c>
      <c r="E2657" s="2">
        <v>0</v>
      </c>
      <c r="F2657" t="s">
        <v>28</v>
      </c>
      <c r="G2657" t="s">
        <v>17</v>
      </c>
    </row>
    <row r="2658" spans="1:7" x14ac:dyDescent="0.35">
      <c r="A2658">
        <v>1046</v>
      </c>
      <c r="B2658" s="1">
        <v>45504</v>
      </c>
      <c r="C2658" t="s">
        <v>29</v>
      </c>
      <c r="D2658" s="2">
        <v>0</v>
      </c>
      <c r="E2658" s="2">
        <v>2182.41</v>
      </c>
      <c r="F2658" t="s">
        <v>8</v>
      </c>
      <c r="G2658" t="s">
        <v>9</v>
      </c>
    </row>
    <row r="2659" spans="1:7" x14ac:dyDescent="0.35">
      <c r="A2659">
        <v>1047</v>
      </c>
      <c r="B2659" s="1">
        <v>45504</v>
      </c>
      <c r="C2659" t="s">
        <v>29</v>
      </c>
      <c r="D2659" s="2">
        <v>1935.04</v>
      </c>
      <c r="E2659" s="2">
        <v>0</v>
      </c>
      <c r="F2659" t="s">
        <v>28</v>
      </c>
      <c r="G2659" t="s">
        <v>17</v>
      </c>
    </row>
    <row r="2660" spans="1:7" x14ac:dyDescent="0.35">
      <c r="A2660">
        <v>1047</v>
      </c>
      <c r="B2660" s="1">
        <v>45504</v>
      </c>
      <c r="C2660" t="s">
        <v>29</v>
      </c>
      <c r="D2660" s="2">
        <v>0</v>
      </c>
      <c r="E2660" s="2">
        <v>1935.04</v>
      </c>
      <c r="F2660" t="s">
        <v>8</v>
      </c>
      <c r="G2660" t="s">
        <v>9</v>
      </c>
    </row>
    <row r="2661" spans="1:7" x14ac:dyDescent="0.35">
      <c r="A2661">
        <v>1048</v>
      </c>
      <c r="B2661" s="1">
        <v>45504</v>
      </c>
      <c r="C2661" t="s">
        <v>30</v>
      </c>
      <c r="D2661" s="2">
        <v>93.61</v>
      </c>
      <c r="E2661" s="2">
        <v>0</v>
      </c>
      <c r="F2661" t="s">
        <v>31</v>
      </c>
      <c r="G2661" t="s">
        <v>20</v>
      </c>
    </row>
    <row r="2662" spans="1:7" x14ac:dyDescent="0.35">
      <c r="A2662">
        <v>1048</v>
      </c>
      <c r="B2662" s="1">
        <v>45504</v>
      </c>
      <c r="C2662" t="s">
        <v>30</v>
      </c>
      <c r="D2662" s="2">
        <v>0</v>
      </c>
      <c r="E2662" s="2">
        <v>93.61</v>
      </c>
      <c r="F2662" t="s">
        <v>32</v>
      </c>
      <c r="G2662" t="s">
        <v>9</v>
      </c>
    </row>
    <row r="2663" spans="1:7" x14ac:dyDescent="0.35">
      <c r="A2663">
        <v>1049</v>
      </c>
      <c r="B2663" s="1">
        <v>45504</v>
      </c>
      <c r="C2663" t="s">
        <v>33</v>
      </c>
      <c r="D2663" s="2">
        <v>76.86</v>
      </c>
      <c r="E2663" s="2">
        <v>0</v>
      </c>
      <c r="F2663" t="s">
        <v>31</v>
      </c>
      <c r="G2663" t="s">
        <v>20</v>
      </c>
    </row>
    <row r="2664" spans="1:7" x14ac:dyDescent="0.35">
      <c r="A2664">
        <v>1049</v>
      </c>
      <c r="B2664" s="1">
        <v>45504</v>
      </c>
      <c r="C2664" t="s">
        <v>33</v>
      </c>
      <c r="D2664" s="2">
        <v>0</v>
      </c>
      <c r="E2664" s="2">
        <v>76.86</v>
      </c>
      <c r="F2664" t="s">
        <v>32</v>
      </c>
      <c r="G2664" t="s">
        <v>9</v>
      </c>
    </row>
    <row r="2665" spans="1:7" x14ac:dyDescent="0.35">
      <c r="A2665">
        <v>1050</v>
      </c>
      <c r="B2665" s="1">
        <v>45504</v>
      </c>
      <c r="C2665" t="s">
        <v>34</v>
      </c>
      <c r="D2665" s="2">
        <v>20.03</v>
      </c>
      <c r="E2665" s="2">
        <v>0</v>
      </c>
      <c r="F2665" t="s">
        <v>31</v>
      </c>
      <c r="G2665" t="s">
        <v>20</v>
      </c>
    </row>
    <row r="2666" spans="1:7" x14ac:dyDescent="0.35">
      <c r="A2666">
        <v>1050</v>
      </c>
      <c r="B2666" s="1">
        <v>45504</v>
      </c>
      <c r="C2666" t="s">
        <v>34</v>
      </c>
      <c r="D2666" s="2">
        <v>0</v>
      </c>
      <c r="E2666" s="2">
        <v>20.03</v>
      </c>
      <c r="F2666" t="s">
        <v>32</v>
      </c>
      <c r="G2666" t="s">
        <v>9</v>
      </c>
    </row>
    <row r="2667" spans="1:7" x14ac:dyDescent="0.35">
      <c r="A2667">
        <v>1051</v>
      </c>
      <c r="B2667" s="1">
        <v>45504</v>
      </c>
      <c r="C2667" t="s">
        <v>35</v>
      </c>
      <c r="D2667" s="2">
        <v>86.89</v>
      </c>
      <c r="E2667" s="2">
        <v>0</v>
      </c>
      <c r="F2667" t="s">
        <v>31</v>
      </c>
      <c r="G2667" t="s">
        <v>20</v>
      </c>
    </row>
    <row r="2668" spans="1:7" x14ac:dyDescent="0.35">
      <c r="A2668">
        <v>1051</v>
      </c>
      <c r="B2668" s="1">
        <v>45504</v>
      </c>
      <c r="C2668" t="s">
        <v>35</v>
      </c>
      <c r="D2668" s="2">
        <v>0</v>
      </c>
      <c r="E2668" s="2">
        <v>86.89</v>
      </c>
      <c r="F2668" t="s">
        <v>36</v>
      </c>
      <c r="G2668" t="s">
        <v>9</v>
      </c>
    </row>
    <row r="2669" spans="1:7" x14ac:dyDescent="0.35">
      <c r="A2669">
        <v>1052</v>
      </c>
      <c r="B2669" s="1">
        <v>45504</v>
      </c>
      <c r="C2669" t="s">
        <v>37</v>
      </c>
      <c r="D2669" s="2">
        <v>76.8</v>
      </c>
      <c r="E2669" s="2">
        <v>0</v>
      </c>
      <c r="F2669" t="s">
        <v>31</v>
      </c>
      <c r="G2669" t="s">
        <v>20</v>
      </c>
    </row>
    <row r="2670" spans="1:7" x14ac:dyDescent="0.35">
      <c r="A2670">
        <v>1052</v>
      </c>
      <c r="B2670" s="1">
        <v>45504</v>
      </c>
      <c r="C2670" t="s">
        <v>37</v>
      </c>
      <c r="D2670" s="2">
        <v>0</v>
      </c>
      <c r="E2670" s="2">
        <v>76.8</v>
      </c>
      <c r="F2670" t="s">
        <v>36</v>
      </c>
      <c r="G2670" t="s">
        <v>9</v>
      </c>
    </row>
    <row r="2671" spans="1:7" x14ac:dyDescent="0.35">
      <c r="A2671">
        <v>1053</v>
      </c>
      <c r="B2671" s="1">
        <v>45504</v>
      </c>
      <c r="C2671" t="s">
        <v>38</v>
      </c>
      <c r="D2671" s="2">
        <v>48.28</v>
      </c>
      <c r="E2671" s="2">
        <v>0</v>
      </c>
      <c r="F2671" t="s">
        <v>31</v>
      </c>
      <c r="G2671" t="s">
        <v>20</v>
      </c>
    </row>
    <row r="2672" spans="1:7" x14ac:dyDescent="0.35">
      <c r="A2672">
        <v>1053</v>
      </c>
      <c r="B2672" s="1">
        <v>45504</v>
      </c>
      <c r="C2672" t="s">
        <v>38</v>
      </c>
      <c r="D2672" s="2">
        <v>0</v>
      </c>
      <c r="E2672" s="2">
        <v>48.28</v>
      </c>
      <c r="F2672" t="s">
        <v>36</v>
      </c>
      <c r="G2672" t="s">
        <v>9</v>
      </c>
    </row>
    <row r="2673" spans="1:7" x14ac:dyDescent="0.35">
      <c r="A2673">
        <v>1054</v>
      </c>
      <c r="B2673" s="1">
        <v>45504</v>
      </c>
      <c r="C2673" t="s">
        <v>39</v>
      </c>
      <c r="D2673" s="2">
        <v>53.21</v>
      </c>
      <c r="E2673" s="2">
        <v>0</v>
      </c>
      <c r="F2673" t="s">
        <v>31</v>
      </c>
      <c r="G2673" t="s">
        <v>20</v>
      </c>
    </row>
    <row r="2674" spans="1:7" x14ac:dyDescent="0.35">
      <c r="A2674">
        <v>1054</v>
      </c>
      <c r="B2674" s="1">
        <v>45504</v>
      </c>
      <c r="C2674" t="s">
        <v>39</v>
      </c>
      <c r="D2674" s="2">
        <v>0</v>
      </c>
      <c r="E2674" s="2">
        <v>53.21</v>
      </c>
      <c r="F2674" t="s">
        <v>36</v>
      </c>
      <c r="G2674" t="s">
        <v>9</v>
      </c>
    </row>
    <row r="2675" spans="1:7" x14ac:dyDescent="0.35">
      <c r="A2675">
        <v>1055</v>
      </c>
      <c r="B2675" s="1">
        <v>45504</v>
      </c>
      <c r="C2675" t="s">
        <v>40</v>
      </c>
      <c r="D2675" s="2">
        <v>232.19</v>
      </c>
      <c r="E2675" s="2">
        <v>0</v>
      </c>
      <c r="F2675" t="s">
        <v>31</v>
      </c>
      <c r="G2675" t="s">
        <v>20</v>
      </c>
    </row>
    <row r="2676" spans="1:7" x14ac:dyDescent="0.35">
      <c r="A2676">
        <v>1055</v>
      </c>
      <c r="B2676" s="1">
        <v>45504</v>
      </c>
      <c r="C2676" t="s">
        <v>40</v>
      </c>
      <c r="D2676" s="2">
        <v>0</v>
      </c>
      <c r="E2676" s="2">
        <v>232.19</v>
      </c>
      <c r="F2676" t="s">
        <v>41</v>
      </c>
      <c r="G2676" t="s">
        <v>9</v>
      </c>
    </row>
    <row r="2677" spans="1:7" x14ac:dyDescent="0.35">
      <c r="A2677">
        <v>1056</v>
      </c>
      <c r="B2677" s="1">
        <v>45504</v>
      </c>
      <c r="C2677" t="s">
        <v>42</v>
      </c>
      <c r="D2677" s="2">
        <v>43.85</v>
      </c>
      <c r="E2677" s="2">
        <v>0</v>
      </c>
      <c r="F2677" t="s">
        <v>31</v>
      </c>
      <c r="G2677" t="s">
        <v>20</v>
      </c>
    </row>
    <row r="2678" spans="1:7" x14ac:dyDescent="0.35">
      <c r="A2678">
        <v>1056</v>
      </c>
      <c r="B2678" s="1">
        <v>45504</v>
      </c>
      <c r="C2678" t="s">
        <v>42</v>
      </c>
      <c r="D2678" s="2">
        <v>0</v>
      </c>
      <c r="E2678" s="2">
        <v>43.85</v>
      </c>
      <c r="F2678" t="s">
        <v>32</v>
      </c>
      <c r="G2678" t="s">
        <v>9</v>
      </c>
    </row>
    <row r="2679" spans="1:7" x14ac:dyDescent="0.35">
      <c r="A2679">
        <v>1057</v>
      </c>
      <c r="B2679" s="1">
        <v>45505</v>
      </c>
      <c r="C2679" t="s">
        <v>18</v>
      </c>
      <c r="D2679" s="2">
        <v>22145.07</v>
      </c>
      <c r="E2679" s="2">
        <v>0</v>
      </c>
      <c r="F2679" t="s">
        <v>19</v>
      </c>
      <c r="G2679" t="s">
        <v>20</v>
      </c>
    </row>
    <row r="2680" spans="1:7" x14ac:dyDescent="0.35">
      <c r="A2680">
        <v>1057</v>
      </c>
      <c r="B2680" s="1">
        <v>45505</v>
      </c>
      <c r="C2680" t="s">
        <v>18</v>
      </c>
      <c r="D2680" s="2">
        <v>885.81</v>
      </c>
      <c r="E2680" s="2">
        <v>0</v>
      </c>
      <c r="F2680" t="s">
        <v>21</v>
      </c>
      <c r="G2680" t="s">
        <v>20</v>
      </c>
    </row>
    <row r="2681" spans="1:7" x14ac:dyDescent="0.35">
      <c r="A2681">
        <v>1057</v>
      </c>
      <c r="B2681" s="1">
        <v>45505</v>
      </c>
      <c r="C2681" t="s">
        <v>18</v>
      </c>
      <c r="D2681" s="2">
        <v>0</v>
      </c>
      <c r="E2681" s="2">
        <v>18075.8</v>
      </c>
      <c r="F2681" t="s">
        <v>8</v>
      </c>
      <c r="G2681" t="s">
        <v>9</v>
      </c>
    </row>
    <row r="2682" spans="1:7" x14ac:dyDescent="0.35">
      <c r="A2682">
        <v>1057</v>
      </c>
      <c r="B2682" s="1">
        <v>45505</v>
      </c>
      <c r="C2682" t="s">
        <v>18</v>
      </c>
      <c r="D2682" s="2">
        <v>0</v>
      </c>
      <c r="E2682" s="2">
        <v>4069.27</v>
      </c>
      <c r="F2682" t="s">
        <v>22</v>
      </c>
      <c r="G2682" t="s">
        <v>17</v>
      </c>
    </row>
    <row r="2683" spans="1:7" x14ac:dyDescent="0.35">
      <c r="A2683">
        <v>1057</v>
      </c>
      <c r="B2683" s="1">
        <v>45505</v>
      </c>
      <c r="C2683" t="s">
        <v>18</v>
      </c>
      <c r="D2683" s="2">
        <v>0</v>
      </c>
      <c r="E2683" s="2">
        <v>885.81</v>
      </c>
      <c r="F2683" t="s">
        <v>23</v>
      </c>
      <c r="G2683" t="s">
        <v>17</v>
      </c>
    </row>
    <row r="2684" spans="1:7" x14ac:dyDescent="0.35">
      <c r="A2684">
        <v>1058</v>
      </c>
      <c r="B2684" s="1">
        <v>45505</v>
      </c>
      <c r="C2684" t="s">
        <v>12</v>
      </c>
      <c r="D2684" s="2">
        <v>2082.75</v>
      </c>
      <c r="E2684" s="2">
        <v>0</v>
      </c>
      <c r="F2684" t="s">
        <v>13</v>
      </c>
      <c r="G2684" t="s">
        <v>9</v>
      </c>
    </row>
    <row r="2685" spans="1:7" x14ac:dyDescent="0.35">
      <c r="A2685">
        <v>1058</v>
      </c>
      <c r="B2685" s="1">
        <v>45505</v>
      </c>
      <c r="C2685" t="s">
        <v>12</v>
      </c>
      <c r="D2685" s="2">
        <v>0</v>
      </c>
      <c r="E2685" s="2">
        <v>1937.44</v>
      </c>
      <c r="F2685" t="s">
        <v>14</v>
      </c>
      <c r="G2685" t="s">
        <v>15</v>
      </c>
    </row>
    <row r="2686" spans="1:7" x14ac:dyDescent="0.35">
      <c r="A2686">
        <v>1058</v>
      </c>
      <c r="B2686" s="1">
        <v>45505</v>
      </c>
      <c r="C2686" t="s">
        <v>12</v>
      </c>
      <c r="D2686" s="2">
        <v>0</v>
      </c>
      <c r="E2686" s="2">
        <v>145.31</v>
      </c>
      <c r="F2686" t="s">
        <v>16</v>
      </c>
      <c r="G2686" t="s">
        <v>17</v>
      </c>
    </row>
    <row r="2687" spans="1:7" x14ac:dyDescent="0.35">
      <c r="A2687">
        <v>1059</v>
      </c>
      <c r="B2687" s="1">
        <v>45505</v>
      </c>
      <c r="C2687" t="s">
        <v>12</v>
      </c>
      <c r="D2687" s="2">
        <v>1668.95</v>
      </c>
      <c r="E2687" s="2">
        <v>0</v>
      </c>
      <c r="F2687" t="s">
        <v>13</v>
      </c>
      <c r="G2687" t="s">
        <v>9</v>
      </c>
    </row>
    <row r="2688" spans="1:7" x14ac:dyDescent="0.35">
      <c r="A2688">
        <v>1059</v>
      </c>
      <c r="B2688" s="1">
        <v>45505</v>
      </c>
      <c r="C2688" t="s">
        <v>12</v>
      </c>
      <c r="D2688" s="2">
        <v>0</v>
      </c>
      <c r="E2688" s="2">
        <v>1552.51</v>
      </c>
      <c r="F2688" t="s">
        <v>14</v>
      </c>
      <c r="G2688" t="s">
        <v>15</v>
      </c>
    </row>
    <row r="2689" spans="1:7" x14ac:dyDescent="0.35">
      <c r="A2689">
        <v>1059</v>
      </c>
      <c r="B2689" s="1">
        <v>45505</v>
      </c>
      <c r="C2689" t="s">
        <v>12</v>
      </c>
      <c r="D2689" s="2">
        <v>0</v>
      </c>
      <c r="E2689" s="2">
        <v>116.44</v>
      </c>
      <c r="F2689" t="s">
        <v>16</v>
      </c>
      <c r="G2689" t="s">
        <v>17</v>
      </c>
    </row>
    <row r="2690" spans="1:7" x14ac:dyDescent="0.35">
      <c r="A2690">
        <v>1060</v>
      </c>
      <c r="B2690" s="1">
        <v>45505</v>
      </c>
      <c r="C2690" t="s">
        <v>12</v>
      </c>
      <c r="D2690" s="2">
        <v>1326.56</v>
      </c>
      <c r="E2690" s="2">
        <v>0</v>
      </c>
      <c r="F2690" t="s">
        <v>13</v>
      </c>
      <c r="G2690" t="s">
        <v>9</v>
      </c>
    </row>
    <row r="2691" spans="1:7" x14ac:dyDescent="0.35">
      <c r="A2691">
        <v>1060</v>
      </c>
      <c r="B2691" s="1">
        <v>45505</v>
      </c>
      <c r="C2691" t="s">
        <v>12</v>
      </c>
      <c r="D2691" s="2">
        <v>0</v>
      </c>
      <c r="E2691" s="2">
        <v>1234.01</v>
      </c>
      <c r="F2691" t="s">
        <v>14</v>
      </c>
      <c r="G2691" t="s">
        <v>15</v>
      </c>
    </row>
    <row r="2692" spans="1:7" x14ac:dyDescent="0.35">
      <c r="A2692">
        <v>1060</v>
      </c>
      <c r="B2692" s="1">
        <v>45505</v>
      </c>
      <c r="C2692" t="s">
        <v>12</v>
      </c>
      <c r="D2692" s="2">
        <v>0</v>
      </c>
      <c r="E2692" s="2">
        <v>92.55</v>
      </c>
      <c r="F2692" t="s">
        <v>16</v>
      </c>
      <c r="G2692" t="s">
        <v>17</v>
      </c>
    </row>
    <row r="2693" spans="1:7" x14ac:dyDescent="0.35">
      <c r="A2693">
        <v>1061</v>
      </c>
      <c r="B2693" s="1">
        <v>45505</v>
      </c>
      <c r="C2693" t="s">
        <v>12</v>
      </c>
      <c r="D2693" s="2">
        <v>831.26</v>
      </c>
      <c r="E2693" s="2">
        <v>0</v>
      </c>
      <c r="F2693" t="s">
        <v>13</v>
      </c>
      <c r="G2693" t="s">
        <v>9</v>
      </c>
    </row>
    <row r="2694" spans="1:7" x14ac:dyDescent="0.35">
      <c r="A2694">
        <v>1061</v>
      </c>
      <c r="B2694" s="1">
        <v>45505</v>
      </c>
      <c r="C2694" t="s">
        <v>12</v>
      </c>
      <c r="D2694" s="2">
        <v>0</v>
      </c>
      <c r="E2694" s="2">
        <v>773.27</v>
      </c>
      <c r="F2694" t="s">
        <v>14</v>
      </c>
      <c r="G2694" t="s">
        <v>15</v>
      </c>
    </row>
    <row r="2695" spans="1:7" x14ac:dyDescent="0.35">
      <c r="A2695">
        <v>1061</v>
      </c>
      <c r="B2695" s="1">
        <v>45505</v>
      </c>
      <c r="C2695" t="s">
        <v>12</v>
      </c>
      <c r="D2695" s="2">
        <v>0</v>
      </c>
      <c r="E2695" s="2">
        <v>57.99</v>
      </c>
      <c r="F2695" t="s">
        <v>16</v>
      </c>
      <c r="G2695" t="s">
        <v>17</v>
      </c>
    </row>
    <row r="2696" spans="1:7" x14ac:dyDescent="0.35">
      <c r="A2696">
        <v>1062</v>
      </c>
      <c r="B2696" s="1">
        <v>45505</v>
      </c>
      <c r="C2696" t="s">
        <v>12</v>
      </c>
      <c r="D2696" s="2">
        <v>2229.94</v>
      </c>
      <c r="E2696" s="2">
        <v>0</v>
      </c>
      <c r="F2696" t="s">
        <v>13</v>
      </c>
      <c r="G2696" t="s">
        <v>9</v>
      </c>
    </row>
    <row r="2697" spans="1:7" x14ac:dyDescent="0.35">
      <c r="A2697">
        <v>1062</v>
      </c>
      <c r="B2697" s="1">
        <v>45505</v>
      </c>
      <c r="C2697" t="s">
        <v>12</v>
      </c>
      <c r="D2697" s="2">
        <v>0</v>
      </c>
      <c r="E2697" s="2">
        <v>2074.36</v>
      </c>
      <c r="F2697" t="s">
        <v>14</v>
      </c>
      <c r="G2697" t="s">
        <v>15</v>
      </c>
    </row>
    <row r="2698" spans="1:7" x14ac:dyDescent="0.35">
      <c r="A2698">
        <v>1062</v>
      </c>
      <c r="B2698" s="1">
        <v>45505</v>
      </c>
      <c r="C2698" t="s">
        <v>12</v>
      </c>
      <c r="D2698" s="2">
        <v>0</v>
      </c>
      <c r="E2698" s="2">
        <v>155.58000000000001</v>
      </c>
      <c r="F2698" t="s">
        <v>16</v>
      </c>
      <c r="G2698" t="s">
        <v>17</v>
      </c>
    </row>
    <row r="2699" spans="1:7" x14ac:dyDescent="0.35">
      <c r="A2699">
        <v>1063</v>
      </c>
      <c r="B2699" s="1">
        <v>45505</v>
      </c>
      <c r="C2699" t="s">
        <v>12</v>
      </c>
      <c r="D2699" s="2">
        <v>1864.76</v>
      </c>
      <c r="E2699" s="2">
        <v>0</v>
      </c>
      <c r="F2699" t="s">
        <v>13</v>
      </c>
      <c r="G2699" t="s">
        <v>9</v>
      </c>
    </row>
    <row r="2700" spans="1:7" x14ac:dyDescent="0.35">
      <c r="A2700">
        <v>1063</v>
      </c>
      <c r="B2700" s="1">
        <v>45505</v>
      </c>
      <c r="C2700" t="s">
        <v>12</v>
      </c>
      <c r="D2700" s="2">
        <v>0</v>
      </c>
      <c r="E2700" s="2">
        <v>1734.67</v>
      </c>
      <c r="F2700" t="s">
        <v>14</v>
      </c>
      <c r="G2700" t="s">
        <v>15</v>
      </c>
    </row>
    <row r="2701" spans="1:7" x14ac:dyDescent="0.35">
      <c r="A2701">
        <v>1063</v>
      </c>
      <c r="B2701" s="1">
        <v>45505</v>
      </c>
      <c r="C2701" t="s">
        <v>12</v>
      </c>
      <c r="D2701" s="2">
        <v>0</v>
      </c>
      <c r="E2701" s="2">
        <v>130.09</v>
      </c>
      <c r="F2701" t="s">
        <v>16</v>
      </c>
      <c r="G2701" t="s">
        <v>17</v>
      </c>
    </row>
    <row r="2702" spans="1:7" x14ac:dyDescent="0.35">
      <c r="A2702">
        <v>1064</v>
      </c>
      <c r="B2702" s="1">
        <v>45505</v>
      </c>
      <c r="C2702" t="s">
        <v>29</v>
      </c>
      <c r="D2702" s="2">
        <v>1766.46</v>
      </c>
      <c r="E2702" s="2">
        <v>0</v>
      </c>
      <c r="F2702" t="s">
        <v>28</v>
      </c>
      <c r="G2702" t="s">
        <v>17</v>
      </c>
    </row>
    <row r="2703" spans="1:7" x14ac:dyDescent="0.35">
      <c r="A2703">
        <v>1064</v>
      </c>
      <c r="B2703" s="1">
        <v>45505</v>
      </c>
      <c r="C2703" t="s">
        <v>29</v>
      </c>
      <c r="D2703" s="2">
        <v>0</v>
      </c>
      <c r="E2703" s="2">
        <v>1766.46</v>
      </c>
      <c r="F2703" t="s">
        <v>8</v>
      </c>
      <c r="G2703" t="s">
        <v>9</v>
      </c>
    </row>
    <row r="2704" spans="1:7" x14ac:dyDescent="0.35">
      <c r="A2704">
        <v>1065</v>
      </c>
      <c r="B2704" s="1">
        <v>45505</v>
      </c>
      <c r="C2704" t="s">
        <v>29</v>
      </c>
      <c r="D2704" s="2">
        <v>1794.11</v>
      </c>
      <c r="E2704" s="2">
        <v>0</v>
      </c>
      <c r="F2704" t="s">
        <v>28</v>
      </c>
      <c r="G2704" t="s">
        <v>17</v>
      </c>
    </row>
    <row r="2705" spans="1:7" x14ac:dyDescent="0.35">
      <c r="A2705">
        <v>1065</v>
      </c>
      <c r="B2705" s="1">
        <v>45505</v>
      </c>
      <c r="C2705" t="s">
        <v>29</v>
      </c>
      <c r="D2705" s="2">
        <v>0</v>
      </c>
      <c r="E2705" s="2">
        <v>1794.11</v>
      </c>
      <c r="F2705" t="s">
        <v>8</v>
      </c>
      <c r="G2705" t="s">
        <v>9</v>
      </c>
    </row>
    <row r="2706" spans="1:7" x14ac:dyDescent="0.35">
      <c r="A2706">
        <v>1066</v>
      </c>
      <c r="B2706" s="1">
        <v>45506</v>
      </c>
      <c r="C2706" t="s">
        <v>12</v>
      </c>
      <c r="D2706" s="2">
        <v>1499.89</v>
      </c>
      <c r="E2706" s="2">
        <v>0</v>
      </c>
      <c r="F2706" t="s">
        <v>13</v>
      </c>
      <c r="G2706" t="s">
        <v>9</v>
      </c>
    </row>
    <row r="2707" spans="1:7" x14ac:dyDescent="0.35">
      <c r="A2707">
        <v>1066</v>
      </c>
      <c r="B2707" s="1">
        <v>45506</v>
      </c>
      <c r="C2707" t="s">
        <v>12</v>
      </c>
      <c r="D2707" s="2">
        <v>0</v>
      </c>
      <c r="E2707" s="2">
        <v>1395.24</v>
      </c>
      <c r="F2707" t="s">
        <v>14</v>
      </c>
      <c r="G2707" t="s">
        <v>15</v>
      </c>
    </row>
    <row r="2708" spans="1:7" x14ac:dyDescent="0.35">
      <c r="A2708">
        <v>1066</v>
      </c>
      <c r="B2708" s="1">
        <v>45506</v>
      </c>
      <c r="C2708" t="s">
        <v>12</v>
      </c>
      <c r="D2708" s="2">
        <v>0</v>
      </c>
      <c r="E2708" s="2">
        <v>104.65</v>
      </c>
      <c r="F2708" t="s">
        <v>16</v>
      </c>
      <c r="G2708" t="s">
        <v>17</v>
      </c>
    </row>
    <row r="2709" spans="1:7" x14ac:dyDescent="0.35">
      <c r="A2709">
        <v>1067</v>
      </c>
      <c r="B2709" s="1">
        <v>45506</v>
      </c>
      <c r="C2709" t="s">
        <v>12</v>
      </c>
      <c r="D2709" s="2">
        <v>2833.22</v>
      </c>
      <c r="E2709" s="2">
        <v>0</v>
      </c>
      <c r="F2709" t="s">
        <v>13</v>
      </c>
      <c r="G2709" t="s">
        <v>9</v>
      </c>
    </row>
    <row r="2710" spans="1:7" x14ac:dyDescent="0.35">
      <c r="A2710">
        <v>1067</v>
      </c>
      <c r="B2710" s="1">
        <v>45506</v>
      </c>
      <c r="C2710" t="s">
        <v>12</v>
      </c>
      <c r="D2710" s="2">
        <v>0</v>
      </c>
      <c r="E2710" s="2">
        <v>2635.55</v>
      </c>
      <c r="F2710" t="s">
        <v>14</v>
      </c>
      <c r="G2710" t="s">
        <v>15</v>
      </c>
    </row>
    <row r="2711" spans="1:7" x14ac:dyDescent="0.35">
      <c r="A2711">
        <v>1067</v>
      </c>
      <c r="B2711" s="1">
        <v>45506</v>
      </c>
      <c r="C2711" t="s">
        <v>12</v>
      </c>
      <c r="D2711" s="2">
        <v>0</v>
      </c>
      <c r="E2711" s="2">
        <v>197.67</v>
      </c>
      <c r="F2711" t="s">
        <v>16</v>
      </c>
      <c r="G2711" t="s">
        <v>17</v>
      </c>
    </row>
    <row r="2712" spans="1:7" x14ac:dyDescent="0.35">
      <c r="A2712">
        <v>1068</v>
      </c>
      <c r="B2712" s="1">
        <v>45506</v>
      </c>
      <c r="C2712" t="s">
        <v>12</v>
      </c>
      <c r="D2712" s="2">
        <v>1508.27</v>
      </c>
      <c r="E2712" s="2">
        <v>0</v>
      </c>
      <c r="F2712" t="s">
        <v>13</v>
      </c>
      <c r="G2712" t="s">
        <v>9</v>
      </c>
    </row>
    <row r="2713" spans="1:7" x14ac:dyDescent="0.35">
      <c r="A2713">
        <v>1068</v>
      </c>
      <c r="B2713" s="1">
        <v>45506</v>
      </c>
      <c r="C2713" t="s">
        <v>12</v>
      </c>
      <c r="D2713" s="2">
        <v>0</v>
      </c>
      <c r="E2713" s="2">
        <v>1403.04</v>
      </c>
      <c r="F2713" t="s">
        <v>14</v>
      </c>
      <c r="G2713" t="s">
        <v>15</v>
      </c>
    </row>
    <row r="2714" spans="1:7" x14ac:dyDescent="0.35">
      <c r="A2714">
        <v>1068</v>
      </c>
      <c r="B2714" s="1">
        <v>45506</v>
      </c>
      <c r="C2714" t="s">
        <v>12</v>
      </c>
      <c r="D2714" s="2">
        <v>0</v>
      </c>
      <c r="E2714" s="2">
        <v>105.23</v>
      </c>
      <c r="F2714" t="s">
        <v>16</v>
      </c>
      <c r="G2714" t="s">
        <v>17</v>
      </c>
    </row>
    <row r="2715" spans="1:7" x14ac:dyDescent="0.35">
      <c r="A2715">
        <v>1069</v>
      </c>
      <c r="B2715" s="1">
        <v>45506</v>
      </c>
      <c r="C2715" t="s">
        <v>24</v>
      </c>
      <c r="D2715" s="2">
        <v>1594.48</v>
      </c>
      <c r="E2715" s="2">
        <v>0</v>
      </c>
      <c r="F2715" t="s">
        <v>8</v>
      </c>
      <c r="G2715" t="s">
        <v>9</v>
      </c>
    </row>
    <row r="2716" spans="1:7" x14ac:dyDescent="0.35">
      <c r="A2716">
        <v>1069</v>
      </c>
      <c r="B2716" s="1">
        <v>45506</v>
      </c>
      <c r="C2716" t="s">
        <v>24</v>
      </c>
      <c r="D2716" s="2">
        <v>0</v>
      </c>
      <c r="E2716" s="2">
        <v>1594.48</v>
      </c>
      <c r="F2716" t="s">
        <v>13</v>
      </c>
      <c r="G2716" t="s">
        <v>9</v>
      </c>
    </row>
    <row r="2717" spans="1:7" x14ac:dyDescent="0.35">
      <c r="A2717">
        <v>1070</v>
      </c>
      <c r="B2717" s="1">
        <v>45506</v>
      </c>
      <c r="C2717" t="s">
        <v>24</v>
      </c>
      <c r="D2717" s="2">
        <v>2409.02</v>
      </c>
      <c r="E2717" s="2">
        <v>0</v>
      </c>
      <c r="F2717" t="s">
        <v>8</v>
      </c>
      <c r="G2717" t="s">
        <v>9</v>
      </c>
    </row>
    <row r="2718" spans="1:7" x14ac:dyDescent="0.35">
      <c r="A2718">
        <v>1070</v>
      </c>
      <c r="B2718" s="1">
        <v>45506</v>
      </c>
      <c r="C2718" t="s">
        <v>24</v>
      </c>
      <c r="D2718" s="2">
        <v>0</v>
      </c>
      <c r="E2718" s="2">
        <v>2409.02</v>
      </c>
      <c r="F2718" t="s">
        <v>13</v>
      </c>
      <c r="G2718" t="s">
        <v>9</v>
      </c>
    </row>
    <row r="2719" spans="1:7" x14ac:dyDescent="0.35">
      <c r="A2719">
        <v>1071</v>
      </c>
      <c r="B2719" s="1">
        <v>45506</v>
      </c>
      <c r="C2719" t="s">
        <v>24</v>
      </c>
      <c r="D2719" s="2">
        <v>4842.6400000000003</v>
      </c>
      <c r="E2719" s="2">
        <v>0</v>
      </c>
      <c r="F2719" t="s">
        <v>8</v>
      </c>
      <c r="G2719" t="s">
        <v>9</v>
      </c>
    </row>
    <row r="2720" spans="1:7" x14ac:dyDescent="0.35">
      <c r="A2720">
        <v>1071</v>
      </c>
      <c r="B2720" s="1">
        <v>45506</v>
      </c>
      <c r="C2720" t="s">
        <v>24</v>
      </c>
      <c r="D2720" s="2">
        <v>0</v>
      </c>
      <c r="E2720" s="2">
        <v>4842.6400000000003</v>
      </c>
      <c r="F2720" t="s">
        <v>13</v>
      </c>
      <c r="G2720" t="s">
        <v>9</v>
      </c>
    </row>
    <row r="2721" spans="1:7" x14ac:dyDescent="0.35">
      <c r="A2721">
        <v>1072</v>
      </c>
      <c r="B2721" s="1">
        <v>45506</v>
      </c>
      <c r="C2721" t="s">
        <v>24</v>
      </c>
      <c r="D2721" s="2">
        <v>1499.89</v>
      </c>
      <c r="E2721" s="2">
        <v>0</v>
      </c>
      <c r="F2721" t="s">
        <v>8</v>
      </c>
      <c r="G2721" t="s">
        <v>9</v>
      </c>
    </row>
    <row r="2722" spans="1:7" x14ac:dyDescent="0.35">
      <c r="A2722">
        <v>1072</v>
      </c>
      <c r="B2722" s="1">
        <v>45506</v>
      </c>
      <c r="C2722" t="s">
        <v>24</v>
      </c>
      <c r="D2722" s="2">
        <v>0</v>
      </c>
      <c r="E2722" s="2">
        <v>1499.89</v>
      </c>
      <c r="F2722" t="s">
        <v>13</v>
      </c>
      <c r="G2722" t="s">
        <v>9</v>
      </c>
    </row>
    <row r="2723" spans="1:7" x14ac:dyDescent="0.35">
      <c r="A2723">
        <v>1073</v>
      </c>
      <c r="B2723" s="1">
        <v>45506</v>
      </c>
      <c r="C2723" t="s">
        <v>25</v>
      </c>
      <c r="D2723" s="2">
        <v>4476.71</v>
      </c>
      <c r="E2723" s="2">
        <v>0</v>
      </c>
      <c r="F2723" t="s">
        <v>26</v>
      </c>
      <c r="G2723" t="s">
        <v>20</v>
      </c>
    </row>
    <row r="2724" spans="1:7" x14ac:dyDescent="0.35">
      <c r="A2724">
        <v>1073</v>
      </c>
      <c r="B2724" s="1">
        <v>45506</v>
      </c>
      <c r="C2724" t="s">
        <v>25</v>
      </c>
      <c r="D2724" s="2">
        <v>335.75</v>
      </c>
      <c r="E2724" s="2">
        <v>0</v>
      </c>
      <c r="F2724" t="s">
        <v>27</v>
      </c>
      <c r="G2724" t="s">
        <v>9</v>
      </c>
    </row>
    <row r="2725" spans="1:7" x14ac:dyDescent="0.35">
      <c r="A2725">
        <v>1073</v>
      </c>
      <c r="B2725" s="1">
        <v>45506</v>
      </c>
      <c r="C2725" t="s">
        <v>25</v>
      </c>
      <c r="D2725" s="2">
        <v>0</v>
      </c>
      <c r="E2725" s="2">
        <v>4812.46</v>
      </c>
      <c r="F2725" t="s">
        <v>28</v>
      </c>
      <c r="G2725" t="s">
        <v>17</v>
      </c>
    </row>
    <row r="2726" spans="1:7" x14ac:dyDescent="0.35">
      <c r="A2726">
        <v>1074</v>
      </c>
      <c r="B2726" s="1">
        <v>45506</v>
      </c>
      <c r="C2726" t="s">
        <v>25</v>
      </c>
      <c r="D2726" s="2">
        <v>1078.92</v>
      </c>
      <c r="E2726" s="2">
        <v>0</v>
      </c>
      <c r="F2726" t="s">
        <v>26</v>
      </c>
      <c r="G2726" t="s">
        <v>20</v>
      </c>
    </row>
    <row r="2727" spans="1:7" x14ac:dyDescent="0.35">
      <c r="A2727">
        <v>1074</v>
      </c>
      <c r="B2727" s="1">
        <v>45506</v>
      </c>
      <c r="C2727" t="s">
        <v>25</v>
      </c>
      <c r="D2727" s="2">
        <v>80.92</v>
      </c>
      <c r="E2727" s="2">
        <v>0</v>
      </c>
      <c r="F2727" t="s">
        <v>27</v>
      </c>
      <c r="G2727" t="s">
        <v>9</v>
      </c>
    </row>
    <row r="2728" spans="1:7" x14ac:dyDescent="0.35">
      <c r="A2728">
        <v>1074</v>
      </c>
      <c r="B2728" s="1">
        <v>45506</v>
      </c>
      <c r="C2728" t="s">
        <v>25</v>
      </c>
      <c r="D2728" s="2">
        <v>0</v>
      </c>
      <c r="E2728" s="2">
        <v>1159.8399999999999</v>
      </c>
      <c r="F2728" t="s">
        <v>28</v>
      </c>
      <c r="G2728" t="s">
        <v>17</v>
      </c>
    </row>
    <row r="2729" spans="1:7" x14ac:dyDescent="0.35">
      <c r="A2729">
        <v>1075</v>
      </c>
      <c r="B2729" s="1">
        <v>45506</v>
      </c>
      <c r="C2729" t="s">
        <v>29</v>
      </c>
      <c r="D2729" s="2">
        <v>748.26</v>
      </c>
      <c r="E2729" s="2">
        <v>0</v>
      </c>
      <c r="F2729" t="s">
        <v>28</v>
      </c>
      <c r="G2729" t="s">
        <v>17</v>
      </c>
    </row>
    <row r="2730" spans="1:7" x14ac:dyDescent="0.35">
      <c r="A2730">
        <v>1075</v>
      </c>
      <c r="B2730" s="1">
        <v>45506</v>
      </c>
      <c r="C2730" t="s">
        <v>29</v>
      </c>
      <c r="D2730" s="2">
        <v>0</v>
      </c>
      <c r="E2730" s="2">
        <v>748.26</v>
      </c>
      <c r="F2730" t="s">
        <v>8</v>
      </c>
      <c r="G2730" t="s">
        <v>9</v>
      </c>
    </row>
    <row r="2731" spans="1:7" x14ac:dyDescent="0.35">
      <c r="A2731">
        <v>1076</v>
      </c>
      <c r="B2731" s="1">
        <v>45506</v>
      </c>
      <c r="C2731" t="s">
        <v>29</v>
      </c>
      <c r="D2731" s="2">
        <v>1159.8399999999999</v>
      </c>
      <c r="E2731" s="2">
        <v>0</v>
      </c>
      <c r="F2731" t="s">
        <v>28</v>
      </c>
      <c r="G2731" t="s">
        <v>17</v>
      </c>
    </row>
    <row r="2732" spans="1:7" x14ac:dyDescent="0.35">
      <c r="A2732">
        <v>1076</v>
      </c>
      <c r="B2732" s="1">
        <v>45506</v>
      </c>
      <c r="C2732" t="s">
        <v>29</v>
      </c>
      <c r="D2732" s="2">
        <v>0</v>
      </c>
      <c r="E2732" s="2">
        <v>1159.8399999999999</v>
      </c>
      <c r="F2732" t="s">
        <v>8</v>
      </c>
      <c r="G2732" t="s">
        <v>9</v>
      </c>
    </row>
    <row r="2733" spans="1:7" x14ac:dyDescent="0.35">
      <c r="A2733">
        <v>1077</v>
      </c>
      <c r="B2733" s="1">
        <v>45509</v>
      </c>
      <c r="C2733" t="s">
        <v>12</v>
      </c>
      <c r="D2733" s="2">
        <v>1802.38</v>
      </c>
      <c r="E2733" s="2">
        <v>0</v>
      </c>
      <c r="F2733" t="s">
        <v>13</v>
      </c>
      <c r="G2733" t="s">
        <v>9</v>
      </c>
    </row>
    <row r="2734" spans="1:7" x14ac:dyDescent="0.35">
      <c r="A2734">
        <v>1077</v>
      </c>
      <c r="B2734" s="1">
        <v>45509</v>
      </c>
      <c r="C2734" t="s">
        <v>12</v>
      </c>
      <c r="D2734" s="2">
        <v>0</v>
      </c>
      <c r="E2734" s="2">
        <v>1676.63</v>
      </c>
      <c r="F2734" t="s">
        <v>14</v>
      </c>
      <c r="G2734" t="s">
        <v>15</v>
      </c>
    </row>
    <row r="2735" spans="1:7" x14ac:dyDescent="0.35">
      <c r="A2735">
        <v>1077</v>
      </c>
      <c r="B2735" s="1">
        <v>45509</v>
      </c>
      <c r="C2735" t="s">
        <v>12</v>
      </c>
      <c r="D2735" s="2">
        <v>0</v>
      </c>
      <c r="E2735" s="2">
        <v>125.75</v>
      </c>
      <c r="F2735" t="s">
        <v>16</v>
      </c>
      <c r="G2735" t="s">
        <v>17</v>
      </c>
    </row>
    <row r="2736" spans="1:7" x14ac:dyDescent="0.35">
      <c r="A2736">
        <v>1078</v>
      </c>
      <c r="B2736" s="1">
        <v>45509</v>
      </c>
      <c r="C2736" t="s">
        <v>12</v>
      </c>
      <c r="D2736" s="2">
        <v>1809.97</v>
      </c>
      <c r="E2736" s="2">
        <v>0</v>
      </c>
      <c r="F2736" t="s">
        <v>13</v>
      </c>
      <c r="G2736" t="s">
        <v>9</v>
      </c>
    </row>
    <row r="2737" spans="1:7" x14ac:dyDescent="0.35">
      <c r="A2737">
        <v>1078</v>
      </c>
      <c r="B2737" s="1">
        <v>45509</v>
      </c>
      <c r="C2737" t="s">
        <v>12</v>
      </c>
      <c r="D2737" s="2">
        <v>0</v>
      </c>
      <c r="E2737" s="2">
        <v>1683.69</v>
      </c>
      <c r="F2737" t="s">
        <v>14</v>
      </c>
      <c r="G2737" t="s">
        <v>15</v>
      </c>
    </row>
    <row r="2738" spans="1:7" x14ac:dyDescent="0.35">
      <c r="A2738">
        <v>1078</v>
      </c>
      <c r="B2738" s="1">
        <v>45509</v>
      </c>
      <c r="C2738" t="s">
        <v>12</v>
      </c>
      <c r="D2738" s="2">
        <v>0</v>
      </c>
      <c r="E2738" s="2">
        <v>126.28</v>
      </c>
      <c r="F2738" t="s">
        <v>16</v>
      </c>
      <c r="G2738" t="s">
        <v>17</v>
      </c>
    </row>
    <row r="2739" spans="1:7" x14ac:dyDescent="0.35">
      <c r="A2739">
        <v>1079</v>
      </c>
      <c r="B2739" s="1">
        <v>45509</v>
      </c>
      <c r="C2739" t="s">
        <v>24</v>
      </c>
      <c r="D2739" s="2">
        <v>3165.66</v>
      </c>
      <c r="E2739" s="2">
        <v>0</v>
      </c>
      <c r="F2739" t="s">
        <v>8</v>
      </c>
      <c r="G2739" t="s">
        <v>9</v>
      </c>
    </row>
    <row r="2740" spans="1:7" x14ac:dyDescent="0.35">
      <c r="A2740">
        <v>1079</v>
      </c>
      <c r="B2740" s="1">
        <v>45509</v>
      </c>
      <c r="C2740" t="s">
        <v>24</v>
      </c>
      <c r="D2740" s="2">
        <v>0</v>
      </c>
      <c r="E2740" s="2">
        <v>3165.66</v>
      </c>
      <c r="F2740" t="s">
        <v>13</v>
      </c>
      <c r="G2740" t="s">
        <v>9</v>
      </c>
    </row>
    <row r="2741" spans="1:7" x14ac:dyDescent="0.35">
      <c r="A2741">
        <v>1080</v>
      </c>
      <c r="B2741" s="1">
        <v>45509</v>
      </c>
      <c r="C2741" t="s">
        <v>25</v>
      </c>
      <c r="D2741" s="2">
        <v>8685.27</v>
      </c>
      <c r="E2741" s="2">
        <v>0</v>
      </c>
      <c r="F2741" t="s">
        <v>26</v>
      </c>
      <c r="G2741" t="s">
        <v>20</v>
      </c>
    </row>
    <row r="2742" spans="1:7" x14ac:dyDescent="0.35">
      <c r="A2742">
        <v>1080</v>
      </c>
      <c r="B2742" s="1">
        <v>45509</v>
      </c>
      <c r="C2742" t="s">
        <v>25</v>
      </c>
      <c r="D2742" s="2">
        <v>651.4</v>
      </c>
      <c r="E2742" s="2">
        <v>0</v>
      </c>
      <c r="F2742" t="s">
        <v>27</v>
      </c>
      <c r="G2742" t="s">
        <v>9</v>
      </c>
    </row>
    <row r="2743" spans="1:7" x14ac:dyDescent="0.35">
      <c r="A2743">
        <v>1080</v>
      </c>
      <c r="B2743" s="1">
        <v>45509</v>
      </c>
      <c r="C2743" t="s">
        <v>25</v>
      </c>
      <c r="D2743" s="2">
        <v>0</v>
      </c>
      <c r="E2743" s="2">
        <v>9336.67</v>
      </c>
      <c r="F2743" t="s">
        <v>28</v>
      </c>
      <c r="G2743" t="s">
        <v>17</v>
      </c>
    </row>
    <row r="2744" spans="1:7" x14ac:dyDescent="0.35">
      <c r="A2744">
        <v>1081</v>
      </c>
      <c r="B2744" s="1">
        <v>45509</v>
      </c>
      <c r="C2744" t="s">
        <v>25</v>
      </c>
      <c r="D2744" s="2">
        <v>6723.2</v>
      </c>
      <c r="E2744" s="2">
        <v>0</v>
      </c>
      <c r="F2744" t="s">
        <v>26</v>
      </c>
      <c r="G2744" t="s">
        <v>20</v>
      </c>
    </row>
    <row r="2745" spans="1:7" x14ac:dyDescent="0.35">
      <c r="A2745">
        <v>1081</v>
      </c>
      <c r="B2745" s="1">
        <v>45509</v>
      </c>
      <c r="C2745" t="s">
        <v>25</v>
      </c>
      <c r="D2745" s="2">
        <v>504.24</v>
      </c>
      <c r="E2745" s="2">
        <v>0</v>
      </c>
      <c r="F2745" t="s">
        <v>27</v>
      </c>
      <c r="G2745" t="s">
        <v>9</v>
      </c>
    </row>
    <row r="2746" spans="1:7" x14ac:dyDescent="0.35">
      <c r="A2746">
        <v>1081</v>
      </c>
      <c r="B2746" s="1">
        <v>45509</v>
      </c>
      <c r="C2746" t="s">
        <v>25</v>
      </c>
      <c r="D2746" s="2">
        <v>0</v>
      </c>
      <c r="E2746" s="2">
        <v>7227.44</v>
      </c>
      <c r="F2746" t="s">
        <v>28</v>
      </c>
      <c r="G2746" t="s">
        <v>17</v>
      </c>
    </row>
    <row r="2747" spans="1:7" x14ac:dyDescent="0.35">
      <c r="A2747">
        <v>1082</v>
      </c>
      <c r="B2747" s="1">
        <v>45509</v>
      </c>
      <c r="C2747" t="s">
        <v>25</v>
      </c>
      <c r="D2747" s="2">
        <v>2329.52</v>
      </c>
      <c r="E2747" s="2">
        <v>0</v>
      </c>
      <c r="F2747" t="s">
        <v>26</v>
      </c>
      <c r="G2747" t="s">
        <v>20</v>
      </c>
    </row>
    <row r="2748" spans="1:7" x14ac:dyDescent="0.35">
      <c r="A2748">
        <v>1082</v>
      </c>
      <c r="B2748" s="1">
        <v>45509</v>
      </c>
      <c r="C2748" t="s">
        <v>25</v>
      </c>
      <c r="D2748" s="2">
        <v>174.71</v>
      </c>
      <c r="E2748" s="2">
        <v>0</v>
      </c>
      <c r="F2748" t="s">
        <v>27</v>
      </c>
      <c r="G2748" t="s">
        <v>9</v>
      </c>
    </row>
    <row r="2749" spans="1:7" x14ac:dyDescent="0.35">
      <c r="A2749">
        <v>1082</v>
      </c>
      <c r="B2749" s="1">
        <v>45509</v>
      </c>
      <c r="C2749" t="s">
        <v>25</v>
      </c>
      <c r="D2749" s="2">
        <v>0</v>
      </c>
      <c r="E2749" s="2">
        <v>2504.23</v>
      </c>
      <c r="F2749" t="s">
        <v>28</v>
      </c>
      <c r="G2749" t="s">
        <v>17</v>
      </c>
    </row>
    <row r="2750" spans="1:7" x14ac:dyDescent="0.35">
      <c r="A2750">
        <v>1083</v>
      </c>
      <c r="B2750" s="1">
        <v>45509</v>
      </c>
      <c r="C2750" t="s">
        <v>25</v>
      </c>
      <c r="D2750" s="2">
        <v>802.71</v>
      </c>
      <c r="E2750" s="2">
        <v>0</v>
      </c>
      <c r="F2750" t="s">
        <v>26</v>
      </c>
      <c r="G2750" t="s">
        <v>20</v>
      </c>
    </row>
    <row r="2751" spans="1:7" x14ac:dyDescent="0.35">
      <c r="A2751">
        <v>1083</v>
      </c>
      <c r="B2751" s="1">
        <v>45509</v>
      </c>
      <c r="C2751" t="s">
        <v>25</v>
      </c>
      <c r="D2751" s="2">
        <v>60.2</v>
      </c>
      <c r="E2751" s="2">
        <v>0</v>
      </c>
      <c r="F2751" t="s">
        <v>27</v>
      </c>
      <c r="G2751" t="s">
        <v>9</v>
      </c>
    </row>
    <row r="2752" spans="1:7" x14ac:dyDescent="0.35">
      <c r="A2752">
        <v>1083</v>
      </c>
      <c r="B2752" s="1">
        <v>45509</v>
      </c>
      <c r="C2752" t="s">
        <v>25</v>
      </c>
      <c r="D2752" s="2">
        <v>0</v>
      </c>
      <c r="E2752" s="2">
        <v>862.91</v>
      </c>
      <c r="F2752" t="s">
        <v>28</v>
      </c>
      <c r="G2752" t="s">
        <v>17</v>
      </c>
    </row>
    <row r="2753" spans="1:7" x14ac:dyDescent="0.35">
      <c r="A2753">
        <v>1084</v>
      </c>
      <c r="B2753" s="1">
        <v>45509</v>
      </c>
      <c r="C2753" t="s">
        <v>29</v>
      </c>
      <c r="D2753" s="2">
        <v>4812.46</v>
      </c>
      <c r="E2753" s="2">
        <v>0</v>
      </c>
      <c r="F2753" t="s">
        <v>28</v>
      </c>
      <c r="G2753" t="s">
        <v>17</v>
      </c>
    </row>
    <row r="2754" spans="1:7" x14ac:dyDescent="0.35">
      <c r="A2754">
        <v>1084</v>
      </c>
      <c r="B2754" s="1">
        <v>45509</v>
      </c>
      <c r="C2754" t="s">
        <v>29</v>
      </c>
      <c r="D2754" s="2">
        <v>0</v>
      </c>
      <c r="E2754" s="2">
        <v>4812.46</v>
      </c>
      <c r="F2754" t="s">
        <v>8</v>
      </c>
      <c r="G2754" t="s">
        <v>9</v>
      </c>
    </row>
    <row r="2755" spans="1:7" x14ac:dyDescent="0.35">
      <c r="A2755">
        <v>1085</v>
      </c>
      <c r="B2755" s="1">
        <v>45509</v>
      </c>
      <c r="C2755" t="s">
        <v>29</v>
      </c>
      <c r="D2755" s="2">
        <v>2504.23</v>
      </c>
      <c r="E2755" s="2">
        <v>0</v>
      </c>
      <c r="F2755" t="s">
        <v>28</v>
      </c>
      <c r="G2755" t="s">
        <v>17</v>
      </c>
    </row>
    <row r="2756" spans="1:7" x14ac:dyDescent="0.35">
      <c r="A2756">
        <v>1085</v>
      </c>
      <c r="B2756" s="1">
        <v>45509</v>
      </c>
      <c r="C2756" t="s">
        <v>29</v>
      </c>
      <c r="D2756" s="2">
        <v>0</v>
      </c>
      <c r="E2756" s="2">
        <v>2504.23</v>
      </c>
      <c r="F2756" t="s">
        <v>8</v>
      </c>
      <c r="G2756" t="s">
        <v>9</v>
      </c>
    </row>
    <row r="2757" spans="1:7" x14ac:dyDescent="0.35">
      <c r="A2757">
        <v>1086</v>
      </c>
      <c r="B2757" s="1">
        <v>45510</v>
      </c>
      <c r="C2757" t="s">
        <v>12</v>
      </c>
      <c r="D2757" s="2">
        <v>1984.27</v>
      </c>
      <c r="E2757" s="2">
        <v>0</v>
      </c>
      <c r="F2757" t="s">
        <v>13</v>
      </c>
      <c r="G2757" t="s">
        <v>9</v>
      </c>
    </row>
    <row r="2758" spans="1:7" x14ac:dyDescent="0.35">
      <c r="A2758">
        <v>1086</v>
      </c>
      <c r="B2758" s="1">
        <v>45510</v>
      </c>
      <c r="C2758" t="s">
        <v>12</v>
      </c>
      <c r="D2758" s="2">
        <v>0</v>
      </c>
      <c r="E2758" s="2">
        <v>1845.84</v>
      </c>
      <c r="F2758" t="s">
        <v>14</v>
      </c>
      <c r="G2758" t="s">
        <v>15</v>
      </c>
    </row>
    <row r="2759" spans="1:7" x14ac:dyDescent="0.35">
      <c r="A2759">
        <v>1086</v>
      </c>
      <c r="B2759" s="1">
        <v>45510</v>
      </c>
      <c r="C2759" t="s">
        <v>12</v>
      </c>
      <c r="D2759" s="2">
        <v>0</v>
      </c>
      <c r="E2759" s="2">
        <v>138.43</v>
      </c>
      <c r="F2759" t="s">
        <v>16</v>
      </c>
      <c r="G2759" t="s">
        <v>17</v>
      </c>
    </row>
    <row r="2760" spans="1:7" x14ac:dyDescent="0.35">
      <c r="A2760">
        <v>1087</v>
      </c>
      <c r="B2760" s="1">
        <v>45510</v>
      </c>
      <c r="C2760" t="s">
        <v>12</v>
      </c>
      <c r="D2760" s="2">
        <v>5450.22</v>
      </c>
      <c r="E2760" s="2">
        <v>0</v>
      </c>
      <c r="F2760" t="s">
        <v>13</v>
      </c>
      <c r="G2760" t="s">
        <v>9</v>
      </c>
    </row>
    <row r="2761" spans="1:7" x14ac:dyDescent="0.35">
      <c r="A2761">
        <v>1087</v>
      </c>
      <c r="B2761" s="1">
        <v>45510</v>
      </c>
      <c r="C2761" t="s">
        <v>12</v>
      </c>
      <c r="D2761" s="2">
        <v>0</v>
      </c>
      <c r="E2761" s="2">
        <v>5069.97</v>
      </c>
      <c r="F2761" t="s">
        <v>14</v>
      </c>
      <c r="G2761" t="s">
        <v>15</v>
      </c>
    </row>
    <row r="2762" spans="1:7" x14ac:dyDescent="0.35">
      <c r="A2762">
        <v>1087</v>
      </c>
      <c r="B2762" s="1">
        <v>45510</v>
      </c>
      <c r="C2762" t="s">
        <v>12</v>
      </c>
      <c r="D2762" s="2">
        <v>0</v>
      </c>
      <c r="E2762" s="2">
        <v>380.25</v>
      </c>
      <c r="F2762" t="s">
        <v>16</v>
      </c>
      <c r="G2762" t="s">
        <v>17</v>
      </c>
    </row>
    <row r="2763" spans="1:7" x14ac:dyDescent="0.35">
      <c r="A2763">
        <v>1088</v>
      </c>
      <c r="B2763" s="1">
        <v>45510</v>
      </c>
      <c r="C2763" t="s">
        <v>12</v>
      </c>
      <c r="D2763" s="2">
        <v>2792.05</v>
      </c>
      <c r="E2763" s="2">
        <v>0</v>
      </c>
      <c r="F2763" t="s">
        <v>13</v>
      </c>
      <c r="G2763" t="s">
        <v>9</v>
      </c>
    </row>
    <row r="2764" spans="1:7" x14ac:dyDescent="0.35">
      <c r="A2764">
        <v>1088</v>
      </c>
      <c r="B2764" s="1">
        <v>45510</v>
      </c>
      <c r="C2764" t="s">
        <v>12</v>
      </c>
      <c r="D2764" s="2">
        <v>0</v>
      </c>
      <c r="E2764" s="2">
        <v>2597.25</v>
      </c>
      <c r="F2764" t="s">
        <v>14</v>
      </c>
      <c r="G2764" t="s">
        <v>15</v>
      </c>
    </row>
    <row r="2765" spans="1:7" x14ac:dyDescent="0.35">
      <c r="A2765">
        <v>1088</v>
      </c>
      <c r="B2765" s="1">
        <v>45510</v>
      </c>
      <c r="C2765" t="s">
        <v>12</v>
      </c>
      <c r="D2765" s="2">
        <v>0</v>
      </c>
      <c r="E2765" s="2">
        <v>194.8</v>
      </c>
      <c r="F2765" t="s">
        <v>16</v>
      </c>
      <c r="G2765" t="s">
        <v>17</v>
      </c>
    </row>
    <row r="2766" spans="1:7" x14ac:dyDescent="0.35">
      <c r="A2766">
        <v>1089</v>
      </c>
      <c r="B2766" s="1">
        <v>45510</v>
      </c>
      <c r="C2766" t="s">
        <v>24</v>
      </c>
      <c r="D2766" s="2">
        <v>152.16</v>
      </c>
      <c r="E2766" s="2">
        <v>0</v>
      </c>
      <c r="F2766" t="s">
        <v>8</v>
      </c>
      <c r="G2766" t="s">
        <v>9</v>
      </c>
    </row>
    <row r="2767" spans="1:7" x14ac:dyDescent="0.35">
      <c r="A2767">
        <v>1089</v>
      </c>
      <c r="B2767" s="1">
        <v>45510</v>
      </c>
      <c r="C2767" t="s">
        <v>24</v>
      </c>
      <c r="D2767" s="2">
        <v>0</v>
      </c>
      <c r="E2767" s="2">
        <v>152.16</v>
      </c>
      <c r="F2767" t="s">
        <v>13</v>
      </c>
      <c r="G2767" t="s">
        <v>9</v>
      </c>
    </row>
    <row r="2768" spans="1:7" x14ac:dyDescent="0.35">
      <c r="A2768">
        <v>1090</v>
      </c>
      <c r="B2768" s="1">
        <v>45510</v>
      </c>
      <c r="C2768" t="s">
        <v>24</v>
      </c>
      <c r="D2768" s="2">
        <v>295.36</v>
      </c>
      <c r="E2768" s="2">
        <v>0</v>
      </c>
      <c r="F2768" t="s">
        <v>8</v>
      </c>
      <c r="G2768" t="s">
        <v>9</v>
      </c>
    </row>
    <row r="2769" spans="1:7" x14ac:dyDescent="0.35">
      <c r="A2769">
        <v>1090</v>
      </c>
      <c r="B2769" s="1">
        <v>45510</v>
      </c>
      <c r="C2769" t="s">
        <v>24</v>
      </c>
      <c r="D2769" s="2">
        <v>0</v>
      </c>
      <c r="E2769" s="2">
        <v>295.36</v>
      </c>
      <c r="F2769" t="s">
        <v>13</v>
      </c>
      <c r="G2769" t="s">
        <v>9</v>
      </c>
    </row>
    <row r="2770" spans="1:7" x14ac:dyDescent="0.35">
      <c r="A2770">
        <v>1091</v>
      </c>
      <c r="B2770" s="1">
        <v>45510</v>
      </c>
      <c r="C2770" t="s">
        <v>24</v>
      </c>
      <c r="D2770" s="2">
        <v>2016.35</v>
      </c>
      <c r="E2770" s="2">
        <v>0</v>
      </c>
      <c r="F2770" t="s">
        <v>8</v>
      </c>
      <c r="G2770" t="s">
        <v>9</v>
      </c>
    </row>
    <row r="2771" spans="1:7" x14ac:dyDescent="0.35">
      <c r="A2771">
        <v>1091</v>
      </c>
      <c r="B2771" s="1">
        <v>45510</v>
      </c>
      <c r="C2771" t="s">
        <v>24</v>
      </c>
      <c r="D2771" s="2">
        <v>0</v>
      </c>
      <c r="E2771" s="2">
        <v>2016.35</v>
      </c>
      <c r="F2771" t="s">
        <v>13</v>
      </c>
      <c r="G2771" t="s">
        <v>9</v>
      </c>
    </row>
    <row r="2772" spans="1:7" x14ac:dyDescent="0.35">
      <c r="A2772">
        <v>1092</v>
      </c>
      <c r="B2772" s="1">
        <v>45510</v>
      </c>
      <c r="C2772" t="s">
        <v>24</v>
      </c>
      <c r="D2772" s="2">
        <v>1984.27</v>
      </c>
      <c r="E2772" s="2">
        <v>0</v>
      </c>
      <c r="F2772" t="s">
        <v>8</v>
      </c>
      <c r="G2772" t="s">
        <v>9</v>
      </c>
    </row>
    <row r="2773" spans="1:7" x14ac:dyDescent="0.35">
      <c r="A2773">
        <v>1092</v>
      </c>
      <c r="B2773" s="1">
        <v>45510</v>
      </c>
      <c r="C2773" t="s">
        <v>24</v>
      </c>
      <c r="D2773" s="2">
        <v>0</v>
      </c>
      <c r="E2773" s="2">
        <v>1984.27</v>
      </c>
      <c r="F2773" t="s">
        <v>13</v>
      </c>
      <c r="G2773" t="s">
        <v>9</v>
      </c>
    </row>
    <row r="2774" spans="1:7" x14ac:dyDescent="0.35">
      <c r="A2774">
        <v>1093</v>
      </c>
      <c r="B2774" s="1">
        <v>45510</v>
      </c>
      <c r="C2774" t="s">
        <v>25</v>
      </c>
      <c r="D2774" s="2">
        <v>2451.5</v>
      </c>
      <c r="E2774" s="2">
        <v>0</v>
      </c>
      <c r="F2774" t="s">
        <v>26</v>
      </c>
      <c r="G2774" t="s">
        <v>20</v>
      </c>
    </row>
    <row r="2775" spans="1:7" x14ac:dyDescent="0.35">
      <c r="A2775">
        <v>1093</v>
      </c>
      <c r="B2775" s="1">
        <v>45510</v>
      </c>
      <c r="C2775" t="s">
        <v>25</v>
      </c>
      <c r="D2775" s="2">
        <v>183.86</v>
      </c>
      <c r="E2775" s="2">
        <v>0</v>
      </c>
      <c r="F2775" t="s">
        <v>27</v>
      </c>
      <c r="G2775" t="s">
        <v>9</v>
      </c>
    </row>
    <row r="2776" spans="1:7" x14ac:dyDescent="0.35">
      <c r="A2776">
        <v>1093</v>
      </c>
      <c r="B2776" s="1">
        <v>45510</v>
      </c>
      <c r="C2776" t="s">
        <v>25</v>
      </c>
      <c r="D2776" s="2">
        <v>0</v>
      </c>
      <c r="E2776" s="2">
        <v>2635.36</v>
      </c>
      <c r="F2776" t="s">
        <v>28</v>
      </c>
      <c r="G2776" t="s">
        <v>17</v>
      </c>
    </row>
    <row r="2777" spans="1:7" x14ac:dyDescent="0.35">
      <c r="A2777">
        <v>1094</v>
      </c>
      <c r="B2777" s="1">
        <v>45510</v>
      </c>
      <c r="C2777" t="s">
        <v>25</v>
      </c>
      <c r="D2777" s="2">
        <v>1822.08</v>
      </c>
      <c r="E2777" s="2">
        <v>0</v>
      </c>
      <c r="F2777" t="s">
        <v>26</v>
      </c>
      <c r="G2777" t="s">
        <v>20</v>
      </c>
    </row>
    <row r="2778" spans="1:7" x14ac:dyDescent="0.35">
      <c r="A2778">
        <v>1094</v>
      </c>
      <c r="B2778" s="1">
        <v>45510</v>
      </c>
      <c r="C2778" t="s">
        <v>25</v>
      </c>
      <c r="D2778" s="2">
        <v>136.66</v>
      </c>
      <c r="E2778" s="2">
        <v>0</v>
      </c>
      <c r="F2778" t="s">
        <v>27</v>
      </c>
      <c r="G2778" t="s">
        <v>9</v>
      </c>
    </row>
    <row r="2779" spans="1:7" x14ac:dyDescent="0.35">
      <c r="A2779">
        <v>1094</v>
      </c>
      <c r="B2779" s="1">
        <v>45510</v>
      </c>
      <c r="C2779" t="s">
        <v>25</v>
      </c>
      <c r="D2779" s="2">
        <v>0</v>
      </c>
      <c r="E2779" s="2">
        <v>1958.74</v>
      </c>
      <c r="F2779" t="s">
        <v>28</v>
      </c>
      <c r="G2779" t="s">
        <v>17</v>
      </c>
    </row>
    <row r="2780" spans="1:7" x14ac:dyDescent="0.35">
      <c r="A2780">
        <v>1095</v>
      </c>
      <c r="B2780" s="1">
        <v>45510</v>
      </c>
      <c r="C2780" t="s">
        <v>25</v>
      </c>
      <c r="D2780" s="2">
        <v>3598.88</v>
      </c>
      <c r="E2780" s="2">
        <v>0</v>
      </c>
      <c r="F2780" t="s">
        <v>26</v>
      </c>
      <c r="G2780" t="s">
        <v>20</v>
      </c>
    </row>
    <row r="2781" spans="1:7" x14ac:dyDescent="0.35">
      <c r="A2781">
        <v>1095</v>
      </c>
      <c r="B2781" s="1">
        <v>45510</v>
      </c>
      <c r="C2781" t="s">
        <v>25</v>
      </c>
      <c r="D2781" s="2">
        <v>269.92</v>
      </c>
      <c r="E2781" s="2">
        <v>0</v>
      </c>
      <c r="F2781" t="s">
        <v>27</v>
      </c>
      <c r="G2781" t="s">
        <v>9</v>
      </c>
    </row>
    <row r="2782" spans="1:7" x14ac:dyDescent="0.35">
      <c r="A2782">
        <v>1095</v>
      </c>
      <c r="B2782" s="1">
        <v>45510</v>
      </c>
      <c r="C2782" t="s">
        <v>25</v>
      </c>
      <c r="D2782" s="2">
        <v>0</v>
      </c>
      <c r="E2782" s="2">
        <v>3868.8</v>
      </c>
      <c r="F2782" t="s">
        <v>28</v>
      </c>
      <c r="G2782" t="s">
        <v>17</v>
      </c>
    </row>
    <row r="2783" spans="1:7" x14ac:dyDescent="0.35">
      <c r="A2783">
        <v>1096</v>
      </c>
      <c r="B2783" s="1">
        <v>45510</v>
      </c>
      <c r="C2783" t="s">
        <v>29</v>
      </c>
      <c r="D2783" s="2">
        <v>1023.42</v>
      </c>
      <c r="E2783" s="2">
        <v>0</v>
      </c>
      <c r="F2783" t="s">
        <v>28</v>
      </c>
      <c r="G2783" t="s">
        <v>17</v>
      </c>
    </row>
    <row r="2784" spans="1:7" x14ac:dyDescent="0.35">
      <c r="A2784">
        <v>1096</v>
      </c>
      <c r="B2784" s="1">
        <v>45510</v>
      </c>
      <c r="C2784" t="s">
        <v>29</v>
      </c>
      <c r="D2784" s="2">
        <v>0</v>
      </c>
      <c r="E2784" s="2">
        <v>1023.42</v>
      </c>
      <c r="F2784" t="s">
        <v>8</v>
      </c>
      <c r="G2784" t="s">
        <v>9</v>
      </c>
    </row>
    <row r="2785" spans="1:7" x14ac:dyDescent="0.35">
      <c r="A2785">
        <v>1097</v>
      </c>
      <c r="B2785" s="1">
        <v>45510</v>
      </c>
      <c r="C2785" t="s">
        <v>29</v>
      </c>
      <c r="D2785" s="2">
        <v>2504.23</v>
      </c>
      <c r="E2785" s="2">
        <v>0</v>
      </c>
      <c r="F2785" t="s">
        <v>28</v>
      </c>
      <c r="G2785" t="s">
        <v>17</v>
      </c>
    </row>
    <row r="2786" spans="1:7" x14ac:dyDescent="0.35">
      <c r="A2786">
        <v>1097</v>
      </c>
      <c r="B2786" s="1">
        <v>45510</v>
      </c>
      <c r="C2786" t="s">
        <v>29</v>
      </c>
      <c r="D2786" s="2">
        <v>0</v>
      </c>
      <c r="E2786" s="2">
        <v>2504.23</v>
      </c>
      <c r="F2786" t="s">
        <v>8</v>
      </c>
      <c r="G2786" t="s">
        <v>9</v>
      </c>
    </row>
    <row r="2787" spans="1:7" x14ac:dyDescent="0.35">
      <c r="A2787">
        <v>1098</v>
      </c>
      <c r="B2787" s="1">
        <v>45511</v>
      </c>
      <c r="C2787" t="s">
        <v>12</v>
      </c>
      <c r="D2787" s="2">
        <v>376.55</v>
      </c>
      <c r="E2787" s="2">
        <v>0</v>
      </c>
      <c r="F2787" t="s">
        <v>13</v>
      </c>
      <c r="G2787" t="s">
        <v>9</v>
      </c>
    </row>
    <row r="2788" spans="1:7" x14ac:dyDescent="0.35">
      <c r="A2788">
        <v>1098</v>
      </c>
      <c r="B2788" s="1">
        <v>45511</v>
      </c>
      <c r="C2788" t="s">
        <v>12</v>
      </c>
      <c r="D2788" s="2">
        <v>0</v>
      </c>
      <c r="E2788" s="2">
        <v>350.28</v>
      </c>
      <c r="F2788" t="s">
        <v>14</v>
      </c>
      <c r="G2788" t="s">
        <v>15</v>
      </c>
    </row>
    <row r="2789" spans="1:7" x14ac:dyDescent="0.35">
      <c r="A2789">
        <v>1098</v>
      </c>
      <c r="B2789" s="1">
        <v>45511</v>
      </c>
      <c r="C2789" t="s">
        <v>12</v>
      </c>
      <c r="D2789" s="2">
        <v>0</v>
      </c>
      <c r="E2789" s="2">
        <v>26.27</v>
      </c>
      <c r="F2789" t="s">
        <v>16</v>
      </c>
      <c r="G2789" t="s">
        <v>17</v>
      </c>
    </row>
    <row r="2790" spans="1:7" x14ac:dyDescent="0.35">
      <c r="A2790">
        <v>1099</v>
      </c>
      <c r="B2790" s="1">
        <v>45511</v>
      </c>
      <c r="C2790" t="s">
        <v>12</v>
      </c>
      <c r="D2790" s="2">
        <v>1176.26</v>
      </c>
      <c r="E2790" s="2">
        <v>0</v>
      </c>
      <c r="F2790" t="s">
        <v>13</v>
      </c>
      <c r="G2790" t="s">
        <v>9</v>
      </c>
    </row>
    <row r="2791" spans="1:7" x14ac:dyDescent="0.35">
      <c r="A2791">
        <v>1099</v>
      </c>
      <c r="B2791" s="1">
        <v>45511</v>
      </c>
      <c r="C2791" t="s">
        <v>12</v>
      </c>
      <c r="D2791" s="2">
        <v>0</v>
      </c>
      <c r="E2791" s="2">
        <v>1094.2</v>
      </c>
      <c r="F2791" t="s">
        <v>14</v>
      </c>
      <c r="G2791" t="s">
        <v>15</v>
      </c>
    </row>
    <row r="2792" spans="1:7" x14ac:dyDescent="0.35">
      <c r="A2792">
        <v>1099</v>
      </c>
      <c r="B2792" s="1">
        <v>45511</v>
      </c>
      <c r="C2792" t="s">
        <v>12</v>
      </c>
      <c r="D2792" s="2">
        <v>0</v>
      </c>
      <c r="E2792" s="2">
        <v>82.06</v>
      </c>
      <c r="F2792" t="s">
        <v>16</v>
      </c>
      <c r="G2792" t="s">
        <v>17</v>
      </c>
    </row>
    <row r="2793" spans="1:7" x14ac:dyDescent="0.35">
      <c r="A2793">
        <v>1100</v>
      </c>
      <c r="B2793" s="1">
        <v>45511</v>
      </c>
      <c r="C2793" t="s">
        <v>12</v>
      </c>
      <c r="D2793" s="2">
        <v>410.36</v>
      </c>
      <c r="E2793" s="2">
        <v>0</v>
      </c>
      <c r="F2793" t="s">
        <v>13</v>
      </c>
      <c r="G2793" t="s">
        <v>9</v>
      </c>
    </row>
    <row r="2794" spans="1:7" x14ac:dyDescent="0.35">
      <c r="A2794">
        <v>1100</v>
      </c>
      <c r="B2794" s="1">
        <v>45511</v>
      </c>
      <c r="C2794" t="s">
        <v>12</v>
      </c>
      <c r="D2794" s="2">
        <v>0</v>
      </c>
      <c r="E2794" s="2">
        <v>381.73</v>
      </c>
      <c r="F2794" t="s">
        <v>14</v>
      </c>
      <c r="G2794" t="s">
        <v>15</v>
      </c>
    </row>
    <row r="2795" spans="1:7" x14ac:dyDescent="0.35">
      <c r="A2795">
        <v>1100</v>
      </c>
      <c r="B2795" s="1">
        <v>45511</v>
      </c>
      <c r="C2795" t="s">
        <v>12</v>
      </c>
      <c r="D2795" s="2">
        <v>0</v>
      </c>
      <c r="E2795" s="2">
        <v>28.63</v>
      </c>
      <c r="F2795" t="s">
        <v>16</v>
      </c>
      <c r="G2795" t="s">
        <v>17</v>
      </c>
    </row>
    <row r="2796" spans="1:7" x14ac:dyDescent="0.35">
      <c r="A2796">
        <v>1101</v>
      </c>
      <c r="B2796" s="1">
        <v>45511</v>
      </c>
      <c r="C2796" t="s">
        <v>12</v>
      </c>
      <c r="D2796" s="2">
        <v>6952.53</v>
      </c>
      <c r="E2796" s="2">
        <v>0</v>
      </c>
      <c r="F2796" t="s">
        <v>13</v>
      </c>
      <c r="G2796" t="s">
        <v>9</v>
      </c>
    </row>
    <row r="2797" spans="1:7" x14ac:dyDescent="0.35">
      <c r="A2797">
        <v>1101</v>
      </c>
      <c r="B2797" s="1">
        <v>45511</v>
      </c>
      <c r="C2797" t="s">
        <v>12</v>
      </c>
      <c r="D2797" s="2">
        <v>0</v>
      </c>
      <c r="E2797" s="2">
        <v>6467.47</v>
      </c>
      <c r="F2797" t="s">
        <v>14</v>
      </c>
      <c r="G2797" t="s">
        <v>15</v>
      </c>
    </row>
    <row r="2798" spans="1:7" x14ac:dyDescent="0.35">
      <c r="A2798">
        <v>1101</v>
      </c>
      <c r="B2798" s="1">
        <v>45511</v>
      </c>
      <c r="C2798" t="s">
        <v>12</v>
      </c>
      <c r="D2798" s="2">
        <v>0</v>
      </c>
      <c r="E2798" s="2">
        <v>485.06</v>
      </c>
      <c r="F2798" t="s">
        <v>16</v>
      </c>
      <c r="G2798" t="s">
        <v>17</v>
      </c>
    </row>
    <row r="2799" spans="1:7" x14ac:dyDescent="0.35">
      <c r="A2799">
        <v>1102</v>
      </c>
      <c r="B2799" s="1">
        <v>45511</v>
      </c>
      <c r="C2799" t="s">
        <v>12</v>
      </c>
      <c r="D2799" s="2">
        <v>1043.04</v>
      </c>
      <c r="E2799" s="2">
        <v>0</v>
      </c>
      <c r="F2799" t="s">
        <v>13</v>
      </c>
      <c r="G2799" t="s">
        <v>9</v>
      </c>
    </row>
    <row r="2800" spans="1:7" x14ac:dyDescent="0.35">
      <c r="A2800">
        <v>1102</v>
      </c>
      <c r="B2800" s="1">
        <v>45511</v>
      </c>
      <c r="C2800" t="s">
        <v>12</v>
      </c>
      <c r="D2800" s="2">
        <v>0</v>
      </c>
      <c r="E2800" s="2">
        <v>970.27</v>
      </c>
      <c r="F2800" t="s">
        <v>14</v>
      </c>
      <c r="G2800" t="s">
        <v>15</v>
      </c>
    </row>
    <row r="2801" spans="1:7" x14ac:dyDescent="0.35">
      <c r="A2801">
        <v>1102</v>
      </c>
      <c r="B2801" s="1">
        <v>45511</v>
      </c>
      <c r="C2801" t="s">
        <v>12</v>
      </c>
      <c r="D2801" s="2">
        <v>0</v>
      </c>
      <c r="E2801" s="2">
        <v>72.77</v>
      </c>
      <c r="F2801" t="s">
        <v>16</v>
      </c>
      <c r="G2801" t="s">
        <v>17</v>
      </c>
    </row>
    <row r="2802" spans="1:7" x14ac:dyDescent="0.35">
      <c r="A2802">
        <v>1103</v>
      </c>
      <c r="B2802" s="1">
        <v>45511</v>
      </c>
      <c r="C2802" t="s">
        <v>12</v>
      </c>
      <c r="D2802" s="2">
        <v>223.67</v>
      </c>
      <c r="E2802" s="2">
        <v>0</v>
      </c>
      <c r="F2802" t="s">
        <v>13</v>
      </c>
      <c r="G2802" t="s">
        <v>9</v>
      </c>
    </row>
    <row r="2803" spans="1:7" x14ac:dyDescent="0.35">
      <c r="A2803">
        <v>1103</v>
      </c>
      <c r="B2803" s="1">
        <v>45511</v>
      </c>
      <c r="C2803" t="s">
        <v>12</v>
      </c>
      <c r="D2803" s="2">
        <v>0</v>
      </c>
      <c r="E2803" s="2">
        <v>208.06</v>
      </c>
      <c r="F2803" t="s">
        <v>14</v>
      </c>
      <c r="G2803" t="s">
        <v>15</v>
      </c>
    </row>
    <row r="2804" spans="1:7" x14ac:dyDescent="0.35">
      <c r="A2804">
        <v>1103</v>
      </c>
      <c r="B2804" s="1">
        <v>45511</v>
      </c>
      <c r="C2804" t="s">
        <v>12</v>
      </c>
      <c r="D2804" s="2">
        <v>0</v>
      </c>
      <c r="E2804" s="2">
        <v>15.61</v>
      </c>
      <c r="F2804" t="s">
        <v>16</v>
      </c>
      <c r="G2804" t="s">
        <v>17</v>
      </c>
    </row>
    <row r="2805" spans="1:7" x14ac:dyDescent="0.35">
      <c r="A2805">
        <v>1104</v>
      </c>
      <c r="B2805" s="1">
        <v>45511</v>
      </c>
      <c r="C2805" t="s">
        <v>24</v>
      </c>
      <c r="D2805" s="2">
        <v>3785.13</v>
      </c>
      <c r="E2805" s="2">
        <v>0</v>
      </c>
      <c r="F2805" t="s">
        <v>8</v>
      </c>
      <c r="G2805" t="s">
        <v>9</v>
      </c>
    </row>
    <row r="2806" spans="1:7" x14ac:dyDescent="0.35">
      <c r="A2806">
        <v>1104</v>
      </c>
      <c r="B2806" s="1">
        <v>45511</v>
      </c>
      <c r="C2806" t="s">
        <v>24</v>
      </c>
      <c r="D2806" s="2">
        <v>0</v>
      </c>
      <c r="E2806" s="2">
        <v>3785.13</v>
      </c>
      <c r="F2806" t="s">
        <v>13</v>
      </c>
      <c r="G2806" t="s">
        <v>9</v>
      </c>
    </row>
    <row r="2807" spans="1:7" x14ac:dyDescent="0.35">
      <c r="A2807">
        <v>1105</v>
      </c>
      <c r="B2807" s="1">
        <v>45511</v>
      </c>
      <c r="C2807" t="s">
        <v>24</v>
      </c>
      <c r="D2807" s="2">
        <v>3811.64</v>
      </c>
      <c r="E2807" s="2">
        <v>0</v>
      </c>
      <c r="F2807" t="s">
        <v>8</v>
      </c>
      <c r="G2807" t="s">
        <v>9</v>
      </c>
    </row>
    <row r="2808" spans="1:7" x14ac:dyDescent="0.35">
      <c r="A2808">
        <v>1105</v>
      </c>
      <c r="B2808" s="1">
        <v>45511</v>
      </c>
      <c r="C2808" t="s">
        <v>24</v>
      </c>
      <c r="D2808" s="2">
        <v>0</v>
      </c>
      <c r="E2808" s="2">
        <v>3811.64</v>
      </c>
      <c r="F2808" t="s">
        <v>13</v>
      </c>
      <c r="G2808" t="s">
        <v>9</v>
      </c>
    </row>
    <row r="2809" spans="1:7" x14ac:dyDescent="0.35">
      <c r="A2809">
        <v>1106</v>
      </c>
      <c r="B2809" s="1">
        <v>45511</v>
      </c>
      <c r="C2809" t="s">
        <v>24</v>
      </c>
      <c r="D2809" s="2">
        <v>298.22000000000003</v>
      </c>
      <c r="E2809" s="2">
        <v>0</v>
      </c>
      <c r="F2809" t="s">
        <v>8</v>
      </c>
      <c r="G2809" t="s">
        <v>9</v>
      </c>
    </row>
    <row r="2810" spans="1:7" x14ac:dyDescent="0.35">
      <c r="A2810">
        <v>1106</v>
      </c>
      <c r="B2810" s="1">
        <v>45511</v>
      </c>
      <c r="C2810" t="s">
        <v>24</v>
      </c>
      <c r="D2810" s="2">
        <v>0</v>
      </c>
      <c r="E2810" s="2">
        <v>298.22000000000003</v>
      </c>
      <c r="F2810" t="s">
        <v>13</v>
      </c>
      <c r="G2810" t="s">
        <v>9</v>
      </c>
    </row>
    <row r="2811" spans="1:7" x14ac:dyDescent="0.35">
      <c r="A2811">
        <v>1107</v>
      </c>
      <c r="B2811" s="1">
        <v>45511</v>
      </c>
      <c r="C2811" t="s">
        <v>24</v>
      </c>
      <c r="D2811" s="2">
        <v>2511.86</v>
      </c>
      <c r="E2811" s="2">
        <v>0</v>
      </c>
      <c r="F2811" t="s">
        <v>8</v>
      </c>
      <c r="G2811" t="s">
        <v>9</v>
      </c>
    </row>
    <row r="2812" spans="1:7" x14ac:dyDescent="0.35">
      <c r="A2812">
        <v>1107</v>
      </c>
      <c r="B2812" s="1">
        <v>45511</v>
      </c>
      <c r="C2812" t="s">
        <v>24</v>
      </c>
      <c r="D2812" s="2">
        <v>0</v>
      </c>
      <c r="E2812" s="2">
        <v>2511.86</v>
      </c>
      <c r="F2812" t="s">
        <v>13</v>
      </c>
      <c r="G2812" t="s">
        <v>9</v>
      </c>
    </row>
    <row r="2813" spans="1:7" x14ac:dyDescent="0.35">
      <c r="A2813">
        <v>1108</v>
      </c>
      <c r="B2813" s="1">
        <v>45511</v>
      </c>
      <c r="C2813" t="s">
        <v>24</v>
      </c>
      <c r="D2813" s="2">
        <v>6212.53</v>
      </c>
      <c r="E2813" s="2">
        <v>0</v>
      </c>
      <c r="F2813" t="s">
        <v>8</v>
      </c>
      <c r="G2813" t="s">
        <v>9</v>
      </c>
    </row>
    <row r="2814" spans="1:7" x14ac:dyDescent="0.35">
      <c r="A2814">
        <v>1108</v>
      </c>
      <c r="B2814" s="1">
        <v>45511</v>
      </c>
      <c r="C2814" t="s">
        <v>24</v>
      </c>
      <c r="D2814" s="2">
        <v>0</v>
      </c>
      <c r="E2814" s="2">
        <v>6212.53</v>
      </c>
      <c r="F2814" t="s">
        <v>13</v>
      </c>
      <c r="G2814" t="s">
        <v>9</v>
      </c>
    </row>
    <row r="2815" spans="1:7" x14ac:dyDescent="0.35">
      <c r="A2815">
        <v>1109</v>
      </c>
      <c r="B2815" s="1">
        <v>45511</v>
      </c>
      <c r="C2815" t="s">
        <v>24</v>
      </c>
      <c r="D2815" s="2">
        <v>1080.08</v>
      </c>
      <c r="E2815" s="2">
        <v>0</v>
      </c>
      <c r="F2815" t="s">
        <v>8</v>
      </c>
      <c r="G2815" t="s">
        <v>9</v>
      </c>
    </row>
    <row r="2816" spans="1:7" x14ac:dyDescent="0.35">
      <c r="A2816">
        <v>1109</v>
      </c>
      <c r="B2816" s="1">
        <v>45511</v>
      </c>
      <c r="C2816" t="s">
        <v>24</v>
      </c>
      <c r="D2816" s="2">
        <v>0</v>
      </c>
      <c r="E2816" s="2">
        <v>1080.08</v>
      </c>
      <c r="F2816" t="s">
        <v>13</v>
      </c>
      <c r="G2816" t="s">
        <v>9</v>
      </c>
    </row>
    <row r="2817" spans="1:7" x14ac:dyDescent="0.35">
      <c r="A2817">
        <v>1110</v>
      </c>
      <c r="B2817" s="1">
        <v>45511</v>
      </c>
      <c r="C2817" t="s">
        <v>24</v>
      </c>
      <c r="D2817" s="2">
        <v>2833.22</v>
      </c>
      <c r="E2817" s="2">
        <v>0</v>
      </c>
      <c r="F2817" t="s">
        <v>8</v>
      </c>
      <c r="G2817" t="s">
        <v>9</v>
      </c>
    </row>
    <row r="2818" spans="1:7" x14ac:dyDescent="0.35">
      <c r="A2818">
        <v>1110</v>
      </c>
      <c r="B2818" s="1">
        <v>45511</v>
      </c>
      <c r="C2818" t="s">
        <v>24</v>
      </c>
      <c r="D2818" s="2">
        <v>0</v>
      </c>
      <c r="E2818" s="2">
        <v>2833.22</v>
      </c>
      <c r="F2818" t="s">
        <v>13</v>
      </c>
      <c r="G2818" t="s">
        <v>9</v>
      </c>
    </row>
    <row r="2819" spans="1:7" x14ac:dyDescent="0.35">
      <c r="A2819">
        <v>1111</v>
      </c>
      <c r="B2819" s="1">
        <v>45511</v>
      </c>
      <c r="C2819" t="s">
        <v>29</v>
      </c>
      <c r="D2819" s="2">
        <v>550.4</v>
      </c>
      <c r="E2819" s="2">
        <v>0</v>
      </c>
      <c r="F2819" t="s">
        <v>28</v>
      </c>
      <c r="G2819" t="s">
        <v>17</v>
      </c>
    </row>
    <row r="2820" spans="1:7" x14ac:dyDescent="0.35">
      <c r="A2820">
        <v>1111</v>
      </c>
      <c r="B2820" s="1">
        <v>45511</v>
      </c>
      <c r="C2820" t="s">
        <v>29</v>
      </c>
      <c r="D2820" s="2">
        <v>0</v>
      </c>
      <c r="E2820" s="2">
        <v>550.4</v>
      </c>
      <c r="F2820" t="s">
        <v>8</v>
      </c>
      <c r="G2820" t="s">
        <v>9</v>
      </c>
    </row>
    <row r="2821" spans="1:7" x14ac:dyDescent="0.35">
      <c r="A2821">
        <v>1112</v>
      </c>
      <c r="B2821" s="1">
        <v>45512</v>
      </c>
      <c r="C2821" t="s">
        <v>12</v>
      </c>
      <c r="D2821" s="2">
        <v>1812.67</v>
      </c>
      <c r="E2821" s="2">
        <v>0</v>
      </c>
      <c r="F2821" t="s">
        <v>13</v>
      </c>
      <c r="G2821" t="s">
        <v>9</v>
      </c>
    </row>
    <row r="2822" spans="1:7" x14ac:dyDescent="0.35">
      <c r="A2822">
        <v>1112</v>
      </c>
      <c r="B2822" s="1">
        <v>45512</v>
      </c>
      <c r="C2822" t="s">
        <v>12</v>
      </c>
      <c r="D2822" s="2">
        <v>0</v>
      </c>
      <c r="E2822" s="2">
        <v>1686.2</v>
      </c>
      <c r="F2822" t="s">
        <v>14</v>
      </c>
      <c r="G2822" t="s">
        <v>15</v>
      </c>
    </row>
    <row r="2823" spans="1:7" x14ac:dyDescent="0.35">
      <c r="A2823">
        <v>1112</v>
      </c>
      <c r="B2823" s="1">
        <v>45512</v>
      </c>
      <c r="C2823" t="s">
        <v>12</v>
      </c>
      <c r="D2823" s="2">
        <v>0</v>
      </c>
      <c r="E2823" s="2">
        <v>126.47</v>
      </c>
      <c r="F2823" t="s">
        <v>16</v>
      </c>
      <c r="G2823" t="s">
        <v>17</v>
      </c>
    </row>
    <row r="2824" spans="1:7" x14ac:dyDescent="0.35">
      <c r="A2824">
        <v>1113</v>
      </c>
      <c r="B2824" s="1">
        <v>45512</v>
      </c>
      <c r="C2824" t="s">
        <v>12</v>
      </c>
      <c r="D2824" s="2">
        <v>2032.03</v>
      </c>
      <c r="E2824" s="2">
        <v>0</v>
      </c>
      <c r="F2824" t="s">
        <v>13</v>
      </c>
      <c r="G2824" t="s">
        <v>9</v>
      </c>
    </row>
    <row r="2825" spans="1:7" x14ac:dyDescent="0.35">
      <c r="A2825">
        <v>1113</v>
      </c>
      <c r="B2825" s="1">
        <v>45512</v>
      </c>
      <c r="C2825" t="s">
        <v>12</v>
      </c>
      <c r="D2825" s="2">
        <v>0</v>
      </c>
      <c r="E2825" s="2">
        <v>1890.26</v>
      </c>
      <c r="F2825" t="s">
        <v>14</v>
      </c>
      <c r="G2825" t="s">
        <v>15</v>
      </c>
    </row>
    <row r="2826" spans="1:7" x14ac:dyDescent="0.35">
      <c r="A2826">
        <v>1113</v>
      </c>
      <c r="B2826" s="1">
        <v>45512</v>
      </c>
      <c r="C2826" t="s">
        <v>12</v>
      </c>
      <c r="D2826" s="2">
        <v>0</v>
      </c>
      <c r="E2826" s="2">
        <v>141.77000000000001</v>
      </c>
      <c r="F2826" t="s">
        <v>16</v>
      </c>
      <c r="G2826" t="s">
        <v>17</v>
      </c>
    </row>
    <row r="2827" spans="1:7" x14ac:dyDescent="0.35">
      <c r="A2827">
        <v>1114</v>
      </c>
      <c r="B2827" s="1">
        <v>45512</v>
      </c>
      <c r="C2827" t="s">
        <v>12</v>
      </c>
      <c r="D2827" s="2">
        <v>2843.04</v>
      </c>
      <c r="E2827" s="2">
        <v>0</v>
      </c>
      <c r="F2827" t="s">
        <v>13</v>
      </c>
      <c r="G2827" t="s">
        <v>9</v>
      </c>
    </row>
    <row r="2828" spans="1:7" x14ac:dyDescent="0.35">
      <c r="A2828">
        <v>1114</v>
      </c>
      <c r="B2828" s="1">
        <v>45512</v>
      </c>
      <c r="C2828" t="s">
        <v>12</v>
      </c>
      <c r="D2828" s="2">
        <v>0</v>
      </c>
      <c r="E2828" s="2">
        <v>2644.69</v>
      </c>
      <c r="F2828" t="s">
        <v>14</v>
      </c>
      <c r="G2828" t="s">
        <v>15</v>
      </c>
    </row>
    <row r="2829" spans="1:7" x14ac:dyDescent="0.35">
      <c r="A2829">
        <v>1114</v>
      </c>
      <c r="B2829" s="1">
        <v>45512</v>
      </c>
      <c r="C2829" t="s">
        <v>12</v>
      </c>
      <c r="D2829" s="2">
        <v>0</v>
      </c>
      <c r="E2829" s="2">
        <v>198.35</v>
      </c>
      <c r="F2829" t="s">
        <v>16</v>
      </c>
      <c r="G2829" t="s">
        <v>17</v>
      </c>
    </row>
    <row r="2830" spans="1:7" x14ac:dyDescent="0.35">
      <c r="A2830">
        <v>1115</v>
      </c>
      <c r="B2830" s="1">
        <v>45512</v>
      </c>
      <c r="C2830" t="s">
        <v>24</v>
      </c>
      <c r="D2830" s="2">
        <v>391.65</v>
      </c>
      <c r="E2830" s="2">
        <v>0</v>
      </c>
      <c r="F2830" t="s">
        <v>8</v>
      </c>
      <c r="G2830" t="s">
        <v>9</v>
      </c>
    </row>
    <row r="2831" spans="1:7" x14ac:dyDescent="0.35">
      <c r="A2831">
        <v>1115</v>
      </c>
      <c r="B2831" s="1">
        <v>45512</v>
      </c>
      <c r="C2831" t="s">
        <v>24</v>
      </c>
      <c r="D2831" s="2">
        <v>0</v>
      </c>
      <c r="E2831" s="2">
        <v>391.65</v>
      </c>
      <c r="F2831" t="s">
        <v>13</v>
      </c>
      <c r="G2831" t="s">
        <v>9</v>
      </c>
    </row>
    <row r="2832" spans="1:7" x14ac:dyDescent="0.35">
      <c r="A2832">
        <v>1116</v>
      </c>
      <c r="B2832" s="1">
        <v>45512</v>
      </c>
      <c r="C2832" t="s">
        <v>24</v>
      </c>
      <c r="D2832" s="2">
        <v>2843.04</v>
      </c>
      <c r="E2832" s="2">
        <v>0</v>
      </c>
      <c r="F2832" t="s">
        <v>8</v>
      </c>
      <c r="G2832" t="s">
        <v>9</v>
      </c>
    </row>
    <row r="2833" spans="1:7" x14ac:dyDescent="0.35">
      <c r="A2833">
        <v>1116</v>
      </c>
      <c r="B2833" s="1">
        <v>45512</v>
      </c>
      <c r="C2833" t="s">
        <v>24</v>
      </c>
      <c r="D2833" s="2">
        <v>0</v>
      </c>
      <c r="E2833" s="2">
        <v>2843.04</v>
      </c>
      <c r="F2833" t="s">
        <v>13</v>
      </c>
      <c r="G2833" t="s">
        <v>9</v>
      </c>
    </row>
    <row r="2834" spans="1:7" x14ac:dyDescent="0.35">
      <c r="A2834">
        <v>1117</v>
      </c>
      <c r="B2834" s="1">
        <v>45512</v>
      </c>
      <c r="C2834" t="s">
        <v>25</v>
      </c>
      <c r="D2834" s="2">
        <v>1800.04</v>
      </c>
      <c r="E2834" s="2">
        <v>0</v>
      </c>
      <c r="F2834" t="s">
        <v>26</v>
      </c>
      <c r="G2834" t="s">
        <v>20</v>
      </c>
    </row>
    <row r="2835" spans="1:7" x14ac:dyDescent="0.35">
      <c r="A2835">
        <v>1117</v>
      </c>
      <c r="B2835" s="1">
        <v>45512</v>
      </c>
      <c r="C2835" t="s">
        <v>25</v>
      </c>
      <c r="D2835" s="2">
        <v>135</v>
      </c>
      <c r="E2835" s="2">
        <v>0</v>
      </c>
      <c r="F2835" t="s">
        <v>27</v>
      </c>
      <c r="G2835" t="s">
        <v>9</v>
      </c>
    </row>
    <row r="2836" spans="1:7" x14ac:dyDescent="0.35">
      <c r="A2836">
        <v>1117</v>
      </c>
      <c r="B2836" s="1">
        <v>45512</v>
      </c>
      <c r="C2836" t="s">
        <v>25</v>
      </c>
      <c r="D2836" s="2">
        <v>0</v>
      </c>
      <c r="E2836" s="2">
        <v>1935.04</v>
      </c>
      <c r="F2836" t="s">
        <v>28</v>
      </c>
      <c r="G2836" t="s">
        <v>17</v>
      </c>
    </row>
    <row r="2837" spans="1:7" x14ac:dyDescent="0.35">
      <c r="A2837">
        <v>1118</v>
      </c>
      <c r="B2837" s="1">
        <v>45512</v>
      </c>
      <c r="C2837" t="s">
        <v>29</v>
      </c>
      <c r="D2837" s="2">
        <v>276.32</v>
      </c>
      <c r="E2837" s="2">
        <v>0</v>
      </c>
      <c r="F2837" t="s">
        <v>28</v>
      </c>
      <c r="G2837" t="s">
        <v>17</v>
      </c>
    </row>
    <row r="2838" spans="1:7" x14ac:dyDescent="0.35">
      <c r="A2838">
        <v>1118</v>
      </c>
      <c r="B2838" s="1">
        <v>45512</v>
      </c>
      <c r="C2838" t="s">
        <v>29</v>
      </c>
      <c r="D2838" s="2">
        <v>0</v>
      </c>
      <c r="E2838" s="2">
        <v>276.32</v>
      </c>
      <c r="F2838" t="s">
        <v>8</v>
      </c>
      <c r="G2838" t="s">
        <v>9</v>
      </c>
    </row>
    <row r="2839" spans="1:7" x14ac:dyDescent="0.35">
      <c r="A2839">
        <v>1119</v>
      </c>
      <c r="B2839" s="1">
        <v>45513</v>
      </c>
      <c r="C2839" t="s">
        <v>12</v>
      </c>
      <c r="D2839" s="2">
        <v>1469.41</v>
      </c>
      <c r="E2839" s="2">
        <v>0</v>
      </c>
      <c r="F2839" t="s">
        <v>13</v>
      </c>
      <c r="G2839" t="s">
        <v>9</v>
      </c>
    </row>
    <row r="2840" spans="1:7" x14ac:dyDescent="0.35">
      <c r="A2840">
        <v>1119</v>
      </c>
      <c r="B2840" s="1">
        <v>45513</v>
      </c>
      <c r="C2840" t="s">
        <v>12</v>
      </c>
      <c r="D2840" s="2">
        <v>0</v>
      </c>
      <c r="E2840" s="2">
        <v>1366.89</v>
      </c>
      <c r="F2840" t="s">
        <v>14</v>
      </c>
      <c r="G2840" t="s">
        <v>15</v>
      </c>
    </row>
    <row r="2841" spans="1:7" x14ac:dyDescent="0.35">
      <c r="A2841">
        <v>1119</v>
      </c>
      <c r="B2841" s="1">
        <v>45513</v>
      </c>
      <c r="C2841" t="s">
        <v>12</v>
      </c>
      <c r="D2841" s="2">
        <v>0</v>
      </c>
      <c r="E2841" s="2">
        <v>102.52</v>
      </c>
      <c r="F2841" t="s">
        <v>16</v>
      </c>
      <c r="G2841" t="s">
        <v>17</v>
      </c>
    </row>
    <row r="2842" spans="1:7" x14ac:dyDescent="0.35">
      <c r="A2842">
        <v>1120</v>
      </c>
      <c r="B2842" s="1">
        <v>45513</v>
      </c>
      <c r="C2842" t="s">
        <v>12</v>
      </c>
      <c r="D2842" s="2">
        <v>4674.76</v>
      </c>
      <c r="E2842" s="2">
        <v>0</v>
      </c>
      <c r="F2842" t="s">
        <v>13</v>
      </c>
      <c r="G2842" t="s">
        <v>9</v>
      </c>
    </row>
    <row r="2843" spans="1:7" x14ac:dyDescent="0.35">
      <c r="A2843">
        <v>1120</v>
      </c>
      <c r="B2843" s="1">
        <v>45513</v>
      </c>
      <c r="C2843" t="s">
        <v>12</v>
      </c>
      <c r="D2843" s="2">
        <v>0</v>
      </c>
      <c r="E2843" s="2">
        <v>4348.62</v>
      </c>
      <c r="F2843" t="s">
        <v>14</v>
      </c>
      <c r="G2843" t="s">
        <v>15</v>
      </c>
    </row>
    <row r="2844" spans="1:7" x14ac:dyDescent="0.35">
      <c r="A2844">
        <v>1120</v>
      </c>
      <c r="B2844" s="1">
        <v>45513</v>
      </c>
      <c r="C2844" t="s">
        <v>12</v>
      </c>
      <c r="D2844" s="2">
        <v>0</v>
      </c>
      <c r="E2844" s="2">
        <v>326.14</v>
      </c>
      <c r="F2844" t="s">
        <v>16</v>
      </c>
      <c r="G2844" t="s">
        <v>17</v>
      </c>
    </row>
    <row r="2845" spans="1:7" x14ac:dyDescent="0.35">
      <c r="A2845">
        <v>1121</v>
      </c>
      <c r="B2845" s="1">
        <v>45513</v>
      </c>
      <c r="C2845" t="s">
        <v>12</v>
      </c>
      <c r="D2845" s="2">
        <v>3648.81</v>
      </c>
      <c r="E2845" s="2">
        <v>0</v>
      </c>
      <c r="F2845" t="s">
        <v>13</v>
      </c>
      <c r="G2845" t="s">
        <v>9</v>
      </c>
    </row>
    <row r="2846" spans="1:7" x14ac:dyDescent="0.35">
      <c r="A2846">
        <v>1121</v>
      </c>
      <c r="B2846" s="1">
        <v>45513</v>
      </c>
      <c r="C2846" t="s">
        <v>12</v>
      </c>
      <c r="D2846" s="2">
        <v>0</v>
      </c>
      <c r="E2846" s="2">
        <v>3394.23</v>
      </c>
      <c r="F2846" t="s">
        <v>14</v>
      </c>
      <c r="G2846" t="s">
        <v>15</v>
      </c>
    </row>
    <row r="2847" spans="1:7" x14ac:dyDescent="0.35">
      <c r="A2847">
        <v>1121</v>
      </c>
      <c r="B2847" s="1">
        <v>45513</v>
      </c>
      <c r="C2847" t="s">
        <v>12</v>
      </c>
      <c r="D2847" s="2">
        <v>0</v>
      </c>
      <c r="E2847" s="2">
        <v>254.58</v>
      </c>
      <c r="F2847" t="s">
        <v>16</v>
      </c>
      <c r="G2847" t="s">
        <v>17</v>
      </c>
    </row>
    <row r="2848" spans="1:7" x14ac:dyDescent="0.35">
      <c r="A2848">
        <v>1122</v>
      </c>
      <c r="B2848" s="1">
        <v>45513</v>
      </c>
      <c r="C2848" t="s">
        <v>12</v>
      </c>
      <c r="D2848" s="2">
        <v>3141.81</v>
      </c>
      <c r="E2848" s="2">
        <v>0</v>
      </c>
      <c r="F2848" t="s">
        <v>13</v>
      </c>
      <c r="G2848" t="s">
        <v>9</v>
      </c>
    </row>
    <row r="2849" spans="1:7" x14ac:dyDescent="0.35">
      <c r="A2849">
        <v>1122</v>
      </c>
      <c r="B2849" s="1">
        <v>45513</v>
      </c>
      <c r="C2849" t="s">
        <v>12</v>
      </c>
      <c r="D2849" s="2">
        <v>0</v>
      </c>
      <c r="E2849" s="2">
        <v>2922.61</v>
      </c>
      <c r="F2849" t="s">
        <v>14</v>
      </c>
      <c r="G2849" t="s">
        <v>15</v>
      </c>
    </row>
    <row r="2850" spans="1:7" x14ac:dyDescent="0.35">
      <c r="A2850">
        <v>1122</v>
      </c>
      <c r="B2850" s="1">
        <v>45513</v>
      </c>
      <c r="C2850" t="s">
        <v>12</v>
      </c>
      <c r="D2850" s="2">
        <v>0</v>
      </c>
      <c r="E2850" s="2">
        <v>219.2</v>
      </c>
      <c r="F2850" t="s">
        <v>16</v>
      </c>
      <c r="G2850" t="s">
        <v>17</v>
      </c>
    </row>
    <row r="2851" spans="1:7" x14ac:dyDescent="0.35">
      <c r="A2851">
        <v>1123</v>
      </c>
      <c r="B2851" s="1">
        <v>45513</v>
      </c>
      <c r="C2851" t="s">
        <v>24</v>
      </c>
      <c r="D2851" s="2">
        <v>4453.28</v>
      </c>
      <c r="E2851" s="2">
        <v>0</v>
      </c>
      <c r="F2851" t="s">
        <v>8</v>
      </c>
      <c r="G2851" t="s">
        <v>9</v>
      </c>
    </row>
    <row r="2852" spans="1:7" x14ac:dyDescent="0.35">
      <c r="A2852">
        <v>1123</v>
      </c>
      <c r="B2852" s="1">
        <v>45513</v>
      </c>
      <c r="C2852" t="s">
        <v>24</v>
      </c>
      <c r="D2852" s="2">
        <v>0</v>
      </c>
      <c r="E2852" s="2">
        <v>4453.28</v>
      </c>
      <c r="F2852" t="s">
        <v>13</v>
      </c>
      <c r="G2852" t="s">
        <v>9</v>
      </c>
    </row>
    <row r="2853" spans="1:7" x14ac:dyDescent="0.35">
      <c r="A2853">
        <v>1124</v>
      </c>
      <c r="B2853" s="1">
        <v>45513</v>
      </c>
      <c r="C2853" t="s">
        <v>24</v>
      </c>
      <c r="D2853" s="2">
        <v>3554.72</v>
      </c>
      <c r="E2853" s="2">
        <v>0</v>
      </c>
      <c r="F2853" t="s">
        <v>8</v>
      </c>
      <c r="G2853" t="s">
        <v>9</v>
      </c>
    </row>
    <row r="2854" spans="1:7" x14ac:dyDescent="0.35">
      <c r="A2854">
        <v>1124</v>
      </c>
      <c r="B2854" s="1">
        <v>45513</v>
      </c>
      <c r="C2854" t="s">
        <v>24</v>
      </c>
      <c r="D2854" s="2">
        <v>0</v>
      </c>
      <c r="E2854" s="2">
        <v>3554.72</v>
      </c>
      <c r="F2854" t="s">
        <v>13</v>
      </c>
      <c r="G2854" t="s">
        <v>9</v>
      </c>
    </row>
    <row r="2855" spans="1:7" x14ac:dyDescent="0.35">
      <c r="A2855">
        <v>1125</v>
      </c>
      <c r="B2855" s="1">
        <v>45516</v>
      </c>
      <c r="C2855" t="s">
        <v>12</v>
      </c>
      <c r="D2855" s="2">
        <v>2369.0500000000002</v>
      </c>
      <c r="E2855" s="2">
        <v>0</v>
      </c>
      <c r="F2855" t="s">
        <v>13</v>
      </c>
      <c r="G2855" t="s">
        <v>9</v>
      </c>
    </row>
    <row r="2856" spans="1:7" x14ac:dyDescent="0.35">
      <c r="A2856">
        <v>1125</v>
      </c>
      <c r="B2856" s="1">
        <v>45516</v>
      </c>
      <c r="C2856" t="s">
        <v>12</v>
      </c>
      <c r="D2856" s="2">
        <v>0</v>
      </c>
      <c r="E2856" s="2">
        <v>2203.77</v>
      </c>
      <c r="F2856" t="s">
        <v>14</v>
      </c>
      <c r="G2856" t="s">
        <v>15</v>
      </c>
    </row>
    <row r="2857" spans="1:7" x14ac:dyDescent="0.35">
      <c r="A2857">
        <v>1125</v>
      </c>
      <c r="B2857" s="1">
        <v>45516</v>
      </c>
      <c r="C2857" t="s">
        <v>12</v>
      </c>
      <c r="D2857" s="2">
        <v>0</v>
      </c>
      <c r="E2857" s="2">
        <v>165.28</v>
      </c>
      <c r="F2857" t="s">
        <v>16</v>
      </c>
      <c r="G2857" t="s">
        <v>17</v>
      </c>
    </row>
    <row r="2858" spans="1:7" x14ac:dyDescent="0.35">
      <c r="A2858">
        <v>1126</v>
      </c>
      <c r="B2858" s="1">
        <v>45516</v>
      </c>
      <c r="C2858" t="s">
        <v>12</v>
      </c>
      <c r="D2858" s="2">
        <v>3793.09</v>
      </c>
      <c r="E2858" s="2">
        <v>0</v>
      </c>
      <c r="F2858" t="s">
        <v>13</v>
      </c>
      <c r="G2858" t="s">
        <v>9</v>
      </c>
    </row>
    <row r="2859" spans="1:7" x14ac:dyDescent="0.35">
      <c r="A2859">
        <v>1126</v>
      </c>
      <c r="B2859" s="1">
        <v>45516</v>
      </c>
      <c r="C2859" t="s">
        <v>12</v>
      </c>
      <c r="D2859" s="2">
        <v>0</v>
      </c>
      <c r="E2859" s="2">
        <v>3528.46</v>
      </c>
      <c r="F2859" t="s">
        <v>14</v>
      </c>
      <c r="G2859" t="s">
        <v>15</v>
      </c>
    </row>
    <row r="2860" spans="1:7" x14ac:dyDescent="0.35">
      <c r="A2860">
        <v>1126</v>
      </c>
      <c r="B2860" s="1">
        <v>45516</v>
      </c>
      <c r="C2860" t="s">
        <v>12</v>
      </c>
      <c r="D2860" s="2">
        <v>0</v>
      </c>
      <c r="E2860" s="2">
        <v>264.63</v>
      </c>
      <c r="F2860" t="s">
        <v>16</v>
      </c>
      <c r="G2860" t="s">
        <v>17</v>
      </c>
    </row>
    <row r="2861" spans="1:7" x14ac:dyDescent="0.35">
      <c r="A2861">
        <v>1127</v>
      </c>
      <c r="B2861" s="1">
        <v>45516</v>
      </c>
      <c r="C2861" t="s">
        <v>24</v>
      </c>
      <c r="D2861" s="2">
        <v>2247.98</v>
      </c>
      <c r="E2861" s="2">
        <v>0</v>
      </c>
      <c r="F2861" t="s">
        <v>8</v>
      </c>
      <c r="G2861" t="s">
        <v>9</v>
      </c>
    </row>
    <row r="2862" spans="1:7" x14ac:dyDescent="0.35">
      <c r="A2862">
        <v>1127</v>
      </c>
      <c r="B2862" s="1">
        <v>45516</v>
      </c>
      <c r="C2862" t="s">
        <v>24</v>
      </c>
      <c r="D2862" s="2">
        <v>0</v>
      </c>
      <c r="E2862" s="2">
        <v>2247.98</v>
      </c>
      <c r="F2862" t="s">
        <v>13</v>
      </c>
      <c r="G2862" t="s">
        <v>9</v>
      </c>
    </row>
    <row r="2863" spans="1:7" x14ac:dyDescent="0.35">
      <c r="A2863">
        <v>1128</v>
      </c>
      <c r="B2863" s="1">
        <v>45516</v>
      </c>
      <c r="C2863" t="s">
        <v>24</v>
      </c>
      <c r="D2863" s="2">
        <v>660.87</v>
      </c>
      <c r="E2863" s="2">
        <v>0</v>
      </c>
      <c r="F2863" t="s">
        <v>8</v>
      </c>
      <c r="G2863" t="s">
        <v>9</v>
      </c>
    </row>
    <row r="2864" spans="1:7" x14ac:dyDescent="0.35">
      <c r="A2864">
        <v>1128</v>
      </c>
      <c r="B2864" s="1">
        <v>45516</v>
      </c>
      <c r="C2864" t="s">
        <v>24</v>
      </c>
      <c r="D2864" s="2">
        <v>0</v>
      </c>
      <c r="E2864" s="2">
        <v>660.87</v>
      </c>
      <c r="F2864" t="s">
        <v>13</v>
      </c>
      <c r="G2864" t="s">
        <v>9</v>
      </c>
    </row>
    <row r="2865" spans="1:7" x14ac:dyDescent="0.35">
      <c r="A2865">
        <v>1129</v>
      </c>
      <c r="B2865" s="1">
        <v>45516</v>
      </c>
      <c r="C2865" t="s">
        <v>24</v>
      </c>
      <c r="D2865" s="2">
        <v>1067.69</v>
      </c>
      <c r="E2865" s="2">
        <v>0</v>
      </c>
      <c r="F2865" t="s">
        <v>8</v>
      </c>
      <c r="G2865" t="s">
        <v>9</v>
      </c>
    </row>
    <row r="2866" spans="1:7" x14ac:dyDescent="0.35">
      <c r="A2866">
        <v>1129</v>
      </c>
      <c r="B2866" s="1">
        <v>45516</v>
      </c>
      <c r="C2866" t="s">
        <v>24</v>
      </c>
      <c r="D2866" s="2">
        <v>0</v>
      </c>
      <c r="E2866" s="2">
        <v>1067.69</v>
      </c>
      <c r="F2866" t="s">
        <v>13</v>
      </c>
      <c r="G2866" t="s">
        <v>9</v>
      </c>
    </row>
    <row r="2867" spans="1:7" x14ac:dyDescent="0.35">
      <c r="A2867">
        <v>1130</v>
      </c>
      <c r="B2867" s="1">
        <v>45516</v>
      </c>
      <c r="C2867" t="s">
        <v>24</v>
      </c>
      <c r="D2867" s="2">
        <v>4087.9</v>
      </c>
      <c r="E2867" s="2">
        <v>0</v>
      </c>
      <c r="F2867" t="s">
        <v>8</v>
      </c>
      <c r="G2867" t="s">
        <v>9</v>
      </c>
    </row>
    <row r="2868" spans="1:7" x14ac:dyDescent="0.35">
      <c r="A2868">
        <v>1130</v>
      </c>
      <c r="B2868" s="1">
        <v>45516</v>
      </c>
      <c r="C2868" t="s">
        <v>24</v>
      </c>
      <c r="D2868" s="2">
        <v>0</v>
      </c>
      <c r="E2868" s="2">
        <v>4087.9</v>
      </c>
      <c r="F2868" t="s">
        <v>13</v>
      </c>
      <c r="G2868" t="s">
        <v>9</v>
      </c>
    </row>
    <row r="2869" spans="1:7" x14ac:dyDescent="0.35">
      <c r="A2869">
        <v>1131</v>
      </c>
      <c r="B2869" s="1">
        <v>45516</v>
      </c>
      <c r="C2869" t="s">
        <v>24</v>
      </c>
      <c r="D2869" s="2">
        <v>2369.0500000000002</v>
      </c>
      <c r="E2869" s="2">
        <v>0</v>
      </c>
      <c r="F2869" t="s">
        <v>8</v>
      </c>
      <c r="G2869" t="s">
        <v>9</v>
      </c>
    </row>
    <row r="2870" spans="1:7" x14ac:dyDescent="0.35">
      <c r="A2870">
        <v>1131</v>
      </c>
      <c r="B2870" s="1">
        <v>45516</v>
      </c>
      <c r="C2870" t="s">
        <v>24</v>
      </c>
      <c r="D2870" s="2">
        <v>0</v>
      </c>
      <c r="E2870" s="2">
        <v>2369.0500000000002</v>
      </c>
      <c r="F2870" t="s">
        <v>13</v>
      </c>
      <c r="G2870" t="s">
        <v>9</v>
      </c>
    </row>
    <row r="2871" spans="1:7" x14ac:dyDescent="0.35">
      <c r="A2871">
        <v>1132</v>
      </c>
      <c r="B2871" s="1">
        <v>45516</v>
      </c>
      <c r="C2871" t="s">
        <v>25</v>
      </c>
      <c r="D2871" s="2">
        <v>512</v>
      </c>
      <c r="E2871" s="2">
        <v>0</v>
      </c>
      <c r="F2871" t="s">
        <v>26</v>
      </c>
      <c r="G2871" t="s">
        <v>20</v>
      </c>
    </row>
    <row r="2872" spans="1:7" x14ac:dyDescent="0.35">
      <c r="A2872">
        <v>1132</v>
      </c>
      <c r="B2872" s="1">
        <v>45516</v>
      </c>
      <c r="C2872" t="s">
        <v>25</v>
      </c>
      <c r="D2872" s="2">
        <v>38.4</v>
      </c>
      <c r="E2872" s="2">
        <v>0</v>
      </c>
      <c r="F2872" t="s">
        <v>27</v>
      </c>
      <c r="G2872" t="s">
        <v>9</v>
      </c>
    </row>
    <row r="2873" spans="1:7" x14ac:dyDescent="0.35">
      <c r="A2873">
        <v>1132</v>
      </c>
      <c r="B2873" s="1">
        <v>45516</v>
      </c>
      <c r="C2873" t="s">
        <v>25</v>
      </c>
      <c r="D2873" s="2">
        <v>0</v>
      </c>
      <c r="E2873" s="2">
        <v>550.4</v>
      </c>
      <c r="F2873" t="s">
        <v>28</v>
      </c>
      <c r="G2873" t="s">
        <v>17</v>
      </c>
    </row>
    <row r="2874" spans="1:7" x14ac:dyDescent="0.35">
      <c r="A2874">
        <v>1133</v>
      </c>
      <c r="B2874" s="1">
        <v>45516</v>
      </c>
      <c r="C2874" t="s">
        <v>25</v>
      </c>
      <c r="D2874" s="2">
        <v>952.02</v>
      </c>
      <c r="E2874" s="2">
        <v>0</v>
      </c>
      <c r="F2874" t="s">
        <v>26</v>
      </c>
      <c r="G2874" t="s">
        <v>20</v>
      </c>
    </row>
    <row r="2875" spans="1:7" x14ac:dyDescent="0.35">
      <c r="A2875">
        <v>1133</v>
      </c>
      <c r="B2875" s="1">
        <v>45516</v>
      </c>
      <c r="C2875" t="s">
        <v>25</v>
      </c>
      <c r="D2875" s="2">
        <v>71.400000000000006</v>
      </c>
      <c r="E2875" s="2">
        <v>0</v>
      </c>
      <c r="F2875" t="s">
        <v>27</v>
      </c>
      <c r="G2875" t="s">
        <v>9</v>
      </c>
    </row>
    <row r="2876" spans="1:7" x14ac:dyDescent="0.35">
      <c r="A2876">
        <v>1133</v>
      </c>
      <c r="B2876" s="1">
        <v>45516</v>
      </c>
      <c r="C2876" t="s">
        <v>25</v>
      </c>
      <c r="D2876" s="2">
        <v>0</v>
      </c>
      <c r="E2876" s="2">
        <v>1023.42</v>
      </c>
      <c r="F2876" t="s">
        <v>28</v>
      </c>
      <c r="G2876" t="s">
        <v>17</v>
      </c>
    </row>
    <row r="2877" spans="1:7" x14ac:dyDescent="0.35">
      <c r="A2877">
        <v>1134</v>
      </c>
      <c r="B2877" s="1">
        <v>45516</v>
      </c>
      <c r="C2877" t="s">
        <v>25</v>
      </c>
      <c r="D2877" s="2">
        <v>166.52</v>
      </c>
      <c r="E2877" s="2">
        <v>0</v>
      </c>
      <c r="F2877" t="s">
        <v>26</v>
      </c>
      <c r="G2877" t="s">
        <v>20</v>
      </c>
    </row>
    <row r="2878" spans="1:7" x14ac:dyDescent="0.35">
      <c r="A2878">
        <v>1134</v>
      </c>
      <c r="B2878" s="1">
        <v>45516</v>
      </c>
      <c r="C2878" t="s">
        <v>25</v>
      </c>
      <c r="D2878" s="2">
        <v>12.49</v>
      </c>
      <c r="E2878" s="2">
        <v>0</v>
      </c>
      <c r="F2878" t="s">
        <v>27</v>
      </c>
      <c r="G2878" t="s">
        <v>9</v>
      </c>
    </row>
    <row r="2879" spans="1:7" x14ac:dyDescent="0.35">
      <c r="A2879">
        <v>1134</v>
      </c>
      <c r="B2879" s="1">
        <v>45516</v>
      </c>
      <c r="C2879" t="s">
        <v>25</v>
      </c>
      <c r="D2879" s="2">
        <v>0</v>
      </c>
      <c r="E2879" s="2">
        <v>179.01</v>
      </c>
      <c r="F2879" t="s">
        <v>28</v>
      </c>
      <c r="G2879" t="s">
        <v>17</v>
      </c>
    </row>
    <row r="2880" spans="1:7" x14ac:dyDescent="0.35">
      <c r="A2880">
        <v>1135</v>
      </c>
      <c r="B2880" s="1">
        <v>45516</v>
      </c>
      <c r="C2880" t="s">
        <v>25</v>
      </c>
      <c r="D2880" s="2">
        <v>1643.22</v>
      </c>
      <c r="E2880" s="2">
        <v>0</v>
      </c>
      <c r="F2880" t="s">
        <v>26</v>
      </c>
      <c r="G2880" t="s">
        <v>20</v>
      </c>
    </row>
    <row r="2881" spans="1:7" x14ac:dyDescent="0.35">
      <c r="A2881">
        <v>1135</v>
      </c>
      <c r="B2881" s="1">
        <v>45516</v>
      </c>
      <c r="C2881" t="s">
        <v>25</v>
      </c>
      <c r="D2881" s="2">
        <v>123.24</v>
      </c>
      <c r="E2881" s="2">
        <v>0</v>
      </c>
      <c r="F2881" t="s">
        <v>27</v>
      </c>
      <c r="G2881" t="s">
        <v>9</v>
      </c>
    </row>
    <row r="2882" spans="1:7" x14ac:dyDescent="0.35">
      <c r="A2882">
        <v>1135</v>
      </c>
      <c r="B2882" s="1">
        <v>45516</v>
      </c>
      <c r="C2882" t="s">
        <v>25</v>
      </c>
      <c r="D2882" s="2">
        <v>0</v>
      </c>
      <c r="E2882" s="2">
        <v>1766.46</v>
      </c>
      <c r="F2882" t="s">
        <v>28</v>
      </c>
      <c r="G2882" t="s">
        <v>17</v>
      </c>
    </row>
    <row r="2883" spans="1:7" x14ac:dyDescent="0.35">
      <c r="A2883">
        <v>1136</v>
      </c>
      <c r="B2883" s="1">
        <v>45516</v>
      </c>
      <c r="C2883" t="s">
        <v>25</v>
      </c>
      <c r="D2883" s="2">
        <v>1947.24</v>
      </c>
      <c r="E2883" s="2">
        <v>0</v>
      </c>
      <c r="F2883" t="s">
        <v>26</v>
      </c>
      <c r="G2883" t="s">
        <v>20</v>
      </c>
    </row>
    <row r="2884" spans="1:7" x14ac:dyDescent="0.35">
      <c r="A2884">
        <v>1136</v>
      </c>
      <c r="B2884" s="1">
        <v>45516</v>
      </c>
      <c r="C2884" t="s">
        <v>25</v>
      </c>
      <c r="D2884" s="2">
        <v>146.04</v>
      </c>
      <c r="E2884" s="2">
        <v>0</v>
      </c>
      <c r="F2884" t="s">
        <v>27</v>
      </c>
      <c r="G2884" t="s">
        <v>9</v>
      </c>
    </row>
    <row r="2885" spans="1:7" x14ac:dyDescent="0.35">
      <c r="A2885">
        <v>1136</v>
      </c>
      <c r="B2885" s="1">
        <v>45516</v>
      </c>
      <c r="C2885" t="s">
        <v>25</v>
      </c>
      <c r="D2885" s="2">
        <v>0</v>
      </c>
      <c r="E2885" s="2">
        <v>2093.2800000000002</v>
      </c>
      <c r="F2885" t="s">
        <v>28</v>
      </c>
      <c r="G2885" t="s">
        <v>17</v>
      </c>
    </row>
    <row r="2886" spans="1:7" x14ac:dyDescent="0.35">
      <c r="A2886">
        <v>1137</v>
      </c>
      <c r="B2886" s="1">
        <v>45516</v>
      </c>
      <c r="C2886" t="s">
        <v>25</v>
      </c>
      <c r="D2886" s="2">
        <v>4476.71</v>
      </c>
      <c r="E2886" s="2">
        <v>0</v>
      </c>
      <c r="F2886" t="s">
        <v>26</v>
      </c>
      <c r="G2886" t="s">
        <v>20</v>
      </c>
    </row>
    <row r="2887" spans="1:7" x14ac:dyDescent="0.35">
      <c r="A2887">
        <v>1137</v>
      </c>
      <c r="B2887" s="1">
        <v>45516</v>
      </c>
      <c r="C2887" t="s">
        <v>25</v>
      </c>
      <c r="D2887" s="2">
        <v>335.75</v>
      </c>
      <c r="E2887" s="2">
        <v>0</v>
      </c>
      <c r="F2887" t="s">
        <v>27</v>
      </c>
      <c r="G2887" t="s">
        <v>9</v>
      </c>
    </row>
    <row r="2888" spans="1:7" x14ac:dyDescent="0.35">
      <c r="A2888">
        <v>1137</v>
      </c>
      <c r="B2888" s="1">
        <v>45516</v>
      </c>
      <c r="C2888" t="s">
        <v>25</v>
      </c>
      <c r="D2888" s="2">
        <v>0</v>
      </c>
      <c r="E2888" s="2">
        <v>4812.46</v>
      </c>
      <c r="F2888" t="s">
        <v>28</v>
      </c>
      <c r="G2888" t="s">
        <v>17</v>
      </c>
    </row>
    <row r="2889" spans="1:7" x14ac:dyDescent="0.35">
      <c r="A2889">
        <v>1138</v>
      </c>
      <c r="B2889" s="1">
        <v>45516</v>
      </c>
      <c r="C2889" t="s">
        <v>29</v>
      </c>
      <c r="D2889" s="2">
        <v>1159.8399999999999</v>
      </c>
      <c r="E2889" s="2">
        <v>0</v>
      </c>
      <c r="F2889" t="s">
        <v>28</v>
      </c>
      <c r="G2889" t="s">
        <v>17</v>
      </c>
    </row>
    <row r="2890" spans="1:7" x14ac:dyDescent="0.35">
      <c r="A2890">
        <v>1138</v>
      </c>
      <c r="B2890" s="1">
        <v>45516</v>
      </c>
      <c r="C2890" t="s">
        <v>29</v>
      </c>
      <c r="D2890" s="2">
        <v>0</v>
      </c>
      <c r="E2890" s="2">
        <v>1159.8399999999999</v>
      </c>
      <c r="F2890" t="s">
        <v>8</v>
      </c>
      <c r="G2890" t="s">
        <v>9</v>
      </c>
    </row>
    <row r="2891" spans="1:7" x14ac:dyDescent="0.35">
      <c r="A2891">
        <v>1139</v>
      </c>
      <c r="B2891" s="1">
        <v>45516</v>
      </c>
      <c r="C2891" t="s">
        <v>29</v>
      </c>
      <c r="D2891" s="2">
        <v>201.5</v>
      </c>
      <c r="E2891" s="2">
        <v>0</v>
      </c>
      <c r="F2891" t="s">
        <v>28</v>
      </c>
      <c r="G2891" t="s">
        <v>17</v>
      </c>
    </row>
    <row r="2892" spans="1:7" x14ac:dyDescent="0.35">
      <c r="A2892">
        <v>1139</v>
      </c>
      <c r="B2892" s="1">
        <v>45516</v>
      </c>
      <c r="C2892" t="s">
        <v>29</v>
      </c>
      <c r="D2892" s="2">
        <v>0</v>
      </c>
      <c r="E2892" s="2">
        <v>201.5</v>
      </c>
      <c r="F2892" t="s">
        <v>8</v>
      </c>
      <c r="G2892" t="s">
        <v>9</v>
      </c>
    </row>
    <row r="2893" spans="1:7" x14ac:dyDescent="0.35">
      <c r="A2893">
        <v>1140</v>
      </c>
      <c r="B2893" s="1">
        <v>45516</v>
      </c>
      <c r="C2893" t="s">
        <v>29</v>
      </c>
      <c r="D2893" s="2">
        <v>1958.74</v>
      </c>
      <c r="E2893" s="2">
        <v>0</v>
      </c>
      <c r="F2893" t="s">
        <v>28</v>
      </c>
      <c r="G2893" t="s">
        <v>17</v>
      </c>
    </row>
    <row r="2894" spans="1:7" x14ac:dyDescent="0.35">
      <c r="A2894">
        <v>1140</v>
      </c>
      <c r="B2894" s="1">
        <v>45516</v>
      </c>
      <c r="C2894" t="s">
        <v>29</v>
      </c>
      <c r="D2894" s="2">
        <v>0</v>
      </c>
      <c r="E2894" s="2">
        <v>1958.74</v>
      </c>
      <c r="F2894" t="s">
        <v>8</v>
      </c>
      <c r="G2894" t="s">
        <v>9</v>
      </c>
    </row>
    <row r="2895" spans="1:7" x14ac:dyDescent="0.35">
      <c r="A2895">
        <v>1141</v>
      </c>
      <c r="B2895" s="1">
        <v>45517</v>
      </c>
      <c r="C2895" t="s">
        <v>12</v>
      </c>
      <c r="D2895" s="2">
        <v>3453.73</v>
      </c>
      <c r="E2895" s="2">
        <v>0</v>
      </c>
      <c r="F2895" t="s">
        <v>13</v>
      </c>
      <c r="G2895" t="s">
        <v>9</v>
      </c>
    </row>
    <row r="2896" spans="1:7" x14ac:dyDescent="0.35">
      <c r="A2896">
        <v>1141</v>
      </c>
      <c r="B2896" s="1">
        <v>45517</v>
      </c>
      <c r="C2896" t="s">
        <v>12</v>
      </c>
      <c r="D2896" s="2">
        <v>0</v>
      </c>
      <c r="E2896" s="2">
        <v>3212.76</v>
      </c>
      <c r="F2896" t="s">
        <v>14</v>
      </c>
      <c r="G2896" t="s">
        <v>15</v>
      </c>
    </row>
    <row r="2897" spans="1:7" x14ac:dyDescent="0.35">
      <c r="A2897">
        <v>1141</v>
      </c>
      <c r="B2897" s="1">
        <v>45517</v>
      </c>
      <c r="C2897" t="s">
        <v>12</v>
      </c>
      <c r="D2897" s="2">
        <v>0</v>
      </c>
      <c r="E2897" s="2">
        <v>240.97</v>
      </c>
      <c r="F2897" t="s">
        <v>16</v>
      </c>
      <c r="G2897" t="s">
        <v>17</v>
      </c>
    </row>
    <row r="2898" spans="1:7" x14ac:dyDescent="0.35">
      <c r="A2898">
        <v>1142</v>
      </c>
      <c r="B2898" s="1">
        <v>45517</v>
      </c>
      <c r="C2898" t="s">
        <v>12</v>
      </c>
      <c r="D2898" s="2">
        <v>3241.09</v>
      </c>
      <c r="E2898" s="2">
        <v>0</v>
      </c>
      <c r="F2898" t="s">
        <v>13</v>
      </c>
      <c r="G2898" t="s">
        <v>9</v>
      </c>
    </row>
    <row r="2899" spans="1:7" x14ac:dyDescent="0.35">
      <c r="A2899">
        <v>1142</v>
      </c>
      <c r="B2899" s="1">
        <v>45517</v>
      </c>
      <c r="C2899" t="s">
        <v>12</v>
      </c>
      <c r="D2899" s="2">
        <v>0</v>
      </c>
      <c r="E2899" s="2">
        <v>3014.97</v>
      </c>
      <c r="F2899" t="s">
        <v>14</v>
      </c>
      <c r="G2899" t="s">
        <v>15</v>
      </c>
    </row>
    <row r="2900" spans="1:7" x14ac:dyDescent="0.35">
      <c r="A2900">
        <v>1142</v>
      </c>
      <c r="B2900" s="1">
        <v>45517</v>
      </c>
      <c r="C2900" t="s">
        <v>12</v>
      </c>
      <c r="D2900" s="2">
        <v>0</v>
      </c>
      <c r="E2900" s="2">
        <v>226.12</v>
      </c>
      <c r="F2900" t="s">
        <v>16</v>
      </c>
      <c r="G2900" t="s">
        <v>17</v>
      </c>
    </row>
    <row r="2901" spans="1:7" x14ac:dyDescent="0.35">
      <c r="A2901">
        <v>1143</v>
      </c>
      <c r="B2901" s="1">
        <v>45517</v>
      </c>
      <c r="C2901" t="s">
        <v>24</v>
      </c>
      <c r="D2901" s="2">
        <v>906.13</v>
      </c>
      <c r="E2901" s="2">
        <v>0</v>
      </c>
      <c r="F2901" t="s">
        <v>8</v>
      </c>
      <c r="G2901" t="s">
        <v>9</v>
      </c>
    </row>
    <row r="2902" spans="1:7" x14ac:dyDescent="0.35">
      <c r="A2902">
        <v>1143</v>
      </c>
      <c r="B2902" s="1">
        <v>45517</v>
      </c>
      <c r="C2902" t="s">
        <v>24</v>
      </c>
      <c r="D2902" s="2">
        <v>0</v>
      </c>
      <c r="E2902" s="2">
        <v>906.13</v>
      </c>
      <c r="F2902" t="s">
        <v>13</v>
      </c>
      <c r="G2902" t="s">
        <v>9</v>
      </c>
    </row>
    <row r="2903" spans="1:7" x14ac:dyDescent="0.35">
      <c r="A2903">
        <v>1144</v>
      </c>
      <c r="B2903" s="1">
        <v>45517</v>
      </c>
      <c r="C2903" t="s">
        <v>24</v>
      </c>
      <c r="D2903" s="2">
        <v>737.16</v>
      </c>
      <c r="E2903" s="2">
        <v>0</v>
      </c>
      <c r="F2903" t="s">
        <v>8</v>
      </c>
      <c r="G2903" t="s">
        <v>9</v>
      </c>
    </row>
    <row r="2904" spans="1:7" x14ac:dyDescent="0.35">
      <c r="A2904">
        <v>1144</v>
      </c>
      <c r="B2904" s="1">
        <v>45517</v>
      </c>
      <c r="C2904" t="s">
        <v>24</v>
      </c>
      <c r="D2904" s="2">
        <v>0</v>
      </c>
      <c r="E2904" s="2">
        <v>737.16</v>
      </c>
      <c r="F2904" t="s">
        <v>13</v>
      </c>
      <c r="G2904" t="s">
        <v>9</v>
      </c>
    </row>
    <row r="2905" spans="1:7" x14ac:dyDescent="0.35">
      <c r="A2905">
        <v>1145</v>
      </c>
      <c r="B2905" s="1">
        <v>45518</v>
      </c>
      <c r="C2905" t="s">
        <v>12</v>
      </c>
      <c r="D2905" s="2">
        <v>383</v>
      </c>
      <c r="E2905" s="2">
        <v>0</v>
      </c>
      <c r="F2905" t="s">
        <v>13</v>
      </c>
      <c r="G2905" t="s">
        <v>9</v>
      </c>
    </row>
    <row r="2906" spans="1:7" x14ac:dyDescent="0.35">
      <c r="A2906">
        <v>1145</v>
      </c>
      <c r="B2906" s="1">
        <v>45518</v>
      </c>
      <c r="C2906" t="s">
        <v>12</v>
      </c>
      <c r="D2906" s="2">
        <v>0</v>
      </c>
      <c r="E2906" s="2">
        <v>356.28</v>
      </c>
      <c r="F2906" t="s">
        <v>14</v>
      </c>
      <c r="G2906" t="s">
        <v>15</v>
      </c>
    </row>
    <row r="2907" spans="1:7" x14ac:dyDescent="0.35">
      <c r="A2907">
        <v>1145</v>
      </c>
      <c r="B2907" s="1">
        <v>45518</v>
      </c>
      <c r="C2907" t="s">
        <v>12</v>
      </c>
      <c r="D2907" s="2">
        <v>0</v>
      </c>
      <c r="E2907" s="2">
        <v>26.72</v>
      </c>
      <c r="F2907" t="s">
        <v>16</v>
      </c>
      <c r="G2907" t="s">
        <v>17</v>
      </c>
    </row>
    <row r="2908" spans="1:7" x14ac:dyDescent="0.35">
      <c r="A2908">
        <v>1146</v>
      </c>
      <c r="B2908" s="1">
        <v>45518</v>
      </c>
      <c r="C2908" t="s">
        <v>12</v>
      </c>
      <c r="D2908" s="2">
        <v>2274.79</v>
      </c>
      <c r="E2908" s="2">
        <v>0</v>
      </c>
      <c r="F2908" t="s">
        <v>13</v>
      </c>
      <c r="G2908" t="s">
        <v>9</v>
      </c>
    </row>
    <row r="2909" spans="1:7" x14ac:dyDescent="0.35">
      <c r="A2909">
        <v>1146</v>
      </c>
      <c r="B2909" s="1">
        <v>45518</v>
      </c>
      <c r="C2909" t="s">
        <v>12</v>
      </c>
      <c r="D2909" s="2">
        <v>0</v>
      </c>
      <c r="E2909" s="2">
        <v>2116.0700000000002</v>
      </c>
      <c r="F2909" t="s">
        <v>14</v>
      </c>
      <c r="G2909" t="s">
        <v>15</v>
      </c>
    </row>
    <row r="2910" spans="1:7" x14ac:dyDescent="0.35">
      <c r="A2910">
        <v>1146</v>
      </c>
      <c r="B2910" s="1">
        <v>45518</v>
      </c>
      <c r="C2910" t="s">
        <v>12</v>
      </c>
      <c r="D2910" s="2">
        <v>0</v>
      </c>
      <c r="E2910" s="2">
        <v>158.72</v>
      </c>
      <c r="F2910" t="s">
        <v>16</v>
      </c>
      <c r="G2910" t="s">
        <v>17</v>
      </c>
    </row>
    <row r="2911" spans="1:7" x14ac:dyDescent="0.35">
      <c r="A2911">
        <v>1147</v>
      </c>
      <c r="B2911" s="1">
        <v>45518</v>
      </c>
      <c r="C2911" t="s">
        <v>12</v>
      </c>
      <c r="D2911" s="2">
        <v>70.14</v>
      </c>
      <c r="E2911" s="2">
        <v>0</v>
      </c>
      <c r="F2911" t="s">
        <v>13</v>
      </c>
      <c r="G2911" t="s">
        <v>9</v>
      </c>
    </row>
    <row r="2912" spans="1:7" x14ac:dyDescent="0.35">
      <c r="A2912">
        <v>1147</v>
      </c>
      <c r="B2912" s="1">
        <v>45518</v>
      </c>
      <c r="C2912" t="s">
        <v>12</v>
      </c>
      <c r="D2912" s="2">
        <v>0</v>
      </c>
      <c r="E2912" s="2">
        <v>65.25</v>
      </c>
      <c r="F2912" t="s">
        <v>14</v>
      </c>
      <c r="G2912" t="s">
        <v>15</v>
      </c>
    </row>
    <row r="2913" spans="1:7" x14ac:dyDescent="0.35">
      <c r="A2913">
        <v>1147</v>
      </c>
      <c r="B2913" s="1">
        <v>45518</v>
      </c>
      <c r="C2913" t="s">
        <v>12</v>
      </c>
      <c r="D2913" s="2">
        <v>0</v>
      </c>
      <c r="E2913" s="2">
        <v>4.8899999999999997</v>
      </c>
      <c r="F2913" t="s">
        <v>16</v>
      </c>
      <c r="G2913" t="s">
        <v>17</v>
      </c>
    </row>
    <row r="2914" spans="1:7" x14ac:dyDescent="0.35">
      <c r="A2914">
        <v>1148</v>
      </c>
      <c r="B2914" s="1">
        <v>45518</v>
      </c>
      <c r="C2914" t="s">
        <v>24</v>
      </c>
      <c r="D2914" s="2">
        <v>746.16</v>
      </c>
      <c r="E2914" s="2">
        <v>0</v>
      </c>
      <c r="F2914" t="s">
        <v>8</v>
      </c>
      <c r="G2914" t="s">
        <v>9</v>
      </c>
    </row>
    <row r="2915" spans="1:7" x14ac:dyDescent="0.35">
      <c r="A2915">
        <v>1148</v>
      </c>
      <c r="B2915" s="1">
        <v>45518</v>
      </c>
      <c r="C2915" t="s">
        <v>24</v>
      </c>
      <c r="D2915" s="2">
        <v>0</v>
      </c>
      <c r="E2915" s="2">
        <v>746.16</v>
      </c>
      <c r="F2915" t="s">
        <v>13</v>
      </c>
      <c r="G2915" t="s">
        <v>9</v>
      </c>
    </row>
    <row r="2916" spans="1:7" x14ac:dyDescent="0.35">
      <c r="A2916">
        <v>1149</v>
      </c>
      <c r="B2916" s="1">
        <v>45518</v>
      </c>
      <c r="C2916" t="s">
        <v>24</v>
      </c>
      <c r="D2916" s="2">
        <v>2037.57</v>
      </c>
      <c r="E2916" s="2">
        <v>0</v>
      </c>
      <c r="F2916" t="s">
        <v>8</v>
      </c>
      <c r="G2916" t="s">
        <v>9</v>
      </c>
    </row>
    <row r="2917" spans="1:7" x14ac:dyDescent="0.35">
      <c r="A2917">
        <v>1149</v>
      </c>
      <c r="B2917" s="1">
        <v>45518</v>
      </c>
      <c r="C2917" t="s">
        <v>24</v>
      </c>
      <c r="D2917" s="2">
        <v>0</v>
      </c>
      <c r="E2917" s="2">
        <v>2037.57</v>
      </c>
      <c r="F2917" t="s">
        <v>13</v>
      </c>
      <c r="G2917" t="s">
        <v>9</v>
      </c>
    </row>
    <row r="2918" spans="1:7" x14ac:dyDescent="0.35">
      <c r="A2918">
        <v>1150</v>
      </c>
      <c r="B2918" s="1">
        <v>45518</v>
      </c>
      <c r="C2918" t="s">
        <v>24</v>
      </c>
      <c r="D2918" s="2">
        <v>3037.13</v>
      </c>
      <c r="E2918" s="2">
        <v>0</v>
      </c>
      <c r="F2918" t="s">
        <v>8</v>
      </c>
      <c r="G2918" t="s">
        <v>9</v>
      </c>
    </row>
    <row r="2919" spans="1:7" x14ac:dyDescent="0.35">
      <c r="A2919">
        <v>1150</v>
      </c>
      <c r="B2919" s="1">
        <v>45518</v>
      </c>
      <c r="C2919" t="s">
        <v>24</v>
      </c>
      <c r="D2919" s="2">
        <v>0</v>
      </c>
      <c r="E2919" s="2">
        <v>3037.13</v>
      </c>
      <c r="F2919" t="s">
        <v>13</v>
      </c>
      <c r="G2919" t="s">
        <v>9</v>
      </c>
    </row>
    <row r="2920" spans="1:7" x14ac:dyDescent="0.35">
      <c r="A2920">
        <v>1151</v>
      </c>
      <c r="B2920" s="1">
        <v>45518</v>
      </c>
      <c r="C2920" t="s">
        <v>24</v>
      </c>
      <c r="D2920" s="2">
        <v>376.55</v>
      </c>
      <c r="E2920" s="2">
        <v>0</v>
      </c>
      <c r="F2920" t="s">
        <v>8</v>
      </c>
      <c r="G2920" t="s">
        <v>9</v>
      </c>
    </row>
    <row r="2921" spans="1:7" x14ac:dyDescent="0.35">
      <c r="A2921">
        <v>1151</v>
      </c>
      <c r="B2921" s="1">
        <v>45518</v>
      </c>
      <c r="C2921" t="s">
        <v>24</v>
      </c>
      <c r="D2921" s="2">
        <v>0</v>
      </c>
      <c r="E2921" s="2">
        <v>376.55</v>
      </c>
      <c r="F2921" t="s">
        <v>13</v>
      </c>
      <c r="G2921" t="s">
        <v>9</v>
      </c>
    </row>
    <row r="2922" spans="1:7" x14ac:dyDescent="0.35">
      <c r="A2922">
        <v>1152</v>
      </c>
      <c r="B2922" s="1">
        <v>45518</v>
      </c>
      <c r="C2922" t="s">
        <v>25</v>
      </c>
      <c r="D2922" s="2">
        <v>1668.94</v>
      </c>
      <c r="E2922" s="2">
        <v>0</v>
      </c>
      <c r="F2922" t="s">
        <v>26</v>
      </c>
      <c r="G2922" t="s">
        <v>20</v>
      </c>
    </row>
    <row r="2923" spans="1:7" x14ac:dyDescent="0.35">
      <c r="A2923">
        <v>1152</v>
      </c>
      <c r="B2923" s="1">
        <v>45518</v>
      </c>
      <c r="C2923" t="s">
        <v>25</v>
      </c>
      <c r="D2923" s="2">
        <v>125.17</v>
      </c>
      <c r="E2923" s="2">
        <v>0</v>
      </c>
      <c r="F2923" t="s">
        <v>27</v>
      </c>
      <c r="G2923" t="s">
        <v>9</v>
      </c>
    </row>
    <row r="2924" spans="1:7" x14ac:dyDescent="0.35">
      <c r="A2924">
        <v>1152</v>
      </c>
      <c r="B2924" s="1">
        <v>45518</v>
      </c>
      <c r="C2924" t="s">
        <v>25</v>
      </c>
      <c r="D2924" s="2">
        <v>0</v>
      </c>
      <c r="E2924" s="2">
        <v>1794.11</v>
      </c>
      <c r="F2924" t="s">
        <v>28</v>
      </c>
      <c r="G2924" t="s">
        <v>17</v>
      </c>
    </row>
    <row r="2925" spans="1:7" x14ac:dyDescent="0.35">
      <c r="A2925">
        <v>1153</v>
      </c>
      <c r="B2925" s="1">
        <v>45518</v>
      </c>
      <c r="C2925" t="s">
        <v>25</v>
      </c>
      <c r="D2925" s="2">
        <v>1800.04</v>
      </c>
      <c r="E2925" s="2">
        <v>0</v>
      </c>
      <c r="F2925" t="s">
        <v>26</v>
      </c>
      <c r="G2925" t="s">
        <v>20</v>
      </c>
    </row>
    <row r="2926" spans="1:7" x14ac:dyDescent="0.35">
      <c r="A2926">
        <v>1153</v>
      </c>
      <c r="B2926" s="1">
        <v>45518</v>
      </c>
      <c r="C2926" t="s">
        <v>25</v>
      </c>
      <c r="D2926" s="2">
        <v>135</v>
      </c>
      <c r="E2926" s="2">
        <v>0</v>
      </c>
      <c r="F2926" t="s">
        <v>27</v>
      </c>
      <c r="G2926" t="s">
        <v>9</v>
      </c>
    </row>
    <row r="2927" spans="1:7" x14ac:dyDescent="0.35">
      <c r="A2927">
        <v>1153</v>
      </c>
      <c r="B2927" s="1">
        <v>45518</v>
      </c>
      <c r="C2927" t="s">
        <v>25</v>
      </c>
      <c r="D2927" s="2">
        <v>0</v>
      </c>
      <c r="E2927" s="2">
        <v>1935.04</v>
      </c>
      <c r="F2927" t="s">
        <v>28</v>
      </c>
      <c r="G2927" t="s">
        <v>17</v>
      </c>
    </row>
    <row r="2928" spans="1:7" x14ac:dyDescent="0.35">
      <c r="A2928">
        <v>1154</v>
      </c>
      <c r="B2928" s="1">
        <v>45518</v>
      </c>
      <c r="C2928" t="s">
        <v>29</v>
      </c>
      <c r="D2928" s="2">
        <v>1935.04</v>
      </c>
      <c r="E2928" s="2">
        <v>0</v>
      </c>
      <c r="F2928" t="s">
        <v>28</v>
      </c>
      <c r="G2928" t="s">
        <v>17</v>
      </c>
    </row>
    <row r="2929" spans="1:7" x14ac:dyDescent="0.35">
      <c r="A2929">
        <v>1154</v>
      </c>
      <c r="B2929" s="1">
        <v>45518</v>
      </c>
      <c r="C2929" t="s">
        <v>29</v>
      </c>
      <c r="D2929" s="2">
        <v>0</v>
      </c>
      <c r="E2929" s="2">
        <v>1935.04</v>
      </c>
      <c r="F2929" t="s">
        <v>8</v>
      </c>
      <c r="G2929" t="s">
        <v>9</v>
      </c>
    </row>
    <row r="2930" spans="1:7" x14ac:dyDescent="0.35">
      <c r="A2930">
        <v>1155</v>
      </c>
      <c r="B2930" s="1">
        <v>45519</v>
      </c>
      <c r="C2930" t="s">
        <v>18</v>
      </c>
      <c r="D2930" s="2">
        <v>22037.74</v>
      </c>
      <c r="E2930" s="2">
        <v>0</v>
      </c>
      <c r="F2930" t="s">
        <v>19</v>
      </c>
      <c r="G2930" t="s">
        <v>20</v>
      </c>
    </row>
    <row r="2931" spans="1:7" x14ac:dyDescent="0.35">
      <c r="A2931">
        <v>1155</v>
      </c>
      <c r="B2931" s="1">
        <v>45519</v>
      </c>
      <c r="C2931" t="s">
        <v>18</v>
      </c>
      <c r="D2931" s="2">
        <v>881.51</v>
      </c>
      <c r="E2931" s="2">
        <v>0</v>
      </c>
      <c r="F2931" t="s">
        <v>21</v>
      </c>
      <c r="G2931" t="s">
        <v>20</v>
      </c>
    </row>
    <row r="2932" spans="1:7" x14ac:dyDescent="0.35">
      <c r="A2932">
        <v>1155</v>
      </c>
      <c r="B2932" s="1">
        <v>45519</v>
      </c>
      <c r="C2932" t="s">
        <v>18</v>
      </c>
      <c r="D2932" s="2">
        <v>0</v>
      </c>
      <c r="E2932" s="2">
        <v>17968.47</v>
      </c>
      <c r="F2932" t="s">
        <v>8</v>
      </c>
      <c r="G2932" t="s">
        <v>9</v>
      </c>
    </row>
    <row r="2933" spans="1:7" x14ac:dyDescent="0.35">
      <c r="A2933">
        <v>1155</v>
      </c>
      <c r="B2933" s="1">
        <v>45519</v>
      </c>
      <c r="C2933" t="s">
        <v>18</v>
      </c>
      <c r="D2933" s="2">
        <v>0</v>
      </c>
      <c r="E2933" s="2">
        <v>4069.27</v>
      </c>
      <c r="F2933" t="s">
        <v>22</v>
      </c>
      <c r="G2933" t="s">
        <v>17</v>
      </c>
    </row>
    <row r="2934" spans="1:7" x14ac:dyDescent="0.35">
      <c r="A2934">
        <v>1155</v>
      </c>
      <c r="B2934" s="1">
        <v>45519</v>
      </c>
      <c r="C2934" t="s">
        <v>18</v>
      </c>
      <c r="D2934" s="2">
        <v>0</v>
      </c>
      <c r="E2934" s="2">
        <v>881.51</v>
      </c>
      <c r="F2934" t="s">
        <v>23</v>
      </c>
      <c r="G2934" t="s">
        <v>17</v>
      </c>
    </row>
    <row r="2935" spans="1:7" x14ac:dyDescent="0.35">
      <c r="A2935">
        <v>1156</v>
      </c>
      <c r="B2935" s="1">
        <v>45519</v>
      </c>
      <c r="C2935" t="s">
        <v>12</v>
      </c>
      <c r="D2935" s="2">
        <v>1743.69</v>
      </c>
      <c r="E2935" s="2">
        <v>0</v>
      </c>
      <c r="F2935" t="s">
        <v>13</v>
      </c>
      <c r="G2935" t="s">
        <v>9</v>
      </c>
    </row>
    <row r="2936" spans="1:7" x14ac:dyDescent="0.35">
      <c r="A2936">
        <v>1156</v>
      </c>
      <c r="B2936" s="1">
        <v>45519</v>
      </c>
      <c r="C2936" t="s">
        <v>12</v>
      </c>
      <c r="D2936" s="2">
        <v>0</v>
      </c>
      <c r="E2936" s="2">
        <v>1622.04</v>
      </c>
      <c r="F2936" t="s">
        <v>14</v>
      </c>
      <c r="G2936" t="s">
        <v>15</v>
      </c>
    </row>
    <row r="2937" spans="1:7" x14ac:dyDescent="0.35">
      <c r="A2937">
        <v>1156</v>
      </c>
      <c r="B2937" s="1">
        <v>45519</v>
      </c>
      <c r="C2937" t="s">
        <v>12</v>
      </c>
      <c r="D2937" s="2">
        <v>0</v>
      </c>
      <c r="E2937" s="2">
        <v>121.65</v>
      </c>
      <c r="F2937" t="s">
        <v>16</v>
      </c>
      <c r="G2937" t="s">
        <v>17</v>
      </c>
    </row>
    <row r="2938" spans="1:7" x14ac:dyDescent="0.35">
      <c r="A2938">
        <v>1157</v>
      </c>
      <c r="B2938" s="1">
        <v>45519</v>
      </c>
      <c r="C2938" t="s">
        <v>12</v>
      </c>
      <c r="D2938" s="2">
        <v>642.75</v>
      </c>
      <c r="E2938" s="2">
        <v>0</v>
      </c>
      <c r="F2938" t="s">
        <v>13</v>
      </c>
      <c r="G2938" t="s">
        <v>9</v>
      </c>
    </row>
    <row r="2939" spans="1:7" x14ac:dyDescent="0.35">
      <c r="A2939">
        <v>1157</v>
      </c>
      <c r="B2939" s="1">
        <v>45519</v>
      </c>
      <c r="C2939" t="s">
        <v>12</v>
      </c>
      <c r="D2939" s="2">
        <v>0</v>
      </c>
      <c r="E2939" s="2">
        <v>597.91</v>
      </c>
      <c r="F2939" t="s">
        <v>14</v>
      </c>
      <c r="G2939" t="s">
        <v>15</v>
      </c>
    </row>
    <row r="2940" spans="1:7" x14ac:dyDescent="0.35">
      <c r="A2940">
        <v>1157</v>
      </c>
      <c r="B2940" s="1">
        <v>45519</v>
      </c>
      <c r="C2940" t="s">
        <v>12</v>
      </c>
      <c r="D2940" s="2">
        <v>0</v>
      </c>
      <c r="E2940" s="2">
        <v>44.84</v>
      </c>
      <c r="F2940" t="s">
        <v>16</v>
      </c>
      <c r="G2940" t="s">
        <v>17</v>
      </c>
    </row>
    <row r="2941" spans="1:7" x14ac:dyDescent="0.35">
      <c r="A2941">
        <v>1158</v>
      </c>
      <c r="B2941" s="1">
        <v>45519</v>
      </c>
      <c r="C2941" t="s">
        <v>24</v>
      </c>
      <c r="D2941" s="2">
        <v>1709.78</v>
      </c>
      <c r="E2941" s="2">
        <v>0</v>
      </c>
      <c r="F2941" t="s">
        <v>8</v>
      </c>
      <c r="G2941" t="s">
        <v>9</v>
      </c>
    </row>
    <row r="2942" spans="1:7" x14ac:dyDescent="0.35">
      <c r="A2942">
        <v>1158</v>
      </c>
      <c r="B2942" s="1">
        <v>45519</v>
      </c>
      <c r="C2942" t="s">
        <v>24</v>
      </c>
      <c r="D2942" s="2">
        <v>0</v>
      </c>
      <c r="E2942" s="2">
        <v>1709.78</v>
      </c>
      <c r="F2942" t="s">
        <v>13</v>
      </c>
      <c r="G2942" t="s">
        <v>9</v>
      </c>
    </row>
    <row r="2943" spans="1:7" x14ac:dyDescent="0.35">
      <c r="A2943">
        <v>1159</v>
      </c>
      <c r="B2943" s="1">
        <v>45519</v>
      </c>
      <c r="C2943" t="s">
        <v>24</v>
      </c>
      <c r="D2943" s="2">
        <v>2078.56</v>
      </c>
      <c r="E2943" s="2">
        <v>0</v>
      </c>
      <c r="F2943" t="s">
        <v>8</v>
      </c>
      <c r="G2943" t="s">
        <v>9</v>
      </c>
    </row>
    <row r="2944" spans="1:7" x14ac:dyDescent="0.35">
      <c r="A2944">
        <v>1159</v>
      </c>
      <c r="B2944" s="1">
        <v>45519</v>
      </c>
      <c r="C2944" t="s">
        <v>24</v>
      </c>
      <c r="D2944" s="2">
        <v>0</v>
      </c>
      <c r="E2944" s="2">
        <v>2078.56</v>
      </c>
      <c r="F2944" t="s">
        <v>13</v>
      </c>
      <c r="G2944" t="s">
        <v>9</v>
      </c>
    </row>
    <row r="2945" spans="1:7" x14ac:dyDescent="0.35">
      <c r="A2945">
        <v>1160</v>
      </c>
      <c r="B2945" s="1">
        <v>45519</v>
      </c>
      <c r="C2945" t="s">
        <v>24</v>
      </c>
      <c r="D2945" s="2">
        <v>831.26</v>
      </c>
      <c r="E2945" s="2">
        <v>0</v>
      </c>
      <c r="F2945" t="s">
        <v>8</v>
      </c>
      <c r="G2945" t="s">
        <v>9</v>
      </c>
    </row>
    <row r="2946" spans="1:7" x14ac:dyDescent="0.35">
      <c r="A2946">
        <v>1160</v>
      </c>
      <c r="B2946" s="1">
        <v>45519</v>
      </c>
      <c r="C2946" t="s">
        <v>24</v>
      </c>
      <c r="D2946" s="2">
        <v>0</v>
      </c>
      <c r="E2946" s="2">
        <v>831.26</v>
      </c>
      <c r="F2946" t="s">
        <v>13</v>
      </c>
      <c r="G2946" t="s">
        <v>9</v>
      </c>
    </row>
    <row r="2947" spans="1:7" x14ac:dyDescent="0.35">
      <c r="A2947">
        <v>1161</v>
      </c>
      <c r="B2947" s="1">
        <v>45519</v>
      </c>
      <c r="C2947" t="s">
        <v>24</v>
      </c>
      <c r="D2947" s="2">
        <v>2229.94</v>
      </c>
      <c r="E2947" s="2">
        <v>0</v>
      </c>
      <c r="F2947" t="s">
        <v>8</v>
      </c>
      <c r="G2947" t="s">
        <v>9</v>
      </c>
    </row>
    <row r="2948" spans="1:7" x14ac:dyDescent="0.35">
      <c r="A2948">
        <v>1161</v>
      </c>
      <c r="B2948" s="1">
        <v>45519</v>
      </c>
      <c r="C2948" t="s">
        <v>24</v>
      </c>
      <c r="D2948" s="2">
        <v>0</v>
      </c>
      <c r="E2948" s="2">
        <v>2229.94</v>
      </c>
      <c r="F2948" t="s">
        <v>13</v>
      </c>
      <c r="G2948" t="s">
        <v>9</v>
      </c>
    </row>
    <row r="2949" spans="1:7" x14ac:dyDescent="0.35">
      <c r="A2949">
        <v>1162</v>
      </c>
      <c r="B2949" s="1">
        <v>45519</v>
      </c>
      <c r="C2949" t="s">
        <v>24</v>
      </c>
      <c r="D2949" s="2">
        <v>223.67</v>
      </c>
      <c r="E2949" s="2">
        <v>0</v>
      </c>
      <c r="F2949" t="s">
        <v>8</v>
      </c>
      <c r="G2949" t="s">
        <v>9</v>
      </c>
    </row>
    <row r="2950" spans="1:7" x14ac:dyDescent="0.35">
      <c r="A2950">
        <v>1162</v>
      </c>
      <c r="B2950" s="1">
        <v>45519</v>
      </c>
      <c r="C2950" t="s">
        <v>24</v>
      </c>
      <c r="D2950" s="2">
        <v>0</v>
      </c>
      <c r="E2950" s="2">
        <v>223.67</v>
      </c>
      <c r="F2950" t="s">
        <v>13</v>
      </c>
      <c r="G2950" t="s">
        <v>9</v>
      </c>
    </row>
    <row r="2951" spans="1:7" x14ac:dyDescent="0.35">
      <c r="A2951">
        <v>1163</v>
      </c>
      <c r="B2951" s="1">
        <v>45519</v>
      </c>
      <c r="C2951" t="s">
        <v>29</v>
      </c>
      <c r="D2951" s="2">
        <v>4812.46</v>
      </c>
      <c r="E2951" s="2">
        <v>0</v>
      </c>
      <c r="F2951" t="s">
        <v>28</v>
      </c>
      <c r="G2951" t="s">
        <v>17</v>
      </c>
    </row>
    <row r="2952" spans="1:7" x14ac:dyDescent="0.35">
      <c r="A2952">
        <v>1163</v>
      </c>
      <c r="B2952" s="1">
        <v>45519</v>
      </c>
      <c r="C2952" t="s">
        <v>29</v>
      </c>
      <c r="D2952" s="2">
        <v>0</v>
      </c>
      <c r="E2952" s="2">
        <v>4812.46</v>
      </c>
      <c r="F2952" t="s">
        <v>8</v>
      </c>
      <c r="G2952" t="s">
        <v>9</v>
      </c>
    </row>
    <row r="2953" spans="1:7" x14ac:dyDescent="0.35">
      <c r="A2953">
        <v>1164</v>
      </c>
      <c r="B2953" s="1">
        <v>45519</v>
      </c>
      <c r="C2953" t="s">
        <v>29</v>
      </c>
      <c r="D2953" s="2">
        <v>1159.8399999999999</v>
      </c>
      <c r="E2953" s="2">
        <v>0</v>
      </c>
      <c r="F2953" t="s">
        <v>28</v>
      </c>
      <c r="G2953" t="s">
        <v>17</v>
      </c>
    </row>
    <row r="2954" spans="1:7" x14ac:dyDescent="0.35">
      <c r="A2954">
        <v>1164</v>
      </c>
      <c r="B2954" s="1">
        <v>45519</v>
      </c>
      <c r="C2954" t="s">
        <v>29</v>
      </c>
      <c r="D2954" s="2">
        <v>0</v>
      </c>
      <c r="E2954" s="2">
        <v>1159.8399999999999</v>
      </c>
      <c r="F2954" t="s">
        <v>8</v>
      </c>
      <c r="G2954" t="s">
        <v>9</v>
      </c>
    </row>
    <row r="2955" spans="1:7" x14ac:dyDescent="0.35">
      <c r="A2955">
        <v>1165</v>
      </c>
      <c r="B2955" s="1">
        <v>45520</v>
      </c>
      <c r="C2955" t="s">
        <v>12</v>
      </c>
      <c r="D2955" s="2">
        <v>2671</v>
      </c>
      <c r="E2955" s="2">
        <v>0</v>
      </c>
      <c r="F2955" t="s">
        <v>13</v>
      </c>
      <c r="G2955" t="s">
        <v>9</v>
      </c>
    </row>
    <row r="2956" spans="1:7" x14ac:dyDescent="0.35">
      <c r="A2956">
        <v>1165</v>
      </c>
      <c r="B2956" s="1">
        <v>45520</v>
      </c>
      <c r="C2956" t="s">
        <v>12</v>
      </c>
      <c r="D2956" s="2">
        <v>0</v>
      </c>
      <c r="E2956" s="2">
        <v>2484.65</v>
      </c>
      <c r="F2956" t="s">
        <v>14</v>
      </c>
      <c r="G2956" t="s">
        <v>15</v>
      </c>
    </row>
    <row r="2957" spans="1:7" x14ac:dyDescent="0.35">
      <c r="A2957">
        <v>1165</v>
      </c>
      <c r="B2957" s="1">
        <v>45520</v>
      </c>
      <c r="C2957" t="s">
        <v>12</v>
      </c>
      <c r="D2957" s="2">
        <v>0</v>
      </c>
      <c r="E2957" s="2">
        <v>186.35</v>
      </c>
      <c r="F2957" t="s">
        <v>16</v>
      </c>
      <c r="G2957" t="s">
        <v>17</v>
      </c>
    </row>
    <row r="2958" spans="1:7" x14ac:dyDescent="0.35">
      <c r="A2958">
        <v>1166</v>
      </c>
      <c r="B2958" s="1">
        <v>45520</v>
      </c>
      <c r="C2958" t="s">
        <v>12</v>
      </c>
      <c r="D2958" s="2">
        <v>6843.6</v>
      </c>
      <c r="E2958" s="2">
        <v>0</v>
      </c>
      <c r="F2958" t="s">
        <v>13</v>
      </c>
      <c r="G2958" t="s">
        <v>9</v>
      </c>
    </row>
    <row r="2959" spans="1:7" x14ac:dyDescent="0.35">
      <c r="A2959">
        <v>1166</v>
      </c>
      <c r="B2959" s="1">
        <v>45520</v>
      </c>
      <c r="C2959" t="s">
        <v>12</v>
      </c>
      <c r="D2959" s="2">
        <v>0</v>
      </c>
      <c r="E2959" s="2">
        <v>6366.13</v>
      </c>
      <c r="F2959" t="s">
        <v>14</v>
      </c>
      <c r="G2959" t="s">
        <v>15</v>
      </c>
    </row>
    <row r="2960" spans="1:7" x14ac:dyDescent="0.35">
      <c r="A2960">
        <v>1166</v>
      </c>
      <c r="B2960" s="1">
        <v>45520</v>
      </c>
      <c r="C2960" t="s">
        <v>12</v>
      </c>
      <c r="D2960" s="2">
        <v>0</v>
      </c>
      <c r="E2960" s="2">
        <v>477.47</v>
      </c>
      <c r="F2960" t="s">
        <v>16</v>
      </c>
      <c r="G2960" t="s">
        <v>17</v>
      </c>
    </row>
    <row r="2961" spans="1:7" x14ac:dyDescent="0.35">
      <c r="A2961">
        <v>1167</v>
      </c>
      <c r="B2961" s="1">
        <v>45520</v>
      </c>
      <c r="C2961" t="s">
        <v>12</v>
      </c>
      <c r="D2961" s="2">
        <v>3129.81</v>
      </c>
      <c r="E2961" s="2">
        <v>0</v>
      </c>
      <c r="F2961" t="s">
        <v>13</v>
      </c>
      <c r="G2961" t="s">
        <v>9</v>
      </c>
    </row>
    <row r="2962" spans="1:7" x14ac:dyDescent="0.35">
      <c r="A2962">
        <v>1167</v>
      </c>
      <c r="B2962" s="1">
        <v>45520</v>
      </c>
      <c r="C2962" t="s">
        <v>12</v>
      </c>
      <c r="D2962" s="2">
        <v>0</v>
      </c>
      <c r="E2962" s="2">
        <v>2911.45</v>
      </c>
      <c r="F2962" t="s">
        <v>14</v>
      </c>
      <c r="G2962" t="s">
        <v>15</v>
      </c>
    </row>
    <row r="2963" spans="1:7" x14ac:dyDescent="0.35">
      <c r="A2963">
        <v>1167</v>
      </c>
      <c r="B2963" s="1">
        <v>45520</v>
      </c>
      <c r="C2963" t="s">
        <v>12</v>
      </c>
      <c r="D2963" s="2">
        <v>0</v>
      </c>
      <c r="E2963" s="2">
        <v>218.36</v>
      </c>
      <c r="F2963" t="s">
        <v>16</v>
      </c>
      <c r="G2963" t="s">
        <v>17</v>
      </c>
    </row>
    <row r="2964" spans="1:7" x14ac:dyDescent="0.35">
      <c r="A2964">
        <v>1168</v>
      </c>
      <c r="B2964" s="1">
        <v>45520</v>
      </c>
      <c r="C2964" t="s">
        <v>24</v>
      </c>
      <c r="D2964" s="2">
        <v>6952.53</v>
      </c>
      <c r="E2964" s="2">
        <v>0</v>
      </c>
      <c r="F2964" t="s">
        <v>8</v>
      </c>
      <c r="G2964" t="s">
        <v>9</v>
      </c>
    </row>
    <row r="2965" spans="1:7" x14ac:dyDescent="0.35">
      <c r="A2965">
        <v>1168</v>
      </c>
      <c r="B2965" s="1">
        <v>45520</v>
      </c>
      <c r="C2965" t="s">
        <v>24</v>
      </c>
      <c r="D2965" s="2">
        <v>0</v>
      </c>
      <c r="E2965" s="2">
        <v>6952.53</v>
      </c>
      <c r="F2965" t="s">
        <v>13</v>
      </c>
      <c r="G2965" t="s">
        <v>9</v>
      </c>
    </row>
    <row r="2966" spans="1:7" x14ac:dyDescent="0.35">
      <c r="A2966">
        <v>1169</v>
      </c>
      <c r="B2966" s="1">
        <v>45520</v>
      </c>
      <c r="C2966" t="s">
        <v>24</v>
      </c>
      <c r="D2966" s="2">
        <v>4674.76</v>
      </c>
      <c r="E2966" s="2">
        <v>0</v>
      </c>
      <c r="F2966" t="s">
        <v>8</v>
      </c>
      <c r="G2966" t="s">
        <v>9</v>
      </c>
    </row>
    <row r="2967" spans="1:7" x14ac:dyDescent="0.35">
      <c r="A2967">
        <v>1169</v>
      </c>
      <c r="B2967" s="1">
        <v>45520</v>
      </c>
      <c r="C2967" t="s">
        <v>24</v>
      </c>
      <c r="D2967" s="2">
        <v>0</v>
      </c>
      <c r="E2967" s="2">
        <v>4674.76</v>
      </c>
      <c r="F2967" t="s">
        <v>13</v>
      </c>
      <c r="G2967" t="s">
        <v>9</v>
      </c>
    </row>
    <row r="2968" spans="1:7" x14ac:dyDescent="0.35">
      <c r="A2968">
        <v>1170</v>
      </c>
      <c r="B2968" s="1">
        <v>45520</v>
      </c>
      <c r="C2968" t="s">
        <v>25</v>
      </c>
      <c r="D2968" s="2">
        <v>187.44</v>
      </c>
      <c r="E2968" s="2">
        <v>0</v>
      </c>
      <c r="F2968" t="s">
        <v>26</v>
      </c>
      <c r="G2968" t="s">
        <v>20</v>
      </c>
    </row>
    <row r="2969" spans="1:7" x14ac:dyDescent="0.35">
      <c r="A2969">
        <v>1170</v>
      </c>
      <c r="B2969" s="1">
        <v>45520</v>
      </c>
      <c r="C2969" t="s">
        <v>25</v>
      </c>
      <c r="D2969" s="2">
        <v>14.06</v>
      </c>
      <c r="E2969" s="2">
        <v>0</v>
      </c>
      <c r="F2969" t="s">
        <v>27</v>
      </c>
      <c r="G2969" t="s">
        <v>9</v>
      </c>
    </row>
    <row r="2970" spans="1:7" x14ac:dyDescent="0.35">
      <c r="A2970">
        <v>1170</v>
      </c>
      <c r="B2970" s="1">
        <v>45520</v>
      </c>
      <c r="C2970" t="s">
        <v>25</v>
      </c>
      <c r="D2970" s="2">
        <v>0</v>
      </c>
      <c r="E2970" s="2">
        <v>201.5</v>
      </c>
      <c r="F2970" t="s">
        <v>28</v>
      </c>
      <c r="G2970" t="s">
        <v>17</v>
      </c>
    </row>
    <row r="2971" spans="1:7" x14ac:dyDescent="0.35">
      <c r="A2971">
        <v>1171</v>
      </c>
      <c r="B2971" s="1">
        <v>45520</v>
      </c>
      <c r="C2971" t="s">
        <v>29</v>
      </c>
      <c r="D2971" s="2">
        <v>2635.36</v>
      </c>
      <c r="E2971" s="2">
        <v>0</v>
      </c>
      <c r="F2971" t="s">
        <v>28</v>
      </c>
      <c r="G2971" t="s">
        <v>17</v>
      </c>
    </row>
    <row r="2972" spans="1:7" x14ac:dyDescent="0.35">
      <c r="A2972">
        <v>1171</v>
      </c>
      <c r="B2972" s="1">
        <v>45520</v>
      </c>
      <c r="C2972" t="s">
        <v>29</v>
      </c>
      <c r="D2972" s="2">
        <v>0</v>
      </c>
      <c r="E2972" s="2">
        <v>2635.36</v>
      </c>
      <c r="F2972" t="s">
        <v>8</v>
      </c>
      <c r="G2972" t="s">
        <v>9</v>
      </c>
    </row>
    <row r="2973" spans="1:7" x14ac:dyDescent="0.35">
      <c r="A2973">
        <v>1172</v>
      </c>
      <c r="B2973" s="1">
        <v>45523</v>
      </c>
      <c r="C2973" t="s">
        <v>12</v>
      </c>
      <c r="D2973" s="2">
        <v>1520.17</v>
      </c>
      <c r="E2973" s="2">
        <v>0</v>
      </c>
      <c r="F2973" t="s">
        <v>13</v>
      </c>
      <c r="G2973" t="s">
        <v>9</v>
      </c>
    </row>
    <row r="2974" spans="1:7" x14ac:dyDescent="0.35">
      <c r="A2974">
        <v>1172</v>
      </c>
      <c r="B2974" s="1">
        <v>45523</v>
      </c>
      <c r="C2974" t="s">
        <v>12</v>
      </c>
      <c r="D2974" s="2">
        <v>0</v>
      </c>
      <c r="E2974" s="2">
        <v>1414.11</v>
      </c>
      <c r="F2974" t="s">
        <v>14</v>
      </c>
      <c r="G2974" t="s">
        <v>15</v>
      </c>
    </row>
    <row r="2975" spans="1:7" x14ac:dyDescent="0.35">
      <c r="A2975">
        <v>1172</v>
      </c>
      <c r="B2975" s="1">
        <v>45523</v>
      </c>
      <c r="C2975" t="s">
        <v>12</v>
      </c>
      <c r="D2975" s="2">
        <v>0</v>
      </c>
      <c r="E2975" s="2">
        <v>106.06</v>
      </c>
      <c r="F2975" t="s">
        <v>16</v>
      </c>
      <c r="G2975" t="s">
        <v>17</v>
      </c>
    </row>
    <row r="2976" spans="1:7" x14ac:dyDescent="0.35">
      <c r="A2976">
        <v>1173</v>
      </c>
      <c r="B2976" s="1">
        <v>45523</v>
      </c>
      <c r="C2976" t="s">
        <v>12</v>
      </c>
      <c r="D2976" s="2">
        <v>1398.88</v>
      </c>
      <c r="E2976" s="2">
        <v>0</v>
      </c>
      <c r="F2976" t="s">
        <v>13</v>
      </c>
      <c r="G2976" t="s">
        <v>9</v>
      </c>
    </row>
    <row r="2977" spans="1:7" x14ac:dyDescent="0.35">
      <c r="A2977">
        <v>1173</v>
      </c>
      <c r="B2977" s="1">
        <v>45523</v>
      </c>
      <c r="C2977" t="s">
        <v>12</v>
      </c>
      <c r="D2977" s="2">
        <v>0</v>
      </c>
      <c r="E2977" s="2">
        <v>1301.28</v>
      </c>
      <c r="F2977" t="s">
        <v>14</v>
      </c>
      <c r="G2977" t="s">
        <v>15</v>
      </c>
    </row>
    <row r="2978" spans="1:7" x14ac:dyDescent="0.35">
      <c r="A2978">
        <v>1173</v>
      </c>
      <c r="B2978" s="1">
        <v>45523</v>
      </c>
      <c r="C2978" t="s">
        <v>12</v>
      </c>
      <c r="D2978" s="2">
        <v>0</v>
      </c>
      <c r="E2978" s="2">
        <v>97.6</v>
      </c>
      <c r="F2978" t="s">
        <v>16</v>
      </c>
      <c r="G2978" t="s">
        <v>17</v>
      </c>
    </row>
    <row r="2979" spans="1:7" x14ac:dyDescent="0.35">
      <c r="A2979">
        <v>1174</v>
      </c>
      <c r="B2979" s="1">
        <v>45523</v>
      </c>
      <c r="C2979" t="s">
        <v>12</v>
      </c>
      <c r="D2979" s="2">
        <v>3164.74</v>
      </c>
      <c r="E2979" s="2">
        <v>0</v>
      </c>
      <c r="F2979" t="s">
        <v>13</v>
      </c>
      <c r="G2979" t="s">
        <v>9</v>
      </c>
    </row>
    <row r="2980" spans="1:7" x14ac:dyDescent="0.35">
      <c r="A2980">
        <v>1174</v>
      </c>
      <c r="B2980" s="1">
        <v>45523</v>
      </c>
      <c r="C2980" t="s">
        <v>12</v>
      </c>
      <c r="D2980" s="2">
        <v>0</v>
      </c>
      <c r="E2980" s="2">
        <v>2943.94</v>
      </c>
      <c r="F2980" t="s">
        <v>14</v>
      </c>
      <c r="G2980" t="s">
        <v>15</v>
      </c>
    </row>
    <row r="2981" spans="1:7" x14ac:dyDescent="0.35">
      <c r="A2981">
        <v>1174</v>
      </c>
      <c r="B2981" s="1">
        <v>45523</v>
      </c>
      <c r="C2981" t="s">
        <v>12</v>
      </c>
      <c r="D2981" s="2">
        <v>0</v>
      </c>
      <c r="E2981" s="2">
        <v>220.8</v>
      </c>
      <c r="F2981" t="s">
        <v>16</v>
      </c>
      <c r="G2981" t="s">
        <v>17</v>
      </c>
    </row>
    <row r="2982" spans="1:7" x14ac:dyDescent="0.35">
      <c r="A2982">
        <v>1175</v>
      </c>
      <c r="B2982" s="1">
        <v>45523</v>
      </c>
      <c r="C2982" t="s">
        <v>12</v>
      </c>
      <c r="D2982" s="2">
        <v>4031.55</v>
      </c>
      <c r="E2982" s="2">
        <v>0</v>
      </c>
      <c r="F2982" t="s">
        <v>13</v>
      </c>
      <c r="G2982" t="s">
        <v>9</v>
      </c>
    </row>
    <row r="2983" spans="1:7" x14ac:dyDescent="0.35">
      <c r="A2983">
        <v>1175</v>
      </c>
      <c r="B2983" s="1">
        <v>45523</v>
      </c>
      <c r="C2983" t="s">
        <v>12</v>
      </c>
      <c r="D2983" s="2">
        <v>0</v>
      </c>
      <c r="E2983" s="2">
        <v>3750.28</v>
      </c>
      <c r="F2983" t="s">
        <v>14</v>
      </c>
      <c r="G2983" t="s">
        <v>15</v>
      </c>
    </row>
    <row r="2984" spans="1:7" x14ac:dyDescent="0.35">
      <c r="A2984">
        <v>1175</v>
      </c>
      <c r="B2984" s="1">
        <v>45523</v>
      </c>
      <c r="C2984" t="s">
        <v>12</v>
      </c>
      <c r="D2984" s="2">
        <v>0</v>
      </c>
      <c r="E2984" s="2">
        <v>281.27</v>
      </c>
      <c r="F2984" t="s">
        <v>16</v>
      </c>
      <c r="G2984" t="s">
        <v>17</v>
      </c>
    </row>
    <row r="2985" spans="1:7" x14ac:dyDescent="0.35">
      <c r="A2985">
        <v>1176</v>
      </c>
      <c r="B2985" s="1">
        <v>45523</v>
      </c>
      <c r="C2985" t="s">
        <v>24</v>
      </c>
      <c r="D2985" s="2">
        <v>1809.97</v>
      </c>
      <c r="E2985" s="2">
        <v>0</v>
      </c>
      <c r="F2985" t="s">
        <v>8</v>
      </c>
      <c r="G2985" t="s">
        <v>9</v>
      </c>
    </row>
    <row r="2986" spans="1:7" x14ac:dyDescent="0.35">
      <c r="A2986">
        <v>1176</v>
      </c>
      <c r="B2986" s="1">
        <v>45523</v>
      </c>
      <c r="C2986" t="s">
        <v>24</v>
      </c>
      <c r="D2986" s="2">
        <v>0</v>
      </c>
      <c r="E2986" s="2">
        <v>1809.97</v>
      </c>
      <c r="F2986" t="s">
        <v>13</v>
      </c>
      <c r="G2986" t="s">
        <v>9</v>
      </c>
    </row>
    <row r="2987" spans="1:7" x14ac:dyDescent="0.35">
      <c r="A2987">
        <v>1177</v>
      </c>
      <c r="B2987" s="1">
        <v>45523</v>
      </c>
      <c r="C2987" t="s">
        <v>25</v>
      </c>
      <c r="D2987" s="2">
        <v>1643.22</v>
      </c>
      <c r="E2987" s="2">
        <v>0</v>
      </c>
      <c r="F2987" t="s">
        <v>26</v>
      </c>
      <c r="G2987" t="s">
        <v>20</v>
      </c>
    </row>
    <row r="2988" spans="1:7" x14ac:dyDescent="0.35">
      <c r="A2988">
        <v>1177</v>
      </c>
      <c r="B2988" s="1">
        <v>45523</v>
      </c>
      <c r="C2988" t="s">
        <v>25</v>
      </c>
      <c r="D2988" s="2">
        <v>123.24</v>
      </c>
      <c r="E2988" s="2">
        <v>0</v>
      </c>
      <c r="F2988" t="s">
        <v>27</v>
      </c>
      <c r="G2988" t="s">
        <v>9</v>
      </c>
    </row>
    <row r="2989" spans="1:7" x14ac:dyDescent="0.35">
      <c r="A2989">
        <v>1177</v>
      </c>
      <c r="B2989" s="1">
        <v>45523</v>
      </c>
      <c r="C2989" t="s">
        <v>25</v>
      </c>
      <c r="D2989" s="2">
        <v>0</v>
      </c>
      <c r="E2989" s="2">
        <v>1766.46</v>
      </c>
      <c r="F2989" t="s">
        <v>28</v>
      </c>
      <c r="G2989" t="s">
        <v>17</v>
      </c>
    </row>
    <row r="2990" spans="1:7" x14ac:dyDescent="0.35">
      <c r="A2990">
        <v>1178</v>
      </c>
      <c r="B2990" s="1">
        <v>45523</v>
      </c>
      <c r="C2990" t="s">
        <v>29</v>
      </c>
      <c r="D2990" s="2">
        <v>862.91</v>
      </c>
      <c r="E2990" s="2">
        <v>0</v>
      </c>
      <c r="F2990" t="s">
        <v>28</v>
      </c>
      <c r="G2990" t="s">
        <v>17</v>
      </c>
    </row>
    <row r="2991" spans="1:7" x14ac:dyDescent="0.35">
      <c r="A2991">
        <v>1178</v>
      </c>
      <c r="B2991" s="1">
        <v>45523</v>
      </c>
      <c r="C2991" t="s">
        <v>29</v>
      </c>
      <c r="D2991" s="2">
        <v>0</v>
      </c>
      <c r="E2991" s="2">
        <v>862.91</v>
      </c>
      <c r="F2991" t="s">
        <v>8</v>
      </c>
      <c r="G2991" t="s">
        <v>9</v>
      </c>
    </row>
    <row r="2992" spans="1:7" x14ac:dyDescent="0.35">
      <c r="A2992">
        <v>1179</v>
      </c>
      <c r="B2992" s="1">
        <v>45523</v>
      </c>
      <c r="C2992" t="s">
        <v>29</v>
      </c>
      <c r="D2992" s="2">
        <v>2093.2800000000002</v>
      </c>
      <c r="E2992" s="2">
        <v>0</v>
      </c>
      <c r="F2992" t="s">
        <v>28</v>
      </c>
      <c r="G2992" t="s">
        <v>17</v>
      </c>
    </row>
    <row r="2993" spans="1:7" x14ac:dyDescent="0.35">
      <c r="A2993">
        <v>1179</v>
      </c>
      <c r="B2993" s="1">
        <v>45523</v>
      </c>
      <c r="C2993" t="s">
        <v>29</v>
      </c>
      <c r="D2993" s="2">
        <v>0</v>
      </c>
      <c r="E2993" s="2">
        <v>2093.2800000000002</v>
      </c>
      <c r="F2993" t="s">
        <v>8</v>
      </c>
      <c r="G2993" t="s">
        <v>9</v>
      </c>
    </row>
    <row r="2994" spans="1:7" x14ac:dyDescent="0.35">
      <c r="A2994">
        <v>1180</v>
      </c>
      <c r="B2994" s="1">
        <v>45523</v>
      </c>
      <c r="C2994" t="s">
        <v>29</v>
      </c>
      <c r="D2994" s="2">
        <v>1794.11</v>
      </c>
      <c r="E2994" s="2">
        <v>0</v>
      </c>
      <c r="F2994" t="s">
        <v>28</v>
      </c>
      <c r="G2994" t="s">
        <v>17</v>
      </c>
    </row>
    <row r="2995" spans="1:7" x14ac:dyDescent="0.35">
      <c r="A2995">
        <v>1180</v>
      </c>
      <c r="B2995" s="1">
        <v>45523</v>
      </c>
      <c r="C2995" t="s">
        <v>29</v>
      </c>
      <c r="D2995" s="2">
        <v>0</v>
      </c>
      <c r="E2995" s="2">
        <v>1794.11</v>
      </c>
      <c r="F2995" t="s">
        <v>8</v>
      </c>
      <c r="G2995" t="s">
        <v>9</v>
      </c>
    </row>
    <row r="2996" spans="1:7" x14ac:dyDescent="0.35">
      <c r="A2996">
        <v>1181</v>
      </c>
      <c r="B2996" s="1">
        <v>45524</v>
      </c>
      <c r="C2996" t="s">
        <v>12</v>
      </c>
      <c r="D2996" s="2">
        <v>253.7</v>
      </c>
      <c r="E2996" s="2">
        <v>0</v>
      </c>
      <c r="F2996" t="s">
        <v>13</v>
      </c>
      <c r="G2996" t="s">
        <v>9</v>
      </c>
    </row>
    <row r="2997" spans="1:7" x14ac:dyDescent="0.35">
      <c r="A2997">
        <v>1181</v>
      </c>
      <c r="B2997" s="1">
        <v>45524</v>
      </c>
      <c r="C2997" t="s">
        <v>12</v>
      </c>
      <c r="D2997" s="2">
        <v>0</v>
      </c>
      <c r="E2997" s="2">
        <v>236</v>
      </c>
      <c r="F2997" t="s">
        <v>14</v>
      </c>
      <c r="G2997" t="s">
        <v>15</v>
      </c>
    </row>
    <row r="2998" spans="1:7" x14ac:dyDescent="0.35">
      <c r="A2998">
        <v>1181</v>
      </c>
      <c r="B2998" s="1">
        <v>45524</v>
      </c>
      <c r="C2998" t="s">
        <v>12</v>
      </c>
      <c r="D2998" s="2">
        <v>0</v>
      </c>
      <c r="E2998" s="2">
        <v>17.7</v>
      </c>
      <c r="F2998" t="s">
        <v>16</v>
      </c>
      <c r="G2998" t="s">
        <v>17</v>
      </c>
    </row>
    <row r="2999" spans="1:7" x14ac:dyDescent="0.35">
      <c r="A2999">
        <v>1182</v>
      </c>
      <c r="B2999" s="1">
        <v>45524</v>
      </c>
      <c r="C2999" t="s">
        <v>12</v>
      </c>
      <c r="D2999" s="2">
        <v>438.12</v>
      </c>
      <c r="E2999" s="2">
        <v>0</v>
      </c>
      <c r="F2999" t="s">
        <v>13</v>
      </c>
      <c r="G2999" t="s">
        <v>9</v>
      </c>
    </row>
    <row r="3000" spans="1:7" x14ac:dyDescent="0.35">
      <c r="A3000">
        <v>1182</v>
      </c>
      <c r="B3000" s="1">
        <v>45524</v>
      </c>
      <c r="C3000" t="s">
        <v>12</v>
      </c>
      <c r="D3000" s="2">
        <v>0</v>
      </c>
      <c r="E3000" s="2">
        <v>407.55</v>
      </c>
      <c r="F3000" t="s">
        <v>14</v>
      </c>
      <c r="G3000" t="s">
        <v>15</v>
      </c>
    </row>
    <row r="3001" spans="1:7" x14ac:dyDescent="0.35">
      <c r="A3001">
        <v>1182</v>
      </c>
      <c r="B3001" s="1">
        <v>45524</v>
      </c>
      <c r="C3001" t="s">
        <v>12</v>
      </c>
      <c r="D3001" s="2">
        <v>0</v>
      </c>
      <c r="E3001" s="2">
        <v>30.57</v>
      </c>
      <c r="F3001" t="s">
        <v>16</v>
      </c>
      <c r="G3001" t="s">
        <v>17</v>
      </c>
    </row>
    <row r="3002" spans="1:7" x14ac:dyDescent="0.35">
      <c r="A3002">
        <v>1183</v>
      </c>
      <c r="B3002" s="1">
        <v>45524</v>
      </c>
      <c r="C3002" t="s">
        <v>12</v>
      </c>
      <c r="D3002" s="2">
        <v>1498.63</v>
      </c>
      <c r="E3002" s="2">
        <v>0</v>
      </c>
      <c r="F3002" t="s">
        <v>13</v>
      </c>
      <c r="G3002" t="s">
        <v>9</v>
      </c>
    </row>
    <row r="3003" spans="1:7" x14ac:dyDescent="0.35">
      <c r="A3003">
        <v>1183</v>
      </c>
      <c r="B3003" s="1">
        <v>45524</v>
      </c>
      <c r="C3003" t="s">
        <v>12</v>
      </c>
      <c r="D3003" s="2">
        <v>0</v>
      </c>
      <c r="E3003" s="2">
        <v>1394.07</v>
      </c>
      <c r="F3003" t="s">
        <v>14</v>
      </c>
      <c r="G3003" t="s">
        <v>15</v>
      </c>
    </row>
    <row r="3004" spans="1:7" x14ac:dyDescent="0.35">
      <c r="A3004">
        <v>1183</v>
      </c>
      <c r="B3004" s="1">
        <v>45524</v>
      </c>
      <c r="C3004" t="s">
        <v>12</v>
      </c>
      <c r="D3004" s="2">
        <v>0</v>
      </c>
      <c r="E3004" s="2">
        <v>104.56</v>
      </c>
      <c r="F3004" t="s">
        <v>16</v>
      </c>
      <c r="G3004" t="s">
        <v>17</v>
      </c>
    </row>
    <row r="3005" spans="1:7" x14ac:dyDescent="0.35">
      <c r="A3005">
        <v>1184</v>
      </c>
      <c r="B3005" s="1">
        <v>45524</v>
      </c>
      <c r="C3005" t="s">
        <v>12</v>
      </c>
      <c r="D3005" s="2">
        <v>6750.03</v>
      </c>
      <c r="E3005" s="2">
        <v>0</v>
      </c>
      <c r="F3005" t="s">
        <v>13</v>
      </c>
      <c r="G3005" t="s">
        <v>9</v>
      </c>
    </row>
    <row r="3006" spans="1:7" x14ac:dyDescent="0.35">
      <c r="A3006">
        <v>1184</v>
      </c>
      <c r="B3006" s="1">
        <v>45524</v>
      </c>
      <c r="C3006" t="s">
        <v>12</v>
      </c>
      <c r="D3006" s="2">
        <v>0</v>
      </c>
      <c r="E3006" s="2">
        <v>6279.1</v>
      </c>
      <c r="F3006" t="s">
        <v>14</v>
      </c>
      <c r="G3006" t="s">
        <v>15</v>
      </c>
    </row>
    <row r="3007" spans="1:7" x14ac:dyDescent="0.35">
      <c r="A3007">
        <v>1184</v>
      </c>
      <c r="B3007" s="1">
        <v>45524</v>
      </c>
      <c r="C3007" t="s">
        <v>12</v>
      </c>
      <c r="D3007" s="2">
        <v>0</v>
      </c>
      <c r="E3007" s="2">
        <v>470.93</v>
      </c>
      <c r="F3007" t="s">
        <v>16</v>
      </c>
      <c r="G3007" t="s">
        <v>17</v>
      </c>
    </row>
    <row r="3008" spans="1:7" x14ac:dyDescent="0.35">
      <c r="A3008">
        <v>1185</v>
      </c>
      <c r="B3008" s="1">
        <v>45524</v>
      </c>
      <c r="C3008" t="s">
        <v>24</v>
      </c>
      <c r="D3008" s="2">
        <v>1812.67</v>
      </c>
      <c r="E3008" s="2">
        <v>0</v>
      </c>
      <c r="F3008" t="s">
        <v>8</v>
      </c>
      <c r="G3008" t="s">
        <v>9</v>
      </c>
    </row>
    <row r="3009" spans="1:7" x14ac:dyDescent="0.35">
      <c r="A3009">
        <v>1185</v>
      </c>
      <c r="B3009" s="1">
        <v>45524</v>
      </c>
      <c r="C3009" t="s">
        <v>24</v>
      </c>
      <c r="D3009" s="2">
        <v>0</v>
      </c>
      <c r="E3009" s="2">
        <v>1812.67</v>
      </c>
      <c r="F3009" t="s">
        <v>13</v>
      </c>
      <c r="G3009" t="s">
        <v>9</v>
      </c>
    </row>
    <row r="3010" spans="1:7" x14ac:dyDescent="0.35">
      <c r="A3010">
        <v>1186</v>
      </c>
      <c r="B3010" s="1">
        <v>45524</v>
      </c>
      <c r="C3010" t="s">
        <v>24</v>
      </c>
      <c r="D3010" s="2">
        <v>70.14</v>
      </c>
      <c r="E3010" s="2">
        <v>0</v>
      </c>
      <c r="F3010" t="s">
        <v>8</v>
      </c>
      <c r="G3010" t="s">
        <v>9</v>
      </c>
    </row>
    <row r="3011" spans="1:7" x14ac:dyDescent="0.35">
      <c r="A3011">
        <v>1186</v>
      </c>
      <c r="B3011" s="1">
        <v>45524</v>
      </c>
      <c r="C3011" t="s">
        <v>24</v>
      </c>
      <c r="D3011" s="2">
        <v>0</v>
      </c>
      <c r="E3011" s="2">
        <v>70.14</v>
      </c>
      <c r="F3011" t="s">
        <v>13</v>
      </c>
      <c r="G3011" t="s">
        <v>9</v>
      </c>
    </row>
    <row r="3012" spans="1:7" x14ac:dyDescent="0.35">
      <c r="A3012">
        <v>1187</v>
      </c>
      <c r="B3012" s="1">
        <v>45524</v>
      </c>
      <c r="C3012" t="s">
        <v>24</v>
      </c>
      <c r="D3012" s="2">
        <v>3164.74</v>
      </c>
      <c r="E3012" s="2">
        <v>0</v>
      </c>
      <c r="F3012" t="s">
        <v>8</v>
      </c>
      <c r="G3012" t="s">
        <v>9</v>
      </c>
    </row>
    <row r="3013" spans="1:7" x14ac:dyDescent="0.35">
      <c r="A3013">
        <v>1187</v>
      </c>
      <c r="B3013" s="1">
        <v>45524</v>
      </c>
      <c r="C3013" t="s">
        <v>24</v>
      </c>
      <c r="D3013" s="2">
        <v>0</v>
      </c>
      <c r="E3013" s="2">
        <v>3164.74</v>
      </c>
      <c r="F3013" t="s">
        <v>13</v>
      </c>
      <c r="G3013" t="s">
        <v>9</v>
      </c>
    </row>
    <row r="3014" spans="1:7" x14ac:dyDescent="0.35">
      <c r="A3014">
        <v>1188</v>
      </c>
      <c r="B3014" s="1">
        <v>45524</v>
      </c>
      <c r="C3014" t="s">
        <v>24</v>
      </c>
      <c r="D3014" s="2">
        <v>1498.63</v>
      </c>
      <c r="E3014" s="2">
        <v>0</v>
      </c>
      <c r="F3014" t="s">
        <v>8</v>
      </c>
      <c r="G3014" t="s">
        <v>9</v>
      </c>
    </row>
    <row r="3015" spans="1:7" x14ac:dyDescent="0.35">
      <c r="A3015">
        <v>1188</v>
      </c>
      <c r="B3015" s="1">
        <v>45524</v>
      </c>
      <c r="C3015" t="s">
        <v>24</v>
      </c>
      <c r="D3015" s="2">
        <v>0</v>
      </c>
      <c r="E3015" s="2">
        <v>1498.63</v>
      </c>
      <c r="F3015" t="s">
        <v>13</v>
      </c>
      <c r="G3015" t="s">
        <v>9</v>
      </c>
    </row>
    <row r="3016" spans="1:7" x14ac:dyDescent="0.35">
      <c r="A3016">
        <v>1189</v>
      </c>
      <c r="B3016" s="1">
        <v>45524</v>
      </c>
      <c r="C3016" t="s">
        <v>25</v>
      </c>
      <c r="D3016" s="2">
        <v>1213.5999999999999</v>
      </c>
      <c r="E3016" s="2">
        <v>0</v>
      </c>
      <c r="F3016" t="s">
        <v>26</v>
      </c>
      <c r="G3016" t="s">
        <v>20</v>
      </c>
    </row>
    <row r="3017" spans="1:7" x14ac:dyDescent="0.35">
      <c r="A3017">
        <v>1189</v>
      </c>
      <c r="B3017" s="1">
        <v>45524</v>
      </c>
      <c r="C3017" t="s">
        <v>25</v>
      </c>
      <c r="D3017" s="2">
        <v>91.02</v>
      </c>
      <c r="E3017" s="2">
        <v>0</v>
      </c>
      <c r="F3017" t="s">
        <v>27</v>
      </c>
      <c r="G3017" t="s">
        <v>9</v>
      </c>
    </row>
    <row r="3018" spans="1:7" x14ac:dyDescent="0.35">
      <c r="A3018">
        <v>1189</v>
      </c>
      <c r="B3018" s="1">
        <v>45524</v>
      </c>
      <c r="C3018" t="s">
        <v>25</v>
      </c>
      <c r="D3018" s="2">
        <v>0</v>
      </c>
      <c r="E3018" s="2">
        <v>1304.6199999999999</v>
      </c>
      <c r="F3018" t="s">
        <v>28</v>
      </c>
      <c r="G3018" t="s">
        <v>17</v>
      </c>
    </row>
    <row r="3019" spans="1:7" x14ac:dyDescent="0.35">
      <c r="A3019">
        <v>1190</v>
      </c>
      <c r="B3019" s="1">
        <v>45524</v>
      </c>
      <c r="C3019" t="s">
        <v>25</v>
      </c>
      <c r="D3019" s="2">
        <v>1800.04</v>
      </c>
      <c r="E3019" s="2">
        <v>0</v>
      </c>
      <c r="F3019" t="s">
        <v>26</v>
      </c>
      <c r="G3019" t="s">
        <v>20</v>
      </c>
    </row>
    <row r="3020" spans="1:7" x14ac:dyDescent="0.35">
      <c r="A3020">
        <v>1190</v>
      </c>
      <c r="B3020" s="1">
        <v>45524</v>
      </c>
      <c r="C3020" t="s">
        <v>25</v>
      </c>
      <c r="D3020" s="2">
        <v>135</v>
      </c>
      <c r="E3020" s="2">
        <v>0</v>
      </c>
      <c r="F3020" t="s">
        <v>27</v>
      </c>
      <c r="G3020" t="s">
        <v>9</v>
      </c>
    </row>
    <row r="3021" spans="1:7" x14ac:dyDescent="0.35">
      <c r="A3021">
        <v>1190</v>
      </c>
      <c r="B3021" s="1">
        <v>45524</v>
      </c>
      <c r="C3021" t="s">
        <v>25</v>
      </c>
      <c r="D3021" s="2">
        <v>0</v>
      </c>
      <c r="E3021" s="2">
        <v>1935.04</v>
      </c>
      <c r="F3021" t="s">
        <v>28</v>
      </c>
      <c r="G3021" t="s">
        <v>17</v>
      </c>
    </row>
    <row r="3022" spans="1:7" x14ac:dyDescent="0.35">
      <c r="A3022">
        <v>1191</v>
      </c>
      <c r="B3022" s="1">
        <v>45525</v>
      </c>
      <c r="C3022" t="s">
        <v>12</v>
      </c>
      <c r="D3022" s="2">
        <v>2006.36</v>
      </c>
      <c r="E3022" s="2">
        <v>0</v>
      </c>
      <c r="F3022" t="s">
        <v>13</v>
      </c>
      <c r="G3022" t="s">
        <v>9</v>
      </c>
    </row>
    <row r="3023" spans="1:7" x14ac:dyDescent="0.35">
      <c r="A3023">
        <v>1191</v>
      </c>
      <c r="B3023" s="1">
        <v>45525</v>
      </c>
      <c r="C3023" t="s">
        <v>12</v>
      </c>
      <c r="D3023" s="2">
        <v>0</v>
      </c>
      <c r="E3023" s="2">
        <v>1866.39</v>
      </c>
      <c r="F3023" t="s">
        <v>14</v>
      </c>
      <c r="G3023" t="s">
        <v>15</v>
      </c>
    </row>
    <row r="3024" spans="1:7" x14ac:dyDescent="0.35">
      <c r="A3024">
        <v>1191</v>
      </c>
      <c r="B3024" s="1">
        <v>45525</v>
      </c>
      <c r="C3024" t="s">
        <v>12</v>
      </c>
      <c r="D3024" s="2">
        <v>0</v>
      </c>
      <c r="E3024" s="2">
        <v>139.97</v>
      </c>
      <c r="F3024" t="s">
        <v>16</v>
      </c>
      <c r="G3024" t="s">
        <v>17</v>
      </c>
    </row>
    <row r="3025" spans="1:7" x14ac:dyDescent="0.35">
      <c r="A3025">
        <v>1192</v>
      </c>
      <c r="B3025" s="1">
        <v>45525</v>
      </c>
      <c r="C3025" t="s">
        <v>12</v>
      </c>
      <c r="D3025" s="2">
        <v>2703.98</v>
      </c>
      <c r="E3025" s="2">
        <v>0</v>
      </c>
      <c r="F3025" t="s">
        <v>13</v>
      </c>
      <c r="G3025" t="s">
        <v>9</v>
      </c>
    </row>
    <row r="3026" spans="1:7" x14ac:dyDescent="0.35">
      <c r="A3026">
        <v>1192</v>
      </c>
      <c r="B3026" s="1">
        <v>45525</v>
      </c>
      <c r="C3026" t="s">
        <v>12</v>
      </c>
      <c r="D3026" s="2">
        <v>0</v>
      </c>
      <c r="E3026" s="2">
        <v>2515.33</v>
      </c>
      <c r="F3026" t="s">
        <v>14</v>
      </c>
      <c r="G3026" t="s">
        <v>15</v>
      </c>
    </row>
    <row r="3027" spans="1:7" x14ac:dyDescent="0.35">
      <c r="A3027">
        <v>1192</v>
      </c>
      <c r="B3027" s="1">
        <v>45525</v>
      </c>
      <c r="C3027" t="s">
        <v>12</v>
      </c>
      <c r="D3027" s="2">
        <v>0</v>
      </c>
      <c r="E3027" s="2">
        <v>188.65</v>
      </c>
      <c r="F3027" t="s">
        <v>16</v>
      </c>
      <c r="G3027" t="s">
        <v>17</v>
      </c>
    </row>
    <row r="3028" spans="1:7" x14ac:dyDescent="0.35">
      <c r="A3028">
        <v>1193</v>
      </c>
      <c r="B3028" s="1">
        <v>45525</v>
      </c>
      <c r="C3028" t="s">
        <v>24</v>
      </c>
      <c r="D3028" s="2">
        <v>2034.58</v>
      </c>
      <c r="E3028" s="2">
        <v>0</v>
      </c>
      <c r="F3028" t="s">
        <v>8</v>
      </c>
      <c r="G3028" t="s">
        <v>9</v>
      </c>
    </row>
    <row r="3029" spans="1:7" x14ac:dyDescent="0.35">
      <c r="A3029">
        <v>1193</v>
      </c>
      <c r="B3029" s="1">
        <v>45525</v>
      </c>
      <c r="C3029" t="s">
        <v>24</v>
      </c>
      <c r="D3029" s="2">
        <v>0</v>
      </c>
      <c r="E3029" s="2">
        <v>2034.58</v>
      </c>
      <c r="F3029" t="s">
        <v>13</v>
      </c>
      <c r="G3029" t="s">
        <v>9</v>
      </c>
    </row>
    <row r="3030" spans="1:7" x14ac:dyDescent="0.35">
      <c r="A3030">
        <v>1194</v>
      </c>
      <c r="B3030" s="1">
        <v>45525</v>
      </c>
      <c r="C3030" t="s">
        <v>24</v>
      </c>
      <c r="D3030" s="2">
        <v>5067.63</v>
      </c>
      <c r="E3030" s="2">
        <v>0</v>
      </c>
      <c r="F3030" t="s">
        <v>8</v>
      </c>
      <c r="G3030" t="s">
        <v>9</v>
      </c>
    </row>
    <row r="3031" spans="1:7" x14ac:dyDescent="0.35">
      <c r="A3031">
        <v>1194</v>
      </c>
      <c r="B3031" s="1">
        <v>45525</v>
      </c>
      <c r="C3031" t="s">
        <v>24</v>
      </c>
      <c r="D3031" s="2">
        <v>0</v>
      </c>
      <c r="E3031" s="2">
        <v>5067.63</v>
      </c>
      <c r="F3031" t="s">
        <v>13</v>
      </c>
      <c r="G3031" t="s">
        <v>9</v>
      </c>
    </row>
    <row r="3032" spans="1:7" x14ac:dyDescent="0.35">
      <c r="A3032">
        <v>1195</v>
      </c>
      <c r="B3032" s="1">
        <v>45525</v>
      </c>
      <c r="C3032" t="s">
        <v>24</v>
      </c>
      <c r="D3032" s="2">
        <v>1469.41</v>
      </c>
      <c r="E3032" s="2">
        <v>0</v>
      </c>
      <c r="F3032" t="s">
        <v>8</v>
      </c>
      <c r="G3032" t="s">
        <v>9</v>
      </c>
    </row>
    <row r="3033" spans="1:7" x14ac:dyDescent="0.35">
      <c r="A3033">
        <v>1195</v>
      </c>
      <c r="B3033" s="1">
        <v>45525</v>
      </c>
      <c r="C3033" t="s">
        <v>24</v>
      </c>
      <c r="D3033" s="2">
        <v>0</v>
      </c>
      <c r="E3033" s="2">
        <v>1469.41</v>
      </c>
      <c r="F3033" t="s">
        <v>13</v>
      </c>
      <c r="G3033" t="s">
        <v>9</v>
      </c>
    </row>
    <row r="3034" spans="1:7" x14ac:dyDescent="0.35">
      <c r="A3034">
        <v>1196</v>
      </c>
      <c r="B3034" s="1">
        <v>45525</v>
      </c>
      <c r="C3034" t="s">
        <v>29</v>
      </c>
      <c r="D3034" s="2">
        <v>1591.54</v>
      </c>
      <c r="E3034" s="2">
        <v>0</v>
      </c>
      <c r="F3034" t="s">
        <v>28</v>
      </c>
      <c r="G3034" t="s">
        <v>17</v>
      </c>
    </row>
    <row r="3035" spans="1:7" x14ac:dyDescent="0.35">
      <c r="A3035">
        <v>1196</v>
      </c>
      <c r="B3035" s="1">
        <v>45525</v>
      </c>
      <c r="C3035" t="s">
        <v>29</v>
      </c>
      <c r="D3035" s="2">
        <v>0</v>
      </c>
      <c r="E3035" s="2">
        <v>1591.54</v>
      </c>
      <c r="F3035" t="s">
        <v>8</v>
      </c>
      <c r="G3035" t="s">
        <v>9</v>
      </c>
    </row>
    <row r="3036" spans="1:7" x14ac:dyDescent="0.35">
      <c r="A3036">
        <v>1197</v>
      </c>
      <c r="B3036" s="1">
        <v>45526</v>
      </c>
      <c r="C3036" t="s">
        <v>12</v>
      </c>
      <c r="D3036" s="2">
        <v>1488.92</v>
      </c>
      <c r="E3036" s="2">
        <v>0</v>
      </c>
      <c r="F3036" t="s">
        <v>13</v>
      </c>
      <c r="G3036" t="s">
        <v>9</v>
      </c>
    </row>
    <row r="3037" spans="1:7" x14ac:dyDescent="0.35">
      <c r="A3037">
        <v>1197</v>
      </c>
      <c r="B3037" s="1">
        <v>45526</v>
      </c>
      <c r="C3037" t="s">
        <v>12</v>
      </c>
      <c r="D3037" s="2">
        <v>0</v>
      </c>
      <c r="E3037" s="2">
        <v>1385.04</v>
      </c>
      <c r="F3037" t="s">
        <v>14</v>
      </c>
      <c r="G3037" t="s">
        <v>15</v>
      </c>
    </row>
    <row r="3038" spans="1:7" x14ac:dyDescent="0.35">
      <c r="A3038">
        <v>1197</v>
      </c>
      <c r="B3038" s="1">
        <v>45526</v>
      </c>
      <c r="C3038" t="s">
        <v>12</v>
      </c>
      <c r="D3038" s="2">
        <v>0</v>
      </c>
      <c r="E3038" s="2">
        <v>103.88</v>
      </c>
      <c r="F3038" t="s">
        <v>16</v>
      </c>
      <c r="G3038" t="s">
        <v>17</v>
      </c>
    </row>
    <row r="3039" spans="1:7" x14ac:dyDescent="0.35">
      <c r="A3039">
        <v>1198</v>
      </c>
      <c r="B3039" s="1">
        <v>45526</v>
      </c>
      <c r="C3039" t="s">
        <v>12</v>
      </c>
      <c r="D3039" s="2">
        <v>3957.68</v>
      </c>
      <c r="E3039" s="2">
        <v>0</v>
      </c>
      <c r="F3039" t="s">
        <v>13</v>
      </c>
      <c r="G3039" t="s">
        <v>9</v>
      </c>
    </row>
    <row r="3040" spans="1:7" x14ac:dyDescent="0.35">
      <c r="A3040">
        <v>1198</v>
      </c>
      <c r="B3040" s="1">
        <v>45526</v>
      </c>
      <c r="C3040" t="s">
        <v>12</v>
      </c>
      <c r="D3040" s="2">
        <v>0</v>
      </c>
      <c r="E3040" s="2">
        <v>3681.57</v>
      </c>
      <c r="F3040" t="s">
        <v>14</v>
      </c>
      <c r="G3040" t="s">
        <v>15</v>
      </c>
    </row>
    <row r="3041" spans="1:7" x14ac:dyDescent="0.35">
      <c r="A3041">
        <v>1198</v>
      </c>
      <c r="B3041" s="1">
        <v>45526</v>
      </c>
      <c r="C3041" t="s">
        <v>12</v>
      </c>
      <c r="D3041" s="2">
        <v>0</v>
      </c>
      <c r="E3041" s="2">
        <v>276.11</v>
      </c>
      <c r="F3041" t="s">
        <v>16</v>
      </c>
      <c r="G3041" t="s">
        <v>17</v>
      </c>
    </row>
    <row r="3042" spans="1:7" x14ac:dyDescent="0.35">
      <c r="A3042">
        <v>1199</v>
      </c>
      <c r="B3042" s="1">
        <v>45526</v>
      </c>
      <c r="C3042" t="s">
        <v>24</v>
      </c>
      <c r="D3042" s="2">
        <v>2863.55</v>
      </c>
      <c r="E3042" s="2">
        <v>0</v>
      </c>
      <c r="F3042" t="s">
        <v>8</v>
      </c>
      <c r="G3042" t="s">
        <v>9</v>
      </c>
    </row>
    <row r="3043" spans="1:7" x14ac:dyDescent="0.35">
      <c r="A3043">
        <v>1199</v>
      </c>
      <c r="B3043" s="1">
        <v>45526</v>
      </c>
      <c r="C3043" t="s">
        <v>24</v>
      </c>
      <c r="D3043" s="2">
        <v>0</v>
      </c>
      <c r="E3043" s="2">
        <v>2863.55</v>
      </c>
      <c r="F3043" t="s">
        <v>13</v>
      </c>
      <c r="G3043" t="s">
        <v>9</v>
      </c>
    </row>
    <row r="3044" spans="1:7" x14ac:dyDescent="0.35">
      <c r="A3044">
        <v>1200</v>
      </c>
      <c r="B3044" s="1">
        <v>45526</v>
      </c>
      <c r="C3044" t="s">
        <v>24</v>
      </c>
      <c r="D3044" s="2">
        <v>1844.25</v>
      </c>
      <c r="E3044" s="2">
        <v>0</v>
      </c>
      <c r="F3044" t="s">
        <v>8</v>
      </c>
      <c r="G3044" t="s">
        <v>9</v>
      </c>
    </row>
    <row r="3045" spans="1:7" x14ac:dyDescent="0.35">
      <c r="A3045">
        <v>1200</v>
      </c>
      <c r="B3045" s="1">
        <v>45526</v>
      </c>
      <c r="C3045" t="s">
        <v>24</v>
      </c>
      <c r="D3045" s="2">
        <v>0</v>
      </c>
      <c r="E3045" s="2">
        <v>1844.25</v>
      </c>
      <c r="F3045" t="s">
        <v>13</v>
      </c>
      <c r="G3045" t="s">
        <v>9</v>
      </c>
    </row>
    <row r="3046" spans="1:7" x14ac:dyDescent="0.35">
      <c r="A3046">
        <v>1201</v>
      </c>
      <c r="B3046" s="1">
        <v>45526</v>
      </c>
      <c r="C3046" t="s">
        <v>25</v>
      </c>
      <c r="D3046" s="2">
        <v>2714.58</v>
      </c>
      <c r="E3046" s="2">
        <v>0</v>
      </c>
      <c r="F3046" t="s">
        <v>26</v>
      </c>
      <c r="G3046" t="s">
        <v>20</v>
      </c>
    </row>
    <row r="3047" spans="1:7" x14ac:dyDescent="0.35">
      <c r="A3047">
        <v>1201</v>
      </c>
      <c r="B3047" s="1">
        <v>45526</v>
      </c>
      <c r="C3047" t="s">
        <v>25</v>
      </c>
      <c r="D3047" s="2">
        <v>203.59</v>
      </c>
      <c r="E3047" s="2">
        <v>0</v>
      </c>
      <c r="F3047" t="s">
        <v>27</v>
      </c>
      <c r="G3047" t="s">
        <v>9</v>
      </c>
    </row>
    <row r="3048" spans="1:7" x14ac:dyDescent="0.35">
      <c r="A3048">
        <v>1201</v>
      </c>
      <c r="B3048" s="1">
        <v>45526</v>
      </c>
      <c r="C3048" t="s">
        <v>25</v>
      </c>
      <c r="D3048" s="2">
        <v>0</v>
      </c>
      <c r="E3048" s="2">
        <v>2918.17</v>
      </c>
      <c r="F3048" t="s">
        <v>28</v>
      </c>
      <c r="G3048" t="s">
        <v>17</v>
      </c>
    </row>
    <row r="3049" spans="1:7" x14ac:dyDescent="0.35">
      <c r="A3049">
        <v>1202</v>
      </c>
      <c r="B3049" s="1">
        <v>45526</v>
      </c>
      <c r="C3049" t="s">
        <v>25</v>
      </c>
      <c r="D3049" s="2">
        <v>383.76</v>
      </c>
      <c r="E3049" s="2">
        <v>0</v>
      </c>
      <c r="F3049" t="s">
        <v>26</v>
      </c>
      <c r="G3049" t="s">
        <v>20</v>
      </c>
    </row>
    <row r="3050" spans="1:7" x14ac:dyDescent="0.35">
      <c r="A3050">
        <v>1202</v>
      </c>
      <c r="B3050" s="1">
        <v>45526</v>
      </c>
      <c r="C3050" t="s">
        <v>25</v>
      </c>
      <c r="D3050" s="2">
        <v>28.78</v>
      </c>
      <c r="E3050" s="2">
        <v>0</v>
      </c>
      <c r="F3050" t="s">
        <v>27</v>
      </c>
      <c r="G3050" t="s">
        <v>9</v>
      </c>
    </row>
    <row r="3051" spans="1:7" x14ac:dyDescent="0.35">
      <c r="A3051">
        <v>1202</v>
      </c>
      <c r="B3051" s="1">
        <v>45526</v>
      </c>
      <c r="C3051" t="s">
        <v>25</v>
      </c>
      <c r="D3051" s="2">
        <v>0</v>
      </c>
      <c r="E3051" s="2">
        <v>412.54</v>
      </c>
      <c r="F3051" t="s">
        <v>28</v>
      </c>
      <c r="G3051" t="s">
        <v>17</v>
      </c>
    </row>
    <row r="3052" spans="1:7" x14ac:dyDescent="0.35">
      <c r="A3052">
        <v>1203</v>
      </c>
      <c r="B3052" s="1">
        <v>45526</v>
      </c>
      <c r="C3052" t="s">
        <v>29</v>
      </c>
      <c r="D3052" s="2">
        <v>1935.04</v>
      </c>
      <c r="E3052" s="2">
        <v>0</v>
      </c>
      <c r="F3052" t="s">
        <v>28</v>
      </c>
      <c r="G3052" t="s">
        <v>17</v>
      </c>
    </row>
    <row r="3053" spans="1:7" x14ac:dyDescent="0.35">
      <c r="A3053">
        <v>1203</v>
      </c>
      <c r="B3053" s="1">
        <v>45526</v>
      </c>
      <c r="C3053" t="s">
        <v>29</v>
      </c>
      <c r="D3053" s="2">
        <v>0</v>
      </c>
      <c r="E3053" s="2">
        <v>1935.04</v>
      </c>
      <c r="F3053" t="s">
        <v>8</v>
      </c>
      <c r="G3053" t="s">
        <v>9</v>
      </c>
    </row>
    <row r="3054" spans="1:7" x14ac:dyDescent="0.35">
      <c r="A3054">
        <v>1204</v>
      </c>
      <c r="B3054" s="1">
        <v>45526</v>
      </c>
      <c r="C3054" t="s">
        <v>29</v>
      </c>
      <c r="D3054" s="2">
        <v>1766.46</v>
      </c>
      <c r="E3054" s="2">
        <v>0</v>
      </c>
      <c r="F3054" t="s">
        <v>28</v>
      </c>
      <c r="G3054" t="s">
        <v>17</v>
      </c>
    </row>
    <row r="3055" spans="1:7" x14ac:dyDescent="0.35">
      <c r="A3055">
        <v>1204</v>
      </c>
      <c r="B3055" s="1">
        <v>45526</v>
      </c>
      <c r="C3055" t="s">
        <v>29</v>
      </c>
      <c r="D3055" s="2">
        <v>0</v>
      </c>
      <c r="E3055" s="2">
        <v>1766.46</v>
      </c>
      <c r="F3055" t="s">
        <v>8</v>
      </c>
      <c r="G3055" t="s">
        <v>9</v>
      </c>
    </row>
    <row r="3056" spans="1:7" x14ac:dyDescent="0.35">
      <c r="A3056">
        <v>1205</v>
      </c>
      <c r="B3056" s="1">
        <v>45527</v>
      </c>
      <c r="C3056" t="s">
        <v>12</v>
      </c>
      <c r="D3056" s="2">
        <v>2009.47</v>
      </c>
      <c r="E3056" s="2">
        <v>0</v>
      </c>
      <c r="F3056" t="s">
        <v>13</v>
      </c>
      <c r="G3056" t="s">
        <v>9</v>
      </c>
    </row>
    <row r="3057" spans="1:7" x14ac:dyDescent="0.35">
      <c r="A3057">
        <v>1205</v>
      </c>
      <c r="B3057" s="1">
        <v>45527</v>
      </c>
      <c r="C3057" t="s">
        <v>12</v>
      </c>
      <c r="D3057" s="2">
        <v>0</v>
      </c>
      <c r="E3057" s="2">
        <v>1869.27</v>
      </c>
      <c r="F3057" t="s">
        <v>14</v>
      </c>
      <c r="G3057" t="s">
        <v>15</v>
      </c>
    </row>
    <row r="3058" spans="1:7" x14ac:dyDescent="0.35">
      <c r="A3058">
        <v>1205</v>
      </c>
      <c r="B3058" s="1">
        <v>45527</v>
      </c>
      <c r="C3058" t="s">
        <v>12</v>
      </c>
      <c r="D3058" s="2">
        <v>0</v>
      </c>
      <c r="E3058" s="2">
        <v>140.19999999999999</v>
      </c>
      <c r="F3058" t="s">
        <v>16</v>
      </c>
      <c r="G3058" t="s">
        <v>17</v>
      </c>
    </row>
    <row r="3059" spans="1:7" x14ac:dyDescent="0.35">
      <c r="A3059">
        <v>1206</v>
      </c>
      <c r="B3059" s="1">
        <v>45527</v>
      </c>
      <c r="C3059" t="s">
        <v>12</v>
      </c>
      <c r="D3059" s="2">
        <v>919.84</v>
      </c>
      <c r="E3059" s="2">
        <v>0</v>
      </c>
      <c r="F3059" t="s">
        <v>13</v>
      </c>
      <c r="G3059" t="s">
        <v>9</v>
      </c>
    </row>
    <row r="3060" spans="1:7" x14ac:dyDescent="0.35">
      <c r="A3060">
        <v>1206</v>
      </c>
      <c r="B3060" s="1">
        <v>45527</v>
      </c>
      <c r="C3060" t="s">
        <v>12</v>
      </c>
      <c r="D3060" s="2">
        <v>0</v>
      </c>
      <c r="E3060" s="2">
        <v>855.67</v>
      </c>
      <c r="F3060" t="s">
        <v>14</v>
      </c>
      <c r="G3060" t="s">
        <v>15</v>
      </c>
    </row>
    <row r="3061" spans="1:7" x14ac:dyDescent="0.35">
      <c r="A3061">
        <v>1206</v>
      </c>
      <c r="B3061" s="1">
        <v>45527</v>
      </c>
      <c r="C3061" t="s">
        <v>12</v>
      </c>
      <c r="D3061" s="2">
        <v>0</v>
      </c>
      <c r="E3061" s="2">
        <v>64.17</v>
      </c>
      <c r="F3061" t="s">
        <v>16</v>
      </c>
      <c r="G3061" t="s">
        <v>17</v>
      </c>
    </row>
    <row r="3062" spans="1:7" x14ac:dyDescent="0.35">
      <c r="A3062">
        <v>1207</v>
      </c>
      <c r="B3062" s="1">
        <v>45527</v>
      </c>
      <c r="C3062" t="s">
        <v>12</v>
      </c>
      <c r="D3062" s="2">
        <v>1818.11</v>
      </c>
      <c r="E3062" s="2">
        <v>0</v>
      </c>
      <c r="F3062" t="s">
        <v>13</v>
      </c>
      <c r="G3062" t="s">
        <v>9</v>
      </c>
    </row>
    <row r="3063" spans="1:7" x14ac:dyDescent="0.35">
      <c r="A3063">
        <v>1207</v>
      </c>
      <c r="B3063" s="1">
        <v>45527</v>
      </c>
      <c r="C3063" t="s">
        <v>12</v>
      </c>
      <c r="D3063" s="2">
        <v>0</v>
      </c>
      <c r="E3063" s="2">
        <v>1691.27</v>
      </c>
      <c r="F3063" t="s">
        <v>14</v>
      </c>
      <c r="G3063" t="s">
        <v>15</v>
      </c>
    </row>
    <row r="3064" spans="1:7" x14ac:dyDescent="0.35">
      <c r="A3064">
        <v>1207</v>
      </c>
      <c r="B3064" s="1">
        <v>45527</v>
      </c>
      <c r="C3064" t="s">
        <v>12</v>
      </c>
      <c r="D3064" s="2">
        <v>0</v>
      </c>
      <c r="E3064" s="2">
        <v>126.84</v>
      </c>
      <c r="F3064" t="s">
        <v>16</v>
      </c>
      <c r="G3064" t="s">
        <v>17</v>
      </c>
    </row>
    <row r="3065" spans="1:7" x14ac:dyDescent="0.35">
      <c r="A3065">
        <v>1208</v>
      </c>
      <c r="B3065" s="1">
        <v>45527</v>
      </c>
      <c r="C3065" t="s">
        <v>24</v>
      </c>
      <c r="D3065" s="2">
        <v>2465.69</v>
      </c>
      <c r="E3065" s="2">
        <v>0</v>
      </c>
      <c r="F3065" t="s">
        <v>8</v>
      </c>
      <c r="G3065" t="s">
        <v>9</v>
      </c>
    </row>
    <row r="3066" spans="1:7" x14ac:dyDescent="0.35">
      <c r="A3066">
        <v>1208</v>
      </c>
      <c r="B3066" s="1">
        <v>45527</v>
      </c>
      <c r="C3066" t="s">
        <v>24</v>
      </c>
      <c r="D3066" s="2">
        <v>0</v>
      </c>
      <c r="E3066" s="2">
        <v>2465.69</v>
      </c>
      <c r="F3066" t="s">
        <v>13</v>
      </c>
      <c r="G3066" t="s">
        <v>9</v>
      </c>
    </row>
    <row r="3067" spans="1:7" x14ac:dyDescent="0.35">
      <c r="A3067">
        <v>1209</v>
      </c>
      <c r="B3067" s="1">
        <v>45530</v>
      </c>
      <c r="C3067" t="s">
        <v>12</v>
      </c>
      <c r="D3067" s="2">
        <v>42.09</v>
      </c>
      <c r="E3067" s="2">
        <v>0</v>
      </c>
      <c r="F3067" t="s">
        <v>13</v>
      </c>
      <c r="G3067" t="s">
        <v>9</v>
      </c>
    </row>
    <row r="3068" spans="1:7" x14ac:dyDescent="0.35">
      <c r="A3068">
        <v>1209</v>
      </c>
      <c r="B3068" s="1">
        <v>45530</v>
      </c>
      <c r="C3068" t="s">
        <v>12</v>
      </c>
      <c r="D3068" s="2">
        <v>0</v>
      </c>
      <c r="E3068" s="2">
        <v>39.15</v>
      </c>
      <c r="F3068" t="s">
        <v>14</v>
      </c>
      <c r="G3068" t="s">
        <v>15</v>
      </c>
    </row>
    <row r="3069" spans="1:7" x14ac:dyDescent="0.35">
      <c r="A3069">
        <v>1209</v>
      </c>
      <c r="B3069" s="1">
        <v>45530</v>
      </c>
      <c r="C3069" t="s">
        <v>12</v>
      </c>
      <c r="D3069" s="2">
        <v>0</v>
      </c>
      <c r="E3069" s="2">
        <v>2.94</v>
      </c>
      <c r="F3069" t="s">
        <v>16</v>
      </c>
      <c r="G3069" t="s">
        <v>17</v>
      </c>
    </row>
    <row r="3070" spans="1:7" x14ac:dyDescent="0.35">
      <c r="A3070">
        <v>1210</v>
      </c>
      <c r="B3070" s="1">
        <v>45530</v>
      </c>
      <c r="C3070" t="s">
        <v>24</v>
      </c>
      <c r="D3070" s="2">
        <v>1864.76</v>
      </c>
      <c r="E3070" s="2">
        <v>0</v>
      </c>
      <c r="F3070" t="s">
        <v>8</v>
      </c>
      <c r="G3070" t="s">
        <v>9</v>
      </c>
    </row>
    <row r="3071" spans="1:7" x14ac:dyDescent="0.35">
      <c r="A3071">
        <v>1210</v>
      </c>
      <c r="B3071" s="1">
        <v>45530</v>
      </c>
      <c r="C3071" t="s">
        <v>24</v>
      </c>
      <c r="D3071" s="2">
        <v>0</v>
      </c>
      <c r="E3071" s="2">
        <v>1864.76</v>
      </c>
      <c r="F3071" t="s">
        <v>13</v>
      </c>
      <c r="G3071" t="s">
        <v>9</v>
      </c>
    </row>
    <row r="3072" spans="1:7" x14ac:dyDescent="0.35">
      <c r="A3072">
        <v>1211</v>
      </c>
      <c r="B3072" s="1">
        <v>45530</v>
      </c>
      <c r="C3072" t="s">
        <v>24</v>
      </c>
      <c r="D3072" s="2">
        <v>6843.6</v>
      </c>
      <c r="E3072" s="2">
        <v>0</v>
      </c>
      <c r="F3072" t="s">
        <v>8</v>
      </c>
      <c r="G3072" t="s">
        <v>9</v>
      </c>
    </row>
    <row r="3073" spans="1:7" x14ac:dyDescent="0.35">
      <c r="A3073">
        <v>1211</v>
      </c>
      <c r="B3073" s="1">
        <v>45530</v>
      </c>
      <c r="C3073" t="s">
        <v>24</v>
      </c>
      <c r="D3073" s="2">
        <v>0</v>
      </c>
      <c r="E3073" s="2">
        <v>6843.6</v>
      </c>
      <c r="F3073" t="s">
        <v>13</v>
      </c>
      <c r="G3073" t="s">
        <v>9</v>
      </c>
    </row>
    <row r="3074" spans="1:7" x14ac:dyDescent="0.35">
      <c r="A3074">
        <v>1212</v>
      </c>
      <c r="B3074" s="1">
        <v>45530</v>
      </c>
      <c r="C3074" t="s">
        <v>24</v>
      </c>
      <c r="D3074" s="2">
        <v>4031.55</v>
      </c>
      <c r="E3074" s="2">
        <v>0</v>
      </c>
      <c r="F3074" t="s">
        <v>8</v>
      </c>
      <c r="G3074" t="s">
        <v>9</v>
      </c>
    </row>
    <row r="3075" spans="1:7" x14ac:dyDescent="0.35">
      <c r="A3075">
        <v>1212</v>
      </c>
      <c r="B3075" s="1">
        <v>45530</v>
      </c>
      <c r="C3075" t="s">
        <v>24</v>
      </c>
      <c r="D3075" s="2">
        <v>0</v>
      </c>
      <c r="E3075" s="2">
        <v>4031.55</v>
      </c>
      <c r="F3075" t="s">
        <v>13</v>
      </c>
      <c r="G3075" t="s">
        <v>9</v>
      </c>
    </row>
    <row r="3076" spans="1:7" x14ac:dyDescent="0.35">
      <c r="A3076">
        <v>1213</v>
      </c>
      <c r="B3076" s="1">
        <v>45530</v>
      </c>
      <c r="C3076" t="s">
        <v>25</v>
      </c>
      <c r="D3076" s="2">
        <v>2329.52</v>
      </c>
      <c r="E3076" s="2">
        <v>0</v>
      </c>
      <c r="F3076" t="s">
        <v>26</v>
      </c>
      <c r="G3076" t="s">
        <v>20</v>
      </c>
    </row>
    <row r="3077" spans="1:7" x14ac:dyDescent="0.35">
      <c r="A3077">
        <v>1213</v>
      </c>
      <c r="B3077" s="1">
        <v>45530</v>
      </c>
      <c r="C3077" t="s">
        <v>25</v>
      </c>
      <c r="D3077" s="2">
        <v>174.71</v>
      </c>
      <c r="E3077" s="2">
        <v>0</v>
      </c>
      <c r="F3077" t="s">
        <v>27</v>
      </c>
      <c r="G3077" t="s">
        <v>9</v>
      </c>
    </row>
    <row r="3078" spans="1:7" x14ac:dyDescent="0.35">
      <c r="A3078">
        <v>1213</v>
      </c>
      <c r="B3078" s="1">
        <v>45530</v>
      </c>
      <c r="C3078" t="s">
        <v>25</v>
      </c>
      <c r="D3078" s="2">
        <v>0</v>
      </c>
      <c r="E3078" s="2">
        <v>2504.23</v>
      </c>
      <c r="F3078" t="s">
        <v>28</v>
      </c>
      <c r="G3078" t="s">
        <v>17</v>
      </c>
    </row>
    <row r="3079" spans="1:7" x14ac:dyDescent="0.35">
      <c r="A3079">
        <v>1214</v>
      </c>
      <c r="B3079" s="1">
        <v>45530</v>
      </c>
      <c r="C3079" t="s">
        <v>25</v>
      </c>
      <c r="D3079" s="2">
        <v>3282.76</v>
      </c>
      <c r="E3079" s="2">
        <v>0</v>
      </c>
      <c r="F3079" t="s">
        <v>26</v>
      </c>
      <c r="G3079" t="s">
        <v>20</v>
      </c>
    </row>
    <row r="3080" spans="1:7" x14ac:dyDescent="0.35">
      <c r="A3080">
        <v>1214</v>
      </c>
      <c r="B3080" s="1">
        <v>45530</v>
      </c>
      <c r="C3080" t="s">
        <v>25</v>
      </c>
      <c r="D3080" s="2">
        <v>246.21</v>
      </c>
      <c r="E3080" s="2">
        <v>0</v>
      </c>
      <c r="F3080" t="s">
        <v>27</v>
      </c>
      <c r="G3080" t="s">
        <v>9</v>
      </c>
    </row>
    <row r="3081" spans="1:7" x14ac:dyDescent="0.35">
      <c r="A3081">
        <v>1214</v>
      </c>
      <c r="B3081" s="1">
        <v>45530</v>
      </c>
      <c r="C3081" t="s">
        <v>25</v>
      </c>
      <c r="D3081" s="2">
        <v>0</v>
      </c>
      <c r="E3081" s="2">
        <v>3528.97</v>
      </c>
      <c r="F3081" t="s">
        <v>28</v>
      </c>
      <c r="G3081" t="s">
        <v>17</v>
      </c>
    </row>
    <row r="3082" spans="1:7" x14ac:dyDescent="0.35">
      <c r="A3082">
        <v>1215</v>
      </c>
      <c r="B3082" s="1">
        <v>45530</v>
      </c>
      <c r="C3082" t="s">
        <v>25</v>
      </c>
      <c r="D3082" s="2">
        <v>952.02</v>
      </c>
      <c r="E3082" s="2">
        <v>0</v>
      </c>
      <c r="F3082" t="s">
        <v>26</v>
      </c>
      <c r="G3082" t="s">
        <v>20</v>
      </c>
    </row>
    <row r="3083" spans="1:7" x14ac:dyDescent="0.35">
      <c r="A3083">
        <v>1215</v>
      </c>
      <c r="B3083" s="1">
        <v>45530</v>
      </c>
      <c r="C3083" t="s">
        <v>25</v>
      </c>
      <c r="D3083" s="2">
        <v>71.400000000000006</v>
      </c>
      <c r="E3083" s="2">
        <v>0</v>
      </c>
      <c r="F3083" t="s">
        <v>27</v>
      </c>
      <c r="G3083" t="s">
        <v>9</v>
      </c>
    </row>
    <row r="3084" spans="1:7" x14ac:dyDescent="0.35">
      <c r="A3084">
        <v>1215</v>
      </c>
      <c r="B3084" s="1">
        <v>45530</v>
      </c>
      <c r="C3084" t="s">
        <v>25</v>
      </c>
      <c r="D3084" s="2">
        <v>0</v>
      </c>
      <c r="E3084" s="2">
        <v>1023.42</v>
      </c>
      <c r="F3084" t="s">
        <v>28</v>
      </c>
      <c r="G3084" t="s">
        <v>17</v>
      </c>
    </row>
    <row r="3085" spans="1:7" x14ac:dyDescent="0.35">
      <c r="A3085">
        <v>1216</v>
      </c>
      <c r="B3085" s="1">
        <v>45530</v>
      </c>
      <c r="C3085" t="s">
        <v>29</v>
      </c>
      <c r="D3085" s="2">
        <v>3528.97</v>
      </c>
      <c r="E3085" s="2">
        <v>0</v>
      </c>
      <c r="F3085" t="s">
        <v>28</v>
      </c>
      <c r="G3085" t="s">
        <v>17</v>
      </c>
    </row>
    <row r="3086" spans="1:7" x14ac:dyDescent="0.35">
      <c r="A3086">
        <v>1216</v>
      </c>
      <c r="B3086" s="1">
        <v>45530</v>
      </c>
      <c r="C3086" t="s">
        <v>29</v>
      </c>
      <c r="D3086" s="2">
        <v>0</v>
      </c>
      <c r="E3086" s="2">
        <v>3528.97</v>
      </c>
      <c r="F3086" t="s">
        <v>8</v>
      </c>
      <c r="G3086" t="s">
        <v>9</v>
      </c>
    </row>
    <row r="3087" spans="1:7" x14ac:dyDescent="0.35">
      <c r="A3087">
        <v>1217</v>
      </c>
      <c r="B3087" s="1">
        <v>45530</v>
      </c>
      <c r="C3087" t="s">
        <v>29</v>
      </c>
      <c r="D3087" s="2">
        <v>748.26</v>
      </c>
      <c r="E3087" s="2">
        <v>0</v>
      </c>
      <c r="F3087" t="s">
        <v>28</v>
      </c>
      <c r="G3087" t="s">
        <v>17</v>
      </c>
    </row>
    <row r="3088" spans="1:7" x14ac:dyDescent="0.35">
      <c r="A3088">
        <v>1217</v>
      </c>
      <c r="B3088" s="1">
        <v>45530</v>
      </c>
      <c r="C3088" t="s">
        <v>29</v>
      </c>
      <c r="D3088" s="2">
        <v>0</v>
      </c>
      <c r="E3088" s="2">
        <v>748.26</v>
      </c>
      <c r="F3088" t="s">
        <v>8</v>
      </c>
      <c r="G3088" t="s">
        <v>9</v>
      </c>
    </row>
    <row r="3089" spans="1:7" x14ac:dyDescent="0.35">
      <c r="A3089">
        <v>1218</v>
      </c>
      <c r="B3089" s="1">
        <v>45530</v>
      </c>
      <c r="C3089" t="s">
        <v>29</v>
      </c>
      <c r="D3089" s="2">
        <v>7227.44</v>
      </c>
      <c r="E3089" s="2">
        <v>0</v>
      </c>
      <c r="F3089" t="s">
        <v>28</v>
      </c>
      <c r="G3089" t="s">
        <v>17</v>
      </c>
    </row>
    <row r="3090" spans="1:7" x14ac:dyDescent="0.35">
      <c r="A3090">
        <v>1218</v>
      </c>
      <c r="B3090" s="1">
        <v>45530</v>
      </c>
      <c r="C3090" t="s">
        <v>29</v>
      </c>
      <c r="D3090" s="2">
        <v>0</v>
      </c>
      <c r="E3090" s="2">
        <v>7227.44</v>
      </c>
      <c r="F3090" t="s">
        <v>8</v>
      </c>
      <c r="G3090" t="s">
        <v>9</v>
      </c>
    </row>
    <row r="3091" spans="1:7" x14ac:dyDescent="0.35">
      <c r="A3091">
        <v>1219</v>
      </c>
      <c r="B3091" s="1">
        <v>45530</v>
      </c>
      <c r="C3091" t="s">
        <v>29</v>
      </c>
      <c r="D3091" s="2">
        <v>3868.8</v>
      </c>
      <c r="E3091" s="2">
        <v>0</v>
      </c>
      <c r="F3091" t="s">
        <v>28</v>
      </c>
      <c r="G3091" t="s">
        <v>17</v>
      </c>
    </row>
    <row r="3092" spans="1:7" x14ac:dyDescent="0.35">
      <c r="A3092">
        <v>1219</v>
      </c>
      <c r="B3092" s="1">
        <v>45530</v>
      </c>
      <c r="C3092" t="s">
        <v>29</v>
      </c>
      <c r="D3092" s="2">
        <v>0</v>
      </c>
      <c r="E3092" s="2">
        <v>3868.8</v>
      </c>
      <c r="F3092" t="s">
        <v>8</v>
      </c>
      <c r="G3092" t="s">
        <v>9</v>
      </c>
    </row>
    <row r="3093" spans="1:7" x14ac:dyDescent="0.35">
      <c r="A3093">
        <v>1220</v>
      </c>
      <c r="B3093" s="1">
        <v>45530</v>
      </c>
      <c r="C3093" t="s">
        <v>29</v>
      </c>
      <c r="D3093" s="2">
        <v>1304.6199999999999</v>
      </c>
      <c r="E3093" s="2">
        <v>0</v>
      </c>
      <c r="F3093" t="s">
        <v>28</v>
      </c>
      <c r="G3093" t="s">
        <v>17</v>
      </c>
    </row>
    <row r="3094" spans="1:7" x14ac:dyDescent="0.35">
      <c r="A3094">
        <v>1220</v>
      </c>
      <c r="B3094" s="1">
        <v>45530</v>
      </c>
      <c r="C3094" t="s">
        <v>29</v>
      </c>
      <c r="D3094" s="2">
        <v>0</v>
      </c>
      <c r="E3094" s="2">
        <v>1304.6199999999999</v>
      </c>
      <c r="F3094" t="s">
        <v>8</v>
      </c>
      <c r="G3094" t="s">
        <v>9</v>
      </c>
    </row>
    <row r="3095" spans="1:7" x14ac:dyDescent="0.35">
      <c r="A3095">
        <v>1221</v>
      </c>
      <c r="B3095" s="1">
        <v>45531</v>
      </c>
      <c r="C3095" t="s">
        <v>12</v>
      </c>
      <c r="D3095" s="2">
        <v>321.68</v>
      </c>
      <c r="E3095" s="2">
        <v>0</v>
      </c>
      <c r="F3095" t="s">
        <v>13</v>
      </c>
      <c r="G3095" t="s">
        <v>9</v>
      </c>
    </row>
    <row r="3096" spans="1:7" x14ac:dyDescent="0.35">
      <c r="A3096">
        <v>1221</v>
      </c>
      <c r="B3096" s="1">
        <v>45531</v>
      </c>
      <c r="C3096" t="s">
        <v>12</v>
      </c>
      <c r="D3096" s="2">
        <v>0</v>
      </c>
      <c r="E3096" s="2">
        <v>299.24</v>
      </c>
      <c r="F3096" t="s">
        <v>14</v>
      </c>
      <c r="G3096" t="s">
        <v>15</v>
      </c>
    </row>
    <row r="3097" spans="1:7" x14ac:dyDescent="0.35">
      <c r="A3097">
        <v>1221</v>
      </c>
      <c r="B3097" s="1">
        <v>45531</v>
      </c>
      <c r="C3097" t="s">
        <v>12</v>
      </c>
      <c r="D3097" s="2">
        <v>0</v>
      </c>
      <c r="E3097" s="2">
        <v>22.44</v>
      </c>
      <c r="F3097" t="s">
        <v>16</v>
      </c>
      <c r="G3097" t="s">
        <v>17</v>
      </c>
    </row>
    <row r="3098" spans="1:7" x14ac:dyDescent="0.35">
      <c r="A3098">
        <v>1222</v>
      </c>
      <c r="B3098" s="1">
        <v>45531</v>
      </c>
      <c r="C3098" t="s">
        <v>12</v>
      </c>
      <c r="D3098" s="2">
        <v>6220.3</v>
      </c>
      <c r="E3098" s="2">
        <v>0</v>
      </c>
      <c r="F3098" t="s">
        <v>13</v>
      </c>
      <c r="G3098" t="s">
        <v>9</v>
      </c>
    </row>
    <row r="3099" spans="1:7" x14ac:dyDescent="0.35">
      <c r="A3099">
        <v>1222</v>
      </c>
      <c r="B3099" s="1">
        <v>45531</v>
      </c>
      <c r="C3099" t="s">
        <v>12</v>
      </c>
      <c r="D3099" s="2">
        <v>0</v>
      </c>
      <c r="E3099" s="2">
        <v>5786.33</v>
      </c>
      <c r="F3099" t="s">
        <v>14</v>
      </c>
      <c r="G3099" t="s">
        <v>15</v>
      </c>
    </row>
    <row r="3100" spans="1:7" x14ac:dyDescent="0.35">
      <c r="A3100">
        <v>1222</v>
      </c>
      <c r="B3100" s="1">
        <v>45531</v>
      </c>
      <c r="C3100" t="s">
        <v>12</v>
      </c>
      <c r="D3100" s="2">
        <v>0</v>
      </c>
      <c r="E3100" s="2">
        <v>433.97</v>
      </c>
      <c r="F3100" t="s">
        <v>16</v>
      </c>
      <c r="G3100" t="s">
        <v>17</v>
      </c>
    </row>
    <row r="3101" spans="1:7" x14ac:dyDescent="0.35">
      <c r="A3101">
        <v>1223</v>
      </c>
      <c r="B3101" s="1">
        <v>45531</v>
      </c>
      <c r="C3101" t="s">
        <v>24</v>
      </c>
      <c r="D3101" s="2">
        <v>2184.37</v>
      </c>
      <c r="E3101" s="2">
        <v>0</v>
      </c>
      <c r="F3101" t="s">
        <v>8</v>
      </c>
      <c r="G3101" t="s">
        <v>9</v>
      </c>
    </row>
    <row r="3102" spans="1:7" x14ac:dyDescent="0.35">
      <c r="A3102">
        <v>1223</v>
      </c>
      <c r="B3102" s="1">
        <v>45531</v>
      </c>
      <c r="C3102" t="s">
        <v>24</v>
      </c>
      <c r="D3102" s="2">
        <v>0</v>
      </c>
      <c r="E3102" s="2">
        <v>2184.37</v>
      </c>
      <c r="F3102" t="s">
        <v>13</v>
      </c>
      <c r="G3102" t="s">
        <v>9</v>
      </c>
    </row>
    <row r="3103" spans="1:7" x14ac:dyDescent="0.35">
      <c r="A3103">
        <v>1224</v>
      </c>
      <c r="B3103" s="1">
        <v>45531</v>
      </c>
      <c r="C3103" t="s">
        <v>24</v>
      </c>
      <c r="D3103" s="2">
        <v>3453.73</v>
      </c>
      <c r="E3103" s="2">
        <v>0</v>
      </c>
      <c r="F3103" t="s">
        <v>8</v>
      </c>
      <c r="G3103" t="s">
        <v>9</v>
      </c>
    </row>
    <row r="3104" spans="1:7" x14ac:dyDescent="0.35">
      <c r="A3104">
        <v>1224</v>
      </c>
      <c r="B3104" s="1">
        <v>45531</v>
      </c>
      <c r="C3104" t="s">
        <v>24</v>
      </c>
      <c r="D3104" s="2">
        <v>0</v>
      </c>
      <c r="E3104" s="2">
        <v>3453.73</v>
      </c>
      <c r="F3104" t="s">
        <v>13</v>
      </c>
      <c r="G3104" t="s">
        <v>9</v>
      </c>
    </row>
    <row r="3105" spans="1:7" x14ac:dyDescent="0.35">
      <c r="A3105">
        <v>1225</v>
      </c>
      <c r="B3105" s="1">
        <v>45531</v>
      </c>
      <c r="C3105" t="s">
        <v>24</v>
      </c>
      <c r="D3105" s="2">
        <v>383</v>
      </c>
      <c r="E3105" s="2">
        <v>0</v>
      </c>
      <c r="F3105" t="s">
        <v>8</v>
      </c>
      <c r="G3105" t="s">
        <v>9</v>
      </c>
    </row>
    <row r="3106" spans="1:7" x14ac:dyDescent="0.35">
      <c r="A3106">
        <v>1225</v>
      </c>
      <c r="B3106" s="1">
        <v>45531</v>
      </c>
      <c r="C3106" t="s">
        <v>24</v>
      </c>
      <c r="D3106" s="2">
        <v>0</v>
      </c>
      <c r="E3106" s="2">
        <v>383</v>
      </c>
      <c r="F3106" t="s">
        <v>13</v>
      </c>
      <c r="G3106" t="s">
        <v>9</v>
      </c>
    </row>
    <row r="3107" spans="1:7" x14ac:dyDescent="0.35">
      <c r="A3107">
        <v>1226</v>
      </c>
      <c r="B3107" s="1">
        <v>45531</v>
      </c>
      <c r="C3107" t="s">
        <v>24</v>
      </c>
      <c r="D3107" s="2">
        <v>6750.03</v>
      </c>
      <c r="E3107" s="2">
        <v>0</v>
      </c>
      <c r="F3107" t="s">
        <v>8</v>
      </c>
      <c r="G3107" t="s">
        <v>9</v>
      </c>
    </row>
    <row r="3108" spans="1:7" x14ac:dyDescent="0.35">
      <c r="A3108">
        <v>1226</v>
      </c>
      <c r="B3108" s="1">
        <v>45531</v>
      </c>
      <c r="C3108" t="s">
        <v>24</v>
      </c>
      <c r="D3108" s="2">
        <v>0</v>
      </c>
      <c r="E3108" s="2">
        <v>6750.03</v>
      </c>
      <c r="F3108" t="s">
        <v>13</v>
      </c>
      <c r="G3108" t="s">
        <v>9</v>
      </c>
    </row>
    <row r="3109" spans="1:7" x14ac:dyDescent="0.35">
      <c r="A3109">
        <v>1227</v>
      </c>
      <c r="B3109" s="1">
        <v>45531</v>
      </c>
      <c r="C3109" t="s">
        <v>24</v>
      </c>
      <c r="D3109" s="2">
        <v>2006.36</v>
      </c>
      <c r="E3109" s="2">
        <v>0</v>
      </c>
      <c r="F3109" t="s">
        <v>8</v>
      </c>
      <c r="G3109" t="s">
        <v>9</v>
      </c>
    </row>
    <row r="3110" spans="1:7" x14ac:dyDescent="0.35">
      <c r="A3110">
        <v>1227</v>
      </c>
      <c r="B3110" s="1">
        <v>45531</v>
      </c>
      <c r="C3110" t="s">
        <v>24</v>
      </c>
      <c r="D3110" s="2">
        <v>0</v>
      </c>
      <c r="E3110" s="2">
        <v>2006.36</v>
      </c>
      <c r="F3110" t="s">
        <v>13</v>
      </c>
      <c r="G3110" t="s">
        <v>9</v>
      </c>
    </row>
    <row r="3111" spans="1:7" x14ac:dyDescent="0.35">
      <c r="A3111">
        <v>1228</v>
      </c>
      <c r="B3111" s="1">
        <v>45531</v>
      </c>
      <c r="C3111" t="s">
        <v>29</v>
      </c>
      <c r="D3111" s="2">
        <v>9336.67</v>
      </c>
      <c r="E3111" s="2">
        <v>0</v>
      </c>
      <c r="F3111" t="s">
        <v>28</v>
      </c>
      <c r="G3111" t="s">
        <v>17</v>
      </c>
    </row>
    <row r="3112" spans="1:7" x14ac:dyDescent="0.35">
      <c r="A3112">
        <v>1228</v>
      </c>
      <c r="B3112" s="1">
        <v>45531</v>
      </c>
      <c r="C3112" t="s">
        <v>29</v>
      </c>
      <c r="D3112" s="2">
        <v>0</v>
      </c>
      <c r="E3112" s="2">
        <v>9336.67</v>
      </c>
      <c r="F3112" t="s">
        <v>8</v>
      </c>
      <c r="G3112" t="s">
        <v>9</v>
      </c>
    </row>
    <row r="3113" spans="1:7" x14ac:dyDescent="0.35">
      <c r="A3113">
        <v>1229</v>
      </c>
      <c r="B3113" s="1">
        <v>45531</v>
      </c>
      <c r="C3113" t="s">
        <v>29</v>
      </c>
      <c r="D3113" s="2">
        <v>201.5</v>
      </c>
      <c r="E3113" s="2">
        <v>0</v>
      </c>
      <c r="F3113" t="s">
        <v>28</v>
      </c>
      <c r="G3113" t="s">
        <v>17</v>
      </c>
    </row>
    <row r="3114" spans="1:7" x14ac:dyDescent="0.35">
      <c r="A3114">
        <v>1229</v>
      </c>
      <c r="B3114" s="1">
        <v>45531</v>
      </c>
      <c r="C3114" t="s">
        <v>29</v>
      </c>
      <c r="D3114" s="2">
        <v>0</v>
      </c>
      <c r="E3114" s="2">
        <v>201.5</v>
      </c>
      <c r="F3114" t="s">
        <v>8</v>
      </c>
      <c r="G3114" t="s">
        <v>9</v>
      </c>
    </row>
    <row r="3115" spans="1:7" x14ac:dyDescent="0.35">
      <c r="A3115">
        <v>1230</v>
      </c>
      <c r="B3115" s="1">
        <v>45532</v>
      </c>
      <c r="C3115" t="s">
        <v>12</v>
      </c>
      <c r="D3115" s="2">
        <v>910.32</v>
      </c>
      <c r="E3115" s="2">
        <v>0</v>
      </c>
      <c r="F3115" t="s">
        <v>13</v>
      </c>
      <c r="G3115" t="s">
        <v>9</v>
      </c>
    </row>
    <row r="3116" spans="1:7" x14ac:dyDescent="0.35">
      <c r="A3116">
        <v>1230</v>
      </c>
      <c r="B3116" s="1">
        <v>45532</v>
      </c>
      <c r="C3116" t="s">
        <v>12</v>
      </c>
      <c r="D3116" s="2">
        <v>0</v>
      </c>
      <c r="E3116" s="2">
        <v>846.81</v>
      </c>
      <c r="F3116" t="s">
        <v>14</v>
      </c>
      <c r="G3116" t="s">
        <v>15</v>
      </c>
    </row>
    <row r="3117" spans="1:7" x14ac:dyDescent="0.35">
      <c r="A3117">
        <v>1230</v>
      </c>
      <c r="B3117" s="1">
        <v>45532</v>
      </c>
      <c r="C3117" t="s">
        <v>12</v>
      </c>
      <c r="D3117" s="2">
        <v>0</v>
      </c>
      <c r="E3117" s="2">
        <v>63.51</v>
      </c>
      <c r="F3117" t="s">
        <v>16</v>
      </c>
      <c r="G3117" t="s">
        <v>17</v>
      </c>
    </row>
    <row r="3118" spans="1:7" x14ac:dyDescent="0.35">
      <c r="A3118">
        <v>1231</v>
      </c>
      <c r="B3118" s="1">
        <v>45532</v>
      </c>
      <c r="C3118" t="s">
        <v>12</v>
      </c>
      <c r="D3118" s="2">
        <v>79.989999999999995</v>
      </c>
      <c r="E3118" s="2">
        <v>0</v>
      </c>
      <c r="F3118" t="s">
        <v>13</v>
      </c>
      <c r="G3118" t="s">
        <v>9</v>
      </c>
    </row>
    <row r="3119" spans="1:7" x14ac:dyDescent="0.35">
      <c r="A3119">
        <v>1231</v>
      </c>
      <c r="B3119" s="1">
        <v>45532</v>
      </c>
      <c r="C3119" t="s">
        <v>12</v>
      </c>
      <c r="D3119" s="2">
        <v>0</v>
      </c>
      <c r="E3119" s="2">
        <v>74.41</v>
      </c>
      <c r="F3119" t="s">
        <v>14</v>
      </c>
      <c r="G3119" t="s">
        <v>15</v>
      </c>
    </row>
    <row r="3120" spans="1:7" x14ac:dyDescent="0.35">
      <c r="A3120">
        <v>1231</v>
      </c>
      <c r="B3120" s="1">
        <v>45532</v>
      </c>
      <c r="C3120" t="s">
        <v>12</v>
      </c>
      <c r="D3120" s="2">
        <v>0</v>
      </c>
      <c r="E3120" s="2">
        <v>5.58</v>
      </c>
      <c r="F3120" t="s">
        <v>16</v>
      </c>
      <c r="G3120" t="s">
        <v>17</v>
      </c>
    </row>
    <row r="3121" spans="1:7" x14ac:dyDescent="0.35">
      <c r="A3121">
        <v>1232</v>
      </c>
      <c r="B3121" s="1">
        <v>45532</v>
      </c>
      <c r="C3121" t="s">
        <v>24</v>
      </c>
      <c r="D3121" s="2">
        <v>1478.19</v>
      </c>
      <c r="E3121" s="2">
        <v>0</v>
      </c>
      <c r="F3121" t="s">
        <v>8</v>
      </c>
      <c r="G3121" t="s">
        <v>9</v>
      </c>
    </row>
    <row r="3122" spans="1:7" x14ac:dyDescent="0.35">
      <c r="A3122">
        <v>1232</v>
      </c>
      <c r="B3122" s="1">
        <v>45532</v>
      </c>
      <c r="C3122" t="s">
        <v>24</v>
      </c>
      <c r="D3122" s="2">
        <v>0</v>
      </c>
      <c r="E3122" s="2">
        <v>1478.19</v>
      </c>
      <c r="F3122" t="s">
        <v>13</v>
      </c>
      <c r="G3122" t="s">
        <v>9</v>
      </c>
    </row>
    <row r="3123" spans="1:7" x14ac:dyDescent="0.35">
      <c r="A3123">
        <v>1233</v>
      </c>
      <c r="B3123" s="1">
        <v>45532</v>
      </c>
      <c r="C3123" t="s">
        <v>24</v>
      </c>
      <c r="D3123" s="2">
        <v>3488.92</v>
      </c>
      <c r="E3123" s="2">
        <v>0</v>
      </c>
      <c r="F3123" t="s">
        <v>8</v>
      </c>
      <c r="G3123" t="s">
        <v>9</v>
      </c>
    </row>
    <row r="3124" spans="1:7" x14ac:dyDescent="0.35">
      <c r="A3124">
        <v>1233</v>
      </c>
      <c r="B3124" s="1">
        <v>45532</v>
      </c>
      <c r="C3124" t="s">
        <v>24</v>
      </c>
      <c r="D3124" s="2">
        <v>0</v>
      </c>
      <c r="E3124" s="2">
        <v>3488.92</v>
      </c>
      <c r="F3124" t="s">
        <v>13</v>
      </c>
      <c r="G3124" t="s">
        <v>9</v>
      </c>
    </row>
    <row r="3125" spans="1:7" x14ac:dyDescent="0.35">
      <c r="A3125">
        <v>1234</v>
      </c>
      <c r="B3125" s="1">
        <v>45532</v>
      </c>
      <c r="C3125" t="s">
        <v>24</v>
      </c>
      <c r="D3125" s="2">
        <v>1668.95</v>
      </c>
      <c r="E3125" s="2">
        <v>0</v>
      </c>
      <c r="F3125" t="s">
        <v>8</v>
      </c>
      <c r="G3125" t="s">
        <v>9</v>
      </c>
    </row>
    <row r="3126" spans="1:7" x14ac:dyDescent="0.35">
      <c r="A3126">
        <v>1234</v>
      </c>
      <c r="B3126" s="1">
        <v>45532</v>
      </c>
      <c r="C3126" t="s">
        <v>24</v>
      </c>
      <c r="D3126" s="2">
        <v>0</v>
      </c>
      <c r="E3126" s="2">
        <v>1668.95</v>
      </c>
      <c r="F3126" t="s">
        <v>13</v>
      </c>
      <c r="G3126" t="s">
        <v>9</v>
      </c>
    </row>
    <row r="3127" spans="1:7" x14ac:dyDescent="0.35">
      <c r="A3127">
        <v>1235</v>
      </c>
      <c r="B3127" s="1">
        <v>45532</v>
      </c>
      <c r="C3127" t="s">
        <v>24</v>
      </c>
      <c r="D3127" s="2">
        <v>1508.27</v>
      </c>
      <c r="E3127" s="2">
        <v>0</v>
      </c>
      <c r="F3127" t="s">
        <v>8</v>
      </c>
      <c r="G3127" t="s">
        <v>9</v>
      </c>
    </row>
    <row r="3128" spans="1:7" x14ac:dyDescent="0.35">
      <c r="A3128">
        <v>1235</v>
      </c>
      <c r="B3128" s="1">
        <v>45532</v>
      </c>
      <c r="C3128" t="s">
        <v>24</v>
      </c>
      <c r="D3128" s="2">
        <v>0</v>
      </c>
      <c r="E3128" s="2">
        <v>1508.27</v>
      </c>
      <c r="F3128" t="s">
        <v>13</v>
      </c>
      <c r="G3128" t="s">
        <v>9</v>
      </c>
    </row>
    <row r="3129" spans="1:7" x14ac:dyDescent="0.35">
      <c r="A3129">
        <v>1236</v>
      </c>
      <c r="B3129" s="1">
        <v>45532</v>
      </c>
      <c r="C3129" t="s">
        <v>24</v>
      </c>
      <c r="D3129" s="2">
        <v>410.36</v>
      </c>
      <c r="E3129" s="2">
        <v>0</v>
      </c>
      <c r="F3129" t="s">
        <v>8</v>
      </c>
      <c r="G3129" t="s">
        <v>9</v>
      </c>
    </row>
    <row r="3130" spans="1:7" x14ac:dyDescent="0.35">
      <c r="A3130">
        <v>1236</v>
      </c>
      <c r="B3130" s="1">
        <v>45532</v>
      </c>
      <c r="C3130" t="s">
        <v>24</v>
      </c>
      <c r="D3130" s="2">
        <v>0</v>
      </c>
      <c r="E3130" s="2">
        <v>410.36</v>
      </c>
      <c r="F3130" t="s">
        <v>13</v>
      </c>
      <c r="G3130" t="s">
        <v>9</v>
      </c>
    </row>
    <row r="3131" spans="1:7" x14ac:dyDescent="0.35">
      <c r="A3131">
        <v>1237</v>
      </c>
      <c r="B3131" s="1">
        <v>45532</v>
      </c>
      <c r="C3131" t="s">
        <v>24</v>
      </c>
      <c r="D3131" s="2">
        <v>1743.69</v>
      </c>
      <c r="E3131" s="2">
        <v>0</v>
      </c>
      <c r="F3131" t="s">
        <v>8</v>
      </c>
      <c r="G3131" t="s">
        <v>9</v>
      </c>
    </row>
    <row r="3132" spans="1:7" x14ac:dyDescent="0.35">
      <c r="A3132">
        <v>1237</v>
      </c>
      <c r="B3132" s="1">
        <v>45532</v>
      </c>
      <c r="C3132" t="s">
        <v>24</v>
      </c>
      <c r="D3132" s="2">
        <v>0</v>
      </c>
      <c r="E3132" s="2">
        <v>1743.69</v>
      </c>
      <c r="F3132" t="s">
        <v>13</v>
      </c>
      <c r="G3132" t="s">
        <v>9</v>
      </c>
    </row>
    <row r="3133" spans="1:7" x14ac:dyDescent="0.35">
      <c r="A3133">
        <v>1238</v>
      </c>
      <c r="B3133" s="1">
        <v>45532</v>
      </c>
      <c r="C3133" t="s">
        <v>29</v>
      </c>
      <c r="D3133" s="2">
        <v>412.54</v>
      </c>
      <c r="E3133" s="2">
        <v>0</v>
      </c>
      <c r="F3133" t="s">
        <v>28</v>
      </c>
      <c r="G3133" t="s">
        <v>17</v>
      </c>
    </row>
    <row r="3134" spans="1:7" x14ac:dyDescent="0.35">
      <c r="A3134">
        <v>1238</v>
      </c>
      <c r="B3134" s="1">
        <v>45532</v>
      </c>
      <c r="C3134" t="s">
        <v>29</v>
      </c>
      <c r="D3134" s="2">
        <v>0</v>
      </c>
      <c r="E3134" s="2">
        <v>412.54</v>
      </c>
      <c r="F3134" t="s">
        <v>8</v>
      </c>
      <c r="G3134" t="s">
        <v>9</v>
      </c>
    </row>
    <row r="3135" spans="1:7" x14ac:dyDescent="0.35">
      <c r="A3135">
        <v>1239</v>
      </c>
      <c r="B3135" s="1">
        <v>45532</v>
      </c>
      <c r="C3135" t="s">
        <v>29</v>
      </c>
      <c r="D3135" s="2">
        <v>2504.23</v>
      </c>
      <c r="E3135" s="2">
        <v>0</v>
      </c>
      <c r="F3135" t="s">
        <v>28</v>
      </c>
      <c r="G3135" t="s">
        <v>17</v>
      </c>
    </row>
    <row r="3136" spans="1:7" x14ac:dyDescent="0.35">
      <c r="A3136">
        <v>1239</v>
      </c>
      <c r="B3136" s="1">
        <v>45532</v>
      </c>
      <c r="C3136" t="s">
        <v>29</v>
      </c>
      <c r="D3136" s="2">
        <v>0</v>
      </c>
      <c r="E3136" s="2">
        <v>2504.23</v>
      </c>
      <c r="F3136" t="s">
        <v>8</v>
      </c>
      <c r="G3136" t="s">
        <v>9</v>
      </c>
    </row>
    <row r="3137" spans="1:7" x14ac:dyDescent="0.35">
      <c r="A3137">
        <v>1240</v>
      </c>
      <c r="B3137" s="1">
        <v>45533</v>
      </c>
      <c r="C3137" t="s">
        <v>18</v>
      </c>
      <c r="D3137" s="2">
        <v>22037.74</v>
      </c>
      <c r="E3137" s="2">
        <v>0</v>
      </c>
      <c r="F3137" t="s">
        <v>19</v>
      </c>
      <c r="G3137" t="s">
        <v>20</v>
      </c>
    </row>
    <row r="3138" spans="1:7" x14ac:dyDescent="0.35">
      <c r="A3138">
        <v>1240</v>
      </c>
      <c r="B3138" s="1">
        <v>45533</v>
      </c>
      <c r="C3138" t="s">
        <v>18</v>
      </c>
      <c r="D3138" s="2">
        <v>881.51</v>
      </c>
      <c r="E3138" s="2">
        <v>0</v>
      </c>
      <c r="F3138" t="s">
        <v>21</v>
      </c>
      <c r="G3138" t="s">
        <v>20</v>
      </c>
    </row>
    <row r="3139" spans="1:7" x14ac:dyDescent="0.35">
      <c r="A3139">
        <v>1240</v>
      </c>
      <c r="B3139" s="1">
        <v>45533</v>
      </c>
      <c r="C3139" t="s">
        <v>18</v>
      </c>
      <c r="D3139" s="2">
        <v>0</v>
      </c>
      <c r="E3139" s="2">
        <v>17968.47</v>
      </c>
      <c r="F3139" t="s">
        <v>8</v>
      </c>
      <c r="G3139" t="s">
        <v>9</v>
      </c>
    </row>
    <row r="3140" spans="1:7" x14ac:dyDescent="0.35">
      <c r="A3140">
        <v>1240</v>
      </c>
      <c r="B3140" s="1">
        <v>45533</v>
      </c>
      <c r="C3140" t="s">
        <v>18</v>
      </c>
      <c r="D3140" s="2">
        <v>0</v>
      </c>
      <c r="E3140" s="2">
        <v>4069.27</v>
      </c>
      <c r="F3140" t="s">
        <v>22</v>
      </c>
      <c r="G3140" t="s">
        <v>17</v>
      </c>
    </row>
    <row r="3141" spans="1:7" x14ac:dyDescent="0.35">
      <c r="A3141">
        <v>1240</v>
      </c>
      <c r="B3141" s="1">
        <v>45533</v>
      </c>
      <c r="C3141" t="s">
        <v>18</v>
      </c>
      <c r="D3141" s="2">
        <v>0</v>
      </c>
      <c r="E3141" s="2">
        <v>881.51</v>
      </c>
      <c r="F3141" t="s">
        <v>23</v>
      </c>
      <c r="G3141" t="s">
        <v>17</v>
      </c>
    </row>
    <row r="3142" spans="1:7" x14ac:dyDescent="0.35">
      <c r="A3142">
        <v>1241</v>
      </c>
      <c r="B3142" s="1">
        <v>45533</v>
      </c>
      <c r="C3142" t="s">
        <v>12</v>
      </c>
      <c r="D3142" s="2">
        <v>4810.13</v>
      </c>
      <c r="E3142" s="2">
        <v>0</v>
      </c>
      <c r="F3142" t="s">
        <v>13</v>
      </c>
      <c r="G3142" t="s">
        <v>9</v>
      </c>
    </row>
    <row r="3143" spans="1:7" x14ac:dyDescent="0.35">
      <c r="A3143">
        <v>1241</v>
      </c>
      <c r="B3143" s="1">
        <v>45533</v>
      </c>
      <c r="C3143" t="s">
        <v>12</v>
      </c>
      <c r="D3143" s="2">
        <v>0</v>
      </c>
      <c r="E3143" s="2">
        <v>4474.54</v>
      </c>
      <c r="F3143" t="s">
        <v>14</v>
      </c>
      <c r="G3143" t="s">
        <v>15</v>
      </c>
    </row>
    <row r="3144" spans="1:7" x14ac:dyDescent="0.35">
      <c r="A3144">
        <v>1241</v>
      </c>
      <c r="B3144" s="1">
        <v>45533</v>
      </c>
      <c r="C3144" t="s">
        <v>12</v>
      </c>
      <c r="D3144" s="2">
        <v>0</v>
      </c>
      <c r="E3144" s="2">
        <v>335.59</v>
      </c>
      <c r="F3144" t="s">
        <v>16</v>
      </c>
      <c r="G3144" t="s">
        <v>17</v>
      </c>
    </row>
    <row r="3145" spans="1:7" x14ac:dyDescent="0.35">
      <c r="A3145">
        <v>1242</v>
      </c>
      <c r="B3145" s="1">
        <v>45533</v>
      </c>
      <c r="C3145" t="s">
        <v>24</v>
      </c>
      <c r="D3145" s="2">
        <v>3141.81</v>
      </c>
      <c r="E3145" s="2">
        <v>0</v>
      </c>
      <c r="F3145" t="s">
        <v>8</v>
      </c>
      <c r="G3145" t="s">
        <v>9</v>
      </c>
    </row>
    <row r="3146" spans="1:7" x14ac:dyDescent="0.35">
      <c r="A3146">
        <v>1242</v>
      </c>
      <c r="B3146" s="1">
        <v>45533</v>
      </c>
      <c r="C3146" t="s">
        <v>24</v>
      </c>
      <c r="D3146" s="2">
        <v>0</v>
      </c>
      <c r="E3146" s="2">
        <v>3141.81</v>
      </c>
      <c r="F3146" t="s">
        <v>13</v>
      </c>
      <c r="G3146" t="s">
        <v>9</v>
      </c>
    </row>
    <row r="3147" spans="1:7" x14ac:dyDescent="0.35">
      <c r="A3147">
        <v>1243</v>
      </c>
      <c r="B3147" s="1">
        <v>45533</v>
      </c>
      <c r="C3147" t="s">
        <v>24</v>
      </c>
      <c r="D3147" s="2">
        <v>919.84</v>
      </c>
      <c r="E3147" s="2">
        <v>0</v>
      </c>
      <c r="F3147" t="s">
        <v>8</v>
      </c>
      <c r="G3147" t="s">
        <v>9</v>
      </c>
    </row>
    <row r="3148" spans="1:7" x14ac:dyDescent="0.35">
      <c r="A3148">
        <v>1243</v>
      </c>
      <c r="B3148" s="1">
        <v>45533</v>
      </c>
      <c r="C3148" t="s">
        <v>24</v>
      </c>
      <c r="D3148" s="2">
        <v>0</v>
      </c>
      <c r="E3148" s="2">
        <v>919.84</v>
      </c>
      <c r="F3148" t="s">
        <v>13</v>
      </c>
      <c r="G3148" t="s">
        <v>9</v>
      </c>
    </row>
    <row r="3149" spans="1:7" x14ac:dyDescent="0.35">
      <c r="A3149">
        <v>1244</v>
      </c>
      <c r="B3149" s="1">
        <v>45533</v>
      </c>
      <c r="C3149" t="s">
        <v>25</v>
      </c>
      <c r="D3149" s="2">
        <v>257.04000000000002</v>
      </c>
      <c r="E3149" s="2">
        <v>0</v>
      </c>
      <c r="F3149" t="s">
        <v>26</v>
      </c>
      <c r="G3149" t="s">
        <v>20</v>
      </c>
    </row>
    <row r="3150" spans="1:7" x14ac:dyDescent="0.35">
      <c r="A3150">
        <v>1244</v>
      </c>
      <c r="B3150" s="1">
        <v>45533</v>
      </c>
      <c r="C3150" t="s">
        <v>25</v>
      </c>
      <c r="D3150" s="2">
        <v>19.28</v>
      </c>
      <c r="E3150" s="2">
        <v>0</v>
      </c>
      <c r="F3150" t="s">
        <v>27</v>
      </c>
      <c r="G3150" t="s">
        <v>9</v>
      </c>
    </row>
    <row r="3151" spans="1:7" x14ac:dyDescent="0.35">
      <c r="A3151">
        <v>1244</v>
      </c>
      <c r="B3151" s="1">
        <v>45533</v>
      </c>
      <c r="C3151" t="s">
        <v>25</v>
      </c>
      <c r="D3151" s="2">
        <v>0</v>
      </c>
      <c r="E3151" s="2">
        <v>276.32</v>
      </c>
      <c r="F3151" t="s">
        <v>28</v>
      </c>
      <c r="G3151" t="s">
        <v>17</v>
      </c>
    </row>
    <row r="3152" spans="1:7" x14ac:dyDescent="0.35">
      <c r="A3152">
        <v>1245</v>
      </c>
      <c r="B3152" s="1">
        <v>45533</v>
      </c>
      <c r="C3152" t="s">
        <v>25</v>
      </c>
      <c r="D3152" s="2">
        <v>187.44</v>
      </c>
      <c r="E3152" s="2">
        <v>0</v>
      </c>
      <c r="F3152" t="s">
        <v>26</v>
      </c>
      <c r="G3152" t="s">
        <v>20</v>
      </c>
    </row>
    <row r="3153" spans="1:7" x14ac:dyDescent="0.35">
      <c r="A3153">
        <v>1245</v>
      </c>
      <c r="B3153" s="1">
        <v>45533</v>
      </c>
      <c r="C3153" t="s">
        <v>25</v>
      </c>
      <c r="D3153" s="2">
        <v>14.06</v>
      </c>
      <c r="E3153" s="2">
        <v>0</v>
      </c>
      <c r="F3153" t="s">
        <v>27</v>
      </c>
      <c r="G3153" t="s">
        <v>9</v>
      </c>
    </row>
    <row r="3154" spans="1:7" x14ac:dyDescent="0.35">
      <c r="A3154">
        <v>1245</v>
      </c>
      <c r="B3154" s="1">
        <v>45533</v>
      </c>
      <c r="C3154" t="s">
        <v>25</v>
      </c>
      <c r="D3154" s="2">
        <v>0</v>
      </c>
      <c r="E3154" s="2">
        <v>201.5</v>
      </c>
      <c r="F3154" t="s">
        <v>28</v>
      </c>
      <c r="G3154" t="s">
        <v>17</v>
      </c>
    </row>
    <row r="3155" spans="1:7" x14ac:dyDescent="0.35">
      <c r="A3155">
        <v>1246</v>
      </c>
      <c r="B3155" s="1">
        <v>45533</v>
      </c>
      <c r="C3155" t="s">
        <v>29</v>
      </c>
      <c r="D3155" s="2">
        <v>550.4</v>
      </c>
      <c r="E3155" s="2">
        <v>0</v>
      </c>
      <c r="F3155" t="s">
        <v>28</v>
      </c>
      <c r="G3155" t="s">
        <v>17</v>
      </c>
    </row>
    <row r="3156" spans="1:7" x14ac:dyDescent="0.35">
      <c r="A3156">
        <v>1246</v>
      </c>
      <c r="B3156" s="1">
        <v>45533</v>
      </c>
      <c r="C3156" t="s">
        <v>29</v>
      </c>
      <c r="D3156" s="2">
        <v>0</v>
      </c>
      <c r="E3156" s="2">
        <v>550.4</v>
      </c>
      <c r="F3156" t="s">
        <v>8</v>
      </c>
      <c r="G3156" t="s">
        <v>9</v>
      </c>
    </row>
    <row r="3157" spans="1:7" x14ac:dyDescent="0.35">
      <c r="A3157">
        <v>1247</v>
      </c>
      <c r="B3157" s="1">
        <v>45533</v>
      </c>
      <c r="C3157" t="s">
        <v>29</v>
      </c>
      <c r="D3157" s="2">
        <v>1023.42</v>
      </c>
      <c r="E3157" s="2">
        <v>0</v>
      </c>
      <c r="F3157" t="s">
        <v>28</v>
      </c>
      <c r="G3157" t="s">
        <v>17</v>
      </c>
    </row>
    <row r="3158" spans="1:7" x14ac:dyDescent="0.35">
      <c r="A3158">
        <v>1247</v>
      </c>
      <c r="B3158" s="1">
        <v>45533</v>
      </c>
      <c r="C3158" t="s">
        <v>29</v>
      </c>
      <c r="D3158" s="2">
        <v>0</v>
      </c>
      <c r="E3158" s="2">
        <v>1023.42</v>
      </c>
      <c r="F3158" t="s">
        <v>8</v>
      </c>
      <c r="G3158" t="s">
        <v>9</v>
      </c>
    </row>
    <row r="3159" spans="1:7" x14ac:dyDescent="0.35">
      <c r="A3159">
        <v>1248</v>
      </c>
      <c r="B3159" s="1">
        <v>45534</v>
      </c>
      <c r="C3159" t="s">
        <v>12</v>
      </c>
      <c r="D3159" s="2">
        <v>2180.5</v>
      </c>
      <c r="E3159" s="2">
        <v>0</v>
      </c>
      <c r="F3159" t="s">
        <v>13</v>
      </c>
      <c r="G3159" t="s">
        <v>9</v>
      </c>
    </row>
    <row r="3160" spans="1:7" x14ac:dyDescent="0.35">
      <c r="A3160">
        <v>1248</v>
      </c>
      <c r="B3160" s="1">
        <v>45534</v>
      </c>
      <c r="C3160" t="s">
        <v>12</v>
      </c>
      <c r="D3160" s="2">
        <v>0</v>
      </c>
      <c r="E3160" s="2">
        <v>2028.37</v>
      </c>
      <c r="F3160" t="s">
        <v>14</v>
      </c>
      <c r="G3160" t="s">
        <v>15</v>
      </c>
    </row>
    <row r="3161" spans="1:7" x14ac:dyDescent="0.35">
      <c r="A3161">
        <v>1248</v>
      </c>
      <c r="B3161" s="1">
        <v>45534</v>
      </c>
      <c r="C3161" t="s">
        <v>12</v>
      </c>
      <c r="D3161" s="2">
        <v>0</v>
      </c>
      <c r="E3161" s="2">
        <v>152.13</v>
      </c>
      <c r="F3161" t="s">
        <v>16</v>
      </c>
      <c r="G3161" t="s">
        <v>17</v>
      </c>
    </row>
    <row r="3162" spans="1:7" x14ac:dyDescent="0.35">
      <c r="A3162">
        <v>1249</v>
      </c>
      <c r="B3162" s="1">
        <v>45534</v>
      </c>
      <c r="C3162" t="s">
        <v>12</v>
      </c>
      <c r="D3162" s="2">
        <v>2422.37</v>
      </c>
      <c r="E3162" s="2">
        <v>0</v>
      </c>
      <c r="F3162" t="s">
        <v>13</v>
      </c>
      <c r="G3162" t="s">
        <v>9</v>
      </c>
    </row>
    <row r="3163" spans="1:7" x14ac:dyDescent="0.35">
      <c r="A3163">
        <v>1249</v>
      </c>
      <c r="B3163" s="1">
        <v>45534</v>
      </c>
      <c r="C3163" t="s">
        <v>12</v>
      </c>
      <c r="D3163" s="2">
        <v>0</v>
      </c>
      <c r="E3163" s="2">
        <v>2253.36</v>
      </c>
      <c r="F3163" t="s">
        <v>14</v>
      </c>
      <c r="G3163" t="s">
        <v>15</v>
      </c>
    </row>
    <row r="3164" spans="1:7" x14ac:dyDescent="0.35">
      <c r="A3164">
        <v>1249</v>
      </c>
      <c r="B3164" s="1">
        <v>45534</v>
      </c>
      <c r="C3164" t="s">
        <v>12</v>
      </c>
      <c r="D3164" s="2">
        <v>0</v>
      </c>
      <c r="E3164" s="2">
        <v>169.01</v>
      </c>
      <c r="F3164" t="s">
        <v>16</v>
      </c>
      <c r="G3164" t="s">
        <v>17</v>
      </c>
    </row>
    <row r="3165" spans="1:7" x14ac:dyDescent="0.35">
      <c r="A3165">
        <v>1250</v>
      </c>
      <c r="B3165" s="1">
        <v>45534</v>
      </c>
      <c r="C3165" t="s">
        <v>12</v>
      </c>
      <c r="D3165" s="2">
        <v>1271.6199999999999</v>
      </c>
      <c r="E3165" s="2">
        <v>0</v>
      </c>
      <c r="F3165" t="s">
        <v>13</v>
      </c>
      <c r="G3165" t="s">
        <v>9</v>
      </c>
    </row>
    <row r="3166" spans="1:7" x14ac:dyDescent="0.35">
      <c r="A3166">
        <v>1250</v>
      </c>
      <c r="B3166" s="1">
        <v>45534</v>
      </c>
      <c r="C3166" t="s">
        <v>12</v>
      </c>
      <c r="D3166" s="2">
        <v>0</v>
      </c>
      <c r="E3166" s="2">
        <v>1182.9000000000001</v>
      </c>
      <c r="F3166" t="s">
        <v>14</v>
      </c>
      <c r="G3166" t="s">
        <v>15</v>
      </c>
    </row>
    <row r="3167" spans="1:7" x14ac:dyDescent="0.35">
      <c r="A3167">
        <v>1250</v>
      </c>
      <c r="B3167" s="1">
        <v>45534</v>
      </c>
      <c r="C3167" t="s">
        <v>12</v>
      </c>
      <c r="D3167" s="2">
        <v>0</v>
      </c>
      <c r="E3167" s="2">
        <v>88.72</v>
      </c>
      <c r="F3167" t="s">
        <v>16</v>
      </c>
      <c r="G3167" t="s">
        <v>17</v>
      </c>
    </row>
    <row r="3168" spans="1:7" x14ac:dyDescent="0.35">
      <c r="A3168">
        <v>1251</v>
      </c>
      <c r="B3168" s="1">
        <v>45534</v>
      </c>
      <c r="C3168" t="s">
        <v>12</v>
      </c>
      <c r="D3168" s="2">
        <v>2793.21</v>
      </c>
      <c r="E3168" s="2">
        <v>0</v>
      </c>
      <c r="F3168" t="s">
        <v>13</v>
      </c>
      <c r="G3168" t="s">
        <v>9</v>
      </c>
    </row>
    <row r="3169" spans="1:7" x14ac:dyDescent="0.35">
      <c r="A3169">
        <v>1251</v>
      </c>
      <c r="B3169" s="1">
        <v>45534</v>
      </c>
      <c r="C3169" t="s">
        <v>12</v>
      </c>
      <c r="D3169" s="2">
        <v>0</v>
      </c>
      <c r="E3169" s="2">
        <v>2598.34</v>
      </c>
      <c r="F3169" t="s">
        <v>14</v>
      </c>
      <c r="G3169" t="s">
        <v>15</v>
      </c>
    </row>
    <row r="3170" spans="1:7" x14ac:dyDescent="0.35">
      <c r="A3170">
        <v>1251</v>
      </c>
      <c r="B3170" s="1">
        <v>45534</v>
      </c>
      <c r="C3170" t="s">
        <v>12</v>
      </c>
      <c r="D3170" s="2">
        <v>0</v>
      </c>
      <c r="E3170" s="2">
        <v>194.87</v>
      </c>
      <c r="F3170" t="s">
        <v>16</v>
      </c>
      <c r="G3170" t="s">
        <v>17</v>
      </c>
    </row>
    <row r="3171" spans="1:7" x14ac:dyDescent="0.35">
      <c r="A3171">
        <v>1252</v>
      </c>
      <c r="B3171" s="1">
        <v>45534</v>
      </c>
      <c r="C3171" t="s">
        <v>24</v>
      </c>
      <c r="D3171" s="2">
        <v>2082.75</v>
      </c>
      <c r="E3171" s="2">
        <v>0</v>
      </c>
      <c r="F3171" t="s">
        <v>8</v>
      </c>
      <c r="G3171" t="s">
        <v>9</v>
      </c>
    </row>
    <row r="3172" spans="1:7" x14ac:dyDescent="0.35">
      <c r="A3172">
        <v>1252</v>
      </c>
      <c r="B3172" s="1">
        <v>45534</v>
      </c>
      <c r="C3172" t="s">
        <v>24</v>
      </c>
      <c r="D3172" s="2">
        <v>0</v>
      </c>
      <c r="E3172" s="2">
        <v>2082.75</v>
      </c>
      <c r="F3172" t="s">
        <v>13</v>
      </c>
      <c r="G3172" t="s">
        <v>9</v>
      </c>
    </row>
    <row r="3173" spans="1:7" x14ac:dyDescent="0.35">
      <c r="A3173">
        <v>1253</v>
      </c>
      <c r="B3173" s="1">
        <v>45534</v>
      </c>
      <c r="C3173" t="s">
        <v>24</v>
      </c>
      <c r="D3173" s="2">
        <v>2274.79</v>
      </c>
      <c r="E3173" s="2">
        <v>0</v>
      </c>
      <c r="F3173" t="s">
        <v>8</v>
      </c>
      <c r="G3173" t="s">
        <v>9</v>
      </c>
    </row>
    <row r="3174" spans="1:7" x14ac:dyDescent="0.35">
      <c r="A3174">
        <v>1253</v>
      </c>
      <c r="B3174" s="1">
        <v>45534</v>
      </c>
      <c r="C3174" t="s">
        <v>24</v>
      </c>
      <c r="D3174" s="2">
        <v>0</v>
      </c>
      <c r="E3174" s="2">
        <v>2274.79</v>
      </c>
      <c r="F3174" t="s">
        <v>13</v>
      </c>
      <c r="G3174" t="s">
        <v>9</v>
      </c>
    </row>
    <row r="3175" spans="1:7" x14ac:dyDescent="0.35">
      <c r="A3175">
        <v>1254</v>
      </c>
      <c r="B3175" s="1">
        <v>45534</v>
      </c>
      <c r="C3175" t="s">
        <v>24</v>
      </c>
      <c r="D3175" s="2">
        <v>3957.68</v>
      </c>
      <c r="E3175" s="2">
        <v>0</v>
      </c>
      <c r="F3175" t="s">
        <v>8</v>
      </c>
      <c r="G3175" t="s">
        <v>9</v>
      </c>
    </row>
    <row r="3176" spans="1:7" x14ac:dyDescent="0.35">
      <c r="A3176">
        <v>1254</v>
      </c>
      <c r="B3176" s="1">
        <v>45534</v>
      </c>
      <c r="C3176" t="s">
        <v>24</v>
      </c>
      <c r="D3176" s="2">
        <v>0</v>
      </c>
      <c r="E3176" s="2">
        <v>3957.68</v>
      </c>
      <c r="F3176" t="s">
        <v>13</v>
      </c>
      <c r="G3176" t="s">
        <v>9</v>
      </c>
    </row>
    <row r="3177" spans="1:7" x14ac:dyDescent="0.35">
      <c r="A3177">
        <v>1255</v>
      </c>
      <c r="B3177" s="1">
        <v>45534</v>
      </c>
      <c r="C3177" t="s">
        <v>29</v>
      </c>
      <c r="D3177" s="2">
        <v>4812.46</v>
      </c>
      <c r="E3177" s="2">
        <v>0</v>
      </c>
      <c r="F3177" t="s">
        <v>28</v>
      </c>
      <c r="G3177" t="s">
        <v>17</v>
      </c>
    </row>
    <row r="3178" spans="1:7" x14ac:dyDescent="0.35">
      <c r="A3178">
        <v>1255</v>
      </c>
      <c r="B3178" s="1">
        <v>45534</v>
      </c>
      <c r="C3178" t="s">
        <v>29</v>
      </c>
      <c r="D3178" s="2">
        <v>0</v>
      </c>
      <c r="E3178" s="2">
        <v>4812.46</v>
      </c>
      <c r="F3178" t="s">
        <v>8</v>
      </c>
      <c r="G3178" t="s">
        <v>9</v>
      </c>
    </row>
    <row r="3179" spans="1:7" x14ac:dyDescent="0.35">
      <c r="A3179">
        <v>1256</v>
      </c>
      <c r="B3179" s="1">
        <v>45535</v>
      </c>
      <c r="C3179" t="s">
        <v>30</v>
      </c>
      <c r="D3179" s="2">
        <v>93.61</v>
      </c>
      <c r="E3179" s="2">
        <v>0</v>
      </c>
      <c r="F3179" t="s">
        <v>31</v>
      </c>
      <c r="G3179" t="s">
        <v>20</v>
      </c>
    </row>
    <row r="3180" spans="1:7" x14ac:dyDescent="0.35">
      <c r="A3180">
        <v>1256</v>
      </c>
      <c r="B3180" s="1">
        <v>45535</v>
      </c>
      <c r="C3180" t="s">
        <v>30</v>
      </c>
      <c r="D3180" s="2">
        <v>0</v>
      </c>
      <c r="E3180" s="2">
        <v>93.61</v>
      </c>
      <c r="F3180" t="s">
        <v>32</v>
      </c>
      <c r="G3180" t="s">
        <v>9</v>
      </c>
    </row>
    <row r="3181" spans="1:7" x14ac:dyDescent="0.35">
      <c r="A3181">
        <v>1257</v>
      </c>
      <c r="B3181" s="1">
        <v>45535</v>
      </c>
      <c r="C3181" t="s">
        <v>33</v>
      </c>
      <c r="D3181" s="2">
        <v>76.86</v>
      </c>
      <c r="E3181" s="2">
        <v>0</v>
      </c>
      <c r="F3181" t="s">
        <v>31</v>
      </c>
      <c r="G3181" t="s">
        <v>20</v>
      </c>
    </row>
    <row r="3182" spans="1:7" x14ac:dyDescent="0.35">
      <c r="A3182">
        <v>1257</v>
      </c>
      <c r="B3182" s="1">
        <v>45535</v>
      </c>
      <c r="C3182" t="s">
        <v>33</v>
      </c>
      <c r="D3182" s="2">
        <v>0</v>
      </c>
      <c r="E3182" s="2">
        <v>76.86</v>
      </c>
      <c r="F3182" t="s">
        <v>32</v>
      </c>
      <c r="G3182" t="s">
        <v>9</v>
      </c>
    </row>
    <row r="3183" spans="1:7" x14ac:dyDescent="0.35">
      <c r="A3183">
        <v>1258</v>
      </c>
      <c r="B3183" s="1">
        <v>45535</v>
      </c>
      <c r="C3183" t="s">
        <v>34</v>
      </c>
      <c r="D3183" s="2">
        <v>20.03</v>
      </c>
      <c r="E3183" s="2">
        <v>0</v>
      </c>
      <c r="F3183" t="s">
        <v>31</v>
      </c>
      <c r="G3183" t="s">
        <v>20</v>
      </c>
    </row>
    <row r="3184" spans="1:7" x14ac:dyDescent="0.35">
      <c r="A3184">
        <v>1258</v>
      </c>
      <c r="B3184" s="1">
        <v>45535</v>
      </c>
      <c r="C3184" t="s">
        <v>34</v>
      </c>
      <c r="D3184" s="2">
        <v>0</v>
      </c>
      <c r="E3184" s="2">
        <v>20.03</v>
      </c>
      <c r="F3184" t="s">
        <v>32</v>
      </c>
      <c r="G3184" t="s">
        <v>9</v>
      </c>
    </row>
    <row r="3185" spans="1:7" x14ac:dyDescent="0.35">
      <c r="A3185">
        <v>1259</v>
      </c>
      <c r="B3185" s="1">
        <v>45535</v>
      </c>
      <c r="C3185" t="s">
        <v>35</v>
      </c>
      <c r="D3185" s="2">
        <v>86.89</v>
      </c>
      <c r="E3185" s="2">
        <v>0</v>
      </c>
      <c r="F3185" t="s">
        <v>31</v>
      </c>
      <c r="G3185" t="s">
        <v>20</v>
      </c>
    </row>
    <row r="3186" spans="1:7" x14ac:dyDescent="0.35">
      <c r="A3186">
        <v>1259</v>
      </c>
      <c r="B3186" s="1">
        <v>45535</v>
      </c>
      <c r="C3186" t="s">
        <v>35</v>
      </c>
      <c r="D3186" s="2">
        <v>0</v>
      </c>
      <c r="E3186" s="2">
        <v>86.89</v>
      </c>
      <c r="F3186" t="s">
        <v>36</v>
      </c>
      <c r="G3186" t="s">
        <v>9</v>
      </c>
    </row>
    <row r="3187" spans="1:7" x14ac:dyDescent="0.35">
      <c r="A3187">
        <v>1260</v>
      </c>
      <c r="B3187" s="1">
        <v>45535</v>
      </c>
      <c r="C3187" t="s">
        <v>37</v>
      </c>
      <c r="D3187" s="2">
        <v>76.8</v>
      </c>
      <c r="E3187" s="2">
        <v>0</v>
      </c>
      <c r="F3187" t="s">
        <v>31</v>
      </c>
      <c r="G3187" t="s">
        <v>20</v>
      </c>
    </row>
    <row r="3188" spans="1:7" x14ac:dyDescent="0.35">
      <c r="A3188">
        <v>1260</v>
      </c>
      <c r="B3188" s="1">
        <v>45535</v>
      </c>
      <c r="C3188" t="s">
        <v>37</v>
      </c>
      <c r="D3188" s="2">
        <v>0</v>
      </c>
      <c r="E3188" s="2">
        <v>76.8</v>
      </c>
      <c r="F3188" t="s">
        <v>36</v>
      </c>
      <c r="G3188" t="s">
        <v>9</v>
      </c>
    </row>
    <row r="3189" spans="1:7" x14ac:dyDescent="0.35">
      <c r="A3189">
        <v>1261</v>
      </c>
      <c r="B3189" s="1">
        <v>45535</v>
      </c>
      <c r="C3189" t="s">
        <v>38</v>
      </c>
      <c r="D3189" s="2">
        <v>48.28</v>
      </c>
      <c r="E3189" s="2">
        <v>0</v>
      </c>
      <c r="F3189" t="s">
        <v>31</v>
      </c>
      <c r="G3189" t="s">
        <v>20</v>
      </c>
    </row>
    <row r="3190" spans="1:7" x14ac:dyDescent="0.35">
      <c r="A3190">
        <v>1261</v>
      </c>
      <c r="B3190" s="1">
        <v>45535</v>
      </c>
      <c r="C3190" t="s">
        <v>38</v>
      </c>
      <c r="D3190" s="2">
        <v>0</v>
      </c>
      <c r="E3190" s="2">
        <v>48.28</v>
      </c>
      <c r="F3190" t="s">
        <v>36</v>
      </c>
      <c r="G3190" t="s">
        <v>9</v>
      </c>
    </row>
    <row r="3191" spans="1:7" x14ac:dyDescent="0.35">
      <c r="A3191">
        <v>1262</v>
      </c>
      <c r="B3191" s="1">
        <v>45535</v>
      </c>
      <c r="C3191" t="s">
        <v>39</v>
      </c>
      <c r="D3191" s="2">
        <v>53.21</v>
      </c>
      <c r="E3191" s="2">
        <v>0</v>
      </c>
      <c r="F3191" t="s">
        <v>31</v>
      </c>
      <c r="G3191" t="s">
        <v>20</v>
      </c>
    </row>
    <row r="3192" spans="1:7" x14ac:dyDescent="0.35">
      <c r="A3192">
        <v>1262</v>
      </c>
      <c r="B3192" s="1">
        <v>45535</v>
      </c>
      <c r="C3192" t="s">
        <v>39</v>
      </c>
      <c r="D3192" s="2">
        <v>0</v>
      </c>
      <c r="E3192" s="2">
        <v>53.21</v>
      </c>
      <c r="F3192" t="s">
        <v>36</v>
      </c>
      <c r="G3192" t="s">
        <v>9</v>
      </c>
    </row>
    <row r="3193" spans="1:7" x14ac:dyDescent="0.35">
      <c r="A3193">
        <v>1263</v>
      </c>
      <c r="B3193" s="1">
        <v>45535</v>
      </c>
      <c r="C3193" t="s">
        <v>40</v>
      </c>
      <c r="D3193" s="2">
        <v>232.19</v>
      </c>
      <c r="E3193" s="2">
        <v>0</v>
      </c>
      <c r="F3193" t="s">
        <v>31</v>
      </c>
      <c r="G3193" t="s">
        <v>20</v>
      </c>
    </row>
    <row r="3194" spans="1:7" x14ac:dyDescent="0.35">
      <c r="A3194">
        <v>1263</v>
      </c>
      <c r="B3194" s="1">
        <v>45535</v>
      </c>
      <c r="C3194" t="s">
        <v>40</v>
      </c>
      <c r="D3194" s="2">
        <v>0</v>
      </c>
      <c r="E3194" s="2">
        <v>232.19</v>
      </c>
      <c r="F3194" t="s">
        <v>41</v>
      </c>
      <c r="G3194" t="s">
        <v>9</v>
      </c>
    </row>
    <row r="3195" spans="1:7" x14ac:dyDescent="0.35">
      <c r="A3195">
        <v>1264</v>
      </c>
      <c r="B3195" s="1">
        <v>45535</v>
      </c>
      <c r="C3195" t="s">
        <v>42</v>
      </c>
      <c r="D3195" s="2">
        <v>43.85</v>
      </c>
      <c r="E3195" s="2">
        <v>0</v>
      </c>
      <c r="F3195" t="s">
        <v>31</v>
      </c>
      <c r="G3195" t="s">
        <v>20</v>
      </c>
    </row>
    <row r="3196" spans="1:7" x14ac:dyDescent="0.35">
      <c r="A3196">
        <v>1264</v>
      </c>
      <c r="B3196" s="1">
        <v>45535</v>
      </c>
      <c r="C3196" t="s">
        <v>42</v>
      </c>
      <c r="D3196" s="2">
        <v>0</v>
      </c>
      <c r="E3196" s="2">
        <v>43.85</v>
      </c>
      <c r="F3196" t="s">
        <v>32</v>
      </c>
      <c r="G3196" t="s">
        <v>9</v>
      </c>
    </row>
    <row r="3197" spans="1:7" x14ac:dyDescent="0.35">
      <c r="A3197">
        <v>1265</v>
      </c>
      <c r="B3197" s="1">
        <v>45537</v>
      </c>
      <c r="C3197" t="s">
        <v>12</v>
      </c>
      <c r="D3197" s="2">
        <v>1314.49</v>
      </c>
      <c r="E3197" s="2">
        <v>0</v>
      </c>
      <c r="F3197" t="s">
        <v>13</v>
      </c>
      <c r="G3197" t="s">
        <v>9</v>
      </c>
    </row>
    <row r="3198" spans="1:7" x14ac:dyDescent="0.35">
      <c r="A3198">
        <v>1265</v>
      </c>
      <c r="B3198" s="1">
        <v>45537</v>
      </c>
      <c r="C3198" t="s">
        <v>12</v>
      </c>
      <c r="D3198" s="2">
        <v>0</v>
      </c>
      <c r="E3198" s="2">
        <v>1222.78</v>
      </c>
      <c r="F3198" t="s">
        <v>14</v>
      </c>
      <c r="G3198" t="s">
        <v>15</v>
      </c>
    </row>
    <row r="3199" spans="1:7" x14ac:dyDescent="0.35">
      <c r="A3199">
        <v>1265</v>
      </c>
      <c r="B3199" s="1">
        <v>45537</v>
      </c>
      <c r="C3199" t="s">
        <v>12</v>
      </c>
      <c r="D3199" s="2">
        <v>0</v>
      </c>
      <c r="E3199" s="2">
        <v>91.71</v>
      </c>
      <c r="F3199" t="s">
        <v>16</v>
      </c>
      <c r="G3199" t="s">
        <v>17</v>
      </c>
    </row>
    <row r="3200" spans="1:7" x14ac:dyDescent="0.35">
      <c r="A3200">
        <v>1266</v>
      </c>
      <c r="B3200" s="1">
        <v>45537</v>
      </c>
      <c r="C3200" t="s">
        <v>12</v>
      </c>
      <c r="D3200" s="2">
        <v>4327.01</v>
      </c>
      <c r="E3200" s="2">
        <v>0</v>
      </c>
      <c r="F3200" t="s">
        <v>13</v>
      </c>
      <c r="G3200" t="s">
        <v>9</v>
      </c>
    </row>
    <row r="3201" spans="1:7" x14ac:dyDescent="0.35">
      <c r="A3201">
        <v>1266</v>
      </c>
      <c r="B3201" s="1">
        <v>45537</v>
      </c>
      <c r="C3201" t="s">
        <v>12</v>
      </c>
      <c r="D3201" s="2">
        <v>0</v>
      </c>
      <c r="E3201" s="2">
        <v>4025.12</v>
      </c>
      <c r="F3201" t="s">
        <v>14</v>
      </c>
      <c r="G3201" t="s">
        <v>15</v>
      </c>
    </row>
    <row r="3202" spans="1:7" x14ac:dyDescent="0.35">
      <c r="A3202">
        <v>1266</v>
      </c>
      <c r="B3202" s="1">
        <v>45537</v>
      </c>
      <c r="C3202" t="s">
        <v>12</v>
      </c>
      <c r="D3202" s="2">
        <v>0</v>
      </c>
      <c r="E3202" s="2">
        <v>301.89</v>
      </c>
      <c r="F3202" t="s">
        <v>16</v>
      </c>
      <c r="G3202" t="s">
        <v>17</v>
      </c>
    </row>
    <row r="3203" spans="1:7" x14ac:dyDescent="0.35">
      <c r="A3203">
        <v>1267</v>
      </c>
      <c r="B3203" s="1">
        <v>45537</v>
      </c>
      <c r="C3203" t="s">
        <v>24</v>
      </c>
      <c r="D3203" s="2">
        <v>1326.56</v>
      </c>
      <c r="E3203" s="2">
        <v>0</v>
      </c>
      <c r="F3203" t="s">
        <v>8</v>
      </c>
      <c r="G3203" t="s">
        <v>9</v>
      </c>
    </row>
    <row r="3204" spans="1:7" x14ac:dyDescent="0.35">
      <c r="A3204">
        <v>1267</v>
      </c>
      <c r="B3204" s="1">
        <v>45537</v>
      </c>
      <c r="C3204" t="s">
        <v>24</v>
      </c>
      <c r="D3204" s="2">
        <v>0</v>
      </c>
      <c r="E3204" s="2">
        <v>1326.56</v>
      </c>
      <c r="F3204" t="s">
        <v>13</v>
      </c>
      <c r="G3204" t="s">
        <v>9</v>
      </c>
    </row>
    <row r="3205" spans="1:7" x14ac:dyDescent="0.35">
      <c r="A3205">
        <v>1268</v>
      </c>
      <c r="B3205" s="1">
        <v>45537</v>
      </c>
      <c r="C3205" t="s">
        <v>24</v>
      </c>
      <c r="D3205" s="2">
        <v>1271.6199999999999</v>
      </c>
      <c r="E3205" s="2">
        <v>0</v>
      </c>
      <c r="F3205" t="s">
        <v>8</v>
      </c>
      <c r="G3205" t="s">
        <v>9</v>
      </c>
    </row>
    <row r="3206" spans="1:7" x14ac:dyDescent="0.35">
      <c r="A3206">
        <v>1268</v>
      </c>
      <c r="B3206" s="1">
        <v>45537</v>
      </c>
      <c r="C3206" t="s">
        <v>24</v>
      </c>
      <c r="D3206" s="2">
        <v>0</v>
      </c>
      <c r="E3206" s="2">
        <v>1271.6199999999999</v>
      </c>
      <c r="F3206" t="s">
        <v>13</v>
      </c>
      <c r="G3206" t="s">
        <v>9</v>
      </c>
    </row>
    <row r="3207" spans="1:7" x14ac:dyDescent="0.35">
      <c r="A3207">
        <v>1269</v>
      </c>
      <c r="B3207" s="1">
        <v>45537</v>
      </c>
      <c r="C3207" t="s">
        <v>25</v>
      </c>
      <c r="D3207" s="2">
        <v>4476.71</v>
      </c>
      <c r="E3207" s="2">
        <v>0</v>
      </c>
      <c r="F3207" t="s">
        <v>26</v>
      </c>
      <c r="G3207" t="s">
        <v>20</v>
      </c>
    </row>
    <row r="3208" spans="1:7" x14ac:dyDescent="0.35">
      <c r="A3208">
        <v>1269</v>
      </c>
      <c r="B3208" s="1">
        <v>45537</v>
      </c>
      <c r="C3208" t="s">
        <v>25</v>
      </c>
      <c r="D3208" s="2">
        <v>335.75</v>
      </c>
      <c r="E3208" s="2">
        <v>0</v>
      </c>
      <c r="F3208" t="s">
        <v>27</v>
      </c>
      <c r="G3208" t="s">
        <v>9</v>
      </c>
    </row>
    <row r="3209" spans="1:7" x14ac:dyDescent="0.35">
      <c r="A3209">
        <v>1269</v>
      </c>
      <c r="B3209" s="1">
        <v>45537</v>
      </c>
      <c r="C3209" t="s">
        <v>25</v>
      </c>
      <c r="D3209" s="2">
        <v>0</v>
      </c>
      <c r="E3209" s="2">
        <v>4812.46</v>
      </c>
      <c r="F3209" t="s">
        <v>28</v>
      </c>
      <c r="G3209" t="s">
        <v>17</v>
      </c>
    </row>
    <row r="3210" spans="1:7" x14ac:dyDescent="0.35">
      <c r="A3210">
        <v>1270</v>
      </c>
      <c r="B3210" s="1">
        <v>45537</v>
      </c>
      <c r="C3210" t="s">
        <v>25</v>
      </c>
      <c r="D3210" s="2">
        <v>512</v>
      </c>
      <c r="E3210" s="2">
        <v>0</v>
      </c>
      <c r="F3210" t="s">
        <v>26</v>
      </c>
      <c r="G3210" t="s">
        <v>20</v>
      </c>
    </row>
    <row r="3211" spans="1:7" x14ac:dyDescent="0.35">
      <c r="A3211">
        <v>1270</v>
      </c>
      <c r="B3211" s="1">
        <v>45537</v>
      </c>
      <c r="C3211" t="s">
        <v>25</v>
      </c>
      <c r="D3211" s="2">
        <v>38.4</v>
      </c>
      <c r="E3211" s="2">
        <v>0</v>
      </c>
      <c r="F3211" t="s">
        <v>27</v>
      </c>
      <c r="G3211" t="s">
        <v>9</v>
      </c>
    </row>
    <row r="3212" spans="1:7" x14ac:dyDescent="0.35">
      <c r="A3212">
        <v>1270</v>
      </c>
      <c r="B3212" s="1">
        <v>45537</v>
      </c>
      <c r="C3212" t="s">
        <v>25</v>
      </c>
      <c r="D3212" s="2">
        <v>0</v>
      </c>
      <c r="E3212" s="2">
        <v>550.4</v>
      </c>
      <c r="F3212" t="s">
        <v>28</v>
      </c>
      <c r="G3212" t="s">
        <v>17</v>
      </c>
    </row>
    <row r="3213" spans="1:7" x14ac:dyDescent="0.35">
      <c r="A3213">
        <v>1271</v>
      </c>
      <c r="B3213" s="1">
        <v>45537</v>
      </c>
      <c r="C3213" t="s">
        <v>25</v>
      </c>
      <c r="D3213" s="2">
        <v>166.52</v>
      </c>
      <c r="E3213" s="2">
        <v>0</v>
      </c>
      <c r="F3213" t="s">
        <v>26</v>
      </c>
      <c r="G3213" t="s">
        <v>20</v>
      </c>
    </row>
    <row r="3214" spans="1:7" x14ac:dyDescent="0.35">
      <c r="A3214">
        <v>1271</v>
      </c>
      <c r="B3214" s="1">
        <v>45537</v>
      </c>
      <c r="C3214" t="s">
        <v>25</v>
      </c>
      <c r="D3214" s="2">
        <v>12.49</v>
      </c>
      <c r="E3214" s="2">
        <v>0</v>
      </c>
      <c r="F3214" t="s">
        <v>27</v>
      </c>
      <c r="G3214" t="s">
        <v>9</v>
      </c>
    </row>
    <row r="3215" spans="1:7" x14ac:dyDescent="0.35">
      <c r="A3215">
        <v>1271</v>
      </c>
      <c r="B3215" s="1">
        <v>45537</v>
      </c>
      <c r="C3215" t="s">
        <v>25</v>
      </c>
      <c r="D3215" s="2">
        <v>0</v>
      </c>
      <c r="E3215" s="2">
        <v>179.01</v>
      </c>
      <c r="F3215" t="s">
        <v>28</v>
      </c>
      <c r="G3215" t="s">
        <v>17</v>
      </c>
    </row>
    <row r="3216" spans="1:7" x14ac:dyDescent="0.35">
      <c r="A3216">
        <v>1272</v>
      </c>
      <c r="B3216" s="1">
        <v>45537</v>
      </c>
      <c r="C3216" t="s">
        <v>25</v>
      </c>
      <c r="D3216" s="2">
        <v>2030.15</v>
      </c>
      <c r="E3216" s="2">
        <v>0</v>
      </c>
      <c r="F3216" t="s">
        <v>26</v>
      </c>
      <c r="G3216" t="s">
        <v>20</v>
      </c>
    </row>
    <row r="3217" spans="1:7" x14ac:dyDescent="0.35">
      <c r="A3217">
        <v>1272</v>
      </c>
      <c r="B3217" s="1">
        <v>45537</v>
      </c>
      <c r="C3217" t="s">
        <v>25</v>
      </c>
      <c r="D3217" s="2">
        <v>152.26</v>
      </c>
      <c r="E3217" s="2">
        <v>0</v>
      </c>
      <c r="F3217" t="s">
        <v>27</v>
      </c>
      <c r="G3217" t="s">
        <v>9</v>
      </c>
    </row>
    <row r="3218" spans="1:7" x14ac:dyDescent="0.35">
      <c r="A3218">
        <v>1272</v>
      </c>
      <c r="B3218" s="1">
        <v>45537</v>
      </c>
      <c r="C3218" t="s">
        <v>25</v>
      </c>
      <c r="D3218" s="2">
        <v>0</v>
      </c>
      <c r="E3218" s="2">
        <v>2182.41</v>
      </c>
      <c r="F3218" t="s">
        <v>28</v>
      </c>
      <c r="G3218" t="s">
        <v>17</v>
      </c>
    </row>
    <row r="3219" spans="1:7" x14ac:dyDescent="0.35">
      <c r="A3219">
        <v>1273</v>
      </c>
      <c r="B3219" s="1">
        <v>45537</v>
      </c>
      <c r="C3219" t="s">
        <v>25</v>
      </c>
      <c r="D3219" s="2">
        <v>1643.22</v>
      </c>
      <c r="E3219" s="2">
        <v>0</v>
      </c>
      <c r="F3219" t="s">
        <v>26</v>
      </c>
      <c r="G3219" t="s">
        <v>20</v>
      </c>
    </row>
    <row r="3220" spans="1:7" x14ac:dyDescent="0.35">
      <c r="A3220">
        <v>1273</v>
      </c>
      <c r="B3220" s="1">
        <v>45537</v>
      </c>
      <c r="C3220" t="s">
        <v>25</v>
      </c>
      <c r="D3220" s="2">
        <v>123.24</v>
      </c>
      <c r="E3220" s="2">
        <v>0</v>
      </c>
      <c r="F3220" t="s">
        <v>27</v>
      </c>
      <c r="G3220" t="s">
        <v>9</v>
      </c>
    </row>
    <row r="3221" spans="1:7" x14ac:dyDescent="0.35">
      <c r="A3221">
        <v>1273</v>
      </c>
      <c r="B3221" s="1">
        <v>45537</v>
      </c>
      <c r="C3221" t="s">
        <v>25</v>
      </c>
      <c r="D3221" s="2">
        <v>0</v>
      </c>
      <c r="E3221" s="2">
        <v>1766.46</v>
      </c>
      <c r="F3221" t="s">
        <v>28</v>
      </c>
      <c r="G3221" t="s">
        <v>17</v>
      </c>
    </row>
    <row r="3222" spans="1:7" x14ac:dyDescent="0.35">
      <c r="A3222">
        <v>1274</v>
      </c>
      <c r="B3222" s="1">
        <v>45537</v>
      </c>
      <c r="C3222" t="s">
        <v>29</v>
      </c>
      <c r="D3222" s="2">
        <v>1023.42</v>
      </c>
      <c r="E3222" s="2">
        <v>0</v>
      </c>
      <c r="F3222" t="s">
        <v>28</v>
      </c>
      <c r="G3222" t="s">
        <v>17</v>
      </c>
    </row>
    <row r="3223" spans="1:7" x14ac:dyDescent="0.35">
      <c r="A3223">
        <v>1274</v>
      </c>
      <c r="B3223" s="1">
        <v>45537</v>
      </c>
      <c r="C3223" t="s">
        <v>29</v>
      </c>
      <c r="D3223" s="2">
        <v>0</v>
      </c>
      <c r="E3223" s="2">
        <v>1023.42</v>
      </c>
      <c r="F3223" t="s">
        <v>8</v>
      </c>
      <c r="G3223" t="s">
        <v>9</v>
      </c>
    </row>
    <row r="3224" spans="1:7" x14ac:dyDescent="0.35">
      <c r="A3224">
        <v>1275</v>
      </c>
      <c r="B3224" s="1">
        <v>45538</v>
      </c>
      <c r="C3224" t="s">
        <v>12</v>
      </c>
      <c r="D3224" s="2">
        <v>3180.86</v>
      </c>
      <c r="E3224" s="2">
        <v>0</v>
      </c>
      <c r="F3224" t="s">
        <v>13</v>
      </c>
      <c r="G3224" t="s">
        <v>9</v>
      </c>
    </row>
    <row r="3225" spans="1:7" x14ac:dyDescent="0.35">
      <c r="A3225">
        <v>1275</v>
      </c>
      <c r="B3225" s="1">
        <v>45538</v>
      </c>
      <c r="C3225" t="s">
        <v>12</v>
      </c>
      <c r="D3225" s="2">
        <v>0</v>
      </c>
      <c r="E3225" s="2">
        <v>2958.94</v>
      </c>
      <c r="F3225" t="s">
        <v>14</v>
      </c>
      <c r="G3225" t="s">
        <v>15</v>
      </c>
    </row>
    <row r="3226" spans="1:7" x14ac:dyDescent="0.35">
      <c r="A3226">
        <v>1275</v>
      </c>
      <c r="B3226" s="1">
        <v>45538</v>
      </c>
      <c r="C3226" t="s">
        <v>12</v>
      </c>
      <c r="D3226" s="2">
        <v>0</v>
      </c>
      <c r="E3226" s="2">
        <v>221.92</v>
      </c>
      <c r="F3226" t="s">
        <v>16</v>
      </c>
      <c r="G3226" t="s">
        <v>17</v>
      </c>
    </row>
    <row r="3227" spans="1:7" x14ac:dyDescent="0.35">
      <c r="A3227">
        <v>1276</v>
      </c>
      <c r="B3227" s="1">
        <v>45538</v>
      </c>
      <c r="C3227" t="s">
        <v>12</v>
      </c>
      <c r="D3227" s="2">
        <v>488.46</v>
      </c>
      <c r="E3227" s="2">
        <v>0</v>
      </c>
      <c r="F3227" t="s">
        <v>13</v>
      </c>
      <c r="G3227" t="s">
        <v>9</v>
      </c>
    </row>
    <row r="3228" spans="1:7" x14ac:dyDescent="0.35">
      <c r="A3228">
        <v>1276</v>
      </c>
      <c r="B3228" s="1">
        <v>45538</v>
      </c>
      <c r="C3228" t="s">
        <v>12</v>
      </c>
      <c r="D3228" s="2">
        <v>0</v>
      </c>
      <c r="E3228" s="2">
        <v>454.38</v>
      </c>
      <c r="F3228" t="s">
        <v>14</v>
      </c>
      <c r="G3228" t="s">
        <v>15</v>
      </c>
    </row>
    <row r="3229" spans="1:7" x14ac:dyDescent="0.35">
      <c r="A3229">
        <v>1276</v>
      </c>
      <c r="B3229" s="1">
        <v>45538</v>
      </c>
      <c r="C3229" t="s">
        <v>12</v>
      </c>
      <c r="D3229" s="2">
        <v>0</v>
      </c>
      <c r="E3229" s="2">
        <v>34.08</v>
      </c>
      <c r="F3229" t="s">
        <v>16</v>
      </c>
      <c r="G3229" t="s">
        <v>17</v>
      </c>
    </row>
    <row r="3230" spans="1:7" x14ac:dyDescent="0.35">
      <c r="A3230">
        <v>1277</v>
      </c>
      <c r="B3230" s="1">
        <v>45538</v>
      </c>
      <c r="C3230" t="s">
        <v>12</v>
      </c>
      <c r="D3230" s="2">
        <v>1439.72</v>
      </c>
      <c r="E3230" s="2">
        <v>0</v>
      </c>
      <c r="F3230" t="s">
        <v>13</v>
      </c>
      <c r="G3230" t="s">
        <v>9</v>
      </c>
    </row>
    <row r="3231" spans="1:7" x14ac:dyDescent="0.35">
      <c r="A3231">
        <v>1277</v>
      </c>
      <c r="B3231" s="1">
        <v>45538</v>
      </c>
      <c r="C3231" t="s">
        <v>12</v>
      </c>
      <c r="D3231" s="2">
        <v>0</v>
      </c>
      <c r="E3231" s="2">
        <v>1339.26</v>
      </c>
      <c r="F3231" t="s">
        <v>14</v>
      </c>
      <c r="G3231" t="s">
        <v>15</v>
      </c>
    </row>
    <row r="3232" spans="1:7" x14ac:dyDescent="0.35">
      <c r="A3232">
        <v>1277</v>
      </c>
      <c r="B3232" s="1">
        <v>45538</v>
      </c>
      <c r="C3232" t="s">
        <v>12</v>
      </c>
      <c r="D3232" s="2">
        <v>0</v>
      </c>
      <c r="E3232" s="2">
        <v>100.46</v>
      </c>
      <c r="F3232" t="s">
        <v>16</v>
      </c>
      <c r="G3232" t="s">
        <v>17</v>
      </c>
    </row>
    <row r="3233" spans="1:7" x14ac:dyDescent="0.35">
      <c r="A3233">
        <v>1278</v>
      </c>
      <c r="B3233" s="1">
        <v>45538</v>
      </c>
      <c r="C3233" t="s">
        <v>24</v>
      </c>
      <c r="D3233" s="2">
        <v>1020.06</v>
      </c>
      <c r="E3233" s="2">
        <v>0</v>
      </c>
      <c r="F3233" t="s">
        <v>8</v>
      </c>
      <c r="G3233" t="s">
        <v>9</v>
      </c>
    </row>
    <row r="3234" spans="1:7" x14ac:dyDescent="0.35">
      <c r="A3234">
        <v>1278</v>
      </c>
      <c r="B3234" s="1">
        <v>45538</v>
      </c>
      <c r="C3234" t="s">
        <v>24</v>
      </c>
      <c r="D3234" s="2">
        <v>0</v>
      </c>
      <c r="E3234" s="2">
        <v>1020.06</v>
      </c>
      <c r="F3234" t="s">
        <v>13</v>
      </c>
      <c r="G3234" t="s">
        <v>9</v>
      </c>
    </row>
    <row r="3235" spans="1:7" x14ac:dyDescent="0.35">
      <c r="A3235">
        <v>1279</v>
      </c>
      <c r="B3235" s="1">
        <v>45538</v>
      </c>
      <c r="C3235" t="s">
        <v>24</v>
      </c>
      <c r="D3235" s="2">
        <v>2009.47</v>
      </c>
      <c r="E3235" s="2">
        <v>0</v>
      </c>
      <c r="F3235" t="s">
        <v>8</v>
      </c>
      <c r="G3235" t="s">
        <v>9</v>
      </c>
    </row>
    <row r="3236" spans="1:7" x14ac:dyDescent="0.35">
      <c r="A3236">
        <v>1279</v>
      </c>
      <c r="B3236" s="1">
        <v>45538</v>
      </c>
      <c r="C3236" t="s">
        <v>24</v>
      </c>
      <c r="D3236" s="2">
        <v>0</v>
      </c>
      <c r="E3236" s="2">
        <v>2009.47</v>
      </c>
      <c r="F3236" t="s">
        <v>13</v>
      </c>
      <c r="G3236" t="s">
        <v>9</v>
      </c>
    </row>
    <row r="3237" spans="1:7" x14ac:dyDescent="0.35">
      <c r="A3237">
        <v>1280</v>
      </c>
      <c r="B3237" s="1">
        <v>45538</v>
      </c>
      <c r="C3237" t="s">
        <v>25</v>
      </c>
      <c r="D3237" s="2">
        <v>1078.92</v>
      </c>
      <c r="E3237" s="2">
        <v>0</v>
      </c>
      <c r="F3237" t="s">
        <v>26</v>
      </c>
      <c r="G3237" t="s">
        <v>20</v>
      </c>
    </row>
    <row r="3238" spans="1:7" x14ac:dyDescent="0.35">
      <c r="A3238">
        <v>1280</v>
      </c>
      <c r="B3238" s="1">
        <v>45538</v>
      </c>
      <c r="C3238" t="s">
        <v>25</v>
      </c>
      <c r="D3238" s="2">
        <v>80.92</v>
      </c>
      <c r="E3238" s="2">
        <v>0</v>
      </c>
      <c r="F3238" t="s">
        <v>27</v>
      </c>
      <c r="G3238" t="s">
        <v>9</v>
      </c>
    </row>
    <row r="3239" spans="1:7" x14ac:dyDescent="0.35">
      <c r="A3239">
        <v>1280</v>
      </c>
      <c r="B3239" s="1">
        <v>45538</v>
      </c>
      <c r="C3239" t="s">
        <v>25</v>
      </c>
      <c r="D3239" s="2">
        <v>0</v>
      </c>
      <c r="E3239" s="2">
        <v>1159.8399999999999</v>
      </c>
      <c r="F3239" t="s">
        <v>28</v>
      </c>
      <c r="G3239" t="s">
        <v>17</v>
      </c>
    </row>
    <row r="3240" spans="1:7" x14ac:dyDescent="0.35">
      <c r="A3240">
        <v>1281</v>
      </c>
      <c r="B3240" s="1">
        <v>45539</v>
      </c>
      <c r="C3240" t="s">
        <v>12</v>
      </c>
      <c r="D3240" s="2">
        <v>3107.91</v>
      </c>
      <c r="E3240" s="2">
        <v>0</v>
      </c>
      <c r="F3240" t="s">
        <v>13</v>
      </c>
      <c r="G3240" t="s">
        <v>9</v>
      </c>
    </row>
    <row r="3241" spans="1:7" x14ac:dyDescent="0.35">
      <c r="A3241">
        <v>1281</v>
      </c>
      <c r="B3241" s="1">
        <v>45539</v>
      </c>
      <c r="C3241" t="s">
        <v>12</v>
      </c>
      <c r="D3241" s="2">
        <v>0</v>
      </c>
      <c r="E3241" s="2">
        <v>2891.08</v>
      </c>
      <c r="F3241" t="s">
        <v>14</v>
      </c>
      <c r="G3241" t="s">
        <v>15</v>
      </c>
    </row>
    <row r="3242" spans="1:7" x14ac:dyDescent="0.35">
      <c r="A3242">
        <v>1281</v>
      </c>
      <c r="B3242" s="1">
        <v>45539</v>
      </c>
      <c r="C3242" t="s">
        <v>12</v>
      </c>
      <c r="D3242" s="2">
        <v>0</v>
      </c>
      <c r="E3242" s="2">
        <v>216.83</v>
      </c>
      <c r="F3242" t="s">
        <v>16</v>
      </c>
      <c r="G3242" t="s">
        <v>17</v>
      </c>
    </row>
    <row r="3243" spans="1:7" x14ac:dyDescent="0.35">
      <c r="A3243">
        <v>1282</v>
      </c>
      <c r="B3243" s="1">
        <v>45539</v>
      </c>
      <c r="C3243" t="s">
        <v>12</v>
      </c>
      <c r="D3243" s="2">
        <v>5064.41</v>
      </c>
      <c r="E3243" s="2">
        <v>0</v>
      </c>
      <c r="F3243" t="s">
        <v>13</v>
      </c>
      <c r="G3243" t="s">
        <v>9</v>
      </c>
    </row>
    <row r="3244" spans="1:7" x14ac:dyDescent="0.35">
      <c r="A3244">
        <v>1282</v>
      </c>
      <c r="B3244" s="1">
        <v>45539</v>
      </c>
      <c r="C3244" t="s">
        <v>12</v>
      </c>
      <c r="D3244" s="2">
        <v>0</v>
      </c>
      <c r="E3244" s="2">
        <v>4711.08</v>
      </c>
      <c r="F3244" t="s">
        <v>14</v>
      </c>
      <c r="G3244" t="s">
        <v>15</v>
      </c>
    </row>
    <row r="3245" spans="1:7" x14ac:dyDescent="0.35">
      <c r="A3245">
        <v>1282</v>
      </c>
      <c r="B3245" s="1">
        <v>45539</v>
      </c>
      <c r="C3245" t="s">
        <v>12</v>
      </c>
      <c r="D3245" s="2">
        <v>0</v>
      </c>
      <c r="E3245" s="2">
        <v>353.33</v>
      </c>
      <c r="F3245" t="s">
        <v>16</v>
      </c>
      <c r="G3245" t="s">
        <v>17</v>
      </c>
    </row>
    <row r="3246" spans="1:7" x14ac:dyDescent="0.35">
      <c r="A3246">
        <v>1283</v>
      </c>
      <c r="B3246" s="1">
        <v>45539</v>
      </c>
      <c r="C3246" t="s">
        <v>12</v>
      </c>
      <c r="D3246" s="2">
        <v>4323.51</v>
      </c>
      <c r="E3246" s="2">
        <v>0</v>
      </c>
      <c r="F3246" t="s">
        <v>13</v>
      </c>
      <c r="G3246" t="s">
        <v>9</v>
      </c>
    </row>
    <row r="3247" spans="1:7" x14ac:dyDescent="0.35">
      <c r="A3247">
        <v>1283</v>
      </c>
      <c r="B3247" s="1">
        <v>45539</v>
      </c>
      <c r="C3247" t="s">
        <v>12</v>
      </c>
      <c r="D3247" s="2">
        <v>0</v>
      </c>
      <c r="E3247" s="2">
        <v>4021.87</v>
      </c>
      <c r="F3247" t="s">
        <v>14</v>
      </c>
      <c r="G3247" t="s">
        <v>15</v>
      </c>
    </row>
    <row r="3248" spans="1:7" x14ac:dyDescent="0.35">
      <c r="A3248">
        <v>1283</v>
      </c>
      <c r="B3248" s="1">
        <v>45539</v>
      </c>
      <c r="C3248" t="s">
        <v>12</v>
      </c>
      <c r="D3248" s="2">
        <v>0</v>
      </c>
      <c r="E3248" s="2">
        <v>301.64</v>
      </c>
      <c r="F3248" t="s">
        <v>16</v>
      </c>
      <c r="G3248" t="s">
        <v>17</v>
      </c>
    </row>
    <row r="3249" spans="1:7" x14ac:dyDescent="0.35">
      <c r="A3249">
        <v>1284</v>
      </c>
      <c r="B3249" s="1">
        <v>45539</v>
      </c>
      <c r="C3249" t="s">
        <v>12</v>
      </c>
      <c r="D3249" s="2">
        <v>2778.64</v>
      </c>
      <c r="E3249" s="2">
        <v>0</v>
      </c>
      <c r="F3249" t="s">
        <v>13</v>
      </c>
      <c r="G3249" t="s">
        <v>9</v>
      </c>
    </row>
    <row r="3250" spans="1:7" x14ac:dyDescent="0.35">
      <c r="A3250">
        <v>1284</v>
      </c>
      <c r="B3250" s="1">
        <v>45539</v>
      </c>
      <c r="C3250" t="s">
        <v>12</v>
      </c>
      <c r="D3250" s="2">
        <v>0</v>
      </c>
      <c r="E3250" s="2">
        <v>2584.79</v>
      </c>
      <c r="F3250" t="s">
        <v>14</v>
      </c>
      <c r="G3250" t="s">
        <v>15</v>
      </c>
    </row>
    <row r="3251" spans="1:7" x14ac:dyDescent="0.35">
      <c r="A3251">
        <v>1284</v>
      </c>
      <c r="B3251" s="1">
        <v>45539</v>
      </c>
      <c r="C3251" t="s">
        <v>12</v>
      </c>
      <c r="D3251" s="2">
        <v>0</v>
      </c>
      <c r="E3251" s="2">
        <v>193.85</v>
      </c>
      <c r="F3251" t="s">
        <v>16</v>
      </c>
      <c r="G3251" t="s">
        <v>17</v>
      </c>
    </row>
    <row r="3252" spans="1:7" x14ac:dyDescent="0.35">
      <c r="A3252">
        <v>1285</v>
      </c>
      <c r="B3252" s="1">
        <v>45539</v>
      </c>
      <c r="C3252" t="s">
        <v>12</v>
      </c>
      <c r="D3252" s="2">
        <v>2116.31</v>
      </c>
      <c r="E3252" s="2">
        <v>0</v>
      </c>
      <c r="F3252" t="s">
        <v>13</v>
      </c>
      <c r="G3252" t="s">
        <v>9</v>
      </c>
    </row>
    <row r="3253" spans="1:7" x14ac:dyDescent="0.35">
      <c r="A3253">
        <v>1285</v>
      </c>
      <c r="B3253" s="1">
        <v>45539</v>
      </c>
      <c r="C3253" t="s">
        <v>12</v>
      </c>
      <c r="D3253" s="2">
        <v>0</v>
      </c>
      <c r="E3253" s="2">
        <v>1968.66</v>
      </c>
      <c r="F3253" t="s">
        <v>14</v>
      </c>
      <c r="G3253" t="s">
        <v>15</v>
      </c>
    </row>
    <row r="3254" spans="1:7" x14ac:dyDescent="0.35">
      <c r="A3254">
        <v>1285</v>
      </c>
      <c r="B3254" s="1">
        <v>45539</v>
      </c>
      <c r="C3254" t="s">
        <v>12</v>
      </c>
      <c r="D3254" s="2">
        <v>0</v>
      </c>
      <c r="E3254" s="2">
        <v>147.65</v>
      </c>
      <c r="F3254" t="s">
        <v>16</v>
      </c>
      <c r="G3254" t="s">
        <v>17</v>
      </c>
    </row>
    <row r="3255" spans="1:7" x14ac:dyDescent="0.35">
      <c r="A3255">
        <v>1286</v>
      </c>
      <c r="B3255" s="1">
        <v>45539</v>
      </c>
      <c r="C3255" t="s">
        <v>24</v>
      </c>
      <c r="D3255" s="2">
        <v>375.23</v>
      </c>
      <c r="E3255" s="2">
        <v>0</v>
      </c>
      <c r="F3255" t="s">
        <v>8</v>
      </c>
      <c r="G3255" t="s">
        <v>9</v>
      </c>
    </row>
    <row r="3256" spans="1:7" x14ac:dyDescent="0.35">
      <c r="A3256">
        <v>1286</v>
      </c>
      <c r="B3256" s="1">
        <v>45539</v>
      </c>
      <c r="C3256" t="s">
        <v>24</v>
      </c>
      <c r="D3256" s="2">
        <v>0</v>
      </c>
      <c r="E3256" s="2">
        <v>375.23</v>
      </c>
      <c r="F3256" t="s">
        <v>13</v>
      </c>
      <c r="G3256" t="s">
        <v>9</v>
      </c>
    </row>
    <row r="3257" spans="1:7" x14ac:dyDescent="0.35">
      <c r="A3257">
        <v>1287</v>
      </c>
      <c r="B3257" s="1">
        <v>45539</v>
      </c>
      <c r="C3257" t="s">
        <v>24</v>
      </c>
      <c r="D3257" s="2">
        <v>2793.21</v>
      </c>
      <c r="E3257" s="2">
        <v>0</v>
      </c>
      <c r="F3257" t="s">
        <v>8</v>
      </c>
      <c r="G3257" t="s">
        <v>9</v>
      </c>
    </row>
    <row r="3258" spans="1:7" x14ac:dyDescent="0.35">
      <c r="A3258">
        <v>1287</v>
      </c>
      <c r="B3258" s="1">
        <v>45539</v>
      </c>
      <c r="C3258" t="s">
        <v>24</v>
      </c>
      <c r="D3258" s="2">
        <v>0</v>
      </c>
      <c r="E3258" s="2">
        <v>2793.21</v>
      </c>
      <c r="F3258" t="s">
        <v>13</v>
      </c>
      <c r="G3258" t="s">
        <v>9</v>
      </c>
    </row>
    <row r="3259" spans="1:7" x14ac:dyDescent="0.35">
      <c r="A3259">
        <v>1288</v>
      </c>
      <c r="B3259" s="1">
        <v>45539</v>
      </c>
      <c r="C3259" t="s">
        <v>29</v>
      </c>
      <c r="D3259" s="2">
        <v>1766.46</v>
      </c>
      <c r="E3259" s="2">
        <v>0</v>
      </c>
      <c r="F3259" t="s">
        <v>28</v>
      </c>
      <c r="G3259" t="s">
        <v>17</v>
      </c>
    </row>
    <row r="3260" spans="1:7" x14ac:dyDescent="0.35">
      <c r="A3260">
        <v>1288</v>
      </c>
      <c r="B3260" s="1">
        <v>45539</v>
      </c>
      <c r="C3260" t="s">
        <v>29</v>
      </c>
      <c r="D3260" s="2">
        <v>0</v>
      </c>
      <c r="E3260" s="2">
        <v>1766.46</v>
      </c>
      <c r="F3260" t="s">
        <v>8</v>
      </c>
      <c r="G3260" t="s">
        <v>9</v>
      </c>
    </row>
    <row r="3261" spans="1:7" x14ac:dyDescent="0.35">
      <c r="A3261">
        <v>1289</v>
      </c>
      <c r="B3261" s="1">
        <v>45539</v>
      </c>
      <c r="C3261" t="s">
        <v>29</v>
      </c>
      <c r="D3261" s="2">
        <v>1159.8399999999999</v>
      </c>
      <c r="E3261" s="2">
        <v>0</v>
      </c>
      <c r="F3261" t="s">
        <v>28</v>
      </c>
      <c r="G3261" t="s">
        <v>17</v>
      </c>
    </row>
    <row r="3262" spans="1:7" x14ac:dyDescent="0.35">
      <c r="A3262">
        <v>1289</v>
      </c>
      <c r="B3262" s="1">
        <v>45539</v>
      </c>
      <c r="C3262" t="s">
        <v>29</v>
      </c>
      <c r="D3262" s="2">
        <v>0</v>
      </c>
      <c r="E3262" s="2">
        <v>1159.8399999999999</v>
      </c>
      <c r="F3262" t="s">
        <v>8</v>
      </c>
      <c r="G3262" t="s">
        <v>9</v>
      </c>
    </row>
    <row r="3263" spans="1:7" x14ac:dyDescent="0.35">
      <c r="A3263">
        <v>1290</v>
      </c>
      <c r="B3263" s="1">
        <v>45540</v>
      </c>
      <c r="C3263" t="s">
        <v>12</v>
      </c>
      <c r="D3263" s="2">
        <v>1775.69</v>
      </c>
      <c r="E3263" s="2">
        <v>0</v>
      </c>
      <c r="F3263" t="s">
        <v>13</v>
      </c>
      <c r="G3263" t="s">
        <v>9</v>
      </c>
    </row>
    <row r="3264" spans="1:7" x14ac:dyDescent="0.35">
      <c r="A3264">
        <v>1290</v>
      </c>
      <c r="B3264" s="1">
        <v>45540</v>
      </c>
      <c r="C3264" t="s">
        <v>12</v>
      </c>
      <c r="D3264" s="2">
        <v>0</v>
      </c>
      <c r="E3264" s="2">
        <v>1651.81</v>
      </c>
      <c r="F3264" t="s">
        <v>14</v>
      </c>
      <c r="G3264" t="s">
        <v>15</v>
      </c>
    </row>
    <row r="3265" spans="1:7" x14ac:dyDescent="0.35">
      <c r="A3265">
        <v>1290</v>
      </c>
      <c r="B3265" s="1">
        <v>45540</v>
      </c>
      <c r="C3265" t="s">
        <v>12</v>
      </c>
      <c r="D3265" s="2">
        <v>0</v>
      </c>
      <c r="E3265" s="2">
        <v>123.88</v>
      </c>
      <c r="F3265" t="s">
        <v>16</v>
      </c>
      <c r="G3265" t="s">
        <v>17</v>
      </c>
    </row>
    <row r="3266" spans="1:7" x14ac:dyDescent="0.35">
      <c r="A3266">
        <v>1291</v>
      </c>
      <c r="B3266" s="1">
        <v>45540</v>
      </c>
      <c r="C3266" t="s">
        <v>12</v>
      </c>
      <c r="D3266" s="2">
        <v>593.72</v>
      </c>
      <c r="E3266" s="2">
        <v>0</v>
      </c>
      <c r="F3266" t="s">
        <v>13</v>
      </c>
      <c r="G3266" t="s">
        <v>9</v>
      </c>
    </row>
    <row r="3267" spans="1:7" x14ac:dyDescent="0.35">
      <c r="A3267">
        <v>1291</v>
      </c>
      <c r="B3267" s="1">
        <v>45540</v>
      </c>
      <c r="C3267" t="s">
        <v>12</v>
      </c>
      <c r="D3267" s="2">
        <v>0</v>
      </c>
      <c r="E3267" s="2">
        <v>552.29999999999995</v>
      </c>
      <c r="F3267" t="s">
        <v>14</v>
      </c>
      <c r="G3267" t="s">
        <v>15</v>
      </c>
    </row>
    <row r="3268" spans="1:7" x14ac:dyDescent="0.35">
      <c r="A3268">
        <v>1291</v>
      </c>
      <c r="B3268" s="1">
        <v>45540</v>
      </c>
      <c r="C3268" t="s">
        <v>12</v>
      </c>
      <c r="D3268" s="2">
        <v>0</v>
      </c>
      <c r="E3268" s="2">
        <v>41.42</v>
      </c>
      <c r="F3268" t="s">
        <v>16</v>
      </c>
      <c r="G3268" t="s">
        <v>17</v>
      </c>
    </row>
    <row r="3269" spans="1:7" x14ac:dyDescent="0.35">
      <c r="A3269">
        <v>1292</v>
      </c>
      <c r="B3269" s="1">
        <v>45540</v>
      </c>
      <c r="C3269" t="s">
        <v>12</v>
      </c>
      <c r="D3269" s="2">
        <v>287.33</v>
      </c>
      <c r="E3269" s="2">
        <v>0</v>
      </c>
      <c r="F3269" t="s">
        <v>13</v>
      </c>
      <c r="G3269" t="s">
        <v>9</v>
      </c>
    </row>
    <row r="3270" spans="1:7" x14ac:dyDescent="0.35">
      <c r="A3270">
        <v>1292</v>
      </c>
      <c r="B3270" s="1">
        <v>45540</v>
      </c>
      <c r="C3270" t="s">
        <v>12</v>
      </c>
      <c r="D3270" s="2">
        <v>0</v>
      </c>
      <c r="E3270" s="2">
        <v>267.27999999999997</v>
      </c>
      <c r="F3270" t="s">
        <v>14</v>
      </c>
      <c r="G3270" t="s">
        <v>15</v>
      </c>
    </row>
    <row r="3271" spans="1:7" x14ac:dyDescent="0.35">
      <c r="A3271">
        <v>1292</v>
      </c>
      <c r="B3271" s="1">
        <v>45540</v>
      </c>
      <c r="C3271" t="s">
        <v>12</v>
      </c>
      <c r="D3271" s="2">
        <v>0</v>
      </c>
      <c r="E3271" s="2">
        <v>20.05</v>
      </c>
      <c r="F3271" t="s">
        <v>16</v>
      </c>
      <c r="G3271" t="s">
        <v>17</v>
      </c>
    </row>
    <row r="3272" spans="1:7" x14ac:dyDescent="0.35">
      <c r="A3272">
        <v>1293</v>
      </c>
      <c r="B3272" s="1">
        <v>45540</v>
      </c>
      <c r="C3272" t="s">
        <v>12</v>
      </c>
      <c r="D3272" s="2">
        <v>1218.95</v>
      </c>
      <c r="E3272" s="2">
        <v>0</v>
      </c>
      <c r="F3272" t="s">
        <v>13</v>
      </c>
      <c r="G3272" t="s">
        <v>9</v>
      </c>
    </row>
    <row r="3273" spans="1:7" x14ac:dyDescent="0.35">
      <c r="A3273">
        <v>1293</v>
      </c>
      <c r="B3273" s="1">
        <v>45540</v>
      </c>
      <c r="C3273" t="s">
        <v>12</v>
      </c>
      <c r="D3273" s="2">
        <v>0</v>
      </c>
      <c r="E3273" s="2">
        <v>1133.9100000000001</v>
      </c>
      <c r="F3273" t="s">
        <v>14</v>
      </c>
      <c r="G3273" t="s">
        <v>15</v>
      </c>
    </row>
    <row r="3274" spans="1:7" x14ac:dyDescent="0.35">
      <c r="A3274">
        <v>1293</v>
      </c>
      <c r="B3274" s="1">
        <v>45540</v>
      </c>
      <c r="C3274" t="s">
        <v>12</v>
      </c>
      <c r="D3274" s="2">
        <v>0</v>
      </c>
      <c r="E3274" s="2">
        <v>85.04</v>
      </c>
      <c r="F3274" t="s">
        <v>16</v>
      </c>
      <c r="G3274" t="s">
        <v>17</v>
      </c>
    </row>
    <row r="3275" spans="1:7" x14ac:dyDescent="0.35">
      <c r="A3275">
        <v>1294</v>
      </c>
      <c r="B3275" s="1">
        <v>45540</v>
      </c>
      <c r="C3275" t="s">
        <v>24</v>
      </c>
      <c r="D3275" s="2">
        <v>2515.3200000000002</v>
      </c>
      <c r="E3275" s="2">
        <v>0</v>
      </c>
      <c r="F3275" t="s">
        <v>8</v>
      </c>
      <c r="G3275" t="s">
        <v>9</v>
      </c>
    </row>
    <row r="3276" spans="1:7" x14ac:dyDescent="0.35">
      <c r="A3276">
        <v>1294</v>
      </c>
      <c r="B3276" s="1">
        <v>45540</v>
      </c>
      <c r="C3276" t="s">
        <v>24</v>
      </c>
      <c r="D3276" s="2">
        <v>0</v>
      </c>
      <c r="E3276" s="2">
        <v>2515.3200000000002</v>
      </c>
      <c r="F3276" t="s">
        <v>13</v>
      </c>
      <c r="G3276" t="s">
        <v>9</v>
      </c>
    </row>
    <row r="3277" spans="1:7" x14ac:dyDescent="0.35">
      <c r="A3277">
        <v>1295</v>
      </c>
      <c r="B3277" s="1">
        <v>45540</v>
      </c>
      <c r="C3277" t="s">
        <v>24</v>
      </c>
      <c r="D3277" s="2">
        <v>1802.38</v>
      </c>
      <c r="E3277" s="2">
        <v>0</v>
      </c>
      <c r="F3277" t="s">
        <v>8</v>
      </c>
      <c r="G3277" t="s">
        <v>9</v>
      </c>
    </row>
    <row r="3278" spans="1:7" x14ac:dyDescent="0.35">
      <c r="A3278">
        <v>1295</v>
      </c>
      <c r="B3278" s="1">
        <v>45540</v>
      </c>
      <c r="C3278" t="s">
        <v>24</v>
      </c>
      <c r="D3278" s="2">
        <v>0</v>
      </c>
      <c r="E3278" s="2">
        <v>1802.38</v>
      </c>
      <c r="F3278" t="s">
        <v>13</v>
      </c>
      <c r="G3278" t="s">
        <v>9</v>
      </c>
    </row>
    <row r="3279" spans="1:7" x14ac:dyDescent="0.35">
      <c r="A3279">
        <v>1296</v>
      </c>
      <c r="B3279" s="1">
        <v>45540</v>
      </c>
      <c r="C3279" t="s">
        <v>24</v>
      </c>
      <c r="D3279" s="2">
        <v>2792.05</v>
      </c>
      <c r="E3279" s="2">
        <v>0</v>
      </c>
      <c r="F3279" t="s">
        <v>8</v>
      </c>
      <c r="G3279" t="s">
        <v>9</v>
      </c>
    </row>
    <row r="3280" spans="1:7" x14ac:dyDescent="0.35">
      <c r="A3280">
        <v>1296</v>
      </c>
      <c r="B3280" s="1">
        <v>45540</v>
      </c>
      <c r="C3280" t="s">
        <v>24</v>
      </c>
      <c r="D3280" s="2">
        <v>0</v>
      </c>
      <c r="E3280" s="2">
        <v>2792.05</v>
      </c>
      <c r="F3280" t="s">
        <v>13</v>
      </c>
      <c r="G3280" t="s">
        <v>9</v>
      </c>
    </row>
    <row r="3281" spans="1:7" x14ac:dyDescent="0.35">
      <c r="A3281">
        <v>1297</v>
      </c>
      <c r="B3281" s="1">
        <v>45540</v>
      </c>
      <c r="C3281" t="s">
        <v>24</v>
      </c>
      <c r="D3281" s="2">
        <v>3793.09</v>
      </c>
      <c r="E3281" s="2">
        <v>0</v>
      </c>
      <c r="F3281" t="s">
        <v>8</v>
      </c>
      <c r="G3281" t="s">
        <v>9</v>
      </c>
    </row>
    <row r="3282" spans="1:7" x14ac:dyDescent="0.35">
      <c r="A3282">
        <v>1297</v>
      </c>
      <c r="B3282" s="1">
        <v>45540</v>
      </c>
      <c r="C3282" t="s">
        <v>24</v>
      </c>
      <c r="D3282" s="2">
        <v>0</v>
      </c>
      <c r="E3282" s="2">
        <v>3793.09</v>
      </c>
      <c r="F3282" t="s">
        <v>13</v>
      </c>
      <c r="G3282" t="s">
        <v>9</v>
      </c>
    </row>
    <row r="3283" spans="1:7" x14ac:dyDescent="0.35">
      <c r="A3283">
        <v>1298</v>
      </c>
      <c r="B3283" s="1">
        <v>45540</v>
      </c>
      <c r="C3283" t="s">
        <v>24</v>
      </c>
      <c r="D3283" s="2">
        <v>2180.5</v>
      </c>
      <c r="E3283" s="2">
        <v>0</v>
      </c>
      <c r="F3283" t="s">
        <v>8</v>
      </c>
      <c r="G3283" t="s">
        <v>9</v>
      </c>
    </row>
    <row r="3284" spans="1:7" x14ac:dyDescent="0.35">
      <c r="A3284">
        <v>1298</v>
      </c>
      <c r="B3284" s="1">
        <v>45540</v>
      </c>
      <c r="C3284" t="s">
        <v>24</v>
      </c>
      <c r="D3284" s="2">
        <v>0</v>
      </c>
      <c r="E3284" s="2">
        <v>2180.5</v>
      </c>
      <c r="F3284" t="s">
        <v>13</v>
      </c>
      <c r="G3284" t="s">
        <v>9</v>
      </c>
    </row>
    <row r="3285" spans="1:7" x14ac:dyDescent="0.35">
      <c r="A3285">
        <v>1299</v>
      </c>
      <c r="B3285" s="1">
        <v>45541</v>
      </c>
      <c r="C3285" t="s">
        <v>12</v>
      </c>
      <c r="D3285" s="2">
        <v>2935.07</v>
      </c>
      <c r="E3285" s="2">
        <v>0</v>
      </c>
      <c r="F3285" t="s">
        <v>13</v>
      </c>
      <c r="G3285" t="s">
        <v>9</v>
      </c>
    </row>
    <row r="3286" spans="1:7" x14ac:dyDescent="0.35">
      <c r="A3286">
        <v>1299</v>
      </c>
      <c r="B3286" s="1">
        <v>45541</v>
      </c>
      <c r="C3286" t="s">
        <v>12</v>
      </c>
      <c r="D3286" s="2">
        <v>0</v>
      </c>
      <c r="E3286" s="2">
        <v>2730.3</v>
      </c>
      <c r="F3286" t="s">
        <v>14</v>
      </c>
      <c r="G3286" t="s">
        <v>15</v>
      </c>
    </row>
    <row r="3287" spans="1:7" x14ac:dyDescent="0.35">
      <c r="A3287">
        <v>1299</v>
      </c>
      <c r="B3287" s="1">
        <v>45541</v>
      </c>
      <c r="C3287" t="s">
        <v>12</v>
      </c>
      <c r="D3287" s="2">
        <v>0</v>
      </c>
      <c r="E3287" s="2">
        <v>204.77</v>
      </c>
      <c r="F3287" t="s">
        <v>16</v>
      </c>
      <c r="G3287" t="s">
        <v>17</v>
      </c>
    </row>
    <row r="3288" spans="1:7" x14ac:dyDescent="0.35">
      <c r="A3288">
        <v>1300</v>
      </c>
      <c r="B3288" s="1">
        <v>45541</v>
      </c>
      <c r="C3288" t="s">
        <v>12</v>
      </c>
      <c r="D3288" s="2">
        <v>1653.33</v>
      </c>
      <c r="E3288" s="2">
        <v>0</v>
      </c>
      <c r="F3288" t="s">
        <v>13</v>
      </c>
      <c r="G3288" t="s">
        <v>9</v>
      </c>
    </row>
    <row r="3289" spans="1:7" x14ac:dyDescent="0.35">
      <c r="A3289">
        <v>1300</v>
      </c>
      <c r="B3289" s="1">
        <v>45541</v>
      </c>
      <c r="C3289" t="s">
        <v>12</v>
      </c>
      <c r="D3289" s="2">
        <v>0</v>
      </c>
      <c r="E3289" s="2">
        <v>1537.98</v>
      </c>
      <c r="F3289" t="s">
        <v>14</v>
      </c>
      <c r="G3289" t="s">
        <v>15</v>
      </c>
    </row>
    <row r="3290" spans="1:7" x14ac:dyDescent="0.35">
      <c r="A3290">
        <v>1300</v>
      </c>
      <c r="B3290" s="1">
        <v>45541</v>
      </c>
      <c r="C3290" t="s">
        <v>12</v>
      </c>
      <c r="D3290" s="2">
        <v>0</v>
      </c>
      <c r="E3290" s="2">
        <v>115.35</v>
      </c>
      <c r="F3290" t="s">
        <v>16</v>
      </c>
      <c r="G3290" t="s">
        <v>17</v>
      </c>
    </row>
    <row r="3291" spans="1:7" x14ac:dyDescent="0.35">
      <c r="A3291">
        <v>1301</v>
      </c>
      <c r="B3291" s="1">
        <v>45541</v>
      </c>
      <c r="C3291" t="s">
        <v>12</v>
      </c>
      <c r="D3291" s="2">
        <v>28.06</v>
      </c>
      <c r="E3291" s="2">
        <v>0</v>
      </c>
      <c r="F3291" t="s">
        <v>13</v>
      </c>
      <c r="G3291" t="s">
        <v>9</v>
      </c>
    </row>
    <row r="3292" spans="1:7" x14ac:dyDescent="0.35">
      <c r="A3292">
        <v>1301</v>
      </c>
      <c r="B3292" s="1">
        <v>45541</v>
      </c>
      <c r="C3292" t="s">
        <v>12</v>
      </c>
      <c r="D3292" s="2">
        <v>0</v>
      </c>
      <c r="E3292" s="2">
        <v>26.1</v>
      </c>
      <c r="F3292" t="s">
        <v>14</v>
      </c>
      <c r="G3292" t="s">
        <v>15</v>
      </c>
    </row>
    <row r="3293" spans="1:7" x14ac:dyDescent="0.35">
      <c r="A3293">
        <v>1301</v>
      </c>
      <c r="B3293" s="1">
        <v>45541</v>
      </c>
      <c r="C3293" t="s">
        <v>12</v>
      </c>
      <c r="D3293" s="2">
        <v>0</v>
      </c>
      <c r="E3293" s="2">
        <v>1.96</v>
      </c>
      <c r="F3293" t="s">
        <v>16</v>
      </c>
      <c r="G3293" t="s">
        <v>17</v>
      </c>
    </row>
    <row r="3294" spans="1:7" x14ac:dyDescent="0.35">
      <c r="A3294">
        <v>1302</v>
      </c>
      <c r="B3294" s="1">
        <v>45541</v>
      </c>
      <c r="C3294" t="s">
        <v>24</v>
      </c>
      <c r="D3294" s="2">
        <v>3542.62</v>
      </c>
      <c r="E3294" s="2">
        <v>0</v>
      </c>
      <c r="F3294" t="s">
        <v>8</v>
      </c>
      <c r="G3294" t="s">
        <v>9</v>
      </c>
    </row>
    <row r="3295" spans="1:7" x14ac:dyDescent="0.35">
      <c r="A3295">
        <v>1302</v>
      </c>
      <c r="B3295" s="1">
        <v>45541</v>
      </c>
      <c r="C3295" t="s">
        <v>24</v>
      </c>
      <c r="D3295" s="2">
        <v>0</v>
      </c>
      <c r="E3295" s="2">
        <v>3542.62</v>
      </c>
      <c r="F3295" t="s">
        <v>13</v>
      </c>
      <c r="G3295" t="s">
        <v>9</v>
      </c>
    </row>
    <row r="3296" spans="1:7" x14ac:dyDescent="0.35">
      <c r="A3296">
        <v>1303</v>
      </c>
      <c r="B3296" s="1">
        <v>45541</v>
      </c>
      <c r="C3296" t="s">
        <v>24</v>
      </c>
      <c r="D3296" s="2">
        <v>1015.38</v>
      </c>
      <c r="E3296" s="2">
        <v>0</v>
      </c>
      <c r="F3296" t="s">
        <v>8</v>
      </c>
      <c r="G3296" t="s">
        <v>9</v>
      </c>
    </row>
    <row r="3297" spans="1:7" x14ac:dyDescent="0.35">
      <c r="A3297">
        <v>1303</v>
      </c>
      <c r="B3297" s="1">
        <v>45541</v>
      </c>
      <c r="C3297" t="s">
        <v>24</v>
      </c>
      <c r="D3297" s="2">
        <v>0</v>
      </c>
      <c r="E3297" s="2">
        <v>1015.38</v>
      </c>
      <c r="F3297" t="s">
        <v>13</v>
      </c>
      <c r="G3297" t="s">
        <v>9</v>
      </c>
    </row>
    <row r="3298" spans="1:7" x14ac:dyDescent="0.35">
      <c r="A3298">
        <v>1304</v>
      </c>
      <c r="B3298" s="1">
        <v>45541</v>
      </c>
      <c r="C3298" t="s">
        <v>24</v>
      </c>
      <c r="D3298" s="2">
        <v>929.56</v>
      </c>
      <c r="E3298" s="2">
        <v>0</v>
      </c>
      <c r="F3298" t="s">
        <v>8</v>
      </c>
      <c r="G3298" t="s">
        <v>9</v>
      </c>
    </row>
    <row r="3299" spans="1:7" x14ac:dyDescent="0.35">
      <c r="A3299">
        <v>1304</v>
      </c>
      <c r="B3299" s="1">
        <v>45541</v>
      </c>
      <c r="C3299" t="s">
        <v>24</v>
      </c>
      <c r="D3299" s="2">
        <v>0</v>
      </c>
      <c r="E3299" s="2">
        <v>929.56</v>
      </c>
      <c r="F3299" t="s">
        <v>13</v>
      </c>
      <c r="G3299" t="s">
        <v>9</v>
      </c>
    </row>
    <row r="3300" spans="1:7" x14ac:dyDescent="0.35">
      <c r="A3300">
        <v>1305</v>
      </c>
      <c r="B3300" s="1">
        <v>45541</v>
      </c>
      <c r="C3300" t="s">
        <v>24</v>
      </c>
      <c r="D3300" s="2">
        <v>1488.92</v>
      </c>
      <c r="E3300" s="2">
        <v>0</v>
      </c>
      <c r="F3300" t="s">
        <v>8</v>
      </c>
      <c r="G3300" t="s">
        <v>9</v>
      </c>
    </row>
    <row r="3301" spans="1:7" x14ac:dyDescent="0.35">
      <c r="A3301">
        <v>1305</v>
      </c>
      <c r="B3301" s="1">
        <v>45541</v>
      </c>
      <c r="C3301" t="s">
        <v>24</v>
      </c>
      <c r="D3301" s="2">
        <v>0</v>
      </c>
      <c r="E3301" s="2">
        <v>1488.92</v>
      </c>
      <c r="F3301" t="s">
        <v>13</v>
      </c>
      <c r="G3301" t="s">
        <v>9</v>
      </c>
    </row>
    <row r="3302" spans="1:7" x14ac:dyDescent="0.35">
      <c r="A3302">
        <v>1306</v>
      </c>
      <c r="B3302" s="1">
        <v>45541</v>
      </c>
      <c r="C3302" t="s">
        <v>25</v>
      </c>
      <c r="D3302" s="2">
        <v>4476.71</v>
      </c>
      <c r="E3302" s="2">
        <v>0</v>
      </c>
      <c r="F3302" t="s">
        <v>26</v>
      </c>
      <c r="G3302" t="s">
        <v>20</v>
      </c>
    </row>
    <row r="3303" spans="1:7" x14ac:dyDescent="0.35">
      <c r="A3303">
        <v>1306</v>
      </c>
      <c r="B3303" s="1">
        <v>45541</v>
      </c>
      <c r="C3303" t="s">
        <v>25</v>
      </c>
      <c r="D3303" s="2">
        <v>335.75</v>
      </c>
      <c r="E3303" s="2">
        <v>0</v>
      </c>
      <c r="F3303" t="s">
        <v>27</v>
      </c>
      <c r="G3303" t="s">
        <v>9</v>
      </c>
    </row>
    <row r="3304" spans="1:7" x14ac:dyDescent="0.35">
      <c r="A3304">
        <v>1306</v>
      </c>
      <c r="B3304" s="1">
        <v>45541</v>
      </c>
      <c r="C3304" t="s">
        <v>25</v>
      </c>
      <c r="D3304" s="2">
        <v>0</v>
      </c>
      <c r="E3304" s="2">
        <v>4812.46</v>
      </c>
      <c r="F3304" t="s">
        <v>28</v>
      </c>
      <c r="G3304" t="s">
        <v>17</v>
      </c>
    </row>
    <row r="3305" spans="1:7" x14ac:dyDescent="0.35">
      <c r="A3305">
        <v>1307</v>
      </c>
      <c r="B3305" s="1">
        <v>45541</v>
      </c>
      <c r="C3305" t="s">
        <v>25</v>
      </c>
      <c r="D3305" s="2">
        <v>166.52</v>
      </c>
      <c r="E3305" s="2">
        <v>0</v>
      </c>
      <c r="F3305" t="s">
        <v>26</v>
      </c>
      <c r="G3305" t="s">
        <v>20</v>
      </c>
    </row>
    <row r="3306" spans="1:7" x14ac:dyDescent="0.35">
      <c r="A3306">
        <v>1307</v>
      </c>
      <c r="B3306" s="1">
        <v>45541</v>
      </c>
      <c r="C3306" t="s">
        <v>25</v>
      </c>
      <c r="D3306" s="2">
        <v>12.49</v>
      </c>
      <c r="E3306" s="2">
        <v>0</v>
      </c>
      <c r="F3306" t="s">
        <v>27</v>
      </c>
      <c r="G3306" t="s">
        <v>9</v>
      </c>
    </row>
    <row r="3307" spans="1:7" x14ac:dyDescent="0.35">
      <c r="A3307">
        <v>1307</v>
      </c>
      <c r="B3307" s="1">
        <v>45541</v>
      </c>
      <c r="C3307" t="s">
        <v>25</v>
      </c>
      <c r="D3307" s="2">
        <v>0</v>
      </c>
      <c r="E3307" s="2">
        <v>179.01</v>
      </c>
      <c r="F3307" t="s">
        <v>28</v>
      </c>
      <c r="G3307" t="s">
        <v>17</v>
      </c>
    </row>
    <row r="3308" spans="1:7" x14ac:dyDescent="0.35">
      <c r="A3308">
        <v>1308</v>
      </c>
      <c r="B3308" s="1">
        <v>45541</v>
      </c>
      <c r="C3308" t="s">
        <v>29</v>
      </c>
      <c r="D3308" s="2">
        <v>276.32</v>
      </c>
      <c r="E3308" s="2">
        <v>0</v>
      </c>
      <c r="F3308" t="s">
        <v>28</v>
      </c>
      <c r="G3308" t="s">
        <v>17</v>
      </c>
    </row>
    <row r="3309" spans="1:7" x14ac:dyDescent="0.35">
      <c r="A3309">
        <v>1308</v>
      </c>
      <c r="B3309" s="1">
        <v>45541</v>
      </c>
      <c r="C3309" t="s">
        <v>29</v>
      </c>
      <c r="D3309" s="2">
        <v>0</v>
      </c>
      <c r="E3309" s="2">
        <v>276.32</v>
      </c>
      <c r="F3309" t="s">
        <v>8</v>
      </c>
      <c r="G3309" t="s">
        <v>9</v>
      </c>
    </row>
    <row r="3310" spans="1:7" x14ac:dyDescent="0.35">
      <c r="A3310">
        <v>1309</v>
      </c>
      <c r="B3310" s="1">
        <v>45541</v>
      </c>
      <c r="C3310" t="s">
        <v>29</v>
      </c>
      <c r="D3310" s="2">
        <v>179.01</v>
      </c>
      <c r="E3310" s="2">
        <v>0</v>
      </c>
      <c r="F3310" t="s">
        <v>28</v>
      </c>
      <c r="G3310" t="s">
        <v>17</v>
      </c>
    </row>
    <row r="3311" spans="1:7" x14ac:dyDescent="0.35">
      <c r="A3311">
        <v>1309</v>
      </c>
      <c r="B3311" s="1">
        <v>45541</v>
      </c>
      <c r="C3311" t="s">
        <v>29</v>
      </c>
      <c r="D3311" s="2">
        <v>0</v>
      </c>
      <c r="E3311" s="2">
        <v>179.01</v>
      </c>
      <c r="F3311" t="s">
        <v>8</v>
      </c>
      <c r="G3311" t="s">
        <v>9</v>
      </c>
    </row>
    <row r="3312" spans="1:7" x14ac:dyDescent="0.35">
      <c r="A3312">
        <v>1310</v>
      </c>
      <c r="B3312" s="1">
        <v>45544</v>
      </c>
      <c r="C3312" t="s">
        <v>12</v>
      </c>
      <c r="D3312" s="2">
        <v>260.39</v>
      </c>
      <c r="E3312" s="2">
        <v>0</v>
      </c>
      <c r="F3312" t="s">
        <v>13</v>
      </c>
      <c r="G3312" t="s">
        <v>9</v>
      </c>
    </row>
    <row r="3313" spans="1:7" x14ac:dyDescent="0.35">
      <c r="A3313">
        <v>1310</v>
      </c>
      <c r="B3313" s="1">
        <v>45544</v>
      </c>
      <c r="C3313" t="s">
        <v>12</v>
      </c>
      <c r="D3313" s="2">
        <v>0</v>
      </c>
      <c r="E3313" s="2">
        <v>242.22</v>
      </c>
      <c r="F3313" t="s">
        <v>14</v>
      </c>
      <c r="G3313" t="s">
        <v>15</v>
      </c>
    </row>
    <row r="3314" spans="1:7" x14ac:dyDescent="0.35">
      <c r="A3314">
        <v>1310</v>
      </c>
      <c r="B3314" s="1">
        <v>45544</v>
      </c>
      <c r="C3314" t="s">
        <v>12</v>
      </c>
      <c r="D3314" s="2">
        <v>0</v>
      </c>
      <c r="E3314" s="2">
        <v>18.170000000000002</v>
      </c>
      <c r="F3314" t="s">
        <v>16</v>
      </c>
      <c r="G3314" t="s">
        <v>17</v>
      </c>
    </row>
    <row r="3315" spans="1:7" x14ac:dyDescent="0.35">
      <c r="A3315">
        <v>1311</v>
      </c>
      <c r="B3315" s="1">
        <v>45544</v>
      </c>
      <c r="C3315" t="s">
        <v>12</v>
      </c>
      <c r="D3315" s="2">
        <v>2364.88</v>
      </c>
      <c r="E3315" s="2">
        <v>0</v>
      </c>
      <c r="F3315" t="s">
        <v>13</v>
      </c>
      <c r="G3315" t="s">
        <v>9</v>
      </c>
    </row>
    <row r="3316" spans="1:7" x14ac:dyDescent="0.35">
      <c r="A3316">
        <v>1311</v>
      </c>
      <c r="B3316" s="1">
        <v>45544</v>
      </c>
      <c r="C3316" t="s">
        <v>12</v>
      </c>
      <c r="D3316" s="2">
        <v>0</v>
      </c>
      <c r="E3316" s="2">
        <v>2199.89</v>
      </c>
      <c r="F3316" t="s">
        <v>14</v>
      </c>
      <c r="G3316" t="s">
        <v>15</v>
      </c>
    </row>
    <row r="3317" spans="1:7" x14ac:dyDescent="0.35">
      <c r="A3317">
        <v>1311</v>
      </c>
      <c r="B3317" s="1">
        <v>45544</v>
      </c>
      <c r="C3317" t="s">
        <v>12</v>
      </c>
      <c r="D3317" s="2">
        <v>0</v>
      </c>
      <c r="E3317" s="2">
        <v>164.99</v>
      </c>
      <c r="F3317" t="s">
        <v>16</v>
      </c>
      <c r="G3317" t="s">
        <v>17</v>
      </c>
    </row>
    <row r="3318" spans="1:7" x14ac:dyDescent="0.35">
      <c r="A3318">
        <v>1312</v>
      </c>
      <c r="B3318" s="1">
        <v>45544</v>
      </c>
      <c r="C3318" t="s">
        <v>24</v>
      </c>
      <c r="D3318" s="2">
        <v>6186.86</v>
      </c>
      <c r="E3318" s="2">
        <v>0</v>
      </c>
      <c r="F3318" t="s">
        <v>8</v>
      </c>
      <c r="G3318" t="s">
        <v>9</v>
      </c>
    </row>
    <row r="3319" spans="1:7" x14ac:dyDescent="0.35">
      <c r="A3319">
        <v>1312</v>
      </c>
      <c r="B3319" s="1">
        <v>45544</v>
      </c>
      <c r="C3319" t="s">
        <v>24</v>
      </c>
      <c r="D3319" s="2">
        <v>0</v>
      </c>
      <c r="E3319" s="2">
        <v>6186.86</v>
      </c>
      <c r="F3319" t="s">
        <v>13</v>
      </c>
      <c r="G3319" t="s">
        <v>9</v>
      </c>
    </row>
    <row r="3320" spans="1:7" x14ac:dyDescent="0.35">
      <c r="A3320">
        <v>1313</v>
      </c>
      <c r="B3320" s="1">
        <v>45544</v>
      </c>
      <c r="C3320" t="s">
        <v>24</v>
      </c>
      <c r="D3320" s="2">
        <v>3257.1</v>
      </c>
      <c r="E3320" s="2">
        <v>0</v>
      </c>
      <c r="F3320" t="s">
        <v>8</v>
      </c>
      <c r="G3320" t="s">
        <v>9</v>
      </c>
    </row>
    <row r="3321" spans="1:7" x14ac:dyDescent="0.35">
      <c r="A3321">
        <v>1313</v>
      </c>
      <c r="B3321" s="1">
        <v>45544</v>
      </c>
      <c r="C3321" t="s">
        <v>24</v>
      </c>
      <c r="D3321" s="2">
        <v>0</v>
      </c>
      <c r="E3321" s="2">
        <v>3257.1</v>
      </c>
      <c r="F3321" t="s">
        <v>13</v>
      </c>
      <c r="G3321" t="s">
        <v>9</v>
      </c>
    </row>
    <row r="3322" spans="1:7" x14ac:dyDescent="0.35">
      <c r="A3322">
        <v>1314</v>
      </c>
      <c r="B3322" s="1">
        <v>45544</v>
      </c>
      <c r="C3322" t="s">
        <v>24</v>
      </c>
      <c r="D3322" s="2">
        <v>3648.81</v>
      </c>
      <c r="E3322" s="2">
        <v>0</v>
      </c>
      <c r="F3322" t="s">
        <v>8</v>
      </c>
      <c r="G3322" t="s">
        <v>9</v>
      </c>
    </row>
    <row r="3323" spans="1:7" x14ac:dyDescent="0.35">
      <c r="A3323">
        <v>1314</v>
      </c>
      <c r="B3323" s="1">
        <v>45544</v>
      </c>
      <c r="C3323" t="s">
        <v>24</v>
      </c>
      <c r="D3323" s="2">
        <v>0</v>
      </c>
      <c r="E3323" s="2">
        <v>3648.81</v>
      </c>
      <c r="F3323" t="s">
        <v>13</v>
      </c>
      <c r="G3323" t="s">
        <v>9</v>
      </c>
    </row>
    <row r="3324" spans="1:7" x14ac:dyDescent="0.35">
      <c r="A3324">
        <v>1315</v>
      </c>
      <c r="B3324" s="1">
        <v>45544</v>
      </c>
      <c r="C3324" t="s">
        <v>24</v>
      </c>
      <c r="D3324" s="2">
        <v>2671</v>
      </c>
      <c r="E3324" s="2">
        <v>0</v>
      </c>
      <c r="F3324" t="s">
        <v>8</v>
      </c>
      <c r="G3324" t="s">
        <v>9</v>
      </c>
    </row>
    <row r="3325" spans="1:7" x14ac:dyDescent="0.35">
      <c r="A3325">
        <v>1315</v>
      </c>
      <c r="B3325" s="1">
        <v>45544</v>
      </c>
      <c r="C3325" t="s">
        <v>24</v>
      </c>
      <c r="D3325" s="2">
        <v>0</v>
      </c>
      <c r="E3325" s="2">
        <v>2671</v>
      </c>
      <c r="F3325" t="s">
        <v>13</v>
      </c>
      <c r="G3325" t="s">
        <v>9</v>
      </c>
    </row>
    <row r="3326" spans="1:7" x14ac:dyDescent="0.35">
      <c r="A3326">
        <v>1316</v>
      </c>
      <c r="B3326" s="1">
        <v>45544</v>
      </c>
      <c r="C3326" t="s">
        <v>24</v>
      </c>
      <c r="D3326" s="2">
        <v>4810.13</v>
      </c>
      <c r="E3326" s="2">
        <v>0</v>
      </c>
      <c r="F3326" t="s">
        <v>8</v>
      </c>
      <c r="G3326" t="s">
        <v>9</v>
      </c>
    </row>
    <row r="3327" spans="1:7" x14ac:dyDescent="0.35">
      <c r="A3327">
        <v>1316</v>
      </c>
      <c r="B3327" s="1">
        <v>45544</v>
      </c>
      <c r="C3327" t="s">
        <v>24</v>
      </c>
      <c r="D3327" s="2">
        <v>0</v>
      </c>
      <c r="E3327" s="2">
        <v>4810.13</v>
      </c>
      <c r="F3327" t="s">
        <v>13</v>
      </c>
      <c r="G3327" t="s">
        <v>9</v>
      </c>
    </row>
    <row r="3328" spans="1:7" x14ac:dyDescent="0.35">
      <c r="A3328">
        <v>1317</v>
      </c>
      <c r="B3328" s="1">
        <v>45544</v>
      </c>
      <c r="C3328" t="s">
        <v>24</v>
      </c>
      <c r="D3328" s="2">
        <v>28.06</v>
      </c>
      <c r="E3328" s="2">
        <v>0</v>
      </c>
      <c r="F3328" t="s">
        <v>8</v>
      </c>
      <c r="G3328" t="s">
        <v>9</v>
      </c>
    </row>
    <row r="3329" spans="1:7" x14ac:dyDescent="0.35">
      <c r="A3329">
        <v>1317</v>
      </c>
      <c r="B3329" s="1">
        <v>45544</v>
      </c>
      <c r="C3329" t="s">
        <v>24</v>
      </c>
      <c r="D3329" s="2">
        <v>0</v>
      </c>
      <c r="E3329" s="2">
        <v>28.06</v>
      </c>
      <c r="F3329" t="s">
        <v>13</v>
      </c>
      <c r="G3329" t="s">
        <v>9</v>
      </c>
    </row>
    <row r="3330" spans="1:7" x14ac:dyDescent="0.35">
      <c r="A3330">
        <v>1318</v>
      </c>
      <c r="B3330" s="1">
        <v>45544</v>
      </c>
      <c r="C3330" t="s">
        <v>25</v>
      </c>
      <c r="D3330" s="2">
        <v>2451.5</v>
      </c>
      <c r="E3330" s="2">
        <v>0</v>
      </c>
      <c r="F3330" t="s">
        <v>26</v>
      </c>
      <c r="G3330" t="s">
        <v>20</v>
      </c>
    </row>
    <row r="3331" spans="1:7" x14ac:dyDescent="0.35">
      <c r="A3331">
        <v>1318</v>
      </c>
      <c r="B3331" s="1">
        <v>45544</v>
      </c>
      <c r="C3331" t="s">
        <v>25</v>
      </c>
      <c r="D3331" s="2">
        <v>183.86</v>
      </c>
      <c r="E3331" s="2">
        <v>0</v>
      </c>
      <c r="F3331" t="s">
        <v>27</v>
      </c>
      <c r="G3331" t="s">
        <v>9</v>
      </c>
    </row>
    <row r="3332" spans="1:7" x14ac:dyDescent="0.35">
      <c r="A3332">
        <v>1318</v>
      </c>
      <c r="B3332" s="1">
        <v>45544</v>
      </c>
      <c r="C3332" t="s">
        <v>25</v>
      </c>
      <c r="D3332" s="2">
        <v>0</v>
      </c>
      <c r="E3332" s="2">
        <v>2635.36</v>
      </c>
      <c r="F3332" t="s">
        <v>28</v>
      </c>
      <c r="G3332" t="s">
        <v>17</v>
      </c>
    </row>
    <row r="3333" spans="1:7" x14ac:dyDescent="0.35">
      <c r="A3333">
        <v>1319</v>
      </c>
      <c r="B3333" s="1">
        <v>45544</v>
      </c>
      <c r="C3333" t="s">
        <v>25</v>
      </c>
      <c r="D3333" s="2">
        <v>1800.04</v>
      </c>
      <c r="E3333" s="2">
        <v>0</v>
      </c>
      <c r="F3333" t="s">
        <v>26</v>
      </c>
      <c r="G3333" t="s">
        <v>20</v>
      </c>
    </row>
    <row r="3334" spans="1:7" x14ac:dyDescent="0.35">
      <c r="A3334">
        <v>1319</v>
      </c>
      <c r="B3334" s="1">
        <v>45544</v>
      </c>
      <c r="C3334" t="s">
        <v>25</v>
      </c>
      <c r="D3334" s="2">
        <v>135</v>
      </c>
      <c r="E3334" s="2">
        <v>0</v>
      </c>
      <c r="F3334" t="s">
        <v>27</v>
      </c>
      <c r="G3334" t="s">
        <v>9</v>
      </c>
    </row>
    <row r="3335" spans="1:7" x14ac:dyDescent="0.35">
      <c r="A3335">
        <v>1319</v>
      </c>
      <c r="B3335" s="1">
        <v>45544</v>
      </c>
      <c r="C3335" t="s">
        <v>25</v>
      </c>
      <c r="D3335" s="2">
        <v>0</v>
      </c>
      <c r="E3335" s="2">
        <v>1935.04</v>
      </c>
      <c r="F3335" t="s">
        <v>28</v>
      </c>
      <c r="G3335" t="s">
        <v>17</v>
      </c>
    </row>
    <row r="3336" spans="1:7" x14ac:dyDescent="0.35">
      <c r="A3336">
        <v>1320</v>
      </c>
      <c r="B3336" s="1">
        <v>45544</v>
      </c>
      <c r="C3336" t="s">
        <v>25</v>
      </c>
      <c r="D3336" s="2">
        <v>6723.2</v>
      </c>
      <c r="E3336" s="2">
        <v>0</v>
      </c>
      <c r="F3336" t="s">
        <v>26</v>
      </c>
      <c r="G3336" t="s">
        <v>20</v>
      </c>
    </row>
    <row r="3337" spans="1:7" x14ac:dyDescent="0.35">
      <c r="A3337">
        <v>1320</v>
      </c>
      <c r="B3337" s="1">
        <v>45544</v>
      </c>
      <c r="C3337" t="s">
        <v>25</v>
      </c>
      <c r="D3337" s="2">
        <v>504.24</v>
      </c>
      <c r="E3337" s="2">
        <v>0</v>
      </c>
      <c r="F3337" t="s">
        <v>27</v>
      </c>
      <c r="G3337" t="s">
        <v>9</v>
      </c>
    </row>
    <row r="3338" spans="1:7" x14ac:dyDescent="0.35">
      <c r="A3338">
        <v>1320</v>
      </c>
      <c r="B3338" s="1">
        <v>45544</v>
      </c>
      <c r="C3338" t="s">
        <v>25</v>
      </c>
      <c r="D3338" s="2">
        <v>0</v>
      </c>
      <c r="E3338" s="2">
        <v>7227.44</v>
      </c>
      <c r="F3338" t="s">
        <v>28</v>
      </c>
      <c r="G3338" t="s">
        <v>17</v>
      </c>
    </row>
    <row r="3339" spans="1:7" x14ac:dyDescent="0.35">
      <c r="A3339">
        <v>1321</v>
      </c>
      <c r="B3339" s="1">
        <v>45544</v>
      </c>
      <c r="C3339" t="s">
        <v>25</v>
      </c>
      <c r="D3339" s="2">
        <v>257.04000000000002</v>
      </c>
      <c r="E3339" s="2">
        <v>0</v>
      </c>
      <c r="F3339" t="s">
        <v>26</v>
      </c>
      <c r="G3339" t="s">
        <v>20</v>
      </c>
    </row>
    <row r="3340" spans="1:7" x14ac:dyDescent="0.35">
      <c r="A3340">
        <v>1321</v>
      </c>
      <c r="B3340" s="1">
        <v>45544</v>
      </c>
      <c r="C3340" t="s">
        <v>25</v>
      </c>
      <c r="D3340" s="2">
        <v>19.28</v>
      </c>
      <c r="E3340" s="2">
        <v>0</v>
      </c>
      <c r="F3340" t="s">
        <v>27</v>
      </c>
      <c r="G3340" t="s">
        <v>9</v>
      </c>
    </row>
    <row r="3341" spans="1:7" x14ac:dyDescent="0.35">
      <c r="A3341">
        <v>1321</v>
      </c>
      <c r="B3341" s="1">
        <v>45544</v>
      </c>
      <c r="C3341" t="s">
        <v>25</v>
      </c>
      <c r="D3341" s="2">
        <v>0</v>
      </c>
      <c r="E3341" s="2">
        <v>276.32</v>
      </c>
      <c r="F3341" t="s">
        <v>28</v>
      </c>
      <c r="G3341" t="s">
        <v>17</v>
      </c>
    </row>
    <row r="3342" spans="1:7" x14ac:dyDescent="0.35">
      <c r="A3342">
        <v>1322</v>
      </c>
      <c r="B3342" s="1">
        <v>45544</v>
      </c>
      <c r="C3342" t="s">
        <v>25</v>
      </c>
      <c r="D3342" s="2">
        <v>2714.58</v>
      </c>
      <c r="E3342" s="2">
        <v>0</v>
      </c>
      <c r="F3342" t="s">
        <v>26</v>
      </c>
      <c r="G3342" t="s">
        <v>20</v>
      </c>
    </row>
    <row r="3343" spans="1:7" x14ac:dyDescent="0.35">
      <c r="A3343">
        <v>1322</v>
      </c>
      <c r="B3343" s="1">
        <v>45544</v>
      </c>
      <c r="C3343" t="s">
        <v>25</v>
      </c>
      <c r="D3343" s="2">
        <v>203.59</v>
      </c>
      <c r="E3343" s="2">
        <v>0</v>
      </c>
      <c r="F3343" t="s">
        <v>27</v>
      </c>
      <c r="G3343" t="s">
        <v>9</v>
      </c>
    </row>
    <row r="3344" spans="1:7" x14ac:dyDescent="0.35">
      <c r="A3344">
        <v>1322</v>
      </c>
      <c r="B3344" s="1">
        <v>45544</v>
      </c>
      <c r="C3344" t="s">
        <v>25</v>
      </c>
      <c r="D3344" s="2">
        <v>0</v>
      </c>
      <c r="E3344" s="2">
        <v>2918.17</v>
      </c>
      <c r="F3344" t="s">
        <v>28</v>
      </c>
      <c r="G3344" t="s">
        <v>17</v>
      </c>
    </row>
    <row r="3345" spans="1:7" x14ac:dyDescent="0.35">
      <c r="A3345">
        <v>1323</v>
      </c>
      <c r="B3345" s="1">
        <v>45544</v>
      </c>
      <c r="C3345" t="s">
        <v>25</v>
      </c>
      <c r="D3345" s="2">
        <v>1078.92</v>
      </c>
      <c r="E3345" s="2">
        <v>0</v>
      </c>
      <c r="F3345" t="s">
        <v>26</v>
      </c>
      <c r="G3345" t="s">
        <v>20</v>
      </c>
    </row>
    <row r="3346" spans="1:7" x14ac:dyDescent="0.35">
      <c r="A3346">
        <v>1323</v>
      </c>
      <c r="B3346" s="1">
        <v>45544</v>
      </c>
      <c r="C3346" t="s">
        <v>25</v>
      </c>
      <c r="D3346" s="2">
        <v>80.92</v>
      </c>
      <c r="E3346" s="2">
        <v>0</v>
      </c>
      <c r="F3346" t="s">
        <v>27</v>
      </c>
      <c r="G3346" t="s">
        <v>9</v>
      </c>
    </row>
    <row r="3347" spans="1:7" x14ac:dyDescent="0.35">
      <c r="A3347">
        <v>1323</v>
      </c>
      <c r="B3347" s="1">
        <v>45544</v>
      </c>
      <c r="C3347" t="s">
        <v>25</v>
      </c>
      <c r="D3347" s="2">
        <v>0</v>
      </c>
      <c r="E3347" s="2">
        <v>1159.8399999999999</v>
      </c>
      <c r="F3347" t="s">
        <v>28</v>
      </c>
      <c r="G3347" t="s">
        <v>17</v>
      </c>
    </row>
    <row r="3348" spans="1:7" x14ac:dyDescent="0.35">
      <c r="A3348">
        <v>1324</v>
      </c>
      <c r="B3348" s="1">
        <v>45544</v>
      </c>
      <c r="C3348" t="s">
        <v>25</v>
      </c>
      <c r="D3348" s="2">
        <v>696.06</v>
      </c>
      <c r="E3348" s="2">
        <v>0</v>
      </c>
      <c r="F3348" t="s">
        <v>26</v>
      </c>
      <c r="G3348" t="s">
        <v>20</v>
      </c>
    </row>
    <row r="3349" spans="1:7" x14ac:dyDescent="0.35">
      <c r="A3349">
        <v>1324</v>
      </c>
      <c r="B3349" s="1">
        <v>45544</v>
      </c>
      <c r="C3349" t="s">
        <v>25</v>
      </c>
      <c r="D3349" s="2">
        <v>52.2</v>
      </c>
      <c r="E3349" s="2">
        <v>0</v>
      </c>
      <c r="F3349" t="s">
        <v>27</v>
      </c>
      <c r="G3349" t="s">
        <v>9</v>
      </c>
    </row>
    <row r="3350" spans="1:7" x14ac:dyDescent="0.35">
      <c r="A3350">
        <v>1324</v>
      </c>
      <c r="B3350" s="1">
        <v>45544</v>
      </c>
      <c r="C3350" t="s">
        <v>25</v>
      </c>
      <c r="D3350" s="2">
        <v>0</v>
      </c>
      <c r="E3350" s="2">
        <v>748.26</v>
      </c>
      <c r="F3350" t="s">
        <v>28</v>
      </c>
      <c r="G3350" t="s">
        <v>17</v>
      </c>
    </row>
    <row r="3351" spans="1:7" x14ac:dyDescent="0.35">
      <c r="A3351">
        <v>1325</v>
      </c>
      <c r="B3351" s="1">
        <v>45544</v>
      </c>
      <c r="C3351" t="s">
        <v>25</v>
      </c>
      <c r="D3351" s="2">
        <v>1668.94</v>
      </c>
      <c r="E3351" s="2">
        <v>0</v>
      </c>
      <c r="F3351" t="s">
        <v>26</v>
      </c>
      <c r="G3351" t="s">
        <v>20</v>
      </c>
    </row>
    <row r="3352" spans="1:7" x14ac:dyDescent="0.35">
      <c r="A3352">
        <v>1325</v>
      </c>
      <c r="B3352" s="1">
        <v>45544</v>
      </c>
      <c r="C3352" t="s">
        <v>25</v>
      </c>
      <c r="D3352" s="2">
        <v>125.17</v>
      </c>
      <c r="E3352" s="2">
        <v>0</v>
      </c>
      <c r="F3352" t="s">
        <v>27</v>
      </c>
      <c r="G3352" t="s">
        <v>9</v>
      </c>
    </row>
    <row r="3353" spans="1:7" x14ac:dyDescent="0.35">
      <c r="A3353">
        <v>1325</v>
      </c>
      <c r="B3353" s="1">
        <v>45544</v>
      </c>
      <c r="C3353" t="s">
        <v>25</v>
      </c>
      <c r="D3353" s="2">
        <v>0</v>
      </c>
      <c r="E3353" s="2">
        <v>1794.11</v>
      </c>
      <c r="F3353" t="s">
        <v>28</v>
      </c>
      <c r="G3353" t="s">
        <v>17</v>
      </c>
    </row>
    <row r="3354" spans="1:7" x14ac:dyDescent="0.35">
      <c r="A3354">
        <v>1326</v>
      </c>
      <c r="B3354" s="1">
        <v>45544</v>
      </c>
      <c r="C3354" t="s">
        <v>29</v>
      </c>
      <c r="D3354" s="2">
        <v>179.01</v>
      </c>
      <c r="E3354" s="2">
        <v>0</v>
      </c>
      <c r="F3354" t="s">
        <v>28</v>
      </c>
      <c r="G3354" t="s">
        <v>17</v>
      </c>
    </row>
    <row r="3355" spans="1:7" x14ac:dyDescent="0.35">
      <c r="A3355">
        <v>1326</v>
      </c>
      <c r="B3355" s="1">
        <v>45544</v>
      </c>
      <c r="C3355" t="s">
        <v>29</v>
      </c>
      <c r="D3355" s="2">
        <v>0</v>
      </c>
      <c r="E3355" s="2">
        <v>179.01</v>
      </c>
      <c r="F3355" t="s">
        <v>8</v>
      </c>
      <c r="G3355" t="s">
        <v>9</v>
      </c>
    </row>
    <row r="3356" spans="1:7" x14ac:dyDescent="0.35">
      <c r="A3356">
        <v>1327</v>
      </c>
      <c r="B3356" s="1">
        <v>45544</v>
      </c>
      <c r="C3356" t="s">
        <v>29</v>
      </c>
      <c r="D3356" s="2">
        <v>201.5</v>
      </c>
      <c r="E3356" s="2">
        <v>0</v>
      </c>
      <c r="F3356" t="s">
        <v>28</v>
      </c>
      <c r="G3356" t="s">
        <v>17</v>
      </c>
    </row>
    <row r="3357" spans="1:7" x14ac:dyDescent="0.35">
      <c r="A3357">
        <v>1327</v>
      </c>
      <c r="B3357" s="1">
        <v>45544</v>
      </c>
      <c r="C3357" t="s">
        <v>29</v>
      </c>
      <c r="D3357" s="2">
        <v>0</v>
      </c>
      <c r="E3357" s="2">
        <v>201.5</v>
      </c>
      <c r="F3357" t="s">
        <v>8</v>
      </c>
      <c r="G3357" t="s">
        <v>9</v>
      </c>
    </row>
    <row r="3358" spans="1:7" x14ac:dyDescent="0.35">
      <c r="A3358">
        <v>1328</v>
      </c>
      <c r="B3358" s="1">
        <v>45545</v>
      </c>
      <c r="C3358" t="s">
        <v>12</v>
      </c>
      <c r="D3358" s="2">
        <v>510.61</v>
      </c>
      <c r="E3358" s="2">
        <v>0</v>
      </c>
      <c r="F3358" t="s">
        <v>13</v>
      </c>
      <c r="G3358" t="s">
        <v>9</v>
      </c>
    </row>
    <row r="3359" spans="1:7" x14ac:dyDescent="0.35">
      <c r="A3359">
        <v>1328</v>
      </c>
      <c r="B3359" s="1">
        <v>45545</v>
      </c>
      <c r="C3359" t="s">
        <v>12</v>
      </c>
      <c r="D3359" s="2">
        <v>0</v>
      </c>
      <c r="E3359" s="2">
        <v>474.99</v>
      </c>
      <c r="F3359" t="s">
        <v>14</v>
      </c>
      <c r="G3359" t="s">
        <v>15</v>
      </c>
    </row>
    <row r="3360" spans="1:7" x14ac:dyDescent="0.35">
      <c r="A3360">
        <v>1328</v>
      </c>
      <c r="B3360" s="1">
        <v>45545</v>
      </c>
      <c r="C3360" t="s">
        <v>12</v>
      </c>
      <c r="D3360" s="2">
        <v>0</v>
      </c>
      <c r="E3360" s="2">
        <v>35.619999999999997</v>
      </c>
      <c r="F3360" t="s">
        <v>16</v>
      </c>
      <c r="G3360" t="s">
        <v>17</v>
      </c>
    </row>
    <row r="3361" spans="1:7" x14ac:dyDescent="0.35">
      <c r="A3361">
        <v>1329</v>
      </c>
      <c r="B3361" s="1">
        <v>45545</v>
      </c>
      <c r="C3361" t="s">
        <v>12</v>
      </c>
      <c r="D3361" s="2">
        <v>120.23</v>
      </c>
      <c r="E3361" s="2">
        <v>0</v>
      </c>
      <c r="F3361" t="s">
        <v>13</v>
      </c>
      <c r="G3361" t="s">
        <v>9</v>
      </c>
    </row>
    <row r="3362" spans="1:7" x14ac:dyDescent="0.35">
      <c r="A3362">
        <v>1329</v>
      </c>
      <c r="B3362" s="1">
        <v>45545</v>
      </c>
      <c r="C3362" t="s">
        <v>12</v>
      </c>
      <c r="D3362" s="2">
        <v>0</v>
      </c>
      <c r="E3362" s="2">
        <v>111.84</v>
      </c>
      <c r="F3362" t="s">
        <v>14</v>
      </c>
      <c r="G3362" t="s">
        <v>15</v>
      </c>
    </row>
    <row r="3363" spans="1:7" x14ac:dyDescent="0.35">
      <c r="A3363">
        <v>1329</v>
      </c>
      <c r="B3363" s="1">
        <v>45545</v>
      </c>
      <c r="C3363" t="s">
        <v>12</v>
      </c>
      <c r="D3363" s="2">
        <v>0</v>
      </c>
      <c r="E3363" s="2">
        <v>8.39</v>
      </c>
      <c r="F3363" t="s">
        <v>16</v>
      </c>
      <c r="G3363" t="s">
        <v>17</v>
      </c>
    </row>
    <row r="3364" spans="1:7" x14ac:dyDescent="0.35">
      <c r="A3364">
        <v>1330</v>
      </c>
      <c r="B3364" s="1">
        <v>45545</v>
      </c>
      <c r="C3364" t="s">
        <v>24</v>
      </c>
      <c r="D3364" s="2">
        <v>2422.37</v>
      </c>
      <c r="E3364" s="2">
        <v>0</v>
      </c>
      <c r="F3364" t="s">
        <v>8</v>
      </c>
      <c r="G3364" t="s">
        <v>9</v>
      </c>
    </row>
    <row r="3365" spans="1:7" x14ac:dyDescent="0.35">
      <c r="A3365">
        <v>1330</v>
      </c>
      <c r="B3365" s="1">
        <v>45545</v>
      </c>
      <c r="C3365" t="s">
        <v>24</v>
      </c>
      <c r="D3365" s="2">
        <v>0</v>
      </c>
      <c r="E3365" s="2">
        <v>2422.37</v>
      </c>
      <c r="F3365" t="s">
        <v>13</v>
      </c>
      <c r="G3365" t="s">
        <v>9</v>
      </c>
    </row>
    <row r="3366" spans="1:7" x14ac:dyDescent="0.35">
      <c r="A3366">
        <v>1331</v>
      </c>
      <c r="B3366" s="1">
        <v>45545</v>
      </c>
      <c r="C3366" t="s">
        <v>24</v>
      </c>
      <c r="D3366" s="2">
        <v>1314.49</v>
      </c>
      <c r="E3366" s="2">
        <v>0</v>
      </c>
      <c r="F3366" t="s">
        <v>8</v>
      </c>
      <c r="G3366" t="s">
        <v>9</v>
      </c>
    </row>
    <row r="3367" spans="1:7" x14ac:dyDescent="0.35">
      <c r="A3367">
        <v>1331</v>
      </c>
      <c r="B3367" s="1">
        <v>45545</v>
      </c>
      <c r="C3367" t="s">
        <v>24</v>
      </c>
      <c r="D3367" s="2">
        <v>0</v>
      </c>
      <c r="E3367" s="2">
        <v>1314.49</v>
      </c>
      <c r="F3367" t="s">
        <v>13</v>
      </c>
      <c r="G3367" t="s">
        <v>9</v>
      </c>
    </row>
    <row r="3368" spans="1:7" x14ac:dyDescent="0.35">
      <c r="A3368">
        <v>1332</v>
      </c>
      <c r="B3368" s="1">
        <v>45545</v>
      </c>
      <c r="C3368" t="s">
        <v>24</v>
      </c>
      <c r="D3368" s="2">
        <v>488.46</v>
      </c>
      <c r="E3368" s="2">
        <v>0</v>
      </c>
      <c r="F3368" t="s">
        <v>8</v>
      </c>
      <c r="G3368" t="s">
        <v>9</v>
      </c>
    </row>
    <row r="3369" spans="1:7" x14ac:dyDescent="0.35">
      <c r="A3369">
        <v>1332</v>
      </c>
      <c r="B3369" s="1">
        <v>45545</v>
      </c>
      <c r="C3369" t="s">
        <v>24</v>
      </c>
      <c r="D3369" s="2">
        <v>0</v>
      </c>
      <c r="E3369" s="2">
        <v>488.46</v>
      </c>
      <c r="F3369" t="s">
        <v>13</v>
      </c>
      <c r="G3369" t="s">
        <v>9</v>
      </c>
    </row>
    <row r="3370" spans="1:7" x14ac:dyDescent="0.35">
      <c r="A3370">
        <v>1333</v>
      </c>
      <c r="B3370" s="1">
        <v>45546</v>
      </c>
      <c r="C3370" t="s">
        <v>24</v>
      </c>
      <c r="D3370" s="2">
        <v>2992.69</v>
      </c>
      <c r="E3370" s="2">
        <v>0</v>
      </c>
      <c r="F3370" t="s">
        <v>8</v>
      </c>
      <c r="G3370" t="s">
        <v>9</v>
      </c>
    </row>
    <row r="3371" spans="1:7" x14ac:dyDescent="0.35">
      <c r="A3371">
        <v>1333</v>
      </c>
      <c r="B3371" s="1">
        <v>45546</v>
      </c>
      <c r="C3371" t="s">
        <v>24</v>
      </c>
      <c r="D3371" s="2">
        <v>0</v>
      </c>
      <c r="E3371" s="2">
        <v>2992.69</v>
      </c>
      <c r="F3371" t="s">
        <v>13</v>
      </c>
      <c r="G3371" t="s">
        <v>9</v>
      </c>
    </row>
    <row r="3372" spans="1:7" x14ac:dyDescent="0.35">
      <c r="A3372">
        <v>1334</v>
      </c>
      <c r="B3372" s="1">
        <v>45546</v>
      </c>
      <c r="C3372" t="s">
        <v>24</v>
      </c>
      <c r="D3372" s="2">
        <v>1589.24</v>
      </c>
      <c r="E3372" s="2">
        <v>0</v>
      </c>
      <c r="F3372" t="s">
        <v>8</v>
      </c>
      <c r="G3372" t="s">
        <v>9</v>
      </c>
    </row>
    <row r="3373" spans="1:7" x14ac:dyDescent="0.35">
      <c r="A3373">
        <v>1334</v>
      </c>
      <c r="B3373" s="1">
        <v>45546</v>
      </c>
      <c r="C3373" t="s">
        <v>24</v>
      </c>
      <c r="D3373" s="2">
        <v>0</v>
      </c>
      <c r="E3373" s="2">
        <v>1589.24</v>
      </c>
      <c r="F3373" t="s">
        <v>13</v>
      </c>
      <c r="G3373" t="s">
        <v>9</v>
      </c>
    </row>
    <row r="3374" spans="1:7" x14ac:dyDescent="0.35">
      <c r="A3374">
        <v>1335</v>
      </c>
      <c r="B3374" s="1">
        <v>45546</v>
      </c>
      <c r="C3374" t="s">
        <v>24</v>
      </c>
      <c r="D3374" s="2">
        <v>6220.3</v>
      </c>
      <c r="E3374" s="2">
        <v>0</v>
      </c>
      <c r="F3374" t="s">
        <v>8</v>
      </c>
      <c r="G3374" t="s">
        <v>9</v>
      </c>
    </row>
    <row r="3375" spans="1:7" x14ac:dyDescent="0.35">
      <c r="A3375">
        <v>1335</v>
      </c>
      <c r="B3375" s="1">
        <v>45546</v>
      </c>
      <c r="C3375" t="s">
        <v>24</v>
      </c>
      <c r="D3375" s="2">
        <v>0</v>
      </c>
      <c r="E3375" s="2">
        <v>6220.3</v>
      </c>
      <c r="F3375" t="s">
        <v>13</v>
      </c>
      <c r="G3375" t="s">
        <v>9</v>
      </c>
    </row>
    <row r="3376" spans="1:7" x14ac:dyDescent="0.35">
      <c r="A3376">
        <v>1336</v>
      </c>
      <c r="B3376" s="1">
        <v>45546</v>
      </c>
      <c r="C3376" t="s">
        <v>29</v>
      </c>
      <c r="D3376" s="2">
        <v>1794.11</v>
      </c>
      <c r="E3376" s="2">
        <v>0</v>
      </c>
      <c r="F3376" t="s">
        <v>28</v>
      </c>
      <c r="G3376" t="s">
        <v>17</v>
      </c>
    </row>
    <row r="3377" spans="1:7" x14ac:dyDescent="0.35">
      <c r="A3377">
        <v>1336</v>
      </c>
      <c r="B3377" s="1">
        <v>45546</v>
      </c>
      <c r="C3377" t="s">
        <v>29</v>
      </c>
      <c r="D3377" s="2">
        <v>0</v>
      </c>
      <c r="E3377" s="2">
        <v>1794.11</v>
      </c>
      <c r="F3377" t="s">
        <v>8</v>
      </c>
      <c r="G3377" t="s">
        <v>9</v>
      </c>
    </row>
    <row r="3378" spans="1:7" x14ac:dyDescent="0.35">
      <c r="A3378">
        <v>1337</v>
      </c>
      <c r="B3378" s="1">
        <v>45547</v>
      </c>
      <c r="C3378" t="s">
        <v>18</v>
      </c>
      <c r="D3378" s="2">
        <v>22037.74</v>
      </c>
      <c r="E3378" s="2">
        <v>0</v>
      </c>
      <c r="F3378" t="s">
        <v>19</v>
      </c>
      <c r="G3378" t="s">
        <v>20</v>
      </c>
    </row>
    <row r="3379" spans="1:7" x14ac:dyDescent="0.35">
      <c r="A3379">
        <v>1337</v>
      </c>
      <c r="B3379" s="1">
        <v>45547</v>
      </c>
      <c r="C3379" t="s">
        <v>18</v>
      </c>
      <c r="D3379" s="2">
        <v>881.51</v>
      </c>
      <c r="E3379" s="2">
        <v>0</v>
      </c>
      <c r="F3379" t="s">
        <v>21</v>
      </c>
      <c r="G3379" t="s">
        <v>20</v>
      </c>
    </row>
    <row r="3380" spans="1:7" x14ac:dyDescent="0.35">
      <c r="A3380">
        <v>1337</v>
      </c>
      <c r="B3380" s="1">
        <v>45547</v>
      </c>
      <c r="C3380" t="s">
        <v>18</v>
      </c>
      <c r="D3380" s="2">
        <v>0</v>
      </c>
      <c r="E3380" s="2">
        <v>17968.47</v>
      </c>
      <c r="F3380" t="s">
        <v>8</v>
      </c>
      <c r="G3380" t="s">
        <v>9</v>
      </c>
    </row>
    <row r="3381" spans="1:7" x14ac:dyDescent="0.35">
      <c r="A3381">
        <v>1337</v>
      </c>
      <c r="B3381" s="1">
        <v>45547</v>
      </c>
      <c r="C3381" t="s">
        <v>18</v>
      </c>
      <c r="D3381" s="2">
        <v>0</v>
      </c>
      <c r="E3381" s="2">
        <v>4069.27</v>
      </c>
      <c r="F3381" t="s">
        <v>22</v>
      </c>
      <c r="G3381" t="s">
        <v>17</v>
      </c>
    </row>
    <row r="3382" spans="1:7" x14ac:dyDescent="0.35">
      <c r="A3382">
        <v>1337</v>
      </c>
      <c r="B3382" s="1">
        <v>45547</v>
      </c>
      <c r="C3382" t="s">
        <v>18</v>
      </c>
      <c r="D3382" s="2">
        <v>0</v>
      </c>
      <c r="E3382" s="2">
        <v>881.51</v>
      </c>
      <c r="F3382" t="s">
        <v>23</v>
      </c>
      <c r="G3382" t="s">
        <v>17</v>
      </c>
    </row>
    <row r="3383" spans="1:7" x14ac:dyDescent="0.35">
      <c r="A3383">
        <v>1338</v>
      </c>
      <c r="B3383" s="1">
        <v>45547</v>
      </c>
      <c r="C3383" t="s">
        <v>12</v>
      </c>
      <c r="D3383" s="2">
        <v>2701.09</v>
      </c>
      <c r="E3383" s="2">
        <v>0</v>
      </c>
      <c r="F3383" t="s">
        <v>13</v>
      </c>
      <c r="G3383" t="s">
        <v>9</v>
      </c>
    </row>
    <row r="3384" spans="1:7" x14ac:dyDescent="0.35">
      <c r="A3384">
        <v>1338</v>
      </c>
      <c r="B3384" s="1">
        <v>45547</v>
      </c>
      <c r="C3384" t="s">
        <v>12</v>
      </c>
      <c r="D3384" s="2">
        <v>0</v>
      </c>
      <c r="E3384" s="2">
        <v>2512.64</v>
      </c>
      <c r="F3384" t="s">
        <v>14</v>
      </c>
      <c r="G3384" t="s">
        <v>15</v>
      </c>
    </row>
    <row r="3385" spans="1:7" x14ac:dyDescent="0.35">
      <c r="A3385">
        <v>1338</v>
      </c>
      <c r="B3385" s="1">
        <v>45547</v>
      </c>
      <c r="C3385" t="s">
        <v>12</v>
      </c>
      <c r="D3385" s="2">
        <v>0</v>
      </c>
      <c r="E3385" s="2">
        <v>188.45</v>
      </c>
      <c r="F3385" t="s">
        <v>16</v>
      </c>
      <c r="G3385" t="s">
        <v>17</v>
      </c>
    </row>
    <row r="3386" spans="1:7" x14ac:dyDescent="0.35">
      <c r="A3386">
        <v>1339</v>
      </c>
      <c r="B3386" s="1">
        <v>45547</v>
      </c>
      <c r="C3386" t="s">
        <v>12</v>
      </c>
      <c r="D3386" s="2">
        <v>1323.33</v>
      </c>
      <c r="E3386" s="2">
        <v>0</v>
      </c>
      <c r="F3386" t="s">
        <v>13</v>
      </c>
      <c r="G3386" t="s">
        <v>9</v>
      </c>
    </row>
    <row r="3387" spans="1:7" x14ac:dyDescent="0.35">
      <c r="A3387">
        <v>1339</v>
      </c>
      <c r="B3387" s="1">
        <v>45547</v>
      </c>
      <c r="C3387" t="s">
        <v>12</v>
      </c>
      <c r="D3387" s="2">
        <v>0</v>
      </c>
      <c r="E3387" s="2">
        <v>1231</v>
      </c>
      <c r="F3387" t="s">
        <v>14</v>
      </c>
      <c r="G3387" t="s">
        <v>15</v>
      </c>
    </row>
    <row r="3388" spans="1:7" x14ac:dyDescent="0.35">
      <c r="A3388">
        <v>1339</v>
      </c>
      <c r="B3388" s="1">
        <v>45547</v>
      </c>
      <c r="C3388" t="s">
        <v>12</v>
      </c>
      <c r="D3388" s="2">
        <v>0</v>
      </c>
      <c r="E3388" s="2">
        <v>92.33</v>
      </c>
      <c r="F3388" t="s">
        <v>16</v>
      </c>
      <c r="G3388" t="s">
        <v>17</v>
      </c>
    </row>
    <row r="3389" spans="1:7" x14ac:dyDescent="0.35">
      <c r="A3389">
        <v>1340</v>
      </c>
      <c r="B3389" s="1">
        <v>45547</v>
      </c>
      <c r="C3389" t="s">
        <v>24</v>
      </c>
      <c r="D3389" s="2">
        <v>2625.86</v>
      </c>
      <c r="E3389" s="2">
        <v>0</v>
      </c>
      <c r="F3389" t="s">
        <v>8</v>
      </c>
      <c r="G3389" t="s">
        <v>9</v>
      </c>
    </row>
    <row r="3390" spans="1:7" x14ac:dyDescent="0.35">
      <c r="A3390">
        <v>1340</v>
      </c>
      <c r="B3390" s="1">
        <v>45547</v>
      </c>
      <c r="C3390" t="s">
        <v>24</v>
      </c>
      <c r="D3390" s="2">
        <v>0</v>
      </c>
      <c r="E3390" s="2">
        <v>2625.86</v>
      </c>
      <c r="F3390" t="s">
        <v>13</v>
      </c>
      <c r="G3390" t="s">
        <v>9</v>
      </c>
    </row>
    <row r="3391" spans="1:7" x14ac:dyDescent="0.35">
      <c r="A3391">
        <v>1341</v>
      </c>
      <c r="B3391" s="1">
        <v>45547</v>
      </c>
      <c r="C3391" t="s">
        <v>24</v>
      </c>
      <c r="D3391" s="2">
        <v>593.72</v>
      </c>
      <c r="E3391" s="2">
        <v>0</v>
      </c>
      <c r="F3391" t="s">
        <v>8</v>
      </c>
      <c r="G3391" t="s">
        <v>9</v>
      </c>
    </row>
    <row r="3392" spans="1:7" x14ac:dyDescent="0.35">
      <c r="A3392">
        <v>1341</v>
      </c>
      <c r="B3392" s="1">
        <v>45547</v>
      </c>
      <c r="C3392" t="s">
        <v>24</v>
      </c>
      <c r="D3392" s="2">
        <v>0</v>
      </c>
      <c r="E3392" s="2">
        <v>593.72</v>
      </c>
      <c r="F3392" t="s">
        <v>13</v>
      </c>
      <c r="G3392" t="s">
        <v>9</v>
      </c>
    </row>
    <row r="3393" spans="1:7" x14ac:dyDescent="0.35">
      <c r="A3393">
        <v>1342</v>
      </c>
      <c r="B3393" s="1">
        <v>45547</v>
      </c>
      <c r="C3393" t="s">
        <v>24</v>
      </c>
      <c r="D3393" s="2">
        <v>287.33</v>
      </c>
      <c r="E3393" s="2">
        <v>0</v>
      </c>
      <c r="F3393" t="s">
        <v>8</v>
      </c>
      <c r="G3393" t="s">
        <v>9</v>
      </c>
    </row>
    <row r="3394" spans="1:7" x14ac:dyDescent="0.35">
      <c r="A3394">
        <v>1342</v>
      </c>
      <c r="B3394" s="1">
        <v>45547</v>
      </c>
      <c r="C3394" t="s">
        <v>24</v>
      </c>
      <c r="D3394" s="2">
        <v>0</v>
      </c>
      <c r="E3394" s="2">
        <v>287.33</v>
      </c>
      <c r="F3394" t="s">
        <v>13</v>
      </c>
      <c r="G3394" t="s">
        <v>9</v>
      </c>
    </row>
    <row r="3395" spans="1:7" x14ac:dyDescent="0.35">
      <c r="A3395">
        <v>1343</v>
      </c>
      <c r="B3395" s="1">
        <v>45548</v>
      </c>
      <c r="C3395" t="s">
        <v>12</v>
      </c>
      <c r="D3395" s="2">
        <v>1984.1</v>
      </c>
      <c r="E3395" s="2">
        <v>0</v>
      </c>
      <c r="F3395" t="s">
        <v>13</v>
      </c>
      <c r="G3395" t="s">
        <v>9</v>
      </c>
    </row>
    <row r="3396" spans="1:7" x14ac:dyDescent="0.35">
      <c r="A3396">
        <v>1343</v>
      </c>
      <c r="B3396" s="1">
        <v>45548</v>
      </c>
      <c r="C3396" t="s">
        <v>12</v>
      </c>
      <c r="D3396" s="2">
        <v>0</v>
      </c>
      <c r="E3396" s="2">
        <v>1845.68</v>
      </c>
      <c r="F3396" t="s">
        <v>14</v>
      </c>
      <c r="G3396" t="s">
        <v>15</v>
      </c>
    </row>
    <row r="3397" spans="1:7" x14ac:dyDescent="0.35">
      <c r="A3397">
        <v>1343</v>
      </c>
      <c r="B3397" s="1">
        <v>45548</v>
      </c>
      <c r="C3397" t="s">
        <v>12</v>
      </c>
      <c r="D3397" s="2">
        <v>0</v>
      </c>
      <c r="E3397" s="2">
        <v>138.41999999999999</v>
      </c>
      <c r="F3397" t="s">
        <v>16</v>
      </c>
      <c r="G3397" t="s">
        <v>17</v>
      </c>
    </row>
    <row r="3398" spans="1:7" x14ac:dyDescent="0.35">
      <c r="A3398">
        <v>1344</v>
      </c>
      <c r="B3398" s="1">
        <v>45548</v>
      </c>
      <c r="C3398" t="s">
        <v>12</v>
      </c>
      <c r="D3398" s="2">
        <v>2753.35</v>
      </c>
      <c r="E3398" s="2">
        <v>0</v>
      </c>
      <c r="F3398" t="s">
        <v>13</v>
      </c>
      <c r="G3398" t="s">
        <v>9</v>
      </c>
    </row>
    <row r="3399" spans="1:7" x14ac:dyDescent="0.35">
      <c r="A3399">
        <v>1344</v>
      </c>
      <c r="B3399" s="1">
        <v>45548</v>
      </c>
      <c r="C3399" t="s">
        <v>12</v>
      </c>
      <c r="D3399" s="2">
        <v>0</v>
      </c>
      <c r="E3399" s="2">
        <v>2561.2600000000002</v>
      </c>
      <c r="F3399" t="s">
        <v>14</v>
      </c>
      <c r="G3399" t="s">
        <v>15</v>
      </c>
    </row>
    <row r="3400" spans="1:7" x14ac:dyDescent="0.35">
      <c r="A3400">
        <v>1344</v>
      </c>
      <c r="B3400" s="1">
        <v>45548</v>
      </c>
      <c r="C3400" t="s">
        <v>12</v>
      </c>
      <c r="D3400" s="2">
        <v>0</v>
      </c>
      <c r="E3400" s="2">
        <v>192.09</v>
      </c>
      <c r="F3400" t="s">
        <v>16</v>
      </c>
      <c r="G3400" t="s">
        <v>17</v>
      </c>
    </row>
    <row r="3401" spans="1:7" x14ac:dyDescent="0.35">
      <c r="A3401">
        <v>1345</v>
      </c>
      <c r="B3401" s="1">
        <v>45548</v>
      </c>
      <c r="C3401" t="s">
        <v>12</v>
      </c>
      <c r="D3401" s="2">
        <v>2886.9</v>
      </c>
      <c r="E3401" s="2">
        <v>0</v>
      </c>
      <c r="F3401" t="s">
        <v>13</v>
      </c>
      <c r="G3401" t="s">
        <v>9</v>
      </c>
    </row>
    <row r="3402" spans="1:7" x14ac:dyDescent="0.35">
      <c r="A3402">
        <v>1345</v>
      </c>
      <c r="B3402" s="1">
        <v>45548</v>
      </c>
      <c r="C3402" t="s">
        <v>12</v>
      </c>
      <c r="D3402" s="2">
        <v>0</v>
      </c>
      <c r="E3402" s="2">
        <v>2685.49</v>
      </c>
      <c r="F3402" t="s">
        <v>14</v>
      </c>
      <c r="G3402" t="s">
        <v>15</v>
      </c>
    </row>
    <row r="3403" spans="1:7" x14ac:dyDescent="0.35">
      <c r="A3403">
        <v>1345</v>
      </c>
      <c r="B3403" s="1">
        <v>45548</v>
      </c>
      <c r="C3403" t="s">
        <v>12</v>
      </c>
      <c r="D3403" s="2">
        <v>0</v>
      </c>
      <c r="E3403" s="2">
        <v>201.41</v>
      </c>
      <c r="F3403" t="s">
        <v>16</v>
      </c>
      <c r="G3403" t="s">
        <v>17</v>
      </c>
    </row>
    <row r="3404" spans="1:7" x14ac:dyDescent="0.35">
      <c r="A3404">
        <v>1346</v>
      </c>
      <c r="B3404" s="1">
        <v>45548</v>
      </c>
      <c r="C3404" t="s">
        <v>12</v>
      </c>
      <c r="D3404" s="2">
        <v>1435.55</v>
      </c>
      <c r="E3404" s="2">
        <v>0</v>
      </c>
      <c r="F3404" t="s">
        <v>13</v>
      </c>
      <c r="G3404" t="s">
        <v>9</v>
      </c>
    </row>
    <row r="3405" spans="1:7" x14ac:dyDescent="0.35">
      <c r="A3405">
        <v>1346</v>
      </c>
      <c r="B3405" s="1">
        <v>45548</v>
      </c>
      <c r="C3405" t="s">
        <v>12</v>
      </c>
      <c r="D3405" s="2">
        <v>0</v>
      </c>
      <c r="E3405" s="2">
        <v>1335.4</v>
      </c>
      <c r="F3405" t="s">
        <v>14</v>
      </c>
      <c r="G3405" t="s">
        <v>15</v>
      </c>
    </row>
    <row r="3406" spans="1:7" x14ac:dyDescent="0.35">
      <c r="A3406">
        <v>1346</v>
      </c>
      <c r="B3406" s="1">
        <v>45548</v>
      </c>
      <c r="C3406" t="s">
        <v>12</v>
      </c>
      <c r="D3406" s="2">
        <v>0</v>
      </c>
      <c r="E3406" s="2">
        <v>100.15</v>
      </c>
      <c r="F3406" t="s">
        <v>16</v>
      </c>
      <c r="G3406" t="s">
        <v>17</v>
      </c>
    </row>
    <row r="3407" spans="1:7" x14ac:dyDescent="0.35">
      <c r="A3407">
        <v>1347</v>
      </c>
      <c r="B3407" s="1">
        <v>45548</v>
      </c>
      <c r="C3407" t="s">
        <v>12</v>
      </c>
      <c r="D3407" s="2">
        <v>2323.27</v>
      </c>
      <c r="E3407" s="2">
        <v>0</v>
      </c>
      <c r="F3407" t="s">
        <v>13</v>
      </c>
      <c r="G3407" t="s">
        <v>9</v>
      </c>
    </row>
    <row r="3408" spans="1:7" x14ac:dyDescent="0.35">
      <c r="A3408">
        <v>1347</v>
      </c>
      <c r="B3408" s="1">
        <v>45548</v>
      </c>
      <c r="C3408" t="s">
        <v>12</v>
      </c>
      <c r="D3408" s="2">
        <v>0</v>
      </c>
      <c r="E3408" s="2">
        <v>2161.17</v>
      </c>
      <c r="F3408" t="s">
        <v>14</v>
      </c>
      <c r="G3408" t="s">
        <v>15</v>
      </c>
    </row>
    <row r="3409" spans="1:7" x14ac:dyDescent="0.35">
      <c r="A3409">
        <v>1347</v>
      </c>
      <c r="B3409" s="1">
        <v>45548</v>
      </c>
      <c r="C3409" t="s">
        <v>12</v>
      </c>
      <c r="D3409" s="2">
        <v>0</v>
      </c>
      <c r="E3409" s="2">
        <v>162.1</v>
      </c>
      <c r="F3409" t="s">
        <v>16</v>
      </c>
      <c r="G3409" t="s">
        <v>17</v>
      </c>
    </row>
    <row r="3410" spans="1:7" x14ac:dyDescent="0.35">
      <c r="A3410">
        <v>1348</v>
      </c>
      <c r="B3410" s="1">
        <v>45548</v>
      </c>
      <c r="C3410" t="s">
        <v>24</v>
      </c>
      <c r="D3410" s="2">
        <v>2664.45</v>
      </c>
      <c r="E3410" s="2">
        <v>0</v>
      </c>
      <c r="F3410" t="s">
        <v>8</v>
      </c>
      <c r="G3410" t="s">
        <v>9</v>
      </c>
    </row>
    <row r="3411" spans="1:7" x14ac:dyDescent="0.35">
      <c r="A3411">
        <v>1348</v>
      </c>
      <c r="B3411" s="1">
        <v>45548</v>
      </c>
      <c r="C3411" t="s">
        <v>24</v>
      </c>
      <c r="D3411" s="2">
        <v>0</v>
      </c>
      <c r="E3411" s="2">
        <v>2664.45</v>
      </c>
      <c r="F3411" t="s">
        <v>13</v>
      </c>
      <c r="G3411" t="s">
        <v>9</v>
      </c>
    </row>
    <row r="3412" spans="1:7" x14ac:dyDescent="0.35">
      <c r="A3412">
        <v>1349</v>
      </c>
      <c r="B3412" s="1">
        <v>45548</v>
      </c>
      <c r="C3412" t="s">
        <v>24</v>
      </c>
      <c r="D3412" s="2">
        <v>253.7</v>
      </c>
      <c r="E3412" s="2">
        <v>0</v>
      </c>
      <c r="F3412" t="s">
        <v>8</v>
      </c>
      <c r="G3412" t="s">
        <v>9</v>
      </c>
    </row>
    <row r="3413" spans="1:7" x14ac:dyDescent="0.35">
      <c r="A3413">
        <v>1349</v>
      </c>
      <c r="B3413" s="1">
        <v>45548</v>
      </c>
      <c r="C3413" t="s">
        <v>24</v>
      </c>
      <c r="D3413" s="2">
        <v>0</v>
      </c>
      <c r="E3413" s="2">
        <v>253.7</v>
      </c>
      <c r="F3413" t="s">
        <v>13</v>
      </c>
      <c r="G3413" t="s">
        <v>9</v>
      </c>
    </row>
    <row r="3414" spans="1:7" x14ac:dyDescent="0.35">
      <c r="A3414">
        <v>1350</v>
      </c>
      <c r="B3414" s="1">
        <v>45548</v>
      </c>
      <c r="C3414" t="s">
        <v>24</v>
      </c>
      <c r="D3414" s="2">
        <v>321.68</v>
      </c>
      <c r="E3414" s="2">
        <v>0</v>
      </c>
      <c r="F3414" t="s">
        <v>8</v>
      </c>
      <c r="G3414" t="s">
        <v>9</v>
      </c>
    </row>
    <row r="3415" spans="1:7" x14ac:dyDescent="0.35">
      <c r="A3415">
        <v>1350</v>
      </c>
      <c r="B3415" s="1">
        <v>45548</v>
      </c>
      <c r="C3415" t="s">
        <v>24</v>
      </c>
      <c r="D3415" s="2">
        <v>0</v>
      </c>
      <c r="E3415" s="2">
        <v>321.68</v>
      </c>
      <c r="F3415" t="s">
        <v>13</v>
      </c>
      <c r="G3415" t="s">
        <v>9</v>
      </c>
    </row>
    <row r="3416" spans="1:7" x14ac:dyDescent="0.35">
      <c r="A3416">
        <v>1351</v>
      </c>
      <c r="B3416" s="1">
        <v>45548</v>
      </c>
      <c r="C3416" t="s">
        <v>24</v>
      </c>
      <c r="D3416" s="2">
        <v>2886.9</v>
      </c>
      <c r="E3416" s="2">
        <v>0</v>
      </c>
      <c r="F3416" t="s">
        <v>8</v>
      </c>
      <c r="G3416" t="s">
        <v>9</v>
      </c>
    </row>
    <row r="3417" spans="1:7" x14ac:dyDescent="0.35">
      <c r="A3417">
        <v>1351</v>
      </c>
      <c r="B3417" s="1">
        <v>45548</v>
      </c>
      <c r="C3417" t="s">
        <v>24</v>
      </c>
      <c r="D3417" s="2">
        <v>0</v>
      </c>
      <c r="E3417" s="2">
        <v>2886.9</v>
      </c>
      <c r="F3417" t="s">
        <v>13</v>
      </c>
      <c r="G3417" t="s">
        <v>9</v>
      </c>
    </row>
    <row r="3418" spans="1:7" x14ac:dyDescent="0.35">
      <c r="A3418">
        <v>1352</v>
      </c>
      <c r="B3418" s="1">
        <v>45548</v>
      </c>
      <c r="C3418" t="s">
        <v>29</v>
      </c>
      <c r="D3418" s="2">
        <v>550.4</v>
      </c>
      <c r="E3418" s="2">
        <v>0</v>
      </c>
      <c r="F3418" t="s">
        <v>28</v>
      </c>
      <c r="G3418" t="s">
        <v>17</v>
      </c>
    </row>
    <row r="3419" spans="1:7" x14ac:dyDescent="0.35">
      <c r="A3419">
        <v>1352</v>
      </c>
      <c r="B3419" s="1">
        <v>45548</v>
      </c>
      <c r="C3419" t="s">
        <v>29</v>
      </c>
      <c r="D3419" s="2">
        <v>0</v>
      </c>
      <c r="E3419" s="2">
        <v>550.4</v>
      </c>
      <c r="F3419" t="s">
        <v>8</v>
      </c>
      <c r="G3419" t="s">
        <v>9</v>
      </c>
    </row>
    <row r="3420" spans="1:7" x14ac:dyDescent="0.35">
      <c r="A3420">
        <v>1353</v>
      </c>
      <c r="B3420" s="1">
        <v>45548</v>
      </c>
      <c r="C3420" t="s">
        <v>29</v>
      </c>
      <c r="D3420" s="2">
        <v>1766.46</v>
      </c>
      <c r="E3420" s="2">
        <v>0</v>
      </c>
      <c r="F3420" t="s">
        <v>28</v>
      </c>
      <c r="G3420" t="s">
        <v>17</v>
      </c>
    </row>
    <row r="3421" spans="1:7" x14ac:dyDescent="0.35">
      <c r="A3421">
        <v>1353</v>
      </c>
      <c r="B3421" s="1">
        <v>45548</v>
      </c>
      <c r="C3421" t="s">
        <v>29</v>
      </c>
      <c r="D3421" s="2">
        <v>0</v>
      </c>
      <c r="E3421" s="2">
        <v>1766.46</v>
      </c>
      <c r="F3421" t="s">
        <v>8</v>
      </c>
      <c r="G3421" t="s">
        <v>9</v>
      </c>
    </row>
    <row r="3422" spans="1:7" x14ac:dyDescent="0.35">
      <c r="A3422">
        <v>1354</v>
      </c>
      <c r="B3422" s="1">
        <v>45548</v>
      </c>
      <c r="C3422" t="s">
        <v>29</v>
      </c>
      <c r="D3422" s="2">
        <v>2918.17</v>
      </c>
      <c r="E3422" s="2">
        <v>0</v>
      </c>
      <c r="F3422" t="s">
        <v>28</v>
      </c>
      <c r="G3422" t="s">
        <v>17</v>
      </c>
    </row>
    <row r="3423" spans="1:7" x14ac:dyDescent="0.35">
      <c r="A3423">
        <v>1354</v>
      </c>
      <c r="B3423" s="1">
        <v>45548</v>
      </c>
      <c r="C3423" t="s">
        <v>29</v>
      </c>
      <c r="D3423" s="2">
        <v>0</v>
      </c>
      <c r="E3423" s="2">
        <v>2918.17</v>
      </c>
      <c r="F3423" t="s">
        <v>8</v>
      </c>
      <c r="G3423" t="s">
        <v>9</v>
      </c>
    </row>
    <row r="3424" spans="1:7" x14ac:dyDescent="0.35">
      <c r="A3424">
        <v>1355</v>
      </c>
      <c r="B3424" s="1">
        <v>45551</v>
      </c>
      <c r="C3424" t="s">
        <v>12</v>
      </c>
      <c r="D3424" s="2">
        <v>2052.79</v>
      </c>
      <c r="E3424" s="2">
        <v>0</v>
      </c>
      <c r="F3424" t="s">
        <v>13</v>
      </c>
      <c r="G3424" t="s">
        <v>9</v>
      </c>
    </row>
    <row r="3425" spans="1:7" x14ac:dyDescent="0.35">
      <c r="A3425">
        <v>1355</v>
      </c>
      <c r="B3425" s="1">
        <v>45551</v>
      </c>
      <c r="C3425" t="s">
        <v>12</v>
      </c>
      <c r="D3425" s="2">
        <v>0</v>
      </c>
      <c r="E3425" s="2">
        <v>1909.58</v>
      </c>
      <c r="F3425" t="s">
        <v>14</v>
      </c>
      <c r="G3425" t="s">
        <v>15</v>
      </c>
    </row>
    <row r="3426" spans="1:7" x14ac:dyDescent="0.35">
      <c r="A3426">
        <v>1355</v>
      </c>
      <c r="B3426" s="1">
        <v>45551</v>
      </c>
      <c r="C3426" t="s">
        <v>12</v>
      </c>
      <c r="D3426" s="2">
        <v>0</v>
      </c>
      <c r="E3426" s="2">
        <v>143.21</v>
      </c>
      <c r="F3426" t="s">
        <v>16</v>
      </c>
      <c r="G3426" t="s">
        <v>17</v>
      </c>
    </row>
    <row r="3427" spans="1:7" x14ac:dyDescent="0.35">
      <c r="A3427">
        <v>1356</v>
      </c>
      <c r="B3427" s="1">
        <v>45551</v>
      </c>
      <c r="C3427" t="s">
        <v>12</v>
      </c>
      <c r="D3427" s="2">
        <v>657.51</v>
      </c>
      <c r="E3427" s="2">
        <v>0</v>
      </c>
      <c r="F3427" t="s">
        <v>13</v>
      </c>
      <c r="G3427" t="s">
        <v>9</v>
      </c>
    </row>
    <row r="3428" spans="1:7" x14ac:dyDescent="0.35">
      <c r="A3428">
        <v>1356</v>
      </c>
      <c r="B3428" s="1">
        <v>45551</v>
      </c>
      <c r="C3428" t="s">
        <v>12</v>
      </c>
      <c r="D3428" s="2">
        <v>0</v>
      </c>
      <c r="E3428" s="2">
        <v>611.63</v>
      </c>
      <c r="F3428" t="s">
        <v>14</v>
      </c>
      <c r="G3428" t="s">
        <v>15</v>
      </c>
    </row>
    <row r="3429" spans="1:7" x14ac:dyDescent="0.35">
      <c r="A3429">
        <v>1356</v>
      </c>
      <c r="B3429" s="1">
        <v>45551</v>
      </c>
      <c r="C3429" t="s">
        <v>12</v>
      </c>
      <c r="D3429" s="2">
        <v>0</v>
      </c>
      <c r="E3429" s="2">
        <v>45.88</v>
      </c>
      <c r="F3429" t="s">
        <v>16</v>
      </c>
      <c r="G3429" t="s">
        <v>17</v>
      </c>
    </row>
    <row r="3430" spans="1:7" x14ac:dyDescent="0.35">
      <c r="A3430">
        <v>1357</v>
      </c>
      <c r="B3430" s="1">
        <v>45551</v>
      </c>
      <c r="C3430" t="s">
        <v>12</v>
      </c>
      <c r="D3430" s="2">
        <v>2859.98</v>
      </c>
      <c r="E3430" s="2">
        <v>0</v>
      </c>
      <c r="F3430" t="s">
        <v>13</v>
      </c>
      <c r="G3430" t="s">
        <v>9</v>
      </c>
    </row>
    <row r="3431" spans="1:7" x14ac:dyDescent="0.35">
      <c r="A3431">
        <v>1357</v>
      </c>
      <c r="B3431" s="1">
        <v>45551</v>
      </c>
      <c r="C3431" t="s">
        <v>12</v>
      </c>
      <c r="D3431" s="2">
        <v>0</v>
      </c>
      <c r="E3431" s="2">
        <v>2660.44</v>
      </c>
      <c r="F3431" t="s">
        <v>14</v>
      </c>
      <c r="G3431" t="s">
        <v>15</v>
      </c>
    </row>
    <row r="3432" spans="1:7" x14ac:dyDescent="0.35">
      <c r="A3432">
        <v>1357</v>
      </c>
      <c r="B3432" s="1">
        <v>45551</v>
      </c>
      <c r="C3432" t="s">
        <v>12</v>
      </c>
      <c r="D3432" s="2">
        <v>0</v>
      </c>
      <c r="E3432" s="2">
        <v>199.54</v>
      </c>
      <c r="F3432" t="s">
        <v>16</v>
      </c>
      <c r="G3432" t="s">
        <v>17</v>
      </c>
    </row>
    <row r="3433" spans="1:7" x14ac:dyDescent="0.35">
      <c r="A3433">
        <v>1358</v>
      </c>
      <c r="B3433" s="1">
        <v>45551</v>
      </c>
      <c r="C3433" t="s">
        <v>24</v>
      </c>
      <c r="D3433" s="2">
        <v>2703.98</v>
      </c>
      <c r="E3433" s="2">
        <v>0</v>
      </c>
      <c r="F3433" t="s">
        <v>8</v>
      </c>
      <c r="G3433" t="s">
        <v>9</v>
      </c>
    </row>
    <row r="3434" spans="1:7" x14ac:dyDescent="0.35">
      <c r="A3434">
        <v>1358</v>
      </c>
      <c r="B3434" s="1">
        <v>45551</v>
      </c>
      <c r="C3434" t="s">
        <v>24</v>
      </c>
      <c r="D3434" s="2">
        <v>0</v>
      </c>
      <c r="E3434" s="2">
        <v>2703.98</v>
      </c>
      <c r="F3434" t="s">
        <v>13</v>
      </c>
      <c r="G3434" t="s">
        <v>9</v>
      </c>
    </row>
    <row r="3435" spans="1:7" x14ac:dyDescent="0.35">
      <c r="A3435">
        <v>1359</v>
      </c>
      <c r="B3435" s="1">
        <v>45551</v>
      </c>
      <c r="C3435" t="s">
        <v>24</v>
      </c>
      <c r="D3435" s="2">
        <v>910.32</v>
      </c>
      <c r="E3435" s="2">
        <v>0</v>
      </c>
      <c r="F3435" t="s">
        <v>8</v>
      </c>
      <c r="G3435" t="s">
        <v>9</v>
      </c>
    </row>
    <row r="3436" spans="1:7" x14ac:dyDescent="0.35">
      <c r="A3436">
        <v>1359</v>
      </c>
      <c r="B3436" s="1">
        <v>45551</v>
      </c>
      <c r="C3436" t="s">
        <v>24</v>
      </c>
      <c r="D3436" s="2">
        <v>0</v>
      </c>
      <c r="E3436" s="2">
        <v>910.32</v>
      </c>
      <c r="F3436" t="s">
        <v>13</v>
      </c>
      <c r="G3436" t="s">
        <v>9</v>
      </c>
    </row>
    <row r="3437" spans="1:7" x14ac:dyDescent="0.35">
      <c r="A3437">
        <v>1360</v>
      </c>
      <c r="B3437" s="1">
        <v>45551</v>
      </c>
      <c r="C3437" t="s">
        <v>24</v>
      </c>
      <c r="D3437" s="2">
        <v>2859.98</v>
      </c>
      <c r="E3437" s="2">
        <v>0</v>
      </c>
      <c r="F3437" t="s">
        <v>8</v>
      </c>
      <c r="G3437" t="s">
        <v>9</v>
      </c>
    </row>
    <row r="3438" spans="1:7" x14ac:dyDescent="0.35">
      <c r="A3438">
        <v>1360</v>
      </c>
      <c r="B3438" s="1">
        <v>45551</v>
      </c>
      <c r="C3438" t="s">
        <v>24</v>
      </c>
      <c r="D3438" s="2">
        <v>0</v>
      </c>
      <c r="E3438" s="2">
        <v>2859.98</v>
      </c>
      <c r="F3438" t="s">
        <v>13</v>
      </c>
      <c r="G3438" t="s">
        <v>9</v>
      </c>
    </row>
    <row r="3439" spans="1:7" x14ac:dyDescent="0.35">
      <c r="A3439">
        <v>1361</v>
      </c>
      <c r="B3439" s="1">
        <v>45551</v>
      </c>
      <c r="C3439" t="s">
        <v>25</v>
      </c>
      <c r="D3439" s="2">
        <v>3282.76</v>
      </c>
      <c r="E3439" s="2">
        <v>0</v>
      </c>
      <c r="F3439" t="s">
        <v>26</v>
      </c>
      <c r="G3439" t="s">
        <v>20</v>
      </c>
    </row>
    <row r="3440" spans="1:7" x14ac:dyDescent="0.35">
      <c r="A3440">
        <v>1361</v>
      </c>
      <c r="B3440" s="1">
        <v>45551</v>
      </c>
      <c r="C3440" t="s">
        <v>25</v>
      </c>
      <c r="D3440" s="2">
        <v>246.21</v>
      </c>
      <c r="E3440" s="2">
        <v>0</v>
      </c>
      <c r="F3440" t="s">
        <v>27</v>
      </c>
      <c r="G3440" t="s">
        <v>9</v>
      </c>
    </row>
    <row r="3441" spans="1:7" x14ac:dyDescent="0.35">
      <c r="A3441">
        <v>1361</v>
      </c>
      <c r="B3441" s="1">
        <v>45551</v>
      </c>
      <c r="C3441" t="s">
        <v>25</v>
      </c>
      <c r="D3441" s="2">
        <v>0</v>
      </c>
      <c r="E3441" s="2">
        <v>3528.97</v>
      </c>
      <c r="F3441" t="s">
        <v>28</v>
      </c>
      <c r="G3441" t="s">
        <v>17</v>
      </c>
    </row>
    <row r="3442" spans="1:7" x14ac:dyDescent="0.35">
      <c r="A3442">
        <v>1362</v>
      </c>
      <c r="B3442" s="1">
        <v>45551</v>
      </c>
      <c r="C3442" t="s">
        <v>25</v>
      </c>
      <c r="D3442" s="2">
        <v>2329.52</v>
      </c>
      <c r="E3442" s="2">
        <v>0</v>
      </c>
      <c r="F3442" t="s">
        <v>26</v>
      </c>
      <c r="G3442" t="s">
        <v>20</v>
      </c>
    </row>
    <row r="3443" spans="1:7" x14ac:dyDescent="0.35">
      <c r="A3443">
        <v>1362</v>
      </c>
      <c r="B3443" s="1">
        <v>45551</v>
      </c>
      <c r="C3443" t="s">
        <v>25</v>
      </c>
      <c r="D3443" s="2">
        <v>174.71</v>
      </c>
      <c r="E3443" s="2">
        <v>0</v>
      </c>
      <c r="F3443" t="s">
        <v>27</v>
      </c>
      <c r="G3443" t="s">
        <v>9</v>
      </c>
    </row>
    <row r="3444" spans="1:7" x14ac:dyDescent="0.35">
      <c r="A3444">
        <v>1362</v>
      </c>
      <c r="B3444" s="1">
        <v>45551</v>
      </c>
      <c r="C3444" t="s">
        <v>25</v>
      </c>
      <c r="D3444" s="2">
        <v>0</v>
      </c>
      <c r="E3444" s="2">
        <v>2504.23</v>
      </c>
      <c r="F3444" t="s">
        <v>28</v>
      </c>
      <c r="G3444" t="s">
        <v>17</v>
      </c>
    </row>
    <row r="3445" spans="1:7" x14ac:dyDescent="0.35">
      <c r="A3445">
        <v>1363</v>
      </c>
      <c r="B3445" s="1">
        <v>45551</v>
      </c>
      <c r="C3445" t="s">
        <v>25</v>
      </c>
      <c r="D3445" s="2">
        <v>952.02</v>
      </c>
      <c r="E3445" s="2">
        <v>0</v>
      </c>
      <c r="F3445" t="s">
        <v>26</v>
      </c>
      <c r="G3445" t="s">
        <v>20</v>
      </c>
    </row>
    <row r="3446" spans="1:7" x14ac:dyDescent="0.35">
      <c r="A3446">
        <v>1363</v>
      </c>
      <c r="B3446" s="1">
        <v>45551</v>
      </c>
      <c r="C3446" t="s">
        <v>25</v>
      </c>
      <c r="D3446" s="2">
        <v>71.400000000000006</v>
      </c>
      <c r="E3446" s="2">
        <v>0</v>
      </c>
      <c r="F3446" t="s">
        <v>27</v>
      </c>
      <c r="G3446" t="s">
        <v>9</v>
      </c>
    </row>
    <row r="3447" spans="1:7" x14ac:dyDescent="0.35">
      <c r="A3447">
        <v>1363</v>
      </c>
      <c r="B3447" s="1">
        <v>45551</v>
      </c>
      <c r="C3447" t="s">
        <v>25</v>
      </c>
      <c r="D3447" s="2">
        <v>0</v>
      </c>
      <c r="E3447" s="2">
        <v>1023.42</v>
      </c>
      <c r="F3447" t="s">
        <v>28</v>
      </c>
      <c r="G3447" t="s">
        <v>17</v>
      </c>
    </row>
    <row r="3448" spans="1:7" x14ac:dyDescent="0.35">
      <c r="A3448">
        <v>1364</v>
      </c>
      <c r="B3448" s="1">
        <v>45551</v>
      </c>
      <c r="C3448" t="s">
        <v>25</v>
      </c>
      <c r="D3448" s="2">
        <v>1947.24</v>
      </c>
      <c r="E3448" s="2">
        <v>0</v>
      </c>
      <c r="F3448" t="s">
        <v>26</v>
      </c>
      <c r="G3448" t="s">
        <v>20</v>
      </c>
    </row>
    <row r="3449" spans="1:7" x14ac:dyDescent="0.35">
      <c r="A3449">
        <v>1364</v>
      </c>
      <c r="B3449" s="1">
        <v>45551</v>
      </c>
      <c r="C3449" t="s">
        <v>25</v>
      </c>
      <c r="D3449" s="2">
        <v>146.04</v>
      </c>
      <c r="E3449" s="2">
        <v>0</v>
      </c>
      <c r="F3449" t="s">
        <v>27</v>
      </c>
      <c r="G3449" t="s">
        <v>9</v>
      </c>
    </row>
    <row r="3450" spans="1:7" x14ac:dyDescent="0.35">
      <c r="A3450">
        <v>1364</v>
      </c>
      <c r="B3450" s="1">
        <v>45551</v>
      </c>
      <c r="C3450" t="s">
        <v>25</v>
      </c>
      <c r="D3450" s="2">
        <v>0</v>
      </c>
      <c r="E3450" s="2">
        <v>2093.2800000000002</v>
      </c>
      <c r="F3450" t="s">
        <v>28</v>
      </c>
      <c r="G3450" t="s">
        <v>17</v>
      </c>
    </row>
    <row r="3451" spans="1:7" x14ac:dyDescent="0.35">
      <c r="A3451">
        <v>1365</v>
      </c>
      <c r="B3451" s="1">
        <v>45551</v>
      </c>
      <c r="C3451" t="s">
        <v>25</v>
      </c>
      <c r="D3451" s="2">
        <v>512</v>
      </c>
      <c r="E3451" s="2">
        <v>0</v>
      </c>
      <c r="F3451" t="s">
        <v>26</v>
      </c>
      <c r="G3451" t="s">
        <v>20</v>
      </c>
    </row>
    <row r="3452" spans="1:7" x14ac:dyDescent="0.35">
      <c r="A3452">
        <v>1365</v>
      </c>
      <c r="B3452" s="1">
        <v>45551</v>
      </c>
      <c r="C3452" t="s">
        <v>25</v>
      </c>
      <c r="D3452" s="2">
        <v>38.4</v>
      </c>
      <c r="E3452" s="2">
        <v>0</v>
      </c>
      <c r="F3452" t="s">
        <v>27</v>
      </c>
      <c r="G3452" t="s">
        <v>9</v>
      </c>
    </row>
    <row r="3453" spans="1:7" x14ac:dyDescent="0.35">
      <c r="A3453">
        <v>1365</v>
      </c>
      <c r="B3453" s="1">
        <v>45551</v>
      </c>
      <c r="C3453" t="s">
        <v>25</v>
      </c>
      <c r="D3453" s="2">
        <v>0</v>
      </c>
      <c r="E3453" s="2">
        <v>550.4</v>
      </c>
      <c r="F3453" t="s">
        <v>28</v>
      </c>
      <c r="G3453" t="s">
        <v>17</v>
      </c>
    </row>
    <row r="3454" spans="1:7" x14ac:dyDescent="0.35">
      <c r="A3454">
        <v>1366</v>
      </c>
      <c r="B3454" s="1">
        <v>45552</v>
      </c>
      <c r="C3454" t="s">
        <v>12</v>
      </c>
      <c r="D3454" s="2">
        <v>2652.17</v>
      </c>
      <c r="E3454" s="2">
        <v>0</v>
      </c>
      <c r="F3454" t="s">
        <v>13</v>
      </c>
      <c r="G3454" t="s">
        <v>9</v>
      </c>
    </row>
    <row r="3455" spans="1:7" x14ac:dyDescent="0.35">
      <c r="A3455">
        <v>1366</v>
      </c>
      <c r="B3455" s="1">
        <v>45552</v>
      </c>
      <c r="C3455" t="s">
        <v>12</v>
      </c>
      <c r="D3455" s="2">
        <v>0</v>
      </c>
      <c r="E3455" s="2">
        <v>2467.13</v>
      </c>
      <c r="F3455" t="s">
        <v>14</v>
      </c>
      <c r="G3455" t="s">
        <v>15</v>
      </c>
    </row>
    <row r="3456" spans="1:7" x14ac:dyDescent="0.35">
      <c r="A3456">
        <v>1366</v>
      </c>
      <c r="B3456" s="1">
        <v>45552</v>
      </c>
      <c r="C3456" t="s">
        <v>12</v>
      </c>
      <c r="D3456" s="2">
        <v>0</v>
      </c>
      <c r="E3456" s="2">
        <v>185.04</v>
      </c>
      <c r="F3456" t="s">
        <v>16</v>
      </c>
      <c r="G3456" t="s">
        <v>17</v>
      </c>
    </row>
    <row r="3457" spans="1:7" x14ac:dyDescent="0.35">
      <c r="A3457">
        <v>1367</v>
      </c>
      <c r="B3457" s="1">
        <v>45552</v>
      </c>
      <c r="C3457" t="s">
        <v>12</v>
      </c>
      <c r="D3457" s="2">
        <v>2872.63</v>
      </c>
      <c r="E3457" s="2">
        <v>0</v>
      </c>
      <c r="F3457" t="s">
        <v>13</v>
      </c>
      <c r="G3457" t="s">
        <v>9</v>
      </c>
    </row>
    <row r="3458" spans="1:7" x14ac:dyDescent="0.35">
      <c r="A3458">
        <v>1367</v>
      </c>
      <c r="B3458" s="1">
        <v>45552</v>
      </c>
      <c r="C3458" t="s">
        <v>12</v>
      </c>
      <c r="D3458" s="2">
        <v>0</v>
      </c>
      <c r="E3458" s="2">
        <v>2672.2</v>
      </c>
      <c r="F3458" t="s">
        <v>14</v>
      </c>
      <c r="G3458" t="s">
        <v>15</v>
      </c>
    </row>
    <row r="3459" spans="1:7" x14ac:dyDescent="0.35">
      <c r="A3459">
        <v>1367</v>
      </c>
      <c r="B3459" s="1">
        <v>45552</v>
      </c>
      <c r="C3459" t="s">
        <v>12</v>
      </c>
      <c r="D3459" s="2">
        <v>0</v>
      </c>
      <c r="E3459" s="2">
        <v>200.43</v>
      </c>
      <c r="F3459" t="s">
        <v>16</v>
      </c>
      <c r="G3459" t="s">
        <v>17</v>
      </c>
    </row>
    <row r="3460" spans="1:7" x14ac:dyDescent="0.35">
      <c r="A3460">
        <v>1368</v>
      </c>
      <c r="B3460" s="1">
        <v>45552</v>
      </c>
      <c r="C3460" t="s">
        <v>12</v>
      </c>
      <c r="D3460" s="2">
        <v>2614.0500000000002</v>
      </c>
      <c r="E3460" s="2">
        <v>0</v>
      </c>
      <c r="F3460" t="s">
        <v>13</v>
      </c>
      <c r="G3460" t="s">
        <v>9</v>
      </c>
    </row>
    <row r="3461" spans="1:7" x14ac:dyDescent="0.35">
      <c r="A3461">
        <v>1368</v>
      </c>
      <c r="B3461" s="1">
        <v>45552</v>
      </c>
      <c r="C3461" t="s">
        <v>12</v>
      </c>
      <c r="D3461" s="2">
        <v>0</v>
      </c>
      <c r="E3461" s="2">
        <v>2431.6799999999998</v>
      </c>
      <c r="F3461" t="s">
        <v>14</v>
      </c>
      <c r="G3461" t="s">
        <v>15</v>
      </c>
    </row>
    <row r="3462" spans="1:7" x14ac:dyDescent="0.35">
      <c r="A3462">
        <v>1368</v>
      </c>
      <c r="B3462" s="1">
        <v>45552</v>
      </c>
      <c r="C3462" t="s">
        <v>12</v>
      </c>
      <c r="D3462" s="2">
        <v>0</v>
      </c>
      <c r="E3462" s="2">
        <v>182.37</v>
      </c>
      <c r="F3462" t="s">
        <v>16</v>
      </c>
      <c r="G3462" t="s">
        <v>17</v>
      </c>
    </row>
    <row r="3463" spans="1:7" x14ac:dyDescent="0.35">
      <c r="A3463">
        <v>1369</v>
      </c>
      <c r="B3463" s="1">
        <v>45552</v>
      </c>
      <c r="C3463" t="s">
        <v>12</v>
      </c>
      <c r="D3463" s="2">
        <v>2328.31</v>
      </c>
      <c r="E3463" s="2">
        <v>0</v>
      </c>
      <c r="F3463" t="s">
        <v>13</v>
      </c>
      <c r="G3463" t="s">
        <v>9</v>
      </c>
    </row>
    <row r="3464" spans="1:7" x14ac:dyDescent="0.35">
      <c r="A3464">
        <v>1369</v>
      </c>
      <c r="B3464" s="1">
        <v>45552</v>
      </c>
      <c r="C3464" t="s">
        <v>12</v>
      </c>
      <c r="D3464" s="2">
        <v>0</v>
      </c>
      <c r="E3464" s="2">
        <v>2165.87</v>
      </c>
      <c r="F3464" t="s">
        <v>14</v>
      </c>
      <c r="G3464" t="s">
        <v>15</v>
      </c>
    </row>
    <row r="3465" spans="1:7" x14ac:dyDescent="0.35">
      <c r="A3465">
        <v>1369</v>
      </c>
      <c r="B3465" s="1">
        <v>45552</v>
      </c>
      <c r="C3465" t="s">
        <v>12</v>
      </c>
      <c r="D3465" s="2">
        <v>0</v>
      </c>
      <c r="E3465" s="2">
        <v>162.44</v>
      </c>
      <c r="F3465" t="s">
        <v>16</v>
      </c>
      <c r="G3465" t="s">
        <v>17</v>
      </c>
    </row>
    <row r="3466" spans="1:7" x14ac:dyDescent="0.35">
      <c r="A3466">
        <v>1370</v>
      </c>
      <c r="B3466" s="1">
        <v>45552</v>
      </c>
      <c r="C3466" t="s">
        <v>24</v>
      </c>
      <c r="D3466" s="2">
        <v>642.75</v>
      </c>
      <c r="E3466" s="2">
        <v>0</v>
      </c>
      <c r="F3466" t="s">
        <v>8</v>
      </c>
      <c r="G3466" t="s">
        <v>9</v>
      </c>
    </row>
    <row r="3467" spans="1:7" x14ac:dyDescent="0.35">
      <c r="A3467">
        <v>1370</v>
      </c>
      <c r="B3467" s="1">
        <v>45552</v>
      </c>
      <c r="C3467" t="s">
        <v>24</v>
      </c>
      <c r="D3467" s="2">
        <v>0</v>
      </c>
      <c r="E3467" s="2">
        <v>642.75</v>
      </c>
      <c r="F3467" t="s">
        <v>13</v>
      </c>
      <c r="G3467" t="s">
        <v>9</v>
      </c>
    </row>
    <row r="3468" spans="1:7" x14ac:dyDescent="0.35">
      <c r="A3468">
        <v>1371</v>
      </c>
      <c r="B3468" s="1">
        <v>45552</v>
      </c>
      <c r="C3468" t="s">
        <v>24</v>
      </c>
      <c r="D3468" s="2">
        <v>260.39</v>
      </c>
      <c r="E3468" s="2">
        <v>0</v>
      </c>
      <c r="F3468" t="s">
        <v>8</v>
      </c>
      <c r="G3468" t="s">
        <v>9</v>
      </c>
    </row>
    <row r="3469" spans="1:7" x14ac:dyDescent="0.35">
      <c r="A3469">
        <v>1371</v>
      </c>
      <c r="B3469" s="1">
        <v>45552</v>
      </c>
      <c r="C3469" t="s">
        <v>24</v>
      </c>
      <c r="D3469" s="2">
        <v>0</v>
      </c>
      <c r="E3469" s="2">
        <v>260.39</v>
      </c>
      <c r="F3469" t="s">
        <v>13</v>
      </c>
      <c r="G3469" t="s">
        <v>9</v>
      </c>
    </row>
    <row r="3470" spans="1:7" x14ac:dyDescent="0.35">
      <c r="A3470">
        <v>1372</v>
      </c>
      <c r="B3470" s="1">
        <v>45552</v>
      </c>
      <c r="C3470" t="s">
        <v>24</v>
      </c>
      <c r="D3470" s="2">
        <v>2701.09</v>
      </c>
      <c r="E3470" s="2">
        <v>0</v>
      </c>
      <c r="F3470" t="s">
        <v>8</v>
      </c>
      <c r="G3470" t="s">
        <v>9</v>
      </c>
    </row>
    <row r="3471" spans="1:7" x14ac:dyDescent="0.35">
      <c r="A3471">
        <v>1372</v>
      </c>
      <c r="B3471" s="1">
        <v>45552</v>
      </c>
      <c r="C3471" t="s">
        <v>24</v>
      </c>
      <c r="D3471" s="2">
        <v>0</v>
      </c>
      <c r="E3471" s="2">
        <v>2701.09</v>
      </c>
      <c r="F3471" t="s">
        <v>13</v>
      </c>
      <c r="G3471" t="s">
        <v>9</v>
      </c>
    </row>
    <row r="3472" spans="1:7" x14ac:dyDescent="0.35">
      <c r="A3472">
        <v>1373</v>
      </c>
      <c r="B3472" s="1">
        <v>45552</v>
      </c>
      <c r="C3472" t="s">
        <v>24</v>
      </c>
      <c r="D3472" s="2">
        <v>1323.33</v>
      </c>
      <c r="E3472" s="2">
        <v>0</v>
      </c>
      <c r="F3472" t="s">
        <v>8</v>
      </c>
      <c r="G3472" t="s">
        <v>9</v>
      </c>
    </row>
    <row r="3473" spans="1:7" x14ac:dyDescent="0.35">
      <c r="A3473">
        <v>1373</v>
      </c>
      <c r="B3473" s="1">
        <v>45552</v>
      </c>
      <c r="C3473" t="s">
        <v>24</v>
      </c>
      <c r="D3473" s="2">
        <v>0</v>
      </c>
      <c r="E3473" s="2">
        <v>1323.33</v>
      </c>
      <c r="F3473" t="s">
        <v>13</v>
      </c>
      <c r="G3473" t="s">
        <v>9</v>
      </c>
    </row>
    <row r="3474" spans="1:7" x14ac:dyDescent="0.35">
      <c r="A3474">
        <v>1374</v>
      </c>
      <c r="B3474" s="1">
        <v>45552</v>
      </c>
      <c r="C3474" t="s">
        <v>25</v>
      </c>
      <c r="D3474" s="2">
        <v>187.44</v>
      </c>
      <c r="E3474" s="2">
        <v>0</v>
      </c>
      <c r="F3474" t="s">
        <v>26</v>
      </c>
      <c r="G3474" t="s">
        <v>20</v>
      </c>
    </row>
    <row r="3475" spans="1:7" x14ac:dyDescent="0.35">
      <c r="A3475">
        <v>1374</v>
      </c>
      <c r="B3475" s="1">
        <v>45552</v>
      </c>
      <c r="C3475" t="s">
        <v>25</v>
      </c>
      <c r="D3475" s="2">
        <v>14.06</v>
      </c>
      <c r="E3475" s="2">
        <v>0</v>
      </c>
      <c r="F3475" t="s">
        <v>27</v>
      </c>
      <c r="G3475" t="s">
        <v>9</v>
      </c>
    </row>
    <row r="3476" spans="1:7" x14ac:dyDescent="0.35">
      <c r="A3476">
        <v>1374</v>
      </c>
      <c r="B3476" s="1">
        <v>45552</v>
      </c>
      <c r="C3476" t="s">
        <v>25</v>
      </c>
      <c r="D3476" s="2">
        <v>0</v>
      </c>
      <c r="E3476" s="2">
        <v>201.5</v>
      </c>
      <c r="F3476" t="s">
        <v>28</v>
      </c>
      <c r="G3476" t="s">
        <v>17</v>
      </c>
    </row>
    <row r="3477" spans="1:7" x14ac:dyDescent="0.35">
      <c r="A3477">
        <v>1375</v>
      </c>
      <c r="B3477" s="1">
        <v>45552</v>
      </c>
      <c r="C3477" t="s">
        <v>29</v>
      </c>
      <c r="D3477" s="2">
        <v>1935.04</v>
      </c>
      <c r="E3477" s="2">
        <v>0</v>
      </c>
      <c r="F3477" t="s">
        <v>28</v>
      </c>
      <c r="G3477" t="s">
        <v>17</v>
      </c>
    </row>
    <row r="3478" spans="1:7" x14ac:dyDescent="0.35">
      <c r="A3478">
        <v>1375</v>
      </c>
      <c r="B3478" s="1">
        <v>45552</v>
      </c>
      <c r="C3478" t="s">
        <v>29</v>
      </c>
      <c r="D3478" s="2">
        <v>0</v>
      </c>
      <c r="E3478" s="2">
        <v>1935.04</v>
      </c>
      <c r="F3478" t="s">
        <v>8</v>
      </c>
      <c r="G3478" t="s">
        <v>9</v>
      </c>
    </row>
    <row r="3479" spans="1:7" x14ac:dyDescent="0.35">
      <c r="A3479">
        <v>1376</v>
      </c>
      <c r="B3479" s="1">
        <v>45552</v>
      </c>
      <c r="C3479" t="s">
        <v>29</v>
      </c>
      <c r="D3479" s="2">
        <v>1935.04</v>
      </c>
      <c r="E3479" s="2">
        <v>0</v>
      </c>
      <c r="F3479" t="s">
        <v>28</v>
      </c>
      <c r="G3479" t="s">
        <v>17</v>
      </c>
    </row>
    <row r="3480" spans="1:7" x14ac:dyDescent="0.35">
      <c r="A3480">
        <v>1376</v>
      </c>
      <c r="B3480" s="1">
        <v>45552</v>
      </c>
      <c r="C3480" t="s">
        <v>29</v>
      </c>
      <c r="D3480" s="2">
        <v>0</v>
      </c>
      <c r="E3480" s="2">
        <v>1935.04</v>
      </c>
      <c r="F3480" t="s">
        <v>8</v>
      </c>
      <c r="G3480" t="s">
        <v>9</v>
      </c>
    </row>
    <row r="3481" spans="1:7" x14ac:dyDescent="0.35">
      <c r="A3481">
        <v>1377</v>
      </c>
      <c r="B3481" s="1">
        <v>45552</v>
      </c>
      <c r="C3481" t="s">
        <v>29</v>
      </c>
      <c r="D3481" s="2">
        <v>7227.44</v>
      </c>
      <c r="E3481" s="2">
        <v>0</v>
      </c>
      <c r="F3481" t="s">
        <v>28</v>
      </c>
      <c r="G3481" t="s">
        <v>17</v>
      </c>
    </row>
    <row r="3482" spans="1:7" x14ac:dyDescent="0.35">
      <c r="A3482">
        <v>1377</v>
      </c>
      <c r="B3482" s="1">
        <v>45552</v>
      </c>
      <c r="C3482" t="s">
        <v>29</v>
      </c>
      <c r="D3482" s="2">
        <v>0</v>
      </c>
      <c r="E3482" s="2">
        <v>7227.44</v>
      </c>
      <c r="F3482" t="s">
        <v>8</v>
      </c>
      <c r="G3482" t="s">
        <v>9</v>
      </c>
    </row>
    <row r="3483" spans="1:7" x14ac:dyDescent="0.35">
      <c r="A3483">
        <v>1378</v>
      </c>
      <c r="B3483" s="1">
        <v>45552</v>
      </c>
      <c r="C3483" t="s">
        <v>29</v>
      </c>
      <c r="D3483" s="2">
        <v>1159.8399999999999</v>
      </c>
      <c r="E3483" s="2">
        <v>0</v>
      </c>
      <c r="F3483" t="s">
        <v>28</v>
      </c>
      <c r="G3483" t="s">
        <v>17</v>
      </c>
    </row>
    <row r="3484" spans="1:7" x14ac:dyDescent="0.35">
      <c r="A3484">
        <v>1378</v>
      </c>
      <c r="B3484" s="1">
        <v>45552</v>
      </c>
      <c r="C3484" t="s">
        <v>29</v>
      </c>
      <c r="D3484" s="2">
        <v>0</v>
      </c>
      <c r="E3484" s="2">
        <v>1159.8399999999999</v>
      </c>
      <c r="F3484" t="s">
        <v>8</v>
      </c>
      <c r="G3484" t="s">
        <v>9</v>
      </c>
    </row>
    <row r="3485" spans="1:7" x14ac:dyDescent="0.35">
      <c r="A3485">
        <v>1379</v>
      </c>
      <c r="B3485" s="1">
        <v>45553</v>
      </c>
      <c r="C3485" t="s">
        <v>12</v>
      </c>
      <c r="D3485" s="2">
        <v>4411.5200000000004</v>
      </c>
      <c r="E3485" s="2">
        <v>0</v>
      </c>
      <c r="F3485" t="s">
        <v>13</v>
      </c>
      <c r="G3485" t="s">
        <v>9</v>
      </c>
    </row>
    <row r="3486" spans="1:7" x14ac:dyDescent="0.35">
      <c r="A3486">
        <v>1379</v>
      </c>
      <c r="B3486" s="1">
        <v>45553</v>
      </c>
      <c r="C3486" t="s">
        <v>12</v>
      </c>
      <c r="D3486" s="2">
        <v>0</v>
      </c>
      <c r="E3486" s="2">
        <v>4103.75</v>
      </c>
      <c r="F3486" t="s">
        <v>14</v>
      </c>
      <c r="G3486" t="s">
        <v>15</v>
      </c>
    </row>
    <row r="3487" spans="1:7" x14ac:dyDescent="0.35">
      <c r="A3487">
        <v>1379</v>
      </c>
      <c r="B3487" s="1">
        <v>45553</v>
      </c>
      <c r="C3487" t="s">
        <v>12</v>
      </c>
      <c r="D3487" s="2">
        <v>0</v>
      </c>
      <c r="E3487" s="2">
        <v>307.77</v>
      </c>
      <c r="F3487" t="s">
        <v>16</v>
      </c>
      <c r="G3487" t="s">
        <v>17</v>
      </c>
    </row>
    <row r="3488" spans="1:7" x14ac:dyDescent="0.35">
      <c r="A3488">
        <v>1380</v>
      </c>
      <c r="B3488" s="1">
        <v>45553</v>
      </c>
      <c r="C3488" t="s">
        <v>12</v>
      </c>
      <c r="D3488" s="2">
        <v>2735.36</v>
      </c>
      <c r="E3488" s="2">
        <v>0</v>
      </c>
      <c r="F3488" t="s">
        <v>13</v>
      </c>
      <c r="G3488" t="s">
        <v>9</v>
      </c>
    </row>
    <row r="3489" spans="1:7" x14ac:dyDescent="0.35">
      <c r="A3489">
        <v>1380</v>
      </c>
      <c r="B3489" s="1">
        <v>45553</v>
      </c>
      <c r="C3489" t="s">
        <v>12</v>
      </c>
      <c r="D3489" s="2">
        <v>0</v>
      </c>
      <c r="E3489" s="2">
        <v>2544.52</v>
      </c>
      <c r="F3489" t="s">
        <v>14</v>
      </c>
      <c r="G3489" t="s">
        <v>15</v>
      </c>
    </row>
    <row r="3490" spans="1:7" x14ac:dyDescent="0.35">
      <c r="A3490">
        <v>1380</v>
      </c>
      <c r="B3490" s="1">
        <v>45553</v>
      </c>
      <c r="C3490" t="s">
        <v>12</v>
      </c>
      <c r="D3490" s="2">
        <v>0</v>
      </c>
      <c r="E3490" s="2">
        <v>190.84</v>
      </c>
      <c r="F3490" t="s">
        <v>16</v>
      </c>
      <c r="G3490" t="s">
        <v>17</v>
      </c>
    </row>
    <row r="3491" spans="1:7" x14ac:dyDescent="0.35">
      <c r="A3491">
        <v>1381</v>
      </c>
      <c r="B3491" s="1">
        <v>45553</v>
      </c>
      <c r="C3491" t="s">
        <v>12</v>
      </c>
      <c r="D3491" s="2">
        <v>306.43</v>
      </c>
      <c r="E3491" s="2">
        <v>0</v>
      </c>
      <c r="F3491" t="s">
        <v>13</v>
      </c>
      <c r="G3491" t="s">
        <v>9</v>
      </c>
    </row>
    <row r="3492" spans="1:7" x14ac:dyDescent="0.35">
      <c r="A3492">
        <v>1381</v>
      </c>
      <c r="B3492" s="1">
        <v>45553</v>
      </c>
      <c r="C3492" t="s">
        <v>12</v>
      </c>
      <c r="D3492" s="2">
        <v>0</v>
      </c>
      <c r="E3492" s="2">
        <v>285.05</v>
      </c>
      <c r="F3492" t="s">
        <v>14</v>
      </c>
      <c r="G3492" t="s">
        <v>15</v>
      </c>
    </row>
    <row r="3493" spans="1:7" x14ac:dyDescent="0.35">
      <c r="A3493">
        <v>1381</v>
      </c>
      <c r="B3493" s="1">
        <v>45553</v>
      </c>
      <c r="C3493" t="s">
        <v>12</v>
      </c>
      <c r="D3493" s="2">
        <v>0</v>
      </c>
      <c r="E3493" s="2">
        <v>21.38</v>
      </c>
      <c r="F3493" t="s">
        <v>16</v>
      </c>
      <c r="G3493" t="s">
        <v>17</v>
      </c>
    </row>
    <row r="3494" spans="1:7" x14ac:dyDescent="0.35">
      <c r="A3494">
        <v>1382</v>
      </c>
      <c r="B3494" s="1">
        <v>45553</v>
      </c>
      <c r="C3494" t="s">
        <v>24</v>
      </c>
      <c r="D3494" s="2">
        <v>438.12</v>
      </c>
      <c r="E3494" s="2">
        <v>0</v>
      </c>
      <c r="F3494" t="s">
        <v>8</v>
      </c>
      <c r="G3494" t="s">
        <v>9</v>
      </c>
    </row>
    <row r="3495" spans="1:7" x14ac:dyDescent="0.35">
      <c r="A3495">
        <v>1382</v>
      </c>
      <c r="B3495" s="1">
        <v>45553</v>
      </c>
      <c r="C3495" t="s">
        <v>24</v>
      </c>
      <c r="D3495" s="2">
        <v>0</v>
      </c>
      <c r="E3495" s="2">
        <v>438.12</v>
      </c>
      <c r="F3495" t="s">
        <v>13</v>
      </c>
      <c r="G3495" t="s">
        <v>9</v>
      </c>
    </row>
    <row r="3496" spans="1:7" x14ac:dyDescent="0.35">
      <c r="A3496">
        <v>1383</v>
      </c>
      <c r="B3496" s="1">
        <v>45553</v>
      </c>
      <c r="C3496" t="s">
        <v>24</v>
      </c>
      <c r="D3496" s="2">
        <v>2364.88</v>
      </c>
      <c r="E3496" s="2">
        <v>0</v>
      </c>
      <c r="F3496" t="s">
        <v>8</v>
      </c>
      <c r="G3496" t="s">
        <v>9</v>
      </c>
    </row>
    <row r="3497" spans="1:7" x14ac:dyDescent="0.35">
      <c r="A3497">
        <v>1383</v>
      </c>
      <c r="B3497" s="1">
        <v>45553</v>
      </c>
      <c r="C3497" t="s">
        <v>24</v>
      </c>
      <c r="D3497" s="2">
        <v>0</v>
      </c>
      <c r="E3497" s="2">
        <v>2364.88</v>
      </c>
      <c r="F3497" t="s">
        <v>13</v>
      </c>
      <c r="G3497" t="s">
        <v>9</v>
      </c>
    </row>
    <row r="3498" spans="1:7" x14ac:dyDescent="0.35">
      <c r="A3498">
        <v>1384</v>
      </c>
      <c r="B3498" s="1">
        <v>45553</v>
      </c>
      <c r="C3498" t="s">
        <v>24</v>
      </c>
      <c r="D3498" s="2">
        <v>120.23</v>
      </c>
      <c r="E3498" s="2">
        <v>0</v>
      </c>
      <c r="F3498" t="s">
        <v>8</v>
      </c>
      <c r="G3498" t="s">
        <v>9</v>
      </c>
    </row>
    <row r="3499" spans="1:7" x14ac:dyDescent="0.35">
      <c r="A3499">
        <v>1384</v>
      </c>
      <c r="B3499" s="1">
        <v>45553</v>
      </c>
      <c r="C3499" t="s">
        <v>24</v>
      </c>
      <c r="D3499" s="2">
        <v>0</v>
      </c>
      <c r="E3499" s="2">
        <v>120.23</v>
      </c>
      <c r="F3499" t="s">
        <v>13</v>
      </c>
      <c r="G3499" t="s">
        <v>9</v>
      </c>
    </row>
    <row r="3500" spans="1:7" x14ac:dyDescent="0.35">
      <c r="A3500">
        <v>1385</v>
      </c>
      <c r="B3500" s="1">
        <v>45553</v>
      </c>
      <c r="C3500" t="s">
        <v>24</v>
      </c>
      <c r="D3500" s="2">
        <v>2753.35</v>
      </c>
      <c r="E3500" s="2">
        <v>0</v>
      </c>
      <c r="F3500" t="s">
        <v>8</v>
      </c>
      <c r="G3500" t="s">
        <v>9</v>
      </c>
    </row>
    <row r="3501" spans="1:7" x14ac:dyDescent="0.35">
      <c r="A3501">
        <v>1385</v>
      </c>
      <c r="B3501" s="1">
        <v>45553</v>
      </c>
      <c r="C3501" t="s">
        <v>24</v>
      </c>
      <c r="D3501" s="2">
        <v>0</v>
      </c>
      <c r="E3501" s="2">
        <v>2753.35</v>
      </c>
      <c r="F3501" t="s">
        <v>13</v>
      </c>
      <c r="G3501" t="s">
        <v>9</v>
      </c>
    </row>
    <row r="3502" spans="1:7" x14ac:dyDescent="0.35">
      <c r="A3502">
        <v>1386</v>
      </c>
      <c r="B3502" s="1">
        <v>45553</v>
      </c>
      <c r="C3502" t="s">
        <v>24</v>
      </c>
      <c r="D3502" s="2">
        <v>2323.27</v>
      </c>
      <c r="E3502" s="2">
        <v>0</v>
      </c>
      <c r="F3502" t="s">
        <v>8</v>
      </c>
      <c r="G3502" t="s">
        <v>9</v>
      </c>
    </row>
    <row r="3503" spans="1:7" x14ac:dyDescent="0.35">
      <c r="A3503">
        <v>1386</v>
      </c>
      <c r="B3503" s="1">
        <v>45553</v>
      </c>
      <c r="C3503" t="s">
        <v>24</v>
      </c>
      <c r="D3503" s="2">
        <v>0</v>
      </c>
      <c r="E3503" s="2">
        <v>2323.27</v>
      </c>
      <c r="F3503" t="s">
        <v>13</v>
      </c>
      <c r="G3503" t="s">
        <v>9</v>
      </c>
    </row>
    <row r="3504" spans="1:7" x14ac:dyDescent="0.35">
      <c r="A3504">
        <v>1387</v>
      </c>
      <c r="B3504" s="1">
        <v>45553</v>
      </c>
      <c r="C3504" t="s">
        <v>24</v>
      </c>
      <c r="D3504" s="2">
        <v>2614.0500000000002</v>
      </c>
      <c r="E3504" s="2">
        <v>0</v>
      </c>
      <c r="F3504" t="s">
        <v>8</v>
      </c>
      <c r="G3504" t="s">
        <v>9</v>
      </c>
    </row>
    <row r="3505" spans="1:7" x14ac:dyDescent="0.35">
      <c r="A3505">
        <v>1387</v>
      </c>
      <c r="B3505" s="1">
        <v>45553</v>
      </c>
      <c r="C3505" t="s">
        <v>24</v>
      </c>
      <c r="D3505" s="2">
        <v>0</v>
      </c>
      <c r="E3505" s="2">
        <v>2614.0500000000002</v>
      </c>
      <c r="F3505" t="s">
        <v>13</v>
      </c>
      <c r="G3505" t="s">
        <v>9</v>
      </c>
    </row>
    <row r="3506" spans="1:7" x14ac:dyDescent="0.35">
      <c r="A3506">
        <v>1388</v>
      </c>
      <c r="B3506" s="1">
        <v>45553</v>
      </c>
      <c r="C3506" t="s">
        <v>25</v>
      </c>
      <c r="D3506" s="2">
        <v>802.71</v>
      </c>
      <c r="E3506" s="2">
        <v>0</v>
      </c>
      <c r="F3506" t="s">
        <v>26</v>
      </c>
      <c r="G3506" t="s">
        <v>20</v>
      </c>
    </row>
    <row r="3507" spans="1:7" x14ac:dyDescent="0.35">
      <c r="A3507">
        <v>1388</v>
      </c>
      <c r="B3507" s="1">
        <v>45553</v>
      </c>
      <c r="C3507" t="s">
        <v>25</v>
      </c>
      <c r="D3507" s="2">
        <v>60.2</v>
      </c>
      <c r="E3507" s="2">
        <v>0</v>
      </c>
      <c r="F3507" t="s">
        <v>27</v>
      </c>
      <c r="G3507" t="s">
        <v>9</v>
      </c>
    </row>
    <row r="3508" spans="1:7" x14ac:dyDescent="0.35">
      <c r="A3508">
        <v>1388</v>
      </c>
      <c r="B3508" s="1">
        <v>45553</v>
      </c>
      <c r="C3508" t="s">
        <v>25</v>
      </c>
      <c r="D3508" s="2">
        <v>0</v>
      </c>
      <c r="E3508" s="2">
        <v>862.91</v>
      </c>
      <c r="F3508" t="s">
        <v>28</v>
      </c>
      <c r="G3508" t="s">
        <v>17</v>
      </c>
    </row>
    <row r="3509" spans="1:7" x14ac:dyDescent="0.35">
      <c r="A3509">
        <v>1389</v>
      </c>
      <c r="B3509" s="1">
        <v>45554</v>
      </c>
      <c r="C3509" t="s">
        <v>12</v>
      </c>
      <c r="D3509" s="2">
        <v>4304.99</v>
      </c>
      <c r="E3509" s="2">
        <v>0</v>
      </c>
      <c r="F3509" t="s">
        <v>13</v>
      </c>
      <c r="G3509" t="s">
        <v>9</v>
      </c>
    </row>
    <row r="3510" spans="1:7" x14ac:dyDescent="0.35">
      <c r="A3510">
        <v>1389</v>
      </c>
      <c r="B3510" s="1">
        <v>45554</v>
      </c>
      <c r="C3510" t="s">
        <v>12</v>
      </c>
      <c r="D3510" s="2">
        <v>0</v>
      </c>
      <c r="E3510" s="2">
        <v>4004.64</v>
      </c>
      <c r="F3510" t="s">
        <v>14</v>
      </c>
      <c r="G3510" t="s">
        <v>15</v>
      </c>
    </row>
    <row r="3511" spans="1:7" x14ac:dyDescent="0.35">
      <c r="A3511">
        <v>1389</v>
      </c>
      <c r="B3511" s="1">
        <v>45554</v>
      </c>
      <c r="C3511" t="s">
        <v>12</v>
      </c>
      <c r="D3511" s="2">
        <v>0</v>
      </c>
      <c r="E3511" s="2">
        <v>300.35000000000002</v>
      </c>
      <c r="F3511" t="s">
        <v>16</v>
      </c>
      <c r="G3511" t="s">
        <v>17</v>
      </c>
    </row>
    <row r="3512" spans="1:7" x14ac:dyDescent="0.35">
      <c r="A3512">
        <v>1390</v>
      </c>
      <c r="B3512" s="1">
        <v>45554</v>
      </c>
      <c r="C3512" t="s">
        <v>12</v>
      </c>
      <c r="D3512" s="2">
        <v>1822.2</v>
      </c>
      <c r="E3512" s="2">
        <v>0</v>
      </c>
      <c r="F3512" t="s">
        <v>13</v>
      </c>
      <c r="G3512" t="s">
        <v>9</v>
      </c>
    </row>
    <row r="3513" spans="1:7" x14ac:dyDescent="0.35">
      <c r="A3513">
        <v>1390</v>
      </c>
      <c r="B3513" s="1">
        <v>45554</v>
      </c>
      <c r="C3513" t="s">
        <v>12</v>
      </c>
      <c r="D3513" s="2">
        <v>0</v>
      </c>
      <c r="E3513" s="2">
        <v>1695.07</v>
      </c>
      <c r="F3513" t="s">
        <v>14</v>
      </c>
      <c r="G3513" t="s">
        <v>15</v>
      </c>
    </row>
    <row r="3514" spans="1:7" x14ac:dyDescent="0.35">
      <c r="A3514">
        <v>1390</v>
      </c>
      <c r="B3514" s="1">
        <v>45554</v>
      </c>
      <c r="C3514" t="s">
        <v>12</v>
      </c>
      <c r="D3514" s="2">
        <v>0</v>
      </c>
      <c r="E3514" s="2">
        <v>127.13</v>
      </c>
      <c r="F3514" t="s">
        <v>16</v>
      </c>
      <c r="G3514" t="s">
        <v>17</v>
      </c>
    </row>
    <row r="3515" spans="1:7" x14ac:dyDescent="0.35">
      <c r="A3515">
        <v>1391</v>
      </c>
      <c r="B3515" s="1">
        <v>45554</v>
      </c>
      <c r="C3515" t="s">
        <v>12</v>
      </c>
      <c r="D3515" s="2">
        <v>2140.56</v>
      </c>
      <c r="E3515" s="2">
        <v>0</v>
      </c>
      <c r="F3515" t="s">
        <v>13</v>
      </c>
      <c r="G3515" t="s">
        <v>9</v>
      </c>
    </row>
    <row r="3516" spans="1:7" x14ac:dyDescent="0.35">
      <c r="A3516">
        <v>1391</v>
      </c>
      <c r="B3516" s="1">
        <v>45554</v>
      </c>
      <c r="C3516" t="s">
        <v>12</v>
      </c>
      <c r="D3516" s="2">
        <v>0</v>
      </c>
      <c r="E3516" s="2">
        <v>1991.23</v>
      </c>
      <c r="F3516" t="s">
        <v>14</v>
      </c>
      <c r="G3516" t="s">
        <v>15</v>
      </c>
    </row>
    <row r="3517" spans="1:7" x14ac:dyDescent="0.35">
      <c r="A3517">
        <v>1391</v>
      </c>
      <c r="B3517" s="1">
        <v>45554</v>
      </c>
      <c r="C3517" t="s">
        <v>12</v>
      </c>
      <c r="D3517" s="2">
        <v>0</v>
      </c>
      <c r="E3517" s="2">
        <v>149.33000000000001</v>
      </c>
      <c r="F3517" t="s">
        <v>16</v>
      </c>
      <c r="G3517" t="s">
        <v>17</v>
      </c>
    </row>
    <row r="3518" spans="1:7" x14ac:dyDescent="0.35">
      <c r="A3518">
        <v>1392</v>
      </c>
      <c r="B3518" s="1">
        <v>45554</v>
      </c>
      <c r="C3518" t="s">
        <v>12</v>
      </c>
      <c r="D3518" s="2">
        <v>656.97</v>
      </c>
      <c r="E3518" s="2">
        <v>0</v>
      </c>
      <c r="F3518" t="s">
        <v>13</v>
      </c>
      <c r="G3518" t="s">
        <v>9</v>
      </c>
    </row>
    <row r="3519" spans="1:7" x14ac:dyDescent="0.35">
      <c r="A3519">
        <v>1392</v>
      </c>
      <c r="B3519" s="1">
        <v>45554</v>
      </c>
      <c r="C3519" t="s">
        <v>12</v>
      </c>
      <c r="D3519" s="2">
        <v>0</v>
      </c>
      <c r="E3519" s="2">
        <v>611.14</v>
      </c>
      <c r="F3519" t="s">
        <v>14</v>
      </c>
      <c r="G3519" t="s">
        <v>15</v>
      </c>
    </row>
    <row r="3520" spans="1:7" x14ac:dyDescent="0.35">
      <c r="A3520">
        <v>1392</v>
      </c>
      <c r="B3520" s="1">
        <v>45554</v>
      </c>
      <c r="C3520" t="s">
        <v>12</v>
      </c>
      <c r="D3520" s="2">
        <v>0</v>
      </c>
      <c r="E3520" s="2">
        <v>45.83</v>
      </c>
      <c r="F3520" t="s">
        <v>16</v>
      </c>
      <c r="G3520" t="s">
        <v>17</v>
      </c>
    </row>
    <row r="3521" spans="1:7" x14ac:dyDescent="0.35">
      <c r="A3521">
        <v>1393</v>
      </c>
      <c r="B3521" s="1">
        <v>45554</v>
      </c>
      <c r="C3521" t="s">
        <v>29</v>
      </c>
      <c r="D3521" s="2">
        <v>2918.17</v>
      </c>
      <c r="E3521" s="2">
        <v>0</v>
      </c>
      <c r="F3521" t="s">
        <v>28</v>
      </c>
      <c r="G3521" t="s">
        <v>17</v>
      </c>
    </row>
    <row r="3522" spans="1:7" x14ac:dyDescent="0.35">
      <c r="A3522">
        <v>1393</v>
      </c>
      <c r="B3522" s="1">
        <v>45554</v>
      </c>
      <c r="C3522" t="s">
        <v>29</v>
      </c>
      <c r="D3522" s="2">
        <v>0</v>
      </c>
      <c r="E3522" s="2">
        <v>2918.17</v>
      </c>
      <c r="F3522" t="s">
        <v>8</v>
      </c>
      <c r="G3522" t="s">
        <v>9</v>
      </c>
    </row>
    <row r="3523" spans="1:7" x14ac:dyDescent="0.35">
      <c r="A3523">
        <v>1394</v>
      </c>
      <c r="B3523" s="1">
        <v>45555</v>
      </c>
      <c r="C3523" t="s">
        <v>12</v>
      </c>
      <c r="D3523" s="2">
        <v>367.53</v>
      </c>
      <c r="E3523" s="2">
        <v>0</v>
      </c>
      <c r="F3523" t="s">
        <v>13</v>
      </c>
      <c r="G3523" t="s">
        <v>9</v>
      </c>
    </row>
    <row r="3524" spans="1:7" x14ac:dyDescent="0.35">
      <c r="A3524">
        <v>1394</v>
      </c>
      <c r="B3524" s="1">
        <v>45555</v>
      </c>
      <c r="C3524" t="s">
        <v>12</v>
      </c>
      <c r="D3524" s="2">
        <v>0</v>
      </c>
      <c r="E3524" s="2">
        <v>341.89</v>
      </c>
      <c r="F3524" t="s">
        <v>14</v>
      </c>
      <c r="G3524" t="s">
        <v>15</v>
      </c>
    </row>
    <row r="3525" spans="1:7" x14ac:dyDescent="0.35">
      <c r="A3525">
        <v>1394</v>
      </c>
      <c r="B3525" s="1">
        <v>45555</v>
      </c>
      <c r="C3525" t="s">
        <v>12</v>
      </c>
      <c r="D3525" s="2">
        <v>0</v>
      </c>
      <c r="E3525" s="2">
        <v>25.64</v>
      </c>
      <c r="F3525" t="s">
        <v>16</v>
      </c>
      <c r="G3525" t="s">
        <v>17</v>
      </c>
    </row>
    <row r="3526" spans="1:7" x14ac:dyDescent="0.35">
      <c r="A3526">
        <v>1395</v>
      </c>
      <c r="B3526" s="1">
        <v>45555</v>
      </c>
      <c r="C3526" t="s">
        <v>12</v>
      </c>
      <c r="D3526" s="2">
        <v>2348.88</v>
      </c>
      <c r="E3526" s="2">
        <v>0</v>
      </c>
      <c r="F3526" t="s">
        <v>13</v>
      </c>
      <c r="G3526" t="s">
        <v>9</v>
      </c>
    </row>
    <row r="3527" spans="1:7" x14ac:dyDescent="0.35">
      <c r="A3527">
        <v>1395</v>
      </c>
      <c r="B3527" s="1">
        <v>45555</v>
      </c>
      <c r="C3527" t="s">
        <v>12</v>
      </c>
      <c r="D3527" s="2">
        <v>0</v>
      </c>
      <c r="E3527" s="2">
        <v>2185.0100000000002</v>
      </c>
      <c r="F3527" t="s">
        <v>14</v>
      </c>
      <c r="G3527" t="s">
        <v>15</v>
      </c>
    </row>
    <row r="3528" spans="1:7" x14ac:dyDescent="0.35">
      <c r="A3528">
        <v>1395</v>
      </c>
      <c r="B3528" s="1">
        <v>45555</v>
      </c>
      <c r="C3528" t="s">
        <v>12</v>
      </c>
      <c r="D3528" s="2">
        <v>0</v>
      </c>
      <c r="E3528" s="2">
        <v>163.87</v>
      </c>
      <c r="F3528" t="s">
        <v>16</v>
      </c>
      <c r="G3528" t="s">
        <v>17</v>
      </c>
    </row>
    <row r="3529" spans="1:7" x14ac:dyDescent="0.35">
      <c r="A3529">
        <v>1396</v>
      </c>
      <c r="B3529" s="1">
        <v>45555</v>
      </c>
      <c r="C3529" t="s">
        <v>24</v>
      </c>
      <c r="D3529" s="2">
        <v>2974</v>
      </c>
      <c r="E3529" s="2">
        <v>0</v>
      </c>
      <c r="F3529" t="s">
        <v>8</v>
      </c>
      <c r="G3529" t="s">
        <v>9</v>
      </c>
    </row>
    <row r="3530" spans="1:7" x14ac:dyDescent="0.35">
      <c r="A3530">
        <v>1396</v>
      </c>
      <c r="B3530" s="1">
        <v>45555</v>
      </c>
      <c r="C3530" t="s">
        <v>24</v>
      </c>
      <c r="D3530" s="2">
        <v>0</v>
      </c>
      <c r="E3530" s="2">
        <v>2974</v>
      </c>
      <c r="F3530" t="s">
        <v>13</v>
      </c>
      <c r="G3530" t="s">
        <v>9</v>
      </c>
    </row>
    <row r="3531" spans="1:7" x14ac:dyDescent="0.35">
      <c r="A3531">
        <v>1397</v>
      </c>
      <c r="B3531" s="1">
        <v>45555</v>
      </c>
      <c r="C3531" t="s">
        <v>24</v>
      </c>
      <c r="D3531" s="2">
        <v>4079.52</v>
      </c>
      <c r="E3531" s="2">
        <v>0</v>
      </c>
      <c r="F3531" t="s">
        <v>8</v>
      </c>
      <c r="G3531" t="s">
        <v>9</v>
      </c>
    </row>
    <row r="3532" spans="1:7" x14ac:dyDescent="0.35">
      <c r="A3532">
        <v>1397</v>
      </c>
      <c r="B3532" s="1">
        <v>45555</v>
      </c>
      <c r="C3532" t="s">
        <v>24</v>
      </c>
      <c r="D3532" s="2">
        <v>0</v>
      </c>
      <c r="E3532" s="2">
        <v>4079.52</v>
      </c>
      <c r="F3532" t="s">
        <v>13</v>
      </c>
      <c r="G3532" t="s">
        <v>9</v>
      </c>
    </row>
    <row r="3533" spans="1:7" x14ac:dyDescent="0.35">
      <c r="A3533">
        <v>1398</v>
      </c>
      <c r="B3533" s="1">
        <v>45555</v>
      </c>
      <c r="C3533" t="s">
        <v>25</v>
      </c>
      <c r="D3533" s="2">
        <v>1800.04</v>
      </c>
      <c r="E3533" s="2">
        <v>0</v>
      </c>
      <c r="F3533" t="s">
        <v>26</v>
      </c>
      <c r="G3533" t="s">
        <v>20</v>
      </c>
    </row>
    <row r="3534" spans="1:7" x14ac:dyDescent="0.35">
      <c r="A3534">
        <v>1398</v>
      </c>
      <c r="B3534" s="1">
        <v>45555</v>
      </c>
      <c r="C3534" t="s">
        <v>25</v>
      </c>
      <c r="D3534" s="2">
        <v>135</v>
      </c>
      <c r="E3534" s="2">
        <v>0</v>
      </c>
      <c r="F3534" t="s">
        <v>27</v>
      </c>
      <c r="G3534" t="s">
        <v>9</v>
      </c>
    </row>
    <row r="3535" spans="1:7" x14ac:dyDescent="0.35">
      <c r="A3535">
        <v>1398</v>
      </c>
      <c r="B3535" s="1">
        <v>45555</v>
      </c>
      <c r="C3535" t="s">
        <v>25</v>
      </c>
      <c r="D3535" s="2">
        <v>0</v>
      </c>
      <c r="E3535" s="2">
        <v>1935.04</v>
      </c>
      <c r="F3535" t="s">
        <v>28</v>
      </c>
      <c r="G3535" t="s">
        <v>17</v>
      </c>
    </row>
    <row r="3536" spans="1:7" x14ac:dyDescent="0.35">
      <c r="A3536">
        <v>1399</v>
      </c>
      <c r="B3536" s="1">
        <v>45558</v>
      </c>
      <c r="C3536" t="s">
        <v>12</v>
      </c>
      <c r="D3536" s="2">
        <v>40.5</v>
      </c>
      <c r="E3536" s="2">
        <v>0</v>
      </c>
      <c r="F3536" t="s">
        <v>13</v>
      </c>
      <c r="G3536" t="s">
        <v>9</v>
      </c>
    </row>
    <row r="3537" spans="1:7" x14ac:dyDescent="0.35">
      <c r="A3537">
        <v>1399</v>
      </c>
      <c r="B3537" s="1">
        <v>45558</v>
      </c>
      <c r="C3537" t="s">
        <v>12</v>
      </c>
      <c r="D3537" s="2">
        <v>0</v>
      </c>
      <c r="E3537" s="2">
        <v>37.67</v>
      </c>
      <c r="F3537" t="s">
        <v>14</v>
      </c>
      <c r="G3537" t="s">
        <v>15</v>
      </c>
    </row>
    <row r="3538" spans="1:7" x14ac:dyDescent="0.35">
      <c r="A3538">
        <v>1399</v>
      </c>
      <c r="B3538" s="1">
        <v>45558</v>
      </c>
      <c r="C3538" t="s">
        <v>12</v>
      </c>
      <c r="D3538" s="2">
        <v>0</v>
      </c>
      <c r="E3538" s="2">
        <v>2.83</v>
      </c>
      <c r="F3538" t="s">
        <v>16</v>
      </c>
      <c r="G3538" t="s">
        <v>17</v>
      </c>
    </row>
    <row r="3539" spans="1:7" x14ac:dyDescent="0.35">
      <c r="A3539">
        <v>1400</v>
      </c>
      <c r="B3539" s="1">
        <v>45558</v>
      </c>
      <c r="C3539" t="s">
        <v>12</v>
      </c>
      <c r="D3539" s="2">
        <v>4984.21</v>
      </c>
      <c r="E3539" s="2">
        <v>0</v>
      </c>
      <c r="F3539" t="s">
        <v>13</v>
      </c>
      <c r="G3539" t="s">
        <v>9</v>
      </c>
    </row>
    <row r="3540" spans="1:7" x14ac:dyDescent="0.35">
      <c r="A3540">
        <v>1400</v>
      </c>
      <c r="B3540" s="1">
        <v>45558</v>
      </c>
      <c r="C3540" t="s">
        <v>12</v>
      </c>
      <c r="D3540" s="2">
        <v>0</v>
      </c>
      <c r="E3540" s="2">
        <v>4636.46</v>
      </c>
      <c r="F3540" t="s">
        <v>14</v>
      </c>
      <c r="G3540" t="s">
        <v>15</v>
      </c>
    </row>
    <row r="3541" spans="1:7" x14ac:dyDescent="0.35">
      <c r="A3541">
        <v>1400</v>
      </c>
      <c r="B3541" s="1">
        <v>45558</v>
      </c>
      <c r="C3541" t="s">
        <v>12</v>
      </c>
      <c r="D3541" s="2">
        <v>0</v>
      </c>
      <c r="E3541" s="2">
        <v>347.75</v>
      </c>
      <c r="F3541" t="s">
        <v>16</v>
      </c>
      <c r="G3541" t="s">
        <v>17</v>
      </c>
    </row>
    <row r="3542" spans="1:7" x14ac:dyDescent="0.35">
      <c r="A3542">
        <v>1401</v>
      </c>
      <c r="B3542" s="1">
        <v>45558</v>
      </c>
      <c r="C3542" t="s">
        <v>12</v>
      </c>
      <c r="D3542" s="2">
        <v>1012.89</v>
      </c>
      <c r="E3542" s="2">
        <v>0</v>
      </c>
      <c r="F3542" t="s">
        <v>13</v>
      </c>
      <c r="G3542" t="s">
        <v>9</v>
      </c>
    </row>
    <row r="3543" spans="1:7" x14ac:dyDescent="0.35">
      <c r="A3543">
        <v>1401</v>
      </c>
      <c r="B3543" s="1">
        <v>45558</v>
      </c>
      <c r="C3543" t="s">
        <v>12</v>
      </c>
      <c r="D3543" s="2">
        <v>0</v>
      </c>
      <c r="E3543" s="2">
        <v>942.22</v>
      </c>
      <c r="F3543" t="s">
        <v>14</v>
      </c>
      <c r="G3543" t="s">
        <v>15</v>
      </c>
    </row>
    <row r="3544" spans="1:7" x14ac:dyDescent="0.35">
      <c r="A3544">
        <v>1401</v>
      </c>
      <c r="B3544" s="1">
        <v>45558</v>
      </c>
      <c r="C3544" t="s">
        <v>12</v>
      </c>
      <c r="D3544" s="2">
        <v>0</v>
      </c>
      <c r="E3544" s="2">
        <v>70.67</v>
      </c>
      <c r="F3544" t="s">
        <v>16</v>
      </c>
      <c r="G3544" t="s">
        <v>17</v>
      </c>
    </row>
    <row r="3545" spans="1:7" x14ac:dyDescent="0.35">
      <c r="A3545">
        <v>1402</v>
      </c>
      <c r="B3545" s="1">
        <v>45558</v>
      </c>
      <c r="C3545" t="s">
        <v>12</v>
      </c>
      <c r="D3545" s="2">
        <v>3621.9</v>
      </c>
      <c r="E3545" s="2">
        <v>0</v>
      </c>
      <c r="F3545" t="s">
        <v>13</v>
      </c>
      <c r="G3545" t="s">
        <v>9</v>
      </c>
    </row>
    <row r="3546" spans="1:7" x14ac:dyDescent="0.35">
      <c r="A3546">
        <v>1402</v>
      </c>
      <c r="B3546" s="1">
        <v>45558</v>
      </c>
      <c r="C3546" t="s">
        <v>12</v>
      </c>
      <c r="D3546" s="2">
        <v>0</v>
      </c>
      <c r="E3546" s="2">
        <v>3369.21</v>
      </c>
      <c r="F3546" t="s">
        <v>14</v>
      </c>
      <c r="G3546" t="s">
        <v>15</v>
      </c>
    </row>
    <row r="3547" spans="1:7" x14ac:dyDescent="0.35">
      <c r="A3547">
        <v>1402</v>
      </c>
      <c r="B3547" s="1">
        <v>45558</v>
      </c>
      <c r="C3547" t="s">
        <v>12</v>
      </c>
      <c r="D3547" s="2">
        <v>0</v>
      </c>
      <c r="E3547" s="2">
        <v>252.69</v>
      </c>
      <c r="F3547" t="s">
        <v>16</v>
      </c>
      <c r="G3547" t="s">
        <v>17</v>
      </c>
    </row>
    <row r="3548" spans="1:7" x14ac:dyDescent="0.35">
      <c r="A3548">
        <v>1403</v>
      </c>
      <c r="B3548" s="1">
        <v>45558</v>
      </c>
      <c r="C3548" t="s">
        <v>12</v>
      </c>
      <c r="D3548" s="2">
        <v>256.97000000000003</v>
      </c>
      <c r="E3548" s="2">
        <v>0</v>
      </c>
      <c r="F3548" t="s">
        <v>13</v>
      </c>
      <c r="G3548" t="s">
        <v>9</v>
      </c>
    </row>
    <row r="3549" spans="1:7" x14ac:dyDescent="0.35">
      <c r="A3549">
        <v>1403</v>
      </c>
      <c r="B3549" s="1">
        <v>45558</v>
      </c>
      <c r="C3549" t="s">
        <v>12</v>
      </c>
      <c r="D3549" s="2">
        <v>0</v>
      </c>
      <c r="E3549" s="2">
        <v>239.04</v>
      </c>
      <c r="F3549" t="s">
        <v>14</v>
      </c>
      <c r="G3549" t="s">
        <v>15</v>
      </c>
    </row>
    <row r="3550" spans="1:7" x14ac:dyDescent="0.35">
      <c r="A3550">
        <v>1403</v>
      </c>
      <c r="B3550" s="1">
        <v>45558</v>
      </c>
      <c r="C3550" t="s">
        <v>12</v>
      </c>
      <c r="D3550" s="2">
        <v>0</v>
      </c>
      <c r="E3550" s="2">
        <v>17.93</v>
      </c>
      <c r="F3550" t="s">
        <v>16</v>
      </c>
      <c r="G3550" t="s">
        <v>17</v>
      </c>
    </row>
    <row r="3551" spans="1:7" x14ac:dyDescent="0.35">
      <c r="A3551">
        <v>1404</v>
      </c>
      <c r="B3551" s="1">
        <v>45558</v>
      </c>
      <c r="C3551" t="s">
        <v>24</v>
      </c>
      <c r="D3551" s="2">
        <v>659.78</v>
      </c>
      <c r="E3551" s="2">
        <v>0</v>
      </c>
      <c r="F3551" t="s">
        <v>8</v>
      </c>
      <c r="G3551" t="s">
        <v>9</v>
      </c>
    </row>
    <row r="3552" spans="1:7" x14ac:dyDescent="0.35">
      <c r="A3552">
        <v>1404</v>
      </c>
      <c r="B3552" s="1">
        <v>45558</v>
      </c>
      <c r="C3552" t="s">
        <v>24</v>
      </c>
      <c r="D3552" s="2">
        <v>0</v>
      </c>
      <c r="E3552" s="2">
        <v>659.78</v>
      </c>
      <c r="F3552" t="s">
        <v>13</v>
      </c>
      <c r="G3552" t="s">
        <v>9</v>
      </c>
    </row>
    <row r="3553" spans="1:7" x14ac:dyDescent="0.35">
      <c r="A3553">
        <v>1405</v>
      </c>
      <c r="B3553" s="1">
        <v>45558</v>
      </c>
      <c r="C3553" t="s">
        <v>24</v>
      </c>
      <c r="D3553" s="2">
        <v>4327.01</v>
      </c>
      <c r="E3553" s="2">
        <v>0</v>
      </c>
      <c r="F3553" t="s">
        <v>8</v>
      </c>
      <c r="G3553" t="s">
        <v>9</v>
      </c>
    </row>
    <row r="3554" spans="1:7" x14ac:dyDescent="0.35">
      <c r="A3554">
        <v>1405</v>
      </c>
      <c r="B3554" s="1">
        <v>45558</v>
      </c>
      <c r="C3554" t="s">
        <v>24</v>
      </c>
      <c r="D3554" s="2">
        <v>0</v>
      </c>
      <c r="E3554" s="2">
        <v>4327.01</v>
      </c>
      <c r="F3554" t="s">
        <v>13</v>
      </c>
      <c r="G3554" t="s">
        <v>9</v>
      </c>
    </row>
    <row r="3555" spans="1:7" x14ac:dyDescent="0.35">
      <c r="A3555">
        <v>1406</v>
      </c>
      <c r="B3555" s="1">
        <v>45558</v>
      </c>
      <c r="C3555" t="s">
        <v>25</v>
      </c>
      <c r="D3555" s="2">
        <v>1480.5</v>
      </c>
      <c r="E3555" s="2">
        <v>0</v>
      </c>
      <c r="F3555" t="s">
        <v>26</v>
      </c>
      <c r="G3555" t="s">
        <v>20</v>
      </c>
    </row>
    <row r="3556" spans="1:7" x14ac:dyDescent="0.35">
      <c r="A3556">
        <v>1406</v>
      </c>
      <c r="B3556" s="1">
        <v>45558</v>
      </c>
      <c r="C3556" t="s">
        <v>25</v>
      </c>
      <c r="D3556" s="2">
        <v>111.04</v>
      </c>
      <c r="E3556" s="2">
        <v>0</v>
      </c>
      <c r="F3556" t="s">
        <v>27</v>
      </c>
      <c r="G3556" t="s">
        <v>9</v>
      </c>
    </row>
    <row r="3557" spans="1:7" x14ac:dyDescent="0.35">
      <c r="A3557">
        <v>1406</v>
      </c>
      <c r="B3557" s="1">
        <v>45558</v>
      </c>
      <c r="C3557" t="s">
        <v>25</v>
      </c>
      <c r="D3557" s="2">
        <v>0</v>
      </c>
      <c r="E3557" s="2">
        <v>1591.54</v>
      </c>
      <c r="F3557" t="s">
        <v>28</v>
      </c>
      <c r="G3557" t="s">
        <v>17</v>
      </c>
    </row>
    <row r="3558" spans="1:7" x14ac:dyDescent="0.35">
      <c r="A3558">
        <v>1407</v>
      </c>
      <c r="B3558" s="1">
        <v>45558</v>
      </c>
      <c r="C3558" t="s">
        <v>25</v>
      </c>
      <c r="D3558" s="2">
        <v>4476.71</v>
      </c>
      <c r="E3558" s="2">
        <v>0</v>
      </c>
      <c r="F3558" t="s">
        <v>26</v>
      </c>
      <c r="G3558" t="s">
        <v>20</v>
      </c>
    </row>
    <row r="3559" spans="1:7" x14ac:dyDescent="0.35">
      <c r="A3559">
        <v>1407</v>
      </c>
      <c r="B3559" s="1">
        <v>45558</v>
      </c>
      <c r="C3559" t="s">
        <v>25</v>
      </c>
      <c r="D3559" s="2">
        <v>335.75</v>
      </c>
      <c r="E3559" s="2">
        <v>0</v>
      </c>
      <c r="F3559" t="s">
        <v>27</v>
      </c>
      <c r="G3559" t="s">
        <v>9</v>
      </c>
    </row>
    <row r="3560" spans="1:7" x14ac:dyDescent="0.35">
      <c r="A3560">
        <v>1407</v>
      </c>
      <c r="B3560" s="1">
        <v>45558</v>
      </c>
      <c r="C3560" t="s">
        <v>25</v>
      </c>
      <c r="D3560" s="2">
        <v>0</v>
      </c>
      <c r="E3560" s="2">
        <v>4812.46</v>
      </c>
      <c r="F3560" t="s">
        <v>28</v>
      </c>
      <c r="G3560" t="s">
        <v>17</v>
      </c>
    </row>
    <row r="3561" spans="1:7" x14ac:dyDescent="0.35">
      <c r="A3561">
        <v>1408</v>
      </c>
      <c r="B3561" s="1">
        <v>45558</v>
      </c>
      <c r="C3561" t="s">
        <v>25</v>
      </c>
      <c r="D3561" s="2">
        <v>952.02</v>
      </c>
      <c r="E3561" s="2">
        <v>0</v>
      </c>
      <c r="F3561" t="s">
        <v>26</v>
      </c>
      <c r="G3561" t="s">
        <v>20</v>
      </c>
    </row>
    <row r="3562" spans="1:7" x14ac:dyDescent="0.35">
      <c r="A3562">
        <v>1408</v>
      </c>
      <c r="B3562" s="1">
        <v>45558</v>
      </c>
      <c r="C3562" t="s">
        <v>25</v>
      </c>
      <c r="D3562" s="2">
        <v>71.400000000000006</v>
      </c>
      <c r="E3562" s="2">
        <v>0</v>
      </c>
      <c r="F3562" t="s">
        <v>27</v>
      </c>
      <c r="G3562" t="s">
        <v>9</v>
      </c>
    </row>
    <row r="3563" spans="1:7" x14ac:dyDescent="0.35">
      <c r="A3563">
        <v>1408</v>
      </c>
      <c r="B3563" s="1">
        <v>45558</v>
      </c>
      <c r="C3563" t="s">
        <v>25</v>
      </c>
      <c r="D3563" s="2">
        <v>0</v>
      </c>
      <c r="E3563" s="2">
        <v>1023.42</v>
      </c>
      <c r="F3563" t="s">
        <v>28</v>
      </c>
      <c r="G3563" t="s">
        <v>17</v>
      </c>
    </row>
    <row r="3564" spans="1:7" x14ac:dyDescent="0.35">
      <c r="A3564">
        <v>1409</v>
      </c>
      <c r="B3564" s="1">
        <v>45558</v>
      </c>
      <c r="C3564" t="s">
        <v>25</v>
      </c>
      <c r="D3564" s="2">
        <v>2451.5</v>
      </c>
      <c r="E3564" s="2">
        <v>0</v>
      </c>
      <c r="F3564" t="s">
        <v>26</v>
      </c>
      <c r="G3564" t="s">
        <v>20</v>
      </c>
    </row>
    <row r="3565" spans="1:7" x14ac:dyDescent="0.35">
      <c r="A3565">
        <v>1409</v>
      </c>
      <c r="B3565" s="1">
        <v>45558</v>
      </c>
      <c r="C3565" t="s">
        <v>25</v>
      </c>
      <c r="D3565" s="2">
        <v>183.86</v>
      </c>
      <c r="E3565" s="2">
        <v>0</v>
      </c>
      <c r="F3565" t="s">
        <v>27</v>
      </c>
      <c r="G3565" t="s">
        <v>9</v>
      </c>
    </row>
    <row r="3566" spans="1:7" x14ac:dyDescent="0.35">
      <c r="A3566">
        <v>1409</v>
      </c>
      <c r="B3566" s="1">
        <v>45558</v>
      </c>
      <c r="C3566" t="s">
        <v>25</v>
      </c>
      <c r="D3566" s="2">
        <v>0</v>
      </c>
      <c r="E3566" s="2">
        <v>2635.36</v>
      </c>
      <c r="F3566" t="s">
        <v>28</v>
      </c>
      <c r="G3566" t="s">
        <v>17</v>
      </c>
    </row>
    <row r="3567" spans="1:7" x14ac:dyDescent="0.35">
      <c r="A3567">
        <v>1410</v>
      </c>
      <c r="B3567" s="1">
        <v>45558</v>
      </c>
      <c r="C3567" t="s">
        <v>29</v>
      </c>
      <c r="D3567" s="2">
        <v>2182.41</v>
      </c>
      <c r="E3567" s="2">
        <v>0</v>
      </c>
      <c r="F3567" t="s">
        <v>28</v>
      </c>
      <c r="G3567" t="s">
        <v>17</v>
      </c>
    </row>
    <row r="3568" spans="1:7" x14ac:dyDescent="0.35">
      <c r="A3568">
        <v>1410</v>
      </c>
      <c r="B3568" s="1">
        <v>45558</v>
      </c>
      <c r="C3568" t="s">
        <v>29</v>
      </c>
      <c r="D3568" s="2">
        <v>0</v>
      </c>
      <c r="E3568" s="2">
        <v>2182.41</v>
      </c>
      <c r="F3568" t="s">
        <v>8</v>
      </c>
      <c r="G3568" t="s">
        <v>9</v>
      </c>
    </row>
    <row r="3569" spans="1:7" x14ac:dyDescent="0.35">
      <c r="A3569">
        <v>1411</v>
      </c>
      <c r="B3569" s="1">
        <v>45558</v>
      </c>
      <c r="C3569" t="s">
        <v>29</v>
      </c>
      <c r="D3569" s="2">
        <v>4812.46</v>
      </c>
      <c r="E3569" s="2">
        <v>0</v>
      </c>
      <c r="F3569" t="s">
        <v>28</v>
      </c>
      <c r="G3569" t="s">
        <v>17</v>
      </c>
    </row>
    <row r="3570" spans="1:7" x14ac:dyDescent="0.35">
      <c r="A3570">
        <v>1411</v>
      </c>
      <c r="B3570" s="1">
        <v>45558</v>
      </c>
      <c r="C3570" t="s">
        <v>29</v>
      </c>
      <c r="D3570" s="2">
        <v>0</v>
      </c>
      <c r="E3570" s="2">
        <v>4812.46</v>
      </c>
      <c r="F3570" t="s">
        <v>8</v>
      </c>
      <c r="G3570" t="s">
        <v>9</v>
      </c>
    </row>
    <row r="3571" spans="1:7" x14ac:dyDescent="0.35">
      <c r="A3571">
        <v>1412</v>
      </c>
      <c r="B3571" s="1">
        <v>45558</v>
      </c>
      <c r="C3571" t="s">
        <v>29</v>
      </c>
      <c r="D3571" s="2">
        <v>748.26</v>
      </c>
      <c r="E3571" s="2">
        <v>0</v>
      </c>
      <c r="F3571" t="s">
        <v>28</v>
      </c>
      <c r="G3571" t="s">
        <v>17</v>
      </c>
    </row>
    <row r="3572" spans="1:7" x14ac:dyDescent="0.35">
      <c r="A3572">
        <v>1412</v>
      </c>
      <c r="B3572" s="1">
        <v>45558</v>
      </c>
      <c r="C3572" t="s">
        <v>29</v>
      </c>
      <c r="D3572" s="2">
        <v>0</v>
      </c>
      <c r="E3572" s="2">
        <v>748.26</v>
      </c>
      <c r="F3572" t="s">
        <v>8</v>
      </c>
      <c r="G3572" t="s">
        <v>9</v>
      </c>
    </row>
    <row r="3573" spans="1:7" x14ac:dyDescent="0.35">
      <c r="A3573">
        <v>1413</v>
      </c>
      <c r="B3573" s="1">
        <v>45558</v>
      </c>
      <c r="C3573" t="s">
        <v>29</v>
      </c>
      <c r="D3573" s="2">
        <v>2093.2800000000002</v>
      </c>
      <c r="E3573" s="2">
        <v>0</v>
      </c>
      <c r="F3573" t="s">
        <v>28</v>
      </c>
      <c r="G3573" t="s">
        <v>17</v>
      </c>
    </row>
    <row r="3574" spans="1:7" x14ac:dyDescent="0.35">
      <c r="A3574">
        <v>1413</v>
      </c>
      <c r="B3574" s="1">
        <v>45558</v>
      </c>
      <c r="C3574" t="s">
        <v>29</v>
      </c>
      <c r="D3574" s="2">
        <v>0</v>
      </c>
      <c r="E3574" s="2">
        <v>2093.2800000000002</v>
      </c>
      <c r="F3574" t="s">
        <v>8</v>
      </c>
      <c r="G3574" t="s">
        <v>9</v>
      </c>
    </row>
    <row r="3575" spans="1:7" x14ac:dyDescent="0.35">
      <c r="A3575">
        <v>1414</v>
      </c>
      <c r="B3575" s="1">
        <v>45558</v>
      </c>
      <c r="C3575" t="s">
        <v>29</v>
      </c>
      <c r="D3575" s="2">
        <v>550.4</v>
      </c>
      <c r="E3575" s="2">
        <v>0</v>
      </c>
      <c r="F3575" t="s">
        <v>28</v>
      </c>
      <c r="G3575" t="s">
        <v>17</v>
      </c>
    </row>
    <row r="3576" spans="1:7" x14ac:dyDescent="0.35">
      <c r="A3576">
        <v>1414</v>
      </c>
      <c r="B3576" s="1">
        <v>45558</v>
      </c>
      <c r="C3576" t="s">
        <v>29</v>
      </c>
      <c r="D3576" s="2">
        <v>0</v>
      </c>
      <c r="E3576" s="2">
        <v>550.4</v>
      </c>
      <c r="F3576" t="s">
        <v>8</v>
      </c>
      <c r="G3576" t="s">
        <v>9</v>
      </c>
    </row>
    <row r="3577" spans="1:7" x14ac:dyDescent="0.35">
      <c r="A3577">
        <v>1415</v>
      </c>
      <c r="B3577" s="1">
        <v>45558</v>
      </c>
      <c r="C3577" t="s">
        <v>29</v>
      </c>
      <c r="D3577" s="2">
        <v>862.91</v>
      </c>
      <c r="E3577" s="2">
        <v>0</v>
      </c>
      <c r="F3577" t="s">
        <v>28</v>
      </c>
      <c r="G3577" t="s">
        <v>17</v>
      </c>
    </row>
    <row r="3578" spans="1:7" x14ac:dyDescent="0.35">
      <c r="A3578">
        <v>1415</v>
      </c>
      <c r="B3578" s="1">
        <v>45558</v>
      </c>
      <c r="C3578" t="s">
        <v>29</v>
      </c>
      <c r="D3578" s="2">
        <v>0</v>
      </c>
      <c r="E3578" s="2">
        <v>862.91</v>
      </c>
      <c r="F3578" t="s">
        <v>8</v>
      </c>
      <c r="G3578" t="s">
        <v>9</v>
      </c>
    </row>
    <row r="3579" spans="1:7" x14ac:dyDescent="0.35">
      <c r="A3579">
        <v>1416</v>
      </c>
      <c r="B3579" s="1">
        <v>45558</v>
      </c>
      <c r="C3579" t="s">
        <v>29</v>
      </c>
      <c r="D3579" s="2">
        <v>4812.46</v>
      </c>
      <c r="E3579" s="2">
        <v>0</v>
      </c>
      <c r="F3579" t="s">
        <v>28</v>
      </c>
      <c r="G3579" t="s">
        <v>17</v>
      </c>
    </row>
    <row r="3580" spans="1:7" x14ac:dyDescent="0.35">
      <c r="A3580">
        <v>1416</v>
      </c>
      <c r="B3580" s="1">
        <v>45558</v>
      </c>
      <c r="C3580" t="s">
        <v>29</v>
      </c>
      <c r="D3580" s="2">
        <v>0</v>
      </c>
      <c r="E3580" s="2">
        <v>4812.46</v>
      </c>
      <c r="F3580" t="s">
        <v>8</v>
      </c>
      <c r="G3580" t="s">
        <v>9</v>
      </c>
    </row>
    <row r="3581" spans="1:7" x14ac:dyDescent="0.35">
      <c r="A3581">
        <v>1417</v>
      </c>
      <c r="B3581" s="1">
        <v>45559</v>
      </c>
      <c r="C3581" t="s">
        <v>12</v>
      </c>
      <c r="D3581" s="2">
        <v>135.02000000000001</v>
      </c>
      <c r="E3581" s="2">
        <v>0</v>
      </c>
      <c r="F3581" t="s">
        <v>13</v>
      </c>
      <c r="G3581" t="s">
        <v>9</v>
      </c>
    </row>
    <row r="3582" spans="1:7" x14ac:dyDescent="0.35">
      <c r="A3582">
        <v>1417</v>
      </c>
      <c r="B3582" s="1">
        <v>45559</v>
      </c>
      <c r="C3582" t="s">
        <v>12</v>
      </c>
      <c r="D3582" s="2">
        <v>0</v>
      </c>
      <c r="E3582" s="2">
        <v>125.6</v>
      </c>
      <c r="F3582" t="s">
        <v>14</v>
      </c>
      <c r="G3582" t="s">
        <v>15</v>
      </c>
    </row>
    <row r="3583" spans="1:7" x14ac:dyDescent="0.35">
      <c r="A3583">
        <v>1417</v>
      </c>
      <c r="B3583" s="1">
        <v>45559</v>
      </c>
      <c r="C3583" t="s">
        <v>12</v>
      </c>
      <c r="D3583" s="2">
        <v>0</v>
      </c>
      <c r="E3583" s="2">
        <v>9.42</v>
      </c>
      <c r="F3583" t="s">
        <v>16</v>
      </c>
      <c r="G3583" t="s">
        <v>17</v>
      </c>
    </row>
    <row r="3584" spans="1:7" x14ac:dyDescent="0.35">
      <c r="A3584">
        <v>1418</v>
      </c>
      <c r="B3584" s="1">
        <v>45559</v>
      </c>
      <c r="C3584" t="s">
        <v>12</v>
      </c>
      <c r="D3584" s="2">
        <v>3325.87</v>
      </c>
      <c r="E3584" s="2">
        <v>0</v>
      </c>
      <c r="F3584" t="s">
        <v>13</v>
      </c>
      <c r="G3584" t="s">
        <v>9</v>
      </c>
    </row>
    <row r="3585" spans="1:7" x14ac:dyDescent="0.35">
      <c r="A3585">
        <v>1418</v>
      </c>
      <c r="B3585" s="1">
        <v>45559</v>
      </c>
      <c r="C3585" t="s">
        <v>12</v>
      </c>
      <c r="D3585" s="2">
        <v>0</v>
      </c>
      <c r="E3585" s="2">
        <v>3093.84</v>
      </c>
      <c r="F3585" t="s">
        <v>14</v>
      </c>
      <c r="G3585" t="s">
        <v>15</v>
      </c>
    </row>
    <row r="3586" spans="1:7" x14ac:dyDescent="0.35">
      <c r="A3586">
        <v>1418</v>
      </c>
      <c r="B3586" s="1">
        <v>45559</v>
      </c>
      <c r="C3586" t="s">
        <v>12</v>
      </c>
      <c r="D3586" s="2">
        <v>0</v>
      </c>
      <c r="E3586" s="2">
        <v>232.03</v>
      </c>
      <c r="F3586" t="s">
        <v>16</v>
      </c>
      <c r="G3586" t="s">
        <v>17</v>
      </c>
    </row>
    <row r="3587" spans="1:7" x14ac:dyDescent="0.35">
      <c r="A3587">
        <v>1419</v>
      </c>
      <c r="B3587" s="1">
        <v>45559</v>
      </c>
      <c r="C3587" t="s">
        <v>12</v>
      </c>
      <c r="D3587" s="2">
        <v>6654.24</v>
      </c>
      <c r="E3587" s="2">
        <v>0</v>
      </c>
      <c r="F3587" t="s">
        <v>13</v>
      </c>
      <c r="G3587" t="s">
        <v>9</v>
      </c>
    </row>
    <row r="3588" spans="1:7" x14ac:dyDescent="0.35">
      <c r="A3588">
        <v>1419</v>
      </c>
      <c r="B3588" s="1">
        <v>45559</v>
      </c>
      <c r="C3588" t="s">
        <v>12</v>
      </c>
      <c r="D3588" s="2">
        <v>0</v>
      </c>
      <c r="E3588" s="2">
        <v>6190</v>
      </c>
      <c r="F3588" t="s">
        <v>14</v>
      </c>
      <c r="G3588" t="s">
        <v>15</v>
      </c>
    </row>
    <row r="3589" spans="1:7" x14ac:dyDescent="0.35">
      <c r="A3589">
        <v>1419</v>
      </c>
      <c r="B3589" s="1">
        <v>45559</v>
      </c>
      <c r="C3589" t="s">
        <v>12</v>
      </c>
      <c r="D3589" s="2">
        <v>0</v>
      </c>
      <c r="E3589" s="2">
        <v>464.24</v>
      </c>
      <c r="F3589" t="s">
        <v>16</v>
      </c>
      <c r="G3589" t="s">
        <v>17</v>
      </c>
    </row>
    <row r="3590" spans="1:7" x14ac:dyDescent="0.35">
      <c r="A3590">
        <v>1420</v>
      </c>
      <c r="B3590" s="1">
        <v>45559</v>
      </c>
      <c r="C3590" t="s">
        <v>24</v>
      </c>
      <c r="D3590" s="2">
        <v>2116.31</v>
      </c>
      <c r="E3590" s="2">
        <v>0</v>
      </c>
      <c r="F3590" t="s">
        <v>8</v>
      </c>
      <c r="G3590" t="s">
        <v>9</v>
      </c>
    </row>
    <row r="3591" spans="1:7" x14ac:dyDescent="0.35">
      <c r="A3591">
        <v>1420</v>
      </c>
      <c r="B3591" s="1">
        <v>45559</v>
      </c>
      <c r="C3591" t="s">
        <v>24</v>
      </c>
      <c r="D3591" s="2">
        <v>0</v>
      </c>
      <c r="E3591" s="2">
        <v>2116.31</v>
      </c>
      <c r="F3591" t="s">
        <v>13</v>
      </c>
      <c r="G3591" t="s">
        <v>9</v>
      </c>
    </row>
    <row r="3592" spans="1:7" x14ac:dyDescent="0.35">
      <c r="A3592">
        <v>1421</v>
      </c>
      <c r="B3592" s="1">
        <v>45559</v>
      </c>
      <c r="C3592" t="s">
        <v>24</v>
      </c>
      <c r="D3592" s="2">
        <v>657.51</v>
      </c>
      <c r="E3592" s="2">
        <v>0</v>
      </c>
      <c r="F3592" t="s">
        <v>8</v>
      </c>
      <c r="G3592" t="s">
        <v>9</v>
      </c>
    </row>
    <row r="3593" spans="1:7" x14ac:dyDescent="0.35">
      <c r="A3593">
        <v>1421</v>
      </c>
      <c r="B3593" s="1">
        <v>45559</v>
      </c>
      <c r="C3593" t="s">
        <v>24</v>
      </c>
      <c r="D3593" s="2">
        <v>0</v>
      </c>
      <c r="E3593" s="2">
        <v>657.51</v>
      </c>
      <c r="F3593" t="s">
        <v>13</v>
      </c>
      <c r="G3593" t="s">
        <v>9</v>
      </c>
    </row>
    <row r="3594" spans="1:7" x14ac:dyDescent="0.35">
      <c r="A3594">
        <v>1422</v>
      </c>
      <c r="B3594" s="1">
        <v>45559</v>
      </c>
      <c r="C3594" t="s">
        <v>24</v>
      </c>
      <c r="D3594" s="2">
        <v>656.97</v>
      </c>
      <c r="E3594" s="2">
        <v>0</v>
      </c>
      <c r="F3594" t="s">
        <v>8</v>
      </c>
      <c r="G3594" t="s">
        <v>9</v>
      </c>
    </row>
    <row r="3595" spans="1:7" x14ac:dyDescent="0.35">
      <c r="A3595">
        <v>1422</v>
      </c>
      <c r="B3595" s="1">
        <v>45559</v>
      </c>
      <c r="C3595" t="s">
        <v>24</v>
      </c>
      <c r="D3595" s="2">
        <v>0</v>
      </c>
      <c r="E3595" s="2">
        <v>656.97</v>
      </c>
      <c r="F3595" t="s">
        <v>13</v>
      </c>
      <c r="G3595" t="s">
        <v>9</v>
      </c>
    </row>
    <row r="3596" spans="1:7" x14ac:dyDescent="0.35">
      <c r="A3596">
        <v>1423</v>
      </c>
      <c r="B3596" s="1">
        <v>45559</v>
      </c>
      <c r="C3596" t="s">
        <v>25</v>
      </c>
      <c r="D3596" s="2">
        <v>1213.5999999999999</v>
      </c>
      <c r="E3596" s="2">
        <v>0</v>
      </c>
      <c r="F3596" t="s">
        <v>26</v>
      </c>
      <c r="G3596" t="s">
        <v>20</v>
      </c>
    </row>
    <row r="3597" spans="1:7" x14ac:dyDescent="0.35">
      <c r="A3597">
        <v>1423</v>
      </c>
      <c r="B3597" s="1">
        <v>45559</v>
      </c>
      <c r="C3597" t="s">
        <v>25</v>
      </c>
      <c r="D3597" s="2">
        <v>91.02</v>
      </c>
      <c r="E3597" s="2">
        <v>0</v>
      </c>
      <c r="F3597" t="s">
        <v>27</v>
      </c>
      <c r="G3597" t="s">
        <v>9</v>
      </c>
    </row>
    <row r="3598" spans="1:7" x14ac:dyDescent="0.35">
      <c r="A3598">
        <v>1423</v>
      </c>
      <c r="B3598" s="1">
        <v>45559</v>
      </c>
      <c r="C3598" t="s">
        <v>25</v>
      </c>
      <c r="D3598" s="2">
        <v>0</v>
      </c>
      <c r="E3598" s="2">
        <v>1304.6199999999999</v>
      </c>
      <c r="F3598" t="s">
        <v>28</v>
      </c>
      <c r="G3598" t="s">
        <v>17</v>
      </c>
    </row>
    <row r="3599" spans="1:7" x14ac:dyDescent="0.35">
      <c r="A3599">
        <v>1424</v>
      </c>
      <c r="B3599" s="1">
        <v>45559</v>
      </c>
      <c r="C3599" t="s">
        <v>29</v>
      </c>
      <c r="D3599" s="2">
        <v>3528.97</v>
      </c>
      <c r="E3599" s="2">
        <v>0</v>
      </c>
      <c r="F3599" t="s">
        <v>28</v>
      </c>
      <c r="G3599" t="s">
        <v>17</v>
      </c>
    </row>
    <row r="3600" spans="1:7" x14ac:dyDescent="0.35">
      <c r="A3600">
        <v>1424</v>
      </c>
      <c r="B3600" s="1">
        <v>45559</v>
      </c>
      <c r="C3600" t="s">
        <v>29</v>
      </c>
      <c r="D3600" s="2">
        <v>0</v>
      </c>
      <c r="E3600" s="2">
        <v>3528.97</v>
      </c>
      <c r="F3600" t="s">
        <v>8</v>
      </c>
      <c r="G3600" t="s">
        <v>9</v>
      </c>
    </row>
    <row r="3601" spans="1:7" x14ac:dyDescent="0.35">
      <c r="A3601">
        <v>1425</v>
      </c>
      <c r="B3601" s="1">
        <v>45560</v>
      </c>
      <c r="C3601" t="s">
        <v>12</v>
      </c>
      <c r="D3601" s="2">
        <v>2021.08</v>
      </c>
      <c r="E3601" s="2">
        <v>0</v>
      </c>
      <c r="F3601" t="s">
        <v>13</v>
      </c>
      <c r="G3601" t="s">
        <v>9</v>
      </c>
    </row>
    <row r="3602" spans="1:7" x14ac:dyDescent="0.35">
      <c r="A3602">
        <v>1425</v>
      </c>
      <c r="B3602" s="1">
        <v>45560</v>
      </c>
      <c r="C3602" t="s">
        <v>12</v>
      </c>
      <c r="D3602" s="2">
        <v>0</v>
      </c>
      <c r="E3602" s="2">
        <v>1880.08</v>
      </c>
      <c r="F3602" t="s">
        <v>14</v>
      </c>
      <c r="G3602" t="s">
        <v>15</v>
      </c>
    </row>
    <row r="3603" spans="1:7" x14ac:dyDescent="0.35">
      <c r="A3603">
        <v>1425</v>
      </c>
      <c r="B3603" s="1">
        <v>45560</v>
      </c>
      <c r="C3603" t="s">
        <v>12</v>
      </c>
      <c r="D3603" s="2">
        <v>0</v>
      </c>
      <c r="E3603" s="2">
        <v>141</v>
      </c>
      <c r="F3603" t="s">
        <v>16</v>
      </c>
      <c r="G3603" t="s">
        <v>17</v>
      </c>
    </row>
    <row r="3604" spans="1:7" x14ac:dyDescent="0.35">
      <c r="A3604">
        <v>1426</v>
      </c>
      <c r="B3604" s="1">
        <v>45560</v>
      </c>
      <c r="C3604" t="s">
        <v>12</v>
      </c>
      <c r="D3604" s="2">
        <v>988.51</v>
      </c>
      <c r="E3604" s="2">
        <v>0</v>
      </c>
      <c r="F3604" t="s">
        <v>13</v>
      </c>
      <c r="G3604" t="s">
        <v>9</v>
      </c>
    </row>
    <row r="3605" spans="1:7" x14ac:dyDescent="0.35">
      <c r="A3605">
        <v>1426</v>
      </c>
      <c r="B3605" s="1">
        <v>45560</v>
      </c>
      <c r="C3605" t="s">
        <v>12</v>
      </c>
      <c r="D3605" s="2">
        <v>0</v>
      </c>
      <c r="E3605" s="2">
        <v>919.55</v>
      </c>
      <c r="F3605" t="s">
        <v>14</v>
      </c>
      <c r="G3605" t="s">
        <v>15</v>
      </c>
    </row>
    <row r="3606" spans="1:7" x14ac:dyDescent="0.35">
      <c r="A3606">
        <v>1426</v>
      </c>
      <c r="B3606" s="1">
        <v>45560</v>
      </c>
      <c r="C3606" t="s">
        <v>12</v>
      </c>
      <c r="D3606" s="2">
        <v>0</v>
      </c>
      <c r="E3606" s="2">
        <v>68.959999999999994</v>
      </c>
      <c r="F3606" t="s">
        <v>16</v>
      </c>
      <c r="G3606" t="s">
        <v>17</v>
      </c>
    </row>
    <row r="3607" spans="1:7" x14ac:dyDescent="0.35">
      <c r="A3607">
        <v>1427</v>
      </c>
      <c r="B3607" s="1">
        <v>45560</v>
      </c>
      <c r="C3607" t="s">
        <v>12</v>
      </c>
      <c r="D3607" s="2">
        <v>582.83000000000004</v>
      </c>
      <c r="E3607" s="2">
        <v>0</v>
      </c>
      <c r="F3607" t="s">
        <v>13</v>
      </c>
      <c r="G3607" t="s">
        <v>9</v>
      </c>
    </row>
    <row r="3608" spans="1:7" x14ac:dyDescent="0.35">
      <c r="A3608">
        <v>1427</v>
      </c>
      <c r="B3608" s="1">
        <v>45560</v>
      </c>
      <c r="C3608" t="s">
        <v>12</v>
      </c>
      <c r="D3608" s="2">
        <v>0</v>
      </c>
      <c r="E3608" s="2">
        <v>542.16999999999996</v>
      </c>
      <c r="F3608" t="s">
        <v>14</v>
      </c>
      <c r="G3608" t="s">
        <v>15</v>
      </c>
    </row>
    <row r="3609" spans="1:7" x14ac:dyDescent="0.35">
      <c r="A3609">
        <v>1427</v>
      </c>
      <c r="B3609" s="1">
        <v>45560</v>
      </c>
      <c r="C3609" t="s">
        <v>12</v>
      </c>
      <c r="D3609" s="2">
        <v>0</v>
      </c>
      <c r="E3609" s="2">
        <v>40.659999999999997</v>
      </c>
      <c r="F3609" t="s">
        <v>16</v>
      </c>
      <c r="G3609" t="s">
        <v>17</v>
      </c>
    </row>
    <row r="3610" spans="1:7" x14ac:dyDescent="0.35">
      <c r="A3610">
        <v>1428</v>
      </c>
      <c r="B3610" s="1">
        <v>45560</v>
      </c>
      <c r="C3610" t="s">
        <v>12</v>
      </c>
      <c r="D3610" s="2">
        <v>2343.36</v>
      </c>
      <c r="E3610" s="2">
        <v>0</v>
      </c>
      <c r="F3610" t="s">
        <v>13</v>
      </c>
      <c r="G3610" t="s">
        <v>9</v>
      </c>
    </row>
    <row r="3611" spans="1:7" x14ac:dyDescent="0.35">
      <c r="A3611">
        <v>1428</v>
      </c>
      <c r="B3611" s="1">
        <v>45560</v>
      </c>
      <c r="C3611" t="s">
        <v>12</v>
      </c>
      <c r="D3611" s="2">
        <v>0</v>
      </c>
      <c r="E3611" s="2">
        <v>2179.88</v>
      </c>
      <c r="F3611" t="s">
        <v>14</v>
      </c>
      <c r="G3611" t="s">
        <v>15</v>
      </c>
    </row>
    <row r="3612" spans="1:7" x14ac:dyDescent="0.35">
      <c r="A3612">
        <v>1428</v>
      </c>
      <c r="B3612" s="1">
        <v>45560</v>
      </c>
      <c r="C3612" t="s">
        <v>12</v>
      </c>
      <c r="D3612" s="2">
        <v>0</v>
      </c>
      <c r="E3612" s="2">
        <v>163.47999999999999</v>
      </c>
      <c r="F3612" t="s">
        <v>16</v>
      </c>
      <c r="G3612" t="s">
        <v>17</v>
      </c>
    </row>
    <row r="3613" spans="1:7" x14ac:dyDescent="0.35">
      <c r="A3613">
        <v>1429</v>
      </c>
      <c r="B3613" s="1">
        <v>45560</v>
      </c>
      <c r="C3613" t="s">
        <v>12</v>
      </c>
      <c r="D3613" s="2">
        <v>2365.94</v>
      </c>
      <c r="E3613" s="2">
        <v>0</v>
      </c>
      <c r="F3613" t="s">
        <v>13</v>
      </c>
      <c r="G3613" t="s">
        <v>9</v>
      </c>
    </row>
    <row r="3614" spans="1:7" x14ac:dyDescent="0.35">
      <c r="A3614">
        <v>1429</v>
      </c>
      <c r="B3614" s="1">
        <v>45560</v>
      </c>
      <c r="C3614" t="s">
        <v>12</v>
      </c>
      <c r="D3614" s="2">
        <v>0</v>
      </c>
      <c r="E3614" s="2">
        <v>2200.88</v>
      </c>
      <c r="F3614" t="s">
        <v>14</v>
      </c>
      <c r="G3614" t="s">
        <v>15</v>
      </c>
    </row>
    <row r="3615" spans="1:7" x14ac:dyDescent="0.35">
      <c r="A3615">
        <v>1429</v>
      </c>
      <c r="B3615" s="1">
        <v>45560</v>
      </c>
      <c r="C3615" t="s">
        <v>12</v>
      </c>
      <c r="D3615" s="2">
        <v>0</v>
      </c>
      <c r="E3615" s="2">
        <v>165.06</v>
      </c>
      <c r="F3615" t="s">
        <v>16</v>
      </c>
      <c r="G3615" t="s">
        <v>17</v>
      </c>
    </row>
    <row r="3616" spans="1:7" x14ac:dyDescent="0.35">
      <c r="A3616">
        <v>1430</v>
      </c>
      <c r="B3616" s="1">
        <v>45560</v>
      </c>
      <c r="C3616" t="s">
        <v>12</v>
      </c>
      <c r="D3616" s="2">
        <v>4575.8900000000003</v>
      </c>
      <c r="E3616" s="2">
        <v>0</v>
      </c>
      <c r="F3616" t="s">
        <v>13</v>
      </c>
      <c r="G3616" t="s">
        <v>9</v>
      </c>
    </row>
    <row r="3617" spans="1:7" x14ac:dyDescent="0.35">
      <c r="A3617">
        <v>1430</v>
      </c>
      <c r="B3617" s="1">
        <v>45560</v>
      </c>
      <c r="C3617" t="s">
        <v>12</v>
      </c>
      <c r="D3617" s="2">
        <v>0</v>
      </c>
      <c r="E3617" s="2">
        <v>4256.6400000000003</v>
      </c>
      <c r="F3617" t="s">
        <v>14</v>
      </c>
      <c r="G3617" t="s">
        <v>15</v>
      </c>
    </row>
    <row r="3618" spans="1:7" x14ac:dyDescent="0.35">
      <c r="A3618">
        <v>1430</v>
      </c>
      <c r="B3618" s="1">
        <v>45560</v>
      </c>
      <c r="C3618" t="s">
        <v>12</v>
      </c>
      <c r="D3618" s="2">
        <v>0</v>
      </c>
      <c r="E3618" s="2">
        <v>319.25</v>
      </c>
      <c r="F3618" t="s">
        <v>16</v>
      </c>
      <c r="G3618" t="s">
        <v>17</v>
      </c>
    </row>
    <row r="3619" spans="1:7" x14ac:dyDescent="0.35">
      <c r="A3619">
        <v>1431</v>
      </c>
      <c r="B3619" s="1">
        <v>45560</v>
      </c>
      <c r="C3619" t="s">
        <v>12</v>
      </c>
      <c r="D3619" s="2">
        <v>3592.82</v>
      </c>
      <c r="E3619" s="2">
        <v>0</v>
      </c>
      <c r="F3619" t="s">
        <v>13</v>
      </c>
      <c r="G3619" t="s">
        <v>9</v>
      </c>
    </row>
    <row r="3620" spans="1:7" x14ac:dyDescent="0.35">
      <c r="A3620">
        <v>1431</v>
      </c>
      <c r="B3620" s="1">
        <v>45560</v>
      </c>
      <c r="C3620" t="s">
        <v>12</v>
      </c>
      <c r="D3620" s="2">
        <v>0</v>
      </c>
      <c r="E3620" s="2">
        <v>3342.15</v>
      </c>
      <c r="F3620" t="s">
        <v>14</v>
      </c>
      <c r="G3620" t="s">
        <v>15</v>
      </c>
    </row>
    <row r="3621" spans="1:7" x14ac:dyDescent="0.35">
      <c r="A3621">
        <v>1431</v>
      </c>
      <c r="B3621" s="1">
        <v>45560</v>
      </c>
      <c r="C3621" t="s">
        <v>12</v>
      </c>
      <c r="D3621" s="2">
        <v>0</v>
      </c>
      <c r="E3621" s="2">
        <v>250.67</v>
      </c>
      <c r="F3621" t="s">
        <v>16</v>
      </c>
      <c r="G3621" t="s">
        <v>17</v>
      </c>
    </row>
    <row r="3622" spans="1:7" x14ac:dyDescent="0.35">
      <c r="A3622">
        <v>1432</v>
      </c>
      <c r="B3622" s="1">
        <v>45560</v>
      </c>
      <c r="C3622" t="s">
        <v>24</v>
      </c>
      <c r="D3622" s="2">
        <v>1043.04</v>
      </c>
      <c r="E3622" s="2">
        <v>0</v>
      </c>
      <c r="F3622" t="s">
        <v>8</v>
      </c>
      <c r="G3622" t="s">
        <v>9</v>
      </c>
    </row>
    <row r="3623" spans="1:7" x14ac:dyDescent="0.35">
      <c r="A3623">
        <v>1432</v>
      </c>
      <c r="B3623" s="1">
        <v>45560</v>
      </c>
      <c r="C3623" t="s">
        <v>24</v>
      </c>
      <c r="D3623" s="2">
        <v>0</v>
      </c>
      <c r="E3623" s="2">
        <v>1043.04</v>
      </c>
      <c r="F3623" t="s">
        <v>13</v>
      </c>
      <c r="G3623" t="s">
        <v>9</v>
      </c>
    </row>
    <row r="3624" spans="1:7" x14ac:dyDescent="0.35">
      <c r="A3624">
        <v>1433</v>
      </c>
      <c r="B3624" s="1">
        <v>45560</v>
      </c>
      <c r="C3624" t="s">
        <v>24</v>
      </c>
      <c r="D3624" s="2">
        <v>79.989999999999995</v>
      </c>
      <c r="E3624" s="2">
        <v>0</v>
      </c>
      <c r="F3624" t="s">
        <v>8</v>
      </c>
      <c r="G3624" t="s">
        <v>9</v>
      </c>
    </row>
    <row r="3625" spans="1:7" x14ac:dyDescent="0.35">
      <c r="A3625">
        <v>1433</v>
      </c>
      <c r="B3625" s="1">
        <v>45560</v>
      </c>
      <c r="C3625" t="s">
        <v>24</v>
      </c>
      <c r="D3625" s="2">
        <v>0</v>
      </c>
      <c r="E3625" s="2">
        <v>79.989999999999995</v>
      </c>
      <c r="F3625" t="s">
        <v>13</v>
      </c>
      <c r="G3625" t="s">
        <v>9</v>
      </c>
    </row>
    <row r="3626" spans="1:7" x14ac:dyDescent="0.35">
      <c r="A3626">
        <v>1434</v>
      </c>
      <c r="B3626" s="1">
        <v>45560</v>
      </c>
      <c r="C3626" t="s">
        <v>24</v>
      </c>
      <c r="D3626" s="2">
        <v>135.02000000000001</v>
      </c>
      <c r="E3626" s="2">
        <v>0</v>
      </c>
      <c r="F3626" t="s">
        <v>8</v>
      </c>
      <c r="G3626" t="s">
        <v>9</v>
      </c>
    </row>
    <row r="3627" spans="1:7" x14ac:dyDescent="0.35">
      <c r="A3627">
        <v>1434</v>
      </c>
      <c r="B3627" s="1">
        <v>45560</v>
      </c>
      <c r="C3627" t="s">
        <v>24</v>
      </c>
      <c r="D3627" s="2">
        <v>0</v>
      </c>
      <c r="E3627" s="2">
        <v>135.02000000000001</v>
      </c>
      <c r="F3627" t="s">
        <v>13</v>
      </c>
      <c r="G3627" t="s">
        <v>9</v>
      </c>
    </row>
    <row r="3628" spans="1:7" x14ac:dyDescent="0.35">
      <c r="A3628">
        <v>1435</v>
      </c>
      <c r="B3628" s="1">
        <v>45560</v>
      </c>
      <c r="C3628" t="s">
        <v>29</v>
      </c>
      <c r="D3628" s="2">
        <v>1023.42</v>
      </c>
      <c r="E3628" s="2">
        <v>0</v>
      </c>
      <c r="F3628" t="s">
        <v>28</v>
      </c>
      <c r="G3628" t="s">
        <v>17</v>
      </c>
    </row>
    <row r="3629" spans="1:7" x14ac:dyDescent="0.35">
      <c r="A3629">
        <v>1435</v>
      </c>
      <c r="B3629" s="1">
        <v>45560</v>
      </c>
      <c r="C3629" t="s">
        <v>29</v>
      </c>
      <c r="D3629" s="2">
        <v>0</v>
      </c>
      <c r="E3629" s="2">
        <v>1023.42</v>
      </c>
      <c r="F3629" t="s">
        <v>8</v>
      </c>
      <c r="G3629" t="s">
        <v>9</v>
      </c>
    </row>
    <row r="3630" spans="1:7" x14ac:dyDescent="0.35">
      <c r="A3630">
        <v>1436</v>
      </c>
      <c r="B3630" s="1">
        <v>45560</v>
      </c>
      <c r="C3630" t="s">
        <v>29</v>
      </c>
      <c r="D3630" s="2">
        <v>1591.54</v>
      </c>
      <c r="E3630" s="2">
        <v>0</v>
      </c>
      <c r="F3630" t="s">
        <v>28</v>
      </c>
      <c r="G3630" t="s">
        <v>17</v>
      </c>
    </row>
    <row r="3631" spans="1:7" x14ac:dyDescent="0.35">
      <c r="A3631">
        <v>1436</v>
      </c>
      <c r="B3631" s="1">
        <v>45560</v>
      </c>
      <c r="C3631" t="s">
        <v>29</v>
      </c>
      <c r="D3631" s="2">
        <v>0</v>
      </c>
      <c r="E3631" s="2">
        <v>1591.54</v>
      </c>
      <c r="F3631" t="s">
        <v>8</v>
      </c>
      <c r="G3631" t="s">
        <v>9</v>
      </c>
    </row>
    <row r="3632" spans="1:7" x14ac:dyDescent="0.35">
      <c r="A3632">
        <v>1437</v>
      </c>
      <c r="B3632" s="1">
        <v>45561</v>
      </c>
      <c r="C3632" t="s">
        <v>18</v>
      </c>
      <c r="D3632" s="2">
        <v>22037.74</v>
      </c>
      <c r="E3632" s="2">
        <v>0</v>
      </c>
      <c r="F3632" t="s">
        <v>19</v>
      </c>
      <c r="G3632" t="s">
        <v>20</v>
      </c>
    </row>
    <row r="3633" spans="1:7" x14ac:dyDescent="0.35">
      <c r="A3633">
        <v>1437</v>
      </c>
      <c r="B3633" s="1">
        <v>45561</v>
      </c>
      <c r="C3633" t="s">
        <v>18</v>
      </c>
      <c r="D3633" s="2">
        <v>881.51</v>
      </c>
      <c r="E3633" s="2">
        <v>0</v>
      </c>
      <c r="F3633" t="s">
        <v>21</v>
      </c>
      <c r="G3633" t="s">
        <v>20</v>
      </c>
    </row>
    <row r="3634" spans="1:7" x14ac:dyDescent="0.35">
      <c r="A3634">
        <v>1437</v>
      </c>
      <c r="B3634" s="1">
        <v>45561</v>
      </c>
      <c r="C3634" t="s">
        <v>18</v>
      </c>
      <c r="D3634" s="2">
        <v>0</v>
      </c>
      <c r="E3634" s="2">
        <v>17968.47</v>
      </c>
      <c r="F3634" t="s">
        <v>8</v>
      </c>
      <c r="G3634" t="s">
        <v>9</v>
      </c>
    </row>
    <row r="3635" spans="1:7" x14ac:dyDescent="0.35">
      <c r="A3635">
        <v>1437</v>
      </c>
      <c r="B3635" s="1">
        <v>45561</v>
      </c>
      <c r="C3635" t="s">
        <v>18</v>
      </c>
      <c r="D3635" s="2">
        <v>0</v>
      </c>
      <c r="E3635" s="2">
        <v>4069.27</v>
      </c>
      <c r="F3635" t="s">
        <v>22</v>
      </c>
      <c r="G3635" t="s">
        <v>17</v>
      </c>
    </row>
    <row r="3636" spans="1:7" x14ac:dyDescent="0.35">
      <c r="A3636">
        <v>1437</v>
      </c>
      <c r="B3636" s="1">
        <v>45561</v>
      </c>
      <c r="C3636" t="s">
        <v>18</v>
      </c>
      <c r="D3636" s="2">
        <v>0</v>
      </c>
      <c r="E3636" s="2">
        <v>881.51</v>
      </c>
      <c r="F3636" t="s">
        <v>23</v>
      </c>
      <c r="G3636" t="s">
        <v>17</v>
      </c>
    </row>
    <row r="3637" spans="1:7" x14ac:dyDescent="0.35">
      <c r="A3637">
        <v>1438</v>
      </c>
      <c r="B3637" s="1">
        <v>45561</v>
      </c>
      <c r="C3637" t="s">
        <v>12</v>
      </c>
      <c r="D3637" s="2">
        <v>1839.9</v>
      </c>
      <c r="E3637" s="2">
        <v>0</v>
      </c>
      <c r="F3637" t="s">
        <v>13</v>
      </c>
      <c r="G3637" t="s">
        <v>9</v>
      </c>
    </row>
    <row r="3638" spans="1:7" x14ac:dyDescent="0.35">
      <c r="A3638">
        <v>1438</v>
      </c>
      <c r="B3638" s="1">
        <v>45561</v>
      </c>
      <c r="C3638" t="s">
        <v>12</v>
      </c>
      <c r="D3638" s="2">
        <v>0</v>
      </c>
      <c r="E3638" s="2">
        <v>1711.52</v>
      </c>
      <c r="F3638" t="s">
        <v>14</v>
      </c>
      <c r="G3638" t="s">
        <v>15</v>
      </c>
    </row>
    <row r="3639" spans="1:7" x14ac:dyDescent="0.35">
      <c r="A3639">
        <v>1438</v>
      </c>
      <c r="B3639" s="1">
        <v>45561</v>
      </c>
      <c r="C3639" t="s">
        <v>12</v>
      </c>
      <c r="D3639" s="2">
        <v>0</v>
      </c>
      <c r="E3639" s="2">
        <v>128.38</v>
      </c>
      <c r="F3639" t="s">
        <v>16</v>
      </c>
      <c r="G3639" t="s">
        <v>17</v>
      </c>
    </row>
    <row r="3640" spans="1:7" x14ac:dyDescent="0.35">
      <c r="A3640">
        <v>1439</v>
      </c>
      <c r="B3640" s="1">
        <v>45561</v>
      </c>
      <c r="C3640" t="s">
        <v>12</v>
      </c>
      <c r="D3640" s="2">
        <v>3417.74</v>
      </c>
      <c r="E3640" s="2">
        <v>0</v>
      </c>
      <c r="F3640" t="s">
        <v>13</v>
      </c>
      <c r="G3640" t="s">
        <v>9</v>
      </c>
    </row>
    <row r="3641" spans="1:7" x14ac:dyDescent="0.35">
      <c r="A3641">
        <v>1439</v>
      </c>
      <c r="B3641" s="1">
        <v>45561</v>
      </c>
      <c r="C3641" t="s">
        <v>12</v>
      </c>
      <c r="D3641" s="2">
        <v>0</v>
      </c>
      <c r="E3641" s="2">
        <v>3179.3</v>
      </c>
      <c r="F3641" t="s">
        <v>14</v>
      </c>
      <c r="G3641" t="s">
        <v>15</v>
      </c>
    </row>
    <row r="3642" spans="1:7" x14ac:dyDescent="0.35">
      <c r="A3642">
        <v>1439</v>
      </c>
      <c r="B3642" s="1">
        <v>45561</v>
      </c>
      <c r="C3642" t="s">
        <v>12</v>
      </c>
      <c r="D3642" s="2">
        <v>0</v>
      </c>
      <c r="E3642" s="2">
        <v>238.44</v>
      </c>
      <c r="F3642" t="s">
        <v>16</v>
      </c>
      <c r="G3642" t="s">
        <v>17</v>
      </c>
    </row>
    <row r="3643" spans="1:7" x14ac:dyDescent="0.35">
      <c r="A3643">
        <v>1440</v>
      </c>
      <c r="B3643" s="1">
        <v>45561</v>
      </c>
      <c r="C3643" t="s">
        <v>12</v>
      </c>
      <c r="D3643" s="2">
        <v>2640.49</v>
      </c>
      <c r="E3643" s="2">
        <v>0</v>
      </c>
      <c r="F3643" t="s">
        <v>13</v>
      </c>
      <c r="G3643" t="s">
        <v>9</v>
      </c>
    </row>
    <row r="3644" spans="1:7" x14ac:dyDescent="0.35">
      <c r="A3644">
        <v>1440</v>
      </c>
      <c r="B3644" s="1">
        <v>45561</v>
      </c>
      <c r="C3644" t="s">
        <v>12</v>
      </c>
      <c r="D3644" s="2">
        <v>0</v>
      </c>
      <c r="E3644" s="2">
        <v>2456.2600000000002</v>
      </c>
      <c r="F3644" t="s">
        <v>14</v>
      </c>
      <c r="G3644" t="s">
        <v>15</v>
      </c>
    </row>
    <row r="3645" spans="1:7" x14ac:dyDescent="0.35">
      <c r="A3645">
        <v>1440</v>
      </c>
      <c r="B3645" s="1">
        <v>45561</v>
      </c>
      <c r="C3645" t="s">
        <v>12</v>
      </c>
      <c r="D3645" s="2">
        <v>0</v>
      </c>
      <c r="E3645" s="2">
        <v>184.23</v>
      </c>
      <c r="F3645" t="s">
        <v>16</v>
      </c>
      <c r="G3645" t="s">
        <v>17</v>
      </c>
    </row>
    <row r="3646" spans="1:7" x14ac:dyDescent="0.35">
      <c r="A3646">
        <v>1441</v>
      </c>
      <c r="B3646" s="1">
        <v>45561</v>
      </c>
      <c r="C3646" t="s">
        <v>12</v>
      </c>
      <c r="D3646" s="2">
        <v>3519.84</v>
      </c>
      <c r="E3646" s="2">
        <v>0</v>
      </c>
      <c r="F3646" t="s">
        <v>13</v>
      </c>
      <c r="G3646" t="s">
        <v>9</v>
      </c>
    </row>
    <row r="3647" spans="1:7" x14ac:dyDescent="0.35">
      <c r="A3647">
        <v>1441</v>
      </c>
      <c r="B3647" s="1">
        <v>45561</v>
      </c>
      <c r="C3647" t="s">
        <v>12</v>
      </c>
      <c r="D3647" s="2">
        <v>0</v>
      </c>
      <c r="E3647" s="2">
        <v>3274.27</v>
      </c>
      <c r="F3647" t="s">
        <v>14</v>
      </c>
      <c r="G3647" t="s">
        <v>15</v>
      </c>
    </row>
    <row r="3648" spans="1:7" x14ac:dyDescent="0.35">
      <c r="A3648">
        <v>1441</v>
      </c>
      <c r="B3648" s="1">
        <v>45561</v>
      </c>
      <c r="C3648" t="s">
        <v>12</v>
      </c>
      <c r="D3648" s="2">
        <v>0</v>
      </c>
      <c r="E3648" s="2">
        <v>245.57</v>
      </c>
      <c r="F3648" t="s">
        <v>16</v>
      </c>
      <c r="G3648" t="s">
        <v>17</v>
      </c>
    </row>
    <row r="3649" spans="1:7" x14ac:dyDescent="0.35">
      <c r="A3649">
        <v>1442</v>
      </c>
      <c r="B3649" s="1">
        <v>45561</v>
      </c>
      <c r="C3649" t="s">
        <v>24</v>
      </c>
      <c r="D3649" s="2">
        <v>1439.72</v>
      </c>
      <c r="E3649" s="2">
        <v>0</v>
      </c>
      <c r="F3649" t="s">
        <v>8</v>
      </c>
      <c r="G3649" t="s">
        <v>9</v>
      </c>
    </row>
    <row r="3650" spans="1:7" x14ac:dyDescent="0.35">
      <c r="A3650">
        <v>1442</v>
      </c>
      <c r="B3650" s="1">
        <v>45561</v>
      </c>
      <c r="C3650" t="s">
        <v>24</v>
      </c>
      <c r="D3650" s="2">
        <v>0</v>
      </c>
      <c r="E3650" s="2">
        <v>1439.72</v>
      </c>
      <c r="F3650" t="s">
        <v>13</v>
      </c>
      <c r="G3650" t="s">
        <v>9</v>
      </c>
    </row>
    <row r="3651" spans="1:7" x14ac:dyDescent="0.35">
      <c r="A3651">
        <v>1443</v>
      </c>
      <c r="B3651" s="1">
        <v>45561</v>
      </c>
      <c r="C3651" t="s">
        <v>25</v>
      </c>
      <c r="D3651" s="2">
        <v>1822.08</v>
      </c>
      <c r="E3651" s="2">
        <v>0</v>
      </c>
      <c r="F3651" t="s">
        <v>26</v>
      </c>
      <c r="G3651" t="s">
        <v>20</v>
      </c>
    </row>
    <row r="3652" spans="1:7" x14ac:dyDescent="0.35">
      <c r="A3652">
        <v>1443</v>
      </c>
      <c r="B3652" s="1">
        <v>45561</v>
      </c>
      <c r="C3652" t="s">
        <v>25</v>
      </c>
      <c r="D3652" s="2">
        <v>136.66</v>
      </c>
      <c r="E3652" s="2">
        <v>0</v>
      </c>
      <c r="F3652" t="s">
        <v>27</v>
      </c>
      <c r="G3652" t="s">
        <v>9</v>
      </c>
    </row>
    <row r="3653" spans="1:7" x14ac:dyDescent="0.35">
      <c r="A3653">
        <v>1443</v>
      </c>
      <c r="B3653" s="1">
        <v>45561</v>
      </c>
      <c r="C3653" t="s">
        <v>25</v>
      </c>
      <c r="D3653" s="2">
        <v>0</v>
      </c>
      <c r="E3653" s="2">
        <v>1958.74</v>
      </c>
      <c r="F3653" t="s">
        <v>28</v>
      </c>
      <c r="G3653" t="s">
        <v>17</v>
      </c>
    </row>
    <row r="3654" spans="1:7" x14ac:dyDescent="0.35">
      <c r="A3654">
        <v>1444</v>
      </c>
      <c r="B3654" s="1">
        <v>45561</v>
      </c>
      <c r="C3654" t="s">
        <v>25</v>
      </c>
      <c r="D3654" s="2">
        <v>1800.04</v>
      </c>
      <c r="E3654" s="2">
        <v>0</v>
      </c>
      <c r="F3654" t="s">
        <v>26</v>
      </c>
      <c r="G3654" t="s">
        <v>20</v>
      </c>
    </row>
    <row r="3655" spans="1:7" x14ac:dyDescent="0.35">
      <c r="A3655">
        <v>1444</v>
      </c>
      <c r="B3655" s="1">
        <v>45561</v>
      </c>
      <c r="C3655" t="s">
        <v>25</v>
      </c>
      <c r="D3655" s="2">
        <v>135</v>
      </c>
      <c r="E3655" s="2">
        <v>0</v>
      </c>
      <c r="F3655" t="s">
        <v>27</v>
      </c>
      <c r="G3655" t="s">
        <v>9</v>
      </c>
    </row>
    <row r="3656" spans="1:7" x14ac:dyDescent="0.35">
      <c r="A3656">
        <v>1444</v>
      </c>
      <c r="B3656" s="1">
        <v>45561</v>
      </c>
      <c r="C3656" t="s">
        <v>25</v>
      </c>
      <c r="D3656" s="2">
        <v>0</v>
      </c>
      <c r="E3656" s="2">
        <v>1935.04</v>
      </c>
      <c r="F3656" t="s">
        <v>28</v>
      </c>
      <c r="G3656" t="s">
        <v>17</v>
      </c>
    </row>
    <row r="3657" spans="1:7" x14ac:dyDescent="0.35">
      <c r="A3657">
        <v>1445</v>
      </c>
      <c r="B3657" s="1">
        <v>45561</v>
      </c>
      <c r="C3657" t="s">
        <v>29</v>
      </c>
      <c r="D3657" s="2">
        <v>2635.36</v>
      </c>
      <c r="E3657" s="2">
        <v>0</v>
      </c>
      <c r="F3657" t="s">
        <v>28</v>
      </c>
      <c r="G3657" t="s">
        <v>17</v>
      </c>
    </row>
    <row r="3658" spans="1:7" x14ac:dyDescent="0.35">
      <c r="A3658">
        <v>1445</v>
      </c>
      <c r="B3658" s="1">
        <v>45561</v>
      </c>
      <c r="C3658" t="s">
        <v>29</v>
      </c>
      <c r="D3658" s="2">
        <v>0</v>
      </c>
      <c r="E3658" s="2">
        <v>2635.36</v>
      </c>
      <c r="F3658" t="s">
        <v>8</v>
      </c>
      <c r="G3658" t="s">
        <v>9</v>
      </c>
    </row>
    <row r="3659" spans="1:7" x14ac:dyDescent="0.35">
      <c r="A3659">
        <v>1446</v>
      </c>
      <c r="B3659" s="1">
        <v>45561</v>
      </c>
      <c r="C3659" t="s">
        <v>29</v>
      </c>
      <c r="D3659" s="2">
        <v>2635.36</v>
      </c>
      <c r="E3659" s="2">
        <v>0</v>
      </c>
      <c r="F3659" t="s">
        <v>28</v>
      </c>
      <c r="G3659" t="s">
        <v>17</v>
      </c>
    </row>
    <row r="3660" spans="1:7" x14ac:dyDescent="0.35">
      <c r="A3660">
        <v>1446</v>
      </c>
      <c r="B3660" s="1">
        <v>45561</v>
      </c>
      <c r="C3660" t="s">
        <v>29</v>
      </c>
      <c r="D3660" s="2">
        <v>0</v>
      </c>
      <c r="E3660" s="2">
        <v>2635.36</v>
      </c>
      <c r="F3660" t="s">
        <v>8</v>
      </c>
      <c r="G3660" t="s">
        <v>9</v>
      </c>
    </row>
    <row r="3661" spans="1:7" x14ac:dyDescent="0.35">
      <c r="A3661">
        <v>1447</v>
      </c>
      <c r="B3661" s="1">
        <v>45562</v>
      </c>
      <c r="C3661" t="s">
        <v>24</v>
      </c>
      <c r="D3661" s="2">
        <v>3241.09</v>
      </c>
      <c r="E3661" s="2">
        <v>0</v>
      </c>
      <c r="F3661" t="s">
        <v>8</v>
      </c>
      <c r="G3661" t="s">
        <v>9</v>
      </c>
    </row>
    <row r="3662" spans="1:7" x14ac:dyDescent="0.35">
      <c r="A3662">
        <v>1447</v>
      </c>
      <c r="B3662" s="1">
        <v>45562</v>
      </c>
      <c r="C3662" t="s">
        <v>24</v>
      </c>
      <c r="D3662" s="2">
        <v>0</v>
      </c>
      <c r="E3662" s="2">
        <v>3241.09</v>
      </c>
      <c r="F3662" t="s">
        <v>13</v>
      </c>
      <c r="G3662" t="s">
        <v>9</v>
      </c>
    </row>
    <row r="3663" spans="1:7" x14ac:dyDescent="0.35">
      <c r="A3663">
        <v>1448</v>
      </c>
      <c r="B3663" s="1">
        <v>45562</v>
      </c>
      <c r="C3663" t="s">
        <v>24</v>
      </c>
      <c r="D3663" s="2">
        <v>4304.99</v>
      </c>
      <c r="E3663" s="2">
        <v>0</v>
      </c>
      <c r="F3663" t="s">
        <v>8</v>
      </c>
      <c r="G3663" t="s">
        <v>9</v>
      </c>
    </row>
    <row r="3664" spans="1:7" x14ac:dyDescent="0.35">
      <c r="A3664">
        <v>1448</v>
      </c>
      <c r="B3664" s="1">
        <v>45562</v>
      </c>
      <c r="C3664" t="s">
        <v>24</v>
      </c>
      <c r="D3664" s="2">
        <v>0</v>
      </c>
      <c r="E3664" s="2">
        <v>4304.99</v>
      </c>
      <c r="F3664" t="s">
        <v>13</v>
      </c>
      <c r="G3664" t="s">
        <v>9</v>
      </c>
    </row>
    <row r="3665" spans="1:7" x14ac:dyDescent="0.35">
      <c r="A3665">
        <v>1449</v>
      </c>
      <c r="B3665" s="1">
        <v>45562</v>
      </c>
      <c r="C3665" t="s">
        <v>25</v>
      </c>
      <c r="D3665" s="2">
        <v>952.02</v>
      </c>
      <c r="E3665" s="2">
        <v>0</v>
      </c>
      <c r="F3665" t="s">
        <v>26</v>
      </c>
      <c r="G3665" t="s">
        <v>20</v>
      </c>
    </row>
    <row r="3666" spans="1:7" x14ac:dyDescent="0.35">
      <c r="A3666">
        <v>1449</v>
      </c>
      <c r="B3666" s="1">
        <v>45562</v>
      </c>
      <c r="C3666" t="s">
        <v>25</v>
      </c>
      <c r="D3666" s="2">
        <v>71.400000000000006</v>
      </c>
      <c r="E3666" s="2">
        <v>0</v>
      </c>
      <c r="F3666" t="s">
        <v>27</v>
      </c>
      <c r="G3666" t="s">
        <v>9</v>
      </c>
    </row>
    <row r="3667" spans="1:7" x14ac:dyDescent="0.35">
      <c r="A3667">
        <v>1449</v>
      </c>
      <c r="B3667" s="1">
        <v>45562</v>
      </c>
      <c r="C3667" t="s">
        <v>25</v>
      </c>
      <c r="D3667" s="2">
        <v>0</v>
      </c>
      <c r="E3667" s="2">
        <v>1023.42</v>
      </c>
      <c r="F3667" t="s">
        <v>28</v>
      </c>
      <c r="G3667" t="s">
        <v>17</v>
      </c>
    </row>
    <row r="3668" spans="1:7" x14ac:dyDescent="0.35">
      <c r="A3668">
        <v>1450</v>
      </c>
      <c r="B3668" s="1">
        <v>45562</v>
      </c>
      <c r="C3668" t="s">
        <v>29</v>
      </c>
      <c r="D3668" s="2">
        <v>4812.46</v>
      </c>
      <c r="E3668" s="2">
        <v>0</v>
      </c>
      <c r="F3668" t="s">
        <v>28</v>
      </c>
      <c r="G3668" t="s">
        <v>17</v>
      </c>
    </row>
    <row r="3669" spans="1:7" x14ac:dyDescent="0.35">
      <c r="A3669">
        <v>1450</v>
      </c>
      <c r="B3669" s="1">
        <v>45562</v>
      </c>
      <c r="C3669" t="s">
        <v>29</v>
      </c>
      <c r="D3669" s="2">
        <v>0</v>
      </c>
      <c r="E3669" s="2">
        <v>4812.46</v>
      </c>
      <c r="F3669" t="s">
        <v>8</v>
      </c>
      <c r="G3669" t="s">
        <v>9</v>
      </c>
    </row>
    <row r="3670" spans="1:7" x14ac:dyDescent="0.35">
      <c r="A3670">
        <v>1451</v>
      </c>
      <c r="B3670" s="1">
        <v>45565</v>
      </c>
      <c r="C3670" t="s">
        <v>12</v>
      </c>
      <c r="D3670" s="2">
        <v>1228.3399999999999</v>
      </c>
      <c r="E3670" s="2">
        <v>0</v>
      </c>
      <c r="F3670" t="s">
        <v>13</v>
      </c>
      <c r="G3670" t="s">
        <v>9</v>
      </c>
    </row>
    <row r="3671" spans="1:7" x14ac:dyDescent="0.35">
      <c r="A3671">
        <v>1451</v>
      </c>
      <c r="B3671" s="1">
        <v>45565</v>
      </c>
      <c r="C3671" t="s">
        <v>12</v>
      </c>
      <c r="D3671" s="2">
        <v>0</v>
      </c>
      <c r="E3671" s="2">
        <v>1142.6300000000001</v>
      </c>
      <c r="F3671" t="s">
        <v>14</v>
      </c>
      <c r="G3671" t="s">
        <v>15</v>
      </c>
    </row>
    <row r="3672" spans="1:7" x14ac:dyDescent="0.35">
      <c r="A3672">
        <v>1451</v>
      </c>
      <c r="B3672" s="1">
        <v>45565</v>
      </c>
      <c r="C3672" t="s">
        <v>12</v>
      </c>
      <c r="D3672" s="2">
        <v>0</v>
      </c>
      <c r="E3672" s="2">
        <v>85.71</v>
      </c>
      <c r="F3672" t="s">
        <v>16</v>
      </c>
      <c r="G3672" t="s">
        <v>17</v>
      </c>
    </row>
    <row r="3673" spans="1:7" x14ac:dyDescent="0.35">
      <c r="A3673">
        <v>1452</v>
      </c>
      <c r="B3673" s="1">
        <v>45565</v>
      </c>
      <c r="C3673" t="s">
        <v>12</v>
      </c>
      <c r="D3673" s="2">
        <v>4489.41</v>
      </c>
      <c r="E3673" s="2">
        <v>0</v>
      </c>
      <c r="F3673" t="s">
        <v>13</v>
      </c>
      <c r="G3673" t="s">
        <v>9</v>
      </c>
    </row>
    <row r="3674" spans="1:7" x14ac:dyDescent="0.35">
      <c r="A3674">
        <v>1452</v>
      </c>
      <c r="B3674" s="1">
        <v>45565</v>
      </c>
      <c r="C3674" t="s">
        <v>12</v>
      </c>
      <c r="D3674" s="2">
        <v>0</v>
      </c>
      <c r="E3674" s="2">
        <v>4176.2</v>
      </c>
      <c r="F3674" t="s">
        <v>14</v>
      </c>
      <c r="G3674" t="s">
        <v>15</v>
      </c>
    </row>
    <row r="3675" spans="1:7" x14ac:dyDescent="0.35">
      <c r="A3675">
        <v>1452</v>
      </c>
      <c r="B3675" s="1">
        <v>45565</v>
      </c>
      <c r="C3675" t="s">
        <v>12</v>
      </c>
      <c r="D3675" s="2">
        <v>0</v>
      </c>
      <c r="E3675" s="2">
        <v>313.20999999999998</v>
      </c>
      <c r="F3675" t="s">
        <v>16</v>
      </c>
      <c r="G3675" t="s">
        <v>17</v>
      </c>
    </row>
    <row r="3676" spans="1:7" x14ac:dyDescent="0.35">
      <c r="A3676">
        <v>1453</v>
      </c>
      <c r="B3676" s="1">
        <v>45565</v>
      </c>
      <c r="C3676" t="s">
        <v>12</v>
      </c>
      <c r="D3676" s="2">
        <v>126.26</v>
      </c>
      <c r="E3676" s="2">
        <v>0</v>
      </c>
      <c r="F3676" t="s">
        <v>13</v>
      </c>
      <c r="G3676" t="s">
        <v>9</v>
      </c>
    </row>
    <row r="3677" spans="1:7" x14ac:dyDescent="0.35">
      <c r="A3677">
        <v>1453</v>
      </c>
      <c r="B3677" s="1">
        <v>45565</v>
      </c>
      <c r="C3677" t="s">
        <v>12</v>
      </c>
      <c r="D3677" s="2">
        <v>0</v>
      </c>
      <c r="E3677" s="2">
        <v>117.45</v>
      </c>
      <c r="F3677" t="s">
        <v>14</v>
      </c>
      <c r="G3677" t="s">
        <v>15</v>
      </c>
    </row>
    <row r="3678" spans="1:7" x14ac:dyDescent="0.35">
      <c r="A3678">
        <v>1453</v>
      </c>
      <c r="B3678" s="1">
        <v>45565</v>
      </c>
      <c r="C3678" t="s">
        <v>12</v>
      </c>
      <c r="D3678" s="2">
        <v>0</v>
      </c>
      <c r="E3678" s="2">
        <v>8.81</v>
      </c>
      <c r="F3678" t="s">
        <v>16</v>
      </c>
      <c r="G3678" t="s">
        <v>17</v>
      </c>
    </row>
    <row r="3679" spans="1:7" x14ac:dyDescent="0.35">
      <c r="A3679">
        <v>1454</v>
      </c>
      <c r="B3679" s="1">
        <v>45565</v>
      </c>
      <c r="C3679" t="s">
        <v>12</v>
      </c>
      <c r="D3679" s="2">
        <v>5113.82</v>
      </c>
      <c r="E3679" s="2">
        <v>0</v>
      </c>
      <c r="F3679" t="s">
        <v>13</v>
      </c>
      <c r="G3679" t="s">
        <v>9</v>
      </c>
    </row>
    <row r="3680" spans="1:7" x14ac:dyDescent="0.35">
      <c r="A3680">
        <v>1454</v>
      </c>
      <c r="B3680" s="1">
        <v>45565</v>
      </c>
      <c r="C3680" t="s">
        <v>12</v>
      </c>
      <c r="D3680" s="2">
        <v>0</v>
      </c>
      <c r="E3680" s="2">
        <v>4757.05</v>
      </c>
      <c r="F3680" t="s">
        <v>14</v>
      </c>
      <c r="G3680" t="s">
        <v>15</v>
      </c>
    </row>
    <row r="3681" spans="1:7" x14ac:dyDescent="0.35">
      <c r="A3681">
        <v>1454</v>
      </c>
      <c r="B3681" s="1">
        <v>45565</v>
      </c>
      <c r="C3681" t="s">
        <v>12</v>
      </c>
      <c r="D3681" s="2">
        <v>0</v>
      </c>
      <c r="E3681" s="2">
        <v>356.77</v>
      </c>
      <c r="F3681" t="s">
        <v>16</v>
      </c>
      <c r="G3681" t="s">
        <v>17</v>
      </c>
    </row>
    <row r="3682" spans="1:7" x14ac:dyDescent="0.35">
      <c r="A3682">
        <v>1455</v>
      </c>
      <c r="B3682" s="1">
        <v>45565</v>
      </c>
      <c r="C3682" t="s">
        <v>12</v>
      </c>
      <c r="D3682" s="2">
        <v>2336.64</v>
      </c>
      <c r="E3682" s="2">
        <v>0</v>
      </c>
      <c r="F3682" t="s">
        <v>13</v>
      </c>
      <c r="G3682" t="s">
        <v>9</v>
      </c>
    </row>
    <row r="3683" spans="1:7" x14ac:dyDescent="0.35">
      <c r="A3683">
        <v>1455</v>
      </c>
      <c r="B3683" s="1">
        <v>45565</v>
      </c>
      <c r="C3683" t="s">
        <v>12</v>
      </c>
      <c r="D3683" s="2">
        <v>0</v>
      </c>
      <c r="E3683" s="2">
        <v>2173.62</v>
      </c>
      <c r="F3683" t="s">
        <v>14</v>
      </c>
      <c r="G3683" t="s">
        <v>15</v>
      </c>
    </row>
    <row r="3684" spans="1:7" x14ac:dyDescent="0.35">
      <c r="A3684">
        <v>1455</v>
      </c>
      <c r="B3684" s="1">
        <v>45565</v>
      </c>
      <c r="C3684" t="s">
        <v>12</v>
      </c>
      <c r="D3684" s="2">
        <v>0</v>
      </c>
      <c r="E3684" s="2">
        <v>163.02000000000001</v>
      </c>
      <c r="F3684" t="s">
        <v>16</v>
      </c>
      <c r="G3684" t="s">
        <v>17</v>
      </c>
    </row>
    <row r="3685" spans="1:7" x14ac:dyDescent="0.35">
      <c r="A3685">
        <v>1456</v>
      </c>
      <c r="B3685" s="1">
        <v>45565</v>
      </c>
      <c r="C3685" t="s">
        <v>24</v>
      </c>
      <c r="D3685" s="2">
        <v>1775.69</v>
      </c>
      <c r="E3685" s="2">
        <v>0</v>
      </c>
      <c r="F3685" t="s">
        <v>8</v>
      </c>
      <c r="G3685" t="s">
        <v>9</v>
      </c>
    </row>
    <row r="3686" spans="1:7" x14ac:dyDescent="0.35">
      <c r="A3686">
        <v>1456</v>
      </c>
      <c r="B3686" s="1">
        <v>45565</v>
      </c>
      <c r="C3686" t="s">
        <v>24</v>
      </c>
      <c r="D3686" s="2">
        <v>0</v>
      </c>
      <c r="E3686" s="2">
        <v>1775.69</v>
      </c>
      <c r="F3686" t="s">
        <v>13</v>
      </c>
      <c r="G3686" t="s">
        <v>9</v>
      </c>
    </row>
    <row r="3687" spans="1:7" x14ac:dyDescent="0.35">
      <c r="A3687">
        <v>1457</v>
      </c>
      <c r="B3687" s="1">
        <v>45565</v>
      </c>
      <c r="C3687" t="s">
        <v>24</v>
      </c>
      <c r="D3687" s="2">
        <v>4984.21</v>
      </c>
      <c r="E3687" s="2">
        <v>0</v>
      </c>
      <c r="F3687" t="s">
        <v>8</v>
      </c>
      <c r="G3687" t="s">
        <v>9</v>
      </c>
    </row>
    <row r="3688" spans="1:7" x14ac:dyDescent="0.35">
      <c r="A3688">
        <v>1457</v>
      </c>
      <c r="B3688" s="1">
        <v>45565</v>
      </c>
      <c r="C3688" t="s">
        <v>24</v>
      </c>
      <c r="D3688" s="2">
        <v>0</v>
      </c>
      <c r="E3688" s="2">
        <v>4984.21</v>
      </c>
      <c r="F3688" t="s">
        <v>13</v>
      </c>
      <c r="G3688" t="s">
        <v>9</v>
      </c>
    </row>
    <row r="3689" spans="1:7" x14ac:dyDescent="0.35">
      <c r="A3689">
        <v>1458</v>
      </c>
      <c r="B3689" s="1">
        <v>45565</v>
      </c>
      <c r="C3689" t="s">
        <v>24</v>
      </c>
      <c r="D3689" s="2">
        <v>988.51</v>
      </c>
      <c r="E3689" s="2">
        <v>0</v>
      </c>
      <c r="F3689" t="s">
        <v>8</v>
      </c>
      <c r="G3689" t="s">
        <v>9</v>
      </c>
    </row>
    <row r="3690" spans="1:7" x14ac:dyDescent="0.35">
      <c r="A3690">
        <v>1458</v>
      </c>
      <c r="B3690" s="1">
        <v>45565</v>
      </c>
      <c r="C3690" t="s">
        <v>24</v>
      </c>
      <c r="D3690" s="2">
        <v>0</v>
      </c>
      <c r="E3690" s="2">
        <v>988.51</v>
      </c>
      <c r="F3690" t="s">
        <v>13</v>
      </c>
      <c r="G3690" t="s">
        <v>9</v>
      </c>
    </row>
    <row r="3691" spans="1:7" x14ac:dyDescent="0.35">
      <c r="A3691">
        <v>1459</v>
      </c>
      <c r="B3691" s="1">
        <v>45565</v>
      </c>
      <c r="C3691" t="s">
        <v>25</v>
      </c>
      <c r="D3691" s="2">
        <v>1643.22</v>
      </c>
      <c r="E3691" s="2">
        <v>0</v>
      </c>
      <c r="F3691" t="s">
        <v>26</v>
      </c>
      <c r="G3691" t="s">
        <v>20</v>
      </c>
    </row>
    <row r="3692" spans="1:7" x14ac:dyDescent="0.35">
      <c r="A3692">
        <v>1459</v>
      </c>
      <c r="B3692" s="1">
        <v>45565</v>
      </c>
      <c r="C3692" t="s">
        <v>25</v>
      </c>
      <c r="D3692" s="2">
        <v>123.24</v>
      </c>
      <c r="E3692" s="2">
        <v>0</v>
      </c>
      <c r="F3692" t="s">
        <v>27</v>
      </c>
      <c r="G3692" t="s">
        <v>9</v>
      </c>
    </row>
    <row r="3693" spans="1:7" x14ac:dyDescent="0.35">
      <c r="A3693">
        <v>1459</v>
      </c>
      <c r="B3693" s="1">
        <v>45565</v>
      </c>
      <c r="C3693" t="s">
        <v>25</v>
      </c>
      <c r="D3693" s="2">
        <v>0</v>
      </c>
      <c r="E3693" s="2">
        <v>1766.46</v>
      </c>
      <c r="F3693" t="s">
        <v>28</v>
      </c>
      <c r="G3693" t="s">
        <v>17</v>
      </c>
    </row>
    <row r="3694" spans="1:7" x14ac:dyDescent="0.35">
      <c r="A3694">
        <v>1460</v>
      </c>
      <c r="B3694" s="1">
        <v>45565</v>
      </c>
      <c r="C3694" t="s">
        <v>25</v>
      </c>
      <c r="D3694" s="2">
        <v>512</v>
      </c>
      <c r="E3694" s="2">
        <v>0</v>
      </c>
      <c r="F3694" t="s">
        <v>26</v>
      </c>
      <c r="G3694" t="s">
        <v>20</v>
      </c>
    </row>
    <row r="3695" spans="1:7" x14ac:dyDescent="0.35">
      <c r="A3695">
        <v>1460</v>
      </c>
      <c r="B3695" s="1">
        <v>45565</v>
      </c>
      <c r="C3695" t="s">
        <v>25</v>
      </c>
      <c r="D3695" s="2">
        <v>38.4</v>
      </c>
      <c r="E3695" s="2">
        <v>0</v>
      </c>
      <c r="F3695" t="s">
        <v>27</v>
      </c>
      <c r="G3695" t="s">
        <v>9</v>
      </c>
    </row>
    <row r="3696" spans="1:7" x14ac:dyDescent="0.35">
      <c r="A3696">
        <v>1460</v>
      </c>
      <c r="B3696" s="1">
        <v>45565</v>
      </c>
      <c r="C3696" t="s">
        <v>25</v>
      </c>
      <c r="D3696" s="2">
        <v>0</v>
      </c>
      <c r="E3696" s="2">
        <v>550.4</v>
      </c>
      <c r="F3696" t="s">
        <v>28</v>
      </c>
      <c r="G3696" t="s">
        <v>17</v>
      </c>
    </row>
    <row r="3697" spans="1:7" x14ac:dyDescent="0.35">
      <c r="A3697">
        <v>1461</v>
      </c>
      <c r="B3697" s="1">
        <v>45565</v>
      </c>
      <c r="C3697" t="s">
        <v>25</v>
      </c>
      <c r="D3697" s="2">
        <v>8685.27</v>
      </c>
      <c r="E3697" s="2">
        <v>0</v>
      </c>
      <c r="F3697" t="s">
        <v>26</v>
      </c>
      <c r="G3697" t="s">
        <v>20</v>
      </c>
    </row>
    <row r="3698" spans="1:7" x14ac:dyDescent="0.35">
      <c r="A3698">
        <v>1461</v>
      </c>
      <c r="B3698" s="1">
        <v>45565</v>
      </c>
      <c r="C3698" t="s">
        <v>25</v>
      </c>
      <c r="D3698" s="2">
        <v>651.4</v>
      </c>
      <c r="E3698" s="2">
        <v>0</v>
      </c>
      <c r="F3698" t="s">
        <v>27</v>
      </c>
      <c r="G3698" t="s">
        <v>9</v>
      </c>
    </row>
    <row r="3699" spans="1:7" x14ac:dyDescent="0.35">
      <c r="A3699">
        <v>1461</v>
      </c>
      <c r="B3699" s="1">
        <v>45565</v>
      </c>
      <c r="C3699" t="s">
        <v>25</v>
      </c>
      <c r="D3699" s="2">
        <v>0</v>
      </c>
      <c r="E3699" s="2">
        <v>9336.67</v>
      </c>
      <c r="F3699" t="s">
        <v>28</v>
      </c>
      <c r="G3699" t="s">
        <v>17</v>
      </c>
    </row>
    <row r="3700" spans="1:7" x14ac:dyDescent="0.35">
      <c r="A3700">
        <v>1462</v>
      </c>
      <c r="B3700" s="1">
        <v>45565</v>
      </c>
      <c r="C3700" t="s">
        <v>25</v>
      </c>
      <c r="D3700" s="2">
        <v>1947.24</v>
      </c>
      <c r="E3700" s="2">
        <v>0</v>
      </c>
      <c r="F3700" t="s">
        <v>26</v>
      </c>
      <c r="G3700" t="s">
        <v>20</v>
      </c>
    </row>
    <row r="3701" spans="1:7" x14ac:dyDescent="0.35">
      <c r="A3701">
        <v>1462</v>
      </c>
      <c r="B3701" s="1">
        <v>45565</v>
      </c>
      <c r="C3701" t="s">
        <v>25</v>
      </c>
      <c r="D3701" s="2">
        <v>146.04</v>
      </c>
      <c r="E3701" s="2">
        <v>0</v>
      </c>
      <c r="F3701" t="s">
        <v>27</v>
      </c>
      <c r="G3701" t="s">
        <v>9</v>
      </c>
    </row>
    <row r="3702" spans="1:7" x14ac:dyDescent="0.35">
      <c r="A3702">
        <v>1462</v>
      </c>
      <c r="B3702" s="1">
        <v>45565</v>
      </c>
      <c r="C3702" t="s">
        <v>25</v>
      </c>
      <c r="D3702" s="2">
        <v>0</v>
      </c>
      <c r="E3702" s="2">
        <v>2093.2800000000002</v>
      </c>
      <c r="F3702" t="s">
        <v>28</v>
      </c>
      <c r="G3702" t="s">
        <v>17</v>
      </c>
    </row>
    <row r="3703" spans="1:7" x14ac:dyDescent="0.35">
      <c r="A3703">
        <v>1463</v>
      </c>
      <c r="B3703" s="1">
        <v>45565</v>
      </c>
      <c r="C3703" t="s">
        <v>30</v>
      </c>
      <c r="D3703" s="2">
        <v>93.61</v>
      </c>
      <c r="E3703" s="2">
        <v>0</v>
      </c>
      <c r="F3703" t="s">
        <v>31</v>
      </c>
      <c r="G3703" t="s">
        <v>20</v>
      </c>
    </row>
    <row r="3704" spans="1:7" x14ac:dyDescent="0.35">
      <c r="A3704">
        <v>1463</v>
      </c>
      <c r="B3704" s="1">
        <v>45565</v>
      </c>
      <c r="C3704" t="s">
        <v>30</v>
      </c>
      <c r="D3704" s="2">
        <v>0</v>
      </c>
      <c r="E3704" s="2">
        <v>93.61</v>
      </c>
      <c r="F3704" t="s">
        <v>32</v>
      </c>
      <c r="G3704" t="s">
        <v>9</v>
      </c>
    </row>
    <row r="3705" spans="1:7" x14ac:dyDescent="0.35">
      <c r="A3705">
        <v>1464</v>
      </c>
      <c r="B3705" s="1">
        <v>45565</v>
      </c>
      <c r="C3705" t="s">
        <v>33</v>
      </c>
      <c r="D3705" s="2">
        <v>76.86</v>
      </c>
      <c r="E3705" s="2">
        <v>0</v>
      </c>
      <c r="F3705" t="s">
        <v>31</v>
      </c>
      <c r="G3705" t="s">
        <v>20</v>
      </c>
    </row>
    <row r="3706" spans="1:7" x14ac:dyDescent="0.35">
      <c r="A3706">
        <v>1464</v>
      </c>
      <c r="B3706" s="1">
        <v>45565</v>
      </c>
      <c r="C3706" t="s">
        <v>33</v>
      </c>
      <c r="D3706" s="2">
        <v>0</v>
      </c>
      <c r="E3706" s="2">
        <v>76.86</v>
      </c>
      <c r="F3706" t="s">
        <v>32</v>
      </c>
      <c r="G3706" t="s">
        <v>9</v>
      </c>
    </row>
    <row r="3707" spans="1:7" x14ac:dyDescent="0.35">
      <c r="A3707">
        <v>1465</v>
      </c>
      <c r="B3707" s="1">
        <v>45565</v>
      </c>
      <c r="C3707" t="s">
        <v>34</v>
      </c>
      <c r="D3707" s="2">
        <v>20.03</v>
      </c>
      <c r="E3707" s="2">
        <v>0</v>
      </c>
      <c r="F3707" t="s">
        <v>31</v>
      </c>
      <c r="G3707" t="s">
        <v>20</v>
      </c>
    </row>
    <row r="3708" spans="1:7" x14ac:dyDescent="0.35">
      <c r="A3708">
        <v>1465</v>
      </c>
      <c r="B3708" s="1">
        <v>45565</v>
      </c>
      <c r="C3708" t="s">
        <v>34</v>
      </c>
      <c r="D3708" s="2">
        <v>0</v>
      </c>
      <c r="E3708" s="2">
        <v>20.03</v>
      </c>
      <c r="F3708" t="s">
        <v>32</v>
      </c>
      <c r="G3708" t="s">
        <v>9</v>
      </c>
    </row>
    <row r="3709" spans="1:7" x14ac:dyDescent="0.35">
      <c r="A3709">
        <v>1466</v>
      </c>
      <c r="B3709" s="1">
        <v>45565</v>
      </c>
      <c r="C3709" t="s">
        <v>35</v>
      </c>
      <c r="D3709" s="2">
        <v>86.89</v>
      </c>
      <c r="E3709" s="2">
        <v>0</v>
      </c>
      <c r="F3709" t="s">
        <v>31</v>
      </c>
      <c r="G3709" t="s">
        <v>20</v>
      </c>
    </row>
    <row r="3710" spans="1:7" x14ac:dyDescent="0.35">
      <c r="A3710">
        <v>1466</v>
      </c>
      <c r="B3710" s="1">
        <v>45565</v>
      </c>
      <c r="C3710" t="s">
        <v>35</v>
      </c>
      <c r="D3710" s="2">
        <v>0</v>
      </c>
      <c r="E3710" s="2">
        <v>86.89</v>
      </c>
      <c r="F3710" t="s">
        <v>36</v>
      </c>
      <c r="G3710" t="s">
        <v>9</v>
      </c>
    </row>
    <row r="3711" spans="1:7" x14ac:dyDescent="0.35">
      <c r="A3711">
        <v>1467</v>
      </c>
      <c r="B3711" s="1">
        <v>45565</v>
      </c>
      <c r="C3711" t="s">
        <v>37</v>
      </c>
      <c r="D3711" s="2">
        <v>76.8</v>
      </c>
      <c r="E3711" s="2">
        <v>0</v>
      </c>
      <c r="F3711" t="s">
        <v>31</v>
      </c>
      <c r="G3711" t="s">
        <v>20</v>
      </c>
    </row>
    <row r="3712" spans="1:7" x14ac:dyDescent="0.35">
      <c r="A3712">
        <v>1467</v>
      </c>
      <c r="B3712" s="1">
        <v>45565</v>
      </c>
      <c r="C3712" t="s">
        <v>37</v>
      </c>
      <c r="D3712" s="2">
        <v>0</v>
      </c>
      <c r="E3712" s="2">
        <v>76.8</v>
      </c>
      <c r="F3712" t="s">
        <v>36</v>
      </c>
      <c r="G3712" t="s">
        <v>9</v>
      </c>
    </row>
    <row r="3713" spans="1:7" x14ac:dyDescent="0.35">
      <c r="A3713">
        <v>1468</v>
      </c>
      <c r="B3713" s="1">
        <v>45565</v>
      </c>
      <c r="C3713" t="s">
        <v>38</v>
      </c>
      <c r="D3713" s="2">
        <v>48.28</v>
      </c>
      <c r="E3713" s="2">
        <v>0</v>
      </c>
      <c r="F3713" t="s">
        <v>31</v>
      </c>
      <c r="G3713" t="s">
        <v>20</v>
      </c>
    </row>
    <row r="3714" spans="1:7" x14ac:dyDescent="0.35">
      <c r="A3714">
        <v>1468</v>
      </c>
      <c r="B3714" s="1">
        <v>45565</v>
      </c>
      <c r="C3714" t="s">
        <v>38</v>
      </c>
      <c r="D3714" s="2">
        <v>0</v>
      </c>
      <c r="E3714" s="2">
        <v>48.28</v>
      </c>
      <c r="F3714" t="s">
        <v>36</v>
      </c>
      <c r="G3714" t="s">
        <v>9</v>
      </c>
    </row>
    <row r="3715" spans="1:7" x14ac:dyDescent="0.35">
      <c r="A3715">
        <v>1469</v>
      </c>
      <c r="B3715" s="1">
        <v>45565</v>
      </c>
      <c r="C3715" t="s">
        <v>39</v>
      </c>
      <c r="D3715" s="2">
        <v>53.21</v>
      </c>
      <c r="E3715" s="2">
        <v>0</v>
      </c>
      <c r="F3715" t="s">
        <v>31</v>
      </c>
      <c r="G3715" t="s">
        <v>20</v>
      </c>
    </row>
    <row r="3716" spans="1:7" x14ac:dyDescent="0.35">
      <c r="A3716">
        <v>1469</v>
      </c>
      <c r="B3716" s="1">
        <v>45565</v>
      </c>
      <c r="C3716" t="s">
        <v>39</v>
      </c>
      <c r="D3716" s="2">
        <v>0</v>
      </c>
      <c r="E3716" s="2">
        <v>53.21</v>
      </c>
      <c r="F3716" t="s">
        <v>36</v>
      </c>
      <c r="G3716" t="s">
        <v>9</v>
      </c>
    </row>
    <row r="3717" spans="1:7" x14ac:dyDescent="0.35">
      <c r="A3717">
        <v>1470</v>
      </c>
      <c r="B3717" s="1">
        <v>45565</v>
      </c>
      <c r="C3717" t="s">
        <v>40</v>
      </c>
      <c r="D3717" s="2">
        <v>232.19</v>
      </c>
      <c r="E3717" s="2">
        <v>0</v>
      </c>
      <c r="F3717" t="s">
        <v>31</v>
      </c>
      <c r="G3717" t="s">
        <v>20</v>
      </c>
    </row>
    <row r="3718" spans="1:7" x14ac:dyDescent="0.35">
      <c r="A3718">
        <v>1470</v>
      </c>
      <c r="B3718" s="1">
        <v>45565</v>
      </c>
      <c r="C3718" t="s">
        <v>40</v>
      </c>
      <c r="D3718" s="2">
        <v>0</v>
      </c>
      <c r="E3718" s="2">
        <v>232.19</v>
      </c>
      <c r="F3718" t="s">
        <v>41</v>
      </c>
      <c r="G3718" t="s">
        <v>9</v>
      </c>
    </row>
    <row r="3719" spans="1:7" x14ac:dyDescent="0.35">
      <c r="A3719">
        <v>1471</v>
      </c>
      <c r="B3719" s="1">
        <v>45565</v>
      </c>
      <c r="C3719" t="s">
        <v>42</v>
      </c>
      <c r="D3719" s="2">
        <v>43.85</v>
      </c>
      <c r="E3719" s="2">
        <v>0</v>
      </c>
      <c r="F3719" t="s">
        <v>31</v>
      </c>
      <c r="G3719" t="s">
        <v>20</v>
      </c>
    </row>
    <row r="3720" spans="1:7" x14ac:dyDescent="0.35">
      <c r="A3720">
        <v>1471</v>
      </c>
      <c r="B3720" s="1">
        <v>45565</v>
      </c>
      <c r="C3720" t="s">
        <v>42</v>
      </c>
      <c r="D3720" s="2">
        <v>0</v>
      </c>
      <c r="E3720" s="2">
        <v>43.85</v>
      </c>
      <c r="F3720" t="s">
        <v>32</v>
      </c>
      <c r="G3720" t="s">
        <v>9</v>
      </c>
    </row>
    <row r="3721" spans="1:7" x14ac:dyDescent="0.35">
      <c r="A3721">
        <v>1472</v>
      </c>
      <c r="B3721" s="1">
        <v>45566</v>
      </c>
      <c r="C3721" t="s">
        <v>12</v>
      </c>
      <c r="D3721" s="2">
        <v>494.77</v>
      </c>
      <c r="E3721" s="2">
        <v>0</v>
      </c>
      <c r="F3721" t="s">
        <v>13</v>
      </c>
      <c r="G3721" t="s">
        <v>9</v>
      </c>
    </row>
    <row r="3722" spans="1:7" x14ac:dyDescent="0.35">
      <c r="A3722">
        <v>1472</v>
      </c>
      <c r="B3722" s="1">
        <v>45566</v>
      </c>
      <c r="C3722" t="s">
        <v>12</v>
      </c>
      <c r="D3722" s="2">
        <v>0</v>
      </c>
      <c r="E3722" s="2">
        <v>460.25</v>
      </c>
      <c r="F3722" t="s">
        <v>14</v>
      </c>
      <c r="G3722" t="s">
        <v>15</v>
      </c>
    </row>
    <row r="3723" spans="1:7" x14ac:dyDescent="0.35">
      <c r="A3723">
        <v>1472</v>
      </c>
      <c r="B3723" s="1">
        <v>45566</v>
      </c>
      <c r="C3723" t="s">
        <v>12</v>
      </c>
      <c r="D3723" s="2">
        <v>0</v>
      </c>
      <c r="E3723" s="2">
        <v>34.520000000000003</v>
      </c>
      <c r="F3723" t="s">
        <v>16</v>
      </c>
      <c r="G3723" t="s">
        <v>17</v>
      </c>
    </row>
    <row r="3724" spans="1:7" x14ac:dyDescent="0.35">
      <c r="A3724">
        <v>1473</v>
      </c>
      <c r="B3724" s="1">
        <v>45566</v>
      </c>
      <c r="C3724" t="s">
        <v>12</v>
      </c>
      <c r="D3724" s="2">
        <v>1904.03</v>
      </c>
      <c r="E3724" s="2">
        <v>0</v>
      </c>
      <c r="F3724" t="s">
        <v>13</v>
      </c>
      <c r="G3724" t="s">
        <v>9</v>
      </c>
    </row>
    <row r="3725" spans="1:7" x14ac:dyDescent="0.35">
      <c r="A3725">
        <v>1473</v>
      </c>
      <c r="B3725" s="1">
        <v>45566</v>
      </c>
      <c r="C3725" t="s">
        <v>12</v>
      </c>
      <c r="D3725" s="2">
        <v>0</v>
      </c>
      <c r="E3725" s="2">
        <v>1771.19</v>
      </c>
      <c r="F3725" t="s">
        <v>14</v>
      </c>
      <c r="G3725" t="s">
        <v>15</v>
      </c>
    </row>
    <row r="3726" spans="1:7" x14ac:dyDescent="0.35">
      <c r="A3726">
        <v>1473</v>
      </c>
      <c r="B3726" s="1">
        <v>45566</v>
      </c>
      <c r="C3726" t="s">
        <v>12</v>
      </c>
      <c r="D3726" s="2">
        <v>0</v>
      </c>
      <c r="E3726" s="2">
        <v>132.84</v>
      </c>
      <c r="F3726" t="s">
        <v>16</v>
      </c>
      <c r="G3726" t="s">
        <v>17</v>
      </c>
    </row>
    <row r="3727" spans="1:7" x14ac:dyDescent="0.35">
      <c r="A3727">
        <v>1474</v>
      </c>
      <c r="B3727" s="1">
        <v>45566</v>
      </c>
      <c r="C3727" t="s">
        <v>24</v>
      </c>
      <c r="D3727" s="2">
        <v>2032.03</v>
      </c>
      <c r="E3727" s="2">
        <v>0</v>
      </c>
      <c r="F3727" t="s">
        <v>8</v>
      </c>
      <c r="G3727" t="s">
        <v>9</v>
      </c>
    </row>
    <row r="3728" spans="1:7" x14ac:dyDescent="0.35">
      <c r="A3728">
        <v>1474</v>
      </c>
      <c r="B3728" s="1">
        <v>45566</v>
      </c>
      <c r="C3728" t="s">
        <v>24</v>
      </c>
      <c r="D3728" s="2">
        <v>0</v>
      </c>
      <c r="E3728" s="2">
        <v>2032.03</v>
      </c>
      <c r="F3728" t="s">
        <v>13</v>
      </c>
      <c r="G3728" t="s">
        <v>9</v>
      </c>
    </row>
    <row r="3729" spans="1:7" x14ac:dyDescent="0.35">
      <c r="A3729">
        <v>1475</v>
      </c>
      <c r="B3729" s="1">
        <v>45566</v>
      </c>
      <c r="C3729" t="s">
        <v>25</v>
      </c>
      <c r="D3729" s="2">
        <v>2714.58</v>
      </c>
      <c r="E3729" s="2">
        <v>0</v>
      </c>
      <c r="F3729" t="s">
        <v>26</v>
      </c>
      <c r="G3729" t="s">
        <v>20</v>
      </c>
    </row>
    <row r="3730" spans="1:7" x14ac:dyDescent="0.35">
      <c r="A3730">
        <v>1475</v>
      </c>
      <c r="B3730" s="1">
        <v>45566</v>
      </c>
      <c r="C3730" t="s">
        <v>25</v>
      </c>
      <c r="D3730" s="2">
        <v>203.59</v>
      </c>
      <c r="E3730" s="2">
        <v>0</v>
      </c>
      <c r="F3730" t="s">
        <v>27</v>
      </c>
      <c r="G3730" t="s">
        <v>9</v>
      </c>
    </row>
    <row r="3731" spans="1:7" x14ac:dyDescent="0.35">
      <c r="A3731">
        <v>1475</v>
      </c>
      <c r="B3731" s="1">
        <v>45566</v>
      </c>
      <c r="C3731" t="s">
        <v>25</v>
      </c>
      <c r="D3731" s="2">
        <v>0</v>
      </c>
      <c r="E3731" s="2">
        <v>2918.17</v>
      </c>
      <c r="F3731" t="s">
        <v>28</v>
      </c>
      <c r="G3731" t="s">
        <v>17</v>
      </c>
    </row>
    <row r="3732" spans="1:7" x14ac:dyDescent="0.35">
      <c r="A3732">
        <v>1476</v>
      </c>
      <c r="B3732" s="1">
        <v>45566</v>
      </c>
      <c r="C3732" t="s">
        <v>29</v>
      </c>
      <c r="D3732" s="2">
        <v>1935.04</v>
      </c>
      <c r="E3732" s="2">
        <v>0</v>
      </c>
      <c r="F3732" t="s">
        <v>28</v>
      </c>
      <c r="G3732" t="s">
        <v>17</v>
      </c>
    </row>
    <row r="3733" spans="1:7" x14ac:dyDescent="0.35">
      <c r="A3733">
        <v>1476</v>
      </c>
      <c r="B3733" s="1">
        <v>45566</v>
      </c>
      <c r="C3733" t="s">
        <v>29</v>
      </c>
      <c r="D3733" s="2">
        <v>0</v>
      </c>
      <c r="E3733" s="2">
        <v>1935.04</v>
      </c>
      <c r="F3733" t="s">
        <v>8</v>
      </c>
      <c r="G3733" t="s">
        <v>9</v>
      </c>
    </row>
    <row r="3734" spans="1:7" x14ac:dyDescent="0.35">
      <c r="A3734">
        <v>1477</v>
      </c>
      <c r="B3734" s="1">
        <v>45566</v>
      </c>
      <c r="C3734" t="s">
        <v>29</v>
      </c>
      <c r="D3734" s="2">
        <v>2918.17</v>
      </c>
      <c r="E3734" s="2">
        <v>0</v>
      </c>
      <c r="F3734" t="s">
        <v>28</v>
      </c>
      <c r="G3734" t="s">
        <v>17</v>
      </c>
    </row>
    <row r="3735" spans="1:7" x14ac:dyDescent="0.35">
      <c r="A3735">
        <v>1477</v>
      </c>
      <c r="B3735" s="1">
        <v>45566</v>
      </c>
      <c r="C3735" t="s">
        <v>29</v>
      </c>
      <c r="D3735" s="2">
        <v>0</v>
      </c>
      <c r="E3735" s="2">
        <v>2918.17</v>
      </c>
      <c r="F3735" t="s">
        <v>8</v>
      </c>
      <c r="G3735" t="s">
        <v>9</v>
      </c>
    </row>
    <row r="3736" spans="1:7" x14ac:dyDescent="0.35">
      <c r="A3736">
        <v>1478</v>
      </c>
      <c r="B3736" s="1">
        <v>45567</v>
      </c>
      <c r="C3736" t="s">
        <v>12</v>
      </c>
      <c r="D3736" s="2">
        <v>1554.68</v>
      </c>
      <c r="E3736" s="2">
        <v>0</v>
      </c>
      <c r="F3736" t="s">
        <v>13</v>
      </c>
      <c r="G3736" t="s">
        <v>9</v>
      </c>
    </row>
    <row r="3737" spans="1:7" x14ac:dyDescent="0.35">
      <c r="A3737">
        <v>1478</v>
      </c>
      <c r="B3737" s="1">
        <v>45567</v>
      </c>
      <c r="C3737" t="s">
        <v>12</v>
      </c>
      <c r="D3737" s="2">
        <v>0</v>
      </c>
      <c r="E3737" s="2">
        <v>1446.21</v>
      </c>
      <c r="F3737" t="s">
        <v>14</v>
      </c>
      <c r="G3737" t="s">
        <v>15</v>
      </c>
    </row>
    <row r="3738" spans="1:7" x14ac:dyDescent="0.35">
      <c r="A3738">
        <v>1478</v>
      </c>
      <c r="B3738" s="1">
        <v>45567</v>
      </c>
      <c r="C3738" t="s">
        <v>12</v>
      </c>
      <c r="D3738" s="2">
        <v>0</v>
      </c>
      <c r="E3738" s="2">
        <v>108.47</v>
      </c>
      <c r="F3738" t="s">
        <v>16</v>
      </c>
      <c r="G3738" t="s">
        <v>17</v>
      </c>
    </row>
    <row r="3739" spans="1:7" x14ac:dyDescent="0.35">
      <c r="A3739">
        <v>1479</v>
      </c>
      <c r="B3739" s="1">
        <v>45567</v>
      </c>
      <c r="C3739" t="s">
        <v>12</v>
      </c>
      <c r="D3739" s="2">
        <v>4415.62</v>
      </c>
      <c r="E3739" s="2">
        <v>0</v>
      </c>
      <c r="F3739" t="s">
        <v>13</v>
      </c>
      <c r="G3739" t="s">
        <v>9</v>
      </c>
    </row>
    <row r="3740" spans="1:7" x14ac:dyDescent="0.35">
      <c r="A3740">
        <v>1479</v>
      </c>
      <c r="B3740" s="1">
        <v>45567</v>
      </c>
      <c r="C3740" t="s">
        <v>12</v>
      </c>
      <c r="D3740" s="2">
        <v>0</v>
      </c>
      <c r="E3740" s="2">
        <v>4107.5600000000004</v>
      </c>
      <c r="F3740" t="s">
        <v>14</v>
      </c>
      <c r="G3740" t="s">
        <v>15</v>
      </c>
    </row>
    <row r="3741" spans="1:7" x14ac:dyDescent="0.35">
      <c r="A3741">
        <v>1479</v>
      </c>
      <c r="B3741" s="1">
        <v>45567</v>
      </c>
      <c r="C3741" t="s">
        <v>12</v>
      </c>
      <c r="D3741" s="2">
        <v>0</v>
      </c>
      <c r="E3741" s="2">
        <v>308.06</v>
      </c>
      <c r="F3741" t="s">
        <v>16</v>
      </c>
      <c r="G3741" t="s">
        <v>17</v>
      </c>
    </row>
    <row r="3742" spans="1:7" x14ac:dyDescent="0.35">
      <c r="A3742">
        <v>1480</v>
      </c>
      <c r="B3742" s="1">
        <v>45567</v>
      </c>
      <c r="C3742" t="s">
        <v>12</v>
      </c>
      <c r="D3742" s="2">
        <v>231.28</v>
      </c>
      <c r="E3742" s="2">
        <v>0</v>
      </c>
      <c r="F3742" t="s">
        <v>13</v>
      </c>
      <c r="G3742" t="s">
        <v>9</v>
      </c>
    </row>
    <row r="3743" spans="1:7" x14ac:dyDescent="0.35">
      <c r="A3743">
        <v>1480</v>
      </c>
      <c r="B3743" s="1">
        <v>45567</v>
      </c>
      <c r="C3743" t="s">
        <v>12</v>
      </c>
      <c r="D3743" s="2">
        <v>0</v>
      </c>
      <c r="E3743" s="2">
        <v>215.15</v>
      </c>
      <c r="F3743" t="s">
        <v>14</v>
      </c>
      <c r="G3743" t="s">
        <v>15</v>
      </c>
    </row>
    <row r="3744" spans="1:7" x14ac:dyDescent="0.35">
      <c r="A3744">
        <v>1480</v>
      </c>
      <c r="B3744" s="1">
        <v>45567</v>
      </c>
      <c r="C3744" t="s">
        <v>12</v>
      </c>
      <c r="D3744" s="2">
        <v>0</v>
      </c>
      <c r="E3744" s="2">
        <v>16.13</v>
      </c>
      <c r="F3744" t="s">
        <v>16</v>
      </c>
      <c r="G3744" t="s">
        <v>17</v>
      </c>
    </row>
    <row r="3745" spans="1:7" x14ac:dyDescent="0.35">
      <c r="A3745">
        <v>1481</v>
      </c>
      <c r="B3745" s="1">
        <v>45567</v>
      </c>
      <c r="C3745" t="s">
        <v>12</v>
      </c>
      <c r="D3745" s="2">
        <v>218.11</v>
      </c>
      <c r="E3745" s="2">
        <v>0</v>
      </c>
      <c r="F3745" t="s">
        <v>13</v>
      </c>
      <c r="G3745" t="s">
        <v>9</v>
      </c>
    </row>
    <row r="3746" spans="1:7" x14ac:dyDescent="0.35">
      <c r="A3746">
        <v>1481</v>
      </c>
      <c r="B3746" s="1">
        <v>45567</v>
      </c>
      <c r="C3746" t="s">
        <v>12</v>
      </c>
      <c r="D3746" s="2">
        <v>0</v>
      </c>
      <c r="E3746" s="2">
        <v>202.89</v>
      </c>
      <c r="F3746" t="s">
        <v>14</v>
      </c>
      <c r="G3746" t="s">
        <v>15</v>
      </c>
    </row>
    <row r="3747" spans="1:7" x14ac:dyDescent="0.35">
      <c r="A3747">
        <v>1481</v>
      </c>
      <c r="B3747" s="1">
        <v>45567</v>
      </c>
      <c r="C3747" t="s">
        <v>12</v>
      </c>
      <c r="D3747" s="2">
        <v>0</v>
      </c>
      <c r="E3747" s="2">
        <v>15.22</v>
      </c>
      <c r="F3747" t="s">
        <v>16</v>
      </c>
      <c r="G3747" t="s">
        <v>17</v>
      </c>
    </row>
    <row r="3748" spans="1:7" x14ac:dyDescent="0.35">
      <c r="A3748">
        <v>1482</v>
      </c>
      <c r="B3748" s="1">
        <v>45567</v>
      </c>
      <c r="C3748" t="s">
        <v>24</v>
      </c>
      <c r="D3748" s="2">
        <v>2140.56</v>
      </c>
      <c r="E3748" s="2">
        <v>0</v>
      </c>
      <c r="F3748" t="s">
        <v>8</v>
      </c>
      <c r="G3748" t="s">
        <v>9</v>
      </c>
    </row>
    <row r="3749" spans="1:7" x14ac:dyDescent="0.35">
      <c r="A3749">
        <v>1482</v>
      </c>
      <c r="B3749" s="1">
        <v>45567</v>
      </c>
      <c r="C3749" t="s">
        <v>24</v>
      </c>
      <c r="D3749" s="2">
        <v>0</v>
      </c>
      <c r="E3749" s="2">
        <v>2140.56</v>
      </c>
      <c r="F3749" t="s">
        <v>13</v>
      </c>
      <c r="G3749" t="s">
        <v>9</v>
      </c>
    </row>
    <row r="3750" spans="1:7" x14ac:dyDescent="0.35">
      <c r="A3750">
        <v>1483</v>
      </c>
      <c r="B3750" s="1">
        <v>45567</v>
      </c>
      <c r="C3750" t="s">
        <v>24</v>
      </c>
      <c r="D3750" s="2">
        <v>2343.36</v>
      </c>
      <c r="E3750" s="2">
        <v>0</v>
      </c>
      <c r="F3750" t="s">
        <v>8</v>
      </c>
      <c r="G3750" t="s">
        <v>9</v>
      </c>
    </row>
    <row r="3751" spans="1:7" x14ac:dyDescent="0.35">
      <c r="A3751">
        <v>1483</v>
      </c>
      <c r="B3751" s="1">
        <v>45567</v>
      </c>
      <c r="C3751" t="s">
        <v>24</v>
      </c>
      <c r="D3751" s="2">
        <v>0</v>
      </c>
      <c r="E3751" s="2">
        <v>2343.36</v>
      </c>
      <c r="F3751" t="s">
        <v>13</v>
      </c>
      <c r="G3751" t="s">
        <v>9</v>
      </c>
    </row>
    <row r="3752" spans="1:7" x14ac:dyDescent="0.35">
      <c r="A3752">
        <v>1484</v>
      </c>
      <c r="B3752" s="1">
        <v>45567</v>
      </c>
      <c r="C3752" t="s">
        <v>24</v>
      </c>
      <c r="D3752" s="2">
        <v>3592.82</v>
      </c>
      <c r="E3752" s="2">
        <v>0</v>
      </c>
      <c r="F3752" t="s">
        <v>8</v>
      </c>
      <c r="G3752" t="s">
        <v>9</v>
      </c>
    </row>
    <row r="3753" spans="1:7" x14ac:dyDescent="0.35">
      <c r="A3753">
        <v>1484</v>
      </c>
      <c r="B3753" s="1">
        <v>45567</v>
      </c>
      <c r="C3753" t="s">
        <v>24</v>
      </c>
      <c r="D3753" s="2">
        <v>0</v>
      </c>
      <c r="E3753" s="2">
        <v>3592.82</v>
      </c>
      <c r="F3753" t="s">
        <v>13</v>
      </c>
      <c r="G3753" t="s">
        <v>9</v>
      </c>
    </row>
    <row r="3754" spans="1:7" x14ac:dyDescent="0.35">
      <c r="A3754">
        <v>1485</v>
      </c>
      <c r="B3754" s="1">
        <v>45568</v>
      </c>
      <c r="C3754" t="s">
        <v>12</v>
      </c>
      <c r="D3754" s="2">
        <v>2833.75</v>
      </c>
      <c r="E3754" s="2">
        <v>0</v>
      </c>
      <c r="F3754" t="s">
        <v>13</v>
      </c>
      <c r="G3754" t="s">
        <v>9</v>
      </c>
    </row>
    <row r="3755" spans="1:7" x14ac:dyDescent="0.35">
      <c r="A3755">
        <v>1485</v>
      </c>
      <c r="B3755" s="1">
        <v>45568</v>
      </c>
      <c r="C3755" t="s">
        <v>12</v>
      </c>
      <c r="D3755" s="2">
        <v>0</v>
      </c>
      <c r="E3755" s="2">
        <v>2636.04</v>
      </c>
      <c r="F3755" t="s">
        <v>14</v>
      </c>
      <c r="G3755" t="s">
        <v>15</v>
      </c>
    </row>
    <row r="3756" spans="1:7" x14ac:dyDescent="0.35">
      <c r="A3756">
        <v>1485</v>
      </c>
      <c r="B3756" s="1">
        <v>45568</v>
      </c>
      <c r="C3756" t="s">
        <v>12</v>
      </c>
      <c r="D3756" s="2">
        <v>0</v>
      </c>
      <c r="E3756" s="2">
        <v>197.71</v>
      </c>
      <c r="F3756" t="s">
        <v>16</v>
      </c>
      <c r="G3756" t="s">
        <v>17</v>
      </c>
    </row>
    <row r="3757" spans="1:7" x14ac:dyDescent="0.35">
      <c r="A3757">
        <v>1486</v>
      </c>
      <c r="B3757" s="1">
        <v>45568</v>
      </c>
      <c r="C3757" t="s">
        <v>12</v>
      </c>
      <c r="D3757" s="2">
        <v>2420.2600000000002</v>
      </c>
      <c r="E3757" s="2">
        <v>0</v>
      </c>
      <c r="F3757" t="s">
        <v>13</v>
      </c>
      <c r="G3757" t="s">
        <v>9</v>
      </c>
    </row>
    <row r="3758" spans="1:7" x14ac:dyDescent="0.35">
      <c r="A3758">
        <v>1486</v>
      </c>
      <c r="B3758" s="1">
        <v>45568</v>
      </c>
      <c r="C3758" t="s">
        <v>12</v>
      </c>
      <c r="D3758" s="2">
        <v>0</v>
      </c>
      <c r="E3758" s="2">
        <v>2251.4</v>
      </c>
      <c r="F3758" t="s">
        <v>14</v>
      </c>
      <c r="G3758" t="s">
        <v>15</v>
      </c>
    </row>
    <row r="3759" spans="1:7" x14ac:dyDescent="0.35">
      <c r="A3759">
        <v>1486</v>
      </c>
      <c r="B3759" s="1">
        <v>45568</v>
      </c>
      <c r="C3759" t="s">
        <v>12</v>
      </c>
      <c r="D3759" s="2">
        <v>0</v>
      </c>
      <c r="E3759" s="2">
        <v>168.86</v>
      </c>
      <c r="F3759" t="s">
        <v>16</v>
      </c>
      <c r="G3759" t="s">
        <v>17</v>
      </c>
    </row>
    <row r="3760" spans="1:7" x14ac:dyDescent="0.35">
      <c r="A3760">
        <v>1487</v>
      </c>
      <c r="B3760" s="1">
        <v>45568</v>
      </c>
      <c r="C3760" t="s">
        <v>12</v>
      </c>
      <c r="D3760" s="2">
        <v>1401.38</v>
      </c>
      <c r="E3760" s="2">
        <v>0</v>
      </c>
      <c r="F3760" t="s">
        <v>13</v>
      </c>
      <c r="G3760" t="s">
        <v>9</v>
      </c>
    </row>
    <row r="3761" spans="1:7" x14ac:dyDescent="0.35">
      <c r="A3761">
        <v>1487</v>
      </c>
      <c r="B3761" s="1">
        <v>45568</v>
      </c>
      <c r="C3761" t="s">
        <v>12</v>
      </c>
      <c r="D3761" s="2">
        <v>0</v>
      </c>
      <c r="E3761" s="2">
        <v>1303.6099999999999</v>
      </c>
      <c r="F3761" t="s">
        <v>14</v>
      </c>
      <c r="G3761" t="s">
        <v>15</v>
      </c>
    </row>
    <row r="3762" spans="1:7" x14ac:dyDescent="0.35">
      <c r="A3762">
        <v>1487</v>
      </c>
      <c r="B3762" s="1">
        <v>45568</v>
      </c>
      <c r="C3762" t="s">
        <v>12</v>
      </c>
      <c r="D3762" s="2">
        <v>0</v>
      </c>
      <c r="E3762" s="2">
        <v>97.77</v>
      </c>
      <c r="F3762" t="s">
        <v>16</v>
      </c>
      <c r="G3762" t="s">
        <v>17</v>
      </c>
    </row>
    <row r="3763" spans="1:7" x14ac:dyDescent="0.35">
      <c r="A3763">
        <v>1488</v>
      </c>
      <c r="B3763" s="1">
        <v>45568</v>
      </c>
      <c r="C3763" t="s">
        <v>12</v>
      </c>
      <c r="D3763" s="2">
        <v>691.28</v>
      </c>
      <c r="E3763" s="2">
        <v>0</v>
      </c>
      <c r="F3763" t="s">
        <v>13</v>
      </c>
      <c r="G3763" t="s">
        <v>9</v>
      </c>
    </row>
    <row r="3764" spans="1:7" x14ac:dyDescent="0.35">
      <c r="A3764">
        <v>1488</v>
      </c>
      <c r="B3764" s="1">
        <v>45568</v>
      </c>
      <c r="C3764" t="s">
        <v>12</v>
      </c>
      <c r="D3764" s="2">
        <v>0</v>
      </c>
      <c r="E3764" s="2">
        <v>643.04999999999995</v>
      </c>
      <c r="F3764" t="s">
        <v>14</v>
      </c>
      <c r="G3764" t="s">
        <v>15</v>
      </c>
    </row>
    <row r="3765" spans="1:7" x14ac:dyDescent="0.35">
      <c r="A3765">
        <v>1488</v>
      </c>
      <c r="B3765" s="1">
        <v>45568</v>
      </c>
      <c r="C3765" t="s">
        <v>12</v>
      </c>
      <c r="D3765" s="2">
        <v>0</v>
      </c>
      <c r="E3765" s="2">
        <v>48.23</v>
      </c>
      <c r="F3765" t="s">
        <v>16</v>
      </c>
      <c r="G3765" t="s">
        <v>17</v>
      </c>
    </row>
    <row r="3766" spans="1:7" x14ac:dyDescent="0.35">
      <c r="A3766">
        <v>1489</v>
      </c>
      <c r="B3766" s="1">
        <v>45568</v>
      </c>
      <c r="C3766" t="s">
        <v>24</v>
      </c>
      <c r="D3766" s="2">
        <v>126.26</v>
      </c>
      <c r="E3766" s="2">
        <v>0</v>
      </c>
      <c r="F3766" t="s">
        <v>8</v>
      </c>
      <c r="G3766" t="s">
        <v>9</v>
      </c>
    </row>
    <row r="3767" spans="1:7" x14ac:dyDescent="0.35">
      <c r="A3767">
        <v>1489</v>
      </c>
      <c r="B3767" s="1">
        <v>45568</v>
      </c>
      <c r="C3767" t="s">
        <v>24</v>
      </c>
      <c r="D3767" s="2">
        <v>0</v>
      </c>
      <c r="E3767" s="2">
        <v>126.26</v>
      </c>
      <c r="F3767" t="s">
        <v>13</v>
      </c>
      <c r="G3767" t="s">
        <v>9</v>
      </c>
    </row>
    <row r="3768" spans="1:7" x14ac:dyDescent="0.35">
      <c r="A3768">
        <v>1490</v>
      </c>
      <c r="B3768" s="1">
        <v>45568</v>
      </c>
      <c r="C3768" t="s">
        <v>29</v>
      </c>
      <c r="D3768" s="2">
        <v>179.01</v>
      </c>
      <c r="E3768" s="2">
        <v>0</v>
      </c>
      <c r="F3768" t="s">
        <v>28</v>
      </c>
      <c r="G3768" t="s">
        <v>17</v>
      </c>
    </row>
    <row r="3769" spans="1:7" x14ac:dyDescent="0.35">
      <c r="A3769">
        <v>1490</v>
      </c>
      <c r="B3769" s="1">
        <v>45568</v>
      </c>
      <c r="C3769" t="s">
        <v>29</v>
      </c>
      <c r="D3769" s="2">
        <v>0</v>
      </c>
      <c r="E3769" s="2">
        <v>179.01</v>
      </c>
      <c r="F3769" t="s">
        <v>8</v>
      </c>
      <c r="G3769" t="s">
        <v>9</v>
      </c>
    </row>
    <row r="3770" spans="1:7" x14ac:dyDescent="0.35">
      <c r="A3770">
        <v>1491</v>
      </c>
      <c r="B3770" s="1">
        <v>45569</v>
      </c>
      <c r="C3770" t="s">
        <v>12</v>
      </c>
      <c r="D3770" s="2">
        <v>1793.82</v>
      </c>
      <c r="E3770" s="2">
        <v>0</v>
      </c>
      <c r="F3770" t="s">
        <v>13</v>
      </c>
      <c r="G3770" t="s">
        <v>9</v>
      </c>
    </row>
    <row r="3771" spans="1:7" x14ac:dyDescent="0.35">
      <c r="A3771">
        <v>1491</v>
      </c>
      <c r="B3771" s="1">
        <v>45569</v>
      </c>
      <c r="C3771" t="s">
        <v>12</v>
      </c>
      <c r="D3771" s="2">
        <v>0</v>
      </c>
      <c r="E3771" s="2">
        <v>1668.67</v>
      </c>
      <c r="F3771" t="s">
        <v>14</v>
      </c>
      <c r="G3771" t="s">
        <v>15</v>
      </c>
    </row>
    <row r="3772" spans="1:7" x14ac:dyDescent="0.35">
      <c r="A3772">
        <v>1491</v>
      </c>
      <c r="B3772" s="1">
        <v>45569</v>
      </c>
      <c r="C3772" t="s">
        <v>12</v>
      </c>
      <c r="D3772" s="2">
        <v>0</v>
      </c>
      <c r="E3772" s="2">
        <v>125.15</v>
      </c>
      <c r="F3772" t="s">
        <v>16</v>
      </c>
      <c r="G3772" t="s">
        <v>17</v>
      </c>
    </row>
    <row r="3773" spans="1:7" x14ac:dyDescent="0.35">
      <c r="A3773">
        <v>1492</v>
      </c>
      <c r="B3773" s="1">
        <v>45569</v>
      </c>
      <c r="C3773" t="s">
        <v>12</v>
      </c>
      <c r="D3773" s="2">
        <v>1893.71</v>
      </c>
      <c r="E3773" s="2">
        <v>0</v>
      </c>
      <c r="F3773" t="s">
        <v>13</v>
      </c>
      <c r="G3773" t="s">
        <v>9</v>
      </c>
    </row>
    <row r="3774" spans="1:7" x14ac:dyDescent="0.35">
      <c r="A3774">
        <v>1492</v>
      </c>
      <c r="B3774" s="1">
        <v>45569</v>
      </c>
      <c r="C3774" t="s">
        <v>12</v>
      </c>
      <c r="D3774" s="2">
        <v>0</v>
      </c>
      <c r="E3774" s="2">
        <v>1761.59</v>
      </c>
      <c r="F3774" t="s">
        <v>14</v>
      </c>
      <c r="G3774" t="s">
        <v>15</v>
      </c>
    </row>
    <row r="3775" spans="1:7" x14ac:dyDescent="0.35">
      <c r="A3775">
        <v>1492</v>
      </c>
      <c r="B3775" s="1">
        <v>45569</v>
      </c>
      <c r="C3775" t="s">
        <v>12</v>
      </c>
      <c r="D3775" s="2">
        <v>0</v>
      </c>
      <c r="E3775" s="2">
        <v>132.12</v>
      </c>
      <c r="F3775" t="s">
        <v>16</v>
      </c>
      <c r="G3775" t="s">
        <v>17</v>
      </c>
    </row>
    <row r="3776" spans="1:7" x14ac:dyDescent="0.35">
      <c r="A3776">
        <v>1493</v>
      </c>
      <c r="B3776" s="1">
        <v>45569</v>
      </c>
      <c r="C3776" t="s">
        <v>12</v>
      </c>
      <c r="D3776" s="2">
        <v>946.16</v>
      </c>
      <c r="E3776" s="2">
        <v>0</v>
      </c>
      <c r="F3776" t="s">
        <v>13</v>
      </c>
      <c r="G3776" t="s">
        <v>9</v>
      </c>
    </row>
    <row r="3777" spans="1:7" x14ac:dyDescent="0.35">
      <c r="A3777">
        <v>1493</v>
      </c>
      <c r="B3777" s="1">
        <v>45569</v>
      </c>
      <c r="C3777" t="s">
        <v>12</v>
      </c>
      <c r="D3777" s="2">
        <v>0</v>
      </c>
      <c r="E3777" s="2">
        <v>880.16</v>
      </c>
      <c r="F3777" t="s">
        <v>14</v>
      </c>
      <c r="G3777" t="s">
        <v>15</v>
      </c>
    </row>
    <row r="3778" spans="1:7" x14ac:dyDescent="0.35">
      <c r="A3778">
        <v>1493</v>
      </c>
      <c r="B3778" s="1">
        <v>45569</v>
      </c>
      <c r="C3778" t="s">
        <v>12</v>
      </c>
      <c r="D3778" s="2">
        <v>0</v>
      </c>
      <c r="E3778" s="2">
        <v>66</v>
      </c>
      <c r="F3778" t="s">
        <v>16</v>
      </c>
      <c r="G3778" t="s">
        <v>17</v>
      </c>
    </row>
    <row r="3779" spans="1:7" x14ac:dyDescent="0.35">
      <c r="A3779">
        <v>1494</v>
      </c>
      <c r="B3779" s="1">
        <v>45569</v>
      </c>
      <c r="C3779" t="s">
        <v>24</v>
      </c>
      <c r="D3779" s="2">
        <v>1904.03</v>
      </c>
      <c r="E3779" s="2">
        <v>0</v>
      </c>
      <c r="F3779" t="s">
        <v>8</v>
      </c>
      <c r="G3779" t="s">
        <v>9</v>
      </c>
    </row>
    <row r="3780" spans="1:7" x14ac:dyDescent="0.35">
      <c r="A3780">
        <v>1494</v>
      </c>
      <c r="B3780" s="1">
        <v>45569</v>
      </c>
      <c r="C3780" t="s">
        <v>24</v>
      </c>
      <c r="D3780" s="2">
        <v>0</v>
      </c>
      <c r="E3780" s="2">
        <v>1904.03</v>
      </c>
      <c r="F3780" t="s">
        <v>13</v>
      </c>
      <c r="G3780" t="s">
        <v>9</v>
      </c>
    </row>
    <row r="3781" spans="1:7" x14ac:dyDescent="0.35">
      <c r="A3781">
        <v>1495</v>
      </c>
      <c r="B3781" s="1">
        <v>45569</v>
      </c>
      <c r="C3781" t="s">
        <v>29</v>
      </c>
      <c r="D3781" s="2">
        <v>1935.04</v>
      </c>
      <c r="E3781" s="2">
        <v>0</v>
      </c>
      <c r="F3781" t="s">
        <v>28</v>
      </c>
      <c r="G3781" t="s">
        <v>17</v>
      </c>
    </row>
    <row r="3782" spans="1:7" x14ac:dyDescent="0.35">
      <c r="A3782">
        <v>1495</v>
      </c>
      <c r="B3782" s="1">
        <v>45569</v>
      </c>
      <c r="C3782" t="s">
        <v>29</v>
      </c>
      <c r="D3782" s="2">
        <v>0</v>
      </c>
      <c r="E3782" s="2">
        <v>1935.04</v>
      </c>
      <c r="F3782" t="s">
        <v>8</v>
      </c>
      <c r="G3782" t="s">
        <v>9</v>
      </c>
    </row>
    <row r="3783" spans="1:7" x14ac:dyDescent="0.35">
      <c r="A3783">
        <v>1496</v>
      </c>
      <c r="B3783" s="1">
        <v>45572</v>
      </c>
      <c r="C3783" t="s">
        <v>12</v>
      </c>
      <c r="D3783" s="2">
        <v>2485.56</v>
      </c>
      <c r="E3783" s="2">
        <v>0</v>
      </c>
      <c r="F3783" t="s">
        <v>13</v>
      </c>
      <c r="G3783" t="s">
        <v>9</v>
      </c>
    </row>
    <row r="3784" spans="1:7" x14ac:dyDescent="0.35">
      <c r="A3784">
        <v>1496</v>
      </c>
      <c r="B3784" s="1">
        <v>45572</v>
      </c>
      <c r="C3784" t="s">
        <v>12</v>
      </c>
      <c r="D3784" s="2">
        <v>0</v>
      </c>
      <c r="E3784" s="2">
        <v>2312.14</v>
      </c>
      <c r="F3784" t="s">
        <v>14</v>
      </c>
      <c r="G3784" t="s">
        <v>15</v>
      </c>
    </row>
    <row r="3785" spans="1:7" x14ac:dyDescent="0.35">
      <c r="A3785">
        <v>1496</v>
      </c>
      <c r="B3785" s="1">
        <v>45572</v>
      </c>
      <c r="C3785" t="s">
        <v>12</v>
      </c>
      <c r="D3785" s="2">
        <v>0</v>
      </c>
      <c r="E3785" s="2">
        <v>173.42</v>
      </c>
      <c r="F3785" t="s">
        <v>16</v>
      </c>
      <c r="G3785" t="s">
        <v>17</v>
      </c>
    </row>
    <row r="3786" spans="1:7" x14ac:dyDescent="0.35">
      <c r="A3786">
        <v>1497</v>
      </c>
      <c r="B3786" s="1">
        <v>45572</v>
      </c>
      <c r="C3786" t="s">
        <v>12</v>
      </c>
      <c r="D3786" s="2">
        <v>1390.04</v>
      </c>
      <c r="E3786" s="2">
        <v>0</v>
      </c>
      <c r="F3786" t="s">
        <v>13</v>
      </c>
      <c r="G3786" t="s">
        <v>9</v>
      </c>
    </row>
    <row r="3787" spans="1:7" x14ac:dyDescent="0.35">
      <c r="A3787">
        <v>1497</v>
      </c>
      <c r="B3787" s="1">
        <v>45572</v>
      </c>
      <c r="C3787" t="s">
        <v>12</v>
      </c>
      <c r="D3787" s="2">
        <v>0</v>
      </c>
      <c r="E3787" s="2">
        <v>1293.07</v>
      </c>
      <c r="F3787" t="s">
        <v>14</v>
      </c>
      <c r="G3787" t="s">
        <v>15</v>
      </c>
    </row>
    <row r="3788" spans="1:7" x14ac:dyDescent="0.35">
      <c r="A3788">
        <v>1497</v>
      </c>
      <c r="B3788" s="1">
        <v>45572</v>
      </c>
      <c r="C3788" t="s">
        <v>12</v>
      </c>
      <c r="D3788" s="2">
        <v>0</v>
      </c>
      <c r="E3788" s="2">
        <v>96.97</v>
      </c>
      <c r="F3788" t="s">
        <v>16</v>
      </c>
      <c r="G3788" t="s">
        <v>17</v>
      </c>
    </row>
    <row r="3789" spans="1:7" x14ac:dyDescent="0.35">
      <c r="A3789">
        <v>1498</v>
      </c>
      <c r="B3789" s="1">
        <v>45572</v>
      </c>
      <c r="C3789" t="s">
        <v>12</v>
      </c>
      <c r="D3789" s="2">
        <v>2115.1999999999998</v>
      </c>
      <c r="E3789" s="2">
        <v>0</v>
      </c>
      <c r="F3789" t="s">
        <v>13</v>
      </c>
      <c r="G3789" t="s">
        <v>9</v>
      </c>
    </row>
    <row r="3790" spans="1:7" x14ac:dyDescent="0.35">
      <c r="A3790">
        <v>1498</v>
      </c>
      <c r="B3790" s="1">
        <v>45572</v>
      </c>
      <c r="C3790" t="s">
        <v>12</v>
      </c>
      <c r="D3790" s="2">
        <v>0</v>
      </c>
      <c r="E3790" s="2">
        <v>1967.63</v>
      </c>
      <c r="F3790" t="s">
        <v>14</v>
      </c>
      <c r="G3790" t="s">
        <v>15</v>
      </c>
    </row>
    <row r="3791" spans="1:7" x14ac:dyDescent="0.35">
      <c r="A3791">
        <v>1498</v>
      </c>
      <c r="B3791" s="1">
        <v>45572</v>
      </c>
      <c r="C3791" t="s">
        <v>12</v>
      </c>
      <c r="D3791" s="2">
        <v>0</v>
      </c>
      <c r="E3791" s="2">
        <v>147.57</v>
      </c>
      <c r="F3791" t="s">
        <v>16</v>
      </c>
      <c r="G3791" t="s">
        <v>17</v>
      </c>
    </row>
    <row r="3792" spans="1:7" x14ac:dyDescent="0.35">
      <c r="A3792">
        <v>1499</v>
      </c>
      <c r="B3792" s="1">
        <v>45572</v>
      </c>
      <c r="C3792" t="s">
        <v>24</v>
      </c>
      <c r="D3792" s="2">
        <v>3107.91</v>
      </c>
      <c r="E3792" s="2">
        <v>0</v>
      </c>
      <c r="F3792" t="s">
        <v>8</v>
      </c>
      <c r="G3792" t="s">
        <v>9</v>
      </c>
    </row>
    <row r="3793" spans="1:7" x14ac:dyDescent="0.35">
      <c r="A3793">
        <v>1499</v>
      </c>
      <c r="B3793" s="1">
        <v>45572</v>
      </c>
      <c r="C3793" t="s">
        <v>24</v>
      </c>
      <c r="D3793" s="2">
        <v>0</v>
      </c>
      <c r="E3793" s="2">
        <v>3107.91</v>
      </c>
      <c r="F3793" t="s">
        <v>13</v>
      </c>
      <c r="G3793" t="s">
        <v>9</v>
      </c>
    </row>
    <row r="3794" spans="1:7" x14ac:dyDescent="0.35">
      <c r="A3794">
        <v>1500</v>
      </c>
      <c r="B3794" s="1">
        <v>45572</v>
      </c>
      <c r="C3794" t="s">
        <v>24</v>
      </c>
      <c r="D3794" s="2">
        <v>2778.64</v>
      </c>
      <c r="E3794" s="2">
        <v>0</v>
      </c>
      <c r="F3794" t="s">
        <v>8</v>
      </c>
      <c r="G3794" t="s">
        <v>9</v>
      </c>
    </row>
    <row r="3795" spans="1:7" x14ac:dyDescent="0.35">
      <c r="A3795">
        <v>1500</v>
      </c>
      <c r="B3795" s="1">
        <v>45572</v>
      </c>
      <c r="C3795" t="s">
        <v>24</v>
      </c>
      <c r="D3795" s="2">
        <v>0</v>
      </c>
      <c r="E3795" s="2">
        <v>2778.64</v>
      </c>
      <c r="F3795" t="s">
        <v>13</v>
      </c>
      <c r="G3795" t="s">
        <v>9</v>
      </c>
    </row>
    <row r="3796" spans="1:7" x14ac:dyDescent="0.35">
      <c r="A3796">
        <v>1501</v>
      </c>
      <c r="B3796" s="1">
        <v>45572</v>
      </c>
      <c r="C3796" t="s">
        <v>24</v>
      </c>
      <c r="D3796" s="2">
        <v>1218.95</v>
      </c>
      <c r="E3796" s="2">
        <v>0</v>
      </c>
      <c r="F3796" t="s">
        <v>8</v>
      </c>
      <c r="G3796" t="s">
        <v>9</v>
      </c>
    </row>
    <row r="3797" spans="1:7" x14ac:dyDescent="0.35">
      <c r="A3797">
        <v>1501</v>
      </c>
      <c r="B3797" s="1">
        <v>45572</v>
      </c>
      <c r="C3797" t="s">
        <v>24</v>
      </c>
      <c r="D3797" s="2">
        <v>0</v>
      </c>
      <c r="E3797" s="2">
        <v>1218.95</v>
      </c>
      <c r="F3797" t="s">
        <v>13</v>
      </c>
      <c r="G3797" t="s">
        <v>9</v>
      </c>
    </row>
    <row r="3798" spans="1:7" x14ac:dyDescent="0.35">
      <c r="A3798">
        <v>1502</v>
      </c>
      <c r="B3798" s="1">
        <v>45572</v>
      </c>
      <c r="C3798" t="s">
        <v>24</v>
      </c>
      <c r="D3798" s="2">
        <v>1984.1</v>
      </c>
      <c r="E3798" s="2">
        <v>0</v>
      </c>
      <c r="F3798" t="s">
        <v>8</v>
      </c>
      <c r="G3798" t="s">
        <v>9</v>
      </c>
    </row>
    <row r="3799" spans="1:7" x14ac:dyDescent="0.35">
      <c r="A3799">
        <v>1502</v>
      </c>
      <c r="B3799" s="1">
        <v>45572</v>
      </c>
      <c r="C3799" t="s">
        <v>24</v>
      </c>
      <c r="D3799" s="2">
        <v>0</v>
      </c>
      <c r="E3799" s="2">
        <v>1984.1</v>
      </c>
      <c r="F3799" t="s">
        <v>13</v>
      </c>
      <c r="G3799" t="s">
        <v>9</v>
      </c>
    </row>
    <row r="3800" spans="1:7" x14ac:dyDescent="0.35">
      <c r="A3800">
        <v>1503</v>
      </c>
      <c r="B3800" s="1">
        <v>45572</v>
      </c>
      <c r="C3800" t="s">
        <v>24</v>
      </c>
      <c r="D3800" s="2">
        <v>2872.63</v>
      </c>
      <c r="E3800" s="2">
        <v>0</v>
      </c>
      <c r="F3800" t="s">
        <v>8</v>
      </c>
      <c r="G3800" t="s">
        <v>9</v>
      </c>
    </row>
    <row r="3801" spans="1:7" x14ac:dyDescent="0.35">
      <c r="A3801">
        <v>1503</v>
      </c>
      <c r="B3801" s="1">
        <v>45572</v>
      </c>
      <c r="C3801" t="s">
        <v>24</v>
      </c>
      <c r="D3801" s="2">
        <v>0</v>
      </c>
      <c r="E3801" s="2">
        <v>2872.63</v>
      </c>
      <c r="F3801" t="s">
        <v>13</v>
      </c>
      <c r="G3801" t="s">
        <v>9</v>
      </c>
    </row>
    <row r="3802" spans="1:7" x14ac:dyDescent="0.35">
      <c r="A3802">
        <v>1504</v>
      </c>
      <c r="B3802" s="1">
        <v>45572</v>
      </c>
      <c r="C3802" t="s">
        <v>24</v>
      </c>
      <c r="D3802" s="2">
        <v>3417.74</v>
      </c>
      <c r="E3802" s="2">
        <v>0</v>
      </c>
      <c r="F3802" t="s">
        <v>8</v>
      </c>
      <c r="G3802" t="s">
        <v>9</v>
      </c>
    </row>
    <row r="3803" spans="1:7" x14ac:dyDescent="0.35">
      <c r="A3803">
        <v>1504</v>
      </c>
      <c r="B3803" s="1">
        <v>45572</v>
      </c>
      <c r="C3803" t="s">
        <v>24</v>
      </c>
      <c r="D3803" s="2">
        <v>0</v>
      </c>
      <c r="E3803" s="2">
        <v>3417.74</v>
      </c>
      <c r="F3803" t="s">
        <v>13</v>
      </c>
      <c r="G3803" t="s">
        <v>9</v>
      </c>
    </row>
    <row r="3804" spans="1:7" x14ac:dyDescent="0.35">
      <c r="A3804">
        <v>1505</v>
      </c>
      <c r="B3804" s="1">
        <v>45572</v>
      </c>
      <c r="C3804" t="s">
        <v>25</v>
      </c>
      <c r="D3804" s="2">
        <v>2329.52</v>
      </c>
      <c r="E3804" s="2">
        <v>0</v>
      </c>
      <c r="F3804" t="s">
        <v>26</v>
      </c>
      <c r="G3804" t="s">
        <v>20</v>
      </c>
    </row>
    <row r="3805" spans="1:7" x14ac:dyDescent="0.35">
      <c r="A3805">
        <v>1505</v>
      </c>
      <c r="B3805" s="1">
        <v>45572</v>
      </c>
      <c r="C3805" t="s">
        <v>25</v>
      </c>
      <c r="D3805" s="2">
        <v>174.71</v>
      </c>
      <c r="E3805" s="2">
        <v>0</v>
      </c>
      <c r="F3805" t="s">
        <v>27</v>
      </c>
      <c r="G3805" t="s">
        <v>9</v>
      </c>
    </row>
    <row r="3806" spans="1:7" x14ac:dyDescent="0.35">
      <c r="A3806">
        <v>1505</v>
      </c>
      <c r="B3806" s="1">
        <v>45572</v>
      </c>
      <c r="C3806" t="s">
        <v>25</v>
      </c>
      <c r="D3806" s="2">
        <v>0</v>
      </c>
      <c r="E3806" s="2">
        <v>2504.23</v>
      </c>
      <c r="F3806" t="s">
        <v>28</v>
      </c>
      <c r="G3806" t="s">
        <v>17</v>
      </c>
    </row>
    <row r="3807" spans="1:7" x14ac:dyDescent="0.35">
      <c r="A3807">
        <v>1506</v>
      </c>
      <c r="B3807" s="1">
        <v>45572</v>
      </c>
      <c r="C3807" t="s">
        <v>25</v>
      </c>
      <c r="D3807" s="2">
        <v>3282.76</v>
      </c>
      <c r="E3807" s="2">
        <v>0</v>
      </c>
      <c r="F3807" t="s">
        <v>26</v>
      </c>
      <c r="G3807" t="s">
        <v>20</v>
      </c>
    </row>
    <row r="3808" spans="1:7" x14ac:dyDescent="0.35">
      <c r="A3808">
        <v>1506</v>
      </c>
      <c r="B3808" s="1">
        <v>45572</v>
      </c>
      <c r="C3808" t="s">
        <v>25</v>
      </c>
      <c r="D3808" s="2">
        <v>246.21</v>
      </c>
      <c r="E3808" s="2">
        <v>0</v>
      </c>
      <c r="F3808" t="s">
        <v>27</v>
      </c>
      <c r="G3808" t="s">
        <v>9</v>
      </c>
    </row>
    <row r="3809" spans="1:7" x14ac:dyDescent="0.35">
      <c r="A3809">
        <v>1506</v>
      </c>
      <c r="B3809" s="1">
        <v>45572</v>
      </c>
      <c r="C3809" t="s">
        <v>25</v>
      </c>
      <c r="D3809" s="2">
        <v>0</v>
      </c>
      <c r="E3809" s="2">
        <v>3528.97</v>
      </c>
      <c r="F3809" t="s">
        <v>28</v>
      </c>
      <c r="G3809" t="s">
        <v>17</v>
      </c>
    </row>
    <row r="3810" spans="1:7" x14ac:dyDescent="0.35">
      <c r="A3810">
        <v>1507</v>
      </c>
      <c r="B3810" s="1">
        <v>45572</v>
      </c>
      <c r="C3810" t="s">
        <v>25</v>
      </c>
      <c r="D3810" s="2">
        <v>187.44</v>
      </c>
      <c r="E3810" s="2">
        <v>0</v>
      </c>
      <c r="F3810" t="s">
        <v>26</v>
      </c>
      <c r="G3810" t="s">
        <v>20</v>
      </c>
    </row>
    <row r="3811" spans="1:7" x14ac:dyDescent="0.35">
      <c r="A3811">
        <v>1507</v>
      </c>
      <c r="B3811" s="1">
        <v>45572</v>
      </c>
      <c r="C3811" t="s">
        <v>25</v>
      </c>
      <c r="D3811" s="2">
        <v>14.06</v>
      </c>
      <c r="E3811" s="2">
        <v>0</v>
      </c>
      <c r="F3811" t="s">
        <v>27</v>
      </c>
      <c r="G3811" t="s">
        <v>9</v>
      </c>
    </row>
    <row r="3812" spans="1:7" x14ac:dyDescent="0.35">
      <c r="A3812">
        <v>1507</v>
      </c>
      <c r="B3812" s="1">
        <v>45572</v>
      </c>
      <c r="C3812" t="s">
        <v>25</v>
      </c>
      <c r="D3812" s="2">
        <v>0</v>
      </c>
      <c r="E3812" s="2">
        <v>201.5</v>
      </c>
      <c r="F3812" t="s">
        <v>28</v>
      </c>
      <c r="G3812" t="s">
        <v>17</v>
      </c>
    </row>
    <row r="3813" spans="1:7" x14ac:dyDescent="0.35">
      <c r="A3813">
        <v>1508</v>
      </c>
      <c r="B3813" s="1">
        <v>45572</v>
      </c>
      <c r="C3813" t="s">
        <v>25</v>
      </c>
      <c r="D3813" s="2">
        <v>383.76</v>
      </c>
      <c r="E3813" s="2">
        <v>0</v>
      </c>
      <c r="F3813" t="s">
        <v>26</v>
      </c>
      <c r="G3813" t="s">
        <v>20</v>
      </c>
    </row>
    <row r="3814" spans="1:7" x14ac:dyDescent="0.35">
      <c r="A3814">
        <v>1508</v>
      </c>
      <c r="B3814" s="1">
        <v>45572</v>
      </c>
      <c r="C3814" t="s">
        <v>25</v>
      </c>
      <c r="D3814" s="2">
        <v>28.78</v>
      </c>
      <c r="E3814" s="2">
        <v>0</v>
      </c>
      <c r="F3814" t="s">
        <v>27</v>
      </c>
      <c r="G3814" t="s">
        <v>9</v>
      </c>
    </row>
    <row r="3815" spans="1:7" x14ac:dyDescent="0.35">
      <c r="A3815">
        <v>1508</v>
      </c>
      <c r="B3815" s="1">
        <v>45572</v>
      </c>
      <c r="C3815" t="s">
        <v>25</v>
      </c>
      <c r="D3815" s="2">
        <v>0</v>
      </c>
      <c r="E3815" s="2">
        <v>412.54</v>
      </c>
      <c r="F3815" t="s">
        <v>28</v>
      </c>
      <c r="G3815" t="s">
        <v>17</v>
      </c>
    </row>
    <row r="3816" spans="1:7" x14ac:dyDescent="0.35">
      <c r="A3816">
        <v>1509</v>
      </c>
      <c r="B3816" s="1">
        <v>45572</v>
      </c>
      <c r="C3816" t="s">
        <v>25</v>
      </c>
      <c r="D3816" s="2">
        <v>2030.15</v>
      </c>
      <c r="E3816" s="2">
        <v>0</v>
      </c>
      <c r="F3816" t="s">
        <v>26</v>
      </c>
      <c r="G3816" t="s">
        <v>20</v>
      </c>
    </row>
    <row r="3817" spans="1:7" x14ac:dyDescent="0.35">
      <c r="A3817">
        <v>1509</v>
      </c>
      <c r="B3817" s="1">
        <v>45572</v>
      </c>
      <c r="C3817" t="s">
        <v>25</v>
      </c>
      <c r="D3817" s="2">
        <v>152.26</v>
      </c>
      <c r="E3817" s="2">
        <v>0</v>
      </c>
      <c r="F3817" t="s">
        <v>27</v>
      </c>
      <c r="G3817" t="s">
        <v>9</v>
      </c>
    </row>
    <row r="3818" spans="1:7" x14ac:dyDescent="0.35">
      <c r="A3818">
        <v>1509</v>
      </c>
      <c r="B3818" s="1">
        <v>45572</v>
      </c>
      <c r="C3818" t="s">
        <v>25</v>
      </c>
      <c r="D3818" s="2">
        <v>0</v>
      </c>
      <c r="E3818" s="2">
        <v>2182.41</v>
      </c>
      <c r="F3818" t="s">
        <v>28</v>
      </c>
      <c r="G3818" t="s">
        <v>17</v>
      </c>
    </row>
    <row r="3819" spans="1:7" x14ac:dyDescent="0.35">
      <c r="A3819">
        <v>1510</v>
      </c>
      <c r="B3819" s="1">
        <v>45572</v>
      </c>
      <c r="C3819" t="s">
        <v>25</v>
      </c>
      <c r="D3819" s="2">
        <v>696.06</v>
      </c>
      <c r="E3819" s="2">
        <v>0</v>
      </c>
      <c r="F3819" t="s">
        <v>26</v>
      </c>
      <c r="G3819" t="s">
        <v>20</v>
      </c>
    </row>
    <row r="3820" spans="1:7" x14ac:dyDescent="0.35">
      <c r="A3820">
        <v>1510</v>
      </c>
      <c r="B3820" s="1">
        <v>45572</v>
      </c>
      <c r="C3820" t="s">
        <v>25</v>
      </c>
      <c r="D3820" s="2">
        <v>52.2</v>
      </c>
      <c r="E3820" s="2">
        <v>0</v>
      </c>
      <c r="F3820" t="s">
        <v>27</v>
      </c>
      <c r="G3820" t="s">
        <v>9</v>
      </c>
    </row>
    <row r="3821" spans="1:7" x14ac:dyDescent="0.35">
      <c r="A3821">
        <v>1510</v>
      </c>
      <c r="B3821" s="1">
        <v>45572</v>
      </c>
      <c r="C3821" t="s">
        <v>25</v>
      </c>
      <c r="D3821" s="2">
        <v>0</v>
      </c>
      <c r="E3821" s="2">
        <v>748.26</v>
      </c>
      <c r="F3821" t="s">
        <v>28</v>
      </c>
      <c r="G3821" t="s">
        <v>17</v>
      </c>
    </row>
    <row r="3822" spans="1:7" x14ac:dyDescent="0.35">
      <c r="A3822">
        <v>1511</v>
      </c>
      <c r="B3822" s="1">
        <v>45572</v>
      </c>
      <c r="C3822" t="s">
        <v>29</v>
      </c>
      <c r="D3822" s="2">
        <v>276.32</v>
      </c>
      <c r="E3822" s="2">
        <v>0</v>
      </c>
      <c r="F3822" t="s">
        <v>28</v>
      </c>
      <c r="G3822" t="s">
        <v>17</v>
      </c>
    </row>
    <row r="3823" spans="1:7" x14ac:dyDescent="0.35">
      <c r="A3823">
        <v>1511</v>
      </c>
      <c r="B3823" s="1">
        <v>45572</v>
      </c>
      <c r="C3823" t="s">
        <v>29</v>
      </c>
      <c r="D3823" s="2">
        <v>0</v>
      </c>
      <c r="E3823" s="2">
        <v>276.32</v>
      </c>
      <c r="F3823" t="s">
        <v>8</v>
      </c>
      <c r="G3823" t="s">
        <v>9</v>
      </c>
    </row>
    <row r="3824" spans="1:7" x14ac:dyDescent="0.35">
      <c r="A3824">
        <v>1512</v>
      </c>
      <c r="B3824" s="1">
        <v>45572</v>
      </c>
      <c r="C3824" t="s">
        <v>29</v>
      </c>
      <c r="D3824" s="2">
        <v>2504.23</v>
      </c>
      <c r="E3824" s="2">
        <v>0</v>
      </c>
      <c r="F3824" t="s">
        <v>28</v>
      </c>
      <c r="G3824" t="s">
        <v>17</v>
      </c>
    </row>
    <row r="3825" spans="1:7" x14ac:dyDescent="0.35">
      <c r="A3825">
        <v>1512</v>
      </c>
      <c r="B3825" s="1">
        <v>45572</v>
      </c>
      <c r="C3825" t="s">
        <v>29</v>
      </c>
      <c r="D3825" s="2">
        <v>0</v>
      </c>
      <c r="E3825" s="2">
        <v>2504.23</v>
      </c>
      <c r="F3825" t="s">
        <v>8</v>
      </c>
      <c r="G3825" t="s">
        <v>9</v>
      </c>
    </row>
    <row r="3826" spans="1:7" x14ac:dyDescent="0.35">
      <c r="A3826">
        <v>1513</v>
      </c>
      <c r="B3826" s="1">
        <v>45573</v>
      </c>
      <c r="C3826" t="s">
        <v>12</v>
      </c>
      <c r="D3826" s="2">
        <v>3668.09</v>
      </c>
      <c r="E3826" s="2">
        <v>0</v>
      </c>
      <c r="F3826" t="s">
        <v>13</v>
      </c>
      <c r="G3826" t="s">
        <v>9</v>
      </c>
    </row>
    <row r="3827" spans="1:7" x14ac:dyDescent="0.35">
      <c r="A3827">
        <v>1513</v>
      </c>
      <c r="B3827" s="1">
        <v>45573</v>
      </c>
      <c r="C3827" t="s">
        <v>12</v>
      </c>
      <c r="D3827" s="2">
        <v>0</v>
      </c>
      <c r="E3827" s="2">
        <v>3412.18</v>
      </c>
      <c r="F3827" t="s">
        <v>14</v>
      </c>
      <c r="G3827" t="s">
        <v>15</v>
      </c>
    </row>
    <row r="3828" spans="1:7" x14ac:dyDescent="0.35">
      <c r="A3828">
        <v>1513</v>
      </c>
      <c r="B3828" s="1">
        <v>45573</v>
      </c>
      <c r="C3828" t="s">
        <v>12</v>
      </c>
      <c r="D3828" s="2">
        <v>0</v>
      </c>
      <c r="E3828" s="2">
        <v>255.91</v>
      </c>
      <c r="F3828" t="s">
        <v>16</v>
      </c>
      <c r="G3828" t="s">
        <v>17</v>
      </c>
    </row>
    <row r="3829" spans="1:7" x14ac:dyDescent="0.35">
      <c r="A3829">
        <v>1514</v>
      </c>
      <c r="B3829" s="1">
        <v>45573</v>
      </c>
      <c r="C3829" t="s">
        <v>12</v>
      </c>
      <c r="D3829" s="2">
        <v>590.71</v>
      </c>
      <c r="E3829" s="2">
        <v>0</v>
      </c>
      <c r="F3829" t="s">
        <v>13</v>
      </c>
      <c r="G3829" t="s">
        <v>9</v>
      </c>
    </row>
    <row r="3830" spans="1:7" x14ac:dyDescent="0.35">
      <c r="A3830">
        <v>1514</v>
      </c>
      <c r="B3830" s="1">
        <v>45573</v>
      </c>
      <c r="C3830" t="s">
        <v>12</v>
      </c>
      <c r="D3830" s="2">
        <v>0</v>
      </c>
      <c r="E3830" s="2">
        <v>549.5</v>
      </c>
      <c r="F3830" t="s">
        <v>14</v>
      </c>
      <c r="G3830" t="s">
        <v>15</v>
      </c>
    </row>
    <row r="3831" spans="1:7" x14ac:dyDescent="0.35">
      <c r="A3831">
        <v>1514</v>
      </c>
      <c r="B3831" s="1">
        <v>45573</v>
      </c>
      <c r="C3831" t="s">
        <v>12</v>
      </c>
      <c r="D3831" s="2">
        <v>0</v>
      </c>
      <c r="E3831" s="2">
        <v>41.21</v>
      </c>
      <c r="F3831" t="s">
        <v>16</v>
      </c>
      <c r="G3831" t="s">
        <v>17</v>
      </c>
    </row>
    <row r="3832" spans="1:7" x14ac:dyDescent="0.35">
      <c r="A3832">
        <v>1515</v>
      </c>
      <c r="B3832" s="1">
        <v>45573</v>
      </c>
      <c r="C3832" t="s">
        <v>12</v>
      </c>
      <c r="D3832" s="2">
        <v>3630.49</v>
      </c>
      <c r="E3832" s="2">
        <v>0</v>
      </c>
      <c r="F3832" t="s">
        <v>13</v>
      </c>
      <c r="G3832" t="s">
        <v>9</v>
      </c>
    </row>
    <row r="3833" spans="1:7" x14ac:dyDescent="0.35">
      <c r="A3833">
        <v>1515</v>
      </c>
      <c r="B3833" s="1">
        <v>45573</v>
      </c>
      <c r="C3833" t="s">
        <v>12</v>
      </c>
      <c r="D3833" s="2">
        <v>0</v>
      </c>
      <c r="E3833" s="2">
        <v>3377.19</v>
      </c>
      <c r="F3833" t="s">
        <v>14</v>
      </c>
      <c r="G3833" t="s">
        <v>15</v>
      </c>
    </row>
    <row r="3834" spans="1:7" x14ac:dyDescent="0.35">
      <c r="A3834">
        <v>1515</v>
      </c>
      <c r="B3834" s="1">
        <v>45573</v>
      </c>
      <c r="C3834" t="s">
        <v>12</v>
      </c>
      <c r="D3834" s="2">
        <v>0</v>
      </c>
      <c r="E3834" s="2">
        <v>253.3</v>
      </c>
      <c r="F3834" t="s">
        <v>16</v>
      </c>
      <c r="G3834" t="s">
        <v>17</v>
      </c>
    </row>
    <row r="3835" spans="1:7" x14ac:dyDescent="0.35">
      <c r="A3835">
        <v>1516</v>
      </c>
      <c r="B3835" s="1">
        <v>45573</v>
      </c>
      <c r="C3835" t="s">
        <v>12</v>
      </c>
      <c r="D3835" s="2">
        <v>3804.05</v>
      </c>
      <c r="E3835" s="2">
        <v>0</v>
      </c>
      <c r="F3835" t="s">
        <v>13</v>
      </c>
      <c r="G3835" t="s">
        <v>9</v>
      </c>
    </row>
    <row r="3836" spans="1:7" x14ac:dyDescent="0.35">
      <c r="A3836">
        <v>1516</v>
      </c>
      <c r="B3836" s="1">
        <v>45573</v>
      </c>
      <c r="C3836" t="s">
        <v>12</v>
      </c>
      <c r="D3836" s="2">
        <v>0</v>
      </c>
      <c r="E3836" s="2">
        <v>3538.66</v>
      </c>
      <c r="F3836" t="s">
        <v>14</v>
      </c>
      <c r="G3836" t="s">
        <v>15</v>
      </c>
    </row>
    <row r="3837" spans="1:7" x14ac:dyDescent="0.35">
      <c r="A3837">
        <v>1516</v>
      </c>
      <c r="B3837" s="1">
        <v>45573</v>
      </c>
      <c r="C3837" t="s">
        <v>12</v>
      </c>
      <c r="D3837" s="2">
        <v>0</v>
      </c>
      <c r="E3837" s="2">
        <v>265.39</v>
      </c>
      <c r="F3837" t="s">
        <v>16</v>
      </c>
      <c r="G3837" t="s">
        <v>17</v>
      </c>
    </row>
    <row r="3838" spans="1:7" x14ac:dyDescent="0.35">
      <c r="A3838">
        <v>1517</v>
      </c>
      <c r="B3838" s="1">
        <v>45573</v>
      </c>
      <c r="C3838" t="s">
        <v>12</v>
      </c>
      <c r="D3838" s="2">
        <v>4823.3500000000004</v>
      </c>
      <c r="E3838" s="2">
        <v>0</v>
      </c>
      <c r="F3838" t="s">
        <v>13</v>
      </c>
      <c r="G3838" t="s">
        <v>9</v>
      </c>
    </row>
    <row r="3839" spans="1:7" x14ac:dyDescent="0.35">
      <c r="A3839">
        <v>1517</v>
      </c>
      <c r="B3839" s="1">
        <v>45573</v>
      </c>
      <c r="C3839" t="s">
        <v>12</v>
      </c>
      <c r="D3839" s="2">
        <v>0</v>
      </c>
      <c r="E3839" s="2">
        <v>4486.84</v>
      </c>
      <c r="F3839" t="s">
        <v>14</v>
      </c>
      <c r="G3839" t="s">
        <v>15</v>
      </c>
    </row>
    <row r="3840" spans="1:7" x14ac:dyDescent="0.35">
      <c r="A3840">
        <v>1517</v>
      </c>
      <c r="B3840" s="1">
        <v>45573</v>
      </c>
      <c r="C3840" t="s">
        <v>12</v>
      </c>
      <c r="D3840" s="2">
        <v>0</v>
      </c>
      <c r="E3840" s="2">
        <v>336.51</v>
      </c>
      <c r="F3840" t="s">
        <v>16</v>
      </c>
      <c r="G3840" t="s">
        <v>17</v>
      </c>
    </row>
    <row r="3841" spans="1:7" x14ac:dyDescent="0.35">
      <c r="A3841">
        <v>1518</v>
      </c>
      <c r="B3841" s="1">
        <v>45573</v>
      </c>
      <c r="C3841" t="s">
        <v>12</v>
      </c>
      <c r="D3841" s="2">
        <v>2534.44</v>
      </c>
      <c r="E3841" s="2">
        <v>0</v>
      </c>
      <c r="F3841" t="s">
        <v>13</v>
      </c>
      <c r="G3841" t="s">
        <v>9</v>
      </c>
    </row>
    <row r="3842" spans="1:7" x14ac:dyDescent="0.35">
      <c r="A3842">
        <v>1518</v>
      </c>
      <c r="B3842" s="1">
        <v>45573</v>
      </c>
      <c r="C3842" t="s">
        <v>12</v>
      </c>
      <c r="D3842" s="2">
        <v>0</v>
      </c>
      <c r="E3842" s="2">
        <v>2357.62</v>
      </c>
      <c r="F3842" t="s">
        <v>14</v>
      </c>
      <c r="G3842" t="s">
        <v>15</v>
      </c>
    </row>
    <row r="3843" spans="1:7" x14ac:dyDescent="0.35">
      <c r="A3843">
        <v>1518</v>
      </c>
      <c r="B3843" s="1">
        <v>45573</v>
      </c>
      <c r="C3843" t="s">
        <v>12</v>
      </c>
      <c r="D3843" s="2">
        <v>0</v>
      </c>
      <c r="E3843" s="2">
        <v>176.82</v>
      </c>
      <c r="F3843" t="s">
        <v>16</v>
      </c>
      <c r="G3843" t="s">
        <v>17</v>
      </c>
    </row>
    <row r="3844" spans="1:7" x14ac:dyDescent="0.35">
      <c r="A3844">
        <v>1519</v>
      </c>
      <c r="B3844" s="1">
        <v>45573</v>
      </c>
      <c r="C3844" t="s">
        <v>24</v>
      </c>
      <c r="D3844" s="2">
        <v>1839.9</v>
      </c>
      <c r="E3844" s="2">
        <v>0</v>
      </c>
      <c r="F3844" t="s">
        <v>8</v>
      </c>
      <c r="G3844" t="s">
        <v>9</v>
      </c>
    </row>
    <row r="3845" spans="1:7" x14ac:dyDescent="0.35">
      <c r="A3845">
        <v>1519</v>
      </c>
      <c r="B3845" s="1">
        <v>45573</v>
      </c>
      <c r="C3845" t="s">
        <v>24</v>
      </c>
      <c r="D3845" s="2">
        <v>0</v>
      </c>
      <c r="E3845" s="2">
        <v>1839.9</v>
      </c>
      <c r="F3845" t="s">
        <v>13</v>
      </c>
      <c r="G3845" t="s">
        <v>9</v>
      </c>
    </row>
    <row r="3846" spans="1:7" x14ac:dyDescent="0.35">
      <c r="A3846">
        <v>1520</v>
      </c>
      <c r="B3846" s="1">
        <v>45573</v>
      </c>
      <c r="C3846" t="s">
        <v>24</v>
      </c>
      <c r="D3846" s="2">
        <v>2420.2600000000002</v>
      </c>
      <c r="E3846" s="2">
        <v>0</v>
      </c>
      <c r="F3846" t="s">
        <v>8</v>
      </c>
      <c r="G3846" t="s">
        <v>9</v>
      </c>
    </row>
    <row r="3847" spans="1:7" x14ac:dyDescent="0.35">
      <c r="A3847">
        <v>1520</v>
      </c>
      <c r="B3847" s="1">
        <v>45573</v>
      </c>
      <c r="C3847" t="s">
        <v>24</v>
      </c>
      <c r="D3847" s="2">
        <v>0</v>
      </c>
      <c r="E3847" s="2">
        <v>2420.2600000000002</v>
      </c>
      <c r="F3847" t="s">
        <v>13</v>
      </c>
      <c r="G3847" t="s">
        <v>9</v>
      </c>
    </row>
    <row r="3848" spans="1:7" x14ac:dyDescent="0.35">
      <c r="A3848">
        <v>1521</v>
      </c>
      <c r="B3848" s="1">
        <v>45573</v>
      </c>
      <c r="C3848" t="s">
        <v>29</v>
      </c>
      <c r="D3848" s="2">
        <v>550.4</v>
      </c>
      <c r="E3848" s="2">
        <v>0</v>
      </c>
      <c r="F3848" t="s">
        <v>28</v>
      </c>
      <c r="G3848" t="s">
        <v>17</v>
      </c>
    </row>
    <row r="3849" spans="1:7" x14ac:dyDescent="0.35">
      <c r="A3849">
        <v>1521</v>
      </c>
      <c r="B3849" s="1">
        <v>45573</v>
      </c>
      <c r="C3849" t="s">
        <v>29</v>
      </c>
      <c r="D3849" s="2">
        <v>0</v>
      </c>
      <c r="E3849" s="2">
        <v>550.4</v>
      </c>
      <c r="F3849" t="s">
        <v>8</v>
      </c>
      <c r="G3849" t="s">
        <v>9</v>
      </c>
    </row>
    <row r="3850" spans="1:7" x14ac:dyDescent="0.35">
      <c r="A3850">
        <v>1522</v>
      </c>
      <c r="B3850" s="1">
        <v>45573</v>
      </c>
      <c r="C3850" t="s">
        <v>29</v>
      </c>
      <c r="D3850" s="2">
        <v>2182.41</v>
      </c>
      <c r="E3850" s="2">
        <v>0</v>
      </c>
      <c r="F3850" t="s">
        <v>28</v>
      </c>
      <c r="G3850" t="s">
        <v>17</v>
      </c>
    </row>
    <row r="3851" spans="1:7" x14ac:dyDescent="0.35">
      <c r="A3851">
        <v>1522</v>
      </c>
      <c r="B3851" s="1">
        <v>45573</v>
      </c>
      <c r="C3851" t="s">
        <v>29</v>
      </c>
      <c r="D3851" s="2">
        <v>0</v>
      </c>
      <c r="E3851" s="2">
        <v>2182.41</v>
      </c>
      <c r="F3851" t="s">
        <v>8</v>
      </c>
      <c r="G3851" t="s">
        <v>9</v>
      </c>
    </row>
    <row r="3852" spans="1:7" x14ac:dyDescent="0.35">
      <c r="A3852">
        <v>1523</v>
      </c>
      <c r="B3852" s="1">
        <v>45574</v>
      </c>
      <c r="C3852" t="s">
        <v>12</v>
      </c>
      <c r="D3852" s="2">
        <v>663.77</v>
      </c>
      <c r="E3852" s="2">
        <v>0</v>
      </c>
      <c r="F3852" t="s">
        <v>13</v>
      </c>
      <c r="G3852" t="s">
        <v>9</v>
      </c>
    </row>
    <row r="3853" spans="1:7" x14ac:dyDescent="0.35">
      <c r="A3853">
        <v>1523</v>
      </c>
      <c r="B3853" s="1">
        <v>45574</v>
      </c>
      <c r="C3853" t="s">
        <v>12</v>
      </c>
      <c r="D3853" s="2">
        <v>0</v>
      </c>
      <c r="E3853" s="2">
        <v>617.46</v>
      </c>
      <c r="F3853" t="s">
        <v>14</v>
      </c>
      <c r="G3853" t="s">
        <v>15</v>
      </c>
    </row>
    <row r="3854" spans="1:7" x14ac:dyDescent="0.35">
      <c r="A3854">
        <v>1523</v>
      </c>
      <c r="B3854" s="1">
        <v>45574</v>
      </c>
      <c r="C3854" t="s">
        <v>12</v>
      </c>
      <c r="D3854" s="2">
        <v>0</v>
      </c>
      <c r="E3854" s="2">
        <v>46.31</v>
      </c>
      <c r="F3854" t="s">
        <v>16</v>
      </c>
      <c r="G3854" t="s">
        <v>17</v>
      </c>
    </row>
    <row r="3855" spans="1:7" x14ac:dyDescent="0.35">
      <c r="A3855">
        <v>1524</v>
      </c>
      <c r="B3855" s="1">
        <v>45574</v>
      </c>
      <c r="C3855" t="s">
        <v>12</v>
      </c>
      <c r="D3855" s="2">
        <v>2837.21</v>
      </c>
      <c r="E3855" s="2">
        <v>0</v>
      </c>
      <c r="F3855" t="s">
        <v>13</v>
      </c>
      <c r="G3855" t="s">
        <v>9</v>
      </c>
    </row>
    <row r="3856" spans="1:7" x14ac:dyDescent="0.35">
      <c r="A3856">
        <v>1524</v>
      </c>
      <c r="B3856" s="1">
        <v>45574</v>
      </c>
      <c r="C3856" t="s">
        <v>12</v>
      </c>
      <c r="D3856" s="2">
        <v>0</v>
      </c>
      <c r="E3856" s="2">
        <v>2639.26</v>
      </c>
      <c r="F3856" t="s">
        <v>14</v>
      </c>
      <c r="G3856" t="s">
        <v>15</v>
      </c>
    </row>
    <row r="3857" spans="1:7" x14ac:dyDescent="0.35">
      <c r="A3857">
        <v>1524</v>
      </c>
      <c r="B3857" s="1">
        <v>45574</v>
      </c>
      <c r="C3857" t="s">
        <v>12</v>
      </c>
      <c r="D3857" s="2">
        <v>0</v>
      </c>
      <c r="E3857" s="2">
        <v>197.95</v>
      </c>
      <c r="F3857" t="s">
        <v>16</v>
      </c>
      <c r="G3857" t="s">
        <v>17</v>
      </c>
    </row>
    <row r="3858" spans="1:7" x14ac:dyDescent="0.35">
      <c r="A3858">
        <v>1525</v>
      </c>
      <c r="B3858" s="1">
        <v>45574</v>
      </c>
      <c r="C3858" t="s">
        <v>12</v>
      </c>
      <c r="D3858" s="2">
        <v>1849.62</v>
      </c>
      <c r="E3858" s="2">
        <v>0</v>
      </c>
      <c r="F3858" t="s">
        <v>13</v>
      </c>
      <c r="G3858" t="s">
        <v>9</v>
      </c>
    </row>
    <row r="3859" spans="1:7" x14ac:dyDescent="0.35">
      <c r="A3859">
        <v>1525</v>
      </c>
      <c r="B3859" s="1">
        <v>45574</v>
      </c>
      <c r="C3859" t="s">
        <v>12</v>
      </c>
      <c r="D3859" s="2">
        <v>0</v>
      </c>
      <c r="E3859" s="2">
        <v>1720.58</v>
      </c>
      <c r="F3859" t="s">
        <v>14</v>
      </c>
      <c r="G3859" t="s">
        <v>15</v>
      </c>
    </row>
    <row r="3860" spans="1:7" x14ac:dyDescent="0.35">
      <c r="A3860">
        <v>1525</v>
      </c>
      <c r="B3860" s="1">
        <v>45574</v>
      </c>
      <c r="C3860" t="s">
        <v>12</v>
      </c>
      <c r="D3860" s="2">
        <v>0</v>
      </c>
      <c r="E3860" s="2">
        <v>129.04</v>
      </c>
      <c r="F3860" t="s">
        <v>16</v>
      </c>
      <c r="G3860" t="s">
        <v>17</v>
      </c>
    </row>
    <row r="3861" spans="1:7" x14ac:dyDescent="0.35">
      <c r="A3861">
        <v>1526</v>
      </c>
      <c r="B3861" s="1">
        <v>45574</v>
      </c>
      <c r="C3861" t="s">
        <v>24</v>
      </c>
      <c r="D3861" s="2">
        <v>1822.2</v>
      </c>
      <c r="E3861" s="2">
        <v>0</v>
      </c>
      <c r="F3861" t="s">
        <v>8</v>
      </c>
      <c r="G3861" t="s">
        <v>9</v>
      </c>
    </row>
    <row r="3862" spans="1:7" x14ac:dyDescent="0.35">
      <c r="A3862">
        <v>1526</v>
      </c>
      <c r="B3862" s="1">
        <v>45574</v>
      </c>
      <c r="C3862" t="s">
        <v>24</v>
      </c>
      <c r="D3862" s="2">
        <v>0</v>
      </c>
      <c r="E3862" s="2">
        <v>1822.2</v>
      </c>
      <c r="F3862" t="s">
        <v>13</v>
      </c>
      <c r="G3862" t="s">
        <v>9</v>
      </c>
    </row>
    <row r="3863" spans="1:7" x14ac:dyDescent="0.35">
      <c r="A3863">
        <v>1527</v>
      </c>
      <c r="B3863" s="1">
        <v>45574</v>
      </c>
      <c r="C3863" t="s">
        <v>24</v>
      </c>
      <c r="D3863" s="2">
        <v>4415.62</v>
      </c>
      <c r="E3863" s="2">
        <v>0</v>
      </c>
      <c r="F3863" t="s">
        <v>8</v>
      </c>
      <c r="G3863" t="s">
        <v>9</v>
      </c>
    </row>
    <row r="3864" spans="1:7" x14ac:dyDescent="0.35">
      <c r="A3864">
        <v>1527</v>
      </c>
      <c r="B3864" s="1">
        <v>45574</v>
      </c>
      <c r="C3864" t="s">
        <v>24</v>
      </c>
      <c r="D3864" s="2">
        <v>0</v>
      </c>
      <c r="E3864" s="2">
        <v>4415.62</v>
      </c>
      <c r="F3864" t="s">
        <v>13</v>
      </c>
      <c r="G3864" t="s">
        <v>9</v>
      </c>
    </row>
    <row r="3865" spans="1:7" x14ac:dyDescent="0.35">
      <c r="A3865">
        <v>1528</v>
      </c>
      <c r="B3865" s="1">
        <v>45574</v>
      </c>
      <c r="C3865" t="s">
        <v>24</v>
      </c>
      <c r="D3865" s="2">
        <v>1793.82</v>
      </c>
      <c r="E3865" s="2">
        <v>0</v>
      </c>
      <c r="F3865" t="s">
        <v>8</v>
      </c>
      <c r="G3865" t="s">
        <v>9</v>
      </c>
    </row>
    <row r="3866" spans="1:7" x14ac:dyDescent="0.35">
      <c r="A3866">
        <v>1528</v>
      </c>
      <c r="B3866" s="1">
        <v>45574</v>
      </c>
      <c r="C3866" t="s">
        <v>24</v>
      </c>
      <c r="D3866" s="2">
        <v>0</v>
      </c>
      <c r="E3866" s="2">
        <v>1793.82</v>
      </c>
      <c r="F3866" t="s">
        <v>13</v>
      </c>
      <c r="G3866" t="s">
        <v>9</v>
      </c>
    </row>
    <row r="3867" spans="1:7" x14ac:dyDescent="0.35">
      <c r="A3867">
        <v>1529</v>
      </c>
      <c r="B3867" s="1">
        <v>45574</v>
      </c>
      <c r="C3867" t="s">
        <v>25</v>
      </c>
      <c r="D3867" s="2">
        <v>3598.88</v>
      </c>
      <c r="E3867" s="2">
        <v>0</v>
      </c>
      <c r="F3867" t="s">
        <v>26</v>
      </c>
      <c r="G3867" t="s">
        <v>20</v>
      </c>
    </row>
    <row r="3868" spans="1:7" x14ac:dyDescent="0.35">
      <c r="A3868">
        <v>1529</v>
      </c>
      <c r="B3868" s="1">
        <v>45574</v>
      </c>
      <c r="C3868" t="s">
        <v>25</v>
      </c>
      <c r="D3868" s="2">
        <v>269.92</v>
      </c>
      <c r="E3868" s="2">
        <v>0</v>
      </c>
      <c r="F3868" t="s">
        <v>27</v>
      </c>
      <c r="G3868" t="s">
        <v>9</v>
      </c>
    </row>
    <row r="3869" spans="1:7" x14ac:dyDescent="0.35">
      <c r="A3869">
        <v>1529</v>
      </c>
      <c r="B3869" s="1">
        <v>45574</v>
      </c>
      <c r="C3869" t="s">
        <v>25</v>
      </c>
      <c r="D3869" s="2">
        <v>0</v>
      </c>
      <c r="E3869" s="2">
        <v>3868.8</v>
      </c>
      <c r="F3869" t="s">
        <v>28</v>
      </c>
      <c r="G3869" t="s">
        <v>17</v>
      </c>
    </row>
    <row r="3870" spans="1:7" x14ac:dyDescent="0.35">
      <c r="A3870">
        <v>1530</v>
      </c>
      <c r="B3870" s="1">
        <v>45574</v>
      </c>
      <c r="C3870" t="s">
        <v>25</v>
      </c>
      <c r="D3870" s="2">
        <v>1800.04</v>
      </c>
      <c r="E3870" s="2">
        <v>0</v>
      </c>
      <c r="F3870" t="s">
        <v>26</v>
      </c>
      <c r="G3870" t="s">
        <v>20</v>
      </c>
    </row>
    <row r="3871" spans="1:7" x14ac:dyDescent="0.35">
      <c r="A3871">
        <v>1530</v>
      </c>
      <c r="B3871" s="1">
        <v>45574</v>
      </c>
      <c r="C3871" t="s">
        <v>25</v>
      </c>
      <c r="D3871" s="2">
        <v>135</v>
      </c>
      <c r="E3871" s="2">
        <v>0</v>
      </c>
      <c r="F3871" t="s">
        <v>27</v>
      </c>
      <c r="G3871" t="s">
        <v>9</v>
      </c>
    </row>
    <row r="3872" spans="1:7" x14ac:dyDescent="0.35">
      <c r="A3872">
        <v>1530</v>
      </c>
      <c r="B3872" s="1">
        <v>45574</v>
      </c>
      <c r="C3872" t="s">
        <v>25</v>
      </c>
      <c r="D3872" s="2">
        <v>0</v>
      </c>
      <c r="E3872" s="2">
        <v>1935.04</v>
      </c>
      <c r="F3872" t="s">
        <v>28</v>
      </c>
      <c r="G3872" t="s">
        <v>17</v>
      </c>
    </row>
    <row r="3873" spans="1:7" x14ac:dyDescent="0.35">
      <c r="A3873">
        <v>1531</v>
      </c>
      <c r="B3873" s="1">
        <v>45574</v>
      </c>
      <c r="C3873" t="s">
        <v>29</v>
      </c>
      <c r="D3873" s="2">
        <v>1958.74</v>
      </c>
      <c r="E3873" s="2">
        <v>0</v>
      </c>
      <c r="F3873" t="s">
        <v>28</v>
      </c>
      <c r="G3873" t="s">
        <v>17</v>
      </c>
    </row>
    <row r="3874" spans="1:7" x14ac:dyDescent="0.35">
      <c r="A3874">
        <v>1531</v>
      </c>
      <c r="B3874" s="1">
        <v>45574</v>
      </c>
      <c r="C3874" t="s">
        <v>29</v>
      </c>
      <c r="D3874" s="2">
        <v>0</v>
      </c>
      <c r="E3874" s="2">
        <v>1958.74</v>
      </c>
      <c r="F3874" t="s">
        <v>8</v>
      </c>
      <c r="G3874" t="s">
        <v>9</v>
      </c>
    </row>
    <row r="3875" spans="1:7" x14ac:dyDescent="0.35">
      <c r="A3875">
        <v>1532</v>
      </c>
      <c r="B3875" s="1">
        <v>45574</v>
      </c>
      <c r="C3875" t="s">
        <v>29</v>
      </c>
      <c r="D3875" s="2">
        <v>9336.67</v>
      </c>
      <c r="E3875" s="2">
        <v>0</v>
      </c>
      <c r="F3875" t="s">
        <v>28</v>
      </c>
      <c r="G3875" t="s">
        <v>17</v>
      </c>
    </row>
    <row r="3876" spans="1:7" x14ac:dyDescent="0.35">
      <c r="A3876">
        <v>1532</v>
      </c>
      <c r="B3876" s="1">
        <v>45574</v>
      </c>
      <c r="C3876" t="s">
        <v>29</v>
      </c>
      <c r="D3876" s="2">
        <v>0</v>
      </c>
      <c r="E3876" s="2">
        <v>9336.67</v>
      </c>
      <c r="F3876" t="s">
        <v>8</v>
      </c>
      <c r="G3876" t="s">
        <v>9</v>
      </c>
    </row>
    <row r="3877" spans="1:7" x14ac:dyDescent="0.35">
      <c r="A3877">
        <v>1533</v>
      </c>
      <c r="B3877" s="1">
        <v>45575</v>
      </c>
      <c r="C3877" t="s">
        <v>18</v>
      </c>
      <c r="D3877" s="2">
        <v>22241.05</v>
      </c>
      <c r="E3877" s="2">
        <v>0</v>
      </c>
      <c r="F3877" t="s">
        <v>19</v>
      </c>
      <c r="G3877" t="s">
        <v>20</v>
      </c>
    </row>
    <row r="3878" spans="1:7" x14ac:dyDescent="0.35">
      <c r="A3878">
        <v>1533</v>
      </c>
      <c r="B3878" s="1">
        <v>45575</v>
      </c>
      <c r="C3878" t="s">
        <v>18</v>
      </c>
      <c r="D3878" s="2">
        <v>889.64</v>
      </c>
      <c r="E3878" s="2">
        <v>0</v>
      </c>
      <c r="F3878" t="s">
        <v>21</v>
      </c>
      <c r="G3878" t="s">
        <v>20</v>
      </c>
    </row>
    <row r="3879" spans="1:7" x14ac:dyDescent="0.35">
      <c r="A3879">
        <v>1533</v>
      </c>
      <c r="B3879" s="1">
        <v>45575</v>
      </c>
      <c r="C3879" t="s">
        <v>18</v>
      </c>
      <c r="D3879" s="2">
        <v>0</v>
      </c>
      <c r="E3879" s="2">
        <v>18171.78</v>
      </c>
      <c r="F3879" t="s">
        <v>8</v>
      </c>
      <c r="G3879" t="s">
        <v>9</v>
      </c>
    </row>
    <row r="3880" spans="1:7" x14ac:dyDescent="0.35">
      <c r="A3880">
        <v>1533</v>
      </c>
      <c r="B3880" s="1">
        <v>45575</v>
      </c>
      <c r="C3880" t="s">
        <v>18</v>
      </c>
      <c r="D3880" s="2">
        <v>0</v>
      </c>
      <c r="E3880" s="2">
        <v>4069.27</v>
      </c>
      <c r="F3880" t="s">
        <v>22</v>
      </c>
      <c r="G3880" t="s">
        <v>17</v>
      </c>
    </row>
    <row r="3881" spans="1:7" x14ac:dyDescent="0.35">
      <c r="A3881">
        <v>1533</v>
      </c>
      <c r="B3881" s="1">
        <v>45575</v>
      </c>
      <c r="C3881" t="s">
        <v>18</v>
      </c>
      <c r="D3881" s="2">
        <v>0</v>
      </c>
      <c r="E3881" s="2">
        <v>889.64</v>
      </c>
      <c r="F3881" t="s">
        <v>23</v>
      </c>
      <c r="G3881" t="s">
        <v>17</v>
      </c>
    </row>
    <row r="3882" spans="1:7" x14ac:dyDescent="0.35">
      <c r="A3882">
        <v>1534</v>
      </c>
      <c r="B3882" s="1">
        <v>45575</v>
      </c>
      <c r="C3882" t="s">
        <v>12</v>
      </c>
      <c r="D3882" s="2">
        <v>964.23</v>
      </c>
      <c r="E3882" s="2">
        <v>0</v>
      </c>
      <c r="F3882" t="s">
        <v>13</v>
      </c>
      <c r="G3882" t="s">
        <v>9</v>
      </c>
    </row>
    <row r="3883" spans="1:7" x14ac:dyDescent="0.35">
      <c r="A3883">
        <v>1534</v>
      </c>
      <c r="B3883" s="1">
        <v>45575</v>
      </c>
      <c r="C3883" t="s">
        <v>12</v>
      </c>
      <c r="D3883" s="2">
        <v>0</v>
      </c>
      <c r="E3883" s="2">
        <v>896.96</v>
      </c>
      <c r="F3883" t="s">
        <v>14</v>
      </c>
      <c r="G3883" t="s">
        <v>15</v>
      </c>
    </row>
    <row r="3884" spans="1:7" x14ac:dyDescent="0.35">
      <c r="A3884">
        <v>1534</v>
      </c>
      <c r="B3884" s="1">
        <v>45575</v>
      </c>
      <c r="C3884" t="s">
        <v>12</v>
      </c>
      <c r="D3884" s="2">
        <v>0</v>
      </c>
      <c r="E3884" s="2">
        <v>67.27</v>
      </c>
      <c r="F3884" t="s">
        <v>16</v>
      </c>
      <c r="G3884" t="s">
        <v>17</v>
      </c>
    </row>
    <row r="3885" spans="1:7" x14ac:dyDescent="0.35">
      <c r="A3885">
        <v>1535</v>
      </c>
      <c r="B3885" s="1">
        <v>45575</v>
      </c>
      <c r="C3885" t="s">
        <v>12</v>
      </c>
      <c r="D3885" s="2">
        <v>3695.13</v>
      </c>
      <c r="E3885" s="2">
        <v>0</v>
      </c>
      <c r="F3885" t="s">
        <v>13</v>
      </c>
      <c r="G3885" t="s">
        <v>9</v>
      </c>
    </row>
    <row r="3886" spans="1:7" x14ac:dyDescent="0.35">
      <c r="A3886">
        <v>1535</v>
      </c>
      <c r="B3886" s="1">
        <v>45575</v>
      </c>
      <c r="C3886" t="s">
        <v>12</v>
      </c>
      <c r="D3886" s="2">
        <v>0</v>
      </c>
      <c r="E3886" s="2">
        <v>3437.33</v>
      </c>
      <c r="F3886" t="s">
        <v>14</v>
      </c>
      <c r="G3886" t="s">
        <v>15</v>
      </c>
    </row>
    <row r="3887" spans="1:7" x14ac:dyDescent="0.35">
      <c r="A3887">
        <v>1535</v>
      </c>
      <c r="B3887" s="1">
        <v>45575</v>
      </c>
      <c r="C3887" t="s">
        <v>12</v>
      </c>
      <c r="D3887" s="2">
        <v>0</v>
      </c>
      <c r="E3887" s="2">
        <v>257.8</v>
      </c>
      <c r="F3887" t="s">
        <v>16</v>
      </c>
      <c r="G3887" t="s">
        <v>17</v>
      </c>
    </row>
    <row r="3888" spans="1:7" x14ac:dyDescent="0.35">
      <c r="A3888">
        <v>1536</v>
      </c>
      <c r="B3888" s="1">
        <v>45575</v>
      </c>
      <c r="C3888" t="s">
        <v>12</v>
      </c>
      <c r="D3888" s="2">
        <v>4776.8900000000003</v>
      </c>
      <c r="E3888" s="2">
        <v>0</v>
      </c>
      <c r="F3888" t="s">
        <v>13</v>
      </c>
      <c r="G3888" t="s">
        <v>9</v>
      </c>
    </row>
    <row r="3889" spans="1:7" x14ac:dyDescent="0.35">
      <c r="A3889">
        <v>1536</v>
      </c>
      <c r="B3889" s="1">
        <v>45575</v>
      </c>
      <c r="C3889" t="s">
        <v>12</v>
      </c>
      <c r="D3889" s="2">
        <v>0</v>
      </c>
      <c r="E3889" s="2">
        <v>4443.62</v>
      </c>
      <c r="F3889" t="s">
        <v>14</v>
      </c>
      <c r="G3889" t="s">
        <v>15</v>
      </c>
    </row>
    <row r="3890" spans="1:7" x14ac:dyDescent="0.35">
      <c r="A3890">
        <v>1536</v>
      </c>
      <c r="B3890" s="1">
        <v>45575</v>
      </c>
      <c r="C3890" t="s">
        <v>12</v>
      </c>
      <c r="D3890" s="2">
        <v>0</v>
      </c>
      <c r="E3890" s="2">
        <v>333.27</v>
      </c>
      <c r="F3890" t="s">
        <v>16</v>
      </c>
      <c r="G3890" t="s">
        <v>17</v>
      </c>
    </row>
    <row r="3891" spans="1:7" x14ac:dyDescent="0.35">
      <c r="A3891">
        <v>1537</v>
      </c>
      <c r="B3891" s="1">
        <v>45575</v>
      </c>
      <c r="C3891" t="s">
        <v>24</v>
      </c>
      <c r="D3891" s="2">
        <v>1176.26</v>
      </c>
      <c r="E3891" s="2">
        <v>0</v>
      </c>
      <c r="F3891" t="s">
        <v>8</v>
      </c>
      <c r="G3891" t="s">
        <v>9</v>
      </c>
    </row>
    <row r="3892" spans="1:7" x14ac:dyDescent="0.35">
      <c r="A3892">
        <v>1537</v>
      </c>
      <c r="B3892" s="1">
        <v>45575</v>
      </c>
      <c r="C3892" t="s">
        <v>24</v>
      </c>
      <c r="D3892" s="2">
        <v>0</v>
      </c>
      <c r="E3892" s="2">
        <v>1176.26</v>
      </c>
      <c r="F3892" t="s">
        <v>13</v>
      </c>
      <c r="G3892" t="s">
        <v>9</v>
      </c>
    </row>
    <row r="3893" spans="1:7" x14ac:dyDescent="0.35">
      <c r="A3893">
        <v>1538</v>
      </c>
      <c r="B3893" s="1">
        <v>45575</v>
      </c>
      <c r="C3893" t="s">
        <v>24</v>
      </c>
      <c r="D3893" s="2">
        <v>1818.11</v>
      </c>
      <c r="E3893" s="2">
        <v>0</v>
      </c>
      <c r="F3893" t="s">
        <v>8</v>
      </c>
      <c r="G3893" t="s">
        <v>9</v>
      </c>
    </row>
    <row r="3894" spans="1:7" x14ac:dyDescent="0.35">
      <c r="A3894">
        <v>1538</v>
      </c>
      <c r="B3894" s="1">
        <v>45575</v>
      </c>
      <c r="C3894" t="s">
        <v>24</v>
      </c>
      <c r="D3894" s="2">
        <v>0</v>
      </c>
      <c r="E3894" s="2">
        <v>1818.11</v>
      </c>
      <c r="F3894" t="s">
        <v>13</v>
      </c>
      <c r="G3894" t="s">
        <v>9</v>
      </c>
    </row>
    <row r="3895" spans="1:7" x14ac:dyDescent="0.35">
      <c r="A3895">
        <v>1539</v>
      </c>
      <c r="B3895" s="1">
        <v>45575</v>
      </c>
      <c r="C3895" t="s">
        <v>24</v>
      </c>
      <c r="D3895" s="2">
        <v>1198.22</v>
      </c>
      <c r="E3895" s="2">
        <v>0</v>
      </c>
      <c r="F3895" t="s">
        <v>8</v>
      </c>
      <c r="G3895" t="s">
        <v>9</v>
      </c>
    </row>
    <row r="3896" spans="1:7" x14ac:dyDescent="0.35">
      <c r="A3896">
        <v>1539</v>
      </c>
      <c r="B3896" s="1">
        <v>45575</v>
      </c>
      <c r="C3896" t="s">
        <v>24</v>
      </c>
      <c r="D3896" s="2">
        <v>0</v>
      </c>
      <c r="E3896" s="2">
        <v>1198.22</v>
      </c>
      <c r="F3896" t="s">
        <v>13</v>
      </c>
      <c r="G3896" t="s">
        <v>9</v>
      </c>
    </row>
    <row r="3897" spans="1:7" x14ac:dyDescent="0.35">
      <c r="A3897">
        <v>1540</v>
      </c>
      <c r="B3897" s="1">
        <v>45575</v>
      </c>
      <c r="C3897" t="s">
        <v>24</v>
      </c>
      <c r="D3897" s="2">
        <v>1653.33</v>
      </c>
      <c r="E3897" s="2">
        <v>0</v>
      </c>
      <c r="F3897" t="s">
        <v>8</v>
      </c>
      <c r="G3897" t="s">
        <v>9</v>
      </c>
    </row>
    <row r="3898" spans="1:7" x14ac:dyDescent="0.35">
      <c r="A3898">
        <v>1540</v>
      </c>
      <c r="B3898" s="1">
        <v>45575</v>
      </c>
      <c r="C3898" t="s">
        <v>24</v>
      </c>
      <c r="D3898" s="2">
        <v>0</v>
      </c>
      <c r="E3898" s="2">
        <v>1653.33</v>
      </c>
      <c r="F3898" t="s">
        <v>13</v>
      </c>
      <c r="G3898" t="s">
        <v>9</v>
      </c>
    </row>
    <row r="3899" spans="1:7" x14ac:dyDescent="0.35">
      <c r="A3899">
        <v>1541</v>
      </c>
      <c r="B3899" s="1">
        <v>45575</v>
      </c>
      <c r="C3899" t="s">
        <v>24</v>
      </c>
      <c r="D3899" s="2">
        <v>2021.08</v>
      </c>
      <c r="E3899" s="2">
        <v>0</v>
      </c>
      <c r="F3899" t="s">
        <v>8</v>
      </c>
      <c r="G3899" t="s">
        <v>9</v>
      </c>
    </row>
    <row r="3900" spans="1:7" x14ac:dyDescent="0.35">
      <c r="A3900">
        <v>1541</v>
      </c>
      <c r="B3900" s="1">
        <v>45575</v>
      </c>
      <c r="C3900" t="s">
        <v>24</v>
      </c>
      <c r="D3900" s="2">
        <v>0</v>
      </c>
      <c r="E3900" s="2">
        <v>2021.08</v>
      </c>
      <c r="F3900" t="s">
        <v>13</v>
      </c>
      <c r="G3900" t="s">
        <v>9</v>
      </c>
    </row>
    <row r="3901" spans="1:7" x14ac:dyDescent="0.35">
      <c r="A3901">
        <v>1542</v>
      </c>
      <c r="B3901" s="1">
        <v>45575</v>
      </c>
      <c r="C3901" t="s">
        <v>24</v>
      </c>
      <c r="D3901" s="2">
        <v>1390.04</v>
      </c>
      <c r="E3901" s="2">
        <v>0</v>
      </c>
      <c r="F3901" t="s">
        <v>8</v>
      </c>
      <c r="G3901" t="s">
        <v>9</v>
      </c>
    </row>
    <row r="3902" spans="1:7" x14ac:dyDescent="0.35">
      <c r="A3902">
        <v>1542</v>
      </c>
      <c r="B3902" s="1">
        <v>45575</v>
      </c>
      <c r="C3902" t="s">
        <v>24</v>
      </c>
      <c r="D3902" s="2">
        <v>0</v>
      </c>
      <c r="E3902" s="2">
        <v>1390.04</v>
      </c>
      <c r="F3902" t="s">
        <v>13</v>
      </c>
      <c r="G3902" t="s">
        <v>9</v>
      </c>
    </row>
    <row r="3903" spans="1:7" x14ac:dyDescent="0.35">
      <c r="A3903">
        <v>1543</v>
      </c>
      <c r="B3903" s="1">
        <v>45575</v>
      </c>
      <c r="C3903" t="s">
        <v>29</v>
      </c>
      <c r="D3903" s="2">
        <v>1023.42</v>
      </c>
      <c r="E3903" s="2">
        <v>0</v>
      </c>
      <c r="F3903" t="s">
        <v>28</v>
      </c>
      <c r="G3903" t="s">
        <v>17</v>
      </c>
    </row>
    <row r="3904" spans="1:7" x14ac:dyDescent="0.35">
      <c r="A3904">
        <v>1543</v>
      </c>
      <c r="B3904" s="1">
        <v>45575</v>
      </c>
      <c r="C3904" t="s">
        <v>29</v>
      </c>
      <c r="D3904" s="2">
        <v>0</v>
      </c>
      <c r="E3904" s="2">
        <v>1023.42</v>
      </c>
      <c r="F3904" t="s">
        <v>8</v>
      </c>
      <c r="G3904" t="s">
        <v>9</v>
      </c>
    </row>
    <row r="3905" spans="1:7" x14ac:dyDescent="0.35">
      <c r="A3905">
        <v>1544</v>
      </c>
      <c r="B3905" s="1">
        <v>45576</v>
      </c>
      <c r="C3905" t="s">
        <v>12</v>
      </c>
      <c r="D3905" s="2">
        <v>831.41</v>
      </c>
      <c r="E3905" s="2">
        <v>0</v>
      </c>
      <c r="F3905" t="s">
        <v>13</v>
      </c>
      <c r="G3905" t="s">
        <v>9</v>
      </c>
    </row>
    <row r="3906" spans="1:7" x14ac:dyDescent="0.35">
      <c r="A3906">
        <v>1544</v>
      </c>
      <c r="B3906" s="1">
        <v>45576</v>
      </c>
      <c r="C3906" t="s">
        <v>12</v>
      </c>
      <c r="D3906" s="2">
        <v>0</v>
      </c>
      <c r="E3906" s="2">
        <v>773.4</v>
      </c>
      <c r="F3906" t="s">
        <v>14</v>
      </c>
      <c r="G3906" t="s">
        <v>15</v>
      </c>
    </row>
    <row r="3907" spans="1:7" x14ac:dyDescent="0.35">
      <c r="A3907">
        <v>1544</v>
      </c>
      <c r="B3907" s="1">
        <v>45576</v>
      </c>
      <c r="C3907" t="s">
        <v>12</v>
      </c>
      <c r="D3907" s="2">
        <v>0</v>
      </c>
      <c r="E3907" s="2">
        <v>58.01</v>
      </c>
      <c r="F3907" t="s">
        <v>16</v>
      </c>
      <c r="G3907" t="s">
        <v>17</v>
      </c>
    </row>
    <row r="3908" spans="1:7" x14ac:dyDescent="0.35">
      <c r="A3908">
        <v>1545</v>
      </c>
      <c r="B3908" s="1">
        <v>45576</v>
      </c>
      <c r="C3908" t="s">
        <v>12</v>
      </c>
      <c r="D3908" s="2">
        <v>306.16000000000003</v>
      </c>
      <c r="E3908" s="2">
        <v>0</v>
      </c>
      <c r="F3908" t="s">
        <v>13</v>
      </c>
      <c r="G3908" t="s">
        <v>9</v>
      </c>
    </row>
    <row r="3909" spans="1:7" x14ac:dyDescent="0.35">
      <c r="A3909">
        <v>1545</v>
      </c>
      <c r="B3909" s="1">
        <v>45576</v>
      </c>
      <c r="C3909" t="s">
        <v>12</v>
      </c>
      <c r="D3909" s="2">
        <v>0</v>
      </c>
      <c r="E3909" s="2">
        <v>284.8</v>
      </c>
      <c r="F3909" t="s">
        <v>14</v>
      </c>
      <c r="G3909" t="s">
        <v>15</v>
      </c>
    </row>
    <row r="3910" spans="1:7" x14ac:dyDescent="0.35">
      <c r="A3910">
        <v>1545</v>
      </c>
      <c r="B3910" s="1">
        <v>45576</v>
      </c>
      <c r="C3910" t="s">
        <v>12</v>
      </c>
      <c r="D3910" s="2">
        <v>0</v>
      </c>
      <c r="E3910" s="2">
        <v>21.36</v>
      </c>
      <c r="F3910" t="s">
        <v>16</v>
      </c>
      <c r="G3910" t="s">
        <v>17</v>
      </c>
    </row>
    <row r="3911" spans="1:7" x14ac:dyDescent="0.35">
      <c r="A3911">
        <v>1546</v>
      </c>
      <c r="B3911" s="1">
        <v>45576</v>
      </c>
      <c r="C3911" t="s">
        <v>12</v>
      </c>
      <c r="D3911" s="2">
        <v>1751.83</v>
      </c>
      <c r="E3911" s="2">
        <v>0</v>
      </c>
      <c r="F3911" t="s">
        <v>13</v>
      </c>
      <c r="G3911" t="s">
        <v>9</v>
      </c>
    </row>
    <row r="3912" spans="1:7" x14ac:dyDescent="0.35">
      <c r="A3912">
        <v>1546</v>
      </c>
      <c r="B3912" s="1">
        <v>45576</v>
      </c>
      <c r="C3912" t="s">
        <v>12</v>
      </c>
      <c r="D3912" s="2">
        <v>0</v>
      </c>
      <c r="E3912" s="2">
        <v>1629.61</v>
      </c>
      <c r="F3912" t="s">
        <v>14</v>
      </c>
      <c r="G3912" t="s">
        <v>15</v>
      </c>
    </row>
    <row r="3913" spans="1:7" x14ac:dyDescent="0.35">
      <c r="A3913">
        <v>1546</v>
      </c>
      <c r="B3913" s="1">
        <v>45576</v>
      </c>
      <c r="C3913" t="s">
        <v>12</v>
      </c>
      <c r="D3913" s="2">
        <v>0</v>
      </c>
      <c r="E3913" s="2">
        <v>122.22</v>
      </c>
      <c r="F3913" t="s">
        <v>16</v>
      </c>
      <c r="G3913" t="s">
        <v>17</v>
      </c>
    </row>
    <row r="3914" spans="1:7" x14ac:dyDescent="0.35">
      <c r="A3914">
        <v>1547</v>
      </c>
      <c r="B3914" s="1">
        <v>45576</v>
      </c>
      <c r="C3914" t="s">
        <v>24</v>
      </c>
      <c r="D3914" s="2">
        <v>5064.41</v>
      </c>
      <c r="E3914" s="2">
        <v>0</v>
      </c>
      <c r="F3914" t="s">
        <v>8</v>
      </c>
      <c r="G3914" t="s">
        <v>9</v>
      </c>
    </row>
    <row r="3915" spans="1:7" x14ac:dyDescent="0.35">
      <c r="A3915">
        <v>1547</v>
      </c>
      <c r="B3915" s="1">
        <v>45576</v>
      </c>
      <c r="C3915" t="s">
        <v>24</v>
      </c>
      <c r="D3915" s="2">
        <v>0</v>
      </c>
      <c r="E3915" s="2">
        <v>5064.41</v>
      </c>
      <c r="F3915" t="s">
        <v>13</v>
      </c>
      <c r="G3915" t="s">
        <v>9</v>
      </c>
    </row>
    <row r="3916" spans="1:7" x14ac:dyDescent="0.35">
      <c r="A3916">
        <v>1548</v>
      </c>
      <c r="B3916" s="1">
        <v>45576</v>
      </c>
      <c r="C3916" t="s">
        <v>24</v>
      </c>
      <c r="D3916" s="2">
        <v>2052.79</v>
      </c>
      <c r="E3916" s="2">
        <v>0</v>
      </c>
      <c r="F3916" t="s">
        <v>8</v>
      </c>
      <c r="G3916" t="s">
        <v>9</v>
      </c>
    </row>
    <row r="3917" spans="1:7" x14ac:dyDescent="0.35">
      <c r="A3917">
        <v>1548</v>
      </c>
      <c r="B3917" s="1">
        <v>45576</v>
      </c>
      <c r="C3917" t="s">
        <v>24</v>
      </c>
      <c r="D3917" s="2">
        <v>0</v>
      </c>
      <c r="E3917" s="2">
        <v>2052.79</v>
      </c>
      <c r="F3917" t="s">
        <v>13</v>
      </c>
      <c r="G3917" t="s">
        <v>9</v>
      </c>
    </row>
    <row r="3918" spans="1:7" x14ac:dyDescent="0.35">
      <c r="A3918">
        <v>1549</v>
      </c>
      <c r="B3918" s="1">
        <v>45576</v>
      </c>
      <c r="C3918" t="s">
        <v>24</v>
      </c>
      <c r="D3918" s="2">
        <v>2652.17</v>
      </c>
      <c r="E3918" s="2">
        <v>0</v>
      </c>
      <c r="F3918" t="s">
        <v>8</v>
      </c>
      <c r="G3918" t="s">
        <v>9</v>
      </c>
    </row>
    <row r="3919" spans="1:7" x14ac:dyDescent="0.35">
      <c r="A3919">
        <v>1549</v>
      </c>
      <c r="B3919" s="1">
        <v>45576</v>
      </c>
      <c r="C3919" t="s">
        <v>24</v>
      </c>
      <c r="D3919" s="2">
        <v>0</v>
      </c>
      <c r="E3919" s="2">
        <v>2652.17</v>
      </c>
      <c r="F3919" t="s">
        <v>13</v>
      </c>
      <c r="G3919" t="s">
        <v>9</v>
      </c>
    </row>
    <row r="3920" spans="1:7" x14ac:dyDescent="0.35">
      <c r="A3920">
        <v>1550</v>
      </c>
      <c r="B3920" s="1">
        <v>45576</v>
      </c>
      <c r="C3920" t="s">
        <v>24</v>
      </c>
      <c r="D3920" s="2">
        <v>2735.36</v>
      </c>
      <c r="E3920" s="2">
        <v>0</v>
      </c>
      <c r="F3920" t="s">
        <v>8</v>
      </c>
      <c r="G3920" t="s">
        <v>9</v>
      </c>
    </row>
    <row r="3921" spans="1:7" x14ac:dyDescent="0.35">
      <c r="A3921">
        <v>1550</v>
      </c>
      <c r="B3921" s="1">
        <v>45576</v>
      </c>
      <c r="C3921" t="s">
        <v>24</v>
      </c>
      <c r="D3921" s="2">
        <v>0</v>
      </c>
      <c r="E3921" s="2">
        <v>2735.36</v>
      </c>
      <c r="F3921" t="s">
        <v>13</v>
      </c>
      <c r="G3921" t="s">
        <v>9</v>
      </c>
    </row>
    <row r="3922" spans="1:7" x14ac:dyDescent="0.35">
      <c r="A3922">
        <v>1551</v>
      </c>
      <c r="B3922" s="1">
        <v>45576</v>
      </c>
      <c r="C3922" t="s">
        <v>24</v>
      </c>
      <c r="D3922" s="2">
        <v>5113.82</v>
      </c>
      <c r="E3922" s="2">
        <v>0</v>
      </c>
      <c r="F3922" t="s">
        <v>8</v>
      </c>
      <c r="G3922" t="s">
        <v>9</v>
      </c>
    </row>
    <row r="3923" spans="1:7" x14ac:dyDescent="0.35">
      <c r="A3923">
        <v>1551</v>
      </c>
      <c r="B3923" s="1">
        <v>45576</v>
      </c>
      <c r="C3923" t="s">
        <v>24</v>
      </c>
      <c r="D3923" s="2">
        <v>0</v>
      </c>
      <c r="E3923" s="2">
        <v>5113.82</v>
      </c>
      <c r="F3923" t="s">
        <v>13</v>
      </c>
      <c r="G3923" t="s">
        <v>9</v>
      </c>
    </row>
    <row r="3924" spans="1:7" x14ac:dyDescent="0.35">
      <c r="A3924">
        <v>1552</v>
      </c>
      <c r="B3924" s="1">
        <v>45576</v>
      </c>
      <c r="C3924" t="s">
        <v>24</v>
      </c>
      <c r="D3924" s="2">
        <v>2115.1999999999998</v>
      </c>
      <c r="E3924" s="2">
        <v>0</v>
      </c>
      <c r="F3924" t="s">
        <v>8</v>
      </c>
      <c r="G3924" t="s">
        <v>9</v>
      </c>
    </row>
    <row r="3925" spans="1:7" x14ac:dyDescent="0.35">
      <c r="A3925">
        <v>1552</v>
      </c>
      <c r="B3925" s="1">
        <v>45576</v>
      </c>
      <c r="C3925" t="s">
        <v>24</v>
      </c>
      <c r="D3925" s="2">
        <v>0</v>
      </c>
      <c r="E3925" s="2">
        <v>2115.1999999999998</v>
      </c>
      <c r="F3925" t="s">
        <v>13</v>
      </c>
      <c r="G3925" t="s">
        <v>9</v>
      </c>
    </row>
    <row r="3926" spans="1:7" x14ac:dyDescent="0.35">
      <c r="A3926">
        <v>1553</v>
      </c>
      <c r="B3926" s="1">
        <v>45576</v>
      </c>
      <c r="C3926" t="s">
        <v>25</v>
      </c>
      <c r="D3926" s="2">
        <v>2329.52</v>
      </c>
      <c r="E3926" s="2">
        <v>0</v>
      </c>
      <c r="F3926" t="s">
        <v>26</v>
      </c>
      <c r="G3926" t="s">
        <v>20</v>
      </c>
    </row>
    <row r="3927" spans="1:7" x14ac:dyDescent="0.35">
      <c r="A3927">
        <v>1553</v>
      </c>
      <c r="B3927" s="1">
        <v>45576</v>
      </c>
      <c r="C3927" t="s">
        <v>25</v>
      </c>
      <c r="D3927" s="2">
        <v>174.71</v>
      </c>
      <c r="E3927" s="2">
        <v>0</v>
      </c>
      <c r="F3927" t="s">
        <v>27</v>
      </c>
      <c r="G3927" t="s">
        <v>9</v>
      </c>
    </row>
    <row r="3928" spans="1:7" x14ac:dyDescent="0.35">
      <c r="A3928">
        <v>1553</v>
      </c>
      <c r="B3928" s="1">
        <v>45576</v>
      </c>
      <c r="C3928" t="s">
        <v>25</v>
      </c>
      <c r="D3928" s="2">
        <v>0</v>
      </c>
      <c r="E3928" s="2">
        <v>2504.23</v>
      </c>
      <c r="F3928" t="s">
        <v>28</v>
      </c>
      <c r="G3928" t="s">
        <v>17</v>
      </c>
    </row>
    <row r="3929" spans="1:7" x14ac:dyDescent="0.35">
      <c r="A3929">
        <v>1554</v>
      </c>
      <c r="B3929" s="1">
        <v>45576</v>
      </c>
      <c r="C3929" t="s">
        <v>29</v>
      </c>
      <c r="D3929" s="2">
        <v>1023.42</v>
      </c>
      <c r="E3929" s="2">
        <v>0</v>
      </c>
      <c r="F3929" t="s">
        <v>28</v>
      </c>
      <c r="G3929" t="s">
        <v>17</v>
      </c>
    </row>
    <row r="3930" spans="1:7" x14ac:dyDescent="0.35">
      <c r="A3930">
        <v>1554</v>
      </c>
      <c r="B3930" s="1">
        <v>45576</v>
      </c>
      <c r="C3930" t="s">
        <v>29</v>
      </c>
      <c r="D3930" s="2">
        <v>0</v>
      </c>
      <c r="E3930" s="2">
        <v>1023.42</v>
      </c>
      <c r="F3930" t="s">
        <v>8</v>
      </c>
      <c r="G3930" t="s">
        <v>9</v>
      </c>
    </row>
    <row r="3931" spans="1:7" x14ac:dyDescent="0.35">
      <c r="A3931">
        <v>1555</v>
      </c>
      <c r="B3931" s="1">
        <v>45579</v>
      </c>
      <c r="C3931" t="s">
        <v>12</v>
      </c>
      <c r="D3931" s="2">
        <v>2437.54</v>
      </c>
      <c r="E3931" s="2">
        <v>0</v>
      </c>
      <c r="F3931" t="s">
        <v>13</v>
      </c>
      <c r="G3931" t="s">
        <v>9</v>
      </c>
    </row>
    <row r="3932" spans="1:7" x14ac:dyDescent="0.35">
      <c r="A3932">
        <v>1555</v>
      </c>
      <c r="B3932" s="1">
        <v>45579</v>
      </c>
      <c r="C3932" t="s">
        <v>12</v>
      </c>
      <c r="D3932" s="2">
        <v>0</v>
      </c>
      <c r="E3932" s="2">
        <v>2267.48</v>
      </c>
      <c r="F3932" t="s">
        <v>14</v>
      </c>
      <c r="G3932" t="s">
        <v>15</v>
      </c>
    </row>
    <row r="3933" spans="1:7" x14ac:dyDescent="0.35">
      <c r="A3933">
        <v>1555</v>
      </c>
      <c r="B3933" s="1">
        <v>45579</v>
      </c>
      <c r="C3933" t="s">
        <v>12</v>
      </c>
      <c r="D3933" s="2">
        <v>0</v>
      </c>
      <c r="E3933" s="2">
        <v>170.06</v>
      </c>
      <c r="F3933" t="s">
        <v>16</v>
      </c>
      <c r="G3933" t="s">
        <v>17</v>
      </c>
    </row>
    <row r="3934" spans="1:7" x14ac:dyDescent="0.35">
      <c r="A3934">
        <v>1556</v>
      </c>
      <c r="B3934" s="1">
        <v>45579</v>
      </c>
      <c r="C3934" t="s">
        <v>12</v>
      </c>
      <c r="D3934" s="2">
        <v>2709.09</v>
      </c>
      <c r="E3934" s="2">
        <v>0</v>
      </c>
      <c r="F3934" t="s">
        <v>13</v>
      </c>
      <c r="G3934" t="s">
        <v>9</v>
      </c>
    </row>
    <row r="3935" spans="1:7" x14ac:dyDescent="0.35">
      <c r="A3935">
        <v>1556</v>
      </c>
      <c r="B3935" s="1">
        <v>45579</v>
      </c>
      <c r="C3935" t="s">
        <v>12</v>
      </c>
      <c r="D3935" s="2">
        <v>0</v>
      </c>
      <c r="E3935" s="2">
        <v>2520.09</v>
      </c>
      <c r="F3935" t="s">
        <v>14</v>
      </c>
      <c r="G3935" t="s">
        <v>15</v>
      </c>
    </row>
    <row r="3936" spans="1:7" x14ac:dyDescent="0.35">
      <c r="A3936">
        <v>1556</v>
      </c>
      <c r="B3936" s="1">
        <v>45579</v>
      </c>
      <c r="C3936" t="s">
        <v>12</v>
      </c>
      <c r="D3936" s="2">
        <v>0</v>
      </c>
      <c r="E3936" s="2">
        <v>189</v>
      </c>
      <c r="F3936" t="s">
        <v>16</v>
      </c>
      <c r="G3936" t="s">
        <v>17</v>
      </c>
    </row>
    <row r="3937" spans="1:7" x14ac:dyDescent="0.35">
      <c r="A3937">
        <v>1557</v>
      </c>
      <c r="B3937" s="1">
        <v>45579</v>
      </c>
      <c r="C3937" t="s">
        <v>12</v>
      </c>
      <c r="D3937" s="2">
        <v>1273.95</v>
      </c>
      <c r="E3937" s="2">
        <v>0</v>
      </c>
      <c r="F3937" t="s">
        <v>13</v>
      </c>
      <c r="G3937" t="s">
        <v>9</v>
      </c>
    </row>
    <row r="3938" spans="1:7" x14ac:dyDescent="0.35">
      <c r="A3938">
        <v>1557</v>
      </c>
      <c r="B3938" s="1">
        <v>45579</v>
      </c>
      <c r="C3938" t="s">
        <v>12</v>
      </c>
      <c r="D3938" s="2">
        <v>0</v>
      </c>
      <c r="E3938" s="2">
        <v>1185.07</v>
      </c>
      <c r="F3938" t="s">
        <v>14</v>
      </c>
      <c r="G3938" t="s">
        <v>15</v>
      </c>
    </row>
    <row r="3939" spans="1:7" x14ac:dyDescent="0.35">
      <c r="A3939">
        <v>1557</v>
      </c>
      <c r="B3939" s="1">
        <v>45579</v>
      </c>
      <c r="C3939" t="s">
        <v>12</v>
      </c>
      <c r="D3939" s="2">
        <v>0</v>
      </c>
      <c r="E3939" s="2">
        <v>88.88</v>
      </c>
      <c r="F3939" t="s">
        <v>16</v>
      </c>
      <c r="G3939" t="s">
        <v>17</v>
      </c>
    </row>
    <row r="3940" spans="1:7" x14ac:dyDescent="0.35">
      <c r="A3940">
        <v>1558</v>
      </c>
      <c r="B3940" s="1">
        <v>45579</v>
      </c>
      <c r="C3940" t="s">
        <v>12</v>
      </c>
      <c r="D3940" s="2">
        <v>2236.14</v>
      </c>
      <c r="E3940" s="2">
        <v>0</v>
      </c>
      <c r="F3940" t="s">
        <v>13</v>
      </c>
      <c r="G3940" t="s">
        <v>9</v>
      </c>
    </row>
    <row r="3941" spans="1:7" x14ac:dyDescent="0.35">
      <c r="A3941">
        <v>1558</v>
      </c>
      <c r="B3941" s="1">
        <v>45579</v>
      </c>
      <c r="C3941" t="s">
        <v>12</v>
      </c>
      <c r="D3941" s="2">
        <v>0</v>
      </c>
      <c r="E3941" s="2">
        <v>2080.13</v>
      </c>
      <c r="F3941" t="s">
        <v>14</v>
      </c>
      <c r="G3941" t="s">
        <v>15</v>
      </c>
    </row>
    <row r="3942" spans="1:7" x14ac:dyDescent="0.35">
      <c r="A3942">
        <v>1558</v>
      </c>
      <c r="B3942" s="1">
        <v>45579</v>
      </c>
      <c r="C3942" t="s">
        <v>12</v>
      </c>
      <c r="D3942" s="2">
        <v>0</v>
      </c>
      <c r="E3942" s="2">
        <v>156.01</v>
      </c>
      <c r="F3942" t="s">
        <v>16</v>
      </c>
      <c r="G3942" t="s">
        <v>17</v>
      </c>
    </row>
    <row r="3943" spans="1:7" x14ac:dyDescent="0.35">
      <c r="A3943">
        <v>1559</v>
      </c>
      <c r="B3943" s="1">
        <v>45579</v>
      </c>
      <c r="C3943" t="s">
        <v>12</v>
      </c>
      <c r="D3943" s="2">
        <v>3009.06</v>
      </c>
      <c r="E3943" s="2">
        <v>0</v>
      </c>
      <c r="F3943" t="s">
        <v>13</v>
      </c>
      <c r="G3943" t="s">
        <v>9</v>
      </c>
    </row>
    <row r="3944" spans="1:7" x14ac:dyDescent="0.35">
      <c r="A3944">
        <v>1559</v>
      </c>
      <c r="B3944" s="1">
        <v>45579</v>
      </c>
      <c r="C3944" t="s">
        <v>12</v>
      </c>
      <c r="D3944" s="2">
        <v>0</v>
      </c>
      <c r="E3944" s="2">
        <v>2799.12</v>
      </c>
      <c r="F3944" t="s">
        <v>14</v>
      </c>
      <c r="G3944" t="s">
        <v>15</v>
      </c>
    </row>
    <row r="3945" spans="1:7" x14ac:dyDescent="0.35">
      <c r="A3945">
        <v>1559</v>
      </c>
      <c r="B3945" s="1">
        <v>45579</v>
      </c>
      <c r="C3945" t="s">
        <v>12</v>
      </c>
      <c r="D3945" s="2">
        <v>0</v>
      </c>
      <c r="E3945" s="2">
        <v>209.94</v>
      </c>
      <c r="F3945" t="s">
        <v>16</v>
      </c>
      <c r="G3945" t="s">
        <v>17</v>
      </c>
    </row>
    <row r="3946" spans="1:7" x14ac:dyDescent="0.35">
      <c r="A3946">
        <v>1560</v>
      </c>
      <c r="B3946" s="1">
        <v>45579</v>
      </c>
      <c r="C3946" t="s">
        <v>12</v>
      </c>
      <c r="D3946" s="2">
        <v>49.8</v>
      </c>
      <c r="E3946" s="2">
        <v>0</v>
      </c>
      <c r="F3946" t="s">
        <v>13</v>
      </c>
      <c r="G3946" t="s">
        <v>9</v>
      </c>
    </row>
    <row r="3947" spans="1:7" x14ac:dyDescent="0.35">
      <c r="A3947">
        <v>1560</v>
      </c>
      <c r="B3947" s="1">
        <v>45579</v>
      </c>
      <c r="C3947" t="s">
        <v>12</v>
      </c>
      <c r="D3947" s="2">
        <v>0</v>
      </c>
      <c r="E3947" s="2">
        <v>46.33</v>
      </c>
      <c r="F3947" t="s">
        <v>14</v>
      </c>
      <c r="G3947" t="s">
        <v>15</v>
      </c>
    </row>
    <row r="3948" spans="1:7" x14ac:dyDescent="0.35">
      <c r="A3948">
        <v>1560</v>
      </c>
      <c r="B3948" s="1">
        <v>45579</v>
      </c>
      <c r="C3948" t="s">
        <v>12</v>
      </c>
      <c r="D3948" s="2">
        <v>0</v>
      </c>
      <c r="E3948" s="2">
        <v>3.47</v>
      </c>
      <c r="F3948" t="s">
        <v>16</v>
      </c>
      <c r="G3948" t="s">
        <v>17</v>
      </c>
    </row>
    <row r="3949" spans="1:7" x14ac:dyDescent="0.35">
      <c r="A3949">
        <v>1561</v>
      </c>
      <c r="B3949" s="1">
        <v>45579</v>
      </c>
      <c r="C3949" t="s">
        <v>12</v>
      </c>
      <c r="D3949" s="2">
        <v>1288.72</v>
      </c>
      <c r="E3949" s="2">
        <v>0</v>
      </c>
      <c r="F3949" t="s">
        <v>13</v>
      </c>
      <c r="G3949" t="s">
        <v>9</v>
      </c>
    </row>
    <row r="3950" spans="1:7" x14ac:dyDescent="0.35">
      <c r="A3950">
        <v>1561</v>
      </c>
      <c r="B3950" s="1">
        <v>45579</v>
      </c>
      <c r="C3950" t="s">
        <v>12</v>
      </c>
      <c r="D3950" s="2">
        <v>0</v>
      </c>
      <c r="E3950" s="2">
        <v>1198.8</v>
      </c>
      <c r="F3950" t="s">
        <v>14</v>
      </c>
      <c r="G3950" t="s">
        <v>15</v>
      </c>
    </row>
    <row r="3951" spans="1:7" x14ac:dyDescent="0.35">
      <c r="A3951">
        <v>1561</v>
      </c>
      <c r="B3951" s="1">
        <v>45579</v>
      </c>
      <c r="C3951" t="s">
        <v>12</v>
      </c>
      <c r="D3951" s="2">
        <v>0</v>
      </c>
      <c r="E3951" s="2">
        <v>89.92</v>
      </c>
      <c r="F3951" t="s">
        <v>16</v>
      </c>
      <c r="G3951" t="s">
        <v>17</v>
      </c>
    </row>
    <row r="3952" spans="1:7" x14ac:dyDescent="0.35">
      <c r="A3952">
        <v>1562</v>
      </c>
      <c r="B3952" s="1">
        <v>45579</v>
      </c>
      <c r="C3952" t="s">
        <v>12</v>
      </c>
      <c r="D3952" s="2">
        <v>1093.3</v>
      </c>
      <c r="E3952" s="2">
        <v>0</v>
      </c>
      <c r="F3952" t="s">
        <v>13</v>
      </c>
      <c r="G3952" t="s">
        <v>9</v>
      </c>
    </row>
    <row r="3953" spans="1:7" x14ac:dyDescent="0.35">
      <c r="A3953">
        <v>1562</v>
      </c>
      <c r="B3953" s="1">
        <v>45579</v>
      </c>
      <c r="C3953" t="s">
        <v>12</v>
      </c>
      <c r="D3953" s="2">
        <v>0</v>
      </c>
      <c r="E3953" s="2">
        <v>1017.02</v>
      </c>
      <c r="F3953" t="s">
        <v>14</v>
      </c>
      <c r="G3953" t="s">
        <v>15</v>
      </c>
    </row>
    <row r="3954" spans="1:7" x14ac:dyDescent="0.35">
      <c r="A3954">
        <v>1562</v>
      </c>
      <c r="B3954" s="1">
        <v>45579</v>
      </c>
      <c r="C3954" t="s">
        <v>12</v>
      </c>
      <c r="D3954" s="2">
        <v>0</v>
      </c>
      <c r="E3954" s="2">
        <v>76.28</v>
      </c>
      <c r="F3954" t="s">
        <v>16</v>
      </c>
      <c r="G3954" t="s">
        <v>17</v>
      </c>
    </row>
    <row r="3955" spans="1:7" x14ac:dyDescent="0.35">
      <c r="A3955">
        <v>1563</v>
      </c>
      <c r="B3955" s="1">
        <v>45579</v>
      </c>
      <c r="C3955" t="s">
        <v>24</v>
      </c>
      <c r="D3955" s="2">
        <v>5450.22</v>
      </c>
      <c r="E3955" s="2">
        <v>0</v>
      </c>
      <c r="F3955" t="s">
        <v>8</v>
      </c>
      <c r="G3955" t="s">
        <v>9</v>
      </c>
    </row>
    <row r="3956" spans="1:7" x14ac:dyDescent="0.35">
      <c r="A3956">
        <v>1563</v>
      </c>
      <c r="B3956" s="1">
        <v>45579</v>
      </c>
      <c r="C3956" t="s">
        <v>24</v>
      </c>
      <c r="D3956" s="2">
        <v>0</v>
      </c>
      <c r="E3956" s="2">
        <v>5450.22</v>
      </c>
      <c r="F3956" t="s">
        <v>13</v>
      </c>
      <c r="G3956" t="s">
        <v>9</v>
      </c>
    </row>
    <row r="3957" spans="1:7" x14ac:dyDescent="0.35">
      <c r="A3957">
        <v>1564</v>
      </c>
      <c r="B3957" s="1">
        <v>45579</v>
      </c>
      <c r="C3957" t="s">
        <v>24</v>
      </c>
      <c r="D3957" s="2">
        <v>4323.51</v>
      </c>
      <c r="E3957" s="2">
        <v>0</v>
      </c>
      <c r="F3957" t="s">
        <v>8</v>
      </c>
      <c r="G3957" t="s">
        <v>9</v>
      </c>
    </row>
    <row r="3958" spans="1:7" x14ac:dyDescent="0.35">
      <c r="A3958">
        <v>1564</v>
      </c>
      <c r="B3958" s="1">
        <v>45579</v>
      </c>
      <c r="C3958" t="s">
        <v>24</v>
      </c>
      <c r="D3958" s="2">
        <v>0</v>
      </c>
      <c r="E3958" s="2">
        <v>4323.51</v>
      </c>
      <c r="F3958" t="s">
        <v>13</v>
      </c>
      <c r="G3958" t="s">
        <v>9</v>
      </c>
    </row>
    <row r="3959" spans="1:7" x14ac:dyDescent="0.35">
      <c r="A3959">
        <v>1565</v>
      </c>
      <c r="B3959" s="1">
        <v>45579</v>
      </c>
      <c r="C3959" t="s">
        <v>24</v>
      </c>
      <c r="D3959" s="2">
        <v>1228.3399999999999</v>
      </c>
      <c r="E3959" s="2">
        <v>0</v>
      </c>
      <c r="F3959" t="s">
        <v>8</v>
      </c>
      <c r="G3959" t="s">
        <v>9</v>
      </c>
    </row>
    <row r="3960" spans="1:7" x14ac:dyDescent="0.35">
      <c r="A3960">
        <v>1565</v>
      </c>
      <c r="B3960" s="1">
        <v>45579</v>
      </c>
      <c r="C3960" t="s">
        <v>24</v>
      </c>
      <c r="D3960" s="2">
        <v>0</v>
      </c>
      <c r="E3960" s="2">
        <v>1228.3399999999999</v>
      </c>
      <c r="F3960" t="s">
        <v>13</v>
      </c>
      <c r="G3960" t="s">
        <v>9</v>
      </c>
    </row>
    <row r="3961" spans="1:7" x14ac:dyDescent="0.35">
      <c r="A3961">
        <v>1566</v>
      </c>
      <c r="B3961" s="1">
        <v>45579</v>
      </c>
      <c r="C3961" t="s">
        <v>25</v>
      </c>
      <c r="D3961" s="2">
        <v>4476.71</v>
      </c>
      <c r="E3961" s="2">
        <v>0</v>
      </c>
      <c r="F3961" t="s">
        <v>26</v>
      </c>
      <c r="G3961" t="s">
        <v>20</v>
      </c>
    </row>
    <row r="3962" spans="1:7" x14ac:dyDescent="0.35">
      <c r="A3962">
        <v>1566</v>
      </c>
      <c r="B3962" s="1">
        <v>45579</v>
      </c>
      <c r="C3962" t="s">
        <v>25</v>
      </c>
      <c r="D3962" s="2">
        <v>335.75</v>
      </c>
      <c r="E3962" s="2">
        <v>0</v>
      </c>
      <c r="F3962" t="s">
        <v>27</v>
      </c>
      <c r="G3962" t="s">
        <v>9</v>
      </c>
    </row>
    <row r="3963" spans="1:7" x14ac:dyDescent="0.35">
      <c r="A3963">
        <v>1566</v>
      </c>
      <c r="B3963" s="1">
        <v>45579</v>
      </c>
      <c r="C3963" t="s">
        <v>25</v>
      </c>
      <c r="D3963" s="2">
        <v>0</v>
      </c>
      <c r="E3963" s="2">
        <v>4812.46</v>
      </c>
      <c r="F3963" t="s">
        <v>28</v>
      </c>
      <c r="G3963" t="s">
        <v>17</v>
      </c>
    </row>
    <row r="3964" spans="1:7" x14ac:dyDescent="0.35">
      <c r="A3964">
        <v>1567</v>
      </c>
      <c r="B3964" s="1">
        <v>45579</v>
      </c>
      <c r="C3964" t="s">
        <v>25</v>
      </c>
      <c r="D3964" s="2">
        <v>1078.92</v>
      </c>
      <c r="E3964" s="2">
        <v>0</v>
      </c>
      <c r="F3964" t="s">
        <v>26</v>
      </c>
      <c r="G3964" t="s">
        <v>20</v>
      </c>
    </row>
    <row r="3965" spans="1:7" x14ac:dyDescent="0.35">
      <c r="A3965">
        <v>1567</v>
      </c>
      <c r="B3965" s="1">
        <v>45579</v>
      </c>
      <c r="C3965" t="s">
        <v>25</v>
      </c>
      <c r="D3965" s="2">
        <v>80.92</v>
      </c>
      <c r="E3965" s="2">
        <v>0</v>
      </c>
      <c r="F3965" t="s">
        <v>27</v>
      </c>
      <c r="G3965" t="s">
        <v>9</v>
      </c>
    </row>
    <row r="3966" spans="1:7" x14ac:dyDescent="0.35">
      <c r="A3966">
        <v>1567</v>
      </c>
      <c r="B3966" s="1">
        <v>45579</v>
      </c>
      <c r="C3966" t="s">
        <v>25</v>
      </c>
      <c r="D3966" s="2">
        <v>0</v>
      </c>
      <c r="E3966" s="2">
        <v>1159.8399999999999</v>
      </c>
      <c r="F3966" t="s">
        <v>28</v>
      </c>
      <c r="G3966" t="s">
        <v>17</v>
      </c>
    </row>
    <row r="3967" spans="1:7" x14ac:dyDescent="0.35">
      <c r="A3967">
        <v>1568</v>
      </c>
      <c r="B3967" s="1">
        <v>45579</v>
      </c>
      <c r="C3967" t="s">
        <v>25</v>
      </c>
      <c r="D3967" s="2">
        <v>3282.76</v>
      </c>
      <c r="E3967" s="2">
        <v>0</v>
      </c>
      <c r="F3967" t="s">
        <v>26</v>
      </c>
      <c r="G3967" t="s">
        <v>20</v>
      </c>
    </row>
    <row r="3968" spans="1:7" x14ac:dyDescent="0.35">
      <c r="A3968">
        <v>1568</v>
      </c>
      <c r="B3968" s="1">
        <v>45579</v>
      </c>
      <c r="C3968" t="s">
        <v>25</v>
      </c>
      <c r="D3968" s="2">
        <v>246.21</v>
      </c>
      <c r="E3968" s="2">
        <v>0</v>
      </c>
      <c r="F3968" t="s">
        <v>27</v>
      </c>
      <c r="G3968" t="s">
        <v>9</v>
      </c>
    </row>
    <row r="3969" spans="1:7" x14ac:dyDescent="0.35">
      <c r="A3969">
        <v>1568</v>
      </c>
      <c r="B3969" s="1">
        <v>45579</v>
      </c>
      <c r="C3969" t="s">
        <v>25</v>
      </c>
      <c r="D3969" s="2">
        <v>0</v>
      </c>
      <c r="E3969" s="2">
        <v>3528.97</v>
      </c>
      <c r="F3969" t="s">
        <v>28</v>
      </c>
      <c r="G3969" t="s">
        <v>17</v>
      </c>
    </row>
    <row r="3970" spans="1:7" x14ac:dyDescent="0.35">
      <c r="A3970">
        <v>1569</v>
      </c>
      <c r="B3970" s="1">
        <v>45579</v>
      </c>
      <c r="C3970" t="s">
        <v>25</v>
      </c>
      <c r="D3970" s="2">
        <v>2451.5</v>
      </c>
      <c r="E3970" s="2">
        <v>0</v>
      </c>
      <c r="F3970" t="s">
        <v>26</v>
      </c>
      <c r="G3970" t="s">
        <v>20</v>
      </c>
    </row>
    <row r="3971" spans="1:7" x14ac:dyDescent="0.35">
      <c r="A3971">
        <v>1569</v>
      </c>
      <c r="B3971" s="1">
        <v>45579</v>
      </c>
      <c r="C3971" t="s">
        <v>25</v>
      </c>
      <c r="D3971" s="2">
        <v>183.86</v>
      </c>
      <c r="E3971" s="2">
        <v>0</v>
      </c>
      <c r="F3971" t="s">
        <v>27</v>
      </c>
      <c r="G3971" t="s">
        <v>9</v>
      </c>
    </row>
    <row r="3972" spans="1:7" x14ac:dyDescent="0.35">
      <c r="A3972">
        <v>1569</v>
      </c>
      <c r="B3972" s="1">
        <v>45579</v>
      </c>
      <c r="C3972" t="s">
        <v>25</v>
      </c>
      <c r="D3972" s="2">
        <v>0</v>
      </c>
      <c r="E3972" s="2">
        <v>2635.36</v>
      </c>
      <c r="F3972" t="s">
        <v>28</v>
      </c>
      <c r="G3972" t="s">
        <v>17</v>
      </c>
    </row>
    <row r="3973" spans="1:7" x14ac:dyDescent="0.35">
      <c r="A3973">
        <v>1570</v>
      </c>
      <c r="B3973" s="1">
        <v>45579</v>
      </c>
      <c r="C3973" t="s">
        <v>29</v>
      </c>
      <c r="D3973" s="2">
        <v>3528.97</v>
      </c>
      <c r="E3973" s="2">
        <v>0</v>
      </c>
      <c r="F3973" t="s">
        <v>28</v>
      </c>
      <c r="G3973" t="s">
        <v>17</v>
      </c>
    </row>
    <row r="3974" spans="1:7" x14ac:dyDescent="0.35">
      <c r="A3974">
        <v>1570</v>
      </c>
      <c r="B3974" s="1">
        <v>45579</v>
      </c>
      <c r="C3974" t="s">
        <v>29</v>
      </c>
      <c r="D3974" s="2">
        <v>0</v>
      </c>
      <c r="E3974" s="2">
        <v>3528.97</v>
      </c>
      <c r="F3974" t="s">
        <v>8</v>
      </c>
      <c r="G3974" t="s">
        <v>9</v>
      </c>
    </row>
    <row r="3975" spans="1:7" x14ac:dyDescent="0.35">
      <c r="A3975">
        <v>1571</v>
      </c>
      <c r="B3975" s="1">
        <v>45579</v>
      </c>
      <c r="C3975" t="s">
        <v>29</v>
      </c>
      <c r="D3975" s="2">
        <v>3868.8</v>
      </c>
      <c r="E3975" s="2">
        <v>0</v>
      </c>
      <c r="F3975" t="s">
        <v>28</v>
      </c>
      <c r="G3975" t="s">
        <v>17</v>
      </c>
    </row>
    <row r="3976" spans="1:7" x14ac:dyDescent="0.35">
      <c r="A3976">
        <v>1571</v>
      </c>
      <c r="B3976" s="1">
        <v>45579</v>
      </c>
      <c r="C3976" t="s">
        <v>29</v>
      </c>
      <c r="D3976" s="2">
        <v>0</v>
      </c>
      <c r="E3976" s="2">
        <v>3868.8</v>
      </c>
      <c r="F3976" t="s">
        <v>8</v>
      </c>
      <c r="G3976" t="s">
        <v>9</v>
      </c>
    </row>
    <row r="3977" spans="1:7" x14ac:dyDescent="0.35">
      <c r="A3977">
        <v>1572</v>
      </c>
      <c r="B3977" s="1">
        <v>45579</v>
      </c>
      <c r="C3977" t="s">
        <v>29</v>
      </c>
      <c r="D3977" s="2">
        <v>1935.04</v>
      </c>
      <c r="E3977" s="2">
        <v>0</v>
      </c>
      <c r="F3977" t="s">
        <v>28</v>
      </c>
      <c r="G3977" t="s">
        <v>17</v>
      </c>
    </row>
    <row r="3978" spans="1:7" x14ac:dyDescent="0.35">
      <c r="A3978">
        <v>1572</v>
      </c>
      <c r="B3978" s="1">
        <v>45579</v>
      </c>
      <c r="C3978" t="s">
        <v>29</v>
      </c>
      <c r="D3978" s="2">
        <v>0</v>
      </c>
      <c r="E3978" s="2">
        <v>1935.04</v>
      </c>
      <c r="F3978" t="s">
        <v>8</v>
      </c>
      <c r="G3978" t="s">
        <v>9</v>
      </c>
    </row>
    <row r="3979" spans="1:7" x14ac:dyDescent="0.35">
      <c r="A3979">
        <v>1573</v>
      </c>
      <c r="B3979" s="1">
        <v>45580</v>
      </c>
      <c r="C3979" t="s">
        <v>12</v>
      </c>
      <c r="D3979" s="2">
        <v>906.22</v>
      </c>
      <c r="E3979" s="2">
        <v>0</v>
      </c>
      <c r="F3979" t="s">
        <v>13</v>
      </c>
      <c r="G3979" t="s">
        <v>9</v>
      </c>
    </row>
    <row r="3980" spans="1:7" x14ac:dyDescent="0.35">
      <c r="A3980">
        <v>1573</v>
      </c>
      <c r="B3980" s="1">
        <v>45580</v>
      </c>
      <c r="C3980" t="s">
        <v>12</v>
      </c>
      <c r="D3980" s="2">
        <v>0</v>
      </c>
      <c r="E3980" s="2">
        <v>843</v>
      </c>
      <c r="F3980" t="s">
        <v>14</v>
      </c>
      <c r="G3980" t="s">
        <v>15</v>
      </c>
    </row>
    <row r="3981" spans="1:7" x14ac:dyDescent="0.35">
      <c r="A3981">
        <v>1573</v>
      </c>
      <c r="B3981" s="1">
        <v>45580</v>
      </c>
      <c r="C3981" t="s">
        <v>12</v>
      </c>
      <c r="D3981" s="2">
        <v>0</v>
      </c>
      <c r="E3981" s="2">
        <v>63.22</v>
      </c>
      <c r="F3981" t="s">
        <v>16</v>
      </c>
      <c r="G3981" t="s">
        <v>17</v>
      </c>
    </row>
    <row r="3982" spans="1:7" x14ac:dyDescent="0.35">
      <c r="A3982">
        <v>1574</v>
      </c>
      <c r="B3982" s="1">
        <v>45580</v>
      </c>
      <c r="C3982" t="s">
        <v>12</v>
      </c>
      <c r="D3982" s="2">
        <v>1627.7</v>
      </c>
      <c r="E3982" s="2">
        <v>0</v>
      </c>
      <c r="F3982" t="s">
        <v>13</v>
      </c>
      <c r="G3982" t="s">
        <v>9</v>
      </c>
    </row>
    <row r="3983" spans="1:7" x14ac:dyDescent="0.35">
      <c r="A3983">
        <v>1574</v>
      </c>
      <c r="B3983" s="1">
        <v>45580</v>
      </c>
      <c r="C3983" t="s">
        <v>12</v>
      </c>
      <c r="D3983" s="2">
        <v>0</v>
      </c>
      <c r="E3983" s="2">
        <v>1514.14</v>
      </c>
      <c r="F3983" t="s">
        <v>14</v>
      </c>
      <c r="G3983" t="s">
        <v>15</v>
      </c>
    </row>
    <row r="3984" spans="1:7" x14ac:dyDescent="0.35">
      <c r="A3984">
        <v>1574</v>
      </c>
      <c r="B3984" s="1">
        <v>45580</v>
      </c>
      <c r="C3984" t="s">
        <v>12</v>
      </c>
      <c r="D3984" s="2">
        <v>0</v>
      </c>
      <c r="E3984" s="2">
        <v>113.56</v>
      </c>
      <c r="F3984" t="s">
        <v>16</v>
      </c>
      <c r="G3984" t="s">
        <v>17</v>
      </c>
    </row>
    <row r="3985" spans="1:7" x14ac:dyDescent="0.35">
      <c r="A3985">
        <v>1575</v>
      </c>
      <c r="B3985" s="1">
        <v>45580</v>
      </c>
      <c r="C3985" t="s">
        <v>12</v>
      </c>
      <c r="D3985" s="2">
        <v>134.31</v>
      </c>
      <c r="E3985" s="2">
        <v>0</v>
      </c>
      <c r="F3985" t="s">
        <v>13</v>
      </c>
      <c r="G3985" t="s">
        <v>9</v>
      </c>
    </row>
    <row r="3986" spans="1:7" x14ac:dyDescent="0.35">
      <c r="A3986">
        <v>1575</v>
      </c>
      <c r="B3986" s="1">
        <v>45580</v>
      </c>
      <c r="C3986" t="s">
        <v>12</v>
      </c>
      <c r="D3986" s="2">
        <v>0</v>
      </c>
      <c r="E3986" s="2">
        <v>124.94</v>
      </c>
      <c r="F3986" t="s">
        <v>14</v>
      </c>
      <c r="G3986" t="s">
        <v>15</v>
      </c>
    </row>
    <row r="3987" spans="1:7" x14ac:dyDescent="0.35">
      <c r="A3987">
        <v>1575</v>
      </c>
      <c r="B3987" s="1">
        <v>45580</v>
      </c>
      <c r="C3987" t="s">
        <v>12</v>
      </c>
      <c r="D3987" s="2">
        <v>0</v>
      </c>
      <c r="E3987" s="2">
        <v>9.3699999999999992</v>
      </c>
      <c r="F3987" t="s">
        <v>16</v>
      </c>
      <c r="G3987" t="s">
        <v>17</v>
      </c>
    </row>
    <row r="3988" spans="1:7" x14ac:dyDescent="0.35">
      <c r="A3988">
        <v>1576</v>
      </c>
      <c r="B3988" s="1">
        <v>45580</v>
      </c>
      <c r="C3988" t="s">
        <v>24</v>
      </c>
      <c r="D3988" s="2">
        <v>3129.81</v>
      </c>
      <c r="E3988" s="2">
        <v>0</v>
      </c>
      <c r="F3988" t="s">
        <v>8</v>
      </c>
      <c r="G3988" t="s">
        <v>9</v>
      </c>
    </row>
    <row r="3989" spans="1:7" x14ac:dyDescent="0.35">
      <c r="A3989">
        <v>1576</v>
      </c>
      <c r="B3989" s="1">
        <v>45580</v>
      </c>
      <c r="C3989" t="s">
        <v>24</v>
      </c>
      <c r="D3989" s="2">
        <v>0</v>
      </c>
      <c r="E3989" s="2">
        <v>3129.81</v>
      </c>
      <c r="F3989" t="s">
        <v>13</v>
      </c>
      <c r="G3989" t="s">
        <v>9</v>
      </c>
    </row>
    <row r="3990" spans="1:7" x14ac:dyDescent="0.35">
      <c r="A3990">
        <v>1577</v>
      </c>
      <c r="B3990" s="1">
        <v>45580</v>
      </c>
      <c r="C3990" t="s">
        <v>24</v>
      </c>
      <c r="D3990" s="2">
        <v>590.71</v>
      </c>
      <c r="E3990" s="2">
        <v>0</v>
      </c>
      <c r="F3990" t="s">
        <v>8</v>
      </c>
      <c r="G3990" t="s">
        <v>9</v>
      </c>
    </row>
    <row r="3991" spans="1:7" x14ac:dyDescent="0.35">
      <c r="A3991">
        <v>1577</v>
      </c>
      <c r="B3991" s="1">
        <v>45580</v>
      </c>
      <c r="C3991" t="s">
        <v>24</v>
      </c>
      <c r="D3991" s="2">
        <v>0</v>
      </c>
      <c r="E3991" s="2">
        <v>590.71</v>
      </c>
      <c r="F3991" t="s">
        <v>13</v>
      </c>
      <c r="G3991" t="s">
        <v>9</v>
      </c>
    </row>
    <row r="3992" spans="1:7" x14ac:dyDescent="0.35">
      <c r="A3992">
        <v>1578</v>
      </c>
      <c r="B3992" s="1">
        <v>45580</v>
      </c>
      <c r="C3992" t="s">
        <v>24</v>
      </c>
      <c r="D3992" s="2">
        <v>1273.95</v>
      </c>
      <c r="E3992" s="2">
        <v>0</v>
      </c>
      <c r="F3992" t="s">
        <v>8</v>
      </c>
      <c r="G3992" t="s">
        <v>9</v>
      </c>
    </row>
    <row r="3993" spans="1:7" x14ac:dyDescent="0.35">
      <c r="A3993">
        <v>1578</v>
      </c>
      <c r="B3993" s="1">
        <v>45580</v>
      </c>
      <c r="C3993" t="s">
        <v>24</v>
      </c>
      <c r="D3993" s="2">
        <v>0</v>
      </c>
      <c r="E3993" s="2">
        <v>1273.95</v>
      </c>
      <c r="F3993" t="s">
        <v>13</v>
      </c>
      <c r="G3993" t="s">
        <v>9</v>
      </c>
    </row>
    <row r="3994" spans="1:7" x14ac:dyDescent="0.35">
      <c r="A3994">
        <v>1579</v>
      </c>
      <c r="B3994" s="1">
        <v>45580</v>
      </c>
      <c r="C3994" t="s">
        <v>29</v>
      </c>
      <c r="D3994" s="2">
        <v>201.5</v>
      </c>
      <c r="E3994" s="2">
        <v>0</v>
      </c>
      <c r="F3994" t="s">
        <v>28</v>
      </c>
      <c r="G3994" t="s">
        <v>17</v>
      </c>
    </row>
    <row r="3995" spans="1:7" x14ac:dyDescent="0.35">
      <c r="A3995">
        <v>1579</v>
      </c>
      <c r="B3995" s="1">
        <v>45580</v>
      </c>
      <c r="C3995" t="s">
        <v>29</v>
      </c>
      <c r="D3995" s="2">
        <v>0</v>
      </c>
      <c r="E3995" s="2">
        <v>201.5</v>
      </c>
      <c r="F3995" t="s">
        <v>8</v>
      </c>
      <c r="G3995" t="s">
        <v>9</v>
      </c>
    </row>
    <row r="3996" spans="1:7" x14ac:dyDescent="0.35">
      <c r="A3996">
        <v>1580</v>
      </c>
      <c r="B3996" s="1">
        <v>45580</v>
      </c>
      <c r="C3996" t="s">
        <v>29</v>
      </c>
      <c r="D3996" s="2">
        <v>4812.46</v>
      </c>
      <c r="E3996" s="2">
        <v>0</v>
      </c>
      <c r="F3996" t="s">
        <v>28</v>
      </c>
      <c r="G3996" t="s">
        <v>17</v>
      </c>
    </row>
    <row r="3997" spans="1:7" x14ac:dyDescent="0.35">
      <c r="A3997">
        <v>1580</v>
      </c>
      <c r="B3997" s="1">
        <v>45580</v>
      </c>
      <c r="C3997" t="s">
        <v>29</v>
      </c>
      <c r="D3997" s="2">
        <v>0</v>
      </c>
      <c r="E3997" s="2">
        <v>4812.46</v>
      </c>
      <c r="F3997" t="s">
        <v>8</v>
      </c>
      <c r="G3997" t="s">
        <v>9</v>
      </c>
    </row>
    <row r="3998" spans="1:7" x14ac:dyDescent="0.35">
      <c r="A3998">
        <v>1581</v>
      </c>
      <c r="B3998" s="1">
        <v>45580</v>
      </c>
      <c r="C3998" t="s">
        <v>29</v>
      </c>
      <c r="D3998" s="2">
        <v>2635.36</v>
      </c>
      <c r="E3998" s="2">
        <v>0</v>
      </c>
      <c r="F3998" t="s">
        <v>28</v>
      </c>
      <c r="G3998" t="s">
        <v>17</v>
      </c>
    </row>
    <row r="3999" spans="1:7" x14ac:dyDescent="0.35">
      <c r="A3999">
        <v>1581</v>
      </c>
      <c r="B3999" s="1">
        <v>45580</v>
      </c>
      <c r="C3999" t="s">
        <v>29</v>
      </c>
      <c r="D3999" s="2">
        <v>0</v>
      </c>
      <c r="E3999" s="2">
        <v>2635.36</v>
      </c>
      <c r="F3999" t="s">
        <v>8</v>
      </c>
      <c r="G3999" t="s">
        <v>9</v>
      </c>
    </row>
    <row r="4000" spans="1:7" x14ac:dyDescent="0.35">
      <c r="A4000">
        <v>1582</v>
      </c>
      <c r="B4000" s="1">
        <v>45581</v>
      </c>
      <c r="C4000" t="s">
        <v>12</v>
      </c>
      <c r="D4000" s="2">
        <v>562.35</v>
      </c>
      <c r="E4000" s="2">
        <v>0</v>
      </c>
      <c r="F4000" t="s">
        <v>13</v>
      </c>
      <c r="G4000" t="s">
        <v>9</v>
      </c>
    </row>
    <row r="4001" spans="1:7" x14ac:dyDescent="0.35">
      <c r="A4001">
        <v>1582</v>
      </c>
      <c r="B4001" s="1">
        <v>45581</v>
      </c>
      <c r="C4001" t="s">
        <v>12</v>
      </c>
      <c r="D4001" s="2">
        <v>0</v>
      </c>
      <c r="E4001" s="2">
        <v>523.12</v>
      </c>
      <c r="F4001" t="s">
        <v>14</v>
      </c>
      <c r="G4001" t="s">
        <v>15</v>
      </c>
    </row>
    <row r="4002" spans="1:7" x14ac:dyDescent="0.35">
      <c r="A4002">
        <v>1582</v>
      </c>
      <c r="B4002" s="1">
        <v>45581</v>
      </c>
      <c r="C4002" t="s">
        <v>12</v>
      </c>
      <c r="D4002" s="2">
        <v>0</v>
      </c>
      <c r="E4002" s="2">
        <v>39.229999999999997</v>
      </c>
      <c r="F4002" t="s">
        <v>16</v>
      </c>
      <c r="G4002" t="s">
        <v>17</v>
      </c>
    </row>
    <row r="4003" spans="1:7" x14ac:dyDescent="0.35">
      <c r="A4003">
        <v>1583</v>
      </c>
      <c r="B4003" s="1">
        <v>45581</v>
      </c>
      <c r="C4003" t="s">
        <v>12</v>
      </c>
      <c r="D4003" s="2">
        <v>1469.68</v>
      </c>
      <c r="E4003" s="2">
        <v>0</v>
      </c>
      <c r="F4003" t="s">
        <v>13</v>
      </c>
      <c r="G4003" t="s">
        <v>9</v>
      </c>
    </row>
    <row r="4004" spans="1:7" x14ac:dyDescent="0.35">
      <c r="A4004">
        <v>1583</v>
      </c>
      <c r="B4004" s="1">
        <v>45581</v>
      </c>
      <c r="C4004" t="s">
        <v>12</v>
      </c>
      <c r="D4004" s="2">
        <v>0</v>
      </c>
      <c r="E4004" s="2">
        <v>1367.14</v>
      </c>
      <c r="F4004" t="s">
        <v>14</v>
      </c>
      <c r="G4004" t="s">
        <v>15</v>
      </c>
    </row>
    <row r="4005" spans="1:7" x14ac:dyDescent="0.35">
      <c r="A4005">
        <v>1583</v>
      </c>
      <c r="B4005" s="1">
        <v>45581</v>
      </c>
      <c r="C4005" t="s">
        <v>12</v>
      </c>
      <c r="D4005" s="2">
        <v>0</v>
      </c>
      <c r="E4005" s="2">
        <v>102.54</v>
      </c>
      <c r="F4005" t="s">
        <v>16</v>
      </c>
      <c r="G4005" t="s">
        <v>17</v>
      </c>
    </row>
    <row r="4006" spans="1:7" x14ac:dyDescent="0.35">
      <c r="A4006">
        <v>1584</v>
      </c>
      <c r="B4006" s="1">
        <v>45581</v>
      </c>
      <c r="C4006" t="s">
        <v>12</v>
      </c>
      <c r="D4006" s="2">
        <v>1089.42</v>
      </c>
      <c r="E4006" s="2">
        <v>0</v>
      </c>
      <c r="F4006" t="s">
        <v>13</v>
      </c>
      <c r="G4006" t="s">
        <v>9</v>
      </c>
    </row>
    <row r="4007" spans="1:7" x14ac:dyDescent="0.35">
      <c r="A4007">
        <v>1584</v>
      </c>
      <c r="B4007" s="1">
        <v>45581</v>
      </c>
      <c r="C4007" t="s">
        <v>12</v>
      </c>
      <c r="D4007" s="2">
        <v>0</v>
      </c>
      <c r="E4007" s="2">
        <v>1013.41</v>
      </c>
      <c r="F4007" t="s">
        <v>14</v>
      </c>
      <c r="G4007" t="s">
        <v>15</v>
      </c>
    </row>
    <row r="4008" spans="1:7" x14ac:dyDescent="0.35">
      <c r="A4008">
        <v>1584</v>
      </c>
      <c r="B4008" s="1">
        <v>45581</v>
      </c>
      <c r="C4008" t="s">
        <v>12</v>
      </c>
      <c r="D4008" s="2">
        <v>0</v>
      </c>
      <c r="E4008" s="2">
        <v>76.010000000000005</v>
      </c>
      <c r="F4008" t="s">
        <v>16</v>
      </c>
      <c r="G4008" t="s">
        <v>17</v>
      </c>
    </row>
    <row r="4009" spans="1:7" x14ac:dyDescent="0.35">
      <c r="A4009">
        <v>1585</v>
      </c>
      <c r="B4009" s="1">
        <v>45581</v>
      </c>
      <c r="C4009" t="s">
        <v>24</v>
      </c>
      <c r="D4009" s="2">
        <v>2640.49</v>
      </c>
      <c r="E4009" s="2">
        <v>0</v>
      </c>
      <c r="F4009" t="s">
        <v>8</v>
      </c>
      <c r="G4009" t="s">
        <v>9</v>
      </c>
    </row>
    <row r="4010" spans="1:7" x14ac:dyDescent="0.35">
      <c r="A4010">
        <v>1585</v>
      </c>
      <c r="B4010" s="1">
        <v>45581</v>
      </c>
      <c r="C4010" t="s">
        <v>24</v>
      </c>
      <c r="D4010" s="2">
        <v>0</v>
      </c>
      <c r="E4010" s="2">
        <v>2640.49</v>
      </c>
      <c r="F4010" t="s">
        <v>13</v>
      </c>
      <c r="G4010" t="s">
        <v>9</v>
      </c>
    </row>
    <row r="4011" spans="1:7" x14ac:dyDescent="0.35">
      <c r="A4011">
        <v>1586</v>
      </c>
      <c r="B4011" s="1">
        <v>45581</v>
      </c>
      <c r="C4011" t="s">
        <v>24</v>
      </c>
      <c r="D4011" s="2">
        <v>1554.68</v>
      </c>
      <c r="E4011" s="2">
        <v>0</v>
      </c>
      <c r="F4011" t="s">
        <v>8</v>
      </c>
      <c r="G4011" t="s">
        <v>9</v>
      </c>
    </row>
    <row r="4012" spans="1:7" x14ac:dyDescent="0.35">
      <c r="A4012">
        <v>1586</v>
      </c>
      <c r="B4012" s="1">
        <v>45581</v>
      </c>
      <c r="C4012" t="s">
        <v>24</v>
      </c>
      <c r="D4012" s="2">
        <v>0</v>
      </c>
      <c r="E4012" s="2">
        <v>1554.68</v>
      </c>
      <c r="F4012" t="s">
        <v>13</v>
      </c>
      <c r="G4012" t="s">
        <v>9</v>
      </c>
    </row>
    <row r="4013" spans="1:7" x14ac:dyDescent="0.35">
      <c r="A4013">
        <v>1587</v>
      </c>
      <c r="B4013" s="1">
        <v>45581</v>
      </c>
      <c r="C4013" t="s">
        <v>24</v>
      </c>
      <c r="D4013" s="2">
        <v>2870.22</v>
      </c>
      <c r="E4013" s="2">
        <v>0</v>
      </c>
      <c r="F4013" t="s">
        <v>8</v>
      </c>
      <c r="G4013" t="s">
        <v>9</v>
      </c>
    </row>
    <row r="4014" spans="1:7" x14ac:dyDescent="0.35">
      <c r="A4014">
        <v>1587</v>
      </c>
      <c r="B4014" s="1">
        <v>45581</v>
      </c>
      <c r="C4014" t="s">
        <v>24</v>
      </c>
      <c r="D4014" s="2">
        <v>0</v>
      </c>
      <c r="E4014" s="2">
        <v>2870.22</v>
      </c>
      <c r="F4014" t="s">
        <v>13</v>
      </c>
      <c r="G4014" t="s">
        <v>9</v>
      </c>
    </row>
    <row r="4015" spans="1:7" x14ac:dyDescent="0.35">
      <c r="A4015">
        <v>1588</v>
      </c>
      <c r="B4015" s="1">
        <v>45581</v>
      </c>
      <c r="C4015" t="s">
        <v>24</v>
      </c>
      <c r="D4015" s="2">
        <v>1093.3</v>
      </c>
      <c r="E4015" s="2">
        <v>0</v>
      </c>
      <c r="F4015" t="s">
        <v>8</v>
      </c>
      <c r="G4015" t="s">
        <v>9</v>
      </c>
    </row>
    <row r="4016" spans="1:7" x14ac:dyDescent="0.35">
      <c r="A4016">
        <v>1588</v>
      </c>
      <c r="B4016" s="1">
        <v>45581</v>
      </c>
      <c r="C4016" t="s">
        <v>24</v>
      </c>
      <c r="D4016" s="2">
        <v>0</v>
      </c>
      <c r="E4016" s="2">
        <v>1093.3</v>
      </c>
      <c r="F4016" t="s">
        <v>13</v>
      </c>
      <c r="G4016" t="s">
        <v>9</v>
      </c>
    </row>
    <row r="4017" spans="1:7" x14ac:dyDescent="0.35">
      <c r="A4017">
        <v>1589</v>
      </c>
      <c r="B4017" s="1">
        <v>45581</v>
      </c>
      <c r="C4017" t="s">
        <v>24</v>
      </c>
      <c r="D4017" s="2">
        <v>134.31</v>
      </c>
      <c r="E4017" s="2">
        <v>0</v>
      </c>
      <c r="F4017" t="s">
        <v>8</v>
      </c>
      <c r="G4017" t="s">
        <v>9</v>
      </c>
    </row>
    <row r="4018" spans="1:7" x14ac:dyDescent="0.35">
      <c r="A4018">
        <v>1589</v>
      </c>
      <c r="B4018" s="1">
        <v>45581</v>
      </c>
      <c r="C4018" t="s">
        <v>24</v>
      </c>
      <c r="D4018" s="2">
        <v>0</v>
      </c>
      <c r="E4018" s="2">
        <v>134.31</v>
      </c>
      <c r="F4018" t="s">
        <v>13</v>
      </c>
      <c r="G4018" t="s">
        <v>9</v>
      </c>
    </row>
    <row r="4019" spans="1:7" x14ac:dyDescent="0.35">
      <c r="A4019">
        <v>1590</v>
      </c>
      <c r="B4019" s="1">
        <v>45581</v>
      </c>
      <c r="C4019" t="s">
        <v>25</v>
      </c>
      <c r="D4019" s="2">
        <v>166.52</v>
      </c>
      <c r="E4019" s="2">
        <v>0</v>
      </c>
      <c r="F4019" t="s">
        <v>26</v>
      </c>
      <c r="G4019" t="s">
        <v>20</v>
      </c>
    </row>
    <row r="4020" spans="1:7" x14ac:dyDescent="0.35">
      <c r="A4020">
        <v>1590</v>
      </c>
      <c r="B4020" s="1">
        <v>45581</v>
      </c>
      <c r="C4020" t="s">
        <v>25</v>
      </c>
      <c r="D4020" s="2">
        <v>12.49</v>
      </c>
      <c r="E4020" s="2">
        <v>0</v>
      </c>
      <c r="F4020" t="s">
        <v>27</v>
      </c>
      <c r="G4020" t="s">
        <v>9</v>
      </c>
    </row>
    <row r="4021" spans="1:7" x14ac:dyDescent="0.35">
      <c r="A4021">
        <v>1590</v>
      </c>
      <c r="B4021" s="1">
        <v>45581</v>
      </c>
      <c r="C4021" t="s">
        <v>25</v>
      </c>
      <c r="D4021" s="2">
        <v>0</v>
      </c>
      <c r="E4021" s="2">
        <v>179.01</v>
      </c>
      <c r="F4021" t="s">
        <v>28</v>
      </c>
      <c r="G4021" t="s">
        <v>17</v>
      </c>
    </row>
    <row r="4022" spans="1:7" x14ac:dyDescent="0.35">
      <c r="A4022">
        <v>1591</v>
      </c>
      <c r="B4022" s="1">
        <v>45581</v>
      </c>
      <c r="C4022" t="s">
        <v>25</v>
      </c>
      <c r="D4022" s="2">
        <v>257.04000000000002</v>
      </c>
      <c r="E4022" s="2">
        <v>0</v>
      </c>
      <c r="F4022" t="s">
        <v>26</v>
      </c>
      <c r="G4022" t="s">
        <v>20</v>
      </c>
    </row>
    <row r="4023" spans="1:7" x14ac:dyDescent="0.35">
      <c r="A4023">
        <v>1591</v>
      </c>
      <c r="B4023" s="1">
        <v>45581</v>
      </c>
      <c r="C4023" t="s">
        <v>25</v>
      </c>
      <c r="D4023" s="2">
        <v>19.28</v>
      </c>
      <c r="E4023" s="2">
        <v>0</v>
      </c>
      <c r="F4023" t="s">
        <v>27</v>
      </c>
      <c r="G4023" t="s">
        <v>9</v>
      </c>
    </row>
    <row r="4024" spans="1:7" x14ac:dyDescent="0.35">
      <c r="A4024">
        <v>1591</v>
      </c>
      <c r="B4024" s="1">
        <v>45581</v>
      </c>
      <c r="C4024" t="s">
        <v>25</v>
      </c>
      <c r="D4024" s="2">
        <v>0</v>
      </c>
      <c r="E4024" s="2">
        <v>276.32</v>
      </c>
      <c r="F4024" t="s">
        <v>28</v>
      </c>
      <c r="G4024" t="s">
        <v>17</v>
      </c>
    </row>
    <row r="4025" spans="1:7" x14ac:dyDescent="0.35">
      <c r="A4025">
        <v>1592</v>
      </c>
      <c r="B4025" s="1">
        <v>45581</v>
      </c>
      <c r="C4025" t="s">
        <v>29</v>
      </c>
      <c r="D4025" s="2">
        <v>2093.2800000000002</v>
      </c>
      <c r="E4025" s="2">
        <v>0</v>
      </c>
      <c r="F4025" t="s">
        <v>28</v>
      </c>
      <c r="G4025" t="s">
        <v>17</v>
      </c>
    </row>
    <row r="4026" spans="1:7" x14ac:dyDescent="0.35">
      <c r="A4026">
        <v>1592</v>
      </c>
      <c r="B4026" s="1">
        <v>45581</v>
      </c>
      <c r="C4026" t="s">
        <v>29</v>
      </c>
      <c r="D4026" s="2">
        <v>0</v>
      </c>
      <c r="E4026" s="2">
        <v>2093.2800000000002</v>
      </c>
      <c r="F4026" t="s">
        <v>8</v>
      </c>
      <c r="G4026" t="s">
        <v>9</v>
      </c>
    </row>
    <row r="4027" spans="1:7" x14ac:dyDescent="0.35">
      <c r="A4027">
        <v>1593</v>
      </c>
      <c r="B4027" s="1">
        <v>45581</v>
      </c>
      <c r="C4027" t="s">
        <v>29</v>
      </c>
      <c r="D4027" s="2">
        <v>412.54</v>
      </c>
      <c r="E4027" s="2">
        <v>0</v>
      </c>
      <c r="F4027" t="s">
        <v>28</v>
      </c>
      <c r="G4027" t="s">
        <v>17</v>
      </c>
    </row>
    <row r="4028" spans="1:7" x14ac:dyDescent="0.35">
      <c r="A4028">
        <v>1593</v>
      </c>
      <c r="B4028" s="1">
        <v>45581</v>
      </c>
      <c r="C4028" t="s">
        <v>29</v>
      </c>
      <c r="D4028" s="2">
        <v>0</v>
      </c>
      <c r="E4028" s="2">
        <v>412.54</v>
      </c>
      <c r="F4028" t="s">
        <v>8</v>
      </c>
      <c r="G4028" t="s">
        <v>9</v>
      </c>
    </row>
    <row r="4029" spans="1:7" x14ac:dyDescent="0.35">
      <c r="A4029">
        <v>1594</v>
      </c>
      <c r="B4029" s="1">
        <v>45582</v>
      </c>
      <c r="C4029" t="s">
        <v>12</v>
      </c>
      <c r="D4029" s="2">
        <v>2266.06</v>
      </c>
      <c r="E4029" s="2">
        <v>0</v>
      </c>
      <c r="F4029" t="s">
        <v>13</v>
      </c>
      <c r="G4029" t="s">
        <v>9</v>
      </c>
    </row>
    <row r="4030" spans="1:7" x14ac:dyDescent="0.35">
      <c r="A4030">
        <v>1594</v>
      </c>
      <c r="B4030" s="1">
        <v>45582</v>
      </c>
      <c r="C4030" t="s">
        <v>12</v>
      </c>
      <c r="D4030" s="2">
        <v>0</v>
      </c>
      <c r="E4030" s="2">
        <v>2107.9699999999998</v>
      </c>
      <c r="F4030" t="s">
        <v>14</v>
      </c>
      <c r="G4030" t="s">
        <v>15</v>
      </c>
    </row>
    <row r="4031" spans="1:7" x14ac:dyDescent="0.35">
      <c r="A4031">
        <v>1594</v>
      </c>
      <c r="B4031" s="1">
        <v>45582</v>
      </c>
      <c r="C4031" t="s">
        <v>12</v>
      </c>
      <c r="D4031" s="2">
        <v>0</v>
      </c>
      <c r="E4031" s="2">
        <v>158.09</v>
      </c>
      <c r="F4031" t="s">
        <v>16</v>
      </c>
      <c r="G4031" t="s">
        <v>17</v>
      </c>
    </row>
    <row r="4032" spans="1:7" x14ac:dyDescent="0.35">
      <c r="A4032">
        <v>1595</v>
      </c>
      <c r="B4032" s="1">
        <v>45582</v>
      </c>
      <c r="C4032" t="s">
        <v>12</v>
      </c>
      <c r="D4032" s="2">
        <v>2444.5500000000002</v>
      </c>
      <c r="E4032" s="2">
        <v>0</v>
      </c>
      <c r="F4032" t="s">
        <v>13</v>
      </c>
      <c r="G4032" t="s">
        <v>9</v>
      </c>
    </row>
    <row r="4033" spans="1:7" x14ac:dyDescent="0.35">
      <c r="A4033">
        <v>1595</v>
      </c>
      <c r="B4033" s="1">
        <v>45582</v>
      </c>
      <c r="C4033" t="s">
        <v>12</v>
      </c>
      <c r="D4033" s="2">
        <v>0</v>
      </c>
      <c r="E4033" s="2">
        <v>2274</v>
      </c>
      <c r="F4033" t="s">
        <v>14</v>
      </c>
      <c r="G4033" t="s">
        <v>15</v>
      </c>
    </row>
    <row r="4034" spans="1:7" x14ac:dyDescent="0.35">
      <c r="A4034">
        <v>1595</v>
      </c>
      <c r="B4034" s="1">
        <v>45582</v>
      </c>
      <c r="C4034" t="s">
        <v>12</v>
      </c>
      <c r="D4034" s="2">
        <v>0</v>
      </c>
      <c r="E4034" s="2">
        <v>170.55</v>
      </c>
      <c r="F4034" t="s">
        <v>16</v>
      </c>
      <c r="G4034" t="s">
        <v>17</v>
      </c>
    </row>
    <row r="4035" spans="1:7" x14ac:dyDescent="0.35">
      <c r="A4035">
        <v>1596</v>
      </c>
      <c r="B4035" s="1">
        <v>45582</v>
      </c>
      <c r="C4035" t="s">
        <v>12</v>
      </c>
      <c r="D4035" s="2">
        <v>1640.79</v>
      </c>
      <c r="E4035" s="2">
        <v>0</v>
      </c>
      <c r="F4035" t="s">
        <v>13</v>
      </c>
      <c r="G4035" t="s">
        <v>9</v>
      </c>
    </row>
    <row r="4036" spans="1:7" x14ac:dyDescent="0.35">
      <c r="A4036">
        <v>1596</v>
      </c>
      <c r="B4036" s="1">
        <v>45582</v>
      </c>
      <c r="C4036" t="s">
        <v>12</v>
      </c>
      <c r="D4036" s="2">
        <v>0</v>
      </c>
      <c r="E4036" s="2">
        <v>1526.33</v>
      </c>
      <c r="F4036" t="s">
        <v>14</v>
      </c>
      <c r="G4036" t="s">
        <v>15</v>
      </c>
    </row>
    <row r="4037" spans="1:7" x14ac:dyDescent="0.35">
      <c r="A4037">
        <v>1596</v>
      </c>
      <c r="B4037" s="1">
        <v>45582</v>
      </c>
      <c r="C4037" t="s">
        <v>12</v>
      </c>
      <c r="D4037" s="2">
        <v>0</v>
      </c>
      <c r="E4037" s="2">
        <v>114.46</v>
      </c>
      <c r="F4037" t="s">
        <v>16</v>
      </c>
      <c r="G4037" t="s">
        <v>17</v>
      </c>
    </row>
    <row r="4038" spans="1:7" x14ac:dyDescent="0.35">
      <c r="A4038">
        <v>1597</v>
      </c>
      <c r="B4038" s="1">
        <v>45582</v>
      </c>
      <c r="C4038" t="s">
        <v>24</v>
      </c>
      <c r="D4038" s="2">
        <v>1520.17</v>
      </c>
      <c r="E4038" s="2">
        <v>0</v>
      </c>
      <c r="F4038" t="s">
        <v>8</v>
      </c>
      <c r="G4038" t="s">
        <v>9</v>
      </c>
    </row>
    <row r="4039" spans="1:7" x14ac:dyDescent="0.35">
      <c r="A4039">
        <v>1597</v>
      </c>
      <c r="B4039" s="1">
        <v>45582</v>
      </c>
      <c r="C4039" t="s">
        <v>24</v>
      </c>
      <c r="D4039" s="2">
        <v>0</v>
      </c>
      <c r="E4039" s="2">
        <v>1520.17</v>
      </c>
      <c r="F4039" t="s">
        <v>13</v>
      </c>
      <c r="G4039" t="s">
        <v>9</v>
      </c>
    </row>
    <row r="4040" spans="1:7" x14ac:dyDescent="0.35">
      <c r="A4040">
        <v>1598</v>
      </c>
      <c r="B4040" s="1">
        <v>45582</v>
      </c>
      <c r="C4040" t="s">
        <v>24</v>
      </c>
      <c r="D4040" s="2">
        <v>4411.5200000000004</v>
      </c>
      <c r="E4040" s="2">
        <v>0</v>
      </c>
      <c r="F4040" t="s">
        <v>8</v>
      </c>
      <c r="G4040" t="s">
        <v>9</v>
      </c>
    </row>
    <row r="4041" spans="1:7" x14ac:dyDescent="0.35">
      <c r="A4041">
        <v>1598</v>
      </c>
      <c r="B4041" s="1">
        <v>45582</v>
      </c>
      <c r="C4041" t="s">
        <v>24</v>
      </c>
      <c r="D4041" s="2">
        <v>0</v>
      </c>
      <c r="E4041" s="2">
        <v>4411.5200000000004</v>
      </c>
      <c r="F4041" t="s">
        <v>13</v>
      </c>
      <c r="G4041" t="s">
        <v>9</v>
      </c>
    </row>
    <row r="4042" spans="1:7" x14ac:dyDescent="0.35">
      <c r="A4042">
        <v>1599</v>
      </c>
      <c r="B4042" s="1">
        <v>45582</v>
      </c>
      <c r="C4042" t="s">
        <v>24</v>
      </c>
      <c r="D4042" s="2">
        <v>3621.9</v>
      </c>
      <c r="E4042" s="2">
        <v>0</v>
      </c>
      <c r="F4042" t="s">
        <v>8</v>
      </c>
      <c r="G4042" t="s">
        <v>9</v>
      </c>
    </row>
    <row r="4043" spans="1:7" x14ac:dyDescent="0.35">
      <c r="A4043">
        <v>1599</v>
      </c>
      <c r="B4043" s="1">
        <v>45582</v>
      </c>
      <c r="C4043" t="s">
        <v>24</v>
      </c>
      <c r="D4043" s="2">
        <v>0</v>
      </c>
      <c r="E4043" s="2">
        <v>3621.9</v>
      </c>
      <c r="F4043" t="s">
        <v>13</v>
      </c>
      <c r="G4043" t="s">
        <v>9</v>
      </c>
    </row>
    <row r="4044" spans="1:7" x14ac:dyDescent="0.35">
      <c r="A4044">
        <v>1600</v>
      </c>
      <c r="B4044" s="1">
        <v>45582</v>
      </c>
      <c r="C4044" t="s">
        <v>25</v>
      </c>
      <c r="D4044" s="2">
        <v>2329.52</v>
      </c>
      <c r="E4044" s="2">
        <v>0</v>
      </c>
      <c r="F4044" t="s">
        <v>26</v>
      </c>
      <c r="G4044" t="s">
        <v>20</v>
      </c>
    </row>
    <row r="4045" spans="1:7" x14ac:dyDescent="0.35">
      <c r="A4045">
        <v>1600</v>
      </c>
      <c r="B4045" s="1">
        <v>45582</v>
      </c>
      <c r="C4045" t="s">
        <v>25</v>
      </c>
      <c r="D4045" s="2">
        <v>174.71</v>
      </c>
      <c r="E4045" s="2">
        <v>0</v>
      </c>
      <c r="F4045" t="s">
        <v>27</v>
      </c>
      <c r="G4045" t="s">
        <v>9</v>
      </c>
    </row>
    <row r="4046" spans="1:7" x14ac:dyDescent="0.35">
      <c r="A4046">
        <v>1600</v>
      </c>
      <c r="B4046" s="1">
        <v>45582</v>
      </c>
      <c r="C4046" t="s">
        <v>25</v>
      </c>
      <c r="D4046" s="2">
        <v>0</v>
      </c>
      <c r="E4046" s="2">
        <v>2504.23</v>
      </c>
      <c r="F4046" t="s">
        <v>28</v>
      </c>
      <c r="G4046" t="s">
        <v>17</v>
      </c>
    </row>
    <row r="4047" spans="1:7" x14ac:dyDescent="0.35">
      <c r="A4047">
        <v>1601</v>
      </c>
      <c r="B4047" s="1">
        <v>45583</v>
      </c>
      <c r="C4047" t="s">
        <v>12</v>
      </c>
      <c r="D4047" s="2">
        <v>790.45</v>
      </c>
      <c r="E4047" s="2">
        <v>0</v>
      </c>
      <c r="F4047" t="s">
        <v>13</v>
      </c>
      <c r="G4047" t="s">
        <v>9</v>
      </c>
    </row>
    <row r="4048" spans="1:7" x14ac:dyDescent="0.35">
      <c r="A4048">
        <v>1601</v>
      </c>
      <c r="B4048" s="1">
        <v>45583</v>
      </c>
      <c r="C4048" t="s">
        <v>12</v>
      </c>
      <c r="D4048" s="2">
        <v>0</v>
      </c>
      <c r="E4048" s="2">
        <v>735.3</v>
      </c>
      <c r="F4048" t="s">
        <v>14</v>
      </c>
      <c r="G4048" t="s">
        <v>15</v>
      </c>
    </row>
    <row r="4049" spans="1:7" x14ac:dyDescent="0.35">
      <c r="A4049">
        <v>1601</v>
      </c>
      <c r="B4049" s="1">
        <v>45583</v>
      </c>
      <c r="C4049" t="s">
        <v>12</v>
      </c>
      <c r="D4049" s="2">
        <v>0</v>
      </c>
      <c r="E4049" s="2">
        <v>55.15</v>
      </c>
      <c r="F4049" t="s">
        <v>16</v>
      </c>
      <c r="G4049" t="s">
        <v>17</v>
      </c>
    </row>
    <row r="4050" spans="1:7" x14ac:dyDescent="0.35">
      <c r="A4050">
        <v>1602</v>
      </c>
      <c r="B4050" s="1">
        <v>45583</v>
      </c>
      <c r="C4050" t="s">
        <v>12</v>
      </c>
      <c r="D4050" s="2">
        <v>3455.73</v>
      </c>
      <c r="E4050" s="2">
        <v>0</v>
      </c>
      <c r="F4050" t="s">
        <v>13</v>
      </c>
      <c r="G4050" t="s">
        <v>9</v>
      </c>
    </row>
    <row r="4051" spans="1:7" x14ac:dyDescent="0.35">
      <c r="A4051">
        <v>1602</v>
      </c>
      <c r="B4051" s="1">
        <v>45583</v>
      </c>
      <c r="C4051" t="s">
        <v>12</v>
      </c>
      <c r="D4051" s="2">
        <v>0</v>
      </c>
      <c r="E4051" s="2">
        <v>3214.63</v>
      </c>
      <c r="F4051" t="s">
        <v>14</v>
      </c>
      <c r="G4051" t="s">
        <v>15</v>
      </c>
    </row>
    <row r="4052" spans="1:7" x14ac:dyDescent="0.35">
      <c r="A4052">
        <v>1602</v>
      </c>
      <c r="B4052" s="1">
        <v>45583</v>
      </c>
      <c r="C4052" t="s">
        <v>12</v>
      </c>
      <c r="D4052" s="2">
        <v>0</v>
      </c>
      <c r="E4052" s="2">
        <v>241.1</v>
      </c>
      <c r="F4052" t="s">
        <v>16</v>
      </c>
      <c r="G4052" t="s">
        <v>17</v>
      </c>
    </row>
    <row r="4053" spans="1:7" x14ac:dyDescent="0.35">
      <c r="A4053">
        <v>1603</v>
      </c>
      <c r="B4053" s="1">
        <v>45583</v>
      </c>
      <c r="C4053" t="s">
        <v>12</v>
      </c>
      <c r="D4053" s="2">
        <v>2091.4899999999998</v>
      </c>
      <c r="E4053" s="2">
        <v>0</v>
      </c>
      <c r="F4053" t="s">
        <v>13</v>
      </c>
      <c r="G4053" t="s">
        <v>9</v>
      </c>
    </row>
    <row r="4054" spans="1:7" x14ac:dyDescent="0.35">
      <c r="A4054">
        <v>1603</v>
      </c>
      <c r="B4054" s="1">
        <v>45583</v>
      </c>
      <c r="C4054" t="s">
        <v>12</v>
      </c>
      <c r="D4054" s="2">
        <v>0</v>
      </c>
      <c r="E4054" s="2">
        <v>1945.58</v>
      </c>
      <c r="F4054" t="s">
        <v>14</v>
      </c>
      <c r="G4054" t="s">
        <v>15</v>
      </c>
    </row>
    <row r="4055" spans="1:7" x14ac:dyDescent="0.35">
      <c r="A4055">
        <v>1603</v>
      </c>
      <c r="B4055" s="1">
        <v>45583</v>
      </c>
      <c r="C4055" t="s">
        <v>12</v>
      </c>
      <c r="D4055" s="2">
        <v>0</v>
      </c>
      <c r="E4055" s="2">
        <v>145.91</v>
      </c>
      <c r="F4055" t="s">
        <v>16</v>
      </c>
      <c r="G4055" t="s">
        <v>17</v>
      </c>
    </row>
    <row r="4056" spans="1:7" x14ac:dyDescent="0.35">
      <c r="A4056">
        <v>1604</v>
      </c>
      <c r="B4056" s="1">
        <v>45583</v>
      </c>
      <c r="C4056" t="s">
        <v>12</v>
      </c>
      <c r="D4056" s="2">
        <v>2356.48</v>
      </c>
      <c r="E4056" s="2">
        <v>0</v>
      </c>
      <c r="F4056" t="s">
        <v>13</v>
      </c>
      <c r="G4056" t="s">
        <v>9</v>
      </c>
    </row>
    <row r="4057" spans="1:7" x14ac:dyDescent="0.35">
      <c r="A4057">
        <v>1604</v>
      </c>
      <c r="B4057" s="1">
        <v>45583</v>
      </c>
      <c r="C4057" t="s">
        <v>12</v>
      </c>
      <c r="D4057" s="2">
        <v>0</v>
      </c>
      <c r="E4057" s="2">
        <v>2192.08</v>
      </c>
      <c r="F4057" t="s">
        <v>14</v>
      </c>
      <c r="G4057" t="s">
        <v>15</v>
      </c>
    </row>
    <row r="4058" spans="1:7" x14ac:dyDescent="0.35">
      <c r="A4058">
        <v>1604</v>
      </c>
      <c r="B4058" s="1">
        <v>45583</v>
      </c>
      <c r="C4058" t="s">
        <v>12</v>
      </c>
      <c r="D4058" s="2">
        <v>0</v>
      </c>
      <c r="E4058" s="2">
        <v>164.4</v>
      </c>
      <c r="F4058" t="s">
        <v>16</v>
      </c>
      <c r="G4058" t="s">
        <v>17</v>
      </c>
    </row>
    <row r="4059" spans="1:7" x14ac:dyDescent="0.35">
      <c r="A4059">
        <v>1605</v>
      </c>
      <c r="B4059" s="1">
        <v>45583</v>
      </c>
      <c r="C4059" t="s">
        <v>12</v>
      </c>
      <c r="D4059" s="2">
        <v>1590</v>
      </c>
      <c r="E4059" s="2">
        <v>0</v>
      </c>
      <c r="F4059" t="s">
        <v>13</v>
      </c>
      <c r="G4059" t="s">
        <v>9</v>
      </c>
    </row>
    <row r="4060" spans="1:7" x14ac:dyDescent="0.35">
      <c r="A4060">
        <v>1605</v>
      </c>
      <c r="B4060" s="1">
        <v>45583</v>
      </c>
      <c r="C4060" t="s">
        <v>12</v>
      </c>
      <c r="D4060" s="2">
        <v>0</v>
      </c>
      <c r="E4060" s="2">
        <v>1479.07</v>
      </c>
      <c r="F4060" t="s">
        <v>14</v>
      </c>
      <c r="G4060" t="s">
        <v>15</v>
      </c>
    </row>
    <row r="4061" spans="1:7" x14ac:dyDescent="0.35">
      <c r="A4061">
        <v>1605</v>
      </c>
      <c r="B4061" s="1">
        <v>45583</v>
      </c>
      <c r="C4061" t="s">
        <v>12</v>
      </c>
      <c r="D4061" s="2">
        <v>0</v>
      </c>
      <c r="E4061" s="2">
        <v>110.93</v>
      </c>
      <c r="F4061" t="s">
        <v>16</v>
      </c>
      <c r="G4061" t="s">
        <v>17</v>
      </c>
    </row>
    <row r="4062" spans="1:7" x14ac:dyDescent="0.35">
      <c r="A4062">
        <v>1606</v>
      </c>
      <c r="B4062" s="1">
        <v>45583</v>
      </c>
      <c r="C4062" t="s">
        <v>12</v>
      </c>
      <c r="D4062" s="2">
        <v>2165.17</v>
      </c>
      <c r="E4062" s="2">
        <v>0</v>
      </c>
      <c r="F4062" t="s">
        <v>13</v>
      </c>
      <c r="G4062" t="s">
        <v>9</v>
      </c>
    </row>
    <row r="4063" spans="1:7" x14ac:dyDescent="0.35">
      <c r="A4063">
        <v>1606</v>
      </c>
      <c r="B4063" s="1">
        <v>45583</v>
      </c>
      <c r="C4063" t="s">
        <v>12</v>
      </c>
      <c r="D4063" s="2">
        <v>0</v>
      </c>
      <c r="E4063" s="2">
        <v>2014.11</v>
      </c>
      <c r="F4063" t="s">
        <v>14</v>
      </c>
      <c r="G4063" t="s">
        <v>15</v>
      </c>
    </row>
    <row r="4064" spans="1:7" x14ac:dyDescent="0.35">
      <c r="A4064">
        <v>1606</v>
      </c>
      <c r="B4064" s="1">
        <v>45583</v>
      </c>
      <c r="C4064" t="s">
        <v>12</v>
      </c>
      <c r="D4064" s="2">
        <v>0</v>
      </c>
      <c r="E4064" s="2">
        <v>151.06</v>
      </c>
      <c r="F4064" t="s">
        <v>16</v>
      </c>
      <c r="G4064" t="s">
        <v>17</v>
      </c>
    </row>
    <row r="4065" spans="1:7" x14ac:dyDescent="0.35">
      <c r="A4065">
        <v>1607</v>
      </c>
      <c r="B4065" s="1">
        <v>45583</v>
      </c>
      <c r="C4065" t="s">
        <v>24</v>
      </c>
      <c r="D4065" s="2">
        <v>1012.89</v>
      </c>
      <c r="E4065" s="2">
        <v>0</v>
      </c>
      <c r="F4065" t="s">
        <v>8</v>
      </c>
      <c r="G4065" t="s">
        <v>9</v>
      </c>
    </row>
    <row r="4066" spans="1:7" x14ac:dyDescent="0.35">
      <c r="A4066">
        <v>1607</v>
      </c>
      <c r="B4066" s="1">
        <v>45583</v>
      </c>
      <c r="C4066" t="s">
        <v>24</v>
      </c>
      <c r="D4066" s="2">
        <v>0</v>
      </c>
      <c r="E4066" s="2">
        <v>1012.89</v>
      </c>
      <c r="F4066" t="s">
        <v>13</v>
      </c>
      <c r="G4066" t="s">
        <v>9</v>
      </c>
    </row>
    <row r="4067" spans="1:7" x14ac:dyDescent="0.35">
      <c r="A4067">
        <v>1608</v>
      </c>
      <c r="B4067" s="1">
        <v>45583</v>
      </c>
      <c r="C4067" t="s">
        <v>24</v>
      </c>
      <c r="D4067" s="2">
        <v>4575.8900000000003</v>
      </c>
      <c r="E4067" s="2">
        <v>0</v>
      </c>
      <c r="F4067" t="s">
        <v>8</v>
      </c>
      <c r="G4067" t="s">
        <v>9</v>
      </c>
    </row>
    <row r="4068" spans="1:7" x14ac:dyDescent="0.35">
      <c r="A4068">
        <v>1608</v>
      </c>
      <c r="B4068" s="1">
        <v>45583</v>
      </c>
      <c r="C4068" t="s">
        <v>24</v>
      </c>
      <c r="D4068" s="2">
        <v>0</v>
      </c>
      <c r="E4068" s="2">
        <v>4575.8900000000003</v>
      </c>
      <c r="F4068" t="s">
        <v>13</v>
      </c>
      <c r="G4068" t="s">
        <v>9</v>
      </c>
    </row>
    <row r="4069" spans="1:7" x14ac:dyDescent="0.35">
      <c r="A4069">
        <v>1609</v>
      </c>
      <c r="B4069" s="1">
        <v>45583</v>
      </c>
      <c r="C4069" t="s">
        <v>24</v>
      </c>
      <c r="D4069" s="2">
        <v>494.77</v>
      </c>
      <c r="E4069" s="2">
        <v>0</v>
      </c>
      <c r="F4069" t="s">
        <v>8</v>
      </c>
      <c r="G4069" t="s">
        <v>9</v>
      </c>
    </row>
    <row r="4070" spans="1:7" x14ac:dyDescent="0.35">
      <c r="A4070">
        <v>1609</v>
      </c>
      <c r="B4070" s="1">
        <v>45583</v>
      </c>
      <c r="C4070" t="s">
        <v>24</v>
      </c>
      <c r="D4070" s="2">
        <v>0</v>
      </c>
      <c r="E4070" s="2">
        <v>494.77</v>
      </c>
      <c r="F4070" t="s">
        <v>13</v>
      </c>
      <c r="G4070" t="s">
        <v>9</v>
      </c>
    </row>
    <row r="4071" spans="1:7" x14ac:dyDescent="0.35">
      <c r="A4071">
        <v>1610</v>
      </c>
      <c r="B4071" s="1">
        <v>45583</v>
      </c>
      <c r="C4071" t="s">
        <v>24</v>
      </c>
      <c r="D4071" s="2">
        <v>3668.09</v>
      </c>
      <c r="E4071" s="2">
        <v>0</v>
      </c>
      <c r="F4071" t="s">
        <v>8</v>
      </c>
      <c r="G4071" t="s">
        <v>9</v>
      </c>
    </row>
    <row r="4072" spans="1:7" x14ac:dyDescent="0.35">
      <c r="A4072">
        <v>1610</v>
      </c>
      <c r="B4072" s="1">
        <v>45583</v>
      </c>
      <c r="C4072" t="s">
        <v>24</v>
      </c>
      <c r="D4072" s="2">
        <v>0</v>
      </c>
      <c r="E4072" s="2">
        <v>3668.09</v>
      </c>
      <c r="F4072" t="s">
        <v>13</v>
      </c>
      <c r="G4072" t="s">
        <v>9</v>
      </c>
    </row>
    <row r="4073" spans="1:7" x14ac:dyDescent="0.35">
      <c r="A4073">
        <v>1611</v>
      </c>
      <c r="B4073" s="1">
        <v>45583</v>
      </c>
      <c r="C4073" t="s">
        <v>24</v>
      </c>
      <c r="D4073" s="2">
        <v>1849.62</v>
      </c>
      <c r="E4073" s="2">
        <v>0</v>
      </c>
      <c r="F4073" t="s">
        <v>8</v>
      </c>
      <c r="G4073" t="s">
        <v>9</v>
      </c>
    </row>
    <row r="4074" spans="1:7" x14ac:dyDescent="0.35">
      <c r="A4074">
        <v>1611</v>
      </c>
      <c r="B4074" s="1">
        <v>45583</v>
      </c>
      <c r="C4074" t="s">
        <v>24</v>
      </c>
      <c r="D4074" s="2">
        <v>0</v>
      </c>
      <c r="E4074" s="2">
        <v>1849.62</v>
      </c>
      <c r="F4074" t="s">
        <v>13</v>
      </c>
      <c r="G4074" t="s">
        <v>9</v>
      </c>
    </row>
    <row r="4075" spans="1:7" x14ac:dyDescent="0.35">
      <c r="A4075">
        <v>1612</v>
      </c>
      <c r="B4075" s="1">
        <v>45583</v>
      </c>
      <c r="C4075" t="s">
        <v>25</v>
      </c>
      <c r="D4075" s="2">
        <v>952.02</v>
      </c>
      <c r="E4075" s="2">
        <v>0</v>
      </c>
      <c r="F4075" t="s">
        <v>26</v>
      </c>
      <c r="G4075" t="s">
        <v>20</v>
      </c>
    </row>
    <row r="4076" spans="1:7" x14ac:dyDescent="0.35">
      <c r="A4076">
        <v>1612</v>
      </c>
      <c r="B4076" s="1">
        <v>45583</v>
      </c>
      <c r="C4076" t="s">
        <v>25</v>
      </c>
      <c r="D4076" s="2">
        <v>71.400000000000006</v>
      </c>
      <c r="E4076" s="2">
        <v>0</v>
      </c>
      <c r="F4076" t="s">
        <v>27</v>
      </c>
      <c r="G4076" t="s">
        <v>9</v>
      </c>
    </row>
    <row r="4077" spans="1:7" x14ac:dyDescent="0.35">
      <c r="A4077">
        <v>1612</v>
      </c>
      <c r="B4077" s="1">
        <v>45583</v>
      </c>
      <c r="C4077" t="s">
        <v>25</v>
      </c>
      <c r="D4077" s="2">
        <v>0</v>
      </c>
      <c r="E4077" s="2">
        <v>1023.42</v>
      </c>
      <c r="F4077" t="s">
        <v>28</v>
      </c>
      <c r="G4077" t="s">
        <v>17</v>
      </c>
    </row>
    <row r="4078" spans="1:7" x14ac:dyDescent="0.35">
      <c r="A4078">
        <v>1613</v>
      </c>
      <c r="B4078" s="1">
        <v>45583</v>
      </c>
      <c r="C4078" t="s">
        <v>29</v>
      </c>
      <c r="D4078" s="2">
        <v>2504.23</v>
      </c>
      <c r="E4078" s="2">
        <v>0</v>
      </c>
      <c r="F4078" t="s">
        <v>28</v>
      </c>
      <c r="G4078" t="s">
        <v>17</v>
      </c>
    </row>
    <row r="4079" spans="1:7" x14ac:dyDescent="0.35">
      <c r="A4079">
        <v>1613</v>
      </c>
      <c r="B4079" s="1">
        <v>45583</v>
      </c>
      <c r="C4079" t="s">
        <v>29</v>
      </c>
      <c r="D4079" s="2">
        <v>0</v>
      </c>
      <c r="E4079" s="2">
        <v>2504.23</v>
      </c>
      <c r="F4079" t="s">
        <v>8</v>
      </c>
      <c r="G4079" t="s">
        <v>9</v>
      </c>
    </row>
    <row r="4080" spans="1:7" x14ac:dyDescent="0.35">
      <c r="A4080">
        <v>1614</v>
      </c>
      <c r="B4080" s="1">
        <v>45586</v>
      </c>
      <c r="C4080" t="s">
        <v>12</v>
      </c>
      <c r="D4080" s="2">
        <v>3514.58</v>
      </c>
      <c r="E4080" s="2">
        <v>0</v>
      </c>
      <c r="F4080" t="s">
        <v>13</v>
      </c>
      <c r="G4080" t="s">
        <v>9</v>
      </c>
    </row>
    <row r="4081" spans="1:7" x14ac:dyDescent="0.35">
      <c r="A4081">
        <v>1614</v>
      </c>
      <c r="B4081" s="1">
        <v>45586</v>
      </c>
      <c r="C4081" t="s">
        <v>12</v>
      </c>
      <c r="D4081" s="2">
        <v>0</v>
      </c>
      <c r="E4081" s="2">
        <v>3269.37</v>
      </c>
      <c r="F4081" t="s">
        <v>14</v>
      </c>
      <c r="G4081" t="s">
        <v>15</v>
      </c>
    </row>
    <row r="4082" spans="1:7" x14ac:dyDescent="0.35">
      <c r="A4082">
        <v>1614</v>
      </c>
      <c r="B4082" s="1">
        <v>45586</v>
      </c>
      <c r="C4082" t="s">
        <v>12</v>
      </c>
      <c r="D4082" s="2">
        <v>0</v>
      </c>
      <c r="E4082" s="2">
        <v>245.21</v>
      </c>
      <c r="F4082" t="s">
        <v>16</v>
      </c>
      <c r="G4082" t="s">
        <v>17</v>
      </c>
    </row>
    <row r="4083" spans="1:7" x14ac:dyDescent="0.35">
      <c r="A4083">
        <v>1615</v>
      </c>
      <c r="B4083" s="1">
        <v>45586</v>
      </c>
      <c r="C4083" t="s">
        <v>24</v>
      </c>
      <c r="D4083" s="2">
        <v>367.53</v>
      </c>
      <c r="E4083" s="2">
        <v>0</v>
      </c>
      <c r="F4083" t="s">
        <v>8</v>
      </c>
      <c r="G4083" t="s">
        <v>9</v>
      </c>
    </row>
    <row r="4084" spans="1:7" x14ac:dyDescent="0.35">
      <c r="A4084">
        <v>1615</v>
      </c>
      <c r="B4084" s="1">
        <v>45586</v>
      </c>
      <c r="C4084" t="s">
        <v>24</v>
      </c>
      <c r="D4084" s="2">
        <v>0</v>
      </c>
      <c r="E4084" s="2">
        <v>367.53</v>
      </c>
      <c r="F4084" t="s">
        <v>13</v>
      </c>
      <c r="G4084" t="s">
        <v>9</v>
      </c>
    </row>
    <row r="4085" spans="1:7" x14ac:dyDescent="0.35">
      <c r="A4085">
        <v>1616</v>
      </c>
      <c r="B4085" s="1">
        <v>45586</v>
      </c>
      <c r="C4085" t="s">
        <v>24</v>
      </c>
      <c r="D4085" s="2">
        <v>582.83000000000004</v>
      </c>
      <c r="E4085" s="2">
        <v>0</v>
      </c>
      <c r="F4085" t="s">
        <v>8</v>
      </c>
      <c r="G4085" t="s">
        <v>9</v>
      </c>
    </row>
    <row r="4086" spans="1:7" x14ac:dyDescent="0.35">
      <c r="A4086">
        <v>1616</v>
      </c>
      <c r="B4086" s="1">
        <v>45586</v>
      </c>
      <c r="C4086" t="s">
        <v>24</v>
      </c>
      <c r="D4086" s="2">
        <v>0</v>
      </c>
      <c r="E4086" s="2">
        <v>582.83000000000004</v>
      </c>
      <c r="F4086" t="s">
        <v>13</v>
      </c>
      <c r="G4086" t="s">
        <v>9</v>
      </c>
    </row>
    <row r="4087" spans="1:7" x14ac:dyDescent="0.35">
      <c r="A4087">
        <v>1617</v>
      </c>
      <c r="B4087" s="1">
        <v>45586</v>
      </c>
      <c r="C4087" t="s">
        <v>24</v>
      </c>
      <c r="D4087" s="2">
        <v>2837.21</v>
      </c>
      <c r="E4087" s="2">
        <v>0</v>
      </c>
      <c r="F4087" t="s">
        <v>8</v>
      </c>
      <c r="G4087" t="s">
        <v>9</v>
      </c>
    </row>
    <row r="4088" spans="1:7" x14ac:dyDescent="0.35">
      <c r="A4088">
        <v>1617</v>
      </c>
      <c r="B4088" s="1">
        <v>45586</v>
      </c>
      <c r="C4088" t="s">
        <v>24</v>
      </c>
      <c r="D4088" s="2">
        <v>0</v>
      </c>
      <c r="E4088" s="2">
        <v>2837.21</v>
      </c>
      <c r="F4088" t="s">
        <v>13</v>
      </c>
      <c r="G4088" t="s">
        <v>9</v>
      </c>
    </row>
    <row r="4089" spans="1:7" x14ac:dyDescent="0.35">
      <c r="A4089">
        <v>1618</v>
      </c>
      <c r="B4089" s="1">
        <v>45586</v>
      </c>
      <c r="C4089" t="s">
        <v>25</v>
      </c>
      <c r="D4089" s="2">
        <v>512</v>
      </c>
      <c r="E4089" s="2">
        <v>0</v>
      </c>
      <c r="F4089" t="s">
        <v>26</v>
      </c>
      <c r="G4089" t="s">
        <v>20</v>
      </c>
    </row>
    <row r="4090" spans="1:7" x14ac:dyDescent="0.35">
      <c r="A4090">
        <v>1618</v>
      </c>
      <c r="B4090" s="1">
        <v>45586</v>
      </c>
      <c r="C4090" t="s">
        <v>25</v>
      </c>
      <c r="D4090" s="2">
        <v>38.4</v>
      </c>
      <c r="E4090" s="2">
        <v>0</v>
      </c>
      <c r="F4090" t="s">
        <v>27</v>
      </c>
      <c r="G4090" t="s">
        <v>9</v>
      </c>
    </row>
    <row r="4091" spans="1:7" x14ac:dyDescent="0.35">
      <c r="A4091">
        <v>1618</v>
      </c>
      <c r="B4091" s="1">
        <v>45586</v>
      </c>
      <c r="C4091" t="s">
        <v>25</v>
      </c>
      <c r="D4091" s="2">
        <v>0</v>
      </c>
      <c r="E4091" s="2">
        <v>550.4</v>
      </c>
      <c r="F4091" t="s">
        <v>28</v>
      </c>
      <c r="G4091" t="s">
        <v>17</v>
      </c>
    </row>
    <row r="4092" spans="1:7" x14ac:dyDescent="0.35">
      <c r="A4092">
        <v>1619</v>
      </c>
      <c r="B4092" s="1">
        <v>45586</v>
      </c>
      <c r="C4092" t="s">
        <v>25</v>
      </c>
      <c r="D4092" s="2">
        <v>383.76</v>
      </c>
      <c r="E4092" s="2">
        <v>0</v>
      </c>
      <c r="F4092" t="s">
        <v>26</v>
      </c>
      <c r="G4092" t="s">
        <v>20</v>
      </c>
    </row>
    <row r="4093" spans="1:7" x14ac:dyDescent="0.35">
      <c r="A4093">
        <v>1619</v>
      </c>
      <c r="B4093" s="1">
        <v>45586</v>
      </c>
      <c r="C4093" t="s">
        <v>25</v>
      </c>
      <c r="D4093" s="2">
        <v>28.78</v>
      </c>
      <c r="E4093" s="2">
        <v>0</v>
      </c>
      <c r="F4093" t="s">
        <v>27</v>
      </c>
      <c r="G4093" t="s">
        <v>9</v>
      </c>
    </row>
    <row r="4094" spans="1:7" x14ac:dyDescent="0.35">
      <c r="A4094">
        <v>1619</v>
      </c>
      <c r="B4094" s="1">
        <v>45586</v>
      </c>
      <c r="C4094" t="s">
        <v>25</v>
      </c>
      <c r="D4094" s="2">
        <v>0</v>
      </c>
      <c r="E4094" s="2">
        <v>412.54</v>
      </c>
      <c r="F4094" t="s">
        <v>28</v>
      </c>
      <c r="G4094" t="s">
        <v>17</v>
      </c>
    </row>
    <row r="4095" spans="1:7" x14ac:dyDescent="0.35">
      <c r="A4095">
        <v>1620</v>
      </c>
      <c r="B4095" s="1">
        <v>45586</v>
      </c>
      <c r="C4095" t="s">
        <v>25</v>
      </c>
      <c r="D4095" s="2">
        <v>6723.2</v>
      </c>
      <c r="E4095" s="2">
        <v>0</v>
      </c>
      <c r="F4095" t="s">
        <v>26</v>
      </c>
      <c r="G4095" t="s">
        <v>20</v>
      </c>
    </row>
    <row r="4096" spans="1:7" x14ac:dyDescent="0.35">
      <c r="A4096">
        <v>1620</v>
      </c>
      <c r="B4096" s="1">
        <v>45586</v>
      </c>
      <c r="C4096" t="s">
        <v>25</v>
      </c>
      <c r="D4096" s="2">
        <v>504.24</v>
      </c>
      <c r="E4096" s="2">
        <v>0</v>
      </c>
      <c r="F4096" t="s">
        <v>27</v>
      </c>
      <c r="G4096" t="s">
        <v>9</v>
      </c>
    </row>
    <row r="4097" spans="1:7" x14ac:dyDescent="0.35">
      <c r="A4097">
        <v>1620</v>
      </c>
      <c r="B4097" s="1">
        <v>45586</v>
      </c>
      <c r="C4097" t="s">
        <v>25</v>
      </c>
      <c r="D4097" s="2">
        <v>0</v>
      </c>
      <c r="E4097" s="2">
        <v>7227.44</v>
      </c>
      <c r="F4097" t="s">
        <v>28</v>
      </c>
      <c r="G4097" t="s">
        <v>17</v>
      </c>
    </row>
    <row r="4098" spans="1:7" x14ac:dyDescent="0.35">
      <c r="A4098">
        <v>1621</v>
      </c>
      <c r="B4098" s="1">
        <v>45586</v>
      </c>
      <c r="C4098" t="s">
        <v>25</v>
      </c>
      <c r="D4098" s="2">
        <v>1213.5999999999999</v>
      </c>
      <c r="E4098" s="2">
        <v>0</v>
      </c>
      <c r="F4098" t="s">
        <v>26</v>
      </c>
      <c r="G4098" t="s">
        <v>20</v>
      </c>
    </row>
    <row r="4099" spans="1:7" x14ac:dyDescent="0.35">
      <c r="A4099">
        <v>1621</v>
      </c>
      <c r="B4099" s="1">
        <v>45586</v>
      </c>
      <c r="C4099" t="s">
        <v>25</v>
      </c>
      <c r="D4099" s="2">
        <v>91.02</v>
      </c>
      <c r="E4099" s="2">
        <v>0</v>
      </c>
      <c r="F4099" t="s">
        <v>27</v>
      </c>
      <c r="G4099" t="s">
        <v>9</v>
      </c>
    </row>
    <row r="4100" spans="1:7" x14ac:dyDescent="0.35">
      <c r="A4100">
        <v>1621</v>
      </c>
      <c r="B4100" s="1">
        <v>45586</v>
      </c>
      <c r="C4100" t="s">
        <v>25</v>
      </c>
      <c r="D4100" s="2">
        <v>0</v>
      </c>
      <c r="E4100" s="2">
        <v>1304.6199999999999</v>
      </c>
      <c r="F4100" t="s">
        <v>28</v>
      </c>
      <c r="G4100" t="s">
        <v>17</v>
      </c>
    </row>
    <row r="4101" spans="1:7" x14ac:dyDescent="0.35">
      <c r="A4101">
        <v>1622</v>
      </c>
      <c r="B4101" s="1">
        <v>45586</v>
      </c>
      <c r="C4101" t="s">
        <v>25</v>
      </c>
      <c r="D4101" s="2">
        <v>802.71</v>
      </c>
      <c r="E4101" s="2">
        <v>0</v>
      </c>
      <c r="F4101" t="s">
        <v>26</v>
      </c>
      <c r="G4101" t="s">
        <v>20</v>
      </c>
    </row>
    <row r="4102" spans="1:7" x14ac:dyDescent="0.35">
      <c r="A4102">
        <v>1622</v>
      </c>
      <c r="B4102" s="1">
        <v>45586</v>
      </c>
      <c r="C4102" t="s">
        <v>25</v>
      </c>
      <c r="D4102" s="2">
        <v>60.2</v>
      </c>
      <c r="E4102" s="2">
        <v>0</v>
      </c>
      <c r="F4102" t="s">
        <v>27</v>
      </c>
      <c r="G4102" t="s">
        <v>9</v>
      </c>
    </row>
    <row r="4103" spans="1:7" x14ac:dyDescent="0.35">
      <c r="A4103">
        <v>1622</v>
      </c>
      <c r="B4103" s="1">
        <v>45586</v>
      </c>
      <c r="C4103" t="s">
        <v>25</v>
      </c>
      <c r="D4103" s="2">
        <v>0</v>
      </c>
      <c r="E4103" s="2">
        <v>862.91</v>
      </c>
      <c r="F4103" t="s">
        <v>28</v>
      </c>
      <c r="G4103" t="s">
        <v>17</v>
      </c>
    </row>
    <row r="4104" spans="1:7" x14ac:dyDescent="0.35">
      <c r="A4104">
        <v>1623</v>
      </c>
      <c r="B4104" s="1">
        <v>45586</v>
      </c>
      <c r="C4104" t="s">
        <v>25</v>
      </c>
      <c r="D4104" s="2">
        <v>4476.71</v>
      </c>
      <c r="E4104" s="2">
        <v>0</v>
      </c>
      <c r="F4104" t="s">
        <v>26</v>
      </c>
      <c r="G4104" t="s">
        <v>20</v>
      </c>
    </row>
    <row r="4105" spans="1:7" x14ac:dyDescent="0.35">
      <c r="A4105">
        <v>1623</v>
      </c>
      <c r="B4105" s="1">
        <v>45586</v>
      </c>
      <c r="C4105" t="s">
        <v>25</v>
      </c>
      <c r="D4105" s="2">
        <v>335.75</v>
      </c>
      <c r="E4105" s="2">
        <v>0</v>
      </c>
      <c r="F4105" t="s">
        <v>27</v>
      </c>
      <c r="G4105" t="s">
        <v>9</v>
      </c>
    </row>
    <row r="4106" spans="1:7" x14ac:dyDescent="0.35">
      <c r="A4106">
        <v>1623</v>
      </c>
      <c r="B4106" s="1">
        <v>45586</v>
      </c>
      <c r="C4106" t="s">
        <v>25</v>
      </c>
      <c r="D4106" s="2">
        <v>0</v>
      </c>
      <c r="E4106" s="2">
        <v>4812.46</v>
      </c>
      <c r="F4106" t="s">
        <v>28</v>
      </c>
      <c r="G4106" t="s">
        <v>17</v>
      </c>
    </row>
    <row r="4107" spans="1:7" x14ac:dyDescent="0.35">
      <c r="A4107">
        <v>1624</v>
      </c>
      <c r="B4107" s="1">
        <v>45586</v>
      </c>
      <c r="C4107" t="s">
        <v>29</v>
      </c>
      <c r="D4107" s="2">
        <v>3528.97</v>
      </c>
      <c r="E4107" s="2">
        <v>0</v>
      </c>
      <c r="F4107" t="s">
        <v>28</v>
      </c>
      <c r="G4107" t="s">
        <v>17</v>
      </c>
    </row>
    <row r="4108" spans="1:7" x14ac:dyDescent="0.35">
      <c r="A4108">
        <v>1624</v>
      </c>
      <c r="B4108" s="1">
        <v>45586</v>
      </c>
      <c r="C4108" t="s">
        <v>29</v>
      </c>
      <c r="D4108" s="2">
        <v>0</v>
      </c>
      <c r="E4108" s="2">
        <v>3528.97</v>
      </c>
      <c r="F4108" t="s">
        <v>8</v>
      </c>
      <c r="G4108" t="s">
        <v>9</v>
      </c>
    </row>
    <row r="4109" spans="1:7" x14ac:dyDescent="0.35">
      <c r="A4109">
        <v>1625</v>
      </c>
      <c r="B4109" s="1">
        <v>45586</v>
      </c>
      <c r="C4109" t="s">
        <v>29</v>
      </c>
      <c r="D4109" s="2">
        <v>748.26</v>
      </c>
      <c r="E4109" s="2">
        <v>0</v>
      </c>
      <c r="F4109" t="s">
        <v>28</v>
      </c>
      <c r="G4109" t="s">
        <v>17</v>
      </c>
    </row>
    <row r="4110" spans="1:7" x14ac:dyDescent="0.35">
      <c r="A4110">
        <v>1625</v>
      </c>
      <c r="B4110" s="1">
        <v>45586</v>
      </c>
      <c r="C4110" t="s">
        <v>29</v>
      </c>
      <c r="D4110" s="2">
        <v>0</v>
      </c>
      <c r="E4110" s="2">
        <v>748.26</v>
      </c>
      <c r="F4110" t="s">
        <v>8</v>
      </c>
      <c r="G4110" t="s">
        <v>9</v>
      </c>
    </row>
    <row r="4111" spans="1:7" x14ac:dyDescent="0.35">
      <c r="A4111">
        <v>1626</v>
      </c>
      <c r="B4111" s="1">
        <v>45587</v>
      </c>
      <c r="C4111" t="s">
        <v>12</v>
      </c>
      <c r="D4111" s="2">
        <v>1809.95</v>
      </c>
      <c r="E4111" s="2">
        <v>0</v>
      </c>
      <c r="F4111" t="s">
        <v>13</v>
      </c>
      <c r="G4111" t="s">
        <v>9</v>
      </c>
    </row>
    <row r="4112" spans="1:7" x14ac:dyDescent="0.35">
      <c r="A4112">
        <v>1626</v>
      </c>
      <c r="B4112" s="1">
        <v>45587</v>
      </c>
      <c r="C4112" t="s">
        <v>12</v>
      </c>
      <c r="D4112" s="2">
        <v>0</v>
      </c>
      <c r="E4112" s="2">
        <v>1683.67</v>
      </c>
      <c r="F4112" t="s">
        <v>14</v>
      </c>
      <c r="G4112" t="s">
        <v>15</v>
      </c>
    </row>
    <row r="4113" spans="1:7" x14ac:dyDescent="0.35">
      <c r="A4113">
        <v>1626</v>
      </c>
      <c r="B4113" s="1">
        <v>45587</v>
      </c>
      <c r="C4113" t="s">
        <v>12</v>
      </c>
      <c r="D4113" s="2">
        <v>0</v>
      </c>
      <c r="E4113" s="2">
        <v>126.28</v>
      </c>
      <c r="F4113" t="s">
        <v>16</v>
      </c>
      <c r="G4113" t="s">
        <v>17</v>
      </c>
    </row>
    <row r="4114" spans="1:7" x14ac:dyDescent="0.35">
      <c r="A4114">
        <v>1627</v>
      </c>
      <c r="B4114" s="1">
        <v>45587</v>
      </c>
      <c r="C4114" t="s">
        <v>12</v>
      </c>
      <c r="D4114" s="2">
        <v>3422.76</v>
      </c>
      <c r="E4114" s="2">
        <v>0</v>
      </c>
      <c r="F4114" t="s">
        <v>13</v>
      </c>
      <c r="G4114" t="s">
        <v>9</v>
      </c>
    </row>
    <row r="4115" spans="1:7" x14ac:dyDescent="0.35">
      <c r="A4115">
        <v>1627</v>
      </c>
      <c r="B4115" s="1">
        <v>45587</v>
      </c>
      <c r="C4115" t="s">
        <v>12</v>
      </c>
      <c r="D4115" s="2">
        <v>0</v>
      </c>
      <c r="E4115" s="2">
        <v>3183.96</v>
      </c>
      <c r="F4115" t="s">
        <v>14</v>
      </c>
      <c r="G4115" t="s">
        <v>15</v>
      </c>
    </row>
    <row r="4116" spans="1:7" x14ac:dyDescent="0.35">
      <c r="A4116">
        <v>1627</v>
      </c>
      <c r="B4116" s="1">
        <v>45587</v>
      </c>
      <c r="C4116" t="s">
        <v>12</v>
      </c>
      <c r="D4116" s="2">
        <v>0</v>
      </c>
      <c r="E4116" s="2">
        <v>238.8</v>
      </c>
      <c r="F4116" t="s">
        <v>16</v>
      </c>
      <c r="G4116" t="s">
        <v>17</v>
      </c>
    </row>
    <row r="4117" spans="1:7" x14ac:dyDescent="0.35">
      <c r="A4117">
        <v>1628</v>
      </c>
      <c r="B4117" s="1">
        <v>45587</v>
      </c>
      <c r="C4117" t="s">
        <v>12</v>
      </c>
      <c r="D4117" s="2">
        <v>1366.89</v>
      </c>
      <c r="E4117" s="2">
        <v>0</v>
      </c>
      <c r="F4117" t="s">
        <v>13</v>
      </c>
      <c r="G4117" t="s">
        <v>9</v>
      </c>
    </row>
    <row r="4118" spans="1:7" x14ac:dyDescent="0.35">
      <c r="A4118">
        <v>1628</v>
      </c>
      <c r="B4118" s="1">
        <v>45587</v>
      </c>
      <c r="C4118" t="s">
        <v>12</v>
      </c>
      <c r="D4118" s="2">
        <v>0</v>
      </c>
      <c r="E4118" s="2">
        <v>1271.53</v>
      </c>
      <c r="F4118" t="s">
        <v>14</v>
      </c>
      <c r="G4118" t="s">
        <v>15</v>
      </c>
    </row>
    <row r="4119" spans="1:7" x14ac:dyDescent="0.35">
      <c r="A4119">
        <v>1628</v>
      </c>
      <c r="B4119" s="1">
        <v>45587</v>
      </c>
      <c r="C4119" t="s">
        <v>12</v>
      </c>
      <c r="D4119" s="2">
        <v>0</v>
      </c>
      <c r="E4119" s="2">
        <v>95.36</v>
      </c>
      <c r="F4119" t="s">
        <v>16</v>
      </c>
      <c r="G4119" t="s">
        <v>17</v>
      </c>
    </row>
    <row r="4120" spans="1:7" x14ac:dyDescent="0.35">
      <c r="A4120">
        <v>1629</v>
      </c>
      <c r="B4120" s="1">
        <v>45587</v>
      </c>
      <c r="C4120" t="s">
        <v>12</v>
      </c>
      <c r="D4120" s="2">
        <v>3386.57</v>
      </c>
      <c r="E4120" s="2">
        <v>0</v>
      </c>
      <c r="F4120" t="s">
        <v>13</v>
      </c>
      <c r="G4120" t="s">
        <v>9</v>
      </c>
    </row>
    <row r="4121" spans="1:7" x14ac:dyDescent="0.35">
      <c r="A4121">
        <v>1629</v>
      </c>
      <c r="B4121" s="1">
        <v>45587</v>
      </c>
      <c r="C4121" t="s">
        <v>12</v>
      </c>
      <c r="D4121" s="2">
        <v>0</v>
      </c>
      <c r="E4121" s="2">
        <v>3150.29</v>
      </c>
      <c r="F4121" t="s">
        <v>14</v>
      </c>
      <c r="G4121" t="s">
        <v>15</v>
      </c>
    </row>
    <row r="4122" spans="1:7" x14ac:dyDescent="0.35">
      <c r="A4122">
        <v>1629</v>
      </c>
      <c r="B4122" s="1">
        <v>45587</v>
      </c>
      <c r="C4122" t="s">
        <v>12</v>
      </c>
      <c r="D4122" s="2">
        <v>0</v>
      </c>
      <c r="E4122" s="2">
        <v>236.28</v>
      </c>
      <c r="F4122" t="s">
        <v>16</v>
      </c>
      <c r="G4122" t="s">
        <v>17</v>
      </c>
    </row>
    <row r="4123" spans="1:7" x14ac:dyDescent="0.35">
      <c r="A4123">
        <v>1630</v>
      </c>
      <c r="B4123" s="1">
        <v>45587</v>
      </c>
      <c r="C4123" t="s">
        <v>12</v>
      </c>
      <c r="D4123" s="2">
        <v>804.11</v>
      </c>
      <c r="E4123" s="2">
        <v>0</v>
      </c>
      <c r="F4123" t="s">
        <v>13</v>
      </c>
      <c r="G4123" t="s">
        <v>9</v>
      </c>
    </row>
    <row r="4124" spans="1:7" x14ac:dyDescent="0.35">
      <c r="A4124">
        <v>1630</v>
      </c>
      <c r="B4124" s="1">
        <v>45587</v>
      </c>
      <c r="C4124" t="s">
        <v>12</v>
      </c>
      <c r="D4124" s="2">
        <v>0</v>
      </c>
      <c r="E4124" s="2">
        <v>748.01</v>
      </c>
      <c r="F4124" t="s">
        <v>14</v>
      </c>
      <c r="G4124" t="s">
        <v>15</v>
      </c>
    </row>
    <row r="4125" spans="1:7" x14ac:dyDescent="0.35">
      <c r="A4125">
        <v>1630</v>
      </c>
      <c r="B4125" s="1">
        <v>45587</v>
      </c>
      <c r="C4125" t="s">
        <v>12</v>
      </c>
      <c r="D4125" s="2">
        <v>0</v>
      </c>
      <c r="E4125" s="2">
        <v>56.1</v>
      </c>
      <c r="F4125" t="s">
        <v>16</v>
      </c>
      <c r="G4125" t="s">
        <v>17</v>
      </c>
    </row>
    <row r="4126" spans="1:7" x14ac:dyDescent="0.35">
      <c r="A4126">
        <v>1631</v>
      </c>
      <c r="B4126" s="1">
        <v>45587</v>
      </c>
      <c r="C4126" t="s">
        <v>12</v>
      </c>
      <c r="D4126" s="2">
        <v>582.77</v>
      </c>
      <c r="E4126" s="2">
        <v>0</v>
      </c>
      <c r="F4126" t="s">
        <v>13</v>
      </c>
      <c r="G4126" t="s">
        <v>9</v>
      </c>
    </row>
    <row r="4127" spans="1:7" x14ac:dyDescent="0.35">
      <c r="A4127">
        <v>1631</v>
      </c>
      <c r="B4127" s="1">
        <v>45587</v>
      </c>
      <c r="C4127" t="s">
        <v>12</v>
      </c>
      <c r="D4127" s="2">
        <v>0</v>
      </c>
      <c r="E4127" s="2">
        <v>542.12</v>
      </c>
      <c r="F4127" t="s">
        <v>14</v>
      </c>
      <c r="G4127" t="s">
        <v>15</v>
      </c>
    </row>
    <row r="4128" spans="1:7" x14ac:dyDescent="0.35">
      <c r="A4128">
        <v>1631</v>
      </c>
      <c r="B4128" s="1">
        <v>45587</v>
      </c>
      <c r="C4128" t="s">
        <v>12</v>
      </c>
      <c r="D4128" s="2">
        <v>0</v>
      </c>
      <c r="E4128" s="2">
        <v>40.65</v>
      </c>
      <c r="F4128" t="s">
        <v>16</v>
      </c>
      <c r="G4128" t="s">
        <v>17</v>
      </c>
    </row>
    <row r="4129" spans="1:7" x14ac:dyDescent="0.35">
      <c r="A4129">
        <v>1632</v>
      </c>
      <c r="B4129" s="1">
        <v>45587</v>
      </c>
      <c r="C4129" t="s">
        <v>24</v>
      </c>
      <c r="D4129" s="2">
        <v>1288.72</v>
      </c>
      <c r="E4129" s="2">
        <v>0</v>
      </c>
      <c r="F4129" t="s">
        <v>8</v>
      </c>
      <c r="G4129" t="s">
        <v>9</v>
      </c>
    </row>
    <row r="4130" spans="1:7" x14ac:dyDescent="0.35">
      <c r="A4130">
        <v>1632</v>
      </c>
      <c r="B4130" s="1">
        <v>45587</v>
      </c>
      <c r="C4130" t="s">
        <v>24</v>
      </c>
      <c r="D4130" s="2">
        <v>0</v>
      </c>
      <c r="E4130" s="2">
        <v>1288.72</v>
      </c>
      <c r="F4130" t="s">
        <v>13</v>
      </c>
      <c r="G4130" t="s">
        <v>9</v>
      </c>
    </row>
    <row r="4131" spans="1:7" x14ac:dyDescent="0.35">
      <c r="A4131">
        <v>1633</v>
      </c>
      <c r="B4131" s="1">
        <v>45587</v>
      </c>
      <c r="C4131" t="s">
        <v>24</v>
      </c>
      <c r="D4131" s="2">
        <v>2266.06</v>
      </c>
      <c r="E4131" s="2">
        <v>0</v>
      </c>
      <c r="F4131" t="s">
        <v>8</v>
      </c>
      <c r="G4131" t="s">
        <v>9</v>
      </c>
    </row>
    <row r="4132" spans="1:7" x14ac:dyDescent="0.35">
      <c r="A4132">
        <v>1633</v>
      </c>
      <c r="B4132" s="1">
        <v>45587</v>
      </c>
      <c r="C4132" t="s">
        <v>24</v>
      </c>
      <c r="D4132" s="2">
        <v>0</v>
      </c>
      <c r="E4132" s="2">
        <v>2266.06</v>
      </c>
      <c r="F4132" t="s">
        <v>13</v>
      </c>
      <c r="G4132" t="s">
        <v>9</v>
      </c>
    </row>
    <row r="4133" spans="1:7" x14ac:dyDescent="0.35">
      <c r="A4133">
        <v>1634</v>
      </c>
      <c r="B4133" s="1">
        <v>45587</v>
      </c>
      <c r="C4133" t="s">
        <v>24</v>
      </c>
      <c r="D4133" s="2">
        <v>3422.76</v>
      </c>
      <c r="E4133" s="2">
        <v>0</v>
      </c>
      <c r="F4133" t="s">
        <v>8</v>
      </c>
      <c r="G4133" t="s">
        <v>9</v>
      </c>
    </row>
    <row r="4134" spans="1:7" x14ac:dyDescent="0.35">
      <c r="A4134">
        <v>1634</v>
      </c>
      <c r="B4134" s="1">
        <v>45587</v>
      </c>
      <c r="C4134" t="s">
        <v>24</v>
      </c>
      <c r="D4134" s="2">
        <v>0</v>
      </c>
      <c r="E4134" s="2">
        <v>3422.76</v>
      </c>
      <c r="F4134" t="s">
        <v>13</v>
      </c>
      <c r="G4134" t="s">
        <v>9</v>
      </c>
    </row>
    <row r="4135" spans="1:7" x14ac:dyDescent="0.35">
      <c r="A4135">
        <v>1635</v>
      </c>
      <c r="B4135" s="1">
        <v>45587</v>
      </c>
      <c r="C4135" t="s">
        <v>25</v>
      </c>
      <c r="D4135" s="2">
        <v>166.52</v>
      </c>
      <c r="E4135" s="2">
        <v>0</v>
      </c>
      <c r="F4135" t="s">
        <v>26</v>
      </c>
      <c r="G4135" t="s">
        <v>20</v>
      </c>
    </row>
    <row r="4136" spans="1:7" x14ac:dyDescent="0.35">
      <c r="A4136">
        <v>1635</v>
      </c>
      <c r="B4136" s="1">
        <v>45587</v>
      </c>
      <c r="C4136" t="s">
        <v>25</v>
      </c>
      <c r="D4136" s="2">
        <v>12.49</v>
      </c>
      <c r="E4136" s="2">
        <v>0</v>
      </c>
      <c r="F4136" t="s">
        <v>27</v>
      </c>
      <c r="G4136" t="s">
        <v>9</v>
      </c>
    </row>
    <row r="4137" spans="1:7" x14ac:dyDescent="0.35">
      <c r="A4137">
        <v>1635</v>
      </c>
      <c r="B4137" s="1">
        <v>45587</v>
      </c>
      <c r="C4137" t="s">
        <v>25</v>
      </c>
      <c r="D4137" s="2">
        <v>0</v>
      </c>
      <c r="E4137" s="2">
        <v>179.01</v>
      </c>
      <c r="F4137" t="s">
        <v>28</v>
      </c>
      <c r="G4137" t="s">
        <v>17</v>
      </c>
    </row>
    <row r="4138" spans="1:7" x14ac:dyDescent="0.35">
      <c r="A4138">
        <v>1636</v>
      </c>
      <c r="B4138" s="1">
        <v>45587</v>
      </c>
      <c r="C4138" t="s">
        <v>29</v>
      </c>
      <c r="D4138" s="2">
        <v>1304.6199999999999</v>
      </c>
      <c r="E4138" s="2">
        <v>0</v>
      </c>
      <c r="F4138" t="s">
        <v>28</v>
      </c>
      <c r="G4138" t="s">
        <v>17</v>
      </c>
    </row>
    <row r="4139" spans="1:7" x14ac:dyDescent="0.35">
      <c r="A4139">
        <v>1636</v>
      </c>
      <c r="B4139" s="1">
        <v>45587</v>
      </c>
      <c r="C4139" t="s">
        <v>29</v>
      </c>
      <c r="D4139" s="2">
        <v>0</v>
      </c>
      <c r="E4139" s="2">
        <v>1304.6199999999999</v>
      </c>
      <c r="F4139" t="s">
        <v>8</v>
      </c>
      <c r="G4139" t="s">
        <v>9</v>
      </c>
    </row>
    <row r="4140" spans="1:7" x14ac:dyDescent="0.35">
      <c r="A4140">
        <v>1637</v>
      </c>
      <c r="B4140" s="1">
        <v>45588</v>
      </c>
      <c r="C4140" t="s">
        <v>12</v>
      </c>
      <c r="D4140" s="2">
        <v>2953.59</v>
      </c>
      <c r="E4140" s="2">
        <v>0</v>
      </c>
      <c r="F4140" t="s">
        <v>13</v>
      </c>
      <c r="G4140" t="s">
        <v>9</v>
      </c>
    </row>
    <row r="4141" spans="1:7" x14ac:dyDescent="0.35">
      <c r="A4141">
        <v>1637</v>
      </c>
      <c r="B4141" s="1">
        <v>45588</v>
      </c>
      <c r="C4141" t="s">
        <v>12</v>
      </c>
      <c r="D4141" s="2">
        <v>0</v>
      </c>
      <c r="E4141" s="2">
        <v>2747.53</v>
      </c>
      <c r="F4141" t="s">
        <v>14</v>
      </c>
      <c r="G4141" t="s">
        <v>15</v>
      </c>
    </row>
    <row r="4142" spans="1:7" x14ac:dyDescent="0.35">
      <c r="A4142">
        <v>1637</v>
      </c>
      <c r="B4142" s="1">
        <v>45588</v>
      </c>
      <c r="C4142" t="s">
        <v>12</v>
      </c>
      <c r="D4142" s="2">
        <v>0</v>
      </c>
      <c r="E4142" s="2">
        <v>206.06</v>
      </c>
      <c r="F4142" t="s">
        <v>16</v>
      </c>
      <c r="G4142" t="s">
        <v>17</v>
      </c>
    </row>
    <row r="4143" spans="1:7" x14ac:dyDescent="0.35">
      <c r="A4143">
        <v>1638</v>
      </c>
      <c r="B4143" s="1">
        <v>45588</v>
      </c>
      <c r="C4143" t="s">
        <v>12</v>
      </c>
      <c r="D4143" s="2">
        <v>5443.7</v>
      </c>
      <c r="E4143" s="2">
        <v>0</v>
      </c>
      <c r="F4143" t="s">
        <v>13</v>
      </c>
      <c r="G4143" t="s">
        <v>9</v>
      </c>
    </row>
    <row r="4144" spans="1:7" x14ac:dyDescent="0.35">
      <c r="A4144">
        <v>1638</v>
      </c>
      <c r="B4144" s="1">
        <v>45588</v>
      </c>
      <c r="C4144" t="s">
        <v>12</v>
      </c>
      <c r="D4144" s="2">
        <v>0</v>
      </c>
      <c r="E4144" s="2">
        <v>5063.8999999999996</v>
      </c>
      <c r="F4144" t="s">
        <v>14</v>
      </c>
      <c r="G4144" t="s">
        <v>15</v>
      </c>
    </row>
    <row r="4145" spans="1:7" x14ac:dyDescent="0.35">
      <c r="A4145">
        <v>1638</v>
      </c>
      <c r="B4145" s="1">
        <v>45588</v>
      </c>
      <c r="C4145" t="s">
        <v>12</v>
      </c>
      <c r="D4145" s="2">
        <v>0</v>
      </c>
      <c r="E4145" s="2">
        <v>379.8</v>
      </c>
      <c r="F4145" t="s">
        <v>16</v>
      </c>
      <c r="G4145" t="s">
        <v>17</v>
      </c>
    </row>
    <row r="4146" spans="1:7" x14ac:dyDescent="0.35">
      <c r="A4146">
        <v>1639</v>
      </c>
      <c r="B4146" s="1">
        <v>45588</v>
      </c>
      <c r="C4146" t="s">
        <v>12</v>
      </c>
      <c r="D4146" s="2">
        <v>866.97</v>
      </c>
      <c r="E4146" s="2">
        <v>0</v>
      </c>
      <c r="F4146" t="s">
        <v>13</v>
      </c>
      <c r="G4146" t="s">
        <v>9</v>
      </c>
    </row>
    <row r="4147" spans="1:7" x14ac:dyDescent="0.35">
      <c r="A4147">
        <v>1639</v>
      </c>
      <c r="B4147" s="1">
        <v>45588</v>
      </c>
      <c r="C4147" t="s">
        <v>12</v>
      </c>
      <c r="D4147" s="2">
        <v>0</v>
      </c>
      <c r="E4147" s="2">
        <v>806.48</v>
      </c>
      <c r="F4147" t="s">
        <v>14</v>
      </c>
      <c r="G4147" t="s">
        <v>15</v>
      </c>
    </row>
    <row r="4148" spans="1:7" x14ac:dyDescent="0.35">
      <c r="A4148">
        <v>1639</v>
      </c>
      <c r="B4148" s="1">
        <v>45588</v>
      </c>
      <c r="C4148" t="s">
        <v>12</v>
      </c>
      <c r="D4148" s="2">
        <v>0</v>
      </c>
      <c r="E4148" s="2">
        <v>60.49</v>
      </c>
      <c r="F4148" t="s">
        <v>16</v>
      </c>
      <c r="G4148" t="s">
        <v>17</v>
      </c>
    </row>
    <row r="4149" spans="1:7" x14ac:dyDescent="0.35">
      <c r="A4149">
        <v>1640</v>
      </c>
      <c r="B4149" s="1">
        <v>45588</v>
      </c>
      <c r="C4149" t="s">
        <v>24</v>
      </c>
      <c r="D4149" s="2">
        <v>42.09</v>
      </c>
      <c r="E4149" s="2">
        <v>0</v>
      </c>
      <c r="F4149" t="s">
        <v>8</v>
      </c>
      <c r="G4149" t="s">
        <v>9</v>
      </c>
    </row>
    <row r="4150" spans="1:7" x14ac:dyDescent="0.35">
      <c r="A4150">
        <v>1640</v>
      </c>
      <c r="B4150" s="1">
        <v>45588</v>
      </c>
      <c r="C4150" t="s">
        <v>24</v>
      </c>
      <c r="D4150" s="2">
        <v>0</v>
      </c>
      <c r="E4150" s="2">
        <v>42.09</v>
      </c>
      <c r="F4150" t="s">
        <v>13</v>
      </c>
      <c r="G4150" t="s">
        <v>9</v>
      </c>
    </row>
    <row r="4151" spans="1:7" x14ac:dyDescent="0.35">
      <c r="A4151">
        <v>1641</v>
      </c>
      <c r="B4151" s="1">
        <v>45588</v>
      </c>
      <c r="C4151" t="s">
        <v>24</v>
      </c>
      <c r="D4151" s="2">
        <v>3386.57</v>
      </c>
      <c r="E4151" s="2">
        <v>0</v>
      </c>
      <c r="F4151" t="s">
        <v>8</v>
      </c>
      <c r="G4151" t="s">
        <v>9</v>
      </c>
    </row>
    <row r="4152" spans="1:7" x14ac:dyDescent="0.35">
      <c r="A4152">
        <v>1641</v>
      </c>
      <c r="B4152" s="1">
        <v>45588</v>
      </c>
      <c r="C4152" t="s">
        <v>24</v>
      </c>
      <c r="D4152" s="2">
        <v>0</v>
      </c>
      <c r="E4152" s="2">
        <v>3386.57</v>
      </c>
      <c r="F4152" t="s">
        <v>13</v>
      </c>
      <c r="G4152" t="s">
        <v>9</v>
      </c>
    </row>
    <row r="4153" spans="1:7" x14ac:dyDescent="0.35">
      <c r="A4153">
        <v>1642</v>
      </c>
      <c r="B4153" s="1">
        <v>45588</v>
      </c>
      <c r="C4153" t="s">
        <v>29</v>
      </c>
      <c r="D4153" s="2">
        <v>2504.23</v>
      </c>
      <c r="E4153" s="2">
        <v>0</v>
      </c>
      <c r="F4153" t="s">
        <v>28</v>
      </c>
      <c r="G4153" t="s">
        <v>17</v>
      </c>
    </row>
    <row r="4154" spans="1:7" x14ac:dyDescent="0.35">
      <c r="A4154">
        <v>1642</v>
      </c>
      <c r="B4154" s="1">
        <v>45588</v>
      </c>
      <c r="C4154" t="s">
        <v>29</v>
      </c>
      <c r="D4154" s="2">
        <v>0</v>
      </c>
      <c r="E4154" s="2">
        <v>2504.23</v>
      </c>
      <c r="F4154" t="s">
        <v>8</v>
      </c>
      <c r="G4154" t="s">
        <v>9</v>
      </c>
    </row>
    <row r="4155" spans="1:7" x14ac:dyDescent="0.35">
      <c r="A4155">
        <v>1643</v>
      </c>
      <c r="B4155" s="1">
        <v>45588</v>
      </c>
      <c r="C4155" t="s">
        <v>29</v>
      </c>
      <c r="D4155" s="2">
        <v>550.4</v>
      </c>
      <c r="E4155" s="2">
        <v>0</v>
      </c>
      <c r="F4155" t="s">
        <v>28</v>
      </c>
      <c r="G4155" t="s">
        <v>17</v>
      </c>
    </row>
    <row r="4156" spans="1:7" x14ac:dyDescent="0.35">
      <c r="A4156">
        <v>1643</v>
      </c>
      <c r="B4156" s="1">
        <v>45588</v>
      </c>
      <c r="C4156" t="s">
        <v>29</v>
      </c>
      <c r="D4156" s="2">
        <v>0</v>
      </c>
      <c r="E4156" s="2">
        <v>550.4</v>
      </c>
      <c r="F4156" t="s">
        <v>8</v>
      </c>
      <c r="G4156" t="s">
        <v>9</v>
      </c>
    </row>
    <row r="4157" spans="1:7" x14ac:dyDescent="0.35">
      <c r="A4157">
        <v>1644</v>
      </c>
      <c r="B4157" s="1">
        <v>45588</v>
      </c>
      <c r="C4157" t="s">
        <v>29</v>
      </c>
      <c r="D4157" s="2">
        <v>179.01</v>
      </c>
      <c r="E4157" s="2">
        <v>0</v>
      </c>
      <c r="F4157" t="s">
        <v>28</v>
      </c>
      <c r="G4157" t="s">
        <v>17</v>
      </c>
    </row>
    <row r="4158" spans="1:7" x14ac:dyDescent="0.35">
      <c r="A4158">
        <v>1644</v>
      </c>
      <c r="B4158" s="1">
        <v>45588</v>
      </c>
      <c r="C4158" t="s">
        <v>29</v>
      </c>
      <c r="D4158" s="2">
        <v>0</v>
      </c>
      <c r="E4158" s="2">
        <v>179.01</v>
      </c>
      <c r="F4158" t="s">
        <v>8</v>
      </c>
      <c r="G4158" t="s">
        <v>9</v>
      </c>
    </row>
    <row r="4159" spans="1:7" x14ac:dyDescent="0.35">
      <c r="A4159">
        <v>1645</v>
      </c>
      <c r="B4159" s="1">
        <v>45589</v>
      </c>
      <c r="C4159" t="s">
        <v>18</v>
      </c>
      <c r="D4159" s="2">
        <v>22254.94</v>
      </c>
      <c r="E4159" s="2">
        <v>0</v>
      </c>
      <c r="F4159" t="s">
        <v>19</v>
      </c>
      <c r="G4159" t="s">
        <v>20</v>
      </c>
    </row>
    <row r="4160" spans="1:7" x14ac:dyDescent="0.35">
      <c r="A4160">
        <v>1645</v>
      </c>
      <c r="B4160" s="1">
        <v>45589</v>
      </c>
      <c r="C4160" t="s">
        <v>18</v>
      </c>
      <c r="D4160" s="2">
        <v>890.2</v>
      </c>
      <c r="E4160" s="2">
        <v>0</v>
      </c>
      <c r="F4160" t="s">
        <v>21</v>
      </c>
      <c r="G4160" t="s">
        <v>20</v>
      </c>
    </row>
    <row r="4161" spans="1:7" x14ac:dyDescent="0.35">
      <c r="A4161">
        <v>1645</v>
      </c>
      <c r="B4161" s="1">
        <v>45589</v>
      </c>
      <c r="C4161" t="s">
        <v>18</v>
      </c>
      <c r="D4161" s="2">
        <v>0</v>
      </c>
      <c r="E4161" s="2">
        <v>18185.669999999998</v>
      </c>
      <c r="F4161" t="s">
        <v>8</v>
      </c>
      <c r="G4161" t="s">
        <v>9</v>
      </c>
    </row>
    <row r="4162" spans="1:7" x14ac:dyDescent="0.35">
      <c r="A4162">
        <v>1645</v>
      </c>
      <c r="B4162" s="1">
        <v>45589</v>
      </c>
      <c r="C4162" t="s">
        <v>18</v>
      </c>
      <c r="D4162" s="2">
        <v>0</v>
      </c>
      <c r="E4162" s="2">
        <v>4069.27</v>
      </c>
      <c r="F4162" t="s">
        <v>22</v>
      </c>
      <c r="G4162" t="s">
        <v>17</v>
      </c>
    </row>
    <row r="4163" spans="1:7" x14ac:dyDescent="0.35">
      <c r="A4163">
        <v>1645</v>
      </c>
      <c r="B4163" s="1">
        <v>45589</v>
      </c>
      <c r="C4163" t="s">
        <v>18</v>
      </c>
      <c r="D4163" s="2">
        <v>0</v>
      </c>
      <c r="E4163" s="2">
        <v>890.2</v>
      </c>
      <c r="F4163" t="s">
        <v>23</v>
      </c>
      <c r="G4163" t="s">
        <v>17</v>
      </c>
    </row>
    <row r="4164" spans="1:7" x14ac:dyDescent="0.35">
      <c r="A4164">
        <v>1646</v>
      </c>
      <c r="B4164" s="1">
        <v>45589</v>
      </c>
      <c r="C4164" t="s">
        <v>12</v>
      </c>
      <c r="D4164" s="2">
        <v>4240.63</v>
      </c>
      <c r="E4164" s="2">
        <v>0</v>
      </c>
      <c r="F4164" t="s">
        <v>13</v>
      </c>
      <c r="G4164" t="s">
        <v>9</v>
      </c>
    </row>
    <row r="4165" spans="1:7" x14ac:dyDescent="0.35">
      <c r="A4165">
        <v>1646</v>
      </c>
      <c r="B4165" s="1">
        <v>45589</v>
      </c>
      <c r="C4165" t="s">
        <v>12</v>
      </c>
      <c r="D4165" s="2">
        <v>0</v>
      </c>
      <c r="E4165" s="2">
        <v>3944.77</v>
      </c>
      <c r="F4165" t="s">
        <v>14</v>
      </c>
      <c r="G4165" t="s">
        <v>15</v>
      </c>
    </row>
    <row r="4166" spans="1:7" x14ac:dyDescent="0.35">
      <c r="A4166">
        <v>1646</v>
      </c>
      <c r="B4166" s="1">
        <v>45589</v>
      </c>
      <c r="C4166" t="s">
        <v>12</v>
      </c>
      <c r="D4166" s="2">
        <v>0</v>
      </c>
      <c r="E4166" s="2">
        <v>295.86</v>
      </c>
      <c r="F4166" t="s">
        <v>16</v>
      </c>
      <c r="G4166" t="s">
        <v>17</v>
      </c>
    </row>
    <row r="4167" spans="1:7" x14ac:dyDescent="0.35">
      <c r="A4167">
        <v>1647</v>
      </c>
      <c r="B4167" s="1">
        <v>45589</v>
      </c>
      <c r="C4167" t="s">
        <v>12</v>
      </c>
      <c r="D4167" s="2">
        <v>2143.5</v>
      </c>
      <c r="E4167" s="2">
        <v>0</v>
      </c>
      <c r="F4167" t="s">
        <v>13</v>
      </c>
      <c r="G4167" t="s">
        <v>9</v>
      </c>
    </row>
    <row r="4168" spans="1:7" x14ac:dyDescent="0.35">
      <c r="A4168">
        <v>1647</v>
      </c>
      <c r="B4168" s="1">
        <v>45589</v>
      </c>
      <c r="C4168" t="s">
        <v>12</v>
      </c>
      <c r="D4168" s="2">
        <v>0</v>
      </c>
      <c r="E4168" s="2">
        <v>1993.96</v>
      </c>
      <c r="F4168" t="s">
        <v>14</v>
      </c>
      <c r="G4168" t="s">
        <v>15</v>
      </c>
    </row>
    <row r="4169" spans="1:7" x14ac:dyDescent="0.35">
      <c r="A4169">
        <v>1647</v>
      </c>
      <c r="B4169" s="1">
        <v>45589</v>
      </c>
      <c r="C4169" t="s">
        <v>12</v>
      </c>
      <c r="D4169" s="2">
        <v>0</v>
      </c>
      <c r="E4169" s="2">
        <v>149.54</v>
      </c>
      <c r="F4169" t="s">
        <v>16</v>
      </c>
      <c r="G4169" t="s">
        <v>17</v>
      </c>
    </row>
    <row r="4170" spans="1:7" x14ac:dyDescent="0.35">
      <c r="A4170">
        <v>1648</v>
      </c>
      <c r="B4170" s="1">
        <v>45589</v>
      </c>
      <c r="C4170" t="s">
        <v>12</v>
      </c>
      <c r="D4170" s="2">
        <v>2392.13</v>
      </c>
      <c r="E4170" s="2">
        <v>0</v>
      </c>
      <c r="F4170" t="s">
        <v>13</v>
      </c>
      <c r="G4170" t="s">
        <v>9</v>
      </c>
    </row>
    <row r="4171" spans="1:7" x14ac:dyDescent="0.35">
      <c r="A4171">
        <v>1648</v>
      </c>
      <c r="B4171" s="1">
        <v>45589</v>
      </c>
      <c r="C4171" t="s">
        <v>12</v>
      </c>
      <c r="D4171" s="2">
        <v>0</v>
      </c>
      <c r="E4171" s="2">
        <v>2225.23</v>
      </c>
      <c r="F4171" t="s">
        <v>14</v>
      </c>
      <c r="G4171" t="s">
        <v>15</v>
      </c>
    </row>
    <row r="4172" spans="1:7" x14ac:dyDescent="0.35">
      <c r="A4172">
        <v>1648</v>
      </c>
      <c r="B4172" s="1">
        <v>45589</v>
      </c>
      <c r="C4172" t="s">
        <v>12</v>
      </c>
      <c r="D4172" s="2">
        <v>0</v>
      </c>
      <c r="E4172" s="2">
        <v>166.9</v>
      </c>
      <c r="F4172" t="s">
        <v>16</v>
      </c>
      <c r="G4172" t="s">
        <v>17</v>
      </c>
    </row>
    <row r="4173" spans="1:7" x14ac:dyDescent="0.35">
      <c r="A4173">
        <v>1649</v>
      </c>
      <c r="B4173" s="1">
        <v>45589</v>
      </c>
      <c r="C4173" t="s">
        <v>12</v>
      </c>
      <c r="D4173" s="2">
        <v>70.709999999999994</v>
      </c>
      <c r="E4173" s="2">
        <v>0</v>
      </c>
      <c r="F4173" t="s">
        <v>13</v>
      </c>
      <c r="G4173" t="s">
        <v>9</v>
      </c>
    </row>
    <row r="4174" spans="1:7" x14ac:dyDescent="0.35">
      <c r="A4174">
        <v>1649</v>
      </c>
      <c r="B4174" s="1">
        <v>45589</v>
      </c>
      <c r="C4174" t="s">
        <v>12</v>
      </c>
      <c r="D4174" s="2">
        <v>0</v>
      </c>
      <c r="E4174" s="2">
        <v>65.78</v>
      </c>
      <c r="F4174" t="s">
        <v>14</v>
      </c>
      <c r="G4174" t="s">
        <v>15</v>
      </c>
    </row>
    <row r="4175" spans="1:7" x14ac:dyDescent="0.35">
      <c r="A4175">
        <v>1649</v>
      </c>
      <c r="B4175" s="1">
        <v>45589</v>
      </c>
      <c r="C4175" t="s">
        <v>12</v>
      </c>
      <c r="D4175" s="2">
        <v>0</v>
      </c>
      <c r="E4175" s="2">
        <v>4.93</v>
      </c>
      <c r="F4175" t="s">
        <v>16</v>
      </c>
      <c r="G4175" t="s">
        <v>17</v>
      </c>
    </row>
    <row r="4176" spans="1:7" x14ac:dyDescent="0.35">
      <c r="A4176">
        <v>1650</v>
      </c>
      <c r="B4176" s="1">
        <v>45589</v>
      </c>
      <c r="C4176" t="s">
        <v>12</v>
      </c>
      <c r="D4176" s="2">
        <v>1602.79</v>
      </c>
      <c r="E4176" s="2">
        <v>0</v>
      </c>
      <c r="F4176" t="s">
        <v>13</v>
      </c>
      <c r="G4176" t="s">
        <v>9</v>
      </c>
    </row>
    <row r="4177" spans="1:7" x14ac:dyDescent="0.35">
      <c r="A4177">
        <v>1650</v>
      </c>
      <c r="B4177" s="1">
        <v>45589</v>
      </c>
      <c r="C4177" t="s">
        <v>12</v>
      </c>
      <c r="D4177" s="2">
        <v>0</v>
      </c>
      <c r="E4177" s="2">
        <v>1490.96</v>
      </c>
      <c r="F4177" t="s">
        <v>14</v>
      </c>
      <c r="G4177" t="s">
        <v>15</v>
      </c>
    </row>
    <row r="4178" spans="1:7" x14ac:dyDescent="0.35">
      <c r="A4178">
        <v>1650</v>
      </c>
      <c r="B4178" s="1">
        <v>45589</v>
      </c>
      <c r="C4178" t="s">
        <v>12</v>
      </c>
      <c r="D4178" s="2">
        <v>0</v>
      </c>
      <c r="E4178" s="2">
        <v>111.83</v>
      </c>
      <c r="F4178" t="s">
        <v>16</v>
      </c>
      <c r="G4178" t="s">
        <v>17</v>
      </c>
    </row>
    <row r="4179" spans="1:7" x14ac:dyDescent="0.35">
      <c r="A4179">
        <v>1651</v>
      </c>
      <c r="B4179" s="1">
        <v>45589</v>
      </c>
      <c r="C4179" t="s">
        <v>12</v>
      </c>
      <c r="D4179" s="2">
        <v>3598.28</v>
      </c>
      <c r="E4179" s="2">
        <v>0</v>
      </c>
      <c r="F4179" t="s">
        <v>13</v>
      </c>
      <c r="G4179" t="s">
        <v>9</v>
      </c>
    </row>
    <row r="4180" spans="1:7" x14ac:dyDescent="0.35">
      <c r="A4180">
        <v>1651</v>
      </c>
      <c r="B4180" s="1">
        <v>45589</v>
      </c>
      <c r="C4180" t="s">
        <v>12</v>
      </c>
      <c r="D4180" s="2">
        <v>0</v>
      </c>
      <c r="E4180" s="2">
        <v>3347.23</v>
      </c>
      <c r="F4180" t="s">
        <v>14</v>
      </c>
      <c r="G4180" t="s">
        <v>15</v>
      </c>
    </row>
    <row r="4181" spans="1:7" x14ac:dyDescent="0.35">
      <c r="A4181">
        <v>1651</v>
      </c>
      <c r="B4181" s="1">
        <v>45589</v>
      </c>
      <c r="C4181" t="s">
        <v>12</v>
      </c>
      <c r="D4181" s="2">
        <v>0</v>
      </c>
      <c r="E4181" s="2">
        <v>251.05</v>
      </c>
      <c r="F4181" t="s">
        <v>16</v>
      </c>
      <c r="G4181" t="s">
        <v>17</v>
      </c>
    </row>
    <row r="4182" spans="1:7" x14ac:dyDescent="0.35">
      <c r="A4182">
        <v>1652</v>
      </c>
      <c r="B4182" s="1">
        <v>45589</v>
      </c>
      <c r="C4182" t="s">
        <v>12</v>
      </c>
      <c r="D4182" s="2">
        <v>3776.97</v>
      </c>
      <c r="E4182" s="2">
        <v>0</v>
      </c>
      <c r="F4182" t="s">
        <v>13</v>
      </c>
      <c r="G4182" t="s">
        <v>9</v>
      </c>
    </row>
    <row r="4183" spans="1:7" x14ac:dyDescent="0.35">
      <c r="A4183">
        <v>1652</v>
      </c>
      <c r="B4183" s="1">
        <v>45589</v>
      </c>
      <c r="C4183" t="s">
        <v>12</v>
      </c>
      <c r="D4183" s="2">
        <v>0</v>
      </c>
      <c r="E4183" s="2">
        <v>3513.45</v>
      </c>
      <c r="F4183" t="s">
        <v>14</v>
      </c>
      <c r="G4183" t="s">
        <v>15</v>
      </c>
    </row>
    <row r="4184" spans="1:7" x14ac:dyDescent="0.35">
      <c r="A4184">
        <v>1652</v>
      </c>
      <c r="B4184" s="1">
        <v>45589</v>
      </c>
      <c r="C4184" t="s">
        <v>12</v>
      </c>
      <c r="D4184" s="2">
        <v>0</v>
      </c>
      <c r="E4184" s="2">
        <v>263.52</v>
      </c>
      <c r="F4184" t="s">
        <v>16</v>
      </c>
      <c r="G4184" t="s">
        <v>17</v>
      </c>
    </row>
    <row r="4185" spans="1:7" x14ac:dyDescent="0.35">
      <c r="A4185">
        <v>1653</v>
      </c>
      <c r="B4185" s="1">
        <v>45589</v>
      </c>
      <c r="C4185" t="s">
        <v>12</v>
      </c>
      <c r="D4185" s="2">
        <v>259.69</v>
      </c>
      <c r="E4185" s="2">
        <v>0</v>
      </c>
      <c r="F4185" t="s">
        <v>13</v>
      </c>
      <c r="G4185" t="s">
        <v>9</v>
      </c>
    </row>
    <row r="4186" spans="1:7" x14ac:dyDescent="0.35">
      <c r="A4186">
        <v>1653</v>
      </c>
      <c r="B4186" s="1">
        <v>45589</v>
      </c>
      <c r="C4186" t="s">
        <v>12</v>
      </c>
      <c r="D4186" s="2">
        <v>0</v>
      </c>
      <c r="E4186" s="2">
        <v>241.57</v>
      </c>
      <c r="F4186" t="s">
        <v>14</v>
      </c>
      <c r="G4186" t="s">
        <v>15</v>
      </c>
    </row>
    <row r="4187" spans="1:7" x14ac:dyDescent="0.35">
      <c r="A4187">
        <v>1653</v>
      </c>
      <c r="B4187" s="1">
        <v>45589</v>
      </c>
      <c r="C4187" t="s">
        <v>12</v>
      </c>
      <c r="D4187" s="2">
        <v>0</v>
      </c>
      <c r="E4187" s="2">
        <v>18.12</v>
      </c>
      <c r="F4187" t="s">
        <v>16</v>
      </c>
      <c r="G4187" t="s">
        <v>17</v>
      </c>
    </row>
    <row r="4188" spans="1:7" x14ac:dyDescent="0.35">
      <c r="A4188">
        <v>1654</v>
      </c>
      <c r="B4188" s="1">
        <v>45589</v>
      </c>
      <c r="C4188" t="s">
        <v>12</v>
      </c>
      <c r="D4188" s="2">
        <v>184.17</v>
      </c>
      <c r="E4188" s="2">
        <v>0</v>
      </c>
      <c r="F4188" t="s">
        <v>13</v>
      </c>
      <c r="G4188" t="s">
        <v>9</v>
      </c>
    </row>
    <row r="4189" spans="1:7" x14ac:dyDescent="0.35">
      <c r="A4189">
        <v>1654</v>
      </c>
      <c r="B4189" s="1">
        <v>45589</v>
      </c>
      <c r="C4189" t="s">
        <v>12</v>
      </c>
      <c r="D4189" s="2">
        <v>0</v>
      </c>
      <c r="E4189" s="2">
        <v>171.33</v>
      </c>
      <c r="F4189" t="s">
        <v>14</v>
      </c>
      <c r="G4189" t="s">
        <v>15</v>
      </c>
    </row>
    <row r="4190" spans="1:7" x14ac:dyDescent="0.35">
      <c r="A4190">
        <v>1654</v>
      </c>
      <c r="B4190" s="1">
        <v>45589</v>
      </c>
      <c r="C4190" t="s">
        <v>12</v>
      </c>
      <c r="D4190" s="2">
        <v>0</v>
      </c>
      <c r="E4190" s="2">
        <v>12.84</v>
      </c>
      <c r="F4190" t="s">
        <v>16</v>
      </c>
      <c r="G4190" t="s">
        <v>17</v>
      </c>
    </row>
    <row r="4191" spans="1:7" x14ac:dyDescent="0.35">
      <c r="A4191">
        <v>1655</v>
      </c>
      <c r="B4191" s="1">
        <v>45589</v>
      </c>
      <c r="C4191" t="s">
        <v>12</v>
      </c>
      <c r="D4191" s="2">
        <v>3904.34</v>
      </c>
      <c r="E4191" s="2">
        <v>0</v>
      </c>
      <c r="F4191" t="s">
        <v>13</v>
      </c>
      <c r="G4191" t="s">
        <v>9</v>
      </c>
    </row>
    <row r="4192" spans="1:7" x14ac:dyDescent="0.35">
      <c r="A4192">
        <v>1655</v>
      </c>
      <c r="B4192" s="1">
        <v>45589</v>
      </c>
      <c r="C4192" t="s">
        <v>12</v>
      </c>
      <c r="D4192" s="2">
        <v>0</v>
      </c>
      <c r="E4192" s="2">
        <v>3631.95</v>
      </c>
      <c r="F4192" t="s">
        <v>14</v>
      </c>
      <c r="G4192" t="s">
        <v>15</v>
      </c>
    </row>
    <row r="4193" spans="1:7" x14ac:dyDescent="0.35">
      <c r="A4193">
        <v>1655</v>
      </c>
      <c r="B4193" s="1">
        <v>45589</v>
      </c>
      <c r="C4193" t="s">
        <v>12</v>
      </c>
      <c r="D4193" s="2">
        <v>0</v>
      </c>
      <c r="E4193" s="2">
        <v>272.39</v>
      </c>
      <c r="F4193" t="s">
        <v>16</v>
      </c>
      <c r="G4193" t="s">
        <v>17</v>
      </c>
    </row>
    <row r="4194" spans="1:7" x14ac:dyDescent="0.35">
      <c r="A4194">
        <v>1656</v>
      </c>
      <c r="B4194" s="1">
        <v>45589</v>
      </c>
      <c r="C4194" t="s">
        <v>24</v>
      </c>
      <c r="D4194" s="2">
        <v>1435.55</v>
      </c>
      <c r="E4194" s="2">
        <v>0</v>
      </c>
      <c r="F4194" t="s">
        <v>8</v>
      </c>
      <c r="G4194" t="s">
        <v>9</v>
      </c>
    </row>
    <row r="4195" spans="1:7" x14ac:dyDescent="0.35">
      <c r="A4195">
        <v>1656</v>
      </c>
      <c r="B4195" s="1">
        <v>45589</v>
      </c>
      <c r="C4195" t="s">
        <v>24</v>
      </c>
      <c r="D4195" s="2">
        <v>0</v>
      </c>
      <c r="E4195" s="2">
        <v>1435.55</v>
      </c>
      <c r="F4195" t="s">
        <v>13</v>
      </c>
      <c r="G4195" t="s">
        <v>9</v>
      </c>
    </row>
    <row r="4196" spans="1:7" x14ac:dyDescent="0.35">
      <c r="A4196">
        <v>1657</v>
      </c>
      <c r="B4196" s="1">
        <v>45589</v>
      </c>
      <c r="C4196" t="s">
        <v>24</v>
      </c>
      <c r="D4196" s="2">
        <v>3009.06</v>
      </c>
      <c r="E4196" s="2">
        <v>0</v>
      </c>
      <c r="F4196" t="s">
        <v>8</v>
      </c>
      <c r="G4196" t="s">
        <v>9</v>
      </c>
    </row>
    <row r="4197" spans="1:7" x14ac:dyDescent="0.35">
      <c r="A4197">
        <v>1657</v>
      </c>
      <c r="B4197" s="1">
        <v>45589</v>
      </c>
      <c r="C4197" t="s">
        <v>24</v>
      </c>
      <c r="D4197" s="2">
        <v>0</v>
      </c>
      <c r="E4197" s="2">
        <v>3009.06</v>
      </c>
      <c r="F4197" t="s">
        <v>13</v>
      </c>
      <c r="G4197" t="s">
        <v>9</v>
      </c>
    </row>
    <row r="4198" spans="1:7" x14ac:dyDescent="0.35">
      <c r="A4198">
        <v>1658</v>
      </c>
      <c r="B4198" s="1">
        <v>45589</v>
      </c>
      <c r="C4198" t="s">
        <v>29</v>
      </c>
      <c r="D4198" s="2">
        <v>1023.42</v>
      </c>
      <c r="E4198" s="2">
        <v>0</v>
      </c>
      <c r="F4198" t="s">
        <v>28</v>
      </c>
      <c r="G4198" t="s">
        <v>17</v>
      </c>
    </row>
    <row r="4199" spans="1:7" x14ac:dyDescent="0.35">
      <c r="A4199">
        <v>1658</v>
      </c>
      <c r="B4199" s="1">
        <v>45589</v>
      </c>
      <c r="C4199" t="s">
        <v>29</v>
      </c>
      <c r="D4199" s="2">
        <v>0</v>
      </c>
      <c r="E4199" s="2">
        <v>1023.42</v>
      </c>
      <c r="F4199" t="s">
        <v>8</v>
      </c>
      <c r="G4199" t="s">
        <v>9</v>
      </c>
    </row>
    <row r="4200" spans="1:7" x14ac:dyDescent="0.35">
      <c r="A4200">
        <v>1659</v>
      </c>
      <c r="B4200" s="1">
        <v>45590</v>
      </c>
      <c r="C4200" t="s">
        <v>12</v>
      </c>
      <c r="D4200" s="2">
        <v>1815.84</v>
      </c>
      <c r="E4200" s="2">
        <v>0</v>
      </c>
      <c r="F4200" t="s">
        <v>13</v>
      </c>
      <c r="G4200" t="s">
        <v>9</v>
      </c>
    </row>
    <row r="4201" spans="1:7" x14ac:dyDescent="0.35">
      <c r="A4201">
        <v>1659</v>
      </c>
      <c r="B4201" s="1">
        <v>45590</v>
      </c>
      <c r="C4201" t="s">
        <v>12</v>
      </c>
      <c r="D4201" s="2">
        <v>0</v>
      </c>
      <c r="E4201" s="2">
        <v>1689.15</v>
      </c>
      <c r="F4201" t="s">
        <v>14</v>
      </c>
      <c r="G4201" t="s">
        <v>15</v>
      </c>
    </row>
    <row r="4202" spans="1:7" x14ac:dyDescent="0.35">
      <c r="A4202">
        <v>1659</v>
      </c>
      <c r="B4202" s="1">
        <v>45590</v>
      </c>
      <c r="C4202" t="s">
        <v>12</v>
      </c>
      <c r="D4202" s="2">
        <v>0</v>
      </c>
      <c r="E4202" s="2">
        <v>126.69</v>
      </c>
      <c r="F4202" t="s">
        <v>16</v>
      </c>
      <c r="G4202" t="s">
        <v>17</v>
      </c>
    </row>
    <row r="4203" spans="1:7" x14ac:dyDescent="0.35">
      <c r="A4203">
        <v>1660</v>
      </c>
      <c r="B4203" s="1">
        <v>45590</v>
      </c>
      <c r="C4203" t="s">
        <v>12</v>
      </c>
      <c r="D4203" s="2">
        <v>4797.63</v>
      </c>
      <c r="E4203" s="2">
        <v>0</v>
      </c>
      <c r="F4203" t="s">
        <v>13</v>
      </c>
      <c r="G4203" t="s">
        <v>9</v>
      </c>
    </row>
    <row r="4204" spans="1:7" x14ac:dyDescent="0.35">
      <c r="A4204">
        <v>1660</v>
      </c>
      <c r="B4204" s="1">
        <v>45590</v>
      </c>
      <c r="C4204" t="s">
        <v>12</v>
      </c>
      <c r="D4204" s="2">
        <v>0</v>
      </c>
      <c r="E4204" s="2">
        <v>4462.91</v>
      </c>
      <c r="F4204" t="s">
        <v>14</v>
      </c>
      <c r="G4204" t="s">
        <v>15</v>
      </c>
    </row>
    <row r="4205" spans="1:7" x14ac:dyDescent="0.35">
      <c r="A4205">
        <v>1660</v>
      </c>
      <c r="B4205" s="1">
        <v>45590</v>
      </c>
      <c r="C4205" t="s">
        <v>12</v>
      </c>
      <c r="D4205" s="2">
        <v>0</v>
      </c>
      <c r="E4205" s="2">
        <v>334.72</v>
      </c>
      <c r="F4205" t="s">
        <v>16</v>
      </c>
      <c r="G4205" t="s">
        <v>17</v>
      </c>
    </row>
    <row r="4206" spans="1:7" x14ac:dyDescent="0.35">
      <c r="A4206">
        <v>1661</v>
      </c>
      <c r="B4206" s="1">
        <v>45590</v>
      </c>
      <c r="C4206" t="s">
        <v>12</v>
      </c>
      <c r="D4206" s="2">
        <v>3777.17</v>
      </c>
      <c r="E4206" s="2">
        <v>0</v>
      </c>
      <c r="F4206" t="s">
        <v>13</v>
      </c>
      <c r="G4206" t="s">
        <v>9</v>
      </c>
    </row>
    <row r="4207" spans="1:7" x14ac:dyDescent="0.35">
      <c r="A4207">
        <v>1661</v>
      </c>
      <c r="B4207" s="1">
        <v>45590</v>
      </c>
      <c r="C4207" t="s">
        <v>12</v>
      </c>
      <c r="D4207" s="2">
        <v>0</v>
      </c>
      <c r="E4207" s="2">
        <v>3513.65</v>
      </c>
      <c r="F4207" t="s">
        <v>14</v>
      </c>
      <c r="G4207" t="s">
        <v>15</v>
      </c>
    </row>
    <row r="4208" spans="1:7" x14ac:dyDescent="0.35">
      <c r="A4208">
        <v>1661</v>
      </c>
      <c r="B4208" s="1">
        <v>45590</v>
      </c>
      <c r="C4208" t="s">
        <v>12</v>
      </c>
      <c r="D4208" s="2">
        <v>0</v>
      </c>
      <c r="E4208" s="2">
        <v>263.52</v>
      </c>
      <c r="F4208" t="s">
        <v>16</v>
      </c>
      <c r="G4208" t="s">
        <v>17</v>
      </c>
    </row>
    <row r="4209" spans="1:7" x14ac:dyDescent="0.35">
      <c r="A4209">
        <v>1662</v>
      </c>
      <c r="B4209" s="1">
        <v>45590</v>
      </c>
      <c r="C4209" t="s">
        <v>12</v>
      </c>
      <c r="D4209" s="2">
        <v>3043.81</v>
      </c>
      <c r="E4209" s="2">
        <v>0</v>
      </c>
      <c r="F4209" t="s">
        <v>13</v>
      </c>
      <c r="G4209" t="s">
        <v>9</v>
      </c>
    </row>
    <row r="4210" spans="1:7" x14ac:dyDescent="0.35">
      <c r="A4210">
        <v>1662</v>
      </c>
      <c r="B4210" s="1">
        <v>45590</v>
      </c>
      <c r="C4210" t="s">
        <v>12</v>
      </c>
      <c r="D4210" s="2">
        <v>0</v>
      </c>
      <c r="E4210" s="2">
        <v>2831.46</v>
      </c>
      <c r="F4210" t="s">
        <v>14</v>
      </c>
      <c r="G4210" t="s">
        <v>15</v>
      </c>
    </row>
    <row r="4211" spans="1:7" x14ac:dyDescent="0.35">
      <c r="A4211">
        <v>1662</v>
      </c>
      <c r="B4211" s="1">
        <v>45590</v>
      </c>
      <c r="C4211" t="s">
        <v>12</v>
      </c>
      <c r="D4211" s="2">
        <v>0</v>
      </c>
      <c r="E4211" s="2">
        <v>212.35</v>
      </c>
      <c r="F4211" t="s">
        <v>16</v>
      </c>
      <c r="G4211" t="s">
        <v>17</v>
      </c>
    </row>
    <row r="4212" spans="1:7" x14ac:dyDescent="0.35">
      <c r="A4212">
        <v>1663</v>
      </c>
      <c r="B4212" s="1">
        <v>45590</v>
      </c>
      <c r="C4212" t="s">
        <v>12</v>
      </c>
      <c r="D4212" s="2">
        <v>2038.25</v>
      </c>
      <c r="E4212" s="2">
        <v>0</v>
      </c>
      <c r="F4212" t="s">
        <v>13</v>
      </c>
      <c r="G4212" t="s">
        <v>9</v>
      </c>
    </row>
    <row r="4213" spans="1:7" x14ac:dyDescent="0.35">
      <c r="A4213">
        <v>1663</v>
      </c>
      <c r="B4213" s="1">
        <v>45590</v>
      </c>
      <c r="C4213" t="s">
        <v>12</v>
      </c>
      <c r="D4213" s="2">
        <v>0</v>
      </c>
      <c r="E4213" s="2">
        <v>1896.05</v>
      </c>
      <c r="F4213" t="s">
        <v>14</v>
      </c>
      <c r="G4213" t="s">
        <v>15</v>
      </c>
    </row>
    <row r="4214" spans="1:7" x14ac:dyDescent="0.35">
      <c r="A4214">
        <v>1663</v>
      </c>
      <c r="B4214" s="1">
        <v>45590</v>
      </c>
      <c r="C4214" t="s">
        <v>12</v>
      </c>
      <c r="D4214" s="2">
        <v>0</v>
      </c>
      <c r="E4214" s="2">
        <v>142.19999999999999</v>
      </c>
      <c r="F4214" t="s">
        <v>16</v>
      </c>
      <c r="G4214" t="s">
        <v>17</v>
      </c>
    </row>
    <row r="4215" spans="1:7" x14ac:dyDescent="0.35">
      <c r="A4215">
        <v>1664</v>
      </c>
      <c r="B4215" s="1">
        <v>45590</v>
      </c>
      <c r="C4215" t="s">
        <v>12</v>
      </c>
      <c r="D4215" s="2">
        <v>6777.26</v>
      </c>
      <c r="E4215" s="2">
        <v>0</v>
      </c>
      <c r="F4215" t="s">
        <v>13</v>
      </c>
      <c r="G4215" t="s">
        <v>9</v>
      </c>
    </row>
    <row r="4216" spans="1:7" x14ac:dyDescent="0.35">
      <c r="A4216">
        <v>1664</v>
      </c>
      <c r="B4216" s="1">
        <v>45590</v>
      </c>
      <c r="C4216" t="s">
        <v>12</v>
      </c>
      <c r="D4216" s="2">
        <v>0</v>
      </c>
      <c r="E4216" s="2">
        <v>6304.42</v>
      </c>
      <c r="F4216" t="s">
        <v>14</v>
      </c>
      <c r="G4216" t="s">
        <v>15</v>
      </c>
    </row>
    <row r="4217" spans="1:7" x14ac:dyDescent="0.35">
      <c r="A4217">
        <v>1664</v>
      </c>
      <c r="B4217" s="1">
        <v>45590</v>
      </c>
      <c r="C4217" t="s">
        <v>12</v>
      </c>
      <c r="D4217" s="2">
        <v>0</v>
      </c>
      <c r="E4217" s="2">
        <v>472.84</v>
      </c>
      <c r="F4217" t="s">
        <v>16</v>
      </c>
      <c r="G4217" t="s">
        <v>17</v>
      </c>
    </row>
    <row r="4218" spans="1:7" x14ac:dyDescent="0.35">
      <c r="A4218">
        <v>1665</v>
      </c>
      <c r="B4218" s="1">
        <v>45590</v>
      </c>
      <c r="C4218" t="s">
        <v>24</v>
      </c>
      <c r="D4218" s="2">
        <v>2485.56</v>
      </c>
      <c r="E4218" s="2">
        <v>0</v>
      </c>
      <c r="F4218" t="s">
        <v>8</v>
      </c>
      <c r="G4218" t="s">
        <v>9</v>
      </c>
    </row>
    <row r="4219" spans="1:7" x14ac:dyDescent="0.35">
      <c r="A4219">
        <v>1665</v>
      </c>
      <c r="B4219" s="1">
        <v>45590</v>
      </c>
      <c r="C4219" t="s">
        <v>24</v>
      </c>
      <c r="D4219" s="2">
        <v>0</v>
      </c>
      <c r="E4219" s="2">
        <v>2485.56</v>
      </c>
      <c r="F4219" t="s">
        <v>13</v>
      </c>
      <c r="G4219" t="s">
        <v>9</v>
      </c>
    </row>
    <row r="4220" spans="1:7" x14ac:dyDescent="0.35">
      <c r="A4220">
        <v>1666</v>
      </c>
      <c r="B4220" s="1">
        <v>45590</v>
      </c>
      <c r="C4220" t="s">
        <v>24</v>
      </c>
      <c r="D4220" s="2">
        <v>964.23</v>
      </c>
      <c r="E4220" s="2">
        <v>0</v>
      </c>
      <c r="F4220" t="s">
        <v>8</v>
      </c>
      <c r="G4220" t="s">
        <v>9</v>
      </c>
    </row>
    <row r="4221" spans="1:7" x14ac:dyDescent="0.35">
      <c r="A4221">
        <v>1666</v>
      </c>
      <c r="B4221" s="1">
        <v>45590</v>
      </c>
      <c r="C4221" t="s">
        <v>24</v>
      </c>
      <c r="D4221" s="2">
        <v>0</v>
      </c>
      <c r="E4221" s="2">
        <v>964.23</v>
      </c>
      <c r="F4221" t="s">
        <v>13</v>
      </c>
      <c r="G4221" t="s">
        <v>9</v>
      </c>
    </row>
    <row r="4222" spans="1:7" x14ac:dyDescent="0.35">
      <c r="A4222">
        <v>1667</v>
      </c>
      <c r="B4222" s="1">
        <v>45590</v>
      </c>
      <c r="C4222" t="s">
        <v>25</v>
      </c>
      <c r="D4222" s="2">
        <v>383.76</v>
      </c>
      <c r="E4222" s="2">
        <v>0</v>
      </c>
      <c r="F4222" t="s">
        <v>26</v>
      </c>
      <c r="G4222" t="s">
        <v>20</v>
      </c>
    </row>
    <row r="4223" spans="1:7" x14ac:dyDescent="0.35">
      <c r="A4223">
        <v>1667</v>
      </c>
      <c r="B4223" s="1">
        <v>45590</v>
      </c>
      <c r="C4223" t="s">
        <v>25</v>
      </c>
      <c r="D4223" s="2">
        <v>28.78</v>
      </c>
      <c r="E4223" s="2">
        <v>0</v>
      </c>
      <c r="F4223" t="s">
        <v>27</v>
      </c>
      <c r="G4223" t="s">
        <v>9</v>
      </c>
    </row>
    <row r="4224" spans="1:7" x14ac:dyDescent="0.35">
      <c r="A4224">
        <v>1667</v>
      </c>
      <c r="B4224" s="1">
        <v>45590</v>
      </c>
      <c r="C4224" t="s">
        <v>25</v>
      </c>
      <c r="D4224" s="2">
        <v>0</v>
      </c>
      <c r="E4224" s="2">
        <v>412.54</v>
      </c>
      <c r="F4224" t="s">
        <v>28</v>
      </c>
      <c r="G4224" t="s">
        <v>17</v>
      </c>
    </row>
    <row r="4225" spans="1:7" x14ac:dyDescent="0.35">
      <c r="A4225">
        <v>1668</v>
      </c>
      <c r="B4225" s="1">
        <v>45590</v>
      </c>
      <c r="C4225" t="s">
        <v>29</v>
      </c>
      <c r="D4225" s="2">
        <v>276.32</v>
      </c>
      <c r="E4225" s="2">
        <v>0</v>
      </c>
      <c r="F4225" t="s">
        <v>28</v>
      </c>
      <c r="G4225" t="s">
        <v>17</v>
      </c>
    </row>
    <row r="4226" spans="1:7" x14ac:dyDescent="0.35">
      <c r="A4226">
        <v>1668</v>
      </c>
      <c r="B4226" s="1">
        <v>45590</v>
      </c>
      <c r="C4226" t="s">
        <v>29</v>
      </c>
      <c r="D4226" s="2">
        <v>0</v>
      </c>
      <c r="E4226" s="2">
        <v>276.32</v>
      </c>
      <c r="F4226" t="s">
        <v>8</v>
      </c>
      <c r="G4226" t="s">
        <v>9</v>
      </c>
    </row>
    <row r="4227" spans="1:7" x14ac:dyDescent="0.35">
      <c r="A4227">
        <v>1669</v>
      </c>
      <c r="B4227" s="1">
        <v>45593</v>
      </c>
      <c r="C4227" t="s">
        <v>12</v>
      </c>
      <c r="D4227" s="2">
        <v>4553.1000000000004</v>
      </c>
      <c r="E4227" s="2">
        <v>0</v>
      </c>
      <c r="F4227" t="s">
        <v>13</v>
      </c>
      <c r="G4227" t="s">
        <v>9</v>
      </c>
    </row>
    <row r="4228" spans="1:7" x14ac:dyDescent="0.35">
      <c r="A4228">
        <v>1669</v>
      </c>
      <c r="B4228" s="1">
        <v>45593</v>
      </c>
      <c r="C4228" t="s">
        <v>12</v>
      </c>
      <c r="D4228" s="2">
        <v>0</v>
      </c>
      <c r="E4228" s="2">
        <v>4235.45</v>
      </c>
      <c r="F4228" t="s">
        <v>14</v>
      </c>
      <c r="G4228" t="s">
        <v>15</v>
      </c>
    </row>
    <row r="4229" spans="1:7" x14ac:dyDescent="0.35">
      <c r="A4229">
        <v>1669</v>
      </c>
      <c r="B4229" s="1">
        <v>45593</v>
      </c>
      <c r="C4229" t="s">
        <v>12</v>
      </c>
      <c r="D4229" s="2">
        <v>0</v>
      </c>
      <c r="E4229" s="2">
        <v>317.64999999999998</v>
      </c>
      <c r="F4229" t="s">
        <v>16</v>
      </c>
      <c r="G4229" t="s">
        <v>17</v>
      </c>
    </row>
    <row r="4230" spans="1:7" x14ac:dyDescent="0.35">
      <c r="A4230">
        <v>1670</v>
      </c>
      <c r="B4230" s="1">
        <v>45593</v>
      </c>
      <c r="C4230" t="s">
        <v>12</v>
      </c>
      <c r="D4230" s="2">
        <v>1311.54</v>
      </c>
      <c r="E4230" s="2">
        <v>0</v>
      </c>
      <c r="F4230" t="s">
        <v>13</v>
      </c>
      <c r="G4230" t="s">
        <v>9</v>
      </c>
    </row>
    <row r="4231" spans="1:7" x14ac:dyDescent="0.35">
      <c r="A4231">
        <v>1670</v>
      </c>
      <c r="B4231" s="1">
        <v>45593</v>
      </c>
      <c r="C4231" t="s">
        <v>12</v>
      </c>
      <c r="D4231" s="2">
        <v>0</v>
      </c>
      <c r="E4231" s="2">
        <v>1220.04</v>
      </c>
      <c r="F4231" t="s">
        <v>14</v>
      </c>
      <c r="G4231" t="s">
        <v>15</v>
      </c>
    </row>
    <row r="4232" spans="1:7" x14ac:dyDescent="0.35">
      <c r="A4232">
        <v>1670</v>
      </c>
      <c r="B4232" s="1">
        <v>45593</v>
      </c>
      <c r="C4232" t="s">
        <v>12</v>
      </c>
      <c r="D4232" s="2">
        <v>0</v>
      </c>
      <c r="E4232" s="2">
        <v>91.5</v>
      </c>
      <c r="F4232" t="s">
        <v>16</v>
      </c>
      <c r="G4232" t="s">
        <v>17</v>
      </c>
    </row>
    <row r="4233" spans="1:7" x14ac:dyDescent="0.35">
      <c r="A4233">
        <v>1671</v>
      </c>
      <c r="B4233" s="1">
        <v>45593</v>
      </c>
      <c r="C4233" t="s">
        <v>12</v>
      </c>
      <c r="D4233" s="2">
        <v>2509.4299999999998</v>
      </c>
      <c r="E4233" s="2">
        <v>0</v>
      </c>
      <c r="F4233" t="s">
        <v>13</v>
      </c>
      <c r="G4233" t="s">
        <v>9</v>
      </c>
    </row>
    <row r="4234" spans="1:7" x14ac:dyDescent="0.35">
      <c r="A4234">
        <v>1671</v>
      </c>
      <c r="B4234" s="1">
        <v>45593</v>
      </c>
      <c r="C4234" t="s">
        <v>12</v>
      </c>
      <c r="D4234" s="2">
        <v>0</v>
      </c>
      <c r="E4234" s="2">
        <v>2334.35</v>
      </c>
      <c r="F4234" t="s">
        <v>14</v>
      </c>
      <c r="G4234" t="s">
        <v>15</v>
      </c>
    </row>
    <row r="4235" spans="1:7" x14ac:dyDescent="0.35">
      <c r="A4235">
        <v>1671</v>
      </c>
      <c r="B4235" s="1">
        <v>45593</v>
      </c>
      <c r="C4235" t="s">
        <v>12</v>
      </c>
      <c r="D4235" s="2">
        <v>0</v>
      </c>
      <c r="E4235" s="2">
        <v>175.08</v>
      </c>
      <c r="F4235" t="s">
        <v>16</v>
      </c>
      <c r="G4235" t="s">
        <v>17</v>
      </c>
    </row>
    <row r="4236" spans="1:7" x14ac:dyDescent="0.35">
      <c r="A4236">
        <v>1672</v>
      </c>
      <c r="B4236" s="1">
        <v>45593</v>
      </c>
      <c r="C4236" t="s">
        <v>12</v>
      </c>
      <c r="D4236" s="2">
        <v>3225.69</v>
      </c>
      <c r="E4236" s="2">
        <v>0</v>
      </c>
      <c r="F4236" t="s">
        <v>13</v>
      </c>
      <c r="G4236" t="s">
        <v>9</v>
      </c>
    </row>
    <row r="4237" spans="1:7" x14ac:dyDescent="0.35">
      <c r="A4237">
        <v>1672</v>
      </c>
      <c r="B4237" s="1">
        <v>45593</v>
      </c>
      <c r="C4237" t="s">
        <v>12</v>
      </c>
      <c r="D4237" s="2">
        <v>0</v>
      </c>
      <c r="E4237" s="2">
        <v>3000.63</v>
      </c>
      <c r="F4237" t="s">
        <v>14</v>
      </c>
      <c r="G4237" t="s">
        <v>15</v>
      </c>
    </row>
    <row r="4238" spans="1:7" x14ac:dyDescent="0.35">
      <c r="A4238">
        <v>1672</v>
      </c>
      <c r="B4238" s="1">
        <v>45593</v>
      </c>
      <c r="C4238" t="s">
        <v>12</v>
      </c>
      <c r="D4238" s="2">
        <v>0</v>
      </c>
      <c r="E4238" s="2">
        <v>225.06</v>
      </c>
      <c r="F4238" t="s">
        <v>16</v>
      </c>
      <c r="G4238" t="s">
        <v>17</v>
      </c>
    </row>
    <row r="4239" spans="1:7" x14ac:dyDescent="0.35">
      <c r="A4239">
        <v>1673</v>
      </c>
      <c r="B4239" s="1">
        <v>45593</v>
      </c>
      <c r="C4239" t="s">
        <v>12</v>
      </c>
      <c r="D4239" s="2">
        <v>1616.4</v>
      </c>
      <c r="E4239" s="2">
        <v>0</v>
      </c>
      <c r="F4239" t="s">
        <v>13</v>
      </c>
      <c r="G4239" t="s">
        <v>9</v>
      </c>
    </row>
    <row r="4240" spans="1:7" x14ac:dyDescent="0.35">
      <c r="A4240">
        <v>1673</v>
      </c>
      <c r="B4240" s="1">
        <v>45593</v>
      </c>
      <c r="C4240" t="s">
        <v>12</v>
      </c>
      <c r="D4240" s="2">
        <v>0</v>
      </c>
      <c r="E4240" s="2">
        <v>1503.64</v>
      </c>
      <c r="F4240" t="s">
        <v>14</v>
      </c>
      <c r="G4240" t="s">
        <v>15</v>
      </c>
    </row>
    <row r="4241" spans="1:7" x14ac:dyDescent="0.35">
      <c r="A4241">
        <v>1673</v>
      </c>
      <c r="B4241" s="1">
        <v>45593</v>
      </c>
      <c r="C4241" t="s">
        <v>12</v>
      </c>
      <c r="D4241" s="2">
        <v>0</v>
      </c>
      <c r="E4241" s="2">
        <v>112.76</v>
      </c>
      <c r="F4241" t="s">
        <v>16</v>
      </c>
      <c r="G4241" t="s">
        <v>17</v>
      </c>
    </row>
    <row r="4242" spans="1:7" x14ac:dyDescent="0.35">
      <c r="A4242">
        <v>1674</v>
      </c>
      <c r="B4242" s="1">
        <v>45593</v>
      </c>
      <c r="C4242" t="s">
        <v>12</v>
      </c>
      <c r="D4242" s="2">
        <v>2540.92</v>
      </c>
      <c r="E4242" s="2">
        <v>0</v>
      </c>
      <c r="F4242" t="s">
        <v>13</v>
      </c>
      <c r="G4242" t="s">
        <v>9</v>
      </c>
    </row>
    <row r="4243" spans="1:7" x14ac:dyDescent="0.35">
      <c r="A4243">
        <v>1674</v>
      </c>
      <c r="B4243" s="1">
        <v>45593</v>
      </c>
      <c r="C4243" t="s">
        <v>12</v>
      </c>
      <c r="D4243" s="2">
        <v>0</v>
      </c>
      <c r="E4243" s="2">
        <v>2363.65</v>
      </c>
      <c r="F4243" t="s">
        <v>14</v>
      </c>
      <c r="G4243" t="s">
        <v>15</v>
      </c>
    </row>
    <row r="4244" spans="1:7" x14ac:dyDescent="0.35">
      <c r="A4244">
        <v>1674</v>
      </c>
      <c r="B4244" s="1">
        <v>45593</v>
      </c>
      <c r="C4244" t="s">
        <v>12</v>
      </c>
      <c r="D4244" s="2">
        <v>0</v>
      </c>
      <c r="E4244" s="2">
        <v>177.27</v>
      </c>
      <c r="F4244" t="s">
        <v>16</v>
      </c>
      <c r="G4244" t="s">
        <v>17</v>
      </c>
    </row>
    <row r="4245" spans="1:7" x14ac:dyDescent="0.35">
      <c r="A4245">
        <v>1675</v>
      </c>
      <c r="B4245" s="1">
        <v>45593</v>
      </c>
      <c r="C4245" t="s">
        <v>12</v>
      </c>
      <c r="D4245" s="2">
        <v>1844.6</v>
      </c>
      <c r="E4245" s="2">
        <v>0</v>
      </c>
      <c r="F4245" t="s">
        <v>13</v>
      </c>
      <c r="G4245" t="s">
        <v>9</v>
      </c>
    </row>
    <row r="4246" spans="1:7" x14ac:dyDescent="0.35">
      <c r="A4246">
        <v>1675</v>
      </c>
      <c r="B4246" s="1">
        <v>45593</v>
      </c>
      <c r="C4246" t="s">
        <v>12</v>
      </c>
      <c r="D4246" s="2">
        <v>0</v>
      </c>
      <c r="E4246" s="2">
        <v>1715.91</v>
      </c>
      <c r="F4246" t="s">
        <v>14</v>
      </c>
      <c r="G4246" t="s">
        <v>15</v>
      </c>
    </row>
    <row r="4247" spans="1:7" x14ac:dyDescent="0.35">
      <c r="A4247">
        <v>1675</v>
      </c>
      <c r="B4247" s="1">
        <v>45593</v>
      </c>
      <c r="C4247" t="s">
        <v>12</v>
      </c>
      <c r="D4247" s="2">
        <v>0</v>
      </c>
      <c r="E4247" s="2">
        <v>128.69</v>
      </c>
      <c r="F4247" t="s">
        <v>16</v>
      </c>
      <c r="G4247" t="s">
        <v>17</v>
      </c>
    </row>
    <row r="4248" spans="1:7" x14ac:dyDescent="0.35">
      <c r="A4248">
        <v>1676</v>
      </c>
      <c r="B4248" s="1">
        <v>45593</v>
      </c>
      <c r="C4248" t="s">
        <v>12</v>
      </c>
      <c r="D4248" s="2">
        <v>2466.39</v>
      </c>
      <c r="E4248" s="2">
        <v>0</v>
      </c>
      <c r="F4248" t="s">
        <v>13</v>
      </c>
      <c r="G4248" t="s">
        <v>9</v>
      </c>
    </row>
    <row r="4249" spans="1:7" x14ac:dyDescent="0.35">
      <c r="A4249">
        <v>1676</v>
      </c>
      <c r="B4249" s="1">
        <v>45593</v>
      </c>
      <c r="C4249" t="s">
        <v>12</v>
      </c>
      <c r="D4249" s="2">
        <v>0</v>
      </c>
      <c r="E4249" s="2">
        <v>2294.3200000000002</v>
      </c>
      <c r="F4249" t="s">
        <v>14</v>
      </c>
      <c r="G4249" t="s">
        <v>15</v>
      </c>
    </row>
    <row r="4250" spans="1:7" x14ac:dyDescent="0.35">
      <c r="A4250">
        <v>1676</v>
      </c>
      <c r="B4250" s="1">
        <v>45593</v>
      </c>
      <c r="C4250" t="s">
        <v>12</v>
      </c>
      <c r="D4250" s="2">
        <v>0</v>
      </c>
      <c r="E4250" s="2">
        <v>172.07</v>
      </c>
      <c r="F4250" t="s">
        <v>16</v>
      </c>
      <c r="G4250" t="s">
        <v>17</v>
      </c>
    </row>
    <row r="4251" spans="1:7" x14ac:dyDescent="0.35">
      <c r="A4251">
        <v>1677</v>
      </c>
      <c r="B4251" s="1">
        <v>45593</v>
      </c>
      <c r="C4251" t="s">
        <v>24</v>
      </c>
      <c r="D4251" s="2">
        <v>1751.83</v>
      </c>
      <c r="E4251" s="2">
        <v>0</v>
      </c>
      <c r="F4251" t="s">
        <v>8</v>
      </c>
      <c r="G4251" t="s">
        <v>9</v>
      </c>
    </row>
    <row r="4252" spans="1:7" x14ac:dyDescent="0.35">
      <c r="A4252">
        <v>1677</v>
      </c>
      <c r="B4252" s="1">
        <v>45593</v>
      </c>
      <c r="C4252" t="s">
        <v>24</v>
      </c>
      <c r="D4252" s="2">
        <v>0</v>
      </c>
      <c r="E4252" s="2">
        <v>1751.83</v>
      </c>
      <c r="F4252" t="s">
        <v>13</v>
      </c>
      <c r="G4252" t="s">
        <v>9</v>
      </c>
    </row>
    <row r="4253" spans="1:7" x14ac:dyDescent="0.35">
      <c r="A4253">
        <v>1678</v>
      </c>
      <c r="B4253" s="1">
        <v>45593</v>
      </c>
      <c r="C4253" t="s">
        <v>24</v>
      </c>
      <c r="D4253" s="2">
        <v>804.11</v>
      </c>
      <c r="E4253" s="2">
        <v>0</v>
      </c>
      <c r="F4253" t="s">
        <v>8</v>
      </c>
      <c r="G4253" t="s">
        <v>9</v>
      </c>
    </row>
    <row r="4254" spans="1:7" x14ac:dyDescent="0.35">
      <c r="A4254">
        <v>1678</v>
      </c>
      <c r="B4254" s="1">
        <v>45593</v>
      </c>
      <c r="C4254" t="s">
        <v>24</v>
      </c>
      <c r="D4254" s="2">
        <v>0</v>
      </c>
      <c r="E4254" s="2">
        <v>804.11</v>
      </c>
      <c r="F4254" t="s">
        <v>13</v>
      </c>
      <c r="G4254" t="s">
        <v>9</v>
      </c>
    </row>
    <row r="4255" spans="1:7" x14ac:dyDescent="0.35">
      <c r="A4255">
        <v>1679</v>
      </c>
      <c r="B4255" s="1">
        <v>45593</v>
      </c>
      <c r="C4255" t="s">
        <v>24</v>
      </c>
      <c r="D4255" s="2">
        <v>3777.17</v>
      </c>
      <c r="E4255" s="2">
        <v>0</v>
      </c>
      <c r="F4255" t="s">
        <v>8</v>
      </c>
      <c r="G4255" t="s">
        <v>9</v>
      </c>
    </row>
    <row r="4256" spans="1:7" x14ac:dyDescent="0.35">
      <c r="A4256">
        <v>1679</v>
      </c>
      <c r="B4256" s="1">
        <v>45593</v>
      </c>
      <c r="C4256" t="s">
        <v>24</v>
      </c>
      <c r="D4256" s="2">
        <v>0</v>
      </c>
      <c r="E4256" s="2">
        <v>3777.17</v>
      </c>
      <c r="F4256" t="s">
        <v>13</v>
      </c>
      <c r="G4256" t="s">
        <v>9</v>
      </c>
    </row>
    <row r="4257" spans="1:7" x14ac:dyDescent="0.35">
      <c r="A4257">
        <v>1680</v>
      </c>
      <c r="B4257" s="1">
        <v>45593</v>
      </c>
      <c r="C4257" t="s">
        <v>25</v>
      </c>
      <c r="D4257" s="2">
        <v>187.44</v>
      </c>
      <c r="E4257" s="2">
        <v>0</v>
      </c>
      <c r="F4257" t="s">
        <v>26</v>
      </c>
      <c r="G4257" t="s">
        <v>20</v>
      </c>
    </row>
    <row r="4258" spans="1:7" x14ac:dyDescent="0.35">
      <c r="A4258">
        <v>1680</v>
      </c>
      <c r="B4258" s="1">
        <v>45593</v>
      </c>
      <c r="C4258" t="s">
        <v>25</v>
      </c>
      <c r="D4258" s="2">
        <v>14.06</v>
      </c>
      <c r="E4258" s="2">
        <v>0</v>
      </c>
      <c r="F4258" t="s">
        <v>27</v>
      </c>
      <c r="G4258" t="s">
        <v>9</v>
      </c>
    </row>
    <row r="4259" spans="1:7" x14ac:dyDescent="0.35">
      <c r="A4259">
        <v>1680</v>
      </c>
      <c r="B4259" s="1">
        <v>45593</v>
      </c>
      <c r="C4259" t="s">
        <v>25</v>
      </c>
      <c r="D4259" s="2">
        <v>0</v>
      </c>
      <c r="E4259" s="2">
        <v>201.5</v>
      </c>
      <c r="F4259" t="s">
        <v>28</v>
      </c>
      <c r="G4259" t="s">
        <v>17</v>
      </c>
    </row>
    <row r="4260" spans="1:7" x14ac:dyDescent="0.35">
      <c r="A4260">
        <v>1681</v>
      </c>
      <c r="B4260" s="1">
        <v>45593</v>
      </c>
      <c r="C4260" t="s">
        <v>25</v>
      </c>
      <c r="D4260" s="2">
        <v>1643.22</v>
      </c>
      <c r="E4260" s="2">
        <v>0</v>
      </c>
      <c r="F4260" t="s">
        <v>26</v>
      </c>
      <c r="G4260" t="s">
        <v>20</v>
      </c>
    </row>
    <row r="4261" spans="1:7" x14ac:dyDescent="0.35">
      <c r="A4261">
        <v>1681</v>
      </c>
      <c r="B4261" s="1">
        <v>45593</v>
      </c>
      <c r="C4261" t="s">
        <v>25</v>
      </c>
      <c r="D4261" s="2">
        <v>123.24</v>
      </c>
      <c r="E4261" s="2">
        <v>0</v>
      </c>
      <c r="F4261" t="s">
        <v>27</v>
      </c>
      <c r="G4261" t="s">
        <v>9</v>
      </c>
    </row>
    <row r="4262" spans="1:7" x14ac:dyDescent="0.35">
      <c r="A4262">
        <v>1681</v>
      </c>
      <c r="B4262" s="1">
        <v>45593</v>
      </c>
      <c r="C4262" t="s">
        <v>25</v>
      </c>
      <c r="D4262" s="2">
        <v>0</v>
      </c>
      <c r="E4262" s="2">
        <v>1766.46</v>
      </c>
      <c r="F4262" t="s">
        <v>28</v>
      </c>
      <c r="G4262" t="s">
        <v>17</v>
      </c>
    </row>
    <row r="4263" spans="1:7" x14ac:dyDescent="0.35">
      <c r="A4263">
        <v>1682</v>
      </c>
      <c r="B4263" s="1">
        <v>45593</v>
      </c>
      <c r="C4263" t="s">
        <v>25</v>
      </c>
      <c r="D4263" s="2">
        <v>1800.04</v>
      </c>
      <c r="E4263" s="2">
        <v>0</v>
      </c>
      <c r="F4263" t="s">
        <v>26</v>
      </c>
      <c r="G4263" t="s">
        <v>20</v>
      </c>
    </row>
    <row r="4264" spans="1:7" x14ac:dyDescent="0.35">
      <c r="A4264">
        <v>1682</v>
      </c>
      <c r="B4264" s="1">
        <v>45593</v>
      </c>
      <c r="C4264" t="s">
        <v>25</v>
      </c>
      <c r="D4264" s="2">
        <v>135</v>
      </c>
      <c r="E4264" s="2">
        <v>0</v>
      </c>
      <c r="F4264" t="s">
        <v>27</v>
      </c>
      <c r="G4264" t="s">
        <v>9</v>
      </c>
    </row>
    <row r="4265" spans="1:7" x14ac:dyDescent="0.35">
      <c r="A4265">
        <v>1682</v>
      </c>
      <c r="B4265" s="1">
        <v>45593</v>
      </c>
      <c r="C4265" t="s">
        <v>25</v>
      </c>
      <c r="D4265" s="2">
        <v>0</v>
      </c>
      <c r="E4265" s="2">
        <v>1935.04</v>
      </c>
      <c r="F4265" t="s">
        <v>28</v>
      </c>
      <c r="G4265" t="s">
        <v>17</v>
      </c>
    </row>
    <row r="4266" spans="1:7" x14ac:dyDescent="0.35">
      <c r="A4266">
        <v>1683</v>
      </c>
      <c r="B4266" s="1">
        <v>45593</v>
      </c>
      <c r="C4266" t="s">
        <v>25</v>
      </c>
      <c r="D4266" s="2">
        <v>1668.94</v>
      </c>
      <c r="E4266" s="2">
        <v>0</v>
      </c>
      <c r="F4266" t="s">
        <v>26</v>
      </c>
      <c r="G4266" t="s">
        <v>20</v>
      </c>
    </row>
    <row r="4267" spans="1:7" x14ac:dyDescent="0.35">
      <c r="A4267">
        <v>1683</v>
      </c>
      <c r="B4267" s="1">
        <v>45593</v>
      </c>
      <c r="C4267" t="s">
        <v>25</v>
      </c>
      <c r="D4267" s="2">
        <v>125.17</v>
      </c>
      <c r="E4267" s="2">
        <v>0</v>
      </c>
      <c r="F4267" t="s">
        <v>27</v>
      </c>
      <c r="G4267" t="s">
        <v>9</v>
      </c>
    </row>
    <row r="4268" spans="1:7" x14ac:dyDescent="0.35">
      <c r="A4268">
        <v>1683</v>
      </c>
      <c r="B4268" s="1">
        <v>45593</v>
      </c>
      <c r="C4268" t="s">
        <v>25</v>
      </c>
      <c r="D4268" s="2">
        <v>0</v>
      </c>
      <c r="E4268" s="2">
        <v>1794.11</v>
      </c>
      <c r="F4268" t="s">
        <v>28</v>
      </c>
      <c r="G4268" t="s">
        <v>17</v>
      </c>
    </row>
    <row r="4269" spans="1:7" x14ac:dyDescent="0.35">
      <c r="A4269">
        <v>1684</v>
      </c>
      <c r="B4269" s="1">
        <v>45593</v>
      </c>
      <c r="C4269" t="s">
        <v>29</v>
      </c>
      <c r="D4269" s="2">
        <v>862.91</v>
      </c>
      <c r="E4269" s="2">
        <v>0</v>
      </c>
      <c r="F4269" t="s">
        <v>28</v>
      </c>
      <c r="G4269" t="s">
        <v>17</v>
      </c>
    </row>
    <row r="4270" spans="1:7" x14ac:dyDescent="0.35">
      <c r="A4270">
        <v>1684</v>
      </c>
      <c r="B4270" s="1">
        <v>45593</v>
      </c>
      <c r="C4270" t="s">
        <v>29</v>
      </c>
      <c r="D4270" s="2">
        <v>0</v>
      </c>
      <c r="E4270" s="2">
        <v>862.91</v>
      </c>
      <c r="F4270" t="s">
        <v>8</v>
      </c>
      <c r="G4270" t="s">
        <v>9</v>
      </c>
    </row>
    <row r="4271" spans="1:7" x14ac:dyDescent="0.35">
      <c r="A4271">
        <v>1685</v>
      </c>
      <c r="B4271" s="1">
        <v>45594</v>
      </c>
      <c r="C4271" t="s">
        <v>12</v>
      </c>
      <c r="D4271" s="2">
        <v>4097.6899999999996</v>
      </c>
      <c r="E4271" s="2">
        <v>0</v>
      </c>
      <c r="F4271" t="s">
        <v>13</v>
      </c>
      <c r="G4271" t="s">
        <v>9</v>
      </c>
    </row>
    <row r="4272" spans="1:7" x14ac:dyDescent="0.35">
      <c r="A4272">
        <v>1685</v>
      </c>
      <c r="B4272" s="1">
        <v>45594</v>
      </c>
      <c r="C4272" t="s">
        <v>12</v>
      </c>
      <c r="D4272" s="2">
        <v>0</v>
      </c>
      <c r="E4272" s="2">
        <v>3811.8</v>
      </c>
      <c r="F4272" t="s">
        <v>14</v>
      </c>
      <c r="G4272" t="s">
        <v>15</v>
      </c>
    </row>
    <row r="4273" spans="1:7" x14ac:dyDescent="0.35">
      <c r="A4273">
        <v>1685</v>
      </c>
      <c r="B4273" s="1">
        <v>45594</v>
      </c>
      <c r="C4273" t="s">
        <v>12</v>
      </c>
      <c r="D4273" s="2">
        <v>0</v>
      </c>
      <c r="E4273" s="2">
        <v>285.89</v>
      </c>
      <c r="F4273" t="s">
        <v>16</v>
      </c>
      <c r="G4273" t="s">
        <v>17</v>
      </c>
    </row>
    <row r="4274" spans="1:7" x14ac:dyDescent="0.35">
      <c r="A4274">
        <v>1686</v>
      </c>
      <c r="B4274" s="1">
        <v>45594</v>
      </c>
      <c r="C4274" t="s">
        <v>12</v>
      </c>
      <c r="D4274" s="2">
        <v>1022.46</v>
      </c>
      <c r="E4274" s="2">
        <v>0</v>
      </c>
      <c r="F4274" t="s">
        <v>13</v>
      </c>
      <c r="G4274" t="s">
        <v>9</v>
      </c>
    </row>
    <row r="4275" spans="1:7" x14ac:dyDescent="0.35">
      <c r="A4275">
        <v>1686</v>
      </c>
      <c r="B4275" s="1">
        <v>45594</v>
      </c>
      <c r="C4275" t="s">
        <v>12</v>
      </c>
      <c r="D4275" s="2">
        <v>0</v>
      </c>
      <c r="E4275" s="2">
        <v>951.11</v>
      </c>
      <c r="F4275" t="s">
        <v>14</v>
      </c>
      <c r="G4275" t="s">
        <v>15</v>
      </c>
    </row>
    <row r="4276" spans="1:7" x14ac:dyDescent="0.35">
      <c r="A4276">
        <v>1686</v>
      </c>
      <c r="B4276" s="1">
        <v>45594</v>
      </c>
      <c r="C4276" t="s">
        <v>12</v>
      </c>
      <c r="D4276" s="2">
        <v>0</v>
      </c>
      <c r="E4276" s="2">
        <v>71.349999999999994</v>
      </c>
      <c r="F4276" t="s">
        <v>16</v>
      </c>
      <c r="G4276" t="s">
        <v>17</v>
      </c>
    </row>
    <row r="4277" spans="1:7" x14ac:dyDescent="0.35">
      <c r="A4277">
        <v>1687</v>
      </c>
      <c r="B4277" s="1">
        <v>45594</v>
      </c>
      <c r="C4277" t="s">
        <v>12</v>
      </c>
      <c r="D4277" s="2">
        <v>204.07</v>
      </c>
      <c r="E4277" s="2">
        <v>0</v>
      </c>
      <c r="F4277" t="s">
        <v>13</v>
      </c>
      <c r="G4277" t="s">
        <v>9</v>
      </c>
    </row>
    <row r="4278" spans="1:7" x14ac:dyDescent="0.35">
      <c r="A4278">
        <v>1687</v>
      </c>
      <c r="B4278" s="1">
        <v>45594</v>
      </c>
      <c r="C4278" t="s">
        <v>12</v>
      </c>
      <c r="D4278" s="2">
        <v>0</v>
      </c>
      <c r="E4278" s="2">
        <v>189.83</v>
      </c>
      <c r="F4278" t="s">
        <v>14</v>
      </c>
      <c r="G4278" t="s">
        <v>15</v>
      </c>
    </row>
    <row r="4279" spans="1:7" x14ac:dyDescent="0.35">
      <c r="A4279">
        <v>1687</v>
      </c>
      <c r="B4279" s="1">
        <v>45594</v>
      </c>
      <c r="C4279" t="s">
        <v>12</v>
      </c>
      <c r="D4279" s="2">
        <v>0</v>
      </c>
      <c r="E4279" s="2">
        <v>14.24</v>
      </c>
      <c r="F4279" t="s">
        <v>16</v>
      </c>
      <c r="G4279" t="s">
        <v>17</v>
      </c>
    </row>
    <row r="4280" spans="1:7" x14ac:dyDescent="0.35">
      <c r="A4280">
        <v>1688</v>
      </c>
      <c r="B4280" s="1">
        <v>45594</v>
      </c>
      <c r="C4280" t="s">
        <v>12</v>
      </c>
      <c r="D4280" s="2">
        <v>1444.56</v>
      </c>
      <c r="E4280" s="2">
        <v>0</v>
      </c>
      <c r="F4280" t="s">
        <v>13</v>
      </c>
      <c r="G4280" t="s">
        <v>9</v>
      </c>
    </row>
    <row r="4281" spans="1:7" x14ac:dyDescent="0.35">
      <c r="A4281">
        <v>1688</v>
      </c>
      <c r="B4281" s="1">
        <v>45594</v>
      </c>
      <c r="C4281" t="s">
        <v>12</v>
      </c>
      <c r="D4281" s="2">
        <v>0</v>
      </c>
      <c r="E4281" s="2">
        <v>1343.78</v>
      </c>
      <c r="F4281" t="s">
        <v>14</v>
      </c>
      <c r="G4281" t="s">
        <v>15</v>
      </c>
    </row>
    <row r="4282" spans="1:7" x14ac:dyDescent="0.35">
      <c r="A4282">
        <v>1688</v>
      </c>
      <c r="B4282" s="1">
        <v>45594</v>
      </c>
      <c r="C4282" t="s">
        <v>12</v>
      </c>
      <c r="D4282" s="2">
        <v>0</v>
      </c>
      <c r="E4282" s="2">
        <v>100.78</v>
      </c>
      <c r="F4282" t="s">
        <v>16</v>
      </c>
      <c r="G4282" t="s">
        <v>17</v>
      </c>
    </row>
    <row r="4283" spans="1:7" x14ac:dyDescent="0.35">
      <c r="A4283">
        <v>1689</v>
      </c>
      <c r="B4283" s="1">
        <v>45594</v>
      </c>
      <c r="C4283" t="s">
        <v>12</v>
      </c>
      <c r="D4283" s="2">
        <v>1812.36</v>
      </c>
      <c r="E4283" s="2">
        <v>0</v>
      </c>
      <c r="F4283" t="s">
        <v>13</v>
      </c>
      <c r="G4283" t="s">
        <v>9</v>
      </c>
    </row>
    <row r="4284" spans="1:7" x14ac:dyDescent="0.35">
      <c r="A4284">
        <v>1689</v>
      </c>
      <c r="B4284" s="1">
        <v>45594</v>
      </c>
      <c r="C4284" t="s">
        <v>12</v>
      </c>
      <c r="D4284" s="2">
        <v>0</v>
      </c>
      <c r="E4284" s="2">
        <v>1685.92</v>
      </c>
      <c r="F4284" t="s">
        <v>14</v>
      </c>
      <c r="G4284" t="s">
        <v>15</v>
      </c>
    </row>
    <row r="4285" spans="1:7" x14ac:dyDescent="0.35">
      <c r="A4285">
        <v>1689</v>
      </c>
      <c r="B4285" s="1">
        <v>45594</v>
      </c>
      <c r="C4285" t="s">
        <v>12</v>
      </c>
      <c r="D4285" s="2">
        <v>0</v>
      </c>
      <c r="E4285" s="2">
        <v>126.44</v>
      </c>
      <c r="F4285" t="s">
        <v>16</v>
      </c>
      <c r="G4285" t="s">
        <v>17</v>
      </c>
    </row>
    <row r="4286" spans="1:7" x14ac:dyDescent="0.35">
      <c r="A4286">
        <v>1690</v>
      </c>
      <c r="B4286" s="1">
        <v>45594</v>
      </c>
      <c r="C4286" t="s">
        <v>24</v>
      </c>
      <c r="D4286" s="2">
        <v>4489.41</v>
      </c>
      <c r="E4286" s="2">
        <v>0</v>
      </c>
      <c r="F4286" t="s">
        <v>8</v>
      </c>
      <c r="G4286" t="s">
        <v>9</v>
      </c>
    </row>
    <row r="4287" spans="1:7" x14ac:dyDescent="0.35">
      <c r="A4287">
        <v>1690</v>
      </c>
      <c r="B4287" s="1">
        <v>45594</v>
      </c>
      <c r="C4287" t="s">
        <v>24</v>
      </c>
      <c r="D4287" s="2">
        <v>0</v>
      </c>
      <c r="E4287" s="2">
        <v>4489.41</v>
      </c>
      <c r="F4287" t="s">
        <v>13</v>
      </c>
      <c r="G4287" t="s">
        <v>9</v>
      </c>
    </row>
    <row r="4288" spans="1:7" x14ac:dyDescent="0.35">
      <c r="A4288">
        <v>1691</v>
      </c>
      <c r="B4288" s="1">
        <v>45594</v>
      </c>
      <c r="C4288" t="s">
        <v>24</v>
      </c>
      <c r="D4288" s="2">
        <v>2833.75</v>
      </c>
      <c r="E4288" s="2">
        <v>0</v>
      </c>
      <c r="F4288" t="s">
        <v>8</v>
      </c>
      <c r="G4288" t="s">
        <v>9</v>
      </c>
    </row>
    <row r="4289" spans="1:7" x14ac:dyDescent="0.35">
      <c r="A4289">
        <v>1691</v>
      </c>
      <c r="B4289" s="1">
        <v>45594</v>
      </c>
      <c r="C4289" t="s">
        <v>24</v>
      </c>
      <c r="D4289" s="2">
        <v>0</v>
      </c>
      <c r="E4289" s="2">
        <v>2833.75</v>
      </c>
      <c r="F4289" t="s">
        <v>13</v>
      </c>
      <c r="G4289" t="s">
        <v>9</v>
      </c>
    </row>
    <row r="4290" spans="1:7" x14ac:dyDescent="0.35">
      <c r="A4290">
        <v>1692</v>
      </c>
      <c r="B4290" s="1">
        <v>45594</v>
      </c>
      <c r="C4290" t="s">
        <v>24</v>
      </c>
      <c r="D4290" s="2">
        <v>562.35</v>
      </c>
      <c r="E4290" s="2">
        <v>0</v>
      </c>
      <c r="F4290" t="s">
        <v>8</v>
      </c>
      <c r="G4290" t="s">
        <v>9</v>
      </c>
    </row>
    <row r="4291" spans="1:7" x14ac:dyDescent="0.35">
      <c r="A4291">
        <v>1692</v>
      </c>
      <c r="B4291" s="1">
        <v>45594</v>
      </c>
      <c r="C4291" t="s">
        <v>24</v>
      </c>
      <c r="D4291" s="2">
        <v>0</v>
      </c>
      <c r="E4291" s="2">
        <v>562.35</v>
      </c>
      <c r="F4291" t="s">
        <v>13</v>
      </c>
      <c r="G4291" t="s">
        <v>9</v>
      </c>
    </row>
    <row r="4292" spans="1:7" x14ac:dyDescent="0.35">
      <c r="A4292">
        <v>1693</v>
      </c>
      <c r="B4292" s="1">
        <v>45594</v>
      </c>
      <c r="C4292" t="s">
        <v>24</v>
      </c>
      <c r="D4292" s="2">
        <v>6777.26</v>
      </c>
      <c r="E4292" s="2">
        <v>0</v>
      </c>
      <c r="F4292" t="s">
        <v>8</v>
      </c>
      <c r="G4292" t="s">
        <v>9</v>
      </c>
    </row>
    <row r="4293" spans="1:7" x14ac:dyDescent="0.35">
      <c r="A4293">
        <v>1693</v>
      </c>
      <c r="B4293" s="1">
        <v>45594</v>
      </c>
      <c r="C4293" t="s">
        <v>24</v>
      </c>
      <c r="D4293" s="2">
        <v>0</v>
      </c>
      <c r="E4293" s="2">
        <v>6777.26</v>
      </c>
      <c r="F4293" t="s">
        <v>13</v>
      </c>
      <c r="G4293" t="s">
        <v>9</v>
      </c>
    </row>
    <row r="4294" spans="1:7" x14ac:dyDescent="0.35">
      <c r="A4294">
        <v>1694</v>
      </c>
      <c r="B4294" s="1">
        <v>45594</v>
      </c>
      <c r="C4294" t="s">
        <v>24</v>
      </c>
      <c r="D4294" s="2">
        <v>1211.8499999999999</v>
      </c>
      <c r="E4294" s="2">
        <v>0</v>
      </c>
      <c r="F4294" t="s">
        <v>8</v>
      </c>
      <c r="G4294" t="s">
        <v>9</v>
      </c>
    </row>
    <row r="4295" spans="1:7" x14ac:dyDescent="0.35">
      <c r="A4295">
        <v>1694</v>
      </c>
      <c r="B4295" s="1">
        <v>45594</v>
      </c>
      <c r="C4295" t="s">
        <v>24</v>
      </c>
      <c r="D4295" s="2">
        <v>0</v>
      </c>
      <c r="E4295" s="2">
        <v>1211.8499999999999</v>
      </c>
      <c r="F4295" t="s">
        <v>13</v>
      </c>
      <c r="G4295" t="s">
        <v>9</v>
      </c>
    </row>
    <row r="4296" spans="1:7" x14ac:dyDescent="0.35">
      <c r="A4296">
        <v>1695</v>
      </c>
      <c r="B4296" s="1">
        <v>45594</v>
      </c>
      <c r="C4296" t="s">
        <v>25</v>
      </c>
      <c r="D4296" s="2">
        <v>2714.58</v>
      </c>
      <c r="E4296" s="2">
        <v>0</v>
      </c>
      <c r="F4296" t="s">
        <v>26</v>
      </c>
      <c r="G4296" t="s">
        <v>20</v>
      </c>
    </row>
    <row r="4297" spans="1:7" x14ac:dyDescent="0.35">
      <c r="A4297">
        <v>1695</v>
      </c>
      <c r="B4297" s="1">
        <v>45594</v>
      </c>
      <c r="C4297" t="s">
        <v>25</v>
      </c>
      <c r="D4297" s="2">
        <v>203.59</v>
      </c>
      <c r="E4297" s="2">
        <v>0</v>
      </c>
      <c r="F4297" t="s">
        <v>27</v>
      </c>
      <c r="G4297" t="s">
        <v>9</v>
      </c>
    </row>
    <row r="4298" spans="1:7" x14ac:dyDescent="0.35">
      <c r="A4298">
        <v>1695</v>
      </c>
      <c r="B4298" s="1">
        <v>45594</v>
      </c>
      <c r="C4298" t="s">
        <v>25</v>
      </c>
      <c r="D4298" s="2">
        <v>0</v>
      </c>
      <c r="E4298" s="2">
        <v>2918.17</v>
      </c>
      <c r="F4298" t="s">
        <v>28</v>
      </c>
      <c r="G4298" t="s">
        <v>17</v>
      </c>
    </row>
    <row r="4299" spans="1:7" x14ac:dyDescent="0.35">
      <c r="A4299">
        <v>1696</v>
      </c>
      <c r="B4299" s="1">
        <v>45594</v>
      </c>
      <c r="C4299" t="s">
        <v>29</v>
      </c>
      <c r="D4299" s="2">
        <v>1766.46</v>
      </c>
      <c r="E4299" s="2">
        <v>0</v>
      </c>
      <c r="F4299" t="s">
        <v>28</v>
      </c>
      <c r="G4299" t="s">
        <v>17</v>
      </c>
    </row>
    <row r="4300" spans="1:7" x14ac:dyDescent="0.35">
      <c r="A4300">
        <v>1696</v>
      </c>
      <c r="B4300" s="1">
        <v>45594</v>
      </c>
      <c r="C4300" t="s">
        <v>29</v>
      </c>
      <c r="D4300" s="2">
        <v>0</v>
      </c>
      <c r="E4300" s="2">
        <v>1766.46</v>
      </c>
      <c r="F4300" t="s">
        <v>8</v>
      </c>
      <c r="G4300" t="s">
        <v>9</v>
      </c>
    </row>
    <row r="4301" spans="1:7" x14ac:dyDescent="0.35">
      <c r="A4301">
        <v>1697</v>
      </c>
      <c r="B4301" s="1">
        <v>45594</v>
      </c>
      <c r="C4301" t="s">
        <v>29</v>
      </c>
      <c r="D4301" s="2">
        <v>2504.23</v>
      </c>
      <c r="E4301" s="2">
        <v>0</v>
      </c>
      <c r="F4301" t="s">
        <v>28</v>
      </c>
      <c r="G4301" t="s">
        <v>17</v>
      </c>
    </row>
    <row r="4302" spans="1:7" x14ac:dyDescent="0.35">
      <c r="A4302">
        <v>1697</v>
      </c>
      <c r="B4302" s="1">
        <v>45594</v>
      </c>
      <c r="C4302" t="s">
        <v>29</v>
      </c>
      <c r="D4302" s="2">
        <v>0</v>
      </c>
      <c r="E4302" s="2">
        <v>2504.23</v>
      </c>
      <c r="F4302" t="s">
        <v>8</v>
      </c>
      <c r="G4302" t="s">
        <v>9</v>
      </c>
    </row>
    <row r="4303" spans="1:7" x14ac:dyDescent="0.35">
      <c r="A4303">
        <v>1698</v>
      </c>
      <c r="B4303" s="1">
        <v>45594</v>
      </c>
      <c r="C4303" t="s">
        <v>29</v>
      </c>
      <c r="D4303" s="2">
        <v>4812.46</v>
      </c>
      <c r="E4303" s="2">
        <v>0</v>
      </c>
      <c r="F4303" t="s">
        <v>28</v>
      </c>
      <c r="G4303" t="s">
        <v>17</v>
      </c>
    </row>
    <row r="4304" spans="1:7" x14ac:dyDescent="0.35">
      <c r="A4304">
        <v>1698</v>
      </c>
      <c r="B4304" s="1">
        <v>45594</v>
      </c>
      <c r="C4304" t="s">
        <v>29</v>
      </c>
      <c r="D4304" s="2">
        <v>0</v>
      </c>
      <c r="E4304" s="2">
        <v>4812.46</v>
      </c>
      <c r="F4304" t="s">
        <v>8</v>
      </c>
      <c r="G4304" t="s">
        <v>9</v>
      </c>
    </row>
    <row r="4305" spans="1:7" x14ac:dyDescent="0.35">
      <c r="A4305">
        <v>1699</v>
      </c>
      <c r="B4305" s="1">
        <v>45595</v>
      </c>
      <c r="C4305" t="s">
        <v>12</v>
      </c>
      <c r="D4305" s="2">
        <v>2724.8</v>
      </c>
      <c r="E4305" s="2">
        <v>0</v>
      </c>
      <c r="F4305" t="s">
        <v>13</v>
      </c>
      <c r="G4305" t="s">
        <v>9</v>
      </c>
    </row>
    <row r="4306" spans="1:7" x14ac:dyDescent="0.35">
      <c r="A4306">
        <v>1699</v>
      </c>
      <c r="B4306" s="1">
        <v>45595</v>
      </c>
      <c r="C4306" t="s">
        <v>12</v>
      </c>
      <c r="D4306" s="2">
        <v>0</v>
      </c>
      <c r="E4306" s="2">
        <v>2534.6999999999998</v>
      </c>
      <c r="F4306" t="s">
        <v>14</v>
      </c>
      <c r="G4306" t="s">
        <v>15</v>
      </c>
    </row>
    <row r="4307" spans="1:7" x14ac:dyDescent="0.35">
      <c r="A4307">
        <v>1699</v>
      </c>
      <c r="B4307" s="1">
        <v>45595</v>
      </c>
      <c r="C4307" t="s">
        <v>12</v>
      </c>
      <c r="D4307" s="2">
        <v>0</v>
      </c>
      <c r="E4307" s="2">
        <v>190.1</v>
      </c>
      <c r="F4307" t="s">
        <v>16</v>
      </c>
      <c r="G4307" t="s">
        <v>17</v>
      </c>
    </row>
    <row r="4308" spans="1:7" x14ac:dyDescent="0.35">
      <c r="A4308">
        <v>1700</v>
      </c>
      <c r="B4308" s="1">
        <v>45595</v>
      </c>
      <c r="C4308" t="s">
        <v>12</v>
      </c>
      <c r="D4308" s="2">
        <v>239.77</v>
      </c>
      <c r="E4308" s="2">
        <v>0</v>
      </c>
      <c r="F4308" t="s">
        <v>13</v>
      </c>
      <c r="G4308" t="s">
        <v>9</v>
      </c>
    </row>
    <row r="4309" spans="1:7" x14ac:dyDescent="0.35">
      <c r="A4309">
        <v>1700</v>
      </c>
      <c r="B4309" s="1">
        <v>45595</v>
      </c>
      <c r="C4309" t="s">
        <v>12</v>
      </c>
      <c r="D4309" s="2">
        <v>0</v>
      </c>
      <c r="E4309" s="2">
        <v>223.04</v>
      </c>
      <c r="F4309" t="s">
        <v>14</v>
      </c>
      <c r="G4309" t="s">
        <v>15</v>
      </c>
    </row>
    <row r="4310" spans="1:7" x14ac:dyDescent="0.35">
      <c r="A4310">
        <v>1700</v>
      </c>
      <c r="B4310" s="1">
        <v>45595</v>
      </c>
      <c r="C4310" t="s">
        <v>12</v>
      </c>
      <c r="D4310" s="2">
        <v>0</v>
      </c>
      <c r="E4310" s="2">
        <v>16.73</v>
      </c>
      <c r="F4310" t="s">
        <v>16</v>
      </c>
      <c r="G4310" t="s">
        <v>17</v>
      </c>
    </row>
    <row r="4311" spans="1:7" x14ac:dyDescent="0.35">
      <c r="A4311">
        <v>1701</v>
      </c>
      <c r="B4311" s="1">
        <v>45595</v>
      </c>
      <c r="C4311" t="s">
        <v>12</v>
      </c>
      <c r="D4311" s="2">
        <v>2151.9699999999998</v>
      </c>
      <c r="E4311" s="2">
        <v>0</v>
      </c>
      <c r="F4311" t="s">
        <v>13</v>
      </c>
      <c r="G4311" t="s">
        <v>9</v>
      </c>
    </row>
    <row r="4312" spans="1:7" x14ac:dyDescent="0.35">
      <c r="A4312">
        <v>1701</v>
      </c>
      <c r="B4312" s="1">
        <v>45595</v>
      </c>
      <c r="C4312" t="s">
        <v>12</v>
      </c>
      <c r="D4312" s="2">
        <v>0</v>
      </c>
      <c r="E4312" s="2">
        <v>2001.83</v>
      </c>
      <c r="F4312" t="s">
        <v>14</v>
      </c>
      <c r="G4312" t="s">
        <v>15</v>
      </c>
    </row>
    <row r="4313" spans="1:7" x14ac:dyDescent="0.35">
      <c r="A4313">
        <v>1701</v>
      </c>
      <c r="B4313" s="1">
        <v>45595</v>
      </c>
      <c r="C4313" t="s">
        <v>12</v>
      </c>
      <c r="D4313" s="2">
        <v>0</v>
      </c>
      <c r="E4313" s="2">
        <v>150.13999999999999</v>
      </c>
      <c r="F4313" t="s">
        <v>16</v>
      </c>
      <c r="G4313" t="s">
        <v>17</v>
      </c>
    </row>
    <row r="4314" spans="1:7" x14ac:dyDescent="0.35">
      <c r="A4314">
        <v>1702</v>
      </c>
      <c r="B4314" s="1">
        <v>45595</v>
      </c>
      <c r="C4314" t="s">
        <v>12</v>
      </c>
      <c r="D4314" s="2">
        <v>1286.73</v>
      </c>
      <c r="E4314" s="2">
        <v>0</v>
      </c>
      <c r="F4314" t="s">
        <v>13</v>
      </c>
      <c r="G4314" t="s">
        <v>9</v>
      </c>
    </row>
    <row r="4315" spans="1:7" x14ac:dyDescent="0.35">
      <c r="A4315">
        <v>1702</v>
      </c>
      <c r="B4315" s="1">
        <v>45595</v>
      </c>
      <c r="C4315" t="s">
        <v>12</v>
      </c>
      <c r="D4315" s="2">
        <v>0</v>
      </c>
      <c r="E4315" s="2">
        <v>1196.96</v>
      </c>
      <c r="F4315" t="s">
        <v>14</v>
      </c>
      <c r="G4315" t="s">
        <v>15</v>
      </c>
    </row>
    <row r="4316" spans="1:7" x14ac:dyDescent="0.35">
      <c r="A4316">
        <v>1702</v>
      </c>
      <c r="B4316" s="1">
        <v>45595</v>
      </c>
      <c r="C4316" t="s">
        <v>12</v>
      </c>
      <c r="D4316" s="2">
        <v>0</v>
      </c>
      <c r="E4316" s="2">
        <v>89.77</v>
      </c>
      <c r="F4316" t="s">
        <v>16</v>
      </c>
      <c r="G4316" t="s">
        <v>17</v>
      </c>
    </row>
    <row r="4317" spans="1:7" x14ac:dyDescent="0.35">
      <c r="A4317">
        <v>1703</v>
      </c>
      <c r="B4317" s="1">
        <v>45595</v>
      </c>
      <c r="C4317" t="s">
        <v>12</v>
      </c>
      <c r="D4317" s="2">
        <v>2261.8000000000002</v>
      </c>
      <c r="E4317" s="2">
        <v>0</v>
      </c>
      <c r="F4317" t="s">
        <v>13</v>
      </c>
      <c r="G4317" t="s">
        <v>9</v>
      </c>
    </row>
    <row r="4318" spans="1:7" x14ac:dyDescent="0.35">
      <c r="A4318">
        <v>1703</v>
      </c>
      <c r="B4318" s="1">
        <v>45595</v>
      </c>
      <c r="C4318" t="s">
        <v>12</v>
      </c>
      <c r="D4318" s="2">
        <v>0</v>
      </c>
      <c r="E4318" s="2">
        <v>2104.0100000000002</v>
      </c>
      <c r="F4318" t="s">
        <v>14</v>
      </c>
      <c r="G4318" t="s">
        <v>15</v>
      </c>
    </row>
    <row r="4319" spans="1:7" x14ac:dyDescent="0.35">
      <c r="A4319">
        <v>1703</v>
      </c>
      <c r="B4319" s="1">
        <v>45595</v>
      </c>
      <c r="C4319" t="s">
        <v>12</v>
      </c>
      <c r="D4319" s="2">
        <v>0</v>
      </c>
      <c r="E4319" s="2">
        <v>157.79</v>
      </c>
      <c r="F4319" t="s">
        <v>16</v>
      </c>
      <c r="G4319" t="s">
        <v>17</v>
      </c>
    </row>
    <row r="4320" spans="1:7" x14ac:dyDescent="0.35">
      <c r="A4320">
        <v>1704</v>
      </c>
      <c r="B4320" s="1">
        <v>45595</v>
      </c>
      <c r="C4320" t="s">
        <v>24</v>
      </c>
      <c r="D4320" s="2">
        <v>510.61</v>
      </c>
      <c r="E4320" s="2">
        <v>0</v>
      </c>
      <c r="F4320" t="s">
        <v>8</v>
      </c>
      <c r="G4320" t="s">
        <v>9</v>
      </c>
    </row>
    <row r="4321" spans="1:7" x14ac:dyDescent="0.35">
      <c r="A4321">
        <v>1704</v>
      </c>
      <c r="B4321" s="1">
        <v>45595</v>
      </c>
      <c r="C4321" t="s">
        <v>24</v>
      </c>
      <c r="D4321" s="2">
        <v>0</v>
      </c>
      <c r="E4321" s="2">
        <v>510.61</v>
      </c>
      <c r="F4321" t="s">
        <v>13</v>
      </c>
      <c r="G4321" t="s">
        <v>9</v>
      </c>
    </row>
    <row r="4322" spans="1:7" x14ac:dyDescent="0.35">
      <c r="A4322">
        <v>1705</v>
      </c>
      <c r="B4322" s="1">
        <v>45595</v>
      </c>
      <c r="C4322" t="s">
        <v>24</v>
      </c>
      <c r="D4322" s="2">
        <v>2165.17</v>
      </c>
      <c r="E4322" s="2">
        <v>0</v>
      </c>
      <c r="F4322" t="s">
        <v>8</v>
      </c>
      <c r="G4322" t="s">
        <v>9</v>
      </c>
    </row>
    <row r="4323" spans="1:7" x14ac:dyDescent="0.35">
      <c r="A4323">
        <v>1705</v>
      </c>
      <c r="B4323" s="1">
        <v>45595</v>
      </c>
      <c r="C4323" t="s">
        <v>24</v>
      </c>
      <c r="D4323" s="2">
        <v>0</v>
      </c>
      <c r="E4323" s="2">
        <v>2165.17</v>
      </c>
      <c r="F4323" t="s">
        <v>13</v>
      </c>
      <c r="G4323" t="s">
        <v>9</v>
      </c>
    </row>
    <row r="4324" spans="1:7" x14ac:dyDescent="0.35">
      <c r="A4324">
        <v>1706</v>
      </c>
      <c r="B4324" s="1">
        <v>45595</v>
      </c>
      <c r="C4324" t="s">
        <v>24</v>
      </c>
      <c r="D4324" s="2">
        <v>3514.58</v>
      </c>
      <c r="E4324" s="2">
        <v>0</v>
      </c>
      <c r="F4324" t="s">
        <v>8</v>
      </c>
      <c r="G4324" t="s">
        <v>9</v>
      </c>
    </row>
    <row r="4325" spans="1:7" x14ac:dyDescent="0.35">
      <c r="A4325">
        <v>1706</v>
      </c>
      <c r="B4325" s="1">
        <v>45595</v>
      </c>
      <c r="C4325" t="s">
        <v>24</v>
      </c>
      <c r="D4325" s="2">
        <v>0</v>
      </c>
      <c r="E4325" s="2">
        <v>3514.58</v>
      </c>
      <c r="F4325" t="s">
        <v>13</v>
      </c>
      <c r="G4325" t="s">
        <v>9</v>
      </c>
    </row>
    <row r="4326" spans="1:7" x14ac:dyDescent="0.35">
      <c r="A4326">
        <v>1707</v>
      </c>
      <c r="B4326" s="1">
        <v>45595</v>
      </c>
      <c r="C4326" t="s">
        <v>25</v>
      </c>
      <c r="D4326" s="2">
        <v>3282.76</v>
      </c>
      <c r="E4326" s="2">
        <v>0</v>
      </c>
      <c r="F4326" t="s">
        <v>26</v>
      </c>
      <c r="G4326" t="s">
        <v>20</v>
      </c>
    </row>
    <row r="4327" spans="1:7" x14ac:dyDescent="0.35">
      <c r="A4327">
        <v>1707</v>
      </c>
      <c r="B4327" s="1">
        <v>45595</v>
      </c>
      <c r="C4327" t="s">
        <v>25</v>
      </c>
      <c r="D4327" s="2">
        <v>246.21</v>
      </c>
      <c r="E4327" s="2">
        <v>0</v>
      </c>
      <c r="F4327" t="s">
        <v>27</v>
      </c>
      <c r="G4327" t="s">
        <v>9</v>
      </c>
    </row>
    <row r="4328" spans="1:7" x14ac:dyDescent="0.35">
      <c r="A4328">
        <v>1707</v>
      </c>
      <c r="B4328" s="1">
        <v>45595</v>
      </c>
      <c r="C4328" t="s">
        <v>25</v>
      </c>
      <c r="D4328" s="2">
        <v>0</v>
      </c>
      <c r="E4328" s="2">
        <v>3528.97</v>
      </c>
      <c r="F4328" t="s">
        <v>28</v>
      </c>
      <c r="G4328" t="s">
        <v>17</v>
      </c>
    </row>
    <row r="4329" spans="1:7" x14ac:dyDescent="0.35">
      <c r="A4329">
        <v>1708</v>
      </c>
      <c r="B4329" s="1">
        <v>45595</v>
      </c>
      <c r="C4329" t="s">
        <v>25</v>
      </c>
      <c r="D4329" s="2">
        <v>2451.5</v>
      </c>
      <c r="E4329" s="2">
        <v>0</v>
      </c>
      <c r="F4329" t="s">
        <v>26</v>
      </c>
      <c r="G4329" t="s">
        <v>20</v>
      </c>
    </row>
    <row r="4330" spans="1:7" x14ac:dyDescent="0.35">
      <c r="A4330">
        <v>1708</v>
      </c>
      <c r="B4330" s="1">
        <v>45595</v>
      </c>
      <c r="C4330" t="s">
        <v>25</v>
      </c>
      <c r="D4330" s="2">
        <v>183.86</v>
      </c>
      <c r="E4330" s="2">
        <v>0</v>
      </c>
      <c r="F4330" t="s">
        <v>27</v>
      </c>
      <c r="G4330" t="s">
        <v>9</v>
      </c>
    </row>
    <row r="4331" spans="1:7" x14ac:dyDescent="0.35">
      <c r="A4331">
        <v>1708</v>
      </c>
      <c r="B4331" s="1">
        <v>45595</v>
      </c>
      <c r="C4331" t="s">
        <v>25</v>
      </c>
      <c r="D4331" s="2">
        <v>0</v>
      </c>
      <c r="E4331" s="2">
        <v>2635.36</v>
      </c>
      <c r="F4331" t="s">
        <v>28</v>
      </c>
      <c r="G4331" t="s">
        <v>17</v>
      </c>
    </row>
    <row r="4332" spans="1:7" x14ac:dyDescent="0.35">
      <c r="A4332">
        <v>1709</v>
      </c>
      <c r="B4332" s="1">
        <v>45595</v>
      </c>
      <c r="C4332" t="s">
        <v>29</v>
      </c>
      <c r="D4332" s="2">
        <v>3528.97</v>
      </c>
      <c r="E4332" s="2">
        <v>0</v>
      </c>
      <c r="F4332" t="s">
        <v>28</v>
      </c>
      <c r="G4332" t="s">
        <v>17</v>
      </c>
    </row>
    <row r="4333" spans="1:7" x14ac:dyDescent="0.35">
      <c r="A4333">
        <v>1709</v>
      </c>
      <c r="B4333" s="1">
        <v>45595</v>
      </c>
      <c r="C4333" t="s">
        <v>29</v>
      </c>
      <c r="D4333" s="2">
        <v>0</v>
      </c>
      <c r="E4333" s="2">
        <v>3528.97</v>
      </c>
      <c r="F4333" t="s">
        <v>8</v>
      </c>
      <c r="G4333" t="s">
        <v>9</v>
      </c>
    </row>
    <row r="4334" spans="1:7" x14ac:dyDescent="0.35">
      <c r="A4334">
        <v>1710</v>
      </c>
      <c r="B4334" s="1">
        <v>45595</v>
      </c>
      <c r="C4334" t="s">
        <v>29</v>
      </c>
      <c r="D4334" s="2">
        <v>7227.44</v>
      </c>
      <c r="E4334" s="2">
        <v>0</v>
      </c>
      <c r="F4334" t="s">
        <v>28</v>
      </c>
      <c r="G4334" t="s">
        <v>17</v>
      </c>
    </row>
    <row r="4335" spans="1:7" x14ac:dyDescent="0.35">
      <c r="A4335">
        <v>1710</v>
      </c>
      <c r="B4335" s="1">
        <v>45595</v>
      </c>
      <c r="C4335" t="s">
        <v>29</v>
      </c>
      <c r="D4335" s="2">
        <v>0</v>
      </c>
      <c r="E4335" s="2">
        <v>7227.44</v>
      </c>
      <c r="F4335" t="s">
        <v>8</v>
      </c>
      <c r="G4335" t="s">
        <v>9</v>
      </c>
    </row>
    <row r="4336" spans="1:7" x14ac:dyDescent="0.35">
      <c r="A4336">
        <v>1711</v>
      </c>
      <c r="B4336" s="1">
        <v>45595</v>
      </c>
      <c r="C4336" t="s">
        <v>29</v>
      </c>
      <c r="D4336" s="2">
        <v>2918.17</v>
      </c>
      <c r="E4336" s="2">
        <v>0</v>
      </c>
      <c r="F4336" t="s">
        <v>28</v>
      </c>
      <c r="G4336" t="s">
        <v>17</v>
      </c>
    </row>
    <row r="4337" spans="1:7" x14ac:dyDescent="0.35">
      <c r="A4337">
        <v>1711</v>
      </c>
      <c r="B4337" s="1">
        <v>45595</v>
      </c>
      <c r="C4337" t="s">
        <v>29</v>
      </c>
      <c r="D4337" s="2">
        <v>0</v>
      </c>
      <c r="E4337" s="2">
        <v>2918.17</v>
      </c>
      <c r="F4337" t="s">
        <v>8</v>
      </c>
      <c r="G4337" t="s">
        <v>9</v>
      </c>
    </row>
    <row r="4338" spans="1:7" x14ac:dyDescent="0.35">
      <c r="A4338">
        <v>1712</v>
      </c>
      <c r="B4338" s="1">
        <v>45596</v>
      </c>
      <c r="C4338" t="s">
        <v>12</v>
      </c>
      <c r="D4338" s="2">
        <v>1521.85</v>
      </c>
      <c r="E4338" s="2">
        <v>0</v>
      </c>
      <c r="F4338" t="s">
        <v>13</v>
      </c>
      <c r="G4338" t="s">
        <v>9</v>
      </c>
    </row>
    <row r="4339" spans="1:7" x14ac:dyDescent="0.35">
      <c r="A4339">
        <v>1712</v>
      </c>
      <c r="B4339" s="1">
        <v>45596</v>
      </c>
      <c r="C4339" t="s">
        <v>12</v>
      </c>
      <c r="D4339" s="2">
        <v>0</v>
      </c>
      <c r="E4339" s="2">
        <v>1415.67</v>
      </c>
      <c r="F4339" t="s">
        <v>14</v>
      </c>
      <c r="G4339" t="s">
        <v>15</v>
      </c>
    </row>
    <row r="4340" spans="1:7" x14ac:dyDescent="0.35">
      <c r="A4340">
        <v>1712</v>
      </c>
      <c r="B4340" s="1">
        <v>45596</v>
      </c>
      <c r="C4340" t="s">
        <v>12</v>
      </c>
      <c r="D4340" s="2">
        <v>0</v>
      </c>
      <c r="E4340" s="2">
        <v>106.18</v>
      </c>
      <c r="F4340" t="s">
        <v>16</v>
      </c>
      <c r="G4340" t="s">
        <v>17</v>
      </c>
    </row>
    <row r="4341" spans="1:7" x14ac:dyDescent="0.35">
      <c r="A4341">
        <v>1713</v>
      </c>
      <c r="B4341" s="1">
        <v>45596</v>
      </c>
      <c r="C4341" t="s">
        <v>12</v>
      </c>
      <c r="D4341" s="2">
        <v>41.18</v>
      </c>
      <c r="E4341" s="2">
        <v>0</v>
      </c>
      <c r="F4341" t="s">
        <v>13</v>
      </c>
      <c r="G4341" t="s">
        <v>9</v>
      </c>
    </row>
    <row r="4342" spans="1:7" x14ac:dyDescent="0.35">
      <c r="A4342">
        <v>1713</v>
      </c>
      <c r="B4342" s="1">
        <v>45596</v>
      </c>
      <c r="C4342" t="s">
        <v>12</v>
      </c>
      <c r="D4342" s="2">
        <v>0</v>
      </c>
      <c r="E4342" s="2">
        <v>38.31</v>
      </c>
      <c r="F4342" t="s">
        <v>14</v>
      </c>
      <c r="G4342" t="s">
        <v>15</v>
      </c>
    </row>
    <row r="4343" spans="1:7" x14ac:dyDescent="0.35">
      <c r="A4343">
        <v>1713</v>
      </c>
      <c r="B4343" s="1">
        <v>45596</v>
      </c>
      <c r="C4343" t="s">
        <v>12</v>
      </c>
      <c r="D4343" s="2">
        <v>0</v>
      </c>
      <c r="E4343" s="2">
        <v>2.87</v>
      </c>
      <c r="F4343" t="s">
        <v>16</v>
      </c>
      <c r="G4343" t="s">
        <v>17</v>
      </c>
    </row>
    <row r="4344" spans="1:7" x14ac:dyDescent="0.35">
      <c r="A4344">
        <v>1714</v>
      </c>
      <c r="B4344" s="1">
        <v>45596</v>
      </c>
      <c r="C4344" t="s">
        <v>12</v>
      </c>
      <c r="D4344" s="2">
        <v>1689.71</v>
      </c>
      <c r="E4344" s="2">
        <v>0</v>
      </c>
      <c r="F4344" t="s">
        <v>13</v>
      </c>
      <c r="G4344" t="s">
        <v>9</v>
      </c>
    </row>
    <row r="4345" spans="1:7" x14ac:dyDescent="0.35">
      <c r="A4345">
        <v>1714</v>
      </c>
      <c r="B4345" s="1">
        <v>45596</v>
      </c>
      <c r="C4345" t="s">
        <v>12</v>
      </c>
      <c r="D4345" s="2">
        <v>0</v>
      </c>
      <c r="E4345" s="2">
        <v>1571.82</v>
      </c>
      <c r="F4345" t="s">
        <v>14</v>
      </c>
      <c r="G4345" t="s">
        <v>15</v>
      </c>
    </row>
    <row r="4346" spans="1:7" x14ac:dyDescent="0.35">
      <c r="A4346">
        <v>1714</v>
      </c>
      <c r="B4346" s="1">
        <v>45596</v>
      </c>
      <c r="C4346" t="s">
        <v>12</v>
      </c>
      <c r="D4346" s="2">
        <v>0</v>
      </c>
      <c r="E4346" s="2">
        <v>117.89</v>
      </c>
      <c r="F4346" t="s">
        <v>16</v>
      </c>
      <c r="G4346" t="s">
        <v>17</v>
      </c>
    </row>
    <row r="4347" spans="1:7" x14ac:dyDescent="0.35">
      <c r="A4347">
        <v>1715</v>
      </c>
      <c r="B4347" s="1">
        <v>45596</v>
      </c>
      <c r="C4347" t="s">
        <v>12</v>
      </c>
      <c r="D4347" s="2">
        <v>3567.41</v>
      </c>
      <c r="E4347" s="2">
        <v>0</v>
      </c>
      <c r="F4347" t="s">
        <v>13</v>
      </c>
      <c r="G4347" t="s">
        <v>9</v>
      </c>
    </row>
    <row r="4348" spans="1:7" x14ac:dyDescent="0.35">
      <c r="A4348">
        <v>1715</v>
      </c>
      <c r="B4348" s="1">
        <v>45596</v>
      </c>
      <c r="C4348" t="s">
        <v>12</v>
      </c>
      <c r="D4348" s="2">
        <v>0</v>
      </c>
      <c r="E4348" s="2">
        <v>3318.53</v>
      </c>
      <c r="F4348" t="s">
        <v>14</v>
      </c>
      <c r="G4348" t="s">
        <v>15</v>
      </c>
    </row>
    <row r="4349" spans="1:7" x14ac:dyDescent="0.35">
      <c r="A4349">
        <v>1715</v>
      </c>
      <c r="B4349" s="1">
        <v>45596</v>
      </c>
      <c r="C4349" t="s">
        <v>12</v>
      </c>
      <c r="D4349" s="2">
        <v>0</v>
      </c>
      <c r="E4349" s="2">
        <v>248.88</v>
      </c>
      <c r="F4349" t="s">
        <v>16</v>
      </c>
      <c r="G4349" t="s">
        <v>17</v>
      </c>
    </row>
    <row r="4350" spans="1:7" x14ac:dyDescent="0.35">
      <c r="A4350">
        <v>1716</v>
      </c>
      <c r="B4350" s="1">
        <v>45596</v>
      </c>
      <c r="C4350" t="s">
        <v>12</v>
      </c>
      <c r="D4350" s="2">
        <v>3187.92</v>
      </c>
      <c r="E4350" s="2">
        <v>0</v>
      </c>
      <c r="F4350" t="s">
        <v>13</v>
      </c>
      <c r="G4350" t="s">
        <v>9</v>
      </c>
    </row>
    <row r="4351" spans="1:7" x14ac:dyDescent="0.35">
      <c r="A4351">
        <v>1716</v>
      </c>
      <c r="B4351" s="1">
        <v>45596</v>
      </c>
      <c r="C4351" t="s">
        <v>12</v>
      </c>
      <c r="D4351" s="2">
        <v>0</v>
      </c>
      <c r="E4351" s="2">
        <v>2965.51</v>
      </c>
      <c r="F4351" t="s">
        <v>14</v>
      </c>
      <c r="G4351" t="s">
        <v>15</v>
      </c>
    </row>
    <row r="4352" spans="1:7" x14ac:dyDescent="0.35">
      <c r="A4352">
        <v>1716</v>
      </c>
      <c r="B4352" s="1">
        <v>45596</v>
      </c>
      <c r="C4352" t="s">
        <v>12</v>
      </c>
      <c r="D4352" s="2">
        <v>0</v>
      </c>
      <c r="E4352" s="2">
        <v>222.41</v>
      </c>
      <c r="F4352" t="s">
        <v>16</v>
      </c>
      <c r="G4352" t="s">
        <v>17</v>
      </c>
    </row>
    <row r="4353" spans="1:7" x14ac:dyDescent="0.35">
      <c r="A4353">
        <v>1717</v>
      </c>
      <c r="B4353" s="1">
        <v>45596</v>
      </c>
      <c r="C4353" t="s">
        <v>12</v>
      </c>
      <c r="D4353" s="2">
        <v>2325.81</v>
      </c>
      <c r="E4353" s="2">
        <v>0</v>
      </c>
      <c r="F4353" t="s">
        <v>13</v>
      </c>
      <c r="G4353" t="s">
        <v>9</v>
      </c>
    </row>
    <row r="4354" spans="1:7" x14ac:dyDescent="0.35">
      <c r="A4354">
        <v>1717</v>
      </c>
      <c r="B4354" s="1">
        <v>45596</v>
      </c>
      <c r="C4354" t="s">
        <v>12</v>
      </c>
      <c r="D4354" s="2">
        <v>0</v>
      </c>
      <c r="E4354" s="2">
        <v>2163.5500000000002</v>
      </c>
      <c r="F4354" t="s">
        <v>14</v>
      </c>
      <c r="G4354" t="s">
        <v>15</v>
      </c>
    </row>
    <row r="4355" spans="1:7" x14ac:dyDescent="0.35">
      <c r="A4355">
        <v>1717</v>
      </c>
      <c r="B4355" s="1">
        <v>45596</v>
      </c>
      <c r="C4355" t="s">
        <v>12</v>
      </c>
      <c r="D4355" s="2">
        <v>0</v>
      </c>
      <c r="E4355" s="2">
        <v>162.26</v>
      </c>
      <c r="F4355" t="s">
        <v>16</v>
      </c>
      <c r="G4355" t="s">
        <v>17</v>
      </c>
    </row>
    <row r="4356" spans="1:7" x14ac:dyDescent="0.35">
      <c r="A4356">
        <v>1718</v>
      </c>
      <c r="B4356" s="1">
        <v>45596</v>
      </c>
      <c r="C4356" t="s">
        <v>24</v>
      </c>
      <c r="D4356" s="2">
        <v>306.43</v>
      </c>
      <c r="E4356" s="2">
        <v>0</v>
      </c>
      <c r="F4356" t="s">
        <v>8</v>
      </c>
      <c r="G4356" t="s">
        <v>9</v>
      </c>
    </row>
    <row r="4357" spans="1:7" x14ac:dyDescent="0.35">
      <c r="A4357">
        <v>1718</v>
      </c>
      <c r="B4357" s="1">
        <v>45596</v>
      </c>
      <c r="C4357" t="s">
        <v>24</v>
      </c>
      <c r="D4357" s="2">
        <v>0</v>
      </c>
      <c r="E4357" s="2">
        <v>306.43</v>
      </c>
      <c r="F4357" t="s">
        <v>13</v>
      </c>
      <c r="G4357" t="s">
        <v>9</v>
      </c>
    </row>
    <row r="4358" spans="1:7" x14ac:dyDescent="0.35">
      <c r="A4358">
        <v>1719</v>
      </c>
      <c r="B4358" s="1">
        <v>45596</v>
      </c>
      <c r="C4358" t="s">
        <v>24</v>
      </c>
      <c r="D4358" s="2">
        <v>1893.71</v>
      </c>
      <c r="E4358" s="2">
        <v>0</v>
      </c>
      <c r="F4358" t="s">
        <v>8</v>
      </c>
      <c r="G4358" t="s">
        <v>9</v>
      </c>
    </row>
    <row r="4359" spans="1:7" x14ac:dyDescent="0.35">
      <c r="A4359">
        <v>1719</v>
      </c>
      <c r="B4359" s="1">
        <v>45596</v>
      </c>
      <c r="C4359" t="s">
        <v>24</v>
      </c>
      <c r="D4359" s="2">
        <v>0</v>
      </c>
      <c r="E4359" s="2">
        <v>1893.71</v>
      </c>
      <c r="F4359" t="s">
        <v>13</v>
      </c>
      <c r="G4359" t="s">
        <v>9</v>
      </c>
    </row>
    <row r="4360" spans="1:7" x14ac:dyDescent="0.35">
      <c r="A4360">
        <v>1720</v>
      </c>
      <c r="B4360" s="1">
        <v>45596</v>
      </c>
      <c r="C4360" t="s">
        <v>24</v>
      </c>
      <c r="D4360" s="2">
        <v>946.16</v>
      </c>
      <c r="E4360" s="2">
        <v>0</v>
      </c>
      <c r="F4360" t="s">
        <v>8</v>
      </c>
      <c r="G4360" t="s">
        <v>9</v>
      </c>
    </row>
    <row r="4361" spans="1:7" x14ac:dyDescent="0.35">
      <c r="A4361">
        <v>1720</v>
      </c>
      <c r="B4361" s="1">
        <v>45596</v>
      </c>
      <c r="C4361" t="s">
        <v>24</v>
      </c>
      <c r="D4361" s="2">
        <v>0</v>
      </c>
      <c r="E4361" s="2">
        <v>946.16</v>
      </c>
      <c r="F4361" t="s">
        <v>13</v>
      </c>
      <c r="G4361" t="s">
        <v>9</v>
      </c>
    </row>
    <row r="4362" spans="1:7" x14ac:dyDescent="0.35">
      <c r="A4362">
        <v>1721</v>
      </c>
      <c r="B4362" s="1">
        <v>45596</v>
      </c>
      <c r="C4362" t="s">
        <v>24</v>
      </c>
      <c r="D4362" s="2">
        <v>1640.79</v>
      </c>
      <c r="E4362" s="2">
        <v>0</v>
      </c>
      <c r="F4362" t="s">
        <v>8</v>
      </c>
      <c r="G4362" t="s">
        <v>9</v>
      </c>
    </row>
    <row r="4363" spans="1:7" x14ac:dyDescent="0.35">
      <c r="A4363">
        <v>1721</v>
      </c>
      <c r="B4363" s="1">
        <v>45596</v>
      </c>
      <c r="C4363" t="s">
        <v>24</v>
      </c>
      <c r="D4363" s="2">
        <v>0</v>
      </c>
      <c r="E4363" s="2">
        <v>1640.79</v>
      </c>
      <c r="F4363" t="s">
        <v>13</v>
      </c>
      <c r="G4363" t="s">
        <v>9</v>
      </c>
    </row>
    <row r="4364" spans="1:7" x14ac:dyDescent="0.35">
      <c r="A4364">
        <v>1722</v>
      </c>
      <c r="B4364" s="1">
        <v>45596</v>
      </c>
      <c r="C4364" t="s">
        <v>24</v>
      </c>
      <c r="D4364" s="2">
        <v>2038.25</v>
      </c>
      <c r="E4364" s="2">
        <v>0</v>
      </c>
      <c r="F4364" t="s">
        <v>8</v>
      </c>
      <c r="G4364" t="s">
        <v>9</v>
      </c>
    </row>
    <row r="4365" spans="1:7" x14ac:dyDescent="0.35">
      <c r="A4365">
        <v>1722</v>
      </c>
      <c r="B4365" s="1">
        <v>45596</v>
      </c>
      <c r="C4365" t="s">
        <v>24</v>
      </c>
      <c r="D4365" s="2">
        <v>0</v>
      </c>
      <c r="E4365" s="2">
        <v>2038.25</v>
      </c>
      <c r="F4365" t="s">
        <v>13</v>
      </c>
      <c r="G4365" t="s">
        <v>9</v>
      </c>
    </row>
    <row r="4366" spans="1:7" x14ac:dyDescent="0.35">
      <c r="A4366">
        <v>1723</v>
      </c>
      <c r="B4366" s="1">
        <v>45596</v>
      </c>
      <c r="C4366" t="s">
        <v>24</v>
      </c>
      <c r="D4366" s="2">
        <v>2151.9699999999998</v>
      </c>
      <c r="E4366" s="2">
        <v>0</v>
      </c>
      <c r="F4366" t="s">
        <v>8</v>
      </c>
      <c r="G4366" t="s">
        <v>9</v>
      </c>
    </row>
    <row r="4367" spans="1:7" x14ac:dyDescent="0.35">
      <c r="A4367">
        <v>1723</v>
      </c>
      <c r="B4367" s="1">
        <v>45596</v>
      </c>
      <c r="C4367" t="s">
        <v>24</v>
      </c>
      <c r="D4367" s="2">
        <v>0</v>
      </c>
      <c r="E4367" s="2">
        <v>2151.9699999999998</v>
      </c>
      <c r="F4367" t="s">
        <v>13</v>
      </c>
      <c r="G4367" t="s">
        <v>9</v>
      </c>
    </row>
    <row r="4368" spans="1:7" x14ac:dyDescent="0.35">
      <c r="A4368">
        <v>1724</v>
      </c>
      <c r="B4368" s="1">
        <v>45596</v>
      </c>
      <c r="C4368" t="s">
        <v>29</v>
      </c>
      <c r="D4368" s="2">
        <v>1304.6199999999999</v>
      </c>
      <c r="E4368" s="2">
        <v>0</v>
      </c>
      <c r="F4368" t="s">
        <v>28</v>
      </c>
      <c r="G4368" t="s">
        <v>17</v>
      </c>
    </row>
    <row r="4369" spans="1:7" x14ac:dyDescent="0.35">
      <c r="A4369">
        <v>1724</v>
      </c>
      <c r="B4369" s="1">
        <v>45596</v>
      </c>
      <c r="C4369" t="s">
        <v>29</v>
      </c>
      <c r="D4369" s="2">
        <v>0</v>
      </c>
      <c r="E4369" s="2">
        <v>1304.6199999999999</v>
      </c>
      <c r="F4369" t="s">
        <v>8</v>
      </c>
      <c r="G4369" t="s">
        <v>9</v>
      </c>
    </row>
    <row r="4370" spans="1:7" x14ac:dyDescent="0.35">
      <c r="A4370">
        <v>1725</v>
      </c>
      <c r="B4370" s="1">
        <v>45596</v>
      </c>
      <c r="C4370" t="s">
        <v>30</v>
      </c>
      <c r="D4370" s="2">
        <v>93.61</v>
      </c>
      <c r="E4370" s="2">
        <v>0</v>
      </c>
      <c r="F4370" t="s">
        <v>31</v>
      </c>
      <c r="G4370" t="s">
        <v>20</v>
      </c>
    </row>
    <row r="4371" spans="1:7" x14ac:dyDescent="0.35">
      <c r="A4371">
        <v>1725</v>
      </c>
      <c r="B4371" s="1">
        <v>45596</v>
      </c>
      <c r="C4371" t="s">
        <v>30</v>
      </c>
      <c r="D4371" s="2">
        <v>0</v>
      </c>
      <c r="E4371" s="2">
        <v>93.61</v>
      </c>
      <c r="F4371" t="s">
        <v>32</v>
      </c>
      <c r="G4371" t="s">
        <v>9</v>
      </c>
    </row>
    <row r="4372" spans="1:7" x14ac:dyDescent="0.35">
      <c r="A4372">
        <v>1726</v>
      </c>
      <c r="B4372" s="1">
        <v>45596</v>
      </c>
      <c r="C4372" t="s">
        <v>33</v>
      </c>
      <c r="D4372" s="2">
        <v>76.86</v>
      </c>
      <c r="E4372" s="2">
        <v>0</v>
      </c>
      <c r="F4372" t="s">
        <v>31</v>
      </c>
      <c r="G4372" t="s">
        <v>20</v>
      </c>
    </row>
    <row r="4373" spans="1:7" x14ac:dyDescent="0.35">
      <c r="A4373">
        <v>1726</v>
      </c>
      <c r="B4373" s="1">
        <v>45596</v>
      </c>
      <c r="C4373" t="s">
        <v>33</v>
      </c>
      <c r="D4373" s="2">
        <v>0</v>
      </c>
      <c r="E4373" s="2">
        <v>76.86</v>
      </c>
      <c r="F4373" t="s">
        <v>32</v>
      </c>
      <c r="G4373" t="s">
        <v>9</v>
      </c>
    </row>
    <row r="4374" spans="1:7" x14ac:dyDescent="0.35">
      <c r="A4374">
        <v>1727</v>
      </c>
      <c r="B4374" s="1">
        <v>45596</v>
      </c>
      <c r="C4374" t="s">
        <v>34</v>
      </c>
      <c r="D4374" s="2">
        <v>20.03</v>
      </c>
      <c r="E4374" s="2">
        <v>0</v>
      </c>
      <c r="F4374" t="s">
        <v>31</v>
      </c>
      <c r="G4374" t="s">
        <v>20</v>
      </c>
    </row>
    <row r="4375" spans="1:7" x14ac:dyDescent="0.35">
      <c r="A4375">
        <v>1727</v>
      </c>
      <c r="B4375" s="1">
        <v>45596</v>
      </c>
      <c r="C4375" t="s">
        <v>34</v>
      </c>
      <c r="D4375" s="2">
        <v>0</v>
      </c>
      <c r="E4375" s="2">
        <v>20.03</v>
      </c>
      <c r="F4375" t="s">
        <v>32</v>
      </c>
      <c r="G4375" t="s">
        <v>9</v>
      </c>
    </row>
    <row r="4376" spans="1:7" x14ac:dyDescent="0.35">
      <c r="A4376">
        <v>1728</v>
      </c>
      <c r="B4376" s="1">
        <v>45596</v>
      </c>
      <c r="C4376" t="s">
        <v>35</v>
      </c>
      <c r="D4376" s="2">
        <v>86.89</v>
      </c>
      <c r="E4376" s="2">
        <v>0</v>
      </c>
      <c r="F4376" t="s">
        <v>31</v>
      </c>
      <c r="G4376" t="s">
        <v>20</v>
      </c>
    </row>
    <row r="4377" spans="1:7" x14ac:dyDescent="0.35">
      <c r="A4377">
        <v>1728</v>
      </c>
      <c r="B4377" s="1">
        <v>45596</v>
      </c>
      <c r="C4377" t="s">
        <v>35</v>
      </c>
      <c r="D4377" s="2">
        <v>0</v>
      </c>
      <c r="E4377" s="2">
        <v>86.89</v>
      </c>
      <c r="F4377" t="s">
        <v>36</v>
      </c>
      <c r="G4377" t="s">
        <v>9</v>
      </c>
    </row>
    <row r="4378" spans="1:7" x14ac:dyDescent="0.35">
      <c r="A4378">
        <v>1729</v>
      </c>
      <c r="B4378" s="1">
        <v>45596</v>
      </c>
      <c r="C4378" t="s">
        <v>37</v>
      </c>
      <c r="D4378" s="2">
        <v>76.8</v>
      </c>
      <c r="E4378" s="2">
        <v>0</v>
      </c>
      <c r="F4378" t="s">
        <v>31</v>
      </c>
      <c r="G4378" t="s">
        <v>20</v>
      </c>
    </row>
    <row r="4379" spans="1:7" x14ac:dyDescent="0.35">
      <c r="A4379">
        <v>1729</v>
      </c>
      <c r="B4379" s="1">
        <v>45596</v>
      </c>
      <c r="C4379" t="s">
        <v>37</v>
      </c>
      <c r="D4379" s="2">
        <v>0</v>
      </c>
      <c r="E4379" s="2">
        <v>76.8</v>
      </c>
      <c r="F4379" t="s">
        <v>36</v>
      </c>
      <c r="G4379" t="s">
        <v>9</v>
      </c>
    </row>
    <row r="4380" spans="1:7" x14ac:dyDescent="0.35">
      <c r="A4380">
        <v>1730</v>
      </c>
      <c r="B4380" s="1">
        <v>45596</v>
      </c>
      <c r="C4380" t="s">
        <v>38</v>
      </c>
      <c r="D4380" s="2">
        <v>48.28</v>
      </c>
      <c r="E4380" s="2">
        <v>0</v>
      </c>
      <c r="F4380" t="s">
        <v>31</v>
      </c>
      <c r="G4380" t="s">
        <v>20</v>
      </c>
    </row>
    <row r="4381" spans="1:7" x14ac:dyDescent="0.35">
      <c r="A4381">
        <v>1730</v>
      </c>
      <c r="B4381" s="1">
        <v>45596</v>
      </c>
      <c r="C4381" t="s">
        <v>38</v>
      </c>
      <c r="D4381" s="2">
        <v>0</v>
      </c>
      <c r="E4381" s="2">
        <v>48.28</v>
      </c>
      <c r="F4381" t="s">
        <v>36</v>
      </c>
      <c r="G4381" t="s">
        <v>9</v>
      </c>
    </row>
    <row r="4382" spans="1:7" x14ac:dyDescent="0.35">
      <c r="A4382">
        <v>1731</v>
      </c>
      <c r="B4382" s="1">
        <v>45596</v>
      </c>
      <c r="C4382" t="s">
        <v>39</v>
      </c>
      <c r="D4382" s="2">
        <v>53.21</v>
      </c>
      <c r="E4382" s="2">
        <v>0</v>
      </c>
      <c r="F4382" t="s">
        <v>31</v>
      </c>
      <c r="G4382" t="s">
        <v>20</v>
      </c>
    </row>
    <row r="4383" spans="1:7" x14ac:dyDescent="0.35">
      <c r="A4383">
        <v>1731</v>
      </c>
      <c r="B4383" s="1">
        <v>45596</v>
      </c>
      <c r="C4383" t="s">
        <v>39</v>
      </c>
      <c r="D4383" s="2">
        <v>0</v>
      </c>
      <c r="E4383" s="2">
        <v>53.21</v>
      </c>
      <c r="F4383" t="s">
        <v>36</v>
      </c>
      <c r="G4383" t="s">
        <v>9</v>
      </c>
    </row>
    <row r="4384" spans="1:7" x14ac:dyDescent="0.35">
      <c r="A4384">
        <v>1732</v>
      </c>
      <c r="B4384" s="1">
        <v>45596</v>
      </c>
      <c r="C4384" t="s">
        <v>40</v>
      </c>
      <c r="D4384" s="2">
        <v>232.19</v>
      </c>
      <c r="E4384" s="2">
        <v>0</v>
      </c>
      <c r="F4384" t="s">
        <v>31</v>
      </c>
      <c r="G4384" t="s">
        <v>20</v>
      </c>
    </row>
    <row r="4385" spans="1:7" x14ac:dyDescent="0.35">
      <c r="A4385">
        <v>1732</v>
      </c>
      <c r="B4385" s="1">
        <v>45596</v>
      </c>
      <c r="C4385" t="s">
        <v>40</v>
      </c>
      <c r="D4385" s="2">
        <v>0</v>
      </c>
      <c r="E4385" s="2">
        <v>232.19</v>
      </c>
      <c r="F4385" t="s">
        <v>41</v>
      </c>
      <c r="G4385" t="s">
        <v>9</v>
      </c>
    </row>
    <row r="4386" spans="1:7" x14ac:dyDescent="0.35">
      <c r="A4386">
        <v>1733</v>
      </c>
      <c r="B4386" s="1">
        <v>45596</v>
      </c>
      <c r="C4386" t="s">
        <v>42</v>
      </c>
      <c r="D4386" s="2">
        <v>43.85</v>
      </c>
      <c r="E4386" s="2">
        <v>0</v>
      </c>
      <c r="F4386" t="s">
        <v>31</v>
      </c>
      <c r="G4386" t="s">
        <v>20</v>
      </c>
    </row>
    <row r="4387" spans="1:7" x14ac:dyDescent="0.35">
      <c r="A4387">
        <v>1733</v>
      </c>
      <c r="B4387" s="1">
        <v>45596</v>
      </c>
      <c r="C4387" t="s">
        <v>42</v>
      </c>
      <c r="D4387" s="2">
        <v>0</v>
      </c>
      <c r="E4387" s="2">
        <v>43.85</v>
      </c>
      <c r="F4387" t="s">
        <v>32</v>
      </c>
      <c r="G4387" t="s">
        <v>9</v>
      </c>
    </row>
    <row r="4388" spans="1:7" x14ac:dyDescent="0.35">
      <c r="A4388">
        <v>1734</v>
      </c>
      <c r="B4388" s="1">
        <v>45597</v>
      </c>
      <c r="C4388" t="s">
        <v>12</v>
      </c>
      <c r="D4388" s="2">
        <v>6883.36</v>
      </c>
      <c r="E4388" s="2">
        <v>0</v>
      </c>
      <c r="F4388" t="s">
        <v>13</v>
      </c>
      <c r="G4388" t="s">
        <v>9</v>
      </c>
    </row>
    <row r="4389" spans="1:7" x14ac:dyDescent="0.35">
      <c r="A4389">
        <v>1734</v>
      </c>
      <c r="B4389" s="1">
        <v>45597</v>
      </c>
      <c r="C4389" t="s">
        <v>12</v>
      </c>
      <c r="D4389" s="2">
        <v>0</v>
      </c>
      <c r="E4389" s="2">
        <v>6403.13</v>
      </c>
      <c r="F4389" t="s">
        <v>14</v>
      </c>
      <c r="G4389" t="s">
        <v>15</v>
      </c>
    </row>
    <row r="4390" spans="1:7" x14ac:dyDescent="0.35">
      <c r="A4390">
        <v>1734</v>
      </c>
      <c r="B4390" s="1">
        <v>45597</v>
      </c>
      <c r="C4390" t="s">
        <v>12</v>
      </c>
      <c r="D4390" s="2">
        <v>0</v>
      </c>
      <c r="E4390" s="2">
        <v>480.23</v>
      </c>
      <c r="F4390" t="s">
        <v>16</v>
      </c>
      <c r="G4390" t="s">
        <v>17</v>
      </c>
    </row>
    <row r="4391" spans="1:7" x14ac:dyDescent="0.35">
      <c r="A4391">
        <v>1735</v>
      </c>
      <c r="B4391" s="1">
        <v>45597</v>
      </c>
      <c r="C4391" t="s">
        <v>12</v>
      </c>
      <c r="D4391" s="2">
        <v>2056.0700000000002</v>
      </c>
      <c r="E4391" s="2">
        <v>0</v>
      </c>
      <c r="F4391" t="s">
        <v>13</v>
      </c>
      <c r="G4391" t="s">
        <v>9</v>
      </c>
    </row>
    <row r="4392" spans="1:7" x14ac:dyDescent="0.35">
      <c r="A4392">
        <v>1735</v>
      </c>
      <c r="B4392" s="1">
        <v>45597</v>
      </c>
      <c r="C4392" t="s">
        <v>12</v>
      </c>
      <c r="D4392" s="2">
        <v>0</v>
      </c>
      <c r="E4392" s="2">
        <v>1912.62</v>
      </c>
      <c r="F4392" t="s">
        <v>14</v>
      </c>
      <c r="G4392" t="s">
        <v>15</v>
      </c>
    </row>
    <row r="4393" spans="1:7" x14ac:dyDescent="0.35">
      <c r="A4393">
        <v>1735</v>
      </c>
      <c r="B4393" s="1">
        <v>45597</v>
      </c>
      <c r="C4393" t="s">
        <v>12</v>
      </c>
      <c r="D4393" s="2">
        <v>0</v>
      </c>
      <c r="E4393" s="2">
        <v>143.44999999999999</v>
      </c>
      <c r="F4393" t="s">
        <v>16</v>
      </c>
      <c r="G4393" t="s">
        <v>17</v>
      </c>
    </row>
    <row r="4394" spans="1:7" x14ac:dyDescent="0.35">
      <c r="A4394">
        <v>1736</v>
      </c>
      <c r="B4394" s="1">
        <v>45597</v>
      </c>
      <c r="C4394" t="s">
        <v>24</v>
      </c>
      <c r="D4394" s="2">
        <v>691.28</v>
      </c>
      <c r="E4394" s="2">
        <v>0</v>
      </c>
      <c r="F4394" t="s">
        <v>8</v>
      </c>
      <c r="G4394" t="s">
        <v>9</v>
      </c>
    </row>
    <row r="4395" spans="1:7" x14ac:dyDescent="0.35">
      <c r="A4395">
        <v>1736</v>
      </c>
      <c r="B4395" s="1">
        <v>45597</v>
      </c>
      <c r="C4395" t="s">
        <v>24</v>
      </c>
      <c r="D4395" s="2">
        <v>0</v>
      </c>
      <c r="E4395" s="2">
        <v>691.28</v>
      </c>
      <c r="F4395" t="s">
        <v>13</v>
      </c>
      <c r="G4395" t="s">
        <v>9</v>
      </c>
    </row>
    <row r="4396" spans="1:7" x14ac:dyDescent="0.35">
      <c r="A4396">
        <v>1737</v>
      </c>
      <c r="B4396" s="1">
        <v>45597</v>
      </c>
      <c r="C4396" t="s">
        <v>24</v>
      </c>
      <c r="D4396" s="2">
        <v>3455.73</v>
      </c>
      <c r="E4396" s="2">
        <v>0</v>
      </c>
      <c r="F4396" t="s">
        <v>8</v>
      </c>
      <c r="G4396" t="s">
        <v>9</v>
      </c>
    </row>
    <row r="4397" spans="1:7" x14ac:dyDescent="0.35">
      <c r="A4397">
        <v>1737</v>
      </c>
      <c r="B4397" s="1">
        <v>45597</v>
      </c>
      <c r="C4397" t="s">
        <v>24</v>
      </c>
      <c r="D4397" s="2">
        <v>0</v>
      </c>
      <c r="E4397" s="2">
        <v>3455.73</v>
      </c>
      <c r="F4397" t="s">
        <v>13</v>
      </c>
      <c r="G4397" t="s">
        <v>9</v>
      </c>
    </row>
    <row r="4398" spans="1:7" x14ac:dyDescent="0.35">
      <c r="A4398">
        <v>1738</v>
      </c>
      <c r="B4398" s="1">
        <v>45597</v>
      </c>
      <c r="C4398" t="s">
        <v>24</v>
      </c>
      <c r="D4398" s="2">
        <v>1022.46</v>
      </c>
      <c r="E4398" s="2">
        <v>0</v>
      </c>
      <c r="F4398" t="s">
        <v>8</v>
      </c>
      <c r="G4398" t="s">
        <v>9</v>
      </c>
    </row>
    <row r="4399" spans="1:7" x14ac:dyDescent="0.35">
      <c r="A4399">
        <v>1738</v>
      </c>
      <c r="B4399" s="1">
        <v>45597</v>
      </c>
      <c r="C4399" t="s">
        <v>24</v>
      </c>
      <c r="D4399" s="2">
        <v>0</v>
      </c>
      <c r="E4399" s="2">
        <v>1022.46</v>
      </c>
      <c r="F4399" t="s">
        <v>13</v>
      </c>
      <c r="G4399" t="s">
        <v>9</v>
      </c>
    </row>
    <row r="4400" spans="1:7" x14ac:dyDescent="0.35">
      <c r="A4400">
        <v>1739</v>
      </c>
      <c r="B4400" s="1">
        <v>45597</v>
      </c>
      <c r="C4400" t="s">
        <v>25</v>
      </c>
      <c r="D4400" s="2">
        <v>6723.2</v>
      </c>
      <c r="E4400" s="2">
        <v>0</v>
      </c>
      <c r="F4400" t="s">
        <v>26</v>
      </c>
      <c r="G4400" t="s">
        <v>20</v>
      </c>
    </row>
    <row r="4401" spans="1:7" x14ac:dyDescent="0.35">
      <c r="A4401">
        <v>1739</v>
      </c>
      <c r="B4401" s="1">
        <v>45597</v>
      </c>
      <c r="C4401" t="s">
        <v>25</v>
      </c>
      <c r="D4401" s="2">
        <v>504.24</v>
      </c>
      <c r="E4401" s="2">
        <v>0</v>
      </c>
      <c r="F4401" t="s">
        <v>27</v>
      </c>
      <c r="G4401" t="s">
        <v>9</v>
      </c>
    </row>
    <row r="4402" spans="1:7" x14ac:dyDescent="0.35">
      <c r="A4402">
        <v>1739</v>
      </c>
      <c r="B4402" s="1">
        <v>45597</v>
      </c>
      <c r="C4402" t="s">
        <v>25</v>
      </c>
      <c r="D4402" s="2">
        <v>0</v>
      </c>
      <c r="E4402" s="2">
        <v>7227.44</v>
      </c>
      <c r="F4402" t="s">
        <v>28</v>
      </c>
      <c r="G4402" t="s">
        <v>17</v>
      </c>
    </row>
    <row r="4403" spans="1:7" x14ac:dyDescent="0.35">
      <c r="A4403">
        <v>1740</v>
      </c>
      <c r="B4403" s="1">
        <v>45600</v>
      </c>
      <c r="C4403" t="s">
        <v>12</v>
      </c>
      <c r="D4403" s="2">
        <v>505.98</v>
      </c>
      <c r="E4403" s="2">
        <v>0</v>
      </c>
      <c r="F4403" t="s">
        <v>13</v>
      </c>
      <c r="G4403" t="s">
        <v>9</v>
      </c>
    </row>
    <row r="4404" spans="1:7" x14ac:dyDescent="0.35">
      <c r="A4404">
        <v>1740</v>
      </c>
      <c r="B4404" s="1">
        <v>45600</v>
      </c>
      <c r="C4404" t="s">
        <v>12</v>
      </c>
      <c r="D4404" s="2">
        <v>0</v>
      </c>
      <c r="E4404" s="2">
        <v>470.68</v>
      </c>
      <c r="F4404" t="s">
        <v>14</v>
      </c>
      <c r="G4404" t="s">
        <v>15</v>
      </c>
    </row>
    <row r="4405" spans="1:7" x14ac:dyDescent="0.35">
      <c r="A4405">
        <v>1740</v>
      </c>
      <c r="B4405" s="1">
        <v>45600</v>
      </c>
      <c r="C4405" t="s">
        <v>12</v>
      </c>
      <c r="D4405" s="2">
        <v>0</v>
      </c>
      <c r="E4405" s="2">
        <v>35.299999999999997</v>
      </c>
      <c r="F4405" t="s">
        <v>16</v>
      </c>
      <c r="G4405" t="s">
        <v>17</v>
      </c>
    </row>
    <row r="4406" spans="1:7" x14ac:dyDescent="0.35">
      <c r="A4406">
        <v>1741</v>
      </c>
      <c r="B4406" s="1">
        <v>45600</v>
      </c>
      <c r="C4406" t="s">
        <v>12</v>
      </c>
      <c r="D4406" s="2">
        <v>3264.28</v>
      </c>
      <c r="E4406" s="2">
        <v>0</v>
      </c>
      <c r="F4406" t="s">
        <v>13</v>
      </c>
      <c r="G4406" t="s">
        <v>9</v>
      </c>
    </row>
    <row r="4407" spans="1:7" x14ac:dyDescent="0.35">
      <c r="A4407">
        <v>1741</v>
      </c>
      <c r="B4407" s="1">
        <v>45600</v>
      </c>
      <c r="C4407" t="s">
        <v>12</v>
      </c>
      <c r="D4407" s="2">
        <v>0</v>
      </c>
      <c r="E4407" s="2">
        <v>3036.54</v>
      </c>
      <c r="F4407" t="s">
        <v>14</v>
      </c>
      <c r="G4407" t="s">
        <v>15</v>
      </c>
    </row>
    <row r="4408" spans="1:7" x14ac:dyDescent="0.35">
      <c r="A4408">
        <v>1741</v>
      </c>
      <c r="B4408" s="1">
        <v>45600</v>
      </c>
      <c r="C4408" t="s">
        <v>12</v>
      </c>
      <c r="D4408" s="2">
        <v>0</v>
      </c>
      <c r="E4408" s="2">
        <v>227.74</v>
      </c>
      <c r="F4408" t="s">
        <v>16</v>
      </c>
      <c r="G4408" t="s">
        <v>17</v>
      </c>
    </row>
    <row r="4409" spans="1:7" x14ac:dyDescent="0.35">
      <c r="A4409">
        <v>1742</v>
      </c>
      <c r="B4409" s="1">
        <v>45600</v>
      </c>
      <c r="C4409" t="s">
        <v>12</v>
      </c>
      <c r="D4409" s="2">
        <v>1759.92</v>
      </c>
      <c r="E4409" s="2">
        <v>0</v>
      </c>
      <c r="F4409" t="s">
        <v>13</v>
      </c>
      <c r="G4409" t="s">
        <v>9</v>
      </c>
    </row>
    <row r="4410" spans="1:7" x14ac:dyDescent="0.35">
      <c r="A4410">
        <v>1742</v>
      </c>
      <c r="B4410" s="1">
        <v>45600</v>
      </c>
      <c r="C4410" t="s">
        <v>12</v>
      </c>
      <c r="D4410" s="2">
        <v>0</v>
      </c>
      <c r="E4410" s="2">
        <v>1637.13</v>
      </c>
      <c r="F4410" t="s">
        <v>14</v>
      </c>
      <c r="G4410" t="s">
        <v>15</v>
      </c>
    </row>
    <row r="4411" spans="1:7" x14ac:dyDescent="0.35">
      <c r="A4411">
        <v>1742</v>
      </c>
      <c r="B4411" s="1">
        <v>45600</v>
      </c>
      <c r="C4411" t="s">
        <v>12</v>
      </c>
      <c r="D4411" s="2">
        <v>0</v>
      </c>
      <c r="E4411" s="2">
        <v>122.79</v>
      </c>
      <c r="F4411" t="s">
        <v>16</v>
      </c>
      <c r="G4411" t="s">
        <v>17</v>
      </c>
    </row>
    <row r="4412" spans="1:7" x14ac:dyDescent="0.35">
      <c r="A4412">
        <v>1743</v>
      </c>
      <c r="B4412" s="1">
        <v>45600</v>
      </c>
      <c r="C4412" t="s">
        <v>12</v>
      </c>
      <c r="D4412" s="2">
        <v>1243.1099999999999</v>
      </c>
      <c r="E4412" s="2">
        <v>0</v>
      </c>
      <c r="F4412" t="s">
        <v>13</v>
      </c>
      <c r="G4412" t="s">
        <v>9</v>
      </c>
    </row>
    <row r="4413" spans="1:7" x14ac:dyDescent="0.35">
      <c r="A4413">
        <v>1743</v>
      </c>
      <c r="B4413" s="1">
        <v>45600</v>
      </c>
      <c r="C4413" t="s">
        <v>12</v>
      </c>
      <c r="D4413" s="2">
        <v>0</v>
      </c>
      <c r="E4413" s="2">
        <v>1156.3699999999999</v>
      </c>
      <c r="F4413" t="s">
        <v>14</v>
      </c>
      <c r="G4413" t="s">
        <v>15</v>
      </c>
    </row>
    <row r="4414" spans="1:7" x14ac:dyDescent="0.35">
      <c r="A4414">
        <v>1743</v>
      </c>
      <c r="B4414" s="1">
        <v>45600</v>
      </c>
      <c r="C4414" t="s">
        <v>12</v>
      </c>
      <c r="D4414" s="2">
        <v>0</v>
      </c>
      <c r="E4414" s="2">
        <v>86.74</v>
      </c>
      <c r="F4414" t="s">
        <v>16</v>
      </c>
      <c r="G4414" t="s">
        <v>17</v>
      </c>
    </row>
    <row r="4415" spans="1:7" x14ac:dyDescent="0.35">
      <c r="A4415">
        <v>1744</v>
      </c>
      <c r="B4415" s="1">
        <v>45600</v>
      </c>
      <c r="C4415" t="s">
        <v>12</v>
      </c>
      <c r="D4415" s="2">
        <v>2665.7</v>
      </c>
      <c r="E4415" s="2">
        <v>0</v>
      </c>
      <c r="F4415" t="s">
        <v>13</v>
      </c>
      <c r="G4415" t="s">
        <v>9</v>
      </c>
    </row>
    <row r="4416" spans="1:7" x14ac:dyDescent="0.35">
      <c r="A4416">
        <v>1744</v>
      </c>
      <c r="B4416" s="1">
        <v>45600</v>
      </c>
      <c r="C4416" t="s">
        <v>12</v>
      </c>
      <c r="D4416" s="2">
        <v>0</v>
      </c>
      <c r="E4416" s="2">
        <v>2479.73</v>
      </c>
      <c r="F4416" t="s">
        <v>14</v>
      </c>
      <c r="G4416" t="s">
        <v>15</v>
      </c>
    </row>
    <row r="4417" spans="1:7" x14ac:dyDescent="0.35">
      <c r="A4417">
        <v>1744</v>
      </c>
      <c r="B4417" s="1">
        <v>45600</v>
      </c>
      <c r="C4417" t="s">
        <v>12</v>
      </c>
      <c r="D4417" s="2">
        <v>0</v>
      </c>
      <c r="E4417" s="2">
        <v>185.97</v>
      </c>
      <c r="F4417" t="s">
        <v>16</v>
      </c>
      <c r="G4417" t="s">
        <v>17</v>
      </c>
    </row>
    <row r="4418" spans="1:7" x14ac:dyDescent="0.35">
      <c r="A4418">
        <v>1745</v>
      </c>
      <c r="B4418" s="1">
        <v>45600</v>
      </c>
      <c r="C4418" t="s">
        <v>12</v>
      </c>
      <c r="D4418" s="2">
        <v>459.63</v>
      </c>
      <c r="E4418" s="2">
        <v>0</v>
      </c>
      <c r="F4418" t="s">
        <v>13</v>
      </c>
      <c r="G4418" t="s">
        <v>9</v>
      </c>
    </row>
    <row r="4419" spans="1:7" x14ac:dyDescent="0.35">
      <c r="A4419">
        <v>1745</v>
      </c>
      <c r="B4419" s="1">
        <v>45600</v>
      </c>
      <c r="C4419" t="s">
        <v>12</v>
      </c>
      <c r="D4419" s="2">
        <v>0</v>
      </c>
      <c r="E4419" s="2">
        <v>427.57</v>
      </c>
      <c r="F4419" t="s">
        <v>14</v>
      </c>
      <c r="G4419" t="s">
        <v>15</v>
      </c>
    </row>
    <row r="4420" spans="1:7" x14ac:dyDescent="0.35">
      <c r="A4420">
        <v>1745</v>
      </c>
      <c r="B4420" s="1">
        <v>45600</v>
      </c>
      <c r="C4420" t="s">
        <v>12</v>
      </c>
      <c r="D4420" s="2">
        <v>0</v>
      </c>
      <c r="E4420" s="2">
        <v>32.06</v>
      </c>
      <c r="F4420" t="s">
        <v>16</v>
      </c>
      <c r="G4420" t="s">
        <v>17</v>
      </c>
    </row>
    <row r="4421" spans="1:7" x14ac:dyDescent="0.35">
      <c r="A4421">
        <v>1746</v>
      </c>
      <c r="B4421" s="1">
        <v>45600</v>
      </c>
      <c r="C4421" t="s">
        <v>12</v>
      </c>
      <c r="D4421" s="2">
        <v>2810.07</v>
      </c>
      <c r="E4421" s="2">
        <v>0</v>
      </c>
      <c r="F4421" t="s">
        <v>13</v>
      </c>
      <c r="G4421" t="s">
        <v>9</v>
      </c>
    </row>
    <row r="4422" spans="1:7" x14ac:dyDescent="0.35">
      <c r="A4422">
        <v>1746</v>
      </c>
      <c r="B4422" s="1">
        <v>45600</v>
      </c>
      <c r="C4422" t="s">
        <v>12</v>
      </c>
      <c r="D4422" s="2">
        <v>0</v>
      </c>
      <c r="E4422" s="2">
        <v>2614.02</v>
      </c>
      <c r="F4422" t="s">
        <v>14</v>
      </c>
      <c r="G4422" t="s">
        <v>15</v>
      </c>
    </row>
    <row r="4423" spans="1:7" x14ac:dyDescent="0.35">
      <c r="A4423">
        <v>1746</v>
      </c>
      <c r="B4423" s="1">
        <v>45600</v>
      </c>
      <c r="C4423" t="s">
        <v>12</v>
      </c>
      <c r="D4423" s="2">
        <v>0</v>
      </c>
      <c r="E4423" s="2">
        <v>196.05</v>
      </c>
      <c r="F4423" t="s">
        <v>16</v>
      </c>
      <c r="G4423" t="s">
        <v>17</v>
      </c>
    </row>
    <row r="4424" spans="1:7" x14ac:dyDescent="0.35">
      <c r="A4424">
        <v>1747</v>
      </c>
      <c r="B4424" s="1">
        <v>45600</v>
      </c>
      <c r="C4424" t="s">
        <v>24</v>
      </c>
      <c r="D4424" s="2">
        <v>2348.88</v>
      </c>
      <c r="E4424" s="2">
        <v>0</v>
      </c>
      <c r="F4424" t="s">
        <v>8</v>
      </c>
      <c r="G4424" t="s">
        <v>9</v>
      </c>
    </row>
    <row r="4425" spans="1:7" x14ac:dyDescent="0.35">
      <c r="A4425">
        <v>1747</v>
      </c>
      <c r="B4425" s="1">
        <v>45600</v>
      </c>
      <c r="C4425" t="s">
        <v>24</v>
      </c>
      <c r="D4425" s="2">
        <v>0</v>
      </c>
      <c r="E4425" s="2">
        <v>2348.88</v>
      </c>
      <c r="F4425" t="s">
        <v>13</v>
      </c>
      <c r="G4425" t="s">
        <v>9</v>
      </c>
    </row>
    <row r="4426" spans="1:7" x14ac:dyDescent="0.35">
      <c r="A4426">
        <v>1748</v>
      </c>
      <c r="B4426" s="1">
        <v>45600</v>
      </c>
      <c r="C4426" t="s">
        <v>24</v>
      </c>
      <c r="D4426" s="2">
        <v>256.97000000000003</v>
      </c>
      <c r="E4426" s="2">
        <v>0</v>
      </c>
      <c r="F4426" t="s">
        <v>8</v>
      </c>
      <c r="G4426" t="s">
        <v>9</v>
      </c>
    </row>
    <row r="4427" spans="1:7" x14ac:dyDescent="0.35">
      <c r="A4427">
        <v>1748</v>
      </c>
      <c r="B4427" s="1">
        <v>45600</v>
      </c>
      <c r="C4427" t="s">
        <v>24</v>
      </c>
      <c r="D4427" s="2">
        <v>0</v>
      </c>
      <c r="E4427" s="2">
        <v>256.97000000000003</v>
      </c>
      <c r="F4427" t="s">
        <v>13</v>
      </c>
      <c r="G4427" t="s">
        <v>9</v>
      </c>
    </row>
    <row r="4428" spans="1:7" x14ac:dyDescent="0.35">
      <c r="A4428">
        <v>1749</v>
      </c>
      <c r="B4428" s="1">
        <v>45600</v>
      </c>
      <c r="C4428" t="s">
        <v>24</v>
      </c>
      <c r="D4428" s="2">
        <v>2091.4899999999998</v>
      </c>
      <c r="E4428" s="2">
        <v>0</v>
      </c>
      <c r="F4428" t="s">
        <v>8</v>
      </c>
      <c r="G4428" t="s">
        <v>9</v>
      </c>
    </row>
    <row r="4429" spans="1:7" x14ac:dyDescent="0.35">
      <c r="A4429">
        <v>1749</v>
      </c>
      <c r="B4429" s="1">
        <v>45600</v>
      </c>
      <c r="C4429" t="s">
        <v>24</v>
      </c>
      <c r="D4429" s="2">
        <v>0</v>
      </c>
      <c r="E4429" s="2">
        <v>2091.4899999999998</v>
      </c>
      <c r="F4429" t="s">
        <v>13</v>
      </c>
      <c r="G4429" t="s">
        <v>9</v>
      </c>
    </row>
    <row r="4430" spans="1:7" x14ac:dyDescent="0.35">
      <c r="A4430">
        <v>1750</v>
      </c>
      <c r="B4430" s="1">
        <v>45600</v>
      </c>
      <c r="C4430" t="s">
        <v>24</v>
      </c>
      <c r="D4430" s="2">
        <v>41.18</v>
      </c>
      <c r="E4430" s="2">
        <v>0</v>
      </c>
      <c r="F4430" t="s">
        <v>8</v>
      </c>
      <c r="G4430" t="s">
        <v>9</v>
      </c>
    </row>
    <row r="4431" spans="1:7" x14ac:dyDescent="0.35">
      <c r="A4431">
        <v>1750</v>
      </c>
      <c r="B4431" s="1">
        <v>45600</v>
      </c>
      <c r="C4431" t="s">
        <v>24</v>
      </c>
      <c r="D4431" s="2">
        <v>0</v>
      </c>
      <c r="E4431" s="2">
        <v>41.18</v>
      </c>
      <c r="F4431" t="s">
        <v>13</v>
      </c>
      <c r="G4431" t="s">
        <v>9</v>
      </c>
    </row>
    <row r="4432" spans="1:7" x14ac:dyDescent="0.35">
      <c r="A4432">
        <v>1751</v>
      </c>
      <c r="B4432" s="1">
        <v>45600</v>
      </c>
      <c r="C4432" t="s">
        <v>25</v>
      </c>
      <c r="D4432" s="2">
        <v>1078.92</v>
      </c>
      <c r="E4432" s="2">
        <v>0</v>
      </c>
      <c r="F4432" t="s">
        <v>26</v>
      </c>
      <c r="G4432" t="s">
        <v>20</v>
      </c>
    </row>
    <row r="4433" spans="1:7" x14ac:dyDescent="0.35">
      <c r="A4433">
        <v>1751</v>
      </c>
      <c r="B4433" s="1">
        <v>45600</v>
      </c>
      <c r="C4433" t="s">
        <v>25</v>
      </c>
      <c r="D4433" s="2">
        <v>80.92</v>
      </c>
      <c r="E4433" s="2">
        <v>0</v>
      </c>
      <c r="F4433" t="s">
        <v>27</v>
      </c>
      <c r="G4433" t="s">
        <v>9</v>
      </c>
    </row>
    <row r="4434" spans="1:7" x14ac:dyDescent="0.35">
      <c r="A4434">
        <v>1751</v>
      </c>
      <c r="B4434" s="1">
        <v>45600</v>
      </c>
      <c r="C4434" t="s">
        <v>25</v>
      </c>
      <c r="D4434" s="2">
        <v>0</v>
      </c>
      <c r="E4434" s="2">
        <v>1159.8399999999999</v>
      </c>
      <c r="F4434" t="s">
        <v>28</v>
      </c>
      <c r="G4434" t="s">
        <v>17</v>
      </c>
    </row>
    <row r="4435" spans="1:7" x14ac:dyDescent="0.35">
      <c r="A4435">
        <v>1752</v>
      </c>
      <c r="B4435" s="1">
        <v>45600</v>
      </c>
      <c r="C4435" t="s">
        <v>25</v>
      </c>
      <c r="D4435" s="2">
        <v>1947.24</v>
      </c>
      <c r="E4435" s="2">
        <v>0</v>
      </c>
      <c r="F4435" t="s">
        <v>26</v>
      </c>
      <c r="G4435" t="s">
        <v>20</v>
      </c>
    </row>
    <row r="4436" spans="1:7" x14ac:dyDescent="0.35">
      <c r="A4436">
        <v>1752</v>
      </c>
      <c r="B4436" s="1">
        <v>45600</v>
      </c>
      <c r="C4436" t="s">
        <v>25</v>
      </c>
      <c r="D4436" s="2">
        <v>146.04</v>
      </c>
      <c r="E4436" s="2">
        <v>0</v>
      </c>
      <c r="F4436" t="s">
        <v>27</v>
      </c>
      <c r="G4436" t="s">
        <v>9</v>
      </c>
    </row>
    <row r="4437" spans="1:7" x14ac:dyDescent="0.35">
      <c r="A4437">
        <v>1752</v>
      </c>
      <c r="B4437" s="1">
        <v>45600</v>
      </c>
      <c r="C4437" t="s">
        <v>25</v>
      </c>
      <c r="D4437" s="2">
        <v>0</v>
      </c>
      <c r="E4437" s="2">
        <v>2093.2800000000002</v>
      </c>
      <c r="F4437" t="s">
        <v>28</v>
      </c>
      <c r="G4437" t="s">
        <v>17</v>
      </c>
    </row>
    <row r="4438" spans="1:7" x14ac:dyDescent="0.35">
      <c r="A4438">
        <v>1753</v>
      </c>
      <c r="B4438" s="1">
        <v>45600</v>
      </c>
      <c r="C4438" t="s">
        <v>25</v>
      </c>
      <c r="D4438" s="2">
        <v>166.52</v>
      </c>
      <c r="E4438" s="2">
        <v>0</v>
      </c>
      <c r="F4438" t="s">
        <v>26</v>
      </c>
      <c r="G4438" t="s">
        <v>20</v>
      </c>
    </row>
    <row r="4439" spans="1:7" x14ac:dyDescent="0.35">
      <c r="A4439">
        <v>1753</v>
      </c>
      <c r="B4439" s="1">
        <v>45600</v>
      </c>
      <c r="C4439" t="s">
        <v>25</v>
      </c>
      <c r="D4439" s="2">
        <v>12.49</v>
      </c>
      <c r="E4439" s="2">
        <v>0</v>
      </c>
      <c r="F4439" t="s">
        <v>27</v>
      </c>
      <c r="G4439" t="s">
        <v>9</v>
      </c>
    </row>
    <row r="4440" spans="1:7" x14ac:dyDescent="0.35">
      <c r="A4440">
        <v>1753</v>
      </c>
      <c r="B4440" s="1">
        <v>45600</v>
      </c>
      <c r="C4440" t="s">
        <v>25</v>
      </c>
      <c r="D4440" s="2">
        <v>0</v>
      </c>
      <c r="E4440" s="2">
        <v>179.01</v>
      </c>
      <c r="F4440" t="s">
        <v>28</v>
      </c>
      <c r="G4440" t="s">
        <v>17</v>
      </c>
    </row>
    <row r="4441" spans="1:7" x14ac:dyDescent="0.35">
      <c r="A4441">
        <v>1754</v>
      </c>
      <c r="B4441" s="1">
        <v>45600</v>
      </c>
      <c r="C4441" t="s">
        <v>25</v>
      </c>
      <c r="D4441" s="2">
        <v>2451.5</v>
      </c>
      <c r="E4441" s="2">
        <v>0</v>
      </c>
      <c r="F4441" t="s">
        <v>26</v>
      </c>
      <c r="G4441" t="s">
        <v>20</v>
      </c>
    </row>
    <row r="4442" spans="1:7" x14ac:dyDescent="0.35">
      <c r="A4442">
        <v>1754</v>
      </c>
      <c r="B4442" s="1">
        <v>45600</v>
      </c>
      <c r="C4442" t="s">
        <v>25</v>
      </c>
      <c r="D4442" s="2">
        <v>183.86</v>
      </c>
      <c r="E4442" s="2">
        <v>0</v>
      </c>
      <c r="F4442" t="s">
        <v>27</v>
      </c>
      <c r="G4442" t="s">
        <v>9</v>
      </c>
    </row>
    <row r="4443" spans="1:7" x14ac:dyDescent="0.35">
      <c r="A4443">
        <v>1754</v>
      </c>
      <c r="B4443" s="1">
        <v>45600</v>
      </c>
      <c r="C4443" t="s">
        <v>25</v>
      </c>
      <c r="D4443" s="2">
        <v>0</v>
      </c>
      <c r="E4443" s="2">
        <v>2635.36</v>
      </c>
      <c r="F4443" t="s">
        <v>28</v>
      </c>
      <c r="G4443" t="s">
        <v>17</v>
      </c>
    </row>
    <row r="4444" spans="1:7" x14ac:dyDescent="0.35">
      <c r="A4444">
        <v>1755</v>
      </c>
      <c r="B4444" s="1">
        <v>45600</v>
      </c>
      <c r="C4444" t="s">
        <v>29</v>
      </c>
      <c r="D4444" s="2">
        <v>412.54</v>
      </c>
      <c r="E4444" s="2">
        <v>0</v>
      </c>
      <c r="F4444" t="s">
        <v>28</v>
      </c>
      <c r="G4444" t="s">
        <v>17</v>
      </c>
    </row>
    <row r="4445" spans="1:7" x14ac:dyDescent="0.35">
      <c r="A4445">
        <v>1755</v>
      </c>
      <c r="B4445" s="1">
        <v>45600</v>
      </c>
      <c r="C4445" t="s">
        <v>29</v>
      </c>
      <c r="D4445" s="2">
        <v>0</v>
      </c>
      <c r="E4445" s="2">
        <v>412.54</v>
      </c>
      <c r="F4445" t="s">
        <v>8</v>
      </c>
      <c r="G4445" t="s">
        <v>9</v>
      </c>
    </row>
    <row r="4446" spans="1:7" x14ac:dyDescent="0.35">
      <c r="A4446">
        <v>1756</v>
      </c>
      <c r="B4446" s="1">
        <v>45601</v>
      </c>
      <c r="C4446" t="s">
        <v>12</v>
      </c>
      <c r="D4446" s="2">
        <v>2057.9</v>
      </c>
      <c r="E4446" s="2">
        <v>0</v>
      </c>
      <c r="F4446" t="s">
        <v>13</v>
      </c>
      <c r="G4446" t="s">
        <v>9</v>
      </c>
    </row>
    <row r="4447" spans="1:7" x14ac:dyDescent="0.35">
      <c r="A4447">
        <v>1756</v>
      </c>
      <c r="B4447" s="1">
        <v>45601</v>
      </c>
      <c r="C4447" t="s">
        <v>12</v>
      </c>
      <c r="D4447" s="2">
        <v>0</v>
      </c>
      <c r="E4447" s="2">
        <v>1914.33</v>
      </c>
      <c r="F4447" t="s">
        <v>14</v>
      </c>
      <c r="G4447" t="s">
        <v>15</v>
      </c>
    </row>
    <row r="4448" spans="1:7" x14ac:dyDescent="0.35">
      <c r="A4448">
        <v>1756</v>
      </c>
      <c r="B4448" s="1">
        <v>45601</v>
      </c>
      <c r="C4448" t="s">
        <v>12</v>
      </c>
      <c r="D4448" s="2">
        <v>0</v>
      </c>
      <c r="E4448" s="2">
        <v>143.57</v>
      </c>
      <c r="F4448" t="s">
        <v>16</v>
      </c>
      <c r="G4448" t="s">
        <v>17</v>
      </c>
    </row>
    <row r="4449" spans="1:7" x14ac:dyDescent="0.35">
      <c r="A4449">
        <v>1757</v>
      </c>
      <c r="B4449" s="1">
        <v>45601</v>
      </c>
      <c r="C4449" t="s">
        <v>12</v>
      </c>
      <c r="D4449" s="2">
        <v>5097.12</v>
      </c>
      <c r="E4449" s="2">
        <v>0</v>
      </c>
      <c r="F4449" t="s">
        <v>13</v>
      </c>
      <c r="G4449" t="s">
        <v>9</v>
      </c>
    </row>
    <row r="4450" spans="1:7" x14ac:dyDescent="0.35">
      <c r="A4450">
        <v>1757</v>
      </c>
      <c r="B4450" s="1">
        <v>45601</v>
      </c>
      <c r="C4450" t="s">
        <v>12</v>
      </c>
      <c r="D4450" s="2">
        <v>0</v>
      </c>
      <c r="E4450" s="2">
        <v>4741.51</v>
      </c>
      <c r="F4450" t="s">
        <v>14</v>
      </c>
      <c r="G4450" t="s">
        <v>15</v>
      </c>
    </row>
    <row r="4451" spans="1:7" x14ac:dyDescent="0.35">
      <c r="A4451">
        <v>1757</v>
      </c>
      <c r="B4451" s="1">
        <v>45601</v>
      </c>
      <c r="C4451" t="s">
        <v>12</v>
      </c>
      <c r="D4451" s="2">
        <v>0</v>
      </c>
      <c r="E4451" s="2">
        <v>355.61</v>
      </c>
      <c r="F4451" t="s">
        <v>16</v>
      </c>
      <c r="G4451" t="s">
        <v>17</v>
      </c>
    </row>
    <row r="4452" spans="1:7" x14ac:dyDescent="0.35">
      <c r="A4452">
        <v>1758</v>
      </c>
      <c r="B4452" s="1">
        <v>45601</v>
      </c>
      <c r="C4452" t="s">
        <v>12</v>
      </c>
      <c r="D4452" s="2">
        <v>5147.42</v>
      </c>
      <c r="E4452" s="2">
        <v>0</v>
      </c>
      <c r="F4452" t="s">
        <v>13</v>
      </c>
      <c r="G4452" t="s">
        <v>9</v>
      </c>
    </row>
    <row r="4453" spans="1:7" x14ac:dyDescent="0.35">
      <c r="A4453">
        <v>1758</v>
      </c>
      <c r="B4453" s="1">
        <v>45601</v>
      </c>
      <c r="C4453" t="s">
        <v>12</v>
      </c>
      <c r="D4453" s="2">
        <v>0</v>
      </c>
      <c r="E4453" s="2">
        <v>4788.3</v>
      </c>
      <c r="F4453" t="s">
        <v>14</v>
      </c>
      <c r="G4453" t="s">
        <v>15</v>
      </c>
    </row>
    <row r="4454" spans="1:7" x14ac:dyDescent="0.35">
      <c r="A4454">
        <v>1758</v>
      </c>
      <c r="B4454" s="1">
        <v>45601</v>
      </c>
      <c r="C4454" t="s">
        <v>12</v>
      </c>
      <c r="D4454" s="2">
        <v>0</v>
      </c>
      <c r="E4454" s="2">
        <v>359.12</v>
      </c>
      <c r="F4454" t="s">
        <v>16</v>
      </c>
      <c r="G4454" t="s">
        <v>17</v>
      </c>
    </row>
    <row r="4455" spans="1:7" x14ac:dyDescent="0.35">
      <c r="A4455">
        <v>1759</v>
      </c>
      <c r="B4455" s="1">
        <v>45601</v>
      </c>
      <c r="C4455" t="s">
        <v>12</v>
      </c>
      <c r="D4455" s="2">
        <v>4508.43</v>
      </c>
      <c r="E4455" s="2">
        <v>0</v>
      </c>
      <c r="F4455" t="s">
        <v>13</v>
      </c>
      <c r="G4455" t="s">
        <v>9</v>
      </c>
    </row>
    <row r="4456" spans="1:7" x14ac:dyDescent="0.35">
      <c r="A4456">
        <v>1759</v>
      </c>
      <c r="B4456" s="1">
        <v>45601</v>
      </c>
      <c r="C4456" t="s">
        <v>12</v>
      </c>
      <c r="D4456" s="2">
        <v>0</v>
      </c>
      <c r="E4456" s="2">
        <v>4193.8900000000003</v>
      </c>
      <c r="F4456" t="s">
        <v>14</v>
      </c>
      <c r="G4456" t="s">
        <v>15</v>
      </c>
    </row>
    <row r="4457" spans="1:7" x14ac:dyDescent="0.35">
      <c r="A4457">
        <v>1759</v>
      </c>
      <c r="B4457" s="1">
        <v>45601</v>
      </c>
      <c r="C4457" t="s">
        <v>12</v>
      </c>
      <c r="D4457" s="2">
        <v>0</v>
      </c>
      <c r="E4457" s="2">
        <v>314.54000000000002</v>
      </c>
      <c r="F4457" t="s">
        <v>16</v>
      </c>
      <c r="G4457" t="s">
        <v>17</v>
      </c>
    </row>
    <row r="4458" spans="1:7" x14ac:dyDescent="0.35">
      <c r="A4458">
        <v>1760</v>
      </c>
      <c r="B4458" s="1">
        <v>45601</v>
      </c>
      <c r="C4458" t="s">
        <v>12</v>
      </c>
      <c r="D4458" s="2">
        <v>442.08</v>
      </c>
      <c r="E4458" s="2">
        <v>0</v>
      </c>
      <c r="F4458" t="s">
        <v>13</v>
      </c>
      <c r="G4458" t="s">
        <v>9</v>
      </c>
    </row>
    <row r="4459" spans="1:7" x14ac:dyDescent="0.35">
      <c r="A4459">
        <v>1760</v>
      </c>
      <c r="B4459" s="1">
        <v>45601</v>
      </c>
      <c r="C4459" t="s">
        <v>12</v>
      </c>
      <c r="D4459" s="2">
        <v>0</v>
      </c>
      <c r="E4459" s="2">
        <v>411.23</v>
      </c>
      <c r="F4459" t="s">
        <v>14</v>
      </c>
      <c r="G4459" t="s">
        <v>15</v>
      </c>
    </row>
    <row r="4460" spans="1:7" x14ac:dyDescent="0.35">
      <c r="A4460">
        <v>1760</v>
      </c>
      <c r="B4460" s="1">
        <v>45601</v>
      </c>
      <c r="C4460" t="s">
        <v>12</v>
      </c>
      <c r="D4460" s="2">
        <v>0</v>
      </c>
      <c r="E4460" s="2">
        <v>30.85</v>
      </c>
      <c r="F4460" t="s">
        <v>16</v>
      </c>
      <c r="G4460" t="s">
        <v>17</v>
      </c>
    </row>
    <row r="4461" spans="1:7" x14ac:dyDescent="0.35">
      <c r="A4461">
        <v>1761</v>
      </c>
      <c r="B4461" s="1">
        <v>45601</v>
      </c>
      <c r="C4461" t="s">
        <v>12</v>
      </c>
      <c r="D4461" s="2">
        <v>1580.57</v>
      </c>
      <c r="E4461" s="2">
        <v>0</v>
      </c>
      <c r="F4461" t="s">
        <v>13</v>
      </c>
      <c r="G4461" t="s">
        <v>9</v>
      </c>
    </row>
    <row r="4462" spans="1:7" x14ac:dyDescent="0.35">
      <c r="A4462">
        <v>1761</v>
      </c>
      <c r="B4462" s="1">
        <v>45601</v>
      </c>
      <c r="C4462" t="s">
        <v>12</v>
      </c>
      <c r="D4462" s="2">
        <v>0</v>
      </c>
      <c r="E4462" s="2">
        <v>1470.29</v>
      </c>
      <c r="F4462" t="s">
        <v>14</v>
      </c>
      <c r="G4462" t="s">
        <v>15</v>
      </c>
    </row>
    <row r="4463" spans="1:7" x14ac:dyDescent="0.35">
      <c r="A4463">
        <v>1761</v>
      </c>
      <c r="B4463" s="1">
        <v>45601</v>
      </c>
      <c r="C4463" t="s">
        <v>12</v>
      </c>
      <c r="D4463" s="2">
        <v>0</v>
      </c>
      <c r="E4463" s="2">
        <v>110.28</v>
      </c>
      <c r="F4463" t="s">
        <v>16</v>
      </c>
      <c r="G4463" t="s">
        <v>17</v>
      </c>
    </row>
    <row r="4464" spans="1:7" x14ac:dyDescent="0.35">
      <c r="A4464">
        <v>1762</v>
      </c>
      <c r="B4464" s="1">
        <v>45601</v>
      </c>
      <c r="C4464" t="s">
        <v>12</v>
      </c>
      <c r="D4464" s="2">
        <v>3754.19</v>
      </c>
      <c r="E4464" s="2">
        <v>0</v>
      </c>
      <c r="F4464" t="s">
        <v>13</v>
      </c>
      <c r="G4464" t="s">
        <v>9</v>
      </c>
    </row>
    <row r="4465" spans="1:7" x14ac:dyDescent="0.35">
      <c r="A4465">
        <v>1762</v>
      </c>
      <c r="B4465" s="1">
        <v>45601</v>
      </c>
      <c r="C4465" t="s">
        <v>12</v>
      </c>
      <c r="D4465" s="2">
        <v>0</v>
      </c>
      <c r="E4465" s="2">
        <v>3492.27</v>
      </c>
      <c r="F4465" t="s">
        <v>14</v>
      </c>
      <c r="G4465" t="s">
        <v>15</v>
      </c>
    </row>
    <row r="4466" spans="1:7" x14ac:dyDescent="0.35">
      <c r="A4466">
        <v>1762</v>
      </c>
      <c r="B4466" s="1">
        <v>45601</v>
      </c>
      <c r="C4466" t="s">
        <v>12</v>
      </c>
      <c r="D4466" s="2">
        <v>0</v>
      </c>
      <c r="E4466" s="2">
        <v>261.92</v>
      </c>
      <c r="F4466" t="s">
        <v>16</v>
      </c>
      <c r="G4466" t="s">
        <v>17</v>
      </c>
    </row>
    <row r="4467" spans="1:7" x14ac:dyDescent="0.35">
      <c r="A4467">
        <v>1763</v>
      </c>
      <c r="B4467" s="1">
        <v>45601</v>
      </c>
      <c r="C4467" t="s">
        <v>12</v>
      </c>
      <c r="D4467" s="2">
        <v>2246.23</v>
      </c>
      <c r="E4467" s="2">
        <v>0</v>
      </c>
      <c r="F4467" t="s">
        <v>13</v>
      </c>
      <c r="G4467" t="s">
        <v>9</v>
      </c>
    </row>
    <row r="4468" spans="1:7" x14ac:dyDescent="0.35">
      <c r="A4468">
        <v>1763</v>
      </c>
      <c r="B4468" s="1">
        <v>45601</v>
      </c>
      <c r="C4468" t="s">
        <v>12</v>
      </c>
      <c r="D4468" s="2">
        <v>0</v>
      </c>
      <c r="E4468" s="2">
        <v>2089.5100000000002</v>
      </c>
      <c r="F4468" t="s">
        <v>14</v>
      </c>
      <c r="G4468" t="s">
        <v>15</v>
      </c>
    </row>
    <row r="4469" spans="1:7" x14ac:dyDescent="0.35">
      <c r="A4469">
        <v>1763</v>
      </c>
      <c r="B4469" s="1">
        <v>45601</v>
      </c>
      <c r="C4469" t="s">
        <v>12</v>
      </c>
      <c r="D4469" s="2">
        <v>0</v>
      </c>
      <c r="E4469" s="2">
        <v>156.72</v>
      </c>
      <c r="F4469" t="s">
        <v>16</v>
      </c>
      <c r="G4469" t="s">
        <v>17</v>
      </c>
    </row>
    <row r="4470" spans="1:7" x14ac:dyDescent="0.35">
      <c r="A4470">
        <v>1764</v>
      </c>
      <c r="B4470" s="1">
        <v>45601</v>
      </c>
      <c r="C4470" t="s">
        <v>12</v>
      </c>
      <c r="D4470" s="2">
        <v>4527.1499999999996</v>
      </c>
      <c r="E4470" s="2">
        <v>0</v>
      </c>
      <c r="F4470" t="s">
        <v>13</v>
      </c>
      <c r="G4470" t="s">
        <v>9</v>
      </c>
    </row>
    <row r="4471" spans="1:7" x14ac:dyDescent="0.35">
      <c r="A4471">
        <v>1764</v>
      </c>
      <c r="B4471" s="1">
        <v>45601</v>
      </c>
      <c r="C4471" t="s">
        <v>12</v>
      </c>
      <c r="D4471" s="2">
        <v>0</v>
      </c>
      <c r="E4471" s="2">
        <v>4211.3</v>
      </c>
      <c r="F4471" t="s">
        <v>14</v>
      </c>
      <c r="G4471" t="s">
        <v>15</v>
      </c>
    </row>
    <row r="4472" spans="1:7" x14ac:dyDescent="0.35">
      <c r="A4472">
        <v>1764</v>
      </c>
      <c r="B4472" s="1">
        <v>45601</v>
      </c>
      <c r="C4472" t="s">
        <v>12</v>
      </c>
      <c r="D4472" s="2">
        <v>0</v>
      </c>
      <c r="E4472" s="2">
        <v>315.85000000000002</v>
      </c>
      <c r="F4472" t="s">
        <v>16</v>
      </c>
      <c r="G4472" t="s">
        <v>17</v>
      </c>
    </row>
    <row r="4473" spans="1:7" x14ac:dyDescent="0.35">
      <c r="A4473">
        <v>1765</v>
      </c>
      <c r="B4473" s="1">
        <v>45601</v>
      </c>
      <c r="C4473" t="s">
        <v>24</v>
      </c>
      <c r="D4473" s="2">
        <v>40.5</v>
      </c>
      <c r="E4473" s="2">
        <v>0</v>
      </c>
      <c r="F4473" t="s">
        <v>8</v>
      </c>
      <c r="G4473" t="s">
        <v>9</v>
      </c>
    </row>
    <row r="4474" spans="1:7" x14ac:dyDescent="0.35">
      <c r="A4474">
        <v>1765</v>
      </c>
      <c r="B4474" s="1">
        <v>45601</v>
      </c>
      <c r="C4474" t="s">
        <v>24</v>
      </c>
      <c r="D4474" s="2">
        <v>0</v>
      </c>
      <c r="E4474" s="2">
        <v>40.5</v>
      </c>
      <c r="F4474" t="s">
        <v>13</v>
      </c>
      <c r="G4474" t="s">
        <v>9</v>
      </c>
    </row>
    <row r="4475" spans="1:7" x14ac:dyDescent="0.35">
      <c r="A4475">
        <v>1766</v>
      </c>
      <c r="B4475" s="1">
        <v>45601</v>
      </c>
      <c r="C4475" t="s">
        <v>24</v>
      </c>
      <c r="D4475" s="2">
        <v>3325.87</v>
      </c>
      <c r="E4475" s="2">
        <v>0</v>
      </c>
      <c r="F4475" t="s">
        <v>8</v>
      </c>
      <c r="G4475" t="s">
        <v>9</v>
      </c>
    </row>
    <row r="4476" spans="1:7" x14ac:dyDescent="0.35">
      <c r="A4476">
        <v>1766</v>
      </c>
      <c r="B4476" s="1">
        <v>45601</v>
      </c>
      <c r="C4476" t="s">
        <v>24</v>
      </c>
      <c r="D4476" s="2">
        <v>0</v>
      </c>
      <c r="E4476" s="2">
        <v>3325.87</v>
      </c>
      <c r="F4476" t="s">
        <v>13</v>
      </c>
      <c r="G4476" t="s">
        <v>9</v>
      </c>
    </row>
    <row r="4477" spans="1:7" x14ac:dyDescent="0.35">
      <c r="A4477">
        <v>1767</v>
      </c>
      <c r="B4477" s="1">
        <v>45601</v>
      </c>
      <c r="C4477" t="s">
        <v>24</v>
      </c>
      <c r="D4477" s="2">
        <v>663.77</v>
      </c>
      <c r="E4477" s="2">
        <v>0</v>
      </c>
      <c r="F4477" t="s">
        <v>8</v>
      </c>
      <c r="G4477" t="s">
        <v>9</v>
      </c>
    </row>
    <row r="4478" spans="1:7" x14ac:dyDescent="0.35">
      <c r="A4478">
        <v>1767</v>
      </c>
      <c r="B4478" s="1">
        <v>45601</v>
      </c>
      <c r="C4478" t="s">
        <v>24</v>
      </c>
      <c r="D4478" s="2">
        <v>0</v>
      </c>
      <c r="E4478" s="2">
        <v>663.77</v>
      </c>
      <c r="F4478" t="s">
        <v>13</v>
      </c>
      <c r="G4478" t="s">
        <v>9</v>
      </c>
    </row>
    <row r="4479" spans="1:7" x14ac:dyDescent="0.35">
      <c r="A4479">
        <v>1768</v>
      </c>
      <c r="B4479" s="1">
        <v>45601</v>
      </c>
      <c r="C4479" t="s">
        <v>24</v>
      </c>
      <c r="D4479" s="2">
        <v>306.16000000000003</v>
      </c>
      <c r="E4479" s="2">
        <v>0</v>
      </c>
      <c r="F4479" t="s">
        <v>8</v>
      </c>
      <c r="G4479" t="s">
        <v>9</v>
      </c>
    </row>
    <row r="4480" spans="1:7" x14ac:dyDescent="0.35">
      <c r="A4480">
        <v>1768</v>
      </c>
      <c r="B4480" s="1">
        <v>45601</v>
      </c>
      <c r="C4480" t="s">
        <v>24</v>
      </c>
      <c r="D4480" s="2">
        <v>0</v>
      </c>
      <c r="E4480" s="2">
        <v>306.16000000000003</v>
      </c>
      <c r="F4480" t="s">
        <v>13</v>
      </c>
      <c r="G4480" t="s">
        <v>9</v>
      </c>
    </row>
    <row r="4481" spans="1:7" x14ac:dyDescent="0.35">
      <c r="A4481">
        <v>1769</v>
      </c>
      <c r="B4481" s="1">
        <v>45601</v>
      </c>
      <c r="C4481" t="s">
        <v>24</v>
      </c>
      <c r="D4481" s="2">
        <v>1018.47</v>
      </c>
      <c r="E4481" s="2">
        <v>0</v>
      </c>
      <c r="F4481" t="s">
        <v>8</v>
      </c>
      <c r="G4481" t="s">
        <v>9</v>
      </c>
    </row>
    <row r="4482" spans="1:7" x14ac:dyDescent="0.35">
      <c r="A4482">
        <v>1769</v>
      </c>
      <c r="B4482" s="1">
        <v>45601</v>
      </c>
      <c r="C4482" t="s">
        <v>24</v>
      </c>
      <c r="D4482" s="2">
        <v>0</v>
      </c>
      <c r="E4482" s="2">
        <v>1018.47</v>
      </c>
      <c r="F4482" t="s">
        <v>13</v>
      </c>
      <c r="G4482" t="s">
        <v>9</v>
      </c>
    </row>
    <row r="4483" spans="1:7" x14ac:dyDescent="0.35">
      <c r="A4483">
        <v>1770</v>
      </c>
      <c r="B4483" s="1">
        <v>45601</v>
      </c>
      <c r="C4483" t="s">
        <v>24</v>
      </c>
      <c r="D4483" s="2">
        <v>2356.48</v>
      </c>
      <c r="E4483" s="2">
        <v>0</v>
      </c>
      <c r="F4483" t="s">
        <v>8</v>
      </c>
      <c r="G4483" t="s">
        <v>9</v>
      </c>
    </row>
    <row r="4484" spans="1:7" x14ac:dyDescent="0.35">
      <c r="A4484">
        <v>1770</v>
      </c>
      <c r="B4484" s="1">
        <v>45601</v>
      </c>
      <c r="C4484" t="s">
        <v>24</v>
      </c>
      <c r="D4484" s="2">
        <v>0</v>
      </c>
      <c r="E4484" s="2">
        <v>2356.48</v>
      </c>
      <c r="F4484" t="s">
        <v>13</v>
      </c>
      <c r="G4484" t="s">
        <v>9</v>
      </c>
    </row>
    <row r="4485" spans="1:7" x14ac:dyDescent="0.35">
      <c r="A4485">
        <v>1771</v>
      </c>
      <c r="B4485" s="1">
        <v>45601</v>
      </c>
      <c r="C4485" t="s">
        <v>24</v>
      </c>
      <c r="D4485" s="2">
        <v>70.709999999999994</v>
      </c>
      <c r="E4485" s="2">
        <v>0</v>
      </c>
      <c r="F4485" t="s">
        <v>8</v>
      </c>
      <c r="G4485" t="s">
        <v>9</v>
      </c>
    </row>
    <row r="4486" spans="1:7" x14ac:dyDescent="0.35">
      <c r="A4486">
        <v>1771</v>
      </c>
      <c r="B4486" s="1">
        <v>45601</v>
      </c>
      <c r="C4486" t="s">
        <v>24</v>
      </c>
      <c r="D4486" s="2">
        <v>0</v>
      </c>
      <c r="E4486" s="2">
        <v>70.709999999999994</v>
      </c>
      <c r="F4486" t="s">
        <v>13</v>
      </c>
      <c r="G4486" t="s">
        <v>9</v>
      </c>
    </row>
    <row r="4487" spans="1:7" x14ac:dyDescent="0.35">
      <c r="A4487">
        <v>1772</v>
      </c>
      <c r="B4487" s="1">
        <v>45601</v>
      </c>
      <c r="C4487" t="s">
        <v>24</v>
      </c>
      <c r="D4487" s="2">
        <v>1815.84</v>
      </c>
      <c r="E4487" s="2">
        <v>0</v>
      </c>
      <c r="F4487" t="s">
        <v>8</v>
      </c>
      <c r="G4487" t="s">
        <v>9</v>
      </c>
    </row>
    <row r="4488" spans="1:7" x14ac:dyDescent="0.35">
      <c r="A4488">
        <v>1772</v>
      </c>
      <c r="B4488" s="1">
        <v>45601</v>
      </c>
      <c r="C4488" t="s">
        <v>24</v>
      </c>
      <c r="D4488" s="2">
        <v>0</v>
      </c>
      <c r="E4488" s="2">
        <v>1815.84</v>
      </c>
      <c r="F4488" t="s">
        <v>13</v>
      </c>
      <c r="G4488" t="s">
        <v>9</v>
      </c>
    </row>
    <row r="4489" spans="1:7" x14ac:dyDescent="0.35">
      <c r="A4489">
        <v>1773</v>
      </c>
      <c r="B4489" s="1">
        <v>45601</v>
      </c>
      <c r="C4489" t="s">
        <v>24</v>
      </c>
      <c r="D4489" s="2">
        <v>1844.6</v>
      </c>
      <c r="E4489" s="2">
        <v>0</v>
      </c>
      <c r="F4489" t="s">
        <v>8</v>
      </c>
      <c r="G4489" t="s">
        <v>9</v>
      </c>
    </row>
    <row r="4490" spans="1:7" x14ac:dyDescent="0.35">
      <c r="A4490">
        <v>1773</v>
      </c>
      <c r="B4490" s="1">
        <v>45601</v>
      </c>
      <c r="C4490" t="s">
        <v>24</v>
      </c>
      <c r="D4490" s="2">
        <v>0</v>
      </c>
      <c r="E4490" s="2">
        <v>1844.6</v>
      </c>
      <c r="F4490" t="s">
        <v>13</v>
      </c>
      <c r="G4490" t="s">
        <v>9</v>
      </c>
    </row>
    <row r="4491" spans="1:7" x14ac:dyDescent="0.35">
      <c r="A4491">
        <v>1774</v>
      </c>
      <c r="B4491" s="1">
        <v>45601</v>
      </c>
      <c r="C4491" t="s">
        <v>29</v>
      </c>
      <c r="D4491" s="2">
        <v>179.01</v>
      </c>
      <c r="E4491" s="2">
        <v>0</v>
      </c>
      <c r="F4491" t="s">
        <v>28</v>
      </c>
      <c r="G4491" t="s">
        <v>17</v>
      </c>
    </row>
    <row r="4492" spans="1:7" x14ac:dyDescent="0.35">
      <c r="A4492">
        <v>1774</v>
      </c>
      <c r="B4492" s="1">
        <v>45601</v>
      </c>
      <c r="C4492" t="s">
        <v>29</v>
      </c>
      <c r="D4492" s="2">
        <v>0</v>
      </c>
      <c r="E4492" s="2">
        <v>179.01</v>
      </c>
      <c r="F4492" t="s">
        <v>8</v>
      </c>
      <c r="G4492" t="s">
        <v>9</v>
      </c>
    </row>
    <row r="4493" spans="1:7" x14ac:dyDescent="0.35">
      <c r="A4493">
        <v>1775</v>
      </c>
      <c r="B4493" s="1">
        <v>45602</v>
      </c>
      <c r="C4493" t="s">
        <v>12</v>
      </c>
      <c r="D4493" s="2">
        <v>679.51</v>
      </c>
      <c r="E4493" s="2">
        <v>0</v>
      </c>
      <c r="F4493" t="s">
        <v>13</v>
      </c>
      <c r="G4493" t="s">
        <v>9</v>
      </c>
    </row>
    <row r="4494" spans="1:7" x14ac:dyDescent="0.35">
      <c r="A4494">
        <v>1775</v>
      </c>
      <c r="B4494" s="1">
        <v>45602</v>
      </c>
      <c r="C4494" t="s">
        <v>12</v>
      </c>
      <c r="D4494" s="2">
        <v>0</v>
      </c>
      <c r="E4494" s="2">
        <v>632.1</v>
      </c>
      <c r="F4494" t="s">
        <v>14</v>
      </c>
      <c r="G4494" t="s">
        <v>15</v>
      </c>
    </row>
    <row r="4495" spans="1:7" x14ac:dyDescent="0.35">
      <c r="A4495">
        <v>1775</v>
      </c>
      <c r="B4495" s="1">
        <v>45602</v>
      </c>
      <c r="C4495" t="s">
        <v>12</v>
      </c>
      <c r="D4495" s="2">
        <v>0</v>
      </c>
      <c r="E4495" s="2">
        <v>47.41</v>
      </c>
      <c r="F4495" t="s">
        <v>16</v>
      </c>
      <c r="G4495" t="s">
        <v>17</v>
      </c>
    </row>
    <row r="4496" spans="1:7" x14ac:dyDescent="0.35">
      <c r="A4496">
        <v>1776</v>
      </c>
      <c r="B4496" s="1">
        <v>45602</v>
      </c>
      <c r="C4496" t="s">
        <v>12</v>
      </c>
      <c r="D4496" s="2">
        <v>223.85</v>
      </c>
      <c r="E4496" s="2">
        <v>0</v>
      </c>
      <c r="F4496" t="s">
        <v>13</v>
      </c>
      <c r="G4496" t="s">
        <v>9</v>
      </c>
    </row>
    <row r="4497" spans="1:7" x14ac:dyDescent="0.35">
      <c r="A4497">
        <v>1776</v>
      </c>
      <c r="B4497" s="1">
        <v>45602</v>
      </c>
      <c r="C4497" t="s">
        <v>12</v>
      </c>
      <c r="D4497" s="2">
        <v>0</v>
      </c>
      <c r="E4497" s="2">
        <v>208.23</v>
      </c>
      <c r="F4497" t="s">
        <v>14</v>
      </c>
      <c r="G4497" t="s">
        <v>15</v>
      </c>
    </row>
    <row r="4498" spans="1:7" x14ac:dyDescent="0.35">
      <c r="A4498">
        <v>1776</v>
      </c>
      <c r="B4498" s="1">
        <v>45602</v>
      </c>
      <c r="C4498" t="s">
        <v>12</v>
      </c>
      <c r="D4498" s="2">
        <v>0</v>
      </c>
      <c r="E4498" s="2">
        <v>15.62</v>
      </c>
      <c r="F4498" t="s">
        <v>16</v>
      </c>
      <c r="G4498" t="s">
        <v>17</v>
      </c>
    </row>
    <row r="4499" spans="1:7" x14ac:dyDescent="0.35">
      <c r="A4499">
        <v>1777</v>
      </c>
      <c r="B4499" s="1">
        <v>45602</v>
      </c>
      <c r="C4499" t="s">
        <v>12</v>
      </c>
      <c r="D4499" s="2">
        <v>289.08999999999997</v>
      </c>
      <c r="E4499" s="2">
        <v>0</v>
      </c>
      <c r="F4499" t="s">
        <v>13</v>
      </c>
      <c r="G4499" t="s">
        <v>9</v>
      </c>
    </row>
    <row r="4500" spans="1:7" x14ac:dyDescent="0.35">
      <c r="A4500">
        <v>1777</v>
      </c>
      <c r="B4500" s="1">
        <v>45602</v>
      </c>
      <c r="C4500" t="s">
        <v>12</v>
      </c>
      <c r="D4500" s="2">
        <v>0</v>
      </c>
      <c r="E4500" s="2">
        <v>268.92</v>
      </c>
      <c r="F4500" t="s">
        <v>14</v>
      </c>
      <c r="G4500" t="s">
        <v>15</v>
      </c>
    </row>
    <row r="4501" spans="1:7" x14ac:dyDescent="0.35">
      <c r="A4501">
        <v>1777</v>
      </c>
      <c r="B4501" s="1">
        <v>45602</v>
      </c>
      <c r="C4501" t="s">
        <v>12</v>
      </c>
      <c r="D4501" s="2">
        <v>0</v>
      </c>
      <c r="E4501" s="2">
        <v>20.170000000000002</v>
      </c>
      <c r="F4501" t="s">
        <v>16</v>
      </c>
      <c r="G4501" t="s">
        <v>17</v>
      </c>
    </row>
    <row r="4502" spans="1:7" x14ac:dyDescent="0.35">
      <c r="A4502">
        <v>1778</v>
      </c>
      <c r="B4502" s="1">
        <v>45602</v>
      </c>
      <c r="C4502" t="s">
        <v>12</v>
      </c>
      <c r="D4502" s="2">
        <v>2933.11</v>
      </c>
      <c r="E4502" s="2">
        <v>0</v>
      </c>
      <c r="F4502" t="s">
        <v>13</v>
      </c>
      <c r="G4502" t="s">
        <v>9</v>
      </c>
    </row>
    <row r="4503" spans="1:7" x14ac:dyDescent="0.35">
      <c r="A4503">
        <v>1778</v>
      </c>
      <c r="B4503" s="1">
        <v>45602</v>
      </c>
      <c r="C4503" t="s">
        <v>12</v>
      </c>
      <c r="D4503" s="2">
        <v>0</v>
      </c>
      <c r="E4503" s="2">
        <v>2728.48</v>
      </c>
      <c r="F4503" t="s">
        <v>14</v>
      </c>
      <c r="G4503" t="s">
        <v>15</v>
      </c>
    </row>
    <row r="4504" spans="1:7" x14ac:dyDescent="0.35">
      <c r="A4504">
        <v>1778</v>
      </c>
      <c r="B4504" s="1">
        <v>45602</v>
      </c>
      <c r="C4504" t="s">
        <v>12</v>
      </c>
      <c r="D4504" s="2">
        <v>0</v>
      </c>
      <c r="E4504" s="2">
        <v>204.63</v>
      </c>
      <c r="F4504" t="s">
        <v>16</v>
      </c>
      <c r="G4504" t="s">
        <v>17</v>
      </c>
    </row>
    <row r="4505" spans="1:7" x14ac:dyDescent="0.35">
      <c r="A4505">
        <v>1779</v>
      </c>
      <c r="B4505" s="1">
        <v>45602</v>
      </c>
      <c r="C4505" t="s">
        <v>24</v>
      </c>
      <c r="D4505" s="2">
        <v>218.11</v>
      </c>
      <c r="E4505" s="2">
        <v>0</v>
      </c>
      <c r="F4505" t="s">
        <v>8</v>
      </c>
      <c r="G4505" t="s">
        <v>9</v>
      </c>
    </row>
    <row r="4506" spans="1:7" x14ac:dyDescent="0.35">
      <c r="A4506">
        <v>1779</v>
      </c>
      <c r="B4506" s="1">
        <v>45602</v>
      </c>
      <c r="C4506" t="s">
        <v>24</v>
      </c>
      <c r="D4506" s="2">
        <v>0</v>
      </c>
      <c r="E4506" s="2">
        <v>218.11</v>
      </c>
      <c r="F4506" t="s">
        <v>13</v>
      </c>
      <c r="G4506" t="s">
        <v>9</v>
      </c>
    </row>
    <row r="4507" spans="1:7" x14ac:dyDescent="0.35">
      <c r="A4507">
        <v>1780</v>
      </c>
      <c r="B4507" s="1">
        <v>45602</v>
      </c>
      <c r="C4507" t="s">
        <v>24</v>
      </c>
      <c r="D4507" s="2">
        <v>3695.13</v>
      </c>
      <c r="E4507" s="2">
        <v>0</v>
      </c>
      <c r="F4507" t="s">
        <v>8</v>
      </c>
      <c r="G4507" t="s">
        <v>9</v>
      </c>
    </row>
    <row r="4508" spans="1:7" x14ac:dyDescent="0.35">
      <c r="A4508">
        <v>1780</v>
      </c>
      <c r="B4508" s="1">
        <v>45602</v>
      </c>
      <c r="C4508" t="s">
        <v>24</v>
      </c>
      <c r="D4508" s="2">
        <v>0</v>
      </c>
      <c r="E4508" s="2">
        <v>3695.13</v>
      </c>
      <c r="F4508" t="s">
        <v>13</v>
      </c>
      <c r="G4508" t="s">
        <v>9</v>
      </c>
    </row>
    <row r="4509" spans="1:7" x14ac:dyDescent="0.35">
      <c r="A4509">
        <v>1781</v>
      </c>
      <c r="B4509" s="1">
        <v>45602</v>
      </c>
      <c r="C4509" t="s">
        <v>24</v>
      </c>
      <c r="D4509" s="2">
        <v>2665.7</v>
      </c>
      <c r="E4509" s="2">
        <v>0</v>
      </c>
      <c r="F4509" t="s">
        <v>8</v>
      </c>
      <c r="G4509" t="s">
        <v>9</v>
      </c>
    </row>
    <row r="4510" spans="1:7" x14ac:dyDescent="0.35">
      <c r="A4510">
        <v>1781</v>
      </c>
      <c r="B4510" s="1">
        <v>45602</v>
      </c>
      <c r="C4510" t="s">
        <v>24</v>
      </c>
      <c r="D4510" s="2">
        <v>0</v>
      </c>
      <c r="E4510" s="2">
        <v>2665.7</v>
      </c>
      <c r="F4510" t="s">
        <v>13</v>
      </c>
      <c r="G4510" t="s">
        <v>9</v>
      </c>
    </row>
    <row r="4511" spans="1:7" x14ac:dyDescent="0.35">
      <c r="A4511">
        <v>1782</v>
      </c>
      <c r="B4511" s="1">
        <v>45602</v>
      </c>
      <c r="C4511" t="s">
        <v>24</v>
      </c>
      <c r="D4511" s="2">
        <v>679.51</v>
      </c>
      <c r="E4511" s="2">
        <v>0</v>
      </c>
      <c r="F4511" t="s">
        <v>8</v>
      </c>
      <c r="G4511" t="s">
        <v>9</v>
      </c>
    </row>
    <row r="4512" spans="1:7" x14ac:dyDescent="0.35">
      <c r="A4512">
        <v>1782</v>
      </c>
      <c r="B4512" s="1">
        <v>45602</v>
      </c>
      <c r="C4512" t="s">
        <v>24</v>
      </c>
      <c r="D4512" s="2">
        <v>0</v>
      </c>
      <c r="E4512" s="2">
        <v>679.51</v>
      </c>
      <c r="F4512" t="s">
        <v>13</v>
      </c>
      <c r="G4512" t="s">
        <v>9</v>
      </c>
    </row>
    <row r="4513" spans="1:7" x14ac:dyDescent="0.35">
      <c r="A4513">
        <v>1783</v>
      </c>
      <c r="B4513" s="1">
        <v>45602</v>
      </c>
      <c r="C4513" t="s">
        <v>25</v>
      </c>
      <c r="D4513" s="2">
        <v>1480.5</v>
      </c>
      <c r="E4513" s="2">
        <v>0</v>
      </c>
      <c r="F4513" t="s">
        <v>26</v>
      </c>
      <c r="G4513" t="s">
        <v>20</v>
      </c>
    </row>
    <row r="4514" spans="1:7" x14ac:dyDescent="0.35">
      <c r="A4514">
        <v>1783</v>
      </c>
      <c r="B4514" s="1">
        <v>45602</v>
      </c>
      <c r="C4514" t="s">
        <v>25</v>
      </c>
      <c r="D4514" s="2">
        <v>111.04</v>
      </c>
      <c r="E4514" s="2">
        <v>0</v>
      </c>
      <c r="F4514" t="s">
        <v>27</v>
      </c>
      <c r="G4514" t="s">
        <v>9</v>
      </c>
    </row>
    <row r="4515" spans="1:7" x14ac:dyDescent="0.35">
      <c r="A4515">
        <v>1783</v>
      </c>
      <c r="B4515" s="1">
        <v>45602</v>
      </c>
      <c r="C4515" t="s">
        <v>25</v>
      </c>
      <c r="D4515" s="2">
        <v>0</v>
      </c>
      <c r="E4515" s="2">
        <v>1591.54</v>
      </c>
      <c r="F4515" t="s">
        <v>28</v>
      </c>
      <c r="G4515" t="s">
        <v>17</v>
      </c>
    </row>
    <row r="4516" spans="1:7" x14ac:dyDescent="0.35">
      <c r="A4516">
        <v>1784</v>
      </c>
      <c r="B4516" s="1">
        <v>45602</v>
      </c>
      <c r="C4516" t="s">
        <v>29</v>
      </c>
      <c r="D4516" s="2">
        <v>201.5</v>
      </c>
      <c r="E4516" s="2">
        <v>0</v>
      </c>
      <c r="F4516" t="s">
        <v>28</v>
      </c>
      <c r="G4516" t="s">
        <v>17</v>
      </c>
    </row>
    <row r="4517" spans="1:7" x14ac:dyDescent="0.35">
      <c r="A4517">
        <v>1784</v>
      </c>
      <c r="B4517" s="1">
        <v>45602</v>
      </c>
      <c r="C4517" t="s">
        <v>29</v>
      </c>
      <c r="D4517" s="2">
        <v>0</v>
      </c>
      <c r="E4517" s="2">
        <v>201.5</v>
      </c>
      <c r="F4517" t="s">
        <v>8</v>
      </c>
      <c r="G4517" t="s">
        <v>9</v>
      </c>
    </row>
    <row r="4518" spans="1:7" x14ac:dyDescent="0.35">
      <c r="A4518">
        <v>1785</v>
      </c>
      <c r="B4518" s="1">
        <v>45603</v>
      </c>
      <c r="C4518" t="s">
        <v>18</v>
      </c>
      <c r="D4518" s="2">
        <v>22037.74</v>
      </c>
      <c r="E4518" s="2">
        <v>0</v>
      </c>
      <c r="F4518" t="s">
        <v>19</v>
      </c>
      <c r="G4518" t="s">
        <v>20</v>
      </c>
    </row>
    <row r="4519" spans="1:7" x14ac:dyDescent="0.35">
      <c r="A4519">
        <v>1785</v>
      </c>
      <c r="B4519" s="1">
        <v>45603</v>
      </c>
      <c r="C4519" t="s">
        <v>18</v>
      </c>
      <c r="D4519" s="2">
        <v>881.51</v>
      </c>
      <c r="E4519" s="2">
        <v>0</v>
      </c>
      <c r="F4519" t="s">
        <v>21</v>
      </c>
      <c r="G4519" t="s">
        <v>20</v>
      </c>
    </row>
    <row r="4520" spans="1:7" x14ac:dyDescent="0.35">
      <c r="A4520">
        <v>1785</v>
      </c>
      <c r="B4520" s="1">
        <v>45603</v>
      </c>
      <c r="C4520" t="s">
        <v>18</v>
      </c>
      <c r="D4520" s="2">
        <v>0</v>
      </c>
      <c r="E4520" s="2">
        <v>17968.47</v>
      </c>
      <c r="F4520" t="s">
        <v>8</v>
      </c>
      <c r="G4520" t="s">
        <v>9</v>
      </c>
    </row>
    <row r="4521" spans="1:7" x14ac:dyDescent="0.35">
      <c r="A4521">
        <v>1785</v>
      </c>
      <c r="B4521" s="1">
        <v>45603</v>
      </c>
      <c r="C4521" t="s">
        <v>18</v>
      </c>
      <c r="D4521" s="2">
        <v>0</v>
      </c>
      <c r="E4521" s="2">
        <v>4069.27</v>
      </c>
      <c r="F4521" t="s">
        <v>22</v>
      </c>
      <c r="G4521" t="s">
        <v>17</v>
      </c>
    </row>
    <row r="4522" spans="1:7" x14ac:dyDescent="0.35">
      <c r="A4522">
        <v>1785</v>
      </c>
      <c r="B4522" s="1">
        <v>45603</v>
      </c>
      <c r="C4522" t="s">
        <v>18</v>
      </c>
      <c r="D4522" s="2">
        <v>0</v>
      </c>
      <c r="E4522" s="2">
        <v>881.51</v>
      </c>
      <c r="F4522" t="s">
        <v>23</v>
      </c>
      <c r="G4522" t="s">
        <v>17</v>
      </c>
    </row>
    <row r="4523" spans="1:7" x14ac:dyDescent="0.35">
      <c r="A4523">
        <v>1786</v>
      </c>
      <c r="B4523" s="1">
        <v>45603</v>
      </c>
      <c r="C4523" t="s">
        <v>12</v>
      </c>
      <c r="D4523" s="2">
        <v>3683.89</v>
      </c>
      <c r="E4523" s="2">
        <v>0</v>
      </c>
      <c r="F4523" t="s">
        <v>13</v>
      </c>
      <c r="G4523" t="s">
        <v>9</v>
      </c>
    </row>
    <row r="4524" spans="1:7" x14ac:dyDescent="0.35">
      <c r="A4524">
        <v>1786</v>
      </c>
      <c r="B4524" s="1">
        <v>45603</v>
      </c>
      <c r="C4524" t="s">
        <v>12</v>
      </c>
      <c r="D4524" s="2">
        <v>0</v>
      </c>
      <c r="E4524" s="2">
        <v>3426.88</v>
      </c>
      <c r="F4524" t="s">
        <v>14</v>
      </c>
      <c r="G4524" t="s">
        <v>15</v>
      </c>
    </row>
    <row r="4525" spans="1:7" x14ac:dyDescent="0.35">
      <c r="A4525">
        <v>1786</v>
      </c>
      <c r="B4525" s="1">
        <v>45603</v>
      </c>
      <c r="C4525" t="s">
        <v>12</v>
      </c>
      <c r="D4525" s="2">
        <v>0</v>
      </c>
      <c r="E4525" s="2">
        <v>257.01</v>
      </c>
      <c r="F4525" t="s">
        <v>16</v>
      </c>
      <c r="G4525" t="s">
        <v>17</v>
      </c>
    </row>
    <row r="4526" spans="1:7" x14ac:dyDescent="0.35">
      <c r="A4526">
        <v>1787</v>
      </c>
      <c r="B4526" s="1">
        <v>45603</v>
      </c>
      <c r="C4526" t="s">
        <v>12</v>
      </c>
      <c r="D4526" s="2">
        <v>5028.3</v>
      </c>
      <c r="E4526" s="2">
        <v>0</v>
      </c>
      <c r="F4526" t="s">
        <v>13</v>
      </c>
      <c r="G4526" t="s">
        <v>9</v>
      </c>
    </row>
    <row r="4527" spans="1:7" x14ac:dyDescent="0.35">
      <c r="A4527">
        <v>1787</v>
      </c>
      <c r="B4527" s="1">
        <v>45603</v>
      </c>
      <c r="C4527" t="s">
        <v>12</v>
      </c>
      <c r="D4527" s="2">
        <v>0</v>
      </c>
      <c r="E4527" s="2">
        <v>4677.49</v>
      </c>
      <c r="F4527" t="s">
        <v>14</v>
      </c>
      <c r="G4527" t="s">
        <v>15</v>
      </c>
    </row>
    <row r="4528" spans="1:7" x14ac:dyDescent="0.35">
      <c r="A4528">
        <v>1787</v>
      </c>
      <c r="B4528" s="1">
        <v>45603</v>
      </c>
      <c r="C4528" t="s">
        <v>12</v>
      </c>
      <c r="D4528" s="2">
        <v>0</v>
      </c>
      <c r="E4528" s="2">
        <v>350.81</v>
      </c>
      <c r="F4528" t="s">
        <v>16</v>
      </c>
      <c r="G4528" t="s">
        <v>17</v>
      </c>
    </row>
    <row r="4529" spans="1:7" x14ac:dyDescent="0.35">
      <c r="A4529">
        <v>1788</v>
      </c>
      <c r="B4529" s="1">
        <v>45603</v>
      </c>
      <c r="C4529" t="s">
        <v>12</v>
      </c>
      <c r="D4529" s="2">
        <v>5042.67</v>
      </c>
      <c r="E4529" s="2">
        <v>0</v>
      </c>
      <c r="F4529" t="s">
        <v>13</v>
      </c>
      <c r="G4529" t="s">
        <v>9</v>
      </c>
    </row>
    <row r="4530" spans="1:7" x14ac:dyDescent="0.35">
      <c r="A4530">
        <v>1788</v>
      </c>
      <c r="B4530" s="1">
        <v>45603</v>
      </c>
      <c r="C4530" t="s">
        <v>12</v>
      </c>
      <c r="D4530" s="2">
        <v>0</v>
      </c>
      <c r="E4530" s="2">
        <v>4690.8599999999997</v>
      </c>
      <c r="F4530" t="s">
        <v>14</v>
      </c>
      <c r="G4530" t="s">
        <v>15</v>
      </c>
    </row>
    <row r="4531" spans="1:7" x14ac:dyDescent="0.35">
      <c r="A4531">
        <v>1788</v>
      </c>
      <c r="B4531" s="1">
        <v>45603</v>
      </c>
      <c r="C4531" t="s">
        <v>12</v>
      </c>
      <c r="D4531" s="2">
        <v>0</v>
      </c>
      <c r="E4531" s="2">
        <v>351.81</v>
      </c>
      <c r="F4531" t="s">
        <v>16</v>
      </c>
      <c r="G4531" t="s">
        <v>17</v>
      </c>
    </row>
    <row r="4532" spans="1:7" x14ac:dyDescent="0.35">
      <c r="A4532">
        <v>1789</v>
      </c>
      <c r="B4532" s="1">
        <v>45603</v>
      </c>
      <c r="C4532" t="s">
        <v>12</v>
      </c>
      <c r="D4532" s="2">
        <v>1172.8800000000001</v>
      </c>
      <c r="E4532" s="2">
        <v>0</v>
      </c>
      <c r="F4532" t="s">
        <v>13</v>
      </c>
      <c r="G4532" t="s">
        <v>9</v>
      </c>
    </row>
    <row r="4533" spans="1:7" x14ac:dyDescent="0.35">
      <c r="A4533">
        <v>1789</v>
      </c>
      <c r="B4533" s="1">
        <v>45603</v>
      </c>
      <c r="C4533" t="s">
        <v>12</v>
      </c>
      <c r="D4533" s="2">
        <v>0</v>
      </c>
      <c r="E4533" s="2">
        <v>1091.05</v>
      </c>
      <c r="F4533" t="s">
        <v>14</v>
      </c>
      <c r="G4533" t="s">
        <v>15</v>
      </c>
    </row>
    <row r="4534" spans="1:7" x14ac:dyDescent="0.35">
      <c r="A4534">
        <v>1789</v>
      </c>
      <c r="B4534" s="1">
        <v>45603</v>
      </c>
      <c r="C4534" t="s">
        <v>12</v>
      </c>
      <c r="D4534" s="2">
        <v>0</v>
      </c>
      <c r="E4534" s="2">
        <v>81.83</v>
      </c>
      <c r="F4534" t="s">
        <v>16</v>
      </c>
      <c r="G4534" t="s">
        <v>17</v>
      </c>
    </row>
    <row r="4535" spans="1:7" x14ac:dyDescent="0.35">
      <c r="A4535">
        <v>1790</v>
      </c>
      <c r="B4535" s="1">
        <v>45603</v>
      </c>
      <c r="C4535" t="s">
        <v>12</v>
      </c>
      <c r="D4535" s="2">
        <v>627.20000000000005</v>
      </c>
      <c r="E4535" s="2">
        <v>0</v>
      </c>
      <c r="F4535" t="s">
        <v>13</v>
      </c>
      <c r="G4535" t="s">
        <v>9</v>
      </c>
    </row>
    <row r="4536" spans="1:7" x14ac:dyDescent="0.35">
      <c r="A4536">
        <v>1790</v>
      </c>
      <c r="B4536" s="1">
        <v>45603</v>
      </c>
      <c r="C4536" t="s">
        <v>12</v>
      </c>
      <c r="D4536" s="2">
        <v>0</v>
      </c>
      <c r="E4536" s="2">
        <v>583.45000000000005</v>
      </c>
      <c r="F4536" t="s">
        <v>14</v>
      </c>
      <c r="G4536" t="s">
        <v>15</v>
      </c>
    </row>
    <row r="4537" spans="1:7" x14ac:dyDescent="0.35">
      <c r="A4537">
        <v>1790</v>
      </c>
      <c r="B4537" s="1">
        <v>45603</v>
      </c>
      <c r="C4537" t="s">
        <v>12</v>
      </c>
      <c r="D4537" s="2">
        <v>0</v>
      </c>
      <c r="E4537" s="2">
        <v>43.75</v>
      </c>
      <c r="F4537" t="s">
        <v>16</v>
      </c>
      <c r="G4537" t="s">
        <v>17</v>
      </c>
    </row>
    <row r="4538" spans="1:7" x14ac:dyDescent="0.35">
      <c r="A4538">
        <v>1791</v>
      </c>
      <c r="B4538" s="1">
        <v>45603</v>
      </c>
      <c r="C4538" t="s">
        <v>24</v>
      </c>
      <c r="D4538" s="2">
        <v>2336.64</v>
      </c>
      <c r="E4538" s="2">
        <v>0</v>
      </c>
      <c r="F4538" t="s">
        <v>8</v>
      </c>
      <c r="G4538" t="s">
        <v>9</v>
      </c>
    </row>
    <row r="4539" spans="1:7" x14ac:dyDescent="0.35">
      <c r="A4539">
        <v>1791</v>
      </c>
      <c r="B4539" s="1">
        <v>45603</v>
      </c>
      <c r="C4539" t="s">
        <v>24</v>
      </c>
      <c r="D4539" s="2">
        <v>0</v>
      </c>
      <c r="E4539" s="2">
        <v>2336.64</v>
      </c>
      <c r="F4539" t="s">
        <v>13</v>
      </c>
      <c r="G4539" t="s">
        <v>9</v>
      </c>
    </row>
    <row r="4540" spans="1:7" x14ac:dyDescent="0.35">
      <c r="A4540">
        <v>1792</v>
      </c>
      <c r="B4540" s="1">
        <v>45603</v>
      </c>
      <c r="C4540" t="s">
        <v>24</v>
      </c>
      <c r="D4540" s="2">
        <v>231.28</v>
      </c>
      <c r="E4540" s="2">
        <v>0</v>
      </c>
      <c r="F4540" t="s">
        <v>8</v>
      </c>
      <c r="G4540" t="s">
        <v>9</v>
      </c>
    </row>
    <row r="4541" spans="1:7" x14ac:dyDescent="0.35">
      <c r="A4541">
        <v>1792</v>
      </c>
      <c r="B4541" s="1">
        <v>45603</v>
      </c>
      <c r="C4541" t="s">
        <v>24</v>
      </c>
      <c r="D4541" s="2">
        <v>0</v>
      </c>
      <c r="E4541" s="2">
        <v>231.28</v>
      </c>
      <c r="F4541" t="s">
        <v>13</v>
      </c>
      <c r="G4541" t="s">
        <v>9</v>
      </c>
    </row>
    <row r="4542" spans="1:7" x14ac:dyDescent="0.35">
      <c r="A4542">
        <v>1793</v>
      </c>
      <c r="B4542" s="1">
        <v>45603</v>
      </c>
      <c r="C4542" t="s">
        <v>24</v>
      </c>
      <c r="D4542" s="2">
        <v>2709.09</v>
      </c>
      <c r="E4542" s="2">
        <v>0</v>
      </c>
      <c r="F4542" t="s">
        <v>8</v>
      </c>
      <c r="G4542" t="s">
        <v>9</v>
      </c>
    </row>
    <row r="4543" spans="1:7" x14ac:dyDescent="0.35">
      <c r="A4543">
        <v>1793</v>
      </c>
      <c r="B4543" s="1">
        <v>45603</v>
      </c>
      <c r="C4543" t="s">
        <v>24</v>
      </c>
      <c r="D4543" s="2">
        <v>0</v>
      </c>
      <c r="E4543" s="2">
        <v>2709.09</v>
      </c>
      <c r="F4543" t="s">
        <v>13</v>
      </c>
      <c r="G4543" t="s">
        <v>9</v>
      </c>
    </row>
    <row r="4544" spans="1:7" x14ac:dyDescent="0.35">
      <c r="A4544">
        <v>1794</v>
      </c>
      <c r="B4544" s="1">
        <v>45603</v>
      </c>
      <c r="C4544" t="s">
        <v>24</v>
      </c>
      <c r="D4544" s="2">
        <v>1950.89</v>
      </c>
      <c r="E4544" s="2">
        <v>0</v>
      </c>
      <c r="F4544" t="s">
        <v>8</v>
      </c>
      <c r="G4544" t="s">
        <v>9</v>
      </c>
    </row>
    <row r="4545" spans="1:7" x14ac:dyDescent="0.35">
      <c r="A4545">
        <v>1794</v>
      </c>
      <c r="B4545" s="1">
        <v>45603</v>
      </c>
      <c r="C4545" t="s">
        <v>24</v>
      </c>
      <c r="D4545" s="2">
        <v>0</v>
      </c>
      <c r="E4545" s="2">
        <v>1950.89</v>
      </c>
      <c r="F4545" t="s">
        <v>13</v>
      </c>
      <c r="G4545" t="s">
        <v>9</v>
      </c>
    </row>
    <row r="4546" spans="1:7" x14ac:dyDescent="0.35">
      <c r="A4546">
        <v>1795</v>
      </c>
      <c r="B4546" s="1">
        <v>45603</v>
      </c>
      <c r="C4546" t="s">
        <v>24</v>
      </c>
      <c r="D4546" s="2">
        <v>239.77</v>
      </c>
      <c r="E4546" s="2">
        <v>0</v>
      </c>
      <c r="F4546" t="s">
        <v>8</v>
      </c>
      <c r="G4546" t="s">
        <v>9</v>
      </c>
    </row>
    <row r="4547" spans="1:7" x14ac:dyDescent="0.35">
      <c r="A4547">
        <v>1795</v>
      </c>
      <c r="B4547" s="1">
        <v>45603</v>
      </c>
      <c r="C4547" t="s">
        <v>24</v>
      </c>
      <c r="D4547" s="2">
        <v>0</v>
      </c>
      <c r="E4547" s="2">
        <v>239.77</v>
      </c>
      <c r="F4547" t="s">
        <v>13</v>
      </c>
      <c r="G4547" t="s">
        <v>9</v>
      </c>
    </row>
    <row r="4548" spans="1:7" x14ac:dyDescent="0.35">
      <c r="A4548">
        <v>1796</v>
      </c>
      <c r="B4548" s="1">
        <v>45603</v>
      </c>
      <c r="C4548" t="s">
        <v>24</v>
      </c>
      <c r="D4548" s="2">
        <v>4527.1499999999996</v>
      </c>
      <c r="E4548" s="2">
        <v>0</v>
      </c>
      <c r="F4548" t="s">
        <v>8</v>
      </c>
      <c r="G4548" t="s">
        <v>9</v>
      </c>
    </row>
    <row r="4549" spans="1:7" x14ac:dyDescent="0.35">
      <c r="A4549">
        <v>1796</v>
      </c>
      <c r="B4549" s="1">
        <v>45603</v>
      </c>
      <c r="C4549" t="s">
        <v>24</v>
      </c>
      <c r="D4549" s="2">
        <v>0</v>
      </c>
      <c r="E4549" s="2">
        <v>4527.1499999999996</v>
      </c>
      <c r="F4549" t="s">
        <v>13</v>
      </c>
      <c r="G4549" t="s">
        <v>9</v>
      </c>
    </row>
    <row r="4550" spans="1:7" x14ac:dyDescent="0.35">
      <c r="A4550">
        <v>1797</v>
      </c>
      <c r="B4550" s="1">
        <v>45603</v>
      </c>
      <c r="C4550" t="s">
        <v>25</v>
      </c>
      <c r="D4550" s="2">
        <v>2329.52</v>
      </c>
      <c r="E4550" s="2">
        <v>0</v>
      </c>
      <c r="F4550" t="s">
        <v>26</v>
      </c>
      <c r="G4550" t="s">
        <v>20</v>
      </c>
    </row>
    <row r="4551" spans="1:7" x14ac:dyDescent="0.35">
      <c r="A4551">
        <v>1797</v>
      </c>
      <c r="B4551" s="1">
        <v>45603</v>
      </c>
      <c r="C4551" t="s">
        <v>25</v>
      </c>
      <c r="D4551" s="2">
        <v>174.71</v>
      </c>
      <c r="E4551" s="2">
        <v>0</v>
      </c>
      <c r="F4551" t="s">
        <v>27</v>
      </c>
      <c r="G4551" t="s">
        <v>9</v>
      </c>
    </row>
    <row r="4552" spans="1:7" x14ac:dyDescent="0.35">
      <c r="A4552">
        <v>1797</v>
      </c>
      <c r="B4552" s="1">
        <v>45603</v>
      </c>
      <c r="C4552" t="s">
        <v>25</v>
      </c>
      <c r="D4552" s="2">
        <v>0</v>
      </c>
      <c r="E4552" s="2">
        <v>2504.23</v>
      </c>
      <c r="F4552" t="s">
        <v>28</v>
      </c>
      <c r="G4552" t="s">
        <v>17</v>
      </c>
    </row>
    <row r="4553" spans="1:7" x14ac:dyDescent="0.35">
      <c r="A4553">
        <v>1798</v>
      </c>
      <c r="B4553" s="1">
        <v>45603</v>
      </c>
      <c r="C4553" t="s">
        <v>29</v>
      </c>
      <c r="D4553" s="2">
        <v>1159.8399999999999</v>
      </c>
      <c r="E4553" s="2">
        <v>0</v>
      </c>
      <c r="F4553" t="s">
        <v>28</v>
      </c>
      <c r="G4553" t="s">
        <v>17</v>
      </c>
    </row>
    <row r="4554" spans="1:7" x14ac:dyDescent="0.35">
      <c r="A4554">
        <v>1798</v>
      </c>
      <c r="B4554" s="1">
        <v>45603</v>
      </c>
      <c r="C4554" t="s">
        <v>29</v>
      </c>
      <c r="D4554" s="2">
        <v>0</v>
      </c>
      <c r="E4554" s="2">
        <v>1159.8399999999999</v>
      </c>
      <c r="F4554" t="s">
        <v>8</v>
      </c>
      <c r="G4554" t="s">
        <v>9</v>
      </c>
    </row>
    <row r="4555" spans="1:7" x14ac:dyDescent="0.35">
      <c r="A4555">
        <v>1799</v>
      </c>
      <c r="B4555" s="1">
        <v>45603</v>
      </c>
      <c r="C4555" t="s">
        <v>29</v>
      </c>
      <c r="D4555" s="2">
        <v>1794.11</v>
      </c>
      <c r="E4555" s="2">
        <v>0</v>
      </c>
      <c r="F4555" t="s">
        <v>28</v>
      </c>
      <c r="G4555" t="s">
        <v>17</v>
      </c>
    </row>
    <row r="4556" spans="1:7" x14ac:dyDescent="0.35">
      <c r="A4556">
        <v>1799</v>
      </c>
      <c r="B4556" s="1">
        <v>45603</v>
      </c>
      <c r="C4556" t="s">
        <v>29</v>
      </c>
      <c r="D4556" s="2">
        <v>0</v>
      </c>
      <c r="E4556" s="2">
        <v>1794.11</v>
      </c>
      <c r="F4556" t="s">
        <v>8</v>
      </c>
      <c r="G4556" t="s">
        <v>9</v>
      </c>
    </row>
    <row r="4557" spans="1:7" x14ac:dyDescent="0.35">
      <c r="A4557">
        <v>1800</v>
      </c>
      <c r="B4557" s="1">
        <v>45603</v>
      </c>
      <c r="C4557" t="s">
        <v>29</v>
      </c>
      <c r="D4557" s="2">
        <v>1159.8399999999999</v>
      </c>
      <c r="E4557" s="2">
        <v>0</v>
      </c>
      <c r="F4557" t="s">
        <v>28</v>
      </c>
      <c r="G4557" t="s">
        <v>17</v>
      </c>
    </row>
    <row r="4558" spans="1:7" x14ac:dyDescent="0.35">
      <c r="A4558">
        <v>1800</v>
      </c>
      <c r="B4558" s="1">
        <v>45603</v>
      </c>
      <c r="C4558" t="s">
        <v>29</v>
      </c>
      <c r="D4558" s="2">
        <v>0</v>
      </c>
      <c r="E4558" s="2">
        <v>1159.8399999999999</v>
      </c>
      <c r="F4558" t="s">
        <v>8</v>
      </c>
      <c r="G4558" t="s">
        <v>9</v>
      </c>
    </row>
    <row r="4559" spans="1:7" x14ac:dyDescent="0.35">
      <c r="A4559">
        <v>1801</v>
      </c>
      <c r="B4559" s="1">
        <v>45604</v>
      </c>
      <c r="C4559" t="s">
        <v>12</v>
      </c>
      <c r="D4559" s="2">
        <v>571.77</v>
      </c>
      <c r="E4559" s="2">
        <v>0</v>
      </c>
      <c r="F4559" t="s">
        <v>13</v>
      </c>
      <c r="G4559" t="s">
        <v>9</v>
      </c>
    </row>
    <row r="4560" spans="1:7" x14ac:dyDescent="0.35">
      <c r="A4560">
        <v>1801</v>
      </c>
      <c r="B4560" s="1">
        <v>45604</v>
      </c>
      <c r="C4560" t="s">
        <v>12</v>
      </c>
      <c r="D4560" s="2">
        <v>0</v>
      </c>
      <c r="E4560" s="2">
        <v>531.88</v>
      </c>
      <c r="F4560" t="s">
        <v>14</v>
      </c>
      <c r="G4560" t="s">
        <v>15</v>
      </c>
    </row>
    <row r="4561" spans="1:7" x14ac:dyDescent="0.35">
      <c r="A4561">
        <v>1801</v>
      </c>
      <c r="B4561" s="1">
        <v>45604</v>
      </c>
      <c r="C4561" t="s">
        <v>12</v>
      </c>
      <c r="D4561" s="2">
        <v>0</v>
      </c>
      <c r="E4561" s="2">
        <v>39.89</v>
      </c>
      <c r="F4561" t="s">
        <v>16</v>
      </c>
      <c r="G4561" t="s">
        <v>17</v>
      </c>
    </row>
    <row r="4562" spans="1:7" x14ac:dyDescent="0.35">
      <c r="A4562">
        <v>1802</v>
      </c>
      <c r="B4562" s="1">
        <v>45604</v>
      </c>
      <c r="C4562" t="s">
        <v>12</v>
      </c>
      <c r="D4562" s="2">
        <v>1543.46</v>
      </c>
      <c r="E4562" s="2">
        <v>0</v>
      </c>
      <c r="F4562" t="s">
        <v>13</v>
      </c>
      <c r="G4562" t="s">
        <v>9</v>
      </c>
    </row>
    <row r="4563" spans="1:7" x14ac:dyDescent="0.35">
      <c r="A4563">
        <v>1802</v>
      </c>
      <c r="B4563" s="1">
        <v>45604</v>
      </c>
      <c r="C4563" t="s">
        <v>12</v>
      </c>
      <c r="D4563" s="2">
        <v>0</v>
      </c>
      <c r="E4563" s="2">
        <v>1435.78</v>
      </c>
      <c r="F4563" t="s">
        <v>14</v>
      </c>
      <c r="G4563" t="s">
        <v>15</v>
      </c>
    </row>
    <row r="4564" spans="1:7" x14ac:dyDescent="0.35">
      <c r="A4564">
        <v>1802</v>
      </c>
      <c r="B4564" s="1">
        <v>45604</v>
      </c>
      <c r="C4564" t="s">
        <v>12</v>
      </c>
      <c r="D4564" s="2">
        <v>0</v>
      </c>
      <c r="E4564" s="2">
        <v>107.68</v>
      </c>
      <c r="F4564" t="s">
        <v>16</v>
      </c>
      <c r="G4564" t="s">
        <v>17</v>
      </c>
    </row>
    <row r="4565" spans="1:7" x14ac:dyDescent="0.35">
      <c r="A4565">
        <v>1803</v>
      </c>
      <c r="B4565" s="1">
        <v>45604</v>
      </c>
      <c r="C4565" t="s">
        <v>12</v>
      </c>
      <c r="D4565" s="2">
        <v>1481.56</v>
      </c>
      <c r="E4565" s="2">
        <v>0</v>
      </c>
      <c r="F4565" t="s">
        <v>13</v>
      </c>
      <c r="G4565" t="s">
        <v>9</v>
      </c>
    </row>
    <row r="4566" spans="1:7" x14ac:dyDescent="0.35">
      <c r="A4566">
        <v>1803</v>
      </c>
      <c r="B4566" s="1">
        <v>45604</v>
      </c>
      <c r="C4566" t="s">
        <v>12</v>
      </c>
      <c r="D4566" s="2">
        <v>0</v>
      </c>
      <c r="E4566" s="2">
        <v>1378.19</v>
      </c>
      <c r="F4566" t="s">
        <v>14</v>
      </c>
      <c r="G4566" t="s">
        <v>15</v>
      </c>
    </row>
    <row r="4567" spans="1:7" x14ac:dyDescent="0.35">
      <c r="A4567">
        <v>1803</v>
      </c>
      <c r="B4567" s="1">
        <v>45604</v>
      </c>
      <c r="C4567" t="s">
        <v>12</v>
      </c>
      <c r="D4567" s="2">
        <v>0</v>
      </c>
      <c r="E4567" s="2">
        <v>103.37</v>
      </c>
      <c r="F4567" t="s">
        <v>16</v>
      </c>
      <c r="G4567" t="s">
        <v>17</v>
      </c>
    </row>
    <row r="4568" spans="1:7" x14ac:dyDescent="0.35">
      <c r="A4568">
        <v>1804</v>
      </c>
      <c r="B4568" s="1">
        <v>45604</v>
      </c>
      <c r="C4568" t="s">
        <v>24</v>
      </c>
      <c r="D4568" s="2">
        <v>5443.7</v>
      </c>
      <c r="E4568" s="2">
        <v>0</v>
      </c>
      <c r="F4568" t="s">
        <v>8</v>
      </c>
      <c r="G4568" t="s">
        <v>9</v>
      </c>
    </row>
    <row r="4569" spans="1:7" x14ac:dyDescent="0.35">
      <c r="A4569">
        <v>1804</v>
      </c>
      <c r="B4569" s="1">
        <v>45604</v>
      </c>
      <c r="C4569" t="s">
        <v>24</v>
      </c>
      <c r="D4569" s="2">
        <v>0</v>
      </c>
      <c r="E4569" s="2">
        <v>5443.7</v>
      </c>
      <c r="F4569" t="s">
        <v>13</v>
      </c>
      <c r="G4569" t="s">
        <v>9</v>
      </c>
    </row>
    <row r="4570" spans="1:7" x14ac:dyDescent="0.35">
      <c r="A4570">
        <v>1805</v>
      </c>
      <c r="B4570" s="1">
        <v>45604</v>
      </c>
      <c r="C4570" t="s">
        <v>24</v>
      </c>
      <c r="D4570" s="2">
        <v>1286.73</v>
      </c>
      <c r="E4570" s="2">
        <v>0</v>
      </c>
      <c r="F4570" t="s">
        <v>8</v>
      </c>
      <c r="G4570" t="s">
        <v>9</v>
      </c>
    </row>
    <row r="4571" spans="1:7" x14ac:dyDescent="0.35">
      <c r="A4571">
        <v>1805</v>
      </c>
      <c r="B4571" s="1">
        <v>45604</v>
      </c>
      <c r="C4571" t="s">
        <v>24</v>
      </c>
      <c r="D4571" s="2">
        <v>0</v>
      </c>
      <c r="E4571" s="2">
        <v>1286.73</v>
      </c>
      <c r="F4571" t="s">
        <v>13</v>
      </c>
      <c r="G4571" t="s">
        <v>9</v>
      </c>
    </row>
    <row r="4572" spans="1:7" x14ac:dyDescent="0.35">
      <c r="A4572">
        <v>1806</v>
      </c>
      <c r="B4572" s="1">
        <v>45604</v>
      </c>
      <c r="C4572" t="s">
        <v>24</v>
      </c>
      <c r="D4572" s="2">
        <v>1172.8800000000001</v>
      </c>
      <c r="E4572" s="2">
        <v>0</v>
      </c>
      <c r="F4572" t="s">
        <v>8</v>
      </c>
      <c r="G4572" t="s">
        <v>9</v>
      </c>
    </row>
    <row r="4573" spans="1:7" x14ac:dyDescent="0.35">
      <c r="A4573">
        <v>1806</v>
      </c>
      <c r="B4573" s="1">
        <v>45604</v>
      </c>
      <c r="C4573" t="s">
        <v>24</v>
      </c>
      <c r="D4573" s="2">
        <v>0</v>
      </c>
      <c r="E4573" s="2">
        <v>1172.8800000000001</v>
      </c>
      <c r="F4573" t="s">
        <v>13</v>
      </c>
      <c r="G4573" t="s">
        <v>9</v>
      </c>
    </row>
    <row r="4574" spans="1:7" x14ac:dyDescent="0.35">
      <c r="A4574">
        <v>1807</v>
      </c>
      <c r="B4574" s="1">
        <v>45604</v>
      </c>
      <c r="C4574" t="s">
        <v>25</v>
      </c>
      <c r="D4574" s="2">
        <v>952.02</v>
      </c>
      <c r="E4574" s="2">
        <v>0</v>
      </c>
      <c r="F4574" t="s">
        <v>26</v>
      </c>
      <c r="G4574" t="s">
        <v>20</v>
      </c>
    </row>
    <row r="4575" spans="1:7" x14ac:dyDescent="0.35">
      <c r="A4575">
        <v>1807</v>
      </c>
      <c r="B4575" s="1">
        <v>45604</v>
      </c>
      <c r="C4575" t="s">
        <v>25</v>
      </c>
      <c r="D4575" s="2">
        <v>71.400000000000006</v>
      </c>
      <c r="E4575" s="2">
        <v>0</v>
      </c>
      <c r="F4575" t="s">
        <v>27</v>
      </c>
      <c r="G4575" t="s">
        <v>9</v>
      </c>
    </row>
    <row r="4576" spans="1:7" x14ac:dyDescent="0.35">
      <c r="A4576">
        <v>1807</v>
      </c>
      <c r="B4576" s="1">
        <v>45604</v>
      </c>
      <c r="C4576" t="s">
        <v>25</v>
      </c>
      <c r="D4576" s="2">
        <v>0</v>
      </c>
      <c r="E4576" s="2">
        <v>1023.42</v>
      </c>
      <c r="F4576" t="s">
        <v>28</v>
      </c>
      <c r="G4576" t="s">
        <v>17</v>
      </c>
    </row>
    <row r="4577" spans="1:7" x14ac:dyDescent="0.35">
      <c r="A4577">
        <v>1808</v>
      </c>
      <c r="B4577" s="1">
        <v>45604</v>
      </c>
      <c r="C4577" t="s">
        <v>25</v>
      </c>
      <c r="D4577" s="2">
        <v>1643.22</v>
      </c>
      <c r="E4577" s="2">
        <v>0</v>
      </c>
      <c r="F4577" t="s">
        <v>26</v>
      </c>
      <c r="G4577" t="s">
        <v>20</v>
      </c>
    </row>
    <row r="4578" spans="1:7" x14ac:dyDescent="0.35">
      <c r="A4578">
        <v>1808</v>
      </c>
      <c r="B4578" s="1">
        <v>45604</v>
      </c>
      <c r="C4578" t="s">
        <v>25</v>
      </c>
      <c r="D4578" s="2">
        <v>123.24</v>
      </c>
      <c r="E4578" s="2">
        <v>0</v>
      </c>
      <c r="F4578" t="s">
        <v>27</v>
      </c>
      <c r="G4578" t="s">
        <v>9</v>
      </c>
    </row>
    <row r="4579" spans="1:7" x14ac:dyDescent="0.35">
      <c r="A4579">
        <v>1808</v>
      </c>
      <c r="B4579" s="1">
        <v>45604</v>
      </c>
      <c r="C4579" t="s">
        <v>25</v>
      </c>
      <c r="D4579" s="2">
        <v>0</v>
      </c>
      <c r="E4579" s="2">
        <v>1766.46</v>
      </c>
      <c r="F4579" t="s">
        <v>28</v>
      </c>
      <c r="G4579" t="s">
        <v>17</v>
      </c>
    </row>
    <row r="4580" spans="1:7" x14ac:dyDescent="0.35">
      <c r="A4580">
        <v>1809</v>
      </c>
      <c r="B4580" s="1">
        <v>45604</v>
      </c>
      <c r="C4580" t="s">
        <v>25</v>
      </c>
      <c r="D4580" s="2">
        <v>1947.24</v>
      </c>
      <c r="E4580" s="2">
        <v>0</v>
      </c>
      <c r="F4580" t="s">
        <v>26</v>
      </c>
      <c r="G4580" t="s">
        <v>20</v>
      </c>
    </row>
    <row r="4581" spans="1:7" x14ac:dyDescent="0.35">
      <c r="A4581">
        <v>1809</v>
      </c>
      <c r="B4581" s="1">
        <v>45604</v>
      </c>
      <c r="C4581" t="s">
        <v>25</v>
      </c>
      <c r="D4581" s="2">
        <v>146.04</v>
      </c>
      <c r="E4581" s="2">
        <v>0</v>
      </c>
      <c r="F4581" t="s">
        <v>27</v>
      </c>
      <c r="G4581" t="s">
        <v>9</v>
      </c>
    </row>
    <row r="4582" spans="1:7" x14ac:dyDescent="0.35">
      <c r="A4582">
        <v>1809</v>
      </c>
      <c r="B4582" s="1">
        <v>45604</v>
      </c>
      <c r="C4582" t="s">
        <v>25</v>
      </c>
      <c r="D4582" s="2">
        <v>0</v>
      </c>
      <c r="E4582" s="2">
        <v>2093.2800000000002</v>
      </c>
      <c r="F4582" t="s">
        <v>28</v>
      </c>
      <c r="G4582" t="s">
        <v>17</v>
      </c>
    </row>
    <row r="4583" spans="1:7" x14ac:dyDescent="0.35">
      <c r="A4583">
        <v>1810</v>
      </c>
      <c r="B4583" s="1">
        <v>45604</v>
      </c>
      <c r="C4583" t="s">
        <v>29</v>
      </c>
      <c r="D4583" s="2">
        <v>412.54</v>
      </c>
      <c r="E4583" s="2">
        <v>0</v>
      </c>
      <c r="F4583" t="s">
        <v>28</v>
      </c>
      <c r="G4583" t="s">
        <v>17</v>
      </c>
    </row>
    <row r="4584" spans="1:7" x14ac:dyDescent="0.35">
      <c r="A4584">
        <v>1810</v>
      </c>
      <c r="B4584" s="1">
        <v>45604</v>
      </c>
      <c r="C4584" t="s">
        <v>29</v>
      </c>
      <c r="D4584" s="2">
        <v>0</v>
      </c>
      <c r="E4584" s="2">
        <v>412.54</v>
      </c>
      <c r="F4584" t="s">
        <v>8</v>
      </c>
      <c r="G4584" t="s">
        <v>9</v>
      </c>
    </row>
    <row r="4585" spans="1:7" x14ac:dyDescent="0.35">
      <c r="A4585">
        <v>1811</v>
      </c>
      <c r="B4585" s="1">
        <v>45604</v>
      </c>
      <c r="C4585" t="s">
        <v>29</v>
      </c>
      <c r="D4585" s="2">
        <v>2093.2800000000002</v>
      </c>
      <c r="E4585" s="2">
        <v>0</v>
      </c>
      <c r="F4585" t="s">
        <v>28</v>
      </c>
      <c r="G4585" t="s">
        <v>17</v>
      </c>
    </row>
    <row r="4586" spans="1:7" x14ac:dyDescent="0.35">
      <c r="A4586">
        <v>1811</v>
      </c>
      <c r="B4586" s="1">
        <v>45604</v>
      </c>
      <c r="C4586" t="s">
        <v>29</v>
      </c>
      <c r="D4586" s="2">
        <v>0</v>
      </c>
      <c r="E4586" s="2">
        <v>2093.2800000000002</v>
      </c>
      <c r="F4586" t="s">
        <v>8</v>
      </c>
      <c r="G4586" t="s">
        <v>9</v>
      </c>
    </row>
    <row r="4587" spans="1:7" x14ac:dyDescent="0.35">
      <c r="A4587">
        <v>1812</v>
      </c>
      <c r="B4587" s="1">
        <v>45604</v>
      </c>
      <c r="C4587" t="s">
        <v>29</v>
      </c>
      <c r="D4587" s="2">
        <v>2504.23</v>
      </c>
      <c r="E4587" s="2">
        <v>0</v>
      </c>
      <c r="F4587" t="s">
        <v>28</v>
      </c>
      <c r="G4587" t="s">
        <v>17</v>
      </c>
    </row>
    <row r="4588" spans="1:7" x14ac:dyDescent="0.35">
      <c r="A4588">
        <v>1812</v>
      </c>
      <c r="B4588" s="1">
        <v>45604</v>
      </c>
      <c r="C4588" t="s">
        <v>29</v>
      </c>
      <c r="D4588" s="2">
        <v>0</v>
      </c>
      <c r="E4588" s="2">
        <v>2504.23</v>
      </c>
      <c r="F4588" t="s">
        <v>8</v>
      </c>
      <c r="G4588" t="s">
        <v>9</v>
      </c>
    </row>
    <row r="4589" spans="1:7" x14ac:dyDescent="0.35">
      <c r="A4589">
        <v>1813</v>
      </c>
      <c r="B4589" s="1">
        <v>45608</v>
      </c>
      <c r="C4589" t="s">
        <v>12</v>
      </c>
      <c r="D4589" s="2">
        <v>3363.97</v>
      </c>
      <c r="E4589" s="2">
        <v>0</v>
      </c>
      <c r="F4589" t="s">
        <v>13</v>
      </c>
      <c r="G4589" t="s">
        <v>9</v>
      </c>
    </row>
    <row r="4590" spans="1:7" x14ac:dyDescent="0.35">
      <c r="A4590">
        <v>1813</v>
      </c>
      <c r="B4590" s="1">
        <v>45608</v>
      </c>
      <c r="C4590" t="s">
        <v>12</v>
      </c>
      <c r="D4590" s="2">
        <v>0</v>
      </c>
      <c r="E4590" s="2">
        <v>3129.27</v>
      </c>
      <c r="F4590" t="s">
        <v>14</v>
      </c>
      <c r="G4590" t="s">
        <v>15</v>
      </c>
    </row>
    <row r="4591" spans="1:7" x14ac:dyDescent="0.35">
      <c r="A4591">
        <v>1813</v>
      </c>
      <c r="B4591" s="1">
        <v>45608</v>
      </c>
      <c r="C4591" t="s">
        <v>12</v>
      </c>
      <c r="D4591" s="2">
        <v>0</v>
      </c>
      <c r="E4591" s="2">
        <v>234.7</v>
      </c>
      <c r="F4591" t="s">
        <v>16</v>
      </c>
      <c r="G4591" t="s">
        <v>17</v>
      </c>
    </row>
    <row r="4592" spans="1:7" x14ac:dyDescent="0.35">
      <c r="A4592">
        <v>1814</v>
      </c>
      <c r="B4592" s="1">
        <v>45608</v>
      </c>
      <c r="C4592" t="s">
        <v>12</v>
      </c>
      <c r="D4592" s="2">
        <v>4218.5</v>
      </c>
      <c r="E4592" s="2">
        <v>0</v>
      </c>
      <c r="F4592" t="s">
        <v>13</v>
      </c>
      <c r="G4592" t="s">
        <v>9</v>
      </c>
    </row>
    <row r="4593" spans="1:7" x14ac:dyDescent="0.35">
      <c r="A4593">
        <v>1814</v>
      </c>
      <c r="B4593" s="1">
        <v>45608</v>
      </c>
      <c r="C4593" t="s">
        <v>12</v>
      </c>
      <c r="D4593" s="2">
        <v>0</v>
      </c>
      <c r="E4593" s="2">
        <v>3924.18</v>
      </c>
      <c r="F4593" t="s">
        <v>14</v>
      </c>
      <c r="G4593" t="s">
        <v>15</v>
      </c>
    </row>
    <row r="4594" spans="1:7" x14ac:dyDescent="0.35">
      <c r="A4594">
        <v>1814</v>
      </c>
      <c r="B4594" s="1">
        <v>45608</v>
      </c>
      <c r="C4594" t="s">
        <v>12</v>
      </c>
      <c r="D4594" s="2">
        <v>0</v>
      </c>
      <c r="E4594" s="2">
        <v>294.32</v>
      </c>
      <c r="F4594" t="s">
        <v>16</v>
      </c>
      <c r="G4594" t="s">
        <v>17</v>
      </c>
    </row>
    <row r="4595" spans="1:7" x14ac:dyDescent="0.35">
      <c r="A4595">
        <v>1815</v>
      </c>
      <c r="B4595" s="1">
        <v>45608</v>
      </c>
      <c r="C4595" t="s">
        <v>12</v>
      </c>
      <c r="D4595" s="2">
        <v>1048.94</v>
      </c>
      <c r="E4595" s="2">
        <v>0</v>
      </c>
      <c r="F4595" t="s">
        <v>13</v>
      </c>
      <c r="G4595" t="s">
        <v>9</v>
      </c>
    </row>
    <row r="4596" spans="1:7" x14ac:dyDescent="0.35">
      <c r="A4596">
        <v>1815</v>
      </c>
      <c r="B4596" s="1">
        <v>45608</v>
      </c>
      <c r="C4596" t="s">
        <v>12</v>
      </c>
      <c r="D4596" s="2">
        <v>0</v>
      </c>
      <c r="E4596" s="2">
        <v>975.76</v>
      </c>
      <c r="F4596" t="s">
        <v>14</v>
      </c>
      <c r="G4596" t="s">
        <v>15</v>
      </c>
    </row>
    <row r="4597" spans="1:7" x14ac:dyDescent="0.35">
      <c r="A4597">
        <v>1815</v>
      </c>
      <c r="B4597" s="1">
        <v>45608</v>
      </c>
      <c r="C4597" t="s">
        <v>12</v>
      </c>
      <c r="D4597" s="2">
        <v>0</v>
      </c>
      <c r="E4597" s="2">
        <v>73.180000000000007</v>
      </c>
      <c r="F4597" t="s">
        <v>16</v>
      </c>
      <c r="G4597" t="s">
        <v>17</v>
      </c>
    </row>
    <row r="4598" spans="1:7" x14ac:dyDescent="0.35">
      <c r="A4598">
        <v>1816</v>
      </c>
      <c r="B4598" s="1">
        <v>45608</v>
      </c>
      <c r="C4598" t="s">
        <v>12</v>
      </c>
      <c r="D4598" s="2">
        <v>3585.89</v>
      </c>
      <c r="E4598" s="2">
        <v>0</v>
      </c>
      <c r="F4598" t="s">
        <v>13</v>
      </c>
      <c r="G4598" t="s">
        <v>9</v>
      </c>
    </row>
    <row r="4599" spans="1:7" x14ac:dyDescent="0.35">
      <c r="A4599">
        <v>1816</v>
      </c>
      <c r="B4599" s="1">
        <v>45608</v>
      </c>
      <c r="C4599" t="s">
        <v>12</v>
      </c>
      <c r="D4599" s="2">
        <v>0</v>
      </c>
      <c r="E4599" s="2">
        <v>3335.71</v>
      </c>
      <c r="F4599" t="s">
        <v>14</v>
      </c>
      <c r="G4599" t="s">
        <v>15</v>
      </c>
    </row>
    <row r="4600" spans="1:7" x14ac:dyDescent="0.35">
      <c r="A4600">
        <v>1816</v>
      </c>
      <c r="B4600" s="1">
        <v>45608</v>
      </c>
      <c r="C4600" t="s">
        <v>12</v>
      </c>
      <c r="D4600" s="2">
        <v>0</v>
      </c>
      <c r="E4600" s="2">
        <v>250.18</v>
      </c>
      <c r="F4600" t="s">
        <v>16</v>
      </c>
      <c r="G4600" t="s">
        <v>17</v>
      </c>
    </row>
    <row r="4601" spans="1:7" x14ac:dyDescent="0.35">
      <c r="A4601">
        <v>1817</v>
      </c>
      <c r="B4601" s="1">
        <v>45608</v>
      </c>
      <c r="C4601" t="s">
        <v>12</v>
      </c>
      <c r="D4601" s="2">
        <v>664.91</v>
      </c>
      <c r="E4601" s="2">
        <v>0</v>
      </c>
      <c r="F4601" t="s">
        <v>13</v>
      </c>
      <c r="G4601" t="s">
        <v>9</v>
      </c>
    </row>
    <row r="4602" spans="1:7" x14ac:dyDescent="0.35">
      <c r="A4602">
        <v>1817</v>
      </c>
      <c r="B4602" s="1">
        <v>45608</v>
      </c>
      <c r="C4602" t="s">
        <v>12</v>
      </c>
      <c r="D4602" s="2">
        <v>0</v>
      </c>
      <c r="E4602" s="2">
        <v>618.52</v>
      </c>
      <c r="F4602" t="s">
        <v>14</v>
      </c>
      <c r="G4602" t="s">
        <v>15</v>
      </c>
    </row>
    <row r="4603" spans="1:7" x14ac:dyDescent="0.35">
      <c r="A4603">
        <v>1817</v>
      </c>
      <c r="B4603" s="1">
        <v>45608</v>
      </c>
      <c r="C4603" t="s">
        <v>12</v>
      </c>
      <c r="D4603" s="2">
        <v>0</v>
      </c>
      <c r="E4603" s="2">
        <v>46.39</v>
      </c>
      <c r="F4603" t="s">
        <v>16</v>
      </c>
      <c r="G4603" t="s">
        <v>17</v>
      </c>
    </row>
    <row r="4604" spans="1:7" x14ac:dyDescent="0.35">
      <c r="A4604">
        <v>1818</v>
      </c>
      <c r="B4604" s="1">
        <v>45608</v>
      </c>
      <c r="C4604" t="s">
        <v>24</v>
      </c>
      <c r="D4604" s="2">
        <v>906.22</v>
      </c>
      <c r="E4604" s="2">
        <v>0</v>
      </c>
      <c r="F4604" t="s">
        <v>8</v>
      </c>
      <c r="G4604" t="s">
        <v>9</v>
      </c>
    </row>
    <row r="4605" spans="1:7" x14ac:dyDescent="0.35">
      <c r="A4605">
        <v>1818</v>
      </c>
      <c r="B4605" s="1">
        <v>45608</v>
      </c>
      <c r="C4605" t="s">
        <v>24</v>
      </c>
      <c r="D4605" s="2">
        <v>0</v>
      </c>
      <c r="E4605" s="2">
        <v>906.22</v>
      </c>
      <c r="F4605" t="s">
        <v>13</v>
      </c>
      <c r="G4605" t="s">
        <v>9</v>
      </c>
    </row>
    <row r="4606" spans="1:7" x14ac:dyDescent="0.35">
      <c r="A4606">
        <v>1819</v>
      </c>
      <c r="B4606" s="1">
        <v>45608</v>
      </c>
      <c r="C4606" t="s">
        <v>24</v>
      </c>
      <c r="D4606" s="2">
        <v>259.69</v>
      </c>
      <c r="E4606" s="2">
        <v>0</v>
      </c>
      <c r="F4606" t="s">
        <v>8</v>
      </c>
      <c r="G4606" t="s">
        <v>9</v>
      </c>
    </row>
    <row r="4607" spans="1:7" x14ac:dyDescent="0.35">
      <c r="A4607">
        <v>1819</v>
      </c>
      <c r="B4607" s="1">
        <v>45608</v>
      </c>
      <c r="C4607" t="s">
        <v>24</v>
      </c>
      <c r="D4607" s="2">
        <v>0</v>
      </c>
      <c r="E4607" s="2">
        <v>259.69</v>
      </c>
      <c r="F4607" t="s">
        <v>13</v>
      </c>
      <c r="G4607" t="s">
        <v>9</v>
      </c>
    </row>
    <row r="4608" spans="1:7" x14ac:dyDescent="0.35">
      <c r="A4608">
        <v>1820</v>
      </c>
      <c r="B4608" s="1">
        <v>45608</v>
      </c>
      <c r="C4608" t="s">
        <v>24</v>
      </c>
      <c r="D4608" s="2">
        <v>2261.8000000000002</v>
      </c>
      <c r="E4608" s="2">
        <v>0</v>
      </c>
      <c r="F4608" t="s">
        <v>8</v>
      </c>
      <c r="G4608" t="s">
        <v>9</v>
      </c>
    </row>
    <row r="4609" spans="1:7" x14ac:dyDescent="0.35">
      <c r="A4609">
        <v>1820</v>
      </c>
      <c r="B4609" s="1">
        <v>45608</v>
      </c>
      <c r="C4609" t="s">
        <v>24</v>
      </c>
      <c r="D4609" s="2">
        <v>0</v>
      </c>
      <c r="E4609" s="2">
        <v>2261.8000000000002</v>
      </c>
      <c r="F4609" t="s">
        <v>13</v>
      </c>
      <c r="G4609" t="s">
        <v>9</v>
      </c>
    </row>
    <row r="4610" spans="1:7" x14ac:dyDescent="0.35">
      <c r="A4610">
        <v>1821</v>
      </c>
      <c r="B4610" s="1">
        <v>45608</v>
      </c>
      <c r="C4610" t="s">
        <v>24</v>
      </c>
      <c r="D4610" s="2">
        <v>627.20000000000005</v>
      </c>
      <c r="E4610" s="2">
        <v>0</v>
      </c>
      <c r="F4610" t="s">
        <v>8</v>
      </c>
      <c r="G4610" t="s">
        <v>9</v>
      </c>
    </row>
    <row r="4611" spans="1:7" x14ac:dyDescent="0.35">
      <c r="A4611">
        <v>1821</v>
      </c>
      <c r="B4611" s="1">
        <v>45608</v>
      </c>
      <c r="C4611" t="s">
        <v>24</v>
      </c>
      <c r="D4611" s="2">
        <v>0</v>
      </c>
      <c r="E4611" s="2">
        <v>627.20000000000005</v>
      </c>
      <c r="F4611" t="s">
        <v>13</v>
      </c>
      <c r="G4611" t="s">
        <v>9</v>
      </c>
    </row>
    <row r="4612" spans="1:7" x14ac:dyDescent="0.35">
      <c r="A4612">
        <v>1822</v>
      </c>
      <c r="B4612" s="1">
        <v>45608</v>
      </c>
      <c r="C4612" t="s">
        <v>25</v>
      </c>
      <c r="D4612" s="2">
        <v>696.06</v>
      </c>
      <c r="E4612" s="2">
        <v>0</v>
      </c>
      <c r="F4612" t="s">
        <v>26</v>
      </c>
      <c r="G4612" t="s">
        <v>20</v>
      </c>
    </row>
    <row r="4613" spans="1:7" x14ac:dyDescent="0.35">
      <c r="A4613">
        <v>1822</v>
      </c>
      <c r="B4613" s="1">
        <v>45608</v>
      </c>
      <c r="C4613" t="s">
        <v>25</v>
      </c>
      <c r="D4613" s="2">
        <v>52.2</v>
      </c>
      <c r="E4613" s="2">
        <v>0</v>
      </c>
      <c r="F4613" t="s">
        <v>27</v>
      </c>
      <c r="G4613" t="s">
        <v>9</v>
      </c>
    </row>
    <row r="4614" spans="1:7" x14ac:dyDescent="0.35">
      <c r="A4614">
        <v>1822</v>
      </c>
      <c r="B4614" s="1">
        <v>45608</v>
      </c>
      <c r="C4614" t="s">
        <v>25</v>
      </c>
      <c r="D4614" s="2">
        <v>0</v>
      </c>
      <c r="E4614" s="2">
        <v>748.26</v>
      </c>
      <c r="F4614" t="s">
        <v>28</v>
      </c>
      <c r="G4614" t="s">
        <v>17</v>
      </c>
    </row>
    <row r="4615" spans="1:7" x14ac:dyDescent="0.35">
      <c r="A4615">
        <v>1823</v>
      </c>
      <c r="B4615" s="1">
        <v>45608</v>
      </c>
      <c r="C4615" t="s">
        <v>25</v>
      </c>
      <c r="D4615" s="2">
        <v>4476.71</v>
      </c>
      <c r="E4615" s="2">
        <v>0</v>
      </c>
      <c r="F4615" t="s">
        <v>26</v>
      </c>
      <c r="G4615" t="s">
        <v>20</v>
      </c>
    </row>
    <row r="4616" spans="1:7" x14ac:dyDescent="0.35">
      <c r="A4616">
        <v>1823</v>
      </c>
      <c r="B4616" s="1">
        <v>45608</v>
      </c>
      <c r="C4616" t="s">
        <v>25</v>
      </c>
      <c r="D4616" s="2">
        <v>335.75</v>
      </c>
      <c r="E4616" s="2">
        <v>0</v>
      </c>
      <c r="F4616" t="s">
        <v>27</v>
      </c>
      <c r="G4616" t="s">
        <v>9</v>
      </c>
    </row>
    <row r="4617" spans="1:7" x14ac:dyDescent="0.35">
      <c r="A4617">
        <v>1823</v>
      </c>
      <c r="B4617" s="1">
        <v>45608</v>
      </c>
      <c r="C4617" t="s">
        <v>25</v>
      </c>
      <c r="D4617" s="2">
        <v>0</v>
      </c>
      <c r="E4617" s="2">
        <v>4812.46</v>
      </c>
      <c r="F4617" t="s">
        <v>28</v>
      </c>
      <c r="G4617" t="s">
        <v>17</v>
      </c>
    </row>
    <row r="4618" spans="1:7" x14ac:dyDescent="0.35">
      <c r="A4618">
        <v>1824</v>
      </c>
      <c r="B4618" s="1">
        <v>45608</v>
      </c>
      <c r="C4618" t="s">
        <v>25</v>
      </c>
      <c r="D4618" s="2">
        <v>512</v>
      </c>
      <c r="E4618" s="2">
        <v>0</v>
      </c>
      <c r="F4618" t="s">
        <v>26</v>
      </c>
      <c r="G4618" t="s">
        <v>20</v>
      </c>
    </row>
    <row r="4619" spans="1:7" x14ac:dyDescent="0.35">
      <c r="A4619">
        <v>1824</v>
      </c>
      <c r="B4619" s="1">
        <v>45608</v>
      </c>
      <c r="C4619" t="s">
        <v>25</v>
      </c>
      <c r="D4619" s="2">
        <v>38.4</v>
      </c>
      <c r="E4619" s="2">
        <v>0</v>
      </c>
      <c r="F4619" t="s">
        <v>27</v>
      </c>
      <c r="G4619" t="s">
        <v>9</v>
      </c>
    </row>
    <row r="4620" spans="1:7" x14ac:dyDescent="0.35">
      <c r="A4620">
        <v>1824</v>
      </c>
      <c r="B4620" s="1">
        <v>45608</v>
      </c>
      <c r="C4620" t="s">
        <v>25</v>
      </c>
      <c r="D4620" s="2">
        <v>0</v>
      </c>
      <c r="E4620" s="2">
        <v>550.4</v>
      </c>
      <c r="F4620" t="s">
        <v>28</v>
      </c>
      <c r="G4620" t="s">
        <v>17</v>
      </c>
    </row>
    <row r="4621" spans="1:7" x14ac:dyDescent="0.35">
      <c r="A4621">
        <v>1825</v>
      </c>
      <c r="B4621" s="1">
        <v>45608</v>
      </c>
      <c r="C4621" t="s">
        <v>25</v>
      </c>
      <c r="D4621" s="2">
        <v>257.04000000000002</v>
      </c>
      <c r="E4621" s="2">
        <v>0</v>
      </c>
      <c r="F4621" t="s">
        <v>26</v>
      </c>
      <c r="G4621" t="s">
        <v>20</v>
      </c>
    </row>
    <row r="4622" spans="1:7" x14ac:dyDescent="0.35">
      <c r="A4622">
        <v>1825</v>
      </c>
      <c r="B4622" s="1">
        <v>45608</v>
      </c>
      <c r="C4622" t="s">
        <v>25</v>
      </c>
      <c r="D4622" s="2">
        <v>19.28</v>
      </c>
      <c r="E4622" s="2">
        <v>0</v>
      </c>
      <c r="F4622" t="s">
        <v>27</v>
      </c>
      <c r="G4622" t="s">
        <v>9</v>
      </c>
    </row>
    <row r="4623" spans="1:7" x14ac:dyDescent="0.35">
      <c r="A4623">
        <v>1825</v>
      </c>
      <c r="B4623" s="1">
        <v>45608</v>
      </c>
      <c r="C4623" t="s">
        <v>25</v>
      </c>
      <c r="D4623" s="2">
        <v>0</v>
      </c>
      <c r="E4623" s="2">
        <v>276.32</v>
      </c>
      <c r="F4623" t="s">
        <v>28</v>
      </c>
      <c r="G4623" t="s">
        <v>17</v>
      </c>
    </row>
    <row r="4624" spans="1:7" x14ac:dyDescent="0.35">
      <c r="A4624">
        <v>1826</v>
      </c>
      <c r="B4624" s="1">
        <v>45608</v>
      </c>
      <c r="C4624" t="s">
        <v>25</v>
      </c>
      <c r="D4624" s="2">
        <v>1213.5999999999999</v>
      </c>
      <c r="E4624" s="2">
        <v>0</v>
      </c>
      <c r="F4624" t="s">
        <v>26</v>
      </c>
      <c r="G4624" t="s">
        <v>20</v>
      </c>
    </row>
    <row r="4625" spans="1:7" x14ac:dyDescent="0.35">
      <c r="A4625">
        <v>1826</v>
      </c>
      <c r="B4625" s="1">
        <v>45608</v>
      </c>
      <c r="C4625" t="s">
        <v>25</v>
      </c>
      <c r="D4625" s="2">
        <v>91.02</v>
      </c>
      <c r="E4625" s="2">
        <v>0</v>
      </c>
      <c r="F4625" t="s">
        <v>27</v>
      </c>
      <c r="G4625" t="s">
        <v>9</v>
      </c>
    </row>
    <row r="4626" spans="1:7" x14ac:dyDescent="0.35">
      <c r="A4626">
        <v>1826</v>
      </c>
      <c r="B4626" s="1">
        <v>45608</v>
      </c>
      <c r="C4626" t="s">
        <v>25</v>
      </c>
      <c r="D4626" s="2">
        <v>0</v>
      </c>
      <c r="E4626" s="2">
        <v>1304.6199999999999</v>
      </c>
      <c r="F4626" t="s">
        <v>28</v>
      </c>
      <c r="G4626" t="s">
        <v>17</v>
      </c>
    </row>
    <row r="4627" spans="1:7" x14ac:dyDescent="0.35">
      <c r="A4627">
        <v>1827</v>
      </c>
      <c r="B4627" s="1">
        <v>45608</v>
      </c>
      <c r="C4627" t="s">
        <v>25</v>
      </c>
      <c r="D4627" s="2">
        <v>1800.04</v>
      </c>
      <c r="E4627" s="2">
        <v>0</v>
      </c>
      <c r="F4627" t="s">
        <v>26</v>
      </c>
      <c r="G4627" t="s">
        <v>20</v>
      </c>
    </row>
    <row r="4628" spans="1:7" x14ac:dyDescent="0.35">
      <c r="A4628">
        <v>1827</v>
      </c>
      <c r="B4628" s="1">
        <v>45608</v>
      </c>
      <c r="C4628" t="s">
        <v>25</v>
      </c>
      <c r="D4628" s="2">
        <v>135</v>
      </c>
      <c r="E4628" s="2">
        <v>0</v>
      </c>
      <c r="F4628" t="s">
        <v>27</v>
      </c>
      <c r="G4628" t="s">
        <v>9</v>
      </c>
    </row>
    <row r="4629" spans="1:7" x14ac:dyDescent="0.35">
      <c r="A4629">
        <v>1827</v>
      </c>
      <c r="B4629" s="1">
        <v>45608</v>
      </c>
      <c r="C4629" t="s">
        <v>25</v>
      </c>
      <c r="D4629" s="2">
        <v>0</v>
      </c>
      <c r="E4629" s="2">
        <v>1935.04</v>
      </c>
      <c r="F4629" t="s">
        <v>28</v>
      </c>
      <c r="G4629" t="s">
        <v>17</v>
      </c>
    </row>
    <row r="4630" spans="1:7" x14ac:dyDescent="0.35">
      <c r="A4630">
        <v>1828</v>
      </c>
      <c r="B4630" s="1">
        <v>45608</v>
      </c>
      <c r="C4630" t="s">
        <v>25</v>
      </c>
      <c r="D4630" s="2">
        <v>2714.58</v>
      </c>
      <c r="E4630" s="2">
        <v>0</v>
      </c>
      <c r="F4630" t="s">
        <v>26</v>
      </c>
      <c r="G4630" t="s">
        <v>20</v>
      </c>
    </row>
    <row r="4631" spans="1:7" x14ac:dyDescent="0.35">
      <c r="A4631">
        <v>1828</v>
      </c>
      <c r="B4631" s="1">
        <v>45608</v>
      </c>
      <c r="C4631" t="s">
        <v>25</v>
      </c>
      <c r="D4631" s="2">
        <v>203.59</v>
      </c>
      <c r="E4631" s="2">
        <v>0</v>
      </c>
      <c r="F4631" t="s">
        <v>27</v>
      </c>
      <c r="G4631" t="s">
        <v>9</v>
      </c>
    </row>
    <row r="4632" spans="1:7" x14ac:dyDescent="0.35">
      <c r="A4632">
        <v>1828</v>
      </c>
      <c r="B4632" s="1">
        <v>45608</v>
      </c>
      <c r="C4632" t="s">
        <v>25</v>
      </c>
      <c r="D4632" s="2">
        <v>0</v>
      </c>
      <c r="E4632" s="2">
        <v>2918.17</v>
      </c>
      <c r="F4632" t="s">
        <v>28</v>
      </c>
      <c r="G4632" t="s">
        <v>17</v>
      </c>
    </row>
    <row r="4633" spans="1:7" x14ac:dyDescent="0.35">
      <c r="A4633">
        <v>1829</v>
      </c>
      <c r="B4633" s="1">
        <v>45608</v>
      </c>
      <c r="C4633" t="s">
        <v>25</v>
      </c>
      <c r="D4633" s="2">
        <v>802.71</v>
      </c>
      <c r="E4633" s="2">
        <v>0</v>
      </c>
      <c r="F4633" t="s">
        <v>26</v>
      </c>
      <c r="G4633" t="s">
        <v>20</v>
      </c>
    </row>
    <row r="4634" spans="1:7" x14ac:dyDescent="0.35">
      <c r="A4634">
        <v>1829</v>
      </c>
      <c r="B4634" s="1">
        <v>45608</v>
      </c>
      <c r="C4634" t="s">
        <v>25</v>
      </c>
      <c r="D4634" s="2">
        <v>60.2</v>
      </c>
      <c r="E4634" s="2">
        <v>0</v>
      </c>
      <c r="F4634" t="s">
        <v>27</v>
      </c>
      <c r="G4634" t="s">
        <v>9</v>
      </c>
    </row>
    <row r="4635" spans="1:7" x14ac:dyDescent="0.35">
      <c r="A4635">
        <v>1829</v>
      </c>
      <c r="B4635" s="1">
        <v>45608</v>
      </c>
      <c r="C4635" t="s">
        <v>25</v>
      </c>
      <c r="D4635" s="2">
        <v>0</v>
      </c>
      <c r="E4635" s="2">
        <v>862.91</v>
      </c>
      <c r="F4635" t="s">
        <v>28</v>
      </c>
      <c r="G4635" t="s">
        <v>17</v>
      </c>
    </row>
    <row r="4636" spans="1:7" x14ac:dyDescent="0.35">
      <c r="A4636">
        <v>1830</v>
      </c>
      <c r="B4636" s="1">
        <v>45608</v>
      </c>
      <c r="C4636" t="s">
        <v>25</v>
      </c>
      <c r="D4636" s="2">
        <v>2030.15</v>
      </c>
      <c r="E4636" s="2">
        <v>0</v>
      </c>
      <c r="F4636" t="s">
        <v>26</v>
      </c>
      <c r="G4636" t="s">
        <v>20</v>
      </c>
    </row>
    <row r="4637" spans="1:7" x14ac:dyDescent="0.35">
      <c r="A4637">
        <v>1830</v>
      </c>
      <c r="B4637" s="1">
        <v>45608</v>
      </c>
      <c r="C4637" t="s">
        <v>25</v>
      </c>
      <c r="D4637" s="2">
        <v>152.26</v>
      </c>
      <c r="E4637" s="2">
        <v>0</v>
      </c>
      <c r="F4637" t="s">
        <v>27</v>
      </c>
      <c r="G4637" t="s">
        <v>9</v>
      </c>
    </row>
    <row r="4638" spans="1:7" x14ac:dyDescent="0.35">
      <c r="A4638">
        <v>1830</v>
      </c>
      <c r="B4638" s="1">
        <v>45608</v>
      </c>
      <c r="C4638" t="s">
        <v>25</v>
      </c>
      <c r="D4638" s="2">
        <v>0</v>
      </c>
      <c r="E4638" s="2">
        <v>2182.41</v>
      </c>
      <c r="F4638" t="s">
        <v>28</v>
      </c>
      <c r="G4638" t="s">
        <v>17</v>
      </c>
    </row>
    <row r="4639" spans="1:7" x14ac:dyDescent="0.35">
      <c r="A4639">
        <v>1831</v>
      </c>
      <c r="B4639" s="1">
        <v>45608</v>
      </c>
      <c r="C4639" t="s">
        <v>25</v>
      </c>
      <c r="D4639" s="2">
        <v>3598.88</v>
      </c>
      <c r="E4639" s="2">
        <v>0</v>
      </c>
      <c r="F4639" t="s">
        <v>26</v>
      </c>
      <c r="G4639" t="s">
        <v>20</v>
      </c>
    </row>
    <row r="4640" spans="1:7" x14ac:dyDescent="0.35">
      <c r="A4640">
        <v>1831</v>
      </c>
      <c r="B4640" s="1">
        <v>45608</v>
      </c>
      <c r="C4640" t="s">
        <v>25</v>
      </c>
      <c r="D4640" s="2">
        <v>269.92</v>
      </c>
      <c r="E4640" s="2">
        <v>0</v>
      </c>
      <c r="F4640" t="s">
        <v>27</v>
      </c>
      <c r="G4640" t="s">
        <v>9</v>
      </c>
    </row>
    <row r="4641" spans="1:7" x14ac:dyDescent="0.35">
      <c r="A4641">
        <v>1831</v>
      </c>
      <c r="B4641" s="1">
        <v>45608</v>
      </c>
      <c r="C4641" t="s">
        <v>25</v>
      </c>
      <c r="D4641" s="2">
        <v>0</v>
      </c>
      <c r="E4641" s="2">
        <v>3868.8</v>
      </c>
      <c r="F4641" t="s">
        <v>28</v>
      </c>
      <c r="G4641" t="s">
        <v>17</v>
      </c>
    </row>
    <row r="4642" spans="1:7" x14ac:dyDescent="0.35">
      <c r="A4642">
        <v>1832</v>
      </c>
      <c r="B4642" s="1">
        <v>45608</v>
      </c>
      <c r="C4642" t="s">
        <v>25</v>
      </c>
      <c r="D4642" s="2">
        <v>2329.52</v>
      </c>
      <c r="E4642" s="2">
        <v>0</v>
      </c>
      <c r="F4642" t="s">
        <v>26</v>
      </c>
      <c r="G4642" t="s">
        <v>20</v>
      </c>
    </row>
    <row r="4643" spans="1:7" x14ac:dyDescent="0.35">
      <c r="A4643">
        <v>1832</v>
      </c>
      <c r="B4643" s="1">
        <v>45608</v>
      </c>
      <c r="C4643" t="s">
        <v>25</v>
      </c>
      <c r="D4643" s="2">
        <v>174.71</v>
      </c>
      <c r="E4643" s="2">
        <v>0</v>
      </c>
      <c r="F4643" t="s">
        <v>27</v>
      </c>
      <c r="G4643" t="s">
        <v>9</v>
      </c>
    </row>
    <row r="4644" spans="1:7" x14ac:dyDescent="0.35">
      <c r="A4644">
        <v>1832</v>
      </c>
      <c r="B4644" s="1">
        <v>45608</v>
      </c>
      <c r="C4644" t="s">
        <v>25</v>
      </c>
      <c r="D4644" s="2">
        <v>0</v>
      </c>
      <c r="E4644" s="2">
        <v>2504.23</v>
      </c>
      <c r="F4644" t="s">
        <v>28</v>
      </c>
      <c r="G4644" t="s">
        <v>17</v>
      </c>
    </row>
    <row r="4645" spans="1:7" x14ac:dyDescent="0.35">
      <c r="A4645">
        <v>1833</v>
      </c>
      <c r="B4645" s="1">
        <v>45608</v>
      </c>
      <c r="C4645" t="s">
        <v>29</v>
      </c>
      <c r="D4645" s="2">
        <v>179.01</v>
      </c>
      <c r="E4645" s="2">
        <v>0</v>
      </c>
      <c r="F4645" t="s">
        <v>28</v>
      </c>
      <c r="G4645" t="s">
        <v>17</v>
      </c>
    </row>
    <row r="4646" spans="1:7" x14ac:dyDescent="0.35">
      <c r="A4646">
        <v>1833</v>
      </c>
      <c r="B4646" s="1">
        <v>45608</v>
      </c>
      <c r="C4646" t="s">
        <v>29</v>
      </c>
      <c r="D4646" s="2">
        <v>0</v>
      </c>
      <c r="E4646" s="2">
        <v>179.01</v>
      </c>
      <c r="F4646" t="s">
        <v>8</v>
      </c>
      <c r="G4646" t="s">
        <v>9</v>
      </c>
    </row>
    <row r="4647" spans="1:7" x14ac:dyDescent="0.35">
      <c r="A4647">
        <v>1834</v>
      </c>
      <c r="B4647" s="1">
        <v>45608</v>
      </c>
      <c r="C4647" t="s">
        <v>29</v>
      </c>
      <c r="D4647" s="2">
        <v>1304.6199999999999</v>
      </c>
      <c r="E4647" s="2">
        <v>0</v>
      </c>
      <c r="F4647" t="s">
        <v>28</v>
      </c>
      <c r="G4647" t="s">
        <v>17</v>
      </c>
    </row>
    <row r="4648" spans="1:7" x14ac:dyDescent="0.35">
      <c r="A4648">
        <v>1834</v>
      </c>
      <c r="B4648" s="1">
        <v>45608</v>
      </c>
      <c r="C4648" t="s">
        <v>29</v>
      </c>
      <c r="D4648" s="2">
        <v>0</v>
      </c>
      <c r="E4648" s="2">
        <v>1304.6199999999999</v>
      </c>
      <c r="F4648" t="s">
        <v>8</v>
      </c>
      <c r="G4648" t="s">
        <v>9</v>
      </c>
    </row>
    <row r="4649" spans="1:7" x14ac:dyDescent="0.35">
      <c r="A4649">
        <v>1835</v>
      </c>
      <c r="B4649" s="1">
        <v>45609</v>
      </c>
      <c r="C4649" t="s">
        <v>12</v>
      </c>
      <c r="D4649" s="2">
        <v>522.30999999999995</v>
      </c>
      <c r="E4649" s="2">
        <v>0</v>
      </c>
      <c r="F4649" t="s">
        <v>13</v>
      </c>
      <c r="G4649" t="s">
        <v>9</v>
      </c>
    </row>
    <row r="4650" spans="1:7" x14ac:dyDescent="0.35">
      <c r="A4650">
        <v>1835</v>
      </c>
      <c r="B4650" s="1">
        <v>45609</v>
      </c>
      <c r="C4650" t="s">
        <v>12</v>
      </c>
      <c r="D4650" s="2">
        <v>0</v>
      </c>
      <c r="E4650" s="2">
        <v>485.87</v>
      </c>
      <c r="F4650" t="s">
        <v>14</v>
      </c>
      <c r="G4650" t="s">
        <v>15</v>
      </c>
    </row>
    <row r="4651" spans="1:7" x14ac:dyDescent="0.35">
      <c r="A4651">
        <v>1835</v>
      </c>
      <c r="B4651" s="1">
        <v>45609</v>
      </c>
      <c r="C4651" t="s">
        <v>12</v>
      </c>
      <c r="D4651" s="2">
        <v>0</v>
      </c>
      <c r="E4651" s="2">
        <v>36.44</v>
      </c>
      <c r="F4651" t="s">
        <v>16</v>
      </c>
      <c r="G4651" t="s">
        <v>17</v>
      </c>
    </row>
    <row r="4652" spans="1:7" x14ac:dyDescent="0.35">
      <c r="A4652">
        <v>1836</v>
      </c>
      <c r="B4652" s="1">
        <v>45609</v>
      </c>
      <c r="C4652" t="s">
        <v>12</v>
      </c>
      <c r="D4652" s="2">
        <v>3536.95</v>
      </c>
      <c r="E4652" s="2">
        <v>0</v>
      </c>
      <c r="F4652" t="s">
        <v>13</v>
      </c>
      <c r="G4652" t="s">
        <v>9</v>
      </c>
    </row>
    <row r="4653" spans="1:7" x14ac:dyDescent="0.35">
      <c r="A4653">
        <v>1836</v>
      </c>
      <c r="B4653" s="1">
        <v>45609</v>
      </c>
      <c r="C4653" t="s">
        <v>12</v>
      </c>
      <c r="D4653" s="2">
        <v>0</v>
      </c>
      <c r="E4653" s="2">
        <v>3290.18</v>
      </c>
      <c r="F4653" t="s">
        <v>14</v>
      </c>
      <c r="G4653" t="s">
        <v>15</v>
      </c>
    </row>
    <row r="4654" spans="1:7" x14ac:dyDescent="0.35">
      <c r="A4654">
        <v>1836</v>
      </c>
      <c r="B4654" s="1">
        <v>45609</v>
      </c>
      <c r="C4654" t="s">
        <v>12</v>
      </c>
      <c r="D4654" s="2">
        <v>0</v>
      </c>
      <c r="E4654" s="2">
        <v>246.77</v>
      </c>
      <c r="F4654" t="s">
        <v>16</v>
      </c>
      <c r="G4654" t="s">
        <v>17</v>
      </c>
    </row>
    <row r="4655" spans="1:7" x14ac:dyDescent="0.35">
      <c r="A4655">
        <v>1837</v>
      </c>
      <c r="B4655" s="1">
        <v>45609</v>
      </c>
      <c r="C4655" t="s">
        <v>12</v>
      </c>
      <c r="D4655" s="2">
        <v>3702.42</v>
      </c>
      <c r="E4655" s="2">
        <v>0</v>
      </c>
      <c r="F4655" t="s">
        <v>13</v>
      </c>
      <c r="G4655" t="s">
        <v>9</v>
      </c>
    </row>
    <row r="4656" spans="1:7" x14ac:dyDescent="0.35">
      <c r="A4656">
        <v>1837</v>
      </c>
      <c r="B4656" s="1">
        <v>45609</v>
      </c>
      <c r="C4656" t="s">
        <v>12</v>
      </c>
      <c r="D4656" s="2">
        <v>0</v>
      </c>
      <c r="E4656" s="2">
        <v>3444.11</v>
      </c>
      <c r="F4656" t="s">
        <v>14</v>
      </c>
      <c r="G4656" t="s">
        <v>15</v>
      </c>
    </row>
    <row r="4657" spans="1:7" x14ac:dyDescent="0.35">
      <c r="A4657">
        <v>1837</v>
      </c>
      <c r="B4657" s="1">
        <v>45609</v>
      </c>
      <c r="C4657" t="s">
        <v>12</v>
      </c>
      <c r="D4657" s="2">
        <v>0</v>
      </c>
      <c r="E4657" s="2">
        <v>258.31</v>
      </c>
      <c r="F4657" t="s">
        <v>16</v>
      </c>
      <c r="G4657" t="s">
        <v>17</v>
      </c>
    </row>
    <row r="4658" spans="1:7" x14ac:dyDescent="0.35">
      <c r="A4658">
        <v>1838</v>
      </c>
      <c r="B4658" s="1">
        <v>45609</v>
      </c>
      <c r="C4658" t="s">
        <v>12</v>
      </c>
      <c r="D4658" s="2">
        <v>970.44</v>
      </c>
      <c r="E4658" s="2">
        <v>0</v>
      </c>
      <c r="F4658" t="s">
        <v>13</v>
      </c>
      <c r="G4658" t="s">
        <v>9</v>
      </c>
    </row>
    <row r="4659" spans="1:7" x14ac:dyDescent="0.35">
      <c r="A4659">
        <v>1838</v>
      </c>
      <c r="B4659" s="1">
        <v>45609</v>
      </c>
      <c r="C4659" t="s">
        <v>12</v>
      </c>
      <c r="D4659" s="2">
        <v>0</v>
      </c>
      <c r="E4659" s="2">
        <v>902.73</v>
      </c>
      <c r="F4659" t="s">
        <v>14</v>
      </c>
      <c r="G4659" t="s">
        <v>15</v>
      </c>
    </row>
    <row r="4660" spans="1:7" x14ac:dyDescent="0.35">
      <c r="A4660">
        <v>1838</v>
      </c>
      <c r="B4660" s="1">
        <v>45609</v>
      </c>
      <c r="C4660" t="s">
        <v>12</v>
      </c>
      <c r="D4660" s="2">
        <v>0</v>
      </c>
      <c r="E4660" s="2">
        <v>67.709999999999994</v>
      </c>
      <c r="F4660" t="s">
        <v>16</v>
      </c>
      <c r="G4660" t="s">
        <v>17</v>
      </c>
    </row>
    <row r="4661" spans="1:7" x14ac:dyDescent="0.35">
      <c r="A4661">
        <v>1839</v>
      </c>
      <c r="B4661" s="1">
        <v>45609</v>
      </c>
      <c r="C4661" t="s">
        <v>12</v>
      </c>
      <c r="D4661" s="2">
        <v>6808.91</v>
      </c>
      <c r="E4661" s="2">
        <v>0</v>
      </c>
      <c r="F4661" t="s">
        <v>13</v>
      </c>
      <c r="G4661" t="s">
        <v>9</v>
      </c>
    </row>
    <row r="4662" spans="1:7" x14ac:dyDescent="0.35">
      <c r="A4662">
        <v>1839</v>
      </c>
      <c r="B4662" s="1">
        <v>45609</v>
      </c>
      <c r="C4662" t="s">
        <v>12</v>
      </c>
      <c r="D4662" s="2">
        <v>0</v>
      </c>
      <c r="E4662" s="2">
        <v>6333.87</v>
      </c>
      <c r="F4662" t="s">
        <v>14</v>
      </c>
      <c r="G4662" t="s">
        <v>15</v>
      </c>
    </row>
    <row r="4663" spans="1:7" x14ac:dyDescent="0.35">
      <c r="A4663">
        <v>1839</v>
      </c>
      <c r="B4663" s="1">
        <v>45609</v>
      </c>
      <c r="C4663" t="s">
        <v>12</v>
      </c>
      <c r="D4663" s="2">
        <v>0</v>
      </c>
      <c r="E4663" s="2">
        <v>475.04</v>
      </c>
      <c r="F4663" t="s">
        <v>16</v>
      </c>
      <c r="G4663" t="s">
        <v>17</v>
      </c>
    </row>
    <row r="4664" spans="1:7" x14ac:dyDescent="0.35">
      <c r="A4664">
        <v>1840</v>
      </c>
      <c r="B4664" s="1">
        <v>45609</v>
      </c>
      <c r="C4664" t="s">
        <v>12</v>
      </c>
      <c r="D4664" s="2">
        <v>3749.99</v>
      </c>
      <c r="E4664" s="2">
        <v>0</v>
      </c>
      <c r="F4664" t="s">
        <v>13</v>
      </c>
      <c r="G4664" t="s">
        <v>9</v>
      </c>
    </row>
    <row r="4665" spans="1:7" x14ac:dyDescent="0.35">
      <c r="A4665">
        <v>1840</v>
      </c>
      <c r="B4665" s="1">
        <v>45609</v>
      </c>
      <c r="C4665" t="s">
        <v>12</v>
      </c>
      <c r="D4665" s="2">
        <v>0</v>
      </c>
      <c r="E4665" s="2">
        <v>3488.36</v>
      </c>
      <c r="F4665" t="s">
        <v>14</v>
      </c>
      <c r="G4665" t="s">
        <v>15</v>
      </c>
    </row>
    <row r="4666" spans="1:7" x14ac:dyDescent="0.35">
      <c r="A4666">
        <v>1840</v>
      </c>
      <c r="B4666" s="1">
        <v>45609</v>
      </c>
      <c r="C4666" t="s">
        <v>12</v>
      </c>
      <c r="D4666" s="2">
        <v>0</v>
      </c>
      <c r="E4666" s="2">
        <v>261.63</v>
      </c>
      <c r="F4666" t="s">
        <v>16</v>
      </c>
      <c r="G4666" t="s">
        <v>17</v>
      </c>
    </row>
    <row r="4667" spans="1:7" x14ac:dyDescent="0.35">
      <c r="A4667">
        <v>1841</v>
      </c>
      <c r="B4667" s="1">
        <v>45609</v>
      </c>
      <c r="C4667" t="s">
        <v>24</v>
      </c>
      <c r="D4667" s="2">
        <v>6654.24</v>
      </c>
      <c r="E4667" s="2">
        <v>0</v>
      </c>
      <c r="F4667" t="s">
        <v>8</v>
      </c>
      <c r="G4667" t="s">
        <v>9</v>
      </c>
    </row>
    <row r="4668" spans="1:7" x14ac:dyDescent="0.35">
      <c r="A4668">
        <v>1841</v>
      </c>
      <c r="B4668" s="1">
        <v>45609</v>
      </c>
      <c r="C4668" t="s">
        <v>24</v>
      </c>
      <c r="D4668" s="2">
        <v>0</v>
      </c>
      <c r="E4668" s="2">
        <v>6654.24</v>
      </c>
      <c r="F4668" t="s">
        <v>13</v>
      </c>
      <c r="G4668" t="s">
        <v>9</v>
      </c>
    </row>
    <row r="4669" spans="1:7" x14ac:dyDescent="0.35">
      <c r="A4669">
        <v>1842</v>
      </c>
      <c r="B4669" s="1">
        <v>45609</v>
      </c>
      <c r="C4669" t="s">
        <v>24</v>
      </c>
      <c r="D4669" s="2">
        <v>2365.94</v>
      </c>
      <c r="E4669" s="2">
        <v>0</v>
      </c>
      <c r="F4669" t="s">
        <v>8</v>
      </c>
      <c r="G4669" t="s">
        <v>9</v>
      </c>
    </row>
    <row r="4670" spans="1:7" x14ac:dyDescent="0.35">
      <c r="A4670">
        <v>1842</v>
      </c>
      <c r="B4670" s="1">
        <v>45609</v>
      </c>
      <c r="C4670" t="s">
        <v>24</v>
      </c>
      <c r="D4670" s="2">
        <v>0</v>
      </c>
      <c r="E4670" s="2">
        <v>2365.94</v>
      </c>
      <c r="F4670" t="s">
        <v>13</v>
      </c>
      <c r="G4670" t="s">
        <v>9</v>
      </c>
    </row>
    <row r="4671" spans="1:7" x14ac:dyDescent="0.35">
      <c r="A4671">
        <v>1843</v>
      </c>
      <c r="B4671" s="1">
        <v>45609</v>
      </c>
      <c r="C4671" t="s">
        <v>24</v>
      </c>
      <c r="D4671" s="2">
        <v>2236.14</v>
      </c>
      <c r="E4671" s="2">
        <v>0</v>
      </c>
      <c r="F4671" t="s">
        <v>8</v>
      </c>
      <c r="G4671" t="s">
        <v>9</v>
      </c>
    </row>
    <row r="4672" spans="1:7" x14ac:dyDescent="0.35">
      <c r="A4672">
        <v>1843</v>
      </c>
      <c r="B4672" s="1">
        <v>45609</v>
      </c>
      <c r="C4672" t="s">
        <v>24</v>
      </c>
      <c r="D4672" s="2">
        <v>0</v>
      </c>
      <c r="E4672" s="2">
        <v>2236.14</v>
      </c>
      <c r="F4672" t="s">
        <v>13</v>
      </c>
      <c r="G4672" t="s">
        <v>9</v>
      </c>
    </row>
    <row r="4673" spans="1:7" x14ac:dyDescent="0.35">
      <c r="A4673">
        <v>1844</v>
      </c>
      <c r="B4673" s="1">
        <v>45609</v>
      </c>
      <c r="C4673" t="s">
        <v>24</v>
      </c>
      <c r="D4673" s="2">
        <v>1469.68</v>
      </c>
      <c r="E4673" s="2">
        <v>0</v>
      </c>
      <c r="F4673" t="s">
        <v>8</v>
      </c>
      <c r="G4673" t="s">
        <v>9</v>
      </c>
    </row>
    <row r="4674" spans="1:7" x14ac:dyDescent="0.35">
      <c r="A4674">
        <v>1844</v>
      </c>
      <c r="B4674" s="1">
        <v>45609</v>
      </c>
      <c r="C4674" t="s">
        <v>24</v>
      </c>
      <c r="D4674" s="2">
        <v>0</v>
      </c>
      <c r="E4674" s="2">
        <v>1469.68</v>
      </c>
      <c r="F4674" t="s">
        <v>13</v>
      </c>
      <c r="G4674" t="s">
        <v>9</v>
      </c>
    </row>
    <row r="4675" spans="1:7" x14ac:dyDescent="0.35">
      <c r="A4675">
        <v>1845</v>
      </c>
      <c r="B4675" s="1">
        <v>45609</v>
      </c>
      <c r="C4675" t="s">
        <v>24</v>
      </c>
      <c r="D4675" s="2">
        <v>1366.89</v>
      </c>
      <c r="E4675" s="2">
        <v>0</v>
      </c>
      <c r="F4675" t="s">
        <v>8</v>
      </c>
      <c r="G4675" t="s">
        <v>9</v>
      </c>
    </row>
    <row r="4676" spans="1:7" x14ac:dyDescent="0.35">
      <c r="A4676">
        <v>1845</v>
      </c>
      <c r="B4676" s="1">
        <v>45609</v>
      </c>
      <c r="C4676" t="s">
        <v>24</v>
      </c>
      <c r="D4676" s="2">
        <v>0</v>
      </c>
      <c r="E4676" s="2">
        <v>1366.89</v>
      </c>
      <c r="F4676" t="s">
        <v>13</v>
      </c>
      <c r="G4676" t="s">
        <v>9</v>
      </c>
    </row>
    <row r="4677" spans="1:7" x14ac:dyDescent="0.35">
      <c r="A4677">
        <v>1846</v>
      </c>
      <c r="B4677" s="1">
        <v>45609</v>
      </c>
      <c r="C4677" t="s">
        <v>24</v>
      </c>
      <c r="D4677" s="2">
        <v>4097.6899999999996</v>
      </c>
      <c r="E4677" s="2">
        <v>0</v>
      </c>
      <c r="F4677" t="s">
        <v>8</v>
      </c>
      <c r="G4677" t="s">
        <v>9</v>
      </c>
    </row>
    <row r="4678" spans="1:7" x14ac:dyDescent="0.35">
      <c r="A4678">
        <v>1846</v>
      </c>
      <c r="B4678" s="1">
        <v>45609</v>
      </c>
      <c r="C4678" t="s">
        <v>24</v>
      </c>
      <c r="D4678" s="2">
        <v>0</v>
      </c>
      <c r="E4678" s="2">
        <v>4097.6899999999996</v>
      </c>
      <c r="F4678" t="s">
        <v>13</v>
      </c>
      <c r="G4678" t="s">
        <v>9</v>
      </c>
    </row>
    <row r="4679" spans="1:7" x14ac:dyDescent="0.35">
      <c r="A4679">
        <v>1847</v>
      </c>
      <c r="B4679" s="1">
        <v>45609</v>
      </c>
      <c r="C4679" t="s">
        <v>24</v>
      </c>
      <c r="D4679" s="2">
        <v>289.08999999999997</v>
      </c>
      <c r="E4679" s="2">
        <v>0</v>
      </c>
      <c r="F4679" t="s">
        <v>8</v>
      </c>
      <c r="G4679" t="s">
        <v>9</v>
      </c>
    </row>
    <row r="4680" spans="1:7" x14ac:dyDescent="0.35">
      <c r="A4680">
        <v>1847</v>
      </c>
      <c r="B4680" s="1">
        <v>45609</v>
      </c>
      <c r="C4680" t="s">
        <v>24</v>
      </c>
      <c r="D4680" s="2">
        <v>0</v>
      </c>
      <c r="E4680" s="2">
        <v>289.08999999999997</v>
      </c>
      <c r="F4680" t="s">
        <v>13</v>
      </c>
      <c r="G4680" t="s">
        <v>9</v>
      </c>
    </row>
    <row r="4681" spans="1:7" x14ac:dyDescent="0.35">
      <c r="A4681">
        <v>1848</v>
      </c>
      <c r="B4681" s="1">
        <v>45609</v>
      </c>
      <c r="C4681" t="s">
        <v>24</v>
      </c>
      <c r="D4681" s="2">
        <v>3683.89</v>
      </c>
      <c r="E4681" s="2">
        <v>0</v>
      </c>
      <c r="F4681" t="s">
        <v>8</v>
      </c>
      <c r="G4681" t="s">
        <v>9</v>
      </c>
    </row>
    <row r="4682" spans="1:7" x14ac:dyDescent="0.35">
      <c r="A4682">
        <v>1848</v>
      </c>
      <c r="B4682" s="1">
        <v>45609</v>
      </c>
      <c r="C4682" t="s">
        <v>24</v>
      </c>
      <c r="D4682" s="2">
        <v>0</v>
      </c>
      <c r="E4682" s="2">
        <v>3683.89</v>
      </c>
      <c r="F4682" t="s">
        <v>13</v>
      </c>
      <c r="G4682" t="s">
        <v>9</v>
      </c>
    </row>
    <row r="4683" spans="1:7" x14ac:dyDescent="0.35">
      <c r="A4683">
        <v>1849</v>
      </c>
      <c r="B4683" s="1">
        <v>45609</v>
      </c>
      <c r="C4683" t="s">
        <v>24</v>
      </c>
      <c r="D4683" s="2">
        <v>4218.5</v>
      </c>
      <c r="E4683" s="2">
        <v>0</v>
      </c>
      <c r="F4683" t="s">
        <v>8</v>
      </c>
      <c r="G4683" t="s">
        <v>9</v>
      </c>
    </row>
    <row r="4684" spans="1:7" x14ac:dyDescent="0.35">
      <c r="A4684">
        <v>1849</v>
      </c>
      <c r="B4684" s="1">
        <v>45609</v>
      </c>
      <c r="C4684" t="s">
        <v>24</v>
      </c>
      <c r="D4684" s="2">
        <v>0</v>
      </c>
      <c r="E4684" s="2">
        <v>4218.5</v>
      </c>
      <c r="F4684" t="s">
        <v>13</v>
      </c>
      <c r="G4684" t="s">
        <v>9</v>
      </c>
    </row>
    <row r="4685" spans="1:7" x14ac:dyDescent="0.35">
      <c r="A4685">
        <v>1850</v>
      </c>
      <c r="B4685" s="1">
        <v>45609</v>
      </c>
      <c r="C4685" t="s">
        <v>24</v>
      </c>
      <c r="D4685" s="2">
        <v>970.44</v>
      </c>
      <c r="E4685" s="2">
        <v>0</v>
      </c>
      <c r="F4685" t="s">
        <v>8</v>
      </c>
      <c r="G4685" t="s">
        <v>9</v>
      </c>
    </row>
    <row r="4686" spans="1:7" x14ac:dyDescent="0.35">
      <c r="A4686">
        <v>1850</v>
      </c>
      <c r="B4686" s="1">
        <v>45609</v>
      </c>
      <c r="C4686" t="s">
        <v>24</v>
      </c>
      <c r="D4686" s="2">
        <v>0</v>
      </c>
      <c r="E4686" s="2">
        <v>970.44</v>
      </c>
      <c r="F4686" t="s">
        <v>13</v>
      </c>
      <c r="G4686" t="s">
        <v>9</v>
      </c>
    </row>
    <row r="4687" spans="1:7" x14ac:dyDescent="0.35">
      <c r="A4687">
        <v>1851</v>
      </c>
      <c r="B4687" s="1">
        <v>45609</v>
      </c>
      <c r="C4687" t="s">
        <v>25</v>
      </c>
      <c r="D4687" s="2">
        <v>8685.27</v>
      </c>
      <c r="E4687" s="2">
        <v>0</v>
      </c>
      <c r="F4687" t="s">
        <v>26</v>
      </c>
      <c r="G4687" t="s">
        <v>20</v>
      </c>
    </row>
    <row r="4688" spans="1:7" x14ac:dyDescent="0.35">
      <c r="A4688">
        <v>1851</v>
      </c>
      <c r="B4688" s="1">
        <v>45609</v>
      </c>
      <c r="C4688" t="s">
        <v>25</v>
      </c>
      <c r="D4688" s="2">
        <v>651.4</v>
      </c>
      <c r="E4688" s="2">
        <v>0</v>
      </c>
      <c r="F4688" t="s">
        <v>27</v>
      </c>
      <c r="G4688" t="s">
        <v>9</v>
      </c>
    </row>
    <row r="4689" spans="1:7" x14ac:dyDescent="0.35">
      <c r="A4689">
        <v>1851</v>
      </c>
      <c r="B4689" s="1">
        <v>45609</v>
      </c>
      <c r="C4689" t="s">
        <v>25</v>
      </c>
      <c r="D4689" s="2">
        <v>0</v>
      </c>
      <c r="E4689" s="2">
        <v>9336.67</v>
      </c>
      <c r="F4689" t="s">
        <v>28</v>
      </c>
      <c r="G4689" t="s">
        <v>17</v>
      </c>
    </row>
    <row r="4690" spans="1:7" x14ac:dyDescent="0.35">
      <c r="A4690">
        <v>1852</v>
      </c>
      <c r="B4690" s="1">
        <v>45610</v>
      </c>
      <c r="C4690" t="s">
        <v>12</v>
      </c>
      <c r="D4690" s="2">
        <v>5615.58</v>
      </c>
      <c r="E4690" s="2">
        <v>0</v>
      </c>
      <c r="F4690" t="s">
        <v>13</v>
      </c>
      <c r="G4690" t="s">
        <v>9</v>
      </c>
    </row>
    <row r="4691" spans="1:7" x14ac:dyDescent="0.35">
      <c r="A4691">
        <v>1852</v>
      </c>
      <c r="B4691" s="1">
        <v>45610</v>
      </c>
      <c r="C4691" t="s">
        <v>12</v>
      </c>
      <c r="D4691" s="2">
        <v>0</v>
      </c>
      <c r="E4691" s="2">
        <v>5223.79</v>
      </c>
      <c r="F4691" t="s">
        <v>14</v>
      </c>
      <c r="G4691" t="s">
        <v>15</v>
      </c>
    </row>
    <row r="4692" spans="1:7" x14ac:dyDescent="0.35">
      <c r="A4692">
        <v>1852</v>
      </c>
      <c r="B4692" s="1">
        <v>45610</v>
      </c>
      <c r="C4692" t="s">
        <v>12</v>
      </c>
      <c r="D4692" s="2">
        <v>0</v>
      </c>
      <c r="E4692" s="2">
        <v>391.79</v>
      </c>
      <c r="F4692" t="s">
        <v>16</v>
      </c>
      <c r="G4692" t="s">
        <v>17</v>
      </c>
    </row>
    <row r="4693" spans="1:7" x14ac:dyDescent="0.35">
      <c r="A4693">
        <v>1853</v>
      </c>
      <c r="B4693" s="1">
        <v>45610</v>
      </c>
      <c r="C4693" t="s">
        <v>12</v>
      </c>
      <c r="D4693" s="2">
        <v>2018.14</v>
      </c>
      <c r="E4693" s="2">
        <v>0</v>
      </c>
      <c r="F4693" t="s">
        <v>13</v>
      </c>
      <c r="G4693" t="s">
        <v>9</v>
      </c>
    </row>
    <row r="4694" spans="1:7" x14ac:dyDescent="0.35">
      <c r="A4694">
        <v>1853</v>
      </c>
      <c r="B4694" s="1">
        <v>45610</v>
      </c>
      <c r="C4694" t="s">
        <v>12</v>
      </c>
      <c r="D4694" s="2">
        <v>0</v>
      </c>
      <c r="E4694" s="2">
        <v>1877.34</v>
      </c>
      <c r="F4694" t="s">
        <v>14</v>
      </c>
      <c r="G4694" t="s">
        <v>15</v>
      </c>
    </row>
    <row r="4695" spans="1:7" x14ac:dyDescent="0.35">
      <c r="A4695">
        <v>1853</v>
      </c>
      <c r="B4695" s="1">
        <v>45610</v>
      </c>
      <c r="C4695" t="s">
        <v>12</v>
      </c>
      <c r="D4695" s="2">
        <v>0</v>
      </c>
      <c r="E4695" s="2">
        <v>140.80000000000001</v>
      </c>
      <c r="F4695" t="s">
        <v>16</v>
      </c>
      <c r="G4695" t="s">
        <v>17</v>
      </c>
    </row>
    <row r="4696" spans="1:7" x14ac:dyDescent="0.35">
      <c r="A4696">
        <v>1854</v>
      </c>
      <c r="B4696" s="1">
        <v>45610</v>
      </c>
      <c r="C4696" t="s">
        <v>12</v>
      </c>
      <c r="D4696" s="2">
        <v>719.61</v>
      </c>
      <c r="E4696" s="2">
        <v>0</v>
      </c>
      <c r="F4696" t="s">
        <v>13</v>
      </c>
      <c r="G4696" t="s">
        <v>9</v>
      </c>
    </row>
    <row r="4697" spans="1:7" x14ac:dyDescent="0.35">
      <c r="A4697">
        <v>1854</v>
      </c>
      <c r="B4697" s="1">
        <v>45610</v>
      </c>
      <c r="C4697" t="s">
        <v>12</v>
      </c>
      <c r="D4697" s="2">
        <v>0</v>
      </c>
      <c r="E4697" s="2">
        <v>669.41</v>
      </c>
      <c r="F4697" t="s">
        <v>14</v>
      </c>
      <c r="G4697" t="s">
        <v>15</v>
      </c>
    </row>
    <row r="4698" spans="1:7" x14ac:dyDescent="0.35">
      <c r="A4698">
        <v>1854</v>
      </c>
      <c r="B4698" s="1">
        <v>45610</v>
      </c>
      <c r="C4698" t="s">
        <v>12</v>
      </c>
      <c r="D4698" s="2">
        <v>0</v>
      </c>
      <c r="E4698" s="2">
        <v>50.2</v>
      </c>
      <c r="F4698" t="s">
        <v>16</v>
      </c>
      <c r="G4698" t="s">
        <v>17</v>
      </c>
    </row>
    <row r="4699" spans="1:7" x14ac:dyDescent="0.35">
      <c r="A4699">
        <v>1855</v>
      </c>
      <c r="B4699" s="1">
        <v>45610</v>
      </c>
      <c r="C4699" t="s">
        <v>12</v>
      </c>
      <c r="D4699" s="2">
        <v>2810.71</v>
      </c>
      <c r="E4699" s="2">
        <v>0</v>
      </c>
      <c r="F4699" t="s">
        <v>13</v>
      </c>
      <c r="G4699" t="s">
        <v>9</v>
      </c>
    </row>
    <row r="4700" spans="1:7" x14ac:dyDescent="0.35">
      <c r="A4700">
        <v>1855</v>
      </c>
      <c r="B4700" s="1">
        <v>45610</v>
      </c>
      <c r="C4700" t="s">
        <v>12</v>
      </c>
      <c r="D4700" s="2">
        <v>0</v>
      </c>
      <c r="E4700" s="2">
        <v>2614.61</v>
      </c>
      <c r="F4700" t="s">
        <v>14</v>
      </c>
      <c r="G4700" t="s">
        <v>15</v>
      </c>
    </row>
    <row r="4701" spans="1:7" x14ac:dyDescent="0.35">
      <c r="A4701">
        <v>1855</v>
      </c>
      <c r="B4701" s="1">
        <v>45610</v>
      </c>
      <c r="C4701" t="s">
        <v>12</v>
      </c>
      <c r="D4701" s="2">
        <v>0</v>
      </c>
      <c r="E4701" s="2">
        <v>196.1</v>
      </c>
      <c r="F4701" t="s">
        <v>16</v>
      </c>
      <c r="G4701" t="s">
        <v>17</v>
      </c>
    </row>
    <row r="4702" spans="1:7" x14ac:dyDescent="0.35">
      <c r="A4702">
        <v>1856</v>
      </c>
      <c r="B4702" s="1">
        <v>45610</v>
      </c>
      <c r="C4702" t="s">
        <v>12</v>
      </c>
      <c r="D4702" s="2">
        <v>2621.44</v>
      </c>
      <c r="E4702" s="2">
        <v>0</v>
      </c>
      <c r="F4702" t="s">
        <v>13</v>
      </c>
      <c r="G4702" t="s">
        <v>9</v>
      </c>
    </row>
    <row r="4703" spans="1:7" x14ac:dyDescent="0.35">
      <c r="A4703">
        <v>1856</v>
      </c>
      <c r="B4703" s="1">
        <v>45610</v>
      </c>
      <c r="C4703" t="s">
        <v>12</v>
      </c>
      <c r="D4703" s="2">
        <v>0</v>
      </c>
      <c r="E4703" s="2">
        <v>2438.54</v>
      </c>
      <c r="F4703" t="s">
        <v>14</v>
      </c>
      <c r="G4703" t="s">
        <v>15</v>
      </c>
    </row>
    <row r="4704" spans="1:7" x14ac:dyDescent="0.35">
      <c r="A4704">
        <v>1856</v>
      </c>
      <c r="B4704" s="1">
        <v>45610</v>
      </c>
      <c r="C4704" t="s">
        <v>12</v>
      </c>
      <c r="D4704" s="2">
        <v>0</v>
      </c>
      <c r="E4704" s="2">
        <v>182.9</v>
      </c>
      <c r="F4704" t="s">
        <v>16</v>
      </c>
      <c r="G4704" t="s">
        <v>17</v>
      </c>
    </row>
    <row r="4705" spans="1:7" x14ac:dyDescent="0.35">
      <c r="A4705">
        <v>1857</v>
      </c>
      <c r="B4705" s="1">
        <v>45610</v>
      </c>
      <c r="C4705" t="s">
        <v>12</v>
      </c>
      <c r="D4705" s="2">
        <v>3474.75</v>
      </c>
      <c r="E4705" s="2">
        <v>0</v>
      </c>
      <c r="F4705" t="s">
        <v>13</v>
      </c>
      <c r="G4705" t="s">
        <v>9</v>
      </c>
    </row>
    <row r="4706" spans="1:7" x14ac:dyDescent="0.35">
      <c r="A4706">
        <v>1857</v>
      </c>
      <c r="B4706" s="1">
        <v>45610</v>
      </c>
      <c r="C4706" t="s">
        <v>12</v>
      </c>
      <c r="D4706" s="2">
        <v>0</v>
      </c>
      <c r="E4706" s="2">
        <v>3232.32</v>
      </c>
      <c r="F4706" t="s">
        <v>14</v>
      </c>
      <c r="G4706" t="s">
        <v>15</v>
      </c>
    </row>
    <row r="4707" spans="1:7" x14ac:dyDescent="0.35">
      <c r="A4707">
        <v>1857</v>
      </c>
      <c r="B4707" s="1">
        <v>45610</v>
      </c>
      <c r="C4707" t="s">
        <v>12</v>
      </c>
      <c r="D4707" s="2">
        <v>0</v>
      </c>
      <c r="E4707" s="2">
        <v>242.43</v>
      </c>
      <c r="F4707" t="s">
        <v>16</v>
      </c>
      <c r="G4707" t="s">
        <v>17</v>
      </c>
    </row>
    <row r="4708" spans="1:7" x14ac:dyDescent="0.35">
      <c r="A4708">
        <v>1858</v>
      </c>
      <c r="B4708" s="1">
        <v>45610</v>
      </c>
      <c r="C4708" t="s">
        <v>12</v>
      </c>
      <c r="D4708" s="2">
        <v>780.9</v>
      </c>
      <c r="E4708" s="2">
        <v>0</v>
      </c>
      <c r="F4708" t="s">
        <v>13</v>
      </c>
      <c r="G4708" t="s">
        <v>9</v>
      </c>
    </row>
    <row r="4709" spans="1:7" x14ac:dyDescent="0.35">
      <c r="A4709">
        <v>1858</v>
      </c>
      <c r="B4709" s="1">
        <v>45610</v>
      </c>
      <c r="C4709" t="s">
        <v>12</v>
      </c>
      <c r="D4709" s="2">
        <v>0</v>
      </c>
      <c r="E4709" s="2">
        <v>726.42</v>
      </c>
      <c r="F4709" t="s">
        <v>14</v>
      </c>
      <c r="G4709" t="s">
        <v>15</v>
      </c>
    </row>
    <row r="4710" spans="1:7" x14ac:dyDescent="0.35">
      <c r="A4710">
        <v>1858</v>
      </c>
      <c r="B4710" s="1">
        <v>45610</v>
      </c>
      <c r="C4710" t="s">
        <v>12</v>
      </c>
      <c r="D4710" s="2">
        <v>0</v>
      </c>
      <c r="E4710" s="2">
        <v>54.48</v>
      </c>
      <c r="F4710" t="s">
        <v>16</v>
      </c>
      <c r="G4710" t="s">
        <v>17</v>
      </c>
    </row>
    <row r="4711" spans="1:7" x14ac:dyDescent="0.35">
      <c r="A4711">
        <v>1859</v>
      </c>
      <c r="B4711" s="1">
        <v>45610</v>
      </c>
      <c r="C4711" t="s">
        <v>24</v>
      </c>
      <c r="D4711" s="2">
        <v>3776.97</v>
      </c>
      <c r="E4711" s="2">
        <v>0</v>
      </c>
      <c r="F4711" t="s">
        <v>8</v>
      </c>
      <c r="G4711" t="s">
        <v>9</v>
      </c>
    </row>
    <row r="4712" spans="1:7" x14ac:dyDescent="0.35">
      <c r="A4712">
        <v>1859</v>
      </c>
      <c r="B4712" s="1">
        <v>45610</v>
      </c>
      <c r="C4712" t="s">
        <v>24</v>
      </c>
      <c r="D4712" s="2">
        <v>0</v>
      </c>
      <c r="E4712" s="2">
        <v>3776.97</v>
      </c>
      <c r="F4712" t="s">
        <v>13</v>
      </c>
      <c r="G4712" t="s">
        <v>9</v>
      </c>
    </row>
    <row r="4713" spans="1:7" x14ac:dyDescent="0.35">
      <c r="A4713">
        <v>1860</v>
      </c>
      <c r="B4713" s="1">
        <v>45610</v>
      </c>
      <c r="C4713" t="s">
        <v>24</v>
      </c>
      <c r="D4713" s="2">
        <v>1521.85</v>
      </c>
      <c r="E4713" s="2">
        <v>0</v>
      </c>
      <c r="F4713" t="s">
        <v>8</v>
      </c>
      <c r="G4713" t="s">
        <v>9</v>
      </c>
    </row>
    <row r="4714" spans="1:7" x14ac:dyDescent="0.35">
      <c r="A4714">
        <v>1860</v>
      </c>
      <c r="B4714" s="1">
        <v>45610</v>
      </c>
      <c r="C4714" t="s">
        <v>24</v>
      </c>
      <c r="D4714" s="2">
        <v>0</v>
      </c>
      <c r="E4714" s="2">
        <v>1521.85</v>
      </c>
      <c r="F4714" t="s">
        <v>13</v>
      </c>
      <c r="G4714" t="s">
        <v>9</v>
      </c>
    </row>
    <row r="4715" spans="1:7" x14ac:dyDescent="0.35">
      <c r="A4715">
        <v>1861</v>
      </c>
      <c r="B4715" s="1">
        <v>45610</v>
      </c>
      <c r="C4715" t="s">
        <v>25</v>
      </c>
      <c r="D4715" s="2">
        <v>1822.08</v>
      </c>
      <c r="E4715" s="2">
        <v>0</v>
      </c>
      <c r="F4715" t="s">
        <v>26</v>
      </c>
      <c r="G4715" t="s">
        <v>20</v>
      </c>
    </row>
    <row r="4716" spans="1:7" x14ac:dyDescent="0.35">
      <c r="A4716">
        <v>1861</v>
      </c>
      <c r="B4716" s="1">
        <v>45610</v>
      </c>
      <c r="C4716" t="s">
        <v>25</v>
      </c>
      <c r="D4716" s="2">
        <v>136.66</v>
      </c>
      <c r="E4716" s="2">
        <v>0</v>
      </c>
      <c r="F4716" t="s">
        <v>27</v>
      </c>
      <c r="G4716" t="s">
        <v>9</v>
      </c>
    </row>
    <row r="4717" spans="1:7" x14ac:dyDescent="0.35">
      <c r="A4717">
        <v>1861</v>
      </c>
      <c r="B4717" s="1">
        <v>45610</v>
      </c>
      <c r="C4717" t="s">
        <v>25</v>
      </c>
      <c r="D4717" s="2">
        <v>0</v>
      </c>
      <c r="E4717" s="2">
        <v>1958.74</v>
      </c>
      <c r="F4717" t="s">
        <v>28</v>
      </c>
      <c r="G4717" t="s">
        <v>17</v>
      </c>
    </row>
    <row r="4718" spans="1:7" x14ac:dyDescent="0.35">
      <c r="A4718">
        <v>1862</v>
      </c>
      <c r="B4718" s="1">
        <v>45610</v>
      </c>
      <c r="C4718" t="s">
        <v>29</v>
      </c>
      <c r="D4718" s="2">
        <v>2635.36</v>
      </c>
      <c r="E4718" s="2">
        <v>0</v>
      </c>
      <c r="F4718" t="s">
        <v>28</v>
      </c>
      <c r="G4718" t="s">
        <v>17</v>
      </c>
    </row>
    <row r="4719" spans="1:7" x14ac:dyDescent="0.35">
      <c r="A4719">
        <v>1862</v>
      </c>
      <c r="B4719" s="1">
        <v>45610</v>
      </c>
      <c r="C4719" t="s">
        <v>29</v>
      </c>
      <c r="D4719" s="2">
        <v>0</v>
      </c>
      <c r="E4719" s="2">
        <v>2635.36</v>
      </c>
      <c r="F4719" t="s">
        <v>8</v>
      </c>
      <c r="G4719" t="s">
        <v>9</v>
      </c>
    </row>
    <row r="4720" spans="1:7" x14ac:dyDescent="0.35">
      <c r="A4720">
        <v>1863</v>
      </c>
      <c r="B4720" s="1">
        <v>45611</v>
      </c>
      <c r="C4720" t="s">
        <v>12</v>
      </c>
      <c r="D4720" s="2">
        <v>4430.6400000000003</v>
      </c>
      <c r="E4720" s="2">
        <v>0</v>
      </c>
      <c r="F4720" t="s">
        <v>13</v>
      </c>
      <c r="G4720" t="s">
        <v>9</v>
      </c>
    </row>
    <row r="4721" spans="1:7" x14ac:dyDescent="0.35">
      <c r="A4721">
        <v>1863</v>
      </c>
      <c r="B4721" s="1">
        <v>45611</v>
      </c>
      <c r="C4721" t="s">
        <v>12</v>
      </c>
      <c r="D4721" s="2">
        <v>0</v>
      </c>
      <c r="E4721" s="2">
        <v>4121.5200000000004</v>
      </c>
      <c r="F4721" t="s">
        <v>14</v>
      </c>
      <c r="G4721" t="s">
        <v>15</v>
      </c>
    </row>
    <row r="4722" spans="1:7" x14ac:dyDescent="0.35">
      <c r="A4722">
        <v>1863</v>
      </c>
      <c r="B4722" s="1">
        <v>45611</v>
      </c>
      <c r="C4722" t="s">
        <v>12</v>
      </c>
      <c r="D4722" s="2">
        <v>0</v>
      </c>
      <c r="E4722" s="2">
        <v>309.12</v>
      </c>
      <c r="F4722" t="s">
        <v>16</v>
      </c>
      <c r="G4722" t="s">
        <v>17</v>
      </c>
    </row>
    <row r="4723" spans="1:7" x14ac:dyDescent="0.35">
      <c r="A4723">
        <v>1864</v>
      </c>
      <c r="B4723" s="1">
        <v>45611</v>
      </c>
      <c r="C4723" t="s">
        <v>12</v>
      </c>
      <c r="D4723" s="2">
        <v>506.19</v>
      </c>
      <c r="E4723" s="2">
        <v>0</v>
      </c>
      <c r="F4723" t="s">
        <v>13</v>
      </c>
      <c r="G4723" t="s">
        <v>9</v>
      </c>
    </row>
    <row r="4724" spans="1:7" x14ac:dyDescent="0.35">
      <c r="A4724">
        <v>1864</v>
      </c>
      <c r="B4724" s="1">
        <v>45611</v>
      </c>
      <c r="C4724" t="s">
        <v>12</v>
      </c>
      <c r="D4724" s="2">
        <v>0</v>
      </c>
      <c r="E4724" s="2">
        <v>470.87</v>
      </c>
      <c r="F4724" t="s">
        <v>14</v>
      </c>
      <c r="G4724" t="s">
        <v>15</v>
      </c>
    </row>
    <row r="4725" spans="1:7" x14ac:dyDescent="0.35">
      <c r="A4725">
        <v>1864</v>
      </c>
      <c r="B4725" s="1">
        <v>45611</v>
      </c>
      <c r="C4725" t="s">
        <v>12</v>
      </c>
      <c r="D4725" s="2">
        <v>0</v>
      </c>
      <c r="E4725" s="2">
        <v>35.32</v>
      </c>
      <c r="F4725" t="s">
        <v>16</v>
      </c>
      <c r="G4725" t="s">
        <v>17</v>
      </c>
    </row>
    <row r="4726" spans="1:7" x14ac:dyDescent="0.35">
      <c r="A4726">
        <v>1865</v>
      </c>
      <c r="B4726" s="1">
        <v>45611</v>
      </c>
      <c r="C4726" t="s">
        <v>12</v>
      </c>
      <c r="D4726" s="2">
        <v>732.23</v>
      </c>
      <c r="E4726" s="2">
        <v>0</v>
      </c>
      <c r="F4726" t="s">
        <v>13</v>
      </c>
      <c r="G4726" t="s">
        <v>9</v>
      </c>
    </row>
    <row r="4727" spans="1:7" x14ac:dyDescent="0.35">
      <c r="A4727">
        <v>1865</v>
      </c>
      <c r="B4727" s="1">
        <v>45611</v>
      </c>
      <c r="C4727" t="s">
        <v>12</v>
      </c>
      <c r="D4727" s="2">
        <v>0</v>
      </c>
      <c r="E4727" s="2">
        <v>681.14</v>
      </c>
      <c r="F4727" t="s">
        <v>14</v>
      </c>
      <c r="G4727" t="s">
        <v>15</v>
      </c>
    </row>
    <row r="4728" spans="1:7" x14ac:dyDescent="0.35">
      <c r="A4728">
        <v>1865</v>
      </c>
      <c r="B4728" s="1">
        <v>45611</v>
      </c>
      <c r="C4728" t="s">
        <v>12</v>
      </c>
      <c r="D4728" s="2">
        <v>0</v>
      </c>
      <c r="E4728" s="2">
        <v>51.09</v>
      </c>
      <c r="F4728" t="s">
        <v>16</v>
      </c>
      <c r="G4728" t="s">
        <v>17</v>
      </c>
    </row>
    <row r="4729" spans="1:7" x14ac:dyDescent="0.35">
      <c r="A4729">
        <v>1866</v>
      </c>
      <c r="B4729" s="1">
        <v>45611</v>
      </c>
      <c r="C4729" t="s">
        <v>12</v>
      </c>
      <c r="D4729" s="2">
        <v>3478.15</v>
      </c>
      <c r="E4729" s="2">
        <v>0</v>
      </c>
      <c r="F4729" t="s">
        <v>13</v>
      </c>
      <c r="G4729" t="s">
        <v>9</v>
      </c>
    </row>
    <row r="4730" spans="1:7" x14ac:dyDescent="0.35">
      <c r="A4730">
        <v>1866</v>
      </c>
      <c r="B4730" s="1">
        <v>45611</v>
      </c>
      <c r="C4730" t="s">
        <v>12</v>
      </c>
      <c r="D4730" s="2">
        <v>0</v>
      </c>
      <c r="E4730" s="2">
        <v>3235.48</v>
      </c>
      <c r="F4730" t="s">
        <v>14</v>
      </c>
      <c r="G4730" t="s">
        <v>15</v>
      </c>
    </row>
    <row r="4731" spans="1:7" x14ac:dyDescent="0.35">
      <c r="A4731">
        <v>1866</v>
      </c>
      <c r="B4731" s="1">
        <v>45611</v>
      </c>
      <c r="C4731" t="s">
        <v>12</v>
      </c>
      <c r="D4731" s="2">
        <v>0</v>
      </c>
      <c r="E4731" s="2">
        <v>242.67</v>
      </c>
      <c r="F4731" t="s">
        <v>16</v>
      </c>
      <c r="G4731" t="s">
        <v>17</v>
      </c>
    </row>
    <row r="4732" spans="1:7" x14ac:dyDescent="0.35">
      <c r="A4732">
        <v>1867</v>
      </c>
      <c r="B4732" s="1">
        <v>45611</v>
      </c>
      <c r="C4732" t="s">
        <v>24</v>
      </c>
      <c r="D4732" s="2">
        <v>505.98</v>
      </c>
      <c r="E4732" s="2">
        <v>0</v>
      </c>
      <c r="F4732" t="s">
        <v>8</v>
      </c>
      <c r="G4732" t="s">
        <v>9</v>
      </c>
    </row>
    <row r="4733" spans="1:7" x14ac:dyDescent="0.35">
      <c r="A4733">
        <v>1867</v>
      </c>
      <c r="B4733" s="1">
        <v>45611</v>
      </c>
      <c r="C4733" t="s">
        <v>24</v>
      </c>
      <c r="D4733" s="2">
        <v>0</v>
      </c>
      <c r="E4733" s="2">
        <v>505.98</v>
      </c>
      <c r="F4733" t="s">
        <v>13</v>
      </c>
      <c r="G4733" t="s">
        <v>9</v>
      </c>
    </row>
    <row r="4734" spans="1:7" x14ac:dyDescent="0.35">
      <c r="A4734">
        <v>1868</v>
      </c>
      <c r="B4734" s="1">
        <v>45611</v>
      </c>
      <c r="C4734" t="s">
        <v>24</v>
      </c>
      <c r="D4734" s="2">
        <v>459.63</v>
      </c>
      <c r="E4734" s="2">
        <v>0</v>
      </c>
      <c r="F4734" t="s">
        <v>8</v>
      </c>
      <c r="G4734" t="s">
        <v>9</v>
      </c>
    </row>
    <row r="4735" spans="1:7" x14ac:dyDescent="0.35">
      <c r="A4735">
        <v>1868</v>
      </c>
      <c r="B4735" s="1">
        <v>45611</v>
      </c>
      <c r="C4735" t="s">
        <v>24</v>
      </c>
      <c r="D4735" s="2">
        <v>0</v>
      </c>
      <c r="E4735" s="2">
        <v>459.63</v>
      </c>
      <c r="F4735" t="s">
        <v>13</v>
      </c>
      <c r="G4735" t="s">
        <v>9</v>
      </c>
    </row>
    <row r="4736" spans="1:7" x14ac:dyDescent="0.35">
      <c r="A4736">
        <v>1869</v>
      </c>
      <c r="B4736" s="1">
        <v>45611</v>
      </c>
      <c r="C4736" t="s">
        <v>25</v>
      </c>
      <c r="D4736" s="2">
        <v>1078.92</v>
      </c>
      <c r="E4736" s="2">
        <v>0</v>
      </c>
      <c r="F4736" t="s">
        <v>26</v>
      </c>
      <c r="G4736" t="s">
        <v>20</v>
      </c>
    </row>
    <row r="4737" spans="1:7" x14ac:dyDescent="0.35">
      <c r="A4737">
        <v>1869</v>
      </c>
      <c r="B4737" s="1">
        <v>45611</v>
      </c>
      <c r="C4737" t="s">
        <v>25</v>
      </c>
      <c r="D4737" s="2">
        <v>80.92</v>
      </c>
      <c r="E4737" s="2">
        <v>0</v>
      </c>
      <c r="F4737" t="s">
        <v>27</v>
      </c>
      <c r="G4737" t="s">
        <v>9</v>
      </c>
    </row>
    <row r="4738" spans="1:7" x14ac:dyDescent="0.35">
      <c r="A4738">
        <v>1869</v>
      </c>
      <c r="B4738" s="1">
        <v>45611</v>
      </c>
      <c r="C4738" t="s">
        <v>25</v>
      </c>
      <c r="D4738" s="2">
        <v>0</v>
      </c>
      <c r="E4738" s="2">
        <v>1159.8399999999999</v>
      </c>
      <c r="F4738" t="s">
        <v>28</v>
      </c>
      <c r="G4738" t="s">
        <v>17</v>
      </c>
    </row>
    <row r="4739" spans="1:7" x14ac:dyDescent="0.35">
      <c r="A4739">
        <v>1870</v>
      </c>
      <c r="B4739" s="1">
        <v>45611</v>
      </c>
      <c r="C4739" t="s">
        <v>25</v>
      </c>
      <c r="D4739" s="2">
        <v>166.52</v>
      </c>
      <c r="E4739" s="2">
        <v>0</v>
      </c>
      <c r="F4739" t="s">
        <v>26</v>
      </c>
      <c r="G4739" t="s">
        <v>20</v>
      </c>
    </row>
    <row r="4740" spans="1:7" x14ac:dyDescent="0.35">
      <c r="A4740">
        <v>1870</v>
      </c>
      <c r="B4740" s="1">
        <v>45611</v>
      </c>
      <c r="C4740" t="s">
        <v>25</v>
      </c>
      <c r="D4740" s="2">
        <v>12.49</v>
      </c>
      <c r="E4740" s="2">
        <v>0</v>
      </c>
      <c r="F4740" t="s">
        <v>27</v>
      </c>
      <c r="G4740" t="s">
        <v>9</v>
      </c>
    </row>
    <row r="4741" spans="1:7" x14ac:dyDescent="0.35">
      <c r="A4741">
        <v>1870</v>
      </c>
      <c r="B4741" s="1">
        <v>45611</v>
      </c>
      <c r="C4741" t="s">
        <v>25</v>
      </c>
      <c r="D4741" s="2">
        <v>0</v>
      </c>
      <c r="E4741" s="2">
        <v>179.01</v>
      </c>
      <c r="F4741" t="s">
        <v>28</v>
      </c>
      <c r="G4741" t="s">
        <v>17</v>
      </c>
    </row>
    <row r="4742" spans="1:7" x14ac:dyDescent="0.35">
      <c r="A4742">
        <v>1871</v>
      </c>
      <c r="B4742" s="1">
        <v>45611</v>
      </c>
      <c r="C4742" t="s">
        <v>29</v>
      </c>
      <c r="D4742" s="2">
        <v>550.4</v>
      </c>
      <c r="E4742" s="2">
        <v>0</v>
      </c>
      <c r="F4742" t="s">
        <v>28</v>
      </c>
      <c r="G4742" t="s">
        <v>17</v>
      </c>
    </row>
    <row r="4743" spans="1:7" x14ac:dyDescent="0.35">
      <c r="A4743">
        <v>1871</v>
      </c>
      <c r="B4743" s="1">
        <v>45611</v>
      </c>
      <c r="C4743" t="s">
        <v>29</v>
      </c>
      <c r="D4743" s="2">
        <v>0</v>
      </c>
      <c r="E4743" s="2">
        <v>550.4</v>
      </c>
      <c r="F4743" t="s">
        <v>8</v>
      </c>
      <c r="G4743" t="s">
        <v>9</v>
      </c>
    </row>
    <row r="4744" spans="1:7" x14ac:dyDescent="0.35">
      <c r="A4744">
        <v>1872</v>
      </c>
      <c r="B4744" s="1">
        <v>45614</v>
      </c>
      <c r="C4744" t="s">
        <v>12</v>
      </c>
      <c r="D4744" s="2">
        <v>1135.31</v>
      </c>
      <c r="E4744" s="2">
        <v>0</v>
      </c>
      <c r="F4744" t="s">
        <v>13</v>
      </c>
      <c r="G4744" t="s">
        <v>9</v>
      </c>
    </row>
    <row r="4745" spans="1:7" x14ac:dyDescent="0.35">
      <c r="A4745">
        <v>1872</v>
      </c>
      <c r="B4745" s="1">
        <v>45614</v>
      </c>
      <c r="C4745" t="s">
        <v>12</v>
      </c>
      <c r="D4745" s="2">
        <v>0</v>
      </c>
      <c r="E4745" s="2">
        <v>1056.0999999999999</v>
      </c>
      <c r="F4745" t="s">
        <v>14</v>
      </c>
      <c r="G4745" t="s">
        <v>15</v>
      </c>
    </row>
    <row r="4746" spans="1:7" x14ac:dyDescent="0.35">
      <c r="A4746">
        <v>1872</v>
      </c>
      <c r="B4746" s="1">
        <v>45614</v>
      </c>
      <c r="C4746" t="s">
        <v>12</v>
      </c>
      <c r="D4746" s="2">
        <v>0</v>
      </c>
      <c r="E4746" s="2">
        <v>79.209999999999994</v>
      </c>
      <c r="F4746" t="s">
        <v>16</v>
      </c>
      <c r="G4746" t="s">
        <v>17</v>
      </c>
    </row>
    <row r="4747" spans="1:7" x14ac:dyDescent="0.35">
      <c r="A4747">
        <v>1873</v>
      </c>
      <c r="B4747" s="1">
        <v>45614</v>
      </c>
      <c r="C4747" t="s">
        <v>12</v>
      </c>
      <c r="D4747" s="2">
        <v>5160.1000000000004</v>
      </c>
      <c r="E4747" s="2">
        <v>0</v>
      </c>
      <c r="F4747" t="s">
        <v>13</v>
      </c>
      <c r="G4747" t="s">
        <v>9</v>
      </c>
    </row>
    <row r="4748" spans="1:7" x14ac:dyDescent="0.35">
      <c r="A4748">
        <v>1873</v>
      </c>
      <c r="B4748" s="1">
        <v>45614</v>
      </c>
      <c r="C4748" t="s">
        <v>12</v>
      </c>
      <c r="D4748" s="2">
        <v>0</v>
      </c>
      <c r="E4748" s="2">
        <v>4800.1000000000004</v>
      </c>
      <c r="F4748" t="s">
        <v>14</v>
      </c>
      <c r="G4748" t="s">
        <v>15</v>
      </c>
    </row>
    <row r="4749" spans="1:7" x14ac:dyDescent="0.35">
      <c r="A4749">
        <v>1873</v>
      </c>
      <c r="B4749" s="1">
        <v>45614</v>
      </c>
      <c r="C4749" t="s">
        <v>12</v>
      </c>
      <c r="D4749" s="2">
        <v>0</v>
      </c>
      <c r="E4749" s="2">
        <v>360</v>
      </c>
      <c r="F4749" t="s">
        <v>16</v>
      </c>
      <c r="G4749" t="s">
        <v>17</v>
      </c>
    </row>
    <row r="4750" spans="1:7" x14ac:dyDescent="0.35">
      <c r="A4750">
        <v>1874</v>
      </c>
      <c r="B4750" s="1">
        <v>45614</v>
      </c>
      <c r="C4750" t="s">
        <v>12</v>
      </c>
      <c r="D4750" s="2">
        <v>113.18</v>
      </c>
      <c r="E4750" s="2">
        <v>0</v>
      </c>
      <c r="F4750" t="s">
        <v>13</v>
      </c>
      <c r="G4750" t="s">
        <v>9</v>
      </c>
    </row>
    <row r="4751" spans="1:7" x14ac:dyDescent="0.35">
      <c r="A4751">
        <v>1874</v>
      </c>
      <c r="B4751" s="1">
        <v>45614</v>
      </c>
      <c r="C4751" t="s">
        <v>12</v>
      </c>
      <c r="D4751" s="2">
        <v>0</v>
      </c>
      <c r="E4751" s="2">
        <v>105.28</v>
      </c>
      <c r="F4751" t="s">
        <v>14</v>
      </c>
      <c r="G4751" t="s">
        <v>15</v>
      </c>
    </row>
    <row r="4752" spans="1:7" x14ac:dyDescent="0.35">
      <c r="A4752">
        <v>1874</v>
      </c>
      <c r="B4752" s="1">
        <v>45614</v>
      </c>
      <c r="C4752" t="s">
        <v>12</v>
      </c>
      <c r="D4752" s="2">
        <v>0</v>
      </c>
      <c r="E4752" s="2">
        <v>7.9</v>
      </c>
      <c r="F4752" t="s">
        <v>16</v>
      </c>
      <c r="G4752" t="s">
        <v>17</v>
      </c>
    </row>
    <row r="4753" spans="1:7" x14ac:dyDescent="0.35">
      <c r="A4753">
        <v>1875</v>
      </c>
      <c r="B4753" s="1">
        <v>45614</v>
      </c>
      <c r="C4753" t="s">
        <v>12</v>
      </c>
      <c r="D4753" s="2">
        <v>1030.6199999999999</v>
      </c>
      <c r="E4753" s="2">
        <v>0</v>
      </c>
      <c r="F4753" t="s">
        <v>13</v>
      </c>
      <c r="G4753" t="s">
        <v>9</v>
      </c>
    </row>
    <row r="4754" spans="1:7" x14ac:dyDescent="0.35">
      <c r="A4754">
        <v>1875</v>
      </c>
      <c r="B4754" s="1">
        <v>45614</v>
      </c>
      <c r="C4754" t="s">
        <v>12</v>
      </c>
      <c r="D4754" s="2">
        <v>0</v>
      </c>
      <c r="E4754" s="2">
        <v>958.71</v>
      </c>
      <c r="F4754" t="s">
        <v>14</v>
      </c>
      <c r="G4754" t="s">
        <v>15</v>
      </c>
    </row>
    <row r="4755" spans="1:7" x14ac:dyDescent="0.35">
      <c r="A4755">
        <v>1875</v>
      </c>
      <c r="B4755" s="1">
        <v>45614</v>
      </c>
      <c r="C4755" t="s">
        <v>12</v>
      </c>
      <c r="D4755" s="2">
        <v>0</v>
      </c>
      <c r="E4755" s="2">
        <v>71.91</v>
      </c>
      <c r="F4755" t="s">
        <v>16</v>
      </c>
      <c r="G4755" t="s">
        <v>17</v>
      </c>
    </row>
    <row r="4756" spans="1:7" x14ac:dyDescent="0.35">
      <c r="A4756">
        <v>1876</v>
      </c>
      <c r="B4756" s="1">
        <v>45614</v>
      </c>
      <c r="C4756" t="s">
        <v>12</v>
      </c>
      <c r="D4756" s="2">
        <v>3236.22</v>
      </c>
      <c r="E4756" s="2">
        <v>0</v>
      </c>
      <c r="F4756" t="s">
        <v>13</v>
      </c>
      <c r="G4756" t="s">
        <v>9</v>
      </c>
    </row>
    <row r="4757" spans="1:7" x14ac:dyDescent="0.35">
      <c r="A4757">
        <v>1876</v>
      </c>
      <c r="B4757" s="1">
        <v>45614</v>
      </c>
      <c r="C4757" t="s">
        <v>12</v>
      </c>
      <c r="D4757" s="2">
        <v>0</v>
      </c>
      <c r="E4757" s="2">
        <v>3010.45</v>
      </c>
      <c r="F4757" t="s">
        <v>14</v>
      </c>
      <c r="G4757" t="s">
        <v>15</v>
      </c>
    </row>
    <row r="4758" spans="1:7" x14ac:dyDescent="0.35">
      <c r="A4758">
        <v>1876</v>
      </c>
      <c r="B4758" s="1">
        <v>45614</v>
      </c>
      <c r="C4758" t="s">
        <v>12</v>
      </c>
      <c r="D4758" s="2">
        <v>0</v>
      </c>
      <c r="E4758" s="2">
        <v>225.77</v>
      </c>
      <c r="F4758" t="s">
        <v>16</v>
      </c>
      <c r="G4758" t="s">
        <v>17</v>
      </c>
    </row>
    <row r="4759" spans="1:7" x14ac:dyDescent="0.35">
      <c r="A4759">
        <v>1877</v>
      </c>
      <c r="B4759" s="1">
        <v>45614</v>
      </c>
      <c r="C4759" t="s">
        <v>24</v>
      </c>
      <c r="D4759" s="2">
        <v>1401.38</v>
      </c>
      <c r="E4759" s="2">
        <v>0</v>
      </c>
      <c r="F4759" t="s">
        <v>8</v>
      </c>
      <c r="G4759" t="s">
        <v>9</v>
      </c>
    </row>
    <row r="4760" spans="1:7" x14ac:dyDescent="0.35">
      <c r="A4760">
        <v>1877</v>
      </c>
      <c r="B4760" s="1">
        <v>45614</v>
      </c>
      <c r="C4760" t="s">
        <v>24</v>
      </c>
      <c r="D4760" s="2">
        <v>0</v>
      </c>
      <c r="E4760" s="2">
        <v>1401.38</v>
      </c>
      <c r="F4760" t="s">
        <v>13</v>
      </c>
      <c r="G4760" t="s">
        <v>9</v>
      </c>
    </row>
    <row r="4761" spans="1:7" x14ac:dyDescent="0.35">
      <c r="A4761">
        <v>1878</v>
      </c>
      <c r="B4761" s="1">
        <v>45614</v>
      </c>
      <c r="C4761" t="s">
        <v>24</v>
      </c>
      <c r="D4761" s="2">
        <v>2534.44</v>
      </c>
      <c r="E4761" s="2">
        <v>0</v>
      </c>
      <c r="F4761" t="s">
        <v>8</v>
      </c>
      <c r="G4761" t="s">
        <v>9</v>
      </c>
    </row>
    <row r="4762" spans="1:7" x14ac:dyDescent="0.35">
      <c r="A4762">
        <v>1878</v>
      </c>
      <c r="B4762" s="1">
        <v>45614</v>
      </c>
      <c r="C4762" t="s">
        <v>24</v>
      </c>
      <c r="D4762" s="2">
        <v>0</v>
      </c>
      <c r="E4762" s="2">
        <v>2534.44</v>
      </c>
      <c r="F4762" t="s">
        <v>13</v>
      </c>
      <c r="G4762" t="s">
        <v>9</v>
      </c>
    </row>
    <row r="4763" spans="1:7" x14ac:dyDescent="0.35">
      <c r="A4763">
        <v>1879</v>
      </c>
      <c r="B4763" s="1">
        <v>45614</v>
      </c>
      <c r="C4763" t="s">
        <v>24</v>
      </c>
      <c r="D4763" s="2">
        <v>1089.42</v>
      </c>
      <c r="E4763" s="2">
        <v>0</v>
      </c>
      <c r="F4763" t="s">
        <v>8</v>
      </c>
      <c r="G4763" t="s">
        <v>9</v>
      </c>
    </row>
    <row r="4764" spans="1:7" x14ac:dyDescent="0.35">
      <c r="A4764">
        <v>1879</v>
      </c>
      <c r="B4764" s="1">
        <v>45614</v>
      </c>
      <c r="C4764" t="s">
        <v>24</v>
      </c>
      <c r="D4764" s="2">
        <v>0</v>
      </c>
      <c r="E4764" s="2">
        <v>1089.42</v>
      </c>
      <c r="F4764" t="s">
        <v>13</v>
      </c>
      <c r="G4764" t="s">
        <v>9</v>
      </c>
    </row>
    <row r="4765" spans="1:7" x14ac:dyDescent="0.35">
      <c r="A4765">
        <v>1880</v>
      </c>
      <c r="B4765" s="1">
        <v>45614</v>
      </c>
      <c r="C4765" t="s">
        <v>24</v>
      </c>
      <c r="D4765" s="2">
        <v>4797.63</v>
      </c>
      <c r="E4765" s="2">
        <v>0</v>
      </c>
      <c r="F4765" t="s">
        <v>8</v>
      </c>
      <c r="G4765" t="s">
        <v>9</v>
      </c>
    </row>
    <row r="4766" spans="1:7" x14ac:dyDescent="0.35">
      <c r="A4766">
        <v>1880</v>
      </c>
      <c r="B4766" s="1">
        <v>45614</v>
      </c>
      <c r="C4766" t="s">
        <v>24</v>
      </c>
      <c r="D4766" s="2">
        <v>0</v>
      </c>
      <c r="E4766" s="2">
        <v>4797.63</v>
      </c>
      <c r="F4766" t="s">
        <v>13</v>
      </c>
      <c r="G4766" t="s">
        <v>9</v>
      </c>
    </row>
    <row r="4767" spans="1:7" x14ac:dyDescent="0.35">
      <c r="A4767">
        <v>1881</v>
      </c>
      <c r="B4767" s="1">
        <v>45614</v>
      </c>
      <c r="C4767" t="s">
        <v>24</v>
      </c>
      <c r="D4767" s="2">
        <v>2810.07</v>
      </c>
      <c r="E4767" s="2">
        <v>0</v>
      </c>
      <c r="F4767" t="s">
        <v>8</v>
      </c>
      <c r="G4767" t="s">
        <v>9</v>
      </c>
    </row>
    <row r="4768" spans="1:7" x14ac:dyDescent="0.35">
      <c r="A4768">
        <v>1881</v>
      </c>
      <c r="B4768" s="1">
        <v>45614</v>
      </c>
      <c r="C4768" t="s">
        <v>24</v>
      </c>
      <c r="D4768" s="2">
        <v>0</v>
      </c>
      <c r="E4768" s="2">
        <v>2810.07</v>
      </c>
      <c r="F4768" t="s">
        <v>13</v>
      </c>
      <c r="G4768" t="s">
        <v>9</v>
      </c>
    </row>
    <row r="4769" spans="1:7" x14ac:dyDescent="0.35">
      <c r="A4769">
        <v>1882</v>
      </c>
      <c r="B4769" s="1">
        <v>45614</v>
      </c>
      <c r="C4769" t="s">
        <v>25</v>
      </c>
      <c r="D4769" s="2">
        <v>187.44</v>
      </c>
      <c r="E4769" s="2">
        <v>0</v>
      </c>
      <c r="F4769" t="s">
        <v>26</v>
      </c>
      <c r="G4769" t="s">
        <v>20</v>
      </c>
    </row>
    <row r="4770" spans="1:7" x14ac:dyDescent="0.35">
      <c r="A4770">
        <v>1882</v>
      </c>
      <c r="B4770" s="1">
        <v>45614</v>
      </c>
      <c r="C4770" t="s">
        <v>25</v>
      </c>
      <c r="D4770" s="2">
        <v>14.06</v>
      </c>
      <c r="E4770" s="2">
        <v>0</v>
      </c>
      <c r="F4770" t="s">
        <v>27</v>
      </c>
      <c r="G4770" t="s">
        <v>9</v>
      </c>
    </row>
    <row r="4771" spans="1:7" x14ac:dyDescent="0.35">
      <c r="A4771">
        <v>1882</v>
      </c>
      <c r="B4771" s="1">
        <v>45614</v>
      </c>
      <c r="C4771" t="s">
        <v>25</v>
      </c>
      <c r="D4771" s="2">
        <v>0</v>
      </c>
      <c r="E4771" s="2">
        <v>201.5</v>
      </c>
      <c r="F4771" t="s">
        <v>28</v>
      </c>
      <c r="G4771" t="s">
        <v>17</v>
      </c>
    </row>
    <row r="4772" spans="1:7" x14ac:dyDescent="0.35">
      <c r="A4772">
        <v>1883</v>
      </c>
      <c r="B4772" s="1">
        <v>45614</v>
      </c>
      <c r="C4772" t="s">
        <v>25</v>
      </c>
      <c r="D4772" s="2">
        <v>4476.71</v>
      </c>
      <c r="E4772" s="2">
        <v>0</v>
      </c>
      <c r="F4772" t="s">
        <v>26</v>
      </c>
      <c r="G4772" t="s">
        <v>20</v>
      </c>
    </row>
    <row r="4773" spans="1:7" x14ac:dyDescent="0.35">
      <c r="A4773">
        <v>1883</v>
      </c>
      <c r="B4773" s="1">
        <v>45614</v>
      </c>
      <c r="C4773" t="s">
        <v>25</v>
      </c>
      <c r="D4773" s="2">
        <v>335.75</v>
      </c>
      <c r="E4773" s="2">
        <v>0</v>
      </c>
      <c r="F4773" t="s">
        <v>27</v>
      </c>
      <c r="G4773" t="s">
        <v>9</v>
      </c>
    </row>
    <row r="4774" spans="1:7" x14ac:dyDescent="0.35">
      <c r="A4774">
        <v>1883</v>
      </c>
      <c r="B4774" s="1">
        <v>45614</v>
      </c>
      <c r="C4774" t="s">
        <v>25</v>
      </c>
      <c r="D4774" s="2">
        <v>0</v>
      </c>
      <c r="E4774" s="2">
        <v>4812.46</v>
      </c>
      <c r="F4774" t="s">
        <v>28</v>
      </c>
      <c r="G4774" t="s">
        <v>17</v>
      </c>
    </row>
    <row r="4775" spans="1:7" x14ac:dyDescent="0.35">
      <c r="A4775">
        <v>1884</v>
      </c>
      <c r="B4775" s="1">
        <v>45614</v>
      </c>
      <c r="C4775" t="s">
        <v>25</v>
      </c>
      <c r="D4775" s="2">
        <v>2329.52</v>
      </c>
      <c r="E4775" s="2">
        <v>0</v>
      </c>
      <c r="F4775" t="s">
        <v>26</v>
      </c>
      <c r="G4775" t="s">
        <v>20</v>
      </c>
    </row>
    <row r="4776" spans="1:7" x14ac:dyDescent="0.35">
      <c r="A4776">
        <v>1884</v>
      </c>
      <c r="B4776" s="1">
        <v>45614</v>
      </c>
      <c r="C4776" t="s">
        <v>25</v>
      </c>
      <c r="D4776" s="2">
        <v>174.71</v>
      </c>
      <c r="E4776" s="2">
        <v>0</v>
      </c>
      <c r="F4776" t="s">
        <v>27</v>
      </c>
      <c r="G4776" t="s">
        <v>9</v>
      </c>
    </row>
    <row r="4777" spans="1:7" x14ac:dyDescent="0.35">
      <c r="A4777">
        <v>1884</v>
      </c>
      <c r="B4777" s="1">
        <v>45614</v>
      </c>
      <c r="C4777" t="s">
        <v>25</v>
      </c>
      <c r="D4777" s="2">
        <v>0</v>
      </c>
      <c r="E4777" s="2">
        <v>2504.23</v>
      </c>
      <c r="F4777" t="s">
        <v>28</v>
      </c>
      <c r="G4777" t="s">
        <v>17</v>
      </c>
    </row>
    <row r="4778" spans="1:7" x14ac:dyDescent="0.35">
      <c r="A4778">
        <v>1885</v>
      </c>
      <c r="B4778" s="1">
        <v>45614</v>
      </c>
      <c r="C4778" t="s">
        <v>25</v>
      </c>
      <c r="D4778" s="2">
        <v>1213.5999999999999</v>
      </c>
      <c r="E4778" s="2">
        <v>0</v>
      </c>
      <c r="F4778" t="s">
        <v>26</v>
      </c>
      <c r="G4778" t="s">
        <v>20</v>
      </c>
    </row>
    <row r="4779" spans="1:7" x14ac:dyDescent="0.35">
      <c r="A4779">
        <v>1885</v>
      </c>
      <c r="B4779" s="1">
        <v>45614</v>
      </c>
      <c r="C4779" t="s">
        <v>25</v>
      </c>
      <c r="D4779" s="2">
        <v>91.02</v>
      </c>
      <c r="E4779" s="2">
        <v>0</v>
      </c>
      <c r="F4779" t="s">
        <v>27</v>
      </c>
      <c r="G4779" t="s">
        <v>9</v>
      </c>
    </row>
    <row r="4780" spans="1:7" x14ac:dyDescent="0.35">
      <c r="A4780">
        <v>1885</v>
      </c>
      <c r="B4780" s="1">
        <v>45614</v>
      </c>
      <c r="C4780" t="s">
        <v>25</v>
      </c>
      <c r="D4780" s="2">
        <v>0</v>
      </c>
      <c r="E4780" s="2">
        <v>1304.6199999999999</v>
      </c>
      <c r="F4780" t="s">
        <v>28</v>
      </c>
      <c r="G4780" t="s">
        <v>17</v>
      </c>
    </row>
    <row r="4781" spans="1:7" x14ac:dyDescent="0.35">
      <c r="A4781">
        <v>1886</v>
      </c>
      <c r="B4781" s="1">
        <v>45614</v>
      </c>
      <c r="C4781" t="s">
        <v>29</v>
      </c>
      <c r="D4781" s="2">
        <v>7227.44</v>
      </c>
      <c r="E4781" s="2">
        <v>0</v>
      </c>
      <c r="F4781" t="s">
        <v>28</v>
      </c>
      <c r="G4781" t="s">
        <v>17</v>
      </c>
    </row>
    <row r="4782" spans="1:7" x14ac:dyDescent="0.35">
      <c r="A4782">
        <v>1886</v>
      </c>
      <c r="B4782" s="1">
        <v>45614</v>
      </c>
      <c r="C4782" t="s">
        <v>29</v>
      </c>
      <c r="D4782" s="2">
        <v>0</v>
      </c>
      <c r="E4782" s="2">
        <v>7227.44</v>
      </c>
      <c r="F4782" t="s">
        <v>8</v>
      </c>
      <c r="G4782" t="s">
        <v>9</v>
      </c>
    </row>
    <row r="4783" spans="1:7" x14ac:dyDescent="0.35">
      <c r="A4783">
        <v>1887</v>
      </c>
      <c r="B4783" s="1">
        <v>45614</v>
      </c>
      <c r="C4783" t="s">
        <v>29</v>
      </c>
      <c r="D4783" s="2">
        <v>1766.46</v>
      </c>
      <c r="E4783" s="2">
        <v>0</v>
      </c>
      <c r="F4783" t="s">
        <v>28</v>
      </c>
      <c r="G4783" t="s">
        <v>17</v>
      </c>
    </row>
    <row r="4784" spans="1:7" x14ac:dyDescent="0.35">
      <c r="A4784">
        <v>1887</v>
      </c>
      <c r="B4784" s="1">
        <v>45614</v>
      </c>
      <c r="C4784" t="s">
        <v>29</v>
      </c>
      <c r="D4784" s="2">
        <v>0</v>
      </c>
      <c r="E4784" s="2">
        <v>1766.46</v>
      </c>
      <c r="F4784" t="s">
        <v>8</v>
      </c>
      <c r="G4784" t="s">
        <v>9</v>
      </c>
    </row>
    <row r="4785" spans="1:7" x14ac:dyDescent="0.35">
      <c r="A4785">
        <v>1888</v>
      </c>
      <c r="B4785" s="1">
        <v>45614</v>
      </c>
      <c r="C4785" t="s">
        <v>29</v>
      </c>
      <c r="D4785" s="2">
        <v>1159.8399999999999</v>
      </c>
      <c r="E4785" s="2">
        <v>0</v>
      </c>
      <c r="F4785" t="s">
        <v>28</v>
      </c>
      <c r="G4785" t="s">
        <v>17</v>
      </c>
    </row>
    <row r="4786" spans="1:7" x14ac:dyDescent="0.35">
      <c r="A4786">
        <v>1888</v>
      </c>
      <c r="B4786" s="1">
        <v>45614</v>
      </c>
      <c r="C4786" t="s">
        <v>29</v>
      </c>
      <c r="D4786" s="2">
        <v>0</v>
      </c>
      <c r="E4786" s="2">
        <v>1159.8399999999999</v>
      </c>
      <c r="F4786" t="s">
        <v>8</v>
      </c>
      <c r="G4786" t="s">
        <v>9</v>
      </c>
    </row>
    <row r="4787" spans="1:7" x14ac:dyDescent="0.35">
      <c r="A4787">
        <v>1889</v>
      </c>
      <c r="B4787" s="1">
        <v>45615</v>
      </c>
      <c r="C4787" t="s">
        <v>12</v>
      </c>
      <c r="D4787" s="2">
        <v>1436.58</v>
      </c>
      <c r="E4787" s="2">
        <v>0</v>
      </c>
      <c r="F4787" t="s">
        <v>13</v>
      </c>
      <c r="G4787" t="s">
        <v>9</v>
      </c>
    </row>
    <row r="4788" spans="1:7" x14ac:dyDescent="0.35">
      <c r="A4788">
        <v>1889</v>
      </c>
      <c r="B4788" s="1">
        <v>45615</v>
      </c>
      <c r="C4788" t="s">
        <v>12</v>
      </c>
      <c r="D4788" s="2">
        <v>0</v>
      </c>
      <c r="E4788" s="2">
        <v>1336.36</v>
      </c>
      <c r="F4788" t="s">
        <v>14</v>
      </c>
      <c r="G4788" t="s">
        <v>15</v>
      </c>
    </row>
    <row r="4789" spans="1:7" x14ac:dyDescent="0.35">
      <c r="A4789">
        <v>1889</v>
      </c>
      <c r="B4789" s="1">
        <v>45615</v>
      </c>
      <c r="C4789" t="s">
        <v>12</v>
      </c>
      <c r="D4789" s="2">
        <v>0</v>
      </c>
      <c r="E4789" s="2">
        <v>100.22</v>
      </c>
      <c r="F4789" t="s">
        <v>16</v>
      </c>
      <c r="G4789" t="s">
        <v>17</v>
      </c>
    </row>
    <row r="4790" spans="1:7" x14ac:dyDescent="0.35">
      <c r="A4790">
        <v>1890</v>
      </c>
      <c r="B4790" s="1">
        <v>45615</v>
      </c>
      <c r="C4790" t="s">
        <v>12</v>
      </c>
      <c r="D4790" s="2">
        <v>930.57</v>
      </c>
      <c r="E4790" s="2">
        <v>0</v>
      </c>
      <c r="F4790" t="s">
        <v>13</v>
      </c>
      <c r="G4790" t="s">
        <v>9</v>
      </c>
    </row>
    <row r="4791" spans="1:7" x14ac:dyDescent="0.35">
      <c r="A4791">
        <v>1890</v>
      </c>
      <c r="B4791" s="1">
        <v>45615</v>
      </c>
      <c r="C4791" t="s">
        <v>12</v>
      </c>
      <c r="D4791" s="2">
        <v>0</v>
      </c>
      <c r="E4791" s="2">
        <v>865.65</v>
      </c>
      <c r="F4791" t="s">
        <v>14</v>
      </c>
      <c r="G4791" t="s">
        <v>15</v>
      </c>
    </row>
    <row r="4792" spans="1:7" x14ac:dyDescent="0.35">
      <c r="A4792">
        <v>1890</v>
      </c>
      <c r="B4792" s="1">
        <v>45615</v>
      </c>
      <c r="C4792" t="s">
        <v>12</v>
      </c>
      <c r="D4792" s="2">
        <v>0</v>
      </c>
      <c r="E4792" s="2">
        <v>64.92</v>
      </c>
      <c r="F4792" t="s">
        <v>16</v>
      </c>
      <c r="G4792" t="s">
        <v>17</v>
      </c>
    </row>
    <row r="4793" spans="1:7" x14ac:dyDescent="0.35">
      <c r="A4793">
        <v>1891</v>
      </c>
      <c r="B4793" s="1">
        <v>45615</v>
      </c>
      <c r="C4793" t="s">
        <v>12</v>
      </c>
      <c r="D4793" s="2">
        <v>3619.87</v>
      </c>
      <c r="E4793" s="2">
        <v>0</v>
      </c>
      <c r="F4793" t="s">
        <v>13</v>
      </c>
      <c r="G4793" t="s">
        <v>9</v>
      </c>
    </row>
    <row r="4794" spans="1:7" x14ac:dyDescent="0.35">
      <c r="A4794">
        <v>1891</v>
      </c>
      <c r="B4794" s="1">
        <v>45615</v>
      </c>
      <c r="C4794" t="s">
        <v>12</v>
      </c>
      <c r="D4794" s="2">
        <v>0</v>
      </c>
      <c r="E4794" s="2">
        <v>3367.32</v>
      </c>
      <c r="F4794" t="s">
        <v>14</v>
      </c>
      <c r="G4794" t="s">
        <v>15</v>
      </c>
    </row>
    <row r="4795" spans="1:7" x14ac:dyDescent="0.35">
      <c r="A4795">
        <v>1891</v>
      </c>
      <c r="B4795" s="1">
        <v>45615</v>
      </c>
      <c r="C4795" t="s">
        <v>12</v>
      </c>
      <c r="D4795" s="2">
        <v>0</v>
      </c>
      <c r="E4795" s="2">
        <v>252.55</v>
      </c>
      <c r="F4795" t="s">
        <v>16</v>
      </c>
      <c r="G4795" t="s">
        <v>17</v>
      </c>
    </row>
    <row r="4796" spans="1:7" x14ac:dyDescent="0.35">
      <c r="A4796">
        <v>1892</v>
      </c>
      <c r="B4796" s="1">
        <v>45615</v>
      </c>
      <c r="C4796" t="s">
        <v>12</v>
      </c>
      <c r="D4796" s="2">
        <v>323.24</v>
      </c>
      <c r="E4796" s="2">
        <v>0</v>
      </c>
      <c r="F4796" t="s">
        <v>13</v>
      </c>
      <c r="G4796" t="s">
        <v>9</v>
      </c>
    </row>
    <row r="4797" spans="1:7" x14ac:dyDescent="0.35">
      <c r="A4797">
        <v>1892</v>
      </c>
      <c r="B4797" s="1">
        <v>45615</v>
      </c>
      <c r="C4797" t="s">
        <v>12</v>
      </c>
      <c r="D4797" s="2">
        <v>0</v>
      </c>
      <c r="E4797" s="2">
        <v>300.69</v>
      </c>
      <c r="F4797" t="s">
        <v>14</v>
      </c>
      <c r="G4797" t="s">
        <v>15</v>
      </c>
    </row>
    <row r="4798" spans="1:7" x14ac:dyDescent="0.35">
      <c r="A4798">
        <v>1892</v>
      </c>
      <c r="B4798" s="1">
        <v>45615</v>
      </c>
      <c r="C4798" t="s">
        <v>12</v>
      </c>
      <c r="D4798" s="2">
        <v>0</v>
      </c>
      <c r="E4798" s="2">
        <v>22.55</v>
      </c>
      <c r="F4798" t="s">
        <v>16</v>
      </c>
      <c r="G4798" t="s">
        <v>17</v>
      </c>
    </row>
    <row r="4799" spans="1:7" x14ac:dyDescent="0.35">
      <c r="A4799">
        <v>1893</v>
      </c>
      <c r="B4799" s="1">
        <v>45615</v>
      </c>
      <c r="C4799" t="s">
        <v>12</v>
      </c>
      <c r="D4799" s="2">
        <v>1629.28</v>
      </c>
      <c r="E4799" s="2">
        <v>0</v>
      </c>
      <c r="F4799" t="s">
        <v>13</v>
      </c>
      <c r="G4799" t="s">
        <v>9</v>
      </c>
    </row>
    <row r="4800" spans="1:7" x14ac:dyDescent="0.35">
      <c r="A4800">
        <v>1893</v>
      </c>
      <c r="B4800" s="1">
        <v>45615</v>
      </c>
      <c r="C4800" t="s">
        <v>12</v>
      </c>
      <c r="D4800" s="2">
        <v>0</v>
      </c>
      <c r="E4800" s="2">
        <v>1515.61</v>
      </c>
      <c r="F4800" t="s">
        <v>14</v>
      </c>
      <c r="G4800" t="s">
        <v>15</v>
      </c>
    </row>
    <row r="4801" spans="1:7" x14ac:dyDescent="0.35">
      <c r="A4801">
        <v>1893</v>
      </c>
      <c r="B4801" s="1">
        <v>45615</v>
      </c>
      <c r="C4801" t="s">
        <v>12</v>
      </c>
      <c r="D4801" s="2">
        <v>0</v>
      </c>
      <c r="E4801" s="2">
        <v>113.67</v>
      </c>
      <c r="F4801" t="s">
        <v>16</v>
      </c>
      <c r="G4801" t="s">
        <v>17</v>
      </c>
    </row>
    <row r="4802" spans="1:7" x14ac:dyDescent="0.35">
      <c r="A4802">
        <v>1894</v>
      </c>
      <c r="B4802" s="1">
        <v>45615</v>
      </c>
      <c r="C4802" t="s">
        <v>12</v>
      </c>
      <c r="D4802" s="2">
        <v>4306.5600000000004</v>
      </c>
      <c r="E4802" s="2">
        <v>0</v>
      </c>
      <c r="F4802" t="s">
        <v>13</v>
      </c>
      <c r="G4802" t="s">
        <v>9</v>
      </c>
    </row>
    <row r="4803" spans="1:7" x14ac:dyDescent="0.35">
      <c r="A4803">
        <v>1894</v>
      </c>
      <c r="B4803" s="1">
        <v>45615</v>
      </c>
      <c r="C4803" t="s">
        <v>12</v>
      </c>
      <c r="D4803" s="2">
        <v>0</v>
      </c>
      <c r="E4803" s="2">
        <v>4006.1</v>
      </c>
      <c r="F4803" t="s">
        <v>14</v>
      </c>
      <c r="G4803" t="s">
        <v>15</v>
      </c>
    </row>
    <row r="4804" spans="1:7" x14ac:dyDescent="0.35">
      <c r="A4804">
        <v>1894</v>
      </c>
      <c r="B4804" s="1">
        <v>45615</v>
      </c>
      <c r="C4804" t="s">
        <v>12</v>
      </c>
      <c r="D4804" s="2">
        <v>0</v>
      </c>
      <c r="E4804" s="2">
        <v>300.45999999999998</v>
      </c>
      <c r="F4804" t="s">
        <v>16</v>
      </c>
      <c r="G4804" t="s">
        <v>17</v>
      </c>
    </row>
    <row r="4805" spans="1:7" x14ac:dyDescent="0.35">
      <c r="A4805">
        <v>1895</v>
      </c>
      <c r="B4805" s="1">
        <v>45615</v>
      </c>
      <c r="C4805" t="s">
        <v>24</v>
      </c>
      <c r="D4805" s="2">
        <v>3804.05</v>
      </c>
      <c r="E4805" s="2">
        <v>0</v>
      </c>
      <c r="F4805" t="s">
        <v>8</v>
      </c>
      <c r="G4805" t="s">
        <v>9</v>
      </c>
    </row>
    <row r="4806" spans="1:7" x14ac:dyDescent="0.35">
      <c r="A4806">
        <v>1895</v>
      </c>
      <c r="B4806" s="1">
        <v>45615</v>
      </c>
      <c r="C4806" t="s">
        <v>24</v>
      </c>
      <c r="D4806" s="2">
        <v>0</v>
      </c>
      <c r="E4806" s="2">
        <v>3804.05</v>
      </c>
      <c r="F4806" t="s">
        <v>13</v>
      </c>
      <c r="G4806" t="s">
        <v>9</v>
      </c>
    </row>
    <row r="4807" spans="1:7" x14ac:dyDescent="0.35">
      <c r="A4807">
        <v>1896</v>
      </c>
      <c r="B4807" s="1">
        <v>45615</v>
      </c>
      <c r="C4807" t="s">
        <v>24</v>
      </c>
      <c r="D4807" s="2">
        <v>4776.8900000000003</v>
      </c>
      <c r="E4807" s="2">
        <v>0</v>
      </c>
      <c r="F4807" t="s">
        <v>8</v>
      </c>
      <c r="G4807" t="s">
        <v>9</v>
      </c>
    </row>
    <row r="4808" spans="1:7" x14ac:dyDescent="0.35">
      <c r="A4808">
        <v>1896</v>
      </c>
      <c r="B4808" s="1">
        <v>45615</v>
      </c>
      <c r="C4808" t="s">
        <v>24</v>
      </c>
      <c r="D4808" s="2">
        <v>0</v>
      </c>
      <c r="E4808" s="2">
        <v>4776.8900000000003</v>
      </c>
      <c r="F4808" t="s">
        <v>13</v>
      </c>
      <c r="G4808" t="s">
        <v>9</v>
      </c>
    </row>
    <row r="4809" spans="1:7" x14ac:dyDescent="0.35">
      <c r="A4809">
        <v>1897</v>
      </c>
      <c r="B4809" s="1">
        <v>45615</v>
      </c>
      <c r="C4809" t="s">
        <v>29</v>
      </c>
      <c r="D4809" s="2">
        <v>1304.6199999999999</v>
      </c>
      <c r="E4809" s="2">
        <v>0</v>
      </c>
      <c r="F4809" t="s">
        <v>28</v>
      </c>
      <c r="G4809" t="s">
        <v>17</v>
      </c>
    </row>
    <row r="4810" spans="1:7" x14ac:dyDescent="0.35">
      <c r="A4810">
        <v>1897</v>
      </c>
      <c r="B4810" s="1">
        <v>45615</v>
      </c>
      <c r="C4810" t="s">
        <v>29</v>
      </c>
      <c r="D4810" s="2">
        <v>0</v>
      </c>
      <c r="E4810" s="2">
        <v>1304.6199999999999</v>
      </c>
      <c r="F4810" t="s">
        <v>8</v>
      </c>
      <c r="G4810" t="s">
        <v>9</v>
      </c>
    </row>
    <row r="4811" spans="1:7" x14ac:dyDescent="0.35">
      <c r="A4811">
        <v>1898</v>
      </c>
      <c r="B4811" s="1">
        <v>45616</v>
      </c>
      <c r="C4811" t="s">
        <v>12</v>
      </c>
      <c r="D4811" s="2">
        <v>774.84</v>
      </c>
      <c r="E4811" s="2">
        <v>0</v>
      </c>
      <c r="F4811" t="s">
        <v>13</v>
      </c>
      <c r="G4811" t="s">
        <v>9</v>
      </c>
    </row>
    <row r="4812" spans="1:7" x14ac:dyDescent="0.35">
      <c r="A4812">
        <v>1898</v>
      </c>
      <c r="B4812" s="1">
        <v>45616</v>
      </c>
      <c r="C4812" t="s">
        <v>12</v>
      </c>
      <c r="D4812" s="2">
        <v>0</v>
      </c>
      <c r="E4812" s="2">
        <v>720.78</v>
      </c>
      <c r="F4812" t="s">
        <v>14</v>
      </c>
      <c r="G4812" t="s">
        <v>15</v>
      </c>
    </row>
    <row r="4813" spans="1:7" x14ac:dyDescent="0.35">
      <c r="A4813">
        <v>1898</v>
      </c>
      <c r="B4813" s="1">
        <v>45616</v>
      </c>
      <c r="C4813" t="s">
        <v>12</v>
      </c>
      <c r="D4813" s="2">
        <v>0</v>
      </c>
      <c r="E4813" s="2">
        <v>54.06</v>
      </c>
      <c r="F4813" t="s">
        <v>16</v>
      </c>
      <c r="G4813" t="s">
        <v>17</v>
      </c>
    </row>
    <row r="4814" spans="1:7" x14ac:dyDescent="0.35">
      <c r="A4814">
        <v>1899</v>
      </c>
      <c r="B4814" s="1">
        <v>45616</v>
      </c>
      <c r="C4814" t="s">
        <v>12</v>
      </c>
      <c r="D4814" s="2">
        <v>268.94</v>
      </c>
      <c r="E4814" s="2">
        <v>0</v>
      </c>
      <c r="F4814" t="s">
        <v>13</v>
      </c>
      <c r="G4814" t="s">
        <v>9</v>
      </c>
    </row>
    <row r="4815" spans="1:7" x14ac:dyDescent="0.35">
      <c r="A4815">
        <v>1899</v>
      </c>
      <c r="B4815" s="1">
        <v>45616</v>
      </c>
      <c r="C4815" t="s">
        <v>12</v>
      </c>
      <c r="D4815" s="2">
        <v>0</v>
      </c>
      <c r="E4815" s="2">
        <v>250.18</v>
      </c>
      <c r="F4815" t="s">
        <v>14</v>
      </c>
      <c r="G4815" t="s">
        <v>15</v>
      </c>
    </row>
    <row r="4816" spans="1:7" x14ac:dyDescent="0.35">
      <c r="A4816">
        <v>1899</v>
      </c>
      <c r="B4816" s="1">
        <v>45616</v>
      </c>
      <c r="C4816" t="s">
        <v>12</v>
      </c>
      <c r="D4816" s="2">
        <v>0</v>
      </c>
      <c r="E4816" s="2">
        <v>18.760000000000002</v>
      </c>
      <c r="F4816" t="s">
        <v>16</v>
      </c>
      <c r="G4816" t="s">
        <v>17</v>
      </c>
    </row>
    <row r="4817" spans="1:7" x14ac:dyDescent="0.35">
      <c r="A4817">
        <v>1900</v>
      </c>
      <c r="B4817" s="1">
        <v>45616</v>
      </c>
      <c r="C4817" t="s">
        <v>12</v>
      </c>
      <c r="D4817" s="2">
        <v>2873.01</v>
      </c>
      <c r="E4817" s="2">
        <v>0</v>
      </c>
      <c r="F4817" t="s">
        <v>13</v>
      </c>
      <c r="G4817" t="s">
        <v>9</v>
      </c>
    </row>
    <row r="4818" spans="1:7" x14ac:dyDescent="0.35">
      <c r="A4818">
        <v>1900</v>
      </c>
      <c r="B4818" s="1">
        <v>45616</v>
      </c>
      <c r="C4818" t="s">
        <v>12</v>
      </c>
      <c r="D4818" s="2">
        <v>0</v>
      </c>
      <c r="E4818" s="2">
        <v>2672.57</v>
      </c>
      <c r="F4818" t="s">
        <v>14</v>
      </c>
      <c r="G4818" t="s">
        <v>15</v>
      </c>
    </row>
    <row r="4819" spans="1:7" x14ac:dyDescent="0.35">
      <c r="A4819">
        <v>1900</v>
      </c>
      <c r="B4819" s="1">
        <v>45616</v>
      </c>
      <c r="C4819" t="s">
        <v>12</v>
      </c>
      <c r="D4819" s="2">
        <v>0</v>
      </c>
      <c r="E4819" s="2">
        <v>200.44</v>
      </c>
      <c r="F4819" t="s">
        <v>16</v>
      </c>
      <c r="G4819" t="s">
        <v>17</v>
      </c>
    </row>
    <row r="4820" spans="1:7" x14ac:dyDescent="0.35">
      <c r="A4820">
        <v>1901</v>
      </c>
      <c r="B4820" s="1">
        <v>45616</v>
      </c>
      <c r="C4820" t="s">
        <v>12</v>
      </c>
      <c r="D4820" s="2">
        <v>1380.69</v>
      </c>
      <c r="E4820" s="2">
        <v>0</v>
      </c>
      <c r="F4820" t="s">
        <v>13</v>
      </c>
      <c r="G4820" t="s">
        <v>9</v>
      </c>
    </row>
    <row r="4821" spans="1:7" x14ac:dyDescent="0.35">
      <c r="A4821">
        <v>1901</v>
      </c>
      <c r="B4821" s="1">
        <v>45616</v>
      </c>
      <c r="C4821" t="s">
        <v>12</v>
      </c>
      <c r="D4821" s="2">
        <v>0</v>
      </c>
      <c r="E4821" s="2">
        <v>1284.3599999999999</v>
      </c>
      <c r="F4821" t="s">
        <v>14</v>
      </c>
      <c r="G4821" t="s">
        <v>15</v>
      </c>
    </row>
    <row r="4822" spans="1:7" x14ac:dyDescent="0.35">
      <c r="A4822">
        <v>1901</v>
      </c>
      <c r="B4822" s="1">
        <v>45616</v>
      </c>
      <c r="C4822" t="s">
        <v>12</v>
      </c>
      <c r="D4822" s="2">
        <v>0</v>
      </c>
      <c r="E4822" s="2">
        <v>96.33</v>
      </c>
      <c r="F4822" t="s">
        <v>16</v>
      </c>
      <c r="G4822" t="s">
        <v>17</v>
      </c>
    </row>
    <row r="4823" spans="1:7" x14ac:dyDescent="0.35">
      <c r="A4823">
        <v>1902</v>
      </c>
      <c r="B4823" s="1">
        <v>45616</v>
      </c>
      <c r="C4823" t="s">
        <v>12</v>
      </c>
      <c r="D4823" s="2">
        <v>3187.94</v>
      </c>
      <c r="E4823" s="2">
        <v>0</v>
      </c>
      <c r="F4823" t="s">
        <v>13</v>
      </c>
      <c r="G4823" t="s">
        <v>9</v>
      </c>
    </row>
    <row r="4824" spans="1:7" x14ac:dyDescent="0.35">
      <c r="A4824">
        <v>1902</v>
      </c>
      <c r="B4824" s="1">
        <v>45616</v>
      </c>
      <c r="C4824" t="s">
        <v>12</v>
      </c>
      <c r="D4824" s="2">
        <v>0</v>
      </c>
      <c r="E4824" s="2">
        <v>2965.53</v>
      </c>
      <c r="F4824" t="s">
        <v>14</v>
      </c>
      <c r="G4824" t="s">
        <v>15</v>
      </c>
    </row>
    <row r="4825" spans="1:7" x14ac:dyDescent="0.35">
      <c r="A4825">
        <v>1902</v>
      </c>
      <c r="B4825" s="1">
        <v>45616</v>
      </c>
      <c r="C4825" t="s">
        <v>12</v>
      </c>
      <c r="D4825" s="2">
        <v>0</v>
      </c>
      <c r="E4825" s="2">
        <v>222.41</v>
      </c>
      <c r="F4825" t="s">
        <v>16</v>
      </c>
      <c r="G4825" t="s">
        <v>17</v>
      </c>
    </row>
    <row r="4826" spans="1:7" x14ac:dyDescent="0.35">
      <c r="A4826">
        <v>1903</v>
      </c>
      <c r="B4826" s="1">
        <v>45616</v>
      </c>
      <c r="C4826" t="s">
        <v>12</v>
      </c>
      <c r="D4826" s="2">
        <v>3156.04</v>
      </c>
      <c r="E4826" s="2">
        <v>0</v>
      </c>
      <c r="F4826" t="s">
        <v>13</v>
      </c>
      <c r="G4826" t="s">
        <v>9</v>
      </c>
    </row>
    <row r="4827" spans="1:7" x14ac:dyDescent="0.35">
      <c r="A4827">
        <v>1903</v>
      </c>
      <c r="B4827" s="1">
        <v>45616</v>
      </c>
      <c r="C4827" t="s">
        <v>12</v>
      </c>
      <c r="D4827" s="2">
        <v>0</v>
      </c>
      <c r="E4827" s="2">
        <v>2935.86</v>
      </c>
      <c r="F4827" t="s">
        <v>14</v>
      </c>
      <c r="G4827" t="s">
        <v>15</v>
      </c>
    </row>
    <row r="4828" spans="1:7" x14ac:dyDescent="0.35">
      <c r="A4828">
        <v>1903</v>
      </c>
      <c r="B4828" s="1">
        <v>45616</v>
      </c>
      <c r="C4828" t="s">
        <v>12</v>
      </c>
      <c r="D4828" s="2">
        <v>0</v>
      </c>
      <c r="E4828" s="2">
        <v>220.18</v>
      </c>
      <c r="F4828" t="s">
        <v>16</v>
      </c>
      <c r="G4828" t="s">
        <v>17</v>
      </c>
    </row>
    <row r="4829" spans="1:7" x14ac:dyDescent="0.35">
      <c r="A4829">
        <v>1904</v>
      </c>
      <c r="B4829" s="1">
        <v>45616</v>
      </c>
      <c r="C4829" t="s">
        <v>12</v>
      </c>
      <c r="D4829" s="2">
        <v>420.58</v>
      </c>
      <c r="E4829" s="2">
        <v>0</v>
      </c>
      <c r="F4829" t="s">
        <v>13</v>
      </c>
      <c r="G4829" t="s">
        <v>9</v>
      </c>
    </row>
    <row r="4830" spans="1:7" x14ac:dyDescent="0.35">
      <c r="A4830">
        <v>1904</v>
      </c>
      <c r="B4830" s="1">
        <v>45616</v>
      </c>
      <c r="C4830" t="s">
        <v>12</v>
      </c>
      <c r="D4830" s="2">
        <v>0</v>
      </c>
      <c r="E4830" s="2">
        <v>391.23</v>
      </c>
      <c r="F4830" t="s">
        <v>14</v>
      </c>
      <c r="G4830" t="s">
        <v>15</v>
      </c>
    </row>
    <row r="4831" spans="1:7" x14ac:dyDescent="0.35">
      <c r="A4831">
        <v>1904</v>
      </c>
      <c r="B4831" s="1">
        <v>45616</v>
      </c>
      <c r="C4831" t="s">
        <v>12</v>
      </c>
      <c r="D4831" s="2">
        <v>0</v>
      </c>
      <c r="E4831" s="2">
        <v>29.35</v>
      </c>
      <c r="F4831" t="s">
        <v>16</v>
      </c>
      <c r="G4831" t="s">
        <v>17</v>
      </c>
    </row>
    <row r="4832" spans="1:7" x14ac:dyDescent="0.35">
      <c r="A4832">
        <v>1905</v>
      </c>
      <c r="B4832" s="1">
        <v>45616</v>
      </c>
      <c r="C4832" t="s">
        <v>12</v>
      </c>
      <c r="D4832" s="2">
        <v>1486.95</v>
      </c>
      <c r="E4832" s="2">
        <v>0</v>
      </c>
      <c r="F4832" t="s">
        <v>13</v>
      </c>
      <c r="G4832" t="s">
        <v>9</v>
      </c>
    </row>
    <row r="4833" spans="1:7" x14ac:dyDescent="0.35">
      <c r="A4833">
        <v>1905</v>
      </c>
      <c r="B4833" s="1">
        <v>45616</v>
      </c>
      <c r="C4833" t="s">
        <v>12</v>
      </c>
      <c r="D4833" s="2">
        <v>0</v>
      </c>
      <c r="E4833" s="2">
        <v>1383.21</v>
      </c>
      <c r="F4833" t="s">
        <v>14</v>
      </c>
      <c r="G4833" t="s">
        <v>15</v>
      </c>
    </row>
    <row r="4834" spans="1:7" x14ac:dyDescent="0.35">
      <c r="A4834">
        <v>1905</v>
      </c>
      <c r="B4834" s="1">
        <v>45616</v>
      </c>
      <c r="C4834" t="s">
        <v>12</v>
      </c>
      <c r="D4834" s="2">
        <v>0</v>
      </c>
      <c r="E4834" s="2">
        <v>103.74</v>
      </c>
      <c r="F4834" t="s">
        <v>16</v>
      </c>
      <c r="G4834" t="s">
        <v>17</v>
      </c>
    </row>
    <row r="4835" spans="1:7" x14ac:dyDescent="0.35">
      <c r="A4835">
        <v>1906</v>
      </c>
      <c r="B4835" s="1">
        <v>45616</v>
      </c>
      <c r="C4835" t="s">
        <v>24</v>
      </c>
      <c r="D4835" s="2">
        <v>4240.63</v>
      </c>
      <c r="E4835" s="2">
        <v>0</v>
      </c>
      <c r="F4835" t="s">
        <v>8</v>
      </c>
      <c r="G4835" t="s">
        <v>9</v>
      </c>
    </row>
    <row r="4836" spans="1:7" x14ac:dyDescent="0.35">
      <c r="A4836">
        <v>1906</v>
      </c>
      <c r="B4836" s="1">
        <v>45616</v>
      </c>
      <c r="C4836" t="s">
        <v>24</v>
      </c>
      <c r="D4836" s="2">
        <v>0</v>
      </c>
      <c r="E4836" s="2">
        <v>4240.63</v>
      </c>
      <c r="F4836" t="s">
        <v>13</v>
      </c>
      <c r="G4836" t="s">
        <v>9</v>
      </c>
    </row>
    <row r="4837" spans="1:7" x14ac:dyDescent="0.35">
      <c r="A4837">
        <v>1907</v>
      </c>
      <c r="B4837" s="1">
        <v>45616</v>
      </c>
      <c r="C4837" t="s">
        <v>24</v>
      </c>
      <c r="D4837" s="2">
        <v>3043.81</v>
      </c>
      <c r="E4837" s="2">
        <v>0</v>
      </c>
      <c r="F4837" t="s">
        <v>8</v>
      </c>
      <c r="G4837" t="s">
        <v>9</v>
      </c>
    </row>
    <row r="4838" spans="1:7" x14ac:dyDescent="0.35">
      <c r="A4838">
        <v>1907</v>
      </c>
      <c r="B4838" s="1">
        <v>45616</v>
      </c>
      <c r="C4838" t="s">
        <v>24</v>
      </c>
      <c r="D4838" s="2">
        <v>0</v>
      </c>
      <c r="E4838" s="2">
        <v>3043.81</v>
      </c>
      <c r="F4838" t="s">
        <v>13</v>
      </c>
      <c r="G4838" t="s">
        <v>9</v>
      </c>
    </row>
    <row r="4839" spans="1:7" x14ac:dyDescent="0.35">
      <c r="A4839">
        <v>1908</v>
      </c>
      <c r="B4839" s="1">
        <v>45616</v>
      </c>
      <c r="C4839" t="s">
        <v>24</v>
      </c>
      <c r="D4839" s="2">
        <v>2057.9</v>
      </c>
      <c r="E4839" s="2">
        <v>0</v>
      </c>
      <c r="F4839" t="s">
        <v>8</v>
      </c>
      <c r="G4839" t="s">
        <v>9</v>
      </c>
    </row>
    <row r="4840" spans="1:7" x14ac:dyDescent="0.35">
      <c r="A4840">
        <v>1908</v>
      </c>
      <c r="B4840" s="1">
        <v>45616</v>
      </c>
      <c r="C4840" t="s">
        <v>24</v>
      </c>
      <c r="D4840" s="2">
        <v>0</v>
      </c>
      <c r="E4840" s="2">
        <v>2057.9</v>
      </c>
      <c r="F4840" t="s">
        <v>13</v>
      </c>
      <c r="G4840" t="s">
        <v>9</v>
      </c>
    </row>
    <row r="4841" spans="1:7" x14ac:dyDescent="0.35">
      <c r="A4841">
        <v>1909</v>
      </c>
      <c r="B4841" s="1">
        <v>45616</v>
      </c>
      <c r="C4841" t="s">
        <v>24</v>
      </c>
      <c r="D4841" s="2">
        <v>5028.3</v>
      </c>
      <c r="E4841" s="2">
        <v>0</v>
      </c>
      <c r="F4841" t="s">
        <v>8</v>
      </c>
      <c r="G4841" t="s">
        <v>9</v>
      </c>
    </row>
    <row r="4842" spans="1:7" x14ac:dyDescent="0.35">
      <c r="A4842">
        <v>1909</v>
      </c>
      <c r="B4842" s="1">
        <v>45616</v>
      </c>
      <c r="C4842" t="s">
        <v>24</v>
      </c>
      <c r="D4842" s="2">
        <v>0</v>
      </c>
      <c r="E4842" s="2">
        <v>5028.3</v>
      </c>
      <c r="F4842" t="s">
        <v>13</v>
      </c>
      <c r="G4842" t="s">
        <v>9</v>
      </c>
    </row>
    <row r="4843" spans="1:7" x14ac:dyDescent="0.35">
      <c r="A4843">
        <v>1910</v>
      </c>
      <c r="B4843" s="1">
        <v>45616</v>
      </c>
      <c r="C4843" t="s">
        <v>24</v>
      </c>
      <c r="D4843" s="2">
        <v>2810.71</v>
      </c>
      <c r="E4843" s="2">
        <v>0</v>
      </c>
      <c r="F4843" t="s">
        <v>8</v>
      </c>
      <c r="G4843" t="s">
        <v>9</v>
      </c>
    </row>
    <row r="4844" spans="1:7" x14ac:dyDescent="0.35">
      <c r="A4844">
        <v>1910</v>
      </c>
      <c r="B4844" s="1">
        <v>45616</v>
      </c>
      <c r="C4844" t="s">
        <v>24</v>
      </c>
      <c r="D4844" s="2">
        <v>0</v>
      </c>
      <c r="E4844" s="2">
        <v>2810.71</v>
      </c>
      <c r="F4844" t="s">
        <v>13</v>
      </c>
      <c r="G4844" t="s">
        <v>9</v>
      </c>
    </row>
    <row r="4845" spans="1:7" x14ac:dyDescent="0.35">
      <c r="A4845">
        <v>1911</v>
      </c>
      <c r="B4845" s="1">
        <v>45616</v>
      </c>
      <c r="C4845" t="s">
        <v>29</v>
      </c>
      <c r="D4845" s="2">
        <v>1591.54</v>
      </c>
      <c r="E4845" s="2">
        <v>0</v>
      </c>
      <c r="F4845" t="s">
        <v>28</v>
      </c>
      <c r="G4845" t="s">
        <v>17</v>
      </c>
    </row>
    <row r="4846" spans="1:7" x14ac:dyDescent="0.35">
      <c r="A4846">
        <v>1911</v>
      </c>
      <c r="B4846" s="1">
        <v>45616</v>
      </c>
      <c r="C4846" t="s">
        <v>29</v>
      </c>
      <c r="D4846" s="2">
        <v>0</v>
      </c>
      <c r="E4846" s="2">
        <v>1591.54</v>
      </c>
      <c r="F4846" t="s">
        <v>8</v>
      </c>
      <c r="G4846" t="s">
        <v>9</v>
      </c>
    </row>
    <row r="4847" spans="1:7" x14ac:dyDescent="0.35">
      <c r="A4847">
        <v>1912</v>
      </c>
      <c r="B4847" s="1">
        <v>45616</v>
      </c>
      <c r="C4847" t="s">
        <v>29</v>
      </c>
      <c r="D4847" s="2">
        <v>862.91</v>
      </c>
      <c r="E4847" s="2">
        <v>0</v>
      </c>
      <c r="F4847" t="s">
        <v>28</v>
      </c>
      <c r="G4847" t="s">
        <v>17</v>
      </c>
    </row>
    <row r="4848" spans="1:7" x14ac:dyDescent="0.35">
      <c r="A4848">
        <v>1912</v>
      </c>
      <c r="B4848" s="1">
        <v>45616</v>
      </c>
      <c r="C4848" t="s">
        <v>29</v>
      </c>
      <c r="D4848" s="2">
        <v>0</v>
      </c>
      <c r="E4848" s="2">
        <v>862.91</v>
      </c>
      <c r="F4848" t="s">
        <v>8</v>
      </c>
      <c r="G4848" t="s">
        <v>9</v>
      </c>
    </row>
    <row r="4849" spans="1:7" x14ac:dyDescent="0.35">
      <c r="A4849">
        <v>1913</v>
      </c>
      <c r="B4849" s="1">
        <v>45616</v>
      </c>
      <c r="C4849" t="s">
        <v>29</v>
      </c>
      <c r="D4849" s="2">
        <v>179.01</v>
      </c>
      <c r="E4849" s="2">
        <v>0</v>
      </c>
      <c r="F4849" t="s">
        <v>28</v>
      </c>
      <c r="G4849" t="s">
        <v>17</v>
      </c>
    </row>
    <row r="4850" spans="1:7" x14ac:dyDescent="0.35">
      <c r="A4850">
        <v>1913</v>
      </c>
      <c r="B4850" s="1">
        <v>45616</v>
      </c>
      <c r="C4850" t="s">
        <v>29</v>
      </c>
      <c r="D4850" s="2">
        <v>0</v>
      </c>
      <c r="E4850" s="2">
        <v>179.01</v>
      </c>
      <c r="F4850" t="s">
        <v>8</v>
      </c>
      <c r="G4850" t="s">
        <v>9</v>
      </c>
    </row>
    <row r="4851" spans="1:7" x14ac:dyDescent="0.35">
      <c r="A4851">
        <v>1914</v>
      </c>
      <c r="B4851" s="1">
        <v>45617</v>
      </c>
      <c r="C4851" t="s">
        <v>18</v>
      </c>
      <c r="D4851" s="2">
        <v>22037.74</v>
      </c>
      <c r="E4851" s="2">
        <v>0</v>
      </c>
      <c r="F4851" t="s">
        <v>19</v>
      </c>
      <c r="G4851" t="s">
        <v>20</v>
      </c>
    </row>
    <row r="4852" spans="1:7" x14ac:dyDescent="0.35">
      <c r="A4852">
        <v>1914</v>
      </c>
      <c r="B4852" s="1">
        <v>45617</v>
      </c>
      <c r="C4852" t="s">
        <v>18</v>
      </c>
      <c r="D4852" s="2">
        <v>881.51</v>
      </c>
      <c r="E4852" s="2">
        <v>0</v>
      </c>
      <c r="F4852" t="s">
        <v>21</v>
      </c>
      <c r="G4852" t="s">
        <v>20</v>
      </c>
    </row>
    <row r="4853" spans="1:7" x14ac:dyDescent="0.35">
      <c r="A4853">
        <v>1914</v>
      </c>
      <c r="B4853" s="1">
        <v>45617</v>
      </c>
      <c r="C4853" t="s">
        <v>18</v>
      </c>
      <c r="D4853" s="2">
        <v>0</v>
      </c>
      <c r="E4853" s="2">
        <v>17968.47</v>
      </c>
      <c r="F4853" t="s">
        <v>8</v>
      </c>
      <c r="G4853" t="s">
        <v>9</v>
      </c>
    </row>
    <row r="4854" spans="1:7" x14ac:dyDescent="0.35">
      <c r="A4854">
        <v>1914</v>
      </c>
      <c r="B4854" s="1">
        <v>45617</v>
      </c>
      <c r="C4854" t="s">
        <v>18</v>
      </c>
      <c r="D4854" s="2">
        <v>0</v>
      </c>
      <c r="E4854" s="2">
        <v>4069.27</v>
      </c>
      <c r="F4854" t="s">
        <v>22</v>
      </c>
      <c r="G4854" t="s">
        <v>17</v>
      </c>
    </row>
    <row r="4855" spans="1:7" x14ac:dyDescent="0.35">
      <c r="A4855">
        <v>1914</v>
      </c>
      <c r="B4855" s="1">
        <v>45617</v>
      </c>
      <c r="C4855" t="s">
        <v>18</v>
      </c>
      <c r="D4855" s="2">
        <v>0</v>
      </c>
      <c r="E4855" s="2">
        <v>881.51</v>
      </c>
      <c r="F4855" t="s">
        <v>23</v>
      </c>
      <c r="G4855" t="s">
        <v>17</v>
      </c>
    </row>
    <row r="4856" spans="1:7" x14ac:dyDescent="0.35">
      <c r="A4856">
        <v>1915</v>
      </c>
      <c r="B4856" s="1">
        <v>45617</v>
      </c>
      <c r="C4856" t="s">
        <v>12</v>
      </c>
      <c r="D4856" s="2">
        <v>3262.65</v>
      </c>
      <c r="E4856" s="2">
        <v>0</v>
      </c>
      <c r="F4856" t="s">
        <v>13</v>
      </c>
      <c r="G4856" t="s">
        <v>9</v>
      </c>
    </row>
    <row r="4857" spans="1:7" x14ac:dyDescent="0.35">
      <c r="A4857">
        <v>1915</v>
      </c>
      <c r="B4857" s="1">
        <v>45617</v>
      </c>
      <c r="C4857" t="s">
        <v>12</v>
      </c>
      <c r="D4857" s="2">
        <v>0</v>
      </c>
      <c r="E4857" s="2">
        <v>3035.01</v>
      </c>
      <c r="F4857" t="s">
        <v>14</v>
      </c>
      <c r="G4857" t="s">
        <v>15</v>
      </c>
    </row>
    <row r="4858" spans="1:7" x14ac:dyDescent="0.35">
      <c r="A4858">
        <v>1915</v>
      </c>
      <c r="B4858" s="1">
        <v>45617</v>
      </c>
      <c r="C4858" t="s">
        <v>12</v>
      </c>
      <c r="D4858" s="2">
        <v>0</v>
      </c>
      <c r="E4858" s="2">
        <v>227.64</v>
      </c>
      <c r="F4858" t="s">
        <v>16</v>
      </c>
      <c r="G4858" t="s">
        <v>17</v>
      </c>
    </row>
    <row r="4859" spans="1:7" x14ac:dyDescent="0.35">
      <c r="A4859">
        <v>1916</v>
      </c>
      <c r="B4859" s="1">
        <v>45617</v>
      </c>
      <c r="C4859" t="s">
        <v>12</v>
      </c>
      <c r="D4859" s="2">
        <v>179.58</v>
      </c>
      <c r="E4859" s="2">
        <v>0</v>
      </c>
      <c r="F4859" t="s">
        <v>13</v>
      </c>
      <c r="G4859" t="s">
        <v>9</v>
      </c>
    </row>
    <row r="4860" spans="1:7" x14ac:dyDescent="0.35">
      <c r="A4860">
        <v>1916</v>
      </c>
      <c r="B4860" s="1">
        <v>45617</v>
      </c>
      <c r="C4860" t="s">
        <v>12</v>
      </c>
      <c r="D4860" s="2">
        <v>0</v>
      </c>
      <c r="E4860" s="2">
        <v>167.05</v>
      </c>
      <c r="F4860" t="s">
        <v>14</v>
      </c>
      <c r="G4860" t="s">
        <v>15</v>
      </c>
    </row>
    <row r="4861" spans="1:7" x14ac:dyDescent="0.35">
      <c r="A4861">
        <v>1916</v>
      </c>
      <c r="B4861" s="1">
        <v>45617</v>
      </c>
      <c r="C4861" t="s">
        <v>12</v>
      </c>
      <c r="D4861" s="2">
        <v>0</v>
      </c>
      <c r="E4861" s="2">
        <v>12.53</v>
      </c>
      <c r="F4861" t="s">
        <v>16</v>
      </c>
      <c r="G4861" t="s">
        <v>17</v>
      </c>
    </row>
    <row r="4862" spans="1:7" x14ac:dyDescent="0.35">
      <c r="A4862">
        <v>1917</v>
      </c>
      <c r="B4862" s="1">
        <v>45617</v>
      </c>
      <c r="C4862" t="s">
        <v>12</v>
      </c>
      <c r="D4862" s="2">
        <v>123.55</v>
      </c>
      <c r="E4862" s="2">
        <v>0</v>
      </c>
      <c r="F4862" t="s">
        <v>13</v>
      </c>
      <c r="G4862" t="s">
        <v>9</v>
      </c>
    </row>
    <row r="4863" spans="1:7" x14ac:dyDescent="0.35">
      <c r="A4863">
        <v>1917</v>
      </c>
      <c r="B4863" s="1">
        <v>45617</v>
      </c>
      <c r="C4863" t="s">
        <v>12</v>
      </c>
      <c r="D4863" s="2">
        <v>0</v>
      </c>
      <c r="E4863" s="2">
        <v>114.93</v>
      </c>
      <c r="F4863" t="s">
        <v>14</v>
      </c>
      <c r="G4863" t="s">
        <v>15</v>
      </c>
    </row>
    <row r="4864" spans="1:7" x14ac:dyDescent="0.35">
      <c r="A4864">
        <v>1917</v>
      </c>
      <c r="B4864" s="1">
        <v>45617</v>
      </c>
      <c r="C4864" t="s">
        <v>12</v>
      </c>
      <c r="D4864" s="2">
        <v>0</v>
      </c>
      <c r="E4864" s="2">
        <v>8.6199999999999992</v>
      </c>
      <c r="F4864" t="s">
        <v>16</v>
      </c>
      <c r="G4864" t="s">
        <v>17</v>
      </c>
    </row>
    <row r="4865" spans="1:7" x14ac:dyDescent="0.35">
      <c r="A4865">
        <v>1918</v>
      </c>
      <c r="B4865" s="1">
        <v>45617</v>
      </c>
      <c r="C4865" t="s">
        <v>12</v>
      </c>
      <c r="D4865" s="2">
        <v>1401.76</v>
      </c>
      <c r="E4865" s="2">
        <v>0</v>
      </c>
      <c r="F4865" t="s">
        <v>13</v>
      </c>
      <c r="G4865" t="s">
        <v>9</v>
      </c>
    </row>
    <row r="4866" spans="1:7" x14ac:dyDescent="0.35">
      <c r="A4866">
        <v>1918</v>
      </c>
      <c r="B4866" s="1">
        <v>45617</v>
      </c>
      <c r="C4866" t="s">
        <v>12</v>
      </c>
      <c r="D4866" s="2">
        <v>0</v>
      </c>
      <c r="E4866" s="2">
        <v>1303.97</v>
      </c>
      <c r="F4866" t="s">
        <v>14</v>
      </c>
      <c r="G4866" t="s">
        <v>15</v>
      </c>
    </row>
    <row r="4867" spans="1:7" x14ac:dyDescent="0.35">
      <c r="A4867">
        <v>1918</v>
      </c>
      <c r="B4867" s="1">
        <v>45617</v>
      </c>
      <c r="C4867" t="s">
        <v>12</v>
      </c>
      <c r="D4867" s="2">
        <v>0</v>
      </c>
      <c r="E4867" s="2">
        <v>97.79</v>
      </c>
      <c r="F4867" t="s">
        <v>16</v>
      </c>
      <c r="G4867" t="s">
        <v>17</v>
      </c>
    </row>
    <row r="4868" spans="1:7" x14ac:dyDescent="0.35">
      <c r="A4868">
        <v>1919</v>
      </c>
      <c r="B4868" s="1">
        <v>45617</v>
      </c>
      <c r="C4868" t="s">
        <v>12</v>
      </c>
      <c r="D4868" s="2">
        <v>3516.99</v>
      </c>
      <c r="E4868" s="2">
        <v>0</v>
      </c>
      <c r="F4868" t="s">
        <v>13</v>
      </c>
      <c r="G4868" t="s">
        <v>9</v>
      </c>
    </row>
    <row r="4869" spans="1:7" x14ac:dyDescent="0.35">
      <c r="A4869">
        <v>1919</v>
      </c>
      <c r="B4869" s="1">
        <v>45617</v>
      </c>
      <c r="C4869" t="s">
        <v>12</v>
      </c>
      <c r="D4869" s="2">
        <v>0</v>
      </c>
      <c r="E4869" s="2">
        <v>3271.62</v>
      </c>
      <c r="F4869" t="s">
        <v>14</v>
      </c>
      <c r="G4869" t="s">
        <v>15</v>
      </c>
    </row>
    <row r="4870" spans="1:7" x14ac:dyDescent="0.35">
      <c r="A4870">
        <v>1919</v>
      </c>
      <c r="B4870" s="1">
        <v>45617</v>
      </c>
      <c r="C4870" t="s">
        <v>12</v>
      </c>
      <c r="D4870" s="2">
        <v>0</v>
      </c>
      <c r="E4870" s="2">
        <v>245.37</v>
      </c>
      <c r="F4870" t="s">
        <v>16</v>
      </c>
      <c r="G4870" t="s">
        <v>17</v>
      </c>
    </row>
    <row r="4871" spans="1:7" x14ac:dyDescent="0.35">
      <c r="A4871">
        <v>1920</v>
      </c>
      <c r="B4871" s="1">
        <v>45617</v>
      </c>
      <c r="C4871" t="s">
        <v>12</v>
      </c>
      <c r="D4871" s="2">
        <v>5173.53</v>
      </c>
      <c r="E4871" s="2">
        <v>0</v>
      </c>
      <c r="F4871" t="s">
        <v>13</v>
      </c>
      <c r="G4871" t="s">
        <v>9</v>
      </c>
    </row>
    <row r="4872" spans="1:7" x14ac:dyDescent="0.35">
      <c r="A4872">
        <v>1920</v>
      </c>
      <c r="B4872" s="1">
        <v>45617</v>
      </c>
      <c r="C4872" t="s">
        <v>12</v>
      </c>
      <c r="D4872" s="2">
        <v>0</v>
      </c>
      <c r="E4872" s="2">
        <v>4812.59</v>
      </c>
      <c r="F4872" t="s">
        <v>14</v>
      </c>
      <c r="G4872" t="s">
        <v>15</v>
      </c>
    </row>
    <row r="4873" spans="1:7" x14ac:dyDescent="0.35">
      <c r="A4873">
        <v>1920</v>
      </c>
      <c r="B4873" s="1">
        <v>45617</v>
      </c>
      <c r="C4873" t="s">
        <v>12</v>
      </c>
      <c r="D4873" s="2">
        <v>0</v>
      </c>
      <c r="E4873" s="2">
        <v>360.94</v>
      </c>
      <c r="F4873" t="s">
        <v>16</v>
      </c>
      <c r="G4873" t="s">
        <v>17</v>
      </c>
    </row>
    <row r="4874" spans="1:7" x14ac:dyDescent="0.35">
      <c r="A4874">
        <v>1921</v>
      </c>
      <c r="B4874" s="1">
        <v>45617</v>
      </c>
      <c r="C4874" t="s">
        <v>12</v>
      </c>
      <c r="D4874" s="2">
        <v>3301.03</v>
      </c>
      <c r="E4874" s="2">
        <v>0</v>
      </c>
      <c r="F4874" t="s">
        <v>13</v>
      </c>
      <c r="G4874" t="s">
        <v>9</v>
      </c>
    </row>
    <row r="4875" spans="1:7" x14ac:dyDescent="0.35">
      <c r="A4875">
        <v>1921</v>
      </c>
      <c r="B4875" s="1">
        <v>45617</v>
      </c>
      <c r="C4875" t="s">
        <v>12</v>
      </c>
      <c r="D4875" s="2">
        <v>0</v>
      </c>
      <c r="E4875" s="2">
        <v>3070.72</v>
      </c>
      <c r="F4875" t="s">
        <v>14</v>
      </c>
      <c r="G4875" t="s">
        <v>15</v>
      </c>
    </row>
    <row r="4876" spans="1:7" x14ac:dyDescent="0.35">
      <c r="A4876">
        <v>1921</v>
      </c>
      <c r="B4876" s="1">
        <v>45617</v>
      </c>
      <c r="C4876" t="s">
        <v>12</v>
      </c>
      <c r="D4876" s="2">
        <v>0</v>
      </c>
      <c r="E4876" s="2">
        <v>230.31</v>
      </c>
      <c r="F4876" t="s">
        <v>16</v>
      </c>
      <c r="G4876" t="s">
        <v>17</v>
      </c>
    </row>
    <row r="4877" spans="1:7" x14ac:dyDescent="0.35">
      <c r="A4877">
        <v>1922</v>
      </c>
      <c r="B4877" s="1">
        <v>45617</v>
      </c>
      <c r="C4877" t="s">
        <v>12</v>
      </c>
      <c r="D4877" s="2">
        <v>2721.76</v>
      </c>
      <c r="E4877" s="2">
        <v>0</v>
      </c>
      <c r="F4877" t="s">
        <v>13</v>
      </c>
      <c r="G4877" t="s">
        <v>9</v>
      </c>
    </row>
    <row r="4878" spans="1:7" x14ac:dyDescent="0.35">
      <c r="A4878">
        <v>1922</v>
      </c>
      <c r="B4878" s="1">
        <v>45617</v>
      </c>
      <c r="C4878" t="s">
        <v>12</v>
      </c>
      <c r="D4878" s="2">
        <v>0</v>
      </c>
      <c r="E4878" s="2">
        <v>2531.87</v>
      </c>
      <c r="F4878" t="s">
        <v>14</v>
      </c>
      <c r="G4878" t="s">
        <v>15</v>
      </c>
    </row>
    <row r="4879" spans="1:7" x14ac:dyDescent="0.35">
      <c r="A4879">
        <v>1922</v>
      </c>
      <c r="B4879" s="1">
        <v>45617</v>
      </c>
      <c r="C4879" t="s">
        <v>12</v>
      </c>
      <c r="D4879" s="2">
        <v>0</v>
      </c>
      <c r="E4879" s="2">
        <v>189.89</v>
      </c>
      <c r="F4879" t="s">
        <v>16</v>
      </c>
      <c r="G4879" t="s">
        <v>17</v>
      </c>
    </row>
    <row r="4880" spans="1:7" x14ac:dyDescent="0.35">
      <c r="A4880">
        <v>1923</v>
      </c>
      <c r="B4880" s="1">
        <v>45617</v>
      </c>
      <c r="C4880" t="s">
        <v>24</v>
      </c>
      <c r="D4880" s="2">
        <v>4823.3500000000004</v>
      </c>
      <c r="E4880" s="2">
        <v>0</v>
      </c>
      <c r="F4880" t="s">
        <v>8</v>
      </c>
      <c r="G4880" t="s">
        <v>9</v>
      </c>
    </row>
    <row r="4881" spans="1:7" x14ac:dyDescent="0.35">
      <c r="A4881">
        <v>1923</v>
      </c>
      <c r="B4881" s="1">
        <v>45617</v>
      </c>
      <c r="C4881" t="s">
        <v>24</v>
      </c>
      <c r="D4881" s="2">
        <v>0</v>
      </c>
      <c r="E4881" s="2">
        <v>4823.3500000000004</v>
      </c>
      <c r="F4881" t="s">
        <v>13</v>
      </c>
      <c r="G4881" t="s">
        <v>9</v>
      </c>
    </row>
    <row r="4882" spans="1:7" x14ac:dyDescent="0.35">
      <c r="A4882">
        <v>1924</v>
      </c>
      <c r="B4882" s="1">
        <v>45617</v>
      </c>
      <c r="C4882" t="s">
        <v>24</v>
      </c>
      <c r="D4882" s="2">
        <v>4553.1000000000004</v>
      </c>
      <c r="E4882" s="2">
        <v>0</v>
      </c>
      <c r="F4882" t="s">
        <v>8</v>
      </c>
      <c r="G4882" t="s">
        <v>9</v>
      </c>
    </row>
    <row r="4883" spans="1:7" x14ac:dyDescent="0.35">
      <c r="A4883">
        <v>1924</v>
      </c>
      <c r="B4883" s="1">
        <v>45617</v>
      </c>
      <c r="C4883" t="s">
        <v>24</v>
      </c>
      <c r="D4883" s="2">
        <v>0</v>
      </c>
      <c r="E4883" s="2">
        <v>4553.1000000000004</v>
      </c>
      <c r="F4883" t="s">
        <v>13</v>
      </c>
      <c r="G4883" t="s">
        <v>9</v>
      </c>
    </row>
    <row r="4884" spans="1:7" x14ac:dyDescent="0.35">
      <c r="A4884">
        <v>1925</v>
      </c>
      <c r="B4884" s="1">
        <v>45617</v>
      </c>
      <c r="C4884" t="s">
        <v>24</v>
      </c>
      <c r="D4884" s="2">
        <v>6883.36</v>
      </c>
      <c r="E4884" s="2">
        <v>0</v>
      </c>
      <c r="F4884" t="s">
        <v>8</v>
      </c>
      <c r="G4884" t="s">
        <v>9</v>
      </c>
    </row>
    <row r="4885" spans="1:7" x14ac:dyDescent="0.35">
      <c r="A4885">
        <v>1925</v>
      </c>
      <c r="B4885" s="1">
        <v>45617</v>
      </c>
      <c r="C4885" t="s">
        <v>24</v>
      </c>
      <c r="D4885" s="2">
        <v>0</v>
      </c>
      <c r="E4885" s="2">
        <v>6883.36</v>
      </c>
      <c r="F4885" t="s">
        <v>13</v>
      </c>
      <c r="G4885" t="s">
        <v>9</v>
      </c>
    </row>
    <row r="4886" spans="1:7" x14ac:dyDescent="0.35">
      <c r="A4886">
        <v>1926</v>
      </c>
      <c r="B4886" s="1">
        <v>45617</v>
      </c>
      <c r="C4886" t="s">
        <v>24</v>
      </c>
      <c r="D4886" s="2">
        <v>2621.44</v>
      </c>
      <c r="E4886" s="2">
        <v>0</v>
      </c>
      <c r="F4886" t="s">
        <v>8</v>
      </c>
      <c r="G4886" t="s">
        <v>9</v>
      </c>
    </row>
    <row r="4887" spans="1:7" x14ac:dyDescent="0.35">
      <c r="A4887">
        <v>1926</v>
      </c>
      <c r="B4887" s="1">
        <v>45617</v>
      </c>
      <c r="C4887" t="s">
        <v>24</v>
      </c>
      <c r="D4887" s="2">
        <v>0</v>
      </c>
      <c r="E4887" s="2">
        <v>2621.44</v>
      </c>
      <c r="F4887" t="s">
        <v>13</v>
      </c>
      <c r="G4887" t="s">
        <v>9</v>
      </c>
    </row>
    <row r="4888" spans="1:7" x14ac:dyDescent="0.35">
      <c r="A4888">
        <v>1927</v>
      </c>
      <c r="B4888" s="1">
        <v>45617</v>
      </c>
      <c r="C4888" t="s">
        <v>24</v>
      </c>
      <c r="D4888" s="2">
        <v>268.94</v>
      </c>
      <c r="E4888" s="2">
        <v>0</v>
      </c>
      <c r="F4888" t="s">
        <v>8</v>
      </c>
      <c r="G4888" t="s">
        <v>9</v>
      </c>
    </row>
    <row r="4889" spans="1:7" x14ac:dyDescent="0.35">
      <c r="A4889">
        <v>1927</v>
      </c>
      <c r="B4889" s="1">
        <v>45617</v>
      </c>
      <c r="C4889" t="s">
        <v>24</v>
      </c>
      <c r="D4889" s="2">
        <v>0</v>
      </c>
      <c r="E4889" s="2">
        <v>268.94</v>
      </c>
      <c r="F4889" t="s">
        <v>13</v>
      </c>
      <c r="G4889" t="s">
        <v>9</v>
      </c>
    </row>
    <row r="4890" spans="1:7" x14ac:dyDescent="0.35">
      <c r="A4890">
        <v>1928</v>
      </c>
      <c r="B4890" s="1">
        <v>45618</v>
      </c>
      <c r="C4890" t="s">
        <v>12</v>
      </c>
      <c r="D4890" s="2">
        <v>852.34</v>
      </c>
      <c r="E4890" s="2">
        <v>0</v>
      </c>
      <c r="F4890" t="s">
        <v>13</v>
      </c>
      <c r="G4890" t="s">
        <v>9</v>
      </c>
    </row>
    <row r="4891" spans="1:7" x14ac:dyDescent="0.35">
      <c r="A4891">
        <v>1928</v>
      </c>
      <c r="B4891" s="1">
        <v>45618</v>
      </c>
      <c r="C4891" t="s">
        <v>12</v>
      </c>
      <c r="D4891" s="2">
        <v>0</v>
      </c>
      <c r="E4891" s="2">
        <v>792.87</v>
      </c>
      <c r="F4891" t="s">
        <v>14</v>
      </c>
      <c r="G4891" t="s">
        <v>15</v>
      </c>
    </row>
    <row r="4892" spans="1:7" x14ac:dyDescent="0.35">
      <c r="A4892">
        <v>1928</v>
      </c>
      <c r="B4892" s="1">
        <v>45618</v>
      </c>
      <c r="C4892" t="s">
        <v>12</v>
      </c>
      <c r="D4892" s="2">
        <v>0</v>
      </c>
      <c r="E4892" s="2">
        <v>59.47</v>
      </c>
      <c r="F4892" t="s">
        <v>16</v>
      </c>
      <c r="G4892" t="s">
        <v>17</v>
      </c>
    </row>
    <row r="4893" spans="1:7" x14ac:dyDescent="0.35">
      <c r="A4893">
        <v>1929</v>
      </c>
      <c r="B4893" s="1">
        <v>45618</v>
      </c>
      <c r="C4893" t="s">
        <v>12</v>
      </c>
      <c r="D4893" s="2">
        <v>2574.11</v>
      </c>
      <c r="E4893" s="2">
        <v>0</v>
      </c>
      <c r="F4893" t="s">
        <v>13</v>
      </c>
      <c r="G4893" t="s">
        <v>9</v>
      </c>
    </row>
    <row r="4894" spans="1:7" x14ac:dyDescent="0.35">
      <c r="A4894">
        <v>1929</v>
      </c>
      <c r="B4894" s="1">
        <v>45618</v>
      </c>
      <c r="C4894" t="s">
        <v>12</v>
      </c>
      <c r="D4894" s="2">
        <v>0</v>
      </c>
      <c r="E4894" s="2">
        <v>2394.52</v>
      </c>
      <c r="F4894" t="s">
        <v>14</v>
      </c>
      <c r="G4894" t="s">
        <v>15</v>
      </c>
    </row>
    <row r="4895" spans="1:7" x14ac:dyDescent="0.35">
      <c r="A4895">
        <v>1929</v>
      </c>
      <c r="B4895" s="1">
        <v>45618</v>
      </c>
      <c r="C4895" t="s">
        <v>12</v>
      </c>
      <c r="D4895" s="2">
        <v>0</v>
      </c>
      <c r="E4895" s="2">
        <v>179.59</v>
      </c>
      <c r="F4895" t="s">
        <v>16</v>
      </c>
      <c r="G4895" t="s">
        <v>17</v>
      </c>
    </row>
    <row r="4896" spans="1:7" x14ac:dyDescent="0.35">
      <c r="A4896">
        <v>1930</v>
      </c>
      <c r="B4896" s="1">
        <v>45618</v>
      </c>
      <c r="C4896" t="s">
        <v>12</v>
      </c>
      <c r="D4896" s="2">
        <v>278.77999999999997</v>
      </c>
      <c r="E4896" s="2">
        <v>0</v>
      </c>
      <c r="F4896" t="s">
        <v>13</v>
      </c>
      <c r="G4896" t="s">
        <v>9</v>
      </c>
    </row>
    <row r="4897" spans="1:7" x14ac:dyDescent="0.35">
      <c r="A4897">
        <v>1930</v>
      </c>
      <c r="B4897" s="1">
        <v>45618</v>
      </c>
      <c r="C4897" t="s">
        <v>12</v>
      </c>
      <c r="D4897" s="2">
        <v>0</v>
      </c>
      <c r="E4897" s="2">
        <v>259.33</v>
      </c>
      <c r="F4897" t="s">
        <v>14</v>
      </c>
      <c r="G4897" t="s">
        <v>15</v>
      </c>
    </row>
    <row r="4898" spans="1:7" x14ac:dyDescent="0.35">
      <c r="A4898">
        <v>1930</v>
      </c>
      <c r="B4898" s="1">
        <v>45618</v>
      </c>
      <c r="C4898" t="s">
        <v>12</v>
      </c>
      <c r="D4898" s="2">
        <v>0</v>
      </c>
      <c r="E4898" s="2">
        <v>19.45</v>
      </c>
      <c r="F4898" t="s">
        <v>16</v>
      </c>
      <c r="G4898" t="s">
        <v>17</v>
      </c>
    </row>
    <row r="4899" spans="1:7" x14ac:dyDescent="0.35">
      <c r="A4899">
        <v>1931</v>
      </c>
      <c r="B4899" s="1">
        <v>45618</v>
      </c>
      <c r="C4899" t="s">
        <v>12</v>
      </c>
      <c r="D4899" s="2">
        <v>2818.89</v>
      </c>
      <c r="E4899" s="2">
        <v>0</v>
      </c>
      <c r="F4899" t="s">
        <v>13</v>
      </c>
      <c r="G4899" t="s">
        <v>9</v>
      </c>
    </row>
    <row r="4900" spans="1:7" x14ac:dyDescent="0.35">
      <c r="A4900">
        <v>1931</v>
      </c>
      <c r="B4900" s="1">
        <v>45618</v>
      </c>
      <c r="C4900" t="s">
        <v>12</v>
      </c>
      <c r="D4900" s="2">
        <v>0</v>
      </c>
      <c r="E4900" s="2">
        <v>2622.22</v>
      </c>
      <c r="F4900" t="s">
        <v>14</v>
      </c>
      <c r="G4900" t="s">
        <v>15</v>
      </c>
    </row>
    <row r="4901" spans="1:7" x14ac:dyDescent="0.35">
      <c r="A4901">
        <v>1931</v>
      </c>
      <c r="B4901" s="1">
        <v>45618</v>
      </c>
      <c r="C4901" t="s">
        <v>12</v>
      </c>
      <c r="D4901" s="2">
        <v>0</v>
      </c>
      <c r="E4901" s="2">
        <v>196.67</v>
      </c>
      <c r="F4901" t="s">
        <v>16</v>
      </c>
      <c r="G4901" t="s">
        <v>17</v>
      </c>
    </row>
    <row r="4902" spans="1:7" x14ac:dyDescent="0.35">
      <c r="A4902">
        <v>1932</v>
      </c>
      <c r="B4902" s="1">
        <v>45618</v>
      </c>
      <c r="C4902" t="s">
        <v>12</v>
      </c>
      <c r="D4902" s="2">
        <v>583.75</v>
      </c>
      <c r="E4902" s="2">
        <v>0</v>
      </c>
      <c r="F4902" t="s">
        <v>13</v>
      </c>
      <c r="G4902" t="s">
        <v>9</v>
      </c>
    </row>
    <row r="4903" spans="1:7" x14ac:dyDescent="0.35">
      <c r="A4903">
        <v>1932</v>
      </c>
      <c r="B4903" s="1">
        <v>45618</v>
      </c>
      <c r="C4903" t="s">
        <v>12</v>
      </c>
      <c r="D4903" s="2">
        <v>0</v>
      </c>
      <c r="E4903" s="2">
        <v>543.02</v>
      </c>
      <c r="F4903" t="s">
        <v>14</v>
      </c>
      <c r="G4903" t="s">
        <v>15</v>
      </c>
    </row>
    <row r="4904" spans="1:7" x14ac:dyDescent="0.35">
      <c r="A4904">
        <v>1932</v>
      </c>
      <c r="B4904" s="1">
        <v>45618</v>
      </c>
      <c r="C4904" t="s">
        <v>12</v>
      </c>
      <c r="D4904" s="2">
        <v>0</v>
      </c>
      <c r="E4904" s="2">
        <v>40.729999999999997</v>
      </c>
      <c r="F4904" t="s">
        <v>16</v>
      </c>
      <c r="G4904" t="s">
        <v>17</v>
      </c>
    </row>
    <row r="4905" spans="1:7" x14ac:dyDescent="0.35">
      <c r="A4905">
        <v>1933</v>
      </c>
      <c r="B4905" s="1">
        <v>45618</v>
      </c>
      <c r="C4905" t="s">
        <v>12</v>
      </c>
      <c r="D4905" s="2">
        <v>2515.54</v>
      </c>
      <c r="E4905" s="2">
        <v>0</v>
      </c>
      <c r="F4905" t="s">
        <v>13</v>
      </c>
      <c r="G4905" t="s">
        <v>9</v>
      </c>
    </row>
    <row r="4906" spans="1:7" x14ac:dyDescent="0.35">
      <c r="A4906">
        <v>1933</v>
      </c>
      <c r="B4906" s="1">
        <v>45618</v>
      </c>
      <c r="C4906" t="s">
        <v>12</v>
      </c>
      <c r="D4906" s="2">
        <v>0</v>
      </c>
      <c r="E4906" s="2">
        <v>2340.04</v>
      </c>
      <c r="F4906" t="s">
        <v>14</v>
      </c>
      <c r="G4906" t="s">
        <v>15</v>
      </c>
    </row>
    <row r="4907" spans="1:7" x14ac:dyDescent="0.35">
      <c r="A4907">
        <v>1933</v>
      </c>
      <c r="B4907" s="1">
        <v>45618</v>
      </c>
      <c r="C4907" t="s">
        <v>12</v>
      </c>
      <c r="D4907" s="2">
        <v>0</v>
      </c>
      <c r="E4907" s="2">
        <v>175.5</v>
      </c>
      <c r="F4907" t="s">
        <v>16</v>
      </c>
      <c r="G4907" t="s">
        <v>17</v>
      </c>
    </row>
    <row r="4908" spans="1:7" x14ac:dyDescent="0.35">
      <c r="A4908">
        <v>1934</v>
      </c>
      <c r="B4908" s="1">
        <v>45618</v>
      </c>
      <c r="C4908" t="s">
        <v>12</v>
      </c>
      <c r="D4908" s="2">
        <v>683.92</v>
      </c>
      <c r="E4908" s="2">
        <v>0</v>
      </c>
      <c r="F4908" t="s">
        <v>13</v>
      </c>
      <c r="G4908" t="s">
        <v>9</v>
      </c>
    </row>
    <row r="4909" spans="1:7" x14ac:dyDescent="0.35">
      <c r="A4909">
        <v>1934</v>
      </c>
      <c r="B4909" s="1">
        <v>45618</v>
      </c>
      <c r="C4909" t="s">
        <v>12</v>
      </c>
      <c r="D4909" s="2">
        <v>0</v>
      </c>
      <c r="E4909" s="2">
        <v>636.21</v>
      </c>
      <c r="F4909" t="s">
        <v>14</v>
      </c>
      <c r="G4909" t="s">
        <v>15</v>
      </c>
    </row>
    <row r="4910" spans="1:7" x14ac:dyDescent="0.35">
      <c r="A4910">
        <v>1934</v>
      </c>
      <c r="B4910" s="1">
        <v>45618</v>
      </c>
      <c r="C4910" t="s">
        <v>12</v>
      </c>
      <c r="D4910" s="2">
        <v>0</v>
      </c>
      <c r="E4910" s="2">
        <v>47.71</v>
      </c>
      <c r="F4910" t="s">
        <v>16</v>
      </c>
      <c r="G4910" t="s">
        <v>17</v>
      </c>
    </row>
    <row r="4911" spans="1:7" x14ac:dyDescent="0.35">
      <c r="A4911">
        <v>1935</v>
      </c>
      <c r="B4911" s="1">
        <v>45618</v>
      </c>
      <c r="C4911" t="s">
        <v>24</v>
      </c>
      <c r="D4911" s="2">
        <v>3180.86</v>
      </c>
      <c r="E4911" s="2">
        <v>0</v>
      </c>
      <c r="F4911" t="s">
        <v>8</v>
      </c>
      <c r="G4911" t="s">
        <v>9</v>
      </c>
    </row>
    <row r="4912" spans="1:7" x14ac:dyDescent="0.35">
      <c r="A4912">
        <v>1935</v>
      </c>
      <c r="B4912" s="1">
        <v>45618</v>
      </c>
      <c r="C4912" t="s">
        <v>24</v>
      </c>
      <c r="D4912" s="2">
        <v>0</v>
      </c>
      <c r="E4912" s="2">
        <v>3180.86</v>
      </c>
      <c r="F4912" t="s">
        <v>13</v>
      </c>
      <c r="G4912" t="s">
        <v>9</v>
      </c>
    </row>
    <row r="4913" spans="1:7" x14ac:dyDescent="0.35">
      <c r="A4913">
        <v>1936</v>
      </c>
      <c r="B4913" s="1">
        <v>45618</v>
      </c>
      <c r="C4913" t="s">
        <v>24</v>
      </c>
      <c r="D4913" s="2">
        <v>2392.13</v>
      </c>
      <c r="E4913" s="2">
        <v>0</v>
      </c>
      <c r="F4913" t="s">
        <v>8</v>
      </c>
      <c r="G4913" t="s">
        <v>9</v>
      </c>
    </row>
    <row r="4914" spans="1:7" x14ac:dyDescent="0.35">
      <c r="A4914">
        <v>1936</v>
      </c>
      <c r="B4914" s="1">
        <v>45618</v>
      </c>
      <c r="C4914" t="s">
        <v>24</v>
      </c>
      <c r="D4914" s="2">
        <v>0</v>
      </c>
      <c r="E4914" s="2">
        <v>2392.13</v>
      </c>
      <c r="F4914" t="s">
        <v>13</v>
      </c>
      <c r="G4914" t="s">
        <v>9</v>
      </c>
    </row>
    <row r="4915" spans="1:7" x14ac:dyDescent="0.35">
      <c r="A4915">
        <v>1937</v>
      </c>
      <c r="B4915" s="1">
        <v>45618</v>
      </c>
      <c r="C4915" t="s">
        <v>24</v>
      </c>
      <c r="D4915" s="2">
        <v>3225.69</v>
      </c>
      <c r="E4915" s="2">
        <v>0</v>
      </c>
      <c r="F4915" t="s">
        <v>8</v>
      </c>
      <c r="G4915" t="s">
        <v>9</v>
      </c>
    </row>
    <row r="4916" spans="1:7" x14ac:dyDescent="0.35">
      <c r="A4916">
        <v>1937</v>
      </c>
      <c r="B4916" s="1">
        <v>45618</v>
      </c>
      <c r="C4916" t="s">
        <v>24</v>
      </c>
      <c r="D4916" s="2">
        <v>0</v>
      </c>
      <c r="E4916" s="2">
        <v>3225.69</v>
      </c>
      <c r="F4916" t="s">
        <v>13</v>
      </c>
      <c r="G4916" t="s">
        <v>9</v>
      </c>
    </row>
    <row r="4917" spans="1:7" x14ac:dyDescent="0.35">
      <c r="A4917">
        <v>1938</v>
      </c>
      <c r="B4917" s="1">
        <v>45618</v>
      </c>
      <c r="C4917" t="s">
        <v>24</v>
      </c>
      <c r="D4917" s="2">
        <v>1543.46</v>
      </c>
      <c r="E4917" s="2">
        <v>0</v>
      </c>
      <c r="F4917" t="s">
        <v>8</v>
      </c>
      <c r="G4917" t="s">
        <v>9</v>
      </c>
    </row>
    <row r="4918" spans="1:7" x14ac:dyDescent="0.35">
      <c r="A4918">
        <v>1938</v>
      </c>
      <c r="B4918" s="1">
        <v>45618</v>
      </c>
      <c r="C4918" t="s">
        <v>24</v>
      </c>
      <c r="D4918" s="2">
        <v>0</v>
      </c>
      <c r="E4918" s="2">
        <v>1543.46</v>
      </c>
      <c r="F4918" t="s">
        <v>13</v>
      </c>
      <c r="G4918" t="s">
        <v>9</v>
      </c>
    </row>
    <row r="4919" spans="1:7" x14ac:dyDescent="0.35">
      <c r="A4919">
        <v>1939</v>
      </c>
      <c r="B4919" s="1">
        <v>45618</v>
      </c>
      <c r="C4919" t="s">
        <v>24</v>
      </c>
      <c r="D4919" s="2">
        <v>270.86</v>
      </c>
      <c r="E4919" s="2">
        <v>0</v>
      </c>
      <c r="F4919" t="s">
        <v>8</v>
      </c>
      <c r="G4919" t="s">
        <v>9</v>
      </c>
    </row>
    <row r="4920" spans="1:7" x14ac:dyDescent="0.35">
      <c r="A4920">
        <v>1939</v>
      </c>
      <c r="B4920" s="1">
        <v>45618</v>
      </c>
      <c r="C4920" t="s">
        <v>24</v>
      </c>
      <c r="D4920" s="2">
        <v>0</v>
      </c>
      <c r="E4920" s="2">
        <v>270.86</v>
      </c>
      <c r="F4920" t="s">
        <v>13</v>
      </c>
      <c r="G4920" t="s">
        <v>9</v>
      </c>
    </row>
    <row r="4921" spans="1:7" x14ac:dyDescent="0.35">
      <c r="A4921">
        <v>1940</v>
      </c>
      <c r="B4921" s="1">
        <v>45618</v>
      </c>
      <c r="C4921" t="s">
        <v>24</v>
      </c>
      <c r="D4921" s="2">
        <v>4430.6400000000003</v>
      </c>
      <c r="E4921" s="2">
        <v>0</v>
      </c>
      <c r="F4921" t="s">
        <v>8</v>
      </c>
      <c r="G4921" t="s">
        <v>9</v>
      </c>
    </row>
    <row r="4922" spans="1:7" x14ac:dyDescent="0.35">
      <c r="A4922">
        <v>1940</v>
      </c>
      <c r="B4922" s="1">
        <v>45618</v>
      </c>
      <c r="C4922" t="s">
        <v>24</v>
      </c>
      <c r="D4922" s="2">
        <v>0</v>
      </c>
      <c r="E4922" s="2">
        <v>4430.6400000000003</v>
      </c>
      <c r="F4922" t="s">
        <v>13</v>
      </c>
      <c r="G4922" t="s">
        <v>9</v>
      </c>
    </row>
    <row r="4923" spans="1:7" x14ac:dyDescent="0.35">
      <c r="A4923">
        <v>1941</v>
      </c>
      <c r="B4923" s="1">
        <v>45618</v>
      </c>
      <c r="C4923" t="s">
        <v>25</v>
      </c>
      <c r="D4923" s="2">
        <v>383.76</v>
      </c>
      <c r="E4923" s="2">
        <v>0</v>
      </c>
      <c r="F4923" t="s">
        <v>26</v>
      </c>
      <c r="G4923" t="s">
        <v>20</v>
      </c>
    </row>
    <row r="4924" spans="1:7" x14ac:dyDescent="0.35">
      <c r="A4924">
        <v>1941</v>
      </c>
      <c r="B4924" s="1">
        <v>45618</v>
      </c>
      <c r="C4924" t="s">
        <v>25</v>
      </c>
      <c r="D4924" s="2">
        <v>28.78</v>
      </c>
      <c r="E4924" s="2">
        <v>0</v>
      </c>
      <c r="F4924" t="s">
        <v>27</v>
      </c>
      <c r="G4924" t="s">
        <v>9</v>
      </c>
    </row>
    <row r="4925" spans="1:7" x14ac:dyDescent="0.35">
      <c r="A4925">
        <v>1941</v>
      </c>
      <c r="B4925" s="1">
        <v>45618</v>
      </c>
      <c r="C4925" t="s">
        <v>25</v>
      </c>
      <c r="D4925" s="2">
        <v>0</v>
      </c>
      <c r="E4925" s="2">
        <v>412.54</v>
      </c>
      <c r="F4925" t="s">
        <v>28</v>
      </c>
      <c r="G4925" t="s">
        <v>17</v>
      </c>
    </row>
    <row r="4926" spans="1:7" x14ac:dyDescent="0.35">
      <c r="A4926">
        <v>1942</v>
      </c>
      <c r="B4926" s="1">
        <v>45618</v>
      </c>
      <c r="C4926" t="s">
        <v>25</v>
      </c>
      <c r="D4926" s="2">
        <v>2329.52</v>
      </c>
      <c r="E4926" s="2">
        <v>0</v>
      </c>
      <c r="F4926" t="s">
        <v>26</v>
      </c>
      <c r="G4926" t="s">
        <v>20</v>
      </c>
    </row>
    <row r="4927" spans="1:7" x14ac:dyDescent="0.35">
      <c r="A4927">
        <v>1942</v>
      </c>
      <c r="B4927" s="1">
        <v>45618</v>
      </c>
      <c r="C4927" t="s">
        <v>25</v>
      </c>
      <c r="D4927" s="2">
        <v>174.71</v>
      </c>
      <c r="E4927" s="2">
        <v>0</v>
      </c>
      <c r="F4927" t="s">
        <v>27</v>
      </c>
      <c r="G4927" t="s">
        <v>9</v>
      </c>
    </row>
    <row r="4928" spans="1:7" x14ac:dyDescent="0.35">
      <c r="A4928">
        <v>1942</v>
      </c>
      <c r="B4928" s="1">
        <v>45618</v>
      </c>
      <c r="C4928" t="s">
        <v>25</v>
      </c>
      <c r="D4928" s="2">
        <v>0</v>
      </c>
      <c r="E4928" s="2">
        <v>2504.23</v>
      </c>
      <c r="F4928" t="s">
        <v>28</v>
      </c>
      <c r="G4928" t="s">
        <v>17</v>
      </c>
    </row>
    <row r="4929" spans="1:7" x14ac:dyDescent="0.35">
      <c r="A4929">
        <v>1943</v>
      </c>
      <c r="B4929" s="1">
        <v>45621</v>
      </c>
      <c r="C4929" t="s">
        <v>12</v>
      </c>
      <c r="D4929" s="2">
        <v>2791.97</v>
      </c>
      <c r="E4929" s="2">
        <v>0</v>
      </c>
      <c r="F4929" t="s">
        <v>13</v>
      </c>
      <c r="G4929" t="s">
        <v>9</v>
      </c>
    </row>
    <row r="4930" spans="1:7" x14ac:dyDescent="0.35">
      <c r="A4930">
        <v>1943</v>
      </c>
      <c r="B4930" s="1">
        <v>45621</v>
      </c>
      <c r="C4930" t="s">
        <v>12</v>
      </c>
      <c r="D4930" s="2">
        <v>0</v>
      </c>
      <c r="E4930" s="2">
        <v>2597.19</v>
      </c>
      <c r="F4930" t="s">
        <v>14</v>
      </c>
      <c r="G4930" t="s">
        <v>15</v>
      </c>
    </row>
    <row r="4931" spans="1:7" x14ac:dyDescent="0.35">
      <c r="A4931">
        <v>1943</v>
      </c>
      <c r="B4931" s="1">
        <v>45621</v>
      </c>
      <c r="C4931" t="s">
        <v>12</v>
      </c>
      <c r="D4931" s="2">
        <v>0</v>
      </c>
      <c r="E4931" s="2">
        <v>194.78</v>
      </c>
      <c r="F4931" t="s">
        <v>16</v>
      </c>
      <c r="G4931" t="s">
        <v>17</v>
      </c>
    </row>
    <row r="4932" spans="1:7" x14ac:dyDescent="0.35">
      <c r="A4932">
        <v>1944</v>
      </c>
      <c r="B4932" s="1">
        <v>45621</v>
      </c>
      <c r="C4932" t="s">
        <v>12</v>
      </c>
      <c r="D4932" s="2">
        <v>1674.98</v>
      </c>
      <c r="E4932" s="2">
        <v>0</v>
      </c>
      <c r="F4932" t="s">
        <v>13</v>
      </c>
      <c r="G4932" t="s">
        <v>9</v>
      </c>
    </row>
    <row r="4933" spans="1:7" x14ac:dyDescent="0.35">
      <c r="A4933">
        <v>1944</v>
      </c>
      <c r="B4933" s="1">
        <v>45621</v>
      </c>
      <c r="C4933" t="s">
        <v>12</v>
      </c>
      <c r="D4933" s="2">
        <v>0</v>
      </c>
      <c r="E4933" s="2">
        <v>1558.12</v>
      </c>
      <c r="F4933" t="s">
        <v>14</v>
      </c>
      <c r="G4933" t="s">
        <v>15</v>
      </c>
    </row>
    <row r="4934" spans="1:7" x14ac:dyDescent="0.35">
      <c r="A4934">
        <v>1944</v>
      </c>
      <c r="B4934" s="1">
        <v>45621</v>
      </c>
      <c r="C4934" t="s">
        <v>12</v>
      </c>
      <c r="D4934" s="2">
        <v>0</v>
      </c>
      <c r="E4934" s="2">
        <v>116.86</v>
      </c>
      <c r="F4934" t="s">
        <v>16</v>
      </c>
      <c r="G4934" t="s">
        <v>17</v>
      </c>
    </row>
    <row r="4935" spans="1:7" x14ac:dyDescent="0.35">
      <c r="A4935">
        <v>1945</v>
      </c>
      <c r="B4935" s="1">
        <v>45621</v>
      </c>
      <c r="C4935" t="s">
        <v>12</v>
      </c>
      <c r="D4935" s="2">
        <v>1474.73</v>
      </c>
      <c r="E4935" s="2">
        <v>0</v>
      </c>
      <c r="F4935" t="s">
        <v>13</v>
      </c>
      <c r="G4935" t="s">
        <v>9</v>
      </c>
    </row>
    <row r="4936" spans="1:7" x14ac:dyDescent="0.35">
      <c r="A4936">
        <v>1945</v>
      </c>
      <c r="B4936" s="1">
        <v>45621</v>
      </c>
      <c r="C4936" t="s">
        <v>12</v>
      </c>
      <c r="D4936" s="2">
        <v>0</v>
      </c>
      <c r="E4936" s="2">
        <v>1371.84</v>
      </c>
      <c r="F4936" t="s">
        <v>14</v>
      </c>
      <c r="G4936" t="s">
        <v>15</v>
      </c>
    </row>
    <row r="4937" spans="1:7" x14ac:dyDescent="0.35">
      <c r="A4937">
        <v>1945</v>
      </c>
      <c r="B4937" s="1">
        <v>45621</v>
      </c>
      <c r="C4937" t="s">
        <v>12</v>
      </c>
      <c r="D4937" s="2">
        <v>0</v>
      </c>
      <c r="E4937" s="2">
        <v>102.89</v>
      </c>
      <c r="F4937" t="s">
        <v>16</v>
      </c>
      <c r="G4937" t="s">
        <v>17</v>
      </c>
    </row>
    <row r="4938" spans="1:7" x14ac:dyDescent="0.35">
      <c r="A4938">
        <v>1946</v>
      </c>
      <c r="B4938" s="1">
        <v>45621</v>
      </c>
      <c r="C4938" t="s">
        <v>12</v>
      </c>
      <c r="D4938" s="2">
        <v>2672.43</v>
      </c>
      <c r="E4938" s="2">
        <v>0</v>
      </c>
      <c r="F4938" t="s">
        <v>13</v>
      </c>
      <c r="G4938" t="s">
        <v>9</v>
      </c>
    </row>
    <row r="4939" spans="1:7" x14ac:dyDescent="0.35">
      <c r="A4939">
        <v>1946</v>
      </c>
      <c r="B4939" s="1">
        <v>45621</v>
      </c>
      <c r="C4939" t="s">
        <v>12</v>
      </c>
      <c r="D4939" s="2">
        <v>0</v>
      </c>
      <c r="E4939" s="2">
        <v>2485.9899999999998</v>
      </c>
      <c r="F4939" t="s">
        <v>14</v>
      </c>
      <c r="G4939" t="s">
        <v>15</v>
      </c>
    </row>
    <row r="4940" spans="1:7" x14ac:dyDescent="0.35">
      <c r="A4940">
        <v>1946</v>
      </c>
      <c r="B4940" s="1">
        <v>45621</v>
      </c>
      <c r="C4940" t="s">
        <v>12</v>
      </c>
      <c r="D4940" s="2">
        <v>0</v>
      </c>
      <c r="E4940" s="2">
        <v>186.44</v>
      </c>
      <c r="F4940" t="s">
        <v>16</v>
      </c>
      <c r="G4940" t="s">
        <v>17</v>
      </c>
    </row>
    <row r="4941" spans="1:7" x14ac:dyDescent="0.35">
      <c r="A4941">
        <v>1947</v>
      </c>
      <c r="B4941" s="1">
        <v>45621</v>
      </c>
      <c r="C4941" t="s">
        <v>12</v>
      </c>
      <c r="D4941" s="2">
        <v>3366.63</v>
      </c>
      <c r="E4941" s="2">
        <v>0</v>
      </c>
      <c r="F4941" t="s">
        <v>13</v>
      </c>
      <c r="G4941" t="s">
        <v>9</v>
      </c>
    </row>
    <row r="4942" spans="1:7" x14ac:dyDescent="0.35">
      <c r="A4942">
        <v>1947</v>
      </c>
      <c r="B4942" s="1">
        <v>45621</v>
      </c>
      <c r="C4942" t="s">
        <v>12</v>
      </c>
      <c r="D4942" s="2">
        <v>0</v>
      </c>
      <c r="E4942" s="2">
        <v>3131.75</v>
      </c>
      <c r="F4942" t="s">
        <v>14</v>
      </c>
      <c r="G4942" t="s">
        <v>15</v>
      </c>
    </row>
    <row r="4943" spans="1:7" x14ac:dyDescent="0.35">
      <c r="A4943">
        <v>1947</v>
      </c>
      <c r="B4943" s="1">
        <v>45621</v>
      </c>
      <c r="C4943" t="s">
        <v>12</v>
      </c>
      <c r="D4943" s="2">
        <v>0</v>
      </c>
      <c r="E4943" s="2">
        <v>234.88</v>
      </c>
      <c r="F4943" t="s">
        <v>16</v>
      </c>
      <c r="G4943" t="s">
        <v>17</v>
      </c>
    </row>
    <row r="4944" spans="1:7" x14ac:dyDescent="0.35">
      <c r="A4944">
        <v>1948</v>
      </c>
      <c r="B4944" s="1">
        <v>45621</v>
      </c>
      <c r="C4944" t="s">
        <v>12</v>
      </c>
      <c r="D4944" s="2">
        <v>2250.87</v>
      </c>
      <c r="E4944" s="2">
        <v>0</v>
      </c>
      <c r="F4944" t="s">
        <v>13</v>
      </c>
      <c r="G4944" t="s">
        <v>9</v>
      </c>
    </row>
    <row r="4945" spans="1:7" x14ac:dyDescent="0.35">
      <c r="A4945">
        <v>1948</v>
      </c>
      <c r="B4945" s="1">
        <v>45621</v>
      </c>
      <c r="C4945" t="s">
        <v>12</v>
      </c>
      <c r="D4945" s="2">
        <v>0</v>
      </c>
      <c r="E4945" s="2">
        <v>2093.83</v>
      </c>
      <c r="F4945" t="s">
        <v>14</v>
      </c>
      <c r="G4945" t="s">
        <v>15</v>
      </c>
    </row>
    <row r="4946" spans="1:7" x14ac:dyDescent="0.35">
      <c r="A4946">
        <v>1948</v>
      </c>
      <c r="B4946" s="1">
        <v>45621</v>
      </c>
      <c r="C4946" t="s">
        <v>12</v>
      </c>
      <c r="D4946" s="2">
        <v>0</v>
      </c>
      <c r="E4946" s="2">
        <v>157.04</v>
      </c>
      <c r="F4946" t="s">
        <v>16</v>
      </c>
      <c r="G4946" t="s">
        <v>17</v>
      </c>
    </row>
    <row r="4947" spans="1:7" x14ac:dyDescent="0.35">
      <c r="A4947">
        <v>1949</v>
      </c>
      <c r="B4947" s="1">
        <v>45621</v>
      </c>
      <c r="C4947" t="s">
        <v>24</v>
      </c>
      <c r="D4947" s="2">
        <v>3204.54</v>
      </c>
      <c r="E4947" s="2">
        <v>0</v>
      </c>
      <c r="F4947" t="s">
        <v>8</v>
      </c>
      <c r="G4947" t="s">
        <v>9</v>
      </c>
    </row>
    <row r="4948" spans="1:7" x14ac:dyDescent="0.35">
      <c r="A4948">
        <v>1949</v>
      </c>
      <c r="B4948" s="1">
        <v>45621</v>
      </c>
      <c r="C4948" t="s">
        <v>24</v>
      </c>
      <c r="D4948" s="2">
        <v>0</v>
      </c>
      <c r="E4948" s="2">
        <v>3204.54</v>
      </c>
      <c r="F4948" t="s">
        <v>13</v>
      </c>
      <c r="G4948" t="s">
        <v>9</v>
      </c>
    </row>
    <row r="4949" spans="1:7" x14ac:dyDescent="0.35">
      <c r="A4949">
        <v>1950</v>
      </c>
      <c r="B4949" s="1">
        <v>45621</v>
      </c>
      <c r="C4949" t="s">
        <v>24</v>
      </c>
      <c r="D4949" s="2">
        <v>1135.31</v>
      </c>
      <c r="E4949" s="2">
        <v>0</v>
      </c>
      <c r="F4949" t="s">
        <v>8</v>
      </c>
      <c r="G4949" t="s">
        <v>9</v>
      </c>
    </row>
    <row r="4950" spans="1:7" x14ac:dyDescent="0.35">
      <c r="A4950">
        <v>1950</v>
      </c>
      <c r="B4950" s="1">
        <v>45621</v>
      </c>
      <c r="C4950" t="s">
        <v>24</v>
      </c>
      <c r="D4950" s="2">
        <v>0</v>
      </c>
      <c r="E4950" s="2">
        <v>1135.31</v>
      </c>
      <c r="F4950" t="s">
        <v>13</v>
      </c>
      <c r="G4950" t="s">
        <v>9</v>
      </c>
    </row>
    <row r="4951" spans="1:7" x14ac:dyDescent="0.35">
      <c r="A4951">
        <v>1951</v>
      </c>
      <c r="B4951" s="1">
        <v>45621</v>
      </c>
      <c r="C4951" t="s">
        <v>24</v>
      </c>
      <c r="D4951" s="2">
        <v>3187.94</v>
      </c>
      <c r="E4951" s="2">
        <v>0</v>
      </c>
      <c r="F4951" t="s">
        <v>8</v>
      </c>
      <c r="G4951" t="s">
        <v>9</v>
      </c>
    </row>
    <row r="4952" spans="1:7" x14ac:dyDescent="0.35">
      <c r="A4952">
        <v>1951</v>
      </c>
      <c r="B4952" s="1">
        <v>45621</v>
      </c>
      <c r="C4952" t="s">
        <v>24</v>
      </c>
      <c r="D4952" s="2">
        <v>0</v>
      </c>
      <c r="E4952" s="2">
        <v>3187.94</v>
      </c>
      <c r="F4952" t="s">
        <v>13</v>
      </c>
      <c r="G4952" t="s">
        <v>9</v>
      </c>
    </row>
    <row r="4953" spans="1:7" x14ac:dyDescent="0.35">
      <c r="A4953">
        <v>1952</v>
      </c>
      <c r="B4953" s="1">
        <v>45621</v>
      </c>
      <c r="C4953" t="s">
        <v>24</v>
      </c>
      <c r="D4953" s="2">
        <v>852.34</v>
      </c>
      <c r="E4953" s="2">
        <v>0</v>
      </c>
      <c r="F4953" t="s">
        <v>8</v>
      </c>
      <c r="G4953" t="s">
        <v>9</v>
      </c>
    </row>
    <row r="4954" spans="1:7" x14ac:dyDescent="0.35">
      <c r="A4954">
        <v>1952</v>
      </c>
      <c r="B4954" s="1">
        <v>45621</v>
      </c>
      <c r="C4954" t="s">
        <v>24</v>
      </c>
      <c r="D4954" s="2">
        <v>0</v>
      </c>
      <c r="E4954" s="2">
        <v>852.34</v>
      </c>
      <c r="F4954" t="s">
        <v>13</v>
      </c>
      <c r="G4954" t="s">
        <v>9</v>
      </c>
    </row>
    <row r="4955" spans="1:7" x14ac:dyDescent="0.35">
      <c r="A4955">
        <v>1953</v>
      </c>
      <c r="B4955" s="1">
        <v>45621</v>
      </c>
      <c r="C4955" t="s">
        <v>24</v>
      </c>
      <c r="D4955" s="2">
        <v>2250.87</v>
      </c>
      <c r="E4955" s="2">
        <v>0</v>
      </c>
      <c r="F4955" t="s">
        <v>8</v>
      </c>
      <c r="G4955" t="s">
        <v>9</v>
      </c>
    </row>
    <row r="4956" spans="1:7" x14ac:dyDescent="0.35">
      <c r="A4956">
        <v>1953</v>
      </c>
      <c r="B4956" s="1">
        <v>45621</v>
      </c>
      <c r="C4956" t="s">
        <v>24</v>
      </c>
      <c r="D4956" s="2">
        <v>0</v>
      </c>
      <c r="E4956" s="2">
        <v>2250.87</v>
      </c>
      <c r="F4956" t="s">
        <v>13</v>
      </c>
      <c r="G4956" t="s">
        <v>9</v>
      </c>
    </row>
    <row r="4957" spans="1:7" x14ac:dyDescent="0.35">
      <c r="A4957">
        <v>1954</v>
      </c>
      <c r="B4957" s="1">
        <v>45621</v>
      </c>
      <c r="C4957" t="s">
        <v>25</v>
      </c>
      <c r="D4957" s="2">
        <v>1643.22</v>
      </c>
      <c r="E4957" s="2">
        <v>0</v>
      </c>
      <c r="F4957" t="s">
        <v>26</v>
      </c>
      <c r="G4957" t="s">
        <v>20</v>
      </c>
    </row>
    <row r="4958" spans="1:7" x14ac:dyDescent="0.35">
      <c r="A4958">
        <v>1954</v>
      </c>
      <c r="B4958" s="1">
        <v>45621</v>
      </c>
      <c r="C4958" t="s">
        <v>25</v>
      </c>
      <c r="D4958" s="2">
        <v>123.24</v>
      </c>
      <c r="E4958" s="2">
        <v>0</v>
      </c>
      <c r="F4958" t="s">
        <v>27</v>
      </c>
      <c r="G4958" t="s">
        <v>9</v>
      </c>
    </row>
    <row r="4959" spans="1:7" x14ac:dyDescent="0.35">
      <c r="A4959">
        <v>1954</v>
      </c>
      <c r="B4959" s="1">
        <v>45621</v>
      </c>
      <c r="C4959" t="s">
        <v>25</v>
      </c>
      <c r="D4959" s="2">
        <v>0</v>
      </c>
      <c r="E4959" s="2">
        <v>1766.46</v>
      </c>
      <c r="F4959" t="s">
        <v>28</v>
      </c>
      <c r="G4959" t="s">
        <v>17</v>
      </c>
    </row>
    <row r="4960" spans="1:7" x14ac:dyDescent="0.35">
      <c r="A4960">
        <v>1955</v>
      </c>
      <c r="B4960" s="1">
        <v>45621</v>
      </c>
      <c r="C4960" t="s">
        <v>25</v>
      </c>
      <c r="D4960" s="2">
        <v>2714.58</v>
      </c>
      <c r="E4960" s="2">
        <v>0</v>
      </c>
      <c r="F4960" t="s">
        <v>26</v>
      </c>
      <c r="G4960" t="s">
        <v>20</v>
      </c>
    </row>
    <row r="4961" spans="1:7" x14ac:dyDescent="0.35">
      <c r="A4961">
        <v>1955</v>
      </c>
      <c r="B4961" s="1">
        <v>45621</v>
      </c>
      <c r="C4961" t="s">
        <v>25</v>
      </c>
      <c r="D4961" s="2">
        <v>203.59</v>
      </c>
      <c r="E4961" s="2">
        <v>0</v>
      </c>
      <c r="F4961" t="s">
        <v>27</v>
      </c>
      <c r="G4961" t="s">
        <v>9</v>
      </c>
    </row>
    <row r="4962" spans="1:7" x14ac:dyDescent="0.35">
      <c r="A4962">
        <v>1955</v>
      </c>
      <c r="B4962" s="1">
        <v>45621</v>
      </c>
      <c r="C4962" t="s">
        <v>25</v>
      </c>
      <c r="D4962" s="2">
        <v>0</v>
      </c>
      <c r="E4962" s="2">
        <v>2918.17</v>
      </c>
      <c r="F4962" t="s">
        <v>28</v>
      </c>
      <c r="G4962" t="s">
        <v>17</v>
      </c>
    </row>
    <row r="4963" spans="1:7" x14ac:dyDescent="0.35">
      <c r="A4963">
        <v>1956</v>
      </c>
      <c r="B4963" s="1">
        <v>45621</v>
      </c>
      <c r="C4963" t="s">
        <v>25</v>
      </c>
      <c r="D4963" s="2">
        <v>512</v>
      </c>
      <c r="E4963" s="2">
        <v>0</v>
      </c>
      <c r="F4963" t="s">
        <v>26</v>
      </c>
      <c r="G4963" t="s">
        <v>20</v>
      </c>
    </row>
    <row r="4964" spans="1:7" x14ac:dyDescent="0.35">
      <c r="A4964">
        <v>1956</v>
      </c>
      <c r="B4964" s="1">
        <v>45621</v>
      </c>
      <c r="C4964" t="s">
        <v>25</v>
      </c>
      <c r="D4964" s="2">
        <v>38.4</v>
      </c>
      <c r="E4964" s="2">
        <v>0</v>
      </c>
      <c r="F4964" t="s">
        <v>27</v>
      </c>
      <c r="G4964" t="s">
        <v>9</v>
      </c>
    </row>
    <row r="4965" spans="1:7" x14ac:dyDescent="0.35">
      <c r="A4965">
        <v>1956</v>
      </c>
      <c r="B4965" s="1">
        <v>45621</v>
      </c>
      <c r="C4965" t="s">
        <v>25</v>
      </c>
      <c r="D4965" s="2">
        <v>0</v>
      </c>
      <c r="E4965" s="2">
        <v>550.4</v>
      </c>
      <c r="F4965" t="s">
        <v>28</v>
      </c>
      <c r="G4965" t="s">
        <v>17</v>
      </c>
    </row>
    <row r="4966" spans="1:7" x14ac:dyDescent="0.35">
      <c r="A4966">
        <v>1957</v>
      </c>
      <c r="B4966" s="1">
        <v>45621</v>
      </c>
      <c r="C4966" t="s">
        <v>25</v>
      </c>
      <c r="D4966" s="2">
        <v>257.04000000000002</v>
      </c>
      <c r="E4966" s="2">
        <v>0</v>
      </c>
      <c r="F4966" t="s">
        <v>26</v>
      </c>
      <c r="G4966" t="s">
        <v>20</v>
      </c>
    </row>
    <row r="4967" spans="1:7" x14ac:dyDescent="0.35">
      <c r="A4967">
        <v>1957</v>
      </c>
      <c r="B4967" s="1">
        <v>45621</v>
      </c>
      <c r="C4967" t="s">
        <v>25</v>
      </c>
      <c r="D4967" s="2">
        <v>19.28</v>
      </c>
      <c r="E4967" s="2">
        <v>0</v>
      </c>
      <c r="F4967" t="s">
        <v>27</v>
      </c>
      <c r="G4967" t="s">
        <v>9</v>
      </c>
    </row>
    <row r="4968" spans="1:7" x14ac:dyDescent="0.35">
      <c r="A4968">
        <v>1957</v>
      </c>
      <c r="B4968" s="1">
        <v>45621</v>
      </c>
      <c r="C4968" t="s">
        <v>25</v>
      </c>
      <c r="D4968" s="2">
        <v>0</v>
      </c>
      <c r="E4968" s="2">
        <v>276.32</v>
      </c>
      <c r="F4968" t="s">
        <v>28</v>
      </c>
      <c r="G4968" t="s">
        <v>17</v>
      </c>
    </row>
    <row r="4969" spans="1:7" x14ac:dyDescent="0.35">
      <c r="A4969">
        <v>1958</v>
      </c>
      <c r="B4969" s="1">
        <v>45621</v>
      </c>
      <c r="C4969" t="s">
        <v>25</v>
      </c>
      <c r="D4969" s="2">
        <v>802.71</v>
      </c>
      <c r="E4969" s="2">
        <v>0</v>
      </c>
      <c r="F4969" t="s">
        <v>26</v>
      </c>
      <c r="G4969" t="s">
        <v>20</v>
      </c>
    </row>
    <row r="4970" spans="1:7" x14ac:dyDescent="0.35">
      <c r="A4970">
        <v>1958</v>
      </c>
      <c r="B4970" s="1">
        <v>45621</v>
      </c>
      <c r="C4970" t="s">
        <v>25</v>
      </c>
      <c r="D4970" s="2">
        <v>60.2</v>
      </c>
      <c r="E4970" s="2">
        <v>0</v>
      </c>
      <c r="F4970" t="s">
        <v>27</v>
      </c>
      <c r="G4970" t="s">
        <v>9</v>
      </c>
    </row>
    <row r="4971" spans="1:7" x14ac:dyDescent="0.35">
      <c r="A4971">
        <v>1958</v>
      </c>
      <c r="B4971" s="1">
        <v>45621</v>
      </c>
      <c r="C4971" t="s">
        <v>25</v>
      </c>
      <c r="D4971" s="2">
        <v>0</v>
      </c>
      <c r="E4971" s="2">
        <v>862.91</v>
      </c>
      <c r="F4971" t="s">
        <v>28</v>
      </c>
      <c r="G4971" t="s">
        <v>17</v>
      </c>
    </row>
    <row r="4972" spans="1:7" x14ac:dyDescent="0.35">
      <c r="A4972">
        <v>1959</v>
      </c>
      <c r="B4972" s="1">
        <v>45621</v>
      </c>
      <c r="C4972" t="s">
        <v>25</v>
      </c>
      <c r="D4972" s="2">
        <v>3282.76</v>
      </c>
      <c r="E4972" s="2">
        <v>0</v>
      </c>
      <c r="F4972" t="s">
        <v>26</v>
      </c>
      <c r="G4972" t="s">
        <v>20</v>
      </c>
    </row>
    <row r="4973" spans="1:7" x14ac:dyDescent="0.35">
      <c r="A4973">
        <v>1959</v>
      </c>
      <c r="B4973" s="1">
        <v>45621</v>
      </c>
      <c r="C4973" t="s">
        <v>25</v>
      </c>
      <c r="D4973" s="2">
        <v>246.21</v>
      </c>
      <c r="E4973" s="2">
        <v>0</v>
      </c>
      <c r="F4973" t="s">
        <v>27</v>
      </c>
      <c r="G4973" t="s">
        <v>9</v>
      </c>
    </row>
    <row r="4974" spans="1:7" x14ac:dyDescent="0.35">
      <c r="A4974">
        <v>1959</v>
      </c>
      <c r="B4974" s="1">
        <v>45621</v>
      </c>
      <c r="C4974" t="s">
        <v>25</v>
      </c>
      <c r="D4974" s="2">
        <v>0</v>
      </c>
      <c r="E4974" s="2">
        <v>3528.97</v>
      </c>
      <c r="F4974" t="s">
        <v>28</v>
      </c>
      <c r="G4974" t="s">
        <v>17</v>
      </c>
    </row>
    <row r="4975" spans="1:7" x14ac:dyDescent="0.35">
      <c r="A4975">
        <v>1960</v>
      </c>
      <c r="B4975" s="1">
        <v>45621</v>
      </c>
      <c r="C4975" t="s">
        <v>25</v>
      </c>
      <c r="D4975" s="2">
        <v>1668.94</v>
      </c>
      <c r="E4975" s="2">
        <v>0</v>
      </c>
      <c r="F4975" t="s">
        <v>26</v>
      </c>
      <c r="G4975" t="s">
        <v>20</v>
      </c>
    </row>
    <row r="4976" spans="1:7" x14ac:dyDescent="0.35">
      <c r="A4976">
        <v>1960</v>
      </c>
      <c r="B4976" s="1">
        <v>45621</v>
      </c>
      <c r="C4976" t="s">
        <v>25</v>
      </c>
      <c r="D4976" s="2">
        <v>125.17</v>
      </c>
      <c r="E4976" s="2">
        <v>0</v>
      </c>
      <c r="F4976" t="s">
        <v>27</v>
      </c>
      <c r="G4976" t="s">
        <v>9</v>
      </c>
    </row>
    <row r="4977" spans="1:7" x14ac:dyDescent="0.35">
      <c r="A4977">
        <v>1960</v>
      </c>
      <c r="B4977" s="1">
        <v>45621</v>
      </c>
      <c r="C4977" t="s">
        <v>25</v>
      </c>
      <c r="D4977" s="2">
        <v>0</v>
      </c>
      <c r="E4977" s="2">
        <v>1794.11</v>
      </c>
      <c r="F4977" t="s">
        <v>28</v>
      </c>
      <c r="G4977" t="s">
        <v>17</v>
      </c>
    </row>
    <row r="4978" spans="1:7" x14ac:dyDescent="0.35">
      <c r="A4978">
        <v>1961</v>
      </c>
      <c r="B4978" s="1">
        <v>45621</v>
      </c>
      <c r="C4978" t="s">
        <v>25</v>
      </c>
      <c r="D4978" s="2">
        <v>1078.92</v>
      </c>
      <c r="E4978" s="2">
        <v>0</v>
      </c>
      <c r="F4978" t="s">
        <v>26</v>
      </c>
      <c r="G4978" t="s">
        <v>20</v>
      </c>
    </row>
    <row r="4979" spans="1:7" x14ac:dyDescent="0.35">
      <c r="A4979">
        <v>1961</v>
      </c>
      <c r="B4979" s="1">
        <v>45621</v>
      </c>
      <c r="C4979" t="s">
        <v>25</v>
      </c>
      <c r="D4979" s="2">
        <v>80.92</v>
      </c>
      <c r="E4979" s="2">
        <v>0</v>
      </c>
      <c r="F4979" t="s">
        <v>27</v>
      </c>
      <c r="G4979" t="s">
        <v>9</v>
      </c>
    </row>
    <row r="4980" spans="1:7" x14ac:dyDescent="0.35">
      <c r="A4980">
        <v>1961</v>
      </c>
      <c r="B4980" s="1">
        <v>45621</v>
      </c>
      <c r="C4980" t="s">
        <v>25</v>
      </c>
      <c r="D4980" s="2">
        <v>0</v>
      </c>
      <c r="E4980" s="2">
        <v>1159.8399999999999</v>
      </c>
      <c r="F4980" t="s">
        <v>28</v>
      </c>
      <c r="G4980" t="s">
        <v>17</v>
      </c>
    </row>
    <row r="4981" spans="1:7" x14ac:dyDescent="0.35">
      <c r="A4981">
        <v>1962</v>
      </c>
      <c r="B4981" s="1">
        <v>45621</v>
      </c>
      <c r="C4981" t="s">
        <v>25</v>
      </c>
      <c r="D4981" s="2">
        <v>8685.27</v>
      </c>
      <c r="E4981" s="2">
        <v>0</v>
      </c>
      <c r="F4981" t="s">
        <v>26</v>
      </c>
      <c r="G4981" t="s">
        <v>20</v>
      </c>
    </row>
    <row r="4982" spans="1:7" x14ac:dyDescent="0.35">
      <c r="A4982">
        <v>1962</v>
      </c>
      <c r="B4982" s="1">
        <v>45621</v>
      </c>
      <c r="C4982" t="s">
        <v>25</v>
      </c>
      <c r="D4982" s="2">
        <v>651.4</v>
      </c>
      <c r="E4982" s="2">
        <v>0</v>
      </c>
      <c r="F4982" t="s">
        <v>27</v>
      </c>
      <c r="G4982" t="s">
        <v>9</v>
      </c>
    </row>
    <row r="4983" spans="1:7" x14ac:dyDescent="0.35">
      <c r="A4983">
        <v>1962</v>
      </c>
      <c r="B4983" s="1">
        <v>45621</v>
      </c>
      <c r="C4983" t="s">
        <v>25</v>
      </c>
      <c r="D4983" s="2">
        <v>0</v>
      </c>
      <c r="E4983" s="2">
        <v>9336.67</v>
      </c>
      <c r="F4983" t="s">
        <v>28</v>
      </c>
      <c r="G4983" t="s">
        <v>17</v>
      </c>
    </row>
    <row r="4984" spans="1:7" x14ac:dyDescent="0.35">
      <c r="A4984">
        <v>1963</v>
      </c>
      <c r="B4984" s="1">
        <v>45621</v>
      </c>
      <c r="C4984" t="s">
        <v>25</v>
      </c>
      <c r="D4984" s="2">
        <v>4476.71</v>
      </c>
      <c r="E4984" s="2">
        <v>0</v>
      </c>
      <c r="F4984" t="s">
        <v>26</v>
      </c>
      <c r="G4984" t="s">
        <v>20</v>
      </c>
    </row>
    <row r="4985" spans="1:7" x14ac:dyDescent="0.35">
      <c r="A4985">
        <v>1963</v>
      </c>
      <c r="B4985" s="1">
        <v>45621</v>
      </c>
      <c r="C4985" t="s">
        <v>25</v>
      </c>
      <c r="D4985" s="2">
        <v>335.75</v>
      </c>
      <c r="E4985" s="2">
        <v>0</v>
      </c>
      <c r="F4985" t="s">
        <v>27</v>
      </c>
      <c r="G4985" t="s">
        <v>9</v>
      </c>
    </row>
    <row r="4986" spans="1:7" x14ac:dyDescent="0.35">
      <c r="A4986">
        <v>1963</v>
      </c>
      <c r="B4986" s="1">
        <v>45621</v>
      </c>
      <c r="C4986" t="s">
        <v>25</v>
      </c>
      <c r="D4986" s="2">
        <v>0</v>
      </c>
      <c r="E4986" s="2">
        <v>4812.46</v>
      </c>
      <c r="F4986" t="s">
        <v>28</v>
      </c>
      <c r="G4986" t="s">
        <v>17</v>
      </c>
    </row>
    <row r="4987" spans="1:7" x14ac:dyDescent="0.35">
      <c r="A4987">
        <v>1964</v>
      </c>
      <c r="B4987" s="1">
        <v>45621</v>
      </c>
      <c r="C4987" t="s">
        <v>25</v>
      </c>
      <c r="D4987" s="2">
        <v>2451.5</v>
      </c>
      <c r="E4987" s="2">
        <v>0</v>
      </c>
      <c r="F4987" t="s">
        <v>26</v>
      </c>
      <c r="G4987" t="s">
        <v>20</v>
      </c>
    </row>
    <row r="4988" spans="1:7" x14ac:dyDescent="0.35">
      <c r="A4988">
        <v>1964</v>
      </c>
      <c r="B4988" s="1">
        <v>45621</v>
      </c>
      <c r="C4988" t="s">
        <v>25</v>
      </c>
      <c r="D4988" s="2">
        <v>183.86</v>
      </c>
      <c r="E4988" s="2">
        <v>0</v>
      </c>
      <c r="F4988" t="s">
        <v>27</v>
      </c>
      <c r="G4988" t="s">
        <v>9</v>
      </c>
    </row>
    <row r="4989" spans="1:7" x14ac:dyDescent="0.35">
      <c r="A4989">
        <v>1964</v>
      </c>
      <c r="B4989" s="1">
        <v>45621</v>
      </c>
      <c r="C4989" t="s">
        <v>25</v>
      </c>
      <c r="D4989" s="2">
        <v>0</v>
      </c>
      <c r="E4989" s="2">
        <v>2635.36</v>
      </c>
      <c r="F4989" t="s">
        <v>28</v>
      </c>
      <c r="G4989" t="s">
        <v>17</v>
      </c>
    </row>
    <row r="4990" spans="1:7" x14ac:dyDescent="0.35">
      <c r="A4990">
        <v>1965</v>
      </c>
      <c r="B4990" s="1">
        <v>45621</v>
      </c>
      <c r="C4990" t="s">
        <v>25</v>
      </c>
      <c r="D4990" s="2">
        <v>187.44</v>
      </c>
      <c r="E4990" s="2">
        <v>0</v>
      </c>
      <c r="F4990" t="s">
        <v>26</v>
      </c>
      <c r="G4990" t="s">
        <v>20</v>
      </c>
    </row>
    <row r="4991" spans="1:7" x14ac:dyDescent="0.35">
      <c r="A4991">
        <v>1965</v>
      </c>
      <c r="B4991" s="1">
        <v>45621</v>
      </c>
      <c r="C4991" t="s">
        <v>25</v>
      </c>
      <c r="D4991" s="2">
        <v>14.06</v>
      </c>
      <c r="E4991" s="2">
        <v>0</v>
      </c>
      <c r="F4991" t="s">
        <v>27</v>
      </c>
      <c r="G4991" t="s">
        <v>9</v>
      </c>
    </row>
    <row r="4992" spans="1:7" x14ac:dyDescent="0.35">
      <c r="A4992">
        <v>1965</v>
      </c>
      <c r="B4992" s="1">
        <v>45621</v>
      </c>
      <c r="C4992" t="s">
        <v>25</v>
      </c>
      <c r="D4992" s="2">
        <v>0</v>
      </c>
      <c r="E4992" s="2">
        <v>201.5</v>
      </c>
      <c r="F4992" t="s">
        <v>28</v>
      </c>
      <c r="G4992" t="s">
        <v>17</v>
      </c>
    </row>
    <row r="4993" spans="1:7" x14ac:dyDescent="0.35">
      <c r="A4993">
        <v>1966</v>
      </c>
      <c r="B4993" s="1">
        <v>45621</v>
      </c>
      <c r="C4993" t="s">
        <v>29</v>
      </c>
      <c r="D4993" s="2">
        <v>1935.04</v>
      </c>
      <c r="E4993" s="2">
        <v>0</v>
      </c>
      <c r="F4993" t="s">
        <v>28</v>
      </c>
      <c r="G4993" t="s">
        <v>17</v>
      </c>
    </row>
    <row r="4994" spans="1:7" x14ac:dyDescent="0.35">
      <c r="A4994">
        <v>1966</v>
      </c>
      <c r="B4994" s="1">
        <v>45621</v>
      </c>
      <c r="C4994" t="s">
        <v>29</v>
      </c>
      <c r="D4994" s="2">
        <v>0</v>
      </c>
      <c r="E4994" s="2">
        <v>1935.04</v>
      </c>
      <c r="F4994" t="s">
        <v>8</v>
      </c>
      <c r="G4994" t="s">
        <v>9</v>
      </c>
    </row>
    <row r="4995" spans="1:7" x14ac:dyDescent="0.35">
      <c r="A4995">
        <v>1967</v>
      </c>
      <c r="B4995" s="1">
        <v>45621</v>
      </c>
      <c r="C4995" t="s">
        <v>29</v>
      </c>
      <c r="D4995" s="2">
        <v>2918.17</v>
      </c>
      <c r="E4995" s="2">
        <v>0</v>
      </c>
      <c r="F4995" t="s">
        <v>28</v>
      </c>
      <c r="G4995" t="s">
        <v>17</v>
      </c>
    </row>
    <row r="4996" spans="1:7" x14ac:dyDescent="0.35">
      <c r="A4996">
        <v>1967</v>
      </c>
      <c r="B4996" s="1">
        <v>45621</v>
      </c>
      <c r="C4996" t="s">
        <v>29</v>
      </c>
      <c r="D4996" s="2">
        <v>0</v>
      </c>
      <c r="E4996" s="2">
        <v>2918.17</v>
      </c>
      <c r="F4996" t="s">
        <v>8</v>
      </c>
      <c r="G4996" t="s">
        <v>9</v>
      </c>
    </row>
    <row r="4997" spans="1:7" x14ac:dyDescent="0.35">
      <c r="A4997">
        <v>1968</v>
      </c>
      <c r="B4997" s="1">
        <v>45621</v>
      </c>
      <c r="C4997" t="s">
        <v>29</v>
      </c>
      <c r="D4997" s="2">
        <v>2504.23</v>
      </c>
      <c r="E4997" s="2">
        <v>0</v>
      </c>
      <c r="F4997" t="s">
        <v>28</v>
      </c>
      <c r="G4997" t="s">
        <v>17</v>
      </c>
    </row>
    <row r="4998" spans="1:7" x14ac:dyDescent="0.35">
      <c r="A4998">
        <v>1968</v>
      </c>
      <c r="B4998" s="1">
        <v>45621</v>
      </c>
      <c r="C4998" t="s">
        <v>29</v>
      </c>
      <c r="D4998" s="2">
        <v>0</v>
      </c>
      <c r="E4998" s="2">
        <v>2504.23</v>
      </c>
      <c r="F4998" t="s">
        <v>8</v>
      </c>
      <c r="G4998" t="s">
        <v>9</v>
      </c>
    </row>
    <row r="4999" spans="1:7" x14ac:dyDescent="0.35">
      <c r="A4999">
        <v>1969</v>
      </c>
      <c r="B4999" s="1">
        <v>45621</v>
      </c>
      <c r="C4999" t="s">
        <v>29</v>
      </c>
      <c r="D4999" s="2">
        <v>4812.46</v>
      </c>
      <c r="E4999" s="2">
        <v>0</v>
      </c>
      <c r="F4999" t="s">
        <v>28</v>
      </c>
      <c r="G4999" t="s">
        <v>17</v>
      </c>
    </row>
    <row r="5000" spans="1:7" x14ac:dyDescent="0.35">
      <c r="A5000">
        <v>1969</v>
      </c>
      <c r="B5000" s="1">
        <v>45621</v>
      </c>
      <c r="C5000" t="s">
        <v>29</v>
      </c>
      <c r="D5000" s="2">
        <v>0</v>
      </c>
      <c r="E5000" s="2">
        <v>4812.46</v>
      </c>
      <c r="F5000" t="s">
        <v>8</v>
      </c>
      <c r="G5000" t="s">
        <v>9</v>
      </c>
    </row>
    <row r="5001" spans="1:7" x14ac:dyDescent="0.35">
      <c r="A5001">
        <v>1970</v>
      </c>
      <c r="B5001" s="1">
        <v>45621</v>
      </c>
      <c r="C5001" t="s">
        <v>29</v>
      </c>
      <c r="D5001" s="2">
        <v>412.54</v>
      </c>
      <c r="E5001" s="2">
        <v>0</v>
      </c>
      <c r="F5001" t="s">
        <v>28</v>
      </c>
      <c r="G5001" t="s">
        <v>17</v>
      </c>
    </row>
    <row r="5002" spans="1:7" x14ac:dyDescent="0.35">
      <c r="A5002">
        <v>1970</v>
      </c>
      <c r="B5002" s="1">
        <v>45621</v>
      </c>
      <c r="C5002" t="s">
        <v>29</v>
      </c>
      <c r="D5002" s="2">
        <v>0</v>
      </c>
      <c r="E5002" s="2">
        <v>412.54</v>
      </c>
      <c r="F5002" t="s">
        <v>8</v>
      </c>
      <c r="G5002" t="s">
        <v>9</v>
      </c>
    </row>
    <row r="5003" spans="1:7" x14ac:dyDescent="0.35">
      <c r="A5003">
        <v>1971</v>
      </c>
      <c r="B5003" s="1">
        <v>45622</v>
      </c>
      <c r="C5003" t="s">
        <v>12</v>
      </c>
      <c r="D5003" s="2">
        <v>1213.99</v>
      </c>
      <c r="E5003" s="2">
        <v>0</v>
      </c>
      <c r="F5003" t="s">
        <v>13</v>
      </c>
      <c r="G5003" t="s">
        <v>9</v>
      </c>
    </row>
    <row r="5004" spans="1:7" x14ac:dyDescent="0.35">
      <c r="A5004">
        <v>1971</v>
      </c>
      <c r="B5004" s="1">
        <v>45622</v>
      </c>
      <c r="C5004" t="s">
        <v>12</v>
      </c>
      <c r="D5004" s="2">
        <v>0</v>
      </c>
      <c r="E5004" s="2">
        <v>1129.28</v>
      </c>
      <c r="F5004" t="s">
        <v>14</v>
      </c>
      <c r="G5004" t="s">
        <v>15</v>
      </c>
    </row>
    <row r="5005" spans="1:7" x14ac:dyDescent="0.35">
      <c r="A5005">
        <v>1971</v>
      </c>
      <c r="B5005" s="1">
        <v>45622</v>
      </c>
      <c r="C5005" t="s">
        <v>12</v>
      </c>
      <c r="D5005" s="2">
        <v>0</v>
      </c>
      <c r="E5005" s="2">
        <v>84.71</v>
      </c>
      <c r="F5005" t="s">
        <v>16</v>
      </c>
      <c r="G5005" t="s">
        <v>17</v>
      </c>
    </row>
    <row r="5006" spans="1:7" x14ac:dyDescent="0.35">
      <c r="A5006">
        <v>1972</v>
      </c>
      <c r="B5006" s="1">
        <v>45622</v>
      </c>
      <c r="C5006" t="s">
        <v>12</v>
      </c>
      <c r="D5006" s="2">
        <v>422.19</v>
      </c>
      <c r="E5006" s="2">
        <v>0</v>
      </c>
      <c r="F5006" t="s">
        <v>13</v>
      </c>
      <c r="G5006" t="s">
        <v>9</v>
      </c>
    </row>
    <row r="5007" spans="1:7" x14ac:dyDescent="0.35">
      <c r="A5007">
        <v>1972</v>
      </c>
      <c r="B5007" s="1">
        <v>45622</v>
      </c>
      <c r="C5007" t="s">
        <v>12</v>
      </c>
      <c r="D5007" s="2">
        <v>0</v>
      </c>
      <c r="E5007" s="2">
        <v>392.74</v>
      </c>
      <c r="F5007" t="s">
        <v>14</v>
      </c>
      <c r="G5007" t="s">
        <v>15</v>
      </c>
    </row>
    <row r="5008" spans="1:7" x14ac:dyDescent="0.35">
      <c r="A5008">
        <v>1972</v>
      </c>
      <c r="B5008" s="1">
        <v>45622</v>
      </c>
      <c r="C5008" t="s">
        <v>12</v>
      </c>
      <c r="D5008" s="2">
        <v>0</v>
      </c>
      <c r="E5008" s="2">
        <v>29.45</v>
      </c>
      <c r="F5008" t="s">
        <v>16</v>
      </c>
      <c r="G5008" t="s">
        <v>17</v>
      </c>
    </row>
    <row r="5009" spans="1:7" x14ac:dyDescent="0.35">
      <c r="A5009">
        <v>1973</v>
      </c>
      <c r="B5009" s="1">
        <v>45622</v>
      </c>
      <c r="C5009" t="s">
        <v>12</v>
      </c>
      <c r="D5009" s="2">
        <v>1511.13</v>
      </c>
      <c r="E5009" s="2">
        <v>0</v>
      </c>
      <c r="F5009" t="s">
        <v>13</v>
      </c>
      <c r="G5009" t="s">
        <v>9</v>
      </c>
    </row>
    <row r="5010" spans="1:7" x14ac:dyDescent="0.35">
      <c r="A5010">
        <v>1973</v>
      </c>
      <c r="B5010" s="1">
        <v>45622</v>
      </c>
      <c r="C5010" t="s">
        <v>12</v>
      </c>
      <c r="D5010" s="2">
        <v>0</v>
      </c>
      <c r="E5010" s="2">
        <v>1405.71</v>
      </c>
      <c r="F5010" t="s">
        <v>14</v>
      </c>
      <c r="G5010" t="s">
        <v>15</v>
      </c>
    </row>
    <row r="5011" spans="1:7" x14ac:dyDescent="0.35">
      <c r="A5011">
        <v>1973</v>
      </c>
      <c r="B5011" s="1">
        <v>45622</v>
      </c>
      <c r="C5011" t="s">
        <v>12</v>
      </c>
      <c r="D5011" s="2">
        <v>0</v>
      </c>
      <c r="E5011" s="2">
        <v>105.42</v>
      </c>
      <c r="F5011" t="s">
        <v>16</v>
      </c>
      <c r="G5011" t="s">
        <v>17</v>
      </c>
    </row>
    <row r="5012" spans="1:7" x14ac:dyDescent="0.35">
      <c r="A5012">
        <v>1974</v>
      </c>
      <c r="B5012" s="1">
        <v>45622</v>
      </c>
      <c r="C5012" t="s">
        <v>12</v>
      </c>
      <c r="D5012" s="2">
        <v>2376.35</v>
      </c>
      <c r="E5012" s="2">
        <v>0</v>
      </c>
      <c r="F5012" t="s">
        <v>13</v>
      </c>
      <c r="G5012" t="s">
        <v>9</v>
      </c>
    </row>
    <row r="5013" spans="1:7" x14ac:dyDescent="0.35">
      <c r="A5013">
        <v>1974</v>
      </c>
      <c r="B5013" s="1">
        <v>45622</v>
      </c>
      <c r="C5013" t="s">
        <v>12</v>
      </c>
      <c r="D5013" s="2">
        <v>0</v>
      </c>
      <c r="E5013" s="2">
        <v>2210.5500000000002</v>
      </c>
      <c r="F5013" t="s">
        <v>14</v>
      </c>
      <c r="G5013" t="s">
        <v>15</v>
      </c>
    </row>
    <row r="5014" spans="1:7" x14ac:dyDescent="0.35">
      <c r="A5014">
        <v>1974</v>
      </c>
      <c r="B5014" s="1">
        <v>45622</v>
      </c>
      <c r="C5014" t="s">
        <v>12</v>
      </c>
      <c r="D5014" s="2">
        <v>0</v>
      </c>
      <c r="E5014" s="2">
        <v>165.8</v>
      </c>
      <c r="F5014" t="s">
        <v>16</v>
      </c>
      <c r="G5014" t="s">
        <v>17</v>
      </c>
    </row>
    <row r="5015" spans="1:7" x14ac:dyDescent="0.35">
      <c r="A5015">
        <v>1975</v>
      </c>
      <c r="B5015" s="1">
        <v>45622</v>
      </c>
      <c r="C5015" t="s">
        <v>12</v>
      </c>
      <c r="D5015" s="2">
        <v>2950.5</v>
      </c>
      <c r="E5015" s="2">
        <v>0</v>
      </c>
      <c r="F5015" t="s">
        <v>13</v>
      </c>
      <c r="G5015" t="s">
        <v>9</v>
      </c>
    </row>
    <row r="5016" spans="1:7" x14ac:dyDescent="0.35">
      <c r="A5016">
        <v>1975</v>
      </c>
      <c r="B5016" s="1">
        <v>45622</v>
      </c>
      <c r="C5016" t="s">
        <v>12</v>
      </c>
      <c r="D5016" s="2">
        <v>0</v>
      </c>
      <c r="E5016" s="2">
        <v>2744.65</v>
      </c>
      <c r="F5016" t="s">
        <v>14</v>
      </c>
      <c r="G5016" t="s">
        <v>15</v>
      </c>
    </row>
    <row r="5017" spans="1:7" x14ac:dyDescent="0.35">
      <c r="A5017">
        <v>1975</v>
      </c>
      <c r="B5017" s="1">
        <v>45622</v>
      </c>
      <c r="C5017" t="s">
        <v>12</v>
      </c>
      <c r="D5017" s="2">
        <v>0</v>
      </c>
      <c r="E5017" s="2">
        <v>205.85</v>
      </c>
      <c r="F5017" t="s">
        <v>16</v>
      </c>
      <c r="G5017" t="s">
        <v>17</v>
      </c>
    </row>
    <row r="5018" spans="1:7" x14ac:dyDescent="0.35">
      <c r="A5018">
        <v>1976</v>
      </c>
      <c r="B5018" s="1">
        <v>45622</v>
      </c>
      <c r="C5018" t="s">
        <v>24</v>
      </c>
      <c r="D5018" s="2">
        <v>2466.39</v>
      </c>
      <c r="E5018" s="2">
        <v>0</v>
      </c>
      <c r="F5018" t="s">
        <v>8</v>
      </c>
      <c r="G5018" t="s">
        <v>9</v>
      </c>
    </row>
    <row r="5019" spans="1:7" x14ac:dyDescent="0.35">
      <c r="A5019">
        <v>1976</v>
      </c>
      <c r="B5019" s="1">
        <v>45622</v>
      </c>
      <c r="C5019" t="s">
        <v>24</v>
      </c>
      <c r="D5019" s="2">
        <v>0</v>
      </c>
      <c r="E5019" s="2">
        <v>2466.39</v>
      </c>
      <c r="F5019" t="s">
        <v>13</v>
      </c>
      <c r="G5019" t="s">
        <v>9</v>
      </c>
    </row>
    <row r="5020" spans="1:7" x14ac:dyDescent="0.35">
      <c r="A5020">
        <v>1977</v>
      </c>
      <c r="B5020" s="1">
        <v>45622</v>
      </c>
      <c r="C5020" t="s">
        <v>24</v>
      </c>
      <c r="D5020" s="2">
        <v>204.07</v>
      </c>
      <c r="E5020" s="2">
        <v>0</v>
      </c>
      <c r="F5020" t="s">
        <v>8</v>
      </c>
      <c r="G5020" t="s">
        <v>9</v>
      </c>
    </row>
    <row r="5021" spans="1:7" x14ac:dyDescent="0.35">
      <c r="A5021">
        <v>1977</v>
      </c>
      <c r="B5021" s="1">
        <v>45622</v>
      </c>
      <c r="C5021" t="s">
        <v>24</v>
      </c>
      <c r="D5021" s="2">
        <v>0</v>
      </c>
      <c r="E5021" s="2">
        <v>204.07</v>
      </c>
      <c r="F5021" t="s">
        <v>13</v>
      </c>
      <c r="G5021" t="s">
        <v>9</v>
      </c>
    </row>
    <row r="5022" spans="1:7" x14ac:dyDescent="0.35">
      <c r="A5022">
        <v>1978</v>
      </c>
      <c r="B5022" s="1">
        <v>45622</v>
      </c>
      <c r="C5022" t="s">
        <v>24</v>
      </c>
      <c r="D5022" s="2">
        <v>5097.12</v>
      </c>
      <c r="E5022" s="2">
        <v>0</v>
      </c>
      <c r="F5022" t="s">
        <v>8</v>
      </c>
      <c r="G5022" t="s">
        <v>9</v>
      </c>
    </row>
    <row r="5023" spans="1:7" x14ac:dyDescent="0.35">
      <c r="A5023">
        <v>1978</v>
      </c>
      <c r="B5023" s="1">
        <v>45622</v>
      </c>
      <c r="C5023" t="s">
        <v>24</v>
      </c>
      <c r="D5023" s="2">
        <v>0</v>
      </c>
      <c r="E5023" s="2">
        <v>5097.12</v>
      </c>
      <c r="F5023" t="s">
        <v>13</v>
      </c>
      <c r="G5023" t="s">
        <v>9</v>
      </c>
    </row>
    <row r="5024" spans="1:7" x14ac:dyDescent="0.35">
      <c r="A5024">
        <v>1979</v>
      </c>
      <c r="B5024" s="1">
        <v>45622</v>
      </c>
      <c r="C5024" t="s">
        <v>24</v>
      </c>
      <c r="D5024" s="2">
        <v>961.01</v>
      </c>
      <c r="E5024" s="2">
        <v>0</v>
      </c>
      <c r="F5024" t="s">
        <v>8</v>
      </c>
      <c r="G5024" t="s">
        <v>9</v>
      </c>
    </row>
    <row r="5025" spans="1:7" x14ac:dyDescent="0.35">
      <c r="A5025">
        <v>1979</v>
      </c>
      <c r="B5025" s="1">
        <v>45622</v>
      </c>
      <c r="C5025" t="s">
        <v>24</v>
      </c>
      <c r="D5025" s="2">
        <v>0</v>
      </c>
      <c r="E5025" s="2">
        <v>961.01</v>
      </c>
      <c r="F5025" t="s">
        <v>13</v>
      </c>
      <c r="G5025" t="s">
        <v>9</v>
      </c>
    </row>
    <row r="5026" spans="1:7" x14ac:dyDescent="0.35">
      <c r="A5026">
        <v>1980</v>
      </c>
      <c r="B5026" s="1">
        <v>45622</v>
      </c>
      <c r="C5026" t="s">
        <v>24</v>
      </c>
      <c r="D5026" s="2">
        <v>2950.5</v>
      </c>
      <c r="E5026" s="2">
        <v>0</v>
      </c>
      <c r="F5026" t="s">
        <v>8</v>
      </c>
      <c r="G5026" t="s">
        <v>9</v>
      </c>
    </row>
    <row r="5027" spans="1:7" x14ac:dyDescent="0.35">
      <c r="A5027">
        <v>1980</v>
      </c>
      <c r="B5027" s="1">
        <v>45622</v>
      </c>
      <c r="C5027" t="s">
        <v>24</v>
      </c>
      <c r="D5027" s="2">
        <v>0</v>
      </c>
      <c r="E5027" s="2">
        <v>2950.5</v>
      </c>
      <c r="F5027" t="s">
        <v>13</v>
      </c>
      <c r="G5027" t="s">
        <v>9</v>
      </c>
    </row>
    <row r="5028" spans="1:7" x14ac:dyDescent="0.35">
      <c r="A5028">
        <v>1981</v>
      </c>
      <c r="B5028" s="1">
        <v>45622</v>
      </c>
      <c r="C5028" t="s">
        <v>29</v>
      </c>
      <c r="D5028" s="2">
        <v>1935.04</v>
      </c>
      <c r="E5028" s="2">
        <v>0</v>
      </c>
      <c r="F5028" t="s">
        <v>28</v>
      </c>
      <c r="G5028" t="s">
        <v>17</v>
      </c>
    </row>
    <row r="5029" spans="1:7" x14ac:dyDescent="0.35">
      <c r="A5029">
        <v>1981</v>
      </c>
      <c r="B5029" s="1">
        <v>45622</v>
      </c>
      <c r="C5029" t="s">
        <v>29</v>
      </c>
      <c r="D5029" s="2">
        <v>0</v>
      </c>
      <c r="E5029" s="2">
        <v>1935.04</v>
      </c>
      <c r="F5029" t="s">
        <v>8</v>
      </c>
      <c r="G5029" t="s">
        <v>9</v>
      </c>
    </row>
    <row r="5030" spans="1:7" x14ac:dyDescent="0.35">
      <c r="A5030">
        <v>1982</v>
      </c>
      <c r="B5030" s="1">
        <v>45622</v>
      </c>
      <c r="C5030" t="s">
        <v>29</v>
      </c>
      <c r="D5030" s="2">
        <v>2918.17</v>
      </c>
      <c r="E5030" s="2">
        <v>0</v>
      </c>
      <c r="F5030" t="s">
        <v>28</v>
      </c>
      <c r="G5030" t="s">
        <v>17</v>
      </c>
    </row>
    <row r="5031" spans="1:7" x14ac:dyDescent="0.35">
      <c r="A5031">
        <v>1982</v>
      </c>
      <c r="B5031" s="1">
        <v>45622</v>
      </c>
      <c r="C5031" t="s">
        <v>29</v>
      </c>
      <c r="D5031" s="2">
        <v>0</v>
      </c>
      <c r="E5031" s="2">
        <v>2918.17</v>
      </c>
      <c r="F5031" t="s">
        <v>8</v>
      </c>
      <c r="G5031" t="s">
        <v>9</v>
      </c>
    </row>
    <row r="5032" spans="1:7" x14ac:dyDescent="0.35">
      <c r="A5032">
        <v>1983</v>
      </c>
      <c r="B5032" s="1">
        <v>45623</v>
      </c>
      <c r="C5032" t="s">
        <v>12</v>
      </c>
      <c r="D5032" s="2">
        <v>1759.75</v>
      </c>
      <c r="E5032" s="2">
        <v>0</v>
      </c>
      <c r="F5032" t="s">
        <v>13</v>
      </c>
      <c r="G5032" t="s">
        <v>9</v>
      </c>
    </row>
    <row r="5033" spans="1:7" x14ac:dyDescent="0.35">
      <c r="A5033">
        <v>1983</v>
      </c>
      <c r="B5033" s="1">
        <v>45623</v>
      </c>
      <c r="C5033" t="s">
        <v>12</v>
      </c>
      <c r="D5033" s="2">
        <v>0</v>
      </c>
      <c r="E5033" s="2">
        <v>1636.97</v>
      </c>
      <c r="F5033" t="s">
        <v>14</v>
      </c>
      <c r="G5033" t="s">
        <v>15</v>
      </c>
    </row>
    <row r="5034" spans="1:7" x14ac:dyDescent="0.35">
      <c r="A5034">
        <v>1983</v>
      </c>
      <c r="B5034" s="1">
        <v>45623</v>
      </c>
      <c r="C5034" t="s">
        <v>12</v>
      </c>
      <c r="D5034" s="2">
        <v>0</v>
      </c>
      <c r="E5034" s="2">
        <v>122.78</v>
      </c>
      <c r="F5034" t="s">
        <v>16</v>
      </c>
      <c r="G5034" t="s">
        <v>17</v>
      </c>
    </row>
    <row r="5035" spans="1:7" x14ac:dyDescent="0.35">
      <c r="A5035">
        <v>1984</v>
      </c>
      <c r="B5035" s="1">
        <v>45623</v>
      </c>
      <c r="C5035" t="s">
        <v>12</v>
      </c>
      <c r="D5035" s="2">
        <v>2219.14</v>
      </c>
      <c r="E5035" s="2">
        <v>0</v>
      </c>
      <c r="F5035" t="s">
        <v>13</v>
      </c>
      <c r="G5035" t="s">
        <v>9</v>
      </c>
    </row>
    <row r="5036" spans="1:7" x14ac:dyDescent="0.35">
      <c r="A5036">
        <v>1984</v>
      </c>
      <c r="B5036" s="1">
        <v>45623</v>
      </c>
      <c r="C5036" t="s">
        <v>12</v>
      </c>
      <c r="D5036" s="2">
        <v>0</v>
      </c>
      <c r="E5036" s="2">
        <v>2064.3200000000002</v>
      </c>
      <c r="F5036" t="s">
        <v>14</v>
      </c>
      <c r="G5036" t="s">
        <v>15</v>
      </c>
    </row>
    <row r="5037" spans="1:7" x14ac:dyDescent="0.35">
      <c r="A5037">
        <v>1984</v>
      </c>
      <c r="B5037" s="1">
        <v>45623</v>
      </c>
      <c r="C5037" t="s">
        <v>12</v>
      </c>
      <c r="D5037" s="2">
        <v>0</v>
      </c>
      <c r="E5037" s="2">
        <v>154.82</v>
      </c>
      <c r="F5037" t="s">
        <v>16</v>
      </c>
      <c r="G5037" t="s">
        <v>17</v>
      </c>
    </row>
    <row r="5038" spans="1:7" x14ac:dyDescent="0.35">
      <c r="A5038">
        <v>1985</v>
      </c>
      <c r="B5038" s="1">
        <v>45623</v>
      </c>
      <c r="C5038" t="s">
        <v>12</v>
      </c>
      <c r="D5038" s="2">
        <v>99.2</v>
      </c>
      <c r="E5038" s="2">
        <v>0</v>
      </c>
      <c r="F5038" t="s">
        <v>13</v>
      </c>
      <c r="G5038" t="s">
        <v>9</v>
      </c>
    </row>
    <row r="5039" spans="1:7" x14ac:dyDescent="0.35">
      <c r="A5039">
        <v>1985</v>
      </c>
      <c r="B5039" s="1">
        <v>45623</v>
      </c>
      <c r="C5039" t="s">
        <v>12</v>
      </c>
      <c r="D5039" s="2">
        <v>0</v>
      </c>
      <c r="E5039" s="2">
        <v>92.28</v>
      </c>
      <c r="F5039" t="s">
        <v>14</v>
      </c>
      <c r="G5039" t="s">
        <v>15</v>
      </c>
    </row>
    <row r="5040" spans="1:7" x14ac:dyDescent="0.35">
      <c r="A5040">
        <v>1985</v>
      </c>
      <c r="B5040" s="1">
        <v>45623</v>
      </c>
      <c r="C5040" t="s">
        <v>12</v>
      </c>
      <c r="D5040" s="2">
        <v>0</v>
      </c>
      <c r="E5040" s="2">
        <v>6.92</v>
      </c>
      <c r="F5040" t="s">
        <v>16</v>
      </c>
      <c r="G5040" t="s">
        <v>17</v>
      </c>
    </row>
    <row r="5041" spans="1:7" x14ac:dyDescent="0.35">
      <c r="A5041">
        <v>1986</v>
      </c>
      <c r="B5041" s="1">
        <v>45623</v>
      </c>
      <c r="C5041" t="s">
        <v>12</v>
      </c>
      <c r="D5041" s="2">
        <v>3068.43</v>
      </c>
      <c r="E5041" s="2">
        <v>0</v>
      </c>
      <c r="F5041" t="s">
        <v>13</v>
      </c>
      <c r="G5041" t="s">
        <v>9</v>
      </c>
    </row>
    <row r="5042" spans="1:7" x14ac:dyDescent="0.35">
      <c r="A5042">
        <v>1986</v>
      </c>
      <c r="B5042" s="1">
        <v>45623</v>
      </c>
      <c r="C5042" t="s">
        <v>12</v>
      </c>
      <c r="D5042" s="2">
        <v>0</v>
      </c>
      <c r="E5042" s="2">
        <v>2854.36</v>
      </c>
      <c r="F5042" t="s">
        <v>14</v>
      </c>
      <c r="G5042" t="s">
        <v>15</v>
      </c>
    </row>
    <row r="5043" spans="1:7" x14ac:dyDescent="0.35">
      <c r="A5043">
        <v>1986</v>
      </c>
      <c r="B5043" s="1">
        <v>45623</v>
      </c>
      <c r="C5043" t="s">
        <v>12</v>
      </c>
      <c r="D5043" s="2">
        <v>0</v>
      </c>
      <c r="E5043" s="2">
        <v>214.07</v>
      </c>
      <c r="F5043" t="s">
        <v>16</v>
      </c>
      <c r="G5043" t="s">
        <v>17</v>
      </c>
    </row>
    <row r="5044" spans="1:7" x14ac:dyDescent="0.35">
      <c r="A5044">
        <v>1987</v>
      </c>
      <c r="B5044" s="1">
        <v>45623</v>
      </c>
      <c r="C5044" t="s">
        <v>12</v>
      </c>
      <c r="D5044" s="2">
        <v>2271.73</v>
      </c>
      <c r="E5044" s="2">
        <v>0</v>
      </c>
      <c r="F5044" t="s">
        <v>13</v>
      </c>
      <c r="G5044" t="s">
        <v>9</v>
      </c>
    </row>
    <row r="5045" spans="1:7" x14ac:dyDescent="0.35">
      <c r="A5045">
        <v>1987</v>
      </c>
      <c r="B5045" s="1">
        <v>45623</v>
      </c>
      <c r="C5045" t="s">
        <v>12</v>
      </c>
      <c r="D5045" s="2">
        <v>0</v>
      </c>
      <c r="E5045" s="2">
        <v>2113.25</v>
      </c>
      <c r="F5045" t="s">
        <v>14</v>
      </c>
      <c r="G5045" t="s">
        <v>15</v>
      </c>
    </row>
    <row r="5046" spans="1:7" x14ac:dyDescent="0.35">
      <c r="A5046">
        <v>1987</v>
      </c>
      <c r="B5046" s="1">
        <v>45623</v>
      </c>
      <c r="C5046" t="s">
        <v>12</v>
      </c>
      <c r="D5046" s="2">
        <v>0</v>
      </c>
      <c r="E5046" s="2">
        <v>158.47999999999999</v>
      </c>
      <c r="F5046" t="s">
        <v>16</v>
      </c>
      <c r="G5046" t="s">
        <v>17</v>
      </c>
    </row>
    <row r="5047" spans="1:7" x14ac:dyDescent="0.35">
      <c r="A5047">
        <v>1988</v>
      </c>
      <c r="B5047" s="1">
        <v>45623</v>
      </c>
      <c r="C5047" t="s">
        <v>24</v>
      </c>
      <c r="D5047" s="2">
        <v>49.8</v>
      </c>
      <c r="E5047" s="2">
        <v>0</v>
      </c>
      <c r="F5047" t="s">
        <v>8</v>
      </c>
      <c r="G5047" t="s">
        <v>9</v>
      </c>
    </row>
    <row r="5048" spans="1:7" x14ac:dyDescent="0.35">
      <c r="A5048">
        <v>1988</v>
      </c>
      <c r="B5048" s="1">
        <v>45623</v>
      </c>
      <c r="C5048" t="s">
        <v>24</v>
      </c>
      <c r="D5048" s="2">
        <v>0</v>
      </c>
      <c r="E5048" s="2">
        <v>49.8</v>
      </c>
      <c r="F5048" t="s">
        <v>13</v>
      </c>
      <c r="G5048" t="s">
        <v>9</v>
      </c>
    </row>
    <row r="5049" spans="1:7" x14ac:dyDescent="0.35">
      <c r="A5049">
        <v>1989</v>
      </c>
      <c r="B5049" s="1">
        <v>45623</v>
      </c>
      <c r="C5049" t="s">
        <v>24</v>
      </c>
      <c r="D5049" s="2">
        <v>2056.0700000000002</v>
      </c>
      <c r="E5049" s="2">
        <v>0</v>
      </c>
      <c r="F5049" t="s">
        <v>8</v>
      </c>
      <c r="G5049" t="s">
        <v>9</v>
      </c>
    </row>
    <row r="5050" spans="1:7" x14ac:dyDescent="0.35">
      <c r="A5050">
        <v>1989</v>
      </c>
      <c r="B5050" s="1">
        <v>45623</v>
      </c>
      <c r="C5050" t="s">
        <v>24</v>
      </c>
      <c r="D5050" s="2">
        <v>0</v>
      </c>
      <c r="E5050" s="2">
        <v>2056.0700000000002</v>
      </c>
      <c r="F5050" t="s">
        <v>13</v>
      </c>
      <c r="G5050" t="s">
        <v>9</v>
      </c>
    </row>
    <row r="5051" spans="1:7" x14ac:dyDescent="0.35">
      <c r="A5051">
        <v>1990</v>
      </c>
      <c r="B5051" s="1">
        <v>45623</v>
      </c>
      <c r="C5051" t="s">
        <v>24</v>
      </c>
      <c r="D5051" s="2">
        <v>3474.75</v>
      </c>
      <c r="E5051" s="2">
        <v>0</v>
      </c>
      <c r="F5051" t="s">
        <v>8</v>
      </c>
      <c r="G5051" t="s">
        <v>9</v>
      </c>
    </row>
    <row r="5052" spans="1:7" x14ac:dyDescent="0.35">
      <c r="A5052">
        <v>1990</v>
      </c>
      <c r="B5052" s="1">
        <v>45623</v>
      </c>
      <c r="C5052" t="s">
        <v>24</v>
      </c>
      <c r="D5052" s="2">
        <v>0</v>
      </c>
      <c r="E5052" s="2">
        <v>3474.75</v>
      </c>
      <c r="F5052" t="s">
        <v>13</v>
      </c>
      <c r="G5052" t="s">
        <v>9</v>
      </c>
    </row>
    <row r="5053" spans="1:7" x14ac:dyDescent="0.35">
      <c r="A5053">
        <v>1991</v>
      </c>
      <c r="B5053" s="1">
        <v>45623</v>
      </c>
      <c r="C5053" t="s">
        <v>24</v>
      </c>
      <c r="D5053" s="2">
        <v>5160.1000000000004</v>
      </c>
      <c r="E5053" s="2">
        <v>0</v>
      </c>
      <c r="F5053" t="s">
        <v>8</v>
      </c>
      <c r="G5053" t="s">
        <v>9</v>
      </c>
    </row>
    <row r="5054" spans="1:7" x14ac:dyDescent="0.35">
      <c r="A5054">
        <v>1991</v>
      </c>
      <c r="B5054" s="1">
        <v>45623</v>
      </c>
      <c r="C5054" t="s">
        <v>24</v>
      </c>
      <c r="D5054" s="2">
        <v>0</v>
      </c>
      <c r="E5054" s="2">
        <v>5160.1000000000004</v>
      </c>
      <c r="F5054" t="s">
        <v>13</v>
      </c>
      <c r="G5054" t="s">
        <v>9</v>
      </c>
    </row>
    <row r="5055" spans="1:7" x14ac:dyDescent="0.35">
      <c r="A5055">
        <v>1992</v>
      </c>
      <c r="B5055" s="1">
        <v>45623</v>
      </c>
      <c r="C5055" t="s">
        <v>24</v>
      </c>
      <c r="D5055" s="2">
        <v>113.18</v>
      </c>
      <c r="E5055" s="2">
        <v>0</v>
      </c>
      <c r="F5055" t="s">
        <v>8</v>
      </c>
      <c r="G5055" t="s">
        <v>9</v>
      </c>
    </row>
    <row r="5056" spans="1:7" x14ac:dyDescent="0.35">
      <c r="A5056">
        <v>1992</v>
      </c>
      <c r="B5056" s="1">
        <v>45623</v>
      </c>
      <c r="C5056" t="s">
        <v>24</v>
      </c>
      <c r="D5056" s="2">
        <v>0</v>
      </c>
      <c r="E5056" s="2">
        <v>113.18</v>
      </c>
      <c r="F5056" t="s">
        <v>13</v>
      </c>
      <c r="G5056" t="s">
        <v>9</v>
      </c>
    </row>
    <row r="5057" spans="1:7" x14ac:dyDescent="0.35">
      <c r="A5057">
        <v>1993</v>
      </c>
      <c r="B5057" s="1">
        <v>45623</v>
      </c>
      <c r="C5057" t="s">
        <v>24</v>
      </c>
      <c r="D5057" s="2">
        <v>2873.01</v>
      </c>
      <c r="E5057" s="2">
        <v>0</v>
      </c>
      <c r="F5057" t="s">
        <v>8</v>
      </c>
      <c r="G5057" t="s">
        <v>9</v>
      </c>
    </row>
    <row r="5058" spans="1:7" x14ac:dyDescent="0.35">
      <c r="A5058">
        <v>1993</v>
      </c>
      <c r="B5058" s="1">
        <v>45623</v>
      </c>
      <c r="C5058" t="s">
        <v>24</v>
      </c>
      <c r="D5058" s="2">
        <v>0</v>
      </c>
      <c r="E5058" s="2">
        <v>2873.01</v>
      </c>
      <c r="F5058" t="s">
        <v>13</v>
      </c>
      <c r="G5058" t="s">
        <v>9</v>
      </c>
    </row>
    <row r="5059" spans="1:7" x14ac:dyDescent="0.35">
      <c r="A5059">
        <v>1994</v>
      </c>
      <c r="B5059" s="1">
        <v>45623</v>
      </c>
      <c r="C5059" t="s">
        <v>25</v>
      </c>
      <c r="D5059" s="2">
        <v>1822.08</v>
      </c>
      <c r="E5059" s="2">
        <v>0</v>
      </c>
      <c r="F5059" t="s">
        <v>26</v>
      </c>
      <c r="G5059" t="s">
        <v>20</v>
      </c>
    </row>
    <row r="5060" spans="1:7" x14ac:dyDescent="0.35">
      <c r="A5060">
        <v>1994</v>
      </c>
      <c r="B5060" s="1">
        <v>45623</v>
      </c>
      <c r="C5060" t="s">
        <v>25</v>
      </c>
      <c r="D5060" s="2">
        <v>136.66</v>
      </c>
      <c r="E5060" s="2">
        <v>0</v>
      </c>
      <c r="F5060" t="s">
        <v>27</v>
      </c>
      <c r="G5060" t="s">
        <v>9</v>
      </c>
    </row>
    <row r="5061" spans="1:7" x14ac:dyDescent="0.35">
      <c r="A5061">
        <v>1994</v>
      </c>
      <c r="B5061" s="1">
        <v>45623</v>
      </c>
      <c r="C5061" t="s">
        <v>25</v>
      </c>
      <c r="D5061" s="2">
        <v>0</v>
      </c>
      <c r="E5061" s="2">
        <v>1958.74</v>
      </c>
      <c r="F5061" t="s">
        <v>28</v>
      </c>
      <c r="G5061" t="s">
        <v>17</v>
      </c>
    </row>
    <row r="5062" spans="1:7" x14ac:dyDescent="0.35">
      <c r="A5062">
        <v>1995</v>
      </c>
      <c r="B5062" s="1">
        <v>45623</v>
      </c>
      <c r="C5062" t="s">
        <v>29</v>
      </c>
      <c r="D5062" s="2">
        <v>201.5</v>
      </c>
      <c r="E5062" s="2">
        <v>0</v>
      </c>
      <c r="F5062" t="s">
        <v>28</v>
      </c>
      <c r="G5062" t="s">
        <v>17</v>
      </c>
    </row>
    <row r="5063" spans="1:7" x14ac:dyDescent="0.35">
      <c r="A5063">
        <v>1995</v>
      </c>
      <c r="B5063" s="1">
        <v>45623</v>
      </c>
      <c r="C5063" t="s">
        <v>29</v>
      </c>
      <c r="D5063" s="2">
        <v>0</v>
      </c>
      <c r="E5063" s="2">
        <v>201.5</v>
      </c>
      <c r="F5063" t="s">
        <v>8</v>
      </c>
      <c r="G5063" t="s">
        <v>9</v>
      </c>
    </row>
    <row r="5064" spans="1:7" x14ac:dyDescent="0.35">
      <c r="A5064">
        <v>1996</v>
      </c>
      <c r="B5064" s="1">
        <v>45623</v>
      </c>
      <c r="C5064" t="s">
        <v>29</v>
      </c>
      <c r="D5064" s="2">
        <v>1023.42</v>
      </c>
      <c r="E5064" s="2">
        <v>0</v>
      </c>
      <c r="F5064" t="s">
        <v>28</v>
      </c>
      <c r="G5064" t="s">
        <v>17</v>
      </c>
    </row>
    <row r="5065" spans="1:7" x14ac:dyDescent="0.35">
      <c r="A5065">
        <v>1996</v>
      </c>
      <c r="B5065" s="1">
        <v>45623</v>
      </c>
      <c r="C5065" t="s">
        <v>29</v>
      </c>
      <c r="D5065" s="2">
        <v>0</v>
      </c>
      <c r="E5065" s="2">
        <v>1023.42</v>
      </c>
      <c r="F5065" t="s">
        <v>8</v>
      </c>
      <c r="G5065" t="s">
        <v>9</v>
      </c>
    </row>
    <row r="5066" spans="1:7" x14ac:dyDescent="0.35">
      <c r="A5066">
        <v>1997</v>
      </c>
      <c r="B5066" s="1">
        <v>45623</v>
      </c>
      <c r="C5066" t="s">
        <v>29</v>
      </c>
      <c r="D5066" s="2">
        <v>3868.8</v>
      </c>
      <c r="E5066" s="2">
        <v>0</v>
      </c>
      <c r="F5066" t="s">
        <v>28</v>
      </c>
      <c r="G5066" t="s">
        <v>17</v>
      </c>
    </row>
    <row r="5067" spans="1:7" x14ac:dyDescent="0.35">
      <c r="A5067">
        <v>1997</v>
      </c>
      <c r="B5067" s="1">
        <v>45623</v>
      </c>
      <c r="C5067" t="s">
        <v>29</v>
      </c>
      <c r="D5067" s="2">
        <v>0</v>
      </c>
      <c r="E5067" s="2">
        <v>3868.8</v>
      </c>
      <c r="F5067" t="s">
        <v>8</v>
      </c>
      <c r="G5067" t="s">
        <v>9</v>
      </c>
    </row>
    <row r="5068" spans="1:7" x14ac:dyDescent="0.35">
      <c r="A5068">
        <v>1998</v>
      </c>
      <c r="B5068" s="1">
        <v>45623</v>
      </c>
      <c r="C5068" t="s">
        <v>29</v>
      </c>
      <c r="D5068" s="2">
        <v>550.4</v>
      </c>
      <c r="E5068" s="2">
        <v>0</v>
      </c>
      <c r="F5068" t="s">
        <v>28</v>
      </c>
      <c r="G5068" t="s">
        <v>17</v>
      </c>
    </row>
    <row r="5069" spans="1:7" x14ac:dyDescent="0.35">
      <c r="A5069">
        <v>1998</v>
      </c>
      <c r="B5069" s="1">
        <v>45623</v>
      </c>
      <c r="C5069" t="s">
        <v>29</v>
      </c>
      <c r="D5069" s="2">
        <v>0</v>
      </c>
      <c r="E5069" s="2">
        <v>550.4</v>
      </c>
      <c r="F5069" t="s">
        <v>8</v>
      </c>
      <c r="G5069" t="s">
        <v>9</v>
      </c>
    </row>
    <row r="5070" spans="1:7" x14ac:dyDescent="0.35">
      <c r="A5070">
        <v>1999</v>
      </c>
      <c r="B5070" s="1">
        <v>45624</v>
      </c>
      <c r="C5070" t="s">
        <v>12</v>
      </c>
      <c r="D5070" s="2">
        <v>297.60000000000002</v>
      </c>
      <c r="E5070" s="2">
        <v>0</v>
      </c>
      <c r="F5070" t="s">
        <v>13</v>
      </c>
      <c r="G5070" t="s">
        <v>9</v>
      </c>
    </row>
    <row r="5071" spans="1:7" x14ac:dyDescent="0.35">
      <c r="A5071">
        <v>1999</v>
      </c>
      <c r="B5071" s="1">
        <v>45624</v>
      </c>
      <c r="C5071" t="s">
        <v>12</v>
      </c>
      <c r="D5071" s="2">
        <v>0</v>
      </c>
      <c r="E5071" s="2">
        <v>276.83999999999997</v>
      </c>
      <c r="F5071" t="s">
        <v>14</v>
      </c>
      <c r="G5071" t="s">
        <v>15</v>
      </c>
    </row>
    <row r="5072" spans="1:7" x14ac:dyDescent="0.35">
      <c r="A5072">
        <v>1999</v>
      </c>
      <c r="B5072" s="1">
        <v>45624</v>
      </c>
      <c r="C5072" t="s">
        <v>12</v>
      </c>
      <c r="D5072" s="2">
        <v>0</v>
      </c>
      <c r="E5072" s="2">
        <v>20.76</v>
      </c>
      <c r="F5072" t="s">
        <v>16</v>
      </c>
      <c r="G5072" t="s">
        <v>17</v>
      </c>
    </row>
    <row r="5073" spans="1:7" x14ac:dyDescent="0.35">
      <c r="A5073">
        <v>2000</v>
      </c>
      <c r="B5073" s="1">
        <v>45624</v>
      </c>
      <c r="C5073" t="s">
        <v>12</v>
      </c>
      <c r="D5073" s="2">
        <v>2997.32</v>
      </c>
      <c r="E5073" s="2">
        <v>0</v>
      </c>
      <c r="F5073" t="s">
        <v>13</v>
      </c>
      <c r="G5073" t="s">
        <v>9</v>
      </c>
    </row>
    <row r="5074" spans="1:7" x14ac:dyDescent="0.35">
      <c r="A5074">
        <v>2000</v>
      </c>
      <c r="B5074" s="1">
        <v>45624</v>
      </c>
      <c r="C5074" t="s">
        <v>12</v>
      </c>
      <c r="D5074" s="2">
        <v>0</v>
      </c>
      <c r="E5074" s="2">
        <v>2788.21</v>
      </c>
      <c r="F5074" t="s">
        <v>14</v>
      </c>
      <c r="G5074" t="s">
        <v>15</v>
      </c>
    </row>
    <row r="5075" spans="1:7" x14ac:dyDescent="0.35">
      <c r="A5075">
        <v>2000</v>
      </c>
      <c r="B5075" s="1">
        <v>45624</v>
      </c>
      <c r="C5075" t="s">
        <v>12</v>
      </c>
      <c r="D5075" s="2">
        <v>0</v>
      </c>
      <c r="E5075" s="2">
        <v>209.11</v>
      </c>
      <c r="F5075" t="s">
        <v>16</v>
      </c>
      <c r="G5075" t="s">
        <v>17</v>
      </c>
    </row>
    <row r="5076" spans="1:7" x14ac:dyDescent="0.35">
      <c r="A5076">
        <v>2001</v>
      </c>
      <c r="B5076" s="1">
        <v>45624</v>
      </c>
      <c r="C5076" t="s">
        <v>12</v>
      </c>
      <c r="D5076" s="2">
        <v>1125.8900000000001</v>
      </c>
      <c r="E5076" s="2">
        <v>0</v>
      </c>
      <c r="F5076" t="s">
        <v>13</v>
      </c>
      <c r="G5076" t="s">
        <v>9</v>
      </c>
    </row>
    <row r="5077" spans="1:7" x14ac:dyDescent="0.35">
      <c r="A5077">
        <v>2001</v>
      </c>
      <c r="B5077" s="1">
        <v>45624</v>
      </c>
      <c r="C5077" t="s">
        <v>12</v>
      </c>
      <c r="D5077" s="2">
        <v>0</v>
      </c>
      <c r="E5077" s="2">
        <v>1047.3399999999999</v>
      </c>
      <c r="F5077" t="s">
        <v>14</v>
      </c>
      <c r="G5077" t="s">
        <v>15</v>
      </c>
    </row>
    <row r="5078" spans="1:7" x14ac:dyDescent="0.35">
      <c r="A5078">
        <v>2001</v>
      </c>
      <c r="B5078" s="1">
        <v>45624</v>
      </c>
      <c r="C5078" t="s">
        <v>12</v>
      </c>
      <c r="D5078" s="2">
        <v>0</v>
      </c>
      <c r="E5078" s="2">
        <v>78.55</v>
      </c>
      <c r="F5078" t="s">
        <v>16</v>
      </c>
      <c r="G5078" t="s">
        <v>17</v>
      </c>
    </row>
    <row r="5079" spans="1:7" x14ac:dyDescent="0.35">
      <c r="A5079">
        <v>2002</v>
      </c>
      <c r="B5079" s="1">
        <v>45624</v>
      </c>
      <c r="C5079" t="s">
        <v>12</v>
      </c>
      <c r="D5079" s="2">
        <v>536.16999999999996</v>
      </c>
      <c r="E5079" s="2">
        <v>0</v>
      </c>
      <c r="F5079" t="s">
        <v>13</v>
      </c>
      <c r="G5079" t="s">
        <v>9</v>
      </c>
    </row>
    <row r="5080" spans="1:7" x14ac:dyDescent="0.35">
      <c r="A5080">
        <v>2002</v>
      </c>
      <c r="B5080" s="1">
        <v>45624</v>
      </c>
      <c r="C5080" t="s">
        <v>12</v>
      </c>
      <c r="D5080" s="2">
        <v>0</v>
      </c>
      <c r="E5080" s="2">
        <v>498.77</v>
      </c>
      <c r="F5080" t="s">
        <v>14</v>
      </c>
      <c r="G5080" t="s">
        <v>15</v>
      </c>
    </row>
    <row r="5081" spans="1:7" x14ac:dyDescent="0.35">
      <c r="A5081">
        <v>2002</v>
      </c>
      <c r="B5081" s="1">
        <v>45624</v>
      </c>
      <c r="C5081" t="s">
        <v>12</v>
      </c>
      <c r="D5081" s="2">
        <v>0</v>
      </c>
      <c r="E5081" s="2">
        <v>37.4</v>
      </c>
      <c r="F5081" t="s">
        <v>16</v>
      </c>
      <c r="G5081" t="s">
        <v>17</v>
      </c>
    </row>
    <row r="5082" spans="1:7" x14ac:dyDescent="0.35">
      <c r="A5082">
        <v>2003</v>
      </c>
      <c r="B5082" s="1">
        <v>45624</v>
      </c>
      <c r="C5082" t="s">
        <v>24</v>
      </c>
      <c r="D5082" s="2">
        <v>2444.5500000000002</v>
      </c>
      <c r="E5082" s="2">
        <v>0</v>
      </c>
      <c r="F5082" t="s">
        <v>8</v>
      </c>
      <c r="G5082" t="s">
        <v>9</v>
      </c>
    </row>
    <row r="5083" spans="1:7" x14ac:dyDescent="0.35">
      <c r="A5083">
        <v>2003</v>
      </c>
      <c r="B5083" s="1">
        <v>45624</v>
      </c>
      <c r="C5083" t="s">
        <v>24</v>
      </c>
      <c r="D5083" s="2">
        <v>0</v>
      </c>
      <c r="E5083" s="2">
        <v>2444.5500000000002</v>
      </c>
      <c r="F5083" t="s">
        <v>13</v>
      </c>
      <c r="G5083" t="s">
        <v>9</v>
      </c>
    </row>
    <row r="5084" spans="1:7" x14ac:dyDescent="0.35">
      <c r="A5084">
        <v>2004</v>
      </c>
      <c r="B5084" s="1">
        <v>45624</v>
      </c>
      <c r="C5084" t="s">
        <v>24</v>
      </c>
      <c r="D5084" s="2">
        <v>3567.41</v>
      </c>
      <c r="E5084" s="2">
        <v>0</v>
      </c>
      <c r="F5084" t="s">
        <v>8</v>
      </c>
      <c r="G5084" t="s">
        <v>9</v>
      </c>
    </row>
    <row r="5085" spans="1:7" x14ac:dyDescent="0.35">
      <c r="A5085">
        <v>2004</v>
      </c>
      <c r="B5085" s="1">
        <v>45624</v>
      </c>
      <c r="C5085" t="s">
        <v>24</v>
      </c>
      <c r="D5085" s="2">
        <v>0</v>
      </c>
      <c r="E5085" s="2">
        <v>3567.41</v>
      </c>
      <c r="F5085" t="s">
        <v>13</v>
      </c>
      <c r="G5085" t="s">
        <v>9</v>
      </c>
    </row>
    <row r="5086" spans="1:7" x14ac:dyDescent="0.35">
      <c r="A5086">
        <v>2005</v>
      </c>
      <c r="B5086" s="1">
        <v>45624</v>
      </c>
      <c r="C5086" t="s">
        <v>24</v>
      </c>
      <c r="D5086" s="2">
        <v>2018.14</v>
      </c>
      <c r="E5086" s="2">
        <v>0</v>
      </c>
      <c r="F5086" t="s">
        <v>8</v>
      </c>
      <c r="G5086" t="s">
        <v>9</v>
      </c>
    </row>
    <row r="5087" spans="1:7" x14ac:dyDescent="0.35">
      <c r="A5087">
        <v>2005</v>
      </c>
      <c r="B5087" s="1">
        <v>45624</v>
      </c>
      <c r="C5087" t="s">
        <v>24</v>
      </c>
      <c r="D5087" s="2">
        <v>0</v>
      </c>
      <c r="E5087" s="2">
        <v>2018.14</v>
      </c>
      <c r="F5087" t="s">
        <v>13</v>
      </c>
      <c r="G5087" t="s">
        <v>9</v>
      </c>
    </row>
    <row r="5088" spans="1:7" x14ac:dyDescent="0.35">
      <c r="A5088">
        <v>2006</v>
      </c>
      <c r="B5088" s="1">
        <v>45624</v>
      </c>
      <c r="C5088" t="s">
        <v>24</v>
      </c>
      <c r="D5088" s="2">
        <v>3478.15</v>
      </c>
      <c r="E5088" s="2">
        <v>0</v>
      </c>
      <c r="F5088" t="s">
        <v>8</v>
      </c>
      <c r="G5088" t="s">
        <v>9</v>
      </c>
    </row>
    <row r="5089" spans="1:7" x14ac:dyDescent="0.35">
      <c r="A5089">
        <v>2006</v>
      </c>
      <c r="B5089" s="1">
        <v>45624</v>
      </c>
      <c r="C5089" t="s">
        <v>24</v>
      </c>
      <c r="D5089" s="2">
        <v>0</v>
      </c>
      <c r="E5089" s="2">
        <v>3478.15</v>
      </c>
      <c r="F5089" t="s">
        <v>13</v>
      </c>
      <c r="G5089" t="s">
        <v>9</v>
      </c>
    </row>
    <row r="5090" spans="1:7" x14ac:dyDescent="0.35">
      <c r="A5090">
        <v>2007</v>
      </c>
      <c r="B5090" s="1">
        <v>45624</v>
      </c>
      <c r="C5090" t="s">
        <v>24</v>
      </c>
      <c r="D5090" s="2">
        <v>1759.75</v>
      </c>
      <c r="E5090" s="2">
        <v>0</v>
      </c>
      <c r="F5090" t="s">
        <v>8</v>
      </c>
      <c r="G5090" t="s">
        <v>9</v>
      </c>
    </row>
    <row r="5091" spans="1:7" x14ac:dyDescent="0.35">
      <c r="A5091">
        <v>2007</v>
      </c>
      <c r="B5091" s="1">
        <v>45624</v>
      </c>
      <c r="C5091" t="s">
        <v>24</v>
      </c>
      <c r="D5091" s="2">
        <v>0</v>
      </c>
      <c r="E5091" s="2">
        <v>1759.75</v>
      </c>
      <c r="F5091" t="s">
        <v>13</v>
      </c>
      <c r="G5091" t="s">
        <v>9</v>
      </c>
    </row>
    <row r="5092" spans="1:7" x14ac:dyDescent="0.35">
      <c r="A5092">
        <v>2008</v>
      </c>
      <c r="B5092" s="1">
        <v>45624</v>
      </c>
      <c r="C5092" t="s">
        <v>29</v>
      </c>
      <c r="D5092" s="2">
        <v>1766.46</v>
      </c>
      <c r="E5092" s="2">
        <v>0</v>
      </c>
      <c r="F5092" t="s">
        <v>28</v>
      </c>
      <c r="G5092" t="s">
        <v>17</v>
      </c>
    </row>
    <row r="5093" spans="1:7" x14ac:dyDescent="0.35">
      <c r="A5093">
        <v>2008</v>
      </c>
      <c r="B5093" s="1">
        <v>45624</v>
      </c>
      <c r="C5093" t="s">
        <v>29</v>
      </c>
      <c r="D5093" s="2">
        <v>0</v>
      </c>
      <c r="E5093" s="2">
        <v>1766.46</v>
      </c>
      <c r="F5093" t="s">
        <v>8</v>
      </c>
      <c r="G5093" t="s">
        <v>9</v>
      </c>
    </row>
    <row r="5094" spans="1:7" x14ac:dyDescent="0.35">
      <c r="A5094">
        <v>2009</v>
      </c>
      <c r="B5094" s="1">
        <v>45625</v>
      </c>
      <c r="C5094" t="s">
        <v>12</v>
      </c>
      <c r="D5094" s="2">
        <v>1547.47</v>
      </c>
      <c r="E5094" s="2">
        <v>0</v>
      </c>
      <c r="F5094" t="s">
        <v>13</v>
      </c>
      <c r="G5094" t="s">
        <v>9</v>
      </c>
    </row>
    <row r="5095" spans="1:7" x14ac:dyDescent="0.35">
      <c r="A5095">
        <v>2009</v>
      </c>
      <c r="B5095" s="1">
        <v>45625</v>
      </c>
      <c r="C5095" t="s">
        <v>12</v>
      </c>
      <c r="D5095" s="2">
        <v>0</v>
      </c>
      <c r="E5095" s="2">
        <v>1439.51</v>
      </c>
      <c r="F5095" t="s">
        <v>14</v>
      </c>
      <c r="G5095" t="s">
        <v>15</v>
      </c>
    </row>
    <row r="5096" spans="1:7" x14ac:dyDescent="0.35">
      <c r="A5096">
        <v>2009</v>
      </c>
      <c r="B5096" s="1">
        <v>45625</v>
      </c>
      <c r="C5096" t="s">
        <v>12</v>
      </c>
      <c r="D5096" s="2">
        <v>0</v>
      </c>
      <c r="E5096" s="2">
        <v>107.96</v>
      </c>
      <c r="F5096" t="s">
        <v>16</v>
      </c>
      <c r="G5096" t="s">
        <v>17</v>
      </c>
    </row>
    <row r="5097" spans="1:7" x14ac:dyDescent="0.35">
      <c r="A5097">
        <v>2010</v>
      </c>
      <c r="B5097" s="1">
        <v>45625</v>
      </c>
      <c r="C5097" t="s">
        <v>12</v>
      </c>
      <c r="D5097" s="2">
        <v>3030.26</v>
      </c>
      <c r="E5097" s="2">
        <v>0</v>
      </c>
      <c r="F5097" t="s">
        <v>13</v>
      </c>
      <c r="G5097" t="s">
        <v>9</v>
      </c>
    </row>
    <row r="5098" spans="1:7" x14ac:dyDescent="0.35">
      <c r="A5098">
        <v>2010</v>
      </c>
      <c r="B5098" s="1">
        <v>45625</v>
      </c>
      <c r="C5098" t="s">
        <v>12</v>
      </c>
      <c r="D5098" s="2">
        <v>0</v>
      </c>
      <c r="E5098" s="2">
        <v>2818.84</v>
      </c>
      <c r="F5098" t="s">
        <v>14</v>
      </c>
      <c r="G5098" t="s">
        <v>15</v>
      </c>
    </row>
    <row r="5099" spans="1:7" x14ac:dyDescent="0.35">
      <c r="A5099">
        <v>2010</v>
      </c>
      <c r="B5099" s="1">
        <v>45625</v>
      </c>
      <c r="C5099" t="s">
        <v>12</v>
      </c>
      <c r="D5099" s="2">
        <v>0</v>
      </c>
      <c r="E5099" s="2">
        <v>211.42</v>
      </c>
      <c r="F5099" t="s">
        <v>16</v>
      </c>
      <c r="G5099" t="s">
        <v>17</v>
      </c>
    </row>
    <row r="5100" spans="1:7" x14ac:dyDescent="0.35">
      <c r="A5100">
        <v>2011</v>
      </c>
      <c r="B5100" s="1">
        <v>45625</v>
      </c>
      <c r="C5100" t="s">
        <v>12</v>
      </c>
      <c r="D5100" s="2">
        <v>2980.83</v>
      </c>
      <c r="E5100" s="2">
        <v>0</v>
      </c>
      <c r="F5100" t="s">
        <v>13</v>
      </c>
      <c r="G5100" t="s">
        <v>9</v>
      </c>
    </row>
    <row r="5101" spans="1:7" x14ac:dyDescent="0.35">
      <c r="A5101">
        <v>2011</v>
      </c>
      <c r="B5101" s="1">
        <v>45625</v>
      </c>
      <c r="C5101" t="s">
        <v>12</v>
      </c>
      <c r="D5101" s="2">
        <v>0</v>
      </c>
      <c r="E5101" s="2">
        <v>2772.87</v>
      </c>
      <c r="F5101" t="s">
        <v>14</v>
      </c>
      <c r="G5101" t="s">
        <v>15</v>
      </c>
    </row>
    <row r="5102" spans="1:7" x14ac:dyDescent="0.35">
      <c r="A5102">
        <v>2011</v>
      </c>
      <c r="B5102" s="1">
        <v>45625</v>
      </c>
      <c r="C5102" t="s">
        <v>12</v>
      </c>
      <c r="D5102" s="2">
        <v>0</v>
      </c>
      <c r="E5102" s="2">
        <v>207.96</v>
      </c>
      <c r="F5102" t="s">
        <v>16</v>
      </c>
      <c r="G5102" t="s">
        <v>17</v>
      </c>
    </row>
    <row r="5103" spans="1:7" x14ac:dyDescent="0.35">
      <c r="A5103">
        <v>2012</v>
      </c>
      <c r="B5103" s="1">
        <v>45625</v>
      </c>
      <c r="C5103" t="s">
        <v>12</v>
      </c>
      <c r="D5103" s="2">
        <v>3369.2</v>
      </c>
      <c r="E5103" s="2">
        <v>0</v>
      </c>
      <c r="F5103" t="s">
        <v>13</v>
      </c>
      <c r="G5103" t="s">
        <v>9</v>
      </c>
    </row>
    <row r="5104" spans="1:7" x14ac:dyDescent="0.35">
      <c r="A5104">
        <v>2012</v>
      </c>
      <c r="B5104" s="1">
        <v>45625</v>
      </c>
      <c r="C5104" t="s">
        <v>12</v>
      </c>
      <c r="D5104" s="2">
        <v>0</v>
      </c>
      <c r="E5104" s="2">
        <v>3134.14</v>
      </c>
      <c r="F5104" t="s">
        <v>14</v>
      </c>
      <c r="G5104" t="s">
        <v>15</v>
      </c>
    </row>
    <row r="5105" spans="1:7" x14ac:dyDescent="0.35">
      <c r="A5105">
        <v>2012</v>
      </c>
      <c r="B5105" s="1">
        <v>45625</v>
      </c>
      <c r="C5105" t="s">
        <v>12</v>
      </c>
      <c r="D5105" s="2">
        <v>0</v>
      </c>
      <c r="E5105" s="2">
        <v>235.06</v>
      </c>
      <c r="F5105" t="s">
        <v>16</v>
      </c>
      <c r="G5105" t="s">
        <v>17</v>
      </c>
    </row>
    <row r="5106" spans="1:7" x14ac:dyDescent="0.35">
      <c r="A5106">
        <v>2013</v>
      </c>
      <c r="B5106" s="1">
        <v>45625</v>
      </c>
      <c r="C5106" t="s">
        <v>12</v>
      </c>
      <c r="D5106" s="2">
        <v>2282.7600000000002</v>
      </c>
      <c r="E5106" s="2">
        <v>0</v>
      </c>
      <c r="F5106" t="s">
        <v>13</v>
      </c>
      <c r="G5106" t="s">
        <v>9</v>
      </c>
    </row>
    <row r="5107" spans="1:7" x14ac:dyDescent="0.35">
      <c r="A5107">
        <v>2013</v>
      </c>
      <c r="B5107" s="1">
        <v>45625</v>
      </c>
      <c r="C5107" t="s">
        <v>12</v>
      </c>
      <c r="D5107" s="2">
        <v>0</v>
      </c>
      <c r="E5107" s="2">
        <v>2123.4899999999998</v>
      </c>
      <c r="F5107" t="s">
        <v>14</v>
      </c>
      <c r="G5107" t="s">
        <v>15</v>
      </c>
    </row>
    <row r="5108" spans="1:7" x14ac:dyDescent="0.35">
      <c r="A5108">
        <v>2013</v>
      </c>
      <c r="B5108" s="1">
        <v>45625</v>
      </c>
      <c r="C5108" t="s">
        <v>12</v>
      </c>
      <c r="D5108" s="2">
        <v>0</v>
      </c>
      <c r="E5108" s="2">
        <v>159.27000000000001</v>
      </c>
      <c r="F5108" t="s">
        <v>16</v>
      </c>
      <c r="G5108" t="s">
        <v>17</v>
      </c>
    </row>
    <row r="5109" spans="1:7" x14ac:dyDescent="0.35">
      <c r="A5109">
        <v>2014</v>
      </c>
      <c r="B5109" s="1">
        <v>45625</v>
      </c>
      <c r="C5109" t="s">
        <v>24</v>
      </c>
      <c r="D5109" s="2">
        <v>2328.31</v>
      </c>
      <c r="E5109" s="2">
        <v>0</v>
      </c>
      <c r="F5109" t="s">
        <v>8</v>
      </c>
      <c r="G5109" t="s">
        <v>9</v>
      </c>
    </row>
    <row r="5110" spans="1:7" x14ac:dyDescent="0.35">
      <c r="A5110">
        <v>2014</v>
      </c>
      <c r="B5110" s="1">
        <v>45625</v>
      </c>
      <c r="C5110" t="s">
        <v>24</v>
      </c>
      <c r="D5110" s="2">
        <v>0</v>
      </c>
      <c r="E5110" s="2">
        <v>2328.31</v>
      </c>
      <c r="F5110" t="s">
        <v>13</v>
      </c>
      <c r="G5110" t="s">
        <v>9</v>
      </c>
    </row>
    <row r="5111" spans="1:7" x14ac:dyDescent="0.35">
      <c r="A5111">
        <v>2015</v>
      </c>
      <c r="B5111" s="1">
        <v>45625</v>
      </c>
      <c r="C5111" t="s">
        <v>24</v>
      </c>
      <c r="D5111" s="2">
        <v>313.52</v>
      </c>
      <c r="E5111" s="2">
        <v>0</v>
      </c>
      <c r="F5111" t="s">
        <v>8</v>
      </c>
      <c r="G5111" t="s">
        <v>9</v>
      </c>
    </row>
    <row r="5112" spans="1:7" x14ac:dyDescent="0.35">
      <c r="A5112">
        <v>2015</v>
      </c>
      <c r="B5112" s="1">
        <v>45625</v>
      </c>
      <c r="C5112" t="s">
        <v>24</v>
      </c>
      <c r="D5112" s="2">
        <v>0</v>
      </c>
      <c r="E5112" s="2">
        <v>313.52</v>
      </c>
      <c r="F5112" t="s">
        <v>13</v>
      </c>
      <c r="G5112" t="s">
        <v>9</v>
      </c>
    </row>
    <row r="5113" spans="1:7" x14ac:dyDescent="0.35">
      <c r="A5113">
        <v>2016</v>
      </c>
      <c r="B5113" s="1">
        <v>45625</v>
      </c>
      <c r="C5113" t="s">
        <v>24</v>
      </c>
      <c r="D5113" s="2">
        <v>1124.22</v>
      </c>
      <c r="E5113" s="2">
        <v>0</v>
      </c>
      <c r="F5113" t="s">
        <v>8</v>
      </c>
      <c r="G5113" t="s">
        <v>9</v>
      </c>
    </row>
    <row r="5114" spans="1:7" x14ac:dyDescent="0.35">
      <c r="A5114">
        <v>2016</v>
      </c>
      <c r="B5114" s="1">
        <v>45625</v>
      </c>
      <c r="C5114" t="s">
        <v>24</v>
      </c>
      <c r="D5114" s="2">
        <v>0</v>
      </c>
      <c r="E5114" s="2">
        <v>1124.22</v>
      </c>
      <c r="F5114" t="s">
        <v>13</v>
      </c>
      <c r="G5114" t="s">
        <v>9</v>
      </c>
    </row>
    <row r="5115" spans="1:7" x14ac:dyDescent="0.35">
      <c r="A5115">
        <v>2017</v>
      </c>
      <c r="B5115" s="1">
        <v>45625</v>
      </c>
      <c r="C5115" t="s">
        <v>24</v>
      </c>
      <c r="D5115" s="2">
        <v>4508.43</v>
      </c>
      <c r="E5115" s="2">
        <v>0</v>
      </c>
      <c r="F5115" t="s">
        <v>8</v>
      </c>
      <c r="G5115" t="s">
        <v>9</v>
      </c>
    </row>
    <row r="5116" spans="1:7" x14ac:dyDescent="0.35">
      <c r="A5116">
        <v>2017</v>
      </c>
      <c r="B5116" s="1">
        <v>45625</v>
      </c>
      <c r="C5116" t="s">
        <v>24</v>
      </c>
      <c r="D5116" s="2">
        <v>0</v>
      </c>
      <c r="E5116" s="2">
        <v>4508.43</v>
      </c>
      <c r="F5116" t="s">
        <v>13</v>
      </c>
      <c r="G5116" t="s">
        <v>9</v>
      </c>
    </row>
    <row r="5117" spans="1:7" x14ac:dyDescent="0.35">
      <c r="A5117">
        <v>2018</v>
      </c>
      <c r="B5117" s="1">
        <v>45625</v>
      </c>
      <c r="C5117" t="s">
        <v>24</v>
      </c>
      <c r="D5117" s="2">
        <v>2246.23</v>
      </c>
      <c r="E5117" s="2">
        <v>0</v>
      </c>
      <c r="F5117" t="s">
        <v>8</v>
      </c>
      <c r="G5117" t="s">
        <v>9</v>
      </c>
    </row>
    <row r="5118" spans="1:7" x14ac:dyDescent="0.35">
      <c r="A5118">
        <v>2018</v>
      </c>
      <c r="B5118" s="1">
        <v>45625</v>
      </c>
      <c r="C5118" t="s">
        <v>24</v>
      </c>
      <c r="D5118" s="2">
        <v>0</v>
      </c>
      <c r="E5118" s="2">
        <v>2246.23</v>
      </c>
      <c r="F5118" t="s">
        <v>13</v>
      </c>
      <c r="G5118" t="s">
        <v>9</v>
      </c>
    </row>
    <row r="5119" spans="1:7" x14ac:dyDescent="0.35">
      <c r="A5119">
        <v>2019</v>
      </c>
      <c r="B5119" s="1">
        <v>45625</v>
      </c>
      <c r="C5119" t="s">
        <v>24</v>
      </c>
      <c r="D5119" s="2">
        <v>428.12</v>
      </c>
      <c r="E5119" s="2">
        <v>0</v>
      </c>
      <c r="F5119" t="s">
        <v>8</v>
      </c>
      <c r="G5119" t="s">
        <v>9</v>
      </c>
    </row>
    <row r="5120" spans="1:7" x14ac:dyDescent="0.35">
      <c r="A5120">
        <v>2019</v>
      </c>
      <c r="B5120" s="1">
        <v>45625</v>
      </c>
      <c r="C5120" t="s">
        <v>24</v>
      </c>
      <c r="D5120" s="2">
        <v>0</v>
      </c>
      <c r="E5120" s="2">
        <v>428.12</v>
      </c>
      <c r="F5120" t="s">
        <v>13</v>
      </c>
      <c r="G5120" t="s">
        <v>9</v>
      </c>
    </row>
    <row r="5121" spans="1:7" x14ac:dyDescent="0.35">
      <c r="A5121">
        <v>2020</v>
      </c>
      <c r="B5121" s="1">
        <v>45625</v>
      </c>
      <c r="C5121" t="s">
        <v>24</v>
      </c>
      <c r="D5121" s="2">
        <v>3068.43</v>
      </c>
      <c r="E5121" s="2">
        <v>0</v>
      </c>
      <c r="F5121" t="s">
        <v>8</v>
      </c>
      <c r="G5121" t="s">
        <v>9</v>
      </c>
    </row>
    <row r="5122" spans="1:7" x14ac:dyDescent="0.35">
      <c r="A5122">
        <v>2020</v>
      </c>
      <c r="B5122" s="1">
        <v>45625</v>
      </c>
      <c r="C5122" t="s">
        <v>24</v>
      </c>
      <c r="D5122" s="2">
        <v>0</v>
      </c>
      <c r="E5122" s="2">
        <v>3068.43</v>
      </c>
      <c r="F5122" t="s">
        <v>13</v>
      </c>
      <c r="G5122" t="s">
        <v>9</v>
      </c>
    </row>
    <row r="5123" spans="1:7" x14ac:dyDescent="0.35">
      <c r="A5123">
        <v>2021</v>
      </c>
      <c r="B5123" s="1">
        <v>45625</v>
      </c>
      <c r="C5123" t="s">
        <v>25</v>
      </c>
      <c r="D5123" s="2">
        <v>257.04000000000002</v>
      </c>
      <c r="E5123" s="2">
        <v>0</v>
      </c>
      <c r="F5123" t="s">
        <v>26</v>
      </c>
      <c r="G5123" t="s">
        <v>20</v>
      </c>
    </row>
    <row r="5124" spans="1:7" x14ac:dyDescent="0.35">
      <c r="A5124">
        <v>2021</v>
      </c>
      <c r="B5124" s="1">
        <v>45625</v>
      </c>
      <c r="C5124" t="s">
        <v>25</v>
      </c>
      <c r="D5124" s="2">
        <v>19.28</v>
      </c>
      <c r="E5124" s="2">
        <v>0</v>
      </c>
      <c r="F5124" t="s">
        <v>27</v>
      </c>
      <c r="G5124" t="s">
        <v>9</v>
      </c>
    </row>
    <row r="5125" spans="1:7" x14ac:dyDescent="0.35">
      <c r="A5125">
        <v>2021</v>
      </c>
      <c r="B5125" s="1">
        <v>45625</v>
      </c>
      <c r="C5125" t="s">
        <v>25</v>
      </c>
      <c r="D5125" s="2">
        <v>0</v>
      </c>
      <c r="E5125" s="2">
        <v>276.32</v>
      </c>
      <c r="F5125" t="s">
        <v>28</v>
      </c>
      <c r="G5125" t="s">
        <v>17</v>
      </c>
    </row>
    <row r="5126" spans="1:7" x14ac:dyDescent="0.35">
      <c r="A5126">
        <v>2022</v>
      </c>
      <c r="B5126" s="1">
        <v>45625</v>
      </c>
      <c r="C5126" t="s">
        <v>29</v>
      </c>
      <c r="D5126" s="2">
        <v>2093.2800000000002</v>
      </c>
      <c r="E5126" s="2">
        <v>0</v>
      </c>
      <c r="F5126" t="s">
        <v>28</v>
      </c>
      <c r="G5126" t="s">
        <v>17</v>
      </c>
    </row>
    <row r="5127" spans="1:7" x14ac:dyDescent="0.35">
      <c r="A5127">
        <v>2022</v>
      </c>
      <c r="B5127" s="1">
        <v>45625</v>
      </c>
      <c r="C5127" t="s">
        <v>29</v>
      </c>
      <c r="D5127" s="2">
        <v>0</v>
      </c>
      <c r="E5127" s="2">
        <v>2093.2800000000002</v>
      </c>
      <c r="F5127" t="s">
        <v>8</v>
      </c>
      <c r="G5127" t="s">
        <v>9</v>
      </c>
    </row>
    <row r="5128" spans="1:7" x14ac:dyDescent="0.35">
      <c r="A5128">
        <v>2023</v>
      </c>
      <c r="B5128" s="1">
        <v>45625</v>
      </c>
      <c r="C5128" t="s">
        <v>29</v>
      </c>
      <c r="D5128" s="2">
        <v>276.32</v>
      </c>
      <c r="E5128" s="2">
        <v>0</v>
      </c>
      <c r="F5128" t="s">
        <v>28</v>
      </c>
      <c r="G5128" t="s">
        <v>17</v>
      </c>
    </row>
    <row r="5129" spans="1:7" x14ac:dyDescent="0.35">
      <c r="A5129">
        <v>2023</v>
      </c>
      <c r="B5129" s="1">
        <v>45625</v>
      </c>
      <c r="C5129" t="s">
        <v>29</v>
      </c>
      <c r="D5129" s="2">
        <v>0</v>
      </c>
      <c r="E5129" s="2">
        <v>276.32</v>
      </c>
      <c r="F5129" t="s">
        <v>8</v>
      </c>
      <c r="G5129" t="s">
        <v>9</v>
      </c>
    </row>
    <row r="5130" spans="1:7" x14ac:dyDescent="0.35">
      <c r="A5130">
        <v>2024</v>
      </c>
      <c r="B5130" s="1">
        <v>45626</v>
      </c>
      <c r="C5130" t="s">
        <v>30</v>
      </c>
      <c r="D5130" s="2">
        <v>93.61</v>
      </c>
      <c r="E5130" s="2">
        <v>0</v>
      </c>
      <c r="F5130" t="s">
        <v>31</v>
      </c>
      <c r="G5130" t="s">
        <v>20</v>
      </c>
    </row>
    <row r="5131" spans="1:7" x14ac:dyDescent="0.35">
      <c r="A5131">
        <v>2024</v>
      </c>
      <c r="B5131" s="1">
        <v>45626</v>
      </c>
      <c r="C5131" t="s">
        <v>30</v>
      </c>
      <c r="D5131" s="2">
        <v>0</v>
      </c>
      <c r="E5131" s="2">
        <v>93.61</v>
      </c>
      <c r="F5131" t="s">
        <v>32</v>
      </c>
      <c r="G5131" t="s">
        <v>9</v>
      </c>
    </row>
    <row r="5132" spans="1:7" x14ac:dyDescent="0.35">
      <c r="A5132">
        <v>2025</v>
      </c>
      <c r="B5132" s="1">
        <v>45626</v>
      </c>
      <c r="C5132" t="s">
        <v>33</v>
      </c>
      <c r="D5132" s="2">
        <v>76.86</v>
      </c>
      <c r="E5132" s="2">
        <v>0</v>
      </c>
      <c r="F5132" t="s">
        <v>31</v>
      </c>
      <c r="G5132" t="s">
        <v>20</v>
      </c>
    </row>
    <row r="5133" spans="1:7" x14ac:dyDescent="0.35">
      <c r="A5133">
        <v>2025</v>
      </c>
      <c r="B5133" s="1">
        <v>45626</v>
      </c>
      <c r="C5133" t="s">
        <v>33</v>
      </c>
      <c r="D5133" s="2">
        <v>0</v>
      </c>
      <c r="E5133" s="2">
        <v>76.86</v>
      </c>
      <c r="F5133" t="s">
        <v>32</v>
      </c>
      <c r="G5133" t="s">
        <v>9</v>
      </c>
    </row>
    <row r="5134" spans="1:7" x14ac:dyDescent="0.35">
      <c r="A5134">
        <v>2026</v>
      </c>
      <c r="B5134" s="1">
        <v>45626</v>
      </c>
      <c r="C5134" t="s">
        <v>34</v>
      </c>
      <c r="D5134" s="2">
        <v>20.03</v>
      </c>
      <c r="E5134" s="2">
        <v>0</v>
      </c>
      <c r="F5134" t="s">
        <v>31</v>
      </c>
      <c r="G5134" t="s">
        <v>20</v>
      </c>
    </row>
    <row r="5135" spans="1:7" x14ac:dyDescent="0.35">
      <c r="A5135">
        <v>2026</v>
      </c>
      <c r="B5135" s="1">
        <v>45626</v>
      </c>
      <c r="C5135" t="s">
        <v>34</v>
      </c>
      <c r="D5135" s="2">
        <v>0</v>
      </c>
      <c r="E5135" s="2">
        <v>20.03</v>
      </c>
      <c r="F5135" t="s">
        <v>32</v>
      </c>
      <c r="G5135" t="s">
        <v>9</v>
      </c>
    </row>
    <row r="5136" spans="1:7" x14ac:dyDescent="0.35">
      <c r="A5136">
        <v>2027</v>
      </c>
      <c r="B5136" s="1">
        <v>45626</v>
      </c>
      <c r="C5136" t="s">
        <v>35</v>
      </c>
      <c r="D5136" s="2">
        <v>86.89</v>
      </c>
      <c r="E5136" s="2">
        <v>0</v>
      </c>
      <c r="F5136" t="s">
        <v>31</v>
      </c>
      <c r="G5136" t="s">
        <v>20</v>
      </c>
    </row>
    <row r="5137" spans="1:7" x14ac:dyDescent="0.35">
      <c r="A5137">
        <v>2027</v>
      </c>
      <c r="B5137" s="1">
        <v>45626</v>
      </c>
      <c r="C5137" t="s">
        <v>35</v>
      </c>
      <c r="D5137" s="2">
        <v>0</v>
      </c>
      <c r="E5137" s="2">
        <v>86.89</v>
      </c>
      <c r="F5137" t="s">
        <v>36</v>
      </c>
      <c r="G5137" t="s">
        <v>9</v>
      </c>
    </row>
    <row r="5138" spans="1:7" x14ac:dyDescent="0.35">
      <c r="A5138">
        <v>2028</v>
      </c>
      <c r="B5138" s="1">
        <v>45626</v>
      </c>
      <c r="C5138" t="s">
        <v>37</v>
      </c>
      <c r="D5138" s="2">
        <v>76.8</v>
      </c>
      <c r="E5138" s="2">
        <v>0</v>
      </c>
      <c r="F5138" t="s">
        <v>31</v>
      </c>
      <c r="G5138" t="s">
        <v>20</v>
      </c>
    </row>
    <row r="5139" spans="1:7" x14ac:dyDescent="0.35">
      <c r="A5139">
        <v>2028</v>
      </c>
      <c r="B5139" s="1">
        <v>45626</v>
      </c>
      <c r="C5139" t="s">
        <v>37</v>
      </c>
      <c r="D5139" s="2">
        <v>0</v>
      </c>
      <c r="E5139" s="2">
        <v>76.8</v>
      </c>
      <c r="F5139" t="s">
        <v>36</v>
      </c>
      <c r="G5139" t="s">
        <v>9</v>
      </c>
    </row>
    <row r="5140" spans="1:7" x14ac:dyDescent="0.35">
      <c r="A5140">
        <v>2029</v>
      </c>
      <c r="B5140" s="1">
        <v>45626</v>
      </c>
      <c r="C5140" t="s">
        <v>38</v>
      </c>
      <c r="D5140" s="2">
        <v>48.28</v>
      </c>
      <c r="E5140" s="2">
        <v>0</v>
      </c>
      <c r="F5140" t="s">
        <v>31</v>
      </c>
      <c r="G5140" t="s">
        <v>20</v>
      </c>
    </row>
    <row r="5141" spans="1:7" x14ac:dyDescent="0.35">
      <c r="A5141">
        <v>2029</v>
      </c>
      <c r="B5141" s="1">
        <v>45626</v>
      </c>
      <c r="C5141" t="s">
        <v>38</v>
      </c>
      <c r="D5141" s="2">
        <v>0</v>
      </c>
      <c r="E5141" s="2">
        <v>48.28</v>
      </c>
      <c r="F5141" t="s">
        <v>36</v>
      </c>
      <c r="G5141" t="s">
        <v>9</v>
      </c>
    </row>
    <row r="5142" spans="1:7" x14ac:dyDescent="0.35">
      <c r="A5142">
        <v>2030</v>
      </c>
      <c r="B5142" s="1">
        <v>45626</v>
      </c>
      <c r="C5142" t="s">
        <v>39</v>
      </c>
      <c r="D5142" s="2">
        <v>53.21</v>
      </c>
      <c r="E5142" s="2">
        <v>0</v>
      </c>
      <c r="F5142" t="s">
        <v>31</v>
      </c>
      <c r="G5142" t="s">
        <v>20</v>
      </c>
    </row>
    <row r="5143" spans="1:7" x14ac:dyDescent="0.35">
      <c r="A5143">
        <v>2030</v>
      </c>
      <c r="B5143" s="1">
        <v>45626</v>
      </c>
      <c r="C5143" t="s">
        <v>39</v>
      </c>
      <c r="D5143" s="2">
        <v>0</v>
      </c>
      <c r="E5143" s="2">
        <v>53.21</v>
      </c>
      <c r="F5143" t="s">
        <v>36</v>
      </c>
      <c r="G5143" t="s">
        <v>9</v>
      </c>
    </row>
    <row r="5144" spans="1:7" x14ac:dyDescent="0.35">
      <c r="A5144">
        <v>2031</v>
      </c>
      <c r="B5144" s="1">
        <v>45626</v>
      </c>
      <c r="C5144" t="s">
        <v>40</v>
      </c>
      <c r="D5144" s="2">
        <v>232.19</v>
      </c>
      <c r="E5144" s="2">
        <v>0</v>
      </c>
      <c r="F5144" t="s">
        <v>31</v>
      </c>
      <c r="G5144" t="s">
        <v>20</v>
      </c>
    </row>
    <row r="5145" spans="1:7" x14ac:dyDescent="0.35">
      <c r="A5145">
        <v>2031</v>
      </c>
      <c r="B5145" s="1">
        <v>45626</v>
      </c>
      <c r="C5145" t="s">
        <v>40</v>
      </c>
      <c r="D5145" s="2">
        <v>0</v>
      </c>
      <c r="E5145" s="2">
        <v>232.19</v>
      </c>
      <c r="F5145" t="s">
        <v>41</v>
      </c>
      <c r="G5145" t="s">
        <v>9</v>
      </c>
    </row>
    <row r="5146" spans="1:7" x14ac:dyDescent="0.35">
      <c r="A5146">
        <v>2032</v>
      </c>
      <c r="B5146" s="1">
        <v>45626</v>
      </c>
      <c r="C5146" t="s">
        <v>42</v>
      </c>
      <c r="D5146" s="2">
        <v>43.85</v>
      </c>
      <c r="E5146" s="2">
        <v>0</v>
      </c>
      <c r="F5146" t="s">
        <v>31</v>
      </c>
      <c r="G5146" t="s">
        <v>20</v>
      </c>
    </row>
    <row r="5147" spans="1:7" x14ac:dyDescent="0.35">
      <c r="A5147">
        <v>2032</v>
      </c>
      <c r="B5147" s="1">
        <v>45626</v>
      </c>
      <c r="C5147" t="s">
        <v>42</v>
      </c>
      <c r="D5147" s="2">
        <v>0</v>
      </c>
      <c r="E5147" s="2">
        <v>43.85</v>
      </c>
      <c r="F5147" t="s">
        <v>32</v>
      </c>
      <c r="G5147" t="s">
        <v>9</v>
      </c>
    </row>
    <row r="5148" spans="1:7" x14ac:dyDescent="0.35">
      <c r="A5148">
        <v>2033</v>
      </c>
      <c r="B5148" s="1">
        <v>45628</v>
      </c>
      <c r="C5148" t="s">
        <v>12</v>
      </c>
      <c r="D5148" s="2">
        <v>1671.65</v>
      </c>
      <c r="E5148" s="2">
        <v>0</v>
      </c>
      <c r="F5148" t="s">
        <v>13</v>
      </c>
      <c r="G5148" t="s">
        <v>9</v>
      </c>
    </row>
    <row r="5149" spans="1:7" x14ac:dyDescent="0.35">
      <c r="A5149">
        <v>2033</v>
      </c>
      <c r="B5149" s="1">
        <v>45628</v>
      </c>
      <c r="C5149" t="s">
        <v>12</v>
      </c>
      <c r="D5149" s="2">
        <v>0</v>
      </c>
      <c r="E5149" s="2">
        <v>1555.02</v>
      </c>
      <c r="F5149" t="s">
        <v>14</v>
      </c>
      <c r="G5149" t="s">
        <v>15</v>
      </c>
    </row>
    <row r="5150" spans="1:7" x14ac:dyDescent="0.35">
      <c r="A5150">
        <v>2033</v>
      </c>
      <c r="B5150" s="1">
        <v>45628</v>
      </c>
      <c r="C5150" t="s">
        <v>12</v>
      </c>
      <c r="D5150" s="2">
        <v>0</v>
      </c>
      <c r="E5150" s="2">
        <v>116.63</v>
      </c>
      <c r="F5150" t="s">
        <v>16</v>
      </c>
      <c r="G5150" t="s">
        <v>17</v>
      </c>
    </row>
    <row r="5151" spans="1:7" x14ac:dyDescent="0.35">
      <c r="A5151">
        <v>2034</v>
      </c>
      <c r="B5151" s="1">
        <v>45628</v>
      </c>
      <c r="C5151" t="s">
        <v>12</v>
      </c>
      <c r="D5151" s="2">
        <v>805.75</v>
      </c>
      <c r="E5151" s="2">
        <v>0</v>
      </c>
      <c r="F5151" t="s">
        <v>13</v>
      </c>
      <c r="G5151" t="s">
        <v>9</v>
      </c>
    </row>
    <row r="5152" spans="1:7" x14ac:dyDescent="0.35">
      <c r="A5152">
        <v>2034</v>
      </c>
      <c r="B5152" s="1">
        <v>45628</v>
      </c>
      <c r="C5152" t="s">
        <v>12</v>
      </c>
      <c r="D5152" s="2">
        <v>0</v>
      </c>
      <c r="E5152" s="2">
        <v>749.53</v>
      </c>
      <c r="F5152" t="s">
        <v>14</v>
      </c>
      <c r="G5152" t="s">
        <v>15</v>
      </c>
    </row>
    <row r="5153" spans="1:7" x14ac:dyDescent="0.35">
      <c r="A5153">
        <v>2034</v>
      </c>
      <c r="B5153" s="1">
        <v>45628</v>
      </c>
      <c r="C5153" t="s">
        <v>12</v>
      </c>
      <c r="D5153" s="2">
        <v>0</v>
      </c>
      <c r="E5153" s="2">
        <v>56.22</v>
      </c>
      <c r="F5153" t="s">
        <v>16</v>
      </c>
      <c r="G5153" t="s">
        <v>17</v>
      </c>
    </row>
    <row r="5154" spans="1:7" x14ac:dyDescent="0.35">
      <c r="A5154">
        <v>2035</v>
      </c>
      <c r="B5154" s="1">
        <v>45628</v>
      </c>
      <c r="C5154" t="s">
        <v>12</v>
      </c>
      <c r="D5154" s="2">
        <v>4760.75</v>
      </c>
      <c r="E5154" s="2">
        <v>0</v>
      </c>
      <c r="F5154" t="s">
        <v>13</v>
      </c>
      <c r="G5154" t="s">
        <v>9</v>
      </c>
    </row>
    <row r="5155" spans="1:7" x14ac:dyDescent="0.35">
      <c r="A5155">
        <v>2035</v>
      </c>
      <c r="B5155" s="1">
        <v>45628</v>
      </c>
      <c r="C5155" t="s">
        <v>12</v>
      </c>
      <c r="D5155" s="2">
        <v>0</v>
      </c>
      <c r="E5155" s="2">
        <v>4428.6000000000004</v>
      </c>
      <c r="F5155" t="s">
        <v>14</v>
      </c>
      <c r="G5155" t="s">
        <v>15</v>
      </c>
    </row>
    <row r="5156" spans="1:7" x14ac:dyDescent="0.35">
      <c r="A5156">
        <v>2035</v>
      </c>
      <c r="B5156" s="1">
        <v>45628</v>
      </c>
      <c r="C5156" t="s">
        <v>12</v>
      </c>
      <c r="D5156" s="2">
        <v>0</v>
      </c>
      <c r="E5156" s="2">
        <v>332.15</v>
      </c>
      <c r="F5156" t="s">
        <v>16</v>
      </c>
      <c r="G5156" t="s">
        <v>17</v>
      </c>
    </row>
    <row r="5157" spans="1:7" x14ac:dyDescent="0.35">
      <c r="A5157">
        <v>2036</v>
      </c>
      <c r="B5157" s="1">
        <v>45628</v>
      </c>
      <c r="C5157" t="s">
        <v>24</v>
      </c>
      <c r="D5157" s="2">
        <v>2953.59</v>
      </c>
      <c r="E5157" s="2">
        <v>0</v>
      </c>
      <c r="F5157" t="s">
        <v>8</v>
      </c>
      <c r="G5157" t="s">
        <v>9</v>
      </c>
    </row>
    <row r="5158" spans="1:7" x14ac:dyDescent="0.35">
      <c r="A5158">
        <v>2036</v>
      </c>
      <c r="B5158" s="1">
        <v>45628</v>
      </c>
      <c r="C5158" t="s">
        <v>24</v>
      </c>
      <c r="D5158" s="2">
        <v>0</v>
      </c>
      <c r="E5158" s="2">
        <v>2953.59</v>
      </c>
      <c r="F5158" t="s">
        <v>13</v>
      </c>
      <c r="G5158" t="s">
        <v>9</v>
      </c>
    </row>
    <row r="5159" spans="1:7" x14ac:dyDescent="0.35">
      <c r="A5159">
        <v>2037</v>
      </c>
      <c r="B5159" s="1">
        <v>45628</v>
      </c>
      <c r="C5159" t="s">
        <v>24</v>
      </c>
      <c r="D5159" s="2">
        <v>2540.92</v>
      </c>
      <c r="E5159" s="2">
        <v>0</v>
      </c>
      <c r="F5159" t="s">
        <v>8</v>
      </c>
      <c r="G5159" t="s">
        <v>9</v>
      </c>
    </row>
    <row r="5160" spans="1:7" x14ac:dyDescent="0.35">
      <c r="A5160">
        <v>2037</v>
      </c>
      <c r="B5160" s="1">
        <v>45628</v>
      </c>
      <c r="C5160" t="s">
        <v>24</v>
      </c>
      <c r="D5160" s="2">
        <v>0</v>
      </c>
      <c r="E5160" s="2">
        <v>2540.92</v>
      </c>
      <c r="F5160" t="s">
        <v>13</v>
      </c>
      <c r="G5160" t="s">
        <v>9</v>
      </c>
    </row>
    <row r="5161" spans="1:7" x14ac:dyDescent="0.35">
      <c r="A5161">
        <v>2038</v>
      </c>
      <c r="B5161" s="1">
        <v>45628</v>
      </c>
      <c r="C5161" t="s">
        <v>24</v>
      </c>
      <c r="D5161" s="2">
        <v>838.86</v>
      </c>
      <c r="E5161" s="2">
        <v>0</v>
      </c>
      <c r="F5161" t="s">
        <v>8</v>
      </c>
      <c r="G5161" t="s">
        <v>9</v>
      </c>
    </row>
    <row r="5162" spans="1:7" x14ac:dyDescent="0.35">
      <c r="A5162">
        <v>2038</v>
      </c>
      <c r="B5162" s="1">
        <v>45628</v>
      </c>
      <c r="C5162" t="s">
        <v>24</v>
      </c>
      <c r="D5162" s="2">
        <v>0</v>
      </c>
      <c r="E5162" s="2">
        <v>838.86</v>
      </c>
      <c r="F5162" t="s">
        <v>13</v>
      </c>
      <c r="G5162" t="s">
        <v>9</v>
      </c>
    </row>
    <row r="5163" spans="1:7" x14ac:dyDescent="0.35">
      <c r="A5163">
        <v>2039</v>
      </c>
      <c r="B5163" s="1">
        <v>45628</v>
      </c>
      <c r="C5163" t="s">
        <v>24</v>
      </c>
      <c r="D5163" s="2">
        <v>2219.14</v>
      </c>
      <c r="E5163" s="2">
        <v>0</v>
      </c>
      <c r="F5163" t="s">
        <v>8</v>
      </c>
      <c r="G5163" t="s">
        <v>9</v>
      </c>
    </row>
    <row r="5164" spans="1:7" x14ac:dyDescent="0.35">
      <c r="A5164">
        <v>2039</v>
      </c>
      <c r="B5164" s="1">
        <v>45628</v>
      </c>
      <c r="C5164" t="s">
        <v>24</v>
      </c>
      <c r="D5164" s="2">
        <v>0</v>
      </c>
      <c r="E5164" s="2">
        <v>2219.14</v>
      </c>
      <c r="F5164" t="s">
        <v>13</v>
      </c>
      <c r="G5164" t="s">
        <v>9</v>
      </c>
    </row>
    <row r="5165" spans="1:7" x14ac:dyDescent="0.35">
      <c r="A5165">
        <v>2040</v>
      </c>
      <c r="B5165" s="1">
        <v>45628</v>
      </c>
      <c r="C5165" t="s">
        <v>24</v>
      </c>
      <c r="D5165" s="2">
        <v>2282.7600000000002</v>
      </c>
      <c r="E5165" s="2">
        <v>0</v>
      </c>
      <c r="F5165" t="s">
        <v>8</v>
      </c>
      <c r="G5165" t="s">
        <v>9</v>
      </c>
    </row>
    <row r="5166" spans="1:7" x14ac:dyDescent="0.35">
      <c r="A5166">
        <v>2040</v>
      </c>
      <c r="B5166" s="1">
        <v>45628</v>
      </c>
      <c r="C5166" t="s">
        <v>24</v>
      </c>
      <c r="D5166" s="2">
        <v>0</v>
      </c>
      <c r="E5166" s="2">
        <v>2282.7600000000002</v>
      </c>
      <c r="F5166" t="s">
        <v>13</v>
      </c>
      <c r="G5166" t="s">
        <v>9</v>
      </c>
    </row>
    <row r="5167" spans="1:7" x14ac:dyDescent="0.35">
      <c r="A5167">
        <v>2041</v>
      </c>
      <c r="B5167" s="1">
        <v>45628</v>
      </c>
      <c r="C5167" t="s">
        <v>25</v>
      </c>
      <c r="D5167" s="2">
        <v>952.02</v>
      </c>
      <c r="E5167" s="2">
        <v>0</v>
      </c>
      <c r="F5167" t="s">
        <v>26</v>
      </c>
      <c r="G5167" t="s">
        <v>20</v>
      </c>
    </row>
    <row r="5168" spans="1:7" x14ac:dyDescent="0.35">
      <c r="A5168">
        <v>2041</v>
      </c>
      <c r="B5168" s="1">
        <v>45628</v>
      </c>
      <c r="C5168" t="s">
        <v>25</v>
      </c>
      <c r="D5168" s="2">
        <v>71.400000000000006</v>
      </c>
      <c r="E5168" s="2">
        <v>0</v>
      </c>
      <c r="F5168" t="s">
        <v>27</v>
      </c>
      <c r="G5168" t="s">
        <v>9</v>
      </c>
    </row>
    <row r="5169" spans="1:7" x14ac:dyDescent="0.35">
      <c r="A5169">
        <v>2041</v>
      </c>
      <c r="B5169" s="1">
        <v>45628</v>
      </c>
      <c r="C5169" t="s">
        <v>25</v>
      </c>
      <c r="D5169" s="2">
        <v>0</v>
      </c>
      <c r="E5169" s="2">
        <v>1023.42</v>
      </c>
      <c r="F5169" t="s">
        <v>28</v>
      </c>
      <c r="G5169" t="s">
        <v>17</v>
      </c>
    </row>
    <row r="5170" spans="1:7" x14ac:dyDescent="0.35">
      <c r="A5170">
        <v>2042</v>
      </c>
      <c r="B5170" s="1">
        <v>45628</v>
      </c>
      <c r="C5170" t="s">
        <v>25</v>
      </c>
      <c r="D5170" s="2">
        <v>1800.04</v>
      </c>
      <c r="E5170" s="2">
        <v>0</v>
      </c>
      <c r="F5170" t="s">
        <v>26</v>
      </c>
      <c r="G5170" t="s">
        <v>20</v>
      </c>
    </row>
    <row r="5171" spans="1:7" x14ac:dyDescent="0.35">
      <c r="A5171">
        <v>2042</v>
      </c>
      <c r="B5171" s="1">
        <v>45628</v>
      </c>
      <c r="C5171" t="s">
        <v>25</v>
      </c>
      <c r="D5171" s="2">
        <v>135</v>
      </c>
      <c r="E5171" s="2">
        <v>0</v>
      </c>
      <c r="F5171" t="s">
        <v>27</v>
      </c>
      <c r="G5171" t="s">
        <v>9</v>
      </c>
    </row>
    <row r="5172" spans="1:7" x14ac:dyDescent="0.35">
      <c r="A5172">
        <v>2042</v>
      </c>
      <c r="B5172" s="1">
        <v>45628</v>
      </c>
      <c r="C5172" t="s">
        <v>25</v>
      </c>
      <c r="D5172" s="2">
        <v>0</v>
      </c>
      <c r="E5172" s="2">
        <v>1935.04</v>
      </c>
      <c r="F5172" t="s">
        <v>28</v>
      </c>
      <c r="G5172" t="s">
        <v>17</v>
      </c>
    </row>
    <row r="5173" spans="1:7" x14ac:dyDescent="0.35">
      <c r="A5173">
        <v>2043</v>
      </c>
      <c r="B5173" s="1">
        <v>45628</v>
      </c>
      <c r="C5173" t="s">
        <v>25</v>
      </c>
      <c r="D5173" s="2">
        <v>696.06</v>
      </c>
      <c r="E5173" s="2">
        <v>0</v>
      </c>
      <c r="F5173" t="s">
        <v>26</v>
      </c>
      <c r="G5173" t="s">
        <v>20</v>
      </c>
    </row>
    <row r="5174" spans="1:7" x14ac:dyDescent="0.35">
      <c r="A5174">
        <v>2043</v>
      </c>
      <c r="B5174" s="1">
        <v>45628</v>
      </c>
      <c r="C5174" t="s">
        <v>25</v>
      </c>
      <c r="D5174" s="2">
        <v>52.2</v>
      </c>
      <c r="E5174" s="2">
        <v>0</v>
      </c>
      <c r="F5174" t="s">
        <v>27</v>
      </c>
      <c r="G5174" t="s">
        <v>9</v>
      </c>
    </row>
    <row r="5175" spans="1:7" x14ac:dyDescent="0.35">
      <c r="A5175">
        <v>2043</v>
      </c>
      <c r="B5175" s="1">
        <v>45628</v>
      </c>
      <c r="C5175" t="s">
        <v>25</v>
      </c>
      <c r="D5175" s="2">
        <v>0</v>
      </c>
      <c r="E5175" s="2">
        <v>748.26</v>
      </c>
      <c r="F5175" t="s">
        <v>28</v>
      </c>
      <c r="G5175" t="s">
        <v>17</v>
      </c>
    </row>
    <row r="5176" spans="1:7" x14ac:dyDescent="0.35">
      <c r="A5176">
        <v>2044</v>
      </c>
      <c r="B5176" s="1">
        <v>45628</v>
      </c>
      <c r="C5176" t="s">
        <v>25</v>
      </c>
      <c r="D5176" s="2">
        <v>166.52</v>
      </c>
      <c r="E5176" s="2">
        <v>0</v>
      </c>
      <c r="F5176" t="s">
        <v>26</v>
      </c>
      <c r="G5176" t="s">
        <v>20</v>
      </c>
    </row>
    <row r="5177" spans="1:7" x14ac:dyDescent="0.35">
      <c r="A5177">
        <v>2044</v>
      </c>
      <c r="B5177" s="1">
        <v>45628</v>
      </c>
      <c r="C5177" t="s">
        <v>25</v>
      </c>
      <c r="D5177" s="2">
        <v>12.49</v>
      </c>
      <c r="E5177" s="2">
        <v>0</v>
      </c>
      <c r="F5177" t="s">
        <v>27</v>
      </c>
      <c r="G5177" t="s">
        <v>9</v>
      </c>
    </row>
    <row r="5178" spans="1:7" x14ac:dyDescent="0.35">
      <c r="A5178">
        <v>2044</v>
      </c>
      <c r="B5178" s="1">
        <v>45628</v>
      </c>
      <c r="C5178" t="s">
        <v>25</v>
      </c>
      <c r="D5178" s="2">
        <v>0</v>
      </c>
      <c r="E5178" s="2">
        <v>179.01</v>
      </c>
      <c r="F5178" t="s">
        <v>28</v>
      </c>
      <c r="G5178" t="s">
        <v>17</v>
      </c>
    </row>
    <row r="5179" spans="1:7" x14ac:dyDescent="0.35">
      <c r="A5179">
        <v>2045</v>
      </c>
      <c r="B5179" s="1">
        <v>45628</v>
      </c>
      <c r="C5179" t="s">
        <v>25</v>
      </c>
      <c r="D5179" s="2">
        <v>4476.71</v>
      </c>
      <c r="E5179" s="2">
        <v>0</v>
      </c>
      <c r="F5179" t="s">
        <v>26</v>
      </c>
      <c r="G5179" t="s">
        <v>20</v>
      </c>
    </row>
    <row r="5180" spans="1:7" x14ac:dyDescent="0.35">
      <c r="A5180">
        <v>2045</v>
      </c>
      <c r="B5180" s="1">
        <v>45628</v>
      </c>
      <c r="C5180" t="s">
        <v>25</v>
      </c>
      <c r="D5180" s="2">
        <v>335.75</v>
      </c>
      <c r="E5180" s="2">
        <v>0</v>
      </c>
      <c r="F5180" t="s">
        <v>27</v>
      </c>
      <c r="G5180" t="s">
        <v>9</v>
      </c>
    </row>
    <row r="5181" spans="1:7" x14ac:dyDescent="0.35">
      <c r="A5181">
        <v>2045</v>
      </c>
      <c r="B5181" s="1">
        <v>45628</v>
      </c>
      <c r="C5181" t="s">
        <v>25</v>
      </c>
      <c r="D5181" s="2">
        <v>0</v>
      </c>
      <c r="E5181" s="2">
        <v>4812.46</v>
      </c>
      <c r="F5181" t="s">
        <v>28</v>
      </c>
      <c r="G5181" t="s">
        <v>17</v>
      </c>
    </row>
    <row r="5182" spans="1:7" x14ac:dyDescent="0.35">
      <c r="A5182">
        <v>2046</v>
      </c>
      <c r="B5182" s="1">
        <v>45628</v>
      </c>
      <c r="C5182" t="s">
        <v>25</v>
      </c>
      <c r="D5182" s="2">
        <v>1643.22</v>
      </c>
      <c r="E5182" s="2">
        <v>0</v>
      </c>
      <c r="F5182" t="s">
        <v>26</v>
      </c>
      <c r="G5182" t="s">
        <v>20</v>
      </c>
    </row>
    <row r="5183" spans="1:7" x14ac:dyDescent="0.35">
      <c r="A5183">
        <v>2046</v>
      </c>
      <c r="B5183" s="1">
        <v>45628</v>
      </c>
      <c r="C5183" t="s">
        <v>25</v>
      </c>
      <c r="D5183" s="2">
        <v>123.24</v>
      </c>
      <c r="E5183" s="2">
        <v>0</v>
      </c>
      <c r="F5183" t="s">
        <v>27</v>
      </c>
      <c r="G5183" t="s">
        <v>9</v>
      </c>
    </row>
    <row r="5184" spans="1:7" x14ac:dyDescent="0.35">
      <c r="A5184">
        <v>2046</v>
      </c>
      <c r="B5184" s="1">
        <v>45628</v>
      </c>
      <c r="C5184" t="s">
        <v>25</v>
      </c>
      <c r="D5184" s="2">
        <v>0</v>
      </c>
      <c r="E5184" s="2">
        <v>1766.46</v>
      </c>
      <c r="F5184" t="s">
        <v>28</v>
      </c>
      <c r="G5184" t="s">
        <v>17</v>
      </c>
    </row>
    <row r="5185" spans="1:7" x14ac:dyDescent="0.35">
      <c r="A5185">
        <v>2047</v>
      </c>
      <c r="B5185" s="1">
        <v>45628</v>
      </c>
      <c r="C5185" t="s">
        <v>25</v>
      </c>
      <c r="D5185" s="2">
        <v>2451.5</v>
      </c>
      <c r="E5185" s="2">
        <v>0</v>
      </c>
      <c r="F5185" t="s">
        <v>26</v>
      </c>
      <c r="G5185" t="s">
        <v>20</v>
      </c>
    </row>
    <row r="5186" spans="1:7" x14ac:dyDescent="0.35">
      <c r="A5186">
        <v>2047</v>
      </c>
      <c r="B5186" s="1">
        <v>45628</v>
      </c>
      <c r="C5186" t="s">
        <v>25</v>
      </c>
      <c r="D5186" s="2">
        <v>183.86</v>
      </c>
      <c r="E5186" s="2">
        <v>0</v>
      </c>
      <c r="F5186" t="s">
        <v>27</v>
      </c>
      <c r="G5186" t="s">
        <v>9</v>
      </c>
    </row>
    <row r="5187" spans="1:7" x14ac:dyDescent="0.35">
      <c r="A5187">
        <v>2047</v>
      </c>
      <c r="B5187" s="1">
        <v>45628</v>
      </c>
      <c r="C5187" t="s">
        <v>25</v>
      </c>
      <c r="D5187" s="2">
        <v>0</v>
      </c>
      <c r="E5187" s="2">
        <v>2635.36</v>
      </c>
      <c r="F5187" t="s">
        <v>28</v>
      </c>
      <c r="G5187" t="s">
        <v>17</v>
      </c>
    </row>
    <row r="5188" spans="1:7" x14ac:dyDescent="0.35">
      <c r="A5188">
        <v>2048</v>
      </c>
      <c r="B5188" s="1">
        <v>45628</v>
      </c>
      <c r="C5188" t="s">
        <v>29</v>
      </c>
      <c r="D5188" s="2">
        <v>2635.36</v>
      </c>
      <c r="E5188" s="2">
        <v>0</v>
      </c>
      <c r="F5188" t="s">
        <v>28</v>
      </c>
      <c r="G5188" t="s">
        <v>17</v>
      </c>
    </row>
    <row r="5189" spans="1:7" x14ac:dyDescent="0.35">
      <c r="A5189">
        <v>2048</v>
      </c>
      <c r="B5189" s="1">
        <v>45628</v>
      </c>
      <c r="C5189" t="s">
        <v>29</v>
      </c>
      <c r="D5189" s="2">
        <v>0</v>
      </c>
      <c r="E5189" s="2">
        <v>2635.36</v>
      </c>
      <c r="F5189" t="s">
        <v>8</v>
      </c>
      <c r="G5189" t="s">
        <v>9</v>
      </c>
    </row>
    <row r="5190" spans="1:7" x14ac:dyDescent="0.35">
      <c r="A5190">
        <v>2049</v>
      </c>
      <c r="B5190" s="1">
        <v>45628</v>
      </c>
      <c r="C5190" t="s">
        <v>29</v>
      </c>
      <c r="D5190" s="2">
        <v>1766.46</v>
      </c>
      <c r="E5190" s="2">
        <v>0</v>
      </c>
      <c r="F5190" t="s">
        <v>28</v>
      </c>
      <c r="G5190" t="s">
        <v>17</v>
      </c>
    </row>
    <row r="5191" spans="1:7" x14ac:dyDescent="0.35">
      <c r="A5191">
        <v>2049</v>
      </c>
      <c r="B5191" s="1">
        <v>45628</v>
      </c>
      <c r="C5191" t="s">
        <v>29</v>
      </c>
      <c r="D5191" s="2">
        <v>0</v>
      </c>
      <c r="E5191" s="2">
        <v>1766.46</v>
      </c>
      <c r="F5191" t="s">
        <v>8</v>
      </c>
      <c r="G5191" t="s">
        <v>9</v>
      </c>
    </row>
    <row r="5192" spans="1:7" x14ac:dyDescent="0.35">
      <c r="A5192">
        <v>2050</v>
      </c>
      <c r="B5192" s="1">
        <v>45628</v>
      </c>
      <c r="C5192" t="s">
        <v>29</v>
      </c>
      <c r="D5192" s="2">
        <v>862.91</v>
      </c>
      <c r="E5192" s="2">
        <v>0</v>
      </c>
      <c r="F5192" t="s">
        <v>28</v>
      </c>
      <c r="G5192" t="s">
        <v>17</v>
      </c>
    </row>
    <row r="5193" spans="1:7" x14ac:dyDescent="0.35">
      <c r="A5193">
        <v>2050</v>
      </c>
      <c r="B5193" s="1">
        <v>45628</v>
      </c>
      <c r="C5193" t="s">
        <v>29</v>
      </c>
      <c r="D5193" s="2">
        <v>0</v>
      </c>
      <c r="E5193" s="2">
        <v>862.91</v>
      </c>
      <c r="F5193" t="s">
        <v>8</v>
      </c>
      <c r="G5193" t="s">
        <v>9</v>
      </c>
    </row>
    <row r="5194" spans="1:7" x14ac:dyDescent="0.35">
      <c r="A5194">
        <v>2051</v>
      </c>
      <c r="B5194" s="1">
        <v>45628</v>
      </c>
      <c r="C5194" t="s">
        <v>29</v>
      </c>
      <c r="D5194" s="2">
        <v>3528.97</v>
      </c>
      <c r="E5194" s="2">
        <v>0</v>
      </c>
      <c r="F5194" t="s">
        <v>28</v>
      </c>
      <c r="G5194" t="s">
        <v>17</v>
      </c>
    </row>
    <row r="5195" spans="1:7" x14ac:dyDescent="0.35">
      <c r="A5195">
        <v>2051</v>
      </c>
      <c r="B5195" s="1">
        <v>45628</v>
      </c>
      <c r="C5195" t="s">
        <v>29</v>
      </c>
      <c r="D5195" s="2">
        <v>0</v>
      </c>
      <c r="E5195" s="2">
        <v>3528.97</v>
      </c>
      <c r="F5195" t="s">
        <v>8</v>
      </c>
      <c r="G5195" t="s">
        <v>9</v>
      </c>
    </row>
    <row r="5196" spans="1:7" x14ac:dyDescent="0.35">
      <c r="A5196">
        <v>2052</v>
      </c>
      <c r="B5196" s="1">
        <v>45628</v>
      </c>
      <c r="C5196" t="s">
        <v>29</v>
      </c>
      <c r="D5196" s="2">
        <v>1958.74</v>
      </c>
      <c r="E5196" s="2">
        <v>0</v>
      </c>
      <c r="F5196" t="s">
        <v>28</v>
      </c>
      <c r="G5196" t="s">
        <v>17</v>
      </c>
    </row>
    <row r="5197" spans="1:7" x14ac:dyDescent="0.35">
      <c r="A5197">
        <v>2052</v>
      </c>
      <c r="B5197" s="1">
        <v>45628</v>
      </c>
      <c r="C5197" t="s">
        <v>29</v>
      </c>
      <c r="D5197" s="2">
        <v>0</v>
      </c>
      <c r="E5197" s="2">
        <v>1958.74</v>
      </c>
      <c r="F5197" t="s">
        <v>8</v>
      </c>
      <c r="G5197" t="s">
        <v>9</v>
      </c>
    </row>
    <row r="5198" spans="1:7" x14ac:dyDescent="0.35">
      <c r="A5198">
        <v>2053</v>
      </c>
      <c r="B5198" s="1">
        <v>45629</v>
      </c>
      <c r="C5198" t="s">
        <v>12</v>
      </c>
      <c r="D5198" s="2">
        <v>839.2</v>
      </c>
      <c r="E5198" s="2">
        <v>0</v>
      </c>
      <c r="F5198" t="s">
        <v>13</v>
      </c>
      <c r="G5198" t="s">
        <v>9</v>
      </c>
    </row>
    <row r="5199" spans="1:7" x14ac:dyDescent="0.35">
      <c r="A5199">
        <v>2053</v>
      </c>
      <c r="B5199" s="1">
        <v>45629</v>
      </c>
      <c r="C5199" t="s">
        <v>12</v>
      </c>
      <c r="D5199" s="2">
        <v>0</v>
      </c>
      <c r="E5199" s="2">
        <v>780.65</v>
      </c>
      <c r="F5199" t="s">
        <v>14</v>
      </c>
      <c r="G5199" t="s">
        <v>15</v>
      </c>
    </row>
    <row r="5200" spans="1:7" x14ac:dyDescent="0.35">
      <c r="A5200">
        <v>2053</v>
      </c>
      <c r="B5200" s="1">
        <v>45629</v>
      </c>
      <c r="C5200" t="s">
        <v>12</v>
      </c>
      <c r="D5200" s="2">
        <v>0</v>
      </c>
      <c r="E5200" s="2">
        <v>58.55</v>
      </c>
      <c r="F5200" t="s">
        <v>16</v>
      </c>
      <c r="G5200" t="s">
        <v>17</v>
      </c>
    </row>
    <row r="5201" spans="1:7" x14ac:dyDescent="0.35">
      <c r="A5201">
        <v>2054</v>
      </c>
      <c r="B5201" s="1">
        <v>45629</v>
      </c>
      <c r="C5201" t="s">
        <v>12</v>
      </c>
      <c r="D5201" s="2">
        <v>4830.7</v>
      </c>
      <c r="E5201" s="2">
        <v>0</v>
      </c>
      <c r="F5201" t="s">
        <v>13</v>
      </c>
      <c r="G5201" t="s">
        <v>9</v>
      </c>
    </row>
    <row r="5202" spans="1:7" x14ac:dyDescent="0.35">
      <c r="A5202">
        <v>2054</v>
      </c>
      <c r="B5202" s="1">
        <v>45629</v>
      </c>
      <c r="C5202" t="s">
        <v>12</v>
      </c>
      <c r="D5202" s="2">
        <v>0</v>
      </c>
      <c r="E5202" s="2">
        <v>4493.68</v>
      </c>
      <c r="F5202" t="s">
        <v>14</v>
      </c>
      <c r="G5202" t="s">
        <v>15</v>
      </c>
    </row>
    <row r="5203" spans="1:7" x14ac:dyDescent="0.35">
      <c r="A5203">
        <v>2054</v>
      </c>
      <c r="B5203" s="1">
        <v>45629</v>
      </c>
      <c r="C5203" t="s">
        <v>12</v>
      </c>
      <c r="D5203" s="2">
        <v>0</v>
      </c>
      <c r="E5203" s="2">
        <v>337.02</v>
      </c>
      <c r="F5203" t="s">
        <v>16</v>
      </c>
      <c r="G5203" t="s">
        <v>17</v>
      </c>
    </row>
    <row r="5204" spans="1:7" x14ac:dyDescent="0.35">
      <c r="A5204">
        <v>2055</v>
      </c>
      <c r="B5204" s="1">
        <v>45629</v>
      </c>
      <c r="C5204" t="s">
        <v>12</v>
      </c>
      <c r="D5204" s="2">
        <v>99.2</v>
      </c>
      <c r="E5204" s="2">
        <v>0</v>
      </c>
      <c r="F5204" t="s">
        <v>13</v>
      </c>
      <c r="G5204" t="s">
        <v>9</v>
      </c>
    </row>
    <row r="5205" spans="1:7" x14ac:dyDescent="0.35">
      <c r="A5205">
        <v>2055</v>
      </c>
      <c r="B5205" s="1">
        <v>45629</v>
      </c>
      <c r="C5205" t="s">
        <v>12</v>
      </c>
      <c r="D5205" s="2">
        <v>0</v>
      </c>
      <c r="E5205" s="2">
        <v>92.28</v>
      </c>
      <c r="F5205" t="s">
        <v>14</v>
      </c>
      <c r="G5205" t="s">
        <v>15</v>
      </c>
    </row>
    <row r="5206" spans="1:7" x14ac:dyDescent="0.35">
      <c r="A5206">
        <v>2055</v>
      </c>
      <c r="B5206" s="1">
        <v>45629</v>
      </c>
      <c r="C5206" t="s">
        <v>12</v>
      </c>
      <c r="D5206" s="2">
        <v>0</v>
      </c>
      <c r="E5206" s="2">
        <v>6.92</v>
      </c>
      <c r="F5206" t="s">
        <v>16</v>
      </c>
      <c r="G5206" t="s">
        <v>17</v>
      </c>
    </row>
    <row r="5207" spans="1:7" x14ac:dyDescent="0.35">
      <c r="A5207">
        <v>2056</v>
      </c>
      <c r="B5207" s="1">
        <v>45629</v>
      </c>
      <c r="C5207" t="s">
        <v>12</v>
      </c>
      <c r="D5207" s="2">
        <v>71.83</v>
      </c>
      <c r="E5207" s="2">
        <v>0</v>
      </c>
      <c r="F5207" t="s">
        <v>13</v>
      </c>
      <c r="G5207" t="s">
        <v>9</v>
      </c>
    </row>
    <row r="5208" spans="1:7" x14ac:dyDescent="0.35">
      <c r="A5208">
        <v>2056</v>
      </c>
      <c r="B5208" s="1">
        <v>45629</v>
      </c>
      <c r="C5208" t="s">
        <v>12</v>
      </c>
      <c r="D5208" s="2">
        <v>0</v>
      </c>
      <c r="E5208" s="2">
        <v>66.819999999999993</v>
      </c>
      <c r="F5208" t="s">
        <v>14</v>
      </c>
      <c r="G5208" t="s">
        <v>15</v>
      </c>
    </row>
    <row r="5209" spans="1:7" x14ac:dyDescent="0.35">
      <c r="A5209">
        <v>2056</v>
      </c>
      <c r="B5209" s="1">
        <v>45629</v>
      </c>
      <c r="C5209" t="s">
        <v>12</v>
      </c>
      <c r="D5209" s="2">
        <v>0</v>
      </c>
      <c r="E5209" s="2">
        <v>5.01</v>
      </c>
      <c r="F5209" t="s">
        <v>16</v>
      </c>
      <c r="G5209" t="s">
        <v>17</v>
      </c>
    </row>
    <row r="5210" spans="1:7" x14ac:dyDescent="0.35">
      <c r="A5210">
        <v>2057</v>
      </c>
      <c r="B5210" s="1">
        <v>45629</v>
      </c>
      <c r="C5210" t="s">
        <v>24</v>
      </c>
      <c r="D5210" s="2">
        <v>2933.11</v>
      </c>
      <c r="E5210" s="2">
        <v>0</v>
      </c>
      <c r="F5210" t="s">
        <v>8</v>
      </c>
      <c r="G5210" t="s">
        <v>9</v>
      </c>
    </row>
    <row r="5211" spans="1:7" x14ac:dyDescent="0.35">
      <c r="A5211">
        <v>2057</v>
      </c>
      <c r="B5211" s="1">
        <v>45629</v>
      </c>
      <c r="C5211" t="s">
        <v>24</v>
      </c>
      <c r="D5211" s="2">
        <v>0</v>
      </c>
      <c r="E5211" s="2">
        <v>2933.11</v>
      </c>
      <c r="F5211" t="s">
        <v>13</v>
      </c>
      <c r="G5211" t="s">
        <v>9</v>
      </c>
    </row>
    <row r="5212" spans="1:7" x14ac:dyDescent="0.35">
      <c r="A5212">
        <v>2058</v>
      </c>
      <c r="B5212" s="1">
        <v>45629</v>
      </c>
      <c r="C5212" t="s">
        <v>24</v>
      </c>
      <c r="D5212" s="2">
        <v>2670.37</v>
      </c>
      <c r="E5212" s="2">
        <v>0</v>
      </c>
      <c r="F5212" t="s">
        <v>8</v>
      </c>
      <c r="G5212" t="s">
        <v>9</v>
      </c>
    </row>
    <row r="5213" spans="1:7" x14ac:dyDescent="0.35">
      <c r="A5213">
        <v>2058</v>
      </c>
      <c r="B5213" s="1">
        <v>45629</v>
      </c>
      <c r="C5213" t="s">
        <v>24</v>
      </c>
      <c r="D5213" s="2">
        <v>0</v>
      </c>
      <c r="E5213" s="2">
        <v>2670.37</v>
      </c>
      <c r="F5213" t="s">
        <v>13</v>
      </c>
      <c r="G5213" t="s">
        <v>9</v>
      </c>
    </row>
    <row r="5214" spans="1:7" x14ac:dyDescent="0.35">
      <c r="A5214">
        <v>2059</v>
      </c>
      <c r="B5214" s="1">
        <v>45629</v>
      </c>
      <c r="C5214" t="s">
        <v>24</v>
      </c>
      <c r="D5214" s="2">
        <v>179.58</v>
      </c>
      <c r="E5214" s="2">
        <v>0</v>
      </c>
      <c r="F5214" t="s">
        <v>8</v>
      </c>
      <c r="G5214" t="s">
        <v>9</v>
      </c>
    </row>
    <row r="5215" spans="1:7" x14ac:dyDescent="0.35">
      <c r="A5215">
        <v>2059</v>
      </c>
      <c r="B5215" s="1">
        <v>45629</v>
      </c>
      <c r="C5215" t="s">
        <v>24</v>
      </c>
      <c r="D5215" s="2">
        <v>0</v>
      </c>
      <c r="E5215" s="2">
        <v>179.58</v>
      </c>
      <c r="F5215" t="s">
        <v>13</v>
      </c>
      <c r="G5215" t="s">
        <v>9</v>
      </c>
    </row>
    <row r="5216" spans="1:7" x14ac:dyDescent="0.35">
      <c r="A5216">
        <v>2060</v>
      </c>
      <c r="B5216" s="1">
        <v>45629</v>
      </c>
      <c r="C5216" t="s">
        <v>24</v>
      </c>
      <c r="D5216" s="2">
        <v>3301.03</v>
      </c>
      <c r="E5216" s="2">
        <v>0</v>
      </c>
      <c r="F5216" t="s">
        <v>8</v>
      </c>
      <c r="G5216" t="s">
        <v>9</v>
      </c>
    </row>
    <row r="5217" spans="1:7" x14ac:dyDescent="0.35">
      <c r="A5217">
        <v>2060</v>
      </c>
      <c r="B5217" s="1">
        <v>45629</v>
      </c>
      <c r="C5217" t="s">
        <v>24</v>
      </c>
      <c r="D5217" s="2">
        <v>0</v>
      </c>
      <c r="E5217" s="2">
        <v>3301.03</v>
      </c>
      <c r="F5217" t="s">
        <v>13</v>
      </c>
      <c r="G5217" t="s">
        <v>9</v>
      </c>
    </row>
    <row r="5218" spans="1:7" x14ac:dyDescent="0.35">
      <c r="A5218">
        <v>2061</v>
      </c>
      <c r="B5218" s="1">
        <v>45629</v>
      </c>
      <c r="C5218" t="s">
        <v>29</v>
      </c>
      <c r="D5218" s="2">
        <v>748.26</v>
      </c>
      <c r="E5218" s="2">
        <v>0</v>
      </c>
      <c r="F5218" t="s">
        <v>28</v>
      </c>
      <c r="G5218" t="s">
        <v>17</v>
      </c>
    </row>
    <row r="5219" spans="1:7" x14ac:dyDescent="0.35">
      <c r="A5219">
        <v>2061</v>
      </c>
      <c r="B5219" s="1">
        <v>45629</v>
      </c>
      <c r="C5219" t="s">
        <v>29</v>
      </c>
      <c r="D5219" s="2">
        <v>0</v>
      </c>
      <c r="E5219" s="2">
        <v>748.26</v>
      </c>
      <c r="F5219" t="s">
        <v>8</v>
      </c>
      <c r="G5219" t="s">
        <v>9</v>
      </c>
    </row>
    <row r="5220" spans="1:7" x14ac:dyDescent="0.35">
      <c r="A5220">
        <v>2062</v>
      </c>
      <c r="B5220" s="1">
        <v>45629</v>
      </c>
      <c r="C5220" t="s">
        <v>29</v>
      </c>
      <c r="D5220" s="2">
        <v>2504.23</v>
      </c>
      <c r="E5220" s="2">
        <v>0</v>
      </c>
      <c r="F5220" t="s">
        <v>28</v>
      </c>
      <c r="G5220" t="s">
        <v>17</v>
      </c>
    </row>
    <row r="5221" spans="1:7" x14ac:dyDescent="0.35">
      <c r="A5221">
        <v>2062</v>
      </c>
      <c r="B5221" s="1">
        <v>45629</v>
      </c>
      <c r="C5221" t="s">
        <v>29</v>
      </c>
      <c r="D5221" s="2">
        <v>0</v>
      </c>
      <c r="E5221" s="2">
        <v>2504.23</v>
      </c>
      <c r="F5221" t="s">
        <v>8</v>
      </c>
      <c r="G5221" t="s">
        <v>9</v>
      </c>
    </row>
    <row r="5222" spans="1:7" x14ac:dyDescent="0.35">
      <c r="A5222">
        <v>2063</v>
      </c>
      <c r="B5222" s="1">
        <v>45629</v>
      </c>
      <c r="C5222" t="s">
        <v>29</v>
      </c>
      <c r="D5222" s="2">
        <v>2635.36</v>
      </c>
      <c r="E5222" s="2">
        <v>0</v>
      </c>
      <c r="F5222" t="s">
        <v>28</v>
      </c>
      <c r="G5222" t="s">
        <v>17</v>
      </c>
    </row>
    <row r="5223" spans="1:7" x14ac:dyDescent="0.35">
      <c r="A5223">
        <v>2063</v>
      </c>
      <c r="B5223" s="1">
        <v>45629</v>
      </c>
      <c r="C5223" t="s">
        <v>29</v>
      </c>
      <c r="D5223" s="2">
        <v>0</v>
      </c>
      <c r="E5223" s="2">
        <v>2635.36</v>
      </c>
      <c r="F5223" t="s">
        <v>8</v>
      </c>
      <c r="G5223" t="s">
        <v>9</v>
      </c>
    </row>
    <row r="5224" spans="1:7" x14ac:dyDescent="0.35">
      <c r="A5224">
        <v>2064</v>
      </c>
      <c r="B5224" s="1">
        <v>45629</v>
      </c>
      <c r="C5224" t="s">
        <v>29</v>
      </c>
      <c r="D5224" s="2">
        <v>4812.46</v>
      </c>
      <c r="E5224" s="2">
        <v>0</v>
      </c>
      <c r="F5224" t="s">
        <v>28</v>
      </c>
      <c r="G5224" t="s">
        <v>17</v>
      </c>
    </row>
    <row r="5225" spans="1:7" x14ac:dyDescent="0.35">
      <c r="A5225">
        <v>2064</v>
      </c>
      <c r="B5225" s="1">
        <v>45629</v>
      </c>
      <c r="C5225" t="s">
        <v>29</v>
      </c>
      <c r="D5225" s="2">
        <v>0</v>
      </c>
      <c r="E5225" s="2">
        <v>4812.46</v>
      </c>
      <c r="F5225" t="s">
        <v>8</v>
      </c>
      <c r="G5225" t="s">
        <v>9</v>
      </c>
    </row>
    <row r="5226" spans="1:7" x14ac:dyDescent="0.35">
      <c r="A5226">
        <v>2065</v>
      </c>
      <c r="B5226" s="1">
        <v>45630</v>
      </c>
      <c r="C5226" t="s">
        <v>12</v>
      </c>
      <c r="D5226" s="2">
        <v>347.2</v>
      </c>
      <c r="E5226" s="2">
        <v>0</v>
      </c>
      <c r="F5226" t="s">
        <v>13</v>
      </c>
      <c r="G5226" t="s">
        <v>9</v>
      </c>
    </row>
    <row r="5227" spans="1:7" x14ac:dyDescent="0.35">
      <c r="A5227">
        <v>2065</v>
      </c>
      <c r="B5227" s="1">
        <v>45630</v>
      </c>
      <c r="C5227" t="s">
        <v>12</v>
      </c>
      <c r="D5227" s="2">
        <v>0</v>
      </c>
      <c r="E5227" s="2">
        <v>322.98</v>
      </c>
      <c r="F5227" t="s">
        <v>14</v>
      </c>
      <c r="G5227" t="s">
        <v>15</v>
      </c>
    </row>
    <row r="5228" spans="1:7" x14ac:dyDescent="0.35">
      <c r="A5228">
        <v>2065</v>
      </c>
      <c r="B5228" s="1">
        <v>45630</v>
      </c>
      <c r="C5228" t="s">
        <v>12</v>
      </c>
      <c r="D5228" s="2">
        <v>0</v>
      </c>
      <c r="E5228" s="2">
        <v>24.22</v>
      </c>
      <c r="F5228" t="s">
        <v>16</v>
      </c>
      <c r="G5228" t="s">
        <v>17</v>
      </c>
    </row>
    <row r="5229" spans="1:7" x14ac:dyDescent="0.35">
      <c r="A5229">
        <v>2066</v>
      </c>
      <c r="B5229" s="1">
        <v>45630</v>
      </c>
      <c r="C5229" t="s">
        <v>12</v>
      </c>
      <c r="D5229" s="2">
        <v>3089.6</v>
      </c>
      <c r="E5229" s="2">
        <v>0</v>
      </c>
      <c r="F5229" t="s">
        <v>13</v>
      </c>
      <c r="G5229" t="s">
        <v>9</v>
      </c>
    </row>
    <row r="5230" spans="1:7" x14ac:dyDescent="0.35">
      <c r="A5230">
        <v>2066</v>
      </c>
      <c r="B5230" s="1">
        <v>45630</v>
      </c>
      <c r="C5230" t="s">
        <v>12</v>
      </c>
      <c r="D5230" s="2">
        <v>0</v>
      </c>
      <c r="E5230" s="2">
        <v>2874.05</v>
      </c>
      <c r="F5230" t="s">
        <v>14</v>
      </c>
      <c r="G5230" t="s">
        <v>15</v>
      </c>
    </row>
    <row r="5231" spans="1:7" x14ac:dyDescent="0.35">
      <c r="A5231">
        <v>2066</v>
      </c>
      <c r="B5231" s="1">
        <v>45630</v>
      </c>
      <c r="C5231" t="s">
        <v>12</v>
      </c>
      <c r="D5231" s="2">
        <v>0</v>
      </c>
      <c r="E5231" s="2">
        <v>215.55</v>
      </c>
      <c r="F5231" t="s">
        <v>16</v>
      </c>
      <c r="G5231" t="s">
        <v>17</v>
      </c>
    </row>
    <row r="5232" spans="1:7" x14ac:dyDescent="0.35">
      <c r="A5232">
        <v>2067</v>
      </c>
      <c r="B5232" s="1">
        <v>45630</v>
      </c>
      <c r="C5232" t="s">
        <v>12</v>
      </c>
      <c r="D5232" s="2">
        <v>1808.1</v>
      </c>
      <c r="E5232" s="2">
        <v>0</v>
      </c>
      <c r="F5232" t="s">
        <v>13</v>
      </c>
      <c r="G5232" t="s">
        <v>9</v>
      </c>
    </row>
    <row r="5233" spans="1:7" x14ac:dyDescent="0.35">
      <c r="A5233">
        <v>2067</v>
      </c>
      <c r="B5233" s="1">
        <v>45630</v>
      </c>
      <c r="C5233" t="s">
        <v>12</v>
      </c>
      <c r="D5233" s="2">
        <v>0</v>
      </c>
      <c r="E5233" s="2">
        <v>1681.95</v>
      </c>
      <c r="F5233" t="s">
        <v>14</v>
      </c>
      <c r="G5233" t="s">
        <v>15</v>
      </c>
    </row>
    <row r="5234" spans="1:7" x14ac:dyDescent="0.35">
      <c r="A5234">
        <v>2067</v>
      </c>
      <c r="B5234" s="1">
        <v>45630</v>
      </c>
      <c r="C5234" t="s">
        <v>12</v>
      </c>
      <c r="D5234" s="2">
        <v>0</v>
      </c>
      <c r="E5234" s="2">
        <v>126.15</v>
      </c>
      <c r="F5234" t="s">
        <v>16</v>
      </c>
      <c r="G5234" t="s">
        <v>17</v>
      </c>
    </row>
    <row r="5235" spans="1:7" x14ac:dyDescent="0.35">
      <c r="A5235">
        <v>2068</v>
      </c>
      <c r="B5235" s="1">
        <v>45630</v>
      </c>
      <c r="C5235" t="s">
        <v>12</v>
      </c>
      <c r="D5235" s="2">
        <v>149.32</v>
      </c>
      <c r="E5235" s="2">
        <v>0</v>
      </c>
      <c r="F5235" t="s">
        <v>13</v>
      </c>
      <c r="G5235" t="s">
        <v>9</v>
      </c>
    </row>
    <row r="5236" spans="1:7" x14ac:dyDescent="0.35">
      <c r="A5236">
        <v>2068</v>
      </c>
      <c r="B5236" s="1">
        <v>45630</v>
      </c>
      <c r="C5236" t="s">
        <v>12</v>
      </c>
      <c r="D5236" s="2">
        <v>0</v>
      </c>
      <c r="E5236" s="2">
        <v>138.9</v>
      </c>
      <c r="F5236" t="s">
        <v>14</v>
      </c>
      <c r="G5236" t="s">
        <v>15</v>
      </c>
    </row>
    <row r="5237" spans="1:7" x14ac:dyDescent="0.35">
      <c r="A5237">
        <v>2068</v>
      </c>
      <c r="B5237" s="1">
        <v>45630</v>
      </c>
      <c r="C5237" t="s">
        <v>12</v>
      </c>
      <c r="D5237" s="2">
        <v>0</v>
      </c>
      <c r="E5237" s="2">
        <v>10.42</v>
      </c>
      <c r="F5237" t="s">
        <v>16</v>
      </c>
      <c r="G5237" t="s">
        <v>17</v>
      </c>
    </row>
    <row r="5238" spans="1:7" x14ac:dyDescent="0.35">
      <c r="A5238">
        <v>2069</v>
      </c>
      <c r="B5238" s="1">
        <v>45630</v>
      </c>
      <c r="C5238" t="s">
        <v>12</v>
      </c>
      <c r="D5238" s="2">
        <v>4048.68</v>
      </c>
      <c r="E5238" s="2">
        <v>0</v>
      </c>
      <c r="F5238" t="s">
        <v>13</v>
      </c>
      <c r="G5238" t="s">
        <v>9</v>
      </c>
    </row>
    <row r="5239" spans="1:7" x14ac:dyDescent="0.35">
      <c r="A5239">
        <v>2069</v>
      </c>
      <c r="B5239" s="1">
        <v>45630</v>
      </c>
      <c r="C5239" t="s">
        <v>12</v>
      </c>
      <c r="D5239" s="2">
        <v>0</v>
      </c>
      <c r="E5239" s="2">
        <v>3766.21</v>
      </c>
      <c r="F5239" t="s">
        <v>14</v>
      </c>
      <c r="G5239" t="s">
        <v>15</v>
      </c>
    </row>
    <row r="5240" spans="1:7" x14ac:dyDescent="0.35">
      <c r="A5240">
        <v>2069</v>
      </c>
      <c r="B5240" s="1">
        <v>45630</v>
      </c>
      <c r="C5240" t="s">
        <v>12</v>
      </c>
      <c r="D5240" s="2">
        <v>0</v>
      </c>
      <c r="E5240" s="2">
        <v>282.47000000000003</v>
      </c>
      <c r="F5240" t="s">
        <v>16</v>
      </c>
      <c r="G5240" t="s">
        <v>17</v>
      </c>
    </row>
    <row r="5241" spans="1:7" x14ac:dyDescent="0.35">
      <c r="A5241">
        <v>2070</v>
      </c>
      <c r="B5241" s="1">
        <v>45630</v>
      </c>
      <c r="C5241" t="s">
        <v>12</v>
      </c>
      <c r="D5241" s="2">
        <v>1278.82</v>
      </c>
      <c r="E5241" s="2">
        <v>0</v>
      </c>
      <c r="F5241" t="s">
        <v>13</v>
      </c>
      <c r="G5241" t="s">
        <v>9</v>
      </c>
    </row>
    <row r="5242" spans="1:7" x14ac:dyDescent="0.35">
      <c r="A5242">
        <v>2070</v>
      </c>
      <c r="B5242" s="1">
        <v>45630</v>
      </c>
      <c r="C5242" t="s">
        <v>12</v>
      </c>
      <c r="D5242" s="2">
        <v>0</v>
      </c>
      <c r="E5242" s="2">
        <v>1189.5999999999999</v>
      </c>
      <c r="F5242" t="s">
        <v>14</v>
      </c>
      <c r="G5242" t="s">
        <v>15</v>
      </c>
    </row>
    <row r="5243" spans="1:7" x14ac:dyDescent="0.35">
      <c r="A5243">
        <v>2070</v>
      </c>
      <c r="B5243" s="1">
        <v>45630</v>
      </c>
      <c r="C5243" t="s">
        <v>12</v>
      </c>
      <c r="D5243" s="2">
        <v>0</v>
      </c>
      <c r="E5243" s="2">
        <v>89.22</v>
      </c>
      <c r="F5243" t="s">
        <v>16</v>
      </c>
      <c r="G5243" t="s">
        <v>17</v>
      </c>
    </row>
    <row r="5244" spans="1:7" x14ac:dyDescent="0.35">
      <c r="A5244">
        <v>2071</v>
      </c>
      <c r="B5244" s="1">
        <v>45630</v>
      </c>
      <c r="C5244" t="s">
        <v>24</v>
      </c>
      <c r="D5244" s="2">
        <v>866.97</v>
      </c>
      <c r="E5244" s="2">
        <v>0</v>
      </c>
      <c r="F5244" t="s">
        <v>8</v>
      </c>
      <c r="G5244" t="s">
        <v>9</v>
      </c>
    </row>
    <row r="5245" spans="1:7" x14ac:dyDescent="0.35">
      <c r="A5245">
        <v>2071</v>
      </c>
      <c r="B5245" s="1">
        <v>45630</v>
      </c>
      <c r="C5245" t="s">
        <v>24</v>
      </c>
      <c r="D5245" s="2">
        <v>0</v>
      </c>
      <c r="E5245" s="2">
        <v>866.97</v>
      </c>
      <c r="F5245" t="s">
        <v>13</v>
      </c>
      <c r="G5245" t="s">
        <v>9</v>
      </c>
    </row>
    <row r="5246" spans="1:7" x14ac:dyDescent="0.35">
      <c r="A5246">
        <v>2072</v>
      </c>
      <c r="B5246" s="1">
        <v>45630</v>
      </c>
      <c r="C5246" t="s">
        <v>24</v>
      </c>
      <c r="D5246" s="2">
        <v>3904.34</v>
      </c>
      <c r="E5246" s="2">
        <v>0</v>
      </c>
      <c r="F5246" t="s">
        <v>8</v>
      </c>
      <c r="G5246" t="s">
        <v>9</v>
      </c>
    </row>
    <row r="5247" spans="1:7" x14ac:dyDescent="0.35">
      <c r="A5247">
        <v>2072</v>
      </c>
      <c r="B5247" s="1">
        <v>45630</v>
      </c>
      <c r="C5247" t="s">
        <v>24</v>
      </c>
      <c r="D5247" s="2">
        <v>0</v>
      </c>
      <c r="E5247" s="2">
        <v>3904.34</v>
      </c>
      <c r="F5247" t="s">
        <v>13</v>
      </c>
      <c r="G5247" t="s">
        <v>9</v>
      </c>
    </row>
    <row r="5248" spans="1:7" x14ac:dyDescent="0.35">
      <c r="A5248">
        <v>2073</v>
      </c>
      <c r="B5248" s="1">
        <v>45630</v>
      </c>
      <c r="C5248" t="s">
        <v>24</v>
      </c>
      <c r="D5248" s="2">
        <v>1444.56</v>
      </c>
      <c r="E5248" s="2">
        <v>0</v>
      </c>
      <c r="F5248" t="s">
        <v>8</v>
      </c>
      <c r="G5248" t="s">
        <v>9</v>
      </c>
    </row>
    <row r="5249" spans="1:7" x14ac:dyDescent="0.35">
      <c r="A5249">
        <v>2073</v>
      </c>
      <c r="B5249" s="1">
        <v>45630</v>
      </c>
      <c r="C5249" t="s">
        <v>24</v>
      </c>
      <c r="D5249" s="2">
        <v>0</v>
      </c>
      <c r="E5249" s="2">
        <v>1444.56</v>
      </c>
      <c r="F5249" t="s">
        <v>13</v>
      </c>
      <c r="G5249" t="s">
        <v>9</v>
      </c>
    </row>
    <row r="5250" spans="1:7" x14ac:dyDescent="0.35">
      <c r="A5250">
        <v>2074</v>
      </c>
      <c r="B5250" s="1">
        <v>45630</v>
      </c>
      <c r="C5250" t="s">
        <v>24</v>
      </c>
      <c r="D5250" s="2">
        <v>1201.02</v>
      </c>
      <c r="E5250" s="2">
        <v>0</v>
      </c>
      <c r="F5250" t="s">
        <v>8</v>
      </c>
      <c r="G5250" t="s">
        <v>9</v>
      </c>
    </row>
    <row r="5251" spans="1:7" x14ac:dyDescent="0.35">
      <c r="A5251">
        <v>2074</v>
      </c>
      <c r="B5251" s="1">
        <v>45630</v>
      </c>
      <c r="C5251" t="s">
        <v>24</v>
      </c>
      <c r="D5251" s="2">
        <v>0</v>
      </c>
      <c r="E5251" s="2">
        <v>1201.02</v>
      </c>
      <c r="F5251" t="s">
        <v>13</v>
      </c>
      <c r="G5251" t="s">
        <v>9</v>
      </c>
    </row>
    <row r="5252" spans="1:7" x14ac:dyDescent="0.35">
      <c r="A5252">
        <v>2075</v>
      </c>
      <c r="B5252" s="1">
        <v>45630</v>
      </c>
      <c r="C5252" t="s">
        <v>24</v>
      </c>
      <c r="D5252" s="2">
        <v>198.94</v>
      </c>
      <c r="E5252" s="2">
        <v>0</v>
      </c>
      <c r="F5252" t="s">
        <v>8</v>
      </c>
      <c r="G5252" t="s">
        <v>9</v>
      </c>
    </row>
    <row r="5253" spans="1:7" x14ac:dyDescent="0.35">
      <c r="A5253">
        <v>2075</v>
      </c>
      <c r="B5253" s="1">
        <v>45630</v>
      </c>
      <c r="C5253" t="s">
        <v>24</v>
      </c>
      <c r="D5253" s="2">
        <v>0</v>
      </c>
      <c r="E5253" s="2">
        <v>198.94</v>
      </c>
      <c r="F5253" t="s">
        <v>13</v>
      </c>
      <c r="G5253" t="s">
        <v>9</v>
      </c>
    </row>
    <row r="5254" spans="1:7" x14ac:dyDescent="0.35">
      <c r="A5254">
        <v>2076</v>
      </c>
      <c r="B5254" s="1">
        <v>45630</v>
      </c>
      <c r="C5254" t="s">
        <v>24</v>
      </c>
      <c r="D5254" s="2">
        <v>1380.69</v>
      </c>
      <c r="E5254" s="2">
        <v>0</v>
      </c>
      <c r="F5254" t="s">
        <v>8</v>
      </c>
      <c r="G5254" t="s">
        <v>9</v>
      </c>
    </row>
    <row r="5255" spans="1:7" x14ac:dyDescent="0.35">
      <c r="A5255">
        <v>2076</v>
      </c>
      <c r="B5255" s="1">
        <v>45630</v>
      </c>
      <c r="C5255" t="s">
        <v>24</v>
      </c>
      <c r="D5255" s="2">
        <v>0</v>
      </c>
      <c r="E5255" s="2">
        <v>1380.69</v>
      </c>
      <c r="F5255" t="s">
        <v>13</v>
      </c>
      <c r="G5255" t="s">
        <v>9</v>
      </c>
    </row>
    <row r="5256" spans="1:7" x14ac:dyDescent="0.35">
      <c r="A5256">
        <v>2077</v>
      </c>
      <c r="B5256" s="1">
        <v>45630</v>
      </c>
      <c r="C5256" t="s">
        <v>24</v>
      </c>
      <c r="D5256" s="2">
        <v>347.2</v>
      </c>
      <c r="E5256" s="2">
        <v>0</v>
      </c>
      <c r="F5256" t="s">
        <v>8</v>
      </c>
      <c r="G5256" t="s">
        <v>9</v>
      </c>
    </row>
    <row r="5257" spans="1:7" x14ac:dyDescent="0.35">
      <c r="A5257">
        <v>2077</v>
      </c>
      <c r="B5257" s="1">
        <v>45630</v>
      </c>
      <c r="C5257" t="s">
        <v>24</v>
      </c>
      <c r="D5257" s="2">
        <v>0</v>
      </c>
      <c r="E5257" s="2">
        <v>347.2</v>
      </c>
      <c r="F5257" t="s">
        <v>13</v>
      </c>
      <c r="G5257" t="s">
        <v>9</v>
      </c>
    </row>
    <row r="5258" spans="1:7" x14ac:dyDescent="0.35">
      <c r="A5258">
        <v>2078</v>
      </c>
      <c r="B5258" s="1">
        <v>45630</v>
      </c>
      <c r="C5258" t="s">
        <v>25</v>
      </c>
      <c r="D5258" s="2">
        <v>1480.5</v>
      </c>
      <c r="E5258" s="2">
        <v>0</v>
      </c>
      <c r="F5258" t="s">
        <v>26</v>
      </c>
      <c r="G5258" t="s">
        <v>20</v>
      </c>
    </row>
    <row r="5259" spans="1:7" x14ac:dyDescent="0.35">
      <c r="A5259">
        <v>2078</v>
      </c>
      <c r="B5259" s="1">
        <v>45630</v>
      </c>
      <c r="C5259" t="s">
        <v>25</v>
      </c>
      <c r="D5259" s="2">
        <v>111.04</v>
      </c>
      <c r="E5259" s="2">
        <v>0</v>
      </c>
      <c r="F5259" t="s">
        <v>27</v>
      </c>
      <c r="G5259" t="s">
        <v>9</v>
      </c>
    </row>
    <row r="5260" spans="1:7" x14ac:dyDescent="0.35">
      <c r="A5260">
        <v>2078</v>
      </c>
      <c r="B5260" s="1">
        <v>45630</v>
      </c>
      <c r="C5260" t="s">
        <v>25</v>
      </c>
      <c r="D5260" s="2">
        <v>0</v>
      </c>
      <c r="E5260" s="2">
        <v>1591.54</v>
      </c>
      <c r="F5260" t="s">
        <v>28</v>
      </c>
      <c r="G5260" t="s">
        <v>17</v>
      </c>
    </row>
    <row r="5261" spans="1:7" x14ac:dyDescent="0.35">
      <c r="A5261">
        <v>2079</v>
      </c>
      <c r="B5261" s="1">
        <v>45630</v>
      </c>
      <c r="C5261" t="s">
        <v>25</v>
      </c>
      <c r="D5261" s="2">
        <v>2030.15</v>
      </c>
      <c r="E5261" s="2">
        <v>0</v>
      </c>
      <c r="F5261" t="s">
        <v>26</v>
      </c>
      <c r="G5261" t="s">
        <v>20</v>
      </c>
    </row>
    <row r="5262" spans="1:7" x14ac:dyDescent="0.35">
      <c r="A5262">
        <v>2079</v>
      </c>
      <c r="B5262" s="1">
        <v>45630</v>
      </c>
      <c r="C5262" t="s">
        <v>25</v>
      </c>
      <c r="D5262" s="2">
        <v>152.26</v>
      </c>
      <c r="E5262" s="2">
        <v>0</v>
      </c>
      <c r="F5262" t="s">
        <v>27</v>
      </c>
      <c r="G5262" t="s">
        <v>9</v>
      </c>
    </row>
    <row r="5263" spans="1:7" x14ac:dyDescent="0.35">
      <c r="A5263">
        <v>2079</v>
      </c>
      <c r="B5263" s="1">
        <v>45630</v>
      </c>
      <c r="C5263" t="s">
        <v>25</v>
      </c>
      <c r="D5263" s="2">
        <v>0</v>
      </c>
      <c r="E5263" s="2">
        <v>2182.41</v>
      </c>
      <c r="F5263" t="s">
        <v>28</v>
      </c>
      <c r="G5263" t="s">
        <v>17</v>
      </c>
    </row>
    <row r="5264" spans="1:7" x14ac:dyDescent="0.35">
      <c r="A5264">
        <v>2080</v>
      </c>
      <c r="B5264" s="1">
        <v>45630</v>
      </c>
      <c r="C5264" t="s">
        <v>29</v>
      </c>
      <c r="D5264" s="2">
        <v>3528.97</v>
      </c>
      <c r="E5264" s="2">
        <v>0</v>
      </c>
      <c r="F5264" t="s">
        <v>28</v>
      </c>
      <c r="G5264" t="s">
        <v>17</v>
      </c>
    </row>
    <row r="5265" spans="1:7" x14ac:dyDescent="0.35">
      <c r="A5265">
        <v>2080</v>
      </c>
      <c r="B5265" s="1">
        <v>45630</v>
      </c>
      <c r="C5265" t="s">
        <v>29</v>
      </c>
      <c r="D5265" s="2">
        <v>0</v>
      </c>
      <c r="E5265" s="2">
        <v>3528.97</v>
      </c>
      <c r="F5265" t="s">
        <v>8</v>
      </c>
      <c r="G5265" t="s">
        <v>9</v>
      </c>
    </row>
    <row r="5266" spans="1:7" x14ac:dyDescent="0.35">
      <c r="A5266">
        <v>2081</v>
      </c>
      <c r="B5266" s="1">
        <v>45630</v>
      </c>
      <c r="C5266" t="s">
        <v>29</v>
      </c>
      <c r="D5266" s="2">
        <v>9336.67</v>
      </c>
      <c r="E5266" s="2">
        <v>0</v>
      </c>
      <c r="F5266" t="s">
        <v>28</v>
      </c>
      <c r="G5266" t="s">
        <v>17</v>
      </c>
    </row>
    <row r="5267" spans="1:7" x14ac:dyDescent="0.35">
      <c r="A5267">
        <v>2081</v>
      </c>
      <c r="B5267" s="1">
        <v>45630</v>
      </c>
      <c r="C5267" t="s">
        <v>29</v>
      </c>
      <c r="D5267" s="2">
        <v>0</v>
      </c>
      <c r="E5267" s="2">
        <v>9336.67</v>
      </c>
      <c r="F5267" t="s">
        <v>8</v>
      </c>
      <c r="G5267" t="s">
        <v>9</v>
      </c>
    </row>
    <row r="5268" spans="1:7" x14ac:dyDescent="0.35">
      <c r="A5268">
        <v>2082</v>
      </c>
      <c r="B5268" s="1">
        <v>45630</v>
      </c>
      <c r="C5268" t="s">
        <v>29</v>
      </c>
      <c r="D5268" s="2">
        <v>276.32</v>
      </c>
      <c r="E5268" s="2">
        <v>0</v>
      </c>
      <c r="F5268" t="s">
        <v>28</v>
      </c>
      <c r="G5268" t="s">
        <v>17</v>
      </c>
    </row>
    <row r="5269" spans="1:7" x14ac:dyDescent="0.35">
      <c r="A5269">
        <v>2082</v>
      </c>
      <c r="B5269" s="1">
        <v>45630</v>
      </c>
      <c r="C5269" t="s">
        <v>29</v>
      </c>
      <c r="D5269" s="2">
        <v>0</v>
      </c>
      <c r="E5269" s="2">
        <v>276.32</v>
      </c>
      <c r="F5269" t="s">
        <v>8</v>
      </c>
      <c r="G5269" t="s">
        <v>9</v>
      </c>
    </row>
    <row r="5270" spans="1:7" x14ac:dyDescent="0.35">
      <c r="A5270">
        <v>2083</v>
      </c>
      <c r="B5270" s="1">
        <v>45631</v>
      </c>
      <c r="C5270" t="s">
        <v>18</v>
      </c>
      <c r="D5270" s="2">
        <v>22037.74</v>
      </c>
      <c r="E5270" s="2">
        <v>0</v>
      </c>
      <c r="F5270" t="s">
        <v>19</v>
      </c>
      <c r="G5270" t="s">
        <v>20</v>
      </c>
    </row>
    <row r="5271" spans="1:7" x14ac:dyDescent="0.35">
      <c r="A5271">
        <v>2083</v>
      </c>
      <c r="B5271" s="1">
        <v>45631</v>
      </c>
      <c r="C5271" t="s">
        <v>18</v>
      </c>
      <c r="D5271" s="2">
        <v>881.51</v>
      </c>
      <c r="E5271" s="2">
        <v>0</v>
      </c>
      <c r="F5271" t="s">
        <v>21</v>
      </c>
      <c r="G5271" t="s">
        <v>20</v>
      </c>
    </row>
    <row r="5272" spans="1:7" x14ac:dyDescent="0.35">
      <c r="A5272">
        <v>2083</v>
      </c>
      <c r="B5272" s="1">
        <v>45631</v>
      </c>
      <c r="C5272" t="s">
        <v>18</v>
      </c>
      <c r="D5272" s="2">
        <v>0</v>
      </c>
      <c r="E5272" s="2">
        <v>17968.47</v>
      </c>
      <c r="F5272" t="s">
        <v>8</v>
      </c>
      <c r="G5272" t="s">
        <v>9</v>
      </c>
    </row>
    <row r="5273" spans="1:7" x14ac:dyDescent="0.35">
      <c r="A5273">
        <v>2083</v>
      </c>
      <c r="B5273" s="1">
        <v>45631</v>
      </c>
      <c r="C5273" t="s">
        <v>18</v>
      </c>
      <c r="D5273" s="2">
        <v>0</v>
      </c>
      <c r="E5273" s="2">
        <v>4069.27</v>
      </c>
      <c r="F5273" t="s">
        <v>22</v>
      </c>
      <c r="G5273" t="s">
        <v>17</v>
      </c>
    </row>
    <row r="5274" spans="1:7" x14ac:dyDescent="0.35">
      <c r="A5274">
        <v>2083</v>
      </c>
      <c r="B5274" s="1">
        <v>45631</v>
      </c>
      <c r="C5274" t="s">
        <v>18</v>
      </c>
      <c r="D5274" s="2">
        <v>0</v>
      </c>
      <c r="E5274" s="2">
        <v>881.51</v>
      </c>
      <c r="F5274" t="s">
        <v>23</v>
      </c>
      <c r="G5274" t="s">
        <v>17</v>
      </c>
    </row>
    <row r="5275" spans="1:7" x14ac:dyDescent="0.35">
      <c r="A5275">
        <v>2084</v>
      </c>
      <c r="B5275" s="1">
        <v>45631</v>
      </c>
      <c r="C5275" t="s">
        <v>12</v>
      </c>
      <c r="D5275" s="2">
        <v>2765.99</v>
      </c>
      <c r="E5275" s="2">
        <v>0</v>
      </c>
      <c r="F5275" t="s">
        <v>13</v>
      </c>
      <c r="G5275" t="s">
        <v>9</v>
      </c>
    </row>
    <row r="5276" spans="1:7" x14ac:dyDescent="0.35">
      <c r="A5276">
        <v>2084</v>
      </c>
      <c r="B5276" s="1">
        <v>45631</v>
      </c>
      <c r="C5276" t="s">
        <v>12</v>
      </c>
      <c r="D5276" s="2">
        <v>0</v>
      </c>
      <c r="E5276" s="2">
        <v>2573.0100000000002</v>
      </c>
      <c r="F5276" t="s">
        <v>14</v>
      </c>
      <c r="G5276" t="s">
        <v>15</v>
      </c>
    </row>
    <row r="5277" spans="1:7" x14ac:dyDescent="0.35">
      <c r="A5277">
        <v>2084</v>
      </c>
      <c r="B5277" s="1">
        <v>45631</v>
      </c>
      <c r="C5277" t="s">
        <v>12</v>
      </c>
      <c r="D5277" s="2">
        <v>0</v>
      </c>
      <c r="E5277" s="2">
        <v>192.98</v>
      </c>
      <c r="F5277" t="s">
        <v>16</v>
      </c>
      <c r="G5277" t="s">
        <v>17</v>
      </c>
    </row>
    <row r="5278" spans="1:7" x14ac:dyDescent="0.35">
      <c r="A5278">
        <v>2085</v>
      </c>
      <c r="B5278" s="1">
        <v>45631</v>
      </c>
      <c r="C5278" t="s">
        <v>12</v>
      </c>
      <c r="D5278" s="2">
        <v>395.82</v>
      </c>
      <c r="E5278" s="2">
        <v>0</v>
      </c>
      <c r="F5278" t="s">
        <v>13</v>
      </c>
      <c r="G5278" t="s">
        <v>9</v>
      </c>
    </row>
    <row r="5279" spans="1:7" x14ac:dyDescent="0.35">
      <c r="A5279">
        <v>2085</v>
      </c>
      <c r="B5279" s="1">
        <v>45631</v>
      </c>
      <c r="C5279" t="s">
        <v>12</v>
      </c>
      <c r="D5279" s="2">
        <v>0</v>
      </c>
      <c r="E5279" s="2">
        <v>368.2</v>
      </c>
      <c r="F5279" t="s">
        <v>14</v>
      </c>
      <c r="G5279" t="s">
        <v>15</v>
      </c>
    </row>
    <row r="5280" spans="1:7" x14ac:dyDescent="0.35">
      <c r="A5280">
        <v>2085</v>
      </c>
      <c r="B5280" s="1">
        <v>45631</v>
      </c>
      <c r="C5280" t="s">
        <v>12</v>
      </c>
      <c r="D5280" s="2">
        <v>0</v>
      </c>
      <c r="E5280" s="2">
        <v>27.62</v>
      </c>
      <c r="F5280" t="s">
        <v>16</v>
      </c>
      <c r="G5280" t="s">
        <v>17</v>
      </c>
    </row>
    <row r="5281" spans="1:7" x14ac:dyDescent="0.35">
      <c r="A5281">
        <v>2086</v>
      </c>
      <c r="B5281" s="1">
        <v>45631</v>
      </c>
      <c r="C5281" t="s">
        <v>12</v>
      </c>
      <c r="D5281" s="2">
        <v>148.80000000000001</v>
      </c>
      <c r="E5281" s="2">
        <v>0</v>
      </c>
      <c r="F5281" t="s">
        <v>13</v>
      </c>
      <c r="G5281" t="s">
        <v>9</v>
      </c>
    </row>
    <row r="5282" spans="1:7" x14ac:dyDescent="0.35">
      <c r="A5282">
        <v>2086</v>
      </c>
      <c r="B5282" s="1">
        <v>45631</v>
      </c>
      <c r="C5282" t="s">
        <v>12</v>
      </c>
      <c r="D5282" s="2">
        <v>0</v>
      </c>
      <c r="E5282" s="2">
        <v>138.41999999999999</v>
      </c>
      <c r="F5282" t="s">
        <v>14</v>
      </c>
      <c r="G5282" t="s">
        <v>15</v>
      </c>
    </row>
    <row r="5283" spans="1:7" x14ac:dyDescent="0.35">
      <c r="A5283">
        <v>2086</v>
      </c>
      <c r="B5283" s="1">
        <v>45631</v>
      </c>
      <c r="C5283" t="s">
        <v>12</v>
      </c>
      <c r="D5283" s="2">
        <v>0</v>
      </c>
      <c r="E5283" s="2">
        <v>10.38</v>
      </c>
      <c r="F5283" t="s">
        <v>16</v>
      </c>
      <c r="G5283" t="s">
        <v>17</v>
      </c>
    </row>
    <row r="5284" spans="1:7" x14ac:dyDescent="0.35">
      <c r="A5284">
        <v>2087</v>
      </c>
      <c r="B5284" s="1">
        <v>45631</v>
      </c>
      <c r="C5284" t="s">
        <v>12</v>
      </c>
      <c r="D5284" s="2">
        <v>1223.1099999999999</v>
      </c>
      <c r="E5284" s="2">
        <v>0</v>
      </c>
      <c r="F5284" t="s">
        <v>13</v>
      </c>
      <c r="G5284" t="s">
        <v>9</v>
      </c>
    </row>
    <row r="5285" spans="1:7" x14ac:dyDescent="0.35">
      <c r="A5285">
        <v>2087</v>
      </c>
      <c r="B5285" s="1">
        <v>45631</v>
      </c>
      <c r="C5285" t="s">
        <v>12</v>
      </c>
      <c r="D5285" s="2">
        <v>0</v>
      </c>
      <c r="E5285" s="2">
        <v>1137.78</v>
      </c>
      <c r="F5285" t="s">
        <v>14</v>
      </c>
      <c r="G5285" t="s">
        <v>15</v>
      </c>
    </row>
    <row r="5286" spans="1:7" x14ac:dyDescent="0.35">
      <c r="A5286">
        <v>2087</v>
      </c>
      <c r="B5286" s="1">
        <v>45631</v>
      </c>
      <c r="C5286" t="s">
        <v>12</v>
      </c>
      <c r="D5286" s="2">
        <v>0</v>
      </c>
      <c r="E5286" s="2">
        <v>85.33</v>
      </c>
      <c r="F5286" t="s">
        <v>16</v>
      </c>
      <c r="G5286" t="s">
        <v>17</v>
      </c>
    </row>
    <row r="5287" spans="1:7" x14ac:dyDescent="0.35">
      <c r="A5287">
        <v>2088</v>
      </c>
      <c r="B5287" s="1">
        <v>45631</v>
      </c>
      <c r="C5287" t="s">
        <v>12</v>
      </c>
      <c r="D5287" s="2">
        <v>180.07</v>
      </c>
      <c r="E5287" s="2">
        <v>0</v>
      </c>
      <c r="F5287" t="s">
        <v>13</v>
      </c>
      <c r="G5287" t="s">
        <v>9</v>
      </c>
    </row>
    <row r="5288" spans="1:7" x14ac:dyDescent="0.35">
      <c r="A5288">
        <v>2088</v>
      </c>
      <c r="B5288" s="1">
        <v>45631</v>
      </c>
      <c r="C5288" t="s">
        <v>12</v>
      </c>
      <c r="D5288" s="2">
        <v>0</v>
      </c>
      <c r="E5288" s="2">
        <v>167.5</v>
      </c>
      <c r="F5288" t="s">
        <v>14</v>
      </c>
      <c r="G5288" t="s">
        <v>15</v>
      </c>
    </row>
    <row r="5289" spans="1:7" x14ac:dyDescent="0.35">
      <c r="A5289">
        <v>2088</v>
      </c>
      <c r="B5289" s="1">
        <v>45631</v>
      </c>
      <c r="C5289" t="s">
        <v>12</v>
      </c>
      <c r="D5289" s="2">
        <v>0</v>
      </c>
      <c r="E5289" s="2">
        <v>12.57</v>
      </c>
      <c r="F5289" t="s">
        <v>16</v>
      </c>
      <c r="G5289" t="s">
        <v>17</v>
      </c>
    </row>
    <row r="5290" spans="1:7" x14ac:dyDescent="0.35">
      <c r="A5290">
        <v>2089</v>
      </c>
      <c r="B5290" s="1">
        <v>45631</v>
      </c>
      <c r="C5290" t="s">
        <v>12</v>
      </c>
      <c r="D5290" s="2">
        <v>3241.33</v>
      </c>
      <c r="E5290" s="2">
        <v>0</v>
      </c>
      <c r="F5290" t="s">
        <v>13</v>
      </c>
      <c r="G5290" t="s">
        <v>9</v>
      </c>
    </row>
    <row r="5291" spans="1:7" x14ac:dyDescent="0.35">
      <c r="A5291">
        <v>2089</v>
      </c>
      <c r="B5291" s="1">
        <v>45631</v>
      </c>
      <c r="C5291" t="s">
        <v>12</v>
      </c>
      <c r="D5291" s="2">
        <v>0</v>
      </c>
      <c r="E5291" s="2">
        <v>3015.19</v>
      </c>
      <c r="F5291" t="s">
        <v>14</v>
      </c>
      <c r="G5291" t="s">
        <v>15</v>
      </c>
    </row>
    <row r="5292" spans="1:7" x14ac:dyDescent="0.35">
      <c r="A5292">
        <v>2089</v>
      </c>
      <c r="B5292" s="1">
        <v>45631</v>
      </c>
      <c r="C5292" t="s">
        <v>12</v>
      </c>
      <c r="D5292" s="2">
        <v>0</v>
      </c>
      <c r="E5292" s="2">
        <v>226.14</v>
      </c>
      <c r="F5292" t="s">
        <v>16</v>
      </c>
      <c r="G5292" t="s">
        <v>17</v>
      </c>
    </row>
    <row r="5293" spans="1:7" x14ac:dyDescent="0.35">
      <c r="A5293">
        <v>2090</v>
      </c>
      <c r="B5293" s="1">
        <v>45631</v>
      </c>
      <c r="C5293" t="s">
        <v>12</v>
      </c>
      <c r="D5293" s="2">
        <v>1176.67</v>
      </c>
      <c r="E5293" s="2">
        <v>0</v>
      </c>
      <c r="F5293" t="s">
        <v>13</v>
      </c>
      <c r="G5293" t="s">
        <v>9</v>
      </c>
    </row>
    <row r="5294" spans="1:7" x14ac:dyDescent="0.35">
      <c r="A5294">
        <v>2090</v>
      </c>
      <c r="B5294" s="1">
        <v>45631</v>
      </c>
      <c r="C5294" t="s">
        <v>12</v>
      </c>
      <c r="D5294" s="2">
        <v>0</v>
      </c>
      <c r="E5294" s="2">
        <v>1094.58</v>
      </c>
      <c r="F5294" t="s">
        <v>14</v>
      </c>
      <c r="G5294" t="s">
        <v>15</v>
      </c>
    </row>
    <row r="5295" spans="1:7" x14ac:dyDescent="0.35">
      <c r="A5295">
        <v>2090</v>
      </c>
      <c r="B5295" s="1">
        <v>45631</v>
      </c>
      <c r="C5295" t="s">
        <v>12</v>
      </c>
      <c r="D5295" s="2">
        <v>0</v>
      </c>
      <c r="E5295" s="2">
        <v>82.09</v>
      </c>
      <c r="F5295" t="s">
        <v>16</v>
      </c>
      <c r="G5295" t="s">
        <v>17</v>
      </c>
    </row>
    <row r="5296" spans="1:7" x14ac:dyDescent="0.35">
      <c r="A5296">
        <v>2091</v>
      </c>
      <c r="B5296" s="1">
        <v>45631</v>
      </c>
      <c r="C5296" t="s">
        <v>12</v>
      </c>
      <c r="D5296" s="2">
        <v>1152.52</v>
      </c>
      <c r="E5296" s="2">
        <v>0</v>
      </c>
      <c r="F5296" t="s">
        <v>13</v>
      </c>
      <c r="G5296" t="s">
        <v>9</v>
      </c>
    </row>
    <row r="5297" spans="1:7" x14ac:dyDescent="0.35">
      <c r="A5297">
        <v>2091</v>
      </c>
      <c r="B5297" s="1">
        <v>45631</v>
      </c>
      <c r="C5297" t="s">
        <v>12</v>
      </c>
      <c r="D5297" s="2">
        <v>0</v>
      </c>
      <c r="E5297" s="2">
        <v>1072.1199999999999</v>
      </c>
      <c r="F5297" t="s">
        <v>14</v>
      </c>
      <c r="G5297" t="s">
        <v>15</v>
      </c>
    </row>
    <row r="5298" spans="1:7" x14ac:dyDescent="0.35">
      <c r="A5298">
        <v>2091</v>
      </c>
      <c r="B5298" s="1">
        <v>45631</v>
      </c>
      <c r="C5298" t="s">
        <v>12</v>
      </c>
      <c r="D5298" s="2">
        <v>0</v>
      </c>
      <c r="E5298" s="2">
        <v>80.400000000000006</v>
      </c>
      <c r="F5298" t="s">
        <v>16</v>
      </c>
      <c r="G5298" t="s">
        <v>17</v>
      </c>
    </row>
    <row r="5299" spans="1:7" x14ac:dyDescent="0.35">
      <c r="A5299">
        <v>2092</v>
      </c>
      <c r="B5299" s="1">
        <v>45631</v>
      </c>
      <c r="C5299" t="s">
        <v>12</v>
      </c>
      <c r="D5299" s="2">
        <v>884.74</v>
      </c>
      <c r="E5299" s="2">
        <v>0</v>
      </c>
      <c r="F5299" t="s">
        <v>13</v>
      </c>
      <c r="G5299" t="s">
        <v>9</v>
      </c>
    </row>
    <row r="5300" spans="1:7" x14ac:dyDescent="0.35">
      <c r="A5300">
        <v>2092</v>
      </c>
      <c r="B5300" s="1">
        <v>45631</v>
      </c>
      <c r="C5300" t="s">
        <v>12</v>
      </c>
      <c r="D5300" s="2">
        <v>0</v>
      </c>
      <c r="E5300" s="2">
        <v>823.02</v>
      </c>
      <c r="F5300" t="s">
        <v>14</v>
      </c>
      <c r="G5300" t="s">
        <v>15</v>
      </c>
    </row>
    <row r="5301" spans="1:7" x14ac:dyDescent="0.35">
      <c r="A5301">
        <v>2092</v>
      </c>
      <c r="B5301" s="1">
        <v>45631</v>
      </c>
      <c r="C5301" t="s">
        <v>12</v>
      </c>
      <c r="D5301" s="2">
        <v>0</v>
      </c>
      <c r="E5301" s="2">
        <v>61.72</v>
      </c>
      <c r="F5301" t="s">
        <v>16</v>
      </c>
      <c r="G5301" t="s">
        <v>17</v>
      </c>
    </row>
    <row r="5302" spans="1:7" x14ac:dyDescent="0.35">
      <c r="A5302">
        <v>2093</v>
      </c>
      <c r="B5302" s="1">
        <v>45631</v>
      </c>
      <c r="C5302" t="s">
        <v>12</v>
      </c>
      <c r="D5302" s="2">
        <v>785.56</v>
      </c>
      <c r="E5302" s="2">
        <v>0</v>
      </c>
      <c r="F5302" t="s">
        <v>13</v>
      </c>
      <c r="G5302" t="s">
        <v>9</v>
      </c>
    </row>
    <row r="5303" spans="1:7" x14ac:dyDescent="0.35">
      <c r="A5303">
        <v>2093</v>
      </c>
      <c r="B5303" s="1">
        <v>45631</v>
      </c>
      <c r="C5303" t="s">
        <v>12</v>
      </c>
      <c r="D5303" s="2">
        <v>0</v>
      </c>
      <c r="E5303" s="2">
        <v>730.75</v>
      </c>
      <c r="F5303" t="s">
        <v>14</v>
      </c>
      <c r="G5303" t="s">
        <v>15</v>
      </c>
    </row>
    <row r="5304" spans="1:7" x14ac:dyDescent="0.35">
      <c r="A5304">
        <v>2093</v>
      </c>
      <c r="B5304" s="1">
        <v>45631</v>
      </c>
      <c r="C5304" t="s">
        <v>12</v>
      </c>
      <c r="D5304" s="2">
        <v>0</v>
      </c>
      <c r="E5304" s="2">
        <v>54.81</v>
      </c>
      <c r="F5304" t="s">
        <v>16</v>
      </c>
      <c r="G5304" t="s">
        <v>17</v>
      </c>
    </row>
    <row r="5305" spans="1:7" x14ac:dyDescent="0.35">
      <c r="A5305">
        <v>2094</v>
      </c>
      <c r="B5305" s="1">
        <v>45631</v>
      </c>
      <c r="C5305" t="s">
        <v>12</v>
      </c>
      <c r="D5305" s="2">
        <v>64.94</v>
      </c>
      <c r="E5305" s="2">
        <v>0</v>
      </c>
      <c r="F5305" t="s">
        <v>13</v>
      </c>
      <c r="G5305" t="s">
        <v>9</v>
      </c>
    </row>
    <row r="5306" spans="1:7" x14ac:dyDescent="0.35">
      <c r="A5306">
        <v>2094</v>
      </c>
      <c r="B5306" s="1">
        <v>45631</v>
      </c>
      <c r="C5306" t="s">
        <v>12</v>
      </c>
      <c r="D5306" s="2">
        <v>0</v>
      </c>
      <c r="E5306" s="2">
        <v>60.41</v>
      </c>
      <c r="F5306" t="s">
        <v>14</v>
      </c>
      <c r="G5306" t="s">
        <v>15</v>
      </c>
    </row>
    <row r="5307" spans="1:7" x14ac:dyDescent="0.35">
      <c r="A5307">
        <v>2094</v>
      </c>
      <c r="B5307" s="1">
        <v>45631</v>
      </c>
      <c r="C5307" t="s">
        <v>12</v>
      </c>
      <c r="D5307" s="2">
        <v>0</v>
      </c>
      <c r="E5307" s="2">
        <v>4.53</v>
      </c>
      <c r="F5307" t="s">
        <v>16</v>
      </c>
      <c r="G5307" t="s">
        <v>17</v>
      </c>
    </row>
    <row r="5308" spans="1:7" x14ac:dyDescent="0.35">
      <c r="A5308">
        <v>2095</v>
      </c>
      <c r="B5308" s="1">
        <v>45631</v>
      </c>
      <c r="C5308" t="s">
        <v>12</v>
      </c>
      <c r="D5308" s="2">
        <v>989.64</v>
      </c>
      <c r="E5308" s="2">
        <v>0</v>
      </c>
      <c r="F5308" t="s">
        <v>13</v>
      </c>
      <c r="G5308" t="s">
        <v>9</v>
      </c>
    </row>
    <row r="5309" spans="1:7" x14ac:dyDescent="0.35">
      <c r="A5309">
        <v>2095</v>
      </c>
      <c r="B5309" s="1">
        <v>45631</v>
      </c>
      <c r="C5309" t="s">
        <v>12</v>
      </c>
      <c r="D5309" s="2">
        <v>0</v>
      </c>
      <c r="E5309" s="2">
        <v>920.6</v>
      </c>
      <c r="F5309" t="s">
        <v>14</v>
      </c>
      <c r="G5309" t="s">
        <v>15</v>
      </c>
    </row>
    <row r="5310" spans="1:7" x14ac:dyDescent="0.35">
      <c r="A5310">
        <v>2095</v>
      </c>
      <c r="B5310" s="1">
        <v>45631</v>
      </c>
      <c r="C5310" t="s">
        <v>12</v>
      </c>
      <c r="D5310" s="2">
        <v>0</v>
      </c>
      <c r="E5310" s="2">
        <v>69.040000000000006</v>
      </c>
      <c r="F5310" t="s">
        <v>16</v>
      </c>
      <c r="G5310" t="s">
        <v>17</v>
      </c>
    </row>
    <row r="5311" spans="1:7" x14ac:dyDescent="0.35">
      <c r="A5311">
        <v>2096</v>
      </c>
      <c r="B5311" s="1">
        <v>45631</v>
      </c>
      <c r="C5311" t="s">
        <v>12</v>
      </c>
      <c r="D5311" s="2">
        <v>971.82</v>
      </c>
      <c r="E5311" s="2">
        <v>0</v>
      </c>
      <c r="F5311" t="s">
        <v>13</v>
      </c>
      <c r="G5311" t="s">
        <v>9</v>
      </c>
    </row>
    <row r="5312" spans="1:7" x14ac:dyDescent="0.35">
      <c r="A5312">
        <v>2096</v>
      </c>
      <c r="B5312" s="1">
        <v>45631</v>
      </c>
      <c r="C5312" t="s">
        <v>12</v>
      </c>
      <c r="D5312" s="2">
        <v>0</v>
      </c>
      <c r="E5312" s="2">
        <v>904.01</v>
      </c>
      <c r="F5312" t="s">
        <v>14</v>
      </c>
      <c r="G5312" t="s">
        <v>15</v>
      </c>
    </row>
    <row r="5313" spans="1:7" x14ac:dyDescent="0.35">
      <c r="A5313">
        <v>2096</v>
      </c>
      <c r="B5313" s="1">
        <v>45631</v>
      </c>
      <c r="C5313" t="s">
        <v>12</v>
      </c>
      <c r="D5313" s="2">
        <v>0</v>
      </c>
      <c r="E5313" s="2">
        <v>67.81</v>
      </c>
      <c r="F5313" t="s">
        <v>16</v>
      </c>
      <c r="G5313" t="s">
        <v>17</v>
      </c>
    </row>
    <row r="5314" spans="1:7" x14ac:dyDescent="0.35">
      <c r="A5314">
        <v>2097</v>
      </c>
      <c r="B5314" s="1">
        <v>45631</v>
      </c>
      <c r="C5314" t="s">
        <v>24</v>
      </c>
      <c r="D5314" s="2">
        <v>2437.54</v>
      </c>
      <c r="E5314" s="2">
        <v>0</v>
      </c>
      <c r="F5314" t="s">
        <v>8</v>
      </c>
      <c r="G5314" t="s">
        <v>9</v>
      </c>
    </row>
    <row r="5315" spans="1:7" x14ac:dyDescent="0.35">
      <c r="A5315">
        <v>2097</v>
      </c>
      <c r="B5315" s="1">
        <v>45631</v>
      </c>
      <c r="C5315" t="s">
        <v>24</v>
      </c>
      <c r="D5315" s="2">
        <v>0</v>
      </c>
      <c r="E5315" s="2">
        <v>2437.54</v>
      </c>
      <c r="F5315" t="s">
        <v>13</v>
      </c>
      <c r="G5315" t="s">
        <v>9</v>
      </c>
    </row>
    <row r="5316" spans="1:7" x14ac:dyDescent="0.35">
      <c r="A5316">
        <v>2098</v>
      </c>
      <c r="B5316" s="1">
        <v>45631</v>
      </c>
      <c r="C5316" t="s">
        <v>24</v>
      </c>
      <c r="D5316" s="2">
        <v>790.45</v>
      </c>
      <c r="E5316" s="2">
        <v>0</v>
      </c>
      <c r="F5316" t="s">
        <v>8</v>
      </c>
      <c r="G5316" t="s">
        <v>9</v>
      </c>
    </row>
    <row r="5317" spans="1:7" x14ac:dyDescent="0.35">
      <c r="A5317">
        <v>2098</v>
      </c>
      <c r="B5317" s="1">
        <v>45631</v>
      </c>
      <c r="C5317" t="s">
        <v>24</v>
      </c>
      <c r="D5317" s="2">
        <v>0</v>
      </c>
      <c r="E5317" s="2">
        <v>790.45</v>
      </c>
      <c r="F5317" t="s">
        <v>13</v>
      </c>
      <c r="G5317" t="s">
        <v>9</v>
      </c>
    </row>
    <row r="5318" spans="1:7" x14ac:dyDescent="0.35">
      <c r="A5318">
        <v>2099</v>
      </c>
      <c r="B5318" s="1">
        <v>45631</v>
      </c>
      <c r="C5318" t="s">
        <v>24</v>
      </c>
      <c r="D5318" s="2">
        <v>683.92</v>
      </c>
      <c r="E5318" s="2">
        <v>0</v>
      </c>
      <c r="F5318" t="s">
        <v>8</v>
      </c>
      <c r="G5318" t="s">
        <v>9</v>
      </c>
    </row>
    <row r="5319" spans="1:7" x14ac:dyDescent="0.35">
      <c r="A5319">
        <v>2099</v>
      </c>
      <c r="B5319" s="1">
        <v>45631</v>
      </c>
      <c r="C5319" t="s">
        <v>24</v>
      </c>
      <c r="D5319" s="2">
        <v>0</v>
      </c>
      <c r="E5319" s="2">
        <v>683.92</v>
      </c>
      <c r="F5319" t="s">
        <v>13</v>
      </c>
      <c r="G5319" t="s">
        <v>9</v>
      </c>
    </row>
    <row r="5320" spans="1:7" x14ac:dyDescent="0.35">
      <c r="A5320">
        <v>2100</v>
      </c>
      <c r="B5320" s="1">
        <v>45631</v>
      </c>
      <c r="C5320" t="s">
        <v>24</v>
      </c>
      <c r="D5320" s="2">
        <v>1125.8900000000001</v>
      </c>
      <c r="E5320" s="2">
        <v>0</v>
      </c>
      <c r="F5320" t="s">
        <v>8</v>
      </c>
      <c r="G5320" t="s">
        <v>9</v>
      </c>
    </row>
    <row r="5321" spans="1:7" x14ac:dyDescent="0.35">
      <c r="A5321">
        <v>2100</v>
      </c>
      <c r="B5321" s="1">
        <v>45631</v>
      </c>
      <c r="C5321" t="s">
        <v>24</v>
      </c>
      <c r="D5321" s="2">
        <v>0</v>
      </c>
      <c r="E5321" s="2">
        <v>1125.8900000000001</v>
      </c>
      <c r="F5321" t="s">
        <v>13</v>
      </c>
      <c r="G5321" t="s">
        <v>9</v>
      </c>
    </row>
    <row r="5322" spans="1:7" x14ac:dyDescent="0.35">
      <c r="A5322">
        <v>2101</v>
      </c>
      <c r="B5322" s="1">
        <v>45631</v>
      </c>
      <c r="C5322" t="s">
        <v>24</v>
      </c>
      <c r="D5322" s="2">
        <v>989.64</v>
      </c>
      <c r="E5322" s="2">
        <v>0</v>
      </c>
      <c r="F5322" t="s">
        <v>8</v>
      </c>
      <c r="G5322" t="s">
        <v>9</v>
      </c>
    </row>
    <row r="5323" spans="1:7" x14ac:dyDescent="0.35">
      <c r="A5323">
        <v>2101</v>
      </c>
      <c r="B5323" s="1">
        <v>45631</v>
      </c>
      <c r="C5323" t="s">
        <v>24</v>
      </c>
      <c r="D5323" s="2">
        <v>0</v>
      </c>
      <c r="E5323" s="2">
        <v>989.64</v>
      </c>
      <c r="F5323" t="s">
        <v>13</v>
      </c>
      <c r="G5323" t="s">
        <v>9</v>
      </c>
    </row>
    <row r="5324" spans="1:7" x14ac:dyDescent="0.35">
      <c r="A5324">
        <v>2102</v>
      </c>
      <c r="B5324" s="1">
        <v>45631</v>
      </c>
      <c r="C5324" t="s">
        <v>29</v>
      </c>
      <c r="D5324" s="2">
        <v>1794.11</v>
      </c>
      <c r="E5324" s="2">
        <v>0</v>
      </c>
      <c r="F5324" t="s">
        <v>28</v>
      </c>
      <c r="G5324" t="s">
        <v>17</v>
      </c>
    </row>
    <row r="5325" spans="1:7" x14ac:dyDescent="0.35">
      <c r="A5325">
        <v>2102</v>
      </c>
      <c r="B5325" s="1">
        <v>45631</v>
      </c>
      <c r="C5325" t="s">
        <v>29</v>
      </c>
      <c r="D5325" s="2">
        <v>0</v>
      </c>
      <c r="E5325" s="2">
        <v>1794.11</v>
      </c>
      <c r="F5325" t="s">
        <v>8</v>
      </c>
      <c r="G5325" t="s">
        <v>9</v>
      </c>
    </row>
    <row r="5326" spans="1:7" x14ac:dyDescent="0.35">
      <c r="A5326">
        <v>2103</v>
      </c>
      <c r="B5326" s="1">
        <v>45631</v>
      </c>
      <c r="C5326" t="s">
        <v>29</v>
      </c>
      <c r="D5326" s="2">
        <v>1935.04</v>
      </c>
      <c r="E5326" s="2">
        <v>0</v>
      </c>
      <c r="F5326" t="s">
        <v>28</v>
      </c>
      <c r="G5326" t="s">
        <v>17</v>
      </c>
    </row>
    <row r="5327" spans="1:7" x14ac:dyDescent="0.35">
      <c r="A5327">
        <v>2103</v>
      </c>
      <c r="B5327" s="1">
        <v>45631</v>
      </c>
      <c r="C5327" t="s">
        <v>29</v>
      </c>
      <c r="D5327" s="2">
        <v>0</v>
      </c>
      <c r="E5327" s="2">
        <v>1935.04</v>
      </c>
      <c r="F5327" t="s">
        <v>8</v>
      </c>
      <c r="G5327" t="s">
        <v>9</v>
      </c>
    </row>
    <row r="5328" spans="1:7" x14ac:dyDescent="0.35">
      <c r="A5328">
        <v>2104</v>
      </c>
      <c r="B5328" s="1">
        <v>45632</v>
      </c>
      <c r="C5328" t="s">
        <v>12</v>
      </c>
      <c r="D5328" s="2">
        <v>6476.78</v>
      </c>
      <c r="E5328" s="2">
        <v>0</v>
      </c>
      <c r="F5328" t="s">
        <v>13</v>
      </c>
      <c r="G5328" t="s">
        <v>9</v>
      </c>
    </row>
    <row r="5329" spans="1:7" x14ac:dyDescent="0.35">
      <c r="A5329">
        <v>2104</v>
      </c>
      <c r="B5329" s="1">
        <v>45632</v>
      </c>
      <c r="C5329" t="s">
        <v>12</v>
      </c>
      <c r="D5329" s="2">
        <v>0</v>
      </c>
      <c r="E5329" s="2">
        <v>6024.91</v>
      </c>
      <c r="F5329" t="s">
        <v>14</v>
      </c>
      <c r="G5329" t="s">
        <v>15</v>
      </c>
    </row>
    <row r="5330" spans="1:7" x14ac:dyDescent="0.35">
      <c r="A5330">
        <v>2104</v>
      </c>
      <c r="B5330" s="1">
        <v>45632</v>
      </c>
      <c r="C5330" t="s">
        <v>12</v>
      </c>
      <c r="D5330" s="2">
        <v>0</v>
      </c>
      <c r="E5330" s="2">
        <v>451.87</v>
      </c>
      <c r="F5330" t="s">
        <v>16</v>
      </c>
      <c r="G5330" t="s">
        <v>17</v>
      </c>
    </row>
    <row r="5331" spans="1:7" x14ac:dyDescent="0.35">
      <c r="A5331">
        <v>2105</v>
      </c>
      <c r="B5331" s="1">
        <v>45632</v>
      </c>
      <c r="C5331" t="s">
        <v>12</v>
      </c>
      <c r="D5331" s="2">
        <v>1439.81</v>
      </c>
      <c r="E5331" s="2">
        <v>0</v>
      </c>
      <c r="F5331" t="s">
        <v>13</v>
      </c>
      <c r="G5331" t="s">
        <v>9</v>
      </c>
    </row>
    <row r="5332" spans="1:7" x14ac:dyDescent="0.35">
      <c r="A5332">
        <v>2105</v>
      </c>
      <c r="B5332" s="1">
        <v>45632</v>
      </c>
      <c r="C5332" t="s">
        <v>12</v>
      </c>
      <c r="D5332" s="2">
        <v>0</v>
      </c>
      <c r="E5332" s="2">
        <v>1339.35</v>
      </c>
      <c r="F5332" t="s">
        <v>14</v>
      </c>
      <c r="G5332" t="s">
        <v>15</v>
      </c>
    </row>
    <row r="5333" spans="1:7" x14ac:dyDescent="0.35">
      <c r="A5333">
        <v>2105</v>
      </c>
      <c r="B5333" s="1">
        <v>45632</v>
      </c>
      <c r="C5333" t="s">
        <v>12</v>
      </c>
      <c r="D5333" s="2">
        <v>0</v>
      </c>
      <c r="E5333" s="2">
        <v>100.46</v>
      </c>
      <c r="F5333" t="s">
        <v>16</v>
      </c>
      <c r="G5333" t="s">
        <v>17</v>
      </c>
    </row>
    <row r="5334" spans="1:7" x14ac:dyDescent="0.35">
      <c r="A5334">
        <v>2106</v>
      </c>
      <c r="B5334" s="1">
        <v>45632</v>
      </c>
      <c r="C5334" t="s">
        <v>12</v>
      </c>
      <c r="D5334" s="2">
        <v>1285.44</v>
      </c>
      <c r="E5334" s="2">
        <v>0</v>
      </c>
      <c r="F5334" t="s">
        <v>13</v>
      </c>
      <c r="G5334" t="s">
        <v>9</v>
      </c>
    </row>
    <row r="5335" spans="1:7" x14ac:dyDescent="0.35">
      <c r="A5335">
        <v>2106</v>
      </c>
      <c r="B5335" s="1">
        <v>45632</v>
      </c>
      <c r="C5335" t="s">
        <v>12</v>
      </c>
      <c r="D5335" s="2">
        <v>0</v>
      </c>
      <c r="E5335" s="2">
        <v>1195.76</v>
      </c>
      <c r="F5335" t="s">
        <v>14</v>
      </c>
      <c r="G5335" t="s">
        <v>15</v>
      </c>
    </row>
    <row r="5336" spans="1:7" x14ac:dyDescent="0.35">
      <c r="A5336">
        <v>2106</v>
      </c>
      <c r="B5336" s="1">
        <v>45632</v>
      </c>
      <c r="C5336" t="s">
        <v>12</v>
      </c>
      <c r="D5336" s="2">
        <v>0</v>
      </c>
      <c r="E5336" s="2">
        <v>89.68</v>
      </c>
      <c r="F5336" t="s">
        <v>16</v>
      </c>
      <c r="G5336" t="s">
        <v>17</v>
      </c>
    </row>
    <row r="5337" spans="1:7" x14ac:dyDescent="0.35">
      <c r="A5337">
        <v>2107</v>
      </c>
      <c r="B5337" s="1">
        <v>45632</v>
      </c>
      <c r="C5337" t="s">
        <v>12</v>
      </c>
      <c r="D5337" s="2">
        <v>3017.17</v>
      </c>
      <c r="E5337" s="2">
        <v>0</v>
      </c>
      <c r="F5337" t="s">
        <v>13</v>
      </c>
      <c r="G5337" t="s">
        <v>9</v>
      </c>
    </row>
    <row r="5338" spans="1:7" x14ac:dyDescent="0.35">
      <c r="A5338">
        <v>2107</v>
      </c>
      <c r="B5338" s="1">
        <v>45632</v>
      </c>
      <c r="C5338" t="s">
        <v>12</v>
      </c>
      <c r="D5338" s="2">
        <v>0</v>
      </c>
      <c r="E5338" s="2">
        <v>2806.66</v>
      </c>
      <c r="F5338" t="s">
        <v>14</v>
      </c>
      <c r="G5338" t="s">
        <v>15</v>
      </c>
    </row>
    <row r="5339" spans="1:7" x14ac:dyDescent="0.35">
      <c r="A5339">
        <v>2107</v>
      </c>
      <c r="B5339" s="1">
        <v>45632</v>
      </c>
      <c r="C5339" t="s">
        <v>12</v>
      </c>
      <c r="D5339" s="2">
        <v>0</v>
      </c>
      <c r="E5339" s="2">
        <v>210.51</v>
      </c>
      <c r="F5339" t="s">
        <v>16</v>
      </c>
      <c r="G5339" t="s">
        <v>17</v>
      </c>
    </row>
    <row r="5340" spans="1:7" x14ac:dyDescent="0.35">
      <c r="A5340">
        <v>2108</v>
      </c>
      <c r="B5340" s="1">
        <v>45632</v>
      </c>
      <c r="C5340" t="s">
        <v>12</v>
      </c>
      <c r="D5340" s="2">
        <v>2058.2600000000002</v>
      </c>
      <c r="E5340" s="2">
        <v>0</v>
      </c>
      <c r="F5340" t="s">
        <v>13</v>
      </c>
      <c r="G5340" t="s">
        <v>9</v>
      </c>
    </row>
    <row r="5341" spans="1:7" x14ac:dyDescent="0.35">
      <c r="A5341">
        <v>2108</v>
      </c>
      <c r="B5341" s="1">
        <v>45632</v>
      </c>
      <c r="C5341" t="s">
        <v>12</v>
      </c>
      <c r="D5341" s="2">
        <v>0</v>
      </c>
      <c r="E5341" s="2">
        <v>1914.66</v>
      </c>
      <c r="F5341" t="s">
        <v>14</v>
      </c>
      <c r="G5341" t="s">
        <v>15</v>
      </c>
    </row>
    <row r="5342" spans="1:7" x14ac:dyDescent="0.35">
      <c r="A5342">
        <v>2108</v>
      </c>
      <c r="B5342" s="1">
        <v>45632</v>
      </c>
      <c r="C5342" t="s">
        <v>12</v>
      </c>
      <c r="D5342" s="2">
        <v>0</v>
      </c>
      <c r="E5342" s="2">
        <v>143.6</v>
      </c>
      <c r="F5342" t="s">
        <v>16</v>
      </c>
      <c r="G5342" t="s">
        <v>17</v>
      </c>
    </row>
    <row r="5343" spans="1:7" x14ac:dyDescent="0.35">
      <c r="A5343">
        <v>2109</v>
      </c>
      <c r="B5343" s="1">
        <v>45632</v>
      </c>
      <c r="C5343" t="s">
        <v>12</v>
      </c>
      <c r="D5343" s="2">
        <v>337.7</v>
      </c>
      <c r="E5343" s="2">
        <v>0</v>
      </c>
      <c r="F5343" t="s">
        <v>13</v>
      </c>
      <c r="G5343" t="s">
        <v>9</v>
      </c>
    </row>
    <row r="5344" spans="1:7" x14ac:dyDescent="0.35">
      <c r="A5344">
        <v>2109</v>
      </c>
      <c r="B5344" s="1">
        <v>45632</v>
      </c>
      <c r="C5344" t="s">
        <v>12</v>
      </c>
      <c r="D5344" s="2">
        <v>0</v>
      </c>
      <c r="E5344" s="2">
        <v>314.14</v>
      </c>
      <c r="F5344" t="s">
        <v>14</v>
      </c>
      <c r="G5344" t="s">
        <v>15</v>
      </c>
    </row>
    <row r="5345" spans="1:7" x14ac:dyDescent="0.35">
      <c r="A5345">
        <v>2109</v>
      </c>
      <c r="B5345" s="1">
        <v>45632</v>
      </c>
      <c r="C5345" t="s">
        <v>12</v>
      </c>
      <c r="D5345" s="2">
        <v>0</v>
      </c>
      <c r="E5345" s="2">
        <v>23.56</v>
      </c>
      <c r="F5345" t="s">
        <v>16</v>
      </c>
      <c r="G5345" t="s">
        <v>17</v>
      </c>
    </row>
    <row r="5346" spans="1:7" x14ac:dyDescent="0.35">
      <c r="A5346">
        <v>2110</v>
      </c>
      <c r="B5346" s="1">
        <v>45632</v>
      </c>
      <c r="C5346" t="s">
        <v>12</v>
      </c>
      <c r="D5346" s="2">
        <v>3253.17</v>
      </c>
      <c r="E5346" s="2">
        <v>0</v>
      </c>
      <c r="F5346" t="s">
        <v>13</v>
      </c>
      <c r="G5346" t="s">
        <v>9</v>
      </c>
    </row>
    <row r="5347" spans="1:7" x14ac:dyDescent="0.35">
      <c r="A5347">
        <v>2110</v>
      </c>
      <c r="B5347" s="1">
        <v>45632</v>
      </c>
      <c r="C5347" t="s">
        <v>12</v>
      </c>
      <c r="D5347" s="2">
        <v>0</v>
      </c>
      <c r="E5347" s="2">
        <v>3026.21</v>
      </c>
      <c r="F5347" t="s">
        <v>14</v>
      </c>
      <c r="G5347" t="s">
        <v>15</v>
      </c>
    </row>
    <row r="5348" spans="1:7" x14ac:dyDescent="0.35">
      <c r="A5348">
        <v>2110</v>
      </c>
      <c r="B5348" s="1">
        <v>45632</v>
      </c>
      <c r="C5348" t="s">
        <v>12</v>
      </c>
      <c r="D5348" s="2">
        <v>0</v>
      </c>
      <c r="E5348" s="2">
        <v>226.96</v>
      </c>
      <c r="F5348" t="s">
        <v>16</v>
      </c>
      <c r="G5348" t="s">
        <v>17</v>
      </c>
    </row>
    <row r="5349" spans="1:7" x14ac:dyDescent="0.35">
      <c r="A5349">
        <v>2111</v>
      </c>
      <c r="B5349" s="1">
        <v>45632</v>
      </c>
      <c r="C5349" t="s">
        <v>12</v>
      </c>
      <c r="D5349" s="2">
        <v>2913.26</v>
      </c>
      <c r="E5349" s="2">
        <v>0</v>
      </c>
      <c r="F5349" t="s">
        <v>13</v>
      </c>
      <c r="G5349" t="s">
        <v>9</v>
      </c>
    </row>
    <row r="5350" spans="1:7" x14ac:dyDescent="0.35">
      <c r="A5350">
        <v>2111</v>
      </c>
      <c r="B5350" s="1">
        <v>45632</v>
      </c>
      <c r="C5350" t="s">
        <v>12</v>
      </c>
      <c r="D5350" s="2">
        <v>0</v>
      </c>
      <c r="E5350" s="2">
        <v>2710</v>
      </c>
      <c r="F5350" t="s">
        <v>14</v>
      </c>
      <c r="G5350" t="s">
        <v>15</v>
      </c>
    </row>
    <row r="5351" spans="1:7" x14ac:dyDescent="0.35">
      <c r="A5351">
        <v>2111</v>
      </c>
      <c r="B5351" s="1">
        <v>45632</v>
      </c>
      <c r="C5351" t="s">
        <v>12</v>
      </c>
      <c r="D5351" s="2">
        <v>0</v>
      </c>
      <c r="E5351" s="2">
        <v>203.26</v>
      </c>
      <c r="F5351" t="s">
        <v>16</v>
      </c>
      <c r="G5351" t="s">
        <v>17</v>
      </c>
    </row>
    <row r="5352" spans="1:7" x14ac:dyDescent="0.35">
      <c r="A5352">
        <v>2112</v>
      </c>
      <c r="B5352" s="1">
        <v>45632</v>
      </c>
      <c r="C5352" t="s">
        <v>12</v>
      </c>
      <c r="D5352" s="2">
        <v>457.23</v>
      </c>
      <c r="E5352" s="2">
        <v>0</v>
      </c>
      <c r="F5352" t="s">
        <v>13</v>
      </c>
      <c r="G5352" t="s">
        <v>9</v>
      </c>
    </row>
    <row r="5353" spans="1:7" x14ac:dyDescent="0.35">
      <c r="A5353">
        <v>2112</v>
      </c>
      <c r="B5353" s="1">
        <v>45632</v>
      </c>
      <c r="C5353" t="s">
        <v>12</v>
      </c>
      <c r="D5353" s="2">
        <v>0</v>
      </c>
      <c r="E5353" s="2">
        <v>425.33</v>
      </c>
      <c r="F5353" t="s">
        <v>14</v>
      </c>
      <c r="G5353" t="s">
        <v>15</v>
      </c>
    </row>
    <row r="5354" spans="1:7" x14ac:dyDescent="0.35">
      <c r="A5354">
        <v>2112</v>
      </c>
      <c r="B5354" s="1">
        <v>45632</v>
      </c>
      <c r="C5354" t="s">
        <v>12</v>
      </c>
      <c r="D5354" s="2">
        <v>0</v>
      </c>
      <c r="E5354" s="2">
        <v>31.9</v>
      </c>
      <c r="F5354" t="s">
        <v>16</v>
      </c>
      <c r="G5354" t="s">
        <v>17</v>
      </c>
    </row>
    <row r="5355" spans="1:7" x14ac:dyDescent="0.35">
      <c r="A5355">
        <v>2113</v>
      </c>
      <c r="B5355" s="1">
        <v>45632</v>
      </c>
      <c r="C5355" t="s">
        <v>12</v>
      </c>
      <c r="D5355" s="2">
        <v>1703.94</v>
      </c>
      <c r="E5355" s="2">
        <v>0</v>
      </c>
      <c r="F5355" t="s">
        <v>13</v>
      </c>
      <c r="G5355" t="s">
        <v>9</v>
      </c>
    </row>
    <row r="5356" spans="1:7" x14ac:dyDescent="0.35">
      <c r="A5356">
        <v>2113</v>
      </c>
      <c r="B5356" s="1">
        <v>45632</v>
      </c>
      <c r="C5356" t="s">
        <v>12</v>
      </c>
      <c r="D5356" s="2">
        <v>0</v>
      </c>
      <c r="E5356" s="2">
        <v>1585.06</v>
      </c>
      <c r="F5356" t="s">
        <v>14</v>
      </c>
      <c r="G5356" t="s">
        <v>15</v>
      </c>
    </row>
    <row r="5357" spans="1:7" x14ac:dyDescent="0.35">
      <c r="A5357">
        <v>2113</v>
      </c>
      <c r="B5357" s="1">
        <v>45632</v>
      </c>
      <c r="C5357" t="s">
        <v>12</v>
      </c>
      <c r="D5357" s="2">
        <v>0</v>
      </c>
      <c r="E5357" s="2">
        <v>118.88</v>
      </c>
      <c r="F5357" t="s">
        <v>16</v>
      </c>
      <c r="G5357" t="s">
        <v>17</v>
      </c>
    </row>
    <row r="5358" spans="1:7" x14ac:dyDescent="0.35">
      <c r="A5358">
        <v>2114</v>
      </c>
      <c r="B5358" s="1">
        <v>45632</v>
      </c>
      <c r="C5358" t="s">
        <v>12</v>
      </c>
      <c r="D5358" s="2">
        <v>4164.3500000000004</v>
      </c>
      <c r="E5358" s="2">
        <v>0</v>
      </c>
      <c r="F5358" t="s">
        <v>13</v>
      </c>
      <c r="G5358" t="s">
        <v>9</v>
      </c>
    </row>
    <row r="5359" spans="1:7" x14ac:dyDescent="0.35">
      <c r="A5359">
        <v>2114</v>
      </c>
      <c r="B5359" s="1">
        <v>45632</v>
      </c>
      <c r="C5359" t="s">
        <v>12</v>
      </c>
      <c r="D5359" s="2">
        <v>0</v>
      </c>
      <c r="E5359" s="2">
        <v>3873.81</v>
      </c>
      <c r="F5359" t="s">
        <v>14</v>
      </c>
      <c r="G5359" t="s">
        <v>15</v>
      </c>
    </row>
    <row r="5360" spans="1:7" x14ac:dyDescent="0.35">
      <c r="A5360">
        <v>2114</v>
      </c>
      <c r="B5360" s="1">
        <v>45632</v>
      </c>
      <c r="C5360" t="s">
        <v>12</v>
      </c>
      <c r="D5360" s="2">
        <v>0</v>
      </c>
      <c r="E5360" s="2">
        <v>290.54000000000002</v>
      </c>
      <c r="F5360" t="s">
        <v>16</v>
      </c>
      <c r="G5360" t="s">
        <v>17</v>
      </c>
    </row>
    <row r="5361" spans="1:7" x14ac:dyDescent="0.35">
      <c r="A5361">
        <v>2115</v>
      </c>
      <c r="B5361" s="1">
        <v>45632</v>
      </c>
      <c r="C5361" t="s">
        <v>24</v>
      </c>
      <c r="D5361" s="2">
        <v>3749.99</v>
      </c>
      <c r="E5361" s="2">
        <v>0</v>
      </c>
      <c r="F5361" t="s">
        <v>8</v>
      </c>
      <c r="G5361" t="s">
        <v>9</v>
      </c>
    </row>
    <row r="5362" spans="1:7" x14ac:dyDescent="0.35">
      <c r="A5362">
        <v>2115</v>
      </c>
      <c r="B5362" s="1">
        <v>45632</v>
      </c>
      <c r="C5362" t="s">
        <v>24</v>
      </c>
      <c r="D5362" s="2">
        <v>0</v>
      </c>
      <c r="E5362" s="2">
        <v>3749.99</v>
      </c>
      <c r="F5362" t="s">
        <v>13</v>
      </c>
      <c r="G5362" t="s">
        <v>9</v>
      </c>
    </row>
    <row r="5363" spans="1:7" x14ac:dyDescent="0.35">
      <c r="A5363">
        <v>2116</v>
      </c>
      <c r="B5363" s="1">
        <v>45632</v>
      </c>
      <c r="C5363" t="s">
        <v>24</v>
      </c>
      <c r="D5363" s="2">
        <v>1674.98</v>
      </c>
      <c r="E5363" s="2">
        <v>0</v>
      </c>
      <c r="F5363" t="s">
        <v>8</v>
      </c>
      <c r="G5363" t="s">
        <v>9</v>
      </c>
    </row>
    <row r="5364" spans="1:7" x14ac:dyDescent="0.35">
      <c r="A5364">
        <v>2116</v>
      </c>
      <c r="B5364" s="1">
        <v>45632</v>
      </c>
      <c r="C5364" t="s">
        <v>24</v>
      </c>
      <c r="D5364" s="2">
        <v>0</v>
      </c>
      <c r="E5364" s="2">
        <v>1674.98</v>
      </c>
      <c r="F5364" t="s">
        <v>13</v>
      </c>
      <c r="G5364" t="s">
        <v>9</v>
      </c>
    </row>
    <row r="5365" spans="1:7" x14ac:dyDescent="0.35">
      <c r="A5365">
        <v>2117</v>
      </c>
      <c r="B5365" s="1">
        <v>45632</v>
      </c>
      <c r="C5365" t="s">
        <v>24</v>
      </c>
      <c r="D5365" s="2">
        <v>3369.2</v>
      </c>
      <c r="E5365" s="2">
        <v>0</v>
      </c>
      <c r="F5365" t="s">
        <v>8</v>
      </c>
      <c r="G5365" t="s">
        <v>9</v>
      </c>
    </row>
    <row r="5366" spans="1:7" x14ac:dyDescent="0.35">
      <c r="A5366">
        <v>2117</v>
      </c>
      <c r="B5366" s="1">
        <v>45632</v>
      </c>
      <c r="C5366" t="s">
        <v>24</v>
      </c>
      <c r="D5366" s="2">
        <v>0</v>
      </c>
      <c r="E5366" s="2">
        <v>3369.2</v>
      </c>
      <c r="F5366" t="s">
        <v>13</v>
      </c>
      <c r="G5366" t="s">
        <v>9</v>
      </c>
    </row>
    <row r="5367" spans="1:7" x14ac:dyDescent="0.35">
      <c r="A5367">
        <v>2118</v>
      </c>
      <c r="B5367" s="1">
        <v>45632</v>
      </c>
      <c r="C5367" t="s">
        <v>24</v>
      </c>
      <c r="D5367" s="2">
        <v>3017.17</v>
      </c>
      <c r="E5367" s="2">
        <v>0</v>
      </c>
      <c r="F5367" t="s">
        <v>8</v>
      </c>
      <c r="G5367" t="s">
        <v>9</v>
      </c>
    </row>
    <row r="5368" spans="1:7" x14ac:dyDescent="0.35">
      <c r="A5368">
        <v>2118</v>
      </c>
      <c r="B5368" s="1">
        <v>45632</v>
      </c>
      <c r="C5368" t="s">
        <v>24</v>
      </c>
      <c r="D5368" s="2">
        <v>0</v>
      </c>
      <c r="E5368" s="2">
        <v>3017.17</v>
      </c>
      <c r="F5368" t="s">
        <v>13</v>
      </c>
      <c r="G5368" t="s">
        <v>9</v>
      </c>
    </row>
    <row r="5369" spans="1:7" x14ac:dyDescent="0.35">
      <c r="A5369">
        <v>2119</v>
      </c>
      <c r="B5369" s="1">
        <v>45632</v>
      </c>
      <c r="C5369" t="s">
        <v>25</v>
      </c>
      <c r="D5369" s="2">
        <v>166.52</v>
      </c>
      <c r="E5369" s="2">
        <v>0</v>
      </c>
      <c r="F5369" t="s">
        <v>26</v>
      </c>
      <c r="G5369" t="s">
        <v>20</v>
      </c>
    </row>
    <row r="5370" spans="1:7" x14ac:dyDescent="0.35">
      <c r="A5370">
        <v>2119</v>
      </c>
      <c r="B5370" s="1">
        <v>45632</v>
      </c>
      <c r="C5370" t="s">
        <v>25</v>
      </c>
      <c r="D5370" s="2">
        <v>12.49</v>
      </c>
      <c r="E5370" s="2">
        <v>0</v>
      </c>
      <c r="F5370" t="s">
        <v>27</v>
      </c>
      <c r="G5370" t="s">
        <v>9</v>
      </c>
    </row>
    <row r="5371" spans="1:7" x14ac:dyDescent="0.35">
      <c r="A5371">
        <v>2119</v>
      </c>
      <c r="B5371" s="1">
        <v>45632</v>
      </c>
      <c r="C5371" t="s">
        <v>25</v>
      </c>
      <c r="D5371" s="2">
        <v>0</v>
      </c>
      <c r="E5371" s="2">
        <v>179.01</v>
      </c>
      <c r="F5371" t="s">
        <v>28</v>
      </c>
      <c r="G5371" t="s">
        <v>17</v>
      </c>
    </row>
    <row r="5372" spans="1:7" x14ac:dyDescent="0.35">
      <c r="A5372">
        <v>2120</v>
      </c>
      <c r="B5372" s="1">
        <v>45632</v>
      </c>
      <c r="C5372" t="s">
        <v>29</v>
      </c>
      <c r="D5372" s="2">
        <v>201.5</v>
      </c>
      <c r="E5372" s="2">
        <v>0</v>
      </c>
      <c r="F5372" t="s">
        <v>28</v>
      </c>
      <c r="G5372" t="s">
        <v>17</v>
      </c>
    </row>
    <row r="5373" spans="1:7" x14ac:dyDescent="0.35">
      <c r="A5373">
        <v>2120</v>
      </c>
      <c r="B5373" s="1">
        <v>45632</v>
      </c>
      <c r="C5373" t="s">
        <v>29</v>
      </c>
      <c r="D5373" s="2">
        <v>0</v>
      </c>
      <c r="E5373" s="2">
        <v>201.5</v>
      </c>
      <c r="F5373" t="s">
        <v>8</v>
      </c>
      <c r="G5373" t="s">
        <v>9</v>
      </c>
    </row>
    <row r="5374" spans="1:7" x14ac:dyDescent="0.35">
      <c r="A5374">
        <v>2121</v>
      </c>
      <c r="B5374" s="1">
        <v>45632</v>
      </c>
      <c r="C5374" t="s">
        <v>29</v>
      </c>
      <c r="D5374" s="2">
        <v>179.01</v>
      </c>
      <c r="E5374" s="2">
        <v>0</v>
      </c>
      <c r="F5374" t="s">
        <v>28</v>
      </c>
      <c r="G5374" t="s">
        <v>17</v>
      </c>
    </row>
    <row r="5375" spans="1:7" x14ac:dyDescent="0.35">
      <c r="A5375">
        <v>2121</v>
      </c>
      <c r="B5375" s="1">
        <v>45632</v>
      </c>
      <c r="C5375" t="s">
        <v>29</v>
      </c>
      <c r="D5375" s="2">
        <v>0</v>
      </c>
      <c r="E5375" s="2">
        <v>179.01</v>
      </c>
      <c r="F5375" t="s">
        <v>8</v>
      </c>
      <c r="G5375" t="s">
        <v>9</v>
      </c>
    </row>
    <row r="5376" spans="1:7" x14ac:dyDescent="0.35">
      <c r="A5376">
        <v>2122</v>
      </c>
      <c r="B5376" s="1">
        <v>45635</v>
      </c>
      <c r="C5376" t="s">
        <v>12</v>
      </c>
      <c r="D5376" s="2">
        <v>1536.33</v>
      </c>
      <c r="E5376" s="2">
        <v>0</v>
      </c>
      <c r="F5376" t="s">
        <v>13</v>
      </c>
      <c r="G5376" t="s">
        <v>9</v>
      </c>
    </row>
    <row r="5377" spans="1:7" x14ac:dyDescent="0.35">
      <c r="A5377">
        <v>2122</v>
      </c>
      <c r="B5377" s="1">
        <v>45635</v>
      </c>
      <c r="C5377" t="s">
        <v>12</v>
      </c>
      <c r="D5377" s="2">
        <v>0</v>
      </c>
      <c r="E5377" s="2">
        <v>1429.14</v>
      </c>
      <c r="F5377" t="s">
        <v>14</v>
      </c>
      <c r="G5377" t="s">
        <v>15</v>
      </c>
    </row>
    <row r="5378" spans="1:7" x14ac:dyDescent="0.35">
      <c r="A5378">
        <v>2122</v>
      </c>
      <c r="B5378" s="1">
        <v>45635</v>
      </c>
      <c r="C5378" t="s">
        <v>12</v>
      </c>
      <c r="D5378" s="2">
        <v>0</v>
      </c>
      <c r="E5378" s="2">
        <v>107.19</v>
      </c>
      <c r="F5378" t="s">
        <v>16</v>
      </c>
      <c r="G5378" t="s">
        <v>17</v>
      </c>
    </row>
    <row r="5379" spans="1:7" x14ac:dyDescent="0.35">
      <c r="A5379">
        <v>2123</v>
      </c>
      <c r="B5379" s="1">
        <v>45635</v>
      </c>
      <c r="C5379" t="s">
        <v>12</v>
      </c>
      <c r="D5379" s="2">
        <v>5324.78</v>
      </c>
      <c r="E5379" s="2">
        <v>0</v>
      </c>
      <c r="F5379" t="s">
        <v>13</v>
      </c>
      <c r="G5379" t="s">
        <v>9</v>
      </c>
    </row>
    <row r="5380" spans="1:7" x14ac:dyDescent="0.35">
      <c r="A5380">
        <v>2123</v>
      </c>
      <c r="B5380" s="1">
        <v>45635</v>
      </c>
      <c r="C5380" t="s">
        <v>12</v>
      </c>
      <c r="D5380" s="2">
        <v>0</v>
      </c>
      <c r="E5380" s="2">
        <v>4953.28</v>
      </c>
      <c r="F5380" t="s">
        <v>14</v>
      </c>
      <c r="G5380" t="s">
        <v>15</v>
      </c>
    </row>
    <row r="5381" spans="1:7" x14ac:dyDescent="0.35">
      <c r="A5381">
        <v>2123</v>
      </c>
      <c r="B5381" s="1">
        <v>45635</v>
      </c>
      <c r="C5381" t="s">
        <v>12</v>
      </c>
      <c r="D5381" s="2">
        <v>0</v>
      </c>
      <c r="E5381" s="2">
        <v>371.5</v>
      </c>
      <c r="F5381" t="s">
        <v>16</v>
      </c>
      <c r="G5381" t="s">
        <v>17</v>
      </c>
    </row>
    <row r="5382" spans="1:7" x14ac:dyDescent="0.35">
      <c r="A5382">
        <v>2124</v>
      </c>
      <c r="B5382" s="1">
        <v>45635</v>
      </c>
      <c r="C5382" t="s">
        <v>12</v>
      </c>
      <c r="D5382" s="2">
        <v>5412.28</v>
      </c>
      <c r="E5382" s="2">
        <v>0</v>
      </c>
      <c r="F5382" t="s">
        <v>13</v>
      </c>
      <c r="G5382" t="s">
        <v>9</v>
      </c>
    </row>
    <row r="5383" spans="1:7" x14ac:dyDescent="0.35">
      <c r="A5383">
        <v>2124</v>
      </c>
      <c r="B5383" s="1">
        <v>45635</v>
      </c>
      <c r="C5383" t="s">
        <v>12</v>
      </c>
      <c r="D5383" s="2">
        <v>0</v>
      </c>
      <c r="E5383" s="2">
        <v>5034.67</v>
      </c>
      <c r="F5383" t="s">
        <v>14</v>
      </c>
      <c r="G5383" t="s">
        <v>15</v>
      </c>
    </row>
    <row r="5384" spans="1:7" x14ac:dyDescent="0.35">
      <c r="A5384">
        <v>2124</v>
      </c>
      <c r="B5384" s="1">
        <v>45635</v>
      </c>
      <c r="C5384" t="s">
        <v>12</v>
      </c>
      <c r="D5384" s="2">
        <v>0</v>
      </c>
      <c r="E5384" s="2">
        <v>377.61</v>
      </c>
      <c r="F5384" t="s">
        <v>16</v>
      </c>
      <c r="G5384" t="s">
        <v>17</v>
      </c>
    </row>
    <row r="5385" spans="1:7" x14ac:dyDescent="0.35">
      <c r="A5385">
        <v>2125</v>
      </c>
      <c r="B5385" s="1">
        <v>45635</v>
      </c>
      <c r="C5385" t="s">
        <v>12</v>
      </c>
      <c r="D5385" s="2">
        <v>425.32</v>
      </c>
      <c r="E5385" s="2">
        <v>0</v>
      </c>
      <c r="F5385" t="s">
        <v>13</v>
      </c>
      <c r="G5385" t="s">
        <v>9</v>
      </c>
    </row>
    <row r="5386" spans="1:7" x14ac:dyDescent="0.35">
      <c r="A5386">
        <v>2125</v>
      </c>
      <c r="B5386" s="1">
        <v>45635</v>
      </c>
      <c r="C5386" t="s">
        <v>12</v>
      </c>
      <c r="D5386" s="2">
        <v>0</v>
      </c>
      <c r="E5386" s="2">
        <v>395.64</v>
      </c>
      <c r="F5386" t="s">
        <v>14</v>
      </c>
      <c r="G5386" t="s">
        <v>15</v>
      </c>
    </row>
    <row r="5387" spans="1:7" x14ac:dyDescent="0.35">
      <c r="A5387">
        <v>2125</v>
      </c>
      <c r="B5387" s="1">
        <v>45635</v>
      </c>
      <c r="C5387" t="s">
        <v>12</v>
      </c>
      <c r="D5387" s="2">
        <v>0</v>
      </c>
      <c r="E5387" s="2">
        <v>29.68</v>
      </c>
      <c r="F5387" t="s">
        <v>16</v>
      </c>
      <c r="G5387" t="s">
        <v>17</v>
      </c>
    </row>
    <row r="5388" spans="1:7" x14ac:dyDescent="0.35">
      <c r="A5388">
        <v>2126</v>
      </c>
      <c r="B5388" s="1">
        <v>45635</v>
      </c>
      <c r="C5388" t="s">
        <v>12</v>
      </c>
      <c r="D5388" s="2">
        <v>149.41</v>
      </c>
      <c r="E5388" s="2">
        <v>0</v>
      </c>
      <c r="F5388" t="s">
        <v>13</v>
      </c>
      <c r="G5388" t="s">
        <v>9</v>
      </c>
    </row>
    <row r="5389" spans="1:7" x14ac:dyDescent="0.35">
      <c r="A5389">
        <v>2126</v>
      </c>
      <c r="B5389" s="1">
        <v>45635</v>
      </c>
      <c r="C5389" t="s">
        <v>12</v>
      </c>
      <c r="D5389" s="2">
        <v>0</v>
      </c>
      <c r="E5389" s="2">
        <v>138.99</v>
      </c>
      <c r="F5389" t="s">
        <v>14</v>
      </c>
      <c r="G5389" t="s">
        <v>15</v>
      </c>
    </row>
    <row r="5390" spans="1:7" x14ac:dyDescent="0.35">
      <c r="A5390">
        <v>2126</v>
      </c>
      <c r="B5390" s="1">
        <v>45635</v>
      </c>
      <c r="C5390" t="s">
        <v>12</v>
      </c>
      <c r="D5390" s="2">
        <v>0</v>
      </c>
      <c r="E5390" s="2">
        <v>10.42</v>
      </c>
      <c r="F5390" t="s">
        <v>16</v>
      </c>
      <c r="G5390" t="s">
        <v>17</v>
      </c>
    </row>
    <row r="5391" spans="1:7" x14ac:dyDescent="0.35">
      <c r="A5391">
        <v>2127</v>
      </c>
      <c r="B5391" s="1">
        <v>45635</v>
      </c>
      <c r="C5391" t="s">
        <v>12</v>
      </c>
      <c r="D5391" s="2">
        <v>1842.96</v>
      </c>
      <c r="E5391" s="2">
        <v>0</v>
      </c>
      <c r="F5391" t="s">
        <v>13</v>
      </c>
      <c r="G5391" t="s">
        <v>9</v>
      </c>
    </row>
    <row r="5392" spans="1:7" x14ac:dyDescent="0.35">
      <c r="A5392">
        <v>2127</v>
      </c>
      <c r="B5392" s="1">
        <v>45635</v>
      </c>
      <c r="C5392" t="s">
        <v>12</v>
      </c>
      <c r="D5392" s="2">
        <v>0</v>
      </c>
      <c r="E5392" s="2">
        <v>1714.38</v>
      </c>
      <c r="F5392" t="s">
        <v>14</v>
      </c>
      <c r="G5392" t="s">
        <v>15</v>
      </c>
    </row>
    <row r="5393" spans="1:7" x14ac:dyDescent="0.35">
      <c r="A5393">
        <v>2127</v>
      </c>
      <c r="B5393" s="1">
        <v>45635</v>
      </c>
      <c r="C5393" t="s">
        <v>12</v>
      </c>
      <c r="D5393" s="2">
        <v>0</v>
      </c>
      <c r="E5393" s="2">
        <v>128.58000000000001</v>
      </c>
      <c r="F5393" t="s">
        <v>16</v>
      </c>
      <c r="G5393" t="s">
        <v>17</v>
      </c>
    </row>
    <row r="5394" spans="1:7" x14ac:dyDescent="0.35">
      <c r="A5394">
        <v>2128</v>
      </c>
      <c r="B5394" s="1">
        <v>45635</v>
      </c>
      <c r="C5394" t="s">
        <v>12</v>
      </c>
      <c r="D5394" s="2">
        <v>762.76</v>
      </c>
      <c r="E5394" s="2">
        <v>0</v>
      </c>
      <c r="F5394" t="s">
        <v>13</v>
      </c>
      <c r="G5394" t="s">
        <v>9</v>
      </c>
    </row>
    <row r="5395" spans="1:7" x14ac:dyDescent="0.35">
      <c r="A5395">
        <v>2128</v>
      </c>
      <c r="B5395" s="1">
        <v>45635</v>
      </c>
      <c r="C5395" t="s">
        <v>12</v>
      </c>
      <c r="D5395" s="2">
        <v>0</v>
      </c>
      <c r="E5395" s="2">
        <v>709.54</v>
      </c>
      <c r="F5395" t="s">
        <v>14</v>
      </c>
      <c r="G5395" t="s">
        <v>15</v>
      </c>
    </row>
    <row r="5396" spans="1:7" x14ac:dyDescent="0.35">
      <c r="A5396">
        <v>2128</v>
      </c>
      <c r="B5396" s="1">
        <v>45635</v>
      </c>
      <c r="C5396" t="s">
        <v>12</v>
      </c>
      <c r="D5396" s="2">
        <v>0</v>
      </c>
      <c r="E5396" s="2">
        <v>53.22</v>
      </c>
      <c r="F5396" t="s">
        <v>16</v>
      </c>
      <c r="G5396" t="s">
        <v>17</v>
      </c>
    </row>
    <row r="5397" spans="1:7" x14ac:dyDescent="0.35">
      <c r="A5397">
        <v>2129</v>
      </c>
      <c r="B5397" s="1">
        <v>45635</v>
      </c>
      <c r="C5397" t="s">
        <v>12</v>
      </c>
      <c r="D5397" s="2">
        <v>1747.63</v>
      </c>
      <c r="E5397" s="2">
        <v>0</v>
      </c>
      <c r="F5397" t="s">
        <v>13</v>
      </c>
      <c r="G5397" t="s">
        <v>9</v>
      </c>
    </row>
    <row r="5398" spans="1:7" x14ac:dyDescent="0.35">
      <c r="A5398">
        <v>2129</v>
      </c>
      <c r="B5398" s="1">
        <v>45635</v>
      </c>
      <c r="C5398" t="s">
        <v>12</v>
      </c>
      <c r="D5398" s="2">
        <v>0</v>
      </c>
      <c r="E5398" s="2">
        <v>1625.7</v>
      </c>
      <c r="F5398" t="s">
        <v>14</v>
      </c>
      <c r="G5398" t="s">
        <v>15</v>
      </c>
    </row>
    <row r="5399" spans="1:7" x14ac:dyDescent="0.35">
      <c r="A5399">
        <v>2129</v>
      </c>
      <c r="B5399" s="1">
        <v>45635</v>
      </c>
      <c r="C5399" t="s">
        <v>12</v>
      </c>
      <c r="D5399" s="2">
        <v>0</v>
      </c>
      <c r="E5399" s="2">
        <v>121.93</v>
      </c>
      <c r="F5399" t="s">
        <v>16</v>
      </c>
      <c r="G5399" t="s">
        <v>17</v>
      </c>
    </row>
    <row r="5400" spans="1:7" x14ac:dyDescent="0.35">
      <c r="A5400">
        <v>2130</v>
      </c>
      <c r="B5400" s="1">
        <v>45635</v>
      </c>
      <c r="C5400" t="s">
        <v>12</v>
      </c>
      <c r="D5400" s="2">
        <v>640.41999999999996</v>
      </c>
      <c r="E5400" s="2">
        <v>0</v>
      </c>
      <c r="F5400" t="s">
        <v>13</v>
      </c>
      <c r="G5400" t="s">
        <v>9</v>
      </c>
    </row>
    <row r="5401" spans="1:7" x14ac:dyDescent="0.35">
      <c r="A5401">
        <v>2130</v>
      </c>
      <c r="B5401" s="1">
        <v>45635</v>
      </c>
      <c r="C5401" t="s">
        <v>12</v>
      </c>
      <c r="D5401" s="2">
        <v>0</v>
      </c>
      <c r="E5401" s="2">
        <v>595.74</v>
      </c>
      <c r="F5401" t="s">
        <v>14</v>
      </c>
      <c r="G5401" t="s">
        <v>15</v>
      </c>
    </row>
    <row r="5402" spans="1:7" x14ac:dyDescent="0.35">
      <c r="A5402">
        <v>2130</v>
      </c>
      <c r="B5402" s="1">
        <v>45635</v>
      </c>
      <c r="C5402" t="s">
        <v>12</v>
      </c>
      <c r="D5402" s="2">
        <v>0</v>
      </c>
      <c r="E5402" s="2">
        <v>44.68</v>
      </c>
      <c r="F5402" t="s">
        <v>16</v>
      </c>
      <c r="G5402" t="s">
        <v>17</v>
      </c>
    </row>
    <row r="5403" spans="1:7" x14ac:dyDescent="0.35">
      <c r="A5403">
        <v>2131</v>
      </c>
      <c r="B5403" s="1">
        <v>45635</v>
      </c>
      <c r="C5403" t="s">
        <v>24</v>
      </c>
      <c r="D5403" s="2">
        <v>1616.4</v>
      </c>
      <c r="E5403" s="2">
        <v>0</v>
      </c>
      <c r="F5403" t="s">
        <v>8</v>
      </c>
      <c r="G5403" t="s">
        <v>9</v>
      </c>
    </row>
    <row r="5404" spans="1:7" x14ac:dyDescent="0.35">
      <c r="A5404">
        <v>2131</v>
      </c>
      <c r="B5404" s="1">
        <v>45635</v>
      </c>
      <c r="C5404" t="s">
        <v>24</v>
      </c>
      <c r="D5404" s="2">
        <v>0</v>
      </c>
      <c r="E5404" s="2">
        <v>1616.4</v>
      </c>
      <c r="F5404" t="s">
        <v>13</v>
      </c>
      <c r="G5404" t="s">
        <v>9</v>
      </c>
    </row>
    <row r="5405" spans="1:7" x14ac:dyDescent="0.35">
      <c r="A5405">
        <v>2132</v>
      </c>
      <c r="B5405" s="1">
        <v>45635</v>
      </c>
      <c r="C5405" t="s">
        <v>24</v>
      </c>
      <c r="D5405" s="2">
        <v>223.85</v>
      </c>
      <c r="E5405" s="2">
        <v>0</v>
      </c>
      <c r="F5405" t="s">
        <v>8</v>
      </c>
      <c r="G5405" t="s">
        <v>9</v>
      </c>
    </row>
    <row r="5406" spans="1:7" x14ac:dyDescent="0.35">
      <c r="A5406">
        <v>2132</v>
      </c>
      <c r="B5406" s="1">
        <v>45635</v>
      </c>
      <c r="C5406" t="s">
        <v>24</v>
      </c>
      <c r="D5406" s="2">
        <v>0</v>
      </c>
      <c r="E5406" s="2">
        <v>223.85</v>
      </c>
      <c r="F5406" t="s">
        <v>13</v>
      </c>
      <c r="G5406" t="s">
        <v>9</v>
      </c>
    </row>
    <row r="5407" spans="1:7" x14ac:dyDescent="0.35">
      <c r="A5407">
        <v>2133</v>
      </c>
      <c r="B5407" s="1">
        <v>45635</v>
      </c>
      <c r="C5407" t="s">
        <v>24</v>
      </c>
      <c r="D5407" s="2">
        <v>1436.58</v>
      </c>
      <c r="E5407" s="2">
        <v>0</v>
      </c>
      <c r="F5407" t="s">
        <v>8</v>
      </c>
      <c r="G5407" t="s">
        <v>9</v>
      </c>
    </row>
    <row r="5408" spans="1:7" x14ac:dyDescent="0.35">
      <c r="A5408">
        <v>2133</v>
      </c>
      <c r="B5408" s="1">
        <v>45635</v>
      </c>
      <c r="C5408" t="s">
        <v>24</v>
      </c>
      <c r="D5408" s="2">
        <v>0</v>
      </c>
      <c r="E5408" s="2">
        <v>1436.58</v>
      </c>
      <c r="F5408" t="s">
        <v>13</v>
      </c>
      <c r="G5408" t="s">
        <v>9</v>
      </c>
    </row>
    <row r="5409" spans="1:7" x14ac:dyDescent="0.35">
      <c r="A5409">
        <v>2134</v>
      </c>
      <c r="B5409" s="1">
        <v>45635</v>
      </c>
      <c r="C5409" t="s">
        <v>24</v>
      </c>
      <c r="D5409" s="2">
        <v>3262.65</v>
      </c>
      <c r="E5409" s="2">
        <v>0</v>
      </c>
      <c r="F5409" t="s">
        <v>8</v>
      </c>
      <c r="G5409" t="s">
        <v>9</v>
      </c>
    </row>
    <row r="5410" spans="1:7" x14ac:dyDescent="0.35">
      <c r="A5410">
        <v>2134</v>
      </c>
      <c r="B5410" s="1">
        <v>45635</v>
      </c>
      <c r="C5410" t="s">
        <v>24</v>
      </c>
      <c r="D5410" s="2">
        <v>0</v>
      </c>
      <c r="E5410" s="2">
        <v>3262.65</v>
      </c>
      <c r="F5410" t="s">
        <v>13</v>
      </c>
      <c r="G5410" t="s">
        <v>9</v>
      </c>
    </row>
    <row r="5411" spans="1:7" x14ac:dyDescent="0.35">
      <c r="A5411">
        <v>2135</v>
      </c>
      <c r="B5411" s="1">
        <v>45635</v>
      </c>
      <c r="C5411" t="s">
        <v>24</v>
      </c>
      <c r="D5411" s="2">
        <v>2271.73</v>
      </c>
      <c r="E5411" s="2">
        <v>0</v>
      </c>
      <c r="F5411" t="s">
        <v>8</v>
      </c>
      <c r="G5411" t="s">
        <v>9</v>
      </c>
    </row>
    <row r="5412" spans="1:7" x14ac:dyDescent="0.35">
      <c r="A5412">
        <v>2135</v>
      </c>
      <c r="B5412" s="1">
        <v>45635</v>
      </c>
      <c r="C5412" t="s">
        <v>24</v>
      </c>
      <c r="D5412" s="2">
        <v>0</v>
      </c>
      <c r="E5412" s="2">
        <v>2271.73</v>
      </c>
      <c r="F5412" t="s">
        <v>13</v>
      </c>
      <c r="G5412" t="s">
        <v>9</v>
      </c>
    </row>
    <row r="5413" spans="1:7" x14ac:dyDescent="0.35">
      <c r="A5413">
        <v>2136</v>
      </c>
      <c r="B5413" s="1">
        <v>45635</v>
      </c>
      <c r="C5413" t="s">
        <v>24</v>
      </c>
      <c r="D5413" s="2">
        <v>762.76</v>
      </c>
      <c r="E5413" s="2">
        <v>0</v>
      </c>
      <c r="F5413" t="s">
        <v>8</v>
      </c>
      <c r="G5413" t="s">
        <v>9</v>
      </c>
    </row>
    <row r="5414" spans="1:7" x14ac:dyDescent="0.35">
      <c r="A5414">
        <v>2136</v>
      </c>
      <c r="B5414" s="1">
        <v>45635</v>
      </c>
      <c r="C5414" t="s">
        <v>24</v>
      </c>
      <c r="D5414" s="2">
        <v>0</v>
      </c>
      <c r="E5414" s="2">
        <v>762.76</v>
      </c>
      <c r="F5414" t="s">
        <v>13</v>
      </c>
      <c r="G5414" t="s">
        <v>9</v>
      </c>
    </row>
    <row r="5415" spans="1:7" x14ac:dyDescent="0.35">
      <c r="A5415">
        <v>2137</v>
      </c>
      <c r="B5415" s="1">
        <v>45635</v>
      </c>
      <c r="C5415" t="s">
        <v>25</v>
      </c>
      <c r="D5415" s="2">
        <v>2329.52</v>
      </c>
      <c r="E5415" s="2">
        <v>0</v>
      </c>
      <c r="F5415" t="s">
        <v>26</v>
      </c>
      <c r="G5415" t="s">
        <v>20</v>
      </c>
    </row>
    <row r="5416" spans="1:7" x14ac:dyDescent="0.35">
      <c r="A5416">
        <v>2137</v>
      </c>
      <c r="B5416" s="1">
        <v>45635</v>
      </c>
      <c r="C5416" t="s">
        <v>25</v>
      </c>
      <c r="D5416" s="2">
        <v>174.71</v>
      </c>
      <c r="E5416" s="2">
        <v>0</v>
      </c>
      <c r="F5416" t="s">
        <v>27</v>
      </c>
      <c r="G5416" t="s">
        <v>9</v>
      </c>
    </row>
    <row r="5417" spans="1:7" x14ac:dyDescent="0.35">
      <c r="A5417">
        <v>2137</v>
      </c>
      <c r="B5417" s="1">
        <v>45635</v>
      </c>
      <c r="C5417" t="s">
        <v>25</v>
      </c>
      <c r="D5417" s="2">
        <v>0</v>
      </c>
      <c r="E5417" s="2">
        <v>2504.23</v>
      </c>
      <c r="F5417" t="s">
        <v>28</v>
      </c>
      <c r="G5417" t="s">
        <v>17</v>
      </c>
    </row>
    <row r="5418" spans="1:7" x14ac:dyDescent="0.35">
      <c r="A5418">
        <v>2138</v>
      </c>
      <c r="B5418" s="1">
        <v>45635</v>
      </c>
      <c r="C5418" t="s">
        <v>25</v>
      </c>
      <c r="D5418" s="2">
        <v>2714.58</v>
      </c>
      <c r="E5418" s="2">
        <v>0</v>
      </c>
      <c r="F5418" t="s">
        <v>26</v>
      </c>
      <c r="G5418" t="s">
        <v>20</v>
      </c>
    </row>
    <row r="5419" spans="1:7" x14ac:dyDescent="0.35">
      <c r="A5419">
        <v>2138</v>
      </c>
      <c r="B5419" s="1">
        <v>45635</v>
      </c>
      <c r="C5419" t="s">
        <v>25</v>
      </c>
      <c r="D5419" s="2">
        <v>203.59</v>
      </c>
      <c r="E5419" s="2">
        <v>0</v>
      </c>
      <c r="F5419" t="s">
        <v>27</v>
      </c>
      <c r="G5419" t="s">
        <v>9</v>
      </c>
    </row>
    <row r="5420" spans="1:7" x14ac:dyDescent="0.35">
      <c r="A5420">
        <v>2138</v>
      </c>
      <c r="B5420" s="1">
        <v>45635</v>
      </c>
      <c r="C5420" t="s">
        <v>25</v>
      </c>
      <c r="D5420" s="2">
        <v>0</v>
      </c>
      <c r="E5420" s="2">
        <v>2918.17</v>
      </c>
      <c r="F5420" t="s">
        <v>28</v>
      </c>
      <c r="G5420" t="s">
        <v>17</v>
      </c>
    </row>
    <row r="5421" spans="1:7" x14ac:dyDescent="0.35">
      <c r="A5421">
        <v>2139</v>
      </c>
      <c r="B5421" s="1">
        <v>45635</v>
      </c>
      <c r="C5421" t="s">
        <v>25</v>
      </c>
      <c r="D5421" s="2">
        <v>3282.76</v>
      </c>
      <c r="E5421" s="2">
        <v>0</v>
      </c>
      <c r="F5421" t="s">
        <v>26</v>
      </c>
      <c r="G5421" t="s">
        <v>20</v>
      </c>
    </row>
    <row r="5422" spans="1:7" x14ac:dyDescent="0.35">
      <c r="A5422">
        <v>2139</v>
      </c>
      <c r="B5422" s="1">
        <v>45635</v>
      </c>
      <c r="C5422" t="s">
        <v>25</v>
      </c>
      <c r="D5422" s="2">
        <v>246.21</v>
      </c>
      <c r="E5422" s="2">
        <v>0</v>
      </c>
      <c r="F5422" t="s">
        <v>27</v>
      </c>
      <c r="G5422" t="s">
        <v>9</v>
      </c>
    </row>
    <row r="5423" spans="1:7" x14ac:dyDescent="0.35">
      <c r="A5423">
        <v>2139</v>
      </c>
      <c r="B5423" s="1">
        <v>45635</v>
      </c>
      <c r="C5423" t="s">
        <v>25</v>
      </c>
      <c r="D5423" s="2">
        <v>0</v>
      </c>
      <c r="E5423" s="2">
        <v>3528.97</v>
      </c>
      <c r="F5423" t="s">
        <v>28</v>
      </c>
      <c r="G5423" t="s">
        <v>17</v>
      </c>
    </row>
    <row r="5424" spans="1:7" x14ac:dyDescent="0.35">
      <c r="A5424">
        <v>2140</v>
      </c>
      <c r="B5424" s="1">
        <v>45635</v>
      </c>
      <c r="C5424" t="s">
        <v>25</v>
      </c>
      <c r="D5424" s="2">
        <v>512</v>
      </c>
      <c r="E5424" s="2">
        <v>0</v>
      </c>
      <c r="F5424" t="s">
        <v>26</v>
      </c>
      <c r="G5424" t="s">
        <v>20</v>
      </c>
    </row>
    <row r="5425" spans="1:7" x14ac:dyDescent="0.35">
      <c r="A5425">
        <v>2140</v>
      </c>
      <c r="B5425" s="1">
        <v>45635</v>
      </c>
      <c r="C5425" t="s">
        <v>25</v>
      </c>
      <c r="D5425" s="2">
        <v>38.4</v>
      </c>
      <c r="E5425" s="2">
        <v>0</v>
      </c>
      <c r="F5425" t="s">
        <v>27</v>
      </c>
      <c r="G5425" t="s">
        <v>9</v>
      </c>
    </row>
    <row r="5426" spans="1:7" x14ac:dyDescent="0.35">
      <c r="A5426">
        <v>2140</v>
      </c>
      <c r="B5426" s="1">
        <v>45635</v>
      </c>
      <c r="C5426" t="s">
        <v>25</v>
      </c>
      <c r="D5426" s="2">
        <v>0</v>
      </c>
      <c r="E5426" s="2">
        <v>550.4</v>
      </c>
      <c r="F5426" t="s">
        <v>28</v>
      </c>
      <c r="G5426" t="s">
        <v>17</v>
      </c>
    </row>
    <row r="5427" spans="1:7" x14ac:dyDescent="0.35">
      <c r="A5427">
        <v>2141</v>
      </c>
      <c r="B5427" s="1">
        <v>45635</v>
      </c>
      <c r="C5427" t="s">
        <v>25</v>
      </c>
      <c r="D5427" s="2">
        <v>1078.92</v>
      </c>
      <c r="E5427" s="2">
        <v>0</v>
      </c>
      <c r="F5427" t="s">
        <v>26</v>
      </c>
      <c r="G5427" t="s">
        <v>20</v>
      </c>
    </row>
    <row r="5428" spans="1:7" x14ac:dyDescent="0.35">
      <c r="A5428">
        <v>2141</v>
      </c>
      <c r="B5428" s="1">
        <v>45635</v>
      </c>
      <c r="C5428" t="s">
        <v>25</v>
      </c>
      <c r="D5428" s="2">
        <v>80.92</v>
      </c>
      <c r="E5428" s="2">
        <v>0</v>
      </c>
      <c r="F5428" t="s">
        <v>27</v>
      </c>
      <c r="G5428" t="s">
        <v>9</v>
      </c>
    </row>
    <row r="5429" spans="1:7" x14ac:dyDescent="0.35">
      <c r="A5429">
        <v>2141</v>
      </c>
      <c r="B5429" s="1">
        <v>45635</v>
      </c>
      <c r="C5429" t="s">
        <v>25</v>
      </c>
      <c r="D5429" s="2">
        <v>0</v>
      </c>
      <c r="E5429" s="2">
        <v>1159.8399999999999</v>
      </c>
      <c r="F5429" t="s">
        <v>28</v>
      </c>
      <c r="G5429" t="s">
        <v>17</v>
      </c>
    </row>
    <row r="5430" spans="1:7" x14ac:dyDescent="0.35">
      <c r="A5430">
        <v>2142</v>
      </c>
      <c r="B5430" s="1">
        <v>45635</v>
      </c>
      <c r="C5430" t="s">
        <v>25</v>
      </c>
      <c r="D5430" s="2">
        <v>952.02</v>
      </c>
      <c r="E5430" s="2">
        <v>0</v>
      </c>
      <c r="F5430" t="s">
        <v>26</v>
      </c>
      <c r="G5430" t="s">
        <v>20</v>
      </c>
    </row>
    <row r="5431" spans="1:7" x14ac:dyDescent="0.35">
      <c r="A5431">
        <v>2142</v>
      </c>
      <c r="B5431" s="1">
        <v>45635</v>
      </c>
      <c r="C5431" t="s">
        <v>25</v>
      </c>
      <c r="D5431" s="2">
        <v>71.400000000000006</v>
      </c>
      <c r="E5431" s="2">
        <v>0</v>
      </c>
      <c r="F5431" t="s">
        <v>27</v>
      </c>
      <c r="G5431" t="s">
        <v>9</v>
      </c>
    </row>
    <row r="5432" spans="1:7" x14ac:dyDescent="0.35">
      <c r="A5432">
        <v>2142</v>
      </c>
      <c r="B5432" s="1">
        <v>45635</v>
      </c>
      <c r="C5432" t="s">
        <v>25</v>
      </c>
      <c r="D5432" s="2">
        <v>0</v>
      </c>
      <c r="E5432" s="2">
        <v>1023.42</v>
      </c>
      <c r="F5432" t="s">
        <v>28</v>
      </c>
      <c r="G5432" t="s">
        <v>17</v>
      </c>
    </row>
    <row r="5433" spans="1:7" x14ac:dyDescent="0.35">
      <c r="A5433">
        <v>2143</v>
      </c>
      <c r="B5433" s="1">
        <v>45635</v>
      </c>
      <c r="C5433" t="s">
        <v>29</v>
      </c>
      <c r="D5433" s="2">
        <v>4812.46</v>
      </c>
      <c r="E5433" s="2">
        <v>0</v>
      </c>
      <c r="F5433" t="s">
        <v>28</v>
      </c>
      <c r="G5433" t="s">
        <v>17</v>
      </c>
    </row>
    <row r="5434" spans="1:7" x14ac:dyDescent="0.35">
      <c r="A5434">
        <v>2143</v>
      </c>
      <c r="B5434" s="1">
        <v>45635</v>
      </c>
      <c r="C5434" t="s">
        <v>29</v>
      </c>
      <c r="D5434" s="2">
        <v>0</v>
      </c>
      <c r="E5434" s="2">
        <v>4812.46</v>
      </c>
      <c r="F5434" t="s">
        <v>8</v>
      </c>
      <c r="G5434" t="s">
        <v>9</v>
      </c>
    </row>
    <row r="5435" spans="1:7" x14ac:dyDescent="0.35">
      <c r="A5435">
        <v>2144</v>
      </c>
      <c r="B5435" s="1">
        <v>45635</v>
      </c>
      <c r="C5435" t="s">
        <v>29</v>
      </c>
      <c r="D5435" s="2">
        <v>2504.23</v>
      </c>
      <c r="E5435" s="2">
        <v>0</v>
      </c>
      <c r="F5435" t="s">
        <v>28</v>
      </c>
      <c r="G5435" t="s">
        <v>17</v>
      </c>
    </row>
    <row r="5436" spans="1:7" x14ac:dyDescent="0.35">
      <c r="A5436">
        <v>2144</v>
      </c>
      <c r="B5436" s="1">
        <v>45635</v>
      </c>
      <c r="C5436" t="s">
        <v>29</v>
      </c>
      <c r="D5436" s="2">
        <v>0</v>
      </c>
      <c r="E5436" s="2">
        <v>2504.23</v>
      </c>
      <c r="F5436" t="s">
        <v>8</v>
      </c>
      <c r="G5436" t="s">
        <v>9</v>
      </c>
    </row>
    <row r="5437" spans="1:7" x14ac:dyDescent="0.35">
      <c r="A5437">
        <v>2145</v>
      </c>
      <c r="B5437" s="1">
        <v>45635</v>
      </c>
      <c r="C5437" t="s">
        <v>29</v>
      </c>
      <c r="D5437" s="2">
        <v>1159.8399999999999</v>
      </c>
      <c r="E5437" s="2">
        <v>0</v>
      </c>
      <c r="F5437" t="s">
        <v>28</v>
      </c>
      <c r="G5437" t="s">
        <v>17</v>
      </c>
    </row>
    <row r="5438" spans="1:7" x14ac:dyDescent="0.35">
      <c r="A5438">
        <v>2145</v>
      </c>
      <c r="B5438" s="1">
        <v>45635</v>
      </c>
      <c r="C5438" t="s">
        <v>29</v>
      </c>
      <c r="D5438" s="2">
        <v>0</v>
      </c>
      <c r="E5438" s="2">
        <v>1159.8399999999999</v>
      </c>
      <c r="F5438" t="s">
        <v>8</v>
      </c>
      <c r="G5438" t="s">
        <v>9</v>
      </c>
    </row>
    <row r="5439" spans="1:7" x14ac:dyDescent="0.35">
      <c r="A5439">
        <v>2146</v>
      </c>
      <c r="B5439" s="1">
        <v>45636</v>
      </c>
      <c r="C5439" t="s">
        <v>12</v>
      </c>
      <c r="D5439" s="2">
        <v>4629.84</v>
      </c>
      <c r="E5439" s="2">
        <v>0</v>
      </c>
      <c r="F5439" t="s">
        <v>13</v>
      </c>
      <c r="G5439" t="s">
        <v>9</v>
      </c>
    </row>
    <row r="5440" spans="1:7" x14ac:dyDescent="0.35">
      <c r="A5440">
        <v>2146</v>
      </c>
      <c r="B5440" s="1">
        <v>45636</v>
      </c>
      <c r="C5440" t="s">
        <v>12</v>
      </c>
      <c r="D5440" s="2">
        <v>0</v>
      </c>
      <c r="E5440" s="2">
        <v>4306.84</v>
      </c>
      <c r="F5440" t="s">
        <v>14</v>
      </c>
      <c r="G5440" t="s">
        <v>15</v>
      </c>
    </row>
    <row r="5441" spans="1:7" x14ac:dyDescent="0.35">
      <c r="A5441">
        <v>2146</v>
      </c>
      <c r="B5441" s="1">
        <v>45636</v>
      </c>
      <c r="C5441" t="s">
        <v>12</v>
      </c>
      <c r="D5441" s="2">
        <v>0</v>
      </c>
      <c r="E5441" s="2">
        <v>323</v>
      </c>
      <c r="F5441" t="s">
        <v>16</v>
      </c>
      <c r="G5441" t="s">
        <v>17</v>
      </c>
    </row>
    <row r="5442" spans="1:7" x14ac:dyDescent="0.35">
      <c r="A5442">
        <v>2147</v>
      </c>
      <c r="B5442" s="1">
        <v>45636</v>
      </c>
      <c r="C5442" t="s">
        <v>12</v>
      </c>
      <c r="D5442" s="2">
        <v>1677.82</v>
      </c>
      <c r="E5442" s="2">
        <v>0</v>
      </c>
      <c r="F5442" t="s">
        <v>13</v>
      </c>
      <c r="G5442" t="s">
        <v>9</v>
      </c>
    </row>
    <row r="5443" spans="1:7" x14ac:dyDescent="0.35">
      <c r="A5443">
        <v>2147</v>
      </c>
      <c r="B5443" s="1">
        <v>45636</v>
      </c>
      <c r="C5443" t="s">
        <v>12</v>
      </c>
      <c r="D5443" s="2">
        <v>0</v>
      </c>
      <c r="E5443" s="2">
        <v>1560.76</v>
      </c>
      <c r="F5443" t="s">
        <v>14</v>
      </c>
      <c r="G5443" t="s">
        <v>15</v>
      </c>
    </row>
    <row r="5444" spans="1:7" x14ac:dyDescent="0.35">
      <c r="A5444">
        <v>2147</v>
      </c>
      <c r="B5444" s="1">
        <v>45636</v>
      </c>
      <c r="C5444" t="s">
        <v>12</v>
      </c>
      <c r="D5444" s="2">
        <v>0</v>
      </c>
      <c r="E5444" s="2">
        <v>117.06</v>
      </c>
      <c r="F5444" t="s">
        <v>16</v>
      </c>
      <c r="G5444" t="s">
        <v>17</v>
      </c>
    </row>
    <row r="5445" spans="1:7" x14ac:dyDescent="0.35">
      <c r="A5445">
        <v>2148</v>
      </c>
      <c r="B5445" s="1">
        <v>45636</v>
      </c>
      <c r="C5445" t="s">
        <v>12</v>
      </c>
      <c r="D5445" s="2">
        <v>2725.64</v>
      </c>
      <c r="E5445" s="2">
        <v>0</v>
      </c>
      <c r="F5445" t="s">
        <v>13</v>
      </c>
      <c r="G5445" t="s">
        <v>9</v>
      </c>
    </row>
    <row r="5446" spans="1:7" x14ac:dyDescent="0.35">
      <c r="A5446">
        <v>2148</v>
      </c>
      <c r="B5446" s="1">
        <v>45636</v>
      </c>
      <c r="C5446" t="s">
        <v>12</v>
      </c>
      <c r="D5446" s="2">
        <v>0</v>
      </c>
      <c r="E5446" s="2">
        <v>2535.48</v>
      </c>
      <c r="F5446" t="s">
        <v>14</v>
      </c>
      <c r="G5446" t="s">
        <v>15</v>
      </c>
    </row>
    <row r="5447" spans="1:7" x14ac:dyDescent="0.35">
      <c r="A5447">
        <v>2148</v>
      </c>
      <c r="B5447" s="1">
        <v>45636</v>
      </c>
      <c r="C5447" t="s">
        <v>12</v>
      </c>
      <c r="D5447" s="2">
        <v>0</v>
      </c>
      <c r="E5447" s="2">
        <v>190.16</v>
      </c>
      <c r="F5447" t="s">
        <v>16</v>
      </c>
      <c r="G5447" t="s">
        <v>17</v>
      </c>
    </row>
    <row r="5448" spans="1:7" x14ac:dyDescent="0.35">
      <c r="A5448">
        <v>2149</v>
      </c>
      <c r="B5448" s="1">
        <v>45636</v>
      </c>
      <c r="C5448" t="s">
        <v>12</v>
      </c>
      <c r="D5448" s="2">
        <v>1987.67</v>
      </c>
      <c r="E5448" s="2">
        <v>0</v>
      </c>
      <c r="F5448" t="s">
        <v>13</v>
      </c>
      <c r="G5448" t="s">
        <v>9</v>
      </c>
    </row>
    <row r="5449" spans="1:7" x14ac:dyDescent="0.35">
      <c r="A5449">
        <v>2149</v>
      </c>
      <c r="B5449" s="1">
        <v>45636</v>
      </c>
      <c r="C5449" t="s">
        <v>12</v>
      </c>
      <c r="D5449" s="2">
        <v>0</v>
      </c>
      <c r="E5449" s="2">
        <v>1849</v>
      </c>
      <c r="F5449" t="s">
        <v>14</v>
      </c>
      <c r="G5449" t="s">
        <v>15</v>
      </c>
    </row>
    <row r="5450" spans="1:7" x14ac:dyDescent="0.35">
      <c r="A5450">
        <v>2149</v>
      </c>
      <c r="B5450" s="1">
        <v>45636</v>
      </c>
      <c r="C5450" t="s">
        <v>12</v>
      </c>
      <c r="D5450" s="2">
        <v>0</v>
      </c>
      <c r="E5450" s="2">
        <v>138.66999999999999</v>
      </c>
      <c r="F5450" t="s">
        <v>16</v>
      </c>
      <c r="G5450" t="s">
        <v>17</v>
      </c>
    </row>
    <row r="5451" spans="1:7" x14ac:dyDescent="0.35">
      <c r="A5451">
        <v>2150</v>
      </c>
      <c r="B5451" s="1">
        <v>45636</v>
      </c>
      <c r="C5451" t="s">
        <v>12</v>
      </c>
      <c r="D5451" s="2">
        <v>4065.83</v>
      </c>
      <c r="E5451" s="2">
        <v>0</v>
      </c>
      <c r="F5451" t="s">
        <v>13</v>
      </c>
      <c r="G5451" t="s">
        <v>9</v>
      </c>
    </row>
    <row r="5452" spans="1:7" x14ac:dyDescent="0.35">
      <c r="A5452">
        <v>2150</v>
      </c>
      <c r="B5452" s="1">
        <v>45636</v>
      </c>
      <c r="C5452" t="s">
        <v>12</v>
      </c>
      <c r="D5452" s="2">
        <v>0</v>
      </c>
      <c r="E5452" s="2">
        <v>3782.18</v>
      </c>
      <c r="F5452" t="s">
        <v>14</v>
      </c>
      <c r="G5452" t="s">
        <v>15</v>
      </c>
    </row>
    <row r="5453" spans="1:7" x14ac:dyDescent="0.35">
      <c r="A5453">
        <v>2150</v>
      </c>
      <c r="B5453" s="1">
        <v>45636</v>
      </c>
      <c r="C5453" t="s">
        <v>12</v>
      </c>
      <c r="D5453" s="2">
        <v>0</v>
      </c>
      <c r="E5453" s="2">
        <v>283.64999999999998</v>
      </c>
      <c r="F5453" t="s">
        <v>16</v>
      </c>
      <c r="G5453" t="s">
        <v>17</v>
      </c>
    </row>
    <row r="5454" spans="1:7" x14ac:dyDescent="0.35">
      <c r="A5454">
        <v>2151</v>
      </c>
      <c r="B5454" s="1">
        <v>45636</v>
      </c>
      <c r="C5454" t="s">
        <v>12</v>
      </c>
      <c r="D5454" s="2">
        <v>4754.5200000000004</v>
      </c>
      <c r="E5454" s="2">
        <v>0</v>
      </c>
      <c r="F5454" t="s">
        <v>13</v>
      </c>
      <c r="G5454" t="s">
        <v>9</v>
      </c>
    </row>
    <row r="5455" spans="1:7" x14ac:dyDescent="0.35">
      <c r="A5455">
        <v>2151</v>
      </c>
      <c r="B5455" s="1">
        <v>45636</v>
      </c>
      <c r="C5455" t="s">
        <v>12</v>
      </c>
      <c r="D5455" s="2">
        <v>0</v>
      </c>
      <c r="E5455" s="2">
        <v>4422.8100000000004</v>
      </c>
      <c r="F5455" t="s">
        <v>14</v>
      </c>
      <c r="G5455" t="s">
        <v>15</v>
      </c>
    </row>
    <row r="5456" spans="1:7" x14ac:dyDescent="0.35">
      <c r="A5456">
        <v>2151</v>
      </c>
      <c r="B5456" s="1">
        <v>45636</v>
      </c>
      <c r="C5456" t="s">
        <v>12</v>
      </c>
      <c r="D5456" s="2">
        <v>0</v>
      </c>
      <c r="E5456" s="2">
        <v>331.71</v>
      </c>
      <c r="F5456" t="s">
        <v>16</v>
      </c>
      <c r="G5456" t="s">
        <v>17</v>
      </c>
    </row>
    <row r="5457" spans="1:7" x14ac:dyDescent="0.35">
      <c r="A5457">
        <v>2152</v>
      </c>
      <c r="B5457" s="1">
        <v>45636</v>
      </c>
      <c r="C5457" t="s">
        <v>12</v>
      </c>
      <c r="D5457" s="2">
        <v>4617.3900000000003</v>
      </c>
      <c r="E5457" s="2">
        <v>0</v>
      </c>
      <c r="F5457" t="s">
        <v>13</v>
      </c>
      <c r="G5457" t="s">
        <v>9</v>
      </c>
    </row>
    <row r="5458" spans="1:7" x14ac:dyDescent="0.35">
      <c r="A5458">
        <v>2152</v>
      </c>
      <c r="B5458" s="1">
        <v>45636</v>
      </c>
      <c r="C5458" t="s">
        <v>12</v>
      </c>
      <c r="D5458" s="2">
        <v>0</v>
      </c>
      <c r="E5458" s="2">
        <v>4295.25</v>
      </c>
      <c r="F5458" t="s">
        <v>14</v>
      </c>
      <c r="G5458" t="s">
        <v>15</v>
      </c>
    </row>
    <row r="5459" spans="1:7" x14ac:dyDescent="0.35">
      <c r="A5459">
        <v>2152</v>
      </c>
      <c r="B5459" s="1">
        <v>45636</v>
      </c>
      <c r="C5459" t="s">
        <v>12</v>
      </c>
      <c r="D5459" s="2">
        <v>0</v>
      </c>
      <c r="E5459" s="2">
        <v>322.14</v>
      </c>
      <c r="F5459" t="s">
        <v>16</v>
      </c>
      <c r="G5459" t="s">
        <v>17</v>
      </c>
    </row>
    <row r="5460" spans="1:7" x14ac:dyDescent="0.35">
      <c r="A5460">
        <v>2153</v>
      </c>
      <c r="B5460" s="1">
        <v>45636</v>
      </c>
      <c r="C5460" t="s">
        <v>12</v>
      </c>
      <c r="D5460" s="2">
        <v>2695.14</v>
      </c>
      <c r="E5460" s="2">
        <v>0</v>
      </c>
      <c r="F5460" t="s">
        <v>13</v>
      </c>
      <c r="G5460" t="s">
        <v>9</v>
      </c>
    </row>
    <row r="5461" spans="1:7" x14ac:dyDescent="0.35">
      <c r="A5461">
        <v>2153</v>
      </c>
      <c r="B5461" s="1">
        <v>45636</v>
      </c>
      <c r="C5461" t="s">
        <v>12</v>
      </c>
      <c r="D5461" s="2">
        <v>0</v>
      </c>
      <c r="E5461" s="2">
        <v>2507.11</v>
      </c>
      <c r="F5461" t="s">
        <v>14</v>
      </c>
      <c r="G5461" t="s">
        <v>15</v>
      </c>
    </row>
    <row r="5462" spans="1:7" x14ac:dyDescent="0.35">
      <c r="A5462">
        <v>2153</v>
      </c>
      <c r="B5462" s="1">
        <v>45636</v>
      </c>
      <c r="C5462" t="s">
        <v>12</v>
      </c>
      <c r="D5462" s="2">
        <v>0</v>
      </c>
      <c r="E5462" s="2">
        <v>188.03</v>
      </c>
      <c r="F5462" t="s">
        <v>16</v>
      </c>
      <c r="G5462" t="s">
        <v>17</v>
      </c>
    </row>
    <row r="5463" spans="1:7" x14ac:dyDescent="0.35">
      <c r="A5463">
        <v>2154</v>
      </c>
      <c r="B5463" s="1">
        <v>45636</v>
      </c>
      <c r="C5463" t="s">
        <v>24</v>
      </c>
      <c r="D5463" s="2">
        <v>1590</v>
      </c>
      <c r="E5463" s="2">
        <v>0</v>
      </c>
      <c r="F5463" t="s">
        <v>8</v>
      </c>
      <c r="G5463" t="s">
        <v>9</v>
      </c>
    </row>
    <row r="5464" spans="1:7" x14ac:dyDescent="0.35">
      <c r="A5464">
        <v>2154</v>
      </c>
      <c r="B5464" s="1">
        <v>45636</v>
      </c>
      <c r="C5464" t="s">
        <v>24</v>
      </c>
      <c r="D5464" s="2">
        <v>0</v>
      </c>
      <c r="E5464" s="2">
        <v>1590</v>
      </c>
      <c r="F5464" t="s">
        <v>13</v>
      </c>
      <c r="G5464" t="s">
        <v>9</v>
      </c>
    </row>
    <row r="5465" spans="1:7" x14ac:dyDescent="0.35">
      <c r="A5465">
        <v>2155</v>
      </c>
      <c r="B5465" s="1">
        <v>45636</v>
      </c>
      <c r="C5465" t="s">
        <v>24</v>
      </c>
      <c r="D5465" s="2">
        <v>2143.5</v>
      </c>
      <c r="E5465" s="2">
        <v>0</v>
      </c>
      <c r="F5465" t="s">
        <v>8</v>
      </c>
      <c r="G5465" t="s">
        <v>9</v>
      </c>
    </row>
    <row r="5466" spans="1:7" x14ac:dyDescent="0.35">
      <c r="A5466">
        <v>2155</v>
      </c>
      <c r="B5466" s="1">
        <v>45636</v>
      </c>
      <c r="C5466" t="s">
        <v>24</v>
      </c>
      <c r="D5466" s="2">
        <v>0</v>
      </c>
      <c r="E5466" s="2">
        <v>2143.5</v>
      </c>
      <c r="F5466" t="s">
        <v>13</v>
      </c>
      <c r="G5466" t="s">
        <v>9</v>
      </c>
    </row>
    <row r="5467" spans="1:7" x14ac:dyDescent="0.35">
      <c r="A5467">
        <v>2156</v>
      </c>
      <c r="B5467" s="1">
        <v>45636</v>
      </c>
      <c r="C5467" t="s">
        <v>24</v>
      </c>
      <c r="D5467" s="2">
        <v>3187.92</v>
      </c>
      <c r="E5467" s="2">
        <v>0</v>
      </c>
      <c r="F5467" t="s">
        <v>8</v>
      </c>
      <c r="G5467" t="s">
        <v>9</v>
      </c>
    </row>
    <row r="5468" spans="1:7" x14ac:dyDescent="0.35">
      <c r="A5468">
        <v>2156</v>
      </c>
      <c r="B5468" s="1">
        <v>45636</v>
      </c>
      <c r="C5468" t="s">
        <v>24</v>
      </c>
      <c r="D5468" s="2">
        <v>0</v>
      </c>
      <c r="E5468" s="2">
        <v>3187.92</v>
      </c>
      <c r="F5468" t="s">
        <v>13</v>
      </c>
      <c r="G5468" t="s">
        <v>9</v>
      </c>
    </row>
    <row r="5469" spans="1:7" x14ac:dyDescent="0.35">
      <c r="A5469">
        <v>2157</v>
      </c>
      <c r="B5469" s="1">
        <v>45636</v>
      </c>
      <c r="C5469" t="s">
        <v>24</v>
      </c>
      <c r="D5469" s="2">
        <v>1243.1099999999999</v>
      </c>
      <c r="E5469" s="2">
        <v>0</v>
      </c>
      <c r="F5469" t="s">
        <v>8</v>
      </c>
      <c r="G5469" t="s">
        <v>9</v>
      </c>
    </row>
    <row r="5470" spans="1:7" x14ac:dyDescent="0.35">
      <c r="A5470">
        <v>2157</v>
      </c>
      <c r="B5470" s="1">
        <v>45636</v>
      </c>
      <c r="C5470" t="s">
        <v>24</v>
      </c>
      <c r="D5470" s="2">
        <v>0</v>
      </c>
      <c r="E5470" s="2">
        <v>1243.1099999999999</v>
      </c>
      <c r="F5470" t="s">
        <v>13</v>
      </c>
      <c r="G5470" t="s">
        <v>9</v>
      </c>
    </row>
    <row r="5471" spans="1:7" x14ac:dyDescent="0.35">
      <c r="A5471">
        <v>2158</v>
      </c>
      <c r="B5471" s="1">
        <v>45636</v>
      </c>
      <c r="C5471" t="s">
        <v>25</v>
      </c>
      <c r="D5471" s="2">
        <v>1947.24</v>
      </c>
      <c r="E5471" s="2">
        <v>0</v>
      </c>
      <c r="F5471" t="s">
        <v>26</v>
      </c>
      <c r="G5471" t="s">
        <v>20</v>
      </c>
    </row>
    <row r="5472" spans="1:7" x14ac:dyDescent="0.35">
      <c r="A5472">
        <v>2158</v>
      </c>
      <c r="B5472" s="1">
        <v>45636</v>
      </c>
      <c r="C5472" t="s">
        <v>25</v>
      </c>
      <c r="D5472" s="2">
        <v>146.04</v>
      </c>
      <c r="E5472" s="2">
        <v>0</v>
      </c>
      <c r="F5472" t="s">
        <v>27</v>
      </c>
      <c r="G5472" t="s">
        <v>9</v>
      </c>
    </row>
    <row r="5473" spans="1:7" x14ac:dyDescent="0.35">
      <c r="A5473">
        <v>2158</v>
      </c>
      <c r="B5473" s="1">
        <v>45636</v>
      </c>
      <c r="C5473" t="s">
        <v>25</v>
      </c>
      <c r="D5473" s="2">
        <v>0</v>
      </c>
      <c r="E5473" s="2">
        <v>2093.2800000000002</v>
      </c>
      <c r="F5473" t="s">
        <v>28</v>
      </c>
      <c r="G5473" t="s">
        <v>17</v>
      </c>
    </row>
    <row r="5474" spans="1:7" x14ac:dyDescent="0.35">
      <c r="A5474">
        <v>2159</v>
      </c>
      <c r="B5474" s="1">
        <v>45636</v>
      </c>
      <c r="C5474" t="s">
        <v>25</v>
      </c>
      <c r="D5474" s="2">
        <v>6723.2</v>
      </c>
      <c r="E5474" s="2">
        <v>0</v>
      </c>
      <c r="F5474" t="s">
        <v>26</v>
      </c>
      <c r="G5474" t="s">
        <v>20</v>
      </c>
    </row>
    <row r="5475" spans="1:7" x14ac:dyDescent="0.35">
      <c r="A5475">
        <v>2159</v>
      </c>
      <c r="B5475" s="1">
        <v>45636</v>
      </c>
      <c r="C5475" t="s">
        <v>25</v>
      </c>
      <c r="D5475" s="2">
        <v>504.24</v>
      </c>
      <c r="E5475" s="2">
        <v>0</v>
      </c>
      <c r="F5475" t="s">
        <v>27</v>
      </c>
      <c r="G5475" t="s">
        <v>9</v>
      </c>
    </row>
    <row r="5476" spans="1:7" x14ac:dyDescent="0.35">
      <c r="A5476">
        <v>2159</v>
      </c>
      <c r="B5476" s="1">
        <v>45636</v>
      </c>
      <c r="C5476" t="s">
        <v>25</v>
      </c>
      <c r="D5476" s="2">
        <v>0</v>
      </c>
      <c r="E5476" s="2">
        <v>7227.44</v>
      </c>
      <c r="F5476" t="s">
        <v>28</v>
      </c>
      <c r="G5476" t="s">
        <v>17</v>
      </c>
    </row>
    <row r="5477" spans="1:7" x14ac:dyDescent="0.35">
      <c r="A5477">
        <v>2160</v>
      </c>
      <c r="B5477" s="1">
        <v>45636</v>
      </c>
      <c r="C5477" t="s">
        <v>29</v>
      </c>
      <c r="D5477" s="2">
        <v>276.32</v>
      </c>
      <c r="E5477" s="2">
        <v>0</v>
      </c>
      <c r="F5477" t="s">
        <v>28</v>
      </c>
      <c r="G5477" t="s">
        <v>17</v>
      </c>
    </row>
    <row r="5478" spans="1:7" x14ac:dyDescent="0.35">
      <c r="A5478">
        <v>2160</v>
      </c>
      <c r="B5478" s="1">
        <v>45636</v>
      </c>
      <c r="C5478" t="s">
        <v>29</v>
      </c>
      <c r="D5478" s="2">
        <v>0</v>
      </c>
      <c r="E5478" s="2">
        <v>276.32</v>
      </c>
      <c r="F5478" t="s">
        <v>8</v>
      </c>
      <c r="G5478" t="s">
        <v>9</v>
      </c>
    </row>
    <row r="5479" spans="1:7" x14ac:dyDescent="0.35">
      <c r="A5479">
        <v>2161</v>
      </c>
      <c r="B5479" s="1">
        <v>45636</v>
      </c>
      <c r="C5479" t="s">
        <v>29</v>
      </c>
      <c r="D5479" s="2">
        <v>1159.8399999999999</v>
      </c>
      <c r="E5479" s="2">
        <v>0</v>
      </c>
      <c r="F5479" t="s">
        <v>28</v>
      </c>
      <c r="G5479" t="s">
        <v>17</v>
      </c>
    </row>
    <row r="5480" spans="1:7" x14ac:dyDescent="0.35">
      <c r="A5480">
        <v>2161</v>
      </c>
      <c r="B5480" s="1">
        <v>45636</v>
      </c>
      <c r="C5480" t="s">
        <v>29</v>
      </c>
      <c r="D5480" s="2">
        <v>0</v>
      </c>
      <c r="E5480" s="2">
        <v>1159.8399999999999</v>
      </c>
      <c r="F5480" t="s">
        <v>8</v>
      </c>
      <c r="G5480" t="s">
        <v>9</v>
      </c>
    </row>
    <row r="5481" spans="1:7" x14ac:dyDescent="0.35">
      <c r="A5481">
        <v>2162</v>
      </c>
      <c r="B5481" s="1">
        <v>45637</v>
      </c>
      <c r="C5481" t="s">
        <v>12</v>
      </c>
      <c r="D5481" s="2">
        <v>1032.93</v>
      </c>
      <c r="E5481" s="2">
        <v>0</v>
      </c>
      <c r="F5481" t="s">
        <v>13</v>
      </c>
      <c r="G5481" t="s">
        <v>9</v>
      </c>
    </row>
    <row r="5482" spans="1:7" x14ac:dyDescent="0.35">
      <c r="A5482">
        <v>2162</v>
      </c>
      <c r="B5482" s="1">
        <v>45637</v>
      </c>
      <c r="C5482" t="s">
        <v>12</v>
      </c>
      <c r="D5482" s="2">
        <v>0</v>
      </c>
      <c r="E5482" s="2">
        <v>960.86</v>
      </c>
      <c r="F5482" t="s">
        <v>14</v>
      </c>
      <c r="G5482" t="s">
        <v>15</v>
      </c>
    </row>
    <row r="5483" spans="1:7" x14ac:dyDescent="0.35">
      <c r="A5483">
        <v>2162</v>
      </c>
      <c r="B5483" s="1">
        <v>45637</v>
      </c>
      <c r="C5483" t="s">
        <v>12</v>
      </c>
      <c r="D5483" s="2">
        <v>0</v>
      </c>
      <c r="E5483" s="2">
        <v>72.069999999999993</v>
      </c>
      <c r="F5483" t="s">
        <v>16</v>
      </c>
      <c r="G5483" t="s">
        <v>17</v>
      </c>
    </row>
    <row r="5484" spans="1:7" x14ac:dyDescent="0.35">
      <c r="A5484">
        <v>2163</v>
      </c>
      <c r="B5484" s="1">
        <v>45637</v>
      </c>
      <c r="C5484" t="s">
        <v>12</v>
      </c>
      <c r="D5484" s="2">
        <v>270.04000000000002</v>
      </c>
      <c r="E5484" s="2">
        <v>0</v>
      </c>
      <c r="F5484" t="s">
        <v>13</v>
      </c>
      <c r="G5484" t="s">
        <v>9</v>
      </c>
    </row>
    <row r="5485" spans="1:7" x14ac:dyDescent="0.35">
      <c r="A5485">
        <v>2163</v>
      </c>
      <c r="B5485" s="1">
        <v>45637</v>
      </c>
      <c r="C5485" t="s">
        <v>12</v>
      </c>
      <c r="D5485" s="2">
        <v>0</v>
      </c>
      <c r="E5485" s="2">
        <v>251.2</v>
      </c>
      <c r="F5485" t="s">
        <v>14</v>
      </c>
      <c r="G5485" t="s">
        <v>15</v>
      </c>
    </row>
    <row r="5486" spans="1:7" x14ac:dyDescent="0.35">
      <c r="A5486">
        <v>2163</v>
      </c>
      <c r="B5486" s="1">
        <v>45637</v>
      </c>
      <c r="C5486" t="s">
        <v>12</v>
      </c>
      <c r="D5486" s="2">
        <v>0</v>
      </c>
      <c r="E5486" s="2">
        <v>18.84</v>
      </c>
      <c r="F5486" t="s">
        <v>16</v>
      </c>
      <c r="G5486" t="s">
        <v>17</v>
      </c>
    </row>
    <row r="5487" spans="1:7" x14ac:dyDescent="0.35">
      <c r="A5487">
        <v>2164</v>
      </c>
      <c r="B5487" s="1">
        <v>45637</v>
      </c>
      <c r="C5487" t="s">
        <v>12</v>
      </c>
      <c r="D5487" s="2">
        <v>4340.47</v>
      </c>
      <c r="E5487" s="2">
        <v>0</v>
      </c>
      <c r="F5487" t="s">
        <v>13</v>
      </c>
      <c r="G5487" t="s">
        <v>9</v>
      </c>
    </row>
    <row r="5488" spans="1:7" x14ac:dyDescent="0.35">
      <c r="A5488">
        <v>2164</v>
      </c>
      <c r="B5488" s="1">
        <v>45637</v>
      </c>
      <c r="C5488" t="s">
        <v>12</v>
      </c>
      <c r="D5488" s="2">
        <v>0</v>
      </c>
      <c r="E5488" s="2">
        <v>4037.64</v>
      </c>
      <c r="F5488" t="s">
        <v>14</v>
      </c>
      <c r="G5488" t="s">
        <v>15</v>
      </c>
    </row>
    <row r="5489" spans="1:7" x14ac:dyDescent="0.35">
      <c r="A5489">
        <v>2164</v>
      </c>
      <c r="B5489" s="1">
        <v>45637</v>
      </c>
      <c r="C5489" t="s">
        <v>12</v>
      </c>
      <c r="D5489" s="2">
        <v>0</v>
      </c>
      <c r="E5489" s="2">
        <v>302.83</v>
      </c>
      <c r="F5489" t="s">
        <v>16</v>
      </c>
      <c r="G5489" t="s">
        <v>17</v>
      </c>
    </row>
    <row r="5490" spans="1:7" x14ac:dyDescent="0.35">
      <c r="A5490">
        <v>2165</v>
      </c>
      <c r="B5490" s="1">
        <v>45637</v>
      </c>
      <c r="C5490" t="s">
        <v>12</v>
      </c>
      <c r="D5490" s="2">
        <v>1847.8</v>
      </c>
      <c r="E5490" s="2">
        <v>0</v>
      </c>
      <c r="F5490" t="s">
        <v>13</v>
      </c>
      <c r="G5490" t="s">
        <v>9</v>
      </c>
    </row>
    <row r="5491" spans="1:7" x14ac:dyDescent="0.35">
      <c r="A5491">
        <v>2165</v>
      </c>
      <c r="B5491" s="1">
        <v>45637</v>
      </c>
      <c r="C5491" t="s">
        <v>12</v>
      </c>
      <c r="D5491" s="2">
        <v>0</v>
      </c>
      <c r="E5491" s="2">
        <v>1718.89</v>
      </c>
      <c r="F5491" t="s">
        <v>14</v>
      </c>
      <c r="G5491" t="s">
        <v>15</v>
      </c>
    </row>
    <row r="5492" spans="1:7" x14ac:dyDescent="0.35">
      <c r="A5492">
        <v>2165</v>
      </c>
      <c r="B5492" s="1">
        <v>45637</v>
      </c>
      <c r="C5492" t="s">
        <v>12</v>
      </c>
      <c r="D5492" s="2">
        <v>0</v>
      </c>
      <c r="E5492" s="2">
        <v>128.91</v>
      </c>
      <c r="F5492" t="s">
        <v>16</v>
      </c>
      <c r="G5492" t="s">
        <v>17</v>
      </c>
    </row>
    <row r="5493" spans="1:7" x14ac:dyDescent="0.35">
      <c r="A5493">
        <v>2166</v>
      </c>
      <c r="B5493" s="1">
        <v>45637</v>
      </c>
      <c r="C5493" t="s">
        <v>24</v>
      </c>
      <c r="D5493" s="2">
        <v>3536.95</v>
      </c>
      <c r="E5493" s="2">
        <v>0</v>
      </c>
      <c r="F5493" t="s">
        <v>8</v>
      </c>
      <c r="G5493" t="s">
        <v>9</v>
      </c>
    </row>
    <row r="5494" spans="1:7" x14ac:dyDescent="0.35">
      <c r="A5494">
        <v>2166</v>
      </c>
      <c r="B5494" s="1">
        <v>45637</v>
      </c>
      <c r="C5494" t="s">
        <v>24</v>
      </c>
      <c r="D5494" s="2">
        <v>0</v>
      </c>
      <c r="E5494" s="2">
        <v>3536.95</v>
      </c>
      <c r="F5494" t="s">
        <v>13</v>
      </c>
      <c r="G5494" t="s">
        <v>9</v>
      </c>
    </row>
    <row r="5495" spans="1:7" x14ac:dyDescent="0.35">
      <c r="A5495">
        <v>2167</v>
      </c>
      <c r="B5495" s="1">
        <v>45637</v>
      </c>
      <c r="C5495" t="s">
        <v>25</v>
      </c>
      <c r="D5495" s="2">
        <v>383.76</v>
      </c>
      <c r="E5495" s="2">
        <v>0</v>
      </c>
      <c r="F5495" t="s">
        <v>26</v>
      </c>
      <c r="G5495" t="s">
        <v>20</v>
      </c>
    </row>
    <row r="5496" spans="1:7" x14ac:dyDescent="0.35">
      <c r="A5496">
        <v>2167</v>
      </c>
      <c r="B5496" s="1">
        <v>45637</v>
      </c>
      <c r="C5496" t="s">
        <v>25</v>
      </c>
      <c r="D5496" s="2">
        <v>28.78</v>
      </c>
      <c r="E5496" s="2">
        <v>0</v>
      </c>
      <c r="F5496" t="s">
        <v>27</v>
      </c>
      <c r="G5496" t="s">
        <v>9</v>
      </c>
    </row>
    <row r="5497" spans="1:7" x14ac:dyDescent="0.35">
      <c r="A5497">
        <v>2167</v>
      </c>
      <c r="B5497" s="1">
        <v>45637</v>
      </c>
      <c r="C5497" t="s">
        <v>25</v>
      </c>
      <c r="D5497" s="2">
        <v>0</v>
      </c>
      <c r="E5497" s="2">
        <v>412.54</v>
      </c>
      <c r="F5497" t="s">
        <v>28</v>
      </c>
      <c r="G5497" t="s">
        <v>17</v>
      </c>
    </row>
    <row r="5498" spans="1:7" x14ac:dyDescent="0.35">
      <c r="A5498">
        <v>2168</v>
      </c>
      <c r="B5498" s="1">
        <v>45637</v>
      </c>
      <c r="C5498" t="s">
        <v>29</v>
      </c>
      <c r="D5498" s="2">
        <v>1023.42</v>
      </c>
      <c r="E5498" s="2">
        <v>0</v>
      </c>
      <c r="F5498" t="s">
        <v>28</v>
      </c>
      <c r="G5498" t="s">
        <v>17</v>
      </c>
    </row>
    <row r="5499" spans="1:7" x14ac:dyDescent="0.35">
      <c r="A5499">
        <v>2168</v>
      </c>
      <c r="B5499" s="1">
        <v>45637</v>
      </c>
      <c r="C5499" t="s">
        <v>29</v>
      </c>
      <c r="D5499" s="2">
        <v>0</v>
      </c>
      <c r="E5499" s="2">
        <v>1023.42</v>
      </c>
      <c r="F5499" t="s">
        <v>8</v>
      </c>
      <c r="G5499" t="s">
        <v>9</v>
      </c>
    </row>
    <row r="5500" spans="1:7" x14ac:dyDescent="0.35">
      <c r="A5500">
        <v>2169</v>
      </c>
      <c r="B5500" s="1">
        <v>45638</v>
      </c>
      <c r="C5500" t="s">
        <v>12</v>
      </c>
      <c r="D5500" s="2">
        <v>565.71</v>
      </c>
      <c r="E5500" s="2">
        <v>0</v>
      </c>
      <c r="F5500" t="s">
        <v>13</v>
      </c>
      <c r="G5500" t="s">
        <v>9</v>
      </c>
    </row>
    <row r="5501" spans="1:7" x14ac:dyDescent="0.35">
      <c r="A5501">
        <v>2169</v>
      </c>
      <c r="B5501" s="1">
        <v>45638</v>
      </c>
      <c r="C5501" t="s">
        <v>12</v>
      </c>
      <c r="D5501" s="2">
        <v>0</v>
      </c>
      <c r="E5501" s="2">
        <v>526.24</v>
      </c>
      <c r="F5501" t="s">
        <v>14</v>
      </c>
      <c r="G5501" t="s">
        <v>15</v>
      </c>
    </row>
    <row r="5502" spans="1:7" x14ac:dyDescent="0.35">
      <c r="A5502">
        <v>2169</v>
      </c>
      <c r="B5502" s="1">
        <v>45638</v>
      </c>
      <c r="C5502" t="s">
        <v>12</v>
      </c>
      <c r="D5502" s="2">
        <v>0</v>
      </c>
      <c r="E5502" s="2">
        <v>39.47</v>
      </c>
      <c r="F5502" t="s">
        <v>16</v>
      </c>
      <c r="G5502" t="s">
        <v>17</v>
      </c>
    </row>
    <row r="5503" spans="1:7" x14ac:dyDescent="0.35">
      <c r="A5503">
        <v>2170</v>
      </c>
      <c r="B5503" s="1">
        <v>45638</v>
      </c>
      <c r="C5503" t="s">
        <v>12</v>
      </c>
      <c r="D5503" s="2">
        <v>2303.35</v>
      </c>
      <c r="E5503" s="2">
        <v>0</v>
      </c>
      <c r="F5503" t="s">
        <v>13</v>
      </c>
      <c r="G5503" t="s">
        <v>9</v>
      </c>
    </row>
    <row r="5504" spans="1:7" x14ac:dyDescent="0.35">
      <c r="A5504">
        <v>2170</v>
      </c>
      <c r="B5504" s="1">
        <v>45638</v>
      </c>
      <c r="C5504" t="s">
        <v>12</v>
      </c>
      <c r="D5504" s="2">
        <v>0</v>
      </c>
      <c r="E5504" s="2">
        <v>2142.64</v>
      </c>
      <c r="F5504" t="s">
        <v>14</v>
      </c>
      <c r="G5504" t="s">
        <v>15</v>
      </c>
    </row>
    <row r="5505" spans="1:7" x14ac:dyDescent="0.35">
      <c r="A5505">
        <v>2170</v>
      </c>
      <c r="B5505" s="1">
        <v>45638</v>
      </c>
      <c r="C5505" t="s">
        <v>12</v>
      </c>
      <c r="D5505" s="2">
        <v>0</v>
      </c>
      <c r="E5505" s="2">
        <v>160.71</v>
      </c>
      <c r="F5505" t="s">
        <v>16</v>
      </c>
      <c r="G5505" t="s">
        <v>17</v>
      </c>
    </row>
    <row r="5506" spans="1:7" x14ac:dyDescent="0.35">
      <c r="A5506">
        <v>2171</v>
      </c>
      <c r="B5506" s="1">
        <v>45638</v>
      </c>
      <c r="C5506" t="s">
        <v>12</v>
      </c>
      <c r="D5506" s="2">
        <v>2572.5300000000002</v>
      </c>
      <c r="E5506" s="2">
        <v>0</v>
      </c>
      <c r="F5506" t="s">
        <v>13</v>
      </c>
      <c r="G5506" t="s">
        <v>9</v>
      </c>
    </row>
    <row r="5507" spans="1:7" x14ac:dyDescent="0.35">
      <c r="A5507">
        <v>2171</v>
      </c>
      <c r="B5507" s="1">
        <v>45638</v>
      </c>
      <c r="C5507" t="s">
        <v>12</v>
      </c>
      <c r="D5507" s="2">
        <v>0</v>
      </c>
      <c r="E5507" s="2">
        <v>2393.0500000000002</v>
      </c>
      <c r="F5507" t="s">
        <v>14</v>
      </c>
      <c r="G5507" t="s">
        <v>15</v>
      </c>
    </row>
    <row r="5508" spans="1:7" x14ac:dyDescent="0.35">
      <c r="A5508">
        <v>2171</v>
      </c>
      <c r="B5508" s="1">
        <v>45638</v>
      </c>
      <c r="C5508" t="s">
        <v>12</v>
      </c>
      <c r="D5508" s="2">
        <v>0</v>
      </c>
      <c r="E5508" s="2">
        <v>179.48</v>
      </c>
      <c r="F5508" t="s">
        <v>16</v>
      </c>
      <c r="G5508" t="s">
        <v>17</v>
      </c>
    </row>
    <row r="5509" spans="1:7" x14ac:dyDescent="0.35">
      <c r="A5509">
        <v>2172</v>
      </c>
      <c r="B5509" s="1">
        <v>45638</v>
      </c>
      <c r="C5509" t="s">
        <v>12</v>
      </c>
      <c r="D5509" s="2">
        <v>1484.14</v>
      </c>
      <c r="E5509" s="2">
        <v>0</v>
      </c>
      <c r="F5509" t="s">
        <v>13</v>
      </c>
      <c r="G5509" t="s">
        <v>9</v>
      </c>
    </row>
    <row r="5510" spans="1:7" x14ac:dyDescent="0.35">
      <c r="A5510">
        <v>2172</v>
      </c>
      <c r="B5510" s="1">
        <v>45638</v>
      </c>
      <c r="C5510" t="s">
        <v>12</v>
      </c>
      <c r="D5510" s="2">
        <v>0</v>
      </c>
      <c r="E5510" s="2">
        <v>1380.59</v>
      </c>
      <c r="F5510" t="s">
        <v>14</v>
      </c>
      <c r="G5510" t="s">
        <v>15</v>
      </c>
    </row>
    <row r="5511" spans="1:7" x14ac:dyDescent="0.35">
      <c r="A5511">
        <v>2172</v>
      </c>
      <c r="B5511" s="1">
        <v>45638</v>
      </c>
      <c r="C5511" t="s">
        <v>12</v>
      </c>
      <c r="D5511" s="2">
        <v>0</v>
      </c>
      <c r="E5511" s="2">
        <v>103.55</v>
      </c>
      <c r="F5511" t="s">
        <v>16</v>
      </c>
      <c r="G5511" t="s">
        <v>17</v>
      </c>
    </row>
    <row r="5512" spans="1:7" x14ac:dyDescent="0.35">
      <c r="A5512">
        <v>2173</v>
      </c>
      <c r="B5512" s="1">
        <v>45638</v>
      </c>
      <c r="C5512" t="s">
        <v>12</v>
      </c>
      <c r="D5512" s="2">
        <v>3431.07</v>
      </c>
      <c r="E5512" s="2">
        <v>0</v>
      </c>
      <c r="F5512" t="s">
        <v>13</v>
      </c>
      <c r="G5512" t="s">
        <v>9</v>
      </c>
    </row>
    <row r="5513" spans="1:7" x14ac:dyDescent="0.35">
      <c r="A5513">
        <v>2173</v>
      </c>
      <c r="B5513" s="1">
        <v>45638</v>
      </c>
      <c r="C5513" t="s">
        <v>12</v>
      </c>
      <c r="D5513" s="2">
        <v>0</v>
      </c>
      <c r="E5513" s="2">
        <v>3191.69</v>
      </c>
      <c r="F5513" t="s">
        <v>14</v>
      </c>
      <c r="G5513" t="s">
        <v>15</v>
      </c>
    </row>
    <row r="5514" spans="1:7" x14ac:dyDescent="0.35">
      <c r="A5514">
        <v>2173</v>
      </c>
      <c r="B5514" s="1">
        <v>45638</v>
      </c>
      <c r="C5514" t="s">
        <v>12</v>
      </c>
      <c r="D5514" s="2">
        <v>0</v>
      </c>
      <c r="E5514" s="2">
        <v>239.38</v>
      </c>
      <c r="F5514" t="s">
        <v>16</v>
      </c>
      <c r="G5514" t="s">
        <v>17</v>
      </c>
    </row>
    <row r="5515" spans="1:7" x14ac:dyDescent="0.35">
      <c r="A5515">
        <v>2174</v>
      </c>
      <c r="B5515" s="1">
        <v>45638</v>
      </c>
      <c r="C5515" t="s">
        <v>12</v>
      </c>
      <c r="D5515" s="2">
        <v>1109.7</v>
      </c>
      <c r="E5515" s="2">
        <v>0</v>
      </c>
      <c r="F5515" t="s">
        <v>13</v>
      </c>
      <c r="G5515" t="s">
        <v>9</v>
      </c>
    </row>
    <row r="5516" spans="1:7" x14ac:dyDescent="0.35">
      <c r="A5516">
        <v>2174</v>
      </c>
      <c r="B5516" s="1">
        <v>45638</v>
      </c>
      <c r="C5516" t="s">
        <v>12</v>
      </c>
      <c r="D5516" s="2">
        <v>0</v>
      </c>
      <c r="E5516" s="2">
        <v>1032.27</v>
      </c>
      <c r="F5516" t="s">
        <v>14</v>
      </c>
      <c r="G5516" t="s">
        <v>15</v>
      </c>
    </row>
    <row r="5517" spans="1:7" x14ac:dyDescent="0.35">
      <c r="A5517">
        <v>2174</v>
      </c>
      <c r="B5517" s="1">
        <v>45638</v>
      </c>
      <c r="C5517" t="s">
        <v>12</v>
      </c>
      <c r="D5517" s="2">
        <v>0</v>
      </c>
      <c r="E5517" s="2">
        <v>77.430000000000007</v>
      </c>
      <c r="F5517" t="s">
        <v>16</v>
      </c>
      <c r="G5517" t="s">
        <v>17</v>
      </c>
    </row>
    <row r="5518" spans="1:7" x14ac:dyDescent="0.35">
      <c r="A5518">
        <v>2175</v>
      </c>
      <c r="B5518" s="1">
        <v>45638</v>
      </c>
      <c r="C5518" t="s">
        <v>12</v>
      </c>
      <c r="D5518" s="2">
        <v>3110.47</v>
      </c>
      <c r="E5518" s="2">
        <v>0</v>
      </c>
      <c r="F5518" t="s">
        <v>13</v>
      </c>
      <c r="G5518" t="s">
        <v>9</v>
      </c>
    </row>
    <row r="5519" spans="1:7" x14ac:dyDescent="0.35">
      <c r="A5519">
        <v>2175</v>
      </c>
      <c r="B5519" s="1">
        <v>45638</v>
      </c>
      <c r="C5519" t="s">
        <v>12</v>
      </c>
      <c r="D5519" s="2">
        <v>0</v>
      </c>
      <c r="E5519" s="2">
        <v>2893.46</v>
      </c>
      <c r="F5519" t="s">
        <v>14</v>
      </c>
      <c r="G5519" t="s">
        <v>15</v>
      </c>
    </row>
    <row r="5520" spans="1:7" x14ac:dyDescent="0.35">
      <c r="A5520">
        <v>2175</v>
      </c>
      <c r="B5520" s="1">
        <v>45638</v>
      </c>
      <c r="C5520" t="s">
        <v>12</v>
      </c>
      <c r="D5520" s="2">
        <v>0</v>
      </c>
      <c r="E5520" s="2">
        <v>217.01</v>
      </c>
      <c r="F5520" t="s">
        <v>16</v>
      </c>
      <c r="G5520" t="s">
        <v>17</v>
      </c>
    </row>
    <row r="5521" spans="1:7" x14ac:dyDescent="0.35">
      <c r="A5521">
        <v>2176</v>
      </c>
      <c r="B5521" s="1">
        <v>45638</v>
      </c>
      <c r="C5521" t="s">
        <v>24</v>
      </c>
      <c r="D5521" s="2">
        <v>3264.28</v>
      </c>
      <c r="E5521" s="2">
        <v>0</v>
      </c>
      <c r="F5521" t="s">
        <v>8</v>
      </c>
      <c r="G5521" t="s">
        <v>9</v>
      </c>
    </row>
    <row r="5522" spans="1:7" x14ac:dyDescent="0.35">
      <c r="A5522">
        <v>2176</v>
      </c>
      <c r="B5522" s="1">
        <v>45638</v>
      </c>
      <c r="C5522" t="s">
        <v>24</v>
      </c>
      <c r="D5522" s="2">
        <v>0</v>
      </c>
      <c r="E5522" s="2">
        <v>3264.28</v>
      </c>
      <c r="F5522" t="s">
        <v>13</v>
      </c>
      <c r="G5522" t="s">
        <v>9</v>
      </c>
    </row>
    <row r="5523" spans="1:7" x14ac:dyDescent="0.35">
      <c r="A5523">
        <v>2177</v>
      </c>
      <c r="B5523" s="1">
        <v>45638</v>
      </c>
      <c r="C5523" t="s">
        <v>24</v>
      </c>
      <c r="D5523" s="2">
        <v>774.84</v>
      </c>
      <c r="E5523" s="2">
        <v>0</v>
      </c>
      <c r="F5523" t="s">
        <v>8</v>
      </c>
      <c r="G5523" t="s">
        <v>9</v>
      </c>
    </row>
    <row r="5524" spans="1:7" x14ac:dyDescent="0.35">
      <c r="A5524">
        <v>2177</v>
      </c>
      <c r="B5524" s="1">
        <v>45638</v>
      </c>
      <c r="C5524" t="s">
        <v>24</v>
      </c>
      <c r="D5524" s="2">
        <v>0</v>
      </c>
      <c r="E5524" s="2">
        <v>774.84</v>
      </c>
      <c r="F5524" t="s">
        <v>13</v>
      </c>
      <c r="G5524" t="s">
        <v>9</v>
      </c>
    </row>
    <row r="5525" spans="1:7" x14ac:dyDescent="0.35">
      <c r="A5525">
        <v>2178</v>
      </c>
      <c r="B5525" s="1">
        <v>45638</v>
      </c>
      <c r="C5525" t="s">
        <v>24</v>
      </c>
      <c r="D5525" s="2">
        <v>99.2</v>
      </c>
      <c r="E5525" s="2">
        <v>0</v>
      </c>
      <c r="F5525" t="s">
        <v>8</v>
      </c>
      <c r="G5525" t="s">
        <v>9</v>
      </c>
    </row>
    <row r="5526" spans="1:7" x14ac:dyDescent="0.35">
      <c r="A5526">
        <v>2178</v>
      </c>
      <c r="B5526" s="1">
        <v>45638</v>
      </c>
      <c r="C5526" t="s">
        <v>24</v>
      </c>
      <c r="D5526" s="2">
        <v>0</v>
      </c>
      <c r="E5526" s="2">
        <v>99.2</v>
      </c>
      <c r="F5526" t="s">
        <v>13</v>
      </c>
      <c r="G5526" t="s">
        <v>9</v>
      </c>
    </row>
    <row r="5527" spans="1:7" x14ac:dyDescent="0.35">
      <c r="A5527">
        <v>2179</v>
      </c>
      <c r="B5527" s="1">
        <v>45638</v>
      </c>
      <c r="C5527" t="s">
        <v>24</v>
      </c>
      <c r="D5527" s="2">
        <v>4048.68</v>
      </c>
      <c r="E5527" s="2">
        <v>0</v>
      </c>
      <c r="F5527" t="s">
        <v>8</v>
      </c>
      <c r="G5527" t="s">
        <v>9</v>
      </c>
    </row>
    <row r="5528" spans="1:7" x14ac:dyDescent="0.35">
      <c r="A5528">
        <v>2179</v>
      </c>
      <c r="B5528" s="1">
        <v>45638</v>
      </c>
      <c r="C5528" t="s">
        <v>24</v>
      </c>
      <c r="D5528" s="2">
        <v>0</v>
      </c>
      <c r="E5528" s="2">
        <v>4048.68</v>
      </c>
      <c r="F5528" t="s">
        <v>13</v>
      </c>
      <c r="G5528" t="s">
        <v>9</v>
      </c>
    </row>
    <row r="5529" spans="1:7" x14ac:dyDescent="0.35">
      <c r="A5529">
        <v>2180</v>
      </c>
      <c r="B5529" s="1">
        <v>45638</v>
      </c>
      <c r="C5529" t="s">
        <v>24</v>
      </c>
      <c r="D5529" s="2">
        <v>1278.82</v>
      </c>
      <c r="E5529" s="2">
        <v>0</v>
      </c>
      <c r="F5529" t="s">
        <v>8</v>
      </c>
      <c r="G5529" t="s">
        <v>9</v>
      </c>
    </row>
    <row r="5530" spans="1:7" x14ac:dyDescent="0.35">
      <c r="A5530">
        <v>2180</v>
      </c>
      <c r="B5530" s="1">
        <v>45638</v>
      </c>
      <c r="C5530" t="s">
        <v>24</v>
      </c>
      <c r="D5530" s="2">
        <v>0</v>
      </c>
      <c r="E5530" s="2">
        <v>1278.82</v>
      </c>
      <c r="F5530" t="s">
        <v>13</v>
      </c>
      <c r="G5530" t="s">
        <v>9</v>
      </c>
    </row>
    <row r="5531" spans="1:7" x14ac:dyDescent="0.35">
      <c r="A5531">
        <v>2181</v>
      </c>
      <c r="B5531" s="1">
        <v>45638</v>
      </c>
      <c r="C5531" t="s">
        <v>24</v>
      </c>
      <c r="D5531" s="2">
        <v>785.56</v>
      </c>
      <c r="E5531" s="2">
        <v>0</v>
      </c>
      <c r="F5531" t="s">
        <v>8</v>
      </c>
      <c r="G5531" t="s">
        <v>9</v>
      </c>
    </row>
    <row r="5532" spans="1:7" x14ac:dyDescent="0.35">
      <c r="A5532">
        <v>2181</v>
      </c>
      <c r="B5532" s="1">
        <v>45638</v>
      </c>
      <c r="C5532" t="s">
        <v>24</v>
      </c>
      <c r="D5532" s="2">
        <v>0</v>
      </c>
      <c r="E5532" s="2">
        <v>785.56</v>
      </c>
      <c r="F5532" t="s">
        <v>13</v>
      </c>
      <c r="G5532" t="s">
        <v>9</v>
      </c>
    </row>
    <row r="5533" spans="1:7" x14ac:dyDescent="0.35">
      <c r="A5533">
        <v>2182</v>
      </c>
      <c r="B5533" s="1">
        <v>45638</v>
      </c>
      <c r="C5533" t="s">
        <v>24</v>
      </c>
      <c r="D5533" s="2">
        <v>149.41</v>
      </c>
      <c r="E5533" s="2">
        <v>0</v>
      </c>
      <c r="F5533" t="s">
        <v>8</v>
      </c>
      <c r="G5533" t="s">
        <v>9</v>
      </c>
    </row>
    <row r="5534" spans="1:7" x14ac:dyDescent="0.35">
      <c r="A5534">
        <v>2182</v>
      </c>
      <c r="B5534" s="1">
        <v>45638</v>
      </c>
      <c r="C5534" t="s">
        <v>24</v>
      </c>
      <c r="D5534" s="2">
        <v>0</v>
      </c>
      <c r="E5534" s="2">
        <v>149.41</v>
      </c>
      <c r="F5534" t="s">
        <v>13</v>
      </c>
      <c r="G5534" t="s">
        <v>9</v>
      </c>
    </row>
    <row r="5535" spans="1:7" x14ac:dyDescent="0.35">
      <c r="A5535">
        <v>2183</v>
      </c>
      <c r="B5535" s="1">
        <v>45638</v>
      </c>
      <c r="C5535" t="s">
        <v>24</v>
      </c>
      <c r="D5535" s="2">
        <v>1484.14</v>
      </c>
      <c r="E5535" s="2">
        <v>0</v>
      </c>
      <c r="F5535" t="s">
        <v>8</v>
      </c>
      <c r="G5535" t="s">
        <v>9</v>
      </c>
    </row>
    <row r="5536" spans="1:7" x14ac:dyDescent="0.35">
      <c r="A5536">
        <v>2183</v>
      </c>
      <c r="B5536" s="1">
        <v>45638</v>
      </c>
      <c r="C5536" t="s">
        <v>24</v>
      </c>
      <c r="D5536" s="2">
        <v>0</v>
      </c>
      <c r="E5536" s="2">
        <v>1484.14</v>
      </c>
      <c r="F5536" t="s">
        <v>13</v>
      </c>
      <c r="G5536" t="s">
        <v>9</v>
      </c>
    </row>
    <row r="5537" spans="1:7" x14ac:dyDescent="0.35">
      <c r="A5537">
        <v>2184</v>
      </c>
      <c r="B5537" s="1">
        <v>45638</v>
      </c>
      <c r="C5537" t="s">
        <v>29</v>
      </c>
      <c r="D5537" s="2">
        <v>1958.74</v>
      </c>
      <c r="E5537" s="2">
        <v>0</v>
      </c>
      <c r="F5537" t="s">
        <v>28</v>
      </c>
      <c r="G5537" t="s">
        <v>17</v>
      </c>
    </row>
    <row r="5538" spans="1:7" x14ac:dyDescent="0.35">
      <c r="A5538">
        <v>2184</v>
      </c>
      <c r="B5538" s="1">
        <v>45638</v>
      </c>
      <c r="C5538" t="s">
        <v>29</v>
      </c>
      <c r="D5538" s="2">
        <v>0</v>
      </c>
      <c r="E5538" s="2">
        <v>1958.74</v>
      </c>
      <c r="F5538" t="s">
        <v>8</v>
      </c>
      <c r="G5538" t="s">
        <v>9</v>
      </c>
    </row>
    <row r="5539" spans="1:7" x14ac:dyDescent="0.35">
      <c r="A5539">
        <v>2185</v>
      </c>
      <c r="B5539" s="1">
        <v>45638</v>
      </c>
      <c r="C5539" t="s">
        <v>29</v>
      </c>
      <c r="D5539" s="2">
        <v>2182.41</v>
      </c>
      <c r="E5539" s="2">
        <v>0</v>
      </c>
      <c r="F5539" t="s">
        <v>28</v>
      </c>
      <c r="G5539" t="s">
        <v>17</v>
      </c>
    </row>
    <row r="5540" spans="1:7" x14ac:dyDescent="0.35">
      <c r="A5540">
        <v>2185</v>
      </c>
      <c r="B5540" s="1">
        <v>45638</v>
      </c>
      <c r="C5540" t="s">
        <v>29</v>
      </c>
      <c r="D5540" s="2">
        <v>0</v>
      </c>
      <c r="E5540" s="2">
        <v>2182.41</v>
      </c>
      <c r="F5540" t="s">
        <v>8</v>
      </c>
      <c r="G5540" t="s">
        <v>9</v>
      </c>
    </row>
    <row r="5541" spans="1:7" x14ac:dyDescent="0.35">
      <c r="A5541">
        <v>2186</v>
      </c>
      <c r="B5541" s="1">
        <v>45639</v>
      </c>
      <c r="C5541" t="s">
        <v>12</v>
      </c>
      <c r="D5541" s="2">
        <v>2898.43</v>
      </c>
      <c r="E5541" s="2">
        <v>0</v>
      </c>
      <c r="F5541" t="s">
        <v>13</v>
      </c>
      <c r="G5541" t="s">
        <v>9</v>
      </c>
    </row>
    <row r="5542" spans="1:7" x14ac:dyDescent="0.35">
      <c r="A5542">
        <v>2186</v>
      </c>
      <c r="B5542" s="1">
        <v>45639</v>
      </c>
      <c r="C5542" t="s">
        <v>12</v>
      </c>
      <c r="D5542" s="2">
        <v>0</v>
      </c>
      <c r="E5542" s="2">
        <v>2696.22</v>
      </c>
      <c r="F5542" t="s">
        <v>14</v>
      </c>
      <c r="G5542" t="s">
        <v>15</v>
      </c>
    </row>
    <row r="5543" spans="1:7" x14ac:dyDescent="0.35">
      <c r="A5543">
        <v>2186</v>
      </c>
      <c r="B5543" s="1">
        <v>45639</v>
      </c>
      <c r="C5543" t="s">
        <v>12</v>
      </c>
      <c r="D5543" s="2">
        <v>0</v>
      </c>
      <c r="E5543" s="2">
        <v>202.21</v>
      </c>
      <c r="F5543" t="s">
        <v>16</v>
      </c>
      <c r="G5543" t="s">
        <v>17</v>
      </c>
    </row>
    <row r="5544" spans="1:7" x14ac:dyDescent="0.35">
      <c r="A5544">
        <v>2187</v>
      </c>
      <c r="B5544" s="1">
        <v>45639</v>
      </c>
      <c r="C5544" t="s">
        <v>12</v>
      </c>
      <c r="D5544" s="2">
        <v>1171.97</v>
      </c>
      <c r="E5544" s="2">
        <v>0</v>
      </c>
      <c r="F5544" t="s">
        <v>13</v>
      </c>
      <c r="G5544" t="s">
        <v>9</v>
      </c>
    </row>
    <row r="5545" spans="1:7" x14ac:dyDescent="0.35">
      <c r="A5545">
        <v>2187</v>
      </c>
      <c r="B5545" s="1">
        <v>45639</v>
      </c>
      <c r="C5545" t="s">
        <v>12</v>
      </c>
      <c r="D5545" s="2">
        <v>0</v>
      </c>
      <c r="E5545" s="2">
        <v>1090.21</v>
      </c>
      <c r="F5545" t="s">
        <v>14</v>
      </c>
      <c r="G5545" t="s">
        <v>15</v>
      </c>
    </row>
    <row r="5546" spans="1:7" x14ac:dyDescent="0.35">
      <c r="A5546">
        <v>2187</v>
      </c>
      <c r="B5546" s="1">
        <v>45639</v>
      </c>
      <c r="C5546" t="s">
        <v>12</v>
      </c>
      <c r="D5546" s="2">
        <v>0</v>
      </c>
      <c r="E5546" s="2">
        <v>81.760000000000005</v>
      </c>
      <c r="F5546" t="s">
        <v>16</v>
      </c>
      <c r="G5546" t="s">
        <v>17</v>
      </c>
    </row>
    <row r="5547" spans="1:7" x14ac:dyDescent="0.35">
      <c r="A5547">
        <v>2188</v>
      </c>
      <c r="B5547" s="1">
        <v>45639</v>
      </c>
      <c r="C5547" t="s">
        <v>12</v>
      </c>
      <c r="D5547" s="2">
        <v>4389.34</v>
      </c>
      <c r="E5547" s="2">
        <v>0</v>
      </c>
      <c r="F5547" t="s">
        <v>13</v>
      </c>
      <c r="G5547" t="s">
        <v>9</v>
      </c>
    </row>
    <row r="5548" spans="1:7" x14ac:dyDescent="0.35">
      <c r="A5548">
        <v>2188</v>
      </c>
      <c r="B5548" s="1">
        <v>45639</v>
      </c>
      <c r="C5548" t="s">
        <v>12</v>
      </c>
      <c r="D5548" s="2">
        <v>0</v>
      </c>
      <c r="E5548" s="2">
        <v>4083.11</v>
      </c>
      <c r="F5548" t="s">
        <v>14</v>
      </c>
      <c r="G5548" t="s">
        <v>15</v>
      </c>
    </row>
    <row r="5549" spans="1:7" x14ac:dyDescent="0.35">
      <c r="A5549">
        <v>2188</v>
      </c>
      <c r="B5549" s="1">
        <v>45639</v>
      </c>
      <c r="C5549" t="s">
        <v>12</v>
      </c>
      <c r="D5549" s="2">
        <v>0</v>
      </c>
      <c r="E5549" s="2">
        <v>306.23</v>
      </c>
      <c r="F5549" t="s">
        <v>16</v>
      </c>
      <c r="G5549" t="s">
        <v>17</v>
      </c>
    </row>
    <row r="5550" spans="1:7" x14ac:dyDescent="0.35">
      <c r="A5550">
        <v>2189</v>
      </c>
      <c r="B5550" s="1">
        <v>45639</v>
      </c>
      <c r="C5550" t="s">
        <v>12</v>
      </c>
      <c r="D5550" s="2">
        <v>2649.87</v>
      </c>
      <c r="E5550" s="2">
        <v>0</v>
      </c>
      <c r="F5550" t="s">
        <v>13</v>
      </c>
      <c r="G5550" t="s">
        <v>9</v>
      </c>
    </row>
    <row r="5551" spans="1:7" x14ac:dyDescent="0.35">
      <c r="A5551">
        <v>2189</v>
      </c>
      <c r="B5551" s="1">
        <v>45639</v>
      </c>
      <c r="C5551" t="s">
        <v>12</v>
      </c>
      <c r="D5551" s="2">
        <v>0</v>
      </c>
      <c r="E5551" s="2">
        <v>2465</v>
      </c>
      <c r="F5551" t="s">
        <v>14</v>
      </c>
      <c r="G5551" t="s">
        <v>15</v>
      </c>
    </row>
    <row r="5552" spans="1:7" x14ac:dyDescent="0.35">
      <c r="A5552">
        <v>2189</v>
      </c>
      <c r="B5552" s="1">
        <v>45639</v>
      </c>
      <c r="C5552" t="s">
        <v>12</v>
      </c>
      <c r="D5552" s="2">
        <v>0</v>
      </c>
      <c r="E5552" s="2">
        <v>184.87</v>
      </c>
      <c r="F5552" t="s">
        <v>16</v>
      </c>
      <c r="G5552" t="s">
        <v>17</v>
      </c>
    </row>
    <row r="5553" spans="1:7" x14ac:dyDescent="0.35">
      <c r="A5553">
        <v>2190</v>
      </c>
      <c r="B5553" s="1">
        <v>45639</v>
      </c>
      <c r="C5553" t="s">
        <v>12</v>
      </c>
      <c r="D5553" s="2">
        <v>2790.56</v>
      </c>
      <c r="E5553" s="2">
        <v>0</v>
      </c>
      <c r="F5553" t="s">
        <v>13</v>
      </c>
      <c r="G5553" t="s">
        <v>9</v>
      </c>
    </row>
    <row r="5554" spans="1:7" x14ac:dyDescent="0.35">
      <c r="A5554">
        <v>2190</v>
      </c>
      <c r="B5554" s="1">
        <v>45639</v>
      </c>
      <c r="C5554" t="s">
        <v>12</v>
      </c>
      <c r="D5554" s="2">
        <v>0</v>
      </c>
      <c r="E5554" s="2">
        <v>2595.87</v>
      </c>
      <c r="F5554" t="s">
        <v>14</v>
      </c>
      <c r="G5554" t="s">
        <v>15</v>
      </c>
    </row>
    <row r="5555" spans="1:7" x14ac:dyDescent="0.35">
      <c r="A5555">
        <v>2190</v>
      </c>
      <c r="B5555" s="1">
        <v>45639</v>
      </c>
      <c r="C5555" t="s">
        <v>12</v>
      </c>
      <c r="D5555" s="2">
        <v>0</v>
      </c>
      <c r="E5555" s="2">
        <v>194.69</v>
      </c>
      <c r="F5555" t="s">
        <v>16</v>
      </c>
      <c r="G5555" t="s">
        <v>17</v>
      </c>
    </row>
    <row r="5556" spans="1:7" x14ac:dyDescent="0.35">
      <c r="A5556">
        <v>2191</v>
      </c>
      <c r="B5556" s="1">
        <v>45639</v>
      </c>
      <c r="C5556" t="s">
        <v>12</v>
      </c>
      <c r="D5556" s="2">
        <v>1861.15</v>
      </c>
      <c r="E5556" s="2">
        <v>0</v>
      </c>
      <c r="F5556" t="s">
        <v>13</v>
      </c>
      <c r="G5556" t="s">
        <v>9</v>
      </c>
    </row>
    <row r="5557" spans="1:7" x14ac:dyDescent="0.35">
      <c r="A5557">
        <v>2191</v>
      </c>
      <c r="B5557" s="1">
        <v>45639</v>
      </c>
      <c r="C5557" t="s">
        <v>12</v>
      </c>
      <c r="D5557" s="2">
        <v>0</v>
      </c>
      <c r="E5557" s="2">
        <v>1731.3</v>
      </c>
      <c r="F5557" t="s">
        <v>14</v>
      </c>
      <c r="G5557" t="s">
        <v>15</v>
      </c>
    </row>
    <row r="5558" spans="1:7" x14ac:dyDescent="0.35">
      <c r="A5558">
        <v>2191</v>
      </c>
      <c r="B5558" s="1">
        <v>45639</v>
      </c>
      <c r="C5558" t="s">
        <v>12</v>
      </c>
      <c r="D5558" s="2">
        <v>0</v>
      </c>
      <c r="E5558" s="2">
        <v>129.85</v>
      </c>
      <c r="F5558" t="s">
        <v>16</v>
      </c>
      <c r="G5558" t="s">
        <v>17</v>
      </c>
    </row>
    <row r="5559" spans="1:7" x14ac:dyDescent="0.35">
      <c r="A5559">
        <v>2192</v>
      </c>
      <c r="B5559" s="1">
        <v>45639</v>
      </c>
      <c r="C5559" t="s">
        <v>12</v>
      </c>
      <c r="D5559" s="2">
        <v>1800.17</v>
      </c>
      <c r="E5559" s="2">
        <v>0</v>
      </c>
      <c r="F5559" t="s">
        <v>13</v>
      </c>
      <c r="G5559" t="s">
        <v>9</v>
      </c>
    </row>
    <row r="5560" spans="1:7" x14ac:dyDescent="0.35">
      <c r="A5560">
        <v>2192</v>
      </c>
      <c r="B5560" s="1">
        <v>45639</v>
      </c>
      <c r="C5560" t="s">
        <v>12</v>
      </c>
      <c r="D5560" s="2">
        <v>0</v>
      </c>
      <c r="E5560" s="2">
        <v>1674.58</v>
      </c>
      <c r="F5560" t="s">
        <v>14</v>
      </c>
      <c r="G5560" t="s">
        <v>15</v>
      </c>
    </row>
    <row r="5561" spans="1:7" x14ac:dyDescent="0.35">
      <c r="A5561">
        <v>2192</v>
      </c>
      <c r="B5561" s="1">
        <v>45639</v>
      </c>
      <c r="C5561" t="s">
        <v>12</v>
      </c>
      <c r="D5561" s="2">
        <v>0</v>
      </c>
      <c r="E5561" s="2">
        <v>125.59</v>
      </c>
      <c r="F5561" t="s">
        <v>16</v>
      </c>
      <c r="G5561" t="s">
        <v>17</v>
      </c>
    </row>
    <row r="5562" spans="1:7" x14ac:dyDescent="0.35">
      <c r="A5562">
        <v>2193</v>
      </c>
      <c r="B5562" s="1">
        <v>45639</v>
      </c>
      <c r="C5562" t="s">
        <v>24</v>
      </c>
      <c r="D5562" s="2">
        <v>582.77</v>
      </c>
      <c r="E5562" s="2">
        <v>0</v>
      </c>
      <c r="F5562" t="s">
        <v>8</v>
      </c>
      <c r="G5562" t="s">
        <v>9</v>
      </c>
    </row>
    <row r="5563" spans="1:7" x14ac:dyDescent="0.35">
      <c r="A5563">
        <v>2193</v>
      </c>
      <c r="B5563" s="1">
        <v>45639</v>
      </c>
      <c r="C5563" t="s">
        <v>24</v>
      </c>
      <c r="D5563" s="2">
        <v>0</v>
      </c>
      <c r="E5563" s="2">
        <v>582.77</v>
      </c>
      <c r="F5563" t="s">
        <v>13</v>
      </c>
      <c r="G5563" t="s">
        <v>9</v>
      </c>
    </row>
    <row r="5564" spans="1:7" x14ac:dyDescent="0.35">
      <c r="A5564">
        <v>2194</v>
      </c>
      <c r="B5564" s="1">
        <v>45639</v>
      </c>
      <c r="C5564" t="s">
        <v>24</v>
      </c>
      <c r="D5564" s="2">
        <v>3598.28</v>
      </c>
      <c r="E5564" s="2">
        <v>0</v>
      </c>
      <c r="F5564" t="s">
        <v>8</v>
      </c>
      <c r="G5564" t="s">
        <v>9</v>
      </c>
    </row>
    <row r="5565" spans="1:7" x14ac:dyDescent="0.35">
      <c r="A5565">
        <v>2194</v>
      </c>
      <c r="B5565" s="1">
        <v>45639</v>
      </c>
      <c r="C5565" t="s">
        <v>24</v>
      </c>
      <c r="D5565" s="2">
        <v>0</v>
      </c>
      <c r="E5565" s="2">
        <v>3598.28</v>
      </c>
      <c r="F5565" t="s">
        <v>13</v>
      </c>
      <c r="G5565" t="s">
        <v>9</v>
      </c>
    </row>
    <row r="5566" spans="1:7" x14ac:dyDescent="0.35">
      <c r="A5566">
        <v>2195</v>
      </c>
      <c r="B5566" s="1">
        <v>45639</v>
      </c>
      <c r="C5566" t="s">
        <v>24</v>
      </c>
      <c r="D5566" s="2">
        <v>522.30999999999995</v>
      </c>
      <c r="E5566" s="2">
        <v>0</v>
      </c>
      <c r="F5566" t="s">
        <v>8</v>
      </c>
      <c r="G5566" t="s">
        <v>9</v>
      </c>
    </row>
    <row r="5567" spans="1:7" x14ac:dyDescent="0.35">
      <c r="A5567">
        <v>2195</v>
      </c>
      <c r="B5567" s="1">
        <v>45639</v>
      </c>
      <c r="C5567" t="s">
        <v>24</v>
      </c>
      <c r="D5567" s="2">
        <v>0</v>
      </c>
      <c r="E5567" s="2">
        <v>522.30999999999995</v>
      </c>
      <c r="F5567" t="s">
        <v>13</v>
      </c>
      <c r="G5567" t="s">
        <v>9</v>
      </c>
    </row>
    <row r="5568" spans="1:7" x14ac:dyDescent="0.35">
      <c r="A5568">
        <v>2196</v>
      </c>
      <c r="B5568" s="1">
        <v>45639</v>
      </c>
      <c r="C5568" t="s">
        <v>24</v>
      </c>
      <c r="D5568" s="2">
        <v>5615.58</v>
      </c>
      <c r="E5568" s="2">
        <v>0</v>
      </c>
      <c r="F5568" t="s">
        <v>8</v>
      </c>
      <c r="G5568" t="s">
        <v>9</v>
      </c>
    </row>
    <row r="5569" spans="1:7" x14ac:dyDescent="0.35">
      <c r="A5569">
        <v>2196</v>
      </c>
      <c r="B5569" s="1">
        <v>45639</v>
      </c>
      <c r="C5569" t="s">
        <v>24</v>
      </c>
      <c r="D5569" s="2">
        <v>0</v>
      </c>
      <c r="E5569" s="2">
        <v>5615.58</v>
      </c>
      <c r="F5569" t="s">
        <v>13</v>
      </c>
      <c r="G5569" t="s">
        <v>9</v>
      </c>
    </row>
    <row r="5570" spans="1:7" x14ac:dyDescent="0.35">
      <c r="A5570">
        <v>2197</v>
      </c>
      <c r="B5570" s="1">
        <v>45639</v>
      </c>
      <c r="C5570" t="s">
        <v>24</v>
      </c>
      <c r="D5570" s="2">
        <v>719.61</v>
      </c>
      <c r="E5570" s="2">
        <v>0</v>
      </c>
      <c r="F5570" t="s">
        <v>8</v>
      </c>
      <c r="G5570" t="s">
        <v>9</v>
      </c>
    </row>
    <row r="5571" spans="1:7" x14ac:dyDescent="0.35">
      <c r="A5571">
        <v>2197</v>
      </c>
      <c r="B5571" s="1">
        <v>45639</v>
      </c>
      <c r="C5571" t="s">
        <v>24</v>
      </c>
      <c r="D5571" s="2">
        <v>0</v>
      </c>
      <c r="E5571" s="2">
        <v>719.61</v>
      </c>
      <c r="F5571" t="s">
        <v>13</v>
      </c>
      <c r="G5571" t="s">
        <v>9</v>
      </c>
    </row>
    <row r="5572" spans="1:7" x14ac:dyDescent="0.35">
      <c r="A5572">
        <v>2198</v>
      </c>
      <c r="B5572" s="1">
        <v>45639</v>
      </c>
      <c r="C5572" t="s">
        <v>24</v>
      </c>
      <c r="D5572" s="2">
        <v>3236.22</v>
      </c>
      <c r="E5572" s="2">
        <v>0</v>
      </c>
      <c r="F5572" t="s">
        <v>8</v>
      </c>
      <c r="G5572" t="s">
        <v>9</v>
      </c>
    </row>
    <row r="5573" spans="1:7" x14ac:dyDescent="0.35">
      <c r="A5573">
        <v>2198</v>
      </c>
      <c r="B5573" s="1">
        <v>45639</v>
      </c>
      <c r="C5573" t="s">
        <v>24</v>
      </c>
      <c r="D5573" s="2">
        <v>0</v>
      </c>
      <c r="E5573" s="2">
        <v>3236.22</v>
      </c>
      <c r="F5573" t="s">
        <v>13</v>
      </c>
      <c r="G5573" t="s">
        <v>9</v>
      </c>
    </row>
    <row r="5574" spans="1:7" x14ac:dyDescent="0.35">
      <c r="A5574">
        <v>2199</v>
      </c>
      <c r="B5574" s="1">
        <v>45639</v>
      </c>
      <c r="C5574" t="s">
        <v>24</v>
      </c>
      <c r="D5574" s="2">
        <v>2574.11</v>
      </c>
      <c r="E5574" s="2">
        <v>0</v>
      </c>
      <c r="F5574" t="s">
        <v>8</v>
      </c>
      <c r="G5574" t="s">
        <v>9</v>
      </c>
    </row>
    <row r="5575" spans="1:7" x14ac:dyDescent="0.35">
      <c r="A5575">
        <v>2199</v>
      </c>
      <c r="B5575" s="1">
        <v>45639</v>
      </c>
      <c r="C5575" t="s">
        <v>24</v>
      </c>
      <c r="D5575" s="2">
        <v>0</v>
      </c>
      <c r="E5575" s="2">
        <v>2574.11</v>
      </c>
      <c r="F5575" t="s">
        <v>13</v>
      </c>
      <c r="G5575" t="s">
        <v>9</v>
      </c>
    </row>
    <row r="5576" spans="1:7" x14ac:dyDescent="0.35">
      <c r="A5576">
        <v>2200</v>
      </c>
      <c r="B5576" s="1">
        <v>45639</v>
      </c>
      <c r="C5576" t="s">
        <v>24</v>
      </c>
      <c r="D5576" s="2">
        <v>3089.6</v>
      </c>
      <c r="E5576" s="2">
        <v>0</v>
      </c>
      <c r="F5576" t="s">
        <v>8</v>
      </c>
      <c r="G5576" t="s">
        <v>9</v>
      </c>
    </row>
    <row r="5577" spans="1:7" x14ac:dyDescent="0.35">
      <c r="A5577">
        <v>2200</v>
      </c>
      <c r="B5577" s="1">
        <v>45639</v>
      </c>
      <c r="C5577" t="s">
        <v>24</v>
      </c>
      <c r="D5577" s="2">
        <v>0</v>
      </c>
      <c r="E5577" s="2">
        <v>3089.6</v>
      </c>
      <c r="F5577" t="s">
        <v>13</v>
      </c>
      <c r="G5577" t="s">
        <v>9</v>
      </c>
    </row>
    <row r="5578" spans="1:7" x14ac:dyDescent="0.35">
      <c r="A5578">
        <v>2201</v>
      </c>
      <c r="B5578" s="1">
        <v>45639</v>
      </c>
      <c r="C5578" t="s">
        <v>25</v>
      </c>
      <c r="D5578" s="2">
        <v>1800.04</v>
      </c>
      <c r="E5578" s="2">
        <v>0</v>
      </c>
      <c r="F5578" t="s">
        <v>26</v>
      </c>
      <c r="G5578" t="s">
        <v>20</v>
      </c>
    </row>
    <row r="5579" spans="1:7" x14ac:dyDescent="0.35">
      <c r="A5579">
        <v>2201</v>
      </c>
      <c r="B5579" s="1">
        <v>45639</v>
      </c>
      <c r="C5579" t="s">
        <v>25</v>
      </c>
      <c r="D5579" s="2">
        <v>135</v>
      </c>
      <c r="E5579" s="2">
        <v>0</v>
      </c>
      <c r="F5579" t="s">
        <v>27</v>
      </c>
      <c r="G5579" t="s">
        <v>9</v>
      </c>
    </row>
    <row r="5580" spans="1:7" x14ac:dyDescent="0.35">
      <c r="A5580">
        <v>2201</v>
      </c>
      <c r="B5580" s="1">
        <v>45639</v>
      </c>
      <c r="C5580" t="s">
        <v>25</v>
      </c>
      <c r="D5580" s="2">
        <v>0</v>
      </c>
      <c r="E5580" s="2">
        <v>1935.04</v>
      </c>
      <c r="F5580" t="s">
        <v>28</v>
      </c>
      <c r="G5580" t="s">
        <v>17</v>
      </c>
    </row>
    <row r="5581" spans="1:7" x14ac:dyDescent="0.35">
      <c r="A5581">
        <v>2202</v>
      </c>
      <c r="B5581" s="1">
        <v>45639</v>
      </c>
      <c r="C5581" t="s">
        <v>25</v>
      </c>
      <c r="D5581" s="2">
        <v>2329.52</v>
      </c>
      <c r="E5581" s="2">
        <v>0</v>
      </c>
      <c r="F5581" t="s">
        <v>26</v>
      </c>
      <c r="G5581" t="s">
        <v>20</v>
      </c>
    </row>
    <row r="5582" spans="1:7" x14ac:dyDescent="0.35">
      <c r="A5582">
        <v>2202</v>
      </c>
      <c r="B5582" s="1">
        <v>45639</v>
      </c>
      <c r="C5582" t="s">
        <v>25</v>
      </c>
      <c r="D5582" s="2">
        <v>174.71</v>
      </c>
      <c r="E5582" s="2">
        <v>0</v>
      </c>
      <c r="F5582" t="s">
        <v>27</v>
      </c>
      <c r="G5582" t="s">
        <v>9</v>
      </c>
    </row>
    <row r="5583" spans="1:7" x14ac:dyDescent="0.35">
      <c r="A5583">
        <v>2202</v>
      </c>
      <c r="B5583" s="1">
        <v>45639</v>
      </c>
      <c r="C5583" t="s">
        <v>25</v>
      </c>
      <c r="D5583" s="2">
        <v>0</v>
      </c>
      <c r="E5583" s="2">
        <v>2504.23</v>
      </c>
      <c r="F5583" t="s">
        <v>28</v>
      </c>
      <c r="G5583" t="s">
        <v>17</v>
      </c>
    </row>
    <row r="5584" spans="1:7" x14ac:dyDescent="0.35">
      <c r="A5584">
        <v>2203</v>
      </c>
      <c r="B5584" s="1">
        <v>45639</v>
      </c>
      <c r="C5584" t="s">
        <v>29</v>
      </c>
      <c r="D5584" s="2">
        <v>2182.41</v>
      </c>
      <c r="E5584" s="2">
        <v>0</v>
      </c>
      <c r="F5584" t="s">
        <v>28</v>
      </c>
      <c r="G5584" t="s">
        <v>17</v>
      </c>
    </row>
    <row r="5585" spans="1:7" x14ac:dyDescent="0.35">
      <c r="A5585">
        <v>2203</v>
      </c>
      <c r="B5585" s="1">
        <v>45639</v>
      </c>
      <c r="C5585" t="s">
        <v>29</v>
      </c>
      <c r="D5585" s="2">
        <v>0</v>
      </c>
      <c r="E5585" s="2">
        <v>2182.41</v>
      </c>
      <c r="F5585" t="s">
        <v>8</v>
      </c>
      <c r="G5585" t="s">
        <v>9</v>
      </c>
    </row>
    <row r="5586" spans="1:7" x14ac:dyDescent="0.35">
      <c r="A5586">
        <v>2204</v>
      </c>
      <c r="B5586" s="1">
        <v>45639</v>
      </c>
      <c r="C5586" t="s">
        <v>29</v>
      </c>
      <c r="D5586" s="2">
        <v>2093.2800000000002</v>
      </c>
      <c r="E5586" s="2">
        <v>0</v>
      </c>
      <c r="F5586" t="s">
        <v>28</v>
      </c>
      <c r="G5586" t="s">
        <v>17</v>
      </c>
    </row>
    <row r="5587" spans="1:7" x14ac:dyDescent="0.35">
      <c r="A5587">
        <v>2204</v>
      </c>
      <c r="B5587" s="1">
        <v>45639</v>
      </c>
      <c r="C5587" t="s">
        <v>29</v>
      </c>
      <c r="D5587" s="2">
        <v>0</v>
      </c>
      <c r="E5587" s="2">
        <v>2093.2800000000002</v>
      </c>
      <c r="F5587" t="s">
        <v>8</v>
      </c>
      <c r="G5587" t="s">
        <v>9</v>
      </c>
    </row>
    <row r="5588" spans="1:7" x14ac:dyDescent="0.35">
      <c r="A5588">
        <v>2205</v>
      </c>
      <c r="B5588" s="1">
        <v>45639</v>
      </c>
      <c r="C5588" t="s">
        <v>29</v>
      </c>
      <c r="D5588" s="2">
        <v>1935.04</v>
      </c>
      <c r="E5588" s="2">
        <v>0</v>
      </c>
      <c r="F5588" t="s">
        <v>28</v>
      </c>
      <c r="G5588" t="s">
        <v>17</v>
      </c>
    </row>
    <row r="5589" spans="1:7" x14ac:dyDescent="0.35">
      <c r="A5589">
        <v>2205</v>
      </c>
      <c r="B5589" s="1">
        <v>45639</v>
      </c>
      <c r="C5589" t="s">
        <v>29</v>
      </c>
      <c r="D5589" s="2">
        <v>0</v>
      </c>
      <c r="E5589" s="2">
        <v>1935.04</v>
      </c>
      <c r="F5589" t="s">
        <v>8</v>
      </c>
      <c r="G5589" t="s">
        <v>9</v>
      </c>
    </row>
    <row r="5590" spans="1:7" x14ac:dyDescent="0.35">
      <c r="A5590">
        <v>2206</v>
      </c>
      <c r="B5590" s="1">
        <v>45639</v>
      </c>
      <c r="C5590" t="s">
        <v>29</v>
      </c>
      <c r="D5590" s="2">
        <v>2504.23</v>
      </c>
      <c r="E5590" s="2">
        <v>0</v>
      </c>
      <c r="F5590" t="s">
        <v>28</v>
      </c>
      <c r="G5590" t="s">
        <v>17</v>
      </c>
    </row>
    <row r="5591" spans="1:7" x14ac:dyDescent="0.35">
      <c r="A5591">
        <v>2206</v>
      </c>
      <c r="B5591" s="1">
        <v>45639</v>
      </c>
      <c r="C5591" t="s">
        <v>29</v>
      </c>
      <c r="D5591" s="2">
        <v>0</v>
      </c>
      <c r="E5591" s="2">
        <v>2504.23</v>
      </c>
      <c r="F5591" t="s">
        <v>8</v>
      </c>
      <c r="G5591" t="s">
        <v>9</v>
      </c>
    </row>
    <row r="5592" spans="1:7" x14ac:dyDescent="0.35">
      <c r="A5592">
        <v>2207</v>
      </c>
      <c r="B5592" s="1">
        <v>45642</v>
      </c>
      <c r="C5592" t="s">
        <v>12</v>
      </c>
      <c r="D5592" s="2">
        <v>3957.43</v>
      </c>
      <c r="E5592" s="2">
        <v>0</v>
      </c>
      <c r="F5592" t="s">
        <v>13</v>
      </c>
      <c r="G5592" t="s">
        <v>9</v>
      </c>
    </row>
    <row r="5593" spans="1:7" x14ac:dyDescent="0.35">
      <c r="A5593">
        <v>2207</v>
      </c>
      <c r="B5593" s="1">
        <v>45642</v>
      </c>
      <c r="C5593" t="s">
        <v>12</v>
      </c>
      <c r="D5593" s="2">
        <v>0</v>
      </c>
      <c r="E5593" s="2">
        <v>3681.32</v>
      </c>
      <c r="F5593" t="s">
        <v>14</v>
      </c>
      <c r="G5593" t="s">
        <v>15</v>
      </c>
    </row>
    <row r="5594" spans="1:7" x14ac:dyDescent="0.35">
      <c r="A5594">
        <v>2207</v>
      </c>
      <c r="B5594" s="1">
        <v>45642</v>
      </c>
      <c r="C5594" t="s">
        <v>12</v>
      </c>
      <c r="D5594" s="2">
        <v>0</v>
      </c>
      <c r="E5594" s="2">
        <v>276.11</v>
      </c>
      <c r="F5594" t="s">
        <v>16</v>
      </c>
      <c r="G5594" t="s">
        <v>17</v>
      </c>
    </row>
    <row r="5595" spans="1:7" x14ac:dyDescent="0.35">
      <c r="A5595">
        <v>2208</v>
      </c>
      <c r="B5595" s="1">
        <v>45642</v>
      </c>
      <c r="C5595" t="s">
        <v>12</v>
      </c>
      <c r="D5595" s="2">
        <v>3044.72</v>
      </c>
      <c r="E5595" s="2">
        <v>0</v>
      </c>
      <c r="F5595" t="s">
        <v>13</v>
      </c>
      <c r="G5595" t="s">
        <v>9</v>
      </c>
    </row>
    <row r="5596" spans="1:7" x14ac:dyDescent="0.35">
      <c r="A5596">
        <v>2208</v>
      </c>
      <c r="B5596" s="1">
        <v>45642</v>
      </c>
      <c r="C5596" t="s">
        <v>12</v>
      </c>
      <c r="D5596" s="2">
        <v>0</v>
      </c>
      <c r="E5596" s="2">
        <v>2832.29</v>
      </c>
      <c r="F5596" t="s">
        <v>14</v>
      </c>
      <c r="G5596" t="s">
        <v>15</v>
      </c>
    </row>
    <row r="5597" spans="1:7" x14ac:dyDescent="0.35">
      <c r="A5597">
        <v>2208</v>
      </c>
      <c r="B5597" s="1">
        <v>45642</v>
      </c>
      <c r="C5597" t="s">
        <v>12</v>
      </c>
      <c r="D5597" s="2">
        <v>0</v>
      </c>
      <c r="E5597" s="2">
        <v>212.43</v>
      </c>
      <c r="F5597" t="s">
        <v>16</v>
      </c>
      <c r="G5597" t="s">
        <v>17</v>
      </c>
    </row>
    <row r="5598" spans="1:7" x14ac:dyDescent="0.35">
      <c r="A5598">
        <v>2209</v>
      </c>
      <c r="B5598" s="1">
        <v>45642</v>
      </c>
      <c r="C5598" t="s">
        <v>12</v>
      </c>
      <c r="D5598" s="2">
        <v>2412.9</v>
      </c>
      <c r="E5598" s="2">
        <v>0</v>
      </c>
      <c r="F5598" t="s">
        <v>13</v>
      </c>
      <c r="G5598" t="s">
        <v>9</v>
      </c>
    </row>
    <row r="5599" spans="1:7" x14ac:dyDescent="0.35">
      <c r="A5599">
        <v>2209</v>
      </c>
      <c r="B5599" s="1">
        <v>45642</v>
      </c>
      <c r="C5599" t="s">
        <v>12</v>
      </c>
      <c r="D5599" s="2">
        <v>0</v>
      </c>
      <c r="E5599" s="2">
        <v>2244.56</v>
      </c>
      <c r="F5599" t="s">
        <v>14</v>
      </c>
      <c r="G5599" t="s">
        <v>15</v>
      </c>
    </row>
    <row r="5600" spans="1:7" x14ac:dyDescent="0.35">
      <c r="A5600">
        <v>2209</v>
      </c>
      <c r="B5600" s="1">
        <v>45642</v>
      </c>
      <c r="C5600" t="s">
        <v>12</v>
      </c>
      <c r="D5600" s="2">
        <v>0</v>
      </c>
      <c r="E5600" s="2">
        <v>168.34</v>
      </c>
      <c r="F5600" t="s">
        <v>16</v>
      </c>
      <c r="G5600" t="s">
        <v>17</v>
      </c>
    </row>
    <row r="5601" spans="1:7" x14ac:dyDescent="0.35">
      <c r="A5601">
        <v>2210</v>
      </c>
      <c r="B5601" s="1">
        <v>45642</v>
      </c>
      <c r="C5601" t="s">
        <v>12</v>
      </c>
      <c r="D5601" s="2">
        <v>207.18</v>
      </c>
      <c r="E5601" s="2">
        <v>0</v>
      </c>
      <c r="F5601" t="s">
        <v>13</v>
      </c>
      <c r="G5601" t="s">
        <v>9</v>
      </c>
    </row>
    <row r="5602" spans="1:7" x14ac:dyDescent="0.35">
      <c r="A5602">
        <v>2210</v>
      </c>
      <c r="B5602" s="1">
        <v>45642</v>
      </c>
      <c r="C5602" t="s">
        <v>12</v>
      </c>
      <c r="D5602" s="2">
        <v>0</v>
      </c>
      <c r="E5602" s="2">
        <v>192.72</v>
      </c>
      <c r="F5602" t="s">
        <v>14</v>
      </c>
      <c r="G5602" t="s">
        <v>15</v>
      </c>
    </row>
    <row r="5603" spans="1:7" x14ac:dyDescent="0.35">
      <c r="A5603">
        <v>2210</v>
      </c>
      <c r="B5603" s="1">
        <v>45642</v>
      </c>
      <c r="C5603" t="s">
        <v>12</v>
      </c>
      <c r="D5603" s="2">
        <v>0</v>
      </c>
      <c r="E5603" s="2">
        <v>14.46</v>
      </c>
      <c r="F5603" t="s">
        <v>16</v>
      </c>
      <c r="G5603" t="s">
        <v>17</v>
      </c>
    </row>
    <row r="5604" spans="1:7" x14ac:dyDescent="0.35">
      <c r="A5604">
        <v>2211</v>
      </c>
      <c r="B5604" s="1">
        <v>45642</v>
      </c>
      <c r="C5604" t="s">
        <v>12</v>
      </c>
      <c r="D5604" s="2">
        <v>2259.5500000000002</v>
      </c>
      <c r="E5604" s="2">
        <v>0</v>
      </c>
      <c r="F5604" t="s">
        <v>13</v>
      </c>
      <c r="G5604" t="s">
        <v>9</v>
      </c>
    </row>
    <row r="5605" spans="1:7" x14ac:dyDescent="0.35">
      <c r="A5605">
        <v>2211</v>
      </c>
      <c r="B5605" s="1">
        <v>45642</v>
      </c>
      <c r="C5605" t="s">
        <v>12</v>
      </c>
      <c r="D5605" s="2">
        <v>0</v>
      </c>
      <c r="E5605" s="2">
        <v>2101.91</v>
      </c>
      <c r="F5605" t="s">
        <v>14</v>
      </c>
      <c r="G5605" t="s">
        <v>15</v>
      </c>
    </row>
    <row r="5606" spans="1:7" x14ac:dyDescent="0.35">
      <c r="A5606">
        <v>2211</v>
      </c>
      <c r="B5606" s="1">
        <v>45642</v>
      </c>
      <c r="C5606" t="s">
        <v>12</v>
      </c>
      <c r="D5606" s="2">
        <v>0</v>
      </c>
      <c r="E5606" s="2">
        <v>157.63999999999999</v>
      </c>
      <c r="F5606" t="s">
        <v>16</v>
      </c>
      <c r="G5606" t="s">
        <v>17</v>
      </c>
    </row>
    <row r="5607" spans="1:7" x14ac:dyDescent="0.35">
      <c r="A5607">
        <v>2212</v>
      </c>
      <c r="B5607" s="1">
        <v>45642</v>
      </c>
      <c r="C5607" t="s">
        <v>24</v>
      </c>
      <c r="D5607" s="2">
        <v>3519.84</v>
      </c>
      <c r="E5607" s="2">
        <v>0</v>
      </c>
      <c r="F5607" t="s">
        <v>8</v>
      </c>
      <c r="G5607" t="s">
        <v>9</v>
      </c>
    </row>
    <row r="5608" spans="1:7" x14ac:dyDescent="0.35">
      <c r="A5608">
        <v>2212</v>
      </c>
      <c r="B5608" s="1">
        <v>45642</v>
      </c>
      <c r="C5608" t="s">
        <v>24</v>
      </c>
      <c r="D5608" s="2">
        <v>0</v>
      </c>
      <c r="E5608" s="2">
        <v>3519.84</v>
      </c>
      <c r="F5608" t="s">
        <v>13</v>
      </c>
      <c r="G5608" t="s">
        <v>9</v>
      </c>
    </row>
    <row r="5609" spans="1:7" x14ac:dyDescent="0.35">
      <c r="A5609">
        <v>2213</v>
      </c>
      <c r="B5609" s="1">
        <v>45642</v>
      </c>
      <c r="C5609" t="s">
        <v>24</v>
      </c>
      <c r="D5609" s="2">
        <v>184.17</v>
      </c>
      <c r="E5609" s="2">
        <v>0</v>
      </c>
      <c r="F5609" t="s">
        <v>8</v>
      </c>
      <c r="G5609" t="s">
        <v>9</v>
      </c>
    </row>
    <row r="5610" spans="1:7" x14ac:dyDescent="0.35">
      <c r="A5610">
        <v>2213</v>
      </c>
      <c r="B5610" s="1">
        <v>45642</v>
      </c>
      <c r="C5610" t="s">
        <v>24</v>
      </c>
      <c r="D5610" s="2">
        <v>0</v>
      </c>
      <c r="E5610" s="2">
        <v>184.17</v>
      </c>
      <c r="F5610" t="s">
        <v>13</v>
      </c>
      <c r="G5610" t="s">
        <v>9</v>
      </c>
    </row>
    <row r="5611" spans="1:7" x14ac:dyDescent="0.35">
      <c r="A5611">
        <v>2214</v>
      </c>
      <c r="B5611" s="1">
        <v>45642</v>
      </c>
      <c r="C5611" t="s">
        <v>24</v>
      </c>
      <c r="D5611" s="2">
        <v>6808.91</v>
      </c>
      <c r="E5611" s="2">
        <v>0</v>
      </c>
      <c r="F5611" t="s">
        <v>8</v>
      </c>
      <c r="G5611" t="s">
        <v>9</v>
      </c>
    </row>
    <row r="5612" spans="1:7" x14ac:dyDescent="0.35">
      <c r="A5612">
        <v>2214</v>
      </c>
      <c r="B5612" s="1">
        <v>45642</v>
      </c>
      <c r="C5612" t="s">
        <v>24</v>
      </c>
      <c r="D5612" s="2">
        <v>0</v>
      </c>
      <c r="E5612" s="2">
        <v>6808.91</v>
      </c>
      <c r="F5612" t="s">
        <v>13</v>
      </c>
      <c r="G5612" t="s">
        <v>9</v>
      </c>
    </row>
    <row r="5613" spans="1:7" x14ac:dyDescent="0.35">
      <c r="A5613">
        <v>2215</v>
      </c>
      <c r="B5613" s="1">
        <v>45642</v>
      </c>
      <c r="C5613" t="s">
        <v>24</v>
      </c>
      <c r="D5613" s="2">
        <v>323.24</v>
      </c>
      <c r="E5613" s="2">
        <v>0</v>
      </c>
      <c r="F5613" t="s">
        <v>8</v>
      </c>
      <c r="G5613" t="s">
        <v>9</v>
      </c>
    </row>
    <row r="5614" spans="1:7" x14ac:dyDescent="0.35">
      <c r="A5614">
        <v>2215</v>
      </c>
      <c r="B5614" s="1">
        <v>45642</v>
      </c>
      <c r="C5614" t="s">
        <v>24</v>
      </c>
      <c r="D5614" s="2">
        <v>0</v>
      </c>
      <c r="E5614" s="2">
        <v>323.24</v>
      </c>
      <c r="F5614" t="s">
        <v>13</v>
      </c>
      <c r="G5614" t="s">
        <v>9</v>
      </c>
    </row>
    <row r="5615" spans="1:7" x14ac:dyDescent="0.35">
      <c r="A5615">
        <v>2216</v>
      </c>
      <c r="B5615" s="1">
        <v>45642</v>
      </c>
      <c r="C5615" t="s">
        <v>24</v>
      </c>
      <c r="D5615" s="2">
        <v>1536.33</v>
      </c>
      <c r="E5615" s="2">
        <v>0</v>
      </c>
      <c r="F5615" t="s">
        <v>8</v>
      </c>
      <c r="G5615" t="s">
        <v>9</v>
      </c>
    </row>
    <row r="5616" spans="1:7" x14ac:dyDescent="0.35">
      <c r="A5616">
        <v>2216</v>
      </c>
      <c r="B5616" s="1">
        <v>45642</v>
      </c>
      <c r="C5616" t="s">
        <v>24</v>
      </c>
      <c r="D5616" s="2">
        <v>0</v>
      </c>
      <c r="E5616" s="2">
        <v>1536.33</v>
      </c>
      <c r="F5616" t="s">
        <v>13</v>
      </c>
      <c r="G5616" t="s">
        <v>9</v>
      </c>
    </row>
    <row r="5617" spans="1:7" x14ac:dyDescent="0.35">
      <c r="A5617">
        <v>2217</v>
      </c>
      <c r="B5617" s="1">
        <v>45642</v>
      </c>
      <c r="C5617" t="s">
        <v>25</v>
      </c>
      <c r="D5617" s="2">
        <v>187.44</v>
      </c>
      <c r="E5617" s="2">
        <v>0</v>
      </c>
      <c r="F5617" t="s">
        <v>26</v>
      </c>
      <c r="G5617" t="s">
        <v>20</v>
      </c>
    </row>
    <row r="5618" spans="1:7" x14ac:dyDescent="0.35">
      <c r="A5618">
        <v>2217</v>
      </c>
      <c r="B5618" s="1">
        <v>45642</v>
      </c>
      <c r="C5618" t="s">
        <v>25</v>
      </c>
      <c r="D5618" s="2">
        <v>14.06</v>
      </c>
      <c r="E5618" s="2">
        <v>0</v>
      </c>
      <c r="F5618" t="s">
        <v>27</v>
      </c>
      <c r="G5618" t="s">
        <v>9</v>
      </c>
    </row>
    <row r="5619" spans="1:7" x14ac:dyDescent="0.35">
      <c r="A5619">
        <v>2217</v>
      </c>
      <c r="B5619" s="1">
        <v>45642</v>
      </c>
      <c r="C5619" t="s">
        <v>25</v>
      </c>
      <c r="D5619" s="2">
        <v>0</v>
      </c>
      <c r="E5619" s="2">
        <v>201.5</v>
      </c>
      <c r="F5619" t="s">
        <v>28</v>
      </c>
      <c r="G5619" t="s">
        <v>17</v>
      </c>
    </row>
    <row r="5620" spans="1:7" x14ac:dyDescent="0.35">
      <c r="A5620">
        <v>2218</v>
      </c>
      <c r="B5620" s="1">
        <v>45642</v>
      </c>
      <c r="C5620" t="s">
        <v>25</v>
      </c>
      <c r="D5620" s="2">
        <v>1213.5999999999999</v>
      </c>
      <c r="E5620" s="2">
        <v>0</v>
      </c>
      <c r="F5620" t="s">
        <v>26</v>
      </c>
      <c r="G5620" t="s">
        <v>20</v>
      </c>
    </row>
    <row r="5621" spans="1:7" x14ac:dyDescent="0.35">
      <c r="A5621">
        <v>2218</v>
      </c>
      <c r="B5621" s="1">
        <v>45642</v>
      </c>
      <c r="C5621" t="s">
        <v>25</v>
      </c>
      <c r="D5621" s="2">
        <v>91.02</v>
      </c>
      <c r="E5621" s="2">
        <v>0</v>
      </c>
      <c r="F5621" t="s">
        <v>27</v>
      </c>
      <c r="G5621" t="s">
        <v>9</v>
      </c>
    </row>
    <row r="5622" spans="1:7" x14ac:dyDescent="0.35">
      <c r="A5622">
        <v>2218</v>
      </c>
      <c r="B5622" s="1">
        <v>45642</v>
      </c>
      <c r="C5622" t="s">
        <v>25</v>
      </c>
      <c r="D5622" s="2">
        <v>0</v>
      </c>
      <c r="E5622" s="2">
        <v>1304.6199999999999</v>
      </c>
      <c r="F5622" t="s">
        <v>28</v>
      </c>
      <c r="G5622" t="s">
        <v>17</v>
      </c>
    </row>
    <row r="5623" spans="1:7" x14ac:dyDescent="0.35">
      <c r="A5623">
        <v>2219</v>
      </c>
      <c r="B5623" s="1">
        <v>45642</v>
      </c>
      <c r="C5623" t="s">
        <v>25</v>
      </c>
      <c r="D5623" s="2">
        <v>4476.71</v>
      </c>
      <c r="E5623" s="2">
        <v>0</v>
      </c>
      <c r="F5623" t="s">
        <v>26</v>
      </c>
      <c r="G5623" t="s">
        <v>20</v>
      </c>
    </row>
    <row r="5624" spans="1:7" x14ac:dyDescent="0.35">
      <c r="A5624">
        <v>2219</v>
      </c>
      <c r="B5624" s="1">
        <v>45642</v>
      </c>
      <c r="C5624" t="s">
        <v>25</v>
      </c>
      <c r="D5624" s="2">
        <v>335.75</v>
      </c>
      <c r="E5624" s="2">
        <v>0</v>
      </c>
      <c r="F5624" t="s">
        <v>27</v>
      </c>
      <c r="G5624" t="s">
        <v>9</v>
      </c>
    </row>
    <row r="5625" spans="1:7" x14ac:dyDescent="0.35">
      <c r="A5625">
        <v>2219</v>
      </c>
      <c r="B5625" s="1">
        <v>45642</v>
      </c>
      <c r="C5625" t="s">
        <v>25</v>
      </c>
      <c r="D5625" s="2">
        <v>0</v>
      </c>
      <c r="E5625" s="2">
        <v>4812.46</v>
      </c>
      <c r="F5625" t="s">
        <v>28</v>
      </c>
      <c r="G5625" t="s">
        <v>17</v>
      </c>
    </row>
    <row r="5626" spans="1:7" x14ac:dyDescent="0.35">
      <c r="A5626">
        <v>2220</v>
      </c>
      <c r="B5626" s="1">
        <v>45642</v>
      </c>
      <c r="C5626" t="s">
        <v>25</v>
      </c>
      <c r="D5626" s="2">
        <v>257.04000000000002</v>
      </c>
      <c r="E5626" s="2">
        <v>0</v>
      </c>
      <c r="F5626" t="s">
        <v>26</v>
      </c>
      <c r="G5626" t="s">
        <v>20</v>
      </c>
    </row>
    <row r="5627" spans="1:7" x14ac:dyDescent="0.35">
      <c r="A5627">
        <v>2220</v>
      </c>
      <c r="B5627" s="1">
        <v>45642</v>
      </c>
      <c r="C5627" t="s">
        <v>25</v>
      </c>
      <c r="D5627" s="2">
        <v>19.28</v>
      </c>
      <c r="E5627" s="2">
        <v>0</v>
      </c>
      <c r="F5627" t="s">
        <v>27</v>
      </c>
      <c r="G5627" t="s">
        <v>9</v>
      </c>
    </row>
    <row r="5628" spans="1:7" x14ac:dyDescent="0.35">
      <c r="A5628">
        <v>2220</v>
      </c>
      <c r="B5628" s="1">
        <v>45642</v>
      </c>
      <c r="C5628" t="s">
        <v>25</v>
      </c>
      <c r="D5628" s="2">
        <v>0</v>
      </c>
      <c r="E5628" s="2">
        <v>276.32</v>
      </c>
      <c r="F5628" t="s">
        <v>28</v>
      </c>
      <c r="G5628" t="s">
        <v>17</v>
      </c>
    </row>
    <row r="5629" spans="1:7" x14ac:dyDescent="0.35">
      <c r="A5629">
        <v>2221</v>
      </c>
      <c r="B5629" s="1">
        <v>45642</v>
      </c>
      <c r="C5629" t="s">
        <v>25</v>
      </c>
      <c r="D5629" s="2">
        <v>3282.76</v>
      </c>
      <c r="E5629" s="2">
        <v>0</v>
      </c>
      <c r="F5629" t="s">
        <v>26</v>
      </c>
      <c r="G5629" t="s">
        <v>20</v>
      </c>
    </row>
    <row r="5630" spans="1:7" x14ac:dyDescent="0.35">
      <c r="A5630">
        <v>2221</v>
      </c>
      <c r="B5630" s="1">
        <v>45642</v>
      </c>
      <c r="C5630" t="s">
        <v>25</v>
      </c>
      <c r="D5630" s="2">
        <v>246.21</v>
      </c>
      <c r="E5630" s="2">
        <v>0</v>
      </c>
      <c r="F5630" t="s">
        <v>27</v>
      </c>
      <c r="G5630" t="s">
        <v>9</v>
      </c>
    </row>
    <row r="5631" spans="1:7" x14ac:dyDescent="0.35">
      <c r="A5631">
        <v>2221</v>
      </c>
      <c r="B5631" s="1">
        <v>45642</v>
      </c>
      <c r="C5631" t="s">
        <v>25</v>
      </c>
      <c r="D5631" s="2">
        <v>0</v>
      </c>
      <c r="E5631" s="2">
        <v>3528.97</v>
      </c>
      <c r="F5631" t="s">
        <v>28</v>
      </c>
      <c r="G5631" t="s">
        <v>17</v>
      </c>
    </row>
    <row r="5632" spans="1:7" x14ac:dyDescent="0.35">
      <c r="A5632">
        <v>2222</v>
      </c>
      <c r="B5632" s="1">
        <v>45642</v>
      </c>
      <c r="C5632" t="s">
        <v>25</v>
      </c>
      <c r="D5632" s="2">
        <v>6723.2</v>
      </c>
      <c r="E5632" s="2">
        <v>0</v>
      </c>
      <c r="F5632" t="s">
        <v>26</v>
      </c>
      <c r="G5632" t="s">
        <v>20</v>
      </c>
    </row>
    <row r="5633" spans="1:7" x14ac:dyDescent="0.35">
      <c r="A5633">
        <v>2222</v>
      </c>
      <c r="B5633" s="1">
        <v>45642</v>
      </c>
      <c r="C5633" t="s">
        <v>25</v>
      </c>
      <c r="D5633" s="2">
        <v>504.24</v>
      </c>
      <c r="E5633" s="2">
        <v>0</v>
      </c>
      <c r="F5633" t="s">
        <v>27</v>
      </c>
      <c r="G5633" t="s">
        <v>9</v>
      </c>
    </row>
    <row r="5634" spans="1:7" x14ac:dyDescent="0.35">
      <c r="A5634">
        <v>2222</v>
      </c>
      <c r="B5634" s="1">
        <v>45642</v>
      </c>
      <c r="C5634" t="s">
        <v>25</v>
      </c>
      <c r="D5634" s="2">
        <v>0</v>
      </c>
      <c r="E5634" s="2">
        <v>7227.44</v>
      </c>
      <c r="F5634" t="s">
        <v>28</v>
      </c>
      <c r="G5634" t="s">
        <v>17</v>
      </c>
    </row>
    <row r="5635" spans="1:7" x14ac:dyDescent="0.35">
      <c r="A5635">
        <v>2223</v>
      </c>
      <c r="B5635" s="1">
        <v>45642</v>
      </c>
      <c r="C5635" t="s">
        <v>29</v>
      </c>
      <c r="D5635" s="2">
        <v>1591.54</v>
      </c>
      <c r="E5635" s="2">
        <v>0</v>
      </c>
      <c r="F5635" t="s">
        <v>28</v>
      </c>
      <c r="G5635" t="s">
        <v>17</v>
      </c>
    </row>
    <row r="5636" spans="1:7" x14ac:dyDescent="0.35">
      <c r="A5636">
        <v>2223</v>
      </c>
      <c r="B5636" s="1">
        <v>45642</v>
      </c>
      <c r="C5636" t="s">
        <v>29</v>
      </c>
      <c r="D5636" s="2">
        <v>0</v>
      </c>
      <c r="E5636" s="2">
        <v>1591.54</v>
      </c>
      <c r="F5636" t="s">
        <v>8</v>
      </c>
      <c r="G5636" t="s">
        <v>9</v>
      </c>
    </row>
    <row r="5637" spans="1:7" x14ac:dyDescent="0.35">
      <c r="A5637">
        <v>2224</v>
      </c>
      <c r="B5637" s="1">
        <v>45642</v>
      </c>
      <c r="C5637" t="s">
        <v>29</v>
      </c>
      <c r="D5637" s="2">
        <v>2918.17</v>
      </c>
      <c r="E5637" s="2">
        <v>0</v>
      </c>
      <c r="F5637" t="s">
        <v>28</v>
      </c>
      <c r="G5637" t="s">
        <v>17</v>
      </c>
    </row>
    <row r="5638" spans="1:7" x14ac:dyDescent="0.35">
      <c r="A5638">
        <v>2224</v>
      </c>
      <c r="B5638" s="1">
        <v>45642</v>
      </c>
      <c r="C5638" t="s">
        <v>29</v>
      </c>
      <c r="D5638" s="2">
        <v>0</v>
      </c>
      <c r="E5638" s="2">
        <v>2918.17</v>
      </c>
      <c r="F5638" t="s">
        <v>8</v>
      </c>
      <c r="G5638" t="s">
        <v>9</v>
      </c>
    </row>
    <row r="5639" spans="1:7" x14ac:dyDescent="0.35">
      <c r="A5639">
        <v>2225</v>
      </c>
      <c r="B5639" s="1">
        <v>45642</v>
      </c>
      <c r="C5639" t="s">
        <v>29</v>
      </c>
      <c r="D5639" s="2">
        <v>1304.6199999999999</v>
      </c>
      <c r="E5639" s="2">
        <v>0</v>
      </c>
      <c r="F5639" t="s">
        <v>28</v>
      </c>
      <c r="G5639" t="s">
        <v>17</v>
      </c>
    </row>
    <row r="5640" spans="1:7" x14ac:dyDescent="0.35">
      <c r="A5640">
        <v>2225</v>
      </c>
      <c r="B5640" s="1">
        <v>45642</v>
      </c>
      <c r="C5640" t="s">
        <v>29</v>
      </c>
      <c r="D5640" s="2">
        <v>0</v>
      </c>
      <c r="E5640" s="2">
        <v>1304.6199999999999</v>
      </c>
      <c r="F5640" t="s">
        <v>8</v>
      </c>
      <c r="G5640" t="s">
        <v>9</v>
      </c>
    </row>
    <row r="5641" spans="1:7" x14ac:dyDescent="0.35">
      <c r="A5641">
        <v>2226</v>
      </c>
      <c r="B5641" s="1">
        <v>45643</v>
      </c>
      <c r="C5641" t="s">
        <v>12</v>
      </c>
      <c r="D5641" s="2">
        <v>46.39</v>
      </c>
      <c r="E5641" s="2">
        <v>0</v>
      </c>
      <c r="F5641" t="s">
        <v>13</v>
      </c>
      <c r="G5641" t="s">
        <v>9</v>
      </c>
    </row>
    <row r="5642" spans="1:7" x14ac:dyDescent="0.35">
      <c r="A5642">
        <v>2226</v>
      </c>
      <c r="B5642" s="1">
        <v>45643</v>
      </c>
      <c r="C5642" t="s">
        <v>12</v>
      </c>
      <c r="D5642" s="2">
        <v>0</v>
      </c>
      <c r="E5642" s="2">
        <v>43.15</v>
      </c>
      <c r="F5642" t="s">
        <v>14</v>
      </c>
      <c r="G5642" t="s">
        <v>15</v>
      </c>
    </row>
    <row r="5643" spans="1:7" x14ac:dyDescent="0.35">
      <c r="A5643">
        <v>2226</v>
      </c>
      <c r="B5643" s="1">
        <v>45643</v>
      </c>
      <c r="C5643" t="s">
        <v>12</v>
      </c>
      <c r="D5643" s="2">
        <v>0</v>
      </c>
      <c r="E5643" s="2">
        <v>3.24</v>
      </c>
      <c r="F5643" t="s">
        <v>16</v>
      </c>
      <c r="G5643" t="s">
        <v>17</v>
      </c>
    </row>
    <row r="5644" spans="1:7" x14ac:dyDescent="0.35">
      <c r="A5644">
        <v>2227</v>
      </c>
      <c r="B5644" s="1">
        <v>45643</v>
      </c>
      <c r="C5644" t="s">
        <v>12</v>
      </c>
      <c r="D5644" s="2">
        <v>256.97000000000003</v>
      </c>
      <c r="E5644" s="2">
        <v>0</v>
      </c>
      <c r="F5644" t="s">
        <v>13</v>
      </c>
      <c r="G5644" t="s">
        <v>9</v>
      </c>
    </row>
    <row r="5645" spans="1:7" x14ac:dyDescent="0.35">
      <c r="A5645">
        <v>2227</v>
      </c>
      <c r="B5645" s="1">
        <v>45643</v>
      </c>
      <c r="C5645" t="s">
        <v>12</v>
      </c>
      <c r="D5645" s="2">
        <v>0</v>
      </c>
      <c r="E5645" s="2">
        <v>239.04</v>
      </c>
      <c r="F5645" t="s">
        <v>14</v>
      </c>
      <c r="G5645" t="s">
        <v>15</v>
      </c>
    </row>
    <row r="5646" spans="1:7" x14ac:dyDescent="0.35">
      <c r="A5646">
        <v>2227</v>
      </c>
      <c r="B5646" s="1">
        <v>45643</v>
      </c>
      <c r="C5646" t="s">
        <v>12</v>
      </c>
      <c r="D5646" s="2">
        <v>0</v>
      </c>
      <c r="E5646" s="2">
        <v>17.93</v>
      </c>
      <c r="F5646" t="s">
        <v>16</v>
      </c>
      <c r="G5646" t="s">
        <v>17</v>
      </c>
    </row>
    <row r="5647" spans="1:7" x14ac:dyDescent="0.35">
      <c r="A5647">
        <v>2228</v>
      </c>
      <c r="B5647" s="1">
        <v>45643</v>
      </c>
      <c r="C5647" t="s">
        <v>12</v>
      </c>
      <c r="D5647" s="2">
        <v>4432.76</v>
      </c>
      <c r="E5647" s="2">
        <v>0</v>
      </c>
      <c r="F5647" t="s">
        <v>13</v>
      </c>
      <c r="G5647" t="s">
        <v>9</v>
      </c>
    </row>
    <row r="5648" spans="1:7" x14ac:dyDescent="0.35">
      <c r="A5648">
        <v>2228</v>
      </c>
      <c r="B5648" s="1">
        <v>45643</v>
      </c>
      <c r="C5648" t="s">
        <v>12</v>
      </c>
      <c r="D5648" s="2">
        <v>0</v>
      </c>
      <c r="E5648" s="2">
        <v>4123.51</v>
      </c>
      <c r="F5648" t="s">
        <v>14</v>
      </c>
      <c r="G5648" t="s">
        <v>15</v>
      </c>
    </row>
    <row r="5649" spans="1:7" x14ac:dyDescent="0.35">
      <c r="A5649">
        <v>2228</v>
      </c>
      <c r="B5649" s="1">
        <v>45643</v>
      </c>
      <c r="C5649" t="s">
        <v>12</v>
      </c>
      <c r="D5649" s="2">
        <v>0</v>
      </c>
      <c r="E5649" s="2">
        <v>309.25</v>
      </c>
      <c r="F5649" t="s">
        <v>16</v>
      </c>
      <c r="G5649" t="s">
        <v>17</v>
      </c>
    </row>
    <row r="5650" spans="1:7" x14ac:dyDescent="0.35">
      <c r="A5650">
        <v>2229</v>
      </c>
      <c r="B5650" s="1">
        <v>45643</v>
      </c>
      <c r="C5650" t="s">
        <v>12</v>
      </c>
      <c r="D5650" s="2">
        <v>2885.76</v>
      </c>
      <c r="E5650" s="2">
        <v>0</v>
      </c>
      <c r="F5650" t="s">
        <v>13</v>
      </c>
      <c r="G5650" t="s">
        <v>9</v>
      </c>
    </row>
    <row r="5651" spans="1:7" x14ac:dyDescent="0.35">
      <c r="A5651">
        <v>2229</v>
      </c>
      <c r="B5651" s="1">
        <v>45643</v>
      </c>
      <c r="C5651" t="s">
        <v>12</v>
      </c>
      <c r="D5651" s="2">
        <v>0</v>
      </c>
      <c r="E5651" s="2">
        <v>2684.43</v>
      </c>
      <c r="F5651" t="s">
        <v>14</v>
      </c>
      <c r="G5651" t="s">
        <v>15</v>
      </c>
    </row>
    <row r="5652" spans="1:7" x14ac:dyDescent="0.35">
      <c r="A5652">
        <v>2229</v>
      </c>
      <c r="B5652" s="1">
        <v>45643</v>
      </c>
      <c r="C5652" t="s">
        <v>12</v>
      </c>
      <c r="D5652" s="2">
        <v>0</v>
      </c>
      <c r="E5652" s="2">
        <v>201.33</v>
      </c>
      <c r="F5652" t="s">
        <v>16</v>
      </c>
      <c r="G5652" t="s">
        <v>17</v>
      </c>
    </row>
    <row r="5653" spans="1:7" x14ac:dyDescent="0.35">
      <c r="A5653">
        <v>2230</v>
      </c>
      <c r="B5653" s="1">
        <v>45643</v>
      </c>
      <c r="C5653" t="s">
        <v>12</v>
      </c>
      <c r="D5653" s="2">
        <v>2138.8000000000002</v>
      </c>
      <c r="E5653" s="2">
        <v>0</v>
      </c>
      <c r="F5653" t="s">
        <v>13</v>
      </c>
      <c r="G5653" t="s">
        <v>9</v>
      </c>
    </row>
    <row r="5654" spans="1:7" x14ac:dyDescent="0.35">
      <c r="A5654">
        <v>2230</v>
      </c>
      <c r="B5654" s="1">
        <v>45643</v>
      </c>
      <c r="C5654" t="s">
        <v>12</v>
      </c>
      <c r="D5654" s="2">
        <v>0</v>
      </c>
      <c r="E5654" s="2">
        <v>1989.58</v>
      </c>
      <c r="F5654" t="s">
        <v>14</v>
      </c>
      <c r="G5654" t="s">
        <v>15</v>
      </c>
    </row>
    <row r="5655" spans="1:7" x14ac:dyDescent="0.35">
      <c r="A5655">
        <v>2230</v>
      </c>
      <c r="B5655" s="1">
        <v>45643</v>
      </c>
      <c r="C5655" t="s">
        <v>12</v>
      </c>
      <c r="D5655" s="2">
        <v>0</v>
      </c>
      <c r="E5655" s="2">
        <v>149.22</v>
      </c>
      <c r="F5655" t="s">
        <v>16</v>
      </c>
      <c r="G5655" t="s">
        <v>17</v>
      </c>
    </row>
    <row r="5656" spans="1:7" x14ac:dyDescent="0.35">
      <c r="A5656">
        <v>2231</v>
      </c>
      <c r="B5656" s="1">
        <v>45643</v>
      </c>
      <c r="C5656" t="s">
        <v>12</v>
      </c>
      <c r="D5656" s="2">
        <v>3113.93</v>
      </c>
      <c r="E5656" s="2">
        <v>0</v>
      </c>
      <c r="F5656" t="s">
        <v>13</v>
      </c>
      <c r="G5656" t="s">
        <v>9</v>
      </c>
    </row>
    <row r="5657" spans="1:7" x14ac:dyDescent="0.35">
      <c r="A5657">
        <v>2231</v>
      </c>
      <c r="B5657" s="1">
        <v>45643</v>
      </c>
      <c r="C5657" t="s">
        <v>12</v>
      </c>
      <c r="D5657" s="2">
        <v>0</v>
      </c>
      <c r="E5657" s="2">
        <v>2896.68</v>
      </c>
      <c r="F5657" t="s">
        <v>14</v>
      </c>
      <c r="G5657" t="s">
        <v>15</v>
      </c>
    </row>
    <row r="5658" spans="1:7" x14ac:dyDescent="0.35">
      <c r="A5658">
        <v>2231</v>
      </c>
      <c r="B5658" s="1">
        <v>45643</v>
      </c>
      <c r="C5658" t="s">
        <v>12</v>
      </c>
      <c r="D5658" s="2">
        <v>0</v>
      </c>
      <c r="E5658" s="2">
        <v>217.25</v>
      </c>
      <c r="F5658" t="s">
        <v>16</v>
      </c>
      <c r="G5658" t="s">
        <v>17</v>
      </c>
    </row>
    <row r="5659" spans="1:7" x14ac:dyDescent="0.35">
      <c r="A5659">
        <v>2232</v>
      </c>
      <c r="B5659" s="1">
        <v>45643</v>
      </c>
      <c r="C5659" t="s">
        <v>12</v>
      </c>
      <c r="D5659" s="2">
        <v>1348.68</v>
      </c>
      <c r="E5659" s="2">
        <v>0</v>
      </c>
      <c r="F5659" t="s">
        <v>13</v>
      </c>
      <c r="G5659" t="s">
        <v>9</v>
      </c>
    </row>
    <row r="5660" spans="1:7" x14ac:dyDescent="0.35">
      <c r="A5660">
        <v>2232</v>
      </c>
      <c r="B5660" s="1">
        <v>45643</v>
      </c>
      <c r="C5660" t="s">
        <v>12</v>
      </c>
      <c r="D5660" s="2">
        <v>0</v>
      </c>
      <c r="E5660" s="2">
        <v>1254.58</v>
      </c>
      <c r="F5660" t="s">
        <v>14</v>
      </c>
      <c r="G5660" t="s">
        <v>15</v>
      </c>
    </row>
    <row r="5661" spans="1:7" x14ac:dyDescent="0.35">
      <c r="A5661">
        <v>2232</v>
      </c>
      <c r="B5661" s="1">
        <v>45643</v>
      </c>
      <c r="C5661" t="s">
        <v>12</v>
      </c>
      <c r="D5661" s="2">
        <v>0</v>
      </c>
      <c r="E5661" s="2">
        <v>94.1</v>
      </c>
      <c r="F5661" t="s">
        <v>16</v>
      </c>
      <c r="G5661" t="s">
        <v>17</v>
      </c>
    </row>
    <row r="5662" spans="1:7" x14ac:dyDescent="0.35">
      <c r="A5662">
        <v>2233</v>
      </c>
      <c r="B5662" s="1">
        <v>45643</v>
      </c>
      <c r="C5662" t="s">
        <v>12</v>
      </c>
      <c r="D5662" s="2">
        <v>1883.96</v>
      </c>
      <c r="E5662" s="2">
        <v>0</v>
      </c>
      <c r="F5662" t="s">
        <v>13</v>
      </c>
      <c r="G5662" t="s">
        <v>9</v>
      </c>
    </row>
    <row r="5663" spans="1:7" x14ac:dyDescent="0.35">
      <c r="A5663">
        <v>2233</v>
      </c>
      <c r="B5663" s="1">
        <v>45643</v>
      </c>
      <c r="C5663" t="s">
        <v>12</v>
      </c>
      <c r="D5663" s="2">
        <v>0</v>
      </c>
      <c r="E5663" s="2">
        <v>1752.52</v>
      </c>
      <c r="F5663" t="s">
        <v>14</v>
      </c>
      <c r="G5663" t="s">
        <v>15</v>
      </c>
    </row>
    <row r="5664" spans="1:7" x14ac:dyDescent="0.35">
      <c r="A5664">
        <v>2233</v>
      </c>
      <c r="B5664" s="1">
        <v>45643</v>
      </c>
      <c r="C5664" t="s">
        <v>12</v>
      </c>
      <c r="D5664" s="2">
        <v>0</v>
      </c>
      <c r="E5664" s="2">
        <v>131.44</v>
      </c>
      <c r="F5664" t="s">
        <v>16</v>
      </c>
      <c r="G5664" t="s">
        <v>17</v>
      </c>
    </row>
    <row r="5665" spans="1:7" x14ac:dyDescent="0.35">
      <c r="A5665">
        <v>2234</v>
      </c>
      <c r="B5665" s="1">
        <v>45643</v>
      </c>
      <c r="C5665" t="s">
        <v>12</v>
      </c>
      <c r="D5665" s="2">
        <v>1216.3699999999999</v>
      </c>
      <c r="E5665" s="2">
        <v>0</v>
      </c>
      <c r="F5665" t="s">
        <v>13</v>
      </c>
      <c r="G5665" t="s">
        <v>9</v>
      </c>
    </row>
    <row r="5666" spans="1:7" x14ac:dyDescent="0.35">
      <c r="A5666">
        <v>2234</v>
      </c>
      <c r="B5666" s="1">
        <v>45643</v>
      </c>
      <c r="C5666" t="s">
        <v>12</v>
      </c>
      <c r="D5666" s="2">
        <v>0</v>
      </c>
      <c r="E5666" s="2">
        <v>1131.51</v>
      </c>
      <c r="F5666" t="s">
        <v>14</v>
      </c>
      <c r="G5666" t="s">
        <v>15</v>
      </c>
    </row>
    <row r="5667" spans="1:7" x14ac:dyDescent="0.35">
      <c r="A5667">
        <v>2234</v>
      </c>
      <c r="B5667" s="1">
        <v>45643</v>
      </c>
      <c r="C5667" t="s">
        <v>12</v>
      </c>
      <c r="D5667" s="2">
        <v>0</v>
      </c>
      <c r="E5667" s="2">
        <v>84.86</v>
      </c>
      <c r="F5667" t="s">
        <v>16</v>
      </c>
      <c r="G5667" t="s">
        <v>17</v>
      </c>
    </row>
    <row r="5668" spans="1:7" x14ac:dyDescent="0.35">
      <c r="A5668">
        <v>2235</v>
      </c>
      <c r="B5668" s="1">
        <v>45643</v>
      </c>
      <c r="C5668" t="s">
        <v>12</v>
      </c>
      <c r="D5668" s="2">
        <v>836.5</v>
      </c>
      <c r="E5668" s="2">
        <v>0</v>
      </c>
      <c r="F5668" t="s">
        <v>13</v>
      </c>
      <c r="G5668" t="s">
        <v>9</v>
      </c>
    </row>
    <row r="5669" spans="1:7" x14ac:dyDescent="0.35">
      <c r="A5669">
        <v>2235</v>
      </c>
      <c r="B5669" s="1">
        <v>45643</v>
      </c>
      <c r="C5669" t="s">
        <v>12</v>
      </c>
      <c r="D5669" s="2">
        <v>0</v>
      </c>
      <c r="E5669" s="2">
        <v>778.14</v>
      </c>
      <c r="F5669" t="s">
        <v>14</v>
      </c>
      <c r="G5669" t="s">
        <v>15</v>
      </c>
    </row>
    <row r="5670" spans="1:7" x14ac:dyDescent="0.35">
      <c r="A5670">
        <v>2235</v>
      </c>
      <c r="B5670" s="1">
        <v>45643</v>
      </c>
      <c r="C5670" t="s">
        <v>12</v>
      </c>
      <c r="D5670" s="2">
        <v>0</v>
      </c>
      <c r="E5670" s="2">
        <v>58.36</v>
      </c>
      <c r="F5670" t="s">
        <v>16</v>
      </c>
      <c r="G5670" t="s">
        <v>17</v>
      </c>
    </row>
    <row r="5671" spans="1:7" x14ac:dyDescent="0.35">
      <c r="A5671">
        <v>2236</v>
      </c>
      <c r="B5671" s="1">
        <v>45643</v>
      </c>
      <c r="C5671" t="s">
        <v>12</v>
      </c>
      <c r="D5671" s="2">
        <v>3429.55</v>
      </c>
      <c r="E5671" s="2">
        <v>0</v>
      </c>
      <c r="F5671" t="s">
        <v>13</v>
      </c>
      <c r="G5671" t="s">
        <v>9</v>
      </c>
    </row>
    <row r="5672" spans="1:7" x14ac:dyDescent="0.35">
      <c r="A5672">
        <v>2236</v>
      </c>
      <c r="B5672" s="1">
        <v>45643</v>
      </c>
      <c r="C5672" t="s">
        <v>12</v>
      </c>
      <c r="D5672" s="2">
        <v>0</v>
      </c>
      <c r="E5672" s="2">
        <v>3190.26</v>
      </c>
      <c r="F5672" t="s">
        <v>14</v>
      </c>
      <c r="G5672" t="s">
        <v>15</v>
      </c>
    </row>
    <row r="5673" spans="1:7" x14ac:dyDescent="0.35">
      <c r="A5673">
        <v>2236</v>
      </c>
      <c r="B5673" s="1">
        <v>45643</v>
      </c>
      <c r="C5673" t="s">
        <v>12</v>
      </c>
      <c r="D5673" s="2">
        <v>0</v>
      </c>
      <c r="E5673" s="2">
        <v>239.29</v>
      </c>
      <c r="F5673" t="s">
        <v>16</v>
      </c>
      <c r="G5673" t="s">
        <v>17</v>
      </c>
    </row>
    <row r="5674" spans="1:7" x14ac:dyDescent="0.35">
      <c r="A5674">
        <v>2237</v>
      </c>
      <c r="B5674" s="1">
        <v>45643</v>
      </c>
      <c r="C5674" t="s">
        <v>12</v>
      </c>
      <c r="D5674" s="2">
        <v>3876.79</v>
      </c>
      <c r="E5674" s="2">
        <v>0</v>
      </c>
      <c r="F5674" t="s">
        <v>13</v>
      </c>
      <c r="G5674" t="s">
        <v>9</v>
      </c>
    </row>
    <row r="5675" spans="1:7" x14ac:dyDescent="0.35">
      <c r="A5675">
        <v>2237</v>
      </c>
      <c r="B5675" s="1">
        <v>45643</v>
      </c>
      <c r="C5675" t="s">
        <v>12</v>
      </c>
      <c r="D5675" s="2">
        <v>0</v>
      </c>
      <c r="E5675" s="2">
        <v>3606.31</v>
      </c>
      <c r="F5675" t="s">
        <v>14</v>
      </c>
      <c r="G5675" t="s">
        <v>15</v>
      </c>
    </row>
    <row r="5676" spans="1:7" x14ac:dyDescent="0.35">
      <c r="A5676">
        <v>2237</v>
      </c>
      <c r="B5676" s="1">
        <v>45643</v>
      </c>
      <c r="C5676" t="s">
        <v>12</v>
      </c>
      <c r="D5676" s="2">
        <v>0</v>
      </c>
      <c r="E5676" s="2">
        <v>270.48</v>
      </c>
      <c r="F5676" t="s">
        <v>16</v>
      </c>
      <c r="G5676" t="s">
        <v>17</v>
      </c>
    </row>
    <row r="5677" spans="1:7" x14ac:dyDescent="0.35">
      <c r="A5677">
        <v>2238</v>
      </c>
      <c r="B5677" s="1">
        <v>45643</v>
      </c>
      <c r="C5677" t="s">
        <v>24</v>
      </c>
      <c r="D5677" s="2">
        <v>1481.56</v>
      </c>
      <c r="E5677" s="2">
        <v>0</v>
      </c>
      <c r="F5677" t="s">
        <v>8</v>
      </c>
      <c r="G5677" t="s">
        <v>9</v>
      </c>
    </row>
    <row r="5678" spans="1:7" x14ac:dyDescent="0.35">
      <c r="A5678">
        <v>2238</v>
      </c>
      <c r="B5678" s="1">
        <v>45643</v>
      </c>
      <c r="C5678" t="s">
        <v>24</v>
      </c>
      <c r="D5678" s="2">
        <v>0</v>
      </c>
      <c r="E5678" s="2">
        <v>1481.56</v>
      </c>
      <c r="F5678" t="s">
        <v>13</v>
      </c>
      <c r="G5678" t="s">
        <v>9</v>
      </c>
    </row>
    <row r="5679" spans="1:7" x14ac:dyDescent="0.35">
      <c r="A5679">
        <v>2239</v>
      </c>
      <c r="B5679" s="1">
        <v>45643</v>
      </c>
      <c r="C5679" t="s">
        <v>24</v>
      </c>
      <c r="D5679" s="2">
        <v>4306.5600000000004</v>
      </c>
      <c r="E5679" s="2">
        <v>0</v>
      </c>
      <c r="F5679" t="s">
        <v>8</v>
      </c>
      <c r="G5679" t="s">
        <v>9</v>
      </c>
    </row>
    <row r="5680" spans="1:7" x14ac:dyDescent="0.35">
      <c r="A5680">
        <v>2239</v>
      </c>
      <c r="B5680" s="1">
        <v>45643</v>
      </c>
      <c r="C5680" t="s">
        <v>24</v>
      </c>
      <c r="D5680" s="2">
        <v>0</v>
      </c>
      <c r="E5680" s="2">
        <v>4306.5600000000004</v>
      </c>
      <c r="F5680" t="s">
        <v>13</v>
      </c>
      <c r="G5680" t="s">
        <v>9</v>
      </c>
    </row>
    <row r="5681" spans="1:7" x14ac:dyDescent="0.35">
      <c r="A5681">
        <v>2240</v>
      </c>
      <c r="B5681" s="1">
        <v>45643</v>
      </c>
      <c r="C5681" t="s">
        <v>24</v>
      </c>
      <c r="D5681" s="2">
        <v>278.77999999999997</v>
      </c>
      <c r="E5681" s="2">
        <v>0</v>
      </c>
      <c r="F5681" t="s">
        <v>8</v>
      </c>
      <c r="G5681" t="s">
        <v>9</v>
      </c>
    </row>
    <row r="5682" spans="1:7" x14ac:dyDescent="0.35">
      <c r="A5682">
        <v>2240</v>
      </c>
      <c r="B5682" s="1">
        <v>45643</v>
      </c>
      <c r="C5682" t="s">
        <v>24</v>
      </c>
      <c r="D5682" s="2">
        <v>0</v>
      </c>
      <c r="E5682" s="2">
        <v>278.77999999999997</v>
      </c>
      <c r="F5682" t="s">
        <v>13</v>
      </c>
      <c r="G5682" t="s">
        <v>9</v>
      </c>
    </row>
    <row r="5683" spans="1:7" x14ac:dyDescent="0.35">
      <c r="A5683">
        <v>2241</v>
      </c>
      <c r="B5683" s="1">
        <v>45643</v>
      </c>
      <c r="C5683" t="s">
        <v>24</v>
      </c>
      <c r="D5683" s="2">
        <v>4830.7</v>
      </c>
      <c r="E5683" s="2">
        <v>0</v>
      </c>
      <c r="F5683" t="s">
        <v>8</v>
      </c>
      <c r="G5683" t="s">
        <v>9</v>
      </c>
    </row>
    <row r="5684" spans="1:7" x14ac:dyDescent="0.35">
      <c r="A5684">
        <v>2241</v>
      </c>
      <c r="B5684" s="1">
        <v>45643</v>
      </c>
      <c r="C5684" t="s">
        <v>24</v>
      </c>
      <c r="D5684" s="2">
        <v>0</v>
      </c>
      <c r="E5684" s="2">
        <v>4830.7</v>
      </c>
      <c r="F5684" t="s">
        <v>13</v>
      </c>
      <c r="G5684" t="s">
        <v>9</v>
      </c>
    </row>
    <row r="5685" spans="1:7" x14ac:dyDescent="0.35">
      <c r="A5685">
        <v>2242</v>
      </c>
      <c r="B5685" s="1">
        <v>45643</v>
      </c>
      <c r="C5685" t="s">
        <v>24</v>
      </c>
      <c r="D5685" s="2">
        <v>1808.1</v>
      </c>
      <c r="E5685" s="2">
        <v>0</v>
      </c>
      <c r="F5685" t="s">
        <v>8</v>
      </c>
      <c r="G5685" t="s">
        <v>9</v>
      </c>
    </row>
    <row r="5686" spans="1:7" x14ac:dyDescent="0.35">
      <c r="A5686">
        <v>2242</v>
      </c>
      <c r="B5686" s="1">
        <v>45643</v>
      </c>
      <c r="C5686" t="s">
        <v>24</v>
      </c>
      <c r="D5686" s="2">
        <v>0</v>
      </c>
      <c r="E5686" s="2">
        <v>1808.1</v>
      </c>
      <c r="F5686" t="s">
        <v>13</v>
      </c>
      <c r="G5686" t="s">
        <v>9</v>
      </c>
    </row>
    <row r="5687" spans="1:7" x14ac:dyDescent="0.35">
      <c r="A5687">
        <v>2243</v>
      </c>
      <c r="B5687" s="1">
        <v>45643</v>
      </c>
      <c r="C5687" t="s">
        <v>24</v>
      </c>
      <c r="D5687" s="2">
        <v>1176.67</v>
      </c>
      <c r="E5687" s="2">
        <v>0</v>
      </c>
      <c r="F5687" t="s">
        <v>8</v>
      </c>
      <c r="G5687" t="s">
        <v>9</v>
      </c>
    </row>
    <row r="5688" spans="1:7" x14ac:dyDescent="0.35">
      <c r="A5688">
        <v>2243</v>
      </c>
      <c r="B5688" s="1">
        <v>45643</v>
      </c>
      <c r="C5688" t="s">
        <v>24</v>
      </c>
      <c r="D5688" s="2">
        <v>0</v>
      </c>
      <c r="E5688" s="2">
        <v>1176.67</v>
      </c>
      <c r="F5688" t="s">
        <v>13</v>
      </c>
      <c r="G5688" t="s">
        <v>9</v>
      </c>
    </row>
    <row r="5689" spans="1:7" x14ac:dyDescent="0.35">
      <c r="A5689">
        <v>2244</v>
      </c>
      <c r="B5689" s="1">
        <v>45643</v>
      </c>
      <c r="C5689" t="s">
        <v>24</v>
      </c>
      <c r="D5689" s="2">
        <v>5324.78</v>
      </c>
      <c r="E5689" s="2">
        <v>0</v>
      </c>
      <c r="F5689" t="s">
        <v>8</v>
      </c>
      <c r="G5689" t="s">
        <v>9</v>
      </c>
    </row>
    <row r="5690" spans="1:7" x14ac:dyDescent="0.35">
      <c r="A5690">
        <v>2244</v>
      </c>
      <c r="B5690" s="1">
        <v>45643</v>
      </c>
      <c r="C5690" t="s">
        <v>24</v>
      </c>
      <c r="D5690" s="2">
        <v>0</v>
      </c>
      <c r="E5690" s="2">
        <v>5324.78</v>
      </c>
      <c r="F5690" t="s">
        <v>13</v>
      </c>
      <c r="G5690" t="s">
        <v>9</v>
      </c>
    </row>
    <row r="5691" spans="1:7" x14ac:dyDescent="0.35">
      <c r="A5691">
        <v>2245</v>
      </c>
      <c r="B5691" s="1">
        <v>45643</v>
      </c>
      <c r="C5691" t="s">
        <v>24</v>
      </c>
      <c r="D5691" s="2">
        <v>2885.76</v>
      </c>
      <c r="E5691" s="2">
        <v>0</v>
      </c>
      <c r="F5691" t="s">
        <v>8</v>
      </c>
      <c r="G5691" t="s">
        <v>9</v>
      </c>
    </row>
    <row r="5692" spans="1:7" x14ac:dyDescent="0.35">
      <c r="A5692">
        <v>2245</v>
      </c>
      <c r="B5692" s="1">
        <v>45643</v>
      </c>
      <c r="C5692" t="s">
        <v>24</v>
      </c>
      <c r="D5692" s="2">
        <v>0</v>
      </c>
      <c r="E5692" s="2">
        <v>2885.76</v>
      </c>
      <c r="F5692" t="s">
        <v>13</v>
      </c>
      <c r="G5692" t="s">
        <v>9</v>
      </c>
    </row>
    <row r="5693" spans="1:7" x14ac:dyDescent="0.35">
      <c r="A5693">
        <v>2246</v>
      </c>
      <c r="B5693" s="1">
        <v>45643</v>
      </c>
      <c r="C5693" t="s">
        <v>29</v>
      </c>
      <c r="D5693" s="2">
        <v>179.01</v>
      </c>
      <c r="E5693" s="2">
        <v>0</v>
      </c>
      <c r="F5693" t="s">
        <v>28</v>
      </c>
      <c r="G5693" t="s">
        <v>17</v>
      </c>
    </row>
    <row r="5694" spans="1:7" x14ac:dyDescent="0.35">
      <c r="A5694">
        <v>2246</v>
      </c>
      <c r="B5694" s="1">
        <v>45643</v>
      </c>
      <c r="C5694" t="s">
        <v>29</v>
      </c>
      <c r="D5694" s="2">
        <v>0</v>
      </c>
      <c r="E5694" s="2">
        <v>179.01</v>
      </c>
      <c r="F5694" t="s">
        <v>8</v>
      </c>
      <c r="G5694" t="s">
        <v>9</v>
      </c>
    </row>
    <row r="5695" spans="1:7" x14ac:dyDescent="0.35">
      <c r="A5695">
        <v>2247</v>
      </c>
      <c r="B5695" s="1">
        <v>45643</v>
      </c>
      <c r="C5695" t="s">
        <v>29</v>
      </c>
      <c r="D5695" s="2">
        <v>2635.36</v>
      </c>
      <c r="E5695" s="2">
        <v>0</v>
      </c>
      <c r="F5695" t="s">
        <v>28</v>
      </c>
      <c r="G5695" t="s">
        <v>17</v>
      </c>
    </row>
    <row r="5696" spans="1:7" x14ac:dyDescent="0.35">
      <c r="A5696">
        <v>2247</v>
      </c>
      <c r="B5696" s="1">
        <v>45643</v>
      </c>
      <c r="C5696" t="s">
        <v>29</v>
      </c>
      <c r="D5696" s="2">
        <v>0</v>
      </c>
      <c r="E5696" s="2">
        <v>2635.36</v>
      </c>
      <c r="F5696" t="s">
        <v>8</v>
      </c>
      <c r="G5696" t="s">
        <v>9</v>
      </c>
    </row>
    <row r="5697" spans="1:7" x14ac:dyDescent="0.35">
      <c r="A5697">
        <v>2248</v>
      </c>
      <c r="B5697" s="1">
        <v>45643</v>
      </c>
      <c r="C5697" t="s">
        <v>29</v>
      </c>
      <c r="D5697" s="2">
        <v>276.32</v>
      </c>
      <c r="E5697" s="2">
        <v>0</v>
      </c>
      <c r="F5697" t="s">
        <v>28</v>
      </c>
      <c r="G5697" t="s">
        <v>17</v>
      </c>
    </row>
    <row r="5698" spans="1:7" x14ac:dyDescent="0.35">
      <c r="A5698">
        <v>2248</v>
      </c>
      <c r="B5698" s="1">
        <v>45643</v>
      </c>
      <c r="C5698" t="s">
        <v>29</v>
      </c>
      <c r="D5698" s="2">
        <v>0</v>
      </c>
      <c r="E5698" s="2">
        <v>276.32</v>
      </c>
      <c r="F5698" t="s">
        <v>8</v>
      </c>
      <c r="G5698" t="s">
        <v>9</v>
      </c>
    </row>
    <row r="5699" spans="1:7" x14ac:dyDescent="0.35">
      <c r="A5699">
        <v>2249</v>
      </c>
      <c r="B5699" s="1">
        <v>45644</v>
      </c>
      <c r="C5699" t="s">
        <v>12</v>
      </c>
      <c r="D5699" s="2">
        <v>1036.82</v>
      </c>
      <c r="E5699" s="2">
        <v>0</v>
      </c>
      <c r="F5699" t="s">
        <v>13</v>
      </c>
      <c r="G5699" t="s">
        <v>9</v>
      </c>
    </row>
    <row r="5700" spans="1:7" x14ac:dyDescent="0.35">
      <c r="A5700">
        <v>2249</v>
      </c>
      <c r="B5700" s="1">
        <v>45644</v>
      </c>
      <c r="C5700" t="s">
        <v>12</v>
      </c>
      <c r="D5700" s="2">
        <v>0</v>
      </c>
      <c r="E5700" s="2">
        <v>964.48</v>
      </c>
      <c r="F5700" t="s">
        <v>14</v>
      </c>
      <c r="G5700" t="s">
        <v>15</v>
      </c>
    </row>
    <row r="5701" spans="1:7" x14ac:dyDescent="0.35">
      <c r="A5701">
        <v>2249</v>
      </c>
      <c r="B5701" s="1">
        <v>45644</v>
      </c>
      <c r="C5701" t="s">
        <v>12</v>
      </c>
      <c r="D5701" s="2">
        <v>0</v>
      </c>
      <c r="E5701" s="2">
        <v>72.34</v>
      </c>
      <c r="F5701" t="s">
        <v>16</v>
      </c>
      <c r="G5701" t="s">
        <v>17</v>
      </c>
    </row>
    <row r="5702" spans="1:7" x14ac:dyDescent="0.35">
      <c r="A5702">
        <v>2250</v>
      </c>
      <c r="B5702" s="1">
        <v>45644</v>
      </c>
      <c r="C5702" t="s">
        <v>12</v>
      </c>
      <c r="D5702" s="2">
        <v>104.34</v>
      </c>
      <c r="E5702" s="2">
        <v>0</v>
      </c>
      <c r="F5702" t="s">
        <v>13</v>
      </c>
      <c r="G5702" t="s">
        <v>9</v>
      </c>
    </row>
    <row r="5703" spans="1:7" x14ac:dyDescent="0.35">
      <c r="A5703">
        <v>2250</v>
      </c>
      <c r="B5703" s="1">
        <v>45644</v>
      </c>
      <c r="C5703" t="s">
        <v>12</v>
      </c>
      <c r="D5703" s="2">
        <v>0</v>
      </c>
      <c r="E5703" s="2">
        <v>97.06</v>
      </c>
      <c r="F5703" t="s">
        <v>14</v>
      </c>
      <c r="G5703" t="s">
        <v>15</v>
      </c>
    </row>
    <row r="5704" spans="1:7" x14ac:dyDescent="0.35">
      <c r="A5704">
        <v>2250</v>
      </c>
      <c r="B5704" s="1">
        <v>45644</v>
      </c>
      <c r="C5704" t="s">
        <v>12</v>
      </c>
      <c r="D5704" s="2">
        <v>0</v>
      </c>
      <c r="E5704" s="2">
        <v>7.28</v>
      </c>
      <c r="F5704" t="s">
        <v>16</v>
      </c>
      <c r="G5704" t="s">
        <v>17</v>
      </c>
    </row>
    <row r="5705" spans="1:7" x14ac:dyDescent="0.35">
      <c r="A5705">
        <v>2251</v>
      </c>
      <c r="B5705" s="1">
        <v>45644</v>
      </c>
      <c r="C5705" t="s">
        <v>12</v>
      </c>
      <c r="D5705" s="2">
        <v>3888.78</v>
      </c>
      <c r="E5705" s="2">
        <v>0</v>
      </c>
      <c r="F5705" t="s">
        <v>13</v>
      </c>
      <c r="G5705" t="s">
        <v>9</v>
      </c>
    </row>
    <row r="5706" spans="1:7" x14ac:dyDescent="0.35">
      <c r="A5706">
        <v>2251</v>
      </c>
      <c r="B5706" s="1">
        <v>45644</v>
      </c>
      <c r="C5706" t="s">
        <v>12</v>
      </c>
      <c r="D5706" s="2">
        <v>0</v>
      </c>
      <c r="E5706" s="2">
        <v>3617.47</v>
      </c>
      <c r="F5706" t="s">
        <v>14</v>
      </c>
      <c r="G5706" t="s">
        <v>15</v>
      </c>
    </row>
    <row r="5707" spans="1:7" x14ac:dyDescent="0.35">
      <c r="A5707">
        <v>2251</v>
      </c>
      <c r="B5707" s="1">
        <v>45644</v>
      </c>
      <c r="C5707" t="s">
        <v>12</v>
      </c>
      <c r="D5707" s="2">
        <v>0</v>
      </c>
      <c r="E5707" s="2">
        <v>271.31</v>
      </c>
      <c r="F5707" t="s">
        <v>16</v>
      </c>
      <c r="G5707" t="s">
        <v>17</v>
      </c>
    </row>
    <row r="5708" spans="1:7" x14ac:dyDescent="0.35">
      <c r="A5708">
        <v>2252</v>
      </c>
      <c r="B5708" s="1">
        <v>45644</v>
      </c>
      <c r="C5708" t="s">
        <v>12</v>
      </c>
      <c r="D5708" s="2">
        <v>2436.73</v>
      </c>
      <c r="E5708" s="2">
        <v>0</v>
      </c>
      <c r="F5708" t="s">
        <v>13</v>
      </c>
      <c r="G5708" t="s">
        <v>9</v>
      </c>
    </row>
    <row r="5709" spans="1:7" x14ac:dyDescent="0.35">
      <c r="A5709">
        <v>2252</v>
      </c>
      <c r="B5709" s="1">
        <v>45644</v>
      </c>
      <c r="C5709" t="s">
        <v>12</v>
      </c>
      <c r="D5709" s="2">
        <v>0</v>
      </c>
      <c r="E5709" s="2">
        <v>2266.7199999999998</v>
      </c>
      <c r="F5709" t="s">
        <v>14</v>
      </c>
      <c r="G5709" t="s">
        <v>15</v>
      </c>
    </row>
    <row r="5710" spans="1:7" x14ac:dyDescent="0.35">
      <c r="A5710">
        <v>2252</v>
      </c>
      <c r="B5710" s="1">
        <v>45644</v>
      </c>
      <c r="C5710" t="s">
        <v>12</v>
      </c>
      <c r="D5710" s="2">
        <v>0</v>
      </c>
      <c r="E5710" s="2">
        <v>170.01</v>
      </c>
      <c r="F5710" t="s">
        <v>16</v>
      </c>
      <c r="G5710" t="s">
        <v>17</v>
      </c>
    </row>
    <row r="5711" spans="1:7" x14ac:dyDescent="0.35">
      <c r="A5711">
        <v>2253</v>
      </c>
      <c r="B5711" s="1">
        <v>45644</v>
      </c>
      <c r="C5711" t="s">
        <v>12</v>
      </c>
      <c r="D5711" s="2">
        <v>6798.23</v>
      </c>
      <c r="E5711" s="2">
        <v>0</v>
      </c>
      <c r="F5711" t="s">
        <v>13</v>
      </c>
      <c r="G5711" t="s">
        <v>9</v>
      </c>
    </row>
    <row r="5712" spans="1:7" x14ac:dyDescent="0.35">
      <c r="A5712">
        <v>2253</v>
      </c>
      <c r="B5712" s="1">
        <v>45644</v>
      </c>
      <c r="C5712" t="s">
        <v>12</v>
      </c>
      <c r="D5712" s="2">
        <v>0</v>
      </c>
      <c r="E5712" s="2">
        <v>6323.94</v>
      </c>
      <c r="F5712" t="s">
        <v>14</v>
      </c>
      <c r="G5712" t="s">
        <v>15</v>
      </c>
    </row>
    <row r="5713" spans="1:7" x14ac:dyDescent="0.35">
      <c r="A5713">
        <v>2253</v>
      </c>
      <c r="B5713" s="1">
        <v>45644</v>
      </c>
      <c r="C5713" t="s">
        <v>12</v>
      </c>
      <c r="D5713" s="2">
        <v>0</v>
      </c>
      <c r="E5713" s="2">
        <v>474.29</v>
      </c>
      <c r="F5713" t="s">
        <v>16</v>
      </c>
      <c r="G5713" t="s">
        <v>17</v>
      </c>
    </row>
    <row r="5714" spans="1:7" x14ac:dyDescent="0.35">
      <c r="A5714">
        <v>2254</v>
      </c>
      <c r="B5714" s="1">
        <v>45644</v>
      </c>
      <c r="C5714" t="s">
        <v>12</v>
      </c>
      <c r="D5714" s="2">
        <v>480.91</v>
      </c>
      <c r="E5714" s="2">
        <v>0</v>
      </c>
      <c r="F5714" t="s">
        <v>13</v>
      </c>
      <c r="G5714" t="s">
        <v>9</v>
      </c>
    </row>
    <row r="5715" spans="1:7" x14ac:dyDescent="0.35">
      <c r="A5715">
        <v>2254</v>
      </c>
      <c r="B5715" s="1">
        <v>45644</v>
      </c>
      <c r="C5715" t="s">
        <v>12</v>
      </c>
      <c r="D5715" s="2">
        <v>0</v>
      </c>
      <c r="E5715" s="2">
        <v>447.36</v>
      </c>
      <c r="F5715" t="s">
        <v>14</v>
      </c>
      <c r="G5715" t="s">
        <v>15</v>
      </c>
    </row>
    <row r="5716" spans="1:7" x14ac:dyDescent="0.35">
      <c r="A5716">
        <v>2254</v>
      </c>
      <c r="B5716" s="1">
        <v>45644</v>
      </c>
      <c r="C5716" t="s">
        <v>12</v>
      </c>
      <c r="D5716" s="2">
        <v>0</v>
      </c>
      <c r="E5716" s="2">
        <v>33.549999999999997</v>
      </c>
      <c r="F5716" t="s">
        <v>16</v>
      </c>
      <c r="G5716" t="s">
        <v>17</v>
      </c>
    </row>
    <row r="5717" spans="1:7" x14ac:dyDescent="0.35">
      <c r="A5717">
        <v>2255</v>
      </c>
      <c r="B5717" s="1">
        <v>45644</v>
      </c>
      <c r="C5717" t="s">
        <v>24</v>
      </c>
      <c r="D5717" s="2">
        <v>1602.79</v>
      </c>
      <c r="E5717" s="2">
        <v>0</v>
      </c>
      <c r="F5717" t="s">
        <v>8</v>
      </c>
      <c r="G5717" t="s">
        <v>9</v>
      </c>
    </row>
    <row r="5718" spans="1:7" x14ac:dyDescent="0.35">
      <c r="A5718">
        <v>2255</v>
      </c>
      <c r="B5718" s="1">
        <v>45644</v>
      </c>
      <c r="C5718" t="s">
        <v>24</v>
      </c>
      <c r="D5718" s="2">
        <v>0</v>
      </c>
      <c r="E5718" s="2">
        <v>1602.79</v>
      </c>
      <c r="F5718" t="s">
        <v>13</v>
      </c>
      <c r="G5718" t="s">
        <v>9</v>
      </c>
    </row>
    <row r="5719" spans="1:7" x14ac:dyDescent="0.35">
      <c r="A5719">
        <v>2256</v>
      </c>
      <c r="B5719" s="1">
        <v>45644</v>
      </c>
      <c r="C5719" t="s">
        <v>24</v>
      </c>
      <c r="D5719" s="2">
        <v>123.55</v>
      </c>
      <c r="E5719" s="2">
        <v>0</v>
      </c>
      <c r="F5719" t="s">
        <v>8</v>
      </c>
      <c r="G5719" t="s">
        <v>9</v>
      </c>
    </row>
    <row r="5720" spans="1:7" x14ac:dyDescent="0.35">
      <c r="A5720">
        <v>2256</v>
      </c>
      <c r="B5720" s="1">
        <v>45644</v>
      </c>
      <c r="C5720" t="s">
        <v>24</v>
      </c>
      <c r="D5720" s="2">
        <v>0</v>
      </c>
      <c r="E5720" s="2">
        <v>123.55</v>
      </c>
      <c r="F5720" t="s">
        <v>13</v>
      </c>
      <c r="G5720" t="s">
        <v>9</v>
      </c>
    </row>
    <row r="5721" spans="1:7" x14ac:dyDescent="0.35">
      <c r="A5721">
        <v>2257</v>
      </c>
      <c r="B5721" s="1">
        <v>45644</v>
      </c>
      <c r="C5721" t="s">
        <v>24</v>
      </c>
      <c r="D5721" s="2">
        <v>1213.99</v>
      </c>
      <c r="E5721" s="2">
        <v>0</v>
      </c>
      <c r="F5721" t="s">
        <v>8</v>
      </c>
      <c r="G5721" t="s">
        <v>9</v>
      </c>
    </row>
    <row r="5722" spans="1:7" x14ac:dyDescent="0.35">
      <c r="A5722">
        <v>2257</v>
      </c>
      <c r="B5722" s="1">
        <v>45644</v>
      </c>
      <c r="C5722" t="s">
        <v>24</v>
      </c>
      <c r="D5722" s="2">
        <v>0</v>
      </c>
      <c r="E5722" s="2">
        <v>1213.99</v>
      </c>
      <c r="F5722" t="s">
        <v>13</v>
      </c>
      <c r="G5722" t="s">
        <v>9</v>
      </c>
    </row>
    <row r="5723" spans="1:7" x14ac:dyDescent="0.35">
      <c r="A5723">
        <v>2258</v>
      </c>
      <c r="B5723" s="1">
        <v>45644</v>
      </c>
      <c r="C5723" t="s">
        <v>24</v>
      </c>
      <c r="D5723" s="2">
        <v>2980.83</v>
      </c>
      <c r="E5723" s="2">
        <v>0</v>
      </c>
      <c r="F5723" t="s">
        <v>8</v>
      </c>
      <c r="G5723" t="s">
        <v>9</v>
      </c>
    </row>
    <row r="5724" spans="1:7" x14ac:dyDescent="0.35">
      <c r="A5724">
        <v>2258</v>
      </c>
      <c r="B5724" s="1">
        <v>45644</v>
      </c>
      <c r="C5724" t="s">
        <v>24</v>
      </c>
      <c r="D5724" s="2">
        <v>0</v>
      </c>
      <c r="E5724" s="2">
        <v>2980.83</v>
      </c>
      <c r="F5724" t="s">
        <v>13</v>
      </c>
      <c r="G5724" t="s">
        <v>9</v>
      </c>
    </row>
    <row r="5725" spans="1:7" x14ac:dyDescent="0.35">
      <c r="A5725">
        <v>2259</v>
      </c>
      <c r="B5725" s="1">
        <v>45644</v>
      </c>
      <c r="C5725" t="s">
        <v>24</v>
      </c>
      <c r="D5725" s="2">
        <v>1671.65</v>
      </c>
      <c r="E5725" s="2">
        <v>0</v>
      </c>
      <c r="F5725" t="s">
        <v>8</v>
      </c>
      <c r="G5725" t="s">
        <v>9</v>
      </c>
    </row>
    <row r="5726" spans="1:7" x14ac:dyDescent="0.35">
      <c r="A5726">
        <v>2259</v>
      </c>
      <c r="B5726" s="1">
        <v>45644</v>
      </c>
      <c r="C5726" t="s">
        <v>24</v>
      </c>
      <c r="D5726" s="2">
        <v>0</v>
      </c>
      <c r="E5726" s="2">
        <v>1671.65</v>
      </c>
      <c r="F5726" t="s">
        <v>13</v>
      </c>
      <c r="G5726" t="s">
        <v>9</v>
      </c>
    </row>
    <row r="5727" spans="1:7" x14ac:dyDescent="0.35">
      <c r="A5727">
        <v>2260</v>
      </c>
      <c r="B5727" s="1">
        <v>45644</v>
      </c>
      <c r="C5727" t="s">
        <v>24</v>
      </c>
      <c r="D5727" s="2">
        <v>978.76</v>
      </c>
      <c r="E5727" s="2">
        <v>0</v>
      </c>
      <c r="F5727" t="s">
        <v>8</v>
      </c>
      <c r="G5727" t="s">
        <v>9</v>
      </c>
    </row>
    <row r="5728" spans="1:7" x14ac:dyDescent="0.35">
      <c r="A5728">
        <v>2260</v>
      </c>
      <c r="B5728" s="1">
        <v>45644</v>
      </c>
      <c r="C5728" t="s">
        <v>24</v>
      </c>
      <c r="D5728" s="2">
        <v>0</v>
      </c>
      <c r="E5728" s="2">
        <v>978.76</v>
      </c>
      <c r="F5728" t="s">
        <v>13</v>
      </c>
      <c r="G5728" t="s">
        <v>9</v>
      </c>
    </row>
    <row r="5729" spans="1:7" x14ac:dyDescent="0.35">
      <c r="A5729">
        <v>2261</v>
      </c>
      <c r="B5729" s="1">
        <v>45644</v>
      </c>
      <c r="C5729" t="s">
        <v>29</v>
      </c>
      <c r="D5729" s="2">
        <v>3528.97</v>
      </c>
      <c r="E5729" s="2">
        <v>0</v>
      </c>
      <c r="F5729" t="s">
        <v>28</v>
      </c>
      <c r="G5729" t="s">
        <v>17</v>
      </c>
    </row>
    <row r="5730" spans="1:7" x14ac:dyDescent="0.35">
      <c r="A5730">
        <v>2261</v>
      </c>
      <c r="B5730" s="1">
        <v>45644</v>
      </c>
      <c r="C5730" t="s">
        <v>29</v>
      </c>
      <c r="D5730" s="2">
        <v>0</v>
      </c>
      <c r="E5730" s="2">
        <v>3528.97</v>
      </c>
      <c r="F5730" t="s">
        <v>8</v>
      </c>
      <c r="G5730" t="s">
        <v>9</v>
      </c>
    </row>
    <row r="5731" spans="1:7" x14ac:dyDescent="0.35">
      <c r="A5731">
        <v>2262</v>
      </c>
      <c r="B5731" s="1">
        <v>45644</v>
      </c>
      <c r="C5731" t="s">
        <v>29</v>
      </c>
      <c r="D5731" s="2">
        <v>550.4</v>
      </c>
      <c r="E5731" s="2">
        <v>0</v>
      </c>
      <c r="F5731" t="s">
        <v>28</v>
      </c>
      <c r="G5731" t="s">
        <v>17</v>
      </c>
    </row>
    <row r="5732" spans="1:7" x14ac:dyDescent="0.35">
      <c r="A5732">
        <v>2262</v>
      </c>
      <c r="B5732" s="1">
        <v>45644</v>
      </c>
      <c r="C5732" t="s">
        <v>29</v>
      </c>
      <c r="D5732" s="2">
        <v>0</v>
      </c>
      <c r="E5732" s="2">
        <v>550.4</v>
      </c>
      <c r="F5732" t="s">
        <v>8</v>
      </c>
      <c r="G5732" t="s">
        <v>9</v>
      </c>
    </row>
    <row r="5733" spans="1:7" x14ac:dyDescent="0.35">
      <c r="A5733">
        <v>2263</v>
      </c>
      <c r="B5733" s="1">
        <v>45645</v>
      </c>
      <c r="C5733" t="s">
        <v>18</v>
      </c>
      <c r="D5733" s="2">
        <v>22288.69</v>
      </c>
      <c r="E5733" s="2">
        <v>0</v>
      </c>
      <c r="F5733" t="s">
        <v>19</v>
      </c>
      <c r="G5733" t="s">
        <v>20</v>
      </c>
    </row>
    <row r="5734" spans="1:7" x14ac:dyDescent="0.35">
      <c r="A5734">
        <v>2263</v>
      </c>
      <c r="B5734" s="1">
        <v>45645</v>
      </c>
      <c r="C5734" t="s">
        <v>18</v>
      </c>
      <c r="D5734" s="2">
        <v>891.56</v>
      </c>
      <c r="E5734" s="2">
        <v>0</v>
      </c>
      <c r="F5734" t="s">
        <v>21</v>
      </c>
      <c r="G5734" t="s">
        <v>20</v>
      </c>
    </row>
    <row r="5735" spans="1:7" x14ac:dyDescent="0.35">
      <c r="A5735">
        <v>2263</v>
      </c>
      <c r="B5735" s="1">
        <v>45645</v>
      </c>
      <c r="C5735" t="s">
        <v>18</v>
      </c>
      <c r="D5735" s="2">
        <v>0</v>
      </c>
      <c r="E5735" s="2">
        <v>18219.419999999998</v>
      </c>
      <c r="F5735" t="s">
        <v>8</v>
      </c>
      <c r="G5735" t="s">
        <v>9</v>
      </c>
    </row>
    <row r="5736" spans="1:7" x14ac:dyDescent="0.35">
      <c r="A5736">
        <v>2263</v>
      </c>
      <c r="B5736" s="1">
        <v>45645</v>
      </c>
      <c r="C5736" t="s">
        <v>18</v>
      </c>
      <c r="D5736" s="2">
        <v>0</v>
      </c>
      <c r="E5736" s="2">
        <v>4069.27</v>
      </c>
      <c r="F5736" t="s">
        <v>22</v>
      </c>
      <c r="G5736" t="s">
        <v>17</v>
      </c>
    </row>
    <row r="5737" spans="1:7" x14ac:dyDescent="0.35">
      <c r="A5737">
        <v>2263</v>
      </c>
      <c r="B5737" s="1">
        <v>45645</v>
      </c>
      <c r="C5737" t="s">
        <v>18</v>
      </c>
      <c r="D5737" s="2">
        <v>0</v>
      </c>
      <c r="E5737" s="2">
        <v>891.56</v>
      </c>
      <c r="F5737" t="s">
        <v>23</v>
      </c>
      <c r="G5737" t="s">
        <v>17</v>
      </c>
    </row>
    <row r="5738" spans="1:7" x14ac:dyDescent="0.35">
      <c r="A5738">
        <v>2264</v>
      </c>
      <c r="B5738" s="1">
        <v>45645</v>
      </c>
      <c r="C5738" t="s">
        <v>12</v>
      </c>
      <c r="D5738" s="2">
        <v>1733.92</v>
      </c>
      <c r="E5738" s="2">
        <v>0</v>
      </c>
      <c r="F5738" t="s">
        <v>13</v>
      </c>
      <c r="G5738" t="s">
        <v>9</v>
      </c>
    </row>
    <row r="5739" spans="1:7" x14ac:dyDescent="0.35">
      <c r="A5739">
        <v>2264</v>
      </c>
      <c r="B5739" s="1">
        <v>45645</v>
      </c>
      <c r="C5739" t="s">
        <v>12</v>
      </c>
      <c r="D5739" s="2">
        <v>0</v>
      </c>
      <c r="E5739" s="2">
        <v>1612.95</v>
      </c>
      <c r="F5739" t="s">
        <v>14</v>
      </c>
      <c r="G5739" t="s">
        <v>15</v>
      </c>
    </row>
    <row r="5740" spans="1:7" x14ac:dyDescent="0.35">
      <c r="A5740">
        <v>2264</v>
      </c>
      <c r="B5740" s="1">
        <v>45645</v>
      </c>
      <c r="C5740" t="s">
        <v>12</v>
      </c>
      <c r="D5740" s="2">
        <v>0</v>
      </c>
      <c r="E5740" s="2">
        <v>120.97</v>
      </c>
      <c r="F5740" t="s">
        <v>16</v>
      </c>
      <c r="G5740" t="s">
        <v>17</v>
      </c>
    </row>
    <row r="5741" spans="1:7" x14ac:dyDescent="0.35">
      <c r="A5741">
        <v>2265</v>
      </c>
      <c r="B5741" s="1">
        <v>45645</v>
      </c>
      <c r="C5741" t="s">
        <v>12</v>
      </c>
      <c r="D5741" s="2">
        <v>1390.29</v>
      </c>
      <c r="E5741" s="2">
        <v>0</v>
      </c>
      <c r="F5741" t="s">
        <v>13</v>
      </c>
      <c r="G5741" t="s">
        <v>9</v>
      </c>
    </row>
    <row r="5742" spans="1:7" x14ac:dyDescent="0.35">
      <c r="A5742">
        <v>2265</v>
      </c>
      <c r="B5742" s="1">
        <v>45645</v>
      </c>
      <c r="C5742" t="s">
        <v>12</v>
      </c>
      <c r="D5742" s="2">
        <v>0</v>
      </c>
      <c r="E5742" s="2">
        <v>1293.3</v>
      </c>
      <c r="F5742" t="s">
        <v>14</v>
      </c>
      <c r="G5742" t="s">
        <v>15</v>
      </c>
    </row>
    <row r="5743" spans="1:7" x14ac:dyDescent="0.35">
      <c r="A5743">
        <v>2265</v>
      </c>
      <c r="B5743" s="1">
        <v>45645</v>
      </c>
      <c r="C5743" t="s">
        <v>12</v>
      </c>
      <c r="D5743" s="2">
        <v>0</v>
      </c>
      <c r="E5743" s="2">
        <v>96.99</v>
      </c>
      <c r="F5743" t="s">
        <v>16</v>
      </c>
      <c r="G5743" t="s">
        <v>17</v>
      </c>
    </row>
    <row r="5744" spans="1:7" x14ac:dyDescent="0.35">
      <c r="A5744">
        <v>2266</v>
      </c>
      <c r="B5744" s="1">
        <v>45645</v>
      </c>
      <c r="C5744" t="s">
        <v>12</v>
      </c>
      <c r="D5744" s="2">
        <v>446.4</v>
      </c>
      <c r="E5744" s="2">
        <v>0</v>
      </c>
      <c r="F5744" t="s">
        <v>13</v>
      </c>
      <c r="G5744" t="s">
        <v>9</v>
      </c>
    </row>
    <row r="5745" spans="1:7" x14ac:dyDescent="0.35">
      <c r="A5745">
        <v>2266</v>
      </c>
      <c r="B5745" s="1">
        <v>45645</v>
      </c>
      <c r="C5745" t="s">
        <v>12</v>
      </c>
      <c r="D5745" s="2">
        <v>0</v>
      </c>
      <c r="E5745" s="2">
        <v>415.26</v>
      </c>
      <c r="F5745" t="s">
        <v>14</v>
      </c>
      <c r="G5745" t="s">
        <v>15</v>
      </c>
    </row>
    <row r="5746" spans="1:7" x14ac:dyDescent="0.35">
      <c r="A5746">
        <v>2266</v>
      </c>
      <c r="B5746" s="1">
        <v>45645</v>
      </c>
      <c r="C5746" t="s">
        <v>12</v>
      </c>
      <c r="D5746" s="2">
        <v>0</v>
      </c>
      <c r="E5746" s="2">
        <v>31.14</v>
      </c>
      <c r="F5746" t="s">
        <v>16</v>
      </c>
      <c r="G5746" t="s">
        <v>17</v>
      </c>
    </row>
    <row r="5747" spans="1:7" x14ac:dyDescent="0.35">
      <c r="A5747">
        <v>2267</v>
      </c>
      <c r="B5747" s="1">
        <v>45645</v>
      </c>
      <c r="C5747" t="s">
        <v>12</v>
      </c>
      <c r="D5747" s="2">
        <v>1267.9100000000001</v>
      </c>
      <c r="E5747" s="2">
        <v>0</v>
      </c>
      <c r="F5747" t="s">
        <v>13</v>
      </c>
      <c r="G5747" t="s">
        <v>9</v>
      </c>
    </row>
    <row r="5748" spans="1:7" x14ac:dyDescent="0.35">
      <c r="A5748">
        <v>2267</v>
      </c>
      <c r="B5748" s="1">
        <v>45645</v>
      </c>
      <c r="C5748" t="s">
        <v>12</v>
      </c>
      <c r="D5748" s="2">
        <v>0</v>
      </c>
      <c r="E5748" s="2">
        <v>1179.45</v>
      </c>
      <c r="F5748" t="s">
        <v>14</v>
      </c>
      <c r="G5748" t="s">
        <v>15</v>
      </c>
    </row>
    <row r="5749" spans="1:7" x14ac:dyDescent="0.35">
      <c r="A5749">
        <v>2267</v>
      </c>
      <c r="B5749" s="1">
        <v>45645</v>
      </c>
      <c r="C5749" t="s">
        <v>12</v>
      </c>
      <c r="D5749" s="2">
        <v>0</v>
      </c>
      <c r="E5749" s="2">
        <v>88.46</v>
      </c>
      <c r="F5749" t="s">
        <v>16</v>
      </c>
      <c r="G5749" t="s">
        <v>17</v>
      </c>
    </row>
    <row r="5750" spans="1:7" x14ac:dyDescent="0.35">
      <c r="A5750">
        <v>2268</v>
      </c>
      <c r="B5750" s="1">
        <v>45645</v>
      </c>
      <c r="C5750" t="s">
        <v>12</v>
      </c>
      <c r="D5750" s="2">
        <v>960.64</v>
      </c>
      <c r="E5750" s="2">
        <v>0</v>
      </c>
      <c r="F5750" t="s">
        <v>13</v>
      </c>
      <c r="G5750" t="s">
        <v>9</v>
      </c>
    </row>
    <row r="5751" spans="1:7" x14ac:dyDescent="0.35">
      <c r="A5751">
        <v>2268</v>
      </c>
      <c r="B5751" s="1">
        <v>45645</v>
      </c>
      <c r="C5751" t="s">
        <v>12</v>
      </c>
      <c r="D5751" s="2">
        <v>0</v>
      </c>
      <c r="E5751" s="2">
        <v>893.62</v>
      </c>
      <c r="F5751" t="s">
        <v>14</v>
      </c>
      <c r="G5751" t="s">
        <v>15</v>
      </c>
    </row>
    <row r="5752" spans="1:7" x14ac:dyDescent="0.35">
      <c r="A5752">
        <v>2268</v>
      </c>
      <c r="B5752" s="1">
        <v>45645</v>
      </c>
      <c r="C5752" t="s">
        <v>12</v>
      </c>
      <c r="D5752" s="2">
        <v>0</v>
      </c>
      <c r="E5752" s="2">
        <v>67.02</v>
      </c>
      <c r="F5752" t="s">
        <v>16</v>
      </c>
      <c r="G5752" t="s">
        <v>17</v>
      </c>
    </row>
    <row r="5753" spans="1:7" x14ac:dyDescent="0.35">
      <c r="A5753">
        <v>2269</v>
      </c>
      <c r="B5753" s="1">
        <v>45645</v>
      </c>
      <c r="C5753" t="s">
        <v>12</v>
      </c>
      <c r="D5753" s="2">
        <v>1606.98</v>
      </c>
      <c r="E5753" s="2">
        <v>0</v>
      </c>
      <c r="F5753" t="s">
        <v>13</v>
      </c>
      <c r="G5753" t="s">
        <v>9</v>
      </c>
    </row>
    <row r="5754" spans="1:7" x14ac:dyDescent="0.35">
      <c r="A5754">
        <v>2269</v>
      </c>
      <c r="B5754" s="1">
        <v>45645</v>
      </c>
      <c r="C5754" t="s">
        <v>12</v>
      </c>
      <c r="D5754" s="2">
        <v>0</v>
      </c>
      <c r="E5754" s="2">
        <v>1494.86</v>
      </c>
      <c r="F5754" t="s">
        <v>14</v>
      </c>
      <c r="G5754" t="s">
        <v>15</v>
      </c>
    </row>
    <row r="5755" spans="1:7" x14ac:dyDescent="0.35">
      <c r="A5755">
        <v>2269</v>
      </c>
      <c r="B5755" s="1">
        <v>45645</v>
      </c>
      <c r="C5755" t="s">
        <v>12</v>
      </c>
      <c r="D5755" s="2">
        <v>0</v>
      </c>
      <c r="E5755" s="2">
        <v>112.12</v>
      </c>
      <c r="F5755" t="s">
        <v>16</v>
      </c>
      <c r="G5755" t="s">
        <v>17</v>
      </c>
    </row>
    <row r="5756" spans="1:7" x14ac:dyDescent="0.35">
      <c r="A5756">
        <v>2270</v>
      </c>
      <c r="B5756" s="1">
        <v>45645</v>
      </c>
      <c r="C5756" t="s">
        <v>12</v>
      </c>
      <c r="D5756" s="2">
        <v>2504.14</v>
      </c>
      <c r="E5756" s="2">
        <v>0</v>
      </c>
      <c r="F5756" t="s">
        <v>13</v>
      </c>
      <c r="G5756" t="s">
        <v>9</v>
      </c>
    </row>
    <row r="5757" spans="1:7" x14ac:dyDescent="0.35">
      <c r="A5757">
        <v>2270</v>
      </c>
      <c r="B5757" s="1">
        <v>45645</v>
      </c>
      <c r="C5757" t="s">
        <v>12</v>
      </c>
      <c r="D5757" s="2">
        <v>0</v>
      </c>
      <c r="E5757" s="2">
        <v>2329.4299999999998</v>
      </c>
      <c r="F5757" t="s">
        <v>14</v>
      </c>
      <c r="G5757" t="s">
        <v>15</v>
      </c>
    </row>
    <row r="5758" spans="1:7" x14ac:dyDescent="0.35">
      <c r="A5758">
        <v>2270</v>
      </c>
      <c r="B5758" s="1">
        <v>45645</v>
      </c>
      <c r="C5758" t="s">
        <v>12</v>
      </c>
      <c r="D5758" s="2">
        <v>0</v>
      </c>
      <c r="E5758" s="2">
        <v>174.71</v>
      </c>
      <c r="F5758" t="s">
        <v>16</v>
      </c>
      <c r="G5758" t="s">
        <v>17</v>
      </c>
    </row>
    <row r="5759" spans="1:7" x14ac:dyDescent="0.35">
      <c r="A5759">
        <v>2271</v>
      </c>
      <c r="B5759" s="1">
        <v>45645</v>
      </c>
      <c r="C5759" t="s">
        <v>12</v>
      </c>
      <c r="D5759" s="2">
        <v>2154.08</v>
      </c>
      <c r="E5759" s="2">
        <v>0</v>
      </c>
      <c r="F5759" t="s">
        <v>13</v>
      </c>
      <c r="G5759" t="s">
        <v>9</v>
      </c>
    </row>
    <row r="5760" spans="1:7" x14ac:dyDescent="0.35">
      <c r="A5760">
        <v>2271</v>
      </c>
      <c r="B5760" s="1">
        <v>45645</v>
      </c>
      <c r="C5760" t="s">
        <v>12</v>
      </c>
      <c r="D5760" s="2">
        <v>0</v>
      </c>
      <c r="E5760" s="2">
        <v>2003.8</v>
      </c>
      <c r="F5760" t="s">
        <v>14</v>
      </c>
      <c r="G5760" t="s">
        <v>15</v>
      </c>
    </row>
    <row r="5761" spans="1:7" x14ac:dyDescent="0.35">
      <c r="A5761">
        <v>2271</v>
      </c>
      <c r="B5761" s="1">
        <v>45645</v>
      </c>
      <c r="C5761" t="s">
        <v>12</v>
      </c>
      <c r="D5761" s="2">
        <v>0</v>
      </c>
      <c r="E5761" s="2">
        <v>150.28</v>
      </c>
      <c r="F5761" t="s">
        <v>16</v>
      </c>
      <c r="G5761" t="s">
        <v>17</v>
      </c>
    </row>
    <row r="5762" spans="1:7" x14ac:dyDescent="0.35">
      <c r="A5762">
        <v>2272</v>
      </c>
      <c r="B5762" s="1">
        <v>45645</v>
      </c>
      <c r="C5762" t="s">
        <v>24</v>
      </c>
      <c r="D5762" s="2">
        <v>3585.89</v>
      </c>
      <c r="E5762" s="2">
        <v>0</v>
      </c>
      <c r="F5762" t="s">
        <v>8</v>
      </c>
      <c r="G5762" t="s">
        <v>9</v>
      </c>
    </row>
    <row r="5763" spans="1:7" x14ac:dyDescent="0.35">
      <c r="A5763">
        <v>2272</v>
      </c>
      <c r="B5763" s="1">
        <v>45645</v>
      </c>
      <c r="C5763" t="s">
        <v>24</v>
      </c>
      <c r="D5763" s="2">
        <v>0</v>
      </c>
      <c r="E5763" s="2">
        <v>3585.89</v>
      </c>
      <c r="F5763" t="s">
        <v>13</v>
      </c>
      <c r="G5763" t="s">
        <v>9</v>
      </c>
    </row>
    <row r="5764" spans="1:7" x14ac:dyDescent="0.35">
      <c r="A5764">
        <v>2273</v>
      </c>
      <c r="B5764" s="1">
        <v>45645</v>
      </c>
      <c r="C5764" t="s">
        <v>24</v>
      </c>
      <c r="D5764" s="2">
        <v>3619.87</v>
      </c>
      <c r="E5764" s="2">
        <v>0</v>
      </c>
      <c r="F5764" t="s">
        <v>8</v>
      </c>
      <c r="G5764" t="s">
        <v>9</v>
      </c>
    </row>
    <row r="5765" spans="1:7" x14ac:dyDescent="0.35">
      <c r="A5765">
        <v>2273</v>
      </c>
      <c r="B5765" s="1">
        <v>45645</v>
      </c>
      <c r="C5765" t="s">
        <v>24</v>
      </c>
      <c r="D5765" s="2">
        <v>0</v>
      </c>
      <c r="E5765" s="2">
        <v>3619.87</v>
      </c>
      <c r="F5765" t="s">
        <v>13</v>
      </c>
      <c r="G5765" t="s">
        <v>9</v>
      </c>
    </row>
    <row r="5766" spans="1:7" x14ac:dyDescent="0.35">
      <c r="A5766">
        <v>2274</v>
      </c>
      <c r="B5766" s="1">
        <v>45645</v>
      </c>
      <c r="C5766" t="s">
        <v>24</v>
      </c>
      <c r="D5766" s="2">
        <v>1486.95</v>
      </c>
      <c r="E5766" s="2">
        <v>0</v>
      </c>
      <c r="F5766" t="s">
        <v>8</v>
      </c>
      <c r="G5766" t="s">
        <v>9</v>
      </c>
    </row>
    <row r="5767" spans="1:7" x14ac:dyDescent="0.35">
      <c r="A5767">
        <v>2274</v>
      </c>
      <c r="B5767" s="1">
        <v>45645</v>
      </c>
      <c r="C5767" t="s">
        <v>24</v>
      </c>
      <c r="D5767" s="2">
        <v>0</v>
      </c>
      <c r="E5767" s="2">
        <v>1486.95</v>
      </c>
      <c r="F5767" t="s">
        <v>13</v>
      </c>
      <c r="G5767" t="s">
        <v>9</v>
      </c>
    </row>
    <row r="5768" spans="1:7" x14ac:dyDescent="0.35">
      <c r="A5768">
        <v>2275</v>
      </c>
      <c r="B5768" s="1">
        <v>45645</v>
      </c>
      <c r="C5768" t="s">
        <v>24</v>
      </c>
      <c r="D5768" s="2">
        <v>2721.76</v>
      </c>
      <c r="E5768" s="2">
        <v>0</v>
      </c>
      <c r="F5768" t="s">
        <v>8</v>
      </c>
      <c r="G5768" t="s">
        <v>9</v>
      </c>
    </row>
    <row r="5769" spans="1:7" x14ac:dyDescent="0.35">
      <c r="A5769">
        <v>2275</v>
      </c>
      <c r="B5769" s="1">
        <v>45645</v>
      </c>
      <c r="C5769" t="s">
        <v>24</v>
      </c>
      <c r="D5769" s="2">
        <v>0</v>
      </c>
      <c r="E5769" s="2">
        <v>2721.76</v>
      </c>
      <c r="F5769" t="s">
        <v>13</v>
      </c>
      <c r="G5769" t="s">
        <v>9</v>
      </c>
    </row>
    <row r="5770" spans="1:7" x14ac:dyDescent="0.35">
      <c r="A5770">
        <v>2276</v>
      </c>
      <c r="B5770" s="1">
        <v>45645</v>
      </c>
      <c r="C5770" t="s">
        <v>24</v>
      </c>
      <c r="D5770" s="2">
        <v>71.83</v>
      </c>
      <c r="E5770" s="2">
        <v>0</v>
      </c>
      <c r="F5770" t="s">
        <v>8</v>
      </c>
      <c r="G5770" t="s">
        <v>9</v>
      </c>
    </row>
    <row r="5771" spans="1:7" x14ac:dyDescent="0.35">
      <c r="A5771">
        <v>2276</v>
      </c>
      <c r="B5771" s="1">
        <v>45645</v>
      </c>
      <c r="C5771" t="s">
        <v>24</v>
      </c>
      <c r="D5771" s="2">
        <v>0</v>
      </c>
      <c r="E5771" s="2">
        <v>71.83</v>
      </c>
      <c r="F5771" t="s">
        <v>13</v>
      </c>
      <c r="G5771" t="s">
        <v>9</v>
      </c>
    </row>
    <row r="5772" spans="1:7" x14ac:dyDescent="0.35">
      <c r="A5772">
        <v>2277</v>
      </c>
      <c r="B5772" s="1">
        <v>45645</v>
      </c>
      <c r="C5772" t="s">
        <v>24</v>
      </c>
      <c r="D5772" s="2">
        <v>3431.07</v>
      </c>
      <c r="E5772" s="2">
        <v>0</v>
      </c>
      <c r="F5772" t="s">
        <v>8</v>
      </c>
      <c r="G5772" t="s">
        <v>9</v>
      </c>
    </row>
    <row r="5773" spans="1:7" x14ac:dyDescent="0.35">
      <c r="A5773">
        <v>2277</v>
      </c>
      <c r="B5773" s="1">
        <v>45645</v>
      </c>
      <c r="C5773" t="s">
        <v>24</v>
      </c>
      <c r="D5773" s="2">
        <v>0</v>
      </c>
      <c r="E5773" s="2">
        <v>3431.07</v>
      </c>
      <c r="F5773" t="s">
        <v>13</v>
      </c>
      <c r="G5773" t="s">
        <v>9</v>
      </c>
    </row>
    <row r="5774" spans="1:7" x14ac:dyDescent="0.35">
      <c r="A5774">
        <v>2278</v>
      </c>
      <c r="B5774" s="1">
        <v>45645</v>
      </c>
      <c r="C5774" t="s">
        <v>24</v>
      </c>
      <c r="D5774" s="2">
        <v>3110.47</v>
      </c>
      <c r="E5774" s="2">
        <v>0</v>
      </c>
      <c r="F5774" t="s">
        <v>8</v>
      </c>
      <c r="G5774" t="s">
        <v>9</v>
      </c>
    </row>
    <row r="5775" spans="1:7" x14ac:dyDescent="0.35">
      <c r="A5775">
        <v>2278</v>
      </c>
      <c r="B5775" s="1">
        <v>45645</v>
      </c>
      <c r="C5775" t="s">
        <v>24</v>
      </c>
      <c r="D5775" s="2">
        <v>0</v>
      </c>
      <c r="E5775" s="2">
        <v>3110.47</v>
      </c>
      <c r="F5775" t="s">
        <v>13</v>
      </c>
      <c r="G5775" t="s">
        <v>9</v>
      </c>
    </row>
    <row r="5776" spans="1:7" x14ac:dyDescent="0.35">
      <c r="A5776">
        <v>2279</v>
      </c>
      <c r="B5776" s="1">
        <v>45645</v>
      </c>
      <c r="C5776" t="s">
        <v>24</v>
      </c>
      <c r="D5776" s="2">
        <v>2154.08</v>
      </c>
      <c r="E5776" s="2">
        <v>0</v>
      </c>
      <c r="F5776" t="s">
        <v>8</v>
      </c>
      <c r="G5776" t="s">
        <v>9</v>
      </c>
    </row>
    <row r="5777" spans="1:7" x14ac:dyDescent="0.35">
      <c r="A5777">
        <v>2279</v>
      </c>
      <c r="B5777" s="1">
        <v>45645</v>
      </c>
      <c r="C5777" t="s">
        <v>24</v>
      </c>
      <c r="D5777" s="2">
        <v>0</v>
      </c>
      <c r="E5777" s="2">
        <v>2154.08</v>
      </c>
      <c r="F5777" t="s">
        <v>13</v>
      </c>
      <c r="G5777" t="s">
        <v>9</v>
      </c>
    </row>
    <row r="5778" spans="1:7" x14ac:dyDescent="0.35">
      <c r="A5778">
        <v>2280</v>
      </c>
      <c r="B5778" s="1">
        <v>45645</v>
      </c>
      <c r="C5778" t="s">
        <v>29</v>
      </c>
      <c r="D5778" s="2">
        <v>201.5</v>
      </c>
      <c r="E5778" s="2">
        <v>0</v>
      </c>
      <c r="F5778" t="s">
        <v>28</v>
      </c>
      <c r="G5778" t="s">
        <v>17</v>
      </c>
    </row>
    <row r="5779" spans="1:7" x14ac:dyDescent="0.35">
      <c r="A5779">
        <v>2280</v>
      </c>
      <c r="B5779" s="1">
        <v>45645</v>
      </c>
      <c r="C5779" t="s">
        <v>29</v>
      </c>
      <c r="D5779" s="2">
        <v>0</v>
      </c>
      <c r="E5779" s="2">
        <v>201.5</v>
      </c>
      <c r="F5779" t="s">
        <v>8</v>
      </c>
      <c r="G5779" t="s">
        <v>9</v>
      </c>
    </row>
    <row r="5780" spans="1:7" x14ac:dyDescent="0.35">
      <c r="A5780">
        <v>2281</v>
      </c>
      <c r="B5780" s="1">
        <v>45645</v>
      </c>
      <c r="C5780" t="s">
        <v>29</v>
      </c>
      <c r="D5780" s="2">
        <v>748.26</v>
      </c>
      <c r="E5780" s="2">
        <v>0</v>
      </c>
      <c r="F5780" t="s">
        <v>28</v>
      </c>
      <c r="G5780" t="s">
        <v>17</v>
      </c>
    </row>
    <row r="5781" spans="1:7" x14ac:dyDescent="0.35">
      <c r="A5781">
        <v>2281</v>
      </c>
      <c r="B5781" s="1">
        <v>45645</v>
      </c>
      <c r="C5781" t="s">
        <v>29</v>
      </c>
      <c r="D5781" s="2">
        <v>0</v>
      </c>
      <c r="E5781" s="2">
        <v>748.26</v>
      </c>
      <c r="F5781" t="s">
        <v>8</v>
      </c>
      <c r="G5781" t="s">
        <v>9</v>
      </c>
    </row>
    <row r="5782" spans="1:7" x14ac:dyDescent="0.35">
      <c r="A5782">
        <v>2282</v>
      </c>
      <c r="B5782" s="1">
        <v>45646</v>
      </c>
      <c r="C5782" t="s">
        <v>12</v>
      </c>
      <c r="D5782" s="2">
        <v>517.96</v>
      </c>
      <c r="E5782" s="2">
        <v>0</v>
      </c>
      <c r="F5782" t="s">
        <v>13</v>
      </c>
      <c r="G5782" t="s">
        <v>9</v>
      </c>
    </row>
    <row r="5783" spans="1:7" x14ac:dyDescent="0.35">
      <c r="A5783">
        <v>2282</v>
      </c>
      <c r="B5783" s="1">
        <v>45646</v>
      </c>
      <c r="C5783" t="s">
        <v>12</v>
      </c>
      <c r="D5783" s="2">
        <v>0</v>
      </c>
      <c r="E5783" s="2">
        <v>481.82</v>
      </c>
      <c r="F5783" t="s">
        <v>14</v>
      </c>
      <c r="G5783" t="s">
        <v>15</v>
      </c>
    </row>
    <row r="5784" spans="1:7" x14ac:dyDescent="0.35">
      <c r="A5784">
        <v>2282</v>
      </c>
      <c r="B5784" s="1">
        <v>45646</v>
      </c>
      <c r="C5784" t="s">
        <v>12</v>
      </c>
      <c r="D5784" s="2">
        <v>0</v>
      </c>
      <c r="E5784" s="2">
        <v>36.14</v>
      </c>
      <c r="F5784" t="s">
        <v>16</v>
      </c>
      <c r="G5784" t="s">
        <v>17</v>
      </c>
    </row>
    <row r="5785" spans="1:7" x14ac:dyDescent="0.35">
      <c r="A5785">
        <v>2283</v>
      </c>
      <c r="B5785" s="1">
        <v>45646</v>
      </c>
      <c r="C5785" t="s">
        <v>12</v>
      </c>
      <c r="D5785" s="2">
        <v>2485.79</v>
      </c>
      <c r="E5785" s="2">
        <v>0</v>
      </c>
      <c r="F5785" t="s">
        <v>13</v>
      </c>
      <c r="G5785" t="s">
        <v>9</v>
      </c>
    </row>
    <row r="5786" spans="1:7" x14ac:dyDescent="0.35">
      <c r="A5786">
        <v>2283</v>
      </c>
      <c r="B5786" s="1">
        <v>45646</v>
      </c>
      <c r="C5786" t="s">
        <v>12</v>
      </c>
      <c r="D5786" s="2">
        <v>0</v>
      </c>
      <c r="E5786" s="2">
        <v>2312.37</v>
      </c>
      <c r="F5786" t="s">
        <v>14</v>
      </c>
      <c r="G5786" t="s">
        <v>15</v>
      </c>
    </row>
    <row r="5787" spans="1:7" x14ac:dyDescent="0.35">
      <c r="A5787">
        <v>2283</v>
      </c>
      <c r="B5787" s="1">
        <v>45646</v>
      </c>
      <c r="C5787" t="s">
        <v>12</v>
      </c>
      <c r="D5787" s="2">
        <v>0</v>
      </c>
      <c r="E5787" s="2">
        <v>173.42</v>
      </c>
      <c r="F5787" t="s">
        <v>16</v>
      </c>
      <c r="G5787" t="s">
        <v>17</v>
      </c>
    </row>
    <row r="5788" spans="1:7" x14ac:dyDescent="0.35">
      <c r="A5788">
        <v>2284</v>
      </c>
      <c r="B5788" s="1">
        <v>45646</v>
      </c>
      <c r="C5788" t="s">
        <v>12</v>
      </c>
      <c r="D5788" s="2">
        <v>2277.9499999999998</v>
      </c>
      <c r="E5788" s="2">
        <v>0</v>
      </c>
      <c r="F5788" t="s">
        <v>13</v>
      </c>
      <c r="G5788" t="s">
        <v>9</v>
      </c>
    </row>
    <row r="5789" spans="1:7" x14ac:dyDescent="0.35">
      <c r="A5789">
        <v>2284</v>
      </c>
      <c r="B5789" s="1">
        <v>45646</v>
      </c>
      <c r="C5789" t="s">
        <v>12</v>
      </c>
      <c r="D5789" s="2">
        <v>0</v>
      </c>
      <c r="E5789" s="2">
        <v>2119.0300000000002</v>
      </c>
      <c r="F5789" t="s">
        <v>14</v>
      </c>
      <c r="G5789" t="s">
        <v>15</v>
      </c>
    </row>
    <row r="5790" spans="1:7" x14ac:dyDescent="0.35">
      <c r="A5790">
        <v>2284</v>
      </c>
      <c r="B5790" s="1">
        <v>45646</v>
      </c>
      <c r="C5790" t="s">
        <v>12</v>
      </c>
      <c r="D5790" s="2">
        <v>0</v>
      </c>
      <c r="E5790" s="2">
        <v>158.91999999999999</v>
      </c>
      <c r="F5790" t="s">
        <v>16</v>
      </c>
      <c r="G5790" t="s">
        <v>17</v>
      </c>
    </row>
    <row r="5791" spans="1:7" x14ac:dyDescent="0.35">
      <c r="A5791">
        <v>2285</v>
      </c>
      <c r="B5791" s="1">
        <v>45646</v>
      </c>
      <c r="C5791" t="s">
        <v>12</v>
      </c>
      <c r="D5791" s="2">
        <v>1712.72</v>
      </c>
      <c r="E5791" s="2">
        <v>0</v>
      </c>
      <c r="F5791" t="s">
        <v>13</v>
      </c>
      <c r="G5791" t="s">
        <v>9</v>
      </c>
    </row>
    <row r="5792" spans="1:7" x14ac:dyDescent="0.35">
      <c r="A5792">
        <v>2285</v>
      </c>
      <c r="B5792" s="1">
        <v>45646</v>
      </c>
      <c r="C5792" t="s">
        <v>12</v>
      </c>
      <c r="D5792" s="2">
        <v>0</v>
      </c>
      <c r="E5792" s="2">
        <v>1593.23</v>
      </c>
      <c r="F5792" t="s">
        <v>14</v>
      </c>
      <c r="G5792" t="s">
        <v>15</v>
      </c>
    </row>
    <row r="5793" spans="1:7" x14ac:dyDescent="0.35">
      <c r="A5793">
        <v>2285</v>
      </c>
      <c r="B5793" s="1">
        <v>45646</v>
      </c>
      <c r="C5793" t="s">
        <v>12</v>
      </c>
      <c r="D5793" s="2">
        <v>0</v>
      </c>
      <c r="E5793" s="2">
        <v>119.49</v>
      </c>
      <c r="F5793" t="s">
        <v>16</v>
      </c>
      <c r="G5793" t="s">
        <v>17</v>
      </c>
    </row>
    <row r="5794" spans="1:7" x14ac:dyDescent="0.35">
      <c r="A5794">
        <v>2286</v>
      </c>
      <c r="B5794" s="1">
        <v>45646</v>
      </c>
      <c r="C5794" t="s">
        <v>12</v>
      </c>
      <c r="D5794" s="2">
        <v>970.9</v>
      </c>
      <c r="E5794" s="2">
        <v>0</v>
      </c>
      <c r="F5794" t="s">
        <v>13</v>
      </c>
      <c r="G5794" t="s">
        <v>9</v>
      </c>
    </row>
    <row r="5795" spans="1:7" x14ac:dyDescent="0.35">
      <c r="A5795">
        <v>2286</v>
      </c>
      <c r="B5795" s="1">
        <v>45646</v>
      </c>
      <c r="C5795" t="s">
        <v>12</v>
      </c>
      <c r="D5795" s="2">
        <v>0</v>
      </c>
      <c r="E5795" s="2">
        <v>903.16</v>
      </c>
      <c r="F5795" t="s">
        <v>14</v>
      </c>
      <c r="G5795" t="s">
        <v>15</v>
      </c>
    </row>
    <row r="5796" spans="1:7" x14ac:dyDescent="0.35">
      <c r="A5796">
        <v>2286</v>
      </c>
      <c r="B5796" s="1">
        <v>45646</v>
      </c>
      <c r="C5796" t="s">
        <v>12</v>
      </c>
      <c r="D5796" s="2">
        <v>0</v>
      </c>
      <c r="E5796" s="2">
        <v>67.739999999999995</v>
      </c>
      <c r="F5796" t="s">
        <v>16</v>
      </c>
      <c r="G5796" t="s">
        <v>17</v>
      </c>
    </row>
    <row r="5797" spans="1:7" x14ac:dyDescent="0.35">
      <c r="A5797">
        <v>2287</v>
      </c>
      <c r="B5797" s="1">
        <v>45646</v>
      </c>
      <c r="C5797" t="s">
        <v>12</v>
      </c>
      <c r="D5797" s="2">
        <v>72.900000000000006</v>
      </c>
      <c r="E5797" s="2">
        <v>0</v>
      </c>
      <c r="F5797" t="s">
        <v>13</v>
      </c>
      <c r="G5797" t="s">
        <v>9</v>
      </c>
    </row>
    <row r="5798" spans="1:7" x14ac:dyDescent="0.35">
      <c r="A5798">
        <v>2287</v>
      </c>
      <c r="B5798" s="1">
        <v>45646</v>
      </c>
      <c r="C5798" t="s">
        <v>12</v>
      </c>
      <c r="D5798" s="2">
        <v>0</v>
      </c>
      <c r="E5798" s="2">
        <v>67.81</v>
      </c>
      <c r="F5798" t="s">
        <v>14</v>
      </c>
      <c r="G5798" t="s">
        <v>15</v>
      </c>
    </row>
    <row r="5799" spans="1:7" x14ac:dyDescent="0.35">
      <c r="A5799">
        <v>2287</v>
      </c>
      <c r="B5799" s="1">
        <v>45646</v>
      </c>
      <c r="C5799" t="s">
        <v>12</v>
      </c>
      <c r="D5799" s="2">
        <v>0</v>
      </c>
      <c r="E5799" s="2">
        <v>5.09</v>
      </c>
      <c r="F5799" t="s">
        <v>16</v>
      </c>
      <c r="G5799" t="s">
        <v>17</v>
      </c>
    </row>
    <row r="5800" spans="1:7" x14ac:dyDescent="0.35">
      <c r="A5800">
        <v>2288</v>
      </c>
      <c r="B5800" s="1">
        <v>45646</v>
      </c>
      <c r="C5800" t="s">
        <v>12</v>
      </c>
      <c r="D5800" s="2">
        <v>1836.55</v>
      </c>
      <c r="E5800" s="2">
        <v>0</v>
      </c>
      <c r="F5800" t="s">
        <v>13</v>
      </c>
      <c r="G5800" t="s">
        <v>9</v>
      </c>
    </row>
    <row r="5801" spans="1:7" x14ac:dyDescent="0.35">
      <c r="A5801">
        <v>2288</v>
      </c>
      <c r="B5801" s="1">
        <v>45646</v>
      </c>
      <c r="C5801" t="s">
        <v>12</v>
      </c>
      <c r="D5801" s="2">
        <v>0</v>
      </c>
      <c r="E5801" s="2">
        <v>1708.43</v>
      </c>
      <c r="F5801" t="s">
        <v>14</v>
      </c>
      <c r="G5801" t="s">
        <v>15</v>
      </c>
    </row>
    <row r="5802" spans="1:7" x14ac:dyDescent="0.35">
      <c r="A5802">
        <v>2288</v>
      </c>
      <c r="B5802" s="1">
        <v>45646</v>
      </c>
      <c r="C5802" t="s">
        <v>12</v>
      </c>
      <c r="D5802" s="2">
        <v>0</v>
      </c>
      <c r="E5802" s="2">
        <v>128.12</v>
      </c>
      <c r="F5802" t="s">
        <v>16</v>
      </c>
      <c r="G5802" t="s">
        <v>17</v>
      </c>
    </row>
    <row r="5803" spans="1:7" x14ac:dyDescent="0.35">
      <c r="A5803">
        <v>2289</v>
      </c>
      <c r="B5803" s="1">
        <v>45646</v>
      </c>
      <c r="C5803" t="s">
        <v>12</v>
      </c>
      <c r="D5803" s="2">
        <v>663.05</v>
      </c>
      <c r="E5803" s="2">
        <v>0</v>
      </c>
      <c r="F5803" t="s">
        <v>13</v>
      </c>
      <c r="G5803" t="s">
        <v>9</v>
      </c>
    </row>
    <row r="5804" spans="1:7" x14ac:dyDescent="0.35">
      <c r="A5804">
        <v>2289</v>
      </c>
      <c r="B5804" s="1">
        <v>45646</v>
      </c>
      <c r="C5804" t="s">
        <v>12</v>
      </c>
      <c r="D5804" s="2">
        <v>0</v>
      </c>
      <c r="E5804" s="2">
        <v>616.78</v>
      </c>
      <c r="F5804" t="s">
        <v>14</v>
      </c>
      <c r="G5804" t="s">
        <v>15</v>
      </c>
    </row>
    <row r="5805" spans="1:7" x14ac:dyDescent="0.35">
      <c r="A5805">
        <v>2289</v>
      </c>
      <c r="B5805" s="1">
        <v>45646</v>
      </c>
      <c r="C5805" t="s">
        <v>12</v>
      </c>
      <c r="D5805" s="2">
        <v>0</v>
      </c>
      <c r="E5805" s="2">
        <v>46.27</v>
      </c>
      <c r="F5805" t="s">
        <v>16</v>
      </c>
      <c r="G5805" t="s">
        <v>17</v>
      </c>
    </row>
    <row r="5806" spans="1:7" x14ac:dyDescent="0.35">
      <c r="A5806">
        <v>2290</v>
      </c>
      <c r="B5806" s="1">
        <v>45646</v>
      </c>
      <c r="C5806" t="s">
        <v>24</v>
      </c>
      <c r="D5806" s="2">
        <v>1311.54</v>
      </c>
      <c r="E5806" s="2">
        <v>0</v>
      </c>
      <c r="F5806" t="s">
        <v>8</v>
      </c>
      <c r="G5806" t="s">
        <v>9</v>
      </c>
    </row>
    <row r="5807" spans="1:7" x14ac:dyDescent="0.35">
      <c r="A5807">
        <v>2290</v>
      </c>
      <c r="B5807" s="1">
        <v>45646</v>
      </c>
      <c r="C5807" t="s">
        <v>24</v>
      </c>
      <c r="D5807" s="2">
        <v>0</v>
      </c>
      <c r="E5807" s="2">
        <v>1311.54</v>
      </c>
      <c r="F5807" t="s">
        <v>13</v>
      </c>
      <c r="G5807" t="s">
        <v>9</v>
      </c>
    </row>
    <row r="5808" spans="1:7" x14ac:dyDescent="0.35">
      <c r="A5808">
        <v>2291</v>
      </c>
      <c r="B5808" s="1">
        <v>45646</v>
      </c>
      <c r="C5808" t="s">
        <v>24</v>
      </c>
      <c r="D5808" s="2">
        <v>1812.36</v>
      </c>
      <c r="E5808" s="2">
        <v>0</v>
      </c>
      <c r="F5808" t="s">
        <v>8</v>
      </c>
      <c r="G5808" t="s">
        <v>9</v>
      </c>
    </row>
    <row r="5809" spans="1:7" x14ac:dyDescent="0.35">
      <c r="A5809">
        <v>2291</v>
      </c>
      <c r="B5809" s="1">
        <v>45646</v>
      </c>
      <c r="C5809" t="s">
        <v>24</v>
      </c>
      <c r="D5809" s="2">
        <v>0</v>
      </c>
      <c r="E5809" s="2">
        <v>1812.36</v>
      </c>
      <c r="F5809" t="s">
        <v>13</v>
      </c>
      <c r="G5809" t="s">
        <v>9</v>
      </c>
    </row>
    <row r="5810" spans="1:7" x14ac:dyDescent="0.35">
      <c r="A5810">
        <v>2292</v>
      </c>
      <c r="B5810" s="1">
        <v>45646</v>
      </c>
      <c r="C5810" t="s">
        <v>24</v>
      </c>
      <c r="D5810" s="2">
        <v>732.23</v>
      </c>
      <c r="E5810" s="2">
        <v>0</v>
      </c>
      <c r="F5810" t="s">
        <v>8</v>
      </c>
      <c r="G5810" t="s">
        <v>9</v>
      </c>
    </row>
    <row r="5811" spans="1:7" x14ac:dyDescent="0.35">
      <c r="A5811">
        <v>2292</v>
      </c>
      <c r="B5811" s="1">
        <v>45646</v>
      </c>
      <c r="C5811" t="s">
        <v>24</v>
      </c>
      <c r="D5811" s="2">
        <v>0</v>
      </c>
      <c r="E5811" s="2">
        <v>732.23</v>
      </c>
      <c r="F5811" t="s">
        <v>13</v>
      </c>
      <c r="G5811" t="s">
        <v>9</v>
      </c>
    </row>
    <row r="5812" spans="1:7" x14ac:dyDescent="0.35">
      <c r="A5812">
        <v>2293</v>
      </c>
      <c r="B5812" s="1">
        <v>45646</v>
      </c>
      <c r="C5812" t="s">
        <v>24</v>
      </c>
      <c r="D5812" s="2">
        <v>1401.76</v>
      </c>
      <c r="E5812" s="2">
        <v>0</v>
      </c>
      <c r="F5812" t="s">
        <v>8</v>
      </c>
      <c r="G5812" t="s">
        <v>9</v>
      </c>
    </row>
    <row r="5813" spans="1:7" x14ac:dyDescent="0.35">
      <c r="A5813">
        <v>2293</v>
      </c>
      <c r="B5813" s="1">
        <v>45646</v>
      </c>
      <c r="C5813" t="s">
        <v>24</v>
      </c>
      <c r="D5813" s="2">
        <v>0</v>
      </c>
      <c r="E5813" s="2">
        <v>1401.76</v>
      </c>
      <c r="F5813" t="s">
        <v>13</v>
      </c>
      <c r="G5813" t="s">
        <v>9</v>
      </c>
    </row>
    <row r="5814" spans="1:7" x14ac:dyDescent="0.35">
      <c r="A5814">
        <v>2294</v>
      </c>
      <c r="B5814" s="1">
        <v>45646</v>
      </c>
      <c r="C5814" t="s">
        <v>24</v>
      </c>
      <c r="D5814" s="2">
        <v>2818.89</v>
      </c>
      <c r="E5814" s="2">
        <v>0</v>
      </c>
      <c r="F5814" t="s">
        <v>8</v>
      </c>
      <c r="G5814" t="s">
        <v>9</v>
      </c>
    </row>
    <row r="5815" spans="1:7" x14ac:dyDescent="0.35">
      <c r="A5815">
        <v>2294</v>
      </c>
      <c r="B5815" s="1">
        <v>45646</v>
      </c>
      <c r="C5815" t="s">
        <v>24</v>
      </c>
      <c r="D5815" s="2">
        <v>0</v>
      </c>
      <c r="E5815" s="2">
        <v>2818.89</v>
      </c>
      <c r="F5815" t="s">
        <v>13</v>
      </c>
      <c r="G5815" t="s">
        <v>9</v>
      </c>
    </row>
    <row r="5816" spans="1:7" x14ac:dyDescent="0.35">
      <c r="A5816">
        <v>2295</v>
      </c>
      <c r="B5816" s="1">
        <v>45646</v>
      </c>
      <c r="C5816" t="s">
        <v>24</v>
      </c>
      <c r="D5816" s="2">
        <v>1474.73</v>
      </c>
      <c r="E5816" s="2">
        <v>0</v>
      </c>
      <c r="F5816" t="s">
        <v>8</v>
      </c>
      <c r="G5816" t="s">
        <v>9</v>
      </c>
    </row>
    <row r="5817" spans="1:7" x14ac:dyDescent="0.35">
      <c r="A5817">
        <v>2295</v>
      </c>
      <c r="B5817" s="1">
        <v>45646</v>
      </c>
      <c r="C5817" t="s">
        <v>24</v>
      </c>
      <c r="D5817" s="2">
        <v>0</v>
      </c>
      <c r="E5817" s="2">
        <v>1474.73</v>
      </c>
      <c r="F5817" t="s">
        <v>13</v>
      </c>
      <c r="G5817" t="s">
        <v>9</v>
      </c>
    </row>
    <row r="5818" spans="1:7" x14ac:dyDescent="0.35">
      <c r="A5818">
        <v>2296</v>
      </c>
      <c r="B5818" s="1">
        <v>45646</v>
      </c>
      <c r="C5818" t="s">
        <v>24</v>
      </c>
      <c r="D5818" s="2">
        <v>1677.82</v>
      </c>
      <c r="E5818" s="2">
        <v>0</v>
      </c>
      <c r="F5818" t="s">
        <v>8</v>
      </c>
      <c r="G5818" t="s">
        <v>9</v>
      </c>
    </row>
    <row r="5819" spans="1:7" x14ac:dyDescent="0.35">
      <c r="A5819">
        <v>2296</v>
      </c>
      <c r="B5819" s="1">
        <v>45646</v>
      </c>
      <c r="C5819" t="s">
        <v>24</v>
      </c>
      <c r="D5819" s="2">
        <v>0</v>
      </c>
      <c r="E5819" s="2">
        <v>1677.82</v>
      </c>
      <c r="F5819" t="s">
        <v>13</v>
      </c>
      <c r="G5819" t="s">
        <v>9</v>
      </c>
    </row>
    <row r="5820" spans="1:7" x14ac:dyDescent="0.35">
      <c r="A5820">
        <v>2297</v>
      </c>
      <c r="B5820" s="1">
        <v>45646</v>
      </c>
      <c r="C5820" t="s">
        <v>24</v>
      </c>
      <c r="D5820" s="2">
        <v>1847.8</v>
      </c>
      <c r="E5820" s="2">
        <v>0</v>
      </c>
      <c r="F5820" t="s">
        <v>8</v>
      </c>
      <c r="G5820" t="s">
        <v>9</v>
      </c>
    </row>
    <row r="5821" spans="1:7" x14ac:dyDescent="0.35">
      <c r="A5821">
        <v>2297</v>
      </c>
      <c r="B5821" s="1">
        <v>45646</v>
      </c>
      <c r="C5821" t="s">
        <v>24</v>
      </c>
      <c r="D5821" s="2">
        <v>0</v>
      </c>
      <c r="E5821" s="2">
        <v>1847.8</v>
      </c>
      <c r="F5821" t="s">
        <v>13</v>
      </c>
      <c r="G5821" t="s">
        <v>9</v>
      </c>
    </row>
    <row r="5822" spans="1:7" x14ac:dyDescent="0.35">
      <c r="A5822">
        <v>2298</v>
      </c>
      <c r="B5822" s="1">
        <v>45646</v>
      </c>
      <c r="C5822" t="s">
        <v>24</v>
      </c>
      <c r="D5822" s="2">
        <v>2572.5300000000002</v>
      </c>
      <c r="E5822" s="2">
        <v>0</v>
      </c>
      <c r="F5822" t="s">
        <v>8</v>
      </c>
      <c r="G5822" t="s">
        <v>9</v>
      </c>
    </row>
    <row r="5823" spans="1:7" x14ac:dyDescent="0.35">
      <c r="A5823">
        <v>2298</v>
      </c>
      <c r="B5823" s="1">
        <v>45646</v>
      </c>
      <c r="C5823" t="s">
        <v>24</v>
      </c>
      <c r="D5823" s="2">
        <v>0</v>
      </c>
      <c r="E5823" s="2">
        <v>2572.5300000000002</v>
      </c>
      <c r="F5823" t="s">
        <v>13</v>
      </c>
      <c r="G5823" t="s">
        <v>9</v>
      </c>
    </row>
    <row r="5824" spans="1:7" x14ac:dyDescent="0.35">
      <c r="A5824">
        <v>2299</v>
      </c>
      <c r="B5824" s="1">
        <v>45646</v>
      </c>
      <c r="C5824" t="s">
        <v>24</v>
      </c>
      <c r="D5824" s="2">
        <v>3876.79</v>
      </c>
      <c r="E5824" s="2">
        <v>0</v>
      </c>
      <c r="F5824" t="s">
        <v>8</v>
      </c>
      <c r="G5824" t="s">
        <v>9</v>
      </c>
    </row>
    <row r="5825" spans="1:7" x14ac:dyDescent="0.35">
      <c r="A5825">
        <v>2299</v>
      </c>
      <c r="B5825" s="1">
        <v>45646</v>
      </c>
      <c r="C5825" t="s">
        <v>24</v>
      </c>
      <c r="D5825" s="2">
        <v>0</v>
      </c>
      <c r="E5825" s="2">
        <v>3876.79</v>
      </c>
      <c r="F5825" t="s">
        <v>13</v>
      </c>
      <c r="G5825" t="s">
        <v>9</v>
      </c>
    </row>
    <row r="5826" spans="1:7" x14ac:dyDescent="0.35">
      <c r="A5826">
        <v>2300</v>
      </c>
      <c r="B5826" s="1">
        <v>45646</v>
      </c>
      <c r="C5826" t="s">
        <v>25</v>
      </c>
      <c r="D5826" s="2">
        <v>512</v>
      </c>
      <c r="E5826" s="2">
        <v>0</v>
      </c>
      <c r="F5826" t="s">
        <v>26</v>
      </c>
      <c r="G5826" t="s">
        <v>20</v>
      </c>
    </row>
    <row r="5827" spans="1:7" x14ac:dyDescent="0.35">
      <c r="A5827">
        <v>2300</v>
      </c>
      <c r="B5827" s="1">
        <v>45646</v>
      </c>
      <c r="C5827" t="s">
        <v>25</v>
      </c>
      <c r="D5827" s="2">
        <v>38.4</v>
      </c>
      <c r="E5827" s="2">
        <v>0</v>
      </c>
      <c r="F5827" t="s">
        <v>27</v>
      </c>
      <c r="G5827" t="s">
        <v>9</v>
      </c>
    </row>
    <row r="5828" spans="1:7" x14ac:dyDescent="0.35">
      <c r="A5828">
        <v>2300</v>
      </c>
      <c r="B5828" s="1">
        <v>45646</v>
      </c>
      <c r="C5828" t="s">
        <v>25</v>
      </c>
      <c r="D5828" s="2">
        <v>0</v>
      </c>
      <c r="E5828" s="2">
        <v>550.4</v>
      </c>
      <c r="F5828" t="s">
        <v>28</v>
      </c>
      <c r="G5828" t="s">
        <v>17</v>
      </c>
    </row>
    <row r="5829" spans="1:7" x14ac:dyDescent="0.35">
      <c r="A5829">
        <v>2301</v>
      </c>
      <c r="B5829" s="1">
        <v>45646</v>
      </c>
      <c r="C5829" t="s">
        <v>25</v>
      </c>
      <c r="D5829" s="2">
        <v>1643.22</v>
      </c>
      <c r="E5829" s="2">
        <v>0</v>
      </c>
      <c r="F5829" t="s">
        <v>26</v>
      </c>
      <c r="G5829" t="s">
        <v>20</v>
      </c>
    </row>
    <row r="5830" spans="1:7" x14ac:dyDescent="0.35">
      <c r="A5830">
        <v>2301</v>
      </c>
      <c r="B5830" s="1">
        <v>45646</v>
      </c>
      <c r="C5830" t="s">
        <v>25</v>
      </c>
      <c r="D5830" s="2">
        <v>123.24</v>
      </c>
      <c r="E5830" s="2">
        <v>0</v>
      </c>
      <c r="F5830" t="s">
        <v>27</v>
      </c>
      <c r="G5830" t="s">
        <v>9</v>
      </c>
    </row>
    <row r="5831" spans="1:7" x14ac:dyDescent="0.35">
      <c r="A5831">
        <v>2301</v>
      </c>
      <c r="B5831" s="1">
        <v>45646</v>
      </c>
      <c r="C5831" t="s">
        <v>25</v>
      </c>
      <c r="D5831" s="2">
        <v>0</v>
      </c>
      <c r="E5831" s="2">
        <v>1766.46</v>
      </c>
      <c r="F5831" t="s">
        <v>28</v>
      </c>
      <c r="G5831" t="s">
        <v>17</v>
      </c>
    </row>
    <row r="5832" spans="1:7" x14ac:dyDescent="0.35">
      <c r="A5832">
        <v>2302</v>
      </c>
      <c r="B5832" s="1">
        <v>45649</v>
      </c>
      <c r="C5832" t="s">
        <v>12</v>
      </c>
      <c r="D5832" s="2">
        <v>5249.78</v>
      </c>
      <c r="E5832" s="2">
        <v>0</v>
      </c>
      <c r="F5832" t="s">
        <v>13</v>
      </c>
      <c r="G5832" t="s">
        <v>9</v>
      </c>
    </row>
    <row r="5833" spans="1:7" x14ac:dyDescent="0.35">
      <c r="A5833">
        <v>2302</v>
      </c>
      <c r="B5833" s="1">
        <v>45649</v>
      </c>
      <c r="C5833" t="s">
        <v>12</v>
      </c>
      <c r="D5833" s="2">
        <v>0</v>
      </c>
      <c r="E5833" s="2">
        <v>4883.5200000000004</v>
      </c>
      <c r="F5833" t="s">
        <v>14</v>
      </c>
      <c r="G5833" t="s">
        <v>15</v>
      </c>
    </row>
    <row r="5834" spans="1:7" x14ac:dyDescent="0.35">
      <c r="A5834">
        <v>2302</v>
      </c>
      <c r="B5834" s="1">
        <v>45649</v>
      </c>
      <c r="C5834" t="s">
        <v>12</v>
      </c>
      <c r="D5834" s="2">
        <v>0</v>
      </c>
      <c r="E5834" s="2">
        <v>366.26</v>
      </c>
      <c r="F5834" t="s">
        <v>16</v>
      </c>
      <c r="G5834" t="s">
        <v>17</v>
      </c>
    </row>
    <row r="5835" spans="1:7" x14ac:dyDescent="0.35">
      <c r="A5835">
        <v>2303</v>
      </c>
      <c r="B5835" s="1">
        <v>45649</v>
      </c>
      <c r="C5835" t="s">
        <v>12</v>
      </c>
      <c r="D5835" s="2">
        <v>2591.4499999999998</v>
      </c>
      <c r="E5835" s="2">
        <v>0</v>
      </c>
      <c r="F5835" t="s">
        <v>13</v>
      </c>
      <c r="G5835" t="s">
        <v>9</v>
      </c>
    </row>
    <row r="5836" spans="1:7" x14ac:dyDescent="0.35">
      <c r="A5836">
        <v>2303</v>
      </c>
      <c r="B5836" s="1">
        <v>45649</v>
      </c>
      <c r="C5836" t="s">
        <v>12</v>
      </c>
      <c r="D5836" s="2">
        <v>0</v>
      </c>
      <c r="E5836" s="2">
        <v>2410.66</v>
      </c>
      <c r="F5836" t="s">
        <v>14</v>
      </c>
      <c r="G5836" t="s">
        <v>15</v>
      </c>
    </row>
    <row r="5837" spans="1:7" x14ac:dyDescent="0.35">
      <c r="A5837">
        <v>2303</v>
      </c>
      <c r="B5837" s="1">
        <v>45649</v>
      </c>
      <c r="C5837" t="s">
        <v>12</v>
      </c>
      <c r="D5837" s="2">
        <v>0</v>
      </c>
      <c r="E5837" s="2">
        <v>180.79</v>
      </c>
      <c r="F5837" t="s">
        <v>16</v>
      </c>
      <c r="G5837" t="s">
        <v>17</v>
      </c>
    </row>
    <row r="5838" spans="1:7" x14ac:dyDescent="0.35">
      <c r="A5838">
        <v>2304</v>
      </c>
      <c r="B5838" s="1">
        <v>45649</v>
      </c>
      <c r="C5838" t="s">
        <v>12</v>
      </c>
      <c r="D5838" s="2">
        <v>3167.2</v>
      </c>
      <c r="E5838" s="2">
        <v>0</v>
      </c>
      <c r="F5838" t="s">
        <v>13</v>
      </c>
      <c r="G5838" t="s">
        <v>9</v>
      </c>
    </row>
    <row r="5839" spans="1:7" x14ac:dyDescent="0.35">
      <c r="A5839">
        <v>2304</v>
      </c>
      <c r="B5839" s="1">
        <v>45649</v>
      </c>
      <c r="C5839" t="s">
        <v>12</v>
      </c>
      <c r="D5839" s="2">
        <v>0</v>
      </c>
      <c r="E5839" s="2">
        <v>2946.24</v>
      </c>
      <c r="F5839" t="s">
        <v>14</v>
      </c>
      <c r="G5839" t="s">
        <v>15</v>
      </c>
    </row>
    <row r="5840" spans="1:7" x14ac:dyDescent="0.35">
      <c r="A5840">
        <v>2304</v>
      </c>
      <c r="B5840" s="1">
        <v>45649</v>
      </c>
      <c r="C5840" t="s">
        <v>12</v>
      </c>
      <c r="D5840" s="2">
        <v>0</v>
      </c>
      <c r="E5840" s="2">
        <v>220.96</v>
      </c>
      <c r="F5840" t="s">
        <v>16</v>
      </c>
      <c r="G5840" t="s">
        <v>17</v>
      </c>
    </row>
    <row r="5841" spans="1:7" x14ac:dyDescent="0.35">
      <c r="A5841">
        <v>2305</v>
      </c>
      <c r="B5841" s="1">
        <v>45649</v>
      </c>
      <c r="C5841" t="s">
        <v>12</v>
      </c>
      <c r="D5841" s="2">
        <v>3754.28</v>
      </c>
      <c r="E5841" s="2">
        <v>0</v>
      </c>
      <c r="F5841" t="s">
        <v>13</v>
      </c>
      <c r="G5841" t="s">
        <v>9</v>
      </c>
    </row>
    <row r="5842" spans="1:7" x14ac:dyDescent="0.35">
      <c r="A5842">
        <v>2305</v>
      </c>
      <c r="B5842" s="1">
        <v>45649</v>
      </c>
      <c r="C5842" t="s">
        <v>12</v>
      </c>
      <c r="D5842" s="2">
        <v>0</v>
      </c>
      <c r="E5842" s="2">
        <v>3492.35</v>
      </c>
      <c r="F5842" t="s">
        <v>14</v>
      </c>
      <c r="G5842" t="s">
        <v>15</v>
      </c>
    </row>
    <row r="5843" spans="1:7" x14ac:dyDescent="0.35">
      <c r="A5843">
        <v>2305</v>
      </c>
      <c r="B5843" s="1">
        <v>45649</v>
      </c>
      <c r="C5843" t="s">
        <v>12</v>
      </c>
      <c r="D5843" s="2">
        <v>0</v>
      </c>
      <c r="E5843" s="2">
        <v>261.93</v>
      </c>
      <c r="F5843" t="s">
        <v>16</v>
      </c>
      <c r="G5843" t="s">
        <v>17</v>
      </c>
    </row>
    <row r="5844" spans="1:7" x14ac:dyDescent="0.35">
      <c r="A5844">
        <v>2306</v>
      </c>
      <c r="B5844" s="1">
        <v>45649</v>
      </c>
      <c r="C5844" t="s">
        <v>24</v>
      </c>
      <c r="D5844" s="2">
        <v>3030.26</v>
      </c>
      <c r="E5844" s="2">
        <v>0</v>
      </c>
      <c r="F5844" t="s">
        <v>8</v>
      </c>
      <c r="G5844" t="s">
        <v>9</v>
      </c>
    </row>
    <row r="5845" spans="1:7" x14ac:dyDescent="0.35">
      <c r="A5845">
        <v>2306</v>
      </c>
      <c r="B5845" s="1">
        <v>45649</v>
      </c>
      <c r="C5845" t="s">
        <v>24</v>
      </c>
      <c r="D5845" s="2">
        <v>0</v>
      </c>
      <c r="E5845" s="2">
        <v>3030.26</v>
      </c>
      <c r="F5845" t="s">
        <v>13</v>
      </c>
      <c r="G5845" t="s">
        <v>9</v>
      </c>
    </row>
    <row r="5846" spans="1:7" x14ac:dyDescent="0.35">
      <c r="A5846">
        <v>2307</v>
      </c>
      <c r="B5846" s="1">
        <v>45649</v>
      </c>
      <c r="C5846" t="s">
        <v>25</v>
      </c>
      <c r="D5846" s="2">
        <v>696.06</v>
      </c>
      <c r="E5846" s="2">
        <v>0</v>
      </c>
      <c r="F5846" t="s">
        <v>26</v>
      </c>
      <c r="G5846" t="s">
        <v>20</v>
      </c>
    </row>
    <row r="5847" spans="1:7" x14ac:dyDescent="0.35">
      <c r="A5847">
        <v>2307</v>
      </c>
      <c r="B5847" s="1">
        <v>45649</v>
      </c>
      <c r="C5847" t="s">
        <v>25</v>
      </c>
      <c r="D5847" s="2">
        <v>52.2</v>
      </c>
      <c r="E5847" s="2">
        <v>0</v>
      </c>
      <c r="F5847" t="s">
        <v>27</v>
      </c>
      <c r="G5847" t="s">
        <v>9</v>
      </c>
    </row>
    <row r="5848" spans="1:7" x14ac:dyDescent="0.35">
      <c r="A5848">
        <v>2307</v>
      </c>
      <c r="B5848" s="1">
        <v>45649</v>
      </c>
      <c r="C5848" t="s">
        <v>25</v>
      </c>
      <c r="D5848" s="2">
        <v>0</v>
      </c>
      <c r="E5848" s="2">
        <v>748.26</v>
      </c>
      <c r="F5848" t="s">
        <v>28</v>
      </c>
      <c r="G5848" t="s">
        <v>17</v>
      </c>
    </row>
    <row r="5849" spans="1:7" x14ac:dyDescent="0.35">
      <c r="A5849">
        <v>2308</v>
      </c>
      <c r="B5849" s="1">
        <v>45649</v>
      </c>
      <c r="C5849" t="s">
        <v>25</v>
      </c>
      <c r="D5849" s="2">
        <v>1822.08</v>
      </c>
      <c r="E5849" s="2">
        <v>0</v>
      </c>
      <c r="F5849" t="s">
        <v>26</v>
      </c>
      <c r="G5849" t="s">
        <v>20</v>
      </c>
    </row>
    <row r="5850" spans="1:7" x14ac:dyDescent="0.35">
      <c r="A5850">
        <v>2308</v>
      </c>
      <c r="B5850" s="1">
        <v>45649</v>
      </c>
      <c r="C5850" t="s">
        <v>25</v>
      </c>
      <c r="D5850" s="2">
        <v>136.66</v>
      </c>
      <c r="E5850" s="2">
        <v>0</v>
      </c>
      <c r="F5850" t="s">
        <v>27</v>
      </c>
      <c r="G5850" t="s">
        <v>9</v>
      </c>
    </row>
    <row r="5851" spans="1:7" x14ac:dyDescent="0.35">
      <c r="A5851">
        <v>2308</v>
      </c>
      <c r="B5851" s="1">
        <v>45649</v>
      </c>
      <c r="C5851" t="s">
        <v>25</v>
      </c>
      <c r="D5851" s="2">
        <v>0</v>
      </c>
      <c r="E5851" s="2">
        <v>1958.74</v>
      </c>
      <c r="F5851" t="s">
        <v>28</v>
      </c>
      <c r="G5851" t="s">
        <v>17</v>
      </c>
    </row>
    <row r="5852" spans="1:7" x14ac:dyDescent="0.35">
      <c r="A5852">
        <v>2309</v>
      </c>
      <c r="B5852" s="1">
        <v>45649</v>
      </c>
      <c r="C5852" t="s">
        <v>25</v>
      </c>
      <c r="D5852" s="2">
        <v>8685.27</v>
      </c>
      <c r="E5852" s="2">
        <v>0</v>
      </c>
      <c r="F5852" t="s">
        <v>26</v>
      </c>
      <c r="G5852" t="s">
        <v>20</v>
      </c>
    </row>
    <row r="5853" spans="1:7" x14ac:dyDescent="0.35">
      <c r="A5853">
        <v>2309</v>
      </c>
      <c r="B5853" s="1">
        <v>45649</v>
      </c>
      <c r="C5853" t="s">
        <v>25</v>
      </c>
      <c r="D5853" s="2">
        <v>651.4</v>
      </c>
      <c r="E5853" s="2">
        <v>0</v>
      </c>
      <c r="F5853" t="s">
        <v>27</v>
      </c>
      <c r="G5853" t="s">
        <v>9</v>
      </c>
    </row>
    <row r="5854" spans="1:7" x14ac:dyDescent="0.35">
      <c r="A5854">
        <v>2309</v>
      </c>
      <c r="B5854" s="1">
        <v>45649</v>
      </c>
      <c r="C5854" t="s">
        <v>25</v>
      </c>
      <c r="D5854" s="2">
        <v>0</v>
      </c>
      <c r="E5854" s="2">
        <v>9336.67</v>
      </c>
      <c r="F5854" t="s">
        <v>28</v>
      </c>
      <c r="G5854" t="s">
        <v>17</v>
      </c>
    </row>
    <row r="5855" spans="1:7" x14ac:dyDescent="0.35">
      <c r="A5855">
        <v>2310</v>
      </c>
      <c r="B5855" s="1">
        <v>45649</v>
      </c>
      <c r="C5855" t="s">
        <v>25</v>
      </c>
      <c r="D5855" s="2">
        <v>166.52</v>
      </c>
      <c r="E5855" s="2">
        <v>0</v>
      </c>
      <c r="F5855" t="s">
        <v>26</v>
      </c>
      <c r="G5855" t="s">
        <v>20</v>
      </c>
    </row>
    <row r="5856" spans="1:7" x14ac:dyDescent="0.35">
      <c r="A5856">
        <v>2310</v>
      </c>
      <c r="B5856" s="1">
        <v>45649</v>
      </c>
      <c r="C5856" t="s">
        <v>25</v>
      </c>
      <c r="D5856" s="2">
        <v>12.49</v>
      </c>
      <c r="E5856" s="2">
        <v>0</v>
      </c>
      <c r="F5856" t="s">
        <v>27</v>
      </c>
      <c r="G5856" t="s">
        <v>9</v>
      </c>
    </row>
    <row r="5857" spans="1:7" x14ac:dyDescent="0.35">
      <c r="A5857">
        <v>2310</v>
      </c>
      <c r="B5857" s="1">
        <v>45649</v>
      </c>
      <c r="C5857" t="s">
        <v>25</v>
      </c>
      <c r="D5857" s="2">
        <v>0</v>
      </c>
      <c r="E5857" s="2">
        <v>179.01</v>
      </c>
      <c r="F5857" t="s">
        <v>28</v>
      </c>
      <c r="G5857" t="s">
        <v>17</v>
      </c>
    </row>
    <row r="5858" spans="1:7" x14ac:dyDescent="0.35">
      <c r="A5858">
        <v>2311</v>
      </c>
      <c r="B5858" s="1">
        <v>45649</v>
      </c>
      <c r="C5858" t="s">
        <v>25</v>
      </c>
      <c r="D5858" s="2">
        <v>2714.58</v>
      </c>
      <c r="E5858" s="2">
        <v>0</v>
      </c>
      <c r="F5858" t="s">
        <v>26</v>
      </c>
      <c r="G5858" t="s">
        <v>20</v>
      </c>
    </row>
    <row r="5859" spans="1:7" x14ac:dyDescent="0.35">
      <c r="A5859">
        <v>2311</v>
      </c>
      <c r="B5859" s="1">
        <v>45649</v>
      </c>
      <c r="C5859" t="s">
        <v>25</v>
      </c>
      <c r="D5859" s="2">
        <v>203.59</v>
      </c>
      <c r="E5859" s="2">
        <v>0</v>
      </c>
      <c r="F5859" t="s">
        <v>27</v>
      </c>
      <c r="G5859" t="s">
        <v>9</v>
      </c>
    </row>
    <row r="5860" spans="1:7" x14ac:dyDescent="0.35">
      <c r="A5860">
        <v>2311</v>
      </c>
      <c r="B5860" s="1">
        <v>45649</v>
      </c>
      <c r="C5860" t="s">
        <v>25</v>
      </c>
      <c r="D5860" s="2">
        <v>0</v>
      </c>
      <c r="E5860" s="2">
        <v>2918.17</v>
      </c>
      <c r="F5860" t="s">
        <v>28</v>
      </c>
      <c r="G5860" t="s">
        <v>17</v>
      </c>
    </row>
    <row r="5861" spans="1:7" x14ac:dyDescent="0.35">
      <c r="A5861">
        <v>2312</v>
      </c>
      <c r="B5861" s="1">
        <v>45649</v>
      </c>
      <c r="C5861" t="s">
        <v>25</v>
      </c>
      <c r="D5861" s="2">
        <v>6723.2</v>
      </c>
      <c r="E5861" s="2">
        <v>0</v>
      </c>
      <c r="F5861" t="s">
        <v>26</v>
      </c>
      <c r="G5861" t="s">
        <v>20</v>
      </c>
    </row>
    <row r="5862" spans="1:7" x14ac:dyDescent="0.35">
      <c r="A5862">
        <v>2312</v>
      </c>
      <c r="B5862" s="1">
        <v>45649</v>
      </c>
      <c r="C5862" t="s">
        <v>25</v>
      </c>
      <c r="D5862" s="2">
        <v>504.24</v>
      </c>
      <c r="E5862" s="2">
        <v>0</v>
      </c>
      <c r="F5862" t="s">
        <v>27</v>
      </c>
      <c r="G5862" t="s">
        <v>9</v>
      </c>
    </row>
    <row r="5863" spans="1:7" x14ac:dyDescent="0.35">
      <c r="A5863">
        <v>2312</v>
      </c>
      <c r="B5863" s="1">
        <v>45649</v>
      </c>
      <c r="C5863" t="s">
        <v>25</v>
      </c>
      <c r="D5863" s="2">
        <v>0</v>
      </c>
      <c r="E5863" s="2">
        <v>7227.44</v>
      </c>
      <c r="F5863" t="s">
        <v>28</v>
      </c>
      <c r="G5863" t="s">
        <v>17</v>
      </c>
    </row>
    <row r="5864" spans="1:7" x14ac:dyDescent="0.35">
      <c r="A5864">
        <v>2313</v>
      </c>
      <c r="B5864" s="1">
        <v>45649</v>
      </c>
      <c r="C5864" t="s">
        <v>29</v>
      </c>
      <c r="D5864" s="2">
        <v>9336.67</v>
      </c>
      <c r="E5864" s="2">
        <v>0</v>
      </c>
      <c r="F5864" t="s">
        <v>28</v>
      </c>
      <c r="G5864" t="s">
        <v>17</v>
      </c>
    </row>
    <row r="5865" spans="1:7" x14ac:dyDescent="0.35">
      <c r="A5865">
        <v>2313</v>
      </c>
      <c r="B5865" s="1">
        <v>45649</v>
      </c>
      <c r="C5865" t="s">
        <v>29</v>
      </c>
      <c r="D5865" s="2">
        <v>0</v>
      </c>
      <c r="E5865" s="2">
        <v>9336.67</v>
      </c>
      <c r="F5865" t="s">
        <v>8</v>
      </c>
      <c r="G5865" t="s">
        <v>9</v>
      </c>
    </row>
    <row r="5866" spans="1:7" x14ac:dyDescent="0.35">
      <c r="A5866">
        <v>2314</v>
      </c>
      <c r="B5866" s="1">
        <v>45649</v>
      </c>
      <c r="C5866" t="s">
        <v>29</v>
      </c>
      <c r="D5866" s="2">
        <v>4812.46</v>
      </c>
      <c r="E5866" s="2">
        <v>0</v>
      </c>
      <c r="F5866" t="s">
        <v>28</v>
      </c>
      <c r="G5866" t="s">
        <v>17</v>
      </c>
    </row>
    <row r="5867" spans="1:7" x14ac:dyDescent="0.35">
      <c r="A5867">
        <v>2314</v>
      </c>
      <c r="B5867" s="1">
        <v>45649</v>
      </c>
      <c r="C5867" t="s">
        <v>29</v>
      </c>
      <c r="D5867" s="2">
        <v>0</v>
      </c>
      <c r="E5867" s="2">
        <v>4812.46</v>
      </c>
      <c r="F5867" t="s">
        <v>8</v>
      </c>
      <c r="G5867" t="s">
        <v>9</v>
      </c>
    </row>
    <row r="5868" spans="1:7" x14ac:dyDescent="0.35">
      <c r="A5868">
        <v>2315</v>
      </c>
      <c r="B5868" s="1">
        <v>45649</v>
      </c>
      <c r="C5868" t="s">
        <v>29</v>
      </c>
      <c r="D5868" s="2">
        <v>7227.44</v>
      </c>
      <c r="E5868" s="2">
        <v>0</v>
      </c>
      <c r="F5868" t="s">
        <v>28</v>
      </c>
      <c r="G5868" t="s">
        <v>17</v>
      </c>
    </row>
    <row r="5869" spans="1:7" x14ac:dyDescent="0.35">
      <c r="A5869">
        <v>2315</v>
      </c>
      <c r="B5869" s="1">
        <v>45649</v>
      </c>
      <c r="C5869" t="s">
        <v>29</v>
      </c>
      <c r="D5869" s="2">
        <v>0</v>
      </c>
      <c r="E5869" s="2">
        <v>7227.44</v>
      </c>
      <c r="F5869" t="s">
        <v>8</v>
      </c>
      <c r="G5869" t="s">
        <v>9</v>
      </c>
    </row>
    <row r="5870" spans="1:7" x14ac:dyDescent="0.35">
      <c r="A5870">
        <v>2316</v>
      </c>
      <c r="B5870" s="1">
        <v>45650</v>
      </c>
      <c r="C5870" t="s">
        <v>12</v>
      </c>
      <c r="D5870" s="2">
        <v>2273.9899999999998</v>
      </c>
      <c r="E5870" s="2">
        <v>0</v>
      </c>
      <c r="F5870" t="s">
        <v>13</v>
      </c>
      <c r="G5870" t="s">
        <v>9</v>
      </c>
    </row>
    <row r="5871" spans="1:7" x14ac:dyDescent="0.35">
      <c r="A5871">
        <v>2316</v>
      </c>
      <c r="B5871" s="1">
        <v>45650</v>
      </c>
      <c r="C5871" t="s">
        <v>12</v>
      </c>
      <c r="D5871" s="2">
        <v>0</v>
      </c>
      <c r="E5871" s="2">
        <v>2115.34</v>
      </c>
      <c r="F5871" t="s">
        <v>14</v>
      </c>
      <c r="G5871" t="s">
        <v>15</v>
      </c>
    </row>
    <row r="5872" spans="1:7" x14ac:dyDescent="0.35">
      <c r="A5872">
        <v>2316</v>
      </c>
      <c r="B5872" s="1">
        <v>45650</v>
      </c>
      <c r="C5872" t="s">
        <v>12</v>
      </c>
      <c r="D5872" s="2">
        <v>0</v>
      </c>
      <c r="E5872" s="2">
        <v>158.65</v>
      </c>
      <c r="F5872" t="s">
        <v>16</v>
      </c>
      <c r="G5872" t="s">
        <v>17</v>
      </c>
    </row>
    <row r="5873" spans="1:7" x14ac:dyDescent="0.35">
      <c r="A5873">
        <v>2317</v>
      </c>
      <c r="B5873" s="1">
        <v>45650</v>
      </c>
      <c r="C5873" t="s">
        <v>12</v>
      </c>
      <c r="D5873" s="2">
        <v>4269.3500000000004</v>
      </c>
      <c r="E5873" s="2">
        <v>0</v>
      </c>
      <c r="F5873" t="s">
        <v>13</v>
      </c>
      <c r="G5873" t="s">
        <v>9</v>
      </c>
    </row>
    <row r="5874" spans="1:7" x14ac:dyDescent="0.35">
      <c r="A5874">
        <v>2317</v>
      </c>
      <c r="B5874" s="1">
        <v>45650</v>
      </c>
      <c r="C5874" t="s">
        <v>12</v>
      </c>
      <c r="D5874" s="2">
        <v>0</v>
      </c>
      <c r="E5874" s="2">
        <v>3971.49</v>
      </c>
      <c r="F5874" t="s">
        <v>14</v>
      </c>
      <c r="G5874" t="s">
        <v>15</v>
      </c>
    </row>
    <row r="5875" spans="1:7" x14ac:dyDescent="0.35">
      <c r="A5875">
        <v>2317</v>
      </c>
      <c r="B5875" s="1">
        <v>45650</v>
      </c>
      <c r="C5875" t="s">
        <v>12</v>
      </c>
      <c r="D5875" s="2">
        <v>0</v>
      </c>
      <c r="E5875" s="2">
        <v>297.86</v>
      </c>
      <c r="F5875" t="s">
        <v>16</v>
      </c>
      <c r="G5875" t="s">
        <v>17</v>
      </c>
    </row>
    <row r="5876" spans="1:7" x14ac:dyDescent="0.35">
      <c r="A5876">
        <v>2318</v>
      </c>
      <c r="B5876" s="1">
        <v>45650</v>
      </c>
      <c r="C5876" t="s">
        <v>12</v>
      </c>
      <c r="D5876" s="2">
        <v>332.97</v>
      </c>
      <c r="E5876" s="2">
        <v>0</v>
      </c>
      <c r="F5876" t="s">
        <v>13</v>
      </c>
      <c r="G5876" t="s">
        <v>9</v>
      </c>
    </row>
    <row r="5877" spans="1:7" x14ac:dyDescent="0.35">
      <c r="A5877">
        <v>2318</v>
      </c>
      <c r="B5877" s="1">
        <v>45650</v>
      </c>
      <c r="C5877" t="s">
        <v>12</v>
      </c>
      <c r="D5877" s="2">
        <v>0</v>
      </c>
      <c r="E5877" s="2">
        <v>309.74</v>
      </c>
      <c r="F5877" t="s">
        <v>14</v>
      </c>
      <c r="G5877" t="s">
        <v>15</v>
      </c>
    </row>
    <row r="5878" spans="1:7" x14ac:dyDescent="0.35">
      <c r="A5878">
        <v>2318</v>
      </c>
      <c r="B5878" s="1">
        <v>45650</v>
      </c>
      <c r="C5878" t="s">
        <v>12</v>
      </c>
      <c r="D5878" s="2">
        <v>0</v>
      </c>
      <c r="E5878" s="2">
        <v>23.23</v>
      </c>
      <c r="F5878" t="s">
        <v>16</v>
      </c>
      <c r="G5878" t="s">
        <v>17</v>
      </c>
    </row>
    <row r="5879" spans="1:7" x14ac:dyDescent="0.35">
      <c r="A5879">
        <v>2319</v>
      </c>
      <c r="B5879" s="1">
        <v>45650</v>
      </c>
      <c r="C5879" t="s">
        <v>12</v>
      </c>
      <c r="D5879" s="2">
        <v>1696.66</v>
      </c>
      <c r="E5879" s="2">
        <v>0</v>
      </c>
      <c r="F5879" t="s">
        <v>13</v>
      </c>
      <c r="G5879" t="s">
        <v>9</v>
      </c>
    </row>
    <row r="5880" spans="1:7" x14ac:dyDescent="0.35">
      <c r="A5880">
        <v>2319</v>
      </c>
      <c r="B5880" s="1">
        <v>45650</v>
      </c>
      <c r="C5880" t="s">
        <v>12</v>
      </c>
      <c r="D5880" s="2">
        <v>0</v>
      </c>
      <c r="E5880" s="2">
        <v>1578.29</v>
      </c>
      <c r="F5880" t="s">
        <v>14</v>
      </c>
      <c r="G5880" t="s">
        <v>15</v>
      </c>
    </row>
    <row r="5881" spans="1:7" x14ac:dyDescent="0.35">
      <c r="A5881">
        <v>2319</v>
      </c>
      <c r="B5881" s="1">
        <v>45650</v>
      </c>
      <c r="C5881" t="s">
        <v>12</v>
      </c>
      <c r="D5881" s="2">
        <v>0</v>
      </c>
      <c r="E5881" s="2">
        <v>118.37</v>
      </c>
      <c r="F5881" t="s">
        <v>16</v>
      </c>
      <c r="G5881" t="s">
        <v>17</v>
      </c>
    </row>
    <row r="5882" spans="1:7" x14ac:dyDescent="0.35">
      <c r="A5882">
        <v>2320</v>
      </c>
      <c r="B5882" s="1">
        <v>45650</v>
      </c>
      <c r="C5882" t="s">
        <v>12</v>
      </c>
      <c r="D5882" s="2">
        <v>4345.68</v>
      </c>
      <c r="E5882" s="2">
        <v>0</v>
      </c>
      <c r="F5882" t="s">
        <v>13</v>
      </c>
      <c r="G5882" t="s">
        <v>9</v>
      </c>
    </row>
    <row r="5883" spans="1:7" x14ac:dyDescent="0.35">
      <c r="A5883">
        <v>2320</v>
      </c>
      <c r="B5883" s="1">
        <v>45650</v>
      </c>
      <c r="C5883" t="s">
        <v>12</v>
      </c>
      <c r="D5883" s="2">
        <v>0</v>
      </c>
      <c r="E5883" s="2">
        <v>4042.49</v>
      </c>
      <c r="F5883" t="s">
        <v>14</v>
      </c>
      <c r="G5883" t="s">
        <v>15</v>
      </c>
    </row>
    <row r="5884" spans="1:7" x14ac:dyDescent="0.35">
      <c r="A5884">
        <v>2320</v>
      </c>
      <c r="B5884" s="1">
        <v>45650</v>
      </c>
      <c r="C5884" t="s">
        <v>12</v>
      </c>
      <c r="D5884" s="2">
        <v>0</v>
      </c>
      <c r="E5884" s="2">
        <v>303.19</v>
      </c>
      <c r="F5884" t="s">
        <v>16</v>
      </c>
      <c r="G5884" t="s">
        <v>17</v>
      </c>
    </row>
    <row r="5885" spans="1:7" x14ac:dyDescent="0.35">
      <c r="A5885">
        <v>2321</v>
      </c>
      <c r="B5885" s="1">
        <v>45650</v>
      </c>
      <c r="C5885" t="s">
        <v>12</v>
      </c>
      <c r="D5885" s="2">
        <v>2446.46</v>
      </c>
      <c r="E5885" s="2">
        <v>0</v>
      </c>
      <c r="F5885" t="s">
        <v>13</v>
      </c>
      <c r="G5885" t="s">
        <v>9</v>
      </c>
    </row>
    <row r="5886" spans="1:7" x14ac:dyDescent="0.35">
      <c r="A5886">
        <v>2321</v>
      </c>
      <c r="B5886" s="1">
        <v>45650</v>
      </c>
      <c r="C5886" t="s">
        <v>12</v>
      </c>
      <c r="D5886" s="2">
        <v>0</v>
      </c>
      <c r="E5886" s="2">
        <v>2275.7800000000002</v>
      </c>
      <c r="F5886" t="s">
        <v>14</v>
      </c>
      <c r="G5886" t="s">
        <v>15</v>
      </c>
    </row>
    <row r="5887" spans="1:7" x14ac:dyDescent="0.35">
      <c r="A5887">
        <v>2321</v>
      </c>
      <c r="B5887" s="1">
        <v>45650</v>
      </c>
      <c r="C5887" t="s">
        <v>12</v>
      </c>
      <c r="D5887" s="2">
        <v>0</v>
      </c>
      <c r="E5887" s="2">
        <v>170.68</v>
      </c>
      <c r="F5887" t="s">
        <v>16</v>
      </c>
      <c r="G5887" t="s">
        <v>17</v>
      </c>
    </row>
    <row r="5888" spans="1:7" x14ac:dyDescent="0.35">
      <c r="A5888">
        <v>2322</v>
      </c>
      <c r="B5888" s="1">
        <v>45650</v>
      </c>
      <c r="C5888" t="s">
        <v>24</v>
      </c>
      <c r="D5888" s="2">
        <v>3363.97</v>
      </c>
      <c r="E5888" s="2">
        <v>0</v>
      </c>
      <c r="F5888" t="s">
        <v>8</v>
      </c>
      <c r="G5888" t="s">
        <v>9</v>
      </c>
    </row>
    <row r="5889" spans="1:7" x14ac:dyDescent="0.35">
      <c r="A5889">
        <v>2322</v>
      </c>
      <c r="B5889" s="1">
        <v>45650</v>
      </c>
      <c r="C5889" t="s">
        <v>24</v>
      </c>
      <c r="D5889" s="2">
        <v>0</v>
      </c>
      <c r="E5889" s="2">
        <v>3363.97</v>
      </c>
      <c r="F5889" t="s">
        <v>13</v>
      </c>
      <c r="G5889" t="s">
        <v>9</v>
      </c>
    </row>
    <row r="5890" spans="1:7" x14ac:dyDescent="0.35">
      <c r="A5890">
        <v>2323</v>
      </c>
      <c r="B5890" s="1">
        <v>45650</v>
      </c>
      <c r="C5890" t="s">
        <v>24</v>
      </c>
      <c r="D5890" s="2">
        <v>990.67</v>
      </c>
      <c r="E5890" s="2">
        <v>0</v>
      </c>
      <c r="F5890" t="s">
        <v>8</v>
      </c>
      <c r="G5890" t="s">
        <v>9</v>
      </c>
    </row>
    <row r="5891" spans="1:7" x14ac:dyDescent="0.35">
      <c r="A5891">
        <v>2323</v>
      </c>
      <c r="B5891" s="1">
        <v>45650</v>
      </c>
      <c r="C5891" t="s">
        <v>24</v>
      </c>
      <c r="D5891" s="2">
        <v>0</v>
      </c>
      <c r="E5891" s="2">
        <v>990.67</v>
      </c>
      <c r="F5891" t="s">
        <v>13</v>
      </c>
      <c r="G5891" t="s">
        <v>9</v>
      </c>
    </row>
    <row r="5892" spans="1:7" x14ac:dyDescent="0.35">
      <c r="A5892">
        <v>2324</v>
      </c>
      <c r="B5892" s="1">
        <v>45650</v>
      </c>
      <c r="C5892" t="s">
        <v>24</v>
      </c>
      <c r="D5892" s="2">
        <v>270.04000000000002</v>
      </c>
      <c r="E5892" s="2">
        <v>0</v>
      </c>
      <c r="F5892" t="s">
        <v>8</v>
      </c>
      <c r="G5892" t="s">
        <v>9</v>
      </c>
    </row>
    <row r="5893" spans="1:7" x14ac:dyDescent="0.35">
      <c r="A5893">
        <v>2324</v>
      </c>
      <c r="B5893" s="1">
        <v>45650</v>
      </c>
      <c r="C5893" t="s">
        <v>24</v>
      </c>
      <c r="D5893" s="2">
        <v>0</v>
      </c>
      <c r="E5893" s="2">
        <v>270.04000000000002</v>
      </c>
      <c r="F5893" t="s">
        <v>13</v>
      </c>
      <c r="G5893" t="s">
        <v>9</v>
      </c>
    </row>
    <row r="5894" spans="1:7" x14ac:dyDescent="0.35">
      <c r="A5894">
        <v>2325</v>
      </c>
      <c r="B5894" s="1">
        <v>45650</v>
      </c>
      <c r="C5894" t="s">
        <v>24</v>
      </c>
      <c r="D5894" s="2">
        <v>1267.9100000000001</v>
      </c>
      <c r="E5894" s="2">
        <v>0</v>
      </c>
      <c r="F5894" t="s">
        <v>8</v>
      </c>
      <c r="G5894" t="s">
        <v>9</v>
      </c>
    </row>
    <row r="5895" spans="1:7" x14ac:dyDescent="0.35">
      <c r="A5895">
        <v>2325</v>
      </c>
      <c r="B5895" s="1">
        <v>45650</v>
      </c>
      <c r="C5895" t="s">
        <v>24</v>
      </c>
      <c r="D5895" s="2">
        <v>0</v>
      </c>
      <c r="E5895" s="2">
        <v>1267.9100000000001</v>
      </c>
      <c r="F5895" t="s">
        <v>13</v>
      </c>
      <c r="G5895" t="s">
        <v>9</v>
      </c>
    </row>
    <row r="5896" spans="1:7" x14ac:dyDescent="0.35">
      <c r="A5896">
        <v>2326</v>
      </c>
      <c r="B5896" s="1">
        <v>45650</v>
      </c>
      <c r="C5896" t="s">
        <v>24</v>
      </c>
      <c r="D5896" s="2">
        <v>72.900000000000006</v>
      </c>
      <c r="E5896" s="2">
        <v>0</v>
      </c>
      <c r="F5896" t="s">
        <v>8</v>
      </c>
      <c r="G5896" t="s">
        <v>9</v>
      </c>
    </row>
    <row r="5897" spans="1:7" x14ac:dyDescent="0.35">
      <c r="A5897">
        <v>2326</v>
      </c>
      <c r="B5897" s="1">
        <v>45650</v>
      </c>
      <c r="C5897" t="s">
        <v>24</v>
      </c>
      <c r="D5897" s="2">
        <v>0</v>
      </c>
      <c r="E5897" s="2">
        <v>72.900000000000006</v>
      </c>
      <c r="F5897" t="s">
        <v>13</v>
      </c>
      <c r="G5897" t="s">
        <v>9</v>
      </c>
    </row>
    <row r="5898" spans="1:7" x14ac:dyDescent="0.35">
      <c r="A5898">
        <v>2327</v>
      </c>
      <c r="B5898" s="1">
        <v>45650</v>
      </c>
      <c r="C5898" t="s">
        <v>29</v>
      </c>
      <c r="D5898" s="2">
        <v>4812.46</v>
      </c>
      <c r="E5898" s="2">
        <v>0</v>
      </c>
      <c r="F5898" t="s">
        <v>28</v>
      </c>
      <c r="G5898" t="s">
        <v>17</v>
      </c>
    </row>
    <row r="5899" spans="1:7" x14ac:dyDescent="0.35">
      <c r="A5899">
        <v>2327</v>
      </c>
      <c r="B5899" s="1">
        <v>45650</v>
      </c>
      <c r="C5899" t="s">
        <v>29</v>
      </c>
      <c r="D5899" s="2">
        <v>0</v>
      </c>
      <c r="E5899" s="2">
        <v>4812.46</v>
      </c>
      <c r="F5899" t="s">
        <v>8</v>
      </c>
      <c r="G5899" t="s">
        <v>9</v>
      </c>
    </row>
    <row r="5900" spans="1:7" x14ac:dyDescent="0.35">
      <c r="A5900">
        <v>2328</v>
      </c>
      <c r="B5900" s="1">
        <v>45650</v>
      </c>
      <c r="C5900" t="s">
        <v>29</v>
      </c>
      <c r="D5900" s="2">
        <v>2504.23</v>
      </c>
      <c r="E5900" s="2">
        <v>0</v>
      </c>
      <c r="F5900" t="s">
        <v>28</v>
      </c>
      <c r="G5900" t="s">
        <v>17</v>
      </c>
    </row>
    <row r="5901" spans="1:7" x14ac:dyDescent="0.35">
      <c r="A5901">
        <v>2328</v>
      </c>
      <c r="B5901" s="1">
        <v>45650</v>
      </c>
      <c r="C5901" t="s">
        <v>29</v>
      </c>
      <c r="D5901" s="2">
        <v>0</v>
      </c>
      <c r="E5901" s="2">
        <v>2504.23</v>
      </c>
      <c r="F5901" t="s">
        <v>8</v>
      </c>
      <c r="G5901" t="s">
        <v>9</v>
      </c>
    </row>
    <row r="5902" spans="1:7" x14ac:dyDescent="0.35">
      <c r="A5902">
        <v>2329</v>
      </c>
      <c r="B5902" s="1">
        <v>45650</v>
      </c>
      <c r="C5902" t="s">
        <v>29</v>
      </c>
      <c r="D5902" s="2">
        <v>9336.67</v>
      </c>
      <c r="E5902" s="2">
        <v>0</v>
      </c>
      <c r="F5902" t="s">
        <v>28</v>
      </c>
      <c r="G5902" t="s">
        <v>17</v>
      </c>
    </row>
    <row r="5903" spans="1:7" x14ac:dyDescent="0.35">
      <c r="A5903">
        <v>2329</v>
      </c>
      <c r="B5903" s="1">
        <v>45650</v>
      </c>
      <c r="C5903" t="s">
        <v>29</v>
      </c>
      <c r="D5903" s="2">
        <v>0</v>
      </c>
      <c r="E5903" s="2">
        <v>9336.67</v>
      </c>
      <c r="F5903" t="s">
        <v>8</v>
      </c>
      <c r="G5903" t="s">
        <v>9</v>
      </c>
    </row>
    <row r="5904" spans="1:7" x14ac:dyDescent="0.35">
      <c r="A5904">
        <v>2330</v>
      </c>
      <c r="B5904" s="1">
        <v>45652</v>
      </c>
      <c r="C5904" t="s">
        <v>12</v>
      </c>
      <c r="D5904" s="2">
        <v>3715.25</v>
      </c>
      <c r="E5904" s="2">
        <v>0</v>
      </c>
      <c r="F5904" t="s">
        <v>13</v>
      </c>
      <c r="G5904" t="s">
        <v>9</v>
      </c>
    </row>
    <row r="5905" spans="1:7" x14ac:dyDescent="0.35">
      <c r="A5905">
        <v>2330</v>
      </c>
      <c r="B5905" s="1">
        <v>45652</v>
      </c>
      <c r="C5905" t="s">
        <v>12</v>
      </c>
      <c r="D5905" s="2">
        <v>0</v>
      </c>
      <c r="E5905" s="2">
        <v>3456.05</v>
      </c>
      <c r="F5905" t="s">
        <v>14</v>
      </c>
      <c r="G5905" t="s">
        <v>15</v>
      </c>
    </row>
    <row r="5906" spans="1:7" x14ac:dyDescent="0.35">
      <c r="A5906">
        <v>2330</v>
      </c>
      <c r="B5906" s="1">
        <v>45652</v>
      </c>
      <c r="C5906" t="s">
        <v>12</v>
      </c>
      <c r="D5906" s="2">
        <v>0</v>
      </c>
      <c r="E5906" s="2">
        <v>259.2</v>
      </c>
      <c r="F5906" t="s">
        <v>16</v>
      </c>
      <c r="G5906" t="s">
        <v>17</v>
      </c>
    </row>
    <row r="5907" spans="1:7" x14ac:dyDescent="0.35">
      <c r="A5907">
        <v>2331</v>
      </c>
      <c r="B5907" s="1">
        <v>45652</v>
      </c>
      <c r="C5907" t="s">
        <v>12</v>
      </c>
      <c r="D5907" s="2">
        <v>4682.8999999999996</v>
      </c>
      <c r="E5907" s="2">
        <v>0</v>
      </c>
      <c r="F5907" t="s">
        <v>13</v>
      </c>
      <c r="G5907" t="s">
        <v>9</v>
      </c>
    </row>
    <row r="5908" spans="1:7" x14ac:dyDescent="0.35">
      <c r="A5908">
        <v>2331</v>
      </c>
      <c r="B5908" s="1">
        <v>45652</v>
      </c>
      <c r="C5908" t="s">
        <v>12</v>
      </c>
      <c r="D5908" s="2">
        <v>0</v>
      </c>
      <c r="E5908" s="2">
        <v>4356.1899999999996</v>
      </c>
      <c r="F5908" t="s">
        <v>14</v>
      </c>
      <c r="G5908" t="s">
        <v>15</v>
      </c>
    </row>
    <row r="5909" spans="1:7" x14ac:dyDescent="0.35">
      <c r="A5909">
        <v>2331</v>
      </c>
      <c r="B5909" s="1">
        <v>45652</v>
      </c>
      <c r="C5909" t="s">
        <v>12</v>
      </c>
      <c r="D5909" s="2">
        <v>0</v>
      </c>
      <c r="E5909" s="2">
        <v>326.70999999999998</v>
      </c>
      <c r="F5909" t="s">
        <v>16</v>
      </c>
      <c r="G5909" t="s">
        <v>17</v>
      </c>
    </row>
    <row r="5910" spans="1:7" x14ac:dyDescent="0.35">
      <c r="A5910">
        <v>2332</v>
      </c>
      <c r="B5910" s="1">
        <v>45652</v>
      </c>
      <c r="C5910" t="s">
        <v>12</v>
      </c>
      <c r="D5910" s="2">
        <v>1962.34</v>
      </c>
      <c r="E5910" s="2">
        <v>0</v>
      </c>
      <c r="F5910" t="s">
        <v>13</v>
      </c>
      <c r="G5910" t="s">
        <v>9</v>
      </c>
    </row>
    <row r="5911" spans="1:7" x14ac:dyDescent="0.35">
      <c r="A5911">
        <v>2332</v>
      </c>
      <c r="B5911" s="1">
        <v>45652</v>
      </c>
      <c r="C5911" t="s">
        <v>12</v>
      </c>
      <c r="D5911" s="2">
        <v>0</v>
      </c>
      <c r="E5911" s="2">
        <v>1825.43</v>
      </c>
      <c r="F5911" t="s">
        <v>14</v>
      </c>
      <c r="G5911" t="s">
        <v>15</v>
      </c>
    </row>
    <row r="5912" spans="1:7" x14ac:dyDescent="0.35">
      <c r="A5912">
        <v>2332</v>
      </c>
      <c r="B5912" s="1">
        <v>45652</v>
      </c>
      <c r="C5912" t="s">
        <v>12</v>
      </c>
      <c r="D5912" s="2">
        <v>0</v>
      </c>
      <c r="E5912" s="2">
        <v>136.91</v>
      </c>
      <c r="F5912" t="s">
        <v>16</v>
      </c>
      <c r="G5912" t="s">
        <v>17</v>
      </c>
    </row>
    <row r="5913" spans="1:7" x14ac:dyDescent="0.35">
      <c r="A5913">
        <v>2333</v>
      </c>
      <c r="B5913" s="1">
        <v>45652</v>
      </c>
      <c r="C5913" t="s">
        <v>12</v>
      </c>
      <c r="D5913" s="2">
        <v>1097.1300000000001</v>
      </c>
      <c r="E5913" s="2">
        <v>0</v>
      </c>
      <c r="F5913" t="s">
        <v>13</v>
      </c>
      <c r="G5913" t="s">
        <v>9</v>
      </c>
    </row>
    <row r="5914" spans="1:7" x14ac:dyDescent="0.35">
      <c r="A5914">
        <v>2333</v>
      </c>
      <c r="B5914" s="1">
        <v>45652</v>
      </c>
      <c r="C5914" t="s">
        <v>12</v>
      </c>
      <c r="D5914" s="2">
        <v>0</v>
      </c>
      <c r="E5914" s="2">
        <v>1020.58</v>
      </c>
      <c r="F5914" t="s">
        <v>14</v>
      </c>
      <c r="G5914" t="s">
        <v>15</v>
      </c>
    </row>
    <row r="5915" spans="1:7" x14ac:dyDescent="0.35">
      <c r="A5915">
        <v>2333</v>
      </c>
      <c r="B5915" s="1">
        <v>45652</v>
      </c>
      <c r="C5915" t="s">
        <v>12</v>
      </c>
      <c r="D5915" s="2">
        <v>0</v>
      </c>
      <c r="E5915" s="2">
        <v>76.55</v>
      </c>
      <c r="F5915" t="s">
        <v>16</v>
      </c>
      <c r="G5915" t="s">
        <v>17</v>
      </c>
    </row>
    <row r="5916" spans="1:7" x14ac:dyDescent="0.35">
      <c r="A5916">
        <v>2334</v>
      </c>
      <c r="B5916" s="1">
        <v>45652</v>
      </c>
      <c r="C5916" t="s">
        <v>12</v>
      </c>
      <c r="D5916" s="2">
        <v>1203.27</v>
      </c>
      <c r="E5916" s="2">
        <v>0</v>
      </c>
      <c r="F5916" t="s">
        <v>13</v>
      </c>
      <c r="G5916" t="s">
        <v>9</v>
      </c>
    </row>
    <row r="5917" spans="1:7" x14ac:dyDescent="0.35">
      <c r="A5917">
        <v>2334</v>
      </c>
      <c r="B5917" s="1">
        <v>45652</v>
      </c>
      <c r="C5917" t="s">
        <v>12</v>
      </c>
      <c r="D5917" s="2">
        <v>0</v>
      </c>
      <c r="E5917" s="2">
        <v>1119.31</v>
      </c>
      <c r="F5917" t="s">
        <v>14</v>
      </c>
      <c r="G5917" t="s">
        <v>15</v>
      </c>
    </row>
    <row r="5918" spans="1:7" x14ac:dyDescent="0.35">
      <c r="A5918">
        <v>2334</v>
      </c>
      <c r="B5918" s="1">
        <v>45652</v>
      </c>
      <c r="C5918" t="s">
        <v>12</v>
      </c>
      <c r="D5918" s="2">
        <v>0</v>
      </c>
      <c r="E5918" s="2">
        <v>83.96</v>
      </c>
      <c r="F5918" t="s">
        <v>16</v>
      </c>
      <c r="G5918" t="s">
        <v>17</v>
      </c>
    </row>
    <row r="5919" spans="1:7" x14ac:dyDescent="0.35">
      <c r="A5919">
        <v>2335</v>
      </c>
      <c r="B5919" s="1">
        <v>45652</v>
      </c>
      <c r="C5919" t="s">
        <v>12</v>
      </c>
      <c r="D5919" s="2">
        <v>3499.78</v>
      </c>
      <c r="E5919" s="2">
        <v>0</v>
      </c>
      <c r="F5919" t="s">
        <v>13</v>
      </c>
      <c r="G5919" t="s">
        <v>9</v>
      </c>
    </row>
    <row r="5920" spans="1:7" x14ac:dyDescent="0.35">
      <c r="A5920">
        <v>2335</v>
      </c>
      <c r="B5920" s="1">
        <v>45652</v>
      </c>
      <c r="C5920" t="s">
        <v>12</v>
      </c>
      <c r="D5920" s="2">
        <v>0</v>
      </c>
      <c r="E5920" s="2">
        <v>3255.61</v>
      </c>
      <c r="F5920" t="s">
        <v>14</v>
      </c>
      <c r="G5920" t="s">
        <v>15</v>
      </c>
    </row>
    <row r="5921" spans="1:7" x14ac:dyDescent="0.35">
      <c r="A5921">
        <v>2335</v>
      </c>
      <c r="B5921" s="1">
        <v>45652</v>
      </c>
      <c r="C5921" t="s">
        <v>12</v>
      </c>
      <c r="D5921" s="2">
        <v>0</v>
      </c>
      <c r="E5921" s="2">
        <v>244.17</v>
      </c>
      <c r="F5921" t="s">
        <v>16</v>
      </c>
      <c r="G5921" t="s">
        <v>17</v>
      </c>
    </row>
    <row r="5922" spans="1:7" x14ac:dyDescent="0.35">
      <c r="A5922">
        <v>2336</v>
      </c>
      <c r="B5922" s="1">
        <v>45652</v>
      </c>
      <c r="C5922" t="s">
        <v>12</v>
      </c>
      <c r="D5922" s="2">
        <v>3294.04</v>
      </c>
      <c r="E5922" s="2">
        <v>0</v>
      </c>
      <c r="F5922" t="s">
        <v>13</v>
      </c>
      <c r="G5922" t="s">
        <v>9</v>
      </c>
    </row>
    <row r="5923" spans="1:7" x14ac:dyDescent="0.35">
      <c r="A5923">
        <v>2336</v>
      </c>
      <c r="B5923" s="1">
        <v>45652</v>
      </c>
      <c r="C5923" t="s">
        <v>12</v>
      </c>
      <c r="D5923" s="2">
        <v>0</v>
      </c>
      <c r="E5923" s="2">
        <v>3064.22</v>
      </c>
      <c r="F5923" t="s">
        <v>14</v>
      </c>
      <c r="G5923" t="s">
        <v>15</v>
      </c>
    </row>
    <row r="5924" spans="1:7" x14ac:dyDescent="0.35">
      <c r="A5924">
        <v>2336</v>
      </c>
      <c r="B5924" s="1">
        <v>45652</v>
      </c>
      <c r="C5924" t="s">
        <v>12</v>
      </c>
      <c r="D5924" s="2">
        <v>0</v>
      </c>
      <c r="E5924" s="2">
        <v>229.82</v>
      </c>
      <c r="F5924" t="s">
        <v>16</v>
      </c>
      <c r="G5924" t="s">
        <v>17</v>
      </c>
    </row>
    <row r="5925" spans="1:7" x14ac:dyDescent="0.35">
      <c r="A5925">
        <v>2337</v>
      </c>
      <c r="B5925" s="1">
        <v>45652</v>
      </c>
      <c r="C5925" t="s">
        <v>12</v>
      </c>
      <c r="D5925" s="2">
        <v>2170.5</v>
      </c>
      <c r="E5925" s="2">
        <v>0</v>
      </c>
      <c r="F5925" t="s">
        <v>13</v>
      </c>
      <c r="G5925" t="s">
        <v>9</v>
      </c>
    </row>
    <row r="5926" spans="1:7" x14ac:dyDescent="0.35">
      <c r="A5926">
        <v>2337</v>
      </c>
      <c r="B5926" s="1">
        <v>45652</v>
      </c>
      <c r="C5926" t="s">
        <v>12</v>
      </c>
      <c r="D5926" s="2">
        <v>0</v>
      </c>
      <c r="E5926" s="2">
        <v>2019.06</v>
      </c>
      <c r="F5926" t="s">
        <v>14</v>
      </c>
      <c r="G5926" t="s">
        <v>15</v>
      </c>
    </row>
    <row r="5927" spans="1:7" x14ac:dyDescent="0.35">
      <c r="A5927">
        <v>2337</v>
      </c>
      <c r="B5927" s="1">
        <v>45652</v>
      </c>
      <c r="C5927" t="s">
        <v>12</v>
      </c>
      <c r="D5927" s="2">
        <v>0</v>
      </c>
      <c r="E5927" s="2">
        <v>151.44</v>
      </c>
      <c r="F5927" t="s">
        <v>16</v>
      </c>
      <c r="G5927" t="s">
        <v>17</v>
      </c>
    </row>
    <row r="5928" spans="1:7" x14ac:dyDescent="0.35">
      <c r="A5928">
        <v>2338</v>
      </c>
      <c r="B5928" s="1">
        <v>45652</v>
      </c>
      <c r="C5928" t="s">
        <v>12</v>
      </c>
      <c r="D5928" s="2">
        <v>3705.14</v>
      </c>
      <c r="E5928" s="2">
        <v>0</v>
      </c>
      <c r="F5928" t="s">
        <v>13</v>
      </c>
      <c r="G5928" t="s">
        <v>9</v>
      </c>
    </row>
    <row r="5929" spans="1:7" x14ac:dyDescent="0.35">
      <c r="A5929">
        <v>2338</v>
      </c>
      <c r="B5929" s="1">
        <v>45652</v>
      </c>
      <c r="C5929" t="s">
        <v>12</v>
      </c>
      <c r="D5929" s="2">
        <v>0</v>
      </c>
      <c r="E5929" s="2">
        <v>3446.64</v>
      </c>
      <c r="F5929" t="s">
        <v>14</v>
      </c>
      <c r="G5929" t="s">
        <v>15</v>
      </c>
    </row>
    <row r="5930" spans="1:7" x14ac:dyDescent="0.35">
      <c r="A5930">
        <v>2338</v>
      </c>
      <c r="B5930" s="1">
        <v>45652</v>
      </c>
      <c r="C5930" t="s">
        <v>12</v>
      </c>
      <c r="D5930" s="2">
        <v>0</v>
      </c>
      <c r="E5930" s="2">
        <v>258.5</v>
      </c>
      <c r="F5930" t="s">
        <v>16</v>
      </c>
      <c r="G5930" t="s">
        <v>17</v>
      </c>
    </row>
    <row r="5931" spans="1:7" x14ac:dyDescent="0.35">
      <c r="A5931">
        <v>2339</v>
      </c>
      <c r="B5931" s="1">
        <v>45652</v>
      </c>
      <c r="C5931" t="s">
        <v>24</v>
      </c>
      <c r="D5931" s="2">
        <v>4389.34</v>
      </c>
      <c r="E5931" s="2">
        <v>0</v>
      </c>
      <c r="F5931" t="s">
        <v>8</v>
      </c>
      <c r="G5931" t="s">
        <v>9</v>
      </c>
    </row>
    <row r="5932" spans="1:7" x14ac:dyDescent="0.35">
      <c r="A5932">
        <v>2339</v>
      </c>
      <c r="B5932" s="1">
        <v>45652</v>
      </c>
      <c r="C5932" t="s">
        <v>24</v>
      </c>
      <c r="D5932" s="2">
        <v>0</v>
      </c>
      <c r="E5932" s="2">
        <v>4389.34</v>
      </c>
      <c r="F5932" t="s">
        <v>13</v>
      </c>
      <c r="G5932" t="s">
        <v>9</v>
      </c>
    </row>
    <row r="5933" spans="1:7" x14ac:dyDescent="0.35">
      <c r="A5933">
        <v>2340</v>
      </c>
      <c r="B5933" s="1">
        <v>45652</v>
      </c>
      <c r="C5933" t="s">
        <v>24</v>
      </c>
      <c r="D5933" s="2">
        <v>5249.78</v>
      </c>
      <c r="E5933" s="2">
        <v>0</v>
      </c>
      <c r="F5933" t="s">
        <v>8</v>
      </c>
      <c r="G5933" t="s">
        <v>9</v>
      </c>
    </row>
    <row r="5934" spans="1:7" x14ac:dyDescent="0.35">
      <c r="A5934">
        <v>2340</v>
      </c>
      <c r="B5934" s="1">
        <v>45652</v>
      </c>
      <c r="C5934" t="s">
        <v>24</v>
      </c>
      <c r="D5934" s="2">
        <v>0</v>
      </c>
      <c r="E5934" s="2">
        <v>5249.78</v>
      </c>
      <c r="F5934" t="s">
        <v>13</v>
      </c>
      <c r="G5934" t="s">
        <v>9</v>
      </c>
    </row>
    <row r="5935" spans="1:7" x14ac:dyDescent="0.35">
      <c r="A5935">
        <v>2341</v>
      </c>
      <c r="B5935" s="1">
        <v>45652</v>
      </c>
      <c r="C5935" t="s">
        <v>25</v>
      </c>
      <c r="D5935" s="2">
        <v>1668.94</v>
      </c>
      <c r="E5935" s="2">
        <v>0</v>
      </c>
      <c r="F5935" t="s">
        <v>26</v>
      </c>
      <c r="G5935" t="s">
        <v>20</v>
      </c>
    </row>
    <row r="5936" spans="1:7" x14ac:dyDescent="0.35">
      <c r="A5936">
        <v>2341</v>
      </c>
      <c r="B5936" s="1">
        <v>45652</v>
      </c>
      <c r="C5936" t="s">
        <v>25</v>
      </c>
      <c r="D5936" s="2">
        <v>125.17</v>
      </c>
      <c r="E5936" s="2">
        <v>0</v>
      </c>
      <c r="F5936" t="s">
        <v>27</v>
      </c>
      <c r="G5936" t="s">
        <v>9</v>
      </c>
    </row>
    <row r="5937" spans="1:7" x14ac:dyDescent="0.35">
      <c r="A5937">
        <v>2341</v>
      </c>
      <c r="B5937" s="1">
        <v>45652</v>
      </c>
      <c r="C5937" t="s">
        <v>25</v>
      </c>
      <c r="D5937" s="2">
        <v>0</v>
      </c>
      <c r="E5937" s="2">
        <v>1794.11</v>
      </c>
      <c r="F5937" t="s">
        <v>28</v>
      </c>
      <c r="G5937" t="s">
        <v>17</v>
      </c>
    </row>
    <row r="5938" spans="1:7" x14ac:dyDescent="0.35">
      <c r="A5938">
        <v>2342</v>
      </c>
      <c r="B5938" s="1">
        <v>45652</v>
      </c>
      <c r="C5938" t="s">
        <v>25</v>
      </c>
      <c r="D5938" s="2">
        <v>512</v>
      </c>
      <c r="E5938" s="2">
        <v>0</v>
      </c>
      <c r="F5938" t="s">
        <v>26</v>
      </c>
      <c r="G5938" t="s">
        <v>20</v>
      </c>
    </row>
    <row r="5939" spans="1:7" x14ac:dyDescent="0.35">
      <c r="A5939">
        <v>2342</v>
      </c>
      <c r="B5939" s="1">
        <v>45652</v>
      </c>
      <c r="C5939" t="s">
        <v>25</v>
      </c>
      <c r="D5939" s="2">
        <v>38.4</v>
      </c>
      <c r="E5939" s="2">
        <v>0</v>
      </c>
      <c r="F5939" t="s">
        <v>27</v>
      </c>
      <c r="G5939" t="s">
        <v>9</v>
      </c>
    </row>
    <row r="5940" spans="1:7" x14ac:dyDescent="0.35">
      <c r="A5940">
        <v>2342</v>
      </c>
      <c r="B5940" s="1">
        <v>45652</v>
      </c>
      <c r="C5940" t="s">
        <v>25</v>
      </c>
      <c r="D5940" s="2">
        <v>0</v>
      </c>
      <c r="E5940" s="2">
        <v>550.4</v>
      </c>
      <c r="F5940" t="s">
        <v>28</v>
      </c>
      <c r="G5940" t="s">
        <v>17</v>
      </c>
    </row>
    <row r="5941" spans="1:7" x14ac:dyDescent="0.35">
      <c r="A5941">
        <v>2343</v>
      </c>
      <c r="B5941" s="1">
        <v>45653</v>
      </c>
      <c r="C5941" t="s">
        <v>12</v>
      </c>
      <c r="D5941" s="2">
        <v>474.83</v>
      </c>
      <c r="E5941" s="2">
        <v>0</v>
      </c>
      <c r="F5941" t="s">
        <v>13</v>
      </c>
      <c r="G5941" t="s">
        <v>9</v>
      </c>
    </row>
    <row r="5942" spans="1:7" x14ac:dyDescent="0.35">
      <c r="A5942">
        <v>2343</v>
      </c>
      <c r="B5942" s="1">
        <v>45653</v>
      </c>
      <c r="C5942" t="s">
        <v>12</v>
      </c>
      <c r="D5942" s="2">
        <v>0</v>
      </c>
      <c r="E5942" s="2">
        <v>441.71</v>
      </c>
      <c r="F5942" t="s">
        <v>14</v>
      </c>
      <c r="G5942" t="s">
        <v>15</v>
      </c>
    </row>
    <row r="5943" spans="1:7" x14ac:dyDescent="0.35">
      <c r="A5943">
        <v>2343</v>
      </c>
      <c r="B5943" s="1">
        <v>45653</v>
      </c>
      <c r="C5943" t="s">
        <v>12</v>
      </c>
      <c r="D5943" s="2">
        <v>0</v>
      </c>
      <c r="E5943" s="2">
        <v>33.119999999999997</v>
      </c>
      <c r="F5943" t="s">
        <v>16</v>
      </c>
      <c r="G5943" t="s">
        <v>17</v>
      </c>
    </row>
    <row r="5944" spans="1:7" x14ac:dyDescent="0.35">
      <c r="A5944">
        <v>2344</v>
      </c>
      <c r="B5944" s="1">
        <v>45653</v>
      </c>
      <c r="C5944" t="s">
        <v>12</v>
      </c>
      <c r="D5944" s="2">
        <v>883.32</v>
      </c>
      <c r="E5944" s="2">
        <v>0</v>
      </c>
      <c r="F5944" t="s">
        <v>13</v>
      </c>
      <c r="G5944" t="s">
        <v>9</v>
      </c>
    </row>
    <row r="5945" spans="1:7" x14ac:dyDescent="0.35">
      <c r="A5945">
        <v>2344</v>
      </c>
      <c r="B5945" s="1">
        <v>45653</v>
      </c>
      <c r="C5945" t="s">
        <v>12</v>
      </c>
      <c r="D5945" s="2">
        <v>0</v>
      </c>
      <c r="E5945" s="2">
        <v>821.69</v>
      </c>
      <c r="F5945" t="s">
        <v>14</v>
      </c>
      <c r="G5945" t="s">
        <v>15</v>
      </c>
    </row>
    <row r="5946" spans="1:7" x14ac:dyDescent="0.35">
      <c r="A5946">
        <v>2344</v>
      </c>
      <c r="B5946" s="1">
        <v>45653</v>
      </c>
      <c r="C5946" t="s">
        <v>12</v>
      </c>
      <c r="D5946" s="2">
        <v>0</v>
      </c>
      <c r="E5946" s="2">
        <v>61.63</v>
      </c>
      <c r="F5946" t="s">
        <v>16</v>
      </c>
      <c r="G5946" t="s">
        <v>17</v>
      </c>
    </row>
    <row r="5947" spans="1:7" x14ac:dyDescent="0.35">
      <c r="A5947">
        <v>2345</v>
      </c>
      <c r="B5947" s="1">
        <v>45653</v>
      </c>
      <c r="C5947" t="s">
        <v>12</v>
      </c>
      <c r="D5947" s="2">
        <v>3247.5</v>
      </c>
      <c r="E5947" s="2">
        <v>0</v>
      </c>
      <c r="F5947" t="s">
        <v>13</v>
      </c>
      <c r="G5947" t="s">
        <v>9</v>
      </c>
    </row>
    <row r="5948" spans="1:7" x14ac:dyDescent="0.35">
      <c r="A5948">
        <v>2345</v>
      </c>
      <c r="B5948" s="1">
        <v>45653</v>
      </c>
      <c r="C5948" t="s">
        <v>12</v>
      </c>
      <c r="D5948" s="2">
        <v>0</v>
      </c>
      <c r="E5948" s="2">
        <v>3020.92</v>
      </c>
      <c r="F5948" t="s">
        <v>14</v>
      </c>
      <c r="G5948" t="s">
        <v>15</v>
      </c>
    </row>
    <row r="5949" spans="1:7" x14ac:dyDescent="0.35">
      <c r="A5949">
        <v>2345</v>
      </c>
      <c r="B5949" s="1">
        <v>45653</v>
      </c>
      <c r="C5949" t="s">
        <v>12</v>
      </c>
      <c r="D5949" s="2">
        <v>0</v>
      </c>
      <c r="E5949" s="2">
        <v>226.58</v>
      </c>
      <c r="F5949" t="s">
        <v>16</v>
      </c>
      <c r="G5949" t="s">
        <v>17</v>
      </c>
    </row>
    <row r="5950" spans="1:7" x14ac:dyDescent="0.35">
      <c r="A5950">
        <v>2346</v>
      </c>
      <c r="B5950" s="1">
        <v>45653</v>
      </c>
      <c r="C5950" t="s">
        <v>12</v>
      </c>
      <c r="D5950" s="2">
        <v>2061.19</v>
      </c>
      <c r="E5950" s="2">
        <v>0</v>
      </c>
      <c r="F5950" t="s">
        <v>13</v>
      </c>
      <c r="G5950" t="s">
        <v>9</v>
      </c>
    </row>
    <row r="5951" spans="1:7" x14ac:dyDescent="0.35">
      <c r="A5951">
        <v>2346</v>
      </c>
      <c r="B5951" s="1">
        <v>45653</v>
      </c>
      <c r="C5951" t="s">
        <v>12</v>
      </c>
      <c r="D5951" s="2">
        <v>0</v>
      </c>
      <c r="E5951" s="2">
        <v>1917.39</v>
      </c>
      <c r="F5951" t="s">
        <v>14</v>
      </c>
      <c r="G5951" t="s">
        <v>15</v>
      </c>
    </row>
    <row r="5952" spans="1:7" x14ac:dyDescent="0.35">
      <c r="A5952">
        <v>2346</v>
      </c>
      <c r="B5952" s="1">
        <v>45653</v>
      </c>
      <c r="C5952" t="s">
        <v>12</v>
      </c>
      <c r="D5952" s="2">
        <v>0</v>
      </c>
      <c r="E5952" s="2">
        <v>143.80000000000001</v>
      </c>
      <c r="F5952" t="s">
        <v>16</v>
      </c>
      <c r="G5952" t="s">
        <v>17</v>
      </c>
    </row>
    <row r="5953" spans="1:7" x14ac:dyDescent="0.35">
      <c r="A5953">
        <v>2347</v>
      </c>
      <c r="B5953" s="1">
        <v>45653</v>
      </c>
      <c r="C5953" t="s">
        <v>12</v>
      </c>
      <c r="D5953" s="2">
        <v>650.35</v>
      </c>
      <c r="E5953" s="2">
        <v>0</v>
      </c>
      <c r="F5953" t="s">
        <v>13</v>
      </c>
      <c r="G5953" t="s">
        <v>9</v>
      </c>
    </row>
    <row r="5954" spans="1:7" x14ac:dyDescent="0.35">
      <c r="A5954">
        <v>2347</v>
      </c>
      <c r="B5954" s="1">
        <v>45653</v>
      </c>
      <c r="C5954" t="s">
        <v>12</v>
      </c>
      <c r="D5954" s="2">
        <v>0</v>
      </c>
      <c r="E5954" s="2">
        <v>604.97</v>
      </c>
      <c r="F5954" t="s">
        <v>14</v>
      </c>
      <c r="G5954" t="s">
        <v>15</v>
      </c>
    </row>
    <row r="5955" spans="1:7" x14ac:dyDescent="0.35">
      <c r="A5955">
        <v>2347</v>
      </c>
      <c r="B5955" s="1">
        <v>45653</v>
      </c>
      <c r="C5955" t="s">
        <v>12</v>
      </c>
      <c r="D5955" s="2">
        <v>0</v>
      </c>
      <c r="E5955" s="2">
        <v>45.38</v>
      </c>
      <c r="F5955" t="s">
        <v>16</v>
      </c>
      <c r="G5955" t="s">
        <v>17</v>
      </c>
    </row>
    <row r="5956" spans="1:7" x14ac:dyDescent="0.35">
      <c r="A5956">
        <v>2348</v>
      </c>
      <c r="B5956" s="1">
        <v>45653</v>
      </c>
      <c r="C5956" t="s">
        <v>12</v>
      </c>
      <c r="D5956" s="2">
        <v>4647.29</v>
      </c>
      <c r="E5956" s="2">
        <v>0</v>
      </c>
      <c r="F5956" t="s">
        <v>13</v>
      </c>
      <c r="G5956" t="s">
        <v>9</v>
      </c>
    </row>
    <row r="5957" spans="1:7" x14ac:dyDescent="0.35">
      <c r="A5957">
        <v>2348</v>
      </c>
      <c r="B5957" s="1">
        <v>45653</v>
      </c>
      <c r="C5957" t="s">
        <v>12</v>
      </c>
      <c r="D5957" s="2">
        <v>0</v>
      </c>
      <c r="E5957" s="2">
        <v>4323.07</v>
      </c>
      <c r="F5957" t="s">
        <v>14</v>
      </c>
      <c r="G5957" t="s">
        <v>15</v>
      </c>
    </row>
    <row r="5958" spans="1:7" x14ac:dyDescent="0.35">
      <c r="A5958">
        <v>2348</v>
      </c>
      <c r="B5958" s="1">
        <v>45653</v>
      </c>
      <c r="C5958" t="s">
        <v>12</v>
      </c>
      <c r="D5958" s="2">
        <v>0</v>
      </c>
      <c r="E5958" s="2">
        <v>324.22000000000003</v>
      </c>
      <c r="F5958" t="s">
        <v>16</v>
      </c>
      <c r="G5958" t="s">
        <v>17</v>
      </c>
    </row>
    <row r="5959" spans="1:7" x14ac:dyDescent="0.35">
      <c r="A5959">
        <v>2349</v>
      </c>
      <c r="B5959" s="1">
        <v>45653</v>
      </c>
      <c r="C5959" t="s">
        <v>12</v>
      </c>
      <c r="D5959" s="2">
        <v>558.34</v>
      </c>
      <c r="E5959" s="2">
        <v>0</v>
      </c>
      <c r="F5959" t="s">
        <v>13</v>
      </c>
      <c r="G5959" t="s">
        <v>9</v>
      </c>
    </row>
    <row r="5960" spans="1:7" x14ac:dyDescent="0.35">
      <c r="A5960">
        <v>2349</v>
      </c>
      <c r="B5960" s="1">
        <v>45653</v>
      </c>
      <c r="C5960" t="s">
        <v>12</v>
      </c>
      <c r="D5960" s="2">
        <v>0</v>
      </c>
      <c r="E5960" s="2">
        <v>519.39</v>
      </c>
      <c r="F5960" t="s">
        <v>14</v>
      </c>
      <c r="G5960" t="s">
        <v>15</v>
      </c>
    </row>
    <row r="5961" spans="1:7" x14ac:dyDescent="0.35">
      <c r="A5961">
        <v>2349</v>
      </c>
      <c r="B5961" s="1">
        <v>45653</v>
      </c>
      <c r="C5961" t="s">
        <v>12</v>
      </c>
      <c r="D5961" s="2">
        <v>0</v>
      </c>
      <c r="E5961" s="2">
        <v>38.950000000000003</v>
      </c>
      <c r="F5961" t="s">
        <v>16</v>
      </c>
      <c r="G5961" t="s">
        <v>17</v>
      </c>
    </row>
    <row r="5962" spans="1:7" x14ac:dyDescent="0.35">
      <c r="A5962">
        <v>2350</v>
      </c>
      <c r="B5962" s="1">
        <v>45653</v>
      </c>
      <c r="C5962" t="s">
        <v>12</v>
      </c>
      <c r="D5962" s="2">
        <v>2144.4699999999998</v>
      </c>
      <c r="E5962" s="2">
        <v>0</v>
      </c>
      <c r="F5962" t="s">
        <v>13</v>
      </c>
      <c r="G5962" t="s">
        <v>9</v>
      </c>
    </row>
    <row r="5963" spans="1:7" x14ac:dyDescent="0.35">
      <c r="A5963">
        <v>2350</v>
      </c>
      <c r="B5963" s="1">
        <v>45653</v>
      </c>
      <c r="C5963" t="s">
        <v>12</v>
      </c>
      <c r="D5963" s="2">
        <v>0</v>
      </c>
      <c r="E5963" s="2">
        <v>1994.84</v>
      </c>
      <c r="F5963" t="s">
        <v>14</v>
      </c>
      <c r="G5963" t="s">
        <v>15</v>
      </c>
    </row>
    <row r="5964" spans="1:7" x14ac:dyDescent="0.35">
      <c r="A5964">
        <v>2350</v>
      </c>
      <c r="B5964" s="1">
        <v>45653</v>
      </c>
      <c r="C5964" t="s">
        <v>12</v>
      </c>
      <c r="D5964" s="2">
        <v>0</v>
      </c>
      <c r="E5964" s="2">
        <v>149.63</v>
      </c>
      <c r="F5964" t="s">
        <v>16</v>
      </c>
      <c r="G5964" t="s">
        <v>17</v>
      </c>
    </row>
    <row r="5965" spans="1:7" x14ac:dyDescent="0.35">
      <c r="A5965">
        <v>2351</v>
      </c>
      <c r="B5965" s="1">
        <v>45653</v>
      </c>
      <c r="C5965" t="s">
        <v>24</v>
      </c>
      <c r="D5965" s="2">
        <v>442.08</v>
      </c>
      <c r="E5965" s="2">
        <v>0</v>
      </c>
      <c r="F5965" t="s">
        <v>8</v>
      </c>
      <c r="G5965" t="s">
        <v>9</v>
      </c>
    </row>
    <row r="5966" spans="1:7" x14ac:dyDescent="0.35">
      <c r="A5966">
        <v>2351</v>
      </c>
      <c r="B5966" s="1">
        <v>45653</v>
      </c>
      <c r="C5966" t="s">
        <v>24</v>
      </c>
      <c r="D5966" s="2">
        <v>0</v>
      </c>
      <c r="E5966" s="2">
        <v>442.08</v>
      </c>
      <c r="F5966" t="s">
        <v>13</v>
      </c>
      <c r="G5966" t="s">
        <v>9</v>
      </c>
    </row>
    <row r="5967" spans="1:7" x14ac:dyDescent="0.35">
      <c r="A5967">
        <v>2352</v>
      </c>
      <c r="B5967" s="1">
        <v>45653</v>
      </c>
      <c r="C5967" t="s">
        <v>24</v>
      </c>
      <c r="D5967" s="2">
        <v>2747.22</v>
      </c>
      <c r="E5967" s="2">
        <v>0</v>
      </c>
      <c r="F5967" t="s">
        <v>8</v>
      </c>
      <c r="G5967" t="s">
        <v>9</v>
      </c>
    </row>
    <row r="5968" spans="1:7" x14ac:dyDescent="0.35">
      <c r="A5968">
        <v>2352</v>
      </c>
      <c r="B5968" s="1">
        <v>45653</v>
      </c>
      <c r="C5968" t="s">
        <v>24</v>
      </c>
      <c r="D5968" s="2">
        <v>0</v>
      </c>
      <c r="E5968" s="2">
        <v>2747.22</v>
      </c>
      <c r="F5968" t="s">
        <v>13</v>
      </c>
      <c r="G5968" t="s">
        <v>9</v>
      </c>
    </row>
    <row r="5969" spans="1:7" x14ac:dyDescent="0.35">
      <c r="A5969">
        <v>2353</v>
      </c>
      <c r="B5969" s="1">
        <v>45653</v>
      </c>
      <c r="C5969" t="s">
        <v>24</v>
      </c>
      <c r="D5969" s="2">
        <v>2515.54</v>
      </c>
      <c r="E5969" s="2">
        <v>0</v>
      </c>
      <c r="F5969" t="s">
        <v>8</v>
      </c>
      <c r="G5969" t="s">
        <v>9</v>
      </c>
    </row>
    <row r="5970" spans="1:7" x14ac:dyDescent="0.35">
      <c r="A5970">
        <v>2353</v>
      </c>
      <c r="B5970" s="1">
        <v>45653</v>
      </c>
      <c r="C5970" t="s">
        <v>24</v>
      </c>
      <c r="D5970" s="2">
        <v>0</v>
      </c>
      <c r="E5970" s="2">
        <v>2515.54</v>
      </c>
      <c r="F5970" t="s">
        <v>13</v>
      </c>
      <c r="G5970" t="s">
        <v>9</v>
      </c>
    </row>
    <row r="5971" spans="1:7" x14ac:dyDescent="0.35">
      <c r="A5971">
        <v>2354</v>
      </c>
      <c r="B5971" s="1">
        <v>45653</v>
      </c>
      <c r="C5971" t="s">
        <v>24</v>
      </c>
      <c r="D5971" s="2">
        <v>4760.75</v>
      </c>
      <c r="E5971" s="2">
        <v>0</v>
      </c>
      <c r="F5971" t="s">
        <v>8</v>
      </c>
      <c r="G5971" t="s">
        <v>9</v>
      </c>
    </row>
    <row r="5972" spans="1:7" x14ac:dyDescent="0.35">
      <c r="A5972">
        <v>2354</v>
      </c>
      <c r="B5972" s="1">
        <v>45653</v>
      </c>
      <c r="C5972" t="s">
        <v>24</v>
      </c>
      <c r="D5972" s="2">
        <v>0</v>
      </c>
      <c r="E5972" s="2">
        <v>4760.75</v>
      </c>
      <c r="F5972" t="s">
        <v>13</v>
      </c>
      <c r="G5972" t="s">
        <v>9</v>
      </c>
    </row>
    <row r="5973" spans="1:7" x14ac:dyDescent="0.35">
      <c r="A5973">
        <v>2355</v>
      </c>
      <c r="B5973" s="1">
        <v>45653</v>
      </c>
      <c r="C5973" t="s">
        <v>24</v>
      </c>
      <c r="D5973" s="2">
        <v>2898.43</v>
      </c>
      <c r="E5973" s="2">
        <v>0</v>
      </c>
      <c r="F5973" t="s">
        <v>8</v>
      </c>
      <c r="G5973" t="s">
        <v>9</v>
      </c>
    </row>
    <row r="5974" spans="1:7" x14ac:dyDescent="0.35">
      <c r="A5974">
        <v>2355</v>
      </c>
      <c r="B5974" s="1">
        <v>45653</v>
      </c>
      <c r="C5974" t="s">
        <v>24</v>
      </c>
      <c r="D5974" s="2">
        <v>0</v>
      </c>
      <c r="E5974" s="2">
        <v>2898.43</v>
      </c>
      <c r="F5974" t="s">
        <v>13</v>
      </c>
      <c r="G5974" t="s">
        <v>9</v>
      </c>
    </row>
    <row r="5975" spans="1:7" x14ac:dyDescent="0.35">
      <c r="A5975">
        <v>2356</v>
      </c>
      <c r="B5975" s="1">
        <v>45653</v>
      </c>
      <c r="C5975" t="s">
        <v>24</v>
      </c>
      <c r="D5975" s="2">
        <v>3044.72</v>
      </c>
      <c r="E5975" s="2">
        <v>0</v>
      </c>
      <c r="F5975" t="s">
        <v>8</v>
      </c>
      <c r="G5975" t="s">
        <v>9</v>
      </c>
    </row>
    <row r="5976" spans="1:7" x14ac:dyDescent="0.35">
      <c r="A5976">
        <v>2356</v>
      </c>
      <c r="B5976" s="1">
        <v>45653</v>
      </c>
      <c r="C5976" t="s">
        <v>24</v>
      </c>
      <c r="D5976" s="2">
        <v>0</v>
      </c>
      <c r="E5976" s="2">
        <v>3044.72</v>
      </c>
      <c r="F5976" t="s">
        <v>13</v>
      </c>
      <c r="G5976" t="s">
        <v>9</v>
      </c>
    </row>
    <row r="5977" spans="1:7" x14ac:dyDescent="0.35">
      <c r="A5977">
        <v>2357</v>
      </c>
      <c r="B5977" s="1">
        <v>45653</v>
      </c>
      <c r="C5977" t="s">
        <v>24</v>
      </c>
      <c r="D5977" s="2">
        <v>1348.68</v>
      </c>
      <c r="E5977" s="2">
        <v>0</v>
      </c>
      <c r="F5977" t="s">
        <v>8</v>
      </c>
      <c r="G5977" t="s">
        <v>9</v>
      </c>
    </row>
    <row r="5978" spans="1:7" x14ac:dyDescent="0.35">
      <c r="A5978">
        <v>2357</v>
      </c>
      <c r="B5978" s="1">
        <v>45653</v>
      </c>
      <c r="C5978" t="s">
        <v>24</v>
      </c>
      <c r="D5978" s="2">
        <v>0</v>
      </c>
      <c r="E5978" s="2">
        <v>1348.68</v>
      </c>
      <c r="F5978" t="s">
        <v>13</v>
      </c>
      <c r="G5978" t="s">
        <v>9</v>
      </c>
    </row>
    <row r="5979" spans="1:7" x14ac:dyDescent="0.35">
      <c r="A5979">
        <v>2358</v>
      </c>
      <c r="B5979" s="1">
        <v>45653</v>
      </c>
      <c r="C5979" t="s">
        <v>24</v>
      </c>
      <c r="D5979" s="2">
        <v>3294.04</v>
      </c>
      <c r="E5979" s="2">
        <v>0</v>
      </c>
      <c r="F5979" t="s">
        <v>8</v>
      </c>
      <c r="G5979" t="s">
        <v>9</v>
      </c>
    </row>
    <row r="5980" spans="1:7" x14ac:dyDescent="0.35">
      <c r="A5980">
        <v>2358</v>
      </c>
      <c r="B5980" s="1">
        <v>45653</v>
      </c>
      <c r="C5980" t="s">
        <v>24</v>
      </c>
      <c r="D5980" s="2">
        <v>0</v>
      </c>
      <c r="E5980" s="2">
        <v>3294.04</v>
      </c>
      <c r="F5980" t="s">
        <v>13</v>
      </c>
      <c r="G5980" t="s">
        <v>9</v>
      </c>
    </row>
    <row r="5981" spans="1:7" x14ac:dyDescent="0.35">
      <c r="A5981">
        <v>2359</v>
      </c>
      <c r="B5981" s="1">
        <v>45653</v>
      </c>
      <c r="C5981" t="s">
        <v>24</v>
      </c>
      <c r="D5981" s="2">
        <v>2144.4699999999998</v>
      </c>
      <c r="E5981" s="2">
        <v>0</v>
      </c>
      <c r="F5981" t="s">
        <v>8</v>
      </c>
      <c r="G5981" t="s">
        <v>9</v>
      </c>
    </row>
    <row r="5982" spans="1:7" x14ac:dyDescent="0.35">
      <c r="A5982">
        <v>2359</v>
      </c>
      <c r="B5982" s="1">
        <v>45653</v>
      </c>
      <c r="C5982" t="s">
        <v>24</v>
      </c>
      <c r="D5982" s="2">
        <v>0</v>
      </c>
      <c r="E5982" s="2">
        <v>2144.4699999999998</v>
      </c>
      <c r="F5982" t="s">
        <v>13</v>
      </c>
      <c r="G5982" t="s">
        <v>9</v>
      </c>
    </row>
    <row r="5983" spans="1:7" x14ac:dyDescent="0.35">
      <c r="A5983">
        <v>2360</v>
      </c>
      <c r="B5983" s="1">
        <v>45653</v>
      </c>
      <c r="C5983" t="s">
        <v>25</v>
      </c>
      <c r="D5983" s="2">
        <v>1213.5999999999999</v>
      </c>
      <c r="E5983" s="2">
        <v>0</v>
      </c>
      <c r="F5983" t="s">
        <v>26</v>
      </c>
      <c r="G5983" t="s">
        <v>20</v>
      </c>
    </row>
    <row r="5984" spans="1:7" x14ac:dyDescent="0.35">
      <c r="A5984">
        <v>2360</v>
      </c>
      <c r="B5984" s="1">
        <v>45653</v>
      </c>
      <c r="C5984" t="s">
        <v>25</v>
      </c>
      <c r="D5984" s="2">
        <v>91.02</v>
      </c>
      <c r="E5984" s="2">
        <v>0</v>
      </c>
      <c r="F5984" t="s">
        <v>27</v>
      </c>
      <c r="G5984" t="s">
        <v>9</v>
      </c>
    </row>
    <row r="5985" spans="1:7" x14ac:dyDescent="0.35">
      <c r="A5985">
        <v>2360</v>
      </c>
      <c r="B5985" s="1">
        <v>45653</v>
      </c>
      <c r="C5985" t="s">
        <v>25</v>
      </c>
      <c r="D5985" s="2">
        <v>0</v>
      </c>
      <c r="E5985" s="2">
        <v>1304.6199999999999</v>
      </c>
      <c r="F5985" t="s">
        <v>28</v>
      </c>
      <c r="G5985" t="s">
        <v>17</v>
      </c>
    </row>
    <row r="5986" spans="1:7" x14ac:dyDescent="0.35">
      <c r="A5986">
        <v>2361</v>
      </c>
      <c r="B5986" s="1">
        <v>45653</v>
      </c>
      <c r="C5986" t="s">
        <v>25</v>
      </c>
      <c r="D5986" s="2">
        <v>1822.08</v>
      </c>
      <c r="E5986" s="2">
        <v>0</v>
      </c>
      <c r="F5986" t="s">
        <v>26</v>
      </c>
      <c r="G5986" t="s">
        <v>20</v>
      </c>
    </row>
    <row r="5987" spans="1:7" x14ac:dyDescent="0.35">
      <c r="A5987">
        <v>2361</v>
      </c>
      <c r="B5987" s="1">
        <v>45653</v>
      </c>
      <c r="C5987" t="s">
        <v>25</v>
      </c>
      <c r="D5987" s="2">
        <v>136.66</v>
      </c>
      <c r="E5987" s="2">
        <v>0</v>
      </c>
      <c r="F5987" t="s">
        <v>27</v>
      </c>
      <c r="G5987" t="s">
        <v>9</v>
      </c>
    </row>
    <row r="5988" spans="1:7" x14ac:dyDescent="0.35">
      <c r="A5988">
        <v>2361</v>
      </c>
      <c r="B5988" s="1">
        <v>45653</v>
      </c>
      <c r="C5988" t="s">
        <v>25</v>
      </c>
      <c r="D5988" s="2">
        <v>0</v>
      </c>
      <c r="E5988" s="2">
        <v>1958.74</v>
      </c>
      <c r="F5988" t="s">
        <v>28</v>
      </c>
      <c r="G5988" t="s">
        <v>17</v>
      </c>
    </row>
    <row r="5989" spans="1:7" x14ac:dyDescent="0.35">
      <c r="A5989">
        <v>2362</v>
      </c>
      <c r="B5989" s="1">
        <v>45653</v>
      </c>
      <c r="C5989" t="s">
        <v>29</v>
      </c>
      <c r="D5989" s="2">
        <v>1766.46</v>
      </c>
      <c r="E5989" s="2">
        <v>0</v>
      </c>
      <c r="F5989" t="s">
        <v>28</v>
      </c>
      <c r="G5989" t="s">
        <v>17</v>
      </c>
    </row>
    <row r="5990" spans="1:7" x14ac:dyDescent="0.35">
      <c r="A5990">
        <v>2362</v>
      </c>
      <c r="B5990" s="1">
        <v>45653</v>
      </c>
      <c r="C5990" t="s">
        <v>29</v>
      </c>
      <c r="D5990" s="2">
        <v>0</v>
      </c>
      <c r="E5990" s="2">
        <v>1766.46</v>
      </c>
      <c r="F5990" t="s">
        <v>8</v>
      </c>
      <c r="G5990" t="s">
        <v>9</v>
      </c>
    </row>
    <row r="5991" spans="1:7" x14ac:dyDescent="0.35">
      <c r="A5991">
        <v>2363</v>
      </c>
      <c r="B5991" s="1">
        <v>45656</v>
      </c>
      <c r="C5991" t="s">
        <v>12</v>
      </c>
      <c r="D5991" s="2">
        <v>6515.08</v>
      </c>
      <c r="E5991" s="2">
        <v>0</v>
      </c>
      <c r="F5991" t="s">
        <v>13</v>
      </c>
      <c r="G5991" t="s">
        <v>9</v>
      </c>
    </row>
    <row r="5992" spans="1:7" x14ac:dyDescent="0.35">
      <c r="A5992">
        <v>2363</v>
      </c>
      <c r="B5992" s="1">
        <v>45656</v>
      </c>
      <c r="C5992" t="s">
        <v>12</v>
      </c>
      <c r="D5992" s="2">
        <v>0</v>
      </c>
      <c r="E5992" s="2">
        <v>6060.55</v>
      </c>
      <c r="F5992" t="s">
        <v>14</v>
      </c>
      <c r="G5992" t="s">
        <v>15</v>
      </c>
    </row>
    <row r="5993" spans="1:7" x14ac:dyDescent="0.35">
      <c r="A5993">
        <v>2363</v>
      </c>
      <c r="B5993" s="1">
        <v>45656</v>
      </c>
      <c r="C5993" t="s">
        <v>12</v>
      </c>
      <c r="D5993" s="2">
        <v>0</v>
      </c>
      <c r="E5993" s="2">
        <v>454.53</v>
      </c>
      <c r="F5993" t="s">
        <v>16</v>
      </c>
      <c r="G5993" t="s">
        <v>17</v>
      </c>
    </row>
    <row r="5994" spans="1:7" x14ac:dyDescent="0.35">
      <c r="A5994">
        <v>2364</v>
      </c>
      <c r="B5994" s="1">
        <v>45656</v>
      </c>
      <c r="C5994" t="s">
        <v>12</v>
      </c>
      <c r="D5994" s="2">
        <v>2136.1799999999998</v>
      </c>
      <c r="E5994" s="2">
        <v>0</v>
      </c>
      <c r="F5994" t="s">
        <v>13</v>
      </c>
      <c r="G5994" t="s">
        <v>9</v>
      </c>
    </row>
    <row r="5995" spans="1:7" x14ac:dyDescent="0.35">
      <c r="A5995">
        <v>2364</v>
      </c>
      <c r="B5995" s="1">
        <v>45656</v>
      </c>
      <c r="C5995" t="s">
        <v>12</v>
      </c>
      <c r="D5995" s="2">
        <v>0</v>
      </c>
      <c r="E5995" s="2">
        <v>1987.15</v>
      </c>
      <c r="F5995" t="s">
        <v>14</v>
      </c>
      <c r="G5995" t="s">
        <v>15</v>
      </c>
    </row>
    <row r="5996" spans="1:7" x14ac:dyDescent="0.35">
      <c r="A5996">
        <v>2364</v>
      </c>
      <c r="B5996" s="1">
        <v>45656</v>
      </c>
      <c r="C5996" t="s">
        <v>12</v>
      </c>
      <c r="D5996" s="2">
        <v>0</v>
      </c>
      <c r="E5996" s="2">
        <v>149.03</v>
      </c>
      <c r="F5996" t="s">
        <v>16</v>
      </c>
      <c r="G5996" t="s">
        <v>17</v>
      </c>
    </row>
    <row r="5997" spans="1:7" x14ac:dyDescent="0.35">
      <c r="A5997">
        <v>2365</v>
      </c>
      <c r="B5997" s="1">
        <v>45656</v>
      </c>
      <c r="C5997" t="s">
        <v>12</v>
      </c>
      <c r="D5997" s="2">
        <v>295.36</v>
      </c>
      <c r="E5997" s="2">
        <v>0</v>
      </c>
      <c r="F5997" t="s">
        <v>13</v>
      </c>
      <c r="G5997" t="s">
        <v>9</v>
      </c>
    </row>
    <row r="5998" spans="1:7" x14ac:dyDescent="0.35">
      <c r="A5998">
        <v>2365</v>
      </c>
      <c r="B5998" s="1">
        <v>45656</v>
      </c>
      <c r="C5998" t="s">
        <v>12</v>
      </c>
      <c r="D5998" s="2">
        <v>0</v>
      </c>
      <c r="E5998" s="2">
        <v>274.75</v>
      </c>
      <c r="F5998" t="s">
        <v>14</v>
      </c>
      <c r="G5998" t="s">
        <v>15</v>
      </c>
    </row>
    <row r="5999" spans="1:7" x14ac:dyDescent="0.35">
      <c r="A5999">
        <v>2365</v>
      </c>
      <c r="B5999" s="1">
        <v>45656</v>
      </c>
      <c r="C5999" t="s">
        <v>12</v>
      </c>
      <c r="D5999" s="2">
        <v>0</v>
      </c>
      <c r="E5999" s="2">
        <v>20.61</v>
      </c>
      <c r="F5999" t="s">
        <v>16</v>
      </c>
      <c r="G5999" t="s">
        <v>17</v>
      </c>
    </row>
    <row r="6000" spans="1:7" x14ac:dyDescent="0.35">
      <c r="A6000">
        <v>2366</v>
      </c>
      <c r="B6000" s="1">
        <v>45656</v>
      </c>
      <c r="C6000" t="s">
        <v>12</v>
      </c>
      <c r="D6000" s="2">
        <v>3459.22</v>
      </c>
      <c r="E6000" s="2">
        <v>0</v>
      </c>
      <c r="F6000" t="s">
        <v>13</v>
      </c>
      <c r="G6000" t="s">
        <v>9</v>
      </c>
    </row>
    <row r="6001" spans="1:7" x14ac:dyDescent="0.35">
      <c r="A6001">
        <v>2366</v>
      </c>
      <c r="B6001" s="1">
        <v>45656</v>
      </c>
      <c r="C6001" t="s">
        <v>12</v>
      </c>
      <c r="D6001" s="2">
        <v>0</v>
      </c>
      <c r="E6001" s="2">
        <v>3217.88</v>
      </c>
      <c r="F6001" t="s">
        <v>14</v>
      </c>
      <c r="G6001" t="s">
        <v>15</v>
      </c>
    </row>
    <row r="6002" spans="1:7" x14ac:dyDescent="0.35">
      <c r="A6002">
        <v>2366</v>
      </c>
      <c r="B6002" s="1">
        <v>45656</v>
      </c>
      <c r="C6002" t="s">
        <v>12</v>
      </c>
      <c r="D6002" s="2">
        <v>0</v>
      </c>
      <c r="E6002" s="2">
        <v>241.34</v>
      </c>
      <c r="F6002" t="s">
        <v>16</v>
      </c>
      <c r="G6002" t="s">
        <v>17</v>
      </c>
    </row>
    <row r="6003" spans="1:7" x14ac:dyDescent="0.35">
      <c r="A6003">
        <v>2367</v>
      </c>
      <c r="B6003" s="1">
        <v>45656</v>
      </c>
      <c r="C6003" t="s">
        <v>12</v>
      </c>
      <c r="D6003" s="2">
        <v>446.08</v>
      </c>
      <c r="E6003" s="2">
        <v>0</v>
      </c>
      <c r="F6003" t="s">
        <v>13</v>
      </c>
      <c r="G6003" t="s">
        <v>9</v>
      </c>
    </row>
    <row r="6004" spans="1:7" x14ac:dyDescent="0.35">
      <c r="A6004">
        <v>2367</v>
      </c>
      <c r="B6004" s="1">
        <v>45656</v>
      </c>
      <c r="C6004" t="s">
        <v>12</v>
      </c>
      <c r="D6004" s="2">
        <v>0</v>
      </c>
      <c r="E6004" s="2">
        <v>414.96</v>
      </c>
      <c r="F6004" t="s">
        <v>14</v>
      </c>
      <c r="G6004" t="s">
        <v>15</v>
      </c>
    </row>
    <row r="6005" spans="1:7" x14ac:dyDescent="0.35">
      <c r="A6005">
        <v>2367</v>
      </c>
      <c r="B6005" s="1">
        <v>45656</v>
      </c>
      <c r="C6005" t="s">
        <v>12</v>
      </c>
      <c r="D6005" s="2">
        <v>0</v>
      </c>
      <c r="E6005" s="2">
        <v>31.12</v>
      </c>
      <c r="F6005" t="s">
        <v>16</v>
      </c>
      <c r="G6005" t="s">
        <v>17</v>
      </c>
    </row>
    <row r="6006" spans="1:7" x14ac:dyDescent="0.35">
      <c r="A6006">
        <v>2368</v>
      </c>
      <c r="B6006" s="1">
        <v>45656</v>
      </c>
      <c r="C6006" t="s">
        <v>12</v>
      </c>
      <c r="D6006" s="2">
        <v>468.8</v>
      </c>
      <c r="E6006" s="2">
        <v>0</v>
      </c>
      <c r="F6006" t="s">
        <v>13</v>
      </c>
      <c r="G6006" t="s">
        <v>9</v>
      </c>
    </row>
    <row r="6007" spans="1:7" x14ac:dyDescent="0.35">
      <c r="A6007">
        <v>2368</v>
      </c>
      <c r="B6007" s="1">
        <v>45656</v>
      </c>
      <c r="C6007" t="s">
        <v>12</v>
      </c>
      <c r="D6007" s="2">
        <v>0</v>
      </c>
      <c r="E6007" s="2">
        <v>436.09</v>
      </c>
      <c r="F6007" t="s">
        <v>14</v>
      </c>
      <c r="G6007" t="s">
        <v>15</v>
      </c>
    </row>
    <row r="6008" spans="1:7" x14ac:dyDescent="0.35">
      <c r="A6008">
        <v>2368</v>
      </c>
      <c r="B6008" s="1">
        <v>45656</v>
      </c>
      <c r="C6008" t="s">
        <v>12</v>
      </c>
      <c r="D6008" s="2">
        <v>0</v>
      </c>
      <c r="E6008" s="2">
        <v>32.71</v>
      </c>
      <c r="F6008" t="s">
        <v>16</v>
      </c>
      <c r="G6008" t="s">
        <v>17</v>
      </c>
    </row>
    <row r="6009" spans="1:7" x14ac:dyDescent="0.35">
      <c r="A6009">
        <v>2369</v>
      </c>
      <c r="B6009" s="1">
        <v>45656</v>
      </c>
      <c r="C6009" t="s">
        <v>12</v>
      </c>
      <c r="D6009" s="2">
        <v>612.86</v>
      </c>
      <c r="E6009" s="2">
        <v>0</v>
      </c>
      <c r="F6009" t="s">
        <v>13</v>
      </c>
      <c r="G6009" t="s">
        <v>9</v>
      </c>
    </row>
    <row r="6010" spans="1:7" x14ac:dyDescent="0.35">
      <c r="A6010">
        <v>2369</v>
      </c>
      <c r="B6010" s="1">
        <v>45656</v>
      </c>
      <c r="C6010" t="s">
        <v>12</v>
      </c>
      <c r="D6010" s="2">
        <v>0</v>
      </c>
      <c r="E6010" s="2">
        <v>570.1</v>
      </c>
      <c r="F6010" t="s">
        <v>14</v>
      </c>
      <c r="G6010" t="s">
        <v>15</v>
      </c>
    </row>
    <row r="6011" spans="1:7" x14ac:dyDescent="0.35">
      <c r="A6011">
        <v>2369</v>
      </c>
      <c r="B6011" s="1">
        <v>45656</v>
      </c>
      <c r="C6011" t="s">
        <v>12</v>
      </c>
      <c r="D6011" s="2">
        <v>0</v>
      </c>
      <c r="E6011" s="2">
        <v>42.76</v>
      </c>
      <c r="F6011" t="s">
        <v>16</v>
      </c>
      <c r="G6011" t="s">
        <v>17</v>
      </c>
    </row>
    <row r="6012" spans="1:7" x14ac:dyDescent="0.35">
      <c r="A6012">
        <v>2370</v>
      </c>
      <c r="B6012" s="1">
        <v>45656</v>
      </c>
      <c r="C6012" t="s">
        <v>12</v>
      </c>
      <c r="D6012" s="2">
        <v>215.54</v>
      </c>
      <c r="E6012" s="2">
        <v>0</v>
      </c>
      <c r="F6012" t="s">
        <v>13</v>
      </c>
      <c r="G6012" t="s">
        <v>9</v>
      </c>
    </row>
    <row r="6013" spans="1:7" x14ac:dyDescent="0.35">
      <c r="A6013">
        <v>2370</v>
      </c>
      <c r="B6013" s="1">
        <v>45656</v>
      </c>
      <c r="C6013" t="s">
        <v>12</v>
      </c>
      <c r="D6013" s="2">
        <v>0</v>
      </c>
      <c r="E6013" s="2">
        <v>200.5</v>
      </c>
      <c r="F6013" t="s">
        <v>14</v>
      </c>
      <c r="G6013" t="s">
        <v>15</v>
      </c>
    </row>
    <row r="6014" spans="1:7" x14ac:dyDescent="0.35">
      <c r="A6014">
        <v>2370</v>
      </c>
      <c r="B6014" s="1">
        <v>45656</v>
      </c>
      <c r="C6014" t="s">
        <v>12</v>
      </c>
      <c r="D6014" s="2">
        <v>0</v>
      </c>
      <c r="E6014" s="2">
        <v>15.04</v>
      </c>
      <c r="F6014" t="s">
        <v>16</v>
      </c>
      <c r="G6014" t="s">
        <v>17</v>
      </c>
    </row>
    <row r="6015" spans="1:7" x14ac:dyDescent="0.35">
      <c r="A6015">
        <v>2371</v>
      </c>
      <c r="B6015" s="1">
        <v>45656</v>
      </c>
      <c r="C6015" t="s">
        <v>12</v>
      </c>
      <c r="D6015" s="2">
        <v>7563.55</v>
      </c>
      <c r="E6015" s="2">
        <v>0</v>
      </c>
      <c r="F6015" t="s">
        <v>13</v>
      </c>
      <c r="G6015" t="s">
        <v>9</v>
      </c>
    </row>
    <row r="6016" spans="1:7" x14ac:dyDescent="0.35">
      <c r="A6016">
        <v>2371</v>
      </c>
      <c r="B6016" s="1">
        <v>45656</v>
      </c>
      <c r="C6016" t="s">
        <v>12</v>
      </c>
      <c r="D6016" s="2">
        <v>0</v>
      </c>
      <c r="E6016" s="2">
        <v>7035.86</v>
      </c>
      <c r="F6016" t="s">
        <v>14</v>
      </c>
      <c r="G6016" t="s">
        <v>15</v>
      </c>
    </row>
    <row r="6017" spans="1:7" x14ac:dyDescent="0.35">
      <c r="A6017">
        <v>2371</v>
      </c>
      <c r="B6017" s="1">
        <v>45656</v>
      </c>
      <c r="C6017" t="s">
        <v>12</v>
      </c>
      <c r="D6017" s="2">
        <v>0</v>
      </c>
      <c r="E6017" s="2">
        <v>527.69000000000005</v>
      </c>
      <c r="F6017" t="s">
        <v>16</v>
      </c>
      <c r="G6017" t="s">
        <v>17</v>
      </c>
    </row>
    <row r="6018" spans="1:7" x14ac:dyDescent="0.35">
      <c r="A6018">
        <v>2372</v>
      </c>
      <c r="B6018" s="1">
        <v>45656</v>
      </c>
      <c r="C6018" t="s">
        <v>12</v>
      </c>
      <c r="D6018" s="2">
        <v>1350.79</v>
      </c>
      <c r="E6018" s="2">
        <v>0</v>
      </c>
      <c r="F6018" t="s">
        <v>13</v>
      </c>
      <c r="G6018" t="s">
        <v>9</v>
      </c>
    </row>
    <row r="6019" spans="1:7" x14ac:dyDescent="0.35">
      <c r="A6019">
        <v>2372</v>
      </c>
      <c r="B6019" s="1">
        <v>45656</v>
      </c>
      <c r="C6019" t="s">
        <v>12</v>
      </c>
      <c r="D6019" s="2">
        <v>0</v>
      </c>
      <c r="E6019" s="2">
        <v>1256.55</v>
      </c>
      <c r="F6019" t="s">
        <v>14</v>
      </c>
      <c r="G6019" t="s">
        <v>15</v>
      </c>
    </row>
    <row r="6020" spans="1:7" x14ac:dyDescent="0.35">
      <c r="A6020">
        <v>2372</v>
      </c>
      <c r="B6020" s="1">
        <v>45656</v>
      </c>
      <c r="C6020" t="s">
        <v>12</v>
      </c>
      <c r="D6020" s="2">
        <v>0</v>
      </c>
      <c r="E6020" s="2">
        <v>94.24</v>
      </c>
      <c r="F6020" t="s">
        <v>16</v>
      </c>
      <c r="G6020" t="s">
        <v>17</v>
      </c>
    </row>
    <row r="6021" spans="1:7" x14ac:dyDescent="0.35">
      <c r="A6021">
        <v>2373</v>
      </c>
      <c r="B6021" s="1">
        <v>45656</v>
      </c>
      <c r="C6021" t="s">
        <v>24</v>
      </c>
      <c r="D6021" s="2">
        <v>1048.94</v>
      </c>
      <c r="E6021" s="2">
        <v>0</v>
      </c>
      <c r="F6021" t="s">
        <v>8</v>
      </c>
      <c r="G6021" t="s">
        <v>9</v>
      </c>
    </row>
    <row r="6022" spans="1:7" x14ac:dyDescent="0.35">
      <c r="A6022">
        <v>2373</v>
      </c>
      <c r="B6022" s="1">
        <v>45656</v>
      </c>
      <c r="C6022" t="s">
        <v>24</v>
      </c>
      <c r="D6022" s="2">
        <v>0</v>
      </c>
      <c r="E6022" s="2">
        <v>1048.94</v>
      </c>
      <c r="F6022" t="s">
        <v>13</v>
      </c>
      <c r="G6022" t="s">
        <v>9</v>
      </c>
    </row>
    <row r="6023" spans="1:7" x14ac:dyDescent="0.35">
      <c r="A6023">
        <v>2374</v>
      </c>
      <c r="B6023" s="1">
        <v>45656</v>
      </c>
      <c r="C6023" t="s">
        <v>24</v>
      </c>
      <c r="D6023" s="2">
        <v>422.19</v>
      </c>
      <c r="E6023" s="2">
        <v>0</v>
      </c>
      <c r="F6023" t="s">
        <v>8</v>
      </c>
      <c r="G6023" t="s">
        <v>9</v>
      </c>
    </row>
    <row r="6024" spans="1:7" x14ac:dyDescent="0.35">
      <c r="A6024">
        <v>2374</v>
      </c>
      <c r="B6024" s="1">
        <v>45656</v>
      </c>
      <c r="C6024" t="s">
        <v>24</v>
      </c>
      <c r="D6024" s="2">
        <v>0</v>
      </c>
      <c r="E6024" s="2">
        <v>422.19</v>
      </c>
      <c r="F6024" t="s">
        <v>13</v>
      </c>
      <c r="G6024" t="s">
        <v>9</v>
      </c>
    </row>
    <row r="6025" spans="1:7" x14ac:dyDescent="0.35">
      <c r="A6025">
        <v>2375</v>
      </c>
      <c r="B6025" s="1">
        <v>45656</v>
      </c>
      <c r="C6025" t="s">
        <v>24</v>
      </c>
      <c r="D6025" s="2">
        <v>1390.29</v>
      </c>
      <c r="E6025" s="2">
        <v>0</v>
      </c>
      <c r="F6025" t="s">
        <v>8</v>
      </c>
      <c r="G6025" t="s">
        <v>9</v>
      </c>
    </row>
    <row r="6026" spans="1:7" x14ac:dyDescent="0.35">
      <c r="A6026">
        <v>2375</v>
      </c>
      <c r="B6026" s="1">
        <v>45656</v>
      </c>
      <c r="C6026" t="s">
        <v>24</v>
      </c>
      <c r="D6026" s="2">
        <v>0</v>
      </c>
      <c r="E6026" s="2">
        <v>1390.29</v>
      </c>
      <c r="F6026" t="s">
        <v>13</v>
      </c>
      <c r="G6026" t="s">
        <v>9</v>
      </c>
    </row>
    <row r="6027" spans="1:7" x14ac:dyDescent="0.35">
      <c r="A6027">
        <v>2376</v>
      </c>
      <c r="B6027" s="1">
        <v>45656</v>
      </c>
      <c r="C6027" t="s">
        <v>24</v>
      </c>
      <c r="D6027" s="2">
        <v>517.96</v>
      </c>
      <c r="E6027" s="2">
        <v>0</v>
      </c>
      <c r="F6027" t="s">
        <v>8</v>
      </c>
      <c r="G6027" t="s">
        <v>9</v>
      </c>
    </row>
    <row r="6028" spans="1:7" x14ac:dyDescent="0.35">
      <c r="A6028">
        <v>2376</v>
      </c>
      <c r="B6028" s="1">
        <v>45656</v>
      </c>
      <c r="C6028" t="s">
        <v>24</v>
      </c>
      <c r="D6028" s="2">
        <v>0</v>
      </c>
      <c r="E6028" s="2">
        <v>517.96</v>
      </c>
      <c r="F6028" t="s">
        <v>13</v>
      </c>
      <c r="G6028" t="s">
        <v>9</v>
      </c>
    </row>
    <row r="6029" spans="1:7" x14ac:dyDescent="0.35">
      <c r="A6029">
        <v>2377</v>
      </c>
      <c r="B6029" s="1">
        <v>45656</v>
      </c>
      <c r="C6029" t="s">
        <v>24</v>
      </c>
      <c r="D6029" s="2">
        <v>3167.2</v>
      </c>
      <c r="E6029" s="2">
        <v>0</v>
      </c>
      <c r="F6029" t="s">
        <v>8</v>
      </c>
      <c r="G6029" t="s">
        <v>9</v>
      </c>
    </row>
    <row r="6030" spans="1:7" x14ac:dyDescent="0.35">
      <c r="A6030">
        <v>2377</v>
      </c>
      <c r="B6030" s="1">
        <v>45656</v>
      </c>
      <c r="C6030" t="s">
        <v>24</v>
      </c>
      <c r="D6030" s="2">
        <v>0</v>
      </c>
      <c r="E6030" s="2">
        <v>3167.2</v>
      </c>
      <c r="F6030" t="s">
        <v>13</v>
      </c>
      <c r="G6030" t="s">
        <v>9</v>
      </c>
    </row>
    <row r="6031" spans="1:7" x14ac:dyDescent="0.35">
      <c r="A6031">
        <v>2378</v>
      </c>
      <c r="B6031" s="1">
        <v>45656</v>
      </c>
      <c r="C6031" t="s">
        <v>24</v>
      </c>
      <c r="D6031" s="2">
        <v>3754.28</v>
      </c>
      <c r="E6031" s="2">
        <v>0</v>
      </c>
      <c r="F6031" t="s">
        <v>8</v>
      </c>
      <c r="G6031" t="s">
        <v>9</v>
      </c>
    </row>
    <row r="6032" spans="1:7" x14ac:dyDescent="0.35">
      <c r="A6032">
        <v>2378</v>
      </c>
      <c r="B6032" s="1">
        <v>45656</v>
      </c>
      <c r="C6032" t="s">
        <v>24</v>
      </c>
      <c r="D6032" s="2">
        <v>0</v>
      </c>
      <c r="E6032" s="2">
        <v>3754.28</v>
      </c>
      <c r="F6032" t="s">
        <v>13</v>
      </c>
      <c r="G6032" t="s">
        <v>9</v>
      </c>
    </row>
    <row r="6033" spans="1:7" x14ac:dyDescent="0.35">
      <c r="A6033">
        <v>2379</v>
      </c>
      <c r="B6033" s="1">
        <v>45656</v>
      </c>
      <c r="C6033" t="s">
        <v>24</v>
      </c>
      <c r="D6033" s="2">
        <v>2170.5</v>
      </c>
      <c r="E6033" s="2">
        <v>0</v>
      </c>
      <c r="F6033" t="s">
        <v>8</v>
      </c>
      <c r="G6033" t="s">
        <v>9</v>
      </c>
    </row>
    <row r="6034" spans="1:7" x14ac:dyDescent="0.35">
      <c r="A6034">
        <v>2379</v>
      </c>
      <c r="B6034" s="1">
        <v>45656</v>
      </c>
      <c r="C6034" t="s">
        <v>24</v>
      </c>
      <c r="D6034" s="2">
        <v>0</v>
      </c>
      <c r="E6034" s="2">
        <v>2170.5</v>
      </c>
      <c r="F6034" t="s">
        <v>13</v>
      </c>
      <c r="G6034" t="s">
        <v>9</v>
      </c>
    </row>
    <row r="6035" spans="1:7" x14ac:dyDescent="0.35">
      <c r="A6035">
        <v>2380</v>
      </c>
      <c r="B6035" s="1">
        <v>45656</v>
      </c>
      <c r="C6035" t="s">
        <v>25</v>
      </c>
      <c r="D6035" s="2">
        <v>2030.15</v>
      </c>
      <c r="E6035" s="2">
        <v>0</v>
      </c>
      <c r="F6035" t="s">
        <v>26</v>
      </c>
      <c r="G6035" t="s">
        <v>20</v>
      </c>
    </row>
    <row r="6036" spans="1:7" x14ac:dyDescent="0.35">
      <c r="A6036">
        <v>2380</v>
      </c>
      <c r="B6036" s="1">
        <v>45656</v>
      </c>
      <c r="C6036" t="s">
        <v>25</v>
      </c>
      <c r="D6036" s="2">
        <v>152.26</v>
      </c>
      <c r="E6036" s="2">
        <v>0</v>
      </c>
      <c r="F6036" t="s">
        <v>27</v>
      </c>
      <c r="G6036" t="s">
        <v>9</v>
      </c>
    </row>
    <row r="6037" spans="1:7" x14ac:dyDescent="0.35">
      <c r="A6037">
        <v>2380</v>
      </c>
      <c r="B6037" s="1">
        <v>45656</v>
      </c>
      <c r="C6037" t="s">
        <v>25</v>
      </c>
      <c r="D6037" s="2">
        <v>0</v>
      </c>
      <c r="E6037" s="2">
        <v>2182.41</v>
      </c>
      <c r="F6037" t="s">
        <v>28</v>
      </c>
      <c r="G6037" t="s">
        <v>17</v>
      </c>
    </row>
    <row r="6038" spans="1:7" x14ac:dyDescent="0.35">
      <c r="A6038">
        <v>2381</v>
      </c>
      <c r="B6038" s="1">
        <v>45656</v>
      </c>
      <c r="C6038" t="s">
        <v>25</v>
      </c>
      <c r="D6038" s="2">
        <v>952.02</v>
      </c>
      <c r="E6038" s="2">
        <v>0</v>
      </c>
      <c r="F6038" t="s">
        <v>26</v>
      </c>
      <c r="G6038" t="s">
        <v>20</v>
      </c>
    </row>
    <row r="6039" spans="1:7" x14ac:dyDescent="0.35">
      <c r="A6039">
        <v>2381</v>
      </c>
      <c r="B6039" s="1">
        <v>45656</v>
      </c>
      <c r="C6039" t="s">
        <v>25</v>
      </c>
      <c r="D6039" s="2">
        <v>71.400000000000006</v>
      </c>
      <c r="E6039" s="2">
        <v>0</v>
      </c>
      <c r="F6039" t="s">
        <v>27</v>
      </c>
      <c r="G6039" t="s">
        <v>9</v>
      </c>
    </row>
    <row r="6040" spans="1:7" x14ac:dyDescent="0.35">
      <c r="A6040">
        <v>2381</v>
      </c>
      <c r="B6040" s="1">
        <v>45656</v>
      </c>
      <c r="C6040" t="s">
        <v>25</v>
      </c>
      <c r="D6040" s="2">
        <v>0</v>
      </c>
      <c r="E6040" s="2">
        <v>1023.42</v>
      </c>
      <c r="F6040" t="s">
        <v>28</v>
      </c>
      <c r="G6040" t="s">
        <v>17</v>
      </c>
    </row>
    <row r="6041" spans="1:7" x14ac:dyDescent="0.35">
      <c r="A6041">
        <v>2382</v>
      </c>
      <c r="B6041" s="1">
        <v>45656</v>
      </c>
      <c r="C6041" t="s">
        <v>25</v>
      </c>
      <c r="D6041" s="2">
        <v>1078.92</v>
      </c>
      <c r="E6041" s="2">
        <v>0</v>
      </c>
      <c r="F6041" t="s">
        <v>26</v>
      </c>
      <c r="G6041" t="s">
        <v>20</v>
      </c>
    </row>
    <row r="6042" spans="1:7" x14ac:dyDescent="0.35">
      <c r="A6042">
        <v>2382</v>
      </c>
      <c r="B6042" s="1">
        <v>45656</v>
      </c>
      <c r="C6042" t="s">
        <v>25</v>
      </c>
      <c r="D6042" s="2">
        <v>80.92</v>
      </c>
      <c r="E6042" s="2">
        <v>0</v>
      </c>
      <c r="F6042" t="s">
        <v>27</v>
      </c>
      <c r="G6042" t="s">
        <v>9</v>
      </c>
    </row>
    <row r="6043" spans="1:7" x14ac:dyDescent="0.35">
      <c r="A6043">
        <v>2382</v>
      </c>
      <c r="B6043" s="1">
        <v>45656</v>
      </c>
      <c r="C6043" t="s">
        <v>25</v>
      </c>
      <c r="D6043" s="2">
        <v>0</v>
      </c>
      <c r="E6043" s="2">
        <v>1159.8399999999999</v>
      </c>
      <c r="F6043" t="s">
        <v>28</v>
      </c>
      <c r="G6043" t="s">
        <v>17</v>
      </c>
    </row>
    <row r="6044" spans="1:7" x14ac:dyDescent="0.35">
      <c r="A6044">
        <v>2383</v>
      </c>
      <c r="B6044" s="1">
        <v>45656</v>
      </c>
      <c r="C6044" t="s">
        <v>25</v>
      </c>
      <c r="D6044" s="2">
        <v>3598.88</v>
      </c>
      <c r="E6044" s="2">
        <v>0</v>
      </c>
      <c r="F6044" t="s">
        <v>26</v>
      </c>
      <c r="G6044" t="s">
        <v>20</v>
      </c>
    </row>
    <row r="6045" spans="1:7" x14ac:dyDescent="0.35">
      <c r="A6045">
        <v>2383</v>
      </c>
      <c r="B6045" s="1">
        <v>45656</v>
      </c>
      <c r="C6045" t="s">
        <v>25</v>
      </c>
      <c r="D6045" s="2">
        <v>269.92</v>
      </c>
      <c r="E6045" s="2">
        <v>0</v>
      </c>
      <c r="F6045" t="s">
        <v>27</v>
      </c>
      <c r="G6045" t="s">
        <v>9</v>
      </c>
    </row>
    <row r="6046" spans="1:7" x14ac:dyDescent="0.35">
      <c r="A6046">
        <v>2383</v>
      </c>
      <c r="B6046" s="1">
        <v>45656</v>
      </c>
      <c r="C6046" t="s">
        <v>25</v>
      </c>
      <c r="D6046" s="2">
        <v>0</v>
      </c>
      <c r="E6046" s="2">
        <v>3868.8</v>
      </c>
      <c r="F6046" t="s">
        <v>28</v>
      </c>
      <c r="G6046" t="s">
        <v>17</v>
      </c>
    </row>
    <row r="6047" spans="1:7" x14ac:dyDescent="0.35">
      <c r="A6047">
        <v>2384</v>
      </c>
      <c r="B6047" s="1">
        <v>45656</v>
      </c>
      <c r="C6047" t="s">
        <v>25</v>
      </c>
      <c r="D6047" s="2">
        <v>802.71</v>
      </c>
      <c r="E6047" s="2">
        <v>0</v>
      </c>
      <c r="F6047" t="s">
        <v>26</v>
      </c>
      <c r="G6047" t="s">
        <v>20</v>
      </c>
    </row>
    <row r="6048" spans="1:7" x14ac:dyDescent="0.35">
      <c r="A6048">
        <v>2384</v>
      </c>
      <c r="B6048" s="1">
        <v>45656</v>
      </c>
      <c r="C6048" t="s">
        <v>25</v>
      </c>
      <c r="D6048" s="2">
        <v>60.2</v>
      </c>
      <c r="E6048" s="2">
        <v>0</v>
      </c>
      <c r="F6048" t="s">
        <v>27</v>
      </c>
      <c r="G6048" t="s">
        <v>9</v>
      </c>
    </row>
    <row r="6049" spans="1:7" x14ac:dyDescent="0.35">
      <c r="A6049">
        <v>2384</v>
      </c>
      <c r="B6049" s="1">
        <v>45656</v>
      </c>
      <c r="C6049" t="s">
        <v>25</v>
      </c>
      <c r="D6049" s="2">
        <v>0</v>
      </c>
      <c r="E6049" s="2">
        <v>862.91</v>
      </c>
      <c r="F6049" t="s">
        <v>28</v>
      </c>
      <c r="G6049" t="s">
        <v>17</v>
      </c>
    </row>
    <row r="6050" spans="1:7" x14ac:dyDescent="0.35">
      <c r="A6050">
        <v>2385</v>
      </c>
      <c r="B6050" s="1">
        <v>45656</v>
      </c>
      <c r="C6050" t="s">
        <v>25</v>
      </c>
      <c r="D6050" s="2">
        <v>1480.5</v>
      </c>
      <c r="E6050" s="2">
        <v>0</v>
      </c>
      <c r="F6050" t="s">
        <v>26</v>
      </c>
      <c r="G6050" t="s">
        <v>20</v>
      </c>
    </row>
    <row r="6051" spans="1:7" x14ac:dyDescent="0.35">
      <c r="A6051">
        <v>2385</v>
      </c>
      <c r="B6051" s="1">
        <v>45656</v>
      </c>
      <c r="C6051" t="s">
        <v>25</v>
      </c>
      <c r="D6051" s="2">
        <v>111.04</v>
      </c>
      <c r="E6051" s="2">
        <v>0</v>
      </c>
      <c r="F6051" t="s">
        <v>27</v>
      </c>
      <c r="G6051" t="s">
        <v>9</v>
      </c>
    </row>
    <row r="6052" spans="1:7" x14ac:dyDescent="0.35">
      <c r="A6052">
        <v>2385</v>
      </c>
      <c r="B6052" s="1">
        <v>45656</v>
      </c>
      <c r="C6052" t="s">
        <v>25</v>
      </c>
      <c r="D6052" s="2">
        <v>0</v>
      </c>
      <c r="E6052" s="2">
        <v>1591.54</v>
      </c>
      <c r="F6052" t="s">
        <v>28</v>
      </c>
      <c r="G6052" t="s">
        <v>17</v>
      </c>
    </row>
    <row r="6053" spans="1:7" x14ac:dyDescent="0.35">
      <c r="A6053">
        <v>2386</v>
      </c>
      <c r="B6053" s="1">
        <v>45656</v>
      </c>
      <c r="C6053" t="s">
        <v>25</v>
      </c>
      <c r="D6053" s="2">
        <v>1800.04</v>
      </c>
      <c r="E6053" s="2">
        <v>0</v>
      </c>
      <c r="F6053" t="s">
        <v>26</v>
      </c>
      <c r="G6053" t="s">
        <v>20</v>
      </c>
    </row>
    <row r="6054" spans="1:7" x14ac:dyDescent="0.35">
      <c r="A6054">
        <v>2386</v>
      </c>
      <c r="B6054" s="1">
        <v>45656</v>
      </c>
      <c r="C6054" t="s">
        <v>25</v>
      </c>
      <c r="D6054" s="2">
        <v>135</v>
      </c>
      <c r="E6054" s="2">
        <v>0</v>
      </c>
      <c r="F6054" t="s">
        <v>27</v>
      </c>
      <c r="G6054" t="s">
        <v>9</v>
      </c>
    </row>
    <row r="6055" spans="1:7" x14ac:dyDescent="0.35">
      <c r="A6055">
        <v>2386</v>
      </c>
      <c r="B6055" s="1">
        <v>45656</v>
      </c>
      <c r="C6055" t="s">
        <v>25</v>
      </c>
      <c r="D6055" s="2">
        <v>0</v>
      </c>
      <c r="E6055" s="2">
        <v>1935.04</v>
      </c>
      <c r="F6055" t="s">
        <v>28</v>
      </c>
      <c r="G6055" t="s">
        <v>17</v>
      </c>
    </row>
    <row r="6056" spans="1:7" x14ac:dyDescent="0.35">
      <c r="A6056">
        <v>2387</v>
      </c>
      <c r="B6056" s="1">
        <v>45656</v>
      </c>
      <c r="C6056" t="s">
        <v>25</v>
      </c>
      <c r="D6056" s="2">
        <v>4476.71</v>
      </c>
      <c r="E6056" s="2">
        <v>0</v>
      </c>
      <c r="F6056" t="s">
        <v>26</v>
      </c>
      <c r="G6056" t="s">
        <v>20</v>
      </c>
    </row>
    <row r="6057" spans="1:7" x14ac:dyDescent="0.35">
      <c r="A6057">
        <v>2387</v>
      </c>
      <c r="B6057" s="1">
        <v>45656</v>
      </c>
      <c r="C6057" t="s">
        <v>25</v>
      </c>
      <c r="D6057" s="2">
        <v>335.75</v>
      </c>
      <c r="E6057" s="2">
        <v>0</v>
      </c>
      <c r="F6057" t="s">
        <v>27</v>
      </c>
      <c r="G6057" t="s">
        <v>9</v>
      </c>
    </row>
    <row r="6058" spans="1:7" x14ac:dyDescent="0.35">
      <c r="A6058">
        <v>2387</v>
      </c>
      <c r="B6058" s="1">
        <v>45656</v>
      </c>
      <c r="C6058" t="s">
        <v>25</v>
      </c>
      <c r="D6058" s="2">
        <v>0</v>
      </c>
      <c r="E6058" s="2">
        <v>4812.46</v>
      </c>
      <c r="F6058" t="s">
        <v>28</v>
      </c>
      <c r="G6058" t="s">
        <v>17</v>
      </c>
    </row>
    <row r="6059" spans="1:7" x14ac:dyDescent="0.35">
      <c r="A6059">
        <v>2388</v>
      </c>
      <c r="B6059" s="1">
        <v>45656</v>
      </c>
      <c r="C6059" t="s">
        <v>25</v>
      </c>
      <c r="D6059" s="2">
        <v>1643.22</v>
      </c>
      <c r="E6059" s="2">
        <v>0</v>
      </c>
      <c r="F6059" t="s">
        <v>26</v>
      </c>
      <c r="G6059" t="s">
        <v>20</v>
      </c>
    </row>
    <row r="6060" spans="1:7" x14ac:dyDescent="0.35">
      <c r="A6060">
        <v>2388</v>
      </c>
      <c r="B6060" s="1">
        <v>45656</v>
      </c>
      <c r="C6060" t="s">
        <v>25</v>
      </c>
      <c r="D6060" s="2">
        <v>123.24</v>
      </c>
      <c r="E6060" s="2">
        <v>0</v>
      </c>
      <c r="F6060" t="s">
        <v>27</v>
      </c>
      <c r="G6060" t="s">
        <v>9</v>
      </c>
    </row>
    <row r="6061" spans="1:7" x14ac:dyDescent="0.35">
      <c r="A6061">
        <v>2388</v>
      </c>
      <c r="B6061" s="1">
        <v>45656</v>
      </c>
      <c r="C6061" t="s">
        <v>25</v>
      </c>
      <c r="D6061" s="2">
        <v>0</v>
      </c>
      <c r="E6061" s="2">
        <v>1766.46</v>
      </c>
      <c r="F6061" t="s">
        <v>28</v>
      </c>
      <c r="G6061" t="s">
        <v>17</v>
      </c>
    </row>
    <row r="6062" spans="1:7" x14ac:dyDescent="0.35">
      <c r="A6062">
        <v>2389</v>
      </c>
      <c r="B6062" s="1">
        <v>45656</v>
      </c>
      <c r="C6062" t="s">
        <v>25</v>
      </c>
      <c r="D6062" s="2">
        <v>257.04000000000002</v>
      </c>
      <c r="E6062" s="2">
        <v>0</v>
      </c>
      <c r="F6062" t="s">
        <v>26</v>
      </c>
      <c r="G6062" t="s">
        <v>20</v>
      </c>
    </row>
    <row r="6063" spans="1:7" x14ac:dyDescent="0.35">
      <c r="A6063">
        <v>2389</v>
      </c>
      <c r="B6063" s="1">
        <v>45656</v>
      </c>
      <c r="C6063" t="s">
        <v>25</v>
      </c>
      <c r="D6063" s="2">
        <v>19.28</v>
      </c>
      <c r="E6063" s="2">
        <v>0</v>
      </c>
      <c r="F6063" t="s">
        <v>27</v>
      </c>
      <c r="G6063" t="s">
        <v>9</v>
      </c>
    </row>
    <row r="6064" spans="1:7" x14ac:dyDescent="0.35">
      <c r="A6064">
        <v>2389</v>
      </c>
      <c r="B6064" s="1">
        <v>45656</v>
      </c>
      <c r="C6064" t="s">
        <v>25</v>
      </c>
      <c r="D6064" s="2">
        <v>0</v>
      </c>
      <c r="E6064" s="2">
        <v>276.32</v>
      </c>
      <c r="F6064" t="s">
        <v>28</v>
      </c>
      <c r="G6064" t="s">
        <v>17</v>
      </c>
    </row>
    <row r="6065" spans="1:7" x14ac:dyDescent="0.35">
      <c r="A6065">
        <v>2390</v>
      </c>
      <c r="B6065" s="1">
        <v>45656</v>
      </c>
      <c r="C6065" t="s">
        <v>29</v>
      </c>
      <c r="D6065" s="2">
        <v>550.4</v>
      </c>
      <c r="E6065" s="2">
        <v>0</v>
      </c>
      <c r="F6065" t="s">
        <v>28</v>
      </c>
      <c r="G6065" t="s">
        <v>17</v>
      </c>
    </row>
    <row r="6066" spans="1:7" x14ac:dyDescent="0.35">
      <c r="A6066">
        <v>2390</v>
      </c>
      <c r="B6066" s="1">
        <v>45656</v>
      </c>
      <c r="C6066" t="s">
        <v>29</v>
      </c>
      <c r="D6066" s="2">
        <v>0</v>
      </c>
      <c r="E6066" s="2">
        <v>550.4</v>
      </c>
      <c r="F6066" t="s">
        <v>8</v>
      </c>
      <c r="G6066" t="s">
        <v>9</v>
      </c>
    </row>
    <row r="6067" spans="1:7" x14ac:dyDescent="0.35">
      <c r="A6067">
        <v>2391</v>
      </c>
      <c r="B6067" s="1">
        <v>45656</v>
      </c>
      <c r="C6067" t="s">
        <v>29</v>
      </c>
      <c r="D6067" s="2">
        <v>179.01</v>
      </c>
      <c r="E6067" s="2">
        <v>0</v>
      </c>
      <c r="F6067" t="s">
        <v>28</v>
      </c>
      <c r="G6067" t="s">
        <v>17</v>
      </c>
    </row>
    <row r="6068" spans="1:7" x14ac:dyDescent="0.35">
      <c r="A6068">
        <v>2391</v>
      </c>
      <c r="B6068" s="1">
        <v>45656</v>
      </c>
      <c r="C6068" t="s">
        <v>29</v>
      </c>
      <c r="D6068" s="2">
        <v>0</v>
      </c>
      <c r="E6068" s="2">
        <v>179.01</v>
      </c>
      <c r="F6068" t="s">
        <v>8</v>
      </c>
      <c r="G6068" t="s">
        <v>9</v>
      </c>
    </row>
    <row r="6069" spans="1:7" x14ac:dyDescent="0.35">
      <c r="A6069">
        <v>2392</v>
      </c>
      <c r="B6069" s="1">
        <v>45657</v>
      </c>
      <c r="C6069" t="s">
        <v>12</v>
      </c>
      <c r="D6069" s="2">
        <v>2391.36</v>
      </c>
      <c r="E6069" s="2">
        <v>0</v>
      </c>
      <c r="F6069" t="s">
        <v>13</v>
      </c>
      <c r="G6069" t="s">
        <v>9</v>
      </c>
    </row>
    <row r="6070" spans="1:7" x14ac:dyDescent="0.35">
      <c r="A6070">
        <v>2392</v>
      </c>
      <c r="B6070" s="1">
        <v>45657</v>
      </c>
      <c r="C6070" t="s">
        <v>12</v>
      </c>
      <c r="D6070" s="2">
        <v>0</v>
      </c>
      <c r="E6070" s="2">
        <v>2224.52</v>
      </c>
      <c r="F6070" t="s">
        <v>14</v>
      </c>
      <c r="G6070" t="s">
        <v>15</v>
      </c>
    </row>
    <row r="6071" spans="1:7" x14ac:dyDescent="0.35">
      <c r="A6071">
        <v>2392</v>
      </c>
      <c r="B6071" s="1">
        <v>45657</v>
      </c>
      <c r="C6071" t="s">
        <v>12</v>
      </c>
      <c r="D6071" s="2">
        <v>0</v>
      </c>
      <c r="E6071" s="2">
        <v>166.84</v>
      </c>
      <c r="F6071" t="s">
        <v>16</v>
      </c>
      <c r="G6071" t="s">
        <v>17</v>
      </c>
    </row>
    <row r="6072" spans="1:7" x14ac:dyDescent="0.35">
      <c r="A6072">
        <v>2393</v>
      </c>
      <c r="B6072" s="1">
        <v>45657</v>
      </c>
      <c r="C6072" t="s">
        <v>12</v>
      </c>
      <c r="D6072" s="2">
        <v>1962.59</v>
      </c>
      <c r="E6072" s="2">
        <v>0</v>
      </c>
      <c r="F6072" t="s">
        <v>13</v>
      </c>
      <c r="G6072" t="s">
        <v>9</v>
      </c>
    </row>
    <row r="6073" spans="1:7" x14ac:dyDescent="0.35">
      <c r="A6073">
        <v>2393</v>
      </c>
      <c r="B6073" s="1">
        <v>45657</v>
      </c>
      <c r="C6073" t="s">
        <v>12</v>
      </c>
      <c r="D6073" s="2">
        <v>0</v>
      </c>
      <c r="E6073" s="2">
        <v>1825.67</v>
      </c>
      <c r="F6073" t="s">
        <v>14</v>
      </c>
      <c r="G6073" t="s">
        <v>15</v>
      </c>
    </row>
    <row r="6074" spans="1:7" x14ac:dyDescent="0.35">
      <c r="A6074">
        <v>2393</v>
      </c>
      <c r="B6074" s="1">
        <v>45657</v>
      </c>
      <c r="C6074" t="s">
        <v>12</v>
      </c>
      <c r="D6074" s="2">
        <v>0</v>
      </c>
      <c r="E6074" s="2">
        <v>136.91999999999999</v>
      </c>
      <c r="F6074" t="s">
        <v>16</v>
      </c>
      <c r="G6074" t="s">
        <v>17</v>
      </c>
    </row>
    <row r="6075" spans="1:7" x14ac:dyDescent="0.35">
      <c r="A6075">
        <v>2394</v>
      </c>
      <c r="B6075" s="1">
        <v>45657</v>
      </c>
      <c r="C6075" t="s">
        <v>12</v>
      </c>
      <c r="D6075" s="2">
        <v>2737.13</v>
      </c>
      <c r="E6075" s="2">
        <v>0</v>
      </c>
      <c r="F6075" t="s">
        <v>13</v>
      </c>
      <c r="G6075" t="s">
        <v>9</v>
      </c>
    </row>
    <row r="6076" spans="1:7" x14ac:dyDescent="0.35">
      <c r="A6076">
        <v>2394</v>
      </c>
      <c r="B6076" s="1">
        <v>45657</v>
      </c>
      <c r="C6076" t="s">
        <v>12</v>
      </c>
      <c r="D6076" s="2">
        <v>0</v>
      </c>
      <c r="E6076" s="2">
        <v>2546.17</v>
      </c>
      <c r="F6076" t="s">
        <v>14</v>
      </c>
      <c r="G6076" t="s">
        <v>15</v>
      </c>
    </row>
    <row r="6077" spans="1:7" x14ac:dyDescent="0.35">
      <c r="A6077">
        <v>2394</v>
      </c>
      <c r="B6077" s="1">
        <v>45657</v>
      </c>
      <c r="C6077" t="s">
        <v>12</v>
      </c>
      <c r="D6077" s="2">
        <v>0</v>
      </c>
      <c r="E6077" s="2">
        <v>190.96</v>
      </c>
      <c r="F6077" t="s">
        <v>16</v>
      </c>
      <c r="G6077" t="s">
        <v>17</v>
      </c>
    </row>
    <row r="6078" spans="1:7" x14ac:dyDescent="0.35">
      <c r="A6078">
        <v>2395</v>
      </c>
      <c r="B6078" s="1">
        <v>45657</v>
      </c>
      <c r="C6078" t="s">
        <v>12</v>
      </c>
      <c r="D6078" s="2">
        <v>4483.13</v>
      </c>
      <c r="E6078" s="2">
        <v>0</v>
      </c>
      <c r="F6078" t="s">
        <v>13</v>
      </c>
      <c r="G6078" t="s">
        <v>9</v>
      </c>
    </row>
    <row r="6079" spans="1:7" x14ac:dyDescent="0.35">
      <c r="A6079">
        <v>2395</v>
      </c>
      <c r="B6079" s="1">
        <v>45657</v>
      </c>
      <c r="C6079" t="s">
        <v>12</v>
      </c>
      <c r="D6079" s="2">
        <v>0</v>
      </c>
      <c r="E6079" s="2">
        <v>4170.3500000000004</v>
      </c>
      <c r="F6079" t="s">
        <v>14</v>
      </c>
      <c r="G6079" t="s">
        <v>15</v>
      </c>
    </row>
    <row r="6080" spans="1:7" x14ac:dyDescent="0.35">
      <c r="A6080">
        <v>2395</v>
      </c>
      <c r="B6080" s="1">
        <v>45657</v>
      </c>
      <c r="C6080" t="s">
        <v>12</v>
      </c>
      <c r="D6080" s="2">
        <v>0</v>
      </c>
      <c r="E6080" s="2">
        <v>312.77999999999997</v>
      </c>
      <c r="F6080" t="s">
        <v>16</v>
      </c>
      <c r="G6080" t="s">
        <v>17</v>
      </c>
    </row>
    <row r="6081" spans="1:7" x14ac:dyDescent="0.35">
      <c r="A6081">
        <v>2396</v>
      </c>
      <c r="B6081" s="1">
        <v>45657</v>
      </c>
      <c r="C6081" t="s">
        <v>12</v>
      </c>
      <c r="D6081" s="2">
        <v>2582.7600000000002</v>
      </c>
      <c r="E6081" s="2">
        <v>0</v>
      </c>
      <c r="F6081" t="s">
        <v>13</v>
      </c>
      <c r="G6081" t="s">
        <v>9</v>
      </c>
    </row>
    <row r="6082" spans="1:7" x14ac:dyDescent="0.35">
      <c r="A6082">
        <v>2396</v>
      </c>
      <c r="B6082" s="1">
        <v>45657</v>
      </c>
      <c r="C6082" t="s">
        <v>12</v>
      </c>
      <c r="D6082" s="2">
        <v>0</v>
      </c>
      <c r="E6082" s="2">
        <v>2402.5700000000002</v>
      </c>
      <c r="F6082" t="s">
        <v>14</v>
      </c>
      <c r="G6082" t="s">
        <v>15</v>
      </c>
    </row>
    <row r="6083" spans="1:7" x14ac:dyDescent="0.35">
      <c r="A6083">
        <v>2396</v>
      </c>
      <c r="B6083" s="1">
        <v>45657</v>
      </c>
      <c r="C6083" t="s">
        <v>12</v>
      </c>
      <c r="D6083" s="2">
        <v>0</v>
      </c>
      <c r="E6083" s="2">
        <v>180.19</v>
      </c>
      <c r="F6083" t="s">
        <v>16</v>
      </c>
      <c r="G6083" t="s">
        <v>17</v>
      </c>
    </row>
    <row r="6084" spans="1:7" x14ac:dyDescent="0.35">
      <c r="A6084">
        <v>2397</v>
      </c>
      <c r="B6084" s="1">
        <v>45657</v>
      </c>
      <c r="C6084" t="s">
        <v>12</v>
      </c>
      <c r="D6084" s="2">
        <v>975.74</v>
      </c>
      <c r="E6084" s="2">
        <v>0</v>
      </c>
      <c r="F6084" t="s">
        <v>13</v>
      </c>
      <c r="G6084" t="s">
        <v>9</v>
      </c>
    </row>
    <row r="6085" spans="1:7" x14ac:dyDescent="0.35">
      <c r="A6085">
        <v>2397</v>
      </c>
      <c r="B6085" s="1">
        <v>45657</v>
      </c>
      <c r="C6085" t="s">
        <v>12</v>
      </c>
      <c r="D6085" s="2">
        <v>0</v>
      </c>
      <c r="E6085" s="2">
        <v>907.66</v>
      </c>
      <c r="F6085" t="s">
        <v>14</v>
      </c>
      <c r="G6085" t="s">
        <v>15</v>
      </c>
    </row>
    <row r="6086" spans="1:7" x14ac:dyDescent="0.35">
      <c r="A6086">
        <v>2397</v>
      </c>
      <c r="B6086" s="1">
        <v>45657</v>
      </c>
      <c r="C6086" t="s">
        <v>12</v>
      </c>
      <c r="D6086" s="2">
        <v>0</v>
      </c>
      <c r="E6086" s="2">
        <v>68.08</v>
      </c>
      <c r="F6086" t="s">
        <v>16</v>
      </c>
      <c r="G6086" t="s">
        <v>17</v>
      </c>
    </row>
    <row r="6087" spans="1:7" x14ac:dyDescent="0.35">
      <c r="A6087">
        <v>2398</v>
      </c>
      <c r="B6087" s="1">
        <v>45657</v>
      </c>
      <c r="C6087" t="s">
        <v>24</v>
      </c>
      <c r="D6087" s="2">
        <v>1759.92</v>
      </c>
      <c r="E6087" s="2">
        <v>0</v>
      </c>
      <c r="F6087" t="s">
        <v>8</v>
      </c>
      <c r="G6087" t="s">
        <v>9</v>
      </c>
    </row>
    <row r="6088" spans="1:7" x14ac:dyDescent="0.35">
      <c r="A6088">
        <v>2398</v>
      </c>
      <c r="B6088" s="1">
        <v>45657</v>
      </c>
      <c r="C6088" t="s">
        <v>24</v>
      </c>
      <c r="D6088" s="2">
        <v>0</v>
      </c>
      <c r="E6088" s="2">
        <v>1759.92</v>
      </c>
      <c r="F6088" t="s">
        <v>13</v>
      </c>
      <c r="G6088" t="s">
        <v>9</v>
      </c>
    </row>
    <row r="6089" spans="1:7" x14ac:dyDescent="0.35">
      <c r="A6089">
        <v>2399</v>
      </c>
      <c r="B6089" s="1">
        <v>45657</v>
      </c>
      <c r="C6089" t="s">
        <v>24</v>
      </c>
      <c r="D6089" s="2">
        <v>420.58</v>
      </c>
      <c r="E6089" s="2">
        <v>0</v>
      </c>
      <c r="F6089" t="s">
        <v>8</v>
      </c>
      <c r="G6089" t="s">
        <v>9</v>
      </c>
    </row>
    <row r="6090" spans="1:7" x14ac:dyDescent="0.35">
      <c r="A6090">
        <v>2399</v>
      </c>
      <c r="B6090" s="1">
        <v>45657</v>
      </c>
      <c r="C6090" t="s">
        <v>24</v>
      </c>
      <c r="D6090" s="2">
        <v>0</v>
      </c>
      <c r="E6090" s="2">
        <v>420.58</v>
      </c>
      <c r="F6090" t="s">
        <v>13</v>
      </c>
      <c r="G6090" t="s">
        <v>9</v>
      </c>
    </row>
    <row r="6091" spans="1:7" x14ac:dyDescent="0.35">
      <c r="A6091">
        <v>2400</v>
      </c>
      <c r="B6091" s="1">
        <v>45657</v>
      </c>
      <c r="C6091" t="s">
        <v>24</v>
      </c>
      <c r="D6091" s="2">
        <v>1511.13</v>
      </c>
      <c r="E6091" s="2">
        <v>0</v>
      </c>
      <c r="F6091" t="s">
        <v>8</v>
      </c>
      <c r="G6091" t="s">
        <v>9</v>
      </c>
    </row>
    <row r="6092" spans="1:7" x14ac:dyDescent="0.35">
      <c r="A6092">
        <v>2400</v>
      </c>
      <c r="B6092" s="1">
        <v>45657</v>
      </c>
      <c r="C6092" t="s">
        <v>24</v>
      </c>
      <c r="D6092" s="2">
        <v>0</v>
      </c>
      <c r="E6092" s="2">
        <v>1511.13</v>
      </c>
      <c r="F6092" t="s">
        <v>13</v>
      </c>
      <c r="G6092" t="s">
        <v>9</v>
      </c>
    </row>
    <row r="6093" spans="1:7" x14ac:dyDescent="0.35">
      <c r="A6093">
        <v>2401</v>
      </c>
      <c r="B6093" s="1">
        <v>45657</v>
      </c>
      <c r="C6093" t="s">
        <v>24</v>
      </c>
      <c r="D6093" s="2">
        <v>1152.52</v>
      </c>
      <c r="E6093" s="2">
        <v>0</v>
      </c>
      <c r="F6093" t="s">
        <v>8</v>
      </c>
      <c r="G6093" t="s">
        <v>9</v>
      </c>
    </row>
    <row r="6094" spans="1:7" x14ac:dyDescent="0.35">
      <c r="A6094">
        <v>2401</v>
      </c>
      <c r="B6094" s="1">
        <v>45657</v>
      </c>
      <c r="C6094" t="s">
        <v>24</v>
      </c>
      <c r="D6094" s="2">
        <v>0</v>
      </c>
      <c r="E6094" s="2">
        <v>1152.52</v>
      </c>
      <c r="F6094" t="s">
        <v>13</v>
      </c>
      <c r="G6094" t="s">
        <v>9</v>
      </c>
    </row>
    <row r="6095" spans="1:7" x14ac:dyDescent="0.35">
      <c r="A6095">
        <v>2402</v>
      </c>
      <c r="B6095" s="1">
        <v>45657</v>
      </c>
      <c r="C6095" t="s">
        <v>24</v>
      </c>
      <c r="D6095" s="2">
        <v>1285.44</v>
      </c>
      <c r="E6095" s="2">
        <v>0</v>
      </c>
      <c r="F6095" t="s">
        <v>8</v>
      </c>
      <c r="G6095" t="s">
        <v>9</v>
      </c>
    </row>
    <row r="6096" spans="1:7" x14ac:dyDescent="0.35">
      <c r="A6096">
        <v>2402</v>
      </c>
      <c r="B6096" s="1">
        <v>45657</v>
      </c>
      <c r="C6096" t="s">
        <v>24</v>
      </c>
      <c r="D6096" s="2">
        <v>0</v>
      </c>
      <c r="E6096" s="2">
        <v>1285.44</v>
      </c>
      <c r="F6096" t="s">
        <v>13</v>
      </c>
      <c r="G6096" t="s">
        <v>9</v>
      </c>
    </row>
    <row r="6097" spans="1:7" x14ac:dyDescent="0.35">
      <c r="A6097">
        <v>2403</v>
      </c>
      <c r="B6097" s="1">
        <v>45657</v>
      </c>
      <c r="C6097" t="s">
        <v>24</v>
      </c>
      <c r="D6097" s="2">
        <v>2695.14</v>
      </c>
      <c r="E6097" s="2">
        <v>0</v>
      </c>
      <c r="F6097" t="s">
        <v>8</v>
      </c>
      <c r="G6097" t="s">
        <v>9</v>
      </c>
    </row>
    <row r="6098" spans="1:7" x14ac:dyDescent="0.35">
      <c r="A6098">
        <v>2403</v>
      </c>
      <c r="B6098" s="1">
        <v>45657</v>
      </c>
      <c r="C6098" t="s">
        <v>24</v>
      </c>
      <c r="D6098" s="2">
        <v>0</v>
      </c>
      <c r="E6098" s="2">
        <v>2695.14</v>
      </c>
      <c r="F6098" t="s">
        <v>13</v>
      </c>
      <c r="G6098" t="s">
        <v>9</v>
      </c>
    </row>
    <row r="6099" spans="1:7" x14ac:dyDescent="0.35">
      <c r="A6099">
        <v>2404</v>
      </c>
      <c r="B6099" s="1">
        <v>45657</v>
      </c>
      <c r="C6099" t="s">
        <v>24</v>
      </c>
      <c r="D6099" s="2">
        <v>883.32</v>
      </c>
      <c r="E6099" s="2">
        <v>0</v>
      </c>
      <c r="F6099" t="s">
        <v>8</v>
      </c>
      <c r="G6099" t="s">
        <v>9</v>
      </c>
    </row>
    <row r="6100" spans="1:7" x14ac:dyDescent="0.35">
      <c r="A6100">
        <v>2404</v>
      </c>
      <c r="B6100" s="1">
        <v>45657</v>
      </c>
      <c r="C6100" t="s">
        <v>24</v>
      </c>
      <c r="D6100" s="2">
        <v>0</v>
      </c>
      <c r="E6100" s="2">
        <v>883.32</v>
      </c>
      <c r="F6100" t="s">
        <v>13</v>
      </c>
      <c r="G6100" t="s">
        <v>9</v>
      </c>
    </row>
    <row r="6101" spans="1:7" x14ac:dyDescent="0.35">
      <c r="A6101">
        <v>2405</v>
      </c>
      <c r="B6101" s="1">
        <v>45657</v>
      </c>
      <c r="C6101" t="s">
        <v>24</v>
      </c>
      <c r="D6101" s="2">
        <v>295.36</v>
      </c>
      <c r="E6101" s="2">
        <v>0</v>
      </c>
      <c r="F6101" t="s">
        <v>8</v>
      </c>
      <c r="G6101" t="s">
        <v>9</v>
      </c>
    </row>
    <row r="6102" spans="1:7" x14ac:dyDescent="0.35">
      <c r="A6102">
        <v>2405</v>
      </c>
      <c r="B6102" s="1">
        <v>45657</v>
      </c>
      <c r="C6102" t="s">
        <v>24</v>
      </c>
      <c r="D6102" s="2">
        <v>0</v>
      </c>
      <c r="E6102" s="2">
        <v>295.36</v>
      </c>
      <c r="F6102" t="s">
        <v>13</v>
      </c>
      <c r="G6102" t="s">
        <v>9</v>
      </c>
    </row>
    <row r="6103" spans="1:7" x14ac:dyDescent="0.35">
      <c r="A6103">
        <v>2406</v>
      </c>
      <c r="B6103" s="1">
        <v>45657</v>
      </c>
      <c r="C6103" t="s">
        <v>25</v>
      </c>
      <c r="D6103" s="2">
        <v>1947.24</v>
      </c>
      <c r="E6103" s="2">
        <v>0</v>
      </c>
      <c r="F6103" t="s">
        <v>26</v>
      </c>
      <c r="G6103" t="s">
        <v>20</v>
      </c>
    </row>
    <row r="6104" spans="1:7" x14ac:dyDescent="0.35">
      <c r="A6104">
        <v>2406</v>
      </c>
      <c r="B6104" s="1">
        <v>45657</v>
      </c>
      <c r="C6104" t="s">
        <v>25</v>
      </c>
      <c r="D6104" s="2">
        <v>146.04</v>
      </c>
      <c r="E6104" s="2">
        <v>0</v>
      </c>
      <c r="F6104" t="s">
        <v>27</v>
      </c>
      <c r="G6104" t="s">
        <v>9</v>
      </c>
    </row>
    <row r="6105" spans="1:7" x14ac:dyDescent="0.35">
      <c r="A6105">
        <v>2406</v>
      </c>
      <c r="B6105" s="1">
        <v>45657</v>
      </c>
      <c r="C6105" t="s">
        <v>25</v>
      </c>
      <c r="D6105" s="2">
        <v>0</v>
      </c>
      <c r="E6105" s="2">
        <v>2093.2800000000002</v>
      </c>
      <c r="F6105" t="s">
        <v>28</v>
      </c>
      <c r="G6105" t="s">
        <v>17</v>
      </c>
    </row>
    <row r="6106" spans="1:7" x14ac:dyDescent="0.35">
      <c r="A6106">
        <v>2407</v>
      </c>
      <c r="B6106" s="1">
        <v>45657</v>
      </c>
      <c r="C6106" t="s">
        <v>25</v>
      </c>
      <c r="D6106" s="2">
        <v>2451.5</v>
      </c>
      <c r="E6106" s="2">
        <v>0</v>
      </c>
      <c r="F6106" t="s">
        <v>26</v>
      </c>
      <c r="G6106" t="s">
        <v>20</v>
      </c>
    </row>
    <row r="6107" spans="1:7" x14ac:dyDescent="0.35">
      <c r="A6107">
        <v>2407</v>
      </c>
      <c r="B6107" s="1">
        <v>45657</v>
      </c>
      <c r="C6107" t="s">
        <v>25</v>
      </c>
      <c r="D6107" s="2">
        <v>183.86</v>
      </c>
      <c r="E6107" s="2">
        <v>0</v>
      </c>
      <c r="F6107" t="s">
        <v>27</v>
      </c>
      <c r="G6107" t="s">
        <v>9</v>
      </c>
    </row>
    <row r="6108" spans="1:7" x14ac:dyDescent="0.35">
      <c r="A6108">
        <v>2407</v>
      </c>
      <c r="B6108" s="1">
        <v>45657</v>
      </c>
      <c r="C6108" t="s">
        <v>25</v>
      </c>
      <c r="D6108" s="2">
        <v>0</v>
      </c>
      <c r="E6108" s="2">
        <v>2635.36</v>
      </c>
      <c r="F6108" t="s">
        <v>28</v>
      </c>
      <c r="G6108" t="s">
        <v>17</v>
      </c>
    </row>
    <row r="6109" spans="1:7" x14ac:dyDescent="0.35">
      <c r="A6109">
        <v>2408</v>
      </c>
      <c r="B6109" s="1">
        <v>45657</v>
      </c>
      <c r="C6109" t="s">
        <v>29</v>
      </c>
      <c r="D6109" s="2">
        <v>7227.44</v>
      </c>
      <c r="E6109" s="2">
        <v>0</v>
      </c>
      <c r="F6109" t="s">
        <v>28</v>
      </c>
      <c r="G6109" t="s">
        <v>17</v>
      </c>
    </row>
    <row r="6110" spans="1:7" x14ac:dyDescent="0.35">
      <c r="A6110">
        <v>2408</v>
      </c>
      <c r="B6110" s="1">
        <v>45657</v>
      </c>
      <c r="C6110" t="s">
        <v>29</v>
      </c>
      <c r="D6110" s="2">
        <v>0</v>
      </c>
      <c r="E6110" s="2">
        <v>7227.44</v>
      </c>
      <c r="F6110" t="s">
        <v>8</v>
      </c>
      <c r="G6110" t="s">
        <v>9</v>
      </c>
    </row>
    <row r="6111" spans="1:7" x14ac:dyDescent="0.35">
      <c r="A6111">
        <v>2409</v>
      </c>
      <c r="B6111" s="1">
        <v>45657</v>
      </c>
      <c r="C6111" t="s">
        <v>29</v>
      </c>
      <c r="D6111" s="2">
        <v>2918.17</v>
      </c>
      <c r="E6111" s="2">
        <v>0</v>
      </c>
      <c r="F6111" t="s">
        <v>28</v>
      </c>
      <c r="G6111" t="s">
        <v>17</v>
      </c>
    </row>
    <row r="6112" spans="1:7" x14ac:dyDescent="0.35">
      <c r="A6112">
        <v>2409</v>
      </c>
      <c r="B6112" s="1">
        <v>45657</v>
      </c>
      <c r="C6112" t="s">
        <v>29</v>
      </c>
      <c r="D6112" s="2">
        <v>0</v>
      </c>
      <c r="E6112" s="2">
        <v>2918.17</v>
      </c>
      <c r="F6112" t="s">
        <v>8</v>
      </c>
      <c r="G6112" t="s">
        <v>9</v>
      </c>
    </row>
    <row r="6113" spans="1:7" x14ac:dyDescent="0.35">
      <c r="A6113">
        <v>2410</v>
      </c>
      <c r="B6113" s="1">
        <v>45657</v>
      </c>
      <c r="C6113" t="s">
        <v>29</v>
      </c>
      <c r="D6113" s="2">
        <v>862.91</v>
      </c>
      <c r="E6113" s="2">
        <v>0</v>
      </c>
      <c r="F6113" t="s">
        <v>28</v>
      </c>
      <c r="G6113" t="s">
        <v>17</v>
      </c>
    </row>
    <row r="6114" spans="1:7" x14ac:dyDescent="0.35">
      <c r="A6114">
        <v>2410</v>
      </c>
      <c r="B6114" s="1">
        <v>45657</v>
      </c>
      <c r="C6114" t="s">
        <v>29</v>
      </c>
      <c r="D6114" s="2">
        <v>0</v>
      </c>
      <c r="E6114" s="2">
        <v>862.91</v>
      </c>
      <c r="F6114" t="s">
        <v>8</v>
      </c>
      <c r="G6114" t="s">
        <v>9</v>
      </c>
    </row>
    <row r="6115" spans="1:7" x14ac:dyDescent="0.35">
      <c r="A6115">
        <v>2411</v>
      </c>
      <c r="B6115" s="1">
        <v>45657</v>
      </c>
      <c r="C6115" t="s">
        <v>30</v>
      </c>
      <c r="D6115" s="2">
        <v>93.61</v>
      </c>
      <c r="E6115" s="2">
        <v>0</v>
      </c>
      <c r="F6115" t="s">
        <v>31</v>
      </c>
      <c r="G6115" t="s">
        <v>20</v>
      </c>
    </row>
    <row r="6116" spans="1:7" x14ac:dyDescent="0.35">
      <c r="A6116">
        <v>2411</v>
      </c>
      <c r="B6116" s="1">
        <v>45657</v>
      </c>
      <c r="C6116" t="s">
        <v>30</v>
      </c>
      <c r="D6116" s="2">
        <v>0</v>
      </c>
      <c r="E6116" s="2">
        <v>93.61</v>
      </c>
      <c r="F6116" t="s">
        <v>32</v>
      </c>
      <c r="G6116" t="s">
        <v>9</v>
      </c>
    </row>
    <row r="6117" spans="1:7" x14ac:dyDescent="0.35">
      <c r="A6117">
        <v>2412</v>
      </c>
      <c r="B6117" s="1">
        <v>45657</v>
      </c>
      <c r="C6117" t="s">
        <v>33</v>
      </c>
      <c r="D6117" s="2">
        <v>76.86</v>
      </c>
      <c r="E6117" s="2">
        <v>0</v>
      </c>
      <c r="F6117" t="s">
        <v>31</v>
      </c>
      <c r="G6117" t="s">
        <v>20</v>
      </c>
    </row>
    <row r="6118" spans="1:7" x14ac:dyDescent="0.35">
      <c r="A6118">
        <v>2412</v>
      </c>
      <c r="B6118" s="1">
        <v>45657</v>
      </c>
      <c r="C6118" t="s">
        <v>33</v>
      </c>
      <c r="D6118" s="2">
        <v>0</v>
      </c>
      <c r="E6118" s="2">
        <v>76.86</v>
      </c>
      <c r="F6118" t="s">
        <v>32</v>
      </c>
      <c r="G6118" t="s">
        <v>9</v>
      </c>
    </row>
    <row r="6119" spans="1:7" x14ac:dyDescent="0.35">
      <c r="A6119">
        <v>2413</v>
      </c>
      <c r="B6119" s="1">
        <v>45657</v>
      </c>
      <c r="C6119" t="s">
        <v>34</v>
      </c>
      <c r="D6119" s="2">
        <v>20.03</v>
      </c>
      <c r="E6119" s="2">
        <v>0</v>
      </c>
      <c r="F6119" t="s">
        <v>31</v>
      </c>
      <c r="G6119" t="s">
        <v>20</v>
      </c>
    </row>
    <row r="6120" spans="1:7" x14ac:dyDescent="0.35">
      <c r="A6120">
        <v>2413</v>
      </c>
      <c r="B6120" s="1">
        <v>45657</v>
      </c>
      <c r="C6120" t="s">
        <v>34</v>
      </c>
      <c r="D6120" s="2">
        <v>0</v>
      </c>
      <c r="E6120" s="2">
        <v>20.03</v>
      </c>
      <c r="F6120" t="s">
        <v>32</v>
      </c>
      <c r="G6120" t="s">
        <v>9</v>
      </c>
    </row>
    <row r="6121" spans="1:7" x14ac:dyDescent="0.35">
      <c r="A6121">
        <v>2414</v>
      </c>
      <c r="B6121" s="1">
        <v>45657</v>
      </c>
      <c r="C6121" t="s">
        <v>35</v>
      </c>
      <c r="D6121" s="2">
        <v>86.89</v>
      </c>
      <c r="E6121" s="2">
        <v>0</v>
      </c>
      <c r="F6121" t="s">
        <v>31</v>
      </c>
      <c r="G6121" t="s">
        <v>20</v>
      </c>
    </row>
    <row r="6122" spans="1:7" x14ac:dyDescent="0.35">
      <c r="A6122">
        <v>2414</v>
      </c>
      <c r="B6122" s="1">
        <v>45657</v>
      </c>
      <c r="C6122" t="s">
        <v>35</v>
      </c>
      <c r="D6122" s="2">
        <v>0</v>
      </c>
      <c r="E6122" s="2">
        <v>86.89</v>
      </c>
      <c r="F6122" t="s">
        <v>36</v>
      </c>
      <c r="G6122" t="s">
        <v>9</v>
      </c>
    </row>
    <row r="6123" spans="1:7" x14ac:dyDescent="0.35">
      <c r="A6123">
        <v>2415</v>
      </c>
      <c r="B6123" s="1">
        <v>45657</v>
      </c>
      <c r="C6123" t="s">
        <v>37</v>
      </c>
      <c r="D6123" s="2">
        <v>76.8</v>
      </c>
      <c r="E6123" s="2">
        <v>0</v>
      </c>
      <c r="F6123" t="s">
        <v>31</v>
      </c>
      <c r="G6123" t="s">
        <v>20</v>
      </c>
    </row>
    <row r="6124" spans="1:7" x14ac:dyDescent="0.35">
      <c r="A6124">
        <v>2415</v>
      </c>
      <c r="B6124" s="1">
        <v>45657</v>
      </c>
      <c r="C6124" t="s">
        <v>37</v>
      </c>
      <c r="D6124" s="2">
        <v>0</v>
      </c>
      <c r="E6124" s="2">
        <v>76.8</v>
      </c>
      <c r="F6124" t="s">
        <v>36</v>
      </c>
      <c r="G6124" t="s">
        <v>9</v>
      </c>
    </row>
    <row r="6125" spans="1:7" x14ac:dyDescent="0.35">
      <c r="A6125">
        <v>2416</v>
      </c>
      <c r="B6125" s="1">
        <v>45657</v>
      </c>
      <c r="C6125" t="s">
        <v>38</v>
      </c>
      <c r="D6125" s="2">
        <v>48.28</v>
      </c>
      <c r="E6125" s="2">
        <v>0</v>
      </c>
      <c r="F6125" t="s">
        <v>31</v>
      </c>
      <c r="G6125" t="s">
        <v>20</v>
      </c>
    </row>
    <row r="6126" spans="1:7" x14ac:dyDescent="0.35">
      <c r="A6126">
        <v>2416</v>
      </c>
      <c r="B6126" s="1">
        <v>45657</v>
      </c>
      <c r="C6126" t="s">
        <v>38</v>
      </c>
      <c r="D6126" s="2">
        <v>0</v>
      </c>
      <c r="E6126" s="2">
        <v>48.28</v>
      </c>
      <c r="F6126" t="s">
        <v>36</v>
      </c>
      <c r="G6126" t="s">
        <v>9</v>
      </c>
    </row>
    <row r="6127" spans="1:7" x14ac:dyDescent="0.35">
      <c r="A6127">
        <v>2417</v>
      </c>
      <c r="B6127" s="1">
        <v>45657</v>
      </c>
      <c r="C6127" t="s">
        <v>39</v>
      </c>
      <c r="D6127" s="2">
        <v>53.21</v>
      </c>
      <c r="E6127" s="2">
        <v>0</v>
      </c>
      <c r="F6127" t="s">
        <v>31</v>
      </c>
      <c r="G6127" t="s">
        <v>20</v>
      </c>
    </row>
    <row r="6128" spans="1:7" x14ac:dyDescent="0.35">
      <c r="A6128">
        <v>2417</v>
      </c>
      <c r="B6128" s="1">
        <v>45657</v>
      </c>
      <c r="C6128" t="s">
        <v>39</v>
      </c>
      <c r="D6128" s="2">
        <v>0</v>
      </c>
      <c r="E6128" s="2">
        <v>53.21</v>
      </c>
      <c r="F6128" t="s">
        <v>36</v>
      </c>
      <c r="G6128" t="s">
        <v>9</v>
      </c>
    </row>
    <row r="6129" spans="1:7" x14ac:dyDescent="0.35">
      <c r="A6129">
        <v>2418</v>
      </c>
      <c r="B6129" s="1">
        <v>45657</v>
      </c>
      <c r="C6129" t="s">
        <v>40</v>
      </c>
      <c r="D6129" s="2">
        <v>232.19</v>
      </c>
      <c r="E6129" s="2">
        <v>0</v>
      </c>
      <c r="F6129" t="s">
        <v>31</v>
      </c>
      <c r="G6129" t="s">
        <v>20</v>
      </c>
    </row>
    <row r="6130" spans="1:7" x14ac:dyDescent="0.35">
      <c r="A6130">
        <v>2418</v>
      </c>
      <c r="B6130" s="1">
        <v>45657</v>
      </c>
      <c r="C6130" t="s">
        <v>40</v>
      </c>
      <c r="D6130" s="2">
        <v>0</v>
      </c>
      <c r="E6130" s="2">
        <v>232.19</v>
      </c>
      <c r="F6130" t="s">
        <v>41</v>
      </c>
      <c r="G6130" t="s">
        <v>9</v>
      </c>
    </row>
    <row r="6131" spans="1:7" x14ac:dyDescent="0.35">
      <c r="A6131">
        <v>2419</v>
      </c>
      <c r="B6131" s="1">
        <v>45657</v>
      </c>
      <c r="C6131" t="s">
        <v>42</v>
      </c>
      <c r="D6131" s="2">
        <v>43.85</v>
      </c>
      <c r="E6131" s="2">
        <v>0</v>
      </c>
      <c r="F6131" t="s">
        <v>31</v>
      </c>
      <c r="G6131" t="s">
        <v>20</v>
      </c>
    </row>
    <row r="6132" spans="1:7" x14ac:dyDescent="0.35">
      <c r="A6132">
        <v>2419</v>
      </c>
      <c r="B6132" s="1">
        <v>45657</v>
      </c>
      <c r="C6132" t="s">
        <v>42</v>
      </c>
      <c r="D6132" s="2">
        <v>0</v>
      </c>
      <c r="E6132" s="2">
        <v>43.85</v>
      </c>
      <c r="F6132" t="s">
        <v>32</v>
      </c>
      <c r="G6132" t="s">
        <v>9</v>
      </c>
    </row>
    <row r="6133" spans="1:7" x14ac:dyDescent="0.35">
      <c r="A6133">
        <v>2420</v>
      </c>
      <c r="B6133" s="1">
        <v>45659</v>
      </c>
      <c r="C6133" t="s">
        <v>18</v>
      </c>
      <c r="D6133" s="2">
        <v>22319.67</v>
      </c>
      <c r="E6133" s="2">
        <v>0</v>
      </c>
      <c r="F6133" t="s">
        <v>19</v>
      </c>
      <c r="G6133" t="s">
        <v>20</v>
      </c>
    </row>
    <row r="6134" spans="1:7" x14ac:dyDescent="0.35">
      <c r="A6134">
        <v>2420</v>
      </c>
      <c r="B6134" s="1">
        <v>45659</v>
      </c>
      <c r="C6134" t="s">
        <v>18</v>
      </c>
      <c r="D6134" s="2">
        <v>892.79</v>
      </c>
      <c r="E6134" s="2">
        <v>0</v>
      </c>
      <c r="F6134" t="s">
        <v>21</v>
      </c>
      <c r="G6134" t="s">
        <v>20</v>
      </c>
    </row>
    <row r="6135" spans="1:7" x14ac:dyDescent="0.35">
      <c r="A6135">
        <v>2420</v>
      </c>
      <c r="B6135" s="1">
        <v>45659</v>
      </c>
      <c r="C6135" t="s">
        <v>18</v>
      </c>
      <c r="D6135" s="2">
        <v>0</v>
      </c>
      <c r="E6135" s="2">
        <v>18250.400000000001</v>
      </c>
      <c r="F6135" t="s">
        <v>8</v>
      </c>
      <c r="G6135" t="s">
        <v>9</v>
      </c>
    </row>
    <row r="6136" spans="1:7" x14ac:dyDescent="0.35">
      <c r="A6136">
        <v>2420</v>
      </c>
      <c r="B6136" s="1">
        <v>45659</v>
      </c>
      <c r="C6136" t="s">
        <v>18</v>
      </c>
      <c r="D6136" s="2">
        <v>0</v>
      </c>
      <c r="E6136" s="2">
        <v>4069.27</v>
      </c>
      <c r="F6136" t="s">
        <v>22</v>
      </c>
      <c r="G6136" t="s">
        <v>17</v>
      </c>
    </row>
    <row r="6137" spans="1:7" x14ac:dyDescent="0.35">
      <c r="A6137">
        <v>2420</v>
      </c>
      <c r="B6137" s="1">
        <v>45659</v>
      </c>
      <c r="C6137" t="s">
        <v>18</v>
      </c>
      <c r="D6137" s="2">
        <v>0</v>
      </c>
      <c r="E6137" s="2">
        <v>892.79</v>
      </c>
      <c r="F6137" t="s">
        <v>23</v>
      </c>
      <c r="G6137" t="s">
        <v>17</v>
      </c>
    </row>
    <row r="6138" spans="1:7" x14ac:dyDescent="0.35">
      <c r="A6138">
        <v>2421</v>
      </c>
      <c r="B6138" s="1">
        <v>45659</v>
      </c>
      <c r="C6138" t="s">
        <v>24</v>
      </c>
      <c r="D6138" s="2">
        <v>506.19</v>
      </c>
      <c r="E6138" s="2">
        <v>0</v>
      </c>
      <c r="F6138" t="s">
        <v>8</v>
      </c>
      <c r="G6138" t="s">
        <v>9</v>
      </c>
    </row>
    <row r="6139" spans="1:7" x14ac:dyDescent="0.35">
      <c r="A6139">
        <v>2421</v>
      </c>
      <c r="B6139" s="1">
        <v>45659</v>
      </c>
      <c r="C6139" t="s">
        <v>24</v>
      </c>
      <c r="D6139" s="2">
        <v>0</v>
      </c>
      <c r="E6139" s="2">
        <v>506.19</v>
      </c>
      <c r="F6139" t="s">
        <v>13</v>
      </c>
      <c r="G6139" t="s">
        <v>9</v>
      </c>
    </row>
    <row r="6140" spans="1:7" x14ac:dyDescent="0.35">
      <c r="A6140">
        <v>2422</v>
      </c>
      <c r="B6140" s="1">
        <v>45659</v>
      </c>
      <c r="C6140" t="s">
        <v>24</v>
      </c>
      <c r="D6140" s="2">
        <v>1439.81</v>
      </c>
      <c r="E6140" s="2">
        <v>0</v>
      </c>
      <c r="F6140" t="s">
        <v>8</v>
      </c>
      <c r="G6140" t="s">
        <v>9</v>
      </c>
    </row>
    <row r="6141" spans="1:7" x14ac:dyDescent="0.35">
      <c r="A6141">
        <v>2422</v>
      </c>
      <c r="B6141" s="1">
        <v>45659</v>
      </c>
      <c r="C6141" t="s">
        <v>24</v>
      </c>
      <c r="D6141" s="2">
        <v>0</v>
      </c>
      <c r="E6141" s="2">
        <v>1439.81</v>
      </c>
      <c r="F6141" t="s">
        <v>13</v>
      </c>
      <c r="G6141" t="s">
        <v>9</v>
      </c>
    </row>
    <row r="6142" spans="1:7" x14ac:dyDescent="0.35">
      <c r="A6142">
        <v>2423</v>
      </c>
      <c r="B6142" s="1">
        <v>45659</v>
      </c>
      <c r="C6142" t="s">
        <v>24</v>
      </c>
      <c r="D6142" s="2">
        <v>2725.64</v>
      </c>
      <c r="E6142" s="2">
        <v>0</v>
      </c>
      <c r="F6142" t="s">
        <v>8</v>
      </c>
      <c r="G6142" t="s">
        <v>9</v>
      </c>
    </row>
    <row r="6143" spans="1:7" x14ac:dyDescent="0.35">
      <c r="A6143">
        <v>2423</v>
      </c>
      <c r="B6143" s="1">
        <v>45659</v>
      </c>
      <c r="C6143" t="s">
        <v>24</v>
      </c>
      <c r="D6143" s="2">
        <v>0</v>
      </c>
      <c r="E6143" s="2">
        <v>2725.64</v>
      </c>
      <c r="F6143" t="s">
        <v>13</v>
      </c>
      <c r="G6143" t="s">
        <v>9</v>
      </c>
    </row>
    <row r="6144" spans="1:7" x14ac:dyDescent="0.35">
      <c r="A6144">
        <v>2424</v>
      </c>
      <c r="B6144" s="1">
        <v>45659</v>
      </c>
      <c r="C6144" t="s">
        <v>24</v>
      </c>
      <c r="D6144" s="2">
        <v>480.91</v>
      </c>
      <c r="E6144" s="2">
        <v>0</v>
      </c>
      <c r="F6144" t="s">
        <v>8</v>
      </c>
      <c r="G6144" t="s">
        <v>9</v>
      </c>
    </row>
    <row r="6145" spans="1:7" x14ac:dyDescent="0.35">
      <c r="A6145">
        <v>2424</v>
      </c>
      <c r="B6145" s="1">
        <v>45659</v>
      </c>
      <c r="C6145" t="s">
        <v>24</v>
      </c>
      <c r="D6145" s="2">
        <v>0</v>
      </c>
      <c r="E6145" s="2">
        <v>480.91</v>
      </c>
      <c r="F6145" t="s">
        <v>13</v>
      </c>
      <c r="G6145" t="s">
        <v>9</v>
      </c>
    </row>
    <row r="6146" spans="1:7" x14ac:dyDescent="0.35">
      <c r="A6146">
        <v>2425</v>
      </c>
      <c r="B6146" s="1">
        <v>45659</v>
      </c>
      <c r="C6146" t="s">
        <v>24</v>
      </c>
      <c r="D6146" s="2">
        <v>2273.9899999999998</v>
      </c>
      <c r="E6146" s="2">
        <v>0</v>
      </c>
      <c r="F6146" t="s">
        <v>8</v>
      </c>
      <c r="G6146" t="s">
        <v>9</v>
      </c>
    </row>
    <row r="6147" spans="1:7" x14ac:dyDescent="0.35">
      <c r="A6147">
        <v>2425</v>
      </c>
      <c r="B6147" s="1">
        <v>45659</v>
      </c>
      <c r="C6147" t="s">
        <v>24</v>
      </c>
      <c r="D6147" s="2">
        <v>0</v>
      </c>
      <c r="E6147" s="2">
        <v>2273.9899999999998</v>
      </c>
      <c r="F6147" t="s">
        <v>13</v>
      </c>
      <c r="G6147" t="s">
        <v>9</v>
      </c>
    </row>
    <row r="6148" spans="1:7" x14ac:dyDescent="0.35">
      <c r="A6148">
        <v>2426</v>
      </c>
      <c r="B6148" s="1">
        <v>45659</v>
      </c>
      <c r="C6148" t="s">
        <v>24</v>
      </c>
      <c r="D6148" s="2">
        <v>4682.8999999999996</v>
      </c>
      <c r="E6148" s="2">
        <v>0</v>
      </c>
      <c r="F6148" t="s">
        <v>8</v>
      </c>
      <c r="G6148" t="s">
        <v>9</v>
      </c>
    </row>
    <row r="6149" spans="1:7" x14ac:dyDescent="0.35">
      <c r="A6149">
        <v>2426</v>
      </c>
      <c r="B6149" s="1">
        <v>45659</v>
      </c>
      <c r="C6149" t="s">
        <v>24</v>
      </c>
      <c r="D6149" s="2">
        <v>0</v>
      </c>
      <c r="E6149" s="2">
        <v>4682.8999999999996</v>
      </c>
      <c r="F6149" t="s">
        <v>13</v>
      </c>
      <c r="G6149" t="s">
        <v>9</v>
      </c>
    </row>
    <row r="6150" spans="1:7" x14ac:dyDescent="0.35">
      <c r="A6150">
        <v>2427</v>
      </c>
      <c r="B6150" s="1">
        <v>45659</v>
      </c>
      <c r="C6150" t="s">
        <v>24</v>
      </c>
      <c r="D6150" s="2">
        <v>1097.1300000000001</v>
      </c>
      <c r="E6150" s="2">
        <v>0</v>
      </c>
      <c r="F6150" t="s">
        <v>8</v>
      </c>
      <c r="G6150" t="s">
        <v>9</v>
      </c>
    </row>
    <row r="6151" spans="1:7" x14ac:dyDescent="0.35">
      <c r="A6151">
        <v>2427</v>
      </c>
      <c r="B6151" s="1">
        <v>45659</v>
      </c>
      <c r="C6151" t="s">
        <v>24</v>
      </c>
      <c r="D6151" s="2">
        <v>0</v>
      </c>
      <c r="E6151" s="2">
        <v>1097.1300000000001</v>
      </c>
      <c r="F6151" t="s">
        <v>13</v>
      </c>
      <c r="G6151" t="s">
        <v>9</v>
      </c>
    </row>
    <row r="6152" spans="1:7" x14ac:dyDescent="0.35">
      <c r="A6152">
        <v>2428</v>
      </c>
      <c r="B6152" s="1">
        <v>45659</v>
      </c>
      <c r="C6152" t="s">
        <v>25</v>
      </c>
      <c r="D6152" s="2">
        <v>1668.94</v>
      </c>
      <c r="E6152" s="2">
        <v>0</v>
      </c>
      <c r="F6152" t="s">
        <v>26</v>
      </c>
      <c r="G6152" t="s">
        <v>20</v>
      </c>
    </row>
    <row r="6153" spans="1:7" x14ac:dyDescent="0.35">
      <c r="A6153">
        <v>2428</v>
      </c>
      <c r="B6153" s="1">
        <v>45659</v>
      </c>
      <c r="C6153" t="s">
        <v>25</v>
      </c>
      <c r="D6153" s="2">
        <v>125.17</v>
      </c>
      <c r="E6153" s="2">
        <v>0</v>
      </c>
      <c r="F6153" t="s">
        <v>27</v>
      </c>
      <c r="G6153" t="s">
        <v>9</v>
      </c>
    </row>
    <row r="6154" spans="1:7" x14ac:dyDescent="0.35">
      <c r="A6154">
        <v>2428</v>
      </c>
      <c r="B6154" s="1">
        <v>45659</v>
      </c>
      <c r="C6154" t="s">
        <v>25</v>
      </c>
      <c r="D6154" s="2">
        <v>0</v>
      </c>
      <c r="E6154" s="2">
        <v>1794.11</v>
      </c>
      <c r="F6154" t="s">
        <v>28</v>
      </c>
      <c r="G6154" t="s">
        <v>17</v>
      </c>
    </row>
    <row r="6155" spans="1:7" x14ac:dyDescent="0.35">
      <c r="A6155">
        <v>2429</v>
      </c>
      <c r="B6155" s="1">
        <v>45659</v>
      </c>
      <c r="C6155" t="s">
        <v>25</v>
      </c>
      <c r="D6155" s="2">
        <v>8685.27</v>
      </c>
      <c r="E6155" s="2">
        <v>0</v>
      </c>
      <c r="F6155" t="s">
        <v>26</v>
      </c>
      <c r="G6155" t="s">
        <v>20</v>
      </c>
    </row>
    <row r="6156" spans="1:7" x14ac:dyDescent="0.35">
      <c r="A6156">
        <v>2429</v>
      </c>
      <c r="B6156" s="1">
        <v>45659</v>
      </c>
      <c r="C6156" t="s">
        <v>25</v>
      </c>
      <c r="D6156" s="2">
        <v>651.4</v>
      </c>
      <c r="E6156" s="2">
        <v>0</v>
      </c>
      <c r="F6156" t="s">
        <v>27</v>
      </c>
      <c r="G6156" t="s">
        <v>9</v>
      </c>
    </row>
    <row r="6157" spans="1:7" x14ac:dyDescent="0.35">
      <c r="A6157">
        <v>2429</v>
      </c>
      <c r="B6157" s="1">
        <v>45659</v>
      </c>
      <c r="C6157" t="s">
        <v>25</v>
      </c>
      <c r="D6157" s="2">
        <v>0</v>
      </c>
      <c r="E6157" s="2">
        <v>9336.67</v>
      </c>
      <c r="F6157" t="s">
        <v>28</v>
      </c>
      <c r="G6157" t="s">
        <v>17</v>
      </c>
    </row>
    <row r="6158" spans="1:7" x14ac:dyDescent="0.35">
      <c r="A6158">
        <v>2430</v>
      </c>
      <c r="B6158" s="1">
        <v>45660</v>
      </c>
      <c r="C6158" t="s">
        <v>12</v>
      </c>
      <c r="D6158" s="2">
        <v>6590.31</v>
      </c>
      <c r="E6158" s="2">
        <v>0</v>
      </c>
      <c r="F6158" t="s">
        <v>13</v>
      </c>
      <c r="G6158" t="s">
        <v>9</v>
      </c>
    </row>
    <row r="6159" spans="1:7" x14ac:dyDescent="0.35">
      <c r="A6159">
        <v>2430</v>
      </c>
      <c r="B6159" s="1">
        <v>45660</v>
      </c>
      <c r="C6159" t="s">
        <v>12</v>
      </c>
      <c r="D6159" s="2">
        <v>0</v>
      </c>
      <c r="E6159" s="2">
        <v>6130.52</v>
      </c>
      <c r="F6159" t="s">
        <v>14</v>
      </c>
      <c r="G6159" t="s">
        <v>15</v>
      </c>
    </row>
    <row r="6160" spans="1:7" x14ac:dyDescent="0.35">
      <c r="A6160">
        <v>2430</v>
      </c>
      <c r="B6160" s="1">
        <v>45660</v>
      </c>
      <c r="C6160" t="s">
        <v>12</v>
      </c>
      <c r="D6160" s="2">
        <v>0</v>
      </c>
      <c r="E6160" s="2">
        <v>459.79</v>
      </c>
      <c r="F6160" t="s">
        <v>16</v>
      </c>
      <c r="G6160" t="s">
        <v>17</v>
      </c>
    </row>
    <row r="6161" spans="1:7" x14ac:dyDescent="0.35">
      <c r="A6161">
        <v>2431</v>
      </c>
      <c r="B6161" s="1">
        <v>45660</v>
      </c>
      <c r="C6161" t="s">
        <v>12</v>
      </c>
      <c r="D6161" s="2">
        <v>3901.45</v>
      </c>
      <c r="E6161" s="2">
        <v>0</v>
      </c>
      <c r="F6161" t="s">
        <v>13</v>
      </c>
      <c r="G6161" t="s">
        <v>9</v>
      </c>
    </row>
    <row r="6162" spans="1:7" x14ac:dyDescent="0.35">
      <c r="A6162">
        <v>2431</v>
      </c>
      <c r="B6162" s="1">
        <v>45660</v>
      </c>
      <c r="C6162" t="s">
        <v>12</v>
      </c>
      <c r="D6162" s="2">
        <v>0</v>
      </c>
      <c r="E6162" s="2">
        <v>3629.26</v>
      </c>
      <c r="F6162" t="s">
        <v>14</v>
      </c>
      <c r="G6162" t="s">
        <v>15</v>
      </c>
    </row>
    <row r="6163" spans="1:7" x14ac:dyDescent="0.35">
      <c r="A6163">
        <v>2431</v>
      </c>
      <c r="B6163" s="1">
        <v>45660</v>
      </c>
      <c r="C6163" t="s">
        <v>12</v>
      </c>
      <c r="D6163" s="2">
        <v>0</v>
      </c>
      <c r="E6163" s="2">
        <v>272.19</v>
      </c>
      <c r="F6163" t="s">
        <v>16</v>
      </c>
      <c r="G6163" t="s">
        <v>17</v>
      </c>
    </row>
    <row r="6164" spans="1:7" x14ac:dyDescent="0.35">
      <c r="A6164">
        <v>2432</v>
      </c>
      <c r="B6164" s="1">
        <v>45660</v>
      </c>
      <c r="C6164" t="s">
        <v>12</v>
      </c>
      <c r="D6164" s="2">
        <v>7531.45</v>
      </c>
      <c r="E6164" s="2">
        <v>0</v>
      </c>
      <c r="F6164" t="s">
        <v>13</v>
      </c>
      <c r="G6164" t="s">
        <v>9</v>
      </c>
    </row>
    <row r="6165" spans="1:7" x14ac:dyDescent="0.35">
      <c r="A6165">
        <v>2432</v>
      </c>
      <c r="B6165" s="1">
        <v>45660</v>
      </c>
      <c r="C6165" t="s">
        <v>12</v>
      </c>
      <c r="D6165" s="2">
        <v>0</v>
      </c>
      <c r="E6165" s="2">
        <v>7006</v>
      </c>
      <c r="F6165" t="s">
        <v>14</v>
      </c>
      <c r="G6165" t="s">
        <v>15</v>
      </c>
    </row>
    <row r="6166" spans="1:7" x14ac:dyDescent="0.35">
      <c r="A6166">
        <v>2432</v>
      </c>
      <c r="B6166" s="1">
        <v>45660</v>
      </c>
      <c r="C6166" t="s">
        <v>12</v>
      </c>
      <c r="D6166" s="2">
        <v>0</v>
      </c>
      <c r="E6166" s="2">
        <v>525.45000000000005</v>
      </c>
      <c r="F6166" t="s">
        <v>16</v>
      </c>
      <c r="G6166" t="s">
        <v>17</v>
      </c>
    </row>
    <row r="6167" spans="1:7" x14ac:dyDescent="0.35">
      <c r="A6167">
        <v>2433</v>
      </c>
      <c r="B6167" s="1">
        <v>45660</v>
      </c>
      <c r="C6167" t="s">
        <v>12</v>
      </c>
      <c r="D6167" s="2">
        <v>4482.1099999999997</v>
      </c>
      <c r="E6167" s="2">
        <v>0</v>
      </c>
      <c r="F6167" t="s">
        <v>13</v>
      </c>
      <c r="G6167" t="s">
        <v>9</v>
      </c>
    </row>
    <row r="6168" spans="1:7" x14ac:dyDescent="0.35">
      <c r="A6168">
        <v>2433</v>
      </c>
      <c r="B6168" s="1">
        <v>45660</v>
      </c>
      <c r="C6168" t="s">
        <v>12</v>
      </c>
      <c r="D6168" s="2">
        <v>0</v>
      </c>
      <c r="E6168" s="2">
        <v>4169.41</v>
      </c>
      <c r="F6168" t="s">
        <v>14</v>
      </c>
      <c r="G6168" t="s">
        <v>15</v>
      </c>
    </row>
    <row r="6169" spans="1:7" x14ac:dyDescent="0.35">
      <c r="A6169">
        <v>2433</v>
      </c>
      <c r="B6169" s="1">
        <v>45660</v>
      </c>
      <c r="C6169" t="s">
        <v>12</v>
      </c>
      <c r="D6169" s="2">
        <v>0</v>
      </c>
      <c r="E6169" s="2">
        <v>312.7</v>
      </c>
      <c r="F6169" t="s">
        <v>16</v>
      </c>
      <c r="G6169" t="s">
        <v>17</v>
      </c>
    </row>
    <row r="6170" spans="1:7" x14ac:dyDescent="0.35">
      <c r="A6170">
        <v>2434</v>
      </c>
      <c r="B6170" s="1">
        <v>45660</v>
      </c>
      <c r="C6170" t="s">
        <v>24</v>
      </c>
      <c r="D6170" s="2">
        <v>2058.2600000000002</v>
      </c>
      <c r="E6170" s="2">
        <v>0</v>
      </c>
      <c r="F6170" t="s">
        <v>8</v>
      </c>
      <c r="G6170" t="s">
        <v>9</v>
      </c>
    </row>
    <row r="6171" spans="1:7" x14ac:dyDescent="0.35">
      <c r="A6171">
        <v>2434</v>
      </c>
      <c r="B6171" s="1">
        <v>45660</v>
      </c>
      <c r="C6171" t="s">
        <v>24</v>
      </c>
      <c r="D6171" s="2">
        <v>0</v>
      </c>
      <c r="E6171" s="2">
        <v>2058.2600000000002</v>
      </c>
      <c r="F6171" t="s">
        <v>13</v>
      </c>
      <c r="G6171" t="s">
        <v>9</v>
      </c>
    </row>
    <row r="6172" spans="1:7" x14ac:dyDescent="0.35">
      <c r="A6172">
        <v>2435</v>
      </c>
      <c r="B6172" s="1">
        <v>45660</v>
      </c>
      <c r="C6172" t="s">
        <v>24</v>
      </c>
      <c r="D6172" s="2">
        <v>3253.17</v>
      </c>
      <c r="E6172" s="2">
        <v>0</v>
      </c>
      <c r="F6172" t="s">
        <v>8</v>
      </c>
      <c r="G6172" t="s">
        <v>9</v>
      </c>
    </row>
    <row r="6173" spans="1:7" x14ac:dyDescent="0.35">
      <c r="A6173">
        <v>2435</v>
      </c>
      <c r="B6173" s="1">
        <v>45660</v>
      </c>
      <c r="C6173" t="s">
        <v>24</v>
      </c>
      <c r="D6173" s="2">
        <v>0</v>
      </c>
      <c r="E6173" s="2">
        <v>3253.17</v>
      </c>
      <c r="F6173" t="s">
        <v>13</v>
      </c>
      <c r="G6173" t="s">
        <v>9</v>
      </c>
    </row>
    <row r="6174" spans="1:7" x14ac:dyDescent="0.35">
      <c r="A6174">
        <v>2436</v>
      </c>
      <c r="B6174" s="1">
        <v>45660</v>
      </c>
      <c r="C6174" t="s">
        <v>24</v>
      </c>
      <c r="D6174" s="2">
        <v>425.32</v>
      </c>
      <c r="E6174" s="2">
        <v>0</v>
      </c>
      <c r="F6174" t="s">
        <v>8</v>
      </c>
      <c r="G6174" t="s">
        <v>9</v>
      </c>
    </row>
    <row r="6175" spans="1:7" x14ac:dyDescent="0.35">
      <c r="A6175">
        <v>2436</v>
      </c>
      <c r="B6175" s="1">
        <v>45660</v>
      </c>
      <c r="C6175" t="s">
        <v>24</v>
      </c>
      <c r="D6175" s="2">
        <v>0</v>
      </c>
      <c r="E6175" s="2">
        <v>425.32</v>
      </c>
      <c r="F6175" t="s">
        <v>13</v>
      </c>
      <c r="G6175" t="s">
        <v>9</v>
      </c>
    </row>
    <row r="6176" spans="1:7" x14ac:dyDescent="0.35">
      <c r="A6176">
        <v>2437</v>
      </c>
      <c r="B6176" s="1">
        <v>45660</v>
      </c>
      <c r="C6176" t="s">
        <v>24</v>
      </c>
      <c r="D6176" s="2">
        <v>4629.84</v>
      </c>
      <c r="E6176" s="2">
        <v>0</v>
      </c>
      <c r="F6176" t="s">
        <v>8</v>
      </c>
      <c r="G6176" t="s">
        <v>9</v>
      </c>
    </row>
    <row r="6177" spans="1:7" x14ac:dyDescent="0.35">
      <c r="A6177">
        <v>2437</v>
      </c>
      <c r="B6177" s="1">
        <v>45660</v>
      </c>
      <c r="C6177" t="s">
        <v>24</v>
      </c>
      <c r="D6177" s="2">
        <v>0</v>
      </c>
      <c r="E6177" s="2">
        <v>4629.84</v>
      </c>
      <c r="F6177" t="s">
        <v>13</v>
      </c>
      <c r="G6177" t="s">
        <v>9</v>
      </c>
    </row>
    <row r="6178" spans="1:7" x14ac:dyDescent="0.35">
      <c r="A6178">
        <v>2438</v>
      </c>
      <c r="B6178" s="1">
        <v>45660</v>
      </c>
      <c r="C6178" t="s">
        <v>24</v>
      </c>
      <c r="D6178" s="2">
        <v>2790.56</v>
      </c>
      <c r="E6178" s="2">
        <v>0</v>
      </c>
      <c r="F6178" t="s">
        <v>8</v>
      </c>
      <c r="G6178" t="s">
        <v>9</v>
      </c>
    </row>
    <row r="6179" spans="1:7" x14ac:dyDescent="0.35">
      <c r="A6179">
        <v>2438</v>
      </c>
      <c r="B6179" s="1">
        <v>45660</v>
      </c>
      <c r="C6179" t="s">
        <v>24</v>
      </c>
      <c r="D6179" s="2">
        <v>0</v>
      </c>
      <c r="E6179" s="2">
        <v>2790.56</v>
      </c>
      <c r="F6179" t="s">
        <v>13</v>
      </c>
      <c r="G6179" t="s">
        <v>9</v>
      </c>
    </row>
    <row r="6180" spans="1:7" x14ac:dyDescent="0.35">
      <c r="A6180">
        <v>2439</v>
      </c>
      <c r="B6180" s="1">
        <v>45660</v>
      </c>
      <c r="C6180" t="s">
        <v>24</v>
      </c>
      <c r="D6180" s="2">
        <v>256.97000000000003</v>
      </c>
      <c r="E6180" s="2">
        <v>0</v>
      </c>
      <c r="F6180" t="s">
        <v>8</v>
      </c>
      <c r="G6180" t="s">
        <v>9</v>
      </c>
    </row>
    <row r="6181" spans="1:7" x14ac:dyDescent="0.35">
      <c r="A6181">
        <v>2439</v>
      </c>
      <c r="B6181" s="1">
        <v>45660</v>
      </c>
      <c r="C6181" t="s">
        <v>24</v>
      </c>
      <c r="D6181" s="2">
        <v>0</v>
      </c>
      <c r="E6181" s="2">
        <v>256.97000000000003</v>
      </c>
      <c r="F6181" t="s">
        <v>13</v>
      </c>
      <c r="G6181" t="s">
        <v>9</v>
      </c>
    </row>
    <row r="6182" spans="1:7" x14ac:dyDescent="0.35">
      <c r="A6182">
        <v>2440</v>
      </c>
      <c r="B6182" s="1">
        <v>45660</v>
      </c>
      <c r="C6182" t="s">
        <v>24</v>
      </c>
      <c r="D6182" s="2">
        <v>2485.79</v>
      </c>
      <c r="E6182" s="2">
        <v>0</v>
      </c>
      <c r="F6182" t="s">
        <v>8</v>
      </c>
      <c r="G6182" t="s">
        <v>9</v>
      </c>
    </row>
    <row r="6183" spans="1:7" x14ac:dyDescent="0.35">
      <c r="A6183">
        <v>2440</v>
      </c>
      <c r="B6183" s="1">
        <v>45660</v>
      </c>
      <c r="C6183" t="s">
        <v>24</v>
      </c>
      <c r="D6183" s="2">
        <v>0</v>
      </c>
      <c r="E6183" s="2">
        <v>2485.79</v>
      </c>
      <c r="F6183" t="s">
        <v>13</v>
      </c>
      <c r="G6183" t="s">
        <v>9</v>
      </c>
    </row>
    <row r="6184" spans="1:7" x14ac:dyDescent="0.35">
      <c r="A6184">
        <v>2441</v>
      </c>
      <c r="B6184" s="1">
        <v>45660</v>
      </c>
      <c r="C6184" t="s">
        <v>24</v>
      </c>
      <c r="D6184" s="2">
        <v>4647.29</v>
      </c>
      <c r="E6184" s="2">
        <v>0</v>
      </c>
      <c r="F6184" t="s">
        <v>8</v>
      </c>
      <c r="G6184" t="s">
        <v>9</v>
      </c>
    </row>
    <row r="6185" spans="1:7" x14ac:dyDescent="0.35">
      <c r="A6185">
        <v>2441</v>
      </c>
      <c r="B6185" s="1">
        <v>45660</v>
      </c>
      <c r="C6185" t="s">
        <v>24</v>
      </c>
      <c r="D6185" s="2">
        <v>0</v>
      </c>
      <c r="E6185" s="2">
        <v>4647.29</v>
      </c>
      <c r="F6185" t="s">
        <v>13</v>
      </c>
      <c r="G6185" t="s">
        <v>9</v>
      </c>
    </row>
    <row r="6186" spans="1:7" x14ac:dyDescent="0.35">
      <c r="A6186">
        <v>2442</v>
      </c>
      <c r="B6186" s="1">
        <v>45660</v>
      </c>
      <c r="C6186" t="s">
        <v>24</v>
      </c>
      <c r="D6186" s="2">
        <v>2391.36</v>
      </c>
      <c r="E6186" s="2">
        <v>0</v>
      </c>
      <c r="F6186" t="s">
        <v>8</v>
      </c>
      <c r="G6186" t="s">
        <v>9</v>
      </c>
    </row>
    <row r="6187" spans="1:7" x14ac:dyDescent="0.35">
      <c r="A6187">
        <v>2442</v>
      </c>
      <c r="B6187" s="1">
        <v>45660</v>
      </c>
      <c r="C6187" t="s">
        <v>24</v>
      </c>
      <c r="D6187" s="2">
        <v>0</v>
      </c>
      <c r="E6187" s="2">
        <v>2391.36</v>
      </c>
      <c r="F6187" t="s">
        <v>13</v>
      </c>
      <c r="G6187" t="s">
        <v>9</v>
      </c>
    </row>
    <row r="6188" spans="1:7" x14ac:dyDescent="0.35">
      <c r="A6188">
        <v>2443</v>
      </c>
      <c r="B6188" s="1">
        <v>45660</v>
      </c>
      <c r="C6188" t="s">
        <v>25</v>
      </c>
      <c r="D6188" s="2">
        <v>3598.88</v>
      </c>
      <c r="E6188" s="2">
        <v>0</v>
      </c>
      <c r="F6188" t="s">
        <v>26</v>
      </c>
      <c r="G6188" t="s">
        <v>20</v>
      </c>
    </row>
    <row r="6189" spans="1:7" x14ac:dyDescent="0.35">
      <c r="A6189">
        <v>2443</v>
      </c>
      <c r="B6189" s="1">
        <v>45660</v>
      </c>
      <c r="C6189" t="s">
        <v>25</v>
      </c>
      <c r="D6189" s="2">
        <v>269.92</v>
      </c>
      <c r="E6189" s="2">
        <v>0</v>
      </c>
      <c r="F6189" t="s">
        <v>27</v>
      </c>
      <c r="G6189" t="s">
        <v>9</v>
      </c>
    </row>
    <row r="6190" spans="1:7" x14ac:dyDescent="0.35">
      <c r="A6190">
        <v>2443</v>
      </c>
      <c r="B6190" s="1">
        <v>45660</v>
      </c>
      <c r="C6190" t="s">
        <v>25</v>
      </c>
      <c r="D6190" s="2">
        <v>0</v>
      </c>
      <c r="E6190" s="2">
        <v>3868.8</v>
      </c>
      <c r="F6190" t="s">
        <v>28</v>
      </c>
      <c r="G6190" t="s">
        <v>17</v>
      </c>
    </row>
    <row r="6191" spans="1:7" x14ac:dyDescent="0.35">
      <c r="A6191">
        <v>2444</v>
      </c>
      <c r="B6191" s="1">
        <v>45660</v>
      </c>
      <c r="C6191" t="s">
        <v>25</v>
      </c>
      <c r="D6191" s="2">
        <v>1480.5</v>
      </c>
      <c r="E6191" s="2">
        <v>0</v>
      </c>
      <c r="F6191" t="s">
        <v>26</v>
      </c>
      <c r="G6191" t="s">
        <v>20</v>
      </c>
    </row>
    <row r="6192" spans="1:7" x14ac:dyDescent="0.35">
      <c r="A6192">
        <v>2444</v>
      </c>
      <c r="B6192" s="1">
        <v>45660</v>
      </c>
      <c r="C6192" t="s">
        <v>25</v>
      </c>
      <c r="D6192" s="2">
        <v>111.04</v>
      </c>
      <c r="E6192" s="2">
        <v>0</v>
      </c>
      <c r="F6192" t="s">
        <v>27</v>
      </c>
      <c r="G6192" t="s">
        <v>9</v>
      </c>
    </row>
    <row r="6193" spans="1:7" x14ac:dyDescent="0.35">
      <c r="A6193">
        <v>2444</v>
      </c>
      <c r="B6193" s="1">
        <v>45660</v>
      </c>
      <c r="C6193" t="s">
        <v>25</v>
      </c>
      <c r="D6193" s="2">
        <v>0</v>
      </c>
      <c r="E6193" s="2">
        <v>1591.54</v>
      </c>
      <c r="F6193" t="s">
        <v>28</v>
      </c>
      <c r="G6193" t="s">
        <v>17</v>
      </c>
    </row>
    <row r="6194" spans="1:7" x14ac:dyDescent="0.35">
      <c r="A6194">
        <v>2445</v>
      </c>
      <c r="B6194" s="1">
        <v>45663</v>
      </c>
      <c r="C6194" t="s">
        <v>12</v>
      </c>
      <c r="D6194" s="2">
        <v>749.31</v>
      </c>
      <c r="E6194" s="2">
        <v>0</v>
      </c>
      <c r="F6194" t="s">
        <v>13</v>
      </c>
      <c r="G6194" t="s">
        <v>9</v>
      </c>
    </row>
    <row r="6195" spans="1:7" x14ac:dyDescent="0.35">
      <c r="A6195">
        <v>2445</v>
      </c>
      <c r="B6195" s="1">
        <v>45663</v>
      </c>
      <c r="C6195" t="s">
        <v>12</v>
      </c>
      <c r="D6195" s="2">
        <v>0</v>
      </c>
      <c r="E6195" s="2">
        <v>697.03</v>
      </c>
      <c r="F6195" t="s">
        <v>14</v>
      </c>
      <c r="G6195" t="s">
        <v>15</v>
      </c>
    </row>
    <row r="6196" spans="1:7" x14ac:dyDescent="0.35">
      <c r="A6196">
        <v>2445</v>
      </c>
      <c r="B6196" s="1">
        <v>45663</v>
      </c>
      <c r="C6196" t="s">
        <v>12</v>
      </c>
      <c r="D6196" s="2">
        <v>0</v>
      </c>
      <c r="E6196" s="2">
        <v>52.28</v>
      </c>
      <c r="F6196" t="s">
        <v>16</v>
      </c>
      <c r="G6196" t="s">
        <v>17</v>
      </c>
    </row>
    <row r="6197" spans="1:7" x14ac:dyDescent="0.35">
      <c r="A6197">
        <v>2446</v>
      </c>
      <c r="B6197" s="1">
        <v>45663</v>
      </c>
      <c r="C6197" t="s">
        <v>12</v>
      </c>
      <c r="D6197" s="2">
        <v>2804.39</v>
      </c>
      <c r="E6197" s="2">
        <v>0</v>
      </c>
      <c r="F6197" t="s">
        <v>13</v>
      </c>
      <c r="G6197" t="s">
        <v>9</v>
      </c>
    </row>
    <row r="6198" spans="1:7" x14ac:dyDescent="0.35">
      <c r="A6198">
        <v>2446</v>
      </c>
      <c r="B6198" s="1">
        <v>45663</v>
      </c>
      <c r="C6198" t="s">
        <v>12</v>
      </c>
      <c r="D6198" s="2">
        <v>0</v>
      </c>
      <c r="E6198" s="2">
        <v>2608.73</v>
      </c>
      <c r="F6198" t="s">
        <v>14</v>
      </c>
      <c r="G6198" t="s">
        <v>15</v>
      </c>
    </row>
    <row r="6199" spans="1:7" x14ac:dyDescent="0.35">
      <c r="A6199">
        <v>2446</v>
      </c>
      <c r="B6199" s="1">
        <v>45663</v>
      </c>
      <c r="C6199" t="s">
        <v>12</v>
      </c>
      <c r="D6199" s="2">
        <v>0</v>
      </c>
      <c r="E6199" s="2">
        <v>195.66</v>
      </c>
      <c r="F6199" t="s">
        <v>16</v>
      </c>
      <c r="G6199" t="s">
        <v>17</v>
      </c>
    </row>
    <row r="6200" spans="1:7" x14ac:dyDescent="0.35">
      <c r="A6200">
        <v>2447</v>
      </c>
      <c r="B6200" s="1">
        <v>45663</v>
      </c>
      <c r="C6200" t="s">
        <v>12</v>
      </c>
      <c r="D6200" s="2">
        <v>2980.64</v>
      </c>
      <c r="E6200" s="2">
        <v>0</v>
      </c>
      <c r="F6200" t="s">
        <v>13</v>
      </c>
      <c r="G6200" t="s">
        <v>9</v>
      </c>
    </row>
    <row r="6201" spans="1:7" x14ac:dyDescent="0.35">
      <c r="A6201">
        <v>2447</v>
      </c>
      <c r="B6201" s="1">
        <v>45663</v>
      </c>
      <c r="C6201" t="s">
        <v>12</v>
      </c>
      <c r="D6201" s="2">
        <v>0</v>
      </c>
      <c r="E6201" s="2">
        <v>2772.69</v>
      </c>
      <c r="F6201" t="s">
        <v>14</v>
      </c>
      <c r="G6201" t="s">
        <v>15</v>
      </c>
    </row>
    <row r="6202" spans="1:7" x14ac:dyDescent="0.35">
      <c r="A6202">
        <v>2447</v>
      </c>
      <c r="B6202" s="1">
        <v>45663</v>
      </c>
      <c r="C6202" t="s">
        <v>12</v>
      </c>
      <c r="D6202" s="2">
        <v>0</v>
      </c>
      <c r="E6202" s="2">
        <v>207.95</v>
      </c>
      <c r="F6202" t="s">
        <v>16</v>
      </c>
      <c r="G6202" t="s">
        <v>17</v>
      </c>
    </row>
    <row r="6203" spans="1:7" x14ac:dyDescent="0.35">
      <c r="A6203">
        <v>2448</v>
      </c>
      <c r="B6203" s="1">
        <v>45663</v>
      </c>
      <c r="C6203" t="s">
        <v>24</v>
      </c>
      <c r="D6203" s="2">
        <v>1629.28</v>
      </c>
      <c r="E6203" s="2">
        <v>0</v>
      </c>
      <c r="F6203" t="s">
        <v>8</v>
      </c>
      <c r="G6203" t="s">
        <v>9</v>
      </c>
    </row>
    <row r="6204" spans="1:7" x14ac:dyDescent="0.35">
      <c r="A6204">
        <v>2448</v>
      </c>
      <c r="B6204" s="1">
        <v>45663</v>
      </c>
      <c r="C6204" t="s">
        <v>24</v>
      </c>
      <c r="D6204" s="2">
        <v>0</v>
      </c>
      <c r="E6204" s="2">
        <v>1629.28</v>
      </c>
      <c r="F6204" t="s">
        <v>13</v>
      </c>
      <c r="G6204" t="s">
        <v>9</v>
      </c>
    </row>
    <row r="6205" spans="1:7" x14ac:dyDescent="0.35">
      <c r="A6205">
        <v>2449</v>
      </c>
      <c r="B6205" s="1">
        <v>45663</v>
      </c>
      <c r="C6205" t="s">
        <v>24</v>
      </c>
      <c r="D6205" s="2">
        <v>3516.99</v>
      </c>
      <c r="E6205" s="2">
        <v>0</v>
      </c>
      <c r="F6205" t="s">
        <v>8</v>
      </c>
      <c r="G6205" t="s">
        <v>9</v>
      </c>
    </row>
    <row r="6206" spans="1:7" x14ac:dyDescent="0.35">
      <c r="A6206">
        <v>2449</v>
      </c>
      <c r="B6206" s="1">
        <v>45663</v>
      </c>
      <c r="C6206" t="s">
        <v>24</v>
      </c>
      <c r="D6206" s="2">
        <v>0</v>
      </c>
      <c r="E6206" s="2">
        <v>3516.99</v>
      </c>
      <c r="F6206" t="s">
        <v>13</v>
      </c>
      <c r="G6206" t="s">
        <v>9</v>
      </c>
    </row>
    <row r="6207" spans="1:7" x14ac:dyDescent="0.35">
      <c r="A6207">
        <v>2450</v>
      </c>
      <c r="B6207" s="1">
        <v>45663</v>
      </c>
      <c r="C6207" t="s">
        <v>24</v>
      </c>
      <c r="D6207" s="2">
        <v>2791.97</v>
      </c>
      <c r="E6207" s="2">
        <v>0</v>
      </c>
      <c r="F6207" t="s">
        <v>8</v>
      </c>
      <c r="G6207" t="s">
        <v>9</v>
      </c>
    </row>
    <row r="6208" spans="1:7" x14ac:dyDescent="0.35">
      <c r="A6208">
        <v>2450</v>
      </c>
      <c r="B6208" s="1">
        <v>45663</v>
      </c>
      <c r="C6208" t="s">
        <v>24</v>
      </c>
      <c r="D6208" s="2">
        <v>0</v>
      </c>
      <c r="E6208" s="2">
        <v>2791.97</v>
      </c>
      <c r="F6208" t="s">
        <v>13</v>
      </c>
      <c r="G6208" t="s">
        <v>9</v>
      </c>
    </row>
    <row r="6209" spans="1:7" x14ac:dyDescent="0.35">
      <c r="A6209">
        <v>2451</v>
      </c>
      <c r="B6209" s="1">
        <v>45663</v>
      </c>
      <c r="C6209" t="s">
        <v>24</v>
      </c>
      <c r="D6209" s="2">
        <v>457.23</v>
      </c>
      <c r="E6209" s="2">
        <v>0</v>
      </c>
      <c r="F6209" t="s">
        <v>8</v>
      </c>
      <c r="G6209" t="s">
        <v>9</v>
      </c>
    </row>
    <row r="6210" spans="1:7" x14ac:dyDescent="0.35">
      <c r="A6210">
        <v>2451</v>
      </c>
      <c r="B6210" s="1">
        <v>45663</v>
      </c>
      <c r="C6210" t="s">
        <v>24</v>
      </c>
      <c r="D6210" s="2">
        <v>0</v>
      </c>
      <c r="E6210" s="2">
        <v>457.23</v>
      </c>
      <c r="F6210" t="s">
        <v>13</v>
      </c>
      <c r="G6210" t="s">
        <v>9</v>
      </c>
    </row>
    <row r="6211" spans="1:7" x14ac:dyDescent="0.35">
      <c r="A6211">
        <v>2452</v>
      </c>
      <c r="B6211" s="1">
        <v>45663</v>
      </c>
      <c r="C6211" t="s">
        <v>24</v>
      </c>
      <c r="D6211" s="2">
        <v>5412.28</v>
      </c>
      <c r="E6211" s="2">
        <v>0</v>
      </c>
      <c r="F6211" t="s">
        <v>8</v>
      </c>
      <c r="G6211" t="s">
        <v>9</v>
      </c>
    </row>
    <row r="6212" spans="1:7" x14ac:dyDescent="0.35">
      <c r="A6212">
        <v>2452</v>
      </c>
      <c r="B6212" s="1">
        <v>45663</v>
      </c>
      <c r="C6212" t="s">
        <v>24</v>
      </c>
      <c r="D6212" s="2">
        <v>0</v>
      </c>
      <c r="E6212" s="2">
        <v>5412.28</v>
      </c>
      <c r="F6212" t="s">
        <v>13</v>
      </c>
      <c r="G6212" t="s">
        <v>9</v>
      </c>
    </row>
    <row r="6213" spans="1:7" x14ac:dyDescent="0.35">
      <c r="A6213">
        <v>2453</v>
      </c>
      <c r="B6213" s="1">
        <v>45663</v>
      </c>
      <c r="C6213" t="s">
        <v>24</v>
      </c>
      <c r="D6213" s="2">
        <v>2752.04</v>
      </c>
      <c r="E6213" s="2">
        <v>0</v>
      </c>
      <c r="F6213" t="s">
        <v>8</v>
      </c>
      <c r="G6213" t="s">
        <v>9</v>
      </c>
    </row>
    <row r="6214" spans="1:7" x14ac:dyDescent="0.35">
      <c r="A6214">
        <v>2453</v>
      </c>
      <c r="B6214" s="1">
        <v>45663</v>
      </c>
      <c r="C6214" t="s">
        <v>24</v>
      </c>
      <c r="D6214" s="2">
        <v>0</v>
      </c>
      <c r="E6214" s="2">
        <v>2752.04</v>
      </c>
      <c r="F6214" t="s">
        <v>13</v>
      </c>
      <c r="G6214" t="s">
        <v>9</v>
      </c>
    </row>
    <row r="6215" spans="1:7" x14ac:dyDescent="0.35">
      <c r="A6215">
        <v>2454</v>
      </c>
      <c r="B6215" s="1">
        <v>45663</v>
      </c>
      <c r="C6215" t="s">
        <v>24</v>
      </c>
      <c r="D6215" s="2">
        <v>1171.97</v>
      </c>
      <c r="E6215" s="2">
        <v>0</v>
      </c>
      <c r="F6215" t="s">
        <v>8</v>
      </c>
      <c r="G6215" t="s">
        <v>9</v>
      </c>
    </row>
    <row r="6216" spans="1:7" x14ac:dyDescent="0.35">
      <c r="A6216">
        <v>2454</v>
      </c>
      <c r="B6216" s="1">
        <v>45663</v>
      </c>
      <c r="C6216" t="s">
        <v>24</v>
      </c>
      <c r="D6216" s="2">
        <v>0</v>
      </c>
      <c r="E6216" s="2">
        <v>1171.97</v>
      </c>
      <c r="F6216" t="s">
        <v>13</v>
      </c>
      <c r="G6216" t="s">
        <v>9</v>
      </c>
    </row>
    <row r="6217" spans="1:7" x14ac:dyDescent="0.35">
      <c r="A6217">
        <v>2455</v>
      </c>
      <c r="B6217" s="1">
        <v>45663</v>
      </c>
      <c r="C6217" t="s">
        <v>24</v>
      </c>
      <c r="D6217" s="2">
        <v>1861.15</v>
      </c>
      <c r="E6217" s="2">
        <v>0</v>
      </c>
      <c r="F6217" t="s">
        <v>8</v>
      </c>
      <c r="G6217" t="s">
        <v>9</v>
      </c>
    </row>
    <row r="6218" spans="1:7" x14ac:dyDescent="0.35">
      <c r="A6218">
        <v>2455</v>
      </c>
      <c r="B6218" s="1">
        <v>45663</v>
      </c>
      <c r="C6218" t="s">
        <v>24</v>
      </c>
      <c r="D6218" s="2">
        <v>0</v>
      </c>
      <c r="E6218" s="2">
        <v>1861.15</v>
      </c>
      <c r="F6218" t="s">
        <v>13</v>
      </c>
      <c r="G6218" t="s">
        <v>9</v>
      </c>
    </row>
    <row r="6219" spans="1:7" x14ac:dyDescent="0.35">
      <c r="A6219">
        <v>2456</v>
      </c>
      <c r="B6219" s="1">
        <v>45663</v>
      </c>
      <c r="C6219" t="s">
        <v>24</v>
      </c>
      <c r="D6219" s="2">
        <v>3705.14</v>
      </c>
      <c r="E6219" s="2">
        <v>0</v>
      </c>
      <c r="F6219" t="s">
        <v>8</v>
      </c>
      <c r="G6219" t="s">
        <v>9</v>
      </c>
    </row>
    <row r="6220" spans="1:7" x14ac:dyDescent="0.35">
      <c r="A6220">
        <v>2456</v>
      </c>
      <c r="B6220" s="1">
        <v>45663</v>
      </c>
      <c r="C6220" t="s">
        <v>24</v>
      </c>
      <c r="D6220" s="2">
        <v>0</v>
      </c>
      <c r="E6220" s="2">
        <v>3705.14</v>
      </c>
      <c r="F6220" t="s">
        <v>13</v>
      </c>
      <c r="G6220" t="s">
        <v>9</v>
      </c>
    </row>
    <row r="6221" spans="1:7" x14ac:dyDescent="0.35">
      <c r="A6221">
        <v>2457</v>
      </c>
      <c r="B6221" s="1">
        <v>45663</v>
      </c>
      <c r="C6221" t="s">
        <v>25</v>
      </c>
      <c r="D6221" s="2">
        <v>2329.52</v>
      </c>
      <c r="E6221" s="2">
        <v>0</v>
      </c>
      <c r="F6221" t="s">
        <v>26</v>
      </c>
      <c r="G6221" t="s">
        <v>20</v>
      </c>
    </row>
    <row r="6222" spans="1:7" x14ac:dyDescent="0.35">
      <c r="A6222">
        <v>2457</v>
      </c>
      <c r="B6222" s="1">
        <v>45663</v>
      </c>
      <c r="C6222" t="s">
        <v>25</v>
      </c>
      <c r="D6222" s="2">
        <v>174.71</v>
      </c>
      <c r="E6222" s="2">
        <v>0</v>
      </c>
      <c r="F6222" t="s">
        <v>27</v>
      </c>
      <c r="G6222" t="s">
        <v>9</v>
      </c>
    </row>
    <row r="6223" spans="1:7" x14ac:dyDescent="0.35">
      <c r="A6223">
        <v>2457</v>
      </c>
      <c r="B6223" s="1">
        <v>45663</v>
      </c>
      <c r="C6223" t="s">
        <v>25</v>
      </c>
      <c r="D6223" s="2">
        <v>0</v>
      </c>
      <c r="E6223" s="2">
        <v>2504.23</v>
      </c>
      <c r="F6223" t="s">
        <v>28</v>
      </c>
      <c r="G6223" t="s">
        <v>17</v>
      </c>
    </row>
    <row r="6224" spans="1:7" x14ac:dyDescent="0.35">
      <c r="A6224">
        <v>2458</v>
      </c>
      <c r="B6224" s="1">
        <v>45663</v>
      </c>
      <c r="C6224" t="s">
        <v>25</v>
      </c>
      <c r="D6224" s="2">
        <v>187.44</v>
      </c>
      <c r="E6224" s="2">
        <v>0</v>
      </c>
      <c r="F6224" t="s">
        <v>26</v>
      </c>
      <c r="G6224" t="s">
        <v>20</v>
      </c>
    </row>
    <row r="6225" spans="1:7" x14ac:dyDescent="0.35">
      <c r="A6225">
        <v>2458</v>
      </c>
      <c r="B6225" s="1">
        <v>45663</v>
      </c>
      <c r="C6225" t="s">
        <v>25</v>
      </c>
      <c r="D6225" s="2">
        <v>14.06</v>
      </c>
      <c r="E6225" s="2">
        <v>0</v>
      </c>
      <c r="F6225" t="s">
        <v>27</v>
      </c>
      <c r="G6225" t="s">
        <v>9</v>
      </c>
    </row>
    <row r="6226" spans="1:7" x14ac:dyDescent="0.35">
      <c r="A6226">
        <v>2458</v>
      </c>
      <c r="B6226" s="1">
        <v>45663</v>
      </c>
      <c r="C6226" t="s">
        <v>25</v>
      </c>
      <c r="D6226" s="2">
        <v>0</v>
      </c>
      <c r="E6226" s="2">
        <v>201.5</v>
      </c>
      <c r="F6226" t="s">
        <v>28</v>
      </c>
      <c r="G6226" t="s">
        <v>17</v>
      </c>
    </row>
    <row r="6227" spans="1:7" x14ac:dyDescent="0.35">
      <c r="A6227">
        <v>2459</v>
      </c>
      <c r="B6227" s="1">
        <v>45663</v>
      </c>
      <c r="C6227" t="s">
        <v>25</v>
      </c>
      <c r="D6227" s="2">
        <v>166.52</v>
      </c>
      <c r="E6227" s="2">
        <v>0</v>
      </c>
      <c r="F6227" t="s">
        <v>26</v>
      </c>
      <c r="G6227" t="s">
        <v>20</v>
      </c>
    </row>
    <row r="6228" spans="1:7" x14ac:dyDescent="0.35">
      <c r="A6228">
        <v>2459</v>
      </c>
      <c r="B6228" s="1">
        <v>45663</v>
      </c>
      <c r="C6228" t="s">
        <v>25</v>
      </c>
      <c r="D6228" s="2">
        <v>12.49</v>
      </c>
      <c r="E6228" s="2">
        <v>0</v>
      </c>
      <c r="F6228" t="s">
        <v>27</v>
      </c>
      <c r="G6228" t="s">
        <v>9</v>
      </c>
    </row>
    <row r="6229" spans="1:7" x14ac:dyDescent="0.35">
      <c r="A6229">
        <v>2459</v>
      </c>
      <c r="B6229" s="1">
        <v>45663</v>
      </c>
      <c r="C6229" t="s">
        <v>25</v>
      </c>
      <c r="D6229" s="2">
        <v>0</v>
      </c>
      <c r="E6229" s="2">
        <v>179.01</v>
      </c>
      <c r="F6229" t="s">
        <v>28</v>
      </c>
      <c r="G6229" t="s">
        <v>17</v>
      </c>
    </row>
    <row r="6230" spans="1:7" x14ac:dyDescent="0.35">
      <c r="A6230">
        <v>2460</v>
      </c>
      <c r="B6230" s="1">
        <v>45663</v>
      </c>
      <c r="C6230" t="s">
        <v>25</v>
      </c>
      <c r="D6230" s="2">
        <v>696.06</v>
      </c>
      <c r="E6230" s="2">
        <v>0</v>
      </c>
      <c r="F6230" t="s">
        <v>26</v>
      </c>
      <c r="G6230" t="s">
        <v>20</v>
      </c>
    </row>
    <row r="6231" spans="1:7" x14ac:dyDescent="0.35">
      <c r="A6231">
        <v>2460</v>
      </c>
      <c r="B6231" s="1">
        <v>45663</v>
      </c>
      <c r="C6231" t="s">
        <v>25</v>
      </c>
      <c r="D6231" s="2">
        <v>52.2</v>
      </c>
      <c r="E6231" s="2">
        <v>0</v>
      </c>
      <c r="F6231" t="s">
        <v>27</v>
      </c>
      <c r="G6231" t="s">
        <v>9</v>
      </c>
    </row>
    <row r="6232" spans="1:7" x14ac:dyDescent="0.35">
      <c r="A6232">
        <v>2460</v>
      </c>
      <c r="B6232" s="1">
        <v>45663</v>
      </c>
      <c r="C6232" t="s">
        <v>25</v>
      </c>
      <c r="D6232" s="2">
        <v>0</v>
      </c>
      <c r="E6232" s="2">
        <v>748.26</v>
      </c>
      <c r="F6232" t="s">
        <v>28</v>
      </c>
      <c r="G6232" t="s">
        <v>17</v>
      </c>
    </row>
    <row r="6233" spans="1:7" x14ac:dyDescent="0.35">
      <c r="A6233">
        <v>2461</v>
      </c>
      <c r="B6233" s="1">
        <v>45663</v>
      </c>
      <c r="C6233" t="s">
        <v>25</v>
      </c>
      <c r="D6233" s="2">
        <v>512</v>
      </c>
      <c r="E6233" s="2">
        <v>0</v>
      </c>
      <c r="F6233" t="s">
        <v>26</v>
      </c>
      <c r="G6233" t="s">
        <v>20</v>
      </c>
    </row>
    <row r="6234" spans="1:7" x14ac:dyDescent="0.35">
      <c r="A6234">
        <v>2461</v>
      </c>
      <c r="B6234" s="1">
        <v>45663</v>
      </c>
      <c r="C6234" t="s">
        <v>25</v>
      </c>
      <c r="D6234" s="2">
        <v>38.4</v>
      </c>
      <c r="E6234" s="2">
        <v>0</v>
      </c>
      <c r="F6234" t="s">
        <v>27</v>
      </c>
      <c r="G6234" t="s">
        <v>9</v>
      </c>
    </row>
    <row r="6235" spans="1:7" x14ac:dyDescent="0.35">
      <c r="A6235">
        <v>2461</v>
      </c>
      <c r="B6235" s="1">
        <v>45663</v>
      </c>
      <c r="C6235" t="s">
        <v>25</v>
      </c>
      <c r="D6235" s="2">
        <v>0</v>
      </c>
      <c r="E6235" s="2">
        <v>550.4</v>
      </c>
      <c r="F6235" t="s">
        <v>28</v>
      </c>
      <c r="G6235" t="s">
        <v>17</v>
      </c>
    </row>
    <row r="6236" spans="1:7" x14ac:dyDescent="0.35">
      <c r="A6236">
        <v>2462</v>
      </c>
      <c r="B6236" s="1">
        <v>45663</v>
      </c>
      <c r="C6236" t="s">
        <v>25</v>
      </c>
      <c r="D6236" s="2">
        <v>1800.04</v>
      </c>
      <c r="E6236" s="2">
        <v>0</v>
      </c>
      <c r="F6236" t="s">
        <v>26</v>
      </c>
      <c r="G6236" t="s">
        <v>20</v>
      </c>
    </row>
    <row r="6237" spans="1:7" x14ac:dyDescent="0.35">
      <c r="A6237">
        <v>2462</v>
      </c>
      <c r="B6237" s="1">
        <v>45663</v>
      </c>
      <c r="C6237" t="s">
        <v>25</v>
      </c>
      <c r="D6237" s="2">
        <v>135</v>
      </c>
      <c r="E6237" s="2">
        <v>0</v>
      </c>
      <c r="F6237" t="s">
        <v>27</v>
      </c>
      <c r="G6237" t="s">
        <v>9</v>
      </c>
    </row>
    <row r="6238" spans="1:7" x14ac:dyDescent="0.35">
      <c r="A6238">
        <v>2462</v>
      </c>
      <c r="B6238" s="1">
        <v>45663</v>
      </c>
      <c r="C6238" t="s">
        <v>25</v>
      </c>
      <c r="D6238" s="2">
        <v>0</v>
      </c>
      <c r="E6238" s="2">
        <v>1935.04</v>
      </c>
      <c r="F6238" t="s">
        <v>28</v>
      </c>
      <c r="G6238" t="s">
        <v>17</v>
      </c>
    </row>
    <row r="6239" spans="1:7" x14ac:dyDescent="0.35">
      <c r="A6239">
        <v>2463</v>
      </c>
      <c r="B6239" s="1">
        <v>45663</v>
      </c>
      <c r="C6239" t="s">
        <v>29</v>
      </c>
      <c r="D6239" s="2">
        <v>201.5</v>
      </c>
      <c r="E6239" s="2">
        <v>0</v>
      </c>
      <c r="F6239" t="s">
        <v>28</v>
      </c>
      <c r="G6239" t="s">
        <v>17</v>
      </c>
    </row>
    <row r="6240" spans="1:7" x14ac:dyDescent="0.35">
      <c r="A6240">
        <v>2463</v>
      </c>
      <c r="B6240" s="1">
        <v>45663</v>
      </c>
      <c r="C6240" t="s">
        <v>29</v>
      </c>
      <c r="D6240" s="2">
        <v>0</v>
      </c>
      <c r="E6240" s="2">
        <v>201.5</v>
      </c>
      <c r="F6240" t="s">
        <v>8</v>
      </c>
      <c r="G6240" t="s">
        <v>9</v>
      </c>
    </row>
    <row r="6241" spans="1:7" x14ac:dyDescent="0.35">
      <c r="A6241">
        <v>2464</v>
      </c>
      <c r="B6241" s="1">
        <v>45663</v>
      </c>
      <c r="C6241" t="s">
        <v>29</v>
      </c>
      <c r="D6241" s="2">
        <v>1794.11</v>
      </c>
      <c r="E6241" s="2">
        <v>0</v>
      </c>
      <c r="F6241" t="s">
        <v>28</v>
      </c>
      <c r="G6241" t="s">
        <v>17</v>
      </c>
    </row>
    <row r="6242" spans="1:7" x14ac:dyDescent="0.35">
      <c r="A6242">
        <v>2464</v>
      </c>
      <c r="B6242" s="1">
        <v>45663</v>
      </c>
      <c r="C6242" t="s">
        <v>29</v>
      </c>
      <c r="D6242" s="2">
        <v>0</v>
      </c>
      <c r="E6242" s="2">
        <v>1794.11</v>
      </c>
      <c r="F6242" t="s">
        <v>8</v>
      </c>
      <c r="G6242" t="s">
        <v>9</v>
      </c>
    </row>
    <row r="6243" spans="1:7" x14ac:dyDescent="0.35">
      <c r="A6243">
        <v>2465</v>
      </c>
      <c r="B6243" s="1">
        <v>45663</v>
      </c>
      <c r="C6243" t="s">
        <v>29</v>
      </c>
      <c r="D6243" s="2">
        <v>550.4</v>
      </c>
      <c r="E6243" s="2">
        <v>0</v>
      </c>
      <c r="F6243" t="s">
        <v>28</v>
      </c>
      <c r="G6243" t="s">
        <v>17</v>
      </c>
    </row>
    <row r="6244" spans="1:7" x14ac:dyDescent="0.35">
      <c r="A6244">
        <v>2465</v>
      </c>
      <c r="B6244" s="1">
        <v>45663</v>
      </c>
      <c r="C6244" t="s">
        <v>29</v>
      </c>
      <c r="D6244" s="2">
        <v>0</v>
      </c>
      <c r="E6244" s="2">
        <v>550.4</v>
      </c>
      <c r="F6244" t="s">
        <v>8</v>
      </c>
      <c r="G6244" t="s">
        <v>9</v>
      </c>
    </row>
    <row r="6245" spans="1:7" x14ac:dyDescent="0.35">
      <c r="A6245">
        <v>2466</v>
      </c>
      <c r="B6245" s="1">
        <v>45664</v>
      </c>
      <c r="C6245" t="s">
        <v>12</v>
      </c>
      <c r="D6245" s="2">
        <v>4099.53</v>
      </c>
      <c r="E6245" s="2">
        <v>0</v>
      </c>
      <c r="F6245" t="s">
        <v>13</v>
      </c>
      <c r="G6245" t="s">
        <v>9</v>
      </c>
    </row>
    <row r="6246" spans="1:7" x14ac:dyDescent="0.35">
      <c r="A6246">
        <v>2466</v>
      </c>
      <c r="B6246" s="1">
        <v>45664</v>
      </c>
      <c r="C6246" t="s">
        <v>12</v>
      </c>
      <c r="D6246" s="2">
        <v>0</v>
      </c>
      <c r="E6246" s="2">
        <v>3813.52</v>
      </c>
      <c r="F6246" t="s">
        <v>14</v>
      </c>
      <c r="G6246" t="s">
        <v>15</v>
      </c>
    </row>
    <row r="6247" spans="1:7" x14ac:dyDescent="0.35">
      <c r="A6247">
        <v>2466</v>
      </c>
      <c r="B6247" s="1">
        <v>45664</v>
      </c>
      <c r="C6247" t="s">
        <v>12</v>
      </c>
      <c r="D6247" s="2">
        <v>0</v>
      </c>
      <c r="E6247" s="2">
        <v>286.01</v>
      </c>
      <c r="F6247" t="s">
        <v>16</v>
      </c>
      <c r="G6247" t="s">
        <v>17</v>
      </c>
    </row>
    <row r="6248" spans="1:7" x14ac:dyDescent="0.35">
      <c r="A6248">
        <v>2467</v>
      </c>
      <c r="B6248" s="1">
        <v>45664</v>
      </c>
      <c r="C6248" t="s">
        <v>12</v>
      </c>
      <c r="D6248" s="2">
        <v>865.64</v>
      </c>
      <c r="E6248" s="2">
        <v>0</v>
      </c>
      <c r="F6248" t="s">
        <v>13</v>
      </c>
      <c r="G6248" t="s">
        <v>9</v>
      </c>
    </row>
    <row r="6249" spans="1:7" x14ac:dyDescent="0.35">
      <c r="A6249">
        <v>2467</v>
      </c>
      <c r="B6249" s="1">
        <v>45664</v>
      </c>
      <c r="C6249" t="s">
        <v>12</v>
      </c>
      <c r="D6249" s="2">
        <v>0</v>
      </c>
      <c r="E6249" s="2">
        <v>805.25</v>
      </c>
      <c r="F6249" t="s">
        <v>14</v>
      </c>
      <c r="G6249" t="s">
        <v>15</v>
      </c>
    </row>
    <row r="6250" spans="1:7" x14ac:dyDescent="0.35">
      <c r="A6250">
        <v>2467</v>
      </c>
      <c r="B6250" s="1">
        <v>45664</v>
      </c>
      <c r="C6250" t="s">
        <v>12</v>
      </c>
      <c r="D6250" s="2">
        <v>0</v>
      </c>
      <c r="E6250" s="2">
        <v>60.39</v>
      </c>
      <c r="F6250" t="s">
        <v>16</v>
      </c>
      <c r="G6250" t="s">
        <v>17</v>
      </c>
    </row>
    <row r="6251" spans="1:7" x14ac:dyDescent="0.35">
      <c r="A6251">
        <v>2468</v>
      </c>
      <c r="B6251" s="1">
        <v>45664</v>
      </c>
      <c r="C6251" t="s">
        <v>12</v>
      </c>
      <c r="D6251" s="2">
        <v>1799.67</v>
      </c>
      <c r="E6251" s="2">
        <v>0</v>
      </c>
      <c r="F6251" t="s">
        <v>13</v>
      </c>
      <c r="G6251" t="s">
        <v>9</v>
      </c>
    </row>
    <row r="6252" spans="1:7" x14ac:dyDescent="0.35">
      <c r="A6252">
        <v>2468</v>
      </c>
      <c r="B6252" s="1">
        <v>45664</v>
      </c>
      <c r="C6252" t="s">
        <v>12</v>
      </c>
      <c r="D6252" s="2">
        <v>0</v>
      </c>
      <c r="E6252" s="2">
        <v>1674.11</v>
      </c>
      <c r="F6252" t="s">
        <v>14</v>
      </c>
      <c r="G6252" t="s">
        <v>15</v>
      </c>
    </row>
    <row r="6253" spans="1:7" x14ac:dyDescent="0.35">
      <c r="A6253">
        <v>2468</v>
      </c>
      <c r="B6253" s="1">
        <v>45664</v>
      </c>
      <c r="C6253" t="s">
        <v>12</v>
      </c>
      <c r="D6253" s="2">
        <v>0</v>
      </c>
      <c r="E6253" s="2">
        <v>125.56</v>
      </c>
      <c r="F6253" t="s">
        <v>16</v>
      </c>
      <c r="G6253" t="s">
        <v>17</v>
      </c>
    </row>
    <row r="6254" spans="1:7" x14ac:dyDescent="0.35">
      <c r="A6254">
        <v>2469</v>
      </c>
      <c r="B6254" s="1">
        <v>45664</v>
      </c>
      <c r="C6254" t="s">
        <v>24</v>
      </c>
      <c r="D6254" s="2">
        <v>1223.1099999999999</v>
      </c>
      <c r="E6254" s="2">
        <v>0</v>
      </c>
      <c r="F6254" t="s">
        <v>8</v>
      </c>
      <c r="G6254" t="s">
        <v>9</v>
      </c>
    </row>
    <row r="6255" spans="1:7" x14ac:dyDescent="0.35">
      <c r="A6255">
        <v>2469</v>
      </c>
      <c r="B6255" s="1">
        <v>45664</v>
      </c>
      <c r="C6255" t="s">
        <v>24</v>
      </c>
      <c r="D6255" s="2">
        <v>0</v>
      </c>
      <c r="E6255" s="2">
        <v>1223.1099999999999</v>
      </c>
      <c r="F6255" t="s">
        <v>13</v>
      </c>
      <c r="G6255" t="s">
        <v>9</v>
      </c>
    </row>
    <row r="6256" spans="1:7" x14ac:dyDescent="0.35">
      <c r="A6256">
        <v>2470</v>
      </c>
      <c r="B6256" s="1">
        <v>45664</v>
      </c>
      <c r="C6256" t="s">
        <v>24</v>
      </c>
      <c r="D6256" s="2">
        <v>46.39</v>
      </c>
      <c r="E6256" s="2">
        <v>0</v>
      </c>
      <c r="F6256" t="s">
        <v>8</v>
      </c>
      <c r="G6256" t="s">
        <v>9</v>
      </c>
    </row>
    <row r="6257" spans="1:7" x14ac:dyDescent="0.35">
      <c r="A6257">
        <v>2470</v>
      </c>
      <c r="B6257" s="1">
        <v>45664</v>
      </c>
      <c r="C6257" t="s">
        <v>24</v>
      </c>
      <c r="D6257" s="2">
        <v>0</v>
      </c>
      <c r="E6257" s="2">
        <v>46.39</v>
      </c>
      <c r="F6257" t="s">
        <v>13</v>
      </c>
      <c r="G6257" t="s">
        <v>9</v>
      </c>
    </row>
    <row r="6258" spans="1:7" x14ac:dyDescent="0.35">
      <c r="A6258">
        <v>2471</v>
      </c>
      <c r="B6258" s="1">
        <v>45664</v>
      </c>
      <c r="C6258" t="s">
        <v>24</v>
      </c>
      <c r="D6258" s="2">
        <v>2436.73</v>
      </c>
      <c r="E6258" s="2">
        <v>0</v>
      </c>
      <c r="F6258" t="s">
        <v>8</v>
      </c>
      <c r="G6258" t="s">
        <v>9</v>
      </c>
    </row>
    <row r="6259" spans="1:7" x14ac:dyDescent="0.35">
      <c r="A6259">
        <v>2471</v>
      </c>
      <c r="B6259" s="1">
        <v>45664</v>
      </c>
      <c r="C6259" t="s">
        <v>24</v>
      </c>
      <c r="D6259" s="2">
        <v>0</v>
      </c>
      <c r="E6259" s="2">
        <v>2436.73</v>
      </c>
      <c r="F6259" t="s">
        <v>13</v>
      </c>
      <c r="G6259" t="s">
        <v>9</v>
      </c>
    </row>
    <row r="6260" spans="1:7" x14ac:dyDescent="0.35">
      <c r="A6260">
        <v>2472</v>
      </c>
      <c r="B6260" s="1">
        <v>45664</v>
      </c>
      <c r="C6260" t="s">
        <v>24</v>
      </c>
      <c r="D6260" s="2">
        <v>1712.72</v>
      </c>
      <c r="E6260" s="2">
        <v>0</v>
      </c>
      <c r="F6260" t="s">
        <v>8</v>
      </c>
      <c r="G6260" t="s">
        <v>9</v>
      </c>
    </row>
    <row r="6261" spans="1:7" x14ac:dyDescent="0.35">
      <c r="A6261">
        <v>2472</v>
      </c>
      <c r="B6261" s="1">
        <v>45664</v>
      </c>
      <c r="C6261" t="s">
        <v>24</v>
      </c>
      <c r="D6261" s="2">
        <v>0</v>
      </c>
      <c r="E6261" s="2">
        <v>1712.72</v>
      </c>
      <c r="F6261" t="s">
        <v>13</v>
      </c>
      <c r="G6261" t="s">
        <v>9</v>
      </c>
    </row>
    <row r="6262" spans="1:7" x14ac:dyDescent="0.35">
      <c r="A6262">
        <v>2473</v>
      </c>
      <c r="B6262" s="1">
        <v>45664</v>
      </c>
      <c r="C6262" t="s">
        <v>24</v>
      </c>
      <c r="D6262" s="2">
        <v>332.97</v>
      </c>
      <c r="E6262" s="2">
        <v>0</v>
      </c>
      <c r="F6262" t="s">
        <v>8</v>
      </c>
      <c r="G6262" t="s">
        <v>9</v>
      </c>
    </row>
    <row r="6263" spans="1:7" x14ac:dyDescent="0.35">
      <c r="A6263">
        <v>2473</v>
      </c>
      <c r="B6263" s="1">
        <v>45664</v>
      </c>
      <c r="C6263" t="s">
        <v>24</v>
      </c>
      <c r="D6263" s="2">
        <v>0</v>
      </c>
      <c r="E6263" s="2">
        <v>332.97</v>
      </c>
      <c r="F6263" t="s">
        <v>13</v>
      </c>
      <c r="G6263" t="s">
        <v>9</v>
      </c>
    </row>
    <row r="6264" spans="1:7" x14ac:dyDescent="0.35">
      <c r="A6264">
        <v>2474</v>
      </c>
      <c r="B6264" s="1">
        <v>45664</v>
      </c>
      <c r="C6264" t="s">
        <v>24</v>
      </c>
      <c r="D6264" s="2">
        <v>2136.1799999999998</v>
      </c>
      <c r="E6264" s="2">
        <v>0</v>
      </c>
      <c r="F6264" t="s">
        <v>8</v>
      </c>
      <c r="G6264" t="s">
        <v>9</v>
      </c>
    </row>
    <row r="6265" spans="1:7" x14ac:dyDescent="0.35">
      <c r="A6265">
        <v>2474</v>
      </c>
      <c r="B6265" s="1">
        <v>45664</v>
      </c>
      <c r="C6265" t="s">
        <v>24</v>
      </c>
      <c r="D6265" s="2">
        <v>0</v>
      </c>
      <c r="E6265" s="2">
        <v>2136.1799999999998</v>
      </c>
      <c r="F6265" t="s">
        <v>13</v>
      </c>
      <c r="G6265" t="s">
        <v>9</v>
      </c>
    </row>
    <row r="6266" spans="1:7" x14ac:dyDescent="0.35">
      <c r="A6266">
        <v>2475</v>
      </c>
      <c r="B6266" s="1">
        <v>45664</v>
      </c>
      <c r="C6266" t="s">
        <v>25</v>
      </c>
      <c r="D6266" s="2">
        <v>2451.5</v>
      </c>
      <c r="E6266" s="2">
        <v>0</v>
      </c>
      <c r="F6266" t="s">
        <v>26</v>
      </c>
      <c r="G6266" t="s">
        <v>20</v>
      </c>
    </row>
    <row r="6267" spans="1:7" x14ac:dyDescent="0.35">
      <c r="A6267">
        <v>2475</v>
      </c>
      <c r="B6267" s="1">
        <v>45664</v>
      </c>
      <c r="C6267" t="s">
        <v>25</v>
      </c>
      <c r="D6267" s="2">
        <v>183.86</v>
      </c>
      <c r="E6267" s="2">
        <v>0</v>
      </c>
      <c r="F6267" t="s">
        <v>27</v>
      </c>
      <c r="G6267" t="s">
        <v>9</v>
      </c>
    </row>
    <row r="6268" spans="1:7" x14ac:dyDescent="0.35">
      <c r="A6268">
        <v>2475</v>
      </c>
      <c r="B6268" s="1">
        <v>45664</v>
      </c>
      <c r="C6268" t="s">
        <v>25</v>
      </c>
      <c r="D6268" s="2">
        <v>0</v>
      </c>
      <c r="E6268" s="2">
        <v>2635.36</v>
      </c>
      <c r="F6268" t="s">
        <v>28</v>
      </c>
      <c r="G6268" t="s">
        <v>17</v>
      </c>
    </row>
    <row r="6269" spans="1:7" x14ac:dyDescent="0.35">
      <c r="A6269">
        <v>2476</v>
      </c>
      <c r="B6269" s="1">
        <v>45664</v>
      </c>
      <c r="C6269" t="s">
        <v>29</v>
      </c>
      <c r="D6269" s="2">
        <v>550.4</v>
      </c>
      <c r="E6269" s="2">
        <v>0</v>
      </c>
      <c r="F6269" t="s">
        <v>28</v>
      </c>
      <c r="G6269" t="s">
        <v>17</v>
      </c>
    </row>
    <row r="6270" spans="1:7" x14ac:dyDescent="0.35">
      <c r="A6270">
        <v>2476</v>
      </c>
      <c r="B6270" s="1">
        <v>45664</v>
      </c>
      <c r="C6270" t="s">
        <v>29</v>
      </c>
      <c r="D6270" s="2">
        <v>0</v>
      </c>
      <c r="E6270" s="2">
        <v>550.4</v>
      </c>
      <c r="F6270" t="s">
        <v>8</v>
      </c>
      <c r="G6270" t="s">
        <v>9</v>
      </c>
    </row>
    <row r="6271" spans="1:7" x14ac:dyDescent="0.35">
      <c r="A6271">
        <v>2477</v>
      </c>
      <c r="B6271" s="1">
        <v>45664</v>
      </c>
      <c r="C6271" t="s">
        <v>29</v>
      </c>
      <c r="D6271" s="2">
        <v>3868.8</v>
      </c>
      <c r="E6271" s="2">
        <v>0</v>
      </c>
      <c r="F6271" t="s">
        <v>28</v>
      </c>
      <c r="G6271" t="s">
        <v>17</v>
      </c>
    </row>
    <row r="6272" spans="1:7" x14ac:dyDescent="0.35">
      <c r="A6272">
        <v>2477</v>
      </c>
      <c r="B6272" s="1">
        <v>45664</v>
      </c>
      <c r="C6272" t="s">
        <v>29</v>
      </c>
      <c r="D6272" s="2">
        <v>0</v>
      </c>
      <c r="E6272" s="2">
        <v>3868.8</v>
      </c>
      <c r="F6272" t="s">
        <v>8</v>
      </c>
      <c r="G6272" t="s">
        <v>9</v>
      </c>
    </row>
    <row r="6273" spans="1:7" x14ac:dyDescent="0.35">
      <c r="A6273">
        <v>2478</v>
      </c>
      <c r="B6273" s="1">
        <v>45664</v>
      </c>
      <c r="C6273" t="s">
        <v>29</v>
      </c>
      <c r="D6273" s="2">
        <v>1591.54</v>
      </c>
      <c r="E6273" s="2">
        <v>0</v>
      </c>
      <c r="F6273" t="s">
        <v>28</v>
      </c>
      <c r="G6273" t="s">
        <v>17</v>
      </c>
    </row>
    <row r="6274" spans="1:7" x14ac:dyDescent="0.35">
      <c r="A6274">
        <v>2478</v>
      </c>
      <c r="B6274" s="1">
        <v>45664</v>
      </c>
      <c r="C6274" t="s">
        <v>29</v>
      </c>
      <c r="D6274" s="2">
        <v>0</v>
      </c>
      <c r="E6274" s="2">
        <v>1591.54</v>
      </c>
      <c r="F6274" t="s">
        <v>8</v>
      </c>
      <c r="G6274" t="s">
        <v>9</v>
      </c>
    </row>
    <row r="6275" spans="1:7" x14ac:dyDescent="0.35">
      <c r="A6275">
        <v>2479</v>
      </c>
      <c r="B6275" s="1">
        <v>45665</v>
      </c>
      <c r="C6275" t="s">
        <v>24</v>
      </c>
      <c r="D6275" s="2">
        <v>2997.32</v>
      </c>
      <c r="E6275" s="2">
        <v>0</v>
      </c>
      <c r="F6275" t="s">
        <v>8</v>
      </c>
      <c r="G6275" t="s">
        <v>9</v>
      </c>
    </row>
    <row r="6276" spans="1:7" x14ac:dyDescent="0.35">
      <c r="A6276">
        <v>2479</v>
      </c>
      <c r="B6276" s="1">
        <v>45665</v>
      </c>
      <c r="C6276" t="s">
        <v>24</v>
      </c>
      <c r="D6276" s="2">
        <v>0</v>
      </c>
      <c r="E6276" s="2">
        <v>2997.32</v>
      </c>
      <c r="F6276" t="s">
        <v>13</v>
      </c>
      <c r="G6276" t="s">
        <v>9</v>
      </c>
    </row>
    <row r="6277" spans="1:7" x14ac:dyDescent="0.35">
      <c r="A6277">
        <v>2480</v>
      </c>
      <c r="B6277" s="1">
        <v>45665</v>
      </c>
      <c r="C6277" t="s">
        <v>24</v>
      </c>
      <c r="D6277" s="2">
        <v>805.75</v>
      </c>
      <c r="E6277" s="2">
        <v>0</v>
      </c>
      <c r="F6277" t="s">
        <v>8</v>
      </c>
      <c r="G6277" t="s">
        <v>9</v>
      </c>
    </row>
    <row r="6278" spans="1:7" x14ac:dyDescent="0.35">
      <c r="A6278">
        <v>2480</v>
      </c>
      <c r="B6278" s="1">
        <v>45665</v>
      </c>
      <c r="C6278" t="s">
        <v>24</v>
      </c>
      <c r="D6278" s="2">
        <v>0</v>
      </c>
      <c r="E6278" s="2">
        <v>805.75</v>
      </c>
      <c r="F6278" t="s">
        <v>13</v>
      </c>
      <c r="G6278" t="s">
        <v>9</v>
      </c>
    </row>
    <row r="6279" spans="1:7" x14ac:dyDescent="0.35">
      <c r="A6279">
        <v>2481</v>
      </c>
      <c r="B6279" s="1">
        <v>45665</v>
      </c>
      <c r="C6279" t="s">
        <v>24</v>
      </c>
      <c r="D6279" s="2">
        <v>180.07</v>
      </c>
      <c r="E6279" s="2">
        <v>0</v>
      </c>
      <c r="F6279" t="s">
        <v>8</v>
      </c>
      <c r="G6279" t="s">
        <v>9</v>
      </c>
    </row>
    <row r="6280" spans="1:7" x14ac:dyDescent="0.35">
      <c r="A6280">
        <v>2481</v>
      </c>
      <c r="B6280" s="1">
        <v>45665</v>
      </c>
      <c r="C6280" t="s">
        <v>24</v>
      </c>
      <c r="D6280" s="2">
        <v>0</v>
      </c>
      <c r="E6280" s="2">
        <v>180.07</v>
      </c>
      <c r="F6280" t="s">
        <v>13</v>
      </c>
      <c r="G6280" t="s">
        <v>9</v>
      </c>
    </row>
    <row r="6281" spans="1:7" x14ac:dyDescent="0.35">
      <c r="A6281">
        <v>2482</v>
      </c>
      <c r="B6281" s="1">
        <v>45665</v>
      </c>
      <c r="C6281" t="s">
        <v>24</v>
      </c>
      <c r="D6281" s="2">
        <v>884.74</v>
      </c>
      <c r="E6281" s="2">
        <v>0</v>
      </c>
      <c r="F6281" t="s">
        <v>8</v>
      </c>
      <c r="G6281" t="s">
        <v>9</v>
      </c>
    </row>
    <row r="6282" spans="1:7" x14ac:dyDescent="0.35">
      <c r="A6282">
        <v>2482</v>
      </c>
      <c r="B6282" s="1">
        <v>45665</v>
      </c>
      <c r="C6282" t="s">
        <v>24</v>
      </c>
      <c r="D6282" s="2">
        <v>0</v>
      </c>
      <c r="E6282" s="2">
        <v>884.74</v>
      </c>
      <c r="F6282" t="s">
        <v>13</v>
      </c>
      <c r="G6282" t="s">
        <v>9</v>
      </c>
    </row>
    <row r="6283" spans="1:7" x14ac:dyDescent="0.35">
      <c r="A6283">
        <v>2483</v>
      </c>
      <c r="B6283" s="1">
        <v>45665</v>
      </c>
      <c r="C6283" t="s">
        <v>24</v>
      </c>
      <c r="D6283" s="2">
        <v>1842.96</v>
      </c>
      <c r="E6283" s="2">
        <v>0</v>
      </c>
      <c r="F6283" t="s">
        <v>8</v>
      </c>
      <c r="G6283" t="s">
        <v>9</v>
      </c>
    </row>
    <row r="6284" spans="1:7" x14ac:dyDescent="0.35">
      <c r="A6284">
        <v>2483</v>
      </c>
      <c r="B6284" s="1">
        <v>45665</v>
      </c>
      <c r="C6284" t="s">
        <v>24</v>
      </c>
      <c r="D6284" s="2">
        <v>0</v>
      </c>
      <c r="E6284" s="2">
        <v>1842.96</v>
      </c>
      <c r="F6284" t="s">
        <v>13</v>
      </c>
      <c r="G6284" t="s">
        <v>9</v>
      </c>
    </row>
    <row r="6285" spans="1:7" x14ac:dyDescent="0.35">
      <c r="A6285">
        <v>2484</v>
      </c>
      <c r="B6285" s="1">
        <v>45665</v>
      </c>
      <c r="C6285" t="s">
        <v>24</v>
      </c>
      <c r="D6285" s="2">
        <v>4065.83</v>
      </c>
      <c r="E6285" s="2">
        <v>0</v>
      </c>
      <c r="F6285" t="s">
        <v>8</v>
      </c>
      <c r="G6285" t="s">
        <v>9</v>
      </c>
    </row>
    <row r="6286" spans="1:7" x14ac:dyDescent="0.35">
      <c r="A6286">
        <v>2484</v>
      </c>
      <c r="B6286" s="1">
        <v>45665</v>
      </c>
      <c r="C6286" t="s">
        <v>24</v>
      </c>
      <c r="D6286" s="2">
        <v>0</v>
      </c>
      <c r="E6286" s="2">
        <v>4065.83</v>
      </c>
      <c r="F6286" t="s">
        <v>13</v>
      </c>
      <c r="G6286" t="s">
        <v>9</v>
      </c>
    </row>
    <row r="6287" spans="1:7" x14ac:dyDescent="0.35">
      <c r="A6287">
        <v>2485</v>
      </c>
      <c r="B6287" s="1">
        <v>45665</v>
      </c>
      <c r="C6287" t="s">
        <v>24</v>
      </c>
      <c r="D6287" s="2">
        <v>4432.76</v>
      </c>
      <c r="E6287" s="2">
        <v>0</v>
      </c>
      <c r="F6287" t="s">
        <v>8</v>
      </c>
      <c r="G6287" t="s">
        <v>9</v>
      </c>
    </row>
    <row r="6288" spans="1:7" x14ac:dyDescent="0.35">
      <c r="A6288">
        <v>2485</v>
      </c>
      <c r="B6288" s="1">
        <v>45665</v>
      </c>
      <c r="C6288" t="s">
        <v>24</v>
      </c>
      <c r="D6288" s="2">
        <v>0</v>
      </c>
      <c r="E6288" s="2">
        <v>4432.76</v>
      </c>
      <c r="F6288" t="s">
        <v>13</v>
      </c>
      <c r="G6288" t="s">
        <v>9</v>
      </c>
    </row>
    <row r="6289" spans="1:7" x14ac:dyDescent="0.35">
      <c r="A6289">
        <v>2486</v>
      </c>
      <c r="B6289" s="1">
        <v>45665</v>
      </c>
      <c r="C6289" t="s">
        <v>24</v>
      </c>
      <c r="D6289" s="2">
        <v>7563.55</v>
      </c>
      <c r="E6289" s="2">
        <v>0</v>
      </c>
      <c r="F6289" t="s">
        <v>8</v>
      </c>
      <c r="G6289" t="s">
        <v>9</v>
      </c>
    </row>
    <row r="6290" spans="1:7" x14ac:dyDescent="0.35">
      <c r="A6290">
        <v>2486</v>
      </c>
      <c r="B6290" s="1">
        <v>45665</v>
      </c>
      <c r="C6290" t="s">
        <v>24</v>
      </c>
      <c r="D6290" s="2">
        <v>0</v>
      </c>
      <c r="E6290" s="2">
        <v>7563.55</v>
      </c>
      <c r="F6290" t="s">
        <v>13</v>
      </c>
      <c r="G6290" t="s">
        <v>9</v>
      </c>
    </row>
    <row r="6291" spans="1:7" x14ac:dyDescent="0.35">
      <c r="A6291">
        <v>2487</v>
      </c>
      <c r="B6291" s="1">
        <v>45665</v>
      </c>
      <c r="C6291" t="s">
        <v>24</v>
      </c>
      <c r="D6291" s="2">
        <v>2737.13</v>
      </c>
      <c r="E6291" s="2">
        <v>0</v>
      </c>
      <c r="F6291" t="s">
        <v>8</v>
      </c>
      <c r="G6291" t="s">
        <v>9</v>
      </c>
    </row>
    <row r="6292" spans="1:7" x14ac:dyDescent="0.35">
      <c r="A6292">
        <v>2487</v>
      </c>
      <c r="B6292" s="1">
        <v>45665</v>
      </c>
      <c r="C6292" t="s">
        <v>24</v>
      </c>
      <c r="D6292" s="2">
        <v>0</v>
      </c>
      <c r="E6292" s="2">
        <v>2737.13</v>
      </c>
      <c r="F6292" t="s">
        <v>13</v>
      </c>
      <c r="G6292" t="s">
        <v>9</v>
      </c>
    </row>
    <row r="6293" spans="1:7" x14ac:dyDescent="0.35">
      <c r="A6293">
        <v>2488</v>
      </c>
      <c r="B6293" s="1">
        <v>45665</v>
      </c>
      <c r="C6293" t="s">
        <v>29</v>
      </c>
      <c r="D6293" s="2">
        <v>1023.42</v>
      </c>
      <c r="E6293" s="2">
        <v>0</v>
      </c>
      <c r="F6293" t="s">
        <v>28</v>
      </c>
      <c r="G6293" t="s">
        <v>17</v>
      </c>
    </row>
    <row r="6294" spans="1:7" x14ac:dyDescent="0.35">
      <c r="A6294">
        <v>2488</v>
      </c>
      <c r="B6294" s="1">
        <v>45665</v>
      </c>
      <c r="C6294" t="s">
        <v>29</v>
      </c>
      <c r="D6294" s="2">
        <v>0</v>
      </c>
      <c r="E6294" s="2">
        <v>1023.42</v>
      </c>
      <c r="F6294" t="s">
        <v>8</v>
      </c>
      <c r="G6294" t="s">
        <v>9</v>
      </c>
    </row>
    <row r="6295" spans="1:7" x14ac:dyDescent="0.35">
      <c r="A6295">
        <v>2489</v>
      </c>
      <c r="B6295" s="1">
        <v>45665</v>
      </c>
      <c r="C6295" t="s">
        <v>29</v>
      </c>
      <c r="D6295" s="2">
        <v>1304.6199999999999</v>
      </c>
      <c r="E6295" s="2">
        <v>0</v>
      </c>
      <c r="F6295" t="s">
        <v>28</v>
      </c>
      <c r="G6295" t="s">
        <v>17</v>
      </c>
    </row>
    <row r="6296" spans="1:7" x14ac:dyDescent="0.35">
      <c r="A6296">
        <v>2489</v>
      </c>
      <c r="B6296" s="1">
        <v>45665</v>
      </c>
      <c r="C6296" t="s">
        <v>29</v>
      </c>
      <c r="D6296" s="2">
        <v>0</v>
      </c>
      <c r="E6296" s="2">
        <v>1304.6199999999999</v>
      </c>
      <c r="F6296" t="s">
        <v>8</v>
      </c>
      <c r="G6296" t="s">
        <v>9</v>
      </c>
    </row>
    <row r="6297" spans="1:7" x14ac:dyDescent="0.35">
      <c r="A6297">
        <v>2490</v>
      </c>
      <c r="B6297" s="1">
        <v>45665</v>
      </c>
      <c r="C6297" t="s">
        <v>29</v>
      </c>
      <c r="D6297" s="2">
        <v>1935.04</v>
      </c>
      <c r="E6297" s="2">
        <v>0</v>
      </c>
      <c r="F6297" t="s">
        <v>28</v>
      </c>
      <c r="G6297" t="s">
        <v>17</v>
      </c>
    </row>
    <row r="6298" spans="1:7" x14ac:dyDescent="0.35">
      <c r="A6298">
        <v>2490</v>
      </c>
      <c r="B6298" s="1">
        <v>45665</v>
      </c>
      <c r="C6298" t="s">
        <v>29</v>
      </c>
      <c r="D6298" s="2">
        <v>0</v>
      </c>
      <c r="E6298" s="2">
        <v>1935.04</v>
      </c>
      <c r="F6298" t="s">
        <v>8</v>
      </c>
      <c r="G6298" t="s">
        <v>9</v>
      </c>
    </row>
    <row r="6299" spans="1:7" x14ac:dyDescent="0.35">
      <c r="A6299">
        <v>2491</v>
      </c>
      <c r="B6299" s="1">
        <v>45666</v>
      </c>
      <c r="C6299" t="s">
        <v>12</v>
      </c>
      <c r="D6299" s="2">
        <v>1242.17</v>
      </c>
      <c r="E6299" s="2">
        <v>0</v>
      </c>
      <c r="F6299" t="s">
        <v>13</v>
      </c>
      <c r="G6299" t="s">
        <v>9</v>
      </c>
    </row>
    <row r="6300" spans="1:7" x14ac:dyDescent="0.35">
      <c r="A6300">
        <v>2491</v>
      </c>
      <c r="B6300" s="1">
        <v>45666</v>
      </c>
      <c r="C6300" t="s">
        <v>12</v>
      </c>
      <c r="D6300" s="2">
        <v>0</v>
      </c>
      <c r="E6300" s="2">
        <v>1155.5</v>
      </c>
      <c r="F6300" t="s">
        <v>14</v>
      </c>
      <c r="G6300" t="s">
        <v>15</v>
      </c>
    </row>
    <row r="6301" spans="1:7" x14ac:dyDescent="0.35">
      <c r="A6301">
        <v>2491</v>
      </c>
      <c r="B6301" s="1">
        <v>45666</v>
      </c>
      <c r="C6301" t="s">
        <v>12</v>
      </c>
      <c r="D6301" s="2">
        <v>0</v>
      </c>
      <c r="E6301" s="2">
        <v>86.67</v>
      </c>
      <c r="F6301" t="s">
        <v>16</v>
      </c>
      <c r="G6301" t="s">
        <v>17</v>
      </c>
    </row>
    <row r="6302" spans="1:7" x14ac:dyDescent="0.35">
      <c r="A6302">
        <v>2492</v>
      </c>
      <c r="B6302" s="1">
        <v>45666</v>
      </c>
      <c r="C6302" t="s">
        <v>12</v>
      </c>
      <c r="D6302" s="2">
        <v>1759.23</v>
      </c>
      <c r="E6302" s="2">
        <v>0</v>
      </c>
      <c r="F6302" t="s">
        <v>13</v>
      </c>
      <c r="G6302" t="s">
        <v>9</v>
      </c>
    </row>
    <row r="6303" spans="1:7" x14ac:dyDescent="0.35">
      <c r="A6303">
        <v>2492</v>
      </c>
      <c r="B6303" s="1">
        <v>45666</v>
      </c>
      <c r="C6303" t="s">
        <v>12</v>
      </c>
      <c r="D6303" s="2">
        <v>0</v>
      </c>
      <c r="E6303" s="2">
        <v>1636.49</v>
      </c>
      <c r="F6303" t="s">
        <v>14</v>
      </c>
      <c r="G6303" t="s">
        <v>15</v>
      </c>
    </row>
    <row r="6304" spans="1:7" x14ac:dyDescent="0.35">
      <c r="A6304">
        <v>2492</v>
      </c>
      <c r="B6304" s="1">
        <v>45666</v>
      </c>
      <c r="C6304" t="s">
        <v>12</v>
      </c>
      <c r="D6304" s="2">
        <v>0</v>
      </c>
      <c r="E6304" s="2">
        <v>122.74</v>
      </c>
      <c r="F6304" t="s">
        <v>16</v>
      </c>
      <c r="G6304" t="s">
        <v>17</v>
      </c>
    </row>
    <row r="6305" spans="1:7" x14ac:dyDescent="0.35">
      <c r="A6305">
        <v>2493</v>
      </c>
      <c r="B6305" s="1">
        <v>45666</v>
      </c>
      <c r="C6305" t="s">
        <v>12</v>
      </c>
      <c r="D6305" s="2">
        <v>1241.7</v>
      </c>
      <c r="E6305" s="2">
        <v>0</v>
      </c>
      <c r="F6305" t="s">
        <v>13</v>
      </c>
      <c r="G6305" t="s">
        <v>9</v>
      </c>
    </row>
    <row r="6306" spans="1:7" x14ac:dyDescent="0.35">
      <c r="A6306">
        <v>2493</v>
      </c>
      <c r="B6306" s="1">
        <v>45666</v>
      </c>
      <c r="C6306" t="s">
        <v>12</v>
      </c>
      <c r="D6306" s="2">
        <v>0</v>
      </c>
      <c r="E6306" s="2">
        <v>1155.07</v>
      </c>
      <c r="F6306" t="s">
        <v>14</v>
      </c>
      <c r="G6306" t="s">
        <v>15</v>
      </c>
    </row>
    <row r="6307" spans="1:7" x14ac:dyDescent="0.35">
      <c r="A6307">
        <v>2493</v>
      </c>
      <c r="B6307" s="1">
        <v>45666</v>
      </c>
      <c r="C6307" t="s">
        <v>12</v>
      </c>
      <c r="D6307" s="2">
        <v>0</v>
      </c>
      <c r="E6307" s="2">
        <v>86.63</v>
      </c>
      <c r="F6307" t="s">
        <v>16</v>
      </c>
      <c r="G6307" t="s">
        <v>17</v>
      </c>
    </row>
    <row r="6308" spans="1:7" x14ac:dyDescent="0.35">
      <c r="A6308">
        <v>2494</v>
      </c>
      <c r="B6308" s="1">
        <v>45666</v>
      </c>
      <c r="C6308" t="s">
        <v>12</v>
      </c>
      <c r="D6308" s="2">
        <v>2228.7600000000002</v>
      </c>
      <c r="E6308" s="2">
        <v>0</v>
      </c>
      <c r="F6308" t="s">
        <v>13</v>
      </c>
      <c r="G6308" t="s">
        <v>9</v>
      </c>
    </row>
    <row r="6309" spans="1:7" x14ac:dyDescent="0.35">
      <c r="A6309">
        <v>2494</v>
      </c>
      <c r="B6309" s="1">
        <v>45666</v>
      </c>
      <c r="C6309" t="s">
        <v>12</v>
      </c>
      <c r="D6309" s="2">
        <v>0</v>
      </c>
      <c r="E6309" s="2">
        <v>2073.27</v>
      </c>
      <c r="F6309" t="s">
        <v>14</v>
      </c>
      <c r="G6309" t="s">
        <v>15</v>
      </c>
    </row>
    <row r="6310" spans="1:7" x14ac:dyDescent="0.35">
      <c r="A6310">
        <v>2494</v>
      </c>
      <c r="B6310" s="1">
        <v>45666</v>
      </c>
      <c r="C6310" t="s">
        <v>12</v>
      </c>
      <c r="D6310" s="2">
        <v>0</v>
      </c>
      <c r="E6310" s="2">
        <v>155.49</v>
      </c>
      <c r="F6310" t="s">
        <v>16</v>
      </c>
      <c r="G6310" t="s">
        <v>17</v>
      </c>
    </row>
    <row r="6311" spans="1:7" x14ac:dyDescent="0.35">
      <c r="A6311">
        <v>2495</v>
      </c>
      <c r="B6311" s="1">
        <v>45666</v>
      </c>
      <c r="C6311" t="s">
        <v>24</v>
      </c>
      <c r="D6311" s="2">
        <v>839.2</v>
      </c>
      <c r="E6311" s="2">
        <v>0</v>
      </c>
      <c r="F6311" t="s">
        <v>8</v>
      </c>
      <c r="G6311" t="s">
        <v>9</v>
      </c>
    </row>
    <row r="6312" spans="1:7" x14ac:dyDescent="0.35">
      <c r="A6312">
        <v>2495</v>
      </c>
      <c r="B6312" s="1">
        <v>45666</v>
      </c>
      <c r="C6312" t="s">
        <v>24</v>
      </c>
      <c r="D6312" s="2">
        <v>0</v>
      </c>
      <c r="E6312" s="2">
        <v>839.2</v>
      </c>
      <c r="F6312" t="s">
        <v>13</v>
      </c>
      <c r="G6312" t="s">
        <v>9</v>
      </c>
    </row>
    <row r="6313" spans="1:7" x14ac:dyDescent="0.35">
      <c r="A6313">
        <v>2496</v>
      </c>
      <c r="B6313" s="1">
        <v>45666</v>
      </c>
      <c r="C6313" t="s">
        <v>24</v>
      </c>
      <c r="D6313" s="2">
        <v>1703.94</v>
      </c>
      <c r="E6313" s="2">
        <v>0</v>
      </c>
      <c r="F6313" t="s">
        <v>8</v>
      </c>
      <c r="G6313" t="s">
        <v>9</v>
      </c>
    </row>
    <row r="6314" spans="1:7" x14ac:dyDescent="0.35">
      <c r="A6314">
        <v>2496</v>
      </c>
      <c r="B6314" s="1">
        <v>45666</v>
      </c>
      <c r="C6314" t="s">
        <v>24</v>
      </c>
      <c r="D6314" s="2">
        <v>0</v>
      </c>
      <c r="E6314" s="2">
        <v>1703.94</v>
      </c>
      <c r="F6314" t="s">
        <v>13</v>
      </c>
      <c r="G6314" t="s">
        <v>9</v>
      </c>
    </row>
    <row r="6315" spans="1:7" x14ac:dyDescent="0.35">
      <c r="A6315">
        <v>2497</v>
      </c>
      <c r="B6315" s="1">
        <v>45666</v>
      </c>
      <c r="C6315" t="s">
        <v>24</v>
      </c>
      <c r="D6315" s="2">
        <v>1883.96</v>
      </c>
      <c r="E6315" s="2">
        <v>0</v>
      </c>
      <c r="F6315" t="s">
        <v>8</v>
      </c>
      <c r="G6315" t="s">
        <v>9</v>
      </c>
    </row>
    <row r="6316" spans="1:7" x14ac:dyDescent="0.35">
      <c r="A6316">
        <v>2497</v>
      </c>
      <c r="B6316" s="1">
        <v>45666</v>
      </c>
      <c r="C6316" t="s">
        <v>24</v>
      </c>
      <c r="D6316" s="2">
        <v>0</v>
      </c>
      <c r="E6316" s="2">
        <v>1883.96</v>
      </c>
      <c r="F6316" t="s">
        <v>13</v>
      </c>
      <c r="G6316" t="s">
        <v>9</v>
      </c>
    </row>
    <row r="6317" spans="1:7" x14ac:dyDescent="0.35">
      <c r="A6317">
        <v>2498</v>
      </c>
      <c r="B6317" s="1">
        <v>45666</v>
      </c>
      <c r="C6317" t="s">
        <v>24</v>
      </c>
      <c r="D6317" s="2">
        <v>1962.59</v>
      </c>
      <c r="E6317" s="2">
        <v>0</v>
      </c>
      <c r="F6317" t="s">
        <v>8</v>
      </c>
      <c r="G6317" t="s">
        <v>9</v>
      </c>
    </row>
    <row r="6318" spans="1:7" x14ac:dyDescent="0.35">
      <c r="A6318">
        <v>2498</v>
      </c>
      <c r="B6318" s="1">
        <v>45666</v>
      </c>
      <c r="C6318" t="s">
        <v>24</v>
      </c>
      <c r="D6318" s="2">
        <v>0</v>
      </c>
      <c r="E6318" s="2">
        <v>1962.59</v>
      </c>
      <c r="F6318" t="s">
        <v>13</v>
      </c>
      <c r="G6318" t="s">
        <v>9</v>
      </c>
    </row>
    <row r="6319" spans="1:7" x14ac:dyDescent="0.35">
      <c r="A6319">
        <v>2499</v>
      </c>
      <c r="B6319" s="1">
        <v>45666</v>
      </c>
      <c r="C6319" t="s">
        <v>29</v>
      </c>
      <c r="D6319" s="2">
        <v>1766.46</v>
      </c>
      <c r="E6319" s="2">
        <v>0</v>
      </c>
      <c r="F6319" t="s">
        <v>28</v>
      </c>
      <c r="G6319" t="s">
        <v>17</v>
      </c>
    </row>
    <row r="6320" spans="1:7" x14ac:dyDescent="0.35">
      <c r="A6320">
        <v>2499</v>
      </c>
      <c r="B6320" s="1">
        <v>45666</v>
      </c>
      <c r="C6320" t="s">
        <v>29</v>
      </c>
      <c r="D6320" s="2">
        <v>0</v>
      </c>
      <c r="E6320" s="2">
        <v>1766.46</v>
      </c>
      <c r="F6320" t="s">
        <v>8</v>
      </c>
      <c r="G6320" t="s">
        <v>9</v>
      </c>
    </row>
    <row r="6321" spans="1:7" x14ac:dyDescent="0.35">
      <c r="A6321">
        <v>2500</v>
      </c>
      <c r="B6321" s="1">
        <v>45666</v>
      </c>
      <c r="C6321" t="s">
        <v>29</v>
      </c>
      <c r="D6321" s="2">
        <v>7227.44</v>
      </c>
      <c r="E6321" s="2">
        <v>0</v>
      </c>
      <c r="F6321" t="s">
        <v>28</v>
      </c>
      <c r="G6321" t="s">
        <v>17</v>
      </c>
    </row>
    <row r="6322" spans="1:7" x14ac:dyDescent="0.35">
      <c r="A6322">
        <v>2500</v>
      </c>
      <c r="B6322" s="1">
        <v>45666</v>
      </c>
      <c r="C6322" t="s">
        <v>29</v>
      </c>
      <c r="D6322" s="2">
        <v>0</v>
      </c>
      <c r="E6322" s="2">
        <v>7227.44</v>
      </c>
      <c r="F6322" t="s">
        <v>8</v>
      </c>
      <c r="G6322" t="s">
        <v>9</v>
      </c>
    </row>
    <row r="6323" spans="1:7" x14ac:dyDescent="0.35">
      <c r="A6323">
        <v>2501</v>
      </c>
      <c r="B6323" s="1">
        <v>45666</v>
      </c>
      <c r="C6323" t="s">
        <v>29</v>
      </c>
      <c r="D6323" s="2">
        <v>1794.11</v>
      </c>
      <c r="E6323" s="2">
        <v>0</v>
      </c>
      <c r="F6323" t="s">
        <v>28</v>
      </c>
      <c r="G6323" t="s">
        <v>17</v>
      </c>
    </row>
    <row r="6324" spans="1:7" x14ac:dyDescent="0.35">
      <c r="A6324">
        <v>2501</v>
      </c>
      <c r="B6324" s="1">
        <v>45666</v>
      </c>
      <c r="C6324" t="s">
        <v>29</v>
      </c>
      <c r="D6324" s="2">
        <v>0</v>
      </c>
      <c r="E6324" s="2">
        <v>1794.11</v>
      </c>
      <c r="F6324" t="s">
        <v>8</v>
      </c>
      <c r="G6324" t="s">
        <v>9</v>
      </c>
    </row>
    <row r="6325" spans="1:7" x14ac:dyDescent="0.35">
      <c r="A6325">
        <v>2502</v>
      </c>
      <c r="B6325" s="1">
        <v>45667</v>
      </c>
      <c r="C6325" t="s">
        <v>12</v>
      </c>
      <c r="D6325" s="2">
        <v>2497.0700000000002</v>
      </c>
      <c r="E6325" s="2">
        <v>0</v>
      </c>
      <c r="F6325" t="s">
        <v>13</v>
      </c>
      <c r="G6325" t="s">
        <v>9</v>
      </c>
    </row>
    <row r="6326" spans="1:7" x14ac:dyDescent="0.35">
      <c r="A6326">
        <v>2502</v>
      </c>
      <c r="B6326" s="1">
        <v>45667</v>
      </c>
      <c r="C6326" t="s">
        <v>12</v>
      </c>
      <c r="D6326" s="2">
        <v>0</v>
      </c>
      <c r="E6326" s="2">
        <v>2322.85</v>
      </c>
      <c r="F6326" t="s">
        <v>14</v>
      </c>
      <c r="G6326" t="s">
        <v>15</v>
      </c>
    </row>
    <row r="6327" spans="1:7" x14ac:dyDescent="0.35">
      <c r="A6327">
        <v>2502</v>
      </c>
      <c r="B6327" s="1">
        <v>45667</v>
      </c>
      <c r="C6327" t="s">
        <v>12</v>
      </c>
      <c r="D6327" s="2">
        <v>0</v>
      </c>
      <c r="E6327" s="2">
        <v>174.22</v>
      </c>
      <c r="F6327" t="s">
        <v>16</v>
      </c>
      <c r="G6327" t="s">
        <v>17</v>
      </c>
    </row>
    <row r="6328" spans="1:7" x14ac:dyDescent="0.35">
      <c r="A6328">
        <v>2503</v>
      </c>
      <c r="B6328" s="1">
        <v>45667</v>
      </c>
      <c r="C6328" t="s">
        <v>12</v>
      </c>
      <c r="D6328" s="2">
        <v>1163.3</v>
      </c>
      <c r="E6328" s="2">
        <v>0</v>
      </c>
      <c r="F6328" t="s">
        <v>13</v>
      </c>
      <c r="G6328" t="s">
        <v>9</v>
      </c>
    </row>
    <row r="6329" spans="1:7" x14ac:dyDescent="0.35">
      <c r="A6329">
        <v>2503</v>
      </c>
      <c r="B6329" s="1">
        <v>45667</v>
      </c>
      <c r="C6329" t="s">
        <v>12</v>
      </c>
      <c r="D6329" s="2">
        <v>0</v>
      </c>
      <c r="E6329" s="2">
        <v>1082.1400000000001</v>
      </c>
      <c r="F6329" t="s">
        <v>14</v>
      </c>
      <c r="G6329" t="s">
        <v>15</v>
      </c>
    </row>
    <row r="6330" spans="1:7" x14ac:dyDescent="0.35">
      <c r="A6330">
        <v>2503</v>
      </c>
      <c r="B6330" s="1">
        <v>45667</v>
      </c>
      <c r="C6330" t="s">
        <v>12</v>
      </c>
      <c r="D6330" s="2">
        <v>0</v>
      </c>
      <c r="E6330" s="2">
        <v>81.16</v>
      </c>
      <c r="F6330" t="s">
        <v>16</v>
      </c>
      <c r="G6330" t="s">
        <v>17</v>
      </c>
    </row>
    <row r="6331" spans="1:7" x14ac:dyDescent="0.35">
      <c r="A6331">
        <v>2504</v>
      </c>
      <c r="B6331" s="1">
        <v>45667</v>
      </c>
      <c r="C6331" t="s">
        <v>12</v>
      </c>
      <c r="D6331" s="2">
        <v>1289.22</v>
      </c>
      <c r="E6331" s="2">
        <v>0</v>
      </c>
      <c r="F6331" t="s">
        <v>13</v>
      </c>
      <c r="G6331" t="s">
        <v>9</v>
      </c>
    </row>
    <row r="6332" spans="1:7" x14ac:dyDescent="0.35">
      <c r="A6332">
        <v>2504</v>
      </c>
      <c r="B6332" s="1">
        <v>45667</v>
      </c>
      <c r="C6332" t="s">
        <v>12</v>
      </c>
      <c r="D6332" s="2">
        <v>0</v>
      </c>
      <c r="E6332" s="2">
        <v>1199.28</v>
      </c>
      <c r="F6332" t="s">
        <v>14</v>
      </c>
      <c r="G6332" t="s">
        <v>15</v>
      </c>
    </row>
    <row r="6333" spans="1:7" x14ac:dyDescent="0.35">
      <c r="A6333">
        <v>2504</v>
      </c>
      <c r="B6333" s="1">
        <v>45667</v>
      </c>
      <c r="C6333" t="s">
        <v>12</v>
      </c>
      <c r="D6333" s="2">
        <v>0</v>
      </c>
      <c r="E6333" s="2">
        <v>89.94</v>
      </c>
      <c r="F6333" t="s">
        <v>16</v>
      </c>
      <c r="G6333" t="s">
        <v>17</v>
      </c>
    </row>
    <row r="6334" spans="1:7" x14ac:dyDescent="0.35">
      <c r="A6334">
        <v>2505</v>
      </c>
      <c r="B6334" s="1">
        <v>45667</v>
      </c>
      <c r="C6334" t="s">
        <v>12</v>
      </c>
      <c r="D6334" s="2">
        <v>2955.65</v>
      </c>
      <c r="E6334" s="2">
        <v>0</v>
      </c>
      <c r="F6334" t="s">
        <v>13</v>
      </c>
      <c r="G6334" t="s">
        <v>9</v>
      </c>
    </row>
    <row r="6335" spans="1:7" x14ac:dyDescent="0.35">
      <c r="A6335">
        <v>2505</v>
      </c>
      <c r="B6335" s="1">
        <v>45667</v>
      </c>
      <c r="C6335" t="s">
        <v>12</v>
      </c>
      <c r="D6335" s="2">
        <v>0</v>
      </c>
      <c r="E6335" s="2">
        <v>2749.45</v>
      </c>
      <c r="F6335" t="s">
        <v>14</v>
      </c>
      <c r="G6335" t="s">
        <v>15</v>
      </c>
    </row>
    <row r="6336" spans="1:7" x14ac:dyDescent="0.35">
      <c r="A6336">
        <v>2505</v>
      </c>
      <c r="B6336" s="1">
        <v>45667</v>
      </c>
      <c r="C6336" t="s">
        <v>12</v>
      </c>
      <c r="D6336" s="2">
        <v>0</v>
      </c>
      <c r="E6336" s="2">
        <v>206.2</v>
      </c>
      <c r="F6336" t="s">
        <v>16</v>
      </c>
      <c r="G6336" t="s">
        <v>17</v>
      </c>
    </row>
    <row r="6337" spans="1:7" x14ac:dyDescent="0.35">
      <c r="A6337">
        <v>2506</v>
      </c>
      <c r="B6337" s="1">
        <v>45667</v>
      </c>
      <c r="C6337" t="s">
        <v>12</v>
      </c>
      <c r="D6337" s="2">
        <v>2100.19</v>
      </c>
      <c r="E6337" s="2">
        <v>0</v>
      </c>
      <c r="F6337" t="s">
        <v>13</v>
      </c>
      <c r="G6337" t="s">
        <v>9</v>
      </c>
    </row>
    <row r="6338" spans="1:7" x14ac:dyDescent="0.35">
      <c r="A6338">
        <v>2506</v>
      </c>
      <c r="B6338" s="1">
        <v>45667</v>
      </c>
      <c r="C6338" t="s">
        <v>12</v>
      </c>
      <c r="D6338" s="2">
        <v>0</v>
      </c>
      <c r="E6338" s="2">
        <v>1953.66</v>
      </c>
      <c r="F6338" t="s">
        <v>14</v>
      </c>
      <c r="G6338" t="s">
        <v>15</v>
      </c>
    </row>
    <row r="6339" spans="1:7" x14ac:dyDescent="0.35">
      <c r="A6339">
        <v>2506</v>
      </c>
      <c r="B6339" s="1">
        <v>45667</v>
      </c>
      <c r="C6339" t="s">
        <v>12</v>
      </c>
      <c r="D6339" s="2">
        <v>0</v>
      </c>
      <c r="E6339" s="2">
        <v>146.53</v>
      </c>
      <c r="F6339" t="s">
        <v>16</v>
      </c>
      <c r="G6339" t="s">
        <v>17</v>
      </c>
    </row>
    <row r="6340" spans="1:7" x14ac:dyDescent="0.35">
      <c r="A6340">
        <v>2507</v>
      </c>
      <c r="B6340" s="1">
        <v>45667</v>
      </c>
      <c r="C6340" t="s">
        <v>12</v>
      </c>
      <c r="D6340" s="2">
        <v>3419.76</v>
      </c>
      <c r="E6340" s="2">
        <v>0</v>
      </c>
      <c r="F6340" t="s">
        <v>13</v>
      </c>
      <c r="G6340" t="s">
        <v>9</v>
      </c>
    </row>
    <row r="6341" spans="1:7" x14ac:dyDescent="0.35">
      <c r="A6341">
        <v>2507</v>
      </c>
      <c r="B6341" s="1">
        <v>45667</v>
      </c>
      <c r="C6341" t="s">
        <v>12</v>
      </c>
      <c r="D6341" s="2">
        <v>0</v>
      </c>
      <c r="E6341" s="2">
        <v>3181.17</v>
      </c>
      <c r="F6341" t="s">
        <v>14</v>
      </c>
      <c r="G6341" t="s">
        <v>15</v>
      </c>
    </row>
    <row r="6342" spans="1:7" x14ac:dyDescent="0.35">
      <c r="A6342">
        <v>2507</v>
      </c>
      <c r="B6342" s="1">
        <v>45667</v>
      </c>
      <c r="C6342" t="s">
        <v>12</v>
      </c>
      <c r="D6342" s="2">
        <v>0</v>
      </c>
      <c r="E6342" s="2">
        <v>238.59</v>
      </c>
      <c r="F6342" t="s">
        <v>16</v>
      </c>
      <c r="G6342" t="s">
        <v>17</v>
      </c>
    </row>
    <row r="6343" spans="1:7" x14ac:dyDescent="0.35">
      <c r="A6343">
        <v>2508</v>
      </c>
      <c r="B6343" s="1">
        <v>45667</v>
      </c>
      <c r="C6343" t="s">
        <v>24</v>
      </c>
      <c r="D6343" s="2">
        <v>780.9</v>
      </c>
      <c r="E6343" s="2">
        <v>0</v>
      </c>
      <c r="F6343" t="s">
        <v>8</v>
      </c>
      <c r="G6343" t="s">
        <v>9</v>
      </c>
    </row>
    <row r="6344" spans="1:7" x14ac:dyDescent="0.35">
      <c r="A6344">
        <v>2508</v>
      </c>
      <c r="B6344" s="1">
        <v>45667</v>
      </c>
      <c r="C6344" t="s">
        <v>24</v>
      </c>
      <c r="D6344" s="2">
        <v>0</v>
      </c>
      <c r="E6344" s="2">
        <v>780.9</v>
      </c>
      <c r="F6344" t="s">
        <v>13</v>
      </c>
      <c r="G6344" t="s">
        <v>9</v>
      </c>
    </row>
    <row r="6345" spans="1:7" x14ac:dyDescent="0.35">
      <c r="A6345">
        <v>2509</v>
      </c>
      <c r="B6345" s="1">
        <v>45667</v>
      </c>
      <c r="C6345" t="s">
        <v>24</v>
      </c>
      <c r="D6345" s="2">
        <v>5173.53</v>
      </c>
      <c r="E6345" s="2">
        <v>0</v>
      </c>
      <c r="F6345" t="s">
        <v>8</v>
      </c>
      <c r="G6345" t="s">
        <v>9</v>
      </c>
    </row>
    <row r="6346" spans="1:7" x14ac:dyDescent="0.35">
      <c r="A6346">
        <v>2509</v>
      </c>
      <c r="B6346" s="1">
        <v>45667</v>
      </c>
      <c r="C6346" t="s">
        <v>24</v>
      </c>
      <c r="D6346" s="2">
        <v>0</v>
      </c>
      <c r="E6346" s="2">
        <v>5173.53</v>
      </c>
      <c r="F6346" t="s">
        <v>13</v>
      </c>
      <c r="G6346" t="s">
        <v>9</v>
      </c>
    </row>
    <row r="6347" spans="1:7" x14ac:dyDescent="0.35">
      <c r="A6347">
        <v>2510</v>
      </c>
      <c r="B6347" s="1">
        <v>45667</v>
      </c>
      <c r="C6347" t="s">
        <v>24</v>
      </c>
      <c r="D6347" s="2">
        <v>3429.55</v>
      </c>
      <c r="E6347" s="2">
        <v>0</v>
      </c>
      <c r="F6347" t="s">
        <v>8</v>
      </c>
      <c r="G6347" t="s">
        <v>9</v>
      </c>
    </row>
    <row r="6348" spans="1:7" x14ac:dyDescent="0.35">
      <c r="A6348">
        <v>2510</v>
      </c>
      <c r="B6348" s="1">
        <v>45667</v>
      </c>
      <c r="C6348" t="s">
        <v>24</v>
      </c>
      <c r="D6348" s="2">
        <v>0</v>
      </c>
      <c r="E6348" s="2">
        <v>3429.55</v>
      </c>
      <c r="F6348" t="s">
        <v>13</v>
      </c>
      <c r="G6348" t="s">
        <v>9</v>
      </c>
    </row>
    <row r="6349" spans="1:7" x14ac:dyDescent="0.35">
      <c r="A6349">
        <v>2511</v>
      </c>
      <c r="B6349" s="1">
        <v>45667</v>
      </c>
      <c r="C6349" t="s">
        <v>24</v>
      </c>
      <c r="D6349" s="2">
        <v>2277.9499999999998</v>
      </c>
      <c r="E6349" s="2">
        <v>0</v>
      </c>
      <c r="F6349" t="s">
        <v>8</v>
      </c>
      <c r="G6349" t="s">
        <v>9</v>
      </c>
    </row>
    <row r="6350" spans="1:7" x14ac:dyDescent="0.35">
      <c r="A6350">
        <v>2511</v>
      </c>
      <c r="B6350" s="1">
        <v>45667</v>
      </c>
      <c r="C6350" t="s">
        <v>24</v>
      </c>
      <c r="D6350" s="2">
        <v>0</v>
      </c>
      <c r="E6350" s="2">
        <v>2277.9499999999998</v>
      </c>
      <c r="F6350" t="s">
        <v>13</v>
      </c>
      <c r="G6350" t="s">
        <v>9</v>
      </c>
    </row>
    <row r="6351" spans="1:7" x14ac:dyDescent="0.35">
      <c r="A6351">
        <v>2512</v>
      </c>
      <c r="B6351" s="1">
        <v>45667</v>
      </c>
      <c r="C6351" t="s">
        <v>24</v>
      </c>
      <c r="D6351" s="2">
        <v>468.8</v>
      </c>
      <c r="E6351" s="2">
        <v>0</v>
      </c>
      <c r="F6351" t="s">
        <v>8</v>
      </c>
      <c r="G6351" t="s">
        <v>9</v>
      </c>
    </row>
    <row r="6352" spans="1:7" x14ac:dyDescent="0.35">
      <c r="A6352">
        <v>2512</v>
      </c>
      <c r="B6352" s="1">
        <v>45667</v>
      </c>
      <c r="C6352" t="s">
        <v>24</v>
      </c>
      <c r="D6352" s="2">
        <v>0</v>
      </c>
      <c r="E6352" s="2">
        <v>468.8</v>
      </c>
      <c r="F6352" t="s">
        <v>13</v>
      </c>
      <c r="G6352" t="s">
        <v>9</v>
      </c>
    </row>
    <row r="6353" spans="1:7" x14ac:dyDescent="0.35">
      <c r="A6353">
        <v>2513</v>
      </c>
      <c r="B6353" s="1">
        <v>45667</v>
      </c>
      <c r="C6353" t="s">
        <v>24</v>
      </c>
      <c r="D6353" s="2">
        <v>2582.7600000000002</v>
      </c>
      <c r="E6353" s="2">
        <v>0</v>
      </c>
      <c r="F6353" t="s">
        <v>8</v>
      </c>
      <c r="G6353" t="s">
        <v>9</v>
      </c>
    </row>
    <row r="6354" spans="1:7" x14ac:dyDescent="0.35">
      <c r="A6354">
        <v>2513</v>
      </c>
      <c r="B6354" s="1">
        <v>45667</v>
      </c>
      <c r="C6354" t="s">
        <v>24</v>
      </c>
      <c r="D6354" s="2">
        <v>0</v>
      </c>
      <c r="E6354" s="2">
        <v>2582.7600000000002</v>
      </c>
      <c r="F6354" t="s">
        <v>13</v>
      </c>
      <c r="G6354" t="s">
        <v>9</v>
      </c>
    </row>
    <row r="6355" spans="1:7" x14ac:dyDescent="0.35">
      <c r="A6355">
        <v>2514</v>
      </c>
      <c r="B6355" s="1">
        <v>45667</v>
      </c>
      <c r="C6355" t="s">
        <v>24</v>
      </c>
      <c r="D6355" s="2">
        <v>1759.23</v>
      </c>
      <c r="E6355" s="2">
        <v>0</v>
      </c>
      <c r="F6355" t="s">
        <v>8</v>
      </c>
      <c r="G6355" t="s">
        <v>9</v>
      </c>
    </row>
    <row r="6356" spans="1:7" x14ac:dyDescent="0.35">
      <c r="A6356">
        <v>2514</v>
      </c>
      <c r="B6356" s="1">
        <v>45667</v>
      </c>
      <c r="C6356" t="s">
        <v>24</v>
      </c>
      <c r="D6356" s="2">
        <v>0</v>
      </c>
      <c r="E6356" s="2">
        <v>1759.23</v>
      </c>
      <c r="F6356" t="s">
        <v>13</v>
      </c>
      <c r="G6356" t="s">
        <v>9</v>
      </c>
    </row>
    <row r="6357" spans="1:7" x14ac:dyDescent="0.35">
      <c r="A6357">
        <v>2515</v>
      </c>
      <c r="B6357" s="1">
        <v>45667</v>
      </c>
      <c r="C6357" t="s">
        <v>25</v>
      </c>
      <c r="D6357" s="2">
        <v>952.02</v>
      </c>
      <c r="E6357" s="2">
        <v>0</v>
      </c>
      <c r="F6357" t="s">
        <v>26</v>
      </c>
      <c r="G6357" t="s">
        <v>20</v>
      </c>
    </row>
    <row r="6358" spans="1:7" x14ac:dyDescent="0.35">
      <c r="A6358">
        <v>2515</v>
      </c>
      <c r="B6358" s="1">
        <v>45667</v>
      </c>
      <c r="C6358" t="s">
        <v>25</v>
      </c>
      <c r="D6358" s="2">
        <v>71.400000000000006</v>
      </c>
      <c r="E6358" s="2">
        <v>0</v>
      </c>
      <c r="F6358" t="s">
        <v>27</v>
      </c>
      <c r="G6358" t="s">
        <v>9</v>
      </c>
    </row>
    <row r="6359" spans="1:7" x14ac:dyDescent="0.35">
      <c r="A6359">
        <v>2515</v>
      </c>
      <c r="B6359" s="1">
        <v>45667</v>
      </c>
      <c r="C6359" t="s">
        <v>25</v>
      </c>
      <c r="D6359" s="2">
        <v>0</v>
      </c>
      <c r="E6359" s="2">
        <v>1023.42</v>
      </c>
      <c r="F6359" t="s">
        <v>28</v>
      </c>
      <c r="G6359" t="s">
        <v>17</v>
      </c>
    </row>
    <row r="6360" spans="1:7" x14ac:dyDescent="0.35">
      <c r="A6360">
        <v>2516</v>
      </c>
      <c r="B6360" s="1">
        <v>45667</v>
      </c>
      <c r="C6360" t="s">
        <v>29</v>
      </c>
      <c r="D6360" s="2">
        <v>412.54</v>
      </c>
      <c r="E6360" s="2">
        <v>0</v>
      </c>
      <c r="F6360" t="s">
        <v>28</v>
      </c>
      <c r="G6360" t="s">
        <v>17</v>
      </c>
    </row>
    <row r="6361" spans="1:7" x14ac:dyDescent="0.35">
      <c r="A6361">
        <v>2516</v>
      </c>
      <c r="B6361" s="1">
        <v>45667</v>
      </c>
      <c r="C6361" t="s">
        <v>29</v>
      </c>
      <c r="D6361" s="2">
        <v>0</v>
      </c>
      <c r="E6361" s="2">
        <v>412.54</v>
      </c>
      <c r="F6361" t="s">
        <v>8</v>
      </c>
      <c r="G6361" t="s">
        <v>9</v>
      </c>
    </row>
    <row r="6362" spans="1:7" x14ac:dyDescent="0.35">
      <c r="A6362">
        <v>2517</v>
      </c>
      <c r="B6362" s="1">
        <v>45667</v>
      </c>
      <c r="C6362" t="s">
        <v>29</v>
      </c>
      <c r="D6362" s="2">
        <v>1958.74</v>
      </c>
      <c r="E6362" s="2">
        <v>0</v>
      </c>
      <c r="F6362" t="s">
        <v>28</v>
      </c>
      <c r="G6362" t="s">
        <v>17</v>
      </c>
    </row>
    <row r="6363" spans="1:7" x14ac:dyDescent="0.35">
      <c r="A6363">
        <v>2517</v>
      </c>
      <c r="B6363" s="1">
        <v>45667</v>
      </c>
      <c r="C6363" t="s">
        <v>29</v>
      </c>
      <c r="D6363" s="2">
        <v>0</v>
      </c>
      <c r="E6363" s="2">
        <v>1958.74</v>
      </c>
      <c r="F6363" t="s">
        <v>8</v>
      </c>
      <c r="G6363" t="s">
        <v>9</v>
      </c>
    </row>
    <row r="6364" spans="1:7" x14ac:dyDescent="0.35">
      <c r="A6364">
        <v>2518</v>
      </c>
      <c r="B6364" s="1">
        <v>45667</v>
      </c>
      <c r="C6364" t="s">
        <v>29</v>
      </c>
      <c r="D6364" s="2">
        <v>4812.46</v>
      </c>
      <c r="E6364" s="2">
        <v>0</v>
      </c>
      <c r="F6364" t="s">
        <v>28</v>
      </c>
      <c r="G6364" t="s">
        <v>17</v>
      </c>
    </row>
    <row r="6365" spans="1:7" x14ac:dyDescent="0.35">
      <c r="A6365">
        <v>2518</v>
      </c>
      <c r="B6365" s="1">
        <v>45667</v>
      </c>
      <c r="C6365" t="s">
        <v>29</v>
      </c>
      <c r="D6365" s="2">
        <v>0</v>
      </c>
      <c r="E6365" s="2">
        <v>4812.46</v>
      </c>
      <c r="F6365" t="s">
        <v>8</v>
      </c>
      <c r="G6365" t="s">
        <v>9</v>
      </c>
    </row>
    <row r="6366" spans="1:7" x14ac:dyDescent="0.35">
      <c r="A6366">
        <v>2519</v>
      </c>
      <c r="B6366" s="1">
        <v>45670</v>
      </c>
      <c r="C6366" t="s">
        <v>12</v>
      </c>
      <c r="D6366" s="2">
        <v>2050.65</v>
      </c>
      <c r="E6366" s="2">
        <v>0</v>
      </c>
      <c r="F6366" t="s">
        <v>13</v>
      </c>
      <c r="G6366" t="s">
        <v>9</v>
      </c>
    </row>
    <row r="6367" spans="1:7" x14ac:dyDescent="0.35">
      <c r="A6367">
        <v>2519</v>
      </c>
      <c r="B6367" s="1">
        <v>45670</v>
      </c>
      <c r="C6367" t="s">
        <v>12</v>
      </c>
      <c r="D6367" s="2">
        <v>0</v>
      </c>
      <c r="E6367" s="2">
        <v>1907.59</v>
      </c>
      <c r="F6367" t="s">
        <v>14</v>
      </c>
      <c r="G6367" t="s">
        <v>15</v>
      </c>
    </row>
    <row r="6368" spans="1:7" x14ac:dyDescent="0.35">
      <c r="A6368">
        <v>2519</v>
      </c>
      <c r="B6368" s="1">
        <v>45670</v>
      </c>
      <c r="C6368" t="s">
        <v>12</v>
      </c>
      <c r="D6368" s="2">
        <v>0</v>
      </c>
      <c r="E6368" s="2">
        <v>143.06</v>
      </c>
      <c r="F6368" t="s">
        <v>16</v>
      </c>
      <c r="G6368" t="s">
        <v>17</v>
      </c>
    </row>
    <row r="6369" spans="1:7" x14ac:dyDescent="0.35">
      <c r="A6369">
        <v>2520</v>
      </c>
      <c r="B6369" s="1">
        <v>45670</v>
      </c>
      <c r="C6369" t="s">
        <v>12</v>
      </c>
      <c r="D6369" s="2">
        <v>2971.37</v>
      </c>
      <c r="E6369" s="2">
        <v>0</v>
      </c>
      <c r="F6369" t="s">
        <v>13</v>
      </c>
      <c r="G6369" t="s">
        <v>9</v>
      </c>
    </row>
    <row r="6370" spans="1:7" x14ac:dyDescent="0.35">
      <c r="A6370">
        <v>2520</v>
      </c>
      <c r="B6370" s="1">
        <v>45670</v>
      </c>
      <c r="C6370" t="s">
        <v>12</v>
      </c>
      <c r="D6370" s="2">
        <v>0</v>
      </c>
      <c r="E6370" s="2">
        <v>2764.06</v>
      </c>
      <c r="F6370" t="s">
        <v>14</v>
      </c>
      <c r="G6370" t="s">
        <v>15</v>
      </c>
    </row>
    <row r="6371" spans="1:7" x14ac:dyDescent="0.35">
      <c r="A6371">
        <v>2520</v>
      </c>
      <c r="B6371" s="1">
        <v>45670</v>
      </c>
      <c r="C6371" t="s">
        <v>12</v>
      </c>
      <c r="D6371" s="2">
        <v>0</v>
      </c>
      <c r="E6371" s="2">
        <v>207.31</v>
      </c>
      <c r="F6371" t="s">
        <v>16</v>
      </c>
      <c r="G6371" t="s">
        <v>17</v>
      </c>
    </row>
    <row r="6372" spans="1:7" x14ac:dyDescent="0.35">
      <c r="A6372">
        <v>2521</v>
      </c>
      <c r="B6372" s="1">
        <v>45670</v>
      </c>
      <c r="C6372" t="s">
        <v>24</v>
      </c>
      <c r="D6372" s="2">
        <v>3366.63</v>
      </c>
      <c r="E6372" s="2">
        <v>0</v>
      </c>
      <c r="F6372" t="s">
        <v>8</v>
      </c>
      <c r="G6372" t="s">
        <v>9</v>
      </c>
    </row>
    <row r="6373" spans="1:7" x14ac:dyDescent="0.35">
      <c r="A6373">
        <v>2521</v>
      </c>
      <c r="B6373" s="1">
        <v>45670</v>
      </c>
      <c r="C6373" t="s">
        <v>24</v>
      </c>
      <c r="D6373" s="2">
        <v>0</v>
      </c>
      <c r="E6373" s="2">
        <v>3366.63</v>
      </c>
      <c r="F6373" t="s">
        <v>13</v>
      </c>
      <c r="G6373" t="s">
        <v>9</v>
      </c>
    </row>
    <row r="6374" spans="1:7" x14ac:dyDescent="0.35">
      <c r="A6374">
        <v>2522</v>
      </c>
      <c r="B6374" s="1">
        <v>45670</v>
      </c>
      <c r="C6374" t="s">
        <v>24</v>
      </c>
      <c r="D6374" s="2">
        <v>1196.6300000000001</v>
      </c>
      <c r="E6374" s="2">
        <v>0</v>
      </c>
      <c r="F6374" t="s">
        <v>8</v>
      </c>
      <c r="G6374" t="s">
        <v>9</v>
      </c>
    </row>
    <row r="6375" spans="1:7" x14ac:dyDescent="0.35">
      <c r="A6375">
        <v>2522</v>
      </c>
      <c r="B6375" s="1">
        <v>45670</v>
      </c>
      <c r="C6375" t="s">
        <v>24</v>
      </c>
      <c r="D6375" s="2">
        <v>0</v>
      </c>
      <c r="E6375" s="2">
        <v>1196.6300000000001</v>
      </c>
      <c r="F6375" t="s">
        <v>13</v>
      </c>
      <c r="G6375" t="s">
        <v>9</v>
      </c>
    </row>
    <row r="6376" spans="1:7" x14ac:dyDescent="0.35">
      <c r="A6376">
        <v>2523</v>
      </c>
      <c r="B6376" s="1">
        <v>45670</v>
      </c>
      <c r="C6376" t="s">
        <v>24</v>
      </c>
      <c r="D6376" s="2">
        <v>1109.7</v>
      </c>
      <c r="E6376" s="2">
        <v>0</v>
      </c>
      <c r="F6376" t="s">
        <v>8</v>
      </c>
      <c r="G6376" t="s">
        <v>9</v>
      </c>
    </row>
    <row r="6377" spans="1:7" x14ac:dyDescent="0.35">
      <c r="A6377">
        <v>2523</v>
      </c>
      <c r="B6377" s="1">
        <v>45670</v>
      </c>
      <c r="C6377" t="s">
        <v>24</v>
      </c>
      <c r="D6377" s="2">
        <v>0</v>
      </c>
      <c r="E6377" s="2">
        <v>1109.7</v>
      </c>
      <c r="F6377" t="s">
        <v>13</v>
      </c>
      <c r="G6377" t="s">
        <v>9</v>
      </c>
    </row>
    <row r="6378" spans="1:7" x14ac:dyDescent="0.35">
      <c r="A6378">
        <v>2524</v>
      </c>
      <c r="B6378" s="1">
        <v>45670</v>
      </c>
      <c r="C6378" t="s">
        <v>24</v>
      </c>
      <c r="D6378" s="2">
        <v>4269.3500000000004</v>
      </c>
      <c r="E6378" s="2">
        <v>0</v>
      </c>
      <c r="F6378" t="s">
        <v>8</v>
      </c>
      <c r="G6378" t="s">
        <v>9</v>
      </c>
    </row>
    <row r="6379" spans="1:7" x14ac:dyDescent="0.35">
      <c r="A6379">
        <v>2524</v>
      </c>
      <c r="B6379" s="1">
        <v>45670</v>
      </c>
      <c r="C6379" t="s">
        <v>24</v>
      </c>
      <c r="D6379" s="2">
        <v>0</v>
      </c>
      <c r="E6379" s="2">
        <v>4269.3500000000004</v>
      </c>
      <c r="F6379" t="s">
        <v>13</v>
      </c>
      <c r="G6379" t="s">
        <v>9</v>
      </c>
    </row>
    <row r="6380" spans="1:7" x14ac:dyDescent="0.35">
      <c r="A6380">
        <v>2525</v>
      </c>
      <c r="B6380" s="1">
        <v>45670</v>
      </c>
      <c r="C6380" t="s">
        <v>24</v>
      </c>
      <c r="D6380" s="2">
        <v>603.03</v>
      </c>
      <c r="E6380" s="2">
        <v>0</v>
      </c>
      <c r="F6380" t="s">
        <v>8</v>
      </c>
      <c r="G6380" t="s">
        <v>9</v>
      </c>
    </row>
    <row r="6381" spans="1:7" x14ac:dyDescent="0.35">
      <c r="A6381">
        <v>2525</v>
      </c>
      <c r="B6381" s="1">
        <v>45670</v>
      </c>
      <c r="C6381" t="s">
        <v>24</v>
      </c>
      <c r="D6381" s="2">
        <v>0</v>
      </c>
      <c r="E6381" s="2">
        <v>603.03</v>
      </c>
      <c r="F6381" t="s">
        <v>13</v>
      </c>
      <c r="G6381" t="s">
        <v>9</v>
      </c>
    </row>
    <row r="6382" spans="1:7" x14ac:dyDescent="0.35">
      <c r="A6382">
        <v>2526</v>
      </c>
      <c r="B6382" s="1">
        <v>45670</v>
      </c>
      <c r="C6382" t="s">
        <v>25</v>
      </c>
      <c r="D6382" s="2">
        <v>3282.76</v>
      </c>
      <c r="E6382" s="2">
        <v>0</v>
      </c>
      <c r="F6382" t="s">
        <v>26</v>
      </c>
      <c r="G6382" t="s">
        <v>20</v>
      </c>
    </row>
    <row r="6383" spans="1:7" x14ac:dyDescent="0.35">
      <c r="A6383">
        <v>2526</v>
      </c>
      <c r="B6383" s="1">
        <v>45670</v>
      </c>
      <c r="C6383" t="s">
        <v>25</v>
      </c>
      <c r="D6383" s="2">
        <v>246.21</v>
      </c>
      <c r="E6383" s="2">
        <v>0</v>
      </c>
      <c r="F6383" t="s">
        <v>27</v>
      </c>
      <c r="G6383" t="s">
        <v>9</v>
      </c>
    </row>
    <row r="6384" spans="1:7" x14ac:dyDescent="0.35">
      <c r="A6384">
        <v>2526</v>
      </c>
      <c r="B6384" s="1">
        <v>45670</v>
      </c>
      <c r="C6384" t="s">
        <v>25</v>
      </c>
      <c r="D6384" s="2">
        <v>0</v>
      </c>
      <c r="E6384" s="2">
        <v>3528.97</v>
      </c>
      <c r="F6384" t="s">
        <v>28</v>
      </c>
      <c r="G6384" t="s">
        <v>17</v>
      </c>
    </row>
    <row r="6385" spans="1:7" x14ac:dyDescent="0.35">
      <c r="A6385">
        <v>2527</v>
      </c>
      <c r="B6385" s="1">
        <v>45670</v>
      </c>
      <c r="C6385" t="s">
        <v>25</v>
      </c>
      <c r="D6385" s="2">
        <v>2714.58</v>
      </c>
      <c r="E6385" s="2">
        <v>0</v>
      </c>
      <c r="F6385" t="s">
        <v>26</v>
      </c>
      <c r="G6385" t="s">
        <v>20</v>
      </c>
    </row>
    <row r="6386" spans="1:7" x14ac:dyDescent="0.35">
      <c r="A6386">
        <v>2527</v>
      </c>
      <c r="B6386" s="1">
        <v>45670</v>
      </c>
      <c r="C6386" t="s">
        <v>25</v>
      </c>
      <c r="D6386" s="2">
        <v>203.59</v>
      </c>
      <c r="E6386" s="2">
        <v>0</v>
      </c>
      <c r="F6386" t="s">
        <v>27</v>
      </c>
      <c r="G6386" t="s">
        <v>9</v>
      </c>
    </row>
    <row r="6387" spans="1:7" x14ac:dyDescent="0.35">
      <c r="A6387">
        <v>2527</v>
      </c>
      <c r="B6387" s="1">
        <v>45670</v>
      </c>
      <c r="C6387" t="s">
        <v>25</v>
      </c>
      <c r="D6387" s="2">
        <v>0</v>
      </c>
      <c r="E6387" s="2">
        <v>2918.17</v>
      </c>
      <c r="F6387" t="s">
        <v>28</v>
      </c>
      <c r="G6387" t="s">
        <v>17</v>
      </c>
    </row>
    <row r="6388" spans="1:7" x14ac:dyDescent="0.35">
      <c r="A6388">
        <v>2528</v>
      </c>
      <c r="B6388" s="1">
        <v>45670</v>
      </c>
      <c r="C6388" t="s">
        <v>25</v>
      </c>
      <c r="D6388" s="2">
        <v>4476.71</v>
      </c>
      <c r="E6388" s="2">
        <v>0</v>
      </c>
      <c r="F6388" t="s">
        <v>26</v>
      </c>
      <c r="G6388" t="s">
        <v>20</v>
      </c>
    </row>
    <row r="6389" spans="1:7" x14ac:dyDescent="0.35">
      <c r="A6389">
        <v>2528</v>
      </c>
      <c r="B6389" s="1">
        <v>45670</v>
      </c>
      <c r="C6389" t="s">
        <v>25</v>
      </c>
      <c r="D6389" s="2">
        <v>335.75</v>
      </c>
      <c r="E6389" s="2">
        <v>0</v>
      </c>
      <c r="F6389" t="s">
        <v>27</v>
      </c>
      <c r="G6389" t="s">
        <v>9</v>
      </c>
    </row>
    <row r="6390" spans="1:7" x14ac:dyDescent="0.35">
      <c r="A6390">
        <v>2528</v>
      </c>
      <c r="B6390" s="1">
        <v>45670</v>
      </c>
      <c r="C6390" t="s">
        <v>25</v>
      </c>
      <c r="D6390" s="2">
        <v>0</v>
      </c>
      <c r="E6390" s="2">
        <v>4812.46</v>
      </c>
      <c r="F6390" t="s">
        <v>28</v>
      </c>
      <c r="G6390" t="s">
        <v>17</v>
      </c>
    </row>
    <row r="6391" spans="1:7" x14ac:dyDescent="0.35">
      <c r="A6391">
        <v>2529</v>
      </c>
      <c r="B6391" s="1">
        <v>45670</v>
      </c>
      <c r="C6391" t="s">
        <v>25</v>
      </c>
      <c r="D6391" s="2">
        <v>1078.92</v>
      </c>
      <c r="E6391" s="2">
        <v>0</v>
      </c>
      <c r="F6391" t="s">
        <v>26</v>
      </c>
      <c r="G6391" t="s">
        <v>20</v>
      </c>
    </row>
    <row r="6392" spans="1:7" x14ac:dyDescent="0.35">
      <c r="A6392">
        <v>2529</v>
      </c>
      <c r="B6392" s="1">
        <v>45670</v>
      </c>
      <c r="C6392" t="s">
        <v>25</v>
      </c>
      <c r="D6392" s="2">
        <v>80.92</v>
      </c>
      <c r="E6392" s="2">
        <v>0</v>
      </c>
      <c r="F6392" t="s">
        <v>27</v>
      </c>
      <c r="G6392" t="s">
        <v>9</v>
      </c>
    </row>
    <row r="6393" spans="1:7" x14ac:dyDescent="0.35">
      <c r="A6393">
        <v>2529</v>
      </c>
      <c r="B6393" s="1">
        <v>45670</v>
      </c>
      <c r="C6393" t="s">
        <v>25</v>
      </c>
      <c r="D6393" s="2">
        <v>0</v>
      </c>
      <c r="E6393" s="2">
        <v>1159.8399999999999</v>
      </c>
      <c r="F6393" t="s">
        <v>28</v>
      </c>
      <c r="G6393" t="s">
        <v>17</v>
      </c>
    </row>
    <row r="6394" spans="1:7" x14ac:dyDescent="0.35">
      <c r="A6394">
        <v>2530</v>
      </c>
      <c r="B6394" s="1">
        <v>45670</v>
      </c>
      <c r="C6394" t="s">
        <v>25</v>
      </c>
      <c r="D6394" s="2">
        <v>802.71</v>
      </c>
      <c r="E6394" s="2">
        <v>0</v>
      </c>
      <c r="F6394" t="s">
        <v>26</v>
      </c>
      <c r="G6394" t="s">
        <v>20</v>
      </c>
    </row>
    <row r="6395" spans="1:7" x14ac:dyDescent="0.35">
      <c r="A6395">
        <v>2530</v>
      </c>
      <c r="B6395" s="1">
        <v>45670</v>
      </c>
      <c r="C6395" t="s">
        <v>25</v>
      </c>
      <c r="D6395" s="2">
        <v>60.2</v>
      </c>
      <c r="E6395" s="2">
        <v>0</v>
      </c>
      <c r="F6395" t="s">
        <v>27</v>
      </c>
      <c r="G6395" t="s">
        <v>9</v>
      </c>
    </row>
    <row r="6396" spans="1:7" x14ac:dyDescent="0.35">
      <c r="A6396">
        <v>2530</v>
      </c>
      <c r="B6396" s="1">
        <v>45670</v>
      </c>
      <c r="C6396" t="s">
        <v>25</v>
      </c>
      <c r="D6396" s="2">
        <v>0</v>
      </c>
      <c r="E6396" s="2">
        <v>862.91</v>
      </c>
      <c r="F6396" t="s">
        <v>28</v>
      </c>
      <c r="G6396" t="s">
        <v>17</v>
      </c>
    </row>
    <row r="6397" spans="1:7" x14ac:dyDescent="0.35">
      <c r="A6397">
        <v>2531</v>
      </c>
      <c r="B6397" s="1">
        <v>45670</v>
      </c>
      <c r="C6397" t="s">
        <v>29</v>
      </c>
      <c r="D6397" s="2">
        <v>3528.97</v>
      </c>
      <c r="E6397" s="2">
        <v>0</v>
      </c>
      <c r="F6397" t="s">
        <v>28</v>
      </c>
      <c r="G6397" t="s">
        <v>17</v>
      </c>
    </row>
    <row r="6398" spans="1:7" x14ac:dyDescent="0.35">
      <c r="A6398">
        <v>2531</v>
      </c>
      <c r="B6398" s="1">
        <v>45670</v>
      </c>
      <c r="C6398" t="s">
        <v>29</v>
      </c>
      <c r="D6398" s="2">
        <v>0</v>
      </c>
      <c r="E6398" s="2">
        <v>3528.97</v>
      </c>
      <c r="F6398" t="s">
        <v>8</v>
      </c>
      <c r="G6398" t="s">
        <v>9</v>
      </c>
    </row>
    <row r="6399" spans="1:7" x14ac:dyDescent="0.35">
      <c r="A6399">
        <v>2532</v>
      </c>
      <c r="B6399" s="1">
        <v>45670</v>
      </c>
      <c r="C6399" t="s">
        <v>29</v>
      </c>
      <c r="D6399" s="2">
        <v>276.32</v>
      </c>
      <c r="E6399" s="2">
        <v>0</v>
      </c>
      <c r="F6399" t="s">
        <v>28</v>
      </c>
      <c r="G6399" t="s">
        <v>17</v>
      </c>
    </row>
    <row r="6400" spans="1:7" x14ac:dyDescent="0.35">
      <c r="A6400">
        <v>2532</v>
      </c>
      <c r="B6400" s="1">
        <v>45670</v>
      </c>
      <c r="C6400" t="s">
        <v>29</v>
      </c>
      <c r="D6400" s="2">
        <v>0</v>
      </c>
      <c r="E6400" s="2">
        <v>276.32</v>
      </c>
      <c r="F6400" t="s">
        <v>8</v>
      </c>
      <c r="G6400" t="s">
        <v>9</v>
      </c>
    </row>
    <row r="6401" spans="1:7" x14ac:dyDescent="0.35">
      <c r="A6401">
        <v>2533</v>
      </c>
      <c r="B6401" s="1">
        <v>45670</v>
      </c>
      <c r="C6401" t="s">
        <v>29</v>
      </c>
      <c r="D6401" s="2">
        <v>179.01</v>
      </c>
      <c r="E6401" s="2">
        <v>0</v>
      </c>
      <c r="F6401" t="s">
        <v>28</v>
      </c>
      <c r="G6401" t="s">
        <v>17</v>
      </c>
    </row>
    <row r="6402" spans="1:7" x14ac:dyDescent="0.35">
      <c r="A6402">
        <v>2533</v>
      </c>
      <c r="B6402" s="1">
        <v>45670</v>
      </c>
      <c r="C6402" t="s">
        <v>29</v>
      </c>
      <c r="D6402" s="2">
        <v>0</v>
      </c>
      <c r="E6402" s="2">
        <v>179.01</v>
      </c>
      <c r="F6402" t="s">
        <v>8</v>
      </c>
      <c r="G6402" t="s">
        <v>9</v>
      </c>
    </row>
    <row r="6403" spans="1:7" x14ac:dyDescent="0.35">
      <c r="A6403">
        <v>2534</v>
      </c>
      <c r="B6403" s="1">
        <v>45670</v>
      </c>
      <c r="C6403" t="s">
        <v>29</v>
      </c>
      <c r="D6403" s="2">
        <v>748.26</v>
      </c>
      <c r="E6403" s="2">
        <v>0</v>
      </c>
      <c r="F6403" t="s">
        <v>28</v>
      </c>
      <c r="G6403" t="s">
        <v>17</v>
      </c>
    </row>
    <row r="6404" spans="1:7" x14ac:dyDescent="0.35">
      <c r="A6404">
        <v>2534</v>
      </c>
      <c r="B6404" s="1">
        <v>45670</v>
      </c>
      <c r="C6404" t="s">
        <v>29</v>
      </c>
      <c r="D6404" s="2">
        <v>0</v>
      </c>
      <c r="E6404" s="2">
        <v>748.26</v>
      </c>
      <c r="F6404" t="s">
        <v>8</v>
      </c>
      <c r="G6404" t="s">
        <v>9</v>
      </c>
    </row>
    <row r="6405" spans="1:7" x14ac:dyDescent="0.35">
      <c r="A6405">
        <v>2535</v>
      </c>
      <c r="B6405" s="1">
        <v>45670</v>
      </c>
      <c r="C6405" t="s">
        <v>29</v>
      </c>
      <c r="D6405" s="2">
        <v>862.91</v>
      </c>
      <c r="E6405" s="2">
        <v>0</v>
      </c>
      <c r="F6405" t="s">
        <v>28</v>
      </c>
      <c r="G6405" t="s">
        <v>17</v>
      </c>
    </row>
    <row r="6406" spans="1:7" x14ac:dyDescent="0.35">
      <c r="A6406">
        <v>2535</v>
      </c>
      <c r="B6406" s="1">
        <v>45670</v>
      </c>
      <c r="C6406" t="s">
        <v>29</v>
      </c>
      <c r="D6406" s="2">
        <v>0</v>
      </c>
      <c r="E6406" s="2">
        <v>862.91</v>
      </c>
      <c r="F6406" t="s">
        <v>8</v>
      </c>
      <c r="G6406" t="s">
        <v>9</v>
      </c>
    </row>
    <row r="6407" spans="1:7" x14ac:dyDescent="0.35">
      <c r="A6407">
        <v>2536</v>
      </c>
      <c r="B6407" s="1">
        <v>45671</v>
      </c>
      <c r="C6407" t="s">
        <v>12</v>
      </c>
      <c r="D6407" s="2">
        <v>5867.24</v>
      </c>
      <c r="E6407" s="2">
        <v>0</v>
      </c>
      <c r="F6407" t="s">
        <v>13</v>
      </c>
      <c r="G6407" t="s">
        <v>9</v>
      </c>
    </row>
    <row r="6408" spans="1:7" x14ac:dyDescent="0.35">
      <c r="A6408">
        <v>2536</v>
      </c>
      <c r="B6408" s="1">
        <v>45671</v>
      </c>
      <c r="C6408" t="s">
        <v>12</v>
      </c>
      <c r="D6408" s="2">
        <v>0</v>
      </c>
      <c r="E6408" s="2">
        <v>5457.9</v>
      </c>
      <c r="F6408" t="s">
        <v>14</v>
      </c>
      <c r="G6408" t="s">
        <v>15</v>
      </c>
    </row>
    <row r="6409" spans="1:7" x14ac:dyDescent="0.35">
      <c r="A6409">
        <v>2536</v>
      </c>
      <c r="B6409" s="1">
        <v>45671</v>
      </c>
      <c r="C6409" t="s">
        <v>12</v>
      </c>
      <c r="D6409" s="2">
        <v>0</v>
      </c>
      <c r="E6409" s="2">
        <v>409.34</v>
      </c>
      <c r="F6409" t="s">
        <v>16</v>
      </c>
      <c r="G6409" t="s">
        <v>17</v>
      </c>
    </row>
    <row r="6410" spans="1:7" x14ac:dyDescent="0.35">
      <c r="A6410">
        <v>2537</v>
      </c>
      <c r="B6410" s="1">
        <v>45671</v>
      </c>
      <c r="C6410" t="s">
        <v>24</v>
      </c>
      <c r="D6410" s="2">
        <v>930.57</v>
      </c>
      <c r="E6410" s="2">
        <v>0</v>
      </c>
      <c r="F6410" t="s">
        <v>8</v>
      </c>
      <c r="G6410" t="s">
        <v>9</v>
      </c>
    </row>
    <row r="6411" spans="1:7" x14ac:dyDescent="0.35">
      <c r="A6411">
        <v>2537</v>
      </c>
      <c r="B6411" s="1">
        <v>45671</v>
      </c>
      <c r="C6411" t="s">
        <v>24</v>
      </c>
      <c r="D6411" s="2">
        <v>0</v>
      </c>
      <c r="E6411" s="2">
        <v>930.57</v>
      </c>
      <c r="F6411" t="s">
        <v>13</v>
      </c>
      <c r="G6411" t="s">
        <v>9</v>
      </c>
    </row>
    <row r="6412" spans="1:7" x14ac:dyDescent="0.35">
      <c r="A6412">
        <v>2538</v>
      </c>
      <c r="B6412" s="1">
        <v>45671</v>
      </c>
      <c r="C6412" t="s">
        <v>24</v>
      </c>
      <c r="D6412" s="2">
        <v>971.82</v>
      </c>
      <c r="E6412" s="2">
        <v>0</v>
      </c>
      <c r="F6412" t="s">
        <v>8</v>
      </c>
      <c r="G6412" t="s">
        <v>9</v>
      </c>
    </row>
    <row r="6413" spans="1:7" x14ac:dyDescent="0.35">
      <c r="A6413">
        <v>2538</v>
      </c>
      <c r="B6413" s="1">
        <v>45671</v>
      </c>
      <c r="C6413" t="s">
        <v>24</v>
      </c>
      <c r="D6413" s="2">
        <v>0</v>
      </c>
      <c r="E6413" s="2">
        <v>971.82</v>
      </c>
      <c r="F6413" t="s">
        <v>13</v>
      </c>
      <c r="G6413" t="s">
        <v>9</v>
      </c>
    </row>
    <row r="6414" spans="1:7" x14ac:dyDescent="0.35">
      <c r="A6414">
        <v>2539</v>
      </c>
      <c r="B6414" s="1">
        <v>45671</v>
      </c>
      <c r="C6414" t="s">
        <v>24</v>
      </c>
      <c r="D6414" s="2">
        <v>1216.3699999999999</v>
      </c>
      <c r="E6414" s="2">
        <v>0</v>
      </c>
      <c r="F6414" t="s">
        <v>8</v>
      </c>
      <c r="G6414" t="s">
        <v>9</v>
      </c>
    </row>
    <row r="6415" spans="1:7" x14ac:dyDescent="0.35">
      <c r="A6415">
        <v>2539</v>
      </c>
      <c r="B6415" s="1">
        <v>45671</v>
      </c>
      <c r="C6415" t="s">
        <v>24</v>
      </c>
      <c r="D6415" s="2">
        <v>0</v>
      </c>
      <c r="E6415" s="2">
        <v>1216.3699999999999</v>
      </c>
      <c r="F6415" t="s">
        <v>13</v>
      </c>
      <c r="G6415" t="s">
        <v>9</v>
      </c>
    </row>
    <row r="6416" spans="1:7" x14ac:dyDescent="0.35">
      <c r="A6416">
        <v>2540</v>
      </c>
      <c r="B6416" s="1">
        <v>45671</v>
      </c>
      <c r="C6416" t="s">
        <v>24</v>
      </c>
      <c r="D6416" s="2">
        <v>1836.55</v>
      </c>
      <c r="E6416" s="2">
        <v>0</v>
      </c>
      <c r="F6416" t="s">
        <v>8</v>
      </c>
      <c r="G6416" t="s">
        <v>9</v>
      </c>
    </row>
    <row r="6417" spans="1:7" x14ac:dyDescent="0.35">
      <c r="A6417">
        <v>2540</v>
      </c>
      <c r="B6417" s="1">
        <v>45671</v>
      </c>
      <c r="C6417" t="s">
        <v>24</v>
      </c>
      <c r="D6417" s="2">
        <v>0</v>
      </c>
      <c r="E6417" s="2">
        <v>1836.55</v>
      </c>
      <c r="F6417" t="s">
        <v>13</v>
      </c>
      <c r="G6417" t="s">
        <v>9</v>
      </c>
    </row>
    <row r="6418" spans="1:7" x14ac:dyDescent="0.35">
      <c r="A6418">
        <v>2541</v>
      </c>
      <c r="B6418" s="1">
        <v>45671</v>
      </c>
      <c r="C6418" t="s">
        <v>24</v>
      </c>
      <c r="D6418" s="2">
        <v>2591.4499999999998</v>
      </c>
      <c r="E6418" s="2">
        <v>0</v>
      </c>
      <c r="F6418" t="s">
        <v>8</v>
      </c>
      <c r="G6418" t="s">
        <v>9</v>
      </c>
    </row>
    <row r="6419" spans="1:7" x14ac:dyDescent="0.35">
      <c r="A6419">
        <v>2541</v>
      </c>
      <c r="B6419" s="1">
        <v>45671</v>
      </c>
      <c r="C6419" t="s">
        <v>24</v>
      </c>
      <c r="D6419" s="2">
        <v>0</v>
      </c>
      <c r="E6419" s="2">
        <v>2591.4499999999998</v>
      </c>
      <c r="F6419" t="s">
        <v>13</v>
      </c>
      <c r="G6419" t="s">
        <v>9</v>
      </c>
    </row>
    <row r="6420" spans="1:7" x14ac:dyDescent="0.35">
      <c r="A6420">
        <v>2542</v>
      </c>
      <c r="B6420" s="1">
        <v>45671</v>
      </c>
      <c r="C6420" t="s">
        <v>24</v>
      </c>
      <c r="D6420" s="2">
        <v>4345.68</v>
      </c>
      <c r="E6420" s="2">
        <v>0</v>
      </c>
      <c r="F6420" t="s">
        <v>8</v>
      </c>
      <c r="G6420" t="s">
        <v>9</v>
      </c>
    </row>
    <row r="6421" spans="1:7" x14ac:dyDescent="0.35">
      <c r="A6421">
        <v>2542</v>
      </c>
      <c r="B6421" s="1">
        <v>45671</v>
      </c>
      <c r="C6421" t="s">
        <v>24</v>
      </c>
      <c r="D6421" s="2">
        <v>0</v>
      </c>
      <c r="E6421" s="2">
        <v>4345.68</v>
      </c>
      <c r="F6421" t="s">
        <v>13</v>
      </c>
      <c r="G6421" t="s">
        <v>9</v>
      </c>
    </row>
    <row r="6422" spans="1:7" x14ac:dyDescent="0.35">
      <c r="A6422">
        <v>2543</v>
      </c>
      <c r="B6422" s="1">
        <v>45671</v>
      </c>
      <c r="C6422" t="s">
        <v>24</v>
      </c>
      <c r="D6422" s="2">
        <v>2446.46</v>
      </c>
      <c r="E6422" s="2">
        <v>0</v>
      </c>
      <c r="F6422" t="s">
        <v>8</v>
      </c>
      <c r="G6422" t="s">
        <v>9</v>
      </c>
    </row>
    <row r="6423" spans="1:7" x14ac:dyDescent="0.35">
      <c r="A6423">
        <v>2543</v>
      </c>
      <c r="B6423" s="1">
        <v>45671</v>
      </c>
      <c r="C6423" t="s">
        <v>24</v>
      </c>
      <c r="D6423" s="2">
        <v>0</v>
      </c>
      <c r="E6423" s="2">
        <v>2446.46</v>
      </c>
      <c r="F6423" t="s">
        <v>13</v>
      </c>
      <c r="G6423" t="s">
        <v>9</v>
      </c>
    </row>
    <row r="6424" spans="1:7" x14ac:dyDescent="0.35">
      <c r="A6424">
        <v>2544</v>
      </c>
      <c r="B6424" s="1">
        <v>45671</v>
      </c>
      <c r="C6424" t="s">
        <v>24</v>
      </c>
      <c r="D6424" s="2">
        <v>1241.7</v>
      </c>
      <c r="E6424" s="2">
        <v>0</v>
      </c>
      <c r="F6424" t="s">
        <v>8</v>
      </c>
      <c r="G6424" t="s">
        <v>9</v>
      </c>
    </row>
    <row r="6425" spans="1:7" x14ac:dyDescent="0.35">
      <c r="A6425">
        <v>2544</v>
      </c>
      <c r="B6425" s="1">
        <v>45671</v>
      </c>
      <c r="C6425" t="s">
        <v>24</v>
      </c>
      <c r="D6425" s="2">
        <v>0</v>
      </c>
      <c r="E6425" s="2">
        <v>1241.7</v>
      </c>
      <c r="F6425" t="s">
        <v>13</v>
      </c>
      <c r="G6425" t="s">
        <v>9</v>
      </c>
    </row>
    <row r="6426" spans="1:7" x14ac:dyDescent="0.35">
      <c r="A6426">
        <v>2545</v>
      </c>
      <c r="B6426" s="1">
        <v>45671</v>
      </c>
      <c r="C6426" t="s">
        <v>25</v>
      </c>
      <c r="D6426" s="2">
        <v>383.76</v>
      </c>
      <c r="E6426" s="2">
        <v>0</v>
      </c>
      <c r="F6426" t="s">
        <v>26</v>
      </c>
      <c r="G6426" t="s">
        <v>20</v>
      </c>
    </row>
    <row r="6427" spans="1:7" x14ac:dyDescent="0.35">
      <c r="A6427">
        <v>2545</v>
      </c>
      <c r="B6427" s="1">
        <v>45671</v>
      </c>
      <c r="C6427" t="s">
        <v>25</v>
      </c>
      <c r="D6427" s="2">
        <v>28.78</v>
      </c>
      <c r="E6427" s="2">
        <v>0</v>
      </c>
      <c r="F6427" t="s">
        <v>27</v>
      </c>
      <c r="G6427" t="s">
        <v>9</v>
      </c>
    </row>
    <row r="6428" spans="1:7" x14ac:dyDescent="0.35">
      <c r="A6428">
        <v>2545</v>
      </c>
      <c r="B6428" s="1">
        <v>45671</v>
      </c>
      <c r="C6428" t="s">
        <v>25</v>
      </c>
      <c r="D6428" s="2">
        <v>0</v>
      </c>
      <c r="E6428" s="2">
        <v>412.54</v>
      </c>
      <c r="F6428" t="s">
        <v>28</v>
      </c>
      <c r="G6428" t="s">
        <v>17</v>
      </c>
    </row>
    <row r="6429" spans="1:7" x14ac:dyDescent="0.35">
      <c r="A6429">
        <v>2546</v>
      </c>
      <c r="B6429" s="1">
        <v>45672</v>
      </c>
      <c r="C6429" t="s">
        <v>12</v>
      </c>
      <c r="D6429" s="2">
        <v>995.25</v>
      </c>
      <c r="E6429" s="2">
        <v>0</v>
      </c>
      <c r="F6429" t="s">
        <v>13</v>
      </c>
      <c r="G6429" t="s">
        <v>9</v>
      </c>
    </row>
    <row r="6430" spans="1:7" x14ac:dyDescent="0.35">
      <c r="A6430">
        <v>2546</v>
      </c>
      <c r="B6430" s="1">
        <v>45672</v>
      </c>
      <c r="C6430" t="s">
        <v>12</v>
      </c>
      <c r="D6430" s="2">
        <v>0</v>
      </c>
      <c r="E6430" s="2">
        <v>925.81</v>
      </c>
      <c r="F6430" t="s">
        <v>14</v>
      </c>
      <c r="G6430" t="s">
        <v>15</v>
      </c>
    </row>
    <row r="6431" spans="1:7" x14ac:dyDescent="0.35">
      <c r="A6431">
        <v>2546</v>
      </c>
      <c r="B6431" s="1">
        <v>45672</v>
      </c>
      <c r="C6431" t="s">
        <v>12</v>
      </c>
      <c r="D6431" s="2">
        <v>0</v>
      </c>
      <c r="E6431" s="2">
        <v>69.44</v>
      </c>
      <c r="F6431" t="s">
        <v>16</v>
      </c>
      <c r="G6431" t="s">
        <v>17</v>
      </c>
    </row>
    <row r="6432" spans="1:7" x14ac:dyDescent="0.35">
      <c r="A6432">
        <v>2547</v>
      </c>
      <c r="B6432" s="1">
        <v>45672</v>
      </c>
      <c r="C6432" t="s">
        <v>12</v>
      </c>
      <c r="D6432" s="2">
        <v>474.39</v>
      </c>
      <c r="E6432" s="2">
        <v>0</v>
      </c>
      <c r="F6432" t="s">
        <v>13</v>
      </c>
      <c r="G6432" t="s">
        <v>9</v>
      </c>
    </row>
    <row r="6433" spans="1:7" x14ac:dyDescent="0.35">
      <c r="A6433">
        <v>2547</v>
      </c>
      <c r="B6433" s="1">
        <v>45672</v>
      </c>
      <c r="C6433" t="s">
        <v>12</v>
      </c>
      <c r="D6433" s="2">
        <v>0</v>
      </c>
      <c r="E6433" s="2">
        <v>441.3</v>
      </c>
      <c r="F6433" t="s">
        <v>14</v>
      </c>
      <c r="G6433" t="s">
        <v>15</v>
      </c>
    </row>
    <row r="6434" spans="1:7" x14ac:dyDescent="0.35">
      <c r="A6434">
        <v>2547</v>
      </c>
      <c r="B6434" s="1">
        <v>45672</v>
      </c>
      <c r="C6434" t="s">
        <v>12</v>
      </c>
      <c r="D6434" s="2">
        <v>0</v>
      </c>
      <c r="E6434" s="2">
        <v>33.090000000000003</v>
      </c>
      <c r="F6434" t="s">
        <v>16</v>
      </c>
      <c r="G6434" t="s">
        <v>17</v>
      </c>
    </row>
    <row r="6435" spans="1:7" x14ac:dyDescent="0.35">
      <c r="A6435">
        <v>2548</v>
      </c>
      <c r="B6435" s="1">
        <v>45672</v>
      </c>
      <c r="C6435" t="s">
        <v>24</v>
      </c>
      <c r="D6435" s="2">
        <v>1030.6199999999999</v>
      </c>
      <c r="E6435" s="2">
        <v>0</v>
      </c>
      <c r="F6435" t="s">
        <v>8</v>
      </c>
      <c r="G6435" t="s">
        <v>9</v>
      </c>
    </row>
    <row r="6436" spans="1:7" x14ac:dyDescent="0.35">
      <c r="A6436">
        <v>2548</v>
      </c>
      <c r="B6436" s="1">
        <v>45672</v>
      </c>
      <c r="C6436" t="s">
        <v>24</v>
      </c>
      <c r="D6436" s="2">
        <v>0</v>
      </c>
      <c r="E6436" s="2">
        <v>1030.6199999999999</v>
      </c>
      <c r="F6436" t="s">
        <v>13</v>
      </c>
      <c r="G6436" t="s">
        <v>9</v>
      </c>
    </row>
    <row r="6437" spans="1:7" x14ac:dyDescent="0.35">
      <c r="A6437">
        <v>2549</v>
      </c>
      <c r="B6437" s="1">
        <v>45672</v>
      </c>
      <c r="C6437" t="s">
        <v>24</v>
      </c>
      <c r="D6437" s="2">
        <v>99.2</v>
      </c>
      <c r="E6437" s="2">
        <v>0</v>
      </c>
      <c r="F6437" t="s">
        <v>8</v>
      </c>
      <c r="G6437" t="s">
        <v>9</v>
      </c>
    </row>
    <row r="6438" spans="1:7" x14ac:dyDescent="0.35">
      <c r="A6438">
        <v>2549</v>
      </c>
      <c r="B6438" s="1">
        <v>45672</v>
      </c>
      <c r="C6438" t="s">
        <v>24</v>
      </c>
      <c r="D6438" s="2">
        <v>0</v>
      </c>
      <c r="E6438" s="2">
        <v>99.2</v>
      </c>
      <c r="F6438" t="s">
        <v>13</v>
      </c>
      <c r="G6438" t="s">
        <v>9</v>
      </c>
    </row>
    <row r="6439" spans="1:7" x14ac:dyDescent="0.35">
      <c r="A6439">
        <v>2550</v>
      </c>
      <c r="B6439" s="1">
        <v>45672</v>
      </c>
      <c r="C6439" t="s">
        <v>24</v>
      </c>
      <c r="D6439" s="2">
        <v>640.41999999999996</v>
      </c>
      <c r="E6439" s="2">
        <v>0</v>
      </c>
      <c r="F6439" t="s">
        <v>8</v>
      </c>
      <c r="G6439" t="s">
        <v>9</v>
      </c>
    </row>
    <row r="6440" spans="1:7" x14ac:dyDescent="0.35">
      <c r="A6440">
        <v>2550</v>
      </c>
      <c r="B6440" s="1">
        <v>45672</v>
      </c>
      <c r="C6440" t="s">
        <v>24</v>
      </c>
      <c r="D6440" s="2">
        <v>0</v>
      </c>
      <c r="E6440" s="2">
        <v>640.41999999999996</v>
      </c>
      <c r="F6440" t="s">
        <v>13</v>
      </c>
      <c r="G6440" t="s">
        <v>9</v>
      </c>
    </row>
    <row r="6441" spans="1:7" x14ac:dyDescent="0.35">
      <c r="A6441">
        <v>2551</v>
      </c>
      <c r="B6441" s="1">
        <v>45672</v>
      </c>
      <c r="C6441" t="s">
        <v>24</v>
      </c>
      <c r="D6441" s="2">
        <v>2412.9</v>
      </c>
      <c r="E6441" s="2">
        <v>0</v>
      </c>
      <c r="F6441" t="s">
        <v>8</v>
      </c>
      <c r="G6441" t="s">
        <v>9</v>
      </c>
    </row>
    <row r="6442" spans="1:7" x14ac:dyDescent="0.35">
      <c r="A6442">
        <v>2551</v>
      </c>
      <c r="B6442" s="1">
        <v>45672</v>
      </c>
      <c r="C6442" t="s">
        <v>24</v>
      </c>
      <c r="D6442" s="2">
        <v>0</v>
      </c>
      <c r="E6442" s="2">
        <v>2412.9</v>
      </c>
      <c r="F6442" t="s">
        <v>13</v>
      </c>
      <c r="G6442" t="s">
        <v>9</v>
      </c>
    </row>
    <row r="6443" spans="1:7" x14ac:dyDescent="0.35">
      <c r="A6443">
        <v>2552</v>
      </c>
      <c r="B6443" s="1">
        <v>45672</v>
      </c>
      <c r="C6443" t="s">
        <v>24</v>
      </c>
      <c r="D6443" s="2">
        <v>207.18</v>
      </c>
      <c r="E6443" s="2">
        <v>0</v>
      </c>
      <c r="F6443" t="s">
        <v>8</v>
      </c>
      <c r="G6443" t="s">
        <v>9</v>
      </c>
    </row>
    <row r="6444" spans="1:7" x14ac:dyDescent="0.35">
      <c r="A6444">
        <v>2552</v>
      </c>
      <c r="B6444" s="1">
        <v>45672</v>
      </c>
      <c r="C6444" t="s">
        <v>24</v>
      </c>
      <c r="D6444" s="2">
        <v>0</v>
      </c>
      <c r="E6444" s="2">
        <v>207.18</v>
      </c>
      <c r="F6444" t="s">
        <v>13</v>
      </c>
      <c r="G6444" t="s">
        <v>9</v>
      </c>
    </row>
    <row r="6445" spans="1:7" x14ac:dyDescent="0.35">
      <c r="A6445">
        <v>2553</v>
      </c>
      <c r="B6445" s="1">
        <v>45672</v>
      </c>
      <c r="C6445" t="s">
        <v>24</v>
      </c>
      <c r="D6445" s="2">
        <v>3113.93</v>
      </c>
      <c r="E6445" s="2">
        <v>0</v>
      </c>
      <c r="F6445" t="s">
        <v>8</v>
      </c>
      <c r="G6445" t="s">
        <v>9</v>
      </c>
    </row>
    <row r="6446" spans="1:7" x14ac:dyDescent="0.35">
      <c r="A6446">
        <v>2553</v>
      </c>
      <c r="B6446" s="1">
        <v>45672</v>
      </c>
      <c r="C6446" t="s">
        <v>24</v>
      </c>
      <c r="D6446" s="2">
        <v>0</v>
      </c>
      <c r="E6446" s="2">
        <v>3113.93</v>
      </c>
      <c r="F6446" t="s">
        <v>13</v>
      </c>
      <c r="G6446" t="s">
        <v>9</v>
      </c>
    </row>
    <row r="6447" spans="1:7" x14ac:dyDescent="0.35">
      <c r="A6447">
        <v>2554</v>
      </c>
      <c r="B6447" s="1">
        <v>45672</v>
      </c>
      <c r="C6447" t="s">
        <v>24</v>
      </c>
      <c r="D6447" s="2">
        <v>446.4</v>
      </c>
      <c r="E6447" s="2">
        <v>0</v>
      </c>
      <c r="F6447" t="s">
        <v>8</v>
      </c>
      <c r="G6447" t="s">
        <v>9</v>
      </c>
    </row>
    <row r="6448" spans="1:7" x14ac:dyDescent="0.35">
      <c r="A6448">
        <v>2554</v>
      </c>
      <c r="B6448" s="1">
        <v>45672</v>
      </c>
      <c r="C6448" t="s">
        <v>24</v>
      </c>
      <c r="D6448" s="2">
        <v>0</v>
      </c>
      <c r="E6448" s="2">
        <v>446.4</v>
      </c>
      <c r="F6448" t="s">
        <v>13</v>
      </c>
      <c r="G6448" t="s">
        <v>9</v>
      </c>
    </row>
    <row r="6449" spans="1:7" x14ac:dyDescent="0.35">
      <c r="A6449">
        <v>2555</v>
      </c>
      <c r="B6449" s="1">
        <v>45672</v>
      </c>
      <c r="C6449" t="s">
        <v>24</v>
      </c>
      <c r="D6449" s="2">
        <v>1606.98</v>
      </c>
      <c r="E6449" s="2">
        <v>0</v>
      </c>
      <c r="F6449" t="s">
        <v>8</v>
      </c>
      <c r="G6449" t="s">
        <v>9</v>
      </c>
    </row>
    <row r="6450" spans="1:7" x14ac:dyDescent="0.35">
      <c r="A6450">
        <v>2555</v>
      </c>
      <c r="B6450" s="1">
        <v>45672</v>
      </c>
      <c r="C6450" t="s">
        <v>24</v>
      </c>
      <c r="D6450" s="2">
        <v>0</v>
      </c>
      <c r="E6450" s="2">
        <v>1606.98</v>
      </c>
      <c r="F6450" t="s">
        <v>13</v>
      </c>
      <c r="G6450" t="s">
        <v>9</v>
      </c>
    </row>
    <row r="6451" spans="1:7" x14ac:dyDescent="0.35">
      <c r="A6451">
        <v>2556</v>
      </c>
      <c r="B6451" s="1">
        <v>45672</v>
      </c>
      <c r="C6451" t="s">
        <v>24</v>
      </c>
      <c r="D6451" s="2">
        <v>7531.45</v>
      </c>
      <c r="E6451" s="2">
        <v>0</v>
      </c>
      <c r="F6451" t="s">
        <v>8</v>
      </c>
      <c r="G6451" t="s">
        <v>9</v>
      </c>
    </row>
    <row r="6452" spans="1:7" x14ac:dyDescent="0.35">
      <c r="A6452">
        <v>2556</v>
      </c>
      <c r="B6452" s="1">
        <v>45672</v>
      </c>
      <c r="C6452" t="s">
        <v>24</v>
      </c>
      <c r="D6452" s="2">
        <v>0</v>
      </c>
      <c r="E6452" s="2">
        <v>7531.45</v>
      </c>
      <c r="F6452" t="s">
        <v>13</v>
      </c>
      <c r="G6452" t="s">
        <v>9</v>
      </c>
    </row>
    <row r="6453" spans="1:7" x14ac:dyDescent="0.35">
      <c r="A6453">
        <v>2557</v>
      </c>
      <c r="B6453" s="1">
        <v>45672</v>
      </c>
      <c r="C6453" t="s">
        <v>24</v>
      </c>
      <c r="D6453" s="2">
        <v>995.25</v>
      </c>
      <c r="E6453" s="2">
        <v>0</v>
      </c>
      <c r="F6453" t="s">
        <v>8</v>
      </c>
      <c r="G6453" t="s">
        <v>9</v>
      </c>
    </row>
    <row r="6454" spans="1:7" x14ac:dyDescent="0.35">
      <c r="A6454">
        <v>2557</v>
      </c>
      <c r="B6454" s="1">
        <v>45672</v>
      </c>
      <c r="C6454" t="s">
        <v>24</v>
      </c>
      <c r="D6454" s="2">
        <v>0</v>
      </c>
      <c r="E6454" s="2">
        <v>995.25</v>
      </c>
      <c r="F6454" t="s">
        <v>13</v>
      </c>
      <c r="G6454" t="s">
        <v>9</v>
      </c>
    </row>
    <row r="6455" spans="1:7" x14ac:dyDescent="0.35">
      <c r="A6455">
        <v>2558</v>
      </c>
      <c r="B6455" s="1">
        <v>45672</v>
      </c>
      <c r="C6455" t="s">
        <v>29</v>
      </c>
      <c r="D6455" s="2">
        <v>201.5</v>
      </c>
      <c r="E6455" s="2">
        <v>0</v>
      </c>
      <c r="F6455" t="s">
        <v>28</v>
      </c>
      <c r="G6455" t="s">
        <v>17</v>
      </c>
    </row>
    <row r="6456" spans="1:7" x14ac:dyDescent="0.35">
      <c r="A6456">
        <v>2558</v>
      </c>
      <c r="B6456" s="1">
        <v>45672</v>
      </c>
      <c r="C6456" t="s">
        <v>29</v>
      </c>
      <c r="D6456" s="2">
        <v>0</v>
      </c>
      <c r="E6456" s="2">
        <v>201.5</v>
      </c>
      <c r="F6456" t="s">
        <v>8</v>
      </c>
      <c r="G6456" t="s">
        <v>9</v>
      </c>
    </row>
    <row r="6457" spans="1:7" x14ac:dyDescent="0.35">
      <c r="A6457">
        <v>2559</v>
      </c>
      <c r="B6457" s="1">
        <v>45672</v>
      </c>
      <c r="C6457" t="s">
        <v>29</v>
      </c>
      <c r="D6457" s="2">
        <v>1023.42</v>
      </c>
      <c r="E6457" s="2">
        <v>0</v>
      </c>
      <c r="F6457" t="s">
        <v>28</v>
      </c>
      <c r="G6457" t="s">
        <v>17</v>
      </c>
    </row>
    <row r="6458" spans="1:7" x14ac:dyDescent="0.35">
      <c r="A6458">
        <v>2559</v>
      </c>
      <c r="B6458" s="1">
        <v>45672</v>
      </c>
      <c r="C6458" t="s">
        <v>29</v>
      </c>
      <c r="D6458" s="2">
        <v>0</v>
      </c>
      <c r="E6458" s="2">
        <v>1023.42</v>
      </c>
      <c r="F6458" t="s">
        <v>8</v>
      </c>
      <c r="G6458" t="s">
        <v>9</v>
      </c>
    </row>
    <row r="6459" spans="1:7" x14ac:dyDescent="0.35">
      <c r="A6459">
        <v>2560</v>
      </c>
      <c r="B6459" s="1">
        <v>45673</v>
      </c>
      <c r="C6459" t="s">
        <v>18</v>
      </c>
      <c r="D6459" s="2">
        <v>22037.74</v>
      </c>
      <c r="E6459" s="2">
        <v>0</v>
      </c>
      <c r="F6459" t="s">
        <v>19</v>
      </c>
      <c r="G6459" t="s">
        <v>20</v>
      </c>
    </row>
    <row r="6460" spans="1:7" x14ac:dyDescent="0.35">
      <c r="A6460">
        <v>2560</v>
      </c>
      <c r="B6460" s="1">
        <v>45673</v>
      </c>
      <c r="C6460" t="s">
        <v>18</v>
      </c>
      <c r="D6460" s="2">
        <v>881.51</v>
      </c>
      <c r="E6460" s="2">
        <v>0</v>
      </c>
      <c r="F6460" t="s">
        <v>21</v>
      </c>
      <c r="G6460" t="s">
        <v>20</v>
      </c>
    </row>
    <row r="6461" spans="1:7" x14ac:dyDescent="0.35">
      <c r="A6461">
        <v>2560</v>
      </c>
      <c r="B6461" s="1">
        <v>45673</v>
      </c>
      <c r="C6461" t="s">
        <v>18</v>
      </c>
      <c r="D6461" s="2">
        <v>0</v>
      </c>
      <c r="E6461" s="2">
        <v>17968.47</v>
      </c>
      <c r="F6461" t="s">
        <v>8</v>
      </c>
      <c r="G6461" t="s">
        <v>9</v>
      </c>
    </row>
    <row r="6462" spans="1:7" x14ac:dyDescent="0.35">
      <c r="A6462">
        <v>2560</v>
      </c>
      <c r="B6462" s="1">
        <v>45673</v>
      </c>
      <c r="C6462" t="s">
        <v>18</v>
      </c>
      <c r="D6462" s="2">
        <v>0</v>
      </c>
      <c r="E6462" s="2">
        <v>4069.27</v>
      </c>
      <c r="F6462" t="s">
        <v>22</v>
      </c>
      <c r="G6462" t="s">
        <v>17</v>
      </c>
    </row>
    <row r="6463" spans="1:7" x14ac:dyDescent="0.35">
      <c r="A6463">
        <v>2560</v>
      </c>
      <c r="B6463" s="1">
        <v>45673</v>
      </c>
      <c r="C6463" t="s">
        <v>18</v>
      </c>
      <c r="D6463" s="2">
        <v>0</v>
      </c>
      <c r="E6463" s="2">
        <v>881.51</v>
      </c>
      <c r="F6463" t="s">
        <v>23</v>
      </c>
      <c r="G6463" t="s">
        <v>17</v>
      </c>
    </row>
    <row r="6464" spans="1:7" x14ac:dyDescent="0.35">
      <c r="A6464">
        <v>2561</v>
      </c>
      <c r="B6464" s="1">
        <v>45673</v>
      </c>
      <c r="C6464" t="s">
        <v>12</v>
      </c>
      <c r="D6464" s="2">
        <v>1462.21</v>
      </c>
      <c r="E6464" s="2">
        <v>0</v>
      </c>
      <c r="F6464" t="s">
        <v>13</v>
      </c>
      <c r="G6464" t="s">
        <v>9</v>
      </c>
    </row>
    <row r="6465" spans="1:7" x14ac:dyDescent="0.35">
      <c r="A6465">
        <v>2561</v>
      </c>
      <c r="B6465" s="1">
        <v>45673</v>
      </c>
      <c r="C6465" t="s">
        <v>12</v>
      </c>
      <c r="D6465" s="2">
        <v>0</v>
      </c>
      <c r="E6465" s="2">
        <v>1360.19</v>
      </c>
      <c r="F6465" t="s">
        <v>14</v>
      </c>
      <c r="G6465" t="s">
        <v>15</v>
      </c>
    </row>
    <row r="6466" spans="1:7" x14ac:dyDescent="0.35">
      <c r="A6466">
        <v>2561</v>
      </c>
      <c r="B6466" s="1">
        <v>45673</v>
      </c>
      <c r="C6466" t="s">
        <v>12</v>
      </c>
      <c r="D6466" s="2">
        <v>0</v>
      </c>
      <c r="E6466" s="2">
        <v>102.02</v>
      </c>
      <c r="F6466" t="s">
        <v>16</v>
      </c>
      <c r="G6466" t="s">
        <v>17</v>
      </c>
    </row>
    <row r="6467" spans="1:7" x14ac:dyDescent="0.35">
      <c r="A6467">
        <v>2562</v>
      </c>
      <c r="B6467" s="1">
        <v>45673</v>
      </c>
      <c r="C6467" t="s">
        <v>12</v>
      </c>
      <c r="D6467" s="2">
        <v>5346.93</v>
      </c>
      <c r="E6467" s="2">
        <v>0</v>
      </c>
      <c r="F6467" t="s">
        <v>13</v>
      </c>
      <c r="G6467" t="s">
        <v>9</v>
      </c>
    </row>
    <row r="6468" spans="1:7" x14ac:dyDescent="0.35">
      <c r="A6468">
        <v>2562</v>
      </c>
      <c r="B6468" s="1">
        <v>45673</v>
      </c>
      <c r="C6468" t="s">
        <v>12</v>
      </c>
      <c r="D6468" s="2">
        <v>0</v>
      </c>
      <c r="E6468" s="2">
        <v>4973.8900000000003</v>
      </c>
      <c r="F6468" t="s">
        <v>14</v>
      </c>
      <c r="G6468" t="s">
        <v>15</v>
      </c>
    </row>
    <row r="6469" spans="1:7" x14ac:dyDescent="0.35">
      <c r="A6469">
        <v>2562</v>
      </c>
      <c r="B6469" s="1">
        <v>45673</v>
      </c>
      <c r="C6469" t="s">
        <v>12</v>
      </c>
      <c r="D6469" s="2">
        <v>0</v>
      </c>
      <c r="E6469" s="2">
        <v>373.04</v>
      </c>
      <c r="F6469" t="s">
        <v>16</v>
      </c>
      <c r="G6469" t="s">
        <v>17</v>
      </c>
    </row>
    <row r="6470" spans="1:7" x14ac:dyDescent="0.35">
      <c r="A6470">
        <v>2563</v>
      </c>
      <c r="B6470" s="1">
        <v>45673</v>
      </c>
      <c r="C6470" t="s">
        <v>12</v>
      </c>
      <c r="D6470" s="2">
        <v>391.7</v>
      </c>
      <c r="E6470" s="2">
        <v>0</v>
      </c>
      <c r="F6470" t="s">
        <v>13</v>
      </c>
      <c r="G6470" t="s">
        <v>9</v>
      </c>
    </row>
    <row r="6471" spans="1:7" x14ac:dyDescent="0.35">
      <c r="A6471">
        <v>2563</v>
      </c>
      <c r="B6471" s="1">
        <v>45673</v>
      </c>
      <c r="C6471" t="s">
        <v>12</v>
      </c>
      <c r="D6471" s="2">
        <v>0</v>
      </c>
      <c r="E6471" s="2">
        <v>364.37</v>
      </c>
      <c r="F6471" t="s">
        <v>14</v>
      </c>
      <c r="G6471" t="s">
        <v>15</v>
      </c>
    </row>
    <row r="6472" spans="1:7" x14ac:dyDescent="0.35">
      <c r="A6472">
        <v>2563</v>
      </c>
      <c r="B6472" s="1">
        <v>45673</v>
      </c>
      <c r="C6472" t="s">
        <v>12</v>
      </c>
      <c r="D6472" s="2">
        <v>0</v>
      </c>
      <c r="E6472" s="2">
        <v>27.33</v>
      </c>
      <c r="F6472" t="s">
        <v>16</v>
      </c>
      <c r="G6472" t="s">
        <v>17</v>
      </c>
    </row>
    <row r="6473" spans="1:7" x14ac:dyDescent="0.35">
      <c r="A6473">
        <v>2564</v>
      </c>
      <c r="B6473" s="1">
        <v>45673</v>
      </c>
      <c r="C6473" t="s">
        <v>12</v>
      </c>
      <c r="D6473" s="2">
        <v>755.06</v>
      </c>
      <c r="E6473" s="2">
        <v>0</v>
      </c>
      <c r="F6473" t="s">
        <v>13</v>
      </c>
      <c r="G6473" t="s">
        <v>9</v>
      </c>
    </row>
    <row r="6474" spans="1:7" x14ac:dyDescent="0.35">
      <c r="A6474">
        <v>2564</v>
      </c>
      <c r="B6474" s="1">
        <v>45673</v>
      </c>
      <c r="C6474" t="s">
        <v>12</v>
      </c>
      <c r="D6474" s="2">
        <v>0</v>
      </c>
      <c r="E6474" s="2">
        <v>702.38</v>
      </c>
      <c r="F6474" t="s">
        <v>14</v>
      </c>
      <c r="G6474" t="s">
        <v>15</v>
      </c>
    </row>
    <row r="6475" spans="1:7" x14ac:dyDescent="0.35">
      <c r="A6475">
        <v>2564</v>
      </c>
      <c r="B6475" s="1">
        <v>45673</v>
      </c>
      <c r="C6475" t="s">
        <v>12</v>
      </c>
      <c r="D6475" s="2">
        <v>0</v>
      </c>
      <c r="E6475" s="2">
        <v>52.68</v>
      </c>
      <c r="F6475" t="s">
        <v>16</v>
      </c>
      <c r="G6475" t="s">
        <v>17</v>
      </c>
    </row>
    <row r="6476" spans="1:7" x14ac:dyDescent="0.35">
      <c r="A6476">
        <v>2565</v>
      </c>
      <c r="B6476" s="1">
        <v>45673</v>
      </c>
      <c r="C6476" t="s">
        <v>12</v>
      </c>
      <c r="D6476" s="2">
        <v>957</v>
      </c>
      <c r="E6476" s="2">
        <v>0</v>
      </c>
      <c r="F6476" t="s">
        <v>13</v>
      </c>
      <c r="G6476" t="s">
        <v>9</v>
      </c>
    </row>
    <row r="6477" spans="1:7" x14ac:dyDescent="0.35">
      <c r="A6477">
        <v>2565</v>
      </c>
      <c r="B6477" s="1">
        <v>45673</v>
      </c>
      <c r="C6477" t="s">
        <v>12</v>
      </c>
      <c r="D6477" s="2">
        <v>0</v>
      </c>
      <c r="E6477" s="2">
        <v>890.23</v>
      </c>
      <c r="F6477" t="s">
        <v>14</v>
      </c>
      <c r="G6477" t="s">
        <v>15</v>
      </c>
    </row>
    <row r="6478" spans="1:7" x14ac:dyDescent="0.35">
      <c r="A6478">
        <v>2565</v>
      </c>
      <c r="B6478" s="1">
        <v>45673</v>
      </c>
      <c r="C6478" t="s">
        <v>12</v>
      </c>
      <c r="D6478" s="2">
        <v>0</v>
      </c>
      <c r="E6478" s="2">
        <v>66.77</v>
      </c>
      <c r="F6478" t="s">
        <v>16</v>
      </c>
      <c r="G6478" t="s">
        <v>17</v>
      </c>
    </row>
    <row r="6479" spans="1:7" x14ac:dyDescent="0.35">
      <c r="A6479">
        <v>2566</v>
      </c>
      <c r="B6479" s="1">
        <v>45673</v>
      </c>
      <c r="C6479" t="s">
        <v>24</v>
      </c>
      <c r="D6479" s="2">
        <v>2325.81</v>
      </c>
      <c r="E6479" s="2">
        <v>0</v>
      </c>
      <c r="F6479" t="s">
        <v>8</v>
      </c>
      <c r="G6479" t="s">
        <v>9</v>
      </c>
    </row>
    <row r="6480" spans="1:7" x14ac:dyDescent="0.35">
      <c r="A6480">
        <v>2566</v>
      </c>
      <c r="B6480" s="1">
        <v>45673</v>
      </c>
      <c r="C6480" t="s">
        <v>24</v>
      </c>
      <c r="D6480" s="2">
        <v>0</v>
      </c>
      <c r="E6480" s="2">
        <v>2325.81</v>
      </c>
      <c r="F6480" t="s">
        <v>13</v>
      </c>
      <c r="G6480" t="s">
        <v>9</v>
      </c>
    </row>
    <row r="6481" spans="1:7" x14ac:dyDescent="0.35">
      <c r="A6481">
        <v>2567</v>
      </c>
      <c r="B6481" s="1">
        <v>45673</v>
      </c>
      <c r="C6481" t="s">
        <v>24</v>
      </c>
      <c r="D6481" s="2">
        <v>2672.43</v>
      </c>
      <c r="E6481" s="2">
        <v>0</v>
      </c>
      <c r="F6481" t="s">
        <v>8</v>
      </c>
      <c r="G6481" t="s">
        <v>9</v>
      </c>
    </row>
    <row r="6482" spans="1:7" x14ac:dyDescent="0.35">
      <c r="A6482">
        <v>2567</v>
      </c>
      <c r="B6482" s="1">
        <v>45673</v>
      </c>
      <c r="C6482" t="s">
        <v>24</v>
      </c>
      <c r="D6482" s="2">
        <v>0</v>
      </c>
      <c r="E6482" s="2">
        <v>2672.43</v>
      </c>
      <c r="F6482" t="s">
        <v>13</v>
      </c>
      <c r="G6482" t="s">
        <v>9</v>
      </c>
    </row>
    <row r="6483" spans="1:7" x14ac:dyDescent="0.35">
      <c r="A6483">
        <v>2568</v>
      </c>
      <c r="B6483" s="1">
        <v>45673</v>
      </c>
      <c r="C6483" t="s">
        <v>24</v>
      </c>
      <c r="D6483" s="2">
        <v>297.60000000000002</v>
      </c>
      <c r="E6483" s="2">
        <v>0</v>
      </c>
      <c r="F6483" t="s">
        <v>8</v>
      </c>
      <c r="G6483" t="s">
        <v>9</v>
      </c>
    </row>
    <row r="6484" spans="1:7" x14ac:dyDescent="0.35">
      <c r="A6484">
        <v>2568</v>
      </c>
      <c r="B6484" s="1">
        <v>45673</v>
      </c>
      <c r="C6484" t="s">
        <v>24</v>
      </c>
      <c r="D6484" s="2">
        <v>0</v>
      </c>
      <c r="E6484" s="2">
        <v>297.60000000000002</v>
      </c>
      <c r="F6484" t="s">
        <v>13</v>
      </c>
      <c r="G6484" t="s">
        <v>9</v>
      </c>
    </row>
    <row r="6485" spans="1:7" x14ac:dyDescent="0.35">
      <c r="A6485">
        <v>2569</v>
      </c>
      <c r="B6485" s="1">
        <v>45673</v>
      </c>
      <c r="C6485" t="s">
        <v>24</v>
      </c>
      <c r="D6485" s="2">
        <v>1747.63</v>
      </c>
      <c r="E6485" s="2">
        <v>0</v>
      </c>
      <c r="F6485" t="s">
        <v>8</v>
      </c>
      <c r="G6485" t="s">
        <v>9</v>
      </c>
    </row>
    <row r="6486" spans="1:7" x14ac:dyDescent="0.35">
      <c r="A6486">
        <v>2569</v>
      </c>
      <c r="B6486" s="1">
        <v>45673</v>
      </c>
      <c r="C6486" t="s">
        <v>24</v>
      </c>
      <c r="D6486" s="2">
        <v>0</v>
      </c>
      <c r="E6486" s="2">
        <v>1747.63</v>
      </c>
      <c r="F6486" t="s">
        <v>13</v>
      </c>
      <c r="G6486" t="s">
        <v>9</v>
      </c>
    </row>
    <row r="6487" spans="1:7" x14ac:dyDescent="0.35">
      <c r="A6487">
        <v>2570</v>
      </c>
      <c r="B6487" s="1">
        <v>45673</v>
      </c>
      <c r="C6487" t="s">
        <v>24</v>
      </c>
      <c r="D6487" s="2">
        <v>1799.67</v>
      </c>
      <c r="E6487" s="2">
        <v>0</v>
      </c>
      <c r="F6487" t="s">
        <v>8</v>
      </c>
      <c r="G6487" t="s">
        <v>9</v>
      </c>
    </row>
    <row r="6488" spans="1:7" x14ac:dyDescent="0.35">
      <c r="A6488">
        <v>2570</v>
      </c>
      <c r="B6488" s="1">
        <v>45673</v>
      </c>
      <c r="C6488" t="s">
        <v>24</v>
      </c>
      <c r="D6488" s="2">
        <v>0</v>
      </c>
      <c r="E6488" s="2">
        <v>1799.67</v>
      </c>
      <c r="F6488" t="s">
        <v>13</v>
      </c>
      <c r="G6488" t="s">
        <v>9</v>
      </c>
    </row>
    <row r="6489" spans="1:7" x14ac:dyDescent="0.35">
      <c r="A6489">
        <v>2571</v>
      </c>
      <c r="B6489" s="1">
        <v>45673</v>
      </c>
      <c r="C6489" t="s">
        <v>24</v>
      </c>
      <c r="D6489" s="2">
        <v>228.07</v>
      </c>
      <c r="E6489" s="2">
        <v>0</v>
      </c>
      <c r="F6489" t="s">
        <v>8</v>
      </c>
      <c r="G6489" t="s">
        <v>9</v>
      </c>
    </row>
    <row r="6490" spans="1:7" x14ac:dyDescent="0.35">
      <c r="A6490">
        <v>2571</v>
      </c>
      <c r="B6490" s="1">
        <v>45673</v>
      </c>
      <c r="C6490" t="s">
        <v>24</v>
      </c>
      <c r="D6490" s="2">
        <v>0</v>
      </c>
      <c r="E6490" s="2">
        <v>228.07</v>
      </c>
      <c r="F6490" t="s">
        <v>13</v>
      </c>
      <c r="G6490" t="s">
        <v>9</v>
      </c>
    </row>
    <row r="6491" spans="1:7" x14ac:dyDescent="0.35">
      <c r="A6491">
        <v>2572</v>
      </c>
      <c r="B6491" s="1">
        <v>45673</v>
      </c>
      <c r="C6491" t="s">
        <v>25</v>
      </c>
      <c r="D6491" s="2">
        <v>6723.2</v>
      </c>
      <c r="E6491" s="2">
        <v>0</v>
      </c>
      <c r="F6491" t="s">
        <v>26</v>
      </c>
      <c r="G6491" t="s">
        <v>20</v>
      </c>
    </row>
    <row r="6492" spans="1:7" x14ac:dyDescent="0.35">
      <c r="A6492">
        <v>2572</v>
      </c>
      <c r="B6492" s="1">
        <v>45673</v>
      </c>
      <c r="C6492" t="s">
        <v>25</v>
      </c>
      <c r="D6492" s="2">
        <v>504.24</v>
      </c>
      <c r="E6492" s="2">
        <v>0</v>
      </c>
      <c r="F6492" t="s">
        <v>27</v>
      </c>
      <c r="G6492" t="s">
        <v>9</v>
      </c>
    </row>
    <row r="6493" spans="1:7" x14ac:dyDescent="0.35">
      <c r="A6493">
        <v>2572</v>
      </c>
      <c r="B6493" s="1">
        <v>45673</v>
      </c>
      <c r="C6493" t="s">
        <v>25</v>
      </c>
      <c r="D6493" s="2">
        <v>0</v>
      </c>
      <c r="E6493" s="2">
        <v>7227.44</v>
      </c>
      <c r="F6493" t="s">
        <v>28</v>
      </c>
      <c r="G6493" t="s">
        <v>17</v>
      </c>
    </row>
    <row r="6494" spans="1:7" x14ac:dyDescent="0.35">
      <c r="A6494">
        <v>2573</v>
      </c>
      <c r="B6494" s="1">
        <v>45674</v>
      </c>
      <c r="C6494" t="s">
        <v>12</v>
      </c>
      <c r="D6494" s="2">
        <v>1878.58</v>
      </c>
      <c r="E6494" s="2">
        <v>0</v>
      </c>
      <c r="F6494" t="s">
        <v>13</v>
      </c>
      <c r="G6494" t="s">
        <v>9</v>
      </c>
    </row>
    <row r="6495" spans="1:7" x14ac:dyDescent="0.35">
      <c r="A6495">
        <v>2573</v>
      </c>
      <c r="B6495" s="1">
        <v>45674</v>
      </c>
      <c r="C6495" t="s">
        <v>12</v>
      </c>
      <c r="D6495" s="2">
        <v>0</v>
      </c>
      <c r="E6495" s="2">
        <v>1747.51</v>
      </c>
      <c r="F6495" t="s">
        <v>14</v>
      </c>
      <c r="G6495" t="s">
        <v>15</v>
      </c>
    </row>
    <row r="6496" spans="1:7" x14ac:dyDescent="0.35">
      <c r="A6496">
        <v>2573</v>
      </c>
      <c r="B6496" s="1">
        <v>45674</v>
      </c>
      <c r="C6496" t="s">
        <v>12</v>
      </c>
      <c r="D6496" s="2">
        <v>0</v>
      </c>
      <c r="E6496" s="2">
        <v>131.07</v>
      </c>
      <c r="F6496" t="s">
        <v>16</v>
      </c>
      <c r="G6496" t="s">
        <v>17</v>
      </c>
    </row>
    <row r="6497" spans="1:7" x14ac:dyDescent="0.35">
      <c r="A6497">
        <v>2574</v>
      </c>
      <c r="B6497" s="1">
        <v>45674</v>
      </c>
      <c r="C6497" t="s">
        <v>12</v>
      </c>
      <c r="D6497" s="2">
        <v>1588.75</v>
      </c>
      <c r="E6497" s="2">
        <v>0</v>
      </c>
      <c r="F6497" t="s">
        <v>13</v>
      </c>
      <c r="G6497" t="s">
        <v>9</v>
      </c>
    </row>
    <row r="6498" spans="1:7" x14ac:dyDescent="0.35">
      <c r="A6498">
        <v>2574</v>
      </c>
      <c r="B6498" s="1">
        <v>45674</v>
      </c>
      <c r="C6498" t="s">
        <v>12</v>
      </c>
      <c r="D6498" s="2">
        <v>0</v>
      </c>
      <c r="E6498" s="2">
        <v>1477.9</v>
      </c>
      <c r="F6498" t="s">
        <v>14</v>
      </c>
      <c r="G6498" t="s">
        <v>15</v>
      </c>
    </row>
    <row r="6499" spans="1:7" x14ac:dyDescent="0.35">
      <c r="A6499">
        <v>2574</v>
      </c>
      <c r="B6499" s="1">
        <v>45674</v>
      </c>
      <c r="C6499" t="s">
        <v>12</v>
      </c>
      <c r="D6499" s="2">
        <v>0</v>
      </c>
      <c r="E6499" s="2">
        <v>110.85</v>
      </c>
      <c r="F6499" t="s">
        <v>16</v>
      </c>
      <c r="G6499" t="s">
        <v>17</v>
      </c>
    </row>
    <row r="6500" spans="1:7" x14ac:dyDescent="0.35">
      <c r="A6500">
        <v>2575</v>
      </c>
      <c r="B6500" s="1">
        <v>45674</v>
      </c>
      <c r="C6500" t="s">
        <v>12</v>
      </c>
      <c r="D6500" s="2">
        <v>4231.4399999999996</v>
      </c>
      <c r="E6500" s="2">
        <v>0</v>
      </c>
      <c r="F6500" t="s">
        <v>13</v>
      </c>
      <c r="G6500" t="s">
        <v>9</v>
      </c>
    </row>
    <row r="6501" spans="1:7" x14ac:dyDescent="0.35">
      <c r="A6501">
        <v>2575</v>
      </c>
      <c r="B6501" s="1">
        <v>45674</v>
      </c>
      <c r="C6501" t="s">
        <v>12</v>
      </c>
      <c r="D6501" s="2">
        <v>0</v>
      </c>
      <c r="E6501" s="2">
        <v>3936.23</v>
      </c>
      <c r="F6501" t="s">
        <v>14</v>
      </c>
      <c r="G6501" t="s">
        <v>15</v>
      </c>
    </row>
    <row r="6502" spans="1:7" x14ac:dyDescent="0.35">
      <c r="A6502">
        <v>2575</v>
      </c>
      <c r="B6502" s="1">
        <v>45674</v>
      </c>
      <c r="C6502" t="s">
        <v>12</v>
      </c>
      <c r="D6502" s="2">
        <v>0</v>
      </c>
      <c r="E6502" s="2">
        <v>295.20999999999998</v>
      </c>
      <c r="F6502" t="s">
        <v>16</v>
      </c>
      <c r="G6502" t="s">
        <v>17</v>
      </c>
    </row>
    <row r="6503" spans="1:7" x14ac:dyDescent="0.35">
      <c r="A6503">
        <v>2576</v>
      </c>
      <c r="B6503" s="1">
        <v>45674</v>
      </c>
      <c r="C6503" t="s">
        <v>24</v>
      </c>
      <c r="D6503" s="2">
        <v>2259.5500000000002</v>
      </c>
      <c r="E6503" s="2">
        <v>0</v>
      </c>
      <c r="F6503" t="s">
        <v>8</v>
      </c>
      <c r="G6503" t="s">
        <v>9</v>
      </c>
    </row>
    <row r="6504" spans="1:7" x14ac:dyDescent="0.35">
      <c r="A6504">
        <v>2576</v>
      </c>
      <c r="B6504" s="1">
        <v>45674</v>
      </c>
      <c r="C6504" t="s">
        <v>24</v>
      </c>
      <c r="D6504" s="2">
        <v>0</v>
      </c>
      <c r="E6504" s="2">
        <v>2259.5500000000002</v>
      </c>
      <c r="F6504" t="s">
        <v>13</v>
      </c>
      <c r="G6504" t="s">
        <v>9</v>
      </c>
    </row>
    <row r="6505" spans="1:7" x14ac:dyDescent="0.35">
      <c r="A6505">
        <v>2577</v>
      </c>
      <c r="B6505" s="1">
        <v>45674</v>
      </c>
      <c r="C6505" t="s">
        <v>24</v>
      </c>
      <c r="D6505" s="2">
        <v>4231.4399999999996</v>
      </c>
      <c r="E6505" s="2">
        <v>0</v>
      </c>
      <c r="F6505" t="s">
        <v>8</v>
      </c>
      <c r="G6505" t="s">
        <v>9</v>
      </c>
    </row>
    <row r="6506" spans="1:7" x14ac:dyDescent="0.35">
      <c r="A6506">
        <v>2577</v>
      </c>
      <c r="B6506" s="1">
        <v>45674</v>
      </c>
      <c r="C6506" t="s">
        <v>24</v>
      </c>
      <c r="D6506" s="2">
        <v>0</v>
      </c>
      <c r="E6506" s="2">
        <v>4231.4399999999996</v>
      </c>
      <c r="F6506" t="s">
        <v>13</v>
      </c>
      <c r="G6506" t="s">
        <v>9</v>
      </c>
    </row>
    <row r="6507" spans="1:7" x14ac:dyDescent="0.35">
      <c r="A6507">
        <v>2578</v>
      </c>
      <c r="B6507" s="1">
        <v>45674</v>
      </c>
      <c r="C6507" t="s">
        <v>25</v>
      </c>
      <c r="D6507" s="2">
        <v>512</v>
      </c>
      <c r="E6507" s="2">
        <v>0</v>
      </c>
      <c r="F6507" t="s">
        <v>26</v>
      </c>
      <c r="G6507" t="s">
        <v>20</v>
      </c>
    </row>
    <row r="6508" spans="1:7" x14ac:dyDescent="0.35">
      <c r="A6508">
        <v>2578</v>
      </c>
      <c r="B6508" s="1">
        <v>45674</v>
      </c>
      <c r="C6508" t="s">
        <v>25</v>
      </c>
      <c r="D6508" s="2">
        <v>38.4</v>
      </c>
      <c r="E6508" s="2">
        <v>0</v>
      </c>
      <c r="F6508" t="s">
        <v>27</v>
      </c>
      <c r="G6508" t="s">
        <v>9</v>
      </c>
    </row>
    <row r="6509" spans="1:7" x14ac:dyDescent="0.35">
      <c r="A6509">
        <v>2578</v>
      </c>
      <c r="B6509" s="1">
        <v>45674</v>
      </c>
      <c r="C6509" t="s">
        <v>25</v>
      </c>
      <c r="D6509" s="2">
        <v>0</v>
      </c>
      <c r="E6509" s="2">
        <v>550.4</v>
      </c>
      <c r="F6509" t="s">
        <v>28</v>
      </c>
      <c r="G6509" t="s">
        <v>17</v>
      </c>
    </row>
    <row r="6510" spans="1:7" x14ac:dyDescent="0.35">
      <c r="A6510">
        <v>2579</v>
      </c>
      <c r="B6510" s="1">
        <v>45674</v>
      </c>
      <c r="C6510" t="s">
        <v>25</v>
      </c>
      <c r="D6510" s="2">
        <v>2714.58</v>
      </c>
      <c r="E6510" s="2">
        <v>0</v>
      </c>
      <c r="F6510" t="s">
        <v>26</v>
      </c>
      <c r="G6510" t="s">
        <v>20</v>
      </c>
    </row>
    <row r="6511" spans="1:7" x14ac:dyDescent="0.35">
      <c r="A6511">
        <v>2579</v>
      </c>
      <c r="B6511" s="1">
        <v>45674</v>
      </c>
      <c r="C6511" t="s">
        <v>25</v>
      </c>
      <c r="D6511" s="2">
        <v>203.59</v>
      </c>
      <c r="E6511" s="2">
        <v>0</v>
      </c>
      <c r="F6511" t="s">
        <v>27</v>
      </c>
      <c r="G6511" t="s">
        <v>9</v>
      </c>
    </row>
    <row r="6512" spans="1:7" x14ac:dyDescent="0.35">
      <c r="A6512">
        <v>2579</v>
      </c>
      <c r="B6512" s="1">
        <v>45674</v>
      </c>
      <c r="C6512" t="s">
        <v>25</v>
      </c>
      <c r="D6512" s="2">
        <v>0</v>
      </c>
      <c r="E6512" s="2">
        <v>2918.17</v>
      </c>
      <c r="F6512" t="s">
        <v>28</v>
      </c>
      <c r="G6512" t="s">
        <v>17</v>
      </c>
    </row>
    <row r="6513" spans="1:7" x14ac:dyDescent="0.35">
      <c r="A6513">
        <v>2580</v>
      </c>
      <c r="B6513" s="1">
        <v>45674</v>
      </c>
      <c r="C6513" t="s">
        <v>29</v>
      </c>
      <c r="D6513" s="2">
        <v>1766.46</v>
      </c>
      <c r="E6513" s="2">
        <v>0</v>
      </c>
      <c r="F6513" t="s">
        <v>28</v>
      </c>
      <c r="G6513" t="s">
        <v>17</v>
      </c>
    </row>
    <row r="6514" spans="1:7" x14ac:dyDescent="0.35">
      <c r="A6514">
        <v>2580</v>
      </c>
      <c r="B6514" s="1">
        <v>45674</v>
      </c>
      <c r="C6514" t="s">
        <v>29</v>
      </c>
      <c r="D6514" s="2">
        <v>0</v>
      </c>
      <c r="E6514" s="2">
        <v>1766.46</v>
      </c>
      <c r="F6514" t="s">
        <v>8</v>
      </c>
      <c r="G6514" t="s">
        <v>9</v>
      </c>
    </row>
    <row r="6515" spans="1:7" x14ac:dyDescent="0.35">
      <c r="A6515">
        <v>2581</v>
      </c>
      <c r="B6515" s="1">
        <v>45674</v>
      </c>
      <c r="C6515" t="s">
        <v>29</v>
      </c>
      <c r="D6515" s="2">
        <v>2635.36</v>
      </c>
      <c r="E6515" s="2">
        <v>0</v>
      </c>
      <c r="F6515" t="s">
        <v>28</v>
      </c>
      <c r="G6515" t="s">
        <v>17</v>
      </c>
    </row>
    <row r="6516" spans="1:7" x14ac:dyDescent="0.35">
      <c r="A6516">
        <v>2581</v>
      </c>
      <c r="B6516" s="1">
        <v>45674</v>
      </c>
      <c r="C6516" t="s">
        <v>29</v>
      </c>
      <c r="D6516" s="2">
        <v>0</v>
      </c>
      <c r="E6516" s="2">
        <v>2635.36</v>
      </c>
      <c r="F6516" t="s">
        <v>8</v>
      </c>
      <c r="G6516" t="s">
        <v>9</v>
      </c>
    </row>
    <row r="6517" spans="1:7" x14ac:dyDescent="0.35">
      <c r="A6517">
        <v>2582</v>
      </c>
      <c r="B6517" s="1">
        <v>45674</v>
      </c>
      <c r="C6517" t="s">
        <v>29</v>
      </c>
      <c r="D6517" s="2">
        <v>2918.17</v>
      </c>
      <c r="E6517" s="2">
        <v>0</v>
      </c>
      <c r="F6517" t="s">
        <v>28</v>
      </c>
      <c r="G6517" t="s">
        <v>17</v>
      </c>
    </row>
    <row r="6518" spans="1:7" x14ac:dyDescent="0.35">
      <c r="A6518">
        <v>2582</v>
      </c>
      <c r="B6518" s="1">
        <v>45674</v>
      </c>
      <c r="C6518" t="s">
        <v>29</v>
      </c>
      <c r="D6518" s="2">
        <v>0</v>
      </c>
      <c r="E6518" s="2">
        <v>2918.17</v>
      </c>
      <c r="F6518" t="s">
        <v>8</v>
      </c>
      <c r="G6518" t="s">
        <v>9</v>
      </c>
    </row>
    <row r="6519" spans="1:7" x14ac:dyDescent="0.35">
      <c r="A6519">
        <v>2583</v>
      </c>
      <c r="B6519" s="1">
        <v>45677</v>
      </c>
      <c r="C6519" t="s">
        <v>12</v>
      </c>
      <c r="D6519" s="2">
        <v>880.91</v>
      </c>
      <c r="E6519" s="2">
        <v>0</v>
      </c>
      <c r="F6519" t="s">
        <v>13</v>
      </c>
      <c r="G6519" t="s">
        <v>9</v>
      </c>
    </row>
    <row r="6520" spans="1:7" x14ac:dyDescent="0.35">
      <c r="A6520">
        <v>2583</v>
      </c>
      <c r="B6520" s="1">
        <v>45677</v>
      </c>
      <c r="C6520" t="s">
        <v>12</v>
      </c>
      <c r="D6520" s="2">
        <v>0</v>
      </c>
      <c r="E6520" s="2">
        <v>819.44</v>
      </c>
      <c r="F6520" t="s">
        <v>14</v>
      </c>
      <c r="G6520" t="s">
        <v>15</v>
      </c>
    </row>
    <row r="6521" spans="1:7" x14ac:dyDescent="0.35">
      <c r="A6521">
        <v>2583</v>
      </c>
      <c r="B6521" s="1">
        <v>45677</v>
      </c>
      <c r="C6521" t="s">
        <v>12</v>
      </c>
      <c r="D6521" s="2">
        <v>0</v>
      </c>
      <c r="E6521" s="2">
        <v>61.47</v>
      </c>
      <c r="F6521" t="s">
        <v>16</v>
      </c>
      <c r="G6521" t="s">
        <v>17</v>
      </c>
    </row>
    <row r="6522" spans="1:7" x14ac:dyDescent="0.35">
      <c r="A6522">
        <v>2584</v>
      </c>
      <c r="B6522" s="1">
        <v>45677</v>
      </c>
      <c r="C6522" t="s">
        <v>12</v>
      </c>
      <c r="D6522" s="2">
        <v>587.76</v>
      </c>
      <c r="E6522" s="2">
        <v>0</v>
      </c>
      <c r="F6522" t="s">
        <v>13</v>
      </c>
      <c r="G6522" t="s">
        <v>9</v>
      </c>
    </row>
    <row r="6523" spans="1:7" x14ac:dyDescent="0.35">
      <c r="A6523">
        <v>2584</v>
      </c>
      <c r="B6523" s="1">
        <v>45677</v>
      </c>
      <c r="C6523" t="s">
        <v>12</v>
      </c>
      <c r="D6523" s="2">
        <v>0</v>
      </c>
      <c r="E6523" s="2">
        <v>546.75</v>
      </c>
      <c r="F6523" t="s">
        <v>14</v>
      </c>
      <c r="G6523" t="s">
        <v>15</v>
      </c>
    </row>
    <row r="6524" spans="1:7" x14ac:dyDescent="0.35">
      <c r="A6524">
        <v>2584</v>
      </c>
      <c r="B6524" s="1">
        <v>45677</v>
      </c>
      <c r="C6524" t="s">
        <v>12</v>
      </c>
      <c r="D6524" s="2">
        <v>0</v>
      </c>
      <c r="E6524" s="2">
        <v>41.01</v>
      </c>
      <c r="F6524" t="s">
        <v>16</v>
      </c>
      <c r="G6524" t="s">
        <v>17</v>
      </c>
    </row>
    <row r="6525" spans="1:7" x14ac:dyDescent="0.35">
      <c r="A6525">
        <v>2585</v>
      </c>
      <c r="B6525" s="1">
        <v>45677</v>
      </c>
      <c r="C6525" t="s">
        <v>24</v>
      </c>
      <c r="D6525" s="2">
        <v>395.82</v>
      </c>
      <c r="E6525" s="2">
        <v>0</v>
      </c>
      <c r="F6525" t="s">
        <v>8</v>
      </c>
      <c r="G6525" t="s">
        <v>9</v>
      </c>
    </row>
    <row r="6526" spans="1:7" x14ac:dyDescent="0.35">
      <c r="A6526">
        <v>2585</v>
      </c>
      <c r="B6526" s="1">
        <v>45677</v>
      </c>
      <c r="C6526" t="s">
        <v>24</v>
      </c>
      <c r="D6526" s="2">
        <v>0</v>
      </c>
      <c r="E6526" s="2">
        <v>395.82</v>
      </c>
      <c r="F6526" t="s">
        <v>13</v>
      </c>
      <c r="G6526" t="s">
        <v>9</v>
      </c>
    </row>
    <row r="6527" spans="1:7" x14ac:dyDescent="0.35">
      <c r="A6527">
        <v>2586</v>
      </c>
      <c r="B6527" s="1">
        <v>45677</v>
      </c>
      <c r="C6527" t="s">
        <v>24</v>
      </c>
      <c r="D6527" s="2">
        <v>4164.3500000000004</v>
      </c>
      <c r="E6527" s="2">
        <v>0</v>
      </c>
      <c r="F6527" t="s">
        <v>8</v>
      </c>
      <c r="G6527" t="s">
        <v>9</v>
      </c>
    </row>
    <row r="6528" spans="1:7" x14ac:dyDescent="0.35">
      <c r="A6528">
        <v>2586</v>
      </c>
      <c r="B6528" s="1">
        <v>45677</v>
      </c>
      <c r="C6528" t="s">
        <v>24</v>
      </c>
      <c r="D6528" s="2">
        <v>0</v>
      </c>
      <c r="E6528" s="2">
        <v>4164.3500000000004</v>
      </c>
      <c r="F6528" t="s">
        <v>13</v>
      </c>
      <c r="G6528" t="s">
        <v>9</v>
      </c>
    </row>
    <row r="6529" spans="1:7" x14ac:dyDescent="0.35">
      <c r="A6529">
        <v>2587</v>
      </c>
      <c r="B6529" s="1">
        <v>45677</v>
      </c>
      <c r="C6529" t="s">
        <v>24</v>
      </c>
      <c r="D6529" s="2">
        <v>2504.14</v>
      </c>
      <c r="E6529" s="2">
        <v>0</v>
      </c>
      <c r="F6529" t="s">
        <v>8</v>
      </c>
      <c r="G6529" t="s">
        <v>9</v>
      </c>
    </row>
    <row r="6530" spans="1:7" x14ac:dyDescent="0.35">
      <c r="A6530">
        <v>2587</v>
      </c>
      <c r="B6530" s="1">
        <v>45677</v>
      </c>
      <c r="C6530" t="s">
        <v>24</v>
      </c>
      <c r="D6530" s="2">
        <v>0</v>
      </c>
      <c r="E6530" s="2">
        <v>2504.14</v>
      </c>
      <c r="F6530" t="s">
        <v>13</v>
      </c>
      <c r="G6530" t="s">
        <v>9</v>
      </c>
    </row>
    <row r="6531" spans="1:7" x14ac:dyDescent="0.35">
      <c r="A6531">
        <v>2588</v>
      </c>
      <c r="B6531" s="1">
        <v>45677</v>
      </c>
      <c r="C6531" t="s">
        <v>24</v>
      </c>
      <c r="D6531" s="2">
        <v>970.9</v>
      </c>
      <c r="E6531" s="2">
        <v>0</v>
      </c>
      <c r="F6531" t="s">
        <v>8</v>
      </c>
      <c r="G6531" t="s">
        <v>9</v>
      </c>
    </row>
    <row r="6532" spans="1:7" x14ac:dyDescent="0.35">
      <c r="A6532">
        <v>2588</v>
      </c>
      <c r="B6532" s="1">
        <v>45677</v>
      </c>
      <c r="C6532" t="s">
        <v>24</v>
      </c>
      <c r="D6532" s="2">
        <v>0</v>
      </c>
      <c r="E6532" s="2">
        <v>970.9</v>
      </c>
      <c r="F6532" t="s">
        <v>13</v>
      </c>
      <c r="G6532" t="s">
        <v>9</v>
      </c>
    </row>
    <row r="6533" spans="1:7" x14ac:dyDescent="0.35">
      <c r="A6533">
        <v>2589</v>
      </c>
      <c r="B6533" s="1">
        <v>45677</v>
      </c>
      <c r="C6533" t="s">
        <v>24</v>
      </c>
      <c r="D6533" s="2">
        <v>1203.27</v>
      </c>
      <c r="E6533" s="2">
        <v>0</v>
      </c>
      <c r="F6533" t="s">
        <v>8</v>
      </c>
      <c r="G6533" t="s">
        <v>9</v>
      </c>
    </row>
    <row r="6534" spans="1:7" x14ac:dyDescent="0.35">
      <c r="A6534">
        <v>2589</v>
      </c>
      <c r="B6534" s="1">
        <v>45677</v>
      </c>
      <c r="C6534" t="s">
        <v>24</v>
      </c>
      <c r="D6534" s="2">
        <v>0</v>
      </c>
      <c r="E6534" s="2">
        <v>1203.27</v>
      </c>
      <c r="F6534" t="s">
        <v>13</v>
      </c>
      <c r="G6534" t="s">
        <v>9</v>
      </c>
    </row>
    <row r="6535" spans="1:7" x14ac:dyDescent="0.35">
      <c r="A6535">
        <v>2590</v>
      </c>
      <c r="B6535" s="1">
        <v>45677</v>
      </c>
      <c r="C6535" t="s">
        <v>24</v>
      </c>
      <c r="D6535" s="2">
        <v>474.83</v>
      </c>
      <c r="E6535" s="2">
        <v>0</v>
      </c>
      <c r="F6535" t="s">
        <v>8</v>
      </c>
      <c r="G6535" t="s">
        <v>9</v>
      </c>
    </row>
    <row r="6536" spans="1:7" x14ac:dyDescent="0.35">
      <c r="A6536">
        <v>2590</v>
      </c>
      <c r="B6536" s="1">
        <v>45677</v>
      </c>
      <c r="C6536" t="s">
        <v>24</v>
      </c>
      <c r="D6536" s="2">
        <v>0</v>
      </c>
      <c r="E6536" s="2">
        <v>474.83</v>
      </c>
      <c r="F6536" t="s">
        <v>13</v>
      </c>
      <c r="G6536" t="s">
        <v>9</v>
      </c>
    </row>
    <row r="6537" spans="1:7" x14ac:dyDescent="0.35">
      <c r="A6537">
        <v>2591</v>
      </c>
      <c r="B6537" s="1">
        <v>45677</v>
      </c>
      <c r="C6537" t="s">
        <v>24</v>
      </c>
      <c r="D6537" s="2">
        <v>558.34</v>
      </c>
      <c r="E6537" s="2">
        <v>0</v>
      </c>
      <c r="F6537" t="s">
        <v>8</v>
      </c>
      <c r="G6537" t="s">
        <v>9</v>
      </c>
    </row>
    <row r="6538" spans="1:7" x14ac:dyDescent="0.35">
      <c r="A6538">
        <v>2591</v>
      </c>
      <c r="B6538" s="1">
        <v>45677</v>
      </c>
      <c r="C6538" t="s">
        <v>24</v>
      </c>
      <c r="D6538" s="2">
        <v>0</v>
      </c>
      <c r="E6538" s="2">
        <v>558.34</v>
      </c>
      <c r="F6538" t="s">
        <v>13</v>
      </c>
      <c r="G6538" t="s">
        <v>9</v>
      </c>
    </row>
    <row r="6539" spans="1:7" x14ac:dyDescent="0.35">
      <c r="A6539">
        <v>2592</v>
      </c>
      <c r="B6539" s="1">
        <v>45677</v>
      </c>
      <c r="C6539" t="s">
        <v>24</v>
      </c>
      <c r="D6539" s="2">
        <v>2980.64</v>
      </c>
      <c r="E6539" s="2">
        <v>0</v>
      </c>
      <c r="F6539" t="s">
        <v>8</v>
      </c>
      <c r="G6539" t="s">
        <v>9</v>
      </c>
    </row>
    <row r="6540" spans="1:7" x14ac:dyDescent="0.35">
      <c r="A6540">
        <v>2592</v>
      </c>
      <c r="B6540" s="1">
        <v>45677</v>
      </c>
      <c r="C6540" t="s">
        <v>24</v>
      </c>
      <c r="D6540" s="2">
        <v>0</v>
      </c>
      <c r="E6540" s="2">
        <v>2980.64</v>
      </c>
      <c r="F6540" t="s">
        <v>13</v>
      </c>
      <c r="G6540" t="s">
        <v>9</v>
      </c>
    </row>
    <row r="6541" spans="1:7" x14ac:dyDescent="0.35">
      <c r="A6541">
        <v>2593</v>
      </c>
      <c r="B6541" s="1">
        <v>45677</v>
      </c>
      <c r="C6541" t="s">
        <v>24</v>
      </c>
      <c r="D6541" s="2">
        <v>3419.76</v>
      </c>
      <c r="E6541" s="2">
        <v>0</v>
      </c>
      <c r="F6541" t="s">
        <v>8</v>
      </c>
      <c r="G6541" t="s">
        <v>9</v>
      </c>
    </row>
    <row r="6542" spans="1:7" x14ac:dyDescent="0.35">
      <c r="A6542">
        <v>2593</v>
      </c>
      <c r="B6542" s="1">
        <v>45677</v>
      </c>
      <c r="C6542" t="s">
        <v>24</v>
      </c>
      <c r="D6542" s="2">
        <v>0</v>
      </c>
      <c r="E6542" s="2">
        <v>3419.76</v>
      </c>
      <c r="F6542" t="s">
        <v>13</v>
      </c>
      <c r="G6542" t="s">
        <v>9</v>
      </c>
    </row>
    <row r="6543" spans="1:7" x14ac:dyDescent="0.35">
      <c r="A6543">
        <v>2594</v>
      </c>
      <c r="B6543" s="1">
        <v>45677</v>
      </c>
      <c r="C6543" t="s">
        <v>25</v>
      </c>
      <c r="D6543" s="2">
        <v>1643.22</v>
      </c>
      <c r="E6543" s="2">
        <v>0</v>
      </c>
      <c r="F6543" t="s">
        <v>26</v>
      </c>
      <c r="G6543" t="s">
        <v>20</v>
      </c>
    </row>
    <row r="6544" spans="1:7" x14ac:dyDescent="0.35">
      <c r="A6544">
        <v>2594</v>
      </c>
      <c r="B6544" s="1">
        <v>45677</v>
      </c>
      <c r="C6544" t="s">
        <v>25</v>
      </c>
      <c r="D6544" s="2">
        <v>123.24</v>
      </c>
      <c r="E6544" s="2">
        <v>0</v>
      </c>
      <c r="F6544" t="s">
        <v>27</v>
      </c>
      <c r="G6544" t="s">
        <v>9</v>
      </c>
    </row>
    <row r="6545" spans="1:7" x14ac:dyDescent="0.35">
      <c r="A6545">
        <v>2594</v>
      </c>
      <c r="B6545" s="1">
        <v>45677</v>
      </c>
      <c r="C6545" t="s">
        <v>25</v>
      </c>
      <c r="D6545" s="2">
        <v>0</v>
      </c>
      <c r="E6545" s="2">
        <v>1766.46</v>
      </c>
      <c r="F6545" t="s">
        <v>28</v>
      </c>
      <c r="G6545" t="s">
        <v>17</v>
      </c>
    </row>
    <row r="6546" spans="1:7" x14ac:dyDescent="0.35">
      <c r="A6546">
        <v>2595</v>
      </c>
      <c r="B6546" s="1">
        <v>45677</v>
      </c>
      <c r="C6546" t="s">
        <v>25</v>
      </c>
      <c r="D6546" s="2">
        <v>1213.5999999999999</v>
      </c>
      <c r="E6546" s="2">
        <v>0</v>
      </c>
      <c r="F6546" t="s">
        <v>26</v>
      </c>
      <c r="G6546" t="s">
        <v>20</v>
      </c>
    </row>
    <row r="6547" spans="1:7" x14ac:dyDescent="0.35">
      <c r="A6547">
        <v>2595</v>
      </c>
      <c r="B6547" s="1">
        <v>45677</v>
      </c>
      <c r="C6547" t="s">
        <v>25</v>
      </c>
      <c r="D6547" s="2">
        <v>91.02</v>
      </c>
      <c r="E6547" s="2">
        <v>0</v>
      </c>
      <c r="F6547" t="s">
        <v>27</v>
      </c>
      <c r="G6547" t="s">
        <v>9</v>
      </c>
    </row>
    <row r="6548" spans="1:7" x14ac:dyDescent="0.35">
      <c r="A6548">
        <v>2595</v>
      </c>
      <c r="B6548" s="1">
        <v>45677</v>
      </c>
      <c r="C6548" t="s">
        <v>25</v>
      </c>
      <c r="D6548" s="2">
        <v>0</v>
      </c>
      <c r="E6548" s="2">
        <v>1304.6199999999999</v>
      </c>
      <c r="F6548" t="s">
        <v>28</v>
      </c>
      <c r="G6548" t="s">
        <v>17</v>
      </c>
    </row>
    <row r="6549" spans="1:7" x14ac:dyDescent="0.35">
      <c r="A6549">
        <v>2596</v>
      </c>
      <c r="B6549" s="1">
        <v>45677</v>
      </c>
      <c r="C6549" t="s">
        <v>25</v>
      </c>
      <c r="D6549" s="2">
        <v>2030.15</v>
      </c>
      <c r="E6549" s="2">
        <v>0</v>
      </c>
      <c r="F6549" t="s">
        <v>26</v>
      </c>
      <c r="G6549" t="s">
        <v>20</v>
      </c>
    </row>
    <row r="6550" spans="1:7" x14ac:dyDescent="0.35">
      <c r="A6550">
        <v>2596</v>
      </c>
      <c r="B6550" s="1">
        <v>45677</v>
      </c>
      <c r="C6550" t="s">
        <v>25</v>
      </c>
      <c r="D6550" s="2">
        <v>152.26</v>
      </c>
      <c r="E6550" s="2">
        <v>0</v>
      </c>
      <c r="F6550" t="s">
        <v>27</v>
      </c>
      <c r="G6550" t="s">
        <v>9</v>
      </c>
    </row>
    <row r="6551" spans="1:7" x14ac:dyDescent="0.35">
      <c r="A6551">
        <v>2596</v>
      </c>
      <c r="B6551" s="1">
        <v>45677</v>
      </c>
      <c r="C6551" t="s">
        <v>25</v>
      </c>
      <c r="D6551" s="2">
        <v>0</v>
      </c>
      <c r="E6551" s="2">
        <v>2182.41</v>
      </c>
      <c r="F6551" t="s">
        <v>28</v>
      </c>
      <c r="G6551" t="s">
        <v>17</v>
      </c>
    </row>
    <row r="6552" spans="1:7" x14ac:dyDescent="0.35">
      <c r="A6552">
        <v>2597</v>
      </c>
      <c r="B6552" s="1">
        <v>45677</v>
      </c>
      <c r="C6552" t="s">
        <v>25</v>
      </c>
      <c r="D6552" s="2">
        <v>3282.76</v>
      </c>
      <c r="E6552" s="2">
        <v>0</v>
      </c>
      <c r="F6552" t="s">
        <v>26</v>
      </c>
      <c r="G6552" t="s">
        <v>20</v>
      </c>
    </row>
    <row r="6553" spans="1:7" x14ac:dyDescent="0.35">
      <c r="A6553">
        <v>2597</v>
      </c>
      <c r="B6553" s="1">
        <v>45677</v>
      </c>
      <c r="C6553" t="s">
        <v>25</v>
      </c>
      <c r="D6553" s="2">
        <v>246.21</v>
      </c>
      <c r="E6553" s="2">
        <v>0</v>
      </c>
      <c r="F6553" t="s">
        <v>27</v>
      </c>
      <c r="G6553" t="s">
        <v>9</v>
      </c>
    </row>
    <row r="6554" spans="1:7" x14ac:dyDescent="0.35">
      <c r="A6554">
        <v>2597</v>
      </c>
      <c r="B6554" s="1">
        <v>45677</v>
      </c>
      <c r="C6554" t="s">
        <v>25</v>
      </c>
      <c r="D6554" s="2">
        <v>0</v>
      </c>
      <c r="E6554" s="2">
        <v>3528.97</v>
      </c>
      <c r="F6554" t="s">
        <v>28</v>
      </c>
      <c r="G6554" t="s">
        <v>17</v>
      </c>
    </row>
    <row r="6555" spans="1:7" x14ac:dyDescent="0.35">
      <c r="A6555">
        <v>2598</v>
      </c>
      <c r="B6555" s="1">
        <v>45677</v>
      </c>
      <c r="C6555" t="s">
        <v>25</v>
      </c>
      <c r="D6555" s="2">
        <v>1078.92</v>
      </c>
      <c r="E6555" s="2">
        <v>0</v>
      </c>
      <c r="F6555" t="s">
        <v>26</v>
      </c>
      <c r="G6555" t="s">
        <v>20</v>
      </c>
    </row>
    <row r="6556" spans="1:7" x14ac:dyDescent="0.35">
      <c r="A6556">
        <v>2598</v>
      </c>
      <c r="B6556" s="1">
        <v>45677</v>
      </c>
      <c r="C6556" t="s">
        <v>25</v>
      </c>
      <c r="D6556" s="2">
        <v>80.92</v>
      </c>
      <c r="E6556" s="2">
        <v>0</v>
      </c>
      <c r="F6556" t="s">
        <v>27</v>
      </c>
      <c r="G6556" t="s">
        <v>9</v>
      </c>
    </row>
    <row r="6557" spans="1:7" x14ac:dyDescent="0.35">
      <c r="A6557">
        <v>2598</v>
      </c>
      <c r="B6557" s="1">
        <v>45677</v>
      </c>
      <c r="C6557" t="s">
        <v>25</v>
      </c>
      <c r="D6557" s="2">
        <v>0</v>
      </c>
      <c r="E6557" s="2">
        <v>1159.8399999999999</v>
      </c>
      <c r="F6557" t="s">
        <v>28</v>
      </c>
      <c r="G6557" t="s">
        <v>17</v>
      </c>
    </row>
    <row r="6558" spans="1:7" x14ac:dyDescent="0.35">
      <c r="A6558">
        <v>2599</v>
      </c>
      <c r="B6558" s="1">
        <v>45677</v>
      </c>
      <c r="C6558" t="s">
        <v>29</v>
      </c>
      <c r="D6558" s="2">
        <v>1958.74</v>
      </c>
      <c r="E6558" s="2">
        <v>0</v>
      </c>
      <c r="F6558" t="s">
        <v>28</v>
      </c>
      <c r="G6558" t="s">
        <v>17</v>
      </c>
    </row>
    <row r="6559" spans="1:7" x14ac:dyDescent="0.35">
      <c r="A6559">
        <v>2599</v>
      </c>
      <c r="B6559" s="1">
        <v>45677</v>
      </c>
      <c r="C6559" t="s">
        <v>29</v>
      </c>
      <c r="D6559" s="2">
        <v>0</v>
      </c>
      <c r="E6559" s="2">
        <v>1958.74</v>
      </c>
      <c r="F6559" t="s">
        <v>8</v>
      </c>
      <c r="G6559" t="s">
        <v>9</v>
      </c>
    </row>
    <row r="6560" spans="1:7" x14ac:dyDescent="0.35">
      <c r="A6560">
        <v>2600</v>
      </c>
      <c r="B6560" s="1">
        <v>45677</v>
      </c>
      <c r="C6560" t="s">
        <v>29</v>
      </c>
      <c r="D6560" s="2">
        <v>1591.54</v>
      </c>
      <c r="E6560" s="2">
        <v>0</v>
      </c>
      <c r="F6560" t="s">
        <v>28</v>
      </c>
      <c r="G6560" t="s">
        <v>17</v>
      </c>
    </row>
    <row r="6561" spans="1:7" x14ac:dyDescent="0.35">
      <c r="A6561">
        <v>2600</v>
      </c>
      <c r="B6561" s="1">
        <v>45677</v>
      </c>
      <c r="C6561" t="s">
        <v>29</v>
      </c>
      <c r="D6561" s="2">
        <v>0</v>
      </c>
      <c r="E6561" s="2">
        <v>1591.54</v>
      </c>
      <c r="F6561" t="s">
        <v>8</v>
      </c>
      <c r="G6561" t="s">
        <v>9</v>
      </c>
    </row>
    <row r="6562" spans="1:7" x14ac:dyDescent="0.35">
      <c r="A6562">
        <v>2601</v>
      </c>
      <c r="B6562" s="1">
        <v>45677</v>
      </c>
      <c r="C6562" t="s">
        <v>29</v>
      </c>
      <c r="D6562" s="2">
        <v>4812.46</v>
      </c>
      <c r="E6562" s="2">
        <v>0</v>
      </c>
      <c r="F6562" t="s">
        <v>28</v>
      </c>
      <c r="G6562" t="s">
        <v>17</v>
      </c>
    </row>
    <row r="6563" spans="1:7" x14ac:dyDescent="0.35">
      <c r="A6563">
        <v>2601</v>
      </c>
      <c r="B6563" s="1">
        <v>45677</v>
      </c>
      <c r="C6563" t="s">
        <v>29</v>
      </c>
      <c r="D6563" s="2">
        <v>0</v>
      </c>
      <c r="E6563" s="2">
        <v>4812.46</v>
      </c>
      <c r="F6563" t="s">
        <v>8</v>
      </c>
      <c r="G6563" t="s">
        <v>9</v>
      </c>
    </row>
    <row r="6564" spans="1:7" x14ac:dyDescent="0.35">
      <c r="A6564">
        <v>2602</v>
      </c>
      <c r="B6564" s="1">
        <v>45678</v>
      </c>
      <c r="C6564" t="s">
        <v>12</v>
      </c>
      <c r="D6564" s="2">
        <v>4024.12</v>
      </c>
      <c r="E6564" s="2">
        <v>0</v>
      </c>
      <c r="F6564" t="s">
        <v>13</v>
      </c>
      <c r="G6564" t="s">
        <v>9</v>
      </c>
    </row>
    <row r="6565" spans="1:7" x14ac:dyDescent="0.35">
      <c r="A6565">
        <v>2602</v>
      </c>
      <c r="B6565" s="1">
        <v>45678</v>
      </c>
      <c r="C6565" t="s">
        <v>12</v>
      </c>
      <c r="D6565" s="2">
        <v>0</v>
      </c>
      <c r="E6565" s="2">
        <v>3743.37</v>
      </c>
      <c r="F6565" t="s">
        <v>14</v>
      </c>
      <c r="G6565" t="s">
        <v>15</v>
      </c>
    </row>
    <row r="6566" spans="1:7" x14ac:dyDescent="0.35">
      <c r="A6566">
        <v>2602</v>
      </c>
      <c r="B6566" s="1">
        <v>45678</v>
      </c>
      <c r="C6566" t="s">
        <v>12</v>
      </c>
      <c r="D6566" s="2">
        <v>0</v>
      </c>
      <c r="E6566" s="2">
        <v>280.75</v>
      </c>
      <c r="F6566" t="s">
        <v>16</v>
      </c>
      <c r="G6566" t="s">
        <v>17</v>
      </c>
    </row>
    <row r="6567" spans="1:7" x14ac:dyDescent="0.35">
      <c r="A6567">
        <v>2603</v>
      </c>
      <c r="B6567" s="1">
        <v>45678</v>
      </c>
      <c r="C6567" t="s">
        <v>12</v>
      </c>
      <c r="D6567" s="2">
        <v>2913.78</v>
      </c>
      <c r="E6567" s="2">
        <v>0</v>
      </c>
      <c r="F6567" t="s">
        <v>13</v>
      </c>
      <c r="G6567" t="s">
        <v>9</v>
      </c>
    </row>
    <row r="6568" spans="1:7" x14ac:dyDescent="0.35">
      <c r="A6568">
        <v>2603</v>
      </c>
      <c r="B6568" s="1">
        <v>45678</v>
      </c>
      <c r="C6568" t="s">
        <v>12</v>
      </c>
      <c r="D6568" s="2">
        <v>0</v>
      </c>
      <c r="E6568" s="2">
        <v>2710.5</v>
      </c>
      <c r="F6568" t="s">
        <v>14</v>
      </c>
      <c r="G6568" t="s">
        <v>15</v>
      </c>
    </row>
    <row r="6569" spans="1:7" x14ac:dyDescent="0.35">
      <c r="A6569">
        <v>2603</v>
      </c>
      <c r="B6569" s="1">
        <v>45678</v>
      </c>
      <c r="C6569" t="s">
        <v>12</v>
      </c>
      <c r="D6569" s="2">
        <v>0</v>
      </c>
      <c r="E6569" s="2">
        <v>203.28</v>
      </c>
      <c r="F6569" t="s">
        <v>16</v>
      </c>
      <c r="G6569" t="s">
        <v>17</v>
      </c>
    </row>
    <row r="6570" spans="1:7" x14ac:dyDescent="0.35">
      <c r="A6570">
        <v>2604</v>
      </c>
      <c r="B6570" s="1">
        <v>45678</v>
      </c>
      <c r="C6570" t="s">
        <v>24</v>
      </c>
      <c r="D6570" s="2">
        <v>148.80000000000001</v>
      </c>
      <c r="E6570" s="2">
        <v>0</v>
      </c>
      <c r="F6570" t="s">
        <v>8</v>
      </c>
      <c r="G6570" t="s">
        <v>9</v>
      </c>
    </row>
    <row r="6571" spans="1:7" x14ac:dyDescent="0.35">
      <c r="A6571">
        <v>2604</v>
      </c>
      <c r="B6571" s="1">
        <v>45678</v>
      </c>
      <c r="C6571" t="s">
        <v>24</v>
      </c>
      <c r="D6571" s="2">
        <v>0</v>
      </c>
      <c r="E6571" s="2">
        <v>148.80000000000001</v>
      </c>
      <c r="F6571" t="s">
        <v>13</v>
      </c>
      <c r="G6571" t="s">
        <v>9</v>
      </c>
    </row>
    <row r="6572" spans="1:7" x14ac:dyDescent="0.35">
      <c r="A6572">
        <v>2605</v>
      </c>
      <c r="B6572" s="1">
        <v>45678</v>
      </c>
      <c r="C6572" t="s">
        <v>24</v>
      </c>
      <c r="D6572" s="2">
        <v>4340.47</v>
      </c>
      <c r="E6572" s="2">
        <v>0</v>
      </c>
      <c r="F6572" t="s">
        <v>8</v>
      </c>
      <c r="G6572" t="s">
        <v>9</v>
      </c>
    </row>
    <row r="6573" spans="1:7" x14ac:dyDescent="0.35">
      <c r="A6573">
        <v>2605</v>
      </c>
      <c r="B6573" s="1">
        <v>45678</v>
      </c>
      <c r="C6573" t="s">
        <v>24</v>
      </c>
      <c r="D6573" s="2">
        <v>0</v>
      </c>
      <c r="E6573" s="2">
        <v>4340.47</v>
      </c>
      <c r="F6573" t="s">
        <v>13</v>
      </c>
      <c r="G6573" t="s">
        <v>9</v>
      </c>
    </row>
    <row r="6574" spans="1:7" x14ac:dyDescent="0.35">
      <c r="A6574">
        <v>2606</v>
      </c>
      <c r="B6574" s="1">
        <v>45678</v>
      </c>
      <c r="C6574" t="s">
        <v>24</v>
      </c>
      <c r="D6574" s="2">
        <v>3715.25</v>
      </c>
      <c r="E6574" s="2">
        <v>0</v>
      </c>
      <c r="F6574" t="s">
        <v>8</v>
      </c>
      <c r="G6574" t="s">
        <v>9</v>
      </c>
    </row>
    <row r="6575" spans="1:7" x14ac:dyDescent="0.35">
      <c r="A6575">
        <v>2606</v>
      </c>
      <c r="B6575" s="1">
        <v>45678</v>
      </c>
      <c r="C6575" t="s">
        <v>24</v>
      </c>
      <c r="D6575" s="2">
        <v>0</v>
      </c>
      <c r="E6575" s="2">
        <v>3715.25</v>
      </c>
      <c r="F6575" t="s">
        <v>13</v>
      </c>
      <c r="G6575" t="s">
        <v>9</v>
      </c>
    </row>
    <row r="6576" spans="1:7" x14ac:dyDescent="0.35">
      <c r="A6576">
        <v>2607</v>
      </c>
      <c r="B6576" s="1">
        <v>45678</v>
      </c>
      <c r="C6576" t="s">
        <v>24</v>
      </c>
      <c r="D6576" s="2">
        <v>612.86</v>
      </c>
      <c r="E6576" s="2">
        <v>0</v>
      </c>
      <c r="F6576" t="s">
        <v>8</v>
      </c>
      <c r="G6576" t="s">
        <v>9</v>
      </c>
    </row>
    <row r="6577" spans="1:7" x14ac:dyDescent="0.35">
      <c r="A6577">
        <v>2607</v>
      </c>
      <c r="B6577" s="1">
        <v>45678</v>
      </c>
      <c r="C6577" t="s">
        <v>24</v>
      </c>
      <c r="D6577" s="2">
        <v>0</v>
      </c>
      <c r="E6577" s="2">
        <v>612.86</v>
      </c>
      <c r="F6577" t="s">
        <v>13</v>
      </c>
      <c r="G6577" t="s">
        <v>9</v>
      </c>
    </row>
    <row r="6578" spans="1:7" x14ac:dyDescent="0.35">
      <c r="A6578">
        <v>2608</v>
      </c>
      <c r="B6578" s="1">
        <v>45678</v>
      </c>
      <c r="C6578" t="s">
        <v>24</v>
      </c>
      <c r="D6578" s="2">
        <v>1163.3</v>
      </c>
      <c r="E6578" s="2">
        <v>0</v>
      </c>
      <c r="F6578" t="s">
        <v>8</v>
      </c>
      <c r="G6578" t="s">
        <v>9</v>
      </c>
    </row>
    <row r="6579" spans="1:7" x14ac:dyDescent="0.35">
      <c r="A6579">
        <v>2608</v>
      </c>
      <c r="B6579" s="1">
        <v>45678</v>
      </c>
      <c r="C6579" t="s">
        <v>24</v>
      </c>
      <c r="D6579" s="2">
        <v>0</v>
      </c>
      <c r="E6579" s="2">
        <v>1163.3</v>
      </c>
      <c r="F6579" t="s">
        <v>13</v>
      </c>
      <c r="G6579" t="s">
        <v>9</v>
      </c>
    </row>
    <row r="6580" spans="1:7" x14ac:dyDescent="0.35">
      <c r="A6580">
        <v>2609</v>
      </c>
      <c r="B6580" s="1">
        <v>45678</v>
      </c>
      <c r="C6580" t="s">
        <v>29</v>
      </c>
      <c r="D6580" s="2">
        <v>412.54</v>
      </c>
      <c r="E6580" s="2">
        <v>0</v>
      </c>
      <c r="F6580" t="s">
        <v>28</v>
      </c>
      <c r="G6580" t="s">
        <v>17</v>
      </c>
    </row>
    <row r="6581" spans="1:7" x14ac:dyDescent="0.35">
      <c r="A6581">
        <v>2609</v>
      </c>
      <c r="B6581" s="1">
        <v>45678</v>
      </c>
      <c r="C6581" t="s">
        <v>29</v>
      </c>
      <c r="D6581" s="2">
        <v>0</v>
      </c>
      <c r="E6581" s="2">
        <v>412.54</v>
      </c>
      <c r="F6581" t="s">
        <v>8</v>
      </c>
      <c r="G6581" t="s">
        <v>9</v>
      </c>
    </row>
    <row r="6582" spans="1:7" x14ac:dyDescent="0.35">
      <c r="A6582">
        <v>2610</v>
      </c>
      <c r="B6582" s="1">
        <v>45679</v>
      </c>
      <c r="C6582" t="s">
        <v>12</v>
      </c>
      <c r="D6582" s="2">
        <v>4867.7299999999996</v>
      </c>
      <c r="E6582" s="2">
        <v>0</v>
      </c>
      <c r="F6582" t="s">
        <v>13</v>
      </c>
      <c r="G6582" t="s">
        <v>9</v>
      </c>
    </row>
    <row r="6583" spans="1:7" x14ac:dyDescent="0.35">
      <c r="A6583">
        <v>2610</v>
      </c>
      <c r="B6583" s="1">
        <v>45679</v>
      </c>
      <c r="C6583" t="s">
        <v>12</v>
      </c>
      <c r="D6583" s="2">
        <v>0</v>
      </c>
      <c r="E6583" s="2">
        <v>4528.13</v>
      </c>
      <c r="F6583" t="s">
        <v>14</v>
      </c>
      <c r="G6583" t="s">
        <v>15</v>
      </c>
    </row>
    <row r="6584" spans="1:7" x14ac:dyDescent="0.35">
      <c r="A6584">
        <v>2610</v>
      </c>
      <c r="B6584" s="1">
        <v>45679</v>
      </c>
      <c r="C6584" t="s">
        <v>12</v>
      </c>
      <c r="D6584" s="2">
        <v>0</v>
      </c>
      <c r="E6584" s="2">
        <v>339.6</v>
      </c>
      <c r="F6584" t="s">
        <v>16</v>
      </c>
      <c r="G6584" t="s">
        <v>17</v>
      </c>
    </row>
    <row r="6585" spans="1:7" x14ac:dyDescent="0.35">
      <c r="A6585">
        <v>2611</v>
      </c>
      <c r="B6585" s="1">
        <v>45679</v>
      </c>
      <c r="C6585" t="s">
        <v>12</v>
      </c>
      <c r="D6585" s="2">
        <v>1041.93</v>
      </c>
      <c r="E6585" s="2">
        <v>0</v>
      </c>
      <c r="F6585" t="s">
        <v>13</v>
      </c>
      <c r="G6585" t="s">
        <v>9</v>
      </c>
    </row>
    <row r="6586" spans="1:7" x14ac:dyDescent="0.35">
      <c r="A6586">
        <v>2611</v>
      </c>
      <c r="B6586" s="1">
        <v>45679</v>
      </c>
      <c r="C6586" t="s">
        <v>12</v>
      </c>
      <c r="D6586" s="2">
        <v>0</v>
      </c>
      <c r="E6586" s="2">
        <v>969.23</v>
      </c>
      <c r="F6586" t="s">
        <v>14</v>
      </c>
      <c r="G6586" t="s">
        <v>15</v>
      </c>
    </row>
    <row r="6587" spans="1:7" x14ac:dyDescent="0.35">
      <c r="A6587">
        <v>2611</v>
      </c>
      <c r="B6587" s="1">
        <v>45679</v>
      </c>
      <c r="C6587" t="s">
        <v>12</v>
      </c>
      <c r="D6587" s="2">
        <v>0</v>
      </c>
      <c r="E6587" s="2">
        <v>72.7</v>
      </c>
      <c r="F6587" t="s">
        <v>16</v>
      </c>
      <c r="G6587" t="s">
        <v>17</v>
      </c>
    </row>
    <row r="6588" spans="1:7" x14ac:dyDescent="0.35">
      <c r="A6588">
        <v>2612</v>
      </c>
      <c r="B6588" s="1">
        <v>45679</v>
      </c>
      <c r="C6588" t="s">
        <v>12</v>
      </c>
      <c r="D6588" s="2">
        <v>1253.03</v>
      </c>
      <c r="E6588" s="2">
        <v>0</v>
      </c>
      <c r="F6588" t="s">
        <v>13</v>
      </c>
      <c r="G6588" t="s">
        <v>9</v>
      </c>
    </row>
    <row r="6589" spans="1:7" x14ac:dyDescent="0.35">
      <c r="A6589">
        <v>2612</v>
      </c>
      <c r="B6589" s="1">
        <v>45679</v>
      </c>
      <c r="C6589" t="s">
        <v>12</v>
      </c>
      <c r="D6589" s="2">
        <v>0</v>
      </c>
      <c r="E6589" s="2">
        <v>1165.6099999999999</v>
      </c>
      <c r="F6589" t="s">
        <v>14</v>
      </c>
      <c r="G6589" t="s">
        <v>15</v>
      </c>
    </row>
    <row r="6590" spans="1:7" x14ac:dyDescent="0.35">
      <c r="A6590">
        <v>2612</v>
      </c>
      <c r="B6590" s="1">
        <v>45679</v>
      </c>
      <c r="C6590" t="s">
        <v>12</v>
      </c>
      <c r="D6590" s="2">
        <v>0</v>
      </c>
      <c r="E6590" s="2">
        <v>87.42</v>
      </c>
      <c r="F6590" t="s">
        <v>16</v>
      </c>
      <c r="G6590" t="s">
        <v>17</v>
      </c>
    </row>
    <row r="6591" spans="1:7" x14ac:dyDescent="0.35">
      <c r="A6591">
        <v>2613</v>
      </c>
      <c r="B6591" s="1">
        <v>45679</v>
      </c>
      <c r="C6591" t="s">
        <v>12</v>
      </c>
      <c r="D6591" s="2">
        <v>3929.51</v>
      </c>
      <c r="E6591" s="2">
        <v>0</v>
      </c>
      <c r="F6591" t="s">
        <v>13</v>
      </c>
      <c r="G6591" t="s">
        <v>9</v>
      </c>
    </row>
    <row r="6592" spans="1:7" x14ac:dyDescent="0.35">
      <c r="A6592">
        <v>2613</v>
      </c>
      <c r="B6592" s="1">
        <v>45679</v>
      </c>
      <c r="C6592" t="s">
        <v>12</v>
      </c>
      <c r="D6592" s="2">
        <v>0</v>
      </c>
      <c r="E6592" s="2">
        <v>3655.36</v>
      </c>
      <c r="F6592" t="s">
        <v>14</v>
      </c>
      <c r="G6592" t="s">
        <v>15</v>
      </c>
    </row>
    <row r="6593" spans="1:7" x14ac:dyDescent="0.35">
      <c r="A6593">
        <v>2613</v>
      </c>
      <c r="B6593" s="1">
        <v>45679</v>
      </c>
      <c r="C6593" t="s">
        <v>12</v>
      </c>
      <c r="D6593" s="2">
        <v>0</v>
      </c>
      <c r="E6593" s="2">
        <v>274.14999999999998</v>
      </c>
      <c r="F6593" t="s">
        <v>16</v>
      </c>
      <c r="G6593" t="s">
        <v>17</v>
      </c>
    </row>
    <row r="6594" spans="1:7" x14ac:dyDescent="0.35">
      <c r="A6594">
        <v>2614</v>
      </c>
      <c r="B6594" s="1">
        <v>45679</v>
      </c>
      <c r="C6594" t="s">
        <v>12</v>
      </c>
      <c r="D6594" s="2">
        <v>1861.83</v>
      </c>
      <c r="E6594" s="2">
        <v>0</v>
      </c>
      <c r="F6594" t="s">
        <v>13</v>
      </c>
      <c r="G6594" t="s">
        <v>9</v>
      </c>
    </row>
    <row r="6595" spans="1:7" x14ac:dyDescent="0.35">
      <c r="A6595">
        <v>2614</v>
      </c>
      <c r="B6595" s="1">
        <v>45679</v>
      </c>
      <c r="C6595" t="s">
        <v>12</v>
      </c>
      <c r="D6595" s="2">
        <v>0</v>
      </c>
      <c r="E6595" s="2">
        <v>1731.94</v>
      </c>
      <c r="F6595" t="s">
        <v>14</v>
      </c>
      <c r="G6595" t="s">
        <v>15</v>
      </c>
    </row>
    <row r="6596" spans="1:7" x14ac:dyDescent="0.35">
      <c r="A6596">
        <v>2614</v>
      </c>
      <c r="B6596" s="1">
        <v>45679</v>
      </c>
      <c r="C6596" t="s">
        <v>12</v>
      </c>
      <c r="D6596" s="2">
        <v>0</v>
      </c>
      <c r="E6596" s="2">
        <v>129.88999999999999</v>
      </c>
      <c r="F6596" t="s">
        <v>16</v>
      </c>
      <c r="G6596" t="s">
        <v>17</v>
      </c>
    </row>
    <row r="6597" spans="1:7" x14ac:dyDescent="0.35">
      <c r="A6597">
        <v>2615</v>
      </c>
      <c r="B6597" s="1">
        <v>45679</v>
      </c>
      <c r="C6597" t="s">
        <v>24</v>
      </c>
      <c r="D6597" s="2">
        <v>64.94</v>
      </c>
      <c r="E6597" s="2">
        <v>0</v>
      </c>
      <c r="F6597" t="s">
        <v>8</v>
      </c>
      <c r="G6597" t="s">
        <v>9</v>
      </c>
    </row>
    <row r="6598" spans="1:7" x14ac:dyDescent="0.35">
      <c r="A6598">
        <v>2615</v>
      </c>
      <c r="B6598" s="1">
        <v>45679</v>
      </c>
      <c r="C6598" t="s">
        <v>24</v>
      </c>
      <c r="D6598" s="2">
        <v>0</v>
      </c>
      <c r="E6598" s="2">
        <v>64.94</v>
      </c>
      <c r="F6598" t="s">
        <v>13</v>
      </c>
      <c r="G6598" t="s">
        <v>9</v>
      </c>
    </row>
    <row r="6599" spans="1:7" x14ac:dyDescent="0.35">
      <c r="A6599">
        <v>2616</v>
      </c>
      <c r="B6599" s="1">
        <v>45679</v>
      </c>
      <c r="C6599" t="s">
        <v>24</v>
      </c>
      <c r="D6599" s="2">
        <v>4617.3900000000003</v>
      </c>
      <c r="E6599" s="2">
        <v>0</v>
      </c>
      <c r="F6599" t="s">
        <v>8</v>
      </c>
      <c r="G6599" t="s">
        <v>9</v>
      </c>
    </row>
    <row r="6600" spans="1:7" x14ac:dyDescent="0.35">
      <c r="A6600">
        <v>2616</v>
      </c>
      <c r="B6600" s="1">
        <v>45679</v>
      </c>
      <c r="C6600" t="s">
        <v>24</v>
      </c>
      <c r="D6600" s="2">
        <v>0</v>
      </c>
      <c r="E6600" s="2">
        <v>4617.3900000000003</v>
      </c>
      <c r="F6600" t="s">
        <v>13</v>
      </c>
      <c r="G6600" t="s">
        <v>9</v>
      </c>
    </row>
    <row r="6601" spans="1:7" x14ac:dyDescent="0.35">
      <c r="A6601">
        <v>2617</v>
      </c>
      <c r="B6601" s="1">
        <v>45679</v>
      </c>
      <c r="C6601" t="s">
        <v>24</v>
      </c>
      <c r="D6601" s="2">
        <v>3499.78</v>
      </c>
      <c r="E6601" s="2">
        <v>0</v>
      </c>
      <c r="F6601" t="s">
        <v>8</v>
      </c>
      <c r="G6601" t="s">
        <v>9</v>
      </c>
    </row>
    <row r="6602" spans="1:7" x14ac:dyDescent="0.35">
      <c r="A6602">
        <v>2617</v>
      </c>
      <c r="B6602" s="1">
        <v>45679</v>
      </c>
      <c r="C6602" t="s">
        <v>24</v>
      </c>
      <c r="D6602" s="2">
        <v>0</v>
      </c>
      <c r="E6602" s="2">
        <v>3499.78</v>
      </c>
      <c r="F6602" t="s">
        <v>13</v>
      </c>
      <c r="G6602" t="s">
        <v>9</v>
      </c>
    </row>
    <row r="6603" spans="1:7" x14ac:dyDescent="0.35">
      <c r="A6603">
        <v>2618</v>
      </c>
      <c r="B6603" s="1">
        <v>45679</v>
      </c>
      <c r="C6603" t="s">
        <v>24</v>
      </c>
      <c r="D6603" s="2">
        <v>446.08</v>
      </c>
      <c r="E6603" s="2">
        <v>0</v>
      </c>
      <c r="F6603" t="s">
        <v>8</v>
      </c>
      <c r="G6603" t="s">
        <v>9</v>
      </c>
    </row>
    <row r="6604" spans="1:7" x14ac:dyDescent="0.35">
      <c r="A6604">
        <v>2618</v>
      </c>
      <c r="B6604" s="1">
        <v>45679</v>
      </c>
      <c r="C6604" t="s">
        <v>24</v>
      </c>
      <c r="D6604" s="2">
        <v>0</v>
      </c>
      <c r="E6604" s="2">
        <v>446.08</v>
      </c>
      <c r="F6604" t="s">
        <v>13</v>
      </c>
      <c r="G6604" t="s">
        <v>9</v>
      </c>
    </row>
    <row r="6605" spans="1:7" x14ac:dyDescent="0.35">
      <c r="A6605">
        <v>2619</v>
      </c>
      <c r="B6605" s="1">
        <v>45679</v>
      </c>
      <c r="C6605" t="s">
        <v>24</v>
      </c>
      <c r="D6605" s="2">
        <v>749.31</v>
      </c>
      <c r="E6605" s="2">
        <v>0</v>
      </c>
      <c r="F6605" t="s">
        <v>8</v>
      </c>
      <c r="G6605" t="s">
        <v>9</v>
      </c>
    </row>
    <row r="6606" spans="1:7" x14ac:dyDescent="0.35">
      <c r="A6606">
        <v>2619</v>
      </c>
      <c r="B6606" s="1">
        <v>45679</v>
      </c>
      <c r="C6606" t="s">
        <v>24</v>
      </c>
      <c r="D6606" s="2">
        <v>0</v>
      </c>
      <c r="E6606" s="2">
        <v>749.31</v>
      </c>
      <c r="F6606" t="s">
        <v>13</v>
      </c>
      <c r="G6606" t="s">
        <v>9</v>
      </c>
    </row>
    <row r="6607" spans="1:7" x14ac:dyDescent="0.35">
      <c r="A6607">
        <v>2620</v>
      </c>
      <c r="B6607" s="1">
        <v>45679</v>
      </c>
      <c r="C6607" t="s">
        <v>25</v>
      </c>
      <c r="D6607" s="2">
        <v>1947.24</v>
      </c>
      <c r="E6607" s="2">
        <v>0</v>
      </c>
      <c r="F6607" t="s">
        <v>26</v>
      </c>
      <c r="G6607" t="s">
        <v>20</v>
      </c>
    </row>
    <row r="6608" spans="1:7" x14ac:dyDescent="0.35">
      <c r="A6608">
        <v>2620</v>
      </c>
      <c r="B6608" s="1">
        <v>45679</v>
      </c>
      <c r="C6608" t="s">
        <v>25</v>
      </c>
      <c r="D6608" s="2">
        <v>146.04</v>
      </c>
      <c r="E6608" s="2">
        <v>0</v>
      </c>
      <c r="F6608" t="s">
        <v>27</v>
      </c>
      <c r="G6608" t="s">
        <v>9</v>
      </c>
    </row>
    <row r="6609" spans="1:7" x14ac:dyDescent="0.35">
      <c r="A6609">
        <v>2620</v>
      </c>
      <c r="B6609" s="1">
        <v>45679</v>
      </c>
      <c r="C6609" t="s">
        <v>25</v>
      </c>
      <c r="D6609" s="2">
        <v>0</v>
      </c>
      <c r="E6609" s="2">
        <v>2093.2800000000002</v>
      </c>
      <c r="F6609" t="s">
        <v>28</v>
      </c>
      <c r="G6609" t="s">
        <v>17</v>
      </c>
    </row>
    <row r="6610" spans="1:7" x14ac:dyDescent="0.35">
      <c r="A6610">
        <v>2621</v>
      </c>
      <c r="B6610" s="1">
        <v>45679</v>
      </c>
      <c r="C6610" t="s">
        <v>25</v>
      </c>
      <c r="D6610" s="2">
        <v>3598.88</v>
      </c>
      <c r="E6610" s="2">
        <v>0</v>
      </c>
      <c r="F6610" t="s">
        <v>26</v>
      </c>
      <c r="G6610" t="s">
        <v>20</v>
      </c>
    </row>
    <row r="6611" spans="1:7" x14ac:dyDescent="0.35">
      <c r="A6611">
        <v>2621</v>
      </c>
      <c r="B6611" s="1">
        <v>45679</v>
      </c>
      <c r="C6611" t="s">
        <v>25</v>
      </c>
      <c r="D6611" s="2">
        <v>269.92</v>
      </c>
      <c r="E6611" s="2">
        <v>0</v>
      </c>
      <c r="F6611" t="s">
        <v>27</v>
      </c>
      <c r="G6611" t="s">
        <v>9</v>
      </c>
    </row>
    <row r="6612" spans="1:7" x14ac:dyDescent="0.35">
      <c r="A6612">
        <v>2621</v>
      </c>
      <c r="B6612" s="1">
        <v>45679</v>
      </c>
      <c r="C6612" t="s">
        <v>25</v>
      </c>
      <c r="D6612" s="2">
        <v>0</v>
      </c>
      <c r="E6612" s="2">
        <v>3868.8</v>
      </c>
      <c r="F6612" t="s">
        <v>28</v>
      </c>
      <c r="G6612" t="s">
        <v>17</v>
      </c>
    </row>
    <row r="6613" spans="1:7" x14ac:dyDescent="0.35">
      <c r="A6613">
        <v>2622</v>
      </c>
      <c r="B6613" s="1">
        <v>45679</v>
      </c>
      <c r="C6613" t="s">
        <v>29</v>
      </c>
      <c r="D6613" s="2">
        <v>9336.67</v>
      </c>
      <c r="E6613" s="2">
        <v>0</v>
      </c>
      <c r="F6613" t="s">
        <v>28</v>
      </c>
      <c r="G6613" t="s">
        <v>17</v>
      </c>
    </row>
    <row r="6614" spans="1:7" x14ac:dyDescent="0.35">
      <c r="A6614">
        <v>2622</v>
      </c>
      <c r="B6614" s="1">
        <v>45679</v>
      </c>
      <c r="C6614" t="s">
        <v>29</v>
      </c>
      <c r="D6614" s="2">
        <v>0</v>
      </c>
      <c r="E6614" s="2">
        <v>9336.67</v>
      </c>
      <c r="F6614" t="s">
        <v>8</v>
      </c>
      <c r="G6614" t="s">
        <v>9</v>
      </c>
    </row>
    <row r="6615" spans="1:7" x14ac:dyDescent="0.35">
      <c r="A6615">
        <v>2623</v>
      </c>
      <c r="B6615" s="1">
        <v>45679</v>
      </c>
      <c r="C6615" t="s">
        <v>29</v>
      </c>
      <c r="D6615" s="2">
        <v>1935.04</v>
      </c>
      <c r="E6615" s="2">
        <v>0</v>
      </c>
      <c r="F6615" t="s">
        <v>28</v>
      </c>
      <c r="G6615" t="s">
        <v>17</v>
      </c>
    </row>
    <row r="6616" spans="1:7" x14ac:dyDescent="0.35">
      <c r="A6616">
        <v>2623</v>
      </c>
      <c r="B6616" s="1">
        <v>45679</v>
      </c>
      <c r="C6616" t="s">
        <v>29</v>
      </c>
      <c r="D6616" s="2">
        <v>0</v>
      </c>
      <c r="E6616" s="2">
        <v>1935.04</v>
      </c>
      <c r="F6616" t="s">
        <v>8</v>
      </c>
      <c r="G6616" t="s">
        <v>9</v>
      </c>
    </row>
    <row r="6617" spans="1:7" x14ac:dyDescent="0.35">
      <c r="A6617">
        <v>2624</v>
      </c>
      <c r="B6617" s="1">
        <v>45679</v>
      </c>
      <c r="C6617" t="s">
        <v>29</v>
      </c>
      <c r="D6617" s="2">
        <v>550.4</v>
      </c>
      <c r="E6617" s="2">
        <v>0</v>
      </c>
      <c r="F6617" t="s">
        <v>28</v>
      </c>
      <c r="G6617" t="s">
        <v>17</v>
      </c>
    </row>
    <row r="6618" spans="1:7" x14ac:dyDescent="0.35">
      <c r="A6618">
        <v>2624</v>
      </c>
      <c r="B6618" s="1">
        <v>45679</v>
      </c>
      <c r="C6618" t="s">
        <v>29</v>
      </c>
      <c r="D6618" s="2">
        <v>0</v>
      </c>
      <c r="E6618" s="2">
        <v>550.4</v>
      </c>
      <c r="F6618" t="s">
        <v>8</v>
      </c>
      <c r="G6618" t="s">
        <v>9</v>
      </c>
    </row>
    <row r="6619" spans="1:7" x14ac:dyDescent="0.35">
      <c r="A6619">
        <v>2625</v>
      </c>
      <c r="B6619" s="1">
        <v>45679</v>
      </c>
      <c r="C6619" t="s">
        <v>29</v>
      </c>
      <c r="D6619" s="2">
        <v>1766.46</v>
      </c>
      <c r="E6619" s="2">
        <v>0</v>
      </c>
      <c r="F6619" t="s">
        <v>28</v>
      </c>
      <c r="G6619" t="s">
        <v>17</v>
      </c>
    </row>
    <row r="6620" spans="1:7" x14ac:dyDescent="0.35">
      <c r="A6620">
        <v>2625</v>
      </c>
      <c r="B6620" s="1">
        <v>45679</v>
      </c>
      <c r="C6620" t="s">
        <v>29</v>
      </c>
      <c r="D6620" s="2">
        <v>0</v>
      </c>
      <c r="E6620" s="2">
        <v>1766.46</v>
      </c>
      <c r="F6620" t="s">
        <v>8</v>
      </c>
      <c r="G6620" t="s">
        <v>9</v>
      </c>
    </row>
    <row r="6621" spans="1:7" x14ac:dyDescent="0.35">
      <c r="A6621">
        <v>2626</v>
      </c>
      <c r="B6621" s="1">
        <v>45679</v>
      </c>
      <c r="C6621" t="s">
        <v>29</v>
      </c>
      <c r="D6621" s="2">
        <v>2182.41</v>
      </c>
      <c r="E6621" s="2">
        <v>0</v>
      </c>
      <c r="F6621" t="s">
        <v>28</v>
      </c>
      <c r="G6621" t="s">
        <v>17</v>
      </c>
    </row>
    <row r="6622" spans="1:7" x14ac:dyDescent="0.35">
      <c r="A6622">
        <v>2626</v>
      </c>
      <c r="B6622" s="1">
        <v>45679</v>
      </c>
      <c r="C6622" t="s">
        <v>29</v>
      </c>
      <c r="D6622" s="2">
        <v>0</v>
      </c>
      <c r="E6622" s="2">
        <v>2182.41</v>
      </c>
      <c r="F6622" t="s">
        <v>8</v>
      </c>
      <c r="G6622" t="s">
        <v>9</v>
      </c>
    </row>
    <row r="6623" spans="1:7" x14ac:dyDescent="0.35">
      <c r="A6623">
        <v>2627</v>
      </c>
      <c r="B6623" s="1">
        <v>45680</v>
      </c>
      <c r="C6623" t="s">
        <v>12</v>
      </c>
      <c r="D6623" s="2">
        <v>2223.36</v>
      </c>
      <c r="E6623" s="2">
        <v>0</v>
      </c>
      <c r="F6623" t="s">
        <v>13</v>
      </c>
      <c r="G6623" t="s">
        <v>9</v>
      </c>
    </row>
    <row r="6624" spans="1:7" x14ac:dyDescent="0.35">
      <c r="A6624">
        <v>2627</v>
      </c>
      <c r="B6624" s="1">
        <v>45680</v>
      </c>
      <c r="C6624" t="s">
        <v>12</v>
      </c>
      <c r="D6624" s="2">
        <v>0</v>
      </c>
      <c r="E6624" s="2">
        <v>2068.25</v>
      </c>
      <c r="F6624" t="s">
        <v>14</v>
      </c>
      <c r="G6624" t="s">
        <v>15</v>
      </c>
    </row>
    <row r="6625" spans="1:7" x14ac:dyDescent="0.35">
      <c r="A6625">
        <v>2627</v>
      </c>
      <c r="B6625" s="1">
        <v>45680</v>
      </c>
      <c r="C6625" t="s">
        <v>12</v>
      </c>
      <c r="D6625" s="2">
        <v>0</v>
      </c>
      <c r="E6625" s="2">
        <v>155.11000000000001</v>
      </c>
      <c r="F6625" t="s">
        <v>16</v>
      </c>
      <c r="G6625" t="s">
        <v>17</v>
      </c>
    </row>
    <row r="6626" spans="1:7" x14ac:dyDescent="0.35">
      <c r="A6626">
        <v>2628</v>
      </c>
      <c r="B6626" s="1">
        <v>45680</v>
      </c>
      <c r="C6626" t="s">
        <v>12</v>
      </c>
      <c r="D6626" s="2">
        <v>82.37</v>
      </c>
      <c r="E6626" s="2">
        <v>0</v>
      </c>
      <c r="F6626" t="s">
        <v>13</v>
      </c>
      <c r="G6626" t="s">
        <v>9</v>
      </c>
    </row>
    <row r="6627" spans="1:7" x14ac:dyDescent="0.35">
      <c r="A6627">
        <v>2628</v>
      </c>
      <c r="B6627" s="1">
        <v>45680</v>
      </c>
      <c r="C6627" t="s">
        <v>12</v>
      </c>
      <c r="D6627" s="2">
        <v>0</v>
      </c>
      <c r="E6627" s="2">
        <v>76.62</v>
      </c>
      <c r="F6627" t="s">
        <v>14</v>
      </c>
      <c r="G6627" t="s">
        <v>15</v>
      </c>
    </row>
    <row r="6628" spans="1:7" x14ac:dyDescent="0.35">
      <c r="A6628">
        <v>2628</v>
      </c>
      <c r="B6628" s="1">
        <v>45680</v>
      </c>
      <c r="C6628" t="s">
        <v>12</v>
      </c>
      <c r="D6628" s="2">
        <v>0</v>
      </c>
      <c r="E6628" s="2">
        <v>5.75</v>
      </c>
      <c r="F6628" t="s">
        <v>16</v>
      </c>
      <c r="G6628" t="s">
        <v>17</v>
      </c>
    </row>
    <row r="6629" spans="1:7" x14ac:dyDescent="0.35">
      <c r="A6629">
        <v>2629</v>
      </c>
      <c r="B6629" s="1">
        <v>45680</v>
      </c>
      <c r="C6629" t="s">
        <v>12</v>
      </c>
      <c r="D6629" s="2">
        <v>609.91999999999996</v>
      </c>
      <c r="E6629" s="2">
        <v>0</v>
      </c>
      <c r="F6629" t="s">
        <v>13</v>
      </c>
      <c r="G6629" t="s">
        <v>9</v>
      </c>
    </row>
    <row r="6630" spans="1:7" x14ac:dyDescent="0.35">
      <c r="A6630">
        <v>2629</v>
      </c>
      <c r="B6630" s="1">
        <v>45680</v>
      </c>
      <c r="C6630" t="s">
        <v>12</v>
      </c>
      <c r="D6630" s="2">
        <v>0</v>
      </c>
      <c r="E6630" s="2">
        <v>567.37</v>
      </c>
      <c r="F6630" t="s">
        <v>14</v>
      </c>
      <c r="G6630" t="s">
        <v>15</v>
      </c>
    </row>
    <row r="6631" spans="1:7" x14ac:dyDescent="0.35">
      <c r="A6631">
        <v>2629</v>
      </c>
      <c r="B6631" s="1">
        <v>45680</v>
      </c>
      <c r="C6631" t="s">
        <v>12</v>
      </c>
      <c r="D6631" s="2">
        <v>0</v>
      </c>
      <c r="E6631" s="2">
        <v>42.55</v>
      </c>
      <c r="F6631" t="s">
        <v>16</v>
      </c>
      <c r="G6631" t="s">
        <v>17</v>
      </c>
    </row>
    <row r="6632" spans="1:7" x14ac:dyDescent="0.35">
      <c r="A6632">
        <v>2630</v>
      </c>
      <c r="B6632" s="1">
        <v>45680</v>
      </c>
      <c r="C6632" t="s">
        <v>12</v>
      </c>
      <c r="D6632" s="2">
        <v>1397.76</v>
      </c>
      <c r="E6632" s="2">
        <v>0</v>
      </c>
      <c r="F6632" t="s">
        <v>13</v>
      </c>
      <c r="G6632" t="s">
        <v>9</v>
      </c>
    </row>
    <row r="6633" spans="1:7" x14ac:dyDescent="0.35">
      <c r="A6633">
        <v>2630</v>
      </c>
      <c r="B6633" s="1">
        <v>45680</v>
      </c>
      <c r="C6633" t="s">
        <v>12</v>
      </c>
      <c r="D6633" s="2">
        <v>0</v>
      </c>
      <c r="E6633" s="2">
        <v>1300.25</v>
      </c>
      <c r="F6633" t="s">
        <v>14</v>
      </c>
      <c r="G6633" t="s">
        <v>15</v>
      </c>
    </row>
    <row r="6634" spans="1:7" x14ac:dyDescent="0.35">
      <c r="A6634">
        <v>2630</v>
      </c>
      <c r="B6634" s="1">
        <v>45680</v>
      </c>
      <c r="C6634" t="s">
        <v>12</v>
      </c>
      <c r="D6634" s="2">
        <v>0</v>
      </c>
      <c r="E6634" s="2">
        <v>97.51</v>
      </c>
      <c r="F6634" t="s">
        <v>16</v>
      </c>
      <c r="G6634" t="s">
        <v>17</v>
      </c>
    </row>
    <row r="6635" spans="1:7" x14ac:dyDescent="0.35">
      <c r="A6635">
        <v>2631</v>
      </c>
      <c r="B6635" s="1">
        <v>45680</v>
      </c>
      <c r="C6635" t="s">
        <v>24</v>
      </c>
      <c r="D6635" s="2">
        <v>2061.19</v>
      </c>
      <c r="E6635" s="2">
        <v>0</v>
      </c>
      <c r="F6635" t="s">
        <v>8</v>
      </c>
      <c r="G6635" t="s">
        <v>9</v>
      </c>
    </row>
    <row r="6636" spans="1:7" x14ac:dyDescent="0.35">
      <c r="A6636">
        <v>2631</v>
      </c>
      <c r="B6636" s="1">
        <v>45680</v>
      </c>
      <c r="C6636" t="s">
        <v>24</v>
      </c>
      <c r="D6636" s="2">
        <v>0</v>
      </c>
      <c r="E6636" s="2">
        <v>2061.19</v>
      </c>
      <c r="F6636" t="s">
        <v>13</v>
      </c>
      <c r="G6636" t="s">
        <v>9</v>
      </c>
    </row>
    <row r="6637" spans="1:7" x14ac:dyDescent="0.35">
      <c r="A6637">
        <v>2632</v>
      </c>
      <c r="B6637" s="1">
        <v>45680</v>
      </c>
      <c r="C6637" t="s">
        <v>24</v>
      </c>
      <c r="D6637" s="2">
        <v>4482.1099999999997</v>
      </c>
      <c r="E6637" s="2">
        <v>0</v>
      </c>
      <c r="F6637" t="s">
        <v>8</v>
      </c>
      <c r="G6637" t="s">
        <v>9</v>
      </c>
    </row>
    <row r="6638" spans="1:7" x14ac:dyDescent="0.35">
      <c r="A6638">
        <v>2632</v>
      </c>
      <c r="B6638" s="1">
        <v>45680</v>
      </c>
      <c r="C6638" t="s">
        <v>24</v>
      </c>
      <c r="D6638" s="2">
        <v>0</v>
      </c>
      <c r="E6638" s="2">
        <v>4482.1099999999997</v>
      </c>
      <c r="F6638" t="s">
        <v>13</v>
      </c>
      <c r="G6638" t="s">
        <v>9</v>
      </c>
    </row>
    <row r="6639" spans="1:7" x14ac:dyDescent="0.35">
      <c r="A6639">
        <v>2633</v>
      </c>
      <c r="B6639" s="1">
        <v>45680</v>
      </c>
      <c r="C6639" t="s">
        <v>24</v>
      </c>
      <c r="D6639" s="2">
        <v>755.06</v>
      </c>
      <c r="E6639" s="2">
        <v>0</v>
      </c>
      <c r="F6639" t="s">
        <v>8</v>
      </c>
      <c r="G6639" t="s">
        <v>9</v>
      </c>
    </row>
    <row r="6640" spans="1:7" x14ac:dyDescent="0.35">
      <c r="A6640">
        <v>2633</v>
      </c>
      <c r="B6640" s="1">
        <v>45680</v>
      </c>
      <c r="C6640" t="s">
        <v>24</v>
      </c>
      <c r="D6640" s="2">
        <v>0</v>
      </c>
      <c r="E6640" s="2">
        <v>755.06</v>
      </c>
      <c r="F6640" t="s">
        <v>13</v>
      </c>
      <c r="G6640" t="s">
        <v>9</v>
      </c>
    </row>
    <row r="6641" spans="1:7" x14ac:dyDescent="0.35">
      <c r="A6641">
        <v>2634</v>
      </c>
      <c r="B6641" s="1">
        <v>45680</v>
      </c>
      <c r="C6641" t="s">
        <v>25</v>
      </c>
      <c r="D6641" s="2">
        <v>512</v>
      </c>
      <c r="E6641" s="2">
        <v>0</v>
      </c>
      <c r="F6641" t="s">
        <v>26</v>
      </c>
      <c r="G6641" t="s">
        <v>20</v>
      </c>
    </row>
    <row r="6642" spans="1:7" x14ac:dyDescent="0.35">
      <c r="A6642">
        <v>2634</v>
      </c>
      <c r="B6642" s="1">
        <v>45680</v>
      </c>
      <c r="C6642" t="s">
        <v>25</v>
      </c>
      <c r="D6642" s="2">
        <v>38.4</v>
      </c>
      <c r="E6642" s="2">
        <v>0</v>
      </c>
      <c r="F6642" t="s">
        <v>27</v>
      </c>
      <c r="G6642" t="s">
        <v>9</v>
      </c>
    </row>
    <row r="6643" spans="1:7" x14ac:dyDescent="0.35">
      <c r="A6643">
        <v>2634</v>
      </c>
      <c r="B6643" s="1">
        <v>45680</v>
      </c>
      <c r="C6643" t="s">
        <v>25</v>
      </c>
      <c r="D6643" s="2">
        <v>0</v>
      </c>
      <c r="E6643" s="2">
        <v>550.4</v>
      </c>
      <c r="F6643" t="s">
        <v>28</v>
      </c>
      <c r="G6643" t="s">
        <v>17</v>
      </c>
    </row>
    <row r="6644" spans="1:7" x14ac:dyDescent="0.35">
      <c r="A6644">
        <v>2635</v>
      </c>
      <c r="B6644" s="1">
        <v>45680</v>
      </c>
      <c r="C6644" t="s">
        <v>29</v>
      </c>
      <c r="D6644" s="2">
        <v>748.26</v>
      </c>
      <c r="E6644" s="2">
        <v>0</v>
      </c>
      <c r="F6644" t="s">
        <v>28</v>
      </c>
      <c r="G6644" t="s">
        <v>17</v>
      </c>
    </row>
    <row r="6645" spans="1:7" x14ac:dyDescent="0.35">
      <c r="A6645">
        <v>2635</v>
      </c>
      <c r="B6645" s="1">
        <v>45680</v>
      </c>
      <c r="C6645" t="s">
        <v>29</v>
      </c>
      <c r="D6645" s="2">
        <v>0</v>
      </c>
      <c r="E6645" s="2">
        <v>748.26</v>
      </c>
      <c r="F6645" t="s">
        <v>8</v>
      </c>
      <c r="G6645" t="s">
        <v>9</v>
      </c>
    </row>
    <row r="6646" spans="1:7" x14ac:dyDescent="0.35">
      <c r="A6646">
        <v>2636</v>
      </c>
      <c r="B6646" s="1">
        <v>45680</v>
      </c>
      <c r="C6646" t="s">
        <v>29</v>
      </c>
      <c r="D6646" s="2">
        <v>1159.8399999999999</v>
      </c>
      <c r="E6646" s="2">
        <v>0</v>
      </c>
      <c r="F6646" t="s">
        <v>28</v>
      </c>
      <c r="G6646" t="s">
        <v>17</v>
      </c>
    </row>
    <row r="6647" spans="1:7" x14ac:dyDescent="0.35">
      <c r="A6647">
        <v>2636</v>
      </c>
      <c r="B6647" s="1">
        <v>45680</v>
      </c>
      <c r="C6647" t="s">
        <v>29</v>
      </c>
      <c r="D6647" s="2">
        <v>0</v>
      </c>
      <c r="E6647" s="2">
        <v>1159.8399999999999</v>
      </c>
      <c r="F6647" t="s">
        <v>8</v>
      </c>
      <c r="G6647" t="s">
        <v>9</v>
      </c>
    </row>
    <row r="6648" spans="1:7" x14ac:dyDescent="0.35">
      <c r="A6648">
        <v>2637</v>
      </c>
      <c r="B6648" s="1">
        <v>45681</v>
      </c>
      <c r="C6648" t="s">
        <v>12</v>
      </c>
      <c r="D6648" s="2">
        <v>5863.92</v>
      </c>
      <c r="E6648" s="2">
        <v>0</v>
      </c>
      <c r="F6648" t="s">
        <v>13</v>
      </c>
      <c r="G6648" t="s">
        <v>9</v>
      </c>
    </row>
    <row r="6649" spans="1:7" x14ac:dyDescent="0.35">
      <c r="A6649">
        <v>2637</v>
      </c>
      <c r="B6649" s="1">
        <v>45681</v>
      </c>
      <c r="C6649" t="s">
        <v>12</v>
      </c>
      <c r="D6649" s="2">
        <v>0</v>
      </c>
      <c r="E6649" s="2">
        <v>5454.82</v>
      </c>
      <c r="F6649" t="s">
        <v>14</v>
      </c>
      <c r="G6649" t="s">
        <v>15</v>
      </c>
    </row>
    <row r="6650" spans="1:7" x14ac:dyDescent="0.35">
      <c r="A6650">
        <v>2637</v>
      </c>
      <c r="B6650" s="1">
        <v>45681</v>
      </c>
      <c r="C6650" t="s">
        <v>12</v>
      </c>
      <c r="D6650" s="2">
        <v>0</v>
      </c>
      <c r="E6650" s="2">
        <v>409.1</v>
      </c>
      <c r="F6650" t="s">
        <v>16</v>
      </c>
      <c r="G6650" t="s">
        <v>17</v>
      </c>
    </row>
    <row r="6651" spans="1:7" x14ac:dyDescent="0.35">
      <c r="A6651">
        <v>2638</v>
      </c>
      <c r="B6651" s="1">
        <v>45681</v>
      </c>
      <c r="C6651" t="s">
        <v>12</v>
      </c>
      <c r="D6651" s="2">
        <v>597.41</v>
      </c>
      <c r="E6651" s="2">
        <v>0</v>
      </c>
      <c r="F6651" t="s">
        <v>13</v>
      </c>
      <c r="G6651" t="s">
        <v>9</v>
      </c>
    </row>
    <row r="6652" spans="1:7" x14ac:dyDescent="0.35">
      <c r="A6652">
        <v>2638</v>
      </c>
      <c r="B6652" s="1">
        <v>45681</v>
      </c>
      <c r="C6652" t="s">
        <v>12</v>
      </c>
      <c r="D6652" s="2">
        <v>0</v>
      </c>
      <c r="E6652" s="2">
        <v>555.73</v>
      </c>
      <c r="F6652" t="s">
        <v>14</v>
      </c>
      <c r="G6652" t="s">
        <v>15</v>
      </c>
    </row>
    <row r="6653" spans="1:7" x14ac:dyDescent="0.35">
      <c r="A6653">
        <v>2638</v>
      </c>
      <c r="B6653" s="1">
        <v>45681</v>
      </c>
      <c r="C6653" t="s">
        <v>12</v>
      </c>
      <c r="D6653" s="2">
        <v>0</v>
      </c>
      <c r="E6653" s="2">
        <v>41.68</v>
      </c>
      <c r="F6653" t="s">
        <v>16</v>
      </c>
      <c r="G6653" t="s">
        <v>17</v>
      </c>
    </row>
    <row r="6654" spans="1:7" x14ac:dyDescent="0.35">
      <c r="A6654">
        <v>2639</v>
      </c>
      <c r="B6654" s="1">
        <v>45681</v>
      </c>
      <c r="C6654" t="s">
        <v>12</v>
      </c>
      <c r="D6654" s="2">
        <v>480.91</v>
      </c>
      <c r="E6654" s="2">
        <v>0</v>
      </c>
      <c r="F6654" t="s">
        <v>13</v>
      </c>
      <c r="G6654" t="s">
        <v>9</v>
      </c>
    </row>
    <row r="6655" spans="1:7" x14ac:dyDescent="0.35">
      <c r="A6655">
        <v>2639</v>
      </c>
      <c r="B6655" s="1">
        <v>45681</v>
      </c>
      <c r="C6655" t="s">
        <v>12</v>
      </c>
      <c r="D6655" s="2">
        <v>0</v>
      </c>
      <c r="E6655" s="2">
        <v>447.36</v>
      </c>
      <c r="F6655" t="s">
        <v>14</v>
      </c>
      <c r="G6655" t="s">
        <v>15</v>
      </c>
    </row>
    <row r="6656" spans="1:7" x14ac:dyDescent="0.35">
      <c r="A6656">
        <v>2639</v>
      </c>
      <c r="B6656" s="1">
        <v>45681</v>
      </c>
      <c r="C6656" t="s">
        <v>12</v>
      </c>
      <c r="D6656" s="2">
        <v>0</v>
      </c>
      <c r="E6656" s="2">
        <v>33.549999999999997</v>
      </c>
      <c r="F6656" t="s">
        <v>16</v>
      </c>
      <c r="G6656" t="s">
        <v>17</v>
      </c>
    </row>
    <row r="6657" spans="1:7" x14ac:dyDescent="0.35">
      <c r="A6657">
        <v>2640</v>
      </c>
      <c r="B6657" s="1">
        <v>45681</v>
      </c>
      <c r="C6657" t="s">
        <v>12</v>
      </c>
      <c r="D6657" s="2">
        <v>5076.54</v>
      </c>
      <c r="E6657" s="2">
        <v>0</v>
      </c>
      <c r="F6657" t="s">
        <v>13</v>
      </c>
      <c r="G6657" t="s">
        <v>9</v>
      </c>
    </row>
    <row r="6658" spans="1:7" x14ac:dyDescent="0.35">
      <c r="A6658">
        <v>2640</v>
      </c>
      <c r="B6658" s="1">
        <v>45681</v>
      </c>
      <c r="C6658" t="s">
        <v>12</v>
      </c>
      <c r="D6658" s="2">
        <v>0</v>
      </c>
      <c r="E6658" s="2">
        <v>4722.3500000000004</v>
      </c>
      <c r="F6658" t="s">
        <v>14</v>
      </c>
      <c r="G6658" t="s">
        <v>15</v>
      </c>
    </row>
    <row r="6659" spans="1:7" x14ac:dyDescent="0.35">
      <c r="A6659">
        <v>2640</v>
      </c>
      <c r="B6659" s="1">
        <v>45681</v>
      </c>
      <c r="C6659" t="s">
        <v>12</v>
      </c>
      <c r="D6659" s="2">
        <v>0</v>
      </c>
      <c r="E6659" s="2">
        <v>354.19</v>
      </c>
      <c r="F6659" t="s">
        <v>16</v>
      </c>
      <c r="G6659" t="s">
        <v>17</v>
      </c>
    </row>
    <row r="6660" spans="1:7" x14ac:dyDescent="0.35">
      <c r="A6660">
        <v>2641</v>
      </c>
      <c r="B6660" s="1">
        <v>45681</v>
      </c>
      <c r="C6660" t="s">
        <v>24</v>
      </c>
      <c r="D6660" s="2">
        <v>536.16999999999996</v>
      </c>
      <c r="E6660" s="2">
        <v>0</v>
      </c>
      <c r="F6660" t="s">
        <v>8</v>
      </c>
      <c r="G6660" t="s">
        <v>9</v>
      </c>
    </row>
    <row r="6661" spans="1:7" x14ac:dyDescent="0.35">
      <c r="A6661">
        <v>2641</v>
      </c>
      <c r="B6661" s="1">
        <v>45681</v>
      </c>
      <c r="C6661" t="s">
        <v>24</v>
      </c>
      <c r="D6661" s="2">
        <v>0</v>
      </c>
      <c r="E6661" s="2">
        <v>536.16999999999996</v>
      </c>
      <c r="F6661" t="s">
        <v>13</v>
      </c>
      <c r="G6661" t="s">
        <v>9</v>
      </c>
    </row>
    <row r="6662" spans="1:7" x14ac:dyDescent="0.35">
      <c r="A6662">
        <v>2642</v>
      </c>
      <c r="B6662" s="1">
        <v>45681</v>
      </c>
      <c r="C6662" t="s">
        <v>24</v>
      </c>
      <c r="D6662" s="2">
        <v>1800.17</v>
      </c>
      <c r="E6662" s="2">
        <v>0</v>
      </c>
      <c r="F6662" t="s">
        <v>8</v>
      </c>
      <c r="G6662" t="s">
        <v>9</v>
      </c>
    </row>
    <row r="6663" spans="1:7" x14ac:dyDescent="0.35">
      <c r="A6663">
        <v>2642</v>
      </c>
      <c r="B6663" s="1">
        <v>45681</v>
      </c>
      <c r="C6663" t="s">
        <v>24</v>
      </c>
      <c r="D6663" s="2">
        <v>0</v>
      </c>
      <c r="E6663" s="2">
        <v>1800.17</v>
      </c>
      <c r="F6663" t="s">
        <v>13</v>
      </c>
      <c r="G6663" t="s">
        <v>9</v>
      </c>
    </row>
    <row r="6664" spans="1:7" x14ac:dyDescent="0.35">
      <c r="A6664">
        <v>2643</v>
      </c>
      <c r="B6664" s="1">
        <v>45681</v>
      </c>
      <c r="C6664" t="s">
        <v>24</v>
      </c>
      <c r="D6664" s="2">
        <v>3957.43</v>
      </c>
      <c r="E6664" s="2">
        <v>0</v>
      </c>
      <c r="F6664" t="s">
        <v>8</v>
      </c>
      <c r="G6664" t="s">
        <v>9</v>
      </c>
    </row>
    <row r="6665" spans="1:7" x14ac:dyDescent="0.35">
      <c r="A6665">
        <v>2643</v>
      </c>
      <c r="B6665" s="1">
        <v>45681</v>
      </c>
      <c r="C6665" t="s">
        <v>24</v>
      </c>
      <c r="D6665" s="2">
        <v>0</v>
      </c>
      <c r="E6665" s="2">
        <v>3957.43</v>
      </c>
      <c r="F6665" t="s">
        <v>13</v>
      </c>
      <c r="G6665" t="s">
        <v>9</v>
      </c>
    </row>
    <row r="6666" spans="1:7" x14ac:dyDescent="0.35">
      <c r="A6666">
        <v>2644</v>
      </c>
      <c r="B6666" s="1">
        <v>45681</v>
      </c>
      <c r="C6666" t="s">
        <v>29</v>
      </c>
      <c r="D6666" s="2">
        <v>1023.42</v>
      </c>
      <c r="E6666" s="2">
        <v>0</v>
      </c>
      <c r="F6666" t="s">
        <v>28</v>
      </c>
      <c r="G6666" t="s">
        <v>17</v>
      </c>
    </row>
    <row r="6667" spans="1:7" x14ac:dyDescent="0.35">
      <c r="A6667">
        <v>2644</v>
      </c>
      <c r="B6667" s="1">
        <v>45681</v>
      </c>
      <c r="C6667" t="s">
        <v>29</v>
      </c>
      <c r="D6667" s="2">
        <v>0</v>
      </c>
      <c r="E6667" s="2">
        <v>1023.42</v>
      </c>
      <c r="F6667" t="s">
        <v>8</v>
      </c>
      <c r="G6667" t="s">
        <v>9</v>
      </c>
    </row>
    <row r="6668" spans="1:7" x14ac:dyDescent="0.35">
      <c r="A6668">
        <v>2645</v>
      </c>
      <c r="B6668" s="1">
        <v>45681</v>
      </c>
      <c r="C6668" t="s">
        <v>29</v>
      </c>
      <c r="D6668" s="2">
        <v>3528.97</v>
      </c>
      <c r="E6668" s="2">
        <v>0</v>
      </c>
      <c r="F6668" t="s">
        <v>28</v>
      </c>
      <c r="G6668" t="s">
        <v>17</v>
      </c>
    </row>
    <row r="6669" spans="1:7" x14ac:dyDescent="0.35">
      <c r="A6669">
        <v>2645</v>
      </c>
      <c r="B6669" s="1">
        <v>45681</v>
      </c>
      <c r="C6669" t="s">
        <v>29</v>
      </c>
      <c r="D6669" s="2">
        <v>0</v>
      </c>
      <c r="E6669" s="2">
        <v>3528.97</v>
      </c>
      <c r="F6669" t="s">
        <v>8</v>
      </c>
      <c r="G6669" t="s">
        <v>9</v>
      </c>
    </row>
    <row r="6670" spans="1:7" x14ac:dyDescent="0.35">
      <c r="A6670">
        <v>2646</v>
      </c>
      <c r="B6670" s="1">
        <v>45684</v>
      </c>
      <c r="C6670" t="s">
        <v>12</v>
      </c>
      <c r="D6670" s="2">
        <v>43.47</v>
      </c>
      <c r="E6670" s="2">
        <v>0</v>
      </c>
      <c r="F6670" t="s">
        <v>13</v>
      </c>
      <c r="G6670" t="s">
        <v>9</v>
      </c>
    </row>
    <row r="6671" spans="1:7" x14ac:dyDescent="0.35">
      <c r="A6671">
        <v>2646</v>
      </c>
      <c r="B6671" s="1">
        <v>45684</v>
      </c>
      <c r="C6671" t="s">
        <v>12</v>
      </c>
      <c r="D6671" s="2">
        <v>0</v>
      </c>
      <c r="E6671" s="2">
        <v>40.44</v>
      </c>
      <c r="F6671" t="s">
        <v>14</v>
      </c>
      <c r="G6671" t="s">
        <v>15</v>
      </c>
    </row>
    <row r="6672" spans="1:7" x14ac:dyDescent="0.35">
      <c r="A6672">
        <v>2646</v>
      </c>
      <c r="B6672" s="1">
        <v>45684</v>
      </c>
      <c r="C6672" t="s">
        <v>12</v>
      </c>
      <c r="D6672" s="2">
        <v>0</v>
      </c>
      <c r="E6672" s="2">
        <v>3.03</v>
      </c>
      <c r="F6672" t="s">
        <v>16</v>
      </c>
      <c r="G6672" t="s">
        <v>17</v>
      </c>
    </row>
    <row r="6673" spans="1:7" x14ac:dyDescent="0.35">
      <c r="A6673">
        <v>2647</v>
      </c>
      <c r="B6673" s="1">
        <v>45684</v>
      </c>
      <c r="C6673" t="s">
        <v>12</v>
      </c>
      <c r="D6673" s="2">
        <v>2267.23</v>
      </c>
      <c r="E6673" s="2">
        <v>0</v>
      </c>
      <c r="F6673" t="s">
        <v>13</v>
      </c>
      <c r="G6673" t="s">
        <v>9</v>
      </c>
    </row>
    <row r="6674" spans="1:7" x14ac:dyDescent="0.35">
      <c r="A6674">
        <v>2647</v>
      </c>
      <c r="B6674" s="1">
        <v>45684</v>
      </c>
      <c r="C6674" t="s">
        <v>12</v>
      </c>
      <c r="D6674" s="2">
        <v>0</v>
      </c>
      <c r="E6674" s="2">
        <v>2109.0500000000002</v>
      </c>
      <c r="F6674" t="s">
        <v>14</v>
      </c>
      <c r="G6674" t="s">
        <v>15</v>
      </c>
    </row>
    <row r="6675" spans="1:7" x14ac:dyDescent="0.35">
      <c r="A6675">
        <v>2647</v>
      </c>
      <c r="B6675" s="1">
        <v>45684</v>
      </c>
      <c r="C6675" t="s">
        <v>12</v>
      </c>
      <c r="D6675" s="2">
        <v>0</v>
      </c>
      <c r="E6675" s="2">
        <v>158.18</v>
      </c>
      <c r="F6675" t="s">
        <v>16</v>
      </c>
      <c r="G6675" t="s">
        <v>17</v>
      </c>
    </row>
    <row r="6676" spans="1:7" x14ac:dyDescent="0.35">
      <c r="A6676">
        <v>2648</v>
      </c>
      <c r="B6676" s="1">
        <v>45684</v>
      </c>
      <c r="C6676" t="s">
        <v>12</v>
      </c>
      <c r="D6676" s="2">
        <v>4785.5200000000004</v>
      </c>
      <c r="E6676" s="2">
        <v>0</v>
      </c>
      <c r="F6676" t="s">
        <v>13</v>
      </c>
      <c r="G6676" t="s">
        <v>9</v>
      </c>
    </row>
    <row r="6677" spans="1:7" x14ac:dyDescent="0.35">
      <c r="A6677">
        <v>2648</v>
      </c>
      <c r="B6677" s="1">
        <v>45684</v>
      </c>
      <c r="C6677" t="s">
        <v>12</v>
      </c>
      <c r="D6677" s="2">
        <v>0</v>
      </c>
      <c r="E6677" s="2">
        <v>4451.66</v>
      </c>
      <c r="F6677" t="s">
        <v>14</v>
      </c>
      <c r="G6677" t="s">
        <v>15</v>
      </c>
    </row>
    <row r="6678" spans="1:7" x14ac:dyDescent="0.35">
      <c r="A6678">
        <v>2648</v>
      </c>
      <c r="B6678" s="1">
        <v>45684</v>
      </c>
      <c r="C6678" t="s">
        <v>12</v>
      </c>
      <c r="D6678" s="2">
        <v>0</v>
      </c>
      <c r="E6678" s="2">
        <v>333.86</v>
      </c>
      <c r="F6678" t="s">
        <v>16</v>
      </c>
      <c r="G6678" t="s">
        <v>17</v>
      </c>
    </row>
    <row r="6679" spans="1:7" x14ac:dyDescent="0.35">
      <c r="A6679">
        <v>2649</v>
      </c>
      <c r="B6679" s="1">
        <v>45684</v>
      </c>
      <c r="C6679" t="s">
        <v>12</v>
      </c>
      <c r="D6679" s="2">
        <v>2025.4</v>
      </c>
      <c r="E6679" s="2">
        <v>0</v>
      </c>
      <c r="F6679" t="s">
        <v>13</v>
      </c>
      <c r="G6679" t="s">
        <v>9</v>
      </c>
    </row>
    <row r="6680" spans="1:7" x14ac:dyDescent="0.35">
      <c r="A6680">
        <v>2649</v>
      </c>
      <c r="B6680" s="1">
        <v>45684</v>
      </c>
      <c r="C6680" t="s">
        <v>12</v>
      </c>
      <c r="D6680" s="2">
        <v>0</v>
      </c>
      <c r="E6680" s="2">
        <v>1884.09</v>
      </c>
      <c r="F6680" t="s">
        <v>14</v>
      </c>
      <c r="G6680" t="s">
        <v>15</v>
      </c>
    </row>
    <row r="6681" spans="1:7" x14ac:dyDescent="0.35">
      <c r="A6681">
        <v>2649</v>
      </c>
      <c r="B6681" s="1">
        <v>45684</v>
      </c>
      <c r="C6681" t="s">
        <v>12</v>
      </c>
      <c r="D6681" s="2">
        <v>0</v>
      </c>
      <c r="E6681" s="2">
        <v>141.31</v>
      </c>
      <c r="F6681" t="s">
        <v>16</v>
      </c>
      <c r="G6681" t="s">
        <v>17</v>
      </c>
    </row>
    <row r="6682" spans="1:7" x14ac:dyDescent="0.35">
      <c r="A6682">
        <v>2650</v>
      </c>
      <c r="B6682" s="1">
        <v>45684</v>
      </c>
      <c r="C6682" t="s">
        <v>24</v>
      </c>
      <c r="D6682" s="2">
        <v>1547.47</v>
      </c>
      <c r="E6682" s="2">
        <v>0</v>
      </c>
      <c r="F6682" t="s">
        <v>8</v>
      </c>
      <c r="G6682" t="s">
        <v>9</v>
      </c>
    </row>
    <row r="6683" spans="1:7" x14ac:dyDescent="0.35">
      <c r="A6683">
        <v>2650</v>
      </c>
      <c r="B6683" s="1">
        <v>45684</v>
      </c>
      <c r="C6683" t="s">
        <v>24</v>
      </c>
      <c r="D6683" s="2">
        <v>0</v>
      </c>
      <c r="E6683" s="2">
        <v>1547.47</v>
      </c>
      <c r="F6683" t="s">
        <v>13</v>
      </c>
      <c r="G6683" t="s">
        <v>9</v>
      </c>
    </row>
    <row r="6684" spans="1:7" x14ac:dyDescent="0.35">
      <c r="A6684">
        <v>2651</v>
      </c>
      <c r="B6684" s="1">
        <v>45684</v>
      </c>
      <c r="C6684" t="s">
        <v>24</v>
      </c>
      <c r="D6684" s="2">
        <v>1962.34</v>
      </c>
      <c r="E6684" s="2">
        <v>0</v>
      </c>
      <c r="F6684" t="s">
        <v>8</v>
      </c>
      <c r="G6684" t="s">
        <v>9</v>
      </c>
    </row>
    <row r="6685" spans="1:7" x14ac:dyDescent="0.35">
      <c r="A6685">
        <v>2651</v>
      </c>
      <c r="B6685" s="1">
        <v>45684</v>
      </c>
      <c r="C6685" t="s">
        <v>24</v>
      </c>
      <c r="D6685" s="2">
        <v>0</v>
      </c>
      <c r="E6685" s="2">
        <v>1962.34</v>
      </c>
      <c r="F6685" t="s">
        <v>13</v>
      </c>
      <c r="G6685" t="s">
        <v>9</v>
      </c>
    </row>
    <row r="6686" spans="1:7" x14ac:dyDescent="0.35">
      <c r="A6686">
        <v>2652</v>
      </c>
      <c r="B6686" s="1">
        <v>45684</v>
      </c>
      <c r="C6686" t="s">
        <v>24</v>
      </c>
      <c r="D6686" s="2">
        <v>215.54</v>
      </c>
      <c r="E6686" s="2">
        <v>0</v>
      </c>
      <c r="F6686" t="s">
        <v>8</v>
      </c>
      <c r="G6686" t="s">
        <v>9</v>
      </c>
    </row>
    <row r="6687" spans="1:7" x14ac:dyDescent="0.35">
      <c r="A6687">
        <v>2652</v>
      </c>
      <c r="B6687" s="1">
        <v>45684</v>
      </c>
      <c r="C6687" t="s">
        <v>24</v>
      </c>
      <c r="D6687" s="2">
        <v>0</v>
      </c>
      <c r="E6687" s="2">
        <v>215.54</v>
      </c>
      <c r="F6687" t="s">
        <v>13</v>
      </c>
      <c r="G6687" t="s">
        <v>9</v>
      </c>
    </row>
    <row r="6688" spans="1:7" x14ac:dyDescent="0.35">
      <c r="A6688">
        <v>2653</v>
      </c>
      <c r="B6688" s="1">
        <v>45684</v>
      </c>
      <c r="C6688" t="s">
        <v>25</v>
      </c>
      <c r="D6688" s="2">
        <v>1800.04</v>
      </c>
      <c r="E6688" s="2">
        <v>0</v>
      </c>
      <c r="F6688" t="s">
        <v>26</v>
      </c>
      <c r="G6688" t="s">
        <v>20</v>
      </c>
    </row>
    <row r="6689" spans="1:7" x14ac:dyDescent="0.35">
      <c r="A6689">
        <v>2653</v>
      </c>
      <c r="B6689" s="1">
        <v>45684</v>
      </c>
      <c r="C6689" t="s">
        <v>25</v>
      </c>
      <c r="D6689" s="2">
        <v>135</v>
      </c>
      <c r="E6689" s="2">
        <v>0</v>
      </c>
      <c r="F6689" t="s">
        <v>27</v>
      </c>
      <c r="G6689" t="s">
        <v>9</v>
      </c>
    </row>
    <row r="6690" spans="1:7" x14ac:dyDescent="0.35">
      <c r="A6690">
        <v>2653</v>
      </c>
      <c r="B6690" s="1">
        <v>45684</v>
      </c>
      <c r="C6690" t="s">
        <v>25</v>
      </c>
      <c r="D6690" s="2">
        <v>0</v>
      </c>
      <c r="E6690" s="2">
        <v>1935.04</v>
      </c>
      <c r="F6690" t="s">
        <v>28</v>
      </c>
      <c r="G6690" t="s">
        <v>17</v>
      </c>
    </row>
    <row r="6691" spans="1:7" x14ac:dyDescent="0.35">
      <c r="A6691">
        <v>2654</v>
      </c>
      <c r="B6691" s="1">
        <v>45684</v>
      </c>
      <c r="C6691" t="s">
        <v>25</v>
      </c>
      <c r="D6691" s="2">
        <v>2329.52</v>
      </c>
      <c r="E6691" s="2">
        <v>0</v>
      </c>
      <c r="F6691" t="s">
        <v>26</v>
      </c>
      <c r="G6691" t="s">
        <v>20</v>
      </c>
    </row>
    <row r="6692" spans="1:7" x14ac:dyDescent="0.35">
      <c r="A6692">
        <v>2654</v>
      </c>
      <c r="B6692" s="1">
        <v>45684</v>
      </c>
      <c r="C6692" t="s">
        <v>25</v>
      </c>
      <c r="D6692" s="2">
        <v>174.71</v>
      </c>
      <c r="E6692" s="2">
        <v>0</v>
      </c>
      <c r="F6692" t="s">
        <v>27</v>
      </c>
      <c r="G6692" t="s">
        <v>9</v>
      </c>
    </row>
    <row r="6693" spans="1:7" x14ac:dyDescent="0.35">
      <c r="A6693">
        <v>2654</v>
      </c>
      <c r="B6693" s="1">
        <v>45684</v>
      </c>
      <c r="C6693" t="s">
        <v>25</v>
      </c>
      <c r="D6693" s="2">
        <v>0</v>
      </c>
      <c r="E6693" s="2">
        <v>2504.23</v>
      </c>
      <c r="F6693" t="s">
        <v>28</v>
      </c>
      <c r="G6693" t="s">
        <v>17</v>
      </c>
    </row>
    <row r="6694" spans="1:7" x14ac:dyDescent="0.35">
      <c r="A6694">
        <v>2655</v>
      </c>
      <c r="B6694" s="1">
        <v>45684</v>
      </c>
      <c r="C6694" t="s">
        <v>25</v>
      </c>
      <c r="D6694" s="2">
        <v>166.52</v>
      </c>
      <c r="E6694" s="2">
        <v>0</v>
      </c>
      <c r="F6694" t="s">
        <v>26</v>
      </c>
      <c r="G6694" t="s">
        <v>20</v>
      </c>
    </row>
    <row r="6695" spans="1:7" x14ac:dyDescent="0.35">
      <c r="A6695">
        <v>2655</v>
      </c>
      <c r="B6695" s="1">
        <v>45684</v>
      </c>
      <c r="C6695" t="s">
        <v>25</v>
      </c>
      <c r="D6695" s="2">
        <v>12.49</v>
      </c>
      <c r="E6695" s="2">
        <v>0</v>
      </c>
      <c r="F6695" t="s">
        <v>27</v>
      </c>
      <c r="G6695" t="s">
        <v>9</v>
      </c>
    </row>
    <row r="6696" spans="1:7" x14ac:dyDescent="0.35">
      <c r="A6696">
        <v>2655</v>
      </c>
      <c r="B6696" s="1">
        <v>45684</v>
      </c>
      <c r="C6696" t="s">
        <v>25</v>
      </c>
      <c r="D6696" s="2">
        <v>0</v>
      </c>
      <c r="E6696" s="2">
        <v>179.01</v>
      </c>
      <c r="F6696" t="s">
        <v>28</v>
      </c>
      <c r="G6696" t="s">
        <v>17</v>
      </c>
    </row>
    <row r="6697" spans="1:7" x14ac:dyDescent="0.35">
      <c r="A6697">
        <v>2656</v>
      </c>
      <c r="B6697" s="1">
        <v>45684</v>
      </c>
      <c r="C6697" t="s">
        <v>25</v>
      </c>
      <c r="D6697" s="2">
        <v>696.06</v>
      </c>
      <c r="E6697" s="2">
        <v>0</v>
      </c>
      <c r="F6697" t="s">
        <v>26</v>
      </c>
      <c r="G6697" t="s">
        <v>20</v>
      </c>
    </row>
    <row r="6698" spans="1:7" x14ac:dyDescent="0.35">
      <c r="A6698">
        <v>2656</v>
      </c>
      <c r="B6698" s="1">
        <v>45684</v>
      </c>
      <c r="C6698" t="s">
        <v>25</v>
      </c>
      <c r="D6698" s="2">
        <v>52.2</v>
      </c>
      <c r="E6698" s="2">
        <v>0</v>
      </c>
      <c r="F6698" t="s">
        <v>27</v>
      </c>
      <c r="G6698" t="s">
        <v>9</v>
      </c>
    </row>
    <row r="6699" spans="1:7" x14ac:dyDescent="0.35">
      <c r="A6699">
        <v>2656</v>
      </c>
      <c r="B6699" s="1">
        <v>45684</v>
      </c>
      <c r="C6699" t="s">
        <v>25</v>
      </c>
      <c r="D6699" s="2">
        <v>0</v>
      </c>
      <c r="E6699" s="2">
        <v>748.26</v>
      </c>
      <c r="F6699" t="s">
        <v>28</v>
      </c>
      <c r="G6699" t="s">
        <v>17</v>
      </c>
    </row>
    <row r="6700" spans="1:7" x14ac:dyDescent="0.35">
      <c r="A6700">
        <v>2657</v>
      </c>
      <c r="B6700" s="1">
        <v>45684</v>
      </c>
      <c r="C6700" t="s">
        <v>25</v>
      </c>
      <c r="D6700" s="2">
        <v>187.44</v>
      </c>
      <c r="E6700" s="2">
        <v>0</v>
      </c>
      <c r="F6700" t="s">
        <v>26</v>
      </c>
      <c r="G6700" t="s">
        <v>20</v>
      </c>
    </row>
    <row r="6701" spans="1:7" x14ac:dyDescent="0.35">
      <c r="A6701">
        <v>2657</v>
      </c>
      <c r="B6701" s="1">
        <v>45684</v>
      </c>
      <c r="C6701" t="s">
        <v>25</v>
      </c>
      <c r="D6701" s="2">
        <v>14.06</v>
      </c>
      <c r="E6701" s="2">
        <v>0</v>
      </c>
      <c r="F6701" t="s">
        <v>27</v>
      </c>
      <c r="G6701" t="s">
        <v>9</v>
      </c>
    </row>
    <row r="6702" spans="1:7" x14ac:dyDescent="0.35">
      <c r="A6702">
        <v>2657</v>
      </c>
      <c r="B6702" s="1">
        <v>45684</v>
      </c>
      <c r="C6702" t="s">
        <v>25</v>
      </c>
      <c r="D6702" s="2">
        <v>0</v>
      </c>
      <c r="E6702" s="2">
        <v>201.5</v>
      </c>
      <c r="F6702" t="s">
        <v>28</v>
      </c>
      <c r="G6702" t="s">
        <v>17</v>
      </c>
    </row>
    <row r="6703" spans="1:7" x14ac:dyDescent="0.35">
      <c r="A6703">
        <v>2658</v>
      </c>
      <c r="B6703" s="1">
        <v>45684</v>
      </c>
      <c r="C6703" t="s">
        <v>25</v>
      </c>
      <c r="D6703" s="2">
        <v>2451.5</v>
      </c>
      <c r="E6703" s="2">
        <v>0</v>
      </c>
      <c r="F6703" t="s">
        <v>26</v>
      </c>
      <c r="G6703" t="s">
        <v>20</v>
      </c>
    </row>
    <row r="6704" spans="1:7" x14ac:dyDescent="0.35">
      <c r="A6704">
        <v>2658</v>
      </c>
      <c r="B6704" s="1">
        <v>45684</v>
      </c>
      <c r="C6704" t="s">
        <v>25</v>
      </c>
      <c r="D6704" s="2">
        <v>183.86</v>
      </c>
      <c r="E6704" s="2">
        <v>0</v>
      </c>
      <c r="F6704" t="s">
        <v>27</v>
      </c>
      <c r="G6704" t="s">
        <v>9</v>
      </c>
    </row>
    <row r="6705" spans="1:7" x14ac:dyDescent="0.35">
      <c r="A6705">
        <v>2658</v>
      </c>
      <c r="B6705" s="1">
        <v>45684</v>
      </c>
      <c r="C6705" t="s">
        <v>25</v>
      </c>
      <c r="D6705" s="2">
        <v>0</v>
      </c>
      <c r="E6705" s="2">
        <v>2635.36</v>
      </c>
      <c r="F6705" t="s">
        <v>28</v>
      </c>
      <c r="G6705" t="s">
        <v>17</v>
      </c>
    </row>
    <row r="6706" spans="1:7" x14ac:dyDescent="0.35">
      <c r="A6706">
        <v>2659</v>
      </c>
      <c r="B6706" s="1">
        <v>45684</v>
      </c>
      <c r="C6706" t="s">
        <v>29</v>
      </c>
      <c r="D6706" s="2">
        <v>2182.41</v>
      </c>
      <c r="E6706" s="2">
        <v>0</v>
      </c>
      <c r="F6706" t="s">
        <v>28</v>
      </c>
      <c r="G6706" t="s">
        <v>17</v>
      </c>
    </row>
    <row r="6707" spans="1:7" x14ac:dyDescent="0.35">
      <c r="A6707">
        <v>2659</v>
      </c>
      <c r="B6707" s="1">
        <v>45684</v>
      </c>
      <c r="C6707" t="s">
        <v>29</v>
      </c>
      <c r="D6707" s="2">
        <v>0</v>
      </c>
      <c r="E6707" s="2">
        <v>2182.41</v>
      </c>
      <c r="F6707" t="s">
        <v>8</v>
      </c>
      <c r="G6707" t="s">
        <v>9</v>
      </c>
    </row>
    <row r="6708" spans="1:7" x14ac:dyDescent="0.35">
      <c r="A6708">
        <v>2660</v>
      </c>
      <c r="B6708" s="1">
        <v>45684</v>
      </c>
      <c r="C6708" t="s">
        <v>29</v>
      </c>
      <c r="D6708" s="2">
        <v>1159.8399999999999</v>
      </c>
      <c r="E6708" s="2">
        <v>0</v>
      </c>
      <c r="F6708" t="s">
        <v>28</v>
      </c>
      <c r="G6708" t="s">
        <v>17</v>
      </c>
    </row>
    <row r="6709" spans="1:7" x14ac:dyDescent="0.35">
      <c r="A6709">
        <v>2660</v>
      </c>
      <c r="B6709" s="1">
        <v>45684</v>
      </c>
      <c r="C6709" t="s">
        <v>29</v>
      </c>
      <c r="D6709" s="2">
        <v>0</v>
      </c>
      <c r="E6709" s="2">
        <v>1159.8399999999999</v>
      </c>
      <c r="F6709" t="s">
        <v>8</v>
      </c>
      <c r="G6709" t="s">
        <v>9</v>
      </c>
    </row>
    <row r="6710" spans="1:7" x14ac:dyDescent="0.35">
      <c r="A6710">
        <v>2661</v>
      </c>
      <c r="B6710" s="1">
        <v>45685</v>
      </c>
      <c r="C6710" t="s">
        <v>12</v>
      </c>
      <c r="D6710" s="2">
        <v>654.08000000000004</v>
      </c>
      <c r="E6710" s="2">
        <v>0</v>
      </c>
      <c r="F6710" t="s">
        <v>13</v>
      </c>
      <c r="G6710" t="s">
        <v>9</v>
      </c>
    </row>
    <row r="6711" spans="1:7" x14ac:dyDescent="0.35">
      <c r="A6711">
        <v>2661</v>
      </c>
      <c r="B6711" s="1">
        <v>45685</v>
      </c>
      <c r="C6711" t="s">
        <v>12</v>
      </c>
      <c r="D6711" s="2">
        <v>0</v>
      </c>
      <c r="E6711" s="2">
        <v>608.44000000000005</v>
      </c>
      <c r="F6711" t="s">
        <v>14</v>
      </c>
      <c r="G6711" t="s">
        <v>15</v>
      </c>
    </row>
    <row r="6712" spans="1:7" x14ac:dyDescent="0.35">
      <c r="A6712">
        <v>2661</v>
      </c>
      <c r="B6712" s="1">
        <v>45685</v>
      </c>
      <c r="C6712" t="s">
        <v>12</v>
      </c>
      <c r="D6712" s="2">
        <v>0</v>
      </c>
      <c r="E6712" s="2">
        <v>45.64</v>
      </c>
      <c r="F6712" t="s">
        <v>16</v>
      </c>
      <c r="G6712" t="s">
        <v>17</v>
      </c>
    </row>
    <row r="6713" spans="1:7" x14ac:dyDescent="0.35">
      <c r="A6713">
        <v>2662</v>
      </c>
      <c r="B6713" s="1">
        <v>45685</v>
      </c>
      <c r="C6713" t="s">
        <v>24</v>
      </c>
      <c r="D6713" s="2">
        <v>3241.33</v>
      </c>
      <c r="E6713" s="2">
        <v>0</v>
      </c>
      <c r="F6713" t="s">
        <v>8</v>
      </c>
      <c r="G6713" t="s">
        <v>9</v>
      </c>
    </row>
    <row r="6714" spans="1:7" x14ac:dyDescent="0.35">
      <c r="A6714">
        <v>2662</v>
      </c>
      <c r="B6714" s="1">
        <v>45685</v>
      </c>
      <c r="C6714" t="s">
        <v>24</v>
      </c>
      <c r="D6714" s="2">
        <v>0</v>
      </c>
      <c r="E6714" s="2">
        <v>3241.33</v>
      </c>
      <c r="F6714" t="s">
        <v>13</v>
      </c>
      <c r="G6714" t="s">
        <v>9</v>
      </c>
    </row>
    <row r="6715" spans="1:7" x14ac:dyDescent="0.35">
      <c r="A6715">
        <v>2663</v>
      </c>
      <c r="B6715" s="1">
        <v>45685</v>
      </c>
      <c r="C6715" t="s">
        <v>24</v>
      </c>
      <c r="D6715" s="2">
        <v>565.71</v>
      </c>
      <c r="E6715" s="2">
        <v>0</v>
      </c>
      <c r="F6715" t="s">
        <v>8</v>
      </c>
      <c r="G6715" t="s">
        <v>9</v>
      </c>
    </row>
    <row r="6716" spans="1:7" x14ac:dyDescent="0.35">
      <c r="A6716">
        <v>2663</v>
      </c>
      <c r="B6716" s="1">
        <v>45685</v>
      </c>
      <c r="C6716" t="s">
        <v>24</v>
      </c>
      <c r="D6716" s="2">
        <v>0</v>
      </c>
      <c r="E6716" s="2">
        <v>565.71</v>
      </c>
      <c r="F6716" t="s">
        <v>13</v>
      </c>
      <c r="G6716" t="s">
        <v>9</v>
      </c>
    </row>
    <row r="6717" spans="1:7" x14ac:dyDescent="0.35">
      <c r="A6717">
        <v>2664</v>
      </c>
      <c r="B6717" s="1">
        <v>45685</v>
      </c>
      <c r="C6717" t="s">
        <v>24</v>
      </c>
      <c r="D6717" s="2">
        <v>1036.82</v>
      </c>
      <c r="E6717" s="2">
        <v>0</v>
      </c>
      <c r="F6717" t="s">
        <v>8</v>
      </c>
      <c r="G6717" t="s">
        <v>9</v>
      </c>
    </row>
    <row r="6718" spans="1:7" x14ac:dyDescent="0.35">
      <c r="A6718">
        <v>2664</v>
      </c>
      <c r="B6718" s="1">
        <v>45685</v>
      </c>
      <c r="C6718" t="s">
        <v>24</v>
      </c>
      <c r="D6718" s="2">
        <v>0</v>
      </c>
      <c r="E6718" s="2">
        <v>1036.82</v>
      </c>
      <c r="F6718" t="s">
        <v>13</v>
      </c>
      <c r="G6718" t="s">
        <v>9</v>
      </c>
    </row>
    <row r="6719" spans="1:7" x14ac:dyDescent="0.35">
      <c r="A6719">
        <v>2665</v>
      </c>
      <c r="B6719" s="1">
        <v>45685</v>
      </c>
      <c r="C6719" t="s">
        <v>24</v>
      </c>
      <c r="D6719" s="2">
        <v>1212.67</v>
      </c>
      <c r="E6719" s="2">
        <v>0</v>
      </c>
      <c r="F6719" t="s">
        <v>8</v>
      </c>
      <c r="G6719" t="s">
        <v>9</v>
      </c>
    </row>
    <row r="6720" spans="1:7" x14ac:dyDescent="0.35">
      <c r="A6720">
        <v>2665</v>
      </c>
      <c r="B6720" s="1">
        <v>45685</v>
      </c>
      <c r="C6720" t="s">
        <v>24</v>
      </c>
      <c r="D6720" s="2">
        <v>0</v>
      </c>
      <c r="E6720" s="2">
        <v>1212.67</v>
      </c>
      <c r="F6720" t="s">
        <v>13</v>
      </c>
      <c r="G6720" t="s">
        <v>9</v>
      </c>
    </row>
    <row r="6721" spans="1:7" x14ac:dyDescent="0.35">
      <c r="A6721">
        <v>2666</v>
      </c>
      <c r="B6721" s="1">
        <v>45685</v>
      </c>
      <c r="C6721" t="s">
        <v>24</v>
      </c>
      <c r="D6721" s="2">
        <v>3247.5</v>
      </c>
      <c r="E6721" s="2">
        <v>0</v>
      </c>
      <c r="F6721" t="s">
        <v>8</v>
      </c>
      <c r="G6721" t="s">
        <v>9</v>
      </c>
    </row>
    <row r="6722" spans="1:7" x14ac:dyDescent="0.35">
      <c r="A6722">
        <v>2666</v>
      </c>
      <c r="B6722" s="1">
        <v>45685</v>
      </c>
      <c r="C6722" t="s">
        <v>24</v>
      </c>
      <c r="D6722" s="2">
        <v>0</v>
      </c>
      <c r="E6722" s="2">
        <v>3247.5</v>
      </c>
      <c r="F6722" t="s">
        <v>13</v>
      </c>
      <c r="G6722" t="s">
        <v>9</v>
      </c>
    </row>
    <row r="6723" spans="1:7" x14ac:dyDescent="0.35">
      <c r="A6723">
        <v>2667</v>
      </c>
      <c r="B6723" s="1">
        <v>45685</v>
      </c>
      <c r="C6723" t="s">
        <v>24</v>
      </c>
      <c r="D6723" s="2">
        <v>4483.13</v>
      </c>
      <c r="E6723" s="2">
        <v>0</v>
      </c>
      <c r="F6723" t="s">
        <v>8</v>
      </c>
      <c r="G6723" t="s">
        <v>9</v>
      </c>
    </row>
    <row r="6724" spans="1:7" x14ac:dyDescent="0.35">
      <c r="A6724">
        <v>2667</v>
      </c>
      <c r="B6724" s="1">
        <v>45685</v>
      </c>
      <c r="C6724" t="s">
        <v>24</v>
      </c>
      <c r="D6724" s="2">
        <v>0</v>
      </c>
      <c r="E6724" s="2">
        <v>4483.13</v>
      </c>
      <c r="F6724" t="s">
        <v>13</v>
      </c>
      <c r="G6724" t="s">
        <v>9</v>
      </c>
    </row>
    <row r="6725" spans="1:7" x14ac:dyDescent="0.35">
      <c r="A6725">
        <v>2668</v>
      </c>
      <c r="B6725" s="1">
        <v>45685</v>
      </c>
      <c r="C6725" t="s">
        <v>24</v>
      </c>
      <c r="D6725" s="2">
        <v>5076.54</v>
      </c>
      <c r="E6725" s="2">
        <v>0</v>
      </c>
      <c r="F6725" t="s">
        <v>8</v>
      </c>
      <c r="G6725" t="s">
        <v>9</v>
      </c>
    </row>
    <row r="6726" spans="1:7" x14ac:dyDescent="0.35">
      <c r="A6726">
        <v>2668</v>
      </c>
      <c r="B6726" s="1">
        <v>45685</v>
      </c>
      <c r="C6726" t="s">
        <v>24</v>
      </c>
      <c r="D6726" s="2">
        <v>0</v>
      </c>
      <c r="E6726" s="2">
        <v>5076.54</v>
      </c>
      <c r="F6726" t="s">
        <v>13</v>
      </c>
      <c r="G6726" t="s">
        <v>9</v>
      </c>
    </row>
    <row r="6727" spans="1:7" x14ac:dyDescent="0.35">
      <c r="A6727">
        <v>2669</v>
      </c>
      <c r="B6727" s="1">
        <v>45685</v>
      </c>
      <c r="C6727" t="s">
        <v>25</v>
      </c>
      <c r="D6727" s="2">
        <v>802.71</v>
      </c>
      <c r="E6727" s="2">
        <v>0</v>
      </c>
      <c r="F6727" t="s">
        <v>26</v>
      </c>
      <c r="G6727" t="s">
        <v>20</v>
      </c>
    </row>
    <row r="6728" spans="1:7" x14ac:dyDescent="0.35">
      <c r="A6728">
        <v>2669</v>
      </c>
      <c r="B6728" s="1">
        <v>45685</v>
      </c>
      <c r="C6728" t="s">
        <v>25</v>
      </c>
      <c r="D6728" s="2">
        <v>60.2</v>
      </c>
      <c r="E6728" s="2">
        <v>0</v>
      </c>
      <c r="F6728" t="s">
        <v>27</v>
      </c>
      <c r="G6728" t="s">
        <v>9</v>
      </c>
    </row>
    <row r="6729" spans="1:7" x14ac:dyDescent="0.35">
      <c r="A6729">
        <v>2669</v>
      </c>
      <c r="B6729" s="1">
        <v>45685</v>
      </c>
      <c r="C6729" t="s">
        <v>25</v>
      </c>
      <c r="D6729" s="2">
        <v>0</v>
      </c>
      <c r="E6729" s="2">
        <v>862.91</v>
      </c>
      <c r="F6729" t="s">
        <v>28</v>
      </c>
      <c r="G6729" t="s">
        <v>17</v>
      </c>
    </row>
    <row r="6730" spans="1:7" x14ac:dyDescent="0.35">
      <c r="A6730">
        <v>2670</v>
      </c>
      <c r="B6730" s="1">
        <v>45685</v>
      </c>
      <c r="C6730" t="s">
        <v>25</v>
      </c>
      <c r="D6730" s="2">
        <v>1822.08</v>
      </c>
      <c r="E6730" s="2">
        <v>0</v>
      </c>
      <c r="F6730" t="s">
        <v>26</v>
      </c>
      <c r="G6730" t="s">
        <v>20</v>
      </c>
    </row>
    <row r="6731" spans="1:7" x14ac:dyDescent="0.35">
      <c r="A6731">
        <v>2670</v>
      </c>
      <c r="B6731" s="1">
        <v>45685</v>
      </c>
      <c r="C6731" t="s">
        <v>25</v>
      </c>
      <c r="D6731" s="2">
        <v>136.66</v>
      </c>
      <c r="E6731" s="2">
        <v>0</v>
      </c>
      <c r="F6731" t="s">
        <v>27</v>
      </c>
      <c r="G6731" t="s">
        <v>9</v>
      </c>
    </row>
    <row r="6732" spans="1:7" x14ac:dyDescent="0.35">
      <c r="A6732">
        <v>2670</v>
      </c>
      <c r="B6732" s="1">
        <v>45685</v>
      </c>
      <c r="C6732" t="s">
        <v>25</v>
      </c>
      <c r="D6732" s="2">
        <v>0</v>
      </c>
      <c r="E6732" s="2">
        <v>1958.74</v>
      </c>
      <c r="F6732" t="s">
        <v>28</v>
      </c>
      <c r="G6732" t="s">
        <v>17</v>
      </c>
    </row>
    <row r="6733" spans="1:7" x14ac:dyDescent="0.35">
      <c r="A6733">
        <v>2671</v>
      </c>
      <c r="B6733" s="1">
        <v>45685</v>
      </c>
      <c r="C6733" t="s">
        <v>29</v>
      </c>
      <c r="D6733" s="2">
        <v>2093.2800000000002</v>
      </c>
      <c r="E6733" s="2">
        <v>0</v>
      </c>
      <c r="F6733" t="s">
        <v>28</v>
      </c>
      <c r="G6733" t="s">
        <v>17</v>
      </c>
    </row>
    <row r="6734" spans="1:7" x14ac:dyDescent="0.35">
      <c r="A6734">
        <v>2671</v>
      </c>
      <c r="B6734" s="1">
        <v>45685</v>
      </c>
      <c r="C6734" t="s">
        <v>29</v>
      </c>
      <c r="D6734" s="2">
        <v>0</v>
      </c>
      <c r="E6734" s="2">
        <v>2093.2800000000002</v>
      </c>
      <c r="F6734" t="s">
        <v>8</v>
      </c>
      <c r="G6734" t="s">
        <v>9</v>
      </c>
    </row>
    <row r="6735" spans="1:7" x14ac:dyDescent="0.35">
      <c r="A6735">
        <v>2672</v>
      </c>
      <c r="B6735" s="1">
        <v>45685</v>
      </c>
      <c r="C6735" t="s">
        <v>29</v>
      </c>
      <c r="D6735" s="2">
        <v>2635.36</v>
      </c>
      <c r="E6735" s="2">
        <v>0</v>
      </c>
      <c r="F6735" t="s">
        <v>28</v>
      </c>
      <c r="G6735" t="s">
        <v>17</v>
      </c>
    </row>
    <row r="6736" spans="1:7" x14ac:dyDescent="0.35">
      <c r="A6736">
        <v>2672</v>
      </c>
      <c r="B6736" s="1">
        <v>45685</v>
      </c>
      <c r="C6736" t="s">
        <v>29</v>
      </c>
      <c r="D6736" s="2">
        <v>0</v>
      </c>
      <c r="E6736" s="2">
        <v>2635.36</v>
      </c>
      <c r="F6736" t="s">
        <v>8</v>
      </c>
      <c r="G6736" t="s">
        <v>9</v>
      </c>
    </row>
    <row r="6737" spans="1:7" x14ac:dyDescent="0.35">
      <c r="A6737">
        <v>2673</v>
      </c>
      <c r="B6737" s="1">
        <v>45685</v>
      </c>
      <c r="C6737" t="s">
        <v>29</v>
      </c>
      <c r="D6737" s="2">
        <v>550.4</v>
      </c>
      <c r="E6737" s="2">
        <v>0</v>
      </c>
      <c r="F6737" t="s">
        <v>28</v>
      </c>
      <c r="G6737" t="s">
        <v>17</v>
      </c>
    </row>
    <row r="6738" spans="1:7" x14ac:dyDescent="0.35">
      <c r="A6738">
        <v>2673</v>
      </c>
      <c r="B6738" s="1">
        <v>45685</v>
      </c>
      <c r="C6738" t="s">
        <v>29</v>
      </c>
      <c r="D6738" s="2">
        <v>0</v>
      </c>
      <c r="E6738" s="2">
        <v>550.4</v>
      </c>
      <c r="F6738" t="s">
        <v>8</v>
      </c>
      <c r="G6738" t="s">
        <v>9</v>
      </c>
    </row>
    <row r="6739" spans="1:7" x14ac:dyDescent="0.35">
      <c r="A6739">
        <v>2674</v>
      </c>
      <c r="B6739" s="1">
        <v>45686</v>
      </c>
      <c r="C6739" t="s">
        <v>12</v>
      </c>
      <c r="D6739" s="2">
        <v>483.01</v>
      </c>
      <c r="E6739" s="2">
        <v>0</v>
      </c>
      <c r="F6739" t="s">
        <v>13</v>
      </c>
      <c r="G6739" t="s">
        <v>9</v>
      </c>
    </row>
    <row r="6740" spans="1:7" x14ac:dyDescent="0.35">
      <c r="A6740">
        <v>2674</v>
      </c>
      <c r="B6740" s="1">
        <v>45686</v>
      </c>
      <c r="C6740" t="s">
        <v>12</v>
      </c>
      <c r="D6740" s="2">
        <v>0</v>
      </c>
      <c r="E6740" s="2">
        <v>449.31</v>
      </c>
      <c r="F6740" t="s">
        <v>14</v>
      </c>
      <c r="G6740" t="s">
        <v>15</v>
      </c>
    </row>
    <row r="6741" spans="1:7" x14ac:dyDescent="0.35">
      <c r="A6741">
        <v>2674</v>
      </c>
      <c r="B6741" s="1">
        <v>45686</v>
      </c>
      <c r="C6741" t="s">
        <v>12</v>
      </c>
      <c r="D6741" s="2">
        <v>0</v>
      </c>
      <c r="E6741" s="2">
        <v>33.700000000000003</v>
      </c>
      <c r="F6741" t="s">
        <v>16</v>
      </c>
      <c r="G6741" t="s">
        <v>17</v>
      </c>
    </row>
    <row r="6742" spans="1:7" x14ac:dyDescent="0.35">
      <c r="A6742">
        <v>2675</v>
      </c>
      <c r="B6742" s="1">
        <v>45686</v>
      </c>
      <c r="C6742" t="s">
        <v>12</v>
      </c>
      <c r="D6742" s="2">
        <v>3584.68</v>
      </c>
      <c r="E6742" s="2">
        <v>0</v>
      </c>
      <c r="F6742" t="s">
        <v>13</v>
      </c>
      <c r="G6742" t="s">
        <v>9</v>
      </c>
    </row>
    <row r="6743" spans="1:7" x14ac:dyDescent="0.35">
      <c r="A6743">
        <v>2675</v>
      </c>
      <c r="B6743" s="1">
        <v>45686</v>
      </c>
      <c r="C6743" t="s">
        <v>12</v>
      </c>
      <c r="D6743" s="2">
        <v>0</v>
      </c>
      <c r="E6743" s="2">
        <v>3334.59</v>
      </c>
      <c r="F6743" t="s">
        <v>14</v>
      </c>
      <c r="G6743" t="s">
        <v>15</v>
      </c>
    </row>
    <row r="6744" spans="1:7" x14ac:dyDescent="0.35">
      <c r="A6744">
        <v>2675</v>
      </c>
      <c r="B6744" s="1">
        <v>45686</v>
      </c>
      <c r="C6744" t="s">
        <v>12</v>
      </c>
      <c r="D6744" s="2">
        <v>0</v>
      </c>
      <c r="E6744" s="2">
        <v>250.09</v>
      </c>
      <c r="F6744" t="s">
        <v>16</v>
      </c>
      <c r="G6744" t="s">
        <v>17</v>
      </c>
    </row>
    <row r="6745" spans="1:7" x14ac:dyDescent="0.35">
      <c r="A6745">
        <v>2676</v>
      </c>
      <c r="B6745" s="1">
        <v>45686</v>
      </c>
      <c r="C6745" t="s">
        <v>12</v>
      </c>
      <c r="D6745" s="2">
        <v>5867.04</v>
      </c>
      <c r="E6745" s="2">
        <v>0</v>
      </c>
      <c r="F6745" t="s">
        <v>13</v>
      </c>
      <c r="G6745" t="s">
        <v>9</v>
      </c>
    </row>
    <row r="6746" spans="1:7" x14ac:dyDescent="0.35">
      <c r="A6746">
        <v>2676</v>
      </c>
      <c r="B6746" s="1">
        <v>45686</v>
      </c>
      <c r="C6746" t="s">
        <v>12</v>
      </c>
      <c r="D6746" s="2">
        <v>0</v>
      </c>
      <c r="E6746" s="2">
        <v>5457.72</v>
      </c>
      <c r="F6746" t="s">
        <v>14</v>
      </c>
      <c r="G6746" t="s">
        <v>15</v>
      </c>
    </row>
    <row r="6747" spans="1:7" x14ac:dyDescent="0.35">
      <c r="A6747">
        <v>2676</v>
      </c>
      <c r="B6747" s="1">
        <v>45686</v>
      </c>
      <c r="C6747" t="s">
        <v>12</v>
      </c>
      <c r="D6747" s="2">
        <v>0</v>
      </c>
      <c r="E6747" s="2">
        <v>409.32</v>
      </c>
      <c r="F6747" t="s">
        <v>16</v>
      </c>
      <c r="G6747" t="s">
        <v>17</v>
      </c>
    </row>
    <row r="6748" spans="1:7" x14ac:dyDescent="0.35">
      <c r="A6748">
        <v>2677</v>
      </c>
      <c r="B6748" s="1">
        <v>45686</v>
      </c>
      <c r="C6748" t="s">
        <v>12</v>
      </c>
      <c r="D6748" s="2">
        <v>288.27999999999997</v>
      </c>
      <c r="E6748" s="2">
        <v>0</v>
      </c>
      <c r="F6748" t="s">
        <v>13</v>
      </c>
      <c r="G6748" t="s">
        <v>9</v>
      </c>
    </row>
    <row r="6749" spans="1:7" x14ac:dyDescent="0.35">
      <c r="A6749">
        <v>2677</v>
      </c>
      <c r="B6749" s="1">
        <v>45686</v>
      </c>
      <c r="C6749" t="s">
        <v>12</v>
      </c>
      <c r="D6749" s="2">
        <v>0</v>
      </c>
      <c r="E6749" s="2">
        <v>268.17</v>
      </c>
      <c r="F6749" t="s">
        <v>14</v>
      </c>
      <c r="G6749" t="s">
        <v>15</v>
      </c>
    </row>
    <row r="6750" spans="1:7" x14ac:dyDescent="0.35">
      <c r="A6750">
        <v>2677</v>
      </c>
      <c r="B6750" s="1">
        <v>45686</v>
      </c>
      <c r="C6750" t="s">
        <v>12</v>
      </c>
      <c r="D6750" s="2">
        <v>0</v>
      </c>
      <c r="E6750" s="2">
        <v>20.11</v>
      </c>
      <c r="F6750" t="s">
        <v>16</v>
      </c>
      <c r="G6750" t="s">
        <v>17</v>
      </c>
    </row>
    <row r="6751" spans="1:7" x14ac:dyDescent="0.35">
      <c r="A6751">
        <v>2678</v>
      </c>
      <c r="B6751" s="1">
        <v>45686</v>
      </c>
      <c r="C6751" t="s">
        <v>24</v>
      </c>
      <c r="D6751" s="2">
        <v>1566.89</v>
      </c>
      <c r="E6751" s="2">
        <v>0</v>
      </c>
      <c r="F6751" t="s">
        <v>8</v>
      </c>
      <c r="G6751" t="s">
        <v>9</v>
      </c>
    </row>
    <row r="6752" spans="1:7" x14ac:dyDescent="0.35">
      <c r="A6752">
        <v>2678</v>
      </c>
      <c r="B6752" s="1">
        <v>45686</v>
      </c>
      <c r="C6752" t="s">
        <v>24</v>
      </c>
      <c r="D6752" s="2">
        <v>0</v>
      </c>
      <c r="E6752" s="2">
        <v>1566.89</v>
      </c>
      <c r="F6752" t="s">
        <v>13</v>
      </c>
      <c r="G6752" t="s">
        <v>9</v>
      </c>
    </row>
    <row r="6753" spans="1:7" x14ac:dyDescent="0.35">
      <c r="A6753">
        <v>2679</v>
      </c>
      <c r="B6753" s="1">
        <v>45686</v>
      </c>
      <c r="C6753" t="s">
        <v>24</v>
      </c>
      <c r="D6753" s="2">
        <v>975.74</v>
      </c>
      <c r="E6753" s="2">
        <v>0</v>
      </c>
      <c r="F6753" t="s">
        <v>8</v>
      </c>
      <c r="G6753" t="s">
        <v>9</v>
      </c>
    </row>
    <row r="6754" spans="1:7" x14ac:dyDescent="0.35">
      <c r="A6754">
        <v>2679</v>
      </c>
      <c r="B6754" s="1">
        <v>45686</v>
      </c>
      <c r="C6754" t="s">
        <v>24</v>
      </c>
      <c r="D6754" s="2">
        <v>0</v>
      </c>
      <c r="E6754" s="2">
        <v>975.74</v>
      </c>
      <c r="F6754" t="s">
        <v>13</v>
      </c>
      <c r="G6754" t="s">
        <v>9</v>
      </c>
    </row>
    <row r="6755" spans="1:7" x14ac:dyDescent="0.35">
      <c r="A6755">
        <v>2680</v>
      </c>
      <c r="B6755" s="1">
        <v>45686</v>
      </c>
      <c r="C6755" t="s">
        <v>25</v>
      </c>
      <c r="D6755" s="2">
        <v>257.04000000000002</v>
      </c>
      <c r="E6755" s="2">
        <v>0</v>
      </c>
      <c r="F6755" t="s">
        <v>26</v>
      </c>
      <c r="G6755" t="s">
        <v>20</v>
      </c>
    </row>
    <row r="6756" spans="1:7" x14ac:dyDescent="0.35">
      <c r="A6756">
        <v>2680</v>
      </c>
      <c r="B6756" s="1">
        <v>45686</v>
      </c>
      <c r="C6756" t="s">
        <v>25</v>
      </c>
      <c r="D6756" s="2">
        <v>19.28</v>
      </c>
      <c r="E6756" s="2">
        <v>0</v>
      </c>
      <c r="F6756" t="s">
        <v>27</v>
      </c>
      <c r="G6756" t="s">
        <v>9</v>
      </c>
    </row>
    <row r="6757" spans="1:7" x14ac:dyDescent="0.35">
      <c r="A6757">
        <v>2680</v>
      </c>
      <c r="B6757" s="1">
        <v>45686</v>
      </c>
      <c r="C6757" t="s">
        <v>25</v>
      </c>
      <c r="D6757" s="2">
        <v>0</v>
      </c>
      <c r="E6757" s="2">
        <v>276.32</v>
      </c>
      <c r="F6757" t="s">
        <v>28</v>
      </c>
      <c r="G6757" t="s">
        <v>17</v>
      </c>
    </row>
    <row r="6758" spans="1:7" x14ac:dyDescent="0.35">
      <c r="A6758">
        <v>2681</v>
      </c>
      <c r="B6758" s="1">
        <v>45686</v>
      </c>
      <c r="C6758" t="s">
        <v>25</v>
      </c>
      <c r="D6758" s="2">
        <v>383.76</v>
      </c>
      <c r="E6758" s="2">
        <v>0</v>
      </c>
      <c r="F6758" t="s">
        <v>26</v>
      </c>
      <c r="G6758" t="s">
        <v>20</v>
      </c>
    </row>
    <row r="6759" spans="1:7" x14ac:dyDescent="0.35">
      <c r="A6759">
        <v>2681</v>
      </c>
      <c r="B6759" s="1">
        <v>45686</v>
      </c>
      <c r="C6759" t="s">
        <v>25</v>
      </c>
      <c r="D6759" s="2">
        <v>28.78</v>
      </c>
      <c r="E6759" s="2">
        <v>0</v>
      </c>
      <c r="F6759" t="s">
        <v>27</v>
      </c>
      <c r="G6759" t="s">
        <v>9</v>
      </c>
    </row>
    <row r="6760" spans="1:7" x14ac:dyDescent="0.35">
      <c r="A6760">
        <v>2681</v>
      </c>
      <c r="B6760" s="1">
        <v>45686</v>
      </c>
      <c r="C6760" t="s">
        <v>25</v>
      </c>
      <c r="D6760" s="2">
        <v>0</v>
      </c>
      <c r="E6760" s="2">
        <v>412.54</v>
      </c>
      <c r="F6760" t="s">
        <v>28</v>
      </c>
      <c r="G6760" t="s">
        <v>17</v>
      </c>
    </row>
    <row r="6761" spans="1:7" x14ac:dyDescent="0.35">
      <c r="A6761">
        <v>2682</v>
      </c>
      <c r="B6761" s="1">
        <v>45686</v>
      </c>
      <c r="C6761" t="s">
        <v>29</v>
      </c>
      <c r="D6761" s="2">
        <v>3868.8</v>
      </c>
      <c r="E6761" s="2">
        <v>0</v>
      </c>
      <c r="F6761" t="s">
        <v>28</v>
      </c>
      <c r="G6761" t="s">
        <v>17</v>
      </c>
    </row>
    <row r="6762" spans="1:7" x14ac:dyDescent="0.35">
      <c r="A6762">
        <v>2682</v>
      </c>
      <c r="B6762" s="1">
        <v>45686</v>
      </c>
      <c r="C6762" t="s">
        <v>29</v>
      </c>
      <c r="D6762" s="2">
        <v>0</v>
      </c>
      <c r="E6762" s="2">
        <v>3868.8</v>
      </c>
      <c r="F6762" t="s">
        <v>8</v>
      </c>
      <c r="G6762" t="s">
        <v>9</v>
      </c>
    </row>
    <row r="6763" spans="1:7" x14ac:dyDescent="0.35">
      <c r="A6763">
        <v>2683</v>
      </c>
      <c r="B6763" s="1">
        <v>45687</v>
      </c>
      <c r="C6763" t="s">
        <v>18</v>
      </c>
      <c r="D6763" s="2">
        <v>22396.21</v>
      </c>
      <c r="E6763" s="2">
        <v>0</v>
      </c>
      <c r="F6763" t="s">
        <v>19</v>
      </c>
      <c r="G6763" t="s">
        <v>20</v>
      </c>
    </row>
    <row r="6764" spans="1:7" x14ac:dyDescent="0.35">
      <c r="A6764">
        <v>2683</v>
      </c>
      <c r="B6764" s="1">
        <v>45687</v>
      </c>
      <c r="C6764" t="s">
        <v>18</v>
      </c>
      <c r="D6764" s="2">
        <v>895.85</v>
      </c>
      <c r="E6764" s="2">
        <v>0</v>
      </c>
      <c r="F6764" t="s">
        <v>21</v>
      </c>
      <c r="G6764" t="s">
        <v>20</v>
      </c>
    </row>
    <row r="6765" spans="1:7" x14ac:dyDescent="0.35">
      <c r="A6765">
        <v>2683</v>
      </c>
      <c r="B6765" s="1">
        <v>45687</v>
      </c>
      <c r="C6765" t="s">
        <v>18</v>
      </c>
      <c r="D6765" s="2">
        <v>0</v>
      </c>
      <c r="E6765" s="2">
        <v>18326.939999999999</v>
      </c>
      <c r="F6765" t="s">
        <v>8</v>
      </c>
      <c r="G6765" t="s">
        <v>9</v>
      </c>
    </row>
    <row r="6766" spans="1:7" x14ac:dyDescent="0.35">
      <c r="A6766">
        <v>2683</v>
      </c>
      <c r="B6766" s="1">
        <v>45687</v>
      </c>
      <c r="C6766" t="s">
        <v>18</v>
      </c>
      <c r="D6766" s="2">
        <v>0</v>
      </c>
      <c r="E6766" s="2">
        <v>4069.27</v>
      </c>
      <c r="F6766" t="s">
        <v>22</v>
      </c>
      <c r="G6766" t="s">
        <v>17</v>
      </c>
    </row>
    <row r="6767" spans="1:7" x14ac:dyDescent="0.35">
      <c r="A6767">
        <v>2683</v>
      </c>
      <c r="B6767" s="1">
        <v>45687</v>
      </c>
      <c r="C6767" t="s">
        <v>18</v>
      </c>
      <c r="D6767" s="2">
        <v>0</v>
      </c>
      <c r="E6767" s="2">
        <v>895.85</v>
      </c>
      <c r="F6767" t="s">
        <v>23</v>
      </c>
      <c r="G6767" t="s">
        <v>17</v>
      </c>
    </row>
    <row r="6768" spans="1:7" x14ac:dyDescent="0.35">
      <c r="A6768">
        <v>2684</v>
      </c>
      <c r="B6768" s="1">
        <v>45687</v>
      </c>
      <c r="C6768" t="s">
        <v>12</v>
      </c>
      <c r="D6768" s="2">
        <v>3682.2</v>
      </c>
      <c r="E6768" s="2">
        <v>0</v>
      </c>
      <c r="F6768" t="s">
        <v>13</v>
      </c>
      <c r="G6768" t="s">
        <v>9</v>
      </c>
    </row>
    <row r="6769" spans="1:7" x14ac:dyDescent="0.35">
      <c r="A6769">
        <v>2684</v>
      </c>
      <c r="B6769" s="1">
        <v>45687</v>
      </c>
      <c r="C6769" t="s">
        <v>12</v>
      </c>
      <c r="D6769" s="2">
        <v>0</v>
      </c>
      <c r="E6769" s="2">
        <v>3425.31</v>
      </c>
      <c r="F6769" t="s">
        <v>14</v>
      </c>
      <c r="G6769" t="s">
        <v>15</v>
      </c>
    </row>
    <row r="6770" spans="1:7" x14ac:dyDescent="0.35">
      <c r="A6770">
        <v>2684</v>
      </c>
      <c r="B6770" s="1">
        <v>45687</v>
      </c>
      <c r="C6770" t="s">
        <v>12</v>
      </c>
      <c r="D6770" s="2">
        <v>0</v>
      </c>
      <c r="E6770" s="2">
        <v>256.89</v>
      </c>
      <c r="F6770" t="s">
        <v>16</v>
      </c>
      <c r="G6770" t="s">
        <v>17</v>
      </c>
    </row>
    <row r="6771" spans="1:7" x14ac:dyDescent="0.35">
      <c r="A6771">
        <v>2685</v>
      </c>
      <c r="B6771" s="1">
        <v>45687</v>
      </c>
      <c r="C6771" t="s">
        <v>12</v>
      </c>
      <c r="D6771" s="2">
        <v>2675.91</v>
      </c>
      <c r="E6771" s="2">
        <v>0</v>
      </c>
      <c r="F6771" t="s">
        <v>13</v>
      </c>
      <c r="G6771" t="s">
        <v>9</v>
      </c>
    </row>
    <row r="6772" spans="1:7" x14ac:dyDescent="0.35">
      <c r="A6772">
        <v>2685</v>
      </c>
      <c r="B6772" s="1">
        <v>45687</v>
      </c>
      <c r="C6772" t="s">
        <v>12</v>
      </c>
      <c r="D6772" s="2">
        <v>0</v>
      </c>
      <c r="E6772" s="2">
        <v>2489.2199999999998</v>
      </c>
      <c r="F6772" t="s">
        <v>14</v>
      </c>
      <c r="G6772" t="s">
        <v>15</v>
      </c>
    </row>
    <row r="6773" spans="1:7" x14ac:dyDescent="0.35">
      <c r="A6773">
        <v>2685</v>
      </c>
      <c r="B6773" s="1">
        <v>45687</v>
      </c>
      <c r="C6773" t="s">
        <v>12</v>
      </c>
      <c r="D6773" s="2">
        <v>0</v>
      </c>
      <c r="E6773" s="2">
        <v>186.69</v>
      </c>
      <c r="F6773" t="s">
        <v>16</v>
      </c>
      <c r="G6773" t="s">
        <v>17</v>
      </c>
    </row>
    <row r="6774" spans="1:7" x14ac:dyDescent="0.35">
      <c r="A6774">
        <v>2686</v>
      </c>
      <c r="B6774" s="1">
        <v>45687</v>
      </c>
      <c r="C6774" t="s">
        <v>12</v>
      </c>
      <c r="D6774" s="2">
        <v>2016.26</v>
      </c>
      <c r="E6774" s="2">
        <v>0</v>
      </c>
      <c r="F6774" t="s">
        <v>13</v>
      </c>
      <c r="G6774" t="s">
        <v>9</v>
      </c>
    </row>
    <row r="6775" spans="1:7" x14ac:dyDescent="0.35">
      <c r="A6775">
        <v>2686</v>
      </c>
      <c r="B6775" s="1">
        <v>45687</v>
      </c>
      <c r="C6775" t="s">
        <v>12</v>
      </c>
      <c r="D6775" s="2">
        <v>0</v>
      </c>
      <c r="E6775" s="2">
        <v>1875.59</v>
      </c>
      <c r="F6775" t="s">
        <v>14</v>
      </c>
      <c r="G6775" t="s">
        <v>15</v>
      </c>
    </row>
    <row r="6776" spans="1:7" x14ac:dyDescent="0.35">
      <c r="A6776">
        <v>2686</v>
      </c>
      <c r="B6776" s="1">
        <v>45687</v>
      </c>
      <c r="C6776" t="s">
        <v>12</v>
      </c>
      <c r="D6776" s="2">
        <v>0</v>
      </c>
      <c r="E6776" s="2">
        <v>140.66999999999999</v>
      </c>
      <c r="F6776" t="s">
        <v>16</v>
      </c>
      <c r="G6776" t="s">
        <v>17</v>
      </c>
    </row>
    <row r="6777" spans="1:7" x14ac:dyDescent="0.35">
      <c r="A6777">
        <v>2687</v>
      </c>
      <c r="B6777" s="1">
        <v>45687</v>
      </c>
      <c r="C6777" t="s">
        <v>12</v>
      </c>
      <c r="D6777" s="2">
        <v>1431.21</v>
      </c>
      <c r="E6777" s="2">
        <v>0</v>
      </c>
      <c r="F6777" t="s">
        <v>13</v>
      </c>
      <c r="G6777" t="s">
        <v>9</v>
      </c>
    </row>
    <row r="6778" spans="1:7" x14ac:dyDescent="0.35">
      <c r="A6778">
        <v>2687</v>
      </c>
      <c r="B6778" s="1">
        <v>45687</v>
      </c>
      <c r="C6778" t="s">
        <v>12</v>
      </c>
      <c r="D6778" s="2">
        <v>0</v>
      </c>
      <c r="E6778" s="2">
        <v>1331.36</v>
      </c>
      <c r="F6778" t="s">
        <v>14</v>
      </c>
      <c r="G6778" t="s">
        <v>15</v>
      </c>
    </row>
    <row r="6779" spans="1:7" x14ac:dyDescent="0.35">
      <c r="A6779">
        <v>2687</v>
      </c>
      <c r="B6779" s="1">
        <v>45687</v>
      </c>
      <c r="C6779" t="s">
        <v>12</v>
      </c>
      <c r="D6779" s="2">
        <v>0</v>
      </c>
      <c r="E6779" s="2">
        <v>99.85</v>
      </c>
      <c r="F6779" t="s">
        <v>16</v>
      </c>
      <c r="G6779" t="s">
        <v>17</v>
      </c>
    </row>
    <row r="6780" spans="1:7" x14ac:dyDescent="0.35">
      <c r="A6780">
        <v>2688</v>
      </c>
      <c r="B6780" s="1">
        <v>45687</v>
      </c>
      <c r="C6780" t="s">
        <v>12</v>
      </c>
      <c r="D6780" s="2">
        <v>1231.3599999999999</v>
      </c>
      <c r="E6780" s="2">
        <v>0</v>
      </c>
      <c r="F6780" t="s">
        <v>13</v>
      </c>
      <c r="G6780" t="s">
        <v>9</v>
      </c>
    </row>
    <row r="6781" spans="1:7" x14ac:dyDescent="0.35">
      <c r="A6781">
        <v>2688</v>
      </c>
      <c r="B6781" s="1">
        <v>45687</v>
      </c>
      <c r="C6781" t="s">
        <v>12</v>
      </c>
      <c r="D6781" s="2">
        <v>0</v>
      </c>
      <c r="E6781" s="2">
        <v>1145.46</v>
      </c>
      <c r="F6781" t="s">
        <v>14</v>
      </c>
      <c r="G6781" t="s">
        <v>15</v>
      </c>
    </row>
    <row r="6782" spans="1:7" x14ac:dyDescent="0.35">
      <c r="A6782">
        <v>2688</v>
      </c>
      <c r="B6782" s="1">
        <v>45687</v>
      </c>
      <c r="C6782" t="s">
        <v>12</v>
      </c>
      <c r="D6782" s="2">
        <v>0</v>
      </c>
      <c r="E6782" s="2">
        <v>85.9</v>
      </c>
      <c r="F6782" t="s">
        <v>16</v>
      </c>
      <c r="G6782" t="s">
        <v>17</v>
      </c>
    </row>
    <row r="6783" spans="1:7" x14ac:dyDescent="0.35">
      <c r="A6783">
        <v>2689</v>
      </c>
      <c r="B6783" s="1">
        <v>45687</v>
      </c>
      <c r="C6783" t="s">
        <v>12</v>
      </c>
      <c r="D6783" s="2">
        <v>761.66</v>
      </c>
      <c r="E6783" s="2">
        <v>0</v>
      </c>
      <c r="F6783" t="s">
        <v>13</v>
      </c>
      <c r="G6783" t="s">
        <v>9</v>
      </c>
    </row>
    <row r="6784" spans="1:7" x14ac:dyDescent="0.35">
      <c r="A6784">
        <v>2689</v>
      </c>
      <c r="B6784" s="1">
        <v>45687</v>
      </c>
      <c r="C6784" t="s">
        <v>12</v>
      </c>
      <c r="D6784" s="2">
        <v>0</v>
      </c>
      <c r="E6784" s="2">
        <v>708.52</v>
      </c>
      <c r="F6784" t="s">
        <v>14</v>
      </c>
      <c r="G6784" t="s">
        <v>15</v>
      </c>
    </row>
    <row r="6785" spans="1:7" x14ac:dyDescent="0.35">
      <c r="A6785">
        <v>2689</v>
      </c>
      <c r="B6785" s="1">
        <v>45687</v>
      </c>
      <c r="C6785" t="s">
        <v>12</v>
      </c>
      <c r="D6785" s="2">
        <v>0</v>
      </c>
      <c r="E6785" s="2">
        <v>53.14</v>
      </c>
      <c r="F6785" t="s">
        <v>16</v>
      </c>
      <c r="G6785" t="s">
        <v>17</v>
      </c>
    </row>
    <row r="6786" spans="1:7" x14ac:dyDescent="0.35">
      <c r="A6786">
        <v>2690</v>
      </c>
      <c r="B6786" s="1">
        <v>45687</v>
      </c>
      <c r="C6786" t="s">
        <v>24</v>
      </c>
      <c r="D6786" s="2">
        <v>6476.78</v>
      </c>
      <c r="E6786" s="2">
        <v>0</v>
      </c>
      <c r="F6786" t="s">
        <v>8</v>
      </c>
      <c r="G6786" t="s">
        <v>9</v>
      </c>
    </row>
    <row r="6787" spans="1:7" x14ac:dyDescent="0.35">
      <c r="A6787">
        <v>2690</v>
      </c>
      <c r="B6787" s="1">
        <v>45687</v>
      </c>
      <c r="C6787" t="s">
        <v>24</v>
      </c>
      <c r="D6787" s="2">
        <v>0</v>
      </c>
      <c r="E6787" s="2">
        <v>6476.78</v>
      </c>
      <c r="F6787" t="s">
        <v>13</v>
      </c>
      <c r="G6787" t="s">
        <v>9</v>
      </c>
    </row>
    <row r="6788" spans="1:7" x14ac:dyDescent="0.35">
      <c r="A6788">
        <v>2691</v>
      </c>
      <c r="B6788" s="1">
        <v>45687</v>
      </c>
      <c r="C6788" t="s">
        <v>24</v>
      </c>
      <c r="D6788" s="2">
        <v>1696.66</v>
      </c>
      <c r="E6788" s="2">
        <v>0</v>
      </c>
      <c r="F6788" t="s">
        <v>8</v>
      </c>
      <c r="G6788" t="s">
        <v>9</v>
      </c>
    </row>
    <row r="6789" spans="1:7" x14ac:dyDescent="0.35">
      <c r="A6789">
        <v>2691</v>
      </c>
      <c r="B6789" s="1">
        <v>45687</v>
      </c>
      <c r="C6789" t="s">
        <v>24</v>
      </c>
      <c r="D6789" s="2">
        <v>0</v>
      </c>
      <c r="E6789" s="2">
        <v>1696.66</v>
      </c>
      <c r="F6789" t="s">
        <v>13</v>
      </c>
      <c r="G6789" t="s">
        <v>9</v>
      </c>
    </row>
    <row r="6790" spans="1:7" x14ac:dyDescent="0.35">
      <c r="A6790">
        <v>2692</v>
      </c>
      <c r="B6790" s="1">
        <v>45687</v>
      </c>
      <c r="C6790" t="s">
        <v>24</v>
      </c>
      <c r="D6790" s="2">
        <v>1350.79</v>
      </c>
      <c r="E6790" s="2">
        <v>0</v>
      </c>
      <c r="F6790" t="s">
        <v>8</v>
      </c>
      <c r="G6790" t="s">
        <v>9</v>
      </c>
    </row>
    <row r="6791" spans="1:7" x14ac:dyDescent="0.35">
      <c r="A6791">
        <v>2692</v>
      </c>
      <c r="B6791" s="1">
        <v>45687</v>
      </c>
      <c r="C6791" t="s">
        <v>24</v>
      </c>
      <c r="D6791" s="2">
        <v>0</v>
      </c>
      <c r="E6791" s="2">
        <v>1350.79</v>
      </c>
      <c r="F6791" t="s">
        <v>13</v>
      </c>
      <c r="G6791" t="s">
        <v>9</v>
      </c>
    </row>
    <row r="6792" spans="1:7" x14ac:dyDescent="0.35">
      <c r="A6792">
        <v>2693</v>
      </c>
      <c r="B6792" s="1">
        <v>45687</v>
      </c>
      <c r="C6792" t="s">
        <v>24</v>
      </c>
      <c r="D6792" s="2">
        <v>3901.45</v>
      </c>
      <c r="E6792" s="2">
        <v>0</v>
      </c>
      <c r="F6792" t="s">
        <v>8</v>
      </c>
      <c r="G6792" t="s">
        <v>9</v>
      </c>
    </row>
    <row r="6793" spans="1:7" x14ac:dyDescent="0.35">
      <c r="A6793">
        <v>2693</v>
      </c>
      <c r="B6793" s="1">
        <v>45687</v>
      </c>
      <c r="C6793" t="s">
        <v>24</v>
      </c>
      <c r="D6793" s="2">
        <v>0</v>
      </c>
      <c r="E6793" s="2">
        <v>3901.45</v>
      </c>
      <c r="F6793" t="s">
        <v>13</v>
      </c>
      <c r="G6793" t="s">
        <v>9</v>
      </c>
    </row>
    <row r="6794" spans="1:7" x14ac:dyDescent="0.35">
      <c r="A6794">
        <v>2694</v>
      </c>
      <c r="B6794" s="1">
        <v>45687</v>
      </c>
      <c r="C6794" t="s">
        <v>24</v>
      </c>
      <c r="D6794" s="2">
        <v>1462.21</v>
      </c>
      <c r="E6794" s="2">
        <v>0</v>
      </c>
      <c r="F6794" t="s">
        <v>8</v>
      </c>
      <c r="G6794" t="s">
        <v>9</v>
      </c>
    </row>
    <row r="6795" spans="1:7" x14ac:dyDescent="0.35">
      <c r="A6795">
        <v>2694</v>
      </c>
      <c r="B6795" s="1">
        <v>45687</v>
      </c>
      <c r="C6795" t="s">
        <v>24</v>
      </c>
      <c r="D6795" s="2">
        <v>0</v>
      </c>
      <c r="E6795" s="2">
        <v>1462.21</v>
      </c>
      <c r="F6795" t="s">
        <v>13</v>
      </c>
      <c r="G6795" t="s">
        <v>9</v>
      </c>
    </row>
    <row r="6796" spans="1:7" x14ac:dyDescent="0.35">
      <c r="A6796">
        <v>2695</v>
      </c>
      <c r="B6796" s="1">
        <v>45687</v>
      </c>
      <c r="C6796" t="s">
        <v>24</v>
      </c>
      <c r="D6796" s="2">
        <v>2016.26</v>
      </c>
      <c r="E6796" s="2">
        <v>0</v>
      </c>
      <c r="F6796" t="s">
        <v>8</v>
      </c>
      <c r="G6796" t="s">
        <v>9</v>
      </c>
    </row>
    <row r="6797" spans="1:7" x14ac:dyDescent="0.35">
      <c r="A6797">
        <v>2695</v>
      </c>
      <c r="B6797" s="1">
        <v>45687</v>
      </c>
      <c r="C6797" t="s">
        <v>24</v>
      </c>
      <c r="D6797" s="2">
        <v>0</v>
      </c>
      <c r="E6797" s="2">
        <v>2016.26</v>
      </c>
      <c r="F6797" t="s">
        <v>13</v>
      </c>
      <c r="G6797" t="s">
        <v>9</v>
      </c>
    </row>
    <row r="6798" spans="1:7" x14ac:dyDescent="0.35">
      <c r="A6798">
        <v>2696</v>
      </c>
      <c r="B6798" s="1">
        <v>45687</v>
      </c>
      <c r="C6798" t="s">
        <v>29</v>
      </c>
      <c r="D6798" s="2">
        <v>3868.8</v>
      </c>
      <c r="E6798" s="2">
        <v>0</v>
      </c>
      <c r="F6798" t="s">
        <v>28</v>
      </c>
      <c r="G6798" t="s">
        <v>17</v>
      </c>
    </row>
    <row r="6799" spans="1:7" x14ac:dyDescent="0.35">
      <c r="A6799">
        <v>2696</v>
      </c>
      <c r="B6799" s="1">
        <v>45687</v>
      </c>
      <c r="C6799" t="s">
        <v>29</v>
      </c>
      <c r="D6799" s="2">
        <v>0</v>
      </c>
      <c r="E6799" s="2">
        <v>3868.8</v>
      </c>
      <c r="F6799" t="s">
        <v>8</v>
      </c>
      <c r="G6799" t="s">
        <v>9</v>
      </c>
    </row>
    <row r="6800" spans="1:7" x14ac:dyDescent="0.35">
      <c r="A6800">
        <v>2697</v>
      </c>
      <c r="B6800" s="1">
        <v>45688</v>
      </c>
      <c r="C6800" t="s">
        <v>12</v>
      </c>
      <c r="D6800" s="2">
        <v>3230.35</v>
      </c>
      <c r="E6800" s="2">
        <v>0</v>
      </c>
      <c r="F6800" t="s">
        <v>13</v>
      </c>
      <c r="G6800" t="s">
        <v>9</v>
      </c>
    </row>
    <row r="6801" spans="1:7" x14ac:dyDescent="0.35">
      <c r="A6801">
        <v>2697</v>
      </c>
      <c r="B6801" s="1">
        <v>45688</v>
      </c>
      <c r="C6801" t="s">
        <v>12</v>
      </c>
      <c r="D6801" s="2">
        <v>0</v>
      </c>
      <c r="E6801" s="2">
        <v>3004.98</v>
      </c>
      <c r="F6801" t="s">
        <v>14</v>
      </c>
      <c r="G6801" t="s">
        <v>15</v>
      </c>
    </row>
    <row r="6802" spans="1:7" x14ac:dyDescent="0.35">
      <c r="A6802">
        <v>2697</v>
      </c>
      <c r="B6802" s="1">
        <v>45688</v>
      </c>
      <c r="C6802" t="s">
        <v>12</v>
      </c>
      <c r="D6802" s="2">
        <v>0</v>
      </c>
      <c r="E6802" s="2">
        <v>225.37</v>
      </c>
      <c r="F6802" t="s">
        <v>16</v>
      </c>
      <c r="G6802" t="s">
        <v>17</v>
      </c>
    </row>
    <row r="6803" spans="1:7" x14ac:dyDescent="0.35">
      <c r="A6803">
        <v>2698</v>
      </c>
      <c r="B6803" s="1">
        <v>45688</v>
      </c>
      <c r="C6803" t="s">
        <v>12</v>
      </c>
      <c r="D6803" s="2">
        <v>614.59</v>
      </c>
      <c r="E6803" s="2">
        <v>0</v>
      </c>
      <c r="F6803" t="s">
        <v>13</v>
      </c>
      <c r="G6803" t="s">
        <v>9</v>
      </c>
    </row>
    <row r="6804" spans="1:7" x14ac:dyDescent="0.35">
      <c r="A6804">
        <v>2698</v>
      </c>
      <c r="B6804" s="1">
        <v>45688</v>
      </c>
      <c r="C6804" t="s">
        <v>12</v>
      </c>
      <c r="D6804" s="2">
        <v>0</v>
      </c>
      <c r="E6804" s="2">
        <v>571.71</v>
      </c>
      <c r="F6804" t="s">
        <v>14</v>
      </c>
      <c r="G6804" t="s">
        <v>15</v>
      </c>
    </row>
    <row r="6805" spans="1:7" x14ac:dyDescent="0.35">
      <c r="A6805">
        <v>2698</v>
      </c>
      <c r="B6805" s="1">
        <v>45688</v>
      </c>
      <c r="C6805" t="s">
        <v>12</v>
      </c>
      <c r="D6805" s="2">
        <v>0</v>
      </c>
      <c r="E6805" s="2">
        <v>42.88</v>
      </c>
      <c r="F6805" t="s">
        <v>16</v>
      </c>
      <c r="G6805" t="s">
        <v>17</v>
      </c>
    </row>
    <row r="6806" spans="1:7" x14ac:dyDescent="0.35">
      <c r="A6806">
        <v>2699</v>
      </c>
      <c r="B6806" s="1">
        <v>45688</v>
      </c>
      <c r="C6806" t="s">
        <v>12</v>
      </c>
      <c r="D6806" s="2">
        <v>108.02</v>
      </c>
      <c r="E6806" s="2">
        <v>0</v>
      </c>
      <c r="F6806" t="s">
        <v>13</v>
      </c>
      <c r="G6806" t="s">
        <v>9</v>
      </c>
    </row>
    <row r="6807" spans="1:7" x14ac:dyDescent="0.35">
      <c r="A6807">
        <v>2699</v>
      </c>
      <c r="B6807" s="1">
        <v>45688</v>
      </c>
      <c r="C6807" t="s">
        <v>12</v>
      </c>
      <c r="D6807" s="2">
        <v>0</v>
      </c>
      <c r="E6807" s="2">
        <v>100.48</v>
      </c>
      <c r="F6807" t="s">
        <v>14</v>
      </c>
      <c r="G6807" t="s">
        <v>15</v>
      </c>
    </row>
    <row r="6808" spans="1:7" x14ac:dyDescent="0.35">
      <c r="A6808">
        <v>2699</v>
      </c>
      <c r="B6808" s="1">
        <v>45688</v>
      </c>
      <c r="C6808" t="s">
        <v>12</v>
      </c>
      <c r="D6808" s="2">
        <v>0</v>
      </c>
      <c r="E6808" s="2">
        <v>7.54</v>
      </c>
      <c r="F6808" t="s">
        <v>16</v>
      </c>
      <c r="G6808" t="s">
        <v>17</v>
      </c>
    </row>
    <row r="6809" spans="1:7" x14ac:dyDescent="0.35">
      <c r="A6809">
        <v>2700</v>
      </c>
      <c r="B6809" s="1">
        <v>45688</v>
      </c>
      <c r="C6809" t="s">
        <v>12</v>
      </c>
      <c r="D6809" s="2">
        <v>1251.04</v>
      </c>
      <c r="E6809" s="2">
        <v>0</v>
      </c>
      <c r="F6809" t="s">
        <v>13</v>
      </c>
      <c r="G6809" t="s">
        <v>9</v>
      </c>
    </row>
    <row r="6810" spans="1:7" x14ac:dyDescent="0.35">
      <c r="A6810">
        <v>2700</v>
      </c>
      <c r="B6810" s="1">
        <v>45688</v>
      </c>
      <c r="C6810" t="s">
        <v>12</v>
      </c>
      <c r="D6810" s="2">
        <v>0</v>
      </c>
      <c r="E6810" s="2">
        <v>1163.76</v>
      </c>
      <c r="F6810" t="s">
        <v>14</v>
      </c>
      <c r="G6810" t="s">
        <v>15</v>
      </c>
    </row>
    <row r="6811" spans="1:7" x14ac:dyDescent="0.35">
      <c r="A6811">
        <v>2700</v>
      </c>
      <c r="B6811" s="1">
        <v>45688</v>
      </c>
      <c r="C6811" t="s">
        <v>12</v>
      </c>
      <c r="D6811" s="2">
        <v>0</v>
      </c>
      <c r="E6811" s="2">
        <v>87.28</v>
      </c>
      <c r="F6811" t="s">
        <v>16</v>
      </c>
      <c r="G6811" t="s">
        <v>17</v>
      </c>
    </row>
    <row r="6812" spans="1:7" x14ac:dyDescent="0.35">
      <c r="A6812">
        <v>2701</v>
      </c>
      <c r="B6812" s="1">
        <v>45688</v>
      </c>
      <c r="C6812" t="s">
        <v>12</v>
      </c>
      <c r="D6812" s="2">
        <v>5799.5</v>
      </c>
      <c r="E6812" s="2">
        <v>0</v>
      </c>
      <c r="F6812" t="s">
        <v>13</v>
      </c>
      <c r="G6812" t="s">
        <v>9</v>
      </c>
    </row>
    <row r="6813" spans="1:7" x14ac:dyDescent="0.35">
      <c r="A6813">
        <v>2701</v>
      </c>
      <c r="B6813" s="1">
        <v>45688</v>
      </c>
      <c r="C6813" t="s">
        <v>12</v>
      </c>
      <c r="D6813" s="2">
        <v>0</v>
      </c>
      <c r="E6813" s="2">
        <v>5394.88</v>
      </c>
      <c r="F6813" t="s">
        <v>14</v>
      </c>
      <c r="G6813" t="s">
        <v>15</v>
      </c>
    </row>
    <row r="6814" spans="1:7" x14ac:dyDescent="0.35">
      <c r="A6814">
        <v>2701</v>
      </c>
      <c r="B6814" s="1">
        <v>45688</v>
      </c>
      <c r="C6814" t="s">
        <v>12</v>
      </c>
      <c r="D6814" s="2">
        <v>0</v>
      </c>
      <c r="E6814" s="2">
        <v>404.62</v>
      </c>
      <c r="F6814" t="s">
        <v>16</v>
      </c>
      <c r="G6814" t="s">
        <v>17</v>
      </c>
    </row>
    <row r="6815" spans="1:7" x14ac:dyDescent="0.35">
      <c r="A6815">
        <v>2702</v>
      </c>
      <c r="B6815" s="1">
        <v>45688</v>
      </c>
      <c r="C6815" t="s">
        <v>24</v>
      </c>
      <c r="D6815" s="2">
        <v>104.34</v>
      </c>
      <c r="E6815" s="2">
        <v>0</v>
      </c>
      <c r="F6815" t="s">
        <v>8</v>
      </c>
      <c r="G6815" t="s">
        <v>9</v>
      </c>
    </row>
    <row r="6816" spans="1:7" x14ac:dyDescent="0.35">
      <c r="A6816">
        <v>2702</v>
      </c>
      <c r="B6816" s="1">
        <v>45688</v>
      </c>
      <c r="C6816" t="s">
        <v>24</v>
      </c>
      <c r="D6816" s="2">
        <v>0</v>
      </c>
      <c r="E6816" s="2">
        <v>104.34</v>
      </c>
      <c r="F6816" t="s">
        <v>13</v>
      </c>
      <c r="G6816" t="s">
        <v>9</v>
      </c>
    </row>
    <row r="6817" spans="1:7" x14ac:dyDescent="0.35">
      <c r="A6817">
        <v>2703</v>
      </c>
      <c r="B6817" s="1">
        <v>45688</v>
      </c>
      <c r="C6817" t="s">
        <v>24</v>
      </c>
      <c r="D6817" s="2">
        <v>1733.92</v>
      </c>
      <c r="E6817" s="2">
        <v>0</v>
      </c>
      <c r="F6817" t="s">
        <v>8</v>
      </c>
      <c r="G6817" t="s">
        <v>9</v>
      </c>
    </row>
    <row r="6818" spans="1:7" x14ac:dyDescent="0.35">
      <c r="A6818">
        <v>2703</v>
      </c>
      <c r="B6818" s="1">
        <v>45688</v>
      </c>
      <c r="C6818" t="s">
        <v>24</v>
      </c>
      <c r="D6818" s="2">
        <v>0</v>
      </c>
      <c r="E6818" s="2">
        <v>1733.92</v>
      </c>
      <c r="F6818" t="s">
        <v>13</v>
      </c>
      <c r="G6818" t="s">
        <v>9</v>
      </c>
    </row>
    <row r="6819" spans="1:7" x14ac:dyDescent="0.35">
      <c r="A6819">
        <v>2704</v>
      </c>
      <c r="B6819" s="1">
        <v>45688</v>
      </c>
      <c r="C6819" t="s">
        <v>24</v>
      </c>
      <c r="D6819" s="2">
        <v>1253.03</v>
      </c>
      <c r="E6819" s="2">
        <v>0</v>
      </c>
      <c r="F6819" t="s">
        <v>8</v>
      </c>
      <c r="G6819" t="s">
        <v>9</v>
      </c>
    </row>
    <row r="6820" spans="1:7" x14ac:dyDescent="0.35">
      <c r="A6820">
        <v>2704</v>
      </c>
      <c r="B6820" s="1">
        <v>45688</v>
      </c>
      <c r="C6820" t="s">
        <v>24</v>
      </c>
      <c r="D6820" s="2">
        <v>0</v>
      </c>
      <c r="E6820" s="2">
        <v>1253.03</v>
      </c>
      <c r="F6820" t="s">
        <v>13</v>
      </c>
      <c r="G6820" t="s">
        <v>9</v>
      </c>
    </row>
    <row r="6821" spans="1:7" x14ac:dyDescent="0.35">
      <c r="A6821">
        <v>2705</v>
      </c>
      <c r="B6821" s="1">
        <v>45688</v>
      </c>
      <c r="C6821" t="s">
        <v>24</v>
      </c>
      <c r="D6821" s="2">
        <v>3929.51</v>
      </c>
      <c r="E6821" s="2">
        <v>0</v>
      </c>
      <c r="F6821" t="s">
        <v>8</v>
      </c>
      <c r="G6821" t="s">
        <v>9</v>
      </c>
    </row>
    <row r="6822" spans="1:7" x14ac:dyDescent="0.35">
      <c r="A6822">
        <v>2705</v>
      </c>
      <c r="B6822" s="1">
        <v>45688</v>
      </c>
      <c r="C6822" t="s">
        <v>24</v>
      </c>
      <c r="D6822" s="2">
        <v>0</v>
      </c>
      <c r="E6822" s="2">
        <v>3929.51</v>
      </c>
      <c r="F6822" t="s">
        <v>13</v>
      </c>
      <c r="G6822" t="s">
        <v>9</v>
      </c>
    </row>
    <row r="6823" spans="1:7" x14ac:dyDescent="0.35">
      <c r="A6823">
        <v>2706</v>
      </c>
      <c r="B6823" s="1">
        <v>45688</v>
      </c>
      <c r="C6823" t="s">
        <v>24</v>
      </c>
      <c r="D6823" s="2">
        <v>2025.4</v>
      </c>
      <c r="E6823" s="2">
        <v>0</v>
      </c>
      <c r="F6823" t="s">
        <v>8</v>
      </c>
      <c r="G6823" t="s">
        <v>9</v>
      </c>
    </row>
    <row r="6824" spans="1:7" x14ac:dyDescent="0.35">
      <c r="A6824">
        <v>2706</v>
      </c>
      <c r="B6824" s="1">
        <v>45688</v>
      </c>
      <c r="C6824" t="s">
        <v>24</v>
      </c>
      <c r="D6824" s="2">
        <v>0</v>
      </c>
      <c r="E6824" s="2">
        <v>2025.4</v>
      </c>
      <c r="F6824" t="s">
        <v>13</v>
      </c>
      <c r="G6824" t="s">
        <v>9</v>
      </c>
    </row>
    <row r="6825" spans="1:7" x14ac:dyDescent="0.35">
      <c r="A6825">
        <v>2707</v>
      </c>
      <c r="B6825" s="1">
        <v>45688</v>
      </c>
      <c r="C6825" t="s">
        <v>25</v>
      </c>
      <c r="D6825" s="2">
        <v>952.02</v>
      </c>
      <c r="E6825" s="2">
        <v>0</v>
      </c>
      <c r="F6825" t="s">
        <v>26</v>
      </c>
      <c r="G6825" t="s">
        <v>20</v>
      </c>
    </row>
    <row r="6826" spans="1:7" x14ac:dyDescent="0.35">
      <c r="A6826">
        <v>2707</v>
      </c>
      <c r="B6826" s="1">
        <v>45688</v>
      </c>
      <c r="C6826" t="s">
        <v>25</v>
      </c>
      <c r="D6826" s="2">
        <v>71.400000000000006</v>
      </c>
      <c r="E6826" s="2">
        <v>0</v>
      </c>
      <c r="F6826" t="s">
        <v>27</v>
      </c>
      <c r="G6826" t="s">
        <v>9</v>
      </c>
    </row>
    <row r="6827" spans="1:7" x14ac:dyDescent="0.35">
      <c r="A6827">
        <v>2707</v>
      </c>
      <c r="B6827" s="1">
        <v>45688</v>
      </c>
      <c r="C6827" t="s">
        <v>25</v>
      </c>
      <c r="D6827" s="2">
        <v>0</v>
      </c>
      <c r="E6827" s="2">
        <v>1023.42</v>
      </c>
      <c r="F6827" t="s">
        <v>28</v>
      </c>
      <c r="G6827" t="s">
        <v>17</v>
      </c>
    </row>
    <row r="6828" spans="1:7" x14ac:dyDescent="0.35">
      <c r="A6828">
        <v>2708</v>
      </c>
      <c r="B6828" s="1">
        <v>45688</v>
      </c>
      <c r="C6828" t="s">
        <v>25</v>
      </c>
      <c r="D6828" s="2">
        <v>2329.52</v>
      </c>
      <c r="E6828" s="2">
        <v>0</v>
      </c>
      <c r="F6828" t="s">
        <v>26</v>
      </c>
      <c r="G6828" t="s">
        <v>20</v>
      </c>
    </row>
    <row r="6829" spans="1:7" x14ac:dyDescent="0.35">
      <c r="A6829">
        <v>2708</v>
      </c>
      <c r="B6829" s="1">
        <v>45688</v>
      </c>
      <c r="C6829" t="s">
        <v>25</v>
      </c>
      <c r="D6829" s="2">
        <v>174.71</v>
      </c>
      <c r="E6829" s="2">
        <v>0</v>
      </c>
      <c r="F6829" t="s">
        <v>27</v>
      </c>
      <c r="G6829" t="s">
        <v>9</v>
      </c>
    </row>
    <row r="6830" spans="1:7" x14ac:dyDescent="0.35">
      <c r="A6830">
        <v>2708</v>
      </c>
      <c r="B6830" s="1">
        <v>45688</v>
      </c>
      <c r="C6830" t="s">
        <v>25</v>
      </c>
      <c r="D6830" s="2">
        <v>0</v>
      </c>
      <c r="E6830" s="2">
        <v>2504.23</v>
      </c>
      <c r="F6830" t="s">
        <v>28</v>
      </c>
      <c r="G6830" t="s">
        <v>17</v>
      </c>
    </row>
    <row r="6831" spans="1:7" x14ac:dyDescent="0.35">
      <c r="A6831">
        <v>2709</v>
      </c>
      <c r="B6831" s="1">
        <v>45688</v>
      </c>
      <c r="C6831" t="s">
        <v>29</v>
      </c>
      <c r="D6831" s="2">
        <v>2635.36</v>
      </c>
      <c r="E6831" s="2">
        <v>0</v>
      </c>
      <c r="F6831" t="s">
        <v>28</v>
      </c>
      <c r="G6831" t="s">
        <v>17</v>
      </c>
    </row>
    <row r="6832" spans="1:7" x14ac:dyDescent="0.35">
      <c r="A6832">
        <v>2709</v>
      </c>
      <c r="B6832" s="1">
        <v>45688</v>
      </c>
      <c r="C6832" t="s">
        <v>29</v>
      </c>
      <c r="D6832" s="2">
        <v>0</v>
      </c>
      <c r="E6832" s="2">
        <v>2635.36</v>
      </c>
      <c r="F6832" t="s">
        <v>8</v>
      </c>
      <c r="G6832" t="s">
        <v>9</v>
      </c>
    </row>
    <row r="6833" spans="1:7" x14ac:dyDescent="0.35">
      <c r="A6833">
        <v>2710</v>
      </c>
      <c r="B6833" s="1">
        <v>45688</v>
      </c>
      <c r="C6833" t="s">
        <v>29</v>
      </c>
      <c r="D6833" s="2">
        <v>1958.74</v>
      </c>
      <c r="E6833" s="2">
        <v>0</v>
      </c>
      <c r="F6833" t="s">
        <v>28</v>
      </c>
      <c r="G6833" t="s">
        <v>17</v>
      </c>
    </row>
    <row r="6834" spans="1:7" x14ac:dyDescent="0.35">
      <c r="A6834">
        <v>2710</v>
      </c>
      <c r="B6834" s="1">
        <v>45688</v>
      </c>
      <c r="C6834" t="s">
        <v>29</v>
      </c>
      <c r="D6834" s="2">
        <v>0</v>
      </c>
      <c r="E6834" s="2">
        <v>1958.74</v>
      </c>
      <c r="F6834" t="s">
        <v>8</v>
      </c>
      <c r="G6834" t="s">
        <v>9</v>
      </c>
    </row>
    <row r="6835" spans="1:7" x14ac:dyDescent="0.35">
      <c r="A6835">
        <v>2711</v>
      </c>
      <c r="B6835" s="1">
        <v>45688</v>
      </c>
      <c r="C6835" t="s">
        <v>30</v>
      </c>
      <c r="D6835" s="2">
        <v>93.61</v>
      </c>
      <c r="E6835" s="2">
        <v>0</v>
      </c>
      <c r="F6835" t="s">
        <v>31</v>
      </c>
      <c r="G6835" t="s">
        <v>20</v>
      </c>
    </row>
    <row r="6836" spans="1:7" x14ac:dyDescent="0.35">
      <c r="A6836">
        <v>2711</v>
      </c>
      <c r="B6836" s="1">
        <v>45688</v>
      </c>
      <c r="C6836" t="s">
        <v>30</v>
      </c>
      <c r="D6836" s="2">
        <v>0</v>
      </c>
      <c r="E6836" s="2">
        <v>93.61</v>
      </c>
      <c r="F6836" t="s">
        <v>32</v>
      </c>
      <c r="G6836" t="s">
        <v>9</v>
      </c>
    </row>
    <row r="6837" spans="1:7" x14ac:dyDescent="0.35">
      <c r="A6837">
        <v>2712</v>
      </c>
      <c r="B6837" s="1">
        <v>45688</v>
      </c>
      <c r="C6837" t="s">
        <v>33</v>
      </c>
      <c r="D6837" s="2">
        <v>76.86</v>
      </c>
      <c r="E6837" s="2">
        <v>0</v>
      </c>
      <c r="F6837" t="s">
        <v>31</v>
      </c>
      <c r="G6837" t="s">
        <v>20</v>
      </c>
    </row>
    <row r="6838" spans="1:7" x14ac:dyDescent="0.35">
      <c r="A6838">
        <v>2712</v>
      </c>
      <c r="B6838" s="1">
        <v>45688</v>
      </c>
      <c r="C6838" t="s">
        <v>33</v>
      </c>
      <c r="D6838" s="2">
        <v>0</v>
      </c>
      <c r="E6838" s="2">
        <v>76.86</v>
      </c>
      <c r="F6838" t="s">
        <v>32</v>
      </c>
      <c r="G6838" t="s">
        <v>9</v>
      </c>
    </row>
    <row r="6839" spans="1:7" x14ac:dyDescent="0.35">
      <c r="A6839">
        <v>2713</v>
      </c>
      <c r="B6839" s="1">
        <v>45688</v>
      </c>
      <c r="C6839" t="s">
        <v>34</v>
      </c>
      <c r="D6839" s="2">
        <v>20.03</v>
      </c>
      <c r="E6839" s="2">
        <v>0</v>
      </c>
      <c r="F6839" t="s">
        <v>31</v>
      </c>
      <c r="G6839" t="s">
        <v>20</v>
      </c>
    </row>
    <row r="6840" spans="1:7" x14ac:dyDescent="0.35">
      <c r="A6840">
        <v>2713</v>
      </c>
      <c r="B6840" s="1">
        <v>45688</v>
      </c>
      <c r="C6840" t="s">
        <v>34</v>
      </c>
      <c r="D6840" s="2">
        <v>0</v>
      </c>
      <c r="E6840" s="2">
        <v>20.03</v>
      </c>
      <c r="F6840" t="s">
        <v>32</v>
      </c>
      <c r="G6840" t="s">
        <v>9</v>
      </c>
    </row>
    <row r="6841" spans="1:7" x14ac:dyDescent="0.35">
      <c r="A6841">
        <v>2714</v>
      </c>
      <c r="B6841" s="1">
        <v>45688</v>
      </c>
      <c r="C6841" t="s">
        <v>35</v>
      </c>
      <c r="D6841" s="2">
        <v>86.89</v>
      </c>
      <c r="E6841" s="2">
        <v>0</v>
      </c>
      <c r="F6841" t="s">
        <v>31</v>
      </c>
      <c r="G6841" t="s">
        <v>20</v>
      </c>
    </row>
    <row r="6842" spans="1:7" x14ac:dyDescent="0.35">
      <c r="A6842">
        <v>2714</v>
      </c>
      <c r="B6842" s="1">
        <v>45688</v>
      </c>
      <c r="C6842" t="s">
        <v>35</v>
      </c>
      <c r="D6842" s="2">
        <v>0</v>
      </c>
      <c r="E6842" s="2">
        <v>86.89</v>
      </c>
      <c r="F6842" t="s">
        <v>36</v>
      </c>
      <c r="G6842" t="s">
        <v>9</v>
      </c>
    </row>
    <row r="6843" spans="1:7" x14ac:dyDescent="0.35">
      <c r="A6843">
        <v>2715</v>
      </c>
      <c r="B6843" s="1">
        <v>45688</v>
      </c>
      <c r="C6843" t="s">
        <v>37</v>
      </c>
      <c r="D6843" s="2">
        <v>76.8</v>
      </c>
      <c r="E6843" s="2">
        <v>0</v>
      </c>
      <c r="F6843" t="s">
        <v>31</v>
      </c>
      <c r="G6843" t="s">
        <v>20</v>
      </c>
    </row>
    <row r="6844" spans="1:7" x14ac:dyDescent="0.35">
      <c r="A6844">
        <v>2715</v>
      </c>
      <c r="B6844" s="1">
        <v>45688</v>
      </c>
      <c r="C6844" t="s">
        <v>37</v>
      </c>
      <c r="D6844" s="2">
        <v>0</v>
      </c>
      <c r="E6844" s="2">
        <v>76.8</v>
      </c>
      <c r="F6844" t="s">
        <v>36</v>
      </c>
      <c r="G6844" t="s">
        <v>9</v>
      </c>
    </row>
    <row r="6845" spans="1:7" x14ac:dyDescent="0.35">
      <c r="A6845">
        <v>2716</v>
      </c>
      <c r="B6845" s="1">
        <v>45688</v>
      </c>
      <c r="C6845" t="s">
        <v>38</v>
      </c>
      <c r="D6845" s="2">
        <v>48.28</v>
      </c>
      <c r="E6845" s="2">
        <v>0</v>
      </c>
      <c r="F6845" t="s">
        <v>31</v>
      </c>
      <c r="G6845" t="s">
        <v>20</v>
      </c>
    </row>
    <row r="6846" spans="1:7" x14ac:dyDescent="0.35">
      <c r="A6846">
        <v>2716</v>
      </c>
      <c r="B6846" s="1">
        <v>45688</v>
      </c>
      <c r="C6846" t="s">
        <v>38</v>
      </c>
      <c r="D6846" s="2">
        <v>0</v>
      </c>
      <c r="E6846" s="2">
        <v>48.28</v>
      </c>
      <c r="F6846" t="s">
        <v>36</v>
      </c>
      <c r="G6846" t="s">
        <v>9</v>
      </c>
    </row>
    <row r="6847" spans="1:7" x14ac:dyDescent="0.35">
      <c r="A6847">
        <v>2717</v>
      </c>
      <c r="B6847" s="1">
        <v>45688</v>
      </c>
      <c r="C6847" t="s">
        <v>39</v>
      </c>
      <c r="D6847" s="2">
        <v>53.21</v>
      </c>
      <c r="E6847" s="2">
        <v>0</v>
      </c>
      <c r="F6847" t="s">
        <v>31</v>
      </c>
      <c r="G6847" t="s">
        <v>20</v>
      </c>
    </row>
    <row r="6848" spans="1:7" x14ac:dyDescent="0.35">
      <c r="A6848">
        <v>2717</v>
      </c>
      <c r="B6848" s="1">
        <v>45688</v>
      </c>
      <c r="C6848" t="s">
        <v>39</v>
      </c>
      <c r="D6848" s="2">
        <v>0</v>
      </c>
      <c r="E6848" s="2">
        <v>53.21</v>
      </c>
      <c r="F6848" t="s">
        <v>36</v>
      </c>
      <c r="G6848" t="s">
        <v>9</v>
      </c>
    </row>
    <row r="6849" spans="1:7" x14ac:dyDescent="0.35">
      <c r="A6849">
        <v>2718</v>
      </c>
      <c r="B6849" s="1">
        <v>45688</v>
      </c>
      <c r="C6849" t="s">
        <v>40</v>
      </c>
      <c r="D6849" s="2">
        <v>232.19</v>
      </c>
      <c r="E6849" s="2">
        <v>0</v>
      </c>
      <c r="F6849" t="s">
        <v>31</v>
      </c>
      <c r="G6849" t="s">
        <v>20</v>
      </c>
    </row>
    <row r="6850" spans="1:7" x14ac:dyDescent="0.35">
      <c r="A6850">
        <v>2718</v>
      </c>
      <c r="B6850" s="1">
        <v>45688</v>
      </c>
      <c r="C6850" t="s">
        <v>40</v>
      </c>
      <c r="D6850" s="2">
        <v>0</v>
      </c>
      <c r="E6850" s="2">
        <v>232.19</v>
      </c>
      <c r="F6850" t="s">
        <v>41</v>
      </c>
      <c r="G6850" t="s">
        <v>9</v>
      </c>
    </row>
    <row r="6851" spans="1:7" x14ac:dyDescent="0.35">
      <c r="A6851">
        <v>2719</v>
      </c>
      <c r="B6851" s="1">
        <v>45688</v>
      </c>
      <c r="C6851" t="s">
        <v>42</v>
      </c>
      <c r="D6851" s="2">
        <v>43.85</v>
      </c>
      <c r="E6851" s="2">
        <v>0</v>
      </c>
      <c r="F6851" t="s">
        <v>31</v>
      </c>
      <c r="G6851" t="s">
        <v>20</v>
      </c>
    </row>
    <row r="6852" spans="1:7" x14ac:dyDescent="0.35">
      <c r="A6852">
        <v>2719</v>
      </c>
      <c r="B6852" s="1">
        <v>45688</v>
      </c>
      <c r="C6852" t="s">
        <v>42</v>
      </c>
      <c r="D6852" s="2">
        <v>0</v>
      </c>
      <c r="E6852" s="2">
        <v>43.85</v>
      </c>
      <c r="F6852" t="s">
        <v>32</v>
      </c>
      <c r="G6852" t="s">
        <v>9</v>
      </c>
    </row>
    <row r="6853" spans="1:7" x14ac:dyDescent="0.35">
      <c r="A6853">
        <v>2720</v>
      </c>
      <c r="B6853" s="1">
        <v>45691</v>
      </c>
      <c r="C6853" t="s">
        <v>12</v>
      </c>
      <c r="D6853" s="2">
        <v>908.37</v>
      </c>
      <c r="E6853" s="2">
        <v>0</v>
      </c>
      <c r="F6853" t="s">
        <v>13</v>
      </c>
      <c r="G6853" t="s">
        <v>9</v>
      </c>
    </row>
    <row r="6854" spans="1:7" x14ac:dyDescent="0.35">
      <c r="A6854">
        <v>2720</v>
      </c>
      <c r="B6854" s="1">
        <v>45691</v>
      </c>
      <c r="C6854" t="s">
        <v>12</v>
      </c>
      <c r="D6854" s="2">
        <v>0</v>
      </c>
      <c r="E6854" s="2">
        <v>844.99</v>
      </c>
      <c r="F6854" t="s">
        <v>14</v>
      </c>
      <c r="G6854" t="s">
        <v>15</v>
      </c>
    </row>
    <row r="6855" spans="1:7" x14ac:dyDescent="0.35">
      <c r="A6855">
        <v>2720</v>
      </c>
      <c r="B6855" s="1">
        <v>45691</v>
      </c>
      <c r="C6855" t="s">
        <v>12</v>
      </c>
      <c r="D6855" s="2">
        <v>0</v>
      </c>
      <c r="E6855" s="2">
        <v>63.38</v>
      </c>
      <c r="F6855" t="s">
        <v>16</v>
      </c>
      <c r="G6855" t="s">
        <v>17</v>
      </c>
    </row>
    <row r="6856" spans="1:7" x14ac:dyDescent="0.35">
      <c r="A6856">
        <v>2721</v>
      </c>
      <c r="B6856" s="1">
        <v>45691</v>
      </c>
      <c r="C6856" t="s">
        <v>12</v>
      </c>
      <c r="D6856" s="2">
        <v>3193.53</v>
      </c>
      <c r="E6856" s="2">
        <v>0</v>
      </c>
      <c r="F6856" t="s">
        <v>13</v>
      </c>
      <c r="G6856" t="s">
        <v>9</v>
      </c>
    </row>
    <row r="6857" spans="1:7" x14ac:dyDescent="0.35">
      <c r="A6857">
        <v>2721</v>
      </c>
      <c r="B6857" s="1">
        <v>45691</v>
      </c>
      <c r="C6857" t="s">
        <v>12</v>
      </c>
      <c r="D6857" s="2">
        <v>0</v>
      </c>
      <c r="E6857" s="2">
        <v>2970.73</v>
      </c>
      <c r="F6857" t="s">
        <v>14</v>
      </c>
      <c r="G6857" t="s">
        <v>15</v>
      </c>
    </row>
    <row r="6858" spans="1:7" x14ac:dyDescent="0.35">
      <c r="A6858">
        <v>2721</v>
      </c>
      <c r="B6858" s="1">
        <v>45691</v>
      </c>
      <c r="C6858" t="s">
        <v>12</v>
      </c>
      <c r="D6858" s="2">
        <v>0</v>
      </c>
      <c r="E6858" s="2">
        <v>222.8</v>
      </c>
      <c r="F6858" t="s">
        <v>16</v>
      </c>
      <c r="G6858" t="s">
        <v>17</v>
      </c>
    </row>
    <row r="6859" spans="1:7" x14ac:dyDescent="0.35">
      <c r="A6859">
        <v>2722</v>
      </c>
      <c r="B6859" s="1">
        <v>45691</v>
      </c>
      <c r="C6859" t="s">
        <v>12</v>
      </c>
      <c r="D6859" s="2">
        <v>1291.6500000000001</v>
      </c>
      <c r="E6859" s="2">
        <v>0</v>
      </c>
      <c r="F6859" t="s">
        <v>13</v>
      </c>
      <c r="G6859" t="s">
        <v>9</v>
      </c>
    </row>
    <row r="6860" spans="1:7" x14ac:dyDescent="0.35">
      <c r="A6860">
        <v>2722</v>
      </c>
      <c r="B6860" s="1">
        <v>45691</v>
      </c>
      <c r="C6860" t="s">
        <v>12</v>
      </c>
      <c r="D6860" s="2">
        <v>0</v>
      </c>
      <c r="E6860" s="2">
        <v>1201.53</v>
      </c>
      <c r="F6860" t="s">
        <v>14</v>
      </c>
      <c r="G6860" t="s">
        <v>15</v>
      </c>
    </row>
    <row r="6861" spans="1:7" x14ac:dyDescent="0.35">
      <c r="A6861">
        <v>2722</v>
      </c>
      <c r="B6861" s="1">
        <v>45691</v>
      </c>
      <c r="C6861" t="s">
        <v>12</v>
      </c>
      <c r="D6861" s="2">
        <v>0</v>
      </c>
      <c r="E6861" s="2">
        <v>90.12</v>
      </c>
      <c r="F6861" t="s">
        <v>16</v>
      </c>
      <c r="G6861" t="s">
        <v>17</v>
      </c>
    </row>
    <row r="6862" spans="1:7" x14ac:dyDescent="0.35">
      <c r="A6862">
        <v>2723</v>
      </c>
      <c r="B6862" s="1">
        <v>45691</v>
      </c>
      <c r="C6862" t="s">
        <v>12</v>
      </c>
      <c r="D6862" s="2">
        <v>106.63</v>
      </c>
      <c r="E6862" s="2">
        <v>0</v>
      </c>
      <c r="F6862" t="s">
        <v>13</v>
      </c>
      <c r="G6862" t="s">
        <v>9</v>
      </c>
    </row>
    <row r="6863" spans="1:7" x14ac:dyDescent="0.35">
      <c r="A6863">
        <v>2723</v>
      </c>
      <c r="B6863" s="1">
        <v>45691</v>
      </c>
      <c r="C6863" t="s">
        <v>12</v>
      </c>
      <c r="D6863" s="2">
        <v>0</v>
      </c>
      <c r="E6863" s="2">
        <v>99.19</v>
      </c>
      <c r="F6863" t="s">
        <v>14</v>
      </c>
      <c r="G6863" t="s">
        <v>15</v>
      </c>
    </row>
    <row r="6864" spans="1:7" x14ac:dyDescent="0.35">
      <c r="A6864">
        <v>2723</v>
      </c>
      <c r="B6864" s="1">
        <v>45691</v>
      </c>
      <c r="C6864" t="s">
        <v>12</v>
      </c>
      <c r="D6864" s="2">
        <v>0</v>
      </c>
      <c r="E6864" s="2">
        <v>7.44</v>
      </c>
      <c r="F6864" t="s">
        <v>16</v>
      </c>
      <c r="G6864" t="s">
        <v>17</v>
      </c>
    </row>
    <row r="6865" spans="1:7" x14ac:dyDescent="0.35">
      <c r="A6865">
        <v>2724</v>
      </c>
      <c r="B6865" s="1">
        <v>45691</v>
      </c>
      <c r="C6865" t="s">
        <v>12</v>
      </c>
      <c r="D6865" s="2">
        <v>216.03</v>
      </c>
      <c r="E6865" s="2">
        <v>0</v>
      </c>
      <c r="F6865" t="s">
        <v>13</v>
      </c>
      <c r="G6865" t="s">
        <v>9</v>
      </c>
    </row>
    <row r="6866" spans="1:7" x14ac:dyDescent="0.35">
      <c r="A6866">
        <v>2724</v>
      </c>
      <c r="B6866" s="1">
        <v>45691</v>
      </c>
      <c r="C6866" t="s">
        <v>12</v>
      </c>
      <c r="D6866" s="2">
        <v>0</v>
      </c>
      <c r="E6866" s="2">
        <v>200.96</v>
      </c>
      <c r="F6866" t="s">
        <v>14</v>
      </c>
      <c r="G6866" t="s">
        <v>15</v>
      </c>
    </row>
    <row r="6867" spans="1:7" x14ac:dyDescent="0.35">
      <c r="A6867">
        <v>2724</v>
      </c>
      <c r="B6867" s="1">
        <v>45691</v>
      </c>
      <c r="C6867" t="s">
        <v>12</v>
      </c>
      <c r="D6867" s="2">
        <v>0</v>
      </c>
      <c r="E6867" s="2">
        <v>15.07</v>
      </c>
      <c r="F6867" t="s">
        <v>16</v>
      </c>
      <c r="G6867" t="s">
        <v>17</v>
      </c>
    </row>
    <row r="6868" spans="1:7" x14ac:dyDescent="0.35">
      <c r="A6868">
        <v>2725</v>
      </c>
      <c r="B6868" s="1">
        <v>45691</v>
      </c>
      <c r="C6868" t="s">
        <v>24</v>
      </c>
      <c r="D6868" s="2">
        <v>76.349999999999994</v>
      </c>
      <c r="E6868" s="2">
        <v>0</v>
      </c>
      <c r="F6868" t="s">
        <v>8</v>
      </c>
      <c r="G6868" t="s">
        <v>9</v>
      </c>
    </row>
    <row r="6869" spans="1:7" x14ac:dyDescent="0.35">
      <c r="A6869">
        <v>2725</v>
      </c>
      <c r="B6869" s="1">
        <v>45691</v>
      </c>
      <c r="C6869" t="s">
        <v>24</v>
      </c>
      <c r="D6869" s="2">
        <v>0</v>
      </c>
      <c r="E6869" s="2">
        <v>76.349999999999994</v>
      </c>
      <c r="F6869" t="s">
        <v>13</v>
      </c>
      <c r="G6869" t="s">
        <v>9</v>
      </c>
    </row>
    <row r="6870" spans="1:7" x14ac:dyDescent="0.35">
      <c r="A6870">
        <v>2726</v>
      </c>
      <c r="B6870" s="1">
        <v>45691</v>
      </c>
      <c r="C6870" t="s">
        <v>24</v>
      </c>
      <c r="D6870" s="2">
        <v>587.76</v>
      </c>
      <c r="E6870" s="2">
        <v>0</v>
      </c>
      <c r="F6870" t="s">
        <v>8</v>
      </c>
      <c r="G6870" t="s">
        <v>9</v>
      </c>
    </row>
    <row r="6871" spans="1:7" x14ac:dyDescent="0.35">
      <c r="A6871">
        <v>2726</v>
      </c>
      <c r="B6871" s="1">
        <v>45691</v>
      </c>
      <c r="C6871" t="s">
        <v>24</v>
      </c>
      <c r="D6871" s="2">
        <v>0</v>
      </c>
      <c r="E6871" s="2">
        <v>587.76</v>
      </c>
      <c r="F6871" t="s">
        <v>13</v>
      </c>
      <c r="G6871" t="s">
        <v>9</v>
      </c>
    </row>
    <row r="6872" spans="1:7" x14ac:dyDescent="0.35">
      <c r="A6872">
        <v>2727</v>
      </c>
      <c r="B6872" s="1">
        <v>45691</v>
      </c>
      <c r="C6872" t="s">
        <v>24</v>
      </c>
      <c r="D6872" s="2">
        <v>480.91</v>
      </c>
      <c r="E6872" s="2">
        <v>0</v>
      </c>
      <c r="F6872" t="s">
        <v>8</v>
      </c>
      <c r="G6872" t="s">
        <v>9</v>
      </c>
    </row>
    <row r="6873" spans="1:7" x14ac:dyDescent="0.35">
      <c r="A6873">
        <v>2727</v>
      </c>
      <c r="B6873" s="1">
        <v>45691</v>
      </c>
      <c r="C6873" t="s">
        <v>24</v>
      </c>
      <c r="D6873" s="2">
        <v>0</v>
      </c>
      <c r="E6873" s="2">
        <v>480.91</v>
      </c>
      <c r="F6873" t="s">
        <v>13</v>
      </c>
      <c r="G6873" t="s">
        <v>9</v>
      </c>
    </row>
    <row r="6874" spans="1:7" x14ac:dyDescent="0.35">
      <c r="A6874">
        <v>2728</v>
      </c>
      <c r="B6874" s="1">
        <v>45691</v>
      </c>
      <c r="C6874" t="s">
        <v>24</v>
      </c>
      <c r="D6874" s="2">
        <v>43.47</v>
      </c>
      <c r="E6874" s="2">
        <v>0</v>
      </c>
      <c r="F6874" t="s">
        <v>8</v>
      </c>
      <c r="G6874" t="s">
        <v>9</v>
      </c>
    </row>
    <row r="6875" spans="1:7" x14ac:dyDescent="0.35">
      <c r="A6875">
        <v>2728</v>
      </c>
      <c r="B6875" s="1">
        <v>45691</v>
      </c>
      <c r="C6875" t="s">
        <v>24</v>
      </c>
      <c r="D6875" s="2">
        <v>0</v>
      </c>
      <c r="E6875" s="2">
        <v>43.47</v>
      </c>
      <c r="F6875" t="s">
        <v>13</v>
      </c>
      <c r="G6875" t="s">
        <v>9</v>
      </c>
    </row>
    <row r="6876" spans="1:7" x14ac:dyDescent="0.35">
      <c r="A6876">
        <v>2729</v>
      </c>
      <c r="B6876" s="1">
        <v>45691</v>
      </c>
      <c r="C6876" t="s">
        <v>24</v>
      </c>
      <c r="D6876" s="2">
        <v>1231.3599999999999</v>
      </c>
      <c r="E6876" s="2">
        <v>0</v>
      </c>
      <c r="F6876" t="s">
        <v>8</v>
      </c>
      <c r="G6876" t="s">
        <v>9</v>
      </c>
    </row>
    <row r="6877" spans="1:7" x14ac:dyDescent="0.35">
      <c r="A6877">
        <v>2729</v>
      </c>
      <c r="B6877" s="1">
        <v>45691</v>
      </c>
      <c r="C6877" t="s">
        <v>24</v>
      </c>
      <c r="D6877" s="2">
        <v>0</v>
      </c>
      <c r="E6877" s="2">
        <v>1231.3599999999999</v>
      </c>
      <c r="F6877" t="s">
        <v>13</v>
      </c>
      <c r="G6877" t="s">
        <v>9</v>
      </c>
    </row>
    <row r="6878" spans="1:7" x14ac:dyDescent="0.35">
      <c r="A6878">
        <v>2730</v>
      </c>
      <c r="B6878" s="1">
        <v>45691</v>
      </c>
      <c r="C6878" t="s">
        <v>24</v>
      </c>
      <c r="D6878" s="2">
        <v>108.02</v>
      </c>
      <c r="E6878" s="2">
        <v>0</v>
      </c>
      <c r="F6878" t="s">
        <v>8</v>
      </c>
      <c r="G6878" t="s">
        <v>9</v>
      </c>
    </row>
    <row r="6879" spans="1:7" x14ac:dyDescent="0.35">
      <c r="A6879">
        <v>2730</v>
      </c>
      <c r="B6879" s="1">
        <v>45691</v>
      </c>
      <c r="C6879" t="s">
        <v>24</v>
      </c>
      <c r="D6879" s="2">
        <v>0</v>
      </c>
      <c r="E6879" s="2">
        <v>108.02</v>
      </c>
      <c r="F6879" t="s">
        <v>13</v>
      </c>
      <c r="G6879" t="s">
        <v>9</v>
      </c>
    </row>
    <row r="6880" spans="1:7" x14ac:dyDescent="0.35">
      <c r="A6880">
        <v>2731</v>
      </c>
      <c r="B6880" s="1">
        <v>45691</v>
      </c>
      <c r="C6880" t="s">
        <v>25</v>
      </c>
      <c r="D6880" s="2">
        <v>4476.71</v>
      </c>
      <c r="E6880" s="2">
        <v>0</v>
      </c>
      <c r="F6880" t="s">
        <v>26</v>
      </c>
      <c r="G6880" t="s">
        <v>20</v>
      </c>
    </row>
    <row r="6881" spans="1:7" x14ac:dyDescent="0.35">
      <c r="A6881">
        <v>2731</v>
      </c>
      <c r="B6881" s="1">
        <v>45691</v>
      </c>
      <c r="C6881" t="s">
        <v>25</v>
      </c>
      <c r="D6881" s="2">
        <v>335.75</v>
      </c>
      <c r="E6881" s="2">
        <v>0</v>
      </c>
      <c r="F6881" t="s">
        <v>27</v>
      </c>
      <c r="G6881" t="s">
        <v>9</v>
      </c>
    </row>
    <row r="6882" spans="1:7" x14ac:dyDescent="0.35">
      <c r="A6882">
        <v>2731</v>
      </c>
      <c r="B6882" s="1">
        <v>45691</v>
      </c>
      <c r="C6882" t="s">
        <v>25</v>
      </c>
      <c r="D6882" s="2">
        <v>0</v>
      </c>
      <c r="E6882" s="2">
        <v>4812.46</v>
      </c>
      <c r="F6882" t="s">
        <v>28</v>
      </c>
      <c r="G6882" t="s">
        <v>17</v>
      </c>
    </row>
    <row r="6883" spans="1:7" x14ac:dyDescent="0.35">
      <c r="A6883">
        <v>2732</v>
      </c>
      <c r="B6883" s="1">
        <v>45691</v>
      </c>
      <c r="C6883" t="s">
        <v>25</v>
      </c>
      <c r="D6883" s="2">
        <v>1643.22</v>
      </c>
      <c r="E6883" s="2">
        <v>0</v>
      </c>
      <c r="F6883" t="s">
        <v>26</v>
      </c>
      <c r="G6883" t="s">
        <v>20</v>
      </c>
    </row>
    <row r="6884" spans="1:7" x14ac:dyDescent="0.35">
      <c r="A6884">
        <v>2732</v>
      </c>
      <c r="B6884" s="1">
        <v>45691</v>
      </c>
      <c r="C6884" t="s">
        <v>25</v>
      </c>
      <c r="D6884" s="2">
        <v>123.24</v>
      </c>
      <c r="E6884" s="2">
        <v>0</v>
      </c>
      <c r="F6884" t="s">
        <v>27</v>
      </c>
      <c r="G6884" t="s">
        <v>9</v>
      </c>
    </row>
    <row r="6885" spans="1:7" x14ac:dyDescent="0.35">
      <c r="A6885">
        <v>2732</v>
      </c>
      <c r="B6885" s="1">
        <v>45691</v>
      </c>
      <c r="C6885" t="s">
        <v>25</v>
      </c>
      <c r="D6885" s="2">
        <v>0</v>
      </c>
      <c r="E6885" s="2">
        <v>1766.46</v>
      </c>
      <c r="F6885" t="s">
        <v>28</v>
      </c>
      <c r="G6885" t="s">
        <v>17</v>
      </c>
    </row>
    <row r="6886" spans="1:7" x14ac:dyDescent="0.35">
      <c r="A6886">
        <v>2733</v>
      </c>
      <c r="B6886" s="1">
        <v>45691</v>
      </c>
      <c r="C6886" t="s">
        <v>25</v>
      </c>
      <c r="D6886" s="2">
        <v>6723.2</v>
      </c>
      <c r="E6886" s="2">
        <v>0</v>
      </c>
      <c r="F6886" t="s">
        <v>26</v>
      </c>
      <c r="G6886" t="s">
        <v>20</v>
      </c>
    </row>
    <row r="6887" spans="1:7" x14ac:dyDescent="0.35">
      <c r="A6887">
        <v>2733</v>
      </c>
      <c r="B6887" s="1">
        <v>45691</v>
      </c>
      <c r="C6887" t="s">
        <v>25</v>
      </c>
      <c r="D6887" s="2">
        <v>504.24</v>
      </c>
      <c r="E6887" s="2">
        <v>0</v>
      </c>
      <c r="F6887" t="s">
        <v>27</v>
      </c>
      <c r="G6887" t="s">
        <v>9</v>
      </c>
    </row>
    <row r="6888" spans="1:7" x14ac:dyDescent="0.35">
      <c r="A6888">
        <v>2733</v>
      </c>
      <c r="B6888" s="1">
        <v>45691</v>
      </c>
      <c r="C6888" t="s">
        <v>25</v>
      </c>
      <c r="D6888" s="2">
        <v>0</v>
      </c>
      <c r="E6888" s="2">
        <v>7227.44</v>
      </c>
      <c r="F6888" t="s">
        <v>28</v>
      </c>
      <c r="G6888" t="s">
        <v>17</v>
      </c>
    </row>
    <row r="6889" spans="1:7" x14ac:dyDescent="0.35">
      <c r="A6889">
        <v>2734</v>
      </c>
      <c r="B6889" s="1">
        <v>45691</v>
      </c>
      <c r="C6889" t="s">
        <v>25</v>
      </c>
      <c r="D6889" s="2">
        <v>512</v>
      </c>
      <c r="E6889" s="2">
        <v>0</v>
      </c>
      <c r="F6889" t="s">
        <v>26</v>
      </c>
      <c r="G6889" t="s">
        <v>20</v>
      </c>
    </row>
    <row r="6890" spans="1:7" x14ac:dyDescent="0.35">
      <c r="A6890">
        <v>2734</v>
      </c>
      <c r="B6890" s="1">
        <v>45691</v>
      </c>
      <c r="C6890" t="s">
        <v>25</v>
      </c>
      <c r="D6890" s="2">
        <v>38.4</v>
      </c>
      <c r="E6890" s="2">
        <v>0</v>
      </c>
      <c r="F6890" t="s">
        <v>27</v>
      </c>
      <c r="G6890" t="s">
        <v>9</v>
      </c>
    </row>
    <row r="6891" spans="1:7" x14ac:dyDescent="0.35">
      <c r="A6891">
        <v>2734</v>
      </c>
      <c r="B6891" s="1">
        <v>45691</v>
      </c>
      <c r="C6891" t="s">
        <v>25</v>
      </c>
      <c r="D6891" s="2">
        <v>0</v>
      </c>
      <c r="E6891" s="2">
        <v>550.4</v>
      </c>
      <c r="F6891" t="s">
        <v>28</v>
      </c>
      <c r="G6891" t="s">
        <v>17</v>
      </c>
    </row>
    <row r="6892" spans="1:7" x14ac:dyDescent="0.35">
      <c r="A6892">
        <v>2735</v>
      </c>
      <c r="B6892" s="1">
        <v>45691</v>
      </c>
      <c r="C6892" t="s">
        <v>25</v>
      </c>
      <c r="D6892" s="2">
        <v>2451.5</v>
      </c>
      <c r="E6892" s="2">
        <v>0</v>
      </c>
      <c r="F6892" t="s">
        <v>26</v>
      </c>
      <c r="G6892" t="s">
        <v>20</v>
      </c>
    </row>
    <row r="6893" spans="1:7" x14ac:dyDescent="0.35">
      <c r="A6893">
        <v>2735</v>
      </c>
      <c r="B6893" s="1">
        <v>45691</v>
      </c>
      <c r="C6893" t="s">
        <v>25</v>
      </c>
      <c r="D6893" s="2">
        <v>183.86</v>
      </c>
      <c r="E6893" s="2">
        <v>0</v>
      </c>
      <c r="F6893" t="s">
        <v>27</v>
      </c>
      <c r="G6893" t="s">
        <v>9</v>
      </c>
    </row>
    <row r="6894" spans="1:7" x14ac:dyDescent="0.35">
      <c r="A6894">
        <v>2735</v>
      </c>
      <c r="B6894" s="1">
        <v>45691</v>
      </c>
      <c r="C6894" t="s">
        <v>25</v>
      </c>
      <c r="D6894" s="2">
        <v>0</v>
      </c>
      <c r="E6894" s="2">
        <v>2635.36</v>
      </c>
      <c r="F6894" t="s">
        <v>28</v>
      </c>
      <c r="G6894" t="s">
        <v>17</v>
      </c>
    </row>
    <row r="6895" spans="1:7" x14ac:dyDescent="0.35">
      <c r="A6895">
        <v>2736</v>
      </c>
      <c r="B6895" s="1">
        <v>45691</v>
      </c>
      <c r="C6895" t="s">
        <v>29</v>
      </c>
      <c r="D6895" s="2">
        <v>2504.23</v>
      </c>
      <c r="E6895" s="2">
        <v>0</v>
      </c>
      <c r="F6895" t="s">
        <v>28</v>
      </c>
      <c r="G6895" t="s">
        <v>17</v>
      </c>
    </row>
    <row r="6896" spans="1:7" x14ac:dyDescent="0.35">
      <c r="A6896">
        <v>2736</v>
      </c>
      <c r="B6896" s="1">
        <v>45691</v>
      </c>
      <c r="C6896" t="s">
        <v>29</v>
      </c>
      <c r="D6896" s="2">
        <v>0</v>
      </c>
      <c r="E6896" s="2">
        <v>2504.23</v>
      </c>
      <c r="F6896" t="s">
        <v>8</v>
      </c>
      <c r="G6896" t="s">
        <v>9</v>
      </c>
    </row>
    <row r="6897" spans="1:7" x14ac:dyDescent="0.35">
      <c r="A6897">
        <v>2737</v>
      </c>
      <c r="B6897" s="1">
        <v>45691</v>
      </c>
      <c r="C6897" t="s">
        <v>29</v>
      </c>
      <c r="D6897" s="2">
        <v>7227.44</v>
      </c>
      <c r="E6897" s="2">
        <v>0</v>
      </c>
      <c r="F6897" t="s">
        <v>28</v>
      </c>
      <c r="G6897" t="s">
        <v>17</v>
      </c>
    </row>
    <row r="6898" spans="1:7" x14ac:dyDescent="0.35">
      <c r="A6898">
        <v>2737</v>
      </c>
      <c r="B6898" s="1">
        <v>45691</v>
      </c>
      <c r="C6898" t="s">
        <v>29</v>
      </c>
      <c r="D6898" s="2">
        <v>0</v>
      </c>
      <c r="E6898" s="2">
        <v>7227.44</v>
      </c>
      <c r="F6898" t="s">
        <v>8</v>
      </c>
      <c r="G6898" t="s">
        <v>9</v>
      </c>
    </row>
    <row r="6899" spans="1:7" x14ac:dyDescent="0.35">
      <c r="A6899">
        <v>2738</v>
      </c>
      <c r="B6899" s="1">
        <v>45691</v>
      </c>
      <c r="C6899" t="s">
        <v>29</v>
      </c>
      <c r="D6899" s="2">
        <v>862.91</v>
      </c>
      <c r="E6899" s="2">
        <v>0</v>
      </c>
      <c r="F6899" t="s">
        <v>28</v>
      </c>
      <c r="G6899" t="s">
        <v>17</v>
      </c>
    </row>
    <row r="6900" spans="1:7" x14ac:dyDescent="0.35">
      <c r="A6900">
        <v>2738</v>
      </c>
      <c r="B6900" s="1">
        <v>45691</v>
      </c>
      <c r="C6900" t="s">
        <v>29</v>
      </c>
      <c r="D6900" s="2">
        <v>0</v>
      </c>
      <c r="E6900" s="2">
        <v>862.91</v>
      </c>
      <c r="F6900" t="s">
        <v>8</v>
      </c>
      <c r="G6900" t="s">
        <v>9</v>
      </c>
    </row>
    <row r="6901" spans="1:7" x14ac:dyDescent="0.35">
      <c r="A6901">
        <v>2739</v>
      </c>
      <c r="B6901" s="1">
        <v>45692</v>
      </c>
      <c r="C6901" t="s">
        <v>12</v>
      </c>
      <c r="D6901" s="2">
        <v>910.42</v>
      </c>
      <c r="E6901" s="2">
        <v>0</v>
      </c>
      <c r="F6901" t="s">
        <v>13</v>
      </c>
      <c r="G6901" t="s">
        <v>9</v>
      </c>
    </row>
    <row r="6902" spans="1:7" x14ac:dyDescent="0.35">
      <c r="A6902">
        <v>2739</v>
      </c>
      <c r="B6902" s="1">
        <v>45692</v>
      </c>
      <c r="C6902" t="s">
        <v>12</v>
      </c>
      <c r="D6902" s="2">
        <v>0</v>
      </c>
      <c r="E6902" s="2">
        <v>846.89</v>
      </c>
      <c r="F6902" t="s">
        <v>14</v>
      </c>
      <c r="G6902" t="s">
        <v>15</v>
      </c>
    </row>
    <row r="6903" spans="1:7" x14ac:dyDescent="0.35">
      <c r="A6903">
        <v>2739</v>
      </c>
      <c r="B6903" s="1">
        <v>45692</v>
      </c>
      <c r="C6903" t="s">
        <v>12</v>
      </c>
      <c r="D6903" s="2">
        <v>0</v>
      </c>
      <c r="E6903" s="2">
        <v>63.53</v>
      </c>
      <c r="F6903" t="s">
        <v>16</v>
      </c>
      <c r="G6903" t="s">
        <v>17</v>
      </c>
    </row>
    <row r="6904" spans="1:7" x14ac:dyDescent="0.35">
      <c r="A6904">
        <v>2740</v>
      </c>
      <c r="B6904" s="1">
        <v>45692</v>
      </c>
      <c r="C6904" t="s">
        <v>12</v>
      </c>
      <c r="D6904" s="2">
        <v>3243.16</v>
      </c>
      <c r="E6904" s="2">
        <v>0</v>
      </c>
      <c r="F6904" t="s">
        <v>13</v>
      </c>
      <c r="G6904" t="s">
        <v>9</v>
      </c>
    </row>
    <row r="6905" spans="1:7" x14ac:dyDescent="0.35">
      <c r="A6905">
        <v>2740</v>
      </c>
      <c r="B6905" s="1">
        <v>45692</v>
      </c>
      <c r="C6905" t="s">
        <v>12</v>
      </c>
      <c r="D6905" s="2">
        <v>0</v>
      </c>
      <c r="E6905" s="2">
        <v>3016.89</v>
      </c>
      <c r="F6905" t="s">
        <v>14</v>
      </c>
      <c r="G6905" t="s">
        <v>15</v>
      </c>
    </row>
    <row r="6906" spans="1:7" x14ac:dyDescent="0.35">
      <c r="A6906">
        <v>2740</v>
      </c>
      <c r="B6906" s="1">
        <v>45692</v>
      </c>
      <c r="C6906" t="s">
        <v>12</v>
      </c>
      <c r="D6906" s="2">
        <v>0</v>
      </c>
      <c r="E6906" s="2">
        <v>226.27</v>
      </c>
      <c r="F6906" t="s">
        <v>16</v>
      </c>
      <c r="G6906" t="s">
        <v>17</v>
      </c>
    </row>
    <row r="6907" spans="1:7" x14ac:dyDescent="0.35">
      <c r="A6907">
        <v>2741</v>
      </c>
      <c r="B6907" s="1">
        <v>45692</v>
      </c>
      <c r="C6907" t="s">
        <v>24</v>
      </c>
      <c r="D6907" s="2">
        <v>2913.26</v>
      </c>
      <c r="E6907" s="2">
        <v>0</v>
      </c>
      <c r="F6907" t="s">
        <v>8</v>
      </c>
      <c r="G6907" t="s">
        <v>9</v>
      </c>
    </row>
    <row r="6908" spans="1:7" x14ac:dyDescent="0.35">
      <c r="A6908">
        <v>2741</v>
      </c>
      <c r="B6908" s="1">
        <v>45692</v>
      </c>
      <c r="C6908" t="s">
        <v>24</v>
      </c>
      <c r="D6908" s="2">
        <v>0</v>
      </c>
      <c r="E6908" s="2">
        <v>2913.26</v>
      </c>
      <c r="F6908" t="s">
        <v>13</v>
      </c>
      <c r="G6908" t="s">
        <v>9</v>
      </c>
    </row>
    <row r="6909" spans="1:7" x14ac:dyDescent="0.35">
      <c r="A6909">
        <v>2742</v>
      </c>
      <c r="B6909" s="1">
        <v>45692</v>
      </c>
      <c r="C6909" t="s">
        <v>24</v>
      </c>
      <c r="D6909" s="2">
        <v>1832.5</v>
      </c>
      <c r="E6909" s="2">
        <v>0</v>
      </c>
      <c r="F6909" t="s">
        <v>8</v>
      </c>
      <c r="G6909" t="s">
        <v>9</v>
      </c>
    </row>
    <row r="6910" spans="1:7" x14ac:dyDescent="0.35">
      <c r="A6910">
        <v>2742</v>
      </c>
      <c r="B6910" s="1">
        <v>45692</v>
      </c>
      <c r="C6910" t="s">
        <v>24</v>
      </c>
      <c r="D6910" s="2">
        <v>0</v>
      </c>
      <c r="E6910" s="2">
        <v>1832.5</v>
      </c>
      <c r="F6910" t="s">
        <v>13</v>
      </c>
      <c r="G6910" t="s">
        <v>9</v>
      </c>
    </row>
    <row r="6911" spans="1:7" x14ac:dyDescent="0.35">
      <c r="A6911">
        <v>2743</v>
      </c>
      <c r="B6911" s="1">
        <v>45692</v>
      </c>
      <c r="C6911" t="s">
        <v>24</v>
      </c>
      <c r="D6911" s="2">
        <v>1289.22</v>
      </c>
      <c r="E6911" s="2">
        <v>0</v>
      </c>
      <c r="F6911" t="s">
        <v>8</v>
      </c>
      <c r="G6911" t="s">
        <v>9</v>
      </c>
    </row>
    <row r="6912" spans="1:7" x14ac:dyDescent="0.35">
      <c r="A6912">
        <v>2743</v>
      </c>
      <c r="B6912" s="1">
        <v>45692</v>
      </c>
      <c r="C6912" t="s">
        <v>24</v>
      </c>
      <c r="D6912" s="2">
        <v>0</v>
      </c>
      <c r="E6912" s="2">
        <v>1289.22</v>
      </c>
      <c r="F6912" t="s">
        <v>13</v>
      </c>
      <c r="G6912" t="s">
        <v>9</v>
      </c>
    </row>
    <row r="6913" spans="1:7" x14ac:dyDescent="0.35">
      <c r="A6913">
        <v>2744</v>
      </c>
      <c r="B6913" s="1">
        <v>45692</v>
      </c>
      <c r="C6913" t="s">
        <v>24</v>
      </c>
      <c r="D6913" s="2">
        <v>1878.58</v>
      </c>
      <c r="E6913" s="2">
        <v>0</v>
      </c>
      <c r="F6913" t="s">
        <v>8</v>
      </c>
      <c r="G6913" t="s">
        <v>9</v>
      </c>
    </row>
    <row r="6914" spans="1:7" x14ac:dyDescent="0.35">
      <c r="A6914">
        <v>2744</v>
      </c>
      <c r="B6914" s="1">
        <v>45692</v>
      </c>
      <c r="C6914" t="s">
        <v>24</v>
      </c>
      <c r="D6914" s="2">
        <v>0</v>
      </c>
      <c r="E6914" s="2">
        <v>1878.58</v>
      </c>
      <c r="F6914" t="s">
        <v>13</v>
      </c>
      <c r="G6914" t="s">
        <v>9</v>
      </c>
    </row>
    <row r="6915" spans="1:7" x14ac:dyDescent="0.35">
      <c r="A6915">
        <v>2745</v>
      </c>
      <c r="B6915" s="1">
        <v>45692</v>
      </c>
      <c r="C6915" t="s">
        <v>24</v>
      </c>
      <c r="D6915" s="2">
        <v>148.52000000000001</v>
      </c>
      <c r="E6915" s="2">
        <v>0</v>
      </c>
      <c r="F6915" t="s">
        <v>8</v>
      </c>
      <c r="G6915" t="s">
        <v>9</v>
      </c>
    </row>
    <row r="6916" spans="1:7" x14ac:dyDescent="0.35">
      <c r="A6916">
        <v>2745</v>
      </c>
      <c r="B6916" s="1">
        <v>45692</v>
      </c>
      <c r="C6916" t="s">
        <v>24</v>
      </c>
      <c r="D6916" s="2">
        <v>0</v>
      </c>
      <c r="E6916" s="2">
        <v>148.52000000000001</v>
      </c>
      <c r="F6916" t="s">
        <v>13</v>
      </c>
      <c r="G6916" t="s">
        <v>9</v>
      </c>
    </row>
    <row r="6917" spans="1:7" x14ac:dyDescent="0.35">
      <c r="A6917">
        <v>2746</v>
      </c>
      <c r="B6917" s="1">
        <v>45692</v>
      </c>
      <c r="C6917" t="s">
        <v>25</v>
      </c>
      <c r="D6917" s="2">
        <v>1668.94</v>
      </c>
      <c r="E6917" s="2">
        <v>0</v>
      </c>
      <c r="F6917" t="s">
        <v>26</v>
      </c>
      <c r="G6917" t="s">
        <v>20</v>
      </c>
    </row>
    <row r="6918" spans="1:7" x14ac:dyDescent="0.35">
      <c r="A6918">
        <v>2746</v>
      </c>
      <c r="B6918" s="1">
        <v>45692</v>
      </c>
      <c r="C6918" t="s">
        <v>25</v>
      </c>
      <c r="D6918" s="2">
        <v>125.17</v>
      </c>
      <c r="E6918" s="2">
        <v>0</v>
      </c>
      <c r="F6918" t="s">
        <v>27</v>
      </c>
      <c r="G6918" t="s">
        <v>9</v>
      </c>
    </row>
    <row r="6919" spans="1:7" x14ac:dyDescent="0.35">
      <c r="A6919">
        <v>2746</v>
      </c>
      <c r="B6919" s="1">
        <v>45692</v>
      </c>
      <c r="C6919" t="s">
        <v>25</v>
      </c>
      <c r="D6919" s="2">
        <v>0</v>
      </c>
      <c r="E6919" s="2">
        <v>1794.11</v>
      </c>
      <c r="F6919" t="s">
        <v>28</v>
      </c>
      <c r="G6919" t="s">
        <v>17</v>
      </c>
    </row>
    <row r="6920" spans="1:7" x14ac:dyDescent="0.35">
      <c r="A6920">
        <v>2747</v>
      </c>
      <c r="B6920" s="1">
        <v>45692</v>
      </c>
      <c r="C6920" t="s">
        <v>29</v>
      </c>
      <c r="D6920" s="2">
        <v>276.32</v>
      </c>
      <c r="E6920" s="2">
        <v>0</v>
      </c>
      <c r="F6920" t="s">
        <v>28</v>
      </c>
      <c r="G6920" t="s">
        <v>17</v>
      </c>
    </row>
    <row r="6921" spans="1:7" x14ac:dyDescent="0.35">
      <c r="A6921">
        <v>2747</v>
      </c>
      <c r="B6921" s="1">
        <v>45692</v>
      </c>
      <c r="C6921" t="s">
        <v>29</v>
      </c>
      <c r="D6921" s="2">
        <v>0</v>
      </c>
      <c r="E6921" s="2">
        <v>276.32</v>
      </c>
      <c r="F6921" t="s">
        <v>8</v>
      </c>
      <c r="G6921" t="s">
        <v>9</v>
      </c>
    </row>
    <row r="6922" spans="1:7" x14ac:dyDescent="0.35">
      <c r="A6922">
        <v>2748</v>
      </c>
      <c r="B6922" s="1">
        <v>45693</v>
      </c>
      <c r="C6922" t="s">
        <v>12</v>
      </c>
      <c r="D6922" s="2">
        <v>1307.42</v>
      </c>
      <c r="E6922" s="2">
        <v>0</v>
      </c>
      <c r="F6922" t="s">
        <v>13</v>
      </c>
      <c r="G6922" t="s">
        <v>9</v>
      </c>
    </row>
    <row r="6923" spans="1:7" x14ac:dyDescent="0.35">
      <c r="A6923">
        <v>2748</v>
      </c>
      <c r="B6923" s="1">
        <v>45693</v>
      </c>
      <c r="C6923" t="s">
        <v>12</v>
      </c>
      <c r="D6923" s="2">
        <v>0</v>
      </c>
      <c r="E6923" s="2">
        <v>1216.21</v>
      </c>
      <c r="F6923" t="s">
        <v>14</v>
      </c>
      <c r="G6923" t="s">
        <v>15</v>
      </c>
    </row>
    <row r="6924" spans="1:7" x14ac:dyDescent="0.35">
      <c r="A6924">
        <v>2748</v>
      </c>
      <c r="B6924" s="1">
        <v>45693</v>
      </c>
      <c r="C6924" t="s">
        <v>12</v>
      </c>
      <c r="D6924" s="2">
        <v>0</v>
      </c>
      <c r="E6924" s="2">
        <v>91.21</v>
      </c>
      <c r="F6924" t="s">
        <v>16</v>
      </c>
      <c r="G6924" t="s">
        <v>17</v>
      </c>
    </row>
    <row r="6925" spans="1:7" x14ac:dyDescent="0.35">
      <c r="A6925">
        <v>2749</v>
      </c>
      <c r="B6925" s="1">
        <v>45693</v>
      </c>
      <c r="C6925" t="s">
        <v>12</v>
      </c>
      <c r="D6925" s="2">
        <v>93.27</v>
      </c>
      <c r="E6925" s="2">
        <v>0</v>
      </c>
      <c r="F6925" t="s">
        <v>13</v>
      </c>
      <c r="G6925" t="s">
        <v>9</v>
      </c>
    </row>
    <row r="6926" spans="1:7" x14ac:dyDescent="0.35">
      <c r="A6926">
        <v>2749</v>
      </c>
      <c r="B6926" s="1">
        <v>45693</v>
      </c>
      <c r="C6926" t="s">
        <v>12</v>
      </c>
      <c r="D6926" s="2">
        <v>0</v>
      </c>
      <c r="E6926" s="2">
        <v>86.76</v>
      </c>
      <c r="F6926" t="s">
        <v>14</v>
      </c>
      <c r="G6926" t="s">
        <v>15</v>
      </c>
    </row>
    <row r="6927" spans="1:7" x14ac:dyDescent="0.35">
      <c r="A6927">
        <v>2749</v>
      </c>
      <c r="B6927" s="1">
        <v>45693</v>
      </c>
      <c r="C6927" t="s">
        <v>12</v>
      </c>
      <c r="D6927" s="2">
        <v>0</v>
      </c>
      <c r="E6927" s="2">
        <v>6.51</v>
      </c>
      <c r="F6927" t="s">
        <v>16</v>
      </c>
      <c r="G6927" t="s">
        <v>17</v>
      </c>
    </row>
    <row r="6928" spans="1:7" x14ac:dyDescent="0.35">
      <c r="A6928">
        <v>2750</v>
      </c>
      <c r="B6928" s="1">
        <v>45693</v>
      </c>
      <c r="C6928" t="s">
        <v>12</v>
      </c>
      <c r="D6928" s="2">
        <v>2982.84</v>
      </c>
      <c r="E6928" s="2">
        <v>0</v>
      </c>
      <c r="F6928" t="s">
        <v>13</v>
      </c>
      <c r="G6928" t="s">
        <v>9</v>
      </c>
    </row>
    <row r="6929" spans="1:7" x14ac:dyDescent="0.35">
      <c r="A6929">
        <v>2750</v>
      </c>
      <c r="B6929" s="1">
        <v>45693</v>
      </c>
      <c r="C6929" t="s">
        <v>12</v>
      </c>
      <c r="D6929" s="2">
        <v>0</v>
      </c>
      <c r="E6929" s="2">
        <v>2774.73</v>
      </c>
      <c r="F6929" t="s">
        <v>14</v>
      </c>
      <c r="G6929" t="s">
        <v>15</v>
      </c>
    </row>
    <row r="6930" spans="1:7" x14ac:dyDescent="0.35">
      <c r="A6930">
        <v>2750</v>
      </c>
      <c r="B6930" s="1">
        <v>45693</v>
      </c>
      <c r="C6930" t="s">
        <v>12</v>
      </c>
      <c r="D6930" s="2">
        <v>0</v>
      </c>
      <c r="E6930" s="2">
        <v>208.11</v>
      </c>
      <c r="F6930" t="s">
        <v>16</v>
      </c>
      <c r="G6930" t="s">
        <v>17</v>
      </c>
    </row>
    <row r="6931" spans="1:7" x14ac:dyDescent="0.35">
      <c r="A6931">
        <v>2751</v>
      </c>
      <c r="B6931" s="1">
        <v>45693</v>
      </c>
      <c r="C6931" t="s">
        <v>24</v>
      </c>
      <c r="D6931" s="2">
        <v>2913.78</v>
      </c>
      <c r="E6931" s="2">
        <v>0</v>
      </c>
      <c r="F6931" t="s">
        <v>8</v>
      </c>
      <c r="G6931" t="s">
        <v>9</v>
      </c>
    </row>
    <row r="6932" spans="1:7" x14ac:dyDescent="0.35">
      <c r="A6932">
        <v>2751</v>
      </c>
      <c r="B6932" s="1">
        <v>45693</v>
      </c>
      <c r="C6932" t="s">
        <v>24</v>
      </c>
      <c r="D6932" s="2">
        <v>0</v>
      </c>
      <c r="E6932" s="2">
        <v>2913.78</v>
      </c>
      <c r="F6932" t="s">
        <v>13</v>
      </c>
      <c r="G6932" t="s">
        <v>9</v>
      </c>
    </row>
    <row r="6933" spans="1:7" x14ac:dyDescent="0.35">
      <c r="A6933">
        <v>2752</v>
      </c>
      <c r="B6933" s="1">
        <v>45693</v>
      </c>
      <c r="C6933" t="s">
        <v>24</v>
      </c>
      <c r="D6933" s="2">
        <v>480.48</v>
      </c>
      <c r="E6933" s="2">
        <v>0</v>
      </c>
      <c r="F6933" t="s">
        <v>8</v>
      </c>
      <c r="G6933" t="s">
        <v>9</v>
      </c>
    </row>
    <row r="6934" spans="1:7" x14ac:dyDescent="0.35">
      <c r="A6934">
        <v>2752</v>
      </c>
      <c r="B6934" s="1">
        <v>45693</v>
      </c>
      <c r="C6934" t="s">
        <v>24</v>
      </c>
      <c r="D6934" s="2">
        <v>0</v>
      </c>
      <c r="E6934" s="2">
        <v>480.48</v>
      </c>
      <c r="F6934" t="s">
        <v>13</v>
      </c>
      <c r="G6934" t="s">
        <v>9</v>
      </c>
    </row>
    <row r="6935" spans="1:7" x14ac:dyDescent="0.35">
      <c r="A6935">
        <v>2753</v>
      </c>
      <c r="B6935" s="1">
        <v>45693</v>
      </c>
      <c r="C6935" t="s">
        <v>29</v>
      </c>
      <c r="D6935" s="2">
        <v>2504.23</v>
      </c>
      <c r="E6935" s="2">
        <v>0</v>
      </c>
      <c r="F6935" t="s">
        <v>28</v>
      </c>
      <c r="G6935" t="s">
        <v>17</v>
      </c>
    </row>
    <row r="6936" spans="1:7" x14ac:dyDescent="0.35">
      <c r="A6936">
        <v>2753</v>
      </c>
      <c r="B6936" s="1">
        <v>45693</v>
      </c>
      <c r="C6936" t="s">
        <v>29</v>
      </c>
      <c r="D6936" s="2">
        <v>0</v>
      </c>
      <c r="E6936" s="2">
        <v>2504.23</v>
      </c>
      <c r="F6936" t="s">
        <v>8</v>
      </c>
      <c r="G6936" t="s">
        <v>9</v>
      </c>
    </row>
    <row r="6937" spans="1:7" x14ac:dyDescent="0.35">
      <c r="A6937">
        <v>2754</v>
      </c>
      <c r="B6937" s="1">
        <v>45693</v>
      </c>
      <c r="C6937" t="s">
        <v>29</v>
      </c>
      <c r="D6937" s="2">
        <v>7227.44</v>
      </c>
      <c r="E6937" s="2">
        <v>0</v>
      </c>
      <c r="F6937" t="s">
        <v>28</v>
      </c>
      <c r="G6937" t="s">
        <v>17</v>
      </c>
    </row>
    <row r="6938" spans="1:7" x14ac:dyDescent="0.35">
      <c r="A6938">
        <v>2754</v>
      </c>
      <c r="B6938" s="1">
        <v>45693</v>
      </c>
      <c r="C6938" t="s">
        <v>29</v>
      </c>
      <c r="D6938" s="2">
        <v>0</v>
      </c>
      <c r="E6938" s="2">
        <v>7227.44</v>
      </c>
      <c r="F6938" t="s">
        <v>8</v>
      </c>
      <c r="G6938" t="s">
        <v>9</v>
      </c>
    </row>
    <row r="6939" spans="1:7" x14ac:dyDescent="0.35">
      <c r="A6939">
        <v>2755</v>
      </c>
      <c r="B6939" s="1">
        <v>45694</v>
      </c>
      <c r="C6939" t="s">
        <v>12</v>
      </c>
      <c r="D6939" s="2">
        <v>264.49</v>
      </c>
      <c r="E6939" s="2">
        <v>0</v>
      </c>
      <c r="F6939" t="s">
        <v>13</v>
      </c>
      <c r="G6939" t="s">
        <v>9</v>
      </c>
    </row>
    <row r="6940" spans="1:7" x14ac:dyDescent="0.35">
      <c r="A6940">
        <v>2755</v>
      </c>
      <c r="B6940" s="1">
        <v>45694</v>
      </c>
      <c r="C6940" t="s">
        <v>12</v>
      </c>
      <c r="D6940" s="2">
        <v>0</v>
      </c>
      <c r="E6940" s="2">
        <v>246.04</v>
      </c>
      <c r="F6940" t="s">
        <v>14</v>
      </c>
      <c r="G6940" t="s">
        <v>15</v>
      </c>
    </row>
    <row r="6941" spans="1:7" x14ac:dyDescent="0.35">
      <c r="A6941">
        <v>2755</v>
      </c>
      <c r="B6941" s="1">
        <v>45694</v>
      </c>
      <c r="C6941" t="s">
        <v>12</v>
      </c>
      <c r="D6941" s="2">
        <v>0</v>
      </c>
      <c r="E6941" s="2">
        <v>18.45</v>
      </c>
      <c r="F6941" t="s">
        <v>16</v>
      </c>
      <c r="G6941" t="s">
        <v>17</v>
      </c>
    </row>
    <row r="6942" spans="1:7" x14ac:dyDescent="0.35">
      <c r="A6942">
        <v>2756</v>
      </c>
      <c r="B6942" s="1">
        <v>45694</v>
      </c>
      <c r="C6942" t="s">
        <v>12</v>
      </c>
      <c r="D6942" s="2">
        <v>1334.35</v>
      </c>
      <c r="E6942" s="2">
        <v>0</v>
      </c>
      <c r="F6942" t="s">
        <v>13</v>
      </c>
      <c r="G6942" t="s">
        <v>9</v>
      </c>
    </row>
    <row r="6943" spans="1:7" x14ac:dyDescent="0.35">
      <c r="A6943">
        <v>2756</v>
      </c>
      <c r="B6943" s="1">
        <v>45694</v>
      </c>
      <c r="C6943" t="s">
        <v>12</v>
      </c>
      <c r="D6943" s="2">
        <v>0</v>
      </c>
      <c r="E6943" s="2">
        <v>1241.25</v>
      </c>
      <c r="F6943" t="s">
        <v>14</v>
      </c>
      <c r="G6943" t="s">
        <v>15</v>
      </c>
    </row>
    <row r="6944" spans="1:7" x14ac:dyDescent="0.35">
      <c r="A6944">
        <v>2756</v>
      </c>
      <c r="B6944" s="1">
        <v>45694</v>
      </c>
      <c r="C6944" t="s">
        <v>12</v>
      </c>
      <c r="D6944" s="2">
        <v>0</v>
      </c>
      <c r="E6944" s="2">
        <v>93.1</v>
      </c>
      <c r="F6944" t="s">
        <v>16</v>
      </c>
      <c r="G6944" t="s">
        <v>17</v>
      </c>
    </row>
    <row r="6945" spans="1:7" x14ac:dyDescent="0.35">
      <c r="A6945">
        <v>2757</v>
      </c>
      <c r="B6945" s="1">
        <v>45694</v>
      </c>
      <c r="C6945" t="s">
        <v>24</v>
      </c>
      <c r="D6945" s="2">
        <v>836.5</v>
      </c>
      <c r="E6945" s="2">
        <v>0</v>
      </c>
      <c r="F6945" t="s">
        <v>8</v>
      </c>
      <c r="G6945" t="s">
        <v>9</v>
      </c>
    </row>
    <row r="6946" spans="1:7" x14ac:dyDescent="0.35">
      <c r="A6946">
        <v>2757</v>
      </c>
      <c r="B6946" s="1">
        <v>45694</v>
      </c>
      <c r="C6946" t="s">
        <v>24</v>
      </c>
      <c r="D6946" s="2">
        <v>0</v>
      </c>
      <c r="E6946" s="2">
        <v>836.5</v>
      </c>
      <c r="F6946" t="s">
        <v>13</v>
      </c>
      <c r="G6946" t="s">
        <v>9</v>
      </c>
    </row>
    <row r="6947" spans="1:7" x14ac:dyDescent="0.35">
      <c r="A6947">
        <v>2758</v>
      </c>
      <c r="B6947" s="1">
        <v>45694</v>
      </c>
      <c r="C6947" t="s">
        <v>24</v>
      </c>
      <c r="D6947" s="2">
        <v>356.7</v>
      </c>
      <c r="E6947" s="2">
        <v>0</v>
      </c>
      <c r="F6947" t="s">
        <v>8</v>
      </c>
      <c r="G6947" t="s">
        <v>9</v>
      </c>
    </row>
    <row r="6948" spans="1:7" x14ac:dyDescent="0.35">
      <c r="A6948">
        <v>2758</v>
      </c>
      <c r="B6948" s="1">
        <v>45694</v>
      </c>
      <c r="C6948" t="s">
        <v>24</v>
      </c>
      <c r="D6948" s="2">
        <v>0</v>
      </c>
      <c r="E6948" s="2">
        <v>356.7</v>
      </c>
      <c r="F6948" t="s">
        <v>13</v>
      </c>
      <c r="G6948" t="s">
        <v>9</v>
      </c>
    </row>
    <row r="6949" spans="1:7" x14ac:dyDescent="0.35">
      <c r="A6949">
        <v>2759</v>
      </c>
      <c r="B6949" s="1">
        <v>45694</v>
      </c>
      <c r="C6949" t="s">
        <v>25</v>
      </c>
      <c r="D6949" s="2">
        <v>1213.5999999999999</v>
      </c>
      <c r="E6949" s="2">
        <v>0</v>
      </c>
      <c r="F6949" t="s">
        <v>26</v>
      </c>
      <c r="G6949" t="s">
        <v>20</v>
      </c>
    </row>
    <row r="6950" spans="1:7" x14ac:dyDescent="0.35">
      <c r="A6950">
        <v>2759</v>
      </c>
      <c r="B6950" s="1">
        <v>45694</v>
      </c>
      <c r="C6950" t="s">
        <v>25</v>
      </c>
      <c r="D6950" s="2">
        <v>91.02</v>
      </c>
      <c r="E6950" s="2">
        <v>0</v>
      </c>
      <c r="F6950" t="s">
        <v>27</v>
      </c>
      <c r="G6950" t="s">
        <v>9</v>
      </c>
    </row>
    <row r="6951" spans="1:7" x14ac:dyDescent="0.35">
      <c r="A6951">
        <v>2759</v>
      </c>
      <c r="B6951" s="1">
        <v>45694</v>
      </c>
      <c r="C6951" t="s">
        <v>25</v>
      </c>
      <c r="D6951" s="2">
        <v>0</v>
      </c>
      <c r="E6951" s="2">
        <v>1304.6199999999999</v>
      </c>
      <c r="F6951" t="s">
        <v>28</v>
      </c>
      <c r="G6951" t="s">
        <v>17</v>
      </c>
    </row>
    <row r="6952" spans="1:7" x14ac:dyDescent="0.35">
      <c r="A6952">
        <v>2760</v>
      </c>
      <c r="B6952" s="1">
        <v>45695</v>
      </c>
      <c r="C6952" t="s">
        <v>12</v>
      </c>
      <c r="D6952" s="2">
        <v>122.87</v>
      </c>
      <c r="E6952" s="2">
        <v>0</v>
      </c>
      <c r="F6952" t="s">
        <v>13</v>
      </c>
      <c r="G6952" t="s">
        <v>9</v>
      </c>
    </row>
    <row r="6953" spans="1:7" x14ac:dyDescent="0.35">
      <c r="A6953">
        <v>2760</v>
      </c>
      <c r="B6953" s="1">
        <v>45695</v>
      </c>
      <c r="C6953" t="s">
        <v>12</v>
      </c>
      <c r="D6953" s="2">
        <v>0</v>
      </c>
      <c r="E6953" s="2">
        <v>114.3</v>
      </c>
      <c r="F6953" t="s">
        <v>14</v>
      </c>
      <c r="G6953" t="s">
        <v>15</v>
      </c>
    </row>
    <row r="6954" spans="1:7" x14ac:dyDescent="0.35">
      <c r="A6954">
        <v>2760</v>
      </c>
      <c r="B6954" s="1">
        <v>45695</v>
      </c>
      <c r="C6954" t="s">
        <v>12</v>
      </c>
      <c r="D6954" s="2">
        <v>0</v>
      </c>
      <c r="E6954" s="2">
        <v>8.57</v>
      </c>
      <c r="F6954" t="s">
        <v>16</v>
      </c>
      <c r="G6954" t="s">
        <v>17</v>
      </c>
    </row>
    <row r="6955" spans="1:7" x14ac:dyDescent="0.35">
      <c r="A6955">
        <v>2761</v>
      </c>
      <c r="B6955" s="1">
        <v>45695</v>
      </c>
      <c r="C6955" t="s">
        <v>12</v>
      </c>
      <c r="D6955" s="2">
        <v>1211.72</v>
      </c>
      <c r="E6955" s="2">
        <v>0</v>
      </c>
      <c r="F6955" t="s">
        <v>13</v>
      </c>
      <c r="G6955" t="s">
        <v>9</v>
      </c>
    </row>
    <row r="6956" spans="1:7" x14ac:dyDescent="0.35">
      <c r="A6956">
        <v>2761</v>
      </c>
      <c r="B6956" s="1">
        <v>45695</v>
      </c>
      <c r="C6956" t="s">
        <v>12</v>
      </c>
      <c r="D6956" s="2">
        <v>0</v>
      </c>
      <c r="E6956" s="2">
        <v>1127.18</v>
      </c>
      <c r="F6956" t="s">
        <v>14</v>
      </c>
      <c r="G6956" t="s">
        <v>15</v>
      </c>
    </row>
    <row r="6957" spans="1:7" x14ac:dyDescent="0.35">
      <c r="A6957">
        <v>2761</v>
      </c>
      <c r="B6957" s="1">
        <v>45695</v>
      </c>
      <c r="C6957" t="s">
        <v>12</v>
      </c>
      <c r="D6957" s="2">
        <v>0</v>
      </c>
      <c r="E6957" s="2">
        <v>84.54</v>
      </c>
      <c r="F6957" t="s">
        <v>16</v>
      </c>
      <c r="G6957" t="s">
        <v>17</v>
      </c>
    </row>
    <row r="6958" spans="1:7" x14ac:dyDescent="0.35">
      <c r="A6958">
        <v>2762</v>
      </c>
      <c r="B6958" s="1">
        <v>45695</v>
      </c>
      <c r="C6958" t="s">
        <v>12</v>
      </c>
      <c r="D6958" s="2">
        <v>149.11000000000001</v>
      </c>
      <c r="E6958" s="2">
        <v>0</v>
      </c>
      <c r="F6958" t="s">
        <v>13</v>
      </c>
      <c r="G6958" t="s">
        <v>9</v>
      </c>
    </row>
    <row r="6959" spans="1:7" x14ac:dyDescent="0.35">
      <c r="A6959">
        <v>2762</v>
      </c>
      <c r="B6959" s="1">
        <v>45695</v>
      </c>
      <c r="C6959" t="s">
        <v>12</v>
      </c>
      <c r="D6959" s="2">
        <v>0</v>
      </c>
      <c r="E6959" s="2">
        <v>138.71</v>
      </c>
      <c r="F6959" t="s">
        <v>14</v>
      </c>
      <c r="G6959" t="s">
        <v>15</v>
      </c>
    </row>
    <row r="6960" spans="1:7" x14ac:dyDescent="0.35">
      <c r="A6960">
        <v>2762</v>
      </c>
      <c r="B6960" s="1">
        <v>45695</v>
      </c>
      <c r="C6960" t="s">
        <v>12</v>
      </c>
      <c r="D6960" s="2">
        <v>0</v>
      </c>
      <c r="E6960" s="2">
        <v>10.4</v>
      </c>
      <c r="F6960" t="s">
        <v>16</v>
      </c>
      <c r="G6960" t="s">
        <v>17</v>
      </c>
    </row>
    <row r="6961" spans="1:7" x14ac:dyDescent="0.35">
      <c r="A6961">
        <v>2763</v>
      </c>
      <c r="B6961" s="1">
        <v>45695</v>
      </c>
      <c r="C6961" t="s">
        <v>12</v>
      </c>
      <c r="D6961" s="2">
        <v>1297.79</v>
      </c>
      <c r="E6961" s="2">
        <v>0</v>
      </c>
      <c r="F6961" t="s">
        <v>13</v>
      </c>
      <c r="G6961" t="s">
        <v>9</v>
      </c>
    </row>
    <row r="6962" spans="1:7" x14ac:dyDescent="0.35">
      <c r="A6962">
        <v>2763</v>
      </c>
      <c r="B6962" s="1">
        <v>45695</v>
      </c>
      <c r="C6962" t="s">
        <v>12</v>
      </c>
      <c r="D6962" s="2">
        <v>0</v>
      </c>
      <c r="E6962" s="2">
        <v>1207.24</v>
      </c>
      <c r="F6962" t="s">
        <v>14</v>
      </c>
      <c r="G6962" t="s">
        <v>15</v>
      </c>
    </row>
    <row r="6963" spans="1:7" x14ac:dyDescent="0.35">
      <c r="A6963">
        <v>2763</v>
      </c>
      <c r="B6963" s="1">
        <v>45695</v>
      </c>
      <c r="C6963" t="s">
        <v>12</v>
      </c>
      <c r="D6963" s="2">
        <v>0</v>
      </c>
      <c r="E6963" s="2">
        <v>90.55</v>
      </c>
      <c r="F6963" t="s">
        <v>16</v>
      </c>
      <c r="G6963" t="s">
        <v>17</v>
      </c>
    </row>
    <row r="6964" spans="1:7" x14ac:dyDescent="0.35">
      <c r="A6964">
        <v>2764</v>
      </c>
      <c r="B6964" s="1">
        <v>45695</v>
      </c>
      <c r="C6964" t="s">
        <v>12</v>
      </c>
      <c r="D6964" s="2">
        <v>3251.72</v>
      </c>
      <c r="E6964" s="2">
        <v>0</v>
      </c>
      <c r="F6964" t="s">
        <v>13</v>
      </c>
      <c r="G6964" t="s">
        <v>9</v>
      </c>
    </row>
    <row r="6965" spans="1:7" x14ac:dyDescent="0.35">
      <c r="A6965">
        <v>2764</v>
      </c>
      <c r="B6965" s="1">
        <v>45695</v>
      </c>
      <c r="C6965" t="s">
        <v>12</v>
      </c>
      <c r="D6965" s="2">
        <v>0</v>
      </c>
      <c r="E6965" s="2">
        <v>3024.87</v>
      </c>
      <c r="F6965" t="s">
        <v>14</v>
      </c>
      <c r="G6965" t="s">
        <v>15</v>
      </c>
    </row>
    <row r="6966" spans="1:7" x14ac:dyDescent="0.35">
      <c r="A6966">
        <v>2764</v>
      </c>
      <c r="B6966" s="1">
        <v>45695</v>
      </c>
      <c r="C6966" t="s">
        <v>12</v>
      </c>
      <c r="D6966" s="2">
        <v>0</v>
      </c>
      <c r="E6966" s="2">
        <v>226.85</v>
      </c>
      <c r="F6966" t="s">
        <v>16</v>
      </c>
      <c r="G6966" t="s">
        <v>17</v>
      </c>
    </row>
    <row r="6967" spans="1:7" x14ac:dyDescent="0.35">
      <c r="A6967">
        <v>2765</v>
      </c>
      <c r="B6967" s="1">
        <v>45695</v>
      </c>
      <c r="C6967" t="s">
        <v>12</v>
      </c>
      <c r="D6967" s="2">
        <v>956.65</v>
      </c>
      <c r="E6967" s="2">
        <v>0</v>
      </c>
      <c r="F6967" t="s">
        <v>13</v>
      </c>
      <c r="G6967" t="s">
        <v>9</v>
      </c>
    </row>
    <row r="6968" spans="1:7" x14ac:dyDescent="0.35">
      <c r="A6968">
        <v>2765</v>
      </c>
      <c r="B6968" s="1">
        <v>45695</v>
      </c>
      <c r="C6968" t="s">
        <v>12</v>
      </c>
      <c r="D6968" s="2">
        <v>0</v>
      </c>
      <c r="E6968" s="2">
        <v>889.91</v>
      </c>
      <c r="F6968" t="s">
        <v>14</v>
      </c>
      <c r="G6968" t="s">
        <v>15</v>
      </c>
    </row>
    <row r="6969" spans="1:7" x14ac:dyDescent="0.35">
      <c r="A6969">
        <v>2765</v>
      </c>
      <c r="B6969" s="1">
        <v>45695</v>
      </c>
      <c r="C6969" t="s">
        <v>12</v>
      </c>
      <c r="D6969" s="2">
        <v>0</v>
      </c>
      <c r="E6969" s="2">
        <v>66.739999999999995</v>
      </c>
      <c r="F6969" t="s">
        <v>16</v>
      </c>
      <c r="G6969" t="s">
        <v>17</v>
      </c>
    </row>
    <row r="6970" spans="1:7" x14ac:dyDescent="0.35">
      <c r="A6970">
        <v>2766</v>
      </c>
      <c r="B6970" s="1">
        <v>45695</v>
      </c>
      <c r="C6970" t="s">
        <v>24</v>
      </c>
      <c r="D6970" s="2">
        <v>2376.35</v>
      </c>
      <c r="E6970" s="2">
        <v>0</v>
      </c>
      <c r="F6970" t="s">
        <v>8</v>
      </c>
      <c r="G6970" t="s">
        <v>9</v>
      </c>
    </row>
    <row r="6971" spans="1:7" x14ac:dyDescent="0.35">
      <c r="A6971">
        <v>2766</v>
      </c>
      <c r="B6971" s="1">
        <v>45695</v>
      </c>
      <c r="C6971" t="s">
        <v>24</v>
      </c>
      <c r="D6971" s="2">
        <v>0</v>
      </c>
      <c r="E6971" s="2">
        <v>2376.35</v>
      </c>
      <c r="F6971" t="s">
        <v>13</v>
      </c>
      <c r="G6971" t="s">
        <v>9</v>
      </c>
    </row>
    <row r="6972" spans="1:7" x14ac:dyDescent="0.35">
      <c r="A6972">
        <v>2767</v>
      </c>
      <c r="B6972" s="1">
        <v>45695</v>
      </c>
      <c r="C6972" t="s">
        <v>24</v>
      </c>
      <c r="D6972" s="2">
        <v>2955.65</v>
      </c>
      <c r="E6972" s="2">
        <v>0</v>
      </c>
      <c r="F6972" t="s">
        <v>8</v>
      </c>
      <c r="G6972" t="s">
        <v>9</v>
      </c>
    </row>
    <row r="6973" spans="1:7" x14ac:dyDescent="0.35">
      <c r="A6973">
        <v>2767</v>
      </c>
      <c r="B6973" s="1">
        <v>45695</v>
      </c>
      <c r="C6973" t="s">
        <v>24</v>
      </c>
      <c r="D6973" s="2">
        <v>0</v>
      </c>
      <c r="E6973" s="2">
        <v>2955.65</v>
      </c>
      <c r="F6973" t="s">
        <v>13</v>
      </c>
      <c r="G6973" t="s">
        <v>9</v>
      </c>
    </row>
    <row r="6974" spans="1:7" x14ac:dyDescent="0.35">
      <c r="A6974">
        <v>2768</v>
      </c>
      <c r="B6974" s="1">
        <v>45695</v>
      </c>
      <c r="C6974" t="s">
        <v>24</v>
      </c>
      <c r="D6974" s="2">
        <v>5867.24</v>
      </c>
      <c r="E6974" s="2">
        <v>0</v>
      </c>
      <c r="F6974" t="s">
        <v>8</v>
      </c>
      <c r="G6974" t="s">
        <v>9</v>
      </c>
    </row>
    <row r="6975" spans="1:7" x14ac:dyDescent="0.35">
      <c r="A6975">
        <v>2768</v>
      </c>
      <c r="B6975" s="1">
        <v>45695</v>
      </c>
      <c r="C6975" t="s">
        <v>24</v>
      </c>
      <c r="D6975" s="2">
        <v>0</v>
      </c>
      <c r="E6975" s="2">
        <v>5867.24</v>
      </c>
      <c r="F6975" t="s">
        <v>13</v>
      </c>
      <c r="G6975" t="s">
        <v>9</v>
      </c>
    </row>
    <row r="6976" spans="1:7" x14ac:dyDescent="0.35">
      <c r="A6976">
        <v>2769</v>
      </c>
      <c r="B6976" s="1">
        <v>45695</v>
      </c>
      <c r="C6976" t="s">
        <v>24</v>
      </c>
      <c r="D6976" s="2">
        <v>1291.6500000000001</v>
      </c>
      <c r="E6976" s="2">
        <v>0</v>
      </c>
      <c r="F6976" t="s">
        <v>8</v>
      </c>
      <c r="G6976" t="s">
        <v>9</v>
      </c>
    </row>
    <row r="6977" spans="1:7" x14ac:dyDescent="0.35">
      <c r="A6977">
        <v>2769</v>
      </c>
      <c r="B6977" s="1">
        <v>45695</v>
      </c>
      <c r="C6977" t="s">
        <v>24</v>
      </c>
      <c r="D6977" s="2">
        <v>0</v>
      </c>
      <c r="E6977" s="2">
        <v>1291.6500000000001</v>
      </c>
      <c r="F6977" t="s">
        <v>13</v>
      </c>
      <c r="G6977" t="s">
        <v>9</v>
      </c>
    </row>
    <row r="6978" spans="1:7" x14ac:dyDescent="0.35">
      <c r="A6978">
        <v>2770</v>
      </c>
      <c r="B6978" s="1">
        <v>45695</v>
      </c>
      <c r="C6978" t="s">
        <v>25</v>
      </c>
      <c r="D6978" s="2">
        <v>166.52</v>
      </c>
      <c r="E6978" s="2">
        <v>0</v>
      </c>
      <c r="F6978" t="s">
        <v>26</v>
      </c>
      <c r="G6978" t="s">
        <v>20</v>
      </c>
    </row>
    <row r="6979" spans="1:7" x14ac:dyDescent="0.35">
      <c r="A6979">
        <v>2770</v>
      </c>
      <c r="B6979" s="1">
        <v>45695</v>
      </c>
      <c r="C6979" t="s">
        <v>25</v>
      </c>
      <c r="D6979" s="2">
        <v>12.49</v>
      </c>
      <c r="E6979" s="2">
        <v>0</v>
      </c>
      <c r="F6979" t="s">
        <v>27</v>
      </c>
      <c r="G6979" t="s">
        <v>9</v>
      </c>
    </row>
    <row r="6980" spans="1:7" x14ac:dyDescent="0.35">
      <c r="A6980">
        <v>2770</v>
      </c>
      <c r="B6980" s="1">
        <v>45695</v>
      </c>
      <c r="C6980" t="s">
        <v>25</v>
      </c>
      <c r="D6980" s="2">
        <v>0</v>
      </c>
      <c r="E6980" s="2">
        <v>179.01</v>
      </c>
      <c r="F6980" t="s">
        <v>28</v>
      </c>
      <c r="G6980" t="s">
        <v>17</v>
      </c>
    </row>
    <row r="6981" spans="1:7" x14ac:dyDescent="0.35">
      <c r="A6981">
        <v>2771</v>
      </c>
      <c r="B6981" s="1">
        <v>45695</v>
      </c>
      <c r="C6981" t="s">
        <v>29</v>
      </c>
      <c r="D6981" s="2">
        <v>412.54</v>
      </c>
      <c r="E6981" s="2">
        <v>0</v>
      </c>
      <c r="F6981" t="s">
        <v>28</v>
      </c>
      <c r="G6981" t="s">
        <v>17</v>
      </c>
    </row>
    <row r="6982" spans="1:7" x14ac:dyDescent="0.35">
      <c r="A6982">
        <v>2771</v>
      </c>
      <c r="B6982" s="1">
        <v>45695</v>
      </c>
      <c r="C6982" t="s">
        <v>29</v>
      </c>
      <c r="D6982" s="2">
        <v>0</v>
      </c>
      <c r="E6982" s="2">
        <v>412.54</v>
      </c>
      <c r="F6982" t="s">
        <v>8</v>
      </c>
      <c r="G6982" t="s">
        <v>9</v>
      </c>
    </row>
    <row r="6983" spans="1:7" x14ac:dyDescent="0.35">
      <c r="A6983">
        <v>2772</v>
      </c>
      <c r="B6983" s="1">
        <v>45698</v>
      </c>
      <c r="C6983" t="s">
        <v>12</v>
      </c>
      <c r="D6983" s="2">
        <v>112.23</v>
      </c>
      <c r="E6983" s="2">
        <v>0</v>
      </c>
      <c r="F6983" t="s">
        <v>13</v>
      </c>
      <c r="G6983" t="s">
        <v>9</v>
      </c>
    </row>
    <row r="6984" spans="1:7" x14ac:dyDescent="0.35">
      <c r="A6984">
        <v>2772</v>
      </c>
      <c r="B6984" s="1">
        <v>45698</v>
      </c>
      <c r="C6984" t="s">
        <v>12</v>
      </c>
      <c r="D6984" s="2">
        <v>0</v>
      </c>
      <c r="E6984" s="2">
        <v>104.4</v>
      </c>
      <c r="F6984" t="s">
        <v>14</v>
      </c>
      <c r="G6984" t="s">
        <v>15</v>
      </c>
    </row>
    <row r="6985" spans="1:7" x14ac:dyDescent="0.35">
      <c r="A6985">
        <v>2772</v>
      </c>
      <c r="B6985" s="1">
        <v>45698</v>
      </c>
      <c r="C6985" t="s">
        <v>12</v>
      </c>
      <c r="D6985" s="2">
        <v>0</v>
      </c>
      <c r="E6985" s="2">
        <v>7.83</v>
      </c>
      <c r="F6985" t="s">
        <v>16</v>
      </c>
      <c r="G6985" t="s">
        <v>17</v>
      </c>
    </row>
    <row r="6986" spans="1:7" x14ac:dyDescent="0.35">
      <c r="A6986">
        <v>2773</v>
      </c>
      <c r="B6986" s="1">
        <v>45698</v>
      </c>
      <c r="C6986" t="s">
        <v>12</v>
      </c>
      <c r="D6986" s="2">
        <v>844.73</v>
      </c>
      <c r="E6986" s="2">
        <v>0</v>
      </c>
      <c r="F6986" t="s">
        <v>13</v>
      </c>
      <c r="G6986" t="s">
        <v>9</v>
      </c>
    </row>
    <row r="6987" spans="1:7" x14ac:dyDescent="0.35">
      <c r="A6987">
        <v>2773</v>
      </c>
      <c r="B6987" s="1">
        <v>45698</v>
      </c>
      <c r="C6987" t="s">
        <v>12</v>
      </c>
      <c r="D6987" s="2">
        <v>0</v>
      </c>
      <c r="E6987" s="2">
        <v>785.79</v>
      </c>
      <c r="F6987" t="s">
        <v>14</v>
      </c>
      <c r="G6987" t="s">
        <v>15</v>
      </c>
    </row>
    <row r="6988" spans="1:7" x14ac:dyDescent="0.35">
      <c r="A6988">
        <v>2773</v>
      </c>
      <c r="B6988" s="1">
        <v>45698</v>
      </c>
      <c r="C6988" t="s">
        <v>12</v>
      </c>
      <c r="D6988" s="2">
        <v>0</v>
      </c>
      <c r="E6988" s="2">
        <v>58.94</v>
      </c>
      <c r="F6988" t="s">
        <v>16</v>
      </c>
      <c r="G6988" t="s">
        <v>17</v>
      </c>
    </row>
    <row r="6989" spans="1:7" x14ac:dyDescent="0.35">
      <c r="A6989">
        <v>2774</v>
      </c>
      <c r="B6989" s="1">
        <v>45698</v>
      </c>
      <c r="C6989" t="s">
        <v>12</v>
      </c>
      <c r="D6989" s="2">
        <v>61.06</v>
      </c>
      <c r="E6989" s="2">
        <v>0</v>
      </c>
      <c r="F6989" t="s">
        <v>13</v>
      </c>
      <c r="G6989" t="s">
        <v>9</v>
      </c>
    </row>
    <row r="6990" spans="1:7" x14ac:dyDescent="0.35">
      <c r="A6990">
        <v>2774</v>
      </c>
      <c r="B6990" s="1">
        <v>45698</v>
      </c>
      <c r="C6990" t="s">
        <v>12</v>
      </c>
      <c r="D6990" s="2">
        <v>0</v>
      </c>
      <c r="E6990" s="2">
        <v>56.8</v>
      </c>
      <c r="F6990" t="s">
        <v>14</v>
      </c>
      <c r="G6990" t="s">
        <v>15</v>
      </c>
    </row>
    <row r="6991" spans="1:7" x14ac:dyDescent="0.35">
      <c r="A6991">
        <v>2774</v>
      </c>
      <c r="B6991" s="1">
        <v>45698</v>
      </c>
      <c r="C6991" t="s">
        <v>12</v>
      </c>
      <c r="D6991" s="2">
        <v>0</v>
      </c>
      <c r="E6991" s="2">
        <v>4.26</v>
      </c>
      <c r="F6991" t="s">
        <v>16</v>
      </c>
      <c r="G6991" t="s">
        <v>17</v>
      </c>
    </row>
    <row r="6992" spans="1:7" x14ac:dyDescent="0.35">
      <c r="A6992">
        <v>2775</v>
      </c>
      <c r="B6992" s="1">
        <v>45698</v>
      </c>
      <c r="C6992" t="s">
        <v>12</v>
      </c>
      <c r="D6992" s="2">
        <v>1640.47</v>
      </c>
      <c r="E6992" s="2">
        <v>0</v>
      </c>
      <c r="F6992" t="s">
        <v>13</v>
      </c>
      <c r="G6992" t="s">
        <v>9</v>
      </c>
    </row>
    <row r="6993" spans="1:7" x14ac:dyDescent="0.35">
      <c r="A6993">
        <v>2775</v>
      </c>
      <c r="B6993" s="1">
        <v>45698</v>
      </c>
      <c r="C6993" t="s">
        <v>12</v>
      </c>
      <c r="D6993" s="2">
        <v>0</v>
      </c>
      <c r="E6993" s="2">
        <v>1526.01</v>
      </c>
      <c r="F6993" t="s">
        <v>14</v>
      </c>
      <c r="G6993" t="s">
        <v>15</v>
      </c>
    </row>
    <row r="6994" spans="1:7" x14ac:dyDescent="0.35">
      <c r="A6994">
        <v>2775</v>
      </c>
      <c r="B6994" s="1">
        <v>45698</v>
      </c>
      <c r="C6994" t="s">
        <v>12</v>
      </c>
      <c r="D6994" s="2">
        <v>0</v>
      </c>
      <c r="E6994" s="2">
        <v>114.46</v>
      </c>
      <c r="F6994" t="s">
        <v>16</v>
      </c>
      <c r="G6994" t="s">
        <v>17</v>
      </c>
    </row>
    <row r="6995" spans="1:7" x14ac:dyDescent="0.35">
      <c r="A6995">
        <v>2776</v>
      </c>
      <c r="B6995" s="1">
        <v>45698</v>
      </c>
      <c r="C6995" t="s">
        <v>12</v>
      </c>
      <c r="D6995" s="2">
        <v>352.77</v>
      </c>
      <c r="E6995" s="2">
        <v>0</v>
      </c>
      <c r="F6995" t="s">
        <v>13</v>
      </c>
      <c r="G6995" t="s">
        <v>9</v>
      </c>
    </row>
    <row r="6996" spans="1:7" x14ac:dyDescent="0.35">
      <c r="A6996">
        <v>2776</v>
      </c>
      <c r="B6996" s="1">
        <v>45698</v>
      </c>
      <c r="C6996" t="s">
        <v>12</v>
      </c>
      <c r="D6996" s="2">
        <v>0</v>
      </c>
      <c r="E6996" s="2">
        <v>328.16</v>
      </c>
      <c r="F6996" t="s">
        <v>14</v>
      </c>
      <c r="G6996" t="s">
        <v>15</v>
      </c>
    </row>
    <row r="6997" spans="1:7" x14ac:dyDescent="0.35">
      <c r="A6997">
        <v>2776</v>
      </c>
      <c r="B6997" s="1">
        <v>45698</v>
      </c>
      <c r="C6997" t="s">
        <v>12</v>
      </c>
      <c r="D6997" s="2">
        <v>0</v>
      </c>
      <c r="E6997" s="2">
        <v>24.61</v>
      </c>
      <c r="F6997" t="s">
        <v>16</v>
      </c>
      <c r="G6997" t="s">
        <v>17</v>
      </c>
    </row>
    <row r="6998" spans="1:7" x14ac:dyDescent="0.35">
      <c r="A6998">
        <v>2777</v>
      </c>
      <c r="B6998" s="1">
        <v>45698</v>
      </c>
      <c r="C6998" t="s">
        <v>12</v>
      </c>
      <c r="D6998" s="2">
        <v>3335.24</v>
      </c>
      <c r="E6998" s="2">
        <v>0</v>
      </c>
      <c r="F6998" t="s">
        <v>13</v>
      </c>
      <c r="G6998" t="s">
        <v>9</v>
      </c>
    </row>
    <row r="6999" spans="1:7" x14ac:dyDescent="0.35">
      <c r="A6999">
        <v>2777</v>
      </c>
      <c r="B6999" s="1">
        <v>45698</v>
      </c>
      <c r="C6999" t="s">
        <v>12</v>
      </c>
      <c r="D6999" s="2">
        <v>0</v>
      </c>
      <c r="E6999" s="2">
        <v>3102.55</v>
      </c>
      <c r="F6999" t="s">
        <v>14</v>
      </c>
      <c r="G6999" t="s">
        <v>15</v>
      </c>
    </row>
    <row r="7000" spans="1:7" x14ac:dyDescent="0.35">
      <c r="A7000">
        <v>2777</v>
      </c>
      <c r="B7000" s="1">
        <v>45698</v>
      </c>
      <c r="C7000" t="s">
        <v>12</v>
      </c>
      <c r="D7000" s="2">
        <v>0</v>
      </c>
      <c r="E7000" s="2">
        <v>232.69</v>
      </c>
      <c r="F7000" t="s">
        <v>16</v>
      </c>
      <c r="G7000" t="s">
        <v>17</v>
      </c>
    </row>
    <row r="7001" spans="1:7" x14ac:dyDescent="0.35">
      <c r="A7001">
        <v>2778</v>
      </c>
      <c r="B7001" s="1">
        <v>45698</v>
      </c>
      <c r="C7001" t="s">
        <v>24</v>
      </c>
      <c r="D7001" s="2">
        <v>6798.23</v>
      </c>
      <c r="E7001" s="2">
        <v>0</v>
      </c>
      <c r="F7001" t="s">
        <v>8</v>
      </c>
      <c r="G7001" t="s">
        <v>9</v>
      </c>
    </row>
    <row r="7002" spans="1:7" x14ac:dyDescent="0.35">
      <c r="A7002">
        <v>2778</v>
      </c>
      <c r="B7002" s="1">
        <v>45698</v>
      </c>
      <c r="C7002" t="s">
        <v>24</v>
      </c>
      <c r="D7002" s="2">
        <v>0</v>
      </c>
      <c r="E7002" s="2">
        <v>6798.23</v>
      </c>
      <c r="F7002" t="s">
        <v>13</v>
      </c>
      <c r="G7002" t="s">
        <v>9</v>
      </c>
    </row>
    <row r="7003" spans="1:7" x14ac:dyDescent="0.35">
      <c r="A7003">
        <v>2779</v>
      </c>
      <c r="B7003" s="1">
        <v>45698</v>
      </c>
      <c r="C7003" t="s">
        <v>24</v>
      </c>
      <c r="D7003" s="2">
        <v>2050.65</v>
      </c>
      <c r="E7003" s="2">
        <v>0</v>
      </c>
      <c r="F7003" t="s">
        <v>8</v>
      </c>
      <c r="G7003" t="s">
        <v>9</v>
      </c>
    </row>
    <row r="7004" spans="1:7" x14ac:dyDescent="0.35">
      <c r="A7004">
        <v>2779</v>
      </c>
      <c r="B7004" s="1">
        <v>45698</v>
      </c>
      <c r="C7004" t="s">
        <v>24</v>
      </c>
      <c r="D7004" s="2">
        <v>0</v>
      </c>
      <c r="E7004" s="2">
        <v>2050.65</v>
      </c>
      <c r="F7004" t="s">
        <v>13</v>
      </c>
      <c r="G7004" t="s">
        <v>9</v>
      </c>
    </row>
    <row r="7005" spans="1:7" x14ac:dyDescent="0.35">
      <c r="A7005">
        <v>2780</v>
      </c>
      <c r="B7005" s="1">
        <v>45698</v>
      </c>
      <c r="C7005" t="s">
        <v>25</v>
      </c>
      <c r="D7005" s="2">
        <v>2714.58</v>
      </c>
      <c r="E7005" s="2">
        <v>0</v>
      </c>
      <c r="F7005" t="s">
        <v>26</v>
      </c>
      <c r="G7005" t="s">
        <v>20</v>
      </c>
    </row>
    <row r="7006" spans="1:7" x14ac:dyDescent="0.35">
      <c r="A7006">
        <v>2780</v>
      </c>
      <c r="B7006" s="1">
        <v>45698</v>
      </c>
      <c r="C7006" t="s">
        <v>25</v>
      </c>
      <c r="D7006" s="2">
        <v>203.59</v>
      </c>
      <c r="E7006" s="2">
        <v>0</v>
      </c>
      <c r="F7006" t="s">
        <v>27</v>
      </c>
      <c r="G7006" t="s">
        <v>9</v>
      </c>
    </row>
    <row r="7007" spans="1:7" x14ac:dyDescent="0.35">
      <c r="A7007">
        <v>2780</v>
      </c>
      <c r="B7007" s="1">
        <v>45698</v>
      </c>
      <c r="C7007" t="s">
        <v>25</v>
      </c>
      <c r="D7007" s="2">
        <v>0</v>
      </c>
      <c r="E7007" s="2">
        <v>2918.17</v>
      </c>
      <c r="F7007" t="s">
        <v>28</v>
      </c>
      <c r="G7007" t="s">
        <v>17</v>
      </c>
    </row>
    <row r="7008" spans="1:7" x14ac:dyDescent="0.35">
      <c r="A7008">
        <v>2781</v>
      </c>
      <c r="B7008" s="1">
        <v>45698</v>
      </c>
      <c r="C7008" t="s">
        <v>25</v>
      </c>
      <c r="D7008" s="2">
        <v>1078.92</v>
      </c>
      <c r="E7008" s="2">
        <v>0</v>
      </c>
      <c r="F7008" t="s">
        <v>26</v>
      </c>
      <c r="G7008" t="s">
        <v>20</v>
      </c>
    </row>
    <row r="7009" spans="1:7" x14ac:dyDescent="0.35">
      <c r="A7009">
        <v>2781</v>
      </c>
      <c r="B7009" s="1">
        <v>45698</v>
      </c>
      <c r="C7009" t="s">
        <v>25</v>
      </c>
      <c r="D7009" s="2">
        <v>80.92</v>
      </c>
      <c r="E7009" s="2">
        <v>0</v>
      </c>
      <c r="F7009" t="s">
        <v>27</v>
      </c>
      <c r="G7009" t="s">
        <v>9</v>
      </c>
    </row>
    <row r="7010" spans="1:7" x14ac:dyDescent="0.35">
      <c r="A7010">
        <v>2781</v>
      </c>
      <c r="B7010" s="1">
        <v>45698</v>
      </c>
      <c r="C7010" t="s">
        <v>25</v>
      </c>
      <c r="D7010" s="2">
        <v>0</v>
      </c>
      <c r="E7010" s="2">
        <v>1159.8399999999999</v>
      </c>
      <c r="F7010" t="s">
        <v>28</v>
      </c>
      <c r="G7010" t="s">
        <v>17</v>
      </c>
    </row>
    <row r="7011" spans="1:7" x14ac:dyDescent="0.35">
      <c r="A7011">
        <v>2782</v>
      </c>
      <c r="B7011" s="1">
        <v>45698</v>
      </c>
      <c r="C7011" t="s">
        <v>25</v>
      </c>
      <c r="D7011" s="2">
        <v>3282.76</v>
      </c>
      <c r="E7011" s="2">
        <v>0</v>
      </c>
      <c r="F7011" t="s">
        <v>26</v>
      </c>
      <c r="G7011" t="s">
        <v>20</v>
      </c>
    </row>
    <row r="7012" spans="1:7" x14ac:dyDescent="0.35">
      <c r="A7012">
        <v>2782</v>
      </c>
      <c r="B7012" s="1">
        <v>45698</v>
      </c>
      <c r="C7012" t="s">
        <v>25</v>
      </c>
      <c r="D7012" s="2">
        <v>246.21</v>
      </c>
      <c r="E7012" s="2">
        <v>0</v>
      </c>
      <c r="F7012" t="s">
        <v>27</v>
      </c>
      <c r="G7012" t="s">
        <v>9</v>
      </c>
    </row>
    <row r="7013" spans="1:7" x14ac:dyDescent="0.35">
      <c r="A7013">
        <v>2782</v>
      </c>
      <c r="B7013" s="1">
        <v>45698</v>
      </c>
      <c r="C7013" t="s">
        <v>25</v>
      </c>
      <c r="D7013" s="2">
        <v>0</v>
      </c>
      <c r="E7013" s="2">
        <v>3528.97</v>
      </c>
      <c r="F7013" t="s">
        <v>28</v>
      </c>
      <c r="G7013" t="s">
        <v>17</v>
      </c>
    </row>
    <row r="7014" spans="1:7" x14ac:dyDescent="0.35">
      <c r="A7014">
        <v>2783</v>
      </c>
      <c r="B7014" s="1">
        <v>45698</v>
      </c>
      <c r="C7014" t="s">
        <v>25</v>
      </c>
      <c r="D7014" s="2">
        <v>4476.71</v>
      </c>
      <c r="E7014" s="2">
        <v>0</v>
      </c>
      <c r="F7014" t="s">
        <v>26</v>
      </c>
      <c r="G7014" t="s">
        <v>20</v>
      </c>
    </row>
    <row r="7015" spans="1:7" x14ac:dyDescent="0.35">
      <c r="A7015">
        <v>2783</v>
      </c>
      <c r="B7015" s="1">
        <v>45698</v>
      </c>
      <c r="C7015" t="s">
        <v>25</v>
      </c>
      <c r="D7015" s="2">
        <v>335.75</v>
      </c>
      <c r="E7015" s="2">
        <v>0</v>
      </c>
      <c r="F7015" t="s">
        <v>27</v>
      </c>
      <c r="G7015" t="s">
        <v>9</v>
      </c>
    </row>
    <row r="7016" spans="1:7" x14ac:dyDescent="0.35">
      <c r="A7016">
        <v>2783</v>
      </c>
      <c r="B7016" s="1">
        <v>45698</v>
      </c>
      <c r="C7016" t="s">
        <v>25</v>
      </c>
      <c r="D7016" s="2">
        <v>0</v>
      </c>
      <c r="E7016" s="2">
        <v>4812.46</v>
      </c>
      <c r="F7016" t="s">
        <v>28</v>
      </c>
      <c r="G7016" t="s">
        <v>17</v>
      </c>
    </row>
    <row r="7017" spans="1:7" x14ac:dyDescent="0.35">
      <c r="A7017">
        <v>2784</v>
      </c>
      <c r="B7017" s="1">
        <v>45698</v>
      </c>
      <c r="C7017" t="s">
        <v>25</v>
      </c>
      <c r="D7017" s="2">
        <v>802.71</v>
      </c>
      <c r="E7017" s="2">
        <v>0</v>
      </c>
      <c r="F7017" t="s">
        <v>26</v>
      </c>
      <c r="G7017" t="s">
        <v>20</v>
      </c>
    </row>
    <row r="7018" spans="1:7" x14ac:dyDescent="0.35">
      <c r="A7018">
        <v>2784</v>
      </c>
      <c r="B7018" s="1">
        <v>45698</v>
      </c>
      <c r="C7018" t="s">
        <v>25</v>
      </c>
      <c r="D7018" s="2">
        <v>60.2</v>
      </c>
      <c r="E7018" s="2">
        <v>0</v>
      </c>
      <c r="F7018" t="s">
        <v>27</v>
      </c>
      <c r="G7018" t="s">
        <v>9</v>
      </c>
    </row>
    <row r="7019" spans="1:7" x14ac:dyDescent="0.35">
      <c r="A7019">
        <v>2784</v>
      </c>
      <c r="B7019" s="1">
        <v>45698</v>
      </c>
      <c r="C7019" t="s">
        <v>25</v>
      </c>
      <c r="D7019" s="2">
        <v>0</v>
      </c>
      <c r="E7019" s="2">
        <v>862.91</v>
      </c>
      <c r="F7019" t="s">
        <v>28</v>
      </c>
      <c r="G7019" t="s">
        <v>17</v>
      </c>
    </row>
    <row r="7020" spans="1:7" x14ac:dyDescent="0.35">
      <c r="A7020">
        <v>2785</v>
      </c>
      <c r="B7020" s="1">
        <v>45698</v>
      </c>
      <c r="C7020" t="s">
        <v>29</v>
      </c>
      <c r="D7020" s="2">
        <v>2918.17</v>
      </c>
      <c r="E7020" s="2">
        <v>0</v>
      </c>
      <c r="F7020" t="s">
        <v>28</v>
      </c>
      <c r="G7020" t="s">
        <v>17</v>
      </c>
    </row>
    <row r="7021" spans="1:7" x14ac:dyDescent="0.35">
      <c r="A7021">
        <v>2785</v>
      </c>
      <c r="B7021" s="1">
        <v>45698</v>
      </c>
      <c r="C7021" t="s">
        <v>29</v>
      </c>
      <c r="D7021" s="2">
        <v>0</v>
      </c>
      <c r="E7021" s="2">
        <v>2918.17</v>
      </c>
      <c r="F7021" t="s">
        <v>8</v>
      </c>
      <c r="G7021" t="s">
        <v>9</v>
      </c>
    </row>
    <row r="7022" spans="1:7" x14ac:dyDescent="0.35">
      <c r="A7022">
        <v>2786</v>
      </c>
      <c r="B7022" s="1">
        <v>45698</v>
      </c>
      <c r="C7022" t="s">
        <v>29</v>
      </c>
      <c r="D7022" s="2">
        <v>2504.23</v>
      </c>
      <c r="E7022" s="2">
        <v>0</v>
      </c>
      <c r="F7022" t="s">
        <v>28</v>
      </c>
      <c r="G7022" t="s">
        <v>17</v>
      </c>
    </row>
    <row r="7023" spans="1:7" x14ac:dyDescent="0.35">
      <c r="A7023">
        <v>2786</v>
      </c>
      <c r="B7023" s="1">
        <v>45698</v>
      </c>
      <c r="C7023" t="s">
        <v>29</v>
      </c>
      <c r="D7023" s="2">
        <v>0</v>
      </c>
      <c r="E7023" s="2">
        <v>2504.23</v>
      </c>
      <c r="F7023" t="s">
        <v>8</v>
      </c>
      <c r="G7023" t="s">
        <v>9</v>
      </c>
    </row>
    <row r="7024" spans="1:7" x14ac:dyDescent="0.35">
      <c r="A7024">
        <v>2787</v>
      </c>
      <c r="B7024" s="1">
        <v>45698</v>
      </c>
      <c r="C7024" t="s">
        <v>29</v>
      </c>
      <c r="D7024" s="2">
        <v>1766.46</v>
      </c>
      <c r="E7024" s="2">
        <v>0</v>
      </c>
      <c r="F7024" t="s">
        <v>28</v>
      </c>
      <c r="G7024" t="s">
        <v>17</v>
      </c>
    </row>
    <row r="7025" spans="1:7" x14ac:dyDescent="0.35">
      <c r="A7025">
        <v>2787</v>
      </c>
      <c r="B7025" s="1">
        <v>45698</v>
      </c>
      <c r="C7025" t="s">
        <v>29</v>
      </c>
      <c r="D7025" s="2">
        <v>0</v>
      </c>
      <c r="E7025" s="2">
        <v>1766.46</v>
      </c>
      <c r="F7025" t="s">
        <v>8</v>
      </c>
      <c r="G7025" t="s">
        <v>9</v>
      </c>
    </row>
    <row r="7026" spans="1:7" x14ac:dyDescent="0.35">
      <c r="A7026">
        <v>2788</v>
      </c>
      <c r="B7026" s="1">
        <v>45698</v>
      </c>
      <c r="C7026" t="s">
        <v>29</v>
      </c>
      <c r="D7026" s="2">
        <v>550.4</v>
      </c>
      <c r="E7026" s="2">
        <v>0</v>
      </c>
      <c r="F7026" t="s">
        <v>28</v>
      </c>
      <c r="G7026" t="s">
        <v>17</v>
      </c>
    </row>
    <row r="7027" spans="1:7" x14ac:dyDescent="0.35">
      <c r="A7027">
        <v>2788</v>
      </c>
      <c r="B7027" s="1">
        <v>45698</v>
      </c>
      <c r="C7027" t="s">
        <v>29</v>
      </c>
      <c r="D7027" s="2">
        <v>0</v>
      </c>
      <c r="E7027" s="2">
        <v>550.4</v>
      </c>
      <c r="F7027" t="s">
        <v>8</v>
      </c>
      <c r="G7027" t="s">
        <v>9</v>
      </c>
    </row>
    <row r="7028" spans="1:7" x14ac:dyDescent="0.35">
      <c r="A7028">
        <v>2789</v>
      </c>
      <c r="B7028" s="1">
        <v>45699</v>
      </c>
      <c r="C7028" t="s">
        <v>12</v>
      </c>
      <c r="D7028" s="2">
        <v>1238.78</v>
      </c>
      <c r="E7028" s="2">
        <v>0</v>
      </c>
      <c r="F7028" t="s">
        <v>13</v>
      </c>
      <c r="G7028" t="s">
        <v>9</v>
      </c>
    </row>
    <row r="7029" spans="1:7" x14ac:dyDescent="0.35">
      <c r="A7029">
        <v>2789</v>
      </c>
      <c r="B7029" s="1">
        <v>45699</v>
      </c>
      <c r="C7029" t="s">
        <v>12</v>
      </c>
      <c r="D7029" s="2">
        <v>0</v>
      </c>
      <c r="E7029" s="2">
        <v>1152.3499999999999</v>
      </c>
      <c r="F7029" t="s">
        <v>14</v>
      </c>
      <c r="G7029" t="s">
        <v>15</v>
      </c>
    </row>
    <row r="7030" spans="1:7" x14ac:dyDescent="0.35">
      <c r="A7030">
        <v>2789</v>
      </c>
      <c r="B7030" s="1">
        <v>45699</v>
      </c>
      <c r="C7030" t="s">
        <v>12</v>
      </c>
      <c r="D7030" s="2">
        <v>0</v>
      </c>
      <c r="E7030" s="2">
        <v>86.43</v>
      </c>
      <c r="F7030" t="s">
        <v>16</v>
      </c>
      <c r="G7030" t="s">
        <v>17</v>
      </c>
    </row>
    <row r="7031" spans="1:7" x14ac:dyDescent="0.35">
      <c r="A7031">
        <v>2790</v>
      </c>
      <c r="B7031" s="1">
        <v>45699</v>
      </c>
      <c r="C7031" t="s">
        <v>12</v>
      </c>
      <c r="D7031" s="2">
        <v>1410.12</v>
      </c>
      <c r="E7031" s="2">
        <v>0</v>
      </c>
      <c r="F7031" t="s">
        <v>13</v>
      </c>
      <c r="G7031" t="s">
        <v>9</v>
      </c>
    </row>
    <row r="7032" spans="1:7" x14ac:dyDescent="0.35">
      <c r="A7032">
        <v>2790</v>
      </c>
      <c r="B7032" s="1">
        <v>45699</v>
      </c>
      <c r="C7032" t="s">
        <v>12</v>
      </c>
      <c r="D7032" s="2">
        <v>0</v>
      </c>
      <c r="E7032" s="2">
        <v>1311.74</v>
      </c>
      <c r="F7032" t="s">
        <v>14</v>
      </c>
      <c r="G7032" t="s">
        <v>15</v>
      </c>
    </row>
    <row r="7033" spans="1:7" x14ac:dyDescent="0.35">
      <c r="A7033">
        <v>2790</v>
      </c>
      <c r="B7033" s="1">
        <v>45699</v>
      </c>
      <c r="C7033" t="s">
        <v>12</v>
      </c>
      <c r="D7033" s="2">
        <v>0</v>
      </c>
      <c r="E7033" s="2">
        <v>98.38</v>
      </c>
      <c r="F7033" t="s">
        <v>16</v>
      </c>
      <c r="G7033" t="s">
        <v>17</v>
      </c>
    </row>
    <row r="7034" spans="1:7" x14ac:dyDescent="0.35">
      <c r="A7034">
        <v>2791</v>
      </c>
      <c r="B7034" s="1">
        <v>45699</v>
      </c>
      <c r="C7034" t="s">
        <v>12</v>
      </c>
      <c r="D7034" s="2">
        <v>1822.05</v>
      </c>
      <c r="E7034" s="2">
        <v>0</v>
      </c>
      <c r="F7034" t="s">
        <v>13</v>
      </c>
      <c r="G7034" t="s">
        <v>9</v>
      </c>
    </row>
    <row r="7035" spans="1:7" x14ac:dyDescent="0.35">
      <c r="A7035">
        <v>2791</v>
      </c>
      <c r="B7035" s="1">
        <v>45699</v>
      </c>
      <c r="C7035" t="s">
        <v>12</v>
      </c>
      <c r="D7035" s="2">
        <v>0</v>
      </c>
      <c r="E7035" s="2">
        <v>1694.94</v>
      </c>
      <c r="F7035" t="s">
        <v>14</v>
      </c>
      <c r="G7035" t="s">
        <v>15</v>
      </c>
    </row>
    <row r="7036" spans="1:7" x14ac:dyDescent="0.35">
      <c r="A7036">
        <v>2791</v>
      </c>
      <c r="B7036" s="1">
        <v>45699</v>
      </c>
      <c r="C7036" t="s">
        <v>12</v>
      </c>
      <c r="D7036" s="2">
        <v>0</v>
      </c>
      <c r="E7036" s="2">
        <v>127.11</v>
      </c>
      <c r="F7036" t="s">
        <v>16</v>
      </c>
      <c r="G7036" t="s">
        <v>17</v>
      </c>
    </row>
    <row r="7037" spans="1:7" x14ac:dyDescent="0.35">
      <c r="A7037">
        <v>2792</v>
      </c>
      <c r="B7037" s="1">
        <v>45699</v>
      </c>
      <c r="C7037" t="s">
        <v>12</v>
      </c>
      <c r="D7037" s="2">
        <v>1057.3800000000001</v>
      </c>
      <c r="E7037" s="2">
        <v>0</v>
      </c>
      <c r="F7037" t="s">
        <v>13</v>
      </c>
      <c r="G7037" t="s">
        <v>9</v>
      </c>
    </row>
    <row r="7038" spans="1:7" x14ac:dyDescent="0.35">
      <c r="A7038">
        <v>2792</v>
      </c>
      <c r="B7038" s="1">
        <v>45699</v>
      </c>
      <c r="C7038" t="s">
        <v>12</v>
      </c>
      <c r="D7038" s="2">
        <v>0</v>
      </c>
      <c r="E7038" s="2">
        <v>983.61</v>
      </c>
      <c r="F7038" t="s">
        <v>14</v>
      </c>
      <c r="G7038" t="s">
        <v>15</v>
      </c>
    </row>
    <row r="7039" spans="1:7" x14ac:dyDescent="0.35">
      <c r="A7039">
        <v>2792</v>
      </c>
      <c r="B7039" s="1">
        <v>45699</v>
      </c>
      <c r="C7039" t="s">
        <v>12</v>
      </c>
      <c r="D7039" s="2">
        <v>0</v>
      </c>
      <c r="E7039" s="2">
        <v>73.77</v>
      </c>
      <c r="F7039" t="s">
        <v>16</v>
      </c>
      <c r="G7039" t="s">
        <v>17</v>
      </c>
    </row>
    <row r="7040" spans="1:7" x14ac:dyDescent="0.35">
      <c r="A7040">
        <v>2793</v>
      </c>
      <c r="B7040" s="1">
        <v>45699</v>
      </c>
      <c r="C7040" t="s">
        <v>12</v>
      </c>
      <c r="D7040" s="2">
        <v>7462.03</v>
      </c>
      <c r="E7040" s="2">
        <v>0</v>
      </c>
      <c r="F7040" t="s">
        <v>13</v>
      </c>
      <c r="G7040" t="s">
        <v>9</v>
      </c>
    </row>
    <row r="7041" spans="1:7" x14ac:dyDescent="0.35">
      <c r="A7041">
        <v>2793</v>
      </c>
      <c r="B7041" s="1">
        <v>45699</v>
      </c>
      <c r="C7041" t="s">
        <v>12</v>
      </c>
      <c r="D7041" s="2">
        <v>0</v>
      </c>
      <c r="E7041" s="2">
        <v>6941.4</v>
      </c>
      <c r="F7041" t="s">
        <v>14</v>
      </c>
      <c r="G7041" t="s">
        <v>15</v>
      </c>
    </row>
    <row r="7042" spans="1:7" x14ac:dyDescent="0.35">
      <c r="A7042">
        <v>2793</v>
      </c>
      <c r="B7042" s="1">
        <v>45699</v>
      </c>
      <c r="C7042" t="s">
        <v>12</v>
      </c>
      <c r="D7042" s="2">
        <v>0</v>
      </c>
      <c r="E7042" s="2">
        <v>520.63</v>
      </c>
      <c r="F7042" t="s">
        <v>16</v>
      </c>
      <c r="G7042" t="s">
        <v>17</v>
      </c>
    </row>
    <row r="7043" spans="1:7" x14ac:dyDescent="0.35">
      <c r="A7043">
        <v>2794</v>
      </c>
      <c r="B7043" s="1">
        <v>45699</v>
      </c>
      <c r="C7043" t="s">
        <v>24</v>
      </c>
      <c r="D7043" s="2">
        <v>663.05</v>
      </c>
      <c r="E7043" s="2">
        <v>0</v>
      </c>
      <c r="F7043" t="s">
        <v>8</v>
      </c>
      <c r="G7043" t="s">
        <v>9</v>
      </c>
    </row>
    <row r="7044" spans="1:7" x14ac:dyDescent="0.35">
      <c r="A7044">
        <v>2794</v>
      </c>
      <c r="B7044" s="1">
        <v>45699</v>
      </c>
      <c r="C7044" t="s">
        <v>24</v>
      </c>
      <c r="D7044" s="2">
        <v>0</v>
      </c>
      <c r="E7044" s="2">
        <v>663.05</v>
      </c>
      <c r="F7044" t="s">
        <v>13</v>
      </c>
      <c r="G7044" t="s">
        <v>9</v>
      </c>
    </row>
    <row r="7045" spans="1:7" x14ac:dyDescent="0.35">
      <c r="A7045">
        <v>2795</v>
      </c>
      <c r="B7045" s="1">
        <v>45699</v>
      </c>
      <c r="C7045" t="s">
        <v>24</v>
      </c>
      <c r="D7045" s="2">
        <v>2971.37</v>
      </c>
      <c r="E7045" s="2">
        <v>0</v>
      </c>
      <c r="F7045" t="s">
        <v>8</v>
      </c>
      <c r="G7045" t="s">
        <v>9</v>
      </c>
    </row>
    <row r="7046" spans="1:7" x14ac:dyDescent="0.35">
      <c r="A7046">
        <v>2795</v>
      </c>
      <c r="B7046" s="1">
        <v>45699</v>
      </c>
      <c r="C7046" t="s">
        <v>24</v>
      </c>
      <c r="D7046" s="2">
        <v>0</v>
      </c>
      <c r="E7046" s="2">
        <v>2971.37</v>
      </c>
      <c r="F7046" t="s">
        <v>13</v>
      </c>
      <c r="G7046" t="s">
        <v>9</v>
      </c>
    </row>
    <row r="7047" spans="1:7" x14ac:dyDescent="0.35">
      <c r="A7047">
        <v>2796</v>
      </c>
      <c r="B7047" s="1">
        <v>45699</v>
      </c>
      <c r="C7047" t="s">
        <v>24</v>
      </c>
      <c r="D7047" s="2">
        <v>1472.43</v>
      </c>
      <c r="E7047" s="2">
        <v>0</v>
      </c>
      <c r="F7047" t="s">
        <v>8</v>
      </c>
      <c r="G7047" t="s">
        <v>9</v>
      </c>
    </row>
    <row r="7048" spans="1:7" x14ac:dyDescent="0.35">
      <c r="A7048">
        <v>2796</v>
      </c>
      <c r="B7048" s="1">
        <v>45699</v>
      </c>
      <c r="C7048" t="s">
        <v>24</v>
      </c>
      <c r="D7048" s="2">
        <v>0</v>
      </c>
      <c r="E7048" s="2">
        <v>1472.43</v>
      </c>
      <c r="F7048" t="s">
        <v>13</v>
      </c>
      <c r="G7048" t="s">
        <v>9</v>
      </c>
    </row>
    <row r="7049" spans="1:7" x14ac:dyDescent="0.35">
      <c r="A7049">
        <v>2797</v>
      </c>
      <c r="B7049" s="1">
        <v>45699</v>
      </c>
      <c r="C7049" t="s">
        <v>24</v>
      </c>
      <c r="D7049" s="2">
        <v>1251.04</v>
      </c>
      <c r="E7049" s="2">
        <v>0</v>
      </c>
      <c r="F7049" t="s">
        <v>8</v>
      </c>
      <c r="G7049" t="s">
        <v>9</v>
      </c>
    </row>
    <row r="7050" spans="1:7" x14ac:dyDescent="0.35">
      <c r="A7050">
        <v>2797</v>
      </c>
      <c r="B7050" s="1">
        <v>45699</v>
      </c>
      <c r="C7050" t="s">
        <v>24</v>
      </c>
      <c r="D7050" s="2">
        <v>0</v>
      </c>
      <c r="E7050" s="2">
        <v>1251.04</v>
      </c>
      <c r="F7050" t="s">
        <v>13</v>
      </c>
      <c r="G7050" t="s">
        <v>9</v>
      </c>
    </row>
    <row r="7051" spans="1:7" x14ac:dyDescent="0.35">
      <c r="A7051">
        <v>2798</v>
      </c>
      <c r="B7051" s="1">
        <v>45699</v>
      </c>
      <c r="C7051" t="s">
        <v>24</v>
      </c>
      <c r="D7051" s="2">
        <v>2982.84</v>
      </c>
      <c r="E7051" s="2">
        <v>0</v>
      </c>
      <c r="F7051" t="s">
        <v>8</v>
      </c>
      <c r="G7051" t="s">
        <v>9</v>
      </c>
    </row>
    <row r="7052" spans="1:7" x14ac:dyDescent="0.35">
      <c r="A7052">
        <v>2798</v>
      </c>
      <c r="B7052" s="1">
        <v>45699</v>
      </c>
      <c r="C7052" t="s">
        <v>24</v>
      </c>
      <c r="D7052" s="2">
        <v>0</v>
      </c>
      <c r="E7052" s="2">
        <v>2982.84</v>
      </c>
      <c r="F7052" t="s">
        <v>13</v>
      </c>
      <c r="G7052" t="s">
        <v>9</v>
      </c>
    </row>
    <row r="7053" spans="1:7" x14ac:dyDescent="0.35">
      <c r="A7053">
        <v>2799</v>
      </c>
      <c r="B7053" s="1">
        <v>45699</v>
      </c>
      <c r="C7053" t="s">
        <v>24</v>
      </c>
      <c r="D7053" s="2">
        <v>1822.05</v>
      </c>
      <c r="E7053" s="2">
        <v>0</v>
      </c>
      <c r="F7053" t="s">
        <v>8</v>
      </c>
      <c r="G7053" t="s">
        <v>9</v>
      </c>
    </row>
    <row r="7054" spans="1:7" x14ac:dyDescent="0.35">
      <c r="A7054">
        <v>2799</v>
      </c>
      <c r="B7054" s="1">
        <v>45699</v>
      </c>
      <c r="C7054" t="s">
        <v>24</v>
      </c>
      <c r="D7054" s="2">
        <v>0</v>
      </c>
      <c r="E7054" s="2">
        <v>1822.05</v>
      </c>
      <c r="F7054" t="s">
        <v>13</v>
      </c>
      <c r="G7054" t="s">
        <v>9</v>
      </c>
    </row>
    <row r="7055" spans="1:7" x14ac:dyDescent="0.35">
      <c r="A7055">
        <v>2800</v>
      </c>
      <c r="B7055" s="1">
        <v>45699</v>
      </c>
      <c r="C7055" t="s">
        <v>24</v>
      </c>
      <c r="D7055" s="2">
        <v>7462.03</v>
      </c>
      <c r="E7055" s="2">
        <v>0</v>
      </c>
      <c r="F7055" t="s">
        <v>8</v>
      </c>
      <c r="G7055" t="s">
        <v>9</v>
      </c>
    </row>
    <row r="7056" spans="1:7" x14ac:dyDescent="0.35">
      <c r="A7056">
        <v>2800</v>
      </c>
      <c r="B7056" s="1">
        <v>45699</v>
      </c>
      <c r="C7056" t="s">
        <v>24</v>
      </c>
      <c r="D7056" s="2">
        <v>0</v>
      </c>
      <c r="E7056" s="2">
        <v>7462.03</v>
      </c>
      <c r="F7056" t="s">
        <v>13</v>
      </c>
      <c r="G7056" t="s">
        <v>9</v>
      </c>
    </row>
    <row r="7057" spans="1:7" x14ac:dyDescent="0.35">
      <c r="A7057">
        <v>2801</v>
      </c>
      <c r="B7057" s="1">
        <v>45700</v>
      </c>
      <c r="C7057" t="s">
        <v>12</v>
      </c>
      <c r="D7057" s="2">
        <v>2628.43</v>
      </c>
      <c r="E7057" s="2">
        <v>0</v>
      </c>
      <c r="F7057" t="s">
        <v>13</v>
      </c>
      <c r="G7057" t="s">
        <v>9</v>
      </c>
    </row>
    <row r="7058" spans="1:7" x14ac:dyDescent="0.35">
      <c r="A7058">
        <v>2801</v>
      </c>
      <c r="B7058" s="1">
        <v>45700</v>
      </c>
      <c r="C7058" t="s">
        <v>12</v>
      </c>
      <c r="D7058" s="2">
        <v>0</v>
      </c>
      <c r="E7058" s="2">
        <v>2445.0500000000002</v>
      </c>
      <c r="F7058" t="s">
        <v>14</v>
      </c>
      <c r="G7058" t="s">
        <v>15</v>
      </c>
    </row>
    <row r="7059" spans="1:7" x14ac:dyDescent="0.35">
      <c r="A7059">
        <v>2801</v>
      </c>
      <c r="B7059" s="1">
        <v>45700</v>
      </c>
      <c r="C7059" t="s">
        <v>12</v>
      </c>
      <c r="D7059" s="2">
        <v>0</v>
      </c>
      <c r="E7059" s="2">
        <v>183.38</v>
      </c>
      <c r="F7059" t="s">
        <v>16</v>
      </c>
      <c r="G7059" t="s">
        <v>17</v>
      </c>
    </row>
    <row r="7060" spans="1:7" x14ac:dyDescent="0.35">
      <c r="A7060">
        <v>2802</v>
      </c>
      <c r="B7060" s="1">
        <v>45700</v>
      </c>
      <c r="C7060" t="s">
        <v>12</v>
      </c>
      <c r="D7060" s="2">
        <v>464.03</v>
      </c>
      <c r="E7060" s="2">
        <v>0</v>
      </c>
      <c r="F7060" t="s">
        <v>13</v>
      </c>
      <c r="G7060" t="s">
        <v>9</v>
      </c>
    </row>
    <row r="7061" spans="1:7" x14ac:dyDescent="0.35">
      <c r="A7061">
        <v>2802</v>
      </c>
      <c r="B7061" s="1">
        <v>45700</v>
      </c>
      <c r="C7061" t="s">
        <v>12</v>
      </c>
      <c r="D7061" s="2">
        <v>0</v>
      </c>
      <c r="E7061" s="2">
        <v>431.66</v>
      </c>
      <c r="F7061" t="s">
        <v>14</v>
      </c>
      <c r="G7061" t="s">
        <v>15</v>
      </c>
    </row>
    <row r="7062" spans="1:7" x14ac:dyDescent="0.35">
      <c r="A7062">
        <v>2802</v>
      </c>
      <c r="B7062" s="1">
        <v>45700</v>
      </c>
      <c r="C7062" t="s">
        <v>12</v>
      </c>
      <c r="D7062" s="2">
        <v>0</v>
      </c>
      <c r="E7062" s="2">
        <v>32.369999999999997</v>
      </c>
      <c r="F7062" t="s">
        <v>16</v>
      </c>
      <c r="G7062" t="s">
        <v>17</v>
      </c>
    </row>
    <row r="7063" spans="1:7" x14ac:dyDescent="0.35">
      <c r="A7063">
        <v>2803</v>
      </c>
      <c r="B7063" s="1">
        <v>45700</v>
      </c>
      <c r="C7063" t="s">
        <v>12</v>
      </c>
      <c r="D7063" s="2">
        <v>2849.76</v>
      </c>
      <c r="E7063" s="2">
        <v>0</v>
      </c>
      <c r="F7063" t="s">
        <v>13</v>
      </c>
      <c r="G7063" t="s">
        <v>9</v>
      </c>
    </row>
    <row r="7064" spans="1:7" x14ac:dyDescent="0.35">
      <c r="A7064">
        <v>2803</v>
      </c>
      <c r="B7064" s="1">
        <v>45700</v>
      </c>
      <c r="C7064" t="s">
        <v>12</v>
      </c>
      <c r="D7064" s="2">
        <v>0</v>
      </c>
      <c r="E7064" s="2">
        <v>2650.94</v>
      </c>
      <c r="F7064" t="s">
        <v>14</v>
      </c>
      <c r="G7064" t="s">
        <v>15</v>
      </c>
    </row>
    <row r="7065" spans="1:7" x14ac:dyDescent="0.35">
      <c r="A7065">
        <v>2803</v>
      </c>
      <c r="B7065" s="1">
        <v>45700</v>
      </c>
      <c r="C7065" t="s">
        <v>12</v>
      </c>
      <c r="D7065" s="2">
        <v>0</v>
      </c>
      <c r="E7065" s="2">
        <v>198.82</v>
      </c>
      <c r="F7065" t="s">
        <v>16</v>
      </c>
      <c r="G7065" t="s">
        <v>17</v>
      </c>
    </row>
    <row r="7066" spans="1:7" x14ac:dyDescent="0.35">
      <c r="A7066">
        <v>2804</v>
      </c>
      <c r="B7066" s="1">
        <v>45700</v>
      </c>
      <c r="C7066" t="s">
        <v>12</v>
      </c>
      <c r="D7066" s="2">
        <v>2732.31</v>
      </c>
      <c r="E7066" s="2">
        <v>0</v>
      </c>
      <c r="F7066" t="s">
        <v>13</v>
      </c>
      <c r="G7066" t="s">
        <v>9</v>
      </c>
    </row>
    <row r="7067" spans="1:7" x14ac:dyDescent="0.35">
      <c r="A7067">
        <v>2804</v>
      </c>
      <c r="B7067" s="1">
        <v>45700</v>
      </c>
      <c r="C7067" t="s">
        <v>12</v>
      </c>
      <c r="D7067" s="2">
        <v>0</v>
      </c>
      <c r="E7067" s="2">
        <v>2541.6799999999998</v>
      </c>
      <c r="F7067" t="s">
        <v>14</v>
      </c>
      <c r="G7067" t="s">
        <v>15</v>
      </c>
    </row>
    <row r="7068" spans="1:7" x14ac:dyDescent="0.35">
      <c r="A7068">
        <v>2804</v>
      </c>
      <c r="B7068" s="1">
        <v>45700</v>
      </c>
      <c r="C7068" t="s">
        <v>12</v>
      </c>
      <c r="D7068" s="2">
        <v>0</v>
      </c>
      <c r="E7068" s="2">
        <v>190.63</v>
      </c>
      <c r="F7068" t="s">
        <v>16</v>
      </c>
      <c r="G7068" t="s">
        <v>17</v>
      </c>
    </row>
    <row r="7069" spans="1:7" x14ac:dyDescent="0.35">
      <c r="A7069">
        <v>2805</v>
      </c>
      <c r="B7069" s="1">
        <v>45700</v>
      </c>
      <c r="C7069" t="s">
        <v>12</v>
      </c>
      <c r="D7069" s="2">
        <v>45.9</v>
      </c>
      <c r="E7069" s="2">
        <v>0</v>
      </c>
      <c r="F7069" t="s">
        <v>13</v>
      </c>
      <c r="G7069" t="s">
        <v>9</v>
      </c>
    </row>
    <row r="7070" spans="1:7" x14ac:dyDescent="0.35">
      <c r="A7070">
        <v>2805</v>
      </c>
      <c r="B7070" s="1">
        <v>45700</v>
      </c>
      <c r="C7070" t="s">
        <v>12</v>
      </c>
      <c r="D7070" s="2">
        <v>0</v>
      </c>
      <c r="E7070" s="2">
        <v>42.7</v>
      </c>
      <c r="F7070" t="s">
        <v>14</v>
      </c>
      <c r="G7070" t="s">
        <v>15</v>
      </c>
    </row>
    <row r="7071" spans="1:7" x14ac:dyDescent="0.35">
      <c r="A7071">
        <v>2805</v>
      </c>
      <c r="B7071" s="1">
        <v>45700</v>
      </c>
      <c r="C7071" t="s">
        <v>12</v>
      </c>
      <c r="D7071" s="2">
        <v>0</v>
      </c>
      <c r="E7071" s="2">
        <v>3.2</v>
      </c>
      <c r="F7071" t="s">
        <v>16</v>
      </c>
      <c r="G7071" t="s">
        <v>17</v>
      </c>
    </row>
    <row r="7072" spans="1:7" x14ac:dyDescent="0.35">
      <c r="A7072">
        <v>2806</v>
      </c>
      <c r="B7072" s="1">
        <v>45700</v>
      </c>
      <c r="C7072" t="s">
        <v>24</v>
      </c>
      <c r="D7072" s="2">
        <v>650.35</v>
      </c>
      <c r="E7072" s="2">
        <v>0</v>
      </c>
      <c r="F7072" t="s">
        <v>8</v>
      </c>
      <c r="G7072" t="s">
        <v>9</v>
      </c>
    </row>
    <row r="7073" spans="1:7" x14ac:dyDescent="0.35">
      <c r="A7073">
        <v>2806</v>
      </c>
      <c r="B7073" s="1">
        <v>45700</v>
      </c>
      <c r="C7073" t="s">
        <v>24</v>
      </c>
      <c r="D7073" s="2">
        <v>0</v>
      </c>
      <c r="E7073" s="2">
        <v>650.35</v>
      </c>
      <c r="F7073" t="s">
        <v>13</v>
      </c>
      <c r="G7073" t="s">
        <v>9</v>
      </c>
    </row>
    <row r="7074" spans="1:7" x14ac:dyDescent="0.35">
      <c r="A7074">
        <v>2807</v>
      </c>
      <c r="B7074" s="1">
        <v>45700</v>
      </c>
      <c r="C7074" t="s">
        <v>24</v>
      </c>
      <c r="D7074" s="2">
        <v>2804.39</v>
      </c>
      <c r="E7074" s="2">
        <v>0</v>
      </c>
      <c r="F7074" t="s">
        <v>8</v>
      </c>
      <c r="G7074" t="s">
        <v>9</v>
      </c>
    </row>
    <row r="7075" spans="1:7" x14ac:dyDescent="0.35">
      <c r="A7075">
        <v>2807</v>
      </c>
      <c r="B7075" s="1">
        <v>45700</v>
      </c>
      <c r="C7075" t="s">
        <v>24</v>
      </c>
      <c r="D7075" s="2">
        <v>0</v>
      </c>
      <c r="E7075" s="2">
        <v>2804.39</v>
      </c>
      <c r="F7075" t="s">
        <v>13</v>
      </c>
      <c r="G7075" t="s">
        <v>9</v>
      </c>
    </row>
    <row r="7076" spans="1:7" x14ac:dyDescent="0.35">
      <c r="A7076">
        <v>2808</v>
      </c>
      <c r="B7076" s="1">
        <v>45700</v>
      </c>
      <c r="C7076" t="s">
        <v>24</v>
      </c>
      <c r="D7076" s="2">
        <v>5346.93</v>
      </c>
      <c r="E7076" s="2">
        <v>0</v>
      </c>
      <c r="F7076" t="s">
        <v>8</v>
      </c>
      <c r="G7076" t="s">
        <v>9</v>
      </c>
    </row>
    <row r="7077" spans="1:7" x14ac:dyDescent="0.35">
      <c r="A7077">
        <v>2808</v>
      </c>
      <c r="B7077" s="1">
        <v>45700</v>
      </c>
      <c r="C7077" t="s">
        <v>24</v>
      </c>
      <c r="D7077" s="2">
        <v>0</v>
      </c>
      <c r="E7077" s="2">
        <v>5346.93</v>
      </c>
      <c r="F7077" t="s">
        <v>13</v>
      </c>
      <c r="G7077" t="s">
        <v>9</v>
      </c>
    </row>
    <row r="7078" spans="1:7" x14ac:dyDescent="0.35">
      <c r="A7078">
        <v>2809</v>
      </c>
      <c r="B7078" s="1">
        <v>45700</v>
      </c>
      <c r="C7078" t="s">
        <v>24</v>
      </c>
      <c r="D7078" s="2">
        <v>2267.23</v>
      </c>
      <c r="E7078" s="2">
        <v>0</v>
      </c>
      <c r="F7078" t="s">
        <v>8</v>
      </c>
      <c r="G7078" t="s">
        <v>9</v>
      </c>
    </row>
    <row r="7079" spans="1:7" x14ac:dyDescent="0.35">
      <c r="A7079">
        <v>2809</v>
      </c>
      <c r="B7079" s="1">
        <v>45700</v>
      </c>
      <c r="C7079" t="s">
        <v>24</v>
      </c>
      <c r="D7079" s="2">
        <v>0</v>
      </c>
      <c r="E7079" s="2">
        <v>2267.23</v>
      </c>
      <c r="F7079" t="s">
        <v>13</v>
      </c>
      <c r="G7079" t="s">
        <v>9</v>
      </c>
    </row>
    <row r="7080" spans="1:7" x14ac:dyDescent="0.35">
      <c r="A7080">
        <v>2810</v>
      </c>
      <c r="B7080" s="1">
        <v>45700</v>
      </c>
      <c r="C7080" t="s">
        <v>24</v>
      </c>
      <c r="D7080" s="2">
        <v>614.59</v>
      </c>
      <c r="E7080" s="2">
        <v>0</v>
      </c>
      <c r="F7080" t="s">
        <v>8</v>
      </c>
      <c r="G7080" t="s">
        <v>9</v>
      </c>
    </row>
    <row r="7081" spans="1:7" x14ac:dyDescent="0.35">
      <c r="A7081">
        <v>2810</v>
      </c>
      <c r="B7081" s="1">
        <v>45700</v>
      </c>
      <c r="C7081" t="s">
        <v>24</v>
      </c>
      <c r="D7081" s="2">
        <v>0</v>
      </c>
      <c r="E7081" s="2">
        <v>614.59</v>
      </c>
      <c r="F7081" t="s">
        <v>13</v>
      </c>
      <c r="G7081" t="s">
        <v>9</v>
      </c>
    </row>
    <row r="7082" spans="1:7" x14ac:dyDescent="0.35">
      <c r="A7082">
        <v>2811</v>
      </c>
      <c r="B7082" s="1">
        <v>45700</v>
      </c>
      <c r="C7082" t="s">
        <v>25</v>
      </c>
      <c r="D7082" s="2">
        <v>1947.24</v>
      </c>
      <c r="E7082" s="2">
        <v>0</v>
      </c>
      <c r="F7082" t="s">
        <v>26</v>
      </c>
      <c r="G7082" t="s">
        <v>20</v>
      </c>
    </row>
    <row r="7083" spans="1:7" x14ac:dyDescent="0.35">
      <c r="A7083">
        <v>2811</v>
      </c>
      <c r="B7083" s="1">
        <v>45700</v>
      </c>
      <c r="C7083" t="s">
        <v>25</v>
      </c>
      <c r="D7083" s="2">
        <v>146.04</v>
      </c>
      <c r="E7083" s="2">
        <v>0</v>
      </c>
      <c r="F7083" t="s">
        <v>27</v>
      </c>
      <c r="G7083" t="s">
        <v>9</v>
      </c>
    </row>
    <row r="7084" spans="1:7" x14ac:dyDescent="0.35">
      <c r="A7084">
        <v>2811</v>
      </c>
      <c r="B7084" s="1">
        <v>45700</v>
      </c>
      <c r="C7084" t="s">
        <v>25</v>
      </c>
      <c r="D7084" s="2">
        <v>0</v>
      </c>
      <c r="E7084" s="2">
        <v>2093.2800000000002</v>
      </c>
      <c r="F7084" t="s">
        <v>28</v>
      </c>
      <c r="G7084" t="s">
        <v>17</v>
      </c>
    </row>
    <row r="7085" spans="1:7" x14ac:dyDescent="0.35">
      <c r="A7085">
        <v>2812</v>
      </c>
      <c r="B7085" s="1">
        <v>45700</v>
      </c>
      <c r="C7085" t="s">
        <v>29</v>
      </c>
      <c r="D7085" s="2">
        <v>3528.97</v>
      </c>
      <c r="E7085" s="2">
        <v>0</v>
      </c>
      <c r="F7085" t="s">
        <v>28</v>
      </c>
      <c r="G7085" t="s">
        <v>17</v>
      </c>
    </row>
    <row r="7086" spans="1:7" x14ac:dyDescent="0.35">
      <c r="A7086">
        <v>2812</v>
      </c>
      <c r="B7086" s="1">
        <v>45700</v>
      </c>
      <c r="C7086" t="s">
        <v>29</v>
      </c>
      <c r="D7086" s="2">
        <v>0</v>
      </c>
      <c r="E7086" s="2">
        <v>3528.97</v>
      </c>
      <c r="F7086" t="s">
        <v>8</v>
      </c>
      <c r="G7086" t="s">
        <v>9</v>
      </c>
    </row>
    <row r="7087" spans="1:7" x14ac:dyDescent="0.35">
      <c r="A7087">
        <v>2813</v>
      </c>
      <c r="B7087" s="1">
        <v>45701</v>
      </c>
      <c r="C7087" t="s">
        <v>18</v>
      </c>
      <c r="D7087" s="2">
        <v>22037.74</v>
      </c>
      <c r="E7087" s="2">
        <v>0</v>
      </c>
      <c r="F7087" t="s">
        <v>19</v>
      </c>
      <c r="G7087" t="s">
        <v>20</v>
      </c>
    </row>
    <row r="7088" spans="1:7" x14ac:dyDescent="0.35">
      <c r="A7088">
        <v>2813</v>
      </c>
      <c r="B7088" s="1">
        <v>45701</v>
      </c>
      <c r="C7088" t="s">
        <v>18</v>
      </c>
      <c r="D7088" s="2">
        <v>881.51</v>
      </c>
      <c r="E7088" s="2">
        <v>0</v>
      </c>
      <c r="F7088" t="s">
        <v>21</v>
      </c>
      <c r="G7088" t="s">
        <v>20</v>
      </c>
    </row>
    <row r="7089" spans="1:7" x14ac:dyDescent="0.35">
      <c r="A7089">
        <v>2813</v>
      </c>
      <c r="B7089" s="1">
        <v>45701</v>
      </c>
      <c r="C7089" t="s">
        <v>18</v>
      </c>
      <c r="D7089" s="2">
        <v>0</v>
      </c>
      <c r="E7089" s="2">
        <v>17968.47</v>
      </c>
      <c r="F7089" t="s">
        <v>8</v>
      </c>
      <c r="G7089" t="s">
        <v>9</v>
      </c>
    </row>
    <row r="7090" spans="1:7" x14ac:dyDescent="0.35">
      <c r="A7090">
        <v>2813</v>
      </c>
      <c r="B7090" s="1">
        <v>45701</v>
      </c>
      <c r="C7090" t="s">
        <v>18</v>
      </c>
      <c r="D7090" s="2">
        <v>0</v>
      </c>
      <c r="E7090" s="2">
        <v>4069.27</v>
      </c>
      <c r="F7090" t="s">
        <v>22</v>
      </c>
      <c r="G7090" t="s">
        <v>17</v>
      </c>
    </row>
    <row r="7091" spans="1:7" x14ac:dyDescent="0.35">
      <c r="A7091">
        <v>2813</v>
      </c>
      <c r="B7091" s="1">
        <v>45701</v>
      </c>
      <c r="C7091" t="s">
        <v>18</v>
      </c>
      <c r="D7091" s="2">
        <v>0</v>
      </c>
      <c r="E7091" s="2">
        <v>881.51</v>
      </c>
      <c r="F7091" t="s">
        <v>23</v>
      </c>
      <c r="G7091" t="s">
        <v>17</v>
      </c>
    </row>
    <row r="7092" spans="1:7" x14ac:dyDescent="0.35">
      <c r="A7092">
        <v>2814</v>
      </c>
      <c r="B7092" s="1">
        <v>45701</v>
      </c>
      <c r="C7092" t="s">
        <v>12</v>
      </c>
      <c r="D7092" s="2">
        <v>64.94</v>
      </c>
      <c r="E7092" s="2">
        <v>0</v>
      </c>
      <c r="F7092" t="s">
        <v>13</v>
      </c>
      <c r="G7092" t="s">
        <v>9</v>
      </c>
    </row>
    <row r="7093" spans="1:7" x14ac:dyDescent="0.35">
      <c r="A7093">
        <v>2814</v>
      </c>
      <c r="B7093" s="1">
        <v>45701</v>
      </c>
      <c r="C7093" t="s">
        <v>12</v>
      </c>
      <c r="D7093" s="2">
        <v>0</v>
      </c>
      <c r="E7093" s="2">
        <v>60.41</v>
      </c>
      <c r="F7093" t="s">
        <v>14</v>
      </c>
      <c r="G7093" t="s">
        <v>15</v>
      </c>
    </row>
    <row r="7094" spans="1:7" x14ac:dyDescent="0.35">
      <c r="A7094">
        <v>2814</v>
      </c>
      <c r="B7094" s="1">
        <v>45701</v>
      </c>
      <c r="C7094" t="s">
        <v>12</v>
      </c>
      <c r="D7094" s="2">
        <v>0</v>
      </c>
      <c r="E7094" s="2">
        <v>4.53</v>
      </c>
      <c r="F7094" t="s">
        <v>16</v>
      </c>
      <c r="G7094" t="s">
        <v>17</v>
      </c>
    </row>
    <row r="7095" spans="1:7" x14ac:dyDescent="0.35">
      <c r="A7095">
        <v>2815</v>
      </c>
      <c r="B7095" s="1">
        <v>45701</v>
      </c>
      <c r="C7095" t="s">
        <v>24</v>
      </c>
      <c r="D7095" s="2">
        <v>1032.93</v>
      </c>
      <c r="E7095" s="2">
        <v>0</v>
      </c>
      <c r="F7095" t="s">
        <v>8</v>
      </c>
      <c r="G7095" t="s">
        <v>9</v>
      </c>
    </row>
    <row r="7096" spans="1:7" x14ac:dyDescent="0.35">
      <c r="A7096">
        <v>2815</v>
      </c>
      <c r="B7096" s="1">
        <v>45701</v>
      </c>
      <c r="C7096" t="s">
        <v>24</v>
      </c>
      <c r="D7096" s="2">
        <v>0</v>
      </c>
      <c r="E7096" s="2">
        <v>1032.93</v>
      </c>
      <c r="F7096" t="s">
        <v>13</v>
      </c>
      <c r="G7096" t="s">
        <v>9</v>
      </c>
    </row>
    <row r="7097" spans="1:7" x14ac:dyDescent="0.35">
      <c r="A7097">
        <v>2816</v>
      </c>
      <c r="B7097" s="1">
        <v>45701</v>
      </c>
      <c r="C7097" t="s">
        <v>24</v>
      </c>
      <c r="D7097" s="2">
        <v>3459.22</v>
      </c>
      <c r="E7097" s="2">
        <v>0</v>
      </c>
      <c r="F7097" t="s">
        <v>8</v>
      </c>
      <c r="G7097" t="s">
        <v>9</v>
      </c>
    </row>
    <row r="7098" spans="1:7" x14ac:dyDescent="0.35">
      <c r="A7098">
        <v>2816</v>
      </c>
      <c r="B7098" s="1">
        <v>45701</v>
      </c>
      <c r="C7098" t="s">
        <v>24</v>
      </c>
      <c r="D7098" s="2">
        <v>0</v>
      </c>
      <c r="E7098" s="2">
        <v>3459.22</v>
      </c>
      <c r="F7098" t="s">
        <v>13</v>
      </c>
      <c r="G7098" t="s">
        <v>9</v>
      </c>
    </row>
    <row r="7099" spans="1:7" x14ac:dyDescent="0.35">
      <c r="A7099">
        <v>2817</v>
      </c>
      <c r="B7099" s="1">
        <v>45701</v>
      </c>
      <c r="C7099" t="s">
        <v>24</v>
      </c>
      <c r="D7099" s="2">
        <v>2223.36</v>
      </c>
      <c r="E7099" s="2">
        <v>0</v>
      </c>
      <c r="F7099" t="s">
        <v>8</v>
      </c>
      <c r="G7099" t="s">
        <v>9</v>
      </c>
    </row>
    <row r="7100" spans="1:7" x14ac:dyDescent="0.35">
      <c r="A7100">
        <v>2817</v>
      </c>
      <c r="B7100" s="1">
        <v>45701</v>
      </c>
      <c r="C7100" t="s">
        <v>24</v>
      </c>
      <c r="D7100" s="2">
        <v>0</v>
      </c>
      <c r="E7100" s="2">
        <v>2223.36</v>
      </c>
      <c r="F7100" t="s">
        <v>13</v>
      </c>
      <c r="G7100" t="s">
        <v>9</v>
      </c>
    </row>
    <row r="7101" spans="1:7" x14ac:dyDescent="0.35">
      <c r="A7101">
        <v>2818</v>
      </c>
      <c r="B7101" s="1">
        <v>45701</v>
      </c>
      <c r="C7101" t="s">
        <v>24</v>
      </c>
      <c r="D7101" s="2">
        <v>352.77</v>
      </c>
      <c r="E7101" s="2">
        <v>0</v>
      </c>
      <c r="F7101" t="s">
        <v>8</v>
      </c>
      <c r="G7101" t="s">
        <v>9</v>
      </c>
    </row>
    <row r="7102" spans="1:7" x14ac:dyDescent="0.35">
      <c r="A7102">
        <v>2818</v>
      </c>
      <c r="B7102" s="1">
        <v>45701</v>
      </c>
      <c r="C7102" t="s">
        <v>24</v>
      </c>
      <c r="D7102" s="2">
        <v>0</v>
      </c>
      <c r="E7102" s="2">
        <v>352.77</v>
      </c>
      <c r="F7102" t="s">
        <v>13</v>
      </c>
      <c r="G7102" t="s">
        <v>9</v>
      </c>
    </row>
    <row r="7103" spans="1:7" x14ac:dyDescent="0.35">
      <c r="A7103">
        <v>2819</v>
      </c>
      <c r="B7103" s="1">
        <v>45701</v>
      </c>
      <c r="C7103" t="s">
        <v>25</v>
      </c>
      <c r="D7103" s="2">
        <v>166.52</v>
      </c>
      <c r="E7103" s="2">
        <v>0</v>
      </c>
      <c r="F7103" t="s">
        <v>26</v>
      </c>
      <c r="G7103" t="s">
        <v>20</v>
      </c>
    </row>
    <row r="7104" spans="1:7" x14ac:dyDescent="0.35">
      <c r="A7104">
        <v>2819</v>
      </c>
      <c r="B7104" s="1">
        <v>45701</v>
      </c>
      <c r="C7104" t="s">
        <v>25</v>
      </c>
      <c r="D7104" s="2">
        <v>12.49</v>
      </c>
      <c r="E7104" s="2">
        <v>0</v>
      </c>
      <c r="F7104" t="s">
        <v>27</v>
      </c>
      <c r="G7104" t="s">
        <v>9</v>
      </c>
    </row>
    <row r="7105" spans="1:7" x14ac:dyDescent="0.35">
      <c r="A7105">
        <v>2819</v>
      </c>
      <c r="B7105" s="1">
        <v>45701</v>
      </c>
      <c r="C7105" t="s">
        <v>25</v>
      </c>
      <c r="D7105" s="2">
        <v>0</v>
      </c>
      <c r="E7105" s="2">
        <v>179.01</v>
      </c>
      <c r="F7105" t="s">
        <v>28</v>
      </c>
      <c r="G7105" t="s">
        <v>17</v>
      </c>
    </row>
    <row r="7106" spans="1:7" x14ac:dyDescent="0.35">
      <c r="A7106">
        <v>2820</v>
      </c>
      <c r="B7106" s="1">
        <v>45702</v>
      </c>
      <c r="C7106" t="s">
        <v>12</v>
      </c>
      <c r="D7106" s="2">
        <v>2270.83</v>
      </c>
      <c r="E7106" s="2">
        <v>0</v>
      </c>
      <c r="F7106" t="s">
        <v>13</v>
      </c>
      <c r="G7106" t="s">
        <v>9</v>
      </c>
    </row>
    <row r="7107" spans="1:7" x14ac:dyDescent="0.35">
      <c r="A7107">
        <v>2820</v>
      </c>
      <c r="B7107" s="1">
        <v>45702</v>
      </c>
      <c r="C7107" t="s">
        <v>12</v>
      </c>
      <c r="D7107" s="2">
        <v>0</v>
      </c>
      <c r="E7107" s="2">
        <v>2112.41</v>
      </c>
      <c r="F7107" t="s">
        <v>14</v>
      </c>
      <c r="G7107" t="s">
        <v>15</v>
      </c>
    </row>
    <row r="7108" spans="1:7" x14ac:dyDescent="0.35">
      <c r="A7108">
        <v>2820</v>
      </c>
      <c r="B7108" s="1">
        <v>45702</v>
      </c>
      <c r="C7108" t="s">
        <v>12</v>
      </c>
      <c r="D7108" s="2">
        <v>0</v>
      </c>
      <c r="E7108" s="2">
        <v>158.41999999999999</v>
      </c>
      <c r="F7108" t="s">
        <v>16</v>
      </c>
      <c r="G7108" t="s">
        <v>17</v>
      </c>
    </row>
    <row r="7109" spans="1:7" x14ac:dyDescent="0.35">
      <c r="A7109">
        <v>2821</v>
      </c>
      <c r="B7109" s="1">
        <v>45702</v>
      </c>
      <c r="C7109" t="s">
        <v>12</v>
      </c>
      <c r="D7109" s="2">
        <v>160.61000000000001</v>
      </c>
      <c r="E7109" s="2">
        <v>0</v>
      </c>
      <c r="F7109" t="s">
        <v>13</v>
      </c>
      <c r="G7109" t="s">
        <v>9</v>
      </c>
    </row>
    <row r="7110" spans="1:7" x14ac:dyDescent="0.35">
      <c r="A7110">
        <v>2821</v>
      </c>
      <c r="B7110" s="1">
        <v>45702</v>
      </c>
      <c r="C7110" t="s">
        <v>12</v>
      </c>
      <c r="D7110" s="2">
        <v>0</v>
      </c>
      <c r="E7110" s="2">
        <v>149.4</v>
      </c>
      <c r="F7110" t="s">
        <v>14</v>
      </c>
      <c r="G7110" t="s">
        <v>15</v>
      </c>
    </row>
    <row r="7111" spans="1:7" x14ac:dyDescent="0.35">
      <c r="A7111">
        <v>2821</v>
      </c>
      <c r="B7111" s="1">
        <v>45702</v>
      </c>
      <c r="C7111" t="s">
        <v>12</v>
      </c>
      <c r="D7111" s="2">
        <v>0</v>
      </c>
      <c r="E7111" s="2">
        <v>11.21</v>
      </c>
      <c r="F7111" t="s">
        <v>16</v>
      </c>
      <c r="G7111" t="s">
        <v>17</v>
      </c>
    </row>
    <row r="7112" spans="1:7" x14ac:dyDescent="0.35">
      <c r="A7112">
        <v>2822</v>
      </c>
      <c r="B7112" s="1">
        <v>45702</v>
      </c>
      <c r="C7112" t="s">
        <v>12</v>
      </c>
      <c r="D7112" s="2">
        <v>152.16</v>
      </c>
      <c r="E7112" s="2">
        <v>0</v>
      </c>
      <c r="F7112" t="s">
        <v>13</v>
      </c>
      <c r="G7112" t="s">
        <v>9</v>
      </c>
    </row>
    <row r="7113" spans="1:7" x14ac:dyDescent="0.35">
      <c r="A7113">
        <v>2822</v>
      </c>
      <c r="B7113" s="1">
        <v>45702</v>
      </c>
      <c r="C7113" t="s">
        <v>12</v>
      </c>
      <c r="D7113" s="2">
        <v>0</v>
      </c>
      <c r="E7113" s="2">
        <v>141.54</v>
      </c>
      <c r="F7113" t="s">
        <v>14</v>
      </c>
      <c r="G7113" t="s">
        <v>15</v>
      </c>
    </row>
    <row r="7114" spans="1:7" x14ac:dyDescent="0.35">
      <c r="A7114">
        <v>2822</v>
      </c>
      <c r="B7114" s="1">
        <v>45702</v>
      </c>
      <c r="C7114" t="s">
        <v>12</v>
      </c>
      <c r="D7114" s="2">
        <v>0</v>
      </c>
      <c r="E7114" s="2">
        <v>10.62</v>
      </c>
      <c r="F7114" t="s">
        <v>16</v>
      </c>
      <c r="G7114" t="s">
        <v>17</v>
      </c>
    </row>
    <row r="7115" spans="1:7" x14ac:dyDescent="0.35">
      <c r="A7115">
        <v>2823</v>
      </c>
      <c r="B7115" s="1">
        <v>45702</v>
      </c>
      <c r="C7115" t="s">
        <v>12</v>
      </c>
      <c r="D7115" s="2">
        <v>4414.57</v>
      </c>
      <c r="E7115" s="2">
        <v>0</v>
      </c>
      <c r="F7115" t="s">
        <v>13</v>
      </c>
      <c r="G7115" t="s">
        <v>9</v>
      </c>
    </row>
    <row r="7116" spans="1:7" x14ac:dyDescent="0.35">
      <c r="A7116">
        <v>2823</v>
      </c>
      <c r="B7116" s="1">
        <v>45702</v>
      </c>
      <c r="C7116" t="s">
        <v>12</v>
      </c>
      <c r="D7116" s="2">
        <v>0</v>
      </c>
      <c r="E7116" s="2">
        <v>4106.5600000000004</v>
      </c>
      <c r="F7116" t="s">
        <v>14</v>
      </c>
      <c r="G7116" t="s">
        <v>15</v>
      </c>
    </row>
    <row r="7117" spans="1:7" x14ac:dyDescent="0.35">
      <c r="A7117">
        <v>2823</v>
      </c>
      <c r="B7117" s="1">
        <v>45702</v>
      </c>
      <c r="C7117" t="s">
        <v>12</v>
      </c>
      <c r="D7117" s="2">
        <v>0</v>
      </c>
      <c r="E7117" s="2">
        <v>308.01</v>
      </c>
      <c r="F7117" t="s">
        <v>16</v>
      </c>
      <c r="G7117" t="s">
        <v>17</v>
      </c>
    </row>
    <row r="7118" spans="1:7" x14ac:dyDescent="0.35">
      <c r="A7118">
        <v>2824</v>
      </c>
      <c r="B7118" s="1">
        <v>45702</v>
      </c>
      <c r="C7118" t="s">
        <v>12</v>
      </c>
      <c r="D7118" s="2">
        <v>1626.51</v>
      </c>
      <c r="E7118" s="2">
        <v>0</v>
      </c>
      <c r="F7118" t="s">
        <v>13</v>
      </c>
      <c r="G7118" t="s">
        <v>9</v>
      </c>
    </row>
    <row r="7119" spans="1:7" x14ac:dyDescent="0.35">
      <c r="A7119">
        <v>2824</v>
      </c>
      <c r="B7119" s="1">
        <v>45702</v>
      </c>
      <c r="C7119" t="s">
        <v>12</v>
      </c>
      <c r="D7119" s="2">
        <v>0</v>
      </c>
      <c r="E7119" s="2">
        <v>1513.03</v>
      </c>
      <c r="F7119" t="s">
        <v>14</v>
      </c>
      <c r="G7119" t="s">
        <v>15</v>
      </c>
    </row>
    <row r="7120" spans="1:7" x14ac:dyDescent="0.35">
      <c r="A7120">
        <v>2824</v>
      </c>
      <c r="B7120" s="1">
        <v>45702</v>
      </c>
      <c r="C7120" t="s">
        <v>12</v>
      </c>
      <c r="D7120" s="2">
        <v>0</v>
      </c>
      <c r="E7120" s="2">
        <v>113.48</v>
      </c>
      <c r="F7120" t="s">
        <v>16</v>
      </c>
      <c r="G7120" t="s">
        <v>17</v>
      </c>
    </row>
    <row r="7121" spans="1:7" x14ac:dyDescent="0.35">
      <c r="A7121">
        <v>2825</v>
      </c>
      <c r="B7121" s="1">
        <v>45702</v>
      </c>
      <c r="C7121" t="s">
        <v>24</v>
      </c>
      <c r="D7121" s="2">
        <v>4099.53</v>
      </c>
      <c r="E7121" s="2">
        <v>0</v>
      </c>
      <c r="F7121" t="s">
        <v>8</v>
      </c>
      <c r="G7121" t="s">
        <v>9</v>
      </c>
    </row>
    <row r="7122" spans="1:7" x14ac:dyDescent="0.35">
      <c r="A7122">
        <v>2825</v>
      </c>
      <c r="B7122" s="1">
        <v>45702</v>
      </c>
      <c r="C7122" t="s">
        <v>24</v>
      </c>
      <c r="D7122" s="2">
        <v>0</v>
      </c>
      <c r="E7122" s="2">
        <v>4099.53</v>
      </c>
      <c r="F7122" t="s">
        <v>13</v>
      </c>
      <c r="G7122" t="s">
        <v>9</v>
      </c>
    </row>
    <row r="7123" spans="1:7" x14ac:dyDescent="0.35">
      <c r="A7123">
        <v>2826</v>
      </c>
      <c r="B7123" s="1">
        <v>45702</v>
      </c>
      <c r="C7123" t="s">
        <v>24</v>
      </c>
      <c r="D7123" s="2">
        <v>3251.72</v>
      </c>
      <c r="E7123" s="2">
        <v>0</v>
      </c>
      <c r="F7123" t="s">
        <v>8</v>
      </c>
      <c r="G7123" t="s">
        <v>9</v>
      </c>
    </row>
    <row r="7124" spans="1:7" x14ac:dyDescent="0.35">
      <c r="A7124">
        <v>2826</v>
      </c>
      <c r="B7124" s="1">
        <v>45702</v>
      </c>
      <c r="C7124" t="s">
        <v>24</v>
      </c>
      <c r="D7124" s="2">
        <v>0</v>
      </c>
      <c r="E7124" s="2">
        <v>3251.72</v>
      </c>
      <c r="F7124" t="s">
        <v>13</v>
      </c>
      <c r="G7124" t="s">
        <v>9</v>
      </c>
    </row>
    <row r="7125" spans="1:7" x14ac:dyDescent="0.35">
      <c r="A7125">
        <v>2827</v>
      </c>
      <c r="B7125" s="1">
        <v>45702</v>
      </c>
      <c r="C7125" t="s">
        <v>29</v>
      </c>
      <c r="D7125" s="2">
        <v>179.01</v>
      </c>
      <c r="E7125" s="2">
        <v>0</v>
      </c>
      <c r="F7125" t="s">
        <v>28</v>
      </c>
      <c r="G7125" t="s">
        <v>17</v>
      </c>
    </row>
    <row r="7126" spans="1:7" x14ac:dyDescent="0.35">
      <c r="A7126">
        <v>2827</v>
      </c>
      <c r="B7126" s="1">
        <v>45702</v>
      </c>
      <c r="C7126" t="s">
        <v>29</v>
      </c>
      <c r="D7126" s="2">
        <v>0</v>
      </c>
      <c r="E7126" s="2">
        <v>179.01</v>
      </c>
      <c r="F7126" t="s">
        <v>8</v>
      </c>
      <c r="G7126" t="s">
        <v>9</v>
      </c>
    </row>
    <row r="7127" spans="1:7" x14ac:dyDescent="0.35">
      <c r="A7127">
        <v>2828</v>
      </c>
      <c r="B7127" s="1">
        <v>45702</v>
      </c>
      <c r="C7127" t="s">
        <v>29</v>
      </c>
      <c r="D7127" s="2">
        <v>3528.97</v>
      </c>
      <c r="E7127" s="2">
        <v>0</v>
      </c>
      <c r="F7127" t="s">
        <v>28</v>
      </c>
      <c r="G7127" t="s">
        <v>17</v>
      </c>
    </row>
    <row r="7128" spans="1:7" x14ac:dyDescent="0.35">
      <c r="A7128">
        <v>2828</v>
      </c>
      <c r="B7128" s="1">
        <v>45702</v>
      </c>
      <c r="C7128" t="s">
        <v>29</v>
      </c>
      <c r="D7128" s="2">
        <v>0</v>
      </c>
      <c r="E7128" s="2">
        <v>3528.97</v>
      </c>
      <c r="F7128" t="s">
        <v>8</v>
      </c>
      <c r="G7128" t="s">
        <v>9</v>
      </c>
    </row>
    <row r="7129" spans="1:7" x14ac:dyDescent="0.35">
      <c r="A7129">
        <v>2829</v>
      </c>
      <c r="B7129" s="1">
        <v>45705</v>
      </c>
      <c r="C7129" t="s">
        <v>12</v>
      </c>
      <c r="D7129" s="2">
        <v>2519.9699999999998</v>
      </c>
      <c r="E7129" s="2">
        <v>0</v>
      </c>
      <c r="F7129" t="s">
        <v>13</v>
      </c>
      <c r="G7129" t="s">
        <v>9</v>
      </c>
    </row>
    <row r="7130" spans="1:7" x14ac:dyDescent="0.35">
      <c r="A7130">
        <v>2829</v>
      </c>
      <c r="B7130" s="1">
        <v>45705</v>
      </c>
      <c r="C7130" t="s">
        <v>12</v>
      </c>
      <c r="D7130" s="2">
        <v>0</v>
      </c>
      <c r="E7130" s="2">
        <v>2344.16</v>
      </c>
      <c r="F7130" t="s">
        <v>14</v>
      </c>
      <c r="G7130" t="s">
        <v>15</v>
      </c>
    </row>
    <row r="7131" spans="1:7" x14ac:dyDescent="0.35">
      <c r="A7131">
        <v>2829</v>
      </c>
      <c r="B7131" s="1">
        <v>45705</v>
      </c>
      <c r="C7131" t="s">
        <v>12</v>
      </c>
      <c r="D7131" s="2">
        <v>0</v>
      </c>
      <c r="E7131" s="2">
        <v>175.81</v>
      </c>
      <c r="F7131" t="s">
        <v>16</v>
      </c>
      <c r="G7131" t="s">
        <v>17</v>
      </c>
    </row>
    <row r="7132" spans="1:7" x14ac:dyDescent="0.35">
      <c r="A7132">
        <v>2830</v>
      </c>
      <c r="B7132" s="1">
        <v>45705</v>
      </c>
      <c r="C7132" t="s">
        <v>12</v>
      </c>
      <c r="D7132" s="2">
        <v>3493.89</v>
      </c>
      <c r="E7132" s="2">
        <v>0</v>
      </c>
      <c r="F7132" t="s">
        <v>13</v>
      </c>
      <c r="G7132" t="s">
        <v>9</v>
      </c>
    </row>
    <row r="7133" spans="1:7" x14ac:dyDescent="0.35">
      <c r="A7133">
        <v>2830</v>
      </c>
      <c r="B7133" s="1">
        <v>45705</v>
      </c>
      <c r="C7133" t="s">
        <v>12</v>
      </c>
      <c r="D7133" s="2">
        <v>0</v>
      </c>
      <c r="E7133" s="2">
        <v>3250.12</v>
      </c>
      <c r="F7133" t="s">
        <v>14</v>
      </c>
      <c r="G7133" t="s">
        <v>15</v>
      </c>
    </row>
    <row r="7134" spans="1:7" x14ac:dyDescent="0.35">
      <c r="A7134">
        <v>2830</v>
      </c>
      <c r="B7134" s="1">
        <v>45705</v>
      </c>
      <c r="C7134" t="s">
        <v>12</v>
      </c>
      <c r="D7134" s="2">
        <v>0</v>
      </c>
      <c r="E7134" s="2">
        <v>243.77</v>
      </c>
      <c r="F7134" t="s">
        <v>16</v>
      </c>
      <c r="G7134" t="s">
        <v>17</v>
      </c>
    </row>
    <row r="7135" spans="1:7" x14ac:dyDescent="0.35">
      <c r="A7135">
        <v>2831</v>
      </c>
      <c r="B7135" s="1">
        <v>45705</v>
      </c>
      <c r="C7135" t="s">
        <v>12</v>
      </c>
      <c r="D7135" s="2">
        <v>3231.6</v>
      </c>
      <c r="E7135" s="2">
        <v>0</v>
      </c>
      <c r="F7135" t="s">
        <v>13</v>
      </c>
      <c r="G7135" t="s">
        <v>9</v>
      </c>
    </row>
    <row r="7136" spans="1:7" x14ac:dyDescent="0.35">
      <c r="A7136">
        <v>2831</v>
      </c>
      <c r="B7136" s="1">
        <v>45705</v>
      </c>
      <c r="C7136" t="s">
        <v>12</v>
      </c>
      <c r="D7136" s="2">
        <v>0</v>
      </c>
      <c r="E7136" s="2">
        <v>3006.14</v>
      </c>
      <c r="F7136" t="s">
        <v>14</v>
      </c>
      <c r="G7136" t="s">
        <v>15</v>
      </c>
    </row>
    <row r="7137" spans="1:7" x14ac:dyDescent="0.35">
      <c r="A7137">
        <v>2831</v>
      </c>
      <c r="B7137" s="1">
        <v>45705</v>
      </c>
      <c r="C7137" t="s">
        <v>12</v>
      </c>
      <c r="D7137" s="2">
        <v>0</v>
      </c>
      <c r="E7137" s="2">
        <v>225.46</v>
      </c>
      <c r="F7137" t="s">
        <v>16</v>
      </c>
      <c r="G7137" t="s">
        <v>17</v>
      </c>
    </row>
    <row r="7138" spans="1:7" x14ac:dyDescent="0.35">
      <c r="A7138">
        <v>2832</v>
      </c>
      <c r="B7138" s="1">
        <v>45705</v>
      </c>
      <c r="C7138" t="s">
        <v>12</v>
      </c>
      <c r="D7138" s="2">
        <v>2613.91</v>
      </c>
      <c r="E7138" s="2">
        <v>0</v>
      </c>
      <c r="F7138" t="s">
        <v>13</v>
      </c>
      <c r="G7138" t="s">
        <v>9</v>
      </c>
    </row>
    <row r="7139" spans="1:7" x14ac:dyDescent="0.35">
      <c r="A7139">
        <v>2832</v>
      </c>
      <c r="B7139" s="1">
        <v>45705</v>
      </c>
      <c r="C7139" t="s">
        <v>12</v>
      </c>
      <c r="D7139" s="2">
        <v>0</v>
      </c>
      <c r="E7139" s="2">
        <v>2431.5500000000002</v>
      </c>
      <c r="F7139" t="s">
        <v>14</v>
      </c>
      <c r="G7139" t="s">
        <v>15</v>
      </c>
    </row>
    <row r="7140" spans="1:7" x14ac:dyDescent="0.35">
      <c r="A7140">
        <v>2832</v>
      </c>
      <c r="B7140" s="1">
        <v>45705</v>
      </c>
      <c r="C7140" t="s">
        <v>12</v>
      </c>
      <c r="D7140" s="2">
        <v>0</v>
      </c>
      <c r="E7140" s="2">
        <v>182.36</v>
      </c>
      <c r="F7140" t="s">
        <v>16</v>
      </c>
      <c r="G7140" t="s">
        <v>17</v>
      </c>
    </row>
    <row r="7141" spans="1:7" x14ac:dyDescent="0.35">
      <c r="A7141">
        <v>2833</v>
      </c>
      <c r="B7141" s="1">
        <v>45705</v>
      </c>
      <c r="C7141" t="s">
        <v>12</v>
      </c>
      <c r="D7141" s="2">
        <v>3495.99</v>
      </c>
      <c r="E7141" s="2">
        <v>0</v>
      </c>
      <c r="F7141" t="s">
        <v>13</v>
      </c>
      <c r="G7141" t="s">
        <v>9</v>
      </c>
    </row>
    <row r="7142" spans="1:7" x14ac:dyDescent="0.35">
      <c r="A7142">
        <v>2833</v>
      </c>
      <c r="B7142" s="1">
        <v>45705</v>
      </c>
      <c r="C7142" t="s">
        <v>12</v>
      </c>
      <c r="D7142" s="2">
        <v>0</v>
      </c>
      <c r="E7142" s="2">
        <v>3252.09</v>
      </c>
      <c r="F7142" t="s">
        <v>14</v>
      </c>
      <c r="G7142" t="s">
        <v>15</v>
      </c>
    </row>
    <row r="7143" spans="1:7" x14ac:dyDescent="0.35">
      <c r="A7143">
        <v>2833</v>
      </c>
      <c r="B7143" s="1">
        <v>45705</v>
      </c>
      <c r="C7143" t="s">
        <v>12</v>
      </c>
      <c r="D7143" s="2">
        <v>0</v>
      </c>
      <c r="E7143" s="2">
        <v>243.9</v>
      </c>
      <c r="F7143" t="s">
        <v>16</v>
      </c>
      <c r="G7143" t="s">
        <v>17</v>
      </c>
    </row>
    <row r="7144" spans="1:7" x14ac:dyDescent="0.35">
      <c r="A7144">
        <v>2834</v>
      </c>
      <c r="B7144" s="1">
        <v>45705</v>
      </c>
      <c r="C7144" t="s">
        <v>24</v>
      </c>
      <c r="D7144" s="2">
        <v>960.64</v>
      </c>
      <c r="E7144" s="2">
        <v>0</v>
      </c>
      <c r="F7144" t="s">
        <v>8</v>
      </c>
      <c r="G7144" t="s">
        <v>9</v>
      </c>
    </row>
    <row r="7145" spans="1:7" x14ac:dyDescent="0.35">
      <c r="A7145">
        <v>2834</v>
      </c>
      <c r="B7145" s="1">
        <v>45705</v>
      </c>
      <c r="C7145" t="s">
        <v>24</v>
      </c>
      <c r="D7145" s="2">
        <v>0</v>
      </c>
      <c r="E7145" s="2">
        <v>960.64</v>
      </c>
      <c r="F7145" t="s">
        <v>13</v>
      </c>
      <c r="G7145" t="s">
        <v>9</v>
      </c>
    </row>
    <row r="7146" spans="1:7" x14ac:dyDescent="0.35">
      <c r="A7146">
        <v>2835</v>
      </c>
      <c r="B7146" s="1">
        <v>45705</v>
      </c>
      <c r="C7146" t="s">
        <v>24</v>
      </c>
      <c r="D7146" s="2">
        <v>6515.08</v>
      </c>
      <c r="E7146" s="2">
        <v>0</v>
      </c>
      <c r="F7146" t="s">
        <v>8</v>
      </c>
      <c r="G7146" t="s">
        <v>9</v>
      </c>
    </row>
    <row r="7147" spans="1:7" x14ac:dyDescent="0.35">
      <c r="A7147">
        <v>2835</v>
      </c>
      <c r="B7147" s="1">
        <v>45705</v>
      </c>
      <c r="C7147" t="s">
        <v>24</v>
      </c>
      <c r="D7147" s="2">
        <v>0</v>
      </c>
      <c r="E7147" s="2">
        <v>6515.08</v>
      </c>
      <c r="F7147" t="s">
        <v>13</v>
      </c>
      <c r="G7147" t="s">
        <v>9</v>
      </c>
    </row>
    <row r="7148" spans="1:7" x14ac:dyDescent="0.35">
      <c r="A7148">
        <v>2836</v>
      </c>
      <c r="B7148" s="1">
        <v>45705</v>
      </c>
      <c r="C7148" t="s">
        <v>24</v>
      </c>
      <c r="D7148" s="2">
        <v>5867.04</v>
      </c>
      <c r="E7148" s="2">
        <v>0</v>
      </c>
      <c r="F7148" t="s">
        <v>8</v>
      </c>
      <c r="G7148" t="s">
        <v>9</v>
      </c>
    </row>
    <row r="7149" spans="1:7" x14ac:dyDescent="0.35">
      <c r="A7149">
        <v>2836</v>
      </c>
      <c r="B7149" s="1">
        <v>45705</v>
      </c>
      <c r="C7149" t="s">
        <v>24</v>
      </c>
      <c r="D7149" s="2">
        <v>0</v>
      </c>
      <c r="E7149" s="2">
        <v>5867.04</v>
      </c>
      <c r="F7149" t="s">
        <v>13</v>
      </c>
      <c r="G7149" t="s">
        <v>9</v>
      </c>
    </row>
    <row r="7150" spans="1:7" x14ac:dyDescent="0.35">
      <c r="A7150">
        <v>2837</v>
      </c>
      <c r="B7150" s="1">
        <v>45705</v>
      </c>
      <c r="C7150" t="s">
        <v>25</v>
      </c>
      <c r="D7150" s="2">
        <v>1800.04</v>
      </c>
      <c r="E7150" s="2">
        <v>0</v>
      </c>
      <c r="F7150" t="s">
        <v>26</v>
      </c>
      <c r="G7150" t="s">
        <v>20</v>
      </c>
    </row>
    <row r="7151" spans="1:7" x14ac:dyDescent="0.35">
      <c r="A7151">
        <v>2837</v>
      </c>
      <c r="B7151" s="1">
        <v>45705</v>
      </c>
      <c r="C7151" t="s">
        <v>25</v>
      </c>
      <c r="D7151" s="2">
        <v>135</v>
      </c>
      <c r="E7151" s="2">
        <v>0</v>
      </c>
      <c r="F7151" t="s">
        <v>27</v>
      </c>
      <c r="G7151" t="s">
        <v>9</v>
      </c>
    </row>
    <row r="7152" spans="1:7" x14ac:dyDescent="0.35">
      <c r="A7152">
        <v>2837</v>
      </c>
      <c r="B7152" s="1">
        <v>45705</v>
      </c>
      <c r="C7152" t="s">
        <v>25</v>
      </c>
      <c r="D7152" s="2">
        <v>0</v>
      </c>
      <c r="E7152" s="2">
        <v>1935.04</v>
      </c>
      <c r="F7152" t="s">
        <v>28</v>
      </c>
      <c r="G7152" t="s">
        <v>17</v>
      </c>
    </row>
    <row r="7153" spans="1:7" x14ac:dyDescent="0.35">
      <c r="A7153">
        <v>2838</v>
      </c>
      <c r="B7153" s="1">
        <v>45705</v>
      </c>
      <c r="C7153" t="s">
        <v>25</v>
      </c>
      <c r="D7153" s="2">
        <v>696.06</v>
      </c>
      <c r="E7153" s="2">
        <v>0</v>
      </c>
      <c r="F7153" t="s">
        <v>26</v>
      </c>
      <c r="G7153" t="s">
        <v>20</v>
      </c>
    </row>
    <row r="7154" spans="1:7" x14ac:dyDescent="0.35">
      <c r="A7154">
        <v>2838</v>
      </c>
      <c r="B7154" s="1">
        <v>45705</v>
      </c>
      <c r="C7154" t="s">
        <v>25</v>
      </c>
      <c r="D7154" s="2">
        <v>52.2</v>
      </c>
      <c r="E7154" s="2">
        <v>0</v>
      </c>
      <c r="F7154" t="s">
        <v>27</v>
      </c>
      <c r="G7154" t="s">
        <v>9</v>
      </c>
    </row>
    <row r="7155" spans="1:7" x14ac:dyDescent="0.35">
      <c r="A7155">
        <v>2838</v>
      </c>
      <c r="B7155" s="1">
        <v>45705</v>
      </c>
      <c r="C7155" t="s">
        <v>25</v>
      </c>
      <c r="D7155" s="2">
        <v>0</v>
      </c>
      <c r="E7155" s="2">
        <v>748.26</v>
      </c>
      <c r="F7155" t="s">
        <v>28</v>
      </c>
      <c r="G7155" t="s">
        <v>17</v>
      </c>
    </row>
    <row r="7156" spans="1:7" x14ac:dyDescent="0.35">
      <c r="A7156">
        <v>2839</v>
      </c>
      <c r="B7156" s="1">
        <v>45705</v>
      </c>
      <c r="C7156" t="s">
        <v>25</v>
      </c>
      <c r="D7156" s="2">
        <v>187.44</v>
      </c>
      <c r="E7156" s="2">
        <v>0</v>
      </c>
      <c r="F7156" t="s">
        <v>26</v>
      </c>
      <c r="G7156" t="s">
        <v>20</v>
      </c>
    </row>
    <row r="7157" spans="1:7" x14ac:dyDescent="0.35">
      <c r="A7157">
        <v>2839</v>
      </c>
      <c r="B7157" s="1">
        <v>45705</v>
      </c>
      <c r="C7157" t="s">
        <v>25</v>
      </c>
      <c r="D7157" s="2">
        <v>14.06</v>
      </c>
      <c r="E7157" s="2">
        <v>0</v>
      </c>
      <c r="F7157" t="s">
        <v>27</v>
      </c>
      <c r="G7157" t="s">
        <v>9</v>
      </c>
    </row>
    <row r="7158" spans="1:7" x14ac:dyDescent="0.35">
      <c r="A7158">
        <v>2839</v>
      </c>
      <c r="B7158" s="1">
        <v>45705</v>
      </c>
      <c r="C7158" t="s">
        <v>25</v>
      </c>
      <c r="D7158" s="2">
        <v>0</v>
      </c>
      <c r="E7158" s="2">
        <v>201.5</v>
      </c>
      <c r="F7158" t="s">
        <v>28</v>
      </c>
      <c r="G7158" t="s">
        <v>17</v>
      </c>
    </row>
    <row r="7159" spans="1:7" x14ac:dyDescent="0.35">
      <c r="A7159">
        <v>2840</v>
      </c>
      <c r="B7159" s="1">
        <v>45705</v>
      </c>
      <c r="C7159" t="s">
        <v>25</v>
      </c>
      <c r="D7159" s="2">
        <v>952.02</v>
      </c>
      <c r="E7159" s="2">
        <v>0</v>
      </c>
      <c r="F7159" t="s">
        <v>26</v>
      </c>
      <c r="G7159" t="s">
        <v>20</v>
      </c>
    </row>
    <row r="7160" spans="1:7" x14ac:dyDescent="0.35">
      <c r="A7160">
        <v>2840</v>
      </c>
      <c r="B7160" s="1">
        <v>45705</v>
      </c>
      <c r="C7160" t="s">
        <v>25</v>
      </c>
      <c r="D7160" s="2">
        <v>71.400000000000006</v>
      </c>
      <c r="E7160" s="2">
        <v>0</v>
      </c>
      <c r="F7160" t="s">
        <v>27</v>
      </c>
      <c r="G7160" t="s">
        <v>9</v>
      </c>
    </row>
    <row r="7161" spans="1:7" x14ac:dyDescent="0.35">
      <c r="A7161">
        <v>2840</v>
      </c>
      <c r="B7161" s="1">
        <v>45705</v>
      </c>
      <c r="C7161" t="s">
        <v>25</v>
      </c>
      <c r="D7161" s="2">
        <v>0</v>
      </c>
      <c r="E7161" s="2">
        <v>1023.42</v>
      </c>
      <c r="F7161" t="s">
        <v>28</v>
      </c>
      <c r="G7161" t="s">
        <v>17</v>
      </c>
    </row>
    <row r="7162" spans="1:7" x14ac:dyDescent="0.35">
      <c r="A7162">
        <v>2841</v>
      </c>
      <c r="B7162" s="1">
        <v>45705</v>
      </c>
      <c r="C7162" t="s">
        <v>25</v>
      </c>
      <c r="D7162" s="2">
        <v>1643.22</v>
      </c>
      <c r="E7162" s="2">
        <v>0</v>
      </c>
      <c r="F7162" t="s">
        <v>26</v>
      </c>
      <c r="G7162" t="s">
        <v>20</v>
      </c>
    </row>
    <row r="7163" spans="1:7" x14ac:dyDescent="0.35">
      <c r="A7163">
        <v>2841</v>
      </c>
      <c r="B7163" s="1">
        <v>45705</v>
      </c>
      <c r="C7163" t="s">
        <v>25</v>
      </c>
      <c r="D7163" s="2">
        <v>123.24</v>
      </c>
      <c r="E7163" s="2">
        <v>0</v>
      </c>
      <c r="F7163" t="s">
        <v>27</v>
      </c>
      <c r="G7163" t="s">
        <v>9</v>
      </c>
    </row>
    <row r="7164" spans="1:7" x14ac:dyDescent="0.35">
      <c r="A7164">
        <v>2841</v>
      </c>
      <c r="B7164" s="1">
        <v>45705</v>
      </c>
      <c r="C7164" t="s">
        <v>25</v>
      </c>
      <c r="D7164" s="2">
        <v>0</v>
      </c>
      <c r="E7164" s="2">
        <v>1766.46</v>
      </c>
      <c r="F7164" t="s">
        <v>28</v>
      </c>
      <c r="G7164" t="s">
        <v>17</v>
      </c>
    </row>
    <row r="7165" spans="1:7" x14ac:dyDescent="0.35">
      <c r="A7165">
        <v>2842</v>
      </c>
      <c r="B7165" s="1">
        <v>45705</v>
      </c>
      <c r="C7165" t="s">
        <v>29</v>
      </c>
      <c r="D7165" s="2">
        <v>1304.6199999999999</v>
      </c>
      <c r="E7165" s="2">
        <v>0</v>
      </c>
      <c r="F7165" t="s">
        <v>28</v>
      </c>
      <c r="G7165" t="s">
        <v>17</v>
      </c>
    </row>
    <row r="7166" spans="1:7" x14ac:dyDescent="0.35">
      <c r="A7166">
        <v>2842</v>
      </c>
      <c r="B7166" s="1">
        <v>45705</v>
      </c>
      <c r="C7166" t="s">
        <v>29</v>
      </c>
      <c r="D7166" s="2">
        <v>0</v>
      </c>
      <c r="E7166" s="2">
        <v>1304.6199999999999</v>
      </c>
      <c r="F7166" t="s">
        <v>8</v>
      </c>
      <c r="G7166" t="s">
        <v>9</v>
      </c>
    </row>
    <row r="7167" spans="1:7" x14ac:dyDescent="0.35">
      <c r="A7167">
        <v>2843</v>
      </c>
      <c r="B7167" s="1">
        <v>45705</v>
      </c>
      <c r="C7167" t="s">
        <v>29</v>
      </c>
      <c r="D7167" s="2">
        <v>1159.8399999999999</v>
      </c>
      <c r="E7167" s="2">
        <v>0</v>
      </c>
      <c r="F7167" t="s">
        <v>28</v>
      </c>
      <c r="G7167" t="s">
        <v>17</v>
      </c>
    </row>
    <row r="7168" spans="1:7" x14ac:dyDescent="0.35">
      <c r="A7168">
        <v>2843</v>
      </c>
      <c r="B7168" s="1">
        <v>45705</v>
      </c>
      <c r="C7168" t="s">
        <v>29</v>
      </c>
      <c r="D7168" s="2">
        <v>0</v>
      </c>
      <c r="E7168" s="2">
        <v>1159.8399999999999</v>
      </c>
      <c r="F7168" t="s">
        <v>8</v>
      </c>
      <c r="G7168" t="s">
        <v>9</v>
      </c>
    </row>
    <row r="7169" spans="1:7" x14ac:dyDescent="0.35">
      <c r="A7169">
        <v>2844</v>
      </c>
      <c r="B7169" s="1">
        <v>45705</v>
      </c>
      <c r="C7169" t="s">
        <v>29</v>
      </c>
      <c r="D7169" s="2">
        <v>179.01</v>
      </c>
      <c r="E7169" s="2">
        <v>0</v>
      </c>
      <c r="F7169" t="s">
        <v>28</v>
      </c>
      <c r="G7169" t="s">
        <v>17</v>
      </c>
    </row>
    <row r="7170" spans="1:7" x14ac:dyDescent="0.35">
      <c r="A7170">
        <v>2844</v>
      </c>
      <c r="B7170" s="1">
        <v>45705</v>
      </c>
      <c r="C7170" t="s">
        <v>29</v>
      </c>
      <c r="D7170" s="2">
        <v>0</v>
      </c>
      <c r="E7170" s="2">
        <v>179.01</v>
      </c>
      <c r="F7170" t="s">
        <v>8</v>
      </c>
      <c r="G7170" t="s">
        <v>9</v>
      </c>
    </row>
    <row r="7171" spans="1:7" x14ac:dyDescent="0.35">
      <c r="A7171">
        <v>2845</v>
      </c>
      <c r="B7171" s="1">
        <v>45705</v>
      </c>
      <c r="C7171" t="s">
        <v>29</v>
      </c>
      <c r="D7171" s="2">
        <v>1794.11</v>
      </c>
      <c r="E7171" s="2">
        <v>0</v>
      </c>
      <c r="F7171" t="s">
        <v>28</v>
      </c>
      <c r="G7171" t="s">
        <v>17</v>
      </c>
    </row>
    <row r="7172" spans="1:7" x14ac:dyDescent="0.35">
      <c r="A7172">
        <v>2845</v>
      </c>
      <c r="B7172" s="1">
        <v>45705</v>
      </c>
      <c r="C7172" t="s">
        <v>29</v>
      </c>
      <c r="D7172" s="2">
        <v>0</v>
      </c>
      <c r="E7172" s="2">
        <v>1794.11</v>
      </c>
      <c r="F7172" t="s">
        <v>8</v>
      </c>
      <c r="G7172" t="s">
        <v>9</v>
      </c>
    </row>
    <row r="7173" spans="1:7" x14ac:dyDescent="0.35">
      <c r="A7173">
        <v>2846</v>
      </c>
      <c r="B7173" s="1">
        <v>45706</v>
      </c>
      <c r="C7173" t="s">
        <v>12</v>
      </c>
      <c r="D7173" s="2">
        <v>788.61</v>
      </c>
      <c r="E7173" s="2">
        <v>0</v>
      </c>
      <c r="F7173" t="s">
        <v>13</v>
      </c>
      <c r="G7173" t="s">
        <v>9</v>
      </c>
    </row>
    <row r="7174" spans="1:7" x14ac:dyDescent="0.35">
      <c r="A7174">
        <v>2846</v>
      </c>
      <c r="B7174" s="1">
        <v>45706</v>
      </c>
      <c r="C7174" t="s">
        <v>12</v>
      </c>
      <c r="D7174" s="2">
        <v>0</v>
      </c>
      <c r="E7174" s="2">
        <v>733.59</v>
      </c>
      <c r="F7174" t="s">
        <v>14</v>
      </c>
      <c r="G7174" t="s">
        <v>15</v>
      </c>
    </row>
    <row r="7175" spans="1:7" x14ac:dyDescent="0.35">
      <c r="A7175">
        <v>2846</v>
      </c>
      <c r="B7175" s="1">
        <v>45706</v>
      </c>
      <c r="C7175" t="s">
        <v>12</v>
      </c>
      <c r="D7175" s="2">
        <v>0</v>
      </c>
      <c r="E7175" s="2">
        <v>55.02</v>
      </c>
      <c r="F7175" t="s">
        <v>16</v>
      </c>
      <c r="G7175" t="s">
        <v>17</v>
      </c>
    </row>
    <row r="7176" spans="1:7" x14ac:dyDescent="0.35">
      <c r="A7176">
        <v>2847</v>
      </c>
      <c r="B7176" s="1">
        <v>45706</v>
      </c>
      <c r="C7176" t="s">
        <v>24</v>
      </c>
      <c r="D7176" s="2">
        <v>2228.7600000000002</v>
      </c>
      <c r="E7176" s="2">
        <v>0</v>
      </c>
      <c r="F7176" t="s">
        <v>8</v>
      </c>
      <c r="G7176" t="s">
        <v>9</v>
      </c>
    </row>
    <row r="7177" spans="1:7" x14ac:dyDescent="0.35">
      <c r="A7177">
        <v>2847</v>
      </c>
      <c r="B7177" s="1">
        <v>45706</v>
      </c>
      <c r="C7177" t="s">
        <v>24</v>
      </c>
      <c r="D7177" s="2">
        <v>0</v>
      </c>
      <c r="E7177" s="2">
        <v>2228.7600000000002</v>
      </c>
      <c r="F7177" t="s">
        <v>13</v>
      </c>
      <c r="G7177" t="s">
        <v>9</v>
      </c>
    </row>
    <row r="7178" spans="1:7" x14ac:dyDescent="0.35">
      <c r="A7178">
        <v>2848</v>
      </c>
      <c r="B7178" s="1">
        <v>45706</v>
      </c>
      <c r="C7178" t="s">
        <v>24</v>
      </c>
      <c r="D7178" s="2">
        <v>880.91</v>
      </c>
      <c r="E7178" s="2">
        <v>0</v>
      </c>
      <c r="F7178" t="s">
        <v>8</v>
      </c>
      <c r="G7178" t="s">
        <v>9</v>
      </c>
    </row>
    <row r="7179" spans="1:7" x14ac:dyDescent="0.35">
      <c r="A7179">
        <v>2848</v>
      </c>
      <c r="B7179" s="1">
        <v>45706</v>
      </c>
      <c r="C7179" t="s">
        <v>24</v>
      </c>
      <c r="D7179" s="2">
        <v>0</v>
      </c>
      <c r="E7179" s="2">
        <v>880.91</v>
      </c>
      <c r="F7179" t="s">
        <v>13</v>
      </c>
      <c r="G7179" t="s">
        <v>9</v>
      </c>
    </row>
    <row r="7180" spans="1:7" x14ac:dyDescent="0.35">
      <c r="A7180">
        <v>2849</v>
      </c>
      <c r="B7180" s="1">
        <v>45706</v>
      </c>
      <c r="C7180" t="s">
        <v>24</v>
      </c>
      <c r="D7180" s="2">
        <v>4785.5200000000004</v>
      </c>
      <c r="E7180" s="2">
        <v>0</v>
      </c>
      <c r="F7180" t="s">
        <v>8</v>
      </c>
      <c r="G7180" t="s">
        <v>9</v>
      </c>
    </row>
    <row r="7181" spans="1:7" x14ac:dyDescent="0.35">
      <c r="A7181">
        <v>2849</v>
      </c>
      <c r="B7181" s="1">
        <v>45706</v>
      </c>
      <c r="C7181" t="s">
        <v>24</v>
      </c>
      <c r="D7181" s="2">
        <v>0</v>
      </c>
      <c r="E7181" s="2">
        <v>4785.5200000000004</v>
      </c>
      <c r="F7181" t="s">
        <v>13</v>
      </c>
      <c r="G7181" t="s">
        <v>9</v>
      </c>
    </row>
    <row r="7182" spans="1:7" x14ac:dyDescent="0.35">
      <c r="A7182">
        <v>2850</v>
      </c>
      <c r="B7182" s="1">
        <v>45706</v>
      </c>
      <c r="C7182" t="s">
        <v>24</v>
      </c>
      <c r="D7182" s="2">
        <v>3682.2</v>
      </c>
      <c r="E7182" s="2">
        <v>0</v>
      </c>
      <c r="F7182" t="s">
        <v>8</v>
      </c>
      <c r="G7182" t="s">
        <v>9</v>
      </c>
    </row>
    <row r="7183" spans="1:7" x14ac:dyDescent="0.35">
      <c r="A7183">
        <v>2850</v>
      </c>
      <c r="B7183" s="1">
        <v>45706</v>
      </c>
      <c r="C7183" t="s">
        <v>24</v>
      </c>
      <c r="D7183" s="2">
        <v>0</v>
      </c>
      <c r="E7183" s="2">
        <v>3682.2</v>
      </c>
      <c r="F7183" t="s">
        <v>13</v>
      </c>
      <c r="G7183" t="s">
        <v>9</v>
      </c>
    </row>
    <row r="7184" spans="1:7" x14ac:dyDescent="0.35">
      <c r="A7184">
        <v>2851</v>
      </c>
      <c r="B7184" s="1">
        <v>45706</v>
      </c>
      <c r="C7184" t="s">
        <v>24</v>
      </c>
      <c r="D7184" s="2">
        <v>761.66</v>
      </c>
      <c r="E7184" s="2">
        <v>0</v>
      </c>
      <c r="F7184" t="s">
        <v>8</v>
      </c>
      <c r="G7184" t="s">
        <v>9</v>
      </c>
    </row>
    <row r="7185" spans="1:7" x14ac:dyDescent="0.35">
      <c r="A7185">
        <v>2851</v>
      </c>
      <c r="B7185" s="1">
        <v>45706</v>
      </c>
      <c r="C7185" t="s">
        <v>24</v>
      </c>
      <c r="D7185" s="2">
        <v>0</v>
      </c>
      <c r="E7185" s="2">
        <v>761.66</v>
      </c>
      <c r="F7185" t="s">
        <v>13</v>
      </c>
      <c r="G7185" t="s">
        <v>9</v>
      </c>
    </row>
    <row r="7186" spans="1:7" x14ac:dyDescent="0.35">
      <c r="A7186">
        <v>2852</v>
      </c>
      <c r="B7186" s="1">
        <v>45706</v>
      </c>
      <c r="C7186" t="s">
        <v>25</v>
      </c>
      <c r="D7186" s="2">
        <v>1480.5</v>
      </c>
      <c r="E7186" s="2">
        <v>0</v>
      </c>
      <c r="F7186" t="s">
        <v>26</v>
      </c>
      <c r="G7186" t="s">
        <v>20</v>
      </c>
    </row>
    <row r="7187" spans="1:7" x14ac:dyDescent="0.35">
      <c r="A7187">
        <v>2852</v>
      </c>
      <c r="B7187" s="1">
        <v>45706</v>
      </c>
      <c r="C7187" t="s">
        <v>25</v>
      </c>
      <c r="D7187" s="2">
        <v>111.04</v>
      </c>
      <c r="E7187" s="2">
        <v>0</v>
      </c>
      <c r="F7187" t="s">
        <v>27</v>
      </c>
      <c r="G7187" t="s">
        <v>9</v>
      </c>
    </row>
    <row r="7188" spans="1:7" x14ac:dyDescent="0.35">
      <c r="A7188">
        <v>2852</v>
      </c>
      <c r="B7188" s="1">
        <v>45706</v>
      </c>
      <c r="C7188" t="s">
        <v>25</v>
      </c>
      <c r="D7188" s="2">
        <v>0</v>
      </c>
      <c r="E7188" s="2">
        <v>1591.54</v>
      </c>
      <c r="F7188" t="s">
        <v>28</v>
      </c>
      <c r="G7188" t="s">
        <v>17</v>
      </c>
    </row>
    <row r="7189" spans="1:7" x14ac:dyDescent="0.35">
      <c r="A7189">
        <v>2853</v>
      </c>
      <c r="B7189" s="1">
        <v>45706</v>
      </c>
      <c r="C7189" t="s">
        <v>25</v>
      </c>
      <c r="D7189" s="2">
        <v>1947.24</v>
      </c>
      <c r="E7189" s="2">
        <v>0</v>
      </c>
      <c r="F7189" t="s">
        <v>26</v>
      </c>
      <c r="G7189" t="s">
        <v>20</v>
      </c>
    </row>
    <row r="7190" spans="1:7" x14ac:dyDescent="0.35">
      <c r="A7190">
        <v>2853</v>
      </c>
      <c r="B7190" s="1">
        <v>45706</v>
      </c>
      <c r="C7190" t="s">
        <v>25</v>
      </c>
      <c r="D7190" s="2">
        <v>146.04</v>
      </c>
      <c r="E7190" s="2">
        <v>0</v>
      </c>
      <c r="F7190" t="s">
        <v>27</v>
      </c>
      <c r="G7190" t="s">
        <v>9</v>
      </c>
    </row>
    <row r="7191" spans="1:7" x14ac:dyDescent="0.35">
      <c r="A7191">
        <v>2853</v>
      </c>
      <c r="B7191" s="1">
        <v>45706</v>
      </c>
      <c r="C7191" t="s">
        <v>25</v>
      </c>
      <c r="D7191" s="2">
        <v>0</v>
      </c>
      <c r="E7191" s="2">
        <v>2093.2800000000002</v>
      </c>
      <c r="F7191" t="s">
        <v>28</v>
      </c>
      <c r="G7191" t="s">
        <v>17</v>
      </c>
    </row>
    <row r="7192" spans="1:7" x14ac:dyDescent="0.35">
      <c r="A7192">
        <v>2854</v>
      </c>
      <c r="B7192" s="1">
        <v>45706</v>
      </c>
      <c r="C7192" t="s">
        <v>29</v>
      </c>
      <c r="D7192" s="2">
        <v>2635.36</v>
      </c>
      <c r="E7192" s="2">
        <v>0</v>
      </c>
      <c r="F7192" t="s">
        <v>28</v>
      </c>
      <c r="G7192" t="s">
        <v>17</v>
      </c>
    </row>
    <row r="7193" spans="1:7" x14ac:dyDescent="0.35">
      <c r="A7193">
        <v>2854</v>
      </c>
      <c r="B7193" s="1">
        <v>45706</v>
      </c>
      <c r="C7193" t="s">
        <v>29</v>
      </c>
      <c r="D7193" s="2">
        <v>0</v>
      </c>
      <c r="E7193" s="2">
        <v>2635.36</v>
      </c>
      <c r="F7193" t="s">
        <v>8</v>
      </c>
      <c r="G7193" t="s">
        <v>9</v>
      </c>
    </row>
    <row r="7194" spans="1:7" x14ac:dyDescent="0.35">
      <c r="A7194">
        <v>2855</v>
      </c>
      <c r="B7194" s="1">
        <v>45706</v>
      </c>
      <c r="C7194" t="s">
        <v>29</v>
      </c>
      <c r="D7194" s="2">
        <v>1304.6199999999999</v>
      </c>
      <c r="E7194" s="2">
        <v>0</v>
      </c>
      <c r="F7194" t="s">
        <v>28</v>
      </c>
      <c r="G7194" t="s">
        <v>17</v>
      </c>
    </row>
    <row r="7195" spans="1:7" x14ac:dyDescent="0.35">
      <c r="A7195">
        <v>2855</v>
      </c>
      <c r="B7195" s="1">
        <v>45706</v>
      </c>
      <c r="C7195" t="s">
        <v>29</v>
      </c>
      <c r="D7195" s="2">
        <v>0</v>
      </c>
      <c r="E7195" s="2">
        <v>1304.6199999999999</v>
      </c>
      <c r="F7195" t="s">
        <v>8</v>
      </c>
      <c r="G7195" t="s">
        <v>9</v>
      </c>
    </row>
    <row r="7196" spans="1:7" x14ac:dyDescent="0.35">
      <c r="A7196">
        <v>2856</v>
      </c>
      <c r="B7196" s="1">
        <v>45706</v>
      </c>
      <c r="C7196" t="s">
        <v>29</v>
      </c>
      <c r="D7196" s="2">
        <v>2093.2800000000002</v>
      </c>
      <c r="E7196" s="2">
        <v>0</v>
      </c>
      <c r="F7196" t="s">
        <v>28</v>
      </c>
      <c r="G7196" t="s">
        <v>17</v>
      </c>
    </row>
    <row r="7197" spans="1:7" x14ac:dyDescent="0.35">
      <c r="A7197">
        <v>2856</v>
      </c>
      <c r="B7197" s="1">
        <v>45706</v>
      </c>
      <c r="C7197" t="s">
        <v>29</v>
      </c>
      <c r="D7197" s="2">
        <v>0</v>
      </c>
      <c r="E7197" s="2">
        <v>2093.2800000000002</v>
      </c>
      <c r="F7197" t="s">
        <v>8</v>
      </c>
      <c r="G7197" t="s">
        <v>9</v>
      </c>
    </row>
    <row r="7198" spans="1:7" x14ac:dyDescent="0.35">
      <c r="A7198">
        <v>2857</v>
      </c>
      <c r="B7198" s="1">
        <v>45707</v>
      </c>
      <c r="C7198" t="s">
        <v>12</v>
      </c>
      <c r="D7198" s="2">
        <v>1478.08</v>
      </c>
      <c r="E7198" s="2">
        <v>0</v>
      </c>
      <c r="F7198" t="s">
        <v>13</v>
      </c>
      <c r="G7198" t="s">
        <v>9</v>
      </c>
    </row>
    <row r="7199" spans="1:7" x14ac:dyDescent="0.35">
      <c r="A7199">
        <v>2857</v>
      </c>
      <c r="B7199" s="1">
        <v>45707</v>
      </c>
      <c r="C7199" t="s">
        <v>12</v>
      </c>
      <c r="D7199" s="2">
        <v>0</v>
      </c>
      <c r="E7199" s="2">
        <v>1374.96</v>
      </c>
      <c r="F7199" t="s">
        <v>14</v>
      </c>
      <c r="G7199" t="s">
        <v>15</v>
      </c>
    </row>
    <row r="7200" spans="1:7" x14ac:dyDescent="0.35">
      <c r="A7200">
        <v>2857</v>
      </c>
      <c r="B7200" s="1">
        <v>45707</v>
      </c>
      <c r="C7200" t="s">
        <v>12</v>
      </c>
      <c r="D7200" s="2">
        <v>0</v>
      </c>
      <c r="E7200" s="2">
        <v>103.12</v>
      </c>
      <c r="F7200" t="s">
        <v>16</v>
      </c>
      <c r="G7200" t="s">
        <v>17</v>
      </c>
    </row>
    <row r="7201" spans="1:7" x14ac:dyDescent="0.35">
      <c r="A7201">
        <v>2858</v>
      </c>
      <c r="B7201" s="1">
        <v>45707</v>
      </c>
      <c r="C7201" t="s">
        <v>12</v>
      </c>
      <c r="D7201" s="2">
        <v>550.35</v>
      </c>
      <c r="E7201" s="2">
        <v>0</v>
      </c>
      <c r="F7201" t="s">
        <v>13</v>
      </c>
      <c r="G7201" t="s">
        <v>9</v>
      </c>
    </row>
    <row r="7202" spans="1:7" x14ac:dyDescent="0.35">
      <c r="A7202">
        <v>2858</v>
      </c>
      <c r="B7202" s="1">
        <v>45707</v>
      </c>
      <c r="C7202" t="s">
        <v>12</v>
      </c>
      <c r="D7202" s="2">
        <v>0</v>
      </c>
      <c r="E7202" s="2">
        <v>511.95</v>
      </c>
      <c r="F7202" t="s">
        <v>14</v>
      </c>
      <c r="G7202" t="s">
        <v>15</v>
      </c>
    </row>
    <row r="7203" spans="1:7" x14ac:dyDescent="0.35">
      <c r="A7203">
        <v>2858</v>
      </c>
      <c r="B7203" s="1">
        <v>45707</v>
      </c>
      <c r="C7203" t="s">
        <v>12</v>
      </c>
      <c r="D7203" s="2">
        <v>0</v>
      </c>
      <c r="E7203" s="2">
        <v>38.4</v>
      </c>
      <c r="F7203" t="s">
        <v>16</v>
      </c>
      <c r="G7203" t="s">
        <v>17</v>
      </c>
    </row>
    <row r="7204" spans="1:7" x14ac:dyDescent="0.35">
      <c r="A7204">
        <v>2859</v>
      </c>
      <c r="B7204" s="1">
        <v>45707</v>
      </c>
      <c r="C7204" t="s">
        <v>12</v>
      </c>
      <c r="D7204" s="2">
        <v>1183.18</v>
      </c>
      <c r="E7204" s="2">
        <v>0</v>
      </c>
      <c r="F7204" t="s">
        <v>13</v>
      </c>
      <c r="G7204" t="s">
        <v>9</v>
      </c>
    </row>
    <row r="7205" spans="1:7" x14ac:dyDescent="0.35">
      <c r="A7205">
        <v>2859</v>
      </c>
      <c r="B7205" s="1">
        <v>45707</v>
      </c>
      <c r="C7205" t="s">
        <v>12</v>
      </c>
      <c r="D7205" s="2">
        <v>0</v>
      </c>
      <c r="E7205" s="2">
        <v>1100.6300000000001</v>
      </c>
      <c r="F7205" t="s">
        <v>14</v>
      </c>
      <c r="G7205" t="s">
        <v>15</v>
      </c>
    </row>
    <row r="7206" spans="1:7" x14ac:dyDescent="0.35">
      <c r="A7206">
        <v>2859</v>
      </c>
      <c r="B7206" s="1">
        <v>45707</v>
      </c>
      <c r="C7206" t="s">
        <v>12</v>
      </c>
      <c r="D7206" s="2">
        <v>0</v>
      </c>
      <c r="E7206" s="2">
        <v>82.55</v>
      </c>
      <c r="F7206" t="s">
        <v>16</v>
      </c>
      <c r="G7206" t="s">
        <v>17</v>
      </c>
    </row>
    <row r="7207" spans="1:7" x14ac:dyDescent="0.35">
      <c r="A7207">
        <v>2860</v>
      </c>
      <c r="B7207" s="1">
        <v>45707</v>
      </c>
      <c r="C7207" t="s">
        <v>12</v>
      </c>
      <c r="D7207" s="2">
        <v>1108.56</v>
      </c>
      <c r="E7207" s="2">
        <v>0</v>
      </c>
      <c r="F7207" t="s">
        <v>13</v>
      </c>
      <c r="G7207" t="s">
        <v>9</v>
      </c>
    </row>
    <row r="7208" spans="1:7" x14ac:dyDescent="0.35">
      <c r="A7208">
        <v>2860</v>
      </c>
      <c r="B7208" s="1">
        <v>45707</v>
      </c>
      <c r="C7208" t="s">
        <v>12</v>
      </c>
      <c r="D7208" s="2">
        <v>0</v>
      </c>
      <c r="E7208" s="2">
        <v>1031.22</v>
      </c>
      <c r="F7208" t="s">
        <v>14</v>
      </c>
      <c r="G7208" t="s">
        <v>15</v>
      </c>
    </row>
    <row r="7209" spans="1:7" x14ac:dyDescent="0.35">
      <c r="A7209">
        <v>2860</v>
      </c>
      <c r="B7209" s="1">
        <v>45707</v>
      </c>
      <c r="C7209" t="s">
        <v>12</v>
      </c>
      <c r="D7209" s="2">
        <v>0</v>
      </c>
      <c r="E7209" s="2">
        <v>77.34</v>
      </c>
      <c r="F7209" t="s">
        <v>16</v>
      </c>
      <c r="G7209" t="s">
        <v>17</v>
      </c>
    </row>
    <row r="7210" spans="1:7" x14ac:dyDescent="0.35">
      <c r="A7210">
        <v>2861</v>
      </c>
      <c r="B7210" s="1">
        <v>45707</v>
      </c>
      <c r="C7210" t="s">
        <v>12</v>
      </c>
      <c r="D7210" s="2">
        <v>84.17</v>
      </c>
      <c r="E7210" s="2">
        <v>0</v>
      </c>
      <c r="F7210" t="s">
        <v>13</v>
      </c>
      <c r="G7210" t="s">
        <v>9</v>
      </c>
    </row>
    <row r="7211" spans="1:7" x14ac:dyDescent="0.35">
      <c r="A7211">
        <v>2861</v>
      </c>
      <c r="B7211" s="1">
        <v>45707</v>
      </c>
      <c r="C7211" t="s">
        <v>12</v>
      </c>
      <c r="D7211" s="2">
        <v>0</v>
      </c>
      <c r="E7211" s="2">
        <v>78.3</v>
      </c>
      <c r="F7211" t="s">
        <v>14</v>
      </c>
      <c r="G7211" t="s">
        <v>15</v>
      </c>
    </row>
    <row r="7212" spans="1:7" x14ac:dyDescent="0.35">
      <c r="A7212">
        <v>2861</v>
      </c>
      <c r="B7212" s="1">
        <v>45707</v>
      </c>
      <c r="C7212" t="s">
        <v>12</v>
      </c>
      <c r="D7212" s="2">
        <v>0</v>
      </c>
      <c r="E7212" s="2">
        <v>5.87</v>
      </c>
      <c r="F7212" t="s">
        <v>16</v>
      </c>
      <c r="G7212" t="s">
        <v>17</v>
      </c>
    </row>
    <row r="7213" spans="1:7" x14ac:dyDescent="0.35">
      <c r="A7213">
        <v>2862</v>
      </c>
      <c r="B7213" s="1">
        <v>45707</v>
      </c>
      <c r="C7213" t="s">
        <v>12</v>
      </c>
      <c r="D7213" s="2">
        <v>372.61</v>
      </c>
      <c r="E7213" s="2">
        <v>0</v>
      </c>
      <c r="F7213" t="s">
        <v>13</v>
      </c>
      <c r="G7213" t="s">
        <v>9</v>
      </c>
    </row>
    <row r="7214" spans="1:7" x14ac:dyDescent="0.35">
      <c r="A7214">
        <v>2862</v>
      </c>
      <c r="B7214" s="1">
        <v>45707</v>
      </c>
      <c r="C7214" t="s">
        <v>12</v>
      </c>
      <c r="D7214" s="2">
        <v>0</v>
      </c>
      <c r="E7214" s="2">
        <v>346.62</v>
      </c>
      <c r="F7214" t="s">
        <v>14</v>
      </c>
      <c r="G7214" t="s">
        <v>15</v>
      </c>
    </row>
    <row r="7215" spans="1:7" x14ac:dyDescent="0.35">
      <c r="A7215">
        <v>2862</v>
      </c>
      <c r="B7215" s="1">
        <v>45707</v>
      </c>
      <c r="C7215" t="s">
        <v>12</v>
      </c>
      <c r="D7215" s="2">
        <v>0</v>
      </c>
      <c r="E7215" s="2">
        <v>25.99</v>
      </c>
      <c r="F7215" t="s">
        <v>16</v>
      </c>
      <c r="G7215" t="s">
        <v>17</v>
      </c>
    </row>
    <row r="7216" spans="1:7" x14ac:dyDescent="0.35">
      <c r="A7216">
        <v>2863</v>
      </c>
      <c r="B7216" s="1">
        <v>45707</v>
      </c>
      <c r="C7216" t="s">
        <v>24</v>
      </c>
      <c r="D7216" s="2">
        <v>2519.9699999999998</v>
      </c>
      <c r="E7216" s="2">
        <v>0</v>
      </c>
      <c r="F7216" t="s">
        <v>8</v>
      </c>
      <c r="G7216" t="s">
        <v>9</v>
      </c>
    </row>
    <row r="7217" spans="1:7" x14ac:dyDescent="0.35">
      <c r="A7217">
        <v>2863</v>
      </c>
      <c r="B7217" s="1">
        <v>45707</v>
      </c>
      <c r="C7217" t="s">
        <v>24</v>
      </c>
      <c r="D7217" s="2">
        <v>0</v>
      </c>
      <c r="E7217" s="2">
        <v>2519.9699999999998</v>
      </c>
      <c r="F7217" t="s">
        <v>13</v>
      </c>
      <c r="G7217" t="s">
        <v>9</v>
      </c>
    </row>
    <row r="7218" spans="1:7" x14ac:dyDescent="0.35">
      <c r="A7218">
        <v>2864</v>
      </c>
      <c r="B7218" s="1">
        <v>45707</v>
      </c>
      <c r="C7218" t="s">
        <v>29</v>
      </c>
      <c r="D7218" s="2">
        <v>2093.2800000000002</v>
      </c>
      <c r="E7218" s="2">
        <v>0</v>
      </c>
      <c r="F7218" t="s">
        <v>28</v>
      </c>
      <c r="G7218" t="s">
        <v>17</v>
      </c>
    </row>
    <row r="7219" spans="1:7" x14ac:dyDescent="0.35">
      <c r="A7219">
        <v>2864</v>
      </c>
      <c r="B7219" s="1">
        <v>45707</v>
      </c>
      <c r="C7219" t="s">
        <v>29</v>
      </c>
      <c r="D7219" s="2">
        <v>0</v>
      </c>
      <c r="E7219" s="2">
        <v>2093.2800000000002</v>
      </c>
      <c r="F7219" t="s">
        <v>8</v>
      </c>
      <c r="G7219" t="s">
        <v>9</v>
      </c>
    </row>
    <row r="7220" spans="1:7" x14ac:dyDescent="0.35">
      <c r="A7220">
        <v>2865</v>
      </c>
      <c r="B7220" s="1">
        <v>45708</v>
      </c>
      <c r="C7220" t="s">
        <v>12</v>
      </c>
      <c r="D7220" s="2">
        <v>3831.7</v>
      </c>
      <c r="E7220" s="2">
        <v>0</v>
      </c>
      <c r="F7220" t="s">
        <v>13</v>
      </c>
      <c r="G7220" t="s">
        <v>9</v>
      </c>
    </row>
    <row r="7221" spans="1:7" x14ac:dyDescent="0.35">
      <c r="A7221">
        <v>2865</v>
      </c>
      <c r="B7221" s="1">
        <v>45708</v>
      </c>
      <c r="C7221" t="s">
        <v>12</v>
      </c>
      <c r="D7221" s="2">
        <v>0</v>
      </c>
      <c r="E7221" s="2">
        <v>3564.37</v>
      </c>
      <c r="F7221" t="s">
        <v>14</v>
      </c>
      <c r="G7221" t="s">
        <v>15</v>
      </c>
    </row>
    <row r="7222" spans="1:7" x14ac:dyDescent="0.35">
      <c r="A7222">
        <v>2865</v>
      </c>
      <c r="B7222" s="1">
        <v>45708</v>
      </c>
      <c r="C7222" t="s">
        <v>12</v>
      </c>
      <c r="D7222" s="2">
        <v>0</v>
      </c>
      <c r="E7222" s="2">
        <v>267.33</v>
      </c>
      <c r="F7222" t="s">
        <v>16</v>
      </c>
      <c r="G7222" t="s">
        <v>17</v>
      </c>
    </row>
    <row r="7223" spans="1:7" x14ac:dyDescent="0.35">
      <c r="A7223">
        <v>2866</v>
      </c>
      <c r="B7223" s="1">
        <v>45708</v>
      </c>
      <c r="C7223" t="s">
        <v>12</v>
      </c>
      <c r="D7223" s="2">
        <v>894.51</v>
      </c>
      <c r="E7223" s="2">
        <v>0</v>
      </c>
      <c r="F7223" t="s">
        <v>13</v>
      </c>
      <c r="G7223" t="s">
        <v>9</v>
      </c>
    </row>
    <row r="7224" spans="1:7" x14ac:dyDescent="0.35">
      <c r="A7224">
        <v>2866</v>
      </c>
      <c r="B7224" s="1">
        <v>45708</v>
      </c>
      <c r="C7224" t="s">
        <v>12</v>
      </c>
      <c r="D7224" s="2">
        <v>0</v>
      </c>
      <c r="E7224" s="2">
        <v>832.1</v>
      </c>
      <c r="F7224" t="s">
        <v>14</v>
      </c>
      <c r="G7224" t="s">
        <v>15</v>
      </c>
    </row>
    <row r="7225" spans="1:7" x14ac:dyDescent="0.35">
      <c r="A7225">
        <v>2866</v>
      </c>
      <c r="B7225" s="1">
        <v>45708</v>
      </c>
      <c r="C7225" t="s">
        <v>12</v>
      </c>
      <c r="D7225" s="2">
        <v>0</v>
      </c>
      <c r="E7225" s="2">
        <v>62.41</v>
      </c>
      <c r="F7225" t="s">
        <v>16</v>
      </c>
      <c r="G7225" t="s">
        <v>17</v>
      </c>
    </row>
    <row r="7226" spans="1:7" x14ac:dyDescent="0.35">
      <c r="A7226">
        <v>2867</v>
      </c>
      <c r="B7226" s="1">
        <v>45708</v>
      </c>
      <c r="C7226" t="s">
        <v>12</v>
      </c>
      <c r="D7226" s="2">
        <v>2038.36</v>
      </c>
      <c r="E7226" s="2">
        <v>0</v>
      </c>
      <c r="F7226" t="s">
        <v>13</v>
      </c>
      <c r="G7226" t="s">
        <v>9</v>
      </c>
    </row>
    <row r="7227" spans="1:7" x14ac:dyDescent="0.35">
      <c r="A7227">
        <v>2867</v>
      </c>
      <c r="B7227" s="1">
        <v>45708</v>
      </c>
      <c r="C7227" t="s">
        <v>12</v>
      </c>
      <c r="D7227" s="2">
        <v>0</v>
      </c>
      <c r="E7227" s="2">
        <v>1896.15</v>
      </c>
      <c r="F7227" t="s">
        <v>14</v>
      </c>
      <c r="G7227" t="s">
        <v>15</v>
      </c>
    </row>
    <row r="7228" spans="1:7" x14ac:dyDescent="0.35">
      <c r="A7228">
        <v>2867</v>
      </c>
      <c r="B7228" s="1">
        <v>45708</v>
      </c>
      <c r="C7228" t="s">
        <v>12</v>
      </c>
      <c r="D7228" s="2">
        <v>0</v>
      </c>
      <c r="E7228" s="2">
        <v>142.21</v>
      </c>
      <c r="F7228" t="s">
        <v>16</v>
      </c>
      <c r="G7228" t="s">
        <v>17</v>
      </c>
    </row>
    <row r="7229" spans="1:7" x14ac:dyDescent="0.35">
      <c r="A7229">
        <v>2868</v>
      </c>
      <c r="B7229" s="1">
        <v>45708</v>
      </c>
      <c r="C7229" t="s">
        <v>12</v>
      </c>
      <c r="D7229" s="2">
        <v>3617.98</v>
      </c>
      <c r="E7229" s="2">
        <v>0</v>
      </c>
      <c r="F7229" t="s">
        <v>13</v>
      </c>
      <c r="G7229" t="s">
        <v>9</v>
      </c>
    </row>
    <row r="7230" spans="1:7" x14ac:dyDescent="0.35">
      <c r="A7230">
        <v>2868</v>
      </c>
      <c r="B7230" s="1">
        <v>45708</v>
      </c>
      <c r="C7230" t="s">
        <v>12</v>
      </c>
      <c r="D7230" s="2">
        <v>0</v>
      </c>
      <c r="E7230" s="2">
        <v>3365.57</v>
      </c>
      <c r="F7230" t="s">
        <v>14</v>
      </c>
      <c r="G7230" t="s">
        <v>15</v>
      </c>
    </row>
    <row r="7231" spans="1:7" x14ac:dyDescent="0.35">
      <c r="A7231">
        <v>2868</v>
      </c>
      <c r="B7231" s="1">
        <v>45708</v>
      </c>
      <c r="C7231" t="s">
        <v>12</v>
      </c>
      <c r="D7231" s="2">
        <v>0</v>
      </c>
      <c r="E7231" s="2">
        <v>252.41</v>
      </c>
      <c r="F7231" t="s">
        <v>16</v>
      </c>
      <c r="G7231" t="s">
        <v>17</v>
      </c>
    </row>
    <row r="7232" spans="1:7" x14ac:dyDescent="0.35">
      <c r="A7232">
        <v>2869</v>
      </c>
      <c r="B7232" s="1">
        <v>45708</v>
      </c>
      <c r="C7232" t="s">
        <v>12</v>
      </c>
      <c r="D7232" s="2">
        <v>3880.81</v>
      </c>
      <c r="E7232" s="2">
        <v>0</v>
      </c>
      <c r="F7232" t="s">
        <v>13</v>
      </c>
      <c r="G7232" t="s">
        <v>9</v>
      </c>
    </row>
    <row r="7233" spans="1:7" x14ac:dyDescent="0.35">
      <c r="A7233">
        <v>2869</v>
      </c>
      <c r="B7233" s="1">
        <v>45708</v>
      </c>
      <c r="C7233" t="s">
        <v>12</v>
      </c>
      <c r="D7233" s="2">
        <v>0</v>
      </c>
      <c r="E7233" s="2">
        <v>3610.06</v>
      </c>
      <c r="F7233" t="s">
        <v>14</v>
      </c>
      <c r="G7233" t="s">
        <v>15</v>
      </c>
    </row>
    <row r="7234" spans="1:7" x14ac:dyDescent="0.35">
      <c r="A7234">
        <v>2869</v>
      </c>
      <c r="B7234" s="1">
        <v>45708</v>
      </c>
      <c r="C7234" t="s">
        <v>12</v>
      </c>
      <c r="D7234" s="2">
        <v>0</v>
      </c>
      <c r="E7234" s="2">
        <v>270.75</v>
      </c>
      <c r="F7234" t="s">
        <v>16</v>
      </c>
      <c r="G7234" t="s">
        <v>17</v>
      </c>
    </row>
    <row r="7235" spans="1:7" x14ac:dyDescent="0.35">
      <c r="A7235">
        <v>2870</v>
      </c>
      <c r="B7235" s="1">
        <v>45708</v>
      </c>
      <c r="C7235" t="s">
        <v>12</v>
      </c>
      <c r="D7235" s="2">
        <v>3230.93</v>
      </c>
      <c r="E7235" s="2">
        <v>0</v>
      </c>
      <c r="F7235" t="s">
        <v>13</v>
      </c>
      <c r="G7235" t="s">
        <v>9</v>
      </c>
    </row>
    <row r="7236" spans="1:7" x14ac:dyDescent="0.35">
      <c r="A7236">
        <v>2870</v>
      </c>
      <c r="B7236" s="1">
        <v>45708</v>
      </c>
      <c r="C7236" t="s">
        <v>12</v>
      </c>
      <c r="D7236" s="2">
        <v>0</v>
      </c>
      <c r="E7236" s="2">
        <v>3005.53</v>
      </c>
      <c r="F7236" t="s">
        <v>14</v>
      </c>
      <c r="G7236" t="s">
        <v>15</v>
      </c>
    </row>
    <row r="7237" spans="1:7" x14ac:dyDescent="0.35">
      <c r="A7237">
        <v>2870</v>
      </c>
      <c r="B7237" s="1">
        <v>45708</v>
      </c>
      <c r="C7237" t="s">
        <v>12</v>
      </c>
      <c r="D7237" s="2">
        <v>0</v>
      </c>
      <c r="E7237" s="2">
        <v>225.4</v>
      </c>
      <c r="F7237" t="s">
        <v>16</v>
      </c>
      <c r="G7237" t="s">
        <v>17</v>
      </c>
    </row>
    <row r="7238" spans="1:7" x14ac:dyDescent="0.35">
      <c r="A7238">
        <v>2871</v>
      </c>
      <c r="B7238" s="1">
        <v>45708</v>
      </c>
      <c r="C7238" t="s">
        <v>24</v>
      </c>
      <c r="D7238" s="2">
        <v>1431.21</v>
      </c>
      <c r="E7238" s="2">
        <v>0</v>
      </c>
      <c r="F7238" t="s">
        <v>8</v>
      </c>
      <c r="G7238" t="s">
        <v>9</v>
      </c>
    </row>
    <row r="7239" spans="1:7" x14ac:dyDescent="0.35">
      <c r="A7239">
        <v>2871</v>
      </c>
      <c r="B7239" s="1">
        <v>45708</v>
      </c>
      <c r="C7239" t="s">
        <v>24</v>
      </c>
      <c r="D7239" s="2">
        <v>0</v>
      </c>
      <c r="E7239" s="2">
        <v>1431.21</v>
      </c>
      <c r="F7239" t="s">
        <v>13</v>
      </c>
      <c r="G7239" t="s">
        <v>9</v>
      </c>
    </row>
    <row r="7240" spans="1:7" x14ac:dyDescent="0.35">
      <c r="A7240">
        <v>2872</v>
      </c>
      <c r="B7240" s="1">
        <v>45708</v>
      </c>
      <c r="C7240" t="s">
        <v>24</v>
      </c>
      <c r="D7240" s="2">
        <v>908.37</v>
      </c>
      <c r="E7240" s="2">
        <v>0</v>
      </c>
      <c r="F7240" t="s">
        <v>8</v>
      </c>
      <c r="G7240" t="s">
        <v>9</v>
      </c>
    </row>
    <row r="7241" spans="1:7" x14ac:dyDescent="0.35">
      <c r="A7241">
        <v>2872</v>
      </c>
      <c r="B7241" s="1">
        <v>45708</v>
      </c>
      <c r="C7241" t="s">
        <v>24</v>
      </c>
      <c r="D7241" s="2">
        <v>0</v>
      </c>
      <c r="E7241" s="2">
        <v>908.37</v>
      </c>
      <c r="F7241" t="s">
        <v>13</v>
      </c>
      <c r="G7241" t="s">
        <v>9</v>
      </c>
    </row>
    <row r="7242" spans="1:7" x14ac:dyDescent="0.35">
      <c r="A7242">
        <v>2873</v>
      </c>
      <c r="B7242" s="1">
        <v>45708</v>
      </c>
      <c r="C7242" t="s">
        <v>24</v>
      </c>
      <c r="D7242" s="2">
        <v>1297.79</v>
      </c>
      <c r="E7242" s="2">
        <v>0</v>
      </c>
      <c r="F7242" t="s">
        <v>8</v>
      </c>
      <c r="G7242" t="s">
        <v>9</v>
      </c>
    </row>
    <row r="7243" spans="1:7" x14ac:dyDescent="0.35">
      <c r="A7243">
        <v>2873</v>
      </c>
      <c r="B7243" s="1">
        <v>45708</v>
      </c>
      <c r="C7243" t="s">
        <v>24</v>
      </c>
      <c r="D7243" s="2">
        <v>0</v>
      </c>
      <c r="E7243" s="2">
        <v>1297.79</v>
      </c>
      <c r="F7243" t="s">
        <v>13</v>
      </c>
      <c r="G7243" t="s">
        <v>9</v>
      </c>
    </row>
    <row r="7244" spans="1:7" x14ac:dyDescent="0.35">
      <c r="A7244">
        <v>2874</v>
      </c>
      <c r="B7244" s="1">
        <v>45708</v>
      </c>
      <c r="C7244" t="s">
        <v>24</v>
      </c>
      <c r="D7244" s="2">
        <v>1238.78</v>
      </c>
      <c r="E7244" s="2">
        <v>0</v>
      </c>
      <c r="F7244" t="s">
        <v>8</v>
      </c>
      <c r="G7244" t="s">
        <v>9</v>
      </c>
    </row>
    <row r="7245" spans="1:7" x14ac:dyDescent="0.35">
      <c r="A7245">
        <v>2874</v>
      </c>
      <c r="B7245" s="1">
        <v>45708</v>
      </c>
      <c r="C7245" t="s">
        <v>24</v>
      </c>
      <c r="D7245" s="2">
        <v>0</v>
      </c>
      <c r="E7245" s="2">
        <v>1238.78</v>
      </c>
      <c r="F7245" t="s">
        <v>13</v>
      </c>
      <c r="G7245" t="s">
        <v>9</v>
      </c>
    </row>
    <row r="7246" spans="1:7" x14ac:dyDescent="0.35">
      <c r="A7246">
        <v>2875</v>
      </c>
      <c r="B7246" s="1">
        <v>45709</v>
      </c>
      <c r="C7246" t="s">
        <v>12</v>
      </c>
      <c r="D7246" s="2">
        <v>1359.25</v>
      </c>
      <c r="E7246" s="2">
        <v>0</v>
      </c>
      <c r="F7246" t="s">
        <v>13</v>
      </c>
      <c r="G7246" t="s">
        <v>9</v>
      </c>
    </row>
    <row r="7247" spans="1:7" x14ac:dyDescent="0.35">
      <c r="A7247">
        <v>2875</v>
      </c>
      <c r="B7247" s="1">
        <v>45709</v>
      </c>
      <c r="C7247" t="s">
        <v>12</v>
      </c>
      <c r="D7247" s="2">
        <v>0</v>
      </c>
      <c r="E7247" s="2">
        <v>1264.42</v>
      </c>
      <c r="F7247" t="s">
        <v>14</v>
      </c>
      <c r="G7247" t="s">
        <v>15</v>
      </c>
    </row>
    <row r="7248" spans="1:7" x14ac:dyDescent="0.35">
      <c r="A7248">
        <v>2875</v>
      </c>
      <c r="B7248" s="1">
        <v>45709</v>
      </c>
      <c r="C7248" t="s">
        <v>12</v>
      </c>
      <c r="D7248" s="2">
        <v>0</v>
      </c>
      <c r="E7248" s="2">
        <v>94.83</v>
      </c>
      <c r="F7248" t="s">
        <v>16</v>
      </c>
      <c r="G7248" t="s">
        <v>17</v>
      </c>
    </row>
    <row r="7249" spans="1:7" x14ac:dyDescent="0.35">
      <c r="A7249">
        <v>2876</v>
      </c>
      <c r="B7249" s="1">
        <v>45709</v>
      </c>
      <c r="C7249" t="s">
        <v>12</v>
      </c>
      <c r="D7249" s="2">
        <v>4034.98</v>
      </c>
      <c r="E7249" s="2">
        <v>0</v>
      </c>
      <c r="F7249" t="s">
        <v>13</v>
      </c>
      <c r="G7249" t="s">
        <v>9</v>
      </c>
    </row>
    <row r="7250" spans="1:7" x14ac:dyDescent="0.35">
      <c r="A7250">
        <v>2876</v>
      </c>
      <c r="B7250" s="1">
        <v>45709</v>
      </c>
      <c r="C7250" t="s">
        <v>12</v>
      </c>
      <c r="D7250" s="2">
        <v>0</v>
      </c>
      <c r="E7250" s="2">
        <v>3753.47</v>
      </c>
      <c r="F7250" t="s">
        <v>14</v>
      </c>
      <c r="G7250" t="s">
        <v>15</v>
      </c>
    </row>
    <row r="7251" spans="1:7" x14ac:dyDescent="0.35">
      <c r="A7251">
        <v>2876</v>
      </c>
      <c r="B7251" s="1">
        <v>45709</v>
      </c>
      <c r="C7251" t="s">
        <v>12</v>
      </c>
      <c r="D7251" s="2">
        <v>0</v>
      </c>
      <c r="E7251" s="2">
        <v>281.51</v>
      </c>
      <c r="F7251" t="s">
        <v>16</v>
      </c>
      <c r="G7251" t="s">
        <v>17</v>
      </c>
    </row>
    <row r="7252" spans="1:7" x14ac:dyDescent="0.35">
      <c r="A7252">
        <v>2877</v>
      </c>
      <c r="B7252" s="1">
        <v>45709</v>
      </c>
      <c r="C7252" t="s">
        <v>12</v>
      </c>
      <c r="D7252" s="2">
        <v>1558.82</v>
      </c>
      <c r="E7252" s="2">
        <v>0</v>
      </c>
      <c r="F7252" t="s">
        <v>13</v>
      </c>
      <c r="G7252" t="s">
        <v>9</v>
      </c>
    </row>
    <row r="7253" spans="1:7" x14ac:dyDescent="0.35">
      <c r="A7253">
        <v>2877</v>
      </c>
      <c r="B7253" s="1">
        <v>45709</v>
      </c>
      <c r="C7253" t="s">
        <v>12</v>
      </c>
      <c r="D7253" s="2">
        <v>0</v>
      </c>
      <c r="E7253" s="2">
        <v>1450.06</v>
      </c>
      <c r="F7253" t="s">
        <v>14</v>
      </c>
      <c r="G7253" t="s">
        <v>15</v>
      </c>
    </row>
    <row r="7254" spans="1:7" x14ac:dyDescent="0.35">
      <c r="A7254">
        <v>2877</v>
      </c>
      <c r="B7254" s="1">
        <v>45709</v>
      </c>
      <c r="C7254" t="s">
        <v>12</v>
      </c>
      <c r="D7254" s="2">
        <v>0</v>
      </c>
      <c r="E7254" s="2">
        <v>108.76</v>
      </c>
      <c r="F7254" t="s">
        <v>16</v>
      </c>
      <c r="G7254" t="s">
        <v>17</v>
      </c>
    </row>
    <row r="7255" spans="1:7" x14ac:dyDescent="0.35">
      <c r="A7255">
        <v>2878</v>
      </c>
      <c r="B7255" s="1">
        <v>45709</v>
      </c>
      <c r="C7255" t="s">
        <v>24</v>
      </c>
      <c r="D7255" s="2">
        <v>6590.31</v>
      </c>
      <c r="E7255" s="2">
        <v>0</v>
      </c>
      <c r="F7255" t="s">
        <v>8</v>
      </c>
      <c r="G7255" t="s">
        <v>9</v>
      </c>
    </row>
    <row r="7256" spans="1:7" x14ac:dyDescent="0.35">
      <c r="A7256">
        <v>2878</v>
      </c>
      <c r="B7256" s="1">
        <v>45709</v>
      </c>
      <c r="C7256" t="s">
        <v>24</v>
      </c>
      <c r="D7256" s="2">
        <v>0</v>
      </c>
      <c r="E7256" s="2">
        <v>6590.31</v>
      </c>
      <c r="F7256" t="s">
        <v>13</v>
      </c>
      <c r="G7256" t="s">
        <v>9</v>
      </c>
    </row>
    <row r="7257" spans="1:7" x14ac:dyDescent="0.35">
      <c r="A7257">
        <v>2879</v>
      </c>
      <c r="B7257" s="1">
        <v>45709</v>
      </c>
      <c r="C7257" t="s">
        <v>24</v>
      </c>
      <c r="D7257" s="2">
        <v>216.03</v>
      </c>
      <c r="E7257" s="2">
        <v>0</v>
      </c>
      <c r="F7257" t="s">
        <v>8</v>
      </c>
      <c r="G7257" t="s">
        <v>9</v>
      </c>
    </row>
    <row r="7258" spans="1:7" x14ac:dyDescent="0.35">
      <c r="A7258">
        <v>2879</v>
      </c>
      <c r="B7258" s="1">
        <v>45709</v>
      </c>
      <c r="C7258" t="s">
        <v>24</v>
      </c>
      <c r="D7258" s="2">
        <v>0</v>
      </c>
      <c r="E7258" s="2">
        <v>216.03</v>
      </c>
      <c r="F7258" t="s">
        <v>13</v>
      </c>
      <c r="G7258" t="s">
        <v>9</v>
      </c>
    </row>
    <row r="7259" spans="1:7" x14ac:dyDescent="0.35">
      <c r="A7259">
        <v>2880</v>
      </c>
      <c r="B7259" s="1">
        <v>45709</v>
      </c>
      <c r="C7259" t="s">
        <v>24</v>
      </c>
      <c r="D7259" s="2">
        <v>3243.16</v>
      </c>
      <c r="E7259" s="2">
        <v>0</v>
      </c>
      <c r="F7259" t="s">
        <v>8</v>
      </c>
      <c r="G7259" t="s">
        <v>9</v>
      </c>
    </row>
    <row r="7260" spans="1:7" x14ac:dyDescent="0.35">
      <c r="A7260">
        <v>2880</v>
      </c>
      <c r="B7260" s="1">
        <v>45709</v>
      </c>
      <c r="C7260" t="s">
        <v>24</v>
      </c>
      <c r="D7260" s="2">
        <v>0</v>
      </c>
      <c r="E7260" s="2">
        <v>3243.16</v>
      </c>
      <c r="F7260" t="s">
        <v>13</v>
      </c>
      <c r="G7260" t="s">
        <v>9</v>
      </c>
    </row>
    <row r="7261" spans="1:7" x14ac:dyDescent="0.35">
      <c r="A7261">
        <v>2881</v>
      </c>
      <c r="B7261" s="1">
        <v>45709</v>
      </c>
      <c r="C7261" t="s">
        <v>24</v>
      </c>
      <c r="D7261" s="2">
        <v>122.87</v>
      </c>
      <c r="E7261" s="2">
        <v>0</v>
      </c>
      <c r="F7261" t="s">
        <v>8</v>
      </c>
      <c r="G7261" t="s">
        <v>9</v>
      </c>
    </row>
    <row r="7262" spans="1:7" x14ac:dyDescent="0.35">
      <c r="A7262">
        <v>2881</v>
      </c>
      <c r="B7262" s="1">
        <v>45709</v>
      </c>
      <c r="C7262" t="s">
        <v>24</v>
      </c>
      <c r="D7262" s="2">
        <v>0</v>
      </c>
      <c r="E7262" s="2">
        <v>122.87</v>
      </c>
      <c r="F7262" t="s">
        <v>13</v>
      </c>
      <c r="G7262" t="s">
        <v>9</v>
      </c>
    </row>
    <row r="7263" spans="1:7" x14ac:dyDescent="0.35">
      <c r="A7263">
        <v>2882</v>
      </c>
      <c r="B7263" s="1">
        <v>45709</v>
      </c>
      <c r="C7263" t="s">
        <v>24</v>
      </c>
      <c r="D7263" s="2">
        <v>3335.24</v>
      </c>
      <c r="E7263" s="2">
        <v>0</v>
      </c>
      <c r="F7263" t="s">
        <v>8</v>
      </c>
      <c r="G7263" t="s">
        <v>9</v>
      </c>
    </row>
    <row r="7264" spans="1:7" x14ac:dyDescent="0.35">
      <c r="A7264">
        <v>2882</v>
      </c>
      <c r="B7264" s="1">
        <v>45709</v>
      </c>
      <c r="C7264" t="s">
        <v>24</v>
      </c>
      <c r="D7264" s="2">
        <v>0</v>
      </c>
      <c r="E7264" s="2">
        <v>3335.24</v>
      </c>
      <c r="F7264" t="s">
        <v>13</v>
      </c>
      <c r="G7264" t="s">
        <v>9</v>
      </c>
    </row>
    <row r="7265" spans="1:7" x14ac:dyDescent="0.35">
      <c r="A7265">
        <v>2883</v>
      </c>
      <c r="B7265" s="1">
        <v>45709</v>
      </c>
      <c r="C7265" t="s">
        <v>24</v>
      </c>
      <c r="D7265" s="2">
        <v>894.51</v>
      </c>
      <c r="E7265" s="2">
        <v>0</v>
      </c>
      <c r="F7265" t="s">
        <v>8</v>
      </c>
      <c r="G7265" t="s">
        <v>9</v>
      </c>
    </row>
    <row r="7266" spans="1:7" x14ac:dyDescent="0.35">
      <c r="A7266">
        <v>2883</v>
      </c>
      <c r="B7266" s="1">
        <v>45709</v>
      </c>
      <c r="C7266" t="s">
        <v>24</v>
      </c>
      <c r="D7266" s="2">
        <v>0</v>
      </c>
      <c r="E7266" s="2">
        <v>894.51</v>
      </c>
      <c r="F7266" t="s">
        <v>13</v>
      </c>
      <c r="G7266" t="s">
        <v>9</v>
      </c>
    </row>
    <row r="7267" spans="1:7" x14ac:dyDescent="0.35">
      <c r="A7267">
        <v>2884</v>
      </c>
      <c r="B7267" s="1">
        <v>45709</v>
      </c>
      <c r="C7267" t="s">
        <v>25</v>
      </c>
      <c r="D7267" s="2">
        <v>4476.71</v>
      </c>
      <c r="E7267" s="2">
        <v>0</v>
      </c>
      <c r="F7267" t="s">
        <v>26</v>
      </c>
      <c r="G7267" t="s">
        <v>20</v>
      </c>
    </row>
    <row r="7268" spans="1:7" x14ac:dyDescent="0.35">
      <c r="A7268">
        <v>2884</v>
      </c>
      <c r="B7268" s="1">
        <v>45709</v>
      </c>
      <c r="C7268" t="s">
        <v>25</v>
      </c>
      <c r="D7268" s="2">
        <v>335.75</v>
      </c>
      <c r="E7268" s="2">
        <v>0</v>
      </c>
      <c r="F7268" t="s">
        <v>27</v>
      </c>
      <c r="G7268" t="s">
        <v>9</v>
      </c>
    </row>
    <row r="7269" spans="1:7" x14ac:dyDescent="0.35">
      <c r="A7269">
        <v>2884</v>
      </c>
      <c r="B7269" s="1">
        <v>45709</v>
      </c>
      <c r="C7269" t="s">
        <v>25</v>
      </c>
      <c r="D7269" s="2">
        <v>0</v>
      </c>
      <c r="E7269" s="2">
        <v>4812.46</v>
      </c>
      <c r="F7269" t="s">
        <v>28</v>
      </c>
      <c r="G7269" t="s">
        <v>17</v>
      </c>
    </row>
    <row r="7270" spans="1:7" x14ac:dyDescent="0.35">
      <c r="A7270">
        <v>2885</v>
      </c>
      <c r="B7270" s="1">
        <v>45712</v>
      </c>
      <c r="C7270" t="s">
        <v>12</v>
      </c>
      <c r="D7270" s="2">
        <v>2033.71</v>
      </c>
      <c r="E7270" s="2">
        <v>0</v>
      </c>
      <c r="F7270" t="s">
        <v>13</v>
      </c>
      <c r="G7270" t="s">
        <v>9</v>
      </c>
    </row>
    <row r="7271" spans="1:7" x14ac:dyDescent="0.35">
      <c r="A7271">
        <v>2885</v>
      </c>
      <c r="B7271" s="1">
        <v>45712</v>
      </c>
      <c r="C7271" t="s">
        <v>12</v>
      </c>
      <c r="D7271" s="2">
        <v>0</v>
      </c>
      <c r="E7271" s="2">
        <v>1891.83</v>
      </c>
      <c r="F7271" t="s">
        <v>14</v>
      </c>
      <c r="G7271" t="s">
        <v>15</v>
      </c>
    </row>
    <row r="7272" spans="1:7" x14ac:dyDescent="0.35">
      <c r="A7272">
        <v>2885</v>
      </c>
      <c r="B7272" s="1">
        <v>45712</v>
      </c>
      <c r="C7272" t="s">
        <v>12</v>
      </c>
      <c r="D7272" s="2">
        <v>0</v>
      </c>
      <c r="E7272" s="2">
        <v>141.88</v>
      </c>
      <c r="F7272" t="s">
        <v>16</v>
      </c>
      <c r="G7272" t="s">
        <v>17</v>
      </c>
    </row>
    <row r="7273" spans="1:7" x14ac:dyDescent="0.35">
      <c r="A7273">
        <v>2886</v>
      </c>
      <c r="B7273" s="1">
        <v>45712</v>
      </c>
      <c r="C7273" t="s">
        <v>12</v>
      </c>
      <c r="D7273" s="2">
        <v>497.52</v>
      </c>
      <c r="E7273" s="2">
        <v>0</v>
      </c>
      <c r="F7273" t="s">
        <v>13</v>
      </c>
      <c r="G7273" t="s">
        <v>9</v>
      </c>
    </row>
    <row r="7274" spans="1:7" x14ac:dyDescent="0.35">
      <c r="A7274">
        <v>2886</v>
      </c>
      <c r="B7274" s="1">
        <v>45712</v>
      </c>
      <c r="C7274" t="s">
        <v>12</v>
      </c>
      <c r="D7274" s="2">
        <v>0</v>
      </c>
      <c r="E7274" s="2">
        <v>462.81</v>
      </c>
      <c r="F7274" t="s">
        <v>14</v>
      </c>
      <c r="G7274" t="s">
        <v>15</v>
      </c>
    </row>
    <row r="7275" spans="1:7" x14ac:dyDescent="0.35">
      <c r="A7275">
        <v>2886</v>
      </c>
      <c r="B7275" s="1">
        <v>45712</v>
      </c>
      <c r="C7275" t="s">
        <v>12</v>
      </c>
      <c r="D7275" s="2">
        <v>0</v>
      </c>
      <c r="E7275" s="2">
        <v>34.71</v>
      </c>
      <c r="F7275" t="s">
        <v>16</v>
      </c>
      <c r="G7275" t="s">
        <v>17</v>
      </c>
    </row>
    <row r="7276" spans="1:7" x14ac:dyDescent="0.35">
      <c r="A7276">
        <v>2887</v>
      </c>
      <c r="B7276" s="1">
        <v>45712</v>
      </c>
      <c r="C7276" t="s">
        <v>12</v>
      </c>
      <c r="D7276" s="2">
        <v>3373.7</v>
      </c>
      <c r="E7276" s="2">
        <v>0</v>
      </c>
      <c r="F7276" t="s">
        <v>13</v>
      </c>
      <c r="G7276" t="s">
        <v>9</v>
      </c>
    </row>
    <row r="7277" spans="1:7" x14ac:dyDescent="0.35">
      <c r="A7277">
        <v>2887</v>
      </c>
      <c r="B7277" s="1">
        <v>45712</v>
      </c>
      <c r="C7277" t="s">
        <v>12</v>
      </c>
      <c r="D7277" s="2">
        <v>0</v>
      </c>
      <c r="E7277" s="2">
        <v>3138.33</v>
      </c>
      <c r="F7277" t="s">
        <v>14</v>
      </c>
      <c r="G7277" t="s">
        <v>15</v>
      </c>
    </row>
    <row r="7278" spans="1:7" x14ac:dyDescent="0.35">
      <c r="A7278">
        <v>2887</v>
      </c>
      <c r="B7278" s="1">
        <v>45712</v>
      </c>
      <c r="C7278" t="s">
        <v>12</v>
      </c>
      <c r="D7278" s="2">
        <v>0</v>
      </c>
      <c r="E7278" s="2">
        <v>235.37</v>
      </c>
      <c r="F7278" t="s">
        <v>16</v>
      </c>
      <c r="G7278" t="s">
        <v>17</v>
      </c>
    </row>
    <row r="7279" spans="1:7" x14ac:dyDescent="0.35">
      <c r="A7279">
        <v>2888</v>
      </c>
      <c r="B7279" s="1">
        <v>45712</v>
      </c>
      <c r="C7279" t="s">
        <v>12</v>
      </c>
      <c r="D7279" s="2">
        <v>2082.42</v>
      </c>
      <c r="E7279" s="2">
        <v>0</v>
      </c>
      <c r="F7279" t="s">
        <v>13</v>
      </c>
      <c r="G7279" t="s">
        <v>9</v>
      </c>
    </row>
    <row r="7280" spans="1:7" x14ac:dyDescent="0.35">
      <c r="A7280">
        <v>2888</v>
      </c>
      <c r="B7280" s="1">
        <v>45712</v>
      </c>
      <c r="C7280" t="s">
        <v>12</v>
      </c>
      <c r="D7280" s="2">
        <v>0</v>
      </c>
      <c r="E7280" s="2">
        <v>1937.13</v>
      </c>
      <c r="F7280" t="s">
        <v>14</v>
      </c>
      <c r="G7280" t="s">
        <v>15</v>
      </c>
    </row>
    <row r="7281" spans="1:7" x14ac:dyDescent="0.35">
      <c r="A7281">
        <v>2888</v>
      </c>
      <c r="B7281" s="1">
        <v>45712</v>
      </c>
      <c r="C7281" t="s">
        <v>12</v>
      </c>
      <c r="D7281" s="2">
        <v>0</v>
      </c>
      <c r="E7281" s="2">
        <v>145.29</v>
      </c>
      <c r="F7281" t="s">
        <v>16</v>
      </c>
      <c r="G7281" t="s">
        <v>17</v>
      </c>
    </row>
    <row r="7282" spans="1:7" x14ac:dyDescent="0.35">
      <c r="A7282">
        <v>2889</v>
      </c>
      <c r="B7282" s="1">
        <v>45712</v>
      </c>
      <c r="C7282" t="s">
        <v>12</v>
      </c>
      <c r="D7282" s="2">
        <v>145.51</v>
      </c>
      <c r="E7282" s="2">
        <v>0</v>
      </c>
      <c r="F7282" t="s">
        <v>13</v>
      </c>
      <c r="G7282" t="s">
        <v>9</v>
      </c>
    </row>
    <row r="7283" spans="1:7" x14ac:dyDescent="0.35">
      <c r="A7283">
        <v>2889</v>
      </c>
      <c r="B7283" s="1">
        <v>45712</v>
      </c>
      <c r="C7283" t="s">
        <v>12</v>
      </c>
      <c r="D7283" s="2">
        <v>0</v>
      </c>
      <c r="E7283" s="2">
        <v>135.36000000000001</v>
      </c>
      <c r="F7283" t="s">
        <v>14</v>
      </c>
      <c r="G7283" t="s">
        <v>15</v>
      </c>
    </row>
    <row r="7284" spans="1:7" x14ac:dyDescent="0.35">
      <c r="A7284">
        <v>2889</v>
      </c>
      <c r="B7284" s="1">
        <v>45712</v>
      </c>
      <c r="C7284" t="s">
        <v>12</v>
      </c>
      <c r="D7284" s="2">
        <v>0</v>
      </c>
      <c r="E7284" s="2">
        <v>10.15</v>
      </c>
      <c r="F7284" t="s">
        <v>16</v>
      </c>
      <c r="G7284" t="s">
        <v>17</v>
      </c>
    </row>
    <row r="7285" spans="1:7" x14ac:dyDescent="0.35">
      <c r="A7285">
        <v>2890</v>
      </c>
      <c r="B7285" s="1">
        <v>45712</v>
      </c>
      <c r="C7285" t="s">
        <v>24</v>
      </c>
      <c r="D7285" s="2">
        <v>2675.91</v>
      </c>
      <c r="E7285" s="2">
        <v>0</v>
      </c>
      <c r="F7285" t="s">
        <v>8</v>
      </c>
      <c r="G7285" t="s">
        <v>9</v>
      </c>
    </row>
    <row r="7286" spans="1:7" x14ac:dyDescent="0.35">
      <c r="A7286">
        <v>2890</v>
      </c>
      <c r="B7286" s="1">
        <v>45712</v>
      </c>
      <c r="C7286" t="s">
        <v>24</v>
      </c>
      <c r="D7286" s="2">
        <v>0</v>
      </c>
      <c r="E7286" s="2">
        <v>2675.91</v>
      </c>
      <c r="F7286" t="s">
        <v>13</v>
      </c>
      <c r="G7286" t="s">
        <v>9</v>
      </c>
    </row>
    <row r="7287" spans="1:7" x14ac:dyDescent="0.35">
      <c r="A7287">
        <v>2891</v>
      </c>
      <c r="B7287" s="1">
        <v>45712</v>
      </c>
      <c r="C7287" t="s">
        <v>24</v>
      </c>
      <c r="D7287" s="2">
        <v>464.03</v>
      </c>
      <c r="E7287" s="2">
        <v>0</v>
      </c>
      <c r="F7287" t="s">
        <v>8</v>
      </c>
      <c r="G7287" t="s">
        <v>9</v>
      </c>
    </row>
    <row r="7288" spans="1:7" x14ac:dyDescent="0.35">
      <c r="A7288">
        <v>2891</v>
      </c>
      <c r="B7288" s="1">
        <v>45712</v>
      </c>
      <c r="C7288" t="s">
        <v>24</v>
      </c>
      <c r="D7288" s="2">
        <v>0</v>
      </c>
      <c r="E7288" s="2">
        <v>464.03</v>
      </c>
      <c r="F7288" t="s">
        <v>13</v>
      </c>
      <c r="G7288" t="s">
        <v>9</v>
      </c>
    </row>
    <row r="7289" spans="1:7" x14ac:dyDescent="0.35">
      <c r="A7289">
        <v>2892</v>
      </c>
      <c r="B7289" s="1">
        <v>45712</v>
      </c>
      <c r="C7289" t="s">
        <v>25</v>
      </c>
      <c r="D7289" s="2">
        <v>2329.52</v>
      </c>
      <c r="E7289" s="2">
        <v>0</v>
      </c>
      <c r="F7289" t="s">
        <v>26</v>
      </c>
      <c r="G7289" t="s">
        <v>20</v>
      </c>
    </row>
    <row r="7290" spans="1:7" x14ac:dyDescent="0.35">
      <c r="A7290">
        <v>2892</v>
      </c>
      <c r="B7290" s="1">
        <v>45712</v>
      </c>
      <c r="C7290" t="s">
        <v>25</v>
      </c>
      <c r="D7290" s="2">
        <v>174.71</v>
      </c>
      <c r="E7290" s="2">
        <v>0</v>
      </c>
      <c r="F7290" t="s">
        <v>27</v>
      </c>
      <c r="G7290" t="s">
        <v>9</v>
      </c>
    </row>
    <row r="7291" spans="1:7" x14ac:dyDescent="0.35">
      <c r="A7291">
        <v>2892</v>
      </c>
      <c r="B7291" s="1">
        <v>45712</v>
      </c>
      <c r="C7291" t="s">
        <v>25</v>
      </c>
      <c r="D7291" s="2">
        <v>0</v>
      </c>
      <c r="E7291" s="2">
        <v>2504.23</v>
      </c>
      <c r="F7291" t="s">
        <v>28</v>
      </c>
      <c r="G7291" t="s">
        <v>17</v>
      </c>
    </row>
    <row r="7292" spans="1:7" x14ac:dyDescent="0.35">
      <c r="A7292">
        <v>2893</v>
      </c>
      <c r="B7292" s="1">
        <v>45712</v>
      </c>
      <c r="C7292" t="s">
        <v>25</v>
      </c>
      <c r="D7292" s="2">
        <v>512</v>
      </c>
      <c r="E7292" s="2">
        <v>0</v>
      </c>
      <c r="F7292" t="s">
        <v>26</v>
      </c>
      <c r="G7292" t="s">
        <v>20</v>
      </c>
    </row>
    <row r="7293" spans="1:7" x14ac:dyDescent="0.35">
      <c r="A7293">
        <v>2893</v>
      </c>
      <c r="B7293" s="1">
        <v>45712</v>
      </c>
      <c r="C7293" t="s">
        <v>25</v>
      </c>
      <c r="D7293" s="2">
        <v>38.4</v>
      </c>
      <c r="E7293" s="2">
        <v>0</v>
      </c>
      <c r="F7293" t="s">
        <v>27</v>
      </c>
      <c r="G7293" t="s">
        <v>9</v>
      </c>
    </row>
    <row r="7294" spans="1:7" x14ac:dyDescent="0.35">
      <c r="A7294">
        <v>2893</v>
      </c>
      <c r="B7294" s="1">
        <v>45712</v>
      </c>
      <c r="C7294" t="s">
        <v>25</v>
      </c>
      <c r="D7294" s="2">
        <v>0</v>
      </c>
      <c r="E7294" s="2">
        <v>550.4</v>
      </c>
      <c r="F7294" t="s">
        <v>28</v>
      </c>
      <c r="G7294" t="s">
        <v>17</v>
      </c>
    </row>
    <row r="7295" spans="1:7" x14ac:dyDescent="0.35">
      <c r="A7295">
        <v>2894</v>
      </c>
      <c r="B7295" s="1">
        <v>45712</v>
      </c>
      <c r="C7295" t="s">
        <v>25</v>
      </c>
      <c r="D7295" s="2">
        <v>2451.5</v>
      </c>
      <c r="E7295" s="2">
        <v>0</v>
      </c>
      <c r="F7295" t="s">
        <v>26</v>
      </c>
      <c r="G7295" t="s">
        <v>20</v>
      </c>
    </row>
    <row r="7296" spans="1:7" x14ac:dyDescent="0.35">
      <c r="A7296">
        <v>2894</v>
      </c>
      <c r="B7296" s="1">
        <v>45712</v>
      </c>
      <c r="C7296" t="s">
        <v>25</v>
      </c>
      <c r="D7296" s="2">
        <v>183.86</v>
      </c>
      <c r="E7296" s="2">
        <v>0</v>
      </c>
      <c r="F7296" t="s">
        <v>27</v>
      </c>
      <c r="G7296" t="s">
        <v>9</v>
      </c>
    </row>
    <row r="7297" spans="1:7" x14ac:dyDescent="0.35">
      <c r="A7297">
        <v>2894</v>
      </c>
      <c r="B7297" s="1">
        <v>45712</v>
      </c>
      <c r="C7297" t="s">
        <v>25</v>
      </c>
      <c r="D7297" s="2">
        <v>0</v>
      </c>
      <c r="E7297" s="2">
        <v>2635.36</v>
      </c>
      <c r="F7297" t="s">
        <v>28</v>
      </c>
      <c r="G7297" t="s">
        <v>17</v>
      </c>
    </row>
    <row r="7298" spans="1:7" x14ac:dyDescent="0.35">
      <c r="A7298">
        <v>2895</v>
      </c>
      <c r="B7298" s="1">
        <v>45712</v>
      </c>
      <c r="C7298" t="s">
        <v>29</v>
      </c>
      <c r="D7298" s="2">
        <v>1935.04</v>
      </c>
      <c r="E7298" s="2">
        <v>0</v>
      </c>
      <c r="F7298" t="s">
        <v>28</v>
      </c>
      <c r="G7298" t="s">
        <v>17</v>
      </c>
    </row>
    <row r="7299" spans="1:7" x14ac:dyDescent="0.35">
      <c r="A7299">
        <v>2895</v>
      </c>
      <c r="B7299" s="1">
        <v>45712</v>
      </c>
      <c r="C7299" t="s">
        <v>29</v>
      </c>
      <c r="D7299" s="2">
        <v>0</v>
      </c>
      <c r="E7299" s="2">
        <v>1935.04</v>
      </c>
      <c r="F7299" t="s">
        <v>8</v>
      </c>
      <c r="G7299" t="s">
        <v>9</v>
      </c>
    </row>
    <row r="7300" spans="1:7" x14ac:dyDescent="0.35">
      <c r="A7300">
        <v>2896</v>
      </c>
      <c r="B7300" s="1">
        <v>45712</v>
      </c>
      <c r="C7300" t="s">
        <v>29</v>
      </c>
      <c r="D7300" s="2">
        <v>201.5</v>
      </c>
      <c r="E7300" s="2">
        <v>0</v>
      </c>
      <c r="F7300" t="s">
        <v>28</v>
      </c>
      <c r="G7300" t="s">
        <v>17</v>
      </c>
    </row>
    <row r="7301" spans="1:7" x14ac:dyDescent="0.35">
      <c r="A7301">
        <v>2896</v>
      </c>
      <c r="B7301" s="1">
        <v>45712</v>
      </c>
      <c r="C7301" t="s">
        <v>29</v>
      </c>
      <c r="D7301" s="2">
        <v>0</v>
      </c>
      <c r="E7301" s="2">
        <v>201.5</v>
      </c>
      <c r="F7301" t="s">
        <v>8</v>
      </c>
      <c r="G7301" t="s">
        <v>9</v>
      </c>
    </row>
    <row r="7302" spans="1:7" x14ac:dyDescent="0.35">
      <c r="A7302">
        <v>2897</v>
      </c>
      <c r="B7302" s="1">
        <v>45712</v>
      </c>
      <c r="C7302" t="s">
        <v>29</v>
      </c>
      <c r="D7302" s="2">
        <v>1023.42</v>
      </c>
      <c r="E7302" s="2">
        <v>0</v>
      </c>
      <c r="F7302" t="s">
        <v>28</v>
      </c>
      <c r="G7302" t="s">
        <v>17</v>
      </c>
    </row>
    <row r="7303" spans="1:7" x14ac:dyDescent="0.35">
      <c r="A7303">
        <v>2897</v>
      </c>
      <c r="B7303" s="1">
        <v>45712</v>
      </c>
      <c r="C7303" t="s">
        <v>29</v>
      </c>
      <c r="D7303" s="2">
        <v>0</v>
      </c>
      <c r="E7303" s="2">
        <v>1023.42</v>
      </c>
      <c r="F7303" t="s">
        <v>8</v>
      </c>
      <c r="G7303" t="s">
        <v>9</v>
      </c>
    </row>
    <row r="7304" spans="1:7" x14ac:dyDescent="0.35">
      <c r="A7304">
        <v>2898</v>
      </c>
      <c r="B7304" s="1">
        <v>45713</v>
      </c>
      <c r="C7304" t="s">
        <v>12</v>
      </c>
      <c r="D7304" s="2">
        <v>4339.13</v>
      </c>
      <c r="E7304" s="2">
        <v>0</v>
      </c>
      <c r="F7304" t="s">
        <v>13</v>
      </c>
      <c r="G7304" t="s">
        <v>9</v>
      </c>
    </row>
    <row r="7305" spans="1:7" x14ac:dyDescent="0.35">
      <c r="A7305">
        <v>2898</v>
      </c>
      <c r="B7305" s="1">
        <v>45713</v>
      </c>
      <c r="C7305" t="s">
        <v>12</v>
      </c>
      <c r="D7305" s="2">
        <v>0</v>
      </c>
      <c r="E7305" s="2">
        <v>4036.4</v>
      </c>
      <c r="F7305" t="s">
        <v>14</v>
      </c>
      <c r="G7305" t="s">
        <v>15</v>
      </c>
    </row>
    <row r="7306" spans="1:7" x14ac:dyDescent="0.35">
      <c r="A7306">
        <v>2898</v>
      </c>
      <c r="B7306" s="1">
        <v>45713</v>
      </c>
      <c r="C7306" t="s">
        <v>12</v>
      </c>
      <c r="D7306" s="2">
        <v>0</v>
      </c>
      <c r="E7306" s="2">
        <v>302.73</v>
      </c>
      <c r="F7306" t="s">
        <v>16</v>
      </c>
      <c r="G7306" t="s">
        <v>17</v>
      </c>
    </row>
    <row r="7307" spans="1:7" x14ac:dyDescent="0.35">
      <c r="A7307">
        <v>2899</v>
      </c>
      <c r="B7307" s="1">
        <v>45713</v>
      </c>
      <c r="C7307" t="s">
        <v>12</v>
      </c>
      <c r="D7307" s="2">
        <v>3624.67</v>
      </c>
      <c r="E7307" s="2">
        <v>0</v>
      </c>
      <c r="F7307" t="s">
        <v>13</v>
      </c>
      <c r="G7307" t="s">
        <v>9</v>
      </c>
    </row>
    <row r="7308" spans="1:7" x14ac:dyDescent="0.35">
      <c r="A7308">
        <v>2899</v>
      </c>
      <c r="B7308" s="1">
        <v>45713</v>
      </c>
      <c r="C7308" t="s">
        <v>12</v>
      </c>
      <c r="D7308" s="2">
        <v>0</v>
      </c>
      <c r="E7308" s="2">
        <v>3371.79</v>
      </c>
      <c r="F7308" t="s">
        <v>14</v>
      </c>
      <c r="G7308" t="s">
        <v>15</v>
      </c>
    </row>
    <row r="7309" spans="1:7" x14ac:dyDescent="0.35">
      <c r="A7309">
        <v>2899</v>
      </c>
      <c r="B7309" s="1">
        <v>45713</v>
      </c>
      <c r="C7309" t="s">
        <v>12</v>
      </c>
      <c r="D7309" s="2">
        <v>0</v>
      </c>
      <c r="E7309" s="2">
        <v>252.88</v>
      </c>
      <c r="F7309" t="s">
        <v>16</v>
      </c>
      <c r="G7309" t="s">
        <v>17</v>
      </c>
    </row>
    <row r="7310" spans="1:7" x14ac:dyDescent="0.35">
      <c r="A7310">
        <v>2900</v>
      </c>
      <c r="B7310" s="1">
        <v>45713</v>
      </c>
      <c r="C7310" t="s">
        <v>12</v>
      </c>
      <c r="D7310" s="2">
        <v>160.84</v>
      </c>
      <c r="E7310" s="2">
        <v>0</v>
      </c>
      <c r="F7310" t="s">
        <v>13</v>
      </c>
      <c r="G7310" t="s">
        <v>9</v>
      </c>
    </row>
    <row r="7311" spans="1:7" x14ac:dyDescent="0.35">
      <c r="A7311">
        <v>2900</v>
      </c>
      <c r="B7311" s="1">
        <v>45713</v>
      </c>
      <c r="C7311" t="s">
        <v>12</v>
      </c>
      <c r="D7311" s="2">
        <v>0</v>
      </c>
      <c r="E7311" s="2">
        <v>149.62</v>
      </c>
      <c r="F7311" t="s">
        <v>14</v>
      </c>
      <c r="G7311" t="s">
        <v>15</v>
      </c>
    </row>
    <row r="7312" spans="1:7" x14ac:dyDescent="0.35">
      <c r="A7312">
        <v>2900</v>
      </c>
      <c r="B7312" s="1">
        <v>45713</v>
      </c>
      <c r="C7312" t="s">
        <v>12</v>
      </c>
      <c r="D7312" s="2">
        <v>0</v>
      </c>
      <c r="E7312" s="2">
        <v>11.22</v>
      </c>
      <c r="F7312" t="s">
        <v>16</v>
      </c>
      <c r="G7312" t="s">
        <v>17</v>
      </c>
    </row>
    <row r="7313" spans="1:7" x14ac:dyDescent="0.35">
      <c r="A7313">
        <v>2901</v>
      </c>
      <c r="B7313" s="1">
        <v>45713</v>
      </c>
      <c r="C7313" t="s">
        <v>24</v>
      </c>
      <c r="D7313" s="2">
        <v>337.7</v>
      </c>
      <c r="E7313" s="2">
        <v>0</v>
      </c>
      <c r="F7313" t="s">
        <v>8</v>
      </c>
      <c r="G7313" t="s">
        <v>9</v>
      </c>
    </row>
    <row r="7314" spans="1:7" x14ac:dyDescent="0.35">
      <c r="A7314">
        <v>2901</v>
      </c>
      <c r="B7314" s="1">
        <v>45713</v>
      </c>
      <c r="C7314" t="s">
        <v>24</v>
      </c>
      <c r="D7314" s="2">
        <v>0</v>
      </c>
      <c r="E7314" s="2">
        <v>337.7</v>
      </c>
      <c r="F7314" t="s">
        <v>13</v>
      </c>
      <c r="G7314" t="s">
        <v>9</v>
      </c>
    </row>
    <row r="7315" spans="1:7" x14ac:dyDescent="0.35">
      <c r="A7315">
        <v>2902</v>
      </c>
      <c r="B7315" s="1">
        <v>45713</v>
      </c>
      <c r="C7315" t="s">
        <v>24</v>
      </c>
      <c r="D7315" s="2">
        <v>2138.8000000000002</v>
      </c>
      <c r="E7315" s="2">
        <v>0</v>
      </c>
      <c r="F7315" t="s">
        <v>8</v>
      </c>
      <c r="G7315" t="s">
        <v>9</v>
      </c>
    </row>
    <row r="7316" spans="1:7" x14ac:dyDescent="0.35">
      <c r="A7316">
        <v>2902</v>
      </c>
      <c r="B7316" s="1">
        <v>45713</v>
      </c>
      <c r="C7316" t="s">
        <v>24</v>
      </c>
      <c r="D7316" s="2">
        <v>0</v>
      </c>
      <c r="E7316" s="2">
        <v>2138.8000000000002</v>
      </c>
      <c r="F7316" t="s">
        <v>13</v>
      </c>
      <c r="G7316" t="s">
        <v>9</v>
      </c>
    </row>
    <row r="7317" spans="1:7" x14ac:dyDescent="0.35">
      <c r="A7317">
        <v>2903</v>
      </c>
      <c r="B7317" s="1">
        <v>45713</v>
      </c>
      <c r="C7317" t="s">
        <v>24</v>
      </c>
      <c r="D7317" s="2">
        <v>957</v>
      </c>
      <c r="E7317" s="2">
        <v>0</v>
      </c>
      <c r="F7317" t="s">
        <v>8</v>
      </c>
      <c r="G7317" t="s">
        <v>9</v>
      </c>
    </row>
    <row r="7318" spans="1:7" x14ac:dyDescent="0.35">
      <c r="A7318">
        <v>2903</v>
      </c>
      <c r="B7318" s="1">
        <v>45713</v>
      </c>
      <c r="C7318" t="s">
        <v>24</v>
      </c>
      <c r="D7318" s="2">
        <v>0</v>
      </c>
      <c r="E7318" s="2">
        <v>957</v>
      </c>
      <c r="F7318" t="s">
        <v>13</v>
      </c>
      <c r="G7318" t="s">
        <v>9</v>
      </c>
    </row>
    <row r="7319" spans="1:7" x14ac:dyDescent="0.35">
      <c r="A7319">
        <v>2904</v>
      </c>
      <c r="B7319" s="1">
        <v>45713</v>
      </c>
      <c r="C7319" t="s">
        <v>24</v>
      </c>
      <c r="D7319" s="2">
        <v>149.11000000000001</v>
      </c>
      <c r="E7319" s="2">
        <v>0</v>
      </c>
      <c r="F7319" t="s">
        <v>8</v>
      </c>
      <c r="G7319" t="s">
        <v>9</v>
      </c>
    </row>
    <row r="7320" spans="1:7" x14ac:dyDescent="0.35">
      <c r="A7320">
        <v>2904</v>
      </c>
      <c r="B7320" s="1">
        <v>45713</v>
      </c>
      <c r="C7320" t="s">
        <v>24</v>
      </c>
      <c r="D7320" s="2">
        <v>0</v>
      </c>
      <c r="E7320" s="2">
        <v>149.11000000000001</v>
      </c>
      <c r="F7320" t="s">
        <v>13</v>
      </c>
      <c r="G7320" t="s">
        <v>9</v>
      </c>
    </row>
    <row r="7321" spans="1:7" x14ac:dyDescent="0.35">
      <c r="A7321">
        <v>2905</v>
      </c>
      <c r="B7321" s="1">
        <v>45713</v>
      </c>
      <c r="C7321" t="s">
        <v>24</v>
      </c>
      <c r="D7321" s="2">
        <v>1410.12</v>
      </c>
      <c r="E7321" s="2">
        <v>0</v>
      </c>
      <c r="F7321" t="s">
        <v>8</v>
      </c>
      <c r="G7321" t="s">
        <v>9</v>
      </c>
    </row>
    <row r="7322" spans="1:7" x14ac:dyDescent="0.35">
      <c r="A7322">
        <v>2905</v>
      </c>
      <c r="B7322" s="1">
        <v>45713</v>
      </c>
      <c r="C7322" t="s">
        <v>24</v>
      </c>
      <c r="D7322" s="2">
        <v>0</v>
      </c>
      <c r="E7322" s="2">
        <v>1410.12</v>
      </c>
      <c r="F7322" t="s">
        <v>13</v>
      </c>
      <c r="G7322" t="s">
        <v>9</v>
      </c>
    </row>
    <row r="7323" spans="1:7" x14ac:dyDescent="0.35">
      <c r="A7323">
        <v>2906</v>
      </c>
      <c r="B7323" s="1">
        <v>45713</v>
      </c>
      <c r="C7323" t="s">
        <v>24</v>
      </c>
      <c r="D7323" s="2">
        <v>145.51</v>
      </c>
      <c r="E7323" s="2">
        <v>0</v>
      </c>
      <c r="F7323" t="s">
        <v>8</v>
      </c>
      <c r="G7323" t="s">
        <v>9</v>
      </c>
    </row>
    <row r="7324" spans="1:7" x14ac:dyDescent="0.35">
      <c r="A7324">
        <v>2906</v>
      </c>
      <c r="B7324" s="1">
        <v>45713</v>
      </c>
      <c r="C7324" t="s">
        <v>24</v>
      </c>
      <c r="D7324" s="2">
        <v>0</v>
      </c>
      <c r="E7324" s="2">
        <v>145.51</v>
      </c>
      <c r="F7324" t="s">
        <v>13</v>
      </c>
      <c r="G7324" t="s">
        <v>9</v>
      </c>
    </row>
    <row r="7325" spans="1:7" x14ac:dyDescent="0.35">
      <c r="A7325">
        <v>2907</v>
      </c>
      <c r="B7325" s="1">
        <v>45713</v>
      </c>
      <c r="C7325" t="s">
        <v>29</v>
      </c>
      <c r="D7325" s="2">
        <v>179.01</v>
      </c>
      <c r="E7325" s="2">
        <v>0</v>
      </c>
      <c r="F7325" t="s">
        <v>28</v>
      </c>
      <c r="G7325" t="s">
        <v>17</v>
      </c>
    </row>
    <row r="7326" spans="1:7" x14ac:dyDescent="0.35">
      <c r="A7326">
        <v>2907</v>
      </c>
      <c r="B7326" s="1">
        <v>45713</v>
      </c>
      <c r="C7326" t="s">
        <v>29</v>
      </c>
      <c r="D7326" s="2">
        <v>0</v>
      </c>
      <c r="E7326" s="2">
        <v>179.01</v>
      </c>
      <c r="F7326" t="s">
        <v>8</v>
      </c>
      <c r="G7326" t="s">
        <v>9</v>
      </c>
    </row>
    <row r="7327" spans="1:7" x14ac:dyDescent="0.35">
      <c r="A7327">
        <v>2908</v>
      </c>
      <c r="B7327" s="1">
        <v>45714</v>
      </c>
      <c r="C7327" t="s">
        <v>12</v>
      </c>
      <c r="D7327" s="2">
        <v>170.6</v>
      </c>
      <c r="E7327" s="2">
        <v>0</v>
      </c>
      <c r="F7327" t="s">
        <v>13</v>
      </c>
      <c r="G7327" t="s">
        <v>9</v>
      </c>
    </row>
    <row r="7328" spans="1:7" x14ac:dyDescent="0.35">
      <c r="A7328">
        <v>2908</v>
      </c>
      <c r="B7328" s="1">
        <v>45714</v>
      </c>
      <c r="C7328" t="s">
        <v>12</v>
      </c>
      <c r="D7328" s="2">
        <v>0</v>
      </c>
      <c r="E7328" s="2">
        <v>158.69999999999999</v>
      </c>
      <c r="F7328" t="s">
        <v>14</v>
      </c>
      <c r="G7328" t="s">
        <v>15</v>
      </c>
    </row>
    <row r="7329" spans="1:7" x14ac:dyDescent="0.35">
      <c r="A7329">
        <v>2908</v>
      </c>
      <c r="B7329" s="1">
        <v>45714</v>
      </c>
      <c r="C7329" t="s">
        <v>12</v>
      </c>
      <c r="D7329" s="2">
        <v>0</v>
      </c>
      <c r="E7329" s="2">
        <v>11.9</v>
      </c>
      <c r="F7329" t="s">
        <v>16</v>
      </c>
      <c r="G7329" t="s">
        <v>17</v>
      </c>
    </row>
    <row r="7330" spans="1:7" x14ac:dyDescent="0.35">
      <c r="A7330">
        <v>2909</v>
      </c>
      <c r="B7330" s="1">
        <v>45714</v>
      </c>
      <c r="C7330" t="s">
        <v>12</v>
      </c>
      <c r="D7330" s="2">
        <v>4682.41</v>
      </c>
      <c r="E7330" s="2">
        <v>0</v>
      </c>
      <c r="F7330" t="s">
        <v>13</v>
      </c>
      <c r="G7330" t="s">
        <v>9</v>
      </c>
    </row>
    <row r="7331" spans="1:7" x14ac:dyDescent="0.35">
      <c r="A7331">
        <v>2909</v>
      </c>
      <c r="B7331" s="1">
        <v>45714</v>
      </c>
      <c r="C7331" t="s">
        <v>12</v>
      </c>
      <c r="D7331" s="2">
        <v>0</v>
      </c>
      <c r="E7331" s="2">
        <v>4355.74</v>
      </c>
      <c r="F7331" t="s">
        <v>14</v>
      </c>
      <c r="G7331" t="s">
        <v>15</v>
      </c>
    </row>
    <row r="7332" spans="1:7" x14ac:dyDescent="0.35">
      <c r="A7332">
        <v>2909</v>
      </c>
      <c r="B7332" s="1">
        <v>45714</v>
      </c>
      <c r="C7332" t="s">
        <v>12</v>
      </c>
      <c r="D7332" s="2">
        <v>0</v>
      </c>
      <c r="E7332" s="2">
        <v>326.67</v>
      </c>
      <c r="F7332" t="s">
        <v>16</v>
      </c>
      <c r="G7332" t="s">
        <v>17</v>
      </c>
    </row>
    <row r="7333" spans="1:7" x14ac:dyDescent="0.35">
      <c r="A7333">
        <v>2910</v>
      </c>
      <c r="B7333" s="1">
        <v>45714</v>
      </c>
      <c r="C7333" t="s">
        <v>12</v>
      </c>
      <c r="D7333" s="2">
        <v>1805.37</v>
      </c>
      <c r="E7333" s="2">
        <v>0</v>
      </c>
      <c r="F7333" t="s">
        <v>13</v>
      </c>
      <c r="G7333" t="s">
        <v>9</v>
      </c>
    </row>
    <row r="7334" spans="1:7" x14ac:dyDescent="0.35">
      <c r="A7334">
        <v>2910</v>
      </c>
      <c r="B7334" s="1">
        <v>45714</v>
      </c>
      <c r="C7334" t="s">
        <v>12</v>
      </c>
      <c r="D7334" s="2">
        <v>0</v>
      </c>
      <c r="E7334" s="2">
        <v>1679.41</v>
      </c>
      <c r="F7334" t="s">
        <v>14</v>
      </c>
      <c r="G7334" t="s">
        <v>15</v>
      </c>
    </row>
    <row r="7335" spans="1:7" x14ac:dyDescent="0.35">
      <c r="A7335">
        <v>2910</v>
      </c>
      <c r="B7335" s="1">
        <v>45714</v>
      </c>
      <c r="C7335" t="s">
        <v>12</v>
      </c>
      <c r="D7335" s="2">
        <v>0</v>
      </c>
      <c r="E7335" s="2">
        <v>125.96</v>
      </c>
      <c r="F7335" t="s">
        <v>16</v>
      </c>
      <c r="G7335" t="s">
        <v>17</v>
      </c>
    </row>
    <row r="7336" spans="1:7" x14ac:dyDescent="0.35">
      <c r="A7336">
        <v>2911</v>
      </c>
      <c r="B7336" s="1">
        <v>45714</v>
      </c>
      <c r="C7336" t="s">
        <v>12</v>
      </c>
      <c r="D7336" s="2">
        <v>1686.38</v>
      </c>
      <c r="E7336" s="2">
        <v>0</v>
      </c>
      <c r="F7336" t="s">
        <v>13</v>
      </c>
      <c r="G7336" t="s">
        <v>9</v>
      </c>
    </row>
    <row r="7337" spans="1:7" x14ac:dyDescent="0.35">
      <c r="A7337">
        <v>2911</v>
      </c>
      <c r="B7337" s="1">
        <v>45714</v>
      </c>
      <c r="C7337" t="s">
        <v>12</v>
      </c>
      <c r="D7337" s="2">
        <v>0</v>
      </c>
      <c r="E7337" s="2">
        <v>1568.72</v>
      </c>
      <c r="F7337" t="s">
        <v>14</v>
      </c>
      <c r="G7337" t="s">
        <v>15</v>
      </c>
    </row>
    <row r="7338" spans="1:7" x14ac:dyDescent="0.35">
      <c r="A7338">
        <v>2911</v>
      </c>
      <c r="B7338" s="1">
        <v>45714</v>
      </c>
      <c r="C7338" t="s">
        <v>12</v>
      </c>
      <c r="D7338" s="2">
        <v>0</v>
      </c>
      <c r="E7338" s="2">
        <v>117.66</v>
      </c>
      <c r="F7338" t="s">
        <v>16</v>
      </c>
      <c r="G7338" t="s">
        <v>17</v>
      </c>
    </row>
    <row r="7339" spans="1:7" x14ac:dyDescent="0.35">
      <c r="A7339">
        <v>2912</v>
      </c>
      <c r="B7339" s="1">
        <v>45714</v>
      </c>
      <c r="C7339" t="s">
        <v>24</v>
      </c>
      <c r="D7339" s="2">
        <v>865.64</v>
      </c>
      <c r="E7339" s="2">
        <v>0</v>
      </c>
      <c r="F7339" t="s">
        <v>8</v>
      </c>
      <c r="G7339" t="s">
        <v>9</v>
      </c>
    </row>
    <row r="7340" spans="1:7" x14ac:dyDescent="0.35">
      <c r="A7340">
        <v>2912</v>
      </c>
      <c r="B7340" s="1">
        <v>45714</v>
      </c>
      <c r="C7340" t="s">
        <v>24</v>
      </c>
      <c r="D7340" s="2">
        <v>0</v>
      </c>
      <c r="E7340" s="2">
        <v>865.64</v>
      </c>
      <c r="F7340" t="s">
        <v>13</v>
      </c>
      <c r="G7340" t="s">
        <v>9</v>
      </c>
    </row>
    <row r="7341" spans="1:7" x14ac:dyDescent="0.35">
      <c r="A7341">
        <v>2913</v>
      </c>
      <c r="B7341" s="1">
        <v>45714</v>
      </c>
      <c r="C7341" t="s">
        <v>24</v>
      </c>
      <c r="D7341" s="2">
        <v>1588.75</v>
      </c>
      <c r="E7341" s="2">
        <v>0</v>
      </c>
      <c r="F7341" t="s">
        <v>8</v>
      </c>
      <c r="G7341" t="s">
        <v>9</v>
      </c>
    </row>
    <row r="7342" spans="1:7" x14ac:dyDescent="0.35">
      <c r="A7342">
        <v>2913</v>
      </c>
      <c r="B7342" s="1">
        <v>45714</v>
      </c>
      <c r="C7342" t="s">
        <v>24</v>
      </c>
      <c r="D7342" s="2">
        <v>0</v>
      </c>
      <c r="E7342" s="2">
        <v>1588.75</v>
      </c>
      <c r="F7342" t="s">
        <v>13</v>
      </c>
      <c r="G7342" t="s">
        <v>9</v>
      </c>
    </row>
    <row r="7343" spans="1:7" x14ac:dyDescent="0.35">
      <c r="A7343">
        <v>2914</v>
      </c>
      <c r="B7343" s="1">
        <v>45714</v>
      </c>
      <c r="C7343" t="s">
        <v>24</v>
      </c>
      <c r="D7343" s="2">
        <v>160.61000000000001</v>
      </c>
      <c r="E7343" s="2">
        <v>0</v>
      </c>
      <c r="F7343" t="s">
        <v>8</v>
      </c>
      <c r="G7343" t="s">
        <v>9</v>
      </c>
    </row>
    <row r="7344" spans="1:7" x14ac:dyDescent="0.35">
      <c r="A7344">
        <v>2914</v>
      </c>
      <c r="B7344" s="1">
        <v>45714</v>
      </c>
      <c r="C7344" t="s">
        <v>24</v>
      </c>
      <c r="D7344" s="2">
        <v>0</v>
      </c>
      <c r="E7344" s="2">
        <v>160.61000000000001</v>
      </c>
      <c r="F7344" t="s">
        <v>13</v>
      </c>
      <c r="G7344" t="s">
        <v>9</v>
      </c>
    </row>
    <row r="7345" spans="1:7" x14ac:dyDescent="0.35">
      <c r="A7345">
        <v>2915</v>
      </c>
      <c r="B7345" s="1">
        <v>45714</v>
      </c>
      <c r="C7345" t="s">
        <v>24</v>
      </c>
      <c r="D7345" s="2">
        <v>550.35</v>
      </c>
      <c r="E7345" s="2">
        <v>0</v>
      </c>
      <c r="F7345" t="s">
        <v>8</v>
      </c>
      <c r="G7345" t="s">
        <v>9</v>
      </c>
    </row>
    <row r="7346" spans="1:7" x14ac:dyDescent="0.35">
      <c r="A7346">
        <v>2915</v>
      </c>
      <c r="B7346" s="1">
        <v>45714</v>
      </c>
      <c r="C7346" t="s">
        <v>24</v>
      </c>
      <c r="D7346" s="2">
        <v>0</v>
      </c>
      <c r="E7346" s="2">
        <v>550.35</v>
      </c>
      <c r="F7346" t="s">
        <v>13</v>
      </c>
      <c r="G7346" t="s">
        <v>9</v>
      </c>
    </row>
    <row r="7347" spans="1:7" x14ac:dyDescent="0.35">
      <c r="A7347">
        <v>2916</v>
      </c>
      <c r="B7347" s="1">
        <v>45714</v>
      </c>
      <c r="C7347" t="s">
        <v>29</v>
      </c>
      <c r="D7347" s="2">
        <v>4812.46</v>
      </c>
      <c r="E7347" s="2">
        <v>0</v>
      </c>
      <c r="F7347" t="s">
        <v>28</v>
      </c>
      <c r="G7347" t="s">
        <v>17</v>
      </c>
    </row>
    <row r="7348" spans="1:7" x14ac:dyDescent="0.35">
      <c r="A7348">
        <v>2916</v>
      </c>
      <c r="B7348" s="1">
        <v>45714</v>
      </c>
      <c r="C7348" t="s">
        <v>29</v>
      </c>
      <c r="D7348" s="2">
        <v>0</v>
      </c>
      <c r="E7348" s="2">
        <v>4812.46</v>
      </c>
      <c r="F7348" t="s">
        <v>8</v>
      </c>
      <c r="G7348" t="s">
        <v>9</v>
      </c>
    </row>
    <row r="7349" spans="1:7" x14ac:dyDescent="0.35">
      <c r="A7349">
        <v>2917</v>
      </c>
      <c r="B7349" s="1">
        <v>45714</v>
      </c>
      <c r="C7349" t="s">
        <v>29</v>
      </c>
      <c r="D7349" s="2">
        <v>2504.23</v>
      </c>
      <c r="E7349" s="2">
        <v>0</v>
      </c>
      <c r="F7349" t="s">
        <v>28</v>
      </c>
      <c r="G7349" t="s">
        <v>17</v>
      </c>
    </row>
    <row r="7350" spans="1:7" x14ac:dyDescent="0.35">
      <c r="A7350">
        <v>2917</v>
      </c>
      <c r="B7350" s="1">
        <v>45714</v>
      </c>
      <c r="C7350" t="s">
        <v>29</v>
      </c>
      <c r="D7350" s="2">
        <v>0</v>
      </c>
      <c r="E7350" s="2">
        <v>2504.23</v>
      </c>
      <c r="F7350" t="s">
        <v>8</v>
      </c>
      <c r="G7350" t="s">
        <v>9</v>
      </c>
    </row>
    <row r="7351" spans="1:7" x14ac:dyDescent="0.35">
      <c r="A7351">
        <v>2918</v>
      </c>
      <c r="B7351" s="1">
        <v>45714</v>
      </c>
      <c r="C7351" t="s">
        <v>29</v>
      </c>
      <c r="D7351" s="2">
        <v>550.4</v>
      </c>
      <c r="E7351" s="2">
        <v>0</v>
      </c>
      <c r="F7351" t="s">
        <v>28</v>
      </c>
      <c r="G7351" t="s">
        <v>17</v>
      </c>
    </row>
    <row r="7352" spans="1:7" x14ac:dyDescent="0.35">
      <c r="A7352">
        <v>2918</v>
      </c>
      <c r="B7352" s="1">
        <v>45714</v>
      </c>
      <c r="C7352" t="s">
        <v>29</v>
      </c>
      <c r="D7352" s="2">
        <v>0</v>
      </c>
      <c r="E7352" s="2">
        <v>550.4</v>
      </c>
      <c r="F7352" t="s">
        <v>8</v>
      </c>
      <c r="G7352" t="s">
        <v>9</v>
      </c>
    </row>
    <row r="7353" spans="1:7" x14ac:dyDescent="0.35">
      <c r="A7353">
        <v>2919</v>
      </c>
      <c r="B7353" s="1">
        <v>45714</v>
      </c>
      <c r="C7353" t="s">
        <v>29</v>
      </c>
      <c r="D7353" s="2">
        <v>2635.36</v>
      </c>
      <c r="E7353" s="2">
        <v>0</v>
      </c>
      <c r="F7353" t="s">
        <v>28</v>
      </c>
      <c r="G7353" t="s">
        <v>17</v>
      </c>
    </row>
    <row r="7354" spans="1:7" x14ac:dyDescent="0.35">
      <c r="A7354">
        <v>2919</v>
      </c>
      <c r="B7354" s="1">
        <v>45714</v>
      </c>
      <c r="C7354" t="s">
        <v>29</v>
      </c>
      <c r="D7354" s="2">
        <v>0</v>
      </c>
      <c r="E7354" s="2">
        <v>2635.36</v>
      </c>
      <c r="F7354" t="s">
        <v>8</v>
      </c>
      <c r="G7354" t="s">
        <v>9</v>
      </c>
    </row>
    <row r="7355" spans="1:7" x14ac:dyDescent="0.35">
      <c r="A7355">
        <v>2920</v>
      </c>
      <c r="B7355" s="1">
        <v>45715</v>
      </c>
      <c r="C7355" t="s">
        <v>18</v>
      </c>
      <c r="D7355" s="2">
        <v>22037.74</v>
      </c>
      <c r="E7355" s="2">
        <v>0</v>
      </c>
      <c r="F7355" t="s">
        <v>19</v>
      </c>
      <c r="G7355" t="s">
        <v>20</v>
      </c>
    </row>
    <row r="7356" spans="1:7" x14ac:dyDescent="0.35">
      <c r="A7356">
        <v>2920</v>
      </c>
      <c r="B7356" s="1">
        <v>45715</v>
      </c>
      <c r="C7356" t="s">
        <v>18</v>
      </c>
      <c r="D7356" s="2">
        <v>881.51</v>
      </c>
      <c r="E7356" s="2">
        <v>0</v>
      </c>
      <c r="F7356" t="s">
        <v>21</v>
      </c>
      <c r="G7356" t="s">
        <v>20</v>
      </c>
    </row>
    <row r="7357" spans="1:7" x14ac:dyDescent="0.35">
      <c r="A7357">
        <v>2920</v>
      </c>
      <c r="B7357" s="1">
        <v>45715</v>
      </c>
      <c r="C7357" t="s">
        <v>18</v>
      </c>
      <c r="D7357" s="2">
        <v>0</v>
      </c>
      <c r="E7357" s="2">
        <v>17968.47</v>
      </c>
      <c r="F7357" t="s">
        <v>8</v>
      </c>
      <c r="G7357" t="s">
        <v>9</v>
      </c>
    </row>
    <row r="7358" spans="1:7" x14ac:dyDescent="0.35">
      <c r="A7358">
        <v>2920</v>
      </c>
      <c r="B7358" s="1">
        <v>45715</v>
      </c>
      <c r="C7358" t="s">
        <v>18</v>
      </c>
      <c r="D7358" s="2">
        <v>0</v>
      </c>
      <c r="E7358" s="2">
        <v>4069.27</v>
      </c>
      <c r="F7358" t="s">
        <v>22</v>
      </c>
      <c r="G7358" t="s">
        <v>17</v>
      </c>
    </row>
    <row r="7359" spans="1:7" x14ac:dyDescent="0.35">
      <c r="A7359">
        <v>2920</v>
      </c>
      <c r="B7359" s="1">
        <v>45715</v>
      </c>
      <c r="C7359" t="s">
        <v>18</v>
      </c>
      <c r="D7359" s="2">
        <v>0</v>
      </c>
      <c r="E7359" s="2">
        <v>881.51</v>
      </c>
      <c r="F7359" t="s">
        <v>23</v>
      </c>
      <c r="G7359" t="s">
        <v>17</v>
      </c>
    </row>
    <row r="7360" spans="1:7" x14ac:dyDescent="0.35">
      <c r="A7360">
        <v>2921</v>
      </c>
      <c r="B7360" s="1">
        <v>45715</v>
      </c>
      <c r="C7360" t="s">
        <v>12</v>
      </c>
      <c r="D7360" s="2">
        <v>4399.6400000000003</v>
      </c>
      <c r="E7360" s="2">
        <v>0</v>
      </c>
      <c r="F7360" t="s">
        <v>13</v>
      </c>
      <c r="G7360" t="s">
        <v>9</v>
      </c>
    </row>
    <row r="7361" spans="1:7" x14ac:dyDescent="0.35">
      <c r="A7361">
        <v>2921</v>
      </c>
      <c r="B7361" s="1">
        <v>45715</v>
      </c>
      <c r="C7361" t="s">
        <v>12</v>
      </c>
      <c r="D7361" s="2">
        <v>0</v>
      </c>
      <c r="E7361" s="2">
        <v>4092.69</v>
      </c>
      <c r="F7361" t="s">
        <v>14</v>
      </c>
      <c r="G7361" t="s">
        <v>15</v>
      </c>
    </row>
    <row r="7362" spans="1:7" x14ac:dyDescent="0.35">
      <c r="A7362">
        <v>2921</v>
      </c>
      <c r="B7362" s="1">
        <v>45715</v>
      </c>
      <c r="C7362" t="s">
        <v>12</v>
      </c>
      <c r="D7362" s="2">
        <v>0</v>
      </c>
      <c r="E7362" s="2">
        <v>306.95</v>
      </c>
      <c r="F7362" t="s">
        <v>16</v>
      </c>
      <c r="G7362" t="s">
        <v>17</v>
      </c>
    </row>
    <row r="7363" spans="1:7" x14ac:dyDescent="0.35">
      <c r="A7363">
        <v>2922</v>
      </c>
      <c r="B7363" s="1">
        <v>45715</v>
      </c>
      <c r="C7363" t="s">
        <v>12</v>
      </c>
      <c r="D7363" s="2">
        <v>2740.79</v>
      </c>
      <c r="E7363" s="2">
        <v>0</v>
      </c>
      <c r="F7363" t="s">
        <v>13</v>
      </c>
      <c r="G7363" t="s">
        <v>9</v>
      </c>
    </row>
    <row r="7364" spans="1:7" x14ac:dyDescent="0.35">
      <c r="A7364">
        <v>2922</v>
      </c>
      <c r="B7364" s="1">
        <v>45715</v>
      </c>
      <c r="C7364" t="s">
        <v>12</v>
      </c>
      <c r="D7364" s="2">
        <v>0</v>
      </c>
      <c r="E7364" s="2">
        <v>2549.5700000000002</v>
      </c>
      <c r="F7364" t="s">
        <v>14</v>
      </c>
      <c r="G7364" t="s">
        <v>15</v>
      </c>
    </row>
    <row r="7365" spans="1:7" x14ac:dyDescent="0.35">
      <c r="A7365">
        <v>2922</v>
      </c>
      <c r="B7365" s="1">
        <v>45715</v>
      </c>
      <c r="C7365" t="s">
        <v>12</v>
      </c>
      <c r="D7365" s="2">
        <v>0</v>
      </c>
      <c r="E7365" s="2">
        <v>191.22</v>
      </c>
      <c r="F7365" t="s">
        <v>16</v>
      </c>
      <c r="G7365" t="s">
        <v>17</v>
      </c>
    </row>
    <row r="7366" spans="1:7" x14ac:dyDescent="0.35">
      <c r="A7366">
        <v>2923</v>
      </c>
      <c r="B7366" s="1">
        <v>45715</v>
      </c>
      <c r="C7366" t="s">
        <v>12</v>
      </c>
      <c r="D7366" s="2">
        <v>307.08</v>
      </c>
      <c r="E7366" s="2">
        <v>0</v>
      </c>
      <c r="F7366" t="s">
        <v>13</v>
      </c>
      <c r="G7366" t="s">
        <v>9</v>
      </c>
    </row>
    <row r="7367" spans="1:7" x14ac:dyDescent="0.35">
      <c r="A7367">
        <v>2923</v>
      </c>
      <c r="B7367" s="1">
        <v>45715</v>
      </c>
      <c r="C7367" t="s">
        <v>12</v>
      </c>
      <c r="D7367" s="2">
        <v>0</v>
      </c>
      <c r="E7367" s="2">
        <v>285.66000000000003</v>
      </c>
      <c r="F7367" t="s">
        <v>14</v>
      </c>
      <c r="G7367" t="s">
        <v>15</v>
      </c>
    </row>
    <row r="7368" spans="1:7" x14ac:dyDescent="0.35">
      <c r="A7368">
        <v>2923</v>
      </c>
      <c r="B7368" s="1">
        <v>45715</v>
      </c>
      <c r="C7368" t="s">
        <v>12</v>
      </c>
      <c r="D7368" s="2">
        <v>0</v>
      </c>
      <c r="E7368" s="2">
        <v>21.42</v>
      </c>
      <c r="F7368" t="s">
        <v>16</v>
      </c>
      <c r="G7368" t="s">
        <v>17</v>
      </c>
    </row>
    <row r="7369" spans="1:7" x14ac:dyDescent="0.35">
      <c r="A7369">
        <v>2924</v>
      </c>
      <c r="B7369" s="1">
        <v>45715</v>
      </c>
      <c r="C7369" t="s">
        <v>12</v>
      </c>
      <c r="D7369" s="2">
        <v>1279.78</v>
      </c>
      <c r="E7369" s="2">
        <v>0</v>
      </c>
      <c r="F7369" t="s">
        <v>13</v>
      </c>
      <c r="G7369" t="s">
        <v>9</v>
      </c>
    </row>
    <row r="7370" spans="1:7" x14ac:dyDescent="0.35">
      <c r="A7370">
        <v>2924</v>
      </c>
      <c r="B7370" s="1">
        <v>45715</v>
      </c>
      <c r="C7370" t="s">
        <v>12</v>
      </c>
      <c r="D7370" s="2">
        <v>0</v>
      </c>
      <c r="E7370" s="2">
        <v>1190.49</v>
      </c>
      <c r="F7370" t="s">
        <v>14</v>
      </c>
      <c r="G7370" t="s">
        <v>15</v>
      </c>
    </row>
    <row r="7371" spans="1:7" x14ac:dyDescent="0.35">
      <c r="A7371">
        <v>2924</v>
      </c>
      <c r="B7371" s="1">
        <v>45715</v>
      </c>
      <c r="C7371" t="s">
        <v>12</v>
      </c>
      <c r="D7371" s="2">
        <v>0</v>
      </c>
      <c r="E7371" s="2">
        <v>89.29</v>
      </c>
      <c r="F7371" t="s">
        <v>16</v>
      </c>
      <c r="G7371" t="s">
        <v>17</v>
      </c>
    </row>
    <row r="7372" spans="1:7" x14ac:dyDescent="0.35">
      <c r="A7372">
        <v>2925</v>
      </c>
      <c r="B7372" s="1">
        <v>45715</v>
      </c>
      <c r="C7372" t="s">
        <v>12</v>
      </c>
      <c r="D7372" s="2">
        <v>3193.52</v>
      </c>
      <c r="E7372" s="2">
        <v>0</v>
      </c>
      <c r="F7372" t="s">
        <v>13</v>
      </c>
      <c r="G7372" t="s">
        <v>9</v>
      </c>
    </row>
    <row r="7373" spans="1:7" x14ac:dyDescent="0.35">
      <c r="A7373">
        <v>2925</v>
      </c>
      <c r="B7373" s="1">
        <v>45715</v>
      </c>
      <c r="C7373" t="s">
        <v>12</v>
      </c>
      <c r="D7373" s="2">
        <v>0</v>
      </c>
      <c r="E7373" s="2">
        <v>2970.71</v>
      </c>
      <c r="F7373" t="s">
        <v>14</v>
      </c>
      <c r="G7373" t="s">
        <v>15</v>
      </c>
    </row>
    <row r="7374" spans="1:7" x14ac:dyDescent="0.35">
      <c r="A7374">
        <v>2925</v>
      </c>
      <c r="B7374" s="1">
        <v>45715</v>
      </c>
      <c r="C7374" t="s">
        <v>12</v>
      </c>
      <c r="D7374" s="2">
        <v>0</v>
      </c>
      <c r="E7374" s="2">
        <v>222.81</v>
      </c>
      <c r="F7374" t="s">
        <v>16</v>
      </c>
      <c r="G7374" t="s">
        <v>17</v>
      </c>
    </row>
    <row r="7375" spans="1:7" x14ac:dyDescent="0.35">
      <c r="A7375">
        <v>2926</v>
      </c>
      <c r="B7375" s="1">
        <v>45715</v>
      </c>
      <c r="C7375" t="s">
        <v>12</v>
      </c>
      <c r="D7375" s="2">
        <v>1271.6500000000001</v>
      </c>
      <c r="E7375" s="2">
        <v>0</v>
      </c>
      <c r="F7375" t="s">
        <v>13</v>
      </c>
      <c r="G7375" t="s">
        <v>9</v>
      </c>
    </row>
    <row r="7376" spans="1:7" x14ac:dyDescent="0.35">
      <c r="A7376">
        <v>2926</v>
      </c>
      <c r="B7376" s="1">
        <v>45715</v>
      </c>
      <c r="C7376" t="s">
        <v>12</v>
      </c>
      <c r="D7376" s="2">
        <v>0</v>
      </c>
      <c r="E7376" s="2">
        <v>1182.92</v>
      </c>
      <c r="F7376" t="s">
        <v>14</v>
      </c>
      <c r="G7376" t="s">
        <v>15</v>
      </c>
    </row>
    <row r="7377" spans="1:7" x14ac:dyDescent="0.35">
      <c r="A7377">
        <v>2926</v>
      </c>
      <c r="B7377" s="1">
        <v>45715</v>
      </c>
      <c r="C7377" t="s">
        <v>12</v>
      </c>
      <c r="D7377" s="2">
        <v>0</v>
      </c>
      <c r="E7377" s="2">
        <v>88.73</v>
      </c>
      <c r="F7377" t="s">
        <v>16</v>
      </c>
      <c r="G7377" t="s">
        <v>17</v>
      </c>
    </row>
    <row r="7378" spans="1:7" x14ac:dyDescent="0.35">
      <c r="A7378">
        <v>2927</v>
      </c>
      <c r="B7378" s="1">
        <v>45715</v>
      </c>
      <c r="C7378" t="s">
        <v>12</v>
      </c>
      <c r="D7378" s="2">
        <v>1852.55</v>
      </c>
      <c r="E7378" s="2">
        <v>0</v>
      </c>
      <c r="F7378" t="s">
        <v>13</v>
      </c>
      <c r="G7378" t="s">
        <v>9</v>
      </c>
    </row>
    <row r="7379" spans="1:7" x14ac:dyDescent="0.35">
      <c r="A7379">
        <v>2927</v>
      </c>
      <c r="B7379" s="1">
        <v>45715</v>
      </c>
      <c r="C7379" t="s">
        <v>12</v>
      </c>
      <c r="D7379" s="2">
        <v>0</v>
      </c>
      <c r="E7379" s="2">
        <v>1723.3</v>
      </c>
      <c r="F7379" t="s">
        <v>14</v>
      </c>
      <c r="G7379" t="s">
        <v>15</v>
      </c>
    </row>
    <row r="7380" spans="1:7" x14ac:dyDescent="0.35">
      <c r="A7380">
        <v>2927</v>
      </c>
      <c r="B7380" s="1">
        <v>45715</v>
      </c>
      <c r="C7380" t="s">
        <v>12</v>
      </c>
      <c r="D7380" s="2">
        <v>0</v>
      </c>
      <c r="E7380" s="2">
        <v>129.25</v>
      </c>
      <c r="F7380" t="s">
        <v>16</v>
      </c>
      <c r="G7380" t="s">
        <v>17</v>
      </c>
    </row>
    <row r="7381" spans="1:7" x14ac:dyDescent="0.35">
      <c r="A7381">
        <v>2928</v>
      </c>
      <c r="B7381" s="1">
        <v>45715</v>
      </c>
      <c r="C7381" t="s">
        <v>24</v>
      </c>
      <c r="D7381" s="2">
        <v>4867.7299999999996</v>
      </c>
      <c r="E7381" s="2">
        <v>0</v>
      </c>
      <c r="F7381" t="s">
        <v>8</v>
      </c>
      <c r="G7381" t="s">
        <v>9</v>
      </c>
    </row>
    <row r="7382" spans="1:7" x14ac:dyDescent="0.35">
      <c r="A7382">
        <v>2928</v>
      </c>
      <c r="B7382" s="1">
        <v>45715</v>
      </c>
      <c r="C7382" t="s">
        <v>24</v>
      </c>
      <c r="D7382" s="2">
        <v>0</v>
      </c>
      <c r="E7382" s="2">
        <v>4867.7299999999996</v>
      </c>
      <c r="F7382" t="s">
        <v>13</v>
      </c>
      <c r="G7382" t="s">
        <v>9</v>
      </c>
    </row>
    <row r="7383" spans="1:7" x14ac:dyDescent="0.35">
      <c r="A7383">
        <v>2929</v>
      </c>
      <c r="B7383" s="1">
        <v>45715</v>
      </c>
      <c r="C7383" t="s">
        <v>24</v>
      </c>
      <c r="D7383" s="2">
        <v>910.42</v>
      </c>
      <c r="E7383" s="2">
        <v>0</v>
      </c>
      <c r="F7383" t="s">
        <v>8</v>
      </c>
      <c r="G7383" t="s">
        <v>9</v>
      </c>
    </row>
    <row r="7384" spans="1:7" x14ac:dyDescent="0.35">
      <c r="A7384">
        <v>2929</v>
      </c>
      <c r="B7384" s="1">
        <v>45715</v>
      </c>
      <c r="C7384" t="s">
        <v>24</v>
      </c>
      <c r="D7384" s="2">
        <v>0</v>
      </c>
      <c r="E7384" s="2">
        <v>910.42</v>
      </c>
      <c r="F7384" t="s">
        <v>13</v>
      </c>
      <c r="G7384" t="s">
        <v>9</v>
      </c>
    </row>
    <row r="7385" spans="1:7" x14ac:dyDescent="0.35">
      <c r="A7385">
        <v>2930</v>
      </c>
      <c r="B7385" s="1">
        <v>45715</v>
      </c>
      <c r="C7385" t="s">
        <v>24</v>
      </c>
      <c r="D7385" s="2">
        <v>3495.99</v>
      </c>
      <c r="E7385" s="2">
        <v>0</v>
      </c>
      <c r="F7385" t="s">
        <v>8</v>
      </c>
      <c r="G7385" t="s">
        <v>9</v>
      </c>
    </row>
    <row r="7386" spans="1:7" x14ac:dyDescent="0.35">
      <c r="A7386">
        <v>2930</v>
      </c>
      <c r="B7386" s="1">
        <v>45715</v>
      </c>
      <c r="C7386" t="s">
        <v>24</v>
      </c>
      <c r="D7386" s="2">
        <v>0</v>
      </c>
      <c r="E7386" s="2">
        <v>3495.99</v>
      </c>
      <c r="F7386" t="s">
        <v>13</v>
      </c>
      <c r="G7386" t="s">
        <v>9</v>
      </c>
    </row>
    <row r="7387" spans="1:7" x14ac:dyDescent="0.35">
      <c r="A7387">
        <v>2931</v>
      </c>
      <c r="B7387" s="1">
        <v>45715</v>
      </c>
      <c r="C7387" t="s">
        <v>24</v>
      </c>
      <c r="D7387" s="2">
        <v>3624.67</v>
      </c>
      <c r="E7387" s="2">
        <v>0</v>
      </c>
      <c r="F7387" t="s">
        <v>8</v>
      </c>
      <c r="G7387" t="s">
        <v>9</v>
      </c>
    </row>
    <row r="7388" spans="1:7" x14ac:dyDescent="0.35">
      <c r="A7388">
        <v>2931</v>
      </c>
      <c r="B7388" s="1">
        <v>45715</v>
      </c>
      <c r="C7388" t="s">
        <v>24</v>
      </c>
      <c r="D7388" s="2">
        <v>0</v>
      </c>
      <c r="E7388" s="2">
        <v>3624.67</v>
      </c>
      <c r="F7388" t="s">
        <v>13</v>
      </c>
      <c r="G7388" t="s">
        <v>9</v>
      </c>
    </row>
    <row r="7389" spans="1:7" x14ac:dyDescent="0.35">
      <c r="A7389">
        <v>2932</v>
      </c>
      <c r="B7389" s="1">
        <v>45715</v>
      </c>
      <c r="C7389" t="s">
        <v>29</v>
      </c>
      <c r="D7389" s="2">
        <v>1591.54</v>
      </c>
      <c r="E7389" s="2">
        <v>0</v>
      </c>
      <c r="F7389" t="s">
        <v>28</v>
      </c>
      <c r="G7389" t="s">
        <v>17</v>
      </c>
    </row>
    <row r="7390" spans="1:7" x14ac:dyDescent="0.35">
      <c r="A7390">
        <v>2932</v>
      </c>
      <c r="B7390" s="1">
        <v>45715</v>
      </c>
      <c r="C7390" t="s">
        <v>29</v>
      </c>
      <c r="D7390" s="2">
        <v>0</v>
      </c>
      <c r="E7390" s="2">
        <v>1591.54</v>
      </c>
      <c r="F7390" t="s">
        <v>8</v>
      </c>
      <c r="G7390" t="s">
        <v>9</v>
      </c>
    </row>
    <row r="7391" spans="1:7" x14ac:dyDescent="0.35">
      <c r="A7391">
        <v>2933</v>
      </c>
      <c r="B7391" s="1">
        <v>45716</v>
      </c>
      <c r="C7391" t="s">
        <v>12</v>
      </c>
      <c r="D7391" s="2">
        <v>354.43</v>
      </c>
      <c r="E7391" s="2">
        <v>0</v>
      </c>
      <c r="F7391" t="s">
        <v>13</v>
      </c>
      <c r="G7391" t="s">
        <v>9</v>
      </c>
    </row>
    <row r="7392" spans="1:7" x14ac:dyDescent="0.35">
      <c r="A7392">
        <v>2933</v>
      </c>
      <c r="B7392" s="1">
        <v>45716</v>
      </c>
      <c r="C7392" t="s">
        <v>12</v>
      </c>
      <c r="D7392" s="2">
        <v>0</v>
      </c>
      <c r="E7392" s="2">
        <v>329.7</v>
      </c>
      <c r="F7392" t="s">
        <v>14</v>
      </c>
      <c r="G7392" t="s">
        <v>15</v>
      </c>
    </row>
    <row r="7393" spans="1:7" x14ac:dyDescent="0.35">
      <c r="A7393">
        <v>2933</v>
      </c>
      <c r="B7393" s="1">
        <v>45716</v>
      </c>
      <c r="C7393" t="s">
        <v>12</v>
      </c>
      <c r="D7393" s="2">
        <v>0</v>
      </c>
      <c r="E7393" s="2">
        <v>24.73</v>
      </c>
      <c r="F7393" t="s">
        <v>16</v>
      </c>
      <c r="G7393" t="s">
        <v>17</v>
      </c>
    </row>
    <row r="7394" spans="1:7" x14ac:dyDescent="0.35">
      <c r="A7394">
        <v>2934</v>
      </c>
      <c r="B7394" s="1">
        <v>45716</v>
      </c>
      <c r="C7394" t="s">
        <v>12</v>
      </c>
      <c r="D7394" s="2">
        <v>2487.4299999999998</v>
      </c>
      <c r="E7394" s="2">
        <v>0</v>
      </c>
      <c r="F7394" t="s">
        <v>13</v>
      </c>
      <c r="G7394" t="s">
        <v>9</v>
      </c>
    </row>
    <row r="7395" spans="1:7" x14ac:dyDescent="0.35">
      <c r="A7395">
        <v>2934</v>
      </c>
      <c r="B7395" s="1">
        <v>45716</v>
      </c>
      <c r="C7395" t="s">
        <v>12</v>
      </c>
      <c r="D7395" s="2">
        <v>0</v>
      </c>
      <c r="E7395" s="2">
        <v>2313.89</v>
      </c>
      <c r="F7395" t="s">
        <v>14</v>
      </c>
      <c r="G7395" t="s">
        <v>15</v>
      </c>
    </row>
    <row r="7396" spans="1:7" x14ac:dyDescent="0.35">
      <c r="A7396">
        <v>2934</v>
      </c>
      <c r="B7396" s="1">
        <v>45716</v>
      </c>
      <c r="C7396" t="s">
        <v>12</v>
      </c>
      <c r="D7396" s="2">
        <v>0</v>
      </c>
      <c r="E7396" s="2">
        <v>173.54</v>
      </c>
      <c r="F7396" t="s">
        <v>16</v>
      </c>
      <c r="G7396" t="s">
        <v>17</v>
      </c>
    </row>
    <row r="7397" spans="1:7" x14ac:dyDescent="0.35">
      <c r="A7397">
        <v>2935</v>
      </c>
      <c r="B7397" s="1">
        <v>45716</v>
      </c>
      <c r="C7397" t="s">
        <v>12</v>
      </c>
      <c r="D7397" s="2">
        <v>289.08999999999997</v>
      </c>
      <c r="E7397" s="2">
        <v>0</v>
      </c>
      <c r="F7397" t="s">
        <v>13</v>
      </c>
      <c r="G7397" t="s">
        <v>9</v>
      </c>
    </row>
    <row r="7398" spans="1:7" x14ac:dyDescent="0.35">
      <c r="A7398">
        <v>2935</v>
      </c>
      <c r="B7398" s="1">
        <v>45716</v>
      </c>
      <c r="C7398" t="s">
        <v>12</v>
      </c>
      <c r="D7398" s="2">
        <v>0</v>
      </c>
      <c r="E7398" s="2">
        <v>268.92</v>
      </c>
      <c r="F7398" t="s">
        <v>14</v>
      </c>
      <c r="G7398" t="s">
        <v>15</v>
      </c>
    </row>
    <row r="7399" spans="1:7" x14ac:dyDescent="0.35">
      <c r="A7399">
        <v>2935</v>
      </c>
      <c r="B7399" s="1">
        <v>45716</v>
      </c>
      <c r="C7399" t="s">
        <v>12</v>
      </c>
      <c r="D7399" s="2">
        <v>0</v>
      </c>
      <c r="E7399" s="2">
        <v>20.170000000000002</v>
      </c>
      <c r="F7399" t="s">
        <v>16</v>
      </c>
      <c r="G7399" t="s">
        <v>17</v>
      </c>
    </row>
    <row r="7400" spans="1:7" x14ac:dyDescent="0.35">
      <c r="A7400">
        <v>2936</v>
      </c>
      <c r="B7400" s="1">
        <v>45716</v>
      </c>
      <c r="C7400" t="s">
        <v>12</v>
      </c>
      <c r="D7400" s="2">
        <v>637.97</v>
      </c>
      <c r="E7400" s="2">
        <v>0</v>
      </c>
      <c r="F7400" t="s">
        <v>13</v>
      </c>
      <c r="G7400" t="s">
        <v>9</v>
      </c>
    </row>
    <row r="7401" spans="1:7" x14ac:dyDescent="0.35">
      <c r="A7401">
        <v>2936</v>
      </c>
      <c r="B7401" s="1">
        <v>45716</v>
      </c>
      <c r="C7401" t="s">
        <v>12</v>
      </c>
      <c r="D7401" s="2">
        <v>0</v>
      </c>
      <c r="E7401" s="2">
        <v>593.46</v>
      </c>
      <c r="F7401" t="s">
        <v>14</v>
      </c>
      <c r="G7401" t="s">
        <v>15</v>
      </c>
    </row>
    <row r="7402" spans="1:7" x14ac:dyDescent="0.35">
      <c r="A7402">
        <v>2936</v>
      </c>
      <c r="B7402" s="1">
        <v>45716</v>
      </c>
      <c r="C7402" t="s">
        <v>12</v>
      </c>
      <c r="D7402" s="2">
        <v>0</v>
      </c>
      <c r="E7402" s="2">
        <v>44.51</v>
      </c>
      <c r="F7402" t="s">
        <v>16</v>
      </c>
      <c r="G7402" t="s">
        <v>17</v>
      </c>
    </row>
    <row r="7403" spans="1:7" x14ac:dyDescent="0.35">
      <c r="A7403">
        <v>2937</v>
      </c>
      <c r="B7403" s="1">
        <v>45716</v>
      </c>
      <c r="C7403" t="s">
        <v>12</v>
      </c>
      <c r="D7403" s="2">
        <v>229.42</v>
      </c>
      <c r="E7403" s="2">
        <v>0</v>
      </c>
      <c r="F7403" t="s">
        <v>13</v>
      </c>
      <c r="G7403" t="s">
        <v>9</v>
      </c>
    </row>
    <row r="7404" spans="1:7" x14ac:dyDescent="0.35">
      <c r="A7404">
        <v>2937</v>
      </c>
      <c r="B7404" s="1">
        <v>45716</v>
      </c>
      <c r="C7404" t="s">
        <v>12</v>
      </c>
      <c r="D7404" s="2">
        <v>0</v>
      </c>
      <c r="E7404" s="2">
        <v>213.41</v>
      </c>
      <c r="F7404" t="s">
        <v>14</v>
      </c>
      <c r="G7404" t="s">
        <v>15</v>
      </c>
    </row>
    <row r="7405" spans="1:7" x14ac:dyDescent="0.35">
      <c r="A7405">
        <v>2937</v>
      </c>
      <c r="B7405" s="1">
        <v>45716</v>
      </c>
      <c r="C7405" t="s">
        <v>12</v>
      </c>
      <c r="D7405" s="2">
        <v>0</v>
      </c>
      <c r="E7405" s="2">
        <v>16.010000000000002</v>
      </c>
      <c r="F7405" t="s">
        <v>16</v>
      </c>
      <c r="G7405" t="s">
        <v>17</v>
      </c>
    </row>
    <row r="7406" spans="1:7" x14ac:dyDescent="0.35">
      <c r="A7406">
        <v>2938</v>
      </c>
      <c r="B7406" s="1">
        <v>45716</v>
      </c>
      <c r="C7406" t="s">
        <v>24</v>
      </c>
      <c r="D7406" s="2">
        <v>2100.19</v>
      </c>
      <c r="E7406" s="2">
        <v>0</v>
      </c>
      <c r="F7406" t="s">
        <v>8</v>
      </c>
      <c r="G7406" t="s">
        <v>9</v>
      </c>
    </row>
    <row r="7407" spans="1:7" x14ac:dyDescent="0.35">
      <c r="A7407">
        <v>2938</v>
      </c>
      <c r="B7407" s="1">
        <v>45716</v>
      </c>
      <c r="C7407" t="s">
        <v>24</v>
      </c>
      <c r="D7407" s="2">
        <v>0</v>
      </c>
      <c r="E7407" s="2">
        <v>2100.19</v>
      </c>
      <c r="F7407" t="s">
        <v>13</v>
      </c>
      <c r="G7407" t="s">
        <v>9</v>
      </c>
    </row>
    <row r="7408" spans="1:7" x14ac:dyDescent="0.35">
      <c r="A7408">
        <v>2939</v>
      </c>
      <c r="B7408" s="1">
        <v>45716</v>
      </c>
      <c r="C7408" t="s">
        <v>24</v>
      </c>
      <c r="D7408" s="2">
        <v>845.2</v>
      </c>
      <c r="E7408" s="2">
        <v>0</v>
      </c>
      <c r="F7408" t="s">
        <v>8</v>
      </c>
      <c r="G7408" t="s">
        <v>9</v>
      </c>
    </row>
    <row r="7409" spans="1:7" x14ac:dyDescent="0.35">
      <c r="A7409">
        <v>2939</v>
      </c>
      <c r="B7409" s="1">
        <v>45716</v>
      </c>
      <c r="C7409" t="s">
        <v>24</v>
      </c>
      <c r="D7409" s="2">
        <v>0</v>
      </c>
      <c r="E7409" s="2">
        <v>845.2</v>
      </c>
      <c r="F7409" t="s">
        <v>13</v>
      </c>
      <c r="G7409" t="s">
        <v>9</v>
      </c>
    </row>
    <row r="7410" spans="1:7" x14ac:dyDescent="0.35">
      <c r="A7410">
        <v>2940</v>
      </c>
      <c r="B7410" s="1">
        <v>45716</v>
      </c>
      <c r="C7410" t="s">
        <v>24</v>
      </c>
      <c r="D7410" s="2">
        <v>956.65</v>
      </c>
      <c r="E7410" s="2">
        <v>0</v>
      </c>
      <c r="F7410" t="s">
        <v>8</v>
      </c>
      <c r="G7410" t="s">
        <v>9</v>
      </c>
    </row>
    <row r="7411" spans="1:7" x14ac:dyDescent="0.35">
      <c r="A7411">
        <v>2940</v>
      </c>
      <c r="B7411" s="1">
        <v>45716</v>
      </c>
      <c r="C7411" t="s">
        <v>24</v>
      </c>
      <c r="D7411" s="2">
        <v>0</v>
      </c>
      <c r="E7411" s="2">
        <v>956.65</v>
      </c>
      <c r="F7411" t="s">
        <v>13</v>
      </c>
      <c r="G7411" t="s">
        <v>9</v>
      </c>
    </row>
    <row r="7412" spans="1:7" x14ac:dyDescent="0.35">
      <c r="A7412">
        <v>2941</v>
      </c>
      <c r="B7412" s="1">
        <v>45716</v>
      </c>
      <c r="C7412" t="s">
        <v>24</v>
      </c>
      <c r="D7412" s="2">
        <v>2038.36</v>
      </c>
      <c r="E7412" s="2">
        <v>0</v>
      </c>
      <c r="F7412" t="s">
        <v>8</v>
      </c>
      <c r="G7412" t="s">
        <v>9</v>
      </c>
    </row>
    <row r="7413" spans="1:7" x14ac:dyDescent="0.35">
      <c r="A7413">
        <v>2941</v>
      </c>
      <c r="B7413" s="1">
        <v>45716</v>
      </c>
      <c r="C7413" t="s">
        <v>24</v>
      </c>
      <c r="D7413" s="2">
        <v>0</v>
      </c>
      <c r="E7413" s="2">
        <v>2038.36</v>
      </c>
      <c r="F7413" t="s">
        <v>13</v>
      </c>
      <c r="G7413" t="s">
        <v>9</v>
      </c>
    </row>
    <row r="7414" spans="1:7" x14ac:dyDescent="0.35">
      <c r="A7414">
        <v>2942</v>
      </c>
      <c r="B7414" s="1">
        <v>45716</v>
      </c>
      <c r="C7414" t="s">
        <v>24</v>
      </c>
      <c r="D7414" s="2">
        <v>3230.93</v>
      </c>
      <c r="E7414" s="2">
        <v>0</v>
      </c>
      <c r="F7414" t="s">
        <v>8</v>
      </c>
      <c r="G7414" t="s">
        <v>9</v>
      </c>
    </row>
    <row r="7415" spans="1:7" x14ac:dyDescent="0.35">
      <c r="A7415">
        <v>2942</v>
      </c>
      <c r="B7415" s="1">
        <v>45716</v>
      </c>
      <c r="C7415" t="s">
        <v>24</v>
      </c>
      <c r="D7415" s="2">
        <v>0</v>
      </c>
      <c r="E7415" s="2">
        <v>3230.93</v>
      </c>
      <c r="F7415" t="s">
        <v>13</v>
      </c>
      <c r="G7415" t="s">
        <v>9</v>
      </c>
    </row>
    <row r="7416" spans="1:7" x14ac:dyDescent="0.35">
      <c r="A7416">
        <v>2943</v>
      </c>
      <c r="B7416" s="1">
        <v>45716</v>
      </c>
      <c r="C7416" t="s">
        <v>24</v>
      </c>
      <c r="D7416" s="2">
        <v>2487.4299999999998</v>
      </c>
      <c r="E7416" s="2">
        <v>0</v>
      </c>
      <c r="F7416" t="s">
        <v>8</v>
      </c>
      <c r="G7416" t="s">
        <v>9</v>
      </c>
    </row>
    <row r="7417" spans="1:7" x14ac:dyDescent="0.35">
      <c r="A7417">
        <v>2943</v>
      </c>
      <c r="B7417" s="1">
        <v>45716</v>
      </c>
      <c r="C7417" t="s">
        <v>24</v>
      </c>
      <c r="D7417" s="2">
        <v>0</v>
      </c>
      <c r="E7417" s="2">
        <v>2487.4299999999998</v>
      </c>
      <c r="F7417" t="s">
        <v>13</v>
      </c>
      <c r="G7417" t="s">
        <v>9</v>
      </c>
    </row>
    <row r="7418" spans="1:7" x14ac:dyDescent="0.35">
      <c r="A7418">
        <v>2944</v>
      </c>
      <c r="B7418" s="1">
        <v>45716</v>
      </c>
      <c r="C7418" t="s">
        <v>25</v>
      </c>
      <c r="D7418" s="2">
        <v>257.04000000000002</v>
      </c>
      <c r="E7418" s="2">
        <v>0</v>
      </c>
      <c r="F7418" t="s">
        <v>26</v>
      </c>
      <c r="G7418" t="s">
        <v>20</v>
      </c>
    </row>
    <row r="7419" spans="1:7" x14ac:dyDescent="0.35">
      <c r="A7419">
        <v>2944</v>
      </c>
      <c r="B7419" s="1">
        <v>45716</v>
      </c>
      <c r="C7419" t="s">
        <v>25</v>
      </c>
      <c r="D7419" s="2">
        <v>19.28</v>
      </c>
      <c r="E7419" s="2">
        <v>0</v>
      </c>
      <c r="F7419" t="s">
        <v>27</v>
      </c>
      <c r="G7419" t="s">
        <v>9</v>
      </c>
    </row>
    <row r="7420" spans="1:7" x14ac:dyDescent="0.35">
      <c r="A7420">
        <v>2944</v>
      </c>
      <c r="B7420" s="1">
        <v>45716</v>
      </c>
      <c r="C7420" t="s">
        <v>25</v>
      </c>
      <c r="D7420" s="2">
        <v>0</v>
      </c>
      <c r="E7420" s="2">
        <v>276.32</v>
      </c>
      <c r="F7420" t="s">
        <v>28</v>
      </c>
      <c r="G7420" t="s">
        <v>17</v>
      </c>
    </row>
    <row r="7421" spans="1:7" x14ac:dyDescent="0.35">
      <c r="A7421">
        <v>2945</v>
      </c>
      <c r="B7421" s="1">
        <v>45716</v>
      </c>
      <c r="C7421" t="s">
        <v>25</v>
      </c>
      <c r="D7421" s="2">
        <v>952.02</v>
      </c>
      <c r="E7421" s="2">
        <v>0</v>
      </c>
      <c r="F7421" t="s">
        <v>26</v>
      </c>
      <c r="G7421" t="s">
        <v>20</v>
      </c>
    </row>
    <row r="7422" spans="1:7" x14ac:dyDescent="0.35">
      <c r="A7422">
        <v>2945</v>
      </c>
      <c r="B7422" s="1">
        <v>45716</v>
      </c>
      <c r="C7422" t="s">
        <v>25</v>
      </c>
      <c r="D7422" s="2">
        <v>71.400000000000006</v>
      </c>
      <c r="E7422" s="2">
        <v>0</v>
      </c>
      <c r="F7422" t="s">
        <v>27</v>
      </c>
      <c r="G7422" t="s">
        <v>9</v>
      </c>
    </row>
    <row r="7423" spans="1:7" x14ac:dyDescent="0.35">
      <c r="A7423">
        <v>2945</v>
      </c>
      <c r="B7423" s="1">
        <v>45716</v>
      </c>
      <c r="C7423" t="s">
        <v>25</v>
      </c>
      <c r="D7423" s="2">
        <v>0</v>
      </c>
      <c r="E7423" s="2">
        <v>1023.42</v>
      </c>
      <c r="F7423" t="s">
        <v>28</v>
      </c>
      <c r="G7423" t="s">
        <v>17</v>
      </c>
    </row>
    <row r="7424" spans="1:7" x14ac:dyDescent="0.35">
      <c r="A7424">
        <v>2946</v>
      </c>
      <c r="B7424" s="1">
        <v>45716</v>
      </c>
      <c r="C7424" t="s">
        <v>30</v>
      </c>
      <c r="D7424" s="2">
        <v>93.61</v>
      </c>
      <c r="E7424" s="2">
        <v>0</v>
      </c>
      <c r="F7424" t="s">
        <v>31</v>
      </c>
      <c r="G7424" t="s">
        <v>20</v>
      </c>
    </row>
    <row r="7425" spans="1:7" x14ac:dyDescent="0.35">
      <c r="A7425">
        <v>2946</v>
      </c>
      <c r="B7425" s="1">
        <v>45716</v>
      </c>
      <c r="C7425" t="s">
        <v>30</v>
      </c>
      <c r="D7425" s="2">
        <v>0</v>
      </c>
      <c r="E7425" s="2">
        <v>93.61</v>
      </c>
      <c r="F7425" t="s">
        <v>32</v>
      </c>
      <c r="G7425" t="s">
        <v>9</v>
      </c>
    </row>
    <row r="7426" spans="1:7" x14ac:dyDescent="0.35">
      <c r="A7426">
        <v>2947</v>
      </c>
      <c r="B7426" s="1">
        <v>45716</v>
      </c>
      <c r="C7426" t="s">
        <v>33</v>
      </c>
      <c r="D7426" s="2">
        <v>76.86</v>
      </c>
      <c r="E7426" s="2">
        <v>0</v>
      </c>
      <c r="F7426" t="s">
        <v>31</v>
      </c>
      <c r="G7426" t="s">
        <v>20</v>
      </c>
    </row>
    <row r="7427" spans="1:7" x14ac:dyDescent="0.35">
      <c r="A7427">
        <v>2947</v>
      </c>
      <c r="B7427" s="1">
        <v>45716</v>
      </c>
      <c r="C7427" t="s">
        <v>33</v>
      </c>
      <c r="D7427" s="2">
        <v>0</v>
      </c>
      <c r="E7427" s="2">
        <v>76.86</v>
      </c>
      <c r="F7427" t="s">
        <v>32</v>
      </c>
      <c r="G7427" t="s">
        <v>9</v>
      </c>
    </row>
    <row r="7428" spans="1:7" x14ac:dyDescent="0.35">
      <c r="A7428">
        <v>2948</v>
      </c>
      <c r="B7428" s="1">
        <v>45716</v>
      </c>
      <c r="C7428" t="s">
        <v>34</v>
      </c>
      <c r="D7428" s="2">
        <v>20.03</v>
      </c>
      <c r="E7428" s="2">
        <v>0</v>
      </c>
      <c r="F7428" t="s">
        <v>31</v>
      </c>
      <c r="G7428" t="s">
        <v>20</v>
      </c>
    </row>
    <row r="7429" spans="1:7" x14ac:dyDescent="0.35">
      <c r="A7429">
        <v>2948</v>
      </c>
      <c r="B7429" s="1">
        <v>45716</v>
      </c>
      <c r="C7429" t="s">
        <v>34</v>
      </c>
      <c r="D7429" s="2">
        <v>0</v>
      </c>
      <c r="E7429" s="2">
        <v>20.03</v>
      </c>
      <c r="F7429" t="s">
        <v>32</v>
      </c>
      <c r="G7429" t="s">
        <v>9</v>
      </c>
    </row>
    <row r="7430" spans="1:7" x14ac:dyDescent="0.35">
      <c r="A7430">
        <v>2949</v>
      </c>
      <c r="B7430" s="1">
        <v>45716</v>
      </c>
      <c r="C7430" t="s">
        <v>35</v>
      </c>
      <c r="D7430" s="2">
        <v>86.89</v>
      </c>
      <c r="E7430" s="2">
        <v>0</v>
      </c>
      <c r="F7430" t="s">
        <v>31</v>
      </c>
      <c r="G7430" t="s">
        <v>20</v>
      </c>
    </row>
    <row r="7431" spans="1:7" x14ac:dyDescent="0.35">
      <c r="A7431">
        <v>2949</v>
      </c>
      <c r="B7431" s="1">
        <v>45716</v>
      </c>
      <c r="C7431" t="s">
        <v>35</v>
      </c>
      <c r="D7431" s="2">
        <v>0</v>
      </c>
      <c r="E7431" s="2">
        <v>86.89</v>
      </c>
      <c r="F7431" t="s">
        <v>36</v>
      </c>
      <c r="G7431" t="s">
        <v>9</v>
      </c>
    </row>
    <row r="7432" spans="1:7" x14ac:dyDescent="0.35">
      <c r="A7432">
        <v>2950</v>
      </c>
      <c r="B7432" s="1">
        <v>45716</v>
      </c>
      <c r="C7432" t="s">
        <v>37</v>
      </c>
      <c r="D7432" s="2">
        <v>76.8</v>
      </c>
      <c r="E7432" s="2">
        <v>0</v>
      </c>
      <c r="F7432" t="s">
        <v>31</v>
      </c>
      <c r="G7432" t="s">
        <v>20</v>
      </c>
    </row>
    <row r="7433" spans="1:7" x14ac:dyDescent="0.35">
      <c r="A7433">
        <v>2950</v>
      </c>
      <c r="B7433" s="1">
        <v>45716</v>
      </c>
      <c r="C7433" t="s">
        <v>37</v>
      </c>
      <c r="D7433" s="2">
        <v>0</v>
      </c>
      <c r="E7433" s="2">
        <v>76.8</v>
      </c>
      <c r="F7433" t="s">
        <v>36</v>
      </c>
      <c r="G7433" t="s">
        <v>9</v>
      </c>
    </row>
    <row r="7434" spans="1:7" x14ac:dyDescent="0.35">
      <c r="A7434">
        <v>2951</v>
      </c>
      <c r="B7434" s="1">
        <v>45716</v>
      </c>
      <c r="C7434" t="s">
        <v>38</v>
      </c>
      <c r="D7434" s="2">
        <v>48.28</v>
      </c>
      <c r="E7434" s="2">
        <v>0</v>
      </c>
      <c r="F7434" t="s">
        <v>31</v>
      </c>
      <c r="G7434" t="s">
        <v>20</v>
      </c>
    </row>
    <row r="7435" spans="1:7" x14ac:dyDescent="0.35">
      <c r="A7435">
        <v>2951</v>
      </c>
      <c r="B7435" s="1">
        <v>45716</v>
      </c>
      <c r="C7435" t="s">
        <v>38</v>
      </c>
      <c r="D7435" s="2">
        <v>0</v>
      </c>
      <c r="E7435" s="2">
        <v>48.28</v>
      </c>
      <c r="F7435" t="s">
        <v>36</v>
      </c>
      <c r="G7435" t="s">
        <v>9</v>
      </c>
    </row>
    <row r="7436" spans="1:7" x14ac:dyDescent="0.35">
      <c r="A7436">
        <v>2952</v>
      </c>
      <c r="B7436" s="1">
        <v>45716</v>
      </c>
      <c r="C7436" t="s">
        <v>39</v>
      </c>
      <c r="D7436" s="2">
        <v>53.21</v>
      </c>
      <c r="E7436" s="2">
        <v>0</v>
      </c>
      <c r="F7436" t="s">
        <v>31</v>
      </c>
      <c r="G7436" t="s">
        <v>20</v>
      </c>
    </row>
    <row r="7437" spans="1:7" x14ac:dyDescent="0.35">
      <c r="A7437">
        <v>2952</v>
      </c>
      <c r="B7437" s="1">
        <v>45716</v>
      </c>
      <c r="C7437" t="s">
        <v>39</v>
      </c>
      <c r="D7437" s="2">
        <v>0</v>
      </c>
      <c r="E7437" s="2">
        <v>53.21</v>
      </c>
      <c r="F7437" t="s">
        <v>36</v>
      </c>
      <c r="G7437" t="s">
        <v>9</v>
      </c>
    </row>
    <row r="7438" spans="1:7" x14ac:dyDescent="0.35">
      <c r="A7438">
        <v>2953</v>
      </c>
      <c r="B7438" s="1">
        <v>45716</v>
      </c>
      <c r="C7438" t="s">
        <v>40</v>
      </c>
      <c r="D7438" s="2">
        <v>232.19</v>
      </c>
      <c r="E7438" s="2">
        <v>0</v>
      </c>
      <c r="F7438" t="s">
        <v>31</v>
      </c>
      <c r="G7438" t="s">
        <v>20</v>
      </c>
    </row>
    <row r="7439" spans="1:7" x14ac:dyDescent="0.35">
      <c r="A7439">
        <v>2953</v>
      </c>
      <c r="B7439" s="1">
        <v>45716</v>
      </c>
      <c r="C7439" t="s">
        <v>40</v>
      </c>
      <c r="D7439" s="2">
        <v>0</v>
      </c>
      <c r="E7439" s="2">
        <v>232.19</v>
      </c>
      <c r="F7439" t="s">
        <v>41</v>
      </c>
      <c r="G7439" t="s">
        <v>9</v>
      </c>
    </row>
    <row r="7440" spans="1:7" x14ac:dyDescent="0.35">
      <c r="A7440">
        <v>2954</v>
      </c>
      <c r="B7440" s="1">
        <v>45716</v>
      </c>
      <c r="C7440" t="s">
        <v>42</v>
      </c>
      <c r="D7440" s="2">
        <v>43.85</v>
      </c>
      <c r="E7440" s="2">
        <v>0</v>
      </c>
      <c r="F7440" t="s">
        <v>31</v>
      </c>
      <c r="G7440" t="s">
        <v>20</v>
      </c>
    </row>
    <row r="7441" spans="1:7" x14ac:dyDescent="0.35">
      <c r="A7441">
        <v>2954</v>
      </c>
      <c r="B7441" s="1">
        <v>45716</v>
      </c>
      <c r="C7441" t="s">
        <v>42</v>
      </c>
      <c r="D7441" s="2">
        <v>0</v>
      </c>
      <c r="E7441" s="2">
        <v>43.85</v>
      </c>
      <c r="F7441" t="s">
        <v>32</v>
      </c>
      <c r="G7441" t="s">
        <v>9</v>
      </c>
    </row>
    <row r="7442" spans="1:7" x14ac:dyDescent="0.35">
      <c r="A7442">
        <v>2955</v>
      </c>
      <c r="B7442" s="1">
        <v>45719</v>
      </c>
      <c r="C7442" t="s">
        <v>12</v>
      </c>
      <c r="D7442" s="2">
        <v>240.46</v>
      </c>
      <c r="E7442" s="2">
        <v>0</v>
      </c>
      <c r="F7442" t="s">
        <v>13</v>
      </c>
      <c r="G7442" t="s">
        <v>9</v>
      </c>
    </row>
    <row r="7443" spans="1:7" x14ac:dyDescent="0.35">
      <c r="A7443">
        <v>2955</v>
      </c>
      <c r="B7443" s="1">
        <v>45719</v>
      </c>
      <c r="C7443" t="s">
        <v>12</v>
      </c>
      <c r="D7443" s="2">
        <v>0</v>
      </c>
      <c r="E7443" s="2">
        <v>223.68</v>
      </c>
      <c r="F7443" t="s">
        <v>14</v>
      </c>
      <c r="G7443" t="s">
        <v>15</v>
      </c>
    </row>
    <row r="7444" spans="1:7" x14ac:dyDescent="0.35">
      <c r="A7444">
        <v>2955</v>
      </c>
      <c r="B7444" s="1">
        <v>45719</v>
      </c>
      <c r="C7444" t="s">
        <v>12</v>
      </c>
      <c r="D7444" s="2">
        <v>0</v>
      </c>
      <c r="E7444" s="2">
        <v>16.78</v>
      </c>
      <c r="F7444" t="s">
        <v>16</v>
      </c>
      <c r="G7444" t="s">
        <v>17</v>
      </c>
    </row>
    <row r="7445" spans="1:7" x14ac:dyDescent="0.35">
      <c r="A7445">
        <v>2956</v>
      </c>
      <c r="B7445" s="1">
        <v>45719</v>
      </c>
      <c r="C7445" t="s">
        <v>12</v>
      </c>
      <c r="D7445" s="2">
        <v>2861.7</v>
      </c>
      <c r="E7445" s="2">
        <v>0</v>
      </c>
      <c r="F7445" t="s">
        <v>13</v>
      </c>
      <c r="G7445" t="s">
        <v>9</v>
      </c>
    </row>
    <row r="7446" spans="1:7" x14ac:dyDescent="0.35">
      <c r="A7446">
        <v>2956</v>
      </c>
      <c r="B7446" s="1">
        <v>45719</v>
      </c>
      <c r="C7446" t="s">
        <v>12</v>
      </c>
      <c r="D7446" s="2">
        <v>0</v>
      </c>
      <c r="E7446" s="2">
        <v>2662.04</v>
      </c>
      <c r="F7446" t="s">
        <v>14</v>
      </c>
      <c r="G7446" t="s">
        <v>15</v>
      </c>
    </row>
    <row r="7447" spans="1:7" x14ac:dyDescent="0.35">
      <c r="A7447">
        <v>2956</v>
      </c>
      <c r="B7447" s="1">
        <v>45719</v>
      </c>
      <c r="C7447" t="s">
        <v>12</v>
      </c>
      <c r="D7447" s="2">
        <v>0</v>
      </c>
      <c r="E7447" s="2">
        <v>199.66</v>
      </c>
      <c r="F7447" t="s">
        <v>16</v>
      </c>
      <c r="G7447" t="s">
        <v>17</v>
      </c>
    </row>
    <row r="7448" spans="1:7" x14ac:dyDescent="0.35">
      <c r="A7448">
        <v>2957</v>
      </c>
      <c r="B7448" s="1">
        <v>45719</v>
      </c>
      <c r="C7448" t="s">
        <v>12</v>
      </c>
      <c r="D7448" s="2">
        <v>842.06</v>
      </c>
      <c r="E7448" s="2">
        <v>0</v>
      </c>
      <c r="F7448" t="s">
        <v>13</v>
      </c>
      <c r="G7448" t="s">
        <v>9</v>
      </c>
    </row>
    <row r="7449" spans="1:7" x14ac:dyDescent="0.35">
      <c r="A7449">
        <v>2957</v>
      </c>
      <c r="B7449" s="1">
        <v>45719</v>
      </c>
      <c r="C7449" t="s">
        <v>12</v>
      </c>
      <c r="D7449" s="2">
        <v>0</v>
      </c>
      <c r="E7449" s="2">
        <v>783.31</v>
      </c>
      <c r="F7449" t="s">
        <v>14</v>
      </c>
      <c r="G7449" t="s">
        <v>15</v>
      </c>
    </row>
    <row r="7450" spans="1:7" x14ac:dyDescent="0.35">
      <c r="A7450">
        <v>2957</v>
      </c>
      <c r="B7450" s="1">
        <v>45719</v>
      </c>
      <c r="C7450" t="s">
        <v>12</v>
      </c>
      <c r="D7450" s="2">
        <v>0</v>
      </c>
      <c r="E7450" s="2">
        <v>58.75</v>
      </c>
      <c r="F7450" t="s">
        <v>16</v>
      </c>
      <c r="G7450" t="s">
        <v>17</v>
      </c>
    </row>
    <row r="7451" spans="1:7" x14ac:dyDescent="0.35">
      <c r="A7451">
        <v>2958</v>
      </c>
      <c r="B7451" s="1">
        <v>45719</v>
      </c>
      <c r="C7451" t="s">
        <v>12</v>
      </c>
      <c r="D7451" s="2">
        <v>1350.54</v>
      </c>
      <c r="E7451" s="2">
        <v>0</v>
      </c>
      <c r="F7451" t="s">
        <v>13</v>
      </c>
      <c r="G7451" t="s">
        <v>9</v>
      </c>
    </row>
    <row r="7452" spans="1:7" x14ac:dyDescent="0.35">
      <c r="A7452">
        <v>2958</v>
      </c>
      <c r="B7452" s="1">
        <v>45719</v>
      </c>
      <c r="C7452" t="s">
        <v>12</v>
      </c>
      <c r="D7452" s="2">
        <v>0</v>
      </c>
      <c r="E7452" s="2">
        <v>1256.31</v>
      </c>
      <c r="F7452" t="s">
        <v>14</v>
      </c>
      <c r="G7452" t="s">
        <v>15</v>
      </c>
    </row>
    <row r="7453" spans="1:7" x14ac:dyDescent="0.35">
      <c r="A7453">
        <v>2958</v>
      </c>
      <c r="B7453" s="1">
        <v>45719</v>
      </c>
      <c r="C7453" t="s">
        <v>12</v>
      </c>
      <c r="D7453" s="2">
        <v>0</v>
      </c>
      <c r="E7453" s="2">
        <v>94.23</v>
      </c>
      <c r="F7453" t="s">
        <v>16</v>
      </c>
      <c r="G7453" t="s">
        <v>17</v>
      </c>
    </row>
    <row r="7454" spans="1:7" x14ac:dyDescent="0.35">
      <c r="A7454">
        <v>2959</v>
      </c>
      <c r="B7454" s="1">
        <v>45719</v>
      </c>
      <c r="C7454" t="s">
        <v>12</v>
      </c>
      <c r="D7454" s="2">
        <v>2524.92</v>
      </c>
      <c r="E7454" s="2">
        <v>0</v>
      </c>
      <c r="F7454" t="s">
        <v>13</v>
      </c>
      <c r="G7454" t="s">
        <v>9</v>
      </c>
    </row>
    <row r="7455" spans="1:7" x14ac:dyDescent="0.35">
      <c r="A7455">
        <v>2959</v>
      </c>
      <c r="B7455" s="1">
        <v>45719</v>
      </c>
      <c r="C7455" t="s">
        <v>12</v>
      </c>
      <c r="D7455" s="2">
        <v>0</v>
      </c>
      <c r="E7455" s="2">
        <v>2348.7600000000002</v>
      </c>
      <c r="F7455" t="s">
        <v>14</v>
      </c>
      <c r="G7455" t="s">
        <v>15</v>
      </c>
    </row>
    <row r="7456" spans="1:7" x14ac:dyDescent="0.35">
      <c r="A7456">
        <v>2959</v>
      </c>
      <c r="B7456" s="1">
        <v>45719</v>
      </c>
      <c r="C7456" t="s">
        <v>12</v>
      </c>
      <c r="D7456" s="2">
        <v>0</v>
      </c>
      <c r="E7456" s="2">
        <v>176.16</v>
      </c>
      <c r="F7456" t="s">
        <v>16</v>
      </c>
      <c r="G7456" t="s">
        <v>17</v>
      </c>
    </row>
    <row r="7457" spans="1:7" x14ac:dyDescent="0.35">
      <c r="A7457">
        <v>2960</v>
      </c>
      <c r="B7457" s="1">
        <v>45719</v>
      </c>
      <c r="C7457" t="s">
        <v>24</v>
      </c>
      <c r="D7457" s="2">
        <v>2497.0700000000002</v>
      </c>
      <c r="E7457" s="2">
        <v>0</v>
      </c>
      <c r="F7457" t="s">
        <v>8</v>
      </c>
      <c r="G7457" t="s">
        <v>9</v>
      </c>
    </row>
    <row r="7458" spans="1:7" x14ac:dyDescent="0.35">
      <c r="A7458">
        <v>2960</v>
      </c>
      <c r="B7458" s="1">
        <v>45719</v>
      </c>
      <c r="C7458" t="s">
        <v>24</v>
      </c>
      <c r="D7458" s="2">
        <v>0</v>
      </c>
      <c r="E7458" s="2">
        <v>2497.0700000000002</v>
      </c>
      <c r="F7458" t="s">
        <v>13</v>
      </c>
      <c r="G7458" t="s">
        <v>9</v>
      </c>
    </row>
    <row r="7459" spans="1:7" x14ac:dyDescent="0.35">
      <c r="A7459">
        <v>2961</v>
      </c>
      <c r="B7459" s="1">
        <v>45719</v>
      </c>
      <c r="C7459" t="s">
        <v>24</v>
      </c>
      <c r="D7459" s="2">
        <v>1861.83</v>
      </c>
      <c r="E7459" s="2">
        <v>0</v>
      </c>
      <c r="F7459" t="s">
        <v>8</v>
      </c>
      <c r="G7459" t="s">
        <v>9</v>
      </c>
    </row>
    <row r="7460" spans="1:7" x14ac:dyDescent="0.35">
      <c r="A7460">
        <v>2961</v>
      </c>
      <c r="B7460" s="1">
        <v>45719</v>
      </c>
      <c r="C7460" t="s">
        <v>24</v>
      </c>
      <c r="D7460" s="2">
        <v>0</v>
      </c>
      <c r="E7460" s="2">
        <v>1861.83</v>
      </c>
      <c r="F7460" t="s">
        <v>13</v>
      </c>
      <c r="G7460" t="s">
        <v>9</v>
      </c>
    </row>
    <row r="7461" spans="1:7" x14ac:dyDescent="0.35">
      <c r="A7461">
        <v>2962</v>
      </c>
      <c r="B7461" s="1">
        <v>45719</v>
      </c>
      <c r="C7461" t="s">
        <v>24</v>
      </c>
      <c r="D7461" s="2">
        <v>2849.76</v>
      </c>
      <c r="E7461" s="2">
        <v>0</v>
      </c>
      <c r="F7461" t="s">
        <v>8</v>
      </c>
      <c r="G7461" t="s">
        <v>9</v>
      </c>
    </row>
    <row r="7462" spans="1:7" x14ac:dyDescent="0.35">
      <c r="A7462">
        <v>2962</v>
      </c>
      <c r="B7462" s="1">
        <v>45719</v>
      </c>
      <c r="C7462" t="s">
        <v>24</v>
      </c>
      <c r="D7462" s="2">
        <v>0</v>
      </c>
      <c r="E7462" s="2">
        <v>2849.76</v>
      </c>
      <c r="F7462" t="s">
        <v>13</v>
      </c>
      <c r="G7462" t="s">
        <v>9</v>
      </c>
    </row>
    <row r="7463" spans="1:7" x14ac:dyDescent="0.35">
      <c r="A7463">
        <v>2963</v>
      </c>
      <c r="B7463" s="1">
        <v>45719</v>
      </c>
      <c r="C7463" t="s">
        <v>24</v>
      </c>
      <c r="D7463" s="2">
        <v>1626.51</v>
      </c>
      <c r="E7463" s="2">
        <v>0</v>
      </c>
      <c r="F7463" t="s">
        <v>8</v>
      </c>
      <c r="G7463" t="s">
        <v>9</v>
      </c>
    </row>
    <row r="7464" spans="1:7" x14ac:dyDescent="0.35">
      <c r="A7464">
        <v>2963</v>
      </c>
      <c r="B7464" s="1">
        <v>45719</v>
      </c>
      <c r="C7464" t="s">
        <v>24</v>
      </c>
      <c r="D7464" s="2">
        <v>0</v>
      </c>
      <c r="E7464" s="2">
        <v>1626.51</v>
      </c>
      <c r="F7464" t="s">
        <v>13</v>
      </c>
      <c r="G7464" t="s">
        <v>9</v>
      </c>
    </row>
    <row r="7465" spans="1:7" x14ac:dyDescent="0.35">
      <c r="A7465">
        <v>2964</v>
      </c>
      <c r="B7465" s="1">
        <v>45719</v>
      </c>
      <c r="C7465" t="s">
        <v>24</v>
      </c>
      <c r="D7465" s="2">
        <v>1108.56</v>
      </c>
      <c r="E7465" s="2">
        <v>0</v>
      </c>
      <c r="F7465" t="s">
        <v>8</v>
      </c>
      <c r="G7465" t="s">
        <v>9</v>
      </c>
    </row>
    <row r="7466" spans="1:7" x14ac:dyDescent="0.35">
      <c r="A7466">
        <v>2964</v>
      </c>
      <c r="B7466" s="1">
        <v>45719</v>
      </c>
      <c r="C7466" t="s">
        <v>24</v>
      </c>
      <c r="D7466" s="2">
        <v>0</v>
      </c>
      <c r="E7466" s="2">
        <v>1108.56</v>
      </c>
      <c r="F7466" t="s">
        <v>13</v>
      </c>
      <c r="G7466" t="s">
        <v>9</v>
      </c>
    </row>
    <row r="7467" spans="1:7" x14ac:dyDescent="0.35">
      <c r="A7467">
        <v>2965</v>
      </c>
      <c r="B7467" s="1">
        <v>45719</v>
      </c>
      <c r="C7467" t="s">
        <v>24</v>
      </c>
      <c r="D7467" s="2">
        <v>160.84</v>
      </c>
      <c r="E7467" s="2">
        <v>0</v>
      </c>
      <c r="F7467" t="s">
        <v>8</v>
      </c>
      <c r="G7467" t="s">
        <v>9</v>
      </c>
    </row>
    <row r="7468" spans="1:7" x14ac:dyDescent="0.35">
      <c r="A7468">
        <v>2965</v>
      </c>
      <c r="B7468" s="1">
        <v>45719</v>
      </c>
      <c r="C7468" t="s">
        <v>24</v>
      </c>
      <c r="D7468" s="2">
        <v>0</v>
      </c>
      <c r="E7468" s="2">
        <v>160.84</v>
      </c>
      <c r="F7468" t="s">
        <v>13</v>
      </c>
      <c r="G7468" t="s">
        <v>9</v>
      </c>
    </row>
    <row r="7469" spans="1:7" x14ac:dyDescent="0.35">
      <c r="A7469">
        <v>2966</v>
      </c>
      <c r="B7469" s="1">
        <v>45719</v>
      </c>
      <c r="C7469" t="s">
        <v>24</v>
      </c>
      <c r="D7469" s="2">
        <v>307.08</v>
      </c>
      <c r="E7469" s="2">
        <v>0</v>
      </c>
      <c r="F7469" t="s">
        <v>8</v>
      </c>
      <c r="G7469" t="s">
        <v>9</v>
      </c>
    </row>
    <row r="7470" spans="1:7" x14ac:dyDescent="0.35">
      <c r="A7470">
        <v>2966</v>
      </c>
      <c r="B7470" s="1">
        <v>45719</v>
      </c>
      <c r="C7470" t="s">
        <v>24</v>
      </c>
      <c r="D7470" s="2">
        <v>0</v>
      </c>
      <c r="E7470" s="2">
        <v>307.08</v>
      </c>
      <c r="F7470" t="s">
        <v>13</v>
      </c>
      <c r="G7470" t="s">
        <v>9</v>
      </c>
    </row>
    <row r="7471" spans="1:7" x14ac:dyDescent="0.35">
      <c r="A7471">
        <v>2967</v>
      </c>
      <c r="B7471" s="1">
        <v>45719</v>
      </c>
      <c r="C7471" t="s">
        <v>24</v>
      </c>
      <c r="D7471" s="2">
        <v>1271.6500000000001</v>
      </c>
      <c r="E7471" s="2">
        <v>0</v>
      </c>
      <c r="F7471" t="s">
        <v>8</v>
      </c>
      <c r="G7471" t="s">
        <v>9</v>
      </c>
    </row>
    <row r="7472" spans="1:7" x14ac:dyDescent="0.35">
      <c r="A7472">
        <v>2967</v>
      </c>
      <c r="B7472" s="1">
        <v>45719</v>
      </c>
      <c r="C7472" t="s">
        <v>24</v>
      </c>
      <c r="D7472" s="2">
        <v>0</v>
      </c>
      <c r="E7472" s="2">
        <v>1271.6500000000001</v>
      </c>
      <c r="F7472" t="s">
        <v>13</v>
      </c>
      <c r="G7472" t="s">
        <v>9</v>
      </c>
    </row>
    <row r="7473" spans="1:7" x14ac:dyDescent="0.35">
      <c r="A7473">
        <v>2968</v>
      </c>
      <c r="B7473" s="1">
        <v>45719</v>
      </c>
      <c r="C7473" t="s">
        <v>24</v>
      </c>
      <c r="D7473" s="2">
        <v>2524.92</v>
      </c>
      <c r="E7473" s="2">
        <v>0</v>
      </c>
      <c r="F7473" t="s">
        <v>8</v>
      </c>
      <c r="G7473" t="s">
        <v>9</v>
      </c>
    </row>
    <row r="7474" spans="1:7" x14ac:dyDescent="0.35">
      <c r="A7474">
        <v>2968</v>
      </c>
      <c r="B7474" s="1">
        <v>45719</v>
      </c>
      <c r="C7474" t="s">
        <v>24</v>
      </c>
      <c r="D7474" s="2">
        <v>0</v>
      </c>
      <c r="E7474" s="2">
        <v>2524.92</v>
      </c>
      <c r="F7474" t="s">
        <v>13</v>
      </c>
      <c r="G7474" t="s">
        <v>9</v>
      </c>
    </row>
    <row r="7475" spans="1:7" x14ac:dyDescent="0.35">
      <c r="A7475">
        <v>2969</v>
      </c>
      <c r="B7475" s="1">
        <v>45719</v>
      </c>
      <c r="C7475" t="s">
        <v>25</v>
      </c>
      <c r="D7475" s="2">
        <v>2714.58</v>
      </c>
      <c r="E7475" s="2">
        <v>0</v>
      </c>
      <c r="F7475" t="s">
        <v>26</v>
      </c>
      <c r="G7475" t="s">
        <v>20</v>
      </c>
    </row>
    <row r="7476" spans="1:7" x14ac:dyDescent="0.35">
      <c r="A7476">
        <v>2969</v>
      </c>
      <c r="B7476" s="1">
        <v>45719</v>
      </c>
      <c r="C7476" t="s">
        <v>25</v>
      </c>
      <c r="D7476" s="2">
        <v>203.59</v>
      </c>
      <c r="E7476" s="2">
        <v>0</v>
      </c>
      <c r="F7476" t="s">
        <v>27</v>
      </c>
      <c r="G7476" t="s">
        <v>9</v>
      </c>
    </row>
    <row r="7477" spans="1:7" x14ac:dyDescent="0.35">
      <c r="A7477">
        <v>2969</v>
      </c>
      <c r="B7477" s="1">
        <v>45719</v>
      </c>
      <c r="C7477" t="s">
        <v>25</v>
      </c>
      <c r="D7477" s="2">
        <v>0</v>
      </c>
      <c r="E7477" s="2">
        <v>2918.17</v>
      </c>
      <c r="F7477" t="s">
        <v>28</v>
      </c>
      <c r="G7477" t="s">
        <v>17</v>
      </c>
    </row>
    <row r="7478" spans="1:7" x14ac:dyDescent="0.35">
      <c r="A7478">
        <v>2970</v>
      </c>
      <c r="B7478" s="1">
        <v>45719</v>
      </c>
      <c r="C7478" t="s">
        <v>25</v>
      </c>
      <c r="D7478" s="2">
        <v>1078.92</v>
      </c>
      <c r="E7478" s="2">
        <v>0</v>
      </c>
      <c r="F7478" t="s">
        <v>26</v>
      </c>
      <c r="G7478" t="s">
        <v>20</v>
      </c>
    </row>
    <row r="7479" spans="1:7" x14ac:dyDescent="0.35">
      <c r="A7479">
        <v>2970</v>
      </c>
      <c r="B7479" s="1">
        <v>45719</v>
      </c>
      <c r="C7479" t="s">
        <v>25</v>
      </c>
      <c r="D7479" s="2">
        <v>80.92</v>
      </c>
      <c r="E7479" s="2">
        <v>0</v>
      </c>
      <c r="F7479" t="s">
        <v>27</v>
      </c>
      <c r="G7479" t="s">
        <v>9</v>
      </c>
    </row>
    <row r="7480" spans="1:7" x14ac:dyDescent="0.35">
      <c r="A7480">
        <v>2970</v>
      </c>
      <c r="B7480" s="1">
        <v>45719</v>
      </c>
      <c r="C7480" t="s">
        <v>25</v>
      </c>
      <c r="D7480" s="2">
        <v>0</v>
      </c>
      <c r="E7480" s="2">
        <v>1159.8399999999999</v>
      </c>
      <c r="F7480" t="s">
        <v>28</v>
      </c>
      <c r="G7480" t="s">
        <v>17</v>
      </c>
    </row>
    <row r="7481" spans="1:7" x14ac:dyDescent="0.35">
      <c r="A7481">
        <v>2971</v>
      </c>
      <c r="B7481" s="1">
        <v>45719</v>
      </c>
      <c r="C7481" t="s">
        <v>25</v>
      </c>
      <c r="D7481" s="2">
        <v>1822.08</v>
      </c>
      <c r="E7481" s="2">
        <v>0</v>
      </c>
      <c r="F7481" t="s">
        <v>26</v>
      </c>
      <c r="G7481" t="s">
        <v>20</v>
      </c>
    </row>
    <row r="7482" spans="1:7" x14ac:dyDescent="0.35">
      <c r="A7482">
        <v>2971</v>
      </c>
      <c r="B7482" s="1">
        <v>45719</v>
      </c>
      <c r="C7482" t="s">
        <v>25</v>
      </c>
      <c r="D7482" s="2">
        <v>136.66</v>
      </c>
      <c r="E7482" s="2">
        <v>0</v>
      </c>
      <c r="F7482" t="s">
        <v>27</v>
      </c>
      <c r="G7482" t="s">
        <v>9</v>
      </c>
    </row>
    <row r="7483" spans="1:7" x14ac:dyDescent="0.35">
      <c r="A7483">
        <v>2971</v>
      </c>
      <c r="B7483" s="1">
        <v>45719</v>
      </c>
      <c r="C7483" t="s">
        <v>25</v>
      </c>
      <c r="D7483" s="2">
        <v>0</v>
      </c>
      <c r="E7483" s="2">
        <v>1958.74</v>
      </c>
      <c r="F7483" t="s">
        <v>28</v>
      </c>
      <c r="G7483" t="s">
        <v>17</v>
      </c>
    </row>
    <row r="7484" spans="1:7" x14ac:dyDescent="0.35">
      <c r="A7484">
        <v>2972</v>
      </c>
      <c r="B7484" s="1">
        <v>45719</v>
      </c>
      <c r="C7484" t="s">
        <v>25</v>
      </c>
      <c r="D7484" s="2">
        <v>696.06</v>
      </c>
      <c r="E7484" s="2">
        <v>0</v>
      </c>
      <c r="F7484" t="s">
        <v>26</v>
      </c>
      <c r="G7484" t="s">
        <v>20</v>
      </c>
    </row>
    <row r="7485" spans="1:7" x14ac:dyDescent="0.35">
      <c r="A7485">
        <v>2972</v>
      </c>
      <c r="B7485" s="1">
        <v>45719</v>
      </c>
      <c r="C7485" t="s">
        <v>25</v>
      </c>
      <c r="D7485" s="2">
        <v>52.2</v>
      </c>
      <c r="E7485" s="2">
        <v>0</v>
      </c>
      <c r="F7485" t="s">
        <v>27</v>
      </c>
      <c r="G7485" t="s">
        <v>9</v>
      </c>
    </row>
    <row r="7486" spans="1:7" x14ac:dyDescent="0.35">
      <c r="A7486">
        <v>2972</v>
      </c>
      <c r="B7486" s="1">
        <v>45719</v>
      </c>
      <c r="C7486" t="s">
        <v>25</v>
      </c>
      <c r="D7486" s="2">
        <v>0</v>
      </c>
      <c r="E7486" s="2">
        <v>748.26</v>
      </c>
      <c r="F7486" t="s">
        <v>28</v>
      </c>
      <c r="G7486" t="s">
        <v>17</v>
      </c>
    </row>
    <row r="7487" spans="1:7" x14ac:dyDescent="0.35">
      <c r="A7487">
        <v>2973</v>
      </c>
      <c r="B7487" s="1">
        <v>45719</v>
      </c>
      <c r="C7487" t="s">
        <v>25</v>
      </c>
      <c r="D7487" s="2">
        <v>187.44</v>
      </c>
      <c r="E7487" s="2">
        <v>0</v>
      </c>
      <c r="F7487" t="s">
        <v>26</v>
      </c>
      <c r="G7487" t="s">
        <v>20</v>
      </c>
    </row>
    <row r="7488" spans="1:7" x14ac:dyDescent="0.35">
      <c r="A7488">
        <v>2973</v>
      </c>
      <c r="B7488" s="1">
        <v>45719</v>
      </c>
      <c r="C7488" t="s">
        <v>25</v>
      </c>
      <c r="D7488" s="2">
        <v>14.06</v>
      </c>
      <c r="E7488" s="2">
        <v>0</v>
      </c>
      <c r="F7488" t="s">
        <v>27</v>
      </c>
      <c r="G7488" t="s">
        <v>9</v>
      </c>
    </row>
    <row r="7489" spans="1:7" x14ac:dyDescent="0.35">
      <c r="A7489">
        <v>2973</v>
      </c>
      <c r="B7489" s="1">
        <v>45719</v>
      </c>
      <c r="C7489" t="s">
        <v>25</v>
      </c>
      <c r="D7489" s="2">
        <v>0</v>
      </c>
      <c r="E7489" s="2">
        <v>201.5</v>
      </c>
      <c r="F7489" t="s">
        <v>28</v>
      </c>
      <c r="G7489" t="s">
        <v>17</v>
      </c>
    </row>
    <row r="7490" spans="1:7" x14ac:dyDescent="0.35">
      <c r="A7490">
        <v>2974</v>
      </c>
      <c r="B7490" s="1">
        <v>45719</v>
      </c>
      <c r="C7490" t="s">
        <v>25</v>
      </c>
      <c r="D7490" s="2">
        <v>1947.24</v>
      </c>
      <c r="E7490" s="2">
        <v>0</v>
      </c>
      <c r="F7490" t="s">
        <v>26</v>
      </c>
      <c r="G7490" t="s">
        <v>20</v>
      </c>
    </row>
    <row r="7491" spans="1:7" x14ac:dyDescent="0.35">
      <c r="A7491">
        <v>2974</v>
      </c>
      <c r="B7491" s="1">
        <v>45719</v>
      </c>
      <c r="C7491" t="s">
        <v>25</v>
      </c>
      <c r="D7491" s="2">
        <v>146.04</v>
      </c>
      <c r="E7491" s="2">
        <v>0</v>
      </c>
      <c r="F7491" t="s">
        <v>27</v>
      </c>
      <c r="G7491" t="s">
        <v>9</v>
      </c>
    </row>
    <row r="7492" spans="1:7" x14ac:dyDescent="0.35">
      <c r="A7492">
        <v>2974</v>
      </c>
      <c r="B7492" s="1">
        <v>45719</v>
      </c>
      <c r="C7492" t="s">
        <v>25</v>
      </c>
      <c r="D7492" s="2">
        <v>0</v>
      </c>
      <c r="E7492" s="2">
        <v>2093.2800000000002</v>
      </c>
      <c r="F7492" t="s">
        <v>28</v>
      </c>
      <c r="G7492" t="s">
        <v>17</v>
      </c>
    </row>
    <row r="7493" spans="1:7" x14ac:dyDescent="0.35">
      <c r="A7493">
        <v>2975</v>
      </c>
      <c r="B7493" s="1">
        <v>45719</v>
      </c>
      <c r="C7493" t="s">
        <v>25</v>
      </c>
      <c r="D7493" s="2">
        <v>6723.2</v>
      </c>
      <c r="E7493" s="2">
        <v>0</v>
      </c>
      <c r="F7493" t="s">
        <v>26</v>
      </c>
      <c r="G7493" t="s">
        <v>20</v>
      </c>
    </row>
    <row r="7494" spans="1:7" x14ac:dyDescent="0.35">
      <c r="A7494">
        <v>2975</v>
      </c>
      <c r="B7494" s="1">
        <v>45719</v>
      </c>
      <c r="C7494" t="s">
        <v>25</v>
      </c>
      <c r="D7494" s="2">
        <v>504.24</v>
      </c>
      <c r="E7494" s="2">
        <v>0</v>
      </c>
      <c r="F7494" t="s">
        <v>27</v>
      </c>
      <c r="G7494" t="s">
        <v>9</v>
      </c>
    </row>
    <row r="7495" spans="1:7" x14ac:dyDescent="0.35">
      <c r="A7495">
        <v>2975</v>
      </c>
      <c r="B7495" s="1">
        <v>45719</v>
      </c>
      <c r="C7495" t="s">
        <v>25</v>
      </c>
      <c r="D7495" s="2">
        <v>0</v>
      </c>
      <c r="E7495" s="2">
        <v>7227.44</v>
      </c>
      <c r="F7495" t="s">
        <v>28</v>
      </c>
      <c r="G7495" t="s">
        <v>17</v>
      </c>
    </row>
    <row r="7496" spans="1:7" x14ac:dyDescent="0.35">
      <c r="A7496">
        <v>2976</v>
      </c>
      <c r="B7496" s="1">
        <v>45719</v>
      </c>
      <c r="C7496" t="s">
        <v>29</v>
      </c>
      <c r="D7496" s="2">
        <v>748.26</v>
      </c>
      <c r="E7496" s="2">
        <v>0</v>
      </c>
      <c r="F7496" t="s">
        <v>28</v>
      </c>
      <c r="G7496" t="s">
        <v>17</v>
      </c>
    </row>
    <row r="7497" spans="1:7" x14ac:dyDescent="0.35">
      <c r="A7497">
        <v>2976</v>
      </c>
      <c r="B7497" s="1">
        <v>45719</v>
      </c>
      <c r="C7497" t="s">
        <v>29</v>
      </c>
      <c r="D7497" s="2">
        <v>0</v>
      </c>
      <c r="E7497" s="2">
        <v>748.26</v>
      </c>
      <c r="F7497" t="s">
        <v>8</v>
      </c>
      <c r="G7497" t="s">
        <v>9</v>
      </c>
    </row>
    <row r="7498" spans="1:7" x14ac:dyDescent="0.35">
      <c r="A7498">
        <v>2977</v>
      </c>
      <c r="B7498" s="1">
        <v>45719</v>
      </c>
      <c r="C7498" t="s">
        <v>29</v>
      </c>
      <c r="D7498" s="2">
        <v>1023.42</v>
      </c>
      <c r="E7498" s="2">
        <v>0</v>
      </c>
      <c r="F7498" t="s">
        <v>28</v>
      </c>
      <c r="G7498" t="s">
        <v>17</v>
      </c>
    </row>
    <row r="7499" spans="1:7" x14ac:dyDescent="0.35">
      <c r="A7499">
        <v>2977</v>
      </c>
      <c r="B7499" s="1">
        <v>45719</v>
      </c>
      <c r="C7499" t="s">
        <v>29</v>
      </c>
      <c r="D7499" s="2">
        <v>0</v>
      </c>
      <c r="E7499" s="2">
        <v>1023.42</v>
      </c>
      <c r="F7499" t="s">
        <v>8</v>
      </c>
      <c r="G7499" t="s">
        <v>9</v>
      </c>
    </row>
    <row r="7500" spans="1:7" x14ac:dyDescent="0.35">
      <c r="A7500">
        <v>2978</v>
      </c>
      <c r="B7500" s="1">
        <v>45719</v>
      </c>
      <c r="C7500" t="s">
        <v>29</v>
      </c>
      <c r="D7500" s="2">
        <v>276.32</v>
      </c>
      <c r="E7500" s="2">
        <v>0</v>
      </c>
      <c r="F7500" t="s">
        <v>28</v>
      </c>
      <c r="G7500" t="s">
        <v>17</v>
      </c>
    </row>
    <row r="7501" spans="1:7" x14ac:dyDescent="0.35">
      <c r="A7501">
        <v>2978</v>
      </c>
      <c r="B7501" s="1">
        <v>45719</v>
      </c>
      <c r="C7501" t="s">
        <v>29</v>
      </c>
      <c r="D7501" s="2">
        <v>0</v>
      </c>
      <c r="E7501" s="2">
        <v>276.32</v>
      </c>
      <c r="F7501" t="s">
        <v>8</v>
      </c>
      <c r="G7501" t="s">
        <v>9</v>
      </c>
    </row>
    <row r="7502" spans="1:7" x14ac:dyDescent="0.35">
      <c r="A7502">
        <v>2979</v>
      </c>
      <c r="B7502" s="1">
        <v>45720</v>
      </c>
      <c r="C7502" t="s">
        <v>12</v>
      </c>
      <c r="D7502" s="2">
        <v>179.88</v>
      </c>
      <c r="E7502" s="2">
        <v>0</v>
      </c>
      <c r="F7502" t="s">
        <v>13</v>
      </c>
      <c r="G7502" t="s">
        <v>9</v>
      </c>
    </row>
    <row r="7503" spans="1:7" x14ac:dyDescent="0.35">
      <c r="A7503">
        <v>2979</v>
      </c>
      <c r="B7503" s="1">
        <v>45720</v>
      </c>
      <c r="C7503" t="s">
        <v>12</v>
      </c>
      <c r="D7503" s="2">
        <v>0</v>
      </c>
      <c r="E7503" s="2">
        <v>167.33</v>
      </c>
      <c r="F7503" t="s">
        <v>14</v>
      </c>
      <c r="G7503" t="s">
        <v>15</v>
      </c>
    </row>
    <row r="7504" spans="1:7" x14ac:dyDescent="0.35">
      <c r="A7504">
        <v>2979</v>
      </c>
      <c r="B7504" s="1">
        <v>45720</v>
      </c>
      <c r="C7504" t="s">
        <v>12</v>
      </c>
      <c r="D7504" s="2">
        <v>0</v>
      </c>
      <c r="E7504" s="2">
        <v>12.55</v>
      </c>
      <c r="F7504" t="s">
        <v>16</v>
      </c>
      <c r="G7504" t="s">
        <v>17</v>
      </c>
    </row>
    <row r="7505" spans="1:7" x14ac:dyDescent="0.35">
      <c r="A7505">
        <v>2980</v>
      </c>
      <c r="B7505" s="1">
        <v>45720</v>
      </c>
      <c r="C7505" t="s">
        <v>12</v>
      </c>
      <c r="D7505" s="2">
        <v>3410.42</v>
      </c>
      <c r="E7505" s="2">
        <v>0</v>
      </c>
      <c r="F7505" t="s">
        <v>13</v>
      </c>
      <c r="G7505" t="s">
        <v>9</v>
      </c>
    </row>
    <row r="7506" spans="1:7" x14ac:dyDescent="0.35">
      <c r="A7506">
        <v>2980</v>
      </c>
      <c r="B7506" s="1">
        <v>45720</v>
      </c>
      <c r="C7506" t="s">
        <v>12</v>
      </c>
      <c r="D7506" s="2">
        <v>0</v>
      </c>
      <c r="E7506" s="2">
        <v>3172.49</v>
      </c>
      <c r="F7506" t="s">
        <v>14</v>
      </c>
      <c r="G7506" t="s">
        <v>15</v>
      </c>
    </row>
    <row r="7507" spans="1:7" x14ac:dyDescent="0.35">
      <c r="A7507">
        <v>2980</v>
      </c>
      <c r="B7507" s="1">
        <v>45720</v>
      </c>
      <c r="C7507" t="s">
        <v>12</v>
      </c>
      <c r="D7507" s="2">
        <v>0</v>
      </c>
      <c r="E7507" s="2">
        <v>237.93</v>
      </c>
      <c r="F7507" t="s">
        <v>16</v>
      </c>
      <c r="G7507" t="s">
        <v>17</v>
      </c>
    </row>
    <row r="7508" spans="1:7" x14ac:dyDescent="0.35">
      <c r="A7508">
        <v>2981</v>
      </c>
      <c r="B7508" s="1">
        <v>45720</v>
      </c>
      <c r="C7508" t="s">
        <v>12</v>
      </c>
      <c r="D7508" s="2">
        <v>1299.43</v>
      </c>
      <c r="E7508" s="2">
        <v>0</v>
      </c>
      <c r="F7508" t="s">
        <v>13</v>
      </c>
      <c r="G7508" t="s">
        <v>9</v>
      </c>
    </row>
    <row r="7509" spans="1:7" x14ac:dyDescent="0.35">
      <c r="A7509">
        <v>2981</v>
      </c>
      <c r="B7509" s="1">
        <v>45720</v>
      </c>
      <c r="C7509" t="s">
        <v>12</v>
      </c>
      <c r="D7509" s="2">
        <v>0</v>
      </c>
      <c r="E7509" s="2">
        <v>1208.77</v>
      </c>
      <c r="F7509" t="s">
        <v>14</v>
      </c>
      <c r="G7509" t="s">
        <v>15</v>
      </c>
    </row>
    <row r="7510" spans="1:7" x14ac:dyDescent="0.35">
      <c r="A7510">
        <v>2981</v>
      </c>
      <c r="B7510" s="1">
        <v>45720</v>
      </c>
      <c r="C7510" t="s">
        <v>12</v>
      </c>
      <c r="D7510" s="2">
        <v>0</v>
      </c>
      <c r="E7510" s="2">
        <v>90.66</v>
      </c>
      <c r="F7510" t="s">
        <v>16</v>
      </c>
      <c r="G7510" t="s">
        <v>17</v>
      </c>
    </row>
    <row r="7511" spans="1:7" x14ac:dyDescent="0.35">
      <c r="A7511">
        <v>2982</v>
      </c>
      <c r="B7511" s="1">
        <v>45720</v>
      </c>
      <c r="C7511" t="s">
        <v>12</v>
      </c>
      <c r="D7511" s="2">
        <v>2868.97</v>
      </c>
      <c r="E7511" s="2">
        <v>0</v>
      </c>
      <c r="F7511" t="s">
        <v>13</v>
      </c>
      <c r="G7511" t="s">
        <v>9</v>
      </c>
    </row>
    <row r="7512" spans="1:7" x14ac:dyDescent="0.35">
      <c r="A7512">
        <v>2982</v>
      </c>
      <c r="B7512" s="1">
        <v>45720</v>
      </c>
      <c r="C7512" t="s">
        <v>12</v>
      </c>
      <c r="D7512" s="2">
        <v>0</v>
      </c>
      <c r="E7512" s="2">
        <v>2668.82</v>
      </c>
      <c r="F7512" t="s">
        <v>14</v>
      </c>
      <c r="G7512" t="s">
        <v>15</v>
      </c>
    </row>
    <row r="7513" spans="1:7" x14ac:dyDescent="0.35">
      <c r="A7513">
        <v>2982</v>
      </c>
      <c r="B7513" s="1">
        <v>45720</v>
      </c>
      <c r="C7513" t="s">
        <v>12</v>
      </c>
      <c r="D7513" s="2">
        <v>0</v>
      </c>
      <c r="E7513" s="2">
        <v>200.15</v>
      </c>
      <c r="F7513" t="s">
        <v>16</v>
      </c>
      <c r="G7513" t="s">
        <v>17</v>
      </c>
    </row>
    <row r="7514" spans="1:7" x14ac:dyDescent="0.35">
      <c r="A7514">
        <v>2983</v>
      </c>
      <c r="B7514" s="1">
        <v>45720</v>
      </c>
      <c r="C7514" t="s">
        <v>12</v>
      </c>
      <c r="D7514" s="2">
        <v>343.72</v>
      </c>
      <c r="E7514" s="2">
        <v>0</v>
      </c>
      <c r="F7514" t="s">
        <v>13</v>
      </c>
      <c r="G7514" t="s">
        <v>9</v>
      </c>
    </row>
    <row r="7515" spans="1:7" x14ac:dyDescent="0.35">
      <c r="A7515">
        <v>2983</v>
      </c>
      <c r="B7515" s="1">
        <v>45720</v>
      </c>
      <c r="C7515" t="s">
        <v>12</v>
      </c>
      <c r="D7515" s="2">
        <v>0</v>
      </c>
      <c r="E7515" s="2">
        <v>319.73</v>
      </c>
      <c r="F7515" t="s">
        <v>14</v>
      </c>
      <c r="G7515" t="s">
        <v>15</v>
      </c>
    </row>
    <row r="7516" spans="1:7" x14ac:dyDescent="0.35">
      <c r="A7516">
        <v>2983</v>
      </c>
      <c r="B7516" s="1">
        <v>45720</v>
      </c>
      <c r="C7516" t="s">
        <v>12</v>
      </c>
      <c r="D7516" s="2">
        <v>0</v>
      </c>
      <c r="E7516" s="2">
        <v>23.99</v>
      </c>
      <c r="F7516" t="s">
        <v>16</v>
      </c>
      <c r="G7516" t="s">
        <v>17</v>
      </c>
    </row>
    <row r="7517" spans="1:7" x14ac:dyDescent="0.35">
      <c r="A7517">
        <v>2984</v>
      </c>
      <c r="B7517" s="1">
        <v>45720</v>
      </c>
      <c r="C7517" t="s">
        <v>24</v>
      </c>
      <c r="D7517" s="2">
        <v>3230.35</v>
      </c>
      <c r="E7517" s="2">
        <v>0</v>
      </c>
      <c r="F7517" t="s">
        <v>8</v>
      </c>
      <c r="G7517" t="s">
        <v>9</v>
      </c>
    </row>
    <row r="7518" spans="1:7" x14ac:dyDescent="0.35">
      <c r="A7518">
        <v>2984</v>
      </c>
      <c r="B7518" s="1">
        <v>45720</v>
      </c>
      <c r="C7518" t="s">
        <v>24</v>
      </c>
      <c r="D7518" s="2">
        <v>0</v>
      </c>
      <c r="E7518" s="2">
        <v>3230.35</v>
      </c>
      <c r="F7518" t="s">
        <v>13</v>
      </c>
      <c r="G7518" t="s">
        <v>9</v>
      </c>
    </row>
    <row r="7519" spans="1:7" x14ac:dyDescent="0.35">
      <c r="A7519">
        <v>2985</v>
      </c>
      <c r="B7519" s="1">
        <v>45720</v>
      </c>
      <c r="C7519" t="s">
        <v>24</v>
      </c>
      <c r="D7519" s="2">
        <v>1211.72</v>
      </c>
      <c r="E7519" s="2">
        <v>0</v>
      </c>
      <c r="F7519" t="s">
        <v>8</v>
      </c>
      <c r="G7519" t="s">
        <v>9</v>
      </c>
    </row>
    <row r="7520" spans="1:7" x14ac:dyDescent="0.35">
      <c r="A7520">
        <v>2985</v>
      </c>
      <c r="B7520" s="1">
        <v>45720</v>
      </c>
      <c r="C7520" t="s">
        <v>24</v>
      </c>
      <c r="D7520" s="2">
        <v>0</v>
      </c>
      <c r="E7520" s="2">
        <v>1211.72</v>
      </c>
      <c r="F7520" t="s">
        <v>13</v>
      </c>
      <c r="G7520" t="s">
        <v>9</v>
      </c>
    </row>
    <row r="7521" spans="1:7" x14ac:dyDescent="0.35">
      <c r="A7521">
        <v>2986</v>
      </c>
      <c r="B7521" s="1">
        <v>45720</v>
      </c>
      <c r="C7521" t="s">
        <v>24</v>
      </c>
      <c r="D7521" s="2">
        <v>2628.43</v>
      </c>
      <c r="E7521" s="2">
        <v>0</v>
      </c>
      <c r="F7521" t="s">
        <v>8</v>
      </c>
      <c r="G7521" t="s">
        <v>9</v>
      </c>
    </row>
    <row r="7522" spans="1:7" x14ac:dyDescent="0.35">
      <c r="A7522">
        <v>2986</v>
      </c>
      <c r="B7522" s="1">
        <v>45720</v>
      </c>
      <c r="C7522" t="s">
        <v>24</v>
      </c>
      <c r="D7522" s="2">
        <v>0</v>
      </c>
      <c r="E7522" s="2">
        <v>2628.43</v>
      </c>
      <c r="F7522" t="s">
        <v>13</v>
      </c>
      <c r="G7522" t="s">
        <v>9</v>
      </c>
    </row>
    <row r="7523" spans="1:7" x14ac:dyDescent="0.35">
      <c r="A7523">
        <v>2987</v>
      </c>
      <c r="B7523" s="1">
        <v>45720</v>
      </c>
      <c r="C7523" t="s">
        <v>24</v>
      </c>
      <c r="D7523" s="2">
        <v>4414.57</v>
      </c>
      <c r="E7523" s="2">
        <v>0</v>
      </c>
      <c r="F7523" t="s">
        <v>8</v>
      </c>
      <c r="G7523" t="s">
        <v>9</v>
      </c>
    </row>
    <row r="7524" spans="1:7" x14ac:dyDescent="0.35">
      <c r="A7524">
        <v>2987</v>
      </c>
      <c r="B7524" s="1">
        <v>45720</v>
      </c>
      <c r="C7524" t="s">
        <v>24</v>
      </c>
      <c r="D7524" s="2">
        <v>0</v>
      </c>
      <c r="E7524" s="2">
        <v>4414.57</v>
      </c>
      <c r="F7524" t="s">
        <v>13</v>
      </c>
      <c r="G7524" t="s">
        <v>9</v>
      </c>
    </row>
    <row r="7525" spans="1:7" x14ac:dyDescent="0.35">
      <c r="A7525">
        <v>2988</v>
      </c>
      <c r="B7525" s="1">
        <v>45720</v>
      </c>
      <c r="C7525" t="s">
        <v>24</v>
      </c>
      <c r="D7525" s="2">
        <v>84.17</v>
      </c>
      <c r="E7525" s="2">
        <v>0</v>
      </c>
      <c r="F7525" t="s">
        <v>8</v>
      </c>
      <c r="G7525" t="s">
        <v>9</v>
      </c>
    </row>
    <row r="7526" spans="1:7" x14ac:dyDescent="0.35">
      <c r="A7526">
        <v>2988</v>
      </c>
      <c r="B7526" s="1">
        <v>45720</v>
      </c>
      <c r="C7526" t="s">
        <v>24</v>
      </c>
      <c r="D7526" s="2">
        <v>0</v>
      </c>
      <c r="E7526" s="2">
        <v>84.17</v>
      </c>
      <c r="F7526" t="s">
        <v>13</v>
      </c>
      <c r="G7526" t="s">
        <v>9</v>
      </c>
    </row>
    <row r="7527" spans="1:7" x14ac:dyDescent="0.35">
      <c r="A7527">
        <v>2989</v>
      </c>
      <c r="B7527" s="1">
        <v>45720</v>
      </c>
      <c r="C7527" t="s">
        <v>24</v>
      </c>
      <c r="D7527" s="2">
        <v>4399.6400000000003</v>
      </c>
      <c r="E7527" s="2">
        <v>0</v>
      </c>
      <c r="F7527" t="s">
        <v>8</v>
      </c>
      <c r="G7527" t="s">
        <v>9</v>
      </c>
    </row>
    <row r="7528" spans="1:7" x14ac:dyDescent="0.35">
      <c r="A7528">
        <v>2989</v>
      </c>
      <c r="B7528" s="1">
        <v>45720</v>
      </c>
      <c r="C7528" t="s">
        <v>24</v>
      </c>
      <c r="D7528" s="2">
        <v>0</v>
      </c>
      <c r="E7528" s="2">
        <v>4399.6400000000003</v>
      </c>
      <c r="F7528" t="s">
        <v>13</v>
      </c>
      <c r="G7528" t="s">
        <v>9</v>
      </c>
    </row>
    <row r="7529" spans="1:7" x14ac:dyDescent="0.35">
      <c r="A7529">
        <v>2990</v>
      </c>
      <c r="B7529" s="1">
        <v>45720</v>
      </c>
      <c r="C7529" t="s">
        <v>24</v>
      </c>
      <c r="D7529" s="2">
        <v>3410.42</v>
      </c>
      <c r="E7529" s="2">
        <v>0</v>
      </c>
      <c r="F7529" t="s">
        <v>8</v>
      </c>
      <c r="G7529" t="s">
        <v>9</v>
      </c>
    </row>
    <row r="7530" spans="1:7" x14ac:dyDescent="0.35">
      <c r="A7530">
        <v>2990</v>
      </c>
      <c r="B7530" s="1">
        <v>45720</v>
      </c>
      <c r="C7530" t="s">
        <v>24</v>
      </c>
      <c r="D7530" s="2">
        <v>0</v>
      </c>
      <c r="E7530" s="2">
        <v>3410.42</v>
      </c>
      <c r="F7530" t="s">
        <v>13</v>
      </c>
      <c r="G7530" t="s">
        <v>9</v>
      </c>
    </row>
    <row r="7531" spans="1:7" x14ac:dyDescent="0.35">
      <c r="A7531">
        <v>2991</v>
      </c>
      <c r="B7531" s="1">
        <v>45720</v>
      </c>
      <c r="C7531" t="s">
        <v>25</v>
      </c>
      <c r="D7531" s="2">
        <v>1668.94</v>
      </c>
      <c r="E7531" s="2">
        <v>0</v>
      </c>
      <c r="F7531" t="s">
        <v>26</v>
      </c>
      <c r="G7531" t="s">
        <v>20</v>
      </c>
    </row>
    <row r="7532" spans="1:7" x14ac:dyDescent="0.35">
      <c r="A7532">
        <v>2991</v>
      </c>
      <c r="B7532" s="1">
        <v>45720</v>
      </c>
      <c r="C7532" t="s">
        <v>25</v>
      </c>
      <c r="D7532" s="2">
        <v>125.17</v>
      </c>
      <c r="E7532" s="2">
        <v>0</v>
      </c>
      <c r="F7532" t="s">
        <v>27</v>
      </c>
      <c r="G7532" t="s">
        <v>9</v>
      </c>
    </row>
    <row r="7533" spans="1:7" x14ac:dyDescent="0.35">
      <c r="A7533">
        <v>2991</v>
      </c>
      <c r="B7533" s="1">
        <v>45720</v>
      </c>
      <c r="C7533" t="s">
        <v>25</v>
      </c>
      <c r="D7533" s="2">
        <v>0</v>
      </c>
      <c r="E7533" s="2">
        <v>1794.11</v>
      </c>
      <c r="F7533" t="s">
        <v>28</v>
      </c>
      <c r="G7533" t="s">
        <v>17</v>
      </c>
    </row>
    <row r="7534" spans="1:7" x14ac:dyDescent="0.35">
      <c r="A7534">
        <v>2992</v>
      </c>
      <c r="B7534" s="1">
        <v>45721</v>
      </c>
      <c r="C7534" t="s">
        <v>12</v>
      </c>
      <c r="D7534" s="2">
        <v>2603.7800000000002</v>
      </c>
      <c r="E7534" s="2">
        <v>0</v>
      </c>
      <c r="F7534" t="s">
        <v>13</v>
      </c>
      <c r="G7534" t="s">
        <v>9</v>
      </c>
    </row>
    <row r="7535" spans="1:7" x14ac:dyDescent="0.35">
      <c r="A7535">
        <v>2992</v>
      </c>
      <c r="B7535" s="1">
        <v>45721</v>
      </c>
      <c r="C7535" t="s">
        <v>12</v>
      </c>
      <c r="D7535" s="2">
        <v>0</v>
      </c>
      <c r="E7535" s="2">
        <v>2422.13</v>
      </c>
      <c r="F7535" t="s">
        <v>14</v>
      </c>
      <c r="G7535" t="s">
        <v>15</v>
      </c>
    </row>
    <row r="7536" spans="1:7" x14ac:dyDescent="0.35">
      <c r="A7536">
        <v>2992</v>
      </c>
      <c r="B7536" s="1">
        <v>45721</v>
      </c>
      <c r="C7536" t="s">
        <v>12</v>
      </c>
      <c r="D7536" s="2">
        <v>0</v>
      </c>
      <c r="E7536" s="2">
        <v>181.65</v>
      </c>
      <c r="F7536" t="s">
        <v>16</v>
      </c>
      <c r="G7536" t="s">
        <v>17</v>
      </c>
    </row>
    <row r="7537" spans="1:7" x14ac:dyDescent="0.35">
      <c r="A7537">
        <v>2993</v>
      </c>
      <c r="B7537" s="1">
        <v>45721</v>
      </c>
      <c r="C7537" t="s">
        <v>12</v>
      </c>
      <c r="D7537" s="2">
        <v>1733.46</v>
      </c>
      <c r="E7537" s="2">
        <v>0</v>
      </c>
      <c r="F7537" t="s">
        <v>13</v>
      </c>
      <c r="G7537" t="s">
        <v>9</v>
      </c>
    </row>
    <row r="7538" spans="1:7" x14ac:dyDescent="0.35">
      <c r="A7538">
        <v>2993</v>
      </c>
      <c r="B7538" s="1">
        <v>45721</v>
      </c>
      <c r="C7538" t="s">
        <v>12</v>
      </c>
      <c r="D7538" s="2">
        <v>0</v>
      </c>
      <c r="E7538" s="2">
        <v>1612.51</v>
      </c>
      <c r="F7538" t="s">
        <v>14</v>
      </c>
      <c r="G7538" t="s">
        <v>15</v>
      </c>
    </row>
    <row r="7539" spans="1:7" x14ac:dyDescent="0.35">
      <c r="A7539">
        <v>2993</v>
      </c>
      <c r="B7539" s="1">
        <v>45721</v>
      </c>
      <c r="C7539" t="s">
        <v>12</v>
      </c>
      <c r="D7539" s="2">
        <v>0</v>
      </c>
      <c r="E7539" s="2">
        <v>120.95</v>
      </c>
      <c r="F7539" t="s">
        <v>16</v>
      </c>
      <c r="G7539" t="s">
        <v>17</v>
      </c>
    </row>
    <row r="7540" spans="1:7" x14ac:dyDescent="0.35">
      <c r="A7540">
        <v>2994</v>
      </c>
      <c r="B7540" s="1">
        <v>45721</v>
      </c>
      <c r="C7540" t="s">
        <v>24</v>
      </c>
      <c r="D7540" s="2">
        <v>597.41</v>
      </c>
      <c r="E7540" s="2">
        <v>0</v>
      </c>
      <c r="F7540" t="s">
        <v>8</v>
      </c>
      <c r="G7540" t="s">
        <v>9</v>
      </c>
    </row>
    <row r="7541" spans="1:7" x14ac:dyDescent="0.35">
      <c r="A7541">
        <v>2994</v>
      </c>
      <c r="B7541" s="1">
        <v>45721</v>
      </c>
      <c r="C7541" t="s">
        <v>24</v>
      </c>
      <c r="D7541" s="2">
        <v>0</v>
      </c>
      <c r="E7541" s="2">
        <v>597.41</v>
      </c>
      <c r="F7541" t="s">
        <v>13</v>
      </c>
      <c r="G7541" t="s">
        <v>9</v>
      </c>
    </row>
    <row r="7542" spans="1:7" x14ac:dyDescent="0.35">
      <c r="A7542">
        <v>2995</v>
      </c>
      <c r="B7542" s="1">
        <v>45721</v>
      </c>
      <c r="C7542" t="s">
        <v>24</v>
      </c>
      <c r="D7542" s="2">
        <v>3373.7</v>
      </c>
      <c r="E7542" s="2">
        <v>0</v>
      </c>
      <c r="F7542" t="s">
        <v>8</v>
      </c>
      <c r="G7542" t="s">
        <v>9</v>
      </c>
    </row>
    <row r="7543" spans="1:7" x14ac:dyDescent="0.35">
      <c r="A7543">
        <v>2995</v>
      </c>
      <c r="B7543" s="1">
        <v>45721</v>
      </c>
      <c r="C7543" t="s">
        <v>24</v>
      </c>
      <c r="D7543" s="2">
        <v>0</v>
      </c>
      <c r="E7543" s="2">
        <v>3373.7</v>
      </c>
      <c r="F7543" t="s">
        <v>13</v>
      </c>
      <c r="G7543" t="s">
        <v>9</v>
      </c>
    </row>
    <row r="7544" spans="1:7" x14ac:dyDescent="0.35">
      <c r="A7544">
        <v>2996</v>
      </c>
      <c r="B7544" s="1">
        <v>45721</v>
      </c>
      <c r="C7544" t="s">
        <v>24</v>
      </c>
      <c r="D7544" s="2">
        <v>1805.37</v>
      </c>
      <c r="E7544" s="2">
        <v>0</v>
      </c>
      <c r="F7544" t="s">
        <v>8</v>
      </c>
      <c r="G7544" t="s">
        <v>9</v>
      </c>
    </row>
    <row r="7545" spans="1:7" x14ac:dyDescent="0.35">
      <c r="A7545">
        <v>2996</v>
      </c>
      <c r="B7545" s="1">
        <v>45721</v>
      </c>
      <c r="C7545" t="s">
        <v>24</v>
      </c>
      <c r="D7545" s="2">
        <v>0</v>
      </c>
      <c r="E7545" s="2">
        <v>1805.37</v>
      </c>
      <c r="F7545" t="s">
        <v>13</v>
      </c>
      <c r="G7545" t="s">
        <v>9</v>
      </c>
    </row>
    <row r="7546" spans="1:7" x14ac:dyDescent="0.35">
      <c r="A7546">
        <v>2997</v>
      </c>
      <c r="B7546" s="1">
        <v>45721</v>
      </c>
      <c r="C7546" t="s">
        <v>25</v>
      </c>
      <c r="D7546" s="2">
        <v>383.76</v>
      </c>
      <c r="E7546" s="2">
        <v>0</v>
      </c>
      <c r="F7546" t="s">
        <v>26</v>
      </c>
      <c r="G7546" t="s">
        <v>20</v>
      </c>
    </row>
    <row r="7547" spans="1:7" x14ac:dyDescent="0.35">
      <c r="A7547">
        <v>2997</v>
      </c>
      <c r="B7547" s="1">
        <v>45721</v>
      </c>
      <c r="C7547" t="s">
        <v>25</v>
      </c>
      <c r="D7547" s="2">
        <v>28.78</v>
      </c>
      <c r="E7547" s="2">
        <v>0</v>
      </c>
      <c r="F7547" t="s">
        <v>27</v>
      </c>
      <c r="G7547" t="s">
        <v>9</v>
      </c>
    </row>
    <row r="7548" spans="1:7" x14ac:dyDescent="0.35">
      <c r="A7548">
        <v>2997</v>
      </c>
      <c r="B7548" s="1">
        <v>45721</v>
      </c>
      <c r="C7548" t="s">
        <v>25</v>
      </c>
      <c r="D7548" s="2">
        <v>0</v>
      </c>
      <c r="E7548" s="2">
        <v>412.54</v>
      </c>
      <c r="F7548" t="s">
        <v>28</v>
      </c>
      <c r="G7548" t="s">
        <v>17</v>
      </c>
    </row>
    <row r="7549" spans="1:7" x14ac:dyDescent="0.35">
      <c r="A7549">
        <v>2998</v>
      </c>
      <c r="B7549" s="1">
        <v>45721</v>
      </c>
      <c r="C7549" t="s">
        <v>29</v>
      </c>
      <c r="D7549" s="2">
        <v>4812.46</v>
      </c>
      <c r="E7549" s="2">
        <v>0</v>
      </c>
      <c r="F7549" t="s">
        <v>28</v>
      </c>
      <c r="G7549" t="s">
        <v>17</v>
      </c>
    </row>
    <row r="7550" spans="1:7" x14ac:dyDescent="0.35">
      <c r="A7550">
        <v>2998</v>
      </c>
      <c r="B7550" s="1">
        <v>45721</v>
      </c>
      <c r="C7550" t="s">
        <v>29</v>
      </c>
      <c r="D7550" s="2">
        <v>0</v>
      </c>
      <c r="E7550" s="2">
        <v>4812.46</v>
      </c>
      <c r="F7550" t="s">
        <v>8</v>
      </c>
      <c r="G7550" t="s">
        <v>9</v>
      </c>
    </row>
    <row r="7551" spans="1:7" x14ac:dyDescent="0.35">
      <c r="A7551">
        <v>2999</v>
      </c>
      <c r="B7551" s="1">
        <v>45721</v>
      </c>
      <c r="C7551" t="s">
        <v>29</v>
      </c>
      <c r="D7551" s="2">
        <v>1766.46</v>
      </c>
      <c r="E7551" s="2">
        <v>0</v>
      </c>
      <c r="F7551" t="s">
        <v>28</v>
      </c>
      <c r="G7551" t="s">
        <v>17</v>
      </c>
    </row>
    <row r="7552" spans="1:7" x14ac:dyDescent="0.35">
      <c r="A7552">
        <v>2999</v>
      </c>
      <c r="B7552" s="1">
        <v>45721</v>
      </c>
      <c r="C7552" t="s">
        <v>29</v>
      </c>
      <c r="D7552" s="2">
        <v>0</v>
      </c>
      <c r="E7552" s="2">
        <v>1766.46</v>
      </c>
      <c r="F7552" t="s">
        <v>8</v>
      </c>
      <c r="G7552" t="s">
        <v>9</v>
      </c>
    </row>
    <row r="7553" spans="1:7" x14ac:dyDescent="0.35">
      <c r="A7553">
        <v>3000</v>
      </c>
      <c r="B7553" s="1">
        <v>45721</v>
      </c>
      <c r="C7553" t="s">
        <v>29</v>
      </c>
      <c r="D7553" s="2">
        <v>1023.42</v>
      </c>
      <c r="E7553" s="2">
        <v>0</v>
      </c>
      <c r="F7553" t="s">
        <v>28</v>
      </c>
      <c r="G7553" t="s">
        <v>17</v>
      </c>
    </row>
    <row r="7554" spans="1:7" x14ac:dyDescent="0.35">
      <c r="A7554">
        <v>3000</v>
      </c>
      <c r="B7554" s="1">
        <v>45721</v>
      </c>
      <c r="C7554" t="s">
        <v>29</v>
      </c>
      <c r="D7554" s="2">
        <v>0</v>
      </c>
      <c r="E7554" s="2">
        <v>1023.42</v>
      </c>
      <c r="F7554" t="s">
        <v>8</v>
      </c>
      <c r="G7554" t="s">
        <v>9</v>
      </c>
    </row>
    <row r="7555" spans="1:7" x14ac:dyDescent="0.35">
      <c r="A7555">
        <v>3001</v>
      </c>
      <c r="B7555" s="1">
        <v>45722</v>
      </c>
      <c r="C7555" t="s">
        <v>12</v>
      </c>
      <c r="D7555" s="2">
        <v>631.28</v>
      </c>
      <c r="E7555" s="2">
        <v>0</v>
      </c>
      <c r="F7555" t="s">
        <v>13</v>
      </c>
      <c r="G7555" t="s">
        <v>9</v>
      </c>
    </row>
    <row r="7556" spans="1:7" x14ac:dyDescent="0.35">
      <c r="A7556">
        <v>3001</v>
      </c>
      <c r="B7556" s="1">
        <v>45722</v>
      </c>
      <c r="C7556" t="s">
        <v>12</v>
      </c>
      <c r="D7556" s="2">
        <v>0</v>
      </c>
      <c r="E7556" s="2">
        <v>587.24</v>
      </c>
      <c r="F7556" t="s">
        <v>14</v>
      </c>
      <c r="G7556" t="s">
        <v>15</v>
      </c>
    </row>
    <row r="7557" spans="1:7" x14ac:dyDescent="0.35">
      <c r="A7557">
        <v>3001</v>
      </c>
      <c r="B7557" s="1">
        <v>45722</v>
      </c>
      <c r="C7557" t="s">
        <v>12</v>
      </c>
      <c r="D7557" s="2">
        <v>0</v>
      </c>
      <c r="E7557" s="2">
        <v>44.04</v>
      </c>
      <c r="F7557" t="s">
        <v>16</v>
      </c>
      <c r="G7557" t="s">
        <v>17</v>
      </c>
    </row>
    <row r="7558" spans="1:7" x14ac:dyDescent="0.35">
      <c r="A7558">
        <v>3002</v>
      </c>
      <c r="B7558" s="1">
        <v>45722</v>
      </c>
      <c r="C7558" t="s">
        <v>24</v>
      </c>
      <c r="D7558" s="2">
        <v>2861.7</v>
      </c>
      <c r="E7558" s="2">
        <v>0</v>
      </c>
      <c r="F7558" t="s">
        <v>8</v>
      </c>
      <c r="G7558" t="s">
        <v>9</v>
      </c>
    </row>
    <row r="7559" spans="1:7" x14ac:dyDescent="0.35">
      <c r="A7559">
        <v>3002</v>
      </c>
      <c r="B7559" s="1">
        <v>45722</v>
      </c>
      <c r="C7559" t="s">
        <v>24</v>
      </c>
      <c r="D7559" s="2">
        <v>0</v>
      </c>
      <c r="E7559" s="2">
        <v>2861.7</v>
      </c>
      <c r="F7559" t="s">
        <v>13</v>
      </c>
      <c r="G7559" t="s">
        <v>9</v>
      </c>
    </row>
    <row r="7560" spans="1:7" x14ac:dyDescent="0.35">
      <c r="A7560">
        <v>3003</v>
      </c>
      <c r="B7560" s="1">
        <v>45722</v>
      </c>
      <c r="C7560" t="s">
        <v>25</v>
      </c>
      <c r="D7560" s="2">
        <v>166.52</v>
      </c>
      <c r="E7560" s="2">
        <v>0</v>
      </c>
      <c r="F7560" t="s">
        <v>26</v>
      </c>
      <c r="G7560" t="s">
        <v>20</v>
      </c>
    </row>
    <row r="7561" spans="1:7" x14ac:dyDescent="0.35">
      <c r="A7561">
        <v>3003</v>
      </c>
      <c r="B7561" s="1">
        <v>45722</v>
      </c>
      <c r="C7561" t="s">
        <v>25</v>
      </c>
      <c r="D7561" s="2">
        <v>12.49</v>
      </c>
      <c r="E7561" s="2">
        <v>0</v>
      </c>
      <c r="F7561" t="s">
        <v>27</v>
      </c>
      <c r="G7561" t="s">
        <v>9</v>
      </c>
    </row>
    <row r="7562" spans="1:7" x14ac:dyDescent="0.35">
      <c r="A7562">
        <v>3003</v>
      </c>
      <c r="B7562" s="1">
        <v>45722</v>
      </c>
      <c r="C7562" t="s">
        <v>25</v>
      </c>
      <c r="D7562" s="2">
        <v>0</v>
      </c>
      <c r="E7562" s="2">
        <v>179.01</v>
      </c>
      <c r="F7562" t="s">
        <v>28</v>
      </c>
      <c r="G7562" t="s">
        <v>17</v>
      </c>
    </row>
    <row r="7563" spans="1:7" x14ac:dyDescent="0.35">
      <c r="A7563">
        <v>3004</v>
      </c>
      <c r="B7563" s="1">
        <v>45722</v>
      </c>
      <c r="C7563" t="s">
        <v>25</v>
      </c>
      <c r="D7563" s="2">
        <v>1643.22</v>
      </c>
      <c r="E7563" s="2">
        <v>0</v>
      </c>
      <c r="F7563" t="s">
        <v>26</v>
      </c>
      <c r="G7563" t="s">
        <v>20</v>
      </c>
    </row>
    <row r="7564" spans="1:7" x14ac:dyDescent="0.35">
      <c r="A7564">
        <v>3004</v>
      </c>
      <c r="B7564" s="1">
        <v>45722</v>
      </c>
      <c r="C7564" t="s">
        <v>25</v>
      </c>
      <c r="D7564" s="2">
        <v>123.24</v>
      </c>
      <c r="E7564" s="2">
        <v>0</v>
      </c>
      <c r="F7564" t="s">
        <v>27</v>
      </c>
      <c r="G7564" t="s">
        <v>9</v>
      </c>
    </row>
    <row r="7565" spans="1:7" x14ac:dyDescent="0.35">
      <c r="A7565">
        <v>3004</v>
      </c>
      <c r="B7565" s="1">
        <v>45722</v>
      </c>
      <c r="C7565" t="s">
        <v>25</v>
      </c>
      <c r="D7565" s="2">
        <v>0</v>
      </c>
      <c r="E7565" s="2">
        <v>1766.46</v>
      </c>
      <c r="F7565" t="s">
        <v>28</v>
      </c>
      <c r="G7565" t="s">
        <v>17</v>
      </c>
    </row>
    <row r="7566" spans="1:7" x14ac:dyDescent="0.35">
      <c r="A7566">
        <v>3005</v>
      </c>
      <c r="B7566" s="1">
        <v>45722</v>
      </c>
      <c r="C7566" t="s">
        <v>29</v>
      </c>
      <c r="D7566" s="2">
        <v>2918.17</v>
      </c>
      <c r="E7566" s="2">
        <v>0</v>
      </c>
      <c r="F7566" t="s">
        <v>28</v>
      </c>
      <c r="G7566" t="s">
        <v>17</v>
      </c>
    </row>
    <row r="7567" spans="1:7" x14ac:dyDescent="0.35">
      <c r="A7567">
        <v>3005</v>
      </c>
      <c r="B7567" s="1">
        <v>45722</v>
      </c>
      <c r="C7567" t="s">
        <v>29</v>
      </c>
      <c r="D7567" s="2">
        <v>0</v>
      </c>
      <c r="E7567" s="2">
        <v>2918.17</v>
      </c>
      <c r="F7567" t="s">
        <v>8</v>
      </c>
      <c r="G7567" t="s">
        <v>9</v>
      </c>
    </row>
    <row r="7568" spans="1:7" x14ac:dyDescent="0.35">
      <c r="A7568">
        <v>3006</v>
      </c>
      <c r="B7568" s="1">
        <v>45723</v>
      </c>
      <c r="C7568" t="s">
        <v>12</v>
      </c>
      <c r="D7568" s="2">
        <v>4398.57</v>
      </c>
      <c r="E7568" s="2">
        <v>0</v>
      </c>
      <c r="F7568" t="s">
        <v>13</v>
      </c>
      <c r="G7568" t="s">
        <v>9</v>
      </c>
    </row>
    <row r="7569" spans="1:7" x14ac:dyDescent="0.35">
      <c r="A7569">
        <v>3006</v>
      </c>
      <c r="B7569" s="1">
        <v>45723</v>
      </c>
      <c r="C7569" t="s">
        <v>12</v>
      </c>
      <c r="D7569" s="2">
        <v>0</v>
      </c>
      <c r="E7569" s="2">
        <v>4091.7</v>
      </c>
      <c r="F7569" t="s">
        <v>14</v>
      </c>
      <c r="G7569" t="s">
        <v>15</v>
      </c>
    </row>
    <row r="7570" spans="1:7" x14ac:dyDescent="0.35">
      <c r="A7570">
        <v>3006</v>
      </c>
      <c r="B7570" s="1">
        <v>45723</v>
      </c>
      <c r="C7570" t="s">
        <v>12</v>
      </c>
      <c r="D7570" s="2">
        <v>0</v>
      </c>
      <c r="E7570" s="2">
        <v>306.87</v>
      </c>
      <c r="F7570" t="s">
        <v>16</v>
      </c>
      <c r="G7570" t="s">
        <v>17</v>
      </c>
    </row>
    <row r="7571" spans="1:7" x14ac:dyDescent="0.35">
      <c r="A7571">
        <v>3007</v>
      </c>
      <c r="B7571" s="1">
        <v>45723</v>
      </c>
      <c r="C7571" t="s">
        <v>12</v>
      </c>
      <c r="D7571" s="2">
        <v>1578.04</v>
      </c>
      <c r="E7571" s="2">
        <v>0</v>
      </c>
      <c r="F7571" t="s">
        <v>13</v>
      </c>
      <c r="G7571" t="s">
        <v>9</v>
      </c>
    </row>
    <row r="7572" spans="1:7" x14ac:dyDescent="0.35">
      <c r="A7572">
        <v>3007</v>
      </c>
      <c r="B7572" s="1">
        <v>45723</v>
      </c>
      <c r="C7572" t="s">
        <v>12</v>
      </c>
      <c r="D7572" s="2">
        <v>0</v>
      </c>
      <c r="E7572" s="2">
        <v>1467.95</v>
      </c>
      <c r="F7572" t="s">
        <v>14</v>
      </c>
      <c r="G7572" t="s">
        <v>15</v>
      </c>
    </row>
    <row r="7573" spans="1:7" x14ac:dyDescent="0.35">
      <c r="A7573">
        <v>3007</v>
      </c>
      <c r="B7573" s="1">
        <v>45723</v>
      </c>
      <c r="C7573" t="s">
        <v>12</v>
      </c>
      <c r="D7573" s="2">
        <v>0</v>
      </c>
      <c r="E7573" s="2">
        <v>110.09</v>
      </c>
      <c r="F7573" t="s">
        <v>16</v>
      </c>
      <c r="G7573" t="s">
        <v>17</v>
      </c>
    </row>
    <row r="7574" spans="1:7" x14ac:dyDescent="0.35">
      <c r="A7574">
        <v>3008</v>
      </c>
      <c r="B7574" s="1">
        <v>45723</v>
      </c>
      <c r="C7574" t="s">
        <v>24</v>
      </c>
      <c r="D7574" s="2">
        <v>82.37</v>
      </c>
      <c r="E7574" s="2">
        <v>0</v>
      </c>
      <c r="F7574" t="s">
        <v>8</v>
      </c>
      <c r="G7574" t="s">
        <v>9</v>
      </c>
    </row>
    <row r="7575" spans="1:7" x14ac:dyDescent="0.35">
      <c r="A7575">
        <v>3008</v>
      </c>
      <c r="B7575" s="1">
        <v>45723</v>
      </c>
      <c r="C7575" t="s">
        <v>24</v>
      </c>
      <c r="D7575" s="2">
        <v>0</v>
      </c>
      <c r="E7575" s="2">
        <v>82.37</v>
      </c>
      <c r="F7575" t="s">
        <v>13</v>
      </c>
      <c r="G7575" t="s">
        <v>9</v>
      </c>
    </row>
    <row r="7576" spans="1:7" x14ac:dyDescent="0.35">
      <c r="A7576">
        <v>3009</v>
      </c>
      <c r="B7576" s="1">
        <v>45723</v>
      </c>
      <c r="C7576" t="s">
        <v>24</v>
      </c>
      <c r="D7576" s="2">
        <v>5863.92</v>
      </c>
      <c r="E7576" s="2">
        <v>0</v>
      </c>
      <c r="F7576" t="s">
        <v>8</v>
      </c>
      <c r="G7576" t="s">
        <v>9</v>
      </c>
    </row>
    <row r="7577" spans="1:7" x14ac:dyDescent="0.35">
      <c r="A7577">
        <v>3009</v>
      </c>
      <c r="B7577" s="1">
        <v>45723</v>
      </c>
      <c r="C7577" t="s">
        <v>24</v>
      </c>
      <c r="D7577" s="2">
        <v>0</v>
      </c>
      <c r="E7577" s="2">
        <v>5863.92</v>
      </c>
      <c r="F7577" t="s">
        <v>13</v>
      </c>
      <c r="G7577" t="s">
        <v>9</v>
      </c>
    </row>
    <row r="7578" spans="1:7" x14ac:dyDescent="0.35">
      <c r="A7578">
        <v>3010</v>
      </c>
      <c r="B7578" s="1">
        <v>45723</v>
      </c>
      <c r="C7578" t="s">
        <v>24</v>
      </c>
      <c r="D7578" s="2">
        <v>5799.5</v>
      </c>
      <c r="E7578" s="2">
        <v>0</v>
      </c>
      <c r="F7578" t="s">
        <v>8</v>
      </c>
      <c r="G7578" t="s">
        <v>9</v>
      </c>
    </row>
    <row r="7579" spans="1:7" x14ac:dyDescent="0.35">
      <c r="A7579">
        <v>3010</v>
      </c>
      <c r="B7579" s="1">
        <v>45723</v>
      </c>
      <c r="C7579" t="s">
        <v>24</v>
      </c>
      <c r="D7579" s="2">
        <v>0</v>
      </c>
      <c r="E7579" s="2">
        <v>5799.5</v>
      </c>
      <c r="F7579" t="s">
        <v>13</v>
      </c>
      <c r="G7579" t="s">
        <v>9</v>
      </c>
    </row>
    <row r="7580" spans="1:7" x14ac:dyDescent="0.35">
      <c r="A7580">
        <v>3011</v>
      </c>
      <c r="B7580" s="1">
        <v>45723</v>
      </c>
      <c r="C7580" t="s">
        <v>24</v>
      </c>
      <c r="D7580" s="2">
        <v>106.63</v>
      </c>
      <c r="E7580" s="2">
        <v>0</v>
      </c>
      <c r="F7580" t="s">
        <v>8</v>
      </c>
      <c r="G7580" t="s">
        <v>9</v>
      </c>
    </row>
    <row r="7581" spans="1:7" x14ac:dyDescent="0.35">
      <c r="A7581">
        <v>3011</v>
      </c>
      <c r="B7581" s="1">
        <v>45723</v>
      </c>
      <c r="C7581" t="s">
        <v>24</v>
      </c>
      <c r="D7581" s="2">
        <v>0</v>
      </c>
      <c r="E7581" s="2">
        <v>106.63</v>
      </c>
      <c r="F7581" t="s">
        <v>13</v>
      </c>
      <c r="G7581" t="s">
        <v>9</v>
      </c>
    </row>
    <row r="7582" spans="1:7" x14ac:dyDescent="0.35">
      <c r="A7582">
        <v>3012</v>
      </c>
      <c r="B7582" s="1">
        <v>45723</v>
      </c>
      <c r="C7582" t="s">
        <v>24</v>
      </c>
      <c r="D7582" s="2">
        <v>1334.35</v>
      </c>
      <c r="E7582" s="2">
        <v>0</v>
      </c>
      <c r="F7582" t="s">
        <v>8</v>
      </c>
      <c r="G7582" t="s">
        <v>9</v>
      </c>
    </row>
    <row r="7583" spans="1:7" x14ac:dyDescent="0.35">
      <c r="A7583">
        <v>3012</v>
      </c>
      <c r="B7583" s="1">
        <v>45723</v>
      </c>
      <c r="C7583" t="s">
        <v>24</v>
      </c>
      <c r="D7583" s="2">
        <v>0</v>
      </c>
      <c r="E7583" s="2">
        <v>1334.35</v>
      </c>
      <c r="F7583" t="s">
        <v>13</v>
      </c>
      <c r="G7583" t="s">
        <v>9</v>
      </c>
    </row>
    <row r="7584" spans="1:7" x14ac:dyDescent="0.35">
      <c r="A7584">
        <v>3013</v>
      </c>
      <c r="B7584" s="1">
        <v>45723</v>
      </c>
      <c r="C7584" t="s">
        <v>25</v>
      </c>
      <c r="D7584" s="2">
        <v>2329.52</v>
      </c>
      <c r="E7584" s="2">
        <v>0</v>
      </c>
      <c r="F7584" t="s">
        <v>26</v>
      </c>
      <c r="G7584" t="s">
        <v>20</v>
      </c>
    </row>
    <row r="7585" spans="1:7" x14ac:dyDescent="0.35">
      <c r="A7585">
        <v>3013</v>
      </c>
      <c r="B7585" s="1">
        <v>45723</v>
      </c>
      <c r="C7585" t="s">
        <v>25</v>
      </c>
      <c r="D7585" s="2">
        <v>174.71</v>
      </c>
      <c r="E7585" s="2">
        <v>0</v>
      </c>
      <c r="F7585" t="s">
        <v>27</v>
      </c>
      <c r="G7585" t="s">
        <v>9</v>
      </c>
    </row>
    <row r="7586" spans="1:7" x14ac:dyDescent="0.35">
      <c r="A7586">
        <v>3013</v>
      </c>
      <c r="B7586" s="1">
        <v>45723</v>
      </c>
      <c r="C7586" t="s">
        <v>25</v>
      </c>
      <c r="D7586" s="2">
        <v>0</v>
      </c>
      <c r="E7586" s="2">
        <v>2504.23</v>
      </c>
      <c r="F7586" t="s">
        <v>28</v>
      </c>
      <c r="G7586" t="s">
        <v>17</v>
      </c>
    </row>
    <row r="7587" spans="1:7" x14ac:dyDescent="0.35">
      <c r="A7587">
        <v>3014</v>
      </c>
      <c r="B7587" s="1">
        <v>45723</v>
      </c>
      <c r="C7587" t="s">
        <v>25</v>
      </c>
      <c r="D7587" s="2">
        <v>802.71</v>
      </c>
      <c r="E7587" s="2">
        <v>0</v>
      </c>
      <c r="F7587" t="s">
        <v>26</v>
      </c>
      <c r="G7587" t="s">
        <v>20</v>
      </c>
    </row>
    <row r="7588" spans="1:7" x14ac:dyDescent="0.35">
      <c r="A7588">
        <v>3014</v>
      </c>
      <c r="B7588" s="1">
        <v>45723</v>
      </c>
      <c r="C7588" t="s">
        <v>25</v>
      </c>
      <c r="D7588" s="2">
        <v>60.2</v>
      </c>
      <c r="E7588" s="2">
        <v>0</v>
      </c>
      <c r="F7588" t="s">
        <v>27</v>
      </c>
      <c r="G7588" t="s">
        <v>9</v>
      </c>
    </row>
    <row r="7589" spans="1:7" x14ac:dyDescent="0.35">
      <c r="A7589">
        <v>3014</v>
      </c>
      <c r="B7589" s="1">
        <v>45723</v>
      </c>
      <c r="C7589" t="s">
        <v>25</v>
      </c>
      <c r="D7589" s="2">
        <v>0</v>
      </c>
      <c r="E7589" s="2">
        <v>862.91</v>
      </c>
      <c r="F7589" t="s">
        <v>28</v>
      </c>
      <c r="G7589" t="s">
        <v>17</v>
      </c>
    </row>
    <row r="7590" spans="1:7" x14ac:dyDescent="0.35">
      <c r="A7590">
        <v>3015</v>
      </c>
      <c r="B7590" s="1">
        <v>45726</v>
      </c>
      <c r="C7590" t="s">
        <v>12</v>
      </c>
      <c r="D7590" s="2">
        <v>2510.3000000000002</v>
      </c>
      <c r="E7590" s="2">
        <v>0</v>
      </c>
      <c r="F7590" t="s">
        <v>13</v>
      </c>
      <c r="G7590" t="s">
        <v>9</v>
      </c>
    </row>
    <row r="7591" spans="1:7" x14ac:dyDescent="0.35">
      <c r="A7591">
        <v>3015</v>
      </c>
      <c r="B7591" s="1">
        <v>45726</v>
      </c>
      <c r="C7591" t="s">
        <v>12</v>
      </c>
      <c r="D7591" s="2">
        <v>0</v>
      </c>
      <c r="E7591" s="2">
        <v>2335.16</v>
      </c>
      <c r="F7591" t="s">
        <v>14</v>
      </c>
      <c r="G7591" t="s">
        <v>15</v>
      </c>
    </row>
    <row r="7592" spans="1:7" x14ac:dyDescent="0.35">
      <c r="A7592">
        <v>3015</v>
      </c>
      <c r="B7592" s="1">
        <v>45726</v>
      </c>
      <c r="C7592" t="s">
        <v>12</v>
      </c>
      <c r="D7592" s="2">
        <v>0</v>
      </c>
      <c r="E7592" s="2">
        <v>175.14</v>
      </c>
      <c r="F7592" t="s">
        <v>16</v>
      </c>
      <c r="G7592" t="s">
        <v>17</v>
      </c>
    </row>
    <row r="7593" spans="1:7" x14ac:dyDescent="0.35">
      <c r="A7593">
        <v>3016</v>
      </c>
      <c r="B7593" s="1">
        <v>45726</v>
      </c>
      <c r="C7593" t="s">
        <v>12</v>
      </c>
      <c r="D7593" s="2">
        <v>1518.16</v>
      </c>
      <c r="E7593" s="2">
        <v>0</v>
      </c>
      <c r="F7593" t="s">
        <v>13</v>
      </c>
      <c r="G7593" t="s">
        <v>9</v>
      </c>
    </row>
    <row r="7594" spans="1:7" x14ac:dyDescent="0.35">
      <c r="A7594">
        <v>3016</v>
      </c>
      <c r="B7594" s="1">
        <v>45726</v>
      </c>
      <c r="C7594" t="s">
        <v>12</v>
      </c>
      <c r="D7594" s="2">
        <v>0</v>
      </c>
      <c r="E7594" s="2">
        <v>1412.24</v>
      </c>
      <c r="F7594" t="s">
        <v>14</v>
      </c>
      <c r="G7594" t="s">
        <v>15</v>
      </c>
    </row>
    <row r="7595" spans="1:7" x14ac:dyDescent="0.35">
      <c r="A7595">
        <v>3016</v>
      </c>
      <c r="B7595" s="1">
        <v>45726</v>
      </c>
      <c r="C7595" t="s">
        <v>12</v>
      </c>
      <c r="D7595" s="2">
        <v>0</v>
      </c>
      <c r="E7595" s="2">
        <v>105.92</v>
      </c>
      <c r="F7595" t="s">
        <v>16</v>
      </c>
      <c r="G7595" t="s">
        <v>17</v>
      </c>
    </row>
    <row r="7596" spans="1:7" x14ac:dyDescent="0.35">
      <c r="A7596">
        <v>3017</v>
      </c>
      <c r="B7596" s="1">
        <v>45726</v>
      </c>
      <c r="C7596" t="s">
        <v>12</v>
      </c>
      <c r="D7596" s="2">
        <v>1198.8699999999999</v>
      </c>
      <c r="E7596" s="2">
        <v>0</v>
      </c>
      <c r="F7596" t="s">
        <v>13</v>
      </c>
      <c r="G7596" t="s">
        <v>9</v>
      </c>
    </row>
    <row r="7597" spans="1:7" x14ac:dyDescent="0.35">
      <c r="A7597">
        <v>3017</v>
      </c>
      <c r="B7597" s="1">
        <v>45726</v>
      </c>
      <c r="C7597" t="s">
        <v>12</v>
      </c>
      <c r="D7597" s="2">
        <v>0</v>
      </c>
      <c r="E7597" s="2">
        <v>1115.23</v>
      </c>
      <c r="F7597" t="s">
        <v>14</v>
      </c>
      <c r="G7597" t="s">
        <v>15</v>
      </c>
    </row>
    <row r="7598" spans="1:7" x14ac:dyDescent="0.35">
      <c r="A7598">
        <v>3017</v>
      </c>
      <c r="B7598" s="1">
        <v>45726</v>
      </c>
      <c r="C7598" t="s">
        <v>12</v>
      </c>
      <c r="D7598" s="2">
        <v>0</v>
      </c>
      <c r="E7598" s="2">
        <v>83.64</v>
      </c>
      <c r="F7598" t="s">
        <v>16</v>
      </c>
      <c r="G7598" t="s">
        <v>17</v>
      </c>
    </row>
    <row r="7599" spans="1:7" x14ac:dyDescent="0.35">
      <c r="A7599">
        <v>3018</v>
      </c>
      <c r="B7599" s="1">
        <v>45726</v>
      </c>
      <c r="C7599" t="s">
        <v>24</v>
      </c>
      <c r="D7599" s="2">
        <v>61.06</v>
      </c>
      <c r="E7599" s="2">
        <v>0</v>
      </c>
      <c r="F7599" t="s">
        <v>8</v>
      </c>
      <c r="G7599" t="s">
        <v>9</v>
      </c>
    </row>
    <row r="7600" spans="1:7" x14ac:dyDescent="0.35">
      <c r="A7600">
        <v>3018</v>
      </c>
      <c r="B7600" s="1">
        <v>45726</v>
      </c>
      <c r="C7600" t="s">
        <v>24</v>
      </c>
      <c r="D7600" s="2">
        <v>0</v>
      </c>
      <c r="E7600" s="2">
        <v>61.06</v>
      </c>
      <c r="F7600" t="s">
        <v>13</v>
      </c>
      <c r="G7600" t="s">
        <v>9</v>
      </c>
    </row>
    <row r="7601" spans="1:7" x14ac:dyDescent="0.35">
      <c r="A7601">
        <v>3019</v>
      </c>
      <c r="B7601" s="1">
        <v>45726</v>
      </c>
      <c r="C7601" t="s">
        <v>24</v>
      </c>
      <c r="D7601" s="2">
        <v>788.61</v>
      </c>
      <c r="E7601" s="2">
        <v>0</v>
      </c>
      <c r="F7601" t="s">
        <v>8</v>
      </c>
      <c r="G7601" t="s">
        <v>9</v>
      </c>
    </row>
    <row r="7602" spans="1:7" x14ac:dyDescent="0.35">
      <c r="A7602">
        <v>3019</v>
      </c>
      <c r="B7602" s="1">
        <v>45726</v>
      </c>
      <c r="C7602" t="s">
        <v>24</v>
      </c>
      <c r="D7602" s="2">
        <v>0</v>
      </c>
      <c r="E7602" s="2">
        <v>788.61</v>
      </c>
      <c r="F7602" t="s">
        <v>13</v>
      </c>
      <c r="G7602" t="s">
        <v>9</v>
      </c>
    </row>
    <row r="7603" spans="1:7" x14ac:dyDescent="0.35">
      <c r="A7603">
        <v>3020</v>
      </c>
      <c r="B7603" s="1">
        <v>45726</v>
      </c>
      <c r="C7603" t="s">
        <v>24</v>
      </c>
      <c r="D7603" s="2">
        <v>4034.98</v>
      </c>
      <c r="E7603" s="2">
        <v>0</v>
      </c>
      <c r="F7603" t="s">
        <v>8</v>
      </c>
      <c r="G7603" t="s">
        <v>9</v>
      </c>
    </row>
    <row r="7604" spans="1:7" x14ac:dyDescent="0.35">
      <c r="A7604">
        <v>3020</v>
      </c>
      <c r="B7604" s="1">
        <v>45726</v>
      </c>
      <c r="C7604" t="s">
        <v>24</v>
      </c>
      <c r="D7604" s="2">
        <v>0</v>
      </c>
      <c r="E7604" s="2">
        <v>4034.98</v>
      </c>
      <c r="F7604" t="s">
        <v>13</v>
      </c>
      <c r="G7604" t="s">
        <v>9</v>
      </c>
    </row>
    <row r="7605" spans="1:7" x14ac:dyDescent="0.35">
      <c r="A7605">
        <v>3021</v>
      </c>
      <c r="B7605" s="1">
        <v>45726</v>
      </c>
      <c r="C7605" t="s">
        <v>24</v>
      </c>
      <c r="D7605" s="2">
        <v>1350.54</v>
      </c>
      <c r="E7605" s="2">
        <v>0</v>
      </c>
      <c r="F7605" t="s">
        <v>8</v>
      </c>
      <c r="G7605" t="s">
        <v>9</v>
      </c>
    </row>
    <row r="7606" spans="1:7" x14ac:dyDescent="0.35">
      <c r="A7606">
        <v>3021</v>
      </c>
      <c r="B7606" s="1">
        <v>45726</v>
      </c>
      <c r="C7606" t="s">
        <v>24</v>
      </c>
      <c r="D7606" s="2">
        <v>0</v>
      </c>
      <c r="E7606" s="2">
        <v>1350.54</v>
      </c>
      <c r="F7606" t="s">
        <v>13</v>
      </c>
      <c r="G7606" t="s">
        <v>9</v>
      </c>
    </row>
    <row r="7607" spans="1:7" x14ac:dyDescent="0.35">
      <c r="A7607">
        <v>3022</v>
      </c>
      <c r="B7607" s="1">
        <v>45726</v>
      </c>
      <c r="C7607" t="s">
        <v>25</v>
      </c>
      <c r="D7607" s="2">
        <v>8685.27</v>
      </c>
      <c r="E7607" s="2">
        <v>0</v>
      </c>
      <c r="F7607" t="s">
        <v>26</v>
      </c>
      <c r="G7607" t="s">
        <v>20</v>
      </c>
    </row>
    <row r="7608" spans="1:7" x14ac:dyDescent="0.35">
      <c r="A7608">
        <v>3022</v>
      </c>
      <c r="B7608" s="1">
        <v>45726</v>
      </c>
      <c r="C7608" t="s">
        <v>25</v>
      </c>
      <c r="D7608" s="2">
        <v>651.4</v>
      </c>
      <c r="E7608" s="2">
        <v>0</v>
      </c>
      <c r="F7608" t="s">
        <v>27</v>
      </c>
      <c r="G7608" t="s">
        <v>9</v>
      </c>
    </row>
    <row r="7609" spans="1:7" x14ac:dyDescent="0.35">
      <c r="A7609">
        <v>3022</v>
      </c>
      <c r="B7609" s="1">
        <v>45726</v>
      </c>
      <c r="C7609" t="s">
        <v>25</v>
      </c>
      <c r="D7609" s="2">
        <v>0</v>
      </c>
      <c r="E7609" s="2">
        <v>9336.67</v>
      </c>
      <c r="F7609" t="s">
        <v>28</v>
      </c>
      <c r="G7609" t="s">
        <v>17</v>
      </c>
    </row>
    <row r="7610" spans="1:7" x14ac:dyDescent="0.35">
      <c r="A7610">
        <v>3023</v>
      </c>
      <c r="B7610" s="1">
        <v>45726</v>
      </c>
      <c r="C7610" t="s">
        <v>25</v>
      </c>
      <c r="D7610" s="2">
        <v>1800.04</v>
      </c>
      <c r="E7610" s="2">
        <v>0</v>
      </c>
      <c r="F7610" t="s">
        <v>26</v>
      </c>
      <c r="G7610" t="s">
        <v>20</v>
      </c>
    </row>
    <row r="7611" spans="1:7" x14ac:dyDescent="0.35">
      <c r="A7611">
        <v>3023</v>
      </c>
      <c r="B7611" s="1">
        <v>45726</v>
      </c>
      <c r="C7611" t="s">
        <v>25</v>
      </c>
      <c r="D7611" s="2">
        <v>135</v>
      </c>
      <c r="E7611" s="2">
        <v>0</v>
      </c>
      <c r="F7611" t="s">
        <v>27</v>
      </c>
      <c r="G7611" t="s">
        <v>9</v>
      </c>
    </row>
    <row r="7612" spans="1:7" x14ac:dyDescent="0.35">
      <c r="A7612">
        <v>3023</v>
      </c>
      <c r="B7612" s="1">
        <v>45726</v>
      </c>
      <c r="C7612" t="s">
        <v>25</v>
      </c>
      <c r="D7612" s="2">
        <v>0</v>
      </c>
      <c r="E7612" s="2">
        <v>1935.04</v>
      </c>
      <c r="F7612" t="s">
        <v>28</v>
      </c>
      <c r="G7612" t="s">
        <v>17</v>
      </c>
    </row>
    <row r="7613" spans="1:7" x14ac:dyDescent="0.35">
      <c r="A7613">
        <v>3024</v>
      </c>
      <c r="B7613" s="1">
        <v>45726</v>
      </c>
      <c r="C7613" t="s">
        <v>25</v>
      </c>
      <c r="D7613" s="2">
        <v>2030.15</v>
      </c>
      <c r="E7613" s="2">
        <v>0</v>
      </c>
      <c r="F7613" t="s">
        <v>26</v>
      </c>
      <c r="G7613" t="s">
        <v>20</v>
      </c>
    </row>
    <row r="7614" spans="1:7" x14ac:dyDescent="0.35">
      <c r="A7614">
        <v>3024</v>
      </c>
      <c r="B7614" s="1">
        <v>45726</v>
      </c>
      <c r="C7614" t="s">
        <v>25</v>
      </c>
      <c r="D7614" s="2">
        <v>152.26</v>
      </c>
      <c r="E7614" s="2">
        <v>0</v>
      </c>
      <c r="F7614" t="s">
        <v>27</v>
      </c>
      <c r="G7614" t="s">
        <v>9</v>
      </c>
    </row>
    <row r="7615" spans="1:7" x14ac:dyDescent="0.35">
      <c r="A7615">
        <v>3024</v>
      </c>
      <c r="B7615" s="1">
        <v>45726</v>
      </c>
      <c r="C7615" t="s">
        <v>25</v>
      </c>
      <c r="D7615" s="2">
        <v>0</v>
      </c>
      <c r="E7615" s="2">
        <v>2182.41</v>
      </c>
      <c r="F7615" t="s">
        <v>28</v>
      </c>
      <c r="G7615" t="s">
        <v>17</v>
      </c>
    </row>
    <row r="7616" spans="1:7" x14ac:dyDescent="0.35">
      <c r="A7616">
        <v>3025</v>
      </c>
      <c r="B7616" s="1">
        <v>45726</v>
      </c>
      <c r="C7616" t="s">
        <v>25</v>
      </c>
      <c r="D7616" s="2">
        <v>512</v>
      </c>
      <c r="E7616" s="2">
        <v>0</v>
      </c>
      <c r="F7616" t="s">
        <v>26</v>
      </c>
      <c r="G7616" t="s">
        <v>20</v>
      </c>
    </row>
    <row r="7617" spans="1:7" x14ac:dyDescent="0.35">
      <c r="A7617">
        <v>3025</v>
      </c>
      <c r="B7617" s="1">
        <v>45726</v>
      </c>
      <c r="C7617" t="s">
        <v>25</v>
      </c>
      <c r="D7617" s="2">
        <v>38.4</v>
      </c>
      <c r="E7617" s="2">
        <v>0</v>
      </c>
      <c r="F7617" t="s">
        <v>27</v>
      </c>
      <c r="G7617" t="s">
        <v>9</v>
      </c>
    </row>
    <row r="7618" spans="1:7" x14ac:dyDescent="0.35">
      <c r="A7618">
        <v>3025</v>
      </c>
      <c r="B7618" s="1">
        <v>45726</v>
      </c>
      <c r="C7618" t="s">
        <v>25</v>
      </c>
      <c r="D7618" s="2">
        <v>0</v>
      </c>
      <c r="E7618" s="2">
        <v>550.4</v>
      </c>
      <c r="F7618" t="s">
        <v>28</v>
      </c>
      <c r="G7618" t="s">
        <v>17</v>
      </c>
    </row>
    <row r="7619" spans="1:7" x14ac:dyDescent="0.35">
      <c r="A7619">
        <v>3026</v>
      </c>
      <c r="B7619" s="1">
        <v>45726</v>
      </c>
      <c r="C7619" t="s">
        <v>25</v>
      </c>
      <c r="D7619" s="2">
        <v>696.06</v>
      </c>
      <c r="E7619" s="2">
        <v>0</v>
      </c>
      <c r="F7619" t="s">
        <v>26</v>
      </c>
      <c r="G7619" t="s">
        <v>20</v>
      </c>
    </row>
    <row r="7620" spans="1:7" x14ac:dyDescent="0.35">
      <c r="A7620">
        <v>3026</v>
      </c>
      <c r="B7620" s="1">
        <v>45726</v>
      </c>
      <c r="C7620" t="s">
        <v>25</v>
      </c>
      <c r="D7620" s="2">
        <v>52.2</v>
      </c>
      <c r="E7620" s="2">
        <v>0</v>
      </c>
      <c r="F7620" t="s">
        <v>27</v>
      </c>
      <c r="G7620" t="s">
        <v>9</v>
      </c>
    </row>
    <row r="7621" spans="1:7" x14ac:dyDescent="0.35">
      <c r="A7621">
        <v>3026</v>
      </c>
      <c r="B7621" s="1">
        <v>45726</v>
      </c>
      <c r="C7621" t="s">
        <v>25</v>
      </c>
      <c r="D7621" s="2">
        <v>0</v>
      </c>
      <c r="E7621" s="2">
        <v>748.26</v>
      </c>
      <c r="F7621" t="s">
        <v>28</v>
      </c>
      <c r="G7621" t="s">
        <v>17</v>
      </c>
    </row>
    <row r="7622" spans="1:7" x14ac:dyDescent="0.35">
      <c r="A7622">
        <v>3027</v>
      </c>
      <c r="B7622" s="1">
        <v>45726</v>
      </c>
      <c r="C7622" t="s">
        <v>29</v>
      </c>
      <c r="D7622" s="2">
        <v>1159.8399999999999</v>
      </c>
      <c r="E7622" s="2">
        <v>0</v>
      </c>
      <c r="F7622" t="s">
        <v>28</v>
      </c>
      <c r="G7622" t="s">
        <v>17</v>
      </c>
    </row>
    <row r="7623" spans="1:7" x14ac:dyDescent="0.35">
      <c r="A7623">
        <v>3027</v>
      </c>
      <c r="B7623" s="1">
        <v>45726</v>
      </c>
      <c r="C7623" t="s">
        <v>29</v>
      </c>
      <c r="D7623" s="2">
        <v>0</v>
      </c>
      <c r="E7623" s="2">
        <v>1159.8399999999999</v>
      </c>
      <c r="F7623" t="s">
        <v>8</v>
      </c>
      <c r="G7623" t="s">
        <v>9</v>
      </c>
    </row>
    <row r="7624" spans="1:7" x14ac:dyDescent="0.35">
      <c r="A7624">
        <v>3028</v>
      </c>
      <c r="B7624" s="1">
        <v>45726</v>
      </c>
      <c r="C7624" t="s">
        <v>29</v>
      </c>
      <c r="D7624" s="2">
        <v>862.91</v>
      </c>
      <c r="E7624" s="2">
        <v>0</v>
      </c>
      <c r="F7624" t="s">
        <v>28</v>
      </c>
      <c r="G7624" t="s">
        <v>17</v>
      </c>
    </row>
    <row r="7625" spans="1:7" x14ac:dyDescent="0.35">
      <c r="A7625">
        <v>3028</v>
      </c>
      <c r="B7625" s="1">
        <v>45726</v>
      </c>
      <c r="C7625" t="s">
        <v>29</v>
      </c>
      <c r="D7625" s="2">
        <v>0</v>
      </c>
      <c r="E7625" s="2">
        <v>862.91</v>
      </c>
      <c r="F7625" t="s">
        <v>8</v>
      </c>
      <c r="G7625" t="s">
        <v>9</v>
      </c>
    </row>
    <row r="7626" spans="1:7" x14ac:dyDescent="0.35">
      <c r="A7626">
        <v>3029</v>
      </c>
      <c r="B7626" s="1">
        <v>45727</v>
      </c>
      <c r="C7626" t="s">
        <v>12</v>
      </c>
      <c r="D7626" s="2">
        <v>3423.69</v>
      </c>
      <c r="E7626" s="2">
        <v>0</v>
      </c>
      <c r="F7626" t="s">
        <v>13</v>
      </c>
      <c r="G7626" t="s">
        <v>9</v>
      </c>
    </row>
    <row r="7627" spans="1:7" x14ac:dyDescent="0.35">
      <c r="A7627">
        <v>3029</v>
      </c>
      <c r="B7627" s="1">
        <v>45727</v>
      </c>
      <c r="C7627" t="s">
        <v>12</v>
      </c>
      <c r="D7627" s="2">
        <v>0</v>
      </c>
      <c r="E7627" s="2">
        <v>3184.82</v>
      </c>
      <c r="F7627" t="s">
        <v>14</v>
      </c>
      <c r="G7627" t="s">
        <v>15</v>
      </c>
    </row>
    <row r="7628" spans="1:7" x14ac:dyDescent="0.35">
      <c r="A7628">
        <v>3029</v>
      </c>
      <c r="B7628" s="1">
        <v>45727</v>
      </c>
      <c r="C7628" t="s">
        <v>12</v>
      </c>
      <c r="D7628" s="2">
        <v>0</v>
      </c>
      <c r="E7628" s="2">
        <v>238.87</v>
      </c>
      <c r="F7628" t="s">
        <v>16</v>
      </c>
      <c r="G7628" t="s">
        <v>17</v>
      </c>
    </row>
    <row r="7629" spans="1:7" x14ac:dyDescent="0.35">
      <c r="A7629">
        <v>3030</v>
      </c>
      <c r="B7629" s="1">
        <v>45727</v>
      </c>
      <c r="C7629" t="s">
        <v>12</v>
      </c>
      <c r="D7629" s="2">
        <v>533.85</v>
      </c>
      <c r="E7629" s="2">
        <v>0</v>
      </c>
      <c r="F7629" t="s">
        <v>13</v>
      </c>
      <c r="G7629" t="s">
        <v>9</v>
      </c>
    </row>
    <row r="7630" spans="1:7" x14ac:dyDescent="0.35">
      <c r="A7630">
        <v>3030</v>
      </c>
      <c r="B7630" s="1">
        <v>45727</v>
      </c>
      <c r="C7630" t="s">
        <v>12</v>
      </c>
      <c r="D7630" s="2">
        <v>0</v>
      </c>
      <c r="E7630" s="2">
        <v>496.6</v>
      </c>
      <c r="F7630" t="s">
        <v>14</v>
      </c>
      <c r="G7630" t="s">
        <v>15</v>
      </c>
    </row>
    <row r="7631" spans="1:7" x14ac:dyDescent="0.35">
      <c r="A7631">
        <v>3030</v>
      </c>
      <c r="B7631" s="1">
        <v>45727</v>
      </c>
      <c r="C7631" t="s">
        <v>12</v>
      </c>
      <c r="D7631" s="2">
        <v>0</v>
      </c>
      <c r="E7631" s="2">
        <v>37.25</v>
      </c>
      <c r="F7631" t="s">
        <v>16</v>
      </c>
      <c r="G7631" t="s">
        <v>17</v>
      </c>
    </row>
    <row r="7632" spans="1:7" x14ac:dyDescent="0.35">
      <c r="A7632">
        <v>3031</v>
      </c>
      <c r="B7632" s="1">
        <v>45727</v>
      </c>
      <c r="C7632" t="s">
        <v>12</v>
      </c>
      <c r="D7632" s="2">
        <v>1293.73</v>
      </c>
      <c r="E7632" s="2">
        <v>0</v>
      </c>
      <c r="F7632" t="s">
        <v>13</v>
      </c>
      <c r="G7632" t="s">
        <v>9</v>
      </c>
    </row>
    <row r="7633" spans="1:7" x14ac:dyDescent="0.35">
      <c r="A7633">
        <v>3031</v>
      </c>
      <c r="B7633" s="1">
        <v>45727</v>
      </c>
      <c r="C7633" t="s">
        <v>12</v>
      </c>
      <c r="D7633" s="2">
        <v>0</v>
      </c>
      <c r="E7633" s="2">
        <v>1203.46</v>
      </c>
      <c r="F7633" t="s">
        <v>14</v>
      </c>
      <c r="G7633" t="s">
        <v>15</v>
      </c>
    </row>
    <row r="7634" spans="1:7" x14ac:dyDescent="0.35">
      <c r="A7634">
        <v>3031</v>
      </c>
      <c r="B7634" s="1">
        <v>45727</v>
      </c>
      <c r="C7634" t="s">
        <v>12</v>
      </c>
      <c r="D7634" s="2">
        <v>0</v>
      </c>
      <c r="E7634" s="2">
        <v>90.27</v>
      </c>
      <c r="F7634" t="s">
        <v>16</v>
      </c>
      <c r="G7634" t="s">
        <v>17</v>
      </c>
    </row>
    <row r="7635" spans="1:7" x14ac:dyDescent="0.35">
      <c r="A7635">
        <v>3032</v>
      </c>
      <c r="B7635" s="1">
        <v>45727</v>
      </c>
      <c r="C7635" t="s">
        <v>12</v>
      </c>
      <c r="D7635" s="2">
        <v>1609.1</v>
      </c>
      <c r="E7635" s="2">
        <v>0</v>
      </c>
      <c r="F7635" t="s">
        <v>13</v>
      </c>
      <c r="G7635" t="s">
        <v>9</v>
      </c>
    </row>
    <row r="7636" spans="1:7" x14ac:dyDescent="0.35">
      <c r="A7636">
        <v>3032</v>
      </c>
      <c r="B7636" s="1">
        <v>45727</v>
      </c>
      <c r="C7636" t="s">
        <v>12</v>
      </c>
      <c r="D7636" s="2">
        <v>0</v>
      </c>
      <c r="E7636" s="2">
        <v>1496.84</v>
      </c>
      <c r="F7636" t="s">
        <v>14</v>
      </c>
      <c r="G7636" t="s">
        <v>15</v>
      </c>
    </row>
    <row r="7637" spans="1:7" x14ac:dyDescent="0.35">
      <c r="A7637">
        <v>3032</v>
      </c>
      <c r="B7637" s="1">
        <v>45727</v>
      </c>
      <c r="C7637" t="s">
        <v>12</v>
      </c>
      <c r="D7637" s="2">
        <v>0</v>
      </c>
      <c r="E7637" s="2">
        <v>112.26</v>
      </c>
      <c r="F7637" t="s">
        <v>16</v>
      </c>
      <c r="G7637" t="s">
        <v>17</v>
      </c>
    </row>
    <row r="7638" spans="1:7" x14ac:dyDescent="0.35">
      <c r="A7638">
        <v>3033</v>
      </c>
      <c r="B7638" s="1">
        <v>45727</v>
      </c>
      <c r="C7638" t="s">
        <v>12</v>
      </c>
      <c r="D7638" s="2">
        <v>2045.02</v>
      </c>
      <c r="E7638" s="2">
        <v>0</v>
      </c>
      <c r="F7638" t="s">
        <v>13</v>
      </c>
      <c r="G7638" t="s">
        <v>9</v>
      </c>
    </row>
    <row r="7639" spans="1:7" x14ac:dyDescent="0.35">
      <c r="A7639">
        <v>3033</v>
      </c>
      <c r="B7639" s="1">
        <v>45727</v>
      </c>
      <c r="C7639" t="s">
        <v>12</v>
      </c>
      <c r="D7639" s="2">
        <v>0</v>
      </c>
      <c r="E7639" s="2">
        <v>1902.35</v>
      </c>
      <c r="F7639" t="s">
        <v>14</v>
      </c>
      <c r="G7639" t="s">
        <v>15</v>
      </c>
    </row>
    <row r="7640" spans="1:7" x14ac:dyDescent="0.35">
      <c r="A7640">
        <v>3033</v>
      </c>
      <c r="B7640" s="1">
        <v>45727</v>
      </c>
      <c r="C7640" t="s">
        <v>12</v>
      </c>
      <c r="D7640" s="2">
        <v>0</v>
      </c>
      <c r="E7640" s="2">
        <v>142.66999999999999</v>
      </c>
      <c r="F7640" t="s">
        <v>16</v>
      </c>
      <c r="G7640" t="s">
        <v>17</v>
      </c>
    </row>
    <row r="7641" spans="1:7" x14ac:dyDescent="0.35">
      <c r="A7641">
        <v>3034</v>
      </c>
      <c r="B7641" s="1">
        <v>45727</v>
      </c>
      <c r="C7641" t="s">
        <v>24</v>
      </c>
      <c r="D7641" s="2">
        <v>1041.93</v>
      </c>
      <c r="E7641" s="2">
        <v>0</v>
      </c>
      <c r="F7641" t="s">
        <v>8</v>
      </c>
      <c r="G7641" t="s">
        <v>9</v>
      </c>
    </row>
    <row r="7642" spans="1:7" x14ac:dyDescent="0.35">
      <c r="A7642">
        <v>3034</v>
      </c>
      <c r="B7642" s="1">
        <v>45727</v>
      </c>
      <c r="C7642" t="s">
        <v>24</v>
      </c>
      <c r="D7642" s="2">
        <v>0</v>
      </c>
      <c r="E7642" s="2">
        <v>1041.93</v>
      </c>
      <c r="F7642" t="s">
        <v>13</v>
      </c>
      <c r="G7642" t="s">
        <v>9</v>
      </c>
    </row>
    <row r="7643" spans="1:7" x14ac:dyDescent="0.35">
      <c r="A7643">
        <v>3035</v>
      </c>
      <c r="B7643" s="1">
        <v>45727</v>
      </c>
      <c r="C7643" t="s">
        <v>24</v>
      </c>
      <c r="D7643" s="2">
        <v>264.49</v>
      </c>
      <c r="E7643" s="2">
        <v>0</v>
      </c>
      <c r="F7643" t="s">
        <v>8</v>
      </c>
      <c r="G7643" t="s">
        <v>9</v>
      </c>
    </row>
    <row r="7644" spans="1:7" x14ac:dyDescent="0.35">
      <c r="A7644">
        <v>3035</v>
      </c>
      <c r="B7644" s="1">
        <v>45727</v>
      </c>
      <c r="C7644" t="s">
        <v>24</v>
      </c>
      <c r="D7644" s="2">
        <v>0</v>
      </c>
      <c r="E7644" s="2">
        <v>264.49</v>
      </c>
      <c r="F7644" t="s">
        <v>13</v>
      </c>
      <c r="G7644" t="s">
        <v>9</v>
      </c>
    </row>
    <row r="7645" spans="1:7" x14ac:dyDescent="0.35">
      <c r="A7645">
        <v>3036</v>
      </c>
      <c r="B7645" s="1">
        <v>45727</v>
      </c>
      <c r="C7645" t="s">
        <v>24</v>
      </c>
      <c r="D7645" s="2">
        <v>112.23</v>
      </c>
      <c r="E7645" s="2">
        <v>0</v>
      </c>
      <c r="F7645" t="s">
        <v>8</v>
      </c>
      <c r="G7645" t="s">
        <v>9</v>
      </c>
    </row>
    <row r="7646" spans="1:7" x14ac:dyDescent="0.35">
      <c r="A7646">
        <v>3036</v>
      </c>
      <c r="B7646" s="1">
        <v>45727</v>
      </c>
      <c r="C7646" t="s">
        <v>24</v>
      </c>
      <c r="D7646" s="2">
        <v>0</v>
      </c>
      <c r="E7646" s="2">
        <v>112.23</v>
      </c>
      <c r="F7646" t="s">
        <v>13</v>
      </c>
      <c r="G7646" t="s">
        <v>9</v>
      </c>
    </row>
    <row r="7647" spans="1:7" x14ac:dyDescent="0.35">
      <c r="A7647">
        <v>3037</v>
      </c>
      <c r="B7647" s="1">
        <v>45727</v>
      </c>
      <c r="C7647" t="s">
        <v>24</v>
      </c>
      <c r="D7647" s="2">
        <v>1279.78</v>
      </c>
      <c r="E7647" s="2">
        <v>0</v>
      </c>
      <c r="F7647" t="s">
        <v>8</v>
      </c>
      <c r="G7647" t="s">
        <v>9</v>
      </c>
    </row>
    <row r="7648" spans="1:7" x14ac:dyDescent="0.35">
      <c r="A7648">
        <v>3037</v>
      </c>
      <c r="B7648" s="1">
        <v>45727</v>
      </c>
      <c r="C7648" t="s">
        <v>24</v>
      </c>
      <c r="D7648" s="2">
        <v>0</v>
      </c>
      <c r="E7648" s="2">
        <v>1279.78</v>
      </c>
      <c r="F7648" t="s">
        <v>13</v>
      </c>
      <c r="G7648" t="s">
        <v>9</v>
      </c>
    </row>
    <row r="7649" spans="1:7" x14ac:dyDescent="0.35">
      <c r="A7649">
        <v>3038</v>
      </c>
      <c r="B7649" s="1">
        <v>45727</v>
      </c>
      <c r="C7649" t="s">
        <v>29</v>
      </c>
      <c r="D7649" s="2">
        <v>4812.46</v>
      </c>
      <c r="E7649" s="2">
        <v>0</v>
      </c>
      <c r="F7649" t="s">
        <v>28</v>
      </c>
      <c r="G7649" t="s">
        <v>17</v>
      </c>
    </row>
    <row r="7650" spans="1:7" x14ac:dyDescent="0.35">
      <c r="A7650">
        <v>3038</v>
      </c>
      <c r="B7650" s="1">
        <v>45727</v>
      </c>
      <c r="C7650" t="s">
        <v>29</v>
      </c>
      <c r="D7650" s="2">
        <v>0</v>
      </c>
      <c r="E7650" s="2">
        <v>4812.46</v>
      </c>
      <c r="F7650" t="s">
        <v>8</v>
      </c>
      <c r="G7650" t="s">
        <v>9</v>
      </c>
    </row>
    <row r="7651" spans="1:7" x14ac:dyDescent="0.35">
      <c r="A7651">
        <v>3039</v>
      </c>
      <c r="B7651" s="1">
        <v>45727</v>
      </c>
      <c r="C7651" t="s">
        <v>29</v>
      </c>
      <c r="D7651" s="2">
        <v>201.5</v>
      </c>
      <c r="E7651" s="2">
        <v>0</v>
      </c>
      <c r="F7651" t="s">
        <v>28</v>
      </c>
      <c r="G7651" t="s">
        <v>17</v>
      </c>
    </row>
    <row r="7652" spans="1:7" x14ac:dyDescent="0.35">
      <c r="A7652">
        <v>3039</v>
      </c>
      <c r="B7652" s="1">
        <v>45727</v>
      </c>
      <c r="C7652" t="s">
        <v>29</v>
      </c>
      <c r="D7652" s="2">
        <v>0</v>
      </c>
      <c r="E7652" s="2">
        <v>201.5</v>
      </c>
      <c r="F7652" t="s">
        <v>8</v>
      </c>
      <c r="G7652" t="s">
        <v>9</v>
      </c>
    </row>
    <row r="7653" spans="1:7" x14ac:dyDescent="0.35">
      <c r="A7653">
        <v>3040</v>
      </c>
      <c r="B7653" s="1">
        <v>45727</v>
      </c>
      <c r="C7653" t="s">
        <v>29</v>
      </c>
      <c r="D7653" s="2">
        <v>2093.2800000000002</v>
      </c>
      <c r="E7653" s="2">
        <v>0</v>
      </c>
      <c r="F7653" t="s">
        <v>28</v>
      </c>
      <c r="G7653" t="s">
        <v>17</v>
      </c>
    </row>
    <row r="7654" spans="1:7" x14ac:dyDescent="0.35">
      <c r="A7654">
        <v>3040</v>
      </c>
      <c r="B7654" s="1">
        <v>45727</v>
      </c>
      <c r="C7654" t="s">
        <v>29</v>
      </c>
      <c r="D7654" s="2">
        <v>0</v>
      </c>
      <c r="E7654" s="2">
        <v>2093.2800000000002</v>
      </c>
      <c r="F7654" t="s">
        <v>8</v>
      </c>
      <c r="G7654" t="s">
        <v>9</v>
      </c>
    </row>
    <row r="7655" spans="1:7" x14ac:dyDescent="0.35">
      <c r="A7655">
        <v>3041</v>
      </c>
      <c r="B7655" s="1">
        <v>45727</v>
      </c>
      <c r="C7655" t="s">
        <v>29</v>
      </c>
      <c r="D7655" s="2">
        <v>412.54</v>
      </c>
      <c r="E7655" s="2">
        <v>0</v>
      </c>
      <c r="F7655" t="s">
        <v>28</v>
      </c>
      <c r="G7655" t="s">
        <v>17</v>
      </c>
    </row>
    <row r="7656" spans="1:7" x14ac:dyDescent="0.35">
      <c r="A7656">
        <v>3041</v>
      </c>
      <c r="B7656" s="1">
        <v>45727</v>
      </c>
      <c r="C7656" t="s">
        <v>29</v>
      </c>
      <c r="D7656" s="2">
        <v>0</v>
      </c>
      <c r="E7656" s="2">
        <v>412.54</v>
      </c>
      <c r="F7656" t="s">
        <v>8</v>
      </c>
      <c r="G7656" t="s">
        <v>9</v>
      </c>
    </row>
    <row r="7657" spans="1:7" x14ac:dyDescent="0.35">
      <c r="A7657">
        <v>3042</v>
      </c>
      <c r="B7657" s="1">
        <v>45727</v>
      </c>
      <c r="C7657" t="s">
        <v>29</v>
      </c>
      <c r="D7657" s="2">
        <v>1935.04</v>
      </c>
      <c r="E7657" s="2">
        <v>0</v>
      </c>
      <c r="F7657" t="s">
        <v>28</v>
      </c>
      <c r="G7657" t="s">
        <v>17</v>
      </c>
    </row>
    <row r="7658" spans="1:7" x14ac:dyDescent="0.35">
      <c r="A7658">
        <v>3042</v>
      </c>
      <c r="B7658" s="1">
        <v>45727</v>
      </c>
      <c r="C7658" t="s">
        <v>29</v>
      </c>
      <c r="D7658" s="2">
        <v>0</v>
      </c>
      <c r="E7658" s="2">
        <v>1935.04</v>
      </c>
      <c r="F7658" t="s">
        <v>8</v>
      </c>
      <c r="G7658" t="s">
        <v>9</v>
      </c>
    </row>
    <row r="7659" spans="1:7" x14ac:dyDescent="0.35">
      <c r="A7659">
        <v>3043</v>
      </c>
      <c r="B7659" s="1">
        <v>45728</v>
      </c>
      <c r="C7659" t="s">
        <v>12</v>
      </c>
      <c r="D7659" s="2">
        <v>2243.25</v>
      </c>
      <c r="E7659" s="2">
        <v>0</v>
      </c>
      <c r="F7659" t="s">
        <v>13</v>
      </c>
      <c r="G7659" t="s">
        <v>9</v>
      </c>
    </row>
    <row r="7660" spans="1:7" x14ac:dyDescent="0.35">
      <c r="A7660">
        <v>3043</v>
      </c>
      <c r="B7660" s="1">
        <v>45728</v>
      </c>
      <c r="C7660" t="s">
        <v>12</v>
      </c>
      <c r="D7660" s="2">
        <v>0</v>
      </c>
      <c r="E7660" s="2">
        <v>2086.73</v>
      </c>
      <c r="F7660" t="s">
        <v>14</v>
      </c>
      <c r="G7660" t="s">
        <v>15</v>
      </c>
    </row>
    <row r="7661" spans="1:7" x14ac:dyDescent="0.35">
      <c r="A7661">
        <v>3043</v>
      </c>
      <c r="B7661" s="1">
        <v>45728</v>
      </c>
      <c r="C7661" t="s">
        <v>12</v>
      </c>
      <c r="D7661" s="2">
        <v>0</v>
      </c>
      <c r="E7661" s="2">
        <v>156.52000000000001</v>
      </c>
      <c r="F7661" t="s">
        <v>16</v>
      </c>
      <c r="G7661" t="s">
        <v>17</v>
      </c>
    </row>
    <row r="7662" spans="1:7" x14ac:dyDescent="0.35">
      <c r="A7662">
        <v>3044</v>
      </c>
      <c r="B7662" s="1">
        <v>45728</v>
      </c>
      <c r="C7662" t="s">
        <v>12</v>
      </c>
      <c r="D7662" s="2">
        <v>115.41</v>
      </c>
      <c r="E7662" s="2">
        <v>0</v>
      </c>
      <c r="F7662" t="s">
        <v>13</v>
      </c>
      <c r="G7662" t="s">
        <v>9</v>
      </c>
    </row>
    <row r="7663" spans="1:7" x14ac:dyDescent="0.35">
      <c r="A7663">
        <v>3044</v>
      </c>
      <c r="B7663" s="1">
        <v>45728</v>
      </c>
      <c r="C7663" t="s">
        <v>12</v>
      </c>
      <c r="D7663" s="2">
        <v>0</v>
      </c>
      <c r="E7663" s="2">
        <v>107.36</v>
      </c>
      <c r="F7663" t="s">
        <v>14</v>
      </c>
      <c r="G7663" t="s">
        <v>15</v>
      </c>
    </row>
    <row r="7664" spans="1:7" x14ac:dyDescent="0.35">
      <c r="A7664">
        <v>3044</v>
      </c>
      <c r="B7664" s="1">
        <v>45728</v>
      </c>
      <c r="C7664" t="s">
        <v>12</v>
      </c>
      <c r="D7664" s="2">
        <v>0</v>
      </c>
      <c r="E7664" s="2">
        <v>8.0500000000000007</v>
      </c>
      <c r="F7664" t="s">
        <v>16</v>
      </c>
      <c r="G7664" t="s">
        <v>17</v>
      </c>
    </row>
    <row r="7665" spans="1:7" x14ac:dyDescent="0.35">
      <c r="A7665">
        <v>3045</v>
      </c>
      <c r="B7665" s="1">
        <v>45728</v>
      </c>
      <c r="C7665" t="s">
        <v>12</v>
      </c>
      <c r="D7665" s="2">
        <v>1029.6600000000001</v>
      </c>
      <c r="E7665" s="2">
        <v>0</v>
      </c>
      <c r="F7665" t="s">
        <v>13</v>
      </c>
      <c r="G7665" t="s">
        <v>9</v>
      </c>
    </row>
    <row r="7666" spans="1:7" x14ac:dyDescent="0.35">
      <c r="A7666">
        <v>3045</v>
      </c>
      <c r="B7666" s="1">
        <v>45728</v>
      </c>
      <c r="C7666" t="s">
        <v>12</v>
      </c>
      <c r="D7666" s="2">
        <v>0</v>
      </c>
      <c r="E7666" s="2">
        <v>957.82</v>
      </c>
      <c r="F7666" t="s">
        <v>14</v>
      </c>
      <c r="G7666" t="s">
        <v>15</v>
      </c>
    </row>
    <row r="7667" spans="1:7" x14ac:dyDescent="0.35">
      <c r="A7667">
        <v>3045</v>
      </c>
      <c r="B7667" s="1">
        <v>45728</v>
      </c>
      <c r="C7667" t="s">
        <v>12</v>
      </c>
      <c r="D7667" s="2">
        <v>0</v>
      </c>
      <c r="E7667" s="2">
        <v>71.84</v>
      </c>
      <c r="F7667" t="s">
        <v>16</v>
      </c>
      <c r="G7667" t="s">
        <v>17</v>
      </c>
    </row>
    <row r="7668" spans="1:7" x14ac:dyDescent="0.35">
      <c r="A7668">
        <v>3046</v>
      </c>
      <c r="B7668" s="1">
        <v>45728</v>
      </c>
      <c r="C7668" t="s">
        <v>12</v>
      </c>
      <c r="D7668" s="2">
        <v>2492.75</v>
      </c>
      <c r="E7668" s="2">
        <v>0</v>
      </c>
      <c r="F7668" t="s">
        <v>13</v>
      </c>
      <c r="G7668" t="s">
        <v>9</v>
      </c>
    </row>
    <row r="7669" spans="1:7" x14ac:dyDescent="0.35">
      <c r="A7669">
        <v>3046</v>
      </c>
      <c r="B7669" s="1">
        <v>45728</v>
      </c>
      <c r="C7669" t="s">
        <v>12</v>
      </c>
      <c r="D7669" s="2">
        <v>0</v>
      </c>
      <c r="E7669" s="2">
        <v>2318.84</v>
      </c>
      <c r="F7669" t="s">
        <v>14</v>
      </c>
      <c r="G7669" t="s">
        <v>15</v>
      </c>
    </row>
    <row r="7670" spans="1:7" x14ac:dyDescent="0.35">
      <c r="A7670">
        <v>3046</v>
      </c>
      <c r="B7670" s="1">
        <v>45728</v>
      </c>
      <c r="C7670" t="s">
        <v>12</v>
      </c>
      <c r="D7670" s="2">
        <v>0</v>
      </c>
      <c r="E7670" s="2">
        <v>173.91</v>
      </c>
      <c r="F7670" t="s">
        <v>16</v>
      </c>
      <c r="G7670" t="s">
        <v>17</v>
      </c>
    </row>
    <row r="7671" spans="1:7" x14ac:dyDescent="0.35">
      <c r="A7671">
        <v>3047</v>
      </c>
      <c r="B7671" s="1">
        <v>45728</v>
      </c>
      <c r="C7671" t="s">
        <v>12</v>
      </c>
      <c r="D7671" s="2">
        <v>1387.14</v>
      </c>
      <c r="E7671" s="2">
        <v>0</v>
      </c>
      <c r="F7671" t="s">
        <v>13</v>
      </c>
      <c r="G7671" t="s">
        <v>9</v>
      </c>
    </row>
    <row r="7672" spans="1:7" x14ac:dyDescent="0.35">
      <c r="A7672">
        <v>3047</v>
      </c>
      <c r="B7672" s="1">
        <v>45728</v>
      </c>
      <c r="C7672" t="s">
        <v>12</v>
      </c>
      <c r="D7672" s="2">
        <v>0</v>
      </c>
      <c r="E7672" s="2">
        <v>1290.3499999999999</v>
      </c>
      <c r="F7672" t="s">
        <v>14</v>
      </c>
      <c r="G7672" t="s">
        <v>15</v>
      </c>
    </row>
    <row r="7673" spans="1:7" x14ac:dyDescent="0.35">
      <c r="A7673">
        <v>3047</v>
      </c>
      <c r="B7673" s="1">
        <v>45728</v>
      </c>
      <c r="C7673" t="s">
        <v>12</v>
      </c>
      <c r="D7673" s="2">
        <v>0</v>
      </c>
      <c r="E7673" s="2">
        <v>96.79</v>
      </c>
      <c r="F7673" t="s">
        <v>16</v>
      </c>
      <c r="G7673" t="s">
        <v>17</v>
      </c>
    </row>
    <row r="7674" spans="1:7" x14ac:dyDescent="0.35">
      <c r="A7674">
        <v>3048</v>
      </c>
      <c r="B7674" s="1">
        <v>45728</v>
      </c>
      <c r="C7674" t="s">
        <v>12</v>
      </c>
      <c r="D7674" s="2">
        <v>3931.92</v>
      </c>
      <c r="E7674" s="2">
        <v>0</v>
      </c>
      <c r="F7674" t="s">
        <v>13</v>
      </c>
      <c r="G7674" t="s">
        <v>9</v>
      </c>
    </row>
    <row r="7675" spans="1:7" x14ac:dyDescent="0.35">
      <c r="A7675">
        <v>3048</v>
      </c>
      <c r="B7675" s="1">
        <v>45728</v>
      </c>
      <c r="C7675" t="s">
        <v>12</v>
      </c>
      <c r="D7675" s="2">
        <v>0</v>
      </c>
      <c r="E7675" s="2">
        <v>3657.61</v>
      </c>
      <c r="F7675" t="s">
        <v>14</v>
      </c>
      <c r="G7675" t="s">
        <v>15</v>
      </c>
    </row>
    <row r="7676" spans="1:7" x14ac:dyDescent="0.35">
      <c r="A7676">
        <v>3048</v>
      </c>
      <c r="B7676" s="1">
        <v>45728</v>
      </c>
      <c r="C7676" t="s">
        <v>12</v>
      </c>
      <c r="D7676" s="2">
        <v>0</v>
      </c>
      <c r="E7676" s="2">
        <v>274.31</v>
      </c>
      <c r="F7676" t="s">
        <v>16</v>
      </c>
      <c r="G7676" t="s">
        <v>17</v>
      </c>
    </row>
    <row r="7677" spans="1:7" x14ac:dyDescent="0.35">
      <c r="A7677">
        <v>3049</v>
      </c>
      <c r="B7677" s="1">
        <v>45728</v>
      </c>
      <c r="C7677" t="s">
        <v>12</v>
      </c>
      <c r="D7677" s="2">
        <v>3612.41</v>
      </c>
      <c r="E7677" s="2">
        <v>0</v>
      </c>
      <c r="F7677" t="s">
        <v>13</v>
      </c>
      <c r="G7677" t="s">
        <v>9</v>
      </c>
    </row>
    <row r="7678" spans="1:7" x14ac:dyDescent="0.35">
      <c r="A7678">
        <v>3049</v>
      </c>
      <c r="B7678" s="1">
        <v>45728</v>
      </c>
      <c r="C7678" t="s">
        <v>12</v>
      </c>
      <c r="D7678" s="2">
        <v>0</v>
      </c>
      <c r="E7678" s="2">
        <v>3360.37</v>
      </c>
      <c r="F7678" t="s">
        <v>14</v>
      </c>
      <c r="G7678" t="s">
        <v>15</v>
      </c>
    </row>
    <row r="7679" spans="1:7" x14ac:dyDescent="0.35">
      <c r="A7679">
        <v>3049</v>
      </c>
      <c r="B7679" s="1">
        <v>45728</v>
      </c>
      <c r="C7679" t="s">
        <v>12</v>
      </c>
      <c r="D7679" s="2">
        <v>0</v>
      </c>
      <c r="E7679" s="2">
        <v>252.04</v>
      </c>
      <c r="F7679" t="s">
        <v>16</v>
      </c>
      <c r="G7679" t="s">
        <v>17</v>
      </c>
    </row>
    <row r="7680" spans="1:7" x14ac:dyDescent="0.35">
      <c r="A7680">
        <v>3050</v>
      </c>
      <c r="B7680" s="1">
        <v>45728</v>
      </c>
      <c r="C7680" t="s">
        <v>24</v>
      </c>
      <c r="D7680" s="2">
        <v>64.94</v>
      </c>
      <c r="E7680" s="2">
        <v>0</v>
      </c>
      <c r="F7680" t="s">
        <v>8</v>
      </c>
      <c r="G7680" t="s">
        <v>9</v>
      </c>
    </row>
    <row r="7681" spans="1:7" x14ac:dyDescent="0.35">
      <c r="A7681">
        <v>3050</v>
      </c>
      <c r="B7681" s="1">
        <v>45728</v>
      </c>
      <c r="C7681" t="s">
        <v>24</v>
      </c>
      <c r="D7681" s="2">
        <v>0</v>
      </c>
      <c r="E7681" s="2">
        <v>64.94</v>
      </c>
      <c r="F7681" t="s">
        <v>13</v>
      </c>
      <c r="G7681" t="s">
        <v>9</v>
      </c>
    </row>
    <row r="7682" spans="1:7" x14ac:dyDescent="0.35">
      <c r="A7682">
        <v>3051</v>
      </c>
      <c r="B7682" s="1">
        <v>45728</v>
      </c>
      <c r="C7682" t="s">
        <v>24</v>
      </c>
      <c r="D7682" s="2">
        <v>3231.6</v>
      </c>
      <c r="E7682" s="2">
        <v>0</v>
      </c>
      <c r="F7682" t="s">
        <v>8</v>
      </c>
      <c r="G7682" t="s">
        <v>9</v>
      </c>
    </row>
    <row r="7683" spans="1:7" x14ac:dyDescent="0.35">
      <c r="A7683">
        <v>3051</v>
      </c>
      <c r="B7683" s="1">
        <v>45728</v>
      </c>
      <c r="C7683" t="s">
        <v>24</v>
      </c>
      <c r="D7683" s="2">
        <v>0</v>
      </c>
      <c r="E7683" s="2">
        <v>3231.6</v>
      </c>
      <c r="F7683" t="s">
        <v>13</v>
      </c>
      <c r="G7683" t="s">
        <v>9</v>
      </c>
    </row>
    <row r="7684" spans="1:7" x14ac:dyDescent="0.35">
      <c r="A7684">
        <v>3052</v>
      </c>
      <c r="B7684" s="1">
        <v>45728</v>
      </c>
      <c r="C7684" t="s">
        <v>24</v>
      </c>
      <c r="D7684" s="2">
        <v>3617.98</v>
      </c>
      <c r="E7684" s="2">
        <v>0</v>
      </c>
      <c r="F7684" t="s">
        <v>8</v>
      </c>
      <c r="G7684" t="s">
        <v>9</v>
      </c>
    </row>
    <row r="7685" spans="1:7" x14ac:dyDescent="0.35">
      <c r="A7685">
        <v>3052</v>
      </c>
      <c r="B7685" s="1">
        <v>45728</v>
      </c>
      <c r="C7685" t="s">
        <v>24</v>
      </c>
      <c r="D7685" s="2">
        <v>0</v>
      </c>
      <c r="E7685" s="2">
        <v>3617.98</v>
      </c>
      <c r="F7685" t="s">
        <v>13</v>
      </c>
      <c r="G7685" t="s">
        <v>9</v>
      </c>
    </row>
    <row r="7686" spans="1:7" x14ac:dyDescent="0.35">
      <c r="A7686">
        <v>3053</v>
      </c>
      <c r="B7686" s="1">
        <v>45728</v>
      </c>
      <c r="C7686" t="s">
        <v>24</v>
      </c>
      <c r="D7686" s="2">
        <v>978.4</v>
      </c>
      <c r="E7686" s="2">
        <v>0</v>
      </c>
      <c r="F7686" t="s">
        <v>8</v>
      </c>
      <c r="G7686" t="s">
        <v>9</v>
      </c>
    </row>
    <row r="7687" spans="1:7" x14ac:dyDescent="0.35">
      <c r="A7687">
        <v>3053</v>
      </c>
      <c r="B7687" s="1">
        <v>45728</v>
      </c>
      <c r="C7687" t="s">
        <v>24</v>
      </c>
      <c r="D7687" s="2">
        <v>0</v>
      </c>
      <c r="E7687" s="2">
        <v>978.4</v>
      </c>
      <c r="F7687" t="s">
        <v>13</v>
      </c>
      <c r="G7687" t="s">
        <v>9</v>
      </c>
    </row>
    <row r="7688" spans="1:7" x14ac:dyDescent="0.35">
      <c r="A7688">
        <v>3054</v>
      </c>
      <c r="B7688" s="1">
        <v>45728</v>
      </c>
      <c r="C7688" t="s">
        <v>24</v>
      </c>
      <c r="D7688" s="2">
        <v>1578.04</v>
      </c>
      <c r="E7688" s="2">
        <v>0</v>
      </c>
      <c r="F7688" t="s">
        <v>8</v>
      </c>
      <c r="G7688" t="s">
        <v>9</v>
      </c>
    </row>
    <row r="7689" spans="1:7" x14ac:dyDescent="0.35">
      <c r="A7689">
        <v>3054</v>
      </c>
      <c r="B7689" s="1">
        <v>45728</v>
      </c>
      <c r="C7689" t="s">
        <v>24</v>
      </c>
      <c r="D7689" s="2">
        <v>0</v>
      </c>
      <c r="E7689" s="2">
        <v>1578.04</v>
      </c>
      <c r="F7689" t="s">
        <v>13</v>
      </c>
      <c r="G7689" t="s">
        <v>9</v>
      </c>
    </row>
    <row r="7690" spans="1:7" x14ac:dyDescent="0.35">
      <c r="A7690">
        <v>3055</v>
      </c>
      <c r="B7690" s="1">
        <v>45728</v>
      </c>
      <c r="C7690" t="s">
        <v>24</v>
      </c>
      <c r="D7690" s="2">
        <v>2243.25</v>
      </c>
      <c r="E7690" s="2">
        <v>0</v>
      </c>
      <c r="F7690" t="s">
        <v>8</v>
      </c>
      <c r="G7690" t="s">
        <v>9</v>
      </c>
    </row>
    <row r="7691" spans="1:7" x14ac:dyDescent="0.35">
      <c r="A7691">
        <v>3055</v>
      </c>
      <c r="B7691" s="1">
        <v>45728</v>
      </c>
      <c r="C7691" t="s">
        <v>24</v>
      </c>
      <c r="D7691" s="2">
        <v>0</v>
      </c>
      <c r="E7691" s="2">
        <v>2243.25</v>
      </c>
      <c r="F7691" t="s">
        <v>13</v>
      </c>
      <c r="G7691" t="s">
        <v>9</v>
      </c>
    </row>
    <row r="7692" spans="1:7" x14ac:dyDescent="0.35">
      <c r="A7692">
        <v>3056</v>
      </c>
      <c r="B7692" s="1">
        <v>45728</v>
      </c>
      <c r="C7692" t="s">
        <v>29</v>
      </c>
      <c r="D7692" s="2">
        <v>2918.17</v>
      </c>
      <c r="E7692" s="2">
        <v>0</v>
      </c>
      <c r="F7692" t="s">
        <v>28</v>
      </c>
      <c r="G7692" t="s">
        <v>17</v>
      </c>
    </row>
    <row r="7693" spans="1:7" x14ac:dyDescent="0.35">
      <c r="A7693">
        <v>3056</v>
      </c>
      <c r="B7693" s="1">
        <v>45728</v>
      </c>
      <c r="C7693" t="s">
        <v>29</v>
      </c>
      <c r="D7693" s="2">
        <v>0</v>
      </c>
      <c r="E7693" s="2">
        <v>2918.17</v>
      </c>
      <c r="F7693" t="s">
        <v>8</v>
      </c>
      <c r="G7693" t="s">
        <v>9</v>
      </c>
    </row>
    <row r="7694" spans="1:7" x14ac:dyDescent="0.35">
      <c r="A7694">
        <v>3057</v>
      </c>
      <c r="B7694" s="1">
        <v>45728</v>
      </c>
      <c r="C7694" t="s">
        <v>29</v>
      </c>
      <c r="D7694" s="2">
        <v>2182.41</v>
      </c>
      <c r="E7694" s="2">
        <v>0</v>
      </c>
      <c r="F7694" t="s">
        <v>28</v>
      </c>
      <c r="G7694" t="s">
        <v>17</v>
      </c>
    </row>
    <row r="7695" spans="1:7" x14ac:dyDescent="0.35">
      <c r="A7695">
        <v>3057</v>
      </c>
      <c r="B7695" s="1">
        <v>45728</v>
      </c>
      <c r="C7695" t="s">
        <v>29</v>
      </c>
      <c r="D7695" s="2">
        <v>0</v>
      </c>
      <c r="E7695" s="2">
        <v>2182.41</v>
      </c>
      <c r="F7695" t="s">
        <v>8</v>
      </c>
      <c r="G7695" t="s">
        <v>9</v>
      </c>
    </row>
    <row r="7696" spans="1:7" x14ac:dyDescent="0.35">
      <c r="A7696">
        <v>3058</v>
      </c>
      <c r="B7696" s="1">
        <v>45729</v>
      </c>
      <c r="C7696" t="s">
        <v>18</v>
      </c>
      <c r="D7696" s="2">
        <v>22037.74</v>
      </c>
      <c r="E7696" s="2">
        <v>0</v>
      </c>
      <c r="F7696" t="s">
        <v>19</v>
      </c>
      <c r="G7696" t="s">
        <v>20</v>
      </c>
    </row>
    <row r="7697" spans="1:7" x14ac:dyDescent="0.35">
      <c r="A7697">
        <v>3058</v>
      </c>
      <c r="B7697" s="1">
        <v>45729</v>
      </c>
      <c r="C7697" t="s">
        <v>18</v>
      </c>
      <c r="D7697" s="2">
        <v>881.51</v>
      </c>
      <c r="E7697" s="2">
        <v>0</v>
      </c>
      <c r="F7697" t="s">
        <v>21</v>
      </c>
      <c r="G7697" t="s">
        <v>20</v>
      </c>
    </row>
    <row r="7698" spans="1:7" x14ac:dyDescent="0.35">
      <c r="A7698">
        <v>3058</v>
      </c>
      <c r="B7698" s="1">
        <v>45729</v>
      </c>
      <c r="C7698" t="s">
        <v>18</v>
      </c>
      <c r="D7698" s="2">
        <v>0</v>
      </c>
      <c r="E7698" s="2">
        <v>17968.47</v>
      </c>
      <c r="F7698" t="s">
        <v>8</v>
      </c>
      <c r="G7698" t="s">
        <v>9</v>
      </c>
    </row>
    <row r="7699" spans="1:7" x14ac:dyDescent="0.35">
      <c r="A7699">
        <v>3058</v>
      </c>
      <c r="B7699" s="1">
        <v>45729</v>
      </c>
      <c r="C7699" t="s">
        <v>18</v>
      </c>
      <c r="D7699" s="2">
        <v>0</v>
      </c>
      <c r="E7699" s="2">
        <v>4069.27</v>
      </c>
      <c r="F7699" t="s">
        <v>22</v>
      </c>
      <c r="G7699" t="s">
        <v>17</v>
      </c>
    </row>
    <row r="7700" spans="1:7" x14ac:dyDescent="0.35">
      <c r="A7700">
        <v>3058</v>
      </c>
      <c r="B7700" s="1">
        <v>45729</v>
      </c>
      <c r="C7700" t="s">
        <v>18</v>
      </c>
      <c r="D7700" s="2">
        <v>0</v>
      </c>
      <c r="E7700" s="2">
        <v>881.51</v>
      </c>
      <c r="F7700" t="s">
        <v>23</v>
      </c>
      <c r="G7700" t="s">
        <v>17</v>
      </c>
    </row>
    <row r="7701" spans="1:7" x14ac:dyDescent="0.35">
      <c r="A7701">
        <v>3059</v>
      </c>
      <c r="B7701" s="1">
        <v>45729</v>
      </c>
      <c r="C7701" t="s">
        <v>12</v>
      </c>
      <c r="D7701" s="2">
        <v>2386.89</v>
      </c>
      <c r="E7701" s="2">
        <v>0</v>
      </c>
      <c r="F7701" t="s">
        <v>13</v>
      </c>
      <c r="G7701" t="s">
        <v>9</v>
      </c>
    </row>
    <row r="7702" spans="1:7" x14ac:dyDescent="0.35">
      <c r="A7702">
        <v>3059</v>
      </c>
      <c r="B7702" s="1">
        <v>45729</v>
      </c>
      <c r="C7702" t="s">
        <v>12</v>
      </c>
      <c r="D7702" s="2">
        <v>0</v>
      </c>
      <c r="E7702" s="2">
        <v>2220.36</v>
      </c>
      <c r="F7702" t="s">
        <v>14</v>
      </c>
      <c r="G7702" t="s">
        <v>15</v>
      </c>
    </row>
    <row r="7703" spans="1:7" x14ac:dyDescent="0.35">
      <c r="A7703">
        <v>3059</v>
      </c>
      <c r="B7703" s="1">
        <v>45729</v>
      </c>
      <c r="C7703" t="s">
        <v>12</v>
      </c>
      <c r="D7703" s="2">
        <v>0</v>
      </c>
      <c r="E7703" s="2">
        <v>166.53</v>
      </c>
      <c r="F7703" t="s">
        <v>16</v>
      </c>
      <c r="G7703" t="s">
        <v>17</v>
      </c>
    </row>
    <row r="7704" spans="1:7" x14ac:dyDescent="0.35">
      <c r="A7704">
        <v>3060</v>
      </c>
      <c r="B7704" s="1">
        <v>45729</v>
      </c>
      <c r="C7704" t="s">
        <v>12</v>
      </c>
      <c r="D7704" s="2">
        <v>1902.75</v>
      </c>
      <c r="E7704" s="2">
        <v>0</v>
      </c>
      <c r="F7704" t="s">
        <v>13</v>
      </c>
      <c r="G7704" t="s">
        <v>9</v>
      </c>
    </row>
    <row r="7705" spans="1:7" x14ac:dyDescent="0.35">
      <c r="A7705">
        <v>3060</v>
      </c>
      <c r="B7705" s="1">
        <v>45729</v>
      </c>
      <c r="C7705" t="s">
        <v>12</v>
      </c>
      <c r="D7705" s="2">
        <v>0</v>
      </c>
      <c r="E7705" s="2">
        <v>1770.01</v>
      </c>
      <c r="F7705" t="s">
        <v>14</v>
      </c>
      <c r="G7705" t="s">
        <v>15</v>
      </c>
    </row>
    <row r="7706" spans="1:7" x14ac:dyDescent="0.35">
      <c r="A7706">
        <v>3060</v>
      </c>
      <c r="B7706" s="1">
        <v>45729</v>
      </c>
      <c r="C7706" t="s">
        <v>12</v>
      </c>
      <c r="D7706" s="2">
        <v>0</v>
      </c>
      <c r="E7706" s="2">
        <v>132.74</v>
      </c>
      <c r="F7706" t="s">
        <v>16</v>
      </c>
      <c r="G7706" t="s">
        <v>17</v>
      </c>
    </row>
    <row r="7707" spans="1:7" x14ac:dyDescent="0.35">
      <c r="A7707">
        <v>3061</v>
      </c>
      <c r="B7707" s="1">
        <v>45729</v>
      </c>
      <c r="C7707" t="s">
        <v>12</v>
      </c>
      <c r="D7707" s="2">
        <v>1855.43</v>
      </c>
      <c r="E7707" s="2">
        <v>0</v>
      </c>
      <c r="F7707" t="s">
        <v>13</v>
      </c>
      <c r="G7707" t="s">
        <v>9</v>
      </c>
    </row>
    <row r="7708" spans="1:7" x14ac:dyDescent="0.35">
      <c r="A7708">
        <v>3061</v>
      </c>
      <c r="B7708" s="1">
        <v>45729</v>
      </c>
      <c r="C7708" t="s">
        <v>12</v>
      </c>
      <c r="D7708" s="2">
        <v>0</v>
      </c>
      <c r="E7708" s="2">
        <v>1725.98</v>
      </c>
      <c r="F7708" t="s">
        <v>14</v>
      </c>
      <c r="G7708" t="s">
        <v>15</v>
      </c>
    </row>
    <row r="7709" spans="1:7" x14ac:dyDescent="0.35">
      <c r="A7709">
        <v>3061</v>
      </c>
      <c r="B7709" s="1">
        <v>45729</v>
      </c>
      <c r="C7709" t="s">
        <v>12</v>
      </c>
      <c r="D7709" s="2">
        <v>0</v>
      </c>
      <c r="E7709" s="2">
        <v>129.44999999999999</v>
      </c>
      <c r="F7709" t="s">
        <v>16</v>
      </c>
      <c r="G7709" t="s">
        <v>17</v>
      </c>
    </row>
    <row r="7710" spans="1:7" x14ac:dyDescent="0.35">
      <c r="A7710">
        <v>3062</v>
      </c>
      <c r="B7710" s="1">
        <v>45729</v>
      </c>
      <c r="C7710" t="s">
        <v>12</v>
      </c>
      <c r="D7710" s="2">
        <v>919.08</v>
      </c>
      <c r="E7710" s="2">
        <v>0</v>
      </c>
      <c r="F7710" t="s">
        <v>13</v>
      </c>
      <c r="G7710" t="s">
        <v>9</v>
      </c>
    </row>
    <row r="7711" spans="1:7" x14ac:dyDescent="0.35">
      <c r="A7711">
        <v>3062</v>
      </c>
      <c r="B7711" s="1">
        <v>45729</v>
      </c>
      <c r="C7711" t="s">
        <v>12</v>
      </c>
      <c r="D7711" s="2">
        <v>0</v>
      </c>
      <c r="E7711" s="2">
        <v>854.96</v>
      </c>
      <c r="F7711" t="s">
        <v>14</v>
      </c>
      <c r="G7711" t="s">
        <v>15</v>
      </c>
    </row>
    <row r="7712" spans="1:7" x14ac:dyDescent="0.35">
      <c r="A7712">
        <v>3062</v>
      </c>
      <c r="B7712" s="1">
        <v>45729</v>
      </c>
      <c r="C7712" t="s">
        <v>12</v>
      </c>
      <c r="D7712" s="2">
        <v>0</v>
      </c>
      <c r="E7712" s="2">
        <v>64.12</v>
      </c>
      <c r="F7712" t="s">
        <v>16</v>
      </c>
      <c r="G7712" t="s">
        <v>17</v>
      </c>
    </row>
    <row r="7713" spans="1:7" x14ac:dyDescent="0.35">
      <c r="A7713">
        <v>3063</v>
      </c>
      <c r="B7713" s="1">
        <v>45729</v>
      </c>
      <c r="C7713" t="s">
        <v>12</v>
      </c>
      <c r="D7713" s="2">
        <v>1793.58</v>
      </c>
      <c r="E7713" s="2">
        <v>0</v>
      </c>
      <c r="F7713" t="s">
        <v>13</v>
      </c>
      <c r="G7713" t="s">
        <v>9</v>
      </c>
    </row>
    <row r="7714" spans="1:7" x14ac:dyDescent="0.35">
      <c r="A7714">
        <v>3063</v>
      </c>
      <c r="B7714" s="1">
        <v>45729</v>
      </c>
      <c r="C7714" t="s">
        <v>12</v>
      </c>
      <c r="D7714" s="2">
        <v>0</v>
      </c>
      <c r="E7714" s="2">
        <v>1668.45</v>
      </c>
      <c r="F7714" t="s">
        <v>14</v>
      </c>
      <c r="G7714" t="s">
        <v>15</v>
      </c>
    </row>
    <row r="7715" spans="1:7" x14ac:dyDescent="0.35">
      <c r="A7715">
        <v>3063</v>
      </c>
      <c r="B7715" s="1">
        <v>45729</v>
      </c>
      <c r="C7715" t="s">
        <v>12</v>
      </c>
      <c r="D7715" s="2">
        <v>0</v>
      </c>
      <c r="E7715" s="2">
        <v>125.13</v>
      </c>
      <c r="F7715" t="s">
        <v>16</v>
      </c>
      <c r="G7715" t="s">
        <v>17</v>
      </c>
    </row>
    <row r="7716" spans="1:7" x14ac:dyDescent="0.35">
      <c r="A7716">
        <v>3064</v>
      </c>
      <c r="B7716" s="1">
        <v>45729</v>
      </c>
      <c r="C7716" t="s">
        <v>12</v>
      </c>
      <c r="D7716" s="2">
        <v>2170.37</v>
      </c>
      <c r="E7716" s="2">
        <v>0</v>
      </c>
      <c r="F7716" t="s">
        <v>13</v>
      </c>
      <c r="G7716" t="s">
        <v>9</v>
      </c>
    </row>
    <row r="7717" spans="1:7" x14ac:dyDescent="0.35">
      <c r="A7717">
        <v>3064</v>
      </c>
      <c r="B7717" s="1">
        <v>45729</v>
      </c>
      <c r="C7717" t="s">
        <v>12</v>
      </c>
      <c r="D7717" s="2">
        <v>0</v>
      </c>
      <c r="E7717" s="2">
        <v>2018.95</v>
      </c>
      <c r="F7717" t="s">
        <v>14</v>
      </c>
      <c r="G7717" t="s">
        <v>15</v>
      </c>
    </row>
    <row r="7718" spans="1:7" x14ac:dyDescent="0.35">
      <c r="A7718">
        <v>3064</v>
      </c>
      <c r="B7718" s="1">
        <v>45729</v>
      </c>
      <c r="C7718" t="s">
        <v>12</v>
      </c>
      <c r="D7718" s="2">
        <v>0</v>
      </c>
      <c r="E7718" s="2">
        <v>151.41999999999999</v>
      </c>
      <c r="F7718" t="s">
        <v>16</v>
      </c>
      <c r="G7718" t="s">
        <v>17</v>
      </c>
    </row>
    <row r="7719" spans="1:7" x14ac:dyDescent="0.35">
      <c r="A7719">
        <v>3065</v>
      </c>
      <c r="B7719" s="1">
        <v>45729</v>
      </c>
      <c r="C7719" t="s">
        <v>12</v>
      </c>
      <c r="D7719" s="2">
        <v>2415.34</v>
      </c>
      <c r="E7719" s="2">
        <v>0</v>
      </c>
      <c r="F7719" t="s">
        <v>13</v>
      </c>
      <c r="G7719" t="s">
        <v>9</v>
      </c>
    </row>
    <row r="7720" spans="1:7" x14ac:dyDescent="0.35">
      <c r="A7720">
        <v>3065</v>
      </c>
      <c r="B7720" s="1">
        <v>45729</v>
      </c>
      <c r="C7720" t="s">
        <v>12</v>
      </c>
      <c r="D7720" s="2">
        <v>0</v>
      </c>
      <c r="E7720" s="2">
        <v>2246.8200000000002</v>
      </c>
      <c r="F7720" t="s">
        <v>14</v>
      </c>
      <c r="G7720" t="s">
        <v>15</v>
      </c>
    </row>
    <row r="7721" spans="1:7" x14ac:dyDescent="0.35">
      <c r="A7721">
        <v>3065</v>
      </c>
      <c r="B7721" s="1">
        <v>45729</v>
      </c>
      <c r="C7721" t="s">
        <v>12</v>
      </c>
      <c r="D7721" s="2">
        <v>0</v>
      </c>
      <c r="E7721" s="2">
        <v>168.52</v>
      </c>
      <c r="F7721" t="s">
        <v>16</v>
      </c>
      <c r="G7721" t="s">
        <v>17</v>
      </c>
    </row>
    <row r="7722" spans="1:7" x14ac:dyDescent="0.35">
      <c r="A7722">
        <v>3066</v>
      </c>
      <c r="B7722" s="1">
        <v>45729</v>
      </c>
      <c r="C7722" t="s">
        <v>24</v>
      </c>
      <c r="D7722" s="2">
        <v>4398.57</v>
      </c>
      <c r="E7722" s="2">
        <v>0</v>
      </c>
      <c r="F7722" t="s">
        <v>8</v>
      </c>
      <c r="G7722" t="s">
        <v>9</v>
      </c>
    </row>
    <row r="7723" spans="1:7" x14ac:dyDescent="0.35">
      <c r="A7723">
        <v>3066</v>
      </c>
      <c r="B7723" s="1">
        <v>45729</v>
      </c>
      <c r="C7723" t="s">
        <v>24</v>
      </c>
      <c r="D7723" s="2">
        <v>0</v>
      </c>
      <c r="E7723" s="2">
        <v>4398.57</v>
      </c>
      <c r="F7723" t="s">
        <v>13</v>
      </c>
      <c r="G7723" t="s">
        <v>9</v>
      </c>
    </row>
    <row r="7724" spans="1:7" x14ac:dyDescent="0.35">
      <c r="A7724">
        <v>3067</v>
      </c>
      <c r="B7724" s="1">
        <v>45729</v>
      </c>
      <c r="C7724" t="s">
        <v>24</v>
      </c>
      <c r="D7724" s="2">
        <v>1293.73</v>
      </c>
      <c r="E7724" s="2">
        <v>0</v>
      </c>
      <c r="F7724" t="s">
        <v>8</v>
      </c>
      <c r="G7724" t="s">
        <v>9</v>
      </c>
    </row>
    <row r="7725" spans="1:7" x14ac:dyDescent="0.35">
      <c r="A7725">
        <v>3067</v>
      </c>
      <c r="B7725" s="1">
        <v>45729</v>
      </c>
      <c r="C7725" t="s">
        <v>24</v>
      </c>
      <c r="D7725" s="2">
        <v>0</v>
      </c>
      <c r="E7725" s="2">
        <v>1293.73</v>
      </c>
      <c r="F7725" t="s">
        <v>13</v>
      </c>
      <c r="G7725" t="s">
        <v>9</v>
      </c>
    </row>
    <row r="7726" spans="1:7" x14ac:dyDescent="0.35">
      <c r="A7726">
        <v>3068</v>
      </c>
      <c r="B7726" s="1">
        <v>45729</v>
      </c>
      <c r="C7726" t="s">
        <v>29</v>
      </c>
      <c r="D7726" s="2">
        <v>2504.23</v>
      </c>
      <c r="E7726" s="2">
        <v>0</v>
      </c>
      <c r="F7726" t="s">
        <v>28</v>
      </c>
      <c r="G7726" t="s">
        <v>17</v>
      </c>
    </row>
    <row r="7727" spans="1:7" x14ac:dyDescent="0.35">
      <c r="A7727">
        <v>3068</v>
      </c>
      <c r="B7727" s="1">
        <v>45729</v>
      </c>
      <c r="C7727" t="s">
        <v>29</v>
      </c>
      <c r="D7727" s="2">
        <v>0</v>
      </c>
      <c r="E7727" s="2">
        <v>2504.23</v>
      </c>
      <c r="F7727" t="s">
        <v>8</v>
      </c>
      <c r="G7727" t="s">
        <v>9</v>
      </c>
    </row>
    <row r="7728" spans="1:7" x14ac:dyDescent="0.35">
      <c r="A7728">
        <v>3069</v>
      </c>
      <c r="B7728" s="1">
        <v>45730</v>
      </c>
      <c r="C7728" t="s">
        <v>12</v>
      </c>
      <c r="D7728" s="2">
        <v>1890.77</v>
      </c>
      <c r="E7728" s="2">
        <v>0</v>
      </c>
      <c r="F7728" t="s">
        <v>13</v>
      </c>
      <c r="G7728" t="s">
        <v>9</v>
      </c>
    </row>
    <row r="7729" spans="1:7" x14ac:dyDescent="0.35">
      <c r="A7729">
        <v>3069</v>
      </c>
      <c r="B7729" s="1">
        <v>45730</v>
      </c>
      <c r="C7729" t="s">
        <v>12</v>
      </c>
      <c r="D7729" s="2">
        <v>0</v>
      </c>
      <c r="E7729" s="2">
        <v>1758.85</v>
      </c>
      <c r="F7729" t="s">
        <v>14</v>
      </c>
      <c r="G7729" t="s">
        <v>15</v>
      </c>
    </row>
    <row r="7730" spans="1:7" x14ac:dyDescent="0.35">
      <c r="A7730">
        <v>3069</v>
      </c>
      <c r="B7730" s="1">
        <v>45730</v>
      </c>
      <c r="C7730" t="s">
        <v>12</v>
      </c>
      <c r="D7730" s="2">
        <v>0</v>
      </c>
      <c r="E7730" s="2">
        <v>131.91999999999999</v>
      </c>
      <c r="F7730" t="s">
        <v>16</v>
      </c>
      <c r="G7730" t="s">
        <v>17</v>
      </c>
    </row>
    <row r="7731" spans="1:7" x14ac:dyDescent="0.35">
      <c r="A7731">
        <v>3070</v>
      </c>
      <c r="B7731" s="1">
        <v>45730</v>
      </c>
      <c r="C7731" t="s">
        <v>12</v>
      </c>
      <c r="D7731" s="2">
        <v>3995.06</v>
      </c>
      <c r="E7731" s="2">
        <v>0</v>
      </c>
      <c r="F7731" t="s">
        <v>13</v>
      </c>
      <c r="G7731" t="s">
        <v>9</v>
      </c>
    </row>
    <row r="7732" spans="1:7" x14ac:dyDescent="0.35">
      <c r="A7732">
        <v>3070</v>
      </c>
      <c r="B7732" s="1">
        <v>45730</v>
      </c>
      <c r="C7732" t="s">
        <v>12</v>
      </c>
      <c r="D7732" s="2">
        <v>0</v>
      </c>
      <c r="E7732" s="2">
        <v>3716.33</v>
      </c>
      <c r="F7732" t="s">
        <v>14</v>
      </c>
      <c r="G7732" t="s">
        <v>15</v>
      </c>
    </row>
    <row r="7733" spans="1:7" x14ac:dyDescent="0.35">
      <c r="A7733">
        <v>3070</v>
      </c>
      <c r="B7733" s="1">
        <v>45730</v>
      </c>
      <c r="C7733" t="s">
        <v>12</v>
      </c>
      <c r="D7733" s="2">
        <v>0</v>
      </c>
      <c r="E7733" s="2">
        <v>278.73</v>
      </c>
      <c r="F7733" t="s">
        <v>16</v>
      </c>
      <c r="G7733" t="s">
        <v>17</v>
      </c>
    </row>
    <row r="7734" spans="1:7" x14ac:dyDescent="0.35">
      <c r="A7734">
        <v>3071</v>
      </c>
      <c r="B7734" s="1">
        <v>45730</v>
      </c>
      <c r="C7734" t="s">
        <v>12</v>
      </c>
      <c r="D7734" s="2">
        <v>3921.91</v>
      </c>
      <c r="E7734" s="2">
        <v>0</v>
      </c>
      <c r="F7734" t="s">
        <v>13</v>
      </c>
      <c r="G7734" t="s">
        <v>9</v>
      </c>
    </row>
    <row r="7735" spans="1:7" x14ac:dyDescent="0.35">
      <c r="A7735">
        <v>3071</v>
      </c>
      <c r="B7735" s="1">
        <v>45730</v>
      </c>
      <c r="C7735" t="s">
        <v>12</v>
      </c>
      <c r="D7735" s="2">
        <v>0</v>
      </c>
      <c r="E7735" s="2">
        <v>3648.28</v>
      </c>
      <c r="F7735" t="s">
        <v>14</v>
      </c>
      <c r="G7735" t="s">
        <v>15</v>
      </c>
    </row>
    <row r="7736" spans="1:7" x14ac:dyDescent="0.35">
      <c r="A7736">
        <v>3071</v>
      </c>
      <c r="B7736" s="1">
        <v>45730</v>
      </c>
      <c r="C7736" t="s">
        <v>12</v>
      </c>
      <c r="D7736" s="2">
        <v>0</v>
      </c>
      <c r="E7736" s="2">
        <v>273.63</v>
      </c>
      <c r="F7736" t="s">
        <v>16</v>
      </c>
      <c r="G7736" t="s">
        <v>17</v>
      </c>
    </row>
    <row r="7737" spans="1:7" x14ac:dyDescent="0.35">
      <c r="A7737">
        <v>3072</v>
      </c>
      <c r="B7737" s="1">
        <v>45730</v>
      </c>
      <c r="C7737" t="s">
        <v>12</v>
      </c>
      <c r="D7737" s="2">
        <v>4305.8</v>
      </c>
      <c r="E7737" s="2">
        <v>0</v>
      </c>
      <c r="F7737" t="s">
        <v>13</v>
      </c>
      <c r="G7737" t="s">
        <v>9</v>
      </c>
    </row>
    <row r="7738" spans="1:7" x14ac:dyDescent="0.35">
      <c r="A7738">
        <v>3072</v>
      </c>
      <c r="B7738" s="1">
        <v>45730</v>
      </c>
      <c r="C7738" t="s">
        <v>12</v>
      </c>
      <c r="D7738" s="2">
        <v>0</v>
      </c>
      <c r="E7738" s="2">
        <v>4005.38</v>
      </c>
      <c r="F7738" t="s">
        <v>14</v>
      </c>
      <c r="G7738" t="s">
        <v>15</v>
      </c>
    </row>
    <row r="7739" spans="1:7" x14ac:dyDescent="0.35">
      <c r="A7739">
        <v>3072</v>
      </c>
      <c r="B7739" s="1">
        <v>45730</v>
      </c>
      <c r="C7739" t="s">
        <v>12</v>
      </c>
      <c r="D7739" s="2">
        <v>0</v>
      </c>
      <c r="E7739" s="2">
        <v>300.42</v>
      </c>
      <c r="F7739" t="s">
        <v>16</v>
      </c>
      <c r="G7739" t="s">
        <v>17</v>
      </c>
    </row>
    <row r="7740" spans="1:7" x14ac:dyDescent="0.35">
      <c r="A7740">
        <v>3073</v>
      </c>
      <c r="B7740" s="1">
        <v>45730</v>
      </c>
      <c r="C7740" t="s">
        <v>12</v>
      </c>
      <c r="D7740" s="2">
        <v>1995.35</v>
      </c>
      <c r="E7740" s="2">
        <v>0</v>
      </c>
      <c r="F7740" t="s">
        <v>13</v>
      </c>
      <c r="G7740" t="s">
        <v>9</v>
      </c>
    </row>
    <row r="7741" spans="1:7" x14ac:dyDescent="0.35">
      <c r="A7741">
        <v>3073</v>
      </c>
      <c r="B7741" s="1">
        <v>45730</v>
      </c>
      <c r="C7741" t="s">
        <v>12</v>
      </c>
      <c r="D7741" s="2">
        <v>0</v>
      </c>
      <c r="E7741" s="2">
        <v>1856.14</v>
      </c>
      <c r="F7741" t="s">
        <v>14</v>
      </c>
      <c r="G7741" t="s">
        <v>15</v>
      </c>
    </row>
    <row r="7742" spans="1:7" x14ac:dyDescent="0.35">
      <c r="A7742">
        <v>3073</v>
      </c>
      <c r="B7742" s="1">
        <v>45730</v>
      </c>
      <c r="C7742" t="s">
        <v>12</v>
      </c>
      <c r="D7742" s="2">
        <v>0</v>
      </c>
      <c r="E7742" s="2">
        <v>139.21</v>
      </c>
      <c r="F7742" t="s">
        <v>16</v>
      </c>
      <c r="G7742" t="s">
        <v>17</v>
      </c>
    </row>
    <row r="7743" spans="1:7" x14ac:dyDescent="0.35">
      <c r="A7743">
        <v>3074</v>
      </c>
      <c r="B7743" s="1">
        <v>45730</v>
      </c>
      <c r="C7743" t="s">
        <v>12</v>
      </c>
      <c r="D7743" s="2">
        <v>341.66</v>
      </c>
      <c r="E7743" s="2">
        <v>0</v>
      </c>
      <c r="F7743" t="s">
        <v>13</v>
      </c>
      <c r="G7743" t="s">
        <v>9</v>
      </c>
    </row>
    <row r="7744" spans="1:7" x14ac:dyDescent="0.35">
      <c r="A7744">
        <v>3074</v>
      </c>
      <c r="B7744" s="1">
        <v>45730</v>
      </c>
      <c r="C7744" t="s">
        <v>12</v>
      </c>
      <c r="D7744" s="2">
        <v>0</v>
      </c>
      <c r="E7744" s="2">
        <v>317.82</v>
      </c>
      <c r="F7744" t="s">
        <v>14</v>
      </c>
      <c r="G7744" t="s">
        <v>15</v>
      </c>
    </row>
    <row r="7745" spans="1:7" x14ac:dyDescent="0.35">
      <c r="A7745">
        <v>3074</v>
      </c>
      <c r="B7745" s="1">
        <v>45730</v>
      </c>
      <c r="C7745" t="s">
        <v>12</v>
      </c>
      <c r="D7745" s="2">
        <v>0</v>
      </c>
      <c r="E7745" s="2">
        <v>23.84</v>
      </c>
      <c r="F7745" t="s">
        <v>16</v>
      </c>
      <c r="G7745" t="s">
        <v>17</v>
      </c>
    </row>
    <row r="7746" spans="1:7" x14ac:dyDescent="0.35">
      <c r="A7746">
        <v>3075</v>
      </c>
      <c r="B7746" s="1">
        <v>45730</v>
      </c>
      <c r="C7746" t="s">
        <v>24</v>
      </c>
      <c r="D7746" s="2">
        <v>2868.97</v>
      </c>
      <c r="E7746" s="2">
        <v>0</v>
      </c>
      <c r="F7746" t="s">
        <v>8</v>
      </c>
      <c r="G7746" t="s">
        <v>9</v>
      </c>
    </row>
    <row r="7747" spans="1:7" x14ac:dyDescent="0.35">
      <c r="A7747">
        <v>3075</v>
      </c>
      <c r="B7747" s="1">
        <v>45730</v>
      </c>
      <c r="C7747" t="s">
        <v>24</v>
      </c>
      <c r="D7747" s="2">
        <v>0</v>
      </c>
      <c r="E7747" s="2">
        <v>2868.97</v>
      </c>
      <c r="F7747" t="s">
        <v>13</v>
      </c>
      <c r="G7747" t="s">
        <v>9</v>
      </c>
    </row>
    <row r="7748" spans="1:7" x14ac:dyDescent="0.35">
      <c r="A7748">
        <v>3076</v>
      </c>
      <c r="B7748" s="1">
        <v>45730</v>
      </c>
      <c r="C7748" t="s">
        <v>24</v>
      </c>
      <c r="D7748" s="2">
        <v>3931.92</v>
      </c>
      <c r="E7748" s="2">
        <v>0</v>
      </c>
      <c r="F7748" t="s">
        <v>8</v>
      </c>
      <c r="G7748" t="s">
        <v>9</v>
      </c>
    </row>
    <row r="7749" spans="1:7" x14ac:dyDescent="0.35">
      <c r="A7749">
        <v>3076</v>
      </c>
      <c r="B7749" s="1">
        <v>45730</v>
      </c>
      <c r="C7749" t="s">
        <v>24</v>
      </c>
      <c r="D7749" s="2">
        <v>0</v>
      </c>
      <c r="E7749" s="2">
        <v>3931.92</v>
      </c>
      <c r="F7749" t="s">
        <v>13</v>
      </c>
      <c r="G7749" t="s">
        <v>9</v>
      </c>
    </row>
    <row r="7750" spans="1:7" x14ac:dyDescent="0.35">
      <c r="A7750">
        <v>3077</v>
      </c>
      <c r="B7750" s="1">
        <v>45730</v>
      </c>
      <c r="C7750" t="s">
        <v>24</v>
      </c>
      <c r="D7750" s="2">
        <v>3995.06</v>
      </c>
      <c r="E7750" s="2">
        <v>0</v>
      </c>
      <c r="F7750" t="s">
        <v>8</v>
      </c>
      <c r="G7750" t="s">
        <v>9</v>
      </c>
    </row>
    <row r="7751" spans="1:7" x14ac:dyDescent="0.35">
      <c r="A7751">
        <v>3077</v>
      </c>
      <c r="B7751" s="1">
        <v>45730</v>
      </c>
      <c r="C7751" t="s">
        <v>24</v>
      </c>
      <c r="D7751" s="2">
        <v>0</v>
      </c>
      <c r="E7751" s="2">
        <v>3995.06</v>
      </c>
      <c r="F7751" t="s">
        <v>13</v>
      </c>
      <c r="G7751" t="s">
        <v>9</v>
      </c>
    </row>
    <row r="7752" spans="1:7" x14ac:dyDescent="0.35">
      <c r="A7752">
        <v>3078</v>
      </c>
      <c r="B7752" s="1">
        <v>45730</v>
      </c>
      <c r="C7752" t="s">
        <v>25</v>
      </c>
      <c r="D7752" s="2">
        <v>1800.04</v>
      </c>
      <c r="E7752" s="2">
        <v>0</v>
      </c>
      <c r="F7752" t="s">
        <v>26</v>
      </c>
      <c r="G7752" t="s">
        <v>20</v>
      </c>
    </row>
    <row r="7753" spans="1:7" x14ac:dyDescent="0.35">
      <c r="A7753">
        <v>3078</v>
      </c>
      <c r="B7753" s="1">
        <v>45730</v>
      </c>
      <c r="C7753" t="s">
        <v>25</v>
      </c>
      <c r="D7753" s="2">
        <v>135</v>
      </c>
      <c r="E7753" s="2">
        <v>0</v>
      </c>
      <c r="F7753" t="s">
        <v>27</v>
      </c>
      <c r="G7753" t="s">
        <v>9</v>
      </c>
    </row>
    <row r="7754" spans="1:7" x14ac:dyDescent="0.35">
      <c r="A7754">
        <v>3078</v>
      </c>
      <c r="B7754" s="1">
        <v>45730</v>
      </c>
      <c r="C7754" t="s">
        <v>25</v>
      </c>
      <c r="D7754" s="2">
        <v>0</v>
      </c>
      <c r="E7754" s="2">
        <v>1935.04</v>
      </c>
      <c r="F7754" t="s">
        <v>28</v>
      </c>
      <c r="G7754" t="s">
        <v>17</v>
      </c>
    </row>
    <row r="7755" spans="1:7" x14ac:dyDescent="0.35">
      <c r="A7755">
        <v>3079</v>
      </c>
      <c r="B7755" s="1">
        <v>45730</v>
      </c>
      <c r="C7755" t="s">
        <v>29</v>
      </c>
      <c r="D7755" s="2">
        <v>748.26</v>
      </c>
      <c r="E7755" s="2">
        <v>0</v>
      </c>
      <c r="F7755" t="s">
        <v>28</v>
      </c>
      <c r="G7755" t="s">
        <v>17</v>
      </c>
    </row>
    <row r="7756" spans="1:7" x14ac:dyDescent="0.35">
      <c r="A7756">
        <v>3079</v>
      </c>
      <c r="B7756" s="1">
        <v>45730</v>
      </c>
      <c r="C7756" t="s">
        <v>29</v>
      </c>
      <c r="D7756" s="2">
        <v>0</v>
      </c>
      <c r="E7756" s="2">
        <v>748.26</v>
      </c>
      <c r="F7756" t="s">
        <v>8</v>
      </c>
      <c r="G7756" t="s">
        <v>9</v>
      </c>
    </row>
    <row r="7757" spans="1:7" x14ac:dyDescent="0.35">
      <c r="A7757">
        <v>3080</v>
      </c>
      <c r="B7757" s="1">
        <v>45730</v>
      </c>
      <c r="C7757" t="s">
        <v>29</v>
      </c>
      <c r="D7757" s="2">
        <v>862.91</v>
      </c>
      <c r="E7757" s="2">
        <v>0</v>
      </c>
      <c r="F7757" t="s">
        <v>28</v>
      </c>
      <c r="G7757" t="s">
        <v>17</v>
      </c>
    </row>
    <row r="7758" spans="1:7" x14ac:dyDescent="0.35">
      <c r="A7758">
        <v>3080</v>
      </c>
      <c r="B7758" s="1">
        <v>45730</v>
      </c>
      <c r="C7758" t="s">
        <v>29</v>
      </c>
      <c r="D7758" s="2">
        <v>0</v>
      </c>
      <c r="E7758" s="2">
        <v>862.91</v>
      </c>
      <c r="F7758" t="s">
        <v>8</v>
      </c>
      <c r="G7758" t="s">
        <v>9</v>
      </c>
    </row>
    <row r="7759" spans="1:7" x14ac:dyDescent="0.35">
      <c r="A7759">
        <v>3081</v>
      </c>
      <c r="B7759" s="1">
        <v>45733</v>
      </c>
      <c r="C7759" t="s">
        <v>12</v>
      </c>
      <c r="D7759" s="2">
        <v>1734.79</v>
      </c>
      <c r="E7759" s="2">
        <v>0</v>
      </c>
      <c r="F7759" t="s">
        <v>13</v>
      </c>
      <c r="G7759" t="s">
        <v>9</v>
      </c>
    </row>
    <row r="7760" spans="1:7" x14ac:dyDescent="0.35">
      <c r="A7760">
        <v>3081</v>
      </c>
      <c r="B7760" s="1">
        <v>45733</v>
      </c>
      <c r="C7760" t="s">
        <v>12</v>
      </c>
      <c r="D7760" s="2">
        <v>0</v>
      </c>
      <c r="E7760" s="2">
        <v>1613.76</v>
      </c>
      <c r="F7760" t="s">
        <v>14</v>
      </c>
      <c r="G7760" t="s">
        <v>15</v>
      </c>
    </row>
    <row r="7761" spans="1:7" x14ac:dyDescent="0.35">
      <c r="A7761">
        <v>3081</v>
      </c>
      <c r="B7761" s="1">
        <v>45733</v>
      </c>
      <c r="C7761" t="s">
        <v>12</v>
      </c>
      <c r="D7761" s="2">
        <v>0</v>
      </c>
      <c r="E7761" s="2">
        <v>121.03</v>
      </c>
      <c r="F7761" t="s">
        <v>16</v>
      </c>
      <c r="G7761" t="s">
        <v>17</v>
      </c>
    </row>
    <row r="7762" spans="1:7" x14ac:dyDescent="0.35">
      <c r="A7762">
        <v>3082</v>
      </c>
      <c r="B7762" s="1">
        <v>45733</v>
      </c>
      <c r="C7762" t="s">
        <v>12</v>
      </c>
      <c r="D7762" s="2">
        <v>2165.36</v>
      </c>
      <c r="E7762" s="2">
        <v>0</v>
      </c>
      <c r="F7762" t="s">
        <v>13</v>
      </c>
      <c r="G7762" t="s">
        <v>9</v>
      </c>
    </row>
    <row r="7763" spans="1:7" x14ac:dyDescent="0.35">
      <c r="A7763">
        <v>3082</v>
      </c>
      <c r="B7763" s="1">
        <v>45733</v>
      </c>
      <c r="C7763" t="s">
        <v>12</v>
      </c>
      <c r="D7763" s="2">
        <v>0</v>
      </c>
      <c r="E7763" s="2">
        <v>2014.28</v>
      </c>
      <c r="F7763" t="s">
        <v>14</v>
      </c>
      <c r="G7763" t="s">
        <v>15</v>
      </c>
    </row>
    <row r="7764" spans="1:7" x14ac:dyDescent="0.35">
      <c r="A7764">
        <v>3082</v>
      </c>
      <c r="B7764" s="1">
        <v>45733</v>
      </c>
      <c r="C7764" t="s">
        <v>12</v>
      </c>
      <c r="D7764" s="2">
        <v>0</v>
      </c>
      <c r="E7764" s="2">
        <v>151.08000000000001</v>
      </c>
      <c r="F7764" t="s">
        <v>16</v>
      </c>
      <c r="G7764" t="s">
        <v>17</v>
      </c>
    </row>
    <row r="7765" spans="1:7" x14ac:dyDescent="0.35">
      <c r="A7765">
        <v>3083</v>
      </c>
      <c r="B7765" s="1">
        <v>45733</v>
      </c>
      <c r="C7765" t="s">
        <v>12</v>
      </c>
      <c r="D7765" s="2">
        <v>1101.1199999999999</v>
      </c>
      <c r="E7765" s="2">
        <v>0</v>
      </c>
      <c r="F7765" t="s">
        <v>13</v>
      </c>
      <c r="G7765" t="s">
        <v>9</v>
      </c>
    </row>
    <row r="7766" spans="1:7" x14ac:dyDescent="0.35">
      <c r="A7766">
        <v>3083</v>
      </c>
      <c r="B7766" s="1">
        <v>45733</v>
      </c>
      <c r="C7766" t="s">
        <v>12</v>
      </c>
      <c r="D7766" s="2">
        <v>0</v>
      </c>
      <c r="E7766" s="2">
        <v>1024.3</v>
      </c>
      <c r="F7766" t="s">
        <v>14</v>
      </c>
      <c r="G7766" t="s">
        <v>15</v>
      </c>
    </row>
    <row r="7767" spans="1:7" x14ac:dyDescent="0.35">
      <c r="A7767">
        <v>3083</v>
      </c>
      <c r="B7767" s="1">
        <v>45733</v>
      </c>
      <c r="C7767" t="s">
        <v>12</v>
      </c>
      <c r="D7767" s="2">
        <v>0</v>
      </c>
      <c r="E7767" s="2">
        <v>76.819999999999993</v>
      </c>
      <c r="F7767" t="s">
        <v>16</v>
      </c>
      <c r="G7767" t="s">
        <v>17</v>
      </c>
    </row>
    <row r="7768" spans="1:7" x14ac:dyDescent="0.35">
      <c r="A7768">
        <v>3084</v>
      </c>
      <c r="B7768" s="1">
        <v>45733</v>
      </c>
      <c r="C7768" t="s">
        <v>24</v>
      </c>
      <c r="D7768" s="2">
        <v>474.39</v>
      </c>
      <c r="E7768" s="2">
        <v>0</v>
      </c>
      <c r="F7768" t="s">
        <v>8</v>
      </c>
      <c r="G7768" t="s">
        <v>9</v>
      </c>
    </row>
    <row r="7769" spans="1:7" x14ac:dyDescent="0.35">
      <c r="A7769">
        <v>3084</v>
      </c>
      <c r="B7769" s="1">
        <v>45733</v>
      </c>
      <c r="C7769" t="s">
        <v>24</v>
      </c>
      <c r="D7769" s="2">
        <v>0</v>
      </c>
      <c r="E7769" s="2">
        <v>474.39</v>
      </c>
      <c r="F7769" t="s">
        <v>13</v>
      </c>
      <c r="G7769" t="s">
        <v>9</v>
      </c>
    </row>
    <row r="7770" spans="1:7" x14ac:dyDescent="0.35">
      <c r="A7770">
        <v>3085</v>
      </c>
      <c r="B7770" s="1">
        <v>45733</v>
      </c>
      <c r="C7770" t="s">
        <v>24</v>
      </c>
      <c r="D7770" s="2">
        <v>2613.91</v>
      </c>
      <c r="E7770" s="2">
        <v>0</v>
      </c>
      <c r="F7770" t="s">
        <v>8</v>
      </c>
      <c r="G7770" t="s">
        <v>9</v>
      </c>
    </row>
    <row r="7771" spans="1:7" x14ac:dyDescent="0.35">
      <c r="A7771">
        <v>3085</v>
      </c>
      <c r="B7771" s="1">
        <v>45733</v>
      </c>
      <c r="C7771" t="s">
        <v>24</v>
      </c>
      <c r="D7771" s="2">
        <v>0</v>
      </c>
      <c r="E7771" s="2">
        <v>2613.91</v>
      </c>
      <c r="F7771" t="s">
        <v>13</v>
      </c>
      <c r="G7771" t="s">
        <v>9</v>
      </c>
    </row>
    <row r="7772" spans="1:7" x14ac:dyDescent="0.35">
      <c r="A7772">
        <v>3086</v>
      </c>
      <c r="B7772" s="1">
        <v>45733</v>
      </c>
      <c r="C7772" t="s">
        <v>24</v>
      </c>
      <c r="D7772" s="2">
        <v>372.61</v>
      </c>
      <c r="E7772" s="2">
        <v>0</v>
      </c>
      <c r="F7772" t="s">
        <v>8</v>
      </c>
      <c r="G7772" t="s">
        <v>9</v>
      </c>
    </row>
    <row r="7773" spans="1:7" x14ac:dyDescent="0.35">
      <c r="A7773">
        <v>3086</v>
      </c>
      <c r="B7773" s="1">
        <v>45733</v>
      </c>
      <c r="C7773" t="s">
        <v>24</v>
      </c>
      <c r="D7773" s="2">
        <v>0</v>
      </c>
      <c r="E7773" s="2">
        <v>372.61</v>
      </c>
      <c r="F7773" t="s">
        <v>13</v>
      </c>
      <c r="G7773" t="s">
        <v>9</v>
      </c>
    </row>
    <row r="7774" spans="1:7" x14ac:dyDescent="0.35">
      <c r="A7774">
        <v>3087</v>
      </c>
      <c r="B7774" s="1">
        <v>45733</v>
      </c>
      <c r="C7774" t="s">
        <v>24</v>
      </c>
      <c r="D7774" s="2">
        <v>2740.79</v>
      </c>
      <c r="E7774" s="2">
        <v>0</v>
      </c>
      <c r="F7774" t="s">
        <v>8</v>
      </c>
      <c r="G7774" t="s">
        <v>9</v>
      </c>
    </row>
    <row r="7775" spans="1:7" x14ac:dyDescent="0.35">
      <c r="A7775">
        <v>3087</v>
      </c>
      <c r="B7775" s="1">
        <v>45733</v>
      </c>
      <c r="C7775" t="s">
        <v>24</v>
      </c>
      <c r="D7775" s="2">
        <v>0</v>
      </c>
      <c r="E7775" s="2">
        <v>2740.79</v>
      </c>
      <c r="F7775" t="s">
        <v>13</v>
      </c>
      <c r="G7775" t="s">
        <v>9</v>
      </c>
    </row>
    <row r="7776" spans="1:7" x14ac:dyDescent="0.35">
      <c r="A7776">
        <v>3088</v>
      </c>
      <c r="B7776" s="1">
        <v>45733</v>
      </c>
      <c r="C7776" t="s">
        <v>24</v>
      </c>
      <c r="D7776" s="2">
        <v>3193.52</v>
      </c>
      <c r="E7776" s="2">
        <v>0</v>
      </c>
      <c r="F7776" t="s">
        <v>8</v>
      </c>
      <c r="G7776" t="s">
        <v>9</v>
      </c>
    </row>
    <row r="7777" spans="1:7" x14ac:dyDescent="0.35">
      <c r="A7777">
        <v>3088</v>
      </c>
      <c r="B7777" s="1">
        <v>45733</v>
      </c>
      <c r="C7777" t="s">
        <v>24</v>
      </c>
      <c r="D7777" s="2">
        <v>0</v>
      </c>
      <c r="E7777" s="2">
        <v>3193.52</v>
      </c>
      <c r="F7777" t="s">
        <v>13</v>
      </c>
      <c r="G7777" t="s">
        <v>9</v>
      </c>
    </row>
    <row r="7778" spans="1:7" x14ac:dyDescent="0.35">
      <c r="A7778">
        <v>3089</v>
      </c>
      <c r="B7778" s="1">
        <v>45733</v>
      </c>
      <c r="C7778" t="s">
        <v>24</v>
      </c>
      <c r="D7778" s="2">
        <v>1733.46</v>
      </c>
      <c r="E7778" s="2">
        <v>0</v>
      </c>
      <c r="F7778" t="s">
        <v>8</v>
      </c>
      <c r="G7778" t="s">
        <v>9</v>
      </c>
    </row>
    <row r="7779" spans="1:7" x14ac:dyDescent="0.35">
      <c r="A7779">
        <v>3089</v>
      </c>
      <c r="B7779" s="1">
        <v>45733</v>
      </c>
      <c r="C7779" t="s">
        <v>24</v>
      </c>
      <c r="D7779" s="2">
        <v>0</v>
      </c>
      <c r="E7779" s="2">
        <v>1733.46</v>
      </c>
      <c r="F7779" t="s">
        <v>13</v>
      </c>
      <c r="G7779" t="s">
        <v>9</v>
      </c>
    </row>
    <row r="7780" spans="1:7" x14ac:dyDescent="0.35">
      <c r="A7780">
        <v>3090</v>
      </c>
      <c r="B7780" s="1">
        <v>45733</v>
      </c>
      <c r="C7780" t="s">
        <v>24</v>
      </c>
      <c r="D7780" s="2">
        <v>1609.1</v>
      </c>
      <c r="E7780" s="2">
        <v>0</v>
      </c>
      <c r="F7780" t="s">
        <v>8</v>
      </c>
      <c r="G7780" t="s">
        <v>9</v>
      </c>
    </row>
    <row r="7781" spans="1:7" x14ac:dyDescent="0.35">
      <c r="A7781">
        <v>3090</v>
      </c>
      <c r="B7781" s="1">
        <v>45733</v>
      </c>
      <c r="C7781" t="s">
        <v>24</v>
      </c>
      <c r="D7781" s="2">
        <v>0</v>
      </c>
      <c r="E7781" s="2">
        <v>1609.1</v>
      </c>
      <c r="F7781" t="s">
        <v>13</v>
      </c>
      <c r="G7781" t="s">
        <v>9</v>
      </c>
    </row>
    <row r="7782" spans="1:7" x14ac:dyDescent="0.35">
      <c r="A7782">
        <v>3091</v>
      </c>
      <c r="B7782" s="1">
        <v>45733</v>
      </c>
      <c r="C7782" t="s">
        <v>24</v>
      </c>
      <c r="D7782" s="2">
        <v>2165.36</v>
      </c>
      <c r="E7782" s="2">
        <v>0</v>
      </c>
      <c r="F7782" t="s">
        <v>8</v>
      </c>
      <c r="G7782" t="s">
        <v>9</v>
      </c>
    </row>
    <row r="7783" spans="1:7" x14ac:dyDescent="0.35">
      <c r="A7783">
        <v>3091</v>
      </c>
      <c r="B7783" s="1">
        <v>45733</v>
      </c>
      <c r="C7783" t="s">
        <v>24</v>
      </c>
      <c r="D7783" s="2">
        <v>0</v>
      </c>
      <c r="E7783" s="2">
        <v>2165.36</v>
      </c>
      <c r="F7783" t="s">
        <v>13</v>
      </c>
      <c r="G7783" t="s">
        <v>9</v>
      </c>
    </row>
    <row r="7784" spans="1:7" x14ac:dyDescent="0.35">
      <c r="A7784">
        <v>3092</v>
      </c>
      <c r="B7784" s="1">
        <v>45733</v>
      </c>
      <c r="C7784" t="s">
        <v>25</v>
      </c>
      <c r="D7784" s="2">
        <v>4476.71</v>
      </c>
      <c r="E7784" s="2">
        <v>0</v>
      </c>
      <c r="F7784" t="s">
        <v>26</v>
      </c>
      <c r="G7784" t="s">
        <v>20</v>
      </c>
    </row>
    <row r="7785" spans="1:7" x14ac:dyDescent="0.35">
      <c r="A7785">
        <v>3092</v>
      </c>
      <c r="B7785" s="1">
        <v>45733</v>
      </c>
      <c r="C7785" t="s">
        <v>25</v>
      </c>
      <c r="D7785" s="2">
        <v>335.75</v>
      </c>
      <c r="E7785" s="2">
        <v>0</v>
      </c>
      <c r="F7785" t="s">
        <v>27</v>
      </c>
      <c r="G7785" t="s">
        <v>9</v>
      </c>
    </row>
    <row r="7786" spans="1:7" x14ac:dyDescent="0.35">
      <c r="A7786">
        <v>3092</v>
      </c>
      <c r="B7786" s="1">
        <v>45733</v>
      </c>
      <c r="C7786" t="s">
        <v>25</v>
      </c>
      <c r="D7786" s="2">
        <v>0</v>
      </c>
      <c r="E7786" s="2">
        <v>4812.46</v>
      </c>
      <c r="F7786" t="s">
        <v>28</v>
      </c>
      <c r="G7786" t="s">
        <v>17</v>
      </c>
    </row>
    <row r="7787" spans="1:7" x14ac:dyDescent="0.35">
      <c r="A7787">
        <v>3093</v>
      </c>
      <c r="B7787" s="1">
        <v>45733</v>
      </c>
      <c r="C7787" t="s">
        <v>25</v>
      </c>
      <c r="D7787" s="2">
        <v>2714.58</v>
      </c>
      <c r="E7787" s="2">
        <v>0</v>
      </c>
      <c r="F7787" t="s">
        <v>26</v>
      </c>
      <c r="G7787" t="s">
        <v>20</v>
      </c>
    </row>
    <row r="7788" spans="1:7" x14ac:dyDescent="0.35">
      <c r="A7788">
        <v>3093</v>
      </c>
      <c r="B7788" s="1">
        <v>45733</v>
      </c>
      <c r="C7788" t="s">
        <v>25</v>
      </c>
      <c r="D7788" s="2">
        <v>203.59</v>
      </c>
      <c r="E7788" s="2">
        <v>0</v>
      </c>
      <c r="F7788" t="s">
        <v>27</v>
      </c>
      <c r="G7788" t="s">
        <v>9</v>
      </c>
    </row>
    <row r="7789" spans="1:7" x14ac:dyDescent="0.35">
      <c r="A7789">
        <v>3093</v>
      </c>
      <c r="B7789" s="1">
        <v>45733</v>
      </c>
      <c r="C7789" t="s">
        <v>25</v>
      </c>
      <c r="D7789" s="2">
        <v>0</v>
      </c>
      <c r="E7789" s="2">
        <v>2918.17</v>
      </c>
      <c r="F7789" t="s">
        <v>28</v>
      </c>
      <c r="G7789" t="s">
        <v>17</v>
      </c>
    </row>
    <row r="7790" spans="1:7" x14ac:dyDescent="0.35">
      <c r="A7790">
        <v>3094</v>
      </c>
      <c r="B7790" s="1">
        <v>45733</v>
      </c>
      <c r="C7790" t="s">
        <v>25</v>
      </c>
      <c r="D7790" s="2">
        <v>1078.92</v>
      </c>
      <c r="E7790" s="2">
        <v>0</v>
      </c>
      <c r="F7790" t="s">
        <v>26</v>
      </c>
      <c r="G7790" t="s">
        <v>20</v>
      </c>
    </row>
    <row r="7791" spans="1:7" x14ac:dyDescent="0.35">
      <c r="A7791">
        <v>3094</v>
      </c>
      <c r="B7791" s="1">
        <v>45733</v>
      </c>
      <c r="C7791" t="s">
        <v>25</v>
      </c>
      <c r="D7791" s="2">
        <v>80.92</v>
      </c>
      <c r="E7791" s="2">
        <v>0</v>
      </c>
      <c r="F7791" t="s">
        <v>27</v>
      </c>
      <c r="G7791" t="s">
        <v>9</v>
      </c>
    </row>
    <row r="7792" spans="1:7" x14ac:dyDescent="0.35">
      <c r="A7792">
        <v>3094</v>
      </c>
      <c r="B7792" s="1">
        <v>45733</v>
      </c>
      <c r="C7792" t="s">
        <v>25</v>
      </c>
      <c r="D7792" s="2">
        <v>0</v>
      </c>
      <c r="E7792" s="2">
        <v>1159.8399999999999</v>
      </c>
      <c r="F7792" t="s">
        <v>28</v>
      </c>
      <c r="G7792" t="s">
        <v>17</v>
      </c>
    </row>
    <row r="7793" spans="1:7" x14ac:dyDescent="0.35">
      <c r="A7793">
        <v>3095</v>
      </c>
      <c r="B7793" s="1">
        <v>45733</v>
      </c>
      <c r="C7793" t="s">
        <v>25</v>
      </c>
      <c r="D7793" s="2">
        <v>696.06</v>
      </c>
      <c r="E7793" s="2">
        <v>0</v>
      </c>
      <c r="F7793" t="s">
        <v>26</v>
      </c>
      <c r="G7793" t="s">
        <v>20</v>
      </c>
    </row>
    <row r="7794" spans="1:7" x14ac:dyDescent="0.35">
      <c r="A7794">
        <v>3095</v>
      </c>
      <c r="B7794" s="1">
        <v>45733</v>
      </c>
      <c r="C7794" t="s">
        <v>25</v>
      </c>
      <c r="D7794" s="2">
        <v>52.2</v>
      </c>
      <c r="E7794" s="2">
        <v>0</v>
      </c>
      <c r="F7794" t="s">
        <v>27</v>
      </c>
      <c r="G7794" t="s">
        <v>9</v>
      </c>
    </row>
    <row r="7795" spans="1:7" x14ac:dyDescent="0.35">
      <c r="A7795">
        <v>3095</v>
      </c>
      <c r="B7795" s="1">
        <v>45733</v>
      </c>
      <c r="C7795" t="s">
        <v>25</v>
      </c>
      <c r="D7795" s="2">
        <v>0</v>
      </c>
      <c r="E7795" s="2">
        <v>748.26</v>
      </c>
      <c r="F7795" t="s">
        <v>28</v>
      </c>
      <c r="G7795" t="s">
        <v>17</v>
      </c>
    </row>
    <row r="7796" spans="1:7" x14ac:dyDescent="0.35">
      <c r="A7796">
        <v>3096</v>
      </c>
      <c r="B7796" s="1">
        <v>45733</v>
      </c>
      <c r="C7796" t="s">
        <v>29</v>
      </c>
      <c r="D7796" s="2">
        <v>201.5</v>
      </c>
      <c r="E7796" s="2">
        <v>0</v>
      </c>
      <c r="F7796" t="s">
        <v>28</v>
      </c>
      <c r="G7796" t="s">
        <v>17</v>
      </c>
    </row>
    <row r="7797" spans="1:7" x14ac:dyDescent="0.35">
      <c r="A7797">
        <v>3096</v>
      </c>
      <c r="B7797" s="1">
        <v>45733</v>
      </c>
      <c r="C7797" t="s">
        <v>29</v>
      </c>
      <c r="D7797" s="2">
        <v>0</v>
      </c>
      <c r="E7797" s="2">
        <v>201.5</v>
      </c>
      <c r="F7797" t="s">
        <v>8</v>
      </c>
      <c r="G7797" t="s">
        <v>9</v>
      </c>
    </row>
    <row r="7798" spans="1:7" x14ac:dyDescent="0.35">
      <c r="A7798">
        <v>3097</v>
      </c>
      <c r="B7798" s="1">
        <v>45733</v>
      </c>
      <c r="C7798" t="s">
        <v>29</v>
      </c>
      <c r="D7798" s="2">
        <v>1159.8399999999999</v>
      </c>
      <c r="E7798" s="2">
        <v>0</v>
      </c>
      <c r="F7798" t="s">
        <v>28</v>
      </c>
      <c r="G7798" t="s">
        <v>17</v>
      </c>
    </row>
    <row r="7799" spans="1:7" x14ac:dyDescent="0.35">
      <c r="A7799">
        <v>3097</v>
      </c>
      <c r="B7799" s="1">
        <v>45733</v>
      </c>
      <c r="C7799" t="s">
        <v>29</v>
      </c>
      <c r="D7799" s="2">
        <v>0</v>
      </c>
      <c r="E7799" s="2">
        <v>1159.8399999999999</v>
      </c>
      <c r="F7799" t="s">
        <v>8</v>
      </c>
      <c r="G7799" t="s">
        <v>9</v>
      </c>
    </row>
    <row r="7800" spans="1:7" x14ac:dyDescent="0.35">
      <c r="A7800">
        <v>3098</v>
      </c>
      <c r="B7800" s="1">
        <v>45733</v>
      </c>
      <c r="C7800" t="s">
        <v>29</v>
      </c>
      <c r="D7800" s="2">
        <v>7227.44</v>
      </c>
      <c r="E7800" s="2">
        <v>0</v>
      </c>
      <c r="F7800" t="s">
        <v>28</v>
      </c>
      <c r="G7800" t="s">
        <v>17</v>
      </c>
    </row>
    <row r="7801" spans="1:7" x14ac:dyDescent="0.35">
      <c r="A7801">
        <v>3098</v>
      </c>
      <c r="B7801" s="1">
        <v>45733</v>
      </c>
      <c r="C7801" t="s">
        <v>29</v>
      </c>
      <c r="D7801" s="2">
        <v>0</v>
      </c>
      <c r="E7801" s="2">
        <v>7227.44</v>
      </c>
      <c r="F7801" t="s">
        <v>8</v>
      </c>
      <c r="G7801" t="s">
        <v>9</v>
      </c>
    </row>
    <row r="7802" spans="1:7" x14ac:dyDescent="0.35">
      <c r="A7802">
        <v>3099</v>
      </c>
      <c r="B7802" s="1">
        <v>45733</v>
      </c>
      <c r="C7802" t="s">
        <v>29</v>
      </c>
      <c r="D7802" s="2">
        <v>550.4</v>
      </c>
      <c r="E7802" s="2">
        <v>0</v>
      </c>
      <c r="F7802" t="s">
        <v>28</v>
      </c>
      <c r="G7802" t="s">
        <v>17</v>
      </c>
    </row>
    <row r="7803" spans="1:7" x14ac:dyDescent="0.35">
      <c r="A7803">
        <v>3099</v>
      </c>
      <c r="B7803" s="1">
        <v>45733</v>
      </c>
      <c r="C7803" t="s">
        <v>29</v>
      </c>
      <c r="D7803" s="2">
        <v>0</v>
      </c>
      <c r="E7803" s="2">
        <v>550.4</v>
      </c>
      <c r="F7803" t="s">
        <v>8</v>
      </c>
      <c r="G7803" t="s">
        <v>9</v>
      </c>
    </row>
    <row r="7804" spans="1:7" x14ac:dyDescent="0.35">
      <c r="A7804">
        <v>3100</v>
      </c>
      <c r="B7804" s="1">
        <v>45734</v>
      </c>
      <c r="C7804" t="s">
        <v>12</v>
      </c>
      <c r="D7804" s="2">
        <v>1502.9</v>
      </c>
      <c r="E7804" s="2">
        <v>0</v>
      </c>
      <c r="F7804" t="s">
        <v>13</v>
      </c>
      <c r="G7804" t="s">
        <v>9</v>
      </c>
    </row>
    <row r="7805" spans="1:7" x14ac:dyDescent="0.35">
      <c r="A7805">
        <v>3100</v>
      </c>
      <c r="B7805" s="1">
        <v>45734</v>
      </c>
      <c r="C7805" t="s">
        <v>12</v>
      </c>
      <c r="D7805" s="2">
        <v>0</v>
      </c>
      <c r="E7805" s="2">
        <v>1398.04</v>
      </c>
      <c r="F7805" t="s">
        <v>14</v>
      </c>
      <c r="G7805" t="s">
        <v>15</v>
      </c>
    </row>
    <row r="7806" spans="1:7" x14ac:dyDescent="0.35">
      <c r="A7806">
        <v>3100</v>
      </c>
      <c r="B7806" s="1">
        <v>45734</v>
      </c>
      <c r="C7806" t="s">
        <v>12</v>
      </c>
      <c r="D7806" s="2">
        <v>0</v>
      </c>
      <c r="E7806" s="2">
        <v>104.86</v>
      </c>
      <c r="F7806" t="s">
        <v>16</v>
      </c>
      <c r="G7806" t="s">
        <v>17</v>
      </c>
    </row>
    <row r="7807" spans="1:7" x14ac:dyDescent="0.35">
      <c r="A7807">
        <v>3101</v>
      </c>
      <c r="B7807" s="1">
        <v>45734</v>
      </c>
      <c r="C7807" t="s">
        <v>12</v>
      </c>
      <c r="D7807" s="2">
        <v>551.57000000000005</v>
      </c>
      <c r="E7807" s="2">
        <v>0</v>
      </c>
      <c r="F7807" t="s">
        <v>13</v>
      </c>
      <c r="G7807" t="s">
        <v>9</v>
      </c>
    </row>
    <row r="7808" spans="1:7" x14ac:dyDescent="0.35">
      <c r="A7808">
        <v>3101</v>
      </c>
      <c r="B7808" s="1">
        <v>45734</v>
      </c>
      <c r="C7808" t="s">
        <v>12</v>
      </c>
      <c r="D7808" s="2">
        <v>0</v>
      </c>
      <c r="E7808" s="2">
        <v>513.09</v>
      </c>
      <c r="F7808" t="s">
        <v>14</v>
      </c>
      <c r="G7808" t="s">
        <v>15</v>
      </c>
    </row>
    <row r="7809" spans="1:7" x14ac:dyDescent="0.35">
      <c r="A7809">
        <v>3101</v>
      </c>
      <c r="B7809" s="1">
        <v>45734</v>
      </c>
      <c r="C7809" t="s">
        <v>12</v>
      </c>
      <c r="D7809" s="2">
        <v>0</v>
      </c>
      <c r="E7809" s="2">
        <v>38.479999999999997</v>
      </c>
      <c r="F7809" t="s">
        <v>16</v>
      </c>
      <c r="G7809" t="s">
        <v>17</v>
      </c>
    </row>
    <row r="7810" spans="1:7" x14ac:dyDescent="0.35">
      <c r="A7810">
        <v>3102</v>
      </c>
      <c r="B7810" s="1">
        <v>45734</v>
      </c>
      <c r="C7810" t="s">
        <v>12</v>
      </c>
      <c r="D7810" s="2">
        <v>4128.5200000000004</v>
      </c>
      <c r="E7810" s="2">
        <v>0</v>
      </c>
      <c r="F7810" t="s">
        <v>13</v>
      </c>
      <c r="G7810" t="s">
        <v>9</v>
      </c>
    </row>
    <row r="7811" spans="1:7" x14ac:dyDescent="0.35">
      <c r="A7811">
        <v>3102</v>
      </c>
      <c r="B7811" s="1">
        <v>45734</v>
      </c>
      <c r="C7811" t="s">
        <v>12</v>
      </c>
      <c r="D7811" s="2">
        <v>0</v>
      </c>
      <c r="E7811" s="2">
        <v>3840.49</v>
      </c>
      <c r="F7811" t="s">
        <v>14</v>
      </c>
      <c r="G7811" t="s">
        <v>15</v>
      </c>
    </row>
    <row r="7812" spans="1:7" x14ac:dyDescent="0.35">
      <c r="A7812">
        <v>3102</v>
      </c>
      <c r="B7812" s="1">
        <v>45734</v>
      </c>
      <c r="C7812" t="s">
        <v>12</v>
      </c>
      <c r="D7812" s="2">
        <v>0</v>
      </c>
      <c r="E7812" s="2">
        <v>288.02999999999997</v>
      </c>
      <c r="F7812" t="s">
        <v>16</v>
      </c>
      <c r="G7812" t="s">
        <v>17</v>
      </c>
    </row>
    <row r="7813" spans="1:7" x14ac:dyDescent="0.35">
      <c r="A7813">
        <v>3103</v>
      </c>
      <c r="B7813" s="1">
        <v>45734</v>
      </c>
      <c r="C7813" t="s">
        <v>24</v>
      </c>
      <c r="D7813" s="2">
        <v>3493.89</v>
      </c>
      <c r="E7813" s="2">
        <v>0</v>
      </c>
      <c r="F7813" t="s">
        <v>8</v>
      </c>
      <c r="G7813" t="s">
        <v>9</v>
      </c>
    </row>
    <row r="7814" spans="1:7" x14ac:dyDescent="0.35">
      <c r="A7814">
        <v>3103</v>
      </c>
      <c r="B7814" s="1">
        <v>45734</v>
      </c>
      <c r="C7814" t="s">
        <v>24</v>
      </c>
      <c r="D7814" s="2">
        <v>0</v>
      </c>
      <c r="E7814" s="2">
        <v>3493.89</v>
      </c>
      <c r="F7814" t="s">
        <v>13</v>
      </c>
      <c r="G7814" t="s">
        <v>9</v>
      </c>
    </row>
    <row r="7815" spans="1:7" x14ac:dyDescent="0.35">
      <c r="A7815">
        <v>3104</v>
      </c>
      <c r="B7815" s="1">
        <v>45734</v>
      </c>
      <c r="C7815" t="s">
        <v>24</v>
      </c>
      <c r="D7815" s="2">
        <v>4339.13</v>
      </c>
      <c r="E7815" s="2">
        <v>0</v>
      </c>
      <c r="F7815" t="s">
        <v>8</v>
      </c>
      <c r="G7815" t="s">
        <v>9</v>
      </c>
    </row>
    <row r="7816" spans="1:7" x14ac:dyDescent="0.35">
      <c r="A7816">
        <v>3104</v>
      </c>
      <c r="B7816" s="1">
        <v>45734</v>
      </c>
      <c r="C7816" t="s">
        <v>24</v>
      </c>
      <c r="D7816" s="2">
        <v>0</v>
      </c>
      <c r="E7816" s="2">
        <v>4339.13</v>
      </c>
      <c r="F7816" t="s">
        <v>13</v>
      </c>
      <c r="G7816" t="s">
        <v>9</v>
      </c>
    </row>
    <row r="7817" spans="1:7" x14ac:dyDescent="0.35">
      <c r="A7817">
        <v>3105</v>
      </c>
      <c r="B7817" s="1">
        <v>45734</v>
      </c>
      <c r="C7817" t="s">
        <v>24</v>
      </c>
      <c r="D7817" s="2">
        <v>919.08</v>
      </c>
      <c r="E7817" s="2">
        <v>0</v>
      </c>
      <c r="F7817" t="s">
        <v>8</v>
      </c>
      <c r="G7817" t="s">
        <v>9</v>
      </c>
    </row>
    <row r="7818" spans="1:7" x14ac:dyDescent="0.35">
      <c r="A7818">
        <v>3105</v>
      </c>
      <c r="B7818" s="1">
        <v>45734</v>
      </c>
      <c r="C7818" t="s">
        <v>24</v>
      </c>
      <c r="D7818" s="2">
        <v>0</v>
      </c>
      <c r="E7818" s="2">
        <v>919.08</v>
      </c>
      <c r="F7818" t="s">
        <v>13</v>
      </c>
      <c r="G7818" t="s">
        <v>9</v>
      </c>
    </row>
    <row r="7819" spans="1:7" x14ac:dyDescent="0.35">
      <c r="A7819">
        <v>3106</v>
      </c>
      <c r="B7819" s="1">
        <v>45734</v>
      </c>
      <c r="C7819" t="s">
        <v>24</v>
      </c>
      <c r="D7819" s="2">
        <v>2415.34</v>
      </c>
      <c r="E7819" s="2">
        <v>0</v>
      </c>
      <c r="F7819" t="s">
        <v>8</v>
      </c>
      <c r="G7819" t="s">
        <v>9</v>
      </c>
    </row>
    <row r="7820" spans="1:7" x14ac:dyDescent="0.35">
      <c r="A7820">
        <v>3106</v>
      </c>
      <c r="B7820" s="1">
        <v>45734</v>
      </c>
      <c r="C7820" t="s">
        <v>24</v>
      </c>
      <c r="D7820" s="2">
        <v>0</v>
      </c>
      <c r="E7820" s="2">
        <v>2415.34</v>
      </c>
      <c r="F7820" t="s">
        <v>13</v>
      </c>
      <c r="G7820" t="s">
        <v>9</v>
      </c>
    </row>
    <row r="7821" spans="1:7" x14ac:dyDescent="0.35">
      <c r="A7821">
        <v>3107</v>
      </c>
      <c r="B7821" s="1">
        <v>45734</v>
      </c>
      <c r="C7821" t="s">
        <v>24</v>
      </c>
      <c r="D7821" s="2">
        <v>551.57000000000005</v>
      </c>
      <c r="E7821" s="2">
        <v>0</v>
      </c>
      <c r="F7821" t="s">
        <v>8</v>
      </c>
      <c r="G7821" t="s">
        <v>9</v>
      </c>
    </row>
    <row r="7822" spans="1:7" x14ac:dyDescent="0.35">
      <c r="A7822">
        <v>3107</v>
      </c>
      <c r="B7822" s="1">
        <v>45734</v>
      </c>
      <c r="C7822" t="s">
        <v>24</v>
      </c>
      <c r="D7822" s="2">
        <v>0</v>
      </c>
      <c r="E7822" s="2">
        <v>551.57000000000005</v>
      </c>
      <c r="F7822" t="s">
        <v>13</v>
      </c>
      <c r="G7822" t="s">
        <v>9</v>
      </c>
    </row>
    <row r="7823" spans="1:7" x14ac:dyDescent="0.35">
      <c r="A7823">
        <v>3108</v>
      </c>
      <c r="B7823" s="1">
        <v>45734</v>
      </c>
      <c r="C7823" t="s">
        <v>25</v>
      </c>
      <c r="D7823" s="2">
        <v>3598.88</v>
      </c>
      <c r="E7823" s="2">
        <v>0</v>
      </c>
      <c r="F7823" t="s">
        <v>26</v>
      </c>
      <c r="G7823" t="s">
        <v>20</v>
      </c>
    </row>
    <row r="7824" spans="1:7" x14ac:dyDescent="0.35">
      <c r="A7824">
        <v>3108</v>
      </c>
      <c r="B7824" s="1">
        <v>45734</v>
      </c>
      <c r="C7824" t="s">
        <v>25</v>
      </c>
      <c r="D7824" s="2">
        <v>269.92</v>
      </c>
      <c r="E7824" s="2">
        <v>0</v>
      </c>
      <c r="F7824" t="s">
        <v>27</v>
      </c>
      <c r="G7824" t="s">
        <v>9</v>
      </c>
    </row>
    <row r="7825" spans="1:7" x14ac:dyDescent="0.35">
      <c r="A7825">
        <v>3108</v>
      </c>
      <c r="B7825" s="1">
        <v>45734</v>
      </c>
      <c r="C7825" t="s">
        <v>25</v>
      </c>
      <c r="D7825" s="2">
        <v>0</v>
      </c>
      <c r="E7825" s="2">
        <v>3868.8</v>
      </c>
      <c r="F7825" t="s">
        <v>28</v>
      </c>
      <c r="G7825" t="s">
        <v>17</v>
      </c>
    </row>
    <row r="7826" spans="1:7" x14ac:dyDescent="0.35">
      <c r="A7826">
        <v>3109</v>
      </c>
      <c r="B7826" s="1">
        <v>45734</v>
      </c>
      <c r="C7826" t="s">
        <v>29</v>
      </c>
      <c r="D7826" s="2">
        <v>1935.04</v>
      </c>
      <c r="E7826" s="2">
        <v>0</v>
      </c>
      <c r="F7826" t="s">
        <v>28</v>
      </c>
      <c r="G7826" t="s">
        <v>17</v>
      </c>
    </row>
    <row r="7827" spans="1:7" x14ac:dyDescent="0.35">
      <c r="A7827">
        <v>3109</v>
      </c>
      <c r="B7827" s="1">
        <v>45734</v>
      </c>
      <c r="C7827" t="s">
        <v>29</v>
      </c>
      <c r="D7827" s="2">
        <v>0</v>
      </c>
      <c r="E7827" s="2">
        <v>1935.04</v>
      </c>
      <c r="F7827" t="s">
        <v>8</v>
      </c>
      <c r="G7827" t="s">
        <v>9</v>
      </c>
    </row>
    <row r="7828" spans="1:7" x14ac:dyDescent="0.35">
      <c r="A7828">
        <v>3110</v>
      </c>
      <c r="B7828" s="1">
        <v>45734</v>
      </c>
      <c r="C7828" t="s">
        <v>29</v>
      </c>
      <c r="D7828" s="2">
        <v>2093.2800000000002</v>
      </c>
      <c r="E7828" s="2">
        <v>0</v>
      </c>
      <c r="F7828" t="s">
        <v>28</v>
      </c>
      <c r="G7828" t="s">
        <v>17</v>
      </c>
    </row>
    <row r="7829" spans="1:7" x14ac:dyDescent="0.35">
      <c r="A7829">
        <v>3110</v>
      </c>
      <c r="B7829" s="1">
        <v>45734</v>
      </c>
      <c r="C7829" t="s">
        <v>29</v>
      </c>
      <c r="D7829" s="2">
        <v>0</v>
      </c>
      <c r="E7829" s="2">
        <v>2093.2800000000002</v>
      </c>
      <c r="F7829" t="s">
        <v>8</v>
      </c>
      <c r="G7829" t="s">
        <v>9</v>
      </c>
    </row>
    <row r="7830" spans="1:7" x14ac:dyDescent="0.35">
      <c r="A7830">
        <v>3111</v>
      </c>
      <c r="B7830" s="1">
        <v>45734</v>
      </c>
      <c r="C7830" t="s">
        <v>29</v>
      </c>
      <c r="D7830" s="2">
        <v>1766.46</v>
      </c>
      <c r="E7830" s="2">
        <v>0</v>
      </c>
      <c r="F7830" t="s">
        <v>28</v>
      </c>
      <c r="G7830" t="s">
        <v>17</v>
      </c>
    </row>
    <row r="7831" spans="1:7" x14ac:dyDescent="0.35">
      <c r="A7831">
        <v>3111</v>
      </c>
      <c r="B7831" s="1">
        <v>45734</v>
      </c>
      <c r="C7831" t="s">
        <v>29</v>
      </c>
      <c r="D7831" s="2">
        <v>0</v>
      </c>
      <c r="E7831" s="2">
        <v>1766.46</v>
      </c>
      <c r="F7831" t="s">
        <v>8</v>
      </c>
      <c r="G7831" t="s">
        <v>9</v>
      </c>
    </row>
    <row r="7832" spans="1:7" x14ac:dyDescent="0.35">
      <c r="A7832">
        <v>3112</v>
      </c>
      <c r="B7832" s="1">
        <v>45735</v>
      </c>
      <c r="C7832" t="s">
        <v>12</v>
      </c>
      <c r="D7832" s="2">
        <v>3284.92</v>
      </c>
      <c r="E7832" s="2">
        <v>0</v>
      </c>
      <c r="F7832" t="s">
        <v>13</v>
      </c>
      <c r="G7832" t="s">
        <v>9</v>
      </c>
    </row>
    <row r="7833" spans="1:7" x14ac:dyDescent="0.35">
      <c r="A7833">
        <v>3112</v>
      </c>
      <c r="B7833" s="1">
        <v>45735</v>
      </c>
      <c r="C7833" t="s">
        <v>12</v>
      </c>
      <c r="D7833" s="2">
        <v>0</v>
      </c>
      <c r="E7833" s="2">
        <v>3055.74</v>
      </c>
      <c r="F7833" t="s">
        <v>14</v>
      </c>
      <c r="G7833" t="s">
        <v>15</v>
      </c>
    </row>
    <row r="7834" spans="1:7" x14ac:dyDescent="0.35">
      <c r="A7834">
        <v>3112</v>
      </c>
      <c r="B7834" s="1">
        <v>45735</v>
      </c>
      <c r="C7834" t="s">
        <v>12</v>
      </c>
      <c r="D7834" s="2">
        <v>0</v>
      </c>
      <c r="E7834" s="2">
        <v>229.18</v>
      </c>
      <c r="F7834" t="s">
        <v>16</v>
      </c>
      <c r="G7834" t="s">
        <v>17</v>
      </c>
    </row>
    <row r="7835" spans="1:7" x14ac:dyDescent="0.35">
      <c r="A7835">
        <v>3113</v>
      </c>
      <c r="B7835" s="1">
        <v>45735</v>
      </c>
      <c r="C7835" t="s">
        <v>12</v>
      </c>
      <c r="D7835" s="2">
        <v>59.07</v>
      </c>
      <c r="E7835" s="2">
        <v>0</v>
      </c>
      <c r="F7835" t="s">
        <v>13</v>
      </c>
      <c r="G7835" t="s">
        <v>9</v>
      </c>
    </row>
    <row r="7836" spans="1:7" x14ac:dyDescent="0.35">
      <c r="A7836">
        <v>3113</v>
      </c>
      <c r="B7836" s="1">
        <v>45735</v>
      </c>
      <c r="C7836" t="s">
        <v>12</v>
      </c>
      <c r="D7836" s="2">
        <v>0</v>
      </c>
      <c r="E7836" s="2">
        <v>54.95</v>
      </c>
      <c r="F7836" t="s">
        <v>14</v>
      </c>
      <c r="G7836" t="s">
        <v>15</v>
      </c>
    </row>
    <row r="7837" spans="1:7" x14ac:dyDescent="0.35">
      <c r="A7837">
        <v>3113</v>
      </c>
      <c r="B7837" s="1">
        <v>45735</v>
      </c>
      <c r="C7837" t="s">
        <v>12</v>
      </c>
      <c r="D7837" s="2">
        <v>0</v>
      </c>
      <c r="E7837" s="2">
        <v>4.12</v>
      </c>
      <c r="F7837" t="s">
        <v>16</v>
      </c>
      <c r="G7837" t="s">
        <v>17</v>
      </c>
    </row>
    <row r="7838" spans="1:7" x14ac:dyDescent="0.35">
      <c r="A7838">
        <v>3114</v>
      </c>
      <c r="B7838" s="1">
        <v>45735</v>
      </c>
      <c r="C7838" t="s">
        <v>12</v>
      </c>
      <c r="D7838" s="2">
        <v>2675.33</v>
      </c>
      <c r="E7838" s="2">
        <v>0</v>
      </c>
      <c r="F7838" t="s">
        <v>13</v>
      </c>
      <c r="G7838" t="s">
        <v>9</v>
      </c>
    </row>
    <row r="7839" spans="1:7" x14ac:dyDescent="0.35">
      <c r="A7839">
        <v>3114</v>
      </c>
      <c r="B7839" s="1">
        <v>45735</v>
      </c>
      <c r="C7839" t="s">
        <v>12</v>
      </c>
      <c r="D7839" s="2">
        <v>0</v>
      </c>
      <c r="E7839" s="2">
        <v>2488.6799999999998</v>
      </c>
      <c r="F7839" t="s">
        <v>14</v>
      </c>
      <c r="G7839" t="s">
        <v>15</v>
      </c>
    </row>
    <row r="7840" spans="1:7" x14ac:dyDescent="0.35">
      <c r="A7840">
        <v>3114</v>
      </c>
      <c r="B7840" s="1">
        <v>45735</v>
      </c>
      <c r="C7840" t="s">
        <v>12</v>
      </c>
      <c r="D7840" s="2">
        <v>0</v>
      </c>
      <c r="E7840" s="2">
        <v>186.65</v>
      </c>
      <c r="F7840" t="s">
        <v>16</v>
      </c>
      <c r="G7840" t="s">
        <v>17</v>
      </c>
    </row>
    <row r="7841" spans="1:7" x14ac:dyDescent="0.35">
      <c r="A7841">
        <v>3115</v>
      </c>
      <c r="B7841" s="1">
        <v>45735</v>
      </c>
      <c r="C7841" t="s">
        <v>12</v>
      </c>
      <c r="D7841" s="2">
        <v>457.51</v>
      </c>
      <c r="E7841" s="2">
        <v>0</v>
      </c>
      <c r="F7841" t="s">
        <v>13</v>
      </c>
      <c r="G7841" t="s">
        <v>9</v>
      </c>
    </row>
    <row r="7842" spans="1:7" x14ac:dyDescent="0.35">
      <c r="A7842">
        <v>3115</v>
      </c>
      <c r="B7842" s="1">
        <v>45735</v>
      </c>
      <c r="C7842" t="s">
        <v>12</v>
      </c>
      <c r="D7842" s="2">
        <v>0</v>
      </c>
      <c r="E7842" s="2">
        <v>425.59</v>
      </c>
      <c r="F7842" t="s">
        <v>14</v>
      </c>
      <c r="G7842" t="s">
        <v>15</v>
      </c>
    </row>
    <row r="7843" spans="1:7" x14ac:dyDescent="0.35">
      <c r="A7843">
        <v>3115</v>
      </c>
      <c r="B7843" s="1">
        <v>45735</v>
      </c>
      <c r="C7843" t="s">
        <v>12</v>
      </c>
      <c r="D7843" s="2">
        <v>0</v>
      </c>
      <c r="E7843" s="2">
        <v>31.92</v>
      </c>
      <c r="F7843" t="s">
        <v>16</v>
      </c>
      <c r="G7843" t="s">
        <v>17</v>
      </c>
    </row>
    <row r="7844" spans="1:7" x14ac:dyDescent="0.35">
      <c r="A7844">
        <v>3116</v>
      </c>
      <c r="B7844" s="1">
        <v>45735</v>
      </c>
      <c r="C7844" t="s">
        <v>12</v>
      </c>
      <c r="D7844" s="2">
        <v>247.1</v>
      </c>
      <c r="E7844" s="2">
        <v>0</v>
      </c>
      <c r="F7844" t="s">
        <v>13</v>
      </c>
      <c r="G7844" t="s">
        <v>9</v>
      </c>
    </row>
    <row r="7845" spans="1:7" x14ac:dyDescent="0.35">
      <c r="A7845">
        <v>3116</v>
      </c>
      <c r="B7845" s="1">
        <v>45735</v>
      </c>
      <c r="C7845" t="s">
        <v>12</v>
      </c>
      <c r="D7845" s="2">
        <v>0</v>
      </c>
      <c r="E7845" s="2">
        <v>229.86</v>
      </c>
      <c r="F7845" t="s">
        <v>14</v>
      </c>
      <c r="G7845" t="s">
        <v>15</v>
      </c>
    </row>
    <row r="7846" spans="1:7" x14ac:dyDescent="0.35">
      <c r="A7846">
        <v>3116</v>
      </c>
      <c r="B7846" s="1">
        <v>45735</v>
      </c>
      <c r="C7846" t="s">
        <v>12</v>
      </c>
      <c r="D7846" s="2">
        <v>0</v>
      </c>
      <c r="E7846" s="2">
        <v>17.239999999999998</v>
      </c>
      <c r="F7846" t="s">
        <v>16</v>
      </c>
      <c r="G7846" t="s">
        <v>17</v>
      </c>
    </row>
    <row r="7847" spans="1:7" x14ac:dyDescent="0.35">
      <c r="A7847">
        <v>3117</v>
      </c>
      <c r="B7847" s="1">
        <v>45735</v>
      </c>
      <c r="C7847" t="s">
        <v>12</v>
      </c>
      <c r="D7847" s="2">
        <v>2245.5</v>
      </c>
      <c r="E7847" s="2">
        <v>0</v>
      </c>
      <c r="F7847" t="s">
        <v>13</v>
      </c>
      <c r="G7847" t="s">
        <v>9</v>
      </c>
    </row>
    <row r="7848" spans="1:7" x14ac:dyDescent="0.35">
      <c r="A7848">
        <v>3117</v>
      </c>
      <c r="B7848" s="1">
        <v>45735</v>
      </c>
      <c r="C7848" t="s">
        <v>12</v>
      </c>
      <c r="D7848" s="2">
        <v>0</v>
      </c>
      <c r="E7848" s="2">
        <v>2088.84</v>
      </c>
      <c r="F7848" t="s">
        <v>14</v>
      </c>
      <c r="G7848" t="s">
        <v>15</v>
      </c>
    </row>
    <row r="7849" spans="1:7" x14ac:dyDescent="0.35">
      <c r="A7849">
        <v>3117</v>
      </c>
      <c r="B7849" s="1">
        <v>45735</v>
      </c>
      <c r="C7849" t="s">
        <v>12</v>
      </c>
      <c r="D7849" s="2">
        <v>0</v>
      </c>
      <c r="E7849" s="2">
        <v>156.66</v>
      </c>
      <c r="F7849" t="s">
        <v>16</v>
      </c>
      <c r="G7849" t="s">
        <v>17</v>
      </c>
    </row>
    <row r="7850" spans="1:7" x14ac:dyDescent="0.35">
      <c r="A7850">
        <v>3118</v>
      </c>
      <c r="B7850" s="1">
        <v>45735</v>
      </c>
      <c r="C7850" t="s">
        <v>12</v>
      </c>
      <c r="D7850" s="2">
        <v>2486.4899999999998</v>
      </c>
      <c r="E7850" s="2">
        <v>0</v>
      </c>
      <c r="F7850" t="s">
        <v>13</v>
      </c>
      <c r="G7850" t="s">
        <v>9</v>
      </c>
    </row>
    <row r="7851" spans="1:7" x14ac:dyDescent="0.35">
      <c r="A7851">
        <v>3118</v>
      </c>
      <c r="B7851" s="1">
        <v>45735</v>
      </c>
      <c r="C7851" t="s">
        <v>12</v>
      </c>
      <c r="D7851" s="2">
        <v>0</v>
      </c>
      <c r="E7851" s="2">
        <v>2313.0100000000002</v>
      </c>
      <c r="F7851" t="s">
        <v>14</v>
      </c>
      <c r="G7851" t="s">
        <v>15</v>
      </c>
    </row>
    <row r="7852" spans="1:7" x14ac:dyDescent="0.35">
      <c r="A7852">
        <v>3118</v>
      </c>
      <c r="B7852" s="1">
        <v>45735</v>
      </c>
      <c r="C7852" t="s">
        <v>12</v>
      </c>
      <c r="D7852" s="2">
        <v>0</v>
      </c>
      <c r="E7852" s="2">
        <v>173.48</v>
      </c>
      <c r="F7852" t="s">
        <v>16</v>
      </c>
      <c r="G7852" t="s">
        <v>17</v>
      </c>
    </row>
    <row r="7853" spans="1:7" x14ac:dyDescent="0.35">
      <c r="A7853">
        <v>3119</v>
      </c>
      <c r="B7853" s="1">
        <v>45735</v>
      </c>
      <c r="C7853" t="s">
        <v>24</v>
      </c>
      <c r="D7853" s="2">
        <v>1057.3800000000001</v>
      </c>
      <c r="E7853" s="2">
        <v>0</v>
      </c>
      <c r="F7853" t="s">
        <v>8</v>
      </c>
      <c r="G7853" t="s">
        <v>9</v>
      </c>
    </row>
    <row r="7854" spans="1:7" x14ac:dyDescent="0.35">
      <c r="A7854">
        <v>3119</v>
      </c>
      <c r="B7854" s="1">
        <v>45735</v>
      </c>
      <c r="C7854" t="s">
        <v>24</v>
      </c>
      <c r="D7854" s="2">
        <v>0</v>
      </c>
      <c r="E7854" s="2">
        <v>1057.3800000000001</v>
      </c>
      <c r="F7854" t="s">
        <v>13</v>
      </c>
      <c r="G7854" t="s">
        <v>9</v>
      </c>
    </row>
    <row r="7855" spans="1:7" x14ac:dyDescent="0.35">
      <c r="A7855">
        <v>3120</v>
      </c>
      <c r="B7855" s="1">
        <v>45735</v>
      </c>
      <c r="C7855" t="s">
        <v>24</v>
      </c>
      <c r="D7855" s="2">
        <v>2082.42</v>
      </c>
      <c r="E7855" s="2">
        <v>0</v>
      </c>
      <c r="F7855" t="s">
        <v>8</v>
      </c>
      <c r="G7855" t="s">
        <v>9</v>
      </c>
    </row>
    <row r="7856" spans="1:7" x14ac:dyDescent="0.35">
      <c r="A7856">
        <v>3120</v>
      </c>
      <c r="B7856" s="1">
        <v>45735</v>
      </c>
      <c r="C7856" t="s">
        <v>24</v>
      </c>
      <c r="D7856" s="2">
        <v>0</v>
      </c>
      <c r="E7856" s="2">
        <v>2082.42</v>
      </c>
      <c r="F7856" t="s">
        <v>13</v>
      </c>
      <c r="G7856" t="s">
        <v>9</v>
      </c>
    </row>
    <row r="7857" spans="1:7" x14ac:dyDescent="0.35">
      <c r="A7857">
        <v>3121</v>
      </c>
      <c r="B7857" s="1">
        <v>45735</v>
      </c>
      <c r="C7857" t="s">
        <v>24</v>
      </c>
      <c r="D7857" s="2">
        <v>1518.16</v>
      </c>
      <c r="E7857" s="2">
        <v>0</v>
      </c>
      <c r="F7857" t="s">
        <v>8</v>
      </c>
      <c r="G7857" t="s">
        <v>9</v>
      </c>
    </row>
    <row r="7858" spans="1:7" x14ac:dyDescent="0.35">
      <c r="A7858">
        <v>3121</v>
      </c>
      <c r="B7858" s="1">
        <v>45735</v>
      </c>
      <c r="C7858" t="s">
        <v>24</v>
      </c>
      <c r="D7858" s="2">
        <v>0</v>
      </c>
      <c r="E7858" s="2">
        <v>1518.16</v>
      </c>
      <c r="F7858" t="s">
        <v>13</v>
      </c>
      <c r="G7858" t="s">
        <v>9</v>
      </c>
    </row>
    <row r="7859" spans="1:7" x14ac:dyDescent="0.35">
      <c r="A7859">
        <v>3122</v>
      </c>
      <c r="B7859" s="1">
        <v>45735</v>
      </c>
      <c r="C7859" t="s">
        <v>24</v>
      </c>
      <c r="D7859" s="2">
        <v>3921.91</v>
      </c>
      <c r="E7859" s="2">
        <v>0</v>
      </c>
      <c r="F7859" t="s">
        <v>8</v>
      </c>
      <c r="G7859" t="s">
        <v>9</v>
      </c>
    </row>
    <row r="7860" spans="1:7" x14ac:dyDescent="0.35">
      <c r="A7860">
        <v>3122</v>
      </c>
      <c r="B7860" s="1">
        <v>45735</v>
      </c>
      <c r="C7860" t="s">
        <v>24</v>
      </c>
      <c r="D7860" s="2">
        <v>0</v>
      </c>
      <c r="E7860" s="2">
        <v>3921.91</v>
      </c>
      <c r="F7860" t="s">
        <v>13</v>
      </c>
      <c r="G7860" t="s">
        <v>9</v>
      </c>
    </row>
    <row r="7861" spans="1:7" x14ac:dyDescent="0.35">
      <c r="A7861">
        <v>3123</v>
      </c>
      <c r="B7861" s="1">
        <v>45735</v>
      </c>
      <c r="C7861" t="s">
        <v>29</v>
      </c>
      <c r="D7861" s="2">
        <v>179.01</v>
      </c>
      <c r="E7861" s="2">
        <v>0</v>
      </c>
      <c r="F7861" t="s">
        <v>28</v>
      </c>
      <c r="G7861" t="s">
        <v>17</v>
      </c>
    </row>
    <row r="7862" spans="1:7" x14ac:dyDescent="0.35">
      <c r="A7862">
        <v>3123</v>
      </c>
      <c r="B7862" s="1">
        <v>45735</v>
      </c>
      <c r="C7862" t="s">
        <v>29</v>
      </c>
      <c r="D7862" s="2">
        <v>0</v>
      </c>
      <c r="E7862" s="2">
        <v>179.01</v>
      </c>
      <c r="F7862" t="s">
        <v>8</v>
      </c>
      <c r="G7862" t="s">
        <v>9</v>
      </c>
    </row>
    <row r="7863" spans="1:7" x14ac:dyDescent="0.35">
      <c r="A7863">
        <v>3124</v>
      </c>
      <c r="B7863" s="1">
        <v>45736</v>
      </c>
      <c r="C7863" t="s">
        <v>12</v>
      </c>
      <c r="D7863" s="2">
        <v>845.61</v>
      </c>
      <c r="E7863" s="2">
        <v>0</v>
      </c>
      <c r="F7863" t="s">
        <v>13</v>
      </c>
      <c r="G7863" t="s">
        <v>9</v>
      </c>
    </row>
    <row r="7864" spans="1:7" x14ac:dyDescent="0.35">
      <c r="A7864">
        <v>3124</v>
      </c>
      <c r="B7864" s="1">
        <v>45736</v>
      </c>
      <c r="C7864" t="s">
        <v>12</v>
      </c>
      <c r="D7864" s="2">
        <v>0</v>
      </c>
      <c r="E7864" s="2">
        <v>786.61</v>
      </c>
      <c r="F7864" t="s">
        <v>14</v>
      </c>
      <c r="G7864" t="s">
        <v>15</v>
      </c>
    </row>
    <row r="7865" spans="1:7" x14ac:dyDescent="0.35">
      <c r="A7865">
        <v>3124</v>
      </c>
      <c r="B7865" s="1">
        <v>45736</v>
      </c>
      <c r="C7865" t="s">
        <v>12</v>
      </c>
      <c r="D7865" s="2">
        <v>0</v>
      </c>
      <c r="E7865" s="2">
        <v>59</v>
      </c>
      <c r="F7865" t="s">
        <v>16</v>
      </c>
      <c r="G7865" t="s">
        <v>17</v>
      </c>
    </row>
    <row r="7866" spans="1:7" x14ac:dyDescent="0.35">
      <c r="A7866">
        <v>3125</v>
      </c>
      <c r="B7866" s="1">
        <v>45736</v>
      </c>
      <c r="C7866" t="s">
        <v>12</v>
      </c>
      <c r="D7866" s="2">
        <v>152.16</v>
      </c>
      <c r="E7866" s="2">
        <v>0</v>
      </c>
      <c r="F7866" t="s">
        <v>13</v>
      </c>
      <c r="G7866" t="s">
        <v>9</v>
      </c>
    </row>
    <row r="7867" spans="1:7" x14ac:dyDescent="0.35">
      <c r="A7867">
        <v>3125</v>
      </c>
      <c r="B7867" s="1">
        <v>45736</v>
      </c>
      <c r="C7867" t="s">
        <v>12</v>
      </c>
      <c r="D7867" s="2">
        <v>0</v>
      </c>
      <c r="E7867" s="2">
        <v>141.54</v>
      </c>
      <c r="F7867" t="s">
        <v>14</v>
      </c>
      <c r="G7867" t="s">
        <v>15</v>
      </c>
    </row>
    <row r="7868" spans="1:7" x14ac:dyDescent="0.35">
      <c r="A7868">
        <v>3125</v>
      </c>
      <c r="B7868" s="1">
        <v>45736</v>
      </c>
      <c r="C7868" t="s">
        <v>12</v>
      </c>
      <c r="D7868" s="2">
        <v>0</v>
      </c>
      <c r="E7868" s="2">
        <v>10.62</v>
      </c>
      <c r="F7868" t="s">
        <v>16</v>
      </c>
      <c r="G7868" t="s">
        <v>17</v>
      </c>
    </row>
    <row r="7869" spans="1:7" x14ac:dyDescent="0.35">
      <c r="A7869">
        <v>3126</v>
      </c>
      <c r="B7869" s="1">
        <v>45736</v>
      </c>
      <c r="C7869" t="s">
        <v>12</v>
      </c>
      <c r="D7869" s="2">
        <v>2500.16</v>
      </c>
      <c r="E7869" s="2">
        <v>0</v>
      </c>
      <c r="F7869" t="s">
        <v>13</v>
      </c>
      <c r="G7869" t="s">
        <v>9</v>
      </c>
    </row>
    <row r="7870" spans="1:7" x14ac:dyDescent="0.35">
      <c r="A7870">
        <v>3126</v>
      </c>
      <c r="B7870" s="1">
        <v>45736</v>
      </c>
      <c r="C7870" t="s">
        <v>12</v>
      </c>
      <c r="D7870" s="2">
        <v>0</v>
      </c>
      <c r="E7870" s="2">
        <v>2325.7399999999998</v>
      </c>
      <c r="F7870" t="s">
        <v>14</v>
      </c>
      <c r="G7870" t="s">
        <v>15</v>
      </c>
    </row>
    <row r="7871" spans="1:7" x14ac:dyDescent="0.35">
      <c r="A7871">
        <v>3126</v>
      </c>
      <c r="B7871" s="1">
        <v>45736</v>
      </c>
      <c r="C7871" t="s">
        <v>12</v>
      </c>
      <c r="D7871" s="2">
        <v>0</v>
      </c>
      <c r="E7871" s="2">
        <v>174.42</v>
      </c>
      <c r="F7871" t="s">
        <v>16</v>
      </c>
      <c r="G7871" t="s">
        <v>17</v>
      </c>
    </row>
    <row r="7872" spans="1:7" x14ac:dyDescent="0.35">
      <c r="A7872">
        <v>3127</v>
      </c>
      <c r="B7872" s="1">
        <v>45736</v>
      </c>
      <c r="C7872" t="s">
        <v>12</v>
      </c>
      <c r="D7872" s="2">
        <v>3398.02</v>
      </c>
      <c r="E7872" s="2">
        <v>0</v>
      </c>
      <c r="F7872" t="s">
        <v>13</v>
      </c>
      <c r="G7872" t="s">
        <v>9</v>
      </c>
    </row>
    <row r="7873" spans="1:7" x14ac:dyDescent="0.35">
      <c r="A7873">
        <v>3127</v>
      </c>
      <c r="B7873" s="1">
        <v>45736</v>
      </c>
      <c r="C7873" t="s">
        <v>12</v>
      </c>
      <c r="D7873" s="2">
        <v>0</v>
      </c>
      <c r="E7873" s="2">
        <v>3160.95</v>
      </c>
      <c r="F7873" t="s">
        <v>14</v>
      </c>
      <c r="G7873" t="s">
        <v>15</v>
      </c>
    </row>
    <row r="7874" spans="1:7" x14ac:dyDescent="0.35">
      <c r="A7874">
        <v>3127</v>
      </c>
      <c r="B7874" s="1">
        <v>45736</v>
      </c>
      <c r="C7874" t="s">
        <v>12</v>
      </c>
      <c r="D7874" s="2">
        <v>0</v>
      </c>
      <c r="E7874" s="2">
        <v>237.07</v>
      </c>
      <c r="F7874" t="s">
        <v>16</v>
      </c>
      <c r="G7874" t="s">
        <v>17</v>
      </c>
    </row>
    <row r="7875" spans="1:7" x14ac:dyDescent="0.35">
      <c r="A7875">
        <v>3128</v>
      </c>
      <c r="B7875" s="1">
        <v>45736</v>
      </c>
      <c r="C7875" t="s">
        <v>12</v>
      </c>
      <c r="D7875" s="2">
        <v>803.65</v>
      </c>
      <c r="E7875" s="2">
        <v>0</v>
      </c>
      <c r="F7875" t="s">
        <v>13</v>
      </c>
      <c r="G7875" t="s">
        <v>9</v>
      </c>
    </row>
    <row r="7876" spans="1:7" x14ac:dyDescent="0.35">
      <c r="A7876">
        <v>3128</v>
      </c>
      <c r="B7876" s="1">
        <v>45736</v>
      </c>
      <c r="C7876" t="s">
        <v>12</v>
      </c>
      <c r="D7876" s="2">
        <v>0</v>
      </c>
      <c r="E7876" s="2">
        <v>747.58</v>
      </c>
      <c r="F7876" t="s">
        <v>14</v>
      </c>
      <c r="G7876" t="s">
        <v>15</v>
      </c>
    </row>
    <row r="7877" spans="1:7" x14ac:dyDescent="0.35">
      <c r="A7877">
        <v>3128</v>
      </c>
      <c r="B7877" s="1">
        <v>45736</v>
      </c>
      <c r="C7877" t="s">
        <v>12</v>
      </c>
      <c r="D7877" s="2">
        <v>0</v>
      </c>
      <c r="E7877" s="2">
        <v>56.07</v>
      </c>
      <c r="F7877" t="s">
        <v>16</v>
      </c>
      <c r="G7877" t="s">
        <v>17</v>
      </c>
    </row>
    <row r="7878" spans="1:7" x14ac:dyDescent="0.35">
      <c r="A7878">
        <v>3129</v>
      </c>
      <c r="B7878" s="1">
        <v>45736</v>
      </c>
      <c r="C7878" t="s">
        <v>24</v>
      </c>
      <c r="D7878" s="2">
        <v>1359.25</v>
      </c>
      <c r="E7878" s="2">
        <v>0</v>
      </c>
      <c r="F7878" t="s">
        <v>8</v>
      </c>
      <c r="G7878" t="s">
        <v>9</v>
      </c>
    </row>
    <row r="7879" spans="1:7" x14ac:dyDescent="0.35">
      <c r="A7879">
        <v>3129</v>
      </c>
      <c r="B7879" s="1">
        <v>45736</v>
      </c>
      <c r="C7879" t="s">
        <v>24</v>
      </c>
      <c r="D7879" s="2">
        <v>0</v>
      </c>
      <c r="E7879" s="2">
        <v>1359.25</v>
      </c>
      <c r="F7879" t="s">
        <v>13</v>
      </c>
      <c r="G7879" t="s">
        <v>9</v>
      </c>
    </row>
    <row r="7880" spans="1:7" x14ac:dyDescent="0.35">
      <c r="A7880">
        <v>3130</v>
      </c>
      <c r="B7880" s="1">
        <v>45736</v>
      </c>
      <c r="C7880" t="s">
        <v>24</v>
      </c>
      <c r="D7880" s="2">
        <v>179.88</v>
      </c>
      <c r="E7880" s="2">
        <v>0</v>
      </c>
      <c r="F7880" t="s">
        <v>8</v>
      </c>
      <c r="G7880" t="s">
        <v>9</v>
      </c>
    </row>
    <row r="7881" spans="1:7" x14ac:dyDescent="0.35">
      <c r="A7881">
        <v>3130</v>
      </c>
      <c r="B7881" s="1">
        <v>45736</v>
      </c>
      <c r="C7881" t="s">
        <v>24</v>
      </c>
      <c r="D7881" s="2">
        <v>0</v>
      </c>
      <c r="E7881" s="2">
        <v>179.88</v>
      </c>
      <c r="F7881" t="s">
        <v>13</v>
      </c>
      <c r="G7881" t="s">
        <v>9</v>
      </c>
    </row>
    <row r="7882" spans="1:7" x14ac:dyDescent="0.35">
      <c r="A7882">
        <v>3131</v>
      </c>
      <c r="B7882" s="1">
        <v>45736</v>
      </c>
      <c r="C7882" t="s">
        <v>24</v>
      </c>
      <c r="D7882" s="2">
        <v>2245.5</v>
      </c>
      <c r="E7882" s="2">
        <v>0</v>
      </c>
      <c r="F7882" t="s">
        <v>8</v>
      </c>
      <c r="G7882" t="s">
        <v>9</v>
      </c>
    </row>
    <row r="7883" spans="1:7" x14ac:dyDescent="0.35">
      <c r="A7883">
        <v>3131</v>
      </c>
      <c r="B7883" s="1">
        <v>45736</v>
      </c>
      <c r="C7883" t="s">
        <v>24</v>
      </c>
      <c r="D7883" s="2">
        <v>0</v>
      </c>
      <c r="E7883" s="2">
        <v>2245.5</v>
      </c>
      <c r="F7883" t="s">
        <v>13</v>
      </c>
      <c r="G7883" t="s">
        <v>9</v>
      </c>
    </row>
    <row r="7884" spans="1:7" x14ac:dyDescent="0.35">
      <c r="A7884">
        <v>3132</v>
      </c>
      <c r="B7884" s="1">
        <v>45736</v>
      </c>
      <c r="C7884" t="s">
        <v>25</v>
      </c>
      <c r="D7884" s="2">
        <v>1213.5999999999999</v>
      </c>
      <c r="E7884" s="2">
        <v>0</v>
      </c>
      <c r="F7884" t="s">
        <v>26</v>
      </c>
      <c r="G7884" t="s">
        <v>20</v>
      </c>
    </row>
    <row r="7885" spans="1:7" x14ac:dyDescent="0.35">
      <c r="A7885">
        <v>3132</v>
      </c>
      <c r="B7885" s="1">
        <v>45736</v>
      </c>
      <c r="C7885" t="s">
        <v>25</v>
      </c>
      <c r="D7885" s="2">
        <v>91.02</v>
      </c>
      <c r="E7885" s="2">
        <v>0</v>
      </c>
      <c r="F7885" t="s">
        <v>27</v>
      </c>
      <c r="G7885" t="s">
        <v>9</v>
      </c>
    </row>
    <row r="7886" spans="1:7" x14ac:dyDescent="0.35">
      <c r="A7886">
        <v>3132</v>
      </c>
      <c r="B7886" s="1">
        <v>45736</v>
      </c>
      <c r="C7886" t="s">
        <v>25</v>
      </c>
      <c r="D7886" s="2">
        <v>0</v>
      </c>
      <c r="E7886" s="2">
        <v>1304.6199999999999</v>
      </c>
      <c r="F7886" t="s">
        <v>28</v>
      </c>
      <c r="G7886" t="s">
        <v>17</v>
      </c>
    </row>
    <row r="7887" spans="1:7" x14ac:dyDescent="0.35">
      <c r="A7887">
        <v>3133</v>
      </c>
      <c r="B7887" s="1">
        <v>45737</v>
      </c>
      <c r="C7887" t="s">
        <v>12</v>
      </c>
      <c r="D7887" s="2">
        <v>4325.1400000000003</v>
      </c>
      <c r="E7887" s="2">
        <v>0</v>
      </c>
      <c r="F7887" t="s">
        <v>13</v>
      </c>
      <c r="G7887" t="s">
        <v>9</v>
      </c>
    </row>
    <row r="7888" spans="1:7" x14ac:dyDescent="0.35">
      <c r="A7888">
        <v>3133</v>
      </c>
      <c r="B7888" s="1">
        <v>45737</v>
      </c>
      <c r="C7888" t="s">
        <v>12</v>
      </c>
      <c r="D7888" s="2">
        <v>0</v>
      </c>
      <c r="E7888" s="2">
        <v>4023.39</v>
      </c>
      <c r="F7888" t="s">
        <v>14</v>
      </c>
      <c r="G7888" t="s">
        <v>15</v>
      </c>
    </row>
    <row r="7889" spans="1:7" x14ac:dyDescent="0.35">
      <c r="A7889">
        <v>3133</v>
      </c>
      <c r="B7889" s="1">
        <v>45737</v>
      </c>
      <c r="C7889" t="s">
        <v>12</v>
      </c>
      <c r="D7889" s="2">
        <v>0</v>
      </c>
      <c r="E7889" s="2">
        <v>301.75</v>
      </c>
      <c r="F7889" t="s">
        <v>16</v>
      </c>
      <c r="G7889" t="s">
        <v>17</v>
      </c>
    </row>
    <row r="7890" spans="1:7" x14ac:dyDescent="0.35">
      <c r="A7890">
        <v>3134</v>
      </c>
      <c r="B7890" s="1">
        <v>45737</v>
      </c>
      <c r="C7890" t="s">
        <v>12</v>
      </c>
      <c r="D7890" s="2">
        <v>2813.22</v>
      </c>
      <c r="E7890" s="2">
        <v>0</v>
      </c>
      <c r="F7890" t="s">
        <v>13</v>
      </c>
      <c r="G7890" t="s">
        <v>9</v>
      </c>
    </row>
    <row r="7891" spans="1:7" x14ac:dyDescent="0.35">
      <c r="A7891">
        <v>3134</v>
      </c>
      <c r="B7891" s="1">
        <v>45737</v>
      </c>
      <c r="C7891" t="s">
        <v>12</v>
      </c>
      <c r="D7891" s="2">
        <v>0</v>
      </c>
      <c r="E7891" s="2">
        <v>2616.9499999999998</v>
      </c>
      <c r="F7891" t="s">
        <v>14</v>
      </c>
      <c r="G7891" t="s">
        <v>15</v>
      </c>
    </row>
    <row r="7892" spans="1:7" x14ac:dyDescent="0.35">
      <c r="A7892">
        <v>3134</v>
      </c>
      <c r="B7892" s="1">
        <v>45737</v>
      </c>
      <c r="C7892" t="s">
        <v>12</v>
      </c>
      <c r="D7892" s="2">
        <v>0</v>
      </c>
      <c r="E7892" s="2">
        <v>196.27</v>
      </c>
      <c r="F7892" t="s">
        <v>16</v>
      </c>
      <c r="G7892" t="s">
        <v>17</v>
      </c>
    </row>
    <row r="7893" spans="1:7" x14ac:dyDescent="0.35">
      <c r="A7893">
        <v>3135</v>
      </c>
      <c r="B7893" s="1">
        <v>45737</v>
      </c>
      <c r="C7893" t="s">
        <v>12</v>
      </c>
      <c r="D7893" s="2">
        <v>880.99</v>
      </c>
      <c r="E7893" s="2">
        <v>0</v>
      </c>
      <c r="F7893" t="s">
        <v>13</v>
      </c>
      <c r="G7893" t="s">
        <v>9</v>
      </c>
    </row>
    <row r="7894" spans="1:7" x14ac:dyDescent="0.35">
      <c r="A7894">
        <v>3135</v>
      </c>
      <c r="B7894" s="1">
        <v>45737</v>
      </c>
      <c r="C7894" t="s">
        <v>12</v>
      </c>
      <c r="D7894" s="2">
        <v>0</v>
      </c>
      <c r="E7894" s="2">
        <v>819.53</v>
      </c>
      <c r="F7894" t="s">
        <v>14</v>
      </c>
      <c r="G7894" t="s">
        <v>15</v>
      </c>
    </row>
    <row r="7895" spans="1:7" x14ac:dyDescent="0.35">
      <c r="A7895">
        <v>3135</v>
      </c>
      <c r="B7895" s="1">
        <v>45737</v>
      </c>
      <c r="C7895" t="s">
        <v>12</v>
      </c>
      <c r="D7895" s="2">
        <v>0</v>
      </c>
      <c r="E7895" s="2">
        <v>61.46</v>
      </c>
      <c r="F7895" t="s">
        <v>16</v>
      </c>
      <c r="G7895" t="s">
        <v>17</v>
      </c>
    </row>
    <row r="7896" spans="1:7" x14ac:dyDescent="0.35">
      <c r="A7896">
        <v>3136</v>
      </c>
      <c r="B7896" s="1">
        <v>45737</v>
      </c>
      <c r="C7896" t="s">
        <v>12</v>
      </c>
      <c r="D7896" s="2">
        <v>2574.94</v>
      </c>
      <c r="E7896" s="2">
        <v>0</v>
      </c>
      <c r="F7896" t="s">
        <v>13</v>
      </c>
      <c r="G7896" t="s">
        <v>9</v>
      </c>
    </row>
    <row r="7897" spans="1:7" x14ac:dyDescent="0.35">
      <c r="A7897">
        <v>3136</v>
      </c>
      <c r="B7897" s="1">
        <v>45737</v>
      </c>
      <c r="C7897" t="s">
        <v>12</v>
      </c>
      <c r="D7897" s="2">
        <v>0</v>
      </c>
      <c r="E7897" s="2">
        <v>2395.29</v>
      </c>
      <c r="F7897" t="s">
        <v>14</v>
      </c>
      <c r="G7897" t="s">
        <v>15</v>
      </c>
    </row>
    <row r="7898" spans="1:7" x14ac:dyDescent="0.35">
      <c r="A7898">
        <v>3136</v>
      </c>
      <c r="B7898" s="1">
        <v>45737</v>
      </c>
      <c r="C7898" t="s">
        <v>12</v>
      </c>
      <c r="D7898" s="2">
        <v>0</v>
      </c>
      <c r="E7898" s="2">
        <v>179.65</v>
      </c>
      <c r="F7898" t="s">
        <v>16</v>
      </c>
      <c r="G7898" t="s">
        <v>17</v>
      </c>
    </row>
    <row r="7899" spans="1:7" x14ac:dyDescent="0.35">
      <c r="A7899">
        <v>3137</v>
      </c>
      <c r="B7899" s="1">
        <v>45737</v>
      </c>
      <c r="C7899" t="s">
        <v>12</v>
      </c>
      <c r="D7899" s="2">
        <v>3532.08</v>
      </c>
      <c r="E7899" s="2">
        <v>0</v>
      </c>
      <c r="F7899" t="s">
        <v>13</v>
      </c>
      <c r="G7899" t="s">
        <v>9</v>
      </c>
    </row>
    <row r="7900" spans="1:7" x14ac:dyDescent="0.35">
      <c r="A7900">
        <v>3137</v>
      </c>
      <c r="B7900" s="1">
        <v>45737</v>
      </c>
      <c r="C7900" t="s">
        <v>12</v>
      </c>
      <c r="D7900" s="2">
        <v>0</v>
      </c>
      <c r="E7900" s="2">
        <v>3285.67</v>
      </c>
      <c r="F7900" t="s">
        <v>14</v>
      </c>
      <c r="G7900" t="s">
        <v>15</v>
      </c>
    </row>
    <row r="7901" spans="1:7" x14ac:dyDescent="0.35">
      <c r="A7901">
        <v>3137</v>
      </c>
      <c r="B7901" s="1">
        <v>45737</v>
      </c>
      <c r="C7901" t="s">
        <v>12</v>
      </c>
      <c r="D7901" s="2">
        <v>0</v>
      </c>
      <c r="E7901" s="2">
        <v>246.41</v>
      </c>
      <c r="F7901" t="s">
        <v>16</v>
      </c>
      <c r="G7901" t="s">
        <v>17</v>
      </c>
    </row>
    <row r="7902" spans="1:7" x14ac:dyDescent="0.35">
      <c r="A7902">
        <v>3138</v>
      </c>
      <c r="B7902" s="1">
        <v>45737</v>
      </c>
      <c r="C7902" t="s">
        <v>12</v>
      </c>
      <c r="D7902" s="2">
        <v>5694.2</v>
      </c>
      <c r="E7902" s="2">
        <v>0</v>
      </c>
      <c r="F7902" t="s">
        <v>13</v>
      </c>
      <c r="G7902" t="s">
        <v>9</v>
      </c>
    </row>
    <row r="7903" spans="1:7" x14ac:dyDescent="0.35">
      <c r="A7903">
        <v>3138</v>
      </c>
      <c r="B7903" s="1">
        <v>45737</v>
      </c>
      <c r="C7903" t="s">
        <v>12</v>
      </c>
      <c r="D7903" s="2">
        <v>0</v>
      </c>
      <c r="E7903" s="2">
        <v>5296.93</v>
      </c>
      <c r="F7903" t="s">
        <v>14</v>
      </c>
      <c r="G7903" t="s">
        <v>15</v>
      </c>
    </row>
    <row r="7904" spans="1:7" x14ac:dyDescent="0.35">
      <c r="A7904">
        <v>3138</v>
      </c>
      <c r="B7904" s="1">
        <v>45737</v>
      </c>
      <c r="C7904" t="s">
        <v>12</v>
      </c>
      <c r="D7904" s="2">
        <v>0</v>
      </c>
      <c r="E7904" s="2">
        <v>397.27</v>
      </c>
      <c r="F7904" t="s">
        <v>16</v>
      </c>
      <c r="G7904" t="s">
        <v>17</v>
      </c>
    </row>
    <row r="7905" spans="1:7" x14ac:dyDescent="0.35">
      <c r="A7905">
        <v>3139</v>
      </c>
      <c r="B7905" s="1">
        <v>45737</v>
      </c>
      <c r="C7905" t="s">
        <v>12</v>
      </c>
      <c r="D7905" s="2">
        <v>938.13</v>
      </c>
      <c r="E7905" s="2">
        <v>0</v>
      </c>
      <c r="F7905" t="s">
        <v>13</v>
      </c>
      <c r="G7905" t="s">
        <v>9</v>
      </c>
    </row>
    <row r="7906" spans="1:7" x14ac:dyDescent="0.35">
      <c r="A7906">
        <v>3139</v>
      </c>
      <c r="B7906" s="1">
        <v>45737</v>
      </c>
      <c r="C7906" t="s">
        <v>12</v>
      </c>
      <c r="D7906" s="2">
        <v>0</v>
      </c>
      <c r="E7906" s="2">
        <v>872.68</v>
      </c>
      <c r="F7906" t="s">
        <v>14</v>
      </c>
      <c r="G7906" t="s">
        <v>15</v>
      </c>
    </row>
    <row r="7907" spans="1:7" x14ac:dyDescent="0.35">
      <c r="A7907">
        <v>3139</v>
      </c>
      <c r="B7907" s="1">
        <v>45737</v>
      </c>
      <c r="C7907" t="s">
        <v>12</v>
      </c>
      <c r="D7907" s="2">
        <v>0</v>
      </c>
      <c r="E7907" s="2">
        <v>65.45</v>
      </c>
      <c r="F7907" t="s">
        <v>16</v>
      </c>
      <c r="G7907" t="s">
        <v>17</v>
      </c>
    </row>
    <row r="7908" spans="1:7" x14ac:dyDescent="0.35">
      <c r="A7908">
        <v>3140</v>
      </c>
      <c r="B7908" s="1">
        <v>45737</v>
      </c>
      <c r="C7908" t="s">
        <v>12</v>
      </c>
      <c r="D7908" s="2">
        <v>184.76</v>
      </c>
      <c r="E7908" s="2">
        <v>0</v>
      </c>
      <c r="F7908" t="s">
        <v>13</v>
      </c>
      <c r="G7908" t="s">
        <v>9</v>
      </c>
    </row>
    <row r="7909" spans="1:7" x14ac:dyDescent="0.35">
      <c r="A7909">
        <v>3140</v>
      </c>
      <c r="B7909" s="1">
        <v>45737</v>
      </c>
      <c r="C7909" t="s">
        <v>12</v>
      </c>
      <c r="D7909" s="2">
        <v>0</v>
      </c>
      <c r="E7909" s="2">
        <v>171.87</v>
      </c>
      <c r="F7909" t="s">
        <v>14</v>
      </c>
      <c r="G7909" t="s">
        <v>15</v>
      </c>
    </row>
    <row r="7910" spans="1:7" x14ac:dyDescent="0.35">
      <c r="A7910">
        <v>3140</v>
      </c>
      <c r="B7910" s="1">
        <v>45737</v>
      </c>
      <c r="C7910" t="s">
        <v>12</v>
      </c>
      <c r="D7910" s="2">
        <v>0</v>
      </c>
      <c r="E7910" s="2">
        <v>12.89</v>
      </c>
      <c r="F7910" t="s">
        <v>16</v>
      </c>
      <c r="G7910" t="s">
        <v>17</v>
      </c>
    </row>
    <row r="7911" spans="1:7" x14ac:dyDescent="0.35">
      <c r="A7911">
        <v>3141</v>
      </c>
      <c r="B7911" s="1">
        <v>45737</v>
      </c>
      <c r="C7911" t="s">
        <v>24</v>
      </c>
      <c r="D7911" s="2">
        <v>288.27999999999997</v>
      </c>
      <c r="E7911" s="2">
        <v>0</v>
      </c>
      <c r="F7911" t="s">
        <v>8</v>
      </c>
      <c r="G7911" t="s">
        <v>9</v>
      </c>
    </row>
    <row r="7912" spans="1:7" x14ac:dyDescent="0.35">
      <c r="A7912">
        <v>3141</v>
      </c>
      <c r="B7912" s="1">
        <v>45737</v>
      </c>
      <c r="C7912" t="s">
        <v>24</v>
      </c>
      <c r="D7912" s="2">
        <v>0</v>
      </c>
      <c r="E7912" s="2">
        <v>288.27999999999997</v>
      </c>
      <c r="F7912" t="s">
        <v>13</v>
      </c>
      <c r="G7912" t="s">
        <v>9</v>
      </c>
    </row>
    <row r="7913" spans="1:7" x14ac:dyDescent="0.35">
      <c r="A7913">
        <v>3142</v>
      </c>
      <c r="B7913" s="1">
        <v>45737</v>
      </c>
      <c r="C7913" t="s">
        <v>24</v>
      </c>
      <c r="D7913" s="2">
        <v>844.73</v>
      </c>
      <c r="E7913" s="2">
        <v>0</v>
      </c>
      <c r="F7913" t="s">
        <v>8</v>
      </c>
      <c r="G7913" t="s">
        <v>9</v>
      </c>
    </row>
    <row r="7914" spans="1:7" x14ac:dyDescent="0.35">
      <c r="A7914">
        <v>3142</v>
      </c>
      <c r="B7914" s="1">
        <v>45737</v>
      </c>
      <c r="C7914" t="s">
        <v>24</v>
      </c>
      <c r="D7914" s="2">
        <v>0</v>
      </c>
      <c r="E7914" s="2">
        <v>844.73</v>
      </c>
      <c r="F7914" t="s">
        <v>13</v>
      </c>
      <c r="G7914" t="s">
        <v>9</v>
      </c>
    </row>
    <row r="7915" spans="1:7" x14ac:dyDescent="0.35">
      <c r="A7915">
        <v>3143</v>
      </c>
      <c r="B7915" s="1">
        <v>45737</v>
      </c>
      <c r="C7915" t="s">
        <v>24</v>
      </c>
      <c r="D7915" s="2">
        <v>1558.82</v>
      </c>
      <c r="E7915" s="2">
        <v>0</v>
      </c>
      <c r="F7915" t="s">
        <v>8</v>
      </c>
      <c r="G7915" t="s">
        <v>9</v>
      </c>
    </row>
    <row r="7916" spans="1:7" x14ac:dyDescent="0.35">
      <c r="A7916">
        <v>3143</v>
      </c>
      <c r="B7916" s="1">
        <v>45737</v>
      </c>
      <c r="C7916" t="s">
        <v>24</v>
      </c>
      <c r="D7916" s="2">
        <v>0</v>
      </c>
      <c r="E7916" s="2">
        <v>1558.82</v>
      </c>
      <c r="F7916" t="s">
        <v>13</v>
      </c>
      <c r="G7916" t="s">
        <v>9</v>
      </c>
    </row>
    <row r="7917" spans="1:7" x14ac:dyDescent="0.35">
      <c r="A7917">
        <v>3144</v>
      </c>
      <c r="B7917" s="1">
        <v>45737</v>
      </c>
      <c r="C7917" t="s">
        <v>24</v>
      </c>
      <c r="D7917" s="2">
        <v>497.52</v>
      </c>
      <c r="E7917" s="2">
        <v>0</v>
      </c>
      <c r="F7917" t="s">
        <v>8</v>
      </c>
      <c r="G7917" t="s">
        <v>9</v>
      </c>
    </row>
    <row r="7918" spans="1:7" x14ac:dyDescent="0.35">
      <c r="A7918">
        <v>3144</v>
      </c>
      <c r="B7918" s="1">
        <v>45737</v>
      </c>
      <c r="C7918" t="s">
        <v>24</v>
      </c>
      <c r="D7918" s="2">
        <v>0</v>
      </c>
      <c r="E7918" s="2">
        <v>497.52</v>
      </c>
      <c r="F7918" t="s">
        <v>13</v>
      </c>
      <c r="G7918" t="s">
        <v>9</v>
      </c>
    </row>
    <row r="7919" spans="1:7" x14ac:dyDescent="0.35">
      <c r="A7919">
        <v>3145</v>
      </c>
      <c r="B7919" s="1">
        <v>45737</v>
      </c>
      <c r="C7919" t="s">
        <v>24</v>
      </c>
      <c r="D7919" s="2">
        <v>240.46</v>
      </c>
      <c r="E7919" s="2">
        <v>0</v>
      </c>
      <c r="F7919" t="s">
        <v>8</v>
      </c>
      <c r="G7919" t="s">
        <v>9</v>
      </c>
    </row>
    <row r="7920" spans="1:7" x14ac:dyDescent="0.35">
      <c r="A7920">
        <v>3145</v>
      </c>
      <c r="B7920" s="1">
        <v>45737</v>
      </c>
      <c r="C7920" t="s">
        <v>24</v>
      </c>
      <c r="D7920" s="2">
        <v>0</v>
      </c>
      <c r="E7920" s="2">
        <v>240.46</v>
      </c>
      <c r="F7920" t="s">
        <v>13</v>
      </c>
      <c r="G7920" t="s">
        <v>9</v>
      </c>
    </row>
    <row r="7921" spans="1:7" x14ac:dyDescent="0.35">
      <c r="A7921">
        <v>3146</v>
      </c>
      <c r="B7921" s="1">
        <v>45737</v>
      </c>
      <c r="C7921" t="s">
        <v>24</v>
      </c>
      <c r="D7921" s="2">
        <v>533.85</v>
      </c>
      <c r="E7921" s="2">
        <v>0</v>
      </c>
      <c r="F7921" t="s">
        <v>8</v>
      </c>
      <c r="G7921" t="s">
        <v>9</v>
      </c>
    </row>
    <row r="7922" spans="1:7" x14ac:dyDescent="0.35">
      <c r="A7922">
        <v>3146</v>
      </c>
      <c r="B7922" s="1">
        <v>45737</v>
      </c>
      <c r="C7922" t="s">
        <v>24</v>
      </c>
      <c r="D7922" s="2">
        <v>0</v>
      </c>
      <c r="E7922" s="2">
        <v>533.85</v>
      </c>
      <c r="F7922" t="s">
        <v>13</v>
      </c>
      <c r="G7922" t="s">
        <v>9</v>
      </c>
    </row>
    <row r="7923" spans="1:7" x14ac:dyDescent="0.35">
      <c r="A7923">
        <v>3147</v>
      </c>
      <c r="B7923" s="1">
        <v>45737</v>
      </c>
      <c r="C7923" t="s">
        <v>24</v>
      </c>
      <c r="D7923" s="2">
        <v>1101.1199999999999</v>
      </c>
      <c r="E7923" s="2">
        <v>0</v>
      </c>
      <c r="F7923" t="s">
        <v>8</v>
      </c>
      <c r="G7923" t="s">
        <v>9</v>
      </c>
    </row>
    <row r="7924" spans="1:7" x14ac:dyDescent="0.35">
      <c r="A7924">
        <v>3147</v>
      </c>
      <c r="B7924" s="1">
        <v>45737</v>
      </c>
      <c r="C7924" t="s">
        <v>24</v>
      </c>
      <c r="D7924" s="2">
        <v>0</v>
      </c>
      <c r="E7924" s="2">
        <v>1101.1199999999999</v>
      </c>
      <c r="F7924" t="s">
        <v>13</v>
      </c>
      <c r="G7924" t="s">
        <v>9</v>
      </c>
    </row>
    <row r="7925" spans="1:7" x14ac:dyDescent="0.35">
      <c r="A7925">
        <v>3148</v>
      </c>
      <c r="B7925" s="1">
        <v>45737</v>
      </c>
      <c r="C7925" t="s">
        <v>24</v>
      </c>
      <c r="D7925" s="2">
        <v>2500.16</v>
      </c>
      <c r="E7925" s="2">
        <v>0</v>
      </c>
      <c r="F7925" t="s">
        <v>8</v>
      </c>
      <c r="G7925" t="s">
        <v>9</v>
      </c>
    </row>
    <row r="7926" spans="1:7" x14ac:dyDescent="0.35">
      <c r="A7926">
        <v>3148</v>
      </c>
      <c r="B7926" s="1">
        <v>45737</v>
      </c>
      <c r="C7926" t="s">
        <v>24</v>
      </c>
      <c r="D7926" s="2">
        <v>0</v>
      </c>
      <c r="E7926" s="2">
        <v>2500.16</v>
      </c>
      <c r="F7926" t="s">
        <v>13</v>
      </c>
      <c r="G7926" t="s">
        <v>9</v>
      </c>
    </row>
    <row r="7927" spans="1:7" x14ac:dyDescent="0.35">
      <c r="A7927">
        <v>3149</v>
      </c>
      <c r="B7927" s="1">
        <v>45737</v>
      </c>
      <c r="C7927" t="s">
        <v>25</v>
      </c>
      <c r="D7927" s="2">
        <v>952.02</v>
      </c>
      <c r="E7927" s="2">
        <v>0</v>
      </c>
      <c r="F7927" t="s">
        <v>26</v>
      </c>
      <c r="G7927" t="s">
        <v>20</v>
      </c>
    </row>
    <row r="7928" spans="1:7" x14ac:dyDescent="0.35">
      <c r="A7928">
        <v>3149</v>
      </c>
      <c r="B7928" s="1">
        <v>45737</v>
      </c>
      <c r="C7928" t="s">
        <v>25</v>
      </c>
      <c r="D7928" s="2">
        <v>71.400000000000006</v>
      </c>
      <c r="E7928" s="2">
        <v>0</v>
      </c>
      <c r="F7928" t="s">
        <v>27</v>
      </c>
      <c r="G7928" t="s">
        <v>9</v>
      </c>
    </row>
    <row r="7929" spans="1:7" x14ac:dyDescent="0.35">
      <c r="A7929">
        <v>3149</v>
      </c>
      <c r="B7929" s="1">
        <v>45737</v>
      </c>
      <c r="C7929" t="s">
        <v>25</v>
      </c>
      <c r="D7929" s="2">
        <v>0</v>
      </c>
      <c r="E7929" s="2">
        <v>1023.42</v>
      </c>
      <c r="F7929" t="s">
        <v>28</v>
      </c>
      <c r="G7929" t="s">
        <v>17</v>
      </c>
    </row>
    <row r="7930" spans="1:7" x14ac:dyDescent="0.35">
      <c r="A7930">
        <v>3150</v>
      </c>
      <c r="B7930" s="1">
        <v>45737</v>
      </c>
      <c r="C7930" t="s">
        <v>25</v>
      </c>
      <c r="D7930" s="2">
        <v>1078.92</v>
      </c>
      <c r="E7930" s="2">
        <v>0</v>
      </c>
      <c r="F7930" t="s">
        <v>26</v>
      </c>
      <c r="G7930" t="s">
        <v>20</v>
      </c>
    </row>
    <row r="7931" spans="1:7" x14ac:dyDescent="0.35">
      <c r="A7931">
        <v>3150</v>
      </c>
      <c r="B7931" s="1">
        <v>45737</v>
      </c>
      <c r="C7931" t="s">
        <v>25</v>
      </c>
      <c r="D7931" s="2">
        <v>80.92</v>
      </c>
      <c r="E7931" s="2">
        <v>0</v>
      </c>
      <c r="F7931" t="s">
        <v>27</v>
      </c>
      <c r="G7931" t="s">
        <v>9</v>
      </c>
    </row>
    <row r="7932" spans="1:7" x14ac:dyDescent="0.35">
      <c r="A7932">
        <v>3150</v>
      </c>
      <c r="B7932" s="1">
        <v>45737</v>
      </c>
      <c r="C7932" t="s">
        <v>25</v>
      </c>
      <c r="D7932" s="2">
        <v>0</v>
      </c>
      <c r="E7932" s="2">
        <v>1159.8399999999999</v>
      </c>
      <c r="F7932" t="s">
        <v>28</v>
      </c>
      <c r="G7932" t="s">
        <v>17</v>
      </c>
    </row>
    <row r="7933" spans="1:7" x14ac:dyDescent="0.35">
      <c r="A7933">
        <v>3151</v>
      </c>
      <c r="B7933" s="1">
        <v>45737</v>
      </c>
      <c r="C7933" t="s">
        <v>29</v>
      </c>
      <c r="D7933" s="2">
        <v>748.26</v>
      </c>
      <c r="E7933" s="2">
        <v>0</v>
      </c>
      <c r="F7933" t="s">
        <v>28</v>
      </c>
      <c r="G7933" t="s">
        <v>17</v>
      </c>
    </row>
    <row r="7934" spans="1:7" x14ac:dyDescent="0.35">
      <c r="A7934">
        <v>3151</v>
      </c>
      <c r="B7934" s="1">
        <v>45737</v>
      </c>
      <c r="C7934" t="s">
        <v>29</v>
      </c>
      <c r="D7934" s="2">
        <v>0</v>
      </c>
      <c r="E7934" s="2">
        <v>748.26</v>
      </c>
      <c r="F7934" t="s">
        <v>8</v>
      </c>
      <c r="G7934" t="s">
        <v>9</v>
      </c>
    </row>
    <row r="7935" spans="1:7" x14ac:dyDescent="0.35">
      <c r="A7935">
        <v>3152</v>
      </c>
      <c r="B7935" s="1">
        <v>45737</v>
      </c>
      <c r="C7935" t="s">
        <v>29</v>
      </c>
      <c r="D7935" s="2">
        <v>1304.6199999999999</v>
      </c>
      <c r="E7935" s="2">
        <v>0</v>
      </c>
      <c r="F7935" t="s">
        <v>28</v>
      </c>
      <c r="G7935" t="s">
        <v>17</v>
      </c>
    </row>
    <row r="7936" spans="1:7" x14ac:dyDescent="0.35">
      <c r="A7936">
        <v>3152</v>
      </c>
      <c r="B7936" s="1">
        <v>45737</v>
      </c>
      <c r="C7936" t="s">
        <v>29</v>
      </c>
      <c r="D7936" s="2">
        <v>0</v>
      </c>
      <c r="E7936" s="2">
        <v>1304.6199999999999</v>
      </c>
      <c r="F7936" t="s">
        <v>8</v>
      </c>
      <c r="G7936" t="s">
        <v>9</v>
      </c>
    </row>
    <row r="7937" spans="1:7" x14ac:dyDescent="0.35">
      <c r="A7937">
        <v>3153</v>
      </c>
      <c r="B7937" s="1">
        <v>45740</v>
      </c>
      <c r="C7937" t="s">
        <v>12</v>
      </c>
      <c r="D7937" s="2">
        <v>3088.58</v>
      </c>
      <c r="E7937" s="2">
        <v>0</v>
      </c>
      <c r="F7937" t="s">
        <v>13</v>
      </c>
      <c r="G7937" t="s">
        <v>9</v>
      </c>
    </row>
    <row r="7938" spans="1:7" x14ac:dyDescent="0.35">
      <c r="A7938">
        <v>3153</v>
      </c>
      <c r="B7938" s="1">
        <v>45740</v>
      </c>
      <c r="C7938" t="s">
        <v>12</v>
      </c>
      <c r="D7938" s="2">
        <v>0</v>
      </c>
      <c r="E7938" s="2">
        <v>2873.09</v>
      </c>
      <c r="F7938" t="s">
        <v>14</v>
      </c>
      <c r="G7938" t="s">
        <v>15</v>
      </c>
    </row>
    <row r="7939" spans="1:7" x14ac:dyDescent="0.35">
      <c r="A7939">
        <v>3153</v>
      </c>
      <c r="B7939" s="1">
        <v>45740</v>
      </c>
      <c r="C7939" t="s">
        <v>12</v>
      </c>
      <c r="D7939" s="2">
        <v>0</v>
      </c>
      <c r="E7939" s="2">
        <v>215.49</v>
      </c>
      <c r="F7939" t="s">
        <v>16</v>
      </c>
      <c r="G7939" t="s">
        <v>17</v>
      </c>
    </row>
    <row r="7940" spans="1:7" x14ac:dyDescent="0.35">
      <c r="A7940">
        <v>3154</v>
      </c>
      <c r="B7940" s="1">
        <v>45740</v>
      </c>
      <c r="C7940" t="s">
        <v>12</v>
      </c>
      <c r="D7940" s="2">
        <v>3693.41</v>
      </c>
      <c r="E7940" s="2">
        <v>0</v>
      </c>
      <c r="F7940" t="s">
        <v>13</v>
      </c>
      <c r="G7940" t="s">
        <v>9</v>
      </c>
    </row>
    <row r="7941" spans="1:7" x14ac:dyDescent="0.35">
      <c r="A7941">
        <v>3154</v>
      </c>
      <c r="B7941" s="1">
        <v>45740</v>
      </c>
      <c r="C7941" t="s">
        <v>12</v>
      </c>
      <c r="D7941" s="2">
        <v>0</v>
      </c>
      <c r="E7941" s="2">
        <v>3435.73</v>
      </c>
      <c r="F7941" t="s">
        <v>14</v>
      </c>
      <c r="G7941" t="s">
        <v>15</v>
      </c>
    </row>
    <row r="7942" spans="1:7" x14ac:dyDescent="0.35">
      <c r="A7942">
        <v>3154</v>
      </c>
      <c r="B7942" s="1">
        <v>45740</v>
      </c>
      <c r="C7942" t="s">
        <v>12</v>
      </c>
      <c r="D7942" s="2">
        <v>0</v>
      </c>
      <c r="E7942" s="2">
        <v>257.68</v>
      </c>
      <c r="F7942" t="s">
        <v>16</v>
      </c>
      <c r="G7942" t="s">
        <v>17</v>
      </c>
    </row>
    <row r="7943" spans="1:7" x14ac:dyDescent="0.35">
      <c r="A7943">
        <v>3155</v>
      </c>
      <c r="B7943" s="1">
        <v>45740</v>
      </c>
      <c r="C7943" t="s">
        <v>12</v>
      </c>
      <c r="D7943" s="2">
        <v>1824.35</v>
      </c>
      <c r="E7943" s="2">
        <v>0</v>
      </c>
      <c r="F7943" t="s">
        <v>13</v>
      </c>
      <c r="G7943" t="s">
        <v>9</v>
      </c>
    </row>
    <row r="7944" spans="1:7" x14ac:dyDescent="0.35">
      <c r="A7944">
        <v>3155</v>
      </c>
      <c r="B7944" s="1">
        <v>45740</v>
      </c>
      <c r="C7944" t="s">
        <v>12</v>
      </c>
      <c r="D7944" s="2">
        <v>0</v>
      </c>
      <c r="E7944" s="2">
        <v>1697.08</v>
      </c>
      <c r="F7944" t="s">
        <v>14</v>
      </c>
      <c r="G7944" t="s">
        <v>15</v>
      </c>
    </row>
    <row r="7945" spans="1:7" x14ac:dyDescent="0.35">
      <c r="A7945">
        <v>3155</v>
      </c>
      <c r="B7945" s="1">
        <v>45740</v>
      </c>
      <c r="C7945" t="s">
        <v>12</v>
      </c>
      <c r="D7945" s="2">
        <v>0</v>
      </c>
      <c r="E7945" s="2">
        <v>127.27</v>
      </c>
      <c r="F7945" t="s">
        <v>16</v>
      </c>
      <c r="G7945" t="s">
        <v>17</v>
      </c>
    </row>
    <row r="7946" spans="1:7" x14ac:dyDescent="0.35">
      <c r="A7946">
        <v>3156</v>
      </c>
      <c r="B7946" s="1">
        <v>45740</v>
      </c>
      <c r="C7946" t="s">
        <v>12</v>
      </c>
      <c r="D7946" s="2">
        <v>4135.34</v>
      </c>
      <c r="E7946" s="2">
        <v>0</v>
      </c>
      <c r="F7946" t="s">
        <v>13</v>
      </c>
      <c r="G7946" t="s">
        <v>9</v>
      </c>
    </row>
    <row r="7947" spans="1:7" x14ac:dyDescent="0.35">
      <c r="A7947">
        <v>3156</v>
      </c>
      <c r="B7947" s="1">
        <v>45740</v>
      </c>
      <c r="C7947" t="s">
        <v>12</v>
      </c>
      <c r="D7947" s="2">
        <v>0</v>
      </c>
      <c r="E7947" s="2">
        <v>3846.83</v>
      </c>
      <c r="F7947" t="s">
        <v>14</v>
      </c>
      <c r="G7947" t="s">
        <v>15</v>
      </c>
    </row>
    <row r="7948" spans="1:7" x14ac:dyDescent="0.35">
      <c r="A7948">
        <v>3156</v>
      </c>
      <c r="B7948" s="1">
        <v>45740</v>
      </c>
      <c r="C7948" t="s">
        <v>12</v>
      </c>
      <c r="D7948" s="2">
        <v>0</v>
      </c>
      <c r="E7948" s="2">
        <v>288.51</v>
      </c>
      <c r="F7948" t="s">
        <v>16</v>
      </c>
      <c r="G7948" t="s">
        <v>17</v>
      </c>
    </row>
    <row r="7949" spans="1:7" x14ac:dyDescent="0.35">
      <c r="A7949">
        <v>3157</v>
      </c>
      <c r="B7949" s="1">
        <v>45740</v>
      </c>
      <c r="C7949" t="s">
        <v>12</v>
      </c>
      <c r="D7949" s="2">
        <v>2679.36</v>
      </c>
      <c r="E7949" s="2">
        <v>0</v>
      </c>
      <c r="F7949" t="s">
        <v>13</v>
      </c>
      <c r="G7949" t="s">
        <v>9</v>
      </c>
    </row>
    <row r="7950" spans="1:7" x14ac:dyDescent="0.35">
      <c r="A7950">
        <v>3157</v>
      </c>
      <c r="B7950" s="1">
        <v>45740</v>
      </c>
      <c r="C7950" t="s">
        <v>12</v>
      </c>
      <c r="D7950" s="2">
        <v>0</v>
      </c>
      <c r="E7950" s="2">
        <v>2492.42</v>
      </c>
      <c r="F7950" t="s">
        <v>14</v>
      </c>
      <c r="G7950" t="s">
        <v>15</v>
      </c>
    </row>
    <row r="7951" spans="1:7" x14ac:dyDescent="0.35">
      <c r="A7951">
        <v>3157</v>
      </c>
      <c r="B7951" s="1">
        <v>45740</v>
      </c>
      <c r="C7951" t="s">
        <v>12</v>
      </c>
      <c r="D7951" s="2">
        <v>0</v>
      </c>
      <c r="E7951" s="2">
        <v>186.94</v>
      </c>
      <c r="F7951" t="s">
        <v>16</v>
      </c>
      <c r="G7951" t="s">
        <v>17</v>
      </c>
    </row>
    <row r="7952" spans="1:7" x14ac:dyDescent="0.35">
      <c r="A7952">
        <v>3158</v>
      </c>
      <c r="B7952" s="1">
        <v>45740</v>
      </c>
      <c r="C7952" t="s">
        <v>12</v>
      </c>
      <c r="D7952" s="2">
        <v>2095.79</v>
      </c>
      <c r="E7952" s="2">
        <v>0</v>
      </c>
      <c r="F7952" t="s">
        <v>13</v>
      </c>
      <c r="G7952" t="s">
        <v>9</v>
      </c>
    </row>
    <row r="7953" spans="1:7" x14ac:dyDescent="0.35">
      <c r="A7953">
        <v>3158</v>
      </c>
      <c r="B7953" s="1">
        <v>45740</v>
      </c>
      <c r="C7953" t="s">
        <v>12</v>
      </c>
      <c r="D7953" s="2">
        <v>0</v>
      </c>
      <c r="E7953" s="2">
        <v>1949.57</v>
      </c>
      <c r="F7953" t="s">
        <v>14</v>
      </c>
      <c r="G7953" t="s">
        <v>15</v>
      </c>
    </row>
    <row r="7954" spans="1:7" x14ac:dyDescent="0.35">
      <c r="A7954">
        <v>3158</v>
      </c>
      <c r="B7954" s="1">
        <v>45740</v>
      </c>
      <c r="C7954" t="s">
        <v>12</v>
      </c>
      <c r="D7954" s="2">
        <v>0</v>
      </c>
      <c r="E7954" s="2">
        <v>146.22</v>
      </c>
      <c r="F7954" t="s">
        <v>16</v>
      </c>
      <c r="G7954" t="s">
        <v>17</v>
      </c>
    </row>
    <row r="7955" spans="1:7" x14ac:dyDescent="0.35">
      <c r="A7955">
        <v>3159</v>
      </c>
      <c r="B7955" s="1">
        <v>45740</v>
      </c>
      <c r="C7955" t="s">
        <v>24</v>
      </c>
      <c r="D7955" s="2">
        <v>229.42</v>
      </c>
      <c r="E7955" s="2">
        <v>0</v>
      </c>
      <c r="F7955" t="s">
        <v>8</v>
      </c>
      <c r="G7955" t="s">
        <v>9</v>
      </c>
    </row>
    <row r="7956" spans="1:7" x14ac:dyDescent="0.35">
      <c r="A7956">
        <v>3159</v>
      </c>
      <c r="B7956" s="1">
        <v>45740</v>
      </c>
      <c r="C7956" t="s">
        <v>24</v>
      </c>
      <c r="D7956" s="2">
        <v>0</v>
      </c>
      <c r="E7956" s="2">
        <v>229.42</v>
      </c>
      <c r="F7956" t="s">
        <v>13</v>
      </c>
      <c r="G7956" t="s">
        <v>9</v>
      </c>
    </row>
    <row r="7957" spans="1:7" x14ac:dyDescent="0.35">
      <c r="A7957">
        <v>3160</v>
      </c>
      <c r="B7957" s="1">
        <v>45740</v>
      </c>
      <c r="C7957" t="s">
        <v>24</v>
      </c>
      <c r="D7957" s="2">
        <v>115.41</v>
      </c>
      <c r="E7957" s="2">
        <v>0</v>
      </c>
      <c r="F7957" t="s">
        <v>8</v>
      </c>
      <c r="G7957" t="s">
        <v>9</v>
      </c>
    </row>
    <row r="7958" spans="1:7" x14ac:dyDescent="0.35">
      <c r="A7958">
        <v>3160</v>
      </c>
      <c r="B7958" s="1">
        <v>45740</v>
      </c>
      <c r="C7958" t="s">
        <v>24</v>
      </c>
      <c r="D7958" s="2">
        <v>0</v>
      </c>
      <c r="E7958" s="2">
        <v>115.41</v>
      </c>
      <c r="F7958" t="s">
        <v>13</v>
      </c>
      <c r="G7958" t="s">
        <v>9</v>
      </c>
    </row>
    <row r="7959" spans="1:7" x14ac:dyDescent="0.35">
      <c r="A7959">
        <v>3161</v>
      </c>
      <c r="B7959" s="1">
        <v>45740</v>
      </c>
      <c r="C7959" t="s">
        <v>24</v>
      </c>
      <c r="D7959" s="2">
        <v>3612.41</v>
      </c>
      <c r="E7959" s="2">
        <v>0</v>
      </c>
      <c r="F7959" t="s">
        <v>8</v>
      </c>
      <c r="G7959" t="s">
        <v>9</v>
      </c>
    </row>
    <row r="7960" spans="1:7" x14ac:dyDescent="0.35">
      <c r="A7960">
        <v>3161</v>
      </c>
      <c r="B7960" s="1">
        <v>45740</v>
      </c>
      <c r="C7960" t="s">
        <v>24</v>
      </c>
      <c r="D7960" s="2">
        <v>0</v>
      </c>
      <c r="E7960" s="2">
        <v>3612.41</v>
      </c>
      <c r="F7960" t="s">
        <v>13</v>
      </c>
      <c r="G7960" t="s">
        <v>9</v>
      </c>
    </row>
    <row r="7961" spans="1:7" x14ac:dyDescent="0.35">
      <c r="A7961">
        <v>3162</v>
      </c>
      <c r="B7961" s="1">
        <v>45740</v>
      </c>
      <c r="C7961" t="s">
        <v>24</v>
      </c>
      <c r="D7961" s="2">
        <v>1855.43</v>
      </c>
      <c r="E7961" s="2">
        <v>0</v>
      </c>
      <c r="F7961" t="s">
        <v>8</v>
      </c>
      <c r="G7961" t="s">
        <v>9</v>
      </c>
    </row>
    <row r="7962" spans="1:7" x14ac:dyDescent="0.35">
      <c r="A7962">
        <v>3162</v>
      </c>
      <c r="B7962" s="1">
        <v>45740</v>
      </c>
      <c r="C7962" t="s">
        <v>24</v>
      </c>
      <c r="D7962" s="2">
        <v>0</v>
      </c>
      <c r="E7962" s="2">
        <v>1855.43</v>
      </c>
      <c r="F7962" t="s">
        <v>13</v>
      </c>
      <c r="G7962" t="s">
        <v>9</v>
      </c>
    </row>
    <row r="7963" spans="1:7" x14ac:dyDescent="0.35">
      <c r="A7963">
        <v>3163</v>
      </c>
      <c r="B7963" s="1">
        <v>45740</v>
      </c>
      <c r="C7963" t="s">
        <v>24</v>
      </c>
      <c r="D7963" s="2">
        <v>2675.33</v>
      </c>
      <c r="E7963" s="2">
        <v>0</v>
      </c>
      <c r="F7963" t="s">
        <v>8</v>
      </c>
      <c r="G7963" t="s">
        <v>9</v>
      </c>
    </row>
    <row r="7964" spans="1:7" x14ac:dyDescent="0.35">
      <c r="A7964">
        <v>3163</v>
      </c>
      <c r="B7964" s="1">
        <v>45740</v>
      </c>
      <c r="C7964" t="s">
        <v>24</v>
      </c>
      <c r="D7964" s="2">
        <v>0</v>
      </c>
      <c r="E7964" s="2">
        <v>2675.33</v>
      </c>
      <c r="F7964" t="s">
        <v>13</v>
      </c>
      <c r="G7964" t="s">
        <v>9</v>
      </c>
    </row>
    <row r="7965" spans="1:7" x14ac:dyDescent="0.35">
      <c r="A7965">
        <v>3164</v>
      </c>
      <c r="B7965" s="1">
        <v>45740</v>
      </c>
      <c r="C7965" t="s">
        <v>24</v>
      </c>
      <c r="D7965" s="2">
        <v>845.61</v>
      </c>
      <c r="E7965" s="2">
        <v>0</v>
      </c>
      <c r="F7965" t="s">
        <v>8</v>
      </c>
      <c r="G7965" t="s">
        <v>9</v>
      </c>
    </row>
    <row r="7966" spans="1:7" x14ac:dyDescent="0.35">
      <c r="A7966">
        <v>3164</v>
      </c>
      <c r="B7966" s="1">
        <v>45740</v>
      </c>
      <c r="C7966" t="s">
        <v>24</v>
      </c>
      <c r="D7966" s="2">
        <v>0</v>
      </c>
      <c r="E7966" s="2">
        <v>845.61</v>
      </c>
      <c r="F7966" t="s">
        <v>13</v>
      </c>
      <c r="G7966" t="s">
        <v>9</v>
      </c>
    </row>
    <row r="7967" spans="1:7" x14ac:dyDescent="0.35">
      <c r="A7967">
        <v>3165</v>
      </c>
      <c r="B7967" s="1">
        <v>45740</v>
      </c>
      <c r="C7967" t="s">
        <v>25</v>
      </c>
      <c r="D7967" s="2">
        <v>257.04000000000002</v>
      </c>
      <c r="E7967" s="2">
        <v>0</v>
      </c>
      <c r="F7967" t="s">
        <v>26</v>
      </c>
      <c r="G7967" t="s">
        <v>20</v>
      </c>
    </row>
    <row r="7968" spans="1:7" x14ac:dyDescent="0.35">
      <c r="A7968">
        <v>3165</v>
      </c>
      <c r="B7968" s="1">
        <v>45740</v>
      </c>
      <c r="C7968" t="s">
        <v>25</v>
      </c>
      <c r="D7968" s="2">
        <v>19.28</v>
      </c>
      <c r="E7968" s="2">
        <v>0</v>
      </c>
      <c r="F7968" t="s">
        <v>27</v>
      </c>
      <c r="G7968" t="s">
        <v>9</v>
      </c>
    </row>
    <row r="7969" spans="1:7" x14ac:dyDescent="0.35">
      <c r="A7969">
        <v>3165</v>
      </c>
      <c r="B7969" s="1">
        <v>45740</v>
      </c>
      <c r="C7969" t="s">
        <v>25</v>
      </c>
      <c r="D7969" s="2">
        <v>0</v>
      </c>
      <c r="E7969" s="2">
        <v>276.32</v>
      </c>
      <c r="F7969" t="s">
        <v>28</v>
      </c>
      <c r="G7969" t="s">
        <v>17</v>
      </c>
    </row>
    <row r="7970" spans="1:7" x14ac:dyDescent="0.35">
      <c r="A7970">
        <v>3166</v>
      </c>
      <c r="B7970" s="1">
        <v>45740</v>
      </c>
      <c r="C7970" t="s">
        <v>25</v>
      </c>
      <c r="D7970" s="2">
        <v>1947.24</v>
      </c>
      <c r="E7970" s="2">
        <v>0</v>
      </c>
      <c r="F7970" t="s">
        <v>26</v>
      </c>
      <c r="G7970" t="s">
        <v>20</v>
      </c>
    </row>
    <row r="7971" spans="1:7" x14ac:dyDescent="0.35">
      <c r="A7971">
        <v>3166</v>
      </c>
      <c r="B7971" s="1">
        <v>45740</v>
      </c>
      <c r="C7971" t="s">
        <v>25</v>
      </c>
      <c r="D7971" s="2">
        <v>146.04</v>
      </c>
      <c r="E7971" s="2">
        <v>0</v>
      </c>
      <c r="F7971" t="s">
        <v>27</v>
      </c>
      <c r="G7971" t="s">
        <v>9</v>
      </c>
    </row>
    <row r="7972" spans="1:7" x14ac:dyDescent="0.35">
      <c r="A7972">
        <v>3166</v>
      </c>
      <c r="B7972" s="1">
        <v>45740</v>
      </c>
      <c r="C7972" t="s">
        <v>25</v>
      </c>
      <c r="D7972" s="2">
        <v>0</v>
      </c>
      <c r="E7972" s="2">
        <v>2093.2800000000002</v>
      </c>
      <c r="F7972" t="s">
        <v>28</v>
      </c>
      <c r="G7972" t="s">
        <v>17</v>
      </c>
    </row>
    <row r="7973" spans="1:7" x14ac:dyDescent="0.35">
      <c r="A7973">
        <v>3167</v>
      </c>
      <c r="B7973" s="1">
        <v>45740</v>
      </c>
      <c r="C7973" t="s">
        <v>25</v>
      </c>
      <c r="D7973" s="2">
        <v>187.44</v>
      </c>
      <c r="E7973" s="2">
        <v>0</v>
      </c>
      <c r="F7973" t="s">
        <v>26</v>
      </c>
      <c r="G7973" t="s">
        <v>20</v>
      </c>
    </row>
    <row r="7974" spans="1:7" x14ac:dyDescent="0.35">
      <c r="A7974">
        <v>3167</v>
      </c>
      <c r="B7974" s="1">
        <v>45740</v>
      </c>
      <c r="C7974" t="s">
        <v>25</v>
      </c>
      <c r="D7974" s="2">
        <v>14.06</v>
      </c>
      <c r="E7974" s="2">
        <v>0</v>
      </c>
      <c r="F7974" t="s">
        <v>27</v>
      </c>
      <c r="G7974" t="s">
        <v>9</v>
      </c>
    </row>
    <row r="7975" spans="1:7" x14ac:dyDescent="0.35">
      <c r="A7975">
        <v>3167</v>
      </c>
      <c r="B7975" s="1">
        <v>45740</v>
      </c>
      <c r="C7975" t="s">
        <v>25</v>
      </c>
      <c r="D7975" s="2">
        <v>0</v>
      </c>
      <c r="E7975" s="2">
        <v>201.5</v>
      </c>
      <c r="F7975" t="s">
        <v>28</v>
      </c>
      <c r="G7975" t="s">
        <v>17</v>
      </c>
    </row>
    <row r="7976" spans="1:7" x14ac:dyDescent="0.35">
      <c r="A7976">
        <v>3168</v>
      </c>
      <c r="B7976" s="1">
        <v>45740</v>
      </c>
      <c r="C7976" t="s">
        <v>25</v>
      </c>
      <c r="D7976" s="2">
        <v>2329.52</v>
      </c>
      <c r="E7976" s="2">
        <v>0</v>
      </c>
      <c r="F7976" t="s">
        <v>26</v>
      </c>
      <c r="G7976" t="s">
        <v>20</v>
      </c>
    </row>
    <row r="7977" spans="1:7" x14ac:dyDescent="0.35">
      <c r="A7977">
        <v>3168</v>
      </c>
      <c r="B7977" s="1">
        <v>45740</v>
      </c>
      <c r="C7977" t="s">
        <v>25</v>
      </c>
      <c r="D7977" s="2">
        <v>174.71</v>
      </c>
      <c r="E7977" s="2">
        <v>0</v>
      </c>
      <c r="F7977" t="s">
        <v>27</v>
      </c>
      <c r="G7977" t="s">
        <v>9</v>
      </c>
    </row>
    <row r="7978" spans="1:7" x14ac:dyDescent="0.35">
      <c r="A7978">
        <v>3168</v>
      </c>
      <c r="B7978" s="1">
        <v>45740</v>
      </c>
      <c r="C7978" t="s">
        <v>25</v>
      </c>
      <c r="D7978" s="2">
        <v>0</v>
      </c>
      <c r="E7978" s="2">
        <v>2504.23</v>
      </c>
      <c r="F7978" t="s">
        <v>28</v>
      </c>
      <c r="G7978" t="s">
        <v>17</v>
      </c>
    </row>
    <row r="7979" spans="1:7" x14ac:dyDescent="0.35">
      <c r="A7979">
        <v>3169</v>
      </c>
      <c r="B7979" s="1">
        <v>45740</v>
      </c>
      <c r="C7979" t="s">
        <v>25</v>
      </c>
      <c r="D7979" s="2">
        <v>383.76</v>
      </c>
      <c r="E7979" s="2">
        <v>0</v>
      </c>
      <c r="F7979" t="s">
        <v>26</v>
      </c>
      <c r="G7979" t="s">
        <v>20</v>
      </c>
    </row>
    <row r="7980" spans="1:7" x14ac:dyDescent="0.35">
      <c r="A7980">
        <v>3169</v>
      </c>
      <c r="B7980" s="1">
        <v>45740</v>
      </c>
      <c r="C7980" t="s">
        <v>25</v>
      </c>
      <c r="D7980" s="2">
        <v>28.78</v>
      </c>
      <c r="E7980" s="2">
        <v>0</v>
      </c>
      <c r="F7980" t="s">
        <v>27</v>
      </c>
      <c r="G7980" t="s">
        <v>9</v>
      </c>
    </row>
    <row r="7981" spans="1:7" x14ac:dyDescent="0.35">
      <c r="A7981">
        <v>3169</v>
      </c>
      <c r="B7981" s="1">
        <v>45740</v>
      </c>
      <c r="C7981" t="s">
        <v>25</v>
      </c>
      <c r="D7981" s="2">
        <v>0</v>
      </c>
      <c r="E7981" s="2">
        <v>412.54</v>
      </c>
      <c r="F7981" t="s">
        <v>28</v>
      </c>
      <c r="G7981" t="s">
        <v>17</v>
      </c>
    </row>
    <row r="7982" spans="1:7" x14ac:dyDescent="0.35">
      <c r="A7982">
        <v>3170</v>
      </c>
      <c r="B7982" s="1">
        <v>45740</v>
      </c>
      <c r="C7982" t="s">
        <v>29</v>
      </c>
      <c r="D7982" s="2">
        <v>1159.8399999999999</v>
      </c>
      <c r="E7982" s="2">
        <v>0</v>
      </c>
      <c r="F7982" t="s">
        <v>28</v>
      </c>
      <c r="G7982" t="s">
        <v>17</v>
      </c>
    </row>
    <row r="7983" spans="1:7" x14ac:dyDescent="0.35">
      <c r="A7983">
        <v>3170</v>
      </c>
      <c r="B7983" s="1">
        <v>45740</v>
      </c>
      <c r="C7983" t="s">
        <v>29</v>
      </c>
      <c r="D7983" s="2">
        <v>0</v>
      </c>
      <c r="E7983" s="2">
        <v>1159.8399999999999</v>
      </c>
      <c r="F7983" t="s">
        <v>8</v>
      </c>
      <c r="G7983" t="s">
        <v>9</v>
      </c>
    </row>
    <row r="7984" spans="1:7" x14ac:dyDescent="0.35">
      <c r="A7984">
        <v>3171</v>
      </c>
      <c r="B7984" s="1">
        <v>45741</v>
      </c>
      <c r="C7984" t="s">
        <v>12</v>
      </c>
      <c r="D7984" s="2">
        <v>339.42</v>
      </c>
      <c r="E7984" s="2">
        <v>0</v>
      </c>
      <c r="F7984" t="s">
        <v>13</v>
      </c>
      <c r="G7984" t="s">
        <v>9</v>
      </c>
    </row>
    <row r="7985" spans="1:7" x14ac:dyDescent="0.35">
      <c r="A7985">
        <v>3171</v>
      </c>
      <c r="B7985" s="1">
        <v>45741</v>
      </c>
      <c r="C7985" t="s">
        <v>12</v>
      </c>
      <c r="D7985" s="2">
        <v>0</v>
      </c>
      <c r="E7985" s="2">
        <v>315.74</v>
      </c>
      <c r="F7985" t="s">
        <v>14</v>
      </c>
      <c r="G7985" t="s">
        <v>15</v>
      </c>
    </row>
    <row r="7986" spans="1:7" x14ac:dyDescent="0.35">
      <c r="A7986">
        <v>3171</v>
      </c>
      <c r="B7986" s="1">
        <v>45741</v>
      </c>
      <c r="C7986" t="s">
        <v>12</v>
      </c>
      <c r="D7986" s="2">
        <v>0</v>
      </c>
      <c r="E7986" s="2">
        <v>23.68</v>
      </c>
      <c r="F7986" t="s">
        <v>16</v>
      </c>
      <c r="G7986" t="s">
        <v>17</v>
      </c>
    </row>
    <row r="7987" spans="1:7" x14ac:dyDescent="0.35">
      <c r="A7987">
        <v>3172</v>
      </c>
      <c r="B7987" s="1">
        <v>45741</v>
      </c>
      <c r="C7987" t="s">
        <v>12</v>
      </c>
      <c r="D7987" s="2">
        <v>323.24</v>
      </c>
      <c r="E7987" s="2">
        <v>0</v>
      </c>
      <c r="F7987" t="s">
        <v>13</v>
      </c>
      <c r="G7987" t="s">
        <v>9</v>
      </c>
    </row>
    <row r="7988" spans="1:7" x14ac:dyDescent="0.35">
      <c r="A7988">
        <v>3172</v>
      </c>
      <c r="B7988" s="1">
        <v>45741</v>
      </c>
      <c r="C7988" t="s">
        <v>12</v>
      </c>
      <c r="D7988" s="2">
        <v>0</v>
      </c>
      <c r="E7988" s="2">
        <v>300.69</v>
      </c>
      <c r="F7988" t="s">
        <v>14</v>
      </c>
      <c r="G7988" t="s">
        <v>15</v>
      </c>
    </row>
    <row r="7989" spans="1:7" x14ac:dyDescent="0.35">
      <c r="A7989">
        <v>3172</v>
      </c>
      <c r="B7989" s="1">
        <v>45741</v>
      </c>
      <c r="C7989" t="s">
        <v>12</v>
      </c>
      <c r="D7989" s="2">
        <v>0</v>
      </c>
      <c r="E7989" s="2">
        <v>22.55</v>
      </c>
      <c r="F7989" t="s">
        <v>16</v>
      </c>
      <c r="G7989" t="s">
        <v>17</v>
      </c>
    </row>
    <row r="7990" spans="1:7" x14ac:dyDescent="0.35">
      <c r="A7990">
        <v>3173</v>
      </c>
      <c r="B7990" s="1">
        <v>45741</v>
      </c>
      <c r="C7990" t="s">
        <v>12</v>
      </c>
      <c r="D7990" s="2">
        <v>4059.38</v>
      </c>
      <c r="E7990" s="2">
        <v>0</v>
      </c>
      <c r="F7990" t="s">
        <v>13</v>
      </c>
      <c r="G7990" t="s">
        <v>9</v>
      </c>
    </row>
    <row r="7991" spans="1:7" x14ac:dyDescent="0.35">
      <c r="A7991">
        <v>3173</v>
      </c>
      <c r="B7991" s="1">
        <v>45741</v>
      </c>
      <c r="C7991" t="s">
        <v>12</v>
      </c>
      <c r="D7991" s="2">
        <v>0</v>
      </c>
      <c r="E7991" s="2">
        <v>3776.16</v>
      </c>
      <c r="F7991" t="s">
        <v>14</v>
      </c>
      <c r="G7991" t="s">
        <v>15</v>
      </c>
    </row>
    <row r="7992" spans="1:7" x14ac:dyDescent="0.35">
      <c r="A7992">
        <v>3173</v>
      </c>
      <c r="B7992" s="1">
        <v>45741</v>
      </c>
      <c r="C7992" t="s">
        <v>12</v>
      </c>
      <c r="D7992" s="2">
        <v>0</v>
      </c>
      <c r="E7992" s="2">
        <v>283.22000000000003</v>
      </c>
      <c r="F7992" t="s">
        <v>16</v>
      </c>
      <c r="G7992" t="s">
        <v>17</v>
      </c>
    </row>
    <row r="7993" spans="1:7" x14ac:dyDescent="0.35">
      <c r="A7993">
        <v>3174</v>
      </c>
      <c r="B7993" s="1">
        <v>45741</v>
      </c>
      <c r="C7993" t="s">
        <v>12</v>
      </c>
      <c r="D7993" s="2">
        <v>803.74</v>
      </c>
      <c r="E7993" s="2">
        <v>0</v>
      </c>
      <c r="F7993" t="s">
        <v>13</v>
      </c>
      <c r="G7993" t="s">
        <v>9</v>
      </c>
    </row>
    <row r="7994" spans="1:7" x14ac:dyDescent="0.35">
      <c r="A7994">
        <v>3174</v>
      </c>
      <c r="B7994" s="1">
        <v>45741</v>
      </c>
      <c r="C7994" t="s">
        <v>12</v>
      </c>
      <c r="D7994" s="2">
        <v>0</v>
      </c>
      <c r="E7994" s="2">
        <v>747.66</v>
      </c>
      <c r="F7994" t="s">
        <v>14</v>
      </c>
      <c r="G7994" t="s">
        <v>15</v>
      </c>
    </row>
    <row r="7995" spans="1:7" x14ac:dyDescent="0.35">
      <c r="A7995">
        <v>3174</v>
      </c>
      <c r="B7995" s="1">
        <v>45741</v>
      </c>
      <c r="C7995" t="s">
        <v>12</v>
      </c>
      <c r="D7995" s="2">
        <v>0</v>
      </c>
      <c r="E7995" s="2">
        <v>56.08</v>
      </c>
      <c r="F7995" t="s">
        <v>16</v>
      </c>
      <c r="G7995" t="s">
        <v>17</v>
      </c>
    </row>
    <row r="7996" spans="1:7" x14ac:dyDescent="0.35">
      <c r="A7996">
        <v>3175</v>
      </c>
      <c r="B7996" s="1">
        <v>45741</v>
      </c>
      <c r="C7996" t="s">
        <v>12</v>
      </c>
      <c r="D7996" s="2">
        <v>212.14</v>
      </c>
      <c r="E7996" s="2">
        <v>0</v>
      </c>
      <c r="F7996" t="s">
        <v>13</v>
      </c>
      <c r="G7996" t="s">
        <v>9</v>
      </c>
    </row>
    <row r="7997" spans="1:7" x14ac:dyDescent="0.35">
      <c r="A7997">
        <v>3175</v>
      </c>
      <c r="B7997" s="1">
        <v>45741</v>
      </c>
      <c r="C7997" t="s">
        <v>12</v>
      </c>
      <c r="D7997" s="2">
        <v>0</v>
      </c>
      <c r="E7997" s="2">
        <v>197.34</v>
      </c>
      <c r="F7997" t="s">
        <v>14</v>
      </c>
      <c r="G7997" t="s">
        <v>15</v>
      </c>
    </row>
    <row r="7998" spans="1:7" x14ac:dyDescent="0.35">
      <c r="A7998">
        <v>3175</v>
      </c>
      <c r="B7998" s="1">
        <v>45741</v>
      </c>
      <c r="C7998" t="s">
        <v>12</v>
      </c>
      <c r="D7998" s="2">
        <v>0</v>
      </c>
      <c r="E7998" s="2">
        <v>14.8</v>
      </c>
      <c r="F7998" t="s">
        <v>16</v>
      </c>
      <c r="G7998" t="s">
        <v>17</v>
      </c>
    </row>
    <row r="7999" spans="1:7" x14ac:dyDescent="0.35">
      <c r="A7999">
        <v>3176</v>
      </c>
      <c r="B7999" s="1">
        <v>45741</v>
      </c>
      <c r="C7999" t="s">
        <v>24</v>
      </c>
      <c r="D7999" s="2">
        <v>3831.7</v>
      </c>
      <c r="E7999" s="2">
        <v>0</v>
      </c>
      <c r="F7999" t="s">
        <v>8</v>
      </c>
      <c r="G7999" t="s">
        <v>9</v>
      </c>
    </row>
    <row r="8000" spans="1:7" x14ac:dyDescent="0.35">
      <c r="A8000">
        <v>3176</v>
      </c>
      <c r="B8000" s="1">
        <v>45741</v>
      </c>
      <c r="C8000" t="s">
        <v>24</v>
      </c>
      <c r="D8000" s="2">
        <v>0</v>
      </c>
      <c r="E8000" s="2">
        <v>3831.7</v>
      </c>
      <c r="F8000" t="s">
        <v>13</v>
      </c>
      <c r="G8000" t="s">
        <v>9</v>
      </c>
    </row>
    <row r="8001" spans="1:7" x14ac:dyDescent="0.35">
      <c r="A8001">
        <v>3177</v>
      </c>
      <c r="B8001" s="1">
        <v>45741</v>
      </c>
      <c r="C8001" t="s">
        <v>24</v>
      </c>
      <c r="D8001" s="2">
        <v>289.08999999999997</v>
      </c>
      <c r="E8001" s="2">
        <v>0</v>
      </c>
      <c r="F8001" t="s">
        <v>8</v>
      </c>
      <c r="G8001" t="s">
        <v>9</v>
      </c>
    </row>
    <row r="8002" spans="1:7" x14ac:dyDescent="0.35">
      <c r="A8002">
        <v>3177</v>
      </c>
      <c r="B8002" s="1">
        <v>45741</v>
      </c>
      <c r="C8002" t="s">
        <v>24</v>
      </c>
      <c r="D8002" s="2">
        <v>0</v>
      </c>
      <c r="E8002" s="2">
        <v>289.08999999999997</v>
      </c>
      <c r="F8002" t="s">
        <v>13</v>
      </c>
      <c r="G8002" t="s">
        <v>9</v>
      </c>
    </row>
    <row r="8003" spans="1:7" x14ac:dyDescent="0.35">
      <c r="A8003">
        <v>3178</v>
      </c>
      <c r="B8003" s="1">
        <v>45741</v>
      </c>
      <c r="C8003" t="s">
        <v>25</v>
      </c>
      <c r="D8003" s="2">
        <v>166.52</v>
      </c>
      <c r="E8003" s="2">
        <v>0</v>
      </c>
      <c r="F8003" t="s">
        <v>26</v>
      </c>
      <c r="G8003" t="s">
        <v>20</v>
      </c>
    </row>
    <row r="8004" spans="1:7" x14ac:dyDescent="0.35">
      <c r="A8004">
        <v>3178</v>
      </c>
      <c r="B8004" s="1">
        <v>45741</v>
      </c>
      <c r="C8004" t="s">
        <v>25</v>
      </c>
      <c r="D8004" s="2">
        <v>12.49</v>
      </c>
      <c r="E8004" s="2">
        <v>0</v>
      </c>
      <c r="F8004" t="s">
        <v>27</v>
      </c>
      <c r="G8004" t="s">
        <v>9</v>
      </c>
    </row>
    <row r="8005" spans="1:7" x14ac:dyDescent="0.35">
      <c r="A8005">
        <v>3178</v>
      </c>
      <c r="B8005" s="1">
        <v>45741</v>
      </c>
      <c r="C8005" t="s">
        <v>25</v>
      </c>
      <c r="D8005" s="2">
        <v>0</v>
      </c>
      <c r="E8005" s="2">
        <v>179.01</v>
      </c>
      <c r="F8005" t="s">
        <v>28</v>
      </c>
      <c r="G8005" t="s">
        <v>17</v>
      </c>
    </row>
    <row r="8006" spans="1:7" x14ac:dyDescent="0.35">
      <c r="A8006">
        <v>3179</v>
      </c>
      <c r="B8006" s="1">
        <v>45741</v>
      </c>
      <c r="C8006" t="s">
        <v>25</v>
      </c>
      <c r="D8006" s="2">
        <v>1480.5</v>
      </c>
      <c r="E8006" s="2">
        <v>0</v>
      </c>
      <c r="F8006" t="s">
        <v>26</v>
      </c>
      <c r="G8006" t="s">
        <v>20</v>
      </c>
    </row>
    <row r="8007" spans="1:7" x14ac:dyDescent="0.35">
      <c r="A8007">
        <v>3179</v>
      </c>
      <c r="B8007" s="1">
        <v>45741</v>
      </c>
      <c r="C8007" t="s">
        <v>25</v>
      </c>
      <c r="D8007" s="2">
        <v>111.04</v>
      </c>
      <c r="E8007" s="2">
        <v>0</v>
      </c>
      <c r="F8007" t="s">
        <v>27</v>
      </c>
      <c r="G8007" t="s">
        <v>9</v>
      </c>
    </row>
    <row r="8008" spans="1:7" x14ac:dyDescent="0.35">
      <c r="A8008">
        <v>3179</v>
      </c>
      <c r="B8008" s="1">
        <v>45741</v>
      </c>
      <c r="C8008" t="s">
        <v>25</v>
      </c>
      <c r="D8008" s="2">
        <v>0</v>
      </c>
      <c r="E8008" s="2">
        <v>1591.54</v>
      </c>
      <c r="F8008" t="s">
        <v>28</v>
      </c>
      <c r="G8008" t="s">
        <v>17</v>
      </c>
    </row>
    <row r="8009" spans="1:7" x14ac:dyDescent="0.35">
      <c r="A8009">
        <v>3180</v>
      </c>
      <c r="B8009" s="1">
        <v>45741</v>
      </c>
      <c r="C8009" t="s">
        <v>29</v>
      </c>
      <c r="D8009" s="2">
        <v>2918.17</v>
      </c>
      <c r="E8009" s="2">
        <v>0</v>
      </c>
      <c r="F8009" t="s">
        <v>28</v>
      </c>
      <c r="G8009" t="s">
        <v>17</v>
      </c>
    </row>
    <row r="8010" spans="1:7" x14ac:dyDescent="0.35">
      <c r="A8010">
        <v>3180</v>
      </c>
      <c r="B8010" s="1">
        <v>45741</v>
      </c>
      <c r="C8010" t="s">
        <v>29</v>
      </c>
      <c r="D8010" s="2">
        <v>0</v>
      </c>
      <c r="E8010" s="2">
        <v>2918.17</v>
      </c>
      <c r="F8010" t="s">
        <v>8</v>
      </c>
      <c r="G8010" t="s">
        <v>9</v>
      </c>
    </row>
    <row r="8011" spans="1:7" x14ac:dyDescent="0.35">
      <c r="A8011">
        <v>3181</v>
      </c>
      <c r="B8011" s="1">
        <v>45741</v>
      </c>
      <c r="C8011" t="s">
        <v>29</v>
      </c>
      <c r="D8011" s="2">
        <v>3868.8</v>
      </c>
      <c r="E8011" s="2">
        <v>0</v>
      </c>
      <c r="F8011" t="s">
        <v>28</v>
      </c>
      <c r="G8011" t="s">
        <v>17</v>
      </c>
    </row>
    <row r="8012" spans="1:7" x14ac:dyDescent="0.35">
      <c r="A8012">
        <v>3181</v>
      </c>
      <c r="B8012" s="1">
        <v>45741</v>
      </c>
      <c r="C8012" t="s">
        <v>29</v>
      </c>
      <c r="D8012" s="2">
        <v>0</v>
      </c>
      <c r="E8012" s="2">
        <v>3868.8</v>
      </c>
      <c r="F8012" t="s">
        <v>8</v>
      </c>
      <c r="G8012" t="s">
        <v>9</v>
      </c>
    </row>
    <row r="8013" spans="1:7" x14ac:dyDescent="0.35">
      <c r="A8013">
        <v>3182</v>
      </c>
      <c r="B8013" s="1">
        <v>45742</v>
      </c>
      <c r="C8013" t="s">
        <v>12</v>
      </c>
      <c r="D8013" s="2">
        <v>573.48</v>
      </c>
      <c r="E8013" s="2">
        <v>0</v>
      </c>
      <c r="F8013" t="s">
        <v>13</v>
      </c>
      <c r="G8013" t="s">
        <v>9</v>
      </c>
    </row>
    <row r="8014" spans="1:7" x14ac:dyDescent="0.35">
      <c r="A8014">
        <v>3182</v>
      </c>
      <c r="B8014" s="1">
        <v>45742</v>
      </c>
      <c r="C8014" t="s">
        <v>12</v>
      </c>
      <c r="D8014" s="2">
        <v>0</v>
      </c>
      <c r="E8014" s="2">
        <v>533.47</v>
      </c>
      <c r="F8014" t="s">
        <v>14</v>
      </c>
      <c r="G8014" t="s">
        <v>15</v>
      </c>
    </row>
    <row r="8015" spans="1:7" x14ac:dyDescent="0.35">
      <c r="A8015">
        <v>3182</v>
      </c>
      <c r="B8015" s="1">
        <v>45742</v>
      </c>
      <c r="C8015" t="s">
        <v>12</v>
      </c>
      <c r="D8015" s="2">
        <v>0</v>
      </c>
      <c r="E8015" s="2">
        <v>40.01</v>
      </c>
      <c r="F8015" t="s">
        <v>16</v>
      </c>
      <c r="G8015" t="s">
        <v>17</v>
      </c>
    </row>
    <row r="8016" spans="1:7" x14ac:dyDescent="0.35">
      <c r="A8016">
        <v>3183</v>
      </c>
      <c r="B8016" s="1">
        <v>45742</v>
      </c>
      <c r="C8016" t="s">
        <v>12</v>
      </c>
      <c r="D8016" s="2">
        <v>1365.69</v>
      </c>
      <c r="E8016" s="2">
        <v>0</v>
      </c>
      <c r="F8016" t="s">
        <v>13</v>
      </c>
      <c r="G8016" t="s">
        <v>9</v>
      </c>
    </row>
    <row r="8017" spans="1:7" x14ac:dyDescent="0.35">
      <c r="A8017">
        <v>3183</v>
      </c>
      <c r="B8017" s="1">
        <v>45742</v>
      </c>
      <c r="C8017" t="s">
        <v>12</v>
      </c>
      <c r="D8017" s="2">
        <v>0</v>
      </c>
      <c r="E8017" s="2">
        <v>1270.4100000000001</v>
      </c>
      <c r="F8017" t="s">
        <v>14</v>
      </c>
      <c r="G8017" t="s">
        <v>15</v>
      </c>
    </row>
    <row r="8018" spans="1:7" x14ac:dyDescent="0.35">
      <c r="A8018">
        <v>3183</v>
      </c>
      <c r="B8018" s="1">
        <v>45742</v>
      </c>
      <c r="C8018" t="s">
        <v>12</v>
      </c>
      <c r="D8018" s="2">
        <v>0</v>
      </c>
      <c r="E8018" s="2">
        <v>95.28</v>
      </c>
      <c r="F8018" t="s">
        <v>16</v>
      </c>
      <c r="G8018" t="s">
        <v>17</v>
      </c>
    </row>
    <row r="8019" spans="1:7" x14ac:dyDescent="0.35">
      <c r="A8019">
        <v>3184</v>
      </c>
      <c r="B8019" s="1">
        <v>45742</v>
      </c>
      <c r="C8019" t="s">
        <v>12</v>
      </c>
      <c r="D8019" s="2">
        <v>312.48</v>
      </c>
      <c r="E8019" s="2">
        <v>0</v>
      </c>
      <c r="F8019" t="s">
        <v>13</v>
      </c>
      <c r="G8019" t="s">
        <v>9</v>
      </c>
    </row>
    <row r="8020" spans="1:7" x14ac:dyDescent="0.35">
      <c r="A8020">
        <v>3184</v>
      </c>
      <c r="B8020" s="1">
        <v>45742</v>
      </c>
      <c r="C8020" t="s">
        <v>12</v>
      </c>
      <c r="D8020" s="2">
        <v>0</v>
      </c>
      <c r="E8020" s="2">
        <v>290.68</v>
      </c>
      <c r="F8020" t="s">
        <v>14</v>
      </c>
      <c r="G8020" t="s">
        <v>15</v>
      </c>
    </row>
    <row r="8021" spans="1:7" x14ac:dyDescent="0.35">
      <c r="A8021">
        <v>3184</v>
      </c>
      <c r="B8021" s="1">
        <v>45742</v>
      </c>
      <c r="C8021" t="s">
        <v>12</v>
      </c>
      <c r="D8021" s="2">
        <v>0</v>
      </c>
      <c r="E8021" s="2">
        <v>21.8</v>
      </c>
      <c r="F8021" t="s">
        <v>16</v>
      </c>
      <c r="G8021" t="s">
        <v>17</v>
      </c>
    </row>
    <row r="8022" spans="1:7" x14ac:dyDescent="0.35">
      <c r="A8022">
        <v>3185</v>
      </c>
      <c r="B8022" s="1">
        <v>45742</v>
      </c>
      <c r="C8022" t="s">
        <v>12</v>
      </c>
      <c r="D8022" s="2">
        <v>443.8</v>
      </c>
      <c r="E8022" s="2">
        <v>0</v>
      </c>
      <c r="F8022" t="s">
        <v>13</v>
      </c>
      <c r="G8022" t="s">
        <v>9</v>
      </c>
    </row>
    <row r="8023" spans="1:7" x14ac:dyDescent="0.35">
      <c r="A8023">
        <v>3185</v>
      </c>
      <c r="B8023" s="1">
        <v>45742</v>
      </c>
      <c r="C8023" t="s">
        <v>12</v>
      </c>
      <c r="D8023" s="2">
        <v>0</v>
      </c>
      <c r="E8023" s="2">
        <v>412.84</v>
      </c>
      <c r="F8023" t="s">
        <v>14</v>
      </c>
      <c r="G8023" t="s">
        <v>15</v>
      </c>
    </row>
    <row r="8024" spans="1:7" x14ac:dyDescent="0.35">
      <c r="A8024">
        <v>3185</v>
      </c>
      <c r="B8024" s="1">
        <v>45742</v>
      </c>
      <c r="C8024" t="s">
        <v>12</v>
      </c>
      <c r="D8024" s="2">
        <v>0</v>
      </c>
      <c r="E8024" s="2">
        <v>30.96</v>
      </c>
      <c r="F8024" t="s">
        <v>16</v>
      </c>
      <c r="G8024" t="s">
        <v>17</v>
      </c>
    </row>
    <row r="8025" spans="1:7" x14ac:dyDescent="0.35">
      <c r="A8025">
        <v>3186</v>
      </c>
      <c r="B8025" s="1">
        <v>45742</v>
      </c>
      <c r="C8025" t="s">
        <v>12</v>
      </c>
      <c r="D8025" s="2">
        <v>1883.8</v>
      </c>
      <c r="E8025" s="2">
        <v>0</v>
      </c>
      <c r="F8025" t="s">
        <v>13</v>
      </c>
      <c r="G8025" t="s">
        <v>9</v>
      </c>
    </row>
    <row r="8026" spans="1:7" x14ac:dyDescent="0.35">
      <c r="A8026">
        <v>3186</v>
      </c>
      <c r="B8026" s="1">
        <v>45742</v>
      </c>
      <c r="C8026" t="s">
        <v>12</v>
      </c>
      <c r="D8026" s="2">
        <v>0</v>
      </c>
      <c r="E8026" s="2">
        <v>1752.37</v>
      </c>
      <c r="F8026" t="s">
        <v>14</v>
      </c>
      <c r="G8026" t="s">
        <v>15</v>
      </c>
    </row>
    <row r="8027" spans="1:7" x14ac:dyDescent="0.35">
      <c r="A8027">
        <v>3186</v>
      </c>
      <c r="B8027" s="1">
        <v>45742</v>
      </c>
      <c r="C8027" t="s">
        <v>12</v>
      </c>
      <c r="D8027" s="2">
        <v>0</v>
      </c>
      <c r="E8027" s="2">
        <v>131.43</v>
      </c>
      <c r="F8027" t="s">
        <v>16</v>
      </c>
      <c r="G8027" t="s">
        <v>17</v>
      </c>
    </row>
    <row r="8028" spans="1:7" x14ac:dyDescent="0.35">
      <c r="A8028">
        <v>3187</v>
      </c>
      <c r="B8028" s="1">
        <v>45742</v>
      </c>
      <c r="C8028" t="s">
        <v>24</v>
      </c>
      <c r="D8028" s="2">
        <v>2776.77</v>
      </c>
      <c r="E8028" s="2">
        <v>0</v>
      </c>
      <c r="F8028" t="s">
        <v>8</v>
      </c>
      <c r="G8028" t="s">
        <v>9</v>
      </c>
    </row>
    <row r="8029" spans="1:7" x14ac:dyDescent="0.35">
      <c r="A8029">
        <v>3187</v>
      </c>
      <c r="B8029" s="1">
        <v>45742</v>
      </c>
      <c r="C8029" t="s">
        <v>24</v>
      </c>
      <c r="D8029" s="2">
        <v>0</v>
      </c>
      <c r="E8029" s="2">
        <v>2776.77</v>
      </c>
      <c r="F8029" t="s">
        <v>13</v>
      </c>
      <c r="G8029" t="s">
        <v>9</v>
      </c>
    </row>
    <row r="8030" spans="1:7" x14ac:dyDescent="0.35">
      <c r="A8030">
        <v>3188</v>
      </c>
      <c r="B8030" s="1">
        <v>45742</v>
      </c>
      <c r="C8030" t="s">
        <v>24</v>
      </c>
      <c r="D8030" s="2">
        <v>2033.71</v>
      </c>
      <c r="E8030" s="2">
        <v>0</v>
      </c>
      <c r="F8030" t="s">
        <v>8</v>
      </c>
      <c r="G8030" t="s">
        <v>9</v>
      </c>
    </row>
    <row r="8031" spans="1:7" x14ac:dyDescent="0.35">
      <c r="A8031">
        <v>3188</v>
      </c>
      <c r="B8031" s="1">
        <v>45742</v>
      </c>
      <c r="C8031" t="s">
        <v>24</v>
      </c>
      <c r="D8031" s="2">
        <v>0</v>
      </c>
      <c r="E8031" s="2">
        <v>2033.71</v>
      </c>
      <c r="F8031" t="s">
        <v>13</v>
      </c>
      <c r="G8031" t="s">
        <v>9</v>
      </c>
    </row>
    <row r="8032" spans="1:7" x14ac:dyDescent="0.35">
      <c r="A8032">
        <v>3189</v>
      </c>
      <c r="B8032" s="1">
        <v>45742</v>
      </c>
      <c r="C8032" t="s">
        <v>24</v>
      </c>
      <c r="D8032" s="2">
        <v>354.43</v>
      </c>
      <c r="E8032" s="2">
        <v>0</v>
      </c>
      <c r="F8032" t="s">
        <v>8</v>
      </c>
      <c r="G8032" t="s">
        <v>9</v>
      </c>
    </row>
    <row r="8033" spans="1:7" x14ac:dyDescent="0.35">
      <c r="A8033">
        <v>3189</v>
      </c>
      <c r="B8033" s="1">
        <v>45742</v>
      </c>
      <c r="C8033" t="s">
        <v>24</v>
      </c>
      <c r="D8033" s="2">
        <v>0</v>
      </c>
      <c r="E8033" s="2">
        <v>354.43</v>
      </c>
      <c r="F8033" t="s">
        <v>13</v>
      </c>
      <c r="G8033" t="s">
        <v>9</v>
      </c>
    </row>
    <row r="8034" spans="1:7" x14ac:dyDescent="0.35">
      <c r="A8034">
        <v>3190</v>
      </c>
      <c r="B8034" s="1">
        <v>45742</v>
      </c>
      <c r="C8034" t="s">
        <v>24</v>
      </c>
      <c r="D8034" s="2">
        <v>631.28</v>
      </c>
      <c r="E8034" s="2">
        <v>0</v>
      </c>
      <c r="F8034" t="s">
        <v>8</v>
      </c>
      <c r="G8034" t="s">
        <v>9</v>
      </c>
    </row>
    <row r="8035" spans="1:7" x14ac:dyDescent="0.35">
      <c r="A8035">
        <v>3190</v>
      </c>
      <c r="B8035" s="1">
        <v>45742</v>
      </c>
      <c r="C8035" t="s">
        <v>24</v>
      </c>
      <c r="D8035" s="2">
        <v>0</v>
      </c>
      <c r="E8035" s="2">
        <v>631.28</v>
      </c>
      <c r="F8035" t="s">
        <v>13</v>
      </c>
      <c r="G8035" t="s">
        <v>9</v>
      </c>
    </row>
    <row r="8036" spans="1:7" x14ac:dyDescent="0.35">
      <c r="A8036">
        <v>3191</v>
      </c>
      <c r="B8036" s="1">
        <v>45742</v>
      </c>
      <c r="C8036" t="s">
        <v>24</v>
      </c>
      <c r="D8036" s="2">
        <v>1198.8699999999999</v>
      </c>
      <c r="E8036" s="2">
        <v>0</v>
      </c>
      <c r="F8036" t="s">
        <v>8</v>
      </c>
      <c r="G8036" t="s">
        <v>9</v>
      </c>
    </row>
    <row r="8037" spans="1:7" x14ac:dyDescent="0.35">
      <c r="A8037">
        <v>3191</v>
      </c>
      <c r="B8037" s="1">
        <v>45742</v>
      </c>
      <c r="C8037" t="s">
        <v>24</v>
      </c>
      <c r="D8037" s="2">
        <v>0</v>
      </c>
      <c r="E8037" s="2">
        <v>1198.8699999999999</v>
      </c>
      <c r="F8037" t="s">
        <v>13</v>
      </c>
      <c r="G8037" t="s">
        <v>9</v>
      </c>
    </row>
    <row r="8038" spans="1:7" x14ac:dyDescent="0.35">
      <c r="A8038">
        <v>3192</v>
      </c>
      <c r="B8038" s="1">
        <v>45742</v>
      </c>
      <c r="C8038" t="s">
        <v>25</v>
      </c>
      <c r="D8038" s="2">
        <v>3282.76</v>
      </c>
      <c r="E8038" s="2">
        <v>0</v>
      </c>
      <c r="F8038" t="s">
        <v>26</v>
      </c>
      <c r="G8038" t="s">
        <v>20</v>
      </c>
    </row>
    <row r="8039" spans="1:7" x14ac:dyDescent="0.35">
      <c r="A8039">
        <v>3192</v>
      </c>
      <c r="B8039" s="1">
        <v>45742</v>
      </c>
      <c r="C8039" t="s">
        <v>25</v>
      </c>
      <c r="D8039" s="2">
        <v>246.21</v>
      </c>
      <c r="E8039" s="2">
        <v>0</v>
      </c>
      <c r="F8039" t="s">
        <v>27</v>
      </c>
      <c r="G8039" t="s">
        <v>9</v>
      </c>
    </row>
    <row r="8040" spans="1:7" x14ac:dyDescent="0.35">
      <c r="A8040">
        <v>3192</v>
      </c>
      <c r="B8040" s="1">
        <v>45742</v>
      </c>
      <c r="C8040" t="s">
        <v>25</v>
      </c>
      <c r="D8040" s="2">
        <v>0</v>
      </c>
      <c r="E8040" s="2">
        <v>3528.97</v>
      </c>
      <c r="F8040" t="s">
        <v>28</v>
      </c>
      <c r="G8040" t="s">
        <v>17</v>
      </c>
    </row>
    <row r="8041" spans="1:7" x14ac:dyDescent="0.35">
      <c r="A8041">
        <v>3193</v>
      </c>
      <c r="B8041" s="1">
        <v>45742</v>
      </c>
      <c r="C8041" t="s">
        <v>25</v>
      </c>
      <c r="D8041" s="2">
        <v>2451.5</v>
      </c>
      <c r="E8041" s="2">
        <v>0</v>
      </c>
      <c r="F8041" t="s">
        <v>26</v>
      </c>
      <c r="G8041" t="s">
        <v>20</v>
      </c>
    </row>
    <row r="8042" spans="1:7" x14ac:dyDescent="0.35">
      <c r="A8042">
        <v>3193</v>
      </c>
      <c r="B8042" s="1">
        <v>45742</v>
      </c>
      <c r="C8042" t="s">
        <v>25</v>
      </c>
      <c r="D8042" s="2">
        <v>183.86</v>
      </c>
      <c r="E8042" s="2">
        <v>0</v>
      </c>
      <c r="F8042" t="s">
        <v>27</v>
      </c>
      <c r="G8042" t="s">
        <v>9</v>
      </c>
    </row>
    <row r="8043" spans="1:7" x14ac:dyDescent="0.35">
      <c r="A8043">
        <v>3193</v>
      </c>
      <c r="B8043" s="1">
        <v>45742</v>
      </c>
      <c r="C8043" t="s">
        <v>25</v>
      </c>
      <c r="D8043" s="2">
        <v>0</v>
      </c>
      <c r="E8043" s="2">
        <v>2635.36</v>
      </c>
      <c r="F8043" t="s">
        <v>28</v>
      </c>
      <c r="G8043" t="s">
        <v>17</v>
      </c>
    </row>
    <row r="8044" spans="1:7" x14ac:dyDescent="0.35">
      <c r="A8044">
        <v>3194</v>
      </c>
      <c r="B8044" s="1">
        <v>45742</v>
      </c>
      <c r="C8044" t="s">
        <v>29</v>
      </c>
      <c r="D8044" s="2">
        <v>1935.04</v>
      </c>
      <c r="E8044" s="2">
        <v>0</v>
      </c>
      <c r="F8044" t="s">
        <v>28</v>
      </c>
      <c r="G8044" t="s">
        <v>17</v>
      </c>
    </row>
    <row r="8045" spans="1:7" x14ac:dyDescent="0.35">
      <c r="A8045">
        <v>3194</v>
      </c>
      <c r="B8045" s="1">
        <v>45742</v>
      </c>
      <c r="C8045" t="s">
        <v>29</v>
      </c>
      <c r="D8045" s="2">
        <v>0</v>
      </c>
      <c r="E8045" s="2">
        <v>1935.04</v>
      </c>
      <c r="F8045" t="s">
        <v>8</v>
      </c>
      <c r="G8045" t="s">
        <v>9</v>
      </c>
    </row>
    <row r="8046" spans="1:7" x14ac:dyDescent="0.35">
      <c r="A8046">
        <v>3195</v>
      </c>
      <c r="B8046" s="1">
        <v>45742</v>
      </c>
      <c r="C8046" t="s">
        <v>29</v>
      </c>
      <c r="D8046" s="2">
        <v>1159.8399999999999</v>
      </c>
      <c r="E8046" s="2">
        <v>0</v>
      </c>
      <c r="F8046" t="s">
        <v>28</v>
      </c>
      <c r="G8046" t="s">
        <v>17</v>
      </c>
    </row>
    <row r="8047" spans="1:7" x14ac:dyDescent="0.35">
      <c r="A8047">
        <v>3195</v>
      </c>
      <c r="B8047" s="1">
        <v>45742</v>
      </c>
      <c r="C8047" t="s">
        <v>29</v>
      </c>
      <c r="D8047" s="2">
        <v>0</v>
      </c>
      <c r="E8047" s="2">
        <v>1159.8399999999999</v>
      </c>
      <c r="F8047" t="s">
        <v>8</v>
      </c>
      <c r="G8047" t="s">
        <v>9</v>
      </c>
    </row>
    <row r="8048" spans="1:7" x14ac:dyDescent="0.35">
      <c r="A8048">
        <v>3196</v>
      </c>
      <c r="B8048" s="1">
        <v>45742</v>
      </c>
      <c r="C8048" t="s">
        <v>29</v>
      </c>
      <c r="D8048" s="2">
        <v>2093.2800000000002</v>
      </c>
      <c r="E8048" s="2">
        <v>0</v>
      </c>
      <c r="F8048" t="s">
        <v>28</v>
      </c>
      <c r="G8048" t="s">
        <v>17</v>
      </c>
    </row>
    <row r="8049" spans="1:7" x14ac:dyDescent="0.35">
      <c r="A8049">
        <v>3196</v>
      </c>
      <c r="B8049" s="1">
        <v>45742</v>
      </c>
      <c r="C8049" t="s">
        <v>29</v>
      </c>
      <c r="D8049" s="2">
        <v>0</v>
      </c>
      <c r="E8049" s="2">
        <v>2093.2800000000002</v>
      </c>
      <c r="F8049" t="s">
        <v>8</v>
      </c>
      <c r="G8049" t="s">
        <v>9</v>
      </c>
    </row>
    <row r="8050" spans="1:7" x14ac:dyDescent="0.35">
      <c r="A8050">
        <v>3197</v>
      </c>
      <c r="B8050" s="1">
        <v>45743</v>
      </c>
      <c r="C8050" t="s">
        <v>18</v>
      </c>
      <c r="D8050" s="2">
        <v>22037.74</v>
      </c>
      <c r="E8050" s="2">
        <v>0</v>
      </c>
      <c r="F8050" t="s">
        <v>19</v>
      </c>
      <c r="G8050" t="s">
        <v>20</v>
      </c>
    </row>
    <row r="8051" spans="1:7" x14ac:dyDescent="0.35">
      <c r="A8051">
        <v>3197</v>
      </c>
      <c r="B8051" s="1">
        <v>45743</v>
      </c>
      <c r="C8051" t="s">
        <v>18</v>
      </c>
      <c r="D8051" s="2">
        <v>881.51</v>
      </c>
      <c r="E8051" s="2">
        <v>0</v>
      </c>
      <c r="F8051" t="s">
        <v>21</v>
      </c>
      <c r="G8051" t="s">
        <v>20</v>
      </c>
    </row>
    <row r="8052" spans="1:7" x14ac:dyDescent="0.35">
      <c r="A8052">
        <v>3197</v>
      </c>
      <c r="B8052" s="1">
        <v>45743</v>
      </c>
      <c r="C8052" t="s">
        <v>18</v>
      </c>
      <c r="D8052" s="2">
        <v>0</v>
      </c>
      <c r="E8052" s="2">
        <v>17968.47</v>
      </c>
      <c r="F8052" t="s">
        <v>8</v>
      </c>
      <c r="G8052" t="s">
        <v>9</v>
      </c>
    </row>
    <row r="8053" spans="1:7" x14ac:dyDescent="0.35">
      <c r="A8053">
        <v>3197</v>
      </c>
      <c r="B8053" s="1">
        <v>45743</v>
      </c>
      <c r="C8053" t="s">
        <v>18</v>
      </c>
      <c r="D8053" s="2">
        <v>0</v>
      </c>
      <c r="E8053" s="2">
        <v>4069.27</v>
      </c>
      <c r="F8053" t="s">
        <v>22</v>
      </c>
      <c r="G8053" t="s">
        <v>17</v>
      </c>
    </row>
    <row r="8054" spans="1:7" x14ac:dyDescent="0.35">
      <c r="A8054">
        <v>3197</v>
      </c>
      <c r="B8054" s="1">
        <v>45743</v>
      </c>
      <c r="C8054" t="s">
        <v>18</v>
      </c>
      <c r="D8054" s="2">
        <v>0</v>
      </c>
      <c r="E8054" s="2">
        <v>881.51</v>
      </c>
      <c r="F8054" t="s">
        <v>23</v>
      </c>
      <c r="G8054" t="s">
        <v>17</v>
      </c>
    </row>
    <row r="8055" spans="1:7" x14ac:dyDescent="0.35">
      <c r="A8055">
        <v>3198</v>
      </c>
      <c r="B8055" s="1">
        <v>45743</v>
      </c>
      <c r="C8055" t="s">
        <v>12</v>
      </c>
      <c r="D8055" s="2">
        <v>2660.25</v>
      </c>
      <c r="E8055" s="2">
        <v>0</v>
      </c>
      <c r="F8055" t="s">
        <v>13</v>
      </c>
      <c r="G8055" t="s">
        <v>9</v>
      </c>
    </row>
    <row r="8056" spans="1:7" x14ac:dyDescent="0.35">
      <c r="A8056">
        <v>3198</v>
      </c>
      <c r="B8056" s="1">
        <v>45743</v>
      </c>
      <c r="C8056" t="s">
        <v>12</v>
      </c>
      <c r="D8056" s="2">
        <v>0</v>
      </c>
      <c r="E8056" s="2">
        <v>2474.66</v>
      </c>
      <c r="F8056" t="s">
        <v>14</v>
      </c>
      <c r="G8056" t="s">
        <v>15</v>
      </c>
    </row>
    <row r="8057" spans="1:7" x14ac:dyDescent="0.35">
      <c r="A8057">
        <v>3198</v>
      </c>
      <c r="B8057" s="1">
        <v>45743</v>
      </c>
      <c r="C8057" t="s">
        <v>12</v>
      </c>
      <c r="D8057" s="2">
        <v>0</v>
      </c>
      <c r="E8057" s="2">
        <v>185.59</v>
      </c>
      <c r="F8057" t="s">
        <v>16</v>
      </c>
      <c r="G8057" t="s">
        <v>17</v>
      </c>
    </row>
    <row r="8058" spans="1:7" x14ac:dyDescent="0.35">
      <c r="A8058">
        <v>3199</v>
      </c>
      <c r="B8058" s="1">
        <v>45743</v>
      </c>
      <c r="C8058" t="s">
        <v>12</v>
      </c>
      <c r="D8058" s="2">
        <v>154.88</v>
      </c>
      <c r="E8058" s="2">
        <v>0</v>
      </c>
      <c r="F8058" t="s">
        <v>13</v>
      </c>
      <c r="G8058" t="s">
        <v>9</v>
      </c>
    </row>
    <row r="8059" spans="1:7" x14ac:dyDescent="0.35">
      <c r="A8059">
        <v>3199</v>
      </c>
      <c r="B8059" s="1">
        <v>45743</v>
      </c>
      <c r="C8059" t="s">
        <v>12</v>
      </c>
      <c r="D8059" s="2">
        <v>0</v>
      </c>
      <c r="E8059" s="2">
        <v>144.08000000000001</v>
      </c>
      <c r="F8059" t="s">
        <v>14</v>
      </c>
      <c r="G8059" t="s">
        <v>15</v>
      </c>
    </row>
    <row r="8060" spans="1:7" x14ac:dyDescent="0.35">
      <c r="A8060">
        <v>3199</v>
      </c>
      <c r="B8060" s="1">
        <v>45743</v>
      </c>
      <c r="C8060" t="s">
        <v>12</v>
      </c>
      <c r="D8060" s="2">
        <v>0</v>
      </c>
      <c r="E8060" s="2">
        <v>10.8</v>
      </c>
      <c r="F8060" t="s">
        <v>16</v>
      </c>
      <c r="G8060" t="s">
        <v>17</v>
      </c>
    </row>
    <row r="8061" spans="1:7" x14ac:dyDescent="0.35">
      <c r="A8061">
        <v>3200</v>
      </c>
      <c r="B8061" s="1">
        <v>45743</v>
      </c>
      <c r="C8061" t="s">
        <v>12</v>
      </c>
      <c r="D8061" s="2">
        <v>382.87</v>
      </c>
      <c r="E8061" s="2">
        <v>0</v>
      </c>
      <c r="F8061" t="s">
        <v>13</v>
      </c>
      <c r="G8061" t="s">
        <v>9</v>
      </c>
    </row>
    <row r="8062" spans="1:7" x14ac:dyDescent="0.35">
      <c r="A8062">
        <v>3200</v>
      </c>
      <c r="B8062" s="1">
        <v>45743</v>
      </c>
      <c r="C8062" t="s">
        <v>12</v>
      </c>
      <c r="D8062" s="2">
        <v>0</v>
      </c>
      <c r="E8062" s="2">
        <v>356.15</v>
      </c>
      <c r="F8062" t="s">
        <v>14</v>
      </c>
      <c r="G8062" t="s">
        <v>15</v>
      </c>
    </row>
    <row r="8063" spans="1:7" x14ac:dyDescent="0.35">
      <c r="A8063">
        <v>3200</v>
      </c>
      <c r="B8063" s="1">
        <v>45743</v>
      </c>
      <c r="C8063" t="s">
        <v>12</v>
      </c>
      <c r="D8063" s="2">
        <v>0</v>
      </c>
      <c r="E8063" s="2">
        <v>26.72</v>
      </c>
      <c r="F8063" t="s">
        <v>16</v>
      </c>
      <c r="G8063" t="s">
        <v>17</v>
      </c>
    </row>
    <row r="8064" spans="1:7" x14ac:dyDescent="0.35">
      <c r="A8064">
        <v>3201</v>
      </c>
      <c r="B8064" s="1">
        <v>45743</v>
      </c>
      <c r="C8064" t="s">
        <v>12</v>
      </c>
      <c r="D8064" s="2">
        <v>3272.52</v>
      </c>
      <c r="E8064" s="2">
        <v>0</v>
      </c>
      <c r="F8064" t="s">
        <v>13</v>
      </c>
      <c r="G8064" t="s">
        <v>9</v>
      </c>
    </row>
    <row r="8065" spans="1:7" x14ac:dyDescent="0.35">
      <c r="A8065">
        <v>3201</v>
      </c>
      <c r="B8065" s="1">
        <v>45743</v>
      </c>
      <c r="C8065" t="s">
        <v>12</v>
      </c>
      <c r="D8065" s="2">
        <v>0</v>
      </c>
      <c r="E8065" s="2">
        <v>3044.21</v>
      </c>
      <c r="F8065" t="s">
        <v>14</v>
      </c>
      <c r="G8065" t="s">
        <v>15</v>
      </c>
    </row>
    <row r="8066" spans="1:7" x14ac:dyDescent="0.35">
      <c r="A8066">
        <v>3201</v>
      </c>
      <c r="B8066" s="1">
        <v>45743</v>
      </c>
      <c r="C8066" t="s">
        <v>12</v>
      </c>
      <c r="D8066" s="2">
        <v>0</v>
      </c>
      <c r="E8066" s="2">
        <v>228.31</v>
      </c>
      <c r="F8066" t="s">
        <v>16</v>
      </c>
      <c r="G8066" t="s">
        <v>17</v>
      </c>
    </row>
    <row r="8067" spans="1:7" x14ac:dyDescent="0.35">
      <c r="A8067">
        <v>3202</v>
      </c>
      <c r="B8067" s="1">
        <v>45744</v>
      </c>
      <c r="C8067" t="s">
        <v>12</v>
      </c>
      <c r="D8067" s="2">
        <v>4058.34</v>
      </c>
      <c r="E8067" s="2">
        <v>0</v>
      </c>
      <c r="F8067" t="s">
        <v>13</v>
      </c>
      <c r="G8067" t="s">
        <v>9</v>
      </c>
    </row>
    <row r="8068" spans="1:7" x14ac:dyDescent="0.35">
      <c r="A8068">
        <v>3202</v>
      </c>
      <c r="B8068" s="1">
        <v>45744</v>
      </c>
      <c r="C8068" t="s">
        <v>12</v>
      </c>
      <c r="D8068" s="2">
        <v>0</v>
      </c>
      <c r="E8068" s="2">
        <v>3775.2</v>
      </c>
      <c r="F8068" t="s">
        <v>14</v>
      </c>
      <c r="G8068" t="s">
        <v>15</v>
      </c>
    </row>
    <row r="8069" spans="1:7" x14ac:dyDescent="0.35">
      <c r="A8069">
        <v>3202</v>
      </c>
      <c r="B8069" s="1">
        <v>45744</v>
      </c>
      <c r="C8069" t="s">
        <v>12</v>
      </c>
      <c r="D8069" s="2">
        <v>0</v>
      </c>
      <c r="E8069" s="2">
        <v>283.14</v>
      </c>
      <c r="F8069" t="s">
        <v>16</v>
      </c>
      <c r="G8069" t="s">
        <v>17</v>
      </c>
    </row>
    <row r="8070" spans="1:7" x14ac:dyDescent="0.35">
      <c r="A8070">
        <v>3203</v>
      </c>
      <c r="B8070" s="1">
        <v>45744</v>
      </c>
      <c r="C8070" t="s">
        <v>12</v>
      </c>
      <c r="D8070" s="2">
        <v>2270.08</v>
      </c>
      <c r="E8070" s="2">
        <v>0</v>
      </c>
      <c r="F8070" t="s">
        <v>13</v>
      </c>
      <c r="G8070" t="s">
        <v>9</v>
      </c>
    </row>
    <row r="8071" spans="1:7" x14ac:dyDescent="0.35">
      <c r="A8071">
        <v>3203</v>
      </c>
      <c r="B8071" s="1">
        <v>45744</v>
      </c>
      <c r="C8071" t="s">
        <v>12</v>
      </c>
      <c r="D8071" s="2">
        <v>0</v>
      </c>
      <c r="E8071" s="2">
        <v>2111.6999999999998</v>
      </c>
      <c r="F8071" t="s">
        <v>14</v>
      </c>
      <c r="G8071" t="s">
        <v>15</v>
      </c>
    </row>
    <row r="8072" spans="1:7" x14ac:dyDescent="0.35">
      <c r="A8072">
        <v>3203</v>
      </c>
      <c r="B8072" s="1">
        <v>45744</v>
      </c>
      <c r="C8072" t="s">
        <v>12</v>
      </c>
      <c r="D8072" s="2">
        <v>0</v>
      </c>
      <c r="E8072" s="2">
        <v>158.38</v>
      </c>
      <c r="F8072" t="s">
        <v>16</v>
      </c>
      <c r="G8072" t="s">
        <v>17</v>
      </c>
    </row>
    <row r="8073" spans="1:7" x14ac:dyDescent="0.35">
      <c r="A8073">
        <v>3204</v>
      </c>
      <c r="B8073" s="1">
        <v>45744</v>
      </c>
      <c r="C8073" t="s">
        <v>12</v>
      </c>
      <c r="D8073" s="2">
        <v>1763.47</v>
      </c>
      <c r="E8073" s="2">
        <v>0</v>
      </c>
      <c r="F8073" t="s">
        <v>13</v>
      </c>
      <c r="G8073" t="s">
        <v>9</v>
      </c>
    </row>
    <row r="8074" spans="1:7" x14ac:dyDescent="0.35">
      <c r="A8074">
        <v>3204</v>
      </c>
      <c r="B8074" s="1">
        <v>45744</v>
      </c>
      <c r="C8074" t="s">
        <v>12</v>
      </c>
      <c r="D8074" s="2">
        <v>0</v>
      </c>
      <c r="E8074" s="2">
        <v>1640.44</v>
      </c>
      <c r="F8074" t="s">
        <v>14</v>
      </c>
      <c r="G8074" t="s">
        <v>15</v>
      </c>
    </row>
    <row r="8075" spans="1:7" x14ac:dyDescent="0.35">
      <c r="A8075">
        <v>3204</v>
      </c>
      <c r="B8075" s="1">
        <v>45744</v>
      </c>
      <c r="C8075" t="s">
        <v>12</v>
      </c>
      <c r="D8075" s="2">
        <v>0</v>
      </c>
      <c r="E8075" s="2">
        <v>123.03</v>
      </c>
      <c r="F8075" t="s">
        <v>16</v>
      </c>
      <c r="G8075" t="s">
        <v>17</v>
      </c>
    </row>
    <row r="8076" spans="1:7" x14ac:dyDescent="0.35">
      <c r="A8076">
        <v>3205</v>
      </c>
      <c r="B8076" s="1">
        <v>45744</v>
      </c>
      <c r="C8076" t="s">
        <v>12</v>
      </c>
      <c r="D8076" s="2">
        <v>1051.28</v>
      </c>
      <c r="E8076" s="2">
        <v>0</v>
      </c>
      <c r="F8076" t="s">
        <v>13</v>
      </c>
      <c r="G8076" t="s">
        <v>9</v>
      </c>
    </row>
    <row r="8077" spans="1:7" x14ac:dyDescent="0.35">
      <c r="A8077">
        <v>3205</v>
      </c>
      <c r="B8077" s="1">
        <v>45744</v>
      </c>
      <c r="C8077" t="s">
        <v>12</v>
      </c>
      <c r="D8077" s="2">
        <v>0</v>
      </c>
      <c r="E8077" s="2">
        <v>977.93</v>
      </c>
      <c r="F8077" t="s">
        <v>14</v>
      </c>
      <c r="G8077" t="s">
        <v>15</v>
      </c>
    </row>
    <row r="8078" spans="1:7" x14ac:dyDescent="0.35">
      <c r="A8078">
        <v>3205</v>
      </c>
      <c r="B8078" s="1">
        <v>45744</v>
      </c>
      <c r="C8078" t="s">
        <v>12</v>
      </c>
      <c r="D8078" s="2">
        <v>0</v>
      </c>
      <c r="E8078" s="2">
        <v>73.349999999999994</v>
      </c>
      <c r="F8078" t="s">
        <v>16</v>
      </c>
      <c r="G8078" t="s">
        <v>17</v>
      </c>
    </row>
    <row r="8079" spans="1:7" x14ac:dyDescent="0.35">
      <c r="A8079">
        <v>3206</v>
      </c>
      <c r="B8079" s="1">
        <v>45744</v>
      </c>
      <c r="C8079" t="s">
        <v>12</v>
      </c>
      <c r="D8079" s="2">
        <v>1501.18</v>
      </c>
      <c r="E8079" s="2">
        <v>0</v>
      </c>
      <c r="F8079" t="s">
        <v>13</v>
      </c>
      <c r="G8079" t="s">
        <v>9</v>
      </c>
    </row>
    <row r="8080" spans="1:7" x14ac:dyDescent="0.35">
      <c r="A8080">
        <v>3206</v>
      </c>
      <c r="B8080" s="1">
        <v>45744</v>
      </c>
      <c r="C8080" t="s">
        <v>12</v>
      </c>
      <c r="D8080" s="2">
        <v>0</v>
      </c>
      <c r="E8080" s="2">
        <v>1396.44</v>
      </c>
      <c r="F8080" t="s">
        <v>14</v>
      </c>
      <c r="G8080" t="s">
        <v>15</v>
      </c>
    </row>
    <row r="8081" spans="1:7" x14ac:dyDescent="0.35">
      <c r="A8081">
        <v>3206</v>
      </c>
      <c r="B8081" s="1">
        <v>45744</v>
      </c>
      <c r="C8081" t="s">
        <v>12</v>
      </c>
      <c r="D8081" s="2">
        <v>0</v>
      </c>
      <c r="E8081" s="2">
        <v>104.74</v>
      </c>
      <c r="F8081" t="s">
        <v>16</v>
      </c>
      <c r="G8081" t="s">
        <v>17</v>
      </c>
    </row>
    <row r="8082" spans="1:7" x14ac:dyDescent="0.35">
      <c r="A8082">
        <v>3207</v>
      </c>
      <c r="B8082" s="1">
        <v>45744</v>
      </c>
      <c r="C8082" t="s">
        <v>12</v>
      </c>
      <c r="D8082" s="2">
        <v>4497.43</v>
      </c>
      <c r="E8082" s="2">
        <v>0</v>
      </c>
      <c r="F8082" t="s">
        <v>13</v>
      </c>
      <c r="G8082" t="s">
        <v>9</v>
      </c>
    </row>
    <row r="8083" spans="1:7" x14ac:dyDescent="0.35">
      <c r="A8083">
        <v>3207</v>
      </c>
      <c r="B8083" s="1">
        <v>45744</v>
      </c>
      <c r="C8083" t="s">
        <v>12</v>
      </c>
      <c r="D8083" s="2">
        <v>0</v>
      </c>
      <c r="E8083" s="2">
        <v>4183.6499999999996</v>
      </c>
      <c r="F8083" t="s">
        <v>14</v>
      </c>
      <c r="G8083" t="s">
        <v>15</v>
      </c>
    </row>
    <row r="8084" spans="1:7" x14ac:dyDescent="0.35">
      <c r="A8084">
        <v>3207</v>
      </c>
      <c r="B8084" s="1">
        <v>45744</v>
      </c>
      <c r="C8084" t="s">
        <v>12</v>
      </c>
      <c r="D8084" s="2">
        <v>0</v>
      </c>
      <c r="E8084" s="2">
        <v>313.77999999999997</v>
      </c>
      <c r="F8084" t="s">
        <v>16</v>
      </c>
      <c r="G8084" t="s">
        <v>17</v>
      </c>
    </row>
    <row r="8085" spans="1:7" x14ac:dyDescent="0.35">
      <c r="A8085">
        <v>3208</v>
      </c>
      <c r="B8085" s="1">
        <v>45744</v>
      </c>
      <c r="C8085" t="s">
        <v>12</v>
      </c>
      <c r="D8085" s="2">
        <v>868.03</v>
      </c>
      <c r="E8085" s="2">
        <v>0</v>
      </c>
      <c r="F8085" t="s">
        <v>13</v>
      </c>
      <c r="G8085" t="s">
        <v>9</v>
      </c>
    </row>
    <row r="8086" spans="1:7" x14ac:dyDescent="0.35">
      <c r="A8086">
        <v>3208</v>
      </c>
      <c r="B8086" s="1">
        <v>45744</v>
      </c>
      <c r="C8086" t="s">
        <v>12</v>
      </c>
      <c r="D8086" s="2">
        <v>0</v>
      </c>
      <c r="E8086" s="2">
        <v>807.47</v>
      </c>
      <c r="F8086" t="s">
        <v>14</v>
      </c>
      <c r="G8086" t="s">
        <v>15</v>
      </c>
    </row>
    <row r="8087" spans="1:7" x14ac:dyDescent="0.35">
      <c r="A8087">
        <v>3208</v>
      </c>
      <c r="B8087" s="1">
        <v>45744</v>
      </c>
      <c r="C8087" t="s">
        <v>12</v>
      </c>
      <c r="D8087" s="2">
        <v>0</v>
      </c>
      <c r="E8087" s="2">
        <v>60.56</v>
      </c>
      <c r="F8087" t="s">
        <v>16</v>
      </c>
      <c r="G8087" t="s">
        <v>17</v>
      </c>
    </row>
    <row r="8088" spans="1:7" x14ac:dyDescent="0.35">
      <c r="A8088">
        <v>3209</v>
      </c>
      <c r="B8088" s="1">
        <v>45744</v>
      </c>
      <c r="C8088" t="s">
        <v>24</v>
      </c>
      <c r="D8088" s="2">
        <v>2492.75</v>
      </c>
      <c r="E8088" s="2">
        <v>0</v>
      </c>
      <c r="F8088" t="s">
        <v>8</v>
      </c>
      <c r="G8088" t="s">
        <v>9</v>
      </c>
    </row>
    <row r="8089" spans="1:7" x14ac:dyDescent="0.35">
      <c r="A8089">
        <v>3209</v>
      </c>
      <c r="B8089" s="1">
        <v>45744</v>
      </c>
      <c r="C8089" t="s">
        <v>24</v>
      </c>
      <c r="D8089" s="2">
        <v>0</v>
      </c>
      <c r="E8089" s="2">
        <v>2492.75</v>
      </c>
      <c r="F8089" t="s">
        <v>13</v>
      </c>
      <c r="G8089" t="s">
        <v>9</v>
      </c>
    </row>
    <row r="8090" spans="1:7" x14ac:dyDescent="0.35">
      <c r="A8090">
        <v>3210</v>
      </c>
      <c r="B8090" s="1">
        <v>45744</v>
      </c>
      <c r="C8090" t="s">
        <v>24</v>
      </c>
      <c r="D8090" s="2">
        <v>3398.02</v>
      </c>
      <c r="E8090" s="2">
        <v>0</v>
      </c>
      <c r="F8090" t="s">
        <v>8</v>
      </c>
      <c r="G8090" t="s">
        <v>9</v>
      </c>
    </row>
    <row r="8091" spans="1:7" x14ac:dyDescent="0.35">
      <c r="A8091">
        <v>3210</v>
      </c>
      <c r="B8091" s="1">
        <v>45744</v>
      </c>
      <c r="C8091" t="s">
        <v>24</v>
      </c>
      <c r="D8091" s="2">
        <v>0</v>
      </c>
      <c r="E8091" s="2">
        <v>3398.02</v>
      </c>
      <c r="F8091" t="s">
        <v>13</v>
      </c>
      <c r="G8091" t="s">
        <v>9</v>
      </c>
    </row>
    <row r="8092" spans="1:7" x14ac:dyDescent="0.35">
      <c r="A8092">
        <v>3211</v>
      </c>
      <c r="B8092" s="1">
        <v>45744</v>
      </c>
      <c r="C8092" t="s">
        <v>25</v>
      </c>
      <c r="D8092" s="2">
        <v>2714.58</v>
      </c>
      <c r="E8092" s="2">
        <v>0</v>
      </c>
      <c r="F8092" t="s">
        <v>26</v>
      </c>
      <c r="G8092" t="s">
        <v>20</v>
      </c>
    </row>
    <row r="8093" spans="1:7" x14ac:dyDescent="0.35">
      <c r="A8093">
        <v>3211</v>
      </c>
      <c r="B8093" s="1">
        <v>45744</v>
      </c>
      <c r="C8093" t="s">
        <v>25</v>
      </c>
      <c r="D8093" s="2">
        <v>203.59</v>
      </c>
      <c r="E8093" s="2">
        <v>0</v>
      </c>
      <c r="F8093" t="s">
        <v>27</v>
      </c>
      <c r="G8093" t="s">
        <v>9</v>
      </c>
    </row>
    <row r="8094" spans="1:7" x14ac:dyDescent="0.35">
      <c r="A8094">
        <v>3211</v>
      </c>
      <c r="B8094" s="1">
        <v>45744</v>
      </c>
      <c r="C8094" t="s">
        <v>25</v>
      </c>
      <c r="D8094" s="2">
        <v>0</v>
      </c>
      <c r="E8094" s="2">
        <v>2918.17</v>
      </c>
      <c r="F8094" t="s">
        <v>28</v>
      </c>
      <c r="G8094" t="s">
        <v>17</v>
      </c>
    </row>
    <row r="8095" spans="1:7" x14ac:dyDescent="0.35">
      <c r="A8095">
        <v>3212</v>
      </c>
      <c r="B8095" s="1">
        <v>45744</v>
      </c>
      <c r="C8095" t="s">
        <v>29</v>
      </c>
      <c r="D8095" s="2">
        <v>1794.11</v>
      </c>
      <c r="E8095" s="2">
        <v>0</v>
      </c>
      <c r="F8095" t="s">
        <v>28</v>
      </c>
      <c r="G8095" t="s">
        <v>17</v>
      </c>
    </row>
    <row r="8096" spans="1:7" x14ac:dyDescent="0.35">
      <c r="A8096">
        <v>3212</v>
      </c>
      <c r="B8096" s="1">
        <v>45744</v>
      </c>
      <c r="C8096" t="s">
        <v>29</v>
      </c>
      <c r="D8096" s="2">
        <v>0</v>
      </c>
      <c r="E8096" s="2">
        <v>1794.11</v>
      </c>
      <c r="F8096" t="s">
        <v>8</v>
      </c>
      <c r="G8096" t="s">
        <v>9</v>
      </c>
    </row>
    <row r="8097" spans="1:7" x14ac:dyDescent="0.35">
      <c r="A8097">
        <v>3213</v>
      </c>
      <c r="B8097" s="1">
        <v>45747</v>
      </c>
      <c r="C8097" t="s">
        <v>12</v>
      </c>
      <c r="D8097" s="2">
        <v>443.43</v>
      </c>
      <c r="E8097" s="2">
        <v>0</v>
      </c>
      <c r="F8097" t="s">
        <v>13</v>
      </c>
      <c r="G8097" t="s">
        <v>9</v>
      </c>
    </row>
    <row r="8098" spans="1:7" x14ac:dyDescent="0.35">
      <c r="A8098">
        <v>3213</v>
      </c>
      <c r="B8098" s="1">
        <v>45747</v>
      </c>
      <c r="C8098" t="s">
        <v>12</v>
      </c>
      <c r="D8098" s="2">
        <v>0</v>
      </c>
      <c r="E8098" s="2">
        <v>412.49</v>
      </c>
      <c r="F8098" t="s">
        <v>14</v>
      </c>
      <c r="G8098" t="s">
        <v>15</v>
      </c>
    </row>
    <row r="8099" spans="1:7" x14ac:dyDescent="0.35">
      <c r="A8099">
        <v>3213</v>
      </c>
      <c r="B8099" s="1">
        <v>45747</v>
      </c>
      <c r="C8099" t="s">
        <v>12</v>
      </c>
      <c r="D8099" s="2">
        <v>0</v>
      </c>
      <c r="E8099" s="2">
        <v>30.94</v>
      </c>
      <c r="F8099" t="s">
        <v>16</v>
      </c>
      <c r="G8099" t="s">
        <v>17</v>
      </c>
    </row>
    <row r="8100" spans="1:7" x14ac:dyDescent="0.35">
      <c r="A8100">
        <v>3214</v>
      </c>
      <c r="B8100" s="1">
        <v>45747</v>
      </c>
      <c r="C8100" t="s">
        <v>12</v>
      </c>
      <c r="D8100" s="2">
        <v>3590.17</v>
      </c>
      <c r="E8100" s="2">
        <v>0</v>
      </c>
      <c r="F8100" t="s">
        <v>13</v>
      </c>
      <c r="G8100" t="s">
        <v>9</v>
      </c>
    </row>
    <row r="8101" spans="1:7" x14ac:dyDescent="0.35">
      <c r="A8101">
        <v>3214</v>
      </c>
      <c r="B8101" s="1">
        <v>45747</v>
      </c>
      <c r="C8101" t="s">
        <v>12</v>
      </c>
      <c r="D8101" s="2">
        <v>0</v>
      </c>
      <c r="E8101" s="2">
        <v>3339.7</v>
      </c>
      <c r="F8101" t="s">
        <v>14</v>
      </c>
      <c r="G8101" t="s">
        <v>15</v>
      </c>
    </row>
    <row r="8102" spans="1:7" x14ac:dyDescent="0.35">
      <c r="A8102">
        <v>3214</v>
      </c>
      <c r="B8102" s="1">
        <v>45747</v>
      </c>
      <c r="C8102" t="s">
        <v>12</v>
      </c>
      <c r="D8102" s="2">
        <v>0</v>
      </c>
      <c r="E8102" s="2">
        <v>250.47</v>
      </c>
      <c r="F8102" t="s">
        <v>16</v>
      </c>
      <c r="G8102" t="s">
        <v>17</v>
      </c>
    </row>
    <row r="8103" spans="1:7" x14ac:dyDescent="0.35">
      <c r="A8103">
        <v>3215</v>
      </c>
      <c r="B8103" s="1">
        <v>45747</v>
      </c>
      <c r="C8103" t="s">
        <v>24</v>
      </c>
      <c r="D8103" s="2">
        <v>1183.18</v>
      </c>
      <c r="E8103" s="2">
        <v>0</v>
      </c>
      <c r="F8103" t="s">
        <v>8</v>
      </c>
      <c r="G8103" t="s">
        <v>9</v>
      </c>
    </row>
    <row r="8104" spans="1:7" x14ac:dyDescent="0.35">
      <c r="A8104">
        <v>3215</v>
      </c>
      <c r="B8104" s="1">
        <v>45747</v>
      </c>
      <c r="C8104" t="s">
        <v>24</v>
      </c>
      <c r="D8104" s="2">
        <v>0</v>
      </c>
      <c r="E8104" s="2">
        <v>1183.18</v>
      </c>
      <c r="F8104" t="s">
        <v>13</v>
      </c>
      <c r="G8104" t="s">
        <v>9</v>
      </c>
    </row>
    <row r="8105" spans="1:7" x14ac:dyDescent="0.35">
      <c r="A8105">
        <v>3216</v>
      </c>
      <c r="B8105" s="1">
        <v>45747</v>
      </c>
      <c r="C8105" t="s">
        <v>24</v>
      </c>
      <c r="D8105" s="2">
        <v>1686.38</v>
      </c>
      <c r="E8105" s="2">
        <v>0</v>
      </c>
      <c r="F8105" t="s">
        <v>8</v>
      </c>
      <c r="G8105" t="s">
        <v>9</v>
      </c>
    </row>
    <row r="8106" spans="1:7" x14ac:dyDescent="0.35">
      <c r="A8106">
        <v>3216</v>
      </c>
      <c r="B8106" s="1">
        <v>45747</v>
      </c>
      <c r="C8106" t="s">
        <v>24</v>
      </c>
      <c r="D8106" s="2">
        <v>0</v>
      </c>
      <c r="E8106" s="2">
        <v>1686.38</v>
      </c>
      <c r="F8106" t="s">
        <v>13</v>
      </c>
      <c r="G8106" t="s">
        <v>9</v>
      </c>
    </row>
    <row r="8107" spans="1:7" x14ac:dyDescent="0.35">
      <c r="A8107">
        <v>3217</v>
      </c>
      <c r="B8107" s="1">
        <v>45747</v>
      </c>
      <c r="C8107" t="s">
        <v>24</v>
      </c>
      <c r="D8107" s="2">
        <v>842.06</v>
      </c>
      <c r="E8107" s="2">
        <v>0</v>
      </c>
      <c r="F8107" t="s">
        <v>8</v>
      </c>
      <c r="G8107" t="s">
        <v>9</v>
      </c>
    </row>
    <row r="8108" spans="1:7" x14ac:dyDescent="0.35">
      <c r="A8108">
        <v>3217</v>
      </c>
      <c r="B8108" s="1">
        <v>45747</v>
      </c>
      <c r="C8108" t="s">
        <v>24</v>
      </c>
      <c r="D8108" s="2">
        <v>0</v>
      </c>
      <c r="E8108" s="2">
        <v>842.06</v>
      </c>
      <c r="F8108" t="s">
        <v>13</v>
      </c>
      <c r="G8108" t="s">
        <v>9</v>
      </c>
    </row>
    <row r="8109" spans="1:7" x14ac:dyDescent="0.35">
      <c r="A8109">
        <v>3218</v>
      </c>
      <c r="B8109" s="1">
        <v>45747</v>
      </c>
      <c r="C8109" t="s">
        <v>24</v>
      </c>
      <c r="D8109" s="2">
        <v>1299.43</v>
      </c>
      <c r="E8109" s="2">
        <v>0</v>
      </c>
      <c r="F8109" t="s">
        <v>8</v>
      </c>
      <c r="G8109" t="s">
        <v>9</v>
      </c>
    </row>
    <row r="8110" spans="1:7" x14ac:dyDescent="0.35">
      <c r="A8110">
        <v>3218</v>
      </c>
      <c r="B8110" s="1">
        <v>45747</v>
      </c>
      <c r="C8110" t="s">
        <v>24</v>
      </c>
      <c r="D8110" s="2">
        <v>0</v>
      </c>
      <c r="E8110" s="2">
        <v>1299.43</v>
      </c>
      <c r="F8110" t="s">
        <v>13</v>
      </c>
      <c r="G8110" t="s">
        <v>9</v>
      </c>
    </row>
    <row r="8111" spans="1:7" x14ac:dyDescent="0.35">
      <c r="A8111">
        <v>3219</v>
      </c>
      <c r="B8111" s="1">
        <v>45747</v>
      </c>
      <c r="C8111" t="s">
        <v>24</v>
      </c>
      <c r="D8111" s="2">
        <v>2170.37</v>
      </c>
      <c r="E8111" s="2">
        <v>0</v>
      </c>
      <c r="F8111" t="s">
        <v>8</v>
      </c>
      <c r="G8111" t="s">
        <v>9</v>
      </c>
    </row>
    <row r="8112" spans="1:7" x14ac:dyDescent="0.35">
      <c r="A8112">
        <v>3219</v>
      </c>
      <c r="B8112" s="1">
        <v>45747</v>
      </c>
      <c r="C8112" t="s">
        <v>24</v>
      </c>
      <c r="D8112" s="2">
        <v>0</v>
      </c>
      <c r="E8112" s="2">
        <v>2170.37</v>
      </c>
      <c r="F8112" t="s">
        <v>13</v>
      </c>
      <c r="G8112" t="s">
        <v>9</v>
      </c>
    </row>
    <row r="8113" spans="1:7" x14ac:dyDescent="0.35">
      <c r="A8113">
        <v>3220</v>
      </c>
      <c r="B8113" s="1">
        <v>45747</v>
      </c>
      <c r="C8113" t="s">
        <v>24</v>
      </c>
      <c r="D8113" s="2">
        <v>2095.79</v>
      </c>
      <c r="E8113" s="2">
        <v>0</v>
      </c>
      <c r="F8113" t="s">
        <v>8</v>
      </c>
      <c r="G8113" t="s">
        <v>9</v>
      </c>
    </row>
    <row r="8114" spans="1:7" x14ac:dyDescent="0.35">
      <c r="A8114">
        <v>3220</v>
      </c>
      <c r="B8114" s="1">
        <v>45747</v>
      </c>
      <c r="C8114" t="s">
        <v>24</v>
      </c>
      <c r="D8114" s="2">
        <v>0</v>
      </c>
      <c r="E8114" s="2">
        <v>2095.79</v>
      </c>
      <c r="F8114" t="s">
        <v>13</v>
      </c>
      <c r="G8114" t="s">
        <v>9</v>
      </c>
    </row>
    <row r="8115" spans="1:7" x14ac:dyDescent="0.35">
      <c r="A8115">
        <v>3221</v>
      </c>
      <c r="B8115" s="1">
        <v>45747</v>
      </c>
      <c r="C8115" t="s">
        <v>25</v>
      </c>
      <c r="D8115" s="2">
        <v>512</v>
      </c>
      <c r="E8115" s="2">
        <v>0</v>
      </c>
      <c r="F8115" t="s">
        <v>26</v>
      </c>
      <c r="G8115" t="s">
        <v>20</v>
      </c>
    </row>
    <row r="8116" spans="1:7" x14ac:dyDescent="0.35">
      <c r="A8116">
        <v>3221</v>
      </c>
      <c r="B8116" s="1">
        <v>45747</v>
      </c>
      <c r="C8116" t="s">
        <v>25</v>
      </c>
      <c r="D8116" s="2">
        <v>38.4</v>
      </c>
      <c r="E8116" s="2">
        <v>0</v>
      </c>
      <c r="F8116" t="s">
        <v>27</v>
      </c>
      <c r="G8116" t="s">
        <v>9</v>
      </c>
    </row>
    <row r="8117" spans="1:7" x14ac:dyDescent="0.35">
      <c r="A8117">
        <v>3221</v>
      </c>
      <c r="B8117" s="1">
        <v>45747</v>
      </c>
      <c r="C8117" t="s">
        <v>25</v>
      </c>
      <c r="D8117" s="2">
        <v>0</v>
      </c>
      <c r="E8117" s="2">
        <v>550.4</v>
      </c>
      <c r="F8117" t="s">
        <v>28</v>
      </c>
      <c r="G8117" t="s">
        <v>17</v>
      </c>
    </row>
    <row r="8118" spans="1:7" x14ac:dyDescent="0.35">
      <c r="A8118">
        <v>3222</v>
      </c>
      <c r="B8118" s="1">
        <v>45747</v>
      </c>
      <c r="C8118" t="s">
        <v>25</v>
      </c>
      <c r="D8118" s="2">
        <v>1643.22</v>
      </c>
      <c r="E8118" s="2">
        <v>0</v>
      </c>
      <c r="F8118" t="s">
        <v>26</v>
      </c>
      <c r="G8118" t="s">
        <v>20</v>
      </c>
    </row>
    <row r="8119" spans="1:7" x14ac:dyDescent="0.35">
      <c r="A8119">
        <v>3222</v>
      </c>
      <c r="B8119" s="1">
        <v>45747</v>
      </c>
      <c r="C8119" t="s">
        <v>25</v>
      </c>
      <c r="D8119" s="2">
        <v>123.24</v>
      </c>
      <c r="E8119" s="2">
        <v>0</v>
      </c>
      <c r="F8119" t="s">
        <v>27</v>
      </c>
      <c r="G8119" t="s">
        <v>9</v>
      </c>
    </row>
    <row r="8120" spans="1:7" x14ac:dyDescent="0.35">
      <c r="A8120">
        <v>3222</v>
      </c>
      <c r="B8120" s="1">
        <v>45747</v>
      </c>
      <c r="C8120" t="s">
        <v>25</v>
      </c>
      <c r="D8120" s="2">
        <v>0</v>
      </c>
      <c r="E8120" s="2">
        <v>1766.46</v>
      </c>
      <c r="F8120" t="s">
        <v>28</v>
      </c>
      <c r="G8120" t="s">
        <v>17</v>
      </c>
    </row>
    <row r="8121" spans="1:7" x14ac:dyDescent="0.35">
      <c r="A8121">
        <v>3223</v>
      </c>
      <c r="B8121" s="1">
        <v>45747</v>
      </c>
      <c r="C8121" t="s">
        <v>25</v>
      </c>
      <c r="D8121" s="2">
        <v>3282.76</v>
      </c>
      <c r="E8121" s="2">
        <v>0</v>
      </c>
      <c r="F8121" t="s">
        <v>26</v>
      </c>
      <c r="G8121" t="s">
        <v>20</v>
      </c>
    </row>
    <row r="8122" spans="1:7" x14ac:dyDescent="0.35">
      <c r="A8122">
        <v>3223</v>
      </c>
      <c r="B8122" s="1">
        <v>45747</v>
      </c>
      <c r="C8122" t="s">
        <v>25</v>
      </c>
      <c r="D8122" s="2">
        <v>246.21</v>
      </c>
      <c r="E8122" s="2">
        <v>0</v>
      </c>
      <c r="F8122" t="s">
        <v>27</v>
      </c>
      <c r="G8122" t="s">
        <v>9</v>
      </c>
    </row>
    <row r="8123" spans="1:7" x14ac:dyDescent="0.35">
      <c r="A8123">
        <v>3223</v>
      </c>
      <c r="B8123" s="1">
        <v>45747</v>
      </c>
      <c r="C8123" t="s">
        <v>25</v>
      </c>
      <c r="D8123" s="2">
        <v>0</v>
      </c>
      <c r="E8123" s="2">
        <v>3528.97</v>
      </c>
      <c r="F8123" t="s">
        <v>28</v>
      </c>
      <c r="G8123" t="s">
        <v>17</v>
      </c>
    </row>
    <row r="8124" spans="1:7" x14ac:dyDescent="0.35">
      <c r="A8124">
        <v>3224</v>
      </c>
      <c r="B8124" s="1">
        <v>45747</v>
      </c>
      <c r="C8124" t="s">
        <v>29</v>
      </c>
      <c r="D8124" s="2">
        <v>1958.74</v>
      </c>
      <c r="E8124" s="2">
        <v>0</v>
      </c>
      <c r="F8124" t="s">
        <v>28</v>
      </c>
      <c r="G8124" t="s">
        <v>17</v>
      </c>
    </row>
    <row r="8125" spans="1:7" x14ac:dyDescent="0.35">
      <c r="A8125">
        <v>3224</v>
      </c>
      <c r="B8125" s="1">
        <v>45747</v>
      </c>
      <c r="C8125" t="s">
        <v>29</v>
      </c>
      <c r="D8125" s="2">
        <v>0</v>
      </c>
      <c r="E8125" s="2">
        <v>1958.74</v>
      </c>
      <c r="F8125" t="s">
        <v>8</v>
      </c>
      <c r="G8125" t="s">
        <v>9</v>
      </c>
    </row>
    <row r="8126" spans="1:7" x14ac:dyDescent="0.35">
      <c r="A8126">
        <v>3225</v>
      </c>
      <c r="B8126" s="1">
        <v>45747</v>
      </c>
      <c r="C8126" t="s">
        <v>29</v>
      </c>
      <c r="D8126" s="2">
        <v>1591.54</v>
      </c>
      <c r="E8126" s="2">
        <v>0</v>
      </c>
      <c r="F8126" t="s">
        <v>28</v>
      </c>
      <c r="G8126" t="s">
        <v>17</v>
      </c>
    </row>
    <row r="8127" spans="1:7" x14ac:dyDescent="0.35">
      <c r="A8127">
        <v>3225</v>
      </c>
      <c r="B8127" s="1">
        <v>45747</v>
      </c>
      <c r="C8127" t="s">
        <v>29</v>
      </c>
      <c r="D8127" s="2">
        <v>0</v>
      </c>
      <c r="E8127" s="2">
        <v>1591.54</v>
      </c>
      <c r="F8127" t="s">
        <v>8</v>
      </c>
      <c r="G8127" t="s">
        <v>9</v>
      </c>
    </row>
    <row r="8128" spans="1:7" x14ac:dyDescent="0.35">
      <c r="A8128">
        <v>3226</v>
      </c>
      <c r="B8128" s="1">
        <v>45747</v>
      </c>
      <c r="C8128" t="s">
        <v>30</v>
      </c>
      <c r="D8128" s="2">
        <v>93.61</v>
      </c>
      <c r="E8128" s="2">
        <v>0</v>
      </c>
      <c r="F8128" t="s">
        <v>31</v>
      </c>
      <c r="G8128" t="s">
        <v>20</v>
      </c>
    </row>
    <row r="8129" spans="1:7" x14ac:dyDescent="0.35">
      <c r="A8129">
        <v>3226</v>
      </c>
      <c r="B8129" s="1">
        <v>45747</v>
      </c>
      <c r="C8129" t="s">
        <v>30</v>
      </c>
      <c r="D8129" s="2">
        <v>0</v>
      </c>
      <c r="E8129" s="2">
        <v>93.61</v>
      </c>
      <c r="F8129" t="s">
        <v>32</v>
      </c>
      <c r="G8129" t="s">
        <v>9</v>
      </c>
    </row>
    <row r="8130" spans="1:7" x14ac:dyDescent="0.35">
      <c r="A8130">
        <v>3227</v>
      </c>
      <c r="B8130" s="1">
        <v>45747</v>
      </c>
      <c r="C8130" t="s">
        <v>33</v>
      </c>
      <c r="D8130" s="2">
        <v>76.86</v>
      </c>
      <c r="E8130" s="2">
        <v>0</v>
      </c>
      <c r="F8130" t="s">
        <v>31</v>
      </c>
      <c r="G8130" t="s">
        <v>20</v>
      </c>
    </row>
    <row r="8131" spans="1:7" x14ac:dyDescent="0.35">
      <c r="A8131">
        <v>3227</v>
      </c>
      <c r="B8131" s="1">
        <v>45747</v>
      </c>
      <c r="C8131" t="s">
        <v>33</v>
      </c>
      <c r="D8131" s="2">
        <v>0</v>
      </c>
      <c r="E8131" s="2">
        <v>76.86</v>
      </c>
      <c r="F8131" t="s">
        <v>32</v>
      </c>
      <c r="G8131" t="s">
        <v>9</v>
      </c>
    </row>
    <row r="8132" spans="1:7" x14ac:dyDescent="0.35">
      <c r="A8132">
        <v>3228</v>
      </c>
      <c r="B8132" s="1">
        <v>45747</v>
      </c>
      <c r="C8132" t="s">
        <v>34</v>
      </c>
      <c r="D8132" s="2">
        <v>20.03</v>
      </c>
      <c r="E8132" s="2">
        <v>0</v>
      </c>
      <c r="F8132" t="s">
        <v>31</v>
      </c>
      <c r="G8132" t="s">
        <v>20</v>
      </c>
    </row>
    <row r="8133" spans="1:7" x14ac:dyDescent="0.35">
      <c r="A8133">
        <v>3228</v>
      </c>
      <c r="B8133" s="1">
        <v>45747</v>
      </c>
      <c r="C8133" t="s">
        <v>34</v>
      </c>
      <c r="D8133" s="2">
        <v>0</v>
      </c>
      <c r="E8133" s="2">
        <v>20.03</v>
      </c>
      <c r="F8133" t="s">
        <v>32</v>
      </c>
      <c r="G8133" t="s">
        <v>9</v>
      </c>
    </row>
    <row r="8134" spans="1:7" x14ac:dyDescent="0.35">
      <c r="A8134">
        <v>3229</v>
      </c>
      <c r="B8134" s="1">
        <v>45747</v>
      </c>
      <c r="C8134" t="s">
        <v>35</v>
      </c>
      <c r="D8134" s="2">
        <v>86.89</v>
      </c>
      <c r="E8134" s="2">
        <v>0</v>
      </c>
      <c r="F8134" t="s">
        <v>31</v>
      </c>
      <c r="G8134" t="s">
        <v>20</v>
      </c>
    </row>
    <row r="8135" spans="1:7" x14ac:dyDescent="0.35">
      <c r="A8135">
        <v>3229</v>
      </c>
      <c r="B8135" s="1">
        <v>45747</v>
      </c>
      <c r="C8135" t="s">
        <v>35</v>
      </c>
      <c r="D8135" s="2">
        <v>0</v>
      </c>
      <c r="E8135" s="2">
        <v>86.89</v>
      </c>
      <c r="F8135" t="s">
        <v>36</v>
      </c>
      <c r="G8135" t="s">
        <v>9</v>
      </c>
    </row>
    <row r="8136" spans="1:7" x14ac:dyDescent="0.35">
      <c r="A8136">
        <v>3230</v>
      </c>
      <c r="B8136" s="1">
        <v>45747</v>
      </c>
      <c r="C8136" t="s">
        <v>37</v>
      </c>
      <c r="D8136" s="2">
        <v>76.8</v>
      </c>
      <c r="E8136" s="2">
        <v>0</v>
      </c>
      <c r="F8136" t="s">
        <v>31</v>
      </c>
      <c r="G8136" t="s">
        <v>20</v>
      </c>
    </row>
    <row r="8137" spans="1:7" x14ac:dyDescent="0.35">
      <c r="A8137">
        <v>3230</v>
      </c>
      <c r="B8137" s="1">
        <v>45747</v>
      </c>
      <c r="C8137" t="s">
        <v>37</v>
      </c>
      <c r="D8137" s="2">
        <v>0</v>
      </c>
      <c r="E8137" s="2">
        <v>76.8</v>
      </c>
      <c r="F8137" t="s">
        <v>36</v>
      </c>
      <c r="G8137" t="s">
        <v>9</v>
      </c>
    </row>
    <row r="8138" spans="1:7" x14ac:dyDescent="0.35">
      <c r="A8138">
        <v>3231</v>
      </c>
      <c r="B8138" s="1">
        <v>45747</v>
      </c>
      <c r="C8138" t="s">
        <v>38</v>
      </c>
      <c r="D8138" s="2">
        <v>48.28</v>
      </c>
      <c r="E8138" s="2">
        <v>0</v>
      </c>
      <c r="F8138" t="s">
        <v>31</v>
      </c>
      <c r="G8138" t="s">
        <v>20</v>
      </c>
    </row>
    <row r="8139" spans="1:7" x14ac:dyDescent="0.35">
      <c r="A8139">
        <v>3231</v>
      </c>
      <c r="B8139" s="1">
        <v>45747</v>
      </c>
      <c r="C8139" t="s">
        <v>38</v>
      </c>
      <c r="D8139" s="2">
        <v>0</v>
      </c>
      <c r="E8139" s="2">
        <v>48.28</v>
      </c>
      <c r="F8139" t="s">
        <v>36</v>
      </c>
      <c r="G8139" t="s">
        <v>9</v>
      </c>
    </row>
    <row r="8140" spans="1:7" x14ac:dyDescent="0.35">
      <c r="A8140">
        <v>3232</v>
      </c>
      <c r="B8140" s="1">
        <v>45747</v>
      </c>
      <c r="C8140" t="s">
        <v>39</v>
      </c>
      <c r="D8140" s="2">
        <v>53.21</v>
      </c>
      <c r="E8140" s="2">
        <v>0</v>
      </c>
      <c r="F8140" t="s">
        <v>31</v>
      </c>
      <c r="G8140" t="s">
        <v>20</v>
      </c>
    </row>
    <row r="8141" spans="1:7" x14ac:dyDescent="0.35">
      <c r="A8141">
        <v>3232</v>
      </c>
      <c r="B8141" s="1">
        <v>45747</v>
      </c>
      <c r="C8141" t="s">
        <v>39</v>
      </c>
      <c r="D8141" s="2">
        <v>0</v>
      </c>
      <c r="E8141" s="2">
        <v>53.21</v>
      </c>
      <c r="F8141" t="s">
        <v>36</v>
      </c>
      <c r="G8141" t="s">
        <v>9</v>
      </c>
    </row>
    <row r="8142" spans="1:7" x14ac:dyDescent="0.35">
      <c r="A8142">
        <v>3233</v>
      </c>
      <c r="B8142" s="1">
        <v>45747</v>
      </c>
      <c r="C8142" t="s">
        <v>40</v>
      </c>
      <c r="D8142" s="2">
        <v>232.19</v>
      </c>
      <c r="E8142" s="2">
        <v>0</v>
      </c>
      <c r="F8142" t="s">
        <v>31</v>
      </c>
      <c r="G8142" t="s">
        <v>20</v>
      </c>
    </row>
    <row r="8143" spans="1:7" x14ac:dyDescent="0.35">
      <c r="A8143">
        <v>3233</v>
      </c>
      <c r="B8143" s="1">
        <v>45747</v>
      </c>
      <c r="C8143" t="s">
        <v>40</v>
      </c>
      <c r="D8143" s="2">
        <v>0</v>
      </c>
      <c r="E8143" s="2">
        <v>232.19</v>
      </c>
      <c r="F8143" t="s">
        <v>41</v>
      </c>
      <c r="G8143" t="s">
        <v>9</v>
      </c>
    </row>
    <row r="8144" spans="1:7" x14ac:dyDescent="0.35">
      <c r="A8144">
        <v>3234</v>
      </c>
      <c r="B8144" s="1">
        <v>45747</v>
      </c>
      <c r="C8144" t="s">
        <v>42</v>
      </c>
      <c r="D8144" s="2">
        <v>43.85</v>
      </c>
      <c r="E8144" s="2">
        <v>0</v>
      </c>
      <c r="F8144" t="s">
        <v>31</v>
      </c>
      <c r="G8144" t="s">
        <v>20</v>
      </c>
    </row>
    <row r="8145" spans="1:7" x14ac:dyDescent="0.35">
      <c r="A8145">
        <v>3234</v>
      </c>
      <c r="B8145" s="1">
        <v>45747</v>
      </c>
      <c r="C8145" t="s">
        <v>42</v>
      </c>
      <c r="D8145" s="2">
        <v>0</v>
      </c>
      <c r="E8145" s="2">
        <v>43.85</v>
      </c>
      <c r="F8145" t="s">
        <v>32</v>
      </c>
      <c r="G8145" t="s">
        <v>9</v>
      </c>
    </row>
    <row r="8146" spans="1:7" x14ac:dyDescent="0.35">
      <c r="A8146">
        <v>3235</v>
      </c>
      <c r="B8146" s="1">
        <v>45748</v>
      </c>
      <c r="C8146" t="s">
        <v>12</v>
      </c>
      <c r="D8146" s="2">
        <v>352.12</v>
      </c>
      <c r="E8146" s="2">
        <v>0</v>
      </c>
      <c r="F8146" t="s">
        <v>13</v>
      </c>
      <c r="G8146" t="s">
        <v>9</v>
      </c>
    </row>
    <row r="8147" spans="1:7" x14ac:dyDescent="0.35">
      <c r="A8147">
        <v>3235</v>
      </c>
      <c r="B8147" s="1">
        <v>45748</v>
      </c>
      <c r="C8147" t="s">
        <v>12</v>
      </c>
      <c r="D8147" s="2">
        <v>0</v>
      </c>
      <c r="E8147" s="2">
        <v>327.55</v>
      </c>
      <c r="F8147" t="s">
        <v>14</v>
      </c>
      <c r="G8147" t="s">
        <v>15</v>
      </c>
    </row>
    <row r="8148" spans="1:7" x14ac:dyDescent="0.35">
      <c r="A8148">
        <v>3235</v>
      </c>
      <c r="B8148" s="1">
        <v>45748</v>
      </c>
      <c r="C8148" t="s">
        <v>12</v>
      </c>
      <c r="D8148" s="2">
        <v>0</v>
      </c>
      <c r="E8148" s="2">
        <v>24.57</v>
      </c>
      <c r="F8148" t="s">
        <v>16</v>
      </c>
      <c r="G8148" t="s">
        <v>17</v>
      </c>
    </row>
    <row r="8149" spans="1:7" x14ac:dyDescent="0.35">
      <c r="A8149">
        <v>3236</v>
      </c>
      <c r="B8149" s="1">
        <v>45748</v>
      </c>
      <c r="C8149" t="s">
        <v>12</v>
      </c>
      <c r="D8149" s="2">
        <v>438.12</v>
      </c>
      <c r="E8149" s="2">
        <v>0</v>
      </c>
      <c r="F8149" t="s">
        <v>13</v>
      </c>
      <c r="G8149" t="s">
        <v>9</v>
      </c>
    </row>
    <row r="8150" spans="1:7" x14ac:dyDescent="0.35">
      <c r="A8150">
        <v>3236</v>
      </c>
      <c r="B8150" s="1">
        <v>45748</v>
      </c>
      <c r="C8150" t="s">
        <v>12</v>
      </c>
      <c r="D8150" s="2">
        <v>0</v>
      </c>
      <c r="E8150" s="2">
        <v>407.55</v>
      </c>
      <c r="F8150" t="s">
        <v>14</v>
      </c>
      <c r="G8150" t="s">
        <v>15</v>
      </c>
    </row>
    <row r="8151" spans="1:7" x14ac:dyDescent="0.35">
      <c r="A8151">
        <v>3236</v>
      </c>
      <c r="B8151" s="1">
        <v>45748</v>
      </c>
      <c r="C8151" t="s">
        <v>12</v>
      </c>
      <c r="D8151" s="2">
        <v>0</v>
      </c>
      <c r="E8151" s="2">
        <v>30.57</v>
      </c>
      <c r="F8151" t="s">
        <v>16</v>
      </c>
      <c r="G8151" t="s">
        <v>17</v>
      </c>
    </row>
    <row r="8152" spans="1:7" x14ac:dyDescent="0.35">
      <c r="A8152">
        <v>3237</v>
      </c>
      <c r="B8152" s="1">
        <v>45748</v>
      </c>
      <c r="C8152" t="s">
        <v>12</v>
      </c>
      <c r="D8152" s="2">
        <v>1060.9100000000001</v>
      </c>
      <c r="E8152" s="2">
        <v>0</v>
      </c>
      <c r="F8152" t="s">
        <v>13</v>
      </c>
      <c r="G8152" t="s">
        <v>9</v>
      </c>
    </row>
    <row r="8153" spans="1:7" x14ac:dyDescent="0.35">
      <c r="A8153">
        <v>3237</v>
      </c>
      <c r="B8153" s="1">
        <v>45748</v>
      </c>
      <c r="C8153" t="s">
        <v>12</v>
      </c>
      <c r="D8153" s="2">
        <v>0</v>
      </c>
      <c r="E8153" s="2">
        <v>986.9</v>
      </c>
      <c r="F8153" t="s">
        <v>14</v>
      </c>
      <c r="G8153" t="s">
        <v>15</v>
      </c>
    </row>
    <row r="8154" spans="1:7" x14ac:dyDescent="0.35">
      <c r="A8154">
        <v>3237</v>
      </c>
      <c r="B8154" s="1">
        <v>45748</v>
      </c>
      <c r="C8154" t="s">
        <v>12</v>
      </c>
      <c r="D8154" s="2">
        <v>0</v>
      </c>
      <c r="E8154" s="2">
        <v>74.010000000000005</v>
      </c>
      <c r="F8154" t="s">
        <v>16</v>
      </c>
      <c r="G8154" t="s">
        <v>17</v>
      </c>
    </row>
    <row r="8155" spans="1:7" x14ac:dyDescent="0.35">
      <c r="A8155">
        <v>3238</v>
      </c>
      <c r="B8155" s="1">
        <v>45748</v>
      </c>
      <c r="C8155" t="s">
        <v>12</v>
      </c>
      <c r="D8155" s="2">
        <v>5613.73</v>
      </c>
      <c r="E8155" s="2">
        <v>0</v>
      </c>
      <c r="F8155" t="s">
        <v>13</v>
      </c>
      <c r="G8155" t="s">
        <v>9</v>
      </c>
    </row>
    <row r="8156" spans="1:7" x14ac:dyDescent="0.35">
      <c r="A8156">
        <v>3238</v>
      </c>
      <c r="B8156" s="1">
        <v>45748</v>
      </c>
      <c r="C8156" t="s">
        <v>12</v>
      </c>
      <c r="D8156" s="2">
        <v>0</v>
      </c>
      <c r="E8156" s="2">
        <v>5222.08</v>
      </c>
      <c r="F8156" t="s">
        <v>14</v>
      </c>
      <c r="G8156" t="s">
        <v>15</v>
      </c>
    </row>
    <row r="8157" spans="1:7" x14ac:dyDescent="0.35">
      <c r="A8157">
        <v>3238</v>
      </c>
      <c r="B8157" s="1">
        <v>45748</v>
      </c>
      <c r="C8157" t="s">
        <v>12</v>
      </c>
      <c r="D8157" s="2">
        <v>0</v>
      </c>
      <c r="E8157" s="2">
        <v>391.65</v>
      </c>
      <c r="F8157" t="s">
        <v>16</v>
      </c>
      <c r="G8157" t="s">
        <v>17</v>
      </c>
    </row>
    <row r="8158" spans="1:7" x14ac:dyDescent="0.35">
      <c r="A8158">
        <v>3239</v>
      </c>
      <c r="B8158" s="1">
        <v>45748</v>
      </c>
      <c r="C8158" t="s">
        <v>24</v>
      </c>
      <c r="D8158" s="2">
        <v>170.6</v>
      </c>
      <c r="E8158" s="2">
        <v>0</v>
      </c>
      <c r="F8158" t="s">
        <v>8</v>
      </c>
      <c r="G8158" t="s">
        <v>9</v>
      </c>
    </row>
    <row r="8159" spans="1:7" x14ac:dyDescent="0.35">
      <c r="A8159">
        <v>3239</v>
      </c>
      <c r="B8159" s="1">
        <v>45748</v>
      </c>
      <c r="C8159" t="s">
        <v>24</v>
      </c>
      <c r="D8159" s="2">
        <v>0</v>
      </c>
      <c r="E8159" s="2">
        <v>170.6</v>
      </c>
      <c r="F8159" t="s">
        <v>13</v>
      </c>
      <c r="G8159" t="s">
        <v>9</v>
      </c>
    </row>
    <row r="8160" spans="1:7" x14ac:dyDescent="0.35">
      <c r="A8160">
        <v>3240</v>
      </c>
      <c r="B8160" s="1">
        <v>45748</v>
      </c>
      <c r="C8160" t="s">
        <v>24</v>
      </c>
      <c r="D8160" s="2">
        <v>3284.92</v>
      </c>
      <c r="E8160" s="2">
        <v>0</v>
      </c>
      <c r="F8160" t="s">
        <v>8</v>
      </c>
      <c r="G8160" t="s">
        <v>9</v>
      </c>
    </row>
    <row r="8161" spans="1:7" x14ac:dyDescent="0.35">
      <c r="A8161">
        <v>3240</v>
      </c>
      <c r="B8161" s="1">
        <v>45748</v>
      </c>
      <c r="C8161" t="s">
        <v>24</v>
      </c>
      <c r="D8161" s="2">
        <v>0</v>
      </c>
      <c r="E8161" s="2">
        <v>3284.92</v>
      </c>
      <c r="F8161" t="s">
        <v>13</v>
      </c>
      <c r="G8161" t="s">
        <v>9</v>
      </c>
    </row>
    <row r="8162" spans="1:7" x14ac:dyDescent="0.35">
      <c r="A8162">
        <v>3241</v>
      </c>
      <c r="B8162" s="1">
        <v>45748</v>
      </c>
      <c r="C8162" t="s">
        <v>29</v>
      </c>
      <c r="D8162" s="2">
        <v>2504.23</v>
      </c>
      <c r="E8162" s="2">
        <v>0</v>
      </c>
      <c r="F8162" t="s">
        <v>28</v>
      </c>
      <c r="G8162" t="s">
        <v>17</v>
      </c>
    </row>
    <row r="8163" spans="1:7" x14ac:dyDescent="0.35">
      <c r="A8163">
        <v>3241</v>
      </c>
      <c r="B8163" s="1">
        <v>45748</v>
      </c>
      <c r="C8163" t="s">
        <v>29</v>
      </c>
      <c r="D8163" s="2">
        <v>0</v>
      </c>
      <c r="E8163" s="2">
        <v>2504.23</v>
      </c>
      <c r="F8163" t="s">
        <v>8</v>
      </c>
      <c r="G8163" t="s">
        <v>9</v>
      </c>
    </row>
    <row r="8164" spans="1:7" x14ac:dyDescent="0.35">
      <c r="A8164">
        <v>3242</v>
      </c>
      <c r="B8164" s="1">
        <v>45748</v>
      </c>
      <c r="C8164" t="s">
        <v>29</v>
      </c>
      <c r="D8164" s="2">
        <v>412.54</v>
      </c>
      <c r="E8164" s="2">
        <v>0</v>
      </c>
      <c r="F8164" t="s">
        <v>28</v>
      </c>
      <c r="G8164" t="s">
        <v>17</v>
      </c>
    </row>
    <row r="8165" spans="1:7" x14ac:dyDescent="0.35">
      <c r="A8165">
        <v>3242</v>
      </c>
      <c r="B8165" s="1">
        <v>45748</v>
      </c>
      <c r="C8165" t="s">
        <v>29</v>
      </c>
      <c r="D8165" s="2">
        <v>0</v>
      </c>
      <c r="E8165" s="2">
        <v>412.54</v>
      </c>
      <c r="F8165" t="s">
        <v>8</v>
      </c>
      <c r="G8165" t="s">
        <v>9</v>
      </c>
    </row>
    <row r="8166" spans="1:7" x14ac:dyDescent="0.35">
      <c r="A8166">
        <v>3243</v>
      </c>
      <c r="B8166" s="1">
        <v>45748</v>
      </c>
      <c r="C8166" t="s">
        <v>29</v>
      </c>
      <c r="D8166" s="2">
        <v>2635.36</v>
      </c>
      <c r="E8166" s="2">
        <v>0</v>
      </c>
      <c r="F8166" t="s">
        <v>28</v>
      </c>
      <c r="G8166" t="s">
        <v>17</v>
      </c>
    </row>
    <row r="8167" spans="1:7" x14ac:dyDescent="0.35">
      <c r="A8167">
        <v>3243</v>
      </c>
      <c r="B8167" s="1">
        <v>45748</v>
      </c>
      <c r="C8167" t="s">
        <v>29</v>
      </c>
      <c r="D8167" s="2">
        <v>0</v>
      </c>
      <c r="E8167" s="2">
        <v>2635.36</v>
      </c>
      <c r="F8167" t="s">
        <v>8</v>
      </c>
      <c r="G8167" t="s">
        <v>9</v>
      </c>
    </row>
    <row r="8168" spans="1:7" x14ac:dyDescent="0.35">
      <c r="A8168">
        <v>3244</v>
      </c>
      <c r="B8168" s="1">
        <v>45748</v>
      </c>
      <c r="C8168" t="s">
        <v>29</v>
      </c>
      <c r="D8168" s="2">
        <v>1766.46</v>
      </c>
      <c r="E8168" s="2">
        <v>0</v>
      </c>
      <c r="F8168" t="s">
        <v>28</v>
      </c>
      <c r="G8168" t="s">
        <v>17</v>
      </c>
    </row>
    <row r="8169" spans="1:7" x14ac:dyDescent="0.35">
      <c r="A8169">
        <v>3244</v>
      </c>
      <c r="B8169" s="1">
        <v>45748</v>
      </c>
      <c r="C8169" t="s">
        <v>29</v>
      </c>
      <c r="D8169" s="2">
        <v>0</v>
      </c>
      <c r="E8169" s="2">
        <v>1766.46</v>
      </c>
      <c r="F8169" t="s">
        <v>8</v>
      </c>
      <c r="G8169" t="s">
        <v>9</v>
      </c>
    </row>
    <row r="8170" spans="1:7" x14ac:dyDescent="0.35">
      <c r="A8170">
        <v>3245</v>
      </c>
      <c r="B8170" s="1">
        <v>45749</v>
      </c>
      <c r="C8170" t="s">
        <v>12</v>
      </c>
      <c r="D8170" s="2">
        <v>3796.02</v>
      </c>
      <c r="E8170" s="2">
        <v>0</v>
      </c>
      <c r="F8170" t="s">
        <v>13</v>
      </c>
      <c r="G8170" t="s">
        <v>9</v>
      </c>
    </row>
    <row r="8171" spans="1:7" x14ac:dyDescent="0.35">
      <c r="A8171">
        <v>3245</v>
      </c>
      <c r="B8171" s="1">
        <v>45749</v>
      </c>
      <c r="C8171" t="s">
        <v>12</v>
      </c>
      <c r="D8171" s="2">
        <v>0</v>
      </c>
      <c r="E8171" s="2">
        <v>3531.18</v>
      </c>
      <c r="F8171" t="s">
        <v>14</v>
      </c>
      <c r="G8171" t="s">
        <v>15</v>
      </c>
    </row>
    <row r="8172" spans="1:7" x14ac:dyDescent="0.35">
      <c r="A8172">
        <v>3245</v>
      </c>
      <c r="B8172" s="1">
        <v>45749</v>
      </c>
      <c r="C8172" t="s">
        <v>12</v>
      </c>
      <c r="D8172" s="2">
        <v>0</v>
      </c>
      <c r="E8172" s="2">
        <v>264.83999999999997</v>
      </c>
      <c r="F8172" t="s">
        <v>16</v>
      </c>
      <c r="G8172" t="s">
        <v>17</v>
      </c>
    </row>
    <row r="8173" spans="1:7" x14ac:dyDescent="0.35">
      <c r="A8173">
        <v>3246</v>
      </c>
      <c r="B8173" s="1">
        <v>45749</v>
      </c>
      <c r="C8173" t="s">
        <v>24</v>
      </c>
      <c r="D8173" s="2">
        <v>3193.53</v>
      </c>
      <c r="E8173" s="2">
        <v>0</v>
      </c>
      <c r="F8173" t="s">
        <v>8</v>
      </c>
      <c r="G8173" t="s">
        <v>9</v>
      </c>
    </row>
    <row r="8174" spans="1:7" x14ac:dyDescent="0.35">
      <c r="A8174">
        <v>3246</v>
      </c>
      <c r="B8174" s="1">
        <v>45749</v>
      </c>
      <c r="C8174" t="s">
        <v>24</v>
      </c>
      <c r="D8174" s="2">
        <v>0</v>
      </c>
      <c r="E8174" s="2">
        <v>3193.53</v>
      </c>
      <c r="F8174" t="s">
        <v>13</v>
      </c>
      <c r="G8174" t="s">
        <v>9</v>
      </c>
    </row>
    <row r="8175" spans="1:7" x14ac:dyDescent="0.35">
      <c r="A8175">
        <v>3247</v>
      </c>
      <c r="B8175" s="1">
        <v>45749</v>
      </c>
      <c r="C8175" t="s">
        <v>24</v>
      </c>
      <c r="D8175" s="2">
        <v>2732.31</v>
      </c>
      <c r="E8175" s="2">
        <v>0</v>
      </c>
      <c r="F8175" t="s">
        <v>8</v>
      </c>
      <c r="G8175" t="s">
        <v>9</v>
      </c>
    </row>
    <row r="8176" spans="1:7" x14ac:dyDescent="0.35">
      <c r="A8176">
        <v>3247</v>
      </c>
      <c r="B8176" s="1">
        <v>45749</v>
      </c>
      <c r="C8176" t="s">
        <v>24</v>
      </c>
      <c r="D8176" s="2">
        <v>0</v>
      </c>
      <c r="E8176" s="2">
        <v>2732.31</v>
      </c>
      <c r="F8176" t="s">
        <v>13</v>
      </c>
      <c r="G8176" t="s">
        <v>9</v>
      </c>
    </row>
    <row r="8177" spans="1:7" x14ac:dyDescent="0.35">
      <c r="A8177">
        <v>3248</v>
      </c>
      <c r="B8177" s="1">
        <v>45749</v>
      </c>
      <c r="C8177" t="s">
        <v>24</v>
      </c>
      <c r="D8177" s="2">
        <v>152.16</v>
      </c>
      <c r="E8177" s="2">
        <v>0</v>
      </c>
      <c r="F8177" t="s">
        <v>8</v>
      </c>
      <c r="G8177" t="s">
        <v>9</v>
      </c>
    </row>
    <row r="8178" spans="1:7" x14ac:dyDescent="0.35">
      <c r="A8178">
        <v>3248</v>
      </c>
      <c r="B8178" s="1">
        <v>45749</v>
      </c>
      <c r="C8178" t="s">
        <v>24</v>
      </c>
      <c r="D8178" s="2">
        <v>0</v>
      </c>
      <c r="E8178" s="2">
        <v>152.16</v>
      </c>
      <c r="F8178" t="s">
        <v>13</v>
      </c>
      <c r="G8178" t="s">
        <v>9</v>
      </c>
    </row>
    <row r="8179" spans="1:7" x14ac:dyDescent="0.35">
      <c r="A8179">
        <v>3249</v>
      </c>
      <c r="B8179" s="1">
        <v>45749</v>
      </c>
      <c r="C8179" t="s">
        <v>24</v>
      </c>
      <c r="D8179" s="2">
        <v>1793.58</v>
      </c>
      <c r="E8179" s="2">
        <v>0</v>
      </c>
      <c r="F8179" t="s">
        <v>8</v>
      </c>
      <c r="G8179" t="s">
        <v>9</v>
      </c>
    </row>
    <row r="8180" spans="1:7" x14ac:dyDescent="0.35">
      <c r="A8180">
        <v>3249</v>
      </c>
      <c r="B8180" s="1">
        <v>45749</v>
      </c>
      <c r="C8180" t="s">
        <v>24</v>
      </c>
      <c r="D8180" s="2">
        <v>0</v>
      </c>
      <c r="E8180" s="2">
        <v>1793.58</v>
      </c>
      <c r="F8180" t="s">
        <v>13</v>
      </c>
      <c r="G8180" t="s">
        <v>9</v>
      </c>
    </row>
    <row r="8181" spans="1:7" x14ac:dyDescent="0.35">
      <c r="A8181">
        <v>3250</v>
      </c>
      <c r="B8181" s="1">
        <v>45749</v>
      </c>
      <c r="C8181" t="s">
        <v>24</v>
      </c>
      <c r="D8181" s="2">
        <v>2813.22</v>
      </c>
      <c r="E8181" s="2">
        <v>0</v>
      </c>
      <c r="F8181" t="s">
        <v>8</v>
      </c>
      <c r="G8181" t="s">
        <v>9</v>
      </c>
    </row>
    <row r="8182" spans="1:7" x14ac:dyDescent="0.35">
      <c r="A8182">
        <v>3250</v>
      </c>
      <c r="B8182" s="1">
        <v>45749</v>
      </c>
      <c r="C8182" t="s">
        <v>24</v>
      </c>
      <c r="D8182" s="2">
        <v>0</v>
      </c>
      <c r="E8182" s="2">
        <v>2813.22</v>
      </c>
      <c r="F8182" t="s">
        <v>13</v>
      </c>
      <c r="G8182" t="s">
        <v>9</v>
      </c>
    </row>
    <row r="8183" spans="1:7" x14ac:dyDescent="0.35">
      <c r="A8183">
        <v>3251</v>
      </c>
      <c r="B8183" s="1">
        <v>45749</v>
      </c>
      <c r="C8183" t="s">
        <v>24</v>
      </c>
      <c r="D8183" s="2">
        <v>72.650000000000006</v>
      </c>
      <c r="E8183" s="2">
        <v>0</v>
      </c>
      <c r="F8183" t="s">
        <v>8</v>
      </c>
      <c r="G8183" t="s">
        <v>9</v>
      </c>
    </row>
    <row r="8184" spans="1:7" x14ac:dyDescent="0.35">
      <c r="A8184">
        <v>3251</v>
      </c>
      <c r="B8184" s="1">
        <v>45749</v>
      </c>
      <c r="C8184" t="s">
        <v>24</v>
      </c>
      <c r="D8184" s="2">
        <v>0</v>
      </c>
      <c r="E8184" s="2">
        <v>72.650000000000006</v>
      </c>
      <c r="F8184" t="s">
        <v>13</v>
      </c>
      <c r="G8184" t="s">
        <v>9</v>
      </c>
    </row>
    <row r="8185" spans="1:7" x14ac:dyDescent="0.35">
      <c r="A8185">
        <v>3252</v>
      </c>
      <c r="B8185" s="1">
        <v>45749</v>
      </c>
      <c r="C8185" t="s">
        <v>24</v>
      </c>
      <c r="D8185" s="2">
        <v>1883.8</v>
      </c>
      <c r="E8185" s="2">
        <v>0</v>
      </c>
      <c r="F8185" t="s">
        <v>8</v>
      </c>
      <c r="G8185" t="s">
        <v>9</v>
      </c>
    </row>
    <row r="8186" spans="1:7" x14ac:dyDescent="0.35">
      <c r="A8186">
        <v>3252</v>
      </c>
      <c r="B8186" s="1">
        <v>45749</v>
      </c>
      <c r="C8186" t="s">
        <v>24</v>
      </c>
      <c r="D8186" s="2">
        <v>0</v>
      </c>
      <c r="E8186" s="2">
        <v>1883.8</v>
      </c>
      <c r="F8186" t="s">
        <v>13</v>
      </c>
      <c r="G8186" t="s">
        <v>9</v>
      </c>
    </row>
    <row r="8187" spans="1:7" x14ac:dyDescent="0.35">
      <c r="A8187">
        <v>3253</v>
      </c>
      <c r="B8187" s="1">
        <v>45749</v>
      </c>
      <c r="C8187" t="s">
        <v>25</v>
      </c>
      <c r="D8187" s="2">
        <v>3598.88</v>
      </c>
      <c r="E8187" s="2">
        <v>0</v>
      </c>
      <c r="F8187" t="s">
        <v>26</v>
      </c>
      <c r="G8187" t="s">
        <v>20</v>
      </c>
    </row>
    <row r="8188" spans="1:7" x14ac:dyDescent="0.35">
      <c r="A8188">
        <v>3253</v>
      </c>
      <c r="B8188" s="1">
        <v>45749</v>
      </c>
      <c r="C8188" t="s">
        <v>25</v>
      </c>
      <c r="D8188" s="2">
        <v>269.92</v>
      </c>
      <c r="E8188" s="2">
        <v>0</v>
      </c>
      <c r="F8188" t="s">
        <v>27</v>
      </c>
      <c r="G8188" t="s">
        <v>9</v>
      </c>
    </row>
    <row r="8189" spans="1:7" x14ac:dyDescent="0.35">
      <c r="A8189">
        <v>3253</v>
      </c>
      <c r="B8189" s="1">
        <v>45749</v>
      </c>
      <c r="C8189" t="s">
        <v>25</v>
      </c>
      <c r="D8189" s="2">
        <v>0</v>
      </c>
      <c r="E8189" s="2">
        <v>3868.8</v>
      </c>
      <c r="F8189" t="s">
        <v>28</v>
      </c>
      <c r="G8189" t="s">
        <v>17</v>
      </c>
    </row>
    <row r="8190" spans="1:7" x14ac:dyDescent="0.35">
      <c r="A8190">
        <v>3254</v>
      </c>
      <c r="B8190" s="1">
        <v>45749</v>
      </c>
      <c r="C8190" t="s">
        <v>25</v>
      </c>
      <c r="D8190" s="2">
        <v>1213.5999999999999</v>
      </c>
      <c r="E8190" s="2">
        <v>0</v>
      </c>
      <c r="F8190" t="s">
        <v>26</v>
      </c>
      <c r="G8190" t="s">
        <v>20</v>
      </c>
    </row>
    <row r="8191" spans="1:7" x14ac:dyDescent="0.35">
      <c r="A8191">
        <v>3254</v>
      </c>
      <c r="B8191" s="1">
        <v>45749</v>
      </c>
      <c r="C8191" t="s">
        <v>25</v>
      </c>
      <c r="D8191" s="2">
        <v>91.02</v>
      </c>
      <c r="E8191" s="2">
        <v>0</v>
      </c>
      <c r="F8191" t="s">
        <v>27</v>
      </c>
      <c r="G8191" t="s">
        <v>9</v>
      </c>
    </row>
    <row r="8192" spans="1:7" x14ac:dyDescent="0.35">
      <c r="A8192">
        <v>3254</v>
      </c>
      <c r="B8192" s="1">
        <v>45749</v>
      </c>
      <c r="C8192" t="s">
        <v>25</v>
      </c>
      <c r="D8192" s="2">
        <v>0</v>
      </c>
      <c r="E8192" s="2">
        <v>1304.6199999999999</v>
      </c>
      <c r="F8192" t="s">
        <v>28</v>
      </c>
      <c r="G8192" t="s">
        <v>17</v>
      </c>
    </row>
    <row r="8193" spans="1:7" x14ac:dyDescent="0.35">
      <c r="A8193">
        <v>3255</v>
      </c>
      <c r="B8193" s="1">
        <v>45750</v>
      </c>
      <c r="C8193" t="s">
        <v>12</v>
      </c>
      <c r="D8193" s="2">
        <v>123.55</v>
      </c>
      <c r="E8193" s="2">
        <v>0</v>
      </c>
      <c r="F8193" t="s">
        <v>13</v>
      </c>
      <c r="G8193" t="s">
        <v>9</v>
      </c>
    </row>
    <row r="8194" spans="1:7" x14ac:dyDescent="0.35">
      <c r="A8194">
        <v>3255</v>
      </c>
      <c r="B8194" s="1">
        <v>45750</v>
      </c>
      <c r="C8194" t="s">
        <v>12</v>
      </c>
      <c r="D8194" s="2">
        <v>0</v>
      </c>
      <c r="E8194" s="2">
        <v>114.93</v>
      </c>
      <c r="F8194" t="s">
        <v>14</v>
      </c>
      <c r="G8194" t="s">
        <v>15</v>
      </c>
    </row>
    <row r="8195" spans="1:7" x14ac:dyDescent="0.35">
      <c r="A8195">
        <v>3255</v>
      </c>
      <c r="B8195" s="1">
        <v>45750</v>
      </c>
      <c r="C8195" t="s">
        <v>12</v>
      </c>
      <c r="D8195" s="2">
        <v>0</v>
      </c>
      <c r="E8195" s="2">
        <v>8.6199999999999992</v>
      </c>
      <c r="F8195" t="s">
        <v>16</v>
      </c>
      <c r="G8195" t="s">
        <v>17</v>
      </c>
    </row>
    <row r="8196" spans="1:7" x14ac:dyDescent="0.35">
      <c r="A8196">
        <v>3256</v>
      </c>
      <c r="B8196" s="1">
        <v>45750</v>
      </c>
      <c r="C8196" t="s">
        <v>12</v>
      </c>
      <c r="D8196" s="2">
        <v>5900.38</v>
      </c>
      <c r="E8196" s="2">
        <v>0</v>
      </c>
      <c r="F8196" t="s">
        <v>13</v>
      </c>
      <c r="G8196" t="s">
        <v>9</v>
      </c>
    </row>
    <row r="8197" spans="1:7" x14ac:dyDescent="0.35">
      <c r="A8197">
        <v>3256</v>
      </c>
      <c r="B8197" s="1">
        <v>45750</v>
      </c>
      <c r="C8197" t="s">
        <v>12</v>
      </c>
      <c r="D8197" s="2">
        <v>0</v>
      </c>
      <c r="E8197" s="2">
        <v>5488.73</v>
      </c>
      <c r="F8197" t="s">
        <v>14</v>
      </c>
      <c r="G8197" t="s">
        <v>15</v>
      </c>
    </row>
    <row r="8198" spans="1:7" x14ac:dyDescent="0.35">
      <c r="A8198">
        <v>3256</v>
      </c>
      <c r="B8198" s="1">
        <v>45750</v>
      </c>
      <c r="C8198" t="s">
        <v>12</v>
      </c>
      <c r="D8198" s="2">
        <v>0</v>
      </c>
      <c r="E8198" s="2">
        <v>411.65</v>
      </c>
      <c r="F8198" t="s">
        <v>16</v>
      </c>
      <c r="G8198" t="s">
        <v>17</v>
      </c>
    </row>
    <row r="8199" spans="1:7" x14ac:dyDescent="0.35">
      <c r="A8199">
        <v>3257</v>
      </c>
      <c r="B8199" s="1">
        <v>45750</v>
      </c>
      <c r="C8199" t="s">
        <v>12</v>
      </c>
      <c r="D8199" s="2">
        <v>5808.52</v>
      </c>
      <c r="E8199" s="2">
        <v>0</v>
      </c>
      <c r="F8199" t="s">
        <v>13</v>
      </c>
      <c r="G8199" t="s">
        <v>9</v>
      </c>
    </row>
    <row r="8200" spans="1:7" x14ac:dyDescent="0.35">
      <c r="A8200">
        <v>3257</v>
      </c>
      <c r="B8200" s="1">
        <v>45750</v>
      </c>
      <c r="C8200" t="s">
        <v>12</v>
      </c>
      <c r="D8200" s="2">
        <v>0</v>
      </c>
      <c r="E8200" s="2">
        <v>5403.27</v>
      </c>
      <c r="F8200" t="s">
        <v>14</v>
      </c>
      <c r="G8200" t="s">
        <v>15</v>
      </c>
    </row>
    <row r="8201" spans="1:7" x14ac:dyDescent="0.35">
      <c r="A8201">
        <v>3257</v>
      </c>
      <c r="B8201" s="1">
        <v>45750</v>
      </c>
      <c r="C8201" t="s">
        <v>12</v>
      </c>
      <c r="D8201" s="2">
        <v>0</v>
      </c>
      <c r="E8201" s="2">
        <v>405.25</v>
      </c>
      <c r="F8201" t="s">
        <v>16</v>
      </c>
      <c r="G8201" t="s">
        <v>17</v>
      </c>
    </row>
    <row r="8202" spans="1:7" x14ac:dyDescent="0.35">
      <c r="A8202">
        <v>3258</v>
      </c>
      <c r="B8202" s="1">
        <v>45750</v>
      </c>
      <c r="C8202" t="s">
        <v>12</v>
      </c>
      <c r="D8202" s="2">
        <v>1920.17</v>
      </c>
      <c r="E8202" s="2">
        <v>0</v>
      </c>
      <c r="F8202" t="s">
        <v>13</v>
      </c>
      <c r="G8202" t="s">
        <v>9</v>
      </c>
    </row>
    <row r="8203" spans="1:7" x14ac:dyDescent="0.35">
      <c r="A8203">
        <v>3258</v>
      </c>
      <c r="B8203" s="1">
        <v>45750</v>
      </c>
      <c r="C8203" t="s">
        <v>12</v>
      </c>
      <c r="D8203" s="2">
        <v>0</v>
      </c>
      <c r="E8203" s="2">
        <v>1786.2</v>
      </c>
      <c r="F8203" t="s">
        <v>14</v>
      </c>
      <c r="G8203" t="s">
        <v>15</v>
      </c>
    </row>
    <row r="8204" spans="1:7" x14ac:dyDescent="0.35">
      <c r="A8204">
        <v>3258</v>
      </c>
      <c r="B8204" s="1">
        <v>45750</v>
      </c>
      <c r="C8204" t="s">
        <v>12</v>
      </c>
      <c r="D8204" s="2">
        <v>0</v>
      </c>
      <c r="E8204" s="2">
        <v>133.97</v>
      </c>
      <c r="F8204" t="s">
        <v>16</v>
      </c>
      <c r="G8204" t="s">
        <v>17</v>
      </c>
    </row>
    <row r="8205" spans="1:7" x14ac:dyDescent="0.35">
      <c r="A8205">
        <v>3259</v>
      </c>
      <c r="B8205" s="1">
        <v>45750</v>
      </c>
      <c r="C8205" t="s">
        <v>12</v>
      </c>
      <c r="D8205" s="2">
        <v>338</v>
      </c>
      <c r="E8205" s="2">
        <v>0</v>
      </c>
      <c r="F8205" t="s">
        <v>13</v>
      </c>
      <c r="G8205" t="s">
        <v>9</v>
      </c>
    </row>
    <row r="8206" spans="1:7" x14ac:dyDescent="0.35">
      <c r="A8206">
        <v>3259</v>
      </c>
      <c r="B8206" s="1">
        <v>45750</v>
      </c>
      <c r="C8206" t="s">
        <v>12</v>
      </c>
      <c r="D8206" s="2">
        <v>0</v>
      </c>
      <c r="E8206" s="2">
        <v>314.42</v>
      </c>
      <c r="F8206" t="s">
        <v>14</v>
      </c>
      <c r="G8206" t="s">
        <v>15</v>
      </c>
    </row>
    <row r="8207" spans="1:7" x14ac:dyDescent="0.35">
      <c r="A8207">
        <v>3259</v>
      </c>
      <c r="B8207" s="1">
        <v>45750</v>
      </c>
      <c r="C8207" t="s">
        <v>12</v>
      </c>
      <c r="D8207" s="2">
        <v>0</v>
      </c>
      <c r="E8207" s="2">
        <v>23.58</v>
      </c>
      <c r="F8207" t="s">
        <v>16</v>
      </c>
      <c r="G8207" t="s">
        <v>17</v>
      </c>
    </row>
    <row r="8208" spans="1:7" x14ac:dyDescent="0.35">
      <c r="A8208">
        <v>3260</v>
      </c>
      <c r="B8208" s="1">
        <v>45750</v>
      </c>
      <c r="C8208" t="s">
        <v>24</v>
      </c>
      <c r="D8208" s="2">
        <v>1397.76</v>
      </c>
      <c r="E8208" s="2">
        <v>0</v>
      </c>
      <c r="F8208" t="s">
        <v>8</v>
      </c>
      <c r="G8208" t="s">
        <v>9</v>
      </c>
    </row>
    <row r="8209" spans="1:7" x14ac:dyDescent="0.35">
      <c r="A8209">
        <v>3260</v>
      </c>
      <c r="B8209" s="1">
        <v>45750</v>
      </c>
      <c r="C8209" t="s">
        <v>24</v>
      </c>
      <c r="D8209" s="2">
        <v>0</v>
      </c>
      <c r="E8209" s="2">
        <v>1397.76</v>
      </c>
      <c r="F8209" t="s">
        <v>13</v>
      </c>
      <c r="G8209" t="s">
        <v>9</v>
      </c>
    </row>
    <row r="8210" spans="1:7" x14ac:dyDescent="0.35">
      <c r="A8210">
        <v>3261</v>
      </c>
      <c r="B8210" s="1">
        <v>45750</v>
      </c>
      <c r="C8210" t="s">
        <v>24</v>
      </c>
      <c r="D8210" s="2">
        <v>93.27</v>
      </c>
      <c r="E8210" s="2">
        <v>0</v>
      </c>
      <c r="F8210" t="s">
        <v>8</v>
      </c>
      <c r="G8210" t="s">
        <v>9</v>
      </c>
    </row>
    <row r="8211" spans="1:7" x14ac:dyDescent="0.35">
      <c r="A8211">
        <v>3261</v>
      </c>
      <c r="B8211" s="1">
        <v>45750</v>
      </c>
      <c r="C8211" t="s">
        <v>24</v>
      </c>
      <c r="D8211" s="2">
        <v>0</v>
      </c>
      <c r="E8211" s="2">
        <v>93.27</v>
      </c>
      <c r="F8211" t="s">
        <v>13</v>
      </c>
      <c r="G8211" t="s">
        <v>9</v>
      </c>
    </row>
    <row r="8212" spans="1:7" x14ac:dyDescent="0.35">
      <c r="A8212">
        <v>3262</v>
      </c>
      <c r="B8212" s="1">
        <v>45750</v>
      </c>
      <c r="C8212" t="s">
        <v>24</v>
      </c>
      <c r="D8212" s="2">
        <v>1640.47</v>
      </c>
      <c r="E8212" s="2">
        <v>0</v>
      </c>
      <c r="F8212" t="s">
        <v>8</v>
      </c>
      <c r="G8212" t="s">
        <v>9</v>
      </c>
    </row>
    <row r="8213" spans="1:7" x14ac:dyDescent="0.35">
      <c r="A8213">
        <v>3262</v>
      </c>
      <c r="B8213" s="1">
        <v>45750</v>
      </c>
      <c r="C8213" t="s">
        <v>24</v>
      </c>
      <c r="D8213" s="2">
        <v>0</v>
      </c>
      <c r="E8213" s="2">
        <v>1640.47</v>
      </c>
      <c r="F8213" t="s">
        <v>13</v>
      </c>
      <c r="G8213" t="s">
        <v>9</v>
      </c>
    </row>
    <row r="8214" spans="1:7" x14ac:dyDescent="0.35">
      <c r="A8214">
        <v>3263</v>
      </c>
      <c r="B8214" s="1">
        <v>45750</v>
      </c>
      <c r="C8214" t="s">
        <v>24</v>
      </c>
      <c r="D8214" s="2">
        <v>3423.69</v>
      </c>
      <c r="E8214" s="2">
        <v>0</v>
      </c>
      <c r="F8214" t="s">
        <v>8</v>
      </c>
      <c r="G8214" t="s">
        <v>9</v>
      </c>
    </row>
    <row r="8215" spans="1:7" x14ac:dyDescent="0.35">
      <c r="A8215">
        <v>3263</v>
      </c>
      <c r="B8215" s="1">
        <v>45750</v>
      </c>
      <c r="C8215" t="s">
        <v>24</v>
      </c>
      <c r="D8215" s="2">
        <v>0</v>
      </c>
      <c r="E8215" s="2">
        <v>3423.69</v>
      </c>
      <c r="F8215" t="s">
        <v>13</v>
      </c>
      <c r="G8215" t="s">
        <v>9</v>
      </c>
    </row>
    <row r="8216" spans="1:7" x14ac:dyDescent="0.35">
      <c r="A8216">
        <v>3264</v>
      </c>
      <c r="B8216" s="1">
        <v>45750</v>
      </c>
      <c r="C8216" t="s">
        <v>24</v>
      </c>
      <c r="D8216" s="2">
        <v>4305.8</v>
      </c>
      <c r="E8216" s="2">
        <v>0</v>
      </c>
      <c r="F8216" t="s">
        <v>8</v>
      </c>
      <c r="G8216" t="s">
        <v>9</v>
      </c>
    </row>
    <row r="8217" spans="1:7" x14ac:dyDescent="0.35">
      <c r="A8217">
        <v>3264</v>
      </c>
      <c r="B8217" s="1">
        <v>45750</v>
      </c>
      <c r="C8217" t="s">
        <v>24</v>
      </c>
      <c r="D8217" s="2">
        <v>0</v>
      </c>
      <c r="E8217" s="2">
        <v>4305.8</v>
      </c>
      <c r="F8217" t="s">
        <v>13</v>
      </c>
      <c r="G8217" t="s">
        <v>9</v>
      </c>
    </row>
    <row r="8218" spans="1:7" x14ac:dyDescent="0.35">
      <c r="A8218">
        <v>3265</v>
      </c>
      <c r="B8218" s="1">
        <v>45750</v>
      </c>
      <c r="C8218" t="s">
        <v>24</v>
      </c>
      <c r="D8218" s="2">
        <v>2660.25</v>
      </c>
      <c r="E8218" s="2">
        <v>0</v>
      </c>
      <c r="F8218" t="s">
        <v>8</v>
      </c>
      <c r="G8218" t="s">
        <v>9</v>
      </c>
    </row>
    <row r="8219" spans="1:7" x14ac:dyDescent="0.35">
      <c r="A8219">
        <v>3265</v>
      </c>
      <c r="B8219" s="1">
        <v>45750</v>
      </c>
      <c r="C8219" t="s">
        <v>24</v>
      </c>
      <c r="D8219" s="2">
        <v>0</v>
      </c>
      <c r="E8219" s="2">
        <v>2660.25</v>
      </c>
      <c r="F8219" t="s">
        <v>13</v>
      </c>
      <c r="G8219" t="s">
        <v>9</v>
      </c>
    </row>
    <row r="8220" spans="1:7" x14ac:dyDescent="0.35">
      <c r="A8220">
        <v>3266</v>
      </c>
      <c r="B8220" s="1">
        <v>45750</v>
      </c>
      <c r="C8220" t="s">
        <v>24</v>
      </c>
      <c r="D8220" s="2">
        <v>443.43</v>
      </c>
      <c r="E8220" s="2">
        <v>0</v>
      </c>
      <c r="F8220" t="s">
        <v>8</v>
      </c>
      <c r="G8220" t="s">
        <v>9</v>
      </c>
    </row>
    <row r="8221" spans="1:7" x14ac:dyDescent="0.35">
      <c r="A8221">
        <v>3266</v>
      </c>
      <c r="B8221" s="1">
        <v>45750</v>
      </c>
      <c r="C8221" t="s">
        <v>24</v>
      </c>
      <c r="D8221" s="2">
        <v>0</v>
      </c>
      <c r="E8221" s="2">
        <v>443.43</v>
      </c>
      <c r="F8221" t="s">
        <v>13</v>
      </c>
      <c r="G8221" t="s">
        <v>9</v>
      </c>
    </row>
    <row r="8222" spans="1:7" x14ac:dyDescent="0.35">
      <c r="A8222">
        <v>3267</v>
      </c>
      <c r="B8222" s="1">
        <v>45750</v>
      </c>
      <c r="C8222" t="s">
        <v>24</v>
      </c>
      <c r="D8222" s="2">
        <v>352.12</v>
      </c>
      <c r="E8222" s="2">
        <v>0</v>
      </c>
      <c r="F8222" t="s">
        <v>8</v>
      </c>
      <c r="G8222" t="s">
        <v>9</v>
      </c>
    </row>
    <row r="8223" spans="1:7" x14ac:dyDescent="0.35">
      <c r="A8223">
        <v>3267</v>
      </c>
      <c r="B8223" s="1">
        <v>45750</v>
      </c>
      <c r="C8223" t="s">
        <v>24</v>
      </c>
      <c r="D8223" s="2">
        <v>0</v>
      </c>
      <c r="E8223" s="2">
        <v>352.12</v>
      </c>
      <c r="F8223" t="s">
        <v>13</v>
      </c>
      <c r="G8223" t="s">
        <v>9</v>
      </c>
    </row>
    <row r="8224" spans="1:7" x14ac:dyDescent="0.35">
      <c r="A8224">
        <v>3268</v>
      </c>
      <c r="B8224" s="1">
        <v>45750</v>
      </c>
      <c r="C8224" t="s">
        <v>25</v>
      </c>
      <c r="D8224" s="2">
        <v>8685.27</v>
      </c>
      <c r="E8224" s="2">
        <v>0</v>
      </c>
      <c r="F8224" t="s">
        <v>26</v>
      </c>
      <c r="G8224" t="s">
        <v>20</v>
      </c>
    </row>
    <row r="8225" spans="1:7" x14ac:dyDescent="0.35">
      <c r="A8225">
        <v>3268</v>
      </c>
      <c r="B8225" s="1">
        <v>45750</v>
      </c>
      <c r="C8225" t="s">
        <v>25</v>
      </c>
      <c r="D8225" s="2">
        <v>651.4</v>
      </c>
      <c r="E8225" s="2">
        <v>0</v>
      </c>
      <c r="F8225" t="s">
        <v>27</v>
      </c>
      <c r="G8225" t="s">
        <v>9</v>
      </c>
    </row>
    <row r="8226" spans="1:7" x14ac:dyDescent="0.35">
      <c r="A8226">
        <v>3268</v>
      </c>
      <c r="B8226" s="1">
        <v>45750</v>
      </c>
      <c r="C8226" t="s">
        <v>25</v>
      </c>
      <c r="D8226" s="2">
        <v>0</v>
      </c>
      <c r="E8226" s="2">
        <v>9336.67</v>
      </c>
      <c r="F8226" t="s">
        <v>28</v>
      </c>
      <c r="G8226" t="s">
        <v>17</v>
      </c>
    </row>
    <row r="8227" spans="1:7" x14ac:dyDescent="0.35">
      <c r="A8227">
        <v>3269</v>
      </c>
      <c r="B8227" s="1">
        <v>45750</v>
      </c>
      <c r="C8227" t="s">
        <v>25</v>
      </c>
      <c r="D8227" s="2">
        <v>6723.2</v>
      </c>
      <c r="E8227" s="2">
        <v>0</v>
      </c>
      <c r="F8227" t="s">
        <v>26</v>
      </c>
      <c r="G8227" t="s">
        <v>20</v>
      </c>
    </row>
    <row r="8228" spans="1:7" x14ac:dyDescent="0.35">
      <c r="A8228">
        <v>3269</v>
      </c>
      <c r="B8228" s="1">
        <v>45750</v>
      </c>
      <c r="C8228" t="s">
        <v>25</v>
      </c>
      <c r="D8228" s="2">
        <v>504.24</v>
      </c>
      <c r="E8228" s="2">
        <v>0</v>
      </c>
      <c r="F8228" t="s">
        <v>27</v>
      </c>
      <c r="G8228" t="s">
        <v>9</v>
      </c>
    </row>
    <row r="8229" spans="1:7" x14ac:dyDescent="0.35">
      <c r="A8229">
        <v>3269</v>
      </c>
      <c r="B8229" s="1">
        <v>45750</v>
      </c>
      <c r="C8229" t="s">
        <v>25</v>
      </c>
      <c r="D8229" s="2">
        <v>0</v>
      </c>
      <c r="E8229" s="2">
        <v>7227.44</v>
      </c>
      <c r="F8229" t="s">
        <v>28</v>
      </c>
      <c r="G8229" t="s">
        <v>17</v>
      </c>
    </row>
    <row r="8230" spans="1:7" x14ac:dyDescent="0.35">
      <c r="A8230">
        <v>3270</v>
      </c>
      <c r="B8230" s="1">
        <v>45750</v>
      </c>
      <c r="C8230" t="s">
        <v>25</v>
      </c>
      <c r="D8230" s="2">
        <v>2714.58</v>
      </c>
      <c r="E8230" s="2">
        <v>0</v>
      </c>
      <c r="F8230" t="s">
        <v>26</v>
      </c>
      <c r="G8230" t="s">
        <v>20</v>
      </c>
    </row>
    <row r="8231" spans="1:7" x14ac:dyDescent="0.35">
      <c r="A8231">
        <v>3270</v>
      </c>
      <c r="B8231" s="1">
        <v>45750</v>
      </c>
      <c r="C8231" t="s">
        <v>25</v>
      </c>
      <c r="D8231" s="2">
        <v>203.59</v>
      </c>
      <c r="E8231" s="2">
        <v>0</v>
      </c>
      <c r="F8231" t="s">
        <v>27</v>
      </c>
      <c r="G8231" t="s">
        <v>9</v>
      </c>
    </row>
    <row r="8232" spans="1:7" x14ac:dyDescent="0.35">
      <c r="A8232">
        <v>3270</v>
      </c>
      <c r="B8232" s="1">
        <v>45750</v>
      </c>
      <c r="C8232" t="s">
        <v>25</v>
      </c>
      <c r="D8232" s="2">
        <v>0</v>
      </c>
      <c r="E8232" s="2">
        <v>2918.17</v>
      </c>
      <c r="F8232" t="s">
        <v>28</v>
      </c>
      <c r="G8232" t="s">
        <v>17</v>
      </c>
    </row>
    <row r="8233" spans="1:7" x14ac:dyDescent="0.35">
      <c r="A8233">
        <v>3271</v>
      </c>
      <c r="B8233" s="1">
        <v>45751</v>
      </c>
      <c r="C8233" t="s">
        <v>12</v>
      </c>
      <c r="D8233" s="2">
        <v>3470.48</v>
      </c>
      <c r="E8233" s="2">
        <v>0</v>
      </c>
      <c r="F8233" t="s">
        <v>13</v>
      </c>
      <c r="G8233" t="s">
        <v>9</v>
      </c>
    </row>
    <row r="8234" spans="1:7" x14ac:dyDescent="0.35">
      <c r="A8234">
        <v>3271</v>
      </c>
      <c r="B8234" s="1">
        <v>45751</v>
      </c>
      <c r="C8234" t="s">
        <v>12</v>
      </c>
      <c r="D8234" s="2">
        <v>0</v>
      </c>
      <c r="E8234" s="2">
        <v>3228.35</v>
      </c>
      <c r="F8234" t="s">
        <v>14</v>
      </c>
      <c r="G8234" t="s">
        <v>15</v>
      </c>
    </row>
    <row r="8235" spans="1:7" x14ac:dyDescent="0.35">
      <c r="A8235">
        <v>3271</v>
      </c>
      <c r="B8235" s="1">
        <v>45751</v>
      </c>
      <c r="C8235" t="s">
        <v>12</v>
      </c>
      <c r="D8235" s="2">
        <v>0</v>
      </c>
      <c r="E8235" s="2">
        <v>242.13</v>
      </c>
      <c r="F8235" t="s">
        <v>16</v>
      </c>
      <c r="G8235" t="s">
        <v>17</v>
      </c>
    </row>
    <row r="8236" spans="1:7" x14ac:dyDescent="0.35">
      <c r="A8236">
        <v>3272</v>
      </c>
      <c r="B8236" s="1">
        <v>45751</v>
      </c>
      <c r="C8236" t="s">
        <v>12</v>
      </c>
      <c r="D8236" s="2">
        <v>814.89</v>
      </c>
      <c r="E8236" s="2">
        <v>0</v>
      </c>
      <c r="F8236" t="s">
        <v>13</v>
      </c>
      <c r="G8236" t="s">
        <v>9</v>
      </c>
    </row>
    <row r="8237" spans="1:7" x14ac:dyDescent="0.35">
      <c r="A8237">
        <v>3272</v>
      </c>
      <c r="B8237" s="1">
        <v>45751</v>
      </c>
      <c r="C8237" t="s">
        <v>12</v>
      </c>
      <c r="D8237" s="2">
        <v>0</v>
      </c>
      <c r="E8237" s="2">
        <v>758.03</v>
      </c>
      <c r="F8237" t="s">
        <v>14</v>
      </c>
      <c r="G8237" t="s">
        <v>15</v>
      </c>
    </row>
    <row r="8238" spans="1:7" x14ac:dyDescent="0.35">
      <c r="A8238">
        <v>3272</v>
      </c>
      <c r="B8238" s="1">
        <v>45751</v>
      </c>
      <c r="C8238" t="s">
        <v>12</v>
      </c>
      <c r="D8238" s="2">
        <v>0</v>
      </c>
      <c r="E8238" s="2">
        <v>56.86</v>
      </c>
      <c r="F8238" t="s">
        <v>16</v>
      </c>
      <c r="G8238" t="s">
        <v>17</v>
      </c>
    </row>
    <row r="8239" spans="1:7" x14ac:dyDescent="0.35">
      <c r="A8239">
        <v>3273</v>
      </c>
      <c r="B8239" s="1">
        <v>45751</v>
      </c>
      <c r="C8239" t="s">
        <v>12</v>
      </c>
      <c r="D8239" s="2">
        <v>1919.25</v>
      </c>
      <c r="E8239" s="2">
        <v>0</v>
      </c>
      <c r="F8239" t="s">
        <v>13</v>
      </c>
      <c r="G8239" t="s">
        <v>9</v>
      </c>
    </row>
    <row r="8240" spans="1:7" x14ac:dyDescent="0.35">
      <c r="A8240">
        <v>3273</v>
      </c>
      <c r="B8240" s="1">
        <v>45751</v>
      </c>
      <c r="C8240" t="s">
        <v>12</v>
      </c>
      <c r="D8240" s="2">
        <v>0</v>
      </c>
      <c r="E8240" s="2">
        <v>1785.35</v>
      </c>
      <c r="F8240" t="s">
        <v>14</v>
      </c>
      <c r="G8240" t="s">
        <v>15</v>
      </c>
    </row>
    <row r="8241" spans="1:7" x14ac:dyDescent="0.35">
      <c r="A8241">
        <v>3273</v>
      </c>
      <c r="B8241" s="1">
        <v>45751</v>
      </c>
      <c r="C8241" t="s">
        <v>12</v>
      </c>
      <c r="D8241" s="2">
        <v>0</v>
      </c>
      <c r="E8241" s="2">
        <v>133.9</v>
      </c>
      <c r="F8241" t="s">
        <v>16</v>
      </c>
      <c r="G8241" t="s">
        <v>17</v>
      </c>
    </row>
    <row r="8242" spans="1:7" x14ac:dyDescent="0.35">
      <c r="A8242">
        <v>3274</v>
      </c>
      <c r="B8242" s="1">
        <v>45751</v>
      </c>
      <c r="C8242" t="s">
        <v>24</v>
      </c>
      <c r="D8242" s="2">
        <v>116.14</v>
      </c>
      <c r="E8242" s="2">
        <v>0</v>
      </c>
      <c r="F8242" t="s">
        <v>8</v>
      </c>
      <c r="G8242" t="s">
        <v>9</v>
      </c>
    </row>
    <row r="8243" spans="1:7" x14ac:dyDescent="0.35">
      <c r="A8243">
        <v>3274</v>
      </c>
      <c r="B8243" s="1">
        <v>45751</v>
      </c>
      <c r="C8243" t="s">
        <v>24</v>
      </c>
      <c r="D8243" s="2">
        <v>0</v>
      </c>
      <c r="E8243" s="2">
        <v>116.14</v>
      </c>
      <c r="F8243" t="s">
        <v>13</v>
      </c>
      <c r="G8243" t="s">
        <v>9</v>
      </c>
    </row>
    <row r="8244" spans="1:7" x14ac:dyDescent="0.35">
      <c r="A8244">
        <v>3275</v>
      </c>
      <c r="B8244" s="1">
        <v>45751</v>
      </c>
      <c r="C8244" t="s">
        <v>24</v>
      </c>
      <c r="D8244" s="2">
        <v>814.89</v>
      </c>
      <c r="E8244" s="2">
        <v>0</v>
      </c>
      <c r="F8244" t="s">
        <v>8</v>
      </c>
      <c r="G8244" t="s">
        <v>9</v>
      </c>
    </row>
    <row r="8245" spans="1:7" x14ac:dyDescent="0.35">
      <c r="A8245">
        <v>3275</v>
      </c>
      <c r="B8245" s="1">
        <v>45751</v>
      </c>
      <c r="C8245" t="s">
        <v>24</v>
      </c>
      <c r="D8245" s="2">
        <v>0</v>
      </c>
      <c r="E8245" s="2">
        <v>814.89</v>
      </c>
      <c r="F8245" t="s">
        <v>13</v>
      </c>
      <c r="G8245" t="s">
        <v>9</v>
      </c>
    </row>
    <row r="8246" spans="1:7" x14ac:dyDescent="0.35">
      <c r="A8246">
        <v>3276</v>
      </c>
      <c r="B8246" s="1">
        <v>45751</v>
      </c>
      <c r="C8246" t="s">
        <v>29</v>
      </c>
      <c r="D8246" s="2">
        <v>2918.17</v>
      </c>
      <c r="E8246" s="2">
        <v>0</v>
      </c>
      <c r="F8246" t="s">
        <v>28</v>
      </c>
      <c r="G8246" t="s">
        <v>17</v>
      </c>
    </row>
    <row r="8247" spans="1:7" x14ac:dyDescent="0.35">
      <c r="A8247">
        <v>3276</v>
      </c>
      <c r="B8247" s="1">
        <v>45751</v>
      </c>
      <c r="C8247" t="s">
        <v>29</v>
      </c>
      <c r="D8247" s="2">
        <v>0</v>
      </c>
      <c r="E8247" s="2">
        <v>2918.17</v>
      </c>
      <c r="F8247" t="s">
        <v>8</v>
      </c>
      <c r="G8247" t="s">
        <v>9</v>
      </c>
    </row>
    <row r="8248" spans="1:7" x14ac:dyDescent="0.35">
      <c r="A8248">
        <v>3277</v>
      </c>
      <c r="B8248" s="1">
        <v>45754</v>
      </c>
      <c r="C8248" t="s">
        <v>12</v>
      </c>
      <c r="D8248" s="2">
        <v>1517.29</v>
      </c>
      <c r="E8248" s="2">
        <v>0</v>
      </c>
      <c r="F8248" t="s">
        <v>13</v>
      </c>
      <c r="G8248" t="s">
        <v>9</v>
      </c>
    </row>
    <row r="8249" spans="1:7" x14ac:dyDescent="0.35">
      <c r="A8249">
        <v>3277</v>
      </c>
      <c r="B8249" s="1">
        <v>45754</v>
      </c>
      <c r="C8249" t="s">
        <v>12</v>
      </c>
      <c r="D8249" s="2">
        <v>0</v>
      </c>
      <c r="E8249" s="2">
        <v>1411.44</v>
      </c>
      <c r="F8249" t="s">
        <v>14</v>
      </c>
      <c r="G8249" t="s">
        <v>15</v>
      </c>
    </row>
    <row r="8250" spans="1:7" x14ac:dyDescent="0.35">
      <c r="A8250">
        <v>3277</v>
      </c>
      <c r="B8250" s="1">
        <v>45754</v>
      </c>
      <c r="C8250" t="s">
        <v>12</v>
      </c>
      <c r="D8250" s="2">
        <v>0</v>
      </c>
      <c r="E8250" s="2">
        <v>105.85</v>
      </c>
      <c r="F8250" t="s">
        <v>16</v>
      </c>
      <c r="G8250" t="s">
        <v>17</v>
      </c>
    </row>
    <row r="8251" spans="1:7" x14ac:dyDescent="0.35">
      <c r="A8251">
        <v>3278</v>
      </c>
      <c r="B8251" s="1">
        <v>45754</v>
      </c>
      <c r="C8251" t="s">
        <v>12</v>
      </c>
      <c r="D8251" s="2">
        <v>929.35</v>
      </c>
      <c r="E8251" s="2">
        <v>0</v>
      </c>
      <c r="F8251" t="s">
        <v>13</v>
      </c>
      <c r="G8251" t="s">
        <v>9</v>
      </c>
    </row>
    <row r="8252" spans="1:7" x14ac:dyDescent="0.35">
      <c r="A8252">
        <v>3278</v>
      </c>
      <c r="B8252" s="1">
        <v>45754</v>
      </c>
      <c r="C8252" t="s">
        <v>12</v>
      </c>
      <c r="D8252" s="2">
        <v>0</v>
      </c>
      <c r="E8252" s="2">
        <v>864.52</v>
      </c>
      <c r="F8252" t="s">
        <v>14</v>
      </c>
      <c r="G8252" t="s">
        <v>15</v>
      </c>
    </row>
    <row r="8253" spans="1:7" x14ac:dyDescent="0.35">
      <c r="A8253">
        <v>3278</v>
      </c>
      <c r="B8253" s="1">
        <v>45754</v>
      </c>
      <c r="C8253" t="s">
        <v>12</v>
      </c>
      <c r="D8253" s="2">
        <v>0</v>
      </c>
      <c r="E8253" s="2">
        <v>64.83</v>
      </c>
      <c r="F8253" t="s">
        <v>16</v>
      </c>
      <c r="G8253" t="s">
        <v>17</v>
      </c>
    </row>
    <row r="8254" spans="1:7" x14ac:dyDescent="0.35">
      <c r="A8254">
        <v>3279</v>
      </c>
      <c r="B8254" s="1">
        <v>45754</v>
      </c>
      <c r="C8254" t="s">
        <v>12</v>
      </c>
      <c r="D8254" s="2">
        <v>3205.93</v>
      </c>
      <c r="E8254" s="2">
        <v>0</v>
      </c>
      <c r="F8254" t="s">
        <v>13</v>
      </c>
      <c r="G8254" t="s">
        <v>9</v>
      </c>
    </row>
    <row r="8255" spans="1:7" x14ac:dyDescent="0.35">
      <c r="A8255">
        <v>3279</v>
      </c>
      <c r="B8255" s="1">
        <v>45754</v>
      </c>
      <c r="C8255" t="s">
        <v>12</v>
      </c>
      <c r="D8255" s="2">
        <v>0</v>
      </c>
      <c r="E8255" s="2">
        <v>2982.26</v>
      </c>
      <c r="F8255" t="s">
        <v>14</v>
      </c>
      <c r="G8255" t="s">
        <v>15</v>
      </c>
    </row>
    <row r="8256" spans="1:7" x14ac:dyDescent="0.35">
      <c r="A8256">
        <v>3279</v>
      </c>
      <c r="B8256" s="1">
        <v>45754</v>
      </c>
      <c r="C8256" t="s">
        <v>12</v>
      </c>
      <c r="D8256" s="2">
        <v>0</v>
      </c>
      <c r="E8256" s="2">
        <v>223.67</v>
      </c>
      <c r="F8256" t="s">
        <v>16</v>
      </c>
      <c r="G8256" t="s">
        <v>17</v>
      </c>
    </row>
    <row r="8257" spans="1:7" x14ac:dyDescent="0.35">
      <c r="A8257">
        <v>3280</v>
      </c>
      <c r="B8257" s="1">
        <v>45754</v>
      </c>
      <c r="C8257" t="s">
        <v>12</v>
      </c>
      <c r="D8257" s="2">
        <v>1558.92</v>
      </c>
      <c r="E8257" s="2">
        <v>0</v>
      </c>
      <c r="F8257" t="s">
        <v>13</v>
      </c>
      <c r="G8257" t="s">
        <v>9</v>
      </c>
    </row>
    <row r="8258" spans="1:7" x14ac:dyDescent="0.35">
      <c r="A8258">
        <v>3280</v>
      </c>
      <c r="B8258" s="1">
        <v>45754</v>
      </c>
      <c r="C8258" t="s">
        <v>12</v>
      </c>
      <c r="D8258" s="2">
        <v>0</v>
      </c>
      <c r="E8258" s="2">
        <v>1450.16</v>
      </c>
      <c r="F8258" t="s">
        <v>14</v>
      </c>
      <c r="G8258" t="s">
        <v>15</v>
      </c>
    </row>
    <row r="8259" spans="1:7" x14ac:dyDescent="0.35">
      <c r="A8259">
        <v>3280</v>
      </c>
      <c r="B8259" s="1">
        <v>45754</v>
      </c>
      <c r="C8259" t="s">
        <v>12</v>
      </c>
      <c r="D8259" s="2">
        <v>0</v>
      </c>
      <c r="E8259" s="2">
        <v>108.76</v>
      </c>
      <c r="F8259" t="s">
        <v>16</v>
      </c>
      <c r="G8259" t="s">
        <v>17</v>
      </c>
    </row>
    <row r="8260" spans="1:7" x14ac:dyDescent="0.35">
      <c r="A8260">
        <v>3281</v>
      </c>
      <c r="B8260" s="1">
        <v>45754</v>
      </c>
      <c r="C8260" t="s">
        <v>12</v>
      </c>
      <c r="D8260" s="2">
        <v>1353.42</v>
      </c>
      <c r="E8260" s="2">
        <v>0</v>
      </c>
      <c r="F8260" t="s">
        <v>13</v>
      </c>
      <c r="G8260" t="s">
        <v>9</v>
      </c>
    </row>
    <row r="8261" spans="1:7" x14ac:dyDescent="0.35">
      <c r="A8261">
        <v>3281</v>
      </c>
      <c r="B8261" s="1">
        <v>45754</v>
      </c>
      <c r="C8261" t="s">
        <v>12</v>
      </c>
      <c r="D8261" s="2">
        <v>0</v>
      </c>
      <c r="E8261" s="2">
        <v>1259</v>
      </c>
      <c r="F8261" t="s">
        <v>14</v>
      </c>
      <c r="G8261" t="s">
        <v>15</v>
      </c>
    </row>
    <row r="8262" spans="1:7" x14ac:dyDescent="0.35">
      <c r="A8262">
        <v>3281</v>
      </c>
      <c r="B8262" s="1">
        <v>45754</v>
      </c>
      <c r="C8262" t="s">
        <v>12</v>
      </c>
      <c r="D8262" s="2">
        <v>0</v>
      </c>
      <c r="E8262" s="2">
        <v>94.42</v>
      </c>
      <c r="F8262" t="s">
        <v>16</v>
      </c>
      <c r="G8262" t="s">
        <v>17</v>
      </c>
    </row>
    <row r="8263" spans="1:7" x14ac:dyDescent="0.35">
      <c r="A8263">
        <v>3282</v>
      </c>
      <c r="B8263" s="1">
        <v>45754</v>
      </c>
      <c r="C8263" t="s">
        <v>12</v>
      </c>
      <c r="D8263" s="2">
        <v>5896.78</v>
      </c>
      <c r="E8263" s="2">
        <v>0</v>
      </c>
      <c r="F8263" t="s">
        <v>13</v>
      </c>
      <c r="G8263" t="s">
        <v>9</v>
      </c>
    </row>
    <row r="8264" spans="1:7" x14ac:dyDescent="0.35">
      <c r="A8264">
        <v>3282</v>
      </c>
      <c r="B8264" s="1">
        <v>45754</v>
      </c>
      <c r="C8264" t="s">
        <v>12</v>
      </c>
      <c r="D8264" s="2">
        <v>0</v>
      </c>
      <c r="E8264" s="2">
        <v>5485.38</v>
      </c>
      <c r="F8264" t="s">
        <v>14</v>
      </c>
      <c r="G8264" t="s">
        <v>15</v>
      </c>
    </row>
    <row r="8265" spans="1:7" x14ac:dyDescent="0.35">
      <c r="A8265">
        <v>3282</v>
      </c>
      <c r="B8265" s="1">
        <v>45754</v>
      </c>
      <c r="C8265" t="s">
        <v>12</v>
      </c>
      <c r="D8265" s="2">
        <v>0</v>
      </c>
      <c r="E8265" s="2">
        <v>411.4</v>
      </c>
      <c r="F8265" t="s">
        <v>16</v>
      </c>
      <c r="G8265" t="s">
        <v>17</v>
      </c>
    </row>
    <row r="8266" spans="1:7" x14ac:dyDescent="0.35">
      <c r="A8266">
        <v>3283</v>
      </c>
      <c r="B8266" s="1">
        <v>45754</v>
      </c>
      <c r="C8266" t="s">
        <v>12</v>
      </c>
      <c r="D8266" s="2">
        <v>1923.63</v>
      </c>
      <c r="E8266" s="2">
        <v>0</v>
      </c>
      <c r="F8266" t="s">
        <v>13</v>
      </c>
      <c r="G8266" t="s">
        <v>9</v>
      </c>
    </row>
    <row r="8267" spans="1:7" x14ac:dyDescent="0.35">
      <c r="A8267">
        <v>3283</v>
      </c>
      <c r="B8267" s="1">
        <v>45754</v>
      </c>
      <c r="C8267" t="s">
        <v>12</v>
      </c>
      <c r="D8267" s="2">
        <v>0</v>
      </c>
      <c r="E8267" s="2">
        <v>1789.42</v>
      </c>
      <c r="F8267" t="s">
        <v>14</v>
      </c>
      <c r="G8267" t="s">
        <v>15</v>
      </c>
    </row>
    <row r="8268" spans="1:7" x14ac:dyDescent="0.35">
      <c r="A8268">
        <v>3283</v>
      </c>
      <c r="B8268" s="1">
        <v>45754</v>
      </c>
      <c r="C8268" t="s">
        <v>12</v>
      </c>
      <c r="D8268" s="2">
        <v>0</v>
      </c>
      <c r="E8268" s="2">
        <v>134.21</v>
      </c>
      <c r="F8268" t="s">
        <v>16</v>
      </c>
      <c r="G8268" t="s">
        <v>17</v>
      </c>
    </row>
    <row r="8269" spans="1:7" x14ac:dyDescent="0.35">
      <c r="A8269">
        <v>3284</v>
      </c>
      <c r="B8269" s="1">
        <v>45754</v>
      </c>
      <c r="C8269" t="s">
        <v>24</v>
      </c>
      <c r="D8269" s="2">
        <v>2270.83</v>
      </c>
      <c r="E8269" s="2">
        <v>0</v>
      </c>
      <c r="F8269" t="s">
        <v>8</v>
      </c>
      <c r="G8269" t="s">
        <v>9</v>
      </c>
    </row>
    <row r="8270" spans="1:7" x14ac:dyDescent="0.35">
      <c r="A8270">
        <v>3284</v>
      </c>
      <c r="B8270" s="1">
        <v>45754</v>
      </c>
      <c r="C8270" t="s">
        <v>24</v>
      </c>
      <c r="D8270" s="2">
        <v>0</v>
      </c>
      <c r="E8270" s="2">
        <v>2270.83</v>
      </c>
      <c r="F8270" t="s">
        <v>13</v>
      </c>
      <c r="G8270" t="s">
        <v>9</v>
      </c>
    </row>
    <row r="8271" spans="1:7" x14ac:dyDescent="0.35">
      <c r="A8271">
        <v>3285</v>
      </c>
      <c r="B8271" s="1">
        <v>45754</v>
      </c>
      <c r="C8271" t="s">
        <v>24</v>
      </c>
      <c r="D8271" s="2">
        <v>3880.81</v>
      </c>
      <c r="E8271" s="2">
        <v>0</v>
      </c>
      <c r="F8271" t="s">
        <v>8</v>
      </c>
      <c r="G8271" t="s">
        <v>9</v>
      </c>
    </row>
    <row r="8272" spans="1:7" x14ac:dyDescent="0.35">
      <c r="A8272">
        <v>3285</v>
      </c>
      <c r="B8272" s="1">
        <v>45754</v>
      </c>
      <c r="C8272" t="s">
        <v>24</v>
      </c>
      <c r="D8272" s="2">
        <v>0</v>
      </c>
      <c r="E8272" s="2">
        <v>3880.81</v>
      </c>
      <c r="F8272" t="s">
        <v>13</v>
      </c>
      <c r="G8272" t="s">
        <v>9</v>
      </c>
    </row>
    <row r="8273" spans="1:7" x14ac:dyDescent="0.35">
      <c r="A8273">
        <v>3286</v>
      </c>
      <c r="B8273" s="1">
        <v>45754</v>
      </c>
      <c r="C8273" t="s">
        <v>24</v>
      </c>
      <c r="D8273" s="2">
        <v>4682.41</v>
      </c>
      <c r="E8273" s="2">
        <v>0</v>
      </c>
      <c r="F8273" t="s">
        <v>8</v>
      </c>
      <c r="G8273" t="s">
        <v>9</v>
      </c>
    </row>
    <row r="8274" spans="1:7" x14ac:dyDescent="0.35">
      <c r="A8274">
        <v>3286</v>
      </c>
      <c r="B8274" s="1">
        <v>45754</v>
      </c>
      <c r="C8274" t="s">
        <v>24</v>
      </c>
      <c r="D8274" s="2">
        <v>0</v>
      </c>
      <c r="E8274" s="2">
        <v>4682.41</v>
      </c>
      <c r="F8274" t="s">
        <v>13</v>
      </c>
      <c r="G8274" t="s">
        <v>9</v>
      </c>
    </row>
    <row r="8275" spans="1:7" x14ac:dyDescent="0.35">
      <c r="A8275">
        <v>3287</v>
      </c>
      <c r="B8275" s="1">
        <v>45754</v>
      </c>
      <c r="C8275" t="s">
        <v>24</v>
      </c>
      <c r="D8275" s="2">
        <v>3693.41</v>
      </c>
      <c r="E8275" s="2">
        <v>0</v>
      </c>
      <c r="F8275" t="s">
        <v>8</v>
      </c>
      <c r="G8275" t="s">
        <v>9</v>
      </c>
    </row>
    <row r="8276" spans="1:7" x14ac:dyDescent="0.35">
      <c r="A8276">
        <v>3287</v>
      </c>
      <c r="B8276" s="1">
        <v>45754</v>
      </c>
      <c r="C8276" t="s">
        <v>24</v>
      </c>
      <c r="D8276" s="2">
        <v>0</v>
      </c>
      <c r="E8276" s="2">
        <v>3693.41</v>
      </c>
      <c r="F8276" t="s">
        <v>13</v>
      </c>
      <c r="G8276" t="s">
        <v>9</v>
      </c>
    </row>
    <row r="8277" spans="1:7" x14ac:dyDescent="0.35">
      <c r="A8277">
        <v>3288</v>
      </c>
      <c r="B8277" s="1">
        <v>45754</v>
      </c>
      <c r="C8277" t="s">
        <v>24</v>
      </c>
      <c r="D8277" s="2">
        <v>1501.18</v>
      </c>
      <c r="E8277" s="2">
        <v>0</v>
      </c>
      <c r="F8277" t="s">
        <v>8</v>
      </c>
      <c r="G8277" t="s">
        <v>9</v>
      </c>
    </row>
    <row r="8278" spans="1:7" x14ac:dyDescent="0.35">
      <c r="A8278">
        <v>3288</v>
      </c>
      <c r="B8278" s="1">
        <v>45754</v>
      </c>
      <c r="C8278" t="s">
        <v>24</v>
      </c>
      <c r="D8278" s="2">
        <v>0</v>
      </c>
      <c r="E8278" s="2">
        <v>1501.18</v>
      </c>
      <c r="F8278" t="s">
        <v>13</v>
      </c>
      <c r="G8278" t="s">
        <v>9</v>
      </c>
    </row>
    <row r="8279" spans="1:7" x14ac:dyDescent="0.35">
      <c r="A8279">
        <v>3289</v>
      </c>
      <c r="B8279" s="1">
        <v>45754</v>
      </c>
      <c r="C8279" t="s">
        <v>24</v>
      </c>
      <c r="D8279" s="2">
        <v>5613.73</v>
      </c>
      <c r="E8279" s="2">
        <v>0</v>
      </c>
      <c r="F8279" t="s">
        <v>8</v>
      </c>
      <c r="G8279" t="s">
        <v>9</v>
      </c>
    </row>
    <row r="8280" spans="1:7" x14ac:dyDescent="0.35">
      <c r="A8280">
        <v>3289</v>
      </c>
      <c r="B8280" s="1">
        <v>45754</v>
      </c>
      <c r="C8280" t="s">
        <v>24</v>
      </c>
      <c r="D8280" s="2">
        <v>0</v>
      </c>
      <c r="E8280" s="2">
        <v>5613.73</v>
      </c>
      <c r="F8280" t="s">
        <v>13</v>
      </c>
      <c r="G8280" t="s">
        <v>9</v>
      </c>
    </row>
    <row r="8281" spans="1:7" x14ac:dyDescent="0.35">
      <c r="A8281">
        <v>3290</v>
      </c>
      <c r="B8281" s="1">
        <v>45754</v>
      </c>
      <c r="C8281" t="s">
        <v>24</v>
      </c>
      <c r="D8281" s="2">
        <v>1517.29</v>
      </c>
      <c r="E8281" s="2">
        <v>0</v>
      </c>
      <c r="F8281" t="s">
        <v>8</v>
      </c>
      <c r="G8281" t="s">
        <v>9</v>
      </c>
    </row>
    <row r="8282" spans="1:7" x14ac:dyDescent="0.35">
      <c r="A8282">
        <v>3290</v>
      </c>
      <c r="B8282" s="1">
        <v>45754</v>
      </c>
      <c r="C8282" t="s">
        <v>24</v>
      </c>
      <c r="D8282" s="2">
        <v>0</v>
      </c>
      <c r="E8282" s="2">
        <v>1517.29</v>
      </c>
      <c r="F8282" t="s">
        <v>13</v>
      </c>
      <c r="G8282" t="s">
        <v>9</v>
      </c>
    </row>
    <row r="8283" spans="1:7" x14ac:dyDescent="0.35">
      <c r="A8283">
        <v>3291</v>
      </c>
      <c r="B8283" s="1">
        <v>45754</v>
      </c>
      <c r="C8283" t="s">
        <v>24</v>
      </c>
      <c r="D8283" s="2">
        <v>3205.93</v>
      </c>
      <c r="E8283" s="2">
        <v>0</v>
      </c>
      <c r="F8283" t="s">
        <v>8</v>
      </c>
      <c r="G8283" t="s">
        <v>9</v>
      </c>
    </row>
    <row r="8284" spans="1:7" x14ac:dyDescent="0.35">
      <c r="A8284">
        <v>3291</v>
      </c>
      <c r="B8284" s="1">
        <v>45754</v>
      </c>
      <c r="C8284" t="s">
        <v>24</v>
      </c>
      <c r="D8284" s="2">
        <v>0</v>
      </c>
      <c r="E8284" s="2">
        <v>3205.93</v>
      </c>
      <c r="F8284" t="s">
        <v>13</v>
      </c>
      <c r="G8284" t="s">
        <v>9</v>
      </c>
    </row>
    <row r="8285" spans="1:7" x14ac:dyDescent="0.35">
      <c r="A8285">
        <v>3292</v>
      </c>
      <c r="B8285" s="1">
        <v>45754</v>
      </c>
      <c r="C8285" t="s">
        <v>25</v>
      </c>
      <c r="D8285" s="2">
        <v>1800.04</v>
      </c>
      <c r="E8285" s="2">
        <v>0</v>
      </c>
      <c r="F8285" t="s">
        <v>26</v>
      </c>
      <c r="G8285" t="s">
        <v>20</v>
      </c>
    </row>
    <row r="8286" spans="1:7" x14ac:dyDescent="0.35">
      <c r="A8286">
        <v>3292</v>
      </c>
      <c r="B8286" s="1">
        <v>45754</v>
      </c>
      <c r="C8286" t="s">
        <v>25</v>
      </c>
      <c r="D8286" s="2">
        <v>135</v>
      </c>
      <c r="E8286" s="2">
        <v>0</v>
      </c>
      <c r="F8286" t="s">
        <v>27</v>
      </c>
      <c r="G8286" t="s">
        <v>9</v>
      </c>
    </row>
    <row r="8287" spans="1:7" x14ac:dyDescent="0.35">
      <c r="A8287">
        <v>3292</v>
      </c>
      <c r="B8287" s="1">
        <v>45754</v>
      </c>
      <c r="C8287" t="s">
        <v>25</v>
      </c>
      <c r="D8287" s="2">
        <v>0</v>
      </c>
      <c r="E8287" s="2">
        <v>1935.04</v>
      </c>
      <c r="F8287" t="s">
        <v>28</v>
      </c>
      <c r="G8287" t="s">
        <v>17</v>
      </c>
    </row>
    <row r="8288" spans="1:7" x14ac:dyDescent="0.35">
      <c r="A8288">
        <v>3293</v>
      </c>
      <c r="B8288" s="1">
        <v>45754</v>
      </c>
      <c r="C8288" t="s">
        <v>25</v>
      </c>
      <c r="D8288" s="2">
        <v>4476.71</v>
      </c>
      <c r="E8288" s="2">
        <v>0</v>
      </c>
      <c r="F8288" t="s">
        <v>26</v>
      </c>
      <c r="G8288" t="s">
        <v>20</v>
      </c>
    </row>
    <row r="8289" spans="1:7" x14ac:dyDescent="0.35">
      <c r="A8289">
        <v>3293</v>
      </c>
      <c r="B8289" s="1">
        <v>45754</v>
      </c>
      <c r="C8289" t="s">
        <v>25</v>
      </c>
      <c r="D8289" s="2">
        <v>335.75</v>
      </c>
      <c r="E8289" s="2">
        <v>0</v>
      </c>
      <c r="F8289" t="s">
        <v>27</v>
      </c>
      <c r="G8289" t="s">
        <v>9</v>
      </c>
    </row>
    <row r="8290" spans="1:7" x14ac:dyDescent="0.35">
      <c r="A8290">
        <v>3293</v>
      </c>
      <c r="B8290" s="1">
        <v>45754</v>
      </c>
      <c r="C8290" t="s">
        <v>25</v>
      </c>
      <c r="D8290" s="2">
        <v>0</v>
      </c>
      <c r="E8290" s="2">
        <v>4812.46</v>
      </c>
      <c r="F8290" t="s">
        <v>28</v>
      </c>
      <c r="G8290" t="s">
        <v>17</v>
      </c>
    </row>
    <row r="8291" spans="1:7" x14ac:dyDescent="0.35">
      <c r="A8291">
        <v>3294</v>
      </c>
      <c r="B8291" s="1">
        <v>45754</v>
      </c>
      <c r="C8291" t="s">
        <v>25</v>
      </c>
      <c r="D8291" s="2">
        <v>696.06</v>
      </c>
      <c r="E8291" s="2">
        <v>0</v>
      </c>
      <c r="F8291" t="s">
        <v>26</v>
      </c>
      <c r="G8291" t="s">
        <v>20</v>
      </c>
    </row>
    <row r="8292" spans="1:7" x14ac:dyDescent="0.35">
      <c r="A8292">
        <v>3294</v>
      </c>
      <c r="B8292" s="1">
        <v>45754</v>
      </c>
      <c r="C8292" t="s">
        <v>25</v>
      </c>
      <c r="D8292" s="2">
        <v>52.2</v>
      </c>
      <c r="E8292" s="2">
        <v>0</v>
      </c>
      <c r="F8292" t="s">
        <v>27</v>
      </c>
      <c r="G8292" t="s">
        <v>9</v>
      </c>
    </row>
    <row r="8293" spans="1:7" x14ac:dyDescent="0.35">
      <c r="A8293">
        <v>3294</v>
      </c>
      <c r="B8293" s="1">
        <v>45754</v>
      </c>
      <c r="C8293" t="s">
        <v>25</v>
      </c>
      <c r="D8293" s="2">
        <v>0</v>
      </c>
      <c r="E8293" s="2">
        <v>748.26</v>
      </c>
      <c r="F8293" t="s">
        <v>28</v>
      </c>
      <c r="G8293" t="s">
        <v>17</v>
      </c>
    </row>
    <row r="8294" spans="1:7" x14ac:dyDescent="0.35">
      <c r="A8294">
        <v>3295</v>
      </c>
      <c r="B8294" s="1">
        <v>45754</v>
      </c>
      <c r="C8294" t="s">
        <v>25</v>
      </c>
      <c r="D8294" s="2">
        <v>1947.24</v>
      </c>
      <c r="E8294" s="2">
        <v>0</v>
      </c>
      <c r="F8294" t="s">
        <v>26</v>
      </c>
      <c r="G8294" t="s">
        <v>20</v>
      </c>
    </row>
    <row r="8295" spans="1:7" x14ac:dyDescent="0.35">
      <c r="A8295">
        <v>3295</v>
      </c>
      <c r="B8295" s="1">
        <v>45754</v>
      </c>
      <c r="C8295" t="s">
        <v>25</v>
      </c>
      <c r="D8295" s="2">
        <v>146.04</v>
      </c>
      <c r="E8295" s="2">
        <v>0</v>
      </c>
      <c r="F8295" t="s">
        <v>27</v>
      </c>
      <c r="G8295" t="s">
        <v>9</v>
      </c>
    </row>
    <row r="8296" spans="1:7" x14ac:dyDescent="0.35">
      <c r="A8296">
        <v>3295</v>
      </c>
      <c r="B8296" s="1">
        <v>45754</v>
      </c>
      <c r="C8296" t="s">
        <v>25</v>
      </c>
      <c r="D8296" s="2">
        <v>0</v>
      </c>
      <c r="E8296" s="2">
        <v>2093.2800000000002</v>
      </c>
      <c r="F8296" t="s">
        <v>28</v>
      </c>
      <c r="G8296" t="s">
        <v>17</v>
      </c>
    </row>
    <row r="8297" spans="1:7" x14ac:dyDescent="0.35">
      <c r="A8297">
        <v>3296</v>
      </c>
      <c r="B8297" s="1">
        <v>45754</v>
      </c>
      <c r="C8297" t="s">
        <v>25</v>
      </c>
      <c r="D8297" s="2">
        <v>166.52</v>
      </c>
      <c r="E8297" s="2">
        <v>0</v>
      </c>
      <c r="F8297" t="s">
        <v>26</v>
      </c>
      <c r="G8297" t="s">
        <v>20</v>
      </c>
    </row>
    <row r="8298" spans="1:7" x14ac:dyDescent="0.35">
      <c r="A8298">
        <v>3296</v>
      </c>
      <c r="B8298" s="1">
        <v>45754</v>
      </c>
      <c r="C8298" t="s">
        <v>25</v>
      </c>
      <c r="D8298" s="2">
        <v>12.49</v>
      </c>
      <c r="E8298" s="2">
        <v>0</v>
      </c>
      <c r="F8298" t="s">
        <v>27</v>
      </c>
      <c r="G8298" t="s">
        <v>9</v>
      </c>
    </row>
    <row r="8299" spans="1:7" x14ac:dyDescent="0.35">
      <c r="A8299">
        <v>3296</v>
      </c>
      <c r="B8299" s="1">
        <v>45754</v>
      </c>
      <c r="C8299" t="s">
        <v>25</v>
      </c>
      <c r="D8299" s="2">
        <v>0</v>
      </c>
      <c r="E8299" s="2">
        <v>179.01</v>
      </c>
      <c r="F8299" t="s">
        <v>28</v>
      </c>
      <c r="G8299" t="s">
        <v>17</v>
      </c>
    </row>
    <row r="8300" spans="1:7" x14ac:dyDescent="0.35">
      <c r="A8300">
        <v>3297</v>
      </c>
      <c r="B8300" s="1">
        <v>45754</v>
      </c>
      <c r="C8300" t="s">
        <v>29</v>
      </c>
      <c r="D8300" s="2">
        <v>4812.46</v>
      </c>
      <c r="E8300" s="2">
        <v>0</v>
      </c>
      <c r="F8300" t="s">
        <v>28</v>
      </c>
      <c r="G8300" t="s">
        <v>17</v>
      </c>
    </row>
    <row r="8301" spans="1:7" x14ac:dyDescent="0.35">
      <c r="A8301">
        <v>3297</v>
      </c>
      <c r="B8301" s="1">
        <v>45754</v>
      </c>
      <c r="C8301" t="s">
        <v>29</v>
      </c>
      <c r="D8301" s="2">
        <v>0</v>
      </c>
      <c r="E8301" s="2">
        <v>4812.46</v>
      </c>
      <c r="F8301" t="s">
        <v>8</v>
      </c>
      <c r="G8301" t="s">
        <v>9</v>
      </c>
    </row>
    <row r="8302" spans="1:7" x14ac:dyDescent="0.35">
      <c r="A8302">
        <v>3298</v>
      </c>
      <c r="B8302" s="1">
        <v>45755</v>
      </c>
      <c r="C8302" t="s">
        <v>12</v>
      </c>
      <c r="D8302" s="2">
        <v>3426.34</v>
      </c>
      <c r="E8302" s="2">
        <v>0</v>
      </c>
      <c r="F8302" t="s">
        <v>13</v>
      </c>
      <c r="G8302" t="s">
        <v>9</v>
      </c>
    </row>
    <row r="8303" spans="1:7" x14ac:dyDescent="0.35">
      <c r="A8303">
        <v>3298</v>
      </c>
      <c r="B8303" s="1">
        <v>45755</v>
      </c>
      <c r="C8303" t="s">
        <v>12</v>
      </c>
      <c r="D8303" s="2">
        <v>0</v>
      </c>
      <c r="E8303" s="2">
        <v>3187.3</v>
      </c>
      <c r="F8303" t="s">
        <v>14</v>
      </c>
      <c r="G8303" t="s">
        <v>15</v>
      </c>
    </row>
    <row r="8304" spans="1:7" x14ac:dyDescent="0.35">
      <c r="A8304">
        <v>3298</v>
      </c>
      <c r="B8304" s="1">
        <v>45755</v>
      </c>
      <c r="C8304" t="s">
        <v>12</v>
      </c>
      <c r="D8304" s="2">
        <v>0</v>
      </c>
      <c r="E8304" s="2">
        <v>239.04</v>
      </c>
      <c r="F8304" t="s">
        <v>16</v>
      </c>
      <c r="G8304" t="s">
        <v>17</v>
      </c>
    </row>
    <row r="8305" spans="1:7" x14ac:dyDescent="0.35">
      <c r="A8305">
        <v>3299</v>
      </c>
      <c r="B8305" s="1">
        <v>45755</v>
      </c>
      <c r="C8305" t="s">
        <v>12</v>
      </c>
      <c r="D8305" s="2">
        <v>4635.04</v>
      </c>
      <c r="E8305" s="2">
        <v>0</v>
      </c>
      <c r="F8305" t="s">
        <v>13</v>
      </c>
      <c r="G8305" t="s">
        <v>9</v>
      </c>
    </row>
    <row r="8306" spans="1:7" x14ac:dyDescent="0.35">
      <c r="A8306">
        <v>3299</v>
      </c>
      <c r="B8306" s="1">
        <v>45755</v>
      </c>
      <c r="C8306" t="s">
        <v>12</v>
      </c>
      <c r="D8306" s="2">
        <v>0</v>
      </c>
      <c r="E8306" s="2">
        <v>4311.66</v>
      </c>
      <c r="F8306" t="s">
        <v>14</v>
      </c>
      <c r="G8306" t="s">
        <v>15</v>
      </c>
    </row>
    <row r="8307" spans="1:7" x14ac:dyDescent="0.35">
      <c r="A8307">
        <v>3299</v>
      </c>
      <c r="B8307" s="1">
        <v>45755</v>
      </c>
      <c r="C8307" t="s">
        <v>12</v>
      </c>
      <c r="D8307" s="2">
        <v>0</v>
      </c>
      <c r="E8307" s="2">
        <v>323.38</v>
      </c>
      <c r="F8307" t="s">
        <v>16</v>
      </c>
      <c r="G8307" t="s">
        <v>17</v>
      </c>
    </row>
    <row r="8308" spans="1:7" x14ac:dyDescent="0.35">
      <c r="A8308">
        <v>3300</v>
      </c>
      <c r="B8308" s="1">
        <v>45755</v>
      </c>
      <c r="C8308" t="s">
        <v>12</v>
      </c>
      <c r="D8308" s="2">
        <v>4224.96</v>
      </c>
      <c r="E8308" s="2">
        <v>0</v>
      </c>
      <c r="F8308" t="s">
        <v>13</v>
      </c>
      <c r="G8308" t="s">
        <v>9</v>
      </c>
    </row>
    <row r="8309" spans="1:7" x14ac:dyDescent="0.35">
      <c r="A8309">
        <v>3300</v>
      </c>
      <c r="B8309" s="1">
        <v>45755</v>
      </c>
      <c r="C8309" t="s">
        <v>12</v>
      </c>
      <c r="D8309" s="2">
        <v>0</v>
      </c>
      <c r="E8309" s="2">
        <v>3930.19</v>
      </c>
      <c r="F8309" t="s">
        <v>14</v>
      </c>
      <c r="G8309" t="s">
        <v>15</v>
      </c>
    </row>
    <row r="8310" spans="1:7" x14ac:dyDescent="0.35">
      <c r="A8310">
        <v>3300</v>
      </c>
      <c r="B8310" s="1">
        <v>45755</v>
      </c>
      <c r="C8310" t="s">
        <v>12</v>
      </c>
      <c r="D8310" s="2">
        <v>0</v>
      </c>
      <c r="E8310" s="2">
        <v>294.77</v>
      </c>
      <c r="F8310" t="s">
        <v>16</v>
      </c>
      <c r="G8310" t="s">
        <v>17</v>
      </c>
    </row>
    <row r="8311" spans="1:7" x14ac:dyDescent="0.35">
      <c r="A8311">
        <v>3301</v>
      </c>
      <c r="B8311" s="1">
        <v>45755</v>
      </c>
      <c r="C8311" t="s">
        <v>12</v>
      </c>
      <c r="D8311" s="2">
        <v>2353.88</v>
      </c>
      <c r="E8311" s="2">
        <v>0</v>
      </c>
      <c r="F8311" t="s">
        <v>13</v>
      </c>
      <c r="G8311" t="s">
        <v>9</v>
      </c>
    </row>
    <row r="8312" spans="1:7" x14ac:dyDescent="0.35">
      <c r="A8312">
        <v>3301</v>
      </c>
      <c r="B8312" s="1">
        <v>45755</v>
      </c>
      <c r="C8312" t="s">
        <v>12</v>
      </c>
      <c r="D8312" s="2">
        <v>0</v>
      </c>
      <c r="E8312" s="2">
        <v>2189.66</v>
      </c>
      <c r="F8312" t="s">
        <v>14</v>
      </c>
      <c r="G8312" t="s">
        <v>15</v>
      </c>
    </row>
    <row r="8313" spans="1:7" x14ac:dyDescent="0.35">
      <c r="A8313">
        <v>3301</v>
      </c>
      <c r="B8313" s="1">
        <v>45755</v>
      </c>
      <c r="C8313" t="s">
        <v>12</v>
      </c>
      <c r="D8313" s="2">
        <v>0</v>
      </c>
      <c r="E8313" s="2">
        <v>164.22</v>
      </c>
      <c r="F8313" t="s">
        <v>16</v>
      </c>
      <c r="G8313" t="s">
        <v>17</v>
      </c>
    </row>
    <row r="8314" spans="1:7" x14ac:dyDescent="0.35">
      <c r="A8314">
        <v>3302</v>
      </c>
      <c r="B8314" s="1">
        <v>45755</v>
      </c>
      <c r="C8314" t="s">
        <v>12</v>
      </c>
      <c r="D8314" s="2">
        <v>2400.89</v>
      </c>
      <c r="E8314" s="2">
        <v>0</v>
      </c>
      <c r="F8314" t="s">
        <v>13</v>
      </c>
      <c r="G8314" t="s">
        <v>9</v>
      </c>
    </row>
    <row r="8315" spans="1:7" x14ac:dyDescent="0.35">
      <c r="A8315">
        <v>3302</v>
      </c>
      <c r="B8315" s="1">
        <v>45755</v>
      </c>
      <c r="C8315" t="s">
        <v>12</v>
      </c>
      <c r="D8315" s="2">
        <v>0</v>
      </c>
      <c r="E8315" s="2">
        <v>2233.38</v>
      </c>
      <c r="F8315" t="s">
        <v>14</v>
      </c>
      <c r="G8315" t="s">
        <v>15</v>
      </c>
    </row>
    <row r="8316" spans="1:7" x14ac:dyDescent="0.35">
      <c r="A8316">
        <v>3302</v>
      </c>
      <c r="B8316" s="1">
        <v>45755</v>
      </c>
      <c r="C8316" t="s">
        <v>12</v>
      </c>
      <c r="D8316" s="2">
        <v>0</v>
      </c>
      <c r="E8316" s="2">
        <v>167.51</v>
      </c>
      <c r="F8316" t="s">
        <v>16</v>
      </c>
      <c r="G8316" t="s">
        <v>17</v>
      </c>
    </row>
    <row r="8317" spans="1:7" x14ac:dyDescent="0.35">
      <c r="A8317">
        <v>3303</v>
      </c>
      <c r="B8317" s="1">
        <v>45755</v>
      </c>
      <c r="C8317" t="s">
        <v>12</v>
      </c>
      <c r="D8317" s="2">
        <v>2083.9899999999998</v>
      </c>
      <c r="E8317" s="2">
        <v>0</v>
      </c>
      <c r="F8317" t="s">
        <v>13</v>
      </c>
      <c r="G8317" t="s">
        <v>9</v>
      </c>
    </row>
    <row r="8318" spans="1:7" x14ac:dyDescent="0.35">
      <c r="A8318">
        <v>3303</v>
      </c>
      <c r="B8318" s="1">
        <v>45755</v>
      </c>
      <c r="C8318" t="s">
        <v>12</v>
      </c>
      <c r="D8318" s="2">
        <v>0</v>
      </c>
      <c r="E8318" s="2">
        <v>1938.6</v>
      </c>
      <c r="F8318" t="s">
        <v>14</v>
      </c>
      <c r="G8318" t="s">
        <v>15</v>
      </c>
    </row>
    <row r="8319" spans="1:7" x14ac:dyDescent="0.35">
      <c r="A8319">
        <v>3303</v>
      </c>
      <c r="B8319" s="1">
        <v>45755</v>
      </c>
      <c r="C8319" t="s">
        <v>12</v>
      </c>
      <c r="D8319" s="2">
        <v>0</v>
      </c>
      <c r="E8319" s="2">
        <v>145.38999999999999</v>
      </c>
      <c r="F8319" t="s">
        <v>16</v>
      </c>
      <c r="G8319" t="s">
        <v>17</v>
      </c>
    </row>
    <row r="8320" spans="1:7" x14ac:dyDescent="0.35">
      <c r="A8320">
        <v>3304</v>
      </c>
      <c r="B8320" s="1">
        <v>45755</v>
      </c>
      <c r="C8320" t="s">
        <v>12</v>
      </c>
      <c r="D8320" s="2">
        <v>924.61</v>
      </c>
      <c r="E8320" s="2">
        <v>0</v>
      </c>
      <c r="F8320" t="s">
        <v>13</v>
      </c>
      <c r="G8320" t="s">
        <v>9</v>
      </c>
    </row>
    <row r="8321" spans="1:7" x14ac:dyDescent="0.35">
      <c r="A8321">
        <v>3304</v>
      </c>
      <c r="B8321" s="1">
        <v>45755</v>
      </c>
      <c r="C8321" t="s">
        <v>12</v>
      </c>
      <c r="D8321" s="2">
        <v>0</v>
      </c>
      <c r="E8321" s="2">
        <v>860.11</v>
      </c>
      <c r="F8321" t="s">
        <v>14</v>
      </c>
      <c r="G8321" t="s">
        <v>15</v>
      </c>
    </row>
    <row r="8322" spans="1:7" x14ac:dyDescent="0.35">
      <c r="A8322">
        <v>3304</v>
      </c>
      <c r="B8322" s="1">
        <v>45755</v>
      </c>
      <c r="C8322" t="s">
        <v>12</v>
      </c>
      <c r="D8322" s="2">
        <v>0</v>
      </c>
      <c r="E8322" s="2">
        <v>64.5</v>
      </c>
      <c r="F8322" t="s">
        <v>16</v>
      </c>
      <c r="G8322" t="s">
        <v>17</v>
      </c>
    </row>
    <row r="8323" spans="1:7" x14ac:dyDescent="0.35">
      <c r="A8323">
        <v>3305</v>
      </c>
      <c r="B8323" s="1">
        <v>45755</v>
      </c>
      <c r="C8323" t="s">
        <v>24</v>
      </c>
      <c r="D8323" s="2">
        <v>1478.08</v>
      </c>
      <c r="E8323" s="2">
        <v>0</v>
      </c>
      <c r="F8323" t="s">
        <v>8</v>
      </c>
      <c r="G8323" t="s">
        <v>9</v>
      </c>
    </row>
    <row r="8324" spans="1:7" x14ac:dyDescent="0.35">
      <c r="A8324">
        <v>3305</v>
      </c>
      <c r="B8324" s="1">
        <v>45755</v>
      </c>
      <c r="C8324" t="s">
        <v>24</v>
      </c>
      <c r="D8324" s="2">
        <v>0</v>
      </c>
      <c r="E8324" s="2">
        <v>1478.08</v>
      </c>
      <c r="F8324" t="s">
        <v>13</v>
      </c>
      <c r="G8324" t="s">
        <v>9</v>
      </c>
    </row>
    <row r="8325" spans="1:7" x14ac:dyDescent="0.35">
      <c r="A8325">
        <v>3306</v>
      </c>
      <c r="B8325" s="1">
        <v>45755</v>
      </c>
      <c r="C8325" t="s">
        <v>24</v>
      </c>
      <c r="D8325" s="2">
        <v>637.97</v>
      </c>
      <c r="E8325" s="2">
        <v>0</v>
      </c>
      <c r="F8325" t="s">
        <v>8</v>
      </c>
      <c r="G8325" t="s">
        <v>9</v>
      </c>
    </row>
    <row r="8326" spans="1:7" x14ac:dyDescent="0.35">
      <c r="A8326">
        <v>3306</v>
      </c>
      <c r="B8326" s="1">
        <v>45755</v>
      </c>
      <c r="C8326" t="s">
        <v>24</v>
      </c>
      <c r="D8326" s="2">
        <v>0</v>
      </c>
      <c r="E8326" s="2">
        <v>637.97</v>
      </c>
      <c r="F8326" t="s">
        <v>13</v>
      </c>
      <c r="G8326" t="s">
        <v>9</v>
      </c>
    </row>
    <row r="8327" spans="1:7" x14ac:dyDescent="0.35">
      <c r="A8327">
        <v>3307</v>
      </c>
      <c r="B8327" s="1">
        <v>45755</v>
      </c>
      <c r="C8327" t="s">
        <v>24</v>
      </c>
      <c r="D8327" s="2">
        <v>2511.75</v>
      </c>
      <c r="E8327" s="2">
        <v>0</v>
      </c>
      <c r="F8327" t="s">
        <v>8</v>
      </c>
      <c r="G8327" t="s">
        <v>9</v>
      </c>
    </row>
    <row r="8328" spans="1:7" x14ac:dyDescent="0.35">
      <c r="A8328">
        <v>3307</v>
      </c>
      <c r="B8328" s="1">
        <v>45755</v>
      </c>
      <c r="C8328" t="s">
        <v>24</v>
      </c>
      <c r="D8328" s="2">
        <v>0</v>
      </c>
      <c r="E8328" s="2">
        <v>2511.75</v>
      </c>
      <c r="F8328" t="s">
        <v>13</v>
      </c>
      <c r="G8328" t="s">
        <v>9</v>
      </c>
    </row>
    <row r="8329" spans="1:7" x14ac:dyDescent="0.35">
      <c r="A8329">
        <v>3308</v>
      </c>
      <c r="B8329" s="1">
        <v>45755</v>
      </c>
      <c r="C8329" t="s">
        <v>24</v>
      </c>
      <c r="D8329" s="2">
        <v>803.74</v>
      </c>
      <c r="E8329" s="2">
        <v>0</v>
      </c>
      <c r="F8329" t="s">
        <v>8</v>
      </c>
      <c r="G8329" t="s">
        <v>9</v>
      </c>
    </row>
    <row r="8330" spans="1:7" x14ac:dyDescent="0.35">
      <c r="A8330">
        <v>3308</v>
      </c>
      <c r="B8330" s="1">
        <v>45755</v>
      </c>
      <c r="C8330" t="s">
        <v>24</v>
      </c>
      <c r="D8330" s="2">
        <v>0</v>
      </c>
      <c r="E8330" s="2">
        <v>803.74</v>
      </c>
      <c r="F8330" t="s">
        <v>13</v>
      </c>
      <c r="G8330" t="s">
        <v>9</v>
      </c>
    </row>
    <row r="8331" spans="1:7" x14ac:dyDescent="0.35">
      <c r="A8331">
        <v>3309</v>
      </c>
      <c r="B8331" s="1">
        <v>45755</v>
      </c>
      <c r="C8331" t="s">
        <v>24</v>
      </c>
      <c r="D8331" s="2">
        <v>1060.9100000000001</v>
      </c>
      <c r="E8331" s="2">
        <v>0</v>
      </c>
      <c r="F8331" t="s">
        <v>8</v>
      </c>
      <c r="G8331" t="s">
        <v>9</v>
      </c>
    </row>
    <row r="8332" spans="1:7" x14ac:dyDescent="0.35">
      <c r="A8332">
        <v>3309</v>
      </c>
      <c r="B8332" s="1">
        <v>45755</v>
      </c>
      <c r="C8332" t="s">
        <v>24</v>
      </c>
      <c r="D8332" s="2">
        <v>0</v>
      </c>
      <c r="E8332" s="2">
        <v>1060.9100000000001</v>
      </c>
      <c r="F8332" t="s">
        <v>13</v>
      </c>
      <c r="G8332" t="s">
        <v>9</v>
      </c>
    </row>
    <row r="8333" spans="1:7" x14ac:dyDescent="0.35">
      <c r="A8333">
        <v>3310</v>
      </c>
      <c r="B8333" s="1">
        <v>45755</v>
      </c>
      <c r="C8333" t="s">
        <v>25</v>
      </c>
      <c r="D8333" s="2">
        <v>1668.94</v>
      </c>
      <c r="E8333" s="2">
        <v>0</v>
      </c>
      <c r="F8333" t="s">
        <v>26</v>
      </c>
      <c r="G8333" t="s">
        <v>20</v>
      </c>
    </row>
    <row r="8334" spans="1:7" x14ac:dyDescent="0.35">
      <c r="A8334">
        <v>3310</v>
      </c>
      <c r="B8334" s="1">
        <v>45755</v>
      </c>
      <c r="C8334" t="s">
        <v>25</v>
      </c>
      <c r="D8334" s="2">
        <v>125.17</v>
      </c>
      <c r="E8334" s="2">
        <v>0</v>
      </c>
      <c r="F8334" t="s">
        <v>27</v>
      </c>
      <c r="G8334" t="s">
        <v>9</v>
      </c>
    </row>
    <row r="8335" spans="1:7" x14ac:dyDescent="0.35">
      <c r="A8335">
        <v>3310</v>
      </c>
      <c r="B8335" s="1">
        <v>45755</v>
      </c>
      <c r="C8335" t="s">
        <v>25</v>
      </c>
      <c r="D8335" s="2">
        <v>0</v>
      </c>
      <c r="E8335" s="2">
        <v>1794.11</v>
      </c>
      <c r="F8335" t="s">
        <v>28</v>
      </c>
      <c r="G8335" t="s">
        <v>17</v>
      </c>
    </row>
    <row r="8336" spans="1:7" x14ac:dyDescent="0.35">
      <c r="A8336">
        <v>3311</v>
      </c>
      <c r="B8336" s="1">
        <v>45755</v>
      </c>
      <c r="C8336" t="s">
        <v>29</v>
      </c>
      <c r="D8336" s="2">
        <v>7227.44</v>
      </c>
      <c r="E8336" s="2">
        <v>0</v>
      </c>
      <c r="F8336" t="s">
        <v>28</v>
      </c>
      <c r="G8336" t="s">
        <v>17</v>
      </c>
    </row>
    <row r="8337" spans="1:7" x14ac:dyDescent="0.35">
      <c r="A8337">
        <v>3311</v>
      </c>
      <c r="B8337" s="1">
        <v>45755</v>
      </c>
      <c r="C8337" t="s">
        <v>29</v>
      </c>
      <c r="D8337" s="2">
        <v>0</v>
      </c>
      <c r="E8337" s="2">
        <v>7227.44</v>
      </c>
      <c r="F8337" t="s">
        <v>8</v>
      </c>
      <c r="G8337" t="s">
        <v>9</v>
      </c>
    </row>
    <row r="8338" spans="1:7" x14ac:dyDescent="0.35">
      <c r="A8338">
        <v>3312</v>
      </c>
      <c r="B8338" s="1">
        <v>45755</v>
      </c>
      <c r="C8338" t="s">
        <v>29</v>
      </c>
      <c r="D8338" s="2">
        <v>1935.04</v>
      </c>
      <c r="E8338" s="2">
        <v>0</v>
      </c>
      <c r="F8338" t="s">
        <v>28</v>
      </c>
      <c r="G8338" t="s">
        <v>17</v>
      </c>
    </row>
    <row r="8339" spans="1:7" x14ac:dyDescent="0.35">
      <c r="A8339">
        <v>3312</v>
      </c>
      <c r="B8339" s="1">
        <v>45755</v>
      </c>
      <c r="C8339" t="s">
        <v>29</v>
      </c>
      <c r="D8339" s="2">
        <v>0</v>
      </c>
      <c r="E8339" s="2">
        <v>1935.04</v>
      </c>
      <c r="F8339" t="s">
        <v>8</v>
      </c>
      <c r="G8339" t="s">
        <v>9</v>
      </c>
    </row>
    <row r="8340" spans="1:7" x14ac:dyDescent="0.35">
      <c r="A8340">
        <v>3313</v>
      </c>
      <c r="B8340" s="1">
        <v>45756</v>
      </c>
      <c r="C8340" t="s">
        <v>12</v>
      </c>
      <c r="D8340" s="2">
        <v>87.62</v>
      </c>
      <c r="E8340" s="2">
        <v>0</v>
      </c>
      <c r="F8340" t="s">
        <v>13</v>
      </c>
      <c r="G8340" t="s">
        <v>9</v>
      </c>
    </row>
    <row r="8341" spans="1:7" x14ac:dyDescent="0.35">
      <c r="A8341">
        <v>3313</v>
      </c>
      <c r="B8341" s="1">
        <v>45756</v>
      </c>
      <c r="C8341" t="s">
        <v>12</v>
      </c>
      <c r="D8341" s="2">
        <v>0</v>
      </c>
      <c r="E8341" s="2">
        <v>81.510000000000005</v>
      </c>
      <c r="F8341" t="s">
        <v>14</v>
      </c>
      <c r="G8341" t="s">
        <v>15</v>
      </c>
    </row>
    <row r="8342" spans="1:7" x14ac:dyDescent="0.35">
      <c r="A8342">
        <v>3313</v>
      </c>
      <c r="B8342" s="1">
        <v>45756</v>
      </c>
      <c r="C8342" t="s">
        <v>12</v>
      </c>
      <c r="D8342" s="2">
        <v>0</v>
      </c>
      <c r="E8342" s="2">
        <v>6.11</v>
      </c>
      <c r="F8342" t="s">
        <v>16</v>
      </c>
      <c r="G8342" t="s">
        <v>17</v>
      </c>
    </row>
    <row r="8343" spans="1:7" x14ac:dyDescent="0.35">
      <c r="A8343">
        <v>3314</v>
      </c>
      <c r="B8343" s="1">
        <v>45756</v>
      </c>
      <c r="C8343" t="s">
        <v>12</v>
      </c>
      <c r="D8343" s="2">
        <v>660.93</v>
      </c>
      <c r="E8343" s="2">
        <v>0</v>
      </c>
      <c r="F8343" t="s">
        <v>13</v>
      </c>
      <c r="G8343" t="s">
        <v>9</v>
      </c>
    </row>
    <row r="8344" spans="1:7" x14ac:dyDescent="0.35">
      <c r="A8344">
        <v>3314</v>
      </c>
      <c r="B8344" s="1">
        <v>45756</v>
      </c>
      <c r="C8344" t="s">
        <v>12</v>
      </c>
      <c r="D8344" s="2">
        <v>0</v>
      </c>
      <c r="E8344" s="2">
        <v>614.82000000000005</v>
      </c>
      <c r="F8344" t="s">
        <v>14</v>
      </c>
      <c r="G8344" t="s">
        <v>15</v>
      </c>
    </row>
    <row r="8345" spans="1:7" x14ac:dyDescent="0.35">
      <c r="A8345">
        <v>3314</v>
      </c>
      <c r="B8345" s="1">
        <v>45756</v>
      </c>
      <c r="C8345" t="s">
        <v>12</v>
      </c>
      <c r="D8345" s="2">
        <v>0</v>
      </c>
      <c r="E8345" s="2">
        <v>46.11</v>
      </c>
      <c r="F8345" t="s">
        <v>16</v>
      </c>
      <c r="G8345" t="s">
        <v>17</v>
      </c>
    </row>
    <row r="8346" spans="1:7" x14ac:dyDescent="0.35">
      <c r="A8346">
        <v>3315</v>
      </c>
      <c r="B8346" s="1">
        <v>45756</v>
      </c>
      <c r="C8346" t="s">
        <v>12</v>
      </c>
      <c r="D8346" s="2">
        <v>216.03</v>
      </c>
      <c r="E8346" s="2">
        <v>0</v>
      </c>
      <c r="F8346" t="s">
        <v>13</v>
      </c>
      <c r="G8346" t="s">
        <v>9</v>
      </c>
    </row>
    <row r="8347" spans="1:7" x14ac:dyDescent="0.35">
      <c r="A8347">
        <v>3315</v>
      </c>
      <c r="B8347" s="1">
        <v>45756</v>
      </c>
      <c r="C8347" t="s">
        <v>12</v>
      </c>
      <c r="D8347" s="2">
        <v>0</v>
      </c>
      <c r="E8347" s="2">
        <v>200.96</v>
      </c>
      <c r="F8347" t="s">
        <v>14</v>
      </c>
      <c r="G8347" t="s">
        <v>15</v>
      </c>
    </row>
    <row r="8348" spans="1:7" x14ac:dyDescent="0.35">
      <c r="A8348">
        <v>3315</v>
      </c>
      <c r="B8348" s="1">
        <v>45756</v>
      </c>
      <c r="C8348" t="s">
        <v>12</v>
      </c>
      <c r="D8348" s="2">
        <v>0</v>
      </c>
      <c r="E8348" s="2">
        <v>15.07</v>
      </c>
      <c r="F8348" t="s">
        <v>16</v>
      </c>
      <c r="G8348" t="s">
        <v>17</v>
      </c>
    </row>
    <row r="8349" spans="1:7" x14ac:dyDescent="0.35">
      <c r="A8349">
        <v>3316</v>
      </c>
      <c r="B8349" s="1">
        <v>45756</v>
      </c>
      <c r="C8349" t="s">
        <v>12</v>
      </c>
      <c r="D8349" s="2">
        <v>2053.96</v>
      </c>
      <c r="E8349" s="2">
        <v>0</v>
      </c>
      <c r="F8349" t="s">
        <v>13</v>
      </c>
      <c r="G8349" t="s">
        <v>9</v>
      </c>
    </row>
    <row r="8350" spans="1:7" x14ac:dyDescent="0.35">
      <c r="A8350">
        <v>3316</v>
      </c>
      <c r="B8350" s="1">
        <v>45756</v>
      </c>
      <c r="C8350" t="s">
        <v>12</v>
      </c>
      <c r="D8350" s="2">
        <v>0</v>
      </c>
      <c r="E8350" s="2">
        <v>1910.65</v>
      </c>
      <c r="F8350" t="s">
        <v>14</v>
      </c>
      <c r="G8350" t="s">
        <v>15</v>
      </c>
    </row>
    <row r="8351" spans="1:7" x14ac:dyDescent="0.35">
      <c r="A8351">
        <v>3316</v>
      </c>
      <c r="B8351" s="1">
        <v>45756</v>
      </c>
      <c r="C8351" t="s">
        <v>12</v>
      </c>
      <c r="D8351" s="2">
        <v>0</v>
      </c>
      <c r="E8351" s="2">
        <v>143.31</v>
      </c>
      <c r="F8351" t="s">
        <v>16</v>
      </c>
      <c r="G8351" t="s">
        <v>17</v>
      </c>
    </row>
    <row r="8352" spans="1:7" x14ac:dyDescent="0.35">
      <c r="A8352">
        <v>3317</v>
      </c>
      <c r="B8352" s="1">
        <v>45756</v>
      </c>
      <c r="C8352" t="s">
        <v>12</v>
      </c>
      <c r="D8352" s="2">
        <v>4333.79</v>
      </c>
      <c r="E8352" s="2">
        <v>0</v>
      </c>
      <c r="F8352" t="s">
        <v>13</v>
      </c>
      <c r="G8352" t="s">
        <v>9</v>
      </c>
    </row>
    <row r="8353" spans="1:7" x14ac:dyDescent="0.35">
      <c r="A8353">
        <v>3317</v>
      </c>
      <c r="B8353" s="1">
        <v>45756</v>
      </c>
      <c r="C8353" t="s">
        <v>12</v>
      </c>
      <c r="D8353" s="2">
        <v>0</v>
      </c>
      <c r="E8353" s="2">
        <v>4031.44</v>
      </c>
      <c r="F8353" t="s">
        <v>14</v>
      </c>
      <c r="G8353" t="s">
        <v>15</v>
      </c>
    </row>
    <row r="8354" spans="1:7" x14ac:dyDescent="0.35">
      <c r="A8354">
        <v>3317</v>
      </c>
      <c r="B8354" s="1">
        <v>45756</v>
      </c>
      <c r="C8354" t="s">
        <v>12</v>
      </c>
      <c r="D8354" s="2">
        <v>0</v>
      </c>
      <c r="E8354" s="2">
        <v>302.35000000000002</v>
      </c>
      <c r="F8354" t="s">
        <v>16</v>
      </c>
      <c r="G8354" t="s">
        <v>17</v>
      </c>
    </row>
    <row r="8355" spans="1:7" x14ac:dyDescent="0.35">
      <c r="A8355">
        <v>3318</v>
      </c>
      <c r="B8355" s="1">
        <v>45756</v>
      </c>
      <c r="C8355" t="s">
        <v>12</v>
      </c>
      <c r="D8355" s="2">
        <v>3142.97</v>
      </c>
      <c r="E8355" s="2">
        <v>0</v>
      </c>
      <c r="F8355" t="s">
        <v>13</v>
      </c>
      <c r="G8355" t="s">
        <v>9</v>
      </c>
    </row>
    <row r="8356" spans="1:7" x14ac:dyDescent="0.35">
      <c r="A8356">
        <v>3318</v>
      </c>
      <c r="B8356" s="1">
        <v>45756</v>
      </c>
      <c r="C8356" t="s">
        <v>12</v>
      </c>
      <c r="D8356" s="2">
        <v>0</v>
      </c>
      <c r="E8356" s="2">
        <v>2923.68</v>
      </c>
      <c r="F8356" t="s">
        <v>14</v>
      </c>
      <c r="G8356" t="s">
        <v>15</v>
      </c>
    </row>
    <row r="8357" spans="1:7" x14ac:dyDescent="0.35">
      <c r="A8357">
        <v>3318</v>
      </c>
      <c r="B8357" s="1">
        <v>45756</v>
      </c>
      <c r="C8357" t="s">
        <v>12</v>
      </c>
      <c r="D8357" s="2">
        <v>0</v>
      </c>
      <c r="E8357" s="2">
        <v>219.29</v>
      </c>
      <c r="F8357" t="s">
        <v>16</v>
      </c>
      <c r="G8357" t="s">
        <v>17</v>
      </c>
    </row>
    <row r="8358" spans="1:7" x14ac:dyDescent="0.35">
      <c r="A8358">
        <v>3319</v>
      </c>
      <c r="B8358" s="1">
        <v>45756</v>
      </c>
      <c r="C8358" t="s">
        <v>12</v>
      </c>
      <c r="D8358" s="2">
        <v>3260.9</v>
      </c>
      <c r="E8358" s="2">
        <v>0</v>
      </c>
      <c r="F8358" t="s">
        <v>13</v>
      </c>
      <c r="G8358" t="s">
        <v>9</v>
      </c>
    </row>
    <row r="8359" spans="1:7" x14ac:dyDescent="0.35">
      <c r="A8359">
        <v>3319</v>
      </c>
      <c r="B8359" s="1">
        <v>45756</v>
      </c>
      <c r="C8359" t="s">
        <v>12</v>
      </c>
      <c r="D8359" s="2">
        <v>0</v>
      </c>
      <c r="E8359" s="2">
        <v>3033.41</v>
      </c>
      <c r="F8359" t="s">
        <v>14</v>
      </c>
      <c r="G8359" t="s">
        <v>15</v>
      </c>
    </row>
    <row r="8360" spans="1:7" x14ac:dyDescent="0.35">
      <c r="A8360">
        <v>3319</v>
      </c>
      <c r="B8360" s="1">
        <v>45756</v>
      </c>
      <c r="C8360" t="s">
        <v>12</v>
      </c>
      <c r="D8360" s="2">
        <v>0</v>
      </c>
      <c r="E8360" s="2">
        <v>227.49</v>
      </c>
      <c r="F8360" t="s">
        <v>16</v>
      </c>
      <c r="G8360" t="s">
        <v>17</v>
      </c>
    </row>
    <row r="8361" spans="1:7" x14ac:dyDescent="0.35">
      <c r="A8361">
        <v>3320</v>
      </c>
      <c r="B8361" s="1">
        <v>45756</v>
      </c>
      <c r="C8361" t="s">
        <v>12</v>
      </c>
      <c r="D8361" s="2">
        <v>2987.76</v>
      </c>
      <c r="E8361" s="2">
        <v>0</v>
      </c>
      <c r="F8361" t="s">
        <v>13</v>
      </c>
      <c r="G8361" t="s">
        <v>9</v>
      </c>
    </row>
    <row r="8362" spans="1:7" x14ac:dyDescent="0.35">
      <c r="A8362">
        <v>3320</v>
      </c>
      <c r="B8362" s="1">
        <v>45756</v>
      </c>
      <c r="C8362" t="s">
        <v>12</v>
      </c>
      <c r="D8362" s="2">
        <v>0</v>
      </c>
      <c r="E8362" s="2">
        <v>2779.3</v>
      </c>
      <c r="F8362" t="s">
        <v>14</v>
      </c>
      <c r="G8362" t="s">
        <v>15</v>
      </c>
    </row>
    <row r="8363" spans="1:7" x14ac:dyDescent="0.35">
      <c r="A8363">
        <v>3320</v>
      </c>
      <c r="B8363" s="1">
        <v>45756</v>
      </c>
      <c r="C8363" t="s">
        <v>12</v>
      </c>
      <c r="D8363" s="2">
        <v>0</v>
      </c>
      <c r="E8363" s="2">
        <v>208.46</v>
      </c>
      <c r="F8363" t="s">
        <v>16</v>
      </c>
      <c r="G8363" t="s">
        <v>17</v>
      </c>
    </row>
    <row r="8364" spans="1:7" x14ac:dyDescent="0.35">
      <c r="A8364">
        <v>3321</v>
      </c>
      <c r="B8364" s="1">
        <v>45756</v>
      </c>
      <c r="C8364" t="s">
        <v>24</v>
      </c>
      <c r="D8364" s="2">
        <v>45.9</v>
      </c>
      <c r="E8364" s="2">
        <v>0</v>
      </c>
      <c r="F8364" t="s">
        <v>8</v>
      </c>
      <c r="G8364" t="s">
        <v>9</v>
      </c>
    </row>
    <row r="8365" spans="1:7" x14ac:dyDescent="0.35">
      <c r="A8365">
        <v>3321</v>
      </c>
      <c r="B8365" s="1">
        <v>45756</v>
      </c>
      <c r="C8365" t="s">
        <v>24</v>
      </c>
      <c r="D8365" s="2">
        <v>0</v>
      </c>
      <c r="E8365" s="2">
        <v>45.9</v>
      </c>
      <c r="F8365" t="s">
        <v>13</v>
      </c>
      <c r="G8365" t="s">
        <v>9</v>
      </c>
    </row>
    <row r="8366" spans="1:7" x14ac:dyDescent="0.35">
      <c r="A8366">
        <v>3322</v>
      </c>
      <c r="B8366" s="1">
        <v>45756</v>
      </c>
      <c r="C8366" t="s">
        <v>24</v>
      </c>
      <c r="D8366" s="2">
        <v>339.42</v>
      </c>
      <c r="E8366" s="2">
        <v>0</v>
      </c>
      <c r="F8366" t="s">
        <v>8</v>
      </c>
      <c r="G8366" t="s">
        <v>9</v>
      </c>
    </row>
    <row r="8367" spans="1:7" x14ac:dyDescent="0.35">
      <c r="A8367">
        <v>3322</v>
      </c>
      <c r="B8367" s="1">
        <v>45756</v>
      </c>
      <c r="C8367" t="s">
        <v>24</v>
      </c>
      <c r="D8367" s="2">
        <v>0</v>
      </c>
      <c r="E8367" s="2">
        <v>339.42</v>
      </c>
      <c r="F8367" t="s">
        <v>13</v>
      </c>
      <c r="G8367" t="s">
        <v>9</v>
      </c>
    </row>
    <row r="8368" spans="1:7" x14ac:dyDescent="0.35">
      <c r="A8368">
        <v>3323</v>
      </c>
      <c r="B8368" s="1">
        <v>45756</v>
      </c>
      <c r="C8368" t="s">
        <v>24</v>
      </c>
      <c r="D8368" s="2">
        <v>2053.96</v>
      </c>
      <c r="E8368" s="2">
        <v>0</v>
      </c>
      <c r="F8368" t="s">
        <v>8</v>
      </c>
      <c r="G8368" t="s">
        <v>9</v>
      </c>
    </row>
    <row r="8369" spans="1:7" x14ac:dyDescent="0.35">
      <c r="A8369">
        <v>3323</v>
      </c>
      <c r="B8369" s="1">
        <v>45756</v>
      </c>
      <c r="C8369" t="s">
        <v>24</v>
      </c>
      <c r="D8369" s="2">
        <v>0</v>
      </c>
      <c r="E8369" s="2">
        <v>2053.96</v>
      </c>
      <c r="F8369" t="s">
        <v>13</v>
      </c>
      <c r="G8369" t="s">
        <v>9</v>
      </c>
    </row>
    <row r="8370" spans="1:7" x14ac:dyDescent="0.35">
      <c r="A8370">
        <v>3324</v>
      </c>
      <c r="B8370" s="1">
        <v>45756</v>
      </c>
      <c r="C8370" t="s">
        <v>29</v>
      </c>
      <c r="D8370" s="2">
        <v>179.01</v>
      </c>
      <c r="E8370" s="2">
        <v>0</v>
      </c>
      <c r="F8370" t="s">
        <v>28</v>
      </c>
      <c r="G8370" t="s">
        <v>17</v>
      </c>
    </row>
    <row r="8371" spans="1:7" x14ac:dyDescent="0.35">
      <c r="A8371">
        <v>3324</v>
      </c>
      <c r="B8371" s="1">
        <v>45756</v>
      </c>
      <c r="C8371" t="s">
        <v>29</v>
      </c>
      <c r="D8371" s="2">
        <v>0</v>
      </c>
      <c r="E8371" s="2">
        <v>179.01</v>
      </c>
      <c r="F8371" t="s">
        <v>8</v>
      </c>
      <c r="G8371" t="s">
        <v>9</v>
      </c>
    </row>
    <row r="8372" spans="1:7" x14ac:dyDescent="0.35">
      <c r="A8372">
        <v>3325</v>
      </c>
      <c r="B8372" s="1">
        <v>45757</v>
      </c>
      <c r="C8372" t="s">
        <v>18</v>
      </c>
      <c r="D8372" s="2">
        <v>22037.74</v>
      </c>
      <c r="E8372" s="2">
        <v>0</v>
      </c>
      <c r="F8372" t="s">
        <v>19</v>
      </c>
      <c r="G8372" t="s">
        <v>20</v>
      </c>
    </row>
    <row r="8373" spans="1:7" x14ac:dyDescent="0.35">
      <c r="A8373">
        <v>3325</v>
      </c>
      <c r="B8373" s="1">
        <v>45757</v>
      </c>
      <c r="C8373" t="s">
        <v>18</v>
      </c>
      <c r="D8373" s="2">
        <v>881.51</v>
      </c>
      <c r="E8373" s="2">
        <v>0</v>
      </c>
      <c r="F8373" t="s">
        <v>21</v>
      </c>
      <c r="G8373" t="s">
        <v>20</v>
      </c>
    </row>
    <row r="8374" spans="1:7" x14ac:dyDescent="0.35">
      <c r="A8374">
        <v>3325</v>
      </c>
      <c r="B8374" s="1">
        <v>45757</v>
      </c>
      <c r="C8374" t="s">
        <v>18</v>
      </c>
      <c r="D8374" s="2">
        <v>0</v>
      </c>
      <c r="E8374" s="2">
        <v>17968.47</v>
      </c>
      <c r="F8374" t="s">
        <v>8</v>
      </c>
      <c r="G8374" t="s">
        <v>9</v>
      </c>
    </row>
    <row r="8375" spans="1:7" x14ac:dyDescent="0.35">
      <c r="A8375">
        <v>3325</v>
      </c>
      <c r="B8375" s="1">
        <v>45757</v>
      </c>
      <c r="C8375" t="s">
        <v>18</v>
      </c>
      <c r="D8375" s="2">
        <v>0</v>
      </c>
      <c r="E8375" s="2">
        <v>4069.27</v>
      </c>
      <c r="F8375" t="s">
        <v>22</v>
      </c>
      <c r="G8375" t="s">
        <v>17</v>
      </c>
    </row>
    <row r="8376" spans="1:7" x14ac:dyDescent="0.35">
      <c r="A8376">
        <v>3325</v>
      </c>
      <c r="B8376" s="1">
        <v>45757</v>
      </c>
      <c r="C8376" t="s">
        <v>18</v>
      </c>
      <c r="D8376" s="2">
        <v>0</v>
      </c>
      <c r="E8376" s="2">
        <v>881.51</v>
      </c>
      <c r="F8376" t="s">
        <v>23</v>
      </c>
      <c r="G8376" t="s">
        <v>17</v>
      </c>
    </row>
    <row r="8377" spans="1:7" x14ac:dyDescent="0.35">
      <c r="A8377">
        <v>3326</v>
      </c>
      <c r="B8377" s="1">
        <v>45757</v>
      </c>
      <c r="C8377" t="s">
        <v>12</v>
      </c>
      <c r="D8377" s="2">
        <v>3567.66</v>
      </c>
      <c r="E8377" s="2">
        <v>0</v>
      </c>
      <c r="F8377" t="s">
        <v>13</v>
      </c>
      <c r="G8377" t="s">
        <v>9</v>
      </c>
    </row>
    <row r="8378" spans="1:7" x14ac:dyDescent="0.35">
      <c r="A8378">
        <v>3326</v>
      </c>
      <c r="B8378" s="1">
        <v>45757</v>
      </c>
      <c r="C8378" t="s">
        <v>12</v>
      </c>
      <c r="D8378" s="2">
        <v>0</v>
      </c>
      <c r="E8378" s="2">
        <v>3318.76</v>
      </c>
      <c r="F8378" t="s">
        <v>14</v>
      </c>
      <c r="G8378" t="s">
        <v>15</v>
      </c>
    </row>
    <row r="8379" spans="1:7" x14ac:dyDescent="0.35">
      <c r="A8379">
        <v>3326</v>
      </c>
      <c r="B8379" s="1">
        <v>45757</v>
      </c>
      <c r="C8379" t="s">
        <v>12</v>
      </c>
      <c r="D8379" s="2">
        <v>0</v>
      </c>
      <c r="E8379" s="2">
        <v>248.9</v>
      </c>
      <c r="F8379" t="s">
        <v>16</v>
      </c>
      <c r="G8379" t="s">
        <v>17</v>
      </c>
    </row>
    <row r="8380" spans="1:7" x14ac:dyDescent="0.35">
      <c r="A8380">
        <v>3327</v>
      </c>
      <c r="B8380" s="1">
        <v>45757</v>
      </c>
      <c r="C8380" t="s">
        <v>12</v>
      </c>
      <c r="D8380" s="2">
        <v>4531.01</v>
      </c>
      <c r="E8380" s="2">
        <v>0</v>
      </c>
      <c r="F8380" t="s">
        <v>13</v>
      </c>
      <c r="G8380" t="s">
        <v>9</v>
      </c>
    </row>
    <row r="8381" spans="1:7" x14ac:dyDescent="0.35">
      <c r="A8381">
        <v>3327</v>
      </c>
      <c r="B8381" s="1">
        <v>45757</v>
      </c>
      <c r="C8381" t="s">
        <v>12</v>
      </c>
      <c r="D8381" s="2">
        <v>0</v>
      </c>
      <c r="E8381" s="2">
        <v>4214.8900000000003</v>
      </c>
      <c r="F8381" t="s">
        <v>14</v>
      </c>
      <c r="G8381" t="s">
        <v>15</v>
      </c>
    </row>
    <row r="8382" spans="1:7" x14ac:dyDescent="0.35">
      <c r="A8382">
        <v>3327</v>
      </c>
      <c r="B8382" s="1">
        <v>45757</v>
      </c>
      <c r="C8382" t="s">
        <v>12</v>
      </c>
      <c r="D8382" s="2">
        <v>0</v>
      </c>
      <c r="E8382" s="2">
        <v>316.12</v>
      </c>
      <c r="F8382" t="s">
        <v>16</v>
      </c>
      <c r="G8382" t="s">
        <v>17</v>
      </c>
    </row>
    <row r="8383" spans="1:7" x14ac:dyDescent="0.35">
      <c r="A8383">
        <v>3328</v>
      </c>
      <c r="B8383" s="1">
        <v>45757</v>
      </c>
      <c r="C8383" t="s">
        <v>12</v>
      </c>
      <c r="D8383" s="2">
        <v>3803.85</v>
      </c>
      <c r="E8383" s="2">
        <v>0</v>
      </c>
      <c r="F8383" t="s">
        <v>13</v>
      </c>
      <c r="G8383" t="s">
        <v>9</v>
      </c>
    </row>
    <row r="8384" spans="1:7" x14ac:dyDescent="0.35">
      <c r="A8384">
        <v>3328</v>
      </c>
      <c r="B8384" s="1">
        <v>45757</v>
      </c>
      <c r="C8384" t="s">
        <v>12</v>
      </c>
      <c r="D8384" s="2">
        <v>0</v>
      </c>
      <c r="E8384" s="2">
        <v>3538.47</v>
      </c>
      <c r="F8384" t="s">
        <v>14</v>
      </c>
      <c r="G8384" t="s">
        <v>15</v>
      </c>
    </row>
    <row r="8385" spans="1:7" x14ac:dyDescent="0.35">
      <c r="A8385">
        <v>3328</v>
      </c>
      <c r="B8385" s="1">
        <v>45757</v>
      </c>
      <c r="C8385" t="s">
        <v>12</v>
      </c>
      <c r="D8385" s="2">
        <v>0</v>
      </c>
      <c r="E8385" s="2">
        <v>265.38</v>
      </c>
      <c r="F8385" t="s">
        <v>16</v>
      </c>
      <c r="G8385" t="s">
        <v>17</v>
      </c>
    </row>
    <row r="8386" spans="1:7" x14ac:dyDescent="0.35">
      <c r="A8386">
        <v>3329</v>
      </c>
      <c r="B8386" s="1">
        <v>45757</v>
      </c>
      <c r="C8386" t="s">
        <v>12</v>
      </c>
      <c r="D8386" s="2">
        <v>4254.88</v>
      </c>
      <c r="E8386" s="2">
        <v>0</v>
      </c>
      <c r="F8386" t="s">
        <v>13</v>
      </c>
      <c r="G8386" t="s">
        <v>9</v>
      </c>
    </row>
    <row r="8387" spans="1:7" x14ac:dyDescent="0.35">
      <c r="A8387">
        <v>3329</v>
      </c>
      <c r="B8387" s="1">
        <v>45757</v>
      </c>
      <c r="C8387" t="s">
        <v>12</v>
      </c>
      <c r="D8387" s="2">
        <v>0</v>
      </c>
      <c r="E8387" s="2">
        <v>3958.03</v>
      </c>
      <c r="F8387" t="s">
        <v>14</v>
      </c>
      <c r="G8387" t="s">
        <v>15</v>
      </c>
    </row>
    <row r="8388" spans="1:7" x14ac:dyDescent="0.35">
      <c r="A8388">
        <v>3329</v>
      </c>
      <c r="B8388" s="1">
        <v>45757</v>
      </c>
      <c r="C8388" t="s">
        <v>12</v>
      </c>
      <c r="D8388" s="2">
        <v>0</v>
      </c>
      <c r="E8388" s="2">
        <v>296.85000000000002</v>
      </c>
      <c r="F8388" t="s">
        <v>16</v>
      </c>
      <c r="G8388" t="s">
        <v>17</v>
      </c>
    </row>
    <row r="8389" spans="1:7" x14ac:dyDescent="0.35">
      <c r="A8389">
        <v>3330</v>
      </c>
      <c r="B8389" s="1">
        <v>45757</v>
      </c>
      <c r="C8389" t="s">
        <v>12</v>
      </c>
      <c r="D8389" s="2">
        <v>1293.32</v>
      </c>
      <c r="E8389" s="2">
        <v>0</v>
      </c>
      <c r="F8389" t="s">
        <v>13</v>
      </c>
      <c r="G8389" t="s">
        <v>9</v>
      </c>
    </row>
    <row r="8390" spans="1:7" x14ac:dyDescent="0.35">
      <c r="A8390">
        <v>3330</v>
      </c>
      <c r="B8390" s="1">
        <v>45757</v>
      </c>
      <c r="C8390" t="s">
        <v>12</v>
      </c>
      <c r="D8390" s="2">
        <v>0</v>
      </c>
      <c r="E8390" s="2">
        <v>1203.0899999999999</v>
      </c>
      <c r="F8390" t="s">
        <v>14</v>
      </c>
      <c r="G8390" t="s">
        <v>15</v>
      </c>
    </row>
    <row r="8391" spans="1:7" x14ac:dyDescent="0.35">
      <c r="A8391">
        <v>3330</v>
      </c>
      <c r="B8391" s="1">
        <v>45757</v>
      </c>
      <c r="C8391" t="s">
        <v>12</v>
      </c>
      <c r="D8391" s="2">
        <v>0</v>
      </c>
      <c r="E8391" s="2">
        <v>90.23</v>
      </c>
      <c r="F8391" t="s">
        <v>16</v>
      </c>
      <c r="G8391" t="s">
        <v>17</v>
      </c>
    </row>
    <row r="8392" spans="1:7" x14ac:dyDescent="0.35">
      <c r="A8392">
        <v>3331</v>
      </c>
      <c r="B8392" s="1">
        <v>45757</v>
      </c>
      <c r="C8392" t="s">
        <v>12</v>
      </c>
      <c r="D8392" s="2">
        <v>612.86</v>
      </c>
      <c r="E8392" s="2">
        <v>0</v>
      </c>
      <c r="F8392" t="s">
        <v>13</v>
      </c>
      <c r="G8392" t="s">
        <v>9</v>
      </c>
    </row>
    <row r="8393" spans="1:7" x14ac:dyDescent="0.35">
      <c r="A8393">
        <v>3331</v>
      </c>
      <c r="B8393" s="1">
        <v>45757</v>
      </c>
      <c r="C8393" t="s">
        <v>12</v>
      </c>
      <c r="D8393" s="2">
        <v>0</v>
      </c>
      <c r="E8393" s="2">
        <v>570.1</v>
      </c>
      <c r="F8393" t="s">
        <v>14</v>
      </c>
      <c r="G8393" t="s">
        <v>15</v>
      </c>
    </row>
    <row r="8394" spans="1:7" x14ac:dyDescent="0.35">
      <c r="A8394">
        <v>3331</v>
      </c>
      <c r="B8394" s="1">
        <v>45757</v>
      </c>
      <c r="C8394" t="s">
        <v>12</v>
      </c>
      <c r="D8394" s="2">
        <v>0</v>
      </c>
      <c r="E8394" s="2">
        <v>42.76</v>
      </c>
      <c r="F8394" t="s">
        <v>16</v>
      </c>
      <c r="G8394" t="s">
        <v>17</v>
      </c>
    </row>
    <row r="8395" spans="1:7" x14ac:dyDescent="0.35">
      <c r="A8395">
        <v>3332</v>
      </c>
      <c r="B8395" s="1">
        <v>45757</v>
      </c>
      <c r="C8395" t="s">
        <v>24</v>
      </c>
      <c r="D8395" s="2">
        <v>2459.63</v>
      </c>
      <c r="E8395" s="2">
        <v>0</v>
      </c>
      <c r="F8395" t="s">
        <v>8</v>
      </c>
      <c r="G8395" t="s">
        <v>9</v>
      </c>
    </row>
    <row r="8396" spans="1:7" x14ac:dyDescent="0.35">
      <c r="A8396">
        <v>3332</v>
      </c>
      <c r="B8396" s="1">
        <v>45757</v>
      </c>
      <c r="C8396" t="s">
        <v>24</v>
      </c>
      <c r="D8396" s="2">
        <v>0</v>
      </c>
      <c r="E8396" s="2">
        <v>2459.63</v>
      </c>
      <c r="F8396" t="s">
        <v>13</v>
      </c>
      <c r="G8396" t="s">
        <v>9</v>
      </c>
    </row>
    <row r="8397" spans="1:7" x14ac:dyDescent="0.35">
      <c r="A8397">
        <v>3333</v>
      </c>
      <c r="B8397" s="1">
        <v>45757</v>
      </c>
      <c r="C8397" t="s">
        <v>24</v>
      </c>
      <c r="D8397" s="2">
        <v>247.1</v>
      </c>
      <c r="E8397" s="2">
        <v>0</v>
      </c>
      <c r="F8397" t="s">
        <v>8</v>
      </c>
      <c r="G8397" t="s">
        <v>9</v>
      </c>
    </row>
    <row r="8398" spans="1:7" x14ac:dyDescent="0.35">
      <c r="A8398">
        <v>3333</v>
      </c>
      <c r="B8398" s="1">
        <v>45757</v>
      </c>
      <c r="C8398" t="s">
        <v>24</v>
      </c>
      <c r="D8398" s="2">
        <v>0</v>
      </c>
      <c r="E8398" s="2">
        <v>247.1</v>
      </c>
      <c r="F8398" t="s">
        <v>13</v>
      </c>
      <c r="G8398" t="s">
        <v>9</v>
      </c>
    </row>
    <row r="8399" spans="1:7" x14ac:dyDescent="0.35">
      <c r="A8399">
        <v>3334</v>
      </c>
      <c r="B8399" s="1">
        <v>45757</v>
      </c>
      <c r="C8399" t="s">
        <v>24</v>
      </c>
      <c r="D8399" s="2">
        <v>382.87</v>
      </c>
      <c r="E8399" s="2">
        <v>0</v>
      </c>
      <c r="F8399" t="s">
        <v>8</v>
      </c>
      <c r="G8399" t="s">
        <v>9</v>
      </c>
    </row>
    <row r="8400" spans="1:7" x14ac:dyDescent="0.35">
      <c r="A8400">
        <v>3334</v>
      </c>
      <c r="B8400" s="1">
        <v>45757</v>
      </c>
      <c r="C8400" t="s">
        <v>24</v>
      </c>
      <c r="D8400" s="2">
        <v>0</v>
      </c>
      <c r="E8400" s="2">
        <v>382.87</v>
      </c>
      <c r="F8400" t="s">
        <v>13</v>
      </c>
      <c r="G8400" t="s">
        <v>9</v>
      </c>
    </row>
    <row r="8401" spans="1:7" x14ac:dyDescent="0.35">
      <c r="A8401">
        <v>3335</v>
      </c>
      <c r="B8401" s="1">
        <v>45757</v>
      </c>
      <c r="C8401" t="s">
        <v>24</v>
      </c>
      <c r="D8401" s="2">
        <v>1051.28</v>
      </c>
      <c r="E8401" s="2">
        <v>0</v>
      </c>
      <c r="F8401" t="s">
        <v>8</v>
      </c>
      <c r="G8401" t="s">
        <v>9</v>
      </c>
    </row>
    <row r="8402" spans="1:7" x14ac:dyDescent="0.35">
      <c r="A8402">
        <v>3335</v>
      </c>
      <c r="B8402" s="1">
        <v>45757</v>
      </c>
      <c r="C8402" t="s">
        <v>24</v>
      </c>
      <c r="D8402" s="2">
        <v>0</v>
      </c>
      <c r="E8402" s="2">
        <v>1051.28</v>
      </c>
      <c r="F8402" t="s">
        <v>13</v>
      </c>
      <c r="G8402" t="s">
        <v>9</v>
      </c>
    </row>
    <row r="8403" spans="1:7" x14ac:dyDescent="0.35">
      <c r="A8403">
        <v>3336</v>
      </c>
      <c r="B8403" s="1">
        <v>45757</v>
      </c>
      <c r="C8403" t="s">
        <v>24</v>
      </c>
      <c r="D8403" s="2">
        <v>338</v>
      </c>
      <c r="E8403" s="2">
        <v>0</v>
      </c>
      <c r="F8403" t="s">
        <v>8</v>
      </c>
      <c r="G8403" t="s">
        <v>9</v>
      </c>
    </row>
    <row r="8404" spans="1:7" x14ac:dyDescent="0.35">
      <c r="A8404">
        <v>3336</v>
      </c>
      <c r="B8404" s="1">
        <v>45757</v>
      </c>
      <c r="C8404" t="s">
        <v>24</v>
      </c>
      <c r="D8404" s="2">
        <v>0</v>
      </c>
      <c r="E8404" s="2">
        <v>338</v>
      </c>
      <c r="F8404" t="s">
        <v>13</v>
      </c>
      <c r="G8404" t="s">
        <v>9</v>
      </c>
    </row>
    <row r="8405" spans="1:7" x14ac:dyDescent="0.35">
      <c r="A8405">
        <v>3337</v>
      </c>
      <c r="B8405" s="1">
        <v>45757</v>
      </c>
      <c r="C8405" t="s">
        <v>24</v>
      </c>
      <c r="D8405" s="2">
        <v>1353.42</v>
      </c>
      <c r="E8405" s="2">
        <v>0</v>
      </c>
      <c r="F8405" t="s">
        <v>8</v>
      </c>
      <c r="G8405" t="s">
        <v>9</v>
      </c>
    </row>
    <row r="8406" spans="1:7" x14ac:dyDescent="0.35">
      <c r="A8406">
        <v>3337</v>
      </c>
      <c r="B8406" s="1">
        <v>45757</v>
      </c>
      <c r="C8406" t="s">
        <v>24</v>
      </c>
      <c r="D8406" s="2">
        <v>0</v>
      </c>
      <c r="E8406" s="2">
        <v>1353.42</v>
      </c>
      <c r="F8406" t="s">
        <v>13</v>
      </c>
      <c r="G8406" t="s">
        <v>9</v>
      </c>
    </row>
    <row r="8407" spans="1:7" x14ac:dyDescent="0.35">
      <c r="A8407">
        <v>3338</v>
      </c>
      <c r="B8407" s="1">
        <v>45757</v>
      </c>
      <c r="C8407" t="s">
        <v>24</v>
      </c>
      <c r="D8407" s="2">
        <v>3567.66</v>
      </c>
      <c r="E8407" s="2">
        <v>0</v>
      </c>
      <c r="F8407" t="s">
        <v>8</v>
      </c>
      <c r="G8407" t="s">
        <v>9</v>
      </c>
    </row>
    <row r="8408" spans="1:7" x14ac:dyDescent="0.35">
      <c r="A8408">
        <v>3338</v>
      </c>
      <c r="B8408" s="1">
        <v>45757</v>
      </c>
      <c r="C8408" t="s">
        <v>24</v>
      </c>
      <c r="D8408" s="2">
        <v>0</v>
      </c>
      <c r="E8408" s="2">
        <v>3567.66</v>
      </c>
      <c r="F8408" t="s">
        <v>13</v>
      </c>
      <c r="G8408" t="s">
        <v>9</v>
      </c>
    </row>
    <row r="8409" spans="1:7" x14ac:dyDescent="0.35">
      <c r="A8409">
        <v>3339</v>
      </c>
      <c r="B8409" s="1">
        <v>45757</v>
      </c>
      <c r="C8409" t="s">
        <v>24</v>
      </c>
      <c r="D8409" s="2">
        <v>418.32</v>
      </c>
      <c r="E8409" s="2">
        <v>0</v>
      </c>
      <c r="F8409" t="s">
        <v>8</v>
      </c>
      <c r="G8409" t="s">
        <v>9</v>
      </c>
    </row>
    <row r="8410" spans="1:7" x14ac:dyDescent="0.35">
      <c r="A8410">
        <v>3339</v>
      </c>
      <c r="B8410" s="1">
        <v>45757</v>
      </c>
      <c r="C8410" t="s">
        <v>24</v>
      </c>
      <c r="D8410" s="2">
        <v>0</v>
      </c>
      <c r="E8410" s="2">
        <v>418.32</v>
      </c>
      <c r="F8410" t="s">
        <v>13</v>
      </c>
      <c r="G8410" t="s">
        <v>9</v>
      </c>
    </row>
    <row r="8411" spans="1:7" x14ac:dyDescent="0.35">
      <c r="A8411">
        <v>3340</v>
      </c>
      <c r="B8411" s="1">
        <v>45757</v>
      </c>
      <c r="C8411" t="s">
        <v>25</v>
      </c>
      <c r="D8411" s="2">
        <v>1822.08</v>
      </c>
      <c r="E8411" s="2">
        <v>0</v>
      </c>
      <c r="F8411" t="s">
        <v>26</v>
      </c>
      <c r="G8411" t="s">
        <v>20</v>
      </c>
    </row>
    <row r="8412" spans="1:7" x14ac:dyDescent="0.35">
      <c r="A8412">
        <v>3340</v>
      </c>
      <c r="B8412" s="1">
        <v>45757</v>
      </c>
      <c r="C8412" t="s">
        <v>25</v>
      </c>
      <c r="D8412" s="2">
        <v>136.66</v>
      </c>
      <c r="E8412" s="2">
        <v>0</v>
      </c>
      <c r="F8412" t="s">
        <v>27</v>
      </c>
      <c r="G8412" t="s">
        <v>9</v>
      </c>
    </row>
    <row r="8413" spans="1:7" x14ac:dyDescent="0.35">
      <c r="A8413">
        <v>3340</v>
      </c>
      <c r="B8413" s="1">
        <v>45757</v>
      </c>
      <c r="C8413" t="s">
        <v>25</v>
      </c>
      <c r="D8413" s="2">
        <v>0</v>
      </c>
      <c r="E8413" s="2">
        <v>1958.74</v>
      </c>
      <c r="F8413" t="s">
        <v>28</v>
      </c>
      <c r="G8413" t="s">
        <v>17</v>
      </c>
    </row>
    <row r="8414" spans="1:7" x14ac:dyDescent="0.35">
      <c r="A8414">
        <v>3341</v>
      </c>
      <c r="B8414" s="1">
        <v>45757</v>
      </c>
      <c r="C8414" t="s">
        <v>29</v>
      </c>
      <c r="D8414" s="2">
        <v>9336.67</v>
      </c>
      <c r="E8414" s="2">
        <v>0</v>
      </c>
      <c r="F8414" t="s">
        <v>28</v>
      </c>
      <c r="G8414" t="s">
        <v>17</v>
      </c>
    </row>
    <row r="8415" spans="1:7" x14ac:dyDescent="0.35">
      <c r="A8415">
        <v>3341</v>
      </c>
      <c r="B8415" s="1">
        <v>45757</v>
      </c>
      <c r="C8415" t="s">
        <v>29</v>
      </c>
      <c r="D8415" s="2">
        <v>0</v>
      </c>
      <c r="E8415" s="2">
        <v>9336.67</v>
      </c>
      <c r="F8415" t="s">
        <v>8</v>
      </c>
      <c r="G8415" t="s">
        <v>9</v>
      </c>
    </row>
    <row r="8416" spans="1:7" x14ac:dyDescent="0.35">
      <c r="A8416">
        <v>3342</v>
      </c>
      <c r="B8416" s="1">
        <v>45757</v>
      </c>
      <c r="C8416" t="s">
        <v>29</v>
      </c>
      <c r="D8416" s="2">
        <v>3868.8</v>
      </c>
      <c r="E8416" s="2">
        <v>0</v>
      </c>
      <c r="F8416" t="s">
        <v>28</v>
      </c>
      <c r="G8416" t="s">
        <v>17</v>
      </c>
    </row>
    <row r="8417" spans="1:7" x14ac:dyDescent="0.35">
      <c r="A8417">
        <v>3342</v>
      </c>
      <c r="B8417" s="1">
        <v>45757</v>
      </c>
      <c r="C8417" t="s">
        <v>29</v>
      </c>
      <c r="D8417" s="2">
        <v>0</v>
      </c>
      <c r="E8417" s="2">
        <v>3868.8</v>
      </c>
      <c r="F8417" t="s">
        <v>8</v>
      </c>
      <c r="G8417" t="s">
        <v>9</v>
      </c>
    </row>
    <row r="8418" spans="1:7" x14ac:dyDescent="0.35">
      <c r="A8418">
        <v>3343</v>
      </c>
      <c r="B8418" s="1">
        <v>45758</v>
      </c>
      <c r="C8418" t="s">
        <v>12</v>
      </c>
      <c r="D8418" s="2">
        <v>1310.57</v>
      </c>
      <c r="E8418" s="2">
        <v>0</v>
      </c>
      <c r="F8418" t="s">
        <v>13</v>
      </c>
      <c r="G8418" t="s">
        <v>9</v>
      </c>
    </row>
    <row r="8419" spans="1:7" x14ac:dyDescent="0.35">
      <c r="A8419">
        <v>3343</v>
      </c>
      <c r="B8419" s="1">
        <v>45758</v>
      </c>
      <c r="C8419" t="s">
        <v>12</v>
      </c>
      <c r="D8419" s="2">
        <v>0</v>
      </c>
      <c r="E8419" s="2">
        <v>1219.1300000000001</v>
      </c>
      <c r="F8419" t="s">
        <v>14</v>
      </c>
      <c r="G8419" t="s">
        <v>15</v>
      </c>
    </row>
    <row r="8420" spans="1:7" x14ac:dyDescent="0.35">
      <c r="A8420">
        <v>3343</v>
      </c>
      <c r="B8420" s="1">
        <v>45758</v>
      </c>
      <c r="C8420" t="s">
        <v>12</v>
      </c>
      <c r="D8420" s="2">
        <v>0</v>
      </c>
      <c r="E8420" s="2">
        <v>91.44</v>
      </c>
      <c r="F8420" t="s">
        <v>16</v>
      </c>
      <c r="G8420" t="s">
        <v>17</v>
      </c>
    </row>
    <row r="8421" spans="1:7" x14ac:dyDescent="0.35">
      <c r="A8421">
        <v>3344</v>
      </c>
      <c r="B8421" s="1">
        <v>45758</v>
      </c>
      <c r="C8421" t="s">
        <v>12</v>
      </c>
      <c r="D8421" s="2">
        <v>3204.44</v>
      </c>
      <c r="E8421" s="2">
        <v>0</v>
      </c>
      <c r="F8421" t="s">
        <v>13</v>
      </c>
      <c r="G8421" t="s">
        <v>9</v>
      </c>
    </row>
    <row r="8422" spans="1:7" x14ac:dyDescent="0.35">
      <c r="A8422">
        <v>3344</v>
      </c>
      <c r="B8422" s="1">
        <v>45758</v>
      </c>
      <c r="C8422" t="s">
        <v>12</v>
      </c>
      <c r="D8422" s="2">
        <v>0</v>
      </c>
      <c r="E8422" s="2">
        <v>2980.88</v>
      </c>
      <c r="F8422" t="s">
        <v>14</v>
      </c>
      <c r="G8422" t="s">
        <v>15</v>
      </c>
    </row>
    <row r="8423" spans="1:7" x14ac:dyDescent="0.35">
      <c r="A8423">
        <v>3344</v>
      </c>
      <c r="B8423" s="1">
        <v>45758</v>
      </c>
      <c r="C8423" t="s">
        <v>12</v>
      </c>
      <c r="D8423" s="2">
        <v>0</v>
      </c>
      <c r="E8423" s="2">
        <v>223.56</v>
      </c>
      <c r="F8423" t="s">
        <v>16</v>
      </c>
      <c r="G8423" t="s">
        <v>17</v>
      </c>
    </row>
    <row r="8424" spans="1:7" x14ac:dyDescent="0.35">
      <c r="A8424">
        <v>3345</v>
      </c>
      <c r="B8424" s="1">
        <v>45758</v>
      </c>
      <c r="C8424" t="s">
        <v>24</v>
      </c>
      <c r="D8424" s="2">
        <v>1902.75</v>
      </c>
      <c r="E8424" s="2">
        <v>0</v>
      </c>
      <c r="F8424" t="s">
        <v>8</v>
      </c>
      <c r="G8424" t="s">
        <v>9</v>
      </c>
    </row>
    <row r="8425" spans="1:7" x14ac:dyDescent="0.35">
      <c r="A8425">
        <v>3345</v>
      </c>
      <c r="B8425" s="1">
        <v>45758</v>
      </c>
      <c r="C8425" t="s">
        <v>24</v>
      </c>
      <c r="D8425" s="2">
        <v>0</v>
      </c>
      <c r="E8425" s="2">
        <v>1902.75</v>
      </c>
      <c r="F8425" t="s">
        <v>13</v>
      </c>
      <c r="G8425" t="s">
        <v>9</v>
      </c>
    </row>
    <row r="8426" spans="1:7" x14ac:dyDescent="0.35">
      <c r="A8426">
        <v>3346</v>
      </c>
      <c r="B8426" s="1">
        <v>45758</v>
      </c>
      <c r="C8426" t="s">
        <v>24</v>
      </c>
      <c r="D8426" s="2">
        <v>1995.35</v>
      </c>
      <c r="E8426" s="2">
        <v>0</v>
      </c>
      <c r="F8426" t="s">
        <v>8</v>
      </c>
      <c r="G8426" t="s">
        <v>9</v>
      </c>
    </row>
    <row r="8427" spans="1:7" x14ac:dyDescent="0.35">
      <c r="A8427">
        <v>3346</v>
      </c>
      <c r="B8427" s="1">
        <v>45758</v>
      </c>
      <c r="C8427" t="s">
        <v>24</v>
      </c>
      <c r="D8427" s="2">
        <v>0</v>
      </c>
      <c r="E8427" s="2">
        <v>1995.35</v>
      </c>
      <c r="F8427" t="s">
        <v>13</v>
      </c>
      <c r="G8427" t="s">
        <v>9</v>
      </c>
    </row>
    <row r="8428" spans="1:7" x14ac:dyDescent="0.35">
      <c r="A8428">
        <v>3347</v>
      </c>
      <c r="B8428" s="1">
        <v>45758</v>
      </c>
      <c r="C8428" t="s">
        <v>24</v>
      </c>
      <c r="D8428" s="2">
        <v>5896.78</v>
      </c>
      <c r="E8428" s="2">
        <v>0</v>
      </c>
      <c r="F8428" t="s">
        <v>8</v>
      </c>
      <c r="G8428" t="s">
        <v>9</v>
      </c>
    </row>
    <row r="8429" spans="1:7" x14ac:dyDescent="0.35">
      <c r="A8429">
        <v>3347</v>
      </c>
      <c r="B8429" s="1">
        <v>45758</v>
      </c>
      <c r="C8429" t="s">
        <v>24</v>
      </c>
      <c r="D8429" s="2">
        <v>0</v>
      </c>
      <c r="E8429" s="2">
        <v>5896.78</v>
      </c>
      <c r="F8429" t="s">
        <v>13</v>
      </c>
      <c r="G8429" t="s">
        <v>9</v>
      </c>
    </row>
    <row r="8430" spans="1:7" x14ac:dyDescent="0.35">
      <c r="A8430">
        <v>3348</v>
      </c>
      <c r="B8430" s="1">
        <v>45758</v>
      </c>
      <c r="C8430" t="s">
        <v>24</v>
      </c>
      <c r="D8430" s="2">
        <v>924.61</v>
      </c>
      <c r="E8430" s="2">
        <v>0</v>
      </c>
      <c r="F8430" t="s">
        <v>8</v>
      </c>
      <c r="G8430" t="s">
        <v>9</v>
      </c>
    </row>
    <row r="8431" spans="1:7" x14ac:dyDescent="0.35">
      <c r="A8431">
        <v>3348</v>
      </c>
      <c r="B8431" s="1">
        <v>45758</v>
      </c>
      <c r="C8431" t="s">
        <v>24</v>
      </c>
      <c r="D8431" s="2">
        <v>0</v>
      </c>
      <c r="E8431" s="2">
        <v>924.61</v>
      </c>
      <c r="F8431" t="s">
        <v>13</v>
      </c>
      <c r="G8431" t="s">
        <v>9</v>
      </c>
    </row>
    <row r="8432" spans="1:7" x14ac:dyDescent="0.35">
      <c r="A8432">
        <v>3349</v>
      </c>
      <c r="B8432" s="1">
        <v>45758</v>
      </c>
      <c r="C8432" t="s">
        <v>24</v>
      </c>
      <c r="D8432" s="2">
        <v>216.03</v>
      </c>
      <c r="E8432" s="2">
        <v>0</v>
      </c>
      <c r="F8432" t="s">
        <v>8</v>
      </c>
      <c r="G8432" t="s">
        <v>9</v>
      </c>
    </row>
    <row r="8433" spans="1:7" x14ac:dyDescent="0.35">
      <c r="A8433">
        <v>3349</v>
      </c>
      <c r="B8433" s="1">
        <v>45758</v>
      </c>
      <c r="C8433" t="s">
        <v>24</v>
      </c>
      <c r="D8433" s="2">
        <v>0</v>
      </c>
      <c r="E8433" s="2">
        <v>216.03</v>
      </c>
      <c r="F8433" t="s">
        <v>13</v>
      </c>
      <c r="G8433" t="s">
        <v>9</v>
      </c>
    </row>
    <row r="8434" spans="1:7" x14ac:dyDescent="0.35">
      <c r="A8434">
        <v>3350</v>
      </c>
      <c r="B8434" s="1">
        <v>45758</v>
      </c>
      <c r="C8434" t="s">
        <v>25</v>
      </c>
      <c r="D8434" s="2">
        <v>1078.92</v>
      </c>
      <c r="E8434" s="2">
        <v>0</v>
      </c>
      <c r="F8434" t="s">
        <v>26</v>
      </c>
      <c r="G8434" t="s">
        <v>20</v>
      </c>
    </row>
    <row r="8435" spans="1:7" x14ac:dyDescent="0.35">
      <c r="A8435">
        <v>3350</v>
      </c>
      <c r="B8435" s="1">
        <v>45758</v>
      </c>
      <c r="C8435" t="s">
        <v>25</v>
      </c>
      <c r="D8435" s="2">
        <v>80.92</v>
      </c>
      <c r="E8435" s="2">
        <v>0</v>
      </c>
      <c r="F8435" t="s">
        <v>27</v>
      </c>
      <c r="G8435" t="s">
        <v>9</v>
      </c>
    </row>
    <row r="8436" spans="1:7" x14ac:dyDescent="0.35">
      <c r="A8436">
        <v>3350</v>
      </c>
      <c r="B8436" s="1">
        <v>45758</v>
      </c>
      <c r="C8436" t="s">
        <v>25</v>
      </c>
      <c r="D8436" s="2">
        <v>0</v>
      </c>
      <c r="E8436" s="2">
        <v>1159.8399999999999</v>
      </c>
      <c r="F8436" t="s">
        <v>28</v>
      </c>
      <c r="G8436" t="s">
        <v>17</v>
      </c>
    </row>
    <row r="8437" spans="1:7" x14ac:dyDescent="0.35">
      <c r="A8437">
        <v>3351</v>
      </c>
      <c r="B8437" s="1">
        <v>45758</v>
      </c>
      <c r="C8437" t="s">
        <v>25</v>
      </c>
      <c r="D8437" s="2">
        <v>8685.27</v>
      </c>
      <c r="E8437" s="2">
        <v>0</v>
      </c>
      <c r="F8437" t="s">
        <v>26</v>
      </c>
      <c r="G8437" t="s">
        <v>20</v>
      </c>
    </row>
    <row r="8438" spans="1:7" x14ac:dyDescent="0.35">
      <c r="A8438">
        <v>3351</v>
      </c>
      <c r="B8438" s="1">
        <v>45758</v>
      </c>
      <c r="C8438" t="s">
        <v>25</v>
      </c>
      <c r="D8438" s="2">
        <v>651.4</v>
      </c>
      <c r="E8438" s="2">
        <v>0</v>
      </c>
      <c r="F8438" t="s">
        <v>27</v>
      </c>
      <c r="G8438" t="s">
        <v>9</v>
      </c>
    </row>
    <row r="8439" spans="1:7" x14ac:dyDescent="0.35">
      <c r="A8439">
        <v>3351</v>
      </c>
      <c r="B8439" s="1">
        <v>45758</v>
      </c>
      <c r="C8439" t="s">
        <v>25</v>
      </c>
      <c r="D8439" s="2">
        <v>0</v>
      </c>
      <c r="E8439" s="2">
        <v>9336.67</v>
      </c>
      <c r="F8439" t="s">
        <v>28</v>
      </c>
      <c r="G8439" t="s">
        <v>17</v>
      </c>
    </row>
    <row r="8440" spans="1:7" x14ac:dyDescent="0.35">
      <c r="A8440">
        <v>3352</v>
      </c>
      <c r="B8440" s="1">
        <v>45758</v>
      </c>
      <c r="C8440" t="s">
        <v>25</v>
      </c>
      <c r="D8440" s="2">
        <v>802.71</v>
      </c>
      <c r="E8440" s="2">
        <v>0</v>
      </c>
      <c r="F8440" t="s">
        <v>26</v>
      </c>
      <c r="G8440" t="s">
        <v>20</v>
      </c>
    </row>
    <row r="8441" spans="1:7" x14ac:dyDescent="0.35">
      <c r="A8441">
        <v>3352</v>
      </c>
      <c r="B8441" s="1">
        <v>45758</v>
      </c>
      <c r="C8441" t="s">
        <v>25</v>
      </c>
      <c r="D8441" s="2">
        <v>60.2</v>
      </c>
      <c r="E8441" s="2">
        <v>0</v>
      </c>
      <c r="F8441" t="s">
        <v>27</v>
      </c>
      <c r="G8441" t="s">
        <v>9</v>
      </c>
    </row>
    <row r="8442" spans="1:7" x14ac:dyDescent="0.35">
      <c r="A8442">
        <v>3352</v>
      </c>
      <c r="B8442" s="1">
        <v>45758</v>
      </c>
      <c r="C8442" t="s">
        <v>25</v>
      </c>
      <c r="D8442" s="2">
        <v>0</v>
      </c>
      <c r="E8442" s="2">
        <v>862.91</v>
      </c>
      <c r="F8442" t="s">
        <v>28</v>
      </c>
      <c r="G8442" t="s">
        <v>17</v>
      </c>
    </row>
    <row r="8443" spans="1:7" x14ac:dyDescent="0.35">
      <c r="A8443">
        <v>3353</v>
      </c>
      <c r="B8443" s="1">
        <v>45758</v>
      </c>
      <c r="C8443" t="s">
        <v>29</v>
      </c>
      <c r="D8443" s="2">
        <v>9336.67</v>
      </c>
      <c r="E8443" s="2">
        <v>0</v>
      </c>
      <c r="F8443" t="s">
        <v>28</v>
      </c>
      <c r="G8443" t="s">
        <v>17</v>
      </c>
    </row>
    <row r="8444" spans="1:7" x14ac:dyDescent="0.35">
      <c r="A8444">
        <v>3353</v>
      </c>
      <c r="B8444" s="1">
        <v>45758</v>
      </c>
      <c r="C8444" t="s">
        <v>29</v>
      </c>
      <c r="D8444" s="2">
        <v>0</v>
      </c>
      <c r="E8444" s="2">
        <v>9336.67</v>
      </c>
      <c r="F8444" t="s">
        <v>8</v>
      </c>
      <c r="G8444" t="s">
        <v>9</v>
      </c>
    </row>
    <row r="8445" spans="1:7" x14ac:dyDescent="0.35">
      <c r="A8445">
        <v>3354</v>
      </c>
      <c r="B8445" s="1">
        <v>45758</v>
      </c>
      <c r="C8445" t="s">
        <v>29</v>
      </c>
      <c r="D8445" s="2">
        <v>4812.46</v>
      </c>
      <c r="E8445" s="2">
        <v>0</v>
      </c>
      <c r="F8445" t="s">
        <v>28</v>
      </c>
      <c r="G8445" t="s">
        <v>17</v>
      </c>
    </row>
    <row r="8446" spans="1:7" x14ac:dyDescent="0.35">
      <c r="A8446">
        <v>3354</v>
      </c>
      <c r="B8446" s="1">
        <v>45758</v>
      </c>
      <c r="C8446" t="s">
        <v>29</v>
      </c>
      <c r="D8446" s="2">
        <v>0</v>
      </c>
      <c r="E8446" s="2">
        <v>4812.46</v>
      </c>
      <c r="F8446" t="s">
        <v>8</v>
      </c>
      <c r="G8446" t="s">
        <v>9</v>
      </c>
    </row>
    <row r="8447" spans="1:7" x14ac:dyDescent="0.35">
      <c r="A8447">
        <v>3355</v>
      </c>
      <c r="B8447" s="1">
        <v>45758</v>
      </c>
      <c r="C8447" t="s">
        <v>29</v>
      </c>
      <c r="D8447" s="2">
        <v>179.01</v>
      </c>
      <c r="E8447" s="2">
        <v>0</v>
      </c>
      <c r="F8447" t="s">
        <v>28</v>
      </c>
      <c r="G8447" t="s">
        <v>17</v>
      </c>
    </row>
    <row r="8448" spans="1:7" x14ac:dyDescent="0.35">
      <c r="A8448">
        <v>3355</v>
      </c>
      <c r="B8448" s="1">
        <v>45758</v>
      </c>
      <c r="C8448" t="s">
        <v>29</v>
      </c>
      <c r="D8448" s="2">
        <v>0</v>
      </c>
      <c r="E8448" s="2">
        <v>179.01</v>
      </c>
      <c r="F8448" t="s">
        <v>8</v>
      </c>
      <c r="G8448" t="s">
        <v>9</v>
      </c>
    </row>
    <row r="8449" spans="1:7" x14ac:dyDescent="0.35">
      <c r="A8449">
        <v>3356</v>
      </c>
      <c r="B8449" s="1">
        <v>45758</v>
      </c>
      <c r="C8449" t="s">
        <v>29</v>
      </c>
      <c r="D8449" s="2">
        <v>1794.11</v>
      </c>
      <c r="E8449" s="2">
        <v>0</v>
      </c>
      <c r="F8449" t="s">
        <v>28</v>
      </c>
      <c r="G8449" t="s">
        <v>17</v>
      </c>
    </row>
    <row r="8450" spans="1:7" x14ac:dyDescent="0.35">
      <c r="A8450">
        <v>3356</v>
      </c>
      <c r="B8450" s="1">
        <v>45758</v>
      </c>
      <c r="C8450" t="s">
        <v>29</v>
      </c>
      <c r="D8450" s="2">
        <v>0</v>
      </c>
      <c r="E8450" s="2">
        <v>1794.11</v>
      </c>
      <c r="F8450" t="s">
        <v>8</v>
      </c>
      <c r="G8450" t="s">
        <v>9</v>
      </c>
    </row>
    <row r="8451" spans="1:7" x14ac:dyDescent="0.35">
      <c r="A8451">
        <v>3357</v>
      </c>
      <c r="B8451" s="1">
        <v>45761</v>
      </c>
      <c r="C8451" t="s">
        <v>12</v>
      </c>
      <c r="D8451" s="2">
        <v>3338.88</v>
      </c>
      <c r="E8451" s="2">
        <v>0</v>
      </c>
      <c r="F8451" t="s">
        <v>13</v>
      </c>
      <c r="G8451" t="s">
        <v>9</v>
      </c>
    </row>
    <row r="8452" spans="1:7" x14ac:dyDescent="0.35">
      <c r="A8452">
        <v>3357</v>
      </c>
      <c r="B8452" s="1">
        <v>45761</v>
      </c>
      <c r="C8452" t="s">
        <v>12</v>
      </c>
      <c r="D8452" s="2">
        <v>0</v>
      </c>
      <c r="E8452" s="2">
        <v>3105.94</v>
      </c>
      <c r="F8452" t="s">
        <v>14</v>
      </c>
      <c r="G8452" t="s">
        <v>15</v>
      </c>
    </row>
    <row r="8453" spans="1:7" x14ac:dyDescent="0.35">
      <c r="A8453">
        <v>3357</v>
      </c>
      <c r="B8453" s="1">
        <v>45761</v>
      </c>
      <c r="C8453" t="s">
        <v>12</v>
      </c>
      <c r="D8453" s="2">
        <v>0</v>
      </c>
      <c r="E8453" s="2">
        <v>232.94</v>
      </c>
      <c r="F8453" t="s">
        <v>16</v>
      </c>
      <c r="G8453" t="s">
        <v>17</v>
      </c>
    </row>
    <row r="8454" spans="1:7" x14ac:dyDescent="0.35">
      <c r="A8454">
        <v>3358</v>
      </c>
      <c r="B8454" s="1">
        <v>45761</v>
      </c>
      <c r="C8454" t="s">
        <v>12</v>
      </c>
      <c r="D8454" s="2">
        <v>256.52</v>
      </c>
      <c r="E8454" s="2">
        <v>0</v>
      </c>
      <c r="F8454" t="s">
        <v>13</v>
      </c>
      <c r="G8454" t="s">
        <v>9</v>
      </c>
    </row>
    <row r="8455" spans="1:7" x14ac:dyDescent="0.35">
      <c r="A8455">
        <v>3358</v>
      </c>
      <c r="B8455" s="1">
        <v>45761</v>
      </c>
      <c r="C8455" t="s">
        <v>12</v>
      </c>
      <c r="D8455" s="2">
        <v>0</v>
      </c>
      <c r="E8455" s="2">
        <v>238.62</v>
      </c>
      <c r="F8455" t="s">
        <v>14</v>
      </c>
      <c r="G8455" t="s">
        <v>15</v>
      </c>
    </row>
    <row r="8456" spans="1:7" x14ac:dyDescent="0.35">
      <c r="A8456">
        <v>3358</v>
      </c>
      <c r="B8456" s="1">
        <v>45761</v>
      </c>
      <c r="C8456" t="s">
        <v>12</v>
      </c>
      <c r="D8456" s="2">
        <v>0</v>
      </c>
      <c r="E8456" s="2">
        <v>17.899999999999999</v>
      </c>
      <c r="F8456" t="s">
        <v>16</v>
      </c>
      <c r="G8456" t="s">
        <v>17</v>
      </c>
    </row>
    <row r="8457" spans="1:7" x14ac:dyDescent="0.35">
      <c r="A8457">
        <v>3359</v>
      </c>
      <c r="B8457" s="1">
        <v>45761</v>
      </c>
      <c r="C8457" t="s">
        <v>12</v>
      </c>
      <c r="D8457" s="2">
        <v>4337.74</v>
      </c>
      <c r="E8457" s="2">
        <v>0</v>
      </c>
      <c r="F8457" t="s">
        <v>13</v>
      </c>
      <c r="G8457" t="s">
        <v>9</v>
      </c>
    </row>
    <row r="8458" spans="1:7" x14ac:dyDescent="0.35">
      <c r="A8458">
        <v>3359</v>
      </c>
      <c r="B8458" s="1">
        <v>45761</v>
      </c>
      <c r="C8458" t="s">
        <v>12</v>
      </c>
      <c r="D8458" s="2">
        <v>0</v>
      </c>
      <c r="E8458" s="2">
        <v>4035.11</v>
      </c>
      <c r="F8458" t="s">
        <v>14</v>
      </c>
      <c r="G8458" t="s">
        <v>15</v>
      </c>
    </row>
    <row r="8459" spans="1:7" x14ac:dyDescent="0.35">
      <c r="A8459">
        <v>3359</v>
      </c>
      <c r="B8459" s="1">
        <v>45761</v>
      </c>
      <c r="C8459" t="s">
        <v>12</v>
      </c>
      <c r="D8459" s="2">
        <v>0</v>
      </c>
      <c r="E8459" s="2">
        <v>302.63</v>
      </c>
      <c r="F8459" t="s">
        <v>16</v>
      </c>
      <c r="G8459" t="s">
        <v>17</v>
      </c>
    </row>
    <row r="8460" spans="1:7" x14ac:dyDescent="0.35">
      <c r="A8460">
        <v>3360</v>
      </c>
      <c r="B8460" s="1">
        <v>45761</v>
      </c>
      <c r="C8460" t="s">
        <v>12</v>
      </c>
      <c r="D8460" s="2">
        <v>2607.06</v>
      </c>
      <c r="E8460" s="2">
        <v>0</v>
      </c>
      <c r="F8460" t="s">
        <v>13</v>
      </c>
      <c r="G8460" t="s">
        <v>9</v>
      </c>
    </row>
    <row r="8461" spans="1:7" x14ac:dyDescent="0.35">
      <c r="A8461">
        <v>3360</v>
      </c>
      <c r="B8461" s="1">
        <v>45761</v>
      </c>
      <c r="C8461" t="s">
        <v>12</v>
      </c>
      <c r="D8461" s="2">
        <v>0</v>
      </c>
      <c r="E8461" s="2">
        <v>2425.17</v>
      </c>
      <c r="F8461" t="s">
        <v>14</v>
      </c>
      <c r="G8461" t="s">
        <v>15</v>
      </c>
    </row>
    <row r="8462" spans="1:7" x14ac:dyDescent="0.35">
      <c r="A8462">
        <v>3360</v>
      </c>
      <c r="B8462" s="1">
        <v>45761</v>
      </c>
      <c r="C8462" t="s">
        <v>12</v>
      </c>
      <c r="D8462" s="2">
        <v>0</v>
      </c>
      <c r="E8462" s="2">
        <v>181.89</v>
      </c>
      <c r="F8462" t="s">
        <v>16</v>
      </c>
      <c r="G8462" t="s">
        <v>17</v>
      </c>
    </row>
    <row r="8463" spans="1:7" x14ac:dyDescent="0.35">
      <c r="A8463">
        <v>3361</v>
      </c>
      <c r="B8463" s="1">
        <v>45761</v>
      </c>
      <c r="C8463" t="s">
        <v>12</v>
      </c>
      <c r="D8463" s="2">
        <v>2365.4499999999998</v>
      </c>
      <c r="E8463" s="2">
        <v>0</v>
      </c>
      <c r="F8463" t="s">
        <v>13</v>
      </c>
      <c r="G8463" t="s">
        <v>9</v>
      </c>
    </row>
    <row r="8464" spans="1:7" x14ac:dyDescent="0.35">
      <c r="A8464">
        <v>3361</v>
      </c>
      <c r="B8464" s="1">
        <v>45761</v>
      </c>
      <c r="C8464" t="s">
        <v>12</v>
      </c>
      <c r="D8464" s="2">
        <v>0</v>
      </c>
      <c r="E8464" s="2">
        <v>2200.41</v>
      </c>
      <c r="F8464" t="s">
        <v>14</v>
      </c>
      <c r="G8464" t="s">
        <v>15</v>
      </c>
    </row>
    <row r="8465" spans="1:7" x14ac:dyDescent="0.35">
      <c r="A8465">
        <v>3361</v>
      </c>
      <c r="B8465" s="1">
        <v>45761</v>
      </c>
      <c r="C8465" t="s">
        <v>12</v>
      </c>
      <c r="D8465" s="2">
        <v>0</v>
      </c>
      <c r="E8465" s="2">
        <v>165.04</v>
      </c>
      <c r="F8465" t="s">
        <v>16</v>
      </c>
      <c r="G8465" t="s">
        <v>17</v>
      </c>
    </row>
    <row r="8466" spans="1:7" x14ac:dyDescent="0.35">
      <c r="A8466">
        <v>3362</v>
      </c>
      <c r="B8466" s="1">
        <v>45761</v>
      </c>
      <c r="C8466" t="s">
        <v>24</v>
      </c>
      <c r="D8466" s="2">
        <v>1734.79</v>
      </c>
      <c r="E8466" s="2">
        <v>0</v>
      </c>
      <c r="F8466" t="s">
        <v>8</v>
      </c>
      <c r="G8466" t="s">
        <v>9</v>
      </c>
    </row>
    <row r="8467" spans="1:7" x14ac:dyDescent="0.35">
      <c r="A8467">
        <v>3362</v>
      </c>
      <c r="B8467" s="1">
        <v>45761</v>
      </c>
      <c r="C8467" t="s">
        <v>24</v>
      </c>
      <c r="D8467" s="2">
        <v>0</v>
      </c>
      <c r="E8467" s="2">
        <v>1734.79</v>
      </c>
      <c r="F8467" t="s">
        <v>13</v>
      </c>
      <c r="G8467" t="s">
        <v>9</v>
      </c>
    </row>
    <row r="8468" spans="1:7" x14ac:dyDescent="0.35">
      <c r="A8468">
        <v>3363</v>
      </c>
      <c r="B8468" s="1">
        <v>45761</v>
      </c>
      <c r="C8468" t="s">
        <v>24</v>
      </c>
      <c r="D8468" s="2">
        <v>5808.52</v>
      </c>
      <c r="E8468" s="2">
        <v>0</v>
      </c>
      <c r="F8468" t="s">
        <v>8</v>
      </c>
      <c r="G8468" t="s">
        <v>9</v>
      </c>
    </row>
    <row r="8469" spans="1:7" x14ac:dyDescent="0.35">
      <c r="A8469">
        <v>3363</v>
      </c>
      <c r="B8469" s="1">
        <v>45761</v>
      </c>
      <c r="C8469" t="s">
        <v>24</v>
      </c>
      <c r="D8469" s="2">
        <v>0</v>
      </c>
      <c r="E8469" s="2">
        <v>5808.52</v>
      </c>
      <c r="F8469" t="s">
        <v>13</v>
      </c>
      <c r="G8469" t="s">
        <v>9</v>
      </c>
    </row>
    <row r="8470" spans="1:7" x14ac:dyDescent="0.35">
      <c r="A8470">
        <v>3364</v>
      </c>
      <c r="B8470" s="1">
        <v>45761</v>
      </c>
      <c r="C8470" t="s">
        <v>24</v>
      </c>
      <c r="D8470" s="2">
        <v>256.52</v>
      </c>
      <c r="E8470" s="2">
        <v>0</v>
      </c>
      <c r="F8470" t="s">
        <v>8</v>
      </c>
      <c r="G8470" t="s">
        <v>9</v>
      </c>
    </row>
    <row r="8471" spans="1:7" x14ac:dyDescent="0.35">
      <c r="A8471">
        <v>3364</v>
      </c>
      <c r="B8471" s="1">
        <v>45761</v>
      </c>
      <c r="C8471" t="s">
        <v>24</v>
      </c>
      <c r="D8471" s="2">
        <v>0</v>
      </c>
      <c r="E8471" s="2">
        <v>256.52</v>
      </c>
      <c r="F8471" t="s">
        <v>13</v>
      </c>
      <c r="G8471" t="s">
        <v>9</v>
      </c>
    </row>
    <row r="8472" spans="1:7" x14ac:dyDescent="0.35">
      <c r="A8472">
        <v>3365</v>
      </c>
      <c r="B8472" s="1">
        <v>45761</v>
      </c>
      <c r="C8472" t="s">
        <v>25</v>
      </c>
      <c r="D8472" s="2">
        <v>952.02</v>
      </c>
      <c r="E8472" s="2">
        <v>0</v>
      </c>
      <c r="F8472" t="s">
        <v>26</v>
      </c>
      <c r="G8472" t="s">
        <v>20</v>
      </c>
    </row>
    <row r="8473" spans="1:7" x14ac:dyDescent="0.35">
      <c r="A8473">
        <v>3365</v>
      </c>
      <c r="B8473" s="1">
        <v>45761</v>
      </c>
      <c r="C8473" t="s">
        <v>25</v>
      </c>
      <c r="D8473" s="2">
        <v>71.400000000000006</v>
      </c>
      <c r="E8473" s="2">
        <v>0</v>
      </c>
      <c r="F8473" t="s">
        <v>27</v>
      </c>
      <c r="G8473" t="s">
        <v>9</v>
      </c>
    </row>
    <row r="8474" spans="1:7" x14ac:dyDescent="0.35">
      <c r="A8474">
        <v>3365</v>
      </c>
      <c r="B8474" s="1">
        <v>45761</v>
      </c>
      <c r="C8474" t="s">
        <v>25</v>
      </c>
      <c r="D8474" s="2">
        <v>0</v>
      </c>
      <c r="E8474" s="2">
        <v>1023.42</v>
      </c>
      <c r="F8474" t="s">
        <v>28</v>
      </c>
      <c r="G8474" t="s">
        <v>17</v>
      </c>
    </row>
    <row r="8475" spans="1:7" x14ac:dyDescent="0.35">
      <c r="A8475">
        <v>3366</v>
      </c>
      <c r="B8475" s="1">
        <v>45761</v>
      </c>
      <c r="C8475" t="s">
        <v>25</v>
      </c>
      <c r="D8475" s="2">
        <v>2329.52</v>
      </c>
      <c r="E8475" s="2">
        <v>0</v>
      </c>
      <c r="F8475" t="s">
        <v>26</v>
      </c>
      <c r="G8475" t="s">
        <v>20</v>
      </c>
    </row>
    <row r="8476" spans="1:7" x14ac:dyDescent="0.35">
      <c r="A8476">
        <v>3366</v>
      </c>
      <c r="B8476" s="1">
        <v>45761</v>
      </c>
      <c r="C8476" t="s">
        <v>25</v>
      </c>
      <c r="D8476" s="2">
        <v>174.71</v>
      </c>
      <c r="E8476" s="2">
        <v>0</v>
      </c>
      <c r="F8476" t="s">
        <v>27</v>
      </c>
      <c r="G8476" t="s">
        <v>9</v>
      </c>
    </row>
    <row r="8477" spans="1:7" x14ac:dyDescent="0.35">
      <c r="A8477">
        <v>3366</v>
      </c>
      <c r="B8477" s="1">
        <v>45761</v>
      </c>
      <c r="C8477" t="s">
        <v>25</v>
      </c>
      <c r="D8477" s="2">
        <v>0</v>
      </c>
      <c r="E8477" s="2">
        <v>2504.23</v>
      </c>
      <c r="F8477" t="s">
        <v>28</v>
      </c>
      <c r="G8477" t="s">
        <v>17</v>
      </c>
    </row>
    <row r="8478" spans="1:7" x14ac:dyDescent="0.35">
      <c r="A8478">
        <v>3367</v>
      </c>
      <c r="B8478" s="1">
        <v>45761</v>
      </c>
      <c r="C8478" t="s">
        <v>25</v>
      </c>
      <c r="D8478" s="2">
        <v>2030.15</v>
      </c>
      <c r="E8478" s="2">
        <v>0</v>
      </c>
      <c r="F8478" t="s">
        <v>26</v>
      </c>
      <c r="G8478" t="s">
        <v>20</v>
      </c>
    </row>
    <row r="8479" spans="1:7" x14ac:dyDescent="0.35">
      <c r="A8479">
        <v>3367</v>
      </c>
      <c r="B8479" s="1">
        <v>45761</v>
      </c>
      <c r="C8479" t="s">
        <v>25</v>
      </c>
      <c r="D8479" s="2">
        <v>152.26</v>
      </c>
      <c r="E8479" s="2">
        <v>0</v>
      </c>
      <c r="F8479" t="s">
        <v>27</v>
      </c>
      <c r="G8479" t="s">
        <v>9</v>
      </c>
    </row>
    <row r="8480" spans="1:7" x14ac:dyDescent="0.35">
      <c r="A8480">
        <v>3367</v>
      </c>
      <c r="B8480" s="1">
        <v>45761</v>
      </c>
      <c r="C8480" t="s">
        <v>25</v>
      </c>
      <c r="D8480" s="2">
        <v>0</v>
      </c>
      <c r="E8480" s="2">
        <v>2182.41</v>
      </c>
      <c r="F8480" t="s">
        <v>28</v>
      </c>
      <c r="G8480" t="s">
        <v>17</v>
      </c>
    </row>
    <row r="8481" spans="1:7" x14ac:dyDescent="0.35">
      <c r="A8481">
        <v>3368</v>
      </c>
      <c r="B8481" s="1">
        <v>45761</v>
      </c>
      <c r="C8481" t="s">
        <v>25</v>
      </c>
      <c r="D8481" s="2">
        <v>187.44</v>
      </c>
      <c r="E8481" s="2">
        <v>0</v>
      </c>
      <c r="F8481" t="s">
        <v>26</v>
      </c>
      <c r="G8481" t="s">
        <v>20</v>
      </c>
    </row>
    <row r="8482" spans="1:7" x14ac:dyDescent="0.35">
      <c r="A8482">
        <v>3368</v>
      </c>
      <c r="B8482" s="1">
        <v>45761</v>
      </c>
      <c r="C8482" t="s">
        <v>25</v>
      </c>
      <c r="D8482" s="2">
        <v>14.06</v>
      </c>
      <c r="E8482" s="2">
        <v>0</v>
      </c>
      <c r="F8482" t="s">
        <v>27</v>
      </c>
      <c r="G8482" t="s">
        <v>9</v>
      </c>
    </row>
    <row r="8483" spans="1:7" x14ac:dyDescent="0.35">
      <c r="A8483">
        <v>3368</v>
      </c>
      <c r="B8483" s="1">
        <v>45761</v>
      </c>
      <c r="C8483" t="s">
        <v>25</v>
      </c>
      <c r="D8483" s="2">
        <v>0</v>
      </c>
      <c r="E8483" s="2">
        <v>201.5</v>
      </c>
      <c r="F8483" t="s">
        <v>28</v>
      </c>
      <c r="G8483" t="s">
        <v>17</v>
      </c>
    </row>
    <row r="8484" spans="1:7" x14ac:dyDescent="0.35">
      <c r="A8484">
        <v>3369</v>
      </c>
      <c r="B8484" s="1">
        <v>45761</v>
      </c>
      <c r="C8484" t="s">
        <v>25</v>
      </c>
      <c r="D8484" s="2">
        <v>257.04000000000002</v>
      </c>
      <c r="E8484" s="2">
        <v>0</v>
      </c>
      <c r="F8484" t="s">
        <v>26</v>
      </c>
      <c r="G8484" t="s">
        <v>20</v>
      </c>
    </row>
    <row r="8485" spans="1:7" x14ac:dyDescent="0.35">
      <c r="A8485">
        <v>3369</v>
      </c>
      <c r="B8485" s="1">
        <v>45761</v>
      </c>
      <c r="C8485" t="s">
        <v>25</v>
      </c>
      <c r="D8485" s="2">
        <v>19.28</v>
      </c>
      <c r="E8485" s="2">
        <v>0</v>
      </c>
      <c r="F8485" t="s">
        <v>27</v>
      </c>
      <c r="G8485" t="s">
        <v>9</v>
      </c>
    </row>
    <row r="8486" spans="1:7" x14ac:dyDescent="0.35">
      <c r="A8486">
        <v>3369</v>
      </c>
      <c r="B8486" s="1">
        <v>45761</v>
      </c>
      <c r="C8486" t="s">
        <v>25</v>
      </c>
      <c r="D8486" s="2">
        <v>0</v>
      </c>
      <c r="E8486" s="2">
        <v>276.32</v>
      </c>
      <c r="F8486" t="s">
        <v>28</v>
      </c>
      <c r="G8486" t="s">
        <v>17</v>
      </c>
    </row>
    <row r="8487" spans="1:7" x14ac:dyDescent="0.35">
      <c r="A8487">
        <v>3370</v>
      </c>
      <c r="B8487" s="1">
        <v>45761</v>
      </c>
      <c r="C8487" t="s">
        <v>25</v>
      </c>
      <c r="D8487" s="2">
        <v>512</v>
      </c>
      <c r="E8487" s="2">
        <v>0</v>
      </c>
      <c r="F8487" t="s">
        <v>26</v>
      </c>
      <c r="G8487" t="s">
        <v>20</v>
      </c>
    </row>
    <row r="8488" spans="1:7" x14ac:dyDescent="0.35">
      <c r="A8488">
        <v>3370</v>
      </c>
      <c r="B8488" s="1">
        <v>45761</v>
      </c>
      <c r="C8488" t="s">
        <v>25</v>
      </c>
      <c r="D8488" s="2">
        <v>38.4</v>
      </c>
      <c r="E8488" s="2">
        <v>0</v>
      </c>
      <c r="F8488" t="s">
        <v>27</v>
      </c>
      <c r="G8488" t="s">
        <v>9</v>
      </c>
    </row>
    <row r="8489" spans="1:7" x14ac:dyDescent="0.35">
      <c r="A8489">
        <v>3370</v>
      </c>
      <c r="B8489" s="1">
        <v>45761</v>
      </c>
      <c r="C8489" t="s">
        <v>25</v>
      </c>
      <c r="D8489" s="2">
        <v>0</v>
      </c>
      <c r="E8489" s="2">
        <v>550.4</v>
      </c>
      <c r="F8489" t="s">
        <v>28</v>
      </c>
      <c r="G8489" t="s">
        <v>17</v>
      </c>
    </row>
    <row r="8490" spans="1:7" x14ac:dyDescent="0.35">
      <c r="A8490">
        <v>3371</v>
      </c>
      <c r="B8490" s="1">
        <v>45761</v>
      </c>
      <c r="C8490" t="s">
        <v>25</v>
      </c>
      <c r="D8490" s="2">
        <v>4476.71</v>
      </c>
      <c r="E8490" s="2">
        <v>0</v>
      </c>
      <c r="F8490" t="s">
        <v>26</v>
      </c>
      <c r="G8490" t="s">
        <v>20</v>
      </c>
    </row>
    <row r="8491" spans="1:7" x14ac:dyDescent="0.35">
      <c r="A8491">
        <v>3371</v>
      </c>
      <c r="B8491" s="1">
        <v>45761</v>
      </c>
      <c r="C8491" t="s">
        <v>25</v>
      </c>
      <c r="D8491" s="2">
        <v>335.75</v>
      </c>
      <c r="E8491" s="2">
        <v>0</v>
      </c>
      <c r="F8491" t="s">
        <v>27</v>
      </c>
      <c r="G8491" t="s">
        <v>9</v>
      </c>
    </row>
    <row r="8492" spans="1:7" x14ac:dyDescent="0.35">
      <c r="A8492">
        <v>3371</v>
      </c>
      <c r="B8492" s="1">
        <v>45761</v>
      </c>
      <c r="C8492" t="s">
        <v>25</v>
      </c>
      <c r="D8492" s="2">
        <v>0</v>
      </c>
      <c r="E8492" s="2">
        <v>4812.46</v>
      </c>
      <c r="F8492" t="s">
        <v>28</v>
      </c>
      <c r="G8492" t="s">
        <v>17</v>
      </c>
    </row>
    <row r="8493" spans="1:7" x14ac:dyDescent="0.35">
      <c r="A8493">
        <v>3372</v>
      </c>
      <c r="B8493" s="1">
        <v>45761</v>
      </c>
      <c r="C8493" t="s">
        <v>25</v>
      </c>
      <c r="D8493" s="2">
        <v>3282.76</v>
      </c>
      <c r="E8493" s="2">
        <v>0</v>
      </c>
      <c r="F8493" t="s">
        <v>26</v>
      </c>
      <c r="G8493" t="s">
        <v>20</v>
      </c>
    </row>
    <row r="8494" spans="1:7" x14ac:dyDescent="0.35">
      <c r="A8494">
        <v>3372</v>
      </c>
      <c r="B8494" s="1">
        <v>45761</v>
      </c>
      <c r="C8494" t="s">
        <v>25</v>
      </c>
      <c r="D8494" s="2">
        <v>246.21</v>
      </c>
      <c r="E8494" s="2">
        <v>0</v>
      </c>
      <c r="F8494" t="s">
        <v>27</v>
      </c>
      <c r="G8494" t="s">
        <v>9</v>
      </c>
    </row>
    <row r="8495" spans="1:7" x14ac:dyDescent="0.35">
      <c r="A8495">
        <v>3372</v>
      </c>
      <c r="B8495" s="1">
        <v>45761</v>
      </c>
      <c r="C8495" t="s">
        <v>25</v>
      </c>
      <c r="D8495" s="2">
        <v>0</v>
      </c>
      <c r="E8495" s="2">
        <v>3528.97</v>
      </c>
      <c r="F8495" t="s">
        <v>28</v>
      </c>
      <c r="G8495" t="s">
        <v>17</v>
      </c>
    </row>
    <row r="8496" spans="1:7" x14ac:dyDescent="0.35">
      <c r="A8496">
        <v>3373</v>
      </c>
      <c r="B8496" s="1">
        <v>45761</v>
      </c>
      <c r="C8496" t="s">
        <v>29</v>
      </c>
      <c r="D8496" s="2">
        <v>3528.97</v>
      </c>
      <c r="E8496" s="2">
        <v>0</v>
      </c>
      <c r="F8496" t="s">
        <v>28</v>
      </c>
      <c r="G8496" t="s">
        <v>17</v>
      </c>
    </row>
    <row r="8497" spans="1:7" x14ac:dyDescent="0.35">
      <c r="A8497">
        <v>3373</v>
      </c>
      <c r="B8497" s="1">
        <v>45761</v>
      </c>
      <c r="C8497" t="s">
        <v>29</v>
      </c>
      <c r="D8497" s="2">
        <v>0</v>
      </c>
      <c r="E8497" s="2">
        <v>3528.97</v>
      </c>
      <c r="F8497" t="s">
        <v>8</v>
      </c>
      <c r="G8497" t="s">
        <v>9</v>
      </c>
    </row>
    <row r="8498" spans="1:7" x14ac:dyDescent="0.35">
      <c r="A8498">
        <v>3374</v>
      </c>
      <c r="B8498" s="1">
        <v>45761</v>
      </c>
      <c r="C8498" t="s">
        <v>29</v>
      </c>
      <c r="D8498" s="2">
        <v>3528.97</v>
      </c>
      <c r="E8498" s="2">
        <v>0</v>
      </c>
      <c r="F8498" t="s">
        <v>28</v>
      </c>
      <c r="G8498" t="s">
        <v>17</v>
      </c>
    </row>
    <row r="8499" spans="1:7" x14ac:dyDescent="0.35">
      <c r="A8499">
        <v>3374</v>
      </c>
      <c r="B8499" s="1">
        <v>45761</v>
      </c>
      <c r="C8499" t="s">
        <v>29</v>
      </c>
      <c r="D8499" s="2">
        <v>0</v>
      </c>
      <c r="E8499" s="2">
        <v>3528.97</v>
      </c>
      <c r="F8499" t="s">
        <v>8</v>
      </c>
      <c r="G8499" t="s">
        <v>9</v>
      </c>
    </row>
    <row r="8500" spans="1:7" x14ac:dyDescent="0.35">
      <c r="A8500">
        <v>3375</v>
      </c>
      <c r="B8500" s="1">
        <v>45762</v>
      </c>
      <c r="C8500" t="s">
        <v>12</v>
      </c>
      <c r="D8500" s="2">
        <v>447.69</v>
      </c>
      <c r="E8500" s="2">
        <v>0</v>
      </c>
      <c r="F8500" t="s">
        <v>13</v>
      </c>
      <c r="G8500" t="s">
        <v>9</v>
      </c>
    </row>
    <row r="8501" spans="1:7" x14ac:dyDescent="0.35">
      <c r="A8501">
        <v>3375</v>
      </c>
      <c r="B8501" s="1">
        <v>45762</v>
      </c>
      <c r="C8501" t="s">
        <v>12</v>
      </c>
      <c r="D8501" s="2">
        <v>0</v>
      </c>
      <c r="E8501" s="2">
        <v>416.46</v>
      </c>
      <c r="F8501" t="s">
        <v>14</v>
      </c>
      <c r="G8501" t="s">
        <v>15</v>
      </c>
    </row>
    <row r="8502" spans="1:7" x14ac:dyDescent="0.35">
      <c r="A8502">
        <v>3375</v>
      </c>
      <c r="B8502" s="1">
        <v>45762</v>
      </c>
      <c r="C8502" t="s">
        <v>12</v>
      </c>
      <c r="D8502" s="2">
        <v>0</v>
      </c>
      <c r="E8502" s="2">
        <v>31.23</v>
      </c>
      <c r="F8502" t="s">
        <v>16</v>
      </c>
      <c r="G8502" t="s">
        <v>17</v>
      </c>
    </row>
    <row r="8503" spans="1:7" x14ac:dyDescent="0.35">
      <c r="A8503">
        <v>3376</v>
      </c>
      <c r="B8503" s="1">
        <v>45762</v>
      </c>
      <c r="C8503" t="s">
        <v>24</v>
      </c>
      <c r="D8503" s="2">
        <v>2603.7800000000002</v>
      </c>
      <c r="E8503" s="2">
        <v>0</v>
      </c>
      <c r="F8503" t="s">
        <v>8</v>
      </c>
      <c r="G8503" t="s">
        <v>9</v>
      </c>
    </row>
    <row r="8504" spans="1:7" x14ac:dyDescent="0.35">
      <c r="A8504">
        <v>3376</v>
      </c>
      <c r="B8504" s="1">
        <v>45762</v>
      </c>
      <c r="C8504" t="s">
        <v>24</v>
      </c>
      <c r="D8504" s="2">
        <v>0</v>
      </c>
      <c r="E8504" s="2">
        <v>2603.7800000000002</v>
      </c>
      <c r="F8504" t="s">
        <v>13</v>
      </c>
      <c r="G8504" t="s">
        <v>9</v>
      </c>
    </row>
    <row r="8505" spans="1:7" x14ac:dyDescent="0.35">
      <c r="A8505">
        <v>3377</v>
      </c>
      <c r="B8505" s="1">
        <v>45762</v>
      </c>
      <c r="C8505" t="s">
        <v>24</v>
      </c>
      <c r="D8505" s="2">
        <v>59.07</v>
      </c>
      <c r="E8505" s="2">
        <v>0</v>
      </c>
      <c r="F8505" t="s">
        <v>8</v>
      </c>
      <c r="G8505" t="s">
        <v>9</v>
      </c>
    </row>
    <row r="8506" spans="1:7" x14ac:dyDescent="0.35">
      <c r="A8506">
        <v>3377</v>
      </c>
      <c r="B8506" s="1">
        <v>45762</v>
      </c>
      <c r="C8506" t="s">
        <v>24</v>
      </c>
      <c r="D8506" s="2">
        <v>0</v>
      </c>
      <c r="E8506" s="2">
        <v>59.07</v>
      </c>
      <c r="F8506" t="s">
        <v>13</v>
      </c>
      <c r="G8506" t="s">
        <v>9</v>
      </c>
    </row>
    <row r="8507" spans="1:7" x14ac:dyDescent="0.35">
      <c r="A8507">
        <v>3378</v>
      </c>
      <c r="B8507" s="1">
        <v>45762</v>
      </c>
      <c r="C8507" t="s">
        <v>25</v>
      </c>
      <c r="D8507" s="2">
        <v>2451.5</v>
      </c>
      <c r="E8507" s="2">
        <v>0</v>
      </c>
      <c r="F8507" t="s">
        <v>26</v>
      </c>
      <c r="G8507" t="s">
        <v>20</v>
      </c>
    </row>
    <row r="8508" spans="1:7" x14ac:dyDescent="0.35">
      <c r="A8508">
        <v>3378</v>
      </c>
      <c r="B8508" s="1">
        <v>45762</v>
      </c>
      <c r="C8508" t="s">
        <v>25</v>
      </c>
      <c r="D8508" s="2">
        <v>183.86</v>
      </c>
      <c r="E8508" s="2">
        <v>0</v>
      </c>
      <c r="F8508" t="s">
        <v>27</v>
      </c>
      <c r="G8508" t="s">
        <v>9</v>
      </c>
    </row>
    <row r="8509" spans="1:7" x14ac:dyDescent="0.35">
      <c r="A8509">
        <v>3378</v>
      </c>
      <c r="B8509" s="1">
        <v>45762</v>
      </c>
      <c r="C8509" t="s">
        <v>25</v>
      </c>
      <c r="D8509" s="2">
        <v>0</v>
      </c>
      <c r="E8509" s="2">
        <v>2635.36</v>
      </c>
      <c r="F8509" t="s">
        <v>28</v>
      </c>
      <c r="G8509" t="s">
        <v>17</v>
      </c>
    </row>
    <row r="8510" spans="1:7" x14ac:dyDescent="0.35">
      <c r="A8510">
        <v>3379</v>
      </c>
      <c r="B8510" s="1">
        <v>45762</v>
      </c>
      <c r="C8510" t="s">
        <v>29</v>
      </c>
      <c r="D8510" s="2">
        <v>748.26</v>
      </c>
      <c r="E8510" s="2">
        <v>0</v>
      </c>
      <c r="F8510" t="s">
        <v>28</v>
      </c>
      <c r="G8510" t="s">
        <v>17</v>
      </c>
    </row>
    <row r="8511" spans="1:7" x14ac:dyDescent="0.35">
      <c r="A8511">
        <v>3379</v>
      </c>
      <c r="B8511" s="1">
        <v>45762</v>
      </c>
      <c r="C8511" t="s">
        <v>29</v>
      </c>
      <c r="D8511" s="2">
        <v>0</v>
      </c>
      <c r="E8511" s="2">
        <v>748.26</v>
      </c>
      <c r="F8511" t="s">
        <v>8</v>
      </c>
      <c r="G8511" t="s">
        <v>9</v>
      </c>
    </row>
    <row r="8512" spans="1:7" x14ac:dyDescent="0.35">
      <c r="A8512">
        <v>3380</v>
      </c>
      <c r="B8512" s="1">
        <v>45763</v>
      </c>
      <c r="C8512" t="s">
        <v>12</v>
      </c>
      <c r="D8512" s="2">
        <v>1995.85</v>
      </c>
      <c r="E8512" s="2">
        <v>0</v>
      </c>
      <c r="F8512" t="s">
        <v>13</v>
      </c>
      <c r="G8512" t="s">
        <v>9</v>
      </c>
    </row>
    <row r="8513" spans="1:7" x14ac:dyDescent="0.35">
      <c r="A8513">
        <v>3380</v>
      </c>
      <c r="B8513" s="1">
        <v>45763</v>
      </c>
      <c r="C8513" t="s">
        <v>12</v>
      </c>
      <c r="D8513" s="2">
        <v>0</v>
      </c>
      <c r="E8513" s="2">
        <v>1856.61</v>
      </c>
      <c r="F8513" t="s">
        <v>14</v>
      </c>
      <c r="G8513" t="s">
        <v>15</v>
      </c>
    </row>
    <row r="8514" spans="1:7" x14ac:dyDescent="0.35">
      <c r="A8514">
        <v>3380</v>
      </c>
      <c r="B8514" s="1">
        <v>45763</v>
      </c>
      <c r="C8514" t="s">
        <v>12</v>
      </c>
      <c r="D8514" s="2">
        <v>0</v>
      </c>
      <c r="E8514" s="2">
        <v>139.24</v>
      </c>
      <c r="F8514" t="s">
        <v>16</v>
      </c>
      <c r="G8514" t="s">
        <v>17</v>
      </c>
    </row>
    <row r="8515" spans="1:7" x14ac:dyDescent="0.35">
      <c r="A8515">
        <v>3381</v>
      </c>
      <c r="B8515" s="1">
        <v>45763</v>
      </c>
      <c r="C8515" t="s">
        <v>12</v>
      </c>
      <c r="D8515" s="2">
        <v>2055.06</v>
      </c>
      <c r="E8515" s="2">
        <v>0</v>
      </c>
      <c r="F8515" t="s">
        <v>13</v>
      </c>
      <c r="G8515" t="s">
        <v>9</v>
      </c>
    </row>
    <row r="8516" spans="1:7" x14ac:dyDescent="0.35">
      <c r="A8516">
        <v>3381</v>
      </c>
      <c r="B8516" s="1">
        <v>45763</v>
      </c>
      <c r="C8516" t="s">
        <v>12</v>
      </c>
      <c r="D8516" s="2">
        <v>0</v>
      </c>
      <c r="E8516" s="2">
        <v>1911.69</v>
      </c>
      <c r="F8516" t="s">
        <v>14</v>
      </c>
      <c r="G8516" t="s">
        <v>15</v>
      </c>
    </row>
    <row r="8517" spans="1:7" x14ac:dyDescent="0.35">
      <c r="A8517">
        <v>3381</v>
      </c>
      <c r="B8517" s="1">
        <v>45763</v>
      </c>
      <c r="C8517" t="s">
        <v>12</v>
      </c>
      <c r="D8517" s="2">
        <v>0</v>
      </c>
      <c r="E8517" s="2">
        <v>143.37</v>
      </c>
      <c r="F8517" t="s">
        <v>16</v>
      </c>
      <c r="G8517" t="s">
        <v>17</v>
      </c>
    </row>
    <row r="8518" spans="1:7" x14ac:dyDescent="0.35">
      <c r="A8518">
        <v>3382</v>
      </c>
      <c r="B8518" s="1">
        <v>45763</v>
      </c>
      <c r="C8518" t="s">
        <v>12</v>
      </c>
      <c r="D8518" s="2">
        <v>411.83</v>
      </c>
      <c r="E8518" s="2">
        <v>0</v>
      </c>
      <c r="F8518" t="s">
        <v>13</v>
      </c>
      <c r="G8518" t="s">
        <v>9</v>
      </c>
    </row>
    <row r="8519" spans="1:7" x14ac:dyDescent="0.35">
      <c r="A8519">
        <v>3382</v>
      </c>
      <c r="B8519" s="1">
        <v>45763</v>
      </c>
      <c r="C8519" t="s">
        <v>12</v>
      </c>
      <c r="D8519" s="2">
        <v>0</v>
      </c>
      <c r="E8519" s="2">
        <v>383.1</v>
      </c>
      <c r="F8519" t="s">
        <v>14</v>
      </c>
      <c r="G8519" t="s">
        <v>15</v>
      </c>
    </row>
    <row r="8520" spans="1:7" x14ac:dyDescent="0.35">
      <c r="A8520">
        <v>3382</v>
      </c>
      <c r="B8520" s="1">
        <v>45763</v>
      </c>
      <c r="C8520" t="s">
        <v>12</v>
      </c>
      <c r="D8520" s="2">
        <v>0</v>
      </c>
      <c r="E8520" s="2">
        <v>28.73</v>
      </c>
      <c r="F8520" t="s">
        <v>16</v>
      </c>
      <c r="G8520" t="s">
        <v>17</v>
      </c>
    </row>
    <row r="8521" spans="1:7" x14ac:dyDescent="0.35">
      <c r="A8521">
        <v>3383</v>
      </c>
      <c r="B8521" s="1">
        <v>45763</v>
      </c>
      <c r="C8521" t="s">
        <v>12</v>
      </c>
      <c r="D8521" s="2">
        <v>367.71</v>
      </c>
      <c r="E8521" s="2">
        <v>0</v>
      </c>
      <c r="F8521" t="s">
        <v>13</v>
      </c>
      <c r="G8521" t="s">
        <v>9</v>
      </c>
    </row>
    <row r="8522" spans="1:7" x14ac:dyDescent="0.35">
      <c r="A8522">
        <v>3383</v>
      </c>
      <c r="B8522" s="1">
        <v>45763</v>
      </c>
      <c r="C8522" t="s">
        <v>12</v>
      </c>
      <c r="D8522" s="2">
        <v>0</v>
      </c>
      <c r="E8522" s="2">
        <v>342.06</v>
      </c>
      <c r="F8522" t="s">
        <v>14</v>
      </c>
      <c r="G8522" t="s">
        <v>15</v>
      </c>
    </row>
    <row r="8523" spans="1:7" x14ac:dyDescent="0.35">
      <c r="A8523">
        <v>3383</v>
      </c>
      <c r="B8523" s="1">
        <v>45763</v>
      </c>
      <c r="C8523" t="s">
        <v>12</v>
      </c>
      <c r="D8523" s="2">
        <v>0</v>
      </c>
      <c r="E8523" s="2">
        <v>25.65</v>
      </c>
      <c r="F8523" t="s">
        <v>16</v>
      </c>
      <c r="G8523" t="s">
        <v>17</v>
      </c>
    </row>
    <row r="8524" spans="1:7" x14ac:dyDescent="0.35">
      <c r="A8524">
        <v>3384</v>
      </c>
      <c r="B8524" s="1">
        <v>45763</v>
      </c>
      <c r="C8524" t="s">
        <v>12</v>
      </c>
      <c r="D8524" s="2">
        <v>3413.79</v>
      </c>
      <c r="E8524" s="2">
        <v>0</v>
      </c>
      <c r="F8524" t="s">
        <v>13</v>
      </c>
      <c r="G8524" t="s">
        <v>9</v>
      </c>
    </row>
    <row r="8525" spans="1:7" x14ac:dyDescent="0.35">
      <c r="A8525">
        <v>3384</v>
      </c>
      <c r="B8525" s="1">
        <v>45763</v>
      </c>
      <c r="C8525" t="s">
        <v>12</v>
      </c>
      <c r="D8525" s="2">
        <v>0</v>
      </c>
      <c r="E8525" s="2">
        <v>3175.63</v>
      </c>
      <c r="F8525" t="s">
        <v>14</v>
      </c>
      <c r="G8525" t="s">
        <v>15</v>
      </c>
    </row>
    <row r="8526" spans="1:7" x14ac:dyDescent="0.35">
      <c r="A8526">
        <v>3384</v>
      </c>
      <c r="B8526" s="1">
        <v>45763</v>
      </c>
      <c r="C8526" t="s">
        <v>12</v>
      </c>
      <c r="D8526" s="2">
        <v>0</v>
      </c>
      <c r="E8526" s="2">
        <v>238.16</v>
      </c>
      <c r="F8526" t="s">
        <v>16</v>
      </c>
      <c r="G8526" t="s">
        <v>17</v>
      </c>
    </row>
    <row r="8527" spans="1:7" x14ac:dyDescent="0.35">
      <c r="A8527">
        <v>3385</v>
      </c>
      <c r="B8527" s="1">
        <v>45763</v>
      </c>
      <c r="C8527" t="s">
        <v>12</v>
      </c>
      <c r="D8527" s="2">
        <v>1733.94</v>
      </c>
      <c r="E8527" s="2">
        <v>0</v>
      </c>
      <c r="F8527" t="s">
        <v>13</v>
      </c>
      <c r="G8527" t="s">
        <v>9</v>
      </c>
    </row>
    <row r="8528" spans="1:7" x14ac:dyDescent="0.35">
      <c r="A8528">
        <v>3385</v>
      </c>
      <c r="B8528" s="1">
        <v>45763</v>
      </c>
      <c r="C8528" t="s">
        <v>12</v>
      </c>
      <c r="D8528" s="2">
        <v>0</v>
      </c>
      <c r="E8528" s="2">
        <v>1612.97</v>
      </c>
      <c r="F8528" t="s">
        <v>14</v>
      </c>
      <c r="G8528" t="s">
        <v>15</v>
      </c>
    </row>
    <row r="8529" spans="1:7" x14ac:dyDescent="0.35">
      <c r="A8529">
        <v>3385</v>
      </c>
      <c r="B8529" s="1">
        <v>45763</v>
      </c>
      <c r="C8529" t="s">
        <v>12</v>
      </c>
      <c r="D8529" s="2">
        <v>0</v>
      </c>
      <c r="E8529" s="2">
        <v>120.97</v>
      </c>
      <c r="F8529" t="s">
        <v>16</v>
      </c>
      <c r="G8529" t="s">
        <v>17</v>
      </c>
    </row>
    <row r="8530" spans="1:7" x14ac:dyDescent="0.35">
      <c r="A8530">
        <v>3386</v>
      </c>
      <c r="B8530" s="1">
        <v>45763</v>
      </c>
      <c r="C8530" t="s">
        <v>24</v>
      </c>
      <c r="D8530" s="2">
        <v>2510.3000000000002</v>
      </c>
      <c r="E8530" s="2">
        <v>0</v>
      </c>
      <c r="F8530" t="s">
        <v>8</v>
      </c>
      <c r="G8530" t="s">
        <v>9</v>
      </c>
    </row>
    <row r="8531" spans="1:7" x14ac:dyDescent="0.35">
      <c r="A8531">
        <v>3386</v>
      </c>
      <c r="B8531" s="1">
        <v>45763</v>
      </c>
      <c r="C8531" t="s">
        <v>24</v>
      </c>
      <c r="D8531" s="2">
        <v>0</v>
      </c>
      <c r="E8531" s="2">
        <v>2510.3000000000002</v>
      </c>
      <c r="F8531" t="s">
        <v>13</v>
      </c>
      <c r="G8531" t="s">
        <v>9</v>
      </c>
    </row>
    <row r="8532" spans="1:7" x14ac:dyDescent="0.35">
      <c r="A8532">
        <v>3387</v>
      </c>
      <c r="B8532" s="1">
        <v>45763</v>
      </c>
      <c r="C8532" t="s">
        <v>24</v>
      </c>
      <c r="D8532" s="2">
        <v>152.16</v>
      </c>
      <c r="E8532" s="2">
        <v>0</v>
      </c>
      <c r="F8532" t="s">
        <v>8</v>
      </c>
      <c r="G8532" t="s">
        <v>9</v>
      </c>
    </row>
    <row r="8533" spans="1:7" x14ac:dyDescent="0.35">
      <c r="A8533">
        <v>3387</v>
      </c>
      <c r="B8533" s="1">
        <v>45763</v>
      </c>
      <c r="C8533" t="s">
        <v>24</v>
      </c>
      <c r="D8533" s="2">
        <v>0</v>
      </c>
      <c r="E8533" s="2">
        <v>152.16</v>
      </c>
      <c r="F8533" t="s">
        <v>13</v>
      </c>
      <c r="G8533" t="s">
        <v>9</v>
      </c>
    </row>
    <row r="8534" spans="1:7" x14ac:dyDescent="0.35">
      <c r="A8534">
        <v>3388</v>
      </c>
      <c r="B8534" s="1">
        <v>45763</v>
      </c>
      <c r="C8534" t="s">
        <v>24</v>
      </c>
      <c r="D8534" s="2">
        <v>803.65</v>
      </c>
      <c r="E8534" s="2">
        <v>0</v>
      </c>
      <c r="F8534" t="s">
        <v>8</v>
      </c>
      <c r="G8534" t="s">
        <v>9</v>
      </c>
    </row>
    <row r="8535" spans="1:7" x14ac:dyDescent="0.35">
      <c r="A8535">
        <v>3388</v>
      </c>
      <c r="B8535" s="1">
        <v>45763</v>
      </c>
      <c r="C8535" t="s">
        <v>24</v>
      </c>
      <c r="D8535" s="2">
        <v>0</v>
      </c>
      <c r="E8535" s="2">
        <v>803.65</v>
      </c>
      <c r="F8535" t="s">
        <v>13</v>
      </c>
      <c r="G8535" t="s">
        <v>9</v>
      </c>
    </row>
    <row r="8536" spans="1:7" x14ac:dyDescent="0.35">
      <c r="A8536">
        <v>3389</v>
      </c>
      <c r="B8536" s="1">
        <v>45763</v>
      </c>
      <c r="C8536" t="s">
        <v>24</v>
      </c>
      <c r="D8536" s="2">
        <v>938.13</v>
      </c>
      <c r="E8536" s="2">
        <v>0</v>
      </c>
      <c r="F8536" t="s">
        <v>8</v>
      </c>
      <c r="G8536" t="s">
        <v>9</v>
      </c>
    </row>
    <row r="8537" spans="1:7" x14ac:dyDescent="0.35">
      <c r="A8537">
        <v>3389</v>
      </c>
      <c r="B8537" s="1">
        <v>45763</v>
      </c>
      <c r="C8537" t="s">
        <v>24</v>
      </c>
      <c r="D8537" s="2">
        <v>0</v>
      </c>
      <c r="E8537" s="2">
        <v>938.13</v>
      </c>
      <c r="F8537" t="s">
        <v>13</v>
      </c>
      <c r="G8537" t="s">
        <v>9</v>
      </c>
    </row>
    <row r="8538" spans="1:7" x14ac:dyDescent="0.35">
      <c r="A8538">
        <v>3390</v>
      </c>
      <c r="B8538" s="1">
        <v>45763</v>
      </c>
      <c r="C8538" t="s">
        <v>24</v>
      </c>
      <c r="D8538" s="2">
        <v>2270.08</v>
      </c>
      <c r="E8538" s="2">
        <v>0</v>
      </c>
      <c r="F8538" t="s">
        <v>8</v>
      </c>
      <c r="G8538" t="s">
        <v>9</v>
      </c>
    </row>
    <row r="8539" spans="1:7" x14ac:dyDescent="0.35">
      <c r="A8539">
        <v>3390</v>
      </c>
      <c r="B8539" s="1">
        <v>45763</v>
      </c>
      <c r="C8539" t="s">
        <v>24</v>
      </c>
      <c r="D8539" s="2">
        <v>0</v>
      </c>
      <c r="E8539" s="2">
        <v>2270.08</v>
      </c>
      <c r="F8539" t="s">
        <v>13</v>
      </c>
      <c r="G8539" t="s">
        <v>9</v>
      </c>
    </row>
    <row r="8540" spans="1:7" x14ac:dyDescent="0.35">
      <c r="A8540">
        <v>3391</v>
      </c>
      <c r="B8540" s="1">
        <v>45763</v>
      </c>
      <c r="C8540" t="s">
        <v>24</v>
      </c>
      <c r="D8540" s="2">
        <v>3426.34</v>
      </c>
      <c r="E8540" s="2">
        <v>0</v>
      </c>
      <c r="F8540" t="s">
        <v>8</v>
      </c>
      <c r="G8540" t="s">
        <v>9</v>
      </c>
    </row>
    <row r="8541" spans="1:7" x14ac:dyDescent="0.35">
      <c r="A8541">
        <v>3391</v>
      </c>
      <c r="B8541" s="1">
        <v>45763</v>
      </c>
      <c r="C8541" t="s">
        <v>24</v>
      </c>
      <c r="D8541" s="2">
        <v>0</v>
      </c>
      <c r="E8541" s="2">
        <v>3426.34</v>
      </c>
      <c r="F8541" t="s">
        <v>13</v>
      </c>
      <c r="G8541" t="s">
        <v>9</v>
      </c>
    </row>
    <row r="8542" spans="1:7" x14ac:dyDescent="0.35">
      <c r="A8542">
        <v>3392</v>
      </c>
      <c r="B8542" s="1">
        <v>45763</v>
      </c>
      <c r="C8542" t="s">
        <v>24</v>
      </c>
      <c r="D8542" s="2">
        <v>4337.74</v>
      </c>
      <c r="E8542" s="2">
        <v>0</v>
      </c>
      <c r="F8542" t="s">
        <v>8</v>
      </c>
      <c r="G8542" t="s">
        <v>9</v>
      </c>
    </row>
    <row r="8543" spans="1:7" x14ac:dyDescent="0.35">
      <c r="A8543">
        <v>3392</v>
      </c>
      <c r="B8543" s="1">
        <v>45763</v>
      </c>
      <c r="C8543" t="s">
        <v>24</v>
      </c>
      <c r="D8543" s="2">
        <v>0</v>
      </c>
      <c r="E8543" s="2">
        <v>4337.74</v>
      </c>
      <c r="F8543" t="s">
        <v>13</v>
      </c>
      <c r="G8543" t="s">
        <v>9</v>
      </c>
    </row>
    <row r="8544" spans="1:7" x14ac:dyDescent="0.35">
      <c r="A8544">
        <v>3393</v>
      </c>
      <c r="B8544" s="1">
        <v>45763</v>
      </c>
      <c r="C8544" t="s">
        <v>25</v>
      </c>
      <c r="D8544" s="2">
        <v>2714.58</v>
      </c>
      <c r="E8544" s="2">
        <v>0</v>
      </c>
      <c r="F8544" t="s">
        <v>26</v>
      </c>
      <c r="G8544" t="s">
        <v>20</v>
      </c>
    </row>
    <row r="8545" spans="1:7" x14ac:dyDescent="0.35">
      <c r="A8545">
        <v>3393</v>
      </c>
      <c r="B8545" s="1">
        <v>45763</v>
      </c>
      <c r="C8545" t="s">
        <v>25</v>
      </c>
      <c r="D8545" s="2">
        <v>203.59</v>
      </c>
      <c r="E8545" s="2">
        <v>0</v>
      </c>
      <c r="F8545" t="s">
        <v>27</v>
      </c>
      <c r="G8545" t="s">
        <v>9</v>
      </c>
    </row>
    <row r="8546" spans="1:7" x14ac:dyDescent="0.35">
      <c r="A8546">
        <v>3393</v>
      </c>
      <c r="B8546" s="1">
        <v>45763</v>
      </c>
      <c r="C8546" t="s">
        <v>25</v>
      </c>
      <c r="D8546" s="2">
        <v>0</v>
      </c>
      <c r="E8546" s="2">
        <v>2918.17</v>
      </c>
      <c r="F8546" t="s">
        <v>28</v>
      </c>
      <c r="G8546" t="s">
        <v>17</v>
      </c>
    </row>
    <row r="8547" spans="1:7" x14ac:dyDescent="0.35">
      <c r="A8547">
        <v>3394</v>
      </c>
      <c r="B8547" s="1">
        <v>45763</v>
      </c>
      <c r="C8547" t="s">
        <v>29</v>
      </c>
      <c r="D8547" s="2">
        <v>2918.17</v>
      </c>
      <c r="E8547" s="2">
        <v>0</v>
      </c>
      <c r="F8547" t="s">
        <v>28</v>
      </c>
      <c r="G8547" t="s">
        <v>17</v>
      </c>
    </row>
    <row r="8548" spans="1:7" x14ac:dyDescent="0.35">
      <c r="A8548">
        <v>3394</v>
      </c>
      <c r="B8548" s="1">
        <v>45763</v>
      </c>
      <c r="C8548" t="s">
        <v>29</v>
      </c>
      <c r="D8548" s="2">
        <v>0</v>
      </c>
      <c r="E8548" s="2">
        <v>2918.17</v>
      </c>
      <c r="F8548" t="s">
        <v>8</v>
      </c>
      <c r="G8548" t="s">
        <v>9</v>
      </c>
    </row>
    <row r="8549" spans="1:7" x14ac:dyDescent="0.35">
      <c r="A8549">
        <v>3395</v>
      </c>
      <c r="B8549" s="1">
        <v>45763</v>
      </c>
      <c r="C8549" t="s">
        <v>29</v>
      </c>
      <c r="D8549" s="2">
        <v>1023.42</v>
      </c>
      <c r="E8549" s="2">
        <v>0</v>
      </c>
      <c r="F8549" t="s">
        <v>28</v>
      </c>
      <c r="G8549" t="s">
        <v>17</v>
      </c>
    </row>
    <row r="8550" spans="1:7" x14ac:dyDescent="0.35">
      <c r="A8550">
        <v>3395</v>
      </c>
      <c r="B8550" s="1">
        <v>45763</v>
      </c>
      <c r="C8550" t="s">
        <v>29</v>
      </c>
      <c r="D8550" s="2">
        <v>0</v>
      </c>
      <c r="E8550" s="2">
        <v>1023.42</v>
      </c>
      <c r="F8550" t="s">
        <v>8</v>
      </c>
      <c r="G8550" t="s">
        <v>9</v>
      </c>
    </row>
    <row r="8551" spans="1:7" x14ac:dyDescent="0.35">
      <c r="A8551">
        <v>3396</v>
      </c>
      <c r="B8551" s="1">
        <v>45764</v>
      </c>
      <c r="C8551" t="s">
        <v>12</v>
      </c>
      <c r="D8551" s="2">
        <v>1870.47</v>
      </c>
      <c r="E8551" s="2">
        <v>0</v>
      </c>
      <c r="F8551" t="s">
        <v>13</v>
      </c>
      <c r="G8551" t="s">
        <v>9</v>
      </c>
    </row>
    <row r="8552" spans="1:7" x14ac:dyDescent="0.35">
      <c r="A8552">
        <v>3396</v>
      </c>
      <c r="B8552" s="1">
        <v>45764</v>
      </c>
      <c r="C8552" t="s">
        <v>12</v>
      </c>
      <c r="D8552" s="2">
        <v>0</v>
      </c>
      <c r="E8552" s="2">
        <v>1739.97</v>
      </c>
      <c r="F8552" t="s">
        <v>14</v>
      </c>
      <c r="G8552" t="s">
        <v>15</v>
      </c>
    </row>
    <row r="8553" spans="1:7" x14ac:dyDescent="0.35">
      <c r="A8553">
        <v>3396</v>
      </c>
      <c r="B8553" s="1">
        <v>45764</v>
      </c>
      <c r="C8553" t="s">
        <v>12</v>
      </c>
      <c r="D8553" s="2">
        <v>0</v>
      </c>
      <c r="E8553" s="2">
        <v>130.5</v>
      </c>
      <c r="F8553" t="s">
        <v>16</v>
      </c>
      <c r="G8553" t="s">
        <v>17</v>
      </c>
    </row>
    <row r="8554" spans="1:7" x14ac:dyDescent="0.35">
      <c r="A8554">
        <v>3397</v>
      </c>
      <c r="B8554" s="1">
        <v>45764</v>
      </c>
      <c r="C8554" t="s">
        <v>12</v>
      </c>
      <c r="D8554" s="2">
        <v>2033.48</v>
      </c>
      <c r="E8554" s="2">
        <v>0</v>
      </c>
      <c r="F8554" t="s">
        <v>13</v>
      </c>
      <c r="G8554" t="s">
        <v>9</v>
      </c>
    </row>
    <row r="8555" spans="1:7" x14ac:dyDescent="0.35">
      <c r="A8555">
        <v>3397</v>
      </c>
      <c r="B8555" s="1">
        <v>45764</v>
      </c>
      <c r="C8555" t="s">
        <v>12</v>
      </c>
      <c r="D8555" s="2">
        <v>0</v>
      </c>
      <c r="E8555" s="2">
        <v>1891.62</v>
      </c>
      <c r="F8555" t="s">
        <v>14</v>
      </c>
      <c r="G8555" t="s">
        <v>15</v>
      </c>
    </row>
    <row r="8556" spans="1:7" x14ac:dyDescent="0.35">
      <c r="A8556">
        <v>3397</v>
      </c>
      <c r="B8556" s="1">
        <v>45764</v>
      </c>
      <c r="C8556" t="s">
        <v>12</v>
      </c>
      <c r="D8556" s="2">
        <v>0</v>
      </c>
      <c r="E8556" s="2">
        <v>141.86000000000001</v>
      </c>
      <c r="F8556" t="s">
        <v>16</v>
      </c>
      <c r="G8556" t="s">
        <v>17</v>
      </c>
    </row>
    <row r="8557" spans="1:7" x14ac:dyDescent="0.35">
      <c r="A8557">
        <v>3398</v>
      </c>
      <c r="B8557" s="1">
        <v>45764</v>
      </c>
      <c r="C8557" t="s">
        <v>12</v>
      </c>
      <c r="D8557" s="2">
        <v>257.19</v>
      </c>
      <c r="E8557" s="2">
        <v>0</v>
      </c>
      <c r="F8557" t="s">
        <v>13</v>
      </c>
      <c r="G8557" t="s">
        <v>9</v>
      </c>
    </row>
    <row r="8558" spans="1:7" x14ac:dyDescent="0.35">
      <c r="A8558">
        <v>3398</v>
      </c>
      <c r="B8558" s="1">
        <v>45764</v>
      </c>
      <c r="C8558" t="s">
        <v>12</v>
      </c>
      <c r="D8558" s="2">
        <v>0</v>
      </c>
      <c r="E8558" s="2">
        <v>239.24</v>
      </c>
      <c r="F8558" t="s">
        <v>14</v>
      </c>
      <c r="G8558" t="s">
        <v>15</v>
      </c>
    </row>
    <row r="8559" spans="1:7" x14ac:dyDescent="0.35">
      <c r="A8559">
        <v>3398</v>
      </c>
      <c r="B8559" s="1">
        <v>45764</v>
      </c>
      <c r="C8559" t="s">
        <v>12</v>
      </c>
      <c r="D8559" s="2">
        <v>0</v>
      </c>
      <c r="E8559" s="2">
        <v>17.95</v>
      </c>
      <c r="F8559" t="s">
        <v>16</v>
      </c>
      <c r="G8559" t="s">
        <v>17</v>
      </c>
    </row>
    <row r="8560" spans="1:7" x14ac:dyDescent="0.35">
      <c r="A8560">
        <v>3399</v>
      </c>
      <c r="B8560" s="1">
        <v>45764</v>
      </c>
      <c r="C8560" t="s">
        <v>24</v>
      </c>
      <c r="D8560" s="2">
        <v>2045.02</v>
      </c>
      <c r="E8560" s="2">
        <v>0</v>
      </c>
      <c r="F8560" t="s">
        <v>8</v>
      </c>
      <c r="G8560" t="s">
        <v>9</v>
      </c>
    </row>
    <row r="8561" spans="1:7" x14ac:dyDescent="0.35">
      <c r="A8561">
        <v>3399</v>
      </c>
      <c r="B8561" s="1">
        <v>45764</v>
      </c>
      <c r="C8561" t="s">
        <v>24</v>
      </c>
      <c r="D8561" s="2">
        <v>0</v>
      </c>
      <c r="E8561" s="2">
        <v>2045.02</v>
      </c>
      <c r="F8561" t="s">
        <v>13</v>
      </c>
      <c r="G8561" t="s">
        <v>9</v>
      </c>
    </row>
    <row r="8562" spans="1:7" x14ac:dyDescent="0.35">
      <c r="A8562">
        <v>3400</v>
      </c>
      <c r="B8562" s="1">
        <v>45764</v>
      </c>
      <c r="C8562" t="s">
        <v>24</v>
      </c>
      <c r="D8562" s="2">
        <v>3796.02</v>
      </c>
      <c r="E8562" s="2">
        <v>0</v>
      </c>
      <c r="F8562" t="s">
        <v>8</v>
      </c>
      <c r="G8562" t="s">
        <v>9</v>
      </c>
    </row>
    <row r="8563" spans="1:7" x14ac:dyDescent="0.35">
      <c r="A8563">
        <v>3400</v>
      </c>
      <c r="B8563" s="1">
        <v>45764</v>
      </c>
      <c r="C8563" t="s">
        <v>24</v>
      </c>
      <c r="D8563" s="2">
        <v>0</v>
      </c>
      <c r="E8563" s="2">
        <v>3796.02</v>
      </c>
      <c r="F8563" t="s">
        <v>13</v>
      </c>
      <c r="G8563" t="s">
        <v>9</v>
      </c>
    </row>
    <row r="8564" spans="1:7" x14ac:dyDescent="0.35">
      <c r="A8564">
        <v>3401</v>
      </c>
      <c r="B8564" s="1">
        <v>45764</v>
      </c>
      <c r="C8564" t="s">
        <v>25</v>
      </c>
      <c r="D8564" s="2">
        <v>1480.5</v>
      </c>
      <c r="E8564" s="2">
        <v>0</v>
      </c>
      <c r="F8564" t="s">
        <v>26</v>
      </c>
      <c r="G8564" t="s">
        <v>20</v>
      </c>
    </row>
    <row r="8565" spans="1:7" x14ac:dyDescent="0.35">
      <c r="A8565">
        <v>3401</v>
      </c>
      <c r="B8565" s="1">
        <v>45764</v>
      </c>
      <c r="C8565" t="s">
        <v>25</v>
      </c>
      <c r="D8565" s="2">
        <v>111.04</v>
      </c>
      <c r="E8565" s="2">
        <v>0</v>
      </c>
      <c r="F8565" t="s">
        <v>27</v>
      </c>
      <c r="G8565" t="s">
        <v>9</v>
      </c>
    </row>
    <row r="8566" spans="1:7" x14ac:dyDescent="0.35">
      <c r="A8566">
        <v>3401</v>
      </c>
      <c r="B8566" s="1">
        <v>45764</v>
      </c>
      <c r="C8566" t="s">
        <v>25</v>
      </c>
      <c r="D8566" s="2">
        <v>0</v>
      </c>
      <c r="E8566" s="2">
        <v>1591.54</v>
      </c>
      <c r="F8566" t="s">
        <v>28</v>
      </c>
      <c r="G8566" t="s">
        <v>17</v>
      </c>
    </row>
    <row r="8567" spans="1:7" x14ac:dyDescent="0.35">
      <c r="A8567">
        <v>3402</v>
      </c>
      <c r="B8567" s="1">
        <v>45764</v>
      </c>
      <c r="C8567" t="s">
        <v>25</v>
      </c>
      <c r="D8567" s="2">
        <v>6723.2</v>
      </c>
      <c r="E8567" s="2">
        <v>0</v>
      </c>
      <c r="F8567" t="s">
        <v>26</v>
      </c>
      <c r="G8567" t="s">
        <v>20</v>
      </c>
    </row>
    <row r="8568" spans="1:7" x14ac:dyDescent="0.35">
      <c r="A8568">
        <v>3402</v>
      </c>
      <c r="B8568" s="1">
        <v>45764</v>
      </c>
      <c r="C8568" t="s">
        <v>25</v>
      </c>
      <c r="D8568" s="2">
        <v>504.24</v>
      </c>
      <c r="E8568" s="2">
        <v>0</v>
      </c>
      <c r="F8568" t="s">
        <v>27</v>
      </c>
      <c r="G8568" t="s">
        <v>9</v>
      </c>
    </row>
    <row r="8569" spans="1:7" x14ac:dyDescent="0.35">
      <c r="A8569">
        <v>3402</v>
      </c>
      <c r="B8569" s="1">
        <v>45764</v>
      </c>
      <c r="C8569" t="s">
        <v>25</v>
      </c>
      <c r="D8569" s="2">
        <v>0</v>
      </c>
      <c r="E8569" s="2">
        <v>7227.44</v>
      </c>
      <c r="F8569" t="s">
        <v>28</v>
      </c>
      <c r="G8569" t="s">
        <v>17</v>
      </c>
    </row>
    <row r="8570" spans="1:7" x14ac:dyDescent="0.35">
      <c r="A8570">
        <v>3403</v>
      </c>
      <c r="B8570" s="1">
        <v>45764</v>
      </c>
      <c r="C8570" t="s">
        <v>29</v>
      </c>
      <c r="D8570" s="2">
        <v>748.26</v>
      </c>
      <c r="E8570" s="2">
        <v>0</v>
      </c>
      <c r="F8570" t="s">
        <v>28</v>
      </c>
      <c r="G8570" t="s">
        <v>17</v>
      </c>
    </row>
    <row r="8571" spans="1:7" x14ac:dyDescent="0.35">
      <c r="A8571">
        <v>3403</v>
      </c>
      <c r="B8571" s="1">
        <v>45764</v>
      </c>
      <c r="C8571" t="s">
        <v>29</v>
      </c>
      <c r="D8571" s="2">
        <v>0</v>
      </c>
      <c r="E8571" s="2">
        <v>748.26</v>
      </c>
      <c r="F8571" t="s">
        <v>8</v>
      </c>
      <c r="G8571" t="s">
        <v>9</v>
      </c>
    </row>
    <row r="8572" spans="1:7" x14ac:dyDescent="0.35">
      <c r="A8572">
        <v>3404</v>
      </c>
      <c r="B8572" s="1">
        <v>45764</v>
      </c>
      <c r="C8572" t="s">
        <v>29</v>
      </c>
      <c r="D8572" s="2">
        <v>2093.2800000000002</v>
      </c>
      <c r="E8572" s="2">
        <v>0</v>
      </c>
      <c r="F8572" t="s">
        <v>28</v>
      </c>
      <c r="G8572" t="s">
        <v>17</v>
      </c>
    </row>
    <row r="8573" spans="1:7" x14ac:dyDescent="0.35">
      <c r="A8573">
        <v>3404</v>
      </c>
      <c r="B8573" s="1">
        <v>45764</v>
      </c>
      <c r="C8573" t="s">
        <v>29</v>
      </c>
      <c r="D8573" s="2">
        <v>0</v>
      </c>
      <c r="E8573" s="2">
        <v>2093.2800000000002</v>
      </c>
      <c r="F8573" t="s">
        <v>8</v>
      </c>
      <c r="G8573" t="s">
        <v>9</v>
      </c>
    </row>
    <row r="8574" spans="1:7" x14ac:dyDescent="0.35">
      <c r="A8574">
        <v>3405</v>
      </c>
      <c r="B8574" s="1">
        <v>45765</v>
      </c>
      <c r="C8574" t="s">
        <v>12</v>
      </c>
      <c r="D8574" s="2">
        <v>1155.9100000000001</v>
      </c>
      <c r="E8574" s="2">
        <v>0</v>
      </c>
      <c r="F8574" t="s">
        <v>13</v>
      </c>
      <c r="G8574" t="s">
        <v>9</v>
      </c>
    </row>
    <row r="8575" spans="1:7" x14ac:dyDescent="0.35">
      <c r="A8575">
        <v>3405</v>
      </c>
      <c r="B8575" s="1">
        <v>45765</v>
      </c>
      <c r="C8575" t="s">
        <v>12</v>
      </c>
      <c r="D8575" s="2">
        <v>0</v>
      </c>
      <c r="E8575" s="2">
        <v>1075.25</v>
      </c>
      <c r="F8575" t="s">
        <v>14</v>
      </c>
      <c r="G8575" t="s">
        <v>15</v>
      </c>
    </row>
    <row r="8576" spans="1:7" x14ac:dyDescent="0.35">
      <c r="A8576">
        <v>3405</v>
      </c>
      <c r="B8576" s="1">
        <v>45765</v>
      </c>
      <c r="C8576" t="s">
        <v>12</v>
      </c>
      <c r="D8576" s="2">
        <v>0</v>
      </c>
      <c r="E8576" s="2">
        <v>80.66</v>
      </c>
      <c r="F8576" t="s">
        <v>16</v>
      </c>
      <c r="G8576" t="s">
        <v>17</v>
      </c>
    </row>
    <row r="8577" spans="1:7" x14ac:dyDescent="0.35">
      <c r="A8577">
        <v>3406</v>
      </c>
      <c r="B8577" s="1">
        <v>45765</v>
      </c>
      <c r="C8577" t="s">
        <v>24</v>
      </c>
      <c r="D8577" s="2">
        <v>343.72</v>
      </c>
      <c r="E8577" s="2">
        <v>0</v>
      </c>
      <c r="F8577" t="s">
        <v>8</v>
      </c>
      <c r="G8577" t="s">
        <v>9</v>
      </c>
    </row>
    <row r="8578" spans="1:7" x14ac:dyDescent="0.35">
      <c r="A8578">
        <v>3406</v>
      </c>
      <c r="B8578" s="1">
        <v>45765</v>
      </c>
      <c r="C8578" t="s">
        <v>24</v>
      </c>
      <c r="D8578" s="2">
        <v>0</v>
      </c>
      <c r="E8578" s="2">
        <v>343.72</v>
      </c>
      <c r="F8578" t="s">
        <v>13</v>
      </c>
      <c r="G8578" t="s">
        <v>9</v>
      </c>
    </row>
    <row r="8579" spans="1:7" x14ac:dyDescent="0.35">
      <c r="A8579">
        <v>3407</v>
      </c>
      <c r="B8579" s="1">
        <v>45765</v>
      </c>
      <c r="C8579" t="s">
        <v>24</v>
      </c>
      <c r="D8579" s="2">
        <v>212.14</v>
      </c>
      <c r="E8579" s="2">
        <v>0</v>
      </c>
      <c r="F8579" t="s">
        <v>8</v>
      </c>
      <c r="G8579" t="s">
        <v>9</v>
      </c>
    </row>
    <row r="8580" spans="1:7" x14ac:dyDescent="0.35">
      <c r="A8580">
        <v>3407</v>
      </c>
      <c r="B8580" s="1">
        <v>45765</v>
      </c>
      <c r="C8580" t="s">
        <v>24</v>
      </c>
      <c r="D8580" s="2">
        <v>0</v>
      </c>
      <c r="E8580" s="2">
        <v>212.14</v>
      </c>
      <c r="F8580" t="s">
        <v>13</v>
      </c>
      <c r="G8580" t="s">
        <v>9</v>
      </c>
    </row>
    <row r="8581" spans="1:7" x14ac:dyDescent="0.35">
      <c r="A8581">
        <v>3408</v>
      </c>
      <c r="B8581" s="1">
        <v>45765</v>
      </c>
      <c r="C8581" t="s">
        <v>24</v>
      </c>
      <c r="D8581" s="2">
        <v>2607.06</v>
      </c>
      <c r="E8581" s="2">
        <v>0</v>
      </c>
      <c r="F8581" t="s">
        <v>8</v>
      </c>
      <c r="G8581" t="s">
        <v>9</v>
      </c>
    </row>
    <row r="8582" spans="1:7" x14ac:dyDescent="0.35">
      <c r="A8582">
        <v>3408</v>
      </c>
      <c r="B8582" s="1">
        <v>45765</v>
      </c>
      <c r="C8582" t="s">
        <v>24</v>
      </c>
      <c r="D8582" s="2">
        <v>0</v>
      </c>
      <c r="E8582" s="2">
        <v>2607.06</v>
      </c>
      <c r="F8582" t="s">
        <v>13</v>
      </c>
      <c r="G8582" t="s">
        <v>9</v>
      </c>
    </row>
    <row r="8583" spans="1:7" x14ac:dyDescent="0.35">
      <c r="A8583">
        <v>3409</v>
      </c>
      <c r="B8583" s="1">
        <v>45765</v>
      </c>
      <c r="C8583" t="s">
        <v>25</v>
      </c>
      <c r="D8583" s="2">
        <v>4476.71</v>
      </c>
      <c r="E8583" s="2">
        <v>0</v>
      </c>
      <c r="F8583" t="s">
        <v>26</v>
      </c>
      <c r="G8583" t="s">
        <v>20</v>
      </c>
    </row>
    <row r="8584" spans="1:7" x14ac:dyDescent="0.35">
      <c r="A8584">
        <v>3409</v>
      </c>
      <c r="B8584" s="1">
        <v>45765</v>
      </c>
      <c r="C8584" t="s">
        <v>25</v>
      </c>
      <c r="D8584" s="2">
        <v>335.75</v>
      </c>
      <c r="E8584" s="2">
        <v>0</v>
      </c>
      <c r="F8584" t="s">
        <v>27</v>
      </c>
      <c r="G8584" t="s">
        <v>9</v>
      </c>
    </row>
    <row r="8585" spans="1:7" x14ac:dyDescent="0.35">
      <c r="A8585">
        <v>3409</v>
      </c>
      <c r="B8585" s="1">
        <v>45765</v>
      </c>
      <c r="C8585" t="s">
        <v>25</v>
      </c>
      <c r="D8585" s="2">
        <v>0</v>
      </c>
      <c r="E8585" s="2">
        <v>4812.46</v>
      </c>
      <c r="F8585" t="s">
        <v>28</v>
      </c>
      <c r="G8585" t="s">
        <v>17</v>
      </c>
    </row>
    <row r="8586" spans="1:7" x14ac:dyDescent="0.35">
      <c r="A8586">
        <v>3410</v>
      </c>
      <c r="B8586" s="1">
        <v>45765</v>
      </c>
      <c r="C8586" t="s">
        <v>25</v>
      </c>
      <c r="D8586" s="2">
        <v>187.44</v>
      </c>
      <c r="E8586" s="2">
        <v>0</v>
      </c>
      <c r="F8586" t="s">
        <v>26</v>
      </c>
      <c r="G8586" t="s">
        <v>20</v>
      </c>
    </row>
    <row r="8587" spans="1:7" x14ac:dyDescent="0.35">
      <c r="A8587">
        <v>3410</v>
      </c>
      <c r="B8587" s="1">
        <v>45765</v>
      </c>
      <c r="C8587" t="s">
        <v>25</v>
      </c>
      <c r="D8587" s="2">
        <v>14.06</v>
      </c>
      <c r="E8587" s="2">
        <v>0</v>
      </c>
      <c r="F8587" t="s">
        <v>27</v>
      </c>
      <c r="G8587" t="s">
        <v>9</v>
      </c>
    </row>
    <row r="8588" spans="1:7" x14ac:dyDescent="0.35">
      <c r="A8588">
        <v>3410</v>
      </c>
      <c r="B8588" s="1">
        <v>45765</v>
      </c>
      <c r="C8588" t="s">
        <v>25</v>
      </c>
      <c r="D8588" s="2">
        <v>0</v>
      </c>
      <c r="E8588" s="2">
        <v>201.5</v>
      </c>
      <c r="F8588" t="s">
        <v>28</v>
      </c>
      <c r="G8588" t="s">
        <v>17</v>
      </c>
    </row>
    <row r="8589" spans="1:7" x14ac:dyDescent="0.35">
      <c r="A8589">
        <v>3411</v>
      </c>
      <c r="B8589" s="1">
        <v>45768</v>
      </c>
      <c r="C8589" t="s">
        <v>12</v>
      </c>
      <c r="D8589" s="2">
        <v>2018.46</v>
      </c>
      <c r="E8589" s="2">
        <v>0</v>
      </c>
      <c r="F8589" t="s">
        <v>13</v>
      </c>
      <c r="G8589" t="s">
        <v>9</v>
      </c>
    </row>
    <row r="8590" spans="1:7" x14ac:dyDescent="0.35">
      <c r="A8590">
        <v>3411</v>
      </c>
      <c r="B8590" s="1">
        <v>45768</v>
      </c>
      <c r="C8590" t="s">
        <v>12</v>
      </c>
      <c r="D8590" s="2">
        <v>0</v>
      </c>
      <c r="E8590" s="2">
        <v>1877.63</v>
      </c>
      <c r="F8590" t="s">
        <v>14</v>
      </c>
      <c r="G8590" t="s">
        <v>15</v>
      </c>
    </row>
    <row r="8591" spans="1:7" x14ac:dyDescent="0.35">
      <c r="A8591">
        <v>3411</v>
      </c>
      <c r="B8591" s="1">
        <v>45768</v>
      </c>
      <c r="C8591" t="s">
        <v>12</v>
      </c>
      <c r="D8591" s="2">
        <v>0</v>
      </c>
      <c r="E8591" s="2">
        <v>140.83000000000001</v>
      </c>
      <c r="F8591" t="s">
        <v>16</v>
      </c>
      <c r="G8591" t="s">
        <v>17</v>
      </c>
    </row>
    <row r="8592" spans="1:7" x14ac:dyDescent="0.35">
      <c r="A8592">
        <v>3412</v>
      </c>
      <c r="B8592" s="1">
        <v>45768</v>
      </c>
      <c r="C8592" t="s">
        <v>12</v>
      </c>
      <c r="D8592" s="2">
        <v>6062.91</v>
      </c>
      <c r="E8592" s="2">
        <v>0</v>
      </c>
      <c r="F8592" t="s">
        <v>13</v>
      </c>
      <c r="G8592" t="s">
        <v>9</v>
      </c>
    </row>
    <row r="8593" spans="1:7" x14ac:dyDescent="0.35">
      <c r="A8593">
        <v>3412</v>
      </c>
      <c r="B8593" s="1">
        <v>45768</v>
      </c>
      <c r="C8593" t="s">
        <v>12</v>
      </c>
      <c r="D8593" s="2">
        <v>0</v>
      </c>
      <c r="E8593" s="2">
        <v>5639.92</v>
      </c>
      <c r="F8593" t="s">
        <v>14</v>
      </c>
      <c r="G8593" t="s">
        <v>15</v>
      </c>
    </row>
    <row r="8594" spans="1:7" x14ac:dyDescent="0.35">
      <c r="A8594">
        <v>3412</v>
      </c>
      <c r="B8594" s="1">
        <v>45768</v>
      </c>
      <c r="C8594" t="s">
        <v>12</v>
      </c>
      <c r="D8594" s="2">
        <v>0</v>
      </c>
      <c r="E8594" s="2">
        <v>422.99</v>
      </c>
      <c r="F8594" t="s">
        <v>16</v>
      </c>
      <c r="G8594" t="s">
        <v>17</v>
      </c>
    </row>
    <row r="8595" spans="1:7" x14ac:dyDescent="0.35">
      <c r="A8595">
        <v>3413</v>
      </c>
      <c r="B8595" s="1">
        <v>45768</v>
      </c>
      <c r="C8595" t="s">
        <v>12</v>
      </c>
      <c r="D8595" s="2">
        <v>1490.47</v>
      </c>
      <c r="E8595" s="2">
        <v>0</v>
      </c>
      <c r="F8595" t="s">
        <v>13</v>
      </c>
      <c r="G8595" t="s">
        <v>9</v>
      </c>
    </row>
    <row r="8596" spans="1:7" x14ac:dyDescent="0.35">
      <c r="A8596">
        <v>3413</v>
      </c>
      <c r="B8596" s="1">
        <v>45768</v>
      </c>
      <c r="C8596" t="s">
        <v>12</v>
      </c>
      <c r="D8596" s="2">
        <v>0</v>
      </c>
      <c r="E8596" s="2">
        <v>1386.48</v>
      </c>
      <c r="F8596" t="s">
        <v>14</v>
      </c>
      <c r="G8596" t="s">
        <v>15</v>
      </c>
    </row>
    <row r="8597" spans="1:7" x14ac:dyDescent="0.35">
      <c r="A8597">
        <v>3413</v>
      </c>
      <c r="B8597" s="1">
        <v>45768</v>
      </c>
      <c r="C8597" t="s">
        <v>12</v>
      </c>
      <c r="D8597" s="2">
        <v>0</v>
      </c>
      <c r="E8597" s="2">
        <v>103.99</v>
      </c>
      <c r="F8597" t="s">
        <v>16</v>
      </c>
      <c r="G8597" t="s">
        <v>17</v>
      </c>
    </row>
    <row r="8598" spans="1:7" x14ac:dyDescent="0.35">
      <c r="A8598">
        <v>3414</v>
      </c>
      <c r="B8598" s="1">
        <v>45768</v>
      </c>
      <c r="C8598" t="s">
        <v>12</v>
      </c>
      <c r="D8598" s="2">
        <v>1722.74</v>
      </c>
      <c r="E8598" s="2">
        <v>0</v>
      </c>
      <c r="F8598" t="s">
        <v>13</v>
      </c>
      <c r="G8598" t="s">
        <v>9</v>
      </c>
    </row>
    <row r="8599" spans="1:7" x14ac:dyDescent="0.35">
      <c r="A8599">
        <v>3414</v>
      </c>
      <c r="B8599" s="1">
        <v>45768</v>
      </c>
      <c r="C8599" t="s">
        <v>12</v>
      </c>
      <c r="D8599" s="2">
        <v>0</v>
      </c>
      <c r="E8599" s="2">
        <v>1602.55</v>
      </c>
      <c r="F8599" t="s">
        <v>14</v>
      </c>
      <c r="G8599" t="s">
        <v>15</v>
      </c>
    </row>
    <row r="8600" spans="1:7" x14ac:dyDescent="0.35">
      <c r="A8600">
        <v>3414</v>
      </c>
      <c r="B8600" s="1">
        <v>45768</v>
      </c>
      <c r="C8600" t="s">
        <v>12</v>
      </c>
      <c r="D8600" s="2">
        <v>0</v>
      </c>
      <c r="E8600" s="2">
        <v>120.19</v>
      </c>
      <c r="F8600" t="s">
        <v>16</v>
      </c>
      <c r="G8600" t="s">
        <v>17</v>
      </c>
    </row>
    <row r="8601" spans="1:7" x14ac:dyDescent="0.35">
      <c r="A8601">
        <v>3415</v>
      </c>
      <c r="B8601" s="1">
        <v>45768</v>
      </c>
      <c r="C8601" t="s">
        <v>12</v>
      </c>
      <c r="D8601" s="2">
        <v>165.47</v>
      </c>
      <c r="E8601" s="2">
        <v>0</v>
      </c>
      <c r="F8601" t="s">
        <v>13</v>
      </c>
      <c r="G8601" t="s">
        <v>9</v>
      </c>
    </row>
    <row r="8602" spans="1:7" x14ac:dyDescent="0.35">
      <c r="A8602">
        <v>3415</v>
      </c>
      <c r="B8602" s="1">
        <v>45768</v>
      </c>
      <c r="C8602" t="s">
        <v>12</v>
      </c>
      <c r="D8602" s="2">
        <v>0</v>
      </c>
      <c r="E8602" s="2">
        <v>153.93</v>
      </c>
      <c r="F8602" t="s">
        <v>14</v>
      </c>
      <c r="G8602" t="s">
        <v>15</v>
      </c>
    </row>
    <row r="8603" spans="1:7" x14ac:dyDescent="0.35">
      <c r="A8603">
        <v>3415</v>
      </c>
      <c r="B8603" s="1">
        <v>45768</v>
      </c>
      <c r="C8603" t="s">
        <v>12</v>
      </c>
      <c r="D8603" s="2">
        <v>0</v>
      </c>
      <c r="E8603" s="2">
        <v>11.54</v>
      </c>
      <c r="F8603" t="s">
        <v>16</v>
      </c>
      <c r="G8603" t="s">
        <v>17</v>
      </c>
    </row>
    <row r="8604" spans="1:7" x14ac:dyDescent="0.35">
      <c r="A8604">
        <v>3416</v>
      </c>
      <c r="B8604" s="1">
        <v>45768</v>
      </c>
      <c r="C8604" t="s">
        <v>24</v>
      </c>
      <c r="D8604" s="2">
        <v>2386.89</v>
      </c>
      <c r="E8604" s="2">
        <v>0</v>
      </c>
      <c r="F8604" t="s">
        <v>8</v>
      </c>
      <c r="G8604" t="s">
        <v>9</v>
      </c>
    </row>
    <row r="8605" spans="1:7" x14ac:dyDescent="0.35">
      <c r="A8605">
        <v>3416</v>
      </c>
      <c r="B8605" s="1">
        <v>45768</v>
      </c>
      <c r="C8605" t="s">
        <v>24</v>
      </c>
      <c r="D8605" s="2">
        <v>0</v>
      </c>
      <c r="E8605" s="2">
        <v>2386.89</v>
      </c>
      <c r="F8605" t="s">
        <v>13</v>
      </c>
      <c r="G8605" t="s">
        <v>9</v>
      </c>
    </row>
    <row r="8606" spans="1:7" x14ac:dyDescent="0.35">
      <c r="A8606">
        <v>3417</v>
      </c>
      <c r="B8606" s="1">
        <v>45768</v>
      </c>
      <c r="C8606" t="s">
        <v>24</v>
      </c>
      <c r="D8606" s="2">
        <v>2574.94</v>
      </c>
      <c r="E8606" s="2">
        <v>0</v>
      </c>
      <c r="F8606" t="s">
        <v>8</v>
      </c>
      <c r="G8606" t="s">
        <v>9</v>
      </c>
    </row>
    <row r="8607" spans="1:7" x14ac:dyDescent="0.35">
      <c r="A8607">
        <v>3417</v>
      </c>
      <c r="B8607" s="1">
        <v>45768</v>
      </c>
      <c r="C8607" t="s">
        <v>24</v>
      </c>
      <c r="D8607" s="2">
        <v>0</v>
      </c>
      <c r="E8607" s="2">
        <v>2574.94</v>
      </c>
      <c r="F8607" t="s">
        <v>13</v>
      </c>
      <c r="G8607" t="s">
        <v>9</v>
      </c>
    </row>
    <row r="8608" spans="1:7" x14ac:dyDescent="0.35">
      <c r="A8608">
        <v>3418</v>
      </c>
      <c r="B8608" s="1">
        <v>45768</v>
      </c>
      <c r="C8608" t="s">
        <v>24</v>
      </c>
      <c r="D8608" s="2">
        <v>3088.58</v>
      </c>
      <c r="E8608" s="2">
        <v>0</v>
      </c>
      <c r="F8608" t="s">
        <v>8</v>
      </c>
      <c r="G8608" t="s">
        <v>9</v>
      </c>
    </row>
    <row r="8609" spans="1:7" x14ac:dyDescent="0.35">
      <c r="A8609">
        <v>3418</v>
      </c>
      <c r="B8609" s="1">
        <v>45768</v>
      </c>
      <c r="C8609" t="s">
        <v>24</v>
      </c>
      <c r="D8609" s="2">
        <v>0</v>
      </c>
      <c r="E8609" s="2">
        <v>3088.58</v>
      </c>
      <c r="F8609" t="s">
        <v>13</v>
      </c>
      <c r="G8609" t="s">
        <v>9</v>
      </c>
    </row>
    <row r="8610" spans="1:7" x14ac:dyDescent="0.35">
      <c r="A8610">
        <v>3419</v>
      </c>
      <c r="B8610" s="1">
        <v>45768</v>
      </c>
      <c r="C8610" t="s">
        <v>24</v>
      </c>
      <c r="D8610" s="2">
        <v>3272.52</v>
      </c>
      <c r="E8610" s="2">
        <v>0</v>
      </c>
      <c r="F8610" t="s">
        <v>8</v>
      </c>
      <c r="G8610" t="s">
        <v>9</v>
      </c>
    </row>
    <row r="8611" spans="1:7" x14ac:dyDescent="0.35">
      <c r="A8611">
        <v>3419</v>
      </c>
      <c r="B8611" s="1">
        <v>45768</v>
      </c>
      <c r="C8611" t="s">
        <v>24</v>
      </c>
      <c r="D8611" s="2">
        <v>0</v>
      </c>
      <c r="E8611" s="2">
        <v>3272.52</v>
      </c>
      <c r="F8611" t="s">
        <v>13</v>
      </c>
      <c r="G8611" t="s">
        <v>9</v>
      </c>
    </row>
    <row r="8612" spans="1:7" x14ac:dyDescent="0.35">
      <c r="A8612">
        <v>3420</v>
      </c>
      <c r="B8612" s="1">
        <v>45768</v>
      </c>
      <c r="C8612" t="s">
        <v>24</v>
      </c>
      <c r="D8612" s="2">
        <v>660.93</v>
      </c>
      <c r="E8612" s="2">
        <v>0</v>
      </c>
      <c r="F8612" t="s">
        <v>8</v>
      </c>
      <c r="G8612" t="s">
        <v>9</v>
      </c>
    </row>
    <row r="8613" spans="1:7" x14ac:dyDescent="0.35">
      <c r="A8613">
        <v>3420</v>
      </c>
      <c r="B8613" s="1">
        <v>45768</v>
      </c>
      <c r="C8613" t="s">
        <v>24</v>
      </c>
      <c r="D8613" s="2">
        <v>0</v>
      </c>
      <c r="E8613" s="2">
        <v>660.93</v>
      </c>
      <c r="F8613" t="s">
        <v>13</v>
      </c>
      <c r="G8613" t="s">
        <v>9</v>
      </c>
    </row>
    <row r="8614" spans="1:7" x14ac:dyDescent="0.35">
      <c r="A8614">
        <v>3421</v>
      </c>
      <c r="B8614" s="1">
        <v>45768</v>
      </c>
      <c r="C8614" t="s">
        <v>24</v>
      </c>
      <c r="D8614" s="2">
        <v>4333.79</v>
      </c>
      <c r="E8614" s="2">
        <v>0</v>
      </c>
      <c r="F8614" t="s">
        <v>8</v>
      </c>
      <c r="G8614" t="s">
        <v>9</v>
      </c>
    </row>
    <row r="8615" spans="1:7" x14ac:dyDescent="0.35">
      <c r="A8615">
        <v>3421</v>
      </c>
      <c r="B8615" s="1">
        <v>45768</v>
      </c>
      <c r="C8615" t="s">
        <v>24</v>
      </c>
      <c r="D8615" s="2">
        <v>0</v>
      </c>
      <c r="E8615" s="2">
        <v>4333.79</v>
      </c>
      <c r="F8615" t="s">
        <v>13</v>
      </c>
      <c r="G8615" t="s">
        <v>9</v>
      </c>
    </row>
    <row r="8616" spans="1:7" x14ac:dyDescent="0.35">
      <c r="A8616">
        <v>3422</v>
      </c>
      <c r="B8616" s="1">
        <v>45768</v>
      </c>
      <c r="C8616" t="s">
        <v>25</v>
      </c>
      <c r="D8616" s="2">
        <v>1643.22</v>
      </c>
      <c r="E8616" s="2">
        <v>0</v>
      </c>
      <c r="F8616" t="s">
        <v>26</v>
      </c>
      <c r="G8616" t="s">
        <v>20</v>
      </c>
    </row>
    <row r="8617" spans="1:7" x14ac:dyDescent="0.35">
      <c r="A8617">
        <v>3422</v>
      </c>
      <c r="B8617" s="1">
        <v>45768</v>
      </c>
      <c r="C8617" t="s">
        <v>25</v>
      </c>
      <c r="D8617" s="2">
        <v>123.24</v>
      </c>
      <c r="E8617" s="2">
        <v>0</v>
      </c>
      <c r="F8617" t="s">
        <v>27</v>
      </c>
      <c r="G8617" t="s">
        <v>9</v>
      </c>
    </row>
    <row r="8618" spans="1:7" x14ac:dyDescent="0.35">
      <c r="A8618">
        <v>3422</v>
      </c>
      <c r="B8618" s="1">
        <v>45768</v>
      </c>
      <c r="C8618" t="s">
        <v>25</v>
      </c>
      <c r="D8618" s="2">
        <v>0</v>
      </c>
      <c r="E8618" s="2">
        <v>1766.46</v>
      </c>
      <c r="F8618" t="s">
        <v>28</v>
      </c>
      <c r="G8618" t="s">
        <v>17</v>
      </c>
    </row>
    <row r="8619" spans="1:7" x14ac:dyDescent="0.35">
      <c r="A8619">
        <v>3423</v>
      </c>
      <c r="B8619" s="1">
        <v>45768</v>
      </c>
      <c r="C8619" t="s">
        <v>25</v>
      </c>
      <c r="D8619" s="2">
        <v>1947.24</v>
      </c>
      <c r="E8619" s="2">
        <v>0</v>
      </c>
      <c r="F8619" t="s">
        <v>26</v>
      </c>
      <c r="G8619" t="s">
        <v>20</v>
      </c>
    </row>
    <row r="8620" spans="1:7" x14ac:dyDescent="0.35">
      <c r="A8620">
        <v>3423</v>
      </c>
      <c r="B8620" s="1">
        <v>45768</v>
      </c>
      <c r="C8620" t="s">
        <v>25</v>
      </c>
      <c r="D8620" s="2">
        <v>146.04</v>
      </c>
      <c r="E8620" s="2">
        <v>0</v>
      </c>
      <c r="F8620" t="s">
        <v>27</v>
      </c>
      <c r="G8620" t="s">
        <v>9</v>
      </c>
    </row>
    <row r="8621" spans="1:7" x14ac:dyDescent="0.35">
      <c r="A8621">
        <v>3423</v>
      </c>
      <c r="B8621" s="1">
        <v>45768</v>
      </c>
      <c r="C8621" t="s">
        <v>25</v>
      </c>
      <c r="D8621" s="2">
        <v>0</v>
      </c>
      <c r="E8621" s="2">
        <v>2093.2800000000002</v>
      </c>
      <c r="F8621" t="s">
        <v>28</v>
      </c>
      <c r="G8621" t="s">
        <v>17</v>
      </c>
    </row>
    <row r="8622" spans="1:7" x14ac:dyDescent="0.35">
      <c r="A8622">
        <v>3424</v>
      </c>
      <c r="B8622" s="1">
        <v>45768</v>
      </c>
      <c r="C8622" t="s">
        <v>25</v>
      </c>
      <c r="D8622" s="2">
        <v>1800.04</v>
      </c>
      <c r="E8622" s="2">
        <v>0</v>
      </c>
      <c r="F8622" t="s">
        <v>26</v>
      </c>
      <c r="G8622" t="s">
        <v>20</v>
      </c>
    </row>
    <row r="8623" spans="1:7" x14ac:dyDescent="0.35">
      <c r="A8623">
        <v>3424</v>
      </c>
      <c r="B8623" s="1">
        <v>45768</v>
      </c>
      <c r="C8623" t="s">
        <v>25</v>
      </c>
      <c r="D8623" s="2">
        <v>135</v>
      </c>
      <c r="E8623" s="2">
        <v>0</v>
      </c>
      <c r="F8623" t="s">
        <v>27</v>
      </c>
      <c r="G8623" t="s">
        <v>9</v>
      </c>
    </row>
    <row r="8624" spans="1:7" x14ac:dyDescent="0.35">
      <c r="A8624">
        <v>3424</v>
      </c>
      <c r="B8624" s="1">
        <v>45768</v>
      </c>
      <c r="C8624" t="s">
        <v>25</v>
      </c>
      <c r="D8624" s="2">
        <v>0</v>
      </c>
      <c r="E8624" s="2">
        <v>1935.04</v>
      </c>
      <c r="F8624" t="s">
        <v>28</v>
      </c>
      <c r="G8624" t="s">
        <v>17</v>
      </c>
    </row>
    <row r="8625" spans="1:7" x14ac:dyDescent="0.35">
      <c r="A8625">
        <v>3425</v>
      </c>
      <c r="B8625" s="1">
        <v>45768</v>
      </c>
      <c r="C8625" t="s">
        <v>25</v>
      </c>
      <c r="D8625" s="2">
        <v>166.52</v>
      </c>
      <c r="E8625" s="2">
        <v>0</v>
      </c>
      <c r="F8625" t="s">
        <v>26</v>
      </c>
      <c r="G8625" t="s">
        <v>20</v>
      </c>
    </row>
    <row r="8626" spans="1:7" x14ac:dyDescent="0.35">
      <c r="A8626">
        <v>3425</v>
      </c>
      <c r="B8626" s="1">
        <v>45768</v>
      </c>
      <c r="C8626" t="s">
        <v>25</v>
      </c>
      <c r="D8626" s="2">
        <v>12.49</v>
      </c>
      <c r="E8626" s="2">
        <v>0</v>
      </c>
      <c r="F8626" t="s">
        <v>27</v>
      </c>
      <c r="G8626" t="s">
        <v>9</v>
      </c>
    </row>
    <row r="8627" spans="1:7" x14ac:dyDescent="0.35">
      <c r="A8627">
        <v>3425</v>
      </c>
      <c r="B8627" s="1">
        <v>45768</v>
      </c>
      <c r="C8627" t="s">
        <v>25</v>
      </c>
      <c r="D8627" s="2">
        <v>0</v>
      </c>
      <c r="E8627" s="2">
        <v>179.01</v>
      </c>
      <c r="F8627" t="s">
        <v>28</v>
      </c>
      <c r="G8627" t="s">
        <v>17</v>
      </c>
    </row>
    <row r="8628" spans="1:7" x14ac:dyDescent="0.35">
      <c r="A8628">
        <v>3426</v>
      </c>
      <c r="B8628" s="1">
        <v>45768</v>
      </c>
      <c r="C8628" t="s">
        <v>25</v>
      </c>
      <c r="D8628" s="2">
        <v>3598.88</v>
      </c>
      <c r="E8628" s="2">
        <v>0</v>
      </c>
      <c r="F8628" t="s">
        <v>26</v>
      </c>
      <c r="G8628" t="s">
        <v>20</v>
      </c>
    </row>
    <row r="8629" spans="1:7" x14ac:dyDescent="0.35">
      <c r="A8629">
        <v>3426</v>
      </c>
      <c r="B8629" s="1">
        <v>45768</v>
      </c>
      <c r="C8629" t="s">
        <v>25</v>
      </c>
      <c r="D8629" s="2">
        <v>269.92</v>
      </c>
      <c r="E8629" s="2">
        <v>0</v>
      </c>
      <c r="F8629" t="s">
        <v>27</v>
      </c>
      <c r="G8629" t="s">
        <v>9</v>
      </c>
    </row>
    <row r="8630" spans="1:7" x14ac:dyDescent="0.35">
      <c r="A8630">
        <v>3426</v>
      </c>
      <c r="B8630" s="1">
        <v>45768</v>
      </c>
      <c r="C8630" t="s">
        <v>25</v>
      </c>
      <c r="D8630" s="2">
        <v>0</v>
      </c>
      <c r="E8630" s="2">
        <v>3868.8</v>
      </c>
      <c r="F8630" t="s">
        <v>28</v>
      </c>
      <c r="G8630" t="s">
        <v>17</v>
      </c>
    </row>
    <row r="8631" spans="1:7" x14ac:dyDescent="0.35">
      <c r="A8631">
        <v>3427</v>
      </c>
      <c r="B8631" s="1">
        <v>45768</v>
      </c>
      <c r="C8631" t="s">
        <v>25</v>
      </c>
      <c r="D8631" s="2">
        <v>2451.5</v>
      </c>
      <c r="E8631" s="2">
        <v>0</v>
      </c>
      <c r="F8631" t="s">
        <v>26</v>
      </c>
      <c r="G8631" t="s">
        <v>20</v>
      </c>
    </row>
    <row r="8632" spans="1:7" x14ac:dyDescent="0.35">
      <c r="A8632">
        <v>3427</v>
      </c>
      <c r="B8632" s="1">
        <v>45768</v>
      </c>
      <c r="C8632" t="s">
        <v>25</v>
      </c>
      <c r="D8632" s="2">
        <v>183.86</v>
      </c>
      <c r="E8632" s="2">
        <v>0</v>
      </c>
      <c r="F8632" t="s">
        <v>27</v>
      </c>
      <c r="G8632" t="s">
        <v>9</v>
      </c>
    </row>
    <row r="8633" spans="1:7" x14ac:dyDescent="0.35">
      <c r="A8633">
        <v>3427</v>
      </c>
      <c r="B8633" s="1">
        <v>45768</v>
      </c>
      <c r="C8633" t="s">
        <v>25</v>
      </c>
      <c r="D8633" s="2">
        <v>0</v>
      </c>
      <c r="E8633" s="2">
        <v>2635.36</v>
      </c>
      <c r="F8633" t="s">
        <v>28</v>
      </c>
      <c r="G8633" t="s">
        <v>17</v>
      </c>
    </row>
    <row r="8634" spans="1:7" x14ac:dyDescent="0.35">
      <c r="A8634">
        <v>3428</v>
      </c>
      <c r="B8634" s="1">
        <v>45768</v>
      </c>
      <c r="C8634" t="s">
        <v>25</v>
      </c>
      <c r="D8634" s="2">
        <v>2714.58</v>
      </c>
      <c r="E8634" s="2">
        <v>0</v>
      </c>
      <c r="F8634" t="s">
        <v>26</v>
      </c>
      <c r="G8634" t="s">
        <v>20</v>
      </c>
    </row>
    <row r="8635" spans="1:7" x14ac:dyDescent="0.35">
      <c r="A8635">
        <v>3428</v>
      </c>
      <c r="B8635" s="1">
        <v>45768</v>
      </c>
      <c r="C8635" t="s">
        <v>25</v>
      </c>
      <c r="D8635" s="2">
        <v>203.59</v>
      </c>
      <c r="E8635" s="2">
        <v>0</v>
      </c>
      <c r="F8635" t="s">
        <v>27</v>
      </c>
      <c r="G8635" t="s">
        <v>9</v>
      </c>
    </row>
    <row r="8636" spans="1:7" x14ac:dyDescent="0.35">
      <c r="A8636">
        <v>3428</v>
      </c>
      <c r="B8636" s="1">
        <v>45768</v>
      </c>
      <c r="C8636" t="s">
        <v>25</v>
      </c>
      <c r="D8636" s="2">
        <v>0</v>
      </c>
      <c r="E8636" s="2">
        <v>2918.17</v>
      </c>
      <c r="F8636" t="s">
        <v>28</v>
      </c>
      <c r="G8636" t="s">
        <v>17</v>
      </c>
    </row>
    <row r="8637" spans="1:7" x14ac:dyDescent="0.35">
      <c r="A8637">
        <v>3429</v>
      </c>
      <c r="B8637" s="1">
        <v>45768</v>
      </c>
      <c r="C8637" t="s">
        <v>29</v>
      </c>
      <c r="D8637" s="2">
        <v>1023.42</v>
      </c>
      <c r="E8637" s="2">
        <v>0</v>
      </c>
      <c r="F8637" t="s">
        <v>28</v>
      </c>
      <c r="G8637" t="s">
        <v>17</v>
      </c>
    </row>
    <row r="8638" spans="1:7" x14ac:dyDescent="0.35">
      <c r="A8638">
        <v>3429</v>
      </c>
      <c r="B8638" s="1">
        <v>45768</v>
      </c>
      <c r="C8638" t="s">
        <v>29</v>
      </c>
      <c r="D8638" s="2">
        <v>0</v>
      </c>
      <c r="E8638" s="2">
        <v>1023.42</v>
      </c>
      <c r="F8638" t="s">
        <v>8</v>
      </c>
      <c r="G8638" t="s">
        <v>9</v>
      </c>
    </row>
    <row r="8639" spans="1:7" x14ac:dyDescent="0.35">
      <c r="A8639">
        <v>3430</v>
      </c>
      <c r="B8639" s="1">
        <v>45768</v>
      </c>
      <c r="C8639" t="s">
        <v>29</v>
      </c>
      <c r="D8639" s="2">
        <v>276.32</v>
      </c>
      <c r="E8639" s="2">
        <v>0</v>
      </c>
      <c r="F8639" t="s">
        <v>28</v>
      </c>
      <c r="G8639" t="s">
        <v>17</v>
      </c>
    </row>
    <row r="8640" spans="1:7" x14ac:dyDescent="0.35">
      <c r="A8640">
        <v>3430</v>
      </c>
      <c r="B8640" s="1">
        <v>45768</v>
      </c>
      <c r="C8640" t="s">
        <v>29</v>
      </c>
      <c r="D8640" s="2">
        <v>0</v>
      </c>
      <c r="E8640" s="2">
        <v>276.32</v>
      </c>
      <c r="F8640" t="s">
        <v>8</v>
      </c>
      <c r="G8640" t="s">
        <v>9</v>
      </c>
    </row>
    <row r="8641" spans="1:7" x14ac:dyDescent="0.35">
      <c r="A8641">
        <v>3431</v>
      </c>
      <c r="B8641" s="1">
        <v>45769</v>
      </c>
      <c r="C8641" t="s">
        <v>12</v>
      </c>
      <c r="D8641" s="2">
        <v>3322.39</v>
      </c>
      <c r="E8641" s="2">
        <v>0</v>
      </c>
      <c r="F8641" t="s">
        <v>13</v>
      </c>
      <c r="G8641" t="s">
        <v>9</v>
      </c>
    </row>
    <row r="8642" spans="1:7" x14ac:dyDescent="0.35">
      <c r="A8642">
        <v>3431</v>
      </c>
      <c r="B8642" s="1">
        <v>45769</v>
      </c>
      <c r="C8642" t="s">
        <v>12</v>
      </c>
      <c r="D8642" s="2">
        <v>0</v>
      </c>
      <c r="E8642" s="2">
        <v>3090.6</v>
      </c>
      <c r="F8642" t="s">
        <v>14</v>
      </c>
      <c r="G8642" t="s">
        <v>15</v>
      </c>
    </row>
    <row r="8643" spans="1:7" x14ac:dyDescent="0.35">
      <c r="A8643">
        <v>3431</v>
      </c>
      <c r="B8643" s="1">
        <v>45769</v>
      </c>
      <c r="C8643" t="s">
        <v>12</v>
      </c>
      <c r="D8643" s="2">
        <v>0</v>
      </c>
      <c r="E8643" s="2">
        <v>231.79</v>
      </c>
      <c r="F8643" t="s">
        <v>16</v>
      </c>
      <c r="G8643" t="s">
        <v>17</v>
      </c>
    </row>
    <row r="8644" spans="1:7" x14ac:dyDescent="0.35">
      <c r="A8644">
        <v>3432</v>
      </c>
      <c r="B8644" s="1">
        <v>45769</v>
      </c>
      <c r="C8644" t="s">
        <v>12</v>
      </c>
      <c r="D8644" s="2">
        <v>3724.01</v>
      </c>
      <c r="E8644" s="2">
        <v>0</v>
      </c>
      <c r="F8644" t="s">
        <v>13</v>
      </c>
      <c r="G8644" t="s">
        <v>9</v>
      </c>
    </row>
    <row r="8645" spans="1:7" x14ac:dyDescent="0.35">
      <c r="A8645">
        <v>3432</v>
      </c>
      <c r="B8645" s="1">
        <v>45769</v>
      </c>
      <c r="C8645" t="s">
        <v>12</v>
      </c>
      <c r="D8645" s="2">
        <v>0</v>
      </c>
      <c r="E8645" s="2">
        <v>3464.19</v>
      </c>
      <c r="F8645" t="s">
        <v>14</v>
      </c>
      <c r="G8645" t="s">
        <v>15</v>
      </c>
    </row>
    <row r="8646" spans="1:7" x14ac:dyDescent="0.35">
      <c r="A8646">
        <v>3432</v>
      </c>
      <c r="B8646" s="1">
        <v>45769</v>
      </c>
      <c r="C8646" t="s">
        <v>12</v>
      </c>
      <c r="D8646" s="2">
        <v>0</v>
      </c>
      <c r="E8646" s="2">
        <v>259.82</v>
      </c>
      <c r="F8646" t="s">
        <v>16</v>
      </c>
      <c r="G8646" t="s">
        <v>17</v>
      </c>
    </row>
    <row r="8647" spans="1:7" x14ac:dyDescent="0.35">
      <c r="A8647">
        <v>3433</v>
      </c>
      <c r="B8647" s="1">
        <v>45769</v>
      </c>
      <c r="C8647" t="s">
        <v>12</v>
      </c>
      <c r="D8647" s="2">
        <v>1006.31</v>
      </c>
      <c r="E8647" s="2">
        <v>0</v>
      </c>
      <c r="F8647" t="s">
        <v>13</v>
      </c>
      <c r="G8647" t="s">
        <v>9</v>
      </c>
    </row>
    <row r="8648" spans="1:7" x14ac:dyDescent="0.35">
      <c r="A8648">
        <v>3433</v>
      </c>
      <c r="B8648" s="1">
        <v>45769</v>
      </c>
      <c r="C8648" t="s">
        <v>12</v>
      </c>
      <c r="D8648" s="2">
        <v>0</v>
      </c>
      <c r="E8648" s="2">
        <v>936.1</v>
      </c>
      <c r="F8648" t="s">
        <v>14</v>
      </c>
      <c r="G8648" t="s">
        <v>15</v>
      </c>
    </row>
    <row r="8649" spans="1:7" x14ac:dyDescent="0.35">
      <c r="A8649">
        <v>3433</v>
      </c>
      <c r="B8649" s="1">
        <v>45769</v>
      </c>
      <c r="C8649" t="s">
        <v>12</v>
      </c>
      <c r="D8649" s="2">
        <v>0</v>
      </c>
      <c r="E8649" s="2">
        <v>70.209999999999994</v>
      </c>
      <c r="F8649" t="s">
        <v>16</v>
      </c>
      <c r="G8649" t="s">
        <v>17</v>
      </c>
    </row>
    <row r="8650" spans="1:7" x14ac:dyDescent="0.35">
      <c r="A8650">
        <v>3434</v>
      </c>
      <c r="B8650" s="1">
        <v>45769</v>
      </c>
      <c r="C8650" t="s">
        <v>12</v>
      </c>
      <c r="D8650" s="2">
        <v>921.7</v>
      </c>
      <c r="E8650" s="2">
        <v>0</v>
      </c>
      <c r="F8650" t="s">
        <v>13</v>
      </c>
      <c r="G8650" t="s">
        <v>9</v>
      </c>
    </row>
    <row r="8651" spans="1:7" x14ac:dyDescent="0.35">
      <c r="A8651">
        <v>3434</v>
      </c>
      <c r="B8651" s="1">
        <v>45769</v>
      </c>
      <c r="C8651" t="s">
        <v>12</v>
      </c>
      <c r="D8651" s="2">
        <v>0</v>
      </c>
      <c r="E8651" s="2">
        <v>857.39</v>
      </c>
      <c r="F8651" t="s">
        <v>14</v>
      </c>
      <c r="G8651" t="s">
        <v>15</v>
      </c>
    </row>
    <row r="8652" spans="1:7" x14ac:dyDescent="0.35">
      <c r="A8652">
        <v>3434</v>
      </c>
      <c r="B8652" s="1">
        <v>45769</v>
      </c>
      <c r="C8652" t="s">
        <v>12</v>
      </c>
      <c r="D8652" s="2">
        <v>0</v>
      </c>
      <c r="E8652" s="2">
        <v>64.31</v>
      </c>
      <c r="F8652" t="s">
        <v>16</v>
      </c>
      <c r="G8652" t="s">
        <v>17</v>
      </c>
    </row>
    <row r="8653" spans="1:7" x14ac:dyDescent="0.35">
      <c r="A8653">
        <v>3435</v>
      </c>
      <c r="B8653" s="1">
        <v>45769</v>
      </c>
      <c r="C8653" t="s">
        <v>12</v>
      </c>
      <c r="D8653" s="2">
        <v>3238.93</v>
      </c>
      <c r="E8653" s="2">
        <v>0</v>
      </c>
      <c r="F8653" t="s">
        <v>13</v>
      </c>
      <c r="G8653" t="s">
        <v>9</v>
      </c>
    </row>
    <row r="8654" spans="1:7" x14ac:dyDescent="0.35">
      <c r="A8654">
        <v>3435</v>
      </c>
      <c r="B8654" s="1">
        <v>45769</v>
      </c>
      <c r="C8654" t="s">
        <v>12</v>
      </c>
      <c r="D8654" s="2">
        <v>0</v>
      </c>
      <c r="E8654" s="2">
        <v>3012.95</v>
      </c>
      <c r="F8654" t="s">
        <v>14</v>
      </c>
      <c r="G8654" t="s">
        <v>15</v>
      </c>
    </row>
    <row r="8655" spans="1:7" x14ac:dyDescent="0.35">
      <c r="A8655">
        <v>3435</v>
      </c>
      <c r="B8655" s="1">
        <v>45769</v>
      </c>
      <c r="C8655" t="s">
        <v>12</v>
      </c>
      <c r="D8655" s="2">
        <v>0</v>
      </c>
      <c r="E8655" s="2">
        <v>225.98</v>
      </c>
      <c r="F8655" t="s">
        <v>16</v>
      </c>
      <c r="G8655" t="s">
        <v>17</v>
      </c>
    </row>
    <row r="8656" spans="1:7" x14ac:dyDescent="0.35">
      <c r="A8656">
        <v>3436</v>
      </c>
      <c r="B8656" s="1">
        <v>45769</v>
      </c>
      <c r="C8656" t="s">
        <v>12</v>
      </c>
      <c r="D8656" s="2">
        <v>1328.06</v>
      </c>
      <c r="E8656" s="2">
        <v>0</v>
      </c>
      <c r="F8656" t="s">
        <v>13</v>
      </c>
      <c r="G8656" t="s">
        <v>9</v>
      </c>
    </row>
    <row r="8657" spans="1:7" x14ac:dyDescent="0.35">
      <c r="A8657">
        <v>3436</v>
      </c>
      <c r="B8657" s="1">
        <v>45769</v>
      </c>
      <c r="C8657" t="s">
        <v>12</v>
      </c>
      <c r="D8657" s="2">
        <v>0</v>
      </c>
      <c r="E8657" s="2">
        <v>1235.4000000000001</v>
      </c>
      <c r="F8657" t="s">
        <v>14</v>
      </c>
      <c r="G8657" t="s">
        <v>15</v>
      </c>
    </row>
    <row r="8658" spans="1:7" x14ac:dyDescent="0.35">
      <c r="A8658">
        <v>3436</v>
      </c>
      <c r="B8658" s="1">
        <v>45769</v>
      </c>
      <c r="C8658" t="s">
        <v>12</v>
      </c>
      <c r="D8658" s="2">
        <v>0</v>
      </c>
      <c r="E8658" s="2">
        <v>92.66</v>
      </c>
      <c r="F8658" t="s">
        <v>16</v>
      </c>
      <c r="G8658" t="s">
        <v>17</v>
      </c>
    </row>
    <row r="8659" spans="1:7" x14ac:dyDescent="0.35">
      <c r="A8659">
        <v>3437</v>
      </c>
      <c r="B8659" s="1">
        <v>45769</v>
      </c>
      <c r="C8659" t="s">
        <v>12</v>
      </c>
      <c r="D8659" s="2">
        <v>918.68</v>
      </c>
      <c r="E8659" s="2">
        <v>0</v>
      </c>
      <c r="F8659" t="s">
        <v>13</v>
      </c>
      <c r="G8659" t="s">
        <v>9</v>
      </c>
    </row>
    <row r="8660" spans="1:7" x14ac:dyDescent="0.35">
      <c r="A8660">
        <v>3437</v>
      </c>
      <c r="B8660" s="1">
        <v>45769</v>
      </c>
      <c r="C8660" t="s">
        <v>12</v>
      </c>
      <c r="D8660" s="2">
        <v>0</v>
      </c>
      <c r="E8660" s="2">
        <v>854.59</v>
      </c>
      <c r="F8660" t="s">
        <v>14</v>
      </c>
      <c r="G8660" t="s">
        <v>15</v>
      </c>
    </row>
    <row r="8661" spans="1:7" x14ac:dyDescent="0.35">
      <c r="A8661">
        <v>3437</v>
      </c>
      <c r="B8661" s="1">
        <v>45769</v>
      </c>
      <c r="C8661" t="s">
        <v>12</v>
      </c>
      <c r="D8661" s="2">
        <v>0</v>
      </c>
      <c r="E8661" s="2">
        <v>64.09</v>
      </c>
      <c r="F8661" t="s">
        <v>16</v>
      </c>
      <c r="G8661" t="s">
        <v>17</v>
      </c>
    </row>
    <row r="8662" spans="1:7" x14ac:dyDescent="0.35">
      <c r="A8662">
        <v>3438</v>
      </c>
      <c r="B8662" s="1">
        <v>45769</v>
      </c>
      <c r="C8662" t="s">
        <v>12</v>
      </c>
      <c r="D8662" s="2">
        <v>1885.45</v>
      </c>
      <c r="E8662" s="2">
        <v>0</v>
      </c>
      <c r="F8662" t="s">
        <v>13</v>
      </c>
      <c r="G8662" t="s">
        <v>9</v>
      </c>
    </row>
    <row r="8663" spans="1:7" x14ac:dyDescent="0.35">
      <c r="A8663">
        <v>3438</v>
      </c>
      <c r="B8663" s="1">
        <v>45769</v>
      </c>
      <c r="C8663" t="s">
        <v>12</v>
      </c>
      <c r="D8663" s="2">
        <v>0</v>
      </c>
      <c r="E8663" s="2">
        <v>1753.9</v>
      </c>
      <c r="F8663" t="s">
        <v>14</v>
      </c>
      <c r="G8663" t="s">
        <v>15</v>
      </c>
    </row>
    <row r="8664" spans="1:7" x14ac:dyDescent="0.35">
      <c r="A8664">
        <v>3438</v>
      </c>
      <c r="B8664" s="1">
        <v>45769</v>
      </c>
      <c r="C8664" t="s">
        <v>12</v>
      </c>
      <c r="D8664" s="2">
        <v>0</v>
      </c>
      <c r="E8664" s="2">
        <v>131.55000000000001</v>
      </c>
      <c r="F8664" t="s">
        <v>16</v>
      </c>
      <c r="G8664" t="s">
        <v>17</v>
      </c>
    </row>
    <row r="8665" spans="1:7" x14ac:dyDescent="0.35">
      <c r="A8665">
        <v>3439</v>
      </c>
      <c r="B8665" s="1">
        <v>45769</v>
      </c>
      <c r="C8665" t="s">
        <v>24</v>
      </c>
      <c r="D8665" s="2">
        <v>5694.2</v>
      </c>
      <c r="E8665" s="2">
        <v>0</v>
      </c>
      <c r="F8665" t="s">
        <v>8</v>
      </c>
      <c r="G8665" t="s">
        <v>9</v>
      </c>
    </row>
    <row r="8666" spans="1:7" x14ac:dyDescent="0.35">
      <c r="A8666">
        <v>3439</v>
      </c>
      <c r="B8666" s="1">
        <v>45769</v>
      </c>
      <c r="C8666" t="s">
        <v>24</v>
      </c>
      <c r="D8666" s="2">
        <v>0</v>
      </c>
      <c r="E8666" s="2">
        <v>5694.2</v>
      </c>
      <c r="F8666" t="s">
        <v>13</v>
      </c>
      <c r="G8666" t="s">
        <v>9</v>
      </c>
    </row>
    <row r="8667" spans="1:7" x14ac:dyDescent="0.35">
      <c r="A8667">
        <v>3440</v>
      </c>
      <c r="B8667" s="1">
        <v>45769</v>
      </c>
      <c r="C8667" t="s">
        <v>24</v>
      </c>
      <c r="D8667" s="2">
        <v>1365.69</v>
      </c>
      <c r="E8667" s="2">
        <v>0</v>
      </c>
      <c r="F8667" t="s">
        <v>8</v>
      </c>
      <c r="G8667" t="s">
        <v>9</v>
      </c>
    </row>
    <row r="8668" spans="1:7" x14ac:dyDescent="0.35">
      <c r="A8668">
        <v>3440</v>
      </c>
      <c r="B8668" s="1">
        <v>45769</v>
      </c>
      <c r="C8668" t="s">
        <v>24</v>
      </c>
      <c r="D8668" s="2">
        <v>0</v>
      </c>
      <c r="E8668" s="2">
        <v>1365.69</v>
      </c>
      <c r="F8668" t="s">
        <v>13</v>
      </c>
      <c r="G8668" t="s">
        <v>9</v>
      </c>
    </row>
    <row r="8669" spans="1:7" x14ac:dyDescent="0.35">
      <c r="A8669">
        <v>3441</v>
      </c>
      <c r="B8669" s="1">
        <v>45769</v>
      </c>
      <c r="C8669" t="s">
        <v>24</v>
      </c>
      <c r="D8669" s="2">
        <v>312.48</v>
      </c>
      <c r="E8669" s="2">
        <v>0</v>
      </c>
      <c r="F8669" t="s">
        <v>8</v>
      </c>
      <c r="G8669" t="s">
        <v>9</v>
      </c>
    </row>
    <row r="8670" spans="1:7" x14ac:dyDescent="0.35">
      <c r="A8670">
        <v>3441</v>
      </c>
      <c r="B8670" s="1">
        <v>45769</v>
      </c>
      <c r="C8670" t="s">
        <v>24</v>
      </c>
      <c r="D8670" s="2">
        <v>0</v>
      </c>
      <c r="E8670" s="2">
        <v>312.48</v>
      </c>
      <c r="F8670" t="s">
        <v>13</v>
      </c>
      <c r="G8670" t="s">
        <v>9</v>
      </c>
    </row>
    <row r="8671" spans="1:7" x14ac:dyDescent="0.35">
      <c r="A8671">
        <v>3442</v>
      </c>
      <c r="B8671" s="1">
        <v>45769</v>
      </c>
      <c r="C8671" t="s">
        <v>24</v>
      </c>
      <c r="D8671" s="2">
        <v>154.88</v>
      </c>
      <c r="E8671" s="2">
        <v>0</v>
      </c>
      <c r="F8671" t="s">
        <v>8</v>
      </c>
      <c r="G8671" t="s">
        <v>9</v>
      </c>
    </row>
    <row r="8672" spans="1:7" x14ac:dyDescent="0.35">
      <c r="A8672">
        <v>3442</v>
      </c>
      <c r="B8672" s="1">
        <v>45769</v>
      </c>
      <c r="C8672" t="s">
        <v>24</v>
      </c>
      <c r="D8672" s="2">
        <v>0</v>
      </c>
      <c r="E8672" s="2">
        <v>154.88</v>
      </c>
      <c r="F8672" t="s">
        <v>13</v>
      </c>
      <c r="G8672" t="s">
        <v>9</v>
      </c>
    </row>
    <row r="8673" spans="1:7" x14ac:dyDescent="0.35">
      <c r="A8673">
        <v>3443</v>
      </c>
      <c r="B8673" s="1">
        <v>45769</v>
      </c>
      <c r="C8673" t="s">
        <v>24</v>
      </c>
      <c r="D8673" s="2">
        <v>1558.92</v>
      </c>
      <c r="E8673" s="2">
        <v>0</v>
      </c>
      <c r="F8673" t="s">
        <v>8</v>
      </c>
      <c r="G8673" t="s">
        <v>9</v>
      </c>
    </row>
    <row r="8674" spans="1:7" x14ac:dyDescent="0.35">
      <c r="A8674">
        <v>3443</v>
      </c>
      <c r="B8674" s="1">
        <v>45769</v>
      </c>
      <c r="C8674" t="s">
        <v>24</v>
      </c>
      <c r="D8674" s="2">
        <v>0</v>
      </c>
      <c r="E8674" s="2">
        <v>1558.92</v>
      </c>
      <c r="F8674" t="s">
        <v>13</v>
      </c>
      <c r="G8674" t="s">
        <v>9</v>
      </c>
    </row>
    <row r="8675" spans="1:7" x14ac:dyDescent="0.35">
      <c r="A8675">
        <v>3444</v>
      </c>
      <c r="B8675" s="1">
        <v>45769</v>
      </c>
      <c r="C8675" t="s">
        <v>24</v>
      </c>
      <c r="D8675" s="2">
        <v>2353.88</v>
      </c>
      <c r="E8675" s="2">
        <v>0</v>
      </c>
      <c r="F8675" t="s">
        <v>8</v>
      </c>
      <c r="G8675" t="s">
        <v>9</v>
      </c>
    </row>
    <row r="8676" spans="1:7" x14ac:dyDescent="0.35">
      <c r="A8676">
        <v>3444</v>
      </c>
      <c r="B8676" s="1">
        <v>45769</v>
      </c>
      <c r="C8676" t="s">
        <v>24</v>
      </c>
      <c r="D8676" s="2">
        <v>0</v>
      </c>
      <c r="E8676" s="2">
        <v>2353.88</v>
      </c>
      <c r="F8676" t="s">
        <v>13</v>
      </c>
      <c r="G8676" t="s">
        <v>9</v>
      </c>
    </row>
    <row r="8677" spans="1:7" x14ac:dyDescent="0.35">
      <c r="A8677">
        <v>3445</v>
      </c>
      <c r="B8677" s="1">
        <v>45769</v>
      </c>
      <c r="C8677" t="s">
        <v>24</v>
      </c>
      <c r="D8677" s="2">
        <v>447.69</v>
      </c>
      <c r="E8677" s="2">
        <v>0</v>
      </c>
      <c r="F8677" t="s">
        <v>8</v>
      </c>
      <c r="G8677" t="s">
        <v>9</v>
      </c>
    </row>
    <row r="8678" spans="1:7" x14ac:dyDescent="0.35">
      <c r="A8678">
        <v>3445</v>
      </c>
      <c r="B8678" s="1">
        <v>45769</v>
      </c>
      <c r="C8678" t="s">
        <v>24</v>
      </c>
      <c r="D8678" s="2">
        <v>0</v>
      </c>
      <c r="E8678" s="2">
        <v>447.69</v>
      </c>
      <c r="F8678" t="s">
        <v>13</v>
      </c>
      <c r="G8678" t="s">
        <v>9</v>
      </c>
    </row>
    <row r="8679" spans="1:7" x14ac:dyDescent="0.35">
      <c r="A8679">
        <v>3446</v>
      </c>
      <c r="B8679" s="1">
        <v>45769</v>
      </c>
      <c r="C8679" t="s">
        <v>29</v>
      </c>
      <c r="D8679" s="2">
        <v>201.5</v>
      </c>
      <c r="E8679" s="2">
        <v>0</v>
      </c>
      <c r="F8679" t="s">
        <v>28</v>
      </c>
      <c r="G8679" t="s">
        <v>17</v>
      </c>
    </row>
    <row r="8680" spans="1:7" x14ac:dyDescent="0.35">
      <c r="A8680">
        <v>3446</v>
      </c>
      <c r="B8680" s="1">
        <v>45769</v>
      </c>
      <c r="C8680" t="s">
        <v>29</v>
      </c>
      <c r="D8680" s="2">
        <v>0</v>
      </c>
      <c r="E8680" s="2">
        <v>201.5</v>
      </c>
      <c r="F8680" t="s">
        <v>8</v>
      </c>
      <c r="G8680" t="s">
        <v>9</v>
      </c>
    </row>
    <row r="8681" spans="1:7" x14ac:dyDescent="0.35">
      <c r="A8681">
        <v>3447</v>
      </c>
      <c r="B8681" s="1">
        <v>45769</v>
      </c>
      <c r="C8681" t="s">
        <v>29</v>
      </c>
      <c r="D8681" s="2">
        <v>9336.67</v>
      </c>
      <c r="E8681" s="2">
        <v>0</v>
      </c>
      <c r="F8681" t="s">
        <v>28</v>
      </c>
      <c r="G8681" t="s">
        <v>17</v>
      </c>
    </row>
    <row r="8682" spans="1:7" x14ac:dyDescent="0.35">
      <c r="A8682">
        <v>3447</v>
      </c>
      <c r="B8682" s="1">
        <v>45769</v>
      </c>
      <c r="C8682" t="s">
        <v>29</v>
      </c>
      <c r="D8682" s="2">
        <v>0</v>
      </c>
      <c r="E8682" s="2">
        <v>9336.67</v>
      </c>
      <c r="F8682" t="s">
        <v>8</v>
      </c>
      <c r="G8682" t="s">
        <v>9</v>
      </c>
    </row>
    <row r="8683" spans="1:7" x14ac:dyDescent="0.35">
      <c r="A8683">
        <v>3448</v>
      </c>
      <c r="B8683" s="1">
        <v>45769</v>
      </c>
      <c r="C8683" t="s">
        <v>29</v>
      </c>
      <c r="D8683" s="2">
        <v>2635.36</v>
      </c>
      <c r="E8683" s="2">
        <v>0</v>
      </c>
      <c r="F8683" t="s">
        <v>28</v>
      </c>
      <c r="G8683" t="s">
        <v>17</v>
      </c>
    </row>
    <row r="8684" spans="1:7" x14ac:dyDescent="0.35">
      <c r="A8684">
        <v>3448</v>
      </c>
      <c r="B8684" s="1">
        <v>45769</v>
      </c>
      <c r="C8684" t="s">
        <v>29</v>
      </c>
      <c r="D8684" s="2">
        <v>0</v>
      </c>
      <c r="E8684" s="2">
        <v>2635.36</v>
      </c>
      <c r="F8684" t="s">
        <v>8</v>
      </c>
      <c r="G8684" t="s">
        <v>9</v>
      </c>
    </row>
    <row r="8685" spans="1:7" x14ac:dyDescent="0.35">
      <c r="A8685">
        <v>3449</v>
      </c>
      <c r="B8685" s="1">
        <v>45769</v>
      </c>
      <c r="C8685" t="s">
        <v>29</v>
      </c>
      <c r="D8685" s="2">
        <v>179.01</v>
      </c>
      <c r="E8685" s="2">
        <v>0</v>
      </c>
      <c r="F8685" t="s">
        <v>28</v>
      </c>
      <c r="G8685" t="s">
        <v>17</v>
      </c>
    </row>
    <row r="8686" spans="1:7" x14ac:dyDescent="0.35">
      <c r="A8686">
        <v>3449</v>
      </c>
      <c r="B8686" s="1">
        <v>45769</v>
      </c>
      <c r="C8686" t="s">
        <v>29</v>
      </c>
      <c r="D8686" s="2">
        <v>0</v>
      </c>
      <c r="E8686" s="2">
        <v>179.01</v>
      </c>
      <c r="F8686" t="s">
        <v>8</v>
      </c>
      <c r="G8686" t="s">
        <v>9</v>
      </c>
    </row>
    <row r="8687" spans="1:7" x14ac:dyDescent="0.35">
      <c r="A8687">
        <v>3450</v>
      </c>
      <c r="B8687" s="1">
        <v>45770</v>
      </c>
      <c r="C8687" t="s">
        <v>12</v>
      </c>
      <c r="D8687" s="2">
        <v>1176.1400000000001</v>
      </c>
      <c r="E8687" s="2">
        <v>0</v>
      </c>
      <c r="F8687" t="s">
        <v>13</v>
      </c>
      <c r="G8687" t="s">
        <v>9</v>
      </c>
    </row>
    <row r="8688" spans="1:7" x14ac:dyDescent="0.35">
      <c r="A8688">
        <v>3450</v>
      </c>
      <c r="B8688" s="1">
        <v>45770</v>
      </c>
      <c r="C8688" t="s">
        <v>12</v>
      </c>
      <c r="D8688" s="2">
        <v>0</v>
      </c>
      <c r="E8688" s="2">
        <v>1094.0899999999999</v>
      </c>
      <c r="F8688" t="s">
        <v>14</v>
      </c>
      <c r="G8688" t="s">
        <v>15</v>
      </c>
    </row>
    <row r="8689" spans="1:7" x14ac:dyDescent="0.35">
      <c r="A8689">
        <v>3450</v>
      </c>
      <c r="B8689" s="1">
        <v>45770</v>
      </c>
      <c r="C8689" t="s">
        <v>12</v>
      </c>
      <c r="D8689" s="2">
        <v>0</v>
      </c>
      <c r="E8689" s="2">
        <v>82.05</v>
      </c>
      <c r="F8689" t="s">
        <v>16</v>
      </c>
      <c r="G8689" t="s">
        <v>17</v>
      </c>
    </row>
    <row r="8690" spans="1:7" x14ac:dyDescent="0.35">
      <c r="A8690">
        <v>3451</v>
      </c>
      <c r="B8690" s="1">
        <v>45770</v>
      </c>
      <c r="C8690" t="s">
        <v>12</v>
      </c>
      <c r="D8690" s="2">
        <v>3088.1</v>
      </c>
      <c r="E8690" s="2">
        <v>0</v>
      </c>
      <c r="F8690" t="s">
        <v>13</v>
      </c>
      <c r="G8690" t="s">
        <v>9</v>
      </c>
    </row>
    <row r="8691" spans="1:7" x14ac:dyDescent="0.35">
      <c r="A8691">
        <v>3451</v>
      </c>
      <c r="B8691" s="1">
        <v>45770</v>
      </c>
      <c r="C8691" t="s">
        <v>12</v>
      </c>
      <c r="D8691" s="2">
        <v>0</v>
      </c>
      <c r="E8691" s="2">
        <v>2872.64</v>
      </c>
      <c r="F8691" t="s">
        <v>14</v>
      </c>
      <c r="G8691" t="s">
        <v>15</v>
      </c>
    </row>
    <row r="8692" spans="1:7" x14ac:dyDescent="0.35">
      <c r="A8692">
        <v>3451</v>
      </c>
      <c r="B8692" s="1">
        <v>45770</v>
      </c>
      <c r="C8692" t="s">
        <v>12</v>
      </c>
      <c r="D8692" s="2">
        <v>0</v>
      </c>
      <c r="E8692" s="2">
        <v>215.46</v>
      </c>
      <c r="F8692" t="s">
        <v>16</v>
      </c>
      <c r="G8692" t="s">
        <v>17</v>
      </c>
    </row>
    <row r="8693" spans="1:7" x14ac:dyDescent="0.35">
      <c r="A8693">
        <v>3452</v>
      </c>
      <c r="B8693" s="1">
        <v>45770</v>
      </c>
      <c r="C8693" t="s">
        <v>12</v>
      </c>
      <c r="D8693" s="2">
        <v>5346.1</v>
      </c>
      <c r="E8693" s="2">
        <v>0</v>
      </c>
      <c r="F8693" t="s">
        <v>13</v>
      </c>
      <c r="G8693" t="s">
        <v>9</v>
      </c>
    </row>
    <row r="8694" spans="1:7" x14ac:dyDescent="0.35">
      <c r="A8694">
        <v>3452</v>
      </c>
      <c r="B8694" s="1">
        <v>45770</v>
      </c>
      <c r="C8694" t="s">
        <v>12</v>
      </c>
      <c r="D8694" s="2">
        <v>0</v>
      </c>
      <c r="E8694" s="2">
        <v>4973.12</v>
      </c>
      <c r="F8694" t="s">
        <v>14</v>
      </c>
      <c r="G8694" t="s">
        <v>15</v>
      </c>
    </row>
    <row r="8695" spans="1:7" x14ac:dyDescent="0.35">
      <c r="A8695">
        <v>3452</v>
      </c>
      <c r="B8695" s="1">
        <v>45770</v>
      </c>
      <c r="C8695" t="s">
        <v>12</v>
      </c>
      <c r="D8695" s="2">
        <v>0</v>
      </c>
      <c r="E8695" s="2">
        <v>372.98</v>
      </c>
      <c r="F8695" t="s">
        <v>16</v>
      </c>
      <c r="G8695" t="s">
        <v>17</v>
      </c>
    </row>
    <row r="8696" spans="1:7" x14ac:dyDescent="0.35">
      <c r="A8696">
        <v>3453</v>
      </c>
      <c r="B8696" s="1">
        <v>45770</v>
      </c>
      <c r="C8696" t="s">
        <v>24</v>
      </c>
      <c r="D8696" s="2">
        <v>573.48</v>
      </c>
      <c r="E8696" s="2">
        <v>0</v>
      </c>
      <c r="F8696" t="s">
        <v>8</v>
      </c>
      <c r="G8696" t="s">
        <v>9</v>
      </c>
    </row>
    <row r="8697" spans="1:7" x14ac:dyDescent="0.35">
      <c r="A8697">
        <v>3453</v>
      </c>
      <c r="B8697" s="1">
        <v>45770</v>
      </c>
      <c r="C8697" t="s">
        <v>24</v>
      </c>
      <c r="D8697" s="2">
        <v>0</v>
      </c>
      <c r="E8697" s="2">
        <v>573.48</v>
      </c>
      <c r="F8697" t="s">
        <v>13</v>
      </c>
      <c r="G8697" t="s">
        <v>9</v>
      </c>
    </row>
    <row r="8698" spans="1:7" x14ac:dyDescent="0.35">
      <c r="A8698">
        <v>3454</v>
      </c>
      <c r="B8698" s="1">
        <v>45770</v>
      </c>
      <c r="C8698" t="s">
        <v>24</v>
      </c>
      <c r="D8698" s="2">
        <v>1763.47</v>
      </c>
      <c r="E8698" s="2">
        <v>0</v>
      </c>
      <c r="F8698" t="s">
        <v>8</v>
      </c>
      <c r="G8698" t="s">
        <v>9</v>
      </c>
    </row>
    <row r="8699" spans="1:7" x14ac:dyDescent="0.35">
      <c r="A8699">
        <v>3454</v>
      </c>
      <c r="B8699" s="1">
        <v>45770</v>
      </c>
      <c r="C8699" t="s">
        <v>24</v>
      </c>
      <c r="D8699" s="2">
        <v>0</v>
      </c>
      <c r="E8699" s="2">
        <v>1763.47</v>
      </c>
      <c r="F8699" t="s">
        <v>13</v>
      </c>
      <c r="G8699" t="s">
        <v>9</v>
      </c>
    </row>
    <row r="8700" spans="1:7" x14ac:dyDescent="0.35">
      <c r="A8700">
        <v>3455</v>
      </c>
      <c r="B8700" s="1">
        <v>45770</v>
      </c>
      <c r="C8700" t="s">
        <v>24</v>
      </c>
      <c r="D8700" s="2">
        <v>868.03</v>
      </c>
      <c r="E8700" s="2">
        <v>0</v>
      </c>
      <c r="F8700" t="s">
        <v>8</v>
      </c>
      <c r="G8700" t="s">
        <v>9</v>
      </c>
    </row>
    <row r="8701" spans="1:7" x14ac:dyDescent="0.35">
      <c r="A8701">
        <v>3455</v>
      </c>
      <c r="B8701" s="1">
        <v>45770</v>
      </c>
      <c r="C8701" t="s">
        <v>24</v>
      </c>
      <c r="D8701" s="2">
        <v>0</v>
      </c>
      <c r="E8701" s="2">
        <v>868.03</v>
      </c>
      <c r="F8701" t="s">
        <v>13</v>
      </c>
      <c r="G8701" t="s">
        <v>9</v>
      </c>
    </row>
    <row r="8702" spans="1:7" x14ac:dyDescent="0.35">
      <c r="A8702">
        <v>3456</v>
      </c>
      <c r="B8702" s="1">
        <v>45770</v>
      </c>
      <c r="C8702" t="s">
        <v>24</v>
      </c>
      <c r="D8702" s="2">
        <v>1160.06</v>
      </c>
      <c r="E8702" s="2">
        <v>0</v>
      </c>
      <c r="F8702" t="s">
        <v>8</v>
      </c>
      <c r="G8702" t="s">
        <v>9</v>
      </c>
    </row>
    <row r="8703" spans="1:7" x14ac:dyDescent="0.35">
      <c r="A8703">
        <v>3456</v>
      </c>
      <c r="B8703" s="1">
        <v>45770</v>
      </c>
      <c r="C8703" t="s">
        <v>24</v>
      </c>
      <c r="D8703" s="2">
        <v>0</v>
      </c>
      <c r="E8703" s="2">
        <v>1160.06</v>
      </c>
      <c r="F8703" t="s">
        <v>13</v>
      </c>
      <c r="G8703" t="s">
        <v>9</v>
      </c>
    </row>
    <row r="8704" spans="1:7" x14ac:dyDescent="0.35">
      <c r="A8704">
        <v>3457</v>
      </c>
      <c r="B8704" s="1">
        <v>45770</v>
      </c>
      <c r="C8704" t="s">
        <v>24</v>
      </c>
      <c r="D8704" s="2">
        <v>3562.14</v>
      </c>
      <c r="E8704" s="2">
        <v>0</v>
      </c>
      <c r="F8704" t="s">
        <v>8</v>
      </c>
      <c r="G8704" t="s">
        <v>9</v>
      </c>
    </row>
    <row r="8705" spans="1:7" x14ac:dyDescent="0.35">
      <c r="A8705">
        <v>3457</v>
      </c>
      <c r="B8705" s="1">
        <v>45770</v>
      </c>
      <c r="C8705" t="s">
        <v>24</v>
      </c>
      <c r="D8705" s="2">
        <v>0</v>
      </c>
      <c r="E8705" s="2">
        <v>3562.14</v>
      </c>
      <c r="F8705" t="s">
        <v>13</v>
      </c>
      <c r="G8705" t="s">
        <v>9</v>
      </c>
    </row>
    <row r="8706" spans="1:7" x14ac:dyDescent="0.35">
      <c r="A8706">
        <v>3458</v>
      </c>
      <c r="B8706" s="1">
        <v>45770</v>
      </c>
      <c r="C8706" t="s">
        <v>24</v>
      </c>
      <c r="D8706" s="2">
        <v>3413.79</v>
      </c>
      <c r="E8706" s="2">
        <v>0</v>
      </c>
      <c r="F8706" t="s">
        <v>8</v>
      </c>
      <c r="G8706" t="s">
        <v>9</v>
      </c>
    </row>
    <row r="8707" spans="1:7" x14ac:dyDescent="0.35">
      <c r="A8707">
        <v>3458</v>
      </c>
      <c r="B8707" s="1">
        <v>45770</v>
      </c>
      <c r="C8707" t="s">
        <v>24</v>
      </c>
      <c r="D8707" s="2">
        <v>0</v>
      </c>
      <c r="E8707" s="2">
        <v>3413.79</v>
      </c>
      <c r="F8707" t="s">
        <v>13</v>
      </c>
      <c r="G8707" t="s">
        <v>9</v>
      </c>
    </row>
    <row r="8708" spans="1:7" x14ac:dyDescent="0.35">
      <c r="A8708">
        <v>3459</v>
      </c>
      <c r="B8708" s="1">
        <v>45770</v>
      </c>
      <c r="C8708" t="s">
        <v>29</v>
      </c>
      <c r="D8708" s="2">
        <v>2918.17</v>
      </c>
      <c r="E8708" s="2">
        <v>0</v>
      </c>
      <c r="F8708" t="s">
        <v>28</v>
      </c>
      <c r="G8708" t="s">
        <v>17</v>
      </c>
    </row>
    <row r="8709" spans="1:7" x14ac:dyDescent="0.35">
      <c r="A8709">
        <v>3459</v>
      </c>
      <c r="B8709" s="1">
        <v>45770</v>
      </c>
      <c r="C8709" t="s">
        <v>29</v>
      </c>
      <c r="D8709" s="2">
        <v>0</v>
      </c>
      <c r="E8709" s="2">
        <v>2918.17</v>
      </c>
      <c r="F8709" t="s">
        <v>8</v>
      </c>
      <c r="G8709" t="s">
        <v>9</v>
      </c>
    </row>
    <row r="8710" spans="1:7" x14ac:dyDescent="0.35">
      <c r="A8710">
        <v>3460</v>
      </c>
      <c r="B8710" s="1">
        <v>45770</v>
      </c>
      <c r="C8710" t="s">
        <v>29</v>
      </c>
      <c r="D8710" s="2">
        <v>1591.54</v>
      </c>
      <c r="E8710" s="2">
        <v>0</v>
      </c>
      <c r="F8710" t="s">
        <v>28</v>
      </c>
      <c r="G8710" t="s">
        <v>17</v>
      </c>
    </row>
    <row r="8711" spans="1:7" x14ac:dyDescent="0.35">
      <c r="A8711">
        <v>3460</v>
      </c>
      <c r="B8711" s="1">
        <v>45770</v>
      </c>
      <c r="C8711" t="s">
        <v>29</v>
      </c>
      <c r="D8711" s="2">
        <v>0</v>
      </c>
      <c r="E8711" s="2">
        <v>1591.54</v>
      </c>
      <c r="F8711" t="s">
        <v>8</v>
      </c>
      <c r="G8711" t="s">
        <v>9</v>
      </c>
    </row>
    <row r="8712" spans="1:7" x14ac:dyDescent="0.35">
      <c r="A8712">
        <v>3461</v>
      </c>
      <c r="B8712" s="1">
        <v>45770</v>
      </c>
      <c r="C8712" t="s">
        <v>29</v>
      </c>
      <c r="D8712" s="2">
        <v>1766.46</v>
      </c>
      <c r="E8712" s="2">
        <v>0</v>
      </c>
      <c r="F8712" t="s">
        <v>28</v>
      </c>
      <c r="G8712" t="s">
        <v>17</v>
      </c>
    </row>
    <row r="8713" spans="1:7" x14ac:dyDescent="0.35">
      <c r="A8713">
        <v>3461</v>
      </c>
      <c r="B8713" s="1">
        <v>45770</v>
      </c>
      <c r="C8713" t="s">
        <v>29</v>
      </c>
      <c r="D8713" s="2">
        <v>0</v>
      </c>
      <c r="E8713" s="2">
        <v>1766.46</v>
      </c>
      <c r="F8713" t="s">
        <v>8</v>
      </c>
      <c r="G8713" t="s">
        <v>9</v>
      </c>
    </row>
    <row r="8714" spans="1:7" x14ac:dyDescent="0.35">
      <c r="A8714">
        <v>3462</v>
      </c>
      <c r="B8714" s="1">
        <v>45771</v>
      </c>
      <c r="C8714" t="s">
        <v>18</v>
      </c>
      <c r="D8714" s="2">
        <v>22037.74</v>
      </c>
      <c r="E8714" s="2">
        <v>0</v>
      </c>
      <c r="F8714" t="s">
        <v>19</v>
      </c>
      <c r="G8714" t="s">
        <v>20</v>
      </c>
    </row>
    <row r="8715" spans="1:7" x14ac:dyDescent="0.35">
      <c r="A8715">
        <v>3462</v>
      </c>
      <c r="B8715" s="1">
        <v>45771</v>
      </c>
      <c r="C8715" t="s">
        <v>18</v>
      </c>
      <c r="D8715" s="2">
        <v>881.51</v>
      </c>
      <c r="E8715" s="2">
        <v>0</v>
      </c>
      <c r="F8715" t="s">
        <v>21</v>
      </c>
      <c r="G8715" t="s">
        <v>20</v>
      </c>
    </row>
    <row r="8716" spans="1:7" x14ac:dyDescent="0.35">
      <c r="A8716">
        <v>3462</v>
      </c>
      <c r="B8716" s="1">
        <v>45771</v>
      </c>
      <c r="C8716" t="s">
        <v>18</v>
      </c>
      <c r="D8716" s="2">
        <v>0</v>
      </c>
      <c r="E8716" s="2">
        <v>17968.47</v>
      </c>
      <c r="F8716" t="s">
        <v>8</v>
      </c>
      <c r="G8716" t="s">
        <v>9</v>
      </c>
    </row>
    <row r="8717" spans="1:7" x14ac:dyDescent="0.35">
      <c r="A8717">
        <v>3462</v>
      </c>
      <c r="B8717" s="1">
        <v>45771</v>
      </c>
      <c r="C8717" t="s">
        <v>18</v>
      </c>
      <c r="D8717" s="2">
        <v>0</v>
      </c>
      <c r="E8717" s="2">
        <v>4069.27</v>
      </c>
      <c r="F8717" t="s">
        <v>22</v>
      </c>
      <c r="G8717" t="s">
        <v>17</v>
      </c>
    </row>
    <row r="8718" spans="1:7" x14ac:dyDescent="0.35">
      <c r="A8718">
        <v>3462</v>
      </c>
      <c r="B8718" s="1">
        <v>45771</v>
      </c>
      <c r="C8718" t="s">
        <v>18</v>
      </c>
      <c r="D8718" s="2">
        <v>0</v>
      </c>
      <c r="E8718" s="2">
        <v>881.51</v>
      </c>
      <c r="F8718" t="s">
        <v>23</v>
      </c>
      <c r="G8718" t="s">
        <v>17</v>
      </c>
    </row>
    <row r="8719" spans="1:7" x14ac:dyDescent="0.35">
      <c r="A8719">
        <v>3463</v>
      </c>
      <c r="B8719" s="1">
        <v>45771</v>
      </c>
      <c r="C8719" t="s">
        <v>12</v>
      </c>
      <c r="D8719" s="2">
        <v>2041.85</v>
      </c>
      <c r="E8719" s="2">
        <v>0</v>
      </c>
      <c r="F8719" t="s">
        <v>13</v>
      </c>
      <c r="G8719" t="s">
        <v>9</v>
      </c>
    </row>
    <row r="8720" spans="1:7" x14ac:dyDescent="0.35">
      <c r="A8720">
        <v>3463</v>
      </c>
      <c r="B8720" s="1">
        <v>45771</v>
      </c>
      <c r="C8720" t="s">
        <v>12</v>
      </c>
      <c r="D8720" s="2">
        <v>0</v>
      </c>
      <c r="E8720" s="2">
        <v>1899.4</v>
      </c>
      <c r="F8720" t="s">
        <v>14</v>
      </c>
      <c r="G8720" t="s">
        <v>15</v>
      </c>
    </row>
    <row r="8721" spans="1:7" x14ac:dyDescent="0.35">
      <c r="A8721">
        <v>3463</v>
      </c>
      <c r="B8721" s="1">
        <v>45771</v>
      </c>
      <c r="C8721" t="s">
        <v>12</v>
      </c>
      <c r="D8721" s="2">
        <v>0</v>
      </c>
      <c r="E8721" s="2">
        <v>142.44999999999999</v>
      </c>
      <c r="F8721" t="s">
        <v>16</v>
      </c>
      <c r="G8721" t="s">
        <v>17</v>
      </c>
    </row>
    <row r="8722" spans="1:7" x14ac:dyDescent="0.35">
      <c r="A8722">
        <v>3464</v>
      </c>
      <c r="B8722" s="1">
        <v>45771</v>
      </c>
      <c r="C8722" t="s">
        <v>12</v>
      </c>
      <c r="D8722" s="2">
        <v>3936.97</v>
      </c>
      <c r="E8722" s="2">
        <v>0</v>
      </c>
      <c r="F8722" t="s">
        <v>13</v>
      </c>
      <c r="G8722" t="s">
        <v>9</v>
      </c>
    </row>
    <row r="8723" spans="1:7" x14ac:dyDescent="0.35">
      <c r="A8723">
        <v>3464</v>
      </c>
      <c r="B8723" s="1">
        <v>45771</v>
      </c>
      <c r="C8723" t="s">
        <v>12</v>
      </c>
      <c r="D8723" s="2">
        <v>0</v>
      </c>
      <c r="E8723" s="2">
        <v>3662.3</v>
      </c>
      <c r="F8723" t="s">
        <v>14</v>
      </c>
      <c r="G8723" t="s">
        <v>15</v>
      </c>
    </row>
    <row r="8724" spans="1:7" x14ac:dyDescent="0.35">
      <c r="A8724">
        <v>3464</v>
      </c>
      <c r="B8724" s="1">
        <v>45771</v>
      </c>
      <c r="C8724" t="s">
        <v>12</v>
      </c>
      <c r="D8724" s="2">
        <v>0</v>
      </c>
      <c r="E8724" s="2">
        <v>274.67</v>
      </c>
      <c r="F8724" t="s">
        <v>16</v>
      </c>
      <c r="G8724" t="s">
        <v>17</v>
      </c>
    </row>
    <row r="8725" spans="1:7" x14ac:dyDescent="0.35">
      <c r="A8725">
        <v>3465</v>
      </c>
      <c r="B8725" s="1">
        <v>45771</v>
      </c>
      <c r="C8725" t="s">
        <v>12</v>
      </c>
      <c r="D8725" s="2">
        <v>2238.48</v>
      </c>
      <c r="E8725" s="2">
        <v>0</v>
      </c>
      <c r="F8725" t="s">
        <v>13</v>
      </c>
      <c r="G8725" t="s">
        <v>9</v>
      </c>
    </row>
    <row r="8726" spans="1:7" x14ac:dyDescent="0.35">
      <c r="A8726">
        <v>3465</v>
      </c>
      <c r="B8726" s="1">
        <v>45771</v>
      </c>
      <c r="C8726" t="s">
        <v>12</v>
      </c>
      <c r="D8726" s="2">
        <v>0</v>
      </c>
      <c r="E8726" s="2">
        <v>2082.31</v>
      </c>
      <c r="F8726" t="s">
        <v>14</v>
      </c>
      <c r="G8726" t="s">
        <v>15</v>
      </c>
    </row>
    <row r="8727" spans="1:7" x14ac:dyDescent="0.35">
      <c r="A8727">
        <v>3465</v>
      </c>
      <c r="B8727" s="1">
        <v>45771</v>
      </c>
      <c r="C8727" t="s">
        <v>12</v>
      </c>
      <c r="D8727" s="2">
        <v>0</v>
      </c>
      <c r="E8727" s="2">
        <v>156.16999999999999</v>
      </c>
      <c r="F8727" t="s">
        <v>16</v>
      </c>
      <c r="G8727" t="s">
        <v>17</v>
      </c>
    </row>
    <row r="8728" spans="1:7" x14ac:dyDescent="0.35">
      <c r="A8728">
        <v>3466</v>
      </c>
      <c r="B8728" s="1">
        <v>45771</v>
      </c>
      <c r="C8728" t="s">
        <v>12</v>
      </c>
      <c r="D8728" s="2">
        <v>878.86</v>
      </c>
      <c r="E8728" s="2">
        <v>0</v>
      </c>
      <c r="F8728" t="s">
        <v>13</v>
      </c>
      <c r="G8728" t="s">
        <v>9</v>
      </c>
    </row>
    <row r="8729" spans="1:7" x14ac:dyDescent="0.35">
      <c r="A8729">
        <v>3466</v>
      </c>
      <c r="B8729" s="1">
        <v>45771</v>
      </c>
      <c r="C8729" t="s">
        <v>12</v>
      </c>
      <c r="D8729" s="2">
        <v>0</v>
      </c>
      <c r="E8729" s="2">
        <v>817.54</v>
      </c>
      <c r="F8729" t="s">
        <v>14</v>
      </c>
      <c r="G8729" t="s">
        <v>15</v>
      </c>
    </row>
    <row r="8730" spans="1:7" x14ac:dyDescent="0.35">
      <c r="A8730">
        <v>3466</v>
      </c>
      <c r="B8730" s="1">
        <v>45771</v>
      </c>
      <c r="C8730" t="s">
        <v>12</v>
      </c>
      <c r="D8730" s="2">
        <v>0</v>
      </c>
      <c r="E8730" s="2">
        <v>61.32</v>
      </c>
      <c r="F8730" t="s">
        <v>16</v>
      </c>
      <c r="G8730" t="s">
        <v>17</v>
      </c>
    </row>
    <row r="8731" spans="1:7" x14ac:dyDescent="0.35">
      <c r="A8731">
        <v>3467</v>
      </c>
      <c r="B8731" s="1">
        <v>45771</v>
      </c>
      <c r="C8731" t="s">
        <v>12</v>
      </c>
      <c r="D8731" s="2">
        <v>565.71</v>
      </c>
      <c r="E8731" s="2">
        <v>0</v>
      </c>
      <c r="F8731" t="s">
        <v>13</v>
      </c>
      <c r="G8731" t="s">
        <v>9</v>
      </c>
    </row>
    <row r="8732" spans="1:7" x14ac:dyDescent="0.35">
      <c r="A8732">
        <v>3467</v>
      </c>
      <c r="B8732" s="1">
        <v>45771</v>
      </c>
      <c r="C8732" t="s">
        <v>12</v>
      </c>
      <c r="D8732" s="2">
        <v>0</v>
      </c>
      <c r="E8732" s="2">
        <v>526.24</v>
      </c>
      <c r="F8732" t="s">
        <v>14</v>
      </c>
      <c r="G8732" t="s">
        <v>15</v>
      </c>
    </row>
    <row r="8733" spans="1:7" x14ac:dyDescent="0.35">
      <c r="A8733">
        <v>3467</v>
      </c>
      <c r="B8733" s="1">
        <v>45771</v>
      </c>
      <c r="C8733" t="s">
        <v>12</v>
      </c>
      <c r="D8733" s="2">
        <v>0</v>
      </c>
      <c r="E8733" s="2">
        <v>39.47</v>
      </c>
      <c r="F8733" t="s">
        <v>16</v>
      </c>
      <c r="G8733" t="s">
        <v>17</v>
      </c>
    </row>
    <row r="8734" spans="1:7" x14ac:dyDescent="0.35">
      <c r="A8734">
        <v>3468</v>
      </c>
      <c r="B8734" s="1">
        <v>45771</v>
      </c>
      <c r="C8734" t="s">
        <v>24</v>
      </c>
      <c r="D8734" s="2">
        <v>411.83</v>
      </c>
      <c r="E8734" s="2">
        <v>0</v>
      </c>
      <c r="F8734" t="s">
        <v>8</v>
      </c>
      <c r="G8734" t="s">
        <v>9</v>
      </c>
    </row>
    <row r="8735" spans="1:7" x14ac:dyDescent="0.35">
      <c r="A8735">
        <v>3468</v>
      </c>
      <c r="B8735" s="1">
        <v>45771</v>
      </c>
      <c r="C8735" t="s">
        <v>24</v>
      </c>
      <c r="D8735" s="2">
        <v>0</v>
      </c>
      <c r="E8735" s="2">
        <v>411.83</v>
      </c>
      <c r="F8735" t="s">
        <v>13</v>
      </c>
      <c r="G8735" t="s">
        <v>9</v>
      </c>
    </row>
    <row r="8736" spans="1:7" x14ac:dyDescent="0.35">
      <c r="A8736">
        <v>3469</v>
      </c>
      <c r="B8736" s="1">
        <v>45771</v>
      </c>
      <c r="C8736" t="s">
        <v>24</v>
      </c>
      <c r="D8736" s="2">
        <v>921.7</v>
      </c>
      <c r="E8736" s="2">
        <v>0</v>
      </c>
      <c r="F8736" t="s">
        <v>8</v>
      </c>
      <c r="G8736" t="s">
        <v>9</v>
      </c>
    </row>
    <row r="8737" spans="1:7" x14ac:dyDescent="0.35">
      <c r="A8737">
        <v>3469</v>
      </c>
      <c r="B8737" s="1">
        <v>45771</v>
      </c>
      <c r="C8737" t="s">
        <v>24</v>
      </c>
      <c r="D8737" s="2">
        <v>0</v>
      </c>
      <c r="E8737" s="2">
        <v>921.7</v>
      </c>
      <c r="F8737" t="s">
        <v>13</v>
      </c>
      <c r="G8737" t="s">
        <v>9</v>
      </c>
    </row>
    <row r="8738" spans="1:7" x14ac:dyDescent="0.35">
      <c r="A8738">
        <v>3470</v>
      </c>
      <c r="B8738" s="1">
        <v>45771</v>
      </c>
      <c r="C8738" t="s">
        <v>24</v>
      </c>
      <c r="D8738" s="2">
        <v>2041.85</v>
      </c>
      <c r="E8738" s="2">
        <v>0</v>
      </c>
      <c r="F8738" t="s">
        <v>8</v>
      </c>
      <c r="G8738" t="s">
        <v>9</v>
      </c>
    </row>
    <row r="8739" spans="1:7" x14ac:dyDescent="0.35">
      <c r="A8739">
        <v>3470</v>
      </c>
      <c r="B8739" s="1">
        <v>45771</v>
      </c>
      <c r="C8739" t="s">
        <v>24</v>
      </c>
      <c r="D8739" s="2">
        <v>0</v>
      </c>
      <c r="E8739" s="2">
        <v>2041.85</v>
      </c>
      <c r="F8739" t="s">
        <v>13</v>
      </c>
      <c r="G8739" t="s">
        <v>9</v>
      </c>
    </row>
    <row r="8740" spans="1:7" x14ac:dyDescent="0.35">
      <c r="A8740">
        <v>3471</v>
      </c>
      <c r="B8740" s="1">
        <v>45772</v>
      </c>
      <c r="C8740" t="s">
        <v>12</v>
      </c>
      <c r="D8740" s="2">
        <v>1563.55</v>
      </c>
      <c r="E8740" s="2">
        <v>0</v>
      </c>
      <c r="F8740" t="s">
        <v>13</v>
      </c>
      <c r="G8740" t="s">
        <v>9</v>
      </c>
    </row>
    <row r="8741" spans="1:7" x14ac:dyDescent="0.35">
      <c r="A8741">
        <v>3471</v>
      </c>
      <c r="B8741" s="1">
        <v>45772</v>
      </c>
      <c r="C8741" t="s">
        <v>12</v>
      </c>
      <c r="D8741" s="2">
        <v>0</v>
      </c>
      <c r="E8741" s="2">
        <v>1454.46</v>
      </c>
      <c r="F8741" t="s">
        <v>14</v>
      </c>
      <c r="G8741" t="s">
        <v>15</v>
      </c>
    </row>
    <row r="8742" spans="1:7" x14ac:dyDescent="0.35">
      <c r="A8742">
        <v>3471</v>
      </c>
      <c r="B8742" s="1">
        <v>45772</v>
      </c>
      <c r="C8742" t="s">
        <v>12</v>
      </c>
      <c r="D8742" s="2">
        <v>0</v>
      </c>
      <c r="E8742" s="2">
        <v>109.09</v>
      </c>
      <c r="F8742" t="s">
        <v>16</v>
      </c>
      <c r="G8742" t="s">
        <v>17</v>
      </c>
    </row>
    <row r="8743" spans="1:7" x14ac:dyDescent="0.35">
      <c r="A8743">
        <v>3472</v>
      </c>
      <c r="B8743" s="1">
        <v>45772</v>
      </c>
      <c r="C8743" t="s">
        <v>12</v>
      </c>
      <c r="D8743" s="2">
        <v>3720.78</v>
      </c>
      <c r="E8743" s="2">
        <v>0</v>
      </c>
      <c r="F8743" t="s">
        <v>13</v>
      </c>
      <c r="G8743" t="s">
        <v>9</v>
      </c>
    </row>
    <row r="8744" spans="1:7" x14ac:dyDescent="0.35">
      <c r="A8744">
        <v>3472</v>
      </c>
      <c r="B8744" s="1">
        <v>45772</v>
      </c>
      <c r="C8744" t="s">
        <v>12</v>
      </c>
      <c r="D8744" s="2">
        <v>0</v>
      </c>
      <c r="E8744" s="2">
        <v>3461.19</v>
      </c>
      <c r="F8744" t="s">
        <v>14</v>
      </c>
      <c r="G8744" t="s">
        <v>15</v>
      </c>
    </row>
    <row r="8745" spans="1:7" x14ac:dyDescent="0.35">
      <c r="A8745">
        <v>3472</v>
      </c>
      <c r="B8745" s="1">
        <v>45772</v>
      </c>
      <c r="C8745" t="s">
        <v>12</v>
      </c>
      <c r="D8745" s="2">
        <v>0</v>
      </c>
      <c r="E8745" s="2">
        <v>259.58999999999997</v>
      </c>
      <c r="F8745" t="s">
        <v>16</v>
      </c>
      <c r="G8745" t="s">
        <v>17</v>
      </c>
    </row>
    <row r="8746" spans="1:7" x14ac:dyDescent="0.35">
      <c r="A8746">
        <v>3473</v>
      </c>
      <c r="B8746" s="1">
        <v>45772</v>
      </c>
      <c r="C8746" t="s">
        <v>12</v>
      </c>
      <c r="D8746" s="2">
        <v>2120.36</v>
      </c>
      <c r="E8746" s="2">
        <v>0</v>
      </c>
      <c r="F8746" t="s">
        <v>13</v>
      </c>
      <c r="G8746" t="s">
        <v>9</v>
      </c>
    </row>
    <row r="8747" spans="1:7" x14ac:dyDescent="0.35">
      <c r="A8747">
        <v>3473</v>
      </c>
      <c r="B8747" s="1">
        <v>45772</v>
      </c>
      <c r="C8747" t="s">
        <v>12</v>
      </c>
      <c r="D8747" s="2">
        <v>0</v>
      </c>
      <c r="E8747" s="2">
        <v>1972.42</v>
      </c>
      <c r="F8747" t="s">
        <v>14</v>
      </c>
      <c r="G8747" t="s">
        <v>15</v>
      </c>
    </row>
    <row r="8748" spans="1:7" x14ac:dyDescent="0.35">
      <c r="A8748">
        <v>3473</v>
      </c>
      <c r="B8748" s="1">
        <v>45772</v>
      </c>
      <c r="C8748" t="s">
        <v>12</v>
      </c>
      <c r="D8748" s="2">
        <v>0</v>
      </c>
      <c r="E8748" s="2">
        <v>147.94</v>
      </c>
      <c r="F8748" t="s">
        <v>16</v>
      </c>
      <c r="G8748" t="s">
        <v>17</v>
      </c>
    </row>
    <row r="8749" spans="1:7" x14ac:dyDescent="0.35">
      <c r="A8749">
        <v>3474</v>
      </c>
      <c r="B8749" s="1">
        <v>45772</v>
      </c>
      <c r="C8749" t="s">
        <v>24</v>
      </c>
      <c r="D8749" s="2">
        <v>1890.77</v>
      </c>
      <c r="E8749" s="2">
        <v>0</v>
      </c>
      <c r="F8749" t="s">
        <v>8</v>
      </c>
      <c r="G8749" t="s">
        <v>9</v>
      </c>
    </row>
    <row r="8750" spans="1:7" x14ac:dyDescent="0.35">
      <c r="A8750">
        <v>3474</v>
      </c>
      <c r="B8750" s="1">
        <v>45772</v>
      </c>
      <c r="C8750" t="s">
        <v>24</v>
      </c>
      <c r="D8750" s="2">
        <v>0</v>
      </c>
      <c r="E8750" s="2">
        <v>1890.77</v>
      </c>
      <c r="F8750" t="s">
        <v>13</v>
      </c>
      <c r="G8750" t="s">
        <v>9</v>
      </c>
    </row>
    <row r="8751" spans="1:7" x14ac:dyDescent="0.35">
      <c r="A8751">
        <v>3475</v>
      </c>
      <c r="B8751" s="1">
        <v>45772</v>
      </c>
      <c r="C8751" t="s">
        <v>24</v>
      </c>
      <c r="D8751" s="2">
        <v>1502.9</v>
      </c>
      <c r="E8751" s="2">
        <v>0</v>
      </c>
      <c r="F8751" t="s">
        <v>8</v>
      </c>
      <c r="G8751" t="s">
        <v>9</v>
      </c>
    </row>
    <row r="8752" spans="1:7" x14ac:dyDescent="0.35">
      <c r="A8752">
        <v>3475</v>
      </c>
      <c r="B8752" s="1">
        <v>45772</v>
      </c>
      <c r="C8752" t="s">
        <v>24</v>
      </c>
      <c r="D8752" s="2">
        <v>0</v>
      </c>
      <c r="E8752" s="2">
        <v>1502.9</v>
      </c>
      <c r="F8752" t="s">
        <v>13</v>
      </c>
      <c r="G8752" t="s">
        <v>9</v>
      </c>
    </row>
    <row r="8753" spans="1:7" x14ac:dyDescent="0.35">
      <c r="A8753">
        <v>3476</v>
      </c>
      <c r="B8753" s="1">
        <v>45772</v>
      </c>
      <c r="C8753" t="s">
        <v>24</v>
      </c>
      <c r="D8753" s="2">
        <v>4497.43</v>
      </c>
      <c r="E8753" s="2">
        <v>0</v>
      </c>
      <c r="F8753" t="s">
        <v>8</v>
      </c>
      <c r="G8753" t="s">
        <v>9</v>
      </c>
    </row>
    <row r="8754" spans="1:7" x14ac:dyDescent="0.35">
      <c r="A8754">
        <v>3476</v>
      </c>
      <c r="B8754" s="1">
        <v>45772</v>
      </c>
      <c r="C8754" t="s">
        <v>24</v>
      </c>
      <c r="D8754" s="2">
        <v>0</v>
      </c>
      <c r="E8754" s="2">
        <v>4497.43</v>
      </c>
      <c r="F8754" t="s">
        <v>13</v>
      </c>
      <c r="G8754" t="s">
        <v>9</v>
      </c>
    </row>
    <row r="8755" spans="1:7" x14ac:dyDescent="0.35">
      <c r="A8755">
        <v>3477</v>
      </c>
      <c r="B8755" s="1">
        <v>45772</v>
      </c>
      <c r="C8755" t="s">
        <v>25</v>
      </c>
      <c r="D8755" s="2">
        <v>2714.58</v>
      </c>
      <c r="E8755" s="2">
        <v>0</v>
      </c>
      <c r="F8755" t="s">
        <v>26</v>
      </c>
      <c r="G8755" t="s">
        <v>20</v>
      </c>
    </row>
    <row r="8756" spans="1:7" x14ac:dyDescent="0.35">
      <c r="A8756">
        <v>3477</v>
      </c>
      <c r="B8756" s="1">
        <v>45772</v>
      </c>
      <c r="C8756" t="s">
        <v>25</v>
      </c>
      <c r="D8756" s="2">
        <v>203.59</v>
      </c>
      <c r="E8756" s="2">
        <v>0</v>
      </c>
      <c r="F8756" t="s">
        <v>27</v>
      </c>
      <c r="G8756" t="s">
        <v>9</v>
      </c>
    </row>
    <row r="8757" spans="1:7" x14ac:dyDescent="0.35">
      <c r="A8757">
        <v>3477</v>
      </c>
      <c r="B8757" s="1">
        <v>45772</v>
      </c>
      <c r="C8757" t="s">
        <v>25</v>
      </c>
      <c r="D8757" s="2">
        <v>0</v>
      </c>
      <c r="E8757" s="2">
        <v>2918.17</v>
      </c>
      <c r="F8757" t="s">
        <v>28</v>
      </c>
      <c r="G8757" t="s">
        <v>17</v>
      </c>
    </row>
    <row r="8758" spans="1:7" x14ac:dyDescent="0.35">
      <c r="A8758">
        <v>3478</v>
      </c>
      <c r="B8758" s="1">
        <v>45772</v>
      </c>
      <c r="C8758" t="s">
        <v>25</v>
      </c>
      <c r="D8758" s="2">
        <v>1643.22</v>
      </c>
      <c r="E8758" s="2">
        <v>0</v>
      </c>
      <c r="F8758" t="s">
        <v>26</v>
      </c>
      <c r="G8758" t="s">
        <v>20</v>
      </c>
    </row>
    <row r="8759" spans="1:7" x14ac:dyDescent="0.35">
      <c r="A8759">
        <v>3478</v>
      </c>
      <c r="B8759" s="1">
        <v>45772</v>
      </c>
      <c r="C8759" t="s">
        <v>25</v>
      </c>
      <c r="D8759" s="2">
        <v>123.24</v>
      </c>
      <c r="E8759" s="2">
        <v>0</v>
      </c>
      <c r="F8759" t="s">
        <v>27</v>
      </c>
      <c r="G8759" t="s">
        <v>9</v>
      </c>
    </row>
    <row r="8760" spans="1:7" x14ac:dyDescent="0.35">
      <c r="A8760">
        <v>3478</v>
      </c>
      <c r="B8760" s="1">
        <v>45772</v>
      </c>
      <c r="C8760" t="s">
        <v>25</v>
      </c>
      <c r="D8760" s="2">
        <v>0</v>
      </c>
      <c r="E8760" s="2">
        <v>1766.46</v>
      </c>
      <c r="F8760" t="s">
        <v>28</v>
      </c>
      <c r="G8760" t="s">
        <v>17</v>
      </c>
    </row>
    <row r="8761" spans="1:7" x14ac:dyDescent="0.35">
      <c r="A8761">
        <v>3479</v>
      </c>
      <c r="B8761" s="1">
        <v>45772</v>
      </c>
      <c r="C8761" t="s">
        <v>29</v>
      </c>
      <c r="D8761" s="2">
        <v>276.32</v>
      </c>
      <c r="E8761" s="2">
        <v>0</v>
      </c>
      <c r="F8761" t="s">
        <v>28</v>
      </c>
      <c r="G8761" t="s">
        <v>17</v>
      </c>
    </row>
    <row r="8762" spans="1:7" x14ac:dyDescent="0.35">
      <c r="A8762">
        <v>3479</v>
      </c>
      <c r="B8762" s="1">
        <v>45772</v>
      </c>
      <c r="C8762" t="s">
        <v>29</v>
      </c>
      <c r="D8762" s="2">
        <v>0</v>
      </c>
      <c r="E8762" s="2">
        <v>276.32</v>
      </c>
      <c r="F8762" t="s">
        <v>8</v>
      </c>
      <c r="G8762" t="s">
        <v>9</v>
      </c>
    </row>
    <row r="8763" spans="1:7" x14ac:dyDescent="0.35">
      <c r="A8763">
        <v>3480</v>
      </c>
      <c r="B8763" s="1">
        <v>45772</v>
      </c>
      <c r="C8763" t="s">
        <v>29</v>
      </c>
      <c r="D8763" s="2">
        <v>550.4</v>
      </c>
      <c r="E8763" s="2">
        <v>0</v>
      </c>
      <c r="F8763" t="s">
        <v>28</v>
      </c>
      <c r="G8763" t="s">
        <v>17</v>
      </c>
    </row>
    <row r="8764" spans="1:7" x14ac:dyDescent="0.35">
      <c r="A8764">
        <v>3480</v>
      </c>
      <c r="B8764" s="1">
        <v>45772</v>
      </c>
      <c r="C8764" t="s">
        <v>29</v>
      </c>
      <c r="D8764" s="2">
        <v>0</v>
      </c>
      <c r="E8764" s="2">
        <v>550.4</v>
      </c>
      <c r="F8764" t="s">
        <v>8</v>
      </c>
      <c r="G8764" t="s">
        <v>9</v>
      </c>
    </row>
    <row r="8765" spans="1:7" x14ac:dyDescent="0.35">
      <c r="A8765">
        <v>3481</v>
      </c>
      <c r="B8765" s="1">
        <v>45772</v>
      </c>
      <c r="C8765" t="s">
        <v>29</v>
      </c>
      <c r="D8765" s="2">
        <v>2635.36</v>
      </c>
      <c r="E8765" s="2">
        <v>0</v>
      </c>
      <c r="F8765" t="s">
        <v>28</v>
      </c>
      <c r="G8765" t="s">
        <v>17</v>
      </c>
    </row>
    <row r="8766" spans="1:7" x14ac:dyDescent="0.35">
      <c r="A8766">
        <v>3481</v>
      </c>
      <c r="B8766" s="1">
        <v>45772</v>
      </c>
      <c r="C8766" t="s">
        <v>29</v>
      </c>
      <c r="D8766" s="2">
        <v>0</v>
      </c>
      <c r="E8766" s="2">
        <v>2635.36</v>
      </c>
      <c r="F8766" t="s">
        <v>8</v>
      </c>
      <c r="G8766" t="s">
        <v>9</v>
      </c>
    </row>
    <row r="8767" spans="1:7" x14ac:dyDescent="0.35">
      <c r="A8767">
        <v>3482</v>
      </c>
      <c r="B8767" s="1">
        <v>45775</v>
      </c>
      <c r="C8767" t="s">
        <v>12</v>
      </c>
      <c r="D8767" s="2">
        <v>2699.24</v>
      </c>
      <c r="E8767" s="2">
        <v>0</v>
      </c>
      <c r="F8767" t="s">
        <v>13</v>
      </c>
      <c r="G8767" t="s">
        <v>9</v>
      </c>
    </row>
    <row r="8768" spans="1:7" x14ac:dyDescent="0.35">
      <c r="A8768">
        <v>3482</v>
      </c>
      <c r="B8768" s="1">
        <v>45775</v>
      </c>
      <c r="C8768" t="s">
        <v>12</v>
      </c>
      <c r="D8768" s="2">
        <v>0</v>
      </c>
      <c r="E8768" s="2">
        <v>2510.92</v>
      </c>
      <c r="F8768" t="s">
        <v>14</v>
      </c>
      <c r="G8768" t="s">
        <v>15</v>
      </c>
    </row>
    <row r="8769" spans="1:7" x14ac:dyDescent="0.35">
      <c r="A8769">
        <v>3482</v>
      </c>
      <c r="B8769" s="1">
        <v>45775</v>
      </c>
      <c r="C8769" t="s">
        <v>12</v>
      </c>
      <c r="D8769" s="2">
        <v>0</v>
      </c>
      <c r="E8769" s="2">
        <v>188.32</v>
      </c>
      <c r="F8769" t="s">
        <v>16</v>
      </c>
      <c r="G8769" t="s">
        <v>17</v>
      </c>
    </row>
    <row r="8770" spans="1:7" x14ac:dyDescent="0.35">
      <c r="A8770">
        <v>3483</v>
      </c>
      <c r="B8770" s="1">
        <v>45775</v>
      </c>
      <c r="C8770" t="s">
        <v>12</v>
      </c>
      <c r="D8770" s="2">
        <v>2932.92</v>
      </c>
      <c r="E8770" s="2">
        <v>0</v>
      </c>
      <c r="F8770" t="s">
        <v>13</v>
      </c>
      <c r="G8770" t="s">
        <v>9</v>
      </c>
    </row>
    <row r="8771" spans="1:7" x14ac:dyDescent="0.35">
      <c r="A8771">
        <v>3483</v>
      </c>
      <c r="B8771" s="1">
        <v>45775</v>
      </c>
      <c r="C8771" t="s">
        <v>12</v>
      </c>
      <c r="D8771" s="2">
        <v>0</v>
      </c>
      <c r="E8771" s="2">
        <v>2728.28</v>
      </c>
      <c r="F8771" t="s">
        <v>14</v>
      </c>
      <c r="G8771" t="s">
        <v>15</v>
      </c>
    </row>
    <row r="8772" spans="1:7" x14ac:dyDescent="0.35">
      <c r="A8772">
        <v>3483</v>
      </c>
      <c r="B8772" s="1">
        <v>45775</v>
      </c>
      <c r="C8772" t="s">
        <v>12</v>
      </c>
      <c r="D8772" s="2">
        <v>0</v>
      </c>
      <c r="E8772" s="2">
        <v>204.64</v>
      </c>
      <c r="F8772" t="s">
        <v>16</v>
      </c>
      <c r="G8772" t="s">
        <v>17</v>
      </c>
    </row>
    <row r="8773" spans="1:7" x14ac:dyDescent="0.35">
      <c r="A8773">
        <v>3484</v>
      </c>
      <c r="B8773" s="1">
        <v>45775</v>
      </c>
      <c r="C8773" t="s">
        <v>12</v>
      </c>
      <c r="D8773" s="2">
        <v>3273.25</v>
      </c>
      <c r="E8773" s="2">
        <v>0</v>
      </c>
      <c r="F8773" t="s">
        <v>13</v>
      </c>
      <c r="G8773" t="s">
        <v>9</v>
      </c>
    </row>
    <row r="8774" spans="1:7" x14ac:dyDescent="0.35">
      <c r="A8774">
        <v>3484</v>
      </c>
      <c r="B8774" s="1">
        <v>45775</v>
      </c>
      <c r="C8774" t="s">
        <v>12</v>
      </c>
      <c r="D8774" s="2">
        <v>0</v>
      </c>
      <c r="E8774" s="2">
        <v>3044.89</v>
      </c>
      <c r="F8774" t="s">
        <v>14</v>
      </c>
      <c r="G8774" t="s">
        <v>15</v>
      </c>
    </row>
    <row r="8775" spans="1:7" x14ac:dyDescent="0.35">
      <c r="A8775">
        <v>3484</v>
      </c>
      <c r="B8775" s="1">
        <v>45775</v>
      </c>
      <c r="C8775" t="s">
        <v>12</v>
      </c>
      <c r="D8775" s="2">
        <v>0</v>
      </c>
      <c r="E8775" s="2">
        <v>228.36</v>
      </c>
      <c r="F8775" t="s">
        <v>16</v>
      </c>
      <c r="G8775" t="s">
        <v>17</v>
      </c>
    </row>
    <row r="8776" spans="1:7" x14ac:dyDescent="0.35">
      <c r="A8776">
        <v>3485</v>
      </c>
      <c r="B8776" s="1">
        <v>45775</v>
      </c>
      <c r="C8776" t="s">
        <v>24</v>
      </c>
      <c r="D8776" s="2">
        <v>5900.38</v>
      </c>
      <c r="E8776" s="2">
        <v>0</v>
      </c>
      <c r="F8776" t="s">
        <v>8</v>
      </c>
      <c r="G8776" t="s">
        <v>9</v>
      </c>
    </row>
    <row r="8777" spans="1:7" x14ac:dyDescent="0.35">
      <c r="A8777">
        <v>3485</v>
      </c>
      <c r="B8777" s="1">
        <v>45775</v>
      </c>
      <c r="C8777" t="s">
        <v>24</v>
      </c>
      <c r="D8777" s="2">
        <v>0</v>
      </c>
      <c r="E8777" s="2">
        <v>5900.38</v>
      </c>
      <c r="F8777" t="s">
        <v>13</v>
      </c>
      <c r="G8777" t="s">
        <v>9</v>
      </c>
    </row>
    <row r="8778" spans="1:7" x14ac:dyDescent="0.35">
      <c r="A8778">
        <v>3486</v>
      </c>
      <c r="B8778" s="1">
        <v>45775</v>
      </c>
      <c r="C8778" t="s">
        <v>24</v>
      </c>
      <c r="D8778" s="2">
        <v>1885.45</v>
      </c>
      <c r="E8778" s="2">
        <v>0</v>
      </c>
      <c r="F8778" t="s">
        <v>8</v>
      </c>
      <c r="G8778" t="s">
        <v>9</v>
      </c>
    </row>
    <row r="8779" spans="1:7" x14ac:dyDescent="0.35">
      <c r="A8779">
        <v>3486</v>
      </c>
      <c r="B8779" s="1">
        <v>45775</v>
      </c>
      <c r="C8779" t="s">
        <v>24</v>
      </c>
      <c r="D8779" s="2">
        <v>0</v>
      </c>
      <c r="E8779" s="2">
        <v>1885.45</v>
      </c>
      <c r="F8779" t="s">
        <v>13</v>
      </c>
      <c r="G8779" t="s">
        <v>9</v>
      </c>
    </row>
    <row r="8780" spans="1:7" x14ac:dyDescent="0.35">
      <c r="A8780">
        <v>3487</v>
      </c>
      <c r="B8780" s="1">
        <v>45775</v>
      </c>
      <c r="C8780" t="s">
        <v>25</v>
      </c>
      <c r="D8780" s="2">
        <v>696.06</v>
      </c>
      <c r="E8780" s="2">
        <v>0</v>
      </c>
      <c r="F8780" t="s">
        <v>26</v>
      </c>
      <c r="G8780" t="s">
        <v>20</v>
      </c>
    </row>
    <row r="8781" spans="1:7" x14ac:dyDescent="0.35">
      <c r="A8781">
        <v>3487</v>
      </c>
      <c r="B8781" s="1">
        <v>45775</v>
      </c>
      <c r="C8781" t="s">
        <v>25</v>
      </c>
      <c r="D8781" s="2">
        <v>52.2</v>
      </c>
      <c r="E8781" s="2">
        <v>0</v>
      </c>
      <c r="F8781" t="s">
        <v>27</v>
      </c>
      <c r="G8781" t="s">
        <v>9</v>
      </c>
    </row>
    <row r="8782" spans="1:7" x14ac:dyDescent="0.35">
      <c r="A8782">
        <v>3487</v>
      </c>
      <c r="B8782" s="1">
        <v>45775</v>
      </c>
      <c r="C8782" t="s">
        <v>25</v>
      </c>
      <c r="D8782" s="2">
        <v>0</v>
      </c>
      <c r="E8782" s="2">
        <v>748.26</v>
      </c>
      <c r="F8782" t="s">
        <v>28</v>
      </c>
      <c r="G8782" t="s">
        <v>17</v>
      </c>
    </row>
    <row r="8783" spans="1:7" x14ac:dyDescent="0.35">
      <c r="A8783">
        <v>3488</v>
      </c>
      <c r="B8783" s="1">
        <v>45775</v>
      </c>
      <c r="C8783" t="s">
        <v>25</v>
      </c>
      <c r="D8783" s="2">
        <v>383.76</v>
      </c>
      <c r="E8783" s="2">
        <v>0</v>
      </c>
      <c r="F8783" t="s">
        <v>26</v>
      </c>
      <c r="G8783" t="s">
        <v>20</v>
      </c>
    </row>
    <row r="8784" spans="1:7" x14ac:dyDescent="0.35">
      <c r="A8784">
        <v>3488</v>
      </c>
      <c r="B8784" s="1">
        <v>45775</v>
      </c>
      <c r="C8784" t="s">
        <v>25</v>
      </c>
      <c r="D8784" s="2">
        <v>28.78</v>
      </c>
      <c r="E8784" s="2">
        <v>0</v>
      </c>
      <c r="F8784" t="s">
        <v>27</v>
      </c>
      <c r="G8784" t="s">
        <v>9</v>
      </c>
    </row>
    <row r="8785" spans="1:7" x14ac:dyDescent="0.35">
      <c r="A8785">
        <v>3488</v>
      </c>
      <c r="B8785" s="1">
        <v>45775</v>
      </c>
      <c r="C8785" t="s">
        <v>25</v>
      </c>
      <c r="D8785" s="2">
        <v>0</v>
      </c>
      <c r="E8785" s="2">
        <v>412.54</v>
      </c>
      <c r="F8785" t="s">
        <v>28</v>
      </c>
      <c r="G8785" t="s">
        <v>17</v>
      </c>
    </row>
    <row r="8786" spans="1:7" x14ac:dyDescent="0.35">
      <c r="A8786">
        <v>3489</v>
      </c>
      <c r="B8786" s="1">
        <v>45775</v>
      </c>
      <c r="C8786" t="s">
        <v>25</v>
      </c>
      <c r="D8786" s="2">
        <v>1078.92</v>
      </c>
      <c r="E8786" s="2">
        <v>0</v>
      </c>
      <c r="F8786" t="s">
        <v>26</v>
      </c>
      <c r="G8786" t="s">
        <v>20</v>
      </c>
    </row>
    <row r="8787" spans="1:7" x14ac:dyDescent="0.35">
      <c r="A8787">
        <v>3489</v>
      </c>
      <c r="B8787" s="1">
        <v>45775</v>
      </c>
      <c r="C8787" t="s">
        <v>25</v>
      </c>
      <c r="D8787" s="2">
        <v>80.92</v>
      </c>
      <c r="E8787" s="2">
        <v>0</v>
      </c>
      <c r="F8787" t="s">
        <v>27</v>
      </c>
      <c r="G8787" t="s">
        <v>9</v>
      </c>
    </row>
    <row r="8788" spans="1:7" x14ac:dyDescent="0.35">
      <c r="A8788">
        <v>3489</v>
      </c>
      <c r="B8788" s="1">
        <v>45775</v>
      </c>
      <c r="C8788" t="s">
        <v>25</v>
      </c>
      <c r="D8788" s="2">
        <v>0</v>
      </c>
      <c r="E8788" s="2">
        <v>1159.8399999999999</v>
      </c>
      <c r="F8788" t="s">
        <v>28</v>
      </c>
      <c r="G8788" t="s">
        <v>17</v>
      </c>
    </row>
    <row r="8789" spans="1:7" x14ac:dyDescent="0.35">
      <c r="A8789">
        <v>3490</v>
      </c>
      <c r="B8789" s="1">
        <v>45775</v>
      </c>
      <c r="C8789" t="s">
        <v>25</v>
      </c>
      <c r="D8789" s="2">
        <v>2329.52</v>
      </c>
      <c r="E8789" s="2">
        <v>0</v>
      </c>
      <c r="F8789" t="s">
        <v>26</v>
      </c>
      <c r="G8789" t="s">
        <v>20</v>
      </c>
    </row>
    <row r="8790" spans="1:7" x14ac:dyDescent="0.35">
      <c r="A8790">
        <v>3490</v>
      </c>
      <c r="B8790" s="1">
        <v>45775</v>
      </c>
      <c r="C8790" t="s">
        <v>25</v>
      </c>
      <c r="D8790" s="2">
        <v>174.71</v>
      </c>
      <c r="E8790" s="2">
        <v>0</v>
      </c>
      <c r="F8790" t="s">
        <v>27</v>
      </c>
      <c r="G8790" t="s">
        <v>9</v>
      </c>
    </row>
    <row r="8791" spans="1:7" x14ac:dyDescent="0.35">
      <c r="A8791">
        <v>3490</v>
      </c>
      <c r="B8791" s="1">
        <v>45775</v>
      </c>
      <c r="C8791" t="s">
        <v>25</v>
      </c>
      <c r="D8791" s="2">
        <v>0</v>
      </c>
      <c r="E8791" s="2">
        <v>2504.23</v>
      </c>
      <c r="F8791" t="s">
        <v>28</v>
      </c>
      <c r="G8791" t="s">
        <v>17</v>
      </c>
    </row>
    <row r="8792" spans="1:7" x14ac:dyDescent="0.35">
      <c r="A8792">
        <v>3491</v>
      </c>
      <c r="B8792" s="1">
        <v>45775</v>
      </c>
      <c r="C8792" t="s">
        <v>25</v>
      </c>
      <c r="D8792" s="2">
        <v>512</v>
      </c>
      <c r="E8792" s="2">
        <v>0</v>
      </c>
      <c r="F8792" t="s">
        <v>26</v>
      </c>
      <c r="G8792" t="s">
        <v>20</v>
      </c>
    </row>
    <row r="8793" spans="1:7" x14ac:dyDescent="0.35">
      <c r="A8793">
        <v>3491</v>
      </c>
      <c r="B8793" s="1">
        <v>45775</v>
      </c>
      <c r="C8793" t="s">
        <v>25</v>
      </c>
      <c r="D8793" s="2">
        <v>38.4</v>
      </c>
      <c r="E8793" s="2">
        <v>0</v>
      </c>
      <c r="F8793" t="s">
        <v>27</v>
      </c>
      <c r="G8793" t="s">
        <v>9</v>
      </c>
    </row>
    <row r="8794" spans="1:7" x14ac:dyDescent="0.35">
      <c r="A8794">
        <v>3491</v>
      </c>
      <c r="B8794" s="1">
        <v>45775</v>
      </c>
      <c r="C8794" t="s">
        <v>25</v>
      </c>
      <c r="D8794" s="2">
        <v>0</v>
      </c>
      <c r="E8794" s="2">
        <v>550.4</v>
      </c>
      <c r="F8794" t="s">
        <v>28</v>
      </c>
      <c r="G8794" t="s">
        <v>17</v>
      </c>
    </row>
    <row r="8795" spans="1:7" x14ac:dyDescent="0.35">
      <c r="A8795">
        <v>3492</v>
      </c>
      <c r="B8795" s="1">
        <v>45775</v>
      </c>
      <c r="C8795" t="s">
        <v>25</v>
      </c>
      <c r="D8795" s="2">
        <v>952.02</v>
      </c>
      <c r="E8795" s="2">
        <v>0</v>
      </c>
      <c r="F8795" t="s">
        <v>26</v>
      </c>
      <c r="G8795" t="s">
        <v>20</v>
      </c>
    </row>
    <row r="8796" spans="1:7" x14ac:dyDescent="0.35">
      <c r="A8796">
        <v>3492</v>
      </c>
      <c r="B8796" s="1">
        <v>45775</v>
      </c>
      <c r="C8796" t="s">
        <v>25</v>
      </c>
      <c r="D8796" s="2">
        <v>71.400000000000006</v>
      </c>
      <c r="E8796" s="2">
        <v>0</v>
      </c>
      <c r="F8796" t="s">
        <v>27</v>
      </c>
      <c r="G8796" t="s">
        <v>9</v>
      </c>
    </row>
    <row r="8797" spans="1:7" x14ac:dyDescent="0.35">
      <c r="A8797">
        <v>3492</v>
      </c>
      <c r="B8797" s="1">
        <v>45775</v>
      </c>
      <c r="C8797" t="s">
        <v>25</v>
      </c>
      <c r="D8797" s="2">
        <v>0</v>
      </c>
      <c r="E8797" s="2">
        <v>1023.42</v>
      </c>
      <c r="F8797" t="s">
        <v>28</v>
      </c>
      <c r="G8797" t="s">
        <v>17</v>
      </c>
    </row>
    <row r="8798" spans="1:7" x14ac:dyDescent="0.35">
      <c r="A8798">
        <v>3493</v>
      </c>
      <c r="B8798" s="1">
        <v>45775</v>
      </c>
      <c r="C8798" t="s">
        <v>25</v>
      </c>
      <c r="D8798" s="2">
        <v>257.04000000000002</v>
      </c>
      <c r="E8798" s="2">
        <v>0</v>
      </c>
      <c r="F8798" t="s">
        <v>26</v>
      </c>
      <c r="G8798" t="s">
        <v>20</v>
      </c>
    </row>
    <row r="8799" spans="1:7" x14ac:dyDescent="0.35">
      <c r="A8799">
        <v>3493</v>
      </c>
      <c r="B8799" s="1">
        <v>45775</v>
      </c>
      <c r="C8799" t="s">
        <v>25</v>
      </c>
      <c r="D8799" s="2">
        <v>19.28</v>
      </c>
      <c r="E8799" s="2">
        <v>0</v>
      </c>
      <c r="F8799" t="s">
        <v>27</v>
      </c>
      <c r="G8799" t="s">
        <v>9</v>
      </c>
    </row>
    <row r="8800" spans="1:7" x14ac:dyDescent="0.35">
      <c r="A8800">
        <v>3493</v>
      </c>
      <c r="B8800" s="1">
        <v>45775</v>
      </c>
      <c r="C8800" t="s">
        <v>25</v>
      </c>
      <c r="D8800" s="2">
        <v>0</v>
      </c>
      <c r="E8800" s="2">
        <v>276.32</v>
      </c>
      <c r="F8800" t="s">
        <v>28</v>
      </c>
      <c r="G8800" t="s">
        <v>17</v>
      </c>
    </row>
    <row r="8801" spans="1:7" x14ac:dyDescent="0.35">
      <c r="A8801">
        <v>3494</v>
      </c>
      <c r="B8801" s="1">
        <v>45775</v>
      </c>
      <c r="C8801" t="s">
        <v>25</v>
      </c>
      <c r="D8801" s="2">
        <v>1947.24</v>
      </c>
      <c r="E8801" s="2">
        <v>0</v>
      </c>
      <c r="F8801" t="s">
        <v>26</v>
      </c>
      <c r="G8801" t="s">
        <v>20</v>
      </c>
    </row>
    <row r="8802" spans="1:7" x14ac:dyDescent="0.35">
      <c r="A8802">
        <v>3494</v>
      </c>
      <c r="B8802" s="1">
        <v>45775</v>
      </c>
      <c r="C8802" t="s">
        <v>25</v>
      </c>
      <c r="D8802" s="2">
        <v>146.04</v>
      </c>
      <c r="E8802" s="2">
        <v>0</v>
      </c>
      <c r="F8802" t="s">
        <v>27</v>
      </c>
      <c r="G8802" t="s">
        <v>9</v>
      </c>
    </row>
    <row r="8803" spans="1:7" x14ac:dyDescent="0.35">
      <c r="A8803">
        <v>3494</v>
      </c>
      <c r="B8803" s="1">
        <v>45775</v>
      </c>
      <c r="C8803" t="s">
        <v>25</v>
      </c>
      <c r="D8803" s="2">
        <v>0</v>
      </c>
      <c r="E8803" s="2">
        <v>2093.2800000000002</v>
      </c>
      <c r="F8803" t="s">
        <v>28</v>
      </c>
      <c r="G8803" t="s">
        <v>17</v>
      </c>
    </row>
    <row r="8804" spans="1:7" x14ac:dyDescent="0.35">
      <c r="A8804">
        <v>3495</v>
      </c>
      <c r="B8804" s="1">
        <v>45775</v>
      </c>
      <c r="C8804" t="s">
        <v>25</v>
      </c>
      <c r="D8804" s="2">
        <v>1800.04</v>
      </c>
      <c r="E8804" s="2">
        <v>0</v>
      </c>
      <c r="F8804" t="s">
        <v>26</v>
      </c>
      <c r="G8804" t="s">
        <v>20</v>
      </c>
    </row>
    <row r="8805" spans="1:7" x14ac:dyDescent="0.35">
      <c r="A8805">
        <v>3495</v>
      </c>
      <c r="B8805" s="1">
        <v>45775</v>
      </c>
      <c r="C8805" t="s">
        <v>25</v>
      </c>
      <c r="D8805" s="2">
        <v>135</v>
      </c>
      <c r="E8805" s="2">
        <v>0</v>
      </c>
      <c r="F8805" t="s">
        <v>27</v>
      </c>
      <c r="G8805" t="s">
        <v>9</v>
      </c>
    </row>
    <row r="8806" spans="1:7" x14ac:dyDescent="0.35">
      <c r="A8806">
        <v>3495</v>
      </c>
      <c r="B8806" s="1">
        <v>45775</v>
      </c>
      <c r="C8806" t="s">
        <v>25</v>
      </c>
      <c r="D8806" s="2">
        <v>0</v>
      </c>
      <c r="E8806" s="2">
        <v>1935.04</v>
      </c>
      <c r="F8806" t="s">
        <v>28</v>
      </c>
      <c r="G8806" t="s">
        <v>17</v>
      </c>
    </row>
    <row r="8807" spans="1:7" x14ac:dyDescent="0.35">
      <c r="A8807">
        <v>3496</v>
      </c>
      <c r="B8807" s="1">
        <v>45775</v>
      </c>
      <c r="C8807" t="s">
        <v>29</v>
      </c>
      <c r="D8807" s="2">
        <v>550.4</v>
      </c>
      <c r="E8807" s="2">
        <v>0</v>
      </c>
      <c r="F8807" t="s">
        <v>28</v>
      </c>
      <c r="G8807" t="s">
        <v>17</v>
      </c>
    </row>
    <row r="8808" spans="1:7" x14ac:dyDescent="0.35">
      <c r="A8808">
        <v>3496</v>
      </c>
      <c r="B8808" s="1">
        <v>45775</v>
      </c>
      <c r="C8808" t="s">
        <v>29</v>
      </c>
      <c r="D8808" s="2">
        <v>0</v>
      </c>
      <c r="E8808" s="2">
        <v>550.4</v>
      </c>
      <c r="F8808" t="s">
        <v>8</v>
      </c>
      <c r="G8808" t="s">
        <v>9</v>
      </c>
    </row>
    <row r="8809" spans="1:7" x14ac:dyDescent="0.35">
      <c r="A8809">
        <v>3497</v>
      </c>
      <c r="B8809" s="1">
        <v>45775</v>
      </c>
      <c r="C8809" t="s">
        <v>29</v>
      </c>
      <c r="D8809" s="2">
        <v>2093.2800000000002</v>
      </c>
      <c r="E8809" s="2">
        <v>0</v>
      </c>
      <c r="F8809" t="s">
        <v>28</v>
      </c>
      <c r="G8809" t="s">
        <v>17</v>
      </c>
    </row>
    <row r="8810" spans="1:7" x14ac:dyDescent="0.35">
      <c r="A8810">
        <v>3497</v>
      </c>
      <c r="B8810" s="1">
        <v>45775</v>
      </c>
      <c r="C8810" t="s">
        <v>29</v>
      </c>
      <c r="D8810" s="2">
        <v>0</v>
      </c>
      <c r="E8810" s="2">
        <v>2093.2800000000002</v>
      </c>
      <c r="F8810" t="s">
        <v>8</v>
      </c>
      <c r="G8810" t="s">
        <v>9</v>
      </c>
    </row>
    <row r="8811" spans="1:7" x14ac:dyDescent="0.35">
      <c r="A8811">
        <v>3498</v>
      </c>
      <c r="B8811" s="1">
        <v>45775</v>
      </c>
      <c r="C8811" t="s">
        <v>29</v>
      </c>
      <c r="D8811" s="2">
        <v>1935.04</v>
      </c>
      <c r="E8811" s="2">
        <v>0</v>
      </c>
      <c r="F8811" t="s">
        <v>28</v>
      </c>
      <c r="G8811" t="s">
        <v>17</v>
      </c>
    </row>
    <row r="8812" spans="1:7" x14ac:dyDescent="0.35">
      <c r="A8812">
        <v>3498</v>
      </c>
      <c r="B8812" s="1">
        <v>45775</v>
      </c>
      <c r="C8812" t="s">
        <v>29</v>
      </c>
      <c r="D8812" s="2">
        <v>0</v>
      </c>
      <c r="E8812" s="2">
        <v>1935.04</v>
      </c>
      <c r="F8812" t="s">
        <v>8</v>
      </c>
      <c r="G8812" t="s">
        <v>9</v>
      </c>
    </row>
    <row r="8813" spans="1:7" x14ac:dyDescent="0.35">
      <c r="A8813">
        <v>3499</v>
      </c>
      <c r="B8813" s="1">
        <v>45775</v>
      </c>
      <c r="C8813" t="s">
        <v>29</v>
      </c>
      <c r="D8813" s="2">
        <v>3868.8</v>
      </c>
      <c r="E8813" s="2">
        <v>0</v>
      </c>
      <c r="F8813" t="s">
        <v>28</v>
      </c>
      <c r="G8813" t="s">
        <v>17</v>
      </c>
    </row>
    <row r="8814" spans="1:7" x14ac:dyDescent="0.35">
      <c r="A8814">
        <v>3499</v>
      </c>
      <c r="B8814" s="1">
        <v>45775</v>
      </c>
      <c r="C8814" t="s">
        <v>29</v>
      </c>
      <c r="D8814" s="2">
        <v>0</v>
      </c>
      <c r="E8814" s="2">
        <v>3868.8</v>
      </c>
      <c r="F8814" t="s">
        <v>8</v>
      </c>
      <c r="G8814" t="s">
        <v>9</v>
      </c>
    </row>
    <row r="8815" spans="1:7" x14ac:dyDescent="0.35">
      <c r="A8815">
        <v>3500</v>
      </c>
      <c r="B8815" s="1">
        <v>45775</v>
      </c>
      <c r="C8815" t="s">
        <v>29</v>
      </c>
      <c r="D8815" s="2">
        <v>2918.17</v>
      </c>
      <c r="E8815" s="2">
        <v>0</v>
      </c>
      <c r="F8815" t="s">
        <v>28</v>
      </c>
      <c r="G8815" t="s">
        <v>17</v>
      </c>
    </row>
    <row r="8816" spans="1:7" x14ac:dyDescent="0.35">
      <c r="A8816">
        <v>3500</v>
      </c>
      <c r="B8816" s="1">
        <v>45775</v>
      </c>
      <c r="C8816" t="s">
        <v>29</v>
      </c>
      <c r="D8816" s="2">
        <v>0</v>
      </c>
      <c r="E8816" s="2">
        <v>2918.17</v>
      </c>
      <c r="F8816" t="s">
        <v>8</v>
      </c>
      <c r="G8816" t="s">
        <v>9</v>
      </c>
    </row>
    <row r="8817" spans="1:7" x14ac:dyDescent="0.35">
      <c r="A8817">
        <v>3501</v>
      </c>
      <c r="B8817" s="1">
        <v>45776</v>
      </c>
      <c r="C8817" t="s">
        <v>12</v>
      </c>
      <c r="D8817" s="2">
        <v>847.32</v>
      </c>
      <c r="E8817" s="2">
        <v>0</v>
      </c>
      <c r="F8817" t="s">
        <v>13</v>
      </c>
      <c r="G8817" t="s">
        <v>9</v>
      </c>
    </row>
    <row r="8818" spans="1:7" x14ac:dyDescent="0.35">
      <c r="A8818">
        <v>3501</v>
      </c>
      <c r="B8818" s="1">
        <v>45776</v>
      </c>
      <c r="C8818" t="s">
        <v>12</v>
      </c>
      <c r="D8818" s="2">
        <v>0</v>
      </c>
      <c r="E8818" s="2">
        <v>788.2</v>
      </c>
      <c r="F8818" t="s">
        <v>14</v>
      </c>
      <c r="G8818" t="s">
        <v>15</v>
      </c>
    </row>
    <row r="8819" spans="1:7" x14ac:dyDescent="0.35">
      <c r="A8819">
        <v>3501</v>
      </c>
      <c r="B8819" s="1">
        <v>45776</v>
      </c>
      <c r="C8819" t="s">
        <v>12</v>
      </c>
      <c r="D8819" s="2">
        <v>0</v>
      </c>
      <c r="E8819" s="2">
        <v>59.12</v>
      </c>
      <c r="F8819" t="s">
        <v>16</v>
      </c>
      <c r="G8819" t="s">
        <v>17</v>
      </c>
    </row>
    <row r="8820" spans="1:7" x14ac:dyDescent="0.35">
      <c r="A8820">
        <v>3502</v>
      </c>
      <c r="B8820" s="1">
        <v>45776</v>
      </c>
      <c r="C8820" t="s">
        <v>12</v>
      </c>
      <c r="D8820" s="2">
        <v>3866.59</v>
      </c>
      <c r="E8820" s="2">
        <v>0</v>
      </c>
      <c r="F8820" t="s">
        <v>13</v>
      </c>
      <c r="G8820" t="s">
        <v>9</v>
      </c>
    </row>
    <row r="8821" spans="1:7" x14ac:dyDescent="0.35">
      <c r="A8821">
        <v>3502</v>
      </c>
      <c r="B8821" s="1">
        <v>45776</v>
      </c>
      <c r="C8821" t="s">
        <v>12</v>
      </c>
      <c r="D8821" s="2">
        <v>0</v>
      </c>
      <c r="E8821" s="2">
        <v>3596.84</v>
      </c>
      <c r="F8821" t="s">
        <v>14</v>
      </c>
      <c r="G8821" t="s">
        <v>15</v>
      </c>
    </row>
    <row r="8822" spans="1:7" x14ac:dyDescent="0.35">
      <c r="A8822">
        <v>3502</v>
      </c>
      <c r="B8822" s="1">
        <v>45776</v>
      </c>
      <c r="C8822" t="s">
        <v>12</v>
      </c>
      <c r="D8822" s="2">
        <v>0</v>
      </c>
      <c r="E8822" s="2">
        <v>269.75</v>
      </c>
      <c r="F8822" t="s">
        <v>16</v>
      </c>
      <c r="G8822" t="s">
        <v>17</v>
      </c>
    </row>
    <row r="8823" spans="1:7" x14ac:dyDescent="0.35">
      <c r="A8823">
        <v>3503</v>
      </c>
      <c r="B8823" s="1">
        <v>45776</v>
      </c>
      <c r="C8823" t="s">
        <v>12</v>
      </c>
      <c r="D8823" s="2">
        <v>545.69000000000005</v>
      </c>
      <c r="E8823" s="2">
        <v>0</v>
      </c>
      <c r="F8823" t="s">
        <v>13</v>
      </c>
      <c r="G8823" t="s">
        <v>9</v>
      </c>
    </row>
    <row r="8824" spans="1:7" x14ac:dyDescent="0.35">
      <c r="A8824">
        <v>3503</v>
      </c>
      <c r="B8824" s="1">
        <v>45776</v>
      </c>
      <c r="C8824" t="s">
        <v>12</v>
      </c>
      <c r="D8824" s="2">
        <v>0</v>
      </c>
      <c r="E8824" s="2">
        <v>507.62</v>
      </c>
      <c r="F8824" t="s">
        <v>14</v>
      </c>
      <c r="G8824" t="s">
        <v>15</v>
      </c>
    </row>
    <row r="8825" spans="1:7" x14ac:dyDescent="0.35">
      <c r="A8825">
        <v>3503</v>
      </c>
      <c r="B8825" s="1">
        <v>45776</v>
      </c>
      <c r="C8825" t="s">
        <v>12</v>
      </c>
      <c r="D8825" s="2">
        <v>0</v>
      </c>
      <c r="E8825" s="2">
        <v>38.07</v>
      </c>
      <c r="F8825" t="s">
        <v>16</v>
      </c>
      <c r="G8825" t="s">
        <v>17</v>
      </c>
    </row>
    <row r="8826" spans="1:7" x14ac:dyDescent="0.35">
      <c r="A8826">
        <v>3504</v>
      </c>
      <c r="B8826" s="1">
        <v>45776</v>
      </c>
      <c r="C8826" t="s">
        <v>12</v>
      </c>
      <c r="D8826" s="2">
        <v>5578.12</v>
      </c>
      <c r="E8826" s="2">
        <v>0</v>
      </c>
      <c r="F8826" t="s">
        <v>13</v>
      </c>
      <c r="G8826" t="s">
        <v>9</v>
      </c>
    </row>
    <row r="8827" spans="1:7" x14ac:dyDescent="0.35">
      <c r="A8827">
        <v>3504</v>
      </c>
      <c r="B8827" s="1">
        <v>45776</v>
      </c>
      <c r="C8827" t="s">
        <v>12</v>
      </c>
      <c r="D8827" s="2">
        <v>0</v>
      </c>
      <c r="E8827" s="2">
        <v>5188.95</v>
      </c>
      <c r="F8827" t="s">
        <v>14</v>
      </c>
      <c r="G8827" t="s">
        <v>15</v>
      </c>
    </row>
    <row r="8828" spans="1:7" x14ac:dyDescent="0.35">
      <c r="A8828">
        <v>3504</v>
      </c>
      <c r="B8828" s="1">
        <v>45776</v>
      </c>
      <c r="C8828" t="s">
        <v>12</v>
      </c>
      <c r="D8828" s="2">
        <v>0</v>
      </c>
      <c r="E8828" s="2">
        <v>389.17</v>
      </c>
      <c r="F8828" t="s">
        <v>16</v>
      </c>
      <c r="G8828" t="s">
        <v>17</v>
      </c>
    </row>
    <row r="8829" spans="1:7" x14ac:dyDescent="0.35">
      <c r="A8829">
        <v>3505</v>
      </c>
      <c r="B8829" s="1">
        <v>45776</v>
      </c>
      <c r="C8829" t="s">
        <v>12</v>
      </c>
      <c r="D8829" s="2">
        <v>3394.97</v>
      </c>
      <c r="E8829" s="2">
        <v>0</v>
      </c>
      <c r="F8829" t="s">
        <v>13</v>
      </c>
      <c r="G8829" t="s">
        <v>9</v>
      </c>
    </row>
    <row r="8830" spans="1:7" x14ac:dyDescent="0.35">
      <c r="A8830">
        <v>3505</v>
      </c>
      <c r="B8830" s="1">
        <v>45776</v>
      </c>
      <c r="C8830" t="s">
        <v>12</v>
      </c>
      <c r="D8830" s="2">
        <v>0</v>
      </c>
      <c r="E8830" s="2">
        <v>3158.11</v>
      </c>
      <c r="F8830" t="s">
        <v>14</v>
      </c>
      <c r="G8830" t="s">
        <v>15</v>
      </c>
    </row>
    <row r="8831" spans="1:7" x14ac:dyDescent="0.35">
      <c r="A8831">
        <v>3505</v>
      </c>
      <c r="B8831" s="1">
        <v>45776</v>
      </c>
      <c r="C8831" t="s">
        <v>12</v>
      </c>
      <c r="D8831" s="2">
        <v>0</v>
      </c>
      <c r="E8831" s="2">
        <v>236.86</v>
      </c>
      <c r="F8831" t="s">
        <v>16</v>
      </c>
      <c r="G8831" t="s">
        <v>17</v>
      </c>
    </row>
    <row r="8832" spans="1:7" x14ac:dyDescent="0.35">
      <c r="A8832">
        <v>3506</v>
      </c>
      <c r="B8832" s="1">
        <v>45776</v>
      </c>
      <c r="C8832" t="s">
        <v>12</v>
      </c>
      <c r="D8832" s="2">
        <v>243.01</v>
      </c>
      <c r="E8832" s="2">
        <v>0</v>
      </c>
      <c r="F8832" t="s">
        <v>13</v>
      </c>
      <c r="G8832" t="s">
        <v>9</v>
      </c>
    </row>
    <row r="8833" spans="1:7" x14ac:dyDescent="0.35">
      <c r="A8833">
        <v>3506</v>
      </c>
      <c r="B8833" s="1">
        <v>45776</v>
      </c>
      <c r="C8833" t="s">
        <v>12</v>
      </c>
      <c r="D8833" s="2">
        <v>0</v>
      </c>
      <c r="E8833" s="2">
        <v>226.06</v>
      </c>
      <c r="F8833" t="s">
        <v>14</v>
      </c>
      <c r="G8833" t="s">
        <v>15</v>
      </c>
    </row>
    <row r="8834" spans="1:7" x14ac:dyDescent="0.35">
      <c r="A8834">
        <v>3506</v>
      </c>
      <c r="B8834" s="1">
        <v>45776</v>
      </c>
      <c r="C8834" t="s">
        <v>12</v>
      </c>
      <c r="D8834" s="2">
        <v>0</v>
      </c>
      <c r="E8834" s="2">
        <v>16.95</v>
      </c>
      <c r="F8834" t="s">
        <v>16</v>
      </c>
      <c r="G8834" t="s">
        <v>17</v>
      </c>
    </row>
    <row r="8835" spans="1:7" x14ac:dyDescent="0.35">
      <c r="A8835">
        <v>3507</v>
      </c>
      <c r="B8835" s="1">
        <v>45776</v>
      </c>
      <c r="C8835" t="s">
        <v>12</v>
      </c>
      <c r="D8835" s="2">
        <v>243.04</v>
      </c>
      <c r="E8835" s="2">
        <v>0</v>
      </c>
      <c r="F8835" t="s">
        <v>13</v>
      </c>
      <c r="G8835" t="s">
        <v>9</v>
      </c>
    </row>
    <row r="8836" spans="1:7" x14ac:dyDescent="0.35">
      <c r="A8836">
        <v>3507</v>
      </c>
      <c r="B8836" s="1">
        <v>45776</v>
      </c>
      <c r="C8836" t="s">
        <v>12</v>
      </c>
      <c r="D8836" s="2">
        <v>0</v>
      </c>
      <c r="E8836" s="2">
        <v>226.08</v>
      </c>
      <c r="F8836" t="s">
        <v>14</v>
      </c>
      <c r="G8836" t="s">
        <v>15</v>
      </c>
    </row>
    <row r="8837" spans="1:7" x14ac:dyDescent="0.35">
      <c r="A8837">
        <v>3507</v>
      </c>
      <c r="B8837" s="1">
        <v>45776</v>
      </c>
      <c r="C8837" t="s">
        <v>12</v>
      </c>
      <c r="D8837" s="2">
        <v>0</v>
      </c>
      <c r="E8837" s="2">
        <v>16.96</v>
      </c>
      <c r="F8837" t="s">
        <v>16</v>
      </c>
      <c r="G8837" t="s">
        <v>17</v>
      </c>
    </row>
    <row r="8838" spans="1:7" x14ac:dyDescent="0.35">
      <c r="A8838">
        <v>3508</v>
      </c>
      <c r="B8838" s="1">
        <v>45776</v>
      </c>
      <c r="C8838" t="s">
        <v>12</v>
      </c>
      <c r="D8838" s="2">
        <v>1674.39</v>
      </c>
      <c r="E8838" s="2">
        <v>0</v>
      </c>
      <c r="F8838" t="s">
        <v>13</v>
      </c>
      <c r="G8838" t="s">
        <v>9</v>
      </c>
    </row>
    <row r="8839" spans="1:7" x14ac:dyDescent="0.35">
      <c r="A8839">
        <v>3508</v>
      </c>
      <c r="B8839" s="1">
        <v>45776</v>
      </c>
      <c r="C8839" t="s">
        <v>12</v>
      </c>
      <c r="D8839" s="2">
        <v>0</v>
      </c>
      <c r="E8839" s="2">
        <v>1557.57</v>
      </c>
      <c r="F8839" t="s">
        <v>14</v>
      </c>
      <c r="G8839" t="s">
        <v>15</v>
      </c>
    </row>
    <row r="8840" spans="1:7" x14ac:dyDescent="0.35">
      <c r="A8840">
        <v>3508</v>
      </c>
      <c r="B8840" s="1">
        <v>45776</v>
      </c>
      <c r="C8840" t="s">
        <v>12</v>
      </c>
      <c r="D8840" s="2">
        <v>0</v>
      </c>
      <c r="E8840" s="2">
        <v>116.82</v>
      </c>
      <c r="F8840" t="s">
        <v>16</v>
      </c>
      <c r="G8840" t="s">
        <v>17</v>
      </c>
    </row>
    <row r="8841" spans="1:7" x14ac:dyDescent="0.35">
      <c r="A8841">
        <v>3509</v>
      </c>
      <c r="B8841" s="1">
        <v>45776</v>
      </c>
      <c r="C8841" t="s">
        <v>12</v>
      </c>
      <c r="D8841" s="2">
        <v>1488.92</v>
      </c>
      <c r="E8841" s="2">
        <v>0</v>
      </c>
      <c r="F8841" t="s">
        <v>13</v>
      </c>
      <c r="G8841" t="s">
        <v>9</v>
      </c>
    </row>
    <row r="8842" spans="1:7" x14ac:dyDescent="0.35">
      <c r="A8842">
        <v>3509</v>
      </c>
      <c r="B8842" s="1">
        <v>45776</v>
      </c>
      <c r="C8842" t="s">
        <v>12</v>
      </c>
      <c r="D8842" s="2">
        <v>0</v>
      </c>
      <c r="E8842" s="2">
        <v>1385.04</v>
      </c>
      <c r="F8842" t="s">
        <v>14</v>
      </c>
      <c r="G8842" t="s">
        <v>15</v>
      </c>
    </row>
    <row r="8843" spans="1:7" x14ac:dyDescent="0.35">
      <c r="A8843">
        <v>3509</v>
      </c>
      <c r="B8843" s="1">
        <v>45776</v>
      </c>
      <c r="C8843" t="s">
        <v>12</v>
      </c>
      <c r="D8843" s="2">
        <v>0</v>
      </c>
      <c r="E8843" s="2">
        <v>103.88</v>
      </c>
      <c r="F8843" t="s">
        <v>16</v>
      </c>
      <c r="G8843" t="s">
        <v>17</v>
      </c>
    </row>
    <row r="8844" spans="1:7" x14ac:dyDescent="0.35">
      <c r="A8844">
        <v>3510</v>
      </c>
      <c r="B8844" s="1">
        <v>45776</v>
      </c>
      <c r="C8844" t="s">
        <v>12</v>
      </c>
      <c r="D8844" s="2">
        <v>1060.25</v>
      </c>
      <c r="E8844" s="2">
        <v>0</v>
      </c>
      <c r="F8844" t="s">
        <v>13</v>
      </c>
      <c r="G8844" t="s">
        <v>9</v>
      </c>
    </row>
    <row r="8845" spans="1:7" x14ac:dyDescent="0.35">
      <c r="A8845">
        <v>3510</v>
      </c>
      <c r="B8845" s="1">
        <v>45776</v>
      </c>
      <c r="C8845" t="s">
        <v>12</v>
      </c>
      <c r="D8845" s="2">
        <v>0</v>
      </c>
      <c r="E8845" s="2">
        <v>986.28</v>
      </c>
      <c r="F8845" t="s">
        <v>14</v>
      </c>
      <c r="G8845" t="s">
        <v>15</v>
      </c>
    </row>
    <row r="8846" spans="1:7" x14ac:dyDescent="0.35">
      <c r="A8846">
        <v>3510</v>
      </c>
      <c r="B8846" s="1">
        <v>45776</v>
      </c>
      <c r="C8846" t="s">
        <v>12</v>
      </c>
      <c r="D8846" s="2">
        <v>0</v>
      </c>
      <c r="E8846" s="2">
        <v>73.97</v>
      </c>
      <c r="F8846" t="s">
        <v>16</v>
      </c>
      <c r="G8846" t="s">
        <v>17</v>
      </c>
    </row>
    <row r="8847" spans="1:7" x14ac:dyDescent="0.35">
      <c r="A8847">
        <v>3511</v>
      </c>
      <c r="B8847" s="1">
        <v>45776</v>
      </c>
      <c r="C8847" t="s">
        <v>24</v>
      </c>
      <c r="D8847" s="2">
        <v>1824.35</v>
      </c>
      <c r="E8847" s="2">
        <v>0</v>
      </c>
      <c r="F8847" t="s">
        <v>8</v>
      </c>
      <c r="G8847" t="s">
        <v>9</v>
      </c>
    </row>
    <row r="8848" spans="1:7" x14ac:dyDescent="0.35">
      <c r="A8848">
        <v>3511</v>
      </c>
      <c r="B8848" s="1">
        <v>45776</v>
      </c>
      <c r="C8848" t="s">
        <v>24</v>
      </c>
      <c r="D8848" s="2">
        <v>0</v>
      </c>
      <c r="E8848" s="2">
        <v>1824.35</v>
      </c>
      <c r="F8848" t="s">
        <v>13</v>
      </c>
      <c r="G8848" t="s">
        <v>9</v>
      </c>
    </row>
    <row r="8849" spans="1:7" x14ac:dyDescent="0.35">
      <c r="A8849">
        <v>3512</v>
      </c>
      <c r="B8849" s="1">
        <v>45776</v>
      </c>
      <c r="C8849" t="s">
        <v>24</v>
      </c>
      <c r="D8849" s="2">
        <v>1490.47</v>
      </c>
      <c r="E8849" s="2">
        <v>0</v>
      </c>
      <c r="F8849" t="s">
        <v>8</v>
      </c>
      <c r="G8849" t="s">
        <v>9</v>
      </c>
    </row>
    <row r="8850" spans="1:7" x14ac:dyDescent="0.35">
      <c r="A8850">
        <v>3512</v>
      </c>
      <c r="B8850" s="1">
        <v>45776</v>
      </c>
      <c r="C8850" t="s">
        <v>24</v>
      </c>
      <c r="D8850" s="2">
        <v>0</v>
      </c>
      <c r="E8850" s="2">
        <v>1490.47</v>
      </c>
      <c r="F8850" t="s">
        <v>13</v>
      </c>
      <c r="G8850" t="s">
        <v>9</v>
      </c>
    </row>
    <row r="8851" spans="1:7" x14ac:dyDescent="0.35">
      <c r="A8851">
        <v>3513</v>
      </c>
      <c r="B8851" s="1">
        <v>45776</v>
      </c>
      <c r="C8851" t="s">
        <v>24</v>
      </c>
      <c r="D8851" s="2">
        <v>3088.1</v>
      </c>
      <c r="E8851" s="2">
        <v>0</v>
      </c>
      <c r="F8851" t="s">
        <v>8</v>
      </c>
      <c r="G8851" t="s">
        <v>9</v>
      </c>
    </row>
    <row r="8852" spans="1:7" x14ac:dyDescent="0.35">
      <c r="A8852">
        <v>3513</v>
      </c>
      <c r="B8852" s="1">
        <v>45776</v>
      </c>
      <c r="C8852" t="s">
        <v>24</v>
      </c>
      <c r="D8852" s="2">
        <v>0</v>
      </c>
      <c r="E8852" s="2">
        <v>3088.1</v>
      </c>
      <c r="F8852" t="s">
        <v>13</v>
      </c>
      <c r="G8852" t="s">
        <v>9</v>
      </c>
    </row>
    <row r="8853" spans="1:7" x14ac:dyDescent="0.35">
      <c r="A8853">
        <v>3514</v>
      </c>
      <c r="B8853" s="1">
        <v>45776</v>
      </c>
      <c r="C8853" t="s">
        <v>24</v>
      </c>
      <c r="D8853" s="2">
        <v>2238.48</v>
      </c>
      <c r="E8853" s="2">
        <v>0</v>
      </c>
      <c r="F8853" t="s">
        <v>8</v>
      </c>
      <c r="G8853" t="s">
        <v>9</v>
      </c>
    </row>
    <row r="8854" spans="1:7" x14ac:dyDescent="0.35">
      <c r="A8854">
        <v>3514</v>
      </c>
      <c r="B8854" s="1">
        <v>45776</v>
      </c>
      <c r="C8854" t="s">
        <v>24</v>
      </c>
      <c r="D8854" s="2">
        <v>0</v>
      </c>
      <c r="E8854" s="2">
        <v>2238.48</v>
      </c>
      <c r="F8854" t="s">
        <v>13</v>
      </c>
      <c r="G8854" t="s">
        <v>9</v>
      </c>
    </row>
    <row r="8855" spans="1:7" x14ac:dyDescent="0.35">
      <c r="A8855">
        <v>3515</v>
      </c>
      <c r="B8855" s="1">
        <v>45776</v>
      </c>
      <c r="C8855" t="s">
        <v>24</v>
      </c>
      <c r="D8855" s="2">
        <v>565.71</v>
      </c>
      <c r="E8855" s="2">
        <v>0</v>
      </c>
      <c r="F8855" t="s">
        <v>8</v>
      </c>
      <c r="G8855" t="s">
        <v>9</v>
      </c>
    </row>
    <row r="8856" spans="1:7" x14ac:dyDescent="0.35">
      <c r="A8856">
        <v>3515</v>
      </c>
      <c r="B8856" s="1">
        <v>45776</v>
      </c>
      <c r="C8856" t="s">
        <v>24</v>
      </c>
      <c r="D8856" s="2">
        <v>0</v>
      </c>
      <c r="E8856" s="2">
        <v>565.71</v>
      </c>
      <c r="F8856" t="s">
        <v>13</v>
      </c>
      <c r="G8856" t="s">
        <v>9</v>
      </c>
    </row>
    <row r="8857" spans="1:7" x14ac:dyDescent="0.35">
      <c r="A8857">
        <v>3516</v>
      </c>
      <c r="B8857" s="1">
        <v>45776</v>
      </c>
      <c r="C8857" t="s">
        <v>24</v>
      </c>
      <c r="D8857" s="2">
        <v>847.32</v>
      </c>
      <c r="E8857" s="2">
        <v>0</v>
      </c>
      <c r="F8857" t="s">
        <v>8</v>
      </c>
      <c r="G8857" t="s">
        <v>9</v>
      </c>
    </row>
    <row r="8858" spans="1:7" x14ac:dyDescent="0.35">
      <c r="A8858">
        <v>3516</v>
      </c>
      <c r="B8858" s="1">
        <v>45776</v>
      </c>
      <c r="C8858" t="s">
        <v>24</v>
      </c>
      <c r="D8858" s="2">
        <v>0</v>
      </c>
      <c r="E8858" s="2">
        <v>847.32</v>
      </c>
      <c r="F8858" t="s">
        <v>13</v>
      </c>
      <c r="G8858" t="s">
        <v>9</v>
      </c>
    </row>
    <row r="8859" spans="1:7" x14ac:dyDescent="0.35">
      <c r="A8859">
        <v>3517</v>
      </c>
      <c r="B8859" s="1">
        <v>45776</v>
      </c>
      <c r="C8859" t="s">
        <v>29</v>
      </c>
      <c r="D8859" s="2">
        <v>7227.44</v>
      </c>
      <c r="E8859" s="2">
        <v>0</v>
      </c>
      <c r="F8859" t="s">
        <v>28</v>
      </c>
      <c r="G8859" t="s">
        <v>17</v>
      </c>
    </row>
    <row r="8860" spans="1:7" x14ac:dyDescent="0.35">
      <c r="A8860">
        <v>3517</v>
      </c>
      <c r="B8860" s="1">
        <v>45776</v>
      </c>
      <c r="C8860" t="s">
        <v>29</v>
      </c>
      <c r="D8860" s="2">
        <v>0</v>
      </c>
      <c r="E8860" s="2">
        <v>7227.44</v>
      </c>
      <c r="F8860" t="s">
        <v>8</v>
      </c>
      <c r="G8860" t="s">
        <v>9</v>
      </c>
    </row>
    <row r="8861" spans="1:7" x14ac:dyDescent="0.35">
      <c r="A8861">
        <v>3518</v>
      </c>
      <c r="B8861" s="1">
        <v>45776</v>
      </c>
      <c r="C8861" t="s">
        <v>29</v>
      </c>
      <c r="D8861" s="2">
        <v>2918.17</v>
      </c>
      <c r="E8861" s="2">
        <v>0</v>
      </c>
      <c r="F8861" t="s">
        <v>28</v>
      </c>
      <c r="G8861" t="s">
        <v>17</v>
      </c>
    </row>
    <row r="8862" spans="1:7" x14ac:dyDescent="0.35">
      <c r="A8862">
        <v>3518</v>
      </c>
      <c r="B8862" s="1">
        <v>45776</v>
      </c>
      <c r="C8862" t="s">
        <v>29</v>
      </c>
      <c r="D8862" s="2">
        <v>0</v>
      </c>
      <c r="E8862" s="2">
        <v>2918.17</v>
      </c>
      <c r="F8862" t="s">
        <v>8</v>
      </c>
      <c r="G8862" t="s">
        <v>9</v>
      </c>
    </row>
    <row r="8863" spans="1:7" x14ac:dyDescent="0.35">
      <c r="A8863">
        <v>3519</v>
      </c>
      <c r="B8863" s="1">
        <v>45777</v>
      </c>
      <c r="C8863" t="s">
        <v>12</v>
      </c>
      <c r="D8863" s="2">
        <v>2254.98</v>
      </c>
      <c r="E8863" s="2">
        <v>0</v>
      </c>
      <c r="F8863" t="s">
        <v>13</v>
      </c>
      <c r="G8863" t="s">
        <v>9</v>
      </c>
    </row>
    <row r="8864" spans="1:7" x14ac:dyDescent="0.35">
      <c r="A8864">
        <v>3519</v>
      </c>
      <c r="B8864" s="1">
        <v>45777</v>
      </c>
      <c r="C8864" t="s">
        <v>12</v>
      </c>
      <c r="D8864" s="2">
        <v>0</v>
      </c>
      <c r="E8864" s="2">
        <v>2097.66</v>
      </c>
      <c r="F8864" t="s">
        <v>14</v>
      </c>
      <c r="G8864" t="s">
        <v>15</v>
      </c>
    </row>
    <row r="8865" spans="1:7" x14ac:dyDescent="0.35">
      <c r="A8865">
        <v>3519</v>
      </c>
      <c r="B8865" s="1">
        <v>45777</v>
      </c>
      <c r="C8865" t="s">
        <v>12</v>
      </c>
      <c r="D8865" s="2">
        <v>0</v>
      </c>
      <c r="E8865" s="2">
        <v>157.32</v>
      </c>
      <c r="F8865" t="s">
        <v>16</v>
      </c>
      <c r="G8865" t="s">
        <v>17</v>
      </c>
    </row>
    <row r="8866" spans="1:7" x14ac:dyDescent="0.35">
      <c r="A8866">
        <v>3520</v>
      </c>
      <c r="B8866" s="1">
        <v>45777</v>
      </c>
      <c r="C8866" t="s">
        <v>12</v>
      </c>
      <c r="D8866" s="2">
        <v>4185.5</v>
      </c>
      <c r="E8866" s="2">
        <v>0</v>
      </c>
      <c r="F8866" t="s">
        <v>13</v>
      </c>
      <c r="G8866" t="s">
        <v>9</v>
      </c>
    </row>
    <row r="8867" spans="1:7" x14ac:dyDescent="0.35">
      <c r="A8867">
        <v>3520</v>
      </c>
      <c r="B8867" s="1">
        <v>45777</v>
      </c>
      <c r="C8867" t="s">
        <v>12</v>
      </c>
      <c r="D8867" s="2">
        <v>0</v>
      </c>
      <c r="E8867" s="2">
        <v>3893.48</v>
      </c>
      <c r="F8867" t="s">
        <v>14</v>
      </c>
      <c r="G8867" t="s">
        <v>15</v>
      </c>
    </row>
    <row r="8868" spans="1:7" x14ac:dyDescent="0.35">
      <c r="A8868">
        <v>3520</v>
      </c>
      <c r="B8868" s="1">
        <v>45777</v>
      </c>
      <c r="C8868" t="s">
        <v>12</v>
      </c>
      <c r="D8868" s="2">
        <v>0</v>
      </c>
      <c r="E8868" s="2">
        <v>292.02</v>
      </c>
      <c r="F8868" t="s">
        <v>16</v>
      </c>
      <c r="G8868" t="s">
        <v>17</v>
      </c>
    </row>
    <row r="8869" spans="1:7" x14ac:dyDescent="0.35">
      <c r="A8869">
        <v>3521</v>
      </c>
      <c r="B8869" s="1">
        <v>45777</v>
      </c>
      <c r="C8869" t="s">
        <v>12</v>
      </c>
      <c r="D8869" s="2">
        <v>247.1</v>
      </c>
      <c r="E8869" s="2">
        <v>0</v>
      </c>
      <c r="F8869" t="s">
        <v>13</v>
      </c>
      <c r="G8869" t="s">
        <v>9</v>
      </c>
    </row>
    <row r="8870" spans="1:7" x14ac:dyDescent="0.35">
      <c r="A8870">
        <v>3521</v>
      </c>
      <c r="B8870" s="1">
        <v>45777</v>
      </c>
      <c r="C8870" t="s">
        <v>12</v>
      </c>
      <c r="D8870" s="2">
        <v>0</v>
      </c>
      <c r="E8870" s="2">
        <v>229.86</v>
      </c>
      <c r="F8870" t="s">
        <v>14</v>
      </c>
      <c r="G8870" t="s">
        <v>15</v>
      </c>
    </row>
    <row r="8871" spans="1:7" x14ac:dyDescent="0.35">
      <c r="A8871">
        <v>3521</v>
      </c>
      <c r="B8871" s="1">
        <v>45777</v>
      </c>
      <c r="C8871" t="s">
        <v>12</v>
      </c>
      <c r="D8871" s="2">
        <v>0</v>
      </c>
      <c r="E8871" s="2">
        <v>17.239999999999998</v>
      </c>
      <c r="F8871" t="s">
        <v>16</v>
      </c>
      <c r="G8871" t="s">
        <v>17</v>
      </c>
    </row>
    <row r="8872" spans="1:7" x14ac:dyDescent="0.35">
      <c r="A8872">
        <v>3522</v>
      </c>
      <c r="B8872" s="1">
        <v>45777</v>
      </c>
      <c r="C8872" t="s">
        <v>12</v>
      </c>
      <c r="D8872" s="2">
        <v>2128.88</v>
      </c>
      <c r="E8872" s="2">
        <v>0</v>
      </c>
      <c r="F8872" t="s">
        <v>13</v>
      </c>
      <c r="G8872" t="s">
        <v>9</v>
      </c>
    </row>
    <row r="8873" spans="1:7" x14ac:dyDescent="0.35">
      <c r="A8873">
        <v>3522</v>
      </c>
      <c r="B8873" s="1">
        <v>45777</v>
      </c>
      <c r="C8873" t="s">
        <v>12</v>
      </c>
      <c r="D8873" s="2">
        <v>0</v>
      </c>
      <c r="E8873" s="2">
        <v>1980.35</v>
      </c>
      <c r="F8873" t="s">
        <v>14</v>
      </c>
      <c r="G8873" t="s">
        <v>15</v>
      </c>
    </row>
    <row r="8874" spans="1:7" x14ac:dyDescent="0.35">
      <c r="A8874">
        <v>3522</v>
      </c>
      <c r="B8874" s="1">
        <v>45777</v>
      </c>
      <c r="C8874" t="s">
        <v>12</v>
      </c>
      <c r="D8874" s="2">
        <v>0</v>
      </c>
      <c r="E8874" s="2">
        <v>148.53</v>
      </c>
      <c r="F8874" t="s">
        <v>16</v>
      </c>
      <c r="G8874" t="s">
        <v>17</v>
      </c>
    </row>
    <row r="8875" spans="1:7" x14ac:dyDescent="0.35">
      <c r="A8875">
        <v>3523</v>
      </c>
      <c r="B8875" s="1">
        <v>45777</v>
      </c>
      <c r="C8875" t="s">
        <v>12</v>
      </c>
      <c r="D8875" s="2">
        <v>5667.47</v>
      </c>
      <c r="E8875" s="2">
        <v>0</v>
      </c>
      <c r="F8875" t="s">
        <v>13</v>
      </c>
      <c r="G8875" t="s">
        <v>9</v>
      </c>
    </row>
    <row r="8876" spans="1:7" x14ac:dyDescent="0.35">
      <c r="A8876">
        <v>3523</v>
      </c>
      <c r="B8876" s="1">
        <v>45777</v>
      </c>
      <c r="C8876" t="s">
        <v>12</v>
      </c>
      <c r="D8876" s="2">
        <v>0</v>
      </c>
      <c r="E8876" s="2">
        <v>5272.07</v>
      </c>
      <c r="F8876" t="s">
        <v>14</v>
      </c>
      <c r="G8876" t="s">
        <v>15</v>
      </c>
    </row>
    <row r="8877" spans="1:7" x14ac:dyDescent="0.35">
      <c r="A8877">
        <v>3523</v>
      </c>
      <c r="B8877" s="1">
        <v>45777</v>
      </c>
      <c r="C8877" t="s">
        <v>12</v>
      </c>
      <c r="D8877" s="2">
        <v>0</v>
      </c>
      <c r="E8877" s="2">
        <v>395.4</v>
      </c>
      <c r="F8877" t="s">
        <v>16</v>
      </c>
      <c r="G8877" t="s">
        <v>17</v>
      </c>
    </row>
    <row r="8878" spans="1:7" x14ac:dyDescent="0.35">
      <c r="A8878">
        <v>3524</v>
      </c>
      <c r="B8878" s="1">
        <v>45777</v>
      </c>
      <c r="C8878" t="s">
        <v>12</v>
      </c>
      <c r="D8878" s="2">
        <v>1569.73</v>
      </c>
      <c r="E8878" s="2">
        <v>0</v>
      </c>
      <c r="F8878" t="s">
        <v>13</v>
      </c>
      <c r="G8878" t="s">
        <v>9</v>
      </c>
    </row>
    <row r="8879" spans="1:7" x14ac:dyDescent="0.35">
      <c r="A8879">
        <v>3524</v>
      </c>
      <c r="B8879" s="1">
        <v>45777</v>
      </c>
      <c r="C8879" t="s">
        <v>12</v>
      </c>
      <c r="D8879" s="2">
        <v>0</v>
      </c>
      <c r="E8879" s="2">
        <v>1460.21</v>
      </c>
      <c r="F8879" t="s">
        <v>14</v>
      </c>
      <c r="G8879" t="s">
        <v>15</v>
      </c>
    </row>
    <row r="8880" spans="1:7" x14ac:dyDescent="0.35">
      <c r="A8880">
        <v>3524</v>
      </c>
      <c r="B8880" s="1">
        <v>45777</v>
      </c>
      <c r="C8880" t="s">
        <v>12</v>
      </c>
      <c r="D8880" s="2">
        <v>0</v>
      </c>
      <c r="E8880" s="2">
        <v>109.52</v>
      </c>
      <c r="F8880" t="s">
        <v>16</v>
      </c>
      <c r="G8880" t="s">
        <v>17</v>
      </c>
    </row>
    <row r="8881" spans="1:7" x14ac:dyDescent="0.35">
      <c r="A8881">
        <v>3525</v>
      </c>
      <c r="B8881" s="1">
        <v>45777</v>
      </c>
      <c r="C8881" t="s">
        <v>24</v>
      </c>
      <c r="D8881" s="2">
        <v>2679.36</v>
      </c>
      <c r="E8881" s="2">
        <v>0</v>
      </c>
      <c r="F8881" t="s">
        <v>8</v>
      </c>
      <c r="G8881" t="s">
        <v>9</v>
      </c>
    </row>
    <row r="8882" spans="1:7" x14ac:dyDescent="0.35">
      <c r="A8882">
        <v>3525</v>
      </c>
      <c r="B8882" s="1">
        <v>45777</v>
      </c>
      <c r="C8882" t="s">
        <v>24</v>
      </c>
      <c r="D8882" s="2">
        <v>0</v>
      </c>
      <c r="E8882" s="2">
        <v>2679.36</v>
      </c>
      <c r="F8882" t="s">
        <v>13</v>
      </c>
      <c r="G8882" t="s">
        <v>9</v>
      </c>
    </row>
    <row r="8883" spans="1:7" x14ac:dyDescent="0.35">
      <c r="A8883">
        <v>3526</v>
      </c>
      <c r="B8883" s="1">
        <v>45777</v>
      </c>
      <c r="C8883" t="s">
        <v>24</v>
      </c>
      <c r="D8883" s="2">
        <v>87.62</v>
      </c>
      <c r="E8883" s="2">
        <v>0</v>
      </c>
      <c r="F8883" t="s">
        <v>8</v>
      </c>
      <c r="G8883" t="s">
        <v>9</v>
      </c>
    </row>
    <row r="8884" spans="1:7" x14ac:dyDescent="0.35">
      <c r="A8884">
        <v>3526</v>
      </c>
      <c r="B8884" s="1">
        <v>45777</v>
      </c>
      <c r="C8884" t="s">
        <v>24</v>
      </c>
      <c r="D8884" s="2">
        <v>0</v>
      </c>
      <c r="E8884" s="2">
        <v>87.62</v>
      </c>
      <c r="F8884" t="s">
        <v>13</v>
      </c>
      <c r="G8884" t="s">
        <v>9</v>
      </c>
    </row>
    <row r="8885" spans="1:7" x14ac:dyDescent="0.35">
      <c r="A8885">
        <v>3527</v>
      </c>
      <c r="B8885" s="1">
        <v>45777</v>
      </c>
      <c r="C8885" t="s">
        <v>24</v>
      </c>
      <c r="D8885" s="2">
        <v>5667.47</v>
      </c>
      <c r="E8885" s="2">
        <v>0</v>
      </c>
      <c r="F8885" t="s">
        <v>8</v>
      </c>
      <c r="G8885" t="s">
        <v>9</v>
      </c>
    </row>
    <row r="8886" spans="1:7" x14ac:dyDescent="0.35">
      <c r="A8886">
        <v>3527</v>
      </c>
      <c r="B8886" s="1">
        <v>45777</v>
      </c>
      <c r="C8886" t="s">
        <v>24</v>
      </c>
      <c r="D8886" s="2">
        <v>0</v>
      </c>
      <c r="E8886" s="2">
        <v>5667.47</v>
      </c>
      <c r="F8886" t="s">
        <v>13</v>
      </c>
      <c r="G8886" t="s">
        <v>9</v>
      </c>
    </row>
    <row r="8887" spans="1:7" x14ac:dyDescent="0.35">
      <c r="A8887">
        <v>3528</v>
      </c>
      <c r="B8887" s="1">
        <v>45777</v>
      </c>
      <c r="C8887" t="s">
        <v>29</v>
      </c>
      <c r="D8887" s="2">
        <v>862.91</v>
      </c>
      <c r="E8887" s="2">
        <v>0</v>
      </c>
      <c r="F8887" t="s">
        <v>28</v>
      </c>
      <c r="G8887" t="s">
        <v>17</v>
      </c>
    </row>
    <row r="8888" spans="1:7" x14ac:dyDescent="0.35">
      <c r="A8888">
        <v>3528</v>
      </c>
      <c r="B8888" s="1">
        <v>45777</v>
      </c>
      <c r="C8888" t="s">
        <v>29</v>
      </c>
      <c r="D8888" s="2">
        <v>0</v>
      </c>
      <c r="E8888" s="2">
        <v>862.91</v>
      </c>
      <c r="F8888" t="s">
        <v>8</v>
      </c>
      <c r="G8888" t="s">
        <v>9</v>
      </c>
    </row>
    <row r="8889" spans="1:7" x14ac:dyDescent="0.35">
      <c r="A8889">
        <v>3529</v>
      </c>
      <c r="B8889" s="1">
        <v>45777</v>
      </c>
      <c r="C8889" t="s">
        <v>29</v>
      </c>
      <c r="D8889" s="2">
        <v>4812.46</v>
      </c>
      <c r="E8889" s="2">
        <v>0</v>
      </c>
      <c r="F8889" t="s">
        <v>28</v>
      </c>
      <c r="G8889" t="s">
        <v>17</v>
      </c>
    </row>
    <row r="8890" spans="1:7" x14ac:dyDescent="0.35">
      <c r="A8890">
        <v>3529</v>
      </c>
      <c r="B8890" s="1">
        <v>45777</v>
      </c>
      <c r="C8890" t="s">
        <v>29</v>
      </c>
      <c r="D8890" s="2">
        <v>0</v>
      </c>
      <c r="E8890" s="2">
        <v>4812.46</v>
      </c>
      <c r="F8890" t="s">
        <v>8</v>
      </c>
      <c r="G8890" t="s">
        <v>9</v>
      </c>
    </row>
    <row r="8891" spans="1:7" x14ac:dyDescent="0.35">
      <c r="A8891">
        <v>3530</v>
      </c>
      <c r="B8891" s="1">
        <v>45777</v>
      </c>
      <c r="C8891" t="s">
        <v>29</v>
      </c>
      <c r="D8891" s="2">
        <v>1935.04</v>
      </c>
      <c r="E8891" s="2">
        <v>0</v>
      </c>
      <c r="F8891" t="s">
        <v>28</v>
      </c>
      <c r="G8891" t="s">
        <v>17</v>
      </c>
    </row>
    <row r="8892" spans="1:7" x14ac:dyDescent="0.35">
      <c r="A8892">
        <v>3530</v>
      </c>
      <c r="B8892" s="1">
        <v>45777</v>
      </c>
      <c r="C8892" t="s">
        <v>29</v>
      </c>
      <c r="D8892" s="2">
        <v>0</v>
      </c>
      <c r="E8892" s="2">
        <v>1935.04</v>
      </c>
      <c r="F8892" t="s">
        <v>8</v>
      </c>
      <c r="G8892" t="s">
        <v>9</v>
      </c>
    </row>
    <row r="8893" spans="1:7" x14ac:dyDescent="0.35">
      <c r="A8893">
        <v>3531</v>
      </c>
      <c r="B8893" s="1">
        <v>45777</v>
      </c>
      <c r="C8893" t="s">
        <v>30</v>
      </c>
      <c r="D8893" s="2">
        <v>93.61</v>
      </c>
      <c r="E8893" s="2">
        <v>0</v>
      </c>
      <c r="F8893" t="s">
        <v>31</v>
      </c>
      <c r="G8893" t="s">
        <v>20</v>
      </c>
    </row>
    <row r="8894" spans="1:7" x14ac:dyDescent="0.35">
      <c r="A8894">
        <v>3531</v>
      </c>
      <c r="B8894" s="1">
        <v>45777</v>
      </c>
      <c r="C8894" t="s">
        <v>30</v>
      </c>
      <c r="D8894" s="2">
        <v>0</v>
      </c>
      <c r="E8894" s="2">
        <v>93.61</v>
      </c>
      <c r="F8894" t="s">
        <v>32</v>
      </c>
      <c r="G8894" t="s">
        <v>9</v>
      </c>
    </row>
    <row r="8895" spans="1:7" x14ac:dyDescent="0.35">
      <c r="A8895">
        <v>3532</v>
      </c>
      <c r="B8895" s="1">
        <v>45777</v>
      </c>
      <c r="C8895" t="s">
        <v>33</v>
      </c>
      <c r="D8895" s="2">
        <v>76.86</v>
      </c>
      <c r="E8895" s="2">
        <v>0</v>
      </c>
      <c r="F8895" t="s">
        <v>31</v>
      </c>
      <c r="G8895" t="s">
        <v>20</v>
      </c>
    </row>
    <row r="8896" spans="1:7" x14ac:dyDescent="0.35">
      <c r="A8896">
        <v>3532</v>
      </c>
      <c r="B8896" s="1">
        <v>45777</v>
      </c>
      <c r="C8896" t="s">
        <v>33</v>
      </c>
      <c r="D8896" s="2">
        <v>0</v>
      </c>
      <c r="E8896" s="2">
        <v>76.86</v>
      </c>
      <c r="F8896" t="s">
        <v>32</v>
      </c>
      <c r="G8896" t="s">
        <v>9</v>
      </c>
    </row>
    <row r="8897" spans="1:7" x14ac:dyDescent="0.35">
      <c r="A8897">
        <v>3533</v>
      </c>
      <c r="B8897" s="1">
        <v>45777</v>
      </c>
      <c r="C8897" t="s">
        <v>34</v>
      </c>
      <c r="D8897" s="2">
        <v>20.03</v>
      </c>
      <c r="E8897" s="2">
        <v>0</v>
      </c>
      <c r="F8897" t="s">
        <v>31</v>
      </c>
      <c r="G8897" t="s">
        <v>20</v>
      </c>
    </row>
    <row r="8898" spans="1:7" x14ac:dyDescent="0.35">
      <c r="A8898">
        <v>3533</v>
      </c>
      <c r="B8898" s="1">
        <v>45777</v>
      </c>
      <c r="C8898" t="s">
        <v>34</v>
      </c>
      <c r="D8898" s="2">
        <v>0</v>
      </c>
      <c r="E8898" s="2">
        <v>20.03</v>
      </c>
      <c r="F8898" t="s">
        <v>32</v>
      </c>
      <c r="G8898" t="s">
        <v>9</v>
      </c>
    </row>
    <row r="8899" spans="1:7" x14ac:dyDescent="0.35">
      <c r="A8899">
        <v>3534</v>
      </c>
      <c r="B8899" s="1">
        <v>45777</v>
      </c>
      <c r="C8899" t="s">
        <v>35</v>
      </c>
      <c r="D8899" s="2">
        <v>86.89</v>
      </c>
      <c r="E8899" s="2">
        <v>0</v>
      </c>
      <c r="F8899" t="s">
        <v>31</v>
      </c>
      <c r="G8899" t="s">
        <v>20</v>
      </c>
    </row>
    <row r="8900" spans="1:7" x14ac:dyDescent="0.35">
      <c r="A8900">
        <v>3534</v>
      </c>
      <c r="B8900" s="1">
        <v>45777</v>
      </c>
      <c r="C8900" t="s">
        <v>35</v>
      </c>
      <c r="D8900" s="2">
        <v>0</v>
      </c>
      <c r="E8900" s="2">
        <v>86.89</v>
      </c>
      <c r="F8900" t="s">
        <v>36</v>
      </c>
      <c r="G8900" t="s">
        <v>9</v>
      </c>
    </row>
    <row r="8901" spans="1:7" x14ac:dyDescent="0.35">
      <c r="A8901">
        <v>3535</v>
      </c>
      <c r="B8901" s="1">
        <v>45777</v>
      </c>
      <c r="C8901" t="s">
        <v>37</v>
      </c>
      <c r="D8901" s="2">
        <v>76.8</v>
      </c>
      <c r="E8901" s="2">
        <v>0</v>
      </c>
      <c r="F8901" t="s">
        <v>31</v>
      </c>
      <c r="G8901" t="s">
        <v>20</v>
      </c>
    </row>
    <row r="8902" spans="1:7" x14ac:dyDescent="0.35">
      <c r="A8902">
        <v>3535</v>
      </c>
      <c r="B8902" s="1">
        <v>45777</v>
      </c>
      <c r="C8902" t="s">
        <v>37</v>
      </c>
      <c r="D8902" s="2">
        <v>0</v>
      </c>
      <c r="E8902" s="2">
        <v>76.8</v>
      </c>
      <c r="F8902" t="s">
        <v>36</v>
      </c>
      <c r="G8902" t="s">
        <v>9</v>
      </c>
    </row>
    <row r="8903" spans="1:7" x14ac:dyDescent="0.35">
      <c r="A8903">
        <v>3536</v>
      </c>
      <c r="B8903" s="1">
        <v>45777</v>
      </c>
      <c r="C8903" t="s">
        <v>38</v>
      </c>
      <c r="D8903" s="2">
        <v>48.28</v>
      </c>
      <c r="E8903" s="2">
        <v>0</v>
      </c>
      <c r="F8903" t="s">
        <v>31</v>
      </c>
      <c r="G8903" t="s">
        <v>20</v>
      </c>
    </row>
    <row r="8904" spans="1:7" x14ac:dyDescent="0.35">
      <c r="A8904">
        <v>3536</v>
      </c>
      <c r="B8904" s="1">
        <v>45777</v>
      </c>
      <c r="C8904" t="s">
        <v>38</v>
      </c>
      <c r="D8904" s="2">
        <v>0</v>
      </c>
      <c r="E8904" s="2">
        <v>48.28</v>
      </c>
      <c r="F8904" t="s">
        <v>36</v>
      </c>
      <c r="G8904" t="s">
        <v>9</v>
      </c>
    </row>
    <row r="8905" spans="1:7" x14ac:dyDescent="0.35">
      <c r="A8905">
        <v>3537</v>
      </c>
      <c r="B8905" s="1">
        <v>45777</v>
      </c>
      <c r="C8905" t="s">
        <v>39</v>
      </c>
      <c r="D8905" s="2">
        <v>53.21</v>
      </c>
      <c r="E8905" s="2">
        <v>0</v>
      </c>
      <c r="F8905" t="s">
        <v>31</v>
      </c>
      <c r="G8905" t="s">
        <v>20</v>
      </c>
    </row>
    <row r="8906" spans="1:7" x14ac:dyDescent="0.35">
      <c r="A8906">
        <v>3537</v>
      </c>
      <c r="B8906" s="1">
        <v>45777</v>
      </c>
      <c r="C8906" t="s">
        <v>39</v>
      </c>
      <c r="D8906" s="2">
        <v>0</v>
      </c>
      <c r="E8906" s="2">
        <v>53.21</v>
      </c>
      <c r="F8906" t="s">
        <v>36</v>
      </c>
      <c r="G8906" t="s">
        <v>9</v>
      </c>
    </row>
    <row r="8907" spans="1:7" x14ac:dyDescent="0.35">
      <c r="A8907">
        <v>3538</v>
      </c>
      <c r="B8907" s="1">
        <v>45777</v>
      </c>
      <c r="C8907" t="s">
        <v>40</v>
      </c>
      <c r="D8907" s="2">
        <v>232.19</v>
      </c>
      <c r="E8907" s="2">
        <v>0</v>
      </c>
      <c r="F8907" t="s">
        <v>31</v>
      </c>
      <c r="G8907" t="s">
        <v>20</v>
      </c>
    </row>
    <row r="8908" spans="1:7" x14ac:dyDescent="0.35">
      <c r="A8908">
        <v>3538</v>
      </c>
      <c r="B8908" s="1">
        <v>45777</v>
      </c>
      <c r="C8908" t="s">
        <v>40</v>
      </c>
      <c r="D8908" s="2">
        <v>0</v>
      </c>
      <c r="E8908" s="2">
        <v>232.19</v>
      </c>
      <c r="F8908" t="s">
        <v>41</v>
      </c>
      <c r="G8908" t="s">
        <v>9</v>
      </c>
    </row>
    <row r="8909" spans="1:7" x14ac:dyDescent="0.35">
      <c r="A8909">
        <v>3539</v>
      </c>
      <c r="B8909" s="1">
        <v>45777</v>
      </c>
      <c r="C8909" t="s">
        <v>42</v>
      </c>
      <c r="D8909" s="2">
        <v>43.85</v>
      </c>
      <c r="E8909" s="2">
        <v>0</v>
      </c>
      <c r="F8909" t="s">
        <v>31</v>
      </c>
      <c r="G8909" t="s">
        <v>20</v>
      </c>
    </row>
    <row r="8910" spans="1:7" x14ac:dyDescent="0.35">
      <c r="A8910">
        <v>3539</v>
      </c>
      <c r="B8910" s="1">
        <v>45777</v>
      </c>
      <c r="C8910" t="s">
        <v>42</v>
      </c>
      <c r="D8910" s="2">
        <v>0</v>
      </c>
      <c r="E8910" s="2">
        <v>43.85</v>
      </c>
      <c r="F8910" t="s">
        <v>32</v>
      </c>
      <c r="G8910" t="s">
        <v>9</v>
      </c>
    </row>
    <row r="8911" spans="1:7" x14ac:dyDescent="0.35">
      <c r="A8911">
        <v>3540</v>
      </c>
      <c r="B8911" s="1">
        <v>45778</v>
      </c>
      <c r="C8911" t="s">
        <v>12</v>
      </c>
      <c r="D8911" s="2">
        <v>3241.17</v>
      </c>
      <c r="E8911" s="2">
        <v>0</v>
      </c>
      <c r="F8911" t="s">
        <v>13</v>
      </c>
      <c r="G8911" t="s">
        <v>9</v>
      </c>
    </row>
    <row r="8912" spans="1:7" x14ac:dyDescent="0.35">
      <c r="A8912">
        <v>3540</v>
      </c>
      <c r="B8912" s="1">
        <v>45778</v>
      </c>
      <c r="C8912" t="s">
        <v>12</v>
      </c>
      <c r="D8912" s="2">
        <v>0</v>
      </c>
      <c r="E8912" s="2">
        <v>3015.03</v>
      </c>
      <c r="F8912" t="s">
        <v>14</v>
      </c>
      <c r="G8912" t="s">
        <v>15</v>
      </c>
    </row>
    <row r="8913" spans="1:7" x14ac:dyDescent="0.35">
      <c r="A8913">
        <v>3540</v>
      </c>
      <c r="B8913" s="1">
        <v>45778</v>
      </c>
      <c r="C8913" t="s">
        <v>12</v>
      </c>
      <c r="D8913" s="2">
        <v>0</v>
      </c>
      <c r="E8913" s="2">
        <v>226.14</v>
      </c>
      <c r="F8913" t="s">
        <v>16</v>
      </c>
      <c r="G8913" t="s">
        <v>17</v>
      </c>
    </row>
    <row r="8914" spans="1:7" x14ac:dyDescent="0.35">
      <c r="A8914">
        <v>3541</v>
      </c>
      <c r="B8914" s="1">
        <v>45778</v>
      </c>
      <c r="C8914" t="s">
        <v>12</v>
      </c>
      <c r="D8914" s="2">
        <v>4584.08</v>
      </c>
      <c r="E8914" s="2">
        <v>0</v>
      </c>
      <c r="F8914" t="s">
        <v>13</v>
      </c>
      <c r="G8914" t="s">
        <v>9</v>
      </c>
    </row>
    <row r="8915" spans="1:7" x14ac:dyDescent="0.35">
      <c r="A8915">
        <v>3541</v>
      </c>
      <c r="B8915" s="1">
        <v>45778</v>
      </c>
      <c r="C8915" t="s">
        <v>12</v>
      </c>
      <c r="D8915" s="2">
        <v>0</v>
      </c>
      <c r="E8915" s="2">
        <v>4264.24</v>
      </c>
      <c r="F8915" t="s">
        <v>14</v>
      </c>
      <c r="G8915" t="s">
        <v>15</v>
      </c>
    </row>
    <row r="8916" spans="1:7" x14ac:dyDescent="0.35">
      <c r="A8916">
        <v>3541</v>
      </c>
      <c r="B8916" s="1">
        <v>45778</v>
      </c>
      <c r="C8916" t="s">
        <v>12</v>
      </c>
      <c r="D8916" s="2">
        <v>0</v>
      </c>
      <c r="E8916" s="2">
        <v>319.83999999999997</v>
      </c>
      <c r="F8916" t="s">
        <v>16</v>
      </c>
      <c r="G8916" t="s">
        <v>17</v>
      </c>
    </row>
    <row r="8917" spans="1:7" x14ac:dyDescent="0.35">
      <c r="A8917">
        <v>3542</v>
      </c>
      <c r="B8917" s="1">
        <v>45778</v>
      </c>
      <c r="C8917" t="s">
        <v>12</v>
      </c>
      <c r="D8917" s="2">
        <v>2881.85</v>
      </c>
      <c r="E8917" s="2">
        <v>0</v>
      </c>
      <c r="F8917" t="s">
        <v>13</v>
      </c>
      <c r="G8917" t="s">
        <v>9</v>
      </c>
    </row>
    <row r="8918" spans="1:7" x14ac:dyDescent="0.35">
      <c r="A8918">
        <v>3542</v>
      </c>
      <c r="B8918" s="1">
        <v>45778</v>
      </c>
      <c r="C8918" t="s">
        <v>12</v>
      </c>
      <c r="D8918" s="2">
        <v>0</v>
      </c>
      <c r="E8918" s="2">
        <v>2680.79</v>
      </c>
      <c r="F8918" t="s">
        <v>14</v>
      </c>
      <c r="G8918" t="s">
        <v>15</v>
      </c>
    </row>
    <row r="8919" spans="1:7" x14ac:dyDescent="0.35">
      <c r="A8919">
        <v>3542</v>
      </c>
      <c r="B8919" s="1">
        <v>45778</v>
      </c>
      <c r="C8919" t="s">
        <v>12</v>
      </c>
      <c r="D8919" s="2">
        <v>0</v>
      </c>
      <c r="E8919" s="2">
        <v>201.06</v>
      </c>
      <c r="F8919" t="s">
        <v>16</v>
      </c>
      <c r="G8919" t="s">
        <v>17</v>
      </c>
    </row>
    <row r="8920" spans="1:7" x14ac:dyDescent="0.35">
      <c r="A8920">
        <v>3543</v>
      </c>
      <c r="B8920" s="1">
        <v>45778</v>
      </c>
      <c r="C8920" t="s">
        <v>12</v>
      </c>
      <c r="D8920" s="2">
        <v>189.08</v>
      </c>
      <c r="E8920" s="2">
        <v>0</v>
      </c>
      <c r="F8920" t="s">
        <v>13</v>
      </c>
      <c r="G8920" t="s">
        <v>9</v>
      </c>
    </row>
    <row r="8921" spans="1:7" x14ac:dyDescent="0.35">
      <c r="A8921">
        <v>3543</v>
      </c>
      <c r="B8921" s="1">
        <v>45778</v>
      </c>
      <c r="C8921" t="s">
        <v>12</v>
      </c>
      <c r="D8921" s="2">
        <v>0</v>
      </c>
      <c r="E8921" s="2">
        <v>175.88</v>
      </c>
      <c r="F8921" t="s">
        <v>14</v>
      </c>
      <c r="G8921" t="s">
        <v>15</v>
      </c>
    </row>
    <row r="8922" spans="1:7" x14ac:dyDescent="0.35">
      <c r="A8922">
        <v>3543</v>
      </c>
      <c r="B8922" s="1">
        <v>45778</v>
      </c>
      <c r="C8922" t="s">
        <v>12</v>
      </c>
      <c r="D8922" s="2">
        <v>0</v>
      </c>
      <c r="E8922" s="2">
        <v>13.2</v>
      </c>
      <c r="F8922" t="s">
        <v>16</v>
      </c>
      <c r="G8922" t="s">
        <v>17</v>
      </c>
    </row>
    <row r="8923" spans="1:7" x14ac:dyDescent="0.35">
      <c r="A8923">
        <v>3544</v>
      </c>
      <c r="B8923" s="1">
        <v>45778</v>
      </c>
      <c r="C8923" t="s">
        <v>12</v>
      </c>
      <c r="D8923" s="2">
        <v>1680.31</v>
      </c>
      <c r="E8923" s="2">
        <v>0</v>
      </c>
      <c r="F8923" t="s">
        <v>13</v>
      </c>
      <c r="G8923" t="s">
        <v>9</v>
      </c>
    </row>
    <row r="8924" spans="1:7" x14ac:dyDescent="0.35">
      <c r="A8924">
        <v>3544</v>
      </c>
      <c r="B8924" s="1">
        <v>45778</v>
      </c>
      <c r="C8924" t="s">
        <v>12</v>
      </c>
      <c r="D8924" s="2">
        <v>0</v>
      </c>
      <c r="E8924" s="2">
        <v>1563.09</v>
      </c>
      <c r="F8924" t="s">
        <v>14</v>
      </c>
      <c r="G8924" t="s">
        <v>15</v>
      </c>
    </row>
    <row r="8925" spans="1:7" x14ac:dyDescent="0.35">
      <c r="A8925">
        <v>3544</v>
      </c>
      <c r="B8925" s="1">
        <v>45778</v>
      </c>
      <c r="C8925" t="s">
        <v>12</v>
      </c>
      <c r="D8925" s="2">
        <v>0</v>
      </c>
      <c r="E8925" s="2">
        <v>117.22</v>
      </c>
      <c r="F8925" t="s">
        <v>16</v>
      </c>
      <c r="G8925" t="s">
        <v>17</v>
      </c>
    </row>
    <row r="8926" spans="1:7" x14ac:dyDescent="0.35">
      <c r="A8926">
        <v>3545</v>
      </c>
      <c r="B8926" s="1">
        <v>45778</v>
      </c>
      <c r="C8926" t="s">
        <v>12</v>
      </c>
      <c r="D8926" s="2">
        <v>3755.66</v>
      </c>
      <c r="E8926" s="2">
        <v>0</v>
      </c>
      <c r="F8926" t="s">
        <v>13</v>
      </c>
      <c r="G8926" t="s">
        <v>9</v>
      </c>
    </row>
    <row r="8927" spans="1:7" x14ac:dyDescent="0.35">
      <c r="A8927">
        <v>3545</v>
      </c>
      <c r="B8927" s="1">
        <v>45778</v>
      </c>
      <c r="C8927" t="s">
        <v>12</v>
      </c>
      <c r="D8927" s="2">
        <v>0</v>
      </c>
      <c r="E8927" s="2">
        <v>3493.65</v>
      </c>
      <c r="F8927" t="s">
        <v>14</v>
      </c>
      <c r="G8927" t="s">
        <v>15</v>
      </c>
    </row>
    <row r="8928" spans="1:7" x14ac:dyDescent="0.35">
      <c r="A8928">
        <v>3545</v>
      </c>
      <c r="B8928" s="1">
        <v>45778</v>
      </c>
      <c r="C8928" t="s">
        <v>12</v>
      </c>
      <c r="D8928" s="2">
        <v>0</v>
      </c>
      <c r="E8928" s="2">
        <v>262.01</v>
      </c>
      <c r="F8928" t="s">
        <v>16</v>
      </c>
      <c r="G8928" t="s">
        <v>17</v>
      </c>
    </row>
    <row r="8929" spans="1:7" x14ac:dyDescent="0.35">
      <c r="A8929">
        <v>3546</v>
      </c>
      <c r="B8929" s="1">
        <v>45778</v>
      </c>
      <c r="C8929" t="s">
        <v>12</v>
      </c>
      <c r="D8929" s="2">
        <v>3687.18</v>
      </c>
      <c r="E8929" s="2">
        <v>0</v>
      </c>
      <c r="F8929" t="s">
        <v>13</v>
      </c>
      <c r="G8929" t="s">
        <v>9</v>
      </c>
    </row>
    <row r="8930" spans="1:7" x14ac:dyDescent="0.35">
      <c r="A8930">
        <v>3546</v>
      </c>
      <c r="B8930" s="1">
        <v>45778</v>
      </c>
      <c r="C8930" t="s">
        <v>12</v>
      </c>
      <c r="D8930" s="2">
        <v>0</v>
      </c>
      <c r="E8930" s="2">
        <v>3429.94</v>
      </c>
      <c r="F8930" t="s">
        <v>14</v>
      </c>
      <c r="G8930" t="s">
        <v>15</v>
      </c>
    </row>
    <row r="8931" spans="1:7" x14ac:dyDescent="0.35">
      <c r="A8931">
        <v>3546</v>
      </c>
      <c r="B8931" s="1">
        <v>45778</v>
      </c>
      <c r="C8931" t="s">
        <v>12</v>
      </c>
      <c r="D8931" s="2">
        <v>0</v>
      </c>
      <c r="E8931" s="2">
        <v>257.24</v>
      </c>
      <c r="F8931" t="s">
        <v>16</v>
      </c>
      <c r="G8931" t="s">
        <v>17</v>
      </c>
    </row>
    <row r="8932" spans="1:7" x14ac:dyDescent="0.35">
      <c r="A8932">
        <v>3547</v>
      </c>
      <c r="B8932" s="1">
        <v>45778</v>
      </c>
      <c r="C8932" t="s">
        <v>12</v>
      </c>
      <c r="D8932" s="2">
        <v>1145.92</v>
      </c>
      <c r="E8932" s="2">
        <v>0</v>
      </c>
      <c r="F8932" t="s">
        <v>13</v>
      </c>
      <c r="G8932" t="s">
        <v>9</v>
      </c>
    </row>
    <row r="8933" spans="1:7" x14ac:dyDescent="0.35">
      <c r="A8933">
        <v>3547</v>
      </c>
      <c r="B8933" s="1">
        <v>45778</v>
      </c>
      <c r="C8933" t="s">
        <v>12</v>
      </c>
      <c r="D8933" s="2">
        <v>0</v>
      </c>
      <c r="E8933" s="2">
        <v>1065.98</v>
      </c>
      <c r="F8933" t="s">
        <v>14</v>
      </c>
      <c r="G8933" t="s">
        <v>15</v>
      </c>
    </row>
    <row r="8934" spans="1:7" x14ac:dyDescent="0.35">
      <c r="A8934">
        <v>3547</v>
      </c>
      <c r="B8934" s="1">
        <v>45778</v>
      </c>
      <c r="C8934" t="s">
        <v>12</v>
      </c>
      <c r="D8934" s="2">
        <v>0</v>
      </c>
      <c r="E8934" s="2">
        <v>79.94</v>
      </c>
      <c r="F8934" t="s">
        <v>16</v>
      </c>
      <c r="G8934" t="s">
        <v>17</v>
      </c>
    </row>
    <row r="8935" spans="1:7" x14ac:dyDescent="0.35">
      <c r="A8935">
        <v>3548</v>
      </c>
      <c r="B8935" s="1">
        <v>45778</v>
      </c>
      <c r="C8935" t="s">
        <v>24</v>
      </c>
      <c r="D8935" s="2">
        <v>1387.14</v>
      </c>
      <c r="E8935" s="2">
        <v>0</v>
      </c>
      <c r="F8935" t="s">
        <v>8</v>
      </c>
      <c r="G8935" t="s">
        <v>9</v>
      </c>
    </row>
    <row r="8936" spans="1:7" x14ac:dyDescent="0.35">
      <c r="A8936">
        <v>3548</v>
      </c>
      <c r="B8936" s="1">
        <v>45778</v>
      </c>
      <c r="C8936" t="s">
        <v>24</v>
      </c>
      <c r="D8936" s="2">
        <v>0</v>
      </c>
      <c r="E8936" s="2">
        <v>1387.14</v>
      </c>
      <c r="F8936" t="s">
        <v>13</v>
      </c>
      <c r="G8936" t="s">
        <v>9</v>
      </c>
    </row>
    <row r="8937" spans="1:7" x14ac:dyDescent="0.35">
      <c r="A8937">
        <v>3549</v>
      </c>
      <c r="B8937" s="1">
        <v>45778</v>
      </c>
      <c r="C8937" t="s">
        <v>24</v>
      </c>
      <c r="D8937" s="2">
        <v>243.01</v>
      </c>
      <c r="E8937" s="2">
        <v>0</v>
      </c>
      <c r="F8937" t="s">
        <v>8</v>
      </c>
      <c r="G8937" t="s">
        <v>9</v>
      </c>
    </row>
    <row r="8938" spans="1:7" x14ac:dyDescent="0.35">
      <c r="A8938">
        <v>3549</v>
      </c>
      <c r="B8938" s="1">
        <v>45778</v>
      </c>
      <c r="C8938" t="s">
        <v>24</v>
      </c>
      <c r="D8938" s="2">
        <v>0</v>
      </c>
      <c r="E8938" s="2">
        <v>243.01</v>
      </c>
      <c r="F8938" t="s">
        <v>13</v>
      </c>
      <c r="G8938" t="s">
        <v>9</v>
      </c>
    </row>
    <row r="8939" spans="1:7" x14ac:dyDescent="0.35">
      <c r="A8939">
        <v>3550</v>
      </c>
      <c r="B8939" s="1">
        <v>45778</v>
      </c>
      <c r="C8939" t="s">
        <v>25</v>
      </c>
      <c r="D8939" s="2">
        <v>4476.71</v>
      </c>
      <c r="E8939" s="2">
        <v>0</v>
      </c>
      <c r="F8939" t="s">
        <v>26</v>
      </c>
      <c r="G8939" t="s">
        <v>20</v>
      </c>
    </row>
    <row r="8940" spans="1:7" x14ac:dyDescent="0.35">
      <c r="A8940">
        <v>3550</v>
      </c>
      <c r="B8940" s="1">
        <v>45778</v>
      </c>
      <c r="C8940" t="s">
        <v>25</v>
      </c>
      <c r="D8940" s="2">
        <v>335.75</v>
      </c>
      <c r="E8940" s="2">
        <v>0</v>
      </c>
      <c r="F8940" t="s">
        <v>27</v>
      </c>
      <c r="G8940" t="s">
        <v>9</v>
      </c>
    </row>
    <row r="8941" spans="1:7" x14ac:dyDescent="0.35">
      <c r="A8941">
        <v>3550</v>
      </c>
      <c r="B8941" s="1">
        <v>45778</v>
      </c>
      <c r="C8941" t="s">
        <v>25</v>
      </c>
      <c r="D8941" s="2">
        <v>0</v>
      </c>
      <c r="E8941" s="2">
        <v>4812.46</v>
      </c>
      <c r="F8941" t="s">
        <v>28</v>
      </c>
      <c r="G8941" t="s">
        <v>17</v>
      </c>
    </row>
    <row r="8942" spans="1:7" x14ac:dyDescent="0.35">
      <c r="A8942">
        <v>3551</v>
      </c>
      <c r="B8942" s="1">
        <v>45778</v>
      </c>
      <c r="C8942" t="s">
        <v>29</v>
      </c>
      <c r="D8942" s="2">
        <v>3528.97</v>
      </c>
      <c r="E8942" s="2">
        <v>0</v>
      </c>
      <c r="F8942" t="s">
        <v>28</v>
      </c>
      <c r="G8942" t="s">
        <v>17</v>
      </c>
    </row>
    <row r="8943" spans="1:7" x14ac:dyDescent="0.35">
      <c r="A8943">
        <v>3551</v>
      </c>
      <c r="B8943" s="1">
        <v>45778</v>
      </c>
      <c r="C8943" t="s">
        <v>29</v>
      </c>
      <c r="D8943" s="2">
        <v>0</v>
      </c>
      <c r="E8943" s="2">
        <v>3528.97</v>
      </c>
      <c r="F8943" t="s">
        <v>8</v>
      </c>
      <c r="G8943" t="s">
        <v>9</v>
      </c>
    </row>
    <row r="8944" spans="1:7" x14ac:dyDescent="0.35">
      <c r="A8944">
        <v>3552</v>
      </c>
      <c r="B8944" s="1">
        <v>45778</v>
      </c>
      <c r="C8944" t="s">
        <v>29</v>
      </c>
      <c r="D8944" s="2">
        <v>201.5</v>
      </c>
      <c r="E8944" s="2">
        <v>0</v>
      </c>
      <c r="F8944" t="s">
        <v>28</v>
      </c>
      <c r="G8944" t="s">
        <v>17</v>
      </c>
    </row>
    <row r="8945" spans="1:7" x14ac:dyDescent="0.35">
      <c r="A8945">
        <v>3552</v>
      </c>
      <c r="B8945" s="1">
        <v>45778</v>
      </c>
      <c r="C8945" t="s">
        <v>29</v>
      </c>
      <c r="D8945" s="2">
        <v>0</v>
      </c>
      <c r="E8945" s="2">
        <v>201.5</v>
      </c>
      <c r="F8945" t="s">
        <v>8</v>
      </c>
      <c r="G8945" t="s">
        <v>9</v>
      </c>
    </row>
    <row r="8946" spans="1:7" x14ac:dyDescent="0.35">
      <c r="A8946">
        <v>3553</v>
      </c>
      <c r="B8946" s="1">
        <v>45778</v>
      </c>
      <c r="C8946" t="s">
        <v>29</v>
      </c>
      <c r="D8946" s="2">
        <v>2504.23</v>
      </c>
      <c r="E8946" s="2">
        <v>0</v>
      </c>
      <c r="F8946" t="s">
        <v>28</v>
      </c>
      <c r="G8946" t="s">
        <v>17</v>
      </c>
    </row>
    <row r="8947" spans="1:7" x14ac:dyDescent="0.35">
      <c r="A8947">
        <v>3553</v>
      </c>
      <c r="B8947" s="1">
        <v>45778</v>
      </c>
      <c r="C8947" t="s">
        <v>29</v>
      </c>
      <c r="D8947" s="2">
        <v>0</v>
      </c>
      <c r="E8947" s="2">
        <v>2504.23</v>
      </c>
      <c r="F8947" t="s">
        <v>8</v>
      </c>
      <c r="G8947" t="s">
        <v>9</v>
      </c>
    </row>
    <row r="8948" spans="1:7" x14ac:dyDescent="0.35">
      <c r="A8948">
        <v>3554</v>
      </c>
      <c r="B8948" s="1">
        <v>45779</v>
      </c>
      <c r="C8948" t="s">
        <v>12</v>
      </c>
      <c r="D8948" s="2">
        <v>2681.29</v>
      </c>
      <c r="E8948" s="2">
        <v>0</v>
      </c>
      <c r="F8948" t="s">
        <v>13</v>
      </c>
      <c r="G8948" t="s">
        <v>9</v>
      </c>
    </row>
    <row r="8949" spans="1:7" x14ac:dyDescent="0.35">
      <c r="A8949">
        <v>3554</v>
      </c>
      <c r="B8949" s="1">
        <v>45779</v>
      </c>
      <c r="C8949" t="s">
        <v>12</v>
      </c>
      <c r="D8949" s="2">
        <v>0</v>
      </c>
      <c r="E8949" s="2">
        <v>2494.21</v>
      </c>
      <c r="F8949" t="s">
        <v>14</v>
      </c>
      <c r="G8949" t="s">
        <v>15</v>
      </c>
    </row>
    <row r="8950" spans="1:7" x14ac:dyDescent="0.35">
      <c r="A8950">
        <v>3554</v>
      </c>
      <c r="B8950" s="1">
        <v>45779</v>
      </c>
      <c r="C8950" t="s">
        <v>12</v>
      </c>
      <c r="D8950" s="2">
        <v>0</v>
      </c>
      <c r="E8950" s="2">
        <v>187.08</v>
      </c>
      <c r="F8950" t="s">
        <v>16</v>
      </c>
      <c r="G8950" t="s">
        <v>17</v>
      </c>
    </row>
    <row r="8951" spans="1:7" x14ac:dyDescent="0.35">
      <c r="A8951">
        <v>3555</v>
      </c>
      <c r="B8951" s="1">
        <v>45779</v>
      </c>
      <c r="C8951" t="s">
        <v>12</v>
      </c>
      <c r="D8951" s="2">
        <v>2976.84</v>
      </c>
      <c r="E8951" s="2">
        <v>0</v>
      </c>
      <c r="F8951" t="s">
        <v>13</v>
      </c>
      <c r="G8951" t="s">
        <v>9</v>
      </c>
    </row>
    <row r="8952" spans="1:7" x14ac:dyDescent="0.35">
      <c r="A8952">
        <v>3555</v>
      </c>
      <c r="B8952" s="1">
        <v>45779</v>
      </c>
      <c r="C8952" t="s">
        <v>12</v>
      </c>
      <c r="D8952" s="2">
        <v>0</v>
      </c>
      <c r="E8952" s="2">
        <v>2769.15</v>
      </c>
      <c r="F8952" t="s">
        <v>14</v>
      </c>
      <c r="G8952" t="s">
        <v>15</v>
      </c>
    </row>
    <row r="8953" spans="1:7" x14ac:dyDescent="0.35">
      <c r="A8953">
        <v>3555</v>
      </c>
      <c r="B8953" s="1">
        <v>45779</v>
      </c>
      <c r="C8953" t="s">
        <v>12</v>
      </c>
      <c r="D8953" s="2">
        <v>0</v>
      </c>
      <c r="E8953" s="2">
        <v>207.69</v>
      </c>
      <c r="F8953" t="s">
        <v>16</v>
      </c>
      <c r="G8953" t="s">
        <v>17</v>
      </c>
    </row>
    <row r="8954" spans="1:7" x14ac:dyDescent="0.35">
      <c r="A8954">
        <v>3556</v>
      </c>
      <c r="B8954" s="1">
        <v>45779</v>
      </c>
      <c r="C8954" t="s">
        <v>12</v>
      </c>
      <c r="D8954" s="2">
        <v>1956.18</v>
      </c>
      <c r="E8954" s="2">
        <v>0</v>
      </c>
      <c r="F8954" t="s">
        <v>13</v>
      </c>
      <c r="G8954" t="s">
        <v>9</v>
      </c>
    </row>
    <row r="8955" spans="1:7" x14ac:dyDescent="0.35">
      <c r="A8955">
        <v>3556</v>
      </c>
      <c r="B8955" s="1">
        <v>45779</v>
      </c>
      <c r="C8955" t="s">
        <v>12</v>
      </c>
      <c r="D8955" s="2">
        <v>0</v>
      </c>
      <c r="E8955" s="2">
        <v>1819.71</v>
      </c>
      <c r="F8955" t="s">
        <v>14</v>
      </c>
      <c r="G8955" t="s">
        <v>15</v>
      </c>
    </row>
    <row r="8956" spans="1:7" x14ac:dyDescent="0.35">
      <c r="A8956">
        <v>3556</v>
      </c>
      <c r="B8956" s="1">
        <v>45779</v>
      </c>
      <c r="C8956" t="s">
        <v>12</v>
      </c>
      <c r="D8956" s="2">
        <v>0</v>
      </c>
      <c r="E8956" s="2">
        <v>136.47</v>
      </c>
      <c r="F8956" t="s">
        <v>16</v>
      </c>
      <c r="G8956" t="s">
        <v>17</v>
      </c>
    </row>
    <row r="8957" spans="1:7" x14ac:dyDescent="0.35">
      <c r="A8957">
        <v>3557</v>
      </c>
      <c r="B8957" s="1">
        <v>45779</v>
      </c>
      <c r="C8957" t="s">
        <v>12</v>
      </c>
      <c r="D8957" s="2">
        <v>4046.72</v>
      </c>
      <c r="E8957" s="2">
        <v>0</v>
      </c>
      <c r="F8957" t="s">
        <v>13</v>
      </c>
      <c r="G8957" t="s">
        <v>9</v>
      </c>
    </row>
    <row r="8958" spans="1:7" x14ac:dyDescent="0.35">
      <c r="A8958">
        <v>3557</v>
      </c>
      <c r="B8958" s="1">
        <v>45779</v>
      </c>
      <c r="C8958" t="s">
        <v>12</v>
      </c>
      <c r="D8958" s="2">
        <v>0</v>
      </c>
      <c r="E8958" s="2">
        <v>3764.39</v>
      </c>
      <c r="F8958" t="s">
        <v>14</v>
      </c>
      <c r="G8958" t="s">
        <v>15</v>
      </c>
    </row>
    <row r="8959" spans="1:7" x14ac:dyDescent="0.35">
      <c r="A8959">
        <v>3557</v>
      </c>
      <c r="B8959" s="1">
        <v>45779</v>
      </c>
      <c r="C8959" t="s">
        <v>12</v>
      </c>
      <c r="D8959" s="2">
        <v>0</v>
      </c>
      <c r="E8959" s="2">
        <v>282.33</v>
      </c>
      <c r="F8959" t="s">
        <v>16</v>
      </c>
      <c r="G8959" t="s">
        <v>17</v>
      </c>
    </row>
    <row r="8960" spans="1:7" x14ac:dyDescent="0.35">
      <c r="A8960">
        <v>3558</v>
      </c>
      <c r="B8960" s="1">
        <v>45779</v>
      </c>
      <c r="C8960" t="s">
        <v>12</v>
      </c>
      <c r="D8960" s="2">
        <v>2778.5</v>
      </c>
      <c r="E8960" s="2">
        <v>0</v>
      </c>
      <c r="F8960" t="s">
        <v>13</v>
      </c>
      <c r="G8960" t="s">
        <v>9</v>
      </c>
    </row>
    <row r="8961" spans="1:7" x14ac:dyDescent="0.35">
      <c r="A8961">
        <v>3558</v>
      </c>
      <c r="B8961" s="1">
        <v>45779</v>
      </c>
      <c r="C8961" t="s">
        <v>12</v>
      </c>
      <c r="D8961" s="2">
        <v>0</v>
      </c>
      <c r="E8961" s="2">
        <v>2584.65</v>
      </c>
      <c r="F8961" t="s">
        <v>14</v>
      </c>
      <c r="G8961" t="s">
        <v>15</v>
      </c>
    </row>
    <row r="8962" spans="1:7" x14ac:dyDescent="0.35">
      <c r="A8962">
        <v>3558</v>
      </c>
      <c r="B8962" s="1">
        <v>45779</v>
      </c>
      <c r="C8962" t="s">
        <v>12</v>
      </c>
      <c r="D8962" s="2">
        <v>0</v>
      </c>
      <c r="E8962" s="2">
        <v>193.85</v>
      </c>
      <c r="F8962" t="s">
        <v>16</v>
      </c>
      <c r="G8962" t="s">
        <v>17</v>
      </c>
    </row>
    <row r="8963" spans="1:7" x14ac:dyDescent="0.35">
      <c r="A8963">
        <v>3559</v>
      </c>
      <c r="B8963" s="1">
        <v>45779</v>
      </c>
      <c r="C8963" t="s">
        <v>12</v>
      </c>
      <c r="D8963" s="2">
        <v>2819.16</v>
      </c>
      <c r="E8963" s="2">
        <v>0</v>
      </c>
      <c r="F8963" t="s">
        <v>13</v>
      </c>
      <c r="G8963" t="s">
        <v>9</v>
      </c>
    </row>
    <row r="8964" spans="1:7" x14ac:dyDescent="0.35">
      <c r="A8964">
        <v>3559</v>
      </c>
      <c r="B8964" s="1">
        <v>45779</v>
      </c>
      <c r="C8964" t="s">
        <v>12</v>
      </c>
      <c r="D8964" s="2">
        <v>0</v>
      </c>
      <c r="E8964" s="2">
        <v>2622.48</v>
      </c>
      <c r="F8964" t="s">
        <v>14</v>
      </c>
      <c r="G8964" t="s">
        <v>15</v>
      </c>
    </row>
    <row r="8965" spans="1:7" x14ac:dyDescent="0.35">
      <c r="A8965">
        <v>3559</v>
      </c>
      <c r="B8965" s="1">
        <v>45779</v>
      </c>
      <c r="C8965" t="s">
        <v>12</v>
      </c>
      <c r="D8965" s="2">
        <v>0</v>
      </c>
      <c r="E8965" s="2">
        <v>196.68</v>
      </c>
      <c r="F8965" t="s">
        <v>16</v>
      </c>
      <c r="G8965" t="s">
        <v>17</v>
      </c>
    </row>
    <row r="8966" spans="1:7" x14ac:dyDescent="0.35">
      <c r="A8966">
        <v>3560</v>
      </c>
      <c r="B8966" s="1">
        <v>45779</v>
      </c>
      <c r="C8966" t="s">
        <v>12</v>
      </c>
      <c r="D8966" s="2">
        <v>4531.04</v>
      </c>
      <c r="E8966" s="2">
        <v>0</v>
      </c>
      <c r="F8966" t="s">
        <v>13</v>
      </c>
      <c r="G8966" t="s">
        <v>9</v>
      </c>
    </row>
    <row r="8967" spans="1:7" x14ac:dyDescent="0.35">
      <c r="A8967">
        <v>3560</v>
      </c>
      <c r="B8967" s="1">
        <v>45779</v>
      </c>
      <c r="C8967" t="s">
        <v>12</v>
      </c>
      <c r="D8967" s="2">
        <v>0</v>
      </c>
      <c r="E8967" s="2">
        <v>4214.92</v>
      </c>
      <c r="F8967" t="s">
        <v>14</v>
      </c>
      <c r="G8967" t="s">
        <v>15</v>
      </c>
    </row>
    <row r="8968" spans="1:7" x14ac:dyDescent="0.35">
      <c r="A8968">
        <v>3560</v>
      </c>
      <c r="B8968" s="1">
        <v>45779</v>
      </c>
      <c r="C8968" t="s">
        <v>12</v>
      </c>
      <c r="D8968" s="2">
        <v>0</v>
      </c>
      <c r="E8968" s="2">
        <v>316.12</v>
      </c>
      <c r="F8968" t="s">
        <v>16</v>
      </c>
      <c r="G8968" t="s">
        <v>17</v>
      </c>
    </row>
    <row r="8969" spans="1:7" x14ac:dyDescent="0.35">
      <c r="A8969">
        <v>3561</v>
      </c>
      <c r="B8969" s="1">
        <v>45779</v>
      </c>
      <c r="C8969" t="s">
        <v>12</v>
      </c>
      <c r="D8969" s="2">
        <v>516.57000000000005</v>
      </c>
      <c r="E8969" s="2">
        <v>0</v>
      </c>
      <c r="F8969" t="s">
        <v>13</v>
      </c>
      <c r="G8969" t="s">
        <v>9</v>
      </c>
    </row>
    <row r="8970" spans="1:7" x14ac:dyDescent="0.35">
      <c r="A8970">
        <v>3561</v>
      </c>
      <c r="B8970" s="1">
        <v>45779</v>
      </c>
      <c r="C8970" t="s">
        <v>12</v>
      </c>
      <c r="D8970" s="2">
        <v>0</v>
      </c>
      <c r="E8970" s="2">
        <v>480.53</v>
      </c>
      <c r="F8970" t="s">
        <v>14</v>
      </c>
      <c r="G8970" t="s">
        <v>15</v>
      </c>
    </row>
    <row r="8971" spans="1:7" x14ac:dyDescent="0.35">
      <c r="A8971">
        <v>3561</v>
      </c>
      <c r="B8971" s="1">
        <v>45779</v>
      </c>
      <c r="C8971" t="s">
        <v>12</v>
      </c>
      <c r="D8971" s="2">
        <v>0</v>
      </c>
      <c r="E8971" s="2">
        <v>36.04</v>
      </c>
      <c r="F8971" t="s">
        <v>16</v>
      </c>
      <c r="G8971" t="s">
        <v>17</v>
      </c>
    </row>
    <row r="8972" spans="1:7" x14ac:dyDescent="0.35">
      <c r="A8972">
        <v>3562</v>
      </c>
      <c r="B8972" s="1">
        <v>45779</v>
      </c>
      <c r="C8972" t="s">
        <v>12</v>
      </c>
      <c r="D8972" s="2">
        <v>92.77</v>
      </c>
      <c r="E8972" s="2">
        <v>0</v>
      </c>
      <c r="F8972" t="s">
        <v>13</v>
      </c>
      <c r="G8972" t="s">
        <v>9</v>
      </c>
    </row>
    <row r="8973" spans="1:7" x14ac:dyDescent="0.35">
      <c r="A8973">
        <v>3562</v>
      </c>
      <c r="B8973" s="1">
        <v>45779</v>
      </c>
      <c r="C8973" t="s">
        <v>12</v>
      </c>
      <c r="D8973" s="2">
        <v>0</v>
      </c>
      <c r="E8973" s="2">
        <v>86.3</v>
      </c>
      <c r="F8973" t="s">
        <v>14</v>
      </c>
      <c r="G8973" t="s">
        <v>15</v>
      </c>
    </row>
    <row r="8974" spans="1:7" x14ac:dyDescent="0.35">
      <c r="A8974">
        <v>3562</v>
      </c>
      <c r="B8974" s="1">
        <v>45779</v>
      </c>
      <c r="C8974" t="s">
        <v>12</v>
      </c>
      <c r="D8974" s="2">
        <v>0</v>
      </c>
      <c r="E8974" s="2">
        <v>6.47</v>
      </c>
      <c r="F8974" t="s">
        <v>16</v>
      </c>
      <c r="G8974" t="s">
        <v>17</v>
      </c>
    </row>
    <row r="8975" spans="1:7" x14ac:dyDescent="0.35">
      <c r="A8975">
        <v>3563</v>
      </c>
      <c r="B8975" s="1">
        <v>45779</v>
      </c>
      <c r="C8975" t="s">
        <v>12</v>
      </c>
      <c r="D8975" s="2">
        <v>3651.31</v>
      </c>
      <c r="E8975" s="2">
        <v>0</v>
      </c>
      <c r="F8975" t="s">
        <v>13</v>
      </c>
      <c r="G8975" t="s">
        <v>9</v>
      </c>
    </row>
    <row r="8976" spans="1:7" x14ac:dyDescent="0.35">
      <c r="A8976">
        <v>3563</v>
      </c>
      <c r="B8976" s="1">
        <v>45779</v>
      </c>
      <c r="C8976" t="s">
        <v>12</v>
      </c>
      <c r="D8976" s="2">
        <v>0</v>
      </c>
      <c r="E8976" s="2">
        <v>3396.57</v>
      </c>
      <c r="F8976" t="s">
        <v>14</v>
      </c>
      <c r="G8976" t="s">
        <v>15</v>
      </c>
    </row>
    <row r="8977" spans="1:7" x14ac:dyDescent="0.35">
      <c r="A8977">
        <v>3563</v>
      </c>
      <c r="B8977" s="1">
        <v>45779</v>
      </c>
      <c r="C8977" t="s">
        <v>12</v>
      </c>
      <c r="D8977" s="2">
        <v>0</v>
      </c>
      <c r="E8977" s="2">
        <v>254.74</v>
      </c>
      <c r="F8977" t="s">
        <v>16</v>
      </c>
      <c r="G8977" t="s">
        <v>17</v>
      </c>
    </row>
    <row r="8978" spans="1:7" x14ac:dyDescent="0.35">
      <c r="A8978">
        <v>3564</v>
      </c>
      <c r="B8978" s="1">
        <v>45779</v>
      </c>
      <c r="C8978" t="s">
        <v>12</v>
      </c>
      <c r="D8978" s="2">
        <v>6005.47</v>
      </c>
      <c r="E8978" s="2">
        <v>0</v>
      </c>
      <c r="F8978" t="s">
        <v>13</v>
      </c>
      <c r="G8978" t="s">
        <v>9</v>
      </c>
    </row>
    <row r="8979" spans="1:7" x14ac:dyDescent="0.35">
      <c r="A8979">
        <v>3564</v>
      </c>
      <c r="B8979" s="1">
        <v>45779</v>
      </c>
      <c r="C8979" t="s">
        <v>12</v>
      </c>
      <c r="D8979" s="2">
        <v>0</v>
      </c>
      <c r="E8979" s="2">
        <v>5586.48</v>
      </c>
      <c r="F8979" t="s">
        <v>14</v>
      </c>
      <c r="G8979" t="s">
        <v>15</v>
      </c>
    </row>
    <row r="8980" spans="1:7" x14ac:dyDescent="0.35">
      <c r="A8980">
        <v>3564</v>
      </c>
      <c r="B8980" s="1">
        <v>45779</v>
      </c>
      <c r="C8980" t="s">
        <v>12</v>
      </c>
      <c r="D8980" s="2">
        <v>0</v>
      </c>
      <c r="E8980" s="2">
        <v>418.99</v>
      </c>
      <c r="F8980" t="s">
        <v>16</v>
      </c>
      <c r="G8980" t="s">
        <v>17</v>
      </c>
    </row>
    <row r="8981" spans="1:7" x14ac:dyDescent="0.35">
      <c r="A8981">
        <v>3565</v>
      </c>
      <c r="B8981" s="1">
        <v>45779</v>
      </c>
      <c r="C8981" t="s">
        <v>24</v>
      </c>
      <c r="D8981" s="2">
        <v>2486.4899999999998</v>
      </c>
      <c r="E8981" s="2">
        <v>0</v>
      </c>
      <c r="F8981" t="s">
        <v>8</v>
      </c>
      <c r="G8981" t="s">
        <v>9</v>
      </c>
    </row>
    <row r="8982" spans="1:7" x14ac:dyDescent="0.35">
      <c r="A8982">
        <v>3565</v>
      </c>
      <c r="B8982" s="1">
        <v>45779</v>
      </c>
      <c r="C8982" t="s">
        <v>24</v>
      </c>
      <c r="D8982" s="2">
        <v>0</v>
      </c>
      <c r="E8982" s="2">
        <v>2486.4899999999998</v>
      </c>
      <c r="F8982" t="s">
        <v>13</v>
      </c>
      <c r="G8982" t="s">
        <v>9</v>
      </c>
    </row>
    <row r="8983" spans="1:7" x14ac:dyDescent="0.35">
      <c r="A8983">
        <v>3566</v>
      </c>
      <c r="B8983" s="1">
        <v>45779</v>
      </c>
      <c r="C8983" t="s">
        <v>24</v>
      </c>
      <c r="D8983" s="2">
        <v>4325.1400000000003</v>
      </c>
      <c r="E8983" s="2">
        <v>0</v>
      </c>
      <c r="F8983" t="s">
        <v>8</v>
      </c>
      <c r="G8983" t="s">
        <v>9</v>
      </c>
    </row>
    <row r="8984" spans="1:7" x14ac:dyDescent="0.35">
      <c r="A8984">
        <v>3566</v>
      </c>
      <c r="B8984" s="1">
        <v>45779</v>
      </c>
      <c r="C8984" t="s">
        <v>24</v>
      </c>
      <c r="D8984" s="2">
        <v>0</v>
      </c>
      <c r="E8984" s="2">
        <v>4325.1400000000003</v>
      </c>
      <c r="F8984" t="s">
        <v>13</v>
      </c>
      <c r="G8984" t="s">
        <v>9</v>
      </c>
    </row>
    <row r="8985" spans="1:7" x14ac:dyDescent="0.35">
      <c r="A8985">
        <v>3567</v>
      </c>
      <c r="B8985" s="1">
        <v>45779</v>
      </c>
      <c r="C8985" t="s">
        <v>24</v>
      </c>
      <c r="D8985" s="2">
        <v>880.99</v>
      </c>
      <c r="E8985" s="2">
        <v>0</v>
      </c>
      <c r="F8985" t="s">
        <v>8</v>
      </c>
      <c r="G8985" t="s">
        <v>9</v>
      </c>
    </row>
    <row r="8986" spans="1:7" x14ac:dyDescent="0.35">
      <c r="A8986">
        <v>3567</v>
      </c>
      <c r="B8986" s="1">
        <v>45779</v>
      </c>
      <c r="C8986" t="s">
        <v>24</v>
      </c>
      <c r="D8986" s="2">
        <v>0</v>
      </c>
      <c r="E8986" s="2">
        <v>880.99</v>
      </c>
      <c r="F8986" t="s">
        <v>13</v>
      </c>
      <c r="G8986" t="s">
        <v>9</v>
      </c>
    </row>
    <row r="8987" spans="1:7" x14ac:dyDescent="0.35">
      <c r="A8987">
        <v>3568</v>
      </c>
      <c r="B8987" s="1">
        <v>45779</v>
      </c>
      <c r="C8987" t="s">
        <v>24</v>
      </c>
      <c r="D8987" s="2">
        <v>2033.48</v>
      </c>
      <c r="E8987" s="2">
        <v>0</v>
      </c>
      <c r="F8987" t="s">
        <v>8</v>
      </c>
      <c r="G8987" t="s">
        <v>9</v>
      </c>
    </row>
    <row r="8988" spans="1:7" x14ac:dyDescent="0.35">
      <c r="A8988">
        <v>3568</v>
      </c>
      <c r="B8988" s="1">
        <v>45779</v>
      </c>
      <c r="C8988" t="s">
        <v>24</v>
      </c>
      <c r="D8988" s="2">
        <v>0</v>
      </c>
      <c r="E8988" s="2">
        <v>2033.48</v>
      </c>
      <c r="F8988" t="s">
        <v>13</v>
      </c>
      <c r="G8988" t="s">
        <v>9</v>
      </c>
    </row>
    <row r="8989" spans="1:7" x14ac:dyDescent="0.35">
      <c r="A8989">
        <v>3569</v>
      </c>
      <c r="B8989" s="1">
        <v>45779</v>
      </c>
      <c r="C8989" t="s">
        <v>24</v>
      </c>
      <c r="D8989" s="2">
        <v>1745.37</v>
      </c>
      <c r="E8989" s="2">
        <v>0</v>
      </c>
      <c r="F8989" t="s">
        <v>8</v>
      </c>
      <c r="G8989" t="s">
        <v>9</v>
      </c>
    </row>
    <row r="8990" spans="1:7" x14ac:dyDescent="0.35">
      <c r="A8990">
        <v>3569</v>
      </c>
      <c r="B8990" s="1">
        <v>45779</v>
      </c>
      <c r="C8990" t="s">
        <v>24</v>
      </c>
      <c r="D8990" s="2">
        <v>0</v>
      </c>
      <c r="E8990" s="2">
        <v>1745.37</v>
      </c>
      <c r="F8990" t="s">
        <v>13</v>
      </c>
      <c r="G8990" t="s">
        <v>9</v>
      </c>
    </row>
    <row r="8991" spans="1:7" x14ac:dyDescent="0.35">
      <c r="A8991">
        <v>3570</v>
      </c>
      <c r="B8991" s="1">
        <v>45779</v>
      </c>
      <c r="C8991" t="s">
        <v>25</v>
      </c>
      <c r="D8991" s="2">
        <v>166.52</v>
      </c>
      <c r="E8991" s="2">
        <v>0</v>
      </c>
      <c r="F8991" t="s">
        <v>26</v>
      </c>
      <c r="G8991" t="s">
        <v>20</v>
      </c>
    </row>
    <row r="8992" spans="1:7" x14ac:dyDescent="0.35">
      <c r="A8992">
        <v>3570</v>
      </c>
      <c r="B8992" s="1">
        <v>45779</v>
      </c>
      <c r="C8992" t="s">
        <v>25</v>
      </c>
      <c r="D8992" s="2">
        <v>12.49</v>
      </c>
      <c r="E8992" s="2">
        <v>0</v>
      </c>
      <c r="F8992" t="s">
        <v>27</v>
      </c>
      <c r="G8992" t="s">
        <v>9</v>
      </c>
    </row>
    <row r="8993" spans="1:7" x14ac:dyDescent="0.35">
      <c r="A8993">
        <v>3570</v>
      </c>
      <c r="B8993" s="1">
        <v>45779</v>
      </c>
      <c r="C8993" t="s">
        <v>25</v>
      </c>
      <c r="D8993" s="2">
        <v>0</v>
      </c>
      <c r="E8993" s="2">
        <v>179.01</v>
      </c>
      <c r="F8993" t="s">
        <v>28</v>
      </c>
      <c r="G8993" t="s">
        <v>17</v>
      </c>
    </row>
    <row r="8994" spans="1:7" x14ac:dyDescent="0.35">
      <c r="A8994">
        <v>3571</v>
      </c>
      <c r="B8994" s="1">
        <v>45782</v>
      </c>
      <c r="C8994" t="s">
        <v>12</v>
      </c>
      <c r="D8994" s="2">
        <v>1467.25</v>
      </c>
      <c r="E8994" s="2">
        <v>0</v>
      </c>
      <c r="F8994" t="s">
        <v>13</v>
      </c>
      <c r="G8994" t="s">
        <v>9</v>
      </c>
    </row>
    <row r="8995" spans="1:7" x14ac:dyDescent="0.35">
      <c r="A8995">
        <v>3571</v>
      </c>
      <c r="B8995" s="1">
        <v>45782</v>
      </c>
      <c r="C8995" t="s">
        <v>12</v>
      </c>
      <c r="D8995" s="2">
        <v>0</v>
      </c>
      <c r="E8995" s="2">
        <v>1364.88</v>
      </c>
      <c r="F8995" t="s">
        <v>14</v>
      </c>
      <c r="G8995" t="s">
        <v>15</v>
      </c>
    </row>
    <row r="8996" spans="1:7" x14ac:dyDescent="0.35">
      <c r="A8996">
        <v>3571</v>
      </c>
      <c r="B8996" s="1">
        <v>45782</v>
      </c>
      <c r="C8996" t="s">
        <v>12</v>
      </c>
      <c r="D8996" s="2">
        <v>0</v>
      </c>
      <c r="E8996" s="2">
        <v>102.37</v>
      </c>
      <c r="F8996" t="s">
        <v>16</v>
      </c>
      <c r="G8996" t="s">
        <v>17</v>
      </c>
    </row>
    <row r="8997" spans="1:7" x14ac:dyDescent="0.35">
      <c r="A8997">
        <v>3572</v>
      </c>
      <c r="B8997" s="1">
        <v>45782</v>
      </c>
      <c r="C8997" t="s">
        <v>12</v>
      </c>
      <c r="D8997" s="2">
        <v>1756.56</v>
      </c>
      <c r="E8997" s="2">
        <v>0</v>
      </c>
      <c r="F8997" t="s">
        <v>13</v>
      </c>
      <c r="G8997" t="s">
        <v>9</v>
      </c>
    </row>
    <row r="8998" spans="1:7" x14ac:dyDescent="0.35">
      <c r="A8998">
        <v>3572</v>
      </c>
      <c r="B8998" s="1">
        <v>45782</v>
      </c>
      <c r="C8998" t="s">
        <v>12</v>
      </c>
      <c r="D8998" s="2">
        <v>0</v>
      </c>
      <c r="E8998" s="2">
        <v>1634.01</v>
      </c>
      <c r="F8998" t="s">
        <v>14</v>
      </c>
      <c r="G8998" t="s">
        <v>15</v>
      </c>
    </row>
    <row r="8999" spans="1:7" x14ac:dyDescent="0.35">
      <c r="A8999">
        <v>3572</v>
      </c>
      <c r="B8999" s="1">
        <v>45782</v>
      </c>
      <c r="C8999" t="s">
        <v>12</v>
      </c>
      <c r="D8999" s="2">
        <v>0</v>
      </c>
      <c r="E8999" s="2">
        <v>122.55</v>
      </c>
      <c r="F8999" t="s">
        <v>16</v>
      </c>
      <c r="G8999" t="s">
        <v>17</v>
      </c>
    </row>
    <row r="9000" spans="1:7" x14ac:dyDescent="0.35">
      <c r="A9000">
        <v>3573</v>
      </c>
      <c r="B9000" s="1">
        <v>45782</v>
      </c>
      <c r="C9000" t="s">
        <v>24</v>
      </c>
      <c r="D9000" s="2">
        <v>1722.74</v>
      </c>
      <c r="E9000" s="2">
        <v>0</v>
      </c>
      <c r="F9000" t="s">
        <v>8</v>
      </c>
      <c r="G9000" t="s">
        <v>9</v>
      </c>
    </row>
    <row r="9001" spans="1:7" x14ac:dyDescent="0.35">
      <c r="A9001">
        <v>3573</v>
      </c>
      <c r="B9001" s="1">
        <v>45782</v>
      </c>
      <c r="C9001" t="s">
        <v>24</v>
      </c>
      <c r="D9001" s="2">
        <v>0</v>
      </c>
      <c r="E9001" s="2">
        <v>1722.74</v>
      </c>
      <c r="F9001" t="s">
        <v>13</v>
      </c>
      <c r="G9001" t="s">
        <v>9</v>
      </c>
    </row>
    <row r="9002" spans="1:7" x14ac:dyDescent="0.35">
      <c r="A9002">
        <v>3574</v>
      </c>
      <c r="B9002" s="1">
        <v>45782</v>
      </c>
      <c r="C9002" t="s">
        <v>24</v>
      </c>
      <c r="D9002" s="2">
        <v>247.1</v>
      </c>
      <c r="E9002" s="2">
        <v>0</v>
      </c>
      <c r="F9002" t="s">
        <v>8</v>
      </c>
      <c r="G9002" t="s">
        <v>9</v>
      </c>
    </row>
    <row r="9003" spans="1:7" x14ac:dyDescent="0.35">
      <c r="A9003">
        <v>3574</v>
      </c>
      <c r="B9003" s="1">
        <v>45782</v>
      </c>
      <c r="C9003" t="s">
        <v>24</v>
      </c>
      <c r="D9003" s="2">
        <v>0</v>
      </c>
      <c r="E9003" s="2">
        <v>247.1</v>
      </c>
      <c r="F9003" t="s">
        <v>13</v>
      </c>
      <c r="G9003" t="s">
        <v>9</v>
      </c>
    </row>
    <row r="9004" spans="1:7" x14ac:dyDescent="0.35">
      <c r="A9004">
        <v>3575</v>
      </c>
      <c r="B9004" s="1">
        <v>45782</v>
      </c>
      <c r="C9004" t="s">
        <v>24</v>
      </c>
      <c r="D9004" s="2">
        <v>4046.72</v>
      </c>
      <c r="E9004" s="2">
        <v>0</v>
      </c>
      <c r="F9004" t="s">
        <v>8</v>
      </c>
      <c r="G9004" t="s">
        <v>9</v>
      </c>
    </row>
    <row r="9005" spans="1:7" x14ac:dyDescent="0.35">
      <c r="A9005">
        <v>3575</v>
      </c>
      <c r="B9005" s="1">
        <v>45782</v>
      </c>
      <c r="C9005" t="s">
        <v>24</v>
      </c>
      <c r="D9005" s="2">
        <v>0</v>
      </c>
      <c r="E9005" s="2">
        <v>4046.72</v>
      </c>
      <c r="F9005" t="s">
        <v>13</v>
      </c>
      <c r="G9005" t="s">
        <v>9</v>
      </c>
    </row>
    <row r="9006" spans="1:7" x14ac:dyDescent="0.35">
      <c r="A9006">
        <v>3576</v>
      </c>
      <c r="B9006" s="1">
        <v>45782</v>
      </c>
      <c r="C9006" t="s">
        <v>25</v>
      </c>
      <c r="D9006" s="2">
        <v>2030.15</v>
      </c>
      <c r="E9006" s="2">
        <v>0</v>
      </c>
      <c r="F9006" t="s">
        <v>26</v>
      </c>
      <c r="G9006" t="s">
        <v>20</v>
      </c>
    </row>
    <row r="9007" spans="1:7" x14ac:dyDescent="0.35">
      <c r="A9007">
        <v>3576</v>
      </c>
      <c r="B9007" s="1">
        <v>45782</v>
      </c>
      <c r="C9007" t="s">
        <v>25</v>
      </c>
      <c r="D9007" s="2">
        <v>152.26</v>
      </c>
      <c r="E9007" s="2">
        <v>0</v>
      </c>
      <c r="F9007" t="s">
        <v>27</v>
      </c>
      <c r="G9007" t="s">
        <v>9</v>
      </c>
    </row>
    <row r="9008" spans="1:7" x14ac:dyDescent="0.35">
      <c r="A9008">
        <v>3576</v>
      </c>
      <c r="B9008" s="1">
        <v>45782</v>
      </c>
      <c r="C9008" t="s">
        <v>25</v>
      </c>
      <c r="D9008" s="2">
        <v>0</v>
      </c>
      <c r="E9008" s="2">
        <v>2182.41</v>
      </c>
      <c r="F9008" t="s">
        <v>28</v>
      </c>
      <c r="G9008" t="s">
        <v>17</v>
      </c>
    </row>
    <row r="9009" spans="1:7" x14ac:dyDescent="0.35">
      <c r="A9009">
        <v>3577</v>
      </c>
      <c r="B9009" s="1">
        <v>45782</v>
      </c>
      <c r="C9009" t="s">
        <v>25</v>
      </c>
      <c r="D9009" s="2">
        <v>187.44</v>
      </c>
      <c r="E9009" s="2">
        <v>0</v>
      </c>
      <c r="F9009" t="s">
        <v>26</v>
      </c>
      <c r="G9009" t="s">
        <v>20</v>
      </c>
    </row>
    <row r="9010" spans="1:7" x14ac:dyDescent="0.35">
      <c r="A9010">
        <v>3577</v>
      </c>
      <c r="B9010" s="1">
        <v>45782</v>
      </c>
      <c r="C9010" t="s">
        <v>25</v>
      </c>
      <c r="D9010" s="2">
        <v>14.06</v>
      </c>
      <c r="E9010" s="2">
        <v>0</v>
      </c>
      <c r="F9010" t="s">
        <v>27</v>
      </c>
      <c r="G9010" t="s">
        <v>9</v>
      </c>
    </row>
    <row r="9011" spans="1:7" x14ac:dyDescent="0.35">
      <c r="A9011">
        <v>3577</v>
      </c>
      <c r="B9011" s="1">
        <v>45782</v>
      </c>
      <c r="C9011" t="s">
        <v>25</v>
      </c>
      <c r="D9011" s="2">
        <v>0</v>
      </c>
      <c r="E9011" s="2">
        <v>201.5</v>
      </c>
      <c r="F9011" t="s">
        <v>28</v>
      </c>
      <c r="G9011" t="s">
        <v>17</v>
      </c>
    </row>
    <row r="9012" spans="1:7" x14ac:dyDescent="0.35">
      <c r="A9012">
        <v>3578</v>
      </c>
      <c r="B9012" s="1">
        <v>45782</v>
      </c>
      <c r="C9012" t="s">
        <v>25</v>
      </c>
      <c r="D9012" s="2">
        <v>2329.52</v>
      </c>
      <c r="E9012" s="2">
        <v>0</v>
      </c>
      <c r="F9012" t="s">
        <v>26</v>
      </c>
      <c r="G9012" t="s">
        <v>20</v>
      </c>
    </row>
    <row r="9013" spans="1:7" x14ac:dyDescent="0.35">
      <c r="A9013">
        <v>3578</v>
      </c>
      <c r="B9013" s="1">
        <v>45782</v>
      </c>
      <c r="C9013" t="s">
        <v>25</v>
      </c>
      <c r="D9013" s="2">
        <v>174.71</v>
      </c>
      <c r="E9013" s="2">
        <v>0</v>
      </c>
      <c r="F9013" t="s">
        <v>27</v>
      </c>
      <c r="G9013" t="s">
        <v>9</v>
      </c>
    </row>
    <row r="9014" spans="1:7" x14ac:dyDescent="0.35">
      <c r="A9014">
        <v>3578</v>
      </c>
      <c r="B9014" s="1">
        <v>45782</v>
      </c>
      <c r="C9014" t="s">
        <v>25</v>
      </c>
      <c r="D9014" s="2">
        <v>0</v>
      </c>
      <c r="E9014" s="2">
        <v>2504.23</v>
      </c>
      <c r="F9014" t="s">
        <v>28</v>
      </c>
      <c r="G9014" t="s">
        <v>17</v>
      </c>
    </row>
    <row r="9015" spans="1:7" x14ac:dyDescent="0.35">
      <c r="A9015">
        <v>3579</v>
      </c>
      <c r="B9015" s="1">
        <v>45782</v>
      </c>
      <c r="C9015" t="s">
        <v>25</v>
      </c>
      <c r="D9015" s="2">
        <v>383.76</v>
      </c>
      <c r="E9015" s="2">
        <v>0</v>
      </c>
      <c r="F9015" t="s">
        <v>26</v>
      </c>
      <c r="G9015" t="s">
        <v>20</v>
      </c>
    </row>
    <row r="9016" spans="1:7" x14ac:dyDescent="0.35">
      <c r="A9016">
        <v>3579</v>
      </c>
      <c r="B9016" s="1">
        <v>45782</v>
      </c>
      <c r="C9016" t="s">
        <v>25</v>
      </c>
      <c r="D9016" s="2">
        <v>28.78</v>
      </c>
      <c r="E9016" s="2">
        <v>0</v>
      </c>
      <c r="F9016" t="s">
        <v>27</v>
      </c>
      <c r="G9016" t="s">
        <v>9</v>
      </c>
    </row>
    <row r="9017" spans="1:7" x14ac:dyDescent="0.35">
      <c r="A9017">
        <v>3579</v>
      </c>
      <c r="B9017" s="1">
        <v>45782</v>
      </c>
      <c r="C9017" t="s">
        <v>25</v>
      </c>
      <c r="D9017" s="2">
        <v>0</v>
      </c>
      <c r="E9017" s="2">
        <v>412.54</v>
      </c>
      <c r="F9017" t="s">
        <v>28</v>
      </c>
      <c r="G9017" t="s">
        <v>17</v>
      </c>
    </row>
    <row r="9018" spans="1:7" x14ac:dyDescent="0.35">
      <c r="A9018">
        <v>3580</v>
      </c>
      <c r="B9018" s="1">
        <v>45782</v>
      </c>
      <c r="C9018" t="s">
        <v>29</v>
      </c>
      <c r="D9018" s="2">
        <v>1304.6199999999999</v>
      </c>
      <c r="E9018" s="2">
        <v>0</v>
      </c>
      <c r="F9018" t="s">
        <v>28</v>
      </c>
      <c r="G9018" t="s">
        <v>17</v>
      </c>
    </row>
    <row r="9019" spans="1:7" x14ac:dyDescent="0.35">
      <c r="A9019">
        <v>3580</v>
      </c>
      <c r="B9019" s="1">
        <v>45782</v>
      </c>
      <c r="C9019" t="s">
        <v>29</v>
      </c>
      <c r="D9019" s="2">
        <v>0</v>
      </c>
      <c r="E9019" s="2">
        <v>1304.6199999999999</v>
      </c>
      <c r="F9019" t="s">
        <v>8</v>
      </c>
      <c r="G9019" t="s">
        <v>9</v>
      </c>
    </row>
    <row r="9020" spans="1:7" x14ac:dyDescent="0.35">
      <c r="A9020">
        <v>3581</v>
      </c>
      <c r="B9020" s="1">
        <v>45782</v>
      </c>
      <c r="C9020" t="s">
        <v>29</v>
      </c>
      <c r="D9020" s="2">
        <v>748.26</v>
      </c>
      <c r="E9020" s="2">
        <v>0</v>
      </c>
      <c r="F9020" t="s">
        <v>28</v>
      </c>
      <c r="G9020" t="s">
        <v>17</v>
      </c>
    </row>
    <row r="9021" spans="1:7" x14ac:dyDescent="0.35">
      <c r="A9021">
        <v>3581</v>
      </c>
      <c r="B9021" s="1">
        <v>45782</v>
      </c>
      <c r="C9021" t="s">
        <v>29</v>
      </c>
      <c r="D9021" s="2">
        <v>0</v>
      </c>
      <c r="E9021" s="2">
        <v>748.26</v>
      </c>
      <c r="F9021" t="s">
        <v>8</v>
      </c>
      <c r="G9021" t="s">
        <v>9</v>
      </c>
    </row>
    <row r="9022" spans="1:7" x14ac:dyDescent="0.35">
      <c r="A9022">
        <v>3582</v>
      </c>
      <c r="B9022" s="1">
        <v>45782</v>
      </c>
      <c r="C9022" t="s">
        <v>29</v>
      </c>
      <c r="D9022" s="2">
        <v>1958.74</v>
      </c>
      <c r="E9022" s="2">
        <v>0</v>
      </c>
      <c r="F9022" t="s">
        <v>28</v>
      </c>
      <c r="G9022" t="s">
        <v>17</v>
      </c>
    </row>
    <row r="9023" spans="1:7" x14ac:dyDescent="0.35">
      <c r="A9023">
        <v>3582</v>
      </c>
      <c r="B9023" s="1">
        <v>45782</v>
      </c>
      <c r="C9023" t="s">
        <v>29</v>
      </c>
      <c r="D9023" s="2">
        <v>0</v>
      </c>
      <c r="E9023" s="2">
        <v>1958.74</v>
      </c>
      <c r="F9023" t="s">
        <v>8</v>
      </c>
      <c r="G9023" t="s">
        <v>9</v>
      </c>
    </row>
    <row r="9024" spans="1:7" x14ac:dyDescent="0.35">
      <c r="A9024">
        <v>3583</v>
      </c>
      <c r="B9024" s="1">
        <v>45782</v>
      </c>
      <c r="C9024" t="s">
        <v>29</v>
      </c>
      <c r="D9024" s="2">
        <v>1766.46</v>
      </c>
      <c r="E9024" s="2">
        <v>0</v>
      </c>
      <c r="F9024" t="s">
        <v>28</v>
      </c>
      <c r="G9024" t="s">
        <v>17</v>
      </c>
    </row>
    <row r="9025" spans="1:7" x14ac:dyDescent="0.35">
      <c r="A9025">
        <v>3583</v>
      </c>
      <c r="B9025" s="1">
        <v>45782</v>
      </c>
      <c r="C9025" t="s">
        <v>29</v>
      </c>
      <c r="D9025" s="2">
        <v>0</v>
      </c>
      <c r="E9025" s="2">
        <v>1766.46</v>
      </c>
      <c r="F9025" t="s">
        <v>8</v>
      </c>
      <c r="G9025" t="s">
        <v>9</v>
      </c>
    </row>
    <row r="9026" spans="1:7" x14ac:dyDescent="0.35">
      <c r="A9026">
        <v>3584</v>
      </c>
      <c r="B9026" s="1">
        <v>45782</v>
      </c>
      <c r="C9026" t="s">
        <v>29</v>
      </c>
      <c r="D9026" s="2">
        <v>276.32</v>
      </c>
      <c r="E9026" s="2">
        <v>0</v>
      </c>
      <c r="F9026" t="s">
        <v>28</v>
      </c>
      <c r="G9026" t="s">
        <v>17</v>
      </c>
    </row>
    <row r="9027" spans="1:7" x14ac:dyDescent="0.35">
      <c r="A9027">
        <v>3584</v>
      </c>
      <c r="B9027" s="1">
        <v>45782</v>
      </c>
      <c r="C9027" t="s">
        <v>29</v>
      </c>
      <c r="D9027" s="2">
        <v>0</v>
      </c>
      <c r="E9027" s="2">
        <v>276.32</v>
      </c>
      <c r="F9027" t="s">
        <v>8</v>
      </c>
      <c r="G9027" t="s">
        <v>9</v>
      </c>
    </row>
    <row r="9028" spans="1:7" x14ac:dyDescent="0.35">
      <c r="A9028">
        <v>3585</v>
      </c>
      <c r="B9028" s="1">
        <v>45782</v>
      </c>
      <c r="C9028" t="s">
        <v>29</v>
      </c>
      <c r="D9028" s="2">
        <v>179.01</v>
      </c>
      <c r="E9028" s="2">
        <v>0</v>
      </c>
      <c r="F9028" t="s">
        <v>28</v>
      </c>
      <c r="G9028" t="s">
        <v>17</v>
      </c>
    </row>
    <row r="9029" spans="1:7" x14ac:dyDescent="0.35">
      <c r="A9029">
        <v>3585</v>
      </c>
      <c r="B9029" s="1">
        <v>45782</v>
      </c>
      <c r="C9029" t="s">
        <v>29</v>
      </c>
      <c r="D9029" s="2">
        <v>0</v>
      </c>
      <c r="E9029" s="2">
        <v>179.01</v>
      </c>
      <c r="F9029" t="s">
        <v>8</v>
      </c>
      <c r="G9029" t="s">
        <v>9</v>
      </c>
    </row>
    <row r="9030" spans="1:7" x14ac:dyDescent="0.35">
      <c r="A9030">
        <v>3586</v>
      </c>
      <c r="B9030" s="1">
        <v>45783</v>
      </c>
      <c r="C9030" t="s">
        <v>12</v>
      </c>
      <c r="D9030" s="2">
        <v>2951.81</v>
      </c>
      <c r="E9030" s="2">
        <v>0</v>
      </c>
      <c r="F9030" t="s">
        <v>13</v>
      </c>
      <c r="G9030" t="s">
        <v>9</v>
      </c>
    </row>
    <row r="9031" spans="1:7" x14ac:dyDescent="0.35">
      <c r="A9031">
        <v>3586</v>
      </c>
      <c r="B9031" s="1">
        <v>45783</v>
      </c>
      <c r="C9031" t="s">
        <v>12</v>
      </c>
      <c r="D9031" s="2">
        <v>0</v>
      </c>
      <c r="E9031" s="2">
        <v>2745.87</v>
      </c>
      <c r="F9031" t="s">
        <v>14</v>
      </c>
      <c r="G9031" t="s">
        <v>15</v>
      </c>
    </row>
    <row r="9032" spans="1:7" x14ac:dyDescent="0.35">
      <c r="A9032">
        <v>3586</v>
      </c>
      <c r="B9032" s="1">
        <v>45783</v>
      </c>
      <c r="C9032" t="s">
        <v>12</v>
      </c>
      <c r="D9032" s="2">
        <v>0</v>
      </c>
      <c r="E9032" s="2">
        <v>205.94</v>
      </c>
      <c r="F9032" t="s">
        <v>16</v>
      </c>
      <c r="G9032" t="s">
        <v>17</v>
      </c>
    </row>
    <row r="9033" spans="1:7" x14ac:dyDescent="0.35">
      <c r="A9033">
        <v>3587</v>
      </c>
      <c r="B9033" s="1">
        <v>45783</v>
      </c>
      <c r="C9033" t="s">
        <v>12</v>
      </c>
      <c r="D9033" s="2">
        <v>3301.62</v>
      </c>
      <c r="E9033" s="2">
        <v>0</v>
      </c>
      <c r="F9033" t="s">
        <v>13</v>
      </c>
      <c r="G9033" t="s">
        <v>9</v>
      </c>
    </row>
    <row r="9034" spans="1:7" x14ac:dyDescent="0.35">
      <c r="A9034">
        <v>3587</v>
      </c>
      <c r="B9034" s="1">
        <v>45783</v>
      </c>
      <c r="C9034" t="s">
        <v>12</v>
      </c>
      <c r="D9034" s="2">
        <v>0</v>
      </c>
      <c r="E9034" s="2">
        <v>3071.28</v>
      </c>
      <c r="F9034" t="s">
        <v>14</v>
      </c>
      <c r="G9034" t="s">
        <v>15</v>
      </c>
    </row>
    <row r="9035" spans="1:7" x14ac:dyDescent="0.35">
      <c r="A9035">
        <v>3587</v>
      </c>
      <c r="B9035" s="1">
        <v>45783</v>
      </c>
      <c r="C9035" t="s">
        <v>12</v>
      </c>
      <c r="D9035" s="2">
        <v>0</v>
      </c>
      <c r="E9035" s="2">
        <v>230.34</v>
      </c>
      <c r="F9035" t="s">
        <v>16</v>
      </c>
      <c r="G9035" t="s">
        <v>17</v>
      </c>
    </row>
    <row r="9036" spans="1:7" x14ac:dyDescent="0.35">
      <c r="A9036">
        <v>3588</v>
      </c>
      <c r="B9036" s="1">
        <v>45783</v>
      </c>
      <c r="C9036" t="s">
        <v>12</v>
      </c>
      <c r="D9036" s="2">
        <v>3839.39</v>
      </c>
      <c r="E9036" s="2">
        <v>0</v>
      </c>
      <c r="F9036" t="s">
        <v>13</v>
      </c>
      <c r="G9036" t="s">
        <v>9</v>
      </c>
    </row>
    <row r="9037" spans="1:7" x14ac:dyDescent="0.35">
      <c r="A9037">
        <v>3588</v>
      </c>
      <c r="B9037" s="1">
        <v>45783</v>
      </c>
      <c r="C9037" t="s">
        <v>12</v>
      </c>
      <c r="D9037" s="2">
        <v>0</v>
      </c>
      <c r="E9037" s="2">
        <v>3571.52</v>
      </c>
      <c r="F9037" t="s">
        <v>14</v>
      </c>
      <c r="G9037" t="s">
        <v>15</v>
      </c>
    </row>
    <row r="9038" spans="1:7" x14ac:dyDescent="0.35">
      <c r="A9038">
        <v>3588</v>
      </c>
      <c r="B9038" s="1">
        <v>45783</v>
      </c>
      <c r="C9038" t="s">
        <v>12</v>
      </c>
      <c r="D9038" s="2">
        <v>0</v>
      </c>
      <c r="E9038" s="2">
        <v>267.87</v>
      </c>
      <c r="F9038" t="s">
        <v>16</v>
      </c>
      <c r="G9038" t="s">
        <v>17</v>
      </c>
    </row>
    <row r="9039" spans="1:7" x14ac:dyDescent="0.35">
      <c r="A9039">
        <v>3589</v>
      </c>
      <c r="B9039" s="1">
        <v>45783</v>
      </c>
      <c r="C9039" t="s">
        <v>12</v>
      </c>
      <c r="D9039" s="2">
        <v>318.14</v>
      </c>
      <c r="E9039" s="2">
        <v>0</v>
      </c>
      <c r="F9039" t="s">
        <v>13</v>
      </c>
      <c r="G9039" t="s">
        <v>9</v>
      </c>
    </row>
    <row r="9040" spans="1:7" x14ac:dyDescent="0.35">
      <c r="A9040">
        <v>3589</v>
      </c>
      <c r="B9040" s="1">
        <v>45783</v>
      </c>
      <c r="C9040" t="s">
        <v>12</v>
      </c>
      <c r="D9040" s="2">
        <v>0</v>
      </c>
      <c r="E9040" s="2">
        <v>295.95</v>
      </c>
      <c r="F9040" t="s">
        <v>14</v>
      </c>
      <c r="G9040" t="s">
        <v>15</v>
      </c>
    </row>
    <row r="9041" spans="1:7" x14ac:dyDescent="0.35">
      <c r="A9041">
        <v>3589</v>
      </c>
      <c r="B9041" s="1">
        <v>45783</v>
      </c>
      <c r="C9041" t="s">
        <v>12</v>
      </c>
      <c r="D9041" s="2">
        <v>0</v>
      </c>
      <c r="E9041" s="2">
        <v>22.19</v>
      </c>
      <c r="F9041" t="s">
        <v>16</v>
      </c>
      <c r="G9041" t="s">
        <v>17</v>
      </c>
    </row>
    <row r="9042" spans="1:7" x14ac:dyDescent="0.35">
      <c r="A9042">
        <v>3590</v>
      </c>
      <c r="B9042" s="1">
        <v>45783</v>
      </c>
      <c r="C9042" t="s">
        <v>12</v>
      </c>
      <c r="D9042" s="2">
        <v>4485.37</v>
      </c>
      <c r="E9042" s="2">
        <v>0</v>
      </c>
      <c r="F9042" t="s">
        <v>13</v>
      </c>
      <c r="G9042" t="s">
        <v>9</v>
      </c>
    </row>
    <row r="9043" spans="1:7" x14ac:dyDescent="0.35">
      <c r="A9043">
        <v>3590</v>
      </c>
      <c r="B9043" s="1">
        <v>45783</v>
      </c>
      <c r="C9043" t="s">
        <v>12</v>
      </c>
      <c r="D9043" s="2">
        <v>0</v>
      </c>
      <c r="E9043" s="2">
        <v>4172.4399999999996</v>
      </c>
      <c r="F9043" t="s">
        <v>14</v>
      </c>
      <c r="G9043" t="s">
        <v>15</v>
      </c>
    </row>
    <row r="9044" spans="1:7" x14ac:dyDescent="0.35">
      <c r="A9044">
        <v>3590</v>
      </c>
      <c r="B9044" s="1">
        <v>45783</v>
      </c>
      <c r="C9044" t="s">
        <v>12</v>
      </c>
      <c r="D9044" s="2">
        <v>0</v>
      </c>
      <c r="E9044" s="2">
        <v>312.93</v>
      </c>
      <c r="F9044" t="s">
        <v>16</v>
      </c>
      <c r="G9044" t="s">
        <v>17</v>
      </c>
    </row>
    <row r="9045" spans="1:7" x14ac:dyDescent="0.35">
      <c r="A9045">
        <v>3591</v>
      </c>
      <c r="B9045" s="1">
        <v>45783</v>
      </c>
      <c r="C9045" t="s">
        <v>12</v>
      </c>
      <c r="D9045" s="2">
        <v>2228.6799999999998</v>
      </c>
      <c r="E9045" s="2">
        <v>0</v>
      </c>
      <c r="F9045" t="s">
        <v>13</v>
      </c>
      <c r="G9045" t="s">
        <v>9</v>
      </c>
    </row>
    <row r="9046" spans="1:7" x14ac:dyDescent="0.35">
      <c r="A9046">
        <v>3591</v>
      </c>
      <c r="B9046" s="1">
        <v>45783</v>
      </c>
      <c r="C9046" t="s">
        <v>12</v>
      </c>
      <c r="D9046" s="2">
        <v>0</v>
      </c>
      <c r="E9046" s="2">
        <v>2073.1799999999998</v>
      </c>
      <c r="F9046" t="s">
        <v>14</v>
      </c>
      <c r="G9046" t="s">
        <v>15</v>
      </c>
    </row>
    <row r="9047" spans="1:7" x14ac:dyDescent="0.35">
      <c r="A9047">
        <v>3591</v>
      </c>
      <c r="B9047" s="1">
        <v>45783</v>
      </c>
      <c r="C9047" t="s">
        <v>12</v>
      </c>
      <c r="D9047" s="2">
        <v>0</v>
      </c>
      <c r="E9047" s="2">
        <v>155.5</v>
      </c>
      <c r="F9047" t="s">
        <v>16</v>
      </c>
      <c r="G9047" t="s">
        <v>17</v>
      </c>
    </row>
    <row r="9048" spans="1:7" x14ac:dyDescent="0.35">
      <c r="A9048">
        <v>3592</v>
      </c>
      <c r="B9048" s="1">
        <v>45783</v>
      </c>
      <c r="C9048" t="s">
        <v>12</v>
      </c>
      <c r="D9048" s="2">
        <v>1252.17</v>
      </c>
      <c r="E9048" s="2">
        <v>0</v>
      </c>
      <c r="F9048" t="s">
        <v>13</v>
      </c>
      <c r="G9048" t="s">
        <v>9</v>
      </c>
    </row>
    <row r="9049" spans="1:7" x14ac:dyDescent="0.35">
      <c r="A9049">
        <v>3592</v>
      </c>
      <c r="B9049" s="1">
        <v>45783</v>
      </c>
      <c r="C9049" t="s">
        <v>12</v>
      </c>
      <c r="D9049" s="2">
        <v>0</v>
      </c>
      <c r="E9049" s="2">
        <v>1164.81</v>
      </c>
      <c r="F9049" t="s">
        <v>14</v>
      </c>
      <c r="G9049" t="s">
        <v>15</v>
      </c>
    </row>
    <row r="9050" spans="1:7" x14ac:dyDescent="0.35">
      <c r="A9050">
        <v>3592</v>
      </c>
      <c r="B9050" s="1">
        <v>45783</v>
      </c>
      <c r="C9050" t="s">
        <v>12</v>
      </c>
      <c r="D9050" s="2">
        <v>0</v>
      </c>
      <c r="E9050" s="2">
        <v>87.36</v>
      </c>
      <c r="F9050" t="s">
        <v>16</v>
      </c>
      <c r="G9050" t="s">
        <v>17</v>
      </c>
    </row>
    <row r="9051" spans="1:7" x14ac:dyDescent="0.35">
      <c r="A9051">
        <v>3593</v>
      </c>
      <c r="B9051" s="1">
        <v>45783</v>
      </c>
      <c r="C9051" t="s">
        <v>12</v>
      </c>
      <c r="D9051" s="2">
        <v>2425.4299999999998</v>
      </c>
      <c r="E9051" s="2">
        <v>0</v>
      </c>
      <c r="F9051" t="s">
        <v>13</v>
      </c>
      <c r="G9051" t="s">
        <v>9</v>
      </c>
    </row>
    <row r="9052" spans="1:7" x14ac:dyDescent="0.35">
      <c r="A9052">
        <v>3593</v>
      </c>
      <c r="B9052" s="1">
        <v>45783</v>
      </c>
      <c r="C9052" t="s">
        <v>12</v>
      </c>
      <c r="D9052" s="2">
        <v>0</v>
      </c>
      <c r="E9052" s="2">
        <v>2256.21</v>
      </c>
      <c r="F9052" t="s">
        <v>14</v>
      </c>
      <c r="G9052" t="s">
        <v>15</v>
      </c>
    </row>
    <row r="9053" spans="1:7" x14ac:dyDescent="0.35">
      <c r="A9053">
        <v>3593</v>
      </c>
      <c r="B9053" s="1">
        <v>45783</v>
      </c>
      <c r="C9053" t="s">
        <v>12</v>
      </c>
      <c r="D9053" s="2">
        <v>0</v>
      </c>
      <c r="E9053" s="2">
        <v>169.22</v>
      </c>
      <c r="F9053" t="s">
        <v>16</v>
      </c>
      <c r="G9053" t="s">
        <v>17</v>
      </c>
    </row>
    <row r="9054" spans="1:7" x14ac:dyDescent="0.35">
      <c r="A9054">
        <v>3594</v>
      </c>
      <c r="B9054" s="1">
        <v>45783</v>
      </c>
      <c r="C9054" t="s">
        <v>24</v>
      </c>
      <c r="D9054" s="2">
        <v>3532.08</v>
      </c>
      <c r="E9054" s="2">
        <v>0</v>
      </c>
      <c r="F9054" t="s">
        <v>8</v>
      </c>
      <c r="G9054" t="s">
        <v>9</v>
      </c>
    </row>
    <row r="9055" spans="1:7" x14ac:dyDescent="0.35">
      <c r="A9055">
        <v>3594</v>
      </c>
      <c r="B9055" s="1">
        <v>45783</v>
      </c>
      <c r="C9055" t="s">
        <v>24</v>
      </c>
      <c r="D9055" s="2">
        <v>0</v>
      </c>
      <c r="E9055" s="2">
        <v>3532.08</v>
      </c>
      <c r="F9055" t="s">
        <v>13</v>
      </c>
      <c r="G9055" t="s">
        <v>9</v>
      </c>
    </row>
    <row r="9056" spans="1:7" x14ac:dyDescent="0.35">
      <c r="A9056">
        <v>3595</v>
      </c>
      <c r="B9056" s="1">
        <v>45783</v>
      </c>
      <c r="C9056" t="s">
        <v>24</v>
      </c>
      <c r="D9056" s="2">
        <v>123.55</v>
      </c>
      <c r="E9056" s="2">
        <v>0</v>
      </c>
      <c r="F9056" t="s">
        <v>8</v>
      </c>
      <c r="G9056" t="s">
        <v>9</v>
      </c>
    </row>
    <row r="9057" spans="1:7" x14ac:dyDescent="0.35">
      <c r="A9057">
        <v>3595</v>
      </c>
      <c r="B9057" s="1">
        <v>45783</v>
      </c>
      <c r="C9057" t="s">
        <v>24</v>
      </c>
      <c r="D9057" s="2">
        <v>0</v>
      </c>
      <c r="E9057" s="2">
        <v>123.55</v>
      </c>
      <c r="F9057" t="s">
        <v>13</v>
      </c>
      <c r="G9057" t="s">
        <v>9</v>
      </c>
    </row>
    <row r="9058" spans="1:7" x14ac:dyDescent="0.35">
      <c r="A9058">
        <v>3596</v>
      </c>
      <c r="B9058" s="1">
        <v>45783</v>
      </c>
      <c r="C9058" t="s">
        <v>24</v>
      </c>
      <c r="D9058" s="2">
        <v>2400.89</v>
      </c>
      <c r="E9058" s="2">
        <v>0</v>
      </c>
      <c r="F9058" t="s">
        <v>8</v>
      </c>
      <c r="G9058" t="s">
        <v>9</v>
      </c>
    </row>
    <row r="9059" spans="1:7" x14ac:dyDescent="0.35">
      <c r="A9059">
        <v>3596</v>
      </c>
      <c r="B9059" s="1">
        <v>45783</v>
      </c>
      <c r="C9059" t="s">
        <v>24</v>
      </c>
      <c r="D9059" s="2">
        <v>0</v>
      </c>
      <c r="E9059" s="2">
        <v>2400.89</v>
      </c>
      <c r="F9059" t="s">
        <v>13</v>
      </c>
      <c r="G9059" t="s">
        <v>9</v>
      </c>
    </row>
    <row r="9060" spans="1:7" x14ac:dyDescent="0.35">
      <c r="A9060">
        <v>3597</v>
      </c>
      <c r="B9060" s="1">
        <v>45783</v>
      </c>
      <c r="C9060" t="s">
        <v>24</v>
      </c>
      <c r="D9060" s="2">
        <v>2637.08</v>
      </c>
      <c r="E9060" s="2">
        <v>0</v>
      </c>
      <c r="F9060" t="s">
        <v>8</v>
      </c>
      <c r="G9060" t="s">
        <v>9</v>
      </c>
    </row>
    <row r="9061" spans="1:7" x14ac:dyDescent="0.35">
      <c r="A9061">
        <v>3597</v>
      </c>
      <c r="B9061" s="1">
        <v>45783</v>
      </c>
      <c r="C9061" t="s">
        <v>24</v>
      </c>
      <c r="D9061" s="2">
        <v>0</v>
      </c>
      <c r="E9061" s="2">
        <v>2637.08</v>
      </c>
      <c r="F9061" t="s">
        <v>13</v>
      </c>
      <c r="G9061" t="s">
        <v>9</v>
      </c>
    </row>
    <row r="9062" spans="1:7" x14ac:dyDescent="0.35">
      <c r="A9062">
        <v>3598</v>
      </c>
      <c r="B9062" s="1">
        <v>45783</v>
      </c>
      <c r="C9062" t="s">
        <v>24</v>
      </c>
      <c r="D9062" s="2">
        <v>1145.92</v>
      </c>
      <c r="E9062" s="2">
        <v>0</v>
      </c>
      <c r="F9062" t="s">
        <v>8</v>
      </c>
      <c r="G9062" t="s">
        <v>9</v>
      </c>
    </row>
    <row r="9063" spans="1:7" x14ac:dyDescent="0.35">
      <c r="A9063">
        <v>3598</v>
      </c>
      <c r="B9063" s="1">
        <v>45783</v>
      </c>
      <c r="C9063" t="s">
        <v>24</v>
      </c>
      <c r="D9063" s="2">
        <v>0</v>
      </c>
      <c r="E9063" s="2">
        <v>1145.92</v>
      </c>
      <c r="F9063" t="s">
        <v>13</v>
      </c>
      <c r="G9063" t="s">
        <v>9</v>
      </c>
    </row>
    <row r="9064" spans="1:7" x14ac:dyDescent="0.35">
      <c r="A9064">
        <v>3599</v>
      </c>
      <c r="B9064" s="1">
        <v>45783</v>
      </c>
      <c r="C9064" t="s">
        <v>24</v>
      </c>
      <c r="D9064" s="2">
        <v>1726.72</v>
      </c>
      <c r="E9064" s="2">
        <v>0</v>
      </c>
      <c r="F9064" t="s">
        <v>8</v>
      </c>
      <c r="G9064" t="s">
        <v>9</v>
      </c>
    </row>
    <row r="9065" spans="1:7" x14ac:dyDescent="0.35">
      <c r="A9065">
        <v>3599</v>
      </c>
      <c r="B9065" s="1">
        <v>45783</v>
      </c>
      <c r="C9065" t="s">
        <v>24</v>
      </c>
      <c r="D9065" s="2">
        <v>0</v>
      </c>
      <c r="E9065" s="2">
        <v>1726.72</v>
      </c>
      <c r="F9065" t="s">
        <v>13</v>
      </c>
      <c r="G9065" t="s">
        <v>9</v>
      </c>
    </row>
    <row r="9066" spans="1:7" x14ac:dyDescent="0.35">
      <c r="A9066">
        <v>3600</v>
      </c>
      <c r="B9066" s="1">
        <v>45783</v>
      </c>
      <c r="C9066" t="s">
        <v>25</v>
      </c>
      <c r="D9066" s="2">
        <v>1213.5999999999999</v>
      </c>
      <c r="E9066" s="2">
        <v>0</v>
      </c>
      <c r="F9066" t="s">
        <v>26</v>
      </c>
      <c r="G9066" t="s">
        <v>20</v>
      </c>
    </row>
    <row r="9067" spans="1:7" x14ac:dyDescent="0.35">
      <c r="A9067">
        <v>3600</v>
      </c>
      <c r="B9067" s="1">
        <v>45783</v>
      </c>
      <c r="C9067" t="s">
        <v>25</v>
      </c>
      <c r="D9067" s="2">
        <v>91.02</v>
      </c>
      <c r="E9067" s="2">
        <v>0</v>
      </c>
      <c r="F9067" t="s">
        <v>27</v>
      </c>
      <c r="G9067" t="s">
        <v>9</v>
      </c>
    </row>
    <row r="9068" spans="1:7" x14ac:dyDescent="0.35">
      <c r="A9068">
        <v>3600</v>
      </c>
      <c r="B9068" s="1">
        <v>45783</v>
      </c>
      <c r="C9068" t="s">
        <v>25</v>
      </c>
      <c r="D9068" s="2">
        <v>0</v>
      </c>
      <c r="E9068" s="2">
        <v>1304.6199999999999</v>
      </c>
      <c r="F9068" t="s">
        <v>28</v>
      </c>
      <c r="G9068" t="s">
        <v>17</v>
      </c>
    </row>
    <row r="9069" spans="1:7" x14ac:dyDescent="0.35">
      <c r="A9069">
        <v>3601</v>
      </c>
      <c r="B9069" s="1">
        <v>45783</v>
      </c>
      <c r="C9069" t="s">
        <v>25</v>
      </c>
      <c r="D9069" s="2">
        <v>1668.94</v>
      </c>
      <c r="E9069" s="2">
        <v>0</v>
      </c>
      <c r="F9069" t="s">
        <v>26</v>
      </c>
      <c r="G9069" t="s">
        <v>20</v>
      </c>
    </row>
    <row r="9070" spans="1:7" x14ac:dyDescent="0.35">
      <c r="A9070">
        <v>3601</v>
      </c>
      <c r="B9070" s="1">
        <v>45783</v>
      </c>
      <c r="C9070" t="s">
        <v>25</v>
      </c>
      <c r="D9070" s="2">
        <v>125.17</v>
      </c>
      <c r="E9070" s="2">
        <v>0</v>
      </c>
      <c r="F9070" t="s">
        <v>27</v>
      </c>
      <c r="G9070" t="s">
        <v>9</v>
      </c>
    </row>
    <row r="9071" spans="1:7" x14ac:dyDescent="0.35">
      <c r="A9071">
        <v>3601</v>
      </c>
      <c r="B9071" s="1">
        <v>45783</v>
      </c>
      <c r="C9071" t="s">
        <v>25</v>
      </c>
      <c r="D9071" s="2">
        <v>0</v>
      </c>
      <c r="E9071" s="2">
        <v>1794.11</v>
      </c>
      <c r="F9071" t="s">
        <v>28</v>
      </c>
      <c r="G9071" t="s">
        <v>17</v>
      </c>
    </row>
    <row r="9072" spans="1:7" x14ac:dyDescent="0.35">
      <c r="A9072">
        <v>3602</v>
      </c>
      <c r="B9072" s="1">
        <v>45784</v>
      </c>
      <c r="C9072" t="s">
        <v>12</v>
      </c>
      <c r="D9072" s="2">
        <v>3351.61</v>
      </c>
      <c r="E9072" s="2">
        <v>0</v>
      </c>
      <c r="F9072" t="s">
        <v>13</v>
      </c>
      <c r="G9072" t="s">
        <v>9</v>
      </c>
    </row>
    <row r="9073" spans="1:7" x14ac:dyDescent="0.35">
      <c r="A9073">
        <v>3602</v>
      </c>
      <c r="B9073" s="1">
        <v>45784</v>
      </c>
      <c r="C9073" t="s">
        <v>12</v>
      </c>
      <c r="D9073" s="2">
        <v>0</v>
      </c>
      <c r="E9073" s="2">
        <v>3117.78</v>
      </c>
      <c r="F9073" t="s">
        <v>14</v>
      </c>
      <c r="G9073" t="s">
        <v>15</v>
      </c>
    </row>
    <row r="9074" spans="1:7" x14ac:dyDescent="0.35">
      <c r="A9074">
        <v>3602</v>
      </c>
      <c r="B9074" s="1">
        <v>45784</v>
      </c>
      <c r="C9074" t="s">
        <v>12</v>
      </c>
      <c r="D9074" s="2">
        <v>0</v>
      </c>
      <c r="E9074" s="2">
        <v>233.83</v>
      </c>
      <c r="F9074" t="s">
        <v>16</v>
      </c>
      <c r="G9074" t="s">
        <v>17</v>
      </c>
    </row>
    <row r="9075" spans="1:7" x14ac:dyDescent="0.35">
      <c r="A9075">
        <v>3603</v>
      </c>
      <c r="B9075" s="1">
        <v>45784</v>
      </c>
      <c r="C9075" t="s">
        <v>12</v>
      </c>
      <c r="D9075" s="2">
        <v>724.24</v>
      </c>
      <c r="E9075" s="2">
        <v>0</v>
      </c>
      <c r="F9075" t="s">
        <v>13</v>
      </c>
      <c r="G9075" t="s">
        <v>9</v>
      </c>
    </row>
    <row r="9076" spans="1:7" x14ac:dyDescent="0.35">
      <c r="A9076">
        <v>3603</v>
      </c>
      <c r="B9076" s="1">
        <v>45784</v>
      </c>
      <c r="C9076" t="s">
        <v>12</v>
      </c>
      <c r="D9076" s="2">
        <v>0</v>
      </c>
      <c r="E9076" s="2">
        <v>673.71</v>
      </c>
      <c r="F9076" t="s">
        <v>14</v>
      </c>
      <c r="G9076" t="s">
        <v>15</v>
      </c>
    </row>
    <row r="9077" spans="1:7" x14ac:dyDescent="0.35">
      <c r="A9077">
        <v>3603</v>
      </c>
      <c r="B9077" s="1">
        <v>45784</v>
      </c>
      <c r="C9077" t="s">
        <v>12</v>
      </c>
      <c r="D9077" s="2">
        <v>0</v>
      </c>
      <c r="E9077" s="2">
        <v>50.53</v>
      </c>
      <c r="F9077" t="s">
        <v>16</v>
      </c>
      <c r="G9077" t="s">
        <v>17</v>
      </c>
    </row>
    <row r="9078" spans="1:7" x14ac:dyDescent="0.35">
      <c r="A9078">
        <v>3604</v>
      </c>
      <c r="B9078" s="1">
        <v>45784</v>
      </c>
      <c r="C9078" t="s">
        <v>12</v>
      </c>
      <c r="D9078" s="2">
        <v>4023.98</v>
      </c>
      <c r="E9078" s="2">
        <v>0</v>
      </c>
      <c r="F9078" t="s">
        <v>13</v>
      </c>
      <c r="G9078" t="s">
        <v>9</v>
      </c>
    </row>
    <row r="9079" spans="1:7" x14ac:dyDescent="0.35">
      <c r="A9079">
        <v>3604</v>
      </c>
      <c r="B9079" s="1">
        <v>45784</v>
      </c>
      <c r="C9079" t="s">
        <v>12</v>
      </c>
      <c r="D9079" s="2">
        <v>0</v>
      </c>
      <c r="E9079" s="2">
        <v>3743.23</v>
      </c>
      <c r="F9079" t="s">
        <v>14</v>
      </c>
      <c r="G9079" t="s">
        <v>15</v>
      </c>
    </row>
    <row r="9080" spans="1:7" x14ac:dyDescent="0.35">
      <c r="A9080">
        <v>3604</v>
      </c>
      <c r="B9080" s="1">
        <v>45784</v>
      </c>
      <c r="C9080" t="s">
        <v>12</v>
      </c>
      <c r="D9080" s="2">
        <v>0</v>
      </c>
      <c r="E9080" s="2">
        <v>280.75</v>
      </c>
      <c r="F9080" t="s">
        <v>16</v>
      </c>
      <c r="G9080" t="s">
        <v>17</v>
      </c>
    </row>
    <row r="9081" spans="1:7" x14ac:dyDescent="0.35">
      <c r="A9081">
        <v>3605</v>
      </c>
      <c r="B9081" s="1">
        <v>45784</v>
      </c>
      <c r="C9081" t="s">
        <v>12</v>
      </c>
      <c r="D9081" s="2">
        <v>1990.42</v>
      </c>
      <c r="E9081" s="2">
        <v>0</v>
      </c>
      <c r="F9081" t="s">
        <v>13</v>
      </c>
      <c r="G9081" t="s">
        <v>9</v>
      </c>
    </row>
    <row r="9082" spans="1:7" x14ac:dyDescent="0.35">
      <c r="A9082">
        <v>3605</v>
      </c>
      <c r="B9082" s="1">
        <v>45784</v>
      </c>
      <c r="C9082" t="s">
        <v>12</v>
      </c>
      <c r="D9082" s="2">
        <v>0</v>
      </c>
      <c r="E9082" s="2">
        <v>1851.56</v>
      </c>
      <c r="F9082" t="s">
        <v>14</v>
      </c>
      <c r="G9082" t="s">
        <v>15</v>
      </c>
    </row>
    <row r="9083" spans="1:7" x14ac:dyDescent="0.35">
      <c r="A9083">
        <v>3605</v>
      </c>
      <c r="B9083" s="1">
        <v>45784</v>
      </c>
      <c r="C9083" t="s">
        <v>12</v>
      </c>
      <c r="D9083" s="2">
        <v>0</v>
      </c>
      <c r="E9083" s="2">
        <v>138.86000000000001</v>
      </c>
      <c r="F9083" t="s">
        <v>16</v>
      </c>
      <c r="G9083" t="s">
        <v>17</v>
      </c>
    </row>
    <row r="9084" spans="1:7" x14ac:dyDescent="0.35">
      <c r="A9084">
        <v>3606</v>
      </c>
      <c r="B9084" s="1">
        <v>45784</v>
      </c>
      <c r="C9084" t="s">
        <v>12</v>
      </c>
      <c r="D9084" s="2">
        <v>1820.79</v>
      </c>
      <c r="E9084" s="2">
        <v>0</v>
      </c>
      <c r="F9084" t="s">
        <v>13</v>
      </c>
      <c r="G9084" t="s">
        <v>9</v>
      </c>
    </row>
    <row r="9085" spans="1:7" x14ac:dyDescent="0.35">
      <c r="A9085">
        <v>3606</v>
      </c>
      <c r="B9085" s="1">
        <v>45784</v>
      </c>
      <c r="C9085" t="s">
        <v>12</v>
      </c>
      <c r="D9085" s="2">
        <v>0</v>
      </c>
      <c r="E9085" s="2">
        <v>1693.75</v>
      </c>
      <c r="F9085" t="s">
        <v>14</v>
      </c>
      <c r="G9085" t="s">
        <v>15</v>
      </c>
    </row>
    <row r="9086" spans="1:7" x14ac:dyDescent="0.35">
      <c r="A9086">
        <v>3606</v>
      </c>
      <c r="B9086" s="1">
        <v>45784</v>
      </c>
      <c r="C9086" t="s">
        <v>12</v>
      </c>
      <c r="D9086" s="2">
        <v>0</v>
      </c>
      <c r="E9086" s="2">
        <v>127.04</v>
      </c>
      <c r="F9086" t="s">
        <v>16</v>
      </c>
      <c r="G9086" t="s">
        <v>17</v>
      </c>
    </row>
    <row r="9087" spans="1:7" x14ac:dyDescent="0.35">
      <c r="A9087">
        <v>3607</v>
      </c>
      <c r="B9087" s="1">
        <v>45784</v>
      </c>
      <c r="C9087" t="s">
        <v>24</v>
      </c>
      <c r="D9087" s="2">
        <v>438.12</v>
      </c>
      <c r="E9087" s="2">
        <v>0</v>
      </c>
      <c r="F9087" t="s">
        <v>8</v>
      </c>
      <c r="G9087" t="s">
        <v>9</v>
      </c>
    </row>
    <row r="9088" spans="1:7" x14ac:dyDescent="0.35">
      <c r="A9088">
        <v>3607</v>
      </c>
      <c r="B9088" s="1">
        <v>45784</v>
      </c>
      <c r="C9088" t="s">
        <v>24</v>
      </c>
      <c r="D9088" s="2">
        <v>0</v>
      </c>
      <c r="E9088" s="2">
        <v>438.12</v>
      </c>
      <c r="F9088" t="s">
        <v>13</v>
      </c>
      <c r="G9088" t="s">
        <v>9</v>
      </c>
    </row>
    <row r="9089" spans="1:7" x14ac:dyDescent="0.35">
      <c r="A9089">
        <v>3608</v>
      </c>
      <c r="B9089" s="1">
        <v>45784</v>
      </c>
      <c r="C9089" t="s">
        <v>24</v>
      </c>
      <c r="D9089" s="2">
        <v>3142.97</v>
      </c>
      <c r="E9089" s="2">
        <v>0</v>
      </c>
      <c r="F9089" t="s">
        <v>8</v>
      </c>
      <c r="G9089" t="s">
        <v>9</v>
      </c>
    </row>
    <row r="9090" spans="1:7" x14ac:dyDescent="0.35">
      <c r="A9090">
        <v>3608</v>
      </c>
      <c r="B9090" s="1">
        <v>45784</v>
      </c>
      <c r="C9090" t="s">
        <v>24</v>
      </c>
      <c r="D9090" s="2">
        <v>0</v>
      </c>
      <c r="E9090" s="2">
        <v>3142.97</v>
      </c>
      <c r="F9090" t="s">
        <v>13</v>
      </c>
      <c r="G9090" t="s">
        <v>9</v>
      </c>
    </row>
    <row r="9091" spans="1:7" x14ac:dyDescent="0.35">
      <c r="A9091">
        <v>3609</v>
      </c>
      <c r="B9091" s="1">
        <v>45784</v>
      </c>
      <c r="C9091" t="s">
        <v>24</v>
      </c>
      <c r="D9091" s="2">
        <v>3338.88</v>
      </c>
      <c r="E9091" s="2">
        <v>0</v>
      </c>
      <c r="F9091" t="s">
        <v>8</v>
      </c>
      <c r="G9091" t="s">
        <v>9</v>
      </c>
    </row>
    <row r="9092" spans="1:7" x14ac:dyDescent="0.35">
      <c r="A9092">
        <v>3609</v>
      </c>
      <c r="B9092" s="1">
        <v>45784</v>
      </c>
      <c r="C9092" t="s">
        <v>24</v>
      </c>
      <c r="D9092" s="2">
        <v>0</v>
      </c>
      <c r="E9092" s="2">
        <v>3338.88</v>
      </c>
      <c r="F9092" t="s">
        <v>13</v>
      </c>
      <c r="G9092" t="s">
        <v>9</v>
      </c>
    </row>
    <row r="9093" spans="1:7" x14ac:dyDescent="0.35">
      <c r="A9093">
        <v>3610</v>
      </c>
      <c r="B9093" s="1">
        <v>45784</v>
      </c>
      <c r="C9093" t="s">
        <v>24</v>
      </c>
      <c r="D9093" s="2">
        <v>2365.4499999999998</v>
      </c>
      <c r="E9093" s="2">
        <v>0</v>
      </c>
      <c r="F9093" t="s">
        <v>8</v>
      </c>
      <c r="G9093" t="s">
        <v>9</v>
      </c>
    </row>
    <row r="9094" spans="1:7" x14ac:dyDescent="0.35">
      <c r="A9094">
        <v>3610</v>
      </c>
      <c r="B9094" s="1">
        <v>45784</v>
      </c>
      <c r="C9094" t="s">
        <v>24</v>
      </c>
      <c r="D9094" s="2">
        <v>0</v>
      </c>
      <c r="E9094" s="2">
        <v>2365.4499999999998</v>
      </c>
      <c r="F9094" t="s">
        <v>13</v>
      </c>
      <c r="G9094" t="s">
        <v>9</v>
      </c>
    </row>
    <row r="9095" spans="1:7" x14ac:dyDescent="0.35">
      <c r="A9095">
        <v>3611</v>
      </c>
      <c r="B9095" s="1">
        <v>45784</v>
      </c>
      <c r="C9095" t="s">
        <v>24</v>
      </c>
      <c r="D9095" s="2">
        <v>1569.73</v>
      </c>
      <c r="E9095" s="2">
        <v>0</v>
      </c>
      <c r="F9095" t="s">
        <v>8</v>
      </c>
      <c r="G9095" t="s">
        <v>9</v>
      </c>
    </row>
    <row r="9096" spans="1:7" x14ac:dyDescent="0.35">
      <c r="A9096">
        <v>3611</v>
      </c>
      <c r="B9096" s="1">
        <v>45784</v>
      </c>
      <c r="C9096" t="s">
        <v>24</v>
      </c>
      <c r="D9096" s="2">
        <v>0</v>
      </c>
      <c r="E9096" s="2">
        <v>1569.73</v>
      </c>
      <c r="F9096" t="s">
        <v>13</v>
      </c>
      <c r="G9096" t="s">
        <v>9</v>
      </c>
    </row>
    <row r="9097" spans="1:7" x14ac:dyDescent="0.35">
      <c r="A9097">
        <v>3612</v>
      </c>
      <c r="B9097" s="1">
        <v>45784</v>
      </c>
      <c r="C9097" t="s">
        <v>24</v>
      </c>
      <c r="D9097" s="2">
        <v>3301.62</v>
      </c>
      <c r="E9097" s="2">
        <v>0</v>
      </c>
      <c r="F9097" t="s">
        <v>8</v>
      </c>
      <c r="G9097" t="s">
        <v>9</v>
      </c>
    </row>
    <row r="9098" spans="1:7" x14ac:dyDescent="0.35">
      <c r="A9098">
        <v>3612</v>
      </c>
      <c r="B9098" s="1">
        <v>45784</v>
      </c>
      <c r="C9098" t="s">
        <v>24</v>
      </c>
      <c r="D9098" s="2">
        <v>0</v>
      </c>
      <c r="E9098" s="2">
        <v>3301.62</v>
      </c>
      <c r="F9098" t="s">
        <v>13</v>
      </c>
      <c r="G9098" t="s">
        <v>9</v>
      </c>
    </row>
    <row r="9099" spans="1:7" x14ac:dyDescent="0.35">
      <c r="A9099">
        <v>3613</v>
      </c>
      <c r="B9099" s="1">
        <v>45785</v>
      </c>
      <c r="C9099" t="s">
        <v>18</v>
      </c>
      <c r="D9099" s="2">
        <v>22353.34</v>
      </c>
      <c r="E9099" s="2">
        <v>0</v>
      </c>
      <c r="F9099" t="s">
        <v>19</v>
      </c>
      <c r="G9099" t="s">
        <v>20</v>
      </c>
    </row>
    <row r="9100" spans="1:7" x14ac:dyDescent="0.35">
      <c r="A9100">
        <v>3613</v>
      </c>
      <c r="B9100" s="1">
        <v>45785</v>
      </c>
      <c r="C9100" t="s">
        <v>18</v>
      </c>
      <c r="D9100" s="2">
        <v>894.13</v>
      </c>
      <c r="E9100" s="2">
        <v>0</v>
      </c>
      <c r="F9100" t="s">
        <v>21</v>
      </c>
      <c r="G9100" t="s">
        <v>20</v>
      </c>
    </row>
    <row r="9101" spans="1:7" x14ac:dyDescent="0.35">
      <c r="A9101">
        <v>3613</v>
      </c>
      <c r="B9101" s="1">
        <v>45785</v>
      </c>
      <c r="C9101" t="s">
        <v>18</v>
      </c>
      <c r="D9101" s="2">
        <v>0</v>
      </c>
      <c r="E9101" s="2">
        <v>18284.07</v>
      </c>
      <c r="F9101" t="s">
        <v>8</v>
      </c>
      <c r="G9101" t="s">
        <v>9</v>
      </c>
    </row>
    <row r="9102" spans="1:7" x14ac:dyDescent="0.35">
      <c r="A9102">
        <v>3613</v>
      </c>
      <c r="B9102" s="1">
        <v>45785</v>
      </c>
      <c r="C9102" t="s">
        <v>18</v>
      </c>
      <c r="D9102" s="2">
        <v>0</v>
      </c>
      <c r="E9102" s="2">
        <v>4069.27</v>
      </c>
      <c r="F9102" t="s">
        <v>22</v>
      </c>
      <c r="G9102" t="s">
        <v>17</v>
      </c>
    </row>
    <row r="9103" spans="1:7" x14ac:dyDescent="0.35">
      <c r="A9103">
        <v>3613</v>
      </c>
      <c r="B9103" s="1">
        <v>45785</v>
      </c>
      <c r="C9103" t="s">
        <v>18</v>
      </c>
      <c r="D9103" s="2">
        <v>0</v>
      </c>
      <c r="E9103" s="2">
        <v>894.13</v>
      </c>
      <c r="F9103" t="s">
        <v>23</v>
      </c>
      <c r="G9103" t="s">
        <v>17</v>
      </c>
    </row>
    <row r="9104" spans="1:7" x14ac:dyDescent="0.35">
      <c r="A9104">
        <v>3614</v>
      </c>
      <c r="B9104" s="1">
        <v>45785</v>
      </c>
      <c r="C9104" t="s">
        <v>12</v>
      </c>
      <c r="D9104" s="2">
        <v>1782.56</v>
      </c>
      <c r="E9104" s="2">
        <v>0</v>
      </c>
      <c r="F9104" t="s">
        <v>13</v>
      </c>
      <c r="G9104" t="s">
        <v>9</v>
      </c>
    </row>
    <row r="9105" spans="1:7" x14ac:dyDescent="0.35">
      <c r="A9105">
        <v>3614</v>
      </c>
      <c r="B9105" s="1">
        <v>45785</v>
      </c>
      <c r="C9105" t="s">
        <v>12</v>
      </c>
      <c r="D9105" s="2">
        <v>0</v>
      </c>
      <c r="E9105" s="2">
        <v>1658.19</v>
      </c>
      <c r="F9105" t="s">
        <v>14</v>
      </c>
      <c r="G9105" t="s">
        <v>15</v>
      </c>
    </row>
    <row r="9106" spans="1:7" x14ac:dyDescent="0.35">
      <c r="A9106">
        <v>3614</v>
      </c>
      <c r="B9106" s="1">
        <v>45785</v>
      </c>
      <c r="C9106" t="s">
        <v>12</v>
      </c>
      <c r="D9106" s="2">
        <v>0</v>
      </c>
      <c r="E9106" s="2">
        <v>124.37</v>
      </c>
      <c r="F9106" t="s">
        <v>16</v>
      </c>
      <c r="G9106" t="s">
        <v>17</v>
      </c>
    </row>
    <row r="9107" spans="1:7" x14ac:dyDescent="0.35">
      <c r="A9107">
        <v>3615</v>
      </c>
      <c r="B9107" s="1">
        <v>45785</v>
      </c>
      <c r="C9107" t="s">
        <v>12</v>
      </c>
      <c r="D9107" s="2">
        <v>1101.25</v>
      </c>
      <c r="E9107" s="2">
        <v>0</v>
      </c>
      <c r="F9107" t="s">
        <v>13</v>
      </c>
      <c r="G9107" t="s">
        <v>9</v>
      </c>
    </row>
    <row r="9108" spans="1:7" x14ac:dyDescent="0.35">
      <c r="A9108">
        <v>3615</v>
      </c>
      <c r="B9108" s="1">
        <v>45785</v>
      </c>
      <c r="C9108" t="s">
        <v>12</v>
      </c>
      <c r="D9108" s="2">
        <v>0</v>
      </c>
      <c r="E9108" s="2">
        <v>1024.42</v>
      </c>
      <c r="F9108" t="s">
        <v>14</v>
      </c>
      <c r="G9108" t="s">
        <v>15</v>
      </c>
    </row>
    <row r="9109" spans="1:7" x14ac:dyDescent="0.35">
      <c r="A9109">
        <v>3615</v>
      </c>
      <c r="B9109" s="1">
        <v>45785</v>
      </c>
      <c r="C9109" t="s">
        <v>12</v>
      </c>
      <c r="D9109" s="2">
        <v>0</v>
      </c>
      <c r="E9109" s="2">
        <v>76.83</v>
      </c>
      <c r="F9109" t="s">
        <v>16</v>
      </c>
      <c r="G9109" t="s">
        <v>17</v>
      </c>
    </row>
    <row r="9110" spans="1:7" x14ac:dyDescent="0.35">
      <c r="A9110">
        <v>3616</v>
      </c>
      <c r="B9110" s="1">
        <v>45785</v>
      </c>
      <c r="C9110" t="s">
        <v>12</v>
      </c>
      <c r="D9110" s="2">
        <v>4062.05</v>
      </c>
      <c r="E9110" s="2">
        <v>0</v>
      </c>
      <c r="F9110" t="s">
        <v>13</v>
      </c>
      <c r="G9110" t="s">
        <v>9</v>
      </c>
    </row>
    <row r="9111" spans="1:7" x14ac:dyDescent="0.35">
      <c r="A9111">
        <v>3616</v>
      </c>
      <c r="B9111" s="1">
        <v>45785</v>
      </c>
      <c r="C9111" t="s">
        <v>12</v>
      </c>
      <c r="D9111" s="2">
        <v>0</v>
      </c>
      <c r="E9111" s="2">
        <v>3778.65</v>
      </c>
      <c r="F9111" t="s">
        <v>14</v>
      </c>
      <c r="G9111" t="s">
        <v>15</v>
      </c>
    </row>
    <row r="9112" spans="1:7" x14ac:dyDescent="0.35">
      <c r="A9112">
        <v>3616</v>
      </c>
      <c r="B9112" s="1">
        <v>45785</v>
      </c>
      <c r="C9112" t="s">
        <v>12</v>
      </c>
      <c r="D9112" s="2">
        <v>0</v>
      </c>
      <c r="E9112" s="2">
        <v>283.39999999999998</v>
      </c>
      <c r="F9112" t="s">
        <v>16</v>
      </c>
      <c r="G9112" t="s">
        <v>17</v>
      </c>
    </row>
    <row r="9113" spans="1:7" x14ac:dyDescent="0.35">
      <c r="A9113">
        <v>3617</v>
      </c>
      <c r="B9113" s="1">
        <v>45785</v>
      </c>
      <c r="C9113" t="s">
        <v>12</v>
      </c>
      <c r="D9113" s="2">
        <v>3390.54</v>
      </c>
      <c r="E9113" s="2">
        <v>0</v>
      </c>
      <c r="F9113" t="s">
        <v>13</v>
      </c>
      <c r="G9113" t="s">
        <v>9</v>
      </c>
    </row>
    <row r="9114" spans="1:7" x14ac:dyDescent="0.35">
      <c r="A9114">
        <v>3617</v>
      </c>
      <c r="B9114" s="1">
        <v>45785</v>
      </c>
      <c r="C9114" t="s">
        <v>12</v>
      </c>
      <c r="D9114" s="2">
        <v>0</v>
      </c>
      <c r="E9114" s="2">
        <v>3154</v>
      </c>
      <c r="F9114" t="s">
        <v>14</v>
      </c>
      <c r="G9114" t="s">
        <v>15</v>
      </c>
    </row>
    <row r="9115" spans="1:7" x14ac:dyDescent="0.35">
      <c r="A9115">
        <v>3617</v>
      </c>
      <c r="B9115" s="1">
        <v>45785</v>
      </c>
      <c r="C9115" t="s">
        <v>12</v>
      </c>
      <c r="D9115" s="2">
        <v>0</v>
      </c>
      <c r="E9115" s="2">
        <v>236.54</v>
      </c>
      <c r="F9115" t="s">
        <v>16</v>
      </c>
      <c r="G9115" t="s">
        <v>17</v>
      </c>
    </row>
    <row r="9116" spans="1:7" x14ac:dyDescent="0.35">
      <c r="A9116">
        <v>3618</v>
      </c>
      <c r="B9116" s="1">
        <v>45785</v>
      </c>
      <c r="C9116" t="s">
        <v>12</v>
      </c>
      <c r="D9116" s="2">
        <v>2785.87</v>
      </c>
      <c r="E9116" s="2">
        <v>0</v>
      </c>
      <c r="F9116" t="s">
        <v>13</v>
      </c>
      <c r="G9116" t="s">
        <v>9</v>
      </c>
    </row>
    <row r="9117" spans="1:7" x14ac:dyDescent="0.35">
      <c r="A9117">
        <v>3618</v>
      </c>
      <c r="B9117" s="1">
        <v>45785</v>
      </c>
      <c r="C9117" t="s">
        <v>12</v>
      </c>
      <c r="D9117" s="2">
        <v>0</v>
      </c>
      <c r="E9117" s="2">
        <v>2591.5</v>
      </c>
      <c r="F9117" t="s">
        <v>14</v>
      </c>
      <c r="G9117" t="s">
        <v>15</v>
      </c>
    </row>
    <row r="9118" spans="1:7" x14ac:dyDescent="0.35">
      <c r="A9118">
        <v>3618</v>
      </c>
      <c r="B9118" s="1">
        <v>45785</v>
      </c>
      <c r="C9118" t="s">
        <v>12</v>
      </c>
      <c r="D9118" s="2">
        <v>0</v>
      </c>
      <c r="E9118" s="2">
        <v>194.37</v>
      </c>
      <c r="F9118" t="s">
        <v>16</v>
      </c>
      <c r="G9118" t="s">
        <v>17</v>
      </c>
    </row>
    <row r="9119" spans="1:7" x14ac:dyDescent="0.35">
      <c r="A9119">
        <v>3619</v>
      </c>
      <c r="B9119" s="1">
        <v>45785</v>
      </c>
      <c r="C9119" t="s">
        <v>12</v>
      </c>
      <c r="D9119" s="2">
        <v>3216.15</v>
      </c>
      <c r="E9119" s="2">
        <v>0</v>
      </c>
      <c r="F9119" t="s">
        <v>13</v>
      </c>
      <c r="G9119" t="s">
        <v>9</v>
      </c>
    </row>
    <row r="9120" spans="1:7" x14ac:dyDescent="0.35">
      <c r="A9120">
        <v>3619</v>
      </c>
      <c r="B9120" s="1">
        <v>45785</v>
      </c>
      <c r="C9120" t="s">
        <v>12</v>
      </c>
      <c r="D9120" s="2">
        <v>0</v>
      </c>
      <c r="E9120" s="2">
        <v>2991.78</v>
      </c>
      <c r="F9120" t="s">
        <v>14</v>
      </c>
      <c r="G9120" t="s">
        <v>15</v>
      </c>
    </row>
    <row r="9121" spans="1:7" x14ac:dyDescent="0.35">
      <c r="A9121">
        <v>3619</v>
      </c>
      <c r="B9121" s="1">
        <v>45785</v>
      </c>
      <c r="C9121" t="s">
        <v>12</v>
      </c>
      <c r="D9121" s="2">
        <v>0</v>
      </c>
      <c r="E9121" s="2">
        <v>224.37</v>
      </c>
      <c r="F9121" t="s">
        <v>16</v>
      </c>
      <c r="G9121" t="s">
        <v>17</v>
      </c>
    </row>
    <row r="9122" spans="1:7" x14ac:dyDescent="0.35">
      <c r="A9122">
        <v>3620</v>
      </c>
      <c r="B9122" s="1">
        <v>45785</v>
      </c>
      <c r="C9122" t="s">
        <v>24</v>
      </c>
      <c r="D9122" s="2">
        <v>443.8</v>
      </c>
      <c r="E9122" s="2">
        <v>0</v>
      </c>
      <c r="F9122" t="s">
        <v>8</v>
      </c>
      <c r="G9122" t="s">
        <v>9</v>
      </c>
    </row>
    <row r="9123" spans="1:7" x14ac:dyDescent="0.35">
      <c r="A9123">
        <v>3620</v>
      </c>
      <c r="B9123" s="1">
        <v>45785</v>
      </c>
      <c r="C9123" t="s">
        <v>24</v>
      </c>
      <c r="D9123" s="2">
        <v>0</v>
      </c>
      <c r="E9123" s="2">
        <v>443.8</v>
      </c>
      <c r="F9123" t="s">
        <v>13</v>
      </c>
      <c r="G9123" t="s">
        <v>9</v>
      </c>
    </row>
    <row r="9124" spans="1:7" x14ac:dyDescent="0.35">
      <c r="A9124">
        <v>3621</v>
      </c>
      <c r="B9124" s="1">
        <v>45785</v>
      </c>
      <c r="C9124" t="s">
        <v>24</v>
      </c>
      <c r="D9124" s="2">
        <v>3803.85</v>
      </c>
      <c r="E9124" s="2">
        <v>0</v>
      </c>
      <c r="F9124" t="s">
        <v>8</v>
      </c>
      <c r="G9124" t="s">
        <v>9</v>
      </c>
    </row>
    <row r="9125" spans="1:7" x14ac:dyDescent="0.35">
      <c r="A9125">
        <v>3621</v>
      </c>
      <c r="B9125" s="1">
        <v>45785</v>
      </c>
      <c r="C9125" t="s">
        <v>24</v>
      </c>
      <c r="D9125" s="2">
        <v>0</v>
      </c>
      <c r="E9125" s="2">
        <v>3803.85</v>
      </c>
      <c r="F9125" t="s">
        <v>13</v>
      </c>
      <c r="G9125" t="s">
        <v>9</v>
      </c>
    </row>
    <row r="9126" spans="1:7" x14ac:dyDescent="0.35">
      <c r="A9126">
        <v>3622</v>
      </c>
      <c r="B9126" s="1">
        <v>45785</v>
      </c>
      <c r="C9126" t="s">
        <v>24</v>
      </c>
      <c r="D9126" s="2">
        <v>3651.31</v>
      </c>
      <c r="E9126" s="2">
        <v>0</v>
      </c>
      <c r="F9126" t="s">
        <v>8</v>
      </c>
      <c r="G9126" t="s">
        <v>9</v>
      </c>
    </row>
    <row r="9127" spans="1:7" x14ac:dyDescent="0.35">
      <c r="A9127">
        <v>3622</v>
      </c>
      <c r="B9127" s="1">
        <v>45785</v>
      </c>
      <c r="C9127" t="s">
        <v>24</v>
      </c>
      <c r="D9127" s="2">
        <v>0</v>
      </c>
      <c r="E9127" s="2">
        <v>3651.31</v>
      </c>
      <c r="F9127" t="s">
        <v>13</v>
      </c>
      <c r="G9127" t="s">
        <v>9</v>
      </c>
    </row>
    <row r="9128" spans="1:7" x14ac:dyDescent="0.35">
      <c r="A9128">
        <v>3623</v>
      </c>
      <c r="B9128" s="1">
        <v>45785</v>
      </c>
      <c r="C9128" t="s">
        <v>29</v>
      </c>
      <c r="D9128" s="2">
        <v>1159.8399999999999</v>
      </c>
      <c r="E9128" s="2">
        <v>0</v>
      </c>
      <c r="F9128" t="s">
        <v>28</v>
      </c>
      <c r="G9128" t="s">
        <v>17</v>
      </c>
    </row>
    <row r="9129" spans="1:7" x14ac:dyDescent="0.35">
      <c r="A9129">
        <v>3623</v>
      </c>
      <c r="B9129" s="1">
        <v>45785</v>
      </c>
      <c r="C9129" t="s">
        <v>29</v>
      </c>
      <c r="D9129" s="2">
        <v>0</v>
      </c>
      <c r="E9129" s="2">
        <v>1159.8399999999999</v>
      </c>
      <c r="F9129" t="s">
        <v>8</v>
      </c>
      <c r="G9129" t="s">
        <v>9</v>
      </c>
    </row>
    <row r="9130" spans="1:7" x14ac:dyDescent="0.35">
      <c r="A9130">
        <v>3624</v>
      </c>
      <c r="B9130" s="1">
        <v>45785</v>
      </c>
      <c r="C9130" t="s">
        <v>29</v>
      </c>
      <c r="D9130" s="2">
        <v>1023.42</v>
      </c>
      <c r="E9130" s="2">
        <v>0</v>
      </c>
      <c r="F9130" t="s">
        <v>28</v>
      </c>
      <c r="G9130" t="s">
        <v>17</v>
      </c>
    </row>
    <row r="9131" spans="1:7" x14ac:dyDescent="0.35">
      <c r="A9131">
        <v>3624</v>
      </c>
      <c r="B9131" s="1">
        <v>45785</v>
      </c>
      <c r="C9131" t="s">
        <v>29</v>
      </c>
      <c r="D9131" s="2">
        <v>0</v>
      </c>
      <c r="E9131" s="2">
        <v>1023.42</v>
      </c>
      <c r="F9131" t="s">
        <v>8</v>
      </c>
      <c r="G9131" t="s">
        <v>9</v>
      </c>
    </row>
    <row r="9132" spans="1:7" x14ac:dyDescent="0.35">
      <c r="A9132">
        <v>3625</v>
      </c>
      <c r="B9132" s="1">
        <v>45785</v>
      </c>
      <c r="C9132" t="s">
        <v>29</v>
      </c>
      <c r="D9132" s="2">
        <v>4812.46</v>
      </c>
      <c r="E9132" s="2">
        <v>0</v>
      </c>
      <c r="F9132" t="s">
        <v>28</v>
      </c>
      <c r="G9132" t="s">
        <v>17</v>
      </c>
    </row>
    <row r="9133" spans="1:7" x14ac:dyDescent="0.35">
      <c r="A9133">
        <v>3625</v>
      </c>
      <c r="B9133" s="1">
        <v>45785</v>
      </c>
      <c r="C9133" t="s">
        <v>29</v>
      </c>
      <c r="D9133" s="2">
        <v>0</v>
      </c>
      <c r="E9133" s="2">
        <v>4812.46</v>
      </c>
      <c r="F9133" t="s">
        <v>8</v>
      </c>
      <c r="G9133" t="s">
        <v>9</v>
      </c>
    </row>
    <row r="9134" spans="1:7" x14ac:dyDescent="0.35">
      <c r="A9134">
        <v>3626</v>
      </c>
      <c r="B9134" s="1">
        <v>45785</v>
      </c>
      <c r="C9134" t="s">
        <v>29</v>
      </c>
      <c r="D9134" s="2">
        <v>2504.23</v>
      </c>
      <c r="E9134" s="2">
        <v>0</v>
      </c>
      <c r="F9134" t="s">
        <v>28</v>
      </c>
      <c r="G9134" t="s">
        <v>17</v>
      </c>
    </row>
    <row r="9135" spans="1:7" x14ac:dyDescent="0.35">
      <c r="A9135">
        <v>3626</v>
      </c>
      <c r="B9135" s="1">
        <v>45785</v>
      </c>
      <c r="C9135" t="s">
        <v>29</v>
      </c>
      <c r="D9135" s="2">
        <v>0</v>
      </c>
      <c r="E9135" s="2">
        <v>2504.23</v>
      </c>
      <c r="F9135" t="s">
        <v>8</v>
      </c>
      <c r="G9135" t="s">
        <v>9</v>
      </c>
    </row>
    <row r="9136" spans="1:7" x14ac:dyDescent="0.35">
      <c r="A9136">
        <v>3627</v>
      </c>
      <c r="B9136" s="1">
        <v>45786</v>
      </c>
      <c r="C9136" t="s">
        <v>12</v>
      </c>
      <c r="D9136" s="2">
        <v>1840.6</v>
      </c>
      <c r="E9136" s="2">
        <v>0</v>
      </c>
      <c r="F9136" t="s">
        <v>13</v>
      </c>
      <c r="G9136" t="s">
        <v>9</v>
      </c>
    </row>
    <row r="9137" spans="1:7" x14ac:dyDescent="0.35">
      <c r="A9137">
        <v>3627</v>
      </c>
      <c r="B9137" s="1">
        <v>45786</v>
      </c>
      <c r="C9137" t="s">
        <v>12</v>
      </c>
      <c r="D9137" s="2">
        <v>0</v>
      </c>
      <c r="E9137" s="2">
        <v>1712.18</v>
      </c>
      <c r="F9137" t="s">
        <v>14</v>
      </c>
      <c r="G9137" t="s">
        <v>15</v>
      </c>
    </row>
    <row r="9138" spans="1:7" x14ac:dyDescent="0.35">
      <c r="A9138">
        <v>3627</v>
      </c>
      <c r="B9138" s="1">
        <v>45786</v>
      </c>
      <c r="C9138" t="s">
        <v>12</v>
      </c>
      <c r="D9138" s="2">
        <v>0</v>
      </c>
      <c r="E9138" s="2">
        <v>128.41999999999999</v>
      </c>
      <c r="F9138" t="s">
        <v>16</v>
      </c>
      <c r="G9138" t="s">
        <v>17</v>
      </c>
    </row>
    <row r="9139" spans="1:7" x14ac:dyDescent="0.35">
      <c r="A9139">
        <v>3628</v>
      </c>
      <c r="B9139" s="1">
        <v>45786</v>
      </c>
      <c r="C9139" t="s">
        <v>12</v>
      </c>
      <c r="D9139" s="2">
        <v>808.17</v>
      </c>
      <c r="E9139" s="2">
        <v>0</v>
      </c>
      <c r="F9139" t="s">
        <v>13</v>
      </c>
      <c r="G9139" t="s">
        <v>9</v>
      </c>
    </row>
    <row r="9140" spans="1:7" x14ac:dyDescent="0.35">
      <c r="A9140">
        <v>3628</v>
      </c>
      <c r="B9140" s="1">
        <v>45786</v>
      </c>
      <c r="C9140" t="s">
        <v>12</v>
      </c>
      <c r="D9140" s="2">
        <v>0</v>
      </c>
      <c r="E9140" s="2">
        <v>751.78</v>
      </c>
      <c r="F9140" t="s">
        <v>14</v>
      </c>
      <c r="G9140" t="s">
        <v>15</v>
      </c>
    </row>
    <row r="9141" spans="1:7" x14ac:dyDescent="0.35">
      <c r="A9141">
        <v>3628</v>
      </c>
      <c r="B9141" s="1">
        <v>45786</v>
      </c>
      <c r="C9141" t="s">
        <v>12</v>
      </c>
      <c r="D9141" s="2">
        <v>0</v>
      </c>
      <c r="E9141" s="2">
        <v>56.39</v>
      </c>
      <c r="F9141" t="s">
        <v>16</v>
      </c>
      <c r="G9141" t="s">
        <v>17</v>
      </c>
    </row>
    <row r="9142" spans="1:7" x14ac:dyDescent="0.35">
      <c r="A9142">
        <v>3629</v>
      </c>
      <c r="B9142" s="1">
        <v>45786</v>
      </c>
      <c r="C9142" t="s">
        <v>12</v>
      </c>
      <c r="D9142" s="2">
        <v>5429.64</v>
      </c>
      <c r="E9142" s="2">
        <v>0</v>
      </c>
      <c r="F9142" t="s">
        <v>13</v>
      </c>
      <c r="G9142" t="s">
        <v>9</v>
      </c>
    </row>
    <row r="9143" spans="1:7" x14ac:dyDescent="0.35">
      <c r="A9143">
        <v>3629</v>
      </c>
      <c r="B9143" s="1">
        <v>45786</v>
      </c>
      <c r="C9143" t="s">
        <v>12</v>
      </c>
      <c r="D9143" s="2">
        <v>0</v>
      </c>
      <c r="E9143" s="2">
        <v>5050.83</v>
      </c>
      <c r="F9143" t="s">
        <v>14</v>
      </c>
      <c r="G9143" t="s">
        <v>15</v>
      </c>
    </row>
    <row r="9144" spans="1:7" x14ac:dyDescent="0.35">
      <c r="A9144">
        <v>3629</v>
      </c>
      <c r="B9144" s="1">
        <v>45786</v>
      </c>
      <c r="C9144" t="s">
        <v>12</v>
      </c>
      <c r="D9144" s="2">
        <v>0</v>
      </c>
      <c r="E9144" s="2">
        <v>378.81</v>
      </c>
      <c r="F9144" t="s">
        <v>16</v>
      </c>
      <c r="G9144" t="s">
        <v>17</v>
      </c>
    </row>
    <row r="9145" spans="1:7" x14ac:dyDescent="0.35">
      <c r="A9145">
        <v>3630</v>
      </c>
      <c r="B9145" s="1">
        <v>45786</v>
      </c>
      <c r="C9145" t="s">
        <v>12</v>
      </c>
      <c r="D9145" s="2">
        <v>1327.03</v>
      </c>
      <c r="E9145" s="2">
        <v>0</v>
      </c>
      <c r="F9145" t="s">
        <v>13</v>
      </c>
      <c r="G9145" t="s">
        <v>9</v>
      </c>
    </row>
    <row r="9146" spans="1:7" x14ac:dyDescent="0.35">
      <c r="A9146">
        <v>3630</v>
      </c>
      <c r="B9146" s="1">
        <v>45786</v>
      </c>
      <c r="C9146" t="s">
        <v>12</v>
      </c>
      <c r="D9146" s="2">
        <v>0</v>
      </c>
      <c r="E9146" s="2">
        <v>1234.45</v>
      </c>
      <c r="F9146" t="s">
        <v>14</v>
      </c>
      <c r="G9146" t="s">
        <v>15</v>
      </c>
    </row>
    <row r="9147" spans="1:7" x14ac:dyDescent="0.35">
      <c r="A9147">
        <v>3630</v>
      </c>
      <c r="B9147" s="1">
        <v>45786</v>
      </c>
      <c r="C9147" t="s">
        <v>12</v>
      </c>
      <c r="D9147" s="2">
        <v>0</v>
      </c>
      <c r="E9147" s="2">
        <v>92.58</v>
      </c>
      <c r="F9147" t="s">
        <v>16</v>
      </c>
      <c r="G9147" t="s">
        <v>17</v>
      </c>
    </row>
    <row r="9148" spans="1:7" x14ac:dyDescent="0.35">
      <c r="A9148">
        <v>3631</v>
      </c>
      <c r="B9148" s="1">
        <v>45786</v>
      </c>
      <c r="C9148" t="s">
        <v>12</v>
      </c>
      <c r="D9148" s="2">
        <v>2669.65</v>
      </c>
      <c r="E9148" s="2">
        <v>0</v>
      </c>
      <c r="F9148" t="s">
        <v>13</v>
      </c>
      <c r="G9148" t="s">
        <v>9</v>
      </c>
    </row>
    <row r="9149" spans="1:7" x14ac:dyDescent="0.35">
      <c r="A9149">
        <v>3631</v>
      </c>
      <c r="B9149" s="1">
        <v>45786</v>
      </c>
      <c r="C9149" t="s">
        <v>12</v>
      </c>
      <c r="D9149" s="2">
        <v>0</v>
      </c>
      <c r="E9149" s="2">
        <v>2483.39</v>
      </c>
      <c r="F9149" t="s">
        <v>14</v>
      </c>
      <c r="G9149" t="s">
        <v>15</v>
      </c>
    </row>
    <row r="9150" spans="1:7" x14ac:dyDescent="0.35">
      <c r="A9150">
        <v>3631</v>
      </c>
      <c r="B9150" s="1">
        <v>45786</v>
      </c>
      <c r="C9150" t="s">
        <v>12</v>
      </c>
      <c r="D9150" s="2">
        <v>0</v>
      </c>
      <c r="E9150" s="2">
        <v>186.26</v>
      </c>
      <c r="F9150" t="s">
        <v>16</v>
      </c>
      <c r="G9150" t="s">
        <v>17</v>
      </c>
    </row>
    <row r="9151" spans="1:7" x14ac:dyDescent="0.35">
      <c r="A9151">
        <v>3632</v>
      </c>
      <c r="B9151" s="1">
        <v>45786</v>
      </c>
      <c r="C9151" t="s">
        <v>12</v>
      </c>
      <c r="D9151" s="2">
        <v>772.62</v>
      </c>
      <c r="E9151" s="2">
        <v>0</v>
      </c>
      <c r="F9151" t="s">
        <v>13</v>
      </c>
      <c r="G9151" t="s">
        <v>9</v>
      </c>
    </row>
    <row r="9152" spans="1:7" x14ac:dyDescent="0.35">
      <c r="A9152">
        <v>3632</v>
      </c>
      <c r="B9152" s="1">
        <v>45786</v>
      </c>
      <c r="C9152" t="s">
        <v>12</v>
      </c>
      <c r="D9152" s="2">
        <v>0</v>
      </c>
      <c r="E9152" s="2">
        <v>718.71</v>
      </c>
      <c r="F9152" t="s">
        <v>14</v>
      </c>
      <c r="G9152" t="s">
        <v>15</v>
      </c>
    </row>
    <row r="9153" spans="1:7" x14ac:dyDescent="0.35">
      <c r="A9153">
        <v>3632</v>
      </c>
      <c r="B9153" s="1">
        <v>45786</v>
      </c>
      <c r="C9153" t="s">
        <v>12</v>
      </c>
      <c r="D9153" s="2">
        <v>0</v>
      </c>
      <c r="E9153" s="2">
        <v>53.91</v>
      </c>
      <c r="F9153" t="s">
        <v>16</v>
      </c>
      <c r="G9153" t="s">
        <v>17</v>
      </c>
    </row>
    <row r="9154" spans="1:7" x14ac:dyDescent="0.35">
      <c r="A9154">
        <v>3633</v>
      </c>
      <c r="B9154" s="1">
        <v>45786</v>
      </c>
      <c r="C9154" t="s">
        <v>12</v>
      </c>
      <c r="D9154" s="2">
        <v>1369.4</v>
      </c>
      <c r="E9154" s="2">
        <v>0</v>
      </c>
      <c r="F9154" t="s">
        <v>13</v>
      </c>
      <c r="G9154" t="s">
        <v>9</v>
      </c>
    </row>
    <row r="9155" spans="1:7" x14ac:dyDescent="0.35">
      <c r="A9155">
        <v>3633</v>
      </c>
      <c r="B9155" s="1">
        <v>45786</v>
      </c>
      <c r="C9155" t="s">
        <v>12</v>
      </c>
      <c r="D9155" s="2">
        <v>0</v>
      </c>
      <c r="E9155" s="2">
        <v>1273.8599999999999</v>
      </c>
      <c r="F9155" t="s">
        <v>14</v>
      </c>
      <c r="G9155" t="s">
        <v>15</v>
      </c>
    </row>
    <row r="9156" spans="1:7" x14ac:dyDescent="0.35">
      <c r="A9156">
        <v>3633</v>
      </c>
      <c r="B9156" s="1">
        <v>45786</v>
      </c>
      <c r="C9156" t="s">
        <v>12</v>
      </c>
      <c r="D9156" s="2">
        <v>0</v>
      </c>
      <c r="E9156" s="2">
        <v>95.54</v>
      </c>
      <c r="F9156" t="s">
        <v>16</v>
      </c>
      <c r="G9156" t="s">
        <v>17</v>
      </c>
    </row>
    <row r="9157" spans="1:7" x14ac:dyDescent="0.35">
      <c r="A9157">
        <v>3634</v>
      </c>
      <c r="B9157" s="1">
        <v>45786</v>
      </c>
      <c r="C9157" t="s">
        <v>24</v>
      </c>
      <c r="D9157" s="2">
        <v>1293.32</v>
      </c>
      <c r="E9157" s="2">
        <v>0</v>
      </c>
      <c r="F9157" t="s">
        <v>8</v>
      </c>
      <c r="G9157" t="s">
        <v>9</v>
      </c>
    </row>
    <row r="9158" spans="1:7" x14ac:dyDescent="0.35">
      <c r="A9158">
        <v>3634</v>
      </c>
      <c r="B9158" s="1">
        <v>45786</v>
      </c>
      <c r="C9158" t="s">
        <v>24</v>
      </c>
      <c r="D9158" s="2">
        <v>0</v>
      </c>
      <c r="E9158" s="2">
        <v>1293.32</v>
      </c>
      <c r="F9158" t="s">
        <v>13</v>
      </c>
      <c r="G9158" t="s">
        <v>9</v>
      </c>
    </row>
    <row r="9159" spans="1:7" x14ac:dyDescent="0.35">
      <c r="A9159">
        <v>3635</v>
      </c>
      <c r="B9159" s="1">
        <v>45786</v>
      </c>
      <c r="C9159" t="s">
        <v>24</v>
      </c>
      <c r="D9159" s="2">
        <v>2055.06</v>
      </c>
      <c r="E9159" s="2">
        <v>0</v>
      </c>
      <c r="F9159" t="s">
        <v>8</v>
      </c>
      <c r="G9159" t="s">
        <v>9</v>
      </c>
    </row>
    <row r="9160" spans="1:7" x14ac:dyDescent="0.35">
      <c r="A9160">
        <v>3635</v>
      </c>
      <c r="B9160" s="1">
        <v>45786</v>
      </c>
      <c r="C9160" t="s">
        <v>24</v>
      </c>
      <c r="D9160" s="2">
        <v>0</v>
      </c>
      <c r="E9160" s="2">
        <v>2055.06</v>
      </c>
      <c r="F9160" t="s">
        <v>13</v>
      </c>
      <c r="G9160" t="s">
        <v>9</v>
      </c>
    </row>
    <row r="9161" spans="1:7" x14ac:dyDescent="0.35">
      <c r="A9161">
        <v>3636</v>
      </c>
      <c r="B9161" s="1">
        <v>45786</v>
      </c>
      <c r="C9161" t="s">
        <v>24</v>
      </c>
      <c r="D9161" s="2">
        <v>367.71</v>
      </c>
      <c r="E9161" s="2">
        <v>0</v>
      </c>
      <c r="F9161" t="s">
        <v>8</v>
      </c>
      <c r="G9161" t="s">
        <v>9</v>
      </c>
    </row>
    <row r="9162" spans="1:7" x14ac:dyDescent="0.35">
      <c r="A9162">
        <v>3636</v>
      </c>
      <c r="B9162" s="1">
        <v>45786</v>
      </c>
      <c r="C9162" t="s">
        <v>24</v>
      </c>
      <c r="D9162" s="2">
        <v>0</v>
      </c>
      <c r="E9162" s="2">
        <v>367.71</v>
      </c>
      <c r="F9162" t="s">
        <v>13</v>
      </c>
      <c r="G9162" t="s">
        <v>9</v>
      </c>
    </row>
    <row r="9163" spans="1:7" x14ac:dyDescent="0.35">
      <c r="A9163">
        <v>3637</v>
      </c>
      <c r="B9163" s="1">
        <v>45786</v>
      </c>
      <c r="C9163" t="s">
        <v>24</v>
      </c>
      <c r="D9163" s="2">
        <v>2128.88</v>
      </c>
      <c r="E9163" s="2">
        <v>0</v>
      </c>
      <c r="F9163" t="s">
        <v>8</v>
      </c>
      <c r="G9163" t="s">
        <v>9</v>
      </c>
    </row>
    <row r="9164" spans="1:7" x14ac:dyDescent="0.35">
      <c r="A9164">
        <v>3637</v>
      </c>
      <c r="B9164" s="1">
        <v>45786</v>
      </c>
      <c r="C9164" t="s">
        <v>24</v>
      </c>
      <c r="D9164" s="2">
        <v>0</v>
      </c>
      <c r="E9164" s="2">
        <v>2128.88</v>
      </c>
      <c r="F9164" t="s">
        <v>13</v>
      </c>
      <c r="G9164" t="s">
        <v>9</v>
      </c>
    </row>
    <row r="9165" spans="1:7" x14ac:dyDescent="0.35">
      <c r="A9165">
        <v>3638</v>
      </c>
      <c r="B9165" s="1">
        <v>45786</v>
      </c>
      <c r="C9165" t="s">
        <v>24</v>
      </c>
      <c r="D9165" s="2">
        <v>3755.66</v>
      </c>
      <c r="E9165" s="2">
        <v>0</v>
      </c>
      <c r="F9165" t="s">
        <v>8</v>
      </c>
      <c r="G9165" t="s">
        <v>9</v>
      </c>
    </row>
    <row r="9166" spans="1:7" x14ac:dyDescent="0.35">
      <c r="A9166">
        <v>3638</v>
      </c>
      <c r="B9166" s="1">
        <v>45786</v>
      </c>
      <c r="C9166" t="s">
        <v>24</v>
      </c>
      <c r="D9166" s="2">
        <v>0</v>
      </c>
      <c r="E9166" s="2">
        <v>3755.66</v>
      </c>
      <c r="F9166" t="s">
        <v>13</v>
      </c>
      <c r="G9166" t="s">
        <v>9</v>
      </c>
    </row>
    <row r="9167" spans="1:7" x14ac:dyDescent="0.35">
      <c r="A9167">
        <v>3639</v>
      </c>
      <c r="B9167" s="1">
        <v>45786</v>
      </c>
      <c r="C9167" t="s">
        <v>24</v>
      </c>
      <c r="D9167" s="2">
        <v>1956.18</v>
      </c>
      <c r="E9167" s="2">
        <v>0</v>
      </c>
      <c r="F9167" t="s">
        <v>8</v>
      </c>
      <c r="G9167" t="s">
        <v>9</v>
      </c>
    </row>
    <row r="9168" spans="1:7" x14ac:dyDescent="0.35">
      <c r="A9168">
        <v>3639</v>
      </c>
      <c r="B9168" s="1">
        <v>45786</v>
      </c>
      <c r="C9168" t="s">
        <v>24</v>
      </c>
      <c r="D9168" s="2">
        <v>0</v>
      </c>
      <c r="E9168" s="2">
        <v>1956.18</v>
      </c>
      <c r="F9168" t="s">
        <v>13</v>
      </c>
      <c r="G9168" t="s">
        <v>9</v>
      </c>
    </row>
    <row r="9169" spans="1:7" x14ac:dyDescent="0.35">
      <c r="A9169">
        <v>3640</v>
      </c>
      <c r="B9169" s="1">
        <v>45786</v>
      </c>
      <c r="C9169" t="s">
        <v>24</v>
      </c>
      <c r="D9169" s="2">
        <v>1820.79</v>
      </c>
      <c r="E9169" s="2">
        <v>0</v>
      </c>
      <c r="F9169" t="s">
        <v>8</v>
      </c>
      <c r="G9169" t="s">
        <v>9</v>
      </c>
    </row>
    <row r="9170" spans="1:7" x14ac:dyDescent="0.35">
      <c r="A9170">
        <v>3640</v>
      </c>
      <c r="B9170" s="1">
        <v>45786</v>
      </c>
      <c r="C9170" t="s">
        <v>24</v>
      </c>
      <c r="D9170" s="2">
        <v>0</v>
      </c>
      <c r="E9170" s="2">
        <v>1820.79</v>
      </c>
      <c r="F9170" t="s">
        <v>13</v>
      </c>
      <c r="G9170" t="s">
        <v>9</v>
      </c>
    </row>
    <row r="9171" spans="1:7" x14ac:dyDescent="0.35">
      <c r="A9171">
        <v>3641</v>
      </c>
      <c r="B9171" s="1">
        <v>45786</v>
      </c>
      <c r="C9171" t="s">
        <v>24</v>
      </c>
      <c r="D9171" s="2">
        <v>808.17</v>
      </c>
      <c r="E9171" s="2">
        <v>0</v>
      </c>
      <c r="F9171" t="s">
        <v>8</v>
      </c>
      <c r="G9171" t="s">
        <v>9</v>
      </c>
    </row>
    <row r="9172" spans="1:7" x14ac:dyDescent="0.35">
      <c r="A9172">
        <v>3641</v>
      </c>
      <c r="B9172" s="1">
        <v>45786</v>
      </c>
      <c r="C9172" t="s">
        <v>24</v>
      </c>
      <c r="D9172" s="2">
        <v>0</v>
      </c>
      <c r="E9172" s="2">
        <v>808.17</v>
      </c>
      <c r="F9172" t="s">
        <v>13</v>
      </c>
      <c r="G9172" t="s">
        <v>9</v>
      </c>
    </row>
    <row r="9173" spans="1:7" x14ac:dyDescent="0.35">
      <c r="A9173">
        <v>3642</v>
      </c>
      <c r="B9173" s="1">
        <v>45786</v>
      </c>
      <c r="C9173" t="s">
        <v>25</v>
      </c>
      <c r="D9173" s="2">
        <v>512</v>
      </c>
      <c r="E9173" s="2">
        <v>0</v>
      </c>
      <c r="F9173" t="s">
        <v>26</v>
      </c>
      <c r="G9173" t="s">
        <v>20</v>
      </c>
    </row>
    <row r="9174" spans="1:7" x14ac:dyDescent="0.35">
      <c r="A9174">
        <v>3642</v>
      </c>
      <c r="B9174" s="1">
        <v>45786</v>
      </c>
      <c r="C9174" t="s">
        <v>25</v>
      </c>
      <c r="D9174" s="2">
        <v>38.4</v>
      </c>
      <c r="E9174" s="2">
        <v>0</v>
      </c>
      <c r="F9174" t="s">
        <v>27</v>
      </c>
      <c r="G9174" t="s">
        <v>9</v>
      </c>
    </row>
    <row r="9175" spans="1:7" x14ac:dyDescent="0.35">
      <c r="A9175">
        <v>3642</v>
      </c>
      <c r="B9175" s="1">
        <v>45786</v>
      </c>
      <c r="C9175" t="s">
        <v>25</v>
      </c>
      <c r="D9175" s="2">
        <v>0</v>
      </c>
      <c r="E9175" s="2">
        <v>550.4</v>
      </c>
      <c r="F9175" t="s">
        <v>28</v>
      </c>
      <c r="G9175" t="s">
        <v>17</v>
      </c>
    </row>
    <row r="9176" spans="1:7" x14ac:dyDescent="0.35">
      <c r="A9176">
        <v>3643</v>
      </c>
      <c r="B9176" s="1">
        <v>45786</v>
      </c>
      <c r="C9176" t="s">
        <v>29</v>
      </c>
      <c r="D9176" s="2">
        <v>4812.46</v>
      </c>
      <c r="E9176" s="2">
        <v>0</v>
      </c>
      <c r="F9176" t="s">
        <v>28</v>
      </c>
      <c r="G9176" t="s">
        <v>17</v>
      </c>
    </row>
    <row r="9177" spans="1:7" x14ac:dyDescent="0.35">
      <c r="A9177">
        <v>3643</v>
      </c>
      <c r="B9177" s="1">
        <v>45786</v>
      </c>
      <c r="C9177" t="s">
        <v>29</v>
      </c>
      <c r="D9177" s="2">
        <v>0</v>
      </c>
      <c r="E9177" s="2">
        <v>4812.46</v>
      </c>
      <c r="F9177" t="s">
        <v>8</v>
      </c>
      <c r="G9177" t="s">
        <v>9</v>
      </c>
    </row>
    <row r="9178" spans="1:7" x14ac:dyDescent="0.35">
      <c r="A9178">
        <v>3644</v>
      </c>
      <c r="B9178" s="1">
        <v>45786</v>
      </c>
      <c r="C9178" t="s">
        <v>29</v>
      </c>
      <c r="D9178" s="2">
        <v>550.4</v>
      </c>
      <c r="E9178" s="2">
        <v>0</v>
      </c>
      <c r="F9178" t="s">
        <v>28</v>
      </c>
      <c r="G9178" t="s">
        <v>17</v>
      </c>
    </row>
    <row r="9179" spans="1:7" x14ac:dyDescent="0.35">
      <c r="A9179">
        <v>3644</v>
      </c>
      <c r="B9179" s="1">
        <v>45786</v>
      </c>
      <c r="C9179" t="s">
        <v>29</v>
      </c>
      <c r="D9179" s="2">
        <v>0</v>
      </c>
      <c r="E9179" s="2">
        <v>550.4</v>
      </c>
      <c r="F9179" t="s">
        <v>8</v>
      </c>
      <c r="G9179" t="s">
        <v>9</v>
      </c>
    </row>
    <row r="9180" spans="1:7" x14ac:dyDescent="0.35">
      <c r="A9180">
        <v>3645</v>
      </c>
      <c r="B9180" s="1">
        <v>45789</v>
      </c>
      <c r="C9180" t="s">
        <v>12</v>
      </c>
      <c r="D9180" s="2">
        <v>399.23</v>
      </c>
      <c r="E9180" s="2">
        <v>0</v>
      </c>
      <c r="F9180" t="s">
        <v>13</v>
      </c>
      <c r="G9180" t="s">
        <v>9</v>
      </c>
    </row>
    <row r="9181" spans="1:7" x14ac:dyDescent="0.35">
      <c r="A9181">
        <v>3645</v>
      </c>
      <c r="B9181" s="1">
        <v>45789</v>
      </c>
      <c r="C9181" t="s">
        <v>12</v>
      </c>
      <c r="D9181" s="2">
        <v>0</v>
      </c>
      <c r="E9181" s="2">
        <v>371.38</v>
      </c>
      <c r="F9181" t="s">
        <v>14</v>
      </c>
      <c r="G9181" t="s">
        <v>15</v>
      </c>
    </row>
    <row r="9182" spans="1:7" x14ac:dyDescent="0.35">
      <c r="A9182">
        <v>3645</v>
      </c>
      <c r="B9182" s="1">
        <v>45789</v>
      </c>
      <c r="C9182" t="s">
        <v>12</v>
      </c>
      <c r="D9182" s="2">
        <v>0</v>
      </c>
      <c r="E9182" s="2">
        <v>27.85</v>
      </c>
      <c r="F9182" t="s">
        <v>16</v>
      </c>
      <c r="G9182" t="s">
        <v>17</v>
      </c>
    </row>
    <row r="9183" spans="1:7" x14ac:dyDescent="0.35">
      <c r="A9183">
        <v>3646</v>
      </c>
      <c r="B9183" s="1">
        <v>45789</v>
      </c>
      <c r="C9183" t="s">
        <v>12</v>
      </c>
      <c r="D9183" s="2">
        <v>3333.58</v>
      </c>
      <c r="E9183" s="2">
        <v>0</v>
      </c>
      <c r="F9183" t="s">
        <v>13</v>
      </c>
      <c r="G9183" t="s">
        <v>9</v>
      </c>
    </row>
    <row r="9184" spans="1:7" x14ac:dyDescent="0.35">
      <c r="A9184">
        <v>3646</v>
      </c>
      <c r="B9184" s="1">
        <v>45789</v>
      </c>
      <c r="C9184" t="s">
        <v>12</v>
      </c>
      <c r="D9184" s="2">
        <v>0</v>
      </c>
      <c r="E9184" s="2">
        <v>3101.01</v>
      </c>
      <c r="F9184" t="s">
        <v>14</v>
      </c>
      <c r="G9184" t="s">
        <v>15</v>
      </c>
    </row>
    <row r="9185" spans="1:7" x14ac:dyDescent="0.35">
      <c r="A9185">
        <v>3646</v>
      </c>
      <c r="B9185" s="1">
        <v>45789</v>
      </c>
      <c r="C9185" t="s">
        <v>12</v>
      </c>
      <c r="D9185" s="2">
        <v>0</v>
      </c>
      <c r="E9185" s="2">
        <v>232.57</v>
      </c>
      <c r="F9185" t="s">
        <v>16</v>
      </c>
      <c r="G9185" t="s">
        <v>17</v>
      </c>
    </row>
    <row r="9186" spans="1:7" x14ac:dyDescent="0.35">
      <c r="A9186">
        <v>3647</v>
      </c>
      <c r="B9186" s="1">
        <v>45789</v>
      </c>
      <c r="C9186" t="s">
        <v>12</v>
      </c>
      <c r="D9186" s="2">
        <v>3204.32</v>
      </c>
      <c r="E9186" s="2">
        <v>0</v>
      </c>
      <c r="F9186" t="s">
        <v>13</v>
      </c>
      <c r="G9186" t="s">
        <v>9</v>
      </c>
    </row>
    <row r="9187" spans="1:7" x14ac:dyDescent="0.35">
      <c r="A9187">
        <v>3647</v>
      </c>
      <c r="B9187" s="1">
        <v>45789</v>
      </c>
      <c r="C9187" t="s">
        <v>12</v>
      </c>
      <c r="D9187" s="2">
        <v>0</v>
      </c>
      <c r="E9187" s="2">
        <v>2980.76</v>
      </c>
      <c r="F9187" t="s">
        <v>14</v>
      </c>
      <c r="G9187" t="s">
        <v>15</v>
      </c>
    </row>
    <row r="9188" spans="1:7" x14ac:dyDescent="0.35">
      <c r="A9188">
        <v>3647</v>
      </c>
      <c r="B9188" s="1">
        <v>45789</v>
      </c>
      <c r="C9188" t="s">
        <v>12</v>
      </c>
      <c r="D9188" s="2">
        <v>0</v>
      </c>
      <c r="E9188" s="2">
        <v>223.56</v>
      </c>
      <c r="F9188" t="s">
        <v>16</v>
      </c>
      <c r="G9188" t="s">
        <v>17</v>
      </c>
    </row>
    <row r="9189" spans="1:7" x14ac:dyDescent="0.35">
      <c r="A9189">
        <v>3648</v>
      </c>
      <c r="B9189" s="1">
        <v>45789</v>
      </c>
      <c r="C9189" t="s">
        <v>12</v>
      </c>
      <c r="D9189" s="2">
        <v>4782.6499999999996</v>
      </c>
      <c r="E9189" s="2">
        <v>0</v>
      </c>
      <c r="F9189" t="s">
        <v>13</v>
      </c>
      <c r="G9189" t="s">
        <v>9</v>
      </c>
    </row>
    <row r="9190" spans="1:7" x14ac:dyDescent="0.35">
      <c r="A9190">
        <v>3648</v>
      </c>
      <c r="B9190" s="1">
        <v>45789</v>
      </c>
      <c r="C9190" t="s">
        <v>12</v>
      </c>
      <c r="D9190" s="2">
        <v>0</v>
      </c>
      <c r="E9190" s="2">
        <v>4448.97</v>
      </c>
      <c r="F9190" t="s">
        <v>14</v>
      </c>
      <c r="G9190" t="s">
        <v>15</v>
      </c>
    </row>
    <row r="9191" spans="1:7" x14ac:dyDescent="0.35">
      <c r="A9191">
        <v>3648</v>
      </c>
      <c r="B9191" s="1">
        <v>45789</v>
      </c>
      <c r="C9191" t="s">
        <v>12</v>
      </c>
      <c r="D9191" s="2">
        <v>0</v>
      </c>
      <c r="E9191" s="2">
        <v>333.68</v>
      </c>
      <c r="F9191" t="s">
        <v>16</v>
      </c>
      <c r="G9191" t="s">
        <v>17</v>
      </c>
    </row>
    <row r="9192" spans="1:7" x14ac:dyDescent="0.35">
      <c r="A9192">
        <v>3649</v>
      </c>
      <c r="B9192" s="1">
        <v>45789</v>
      </c>
      <c r="C9192" t="s">
        <v>12</v>
      </c>
      <c r="D9192" s="2">
        <v>7281.68</v>
      </c>
      <c r="E9192" s="2">
        <v>0</v>
      </c>
      <c r="F9192" t="s">
        <v>13</v>
      </c>
      <c r="G9192" t="s">
        <v>9</v>
      </c>
    </row>
    <row r="9193" spans="1:7" x14ac:dyDescent="0.35">
      <c r="A9193">
        <v>3649</v>
      </c>
      <c r="B9193" s="1">
        <v>45789</v>
      </c>
      <c r="C9193" t="s">
        <v>12</v>
      </c>
      <c r="D9193" s="2">
        <v>0</v>
      </c>
      <c r="E9193" s="2">
        <v>6773.65</v>
      </c>
      <c r="F9193" t="s">
        <v>14</v>
      </c>
      <c r="G9193" t="s">
        <v>15</v>
      </c>
    </row>
    <row r="9194" spans="1:7" x14ac:dyDescent="0.35">
      <c r="A9194">
        <v>3649</v>
      </c>
      <c r="B9194" s="1">
        <v>45789</v>
      </c>
      <c r="C9194" t="s">
        <v>12</v>
      </c>
      <c r="D9194" s="2">
        <v>0</v>
      </c>
      <c r="E9194" s="2">
        <v>508.03</v>
      </c>
      <c r="F9194" t="s">
        <v>16</v>
      </c>
      <c r="G9194" t="s">
        <v>17</v>
      </c>
    </row>
    <row r="9195" spans="1:7" x14ac:dyDescent="0.35">
      <c r="A9195">
        <v>3650</v>
      </c>
      <c r="B9195" s="1">
        <v>45789</v>
      </c>
      <c r="C9195" t="s">
        <v>24</v>
      </c>
      <c r="D9195" s="2">
        <v>3260.9</v>
      </c>
      <c r="E9195" s="2">
        <v>0</v>
      </c>
      <c r="F9195" t="s">
        <v>8</v>
      </c>
      <c r="G9195" t="s">
        <v>9</v>
      </c>
    </row>
    <row r="9196" spans="1:7" x14ac:dyDescent="0.35">
      <c r="A9196">
        <v>3650</v>
      </c>
      <c r="B9196" s="1">
        <v>45789</v>
      </c>
      <c r="C9196" t="s">
        <v>24</v>
      </c>
      <c r="D9196" s="2">
        <v>0</v>
      </c>
      <c r="E9196" s="2">
        <v>3260.9</v>
      </c>
      <c r="F9196" t="s">
        <v>13</v>
      </c>
      <c r="G9196" t="s">
        <v>9</v>
      </c>
    </row>
    <row r="9197" spans="1:7" x14ac:dyDescent="0.35">
      <c r="A9197">
        <v>3651</v>
      </c>
      <c r="B9197" s="1">
        <v>45789</v>
      </c>
      <c r="C9197" t="s">
        <v>24</v>
      </c>
      <c r="D9197" s="2">
        <v>92.77</v>
      </c>
      <c r="E9197" s="2">
        <v>0</v>
      </c>
      <c r="F9197" t="s">
        <v>8</v>
      </c>
      <c r="G9197" t="s">
        <v>9</v>
      </c>
    </row>
    <row r="9198" spans="1:7" x14ac:dyDescent="0.35">
      <c r="A9198">
        <v>3651</v>
      </c>
      <c r="B9198" s="1">
        <v>45789</v>
      </c>
      <c r="C9198" t="s">
        <v>24</v>
      </c>
      <c r="D9198" s="2">
        <v>0</v>
      </c>
      <c r="E9198" s="2">
        <v>92.77</v>
      </c>
      <c r="F9198" t="s">
        <v>13</v>
      </c>
      <c r="G9198" t="s">
        <v>9</v>
      </c>
    </row>
    <row r="9199" spans="1:7" x14ac:dyDescent="0.35">
      <c r="A9199">
        <v>3652</v>
      </c>
      <c r="B9199" s="1">
        <v>45789</v>
      </c>
      <c r="C9199" t="s">
        <v>25</v>
      </c>
      <c r="D9199" s="2">
        <v>1822.08</v>
      </c>
      <c r="E9199" s="2">
        <v>0</v>
      </c>
      <c r="F9199" t="s">
        <v>26</v>
      </c>
      <c r="G9199" t="s">
        <v>20</v>
      </c>
    </row>
    <row r="9200" spans="1:7" x14ac:dyDescent="0.35">
      <c r="A9200">
        <v>3652</v>
      </c>
      <c r="B9200" s="1">
        <v>45789</v>
      </c>
      <c r="C9200" t="s">
        <v>25</v>
      </c>
      <c r="D9200" s="2">
        <v>136.66</v>
      </c>
      <c r="E9200" s="2">
        <v>0</v>
      </c>
      <c r="F9200" t="s">
        <v>27</v>
      </c>
      <c r="G9200" t="s">
        <v>9</v>
      </c>
    </row>
    <row r="9201" spans="1:7" x14ac:dyDescent="0.35">
      <c r="A9201">
        <v>3652</v>
      </c>
      <c r="B9201" s="1">
        <v>45789</v>
      </c>
      <c r="C9201" t="s">
        <v>25</v>
      </c>
      <c r="D9201" s="2">
        <v>0</v>
      </c>
      <c r="E9201" s="2">
        <v>1958.74</v>
      </c>
      <c r="F9201" t="s">
        <v>28</v>
      </c>
      <c r="G9201" t="s">
        <v>17</v>
      </c>
    </row>
    <row r="9202" spans="1:7" x14ac:dyDescent="0.35">
      <c r="A9202">
        <v>3653</v>
      </c>
      <c r="B9202" s="1">
        <v>45789</v>
      </c>
      <c r="C9202" t="s">
        <v>25</v>
      </c>
      <c r="D9202" s="2">
        <v>1643.22</v>
      </c>
      <c r="E9202" s="2">
        <v>0</v>
      </c>
      <c r="F9202" t="s">
        <v>26</v>
      </c>
      <c r="G9202" t="s">
        <v>20</v>
      </c>
    </row>
    <row r="9203" spans="1:7" x14ac:dyDescent="0.35">
      <c r="A9203">
        <v>3653</v>
      </c>
      <c r="B9203" s="1">
        <v>45789</v>
      </c>
      <c r="C9203" t="s">
        <v>25</v>
      </c>
      <c r="D9203" s="2">
        <v>123.24</v>
      </c>
      <c r="E9203" s="2">
        <v>0</v>
      </c>
      <c r="F9203" t="s">
        <v>27</v>
      </c>
      <c r="G9203" t="s">
        <v>9</v>
      </c>
    </row>
    <row r="9204" spans="1:7" x14ac:dyDescent="0.35">
      <c r="A9204">
        <v>3653</v>
      </c>
      <c r="B9204" s="1">
        <v>45789</v>
      </c>
      <c r="C9204" t="s">
        <v>25</v>
      </c>
      <c r="D9204" s="2">
        <v>0</v>
      </c>
      <c r="E9204" s="2">
        <v>1766.46</v>
      </c>
      <c r="F9204" t="s">
        <v>28</v>
      </c>
      <c r="G9204" t="s">
        <v>17</v>
      </c>
    </row>
    <row r="9205" spans="1:7" x14ac:dyDescent="0.35">
      <c r="A9205">
        <v>3654</v>
      </c>
      <c r="B9205" s="1">
        <v>45789</v>
      </c>
      <c r="C9205" t="s">
        <v>25</v>
      </c>
      <c r="D9205" s="2">
        <v>1078.92</v>
      </c>
      <c r="E9205" s="2">
        <v>0</v>
      </c>
      <c r="F9205" t="s">
        <v>26</v>
      </c>
      <c r="G9205" t="s">
        <v>20</v>
      </c>
    </row>
    <row r="9206" spans="1:7" x14ac:dyDescent="0.35">
      <c r="A9206">
        <v>3654</v>
      </c>
      <c r="B9206" s="1">
        <v>45789</v>
      </c>
      <c r="C9206" t="s">
        <v>25</v>
      </c>
      <c r="D9206" s="2">
        <v>80.92</v>
      </c>
      <c r="E9206" s="2">
        <v>0</v>
      </c>
      <c r="F9206" t="s">
        <v>27</v>
      </c>
      <c r="G9206" t="s">
        <v>9</v>
      </c>
    </row>
    <row r="9207" spans="1:7" x14ac:dyDescent="0.35">
      <c r="A9207">
        <v>3654</v>
      </c>
      <c r="B9207" s="1">
        <v>45789</v>
      </c>
      <c r="C9207" t="s">
        <v>25</v>
      </c>
      <c r="D9207" s="2">
        <v>0</v>
      </c>
      <c r="E9207" s="2">
        <v>1159.8399999999999</v>
      </c>
      <c r="F9207" t="s">
        <v>28</v>
      </c>
      <c r="G9207" t="s">
        <v>17</v>
      </c>
    </row>
    <row r="9208" spans="1:7" x14ac:dyDescent="0.35">
      <c r="A9208">
        <v>3655</v>
      </c>
      <c r="B9208" s="1">
        <v>45789</v>
      </c>
      <c r="C9208" t="s">
        <v>25</v>
      </c>
      <c r="D9208" s="2">
        <v>696.06</v>
      </c>
      <c r="E9208" s="2">
        <v>0</v>
      </c>
      <c r="F9208" t="s">
        <v>26</v>
      </c>
      <c r="G9208" t="s">
        <v>20</v>
      </c>
    </row>
    <row r="9209" spans="1:7" x14ac:dyDescent="0.35">
      <c r="A9209">
        <v>3655</v>
      </c>
      <c r="B9209" s="1">
        <v>45789</v>
      </c>
      <c r="C9209" t="s">
        <v>25</v>
      </c>
      <c r="D9209" s="2">
        <v>52.2</v>
      </c>
      <c r="E9209" s="2">
        <v>0</v>
      </c>
      <c r="F9209" t="s">
        <v>27</v>
      </c>
      <c r="G9209" t="s">
        <v>9</v>
      </c>
    </row>
    <row r="9210" spans="1:7" x14ac:dyDescent="0.35">
      <c r="A9210">
        <v>3655</v>
      </c>
      <c r="B9210" s="1">
        <v>45789</v>
      </c>
      <c r="C9210" t="s">
        <v>25</v>
      </c>
      <c r="D9210" s="2">
        <v>0</v>
      </c>
      <c r="E9210" s="2">
        <v>748.26</v>
      </c>
      <c r="F9210" t="s">
        <v>28</v>
      </c>
      <c r="G9210" t="s">
        <v>17</v>
      </c>
    </row>
    <row r="9211" spans="1:7" x14ac:dyDescent="0.35">
      <c r="A9211">
        <v>3656</v>
      </c>
      <c r="B9211" s="1">
        <v>45789</v>
      </c>
      <c r="C9211" t="s">
        <v>25</v>
      </c>
      <c r="D9211" s="2">
        <v>802.71</v>
      </c>
      <c r="E9211" s="2">
        <v>0</v>
      </c>
      <c r="F9211" t="s">
        <v>26</v>
      </c>
      <c r="G9211" t="s">
        <v>20</v>
      </c>
    </row>
    <row r="9212" spans="1:7" x14ac:dyDescent="0.35">
      <c r="A9212">
        <v>3656</v>
      </c>
      <c r="B9212" s="1">
        <v>45789</v>
      </c>
      <c r="C9212" t="s">
        <v>25</v>
      </c>
      <c r="D9212" s="2">
        <v>60.2</v>
      </c>
      <c r="E9212" s="2">
        <v>0</v>
      </c>
      <c r="F9212" t="s">
        <v>27</v>
      </c>
      <c r="G9212" t="s">
        <v>9</v>
      </c>
    </row>
    <row r="9213" spans="1:7" x14ac:dyDescent="0.35">
      <c r="A9213">
        <v>3656</v>
      </c>
      <c r="B9213" s="1">
        <v>45789</v>
      </c>
      <c r="C9213" t="s">
        <v>25</v>
      </c>
      <c r="D9213" s="2">
        <v>0</v>
      </c>
      <c r="E9213" s="2">
        <v>862.91</v>
      </c>
      <c r="F9213" t="s">
        <v>28</v>
      </c>
      <c r="G9213" t="s">
        <v>17</v>
      </c>
    </row>
    <row r="9214" spans="1:7" x14ac:dyDescent="0.35">
      <c r="A9214">
        <v>3657</v>
      </c>
      <c r="B9214" s="1">
        <v>45789</v>
      </c>
      <c r="C9214" t="s">
        <v>25</v>
      </c>
      <c r="D9214" s="2">
        <v>8685.27</v>
      </c>
      <c r="E9214" s="2">
        <v>0</v>
      </c>
      <c r="F9214" t="s">
        <v>26</v>
      </c>
      <c r="G9214" t="s">
        <v>20</v>
      </c>
    </row>
    <row r="9215" spans="1:7" x14ac:dyDescent="0.35">
      <c r="A9215">
        <v>3657</v>
      </c>
      <c r="B9215" s="1">
        <v>45789</v>
      </c>
      <c r="C9215" t="s">
        <v>25</v>
      </c>
      <c r="D9215" s="2">
        <v>651.4</v>
      </c>
      <c r="E9215" s="2">
        <v>0</v>
      </c>
      <c r="F9215" t="s">
        <v>27</v>
      </c>
      <c r="G9215" t="s">
        <v>9</v>
      </c>
    </row>
    <row r="9216" spans="1:7" x14ac:dyDescent="0.35">
      <c r="A9216">
        <v>3657</v>
      </c>
      <c r="B9216" s="1">
        <v>45789</v>
      </c>
      <c r="C9216" t="s">
        <v>25</v>
      </c>
      <c r="D9216" s="2">
        <v>0</v>
      </c>
      <c r="E9216" s="2">
        <v>9336.67</v>
      </c>
      <c r="F9216" t="s">
        <v>28</v>
      </c>
      <c r="G9216" t="s">
        <v>17</v>
      </c>
    </row>
    <row r="9217" spans="1:7" x14ac:dyDescent="0.35">
      <c r="A9217">
        <v>3658</v>
      </c>
      <c r="B9217" s="1">
        <v>45789</v>
      </c>
      <c r="C9217" t="s">
        <v>25</v>
      </c>
      <c r="D9217" s="2">
        <v>187.44</v>
      </c>
      <c r="E9217" s="2">
        <v>0</v>
      </c>
      <c r="F9217" t="s">
        <v>26</v>
      </c>
      <c r="G9217" t="s">
        <v>20</v>
      </c>
    </row>
    <row r="9218" spans="1:7" x14ac:dyDescent="0.35">
      <c r="A9218">
        <v>3658</v>
      </c>
      <c r="B9218" s="1">
        <v>45789</v>
      </c>
      <c r="C9218" t="s">
        <v>25</v>
      </c>
      <c r="D9218" s="2">
        <v>14.06</v>
      </c>
      <c r="E9218" s="2">
        <v>0</v>
      </c>
      <c r="F9218" t="s">
        <v>27</v>
      </c>
      <c r="G9218" t="s">
        <v>9</v>
      </c>
    </row>
    <row r="9219" spans="1:7" x14ac:dyDescent="0.35">
      <c r="A9219">
        <v>3658</v>
      </c>
      <c r="B9219" s="1">
        <v>45789</v>
      </c>
      <c r="C9219" t="s">
        <v>25</v>
      </c>
      <c r="D9219" s="2">
        <v>0</v>
      </c>
      <c r="E9219" s="2">
        <v>201.5</v>
      </c>
      <c r="F9219" t="s">
        <v>28</v>
      </c>
      <c r="G9219" t="s">
        <v>17</v>
      </c>
    </row>
    <row r="9220" spans="1:7" x14ac:dyDescent="0.35">
      <c r="A9220">
        <v>3659</v>
      </c>
      <c r="B9220" s="1">
        <v>45789</v>
      </c>
      <c r="C9220" t="s">
        <v>25</v>
      </c>
      <c r="D9220" s="2">
        <v>3598.88</v>
      </c>
      <c r="E9220" s="2">
        <v>0</v>
      </c>
      <c r="F9220" t="s">
        <v>26</v>
      </c>
      <c r="G9220" t="s">
        <v>20</v>
      </c>
    </row>
    <row r="9221" spans="1:7" x14ac:dyDescent="0.35">
      <c r="A9221">
        <v>3659</v>
      </c>
      <c r="B9221" s="1">
        <v>45789</v>
      </c>
      <c r="C9221" t="s">
        <v>25</v>
      </c>
      <c r="D9221" s="2">
        <v>269.92</v>
      </c>
      <c r="E9221" s="2">
        <v>0</v>
      </c>
      <c r="F9221" t="s">
        <v>27</v>
      </c>
      <c r="G9221" t="s">
        <v>9</v>
      </c>
    </row>
    <row r="9222" spans="1:7" x14ac:dyDescent="0.35">
      <c r="A9222">
        <v>3659</v>
      </c>
      <c r="B9222" s="1">
        <v>45789</v>
      </c>
      <c r="C9222" t="s">
        <v>25</v>
      </c>
      <c r="D9222" s="2">
        <v>0</v>
      </c>
      <c r="E9222" s="2">
        <v>3868.8</v>
      </c>
      <c r="F9222" t="s">
        <v>28</v>
      </c>
      <c r="G9222" t="s">
        <v>17</v>
      </c>
    </row>
    <row r="9223" spans="1:7" x14ac:dyDescent="0.35">
      <c r="A9223">
        <v>3660</v>
      </c>
      <c r="B9223" s="1">
        <v>45789</v>
      </c>
      <c r="C9223" t="s">
        <v>29</v>
      </c>
      <c r="D9223" s="2">
        <v>2504.23</v>
      </c>
      <c r="E9223" s="2">
        <v>0</v>
      </c>
      <c r="F9223" t="s">
        <v>28</v>
      </c>
      <c r="G9223" t="s">
        <v>17</v>
      </c>
    </row>
    <row r="9224" spans="1:7" x14ac:dyDescent="0.35">
      <c r="A9224">
        <v>3660</v>
      </c>
      <c r="B9224" s="1">
        <v>45789</v>
      </c>
      <c r="C9224" t="s">
        <v>29</v>
      </c>
      <c r="D9224" s="2">
        <v>0</v>
      </c>
      <c r="E9224" s="2">
        <v>2504.23</v>
      </c>
      <c r="F9224" t="s">
        <v>8</v>
      </c>
      <c r="G9224" t="s">
        <v>9</v>
      </c>
    </row>
    <row r="9225" spans="1:7" x14ac:dyDescent="0.35">
      <c r="A9225">
        <v>3661</v>
      </c>
      <c r="B9225" s="1">
        <v>45789</v>
      </c>
      <c r="C9225" t="s">
        <v>29</v>
      </c>
      <c r="D9225" s="2">
        <v>201.5</v>
      </c>
      <c r="E9225" s="2">
        <v>0</v>
      </c>
      <c r="F9225" t="s">
        <v>28</v>
      </c>
      <c r="G9225" t="s">
        <v>17</v>
      </c>
    </row>
    <row r="9226" spans="1:7" x14ac:dyDescent="0.35">
      <c r="A9226">
        <v>3661</v>
      </c>
      <c r="B9226" s="1">
        <v>45789</v>
      </c>
      <c r="C9226" t="s">
        <v>29</v>
      </c>
      <c r="D9226" s="2">
        <v>0</v>
      </c>
      <c r="E9226" s="2">
        <v>201.5</v>
      </c>
      <c r="F9226" t="s">
        <v>8</v>
      </c>
      <c r="G9226" t="s">
        <v>9</v>
      </c>
    </row>
    <row r="9227" spans="1:7" x14ac:dyDescent="0.35">
      <c r="A9227">
        <v>3662</v>
      </c>
      <c r="B9227" s="1">
        <v>45789</v>
      </c>
      <c r="C9227" t="s">
        <v>29</v>
      </c>
      <c r="D9227" s="2">
        <v>1766.46</v>
      </c>
      <c r="E9227" s="2">
        <v>0</v>
      </c>
      <c r="F9227" t="s">
        <v>28</v>
      </c>
      <c r="G9227" t="s">
        <v>17</v>
      </c>
    </row>
    <row r="9228" spans="1:7" x14ac:dyDescent="0.35">
      <c r="A9228">
        <v>3662</v>
      </c>
      <c r="B9228" s="1">
        <v>45789</v>
      </c>
      <c r="C9228" t="s">
        <v>29</v>
      </c>
      <c r="D9228" s="2">
        <v>0</v>
      </c>
      <c r="E9228" s="2">
        <v>1766.46</v>
      </c>
      <c r="F9228" t="s">
        <v>8</v>
      </c>
      <c r="G9228" t="s">
        <v>9</v>
      </c>
    </row>
    <row r="9229" spans="1:7" x14ac:dyDescent="0.35">
      <c r="A9229">
        <v>3663</v>
      </c>
      <c r="B9229" s="1">
        <v>45790</v>
      </c>
      <c r="C9229" t="s">
        <v>12</v>
      </c>
      <c r="D9229" s="2">
        <v>1742.66</v>
      </c>
      <c r="E9229" s="2">
        <v>0</v>
      </c>
      <c r="F9229" t="s">
        <v>13</v>
      </c>
      <c r="G9229" t="s">
        <v>9</v>
      </c>
    </row>
    <row r="9230" spans="1:7" x14ac:dyDescent="0.35">
      <c r="A9230">
        <v>3663</v>
      </c>
      <c r="B9230" s="1">
        <v>45790</v>
      </c>
      <c r="C9230" t="s">
        <v>12</v>
      </c>
      <c r="D9230" s="2">
        <v>0</v>
      </c>
      <c r="E9230" s="2">
        <v>1621.09</v>
      </c>
      <c r="F9230" t="s">
        <v>14</v>
      </c>
      <c r="G9230" t="s">
        <v>15</v>
      </c>
    </row>
    <row r="9231" spans="1:7" x14ac:dyDescent="0.35">
      <c r="A9231">
        <v>3663</v>
      </c>
      <c r="B9231" s="1">
        <v>45790</v>
      </c>
      <c r="C9231" t="s">
        <v>12</v>
      </c>
      <c r="D9231" s="2">
        <v>0</v>
      </c>
      <c r="E9231" s="2">
        <v>121.57</v>
      </c>
      <c r="F9231" t="s">
        <v>16</v>
      </c>
      <c r="G9231" t="s">
        <v>17</v>
      </c>
    </row>
    <row r="9232" spans="1:7" x14ac:dyDescent="0.35">
      <c r="A9232">
        <v>3664</v>
      </c>
      <c r="B9232" s="1">
        <v>45790</v>
      </c>
      <c r="C9232" t="s">
        <v>12</v>
      </c>
      <c r="D9232" s="2">
        <v>2075</v>
      </c>
      <c r="E9232" s="2">
        <v>0</v>
      </c>
      <c r="F9232" t="s">
        <v>13</v>
      </c>
      <c r="G9232" t="s">
        <v>9</v>
      </c>
    </row>
    <row r="9233" spans="1:7" x14ac:dyDescent="0.35">
      <c r="A9233">
        <v>3664</v>
      </c>
      <c r="B9233" s="1">
        <v>45790</v>
      </c>
      <c r="C9233" t="s">
        <v>12</v>
      </c>
      <c r="D9233" s="2">
        <v>0</v>
      </c>
      <c r="E9233" s="2">
        <v>1930.22</v>
      </c>
      <c r="F9233" t="s">
        <v>14</v>
      </c>
      <c r="G9233" t="s">
        <v>15</v>
      </c>
    </row>
    <row r="9234" spans="1:7" x14ac:dyDescent="0.35">
      <c r="A9234">
        <v>3664</v>
      </c>
      <c r="B9234" s="1">
        <v>45790</v>
      </c>
      <c r="C9234" t="s">
        <v>12</v>
      </c>
      <c r="D9234" s="2">
        <v>0</v>
      </c>
      <c r="E9234" s="2">
        <v>144.78</v>
      </c>
      <c r="F9234" t="s">
        <v>16</v>
      </c>
      <c r="G9234" t="s">
        <v>17</v>
      </c>
    </row>
    <row r="9235" spans="1:7" x14ac:dyDescent="0.35">
      <c r="A9235">
        <v>3665</v>
      </c>
      <c r="B9235" s="1">
        <v>45790</v>
      </c>
      <c r="C9235" t="s">
        <v>12</v>
      </c>
      <c r="D9235" s="2">
        <v>1182.82</v>
      </c>
      <c r="E9235" s="2">
        <v>0</v>
      </c>
      <c r="F9235" t="s">
        <v>13</v>
      </c>
      <c r="G9235" t="s">
        <v>9</v>
      </c>
    </row>
    <row r="9236" spans="1:7" x14ac:dyDescent="0.35">
      <c r="A9236">
        <v>3665</v>
      </c>
      <c r="B9236" s="1">
        <v>45790</v>
      </c>
      <c r="C9236" t="s">
        <v>12</v>
      </c>
      <c r="D9236" s="2">
        <v>0</v>
      </c>
      <c r="E9236" s="2">
        <v>1100.29</v>
      </c>
      <c r="F9236" t="s">
        <v>14</v>
      </c>
      <c r="G9236" t="s">
        <v>15</v>
      </c>
    </row>
    <row r="9237" spans="1:7" x14ac:dyDescent="0.35">
      <c r="A9237">
        <v>3665</v>
      </c>
      <c r="B9237" s="1">
        <v>45790</v>
      </c>
      <c r="C9237" t="s">
        <v>12</v>
      </c>
      <c r="D9237" s="2">
        <v>0</v>
      </c>
      <c r="E9237" s="2">
        <v>82.53</v>
      </c>
      <c r="F9237" t="s">
        <v>16</v>
      </c>
      <c r="G9237" t="s">
        <v>17</v>
      </c>
    </row>
    <row r="9238" spans="1:7" x14ac:dyDescent="0.35">
      <c r="A9238">
        <v>3666</v>
      </c>
      <c r="B9238" s="1">
        <v>45790</v>
      </c>
      <c r="C9238" t="s">
        <v>12</v>
      </c>
      <c r="D9238" s="2">
        <v>4585.82</v>
      </c>
      <c r="E9238" s="2">
        <v>0</v>
      </c>
      <c r="F9238" t="s">
        <v>13</v>
      </c>
      <c r="G9238" t="s">
        <v>9</v>
      </c>
    </row>
    <row r="9239" spans="1:7" x14ac:dyDescent="0.35">
      <c r="A9239">
        <v>3666</v>
      </c>
      <c r="B9239" s="1">
        <v>45790</v>
      </c>
      <c r="C9239" t="s">
        <v>12</v>
      </c>
      <c r="D9239" s="2">
        <v>0</v>
      </c>
      <c r="E9239" s="2">
        <v>4265.87</v>
      </c>
      <c r="F9239" t="s">
        <v>14</v>
      </c>
      <c r="G9239" t="s">
        <v>15</v>
      </c>
    </row>
    <row r="9240" spans="1:7" x14ac:dyDescent="0.35">
      <c r="A9240">
        <v>3666</v>
      </c>
      <c r="B9240" s="1">
        <v>45790</v>
      </c>
      <c r="C9240" t="s">
        <v>12</v>
      </c>
      <c r="D9240" s="2">
        <v>0</v>
      </c>
      <c r="E9240" s="2">
        <v>319.95</v>
      </c>
      <c r="F9240" t="s">
        <v>16</v>
      </c>
      <c r="G9240" t="s">
        <v>17</v>
      </c>
    </row>
    <row r="9241" spans="1:7" x14ac:dyDescent="0.35">
      <c r="A9241">
        <v>3667</v>
      </c>
      <c r="B9241" s="1">
        <v>45790</v>
      </c>
      <c r="C9241" t="s">
        <v>12</v>
      </c>
      <c r="D9241" s="2">
        <v>3992.47</v>
      </c>
      <c r="E9241" s="2">
        <v>0</v>
      </c>
      <c r="F9241" t="s">
        <v>13</v>
      </c>
      <c r="G9241" t="s">
        <v>9</v>
      </c>
    </row>
    <row r="9242" spans="1:7" x14ac:dyDescent="0.35">
      <c r="A9242">
        <v>3667</v>
      </c>
      <c r="B9242" s="1">
        <v>45790</v>
      </c>
      <c r="C9242" t="s">
        <v>12</v>
      </c>
      <c r="D9242" s="2">
        <v>0</v>
      </c>
      <c r="E9242" s="2">
        <v>3713.92</v>
      </c>
      <c r="F9242" t="s">
        <v>14</v>
      </c>
      <c r="G9242" t="s">
        <v>15</v>
      </c>
    </row>
    <row r="9243" spans="1:7" x14ac:dyDescent="0.35">
      <c r="A9243">
        <v>3667</v>
      </c>
      <c r="B9243" s="1">
        <v>45790</v>
      </c>
      <c r="C9243" t="s">
        <v>12</v>
      </c>
      <c r="D9243" s="2">
        <v>0</v>
      </c>
      <c r="E9243" s="2">
        <v>278.55</v>
      </c>
      <c r="F9243" t="s">
        <v>16</v>
      </c>
      <c r="G9243" t="s">
        <v>17</v>
      </c>
    </row>
    <row r="9244" spans="1:7" x14ac:dyDescent="0.35">
      <c r="A9244">
        <v>3668</v>
      </c>
      <c r="B9244" s="1">
        <v>45790</v>
      </c>
      <c r="C9244" t="s">
        <v>12</v>
      </c>
      <c r="D9244" s="2">
        <v>2219.8200000000002</v>
      </c>
      <c r="E9244" s="2">
        <v>0</v>
      </c>
      <c r="F9244" t="s">
        <v>13</v>
      </c>
      <c r="G9244" t="s">
        <v>9</v>
      </c>
    </row>
    <row r="9245" spans="1:7" x14ac:dyDescent="0.35">
      <c r="A9245">
        <v>3668</v>
      </c>
      <c r="B9245" s="1">
        <v>45790</v>
      </c>
      <c r="C9245" t="s">
        <v>12</v>
      </c>
      <c r="D9245" s="2">
        <v>0</v>
      </c>
      <c r="E9245" s="2">
        <v>2064.9499999999998</v>
      </c>
      <c r="F9245" t="s">
        <v>14</v>
      </c>
      <c r="G9245" t="s">
        <v>15</v>
      </c>
    </row>
    <row r="9246" spans="1:7" x14ac:dyDescent="0.35">
      <c r="A9246">
        <v>3668</v>
      </c>
      <c r="B9246" s="1">
        <v>45790</v>
      </c>
      <c r="C9246" t="s">
        <v>12</v>
      </c>
      <c r="D9246" s="2">
        <v>0</v>
      </c>
      <c r="E9246" s="2">
        <v>154.87</v>
      </c>
      <c r="F9246" t="s">
        <v>16</v>
      </c>
      <c r="G9246" t="s">
        <v>17</v>
      </c>
    </row>
    <row r="9247" spans="1:7" x14ac:dyDescent="0.35">
      <c r="A9247">
        <v>3669</v>
      </c>
      <c r="B9247" s="1">
        <v>45790</v>
      </c>
      <c r="C9247" t="s">
        <v>24</v>
      </c>
      <c r="D9247" s="2">
        <v>457.51</v>
      </c>
      <c r="E9247" s="2">
        <v>0</v>
      </c>
      <c r="F9247" t="s">
        <v>8</v>
      </c>
      <c r="G9247" t="s">
        <v>9</v>
      </c>
    </row>
    <row r="9248" spans="1:7" x14ac:dyDescent="0.35">
      <c r="A9248">
        <v>3669</v>
      </c>
      <c r="B9248" s="1">
        <v>45790</v>
      </c>
      <c r="C9248" t="s">
        <v>24</v>
      </c>
      <c r="D9248" s="2">
        <v>0</v>
      </c>
      <c r="E9248" s="2">
        <v>457.51</v>
      </c>
      <c r="F9248" t="s">
        <v>13</v>
      </c>
      <c r="G9248" t="s">
        <v>9</v>
      </c>
    </row>
    <row r="9249" spans="1:7" x14ac:dyDescent="0.35">
      <c r="A9249">
        <v>3670</v>
      </c>
      <c r="B9249" s="1">
        <v>45790</v>
      </c>
      <c r="C9249" t="s">
        <v>24</v>
      </c>
      <c r="D9249" s="2">
        <v>257.19</v>
      </c>
      <c r="E9249" s="2">
        <v>0</v>
      </c>
      <c r="F9249" t="s">
        <v>8</v>
      </c>
      <c r="G9249" t="s">
        <v>9</v>
      </c>
    </row>
    <row r="9250" spans="1:7" x14ac:dyDescent="0.35">
      <c r="A9250">
        <v>3670</v>
      </c>
      <c r="B9250" s="1">
        <v>45790</v>
      </c>
      <c r="C9250" t="s">
        <v>24</v>
      </c>
      <c r="D9250" s="2">
        <v>0</v>
      </c>
      <c r="E9250" s="2">
        <v>257.19</v>
      </c>
      <c r="F9250" t="s">
        <v>13</v>
      </c>
      <c r="G9250" t="s">
        <v>9</v>
      </c>
    </row>
    <row r="9251" spans="1:7" x14ac:dyDescent="0.35">
      <c r="A9251">
        <v>3671</v>
      </c>
      <c r="B9251" s="1">
        <v>45790</v>
      </c>
      <c r="C9251" t="s">
        <v>24</v>
      </c>
      <c r="D9251" s="2">
        <v>1155.9100000000001</v>
      </c>
      <c r="E9251" s="2">
        <v>0</v>
      </c>
      <c r="F9251" t="s">
        <v>8</v>
      </c>
      <c r="G9251" t="s">
        <v>9</v>
      </c>
    </row>
    <row r="9252" spans="1:7" x14ac:dyDescent="0.35">
      <c r="A9252">
        <v>3671</v>
      </c>
      <c r="B9252" s="1">
        <v>45790</v>
      </c>
      <c r="C9252" t="s">
        <v>24</v>
      </c>
      <c r="D9252" s="2">
        <v>0</v>
      </c>
      <c r="E9252" s="2">
        <v>1155.9100000000001</v>
      </c>
      <c r="F9252" t="s">
        <v>13</v>
      </c>
      <c r="G9252" t="s">
        <v>9</v>
      </c>
    </row>
    <row r="9253" spans="1:7" x14ac:dyDescent="0.35">
      <c r="A9253">
        <v>3672</v>
      </c>
      <c r="B9253" s="1">
        <v>45790</v>
      </c>
      <c r="C9253" t="s">
        <v>24</v>
      </c>
      <c r="D9253" s="2">
        <v>1488.92</v>
      </c>
      <c r="E9253" s="2">
        <v>0</v>
      </c>
      <c r="F9253" t="s">
        <v>8</v>
      </c>
      <c r="G9253" t="s">
        <v>9</v>
      </c>
    </row>
    <row r="9254" spans="1:7" x14ac:dyDescent="0.35">
      <c r="A9254">
        <v>3672</v>
      </c>
      <c r="B9254" s="1">
        <v>45790</v>
      </c>
      <c r="C9254" t="s">
        <v>24</v>
      </c>
      <c r="D9254" s="2">
        <v>0</v>
      </c>
      <c r="E9254" s="2">
        <v>1488.92</v>
      </c>
      <c r="F9254" t="s">
        <v>13</v>
      </c>
      <c r="G9254" t="s">
        <v>9</v>
      </c>
    </row>
    <row r="9255" spans="1:7" x14ac:dyDescent="0.35">
      <c r="A9255">
        <v>3673</v>
      </c>
      <c r="B9255" s="1">
        <v>45790</v>
      </c>
      <c r="C9255" t="s">
        <v>24</v>
      </c>
      <c r="D9255" s="2">
        <v>2681.29</v>
      </c>
      <c r="E9255" s="2">
        <v>0</v>
      </c>
      <c r="F9255" t="s">
        <v>8</v>
      </c>
      <c r="G9255" t="s">
        <v>9</v>
      </c>
    </row>
    <row r="9256" spans="1:7" x14ac:dyDescent="0.35">
      <c r="A9256">
        <v>3673</v>
      </c>
      <c r="B9256" s="1">
        <v>45790</v>
      </c>
      <c r="C9256" t="s">
        <v>24</v>
      </c>
      <c r="D9256" s="2">
        <v>0</v>
      </c>
      <c r="E9256" s="2">
        <v>2681.29</v>
      </c>
      <c r="F9256" t="s">
        <v>13</v>
      </c>
      <c r="G9256" t="s">
        <v>9</v>
      </c>
    </row>
    <row r="9257" spans="1:7" x14ac:dyDescent="0.35">
      <c r="A9257">
        <v>3674</v>
      </c>
      <c r="B9257" s="1">
        <v>45790</v>
      </c>
      <c r="C9257" t="s">
        <v>24</v>
      </c>
      <c r="D9257" s="2">
        <v>2075</v>
      </c>
      <c r="E9257" s="2">
        <v>0</v>
      </c>
      <c r="F9257" t="s">
        <v>8</v>
      </c>
      <c r="G9257" t="s">
        <v>9</v>
      </c>
    </row>
    <row r="9258" spans="1:7" x14ac:dyDescent="0.35">
      <c r="A9258">
        <v>3674</v>
      </c>
      <c r="B9258" s="1">
        <v>45790</v>
      </c>
      <c r="C9258" t="s">
        <v>24</v>
      </c>
      <c r="D9258" s="2">
        <v>0</v>
      </c>
      <c r="E9258" s="2">
        <v>2075</v>
      </c>
      <c r="F9258" t="s">
        <v>13</v>
      </c>
      <c r="G9258" t="s">
        <v>9</v>
      </c>
    </row>
    <row r="9259" spans="1:7" x14ac:dyDescent="0.35">
      <c r="A9259">
        <v>3675</v>
      </c>
      <c r="B9259" s="1">
        <v>45790</v>
      </c>
      <c r="C9259" t="s">
        <v>25</v>
      </c>
      <c r="D9259" s="2">
        <v>3282.76</v>
      </c>
      <c r="E9259" s="2">
        <v>0</v>
      </c>
      <c r="F9259" t="s">
        <v>26</v>
      </c>
      <c r="G9259" t="s">
        <v>20</v>
      </c>
    </row>
    <row r="9260" spans="1:7" x14ac:dyDescent="0.35">
      <c r="A9260">
        <v>3675</v>
      </c>
      <c r="B9260" s="1">
        <v>45790</v>
      </c>
      <c r="C9260" t="s">
        <v>25</v>
      </c>
      <c r="D9260" s="2">
        <v>246.21</v>
      </c>
      <c r="E9260" s="2">
        <v>0</v>
      </c>
      <c r="F9260" t="s">
        <v>27</v>
      </c>
      <c r="G9260" t="s">
        <v>9</v>
      </c>
    </row>
    <row r="9261" spans="1:7" x14ac:dyDescent="0.35">
      <c r="A9261">
        <v>3675</v>
      </c>
      <c r="B9261" s="1">
        <v>45790</v>
      </c>
      <c r="C9261" t="s">
        <v>25</v>
      </c>
      <c r="D9261" s="2">
        <v>0</v>
      </c>
      <c r="E9261" s="2">
        <v>3528.97</v>
      </c>
      <c r="F9261" t="s">
        <v>28</v>
      </c>
      <c r="G9261" t="s">
        <v>17</v>
      </c>
    </row>
    <row r="9262" spans="1:7" x14ac:dyDescent="0.35">
      <c r="A9262">
        <v>3676</v>
      </c>
      <c r="B9262" s="1">
        <v>45790</v>
      </c>
      <c r="C9262" t="s">
        <v>29</v>
      </c>
      <c r="D9262" s="2">
        <v>3868.8</v>
      </c>
      <c r="E9262" s="2">
        <v>0</v>
      </c>
      <c r="F9262" t="s">
        <v>28</v>
      </c>
      <c r="G9262" t="s">
        <v>17</v>
      </c>
    </row>
    <row r="9263" spans="1:7" x14ac:dyDescent="0.35">
      <c r="A9263">
        <v>3676</v>
      </c>
      <c r="B9263" s="1">
        <v>45790</v>
      </c>
      <c r="C9263" t="s">
        <v>29</v>
      </c>
      <c r="D9263" s="2">
        <v>0</v>
      </c>
      <c r="E9263" s="2">
        <v>3868.8</v>
      </c>
      <c r="F9263" t="s">
        <v>8</v>
      </c>
      <c r="G9263" t="s">
        <v>9</v>
      </c>
    </row>
    <row r="9264" spans="1:7" x14ac:dyDescent="0.35">
      <c r="A9264">
        <v>3677</v>
      </c>
      <c r="B9264" s="1">
        <v>45791</v>
      </c>
      <c r="C9264" t="s">
        <v>12</v>
      </c>
      <c r="D9264" s="2">
        <v>3667.34</v>
      </c>
      <c r="E9264" s="2">
        <v>0</v>
      </c>
      <c r="F9264" t="s">
        <v>13</v>
      </c>
      <c r="G9264" t="s">
        <v>9</v>
      </c>
    </row>
    <row r="9265" spans="1:7" x14ac:dyDescent="0.35">
      <c r="A9265">
        <v>3677</v>
      </c>
      <c r="B9265" s="1">
        <v>45791</v>
      </c>
      <c r="C9265" t="s">
        <v>12</v>
      </c>
      <c r="D9265" s="2">
        <v>0</v>
      </c>
      <c r="E9265" s="2">
        <v>3411.48</v>
      </c>
      <c r="F9265" t="s">
        <v>14</v>
      </c>
      <c r="G9265" t="s">
        <v>15</v>
      </c>
    </row>
    <row r="9266" spans="1:7" x14ac:dyDescent="0.35">
      <c r="A9266">
        <v>3677</v>
      </c>
      <c r="B9266" s="1">
        <v>45791</v>
      </c>
      <c r="C9266" t="s">
        <v>12</v>
      </c>
      <c r="D9266" s="2">
        <v>0</v>
      </c>
      <c r="E9266" s="2">
        <v>255.86</v>
      </c>
      <c r="F9266" t="s">
        <v>16</v>
      </c>
      <c r="G9266" t="s">
        <v>17</v>
      </c>
    </row>
    <row r="9267" spans="1:7" x14ac:dyDescent="0.35">
      <c r="A9267">
        <v>3678</v>
      </c>
      <c r="B9267" s="1">
        <v>45791</v>
      </c>
      <c r="C9267" t="s">
        <v>12</v>
      </c>
      <c r="D9267" s="2">
        <v>5591.56</v>
      </c>
      <c r="E9267" s="2">
        <v>0</v>
      </c>
      <c r="F9267" t="s">
        <v>13</v>
      </c>
      <c r="G9267" t="s">
        <v>9</v>
      </c>
    </row>
    <row r="9268" spans="1:7" x14ac:dyDescent="0.35">
      <c r="A9268">
        <v>3678</v>
      </c>
      <c r="B9268" s="1">
        <v>45791</v>
      </c>
      <c r="C9268" t="s">
        <v>12</v>
      </c>
      <c r="D9268" s="2">
        <v>0</v>
      </c>
      <c r="E9268" s="2">
        <v>5201.45</v>
      </c>
      <c r="F9268" t="s">
        <v>14</v>
      </c>
      <c r="G9268" t="s">
        <v>15</v>
      </c>
    </row>
    <row r="9269" spans="1:7" x14ac:dyDescent="0.35">
      <c r="A9269">
        <v>3678</v>
      </c>
      <c r="B9269" s="1">
        <v>45791</v>
      </c>
      <c r="C9269" t="s">
        <v>12</v>
      </c>
      <c r="D9269" s="2">
        <v>0</v>
      </c>
      <c r="E9269" s="2">
        <v>390.11</v>
      </c>
      <c r="F9269" t="s">
        <v>16</v>
      </c>
      <c r="G9269" t="s">
        <v>17</v>
      </c>
    </row>
    <row r="9270" spans="1:7" x14ac:dyDescent="0.35">
      <c r="A9270">
        <v>3679</v>
      </c>
      <c r="B9270" s="1">
        <v>45791</v>
      </c>
      <c r="C9270" t="s">
        <v>12</v>
      </c>
      <c r="D9270" s="2">
        <v>2046.58</v>
      </c>
      <c r="E9270" s="2">
        <v>0</v>
      </c>
      <c r="F9270" t="s">
        <v>13</v>
      </c>
      <c r="G9270" t="s">
        <v>9</v>
      </c>
    </row>
    <row r="9271" spans="1:7" x14ac:dyDescent="0.35">
      <c r="A9271">
        <v>3679</v>
      </c>
      <c r="B9271" s="1">
        <v>45791</v>
      </c>
      <c r="C9271" t="s">
        <v>12</v>
      </c>
      <c r="D9271" s="2">
        <v>0</v>
      </c>
      <c r="E9271" s="2">
        <v>1903.8</v>
      </c>
      <c r="F9271" t="s">
        <v>14</v>
      </c>
      <c r="G9271" t="s">
        <v>15</v>
      </c>
    </row>
    <row r="9272" spans="1:7" x14ac:dyDescent="0.35">
      <c r="A9272">
        <v>3679</v>
      </c>
      <c r="B9272" s="1">
        <v>45791</v>
      </c>
      <c r="C9272" t="s">
        <v>12</v>
      </c>
      <c r="D9272" s="2">
        <v>0</v>
      </c>
      <c r="E9272" s="2">
        <v>142.78</v>
      </c>
      <c r="F9272" t="s">
        <v>16</v>
      </c>
      <c r="G9272" t="s">
        <v>17</v>
      </c>
    </row>
    <row r="9273" spans="1:7" x14ac:dyDescent="0.35">
      <c r="A9273">
        <v>3680</v>
      </c>
      <c r="B9273" s="1">
        <v>45791</v>
      </c>
      <c r="C9273" t="s">
        <v>12</v>
      </c>
      <c r="D9273" s="2">
        <v>1774.86</v>
      </c>
      <c r="E9273" s="2">
        <v>0</v>
      </c>
      <c r="F9273" t="s">
        <v>13</v>
      </c>
      <c r="G9273" t="s">
        <v>9</v>
      </c>
    </row>
    <row r="9274" spans="1:7" x14ac:dyDescent="0.35">
      <c r="A9274">
        <v>3680</v>
      </c>
      <c r="B9274" s="1">
        <v>45791</v>
      </c>
      <c r="C9274" t="s">
        <v>12</v>
      </c>
      <c r="D9274" s="2">
        <v>0</v>
      </c>
      <c r="E9274" s="2">
        <v>1651.04</v>
      </c>
      <c r="F9274" t="s">
        <v>14</v>
      </c>
      <c r="G9274" t="s">
        <v>15</v>
      </c>
    </row>
    <row r="9275" spans="1:7" x14ac:dyDescent="0.35">
      <c r="A9275">
        <v>3680</v>
      </c>
      <c r="B9275" s="1">
        <v>45791</v>
      </c>
      <c r="C9275" t="s">
        <v>12</v>
      </c>
      <c r="D9275" s="2">
        <v>0</v>
      </c>
      <c r="E9275" s="2">
        <v>123.82</v>
      </c>
      <c r="F9275" t="s">
        <v>16</v>
      </c>
      <c r="G9275" t="s">
        <v>17</v>
      </c>
    </row>
    <row r="9276" spans="1:7" x14ac:dyDescent="0.35">
      <c r="A9276">
        <v>3681</v>
      </c>
      <c r="B9276" s="1">
        <v>45791</v>
      </c>
      <c r="C9276" t="s">
        <v>12</v>
      </c>
      <c r="D9276" s="2">
        <v>3259.51</v>
      </c>
      <c r="E9276" s="2">
        <v>0</v>
      </c>
      <c r="F9276" t="s">
        <v>13</v>
      </c>
      <c r="G9276" t="s">
        <v>9</v>
      </c>
    </row>
    <row r="9277" spans="1:7" x14ac:dyDescent="0.35">
      <c r="A9277">
        <v>3681</v>
      </c>
      <c r="B9277" s="1">
        <v>45791</v>
      </c>
      <c r="C9277" t="s">
        <v>12</v>
      </c>
      <c r="D9277" s="2">
        <v>0</v>
      </c>
      <c r="E9277" s="2">
        <v>3032.1</v>
      </c>
      <c r="F9277" t="s">
        <v>14</v>
      </c>
      <c r="G9277" t="s">
        <v>15</v>
      </c>
    </row>
    <row r="9278" spans="1:7" x14ac:dyDescent="0.35">
      <c r="A9278">
        <v>3681</v>
      </c>
      <c r="B9278" s="1">
        <v>45791</v>
      </c>
      <c r="C9278" t="s">
        <v>12</v>
      </c>
      <c r="D9278" s="2">
        <v>0</v>
      </c>
      <c r="E9278" s="2">
        <v>227.41</v>
      </c>
      <c r="F9278" t="s">
        <v>16</v>
      </c>
      <c r="G9278" t="s">
        <v>17</v>
      </c>
    </row>
    <row r="9279" spans="1:7" x14ac:dyDescent="0.35">
      <c r="A9279">
        <v>3682</v>
      </c>
      <c r="B9279" s="1">
        <v>45791</v>
      </c>
      <c r="C9279" t="s">
        <v>12</v>
      </c>
      <c r="D9279" s="2">
        <v>4822.54</v>
      </c>
      <c r="E9279" s="2">
        <v>0</v>
      </c>
      <c r="F9279" t="s">
        <v>13</v>
      </c>
      <c r="G9279" t="s">
        <v>9</v>
      </c>
    </row>
    <row r="9280" spans="1:7" x14ac:dyDescent="0.35">
      <c r="A9280">
        <v>3682</v>
      </c>
      <c r="B9280" s="1">
        <v>45791</v>
      </c>
      <c r="C9280" t="s">
        <v>12</v>
      </c>
      <c r="D9280" s="2">
        <v>0</v>
      </c>
      <c r="E9280" s="2">
        <v>4486.08</v>
      </c>
      <c r="F9280" t="s">
        <v>14</v>
      </c>
      <c r="G9280" t="s">
        <v>15</v>
      </c>
    </row>
    <row r="9281" spans="1:7" x14ac:dyDescent="0.35">
      <c r="A9281">
        <v>3682</v>
      </c>
      <c r="B9281" s="1">
        <v>45791</v>
      </c>
      <c r="C9281" t="s">
        <v>12</v>
      </c>
      <c r="D9281" s="2">
        <v>0</v>
      </c>
      <c r="E9281" s="2">
        <v>336.46</v>
      </c>
      <c r="F9281" t="s">
        <v>16</v>
      </c>
      <c r="G9281" t="s">
        <v>17</v>
      </c>
    </row>
    <row r="9282" spans="1:7" x14ac:dyDescent="0.35">
      <c r="A9282">
        <v>3683</v>
      </c>
      <c r="B9282" s="1">
        <v>45791</v>
      </c>
      <c r="C9282" t="s">
        <v>12</v>
      </c>
      <c r="D9282" s="2">
        <v>3669.58</v>
      </c>
      <c r="E9282" s="2">
        <v>0</v>
      </c>
      <c r="F9282" t="s">
        <v>13</v>
      </c>
      <c r="G9282" t="s">
        <v>9</v>
      </c>
    </row>
    <row r="9283" spans="1:7" x14ac:dyDescent="0.35">
      <c r="A9283">
        <v>3683</v>
      </c>
      <c r="B9283" s="1">
        <v>45791</v>
      </c>
      <c r="C9283" t="s">
        <v>12</v>
      </c>
      <c r="D9283" s="2">
        <v>0</v>
      </c>
      <c r="E9283" s="2">
        <v>3413.56</v>
      </c>
      <c r="F9283" t="s">
        <v>14</v>
      </c>
      <c r="G9283" t="s">
        <v>15</v>
      </c>
    </row>
    <row r="9284" spans="1:7" x14ac:dyDescent="0.35">
      <c r="A9284">
        <v>3683</v>
      </c>
      <c r="B9284" s="1">
        <v>45791</v>
      </c>
      <c r="C9284" t="s">
        <v>12</v>
      </c>
      <c r="D9284" s="2">
        <v>0</v>
      </c>
      <c r="E9284" s="2">
        <v>256.02</v>
      </c>
      <c r="F9284" t="s">
        <v>16</v>
      </c>
      <c r="G9284" t="s">
        <v>17</v>
      </c>
    </row>
    <row r="9285" spans="1:7" x14ac:dyDescent="0.35">
      <c r="A9285">
        <v>3684</v>
      </c>
      <c r="B9285" s="1">
        <v>45791</v>
      </c>
      <c r="C9285" t="s">
        <v>24</v>
      </c>
      <c r="D9285" s="2">
        <v>4224.96</v>
      </c>
      <c r="E9285" s="2">
        <v>0</v>
      </c>
      <c r="F9285" t="s">
        <v>8</v>
      </c>
      <c r="G9285" t="s">
        <v>9</v>
      </c>
    </row>
    <row r="9286" spans="1:7" x14ac:dyDescent="0.35">
      <c r="A9286">
        <v>3684</v>
      </c>
      <c r="B9286" s="1">
        <v>45791</v>
      </c>
      <c r="C9286" t="s">
        <v>24</v>
      </c>
      <c r="D9286" s="2">
        <v>0</v>
      </c>
      <c r="E9286" s="2">
        <v>4224.96</v>
      </c>
      <c r="F9286" t="s">
        <v>13</v>
      </c>
      <c r="G9286" t="s">
        <v>9</v>
      </c>
    </row>
    <row r="9287" spans="1:7" x14ac:dyDescent="0.35">
      <c r="A9287">
        <v>3685</v>
      </c>
      <c r="B9287" s="1">
        <v>45791</v>
      </c>
      <c r="C9287" t="s">
        <v>24</v>
      </c>
      <c r="D9287" s="2">
        <v>1870.47</v>
      </c>
      <c r="E9287" s="2">
        <v>0</v>
      </c>
      <c r="F9287" t="s">
        <v>8</v>
      </c>
      <c r="G9287" t="s">
        <v>9</v>
      </c>
    </row>
    <row r="9288" spans="1:7" x14ac:dyDescent="0.35">
      <c r="A9288">
        <v>3685</v>
      </c>
      <c r="B9288" s="1">
        <v>45791</v>
      </c>
      <c r="C9288" t="s">
        <v>24</v>
      </c>
      <c r="D9288" s="2">
        <v>0</v>
      </c>
      <c r="E9288" s="2">
        <v>1870.47</v>
      </c>
      <c r="F9288" t="s">
        <v>13</v>
      </c>
      <c r="G9288" t="s">
        <v>9</v>
      </c>
    </row>
    <row r="9289" spans="1:7" x14ac:dyDescent="0.35">
      <c r="A9289">
        <v>3686</v>
      </c>
      <c r="B9289" s="1">
        <v>45791</v>
      </c>
      <c r="C9289" t="s">
        <v>24</v>
      </c>
      <c r="D9289" s="2">
        <v>6062.91</v>
      </c>
      <c r="E9289" s="2">
        <v>0</v>
      </c>
      <c r="F9289" t="s">
        <v>8</v>
      </c>
      <c r="G9289" t="s">
        <v>9</v>
      </c>
    </row>
    <row r="9290" spans="1:7" x14ac:dyDescent="0.35">
      <c r="A9290">
        <v>3686</v>
      </c>
      <c r="B9290" s="1">
        <v>45791</v>
      </c>
      <c r="C9290" t="s">
        <v>24</v>
      </c>
      <c r="D9290" s="2">
        <v>0</v>
      </c>
      <c r="E9290" s="2">
        <v>6062.91</v>
      </c>
      <c r="F9290" t="s">
        <v>13</v>
      </c>
      <c r="G9290" t="s">
        <v>9</v>
      </c>
    </row>
    <row r="9291" spans="1:7" x14ac:dyDescent="0.35">
      <c r="A9291">
        <v>3687</v>
      </c>
      <c r="B9291" s="1">
        <v>45791</v>
      </c>
      <c r="C9291" t="s">
        <v>24</v>
      </c>
      <c r="D9291" s="2">
        <v>2699.24</v>
      </c>
      <c r="E9291" s="2">
        <v>0</v>
      </c>
      <c r="F9291" t="s">
        <v>8</v>
      </c>
      <c r="G9291" t="s">
        <v>9</v>
      </c>
    </row>
    <row r="9292" spans="1:7" x14ac:dyDescent="0.35">
      <c r="A9292">
        <v>3687</v>
      </c>
      <c r="B9292" s="1">
        <v>45791</v>
      </c>
      <c r="C9292" t="s">
        <v>24</v>
      </c>
      <c r="D9292" s="2">
        <v>0</v>
      </c>
      <c r="E9292" s="2">
        <v>2699.24</v>
      </c>
      <c r="F9292" t="s">
        <v>13</v>
      </c>
      <c r="G9292" t="s">
        <v>9</v>
      </c>
    </row>
    <row r="9293" spans="1:7" x14ac:dyDescent="0.35">
      <c r="A9293">
        <v>3688</v>
      </c>
      <c r="B9293" s="1">
        <v>45791</v>
      </c>
      <c r="C9293" t="s">
        <v>24</v>
      </c>
      <c r="D9293" s="2">
        <v>4584.08</v>
      </c>
      <c r="E9293" s="2">
        <v>0</v>
      </c>
      <c r="F9293" t="s">
        <v>8</v>
      </c>
      <c r="G9293" t="s">
        <v>9</v>
      </c>
    </row>
    <row r="9294" spans="1:7" x14ac:dyDescent="0.35">
      <c r="A9294">
        <v>3688</v>
      </c>
      <c r="B9294" s="1">
        <v>45791</v>
      </c>
      <c r="C9294" t="s">
        <v>24</v>
      </c>
      <c r="D9294" s="2">
        <v>0</v>
      </c>
      <c r="E9294" s="2">
        <v>4584.08</v>
      </c>
      <c r="F9294" t="s">
        <v>13</v>
      </c>
      <c r="G9294" t="s">
        <v>9</v>
      </c>
    </row>
    <row r="9295" spans="1:7" x14ac:dyDescent="0.35">
      <c r="A9295">
        <v>3689</v>
      </c>
      <c r="B9295" s="1">
        <v>45791</v>
      </c>
      <c r="C9295" t="s">
        <v>24</v>
      </c>
      <c r="D9295" s="2">
        <v>189.08</v>
      </c>
      <c r="E9295" s="2">
        <v>0</v>
      </c>
      <c r="F9295" t="s">
        <v>8</v>
      </c>
      <c r="G9295" t="s">
        <v>9</v>
      </c>
    </row>
    <row r="9296" spans="1:7" x14ac:dyDescent="0.35">
      <c r="A9296">
        <v>3689</v>
      </c>
      <c r="B9296" s="1">
        <v>45791</v>
      </c>
      <c r="C9296" t="s">
        <v>24</v>
      </c>
      <c r="D9296" s="2">
        <v>0</v>
      </c>
      <c r="E9296" s="2">
        <v>189.08</v>
      </c>
      <c r="F9296" t="s">
        <v>13</v>
      </c>
      <c r="G9296" t="s">
        <v>9</v>
      </c>
    </row>
    <row r="9297" spans="1:7" x14ac:dyDescent="0.35">
      <c r="A9297">
        <v>3690</v>
      </c>
      <c r="B9297" s="1">
        <v>45791</v>
      </c>
      <c r="C9297" t="s">
        <v>24</v>
      </c>
      <c r="D9297" s="2">
        <v>4062.05</v>
      </c>
      <c r="E9297" s="2">
        <v>0</v>
      </c>
      <c r="F9297" t="s">
        <v>8</v>
      </c>
      <c r="G9297" t="s">
        <v>9</v>
      </c>
    </row>
    <row r="9298" spans="1:7" x14ac:dyDescent="0.35">
      <c r="A9298">
        <v>3690</v>
      </c>
      <c r="B9298" s="1">
        <v>45791</v>
      </c>
      <c r="C9298" t="s">
        <v>24</v>
      </c>
      <c r="D9298" s="2">
        <v>0</v>
      </c>
      <c r="E9298" s="2">
        <v>4062.05</v>
      </c>
      <c r="F9298" t="s">
        <v>13</v>
      </c>
      <c r="G9298" t="s">
        <v>9</v>
      </c>
    </row>
    <row r="9299" spans="1:7" x14ac:dyDescent="0.35">
      <c r="A9299">
        <v>3691</v>
      </c>
      <c r="B9299" s="1">
        <v>45791</v>
      </c>
      <c r="C9299" t="s">
        <v>24</v>
      </c>
      <c r="D9299" s="2">
        <v>1742.66</v>
      </c>
      <c r="E9299" s="2">
        <v>0</v>
      </c>
      <c r="F9299" t="s">
        <v>8</v>
      </c>
      <c r="G9299" t="s">
        <v>9</v>
      </c>
    </row>
    <row r="9300" spans="1:7" x14ac:dyDescent="0.35">
      <c r="A9300">
        <v>3691</v>
      </c>
      <c r="B9300" s="1">
        <v>45791</v>
      </c>
      <c r="C9300" t="s">
        <v>24</v>
      </c>
      <c r="D9300" s="2">
        <v>0</v>
      </c>
      <c r="E9300" s="2">
        <v>1742.66</v>
      </c>
      <c r="F9300" t="s">
        <v>13</v>
      </c>
      <c r="G9300" t="s">
        <v>9</v>
      </c>
    </row>
    <row r="9301" spans="1:7" x14ac:dyDescent="0.35">
      <c r="A9301">
        <v>3692</v>
      </c>
      <c r="B9301" s="1">
        <v>45791</v>
      </c>
      <c r="C9301" t="s">
        <v>25</v>
      </c>
      <c r="D9301" s="2">
        <v>4476.71</v>
      </c>
      <c r="E9301" s="2">
        <v>0</v>
      </c>
      <c r="F9301" t="s">
        <v>26</v>
      </c>
      <c r="G9301" t="s">
        <v>20</v>
      </c>
    </row>
    <row r="9302" spans="1:7" x14ac:dyDescent="0.35">
      <c r="A9302">
        <v>3692</v>
      </c>
      <c r="B9302" s="1">
        <v>45791</v>
      </c>
      <c r="C9302" t="s">
        <v>25</v>
      </c>
      <c r="D9302" s="2">
        <v>335.75</v>
      </c>
      <c r="E9302" s="2">
        <v>0</v>
      </c>
      <c r="F9302" t="s">
        <v>27</v>
      </c>
      <c r="G9302" t="s">
        <v>9</v>
      </c>
    </row>
    <row r="9303" spans="1:7" x14ac:dyDescent="0.35">
      <c r="A9303">
        <v>3692</v>
      </c>
      <c r="B9303" s="1">
        <v>45791</v>
      </c>
      <c r="C9303" t="s">
        <v>25</v>
      </c>
      <c r="D9303" s="2">
        <v>0</v>
      </c>
      <c r="E9303" s="2">
        <v>4812.46</v>
      </c>
      <c r="F9303" t="s">
        <v>28</v>
      </c>
      <c r="G9303" t="s">
        <v>17</v>
      </c>
    </row>
    <row r="9304" spans="1:7" x14ac:dyDescent="0.35">
      <c r="A9304">
        <v>3693</v>
      </c>
      <c r="B9304" s="1">
        <v>45791</v>
      </c>
      <c r="C9304" t="s">
        <v>25</v>
      </c>
      <c r="D9304" s="2">
        <v>2451.5</v>
      </c>
      <c r="E9304" s="2">
        <v>0</v>
      </c>
      <c r="F9304" t="s">
        <v>26</v>
      </c>
      <c r="G9304" t="s">
        <v>20</v>
      </c>
    </row>
    <row r="9305" spans="1:7" x14ac:dyDescent="0.35">
      <c r="A9305">
        <v>3693</v>
      </c>
      <c r="B9305" s="1">
        <v>45791</v>
      </c>
      <c r="C9305" t="s">
        <v>25</v>
      </c>
      <c r="D9305" s="2">
        <v>183.86</v>
      </c>
      <c r="E9305" s="2">
        <v>0</v>
      </c>
      <c r="F9305" t="s">
        <v>27</v>
      </c>
      <c r="G9305" t="s">
        <v>9</v>
      </c>
    </row>
    <row r="9306" spans="1:7" x14ac:dyDescent="0.35">
      <c r="A9306">
        <v>3693</v>
      </c>
      <c r="B9306" s="1">
        <v>45791</v>
      </c>
      <c r="C9306" t="s">
        <v>25</v>
      </c>
      <c r="D9306" s="2">
        <v>0</v>
      </c>
      <c r="E9306" s="2">
        <v>2635.36</v>
      </c>
      <c r="F9306" t="s">
        <v>28</v>
      </c>
      <c r="G9306" t="s">
        <v>17</v>
      </c>
    </row>
    <row r="9307" spans="1:7" x14ac:dyDescent="0.35">
      <c r="A9307">
        <v>3694</v>
      </c>
      <c r="B9307" s="1">
        <v>45791</v>
      </c>
      <c r="C9307" t="s">
        <v>29</v>
      </c>
      <c r="D9307" s="2">
        <v>1159.8399999999999</v>
      </c>
      <c r="E9307" s="2">
        <v>0</v>
      </c>
      <c r="F9307" t="s">
        <v>28</v>
      </c>
      <c r="G9307" t="s">
        <v>17</v>
      </c>
    </row>
    <row r="9308" spans="1:7" x14ac:dyDescent="0.35">
      <c r="A9308">
        <v>3694</v>
      </c>
      <c r="B9308" s="1">
        <v>45791</v>
      </c>
      <c r="C9308" t="s">
        <v>29</v>
      </c>
      <c r="D9308" s="2">
        <v>0</v>
      </c>
      <c r="E9308" s="2">
        <v>1159.8399999999999</v>
      </c>
      <c r="F9308" t="s">
        <v>8</v>
      </c>
      <c r="G9308" t="s">
        <v>9</v>
      </c>
    </row>
    <row r="9309" spans="1:7" x14ac:dyDescent="0.35">
      <c r="A9309">
        <v>3695</v>
      </c>
      <c r="B9309" s="1">
        <v>45792</v>
      </c>
      <c r="C9309" t="s">
        <v>12</v>
      </c>
      <c r="D9309" s="2">
        <v>1177.19</v>
      </c>
      <c r="E9309" s="2">
        <v>0</v>
      </c>
      <c r="F9309" t="s">
        <v>13</v>
      </c>
      <c r="G9309" t="s">
        <v>9</v>
      </c>
    </row>
    <row r="9310" spans="1:7" x14ac:dyDescent="0.35">
      <c r="A9310">
        <v>3695</v>
      </c>
      <c r="B9310" s="1">
        <v>45792</v>
      </c>
      <c r="C9310" t="s">
        <v>12</v>
      </c>
      <c r="D9310" s="2">
        <v>0</v>
      </c>
      <c r="E9310" s="2">
        <v>1095.06</v>
      </c>
      <c r="F9310" t="s">
        <v>14</v>
      </c>
      <c r="G9310" t="s">
        <v>15</v>
      </c>
    </row>
    <row r="9311" spans="1:7" x14ac:dyDescent="0.35">
      <c r="A9311">
        <v>3695</v>
      </c>
      <c r="B9311" s="1">
        <v>45792</v>
      </c>
      <c r="C9311" t="s">
        <v>12</v>
      </c>
      <c r="D9311" s="2">
        <v>0</v>
      </c>
      <c r="E9311" s="2">
        <v>82.13</v>
      </c>
      <c r="F9311" t="s">
        <v>16</v>
      </c>
      <c r="G9311" t="s">
        <v>17</v>
      </c>
    </row>
    <row r="9312" spans="1:7" x14ac:dyDescent="0.35">
      <c r="A9312">
        <v>3696</v>
      </c>
      <c r="B9312" s="1">
        <v>45792</v>
      </c>
      <c r="C9312" t="s">
        <v>12</v>
      </c>
      <c r="D9312" s="2">
        <v>995.04</v>
      </c>
      <c r="E9312" s="2">
        <v>0</v>
      </c>
      <c r="F9312" t="s">
        <v>13</v>
      </c>
      <c r="G9312" t="s">
        <v>9</v>
      </c>
    </row>
    <row r="9313" spans="1:7" x14ac:dyDescent="0.35">
      <c r="A9313">
        <v>3696</v>
      </c>
      <c r="B9313" s="1">
        <v>45792</v>
      </c>
      <c r="C9313" t="s">
        <v>12</v>
      </c>
      <c r="D9313" s="2">
        <v>0</v>
      </c>
      <c r="E9313" s="2">
        <v>925.61</v>
      </c>
      <c r="F9313" t="s">
        <v>14</v>
      </c>
      <c r="G9313" t="s">
        <v>15</v>
      </c>
    </row>
    <row r="9314" spans="1:7" x14ac:dyDescent="0.35">
      <c r="A9314">
        <v>3696</v>
      </c>
      <c r="B9314" s="1">
        <v>45792</v>
      </c>
      <c r="C9314" t="s">
        <v>12</v>
      </c>
      <c r="D9314" s="2">
        <v>0</v>
      </c>
      <c r="E9314" s="2">
        <v>69.430000000000007</v>
      </c>
      <c r="F9314" t="s">
        <v>16</v>
      </c>
      <c r="G9314" t="s">
        <v>17</v>
      </c>
    </row>
    <row r="9315" spans="1:7" x14ac:dyDescent="0.35">
      <c r="A9315">
        <v>3697</v>
      </c>
      <c r="B9315" s="1">
        <v>45792</v>
      </c>
      <c r="C9315" t="s">
        <v>12</v>
      </c>
      <c r="D9315" s="2">
        <v>2249.0300000000002</v>
      </c>
      <c r="E9315" s="2">
        <v>0</v>
      </c>
      <c r="F9315" t="s">
        <v>13</v>
      </c>
      <c r="G9315" t="s">
        <v>9</v>
      </c>
    </row>
    <row r="9316" spans="1:7" x14ac:dyDescent="0.35">
      <c r="A9316">
        <v>3697</v>
      </c>
      <c r="B9316" s="1">
        <v>45792</v>
      </c>
      <c r="C9316" t="s">
        <v>12</v>
      </c>
      <c r="D9316" s="2">
        <v>0</v>
      </c>
      <c r="E9316" s="2">
        <v>2092.12</v>
      </c>
      <c r="F9316" t="s">
        <v>14</v>
      </c>
      <c r="G9316" t="s">
        <v>15</v>
      </c>
    </row>
    <row r="9317" spans="1:7" x14ac:dyDescent="0.35">
      <c r="A9317">
        <v>3697</v>
      </c>
      <c r="B9317" s="1">
        <v>45792</v>
      </c>
      <c r="C9317" t="s">
        <v>12</v>
      </c>
      <c r="D9317" s="2">
        <v>0</v>
      </c>
      <c r="E9317" s="2">
        <v>156.91</v>
      </c>
      <c r="F9317" t="s">
        <v>16</v>
      </c>
      <c r="G9317" t="s">
        <v>17</v>
      </c>
    </row>
    <row r="9318" spans="1:7" x14ac:dyDescent="0.35">
      <c r="A9318">
        <v>3698</v>
      </c>
      <c r="B9318" s="1">
        <v>45792</v>
      </c>
      <c r="C9318" t="s">
        <v>12</v>
      </c>
      <c r="D9318" s="2">
        <v>1829.99</v>
      </c>
      <c r="E9318" s="2">
        <v>0</v>
      </c>
      <c r="F9318" t="s">
        <v>13</v>
      </c>
      <c r="G9318" t="s">
        <v>9</v>
      </c>
    </row>
    <row r="9319" spans="1:7" x14ac:dyDescent="0.35">
      <c r="A9319">
        <v>3698</v>
      </c>
      <c r="B9319" s="1">
        <v>45792</v>
      </c>
      <c r="C9319" t="s">
        <v>12</v>
      </c>
      <c r="D9319" s="2">
        <v>0</v>
      </c>
      <c r="E9319" s="2">
        <v>1702.32</v>
      </c>
      <c r="F9319" t="s">
        <v>14</v>
      </c>
      <c r="G9319" t="s">
        <v>15</v>
      </c>
    </row>
    <row r="9320" spans="1:7" x14ac:dyDescent="0.35">
      <c r="A9320">
        <v>3698</v>
      </c>
      <c r="B9320" s="1">
        <v>45792</v>
      </c>
      <c r="C9320" t="s">
        <v>12</v>
      </c>
      <c r="D9320" s="2">
        <v>0</v>
      </c>
      <c r="E9320" s="2">
        <v>127.67</v>
      </c>
      <c r="F9320" t="s">
        <v>16</v>
      </c>
      <c r="G9320" t="s">
        <v>17</v>
      </c>
    </row>
    <row r="9321" spans="1:7" x14ac:dyDescent="0.35">
      <c r="A9321">
        <v>3699</v>
      </c>
      <c r="B9321" s="1">
        <v>45792</v>
      </c>
      <c r="C9321" t="s">
        <v>12</v>
      </c>
      <c r="D9321" s="2">
        <v>3677.31</v>
      </c>
      <c r="E9321" s="2">
        <v>0</v>
      </c>
      <c r="F9321" t="s">
        <v>13</v>
      </c>
      <c r="G9321" t="s">
        <v>9</v>
      </c>
    </row>
    <row r="9322" spans="1:7" x14ac:dyDescent="0.35">
      <c r="A9322">
        <v>3699</v>
      </c>
      <c r="B9322" s="1">
        <v>45792</v>
      </c>
      <c r="C9322" t="s">
        <v>12</v>
      </c>
      <c r="D9322" s="2">
        <v>0</v>
      </c>
      <c r="E9322" s="2">
        <v>3420.75</v>
      </c>
      <c r="F9322" t="s">
        <v>14</v>
      </c>
      <c r="G9322" t="s">
        <v>15</v>
      </c>
    </row>
    <row r="9323" spans="1:7" x14ac:dyDescent="0.35">
      <c r="A9323">
        <v>3699</v>
      </c>
      <c r="B9323" s="1">
        <v>45792</v>
      </c>
      <c r="C9323" t="s">
        <v>12</v>
      </c>
      <c r="D9323" s="2">
        <v>0</v>
      </c>
      <c r="E9323" s="2">
        <v>256.56</v>
      </c>
      <c r="F9323" t="s">
        <v>16</v>
      </c>
      <c r="G9323" t="s">
        <v>17</v>
      </c>
    </row>
    <row r="9324" spans="1:7" x14ac:dyDescent="0.35">
      <c r="A9324">
        <v>3700</v>
      </c>
      <c r="B9324" s="1">
        <v>45792</v>
      </c>
      <c r="C9324" t="s">
        <v>12</v>
      </c>
      <c r="D9324" s="2">
        <v>3381.38</v>
      </c>
      <c r="E9324" s="2">
        <v>0</v>
      </c>
      <c r="F9324" t="s">
        <v>13</v>
      </c>
      <c r="G9324" t="s">
        <v>9</v>
      </c>
    </row>
    <row r="9325" spans="1:7" x14ac:dyDescent="0.35">
      <c r="A9325">
        <v>3700</v>
      </c>
      <c r="B9325" s="1">
        <v>45792</v>
      </c>
      <c r="C9325" t="s">
        <v>12</v>
      </c>
      <c r="D9325" s="2">
        <v>0</v>
      </c>
      <c r="E9325" s="2">
        <v>3145.47</v>
      </c>
      <c r="F9325" t="s">
        <v>14</v>
      </c>
      <c r="G9325" t="s">
        <v>15</v>
      </c>
    </row>
    <row r="9326" spans="1:7" x14ac:dyDescent="0.35">
      <c r="A9326">
        <v>3700</v>
      </c>
      <c r="B9326" s="1">
        <v>45792</v>
      </c>
      <c r="C9326" t="s">
        <v>12</v>
      </c>
      <c r="D9326" s="2">
        <v>0</v>
      </c>
      <c r="E9326" s="2">
        <v>235.91</v>
      </c>
      <c r="F9326" t="s">
        <v>16</v>
      </c>
      <c r="G9326" t="s">
        <v>17</v>
      </c>
    </row>
    <row r="9327" spans="1:7" x14ac:dyDescent="0.35">
      <c r="A9327">
        <v>3701</v>
      </c>
      <c r="B9327" s="1">
        <v>45792</v>
      </c>
      <c r="C9327" t="s">
        <v>24</v>
      </c>
      <c r="D9327" s="2">
        <v>1920.17</v>
      </c>
      <c r="E9327" s="2">
        <v>0</v>
      </c>
      <c r="F9327" t="s">
        <v>8</v>
      </c>
      <c r="G9327" t="s">
        <v>9</v>
      </c>
    </row>
    <row r="9328" spans="1:7" x14ac:dyDescent="0.35">
      <c r="A9328">
        <v>3701</v>
      </c>
      <c r="B9328" s="1">
        <v>45792</v>
      </c>
      <c r="C9328" t="s">
        <v>24</v>
      </c>
      <c r="D9328" s="2">
        <v>0</v>
      </c>
      <c r="E9328" s="2">
        <v>1920.17</v>
      </c>
      <c r="F9328" t="s">
        <v>13</v>
      </c>
      <c r="G9328" t="s">
        <v>9</v>
      </c>
    </row>
    <row r="9329" spans="1:7" x14ac:dyDescent="0.35">
      <c r="A9329">
        <v>3702</v>
      </c>
      <c r="B9329" s="1">
        <v>45792</v>
      </c>
      <c r="C9329" t="s">
        <v>24</v>
      </c>
      <c r="D9329" s="2">
        <v>3351.61</v>
      </c>
      <c r="E9329" s="2">
        <v>0</v>
      </c>
      <c r="F9329" t="s">
        <v>8</v>
      </c>
      <c r="G9329" t="s">
        <v>9</v>
      </c>
    </row>
    <row r="9330" spans="1:7" x14ac:dyDescent="0.35">
      <c r="A9330">
        <v>3702</v>
      </c>
      <c r="B9330" s="1">
        <v>45792</v>
      </c>
      <c r="C9330" t="s">
        <v>24</v>
      </c>
      <c r="D9330" s="2">
        <v>0</v>
      </c>
      <c r="E9330" s="2">
        <v>3351.61</v>
      </c>
      <c r="F9330" t="s">
        <v>13</v>
      </c>
      <c r="G9330" t="s">
        <v>9</v>
      </c>
    </row>
    <row r="9331" spans="1:7" x14ac:dyDescent="0.35">
      <c r="A9331">
        <v>3703</v>
      </c>
      <c r="B9331" s="1">
        <v>45792</v>
      </c>
      <c r="C9331" t="s">
        <v>24</v>
      </c>
      <c r="D9331" s="2">
        <v>4822.54</v>
      </c>
      <c r="E9331" s="2">
        <v>0</v>
      </c>
      <c r="F9331" t="s">
        <v>8</v>
      </c>
      <c r="G9331" t="s">
        <v>9</v>
      </c>
    </row>
    <row r="9332" spans="1:7" x14ac:dyDescent="0.35">
      <c r="A9332">
        <v>3703</v>
      </c>
      <c r="B9332" s="1">
        <v>45792</v>
      </c>
      <c r="C9332" t="s">
        <v>24</v>
      </c>
      <c r="D9332" s="2">
        <v>0</v>
      </c>
      <c r="E9332" s="2">
        <v>4822.54</v>
      </c>
      <c r="F9332" t="s">
        <v>13</v>
      </c>
      <c r="G9332" t="s">
        <v>9</v>
      </c>
    </row>
    <row r="9333" spans="1:7" x14ac:dyDescent="0.35">
      <c r="A9333">
        <v>3704</v>
      </c>
      <c r="B9333" s="1">
        <v>45792</v>
      </c>
      <c r="C9333" t="s">
        <v>24</v>
      </c>
      <c r="D9333" s="2">
        <v>3677.31</v>
      </c>
      <c r="E9333" s="2">
        <v>0</v>
      </c>
      <c r="F9333" t="s">
        <v>8</v>
      </c>
      <c r="G9333" t="s">
        <v>9</v>
      </c>
    </row>
    <row r="9334" spans="1:7" x14ac:dyDescent="0.35">
      <c r="A9334">
        <v>3704</v>
      </c>
      <c r="B9334" s="1">
        <v>45792</v>
      </c>
      <c r="C9334" t="s">
        <v>24</v>
      </c>
      <c r="D9334" s="2">
        <v>0</v>
      </c>
      <c r="E9334" s="2">
        <v>3677.31</v>
      </c>
      <c r="F9334" t="s">
        <v>13</v>
      </c>
      <c r="G9334" t="s">
        <v>9</v>
      </c>
    </row>
    <row r="9335" spans="1:7" x14ac:dyDescent="0.35">
      <c r="A9335">
        <v>3705</v>
      </c>
      <c r="B9335" s="1">
        <v>45792</v>
      </c>
      <c r="C9335" t="s">
        <v>25</v>
      </c>
      <c r="D9335" s="2">
        <v>166.52</v>
      </c>
      <c r="E9335" s="2">
        <v>0</v>
      </c>
      <c r="F9335" t="s">
        <v>26</v>
      </c>
      <c r="G9335" t="s">
        <v>20</v>
      </c>
    </row>
    <row r="9336" spans="1:7" x14ac:dyDescent="0.35">
      <c r="A9336">
        <v>3705</v>
      </c>
      <c r="B9336" s="1">
        <v>45792</v>
      </c>
      <c r="C9336" t="s">
        <v>25</v>
      </c>
      <c r="D9336" s="2">
        <v>12.49</v>
      </c>
      <c r="E9336" s="2">
        <v>0</v>
      </c>
      <c r="F9336" t="s">
        <v>27</v>
      </c>
      <c r="G9336" t="s">
        <v>9</v>
      </c>
    </row>
    <row r="9337" spans="1:7" x14ac:dyDescent="0.35">
      <c r="A9337">
        <v>3705</v>
      </c>
      <c r="B9337" s="1">
        <v>45792</v>
      </c>
      <c r="C9337" t="s">
        <v>25</v>
      </c>
      <c r="D9337" s="2">
        <v>0</v>
      </c>
      <c r="E9337" s="2">
        <v>179.01</v>
      </c>
      <c r="F9337" t="s">
        <v>28</v>
      </c>
      <c r="G9337" t="s">
        <v>17</v>
      </c>
    </row>
    <row r="9338" spans="1:7" x14ac:dyDescent="0.35">
      <c r="A9338">
        <v>3706</v>
      </c>
      <c r="B9338" s="1">
        <v>45792</v>
      </c>
      <c r="C9338" t="s">
        <v>25</v>
      </c>
      <c r="D9338" s="2">
        <v>2030.15</v>
      </c>
      <c r="E9338" s="2">
        <v>0</v>
      </c>
      <c r="F9338" t="s">
        <v>26</v>
      </c>
      <c r="G9338" t="s">
        <v>20</v>
      </c>
    </row>
    <row r="9339" spans="1:7" x14ac:dyDescent="0.35">
      <c r="A9339">
        <v>3706</v>
      </c>
      <c r="B9339" s="1">
        <v>45792</v>
      </c>
      <c r="C9339" t="s">
        <v>25</v>
      </c>
      <c r="D9339" s="2">
        <v>152.26</v>
      </c>
      <c r="E9339" s="2">
        <v>0</v>
      </c>
      <c r="F9339" t="s">
        <v>27</v>
      </c>
      <c r="G9339" t="s">
        <v>9</v>
      </c>
    </row>
    <row r="9340" spans="1:7" x14ac:dyDescent="0.35">
      <c r="A9340">
        <v>3706</v>
      </c>
      <c r="B9340" s="1">
        <v>45792</v>
      </c>
      <c r="C9340" t="s">
        <v>25</v>
      </c>
      <c r="D9340" s="2">
        <v>0</v>
      </c>
      <c r="E9340" s="2">
        <v>2182.41</v>
      </c>
      <c r="F9340" t="s">
        <v>28</v>
      </c>
      <c r="G9340" t="s">
        <v>17</v>
      </c>
    </row>
    <row r="9341" spans="1:7" x14ac:dyDescent="0.35">
      <c r="A9341">
        <v>3707</v>
      </c>
      <c r="B9341" s="1">
        <v>45792</v>
      </c>
      <c r="C9341" t="s">
        <v>29</v>
      </c>
      <c r="D9341" s="2">
        <v>2093.2800000000002</v>
      </c>
      <c r="E9341" s="2">
        <v>0</v>
      </c>
      <c r="F9341" t="s">
        <v>28</v>
      </c>
      <c r="G9341" t="s">
        <v>17</v>
      </c>
    </row>
    <row r="9342" spans="1:7" x14ac:dyDescent="0.35">
      <c r="A9342">
        <v>3707</v>
      </c>
      <c r="B9342" s="1">
        <v>45792</v>
      </c>
      <c r="C9342" t="s">
        <v>29</v>
      </c>
      <c r="D9342" s="2">
        <v>0</v>
      </c>
      <c r="E9342" s="2">
        <v>2093.2800000000002</v>
      </c>
      <c r="F9342" t="s">
        <v>8</v>
      </c>
      <c r="G9342" t="s">
        <v>9</v>
      </c>
    </row>
    <row r="9343" spans="1:7" x14ac:dyDescent="0.35">
      <c r="A9343">
        <v>3708</v>
      </c>
      <c r="B9343" s="1">
        <v>45792</v>
      </c>
      <c r="C9343" t="s">
        <v>29</v>
      </c>
      <c r="D9343" s="2">
        <v>201.5</v>
      </c>
      <c r="E9343" s="2">
        <v>0</v>
      </c>
      <c r="F9343" t="s">
        <v>28</v>
      </c>
      <c r="G9343" t="s">
        <v>17</v>
      </c>
    </row>
    <row r="9344" spans="1:7" x14ac:dyDescent="0.35">
      <c r="A9344">
        <v>3708</v>
      </c>
      <c r="B9344" s="1">
        <v>45792</v>
      </c>
      <c r="C9344" t="s">
        <v>29</v>
      </c>
      <c r="D9344" s="2">
        <v>0</v>
      </c>
      <c r="E9344" s="2">
        <v>201.5</v>
      </c>
      <c r="F9344" t="s">
        <v>8</v>
      </c>
      <c r="G9344" t="s">
        <v>9</v>
      </c>
    </row>
    <row r="9345" spans="1:7" x14ac:dyDescent="0.35">
      <c r="A9345">
        <v>3709</v>
      </c>
      <c r="B9345" s="1">
        <v>45792</v>
      </c>
      <c r="C9345" t="s">
        <v>29</v>
      </c>
      <c r="D9345" s="2">
        <v>2182.41</v>
      </c>
      <c r="E9345" s="2">
        <v>0</v>
      </c>
      <c r="F9345" t="s">
        <v>28</v>
      </c>
      <c r="G9345" t="s">
        <v>17</v>
      </c>
    </row>
    <row r="9346" spans="1:7" x14ac:dyDescent="0.35">
      <c r="A9346">
        <v>3709</v>
      </c>
      <c r="B9346" s="1">
        <v>45792</v>
      </c>
      <c r="C9346" t="s">
        <v>29</v>
      </c>
      <c r="D9346" s="2">
        <v>0</v>
      </c>
      <c r="E9346" s="2">
        <v>2182.41</v>
      </c>
      <c r="F9346" t="s">
        <v>8</v>
      </c>
      <c r="G9346" t="s">
        <v>9</v>
      </c>
    </row>
    <row r="9347" spans="1:7" x14ac:dyDescent="0.35">
      <c r="A9347">
        <v>3710</v>
      </c>
      <c r="B9347" s="1">
        <v>45793</v>
      </c>
      <c r="C9347" t="s">
        <v>12</v>
      </c>
      <c r="D9347" s="2">
        <v>79.319999999999993</v>
      </c>
      <c r="E9347" s="2">
        <v>0</v>
      </c>
      <c r="F9347" t="s">
        <v>13</v>
      </c>
      <c r="G9347" t="s">
        <v>9</v>
      </c>
    </row>
    <row r="9348" spans="1:7" x14ac:dyDescent="0.35">
      <c r="A9348">
        <v>3710</v>
      </c>
      <c r="B9348" s="1">
        <v>45793</v>
      </c>
      <c r="C9348" t="s">
        <v>12</v>
      </c>
      <c r="D9348" s="2">
        <v>0</v>
      </c>
      <c r="E9348" s="2">
        <v>73.790000000000006</v>
      </c>
      <c r="F9348" t="s">
        <v>14</v>
      </c>
      <c r="G9348" t="s">
        <v>15</v>
      </c>
    </row>
    <row r="9349" spans="1:7" x14ac:dyDescent="0.35">
      <c r="A9349">
        <v>3710</v>
      </c>
      <c r="B9349" s="1">
        <v>45793</v>
      </c>
      <c r="C9349" t="s">
        <v>12</v>
      </c>
      <c r="D9349" s="2">
        <v>0</v>
      </c>
      <c r="E9349" s="2">
        <v>5.53</v>
      </c>
      <c r="F9349" t="s">
        <v>16</v>
      </c>
      <c r="G9349" t="s">
        <v>17</v>
      </c>
    </row>
    <row r="9350" spans="1:7" x14ac:dyDescent="0.35">
      <c r="A9350">
        <v>3711</v>
      </c>
      <c r="B9350" s="1">
        <v>45793</v>
      </c>
      <c r="C9350" t="s">
        <v>12</v>
      </c>
      <c r="D9350" s="2">
        <v>2804.8</v>
      </c>
      <c r="E9350" s="2">
        <v>0</v>
      </c>
      <c r="F9350" t="s">
        <v>13</v>
      </c>
      <c r="G9350" t="s">
        <v>9</v>
      </c>
    </row>
    <row r="9351" spans="1:7" x14ac:dyDescent="0.35">
      <c r="A9351">
        <v>3711</v>
      </c>
      <c r="B9351" s="1">
        <v>45793</v>
      </c>
      <c r="C9351" t="s">
        <v>12</v>
      </c>
      <c r="D9351" s="2">
        <v>0</v>
      </c>
      <c r="E9351" s="2">
        <v>2609.12</v>
      </c>
      <c r="F9351" t="s">
        <v>14</v>
      </c>
      <c r="G9351" t="s">
        <v>15</v>
      </c>
    </row>
    <row r="9352" spans="1:7" x14ac:dyDescent="0.35">
      <c r="A9352">
        <v>3711</v>
      </c>
      <c r="B9352" s="1">
        <v>45793</v>
      </c>
      <c r="C9352" t="s">
        <v>12</v>
      </c>
      <c r="D9352" s="2">
        <v>0</v>
      </c>
      <c r="E9352" s="2">
        <v>195.68</v>
      </c>
      <c r="F9352" t="s">
        <v>16</v>
      </c>
      <c r="G9352" t="s">
        <v>17</v>
      </c>
    </row>
    <row r="9353" spans="1:7" x14ac:dyDescent="0.35">
      <c r="A9353">
        <v>3712</v>
      </c>
      <c r="B9353" s="1">
        <v>45793</v>
      </c>
      <c r="C9353" t="s">
        <v>12</v>
      </c>
      <c r="D9353" s="2">
        <v>3576.07</v>
      </c>
      <c r="E9353" s="2">
        <v>0</v>
      </c>
      <c r="F9353" t="s">
        <v>13</v>
      </c>
      <c r="G9353" t="s">
        <v>9</v>
      </c>
    </row>
    <row r="9354" spans="1:7" x14ac:dyDescent="0.35">
      <c r="A9354">
        <v>3712</v>
      </c>
      <c r="B9354" s="1">
        <v>45793</v>
      </c>
      <c r="C9354" t="s">
        <v>12</v>
      </c>
      <c r="D9354" s="2">
        <v>0</v>
      </c>
      <c r="E9354" s="2">
        <v>3326.58</v>
      </c>
      <c r="F9354" t="s">
        <v>14</v>
      </c>
      <c r="G9354" t="s">
        <v>15</v>
      </c>
    </row>
    <row r="9355" spans="1:7" x14ac:dyDescent="0.35">
      <c r="A9355">
        <v>3712</v>
      </c>
      <c r="B9355" s="1">
        <v>45793</v>
      </c>
      <c r="C9355" t="s">
        <v>12</v>
      </c>
      <c r="D9355" s="2">
        <v>0</v>
      </c>
      <c r="E9355" s="2">
        <v>249.49</v>
      </c>
      <c r="F9355" t="s">
        <v>16</v>
      </c>
      <c r="G9355" t="s">
        <v>17</v>
      </c>
    </row>
    <row r="9356" spans="1:7" x14ac:dyDescent="0.35">
      <c r="A9356">
        <v>3713</v>
      </c>
      <c r="B9356" s="1">
        <v>45793</v>
      </c>
      <c r="C9356" t="s">
        <v>12</v>
      </c>
      <c r="D9356" s="2">
        <v>4722.8999999999996</v>
      </c>
      <c r="E9356" s="2">
        <v>0</v>
      </c>
      <c r="F9356" t="s">
        <v>13</v>
      </c>
      <c r="G9356" t="s">
        <v>9</v>
      </c>
    </row>
    <row r="9357" spans="1:7" x14ac:dyDescent="0.35">
      <c r="A9357">
        <v>3713</v>
      </c>
      <c r="B9357" s="1">
        <v>45793</v>
      </c>
      <c r="C9357" t="s">
        <v>12</v>
      </c>
      <c r="D9357" s="2">
        <v>0</v>
      </c>
      <c r="E9357" s="2">
        <v>4393.3900000000003</v>
      </c>
      <c r="F9357" t="s">
        <v>14</v>
      </c>
      <c r="G9357" t="s">
        <v>15</v>
      </c>
    </row>
    <row r="9358" spans="1:7" x14ac:dyDescent="0.35">
      <c r="A9358">
        <v>3713</v>
      </c>
      <c r="B9358" s="1">
        <v>45793</v>
      </c>
      <c r="C9358" t="s">
        <v>12</v>
      </c>
      <c r="D9358" s="2">
        <v>0</v>
      </c>
      <c r="E9358" s="2">
        <v>329.51</v>
      </c>
      <c r="F9358" t="s">
        <v>16</v>
      </c>
      <c r="G9358" t="s">
        <v>17</v>
      </c>
    </row>
    <row r="9359" spans="1:7" x14ac:dyDescent="0.35">
      <c r="A9359">
        <v>3714</v>
      </c>
      <c r="B9359" s="1">
        <v>45793</v>
      </c>
      <c r="C9359" t="s">
        <v>12</v>
      </c>
      <c r="D9359" s="2">
        <v>676</v>
      </c>
      <c r="E9359" s="2">
        <v>0</v>
      </c>
      <c r="F9359" t="s">
        <v>13</v>
      </c>
      <c r="G9359" t="s">
        <v>9</v>
      </c>
    </row>
    <row r="9360" spans="1:7" x14ac:dyDescent="0.35">
      <c r="A9360">
        <v>3714</v>
      </c>
      <c r="B9360" s="1">
        <v>45793</v>
      </c>
      <c r="C9360" t="s">
        <v>12</v>
      </c>
      <c r="D9360" s="2">
        <v>0</v>
      </c>
      <c r="E9360" s="2">
        <v>628.84</v>
      </c>
      <c r="F9360" t="s">
        <v>14</v>
      </c>
      <c r="G9360" t="s">
        <v>15</v>
      </c>
    </row>
    <row r="9361" spans="1:7" x14ac:dyDescent="0.35">
      <c r="A9361">
        <v>3714</v>
      </c>
      <c r="B9361" s="1">
        <v>45793</v>
      </c>
      <c r="C9361" t="s">
        <v>12</v>
      </c>
      <c r="D9361" s="2">
        <v>0</v>
      </c>
      <c r="E9361" s="2">
        <v>47.16</v>
      </c>
      <c r="F9361" t="s">
        <v>16</v>
      </c>
      <c r="G9361" t="s">
        <v>17</v>
      </c>
    </row>
    <row r="9362" spans="1:7" x14ac:dyDescent="0.35">
      <c r="A9362">
        <v>3715</v>
      </c>
      <c r="B9362" s="1">
        <v>45793</v>
      </c>
      <c r="C9362" t="s">
        <v>12</v>
      </c>
      <c r="D9362" s="2">
        <v>375.22</v>
      </c>
      <c r="E9362" s="2">
        <v>0</v>
      </c>
      <c r="F9362" t="s">
        <v>13</v>
      </c>
      <c r="G9362" t="s">
        <v>9</v>
      </c>
    </row>
    <row r="9363" spans="1:7" x14ac:dyDescent="0.35">
      <c r="A9363">
        <v>3715</v>
      </c>
      <c r="B9363" s="1">
        <v>45793</v>
      </c>
      <c r="C9363" t="s">
        <v>12</v>
      </c>
      <c r="D9363" s="2">
        <v>0</v>
      </c>
      <c r="E9363" s="2">
        <v>349.04</v>
      </c>
      <c r="F9363" t="s">
        <v>14</v>
      </c>
      <c r="G9363" t="s">
        <v>15</v>
      </c>
    </row>
    <row r="9364" spans="1:7" x14ac:dyDescent="0.35">
      <c r="A9364">
        <v>3715</v>
      </c>
      <c r="B9364" s="1">
        <v>45793</v>
      </c>
      <c r="C9364" t="s">
        <v>12</v>
      </c>
      <c r="D9364" s="2">
        <v>0</v>
      </c>
      <c r="E9364" s="2">
        <v>26.18</v>
      </c>
      <c r="F9364" t="s">
        <v>16</v>
      </c>
      <c r="G9364" t="s">
        <v>17</v>
      </c>
    </row>
    <row r="9365" spans="1:7" x14ac:dyDescent="0.35">
      <c r="A9365">
        <v>3716</v>
      </c>
      <c r="B9365" s="1">
        <v>45793</v>
      </c>
      <c r="C9365" t="s">
        <v>12</v>
      </c>
      <c r="D9365" s="2">
        <v>8459.89</v>
      </c>
      <c r="E9365" s="2">
        <v>0</v>
      </c>
      <c r="F9365" t="s">
        <v>13</v>
      </c>
      <c r="G9365" t="s">
        <v>9</v>
      </c>
    </row>
    <row r="9366" spans="1:7" x14ac:dyDescent="0.35">
      <c r="A9366">
        <v>3716</v>
      </c>
      <c r="B9366" s="1">
        <v>45793</v>
      </c>
      <c r="C9366" t="s">
        <v>12</v>
      </c>
      <c r="D9366" s="2">
        <v>0</v>
      </c>
      <c r="E9366" s="2">
        <v>7869.66</v>
      </c>
      <c r="F9366" t="s">
        <v>14</v>
      </c>
      <c r="G9366" t="s">
        <v>15</v>
      </c>
    </row>
    <row r="9367" spans="1:7" x14ac:dyDescent="0.35">
      <c r="A9367">
        <v>3716</v>
      </c>
      <c r="B9367" s="1">
        <v>45793</v>
      </c>
      <c r="C9367" t="s">
        <v>12</v>
      </c>
      <c r="D9367" s="2">
        <v>0</v>
      </c>
      <c r="E9367" s="2">
        <v>590.23</v>
      </c>
      <c r="F9367" t="s">
        <v>16</v>
      </c>
      <c r="G9367" t="s">
        <v>17</v>
      </c>
    </row>
    <row r="9368" spans="1:7" x14ac:dyDescent="0.35">
      <c r="A9368">
        <v>3717</v>
      </c>
      <c r="B9368" s="1">
        <v>45793</v>
      </c>
      <c r="C9368" t="s">
        <v>12</v>
      </c>
      <c r="D9368" s="2">
        <v>2423.0100000000002</v>
      </c>
      <c r="E9368" s="2">
        <v>0</v>
      </c>
      <c r="F9368" t="s">
        <v>13</v>
      </c>
      <c r="G9368" t="s">
        <v>9</v>
      </c>
    </row>
    <row r="9369" spans="1:7" x14ac:dyDescent="0.35">
      <c r="A9369">
        <v>3717</v>
      </c>
      <c r="B9369" s="1">
        <v>45793</v>
      </c>
      <c r="C9369" t="s">
        <v>12</v>
      </c>
      <c r="D9369" s="2">
        <v>0</v>
      </c>
      <c r="E9369" s="2">
        <v>2253.96</v>
      </c>
      <c r="F9369" t="s">
        <v>14</v>
      </c>
      <c r="G9369" t="s">
        <v>15</v>
      </c>
    </row>
    <row r="9370" spans="1:7" x14ac:dyDescent="0.35">
      <c r="A9370">
        <v>3717</v>
      </c>
      <c r="B9370" s="1">
        <v>45793</v>
      </c>
      <c r="C9370" t="s">
        <v>12</v>
      </c>
      <c r="D9370" s="2">
        <v>0</v>
      </c>
      <c r="E9370" s="2">
        <v>169.05</v>
      </c>
      <c r="F9370" t="s">
        <v>16</v>
      </c>
      <c r="G9370" t="s">
        <v>17</v>
      </c>
    </row>
    <row r="9371" spans="1:7" x14ac:dyDescent="0.35">
      <c r="A9371">
        <v>3718</v>
      </c>
      <c r="B9371" s="1">
        <v>45793</v>
      </c>
      <c r="C9371" t="s">
        <v>24</v>
      </c>
      <c r="D9371" s="2">
        <v>3724.01</v>
      </c>
      <c r="E9371" s="2">
        <v>0</v>
      </c>
      <c r="F9371" t="s">
        <v>8</v>
      </c>
      <c r="G9371" t="s">
        <v>9</v>
      </c>
    </row>
    <row r="9372" spans="1:7" x14ac:dyDescent="0.35">
      <c r="A9372">
        <v>3718</v>
      </c>
      <c r="B9372" s="1">
        <v>45793</v>
      </c>
      <c r="C9372" t="s">
        <v>24</v>
      </c>
      <c r="D9372" s="2">
        <v>0</v>
      </c>
      <c r="E9372" s="2">
        <v>3724.01</v>
      </c>
      <c r="F9372" t="s">
        <v>13</v>
      </c>
      <c r="G9372" t="s">
        <v>9</v>
      </c>
    </row>
    <row r="9373" spans="1:7" x14ac:dyDescent="0.35">
      <c r="A9373">
        <v>3719</v>
      </c>
      <c r="B9373" s="1">
        <v>45793</v>
      </c>
      <c r="C9373" t="s">
        <v>24</v>
      </c>
      <c r="D9373" s="2">
        <v>1006.31</v>
      </c>
      <c r="E9373" s="2">
        <v>0</v>
      </c>
      <c r="F9373" t="s">
        <v>8</v>
      </c>
      <c r="G9373" t="s">
        <v>9</v>
      </c>
    </row>
    <row r="9374" spans="1:7" x14ac:dyDescent="0.35">
      <c r="A9374">
        <v>3719</v>
      </c>
      <c r="B9374" s="1">
        <v>45793</v>
      </c>
      <c r="C9374" t="s">
        <v>24</v>
      </c>
      <c r="D9374" s="2">
        <v>0</v>
      </c>
      <c r="E9374" s="2">
        <v>1006.31</v>
      </c>
      <c r="F9374" t="s">
        <v>13</v>
      </c>
      <c r="G9374" t="s">
        <v>9</v>
      </c>
    </row>
    <row r="9375" spans="1:7" x14ac:dyDescent="0.35">
      <c r="A9375">
        <v>3720</v>
      </c>
      <c r="B9375" s="1">
        <v>45793</v>
      </c>
      <c r="C9375" t="s">
        <v>24</v>
      </c>
      <c r="D9375" s="2">
        <v>1101.25</v>
      </c>
      <c r="E9375" s="2">
        <v>0</v>
      </c>
      <c r="F9375" t="s">
        <v>8</v>
      </c>
      <c r="G9375" t="s">
        <v>9</v>
      </c>
    </row>
    <row r="9376" spans="1:7" x14ac:dyDescent="0.35">
      <c r="A9376">
        <v>3720</v>
      </c>
      <c r="B9376" s="1">
        <v>45793</v>
      </c>
      <c r="C9376" t="s">
        <v>24</v>
      </c>
      <c r="D9376" s="2">
        <v>0</v>
      </c>
      <c r="E9376" s="2">
        <v>1101.25</v>
      </c>
      <c r="F9376" t="s">
        <v>13</v>
      </c>
      <c r="G9376" t="s">
        <v>9</v>
      </c>
    </row>
    <row r="9377" spans="1:7" x14ac:dyDescent="0.35">
      <c r="A9377">
        <v>3721</v>
      </c>
      <c r="B9377" s="1">
        <v>45793</v>
      </c>
      <c r="C9377" t="s">
        <v>29</v>
      </c>
      <c r="D9377" s="2">
        <v>2182.41</v>
      </c>
      <c r="E9377" s="2">
        <v>0</v>
      </c>
      <c r="F9377" t="s">
        <v>28</v>
      </c>
      <c r="G9377" t="s">
        <v>17</v>
      </c>
    </row>
    <row r="9378" spans="1:7" x14ac:dyDescent="0.35">
      <c r="A9378">
        <v>3721</v>
      </c>
      <c r="B9378" s="1">
        <v>45793</v>
      </c>
      <c r="C9378" t="s">
        <v>29</v>
      </c>
      <c r="D9378" s="2">
        <v>0</v>
      </c>
      <c r="E9378" s="2">
        <v>2182.41</v>
      </c>
      <c r="F9378" t="s">
        <v>8</v>
      </c>
      <c r="G9378" t="s">
        <v>9</v>
      </c>
    </row>
    <row r="9379" spans="1:7" x14ac:dyDescent="0.35">
      <c r="A9379">
        <v>3722</v>
      </c>
      <c r="B9379" s="1">
        <v>45793</v>
      </c>
      <c r="C9379" t="s">
        <v>29</v>
      </c>
      <c r="D9379" s="2">
        <v>412.54</v>
      </c>
      <c r="E9379" s="2">
        <v>0</v>
      </c>
      <c r="F9379" t="s">
        <v>28</v>
      </c>
      <c r="G9379" t="s">
        <v>17</v>
      </c>
    </row>
    <row r="9380" spans="1:7" x14ac:dyDescent="0.35">
      <c r="A9380">
        <v>3722</v>
      </c>
      <c r="B9380" s="1">
        <v>45793</v>
      </c>
      <c r="C9380" t="s">
        <v>29</v>
      </c>
      <c r="D9380" s="2">
        <v>0</v>
      </c>
      <c r="E9380" s="2">
        <v>412.54</v>
      </c>
      <c r="F9380" t="s">
        <v>8</v>
      </c>
      <c r="G9380" t="s">
        <v>9</v>
      </c>
    </row>
    <row r="9381" spans="1:7" x14ac:dyDescent="0.35">
      <c r="A9381">
        <v>3723</v>
      </c>
      <c r="B9381" s="1">
        <v>45793</v>
      </c>
      <c r="C9381" t="s">
        <v>29</v>
      </c>
      <c r="D9381" s="2">
        <v>1159.8399999999999</v>
      </c>
      <c r="E9381" s="2">
        <v>0</v>
      </c>
      <c r="F9381" t="s">
        <v>28</v>
      </c>
      <c r="G9381" t="s">
        <v>17</v>
      </c>
    </row>
    <row r="9382" spans="1:7" x14ac:dyDescent="0.35">
      <c r="A9382">
        <v>3723</v>
      </c>
      <c r="B9382" s="1">
        <v>45793</v>
      </c>
      <c r="C9382" t="s">
        <v>29</v>
      </c>
      <c r="D9382" s="2">
        <v>0</v>
      </c>
      <c r="E9382" s="2">
        <v>1159.8399999999999</v>
      </c>
      <c r="F9382" t="s">
        <v>8</v>
      </c>
      <c r="G9382" t="s">
        <v>9</v>
      </c>
    </row>
    <row r="9383" spans="1:7" x14ac:dyDescent="0.35">
      <c r="A9383">
        <v>3724</v>
      </c>
      <c r="B9383" s="1">
        <v>45793</v>
      </c>
      <c r="C9383" t="s">
        <v>29</v>
      </c>
      <c r="D9383" s="2">
        <v>862.91</v>
      </c>
      <c r="E9383" s="2">
        <v>0</v>
      </c>
      <c r="F9383" t="s">
        <v>28</v>
      </c>
      <c r="G9383" t="s">
        <v>17</v>
      </c>
    </row>
    <row r="9384" spans="1:7" x14ac:dyDescent="0.35">
      <c r="A9384">
        <v>3724</v>
      </c>
      <c r="B9384" s="1">
        <v>45793</v>
      </c>
      <c r="C9384" t="s">
        <v>29</v>
      </c>
      <c r="D9384" s="2">
        <v>0</v>
      </c>
      <c r="E9384" s="2">
        <v>862.91</v>
      </c>
      <c r="F9384" t="s">
        <v>8</v>
      </c>
      <c r="G9384" t="s">
        <v>9</v>
      </c>
    </row>
    <row r="9385" spans="1:7" x14ac:dyDescent="0.35">
      <c r="A9385">
        <v>3725</v>
      </c>
      <c r="B9385" s="1">
        <v>45796</v>
      </c>
      <c r="C9385" t="s">
        <v>12</v>
      </c>
      <c r="D9385" s="2">
        <v>2706.36</v>
      </c>
      <c r="E9385" s="2">
        <v>0</v>
      </c>
      <c r="F9385" t="s">
        <v>13</v>
      </c>
      <c r="G9385" t="s">
        <v>9</v>
      </c>
    </row>
    <row r="9386" spans="1:7" x14ac:dyDescent="0.35">
      <c r="A9386">
        <v>3725</v>
      </c>
      <c r="B9386" s="1">
        <v>45796</v>
      </c>
      <c r="C9386" t="s">
        <v>12</v>
      </c>
      <c r="D9386" s="2">
        <v>0</v>
      </c>
      <c r="E9386" s="2">
        <v>2517.5500000000002</v>
      </c>
      <c r="F9386" t="s">
        <v>14</v>
      </c>
      <c r="G9386" t="s">
        <v>15</v>
      </c>
    </row>
    <row r="9387" spans="1:7" x14ac:dyDescent="0.35">
      <c r="A9387">
        <v>3725</v>
      </c>
      <c r="B9387" s="1">
        <v>45796</v>
      </c>
      <c r="C9387" t="s">
        <v>12</v>
      </c>
      <c r="D9387" s="2">
        <v>0</v>
      </c>
      <c r="E9387" s="2">
        <v>188.81</v>
      </c>
      <c r="F9387" t="s">
        <v>16</v>
      </c>
      <c r="G9387" t="s">
        <v>17</v>
      </c>
    </row>
    <row r="9388" spans="1:7" x14ac:dyDescent="0.35">
      <c r="A9388">
        <v>3726</v>
      </c>
      <c r="B9388" s="1">
        <v>45796</v>
      </c>
      <c r="C9388" t="s">
        <v>12</v>
      </c>
      <c r="D9388" s="2">
        <v>1022.16</v>
      </c>
      <c r="E9388" s="2">
        <v>0</v>
      </c>
      <c r="F9388" t="s">
        <v>13</v>
      </c>
      <c r="G9388" t="s">
        <v>9</v>
      </c>
    </row>
    <row r="9389" spans="1:7" x14ac:dyDescent="0.35">
      <c r="A9389">
        <v>3726</v>
      </c>
      <c r="B9389" s="1">
        <v>45796</v>
      </c>
      <c r="C9389" t="s">
        <v>12</v>
      </c>
      <c r="D9389" s="2">
        <v>0</v>
      </c>
      <c r="E9389" s="2">
        <v>950.84</v>
      </c>
      <c r="F9389" t="s">
        <v>14</v>
      </c>
      <c r="G9389" t="s">
        <v>15</v>
      </c>
    </row>
    <row r="9390" spans="1:7" x14ac:dyDescent="0.35">
      <c r="A9390">
        <v>3726</v>
      </c>
      <c r="B9390" s="1">
        <v>45796</v>
      </c>
      <c r="C9390" t="s">
        <v>12</v>
      </c>
      <c r="D9390" s="2">
        <v>0</v>
      </c>
      <c r="E9390" s="2">
        <v>71.319999999999993</v>
      </c>
      <c r="F9390" t="s">
        <v>16</v>
      </c>
      <c r="G9390" t="s">
        <v>17</v>
      </c>
    </row>
    <row r="9391" spans="1:7" x14ac:dyDescent="0.35">
      <c r="A9391">
        <v>3727</v>
      </c>
      <c r="B9391" s="1">
        <v>45796</v>
      </c>
      <c r="C9391" t="s">
        <v>12</v>
      </c>
      <c r="D9391" s="2">
        <v>1893.77</v>
      </c>
      <c r="E9391" s="2">
        <v>0</v>
      </c>
      <c r="F9391" t="s">
        <v>13</v>
      </c>
      <c r="G9391" t="s">
        <v>9</v>
      </c>
    </row>
    <row r="9392" spans="1:7" x14ac:dyDescent="0.35">
      <c r="A9392">
        <v>3727</v>
      </c>
      <c r="B9392" s="1">
        <v>45796</v>
      </c>
      <c r="C9392" t="s">
        <v>12</v>
      </c>
      <c r="D9392" s="2">
        <v>0</v>
      </c>
      <c r="E9392" s="2">
        <v>1761.65</v>
      </c>
      <c r="F9392" t="s">
        <v>14</v>
      </c>
      <c r="G9392" t="s">
        <v>15</v>
      </c>
    </row>
    <row r="9393" spans="1:7" x14ac:dyDescent="0.35">
      <c r="A9393">
        <v>3727</v>
      </c>
      <c r="B9393" s="1">
        <v>45796</v>
      </c>
      <c r="C9393" t="s">
        <v>12</v>
      </c>
      <c r="D9393" s="2">
        <v>0</v>
      </c>
      <c r="E9393" s="2">
        <v>132.12</v>
      </c>
      <c r="F9393" t="s">
        <v>16</v>
      </c>
      <c r="G9393" t="s">
        <v>17</v>
      </c>
    </row>
    <row r="9394" spans="1:7" x14ac:dyDescent="0.35">
      <c r="A9394">
        <v>3728</v>
      </c>
      <c r="B9394" s="1">
        <v>45796</v>
      </c>
      <c r="C9394" t="s">
        <v>24</v>
      </c>
      <c r="D9394" s="2">
        <v>4254.88</v>
      </c>
      <c r="E9394" s="2">
        <v>0</v>
      </c>
      <c r="F9394" t="s">
        <v>8</v>
      </c>
      <c r="G9394" t="s">
        <v>9</v>
      </c>
    </row>
    <row r="9395" spans="1:7" x14ac:dyDescent="0.35">
      <c r="A9395">
        <v>3728</v>
      </c>
      <c r="B9395" s="1">
        <v>45796</v>
      </c>
      <c r="C9395" t="s">
        <v>24</v>
      </c>
      <c r="D9395" s="2">
        <v>0</v>
      </c>
      <c r="E9395" s="2">
        <v>4254.88</v>
      </c>
      <c r="F9395" t="s">
        <v>13</v>
      </c>
      <c r="G9395" t="s">
        <v>9</v>
      </c>
    </row>
    <row r="9396" spans="1:7" x14ac:dyDescent="0.35">
      <c r="A9396">
        <v>3729</v>
      </c>
      <c r="B9396" s="1">
        <v>45796</v>
      </c>
      <c r="C9396" t="s">
        <v>24</v>
      </c>
      <c r="D9396" s="2">
        <v>878.86</v>
      </c>
      <c r="E9396" s="2">
        <v>0</v>
      </c>
      <c r="F9396" t="s">
        <v>8</v>
      </c>
      <c r="G9396" t="s">
        <v>9</v>
      </c>
    </row>
    <row r="9397" spans="1:7" x14ac:dyDescent="0.35">
      <c r="A9397">
        <v>3729</v>
      </c>
      <c r="B9397" s="1">
        <v>45796</v>
      </c>
      <c r="C9397" t="s">
        <v>24</v>
      </c>
      <c r="D9397" s="2">
        <v>0</v>
      </c>
      <c r="E9397" s="2">
        <v>878.86</v>
      </c>
      <c r="F9397" t="s">
        <v>13</v>
      </c>
      <c r="G9397" t="s">
        <v>9</v>
      </c>
    </row>
    <row r="9398" spans="1:7" x14ac:dyDescent="0.35">
      <c r="A9398">
        <v>3730</v>
      </c>
      <c r="B9398" s="1">
        <v>45796</v>
      </c>
      <c r="C9398" t="s">
        <v>24</v>
      </c>
      <c r="D9398" s="2">
        <v>1563.55</v>
      </c>
      <c r="E9398" s="2">
        <v>0</v>
      </c>
      <c r="F9398" t="s">
        <v>8</v>
      </c>
      <c r="G9398" t="s">
        <v>9</v>
      </c>
    </row>
    <row r="9399" spans="1:7" x14ac:dyDescent="0.35">
      <c r="A9399">
        <v>3730</v>
      </c>
      <c r="B9399" s="1">
        <v>45796</v>
      </c>
      <c r="C9399" t="s">
        <v>24</v>
      </c>
      <c r="D9399" s="2">
        <v>0</v>
      </c>
      <c r="E9399" s="2">
        <v>1563.55</v>
      </c>
      <c r="F9399" t="s">
        <v>13</v>
      </c>
      <c r="G9399" t="s">
        <v>9</v>
      </c>
    </row>
    <row r="9400" spans="1:7" x14ac:dyDescent="0.35">
      <c r="A9400">
        <v>3731</v>
      </c>
      <c r="B9400" s="1">
        <v>45796</v>
      </c>
      <c r="C9400" t="s">
        <v>24</v>
      </c>
      <c r="D9400" s="2">
        <v>5578.12</v>
      </c>
      <c r="E9400" s="2">
        <v>0</v>
      </c>
      <c r="F9400" t="s">
        <v>8</v>
      </c>
      <c r="G9400" t="s">
        <v>9</v>
      </c>
    </row>
    <row r="9401" spans="1:7" x14ac:dyDescent="0.35">
      <c r="A9401">
        <v>3731</v>
      </c>
      <c r="B9401" s="1">
        <v>45796</v>
      </c>
      <c r="C9401" t="s">
        <v>24</v>
      </c>
      <c r="D9401" s="2">
        <v>0</v>
      </c>
      <c r="E9401" s="2">
        <v>5578.12</v>
      </c>
      <c r="F9401" t="s">
        <v>13</v>
      </c>
      <c r="G9401" t="s">
        <v>9</v>
      </c>
    </row>
    <row r="9402" spans="1:7" x14ac:dyDescent="0.35">
      <c r="A9402">
        <v>3732</v>
      </c>
      <c r="B9402" s="1">
        <v>45796</v>
      </c>
      <c r="C9402" t="s">
        <v>24</v>
      </c>
      <c r="D9402" s="2">
        <v>1060.25</v>
      </c>
      <c r="E9402" s="2">
        <v>0</v>
      </c>
      <c r="F9402" t="s">
        <v>8</v>
      </c>
      <c r="G9402" t="s">
        <v>9</v>
      </c>
    </row>
    <row r="9403" spans="1:7" x14ac:dyDescent="0.35">
      <c r="A9403">
        <v>3732</v>
      </c>
      <c r="B9403" s="1">
        <v>45796</v>
      </c>
      <c r="C9403" t="s">
        <v>24</v>
      </c>
      <c r="D9403" s="2">
        <v>0</v>
      </c>
      <c r="E9403" s="2">
        <v>1060.25</v>
      </c>
      <c r="F9403" t="s">
        <v>13</v>
      </c>
      <c r="G9403" t="s">
        <v>9</v>
      </c>
    </row>
    <row r="9404" spans="1:7" x14ac:dyDescent="0.35">
      <c r="A9404">
        <v>3733</v>
      </c>
      <c r="B9404" s="1">
        <v>45796</v>
      </c>
      <c r="C9404" t="s">
        <v>24</v>
      </c>
      <c r="D9404" s="2">
        <v>4185.5</v>
      </c>
      <c r="E9404" s="2">
        <v>0</v>
      </c>
      <c r="F9404" t="s">
        <v>8</v>
      </c>
      <c r="G9404" t="s">
        <v>9</v>
      </c>
    </row>
    <row r="9405" spans="1:7" x14ac:dyDescent="0.35">
      <c r="A9405">
        <v>3733</v>
      </c>
      <c r="B9405" s="1">
        <v>45796</v>
      </c>
      <c r="C9405" t="s">
        <v>24</v>
      </c>
      <c r="D9405" s="2">
        <v>0</v>
      </c>
      <c r="E9405" s="2">
        <v>4185.5</v>
      </c>
      <c r="F9405" t="s">
        <v>13</v>
      </c>
      <c r="G9405" t="s">
        <v>9</v>
      </c>
    </row>
    <row r="9406" spans="1:7" x14ac:dyDescent="0.35">
      <c r="A9406">
        <v>3734</v>
      </c>
      <c r="B9406" s="1">
        <v>45796</v>
      </c>
      <c r="C9406" t="s">
        <v>24</v>
      </c>
      <c r="D9406" s="2">
        <v>724.24</v>
      </c>
      <c r="E9406" s="2">
        <v>0</v>
      </c>
      <c r="F9406" t="s">
        <v>8</v>
      </c>
      <c r="G9406" t="s">
        <v>9</v>
      </c>
    </row>
    <row r="9407" spans="1:7" x14ac:dyDescent="0.35">
      <c r="A9407">
        <v>3734</v>
      </c>
      <c r="B9407" s="1">
        <v>45796</v>
      </c>
      <c r="C9407" t="s">
        <v>24</v>
      </c>
      <c r="D9407" s="2">
        <v>0</v>
      </c>
      <c r="E9407" s="2">
        <v>724.24</v>
      </c>
      <c r="F9407" t="s">
        <v>13</v>
      </c>
      <c r="G9407" t="s">
        <v>9</v>
      </c>
    </row>
    <row r="9408" spans="1:7" x14ac:dyDescent="0.35">
      <c r="A9408">
        <v>3735</v>
      </c>
      <c r="B9408" s="1">
        <v>45796</v>
      </c>
      <c r="C9408" t="s">
        <v>24</v>
      </c>
      <c r="D9408" s="2">
        <v>5429.64</v>
      </c>
      <c r="E9408" s="2">
        <v>0</v>
      </c>
      <c r="F9408" t="s">
        <v>8</v>
      </c>
      <c r="G9408" t="s">
        <v>9</v>
      </c>
    </row>
    <row r="9409" spans="1:7" x14ac:dyDescent="0.35">
      <c r="A9409">
        <v>3735</v>
      </c>
      <c r="B9409" s="1">
        <v>45796</v>
      </c>
      <c r="C9409" t="s">
        <v>24</v>
      </c>
      <c r="D9409" s="2">
        <v>0</v>
      </c>
      <c r="E9409" s="2">
        <v>5429.64</v>
      </c>
      <c r="F9409" t="s">
        <v>13</v>
      </c>
      <c r="G9409" t="s">
        <v>9</v>
      </c>
    </row>
    <row r="9410" spans="1:7" x14ac:dyDescent="0.35">
      <c r="A9410">
        <v>3736</v>
      </c>
      <c r="B9410" s="1">
        <v>45796</v>
      </c>
      <c r="C9410" t="s">
        <v>25</v>
      </c>
      <c r="D9410" s="2">
        <v>1947.24</v>
      </c>
      <c r="E9410" s="2">
        <v>0</v>
      </c>
      <c r="F9410" t="s">
        <v>26</v>
      </c>
      <c r="G9410" t="s">
        <v>20</v>
      </c>
    </row>
    <row r="9411" spans="1:7" x14ac:dyDescent="0.35">
      <c r="A9411">
        <v>3736</v>
      </c>
      <c r="B9411" s="1">
        <v>45796</v>
      </c>
      <c r="C9411" t="s">
        <v>25</v>
      </c>
      <c r="D9411" s="2">
        <v>146.04</v>
      </c>
      <c r="E9411" s="2">
        <v>0</v>
      </c>
      <c r="F9411" t="s">
        <v>27</v>
      </c>
      <c r="G9411" t="s">
        <v>9</v>
      </c>
    </row>
    <row r="9412" spans="1:7" x14ac:dyDescent="0.35">
      <c r="A9412">
        <v>3736</v>
      </c>
      <c r="B9412" s="1">
        <v>45796</v>
      </c>
      <c r="C9412" t="s">
        <v>25</v>
      </c>
      <c r="D9412" s="2">
        <v>0</v>
      </c>
      <c r="E9412" s="2">
        <v>2093.2800000000002</v>
      </c>
      <c r="F9412" t="s">
        <v>28</v>
      </c>
      <c r="G9412" t="s">
        <v>17</v>
      </c>
    </row>
    <row r="9413" spans="1:7" x14ac:dyDescent="0.35">
      <c r="A9413">
        <v>3737</v>
      </c>
      <c r="B9413" s="1">
        <v>45796</v>
      </c>
      <c r="C9413" t="s">
        <v>25</v>
      </c>
      <c r="D9413" s="2">
        <v>1800.04</v>
      </c>
      <c r="E9413" s="2">
        <v>0</v>
      </c>
      <c r="F9413" t="s">
        <v>26</v>
      </c>
      <c r="G9413" t="s">
        <v>20</v>
      </c>
    </row>
    <row r="9414" spans="1:7" x14ac:dyDescent="0.35">
      <c r="A9414">
        <v>3737</v>
      </c>
      <c r="B9414" s="1">
        <v>45796</v>
      </c>
      <c r="C9414" t="s">
        <v>25</v>
      </c>
      <c r="D9414" s="2">
        <v>135</v>
      </c>
      <c r="E9414" s="2">
        <v>0</v>
      </c>
      <c r="F9414" t="s">
        <v>27</v>
      </c>
      <c r="G9414" t="s">
        <v>9</v>
      </c>
    </row>
    <row r="9415" spans="1:7" x14ac:dyDescent="0.35">
      <c r="A9415">
        <v>3737</v>
      </c>
      <c r="B9415" s="1">
        <v>45796</v>
      </c>
      <c r="C9415" t="s">
        <v>25</v>
      </c>
      <c r="D9415" s="2">
        <v>0</v>
      </c>
      <c r="E9415" s="2">
        <v>1935.04</v>
      </c>
      <c r="F9415" t="s">
        <v>28</v>
      </c>
      <c r="G9415" t="s">
        <v>17</v>
      </c>
    </row>
    <row r="9416" spans="1:7" x14ac:dyDescent="0.35">
      <c r="A9416">
        <v>3738</v>
      </c>
      <c r="B9416" s="1">
        <v>45796</v>
      </c>
      <c r="C9416" t="s">
        <v>25</v>
      </c>
      <c r="D9416" s="2">
        <v>952.02</v>
      </c>
      <c r="E9416" s="2">
        <v>0</v>
      </c>
      <c r="F9416" t="s">
        <v>26</v>
      </c>
      <c r="G9416" t="s">
        <v>20</v>
      </c>
    </row>
    <row r="9417" spans="1:7" x14ac:dyDescent="0.35">
      <c r="A9417">
        <v>3738</v>
      </c>
      <c r="B9417" s="1">
        <v>45796</v>
      </c>
      <c r="C9417" t="s">
        <v>25</v>
      </c>
      <c r="D9417" s="2">
        <v>71.400000000000006</v>
      </c>
      <c r="E9417" s="2">
        <v>0</v>
      </c>
      <c r="F9417" t="s">
        <v>27</v>
      </c>
      <c r="G9417" t="s">
        <v>9</v>
      </c>
    </row>
    <row r="9418" spans="1:7" x14ac:dyDescent="0.35">
      <c r="A9418">
        <v>3738</v>
      </c>
      <c r="B9418" s="1">
        <v>45796</v>
      </c>
      <c r="C9418" t="s">
        <v>25</v>
      </c>
      <c r="D9418" s="2">
        <v>0</v>
      </c>
      <c r="E9418" s="2">
        <v>1023.42</v>
      </c>
      <c r="F9418" t="s">
        <v>28</v>
      </c>
      <c r="G9418" t="s">
        <v>17</v>
      </c>
    </row>
    <row r="9419" spans="1:7" x14ac:dyDescent="0.35">
      <c r="A9419">
        <v>3739</v>
      </c>
      <c r="B9419" s="1">
        <v>45796</v>
      </c>
      <c r="C9419" t="s">
        <v>25</v>
      </c>
      <c r="D9419" s="2">
        <v>257.04000000000002</v>
      </c>
      <c r="E9419" s="2">
        <v>0</v>
      </c>
      <c r="F9419" t="s">
        <v>26</v>
      </c>
      <c r="G9419" t="s">
        <v>20</v>
      </c>
    </row>
    <row r="9420" spans="1:7" x14ac:dyDescent="0.35">
      <c r="A9420">
        <v>3739</v>
      </c>
      <c r="B9420" s="1">
        <v>45796</v>
      </c>
      <c r="C9420" t="s">
        <v>25</v>
      </c>
      <c r="D9420" s="2">
        <v>19.28</v>
      </c>
      <c r="E9420" s="2">
        <v>0</v>
      </c>
      <c r="F9420" t="s">
        <v>27</v>
      </c>
      <c r="G9420" t="s">
        <v>9</v>
      </c>
    </row>
    <row r="9421" spans="1:7" x14ac:dyDescent="0.35">
      <c r="A9421">
        <v>3739</v>
      </c>
      <c r="B9421" s="1">
        <v>45796</v>
      </c>
      <c r="C9421" t="s">
        <v>25</v>
      </c>
      <c r="D9421" s="2">
        <v>0</v>
      </c>
      <c r="E9421" s="2">
        <v>276.32</v>
      </c>
      <c r="F9421" t="s">
        <v>28</v>
      </c>
      <c r="G9421" t="s">
        <v>17</v>
      </c>
    </row>
    <row r="9422" spans="1:7" x14ac:dyDescent="0.35">
      <c r="A9422">
        <v>3740</v>
      </c>
      <c r="B9422" s="1">
        <v>45796</v>
      </c>
      <c r="C9422" t="s">
        <v>25</v>
      </c>
      <c r="D9422" s="2">
        <v>1213.5999999999999</v>
      </c>
      <c r="E9422" s="2">
        <v>0</v>
      </c>
      <c r="F9422" t="s">
        <v>26</v>
      </c>
      <c r="G9422" t="s">
        <v>20</v>
      </c>
    </row>
    <row r="9423" spans="1:7" x14ac:dyDescent="0.35">
      <c r="A9423">
        <v>3740</v>
      </c>
      <c r="B9423" s="1">
        <v>45796</v>
      </c>
      <c r="C9423" t="s">
        <v>25</v>
      </c>
      <c r="D9423" s="2">
        <v>91.02</v>
      </c>
      <c r="E9423" s="2">
        <v>0</v>
      </c>
      <c r="F9423" t="s">
        <v>27</v>
      </c>
      <c r="G9423" t="s">
        <v>9</v>
      </c>
    </row>
    <row r="9424" spans="1:7" x14ac:dyDescent="0.35">
      <c r="A9424">
        <v>3740</v>
      </c>
      <c r="B9424" s="1">
        <v>45796</v>
      </c>
      <c r="C9424" t="s">
        <v>25</v>
      </c>
      <c r="D9424" s="2">
        <v>0</v>
      </c>
      <c r="E9424" s="2">
        <v>1304.6199999999999</v>
      </c>
      <c r="F9424" t="s">
        <v>28</v>
      </c>
      <c r="G9424" t="s">
        <v>17</v>
      </c>
    </row>
    <row r="9425" spans="1:7" x14ac:dyDescent="0.35">
      <c r="A9425">
        <v>3741</v>
      </c>
      <c r="B9425" s="1">
        <v>45796</v>
      </c>
      <c r="C9425" t="s">
        <v>25</v>
      </c>
      <c r="D9425" s="2">
        <v>1668.94</v>
      </c>
      <c r="E9425" s="2">
        <v>0</v>
      </c>
      <c r="F9425" t="s">
        <v>26</v>
      </c>
      <c r="G9425" t="s">
        <v>20</v>
      </c>
    </row>
    <row r="9426" spans="1:7" x14ac:dyDescent="0.35">
      <c r="A9426">
        <v>3741</v>
      </c>
      <c r="B9426" s="1">
        <v>45796</v>
      </c>
      <c r="C9426" t="s">
        <v>25</v>
      </c>
      <c r="D9426" s="2">
        <v>125.17</v>
      </c>
      <c r="E9426" s="2">
        <v>0</v>
      </c>
      <c r="F9426" t="s">
        <v>27</v>
      </c>
      <c r="G9426" t="s">
        <v>9</v>
      </c>
    </row>
    <row r="9427" spans="1:7" x14ac:dyDescent="0.35">
      <c r="A9427">
        <v>3741</v>
      </c>
      <c r="B9427" s="1">
        <v>45796</v>
      </c>
      <c r="C9427" t="s">
        <v>25</v>
      </c>
      <c r="D9427" s="2">
        <v>0</v>
      </c>
      <c r="E9427" s="2">
        <v>1794.11</v>
      </c>
      <c r="F9427" t="s">
        <v>28</v>
      </c>
      <c r="G9427" t="s">
        <v>17</v>
      </c>
    </row>
    <row r="9428" spans="1:7" x14ac:dyDescent="0.35">
      <c r="A9428">
        <v>3742</v>
      </c>
      <c r="B9428" s="1">
        <v>45796</v>
      </c>
      <c r="C9428" t="s">
        <v>25</v>
      </c>
      <c r="D9428" s="2">
        <v>1643.22</v>
      </c>
      <c r="E9428" s="2">
        <v>0</v>
      </c>
      <c r="F9428" t="s">
        <v>26</v>
      </c>
      <c r="G9428" t="s">
        <v>20</v>
      </c>
    </row>
    <row r="9429" spans="1:7" x14ac:dyDescent="0.35">
      <c r="A9429">
        <v>3742</v>
      </c>
      <c r="B9429" s="1">
        <v>45796</v>
      </c>
      <c r="C9429" t="s">
        <v>25</v>
      </c>
      <c r="D9429" s="2">
        <v>123.24</v>
      </c>
      <c r="E9429" s="2">
        <v>0</v>
      </c>
      <c r="F9429" t="s">
        <v>27</v>
      </c>
      <c r="G9429" t="s">
        <v>9</v>
      </c>
    </row>
    <row r="9430" spans="1:7" x14ac:dyDescent="0.35">
      <c r="A9430">
        <v>3742</v>
      </c>
      <c r="B9430" s="1">
        <v>45796</v>
      </c>
      <c r="C9430" t="s">
        <v>25</v>
      </c>
      <c r="D9430" s="2">
        <v>0</v>
      </c>
      <c r="E9430" s="2">
        <v>1766.46</v>
      </c>
      <c r="F9430" t="s">
        <v>28</v>
      </c>
      <c r="G9430" t="s">
        <v>17</v>
      </c>
    </row>
    <row r="9431" spans="1:7" x14ac:dyDescent="0.35">
      <c r="A9431">
        <v>3743</v>
      </c>
      <c r="B9431" s="1">
        <v>45796</v>
      </c>
      <c r="C9431" t="s">
        <v>25</v>
      </c>
      <c r="D9431" s="2">
        <v>802.71</v>
      </c>
      <c r="E9431" s="2">
        <v>0</v>
      </c>
      <c r="F9431" t="s">
        <v>26</v>
      </c>
      <c r="G9431" t="s">
        <v>20</v>
      </c>
    </row>
    <row r="9432" spans="1:7" x14ac:dyDescent="0.35">
      <c r="A9432">
        <v>3743</v>
      </c>
      <c r="B9432" s="1">
        <v>45796</v>
      </c>
      <c r="C9432" t="s">
        <v>25</v>
      </c>
      <c r="D9432" s="2">
        <v>60.2</v>
      </c>
      <c r="E9432" s="2">
        <v>0</v>
      </c>
      <c r="F9432" t="s">
        <v>27</v>
      </c>
      <c r="G9432" t="s">
        <v>9</v>
      </c>
    </row>
    <row r="9433" spans="1:7" x14ac:dyDescent="0.35">
      <c r="A9433">
        <v>3743</v>
      </c>
      <c r="B9433" s="1">
        <v>45796</v>
      </c>
      <c r="C9433" t="s">
        <v>25</v>
      </c>
      <c r="D9433" s="2">
        <v>0</v>
      </c>
      <c r="E9433" s="2">
        <v>862.91</v>
      </c>
      <c r="F9433" t="s">
        <v>28</v>
      </c>
      <c r="G9433" t="s">
        <v>17</v>
      </c>
    </row>
    <row r="9434" spans="1:7" x14ac:dyDescent="0.35">
      <c r="A9434">
        <v>3744</v>
      </c>
      <c r="B9434" s="1">
        <v>45796</v>
      </c>
      <c r="C9434" t="s">
        <v>29</v>
      </c>
      <c r="D9434" s="2">
        <v>4812.46</v>
      </c>
      <c r="E9434" s="2">
        <v>0</v>
      </c>
      <c r="F9434" t="s">
        <v>28</v>
      </c>
      <c r="G9434" t="s">
        <v>17</v>
      </c>
    </row>
    <row r="9435" spans="1:7" x14ac:dyDescent="0.35">
      <c r="A9435">
        <v>3744</v>
      </c>
      <c r="B9435" s="1">
        <v>45796</v>
      </c>
      <c r="C9435" t="s">
        <v>29</v>
      </c>
      <c r="D9435" s="2">
        <v>0</v>
      </c>
      <c r="E9435" s="2">
        <v>4812.46</v>
      </c>
      <c r="F9435" t="s">
        <v>8</v>
      </c>
      <c r="G9435" t="s">
        <v>9</v>
      </c>
    </row>
    <row r="9436" spans="1:7" x14ac:dyDescent="0.35">
      <c r="A9436">
        <v>3745</v>
      </c>
      <c r="B9436" s="1">
        <v>45797</v>
      </c>
      <c r="C9436" t="s">
        <v>12</v>
      </c>
      <c r="D9436" s="2">
        <v>2940.83</v>
      </c>
      <c r="E9436" s="2">
        <v>0</v>
      </c>
      <c r="F9436" t="s">
        <v>13</v>
      </c>
      <c r="G9436" t="s">
        <v>9</v>
      </c>
    </row>
    <row r="9437" spans="1:7" x14ac:dyDescent="0.35">
      <c r="A9437">
        <v>3745</v>
      </c>
      <c r="B9437" s="1">
        <v>45797</v>
      </c>
      <c r="C9437" t="s">
        <v>12</v>
      </c>
      <c r="D9437" s="2">
        <v>0</v>
      </c>
      <c r="E9437" s="2">
        <v>2735.66</v>
      </c>
      <c r="F9437" t="s">
        <v>14</v>
      </c>
      <c r="G9437" t="s">
        <v>15</v>
      </c>
    </row>
    <row r="9438" spans="1:7" x14ac:dyDescent="0.35">
      <c r="A9438">
        <v>3745</v>
      </c>
      <c r="B9438" s="1">
        <v>45797</v>
      </c>
      <c r="C9438" t="s">
        <v>12</v>
      </c>
      <c r="D9438" s="2">
        <v>0</v>
      </c>
      <c r="E9438" s="2">
        <v>205.17</v>
      </c>
      <c r="F9438" t="s">
        <v>16</v>
      </c>
      <c r="G9438" t="s">
        <v>17</v>
      </c>
    </row>
    <row r="9439" spans="1:7" x14ac:dyDescent="0.35">
      <c r="A9439">
        <v>3746</v>
      </c>
      <c r="B9439" s="1">
        <v>45797</v>
      </c>
      <c r="C9439" t="s">
        <v>12</v>
      </c>
      <c r="D9439" s="2">
        <v>3194.26</v>
      </c>
      <c r="E9439" s="2">
        <v>0</v>
      </c>
      <c r="F9439" t="s">
        <v>13</v>
      </c>
      <c r="G9439" t="s">
        <v>9</v>
      </c>
    </row>
    <row r="9440" spans="1:7" x14ac:dyDescent="0.35">
      <c r="A9440">
        <v>3746</v>
      </c>
      <c r="B9440" s="1">
        <v>45797</v>
      </c>
      <c r="C9440" t="s">
        <v>12</v>
      </c>
      <c r="D9440" s="2">
        <v>0</v>
      </c>
      <c r="E9440" s="2">
        <v>2971.41</v>
      </c>
      <c r="F9440" t="s">
        <v>14</v>
      </c>
      <c r="G9440" t="s">
        <v>15</v>
      </c>
    </row>
    <row r="9441" spans="1:7" x14ac:dyDescent="0.35">
      <c r="A9441">
        <v>3746</v>
      </c>
      <c r="B9441" s="1">
        <v>45797</v>
      </c>
      <c r="C9441" t="s">
        <v>12</v>
      </c>
      <c r="D9441" s="2">
        <v>0</v>
      </c>
      <c r="E9441" s="2">
        <v>222.85</v>
      </c>
      <c r="F9441" t="s">
        <v>16</v>
      </c>
      <c r="G9441" t="s">
        <v>17</v>
      </c>
    </row>
    <row r="9442" spans="1:7" x14ac:dyDescent="0.35">
      <c r="A9442">
        <v>3747</v>
      </c>
      <c r="B9442" s="1">
        <v>45797</v>
      </c>
      <c r="C9442" t="s">
        <v>12</v>
      </c>
      <c r="D9442" s="2">
        <v>404.2</v>
      </c>
      <c r="E9442" s="2">
        <v>0</v>
      </c>
      <c r="F9442" t="s">
        <v>13</v>
      </c>
      <c r="G9442" t="s">
        <v>9</v>
      </c>
    </row>
    <row r="9443" spans="1:7" x14ac:dyDescent="0.35">
      <c r="A9443">
        <v>3747</v>
      </c>
      <c r="B9443" s="1">
        <v>45797</v>
      </c>
      <c r="C9443" t="s">
        <v>12</v>
      </c>
      <c r="D9443" s="2">
        <v>0</v>
      </c>
      <c r="E9443" s="2">
        <v>376</v>
      </c>
      <c r="F9443" t="s">
        <v>14</v>
      </c>
      <c r="G9443" t="s">
        <v>15</v>
      </c>
    </row>
    <row r="9444" spans="1:7" x14ac:dyDescent="0.35">
      <c r="A9444">
        <v>3747</v>
      </c>
      <c r="B9444" s="1">
        <v>45797</v>
      </c>
      <c r="C9444" t="s">
        <v>12</v>
      </c>
      <c r="D9444" s="2">
        <v>0</v>
      </c>
      <c r="E9444" s="2">
        <v>28.2</v>
      </c>
      <c r="F9444" t="s">
        <v>16</v>
      </c>
      <c r="G9444" t="s">
        <v>17</v>
      </c>
    </row>
    <row r="9445" spans="1:7" x14ac:dyDescent="0.35">
      <c r="A9445">
        <v>3748</v>
      </c>
      <c r="B9445" s="1">
        <v>45797</v>
      </c>
      <c r="C9445" t="s">
        <v>12</v>
      </c>
      <c r="D9445" s="2">
        <v>2553.83</v>
      </c>
      <c r="E9445" s="2">
        <v>0</v>
      </c>
      <c r="F9445" t="s">
        <v>13</v>
      </c>
      <c r="G9445" t="s">
        <v>9</v>
      </c>
    </row>
    <row r="9446" spans="1:7" x14ac:dyDescent="0.35">
      <c r="A9446">
        <v>3748</v>
      </c>
      <c r="B9446" s="1">
        <v>45797</v>
      </c>
      <c r="C9446" t="s">
        <v>12</v>
      </c>
      <c r="D9446" s="2">
        <v>0</v>
      </c>
      <c r="E9446" s="2">
        <v>2375.65</v>
      </c>
      <c r="F9446" t="s">
        <v>14</v>
      </c>
      <c r="G9446" t="s">
        <v>15</v>
      </c>
    </row>
    <row r="9447" spans="1:7" x14ac:dyDescent="0.35">
      <c r="A9447">
        <v>3748</v>
      </c>
      <c r="B9447" s="1">
        <v>45797</v>
      </c>
      <c r="C9447" t="s">
        <v>12</v>
      </c>
      <c r="D9447" s="2">
        <v>0</v>
      </c>
      <c r="E9447" s="2">
        <v>178.18</v>
      </c>
      <c r="F9447" t="s">
        <v>16</v>
      </c>
      <c r="G9447" t="s">
        <v>17</v>
      </c>
    </row>
    <row r="9448" spans="1:7" x14ac:dyDescent="0.35">
      <c r="A9448">
        <v>3749</v>
      </c>
      <c r="B9448" s="1">
        <v>45797</v>
      </c>
      <c r="C9448" t="s">
        <v>12</v>
      </c>
      <c r="D9448" s="2">
        <v>1617.72</v>
      </c>
      <c r="E9448" s="2">
        <v>0</v>
      </c>
      <c r="F9448" t="s">
        <v>13</v>
      </c>
      <c r="G9448" t="s">
        <v>9</v>
      </c>
    </row>
    <row r="9449" spans="1:7" x14ac:dyDescent="0.35">
      <c r="A9449">
        <v>3749</v>
      </c>
      <c r="B9449" s="1">
        <v>45797</v>
      </c>
      <c r="C9449" t="s">
        <v>12</v>
      </c>
      <c r="D9449" s="2">
        <v>0</v>
      </c>
      <c r="E9449" s="2">
        <v>1504.85</v>
      </c>
      <c r="F9449" t="s">
        <v>14</v>
      </c>
      <c r="G9449" t="s">
        <v>15</v>
      </c>
    </row>
    <row r="9450" spans="1:7" x14ac:dyDescent="0.35">
      <c r="A9450">
        <v>3749</v>
      </c>
      <c r="B9450" s="1">
        <v>45797</v>
      </c>
      <c r="C9450" t="s">
        <v>12</v>
      </c>
      <c r="D9450" s="2">
        <v>0</v>
      </c>
      <c r="E9450" s="2">
        <v>112.87</v>
      </c>
      <c r="F9450" t="s">
        <v>16</v>
      </c>
      <c r="G9450" t="s">
        <v>17</v>
      </c>
    </row>
    <row r="9451" spans="1:7" x14ac:dyDescent="0.35">
      <c r="A9451">
        <v>3750</v>
      </c>
      <c r="B9451" s="1">
        <v>45797</v>
      </c>
      <c r="C9451" t="s">
        <v>12</v>
      </c>
      <c r="D9451" s="2">
        <v>6565.12</v>
      </c>
      <c r="E9451" s="2">
        <v>0</v>
      </c>
      <c r="F9451" t="s">
        <v>13</v>
      </c>
      <c r="G9451" t="s">
        <v>9</v>
      </c>
    </row>
    <row r="9452" spans="1:7" x14ac:dyDescent="0.35">
      <c r="A9452">
        <v>3750</v>
      </c>
      <c r="B9452" s="1">
        <v>45797</v>
      </c>
      <c r="C9452" t="s">
        <v>12</v>
      </c>
      <c r="D9452" s="2">
        <v>0</v>
      </c>
      <c r="E9452" s="2">
        <v>6107.09</v>
      </c>
      <c r="F9452" t="s">
        <v>14</v>
      </c>
      <c r="G9452" t="s">
        <v>15</v>
      </c>
    </row>
    <row r="9453" spans="1:7" x14ac:dyDescent="0.35">
      <c r="A9453">
        <v>3750</v>
      </c>
      <c r="B9453" s="1">
        <v>45797</v>
      </c>
      <c r="C9453" t="s">
        <v>12</v>
      </c>
      <c r="D9453" s="2">
        <v>0</v>
      </c>
      <c r="E9453" s="2">
        <v>458.03</v>
      </c>
      <c r="F9453" t="s">
        <v>16</v>
      </c>
      <c r="G9453" t="s">
        <v>17</v>
      </c>
    </row>
    <row r="9454" spans="1:7" x14ac:dyDescent="0.35">
      <c r="A9454">
        <v>3751</v>
      </c>
      <c r="B9454" s="1">
        <v>45797</v>
      </c>
      <c r="C9454" t="s">
        <v>12</v>
      </c>
      <c r="D9454" s="2">
        <v>2862.69</v>
      </c>
      <c r="E9454" s="2">
        <v>0</v>
      </c>
      <c r="F9454" t="s">
        <v>13</v>
      </c>
      <c r="G9454" t="s">
        <v>9</v>
      </c>
    </row>
    <row r="9455" spans="1:7" x14ac:dyDescent="0.35">
      <c r="A9455">
        <v>3751</v>
      </c>
      <c r="B9455" s="1">
        <v>45797</v>
      </c>
      <c r="C9455" t="s">
        <v>12</v>
      </c>
      <c r="D9455" s="2">
        <v>0</v>
      </c>
      <c r="E9455" s="2">
        <v>2662.97</v>
      </c>
      <c r="F9455" t="s">
        <v>14</v>
      </c>
      <c r="G9455" t="s">
        <v>15</v>
      </c>
    </row>
    <row r="9456" spans="1:7" x14ac:dyDescent="0.35">
      <c r="A9456">
        <v>3751</v>
      </c>
      <c r="B9456" s="1">
        <v>45797</v>
      </c>
      <c r="C9456" t="s">
        <v>12</v>
      </c>
      <c r="D9456" s="2">
        <v>0</v>
      </c>
      <c r="E9456" s="2">
        <v>199.72</v>
      </c>
      <c r="F9456" t="s">
        <v>16</v>
      </c>
      <c r="G9456" t="s">
        <v>17</v>
      </c>
    </row>
    <row r="9457" spans="1:7" x14ac:dyDescent="0.35">
      <c r="A9457">
        <v>3752</v>
      </c>
      <c r="B9457" s="1">
        <v>45797</v>
      </c>
      <c r="C9457" t="s">
        <v>24</v>
      </c>
      <c r="D9457" s="2">
        <v>323.24</v>
      </c>
      <c r="E9457" s="2">
        <v>0</v>
      </c>
      <c r="F9457" t="s">
        <v>8</v>
      </c>
      <c r="G9457" t="s">
        <v>9</v>
      </c>
    </row>
    <row r="9458" spans="1:7" x14ac:dyDescent="0.35">
      <c r="A9458">
        <v>3752</v>
      </c>
      <c r="B9458" s="1">
        <v>45797</v>
      </c>
      <c r="C9458" t="s">
        <v>24</v>
      </c>
      <c r="D9458" s="2">
        <v>0</v>
      </c>
      <c r="E9458" s="2">
        <v>323.24</v>
      </c>
      <c r="F9458" t="s">
        <v>13</v>
      </c>
      <c r="G9458" t="s">
        <v>9</v>
      </c>
    </row>
    <row r="9459" spans="1:7" x14ac:dyDescent="0.35">
      <c r="A9459">
        <v>3753</v>
      </c>
      <c r="B9459" s="1">
        <v>45797</v>
      </c>
      <c r="C9459" t="s">
        <v>24</v>
      </c>
      <c r="D9459" s="2">
        <v>4059.38</v>
      </c>
      <c r="E9459" s="2">
        <v>0</v>
      </c>
      <c r="F9459" t="s">
        <v>8</v>
      </c>
      <c r="G9459" t="s">
        <v>9</v>
      </c>
    </row>
    <row r="9460" spans="1:7" x14ac:dyDescent="0.35">
      <c r="A9460">
        <v>3753</v>
      </c>
      <c r="B9460" s="1">
        <v>45797</v>
      </c>
      <c r="C9460" t="s">
        <v>24</v>
      </c>
      <c r="D9460" s="2">
        <v>0</v>
      </c>
      <c r="E9460" s="2">
        <v>4059.38</v>
      </c>
      <c r="F9460" t="s">
        <v>13</v>
      </c>
      <c r="G9460" t="s">
        <v>9</v>
      </c>
    </row>
    <row r="9461" spans="1:7" x14ac:dyDescent="0.35">
      <c r="A9461">
        <v>3754</v>
      </c>
      <c r="B9461" s="1">
        <v>45797</v>
      </c>
      <c r="C9461" t="s">
        <v>24</v>
      </c>
      <c r="D9461" s="2">
        <v>4635.04</v>
      </c>
      <c r="E9461" s="2">
        <v>0</v>
      </c>
      <c r="F9461" t="s">
        <v>8</v>
      </c>
      <c r="G9461" t="s">
        <v>9</v>
      </c>
    </row>
    <row r="9462" spans="1:7" x14ac:dyDescent="0.35">
      <c r="A9462">
        <v>3754</v>
      </c>
      <c r="B9462" s="1">
        <v>45797</v>
      </c>
      <c r="C9462" t="s">
        <v>24</v>
      </c>
      <c r="D9462" s="2">
        <v>0</v>
      </c>
      <c r="E9462" s="2">
        <v>4635.04</v>
      </c>
      <c r="F9462" t="s">
        <v>13</v>
      </c>
      <c r="G9462" t="s">
        <v>9</v>
      </c>
    </row>
    <row r="9463" spans="1:7" x14ac:dyDescent="0.35">
      <c r="A9463">
        <v>3755</v>
      </c>
      <c r="B9463" s="1">
        <v>45797</v>
      </c>
      <c r="C9463" t="s">
        <v>24</v>
      </c>
      <c r="D9463" s="2">
        <v>1176.1400000000001</v>
      </c>
      <c r="E9463" s="2">
        <v>0</v>
      </c>
      <c r="F9463" t="s">
        <v>8</v>
      </c>
      <c r="G9463" t="s">
        <v>9</v>
      </c>
    </row>
    <row r="9464" spans="1:7" x14ac:dyDescent="0.35">
      <c r="A9464">
        <v>3755</v>
      </c>
      <c r="B9464" s="1">
        <v>45797</v>
      </c>
      <c r="C9464" t="s">
        <v>24</v>
      </c>
      <c r="D9464" s="2">
        <v>0</v>
      </c>
      <c r="E9464" s="2">
        <v>1176.1400000000001</v>
      </c>
      <c r="F9464" t="s">
        <v>13</v>
      </c>
      <c r="G9464" t="s">
        <v>9</v>
      </c>
    </row>
    <row r="9465" spans="1:7" x14ac:dyDescent="0.35">
      <c r="A9465">
        <v>3756</v>
      </c>
      <c r="B9465" s="1">
        <v>45797</v>
      </c>
      <c r="C9465" t="s">
        <v>24</v>
      </c>
      <c r="D9465" s="2">
        <v>3936.97</v>
      </c>
      <c r="E9465" s="2">
        <v>0</v>
      </c>
      <c r="F9465" t="s">
        <v>8</v>
      </c>
      <c r="G9465" t="s">
        <v>9</v>
      </c>
    </row>
    <row r="9466" spans="1:7" x14ac:dyDescent="0.35">
      <c r="A9466">
        <v>3756</v>
      </c>
      <c r="B9466" s="1">
        <v>45797</v>
      </c>
      <c r="C9466" t="s">
        <v>24</v>
      </c>
      <c r="D9466" s="2">
        <v>0</v>
      </c>
      <c r="E9466" s="2">
        <v>3936.97</v>
      </c>
      <c r="F9466" t="s">
        <v>13</v>
      </c>
      <c r="G9466" t="s">
        <v>9</v>
      </c>
    </row>
    <row r="9467" spans="1:7" x14ac:dyDescent="0.35">
      <c r="A9467">
        <v>3757</v>
      </c>
      <c r="B9467" s="1">
        <v>45797</v>
      </c>
      <c r="C9467" t="s">
        <v>24</v>
      </c>
      <c r="D9467" s="2">
        <v>399.23</v>
      </c>
      <c r="E9467" s="2">
        <v>0</v>
      </c>
      <c r="F9467" t="s">
        <v>8</v>
      </c>
      <c r="G9467" t="s">
        <v>9</v>
      </c>
    </row>
    <row r="9468" spans="1:7" x14ac:dyDescent="0.35">
      <c r="A9468">
        <v>3757</v>
      </c>
      <c r="B9468" s="1">
        <v>45797</v>
      </c>
      <c r="C9468" t="s">
        <v>24</v>
      </c>
      <c r="D9468" s="2">
        <v>0</v>
      </c>
      <c r="E9468" s="2">
        <v>399.23</v>
      </c>
      <c r="F9468" t="s">
        <v>13</v>
      </c>
      <c r="G9468" t="s">
        <v>9</v>
      </c>
    </row>
    <row r="9469" spans="1:7" x14ac:dyDescent="0.35">
      <c r="A9469">
        <v>3758</v>
      </c>
      <c r="B9469" s="1">
        <v>45797</v>
      </c>
      <c r="C9469" t="s">
        <v>24</v>
      </c>
      <c r="D9469" s="2">
        <v>1363.18</v>
      </c>
      <c r="E9469" s="2">
        <v>0</v>
      </c>
      <c r="F9469" t="s">
        <v>8</v>
      </c>
      <c r="G9469" t="s">
        <v>9</v>
      </c>
    </row>
    <row r="9470" spans="1:7" x14ac:dyDescent="0.35">
      <c r="A9470">
        <v>3758</v>
      </c>
      <c r="B9470" s="1">
        <v>45797</v>
      </c>
      <c r="C9470" t="s">
        <v>24</v>
      </c>
      <c r="D9470" s="2">
        <v>0</v>
      </c>
      <c r="E9470" s="2">
        <v>1363.18</v>
      </c>
      <c r="F9470" t="s">
        <v>13</v>
      </c>
      <c r="G9470" t="s">
        <v>9</v>
      </c>
    </row>
    <row r="9471" spans="1:7" x14ac:dyDescent="0.35">
      <c r="A9471">
        <v>3759</v>
      </c>
      <c r="B9471" s="1">
        <v>45797</v>
      </c>
      <c r="C9471" t="s">
        <v>24</v>
      </c>
      <c r="D9471" s="2">
        <v>375.22</v>
      </c>
      <c r="E9471" s="2">
        <v>0</v>
      </c>
      <c r="F9471" t="s">
        <v>8</v>
      </c>
      <c r="G9471" t="s">
        <v>9</v>
      </c>
    </row>
    <row r="9472" spans="1:7" x14ac:dyDescent="0.35">
      <c r="A9472">
        <v>3759</v>
      </c>
      <c r="B9472" s="1">
        <v>45797</v>
      </c>
      <c r="C9472" t="s">
        <v>24</v>
      </c>
      <c r="D9472" s="2">
        <v>0</v>
      </c>
      <c r="E9472" s="2">
        <v>375.22</v>
      </c>
      <c r="F9472" t="s">
        <v>13</v>
      </c>
      <c r="G9472" t="s">
        <v>9</v>
      </c>
    </row>
    <row r="9473" spans="1:7" x14ac:dyDescent="0.35">
      <c r="A9473">
        <v>3760</v>
      </c>
      <c r="B9473" s="1">
        <v>45797</v>
      </c>
      <c r="C9473" t="s">
        <v>24</v>
      </c>
      <c r="D9473" s="2">
        <v>6565.12</v>
      </c>
      <c r="E9473" s="2">
        <v>0</v>
      </c>
      <c r="F9473" t="s">
        <v>8</v>
      </c>
      <c r="G9473" t="s">
        <v>9</v>
      </c>
    </row>
    <row r="9474" spans="1:7" x14ac:dyDescent="0.35">
      <c r="A9474">
        <v>3760</v>
      </c>
      <c r="B9474" s="1">
        <v>45797</v>
      </c>
      <c r="C9474" t="s">
        <v>24</v>
      </c>
      <c r="D9474" s="2">
        <v>0</v>
      </c>
      <c r="E9474" s="2">
        <v>6565.12</v>
      </c>
      <c r="F9474" t="s">
        <v>13</v>
      </c>
      <c r="G9474" t="s">
        <v>9</v>
      </c>
    </row>
    <row r="9475" spans="1:7" x14ac:dyDescent="0.35">
      <c r="A9475">
        <v>3761</v>
      </c>
      <c r="B9475" s="1">
        <v>45797</v>
      </c>
      <c r="C9475" t="s">
        <v>25</v>
      </c>
      <c r="D9475" s="2">
        <v>4476.71</v>
      </c>
      <c r="E9475" s="2">
        <v>0</v>
      </c>
      <c r="F9475" t="s">
        <v>26</v>
      </c>
      <c r="G9475" t="s">
        <v>20</v>
      </c>
    </row>
    <row r="9476" spans="1:7" x14ac:dyDescent="0.35">
      <c r="A9476">
        <v>3761</v>
      </c>
      <c r="B9476" s="1">
        <v>45797</v>
      </c>
      <c r="C9476" t="s">
        <v>25</v>
      </c>
      <c r="D9476" s="2">
        <v>335.75</v>
      </c>
      <c r="E9476" s="2">
        <v>0</v>
      </c>
      <c r="F9476" t="s">
        <v>27</v>
      </c>
      <c r="G9476" t="s">
        <v>9</v>
      </c>
    </row>
    <row r="9477" spans="1:7" x14ac:dyDescent="0.35">
      <c r="A9477">
        <v>3761</v>
      </c>
      <c r="B9477" s="1">
        <v>45797</v>
      </c>
      <c r="C9477" t="s">
        <v>25</v>
      </c>
      <c r="D9477" s="2">
        <v>0</v>
      </c>
      <c r="E9477" s="2">
        <v>4812.46</v>
      </c>
      <c r="F9477" t="s">
        <v>28</v>
      </c>
      <c r="G9477" t="s">
        <v>17</v>
      </c>
    </row>
    <row r="9478" spans="1:7" x14ac:dyDescent="0.35">
      <c r="A9478">
        <v>3762</v>
      </c>
      <c r="B9478" s="1">
        <v>45797</v>
      </c>
      <c r="C9478" t="s">
        <v>29</v>
      </c>
      <c r="D9478" s="2">
        <v>748.26</v>
      </c>
      <c r="E9478" s="2">
        <v>0</v>
      </c>
      <c r="F9478" t="s">
        <v>28</v>
      </c>
      <c r="G9478" t="s">
        <v>17</v>
      </c>
    </row>
    <row r="9479" spans="1:7" x14ac:dyDescent="0.35">
      <c r="A9479">
        <v>3762</v>
      </c>
      <c r="B9479" s="1">
        <v>45797</v>
      </c>
      <c r="C9479" t="s">
        <v>29</v>
      </c>
      <c r="D9479" s="2">
        <v>0</v>
      </c>
      <c r="E9479" s="2">
        <v>748.26</v>
      </c>
      <c r="F9479" t="s">
        <v>8</v>
      </c>
      <c r="G9479" t="s">
        <v>9</v>
      </c>
    </row>
    <row r="9480" spans="1:7" x14ac:dyDescent="0.35">
      <c r="A9480">
        <v>3763</v>
      </c>
      <c r="B9480" s="1">
        <v>45797</v>
      </c>
      <c r="C9480" t="s">
        <v>29</v>
      </c>
      <c r="D9480" s="2">
        <v>179.01</v>
      </c>
      <c r="E9480" s="2">
        <v>0</v>
      </c>
      <c r="F9480" t="s">
        <v>28</v>
      </c>
      <c r="G9480" t="s">
        <v>17</v>
      </c>
    </row>
    <row r="9481" spans="1:7" x14ac:dyDescent="0.35">
      <c r="A9481">
        <v>3763</v>
      </c>
      <c r="B9481" s="1">
        <v>45797</v>
      </c>
      <c r="C9481" t="s">
        <v>29</v>
      </c>
      <c r="D9481" s="2">
        <v>0</v>
      </c>
      <c r="E9481" s="2">
        <v>179.01</v>
      </c>
      <c r="F9481" t="s">
        <v>8</v>
      </c>
      <c r="G9481" t="s">
        <v>9</v>
      </c>
    </row>
    <row r="9482" spans="1:7" x14ac:dyDescent="0.35">
      <c r="A9482">
        <v>3764</v>
      </c>
      <c r="B9482" s="1">
        <v>45798</v>
      </c>
      <c r="C9482" t="s">
        <v>12</v>
      </c>
      <c r="D9482" s="2">
        <v>59.07</v>
      </c>
      <c r="E9482" s="2">
        <v>0</v>
      </c>
      <c r="F9482" t="s">
        <v>13</v>
      </c>
      <c r="G9482" t="s">
        <v>9</v>
      </c>
    </row>
    <row r="9483" spans="1:7" x14ac:dyDescent="0.35">
      <c r="A9483">
        <v>3764</v>
      </c>
      <c r="B9483" s="1">
        <v>45798</v>
      </c>
      <c r="C9483" t="s">
        <v>12</v>
      </c>
      <c r="D9483" s="2">
        <v>0</v>
      </c>
      <c r="E9483" s="2">
        <v>54.95</v>
      </c>
      <c r="F9483" t="s">
        <v>14</v>
      </c>
      <c r="G9483" t="s">
        <v>15</v>
      </c>
    </row>
    <row r="9484" spans="1:7" x14ac:dyDescent="0.35">
      <c r="A9484">
        <v>3764</v>
      </c>
      <c r="B9484" s="1">
        <v>45798</v>
      </c>
      <c r="C9484" t="s">
        <v>12</v>
      </c>
      <c r="D9484" s="2">
        <v>0</v>
      </c>
      <c r="E9484" s="2">
        <v>4.12</v>
      </c>
      <c r="F9484" t="s">
        <v>16</v>
      </c>
      <c r="G9484" t="s">
        <v>17</v>
      </c>
    </row>
    <row r="9485" spans="1:7" x14ac:dyDescent="0.35">
      <c r="A9485">
        <v>3765</v>
      </c>
      <c r="B9485" s="1">
        <v>45798</v>
      </c>
      <c r="C9485" t="s">
        <v>12</v>
      </c>
      <c r="D9485" s="2">
        <v>1187.6300000000001</v>
      </c>
      <c r="E9485" s="2">
        <v>0</v>
      </c>
      <c r="F9485" t="s">
        <v>13</v>
      </c>
      <c r="G9485" t="s">
        <v>9</v>
      </c>
    </row>
    <row r="9486" spans="1:7" x14ac:dyDescent="0.35">
      <c r="A9486">
        <v>3765</v>
      </c>
      <c r="B9486" s="1">
        <v>45798</v>
      </c>
      <c r="C9486" t="s">
        <v>12</v>
      </c>
      <c r="D9486" s="2">
        <v>0</v>
      </c>
      <c r="E9486" s="2">
        <v>1104.77</v>
      </c>
      <c r="F9486" t="s">
        <v>14</v>
      </c>
      <c r="G9486" t="s">
        <v>15</v>
      </c>
    </row>
    <row r="9487" spans="1:7" x14ac:dyDescent="0.35">
      <c r="A9487">
        <v>3765</v>
      </c>
      <c r="B9487" s="1">
        <v>45798</v>
      </c>
      <c r="C9487" t="s">
        <v>12</v>
      </c>
      <c r="D9487" s="2">
        <v>0</v>
      </c>
      <c r="E9487" s="2">
        <v>82.86</v>
      </c>
      <c r="F9487" t="s">
        <v>16</v>
      </c>
      <c r="G9487" t="s">
        <v>17</v>
      </c>
    </row>
    <row r="9488" spans="1:7" x14ac:dyDescent="0.35">
      <c r="A9488">
        <v>3766</v>
      </c>
      <c r="B9488" s="1">
        <v>45798</v>
      </c>
      <c r="C9488" t="s">
        <v>12</v>
      </c>
      <c r="D9488" s="2">
        <v>3123.33</v>
      </c>
      <c r="E9488" s="2">
        <v>0</v>
      </c>
      <c r="F9488" t="s">
        <v>13</v>
      </c>
      <c r="G9488" t="s">
        <v>9</v>
      </c>
    </row>
    <row r="9489" spans="1:7" x14ac:dyDescent="0.35">
      <c r="A9489">
        <v>3766</v>
      </c>
      <c r="B9489" s="1">
        <v>45798</v>
      </c>
      <c r="C9489" t="s">
        <v>12</v>
      </c>
      <c r="D9489" s="2">
        <v>0</v>
      </c>
      <c r="E9489" s="2">
        <v>2905.42</v>
      </c>
      <c r="F9489" t="s">
        <v>14</v>
      </c>
      <c r="G9489" t="s">
        <v>15</v>
      </c>
    </row>
    <row r="9490" spans="1:7" x14ac:dyDescent="0.35">
      <c r="A9490">
        <v>3766</v>
      </c>
      <c r="B9490" s="1">
        <v>45798</v>
      </c>
      <c r="C9490" t="s">
        <v>12</v>
      </c>
      <c r="D9490" s="2">
        <v>0</v>
      </c>
      <c r="E9490" s="2">
        <v>217.91</v>
      </c>
      <c r="F9490" t="s">
        <v>16</v>
      </c>
      <c r="G9490" t="s">
        <v>17</v>
      </c>
    </row>
    <row r="9491" spans="1:7" x14ac:dyDescent="0.35">
      <c r="A9491">
        <v>3767</v>
      </c>
      <c r="B9491" s="1">
        <v>45798</v>
      </c>
      <c r="C9491" t="s">
        <v>12</v>
      </c>
      <c r="D9491" s="2">
        <v>83.27</v>
      </c>
      <c r="E9491" s="2">
        <v>0</v>
      </c>
      <c r="F9491" t="s">
        <v>13</v>
      </c>
      <c r="G9491" t="s">
        <v>9</v>
      </c>
    </row>
    <row r="9492" spans="1:7" x14ac:dyDescent="0.35">
      <c r="A9492">
        <v>3767</v>
      </c>
      <c r="B9492" s="1">
        <v>45798</v>
      </c>
      <c r="C9492" t="s">
        <v>12</v>
      </c>
      <c r="D9492" s="2">
        <v>0</v>
      </c>
      <c r="E9492" s="2">
        <v>77.459999999999994</v>
      </c>
      <c r="F9492" t="s">
        <v>14</v>
      </c>
      <c r="G9492" t="s">
        <v>15</v>
      </c>
    </row>
    <row r="9493" spans="1:7" x14ac:dyDescent="0.35">
      <c r="A9493">
        <v>3767</v>
      </c>
      <c r="B9493" s="1">
        <v>45798</v>
      </c>
      <c r="C9493" t="s">
        <v>12</v>
      </c>
      <c r="D9493" s="2">
        <v>0</v>
      </c>
      <c r="E9493" s="2">
        <v>5.81</v>
      </c>
      <c r="F9493" t="s">
        <v>16</v>
      </c>
      <c r="G9493" t="s">
        <v>17</v>
      </c>
    </row>
    <row r="9494" spans="1:7" x14ac:dyDescent="0.35">
      <c r="A9494">
        <v>3768</v>
      </c>
      <c r="B9494" s="1">
        <v>45798</v>
      </c>
      <c r="C9494" t="s">
        <v>12</v>
      </c>
      <c r="D9494" s="2">
        <v>2250.5100000000002</v>
      </c>
      <c r="E9494" s="2">
        <v>0</v>
      </c>
      <c r="F9494" t="s">
        <v>13</v>
      </c>
      <c r="G9494" t="s">
        <v>9</v>
      </c>
    </row>
    <row r="9495" spans="1:7" x14ac:dyDescent="0.35">
      <c r="A9495">
        <v>3768</v>
      </c>
      <c r="B9495" s="1">
        <v>45798</v>
      </c>
      <c r="C9495" t="s">
        <v>12</v>
      </c>
      <c r="D9495" s="2">
        <v>0</v>
      </c>
      <c r="E9495" s="2">
        <v>2093.4899999999998</v>
      </c>
      <c r="F9495" t="s">
        <v>14</v>
      </c>
      <c r="G9495" t="s">
        <v>15</v>
      </c>
    </row>
    <row r="9496" spans="1:7" x14ac:dyDescent="0.35">
      <c r="A9496">
        <v>3768</v>
      </c>
      <c r="B9496" s="1">
        <v>45798</v>
      </c>
      <c r="C9496" t="s">
        <v>12</v>
      </c>
      <c r="D9496" s="2">
        <v>0</v>
      </c>
      <c r="E9496" s="2">
        <v>157.02000000000001</v>
      </c>
      <c r="F9496" t="s">
        <v>16</v>
      </c>
      <c r="G9496" t="s">
        <v>17</v>
      </c>
    </row>
    <row r="9497" spans="1:7" x14ac:dyDescent="0.35">
      <c r="A9497">
        <v>3769</v>
      </c>
      <c r="B9497" s="1">
        <v>45798</v>
      </c>
      <c r="C9497" t="s">
        <v>12</v>
      </c>
      <c r="D9497" s="2">
        <v>5968.37</v>
      </c>
      <c r="E9497" s="2">
        <v>0</v>
      </c>
      <c r="F9497" t="s">
        <v>13</v>
      </c>
      <c r="G9497" t="s">
        <v>9</v>
      </c>
    </row>
    <row r="9498" spans="1:7" x14ac:dyDescent="0.35">
      <c r="A9498">
        <v>3769</v>
      </c>
      <c r="B9498" s="1">
        <v>45798</v>
      </c>
      <c r="C9498" t="s">
        <v>12</v>
      </c>
      <c r="D9498" s="2">
        <v>0</v>
      </c>
      <c r="E9498" s="2">
        <v>5551.96</v>
      </c>
      <c r="F9498" t="s">
        <v>14</v>
      </c>
      <c r="G9498" t="s">
        <v>15</v>
      </c>
    </row>
    <row r="9499" spans="1:7" x14ac:dyDescent="0.35">
      <c r="A9499">
        <v>3769</v>
      </c>
      <c r="B9499" s="1">
        <v>45798</v>
      </c>
      <c r="C9499" t="s">
        <v>12</v>
      </c>
      <c r="D9499" s="2">
        <v>0</v>
      </c>
      <c r="E9499" s="2">
        <v>416.41</v>
      </c>
      <c r="F9499" t="s">
        <v>16</v>
      </c>
      <c r="G9499" t="s">
        <v>17</v>
      </c>
    </row>
    <row r="9500" spans="1:7" x14ac:dyDescent="0.35">
      <c r="A9500">
        <v>3770</v>
      </c>
      <c r="B9500" s="1">
        <v>45798</v>
      </c>
      <c r="C9500" t="s">
        <v>24</v>
      </c>
      <c r="D9500" s="2">
        <v>1029.6600000000001</v>
      </c>
      <c r="E9500" s="2">
        <v>0</v>
      </c>
      <c r="F9500" t="s">
        <v>8</v>
      </c>
      <c r="G9500" t="s">
        <v>9</v>
      </c>
    </row>
    <row r="9501" spans="1:7" x14ac:dyDescent="0.35">
      <c r="A9501">
        <v>3770</v>
      </c>
      <c r="B9501" s="1">
        <v>45798</v>
      </c>
      <c r="C9501" t="s">
        <v>24</v>
      </c>
      <c r="D9501" s="2">
        <v>0</v>
      </c>
      <c r="E9501" s="2">
        <v>1029.6600000000001</v>
      </c>
      <c r="F9501" t="s">
        <v>13</v>
      </c>
      <c r="G9501" t="s">
        <v>9</v>
      </c>
    </row>
    <row r="9502" spans="1:7" x14ac:dyDescent="0.35">
      <c r="A9502">
        <v>3771</v>
      </c>
      <c r="B9502" s="1">
        <v>45798</v>
      </c>
      <c r="C9502" t="s">
        <v>24</v>
      </c>
      <c r="D9502" s="2">
        <v>3470.48</v>
      </c>
      <c r="E9502" s="2">
        <v>0</v>
      </c>
      <c r="F9502" t="s">
        <v>8</v>
      </c>
      <c r="G9502" t="s">
        <v>9</v>
      </c>
    </row>
    <row r="9503" spans="1:7" x14ac:dyDescent="0.35">
      <c r="A9503">
        <v>3771</v>
      </c>
      <c r="B9503" s="1">
        <v>45798</v>
      </c>
      <c r="C9503" t="s">
        <v>24</v>
      </c>
      <c r="D9503" s="2">
        <v>0</v>
      </c>
      <c r="E9503" s="2">
        <v>3470.48</v>
      </c>
      <c r="F9503" t="s">
        <v>13</v>
      </c>
      <c r="G9503" t="s">
        <v>9</v>
      </c>
    </row>
    <row r="9504" spans="1:7" x14ac:dyDescent="0.35">
      <c r="A9504">
        <v>3772</v>
      </c>
      <c r="B9504" s="1">
        <v>45798</v>
      </c>
      <c r="C9504" t="s">
        <v>24</v>
      </c>
      <c r="D9504" s="2">
        <v>3720.78</v>
      </c>
      <c r="E9504" s="2">
        <v>0</v>
      </c>
      <c r="F9504" t="s">
        <v>8</v>
      </c>
      <c r="G9504" t="s">
        <v>9</v>
      </c>
    </row>
    <row r="9505" spans="1:7" x14ac:dyDescent="0.35">
      <c r="A9505">
        <v>3772</v>
      </c>
      <c r="B9505" s="1">
        <v>45798</v>
      </c>
      <c r="C9505" t="s">
        <v>24</v>
      </c>
      <c r="D9505" s="2">
        <v>0</v>
      </c>
      <c r="E9505" s="2">
        <v>3720.78</v>
      </c>
      <c r="F9505" t="s">
        <v>13</v>
      </c>
      <c r="G9505" t="s">
        <v>9</v>
      </c>
    </row>
    <row r="9506" spans="1:7" x14ac:dyDescent="0.35">
      <c r="A9506">
        <v>3773</v>
      </c>
      <c r="B9506" s="1">
        <v>45798</v>
      </c>
      <c r="C9506" t="s">
        <v>24</v>
      </c>
      <c r="D9506" s="2">
        <v>2819.16</v>
      </c>
      <c r="E9506" s="2">
        <v>0</v>
      </c>
      <c r="F9506" t="s">
        <v>8</v>
      </c>
      <c r="G9506" t="s">
        <v>9</v>
      </c>
    </row>
    <row r="9507" spans="1:7" x14ac:dyDescent="0.35">
      <c r="A9507">
        <v>3773</v>
      </c>
      <c r="B9507" s="1">
        <v>45798</v>
      </c>
      <c r="C9507" t="s">
        <v>24</v>
      </c>
      <c r="D9507" s="2">
        <v>0</v>
      </c>
      <c r="E9507" s="2">
        <v>2819.16</v>
      </c>
      <c r="F9507" t="s">
        <v>13</v>
      </c>
      <c r="G9507" t="s">
        <v>9</v>
      </c>
    </row>
    <row r="9508" spans="1:7" x14ac:dyDescent="0.35">
      <c r="A9508">
        <v>3774</v>
      </c>
      <c r="B9508" s="1">
        <v>45798</v>
      </c>
      <c r="C9508" t="s">
        <v>24</v>
      </c>
      <c r="D9508" s="2">
        <v>4485.37</v>
      </c>
      <c r="E9508" s="2">
        <v>0</v>
      </c>
      <c r="F9508" t="s">
        <v>8</v>
      </c>
      <c r="G9508" t="s">
        <v>9</v>
      </c>
    </row>
    <row r="9509" spans="1:7" x14ac:dyDescent="0.35">
      <c r="A9509">
        <v>3774</v>
      </c>
      <c r="B9509" s="1">
        <v>45798</v>
      </c>
      <c r="C9509" t="s">
        <v>24</v>
      </c>
      <c r="D9509" s="2">
        <v>0</v>
      </c>
      <c r="E9509" s="2">
        <v>4485.37</v>
      </c>
      <c r="F9509" t="s">
        <v>13</v>
      </c>
      <c r="G9509" t="s">
        <v>9</v>
      </c>
    </row>
    <row r="9510" spans="1:7" x14ac:dyDescent="0.35">
      <c r="A9510">
        <v>3775</v>
      </c>
      <c r="B9510" s="1">
        <v>45798</v>
      </c>
      <c r="C9510" t="s">
        <v>24</v>
      </c>
      <c r="D9510" s="2">
        <v>932.28</v>
      </c>
      <c r="E9510" s="2">
        <v>0</v>
      </c>
      <c r="F9510" t="s">
        <v>8</v>
      </c>
      <c r="G9510" t="s">
        <v>9</v>
      </c>
    </row>
    <row r="9511" spans="1:7" x14ac:dyDescent="0.35">
      <c r="A9511">
        <v>3775</v>
      </c>
      <c r="B9511" s="1">
        <v>45798</v>
      </c>
      <c r="C9511" t="s">
        <v>24</v>
      </c>
      <c r="D9511" s="2">
        <v>0</v>
      </c>
      <c r="E9511" s="2">
        <v>932.28</v>
      </c>
      <c r="F9511" t="s">
        <v>13</v>
      </c>
      <c r="G9511" t="s">
        <v>9</v>
      </c>
    </row>
    <row r="9512" spans="1:7" x14ac:dyDescent="0.35">
      <c r="A9512">
        <v>3776</v>
      </c>
      <c r="B9512" s="1">
        <v>45798</v>
      </c>
      <c r="C9512" t="s">
        <v>24</v>
      </c>
      <c r="D9512" s="2">
        <v>2046.58</v>
      </c>
      <c r="E9512" s="2">
        <v>0</v>
      </c>
      <c r="F9512" t="s">
        <v>8</v>
      </c>
      <c r="G9512" t="s">
        <v>9</v>
      </c>
    </row>
    <row r="9513" spans="1:7" x14ac:dyDescent="0.35">
      <c r="A9513">
        <v>3776</v>
      </c>
      <c r="B9513" s="1">
        <v>45798</v>
      </c>
      <c r="C9513" t="s">
        <v>24</v>
      </c>
      <c r="D9513" s="2">
        <v>0</v>
      </c>
      <c r="E9513" s="2">
        <v>2046.58</v>
      </c>
      <c r="F9513" t="s">
        <v>13</v>
      </c>
      <c r="G9513" t="s">
        <v>9</v>
      </c>
    </row>
    <row r="9514" spans="1:7" x14ac:dyDescent="0.35">
      <c r="A9514">
        <v>3777</v>
      </c>
      <c r="B9514" s="1">
        <v>45798</v>
      </c>
      <c r="C9514" t="s">
        <v>24</v>
      </c>
      <c r="D9514" s="2">
        <v>3123.33</v>
      </c>
      <c r="E9514" s="2">
        <v>0</v>
      </c>
      <c r="F9514" t="s">
        <v>8</v>
      </c>
      <c r="G9514" t="s">
        <v>9</v>
      </c>
    </row>
    <row r="9515" spans="1:7" x14ac:dyDescent="0.35">
      <c r="A9515">
        <v>3777</v>
      </c>
      <c r="B9515" s="1">
        <v>45798</v>
      </c>
      <c r="C9515" t="s">
        <v>24</v>
      </c>
      <c r="D9515" s="2">
        <v>0</v>
      </c>
      <c r="E9515" s="2">
        <v>3123.33</v>
      </c>
      <c r="F9515" t="s">
        <v>13</v>
      </c>
      <c r="G9515" t="s">
        <v>9</v>
      </c>
    </row>
    <row r="9516" spans="1:7" x14ac:dyDescent="0.35">
      <c r="A9516">
        <v>3778</v>
      </c>
      <c r="B9516" s="1">
        <v>45798</v>
      </c>
      <c r="C9516" t="s">
        <v>29</v>
      </c>
      <c r="D9516" s="2">
        <v>201.5</v>
      </c>
      <c r="E9516" s="2">
        <v>0</v>
      </c>
      <c r="F9516" t="s">
        <v>28</v>
      </c>
      <c r="G9516" t="s">
        <v>17</v>
      </c>
    </row>
    <row r="9517" spans="1:7" x14ac:dyDescent="0.35">
      <c r="A9517">
        <v>3778</v>
      </c>
      <c r="B9517" s="1">
        <v>45798</v>
      </c>
      <c r="C9517" t="s">
        <v>29</v>
      </c>
      <c r="D9517" s="2">
        <v>0</v>
      </c>
      <c r="E9517" s="2">
        <v>201.5</v>
      </c>
      <c r="F9517" t="s">
        <v>8</v>
      </c>
      <c r="G9517" t="s">
        <v>9</v>
      </c>
    </row>
    <row r="9518" spans="1:7" x14ac:dyDescent="0.35">
      <c r="A9518">
        <v>3779</v>
      </c>
      <c r="B9518" s="1">
        <v>45798</v>
      </c>
      <c r="C9518" t="s">
        <v>29</v>
      </c>
      <c r="D9518" s="2">
        <v>550.4</v>
      </c>
      <c r="E9518" s="2">
        <v>0</v>
      </c>
      <c r="F9518" t="s">
        <v>28</v>
      </c>
      <c r="G9518" t="s">
        <v>17</v>
      </c>
    </row>
    <row r="9519" spans="1:7" x14ac:dyDescent="0.35">
      <c r="A9519">
        <v>3779</v>
      </c>
      <c r="B9519" s="1">
        <v>45798</v>
      </c>
      <c r="C9519" t="s">
        <v>29</v>
      </c>
      <c r="D9519" s="2">
        <v>0</v>
      </c>
      <c r="E9519" s="2">
        <v>550.4</v>
      </c>
      <c r="F9519" t="s">
        <v>8</v>
      </c>
      <c r="G9519" t="s">
        <v>9</v>
      </c>
    </row>
    <row r="9520" spans="1:7" x14ac:dyDescent="0.35">
      <c r="A9520">
        <v>3780</v>
      </c>
      <c r="B9520" s="1">
        <v>45798</v>
      </c>
      <c r="C9520" t="s">
        <v>29</v>
      </c>
      <c r="D9520" s="2">
        <v>9336.67</v>
      </c>
      <c r="E9520" s="2">
        <v>0</v>
      </c>
      <c r="F9520" t="s">
        <v>28</v>
      </c>
      <c r="G9520" t="s">
        <v>17</v>
      </c>
    </row>
    <row r="9521" spans="1:7" x14ac:dyDescent="0.35">
      <c r="A9521">
        <v>3780</v>
      </c>
      <c r="B9521" s="1">
        <v>45798</v>
      </c>
      <c r="C9521" t="s">
        <v>29</v>
      </c>
      <c r="D9521" s="2">
        <v>0</v>
      </c>
      <c r="E9521" s="2">
        <v>9336.67</v>
      </c>
      <c r="F9521" t="s">
        <v>8</v>
      </c>
      <c r="G9521" t="s">
        <v>9</v>
      </c>
    </row>
    <row r="9522" spans="1:7" x14ac:dyDescent="0.35">
      <c r="A9522">
        <v>3781</v>
      </c>
      <c r="B9522" s="1">
        <v>45798</v>
      </c>
      <c r="C9522" t="s">
        <v>29</v>
      </c>
      <c r="D9522" s="2">
        <v>862.91</v>
      </c>
      <c r="E9522" s="2">
        <v>0</v>
      </c>
      <c r="F9522" t="s">
        <v>28</v>
      </c>
      <c r="G9522" t="s">
        <v>17</v>
      </c>
    </row>
    <row r="9523" spans="1:7" x14ac:dyDescent="0.35">
      <c r="A9523">
        <v>3781</v>
      </c>
      <c r="B9523" s="1">
        <v>45798</v>
      </c>
      <c r="C9523" t="s">
        <v>29</v>
      </c>
      <c r="D9523" s="2">
        <v>0</v>
      </c>
      <c r="E9523" s="2">
        <v>862.91</v>
      </c>
      <c r="F9523" t="s">
        <v>8</v>
      </c>
      <c r="G9523" t="s">
        <v>9</v>
      </c>
    </row>
    <row r="9524" spans="1:7" x14ac:dyDescent="0.35">
      <c r="A9524">
        <v>3782</v>
      </c>
      <c r="B9524" s="1">
        <v>45799</v>
      </c>
      <c r="C9524" t="s">
        <v>18</v>
      </c>
      <c r="D9524" s="2">
        <v>22833.119999999999</v>
      </c>
      <c r="E9524" s="2">
        <v>0</v>
      </c>
      <c r="F9524" t="s">
        <v>19</v>
      </c>
      <c r="G9524" t="s">
        <v>20</v>
      </c>
    </row>
    <row r="9525" spans="1:7" x14ac:dyDescent="0.35">
      <c r="A9525">
        <v>3782</v>
      </c>
      <c r="B9525" s="1">
        <v>45799</v>
      </c>
      <c r="C9525" t="s">
        <v>18</v>
      </c>
      <c r="D9525" s="2">
        <v>913.32</v>
      </c>
      <c r="E9525" s="2">
        <v>0</v>
      </c>
      <c r="F9525" t="s">
        <v>21</v>
      </c>
      <c r="G9525" t="s">
        <v>20</v>
      </c>
    </row>
    <row r="9526" spans="1:7" x14ac:dyDescent="0.35">
      <c r="A9526">
        <v>3782</v>
      </c>
      <c r="B9526" s="1">
        <v>45799</v>
      </c>
      <c r="C9526" t="s">
        <v>18</v>
      </c>
      <c r="D9526" s="2">
        <v>0</v>
      </c>
      <c r="E9526" s="2">
        <v>18763.849999999999</v>
      </c>
      <c r="F9526" t="s">
        <v>8</v>
      </c>
      <c r="G9526" t="s">
        <v>9</v>
      </c>
    </row>
    <row r="9527" spans="1:7" x14ac:dyDescent="0.35">
      <c r="A9527">
        <v>3782</v>
      </c>
      <c r="B9527" s="1">
        <v>45799</v>
      </c>
      <c r="C9527" t="s">
        <v>18</v>
      </c>
      <c r="D9527" s="2">
        <v>0</v>
      </c>
      <c r="E9527" s="2">
        <v>4069.27</v>
      </c>
      <c r="F9527" t="s">
        <v>22</v>
      </c>
      <c r="G9527" t="s">
        <v>17</v>
      </c>
    </row>
    <row r="9528" spans="1:7" x14ac:dyDescent="0.35">
      <c r="A9528">
        <v>3782</v>
      </c>
      <c r="B9528" s="1">
        <v>45799</v>
      </c>
      <c r="C9528" t="s">
        <v>18</v>
      </c>
      <c r="D9528" s="2">
        <v>0</v>
      </c>
      <c r="E9528" s="2">
        <v>913.32</v>
      </c>
      <c r="F9528" t="s">
        <v>23</v>
      </c>
      <c r="G9528" t="s">
        <v>17</v>
      </c>
    </row>
    <row r="9529" spans="1:7" x14ac:dyDescent="0.35">
      <c r="A9529">
        <v>3783</v>
      </c>
      <c r="B9529" s="1">
        <v>45799</v>
      </c>
      <c r="C9529" t="s">
        <v>12</v>
      </c>
      <c r="D9529" s="2">
        <v>2913.8</v>
      </c>
      <c r="E9529" s="2">
        <v>0</v>
      </c>
      <c r="F9529" t="s">
        <v>13</v>
      </c>
      <c r="G9529" t="s">
        <v>9</v>
      </c>
    </row>
    <row r="9530" spans="1:7" x14ac:dyDescent="0.35">
      <c r="A9530">
        <v>3783</v>
      </c>
      <c r="B9530" s="1">
        <v>45799</v>
      </c>
      <c r="C9530" t="s">
        <v>12</v>
      </c>
      <c r="D9530" s="2">
        <v>0</v>
      </c>
      <c r="E9530" s="2">
        <v>2710.52</v>
      </c>
      <c r="F9530" t="s">
        <v>14</v>
      </c>
      <c r="G9530" t="s">
        <v>15</v>
      </c>
    </row>
    <row r="9531" spans="1:7" x14ac:dyDescent="0.35">
      <c r="A9531">
        <v>3783</v>
      </c>
      <c r="B9531" s="1">
        <v>45799</v>
      </c>
      <c r="C9531" t="s">
        <v>12</v>
      </c>
      <c r="D9531" s="2">
        <v>0</v>
      </c>
      <c r="E9531" s="2">
        <v>203.28</v>
      </c>
      <c r="F9531" t="s">
        <v>16</v>
      </c>
      <c r="G9531" t="s">
        <v>17</v>
      </c>
    </row>
    <row r="9532" spans="1:7" x14ac:dyDescent="0.35">
      <c r="A9532">
        <v>3784</v>
      </c>
      <c r="B9532" s="1">
        <v>45799</v>
      </c>
      <c r="C9532" t="s">
        <v>12</v>
      </c>
      <c r="D9532" s="2">
        <v>1456.93</v>
      </c>
      <c r="E9532" s="2">
        <v>0</v>
      </c>
      <c r="F9532" t="s">
        <v>13</v>
      </c>
      <c r="G9532" t="s">
        <v>9</v>
      </c>
    </row>
    <row r="9533" spans="1:7" x14ac:dyDescent="0.35">
      <c r="A9533">
        <v>3784</v>
      </c>
      <c r="B9533" s="1">
        <v>45799</v>
      </c>
      <c r="C9533" t="s">
        <v>12</v>
      </c>
      <c r="D9533" s="2">
        <v>0</v>
      </c>
      <c r="E9533" s="2">
        <v>1355.28</v>
      </c>
      <c r="F9533" t="s">
        <v>14</v>
      </c>
      <c r="G9533" t="s">
        <v>15</v>
      </c>
    </row>
    <row r="9534" spans="1:7" x14ac:dyDescent="0.35">
      <c r="A9534">
        <v>3784</v>
      </c>
      <c r="B9534" s="1">
        <v>45799</v>
      </c>
      <c r="C9534" t="s">
        <v>12</v>
      </c>
      <c r="D9534" s="2">
        <v>0</v>
      </c>
      <c r="E9534" s="2">
        <v>101.65</v>
      </c>
      <c r="F9534" t="s">
        <v>16</v>
      </c>
      <c r="G9534" t="s">
        <v>17</v>
      </c>
    </row>
    <row r="9535" spans="1:7" x14ac:dyDescent="0.35">
      <c r="A9535">
        <v>3785</v>
      </c>
      <c r="B9535" s="1">
        <v>45799</v>
      </c>
      <c r="C9535" t="s">
        <v>12</v>
      </c>
      <c r="D9535" s="2">
        <v>5582.11</v>
      </c>
      <c r="E9535" s="2">
        <v>0</v>
      </c>
      <c r="F9535" t="s">
        <v>13</v>
      </c>
      <c r="G9535" t="s">
        <v>9</v>
      </c>
    </row>
    <row r="9536" spans="1:7" x14ac:dyDescent="0.35">
      <c r="A9536">
        <v>3785</v>
      </c>
      <c r="B9536" s="1">
        <v>45799</v>
      </c>
      <c r="C9536" t="s">
        <v>12</v>
      </c>
      <c r="D9536" s="2">
        <v>0</v>
      </c>
      <c r="E9536" s="2">
        <v>5192.66</v>
      </c>
      <c r="F9536" t="s">
        <v>14</v>
      </c>
      <c r="G9536" t="s">
        <v>15</v>
      </c>
    </row>
    <row r="9537" spans="1:7" x14ac:dyDescent="0.35">
      <c r="A9537">
        <v>3785</v>
      </c>
      <c r="B9537" s="1">
        <v>45799</v>
      </c>
      <c r="C9537" t="s">
        <v>12</v>
      </c>
      <c r="D9537" s="2">
        <v>0</v>
      </c>
      <c r="E9537" s="2">
        <v>389.45</v>
      </c>
      <c r="F9537" t="s">
        <v>16</v>
      </c>
      <c r="G9537" t="s">
        <v>17</v>
      </c>
    </row>
    <row r="9538" spans="1:7" x14ac:dyDescent="0.35">
      <c r="A9538">
        <v>3786</v>
      </c>
      <c r="B9538" s="1">
        <v>45799</v>
      </c>
      <c r="C9538" t="s">
        <v>12</v>
      </c>
      <c r="D9538" s="2">
        <v>2374.0300000000002</v>
      </c>
      <c r="E9538" s="2">
        <v>0</v>
      </c>
      <c r="F9538" t="s">
        <v>13</v>
      </c>
      <c r="G9538" t="s">
        <v>9</v>
      </c>
    </row>
    <row r="9539" spans="1:7" x14ac:dyDescent="0.35">
      <c r="A9539">
        <v>3786</v>
      </c>
      <c r="B9539" s="1">
        <v>45799</v>
      </c>
      <c r="C9539" t="s">
        <v>12</v>
      </c>
      <c r="D9539" s="2">
        <v>0</v>
      </c>
      <c r="E9539" s="2">
        <v>2208.4</v>
      </c>
      <c r="F9539" t="s">
        <v>14</v>
      </c>
      <c r="G9539" t="s">
        <v>15</v>
      </c>
    </row>
    <row r="9540" spans="1:7" x14ac:dyDescent="0.35">
      <c r="A9540">
        <v>3786</v>
      </c>
      <c r="B9540" s="1">
        <v>45799</v>
      </c>
      <c r="C9540" t="s">
        <v>12</v>
      </c>
      <c r="D9540" s="2">
        <v>0</v>
      </c>
      <c r="E9540" s="2">
        <v>165.63</v>
      </c>
      <c r="F9540" t="s">
        <v>16</v>
      </c>
      <c r="G9540" t="s">
        <v>17</v>
      </c>
    </row>
    <row r="9541" spans="1:7" x14ac:dyDescent="0.35">
      <c r="A9541">
        <v>3787</v>
      </c>
      <c r="B9541" s="1">
        <v>45799</v>
      </c>
      <c r="C9541" t="s">
        <v>12</v>
      </c>
      <c r="D9541" s="2">
        <v>3022.27</v>
      </c>
      <c r="E9541" s="2">
        <v>0</v>
      </c>
      <c r="F9541" t="s">
        <v>13</v>
      </c>
      <c r="G9541" t="s">
        <v>9</v>
      </c>
    </row>
    <row r="9542" spans="1:7" x14ac:dyDescent="0.35">
      <c r="A9542">
        <v>3787</v>
      </c>
      <c r="B9542" s="1">
        <v>45799</v>
      </c>
      <c r="C9542" t="s">
        <v>12</v>
      </c>
      <c r="D9542" s="2">
        <v>0</v>
      </c>
      <c r="E9542" s="2">
        <v>2811.42</v>
      </c>
      <c r="F9542" t="s">
        <v>14</v>
      </c>
      <c r="G9542" t="s">
        <v>15</v>
      </c>
    </row>
    <row r="9543" spans="1:7" x14ac:dyDescent="0.35">
      <c r="A9543">
        <v>3787</v>
      </c>
      <c r="B9543" s="1">
        <v>45799</v>
      </c>
      <c r="C9543" t="s">
        <v>12</v>
      </c>
      <c r="D9543" s="2">
        <v>0</v>
      </c>
      <c r="E9543" s="2">
        <v>210.85</v>
      </c>
      <c r="F9543" t="s">
        <v>16</v>
      </c>
      <c r="G9543" t="s">
        <v>17</v>
      </c>
    </row>
    <row r="9544" spans="1:7" x14ac:dyDescent="0.35">
      <c r="A9544">
        <v>3788</v>
      </c>
      <c r="B9544" s="1">
        <v>45799</v>
      </c>
      <c r="C9544" t="s">
        <v>12</v>
      </c>
      <c r="D9544" s="2">
        <v>4209.7700000000004</v>
      </c>
      <c r="E9544" s="2">
        <v>0</v>
      </c>
      <c r="F9544" t="s">
        <v>13</v>
      </c>
      <c r="G9544" t="s">
        <v>9</v>
      </c>
    </row>
    <row r="9545" spans="1:7" x14ac:dyDescent="0.35">
      <c r="A9545">
        <v>3788</v>
      </c>
      <c r="B9545" s="1">
        <v>45799</v>
      </c>
      <c r="C9545" t="s">
        <v>12</v>
      </c>
      <c r="D9545" s="2">
        <v>0</v>
      </c>
      <c r="E9545" s="2">
        <v>3916.07</v>
      </c>
      <c r="F9545" t="s">
        <v>14</v>
      </c>
      <c r="G9545" t="s">
        <v>15</v>
      </c>
    </row>
    <row r="9546" spans="1:7" x14ac:dyDescent="0.35">
      <c r="A9546">
        <v>3788</v>
      </c>
      <c r="B9546" s="1">
        <v>45799</v>
      </c>
      <c r="C9546" t="s">
        <v>12</v>
      </c>
      <c r="D9546" s="2">
        <v>0</v>
      </c>
      <c r="E9546" s="2">
        <v>293.7</v>
      </c>
      <c r="F9546" t="s">
        <v>16</v>
      </c>
      <c r="G9546" t="s">
        <v>17</v>
      </c>
    </row>
    <row r="9547" spans="1:7" x14ac:dyDescent="0.35">
      <c r="A9547">
        <v>3789</v>
      </c>
      <c r="B9547" s="1">
        <v>45799</v>
      </c>
      <c r="C9547" t="s">
        <v>12</v>
      </c>
      <c r="D9547" s="2">
        <v>2993.25</v>
      </c>
      <c r="E9547" s="2">
        <v>0</v>
      </c>
      <c r="F9547" t="s">
        <v>13</v>
      </c>
      <c r="G9547" t="s">
        <v>9</v>
      </c>
    </row>
    <row r="9548" spans="1:7" x14ac:dyDescent="0.35">
      <c r="A9548">
        <v>3789</v>
      </c>
      <c r="B9548" s="1">
        <v>45799</v>
      </c>
      <c r="C9548" t="s">
        <v>12</v>
      </c>
      <c r="D9548" s="2">
        <v>0</v>
      </c>
      <c r="E9548" s="2">
        <v>2784.42</v>
      </c>
      <c r="F9548" t="s">
        <v>14</v>
      </c>
      <c r="G9548" t="s">
        <v>15</v>
      </c>
    </row>
    <row r="9549" spans="1:7" x14ac:dyDescent="0.35">
      <c r="A9549">
        <v>3789</v>
      </c>
      <c r="B9549" s="1">
        <v>45799</v>
      </c>
      <c r="C9549" t="s">
        <v>12</v>
      </c>
      <c r="D9549" s="2">
        <v>0</v>
      </c>
      <c r="E9549" s="2">
        <v>208.83</v>
      </c>
      <c r="F9549" t="s">
        <v>16</v>
      </c>
      <c r="G9549" t="s">
        <v>17</v>
      </c>
    </row>
    <row r="9550" spans="1:7" x14ac:dyDescent="0.35">
      <c r="A9550">
        <v>3790</v>
      </c>
      <c r="B9550" s="1">
        <v>45799</v>
      </c>
      <c r="C9550" t="s">
        <v>12</v>
      </c>
      <c r="D9550" s="2">
        <v>3377.48</v>
      </c>
      <c r="E9550" s="2">
        <v>0</v>
      </c>
      <c r="F9550" t="s">
        <v>13</v>
      </c>
      <c r="G9550" t="s">
        <v>9</v>
      </c>
    </row>
    <row r="9551" spans="1:7" x14ac:dyDescent="0.35">
      <c r="A9551">
        <v>3790</v>
      </c>
      <c r="B9551" s="1">
        <v>45799</v>
      </c>
      <c r="C9551" t="s">
        <v>12</v>
      </c>
      <c r="D9551" s="2">
        <v>0</v>
      </c>
      <c r="E9551" s="2">
        <v>3141.83</v>
      </c>
      <c r="F9551" t="s">
        <v>14</v>
      </c>
      <c r="G9551" t="s">
        <v>15</v>
      </c>
    </row>
    <row r="9552" spans="1:7" x14ac:dyDescent="0.35">
      <c r="A9552">
        <v>3790</v>
      </c>
      <c r="B9552" s="1">
        <v>45799</v>
      </c>
      <c r="C9552" t="s">
        <v>12</v>
      </c>
      <c r="D9552" s="2">
        <v>0</v>
      </c>
      <c r="E9552" s="2">
        <v>235.65</v>
      </c>
      <c r="F9552" t="s">
        <v>16</v>
      </c>
      <c r="G9552" t="s">
        <v>17</v>
      </c>
    </row>
    <row r="9553" spans="1:7" x14ac:dyDescent="0.35">
      <c r="A9553">
        <v>3791</v>
      </c>
      <c r="B9553" s="1">
        <v>45799</v>
      </c>
      <c r="C9553" t="s">
        <v>12</v>
      </c>
      <c r="D9553" s="2">
        <v>1931.07</v>
      </c>
      <c r="E9553" s="2">
        <v>0</v>
      </c>
      <c r="F9553" t="s">
        <v>13</v>
      </c>
      <c r="G9553" t="s">
        <v>9</v>
      </c>
    </row>
    <row r="9554" spans="1:7" x14ac:dyDescent="0.35">
      <c r="A9554">
        <v>3791</v>
      </c>
      <c r="B9554" s="1">
        <v>45799</v>
      </c>
      <c r="C9554" t="s">
        <v>12</v>
      </c>
      <c r="D9554" s="2">
        <v>0</v>
      </c>
      <c r="E9554" s="2">
        <v>1796.34</v>
      </c>
      <c r="F9554" t="s">
        <v>14</v>
      </c>
      <c r="G9554" t="s">
        <v>15</v>
      </c>
    </row>
    <row r="9555" spans="1:7" x14ac:dyDescent="0.35">
      <c r="A9555">
        <v>3791</v>
      </c>
      <c r="B9555" s="1">
        <v>45799</v>
      </c>
      <c r="C9555" t="s">
        <v>12</v>
      </c>
      <c r="D9555" s="2">
        <v>0</v>
      </c>
      <c r="E9555" s="2">
        <v>134.72999999999999</v>
      </c>
      <c r="F9555" t="s">
        <v>16</v>
      </c>
      <c r="G9555" t="s">
        <v>17</v>
      </c>
    </row>
    <row r="9556" spans="1:7" x14ac:dyDescent="0.35">
      <c r="A9556">
        <v>3792</v>
      </c>
      <c r="B9556" s="1">
        <v>45799</v>
      </c>
      <c r="C9556" t="s">
        <v>24</v>
      </c>
      <c r="D9556" s="2">
        <v>4058.34</v>
      </c>
      <c r="E9556" s="2">
        <v>0</v>
      </c>
      <c r="F9556" t="s">
        <v>8</v>
      </c>
      <c r="G9556" t="s">
        <v>9</v>
      </c>
    </row>
    <row r="9557" spans="1:7" x14ac:dyDescent="0.35">
      <c r="A9557">
        <v>3792</v>
      </c>
      <c r="B9557" s="1">
        <v>45799</v>
      </c>
      <c r="C9557" t="s">
        <v>24</v>
      </c>
      <c r="D9557" s="2">
        <v>0</v>
      </c>
      <c r="E9557" s="2">
        <v>4058.34</v>
      </c>
      <c r="F9557" t="s">
        <v>13</v>
      </c>
      <c r="G9557" t="s">
        <v>9</v>
      </c>
    </row>
    <row r="9558" spans="1:7" x14ac:dyDescent="0.35">
      <c r="A9558">
        <v>3793</v>
      </c>
      <c r="B9558" s="1">
        <v>45799</v>
      </c>
      <c r="C9558" t="s">
        <v>24</v>
      </c>
      <c r="D9558" s="2">
        <v>2932.92</v>
      </c>
      <c r="E9558" s="2">
        <v>0</v>
      </c>
      <c r="F9558" t="s">
        <v>8</v>
      </c>
      <c r="G9558" t="s">
        <v>9</v>
      </c>
    </row>
    <row r="9559" spans="1:7" x14ac:dyDescent="0.35">
      <c r="A9559">
        <v>3793</v>
      </c>
      <c r="B9559" s="1">
        <v>45799</v>
      </c>
      <c r="C9559" t="s">
        <v>24</v>
      </c>
      <c r="D9559" s="2">
        <v>0</v>
      </c>
      <c r="E9559" s="2">
        <v>2932.92</v>
      </c>
      <c r="F9559" t="s">
        <v>13</v>
      </c>
      <c r="G9559" t="s">
        <v>9</v>
      </c>
    </row>
    <row r="9560" spans="1:7" x14ac:dyDescent="0.35">
      <c r="A9560">
        <v>3794</v>
      </c>
      <c r="B9560" s="1">
        <v>45799</v>
      </c>
      <c r="C9560" t="s">
        <v>24</v>
      </c>
      <c r="D9560" s="2">
        <v>1680.31</v>
      </c>
      <c r="E9560" s="2">
        <v>0</v>
      </c>
      <c r="F9560" t="s">
        <v>8</v>
      </c>
      <c r="G9560" t="s">
        <v>9</v>
      </c>
    </row>
    <row r="9561" spans="1:7" x14ac:dyDescent="0.35">
      <c r="A9561">
        <v>3794</v>
      </c>
      <c r="B9561" s="1">
        <v>45799</v>
      </c>
      <c r="C9561" t="s">
        <v>24</v>
      </c>
      <c r="D9561" s="2">
        <v>0</v>
      </c>
      <c r="E9561" s="2">
        <v>1680.31</v>
      </c>
      <c r="F9561" t="s">
        <v>13</v>
      </c>
      <c r="G9561" t="s">
        <v>9</v>
      </c>
    </row>
    <row r="9562" spans="1:7" x14ac:dyDescent="0.35">
      <c r="A9562">
        <v>3795</v>
      </c>
      <c r="B9562" s="1">
        <v>45799</v>
      </c>
      <c r="C9562" t="s">
        <v>24</v>
      </c>
      <c r="D9562" s="2">
        <v>772.62</v>
      </c>
      <c r="E9562" s="2">
        <v>0</v>
      </c>
      <c r="F9562" t="s">
        <v>8</v>
      </c>
      <c r="G9562" t="s">
        <v>9</v>
      </c>
    </row>
    <row r="9563" spans="1:7" x14ac:dyDescent="0.35">
      <c r="A9563">
        <v>3795</v>
      </c>
      <c r="B9563" s="1">
        <v>45799</v>
      </c>
      <c r="C9563" t="s">
        <v>24</v>
      </c>
      <c r="D9563" s="2">
        <v>0</v>
      </c>
      <c r="E9563" s="2">
        <v>772.62</v>
      </c>
      <c r="F9563" t="s">
        <v>13</v>
      </c>
      <c r="G9563" t="s">
        <v>9</v>
      </c>
    </row>
    <row r="9564" spans="1:7" x14ac:dyDescent="0.35">
      <c r="A9564">
        <v>3796</v>
      </c>
      <c r="B9564" s="1">
        <v>45799</v>
      </c>
      <c r="C9564" t="s">
        <v>24</v>
      </c>
      <c r="D9564" s="2">
        <v>8459.89</v>
      </c>
      <c r="E9564" s="2">
        <v>0</v>
      </c>
      <c r="F9564" t="s">
        <v>8</v>
      </c>
      <c r="G9564" t="s">
        <v>9</v>
      </c>
    </row>
    <row r="9565" spans="1:7" x14ac:dyDescent="0.35">
      <c r="A9565">
        <v>3796</v>
      </c>
      <c r="B9565" s="1">
        <v>45799</v>
      </c>
      <c r="C9565" t="s">
        <v>24</v>
      </c>
      <c r="D9565" s="2">
        <v>0</v>
      </c>
      <c r="E9565" s="2">
        <v>8459.89</v>
      </c>
      <c r="F9565" t="s">
        <v>13</v>
      </c>
      <c r="G9565" t="s">
        <v>9</v>
      </c>
    </row>
    <row r="9566" spans="1:7" x14ac:dyDescent="0.35">
      <c r="A9566">
        <v>3797</v>
      </c>
      <c r="B9566" s="1">
        <v>45799</v>
      </c>
      <c r="C9566" t="s">
        <v>25</v>
      </c>
      <c r="D9566" s="2">
        <v>512</v>
      </c>
      <c r="E9566" s="2">
        <v>0</v>
      </c>
      <c r="F9566" t="s">
        <v>26</v>
      </c>
      <c r="G9566" t="s">
        <v>20</v>
      </c>
    </row>
    <row r="9567" spans="1:7" x14ac:dyDescent="0.35">
      <c r="A9567">
        <v>3797</v>
      </c>
      <c r="B9567" s="1">
        <v>45799</v>
      </c>
      <c r="C9567" t="s">
        <v>25</v>
      </c>
      <c r="D9567" s="2">
        <v>38.4</v>
      </c>
      <c r="E9567" s="2">
        <v>0</v>
      </c>
      <c r="F9567" t="s">
        <v>27</v>
      </c>
      <c r="G9567" t="s">
        <v>9</v>
      </c>
    </row>
    <row r="9568" spans="1:7" x14ac:dyDescent="0.35">
      <c r="A9568">
        <v>3797</v>
      </c>
      <c r="B9568" s="1">
        <v>45799</v>
      </c>
      <c r="C9568" t="s">
        <v>25</v>
      </c>
      <c r="D9568" s="2">
        <v>0</v>
      </c>
      <c r="E9568" s="2">
        <v>550.4</v>
      </c>
      <c r="F9568" t="s">
        <v>28</v>
      </c>
      <c r="G9568" t="s">
        <v>17</v>
      </c>
    </row>
    <row r="9569" spans="1:7" x14ac:dyDescent="0.35">
      <c r="A9569">
        <v>3798</v>
      </c>
      <c r="B9569" s="1">
        <v>45799</v>
      </c>
      <c r="C9569" t="s">
        <v>29</v>
      </c>
      <c r="D9569" s="2">
        <v>2635.36</v>
      </c>
      <c r="E9569" s="2">
        <v>0</v>
      </c>
      <c r="F9569" t="s">
        <v>28</v>
      </c>
      <c r="G9569" t="s">
        <v>17</v>
      </c>
    </row>
    <row r="9570" spans="1:7" x14ac:dyDescent="0.35">
      <c r="A9570">
        <v>3798</v>
      </c>
      <c r="B9570" s="1">
        <v>45799</v>
      </c>
      <c r="C9570" t="s">
        <v>29</v>
      </c>
      <c r="D9570" s="2">
        <v>0</v>
      </c>
      <c r="E9570" s="2">
        <v>2635.36</v>
      </c>
      <c r="F9570" t="s">
        <v>8</v>
      </c>
      <c r="G9570" t="s">
        <v>9</v>
      </c>
    </row>
    <row r="9571" spans="1:7" x14ac:dyDescent="0.35">
      <c r="A9571">
        <v>3799</v>
      </c>
      <c r="B9571" s="1">
        <v>45799</v>
      </c>
      <c r="C9571" t="s">
        <v>29</v>
      </c>
      <c r="D9571" s="2">
        <v>276.32</v>
      </c>
      <c r="E9571" s="2">
        <v>0</v>
      </c>
      <c r="F9571" t="s">
        <v>28</v>
      </c>
      <c r="G9571" t="s">
        <v>17</v>
      </c>
    </row>
    <row r="9572" spans="1:7" x14ac:dyDescent="0.35">
      <c r="A9572">
        <v>3799</v>
      </c>
      <c r="B9572" s="1">
        <v>45799</v>
      </c>
      <c r="C9572" t="s">
        <v>29</v>
      </c>
      <c r="D9572" s="2">
        <v>0</v>
      </c>
      <c r="E9572" s="2">
        <v>276.32</v>
      </c>
      <c r="F9572" t="s">
        <v>8</v>
      </c>
      <c r="G9572" t="s">
        <v>9</v>
      </c>
    </row>
    <row r="9573" spans="1:7" x14ac:dyDescent="0.35">
      <c r="A9573">
        <v>3800</v>
      </c>
      <c r="B9573" s="1">
        <v>45800</v>
      </c>
      <c r="C9573" t="s">
        <v>12</v>
      </c>
      <c r="D9573" s="2">
        <v>467.34</v>
      </c>
      <c r="E9573" s="2">
        <v>0</v>
      </c>
      <c r="F9573" t="s">
        <v>13</v>
      </c>
      <c r="G9573" t="s">
        <v>9</v>
      </c>
    </row>
    <row r="9574" spans="1:7" x14ac:dyDescent="0.35">
      <c r="A9574">
        <v>3800</v>
      </c>
      <c r="B9574" s="1">
        <v>45800</v>
      </c>
      <c r="C9574" t="s">
        <v>12</v>
      </c>
      <c r="D9574" s="2">
        <v>0</v>
      </c>
      <c r="E9574" s="2">
        <v>434.75</v>
      </c>
      <c r="F9574" t="s">
        <v>14</v>
      </c>
      <c r="G9574" t="s">
        <v>15</v>
      </c>
    </row>
    <row r="9575" spans="1:7" x14ac:dyDescent="0.35">
      <c r="A9575">
        <v>3800</v>
      </c>
      <c r="B9575" s="1">
        <v>45800</v>
      </c>
      <c r="C9575" t="s">
        <v>12</v>
      </c>
      <c r="D9575" s="2">
        <v>0</v>
      </c>
      <c r="E9575" s="2">
        <v>32.590000000000003</v>
      </c>
      <c r="F9575" t="s">
        <v>16</v>
      </c>
      <c r="G9575" t="s">
        <v>17</v>
      </c>
    </row>
    <row r="9576" spans="1:7" x14ac:dyDescent="0.35">
      <c r="A9576">
        <v>3801</v>
      </c>
      <c r="B9576" s="1">
        <v>45800</v>
      </c>
      <c r="C9576" t="s">
        <v>12</v>
      </c>
      <c r="D9576" s="2">
        <v>5176.24</v>
      </c>
      <c r="E9576" s="2">
        <v>0</v>
      </c>
      <c r="F9576" t="s">
        <v>13</v>
      </c>
      <c r="G9576" t="s">
        <v>9</v>
      </c>
    </row>
    <row r="9577" spans="1:7" x14ac:dyDescent="0.35">
      <c r="A9577">
        <v>3801</v>
      </c>
      <c r="B9577" s="1">
        <v>45800</v>
      </c>
      <c r="C9577" t="s">
        <v>12</v>
      </c>
      <c r="D9577" s="2">
        <v>0</v>
      </c>
      <c r="E9577" s="2">
        <v>4815.1099999999997</v>
      </c>
      <c r="F9577" t="s">
        <v>14</v>
      </c>
      <c r="G9577" t="s">
        <v>15</v>
      </c>
    </row>
    <row r="9578" spans="1:7" x14ac:dyDescent="0.35">
      <c r="A9578">
        <v>3801</v>
      </c>
      <c r="B9578" s="1">
        <v>45800</v>
      </c>
      <c r="C9578" t="s">
        <v>12</v>
      </c>
      <c r="D9578" s="2">
        <v>0</v>
      </c>
      <c r="E9578" s="2">
        <v>361.13</v>
      </c>
      <c r="F9578" t="s">
        <v>16</v>
      </c>
      <c r="G9578" t="s">
        <v>17</v>
      </c>
    </row>
    <row r="9579" spans="1:7" x14ac:dyDescent="0.35">
      <c r="A9579">
        <v>3802</v>
      </c>
      <c r="B9579" s="1">
        <v>45800</v>
      </c>
      <c r="C9579" t="s">
        <v>12</v>
      </c>
      <c r="D9579" s="2">
        <v>5103.03</v>
      </c>
      <c r="E9579" s="2">
        <v>0</v>
      </c>
      <c r="F9579" t="s">
        <v>13</v>
      </c>
      <c r="G9579" t="s">
        <v>9</v>
      </c>
    </row>
    <row r="9580" spans="1:7" x14ac:dyDescent="0.35">
      <c r="A9580">
        <v>3802</v>
      </c>
      <c r="B9580" s="1">
        <v>45800</v>
      </c>
      <c r="C9580" t="s">
        <v>12</v>
      </c>
      <c r="D9580" s="2">
        <v>0</v>
      </c>
      <c r="E9580" s="2">
        <v>4747</v>
      </c>
      <c r="F9580" t="s">
        <v>14</v>
      </c>
      <c r="G9580" t="s">
        <v>15</v>
      </c>
    </row>
    <row r="9581" spans="1:7" x14ac:dyDescent="0.35">
      <c r="A9581">
        <v>3802</v>
      </c>
      <c r="B9581" s="1">
        <v>45800</v>
      </c>
      <c r="C9581" t="s">
        <v>12</v>
      </c>
      <c r="D9581" s="2">
        <v>0</v>
      </c>
      <c r="E9581" s="2">
        <v>356.03</v>
      </c>
      <c r="F9581" t="s">
        <v>16</v>
      </c>
      <c r="G9581" t="s">
        <v>17</v>
      </c>
    </row>
    <row r="9582" spans="1:7" x14ac:dyDescent="0.35">
      <c r="A9582">
        <v>3803</v>
      </c>
      <c r="B9582" s="1">
        <v>45800</v>
      </c>
      <c r="C9582" t="s">
        <v>12</v>
      </c>
      <c r="D9582" s="2">
        <v>1648.13</v>
      </c>
      <c r="E9582" s="2">
        <v>0</v>
      </c>
      <c r="F9582" t="s">
        <v>13</v>
      </c>
      <c r="G9582" t="s">
        <v>9</v>
      </c>
    </row>
    <row r="9583" spans="1:7" x14ac:dyDescent="0.35">
      <c r="A9583">
        <v>3803</v>
      </c>
      <c r="B9583" s="1">
        <v>45800</v>
      </c>
      <c r="C9583" t="s">
        <v>12</v>
      </c>
      <c r="D9583" s="2">
        <v>0</v>
      </c>
      <c r="E9583" s="2">
        <v>1533.14</v>
      </c>
      <c r="F9583" t="s">
        <v>14</v>
      </c>
      <c r="G9583" t="s">
        <v>15</v>
      </c>
    </row>
    <row r="9584" spans="1:7" x14ac:dyDescent="0.35">
      <c r="A9584">
        <v>3803</v>
      </c>
      <c r="B9584" s="1">
        <v>45800</v>
      </c>
      <c r="C9584" t="s">
        <v>12</v>
      </c>
      <c r="D9584" s="2">
        <v>0</v>
      </c>
      <c r="E9584" s="2">
        <v>114.99</v>
      </c>
      <c r="F9584" t="s">
        <v>16</v>
      </c>
      <c r="G9584" t="s">
        <v>17</v>
      </c>
    </row>
    <row r="9585" spans="1:7" x14ac:dyDescent="0.35">
      <c r="A9585">
        <v>3804</v>
      </c>
      <c r="B9585" s="1">
        <v>45800</v>
      </c>
      <c r="C9585" t="s">
        <v>12</v>
      </c>
      <c r="D9585" s="2">
        <v>2707.63</v>
      </c>
      <c r="E9585" s="2">
        <v>0</v>
      </c>
      <c r="F9585" t="s">
        <v>13</v>
      </c>
      <c r="G9585" t="s">
        <v>9</v>
      </c>
    </row>
    <row r="9586" spans="1:7" x14ac:dyDescent="0.35">
      <c r="A9586">
        <v>3804</v>
      </c>
      <c r="B9586" s="1">
        <v>45800</v>
      </c>
      <c r="C9586" t="s">
        <v>12</v>
      </c>
      <c r="D9586" s="2">
        <v>0</v>
      </c>
      <c r="E9586" s="2">
        <v>2518.73</v>
      </c>
      <c r="F9586" t="s">
        <v>14</v>
      </c>
      <c r="G9586" t="s">
        <v>15</v>
      </c>
    </row>
    <row r="9587" spans="1:7" x14ac:dyDescent="0.35">
      <c r="A9587">
        <v>3804</v>
      </c>
      <c r="B9587" s="1">
        <v>45800</v>
      </c>
      <c r="C9587" t="s">
        <v>12</v>
      </c>
      <c r="D9587" s="2">
        <v>0</v>
      </c>
      <c r="E9587" s="2">
        <v>188.9</v>
      </c>
      <c r="F9587" t="s">
        <v>16</v>
      </c>
      <c r="G9587" t="s">
        <v>17</v>
      </c>
    </row>
    <row r="9588" spans="1:7" x14ac:dyDescent="0.35">
      <c r="A9588">
        <v>3805</v>
      </c>
      <c r="B9588" s="1">
        <v>45800</v>
      </c>
      <c r="C9588" t="s">
        <v>24</v>
      </c>
      <c r="D9588" s="2">
        <v>1310.57</v>
      </c>
      <c r="E9588" s="2">
        <v>0</v>
      </c>
      <c r="F9588" t="s">
        <v>8</v>
      </c>
      <c r="G9588" t="s">
        <v>9</v>
      </c>
    </row>
    <row r="9589" spans="1:7" x14ac:dyDescent="0.35">
      <c r="A9589">
        <v>3805</v>
      </c>
      <c r="B9589" s="1">
        <v>45800</v>
      </c>
      <c r="C9589" t="s">
        <v>24</v>
      </c>
      <c r="D9589" s="2">
        <v>0</v>
      </c>
      <c r="E9589" s="2">
        <v>1310.57</v>
      </c>
      <c r="F9589" t="s">
        <v>13</v>
      </c>
      <c r="G9589" t="s">
        <v>9</v>
      </c>
    </row>
    <row r="9590" spans="1:7" x14ac:dyDescent="0.35">
      <c r="A9590">
        <v>3806</v>
      </c>
      <c r="B9590" s="1">
        <v>45800</v>
      </c>
      <c r="C9590" t="s">
        <v>24</v>
      </c>
      <c r="D9590" s="2">
        <v>1553.81</v>
      </c>
      <c r="E9590" s="2">
        <v>0</v>
      </c>
      <c r="F9590" t="s">
        <v>8</v>
      </c>
      <c r="G9590" t="s">
        <v>9</v>
      </c>
    </row>
    <row r="9591" spans="1:7" x14ac:dyDescent="0.35">
      <c r="A9591">
        <v>3806</v>
      </c>
      <c r="B9591" s="1">
        <v>45800</v>
      </c>
      <c r="C9591" t="s">
        <v>24</v>
      </c>
      <c r="D9591" s="2">
        <v>0</v>
      </c>
      <c r="E9591" s="2">
        <v>1553.81</v>
      </c>
      <c r="F9591" t="s">
        <v>13</v>
      </c>
      <c r="G9591" t="s">
        <v>9</v>
      </c>
    </row>
    <row r="9592" spans="1:7" x14ac:dyDescent="0.35">
      <c r="A9592">
        <v>3807</v>
      </c>
      <c r="B9592" s="1">
        <v>45800</v>
      </c>
      <c r="C9592" t="s">
        <v>24</v>
      </c>
      <c r="D9592" s="2">
        <v>165.47</v>
      </c>
      <c r="E9592" s="2">
        <v>0</v>
      </c>
      <c r="F9592" t="s">
        <v>8</v>
      </c>
      <c r="G9592" t="s">
        <v>9</v>
      </c>
    </row>
    <row r="9593" spans="1:7" x14ac:dyDescent="0.35">
      <c r="A9593">
        <v>3807</v>
      </c>
      <c r="B9593" s="1">
        <v>45800</v>
      </c>
      <c r="C9593" t="s">
        <v>24</v>
      </c>
      <c r="D9593" s="2">
        <v>0</v>
      </c>
      <c r="E9593" s="2">
        <v>165.47</v>
      </c>
      <c r="F9593" t="s">
        <v>13</v>
      </c>
      <c r="G9593" t="s">
        <v>9</v>
      </c>
    </row>
    <row r="9594" spans="1:7" x14ac:dyDescent="0.35">
      <c r="A9594">
        <v>3808</v>
      </c>
      <c r="B9594" s="1">
        <v>45800</v>
      </c>
      <c r="C9594" t="s">
        <v>24</v>
      </c>
      <c r="D9594" s="2">
        <v>2219.8200000000002</v>
      </c>
      <c r="E9594" s="2">
        <v>0</v>
      </c>
      <c r="F9594" t="s">
        <v>8</v>
      </c>
      <c r="G9594" t="s">
        <v>9</v>
      </c>
    </row>
    <row r="9595" spans="1:7" x14ac:dyDescent="0.35">
      <c r="A9595">
        <v>3808</v>
      </c>
      <c r="B9595" s="1">
        <v>45800</v>
      </c>
      <c r="C9595" t="s">
        <v>24</v>
      </c>
      <c r="D9595" s="2">
        <v>0</v>
      </c>
      <c r="E9595" s="2">
        <v>2219.8200000000002</v>
      </c>
      <c r="F9595" t="s">
        <v>13</v>
      </c>
      <c r="G9595" t="s">
        <v>9</v>
      </c>
    </row>
    <row r="9596" spans="1:7" x14ac:dyDescent="0.35">
      <c r="A9596">
        <v>3809</v>
      </c>
      <c r="B9596" s="1">
        <v>45800</v>
      </c>
      <c r="C9596" t="s">
        <v>25</v>
      </c>
      <c r="D9596" s="2">
        <v>2714.58</v>
      </c>
      <c r="E9596" s="2">
        <v>0</v>
      </c>
      <c r="F9596" t="s">
        <v>26</v>
      </c>
      <c r="G9596" t="s">
        <v>20</v>
      </c>
    </row>
    <row r="9597" spans="1:7" x14ac:dyDescent="0.35">
      <c r="A9597">
        <v>3809</v>
      </c>
      <c r="B9597" s="1">
        <v>45800</v>
      </c>
      <c r="C9597" t="s">
        <v>25</v>
      </c>
      <c r="D9597" s="2">
        <v>203.59</v>
      </c>
      <c r="E9597" s="2">
        <v>0</v>
      </c>
      <c r="F9597" t="s">
        <v>27</v>
      </c>
      <c r="G9597" t="s">
        <v>9</v>
      </c>
    </row>
    <row r="9598" spans="1:7" x14ac:dyDescent="0.35">
      <c r="A9598">
        <v>3809</v>
      </c>
      <c r="B9598" s="1">
        <v>45800</v>
      </c>
      <c r="C9598" t="s">
        <v>25</v>
      </c>
      <c r="D9598" s="2">
        <v>0</v>
      </c>
      <c r="E9598" s="2">
        <v>2918.17</v>
      </c>
      <c r="F9598" t="s">
        <v>28</v>
      </c>
      <c r="G9598" t="s">
        <v>17</v>
      </c>
    </row>
    <row r="9599" spans="1:7" x14ac:dyDescent="0.35">
      <c r="A9599">
        <v>3810</v>
      </c>
      <c r="B9599" s="1">
        <v>45800</v>
      </c>
      <c r="C9599" t="s">
        <v>25</v>
      </c>
      <c r="D9599" s="2">
        <v>1078.92</v>
      </c>
      <c r="E9599" s="2">
        <v>0</v>
      </c>
      <c r="F9599" t="s">
        <v>26</v>
      </c>
      <c r="G9599" t="s">
        <v>20</v>
      </c>
    </row>
    <row r="9600" spans="1:7" x14ac:dyDescent="0.35">
      <c r="A9600">
        <v>3810</v>
      </c>
      <c r="B9600" s="1">
        <v>45800</v>
      </c>
      <c r="C9600" t="s">
        <v>25</v>
      </c>
      <c r="D9600" s="2">
        <v>80.92</v>
      </c>
      <c r="E9600" s="2">
        <v>0</v>
      </c>
      <c r="F9600" t="s">
        <v>27</v>
      </c>
      <c r="G9600" t="s">
        <v>9</v>
      </c>
    </row>
    <row r="9601" spans="1:7" x14ac:dyDescent="0.35">
      <c r="A9601">
        <v>3810</v>
      </c>
      <c r="B9601" s="1">
        <v>45800</v>
      </c>
      <c r="C9601" t="s">
        <v>25</v>
      </c>
      <c r="D9601" s="2">
        <v>0</v>
      </c>
      <c r="E9601" s="2">
        <v>1159.8399999999999</v>
      </c>
      <c r="F9601" t="s">
        <v>28</v>
      </c>
      <c r="G9601" t="s">
        <v>17</v>
      </c>
    </row>
    <row r="9602" spans="1:7" x14ac:dyDescent="0.35">
      <c r="A9602">
        <v>3811</v>
      </c>
      <c r="B9602" s="1">
        <v>45800</v>
      </c>
      <c r="C9602" t="s">
        <v>25</v>
      </c>
      <c r="D9602" s="2">
        <v>1643.22</v>
      </c>
      <c r="E9602" s="2">
        <v>0</v>
      </c>
      <c r="F9602" t="s">
        <v>26</v>
      </c>
      <c r="G9602" t="s">
        <v>20</v>
      </c>
    </row>
    <row r="9603" spans="1:7" x14ac:dyDescent="0.35">
      <c r="A9603">
        <v>3811</v>
      </c>
      <c r="B9603" s="1">
        <v>45800</v>
      </c>
      <c r="C9603" t="s">
        <v>25</v>
      </c>
      <c r="D9603" s="2">
        <v>123.24</v>
      </c>
      <c r="E9603" s="2">
        <v>0</v>
      </c>
      <c r="F9603" t="s">
        <v>27</v>
      </c>
      <c r="G9603" t="s">
        <v>9</v>
      </c>
    </row>
    <row r="9604" spans="1:7" x14ac:dyDescent="0.35">
      <c r="A9604">
        <v>3811</v>
      </c>
      <c r="B9604" s="1">
        <v>45800</v>
      </c>
      <c r="C9604" t="s">
        <v>25</v>
      </c>
      <c r="D9604" s="2">
        <v>0</v>
      </c>
      <c r="E9604" s="2">
        <v>1766.46</v>
      </c>
      <c r="F9604" t="s">
        <v>28</v>
      </c>
      <c r="G9604" t="s">
        <v>17</v>
      </c>
    </row>
    <row r="9605" spans="1:7" x14ac:dyDescent="0.35">
      <c r="A9605">
        <v>3812</v>
      </c>
      <c r="B9605" s="1">
        <v>45800</v>
      </c>
      <c r="C9605" t="s">
        <v>25</v>
      </c>
      <c r="D9605" s="2">
        <v>257.04000000000002</v>
      </c>
      <c r="E9605" s="2">
        <v>0</v>
      </c>
      <c r="F9605" t="s">
        <v>26</v>
      </c>
      <c r="G9605" t="s">
        <v>20</v>
      </c>
    </row>
    <row r="9606" spans="1:7" x14ac:dyDescent="0.35">
      <c r="A9606">
        <v>3812</v>
      </c>
      <c r="B9606" s="1">
        <v>45800</v>
      </c>
      <c r="C9606" t="s">
        <v>25</v>
      </c>
      <c r="D9606" s="2">
        <v>19.28</v>
      </c>
      <c r="E9606" s="2">
        <v>0</v>
      </c>
      <c r="F9606" t="s">
        <v>27</v>
      </c>
      <c r="G9606" t="s">
        <v>9</v>
      </c>
    </row>
    <row r="9607" spans="1:7" x14ac:dyDescent="0.35">
      <c r="A9607">
        <v>3812</v>
      </c>
      <c r="B9607" s="1">
        <v>45800</v>
      </c>
      <c r="C9607" t="s">
        <v>25</v>
      </c>
      <c r="D9607" s="2">
        <v>0</v>
      </c>
      <c r="E9607" s="2">
        <v>276.32</v>
      </c>
      <c r="F9607" t="s">
        <v>28</v>
      </c>
      <c r="G9607" t="s">
        <v>17</v>
      </c>
    </row>
    <row r="9608" spans="1:7" x14ac:dyDescent="0.35">
      <c r="A9608">
        <v>3813</v>
      </c>
      <c r="B9608" s="1">
        <v>45800</v>
      </c>
      <c r="C9608" t="s">
        <v>29</v>
      </c>
      <c r="D9608" s="2">
        <v>1794.11</v>
      </c>
      <c r="E9608" s="2">
        <v>0</v>
      </c>
      <c r="F9608" t="s">
        <v>28</v>
      </c>
      <c r="G9608" t="s">
        <v>17</v>
      </c>
    </row>
    <row r="9609" spans="1:7" x14ac:dyDescent="0.35">
      <c r="A9609">
        <v>3813</v>
      </c>
      <c r="B9609" s="1">
        <v>45800</v>
      </c>
      <c r="C9609" t="s">
        <v>29</v>
      </c>
      <c r="D9609" s="2">
        <v>0</v>
      </c>
      <c r="E9609" s="2">
        <v>1794.11</v>
      </c>
      <c r="F9609" t="s">
        <v>8</v>
      </c>
      <c r="G9609" t="s">
        <v>9</v>
      </c>
    </row>
    <row r="9610" spans="1:7" x14ac:dyDescent="0.35">
      <c r="A9610">
        <v>3814</v>
      </c>
      <c r="B9610" s="1">
        <v>45803</v>
      </c>
      <c r="C9610" t="s">
        <v>12</v>
      </c>
      <c r="D9610" s="2">
        <v>1903.29</v>
      </c>
      <c r="E9610" s="2">
        <v>0</v>
      </c>
      <c r="F9610" t="s">
        <v>13</v>
      </c>
      <c r="G9610" t="s">
        <v>9</v>
      </c>
    </row>
    <row r="9611" spans="1:7" x14ac:dyDescent="0.35">
      <c r="A9611">
        <v>3814</v>
      </c>
      <c r="B9611" s="1">
        <v>45803</v>
      </c>
      <c r="C9611" t="s">
        <v>12</v>
      </c>
      <c r="D9611" s="2">
        <v>0</v>
      </c>
      <c r="E9611" s="2">
        <v>1770.51</v>
      </c>
      <c r="F9611" t="s">
        <v>14</v>
      </c>
      <c r="G9611" t="s">
        <v>15</v>
      </c>
    </row>
    <row r="9612" spans="1:7" x14ac:dyDescent="0.35">
      <c r="A9612">
        <v>3814</v>
      </c>
      <c r="B9612" s="1">
        <v>45803</v>
      </c>
      <c r="C9612" t="s">
        <v>12</v>
      </c>
      <c r="D9612" s="2">
        <v>0</v>
      </c>
      <c r="E9612" s="2">
        <v>132.78</v>
      </c>
      <c r="F9612" t="s">
        <v>16</v>
      </c>
      <c r="G9612" t="s">
        <v>17</v>
      </c>
    </row>
    <row r="9613" spans="1:7" x14ac:dyDescent="0.35">
      <c r="A9613">
        <v>3815</v>
      </c>
      <c r="B9613" s="1">
        <v>45803</v>
      </c>
      <c r="C9613" t="s">
        <v>12</v>
      </c>
      <c r="D9613" s="2">
        <v>1026.6600000000001</v>
      </c>
      <c r="E9613" s="2">
        <v>0</v>
      </c>
      <c r="F9613" t="s">
        <v>13</v>
      </c>
      <c r="G9613" t="s">
        <v>9</v>
      </c>
    </row>
    <row r="9614" spans="1:7" x14ac:dyDescent="0.35">
      <c r="A9614">
        <v>3815</v>
      </c>
      <c r="B9614" s="1">
        <v>45803</v>
      </c>
      <c r="C9614" t="s">
        <v>12</v>
      </c>
      <c r="D9614" s="2">
        <v>0</v>
      </c>
      <c r="E9614" s="2">
        <v>955.03</v>
      </c>
      <c r="F9614" t="s">
        <v>14</v>
      </c>
      <c r="G9614" t="s">
        <v>15</v>
      </c>
    </row>
    <row r="9615" spans="1:7" x14ac:dyDescent="0.35">
      <c r="A9615">
        <v>3815</v>
      </c>
      <c r="B9615" s="1">
        <v>45803</v>
      </c>
      <c r="C9615" t="s">
        <v>12</v>
      </c>
      <c r="D9615" s="2">
        <v>0</v>
      </c>
      <c r="E9615" s="2">
        <v>71.63</v>
      </c>
      <c r="F9615" t="s">
        <v>16</v>
      </c>
      <c r="G9615" t="s">
        <v>17</v>
      </c>
    </row>
    <row r="9616" spans="1:7" x14ac:dyDescent="0.35">
      <c r="A9616">
        <v>3816</v>
      </c>
      <c r="B9616" s="1">
        <v>45803</v>
      </c>
      <c r="C9616" t="s">
        <v>12</v>
      </c>
      <c r="D9616" s="2">
        <v>3852.04</v>
      </c>
      <c r="E9616" s="2">
        <v>0</v>
      </c>
      <c r="F9616" t="s">
        <v>13</v>
      </c>
      <c r="G9616" t="s">
        <v>9</v>
      </c>
    </row>
    <row r="9617" spans="1:7" x14ac:dyDescent="0.35">
      <c r="A9617">
        <v>3816</v>
      </c>
      <c r="B9617" s="1">
        <v>45803</v>
      </c>
      <c r="C9617" t="s">
        <v>12</v>
      </c>
      <c r="D9617" s="2">
        <v>0</v>
      </c>
      <c r="E9617" s="2">
        <v>3583.29</v>
      </c>
      <c r="F9617" t="s">
        <v>14</v>
      </c>
      <c r="G9617" t="s">
        <v>15</v>
      </c>
    </row>
    <row r="9618" spans="1:7" x14ac:dyDescent="0.35">
      <c r="A9618">
        <v>3816</v>
      </c>
      <c r="B9618" s="1">
        <v>45803</v>
      </c>
      <c r="C9618" t="s">
        <v>12</v>
      </c>
      <c r="D9618" s="2">
        <v>0</v>
      </c>
      <c r="E9618" s="2">
        <v>268.75</v>
      </c>
      <c r="F9618" t="s">
        <v>16</v>
      </c>
      <c r="G9618" t="s">
        <v>17</v>
      </c>
    </row>
    <row r="9619" spans="1:7" x14ac:dyDescent="0.35">
      <c r="A9619">
        <v>3817</v>
      </c>
      <c r="B9619" s="1">
        <v>45803</v>
      </c>
      <c r="C9619" t="s">
        <v>12</v>
      </c>
      <c r="D9619" s="2">
        <v>461.32</v>
      </c>
      <c r="E9619" s="2">
        <v>0</v>
      </c>
      <c r="F9619" t="s">
        <v>13</v>
      </c>
      <c r="G9619" t="s">
        <v>9</v>
      </c>
    </row>
    <row r="9620" spans="1:7" x14ac:dyDescent="0.35">
      <c r="A9620">
        <v>3817</v>
      </c>
      <c r="B9620" s="1">
        <v>45803</v>
      </c>
      <c r="C9620" t="s">
        <v>12</v>
      </c>
      <c r="D9620" s="2">
        <v>0</v>
      </c>
      <c r="E9620" s="2">
        <v>429.13</v>
      </c>
      <c r="F9620" t="s">
        <v>14</v>
      </c>
      <c r="G9620" t="s">
        <v>15</v>
      </c>
    </row>
    <row r="9621" spans="1:7" x14ac:dyDescent="0.35">
      <c r="A9621">
        <v>3817</v>
      </c>
      <c r="B9621" s="1">
        <v>45803</v>
      </c>
      <c r="C9621" t="s">
        <v>12</v>
      </c>
      <c r="D9621" s="2">
        <v>0</v>
      </c>
      <c r="E9621" s="2">
        <v>32.19</v>
      </c>
      <c r="F9621" t="s">
        <v>16</v>
      </c>
      <c r="G9621" t="s">
        <v>17</v>
      </c>
    </row>
    <row r="9622" spans="1:7" x14ac:dyDescent="0.35">
      <c r="A9622">
        <v>3818</v>
      </c>
      <c r="B9622" s="1">
        <v>45803</v>
      </c>
      <c r="C9622" t="s">
        <v>24</v>
      </c>
      <c r="D9622" s="2">
        <v>3238.93</v>
      </c>
      <c r="E9622" s="2">
        <v>0</v>
      </c>
      <c r="F9622" t="s">
        <v>8</v>
      </c>
      <c r="G9622" t="s">
        <v>9</v>
      </c>
    </row>
    <row r="9623" spans="1:7" x14ac:dyDescent="0.35">
      <c r="A9623">
        <v>3818</v>
      </c>
      <c r="B9623" s="1">
        <v>45803</v>
      </c>
      <c r="C9623" t="s">
        <v>24</v>
      </c>
      <c r="D9623" s="2">
        <v>0</v>
      </c>
      <c r="E9623" s="2">
        <v>3238.93</v>
      </c>
      <c r="F9623" t="s">
        <v>13</v>
      </c>
      <c r="G9623" t="s">
        <v>9</v>
      </c>
    </row>
    <row r="9624" spans="1:7" x14ac:dyDescent="0.35">
      <c r="A9624">
        <v>3819</v>
      </c>
      <c r="B9624" s="1">
        <v>45803</v>
      </c>
      <c r="C9624" t="s">
        <v>24</v>
      </c>
      <c r="D9624" s="2">
        <v>1467.25</v>
      </c>
      <c r="E9624" s="2">
        <v>0</v>
      </c>
      <c r="F9624" t="s">
        <v>8</v>
      </c>
      <c r="G9624" t="s">
        <v>9</v>
      </c>
    </row>
    <row r="9625" spans="1:7" x14ac:dyDescent="0.35">
      <c r="A9625">
        <v>3819</v>
      </c>
      <c r="B9625" s="1">
        <v>45803</v>
      </c>
      <c r="C9625" t="s">
        <v>24</v>
      </c>
      <c r="D9625" s="2">
        <v>0</v>
      </c>
      <c r="E9625" s="2">
        <v>1467.25</v>
      </c>
      <c r="F9625" t="s">
        <v>13</v>
      </c>
      <c r="G9625" t="s">
        <v>9</v>
      </c>
    </row>
    <row r="9626" spans="1:7" x14ac:dyDescent="0.35">
      <c r="A9626">
        <v>3820</v>
      </c>
      <c r="B9626" s="1">
        <v>45803</v>
      </c>
      <c r="C9626" t="s">
        <v>24</v>
      </c>
      <c r="D9626" s="2">
        <v>1782.56</v>
      </c>
      <c r="E9626" s="2">
        <v>0</v>
      </c>
      <c r="F9626" t="s">
        <v>8</v>
      </c>
      <c r="G9626" t="s">
        <v>9</v>
      </c>
    </row>
    <row r="9627" spans="1:7" x14ac:dyDescent="0.35">
      <c r="A9627">
        <v>3820</v>
      </c>
      <c r="B9627" s="1">
        <v>45803</v>
      </c>
      <c r="C9627" t="s">
        <v>24</v>
      </c>
      <c r="D9627" s="2">
        <v>0</v>
      </c>
      <c r="E9627" s="2">
        <v>1782.56</v>
      </c>
      <c r="F9627" t="s">
        <v>13</v>
      </c>
      <c r="G9627" t="s">
        <v>9</v>
      </c>
    </row>
    <row r="9628" spans="1:7" x14ac:dyDescent="0.35">
      <c r="A9628">
        <v>3821</v>
      </c>
      <c r="B9628" s="1">
        <v>45803</v>
      </c>
      <c r="C9628" t="s">
        <v>24</v>
      </c>
      <c r="D9628" s="2">
        <v>5591.56</v>
      </c>
      <c r="E9628" s="2">
        <v>0</v>
      </c>
      <c r="F9628" t="s">
        <v>8</v>
      </c>
      <c r="G9628" t="s">
        <v>9</v>
      </c>
    </row>
    <row r="9629" spans="1:7" x14ac:dyDescent="0.35">
      <c r="A9629">
        <v>3821</v>
      </c>
      <c r="B9629" s="1">
        <v>45803</v>
      </c>
      <c r="C9629" t="s">
        <v>24</v>
      </c>
      <c r="D9629" s="2">
        <v>0</v>
      </c>
      <c r="E9629" s="2">
        <v>5591.56</v>
      </c>
      <c r="F9629" t="s">
        <v>13</v>
      </c>
      <c r="G9629" t="s">
        <v>9</v>
      </c>
    </row>
    <row r="9630" spans="1:7" x14ac:dyDescent="0.35">
      <c r="A9630">
        <v>3822</v>
      </c>
      <c r="B9630" s="1">
        <v>45803</v>
      </c>
      <c r="C9630" t="s">
        <v>24</v>
      </c>
      <c r="D9630" s="2">
        <v>2249.0300000000002</v>
      </c>
      <c r="E9630" s="2">
        <v>0</v>
      </c>
      <c r="F9630" t="s">
        <v>8</v>
      </c>
      <c r="G9630" t="s">
        <v>9</v>
      </c>
    </row>
    <row r="9631" spans="1:7" x14ac:dyDescent="0.35">
      <c r="A9631">
        <v>3822</v>
      </c>
      <c r="B9631" s="1">
        <v>45803</v>
      </c>
      <c r="C9631" t="s">
        <v>24</v>
      </c>
      <c r="D9631" s="2">
        <v>0</v>
      </c>
      <c r="E9631" s="2">
        <v>2249.0300000000002</v>
      </c>
      <c r="F9631" t="s">
        <v>13</v>
      </c>
      <c r="G9631" t="s">
        <v>9</v>
      </c>
    </row>
    <row r="9632" spans="1:7" x14ac:dyDescent="0.35">
      <c r="A9632">
        <v>3823</v>
      </c>
      <c r="B9632" s="1">
        <v>45803</v>
      </c>
      <c r="C9632" t="s">
        <v>25</v>
      </c>
      <c r="D9632" s="2">
        <v>2329.52</v>
      </c>
      <c r="E9632" s="2">
        <v>0</v>
      </c>
      <c r="F9632" t="s">
        <v>26</v>
      </c>
      <c r="G9632" t="s">
        <v>20</v>
      </c>
    </row>
    <row r="9633" spans="1:7" x14ac:dyDescent="0.35">
      <c r="A9633">
        <v>3823</v>
      </c>
      <c r="B9633" s="1">
        <v>45803</v>
      </c>
      <c r="C9633" t="s">
        <v>25</v>
      </c>
      <c r="D9633" s="2">
        <v>174.71</v>
      </c>
      <c r="E9633" s="2">
        <v>0</v>
      </c>
      <c r="F9633" t="s">
        <v>27</v>
      </c>
      <c r="G9633" t="s">
        <v>9</v>
      </c>
    </row>
    <row r="9634" spans="1:7" x14ac:dyDescent="0.35">
      <c r="A9634">
        <v>3823</v>
      </c>
      <c r="B9634" s="1">
        <v>45803</v>
      </c>
      <c r="C9634" t="s">
        <v>25</v>
      </c>
      <c r="D9634" s="2">
        <v>0</v>
      </c>
      <c r="E9634" s="2">
        <v>2504.23</v>
      </c>
      <c r="F9634" t="s">
        <v>28</v>
      </c>
      <c r="G9634" t="s">
        <v>17</v>
      </c>
    </row>
    <row r="9635" spans="1:7" x14ac:dyDescent="0.35">
      <c r="A9635">
        <v>3824</v>
      </c>
      <c r="B9635" s="1">
        <v>45803</v>
      </c>
      <c r="C9635" t="s">
        <v>25</v>
      </c>
      <c r="D9635" s="2">
        <v>6723.2</v>
      </c>
      <c r="E9635" s="2">
        <v>0</v>
      </c>
      <c r="F9635" t="s">
        <v>26</v>
      </c>
      <c r="G9635" t="s">
        <v>20</v>
      </c>
    </row>
    <row r="9636" spans="1:7" x14ac:dyDescent="0.35">
      <c r="A9636">
        <v>3824</v>
      </c>
      <c r="B9636" s="1">
        <v>45803</v>
      </c>
      <c r="C9636" t="s">
        <v>25</v>
      </c>
      <c r="D9636" s="2">
        <v>504.24</v>
      </c>
      <c r="E9636" s="2">
        <v>0</v>
      </c>
      <c r="F9636" t="s">
        <v>27</v>
      </c>
      <c r="G9636" t="s">
        <v>9</v>
      </c>
    </row>
    <row r="9637" spans="1:7" x14ac:dyDescent="0.35">
      <c r="A9637">
        <v>3824</v>
      </c>
      <c r="B9637" s="1">
        <v>45803</v>
      </c>
      <c r="C9637" t="s">
        <v>25</v>
      </c>
      <c r="D9637" s="2">
        <v>0</v>
      </c>
      <c r="E9637" s="2">
        <v>7227.44</v>
      </c>
      <c r="F9637" t="s">
        <v>28</v>
      </c>
      <c r="G9637" t="s">
        <v>17</v>
      </c>
    </row>
    <row r="9638" spans="1:7" x14ac:dyDescent="0.35">
      <c r="A9638">
        <v>3825</v>
      </c>
      <c r="B9638" s="1">
        <v>45803</v>
      </c>
      <c r="C9638" t="s">
        <v>25</v>
      </c>
      <c r="D9638" s="2">
        <v>1480.5</v>
      </c>
      <c r="E9638" s="2">
        <v>0</v>
      </c>
      <c r="F9638" t="s">
        <v>26</v>
      </c>
      <c r="G9638" t="s">
        <v>20</v>
      </c>
    </row>
    <row r="9639" spans="1:7" x14ac:dyDescent="0.35">
      <c r="A9639">
        <v>3825</v>
      </c>
      <c r="B9639" s="1">
        <v>45803</v>
      </c>
      <c r="C9639" t="s">
        <v>25</v>
      </c>
      <c r="D9639" s="2">
        <v>111.04</v>
      </c>
      <c r="E9639" s="2">
        <v>0</v>
      </c>
      <c r="F9639" t="s">
        <v>27</v>
      </c>
      <c r="G9639" t="s">
        <v>9</v>
      </c>
    </row>
    <row r="9640" spans="1:7" x14ac:dyDescent="0.35">
      <c r="A9640">
        <v>3825</v>
      </c>
      <c r="B9640" s="1">
        <v>45803</v>
      </c>
      <c r="C9640" t="s">
        <v>25</v>
      </c>
      <c r="D9640" s="2">
        <v>0</v>
      </c>
      <c r="E9640" s="2">
        <v>1591.54</v>
      </c>
      <c r="F9640" t="s">
        <v>28</v>
      </c>
      <c r="G9640" t="s">
        <v>17</v>
      </c>
    </row>
    <row r="9641" spans="1:7" x14ac:dyDescent="0.35">
      <c r="A9641">
        <v>3826</v>
      </c>
      <c r="B9641" s="1">
        <v>45803</v>
      </c>
      <c r="C9641" t="s">
        <v>25</v>
      </c>
      <c r="D9641" s="2">
        <v>3282.76</v>
      </c>
      <c r="E9641" s="2">
        <v>0</v>
      </c>
      <c r="F9641" t="s">
        <v>26</v>
      </c>
      <c r="G9641" t="s">
        <v>20</v>
      </c>
    </row>
    <row r="9642" spans="1:7" x14ac:dyDescent="0.35">
      <c r="A9642">
        <v>3826</v>
      </c>
      <c r="B9642" s="1">
        <v>45803</v>
      </c>
      <c r="C9642" t="s">
        <v>25</v>
      </c>
      <c r="D9642" s="2">
        <v>246.21</v>
      </c>
      <c r="E9642" s="2">
        <v>0</v>
      </c>
      <c r="F9642" t="s">
        <v>27</v>
      </c>
      <c r="G9642" t="s">
        <v>9</v>
      </c>
    </row>
    <row r="9643" spans="1:7" x14ac:dyDescent="0.35">
      <c r="A9643">
        <v>3826</v>
      </c>
      <c r="B9643" s="1">
        <v>45803</v>
      </c>
      <c r="C9643" t="s">
        <v>25</v>
      </c>
      <c r="D9643" s="2">
        <v>0</v>
      </c>
      <c r="E9643" s="2">
        <v>3528.97</v>
      </c>
      <c r="F9643" t="s">
        <v>28</v>
      </c>
      <c r="G9643" t="s">
        <v>17</v>
      </c>
    </row>
    <row r="9644" spans="1:7" x14ac:dyDescent="0.35">
      <c r="A9644">
        <v>3827</v>
      </c>
      <c r="B9644" s="1">
        <v>45803</v>
      </c>
      <c r="C9644" t="s">
        <v>25</v>
      </c>
      <c r="D9644" s="2">
        <v>8685.27</v>
      </c>
      <c r="E9644" s="2">
        <v>0</v>
      </c>
      <c r="F9644" t="s">
        <v>26</v>
      </c>
      <c r="G9644" t="s">
        <v>20</v>
      </c>
    </row>
    <row r="9645" spans="1:7" x14ac:dyDescent="0.35">
      <c r="A9645">
        <v>3827</v>
      </c>
      <c r="B9645" s="1">
        <v>45803</v>
      </c>
      <c r="C9645" t="s">
        <v>25</v>
      </c>
      <c r="D9645" s="2">
        <v>651.4</v>
      </c>
      <c r="E9645" s="2">
        <v>0</v>
      </c>
      <c r="F9645" t="s">
        <v>27</v>
      </c>
      <c r="G9645" t="s">
        <v>9</v>
      </c>
    </row>
    <row r="9646" spans="1:7" x14ac:dyDescent="0.35">
      <c r="A9646">
        <v>3827</v>
      </c>
      <c r="B9646" s="1">
        <v>45803</v>
      </c>
      <c r="C9646" t="s">
        <v>25</v>
      </c>
      <c r="D9646" s="2">
        <v>0</v>
      </c>
      <c r="E9646" s="2">
        <v>9336.67</v>
      </c>
      <c r="F9646" t="s">
        <v>28</v>
      </c>
      <c r="G9646" t="s">
        <v>17</v>
      </c>
    </row>
    <row r="9647" spans="1:7" x14ac:dyDescent="0.35">
      <c r="A9647">
        <v>3828</v>
      </c>
      <c r="B9647" s="1">
        <v>45803</v>
      </c>
      <c r="C9647" t="s">
        <v>25</v>
      </c>
      <c r="D9647" s="2">
        <v>166.52</v>
      </c>
      <c r="E9647" s="2">
        <v>0</v>
      </c>
      <c r="F9647" t="s">
        <v>26</v>
      </c>
      <c r="G9647" t="s">
        <v>20</v>
      </c>
    </row>
    <row r="9648" spans="1:7" x14ac:dyDescent="0.35">
      <c r="A9648">
        <v>3828</v>
      </c>
      <c r="B9648" s="1">
        <v>45803</v>
      </c>
      <c r="C9648" t="s">
        <v>25</v>
      </c>
      <c r="D9648" s="2">
        <v>12.49</v>
      </c>
      <c r="E9648" s="2">
        <v>0</v>
      </c>
      <c r="F9648" t="s">
        <v>27</v>
      </c>
      <c r="G9648" t="s">
        <v>9</v>
      </c>
    </row>
    <row r="9649" spans="1:7" x14ac:dyDescent="0.35">
      <c r="A9649">
        <v>3828</v>
      </c>
      <c r="B9649" s="1">
        <v>45803</v>
      </c>
      <c r="C9649" t="s">
        <v>25</v>
      </c>
      <c r="D9649" s="2">
        <v>0</v>
      </c>
      <c r="E9649" s="2">
        <v>179.01</v>
      </c>
      <c r="F9649" t="s">
        <v>28</v>
      </c>
      <c r="G9649" t="s">
        <v>17</v>
      </c>
    </row>
    <row r="9650" spans="1:7" x14ac:dyDescent="0.35">
      <c r="A9650">
        <v>3829</v>
      </c>
      <c r="B9650" s="1">
        <v>45803</v>
      </c>
      <c r="C9650" t="s">
        <v>29</v>
      </c>
      <c r="D9650" s="2">
        <v>412.54</v>
      </c>
      <c r="E9650" s="2">
        <v>0</v>
      </c>
      <c r="F9650" t="s">
        <v>28</v>
      </c>
      <c r="G9650" t="s">
        <v>17</v>
      </c>
    </row>
    <row r="9651" spans="1:7" x14ac:dyDescent="0.35">
      <c r="A9651">
        <v>3829</v>
      </c>
      <c r="B9651" s="1">
        <v>45803</v>
      </c>
      <c r="C9651" t="s">
        <v>29</v>
      </c>
      <c r="D9651" s="2">
        <v>0</v>
      </c>
      <c r="E9651" s="2">
        <v>412.54</v>
      </c>
      <c r="F9651" t="s">
        <v>8</v>
      </c>
      <c r="G9651" t="s">
        <v>9</v>
      </c>
    </row>
    <row r="9652" spans="1:7" x14ac:dyDescent="0.35">
      <c r="A9652">
        <v>3830</v>
      </c>
      <c r="B9652" s="1">
        <v>45803</v>
      </c>
      <c r="C9652" t="s">
        <v>29</v>
      </c>
      <c r="D9652" s="2">
        <v>1023.42</v>
      </c>
      <c r="E9652" s="2">
        <v>0</v>
      </c>
      <c r="F9652" t="s">
        <v>28</v>
      </c>
      <c r="G9652" t="s">
        <v>17</v>
      </c>
    </row>
    <row r="9653" spans="1:7" x14ac:dyDescent="0.35">
      <c r="A9653">
        <v>3830</v>
      </c>
      <c r="B9653" s="1">
        <v>45803</v>
      </c>
      <c r="C9653" t="s">
        <v>29</v>
      </c>
      <c r="D9653" s="2">
        <v>0</v>
      </c>
      <c r="E9653" s="2">
        <v>1023.42</v>
      </c>
      <c r="F9653" t="s">
        <v>8</v>
      </c>
      <c r="G9653" t="s">
        <v>9</v>
      </c>
    </row>
    <row r="9654" spans="1:7" x14ac:dyDescent="0.35">
      <c r="A9654">
        <v>3831</v>
      </c>
      <c r="B9654" s="1">
        <v>45803</v>
      </c>
      <c r="C9654" t="s">
        <v>29</v>
      </c>
      <c r="D9654" s="2">
        <v>1304.6199999999999</v>
      </c>
      <c r="E9654" s="2">
        <v>0</v>
      </c>
      <c r="F9654" t="s">
        <v>28</v>
      </c>
      <c r="G9654" t="s">
        <v>17</v>
      </c>
    </row>
    <row r="9655" spans="1:7" x14ac:dyDescent="0.35">
      <c r="A9655">
        <v>3831</v>
      </c>
      <c r="B9655" s="1">
        <v>45803</v>
      </c>
      <c r="C9655" t="s">
        <v>29</v>
      </c>
      <c r="D9655" s="2">
        <v>0</v>
      </c>
      <c r="E9655" s="2">
        <v>1304.6199999999999</v>
      </c>
      <c r="F9655" t="s">
        <v>8</v>
      </c>
      <c r="G9655" t="s">
        <v>9</v>
      </c>
    </row>
    <row r="9656" spans="1:7" x14ac:dyDescent="0.35">
      <c r="A9656">
        <v>3832</v>
      </c>
      <c r="B9656" s="1">
        <v>45804</v>
      </c>
      <c r="C9656" t="s">
        <v>12</v>
      </c>
      <c r="D9656" s="2">
        <v>4218.88</v>
      </c>
      <c r="E9656" s="2">
        <v>0</v>
      </c>
      <c r="F9656" t="s">
        <v>13</v>
      </c>
      <c r="G9656" t="s">
        <v>9</v>
      </c>
    </row>
    <row r="9657" spans="1:7" x14ac:dyDescent="0.35">
      <c r="A9657">
        <v>3832</v>
      </c>
      <c r="B9657" s="1">
        <v>45804</v>
      </c>
      <c r="C9657" t="s">
        <v>12</v>
      </c>
      <c r="D9657" s="2">
        <v>0</v>
      </c>
      <c r="E9657" s="2">
        <v>3924.53</v>
      </c>
      <c r="F9657" t="s">
        <v>14</v>
      </c>
      <c r="G9657" t="s">
        <v>15</v>
      </c>
    </row>
    <row r="9658" spans="1:7" x14ac:dyDescent="0.35">
      <c r="A9658">
        <v>3832</v>
      </c>
      <c r="B9658" s="1">
        <v>45804</v>
      </c>
      <c r="C9658" t="s">
        <v>12</v>
      </c>
      <c r="D9658" s="2">
        <v>0</v>
      </c>
      <c r="E9658" s="2">
        <v>294.35000000000002</v>
      </c>
      <c r="F9658" t="s">
        <v>16</v>
      </c>
      <c r="G9658" t="s">
        <v>17</v>
      </c>
    </row>
    <row r="9659" spans="1:7" x14ac:dyDescent="0.35">
      <c r="A9659">
        <v>3833</v>
      </c>
      <c r="B9659" s="1">
        <v>45804</v>
      </c>
      <c r="C9659" t="s">
        <v>12</v>
      </c>
      <c r="D9659" s="2">
        <v>2069.11</v>
      </c>
      <c r="E9659" s="2">
        <v>0</v>
      </c>
      <c r="F9659" t="s">
        <v>13</v>
      </c>
      <c r="G9659" t="s">
        <v>9</v>
      </c>
    </row>
    <row r="9660" spans="1:7" x14ac:dyDescent="0.35">
      <c r="A9660">
        <v>3833</v>
      </c>
      <c r="B9660" s="1">
        <v>45804</v>
      </c>
      <c r="C9660" t="s">
        <v>12</v>
      </c>
      <c r="D9660" s="2">
        <v>0</v>
      </c>
      <c r="E9660" s="2">
        <v>1924.76</v>
      </c>
      <c r="F9660" t="s">
        <v>14</v>
      </c>
      <c r="G9660" t="s">
        <v>15</v>
      </c>
    </row>
    <row r="9661" spans="1:7" x14ac:dyDescent="0.35">
      <c r="A9661">
        <v>3833</v>
      </c>
      <c r="B9661" s="1">
        <v>45804</v>
      </c>
      <c r="C9661" t="s">
        <v>12</v>
      </c>
      <c r="D9661" s="2">
        <v>0</v>
      </c>
      <c r="E9661" s="2">
        <v>144.35</v>
      </c>
      <c r="F9661" t="s">
        <v>16</v>
      </c>
      <c r="G9661" t="s">
        <v>17</v>
      </c>
    </row>
    <row r="9662" spans="1:7" x14ac:dyDescent="0.35">
      <c r="A9662">
        <v>3834</v>
      </c>
      <c r="B9662" s="1">
        <v>45804</v>
      </c>
      <c r="C9662" t="s">
        <v>12</v>
      </c>
      <c r="D9662" s="2">
        <v>4889.71</v>
      </c>
      <c r="E9662" s="2">
        <v>0</v>
      </c>
      <c r="F9662" t="s">
        <v>13</v>
      </c>
      <c r="G9662" t="s">
        <v>9</v>
      </c>
    </row>
    <row r="9663" spans="1:7" x14ac:dyDescent="0.35">
      <c r="A9663">
        <v>3834</v>
      </c>
      <c r="B9663" s="1">
        <v>45804</v>
      </c>
      <c r="C9663" t="s">
        <v>12</v>
      </c>
      <c r="D9663" s="2">
        <v>0</v>
      </c>
      <c r="E9663" s="2">
        <v>4548.57</v>
      </c>
      <c r="F9663" t="s">
        <v>14</v>
      </c>
      <c r="G9663" t="s">
        <v>15</v>
      </c>
    </row>
    <row r="9664" spans="1:7" x14ac:dyDescent="0.35">
      <c r="A9664">
        <v>3834</v>
      </c>
      <c r="B9664" s="1">
        <v>45804</v>
      </c>
      <c r="C9664" t="s">
        <v>12</v>
      </c>
      <c r="D9664" s="2">
        <v>0</v>
      </c>
      <c r="E9664" s="2">
        <v>341.14</v>
      </c>
      <c r="F9664" t="s">
        <v>16</v>
      </c>
      <c r="G9664" t="s">
        <v>17</v>
      </c>
    </row>
    <row r="9665" spans="1:7" x14ac:dyDescent="0.35">
      <c r="A9665">
        <v>3835</v>
      </c>
      <c r="B9665" s="1">
        <v>45804</v>
      </c>
      <c r="C9665" t="s">
        <v>12</v>
      </c>
      <c r="D9665" s="2">
        <v>860.18</v>
      </c>
      <c r="E9665" s="2">
        <v>0</v>
      </c>
      <c r="F9665" t="s">
        <v>13</v>
      </c>
      <c r="G9665" t="s">
        <v>9</v>
      </c>
    </row>
    <row r="9666" spans="1:7" x14ac:dyDescent="0.35">
      <c r="A9666">
        <v>3835</v>
      </c>
      <c r="B9666" s="1">
        <v>45804</v>
      </c>
      <c r="C9666" t="s">
        <v>12</v>
      </c>
      <c r="D9666" s="2">
        <v>0</v>
      </c>
      <c r="E9666" s="2">
        <v>800.16</v>
      </c>
      <c r="F9666" t="s">
        <v>14</v>
      </c>
      <c r="G9666" t="s">
        <v>15</v>
      </c>
    </row>
    <row r="9667" spans="1:7" x14ac:dyDescent="0.35">
      <c r="A9667">
        <v>3835</v>
      </c>
      <c r="B9667" s="1">
        <v>45804</v>
      </c>
      <c r="C9667" t="s">
        <v>12</v>
      </c>
      <c r="D9667" s="2">
        <v>0</v>
      </c>
      <c r="E9667" s="2">
        <v>60.02</v>
      </c>
      <c r="F9667" t="s">
        <v>16</v>
      </c>
      <c r="G9667" t="s">
        <v>17</v>
      </c>
    </row>
    <row r="9668" spans="1:7" x14ac:dyDescent="0.35">
      <c r="A9668">
        <v>3836</v>
      </c>
      <c r="B9668" s="1">
        <v>45804</v>
      </c>
      <c r="C9668" t="s">
        <v>12</v>
      </c>
      <c r="D9668" s="2">
        <v>5241.68</v>
      </c>
      <c r="E9668" s="2">
        <v>0</v>
      </c>
      <c r="F9668" t="s">
        <v>13</v>
      </c>
      <c r="G9668" t="s">
        <v>9</v>
      </c>
    </row>
    <row r="9669" spans="1:7" x14ac:dyDescent="0.35">
      <c r="A9669">
        <v>3836</v>
      </c>
      <c r="B9669" s="1">
        <v>45804</v>
      </c>
      <c r="C9669" t="s">
        <v>12</v>
      </c>
      <c r="D9669" s="2">
        <v>0</v>
      </c>
      <c r="E9669" s="2">
        <v>4875.9799999999996</v>
      </c>
      <c r="F9669" t="s">
        <v>14</v>
      </c>
      <c r="G9669" t="s">
        <v>15</v>
      </c>
    </row>
    <row r="9670" spans="1:7" x14ac:dyDescent="0.35">
      <c r="A9670">
        <v>3836</v>
      </c>
      <c r="B9670" s="1">
        <v>45804</v>
      </c>
      <c r="C9670" t="s">
        <v>12</v>
      </c>
      <c r="D9670" s="2">
        <v>0</v>
      </c>
      <c r="E9670" s="2">
        <v>365.7</v>
      </c>
      <c r="F9670" t="s">
        <v>16</v>
      </c>
      <c r="G9670" t="s">
        <v>17</v>
      </c>
    </row>
    <row r="9671" spans="1:7" x14ac:dyDescent="0.35">
      <c r="A9671">
        <v>3837</v>
      </c>
      <c r="B9671" s="1">
        <v>45804</v>
      </c>
      <c r="C9671" t="s">
        <v>24</v>
      </c>
      <c r="D9671" s="2">
        <v>1105.56</v>
      </c>
      <c r="E9671" s="2">
        <v>0</v>
      </c>
      <c r="F9671" t="s">
        <v>8</v>
      </c>
      <c r="G9671" t="s">
        <v>9</v>
      </c>
    </row>
    <row r="9672" spans="1:7" x14ac:dyDescent="0.35">
      <c r="A9672">
        <v>3837</v>
      </c>
      <c r="B9672" s="1">
        <v>45804</v>
      </c>
      <c r="C9672" t="s">
        <v>24</v>
      </c>
      <c r="D9672" s="2">
        <v>0</v>
      </c>
      <c r="E9672" s="2">
        <v>1105.56</v>
      </c>
      <c r="F9672" t="s">
        <v>13</v>
      </c>
      <c r="G9672" t="s">
        <v>9</v>
      </c>
    </row>
    <row r="9673" spans="1:7" x14ac:dyDescent="0.35">
      <c r="A9673">
        <v>3838</v>
      </c>
      <c r="B9673" s="1">
        <v>45804</v>
      </c>
      <c r="C9673" t="s">
        <v>24</v>
      </c>
      <c r="D9673" s="2">
        <v>6005.47</v>
      </c>
      <c r="E9673" s="2">
        <v>0</v>
      </c>
      <c r="F9673" t="s">
        <v>8</v>
      </c>
      <c r="G9673" t="s">
        <v>9</v>
      </c>
    </row>
    <row r="9674" spans="1:7" x14ac:dyDescent="0.35">
      <c r="A9674">
        <v>3838</v>
      </c>
      <c r="B9674" s="1">
        <v>45804</v>
      </c>
      <c r="C9674" t="s">
        <v>24</v>
      </c>
      <c r="D9674" s="2">
        <v>0</v>
      </c>
      <c r="E9674" s="2">
        <v>6005.47</v>
      </c>
      <c r="F9674" t="s">
        <v>13</v>
      </c>
      <c r="G9674" t="s">
        <v>9</v>
      </c>
    </row>
    <row r="9675" spans="1:7" x14ac:dyDescent="0.35">
      <c r="A9675">
        <v>3839</v>
      </c>
      <c r="B9675" s="1">
        <v>45804</v>
      </c>
      <c r="C9675" t="s">
        <v>24</v>
      </c>
      <c r="D9675" s="2">
        <v>3216.15</v>
      </c>
      <c r="E9675" s="2">
        <v>0</v>
      </c>
      <c r="F9675" t="s">
        <v>8</v>
      </c>
      <c r="G9675" t="s">
        <v>9</v>
      </c>
    </row>
    <row r="9676" spans="1:7" x14ac:dyDescent="0.35">
      <c r="A9676">
        <v>3839</v>
      </c>
      <c r="B9676" s="1">
        <v>45804</v>
      </c>
      <c r="C9676" t="s">
        <v>24</v>
      </c>
      <c r="D9676" s="2">
        <v>0</v>
      </c>
      <c r="E9676" s="2">
        <v>3216.15</v>
      </c>
      <c r="F9676" t="s">
        <v>13</v>
      </c>
      <c r="G9676" t="s">
        <v>9</v>
      </c>
    </row>
    <row r="9677" spans="1:7" x14ac:dyDescent="0.35">
      <c r="A9677">
        <v>3840</v>
      </c>
      <c r="B9677" s="1">
        <v>45804</v>
      </c>
      <c r="C9677" t="s">
        <v>29</v>
      </c>
      <c r="D9677" s="2">
        <v>748.26</v>
      </c>
      <c r="E9677" s="2">
        <v>0</v>
      </c>
      <c r="F9677" t="s">
        <v>28</v>
      </c>
      <c r="G9677" t="s">
        <v>17</v>
      </c>
    </row>
    <row r="9678" spans="1:7" x14ac:dyDescent="0.35">
      <c r="A9678">
        <v>3840</v>
      </c>
      <c r="B9678" s="1">
        <v>45804</v>
      </c>
      <c r="C9678" t="s">
        <v>29</v>
      </c>
      <c r="D9678" s="2">
        <v>0</v>
      </c>
      <c r="E9678" s="2">
        <v>748.26</v>
      </c>
      <c r="F9678" t="s">
        <v>8</v>
      </c>
      <c r="G9678" t="s">
        <v>9</v>
      </c>
    </row>
    <row r="9679" spans="1:7" x14ac:dyDescent="0.35">
      <c r="A9679">
        <v>3841</v>
      </c>
      <c r="B9679" s="1">
        <v>45805</v>
      </c>
      <c r="C9679" t="s">
        <v>12</v>
      </c>
      <c r="D9679" s="2">
        <v>2906.55</v>
      </c>
      <c r="E9679" s="2">
        <v>0</v>
      </c>
      <c r="F9679" t="s">
        <v>13</v>
      </c>
      <c r="G9679" t="s">
        <v>9</v>
      </c>
    </row>
    <row r="9680" spans="1:7" x14ac:dyDescent="0.35">
      <c r="A9680">
        <v>3841</v>
      </c>
      <c r="B9680" s="1">
        <v>45805</v>
      </c>
      <c r="C9680" t="s">
        <v>12</v>
      </c>
      <c r="D9680" s="2">
        <v>0</v>
      </c>
      <c r="E9680" s="2">
        <v>2703.77</v>
      </c>
      <c r="F9680" t="s">
        <v>14</v>
      </c>
      <c r="G9680" t="s">
        <v>15</v>
      </c>
    </row>
    <row r="9681" spans="1:7" x14ac:dyDescent="0.35">
      <c r="A9681">
        <v>3841</v>
      </c>
      <c r="B9681" s="1">
        <v>45805</v>
      </c>
      <c r="C9681" t="s">
        <v>12</v>
      </c>
      <c r="D9681" s="2">
        <v>0</v>
      </c>
      <c r="E9681" s="2">
        <v>202.78</v>
      </c>
      <c r="F9681" t="s">
        <v>16</v>
      </c>
      <c r="G9681" t="s">
        <v>17</v>
      </c>
    </row>
    <row r="9682" spans="1:7" x14ac:dyDescent="0.35">
      <c r="A9682">
        <v>3842</v>
      </c>
      <c r="B9682" s="1">
        <v>45805</v>
      </c>
      <c r="C9682" t="s">
        <v>12</v>
      </c>
      <c r="D9682" s="2">
        <v>3972.97</v>
      </c>
      <c r="E9682" s="2">
        <v>0</v>
      </c>
      <c r="F9682" t="s">
        <v>13</v>
      </c>
      <c r="G9682" t="s">
        <v>9</v>
      </c>
    </row>
    <row r="9683" spans="1:7" x14ac:dyDescent="0.35">
      <c r="A9683">
        <v>3842</v>
      </c>
      <c r="B9683" s="1">
        <v>45805</v>
      </c>
      <c r="C9683" t="s">
        <v>12</v>
      </c>
      <c r="D9683" s="2">
        <v>0</v>
      </c>
      <c r="E9683" s="2">
        <v>3695.78</v>
      </c>
      <c r="F9683" t="s">
        <v>14</v>
      </c>
      <c r="G9683" t="s">
        <v>15</v>
      </c>
    </row>
    <row r="9684" spans="1:7" x14ac:dyDescent="0.35">
      <c r="A9684">
        <v>3842</v>
      </c>
      <c r="B9684" s="1">
        <v>45805</v>
      </c>
      <c r="C9684" t="s">
        <v>12</v>
      </c>
      <c r="D9684" s="2">
        <v>0</v>
      </c>
      <c r="E9684" s="2">
        <v>277.19</v>
      </c>
      <c r="F9684" t="s">
        <v>16</v>
      </c>
      <c r="G9684" t="s">
        <v>17</v>
      </c>
    </row>
    <row r="9685" spans="1:7" x14ac:dyDescent="0.35">
      <c r="A9685">
        <v>3843</v>
      </c>
      <c r="B9685" s="1">
        <v>45805</v>
      </c>
      <c r="C9685" t="s">
        <v>12</v>
      </c>
      <c r="D9685" s="2">
        <v>5144.53</v>
      </c>
      <c r="E9685" s="2">
        <v>0</v>
      </c>
      <c r="F9685" t="s">
        <v>13</v>
      </c>
      <c r="G9685" t="s">
        <v>9</v>
      </c>
    </row>
    <row r="9686" spans="1:7" x14ac:dyDescent="0.35">
      <c r="A9686">
        <v>3843</v>
      </c>
      <c r="B9686" s="1">
        <v>45805</v>
      </c>
      <c r="C9686" t="s">
        <v>12</v>
      </c>
      <c r="D9686" s="2">
        <v>0</v>
      </c>
      <c r="E9686" s="2">
        <v>4785.62</v>
      </c>
      <c r="F9686" t="s">
        <v>14</v>
      </c>
      <c r="G9686" t="s">
        <v>15</v>
      </c>
    </row>
    <row r="9687" spans="1:7" x14ac:dyDescent="0.35">
      <c r="A9687">
        <v>3843</v>
      </c>
      <c r="B9687" s="1">
        <v>45805</v>
      </c>
      <c r="C9687" t="s">
        <v>12</v>
      </c>
      <c r="D9687" s="2">
        <v>0</v>
      </c>
      <c r="E9687" s="2">
        <v>358.91</v>
      </c>
      <c r="F9687" t="s">
        <v>16</v>
      </c>
      <c r="G9687" t="s">
        <v>17</v>
      </c>
    </row>
    <row r="9688" spans="1:7" x14ac:dyDescent="0.35">
      <c r="A9688">
        <v>3844</v>
      </c>
      <c r="B9688" s="1">
        <v>45805</v>
      </c>
      <c r="C9688" t="s">
        <v>12</v>
      </c>
      <c r="D9688" s="2">
        <v>2441.62</v>
      </c>
      <c r="E9688" s="2">
        <v>0</v>
      </c>
      <c r="F9688" t="s">
        <v>13</v>
      </c>
      <c r="G9688" t="s">
        <v>9</v>
      </c>
    </row>
    <row r="9689" spans="1:7" x14ac:dyDescent="0.35">
      <c r="A9689">
        <v>3844</v>
      </c>
      <c r="B9689" s="1">
        <v>45805</v>
      </c>
      <c r="C9689" t="s">
        <v>12</v>
      </c>
      <c r="D9689" s="2">
        <v>0</v>
      </c>
      <c r="E9689" s="2">
        <v>2271.27</v>
      </c>
      <c r="F9689" t="s">
        <v>14</v>
      </c>
      <c r="G9689" t="s">
        <v>15</v>
      </c>
    </row>
    <row r="9690" spans="1:7" x14ac:dyDescent="0.35">
      <c r="A9690">
        <v>3844</v>
      </c>
      <c r="B9690" s="1">
        <v>45805</v>
      </c>
      <c r="C9690" t="s">
        <v>12</v>
      </c>
      <c r="D9690" s="2">
        <v>0</v>
      </c>
      <c r="E9690" s="2">
        <v>170.35</v>
      </c>
      <c r="F9690" t="s">
        <v>16</v>
      </c>
      <c r="G9690" t="s">
        <v>17</v>
      </c>
    </row>
    <row r="9691" spans="1:7" x14ac:dyDescent="0.35">
      <c r="A9691">
        <v>3845</v>
      </c>
      <c r="B9691" s="1">
        <v>45805</v>
      </c>
      <c r="C9691" t="s">
        <v>24</v>
      </c>
      <c r="D9691" s="2">
        <v>2987.76</v>
      </c>
      <c r="E9691" s="2">
        <v>0</v>
      </c>
      <c r="F9691" t="s">
        <v>8</v>
      </c>
      <c r="G9691" t="s">
        <v>9</v>
      </c>
    </row>
    <row r="9692" spans="1:7" x14ac:dyDescent="0.35">
      <c r="A9692">
        <v>3845</v>
      </c>
      <c r="B9692" s="1">
        <v>45805</v>
      </c>
      <c r="C9692" t="s">
        <v>24</v>
      </c>
      <c r="D9692" s="2">
        <v>0</v>
      </c>
      <c r="E9692" s="2">
        <v>2987.76</v>
      </c>
      <c r="F9692" t="s">
        <v>13</v>
      </c>
      <c r="G9692" t="s">
        <v>9</v>
      </c>
    </row>
    <row r="9693" spans="1:7" x14ac:dyDescent="0.35">
      <c r="A9693">
        <v>3846</v>
      </c>
      <c r="B9693" s="1">
        <v>45805</v>
      </c>
      <c r="C9693" t="s">
        <v>24</v>
      </c>
      <c r="D9693" s="2">
        <v>451.4</v>
      </c>
      <c r="E9693" s="2">
        <v>0</v>
      </c>
      <c r="F9693" t="s">
        <v>8</v>
      </c>
      <c r="G9693" t="s">
        <v>9</v>
      </c>
    </row>
    <row r="9694" spans="1:7" x14ac:dyDescent="0.35">
      <c r="A9694">
        <v>3846</v>
      </c>
      <c r="B9694" s="1">
        <v>45805</v>
      </c>
      <c r="C9694" t="s">
        <v>24</v>
      </c>
      <c r="D9694" s="2">
        <v>0</v>
      </c>
      <c r="E9694" s="2">
        <v>451.4</v>
      </c>
      <c r="F9694" t="s">
        <v>13</v>
      </c>
      <c r="G9694" t="s">
        <v>9</v>
      </c>
    </row>
    <row r="9695" spans="1:7" x14ac:dyDescent="0.35">
      <c r="A9695">
        <v>3847</v>
      </c>
      <c r="B9695" s="1">
        <v>45805</v>
      </c>
      <c r="C9695" t="s">
        <v>24</v>
      </c>
      <c r="D9695" s="2">
        <v>545.69000000000005</v>
      </c>
      <c r="E9695" s="2">
        <v>0</v>
      </c>
      <c r="F9695" t="s">
        <v>8</v>
      </c>
      <c r="G9695" t="s">
        <v>9</v>
      </c>
    </row>
    <row r="9696" spans="1:7" x14ac:dyDescent="0.35">
      <c r="A9696">
        <v>3847</v>
      </c>
      <c r="B9696" s="1">
        <v>45805</v>
      </c>
      <c r="C9696" t="s">
        <v>24</v>
      </c>
      <c r="D9696" s="2">
        <v>0</v>
      </c>
      <c r="E9696" s="2">
        <v>545.69000000000005</v>
      </c>
      <c r="F9696" t="s">
        <v>13</v>
      </c>
      <c r="G9696" t="s">
        <v>9</v>
      </c>
    </row>
    <row r="9697" spans="1:7" x14ac:dyDescent="0.35">
      <c r="A9697">
        <v>3848</v>
      </c>
      <c r="B9697" s="1">
        <v>45805</v>
      </c>
      <c r="C9697" t="s">
        <v>24</v>
      </c>
      <c r="D9697" s="2">
        <v>1674.39</v>
      </c>
      <c r="E9697" s="2">
        <v>0</v>
      </c>
      <c r="F9697" t="s">
        <v>8</v>
      </c>
      <c r="G9697" t="s">
        <v>9</v>
      </c>
    </row>
    <row r="9698" spans="1:7" x14ac:dyDescent="0.35">
      <c r="A9698">
        <v>3848</v>
      </c>
      <c r="B9698" s="1">
        <v>45805</v>
      </c>
      <c r="C9698" t="s">
        <v>24</v>
      </c>
      <c r="D9698" s="2">
        <v>0</v>
      </c>
      <c r="E9698" s="2">
        <v>1674.39</v>
      </c>
      <c r="F9698" t="s">
        <v>13</v>
      </c>
      <c r="G9698" t="s">
        <v>9</v>
      </c>
    </row>
    <row r="9699" spans="1:7" x14ac:dyDescent="0.35">
      <c r="A9699">
        <v>3849</v>
      </c>
      <c r="B9699" s="1">
        <v>45805</v>
      </c>
      <c r="C9699" t="s">
        <v>24</v>
      </c>
      <c r="D9699" s="2">
        <v>3377.48</v>
      </c>
      <c r="E9699" s="2">
        <v>0</v>
      </c>
      <c r="F9699" t="s">
        <v>8</v>
      </c>
      <c r="G9699" t="s">
        <v>9</v>
      </c>
    </row>
    <row r="9700" spans="1:7" x14ac:dyDescent="0.35">
      <c r="A9700">
        <v>3849</v>
      </c>
      <c r="B9700" s="1">
        <v>45805</v>
      </c>
      <c r="C9700" t="s">
        <v>24</v>
      </c>
      <c r="D9700" s="2">
        <v>0</v>
      </c>
      <c r="E9700" s="2">
        <v>3377.48</v>
      </c>
      <c r="F9700" t="s">
        <v>13</v>
      </c>
      <c r="G9700" t="s">
        <v>9</v>
      </c>
    </row>
    <row r="9701" spans="1:7" x14ac:dyDescent="0.35">
      <c r="A9701">
        <v>3850</v>
      </c>
      <c r="B9701" s="1">
        <v>45805</v>
      </c>
      <c r="C9701" t="s">
        <v>24</v>
      </c>
      <c r="D9701" s="2">
        <v>4218.88</v>
      </c>
      <c r="E9701" s="2">
        <v>0</v>
      </c>
      <c r="F9701" t="s">
        <v>8</v>
      </c>
      <c r="G9701" t="s">
        <v>9</v>
      </c>
    </row>
    <row r="9702" spans="1:7" x14ac:dyDescent="0.35">
      <c r="A9702">
        <v>3850</v>
      </c>
      <c r="B9702" s="1">
        <v>45805</v>
      </c>
      <c r="C9702" t="s">
        <v>24</v>
      </c>
      <c r="D9702" s="2">
        <v>0</v>
      </c>
      <c r="E9702" s="2">
        <v>4218.88</v>
      </c>
      <c r="F9702" t="s">
        <v>13</v>
      </c>
      <c r="G9702" t="s">
        <v>9</v>
      </c>
    </row>
    <row r="9703" spans="1:7" x14ac:dyDescent="0.35">
      <c r="A9703">
        <v>3851</v>
      </c>
      <c r="B9703" s="1">
        <v>45805</v>
      </c>
      <c r="C9703" t="s">
        <v>29</v>
      </c>
      <c r="D9703" s="2">
        <v>550.4</v>
      </c>
      <c r="E9703" s="2">
        <v>0</v>
      </c>
      <c r="F9703" t="s">
        <v>28</v>
      </c>
      <c r="G9703" t="s">
        <v>17</v>
      </c>
    </row>
    <row r="9704" spans="1:7" x14ac:dyDescent="0.35">
      <c r="A9704">
        <v>3851</v>
      </c>
      <c r="B9704" s="1">
        <v>45805</v>
      </c>
      <c r="C9704" t="s">
        <v>29</v>
      </c>
      <c r="D9704" s="2">
        <v>0</v>
      </c>
      <c r="E9704" s="2">
        <v>550.4</v>
      </c>
      <c r="F9704" t="s">
        <v>8</v>
      </c>
      <c r="G9704" t="s">
        <v>9</v>
      </c>
    </row>
    <row r="9705" spans="1:7" x14ac:dyDescent="0.35">
      <c r="A9705">
        <v>3852</v>
      </c>
      <c r="B9705" s="1">
        <v>45806</v>
      </c>
      <c r="C9705" t="s">
        <v>12</v>
      </c>
      <c r="D9705" s="2">
        <v>6357.26</v>
      </c>
      <c r="E9705" s="2">
        <v>0</v>
      </c>
      <c r="F9705" t="s">
        <v>13</v>
      </c>
      <c r="G9705" t="s">
        <v>9</v>
      </c>
    </row>
    <row r="9706" spans="1:7" x14ac:dyDescent="0.35">
      <c r="A9706">
        <v>3852</v>
      </c>
      <c r="B9706" s="1">
        <v>45806</v>
      </c>
      <c r="C9706" t="s">
        <v>12</v>
      </c>
      <c r="D9706" s="2">
        <v>0</v>
      </c>
      <c r="E9706" s="2">
        <v>5913.74</v>
      </c>
      <c r="F9706" t="s">
        <v>14</v>
      </c>
      <c r="G9706" t="s">
        <v>15</v>
      </c>
    </row>
    <row r="9707" spans="1:7" x14ac:dyDescent="0.35">
      <c r="A9707">
        <v>3852</v>
      </c>
      <c r="B9707" s="1">
        <v>45806</v>
      </c>
      <c r="C9707" t="s">
        <v>12</v>
      </c>
      <c r="D9707" s="2">
        <v>0</v>
      </c>
      <c r="E9707" s="2">
        <v>443.52</v>
      </c>
      <c r="F9707" t="s">
        <v>16</v>
      </c>
      <c r="G9707" t="s">
        <v>17</v>
      </c>
    </row>
    <row r="9708" spans="1:7" x14ac:dyDescent="0.35">
      <c r="A9708">
        <v>3853</v>
      </c>
      <c r="B9708" s="1">
        <v>45806</v>
      </c>
      <c r="C9708" t="s">
        <v>12</v>
      </c>
      <c r="D9708" s="2">
        <v>2375.9</v>
      </c>
      <c r="E9708" s="2">
        <v>0</v>
      </c>
      <c r="F9708" t="s">
        <v>13</v>
      </c>
      <c r="G9708" t="s">
        <v>9</v>
      </c>
    </row>
    <row r="9709" spans="1:7" x14ac:dyDescent="0.35">
      <c r="A9709">
        <v>3853</v>
      </c>
      <c r="B9709" s="1">
        <v>45806</v>
      </c>
      <c r="C9709" t="s">
        <v>12</v>
      </c>
      <c r="D9709" s="2">
        <v>0</v>
      </c>
      <c r="E9709" s="2">
        <v>2210.13</v>
      </c>
      <c r="F9709" t="s">
        <v>14</v>
      </c>
      <c r="G9709" t="s">
        <v>15</v>
      </c>
    </row>
    <row r="9710" spans="1:7" x14ac:dyDescent="0.35">
      <c r="A9710">
        <v>3853</v>
      </c>
      <c r="B9710" s="1">
        <v>45806</v>
      </c>
      <c r="C9710" t="s">
        <v>12</v>
      </c>
      <c r="D9710" s="2">
        <v>0</v>
      </c>
      <c r="E9710" s="2">
        <v>165.77</v>
      </c>
      <c r="F9710" t="s">
        <v>16</v>
      </c>
      <c r="G9710" t="s">
        <v>17</v>
      </c>
    </row>
    <row r="9711" spans="1:7" x14ac:dyDescent="0.35">
      <c r="A9711">
        <v>3854</v>
      </c>
      <c r="B9711" s="1">
        <v>45806</v>
      </c>
      <c r="C9711" t="s">
        <v>12</v>
      </c>
      <c r="D9711" s="2">
        <v>525.74</v>
      </c>
      <c r="E9711" s="2">
        <v>0</v>
      </c>
      <c r="F9711" t="s">
        <v>13</v>
      </c>
      <c r="G9711" t="s">
        <v>9</v>
      </c>
    </row>
    <row r="9712" spans="1:7" x14ac:dyDescent="0.35">
      <c r="A9712">
        <v>3854</v>
      </c>
      <c r="B9712" s="1">
        <v>45806</v>
      </c>
      <c r="C9712" t="s">
        <v>12</v>
      </c>
      <c r="D9712" s="2">
        <v>0</v>
      </c>
      <c r="E9712" s="2">
        <v>489.06</v>
      </c>
      <c r="F9712" t="s">
        <v>14</v>
      </c>
      <c r="G9712" t="s">
        <v>15</v>
      </c>
    </row>
    <row r="9713" spans="1:7" x14ac:dyDescent="0.35">
      <c r="A9713">
        <v>3854</v>
      </c>
      <c r="B9713" s="1">
        <v>45806</v>
      </c>
      <c r="C9713" t="s">
        <v>12</v>
      </c>
      <c r="D9713" s="2">
        <v>0</v>
      </c>
      <c r="E9713" s="2">
        <v>36.68</v>
      </c>
      <c r="F9713" t="s">
        <v>16</v>
      </c>
      <c r="G9713" t="s">
        <v>17</v>
      </c>
    </row>
    <row r="9714" spans="1:7" x14ac:dyDescent="0.35">
      <c r="A9714">
        <v>3855</v>
      </c>
      <c r="B9714" s="1">
        <v>45806</v>
      </c>
      <c r="C9714" t="s">
        <v>12</v>
      </c>
      <c r="D9714" s="2">
        <v>1549.41</v>
      </c>
      <c r="E9714" s="2">
        <v>0</v>
      </c>
      <c r="F9714" t="s">
        <v>13</v>
      </c>
      <c r="G9714" t="s">
        <v>9</v>
      </c>
    </row>
    <row r="9715" spans="1:7" x14ac:dyDescent="0.35">
      <c r="A9715">
        <v>3855</v>
      </c>
      <c r="B9715" s="1">
        <v>45806</v>
      </c>
      <c r="C9715" t="s">
        <v>12</v>
      </c>
      <c r="D9715" s="2">
        <v>0</v>
      </c>
      <c r="E9715" s="2">
        <v>1441.31</v>
      </c>
      <c r="F9715" t="s">
        <v>14</v>
      </c>
      <c r="G9715" t="s">
        <v>15</v>
      </c>
    </row>
    <row r="9716" spans="1:7" x14ac:dyDescent="0.35">
      <c r="A9716">
        <v>3855</v>
      </c>
      <c r="B9716" s="1">
        <v>45806</v>
      </c>
      <c r="C9716" t="s">
        <v>12</v>
      </c>
      <c r="D9716" s="2">
        <v>0</v>
      </c>
      <c r="E9716" s="2">
        <v>108.1</v>
      </c>
      <c r="F9716" t="s">
        <v>16</v>
      </c>
      <c r="G9716" t="s">
        <v>17</v>
      </c>
    </row>
    <row r="9717" spans="1:7" x14ac:dyDescent="0.35">
      <c r="A9717">
        <v>3856</v>
      </c>
      <c r="B9717" s="1">
        <v>45806</v>
      </c>
      <c r="C9717" t="s">
        <v>12</v>
      </c>
      <c r="D9717" s="2">
        <v>1226.6600000000001</v>
      </c>
      <c r="E9717" s="2">
        <v>0</v>
      </c>
      <c r="F9717" t="s">
        <v>13</v>
      </c>
      <c r="G9717" t="s">
        <v>9</v>
      </c>
    </row>
    <row r="9718" spans="1:7" x14ac:dyDescent="0.35">
      <c r="A9718">
        <v>3856</v>
      </c>
      <c r="B9718" s="1">
        <v>45806</v>
      </c>
      <c r="C9718" t="s">
        <v>12</v>
      </c>
      <c r="D9718" s="2">
        <v>0</v>
      </c>
      <c r="E9718" s="2">
        <v>1141.08</v>
      </c>
      <c r="F9718" t="s">
        <v>14</v>
      </c>
      <c r="G9718" t="s">
        <v>15</v>
      </c>
    </row>
    <row r="9719" spans="1:7" x14ac:dyDescent="0.35">
      <c r="A9719">
        <v>3856</v>
      </c>
      <c r="B9719" s="1">
        <v>45806</v>
      </c>
      <c r="C9719" t="s">
        <v>12</v>
      </c>
      <c r="D9719" s="2">
        <v>0</v>
      </c>
      <c r="E9719" s="2">
        <v>85.58</v>
      </c>
      <c r="F9719" t="s">
        <v>16</v>
      </c>
      <c r="G9719" t="s">
        <v>17</v>
      </c>
    </row>
    <row r="9720" spans="1:7" x14ac:dyDescent="0.35">
      <c r="A9720">
        <v>3857</v>
      </c>
      <c r="B9720" s="1">
        <v>45806</v>
      </c>
      <c r="C9720" t="s">
        <v>12</v>
      </c>
      <c r="D9720" s="2">
        <v>167.67</v>
      </c>
      <c r="E9720" s="2">
        <v>0</v>
      </c>
      <c r="F9720" t="s">
        <v>13</v>
      </c>
      <c r="G9720" t="s">
        <v>9</v>
      </c>
    </row>
    <row r="9721" spans="1:7" x14ac:dyDescent="0.35">
      <c r="A9721">
        <v>3857</v>
      </c>
      <c r="B9721" s="1">
        <v>45806</v>
      </c>
      <c r="C9721" t="s">
        <v>12</v>
      </c>
      <c r="D9721" s="2">
        <v>0</v>
      </c>
      <c r="E9721" s="2">
        <v>155.97</v>
      </c>
      <c r="F9721" t="s">
        <v>14</v>
      </c>
      <c r="G9721" t="s">
        <v>15</v>
      </c>
    </row>
    <row r="9722" spans="1:7" x14ac:dyDescent="0.35">
      <c r="A9722">
        <v>3857</v>
      </c>
      <c r="B9722" s="1">
        <v>45806</v>
      </c>
      <c r="C9722" t="s">
        <v>12</v>
      </c>
      <c r="D9722" s="2">
        <v>0</v>
      </c>
      <c r="E9722" s="2">
        <v>11.7</v>
      </c>
      <c r="F9722" t="s">
        <v>16</v>
      </c>
      <c r="G9722" t="s">
        <v>17</v>
      </c>
    </row>
    <row r="9723" spans="1:7" x14ac:dyDescent="0.35">
      <c r="A9723">
        <v>3858</v>
      </c>
      <c r="B9723" s="1">
        <v>45806</v>
      </c>
      <c r="C9723" t="s">
        <v>24</v>
      </c>
      <c r="D9723" s="2">
        <v>1923.63</v>
      </c>
      <c r="E9723" s="2">
        <v>0</v>
      </c>
      <c r="F9723" t="s">
        <v>8</v>
      </c>
      <c r="G9723" t="s">
        <v>9</v>
      </c>
    </row>
    <row r="9724" spans="1:7" x14ac:dyDescent="0.35">
      <c r="A9724">
        <v>3858</v>
      </c>
      <c r="B9724" s="1">
        <v>45806</v>
      </c>
      <c r="C9724" t="s">
        <v>24</v>
      </c>
      <c r="D9724" s="2">
        <v>0</v>
      </c>
      <c r="E9724" s="2">
        <v>1923.63</v>
      </c>
      <c r="F9724" t="s">
        <v>13</v>
      </c>
      <c r="G9724" t="s">
        <v>9</v>
      </c>
    </row>
    <row r="9725" spans="1:7" x14ac:dyDescent="0.35">
      <c r="A9725">
        <v>3859</v>
      </c>
      <c r="B9725" s="1">
        <v>45806</v>
      </c>
      <c r="C9725" t="s">
        <v>24</v>
      </c>
      <c r="D9725" s="2">
        <v>2881.85</v>
      </c>
      <c r="E9725" s="2">
        <v>0</v>
      </c>
      <c r="F9725" t="s">
        <v>8</v>
      </c>
      <c r="G9725" t="s">
        <v>9</v>
      </c>
    </row>
    <row r="9726" spans="1:7" x14ac:dyDescent="0.35">
      <c r="A9726">
        <v>3859</v>
      </c>
      <c r="B9726" s="1">
        <v>45806</v>
      </c>
      <c r="C9726" t="s">
        <v>24</v>
      </c>
      <c r="D9726" s="2">
        <v>0</v>
      </c>
      <c r="E9726" s="2">
        <v>2881.85</v>
      </c>
      <c r="F9726" t="s">
        <v>13</v>
      </c>
      <c r="G9726" t="s">
        <v>9</v>
      </c>
    </row>
    <row r="9727" spans="1:7" x14ac:dyDescent="0.35">
      <c r="A9727">
        <v>3860</v>
      </c>
      <c r="B9727" s="1">
        <v>45806</v>
      </c>
      <c r="C9727" t="s">
        <v>24</v>
      </c>
      <c r="D9727" s="2">
        <v>2778.5</v>
      </c>
      <c r="E9727" s="2">
        <v>0</v>
      </c>
      <c r="F9727" t="s">
        <v>8</v>
      </c>
      <c r="G9727" t="s">
        <v>9</v>
      </c>
    </row>
    <row r="9728" spans="1:7" x14ac:dyDescent="0.35">
      <c r="A9728">
        <v>3860</v>
      </c>
      <c r="B9728" s="1">
        <v>45806</v>
      </c>
      <c r="C9728" t="s">
        <v>24</v>
      </c>
      <c r="D9728" s="2">
        <v>0</v>
      </c>
      <c r="E9728" s="2">
        <v>2778.5</v>
      </c>
      <c r="F9728" t="s">
        <v>13</v>
      </c>
      <c r="G9728" t="s">
        <v>9</v>
      </c>
    </row>
    <row r="9729" spans="1:7" x14ac:dyDescent="0.35">
      <c r="A9729">
        <v>3861</v>
      </c>
      <c r="B9729" s="1">
        <v>45806</v>
      </c>
      <c r="C9729" t="s">
        <v>24</v>
      </c>
      <c r="D9729" s="2">
        <v>516.57000000000005</v>
      </c>
      <c r="E9729" s="2">
        <v>0</v>
      </c>
      <c r="F9729" t="s">
        <v>8</v>
      </c>
      <c r="G9729" t="s">
        <v>9</v>
      </c>
    </row>
    <row r="9730" spans="1:7" x14ac:dyDescent="0.35">
      <c r="A9730">
        <v>3861</v>
      </c>
      <c r="B9730" s="1">
        <v>45806</v>
      </c>
      <c r="C9730" t="s">
        <v>24</v>
      </c>
      <c r="D9730" s="2">
        <v>0</v>
      </c>
      <c r="E9730" s="2">
        <v>516.57000000000005</v>
      </c>
      <c r="F9730" t="s">
        <v>13</v>
      </c>
      <c r="G9730" t="s">
        <v>9</v>
      </c>
    </row>
    <row r="9731" spans="1:7" x14ac:dyDescent="0.35">
      <c r="A9731">
        <v>3862</v>
      </c>
      <c r="B9731" s="1">
        <v>45806</v>
      </c>
      <c r="C9731" t="s">
        <v>24</v>
      </c>
      <c r="D9731" s="2">
        <v>2250.5100000000002</v>
      </c>
      <c r="E9731" s="2">
        <v>0</v>
      </c>
      <c r="F9731" t="s">
        <v>8</v>
      </c>
      <c r="G9731" t="s">
        <v>9</v>
      </c>
    </row>
    <row r="9732" spans="1:7" x14ac:dyDescent="0.35">
      <c r="A9732">
        <v>3862</v>
      </c>
      <c r="B9732" s="1">
        <v>45806</v>
      </c>
      <c r="C9732" t="s">
        <v>24</v>
      </c>
      <c r="D9732" s="2">
        <v>0</v>
      </c>
      <c r="E9732" s="2">
        <v>2250.5100000000002</v>
      </c>
      <c r="F9732" t="s">
        <v>13</v>
      </c>
      <c r="G9732" t="s">
        <v>9</v>
      </c>
    </row>
    <row r="9733" spans="1:7" x14ac:dyDescent="0.35">
      <c r="A9733">
        <v>3863</v>
      </c>
      <c r="B9733" s="1">
        <v>45806</v>
      </c>
      <c r="C9733" t="s">
        <v>25</v>
      </c>
      <c r="D9733" s="2">
        <v>1643.22</v>
      </c>
      <c r="E9733" s="2">
        <v>0</v>
      </c>
      <c r="F9733" t="s">
        <v>26</v>
      </c>
      <c r="G9733" t="s">
        <v>20</v>
      </c>
    </row>
    <row r="9734" spans="1:7" x14ac:dyDescent="0.35">
      <c r="A9734">
        <v>3863</v>
      </c>
      <c r="B9734" s="1">
        <v>45806</v>
      </c>
      <c r="C9734" t="s">
        <v>25</v>
      </c>
      <c r="D9734" s="2">
        <v>123.24</v>
      </c>
      <c r="E9734" s="2">
        <v>0</v>
      </c>
      <c r="F9734" t="s">
        <v>27</v>
      </c>
      <c r="G9734" t="s">
        <v>9</v>
      </c>
    </row>
    <row r="9735" spans="1:7" x14ac:dyDescent="0.35">
      <c r="A9735">
        <v>3863</v>
      </c>
      <c r="B9735" s="1">
        <v>45806</v>
      </c>
      <c r="C9735" t="s">
        <v>25</v>
      </c>
      <c r="D9735" s="2">
        <v>0</v>
      </c>
      <c r="E9735" s="2">
        <v>1766.46</v>
      </c>
      <c r="F9735" t="s">
        <v>28</v>
      </c>
      <c r="G9735" t="s">
        <v>17</v>
      </c>
    </row>
    <row r="9736" spans="1:7" x14ac:dyDescent="0.35">
      <c r="A9736">
        <v>3864</v>
      </c>
      <c r="B9736" s="1">
        <v>45806</v>
      </c>
      <c r="C9736" t="s">
        <v>29</v>
      </c>
      <c r="D9736" s="2">
        <v>3528.97</v>
      </c>
      <c r="E9736" s="2">
        <v>0</v>
      </c>
      <c r="F9736" t="s">
        <v>28</v>
      </c>
      <c r="G9736" t="s">
        <v>17</v>
      </c>
    </row>
    <row r="9737" spans="1:7" x14ac:dyDescent="0.35">
      <c r="A9737">
        <v>3864</v>
      </c>
      <c r="B9737" s="1">
        <v>45806</v>
      </c>
      <c r="C9737" t="s">
        <v>29</v>
      </c>
      <c r="D9737" s="2">
        <v>0</v>
      </c>
      <c r="E9737" s="2">
        <v>3528.97</v>
      </c>
      <c r="F9737" t="s">
        <v>8</v>
      </c>
      <c r="G9737" t="s">
        <v>9</v>
      </c>
    </row>
    <row r="9738" spans="1:7" x14ac:dyDescent="0.35">
      <c r="A9738">
        <v>3865</v>
      </c>
      <c r="B9738" s="1">
        <v>45807</v>
      </c>
      <c r="C9738" t="s">
        <v>12</v>
      </c>
      <c r="D9738" s="2">
        <v>1034.6600000000001</v>
      </c>
      <c r="E9738" s="2">
        <v>0</v>
      </c>
      <c r="F9738" t="s">
        <v>13</v>
      </c>
      <c r="G9738" t="s">
        <v>9</v>
      </c>
    </row>
    <row r="9739" spans="1:7" x14ac:dyDescent="0.35">
      <c r="A9739">
        <v>3865</v>
      </c>
      <c r="B9739" s="1">
        <v>45807</v>
      </c>
      <c r="C9739" t="s">
        <v>12</v>
      </c>
      <c r="D9739" s="2">
        <v>0</v>
      </c>
      <c r="E9739" s="2">
        <v>962.47</v>
      </c>
      <c r="F9739" t="s">
        <v>14</v>
      </c>
      <c r="G9739" t="s">
        <v>15</v>
      </c>
    </row>
    <row r="9740" spans="1:7" x14ac:dyDescent="0.35">
      <c r="A9740">
        <v>3865</v>
      </c>
      <c r="B9740" s="1">
        <v>45807</v>
      </c>
      <c r="C9740" t="s">
        <v>12</v>
      </c>
      <c r="D9740" s="2">
        <v>0</v>
      </c>
      <c r="E9740" s="2">
        <v>72.19</v>
      </c>
      <c r="F9740" t="s">
        <v>16</v>
      </c>
      <c r="G9740" t="s">
        <v>17</v>
      </c>
    </row>
    <row r="9741" spans="1:7" x14ac:dyDescent="0.35">
      <c r="A9741">
        <v>3866</v>
      </c>
      <c r="B9741" s="1">
        <v>45807</v>
      </c>
      <c r="C9741" t="s">
        <v>12</v>
      </c>
      <c r="D9741" s="2">
        <v>2106.4499999999998</v>
      </c>
      <c r="E9741" s="2">
        <v>0</v>
      </c>
      <c r="F9741" t="s">
        <v>13</v>
      </c>
      <c r="G9741" t="s">
        <v>9</v>
      </c>
    </row>
    <row r="9742" spans="1:7" x14ac:dyDescent="0.35">
      <c r="A9742">
        <v>3866</v>
      </c>
      <c r="B9742" s="1">
        <v>45807</v>
      </c>
      <c r="C9742" t="s">
        <v>12</v>
      </c>
      <c r="D9742" s="2">
        <v>0</v>
      </c>
      <c r="E9742" s="2">
        <v>1959.49</v>
      </c>
      <c r="F9742" t="s">
        <v>14</v>
      </c>
      <c r="G9742" t="s">
        <v>15</v>
      </c>
    </row>
    <row r="9743" spans="1:7" x14ac:dyDescent="0.35">
      <c r="A9743">
        <v>3866</v>
      </c>
      <c r="B9743" s="1">
        <v>45807</v>
      </c>
      <c r="C9743" t="s">
        <v>12</v>
      </c>
      <c r="D9743" s="2">
        <v>0</v>
      </c>
      <c r="E9743" s="2">
        <v>146.96</v>
      </c>
      <c r="F9743" t="s">
        <v>16</v>
      </c>
      <c r="G9743" t="s">
        <v>17</v>
      </c>
    </row>
    <row r="9744" spans="1:7" x14ac:dyDescent="0.35">
      <c r="A9744">
        <v>3867</v>
      </c>
      <c r="B9744" s="1">
        <v>45807</v>
      </c>
      <c r="C9744" t="s">
        <v>12</v>
      </c>
      <c r="D9744" s="2">
        <v>27.83</v>
      </c>
      <c r="E9744" s="2">
        <v>0</v>
      </c>
      <c r="F9744" t="s">
        <v>13</v>
      </c>
      <c r="G9744" t="s">
        <v>9</v>
      </c>
    </row>
    <row r="9745" spans="1:7" x14ac:dyDescent="0.35">
      <c r="A9745">
        <v>3867</v>
      </c>
      <c r="B9745" s="1">
        <v>45807</v>
      </c>
      <c r="C9745" t="s">
        <v>12</v>
      </c>
      <c r="D9745" s="2">
        <v>0</v>
      </c>
      <c r="E9745" s="2">
        <v>25.89</v>
      </c>
      <c r="F9745" t="s">
        <v>14</v>
      </c>
      <c r="G9745" t="s">
        <v>15</v>
      </c>
    </row>
    <row r="9746" spans="1:7" x14ac:dyDescent="0.35">
      <c r="A9746">
        <v>3867</v>
      </c>
      <c r="B9746" s="1">
        <v>45807</v>
      </c>
      <c r="C9746" t="s">
        <v>12</v>
      </c>
      <c r="D9746" s="2">
        <v>0</v>
      </c>
      <c r="E9746" s="2">
        <v>1.94</v>
      </c>
      <c r="F9746" t="s">
        <v>16</v>
      </c>
      <c r="G9746" t="s">
        <v>17</v>
      </c>
    </row>
    <row r="9747" spans="1:7" x14ac:dyDescent="0.35">
      <c r="A9747">
        <v>3868</v>
      </c>
      <c r="B9747" s="1">
        <v>45807</v>
      </c>
      <c r="C9747" t="s">
        <v>12</v>
      </c>
      <c r="D9747" s="2">
        <v>2307.02</v>
      </c>
      <c r="E9747" s="2">
        <v>0</v>
      </c>
      <c r="F9747" t="s">
        <v>13</v>
      </c>
      <c r="G9747" t="s">
        <v>9</v>
      </c>
    </row>
    <row r="9748" spans="1:7" x14ac:dyDescent="0.35">
      <c r="A9748">
        <v>3868</v>
      </c>
      <c r="B9748" s="1">
        <v>45807</v>
      </c>
      <c r="C9748" t="s">
        <v>12</v>
      </c>
      <c r="D9748" s="2">
        <v>0</v>
      </c>
      <c r="E9748" s="2">
        <v>2146.0700000000002</v>
      </c>
      <c r="F9748" t="s">
        <v>14</v>
      </c>
      <c r="G9748" t="s">
        <v>15</v>
      </c>
    </row>
    <row r="9749" spans="1:7" x14ac:dyDescent="0.35">
      <c r="A9749">
        <v>3868</v>
      </c>
      <c r="B9749" s="1">
        <v>45807</v>
      </c>
      <c r="C9749" t="s">
        <v>12</v>
      </c>
      <c r="D9749" s="2">
        <v>0</v>
      </c>
      <c r="E9749" s="2">
        <v>160.94999999999999</v>
      </c>
      <c r="F9749" t="s">
        <v>16</v>
      </c>
      <c r="G9749" t="s">
        <v>17</v>
      </c>
    </row>
    <row r="9750" spans="1:7" x14ac:dyDescent="0.35">
      <c r="A9750">
        <v>3869</v>
      </c>
      <c r="B9750" s="1">
        <v>45807</v>
      </c>
      <c r="C9750" t="s">
        <v>24</v>
      </c>
      <c r="D9750" s="2">
        <v>3590.17</v>
      </c>
      <c r="E9750" s="2">
        <v>0</v>
      </c>
      <c r="F9750" t="s">
        <v>8</v>
      </c>
      <c r="G9750" t="s">
        <v>9</v>
      </c>
    </row>
    <row r="9751" spans="1:7" x14ac:dyDescent="0.35">
      <c r="A9751">
        <v>3869</v>
      </c>
      <c r="B9751" s="1">
        <v>45807</v>
      </c>
      <c r="C9751" t="s">
        <v>24</v>
      </c>
      <c r="D9751" s="2">
        <v>0</v>
      </c>
      <c r="E9751" s="2">
        <v>3590.17</v>
      </c>
      <c r="F9751" t="s">
        <v>13</v>
      </c>
      <c r="G9751" t="s">
        <v>9</v>
      </c>
    </row>
    <row r="9752" spans="1:7" x14ac:dyDescent="0.35">
      <c r="A9752">
        <v>3870</v>
      </c>
      <c r="B9752" s="1">
        <v>45807</v>
      </c>
      <c r="C9752" t="s">
        <v>24</v>
      </c>
      <c r="D9752" s="2">
        <v>929.35</v>
      </c>
      <c r="E9752" s="2">
        <v>0</v>
      </c>
      <c r="F9752" t="s">
        <v>8</v>
      </c>
      <c r="G9752" t="s">
        <v>9</v>
      </c>
    </row>
    <row r="9753" spans="1:7" x14ac:dyDescent="0.35">
      <c r="A9753">
        <v>3870</v>
      </c>
      <c r="B9753" s="1">
        <v>45807</v>
      </c>
      <c r="C9753" t="s">
        <v>24</v>
      </c>
      <c r="D9753" s="2">
        <v>0</v>
      </c>
      <c r="E9753" s="2">
        <v>929.35</v>
      </c>
      <c r="F9753" t="s">
        <v>13</v>
      </c>
      <c r="G9753" t="s">
        <v>9</v>
      </c>
    </row>
    <row r="9754" spans="1:7" x14ac:dyDescent="0.35">
      <c r="A9754">
        <v>3871</v>
      </c>
      <c r="B9754" s="1">
        <v>45807</v>
      </c>
      <c r="C9754" t="s">
        <v>24</v>
      </c>
      <c r="D9754" s="2">
        <v>2018.46</v>
      </c>
      <c r="E9754" s="2">
        <v>0</v>
      </c>
      <c r="F9754" t="s">
        <v>8</v>
      </c>
      <c r="G9754" t="s">
        <v>9</v>
      </c>
    </row>
    <row r="9755" spans="1:7" x14ac:dyDescent="0.35">
      <c r="A9755">
        <v>3871</v>
      </c>
      <c r="B9755" s="1">
        <v>45807</v>
      </c>
      <c r="C9755" t="s">
        <v>24</v>
      </c>
      <c r="D9755" s="2">
        <v>0</v>
      </c>
      <c r="E9755" s="2">
        <v>2018.46</v>
      </c>
      <c r="F9755" t="s">
        <v>13</v>
      </c>
      <c r="G9755" t="s">
        <v>9</v>
      </c>
    </row>
    <row r="9756" spans="1:7" x14ac:dyDescent="0.35">
      <c r="A9756">
        <v>3872</v>
      </c>
      <c r="B9756" s="1">
        <v>45807</v>
      </c>
      <c r="C9756" t="s">
        <v>24</v>
      </c>
      <c r="D9756" s="2">
        <v>1328.06</v>
      </c>
      <c r="E9756" s="2">
        <v>0</v>
      </c>
      <c r="F9756" t="s">
        <v>8</v>
      </c>
      <c r="G9756" t="s">
        <v>9</v>
      </c>
    </row>
    <row r="9757" spans="1:7" x14ac:dyDescent="0.35">
      <c r="A9757">
        <v>3872</v>
      </c>
      <c r="B9757" s="1">
        <v>45807</v>
      </c>
      <c r="C9757" t="s">
        <v>24</v>
      </c>
      <c r="D9757" s="2">
        <v>0</v>
      </c>
      <c r="E9757" s="2">
        <v>1328.06</v>
      </c>
      <c r="F9757" t="s">
        <v>13</v>
      </c>
      <c r="G9757" t="s">
        <v>9</v>
      </c>
    </row>
    <row r="9758" spans="1:7" x14ac:dyDescent="0.35">
      <c r="A9758">
        <v>3873</v>
      </c>
      <c r="B9758" s="1">
        <v>45807</v>
      </c>
      <c r="C9758" t="s">
        <v>24</v>
      </c>
      <c r="D9758" s="2">
        <v>5346.1</v>
      </c>
      <c r="E9758" s="2">
        <v>0</v>
      </c>
      <c r="F9758" t="s">
        <v>8</v>
      </c>
      <c r="G9758" t="s">
        <v>9</v>
      </c>
    </row>
    <row r="9759" spans="1:7" x14ac:dyDescent="0.35">
      <c r="A9759">
        <v>3873</v>
      </c>
      <c r="B9759" s="1">
        <v>45807</v>
      </c>
      <c r="C9759" t="s">
        <v>24</v>
      </c>
      <c r="D9759" s="2">
        <v>0</v>
      </c>
      <c r="E9759" s="2">
        <v>5346.1</v>
      </c>
      <c r="F9759" t="s">
        <v>13</v>
      </c>
      <c r="G9759" t="s">
        <v>9</v>
      </c>
    </row>
    <row r="9760" spans="1:7" x14ac:dyDescent="0.35">
      <c r="A9760">
        <v>3874</v>
      </c>
      <c r="B9760" s="1">
        <v>45807</v>
      </c>
      <c r="C9760" t="s">
        <v>24</v>
      </c>
      <c r="D9760" s="2">
        <v>954.43</v>
      </c>
      <c r="E9760" s="2">
        <v>0</v>
      </c>
      <c r="F9760" t="s">
        <v>8</v>
      </c>
      <c r="G9760" t="s">
        <v>9</v>
      </c>
    </row>
    <row r="9761" spans="1:7" x14ac:dyDescent="0.35">
      <c r="A9761">
        <v>3874</v>
      </c>
      <c r="B9761" s="1">
        <v>45807</v>
      </c>
      <c r="C9761" t="s">
        <v>24</v>
      </c>
      <c r="D9761" s="2">
        <v>0</v>
      </c>
      <c r="E9761" s="2">
        <v>954.43</v>
      </c>
      <c r="F9761" t="s">
        <v>13</v>
      </c>
      <c r="G9761" t="s">
        <v>9</v>
      </c>
    </row>
    <row r="9762" spans="1:7" x14ac:dyDescent="0.35">
      <c r="A9762">
        <v>3875</v>
      </c>
      <c r="B9762" s="1">
        <v>45807</v>
      </c>
      <c r="C9762" t="s">
        <v>24</v>
      </c>
      <c r="D9762" s="2">
        <v>3669.58</v>
      </c>
      <c r="E9762" s="2">
        <v>0</v>
      </c>
      <c r="F9762" t="s">
        <v>8</v>
      </c>
      <c r="G9762" t="s">
        <v>9</v>
      </c>
    </row>
    <row r="9763" spans="1:7" x14ac:dyDescent="0.35">
      <c r="A9763">
        <v>3875</v>
      </c>
      <c r="B9763" s="1">
        <v>45807</v>
      </c>
      <c r="C9763" t="s">
        <v>24</v>
      </c>
      <c r="D9763" s="2">
        <v>0</v>
      </c>
      <c r="E9763" s="2">
        <v>3669.58</v>
      </c>
      <c r="F9763" t="s">
        <v>13</v>
      </c>
      <c r="G9763" t="s">
        <v>9</v>
      </c>
    </row>
    <row r="9764" spans="1:7" x14ac:dyDescent="0.35">
      <c r="A9764">
        <v>3876</v>
      </c>
      <c r="B9764" s="1">
        <v>45807</v>
      </c>
      <c r="C9764" t="s">
        <v>24</v>
      </c>
      <c r="D9764" s="2">
        <v>5968.37</v>
      </c>
      <c r="E9764" s="2">
        <v>0</v>
      </c>
      <c r="F9764" t="s">
        <v>8</v>
      </c>
      <c r="G9764" t="s">
        <v>9</v>
      </c>
    </row>
    <row r="9765" spans="1:7" x14ac:dyDescent="0.35">
      <c r="A9765">
        <v>3876</v>
      </c>
      <c r="B9765" s="1">
        <v>45807</v>
      </c>
      <c r="C9765" t="s">
        <v>24</v>
      </c>
      <c r="D9765" s="2">
        <v>0</v>
      </c>
      <c r="E9765" s="2">
        <v>5968.37</v>
      </c>
      <c r="F9765" t="s">
        <v>13</v>
      </c>
      <c r="G9765" t="s">
        <v>9</v>
      </c>
    </row>
    <row r="9766" spans="1:7" x14ac:dyDescent="0.35">
      <c r="A9766">
        <v>3877</v>
      </c>
      <c r="B9766" s="1">
        <v>45807</v>
      </c>
      <c r="C9766" t="s">
        <v>24</v>
      </c>
      <c r="D9766" s="2">
        <v>5582.11</v>
      </c>
      <c r="E9766" s="2">
        <v>0</v>
      </c>
      <c r="F9766" t="s">
        <v>8</v>
      </c>
      <c r="G9766" t="s">
        <v>9</v>
      </c>
    </row>
    <row r="9767" spans="1:7" x14ac:dyDescent="0.35">
      <c r="A9767">
        <v>3877</v>
      </c>
      <c r="B9767" s="1">
        <v>45807</v>
      </c>
      <c r="C9767" t="s">
        <v>24</v>
      </c>
      <c r="D9767" s="2">
        <v>0</v>
      </c>
      <c r="E9767" s="2">
        <v>5582.11</v>
      </c>
      <c r="F9767" t="s">
        <v>13</v>
      </c>
      <c r="G9767" t="s">
        <v>9</v>
      </c>
    </row>
    <row r="9768" spans="1:7" x14ac:dyDescent="0.35">
      <c r="A9768">
        <v>3878</v>
      </c>
      <c r="B9768" s="1">
        <v>45807</v>
      </c>
      <c r="C9768" t="s">
        <v>24</v>
      </c>
      <c r="D9768" s="2">
        <v>2069.11</v>
      </c>
      <c r="E9768" s="2">
        <v>0</v>
      </c>
      <c r="F9768" t="s">
        <v>8</v>
      </c>
      <c r="G9768" t="s">
        <v>9</v>
      </c>
    </row>
    <row r="9769" spans="1:7" x14ac:dyDescent="0.35">
      <c r="A9769">
        <v>3878</v>
      </c>
      <c r="B9769" s="1">
        <v>45807</v>
      </c>
      <c r="C9769" t="s">
        <v>24</v>
      </c>
      <c r="D9769" s="2">
        <v>0</v>
      </c>
      <c r="E9769" s="2">
        <v>2069.11</v>
      </c>
      <c r="F9769" t="s">
        <v>13</v>
      </c>
      <c r="G9769" t="s">
        <v>9</v>
      </c>
    </row>
    <row r="9770" spans="1:7" x14ac:dyDescent="0.35">
      <c r="A9770">
        <v>3879</v>
      </c>
      <c r="B9770" s="1">
        <v>45807</v>
      </c>
      <c r="C9770" t="s">
        <v>24</v>
      </c>
      <c r="D9770" s="2">
        <v>4889.71</v>
      </c>
      <c r="E9770" s="2">
        <v>0</v>
      </c>
      <c r="F9770" t="s">
        <v>8</v>
      </c>
      <c r="G9770" t="s">
        <v>9</v>
      </c>
    </row>
    <row r="9771" spans="1:7" x14ac:dyDescent="0.35">
      <c r="A9771">
        <v>3879</v>
      </c>
      <c r="B9771" s="1">
        <v>45807</v>
      </c>
      <c r="C9771" t="s">
        <v>24</v>
      </c>
      <c r="D9771" s="2">
        <v>0</v>
      </c>
      <c r="E9771" s="2">
        <v>4889.71</v>
      </c>
      <c r="F9771" t="s">
        <v>13</v>
      </c>
      <c r="G9771" t="s">
        <v>9</v>
      </c>
    </row>
    <row r="9772" spans="1:7" x14ac:dyDescent="0.35">
      <c r="A9772">
        <v>3880</v>
      </c>
      <c r="B9772" s="1">
        <v>45807</v>
      </c>
      <c r="C9772" t="s">
        <v>25</v>
      </c>
      <c r="D9772" s="2">
        <v>952.02</v>
      </c>
      <c r="E9772" s="2">
        <v>0</v>
      </c>
      <c r="F9772" t="s">
        <v>26</v>
      </c>
      <c r="G9772" t="s">
        <v>20</v>
      </c>
    </row>
    <row r="9773" spans="1:7" x14ac:dyDescent="0.35">
      <c r="A9773">
        <v>3880</v>
      </c>
      <c r="B9773" s="1">
        <v>45807</v>
      </c>
      <c r="C9773" t="s">
        <v>25</v>
      </c>
      <c r="D9773" s="2">
        <v>71.400000000000006</v>
      </c>
      <c r="E9773" s="2">
        <v>0</v>
      </c>
      <c r="F9773" t="s">
        <v>27</v>
      </c>
      <c r="G9773" t="s">
        <v>9</v>
      </c>
    </row>
    <row r="9774" spans="1:7" x14ac:dyDescent="0.35">
      <c r="A9774">
        <v>3880</v>
      </c>
      <c r="B9774" s="1">
        <v>45807</v>
      </c>
      <c r="C9774" t="s">
        <v>25</v>
      </c>
      <c r="D9774" s="2">
        <v>0</v>
      </c>
      <c r="E9774" s="2">
        <v>1023.42</v>
      </c>
      <c r="F9774" t="s">
        <v>28</v>
      </c>
      <c r="G9774" t="s">
        <v>17</v>
      </c>
    </row>
    <row r="9775" spans="1:7" x14ac:dyDescent="0.35">
      <c r="A9775">
        <v>3881</v>
      </c>
      <c r="B9775" s="1">
        <v>45807</v>
      </c>
      <c r="C9775" t="s">
        <v>25</v>
      </c>
      <c r="D9775" s="2">
        <v>1213.5999999999999</v>
      </c>
      <c r="E9775" s="2">
        <v>0</v>
      </c>
      <c r="F9775" t="s">
        <v>26</v>
      </c>
      <c r="G9775" t="s">
        <v>20</v>
      </c>
    </row>
    <row r="9776" spans="1:7" x14ac:dyDescent="0.35">
      <c r="A9776">
        <v>3881</v>
      </c>
      <c r="B9776" s="1">
        <v>45807</v>
      </c>
      <c r="C9776" t="s">
        <v>25</v>
      </c>
      <c r="D9776" s="2">
        <v>91.02</v>
      </c>
      <c r="E9776" s="2">
        <v>0</v>
      </c>
      <c r="F9776" t="s">
        <v>27</v>
      </c>
      <c r="G9776" t="s">
        <v>9</v>
      </c>
    </row>
    <row r="9777" spans="1:7" x14ac:dyDescent="0.35">
      <c r="A9777">
        <v>3881</v>
      </c>
      <c r="B9777" s="1">
        <v>45807</v>
      </c>
      <c r="C9777" t="s">
        <v>25</v>
      </c>
      <c r="D9777" s="2">
        <v>0</v>
      </c>
      <c r="E9777" s="2">
        <v>1304.6199999999999</v>
      </c>
      <c r="F9777" t="s">
        <v>28</v>
      </c>
      <c r="G9777" t="s">
        <v>17</v>
      </c>
    </row>
    <row r="9778" spans="1:7" x14ac:dyDescent="0.35">
      <c r="A9778">
        <v>3882</v>
      </c>
      <c r="B9778" s="1">
        <v>45808</v>
      </c>
      <c r="C9778" t="s">
        <v>30</v>
      </c>
      <c r="D9778" s="2">
        <v>93.61</v>
      </c>
      <c r="E9778" s="2">
        <v>0</v>
      </c>
      <c r="F9778" t="s">
        <v>31</v>
      </c>
      <c r="G9778" t="s">
        <v>20</v>
      </c>
    </row>
    <row r="9779" spans="1:7" x14ac:dyDescent="0.35">
      <c r="A9779">
        <v>3882</v>
      </c>
      <c r="B9779" s="1">
        <v>45808</v>
      </c>
      <c r="C9779" t="s">
        <v>30</v>
      </c>
      <c r="D9779" s="2">
        <v>0</v>
      </c>
      <c r="E9779" s="2">
        <v>93.61</v>
      </c>
      <c r="F9779" t="s">
        <v>32</v>
      </c>
      <c r="G9779" t="s">
        <v>9</v>
      </c>
    </row>
    <row r="9780" spans="1:7" x14ac:dyDescent="0.35">
      <c r="A9780">
        <v>3883</v>
      </c>
      <c r="B9780" s="1">
        <v>45808</v>
      </c>
      <c r="C9780" t="s">
        <v>33</v>
      </c>
      <c r="D9780" s="2">
        <v>76.86</v>
      </c>
      <c r="E9780" s="2">
        <v>0</v>
      </c>
      <c r="F9780" t="s">
        <v>31</v>
      </c>
      <c r="G9780" t="s">
        <v>20</v>
      </c>
    </row>
    <row r="9781" spans="1:7" x14ac:dyDescent="0.35">
      <c r="A9781">
        <v>3883</v>
      </c>
      <c r="B9781" s="1">
        <v>45808</v>
      </c>
      <c r="C9781" t="s">
        <v>33</v>
      </c>
      <c r="D9781" s="2">
        <v>0</v>
      </c>
      <c r="E9781" s="2">
        <v>76.86</v>
      </c>
      <c r="F9781" t="s">
        <v>32</v>
      </c>
      <c r="G9781" t="s">
        <v>9</v>
      </c>
    </row>
    <row r="9782" spans="1:7" x14ac:dyDescent="0.35">
      <c r="A9782">
        <v>3884</v>
      </c>
      <c r="B9782" s="1">
        <v>45808</v>
      </c>
      <c r="C9782" t="s">
        <v>34</v>
      </c>
      <c r="D9782" s="2">
        <v>20.03</v>
      </c>
      <c r="E9782" s="2">
        <v>0</v>
      </c>
      <c r="F9782" t="s">
        <v>31</v>
      </c>
      <c r="G9782" t="s">
        <v>20</v>
      </c>
    </row>
    <row r="9783" spans="1:7" x14ac:dyDescent="0.35">
      <c r="A9783">
        <v>3884</v>
      </c>
      <c r="B9783" s="1">
        <v>45808</v>
      </c>
      <c r="C9783" t="s">
        <v>34</v>
      </c>
      <c r="D9783" s="2">
        <v>0</v>
      </c>
      <c r="E9783" s="2">
        <v>20.03</v>
      </c>
      <c r="F9783" t="s">
        <v>32</v>
      </c>
      <c r="G9783" t="s">
        <v>9</v>
      </c>
    </row>
    <row r="9784" spans="1:7" x14ac:dyDescent="0.35">
      <c r="A9784">
        <v>3885</v>
      </c>
      <c r="B9784" s="1">
        <v>45808</v>
      </c>
      <c r="C9784" t="s">
        <v>35</v>
      </c>
      <c r="D9784" s="2">
        <v>86.89</v>
      </c>
      <c r="E9784" s="2">
        <v>0</v>
      </c>
      <c r="F9784" t="s">
        <v>31</v>
      </c>
      <c r="G9784" t="s">
        <v>20</v>
      </c>
    </row>
    <row r="9785" spans="1:7" x14ac:dyDescent="0.35">
      <c r="A9785">
        <v>3885</v>
      </c>
      <c r="B9785" s="1">
        <v>45808</v>
      </c>
      <c r="C9785" t="s">
        <v>35</v>
      </c>
      <c r="D9785" s="2">
        <v>0</v>
      </c>
      <c r="E9785" s="2">
        <v>86.89</v>
      </c>
      <c r="F9785" t="s">
        <v>36</v>
      </c>
      <c r="G9785" t="s">
        <v>9</v>
      </c>
    </row>
    <row r="9786" spans="1:7" x14ac:dyDescent="0.35">
      <c r="A9786">
        <v>3886</v>
      </c>
      <c r="B9786" s="1">
        <v>45808</v>
      </c>
      <c r="C9786" t="s">
        <v>37</v>
      </c>
      <c r="D9786" s="2">
        <v>76.8</v>
      </c>
      <c r="E9786" s="2">
        <v>0</v>
      </c>
      <c r="F9786" t="s">
        <v>31</v>
      </c>
      <c r="G9786" t="s">
        <v>20</v>
      </c>
    </row>
    <row r="9787" spans="1:7" x14ac:dyDescent="0.35">
      <c r="A9787">
        <v>3886</v>
      </c>
      <c r="B9787" s="1">
        <v>45808</v>
      </c>
      <c r="C9787" t="s">
        <v>37</v>
      </c>
      <c r="D9787" s="2">
        <v>0</v>
      </c>
      <c r="E9787" s="2">
        <v>76.8</v>
      </c>
      <c r="F9787" t="s">
        <v>36</v>
      </c>
      <c r="G9787" t="s">
        <v>9</v>
      </c>
    </row>
    <row r="9788" spans="1:7" x14ac:dyDescent="0.35">
      <c r="A9788">
        <v>3887</v>
      </c>
      <c r="B9788" s="1">
        <v>45808</v>
      </c>
      <c r="C9788" t="s">
        <v>38</v>
      </c>
      <c r="D9788" s="2">
        <v>48.28</v>
      </c>
      <c r="E9788" s="2">
        <v>0</v>
      </c>
      <c r="F9788" t="s">
        <v>31</v>
      </c>
      <c r="G9788" t="s">
        <v>20</v>
      </c>
    </row>
    <row r="9789" spans="1:7" x14ac:dyDescent="0.35">
      <c r="A9789">
        <v>3887</v>
      </c>
      <c r="B9789" s="1">
        <v>45808</v>
      </c>
      <c r="C9789" t="s">
        <v>38</v>
      </c>
      <c r="D9789" s="2">
        <v>0</v>
      </c>
      <c r="E9789" s="2">
        <v>48.28</v>
      </c>
      <c r="F9789" t="s">
        <v>36</v>
      </c>
      <c r="G9789" t="s">
        <v>9</v>
      </c>
    </row>
    <row r="9790" spans="1:7" x14ac:dyDescent="0.35">
      <c r="A9790">
        <v>3888</v>
      </c>
      <c r="B9790" s="1">
        <v>45808</v>
      </c>
      <c r="C9790" t="s">
        <v>39</v>
      </c>
      <c r="D9790" s="2">
        <v>53.21</v>
      </c>
      <c r="E9790" s="2">
        <v>0</v>
      </c>
      <c r="F9790" t="s">
        <v>31</v>
      </c>
      <c r="G9790" t="s">
        <v>20</v>
      </c>
    </row>
    <row r="9791" spans="1:7" x14ac:dyDescent="0.35">
      <c r="A9791">
        <v>3888</v>
      </c>
      <c r="B9791" s="1">
        <v>45808</v>
      </c>
      <c r="C9791" t="s">
        <v>39</v>
      </c>
      <c r="D9791" s="2">
        <v>0</v>
      </c>
      <c r="E9791" s="2">
        <v>53.21</v>
      </c>
      <c r="F9791" t="s">
        <v>36</v>
      </c>
      <c r="G9791" t="s">
        <v>9</v>
      </c>
    </row>
    <row r="9792" spans="1:7" x14ac:dyDescent="0.35">
      <c r="A9792">
        <v>3889</v>
      </c>
      <c r="B9792" s="1">
        <v>45808</v>
      </c>
      <c r="C9792" t="s">
        <v>40</v>
      </c>
      <c r="D9792" s="2">
        <v>232.19</v>
      </c>
      <c r="E9792" s="2">
        <v>0</v>
      </c>
      <c r="F9792" t="s">
        <v>31</v>
      </c>
      <c r="G9792" t="s">
        <v>20</v>
      </c>
    </row>
    <row r="9793" spans="1:7" x14ac:dyDescent="0.35">
      <c r="A9793">
        <v>3889</v>
      </c>
      <c r="B9793" s="1">
        <v>45808</v>
      </c>
      <c r="C9793" t="s">
        <v>40</v>
      </c>
      <c r="D9793" s="2">
        <v>0</v>
      </c>
      <c r="E9793" s="2">
        <v>232.19</v>
      </c>
      <c r="F9793" t="s">
        <v>41</v>
      </c>
      <c r="G9793" t="s">
        <v>9</v>
      </c>
    </row>
    <row r="9794" spans="1:7" x14ac:dyDescent="0.35">
      <c r="A9794">
        <v>3890</v>
      </c>
      <c r="B9794" s="1">
        <v>45808</v>
      </c>
      <c r="C9794" t="s">
        <v>42</v>
      </c>
      <c r="D9794" s="2">
        <v>43.85</v>
      </c>
      <c r="E9794" s="2">
        <v>0</v>
      </c>
      <c r="F9794" t="s">
        <v>31</v>
      </c>
      <c r="G9794" t="s">
        <v>20</v>
      </c>
    </row>
    <row r="9795" spans="1:7" x14ac:dyDescent="0.35">
      <c r="A9795">
        <v>3890</v>
      </c>
      <c r="B9795" s="1">
        <v>45808</v>
      </c>
      <c r="C9795" t="s">
        <v>42</v>
      </c>
      <c r="D9795" s="2">
        <v>0</v>
      </c>
      <c r="E9795" s="2">
        <v>43.85</v>
      </c>
      <c r="F9795" t="s">
        <v>32</v>
      </c>
      <c r="G9795" t="s">
        <v>9</v>
      </c>
    </row>
    <row r="9796" spans="1:7" x14ac:dyDescent="0.35">
      <c r="A9796">
        <v>3891</v>
      </c>
      <c r="B9796" s="1">
        <v>45810</v>
      </c>
      <c r="C9796" t="s">
        <v>12</v>
      </c>
      <c r="D9796" s="2">
        <v>1098.69</v>
      </c>
      <c r="E9796" s="2">
        <v>0</v>
      </c>
      <c r="F9796" t="s">
        <v>13</v>
      </c>
      <c r="G9796" t="s">
        <v>9</v>
      </c>
    </row>
    <row r="9797" spans="1:7" x14ac:dyDescent="0.35">
      <c r="A9797">
        <v>3891</v>
      </c>
      <c r="B9797" s="1">
        <v>45810</v>
      </c>
      <c r="C9797" t="s">
        <v>12</v>
      </c>
      <c r="D9797" s="2">
        <v>0</v>
      </c>
      <c r="E9797" s="2">
        <v>1022.04</v>
      </c>
      <c r="F9797" t="s">
        <v>14</v>
      </c>
      <c r="G9797" t="s">
        <v>15</v>
      </c>
    </row>
    <row r="9798" spans="1:7" x14ac:dyDescent="0.35">
      <c r="A9798">
        <v>3891</v>
      </c>
      <c r="B9798" s="1">
        <v>45810</v>
      </c>
      <c r="C9798" t="s">
        <v>12</v>
      </c>
      <c r="D9798" s="2">
        <v>0</v>
      </c>
      <c r="E9798" s="2">
        <v>76.650000000000006</v>
      </c>
      <c r="F9798" t="s">
        <v>16</v>
      </c>
      <c r="G9798" t="s">
        <v>17</v>
      </c>
    </row>
    <row r="9799" spans="1:7" x14ac:dyDescent="0.35">
      <c r="A9799">
        <v>3892</v>
      </c>
      <c r="B9799" s="1">
        <v>45810</v>
      </c>
      <c r="C9799" t="s">
        <v>12</v>
      </c>
      <c r="D9799" s="2">
        <v>928.55</v>
      </c>
      <c r="E9799" s="2">
        <v>0</v>
      </c>
      <c r="F9799" t="s">
        <v>13</v>
      </c>
      <c r="G9799" t="s">
        <v>9</v>
      </c>
    </row>
    <row r="9800" spans="1:7" x14ac:dyDescent="0.35">
      <c r="A9800">
        <v>3892</v>
      </c>
      <c r="B9800" s="1">
        <v>45810</v>
      </c>
      <c r="C9800" t="s">
        <v>12</v>
      </c>
      <c r="D9800" s="2">
        <v>0</v>
      </c>
      <c r="E9800" s="2">
        <v>863.76</v>
      </c>
      <c r="F9800" t="s">
        <v>14</v>
      </c>
      <c r="G9800" t="s">
        <v>15</v>
      </c>
    </row>
    <row r="9801" spans="1:7" x14ac:dyDescent="0.35">
      <c r="A9801">
        <v>3892</v>
      </c>
      <c r="B9801" s="1">
        <v>45810</v>
      </c>
      <c r="C9801" t="s">
        <v>12</v>
      </c>
      <c r="D9801" s="2">
        <v>0</v>
      </c>
      <c r="E9801" s="2">
        <v>64.790000000000006</v>
      </c>
      <c r="F9801" t="s">
        <v>16</v>
      </c>
      <c r="G9801" t="s">
        <v>17</v>
      </c>
    </row>
    <row r="9802" spans="1:7" x14ac:dyDescent="0.35">
      <c r="A9802">
        <v>3893</v>
      </c>
      <c r="B9802" s="1">
        <v>45810</v>
      </c>
      <c r="C9802" t="s">
        <v>12</v>
      </c>
      <c r="D9802" s="2">
        <v>946.19</v>
      </c>
      <c r="E9802" s="2">
        <v>0</v>
      </c>
      <c r="F9802" t="s">
        <v>13</v>
      </c>
      <c r="G9802" t="s">
        <v>9</v>
      </c>
    </row>
    <row r="9803" spans="1:7" x14ac:dyDescent="0.35">
      <c r="A9803">
        <v>3893</v>
      </c>
      <c r="B9803" s="1">
        <v>45810</v>
      </c>
      <c r="C9803" t="s">
        <v>12</v>
      </c>
      <c r="D9803" s="2">
        <v>0</v>
      </c>
      <c r="E9803" s="2">
        <v>880.18</v>
      </c>
      <c r="F9803" t="s">
        <v>14</v>
      </c>
      <c r="G9803" t="s">
        <v>15</v>
      </c>
    </row>
    <row r="9804" spans="1:7" x14ac:dyDescent="0.35">
      <c r="A9804">
        <v>3893</v>
      </c>
      <c r="B9804" s="1">
        <v>45810</v>
      </c>
      <c r="C9804" t="s">
        <v>12</v>
      </c>
      <c r="D9804" s="2">
        <v>0</v>
      </c>
      <c r="E9804" s="2">
        <v>66.010000000000005</v>
      </c>
      <c r="F9804" t="s">
        <v>16</v>
      </c>
      <c r="G9804" t="s">
        <v>17</v>
      </c>
    </row>
    <row r="9805" spans="1:7" x14ac:dyDescent="0.35">
      <c r="A9805">
        <v>3894</v>
      </c>
      <c r="B9805" s="1">
        <v>45810</v>
      </c>
      <c r="C9805" t="s">
        <v>12</v>
      </c>
      <c r="D9805" s="2">
        <v>2219.86</v>
      </c>
      <c r="E9805" s="2">
        <v>0</v>
      </c>
      <c r="F9805" t="s">
        <v>13</v>
      </c>
      <c r="G9805" t="s">
        <v>9</v>
      </c>
    </row>
    <row r="9806" spans="1:7" x14ac:dyDescent="0.35">
      <c r="A9806">
        <v>3894</v>
      </c>
      <c r="B9806" s="1">
        <v>45810</v>
      </c>
      <c r="C9806" t="s">
        <v>12</v>
      </c>
      <c r="D9806" s="2">
        <v>0</v>
      </c>
      <c r="E9806" s="2">
        <v>2064.98</v>
      </c>
      <c r="F9806" t="s">
        <v>14</v>
      </c>
      <c r="G9806" t="s">
        <v>15</v>
      </c>
    </row>
    <row r="9807" spans="1:7" x14ac:dyDescent="0.35">
      <c r="A9807">
        <v>3894</v>
      </c>
      <c r="B9807" s="1">
        <v>45810</v>
      </c>
      <c r="C9807" t="s">
        <v>12</v>
      </c>
      <c r="D9807" s="2">
        <v>0</v>
      </c>
      <c r="E9807" s="2">
        <v>154.88</v>
      </c>
      <c r="F9807" t="s">
        <v>16</v>
      </c>
      <c r="G9807" t="s">
        <v>17</v>
      </c>
    </row>
    <row r="9808" spans="1:7" x14ac:dyDescent="0.35">
      <c r="A9808">
        <v>3895</v>
      </c>
      <c r="B9808" s="1">
        <v>45810</v>
      </c>
      <c r="C9808" t="s">
        <v>24</v>
      </c>
      <c r="D9808" s="2">
        <v>1919.25</v>
      </c>
      <c r="E9808" s="2">
        <v>0</v>
      </c>
      <c r="F9808" t="s">
        <v>8</v>
      </c>
      <c r="G9808" t="s">
        <v>9</v>
      </c>
    </row>
    <row r="9809" spans="1:7" x14ac:dyDescent="0.35">
      <c r="A9809">
        <v>3895</v>
      </c>
      <c r="B9809" s="1">
        <v>45810</v>
      </c>
      <c r="C9809" t="s">
        <v>24</v>
      </c>
      <c r="D9809" s="2">
        <v>0</v>
      </c>
      <c r="E9809" s="2">
        <v>1919.25</v>
      </c>
      <c r="F9809" t="s">
        <v>13</v>
      </c>
      <c r="G9809" t="s">
        <v>9</v>
      </c>
    </row>
    <row r="9810" spans="1:7" x14ac:dyDescent="0.35">
      <c r="A9810">
        <v>3896</v>
      </c>
      <c r="B9810" s="1">
        <v>45810</v>
      </c>
      <c r="C9810" t="s">
        <v>24</v>
      </c>
      <c r="D9810" s="2">
        <v>1995.85</v>
      </c>
      <c r="E9810" s="2">
        <v>0</v>
      </c>
      <c r="F9810" t="s">
        <v>8</v>
      </c>
      <c r="G9810" t="s">
        <v>9</v>
      </c>
    </row>
    <row r="9811" spans="1:7" x14ac:dyDescent="0.35">
      <c r="A9811">
        <v>3896</v>
      </c>
      <c r="B9811" s="1">
        <v>45810</v>
      </c>
      <c r="C9811" t="s">
        <v>24</v>
      </c>
      <c r="D9811" s="2">
        <v>0</v>
      </c>
      <c r="E9811" s="2">
        <v>1995.85</v>
      </c>
      <c r="F9811" t="s">
        <v>13</v>
      </c>
      <c r="G9811" t="s">
        <v>9</v>
      </c>
    </row>
    <row r="9812" spans="1:7" x14ac:dyDescent="0.35">
      <c r="A9812">
        <v>3897</v>
      </c>
      <c r="B9812" s="1">
        <v>45810</v>
      </c>
      <c r="C9812" t="s">
        <v>24</v>
      </c>
      <c r="D9812" s="2">
        <v>2913.8</v>
      </c>
      <c r="E9812" s="2">
        <v>0</v>
      </c>
      <c r="F9812" t="s">
        <v>8</v>
      </c>
      <c r="G9812" t="s">
        <v>9</v>
      </c>
    </row>
    <row r="9813" spans="1:7" x14ac:dyDescent="0.35">
      <c r="A9813">
        <v>3897</v>
      </c>
      <c r="B9813" s="1">
        <v>45810</v>
      </c>
      <c r="C9813" t="s">
        <v>24</v>
      </c>
      <c r="D9813" s="2">
        <v>0</v>
      </c>
      <c r="E9813" s="2">
        <v>2913.8</v>
      </c>
      <c r="F9813" t="s">
        <v>13</v>
      </c>
      <c r="G9813" t="s">
        <v>9</v>
      </c>
    </row>
    <row r="9814" spans="1:7" x14ac:dyDescent="0.35">
      <c r="A9814">
        <v>3898</v>
      </c>
      <c r="B9814" s="1">
        <v>45810</v>
      </c>
      <c r="C9814" t="s">
        <v>24</v>
      </c>
      <c r="D9814" s="2">
        <v>1456.93</v>
      </c>
      <c r="E9814" s="2">
        <v>0</v>
      </c>
      <c r="F9814" t="s">
        <v>8</v>
      </c>
      <c r="G9814" t="s">
        <v>9</v>
      </c>
    </row>
    <row r="9815" spans="1:7" x14ac:dyDescent="0.35">
      <c r="A9815">
        <v>3898</v>
      </c>
      <c r="B9815" s="1">
        <v>45810</v>
      </c>
      <c r="C9815" t="s">
        <v>24</v>
      </c>
      <c r="D9815" s="2">
        <v>0</v>
      </c>
      <c r="E9815" s="2">
        <v>1456.93</v>
      </c>
      <c r="F9815" t="s">
        <v>13</v>
      </c>
      <c r="G9815" t="s">
        <v>9</v>
      </c>
    </row>
    <row r="9816" spans="1:7" x14ac:dyDescent="0.35">
      <c r="A9816">
        <v>3899</v>
      </c>
      <c r="B9816" s="1">
        <v>45810</v>
      </c>
      <c r="C9816" t="s">
        <v>24</v>
      </c>
      <c r="D9816" s="2">
        <v>1034.6600000000001</v>
      </c>
      <c r="E9816" s="2">
        <v>0</v>
      </c>
      <c r="F9816" t="s">
        <v>8</v>
      </c>
      <c r="G9816" t="s">
        <v>9</v>
      </c>
    </row>
    <row r="9817" spans="1:7" x14ac:dyDescent="0.35">
      <c r="A9817">
        <v>3899</v>
      </c>
      <c r="B9817" s="1">
        <v>45810</v>
      </c>
      <c r="C9817" t="s">
        <v>24</v>
      </c>
      <c r="D9817" s="2">
        <v>0</v>
      </c>
      <c r="E9817" s="2">
        <v>1034.6600000000001</v>
      </c>
      <c r="F9817" t="s">
        <v>13</v>
      </c>
      <c r="G9817" t="s">
        <v>9</v>
      </c>
    </row>
    <row r="9818" spans="1:7" x14ac:dyDescent="0.35">
      <c r="A9818">
        <v>3900</v>
      </c>
      <c r="B9818" s="1">
        <v>45810</v>
      </c>
      <c r="C9818" t="s">
        <v>25</v>
      </c>
      <c r="D9818" s="2">
        <v>696.06</v>
      </c>
      <c r="E9818" s="2">
        <v>0</v>
      </c>
      <c r="F9818" t="s">
        <v>26</v>
      </c>
      <c r="G9818" t="s">
        <v>20</v>
      </c>
    </row>
    <row r="9819" spans="1:7" x14ac:dyDescent="0.35">
      <c r="A9819">
        <v>3900</v>
      </c>
      <c r="B9819" s="1">
        <v>45810</v>
      </c>
      <c r="C9819" t="s">
        <v>25</v>
      </c>
      <c r="D9819" s="2">
        <v>52.2</v>
      </c>
      <c r="E9819" s="2">
        <v>0</v>
      </c>
      <c r="F9819" t="s">
        <v>27</v>
      </c>
      <c r="G9819" t="s">
        <v>9</v>
      </c>
    </row>
    <row r="9820" spans="1:7" x14ac:dyDescent="0.35">
      <c r="A9820">
        <v>3900</v>
      </c>
      <c r="B9820" s="1">
        <v>45810</v>
      </c>
      <c r="C9820" t="s">
        <v>25</v>
      </c>
      <c r="D9820" s="2">
        <v>0</v>
      </c>
      <c r="E9820" s="2">
        <v>748.26</v>
      </c>
      <c r="F9820" t="s">
        <v>28</v>
      </c>
      <c r="G9820" t="s">
        <v>17</v>
      </c>
    </row>
    <row r="9821" spans="1:7" x14ac:dyDescent="0.35">
      <c r="A9821">
        <v>3901</v>
      </c>
      <c r="B9821" s="1">
        <v>45810</v>
      </c>
      <c r="C9821" t="s">
        <v>25</v>
      </c>
      <c r="D9821" s="2">
        <v>187.44</v>
      </c>
      <c r="E9821" s="2">
        <v>0</v>
      </c>
      <c r="F9821" t="s">
        <v>26</v>
      </c>
      <c r="G9821" t="s">
        <v>20</v>
      </c>
    </row>
    <row r="9822" spans="1:7" x14ac:dyDescent="0.35">
      <c r="A9822">
        <v>3901</v>
      </c>
      <c r="B9822" s="1">
        <v>45810</v>
      </c>
      <c r="C9822" t="s">
        <v>25</v>
      </c>
      <c r="D9822" s="2">
        <v>14.06</v>
      </c>
      <c r="E9822" s="2">
        <v>0</v>
      </c>
      <c r="F9822" t="s">
        <v>27</v>
      </c>
      <c r="G9822" t="s">
        <v>9</v>
      </c>
    </row>
    <row r="9823" spans="1:7" x14ac:dyDescent="0.35">
      <c r="A9823">
        <v>3901</v>
      </c>
      <c r="B9823" s="1">
        <v>45810</v>
      </c>
      <c r="C9823" t="s">
        <v>25</v>
      </c>
      <c r="D9823" s="2">
        <v>0</v>
      </c>
      <c r="E9823" s="2">
        <v>201.5</v>
      </c>
      <c r="F9823" t="s">
        <v>28</v>
      </c>
      <c r="G9823" t="s">
        <v>17</v>
      </c>
    </row>
    <row r="9824" spans="1:7" x14ac:dyDescent="0.35">
      <c r="A9824">
        <v>3902</v>
      </c>
      <c r="B9824" s="1">
        <v>45810</v>
      </c>
      <c r="C9824" t="s">
        <v>25</v>
      </c>
      <c r="D9824" s="2">
        <v>1800.04</v>
      </c>
      <c r="E9824" s="2">
        <v>0</v>
      </c>
      <c r="F9824" t="s">
        <v>26</v>
      </c>
      <c r="G9824" t="s">
        <v>20</v>
      </c>
    </row>
    <row r="9825" spans="1:7" x14ac:dyDescent="0.35">
      <c r="A9825">
        <v>3902</v>
      </c>
      <c r="B9825" s="1">
        <v>45810</v>
      </c>
      <c r="C9825" t="s">
        <v>25</v>
      </c>
      <c r="D9825" s="2">
        <v>135</v>
      </c>
      <c r="E9825" s="2">
        <v>0</v>
      </c>
      <c r="F9825" t="s">
        <v>27</v>
      </c>
      <c r="G9825" t="s">
        <v>9</v>
      </c>
    </row>
    <row r="9826" spans="1:7" x14ac:dyDescent="0.35">
      <c r="A9826">
        <v>3902</v>
      </c>
      <c r="B9826" s="1">
        <v>45810</v>
      </c>
      <c r="C9826" t="s">
        <v>25</v>
      </c>
      <c r="D9826" s="2">
        <v>0</v>
      </c>
      <c r="E9826" s="2">
        <v>1935.04</v>
      </c>
      <c r="F9826" t="s">
        <v>28</v>
      </c>
      <c r="G9826" t="s">
        <v>17</v>
      </c>
    </row>
    <row r="9827" spans="1:7" x14ac:dyDescent="0.35">
      <c r="A9827">
        <v>3903</v>
      </c>
      <c r="B9827" s="1">
        <v>45810</v>
      </c>
      <c r="C9827" t="s">
        <v>29</v>
      </c>
      <c r="D9827" s="2">
        <v>1159.8399999999999</v>
      </c>
      <c r="E9827" s="2">
        <v>0</v>
      </c>
      <c r="F9827" t="s">
        <v>28</v>
      </c>
      <c r="G9827" t="s">
        <v>17</v>
      </c>
    </row>
    <row r="9828" spans="1:7" x14ac:dyDescent="0.35">
      <c r="A9828">
        <v>3903</v>
      </c>
      <c r="B9828" s="1">
        <v>45810</v>
      </c>
      <c r="C9828" t="s">
        <v>29</v>
      </c>
      <c r="D9828" s="2">
        <v>0</v>
      </c>
      <c r="E9828" s="2">
        <v>1159.8399999999999</v>
      </c>
      <c r="F9828" t="s">
        <v>8</v>
      </c>
      <c r="G9828" t="s">
        <v>9</v>
      </c>
    </row>
    <row r="9829" spans="1:7" x14ac:dyDescent="0.35">
      <c r="A9829">
        <v>3904</v>
      </c>
      <c r="B9829" s="1">
        <v>45810</v>
      </c>
      <c r="C9829" t="s">
        <v>29</v>
      </c>
      <c r="D9829" s="2">
        <v>1766.46</v>
      </c>
      <c r="E9829" s="2">
        <v>0</v>
      </c>
      <c r="F9829" t="s">
        <v>28</v>
      </c>
      <c r="G9829" t="s">
        <v>17</v>
      </c>
    </row>
    <row r="9830" spans="1:7" x14ac:dyDescent="0.35">
      <c r="A9830">
        <v>3904</v>
      </c>
      <c r="B9830" s="1">
        <v>45810</v>
      </c>
      <c r="C9830" t="s">
        <v>29</v>
      </c>
      <c r="D9830" s="2">
        <v>0</v>
      </c>
      <c r="E9830" s="2">
        <v>1766.46</v>
      </c>
      <c r="F9830" t="s">
        <v>8</v>
      </c>
      <c r="G9830" t="s">
        <v>9</v>
      </c>
    </row>
    <row r="9831" spans="1:7" x14ac:dyDescent="0.35">
      <c r="A9831">
        <v>3905</v>
      </c>
      <c r="B9831" s="1">
        <v>45810</v>
      </c>
      <c r="C9831" t="s">
        <v>29</v>
      </c>
      <c r="D9831" s="2">
        <v>1591.54</v>
      </c>
      <c r="E9831" s="2">
        <v>0</v>
      </c>
      <c r="F9831" t="s">
        <v>28</v>
      </c>
      <c r="G9831" t="s">
        <v>17</v>
      </c>
    </row>
    <row r="9832" spans="1:7" x14ac:dyDescent="0.35">
      <c r="A9832">
        <v>3905</v>
      </c>
      <c r="B9832" s="1">
        <v>45810</v>
      </c>
      <c r="C9832" t="s">
        <v>29</v>
      </c>
      <c r="D9832" s="2">
        <v>0</v>
      </c>
      <c r="E9832" s="2">
        <v>1591.54</v>
      </c>
      <c r="F9832" t="s">
        <v>8</v>
      </c>
      <c r="G9832" t="s">
        <v>9</v>
      </c>
    </row>
    <row r="9833" spans="1:7" x14ac:dyDescent="0.35">
      <c r="A9833">
        <v>3906</v>
      </c>
      <c r="B9833" s="1">
        <v>45810</v>
      </c>
      <c r="C9833" t="s">
        <v>29</v>
      </c>
      <c r="D9833" s="2">
        <v>9336.67</v>
      </c>
      <c r="E9833" s="2">
        <v>0</v>
      </c>
      <c r="F9833" t="s">
        <v>28</v>
      </c>
      <c r="G9833" t="s">
        <v>17</v>
      </c>
    </row>
    <row r="9834" spans="1:7" x14ac:dyDescent="0.35">
      <c r="A9834">
        <v>3906</v>
      </c>
      <c r="B9834" s="1">
        <v>45810</v>
      </c>
      <c r="C9834" t="s">
        <v>29</v>
      </c>
      <c r="D9834" s="2">
        <v>0</v>
      </c>
      <c r="E9834" s="2">
        <v>9336.67</v>
      </c>
      <c r="F9834" t="s">
        <v>8</v>
      </c>
      <c r="G9834" t="s">
        <v>9</v>
      </c>
    </row>
    <row r="9835" spans="1:7" x14ac:dyDescent="0.35">
      <c r="A9835">
        <v>3907</v>
      </c>
      <c r="B9835" s="1">
        <v>45811</v>
      </c>
      <c r="C9835" t="s">
        <v>12</v>
      </c>
      <c r="D9835" s="2">
        <v>1258.29</v>
      </c>
      <c r="E9835" s="2">
        <v>0</v>
      </c>
      <c r="F9835" t="s">
        <v>13</v>
      </c>
      <c r="G9835" t="s">
        <v>9</v>
      </c>
    </row>
    <row r="9836" spans="1:7" x14ac:dyDescent="0.35">
      <c r="A9836">
        <v>3907</v>
      </c>
      <c r="B9836" s="1">
        <v>45811</v>
      </c>
      <c r="C9836" t="s">
        <v>12</v>
      </c>
      <c r="D9836" s="2">
        <v>0</v>
      </c>
      <c r="E9836" s="2">
        <v>1170.51</v>
      </c>
      <c r="F9836" t="s">
        <v>14</v>
      </c>
      <c r="G9836" t="s">
        <v>15</v>
      </c>
    </row>
    <row r="9837" spans="1:7" x14ac:dyDescent="0.35">
      <c r="A9837">
        <v>3907</v>
      </c>
      <c r="B9837" s="1">
        <v>45811</v>
      </c>
      <c r="C9837" t="s">
        <v>12</v>
      </c>
      <c r="D9837" s="2">
        <v>0</v>
      </c>
      <c r="E9837" s="2">
        <v>87.78</v>
      </c>
      <c r="F9837" t="s">
        <v>16</v>
      </c>
      <c r="G9837" t="s">
        <v>17</v>
      </c>
    </row>
    <row r="9838" spans="1:7" x14ac:dyDescent="0.35">
      <c r="A9838">
        <v>3908</v>
      </c>
      <c r="B9838" s="1">
        <v>45811</v>
      </c>
      <c r="C9838" t="s">
        <v>12</v>
      </c>
      <c r="D9838" s="2">
        <v>1925.77</v>
      </c>
      <c r="E9838" s="2">
        <v>0</v>
      </c>
      <c r="F9838" t="s">
        <v>13</v>
      </c>
      <c r="G9838" t="s">
        <v>9</v>
      </c>
    </row>
    <row r="9839" spans="1:7" x14ac:dyDescent="0.35">
      <c r="A9839">
        <v>3908</v>
      </c>
      <c r="B9839" s="1">
        <v>45811</v>
      </c>
      <c r="C9839" t="s">
        <v>12</v>
      </c>
      <c r="D9839" s="2">
        <v>0</v>
      </c>
      <c r="E9839" s="2">
        <v>1791.41</v>
      </c>
      <c r="F9839" t="s">
        <v>14</v>
      </c>
      <c r="G9839" t="s">
        <v>15</v>
      </c>
    </row>
    <row r="9840" spans="1:7" x14ac:dyDescent="0.35">
      <c r="A9840">
        <v>3908</v>
      </c>
      <c r="B9840" s="1">
        <v>45811</v>
      </c>
      <c r="C9840" t="s">
        <v>12</v>
      </c>
      <c r="D9840" s="2">
        <v>0</v>
      </c>
      <c r="E9840" s="2">
        <v>134.36000000000001</v>
      </c>
      <c r="F9840" t="s">
        <v>16</v>
      </c>
      <c r="G9840" t="s">
        <v>17</v>
      </c>
    </row>
    <row r="9841" spans="1:7" x14ac:dyDescent="0.35">
      <c r="A9841">
        <v>3909</v>
      </c>
      <c r="B9841" s="1">
        <v>45811</v>
      </c>
      <c r="C9841" t="s">
        <v>12</v>
      </c>
      <c r="D9841" s="2">
        <v>5162.6099999999997</v>
      </c>
      <c r="E9841" s="2">
        <v>0</v>
      </c>
      <c r="F9841" t="s">
        <v>13</v>
      </c>
      <c r="G9841" t="s">
        <v>9</v>
      </c>
    </row>
    <row r="9842" spans="1:7" x14ac:dyDescent="0.35">
      <c r="A9842">
        <v>3909</v>
      </c>
      <c r="B9842" s="1">
        <v>45811</v>
      </c>
      <c r="C9842" t="s">
        <v>12</v>
      </c>
      <c r="D9842" s="2">
        <v>0</v>
      </c>
      <c r="E9842" s="2">
        <v>4802.43</v>
      </c>
      <c r="F9842" t="s">
        <v>14</v>
      </c>
      <c r="G9842" t="s">
        <v>15</v>
      </c>
    </row>
    <row r="9843" spans="1:7" x14ac:dyDescent="0.35">
      <c r="A9843">
        <v>3909</v>
      </c>
      <c r="B9843" s="1">
        <v>45811</v>
      </c>
      <c r="C9843" t="s">
        <v>12</v>
      </c>
      <c r="D9843" s="2">
        <v>0</v>
      </c>
      <c r="E9843" s="2">
        <v>360.18</v>
      </c>
      <c r="F9843" t="s">
        <v>16</v>
      </c>
      <c r="G9843" t="s">
        <v>17</v>
      </c>
    </row>
    <row r="9844" spans="1:7" x14ac:dyDescent="0.35">
      <c r="A9844">
        <v>3910</v>
      </c>
      <c r="B9844" s="1">
        <v>45811</v>
      </c>
      <c r="C9844" t="s">
        <v>12</v>
      </c>
      <c r="D9844" s="2">
        <v>1663.07</v>
      </c>
      <c r="E9844" s="2">
        <v>0</v>
      </c>
      <c r="F9844" t="s">
        <v>13</v>
      </c>
      <c r="G9844" t="s">
        <v>9</v>
      </c>
    </row>
    <row r="9845" spans="1:7" x14ac:dyDescent="0.35">
      <c r="A9845">
        <v>3910</v>
      </c>
      <c r="B9845" s="1">
        <v>45811</v>
      </c>
      <c r="C9845" t="s">
        <v>12</v>
      </c>
      <c r="D9845" s="2">
        <v>0</v>
      </c>
      <c r="E9845" s="2">
        <v>1547.04</v>
      </c>
      <c r="F9845" t="s">
        <v>14</v>
      </c>
      <c r="G9845" t="s">
        <v>15</v>
      </c>
    </row>
    <row r="9846" spans="1:7" x14ac:dyDescent="0.35">
      <c r="A9846">
        <v>3910</v>
      </c>
      <c r="B9846" s="1">
        <v>45811</v>
      </c>
      <c r="C9846" t="s">
        <v>12</v>
      </c>
      <c r="D9846" s="2">
        <v>0</v>
      </c>
      <c r="E9846" s="2">
        <v>116.03</v>
      </c>
      <c r="F9846" t="s">
        <v>16</v>
      </c>
      <c r="G9846" t="s">
        <v>17</v>
      </c>
    </row>
    <row r="9847" spans="1:7" x14ac:dyDescent="0.35">
      <c r="A9847">
        <v>3911</v>
      </c>
      <c r="B9847" s="1">
        <v>45811</v>
      </c>
      <c r="C9847" t="s">
        <v>12</v>
      </c>
      <c r="D9847" s="2">
        <v>660</v>
      </c>
      <c r="E9847" s="2">
        <v>0</v>
      </c>
      <c r="F9847" t="s">
        <v>13</v>
      </c>
      <c r="G9847" t="s">
        <v>9</v>
      </c>
    </row>
    <row r="9848" spans="1:7" x14ac:dyDescent="0.35">
      <c r="A9848">
        <v>3911</v>
      </c>
      <c r="B9848" s="1">
        <v>45811</v>
      </c>
      <c r="C9848" t="s">
        <v>12</v>
      </c>
      <c r="D9848" s="2">
        <v>0</v>
      </c>
      <c r="E9848" s="2">
        <v>613.96</v>
      </c>
      <c r="F9848" t="s">
        <v>14</v>
      </c>
      <c r="G9848" t="s">
        <v>15</v>
      </c>
    </row>
    <row r="9849" spans="1:7" x14ac:dyDescent="0.35">
      <c r="A9849">
        <v>3911</v>
      </c>
      <c r="B9849" s="1">
        <v>45811</v>
      </c>
      <c r="C9849" t="s">
        <v>12</v>
      </c>
      <c r="D9849" s="2">
        <v>0</v>
      </c>
      <c r="E9849" s="2">
        <v>46.04</v>
      </c>
      <c r="F9849" t="s">
        <v>16</v>
      </c>
      <c r="G9849" t="s">
        <v>17</v>
      </c>
    </row>
    <row r="9850" spans="1:7" x14ac:dyDescent="0.35">
      <c r="A9850">
        <v>3912</v>
      </c>
      <c r="B9850" s="1">
        <v>45811</v>
      </c>
      <c r="C9850" t="s">
        <v>12</v>
      </c>
      <c r="D9850" s="2">
        <v>2368.77</v>
      </c>
      <c r="E9850" s="2">
        <v>0</v>
      </c>
      <c r="F9850" t="s">
        <v>13</v>
      </c>
      <c r="G9850" t="s">
        <v>9</v>
      </c>
    </row>
    <row r="9851" spans="1:7" x14ac:dyDescent="0.35">
      <c r="A9851">
        <v>3912</v>
      </c>
      <c r="B9851" s="1">
        <v>45811</v>
      </c>
      <c r="C9851" t="s">
        <v>12</v>
      </c>
      <c r="D9851" s="2">
        <v>0</v>
      </c>
      <c r="E9851" s="2">
        <v>2203.5100000000002</v>
      </c>
      <c r="F9851" t="s">
        <v>14</v>
      </c>
      <c r="G9851" t="s">
        <v>15</v>
      </c>
    </row>
    <row r="9852" spans="1:7" x14ac:dyDescent="0.35">
      <c r="A9852">
        <v>3912</v>
      </c>
      <c r="B9852" s="1">
        <v>45811</v>
      </c>
      <c r="C9852" t="s">
        <v>12</v>
      </c>
      <c r="D9852" s="2">
        <v>0</v>
      </c>
      <c r="E9852" s="2">
        <v>165.26</v>
      </c>
      <c r="F9852" t="s">
        <v>16</v>
      </c>
      <c r="G9852" t="s">
        <v>17</v>
      </c>
    </row>
    <row r="9853" spans="1:7" x14ac:dyDescent="0.35">
      <c r="A9853">
        <v>3913</v>
      </c>
      <c r="B9853" s="1">
        <v>45811</v>
      </c>
      <c r="C9853" t="s">
        <v>12</v>
      </c>
      <c r="D9853" s="2">
        <v>2167.83</v>
      </c>
      <c r="E9853" s="2">
        <v>0</v>
      </c>
      <c r="F9853" t="s">
        <v>13</v>
      </c>
      <c r="G9853" t="s">
        <v>9</v>
      </c>
    </row>
    <row r="9854" spans="1:7" x14ac:dyDescent="0.35">
      <c r="A9854">
        <v>3913</v>
      </c>
      <c r="B9854" s="1">
        <v>45811</v>
      </c>
      <c r="C9854" t="s">
        <v>12</v>
      </c>
      <c r="D9854" s="2">
        <v>0</v>
      </c>
      <c r="E9854" s="2">
        <v>2016.59</v>
      </c>
      <c r="F9854" t="s">
        <v>14</v>
      </c>
      <c r="G9854" t="s">
        <v>15</v>
      </c>
    </row>
    <row r="9855" spans="1:7" x14ac:dyDescent="0.35">
      <c r="A9855">
        <v>3913</v>
      </c>
      <c r="B9855" s="1">
        <v>45811</v>
      </c>
      <c r="C9855" t="s">
        <v>12</v>
      </c>
      <c r="D9855" s="2">
        <v>0</v>
      </c>
      <c r="E9855" s="2">
        <v>151.24</v>
      </c>
      <c r="F9855" t="s">
        <v>16</v>
      </c>
      <c r="G9855" t="s">
        <v>17</v>
      </c>
    </row>
    <row r="9856" spans="1:7" x14ac:dyDescent="0.35">
      <c r="A9856">
        <v>3914</v>
      </c>
      <c r="B9856" s="1">
        <v>45811</v>
      </c>
      <c r="C9856" t="s">
        <v>24</v>
      </c>
      <c r="D9856" s="2">
        <v>3394.97</v>
      </c>
      <c r="E9856" s="2">
        <v>0</v>
      </c>
      <c r="F9856" t="s">
        <v>8</v>
      </c>
      <c r="G9856" t="s">
        <v>9</v>
      </c>
    </row>
    <row r="9857" spans="1:7" x14ac:dyDescent="0.35">
      <c r="A9857">
        <v>3914</v>
      </c>
      <c r="B9857" s="1">
        <v>45811</v>
      </c>
      <c r="C9857" t="s">
        <v>24</v>
      </c>
      <c r="D9857" s="2">
        <v>0</v>
      </c>
      <c r="E9857" s="2">
        <v>3394.97</v>
      </c>
      <c r="F9857" t="s">
        <v>13</v>
      </c>
      <c r="G9857" t="s">
        <v>9</v>
      </c>
    </row>
    <row r="9858" spans="1:7" x14ac:dyDescent="0.35">
      <c r="A9858">
        <v>3915</v>
      </c>
      <c r="B9858" s="1">
        <v>45811</v>
      </c>
      <c r="C9858" t="s">
        <v>24</v>
      </c>
      <c r="D9858" s="2">
        <v>1756.56</v>
      </c>
      <c r="E9858" s="2">
        <v>0</v>
      </c>
      <c r="F9858" t="s">
        <v>8</v>
      </c>
      <c r="G9858" t="s">
        <v>9</v>
      </c>
    </row>
    <row r="9859" spans="1:7" x14ac:dyDescent="0.35">
      <c r="A9859">
        <v>3915</v>
      </c>
      <c r="B9859" s="1">
        <v>45811</v>
      </c>
      <c r="C9859" t="s">
        <v>24</v>
      </c>
      <c r="D9859" s="2">
        <v>0</v>
      </c>
      <c r="E9859" s="2">
        <v>1756.56</v>
      </c>
      <c r="F9859" t="s">
        <v>13</v>
      </c>
      <c r="G9859" t="s">
        <v>9</v>
      </c>
    </row>
    <row r="9860" spans="1:7" x14ac:dyDescent="0.35">
      <c r="A9860">
        <v>3916</v>
      </c>
      <c r="B9860" s="1">
        <v>45811</v>
      </c>
      <c r="C9860" t="s">
        <v>24</v>
      </c>
      <c r="D9860" s="2">
        <v>3839.39</v>
      </c>
      <c r="E9860" s="2">
        <v>0</v>
      </c>
      <c r="F9860" t="s">
        <v>8</v>
      </c>
      <c r="G9860" t="s">
        <v>9</v>
      </c>
    </row>
    <row r="9861" spans="1:7" x14ac:dyDescent="0.35">
      <c r="A9861">
        <v>3916</v>
      </c>
      <c r="B9861" s="1">
        <v>45811</v>
      </c>
      <c r="C9861" t="s">
        <v>24</v>
      </c>
      <c r="D9861" s="2">
        <v>0</v>
      </c>
      <c r="E9861" s="2">
        <v>3839.39</v>
      </c>
      <c r="F9861" t="s">
        <v>13</v>
      </c>
      <c r="G9861" t="s">
        <v>9</v>
      </c>
    </row>
    <row r="9862" spans="1:7" x14ac:dyDescent="0.35">
      <c r="A9862">
        <v>3917</v>
      </c>
      <c r="B9862" s="1">
        <v>45811</v>
      </c>
      <c r="C9862" t="s">
        <v>24</v>
      </c>
      <c r="D9862" s="2">
        <v>1829.99</v>
      </c>
      <c r="E9862" s="2">
        <v>0</v>
      </c>
      <c r="F9862" t="s">
        <v>8</v>
      </c>
      <c r="G9862" t="s">
        <v>9</v>
      </c>
    </row>
    <row r="9863" spans="1:7" x14ac:dyDescent="0.35">
      <c r="A9863">
        <v>3917</v>
      </c>
      <c r="B9863" s="1">
        <v>45811</v>
      </c>
      <c r="C9863" t="s">
        <v>24</v>
      </c>
      <c r="D9863" s="2">
        <v>0</v>
      </c>
      <c r="E9863" s="2">
        <v>1829.99</v>
      </c>
      <c r="F9863" t="s">
        <v>13</v>
      </c>
      <c r="G9863" t="s">
        <v>9</v>
      </c>
    </row>
    <row r="9864" spans="1:7" x14ac:dyDescent="0.35">
      <c r="A9864">
        <v>3918</v>
      </c>
      <c r="B9864" s="1">
        <v>45811</v>
      </c>
      <c r="C9864" t="s">
        <v>24</v>
      </c>
      <c r="D9864" s="2">
        <v>1210.03</v>
      </c>
      <c r="E9864" s="2">
        <v>0</v>
      </c>
      <c r="F9864" t="s">
        <v>8</v>
      </c>
      <c r="G9864" t="s">
        <v>9</v>
      </c>
    </row>
    <row r="9865" spans="1:7" x14ac:dyDescent="0.35">
      <c r="A9865">
        <v>3918</v>
      </c>
      <c r="B9865" s="1">
        <v>45811</v>
      </c>
      <c r="C9865" t="s">
        <v>24</v>
      </c>
      <c r="D9865" s="2">
        <v>0</v>
      </c>
      <c r="E9865" s="2">
        <v>1210.03</v>
      </c>
      <c r="F9865" t="s">
        <v>13</v>
      </c>
      <c r="G9865" t="s">
        <v>9</v>
      </c>
    </row>
    <row r="9866" spans="1:7" x14ac:dyDescent="0.35">
      <c r="A9866">
        <v>3919</v>
      </c>
      <c r="B9866" s="1">
        <v>45811</v>
      </c>
      <c r="C9866" t="s">
        <v>24</v>
      </c>
      <c r="D9866" s="2">
        <v>525.74</v>
      </c>
      <c r="E9866" s="2">
        <v>0</v>
      </c>
      <c r="F9866" t="s">
        <v>8</v>
      </c>
      <c r="G9866" t="s">
        <v>9</v>
      </c>
    </row>
    <row r="9867" spans="1:7" x14ac:dyDescent="0.35">
      <c r="A9867">
        <v>3919</v>
      </c>
      <c r="B9867" s="1">
        <v>45811</v>
      </c>
      <c r="C9867" t="s">
        <v>24</v>
      </c>
      <c r="D9867" s="2">
        <v>0</v>
      </c>
      <c r="E9867" s="2">
        <v>525.74</v>
      </c>
      <c r="F9867" t="s">
        <v>13</v>
      </c>
      <c r="G9867" t="s">
        <v>9</v>
      </c>
    </row>
    <row r="9868" spans="1:7" x14ac:dyDescent="0.35">
      <c r="A9868">
        <v>3920</v>
      </c>
      <c r="B9868" s="1">
        <v>45811</v>
      </c>
      <c r="C9868" t="s">
        <v>25</v>
      </c>
      <c r="D9868" s="2">
        <v>1822.08</v>
      </c>
      <c r="E9868" s="2">
        <v>0</v>
      </c>
      <c r="F9868" t="s">
        <v>26</v>
      </c>
      <c r="G9868" t="s">
        <v>20</v>
      </c>
    </row>
    <row r="9869" spans="1:7" x14ac:dyDescent="0.35">
      <c r="A9869">
        <v>3920</v>
      </c>
      <c r="B9869" s="1">
        <v>45811</v>
      </c>
      <c r="C9869" t="s">
        <v>25</v>
      </c>
      <c r="D9869" s="2">
        <v>136.66</v>
      </c>
      <c r="E9869" s="2">
        <v>0</v>
      </c>
      <c r="F9869" t="s">
        <v>27</v>
      </c>
      <c r="G9869" t="s">
        <v>9</v>
      </c>
    </row>
    <row r="9870" spans="1:7" x14ac:dyDescent="0.35">
      <c r="A9870">
        <v>3920</v>
      </c>
      <c r="B9870" s="1">
        <v>45811</v>
      </c>
      <c r="C9870" t="s">
        <v>25</v>
      </c>
      <c r="D9870" s="2">
        <v>0</v>
      </c>
      <c r="E9870" s="2">
        <v>1958.74</v>
      </c>
      <c r="F9870" t="s">
        <v>28</v>
      </c>
      <c r="G9870" t="s">
        <v>17</v>
      </c>
    </row>
    <row r="9871" spans="1:7" x14ac:dyDescent="0.35">
      <c r="A9871">
        <v>3921</v>
      </c>
      <c r="B9871" s="1">
        <v>45811</v>
      </c>
      <c r="C9871" t="s">
        <v>29</v>
      </c>
      <c r="D9871" s="2">
        <v>2182.41</v>
      </c>
      <c r="E9871" s="2">
        <v>0</v>
      </c>
      <c r="F9871" t="s">
        <v>28</v>
      </c>
      <c r="G9871" t="s">
        <v>17</v>
      </c>
    </row>
    <row r="9872" spans="1:7" x14ac:dyDescent="0.35">
      <c r="A9872">
        <v>3921</v>
      </c>
      <c r="B9872" s="1">
        <v>45811</v>
      </c>
      <c r="C9872" t="s">
        <v>29</v>
      </c>
      <c r="D9872" s="2">
        <v>0</v>
      </c>
      <c r="E9872" s="2">
        <v>2182.41</v>
      </c>
      <c r="F9872" t="s">
        <v>8</v>
      </c>
      <c r="G9872" t="s">
        <v>9</v>
      </c>
    </row>
    <row r="9873" spans="1:7" x14ac:dyDescent="0.35">
      <c r="A9873">
        <v>3922</v>
      </c>
      <c r="B9873" s="1">
        <v>45811</v>
      </c>
      <c r="C9873" t="s">
        <v>29</v>
      </c>
      <c r="D9873" s="2">
        <v>1794.11</v>
      </c>
      <c r="E9873" s="2">
        <v>0</v>
      </c>
      <c r="F9873" t="s">
        <v>28</v>
      </c>
      <c r="G9873" t="s">
        <v>17</v>
      </c>
    </row>
    <row r="9874" spans="1:7" x14ac:dyDescent="0.35">
      <c r="A9874">
        <v>3922</v>
      </c>
      <c r="B9874" s="1">
        <v>45811</v>
      </c>
      <c r="C9874" t="s">
        <v>29</v>
      </c>
      <c r="D9874" s="2">
        <v>0</v>
      </c>
      <c r="E9874" s="2">
        <v>1794.11</v>
      </c>
      <c r="F9874" t="s">
        <v>8</v>
      </c>
      <c r="G9874" t="s">
        <v>9</v>
      </c>
    </row>
    <row r="9875" spans="1:7" x14ac:dyDescent="0.35">
      <c r="A9875">
        <v>3923</v>
      </c>
      <c r="B9875" s="1">
        <v>45812</v>
      </c>
      <c r="C9875" t="s">
        <v>12</v>
      </c>
      <c r="D9875" s="2">
        <v>6306.59</v>
      </c>
      <c r="E9875" s="2">
        <v>0</v>
      </c>
      <c r="F9875" t="s">
        <v>13</v>
      </c>
      <c r="G9875" t="s">
        <v>9</v>
      </c>
    </row>
    <row r="9876" spans="1:7" x14ac:dyDescent="0.35">
      <c r="A9876">
        <v>3923</v>
      </c>
      <c r="B9876" s="1">
        <v>45812</v>
      </c>
      <c r="C9876" t="s">
        <v>12</v>
      </c>
      <c r="D9876" s="2">
        <v>0</v>
      </c>
      <c r="E9876" s="2">
        <v>5866.6</v>
      </c>
      <c r="F9876" t="s">
        <v>14</v>
      </c>
      <c r="G9876" t="s">
        <v>15</v>
      </c>
    </row>
    <row r="9877" spans="1:7" x14ac:dyDescent="0.35">
      <c r="A9877">
        <v>3923</v>
      </c>
      <c r="B9877" s="1">
        <v>45812</v>
      </c>
      <c r="C9877" t="s">
        <v>12</v>
      </c>
      <c r="D9877" s="2">
        <v>0</v>
      </c>
      <c r="E9877" s="2">
        <v>439.99</v>
      </c>
      <c r="F9877" t="s">
        <v>16</v>
      </c>
      <c r="G9877" t="s">
        <v>17</v>
      </c>
    </row>
    <row r="9878" spans="1:7" x14ac:dyDescent="0.35">
      <c r="A9878">
        <v>3924</v>
      </c>
      <c r="B9878" s="1">
        <v>45812</v>
      </c>
      <c r="C9878" t="s">
        <v>12</v>
      </c>
      <c r="D9878" s="2">
        <v>2704.01</v>
      </c>
      <c r="E9878" s="2">
        <v>0</v>
      </c>
      <c r="F9878" t="s">
        <v>13</v>
      </c>
      <c r="G9878" t="s">
        <v>9</v>
      </c>
    </row>
    <row r="9879" spans="1:7" x14ac:dyDescent="0.35">
      <c r="A9879">
        <v>3924</v>
      </c>
      <c r="B9879" s="1">
        <v>45812</v>
      </c>
      <c r="C9879" t="s">
        <v>12</v>
      </c>
      <c r="D9879" s="2">
        <v>0</v>
      </c>
      <c r="E9879" s="2">
        <v>2515.36</v>
      </c>
      <c r="F9879" t="s">
        <v>14</v>
      </c>
      <c r="G9879" t="s">
        <v>15</v>
      </c>
    </row>
    <row r="9880" spans="1:7" x14ac:dyDescent="0.35">
      <c r="A9880">
        <v>3924</v>
      </c>
      <c r="B9880" s="1">
        <v>45812</v>
      </c>
      <c r="C9880" t="s">
        <v>12</v>
      </c>
      <c r="D9880" s="2">
        <v>0</v>
      </c>
      <c r="E9880" s="2">
        <v>188.65</v>
      </c>
      <c r="F9880" t="s">
        <v>16</v>
      </c>
      <c r="G9880" t="s">
        <v>17</v>
      </c>
    </row>
    <row r="9881" spans="1:7" x14ac:dyDescent="0.35">
      <c r="A9881">
        <v>3925</v>
      </c>
      <c r="B9881" s="1">
        <v>45812</v>
      </c>
      <c r="C9881" t="s">
        <v>12</v>
      </c>
      <c r="D9881" s="2">
        <v>4311.18</v>
      </c>
      <c r="E9881" s="2">
        <v>0</v>
      </c>
      <c r="F9881" t="s">
        <v>13</v>
      </c>
      <c r="G9881" t="s">
        <v>9</v>
      </c>
    </row>
    <row r="9882" spans="1:7" x14ac:dyDescent="0.35">
      <c r="A9882">
        <v>3925</v>
      </c>
      <c r="B9882" s="1">
        <v>45812</v>
      </c>
      <c r="C9882" t="s">
        <v>12</v>
      </c>
      <c r="D9882" s="2">
        <v>0</v>
      </c>
      <c r="E9882" s="2">
        <v>4010.38</v>
      </c>
      <c r="F9882" t="s">
        <v>14</v>
      </c>
      <c r="G9882" t="s">
        <v>15</v>
      </c>
    </row>
    <row r="9883" spans="1:7" x14ac:dyDescent="0.35">
      <c r="A9883">
        <v>3925</v>
      </c>
      <c r="B9883" s="1">
        <v>45812</v>
      </c>
      <c r="C9883" t="s">
        <v>12</v>
      </c>
      <c r="D9883" s="2">
        <v>0</v>
      </c>
      <c r="E9883" s="2">
        <v>300.8</v>
      </c>
      <c r="F9883" t="s">
        <v>16</v>
      </c>
      <c r="G9883" t="s">
        <v>17</v>
      </c>
    </row>
    <row r="9884" spans="1:7" x14ac:dyDescent="0.35">
      <c r="A9884">
        <v>3926</v>
      </c>
      <c r="B9884" s="1">
        <v>45812</v>
      </c>
      <c r="C9884" t="s">
        <v>12</v>
      </c>
      <c r="D9884" s="2">
        <v>2202.6999999999998</v>
      </c>
      <c r="E9884" s="2">
        <v>0</v>
      </c>
      <c r="F9884" t="s">
        <v>13</v>
      </c>
      <c r="G9884" t="s">
        <v>9</v>
      </c>
    </row>
    <row r="9885" spans="1:7" x14ac:dyDescent="0.35">
      <c r="A9885">
        <v>3926</v>
      </c>
      <c r="B9885" s="1">
        <v>45812</v>
      </c>
      <c r="C9885" t="s">
        <v>12</v>
      </c>
      <c r="D9885" s="2">
        <v>0</v>
      </c>
      <c r="E9885" s="2">
        <v>2049.0300000000002</v>
      </c>
      <c r="F9885" t="s">
        <v>14</v>
      </c>
      <c r="G9885" t="s">
        <v>15</v>
      </c>
    </row>
    <row r="9886" spans="1:7" x14ac:dyDescent="0.35">
      <c r="A9886">
        <v>3926</v>
      </c>
      <c r="B9886" s="1">
        <v>45812</v>
      </c>
      <c r="C9886" t="s">
        <v>12</v>
      </c>
      <c r="D9886" s="2">
        <v>0</v>
      </c>
      <c r="E9886" s="2">
        <v>153.66999999999999</v>
      </c>
      <c r="F9886" t="s">
        <v>16</v>
      </c>
      <c r="G9886" t="s">
        <v>17</v>
      </c>
    </row>
    <row r="9887" spans="1:7" x14ac:dyDescent="0.35">
      <c r="A9887">
        <v>3927</v>
      </c>
      <c r="B9887" s="1">
        <v>45812</v>
      </c>
      <c r="C9887" t="s">
        <v>12</v>
      </c>
      <c r="D9887" s="2">
        <v>1924.91</v>
      </c>
      <c r="E9887" s="2">
        <v>0</v>
      </c>
      <c r="F9887" t="s">
        <v>13</v>
      </c>
      <c r="G9887" t="s">
        <v>9</v>
      </c>
    </row>
    <row r="9888" spans="1:7" x14ac:dyDescent="0.35">
      <c r="A9888">
        <v>3927</v>
      </c>
      <c r="B9888" s="1">
        <v>45812</v>
      </c>
      <c r="C9888" t="s">
        <v>12</v>
      </c>
      <c r="D9888" s="2">
        <v>0</v>
      </c>
      <c r="E9888" s="2">
        <v>1790.61</v>
      </c>
      <c r="F9888" t="s">
        <v>14</v>
      </c>
      <c r="G9888" t="s">
        <v>15</v>
      </c>
    </row>
    <row r="9889" spans="1:7" x14ac:dyDescent="0.35">
      <c r="A9889">
        <v>3927</v>
      </c>
      <c r="B9889" s="1">
        <v>45812</v>
      </c>
      <c r="C9889" t="s">
        <v>12</v>
      </c>
      <c r="D9889" s="2">
        <v>0</v>
      </c>
      <c r="E9889" s="2">
        <v>134.30000000000001</v>
      </c>
      <c r="F9889" t="s">
        <v>16</v>
      </c>
      <c r="G9889" t="s">
        <v>17</v>
      </c>
    </row>
    <row r="9890" spans="1:7" x14ac:dyDescent="0.35">
      <c r="A9890">
        <v>3928</v>
      </c>
      <c r="B9890" s="1">
        <v>45812</v>
      </c>
      <c r="C9890" t="s">
        <v>12</v>
      </c>
      <c r="D9890" s="2">
        <v>2396.9699999999998</v>
      </c>
      <c r="E9890" s="2">
        <v>0</v>
      </c>
      <c r="F9890" t="s">
        <v>13</v>
      </c>
      <c r="G9890" t="s">
        <v>9</v>
      </c>
    </row>
    <row r="9891" spans="1:7" x14ac:dyDescent="0.35">
      <c r="A9891">
        <v>3928</v>
      </c>
      <c r="B9891" s="1">
        <v>45812</v>
      </c>
      <c r="C9891" t="s">
        <v>12</v>
      </c>
      <c r="D9891" s="2">
        <v>0</v>
      </c>
      <c r="E9891" s="2">
        <v>2229.7399999999998</v>
      </c>
      <c r="F9891" t="s">
        <v>14</v>
      </c>
      <c r="G9891" t="s">
        <v>15</v>
      </c>
    </row>
    <row r="9892" spans="1:7" x14ac:dyDescent="0.35">
      <c r="A9892">
        <v>3928</v>
      </c>
      <c r="B9892" s="1">
        <v>45812</v>
      </c>
      <c r="C9892" t="s">
        <v>12</v>
      </c>
      <c r="D9892" s="2">
        <v>0</v>
      </c>
      <c r="E9892" s="2">
        <v>167.23</v>
      </c>
      <c r="F9892" t="s">
        <v>16</v>
      </c>
      <c r="G9892" t="s">
        <v>17</v>
      </c>
    </row>
    <row r="9893" spans="1:7" x14ac:dyDescent="0.35">
      <c r="A9893">
        <v>3929</v>
      </c>
      <c r="B9893" s="1">
        <v>45812</v>
      </c>
      <c r="C9893" t="s">
        <v>12</v>
      </c>
      <c r="D9893" s="2">
        <v>288.27999999999997</v>
      </c>
      <c r="E9893" s="2">
        <v>0</v>
      </c>
      <c r="F9893" t="s">
        <v>13</v>
      </c>
      <c r="G9893" t="s">
        <v>9</v>
      </c>
    </row>
    <row r="9894" spans="1:7" x14ac:dyDescent="0.35">
      <c r="A9894">
        <v>3929</v>
      </c>
      <c r="B9894" s="1">
        <v>45812</v>
      </c>
      <c r="C9894" t="s">
        <v>12</v>
      </c>
      <c r="D9894" s="2">
        <v>0</v>
      </c>
      <c r="E9894" s="2">
        <v>268.17</v>
      </c>
      <c r="F9894" t="s">
        <v>14</v>
      </c>
      <c r="G9894" t="s">
        <v>15</v>
      </c>
    </row>
    <row r="9895" spans="1:7" x14ac:dyDescent="0.35">
      <c r="A9895">
        <v>3929</v>
      </c>
      <c r="B9895" s="1">
        <v>45812</v>
      </c>
      <c r="C9895" t="s">
        <v>12</v>
      </c>
      <c r="D9895" s="2">
        <v>0</v>
      </c>
      <c r="E9895" s="2">
        <v>20.11</v>
      </c>
      <c r="F9895" t="s">
        <v>16</v>
      </c>
      <c r="G9895" t="s">
        <v>17</v>
      </c>
    </row>
    <row r="9896" spans="1:7" x14ac:dyDescent="0.35">
      <c r="A9896">
        <v>3930</v>
      </c>
      <c r="B9896" s="1">
        <v>45812</v>
      </c>
      <c r="C9896" t="s">
        <v>12</v>
      </c>
      <c r="D9896" s="2">
        <v>747.38</v>
      </c>
      <c r="E9896" s="2">
        <v>0</v>
      </c>
      <c r="F9896" t="s">
        <v>13</v>
      </c>
      <c r="G9896" t="s">
        <v>9</v>
      </c>
    </row>
    <row r="9897" spans="1:7" x14ac:dyDescent="0.35">
      <c r="A9897">
        <v>3930</v>
      </c>
      <c r="B9897" s="1">
        <v>45812</v>
      </c>
      <c r="C9897" t="s">
        <v>12</v>
      </c>
      <c r="D9897" s="2">
        <v>0</v>
      </c>
      <c r="E9897" s="2">
        <v>695.24</v>
      </c>
      <c r="F9897" t="s">
        <v>14</v>
      </c>
      <c r="G9897" t="s">
        <v>15</v>
      </c>
    </row>
    <row r="9898" spans="1:7" x14ac:dyDescent="0.35">
      <c r="A9898">
        <v>3930</v>
      </c>
      <c r="B9898" s="1">
        <v>45812</v>
      </c>
      <c r="C9898" t="s">
        <v>12</v>
      </c>
      <c r="D9898" s="2">
        <v>0</v>
      </c>
      <c r="E9898" s="2">
        <v>52.14</v>
      </c>
      <c r="F9898" t="s">
        <v>16</v>
      </c>
      <c r="G9898" t="s">
        <v>17</v>
      </c>
    </row>
    <row r="9899" spans="1:7" x14ac:dyDescent="0.35">
      <c r="A9899">
        <v>3931</v>
      </c>
      <c r="B9899" s="1">
        <v>45812</v>
      </c>
      <c r="C9899" t="s">
        <v>12</v>
      </c>
      <c r="D9899" s="2">
        <v>2525.87</v>
      </c>
      <c r="E9899" s="2">
        <v>0</v>
      </c>
      <c r="F9899" t="s">
        <v>13</v>
      </c>
      <c r="G9899" t="s">
        <v>9</v>
      </c>
    </row>
    <row r="9900" spans="1:7" x14ac:dyDescent="0.35">
      <c r="A9900">
        <v>3931</v>
      </c>
      <c r="B9900" s="1">
        <v>45812</v>
      </c>
      <c r="C9900" t="s">
        <v>12</v>
      </c>
      <c r="D9900" s="2">
        <v>0</v>
      </c>
      <c r="E9900" s="2">
        <v>2349.65</v>
      </c>
      <c r="F9900" t="s">
        <v>14</v>
      </c>
      <c r="G9900" t="s">
        <v>15</v>
      </c>
    </row>
    <row r="9901" spans="1:7" x14ac:dyDescent="0.35">
      <c r="A9901">
        <v>3931</v>
      </c>
      <c r="B9901" s="1">
        <v>45812</v>
      </c>
      <c r="C9901" t="s">
        <v>12</v>
      </c>
      <c r="D9901" s="2">
        <v>0</v>
      </c>
      <c r="E9901" s="2">
        <v>176.22</v>
      </c>
      <c r="F9901" t="s">
        <v>16</v>
      </c>
      <c r="G9901" t="s">
        <v>17</v>
      </c>
    </row>
    <row r="9902" spans="1:7" x14ac:dyDescent="0.35">
      <c r="A9902">
        <v>3932</v>
      </c>
      <c r="B9902" s="1">
        <v>45812</v>
      </c>
      <c r="C9902" t="s">
        <v>12</v>
      </c>
      <c r="D9902" s="2">
        <v>1162.69</v>
      </c>
      <c r="E9902" s="2">
        <v>0</v>
      </c>
      <c r="F9902" t="s">
        <v>13</v>
      </c>
      <c r="G9902" t="s">
        <v>9</v>
      </c>
    </row>
    <row r="9903" spans="1:7" x14ac:dyDescent="0.35">
      <c r="A9903">
        <v>3932</v>
      </c>
      <c r="B9903" s="1">
        <v>45812</v>
      </c>
      <c r="C9903" t="s">
        <v>12</v>
      </c>
      <c r="D9903" s="2">
        <v>0</v>
      </c>
      <c r="E9903" s="2">
        <v>1081.57</v>
      </c>
      <c r="F9903" t="s">
        <v>14</v>
      </c>
      <c r="G9903" t="s">
        <v>15</v>
      </c>
    </row>
    <row r="9904" spans="1:7" x14ac:dyDescent="0.35">
      <c r="A9904">
        <v>3932</v>
      </c>
      <c r="B9904" s="1">
        <v>45812</v>
      </c>
      <c r="C9904" t="s">
        <v>12</v>
      </c>
      <c r="D9904" s="2">
        <v>0</v>
      </c>
      <c r="E9904" s="2">
        <v>81.12</v>
      </c>
      <c r="F9904" t="s">
        <v>16</v>
      </c>
      <c r="G9904" t="s">
        <v>17</v>
      </c>
    </row>
    <row r="9905" spans="1:7" x14ac:dyDescent="0.35">
      <c r="A9905">
        <v>3933</v>
      </c>
      <c r="B9905" s="1">
        <v>45812</v>
      </c>
      <c r="C9905" t="s">
        <v>24</v>
      </c>
      <c r="D9905" s="2">
        <v>2254.98</v>
      </c>
      <c r="E9905" s="2">
        <v>0</v>
      </c>
      <c r="F9905" t="s">
        <v>8</v>
      </c>
      <c r="G9905" t="s">
        <v>9</v>
      </c>
    </row>
    <row r="9906" spans="1:7" x14ac:dyDescent="0.35">
      <c r="A9906">
        <v>3933</v>
      </c>
      <c r="B9906" s="1">
        <v>45812</v>
      </c>
      <c r="C9906" t="s">
        <v>24</v>
      </c>
      <c r="D9906" s="2">
        <v>0</v>
      </c>
      <c r="E9906" s="2">
        <v>2254.98</v>
      </c>
      <c r="F9906" t="s">
        <v>13</v>
      </c>
      <c r="G9906" t="s">
        <v>9</v>
      </c>
    </row>
    <row r="9907" spans="1:7" x14ac:dyDescent="0.35">
      <c r="A9907">
        <v>3934</v>
      </c>
      <c r="B9907" s="1">
        <v>45812</v>
      </c>
      <c r="C9907" t="s">
        <v>24</v>
      </c>
      <c r="D9907" s="2">
        <v>2228.6799999999998</v>
      </c>
      <c r="E9907" s="2">
        <v>0</v>
      </c>
      <c r="F9907" t="s">
        <v>8</v>
      </c>
      <c r="G9907" t="s">
        <v>9</v>
      </c>
    </row>
    <row r="9908" spans="1:7" x14ac:dyDescent="0.35">
      <c r="A9908">
        <v>3934</v>
      </c>
      <c r="B9908" s="1">
        <v>45812</v>
      </c>
      <c r="C9908" t="s">
        <v>24</v>
      </c>
      <c r="D9908" s="2">
        <v>0</v>
      </c>
      <c r="E9908" s="2">
        <v>2228.6799999999998</v>
      </c>
      <c r="F9908" t="s">
        <v>13</v>
      </c>
      <c r="G9908" t="s">
        <v>9</v>
      </c>
    </row>
    <row r="9909" spans="1:7" x14ac:dyDescent="0.35">
      <c r="A9909">
        <v>3935</v>
      </c>
      <c r="B9909" s="1">
        <v>45812</v>
      </c>
      <c r="C9909" t="s">
        <v>24</v>
      </c>
      <c r="D9909" s="2">
        <v>4782.6499999999996</v>
      </c>
      <c r="E9909" s="2">
        <v>0</v>
      </c>
      <c r="F9909" t="s">
        <v>8</v>
      </c>
      <c r="G9909" t="s">
        <v>9</v>
      </c>
    </row>
    <row r="9910" spans="1:7" x14ac:dyDescent="0.35">
      <c r="A9910">
        <v>3935</v>
      </c>
      <c r="B9910" s="1">
        <v>45812</v>
      </c>
      <c r="C9910" t="s">
        <v>24</v>
      </c>
      <c r="D9910" s="2">
        <v>0</v>
      </c>
      <c r="E9910" s="2">
        <v>4782.6499999999996</v>
      </c>
      <c r="F9910" t="s">
        <v>13</v>
      </c>
      <c r="G9910" t="s">
        <v>9</v>
      </c>
    </row>
    <row r="9911" spans="1:7" x14ac:dyDescent="0.35">
      <c r="A9911">
        <v>3936</v>
      </c>
      <c r="B9911" s="1">
        <v>45812</v>
      </c>
      <c r="C9911" t="s">
        <v>24</v>
      </c>
      <c r="D9911" s="2">
        <v>946.19</v>
      </c>
      <c r="E9911" s="2">
        <v>0</v>
      </c>
      <c r="F9911" t="s">
        <v>8</v>
      </c>
      <c r="G9911" t="s">
        <v>9</v>
      </c>
    </row>
    <row r="9912" spans="1:7" x14ac:dyDescent="0.35">
      <c r="A9912">
        <v>3936</v>
      </c>
      <c r="B9912" s="1">
        <v>45812</v>
      </c>
      <c r="C9912" t="s">
        <v>24</v>
      </c>
      <c r="D9912" s="2">
        <v>0</v>
      </c>
      <c r="E9912" s="2">
        <v>946.19</v>
      </c>
      <c r="F9912" t="s">
        <v>13</v>
      </c>
      <c r="G9912" t="s">
        <v>9</v>
      </c>
    </row>
    <row r="9913" spans="1:7" x14ac:dyDescent="0.35">
      <c r="A9913">
        <v>3937</v>
      </c>
      <c r="B9913" s="1">
        <v>45812</v>
      </c>
      <c r="C9913" t="s">
        <v>24</v>
      </c>
      <c r="D9913" s="2">
        <v>2525.87</v>
      </c>
      <c r="E9913" s="2">
        <v>0</v>
      </c>
      <c r="F9913" t="s">
        <v>8</v>
      </c>
      <c r="G9913" t="s">
        <v>9</v>
      </c>
    </row>
    <row r="9914" spans="1:7" x14ac:dyDescent="0.35">
      <c r="A9914">
        <v>3937</v>
      </c>
      <c r="B9914" s="1">
        <v>45812</v>
      </c>
      <c r="C9914" t="s">
        <v>24</v>
      </c>
      <c r="D9914" s="2">
        <v>0</v>
      </c>
      <c r="E9914" s="2">
        <v>2525.87</v>
      </c>
      <c r="F9914" t="s">
        <v>13</v>
      </c>
      <c r="G9914" t="s">
        <v>9</v>
      </c>
    </row>
    <row r="9915" spans="1:7" x14ac:dyDescent="0.35">
      <c r="A9915">
        <v>3938</v>
      </c>
      <c r="B9915" s="1">
        <v>45812</v>
      </c>
      <c r="C9915" t="s">
        <v>25</v>
      </c>
      <c r="D9915" s="2">
        <v>2451.5</v>
      </c>
      <c r="E9915" s="2">
        <v>0</v>
      </c>
      <c r="F9915" t="s">
        <v>26</v>
      </c>
      <c r="G9915" t="s">
        <v>20</v>
      </c>
    </row>
    <row r="9916" spans="1:7" x14ac:dyDescent="0.35">
      <c r="A9916">
        <v>3938</v>
      </c>
      <c r="B9916" s="1">
        <v>45812</v>
      </c>
      <c r="C9916" t="s">
        <v>25</v>
      </c>
      <c r="D9916" s="2">
        <v>183.86</v>
      </c>
      <c r="E9916" s="2">
        <v>0</v>
      </c>
      <c r="F9916" t="s">
        <v>27</v>
      </c>
      <c r="G9916" t="s">
        <v>9</v>
      </c>
    </row>
    <row r="9917" spans="1:7" x14ac:dyDescent="0.35">
      <c r="A9917">
        <v>3938</v>
      </c>
      <c r="B9917" s="1">
        <v>45812</v>
      </c>
      <c r="C9917" t="s">
        <v>25</v>
      </c>
      <c r="D9917" s="2">
        <v>0</v>
      </c>
      <c r="E9917" s="2">
        <v>2635.36</v>
      </c>
      <c r="F9917" t="s">
        <v>28</v>
      </c>
      <c r="G9917" t="s">
        <v>17</v>
      </c>
    </row>
    <row r="9918" spans="1:7" x14ac:dyDescent="0.35">
      <c r="A9918">
        <v>3939</v>
      </c>
      <c r="B9918" s="1">
        <v>45812</v>
      </c>
      <c r="C9918" t="s">
        <v>25</v>
      </c>
      <c r="D9918" s="2">
        <v>512</v>
      </c>
      <c r="E9918" s="2">
        <v>0</v>
      </c>
      <c r="F9918" t="s">
        <v>26</v>
      </c>
      <c r="G9918" t="s">
        <v>20</v>
      </c>
    </row>
    <row r="9919" spans="1:7" x14ac:dyDescent="0.35">
      <c r="A9919">
        <v>3939</v>
      </c>
      <c r="B9919" s="1">
        <v>45812</v>
      </c>
      <c r="C9919" t="s">
        <v>25</v>
      </c>
      <c r="D9919" s="2">
        <v>38.4</v>
      </c>
      <c r="E9919" s="2">
        <v>0</v>
      </c>
      <c r="F9919" t="s">
        <v>27</v>
      </c>
      <c r="G9919" t="s">
        <v>9</v>
      </c>
    </row>
    <row r="9920" spans="1:7" x14ac:dyDescent="0.35">
      <c r="A9920">
        <v>3939</v>
      </c>
      <c r="B9920" s="1">
        <v>45812</v>
      </c>
      <c r="C9920" t="s">
        <v>25</v>
      </c>
      <c r="D9920" s="2">
        <v>0</v>
      </c>
      <c r="E9920" s="2">
        <v>550.4</v>
      </c>
      <c r="F9920" t="s">
        <v>28</v>
      </c>
      <c r="G9920" t="s">
        <v>17</v>
      </c>
    </row>
    <row r="9921" spans="1:7" x14ac:dyDescent="0.35">
      <c r="A9921">
        <v>3940</v>
      </c>
      <c r="B9921" s="1">
        <v>45812</v>
      </c>
      <c r="C9921" t="s">
        <v>29</v>
      </c>
      <c r="D9921" s="2">
        <v>1304.6199999999999</v>
      </c>
      <c r="E9921" s="2">
        <v>0</v>
      </c>
      <c r="F9921" t="s">
        <v>28</v>
      </c>
      <c r="G9921" t="s">
        <v>17</v>
      </c>
    </row>
    <row r="9922" spans="1:7" x14ac:dyDescent="0.35">
      <c r="A9922">
        <v>3940</v>
      </c>
      <c r="B9922" s="1">
        <v>45812</v>
      </c>
      <c r="C9922" t="s">
        <v>29</v>
      </c>
      <c r="D9922" s="2">
        <v>0</v>
      </c>
      <c r="E9922" s="2">
        <v>1304.6199999999999</v>
      </c>
      <c r="F9922" t="s">
        <v>8</v>
      </c>
      <c r="G9922" t="s">
        <v>9</v>
      </c>
    </row>
    <row r="9923" spans="1:7" x14ac:dyDescent="0.35">
      <c r="A9923">
        <v>3941</v>
      </c>
      <c r="B9923" s="1">
        <v>45812</v>
      </c>
      <c r="C9923" t="s">
        <v>29</v>
      </c>
      <c r="D9923" s="2">
        <v>2093.2800000000002</v>
      </c>
      <c r="E9923" s="2">
        <v>0</v>
      </c>
      <c r="F9923" t="s">
        <v>28</v>
      </c>
      <c r="G9923" t="s">
        <v>17</v>
      </c>
    </row>
    <row r="9924" spans="1:7" x14ac:dyDescent="0.35">
      <c r="A9924">
        <v>3941</v>
      </c>
      <c r="B9924" s="1">
        <v>45812</v>
      </c>
      <c r="C9924" t="s">
        <v>29</v>
      </c>
      <c r="D9924" s="2">
        <v>0</v>
      </c>
      <c r="E9924" s="2">
        <v>2093.2800000000002</v>
      </c>
      <c r="F9924" t="s">
        <v>8</v>
      </c>
      <c r="G9924" t="s">
        <v>9</v>
      </c>
    </row>
    <row r="9925" spans="1:7" x14ac:dyDescent="0.35">
      <c r="A9925">
        <v>3942</v>
      </c>
      <c r="B9925" s="1">
        <v>45812</v>
      </c>
      <c r="C9925" t="s">
        <v>29</v>
      </c>
      <c r="D9925" s="2">
        <v>276.32</v>
      </c>
      <c r="E9925" s="2">
        <v>0</v>
      </c>
      <c r="F9925" t="s">
        <v>28</v>
      </c>
      <c r="G9925" t="s">
        <v>17</v>
      </c>
    </row>
    <row r="9926" spans="1:7" x14ac:dyDescent="0.35">
      <c r="A9926">
        <v>3942</v>
      </c>
      <c r="B9926" s="1">
        <v>45812</v>
      </c>
      <c r="C9926" t="s">
        <v>29</v>
      </c>
      <c r="D9926" s="2">
        <v>0</v>
      </c>
      <c r="E9926" s="2">
        <v>276.32</v>
      </c>
      <c r="F9926" t="s">
        <v>8</v>
      </c>
      <c r="G9926" t="s">
        <v>9</v>
      </c>
    </row>
    <row r="9927" spans="1:7" x14ac:dyDescent="0.35">
      <c r="A9927">
        <v>3943</v>
      </c>
      <c r="B9927" s="1">
        <v>45812</v>
      </c>
      <c r="C9927" t="s">
        <v>29</v>
      </c>
      <c r="D9927" s="2">
        <v>1023.42</v>
      </c>
      <c r="E9927" s="2">
        <v>0</v>
      </c>
      <c r="F9927" t="s">
        <v>28</v>
      </c>
      <c r="G9927" t="s">
        <v>17</v>
      </c>
    </row>
    <row r="9928" spans="1:7" x14ac:dyDescent="0.35">
      <c r="A9928">
        <v>3943</v>
      </c>
      <c r="B9928" s="1">
        <v>45812</v>
      </c>
      <c r="C9928" t="s">
        <v>29</v>
      </c>
      <c r="D9928" s="2">
        <v>0</v>
      </c>
      <c r="E9928" s="2">
        <v>1023.42</v>
      </c>
      <c r="F9928" t="s">
        <v>8</v>
      </c>
      <c r="G9928" t="s">
        <v>9</v>
      </c>
    </row>
    <row r="9929" spans="1:7" x14ac:dyDescent="0.35">
      <c r="A9929">
        <v>3944</v>
      </c>
      <c r="B9929" s="1">
        <v>45812</v>
      </c>
      <c r="C9929" t="s">
        <v>29</v>
      </c>
      <c r="D9929" s="2">
        <v>2635.36</v>
      </c>
      <c r="E9929" s="2">
        <v>0</v>
      </c>
      <c r="F9929" t="s">
        <v>28</v>
      </c>
      <c r="G9929" t="s">
        <v>17</v>
      </c>
    </row>
    <row r="9930" spans="1:7" x14ac:dyDescent="0.35">
      <c r="A9930">
        <v>3944</v>
      </c>
      <c r="B9930" s="1">
        <v>45812</v>
      </c>
      <c r="C9930" t="s">
        <v>29</v>
      </c>
      <c r="D9930" s="2">
        <v>0</v>
      </c>
      <c r="E9930" s="2">
        <v>2635.36</v>
      </c>
      <c r="F9930" t="s">
        <v>8</v>
      </c>
      <c r="G9930" t="s">
        <v>9</v>
      </c>
    </row>
    <row r="9931" spans="1:7" x14ac:dyDescent="0.35">
      <c r="A9931">
        <v>3945</v>
      </c>
      <c r="B9931" s="1">
        <v>45813</v>
      </c>
      <c r="C9931" t="s">
        <v>18</v>
      </c>
      <c r="D9931" s="2">
        <v>22493.59</v>
      </c>
      <c r="E9931" s="2">
        <v>0</v>
      </c>
      <c r="F9931" t="s">
        <v>19</v>
      </c>
      <c r="G9931" t="s">
        <v>20</v>
      </c>
    </row>
    <row r="9932" spans="1:7" x14ac:dyDescent="0.35">
      <c r="A9932">
        <v>3945</v>
      </c>
      <c r="B9932" s="1">
        <v>45813</v>
      </c>
      <c r="C9932" t="s">
        <v>18</v>
      </c>
      <c r="D9932" s="2">
        <v>899.74</v>
      </c>
      <c r="E9932" s="2">
        <v>0</v>
      </c>
      <c r="F9932" t="s">
        <v>21</v>
      </c>
      <c r="G9932" t="s">
        <v>20</v>
      </c>
    </row>
    <row r="9933" spans="1:7" x14ac:dyDescent="0.35">
      <c r="A9933">
        <v>3945</v>
      </c>
      <c r="B9933" s="1">
        <v>45813</v>
      </c>
      <c r="C9933" t="s">
        <v>18</v>
      </c>
      <c r="D9933" s="2">
        <v>0</v>
      </c>
      <c r="E9933" s="2">
        <v>18424.32</v>
      </c>
      <c r="F9933" t="s">
        <v>8</v>
      </c>
      <c r="G9933" t="s">
        <v>9</v>
      </c>
    </row>
    <row r="9934" spans="1:7" x14ac:dyDescent="0.35">
      <c r="A9934">
        <v>3945</v>
      </c>
      <c r="B9934" s="1">
        <v>45813</v>
      </c>
      <c r="C9934" t="s">
        <v>18</v>
      </c>
      <c r="D9934" s="2">
        <v>0</v>
      </c>
      <c r="E9934" s="2">
        <v>4069.27</v>
      </c>
      <c r="F9934" t="s">
        <v>22</v>
      </c>
      <c r="G9934" t="s">
        <v>17</v>
      </c>
    </row>
    <row r="9935" spans="1:7" x14ac:dyDescent="0.35">
      <c r="A9935">
        <v>3945</v>
      </c>
      <c r="B9935" s="1">
        <v>45813</v>
      </c>
      <c r="C9935" t="s">
        <v>18</v>
      </c>
      <c r="D9935" s="2">
        <v>0</v>
      </c>
      <c r="E9935" s="2">
        <v>899.74</v>
      </c>
      <c r="F9935" t="s">
        <v>23</v>
      </c>
      <c r="G9935" t="s">
        <v>17</v>
      </c>
    </row>
    <row r="9936" spans="1:7" x14ac:dyDescent="0.35">
      <c r="A9936">
        <v>3946</v>
      </c>
      <c r="B9936" s="1">
        <v>45813</v>
      </c>
      <c r="C9936" t="s">
        <v>12</v>
      </c>
      <c r="D9936" s="2">
        <v>1105.42</v>
      </c>
      <c r="E9936" s="2">
        <v>0</v>
      </c>
      <c r="F9936" t="s">
        <v>13</v>
      </c>
      <c r="G9936" t="s">
        <v>9</v>
      </c>
    </row>
    <row r="9937" spans="1:7" x14ac:dyDescent="0.35">
      <c r="A9937">
        <v>3946</v>
      </c>
      <c r="B9937" s="1">
        <v>45813</v>
      </c>
      <c r="C9937" t="s">
        <v>12</v>
      </c>
      <c r="D9937" s="2">
        <v>0</v>
      </c>
      <c r="E9937" s="2">
        <v>1028.3</v>
      </c>
      <c r="F9937" t="s">
        <v>14</v>
      </c>
      <c r="G9937" t="s">
        <v>15</v>
      </c>
    </row>
    <row r="9938" spans="1:7" x14ac:dyDescent="0.35">
      <c r="A9938">
        <v>3946</v>
      </c>
      <c r="B9938" s="1">
        <v>45813</v>
      </c>
      <c r="C9938" t="s">
        <v>12</v>
      </c>
      <c r="D9938" s="2">
        <v>0</v>
      </c>
      <c r="E9938" s="2">
        <v>77.12</v>
      </c>
      <c r="F9938" t="s">
        <v>16</v>
      </c>
      <c r="G9938" t="s">
        <v>17</v>
      </c>
    </row>
    <row r="9939" spans="1:7" x14ac:dyDescent="0.35">
      <c r="A9939">
        <v>3947</v>
      </c>
      <c r="B9939" s="1">
        <v>45813</v>
      </c>
      <c r="C9939" t="s">
        <v>12</v>
      </c>
      <c r="D9939" s="2">
        <v>224.85</v>
      </c>
      <c r="E9939" s="2">
        <v>0</v>
      </c>
      <c r="F9939" t="s">
        <v>13</v>
      </c>
      <c r="G9939" t="s">
        <v>9</v>
      </c>
    </row>
    <row r="9940" spans="1:7" x14ac:dyDescent="0.35">
      <c r="A9940">
        <v>3947</v>
      </c>
      <c r="B9940" s="1">
        <v>45813</v>
      </c>
      <c r="C9940" t="s">
        <v>12</v>
      </c>
      <c r="D9940" s="2">
        <v>0</v>
      </c>
      <c r="E9940" s="2">
        <v>209.16</v>
      </c>
      <c r="F9940" t="s">
        <v>14</v>
      </c>
      <c r="G9940" t="s">
        <v>15</v>
      </c>
    </row>
    <row r="9941" spans="1:7" x14ac:dyDescent="0.35">
      <c r="A9941">
        <v>3947</v>
      </c>
      <c r="B9941" s="1">
        <v>45813</v>
      </c>
      <c r="C9941" t="s">
        <v>12</v>
      </c>
      <c r="D9941" s="2">
        <v>0</v>
      </c>
      <c r="E9941" s="2">
        <v>15.69</v>
      </c>
      <c r="F9941" t="s">
        <v>16</v>
      </c>
      <c r="G9941" t="s">
        <v>17</v>
      </c>
    </row>
    <row r="9942" spans="1:7" x14ac:dyDescent="0.35">
      <c r="A9942">
        <v>3948</v>
      </c>
      <c r="B9942" s="1">
        <v>45813</v>
      </c>
      <c r="C9942" t="s">
        <v>12</v>
      </c>
      <c r="D9942" s="2">
        <v>377.51</v>
      </c>
      <c r="E9942" s="2">
        <v>0</v>
      </c>
      <c r="F9942" t="s">
        <v>13</v>
      </c>
      <c r="G9942" t="s">
        <v>9</v>
      </c>
    </row>
    <row r="9943" spans="1:7" x14ac:dyDescent="0.35">
      <c r="A9943">
        <v>3948</v>
      </c>
      <c r="B9943" s="1">
        <v>45813</v>
      </c>
      <c r="C9943" t="s">
        <v>12</v>
      </c>
      <c r="D9943" s="2">
        <v>0</v>
      </c>
      <c r="E9943" s="2">
        <v>351.18</v>
      </c>
      <c r="F9943" t="s">
        <v>14</v>
      </c>
      <c r="G9943" t="s">
        <v>15</v>
      </c>
    </row>
    <row r="9944" spans="1:7" x14ac:dyDescent="0.35">
      <c r="A9944">
        <v>3948</v>
      </c>
      <c r="B9944" s="1">
        <v>45813</v>
      </c>
      <c r="C9944" t="s">
        <v>12</v>
      </c>
      <c r="D9944" s="2">
        <v>0</v>
      </c>
      <c r="E9944" s="2">
        <v>26.33</v>
      </c>
      <c r="F9944" t="s">
        <v>16</v>
      </c>
      <c r="G9944" t="s">
        <v>17</v>
      </c>
    </row>
    <row r="9945" spans="1:7" x14ac:dyDescent="0.35">
      <c r="A9945">
        <v>3949</v>
      </c>
      <c r="B9945" s="1">
        <v>45813</v>
      </c>
      <c r="C9945" t="s">
        <v>12</v>
      </c>
      <c r="D9945" s="2">
        <v>1568.59</v>
      </c>
      <c r="E9945" s="2">
        <v>0</v>
      </c>
      <c r="F9945" t="s">
        <v>13</v>
      </c>
      <c r="G9945" t="s">
        <v>9</v>
      </c>
    </row>
    <row r="9946" spans="1:7" x14ac:dyDescent="0.35">
      <c r="A9946">
        <v>3949</v>
      </c>
      <c r="B9946" s="1">
        <v>45813</v>
      </c>
      <c r="C9946" t="s">
        <v>12</v>
      </c>
      <c r="D9946" s="2">
        <v>0</v>
      </c>
      <c r="E9946" s="2">
        <v>1459.14</v>
      </c>
      <c r="F9946" t="s">
        <v>14</v>
      </c>
      <c r="G9946" t="s">
        <v>15</v>
      </c>
    </row>
    <row r="9947" spans="1:7" x14ac:dyDescent="0.35">
      <c r="A9947">
        <v>3949</v>
      </c>
      <c r="B9947" s="1">
        <v>45813</v>
      </c>
      <c r="C9947" t="s">
        <v>12</v>
      </c>
      <c r="D9947" s="2">
        <v>0</v>
      </c>
      <c r="E9947" s="2">
        <v>109.45</v>
      </c>
      <c r="F9947" t="s">
        <v>16</v>
      </c>
      <c r="G9947" t="s">
        <v>17</v>
      </c>
    </row>
    <row r="9948" spans="1:7" x14ac:dyDescent="0.35">
      <c r="A9948">
        <v>3950</v>
      </c>
      <c r="B9948" s="1">
        <v>45813</v>
      </c>
      <c r="C9948" t="s">
        <v>12</v>
      </c>
      <c r="D9948" s="2">
        <v>4925.78</v>
      </c>
      <c r="E9948" s="2">
        <v>0</v>
      </c>
      <c r="F9948" t="s">
        <v>13</v>
      </c>
      <c r="G9948" t="s">
        <v>9</v>
      </c>
    </row>
    <row r="9949" spans="1:7" x14ac:dyDescent="0.35">
      <c r="A9949">
        <v>3950</v>
      </c>
      <c r="B9949" s="1">
        <v>45813</v>
      </c>
      <c r="C9949" t="s">
        <v>12</v>
      </c>
      <c r="D9949" s="2">
        <v>0</v>
      </c>
      <c r="E9949" s="2">
        <v>4582.12</v>
      </c>
      <c r="F9949" t="s">
        <v>14</v>
      </c>
      <c r="G9949" t="s">
        <v>15</v>
      </c>
    </row>
    <row r="9950" spans="1:7" x14ac:dyDescent="0.35">
      <c r="A9950">
        <v>3950</v>
      </c>
      <c r="B9950" s="1">
        <v>45813</v>
      </c>
      <c r="C9950" t="s">
        <v>12</v>
      </c>
      <c r="D9950" s="2">
        <v>0</v>
      </c>
      <c r="E9950" s="2">
        <v>343.66</v>
      </c>
      <c r="F9950" t="s">
        <v>16</v>
      </c>
      <c r="G9950" t="s">
        <v>17</v>
      </c>
    </row>
    <row r="9951" spans="1:7" x14ac:dyDescent="0.35">
      <c r="A9951">
        <v>3951</v>
      </c>
      <c r="B9951" s="1">
        <v>45813</v>
      </c>
      <c r="C9951" t="s">
        <v>12</v>
      </c>
      <c r="D9951" s="2">
        <v>3539.37</v>
      </c>
      <c r="E9951" s="2">
        <v>0</v>
      </c>
      <c r="F9951" t="s">
        <v>13</v>
      </c>
      <c r="G9951" t="s">
        <v>9</v>
      </c>
    </row>
    <row r="9952" spans="1:7" x14ac:dyDescent="0.35">
      <c r="A9952">
        <v>3951</v>
      </c>
      <c r="B9952" s="1">
        <v>45813</v>
      </c>
      <c r="C9952" t="s">
        <v>12</v>
      </c>
      <c r="D9952" s="2">
        <v>0</v>
      </c>
      <c r="E9952" s="2">
        <v>3292.43</v>
      </c>
      <c r="F9952" t="s">
        <v>14</v>
      </c>
      <c r="G9952" t="s">
        <v>15</v>
      </c>
    </row>
    <row r="9953" spans="1:7" x14ac:dyDescent="0.35">
      <c r="A9953">
        <v>3951</v>
      </c>
      <c r="B9953" s="1">
        <v>45813</v>
      </c>
      <c r="C9953" t="s">
        <v>12</v>
      </c>
      <c r="D9953" s="2">
        <v>0</v>
      </c>
      <c r="E9953" s="2">
        <v>246.94</v>
      </c>
      <c r="F9953" t="s">
        <v>16</v>
      </c>
      <c r="G9953" t="s">
        <v>17</v>
      </c>
    </row>
    <row r="9954" spans="1:7" x14ac:dyDescent="0.35">
      <c r="A9954">
        <v>3952</v>
      </c>
      <c r="B9954" s="1">
        <v>45813</v>
      </c>
      <c r="C9954" t="s">
        <v>12</v>
      </c>
      <c r="D9954" s="2">
        <v>1116.69</v>
      </c>
      <c r="E9954" s="2">
        <v>0</v>
      </c>
      <c r="F9954" t="s">
        <v>13</v>
      </c>
      <c r="G9954" t="s">
        <v>9</v>
      </c>
    </row>
    <row r="9955" spans="1:7" x14ac:dyDescent="0.35">
      <c r="A9955">
        <v>3952</v>
      </c>
      <c r="B9955" s="1">
        <v>45813</v>
      </c>
      <c r="C9955" t="s">
        <v>12</v>
      </c>
      <c r="D9955" s="2">
        <v>0</v>
      </c>
      <c r="E9955" s="2">
        <v>1038.78</v>
      </c>
      <c r="F9955" t="s">
        <v>14</v>
      </c>
      <c r="G9955" t="s">
        <v>15</v>
      </c>
    </row>
    <row r="9956" spans="1:7" x14ac:dyDescent="0.35">
      <c r="A9956">
        <v>3952</v>
      </c>
      <c r="B9956" s="1">
        <v>45813</v>
      </c>
      <c r="C9956" t="s">
        <v>12</v>
      </c>
      <c r="D9956" s="2">
        <v>0</v>
      </c>
      <c r="E9956" s="2">
        <v>77.91</v>
      </c>
      <c r="F9956" t="s">
        <v>16</v>
      </c>
      <c r="G9956" t="s">
        <v>17</v>
      </c>
    </row>
    <row r="9957" spans="1:7" x14ac:dyDescent="0.35">
      <c r="A9957">
        <v>3953</v>
      </c>
      <c r="B9957" s="1">
        <v>45813</v>
      </c>
      <c r="C9957" t="s">
        <v>24</v>
      </c>
      <c r="D9957" s="2">
        <v>318.14</v>
      </c>
      <c r="E9957" s="2">
        <v>0</v>
      </c>
      <c r="F9957" t="s">
        <v>8</v>
      </c>
      <c r="G9957" t="s">
        <v>9</v>
      </c>
    </row>
    <row r="9958" spans="1:7" x14ac:dyDescent="0.35">
      <c r="A9958">
        <v>3953</v>
      </c>
      <c r="B9958" s="1">
        <v>45813</v>
      </c>
      <c r="C9958" t="s">
        <v>24</v>
      </c>
      <c r="D9958" s="2">
        <v>0</v>
      </c>
      <c r="E9958" s="2">
        <v>318.14</v>
      </c>
      <c r="F9958" t="s">
        <v>13</v>
      </c>
      <c r="G9958" t="s">
        <v>9</v>
      </c>
    </row>
    <row r="9959" spans="1:7" x14ac:dyDescent="0.35">
      <c r="A9959">
        <v>3954</v>
      </c>
      <c r="B9959" s="1">
        <v>45813</v>
      </c>
      <c r="C9959" t="s">
        <v>24</v>
      </c>
      <c r="D9959" s="2">
        <v>860.18</v>
      </c>
      <c r="E9959" s="2">
        <v>0</v>
      </c>
      <c r="F9959" t="s">
        <v>8</v>
      </c>
      <c r="G9959" t="s">
        <v>9</v>
      </c>
    </row>
    <row r="9960" spans="1:7" x14ac:dyDescent="0.35">
      <c r="A9960">
        <v>3954</v>
      </c>
      <c r="B9960" s="1">
        <v>45813</v>
      </c>
      <c r="C9960" t="s">
        <v>24</v>
      </c>
      <c r="D9960" s="2">
        <v>0</v>
      </c>
      <c r="E9960" s="2">
        <v>860.18</v>
      </c>
      <c r="F9960" t="s">
        <v>13</v>
      </c>
      <c r="G9960" t="s">
        <v>9</v>
      </c>
    </row>
    <row r="9961" spans="1:7" x14ac:dyDescent="0.35">
      <c r="A9961">
        <v>3955</v>
      </c>
      <c r="B9961" s="1">
        <v>45813</v>
      </c>
      <c r="C9961" t="s">
        <v>24</v>
      </c>
      <c r="D9961" s="2">
        <v>2368.77</v>
      </c>
      <c r="E9961" s="2">
        <v>0</v>
      </c>
      <c r="F9961" t="s">
        <v>8</v>
      </c>
      <c r="G9961" t="s">
        <v>9</v>
      </c>
    </row>
    <row r="9962" spans="1:7" x14ac:dyDescent="0.35">
      <c r="A9962">
        <v>3955</v>
      </c>
      <c r="B9962" s="1">
        <v>45813</v>
      </c>
      <c r="C9962" t="s">
        <v>24</v>
      </c>
      <c r="D9962" s="2">
        <v>0</v>
      </c>
      <c r="E9962" s="2">
        <v>2368.77</v>
      </c>
      <c r="F9962" t="s">
        <v>13</v>
      </c>
      <c r="G9962" t="s">
        <v>9</v>
      </c>
    </row>
    <row r="9963" spans="1:7" x14ac:dyDescent="0.35">
      <c r="A9963">
        <v>3956</v>
      </c>
      <c r="B9963" s="1">
        <v>45813</v>
      </c>
      <c r="C9963" t="s">
        <v>24</v>
      </c>
      <c r="D9963" s="2">
        <v>4311.18</v>
      </c>
      <c r="E9963" s="2">
        <v>0</v>
      </c>
      <c r="F9963" t="s">
        <v>8</v>
      </c>
      <c r="G9963" t="s">
        <v>9</v>
      </c>
    </row>
    <row r="9964" spans="1:7" x14ac:dyDescent="0.35">
      <c r="A9964">
        <v>3956</v>
      </c>
      <c r="B9964" s="1">
        <v>45813</v>
      </c>
      <c r="C9964" t="s">
        <v>24</v>
      </c>
      <c r="D9964" s="2">
        <v>0</v>
      </c>
      <c r="E9964" s="2">
        <v>4311.18</v>
      </c>
      <c r="F9964" t="s">
        <v>13</v>
      </c>
      <c r="G9964" t="s">
        <v>9</v>
      </c>
    </row>
    <row r="9965" spans="1:7" x14ac:dyDescent="0.35">
      <c r="A9965">
        <v>3957</v>
      </c>
      <c r="B9965" s="1">
        <v>45813</v>
      </c>
      <c r="C9965" t="s">
        <v>24</v>
      </c>
      <c r="D9965" s="2">
        <v>377.51</v>
      </c>
      <c r="E9965" s="2">
        <v>0</v>
      </c>
      <c r="F9965" t="s">
        <v>8</v>
      </c>
      <c r="G9965" t="s">
        <v>9</v>
      </c>
    </row>
    <row r="9966" spans="1:7" x14ac:dyDescent="0.35">
      <c r="A9966">
        <v>3957</v>
      </c>
      <c r="B9966" s="1">
        <v>45813</v>
      </c>
      <c r="C9966" t="s">
        <v>24</v>
      </c>
      <c r="D9966" s="2">
        <v>0</v>
      </c>
      <c r="E9966" s="2">
        <v>377.51</v>
      </c>
      <c r="F9966" t="s">
        <v>13</v>
      </c>
      <c r="G9966" t="s">
        <v>9</v>
      </c>
    </row>
    <row r="9967" spans="1:7" x14ac:dyDescent="0.35">
      <c r="A9967">
        <v>3958</v>
      </c>
      <c r="B9967" s="1">
        <v>45813</v>
      </c>
      <c r="C9967" t="s">
        <v>25</v>
      </c>
      <c r="D9967" s="2">
        <v>383.76</v>
      </c>
      <c r="E9967" s="2">
        <v>0</v>
      </c>
      <c r="F9967" t="s">
        <v>26</v>
      </c>
      <c r="G9967" t="s">
        <v>20</v>
      </c>
    </row>
    <row r="9968" spans="1:7" x14ac:dyDescent="0.35">
      <c r="A9968">
        <v>3958</v>
      </c>
      <c r="B9968" s="1">
        <v>45813</v>
      </c>
      <c r="C9968" t="s">
        <v>25</v>
      </c>
      <c r="D9968" s="2">
        <v>28.78</v>
      </c>
      <c r="E9968" s="2">
        <v>0</v>
      </c>
      <c r="F9968" t="s">
        <v>27</v>
      </c>
      <c r="G9968" t="s">
        <v>9</v>
      </c>
    </row>
    <row r="9969" spans="1:7" x14ac:dyDescent="0.35">
      <c r="A9969">
        <v>3958</v>
      </c>
      <c r="B9969" s="1">
        <v>45813</v>
      </c>
      <c r="C9969" t="s">
        <v>25</v>
      </c>
      <c r="D9969" s="2">
        <v>0</v>
      </c>
      <c r="E9969" s="2">
        <v>412.54</v>
      </c>
      <c r="F9969" t="s">
        <v>28</v>
      </c>
      <c r="G9969" t="s">
        <v>17</v>
      </c>
    </row>
    <row r="9970" spans="1:7" x14ac:dyDescent="0.35">
      <c r="A9970">
        <v>3959</v>
      </c>
      <c r="B9970" s="1">
        <v>45813</v>
      </c>
      <c r="C9970" t="s">
        <v>29</v>
      </c>
      <c r="D9970" s="2">
        <v>1958.74</v>
      </c>
      <c r="E9970" s="2">
        <v>0</v>
      </c>
      <c r="F9970" t="s">
        <v>28</v>
      </c>
      <c r="G9970" t="s">
        <v>17</v>
      </c>
    </row>
    <row r="9971" spans="1:7" x14ac:dyDescent="0.35">
      <c r="A9971">
        <v>3959</v>
      </c>
      <c r="B9971" s="1">
        <v>45813</v>
      </c>
      <c r="C9971" t="s">
        <v>29</v>
      </c>
      <c r="D9971" s="2">
        <v>0</v>
      </c>
      <c r="E9971" s="2">
        <v>1958.74</v>
      </c>
      <c r="F9971" t="s">
        <v>8</v>
      </c>
      <c r="G9971" t="s">
        <v>9</v>
      </c>
    </row>
    <row r="9972" spans="1:7" x14ac:dyDescent="0.35">
      <c r="A9972">
        <v>3960</v>
      </c>
      <c r="B9972" s="1">
        <v>45814</v>
      </c>
      <c r="C9972" t="s">
        <v>12</v>
      </c>
      <c r="D9972" s="2">
        <v>2902.01</v>
      </c>
      <c r="E9972" s="2">
        <v>0</v>
      </c>
      <c r="F9972" t="s">
        <v>13</v>
      </c>
      <c r="G9972" t="s">
        <v>9</v>
      </c>
    </row>
    <row r="9973" spans="1:7" x14ac:dyDescent="0.35">
      <c r="A9973">
        <v>3960</v>
      </c>
      <c r="B9973" s="1">
        <v>45814</v>
      </c>
      <c r="C9973" t="s">
        <v>12</v>
      </c>
      <c r="D9973" s="2">
        <v>0</v>
      </c>
      <c r="E9973" s="2">
        <v>2699.54</v>
      </c>
      <c r="F9973" t="s">
        <v>14</v>
      </c>
      <c r="G9973" t="s">
        <v>15</v>
      </c>
    </row>
    <row r="9974" spans="1:7" x14ac:dyDescent="0.35">
      <c r="A9974">
        <v>3960</v>
      </c>
      <c r="B9974" s="1">
        <v>45814</v>
      </c>
      <c r="C9974" t="s">
        <v>12</v>
      </c>
      <c r="D9974" s="2">
        <v>0</v>
      </c>
      <c r="E9974" s="2">
        <v>202.47</v>
      </c>
      <c r="F9974" t="s">
        <v>16</v>
      </c>
      <c r="G9974" t="s">
        <v>17</v>
      </c>
    </row>
    <row r="9975" spans="1:7" x14ac:dyDescent="0.35">
      <c r="A9975">
        <v>3961</v>
      </c>
      <c r="B9975" s="1">
        <v>45814</v>
      </c>
      <c r="C9975" t="s">
        <v>12</v>
      </c>
      <c r="D9975" s="2">
        <v>8.82</v>
      </c>
      <c r="E9975" s="2">
        <v>0</v>
      </c>
      <c r="F9975" t="s">
        <v>13</v>
      </c>
      <c r="G9975" t="s">
        <v>9</v>
      </c>
    </row>
    <row r="9976" spans="1:7" x14ac:dyDescent="0.35">
      <c r="A9976">
        <v>3961</v>
      </c>
      <c r="B9976" s="1">
        <v>45814</v>
      </c>
      <c r="C9976" t="s">
        <v>12</v>
      </c>
      <c r="D9976" s="2">
        <v>0</v>
      </c>
      <c r="E9976" s="2">
        <v>8.1999999999999993</v>
      </c>
      <c r="F9976" t="s">
        <v>14</v>
      </c>
      <c r="G9976" t="s">
        <v>15</v>
      </c>
    </row>
    <row r="9977" spans="1:7" x14ac:dyDescent="0.35">
      <c r="A9977">
        <v>3961</v>
      </c>
      <c r="B9977" s="1">
        <v>45814</v>
      </c>
      <c r="C9977" t="s">
        <v>12</v>
      </c>
      <c r="D9977" s="2">
        <v>0</v>
      </c>
      <c r="E9977" s="2">
        <v>0.62</v>
      </c>
      <c r="F9977" t="s">
        <v>16</v>
      </c>
      <c r="G9977" t="s">
        <v>17</v>
      </c>
    </row>
    <row r="9978" spans="1:7" x14ac:dyDescent="0.35">
      <c r="A9978">
        <v>3962</v>
      </c>
      <c r="B9978" s="1">
        <v>45814</v>
      </c>
      <c r="C9978" t="s">
        <v>12</v>
      </c>
      <c r="D9978" s="2">
        <v>2741.29</v>
      </c>
      <c r="E9978" s="2">
        <v>0</v>
      </c>
      <c r="F9978" t="s">
        <v>13</v>
      </c>
      <c r="G9978" t="s">
        <v>9</v>
      </c>
    </row>
    <row r="9979" spans="1:7" x14ac:dyDescent="0.35">
      <c r="A9979">
        <v>3962</v>
      </c>
      <c r="B9979" s="1">
        <v>45814</v>
      </c>
      <c r="C9979" t="s">
        <v>12</v>
      </c>
      <c r="D9979" s="2">
        <v>0</v>
      </c>
      <c r="E9979" s="2">
        <v>2550.0300000000002</v>
      </c>
      <c r="F9979" t="s">
        <v>14</v>
      </c>
      <c r="G9979" t="s">
        <v>15</v>
      </c>
    </row>
    <row r="9980" spans="1:7" x14ac:dyDescent="0.35">
      <c r="A9980">
        <v>3962</v>
      </c>
      <c r="B9980" s="1">
        <v>45814</v>
      </c>
      <c r="C9980" t="s">
        <v>12</v>
      </c>
      <c r="D9980" s="2">
        <v>0</v>
      </c>
      <c r="E9980" s="2">
        <v>191.26</v>
      </c>
      <c r="F9980" t="s">
        <v>16</v>
      </c>
      <c r="G9980" t="s">
        <v>17</v>
      </c>
    </row>
    <row r="9981" spans="1:7" x14ac:dyDescent="0.35">
      <c r="A9981">
        <v>3963</v>
      </c>
      <c r="B9981" s="1">
        <v>45814</v>
      </c>
      <c r="C9981" t="s">
        <v>12</v>
      </c>
      <c r="D9981" s="2">
        <v>1709.47</v>
      </c>
      <c r="E9981" s="2">
        <v>0</v>
      </c>
      <c r="F9981" t="s">
        <v>13</v>
      </c>
      <c r="G9981" t="s">
        <v>9</v>
      </c>
    </row>
    <row r="9982" spans="1:7" x14ac:dyDescent="0.35">
      <c r="A9982">
        <v>3963</v>
      </c>
      <c r="B9982" s="1">
        <v>45814</v>
      </c>
      <c r="C9982" t="s">
        <v>12</v>
      </c>
      <c r="D9982" s="2">
        <v>0</v>
      </c>
      <c r="E9982" s="2">
        <v>1590.2</v>
      </c>
      <c r="F9982" t="s">
        <v>14</v>
      </c>
      <c r="G9982" t="s">
        <v>15</v>
      </c>
    </row>
    <row r="9983" spans="1:7" x14ac:dyDescent="0.35">
      <c r="A9983">
        <v>3963</v>
      </c>
      <c r="B9983" s="1">
        <v>45814</v>
      </c>
      <c r="C9983" t="s">
        <v>12</v>
      </c>
      <c r="D9983" s="2">
        <v>0</v>
      </c>
      <c r="E9983" s="2">
        <v>119.27</v>
      </c>
      <c r="F9983" t="s">
        <v>16</v>
      </c>
      <c r="G9983" t="s">
        <v>17</v>
      </c>
    </row>
    <row r="9984" spans="1:7" x14ac:dyDescent="0.35">
      <c r="A9984">
        <v>3964</v>
      </c>
      <c r="B9984" s="1">
        <v>45814</v>
      </c>
      <c r="C9984" t="s">
        <v>12</v>
      </c>
      <c r="D9984" s="2">
        <v>2308.79</v>
      </c>
      <c r="E9984" s="2">
        <v>0</v>
      </c>
      <c r="F9984" t="s">
        <v>13</v>
      </c>
      <c r="G9984" t="s">
        <v>9</v>
      </c>
    </row>
    <row r="9985" spans="1:7" x14ac:dyDescent="0.35">
      <c r="A9985">
        <v>3964</v>
      </c>
      <c r="B9985" s="1">
        <v>45814</v>
      </c>
      <c r="C9985" t="s">
        <v>12</v>
      </c>
      <c r="D9985" s="2">
        <v>0</v>
      </c>
      <c r="E9985" s="2">
        <v>2147.71</v>
      </c>
      <c r="F9985" t="s">
        <v>14</v>
      </c>
      <c r="G9985" t="s">
        <v>15</v>
      </c>
    </row>
    <row r="9986" spans="1:7" x14ac:dyDescent="0.35">
      <c r="A9986">
        <v>3964</v>
      </c>
      <c r="B9986" s="1">
        <v>45814</v>
      </c>
      <c r="C9986" t="s">
        <v>12</v>
      </c>
      <c r="D9986" s="2">
        <v>0</v>
      </c>
      <c r="E9986" s="2">
        <v>161.08000000000001</v>
      </c>
      <c r="F9986" t="s">
        <v>16</v>
      </c>
      <c r="G9986" t="s">
        <v>17</v>
      </c>
    </row>
    <row r="9987" spans="1:7" x14ac:dyDescent="0.35">
      <c r="A9987">
        <v>3965</v>
      </c>
      <c r="B9987" s="1">
        <v>45814</v>
      </c>
      <c r="C9987" t="s">
        <v>12</v>
      </c>
      <c r="D9987" s="2">
        <v>294.08</v>
      </c>
      <c r="E9987" s="2">
        <v>0</v>
      </c>
      <c r="F9987" t="s">
        <v>13</v>
      </c>
      <c r="G9987" t="s">
        <v>9</v>
      </c>
    </row>
    <row r="9988" spans="1:7" x14ac:dyDescent="0.35">
      <c r="A9988">
        <v>3965</v>
      </c>
      <c r="B9988" s="1">
        <v>45814</v>
      </c>
      <c r="C9988" t="s">
        <v>12</v>
      </c>
      <c r="D9988" s="2">
        <v>0</v>
      </c>
      <c r="E9988" s="2">
        <v>273.56</v>
      </c>
      <c r="F9988" t="s">
        <v>14</v>
      </c>
      <c r="G9988" t="s">
        <v>15</v>
      </c>
    </row>
    <row r="9989" spans="1:7" x14ac:dyDescent="0.35">
      <c r="A9989">
        <v>3965</v>
      </c>
      <c r="B9989" s="1">
        <v>45814</v>
      </c>
      <c r="C9989" t="s">
        <v>12</v>
      </c>
      <c r="D9989" s="2">
        <v>0</v>
      </c>
      <c r="E9989" s="2">
        <v>20.52</v>
      </c>
      <c r="F9989" t="s">
        <v>16</v>
      </c>
      <c r="G9989" t="s">
        <v>17</v>
      </c>
    </row>
    <row r="9990" spans="1:7" x14ac:dyDescent="0.35">
      <c r="A9990">
        <v>3966</v>
      </c>
      <c r="B9990" s="1">
        <v>45814</v>
      </c>
      <c r="C9990" t="s">
        <v>12</v>
      </c>
      <c r="D9990" s="2">
        <v>2694.56</v>
      </c>
      <c r="E9990" s="2">
        <v>0</v>
      </c>
      <c r="F9990" t="s">
        <v>13</v>
      </c>
      <c r="G9990" t="s">
        <v>9</v>
      </c>
    </row>
    <row r="9991" spans="1:7" x14ac:dyDescent="0.35">
      <c r="A9991">
        <v>3966</v>
      </c>
      <c r="B9991" s="1">
        <v>45814</v>
      </c>
      <c r="C9991" t="s">
        <v>12</v>
      </c>
      <c r="D9991" s="2">
        <v>0</v>
      </c>
      <c r="E9991" s="2">
        <v>2506.5700000000002</v>
      </c>
      <c r="F9991" t="s">
        <v>14</v>
      </c>
      <c r="G9991" t="s">
        <v>15</v>
      </c>
    </row>
    <row r="9992" spans="1:7" x14ac:dyDescent="0.35">
      <c r="A9992">
        <v>3966</v>
      </c>
      <c r="B9992" s="1">
        <v>45814</v>
      </c>
      <c r="C9992" t="s">
        <v>12</v>
      </c>
      <c r="D9992" s="2">
        <v>0</v>
      </c>
      <c r="E9992" s="2">
        <v>187.99</v>
      </c>
      <c r="F9992" t="s">
        <v>16</v>
      </c>
      <c r="G9992" t="s">
        <v>17</v>
      </c>
    </row>
    <row r="9993" spans="1:7" x14ac:dyDescent="0.35">
      <c r="A9993">
        <v>3967</v>
      </c>
      <c r="B9993" s="1">
        <v>45814</v>
      </c>
      <c r="C9993" t="s">
        <v>12</v>
      </c>
      <c r="D9993" s="2">
        <v>5873.11</v>
      </c>
      <c r="E9993" s="2">
        <v>0</v>
      </c>
      <c r="F9993" t="s">
        <v>13</v>
      </c>
      <c r="G9993" t="s">
        <v>9</v>
      </c>
    </row>
    <row r="9994" spans="1:7" x14ac:dyDescent="0.35">
      <c r="A9994">
        <v>3967</v>
      </c>
      <c r="B9994" s="1">
        <v>45814</v>
      </c>
      <c r="C9994" t="s">
        <v>12</v>
      </c>
      <c r="D9994" s="2">
        <v>0</v>
      </c>
      <c r="E9994" s="2">
        <v>5463.36</v>
      </c>
      <c r="F9994" t="s">
        <v>14</v>
      </c>
      <c r="G9994" t="s">
        <v>15</v>
      </c>
    </row>
    <row r="9995" spans="1:7" x14ac:dyDescent="0.35">
      <c r="A9995">
        <v>3967</v>
      </c>
      <c r="B9995" s="1">
        <v>45814</v>
      </c>
      <c r="C9995" t="s">
        <v>12</v>
      </c>
      <c r="D9995" s="2">
        <v>0</v>
      </c>
      <c r="E9995" s="2">
        <v>409.75</v>
      </c>
      <c r="F9995" t="s">
        <v>16</v>
      </c>
      <c r="G9995" t="s">
        <v>17</v>
      </c>
    </row>
    <row r="9996" spans="1:7" x14ac:dyDescent="0.35">
      <c r="A9996">
        <v>3968</v>
      </c>
      <c r="B9996" s="1">
        <v>45814</v>
      </c>
      <c r="C9996" t="s">
        <v>12</v>
      </c>
      <c r="D9996" s="2">
        <v>2351.5300000000002</v>
      </c>
      <c r="E9996" s="2">
        <v>0</v>
      </c>
      <c r="F9996" t="s">
        <v>13</v>
      </c>
      <c r="G9996" t="s">
        <v>9</v>
      </c>
    </row>
    <row r="9997" spans="1:7" x14ac:dyDescent="0.35">
      <c r="A9997">
        <v>3968</v>
      </c>
      <c r="B9997" s="1">
        <v>45814</v>
      </c>
      <c r="C9997" t="s">
        <v>12</v>
      </c>
      <c r="D9997" s="2">
        <v>0</v>
      </c>
      <c r="E9997" s="2">
        <v>2187.4699999999998</v>
      </c>
      <c r="F9997" t="s">
        <v>14</v>
      </c>
      <c r="G9997" t="s">
        <v>15</v>
      </c>
    </row>
    <row r="9998" spans="1:7" x14ac:dyDescent="0.35">
      <c r="A9998">
        <v>3968</v>
      </c>
      <c r="B9998" s="1">
        <v>45814</v>
      </c>
      <c r="C9998" t="s">
        <v>12</v>
      </c>
      <c r="D9998" s="2">
        <v>0</v>
      </c>
      <c r="E9998" s="2">
        <v>164.06</v>
      </c>
      <c r="F9998" t="s">
        <v>16</v>
      </c>
      <c r="G9998" t="s">
        <v>17</v>
      </c>
    </row>
    <row r="9999" spans="1:7" x14ac:dyDescent="0.35">
      <c r="A9999">
        <v>3969</v>
      </c>
      <c r="B9999" s="1">
        <v>45814</v>
      </c>
      <c r="C9999" t="s">
        <v>12</v>
      </c>
      <c r="D9999" s="2">
        <v>1468.41</v>
      </c>
      <c r="E9999" s="2">
        <v>0</v>
      </c>
      <c r="F9999" t="s">
        <v>13</v>
      </c>
      <c r="G9999" t="s">
        <v>9</v>
      </c>
    </row>
    <row r="10000" spans="1:7" x14ac:dyDescent="0.35">
      <c r="A10000">
        <v>3969</v>
      </c>
      <c r="B10000" s="1">
        <v>45814</v>
      </c>
      <c r="C10000" t="s">
        <v>12</v>
      </c>
      <c r="D10000" s="2">
        <v>0</v>
      </c>
      <c r="E10000" s="2">
        <v>1365.97</v>
      </c>
      <c r="F10000" t="s">
        <v>14</v>
      </c>
      <c r="G10000" t="s">
        <v>15</v>
      </c>
    </row>
    <row r="10001" spans="1:7" x14ac:dyDescent="0.35">
      <c r="A10001">
        <v>3969</v>
      </c>
      <c r="B10001" s="1">
        <v>45814</v>
      </c>
      <c r="C10001" t="s">
        <v>12</v>
      </c>
      <c r="D10001" s="2">
        <v>0</v>
      </c>
      <c r="E10001" s="2">
        <v>102.44</v>
      </c>
      <c r="F10001" t="s">
        <v>16</v>
      </c>
      <c r="G10001" t="s">
        <v>17</v>
      </c>
    </row>
    <row r="10002" spans="1:7" x14ac:dyDescent="0.35">
      <c r="A10002">
        <v>3970</v>
      </c>
      <c r="B10002" s="1">
        <v>45814</v>
      </c>
      <c r="C10002" t="s">
        <v>12</v>
      </c>
      <c r="D10002" s="2">
        <v>2228.4299999999998</v>
      </c>
      <c r="E10002" s="2">
        <v>0</v>
      </c>
      <c r="F10002" t="s">
        <v>13</v>
      </c>
      <c r="G10002" t="s">
        <v>9</v>
      </c>
    </row>
    <row r="10003" spans="1:7" x14ac:dyDescent="0.35">
      <c r="A10003">
        <v>3970</v>
      </c>
      <c r="B10003" s="1">
        <v>45814</v>
      </c>
      <c r="C10003" t="s">
        <v>12</v>
      </c>
      <c r="D10003" s="2">
        <v>0</v>
      </c>
      <c r="E10003" s="2">
        <v>2072.96</v>
      </c>
      <c r="F10003" t="s">
        <v>14</v>
      </c>
      <c r="G10003" t="s">
        <v>15</v>
      </c>
    </row>
    <row r="10004" spans="1:7" x14ac:dyDescent="0.35">
      <c r="A10004">
        <v>3970</v>
      </c>
      <c r="B10004" s="1">
        <v>45814</v>
      </c>
      <c r="C10004" t="s">
        <v>12</v>
      </c>
      <c r="D10004" s="2">
        <v>0</v>
      </c>
      <c r="E10004" s="2">
        <v>155.47</v>
      </c>
      <c r="F10004" t="s">
        <v>16</v>
      </c>
      <c r="G10004" t="s">
        <v>17</v>
      </c>
    </row>
    <row r="10005" spans="1:7" x14ac:dyDescent="0.35">
      <c r="A10005">
        <v>3971</v>
      </c>
      <c r="B10005" s="1">
        <v>45814</v>
      </c>
      <c r="C10005" t="s">
        <v>24</v>
      </c>
      <c r="D10005" s="2">
        <v>76.849999999999994</v>
      </c>
      <c r="E10005" s="2">
        <v>0</v>
      </c>
      <c r="F10005" t="s">
        <v>8</v>
      </c>
      <c r="G10005" t="s">
        <v>9</v>
      </c>
    </row>
    <row r="10006" spans="1:7" x14ac:dyDescent="0.35">
      <c r="A10006">
        <v>3971</v>
      </c>
      <c r="B10006" s="1">
        <v>45814</v>
      </c>
      <c r="C10006" t="s">
        <v>24</v>
      </c>
      <c r="D10006" s="2">
        <v>0</v>
      </c>
      <c r="E10006" s="2">
        <v>76.849999999999994</v>
      </c>
      <c r="F10006" t="s">
        <v>13</v>
      </c>
      <c r="G10006" t="s">
        <v>9</v>
      </c>
    </row>
    <row r="10007" spans="1:7" x14ac:dyDescent="0.35">
      <c r="A10007">
        <v>3972</v>
      </c>
      <c r="B10007" s="1">
        <v>45814</v>
      </c>
      <c r="C10007" t="s">
        <v>24</v>
      </c>
      <c r="D10007" s="2">
        <v>1327.03</v>
      </c>
      <c r="E10007" s="2">
        <v>0</v>
      </c>
      <c r="F10007" t="s">
        <v>8</v>
      </c>
      <c r="G10007" t="s">
        <v>9</v>
      </c>
    </row>
    <row r="10008" spans="1:7" x14ac:dyDescent="0.35">
      <c r="A10008">
        <v>3972</v>
      </c>
      <c r="B10008" s="1">
        <v>45814</v>
      </c>
      <c r="C10008" t="s">
        <v>24</v>
      </c>
      <c r="D10008" s="2">
        <v>0</v>
      </c>
      <c r="E10008" s="2">
        <v>1327.03</v>
      </c>
      <c r="F10008" t="s">
        <v>13</v>
      </c>
      <c r="G10008" t="s">
        <v>9</v>
      </c>
    </row>
    <row r="10009" spans="1:7" x14ac:dyDescent="0.35">
      <c r="A10009">
        <v>3973</v>
      </c>
      <c r="B10009" s="1">
        <v>45814</v>
      </c>
      <c r="C10009" t="s">
        <v>24</v>
      </c>
      <c r="D10009" s="2">
        <v>1903.29</v>
      </c>
      <c r="E10009" s="2">
        <v>0</v>
      </c>
      <c r="F10009" t="s">
        <v>8</v>
      </c>
      <c r="G10009" t="s">
        <v>9</v>
      </c>
    </row>
    <row r="10010" spans="1:7" x14ac:dyDescent="0.35">
      <c r="A10010">
        <v>3973</v>
      </c>
      <c r="B10010" s="1">
        <v>45814</v>
      </c>
      <c r="C10010" t="s">
        <v>24</v>
      </c>
      <c r="D10010" s="2">
        <v>0</v>
      </c>
      <c r="E10010" s="2">
        <v>1903.29</v>
      </c>
      <c r="F10010" t="s">
        <v>13</v>
      </c>
      <c r="G10010" t="s">
        <v>9</v>
      </c>
    </row>
    <row r="10011" spans="1:7" x14ac:dyDescent="0.35">
      <c r="A10011">
        <v>3974</v>
      </c>
      <c r="B10011" s="1">
        <v>45814</v>
      </c>
      <c r="C10011" t="s">
        <v>24</v>
      </c>
      <c r="D10011" s="2">
        <v>3852.04</v>
      </c>
      <c r="E10011" s="2">
        <v>0</v>
      </c>
      <c r="F10011" t="s">
        <v>8</v>
      </c>
      <c r="G10011" t="s">
        <v>9</v>
      </c>
    </row>
    <row r="10012" spans="1:7" x14ac:dyDescent="0.35">
      <c r="A10012">
        <v>3974</v>
      </c>
      <c r="B10012" s="1">
        <v>45814</v>
      </c>
      <c r="C10012" t="s">
        <v>24</v>
      </c>
      <c r="D10012" s="2">
        <v>0</v>
      </c>
      <c r="E10012" s="2">
        <v>3852.04</v>
      </c>
      <c r="F10012" t="s">
        <v>13</v>
      </c>
      <c r="G10012" t="s">
        <v>9</v>
      </c>
    </row>
    <row r="10013" spans="1:7" x14ac:dyDescent="0.35">
      <c r="A10013">
        <v>3975</v>
      </c>
      <c r="B10013" s="1">
        <v>45814</v>
      </c>
      <c r="C10013" t="s">
        <v>24</v>
      </c>
      <c r="D10013" s="2">
        <v>196.28</v>
      </c>
      <c r="E10013" s="2">
        <v>0</v>
      </c>
      <c r="F10013" t="s">
        <v>8</v>
      </c>
      <c r="G10013" t="s">
        <v>9</v>
      </c>
    </row>
    <row r="10014" spans="1:7" x14ac:dyDescent="0.35">
      <c r="A10014">
        <v>3975</v>
      </c>
      <c r="B10014" s="1">
        <v>45814</v>
      </c>
      <c r="C10014" t="s">
        <v>24</v>
      </c>
      <c r="D10014" s="2">
        <v>0</v>
      </c>
      <c r="E10014" s="2">
        <v>196.28</v>
      </c>
      <c r="F10014" t="s">
        <v>13</v>
      </c>
      <c r="G10014" t="s">
        <v>9</v>
      </c>
    </row>
    <row r="10015" spans="1:7" x14ac:dyDescent="0.35">
      <c r="A10015">
        <v>3976</v>
      </c>
      <c r="B10015" s="1">
        <v>45814</v>
      </c>
      <c r="C10015" t="s">
        <v>25</v>
      </c>
      <c r="D10015" s="2">
        <v>6723.2</v>
      </c>
      <c r="E10015" s="2">
        <v>0</v>
      </c>
      <c r="F10015" t="s">
        <v>26</v>
      </c>
      <c r="G10015" t="s">
        <v>20</v>
      </c>
    </row>
    <row r="10016" spans="1:7" x14ac:dyDescent="0.35">
      <c r="A10016">
        <v>3976</v>
      </c>
      <c r="B10016" s="1">
        <v>45814</v>
      </c>
      <c r="C10016" t="s">
        <v>25</v>
      </c>
      <c r="D10016" s="2">
        <v>504.24</v>
      </c>
      <c r="E10016" s="2">
        <v>0</v>
      </c>
      <c r="F10016" t="s">
        <v>27</v>
      </c>
      <c r="G10016" t="s">
        <v>9</v>
      </c>
    </row>
    <row r="10017" spans="1:7" x14ac:dyDescent="0.35">
      <c r="A10017">
        <v>3976</v>
      </c>
      <c r="B10017" s="1">
        <v>45814</v>
      </c>
      <c r="C10017" t="s">
        <v>25</v>
      </c>
      <c r="D10017" s="2">
        <v>0</v>
      </c>
      <c r="E10017" s="2">
        <v>7227.44</v>
      </c>
      <c r="F10017" t="s">
        <v>28</v>
      </c>
      <c r="G10017" t="s">
        <v>17</v>
      </c>
    </row>
    <row r="10018" spans="1:7" x14ac:dyDescent="0.35">
      <c r="A10018">
        <v>3977</v>
      </c>
      <c r="B10018" s="1">
        <v>45814</v>
      </c>
      <c r="C10018" t="s">
        <v>25</v>
      </c>
      <c r="D10018" s="2">
        <v>2329.52</v>
      </c>
      <c r="E10018" s="2">
        <v>0</v>
      </c>
      <c r="F10018" t="s">
        <v>26</v>
      </c>
      <c r="G10018" t="s">
        <v>20</v>
      </c>
    </row>
    <row r="10019" spans="1:7" x14ac:dyDescent="0.35">
      <c r="A10019">
        <v>3977</v>
      </c>
      <c r="B10019" s="1">
        <v>45814</v>
      </c>
      <c r="C10019" t="s">
        <v>25</v>
      </c>
      <c r="D10019" s="2">
        <v>174.71</v>
      </c>
      <c r="E10019" s="2">
        <v>0</v>
      </c>
      <c r="F10019" t="s">
        <v>27</v>
      </c>
      <c r="G10019" t="s">
        <v>9</v>
      </c>
    </row>
    <row r="10020" spans="1:7" x14ac:dyDescent="0.35">
      <c r="A10020">
        <v>3977</v>
      </c>
      <c r="B10020" s="1">
        <v>45814</v>
      </c>
      <c r="C10020" t="s">
        <v>25</v>
      </c>
      <c r="D10020" s="2">
        <v>0</v>
      </c>
      <c r="E10020" s="2">
        <v>2504.23</v>
      </c>
      <c r="F10020" t="s">
        <v>28</v>
      </c>
      <c r="G10020" t="s">
        <v>17</v>
      </c>
    </row>
    <row r="10021" spans="1:7" x14ac:dyDescent="0.35">
      <c r="A10021">
        <v>3978</v>
      </c>
      <c r="B10021" s="1">
        <v>45814</v>
      </c>
      <c r="C10021" t="s">
        <v>25</v>
      </c>
      <c r="D10021" s="2">
        <v>1800.04</v>
      </c>
      <c r="E10021" s="2">
        <v>0</v>
      </c>
      <c r="F10021" t="s">
        <v>26</v>
      </c>
      <c r="G10021" t="s">
        <v>20</v>
      </c>
    </row>
    <row r="10022" spans="1:7" x14ac:dyDescent="0.35">
      <c r="A10022">
        <v>3978</v>
      </c>
      <c r="B10022" s="1">
        <v>45814</v>
      </c>
      <c r="C10022" t="s">
        <v>25</v>
      </c>
      <c r="D10022" s="2">
        <v>135</v>
      </c>
      <c r="E10022" s="2">
        <v>0</v>
      </c>
      <c r="F10022" t="s">
        <v>27</v>
      </c>
      <c r="G10022" t="s">
        <v>9</v>
      </c>
    </row>
    <row r="10023" spans="1:7" x14ac:dyDescent="0.35">
      <c r="A10023">
        <v>3978</v>
      </c>
      <c r="B10023" s="1">
        <v>45814</v>
      </c>
      <c r="C10023" t="s">
        <v>25</v>
      </c>
      <c r="D10023" s="2">
        <v>0</v>
      </c>
      <c r="E10023" s="2">
        <v>1935.04</v>
      </c>
      <c r="F10023" t="s">
        <v>28</v>
      </c>
      <c r="G10023" t="s">
        <v>17</v>
      </c>
    </row>
    <row r="10024" spans="1:7" x14ac:dyDescent="0.35">
      <c r="A10024">
        <v>3979</v>
      </c>
      <c r="B10024" s="1">
        <v>45814</v>
      </c>
      <c r="C10024" t="s">
        <v>29</v>
      </c>
      <c r="D10024" s="2">
        <v>1766.46</v>
      </c>
      <c r="E10024" s="2">
        <v>0</v>
      </c>
      <c r="F10024" t="s">
        <v>28</v>
      </c>
      <c r="G10024" t="s">
        <v>17</v>
      </c>
    </row>
    <row r="10025" spans="1:7" x14ac:dyDescent="0.35">
      <c r="A10025">
        <v>3979</v>
      </c>
      <c r="B10025" s="1">
        <v>45814</v>
      </c>
      <c r="C10025" t="s">
        <v>29</v>
      </c>
      <c r="D10025" s="2">
        <v>0</v>
      </c>
      <c r="E10025" s="2">
        <v>1766.46</v>
      </c>
      <c r="F10025" t="s">
        <v>8</v>
      </c>
      <c r="G10025" t="s">
        <v>9</v>
      </c>
    </row>
    <row r="10026" spans="1:7" x14ac:dyDescent="0.35">
      <c r="A10026">
        <v>3980</v>
      </c>
      <c r="B10026" s="1">
        <v>45814</v>
      </c>
      <c r="C10026" t="s">
        <v>29</v>
      </c>
      <c r="D10026" s="2">
        <v>1766.46</v>
      </c>
      <c r="E10026" s="2">
        <v>0</v>
      </c>
      <c r="F10026" t="s">
        <v>28</v>
      </c>
      <c r="G10026" t="s">
        <v>17</v>
      </c>
    </row>
    <row r="10027" spans="1:7" x14ac:dyDescent="0.35">
      <c r="A10027">
        <v>3980</v>
      </c>
      <c r="B10027" s="1">
        <v>45814</v>
      </c>
      <c r="C10027" t="s">
        <v>29</v>
      </c>
      <c r="D10027" s="2">
        <v>0</v>
      </c>
      <c r="E10027" s="2">
        <v>1766.46</v>
      </c>
      <c r="F10027" t="s">
        <v>8</v>
      </c>
      <c r="G10027" t="s">
        <v>9</v>
      </c>
    </row>
    <row r="10028" spans="1:7" x14ac:dyDescent="0.35">
      <c r="A10028">
        <v>3981</v>
      </c>
      <c r="B10028" s="1">
        <v>45814</v>
      </c>
      <c r="C10028" t="s">
        <v>29</v>
      </c>
      <c r="D10028" s="2">
        <v>1935.04</v>
      </c>
      <c r="E10028" s="2">
        <v>0</v>
      </c>
      <c r="F10028" t="s">
        <v>28</v>
      </c>
      <c r="G10028" t="s">
        <v>17</v>
      </c>
    </row>
    <row r="10029" spans="1:7" x14ac:dyDescent="0.35">
      <c r="A10029">
        <v>3981</v>
      </c>
      <c r="B10029" s="1">
        <v>45814</v>
      </c>
      <c r="C10029" t="s">
        <v>29</v>
      </c>
      <c r="D10029" s="2">
        <v>0</v>
      </c>
      <c r="E10029" s="2">
        <v>1935.04</v>
      </c>
      <c r="F10029" t="s">
        <v>8</v>
      </c>
      <c r="G10029" t="s">
        <v>9</v>
      </c>
    </row>
    <row r="10030" spans="1:7" x14ac:dyDescent="0.35">
      <c r="A10030">
        <v>3982</v>
      </c>
      <c r="B10030" s="1">
        <v>45817</v>
      </c>
      <c r="C10030" t="s">
        <v>12</v>
      </c>
      <c r="D10030" s="2">
        <v>4183.1899999999996</v>
      </c>
      <c r="E10030" s="2">
        <v>0</v>
      </c>
      <c r="F10030" t="s">
        <v>13</v>
      </c>
      <c r="G10030" t="s">
        <v>9</v>
      </c>
    </row>
    <row r="10031" spans="1:7" x14ac:dyDescent="0.35">
      <c r="A10031">
        <v>3982</v>
      </c>
      <c r="B10031" s="1">
        <v>45817</v>
      </c>
      <c r="C10031" t="s">
        <v>12</v>
      </c>
      <c r="D10031" s="2">
        <v>0</v>
      </c>
      <c r="E10031" s="2">
        <v>3891.34</v>
      </c>
      <c r="F10031" t="s">
        <v>14</v>
      </c>
      <c r="G10031" t="s">
        <v>15</v>
      </c>
    </row>
    <row r="10032" spans="1:7" x14ac:dyDescent="0.35">
      <c r="A10032">
        <v>3982</v>
      </c>
      <c r="B10032" s="1">
        <v>45817</v>
      </c>
      <c r="C10032" t="s">
        <v>12</v>
      </c>
      <c r="D10032" s="2">
        <v>0</v>
      </c>
      <c r="E10032" s="2">
        <v>291.85000000000002</v>
      </c>
      <c r="F10032" t="s">
        <v>16</v>
      </c>
      <c r="G10032" t="s">
        <v>17</v>
      </c>
    </row>
    <row r="10033" spans="1:7" x14ac:dyDescent="0.35">
      <c r="A10033">
        <v>3983</v>
      </c>
      <c r="B10033" s="1">
        <v>45817</v>
      </c>
      <c r="C10033" t="s">
        <v>12</v>
      </c>
      <c r="D10033" s="2">
        <v>6219.18</v>
      </c>
      <c r="E10033" s="2">
        <v>0</v>
      </c>
      <c r="F10033" t="s">
        <v>13</v>
      </c>
      <c r="G10033" t="s">
        <v>9</v>
      </c>
    </row>
    <row r="10034" spans="1:7" x14ac:dyDescent="0.35">
      <c r="A10034">
        <v>3983</v>
      </c>
      <c r="B10034" s="1">
        <v>45817</v>
      </c>
      <c r="C10034" t="s">
        <v>12</v>
      </c>
      <c r="D10034" s="2">
        <v>0</v>
      </c>
      <c r="E10034" s="2">
        <v>5785.28</v>
      </c>
      <c r="F10034" t="s">
        <v>14</v>
      </c>
      <c r="G10034" t="s">
        <v>15</v>
      </c>
    </row>
    <row r="10035" spans="1:7" x14ac:dyDescent="0.35">
      <c r="A10035">
        <v>3983</v>
      </c>
      <c r="B10035" s="1">
        <v>45817</v>
      </c>
      <c r="C10035" t="s">
        <v>12</v>
      </c>
      <c r="D10035" s="2">
        <v>0</v>
      </c>
      <c r="E10035" s="2">
        <v>433.9</v>
      </c>
      <c r="F10035" t="s">
        <v>16</v>
      </c>
      <c r="G10035" t="s">
        <v>17</v>
      </c>
    </row>
    <row r="10036" spans="1:7" x14ac:dyDescent="0.35">
      <c r="A10036">
        <v>3984</v>
      </c>
      <c r="B10036" s="1">
        <v>45817</v>
      </c>
      <c r="C10036" t="s">
        <v>12</v>
      </c>
      <c r="D10036" s="2">
        <v>1488.7</v>
      </c>
      <c r="E10036" s="2">
        <v>0</v>
      </c>
      <c r="F10036" t="s">
        <v>13</v>
      </c>
      <c r="G10036" t="s">
        <v>9</v>
      </c>
    </row>
    <row r="10037" spans="1:7" x14ac:dyDescent="0.35">
      <c r="A10037">
        <v>3984</v>
      </c>
      <c r="B10037" s="1">
        <v>45817</v>
      </c>
      <c r="C10037" t="s">
        <v>12</v>
      </c>
      <c r="D10037" s="2">
        <v>0</v>
      </c>
      <c r="E10037" s="2">
        <v>1384.84</v>
      </c>
      <c r="F10037" t="s">
        <v>14</v>
      </c>
      <c r="G10037" t="s">
        <v>15</v>
      </c>
    </row>
    <row r="10038" spans="1:7" x14ac:dyDescent="0.35">
      <c r="A10038">
        <v>3984</v>
      </c>
      <c r="B10038" s="1">
        <v>45817</v>
      </c>
      <c r="C10038" t="s">
        <v>12</v>
      </c>
      <c r="D10038" s="2">
        <v>0</v>
      </c>
      <c r="E10038" s="2">
        <v>103.86</v>
      </c>
      <c r="F10038" t="s">
        <v>16</v>
      </c>
      <c r="G10038" t="s">
        <v>17</v>
      </c>
    </row>
    <row r="10039" spans="1:7" x14ac:dyDescent="0.35">
      <c r="A10039">
        <v>3985</v>
      </c>
      <c r="B10039" s="1">
        <v>45817</v>
      </c>
      <c r="C10039" t="s">
        <v>12</v>
      </c>
      <c r="D10039" s="2">
        <v>250.25</v>
      </c>
      <c r="E10039" s="2">
        <v>0</v>
      </c>
      <c r="F10039" t="s">
        <v>13</v>
      </c>
      <c r="G10039" t="s">
        <v>9</v>
      </c>
    </row>
    <row r="10040" spans="1:7" x14ac:dyDescent="0.35">
      <c r="A10040">
        <v>3985</v>
      </c>
      <c r="B10040" s="1">
        <v>45817</v>
      </c>
      <c r="C10040" t="s">
        <v>12</v>
      </c>
      <c r="D10040" s="2">
        <v>0</v>
      </c>
      <c r="E10040" s="2">
        <v>232.79</v>
      </c>
      <c r="F10040" t="s">
        <v>14</v>
      </c>
      <c r="G10040" t="s">
        <v>15</v>
      </c>
    </row>
    <row r="10041" spans="1:7" x14ac:dyDescent="0.35">
      <c r="A10041">
        <v>3985</v>
      </c>
      <c r="B10041" s="1">
        <v>45817</v>
      </c>
      <c r="C10041" t="s">
        <v>12</v>
      </c>
      <c r="D10041" s="2">
        <v>0</v>
      </c>
      <c r="E10041" s="2">
        <v>17.46</v>
      </c>
      <c r="F10041" t="s">
        <v>16</v>
      </c>
      <c r="G10041" t="s">
        <v>17</v>
      </c>
    </row>
    <row r="10042" spans="1:7" x14ac:dyDescent="0.35">
      <c r="A10042">
        <v>3986</v>
      </c>
      <c r="B10042" s="1">
        <v>45817</v>
      </c>
      <c r="C10042" t="s">
        <v>12</v>
      </c>
      <c r="D10042" s="2">
        <v>1560.55</v>
      </c>
      <c r="E10042" s="2">
        <v>0</v>
      </c>
      <c r="F10042" t="s">
        <v>13</v>
      </c>
      <c r="G10042" t="s">
        <v>9</v>
      </c>
    </row>
    <row r="10043" spans="1:7" x14ac:dyDescent="0.35">
      <c r="A10043">
        <v>3986</v>
      </c>
      <c r="B10043" s="1">
        <v>45817</v>
      </c>
      <c r="C10043" t="s">
        <v>12</v>
      </c>
      <c r="D10043" s="2">
        <v>0</v>
      </c>
      <c r="E10043" s="2">
        <v>1451.67</v>
      </c>
      <c r="F10043" t="s">
        <v>14</v>
      </c>
      <c r="G10043" t="s">
        <v>15</v>
      </c>
    </row>
    <row r="10044" spans="1:7" x14ac:dyDescent="0.35">
      <c r="A10044">
        <v>3986</v>
      </c>
      <c r="B10044" s="1">
        <v>45817</v>
      </c>
      <c r="C10044" t="s">
        <v>12</v>
      </c>
      <c r="D10044" s="2">
        <v>0</v>
      </c>
      <c r="E10044" s="2">
        <v>108.88</v>
      </c>
      <c r="F10044" t="s">
        <v>16</v>
      </c>
      <c r="G10044" t="s">
        <v>17</v>
      </c>
    </row>
    <row r="10045" spans="1:7" x14ac:dyDescent="0.35">
      <c r="A10045">
        <v>3987</v>
      </c>
      <c r="B10045" s="1">
        <v>45817</v>
      </c>
      <c r="C10045" t="s">
        <v>12</v>
      </c>
      <c r="D10045" s="2">
        <v>4160.1400000000003</v>
      </c>
      <c r="E10045" s="2">
        <v>0</v>
      </c>
      <c r="F10045" t="s">
        <v>13</v>
      </c>
      <c r="G10045" t="s">
        <v>9</v>
      </c>
    </row>
    <row r="10046" spans="1:7" x14ac:dyDescent="0.35">
      <c r="A10046">
        <v>3987</v>
      </c>
      <c r="B10046" s="1">
        <v>45817</v>
      </c>
      <c r="C10046" t="s">
        <v>12</v>
      </c>
      <c r="D10046" s="2">
        <v>0</v>
      </c>
      <c r="E10046" s="2">
        <v>3869.9</v>
      </c>
      <c r="F10046" t="s">
        <v>14</v>
      </c>
      <c r="G10046" t="s">
        <v>15</v>
      </c>
    </row>
    <row r="10047" spans="1:7" x14ac:dyDescent="0.35">
      <c r="A10047">
        <v>3987</v>
      </c>
      <c r="B10047" s="1">
        <v>45817</v>
      </c>
      <c r="C10047" t="s">
        <v>12</v>
      </c>
      <c r="D10047" s="2">
        <v>0</v>
      </c>
      <c r="E10047" s="2">
        <v>290.24</v>
      </c>
      <c r="F10047" t="s">
        <v>16</v>
      </c>
      <c r="G10047" t="s">
        <v>17</v>
      </c>
    </row>
    <row r="10048" spans="1:7" x14ac:dyDescent="0.35">
      <c r="A10048">
        <v>3988</v>
      </c>
      <c r="B10048" s="1">
        <v>45817</v>
      </c>
      <c r="C10048" t="s">
        <v>24</v>
      </c>
      <c r="D10048" s="2">
        <v>2976.84</v>
      </c>
      <c r="E10048" s="2">
        <v>0</v>
      </c>
      <c r="F10048" t="s">
        <v>8</v>
      </c>
      <c r="G10048" t="s">
        <v>9</v>
      </c>
    </row>
    <row r="10049" spans="1:7" x14ac:dyDescent="0.35">
      <c r="A10049">
        <v>3988</v>
      </c>
      <c r="B10049" s="1">
        <v>45817</v>
      </c>
      <c r="C10049" t="s">
        <v>24</v>
      </c>
      <c r="D10049" s="2">
        <v>0</v>
      </c>
      <c r="E10049" s="2">
        <v>2976.84</v>
      </c>
      <c r="F10049" t="s">
        <v>13</v>
      </c>
      <c r="G10049" t="s">
        <v>9</v>
      </c>
    </row>
    <row r="10050" spans="1:7" x14ac:dyDescent="0.35">
      <c r="A10050">
        <v>3989</v>
      </c>
      <c r="B10050" s="1">
        <v>45817</v>
      </c>
      <c r="C10050" t="s">
        <v>24</v>
      </c>
      <c r="D10050" s="2">
        <v>2425.4299999999998</v>
      </c>
      <c r="E10050" s="2">
        <v>0</v>
      </c>
      <c r="F10050" t="s">
        <v>8</v>
      </c>
      <c r="G10050" t="s">
        <v>9</v>
      </c>
    </row>
    <row r="10051" spans="1:7" x14ac:dyDescent="0.35">
      <c r="A10051">
        <v>3989</v>
      </c>
      <c r="B10051" s="1">
        <v>45817</v>
      </c>
      <c r="C10051" t="s">
        <v>24</v>
      </c>
      <c r="D10051" s="2">
        <v>0</v>
      </c>
      <c r="E10051" s="2">
        <v>2425.4299999999998</v>
      </c>
      <c r="F10051" t="s">
        <v>13</v>
      </c>
      <c r="G10051" t="s">
        <v>9</v>
      </c>
    </row>
    <row r="10052" spans="1:7" x14ac:dyDescent="0.35">
      <c r="A10052">
        <v>3990</v>
      </c>
      <c r="B10052" s="1">
        <v>45817</v>
      </c>
      <c r="C10052" t="s">
        <v>24</v>
      </c>
      <c r="D10052" s="2">
        <v>79.319999999999993</v>
      </c>
      <c r="E10052" s="2">
        <v>0</v>
      </c>
      <c r="F10052" t="s">
        <v>8</v>
      </c>
      <c r="G10052" t="s">
        <v>9</v>
      </c>
    </row>
    <row r="10053" spans="1:7" x14ac:dyDescent="0.35">
      <c r="A10053">
        <v>3990</v>
      </c>
      <c r="B10053" s="1">
        <v>45817</v>
      </c>
      <c r="C10053" t="s">
        <v>24</v>
      </c>
      <c r="D10053" s="2">
        <v>0</v>
      </c>
      <c r="E10053" s="2">
        <v>79.319999999999993</v>
      </c>
      <c r="F10053" t="s">
        <v>13</v>
      </c>
      <c r="G10053" t="s">
        <v>9</v>
      </c>
    </row>
    <row r="10054" spans="1:7" x14ac:dyDescent="0.35">
      <c r="A10054">
        <v>3991</v>
      </c>
      <c r="B10054" s="1">
        <v>45817</v>
      </c>
      <c r="C10054" t="s">
        <v>24</v>
      </c>
      <c r="D10054" s="2">
        <v>2940.83</v>
      </c>
      <c r="E10054" s="2">
        <v>0</v>
      </c>
      <c r="F10054" t="s">
        <v>8</v>
      </c>
      <c r="G10054" t="s">
        <v>9</v>
      </c>
    </row>
    <row r="10055" spans="1:7" x14ac:dyDescent="0.35">
      <c r="A10055">
        <v>3991</v>
      </c>
      <c r="B10055" s="1">
        <v>45817</v>
      </c>
      <c r="C10055" t="s">
        <v>24</v>
      </c>
      <c r="D10055" s="2">
        <v>0</v>
      </c>
      <c r="E10055" s="2">
        <v>2940.83</v>
      </c>
      <c r="F10055" t="s">
        <v>13</v>
      </c>
      <c r="G10055" t="s">
        <v>9</v>
      </c>
    </row>
    <row r="10056" spans="1:7" x14ac:dyDescent="0.35">
      <c r="A10056">
        <v>3992</v>
      </c>
      <c r="B10056" s="1">
        <v>45817</v>
      </c>
      <c r="C10056" t="s">
        <v>24</v>
      </c>
      <c r="D10056" s="2">
        <v>5241.68</v>
      </c>
      <c r="E10056" s="2">
        <v>0</v>
      </c>
      <c r="F10056" t="s">
        <v>8</v>
      </c>
      <c r="G10056" t="s">
        <v>9</v>
      </c>
    </row>
    <row r="10057" spans="1:7" x14ac:dyDescent="0.35">
      <c r="A10057">
        <v>3992</v>
      </c>
      <c r="B10057" s="1">
        <v>45817</v>
      </c>
      <c r="C10057" t="s">
        <v>24</v>
      </c>
      <c r="D10057" s="2">
        <v>0</v>
      </c>
      <c r="E10057" s="2">
        <v>5241.68</v>
      </c>
      <c r="F10057" t="s">
        <v>13</v>
      </c>
      <c r="G10057" t="s">
        <v>9</v>
      </c>
    </row>
    <row r="10058" spans="1:7" x14ac:dyDescent="0.35">
      <c r="A10058">
        <v>3993</v>
      </c>
      <c r="B10058" s="1">
        <v>45817</v>
      </c>
      <c r="C10058" t="s">
        <v>24</v>
      </c>
      <c r="D10058" s="2">
        <v>1226.6600000000001</v>
      </c>
      <c r="E10058" s="2">
        <v>0</v>
      </c>
      <c r="F10058" t="s">
        <v>8</v>
      </c>
      <c r="G10058" t="s">
        <v>9</v>
      </c>
    </row>
    <row r="10059" spans="1:7" x14ac:dyDescent="0.35">
      <c r="A10059">
        <v>3993</v>
      </c>
      <c r="B10059" s="1">
        <v>45817</v>
      </c>
      <c r="C10059" t="s">
        <v>24</v>
      </c>
      <c r="D10059" s="2">
        <v>0</v>
      </c>
      <c r="E10059" s="2">
        <v>1226.6600000000001</v>
      </c>
      <c r="F10059" t="s">
        <v>13</v>
      </c>
      <c r="G10059" t="s">
        <v>9</v>
      </c>
    </row>
    <row r="10060" spans="1:7" x14ac:dyDescent="0.35">
      <c r="A10060">
        <v>3994</v>
      </c>
      <c r="B10060" s="1">
        <v>45817</v>
      </c>
      <c r="C10060" t="s">
        <v>24</v>
      </c>
      <c r="D10060" s="2">
        <v>27.83</v>
      </c>
      <c r="E10060" s="2">
        <v>0</v>
      </c>
      <c r="F10060" t="s">
        <v>8</v>
      </c>
      <c r="G10060" t="s">
        <v>9</v>
      </c>
    </row>
    <row r="10061" spans="1:7" x14ac:dyDescent="0.35">
      <c r="A10061">
        <v>3994</v>
      </c>
      <c r="B10061" s="1">
        <v>45817</v>
      </c>
      <c r="C10061" t="s">
        <v>24</v>
      </c>
      <c r="D10061" s="2">
        <v>0</v>
      </c>
      <c r="E10061" s="2">
        <v>27.83</v>
      </c>
      <c r="F10061" t="s">
        <v>13</v>
      </c>
      <c r="G10061" t="s">
        <v>9</v>
      </c>
    </row>
    <row r="10062" spans="1:7" x14ac:dyDescent="0.35">
      <c r="A10062">
        <v>3995</v>
      </c>
      <c r="B10062" s="1">
        <v>45817</v>
      </c>
      <c r="C10062" t="s">
        <v>24</v>
      </c>
      <c r="D10062" s="2">
        <v>2219.86</v>
      </c>
      <c r="E10062" s="2">
        <v>0</v>
      </c>
      <c r="F10062" t="s">
        <v>8</v>
      </c>
      <c r="G10062" t="s">
        <v>9</v>
      </c>
    </row>
    <row r="10063" spans="1:7" x14ac:dyDescent="0.35">
      <c r="A10063">
        <v>3995</v>
      </c>
      <c r="B10063" s="1">
        <v>45817</v>
      </c>
      <c r="C10063" t="s">
        <v>24</v>
      </c>
      <c r="D10063" s="2">
        <v>0</v>
      </c>
      <c r="E10063" s="2">
        <v>2219.86</v>
      </c>
      <c r="F10063" t="s">
        <v>13</v>
      </c>
      <c r="G10063" t="s">
        <v>9</v>
      </c>
    </row>
    <row r="10064" spans="1:7" x14ac:dyDescent="0.35">
      <c r="A10064">
        <v>3996</v>
      </c>
      <c r="B10064" s="1">
        <v>45817</v>
      </c>
      <c r="C10064" t="s">
        <v>24</v>
      </c>
      <c r="D10064" s="2">
        <v>4925.78</v>
      </c>
      <c r="E10064" s="2">
        <v>0</v>
      </c>
      <c r="F10064" t="s">
        <v>8</v>
      </c>
      <c r="G10064" t="s">
        <v>9</v>
      </c>
    </row>
    <row r="10065" spans="1:7" x14ac:dyDescent="0.35">
      <c r="A10065">
        <v>3996</v>
      </c>
      <c r="B10065" s="1">
        <v>45817</v>
      </c>
      <c r="C10065" t="s">
        <v>24</v>
      </c>
      <c r="D10065" s="2">
        <v>0</v>
      </c>
      <c r="E10065" s="2">
        <v>4925.78</v>
      </c>
      <c r="F10065" t="s">
        <v>13</v>
      </c>
      <c r="G10065" t="s">
        <v>9</v>
      </c>
    </row>
    <row r="10066" spans="1:7" x14ac:dyDescent="0.35">
      <c r="A10066">
        <v>3997</v>
      </c>
      <c r="B10066" s="1">
        <v>45817</v>
      </c>
      <c r="C10066" t="s">
        <v>24</v>
      </c>
      <c r="D10066" s="2">
        <v>1488.7</v>
      </c>
      <c r="E10066" s="2">
        <v>0</v>
      </c>
      <c r="F10066" t="s">
        <v>8</v>
      </c>
      <c r="G10066" t="s">
        <v>9</v>
      </c>
    </row>
    <row r="10067" spans="1:7" x14ac:dyDescent="0.35">
      <c r="A10067">
        <v>3997</v>
      </c>
      <c r="B10067" s="1">
        <v>45817</v>
      </c>
      <c r="C10067" t="s">
        <v>24</v>
      </c>
      <c r="D10067" s="2">
        <v>0</v>
      </c>
      <c r="E10067" s="2">
        <v>1488.7</v>
      </c>
      <c r="F10067" t="s">
        <v>13</v>
      </c>
      <c r="G10067" t="s">
        <v>9</v>
      </c>
    </row>
    <row r="10068" spans="1:7" x14ac:dyDescent="0.35">
      <c r="A10068">
        <v>3998</v>
      </c>
      <c r="B10068" s="1">
        <v>45817</v>
      </c>
      <c r="C10068" t="s">
        <v>25</v>
      </c>
      <c r="D10068" s="2">
        <v>1947.24</v>
      </c>
      <c r="E10068" s="2">
        <v>0</v>
      </c>
      <c r="F10068" t="s">
        <v>26</v>
      </c>
      <c r="G10068" t="s">
        <v>20</v>
      </c>
    </row>
    <row r="10069" spans="1:7" x14ac:dyDescent="0.35">
      <c r="A10069">
        <v>3998</v>
      </c>
      <c r="B10069" s="1">
        <v>45817</v>
      </c>
      <c r="C10069" t="s">
        <v>25</v>
      </c>
      <c r="D10069" s="2">
        <v>146.04</v>
      </c>
      <c r="E10069" s="2">
        <v>0</v>
      </c>
      <c r="F10069" t="s">
        <v>27</v>
      </c>
      <c r="G10069" t="s">
        <v>9</v>
      </c>
    </row>
    <row r="10070" spans="1:7" x14ac:dyDescent="0.35">
      <c r="A10070">
        <v>3998</v>
      </c>
      <c r="B10070" s="1">
        <v>45817</v>
      </c>
      <c r="C10070" t="s">
        <v>25</v>
      </c>
      <c r="D10070" s="2">
        <v>0</v>
      </c>
      <c r="E10070" s="2">
        <v>2093.2800000000002</v>
      </c>
      <c r="F10070" t="s">
        <v>28</v>
      </c>
      <c r="G10070" t="s">
        <v>17</v>
      </c>
    </row>
    <row r="10071" spans="1:7" x14ac:dyDescent="0.35">
      <c r="A10071">
        <v>3999</v>
      </c>
      <c r="B10071" s="1">
        <v>45817</v>
      </c>
      <c r="C10071" t="s">
        <v>25</v>
      </c>
      <c r="D10071" s="2">
        <v>1078.92</v>
      </c>
      <c r="E10071" s="2">
        <v>0</v>
      </c>
      <c r="F10071" t="s">
        <v>26</v>
      </c>
      <c r="G10071" t="s">
        <v>20</v>
      </c>
    </row>
    <row r="10072" spans="1:7" x14ac:dyDescent="0.35">
      <c r="A10072">
        <v>3999</v>
      </c>
      <c r="B10072" s="1">
        <v>45817</v>
      </c>
      <c r="C10072" t="s">
        <v>25</v>
      </c>
      <c r="D10072" s="2">
        <v>80.92</v>
      </c>
      <c r="E10072" s="2">
        <v>0</v>
      </c>
      <c r="F10072" t="s">
        <v>27</v>
      </c>
      <c r="G10072" t="s">
        <v>9</v>
      </c>
    </row>
    <row r="10073" spans="1:7" x14ac:dyDescent="0.35">
      <c r="A10073">
        <v>3999</v>
      </c>
      <c r="B10073" s="1">
        <v>45817</v>
      </c>
      <c r="C10073" t="s">
        <v>25</v>
      </c>
      <c r="D10073" s="2">
        <v>0</v>
      </c>
      <c r="E10073" s="2">
        <v>1159.8399999999999</v>
      </c>
      <c r="F10073" t="s">
        <v>28</v>
      </c>
      <c r="G10073" t="s">
        <v>17</v>
      </c>
    </row>
    <row r="10074" spans="1:7" x14ac:dyDescent="0.35">
      <c r="A10074">
        <v>4000</v>
      </c>
      <c r="B10074" s="1">
        <v>45817</v>
      </c>
      <c r="C10074" t="s">
        <v>25</v>
      </c>
      <c r="D10074" s="2">
        <v>3282.76</v>
      </c>
      <c r="E10074" s="2">
        <v>0</v>
      </c>
      <c r="F10074" t="s">
        <v>26</v>
      </c>
      <c r="G10074" t="s">
        <v>20</v>
      </c>
    </row>
    <row r="10075" spans="1:7" x14ac:dyDescent="0.35">
      <c r="A10075">
        <v>4000</v>
      </c>
      <c r="B10075" s="1">
        <v>45817</v>
      </c>
      <c r="C10075" t="s">
        <v>25</v>
      </c>
      <c r="D10075" s="2">
        <v>246.21</v>
      </c>
      <c r="E10075" s="2">
        <v>0</v>
      </c>
      <c r="F10075" t="s">
        <v>27</v>
      </c>
      <c r="G10075" t="s">
        <v>9</v>
      </c>
    </row>
    <row r="10076" spans="1:7" x14ac:dyDescent="0.35">
      <c r="A10076">
        <v>4000</v>
      </c>
      <c r="B10076" s="1">
        <v>45817</v>
      </c>
      <c r="C10076" t="s">
        <v>25</v>
      </c>
      <c r="D10076" s="2">
        <v>0</v>
      </c>
      <c r="E10076" s="2">
        <v>3528.97</v>
      </c>
      <c r="F10076" t="s">
        <v>28</v>
      </c>
      <c r="G10076" t="s">
        <v>17</v>
      </c>
    </row>
    <row r="10077" spans="1:7" x14ac:dyDescent="0.35">
      <c r="A10077">
        <v>4001</v>
      </c>
      <c r="B10077" s="1">
        <v>45817</v>
      </c>
      <c r="C10077" t="s">
        <v>25</v>
      </c>
      <c r="D10077" s="2">
        <v>1668.94</v>
      </c>
      <c r="E10077" s="2">
        <v>0</v>
      </c>
      <c r="F10077" t="s">
        <v>26</v>
      </c>
      <c r="G10077" t="s">
        <v>20</v>
      </c>
    </row>
    <row r="10078" spans="1:7" x14ac:dyDescent="0.35">
      <c r="A10078">
        <v>4001</v>
      </c>
      <c r="B10078" s="1">
        <v>45817</v>
      </c>
      <c r="C10078" t="s">
        <v>25</v>
      </c>
      <c r="D10078" s="2">
        <v>125.17</v>
      </c>
      <c r="E10078" s="2">
        <v>0</v>
      </c>
      <c r="F10078" t="s">
        <v>27</v>
      </c>
      <c r="G10078" t="s">
        <v>9</v>
      </c>
    </row>
    <row r="10079" spans="1:7" x14ac:dyDescent="0.35">
      <c r="A10079">
        <v>4001</v>
      </c>
      <c r="B10079" s="1">
        <v>45817</v>
      </c>
      <c r="C10079" t="s">
        <v>25</v>
      </c>
      <c r="D10079" s="2">
        <v>0</v>
      </c>
      <c r="E10079" s="2">
        <v>1794.11</v>
      </c>
      <c r="F10079" t="s">
        <v>28</v>
      </c>
      <c r="G10079" t="s">
        <v>17</v>
      </c>
    </row>
    <row r="10080" spans="1:7" x14ac:dyDescent="0.35">
      <c r="A10080">
        <v>4002</v>
      </c>
      <c r="B10080" s="1">
        <v>45817</v>
      </c>
      <c r="C10080" t="s">
        <v>25</v>
      </c>
      <c r="D10080" s="2">
        <v>1643.22</v>
      </c>
      <c r="E10080" s="2">
        <v>0</v>
      </c>
      <c r="F10080" t="s">
        <v>26</v>
      </c>
      <c r="G10080" t="s">
        <v>20</v>
      </c>
    </row>
    <row r="10081" spans="1:7" x14ac:dyDescent="0.35">
      <c r="A10081">
        <v>4002</v>
      </c>
      <c r="B10081" s="1">
        <v>45817</v>
      </c>
      <c r="C10081" t="s">
        <v>25</v>
      </c>
      <c r="D10081" s="2">
        <v>123.24</v>
      </c>
      <c r="E10081" s="2">
        <v>0</v>
      </c>
      <c r="F10081" t="s">
        <v>27</v>
      </c>
      <c r="G10081" t="s">
        <v>9</v>
      </c>
    </row>
    <row r="10082" spans="1:7" x14ac:dyDescent="0.35">
      <c r="A10082">
        <v>4002</v>
      </c>
      <c r="B10082" s="1">
        <v>45817</v>
      </c>
      <c r="C10082" t="s">
        <v>25</v>
      </c>
      <c r="D10082" s="2">
        <v>0</v>
      </c>
      <c r="E10082" s="2">
        <v>1766.46</v>
      </c>
      <c r="F10082" t="s">
        <v>28</v>
      </c>
      <c r="G10082" t="s">
        <v>17</v>
      </c>
    </row>
    <row r="10083" spans="1:7" x14ac:dyDescent="0.35">
      <c r="A10083">
        <v>4003</v>
      </c>
      <c r="B10083" s="1">
        <v>45817</v>
      </c>
      <c r="C10083" t="s">
        <v>25</v>
      </c>
      <c r="D10083" s="2">
        <v>802.71</v>
      </c>
      <c r="E10083" s="2">
        <v>0</v>
      </c>
      <c r="F10083" t="s">
        <v>26</v>
      </c>
      <c r="G10083" t="s">
        <v>20</v>
      </c>
    </row>
    <row r="10084" spans="1:7" x14ac:dyDescent="0.35">
      <c r="A10084">
        <v>4003</v>
      </c>
      <c r="B10084" s="1">
        <v>45817</v>
      </c>
      <c r="C10084" t="s">
        <v>25</v>
      </c>
      <c r="D10084" s="2">
        <v>60.2</v>
      </c>
      <c r="E10084" s="2">
        <v>0</v>
      </c>
      <c r="F10084" t="s">
        <v>27</v>
      </c>
      <c r="G10084" t="s">
        <v>9</v>
      </c>
    </row>
    <row r="10085" spans="1:7" x14ac:dyDescent="0.35">
      <c r="A10085">
        <v>4003</v>
      </c>
      <c r="B10085" s="1">
        <v>45817</v>
      </c>
      <c r="C10085" t="s">
        <v>25</v>
      </c>
      <c r="D10085" s="2">
        <v>0</v>
      </c>
      <c r="E10085" s="2">
        <v>862.91</v>
      </c>
      <c r="F10085" t="s">
        <v>28</v>
      </c>
      <c r="G10085" t="s">
        <v>17</v>
      </c>
    </row>
    <row r="10086" spans="1:7" x14ac:dyDescent="0.35">
      <c r="A10086">
        <v>4004</v>
      </c>
      <c r="B10086" s="1">
        <v>45817</v>
      </c>
      <c r="C10086" t="s">
        <v>29</v>
      </c>
      <c r="D10086" s="2">
        <v>179.01</v>
      </c>
      <c r="E10086" s="2">
        <v>0</v>
      </c>
      <c r="F10086" t="s">
        <v>28</v>
      </c>
      <c r="G10086" t="s">
        <v>17</v>
      </c>
    </row>
    <row r="10087" spans="1:7" x14ac:dyDescent="0.35">
      <c r="A10087">
        <v>4004</v>
      </c>
      <c r="B10087" s="1">
        <v>45817</v>
      </c>
      <c r="C10087" t="s">
        <v>29</v>
      </c>
      <c r="D10087" s="2">
        <v>0</v>
      </c>
      <c r="E10087" s="2">
        <v>179.01</v>
      </c>
      <c r="F10087" t="s">
        <v>8</v>
      </c>
      <c r="G10087" t="s">
        <v>9</v>
      </c>
    </row>
    <row r="10088" spans="1:7" x14ac:dyDescent="0.35">
      <c r="A10088">
        <v>4005</v>
      </c>
      <c r="B10088" s="1">
        <v>45817</v>
      </c>
      <c r="C10088" t="s">
        <v>29</v>
      </c>
      <c r="D10088" s="2">
        <v>550.4</v>
      </c>
      <c r="E10088" s="2">
        <v>0</v>
      </c>
      <c r="F10088" t="s">
        <v>28</v>
      </c>
      <c r="G10088" t="s">
        <v>17</v>
      </c>
    </row>
    <row r="10089" spans="1:7" x14ac:dyDescent="0.35">
      <c r="A10089">
        <v>4005</v>
      </c>
      <c r="B10089" s="1">
        <v>45817</v>
      </c>
      <c r="C10089" t="s">
        <v>29</v>
      </c>
      <c r="D10089" s="2">
        <v>0</v>
      </c>
      <c r="E10089" s="2">
        <v>550.4</v>
      </c>
      <c r="F10089" t="s">
        <v>8</v>
      </c>
      <c r="G10089" t="s">
        <v>9</v>
      </c>
    </row>
    <row r="10090" spans="1:7" x14ac:dyDescent="0.35">
      <c r="A10090">
        <v>4006</v>
      </c>
      <c r="B10090" s="1">
        <v>45817</v>
      </c>
      <c r="C10090" t="s">
        <v>29</v>
      </c>
      <c r="D10090" s="2">
        <v>2504.23</v>
      </c>
      <c r="E10090" s="2">
        <v>0</v>
      </c>
      <c r="F10090" t="s">
        <v>28</v>
      </c>
      <c r="G10090" t="s">
        <v>17</v>
      </c>
    </row>
    <row r="10091" spans="1:7" x14ac:dyDescent="0.35">
      <c r="A10091">
        <v>4006</v>
      </c>
      <c r="B10091" s="1">
        <v>45817</v>
      </c>
      <c r="C10091" t="s">
        <v>29</v>
      </c>
      <c r="D10091" s="2">
        <v>0</v>
      </c>
      <c r="E10091" s="2">
        <v>2504.23</v>
      </c>
      <c r="F10091" t="s">
        <v>8</v>
      </c>
      <c r="G10091" t="s">
        <v>9</v>
      </c>
    </row>
    <row r="10092" spans="1:7" x14ac:dyDescent="0.35">
      <c r="A10092">
        <v>4007</v>
      </c>
      <c r="B10092" s="1">
        <v>45817</v>
      </c>
      <c r="C10092" t="s">
        <v>29</v>
      </c>
      <c r="D10092" s="2">
        <v>1935.04</v>
      </c>
      <c r="E10092" s="2">
        <v>0</v>
      </c>
      <c r="F10092" t="s">
        <v>28</v>
      </c>
      <c r="G10092" t="s">
        <v>17</v>
      </c>
    </row>
    <row r="10093" spans="1:7" x14ac:dyDescent="0.35">
      <c r="A10093">
        <v>4007</v>
      </c>
      <c r="B10093" s="1">
        <v>45817</v>
      </c>
      <c r="C10093" t="s">
        <v>29</v>
      </c>
      <c r="D10093" s="2">
        <v>0</v>
      </c>
      <c r="E10093" s="2">
        <v>1935.04</v>
      </c>
      <c r="F10093" t="s">
        <v>8</v>
      </c>
      <c r="G10093" t="s">
        <v>9</v>
      </c>
    </row>
    <row r="10094" spans="1:7" x14ac:dyDescent="0.35">
      <c r="A10094">
        <v>4008</v>
      </c>
      <c r="B10094" s="1">
        <v>45818</v>
      </c>
      <c r="C10094" t="s">
        <v>12</v>
      </c>
      <c r="D10094" s="2">
        <v>278.91000000000003</v>
      </c>
      <c r="E10094" s="2">
        <v>0</v>
      </c>
      <c r="F10094" t="s">
        <v>13</v>
      </c>
      <c r="G10094" t="s">
        <v>9</v>
      </c>
    </row>
    <row r="10095" spans="1:7" x14ac:dyDescent="0.35">
      <c r="A10095">
        <v>4008</v>
      </c>
      <c r="B10095" s="1">
        <v>45818</v>
      </c>
      <c r="C10095" t="s">
        <v>12</v>
      </c>
      <c r="D10095" s="2">
        <v>0</v>
      </c>
      <c r="E10095" s="2">
        <v>259.45</v>
      </c>
      <c r="F10095" t="s">
        <v>14</v>
      </c>
      <c r="G10095" t="s">
        <v>15</v>
      </c>
    </row>
    <row r="10096" spans="1:7" x14ac:dyDescent="0.35">
      <c r="A10096">
        <v>4008</v>
      </c>
      <c r="B10096" s="1">
        <v>45818</v>
      </c>
      <c r="C10096" t="s">
        <v>12</v>
      </c>
      <c r="D10096" s="2">
        <v>0</v>
      </c>
      <c r="E10096" s="2">
        <v>19.46</v>
      </c>
      <c r="F10096" t="s">
        <v>16</v>
      </c>
      <c r="G10096" t="s">
        <v>17</v>
      </c>
    </row>
    <row r="10097" spans="1:7" x14ac:dyDescent="0.35">
      <c r="A10097">
        <v>4009</v>
      </c>
      <c r="B10097" s="1">
        <v>45818</v>
      </c>
      <c r="C10097" t="s">
        <v>12</v>
      </c>
      <c r="D10097" s="2">
        <v>2065.9499999999998</v>
      </c>
      <c r="E10097" s="2">
        <v>0</v>
      </c>
      <c r="F10097" t="s">
        <v>13</v>
      </c>
      <c r="G10097" t="s">
        <v>9</v>
      </c>
    </row>
    <row r="10098" spans="1:7" x14ac:dyDescent="0.35">
      <c r="A10098">
        <v>4009</v>
      </c>
      <c r="B10098" s="1">
        <v>45818</v>
      </c>
      <c r="C10098" t="s">
        <v>12</v>
      </c>
      <c r="D10098" s="2">
        <v>0</v>
      </c>
      <c r="E10098" s="2">
        <v>1921.82</v>
      </c>
      <c r="F10098" t="s">
        <v>14</v>
      </c>
      <c r="G10098" t="s">
        <v>15</v>
      </c>
    </row>
    <row r="10099" spans="1:7" x14ac:dyDescent="0.35">
      <c r="A10099">
        <v>4009</v>
      </c>
      <c r="B10099" s="1">
        <v>45818</v>
      </c>
      <c r="C10099" t="s">
        <v>12</v>
      </c>
      <c r="D10099" s="2">
        <v>0</v>
      </c>
      <c r="E10099" s="2">
        <v>144.13</v>
      </c>
      <c r="F10099" t="s">
        <v>16</v>
      </c>
      <c r="G10099" t="s">
        <v>17</v>
      </c>
    </row>
    <row r="10100" spans="1:7" x14ac:dyDescent="0.35">
      <c r="A10100">
        <v>4010</v>
      </c>
      <c r="B10100" s="1">
        <v>45818</v>
      </c>
      <c r="C10100" t="s">
        <v>12</v>
      </c>
      <c r="D10100" s="2">
        <v>1761.67</v>
      </c>
      <c r="E10100" s="2">
        <v>0</v>
      </c>
      <c r="F10100" t="s">
        <v>13</v>
      </c>
      <c r="G10100" t="s">
        <v>9</v>
      </c>
    </row>
    <row r="10101" spans="1:7" x14ac:dyDescent="0.35">
      <c r="A10101">
        <v>4010</v>
      </c>
      <c r="B10101" s="1">
        <v>45818</v>
      </c>
      <c r="C10101" t="s">
        <v>12</v>
      </c>
      <c r="D10101" s="2">
        <v>0</v>
      </c>
      <c r="E10101" s="2">
        <v>1638.75</v>
      </c>
      <c r="F10101" t="s">
        <v>14</v>
      </c>
      <c r="G10101" t="s">
        <v>15</v>
      </c>
    </row>
    <row r="10102" spans="1:7" x14ac:dyDescent="0.35">
      <c r="A10102">
        <v>4010</v>
      </c>
      <c r="B10102" s="1">
        <v>45818</v>
      </c>
      <c r="C10102" t="s">
        <v>12</v>
      </c>
      <c r="D10102" s="2">
        <v>0</v>
      </c>
      <c r="E10102" s="2">
        <v>122.92</v>
      </c>
      <c r="F10102" t="s">
        <v>16</v>
      </c>
      <c r="G10102" t="s">
        <v>17</v>
      </c>
    </row>
    <row r="10103" spans="1:7" x14ac:dyDescent="0.35">
      <c r="A10103">
        <v>4011</v>
      </c>
      <c r="B10103" s="1">
        <v>45818</v>
      </c>
      <c r="C10103" t="s">
        <v>12</v>
      </c>
      <c r="D10103" s="2">
        <v>107.75</v>
      </c>
      <c r="E10103" s="2">
        <v>0</v>
      </c>
      <c r="F10103" t="s">
        <v>13</v>
      </c>
      <c r="G10103" t="s">
        <v>9</v>
      </c>
    </row>
    <row r="10104" spans="1:7" x14ac:dyDescent="0.35">
      <c r="A10104">
        <v>4011</v>
      </c>
      <c r="B10104" s="1">
        <v>45818</v>
      </c>
      <c r="C10104" t="s">
        <v>12</v>
      </c>
      <c r="D10104" s="2">
        <v>0</v>
      </c>
      <c r="E10104" s="2">
        <v>100.23</v>
      </c>
      <c r="F10104" t="s">
        <v>14</v>
      </c>
      <c r="G10104" t="s">
        <v>15</v>
      </c>
    </row>
    <row r="10105" spans="1:7" x14ac:dyDescent="0.35">
      <c r="A10105">
        <v>4011</v>
      </c>
      <c r="B10105" s="1">
        <v>45818</v>
      </c>
      <c r="C10105" t="s">
        <v>12</v>
      </c>
      <c r="D10105" s="2">
        <v>0</v>
      </c>
      <c r="E10105" s="2">
        <v>7.52</v>
      </c>
      <c r="F10105" t="s">
        <v>16</v>
      </c>
      <c r="G10105" t="s">
        <v>17</v>
      </c>
    </row>
    <row r="10106" spans="1:7" x14ac:dyDescent="0.35">
      <c r="A10106">
        <v>4012</v>
      </c>
      <c r="B10106" s="1">
        <v>45818</v>
      </c>
      <c r="C10106" t="s">
        <v>12</v>
      </c>
      <c r="D10106" s="2">
        <v>3470.52</v>
      </c>
      <c r="E10106" s="2">
        <v>0</v>
      </c>
      <c r="F10106" t="s">
        <v>13</v>
      </c>
      <c r="G10106" t="s">
        <v>9</v>
      </c>
    </row>
    <row r="10107" spans="1:7" x14ac:dyDescent="0.35">
      <c r="A10107">
        <v>4012</v>
      </c>
      <c r="B10107" s="1">
        <v>45818</v>
      </c>
      <c r="C10107" t="s">
        <v>12</v>
      </c>
      <c r="D10107" s="2">
        <v>0</v>
      </c>
      <c r="E10107" s="2">
        <v>3228.4</v>
      </c>
      <c r="F10107" t="s">
        <v>14</v>
      </c>
      <c r="G10107" t="s">
        <v>15</v>
      </c>
    </row>
    <row r="10108" spans="1:7" x14ac:dyDescent="0.35">
      <c r="A10108">
        <v>4012</v>
      </c>
      <c r="B10108" s="1">
        <v>45818</v>
      </c>
      <c r="C10108" t="s">
        <v>12</v>
      </c>
      <c r="D10108" s="2">
        <v>0</v>
      </c>
      <c r="E10108" s="2">
        <v>242.12</v>
      </c>
      <c r="F10108" t="s">
        <v>16</v>
      </c>
      <c r="G10108" t="s">
        <v>17</v>
      </c>
    </row>
    <row r="10109" spans="1:7" x14ac:dyDescent="0.35">
      <c r="A10109">
        <v>4013</v>
      </c>
      <c r="B10109" s="1">
        <v>45818</v>
      </c>
      <c r="C10109" t="s">
        <v>24</v>
      </c>
      <c r="D10109" s="2">
        <v>3273.25</v>
      </c>
      <c r="E10109" s="2">
        <v>0</v>
      </c>
      <c r="F10109" t="s">
        <v>8</v>
      </c>
      <c r="G10109" t="s">
        <v>9</v>
      </c>
    </row>
    <row r="10110" spans="1:7" x14ac:dyDescent="0.35">
      <c r="A10110">
        <v>4013</v>
      </c>
      <c r="B10110" s="1">
        <v>45818</v>
      </c>
      <c r="C10110" t="s">
        <v>24</v>
      </c>
      <c r="D10110" s="2">
        <v>0</v>
      </c>
      <c r="E10110" s="2">
        <v>3273.25</v>
      </c>
      <c r="F10110" t="s">
        <v>13</v>
      </c>
      <c r="G10110" t="s">
        <v>9</v>
      </c>
    </row>
    <row r="10111" spans="1:7" x14ac:dyDescent="0.35">
      <c r="A10111">
        <v>4014</v>
      </c>
      <c r="B10111" s="1">
        <v>45818</v>
      </c>
      <c r="C10111" t="s">
        <v>24</v>
      </c>
      <c r="D10111" s="2">
        <v>3866.59</v>
      </c>
      <c r="E10111" s="2">
        <v>0</v>
      </c>
      <c r="F10111" t="s">
        <v>8</v>
      </c>
      <c r="G10111" t="s">
        <v>9</v>
      </c>
    </row>
    <row r="10112" spans="1:7" x14ac:dyDescent="0.35">
      <c r="A10112">
        <v>4014</v>
      </c>
      <c r="B10112" s="1">
        <v>45818</v>
      </c>
      <c r="C10112" t="s">
        <v>24</v>
      </c>
      <c r="D10112" s="2">
        <v>0</v>
      </c>
      <c r="E10112" s="2">
        <v>3866.59</v>
      </c>
      <c r="F10112" t="s">
        <v>13</v>
      </c>
      <c r="G10112" t="s">
        <v>9</v>
      </c>
    </row>
    <row r="10113" spans="1:7" x14ac:dyDescent="0.35">
      <c r="A10113">
        <v>4015</v>
      </c>
      <c r="B10113" s="1">
        <v>45818</v>
      </c>
      <c r="C10113" t="s">
        <v>24</v>
      </c>
      <c r="D10113" s="2">
        <v>2374.0300000000002</v>
      </c>
      <c r="E10113" s="2">
        <v>0</v>
      </c>
      <c r="F10113" t="s">
        <v>8</v>
      </c>
      <c r="G10113" t="s">
        <v>9</v>
      </c>
    </row>
    <row r="10114" spans="1:7" x14ac:dyDescent="0.35">
      <c r="A10114">
        <v>4015</v>
      </c>
      <c r="B10114" s="1">
        <v>45818</v>
      </c>
      <c r="C10114" t="s">
        <v>24</v>
      </c>
      <c r="D10114" s="2">
        <v>0</v>
      </c>
      <c r="E10114" s="2">
        <v>2374.0300000000002</v>
      </c>
      <c r="F10114" t="s">
        <v>13</v>
      </c>
      <c r="G10114" t="s">
        <v>9</v>
      </c>
    </row>
    <row r="10115" spans="1:7" x14ac:dyDescent="0.35">
      <c r="A10115">
        <v>4016</v>
      </c>
      <c r="B10115" s="1">
        <v>45818</v>
      </c>
      <c r="C10115" t="s">
        <v>24</v>
      </c>
      <c r="D10115" s="2">
        <v>2707.63</v>
      </c>
      <c r="E10115" s="2">
        <v>0</v>
      </c>
      <c r="F10115" t="s">
        <v>8</v>
      </c>
      <c r="G10115" t="s">
        <v>9</v>
      </c>
    </row>
    <row r="10116" spans="1:7" x14ac:dyDescent="0.35">
      <c r="A10116">
        <v>4016</v>
      </c>
      <c r="B10116" s="1">
        <v>45818</v>
      </c>
      <c r="C10116" t="s">
        <v>24</v>
      </c>
      <c r="D10116" s="2">
        <v>0</v>
      </c>
      <c r="E10116" s="2">
        <v>2707.63</v>
      </c>
      <c r="F10116" t="s">
        <v>13</v>
      </c>
      <c r="G10116" t="s">
        <v>9</v>
      </c>
    </row>
    <row r="10117" spans="1:7" x14ac:dyDescent="0.35">
      <c r="A10117">
        <v>4017</v>
      </c>
      <c r="B10117" s="1">
        <v>45818</v>
      </c>
      <c r="C10117" t="s">
        <v>24</v>
      </c>
      <c r="D10117" s="2">
        <v>1925.77</v>
      </c>
      <c r="E10117" s="2">
        <v>0</v>
      </c>
      <c r="F10117" t="s">
        <v>8</v>
      </c>
      <c r="G10117" t="s">
        <v>9</v>
      </c>
    </row>
    <row r="10118" spans="1:7" x14ac:dyDescent="0.35">
      <c r="A10118">
        <v>4017</v>
      </c>
      <c r="B10118" s="1">
        <v>45818</v>
      </c>
      <c r="C10118" t="s">
        <v>24</v>
      </c>
      <c r="D10118" s="2">
        <v>0</v>
      </c>
      <c r="E10118" s="2">
        <v>1925.77</v>
      </c>
      <c r="F10118" t="s">
        <v>13</v>
      </c>
      <c r="G10118" t="s">
        <v>9</v>
      </c>
    </row>
    <row r="10119" spans="1:7" x14ac:dyDescent="0.35">
      <c r="A10119">
        <v>4018</v>
      </c>
      <c r="B10119" s="1">
        <v>45818</v>
      </c>
      <c r="C10119" t="s">
        <v>24</v>
      </c>
      <c r="D10119" s="2">
        <v>5873.11</v>
      </c>
      <c r="E10119" s="2">
        <v>0</v>
      </c>
      <c r="F10119" t="s">
        <v>8</v>
      </c>
      <c r="G10119" t="s">
        <v>9</v>
      </c>
    </row>
    <row r="10120" spans="1:7" x14ac:dyDescent="0.35">
      <c r="A10120">
        <v>4018</v>
      </c>
      <c r="B10120" s="1">
        <v>45818</v>
      </c>
      <c r="C10120" t="s">
        <v>24</v>
      </c>
      <c r="D10120" s="2">
        <v>0</v>
      </c>
      <c r="E10120" s="2">
        <v>5873.11</v>
      </c>
      <c r="F10120" t="s">
        <v>13</v>
      </c>
      <c r="G10120" t="s">
        <v>9</v>
      </c>
    </row>
    <row r="10121" spans="1:7" x14ac:dyDescent="0.35">
      <c r="A10121">
        <v>4019</v>
      </c>
      <c r="B10121" s="1">
        <v>45818</v>
      </c>
      <c r="C10121" t="s">
        <v>24</v>
      </c>
      <c r="D10121" s="2">
        <v>278.91000000000003</v>
      </c>
      <c r="E10121" s="2">
        <v>0</v>
      </c>
      <c r="F10121" t="s">
        <v>8</v>
      </c>
      <c r="G10121" t="s">
        <v>9</v>
      </c>
    </row>
    <row r="10122" spans="1:7" x14ac:dyDescent="0.35">
      <c r="A10122">
        <v>4019</v>
      </c>
      <c r="B10122" s="1">
        <v>45818</v>
      </c>
      <c r="C10122" t="s">
        <v>24</v>
      </c>
      <c r="D10122" s="2">
        <v>0</v>
      </c>
      <c r="E10122" s="2">
        <v>278.91000000000003</v>
      </c>
      <c r="F10122" t="s">
        <v>13</v>
      </c>
      <c r="G10122" t="s">
        <v>9</v>
      </c>
    </row>
    <row r="10123" spans="1:7" x14ac:dyDescent="0.35">
      <c r="A10123">
        <v>4020</v>
      </c>
      <c r="B10123" s="1">
        <v>45818</v>
      </c>
      <c r="C10123" t="s">
        <v>25</v>
      </c>
      <c r="D10123" s="2">
        <v>4476.71</v>
      </c>
      <c r="E10123" s="2">
        <v>0</v>
      </c>
      <c r="F10123" t="s">
        <v>26</v>
      </c>
      <c r="G10123" t="s">
        <v>20</v>
      </c>
    </row>
    <row r="10124" spans="1:7" x14ac:dyDescent="0.35">
      <c r="A10124">
        <v>4020</v>
      </c>
      <c r="B10124" s="1">
        <v>45818</v>
      </c>
      <c r="C10124" t="s">
        <v>25</v>
      </c>
      <c r="D10124" s="2">
        <v>335.75</v>
      </c>
      <c r="E10124" s="2">
        <v>0</v>
      </c>
      <c r="F10124" t="s">
        <v>27</v>
      </c>
      <c r="G10124" t="s">
        <v>9</v>
      </c>
    </row>
    <row r="10125" spans="1:7" x14ac:dyDescent="0.35">
      <c r="A10125">
        <v>4020</v>
      </c>
      <c r="B10125" s="1">
        <v>45818</v>
      </c>
      <c r="C10125" t="s">
        <v>25</v>
      </c>
      <c r="D10125" s="2">
        <v>0</v>
      </c>
      <c r="E10125" s="2">
        <v>4812.46</v>
      </c>
      <c r="F10125" t="s">
        <v>28</v>
      </c>
      <c r="G10125" t="s">
        <v>17</v>
      </c>
    </row>
    <row r="10126" spans="1:7" x14ac:dyDescent="0.35">
      <c r="A10126">
        <v>4021</v>
      </c>
      <c r="B10126" s="1">
        <v>45818</v>
      </c>
      <c r="C10126" t="s">
        <v>29</v>
      </c>
      <c r="D10126" s="2">
        <v>201.5</v>
      </c>
      <c r="E10126" s="2">
        <v>0</v>
      </c>
      <c r="F10126" t="s">
        <v>28</v>
      </c>
      <c r="G10126" t="s">
        <v>17</v>
      </c>
    </row>
    <row r="10127" spans="1:7" x14ac:dyDescent="0.35">
      <c r="A10127">
        <v>4021</v>
      </c>
      <c r="B10127" s="1">
        <v>45818</v>
      </c>
      <c r="C10127" t="s">
        <v>29</v>
      </c>
      <c r="D10127" s="2">
        <v>0</v>
      </c>
      <c r="E10127" s="2">
        <v>201.5</v>
      </c>
      <c r="F10127" t="s">
        <v>8</v>
      </c>
      <c r="G10127" t="s">
        <v>9</v>
      </c>
    </row>
    <row r="10128" spans="1:7" x14ac:dyDescent="0.35">
      <c r="A10128">
        <v>4022</v>
      </c>
      <c r="B10128" s="1">
        <v>45819</v>
      </c>
      <c r="C10128" t="s">
        <v>12</v>
      </c>
      <c r="D10128" s="2">
        <v>2938.89</v>
      </c>
      <c r="E10128" s="2">
        <v>0</v>
      </c>
      <c r="F10128" t="s">
        <v>13</v>
      </c>
      <c r="G10128" t="s">
        <v>9</v>
      </c>
    </row>
    <row r="10129" spans="1:7" x14ac:dyDescent="0.35">
      <c r="A10129">
        <v>4022</v>
      </c>
      <c r="B10129" s="1">
        <v>45819</v>
      </c>
      <c r="C10129" t="s">
        <v>12</v>
      </c>
      <c r="D10129" s="2">
        <v>0</v>
      </c>
      <c r="E10129" s="2">
        <v>2733.86</v>
      </c>
      <c r="F10129" t="s">
        <v>14</v>
      </c>
      <c r="G10129" t="s">
        <v>15</v>
      </c>
    </row>
    <row r="10130" spans="1:7" x14ac:dyDescent="0.35">
      <c r="A10130">
        <v>4022</v>
      </c>
      <c r="B10130" s="1">
        <v>45819</v>
      </c>
      <c r="C10130" t="s">
        <v>12</v>
      </c>
      <c r="D10130" s="2">
        <v>0</v>
      </c>
      <c r="E10130" s="2">
        <v>205.03</v>
      </c>
      <c r="F10130" t="s">
        <v>16</v>
      </c>
      <c r="G10130" t="s">
        <v>17</v>
      </c>
    </row>
    <row r="10131" spans="1:7" x14ac:dyDescent="0.35">
      <c r="A10131">
        <v>4023</v>
      </c>
      <c r="B10131" s="1">
        <v>45819</v>
      </c>
      <c r="C10131" t="s">
        <v>12</v>
      </c>
      <c r="D10131" s="2">
        <v>744.46</v>
      </c>
      <c r="E10131" s="2">
        <v>0</v>
      </c>
      <c r="F10131" t="s">
        <v>13</v>
      </c>
      <c r="G10131" t="s">
        <v>9</v>
      </c>
    </row>
    <row r="10132" spans="1:7" x14ac:dyDescent="0.35">
      <c r="A10132">
        <v>4023</v>
      </c>
      <c r="B10132" s="1">
        <v>45819</v>
      </c>
      <c r="C10132" t="s">
        <v>12</v>
      </c>
      <c r="D10132" s="2">
        <v>0</v>
      </c>
      <c r="E10132" s="2">
        <v>692.52</v>
      </c>
      <c r="F10132" t="s">
        <v>14</v>
      </c>
      <c r="G10132" t="s">
        <v>15</v>
      </c>
    </row>
    <row r="10133" spans="1:7" x14ac:dyDescent="0.35">
      <c r="A10133">
        <v>4023</v>
      </c>
      <c r="B10133" s="1">
        <v>45819</v>
      </c>
      <c r="C10133" t="s">
        <v>12</v>
      </c>
      <c r="D10133" s="2">
        <v>0</v>
      </c>
      <c r="E10133" s="2">
        <v>51.94</v>
      </c>
      <c r="F10133" t="s">
        <v>16</v>
      </c>
      <c r="G10133" t="s">
        <v>17</v>
      </c>
    </row>
    <row r="10134" spans="1:7" x14ac:dyDescent="0.35">
      <c r="A10134">
        <v>4024</v>
      </c>
      <c r="B10134" s="1">
        <v>45819</v>
      </c>
      <c r="C10134" t="s">
        <v>12</v>
      </c>
      <c r="D10134" s="2">
        <v>1951.86</v>
      </c>
      <c r="E10134" s="2">
        <v>0</v>
      </c>
      <c r="F10134" t="s">
        <v>13</v>
      </c>
      <c r="G10134" t="s">
        <v>9</v>
      </c>
    </row>
    <row r="10135" spans="1:7" x14ac:dyDescent="0.35">
      <c r="A10135">
        <v>4024</v>
      </c>
      <c r="B10135" s="1">
        <v>45819</v>
      </c>
      <c r="C10135" t="s">
        <v>12</v>
      </c>
      <c r="D10135" s="2">
        <v>0</v>
      </c>
      <c r="E10135" s="2">
        <v>1815.68</v>
      </c>
      <c r="F10135" t="s">
        <v>14</v>
      </c>
      <c r="G10135" t="s">
        <v>15</v>
      </c>
    </row>
    <row r="10136" spans="1:7" x14ac:dyDescent="0.35">
      <c r="A10136">
        <v>4024</v>
      </c>
      <c r="B10136" s="1">
        <v>45819</v>
      </c>
      <c r="C10136" t="s">
        <v>12</v>
      </c>
      <c r="D10136" s="2">
        <v>0</v>
      </c>
      <c r="E10136" s="2">
        <v>136.18</v>
      </c>
      <c r="F10136" t="s">
        <v>16</v>
      </c>
      <c r="G10136" t="s">
        <v>17</v>
      </c>
    </row>
    <row r="10137" spans="1:7" x14ac:dyDescent="0.35">
      <c r="A10137">
        <v>4025</v>
      </c>
      <c r="B10137" s="1">
        <v>45819</v>
      </c>
      <c r="C10137" t="s">
        <v>12</v>
      </c>
      <c r="D10137" s="2">
        <v>2140.35</v>
      </c>
      <c r="E10137" s="2">
        <v>0</v>
      </c>
      <c r="F10137" t="s">
        <v>13</v>
      </c>
      <c r="G10137" t="s">
        <v>9</v>
      </c>
    </row>
    <row r="10138" spans="1:7" x14ac:dyDescent="0.35">
      <c r="A10138">
        <v>4025</v>
      </c>
      <c r="B10138" s="1">
        <v>45819</v>
      </c>
      <c r="C10138" t="s">
        <v>12</v>
      </c>
      <c r="D10138" s="2">
        <v>0</v>
      </c>
      <c r="E10138" s="2">
        <v>1991.01</v>
      </c>
      <c r="F10138" t="s">
        <v>14</v>
      </c>
      <c r="G10138" t="s">
        <v>15</v>
      </c>
    </row>
    <row r="10139" spans="1:7" x14ac:dyDescent="0.35">
      <c r="A10139">
        <v>4025</v>
      </c>
      <c r="B10139" s="1">
        <v>45819</v>
      </c>
      <c r="C10139" t="s">
        <v>12</v>
      </c>
      <c r="D10139" s="2">
        <v>0</v>
      </c>
      <c r="E10139" s="2">
        <v>149.34</v>
      </c>
      <c r="F10139" t="s">
        <v>16</v>
      </c>
      <c r="G10139" t="s">
        <v>17</v>
      </c>
    </row>
    <row r="10140" spans="1:7" x14ac:dyDescent="0.35">
      <c r="A10140">
        <v>4026</v>
      </c>
      <c r="B10140" s="1">
        <v>45819</v>
      </c>
      <c r="C10140" t="s">
        <v>12</v>
      </c>
      <c r="D10140" s="2">
        <v>498.05</v>
      </c>
      <c r="E10140" s="2">
        <v>0</v>
      </c>
      <c r="F10140" t="s">
        <v>13</v>
      </c>
      <c r="G10140" t="s">
        <v>9</v>
      </c>
    </row>
    <row r="10141" spans="1:7" x14ac:dyDescent="0.35">
      <c r="A10141">
        <v>4026</v>
      </c>
      <c r="B10141" s="1">
        <v>45819</v>
      </c>
      <c r="C10141" t="s">
        <v>12</v>
      </c>
      <c r="D10141" s="2">
        <v>0</v>
      </c>
      <c r="E10141" s="2">
        <v>463.3</v>
      </c>
      <c r="F10141" t="s">
        <v>14</v>
      </c>
      <c r="G10141" t="s">
        <v>15</v>
      </c>
    </row>
    <row r="10142" spans="1:7" x14ac:dyDescent="0.35">
      <c r="A10142">
        <v>4026</v>
      </c>
      <c r="B10142" s="1">
        <v>45819</v>
      </c>
      <c r="C10142" t="s">
        <v>12</v>
      </c>
      <c r="D10142" s="2">
        <v>0</v>
      </c>
      <c r="E10142" s="2">
        <v>34.75</v>
      </c>
      <c r="F10142" t="s">
        <v>16</v>
      </c>
      <c r="G10142" t="s">
        <v>17</v>
      </c>
    </row>
    <row r="10143" spans="1:7" x14ac:dyDescent="0.35">
      <c r="A10143">
        <v>4027</v>
      </c>
      <c r="B10143" s="1">
        <v>45819</v>
      </c>
      <c r="C10143" t="s">
        <v>12</v>
      </c>
      <c r="D10143" s="2">
        <v>3271.32</v>
      </c>
      <c r="E10143" s="2">
        <v>0</v>
      </c>
      <c r="F10143" t="s">
        <v>13</v>
      </c>
      <c r="G10143" t="s">
        <v>9</v>
      </c>
    </row>
    <row r="10144" spans="1:7" x14ac:dyDescent="0.35">
      <c r="A10144">
        <v>4027</v>
      </c>
      <c r="B10144" s="1">
        <v>45819</v>
      </c>
      <c r="C10144" t="s">
        <v>12</v>
      </c>
      <c r="D10144" s="2">
        <v>0</v>
      </c>
      <c r="E10144" s="2">
        <v>3043.08</v>
      </c>
      <c r="F10144" t="s">
        <v>14</v>
      </c>
      <c r="G10144" t="s">
        <v>15</v>
      </c>
    </row>
    <row r="10145" spans="1:7" x14ac:dyDescent="0.35">
      <c r="A10145">
        <v>4027</v>
      </c>
      <c r="B10145" s="1">
        <v>45819</v>
      </c>
      <c r="C10145" t="s">
        <v>12</v>
      </c>
      <c r="D10145" s="2">
        <v>0</v>
      </c>
      <c r="E10145" s="2">
        <v>228.24</v>
      </c>
      <c r="F10145" t="s">
        <v>16</v>
      </c>
      <c r="G10145" t="s">
        <v>17</v>
      </c>
    </row>
    <row r="10146" spans="1:7" x14ac:dyDescent="0.35">
      <c r="A10146">
        <v>4028</v>
      </c>
      <c r="B10146" s="1">
        <v>45819</v>
      </c>
      <c r="C10146" t="s">
        <v>12</v>
      </c>
      <c r="D10146" s="2">
        <v>1991.35</v>
      </c>
      <c r="E10146" s="2">
        <v>0</v>
      </c>
      <c r="F10146" t="s">
        <v>13</v>
      </c>
      <c r="G10146" t="s">
        <v>9</v>
      </c>
    </row>
    <row r="10147" spans="1:7" x14ac:dyDescent="0.35">
      <c r="A10147">
        <v>4028</v>
      </c>
      <c r="B10147" s="1">
        <v>45819</v>
      </c>
      <c r="C10147" t="s">
        <v>12</v>
      </c>
      <c r="D10147" s="2">
        <v>0</v>
      </c>
      <c r="E10147" s="2">
        <v>1852.42</v>
      </c>
      <c r="F10147" t="s">
        <v>14</v>
      </c>
      <c r="G10147" t="s">
        <v>15</v>
      </c>
    </row>
    <row r="10148" spans="1:7" x14ac:dyDescent="0.35">
      <c r="A10148">
        <v>4028</v>
      </c>
      <c r="B10148" s="1">
        <v>45819</v>
      </c>
      <c r="C10148" t="s">
        <v>12</v>
      </c>
      <c r="D10148" s="2">
        <v>0</v>
      </c>
      <c r="E10148" s="2">
        <v>138.93</v>
      </c>
      <c r="F10148" t="s">
        <v>16</v>
      </c>
      <c r="G10148" t="s">
        <v>17</v>
      </c>
    </row>
    <row r="10149" spans="1:7" x14ac:dyDescent="0.35">
      <c r="A10149">
        <v>4029</v>
      </c>
      <c r="B10149" s="1">
        <v>45819</v>
      </c>
      <c r="C10149" t="s">
        <v>12</v>
      </c>
      <c r="D10149" s="2">
        <v>1441.7</v>
      </c>
      <c r="E10149" s="2">
        <v>0</v>
      </c>
      <c r="F10149" t="s">
        <v>13</v>
      </c>
      <c r="G10149" t="s">
        <v>9</v>
      </c>
    </row>
    <row r="10150" spans="1:7" x14ac:dyDescent="0.35">
      <c r="A10150">
        <v>4029</v>
      </c>
      <c r="B10150" s="1">
        <v>45819</v>
      </c>
      <c r="C10150" t="s">
        <v>12</v>
      </c>
      <c r="D10150" s="2">
        <v>0</v>
      </c>
      <c r="E10150" s="2">
        <v>1341.12</v>
      </c>
      <c r="F10150" t="s">
        <v>14</v>
      </c>
      <c r="G10150" t="s">
        <v>15</v>
      </c>
    </row>
    <row r="10151" spans="1:7" x14ac:dyDescent="0.35">
      <c r="A10151">
        <v>4029</v>
      </c>
      <c r="B10151" s="1">
        <v>45819</v>
      </c>
      <c r="C10151" t="s">
        <v>12</v>
      </c>
      <c r="D10151" s="2">
        <v>0</v>
      </c>
      <c r="E10151" s="2">
        <v>100.58</v>
      </c>
      <c r="F10151" t="s">
        <v>16</v>
      </c>
      <c r="G10151" t="s">
        <v>17</v>
      </c>
    </row>
    <row r="10152" spans="1:7" x14ac:dyDescent="0.35">
      <c r="A10152">
        <v>4030</v>
      </c>
      <c r="B10152" s="1">
        <v>45819</v>
      </c>
      <c r="C10152" t="s">
        <v>24</v>
      </c>
      <c r="D10152" s="2">
        <v>441.66</v>
      </c>
      <c r="E10152" s="2">
        <v>0</v>
      </c>
      <c r="F10152" t="s">
        <v>8</v>
      </c>
      <c r="G10152" t="s">
        <v>9</v>
      </c>
    </row>
    <row r="10153" spans="1:7" x14ac:dyDescent="0.35">
      <c r="A10153">
        <v>4030</v>
      </c>
      <c r="B10153" s="1">
        <v>45819</v>
      </c>
      <c r="C10153" t="s">
        <v>24</v>
      </c>
      <c r="D10153" s="2">
        <v>0</v>
      </c>
      <c r="E10153" s="2">
        <v>441.66</v>
      </c>
      <c r="F10153" t="s">
        <v>13</v>
      </c>
      <c r="G10153" t="s">
        <v>9</v>
      </c>
    </row>
    <row r="10154" spans="1:7" x14ac:dyDescent="0.35">
      <c r="A10154">
        <v>4031</v>
      </c>
      <c r="B10154" s="1">
        <v>45819</v>
      </c>
      <c r="C10154" t="s">
        <v>24</v>
      </c>
      <c r="D10154" s="2">
        <v>167.67</v>
      </c>
      <c r="E10154" s="2">
        <v>0</v>
      </c>
      <c r="F10154" t="s">
        <v>8</v>
      </c>
      <c r="G10154" t="s">
        <v>9</v>
      </c>
    </row>
    <row r="10155" spans="1:7" x14ac:dyDescent="0.35">
      <c r="A10155">
        <v>4031</v>
      </c>
      <c r="B10155" s="1">
        <v>45819</v>
      </c>
      <c r="C10155" t="s">
        <v>24</v>
      </c>
      <c r="D10155" s="2">
        <v>0</v>
      </c>
      <c r="E10155" s="2">
        <v>167.67</v>
      </c>
      <c r="F10155" t="s">
        <v>13</v>
      </c>
      <c r="G10155" t="s">
        <v>9</v>
      </c>
    </row>
    <row r="10156" spans="1:7" x14ac:dyDescent="0.35">
      <c r="A10156">
        <v>4032</v>
      </c>
      <c r="B10156" s="1">
        <v>45819</v>
      </c>
      <c r="C10156" t="s">
        <v>24</v>
      </c>
      <c r="D10156" s="2">
        <v>288.27999999999997</v>
      </c>
      <c r="E10156" s="2">
        <v>0</v>
      </c>
      <c r="F10156" t="s">
        <v>8</v>
      </c>
      <c r="G10156" t="s">
        <v>9</v>
      </c>
    </row>
    <row r="10157" spans="1:7" x14ac:dyDescent="0.35">
      <c r="A10157">
        <v>4032</v>
      </c>
      <c r="B10157" s="1">
        <v>45819</v>
      </c>
      <c r="C10157" t="s">
        <v>24</v>
      </c>
      <c r="D10157" s="2">
        <v>0</v>
      </c>
      <c r="E10157" s="2">
        <v>288.27999999999997</v>
      </c>
      <c r="F10157" t="s">
        <v>13</v>
      </c>
      <c r="G10157" t="s">
        <v>9</v>
      </c>
    </row>
    <row r="10158" spans="1:7" x14ac:dyDescent="0.35">
      <c r="A10158">
        <v>4033</v>
      </c>
      <c r="B10158" s="1">
        <v>45819</v>
      </c>
      <c r="C10158" t="s">
        <v>24</v>
      </c>
      <c r="D10158" s="2">
        <v>2902.01</v>
      </c>
      <c r="E10158" s="2">
        <v>0</v>
      </c>
      <c r="F10158" t="s">
        <v>8</v>
      </c>
      <c r="G10158" t="s">
        <v>9</v>
      </c>
    </row>
    <row r="10159" spans="1:7" x14ac:dyDescent="0.35">
      <c r="A10159">
        <v>4033</v>
      </c>
      <c r="B10159" s="1">
        <v>45819</v>
      </c>
      <c r="C10159" t="s">
        <v>24</v>
      </c>
      <c r="D10159" s="2">
        <v>0</v>
      </c>
      <c r="E10159" s="2">
        <v>2902.01</v>
      </c>
      <c r="F10159" t="s">
        <v>13</v>
      </c>
      <c r="G10159" t="s">
        <v>9</v>
      </c>
    </row>
    <row r="10160" spans="1:7" x14ac:dyDescent="0.35">
      <c r="A10160">
        <v>4034</v>
      </c>
      <c r="B10160" s="1">
        <v>45819</v>
      </c>
      <c r="C10160" t="s">
        <v>24</v>
      </c>
      <c r="D10160" s="2">
        <v>107.75</v>
      </c>
      <c r="E10160" s="2">
        <v>0</v>
      </c>
      <c r="F10160" t="s">
        <v>8</v>
      </c>
      <c r="G10160" t="s">
        <v>9</v>
      </c>
    </row>
    <row r="10161" spans="1:7" x14ac:dyDescent="0.35">
      <c r="A10161">
        <v>4034</v>
      </c>
      <c r="B10161" s="1">
        <v>45819</v>
      </c>
      <c r="C10161" t="s">
        <v>24</v>
      </c>
      <c r="D10161" s="2">
        <v>0</v>
      </c>
      <c r="E10161" s="2">
        <v>107.75</v>
      </c>
      <c r="F10161" t="s">
        <v>13</v>
      </c>
      <c r="G10161" t="s">
        <v>9</v>
      </c>
    </row>
    <row r="10162" spans="1:7" x14ac:dyDescent="0.35">
      <c r="A10162">
        <v>4035</v>
      </c>
      <c r="B10162" s="1">
        <v>45819</v>
      </c>
      <c r="C10162" t="s">
        <v>24</v>
      </c>
      <c r="D10162" s="2">
        <v>498.05</v>
      </c>
      <c r="E10162" s="2">
        <v>0</v>
      </c>
      <c r="F10162" t="s">
        <v>8</v>
      </c>
      <c r="G10162" t="s">
        <v>9</v>
      </c>
    </row>
    <row r="10163" spans="1:7" x14ac:dyDescent="0.35">
      <c r="A10163">
        <v>4035</v>
      </c>
      <c r="B10163" s="1">
        <v>45819</v>
      </c>
      <c r="C10163" t="s">
        <v>24</v>
      </c>
      <c r="D10163" s="2">
        <v>0</v>
      </c>
      <c r="E10163" s="2">
        <v>498.05</v>
      </c>
      <c r="F10163" t="s">
        <v>13</v>
      </c>
      <c r="G10163" t="s">
        <v>9</v>
      </c>
    </row>
    <row r="10164" spans="1:7" x14ac:dyDescent="0.35">
      <c r="A10164">
        <v>4036</v>
      </c>
      <c r="B10164" s="1">
        <v>45819</v>
      </c>
      <c r="C10164" t="s">
        <v>24</v>
      </c>
      <c r="D10164" s="2">
        <v>1991.35</v>
      </c>
      <c r="E10164" s="2">
        <v>0</v>
      </c>
      <c r="F10164" t="s">
        <v>8</v>
      </c>
      <c r="G10164" t="s">
        <v>9</v>
      </c>
    </row>
    <row r="10165" spans="1:7" x14ac:dyDescent="0.35">
      <c r="A10165">
        <v>4036</v>
      </c>
      <c r="B10165" s="1">
        <v>45819</v>
      </c>
      <c r="C10165" t="s">
        <v>24</v>
      </c>
      <c r="D10165" s="2">
        <v>0</v>
      </c>
      <c r="E10165" s="2">
        <v>1991.35</v>
      </c>
      <c r="F10165" t="s">
        <v>13</v>
      </c>
      <c r="G10165" t="s">
        <v>9</v>
      </c>
    </row>
    <row r="10166" spans="1:7" x14ac:dyDescent="0.35">
      <c r="A10166">
        <v>4037</v>
      </c>
      <c r="B10166" s="1">
        <v>45819</v>
      </c>
      <c r="C10166" t="s">
        <v>29</v>
      </c>
      <c r="D10166" s="2">
        <v>1958.74</v>
      </c>
      <c r="E10166" s="2">
        <v>0</v>
      </c>
      <c r="F10166" t="s">
        <v>28</v>
      </c>
      <c r="G10166" t="s">
        <v>17</v>
      </c>
    </row>
    <row r="10167" spans="1:7" x14ac:dyDescent="0.35">
      <c r="A10167">
        <v>4037</v>
      </c>
      <c r="B10167" s="1">
        <v>45819</v>
      </c>
      <c r="C10167" t="s">
        <v>29</v>
      </c>
      <c r="D10167" s="2">
        <v>0</v>
      </c>
      <c r="E10167" s="2">
        <v>1958.74</v>
      </c>
      <c r="F10167" t="s">
        <v>8</v>
      </c>
      <c r="G10167" t="s">
        <v>9</v>
      </c>
    </row>
    <row r="10168" spans="1:7" x14ac:dyDescent="0.35">
      <c r="A10168">
        <v>4038</v>
      </c>
      <c r="B10168" s="1">
        <v>45819</v>
      </c>
      <c r="C10168" t="s">
        <v>29</v>
      </c>
      <c r="D10168" s="2">
        <v>3528.97</v>
      </c>
      <c r="E10168" s="2">
        <v>0</v>
      </c>
      <c r="F10168" t="s">
        <v>28</v>
      </c>
      <c r="G10168" t="s">
        <v>17</v>
      </c>
    </row>
    <row r="10169" spans="1:7" x14ac:dyDescent="0.35">
      <c r="A10169">
        <v>4038</v>
      </c>
      <c r="B10169" s="1">
        <v>45819</v>
      </c>
      <c r="C10169" t="s">
        <v>29</v>
      </c>
      <c r="D10169" s="2">
        <v>0</v>
      </c>
      <c r="E10169" s="2">
        <v>3528.97</v>
      </c>
      <c r="F10169" t="s">
        <v>8</v>
      </c>
      <c r="G10169" t="s">
        <v>9</v>
      </c>
    </row>
    <row r="10170" spans="1:7" x14ac:dyDescent="0.35">
      <c r="A10170">
        <v>4039</v>
      </c>
      <c r="B10170" s="1">
        <v>45819</v>
      </c>
      <c r="C10170" t="s">
        <v>29</v>
      </c>
      <c r="D10170" s="2">
        <v>1304.6199999999999</v>
      </c>
      <c r="E10170" s="2">
        <v>0</v>
      </c>
      <c r="F10170" t="s">
        <v>28</v>
      </c>
      <c r="G10170" t="s">
        <v>17</v>
      </c>
    </row>
    <row r="10171" spans="1:7" x14ac:dyDescent="0.35">
      <c r="A10171">
        <v>4039</v>
      </c>
      <c r="B10171" s="1">
        <v>45819</v>
      </c>
      <c r="C10171" t="s">
        <v>29</v>
      </c>
      <c r="D10171" s="2">
        <v>0</v>
      </c>
      <c r="E10171" s="2">
        <v>1304.6199999999999</v>
      </c>
      <c r="F10171" t="s">
        <v>8</v>
      </c>
      <c r="G10171" t="s">
        <v>9</v>
      </c>
    </row>
    <row r="10172" spans="1:7" x14ac:dyDescent="0.35">
      <c r="A10172">
        <v>4040</v>
      </c>
      <c r="B10172" s="1">
        <v>45819</v>
      </c>
      <c r="C10172" t="s">
        <v>29</v>
      </c>
      <c r="D10172" s="2">
        <v>2093.2800000000002</v>
      </c>
      <c r="E10172" s="2">
        <v>0</v>
      </c>
      <c r="F10172" t="s">
        <v>28</v>
      </c>
      <c r="G10172" t="s">
        <v>17</v>
      </c>
    </row>
    <row r="10173" spans="1:7" x14ac:dyDescent="0.35">
      <c r="A10173">
        <v>4040</v>
      </c>
      <c r="B10173" s="1">
        <v>45819</v>
      </c>
      <c r="C10173" t="s">
        <v>29</v>
      </c>
      <c r="D10173" s="2">
        <v>0</v>
      </c>
      <c r="E10173" s="2">
        <v>2093.2800000000002</v>
      </c>
      <c r="F10173" t="s">
        <v>8</v>
      </c>
      <c r="G10173" t="s">
        <v>9</v>
      </c>
    </row>
    <row r="10174" spans="1:7" x14ac:dyDescent="0.35">
      <c r="A10174">
        <v>4041</v>
      </c>
      <c r="B10174" s="1">
        <v>45820</v>
      </c>
      <c r="C10174" t="s">
        <v>12</v>
      </c>
      <c r="D10174" s="2">
        <v>1282.93</v>
      </c>
      <c r="E10174" s="2">
        <v>0</v>
      </c>
      <c r="F10174" t="s">
        <v>13</v>
      </c>
      <c r="G10174" t="s">
        <v>9</v>
      </c>
    </row>
    <row r="10175" spans="1:7" x14ac:dyDescent="0.35">
      <c r="A10175">
        <v>4041</v>
      </c>
      <c r="B10175" s="1">
        <v>45820</v>
      </c>
      <c r="C10175" t="s">
        <v>12</v>
      </c>
      <c r="D10175" s="2">
        <v>0</v>
      </c>
      <c r="E10175" s="2">
        <v>1193.43</v>
      </c>
      <c r="F10175" t="s">
        <v>14</v>
      </c>
      <c r="G10175" t="s">
        <v>15</v>
      </c>
    </row>
    <row r="10176" spans="1:7" x14ac:dyDescent="0.35">
      <c r="A10176">
        <v>4041</v>
      </c>
      <c r="B10176" s="1">
        <v>45820</v>
      </c>
      <c r="C10176" t="s">
        <v>12</v>
      </c>
      <c r="D10176" s="2">
        <v>0</v>
      </c>
      <c r="E10176" s="2">
        <v>89.5</v>
      </c>
      <c r="F10176" t="s">
        <v>16</v>
      </c>
      <c r="G10176" t="s">
        <v>17</v>
      </c>
    </row>
    <row r="10177" spans="1:7" x14ac:dyDescent="0.35">
      <c r="A10177">
        <v>4042</v>
      </c>
      <c r="B10177" s="1">
        <v>45820</v>
      </c>
      <c r="C10177" t="s">
        <v>12</v>
      </c>
      <c r="D10177" s="2">
        <v>2430.73</v>
      </c>
      <c r="E10177" s="2">
        <v>0</v>
      </c>
      <c r="F10177" t="s">
        <v>13</v>
      </c>
      <c r="G10177" t="s">
        <v>9</v>
      </c>
    </row>
    <row r="10178" spans="1:7" x14ac:dyDescent="0.35">
      <c r="A10178">
        <v>4042</v>
      </c>
      <c r="B10178" s="1">
        <v>45820</v>
      </c>
      <c r="C10178" t="s">
        <v>12</v>
      </c>
      <c r="D10178" s="2">
        <v>0</v>
      </c>
      <c r="E10178" s="2">
        <v>2261.15</v>
      </c>
      <c r="F10178" t="s">
        <v>14</v>
      </c>
      <c r="G10178" t="s">
        <v>15</v>
      </c>
    </row>
    <row r="10179" spans="1:7" x14ac:dyDescent="0.35">
      <c r="A10179">
        <v>4042</v>
      </c>
      <c r="B10179" s="1">
        <v>45820</v>
      </c>
      <c r="C10179" t="s">
        <v>12</v>
      </c>
      <c r="D10179" s="2">
        <v>0</v>
      </c>
      <c r="E10179" s="2">
        <v>169.58</v>
      </c>
      <c r="F10179" t="s">
        <v>16</v>
      </c>
      <c r="G10179" t="s">
        <v>17</v>
      </c>
    </row>
    <row r="10180" spans="1:7" x14ac:dyDescent="0.35">
      <c r="A10180">
        <v>4043</v>
      </c>
      <c r="B10180" s="1">
        <v>45820</v>
      </c>
      <c r="C10180" t="s">
        <v>12</v>
      </c>
      <c r="D10180" s="2">
        <v>4290.21</v>
      </c>
      <c r="E10180" s="2">
        <v>0</v>
      </c>
      <c r="F10180" t="s">
        <v>13</v>
      </c>
      <c r="G10180" t="s">
        <v>9</v>
      </c>
    </row>
    <row r="10181" spans="1:7" x14ac:dyDescent="0.35">
      <c r="A10181">
        <v>4043</v>
      </c>
      <c r="B10181" s="1">
        <v>45820</v>
      </c>
      <c r="C10181" t="s">
        <v>12</v>
      </c>
      <c r="D10181" s="2">
        <v>0</v>
      </c>
      <c r="E10181" s="2">
        <v>3990.9</v>
      </c>
      <c r="F10181" t="s">
        <v>14</v>
      </c>
      <c r="G10181" t="s">
        <v>15</v>
      </c>
    </row>
    <row r="10182" spans="1:7" x14ac:dyDescent="0.35">
      <c r="A10182">
        <v>4043</v>
      </c>
      <c r="B10182" s="1">
        <v>45820</v>
      </c>
      <c r="C10182" t="s">
        <v>12</v>
      </c>
      <c r="D10182" s="2">
        <v>0</v>
      </c>
      <c r="E10182" s="2">
        <v>299.31</v>
      </c>
      <c r="F10182" t="s">
        <v>16</v>
      </c>
      <c r="G10182" t="s">
        <v>17</v>
      </c>
    </row>
    <row r="10183" spans="1:7" x14ac:dyDescent="0.35">
      <c r="A10183">
        <v>4044</v>
      </c>
      <c r="B10183" s="1">
        <v>45820</v>
      </c>
      <c r="C10183" t="s">
        <v>12</v>
      </c>
      <c r="D10183" s="2">
        <v>1706.78</v>
      </c>
      <c r="E10183" s="2">
        <v>0</v>
      </c>
      <c r="F10183" t="s">
        <v>13</v>
      </c>
      <c r="G10183" t="s">
        <v>9</v>
      </c>
    </row>
    <row r="10184" spans="1:7" x14ac:dyDescent="0.35">
      <c r="A10184">
        <v>4044</v>
      </c>
      <c r="B10184" s="1">
        <v>45820</v>
      </c>
      <c r="C10184" t="s">
        <v>12</v>
      </c>
      <c r="D10184" s="2">
        <v>0</v>
      </c>
      <c r="E10184" s="2">
        <v>1587.7</v>
      </c>
      <c r="F10184" t="s">
        <v>14</v>
      </c>
      <c r="G10184" t="s">
        <v>15</v>
      </c>
    </row>
    <row r="10185" spans="1:7" x14ac:dyDescent="0.35">
      <c r="A10185">
        <v>4044</v>
      </c>
      <c r="B10185" s="1">
        <v>45820</v>
      </c>
      <c r="C10185" t="s">
        <v>12</v>
      </c>
      <c r="D10185" s="2">
        <v>0</v>
      </c>
      <c r="E10185" s="2">
        <v>119.08</v>
      </c>
      <c r="F10185" t="s">
        <v>16</v>
      </c>
      <c r="G10185" t="s">
        <v>17</v>
      </c>
    </row>
    <row r="10186" spans="1:7" x14ac:dyDescent="0.35">
      <c r="A10186">
        <v>4045</v>
      </c>
      <c r="B10186" s="1">
        <v>45820</v>
      </c>
      <c r="C10186" t="s">
        <v>24</v>
      </c>
      <c r="D10186" s="2">
        <v>2167.83</v>
      </c>
      <c r="E10186" s="2">
        <v>0</v>
      </c>
      <c r="F10186" t="s">
        <v>8</v>
      </c>
      <c r="G10186" t="s">
        <v>9</v>
      </c>
    </row>
    <row r="10187" spans="1:7" x14ac:dyDescent="0.35">
      <c r="A10187">
        <v>4045</v>
      </c>
      <c r="B10187" s="1">
        <v>45820</v>
      </c>
      <c r="C10187" t="s">
        <v>24</v>
      </c>
      <c r="D10187" s="2">
        <v>0</v>
      </c>
      <c r="E10187" s="2">
        <v>2167.83</v>
      </c>
      <c r="F10187" t="s">
        <v>13</v>
      </c>
      <c r="G10187" t="s">
        <v>9</v>
      </c>
    </row>
    <row r="10188" spans="1:7" x14ac:dyDescent="0.35">
      <c r="A10188">
        <v>4046</v>
      </c>
      <c r="B10188" s="1">
        <v>45820</v>
      </c>
      <c r="C10188" t="s">
        <v>24</v>
      </c>
      <c r="D10188" s="2">
        <v>2396.9699999999998</v>
      </c>
      <c r="E10188" s="2">
        <v>0</v>
      </c>
      <c r="F10188" t="s">
        <v>8</v>
      </c>
      <c r="G10188" t="s">
        <v>9</v>
      </c>
    </row>
    <row r="10189" spans="1:7" x14ac:dyDescent="0.35">
      <c r="A10189">
        <v>4046</v>
      </c>
      <c r="B10189" s="1">
        <v>45820</v>
      </c>
      <c r="C10189" t="s">
        <v>24</v>
      </c>
      <c r="D10189" s="2">
        <v>0</v>
      </c>
      <c r="E10189" s="2">
        <v>2396.9699999999998</v>
      </c>
      <c r="F10189" t="s">
        <v>13</v>
      </c>
      <c r="G10189" t="s">
        <v>9</v>
      </c>
    </row>
    <row r="10190" spans="1:7" x14ac:dyDescent="0.35">
      <c r="A10190">
        <v>4047</v>
      </c>
      <c r="B10190" s="1">
        <v>45820</v>
      </c>
      <c r="C10190" t="s">
        <v>25</v>
      </c>
      <c r="D10190" s="2">
        <v>3598.88</v>
      </c>
      <c r="E10190" s="2">
        <v>0</v>
      </c>
      <c r="F10190" t="s">
        <v>26</v>
      </c>
      <c r="G10190" t="s">
        <v>20</v>
      </c>
    </row>
    <row r="10191" spans="1:7" x14ac:dyDescent="0.35">
      <c r="A10191">
        <v>4047</v>
      </c>
      <c r="B10191" s="1">
        <v>45820</v>
      </c>
      <c r="C10191" t="s">
        <v>25</v>
      </c>
      <c r="D10191" s="2">
        <v>269.92</v>
      </c>
      <c r="E10191" s="2">
        <v>0</v>
      </c>
      <c r="F10191" t="s">
        <v>27</v>
      </c>
      <c r="G10191" t="s">
        <v>9</v>
      </c>
    </row>
    <row r="10192" spans="1:7" x14ac:dyDescent="0.35">
      <c r="A10192">
        <v>4047</v>
      </c>
      <c r="B10192" s="1">
        <v>45820</v>
      </c>
      <c r="C10192" t="s">
        <v>25</v>
      </c>
      <c r="D10192" s="2">
        <v>0</v>
      </c>
      <c r="E10192" s="2">
        <v>3868.8</v>
      </c>
      <c r="F10192" t="s">
        <v>28</v>
      </c>
      <c r="G10192" t="s">
        <v>17</v>
      </c>
    </row>
    <row r="10193" spans="1:7" x14ac:dyDescent="0.35">
      <c r="A10193">
        <v>4048</v>
      </c>
      <c r="B10193" s="1">
        <v>45820</v>
      </c>
      <c r="C10193" t="s">
        <v>25</v>
      </c>
      <c r="D10193" s="2">
        <v>952.02</v>
      </c>
      <c r="E10193" s="2">
        <v>0</v>
      </c>
      <c r="F10193" t="s">
        <v>26</v>
      </c>
      <c r="G10193" t="s">
        <v>20</v>
      </c>
    </row>
    <row r="10194" spans="1:7" x14ac:dyDescent="0.35">
      <c r="A10194">
        <v>4048</v>
      </c>
      <c r="B10194" s="1">
        <v>45820</v>
      </c>
      <c r="C10194" t="s">
        <v>25</v>
      </c>
      <c r="D10194" s="2">
        <v>71.400000000000006</v>
      </c>
      <c r="E10194" s="2">
        <v>0</v>
      </c>
      <c r="F10194" t="s">
        <v>27</v>
      </c>
      <c r="G10194" t="s">
        <v>9</v>
      </c>
    </row>
    <row r="10195" spans="1:7" x14ac:dyDescent="0.35">
      <c r="A10195">
        <v>4048</v>
      </c>
      <c r="B10195" s="1">
        <v>45820</v>
      </c>
      <c r="C10195" t="s">
        <v>25</v>
      </c>
      <c r="D10195" s="2">
        <v>0</v>
      </c>
      <c r="E10195" s="2">
        <v>1023.42</v>
      </c>
      <c r="F10195" t="s">
        <v>28</v>
      </c>
      <c r="G10195" t="s">
        <v>17</v>
      </c>
    </row>
    <row r="10196" spans="1:7" x14ac:dyDescent="0.35">
      <c r="A10196">
        <v>4049</v>
      </c>
      <c r="B10196" s="1">
        <v>45820</v>
      </c>
      <c r="C10196" t="s">
        <v>29</v>
      </c>
      <c r="D10196" s="2">
        <v>7227.44</v>
      </c>
      <c r="E10196" s="2">
        <v>0</v>
      </c>
      <c r="F10196" t="s">
        <v>28</v>
      </c>
      <c r="G10196" t="s">
        <v>17</v>
      </c>
    </row>
    <row r="10197" spans="1:7" x14ac:dyDescent="0.35">
      <c r="A10197">
        <v>4049</v>
      </c>
      <c r="B10197" s="1">
        <v>45820</v>
      </c>
      <c r="C10197" t="s">
        <v>29</v>
      </c>
      <c r="D10197" s="2">
        <v>0</v>
      </c>
      <c r="E10197" s="2">
        <v>7227.44</v>
      </c>
      <c r="F10197" t="s">
        <v>8</v>
      </c>
      <c r="G10197" t="s">
        <v>9</v>
      </c>
    </row>
    <row r="10198" spans="1:7" x14ac:dyDescent="0.35">
      <c r="A10198">
        <v>4050</v>
      </c>
      <c r="B10198" s="1">
        <v>45820</v>
      </c>
      <c r="C10198" t="s">
        <v>29</v>
      </c>
      <c r="D10198" s="2">
        <v>3528.97</v>
      </c>
      <c r="E10198" s="2">
        <v>0</v>
      </c>
      <c r="F10198" t="s">
        <v>28</v>
      </c>
      <c r="G10198" t="s">
        <v>17</v>
      </c>
    </row>
    <row r="10199" spans="1:7" x14ac:dyDescent="0.35">
      <c r="A10199">
        <v>4050</v>
      </c>
      <c r="B10199" s="1">
        <v>45820</v>
      </c>
      <c r="C10199" t="s">
        <v>29</v>
      </c>
      <c r="D10199" s="2">
        <v>0</v>
      </c>
      <c r="E10199" s="2">
        <v>3528.97</v>
      </c>
      <c r="F10199" t="s">
        <v>8</v>
      </c>
      <c r="G10199" t="s">
        <v>9</v>
      </c>
    </row>
    <row r="10200" spans="1:7" x14ac:dyDescent="0.35">
      <c r="A10200">
        <v>4051</v>
      </c>
      <c r="B10200" s="1">
        <v>45821</v>
      </c>
      <c r="C10200" t="s">
        <v>12</v>
      </c>
      <c r="D10200" s="2">
        <v>919.05</v>
      </c>
      <c r="E10200" s="2">
        <v>0</v>
      </c>
      <c r="F10200" t="s">
        <v>13</v>
      </c>
      <c r="G10200" t="s">
        <v>9</v>
      </c>
    </row>
    <row r="10201" spans="1:7" x14ac:dyDescent="0.35">
      <c r="A10201">
        <v>4051</v>
      </c>
      <c r="B10201" s="1">
        <v>45821</v>
      </c>
      <c r="C10201" t="s">
        <v>12</v>
      </c>
      <c r="D10201" s="2">
        <v>0</v>
      </c>
      <c r="E10201" s="2">
        <v>854.93</v>
      </c>
      <c r="F10201" t="s">
        <v>14</v>
      </c>
      <c r="G10201" t="s">
        <v>15</v>
      </c>
    </row>
    <row r="10202" spans="1:7" x14ac:dyDescent="0.35">
      <c r="A10202">
        <v>4051</v>
      </c>
      <c r="B10202" s="1">
        <v>45821</v>
      </c>
      <c r="C10202" t="s">
        <v>12</v>
      </c>
      <c r="D10202" s="2">
        <v>0</v>
      </c>
      <c r="E10202" s="2">
        <v>64.12</v>
      </c>
      <c r="F10202" t="s">
        <v>16</v>
      </c>
      <c r="G10202" t="s">
        <v>17</v>
      </c>
    </row>
    <row r="10203" spans="1:7" x14ac:dyDescent="0.35">
      <c r="A10203">
        <v>4052</v>
      </c>
      <c r="B10203" s="1">
        <v>45821</v>
      </c>
      <c r="C10203" t="s">
        <v>12</v>
      </c>
      <c r="D10203" s="2">
        <v>1360.79</v>
      </c>
      <c r="E10203" s="2">
        <v>0</v>
      </c>
      <c r="F10203" t="s">
        <v>13</v>
      </c>
      <c r="G10203" t="s">
        <v>9</v>
      </c>
    </row>
    <row r="10204" spans="1:7" x14ac:dyDescent="0.35">
      <c r="A10204">
        <v>4052</v>
      </c>
      <c r="B10204" s="1">
        <v>45821</v>
      </c>
      <c r="C10204" t="s">
        <v>12</v>
      </c>
      <c r="D10204" s="2">
        <v>0</v>
      </c>
      <c r="E10204" s="2">
        <v>1265.8599999999999</v>
      </c>
      <c r="F10204" t="s">
        <v>14</v>
      </c>
      <c r="G10204" t="s">
        <v>15</v>
      </c>
    </row>
    <row r="10205" spans="1:7" x14ac:dyDescent="0.35">
      <c r="A10205">
        <v>4052</v>
      </c>
      <c r="B10205" s="1">
        <v>45821</v>
      </c>
      <c r="C10205" t="s">
        <v>12</v>
      </c>
      <c r="D10205" s="2">
        <v>0</v>
      </c>
      <c r="E10205" s="2">
        <v>94.93</v>
      </c>
      <c r="F10205" t="s">
        <v>16</v>
      </c>
      <c r="G10205" t="s">
        <v>17</v>
      </c>
    </row>
    <row r="10206" spans="1:7" x14ac:dyDescent="0.35">
      <c r="A10206">
        <v>4053</v>
      </c>
      <c r="B10206" s="1">
        <v>45821</v>
      </c>
      <c r="C10206" t="s">
        <v>12</v>
      </c>
      <c r="D10206" s="2">
        <v>1338.43</v>
      </c>
      <c r="E10206" s="2">
        <v>0</v>
      </c>
      <c r="F10206" t="s">
        <v>13</v>
      </c>
      <c r="G10206" t="s">
        <v>9</v>
      </c>
    </row>
    <row r="10207" spans="1:7" x14ac:dyDescent="0.35">
      <c r="A10207">
        <v>4053</v>
      </c>
      <c r="B10207" s="1">
        <v>45821</v>
      </c>
      <c r="C10207" t="s">
        <v>12</v>
      </c>
      <c r="D10207" s="2">
        <v>0</v>
      </c>
      <c r="E10207" s="2">
        <v>1245.05</v>
      </c>
      <c r="F10207" t="s">
        <v>14</v>
      </c>
      <c r="G10207" t="s">
        <v>15</v>
      </c>
    </row>
    <row r="10208" spans="1:7" x14ac:dyDescent="0.35">
      <c r="A10208">
        <v>4053</v>
      </c>
      <c r="B10208" s="1">
        <v>45821</v>
      </c>
      <c r="C10208" t="s">
        <v>12</v>
      </c>
      <c r="D10208" s="2">
        <v>0</v>
      </c>
      <c r="E10208" s="2">
        <v>93.38</v>
      </c>
      <c r="F10208" t="s">
        <v>16</v>
      </c>
      <c r="G10208" t="s">
        <v>17</v>
      </c>
    </row>
    <row r="10209" spans="1:7" x14ac:dyDescent="0.35">
      <c r="A10209">
        <v>4054</v>
      </c>
      <c r="B10209" s="1">
        <v>45821</v>
      </c>
      <c r="C10209" t="s">
        <v>12</v>
      </c>
      <c r="D10209" s="2">
        <v>1970.44</v>
      </c>
      <c r="E10209" s="2">
        <v>0</v>
      </c>
      <c r="F10209" t="s">
        <v>13</v>
      </c>
      <c r="G10209" t="s">
        <v>9</v>
      </c>
    </row>
    <row r="10210" spans="1:7" x14ac:dyDescent="0.35">
      <c r="A10210">
        <v>4054</v>
      </c>
      <c r="B10210" s="1">
        <v>45821</v>
      </c>
      <c r="C10210" t="s">
        <v>12</v>
      </c>
      <c r="D10210" s="2">
        <v>0</v>
      </c>
      <c r="E10210" s="2">
        <v>1832.96</v>
      </c>
      <c r="F10210" t="s">
        <v>14</v>
      </c>
      <c r="G10210" t="s">
        <v>15</v>
      </c>
    </row>
    <row r="10211" spans="1:7" x14ac:dyDescent="0.35">
      <c r="A10211">
        <v>4054</v>
      </c>
      <c r="B10211" s="1">
        <v>45821</v>
      </c>
      <c r="C10211" t="s">
        <v>12</v>
      </c>
      <c r="D10211" s="2">
        <v>0</v>
      </c>
      <c r="E10211" s="2">
        <v>137.47999999999999</v>
      </c>
      <c r="F10211" t="s">
        <v>16</v>
      </c>
      <c r="G10211" t="s">
        <v>17</v>
      </c>
    </row>
    <row r="10212" spans="1:7" x14ac:dyDescent="0.35">
      <c r="A10212">
        <v>4055</v>
      </c>
      <c r="B10212" s="1">
        <v>45821</v>
      </c>
      <c r="C10212" t="s">
        <v>12</v>
      </c>
      <c r="D10212" s="2">
        <v>2346.31</v>
      </c>
      <c r="E10212" s="2">
        <v>0</v>
      </c>
      <c r="F10212" t="s">
        <v>13</v>
      </c>
      <c r="G10212" t="s">
        <v>9</v>
      </c>
    </row>
    <row r="10213" spans="1:7" x14ac:dyDescent="0.35">
      <c r="A10213">
        <v>4055</v>
      </c>
      <c r="B10213" s="1">
        <v>45821</v>
      </c>
      <c r="C10213" t="s">
        <v>12</v>
      </c>
      <c r="D10213" s="2">
        <v>0</v>
      </c>
      <c r="E10213" s="2">
        <v>2182.62</v>
      </c>
      <c r="F10213" t="s">
        <v>14</v>
      </c>
      <c r="G10213" t="s">
        <v>15</v>
      </c>
    </row>
    <row r="10214" spans="1:7" x14ac:dyDescent="0.35">
      <c r="A10214">
        <v>4055</v>
      </c>
      <c r="B10214" s="1">
        <v>45821</v>
      </c>
      <c r="C10214" t="s">
        <v>12</v>
      </c>
      <c r="D10214" s="2">
        <v>0</v>
      </c>
      <c r="E10214" s="2">
        <v>163.69</v>
      </c>
      <c r="F10214" t="s">
        <v>16</v>
      </c>
      <c r="G10214" t="s">
        <v>17</v>
      </c>
    </row>
    <row r="10215" spans="1:7" x14ac:dyDescent="0.35">
      <c r="A10215">
        <v>4056</v>
      </c>
      <c r="B10215" s="1">
        <v>45821</v>
      </c>
      <c r="C10215" t="s">
        <v>24</v>
      </c>
      <c r="D10215" s="2">
        <v>4585.82</v>
      </c>
      <c r="E10215" s="2">
        <v>0</v>
      </c>
      <c r="F10215" t="s">
        <v>8</v>
      </c>
      <c r="G10215" t="s">
        <v>9</v>
      </c>
    </row>
    <row r="10216" spans="1:7" x14ac:dyDescent="0.35">
      <c r="A10216">
        <v>4056</v>
      </c>
      <c r="B10216" s="1">
        <v>45821</v>
      </c>
      <c r="C10216" t="s">
        <v>24</v>
      </c>
      <c r="D10216" s="2">
        <v>0</v>
      </c>
      <c r="E10216" s="2">
        <v>4585.82</v>
      </c>
      <c r="F10216" t="s">
        <v>13</v>
      </c>
      <c r="G10216" t="s">
        <v>9</v>
      </c>
    </row>
    <row r="10217" spans="1:7" x14ac:dyDescent="0.35">
      <c r="A10217">
        <v>4057</v>
      </c>
      <c r="B10217" s="1">
        <v>45821</v>
      </c>
      <c r="C10217" t="s">
        <v>24</v>
      </c>
      <c r="D10217" s="2">
        <v>1177.19</v>
      </c>
      <c r="E10217" s="2">
        <v>0</v>
      </c>
      <c r="F10217" t="s">
        <v>8</v>
      </c>
      <c r="G10217" t="s">
        <v>9</v>
      </c>
    </row>
    <row r="10218" spans="1:7" x14ac:dyDescent="0.35">
      <c r="A10218">
        <v>4057</v>
      </c>
      <c r="B10218" s="1">
        <v>45821</v>
      </c>
      <c r="C10218" t="s">
        <v>24</v>
      </c>
      <c r="D10218" s="2">
        <v>0</v>
      </c>
      <c r="E10218" s="2">
        <v>1177.19</v>
      </c>
      <c r="F10218" t="s">
        <v>13</v>
      </c>
      <c r="G10218" t="s">
        <v>9</v>
      </c>
    </row>
    <row r="10219" spans="1:7" x14ac:dyDescent="0.35">
      <c r="A10219">
        <v>4058</v>
      </c>
      <c r="B10219" s="1">
        <v>45821</v>
      </c>
      <c r="C10219" t="s">
        <v>24</v>
      </c>
      <c r="D10219" s="2">
        <v>2706.36</v>
      </c>
      <c r="E10219" s="2">
        <v>0</v>
      </c>
      <c r="F10219" t="s">
        <v>8</v>
      </c>
      <c r="G10219" t="s">
        <v>9</v>
      </c>
    </row>
    <row r="10220" spans="1:7" x14ac:dyDescent="0.35">
      <c r="A10220">
        <v>4058</v>
      </c>
      <c r="B10220" s="1">
        <v>45821</v>
      </c>
      <c r="C10220" t="s">
        <v>24</v>
      </c>
      <c r="D10220" s="2">
        <v>0</v>
      </c>
      <c r="E10220" s="2">
        <v>2706.36</v>
      </c>
      <c r="F10220" t="s">
        <v>13</v>
      </c>
      <c r="G10220" t="s">
        <v>9</v>
      </c>
    </row>
    <row r="10221" spans="1:7" x14ac:dyDescent="0.35">
      <c r="A10221">
        <v>4059</v>
      </c>
      <c r="B10221" s="1">
        <v>45821</v>
      </c>
      <c r="C10221" t="s">
        <v>24</v>
      </c>
      <c r="D10221" s="2">
        <v>2307.02</v>
      </c>
      <c r="E10221" s="2">
        <v>0</v>
      </c>
      <c r="F10221" t="s">
        <v>8</v>
      </c>
      <c r="G10221" t="s">
        <v>9</v>
      </c>
    </row>
    <row r="10222" spans="1:7" x14ac:dyDescent="0.35">
      <c r="A10222">
        <v>4059</v>
      </c>
      <c r="B10222" s="1">
        <v>45821</v>
      </c>
      <c r="C10222" t="s">
        <v>24</v>
      </c>
      <c r="D10222" s="2">
        <v>0</v>
      </c>
      <c r="E10222" s="2">
        <v>2307.02</v>
      </c>
      <c r="F10222" t="s">
        <v>13</v>
      </c>
      <c r="G10222" t="s">
        <v>9</v>
      </c>
    </row>
    <row r="10223" spans="1:7" x14ac:dyDescent="0.35">
      <c r="A10223">
        <v>4060</v>
      </c>
      <c r="B10223" s="1">
        <v>45821</v>
      </c>
      <c r="C10223" t="s">
        <v>24</v>
      </c>
      <c r="D10223" s="2">
        <v>5162.6099999999997</v>
      </c>
      <c r="E10223" s="2">
        <v>0</v>
      </c>
      <c r="F10223" t="s">
        <v>8</v>
      </c>
      <c r="G10223" t="s">
        <v>9</v>
      </c>
    </row>
    <row r="10224" spans="1:7" x14ac:dyDescent="0.35">
      <c r="A10224">
        <v>4060</v>
      </c>
      <c r="B10224" s="1">
        <v>45821</v>
      </c>
      <c r="C10224" t="s">
        <v>24</v>
      </c>
      <c r="D10224" s="2">
        <v>0</v>
      </c>
      <c r="E10224" s="2">
        <v>5162.6099999999997</v>
      </c>
      <c r="F10224" t="s">
        <v>13</v>
      </c>
      <c r="G10224" t="s">
        <v>9</v>
      </c>
    </row>
    <row r="10225" spans="1:7" x14ac:dyDescent="0.35">
      <c r="A10225">
        <v>4061</v>
      </c>
      <c r="B10225" s="1">
        <v>45821</v>
      </c>
      <c r="C10225" t="s">
        <v>24</v>
      </c>
      <c r="D10225" s="2">
        <v>1468.41</v>
      </c>
      <c r="E10225" s="2">
        <v>0</v>
      </c>
      <c r="F10225" t="s">
        <v>8</v>
      </c>
      <c r="G10225" t="s">
        <v>9</v>
      </c>
    </row>
    <row r="10226" spans="1:7" x14ac:dyDescent="0.35">
      <c r="A10226">
        <v>4061</v>
      </c>
      <c r="B10226" s="1">
        <v>45821</v>
      </c>
      <c r="C10226" t="s">
        <v>24</v>
      </c>
      <c r="D10226" s="2">
        <v>0</v>
      </c>
      <c r="E10226" s="2">
        <v>1468.41</v>
      </c>
      <c r="F10226" t="s">
        <v>13</v>
      </c>
      <c r="G10226" t="s">
        <v>9</v>
      </c>
    </row>
    <row r="10227" spans="1:7" x14ac:dyDescent="0.35">
      <c r="A10227">
        <v>4062</v>
      </c>
      <c r="B10227" s="1">
        <v>45821</v>
      </c>
      <c r="C10227" t="s">
        <v>24</v>
      </c>
      <c r="D10227" s="2">
        <v>705.01</v>
      </c>
      <c r="E10227" s="2">
        <v>0</v>
      </c>
      <c r="F10227" t="s">
        <v>8</v>
      </c>
      <c r="G10227" t="s">
        <v>9</v>
      </c>
    </row>
    <row r="10228" spans="1:7" x14ac:dyDescent="0.35">
      <c r="A10228">
        <v>4062</v>
      </c>
      <c r="B10228" s="1">
        <v>45821</v>
      </c>
      <c r="C10228" t="s">
        <v>24</v>
      </c>
      <c r="D10228" s="2">
        <v>0</v>
      </c>
      <c r="E10228" s="2">
        <v>705.01</v>
      </c>
      <c r="F10228" t="s">
        <v>13</v>
      </c>
      <c r="G10228" t="s">
        <v>9</v>
      </c>
    </row>
    <row r="10229" spans="1:7" x14ac:dyDescent="0.35">
      <c r="A10229">
        <v>4063</v>
      </c>
      <c r="B10229" s="1">
        <v>45821</v>
      </c>
      <c r="C10229" t="s">
        <v>25</v>
      </c>
      <c r="D10229" s="2">
        <v>2714.58</v>
      </c>
      <c r="E10229" s="2">
        <v>0</v>
      </c>
      <c r="F10229" t="s">
        <v>26</v>
      </c>
      <c r="G10229" t="s">
        <v>20</v>
      </c>
    </row>
    <row r="10230" spans="1:7" x14ac:dyDescent="0.35">
      <c r="A10230">
        <v>4063</v>
      </c>
      <c r="B10230" s="1">
        <v>45821</v>
      </c>
      <c r="C10230" t="s">
        <v>25</v>
      </c>
      <c r="D10230" s="2">
        <v>203.59</v>
      </c>
      <c r="E10230" s="2">
        <v>0</v>
      </c>
      <c r="F10230" t="s">
        <v>27</v>
      </c>
      <c r="G10230" t="s">
        <v>9</v>
      </c>
    </row>
    <row r="10231" spans="1:7" x14ac:dyDescent="0.35">
      <c r="A10231">
        <v>4063</v>
      </c>
      <c r="B10231" s="1">
        <v>45821</v>
      </c>
      <c r="C10231" t="s">
        <v>25</v>
      </c>
      <c r="D10231" s="2">
        <v>0</v>
      </c>
      <c r="E10231" s="2">
        <v>2918.17</v>
      </c>
      <c r="F10231" t="s">
        <v>28</v>
      </c>
      <c r="G10231" t="s">
        <v>17</v>
      </c>
    </row>
    <row r="10232" spans="1:7" x14ac:dyDescent="0.35">
      <c r="A10232">
        <v>4064</v>
      </c>
      <c r="B10232" s="1">
        <v>45821</v>
      </c>
      <c r="C10232" t="s">
        <v>25</v>
      </c>
      <c r="D10232" s="2">
        <v>3282.76</v>
      </c>
      <c r="E10232" s="2">
        <v>0</v>
      </c>
      <c r="F10232" t="s">
        <v>26</v>
      </c>
      <c r="G10232" t="s">
        <v>20</v>
      </c>
    </row>
    <row r="10233" spans="1:7" x14ac:dyDescent="0.35">
      <c r="A10233">
        <v>4064</v>
      </c>
      <c r="B10233" s="1">
        <v>45821</v>
      </c>
      <c r="C10233" t="s">
        <v>25</v>
      </c>
      <c r="D10233" s="2">
        <v>246.21</v>
      </c>
      <c r="E10233" s="2">
        <v>0</v>
      </c>
      <c r="F10233" t="s">
        <v>27</v>
      </c>
      <c r="G10233" t="s">
        <v>9</v>
      </c>
    </row>
    <row r="10234" spans="1:7" x14ac:dyDescent="0.35">
      <c r="A10234">
        <v>4064</v>
      </c>
      <c r="B10234" s="1">
        <v>45821</v>
      </c>
      <c r="C10234" t="s">
        <v>25</v>
      </c>
      <c r="D10234" s="2">
        <v>0</v>
      </c>
      <c r="E10234" s="2">
        <v>3528.97</v>
      </c>
      <c r="F10234" t="s">
        <v>28</v>
      </c>
      <c r="G10234" t="s">
        <v>17</v>
      </c>
    </row>
    <row r="10235" spans="1:7" x14ac:dyDescent="0.35">
      <c r="A10235">
        <v>4065</v>
      </c>
      <c r="B10235" s="1">
        <v>45821</v>
      </c>
      <c r="C10235" t="s">
        <v>25</v>
      </c>
      <c r="D10235" s="2">
        <v>1213.5999999999999</v>
      </c>
      <c r="E10235" s="2">
        <v>0</v>
      </c>
      <c r="F10235" t="s">
        <v>26</v>
      </c>
      <c r="G10235" t="s">
        <v>20</v>
      </c>
    </row>
    <row r="10236" spans="1:7" x14ac:dyDescent="0.35">
      <c r="A10236">
        <v>4065</v>
      </c>
      <c r="B10236" s="1">
        <v>45821</v>
      </c>
      <c r="C10236" t="s">
        <v>25</v>
      </c>
      <c r="D10236" s="2">
        <v>91.02</v>
      </c>
      <c r="E10236" s="2">
        <v>0</v>
      </c>
      <c r="F10236" t="s">
        <v>27</v>
      </c>
      <c r="G10236" t="s">
        <v>9</v>
      </c>
    </row>
    <row r="10237" spans="1:7" x14ac:dyDescent="0.35">
      <c r="A10237">
        <v>4065</v>
      </c>
      <c r="B10237" s="1">
        <v>45821</v>
      </c>
      <c r="C10237" t="s">
        <v>25</v>
      </c>
      <c r="D10237" s="2">
        <v>0</v>
      </c>
      <c r="E10237" s="2">
        <v>1304.6199999999999</v>
      </c>
      <c r="F10237" t="s">
        <v>28</v>
      </c>
      <c r="G10237" t="s">
        <v>17</v>
      </c>
    </row>
    <row r="10238" spans="1:7" x14ac:dyDescent="0.35">
      <c r="A10238">
        <v>4066</v>
      </c>
      <c r="B10238" s="1">
        <v>45821</v>
      </c>
      <c r="C10238" t="s">
        <v>25</v>
      </c>
      <c r="D10238" s="2">
        <v>1480.5</v>
      </c>
      <c r="E10238" s="2">
        <v>0</v>
      </c>
      <c r="F10238" t="s">
        <v>26</v>
      </c>
      <c r="G10238" t="s">
        <v>20</v>
      </c>
    </row>
    <row r="10239" spans="1:7" x14ac:dyDescent="0.35">
      <c r="A10239">
        <v>4066</v>
      </c>
      <c r="B10239" s="1">
        <v>45821</v>
      </c>
      <c r="C10239" t="s">
        <v>25</v>
      </c>
      <c r="D10239" s="2">
        <v>111.04</v>
      </c>
      <c r="E10239" s="2">
        <v>0</v>
      </c>
      <c r="F10239" t="s">
        <v>27</v>
      </c>
      <c r="G10239" t="s">
        <v>9</v>
      </c>
    </row>
    <row r="10240" spans="1:7" x14ac:dyDescent="0.35">
      <c r="A10240">
        <v>4066</v>
      </c>
      <c r="B10240" s="1">
        <v>45821</v>
      </c>
      <c r="C10240" t="s">
        <v>25</v>
      </c>
      <c r="D10240" s="2">
        <v>0</v>
      </c>
      <c r="E10240" s="2">
        <v>1591.54</v>
      </c>
      <c r="F10240" t="s">
        <v>28</v>
      </c>
      <c r="G10240" t="s">
        <v>17</v>
      </c>
    </row>
    <row r="10241" spans="1:7" x14ac:dyDescent="0.35">
      <c r="A10241">
        <v>4067</v>
      </c>
      <c r="B10241" s="1">
        <v>45821</v>
      </c>
      <c r="C10241" t="s">
        <v>29</v>
      </c>
      <c r="D10241" s="2">
        <v>748.26</v>
      </c>
      <c r="E10241" s="2">
        <v>0</v>
      </c>
      <c r="F10241" t="s">
        <v>28</v>
      </c>
      <c r="G10241" t="s">
        <v>17</v>
      </c>
    </row>
    <row r="10242" spans="1:7" x14ac:dyDescent="0.35">
      <c r="A10242">
        <v>4067</v>
      </c>
      <c r="B10242" s="1">
        <v>45821</v>
      </c>
      <c r="C10242" t="s">
        <v>29</v>
      </c>
      <c r="D10242" s="2">
        <v>0</v>
      </c>
      <c r="E10242" s="2">
        <v>748.26</v>
      </c>
      <c r="F10242" t="s">
        <v>8</v>
      </c>
      <c r="G10242" t="s">
        <v>9</v>
      </c>
    </row>
    <row r="10243" spans="1:7" x14ac:dyDescent="0.35">
      <c r="A10243">
        <v>4068</v>
      </c>
      <c r="B10243" s="1">
        <v>45824</v>
      </c>
      <c r="C10243" t="s">
        <v>12</v>
      </c>
      <c r="D10243" s="2">
        <v>3341.36</v>
      </c>
      <c r="E10243" s="2">
        <v>0</v>
      </c>
      <c r="F10243" t="s">
        <v>13</v>
      </c>
      <c r="G10243" t="s">
        <v>9</v>
      </c>
    </row>
    <row r="10244" spans="1:7" x14ac:dyDescent="0.35">
      <c r="A10244">
        <v>4068</v>
      </c>
      <c r="B10244" s="1">
        <v>45824</v>
      </c>
      <c r="C10244" t="s">
        <v>12</v>
      </c>
      <c r="D10244" s="2">
        <v>0</v>
      </c>
      <c r="E10244" s="2">
        <v>3108.23</v>
      </c>
      <c r="F10244" t="s">
        <v>14</v>
      </c>
      <c r="G10244" t="s">
        <v>15</v>
      </c>
    </row>
    <row r="10245" spans="1:7" x14ac:dyDescent="0.35">
      <c r="A10245">
        <v>4068</v>
      </c>
      <c r="B10245" s="1">
        <v>45824</v>
      </c>
      <c r="C10245" t="s">
        <v>12</v>
      </c>
      <c r="D10245" s="2">
        <v>0</v>
      </c>
      <c r="E10245" s="2">
        <v>233.13</v>
      </c>
      <c r="F10245" t="s">
        <v>16</v>
      </c>
      <c r="G10245" t="s">
        <v>17</v>
      </c>
    </row>
    <row r="10246" spans="1:7" x14ac:dyDescent="0.35">
      <c r="A10246">
        <v>4069</v>
      </c>
      <c r="B10246" s="1">
        <v>45824</v>
      </c>
      <c r="C10246" t="s">
        <v>12</v>
      </c>
      <c r="D10246" s="2">
        <v>44.64</v>
      </c>
      <c r="E10246" s="2">
        <v>0</v>
      </c>
      <c r="F10246" t="s">
        <v>13</v>
      </c>
      <c r="G10246" t="s">
        <v>9</v>
      </c>
    </row>
    <row r="10247" spans="1:7" x14ac:dyDescent="0.35">
      <c r="A10247">
        <v>4069</v>
      </c>
      <c r="B10247" s="1">
        <v>45824</v>
      </c>
      <c r="C10247" t="s">
        <v>12</v>
      </c>
      <c r="D10247" s="2">
        <v>0</v>
      </c>
      <c r="E10247" s="2">
        <v>41.53</v>
      </c>
      <c r="F10247" t="s">
        <v>14</v>
      </c>
      <c r="G10247" t="s">
        <v>15</v>
      </c>
    </row>
    <row r="10248" spans="1:7" x14ac:dyDescent="0.35">
      <c r="A10248">
        <v>4069</v>
      </c>
      <c r="B10248" s="1">
        <v>45824</v>
      </c>
      <c r="C10248" t="s">
        <v>12</v>
      </c>
      <c r="D10248" s="2">
        <v>0</v>
      </c>
      <c r="E10248" s="2">
        <v>3.11</v>
      </c>
      <c r="F10248" t="s">
        <v>16</v>
      </c>
      <c r="G10248" t="s">
        <v>17</v>
      </c>
    </row>
    <row r="10249" spans="1:7" x14ac:dyDescent="0.35">
      <c r="A10249">
        <v>4070</v>
      </c>
      <c r="B10249" s="1">
        <v>45824</v>
      </c>
      <c r="C10249" t="s">
        <v>12</v>
      </c>
      <c r="D10249" s="2">
        <v>3498.16</v>
      </c>
      <c r="E10249" s="2">
        <v>0</v>
      </c>
      <c r="F10249" t="s">
        <v>13</v>
      </c>
      <c r="G10249" t="s">
        <v>9</v>
      </c>
    </row>
    <row r="10250" spans="1:7" x14ac:dyDescent="0.35">
      <c r="A10250">
        <v>4070</v>
      </c>
      <c r="B10250" s="1">
        <v>45824</v>
      </c>
      <c r="C10250" t="s">
        <v>12</v>
      </c>
      <c r="D10250" s="2">
        <v>0</v>
      </c>
      <c r="E10250" s="2">
        <v>3254.1</v>
      </c>
      <c r="F10250" t="s">
        <v>14</v>
      </c>
      <c r="G10250" t="s">
        <v>15</v>
      </c>
    </row>
    <row r="10251" spans="1:7" x14ac:dyDescent="0.35">
      <c r="A10251">
        <v>4070</v>
      </c>
      <c r="B10251" s="1">
        <v>45824</v>
      </c>
      <c r="C10251" t="s">
        <v>12</v>
      </c>
      <c r="D10251" s="2">
        <v>0</v>
      </c>
      <c r="E10251" s="2">
        <v>244.06</v>
      </c>
      <c r="F10251" t="s">
        <v>16</v>
      </c>
      <c r="G10251" t="s">
        <v>17</v>
      </c>
    </row>
    <row r="10252" spans="1:7" x14ac:dyDescent="0.35">
      <c r="A10252">
        <v>4071</v>
      </c>
      <c r="B10252" s="1">
        <v>45824</v>
      </c>
      <c r="C10252" t="s">
        <v>12</v>
      </c>
      <c r="D10252" s="2">
        <v>539.92999999999995</v>
      </c>
      <c r="E10252" s="2">
        <v>0</v>
      </c>
      <c r="F10252" t="s">
        <v>13</v>
      </c>
      <c r="G10252" t="s">
        <v>9</v>
      </c>
    </row>
    <row r="10253" spans="1:7" x14ac:dyDescent="0.35">
      <c r="A10253">
        <v>4071</v>
      </c>
      <c r="B10253" s="1">
        <v>45824</v>
      </c>
      <c r="C10253" t="s">
        <v>12</v>
      </c>
      <c r="D10253" s="2">
        <v>0</v>
      </c>
      <c r="E10253" s="2">
        <v>502.26</v>
      </c>
      <c r="F10253" t="s">
        <v>14</v>
      </c>
      <c r="G10253" t="s">
        <v>15</v>
      </c>
    </row>
    <row r="10254" spans="1:7" x14ac:dyDescent="0.35">
      <c r="A10254">
        <v>4071</v>
      </c>
      <c r="B10254" s="1">
        <v>45824</v>
      </c>
      <c r="C10254" t="s">
        <v>12</v>
      </c>
      <c r="D10254" s="2">
        <v>0</v>
      </c>
      <c r="E10254" s="2">
        <v>37.67</v>
      </c>
      <c r="F10254" t="s">
        <v>16</v>
      </c>
      <c r="G10254" t="s">
        <v>17</v>
      </c>
    </row>
    <row r="10255" spans="1:7" x14ac:dyDescent="0.35">
      <c r="A10255">
        <v>4072</v>
      </c>
      <c r="B10255" s="1">
        <v>45824</v>
      </c>
      <c r="C10255" t="s">
        <v>12</v>
      </c>
      <c r="D10255" s="2">
        <v>1826.77</v>
      </c>
      <c r="E10255" s="2">
        <v>0</v>
      </c>
      <c r="F10255" t="s">
        <v>13</v>
      </c>
      <c r="G10255" t="s">
        <v>9</v>
      </c>
    </row>
    <row r="10256" spans="1:7" x14ac:dyDescent="0.35">
      <c r="A10256">
        <v>4072</v>
      </c>
      <c r="B10256" s="1">
        <v>45824</v>
      </c>
      <c r="C10256" t="s">
        <v>12</v>
      </c>
      <c r="D10256" s="2">
        <v>0</v>
      </c>
      <c r="E10256" s="2">
        <v>1699.32</v>
      </c>
      <c r="F10256" t="s">
        <v>14</v>
      </c>
      <c r="G10256" t="s">
        <v>15</v>
      </c>
    </row>
    <row r="10257" spans="1:7" x14ac:dyDescent="0.35">
      <c r="A10257">
        <v>4072</v>
      </c>
      <c r="B10257" s="1">
        <v>45824</v>
      </c>
      <c r="C10257" t="s">
        <v>12</v>
      </c>
      <c r="D10257" s="2">
        <v>0</v>
      </c>
      <c r="E10257" s="2">
        <v>127.45</v>
      </c>
      <c r="F10257" t="s">
        <v>16</v>
      </c>
      <c r="G10257" t="s">
        <v>17</v>
      </c>
    </row>
    <row r="10258" spans="1:7" x14ac:dyDescent="0.35">
      <c r="A10258">
        <v>4073</v>
      </c>
      <c r="B10258" s="1">
        <v>45824</v>
      </c>
      <c r="C10258" t="s">
        <v>24</v>
      </c>
      <c r="D10258" s="2">
        <v>3381.38</v>
      </c>
      <c r="E10258" s="2">
        <v>0</v>
      </c>
      <c r="F10258" t="s">
        <v>8</v>
      </c>
      <c r="G10258" t="s">
        <v>9</v>
      </c>
    </row>
    <row r="10259" spans="1:7" x14ac:dyDescent="0.35">
      <c r="A10259">
        <v>4073</v>
      </c>
      <c r="B10259" s="1">
        <v>45824</v>
      </c>
      <c r="C10259" t="s">
        <v>24</v>
      </c>
      <c r="D10259" s="2">
        <v>0</v>
      </c>
      <c r="E10259" s="2">
        <v>3381.38</v>
      </c>
      <c r="F10259" t="s">
        <v>13</v>
      </c>
      <c r="G10259" t="s">
        <v>9</v>
      </c>
    </row>
    <row r="10260" spans="1:7" x14ac:dyDescent="0.35">
      <c r="A10260">
        <v>4074</v>
      </c>
      <c r="B10260" s="1">
        <v>45824</v>
      </c>
      <c r="C10260" t="s">
        <v>24</v>
      </c>
      <c r="D10260" s="2">
        <v>6357.26</v>
      </c>
      <c r="E10260" s="2">
        <v>0</v>
      </c>
      <c r="F10260" t="s">
        <v>8</v>
      </c>
      <c r="G10260" t="s">
        <v>9</v>
      </c>
    </row>
    <row r="10261" spans="1:7" x14ac:dyDescent="0.35">
      <c r="A10261">
        <v>4074</v>
      </c>
      <c r="B10261" s="1">
        <v>45824</v>
      </c>
      <c r="C10261" t="s">
        <v>24</v>
      </c>
      <c r="D10261" s="2">
        <v>0</v>
      </c>
      <c r="E10261" s="2">
        <v>6357.26</v>
      </c>
      <c r="F10261" t="s">
        <v>13</v>
      </c>
      <c r="G10261" t="s">
        <v>9</v>
      </c>
    </row>
    <row r="10262" spans="1:7" x14ac:dyDescent="0.35">
      <c r="A10262">
        <v>4075</v>
      </c>
      <c r="B10262" s="1">
        <v>45824</v>
      </c>
      <c r="C10262" t="s">
        <v>24</v>
      </c>
      <c r="D10262" s="2">
        <v>2741.29</v>
      </c>
      <c r="E10262" s="2">
        <v>0</v>
      </c>
      <c r="F10262" t="s">
        <v>8</v>
      </c>
      <c r="G10262" t="s">
        <v>9</v>
      </c>
    </row>
    <row r="10263" spans="1:7" x14ac:dyDescent="0.35">
      <c r="A10263">
        <v>4075</v>
      </c>
      <c r="B10263" s="1">
        <v>45824</v>
      </c>
      <c r="C10263" t="s">
        <v>24</v>
      </c>
      <c r="D10263" s="2">
        <v>0</v>
      </c>
      <c r="E10263" s="2">
        <v>2741.29</v>
      </c>
      <c r="F10263" t="s">
        <v>13</v>
      </c>
      <c r="G10263" t="s">
        <v>9</v>
      </c>
    </row>
    <row r="10264" spans="1:7" x14ac:dyDescent="0.35">
      <c r="A10264">
        <v>4076</v>
      </c>
      <c r="B10264" s="1">
        <v>45824</v>
      </c>
      <c r="C10264" t="s">
        <v>24</v>
      </c>
      <c r="D10264" s="2">
        <v>4160.1400000000003</v>
      </c>
      <c r="E10264" s="2">
        <v>0</v>
      </c>
      <c r="F10264" t="s">
        <v>8</v>
      </c>
      <c r="G10264" t="s">
        <v>9</v>
      </c>
    </row>
    <row r="10265" spans="1:7" x14ac:dyDescent="0.35">
      <c r="A10265">
        <v>4076</v>
      </c>
      <c r="B10265" s="1">
        <v>45824</v>
      </c>
      <c r="C10265" t="s">
        <v>24</v>
      </c>
      <c r="D10265" s="2">
        <v>0</v>
      </c>
      <c r="E10265" s="2">
        <v>4160.1400000000003</v>
      </c>
      <c r="F10265" t="s">
        <v>13</v>
      </c>
      <c r="G10265" t="s">
        <v>9</v>
      </c>
    </row>
    <row r="10266" spans="1:7" x14ac:dyDescent="0.35">
      <c r="A10266">
        <v>4077</v>
      </c>
      <c r="B10266" s="1">
        <v>45824</v>
      </c>
      <c r="C10266" t="s">
        <v>24</v>
      </c>
      <c r="D10266" s="2">
        <v>1761.67</v>
      </c>
      <c r="E10266" s="2">
        <v>0</v>
      </c>
      <c r="F10266" t="s">
        <v>8</v>
      </c>
      <c r="G10266" t="s">
        <v>9</v>
      </c>
    </row>
    <row r="10267" spans="1:7" x14ac:dyDescent="0.35">
      <c r="A10267">
        <v>4077</v>
      </c>
      <c r="B10267" s="1">
        <v>45824</v>
      </c>
      <c r="C10267" t="s">
        <v>24</v>
      </c>
      <c r="D10267" s="2">
        <v>0</v>
      </c>
      <c r="E10267" s="2">
        <v>1761.67</v>
      </c>
      <c r="F10267" t="s">
        <v>13</v>
      </c>
      <c r="G10267" t="s">
        <v>9</v>
      </c>
    </row>
    <row r="10268" spans="1:7" x14ac:dyDescent="0.35">
      <c r="A10268">
        <v>4078</v>
      </c>
      <c r="B10268" s="1">
        <v>45824</v>
      </c>
      <c r="C10268" t="s">
        <v>25</v>
      </c>
      <c r="D10268" s="2">
        <v>166.52</v>
      </c>
      <c r="E10268" s="2">
        <v>0</v>
      </c>
      <c r="F10268" t="s">
        <v>26</v>
      </c>
      <c r="G10268" t="s">
        <v>20</v>
      </c>
    </row>
    <row r="10269" spans="1:7" x14ac:dyDescent="0.35">
      <c r="A10269">
        <v>4078</v>
      </c>
      <c r="B10269" s="1">
        <v>45824</v>
      </c>
      <c r="C10269" t="s">
        <v>25</v>
      </c>
      <c r="D10269" s="2">
        <v>12.49</v>
      </c>
      <c r="E10269" s="2">
        <v>0</v>
      </c>
      <c r="F10269" t="s">
        <v>27</v>
      </c>
      <c r="G10269" t="s">
        <v>9</v>
      </c>
    </row>
    <row r="10270" spans="1:7" x14ac:dyDescent="0.35">
      <c r="A10270">
        <v>4078</v>
      </c>
      <c r="B10270" s="1">
        <v>45824</v>
      </c>
      <c r="C10270" t="s">
        <v>25</v>
      </c>
      <c r="D10270" s="2">
        <v>0</v>
      </c>
      <c r="E10270" s="2">
        <v>179.01</v>
      </c>
      <c r="F10270" t="s">
        <v>28</v>
      </c>
      <c r="G10270" t="s">
        <v>17</v>
      </c>
    </row>
    <row r="10271" spans="1:7" x14ac:dyDescent="0.35">
      <c r="A10271">
        <v>4079</v>
      </c>
      <c r="B10271" s="1">
        <v>45824</v>
      </c>
      <c r="C10271" t="s">
        <v>25</v>
      </c>
      <c r="D10271" s="2">
        <v>257.04000000000002</v>
      </c>
      <c r="E10271" s="2">
        <v>0</v>
      </c>
      <c r="F10271" t="s">
        <v>26</v>
      </c>
      <c r="G10271" t="s">
        <v>20</v>
      </c>
    </row>
    <row r="10272" spans="1:7" x14ac:dyDescent="0.35">
      <c r="A10272">
        <v>4079</v>
      </c>
      <c r="B10272" s="1">
        <v>45824</v>
      </c>
      <c r="C10272" t="s">
        <v>25</v>
      </c>
      <c r="D10272" s="2">
        <v>19.28</v>
      </c>
      <c r="E10272" s="2">
        <v>0</v>
      </c>
      <c r="F10272" t="s">
        <v>27</v>
      </c>
      <c r="G10272" t="s">
        <v>9</v>
      </c>
    </row>
    <row r="10273" spans="1:7" x14ac:dyDescent="0.35">
      <c r="A10273">
        <v>4079</v>
      </c>
      <c r="B10273" s="1">
        <v>45824</v>
      </c>
      <c r="C10273" t="s">
        <v>25</v>
      </c>
      <c r="D10273" s="2">
        <v>0</v>
      </c>
      <c r="E10273" s="2">
        <v>276.32</v>
      </c>
      <c r="F10273" t="s">
        <v>28</v>
      </c>
      <c r="G10273" t="s">
        <v>17</v>
      </c>
    </row>
    <row r="10274" spans="1:7" x14ac:dyDescent="0.35">
      <c r="A10274">
        <v>4080</v>
      </c>
      <c r="B10274" s="1">
        <v>45824</v>
      </c>
      <c r="C10274" t="s">
        <v>25</v>
      </c>
      <c r="D10274" s="2">
        <v>696.06</v>
      </c>
      <c r="E10274" s="2">
        <v>0</v>
      </c>
      <c r="F10274" t="s">
        <v>26</v>
      </c>
      <c r="G10274" t="s">
        <v>20</v>
      </c>
    </row>
    <row r="10275" spans="1:7" x14ac:dyDescent="0.35">
      <c r="A10275">
        <v>4080</v>
      </c>
      <c r="B10275" s="1">
        <v>45824</v>
      </c>
      <c r="C10275" t="s">
        <v>25</v>
      </c>
      <c r="D10275" s="2">
        <v>52.2</v>
      </c>
      <c r="E10275" s="2">
        <v>0</v>
      </c>
      <c r="F10275" t="s">
        <v>27</v>
      </c>
      <c r="G10275" t="s">
        <v>9</v>
      </c>
    </row>
    <row r="10276" spans="1:7" x14ac:dyDescent="0.35">
      <c r="A10276">
        <v>4080</v>
      </c>
      <c r="B10276" s="1">
        <v>45824</v>
      </c>
      <c r="C10276" t="s">
        <v>25</v>
      </c>
      <c r="D10276" s="2">
        <v>0</v>
      </c>
      <c r="E10276" s="2">
        <v>748.26</v>
      </c>
      <c r="F10276" t="s">
        <v>28</v>
      </c>
      <c r="G10276" t="s">
        <v>17</v>
      </c>
    </row>
    <row r="10277" spans="1:7" x14ac:dyDescent="0.35">
      <c r="A10277">
        <v>4081</v>
      </c>
      <c r="B10277" s="1">
        <v>45824</v>
      </c>
      <c r="C10277" t="s">
        <v>25</v>
      </c>
      <c r="D10277" s="2">
        <v>187.44</v>
      </c>
      <c r="E10277" s="2">
        <v>0</v>
      </c>
      <c r="F10277" t="s">
        <v>26</v>
      </c>
      <c r="G10277" t="s">
        <v>20</v>
      </c>
    </row>
    <row r="10278" spans="1:7" x14ac:dyDescent="0.35">
      <c r="A10278">
        <v>4081</v>
      </c>
      <c r="B10278" s="1">
        <v>45824</v>
      </c>
      <c r="C10278" t="s">
        <v>25</v>
      </c>
      <c r="D10278" s="2">
        <v>14.06</v>
      </c>
      <c r="E10278" s="2">
        <v>0</v>
      </c>
      <c r="F10278" t="s">
        <v>27</v>
      </c>
      <c r="G10278" t="s">
        <v>9</v>
      </c>
    </row>
    <row r="10279" spans="1:7" x14ac:dyDescent="0.35">
      <c r="A10279">
        <v>4081</v>
      </c>
      <c r="B10279" s="1">
        <v>45824</v>
      </c>
      <c r="C10279" t="s">
        <v>25</v>
      </c>
      <c r="D10279" s="2">
        <v>0</v>
      </c>
      <c r="E10279" s="2">
        <v>201.5</v>
      </c>
      <c r="F10279" t="s">
        <v>28</v>
      </c>
      <c r="G10279" t="s">
        <v>17</v>
      </c>
    </row>
    <row r="10280" spans="1:7" x14ac:dyDescent="0.35">
      <c r="A10280">
        <v>4082</v>
      </c>
      <c r="B10280" s="1">
        <v>45824</v>
      </c>
      <c r="C10280" t="s">
        <v>25</v>
      </c>
      <c r="D10280" s="2">
        <v>8685.27</v>
      </c>
      <c r="E10280" s="2">
        <v>0</v>
      </c>
      <c r="F10280" t="s">
        <v>26</v>
      </c>
      <c r="G10280" t="s">
        <v>20</v>
      </c>
    </row>
    <row r="10281" spans="1:7" x14ac:dyDescent="0.35">
      <c r="A10281">
        <v>4082</v>
      </c>
      <c r="B10281" s="1">
        <v>45824</v>
      </c>
      <c r="C10281" t="s">
        <v>25</v>
      </c>
      <c r="D10281" s="2">
        <v>651.4</v>
      </c>
      <c r="E10281" s="2">
        <v>0</v>
      </c>
      <c r="F10281" t="s">
        <v>27</v>
      </c>
      <c r="G10281" t="s">
        <v>9</v>
      </c>
    </row>
    <row r="10282" spans="1:7" x14ac:dyDescent="0.35">
      <c r="A10282">
        <v>4082</v>
      </c>
      <c r="B10282" s="1">
        <v>45824</v>
      </c>
      <c r="C10282" t="s">
        <v>25</v>
      </c>
      <c r="D10282" s="2">
        <v>0</v>
      </c>
      <c r="E10282" s="2">
        <v>9336.67</v>
      </c>
      <c r="F10282" t="s">
        <v>28</v>
      </c>
      <c r="G10282" t="s">
        <v>17</v>
      </c>
    </row>
    <row r="10283" spans="1:7" x14ac:dyDescent="0.35">
      <c r="A10283">
        <v>4083</v>
      </c>
      <c r="B10283" s="1">
        <v>45824</v>
      </c>
      <c r="C10283" t="s">
        <v>25</v>
      </c>
      <c r="D10283" s="2">
        <v>1822.08</v>
      </c>
      <c r="E10283" s="2">
        <v>0</v>
      </c>
      <c r="F10283" t="s">
        <v>26</v>
      </c>
      <c r="G10283" t="s">
        <v>20</v>
      </c>
    </row>
    <row r="10284" spans="1:7" x14ac:dyDescent="0.35">
      <c r="A10284">
        <v>4083</v>
      </c>
      <c r="B10284" s="1">
        <v>45824</v>
      </c>
      <c r="C10284" t="s">
        <v>25</v>
      </c>
      <c r="D10284" s="2">
        <v>136.66</v>
      </c>
      <c r="E10284" s="2">
        <v>0</v>
      </c>
      <c r="F10284" t="s">
        <v>27</v>
      </c>
      <c r="G10284" t="s">
        <v>9</v>
      </c>
    </row>
    <row r="10285" spans="1:7" x14ac:dyDescent="0.35">
      <c r="A10285">
        <v>4083</v>
      </c>
      <c r="B10285" s="1">
        <v>45824</v>
      </c>
      <c r="C10285" t="s">
        <v>25</v>
      </c>
      <c r="D10285" s="2">
        <v>0</v>
      </c>
      <c r="E10285" s="2">
        <v>1958.74</v>
      </c>
      <c r="F10285" t="s">
        <v>28</v>
      </c>
      <c r="G10285" t="s">
        <v>17</v>
      </c>
    </row>
    <row r="10286" spans="1:7" x14ac:dyDescent="0.35">
      <c r="A10286">
        <v>4084</v>
      </c>
      <c r="B10286" s="1">
        <v>45824</v>
      </c>
      <c r="C10286" t="s">
        <v>25</v>
      </c>
      <c r="D10286" s="2">
        <v>6723.2</v>
      </c>
      <c r="E10286" s="2">
        <v>0</v>
      </c>
      <c r="F10286" t="s">
        <v>26</v>
      </c>
      <c r="G10286" t="s">
        <v>20</v>
      </c>
    </row>
    <row r="10287" spans="1:7" x14ac:dyDescent="0.35">
      <c r="A10287">
        <v>4084</v>
      </c>
      <c r="B10287" s="1">
        <v>45824</v>
      </c>
      <c r="C10287" t="s">
        <v>25</v>
      </c>
      <c r="D10287" s="2">
        <v>504.24</v>
      </c>
      <c r="E10287" s="2">
        <v>0</v>
      </c>
      <c r="F10287" t="s">
        <v>27</v>
      </c>
      <c r="G10287" t="s">
        <v>9</v>
      </c>
    </row>
    <row r="10288" spans="1:7" x14ac:dyDescent="0.35">
      <c r="A10288">
        <v>4084</v>
      </c>
      <c r="B10288" s="1">
        <v>45824</v>
      </c>
      <c r="C10288" t="s">
        <v>25</v>
      </c>
      <c r="D10288" s="2">
        <v>0</v>
      </c>
      <c r="E10288" s="2">
        <v>7227.44</v>
      </c>
      <c r="F10288" t="s">
        <v>28</v>
      </c>
      <c r="G10288" t="s">
        <v>17</v>
      </c>
    </row>
    <row r="10289" spans="1:7" x14ac:dyDescent="0.35">
      <c r="A10289">
        <v>4085</v>
      </c>
      <c r="B10289" s="1">
        <v>45824</v>
      </c>
      <c r="C10289" t="s">
        <v>25</v>
      </c>
      <c r="D10289" s="2">
        <v>1947.24</v>
      </c>
      <c r="E10289" s="2">
        <v>0</v>
      </c>
      <c r="F10289" t="s">
        <v>26</v>
      </c>
      <c r="G10289" t="s">
        <v>20</v>
      </c>
    </row>
    <row r="10290" spans="1:7" x14ac:dyDescent="0.35">
      <c r="A10290">
        <v>4085</v>
      </c>
      <c r="B10290" s="1">
        <v>45824</v>
      </c>
      <c r="C10290" t="s">
        <v>25</v>
      </c>
      <c r="D10290" s="2">
        <v>146.04</v>
      </c>
      <c r="E10290" s="2">
        <v>0</v>
      </c>
      <c r="F10290" t="s">
        <v>27</v>
      </c>
      <c r="G10290" t="s">
        <v>9</v>
      </c>
    </row>
    <row r="10291" spans="1:7" x14ac:dyDescent="0.35">
      <c r="A10291">
        <v>4085</v>
      </c>
      <c r="B10291" s="1">
        <v>45824</v>
      </c>
      <c r="C10291" t="s">
        <v>25</v>
      </c>
      <c r="D10291" s="2">
        <v>0</v>
      </c>
      <c r="E10291" s="2">
        <v>2093.2800000000002</v>
      </c>
      <c r="F10291" t="s">
        <v>28</v>
      </c>
      <c r="G10291" t="s">
        <v>17</v>
      </c>
    </row>
    <row r="10292" spans="1:7" x14ac:dyDescent="0.35">
      <c r="A10292">
        <v>4086</v>
      </c>
      <c r="B10292" s="1">
        <v>45824</v>
      </c>
      <c r="C10292" t="s">
        <v>25</v>
      </c>
      <c r="D10292" s="2">
        <v>1078.92</v>
      </c>
      <c r="E10292" s="2">
        <v>0</v>
      </c>
      <c r="F10292" t="s">
        <v>26</v>
      </c>
      <c r="G10292" t="s">
        <v>20</v>
      </c>
    </row>
    <row r="10293" spans="1:7" x14ac:dyDescent="0.35">
      <c r="A10293">
        <v>4086</v>
      </c>
      <c r="B10293" s="1">
        <v>45824</v>
      </c>
      <c r="C10293" t="s">
        <v>25</v>
      </c>
      <c r="D10293" s="2">
        <v>80.92</v>
      </c>
      <c r="E10293" s="2">
        <v>0</v>
      </c>
      <c r="F10293" t="s">
        <v>27</v>
      </c>
      <c r="G10293" t="s">
        <v>9</v>
      </c>
    </row>
    <row r="10294" spans="1:7" x14ac:dyDescent="0.35">
      <c r="A10294">
        <v>4086</v>
      </c>
      <c r="B10294" s="1">
        <v>45824</v>
      </c>
      <c r="C10294" t="s">
        <v>25</v>
      </c>
      <c r="D10294" s="2">
        <v>0</v>
      </c>
      <c r="E10294" s="2">
        <v>1159.8399999999999</v>
      </c>
      <c r="F10294" t="s">
        <v>28</v>
      </c>
      <c r="G10294" t="s">
        <v>17</v>
      </c>
    </row>
    <row r="10295" spans="1:7" x14ac:dyDescent="0.35">
      <c r="A10295">
        <v>4087</v>
      </c>
      <c r="B10295" s="1">
        <v>45824</v>
      </c>
      <c r="C10295" t="s">
        <v>25</v>
      </c>
      <c r="D10295" s="2">
        <v>4476.71</v>
      </c>
      <c r="E10295" s="2">
        <v>0</v>
      </c>
      <c r="F10295" t="s">
        <v>26</v>
      </c>
      <c r="G10295" t="s">
        <v>20</v>
      </c>
    </row>
    <row r="10296" spans="1:7" x14ac:dyDescent="0.35">
      <c r="A10296">
        <v>4087</v>
      </c>
      <c r="B10296" s="1">
        <v>45824</v>
      </c>
      <c r="C10296" t="s">
        <v>25</v>
      </c>
      <c r="D10296" s="2">
        <v>335.75</v>
      </c>
      <c r="E10296" s="2">
        <v>0</v>
      </c>
      <c r="F10296" t="s">
        <v>27</v>
      </c>
      <c r="G10296" t="s">
        <v>9</v>
      </c>
    </row>
    <row r="10297" spans="1:7" x14ac:dyDescent="0.35">
      <c r="A10297">
        <v>4087</v>
      </c>
      <c r="B10297" s="1">
        <v>45824</v>
      </c>
      <c r="C10297" t="s">
        <v>25</v>
      </c>
      <c r="D10297" s="2">
        <v>0</v>
      </c>
      <c r="E10297" s="2">
        <v>4812.46</v>
      </c>
      <c r="F10297" t="s">
        <v>28</v>
      </c>
      <c r="G10297" t="s">
        <v>17</v>
      </c>
    </row>
    <row r="10298" spans="1:7" x14ac:dyDescent="0.35">
      <c r="A10298">
        <v>4088</v>
      </c>
      <c r="B10298" s="1">
        <v>45824</v>
      </c>
      <c r="C10298" t="s">
        <v>29</v>
      </c>
      <c r="D10298" s="2">
        <v>1935.04</v>
      </c>
      <c r="E10298" s="2">
        <v>0</v>
      </c>
      <c r="F10298" t="s">
        <v>28</v>
      </c>
      <c r="G10298" t="s">
        <v>17</v>
      </c>
    </row>
    <row r="10299" spans="1:7" x14ac:dyDescent="0.35">
      <c r="A10299">
        <v>4088</v>
      </c>
      <c r="B10299" s="1">
        <v>45824</v>
      </c>
      <c r="C10299" t="s">
        <v>29</v>
      </c>
      <c r="D10299" s="2">
        <v>0</v>
      </c>
      <c r="E10299" s="2">
        <v>1935.04</v>
      </c>
      <c r="F10299" t="s">
        <v>8</v>
      </c>
      <c r="G10299" t="s">
        <v>9</v>
      </c>
    </row>
    <row r="10300" spans="1:7" x14ac:dyDescent="0.35">
      <c r="A10300">
        <v>4089</v>
      </c>
      <c r="B10300" s="1">
        <v>45824</v>
      </c>
      <c r="C10300" t="s">
        <v>29</v>
      </c>
      <c r="D10300" s="2">
        <v>1794.11</v>
      </c>
      <c r="E10300" s="2">
        <v>0</v>
      </c>
      <c r="F10300" t="s">
        <v>28</v>
      </c>
      <c r="G10300" t="s">
        <v>17</v>
      </c>
    </row>
    <row r="10301" spans="1:7" x14ac:dyDescent="0.35">
      <c r="A10301">
        <v>4089</v>
      </c>
      <c r="B10301" s="1">
        <v>45824</v>
      </c>
      <c r="C10301" t="s">
        <v>29</v>
      </c>
      <c r="D10301" s="2">
        <v>0</v>
      </c>
      <c r="E10301" s="2">
        <v>1794.11</v>
      </c>
      <c r="F10301" t="s">
        <v>8</v>
      </c>
      <c r="G10301" t="s">
        <v>9</v>
      </c>
    </row>
    <row r="10302" spans="1:7" x14ac:dyDescent="0.35">
      <c r="A10302">
        <v>4090</v>
      </c>
      <c r="B10302" s="1">
        <v>45824</v>
      </c>
      <c r="C10302" t="s">
        <v>29</v>
      </c>
      <c r="D10302" s="2">
        <v>1766.46</v>
      </c>
      <c r="E10302" s="2">
        <v>0</v>
      </c>
      <c r="F10302" t="s">
        <v>28</v>
      </c>
      <c r="G10302" t="s">
        <v>17</v>
      </c>
    </row>
    <row r="10303" spans="1:7" x14ac:dyDescent="0.35">
      <c r="A10303">
        <v>4090</v>
      </c>
      <c r="B10303" s="1">
        <v>45824</v>
      </c>
      <c r="C10303" t="s">
        <v>29</v>
      </c>
      <c r="D10303" s="2">
        <v>0</v>
      </c>
      <c r="E10303" s="2">
        <v>1766.46</v>
      </c>
      <c r="F10303" t="s">
        <v>8</v>
      </c>
      <c r="G10303" t="s">
        <v>9</v>
      </c>
    </row>
    <row r="10304" spans="1:7" x14ac:dyDescent="0.35">
      <c r="A10304">
        <v>4091</v>
      </c>
      <c r="B10304" s="1">
        <v>45825</v>
      </c>
      <c r="C10304" t="s">
        <v>12</v>
      </c>
      <c r="D10304" s="2">
        <v>2569.65</v>
      </c>
      <c r="E10304" s="2">
        <v>0</v>
      </c>
      <c r="F10304" t="s">
        <v>13</v>
      </c>
      <c r="G10304" t="s">
        <v>9</v>
      </c>
    </row>
    <row r="10305" spans="1:7" x14ac:dyDescent="0.35">
      <c r="A10305">
        <v>4091</v>
      </c>
      <c r="B10305" s="1">
        <v>45825</v>
      </c>
      <c r="C10305" t="s">
        <v>12</v>
      </c>
      <c r="D10305" s="2">
        <v>0</v>
      </c>
      <c r="E10305" s="2">
        <v>2390.37</v>
      </c>
      <c r="F10305" t="s">
        <v>14</v>
      </c>
      <c r="G10305" t="s">
        <v>15</v>
      </c>
    </row>
    <row r="10306" spans="1:7" x14ac:dyDescent="0.35">
      <c r="A10306">
        <v>4091</v>
      </c>
      <c r="B10306" s="1">
        <v>45825</v>
      </c>
      <c r="C10306" t="s">
        <v>12</v>
      </c>
      <c r="D10306" s="2">
        <v>0</v>
      </c>
      <c r="E10306" s="2">
        <v>179.28</v>
      </c>
      <c r="F10306" t="s">
        <v>16</v>
      </c>
      <c r="G10306" t="s">
        <v>17</v>
      </c>
    </row>
    <row r="10307" spans="1:7" x14ac:dyDescent="0.35">
      <c r="A10307">
        <v>4092</v>
      </c>
      <c r="B10307" s="1">
        <v>45825</v>
      </c>
      <c r="C10307" t="s">
        <v>12</v>
      </c>
      <c r="D10307" s="2">
        <v>197.45</v>
      </c>
      <c r="E10307" s="2">
        <v>0</v>
      </c>
      <c r="F10307" t="s">
        <v>13</v>
      </c>
      <c r="G10307" t="s">
        <v>9</v>
      </c>
    </row>
    <row r="10308" spans="1:7" x14ac:dyDescent="0.35">
      <c r="A10308">
        <v>4092</v>
      </c>
      <c r="B10308" s="1">
        <v>45825</v>
      </c>
      <c r="C10308" t="s">
        <v>12</v>
      </c>
      <c r="D10308" s="2">
        <v>0</v>
      </c>
      <c r="E10308" s="2">
        <v>183.68</v>
      </c>
      <c r="F10308" t="s">
        <v>14</v>
      </c>
      <c r="G10308" t="s">
        <v>15</v>
      </c>
    </row>
    <row r="10309" spans="1:7" x14ac:dyDescent="0.35">
      <c r="A10309">
        <v>4092</v>
      </c>
      <c r="B10309" s="1">
        <v>45825</v>
      </c>
      <c r="C10309" t="s">
        <v>12</v>
      </c>
      <c r="D10309" s="2">
        <v>0</v>
      </c>
      <c r="E10309" s="2">
        <v>13.77</v>
      </c>
      <c r="F10309" t="s">
        <v>16</v>
      </c>
      <c r="G10309" t="s">
        <v>17</v>
      </c>
    </row>
    <row r="10310" spans="1:7" x14ac:dyDescent="0.35">
      <c r="A10310">
        <v>4093</v>
      </c>
      <c r="B10310" s="1">
        <v>45825</v>
      </c>
      <c r="C10310" t="s">
        <v>12</v>
      </c>
      <c r="D10310" s="2">
        <v>3046.33</v>
      </c>
      <c r="E10310" s="2">
        <v>0</v>
      </c>
      <c r="F10310" t="s">
        <v>13</v>
      </c>
      <c r="G10310" t="s">
        <v>9</v>
      </c>
    </row>
    <row r="10311" spans="1:7" x14ac:dyDescent="0.35">
      <c r="A10311">
        <v>4093</v>
      </c>
      <c r="B10311" s="1">
        <v>45825</v>
      </c>
      <c r="C10311" t="s">
        <v>12</v>
      </c>
      <c r="D10311" s="2">
        <v>0</v>
      </c>
      <c r="E10311" s="2">
        <v>2833.8</v>
      </c>
      <c r="F10311" t="s">
        <v>14</v>
      </c>
      <c r="G10311" t="s">
        <v>15</v>
      </c>
    </row>
    <row r="10312" spans="1:7" x14ac:dyDescent="0.35">
      <c r="A10312">
        <v>4093</v>
      </c>
      <c r="B10312" s="1">
        <v>45825</v>
      </c>
      <c r="C10312" t="s">
        <v>12</v>
      </c>
      <c r="D10312" s="2">
        <v>0</v>
      </c>
      <c r="E10312" s="2">
        <v>212.53</v>
      </c>
      <c r="F10312" t="s">
        <v>16</v>
      </c>
      <c r="G10312" t="s">
        <v>17</v>
      </c>
    </row>
    <row r="10313" spans="1:7" x14ac:dyDescent="0.35">
      <c r="A10313">
        <v>4094</v>
      </c>
      <c r="B10313" s="1">
        <v>45825</v>
      </c>
      <c r="C10313" t="s">
        <v>12</v>
      </c>
      <c r="D10313" s="2">
        <v>2980.75</v>
      </c>
      <c r="E10313" s="2">
        <v>0</v>
      </c>
      <c r="F10313" t="s">
        <v>13</v>
      </c>
      <c r="G10313" t="s">
        <v>9</v>
      </c>
    </row>
    <row r="10314" spans="1:7" x14ac:dyDescent="0.35">
      <c r="A10314">
        <v>4094</v>
      </c>
      <c r="B10314" s="1">
        <v>45825</v>
      </c>
      <c r="C10314" t="s">
        <v>12</v>
      </c>
      <c r="D10314" s="2">
        <v>0</v>
      </c>
      <c r="E10314" s="2">
        <v>2772.79</v>
      </c>
      <c r="F10314" t="s">
        <v>14</v>
      </c>
      <c r="G10314" t="s">
        <v>15</v>
      </c>
    </row>
    <row r="10315" spans="1:7" x14ac:dyDescent="0.35">
      <c r="A10315">
        <v>4094</v>
      </c>
      <c r="B10315" s="1">
        <v>45825</v>
      </c>
      <c r="C10315" t="s">
        <v>12</v>
      </c>
      <c r="D10315" s="2">
        <v>0</v>
      </c>
      <c r="E10315" s="2">
        <v>207.96</v>
      </c>
      <c r="F10315" t="s">
        <v>16</v>
      </c>
      <c r="G10315" t="s">
        <v>17</v>
      </c>
    </row>
    <row r="10316" spans="1:7" x14ac:dyDescent="0.35">
      <c r="A10316">
        <v>4095</v>
      </c>
      <c r="B10316" s="1">
        <v>45825</v>
      </c>
      <c r="C10316" t="s">
        <v>12</v>
      </c>
      <c r="D10316" s="2">
        <v>1101.1199999999999</v>
      </c>
      <c r="E10316" s="2">
        <v>0</v>
      </c>
      <c r="F10316" t="s">
        <v>13</v>
      </c>
      <c r="G10316" t="s">
        <v>9</v>
      </c>
    </row>
    <row r="10317" spans="1:7" x14ac:dyDescent="0.35">
      <c r="A10317">
        <v>4095</v>
      </c>
      <c r="B10317" s="1">
        <v>45825</v>
      </c>
      <c r="C10317" t="s">
        <v>12</v>
      </c>
      <c r="D10317" s="2">
        <v>0</v>
      </c>
      <c r="E10317" s="2">
        <v>1024.29</v>
      </c>
      <c r="F10317" t="s">
        <v>14</v>
      </c>
      <c r="G10317" t="s">
        <v>15</v>
      </c>
    </row>
    <row r="10318" spans="1:7" x14ac:dyDescent="0.35">
      <c r="A10318">
        <v>4095</v>
      </c>
      <c r="B10318" s="1">
        <v>45825</v>
      </c>
      <c r="C10318" t="s">
        <v>12</v>
      </c>
      <c r="D10318" s="2">
        <v>0</v>
      </c>
      <c r="E10318" s="2">
        <v>76.83</v>
      </c>
      <c r="F10318" t="s">
        <v>16</v>
      </c>
      <c r="G10318" t="s">
        <v>17</v>
      </c>
    </row>
    <row r="10319" spans="1:7" x14ac:dyDescent="0.35">
      <c r="A10319">
        <v>4096</v>
      </c>
      <c r="B10319" s="1">
        <v>45825</v>
      </c>
      <c r="C10319" t="s">
        <v>12</v>
      </c>
      <c r="D10319" s="2">
        <v>3116.45</v>
      </c>
      <c r="E10319" s="2">
        <v>0</v>
      </c>
      <c r="F10319" t="s">
        <v>13</v>
      </c>
      <c r="G10319" t="s">
        <v>9</v>
      </c>
    </row>
    <row r="10320" spans="1:7" x14ac:dyDescent="0.35">
      <c r="A10320">
        <v>4096</v>
      </c>
      <c r="B10320" s="1">
        <v>45825</v>
      </c>
      <c r="C10320" t="s">
        <v>12</v>
      </c>
      <c r="D10320" s="2">
        <v>0</v>
      </c>
      <c r="E10320" s="2">
        <v>2899.02</v>
      </c>
      <c r="F10320" t="s">
        <v>14</v>
      </c>
      <c r="G10320" t="s">
        <v>15</v>
      </c>
    </row>
    <row r="10321" spans="1:7" x14ac:dyDescent="0.35">
      <c r="A10321">
        <v>4096</v>
      </c>
      <c r="B10321" s="1">
        <v>45825</v>
      </c>
      <c r="C10321" t="s">
        <v>12</v>
      </c>
      <c r="D10321" s="2">
        <v>0</v>
      </c>
      <c r="E10321" s="2">
        <v>217.43</v>
      </c>
      <c r="F10321" t="s">
        <v>16</v>
      </c>
      <c r="G10321" t="s">
        <v>17</v>
      </c>
    </row>
    <row r="10322" spans="1:7" x14ac:dyDescent="0.35">
      <c r="A10322">
        <v>4097</v>
      </c>
      <c r="B10322" s="1">
        <v>45825</v>
      </c>
      <c r="C10322" t="s">
        <v>24</v>
      </c>
      <c r="D10322" s="2">
        <v>2553.83</v>
      </c>
      <c r="E10322" s="2">
        <v>0</v>
      </c>
      <c r="F10322" t="s">
        <v>8</v>
      </c>
      <c r="G10322" t="s">
        <v>9</v>
      </c>
    </row>
    <row r="10323" spans="1:7" x14ac:dyDescent="0.35">
      <c r="A10323">
        <v>4097</v>
      </c>
      <c r="B10323" s="1">
        <v>45825</v>
      </c>
      <c r="C10323" t="s">
        <v>24</v>
      </c>
      <c r="D10323" s="2">
        <v>0</v>
      </c>
      <c r="E10323" s="2">
        <v>2553.83</v>
      </c>
      <c r="F10323" t="s">
        <v>13</v>
      </c>
      <c r="G10323" t="s">
        <v>9</v>
      </c>
    </row>
    <row r="10324" spans="1:7" x14ac:dyDescent="0.35">
      <c r="A10324">
        <v>4098</v>
      </c>
      <c r="B10324" s="1">
        <v>45825</v>
      </c>
      <c r="C10324" t="s">
        <v>24</v>
      </c>
      <c r="D10324" s="2">
        <v>83.27</v>
      </c>
      <c r="E10324" s="2">
        <v>0</v>
      </c>
      <c r="F10324" t="s">
        <v>8</v>
      </c>
      <c r="G10324" t="s">
        <v>9</v>
      </c>
    </row>
    <row r="10325" spans="1:7" x14ac:dyDescent="0.35">
      <c r="A10325">
        <v>4098</v>
      </c>
      <c r="B10325" s="1">
        <v>45825</v>
      </c>
      <c r="C10325" t="s">
        <v>24</v>
      </c>
      <c r="D10325" s="2">
        <v>0</v>
      </c>
      <c r="E10325" s="2">
        <v>83.27</v>
      </c>
      <c r="F10325" t="s">
        <v>13</v>
      </c>
      <c r="G10325" t="s">
        <v>9</v>
      </c>
    </row>
    <row r="10326" spans="1:7" x14ac:dyDescent="0.35">
      <c r="A10326">
        <v>4099</v>
      </c>
      <c r="B10326" s="1">
        <v>45825</v>
      </c>
      <c r="C10326" t="s">
        <v>24</v>
      </c>
      <c r="D10326" s="2">
        <v>1338.43</v>
      </c>
      <c r="E10326" s="2">
        <v>0</v>
      </c>
      <c r="F10326" t="s">
        <v>8</v>
      </c>
      <c r="G10326" t="s">
        <v>9</v>
      </c>
    </row>
    <row r="10327" spans="1:7" x14ac:dyDescent="0.35">
      <c r="A10327">
        <v>4099</v>
      </c>
      <c r="B10327" s="1">
        <v>45825</v>
      </c>
      <c r="C10327" t="s">
        <v>24</v>
      </c>
      <c r="D10327" s="2">
        <v>0</v>
      </c>
      <c r="E10327" s="2">
        <v>1338.43</v>
      </c>
      <c r="F10327" t="s">
        <v>13</v>
      </c>
      <c r="G10327" t="s">
        <v>9</v>
      </c>
    </row>
    <row r="10328" spans="1:7" x14ac:dyDescent="0.35">
      <c r="A10328">
        <v>4100</v>
      </c>
      <c r="B10328" s="1">
        <v>45825</v>
      </c>
      <c r="C10328" t="s">
        <v>24</v>
      </c>
      <c r="D10328" s="2">
        <v>3116.45</v>
      </c>
      <c r="E10328" s="2">
        <v>0</v>
      </c>
      <c r="F10328" t="s">
        <v>8</v>
      </c>
      <c r="G10328" t="s">
        <v>9</v>
      </c>
    </row>
    <row r="10329" spans="1:7" x14ac:dyDescent="0.35">
      <c r="A10329">
        <v>4100</v>
      </c>
      <c r="B10329" s="1">
        <v>45825</v>
      </c>
      <c r="C10329" t="s">
        <v>24</v>
      </c>
      <c r="D10329" s="2">
        <v>0</v>
      </c>
      <c r="E10329" s="2">
        <v>3116.45</v>
      </c>
      <c r="F10329" t="s">
        <v>13</v>
      </c>
      <c r="G10329" t="s">
        <v>9</v>
      </c>
    </row>
    <row r="10330" spans="1:7" x14ac:dyDescent="0.35">
      <c r="A10330">
        <v>4101</v>
      </c>
      <c r="B10330" s="1">
        <v>45825</v>
      </c>
      <c r="C10330" t="s">
        <v>25</v>
      </c>
      <c r="D10330" s="2">
        <v>512</v>
      </c>
      <c r="E10330" s="2">
        <v>0</v>
      </c>
      <c r="F10330" t="s">
        <v>26</v>
      </c>
      <c r="G10330" t="s">
        <v>20</v>
      </c>
    </row>
    <row r="10331" spans="1:7" x14ac:dyDescent="0.35">
      <c r="A10331">
        <v>4101</v>
      </c>
      <c r="B10331" s="1">
        <v>45825</v>
      </c>
      <c r="C10331" t="s">
        <v>25</v>
      </c>
      <c r="D10331" s="2">
        <v>38.4</v>
      </c>
      <c r="E10331" s="2">
        <v>0</v>
      </c>
      <c r="F10331" t="s">
        <v>27</v>
      </c>
      <c r="G10331" t="s">
        <v>9</v>
      </c>
    </row>
    <row r="10332" spans="1:7" x14ac:dyDescent="0.35">
      <c r="A10332">
        <v>4101</v>
      </c>
      <c r="B10332" s="1">
        <v>45825</v>
      </c>
      <c r="C10332" t="s">
        <v>25</v>
      </c>
      <c r="D10332" s="2">
        <v>0</v>
      </c>
      <c r="E10332" s="2">
        <v>550.4</v>
      </c>
      <c r="F10332" t="s">
        <v>28</v>
      </c>
      <c r="G10332" t="s">
        <v>17</v>
      </c>
    </row>
    <row r="10333" spans="1:7" x14ac:dyDescent="0.35">
      <c r="A10333">
        <v>4102</v>
      </c>
      <c r="B10333" s="1">
        <v>45825</v>
      </c>
      <c r="C10333" t="s">
        <v>25</v>
      </c>
      <c r="D10333" s="2">
        <v>1643.22</v>
      </c>
      <c r="E10333" s="2">
        <v>0</v>
      </c>
      <c r="F10333" t="s">
        <v>26</v>
      </c>
      <c r="G10333" t="s">
        <v>20</v>
      </c>
    </row>
    <row r="10334" spans="1:7" x14ac:dyDescent="0.35">
      <c r="A10334">
        <v>4102</v>
      </c>
      <c r="B10334" s="1">
        <v>45825</v>
      </c>
      <c r="C10334" t="s">
        <v>25</v>
      </c>
      <c r="D10334" s="2">
        <v>123.24</v>
      </c>
      <c r="E10334" s="2">
        <v>0</v>
      </c>
      <c r="F10334" t="s">
        <v>27</v>
      </c>
      <c r="G10334" t="s">
        <v>9</v>
      </c>
    </row>
    <row r="10335" spans="1:7" x14ac:dyDescent="0.35">
      <c r="A10335">
        <v>4102</v>
      </c>
      <c r="B10335" s="1">
        <v>45825</v>
      </c>
      <c r="C10335" t="s">
        <v>25</v>
      </c>
      <c r="D10335" s="2">
        <v>0</v>
      </c>
      <c r="E10335" s="2">
        <v>1766.46</v>
      </c>
      <c r="F10335" t="s">
        <v>28</v>
      </c>
      <c r="G10335" t="s">
        <v>17</v>
      </c>
    </row>
    <row r="10336" spans="1:7" x14ac:dyDescent="0.35">
      <c r="A10336">
        <v>4103</v>
      </c>
      <c r="B10336" s="1">
        <v>45825</v>
      </c>
      <c r="C10336" t="s">
        <v>29</v>
      </c>
      <c r="D10336" s="2">
        <v>4812.46</v>
      </c>
      <c r="E10336" s="2">
        <v>0</v>
      </c>
      <c r="F10336" t="s">
        <v>28</v>
      </c>
      <c r="G10336" t="s">
        <v>17</v>
      </c>
    </row>
    <row r="10337" spans="1:7" x14ac:dyDescent="0.35">
      <c r="A10337">
        <v>4103</v>
      </c>
      <c r="B10337" s="1">
        <v>45825</v>
      </c>
      <c r="C10337" t="s">
        <v>29</v>
      </c>
      <c r="D10337" s="2">
        <v>0</v>
      </c>
      <c r="E10337" s="2">
        <v>4812.46</v>
      </c>
      <c r="F10337" t="s">
        <v>8</v>
      </c>
      <c r="G10337" t="s">
        <v>9</v>
      </c>
    </row>
    <row r="10338" spans="1:7" x14ac:dyDescent="0.35">
      <c r="A10338">
        <v>4104</v>
      </c>
      <c r="B10338" s="1">
        <v>45825</v>
      </c>
      <c r="C10338" t="s">
        <v>29</v>
      </c>
      <c r="D10338" s="2">
        <v>1159.8399999999999</v>
      </c>
      <c r="E10338" s="2">
        <v>0</v>
      </c>
      <c r="F10338" t="s">
        <v>28</v>
      </c>
      <c r="G10338" t="s">
        <v>17</v>
      </c>
    </row>
    <row r="10339" spans="1:7" x14ac:dyDescent="0.35">
      <c r="A10339">
        <v>4104</v>
      </c>
      <c r="B10339" s="1">
        <v>45825</v>
      </c>
      <c r="C10339" t="s">
        <v>29</v>
      </c>
      <c r="D10339" s="2">
        <v>0</v>
      </c>
      <c r="E10339" s="2">
        <v>1159.8399999999999</v>
      </c>
      <c r="F10339" t="s">
        <v>8</v>
      </c>
      <c r="G10339" t="s">
        <v>9</v>
      </c>
    </row>
    <row r="10340" spans="1:7" x14ac:dyDescent="0.35">
      <c r="A10340">
        <v>4105</v>
      </c>
      <c r="B10340" s="1">
        <v>45825</v>
      </c>
      <c r="C10340" t="s">
        <v>29</v>
      </c>
      <c r="D10340" s="2">
        <v>179.01</v>
      </c>
      <c r="E10340" s="2">
        <v>0</v>
      </c>
      <c r="F10340" t="s">
        <v>28</v>
      </c>
      <c r="G10340" t="s">
        <v>17</v>
      </c>
    </row>
    <row r="10341" spans="1:7" x14ac:dyDescent="0.35">
      <c r="A10341">
        <v>4105</v>
      </c>
      <c r="B10341" s="1">
        <v>45825</v>
      </c>
      <c r="C10341" t="s">
        <v>29</v>
      </c>
      <c r="D10341" s="2">
        <v>0</v>
      </c>
      <c r="E10341" s="2">
        <v>179.01</v>
      </c>
      <c r="F10341" t="s">
        <v>8</v>
      </c>
      <c r="G10341" t="s">
        <v>9</v>
      </c>
    </row>
    <row r="10342" spans="1:7" x14ac:dyDescent="0.35">
      <c r="A10342">
        <v>4106</v>
      </c>
      <c r="B10342" s="1">
        <v>45826</v>
      </c>
      <c r="C10342" t="s">
        <v>12</v>
      </c>
      <c r="D10342" s="2">
        <v>282.85000000000002</v>
      </c>
      <c r="E10342" s="2">
        <v>0</v>
      </c>
      <c r="F10342" t="s">
        <v>13</v>
      </c>
      <c r="G10342" t="s">
        <v>9</v>
      </c>
    </row>
    <row r="10343" spans="1:7" x14ac:dyDescent="0.35">
      <c r="A10343">
        <v>4106</v>
      </c>
      <c r="B10343" s="1">
        <v>45826</v>
      </c>
      <c r="C10343" t="s">
        <v>12</v>
      </c>
      <c r="D10343" s="2">
        <v>0</v>
      </c>
      <c r="E10343" s="2">
        <v>263.12</v>
      </c>
      <c r="F10343" t="s">
        <v>14</v>
      </c>
      <c r="G10343" t="s">
        <v>15</v>
      </c>
    </row>
    <row r="10344" spans="1:7" x14ac:dyDescent="0.35">
      <c r="A10344">
        <v>4106</v>
      </c>
      <c r="B10344" s="1">
        <v>45826</v>
      </c>
      <c r="C10344" t="s">
        <v>12</v>
      </c>
      <c r="D10344" s="2">
        <v>0</v>
      </c>
      <c r="E10344" s="2">
        <v>19.73</v>
      </c>
      <c r="F10344" t="s">
        <v>16</v>
      </c>
      <c r="G10344" t="s">
        <v>17</v>
      </c>
    </row>
    <row r="10345" spans="1:7" x14ac:dyDescent="0.35">
      <c r="A10345">
        <v>4107</v>
      </c>
      <c r="B10345" s="1">
        <v>45826</v>
      </c>
      <c r="C10345" t="s">
        <v>12</v>
      </c>
      <c r="D10345" s="2">
        <v>791.63</v>
      </c>
      <c r="E10345" s="2">
        <v>0</v>
      </c>
      <c r="F10345" t="s">
        <v>13</v>
      </c>
      <c r="G10345" t="s">
        <v>9</v>
      </c>
    </row>
    <row r="10346" spans="1:7" x14ac:dyDescent="0.35">
      <c r="A10346">
        <v>4107</v>
      </c>
      <c r="B10346" s="1">
        <v>45826</v>
      </c>
      <c r="C10346" t="s">
        <v>12</v>
      </c>
      <c r="D10346" s="2">
        <v>0</v>
      </c>
      <c r="E10346" s="2">
        <v>736.4</v>
      </c>
      <c r="F10346" t="s">
        <v>14</v>
      </c>
      <c r="G10346" t="s">
        <v>15</v>
      </c>
    </row>
    <row r="10347" spans="1:7" x14ac:dyDescent="0.35">
      <c r="A10347">
        <v>4107</v>
      </c>
      <c r="B10347" s="1">
        <v>45826</v>
      </c>
      <c r="C10347" t="s">
        <v>12</v>
      </c>
      <c r="D10347" s="2">
        <v>0</v>
      </c>
      <c r="E10347" s="2">
        <v>55.23</v>
      </c>
      <c r="F10347" t="s">
        <v>16</v>
      </c>
      <c r="G10347" t="s">
        <v>17</v>
      </c>
    </row>
    <row r="10348" spans="1:7" x14ac:dyDescent="0.35">
      <c r="A10348">
        <v>4108</v>
      </c>
      <c r="B10348" s="1">
        <v>45826</v>
      </c>
      <c r="C10348" t="s">
        <v>12</v>
      </c>
      <c r="D10348" s="2">
        <v>1082.05</v>
      </c>
      <c r="E10348" s="2">
        <v>0</v>
      </c>
      <c r="F10348" t="s">
        <v>13</v>
      </c>
      <c r="G10348" t="s">
        <v>9</v>
      </c>
    </row>
    <row r="10349" spans="1:7" x14ac:dyDescent="0.35">
      <c r="A10349">
        <v>4108</v>
      </c>
      <c r="B10349" s="1">
        <v>45826</v>
      </c>
      <c r="C10349" t="s">
        <v>12</v>
      </c>
      <c r="D10349" s="2">
        <v>0</v>
      </c>
      <c r="E10349" s="2">
        <v>1006.56</v>
      </c>
      <c r="F10349" t="s">
        <v>14</v>
      </c>
      <c r="G10349" t="s">
        <v>15</v>
      </c>
    </row>
    <row r="10350" spans="1:7" x14ac:dyDescent="0.35">
      <c r="A10350">
        <v>4108</v>
      </c>
      <c r="B10350" s="1">
        <v>45826</v>
      </c>
      <c r="C10350" t="s">
        <v>12</v>
      </c>
      <c r="D10350" s="2">
        <v>0</v>
      </c>
      <c r="E10350" s="2">
        <v>75.489999999999995</v>
      </c>
      <c r="F10350" t="s">
        <v>16</v>
      </c>
      <c r="G10350" t="s">
        <v>17</v>
      </c>
    </row>
    <row r="10351" spans="1:7" x14ac:dyDescent="0.35">
      <c r="A10351">
        <v>4109</v>
      </c>
      <c r="B10351" s="1">
        <v>45826</v>
      </c>
      <c r="C10351" t="s">
        <v>12</v>
      </c>
      <c r="D10351" s="2">
        <v>3290.84</v>
      </c>
      <c r="E10351" s="2">
        <v>0</v>
      </c>
      <c r="F10351" t="s">
        <v>13</v>
      </c>
      <c r="G10351" t="s">
        <v>9</v>
      </c>
    </row>
    <row r="10352" spans="1:7" x14ac:dyDescent="0.35">
      <c r="A10352">
        <v>4109</v>
      </c>
      <c r="B10352" s="1">
        <v>45826</v>
      </c>
      <c r="C10352" t="s">
        <v>12</v>
      </c>
      <c r="D10352" s="2">
        <v>0</v>
      </c>
      <c r="E10352" s="2">
        <v>3061.25</v>
      </c>
      <c r="F10352" t="s">
        <v>14</v>
      </c>
      <c r="G10352" t="s">
        <v>15</v>
      </c>
    </row>
    <row r="10353" spans="1:7" x14ac:dyDescent="0.35">
      <c r="A10353">
        <v>4109</v>
      </c>
      <c r="B10353" s="1">
        <v>45826</v>
      </c>
      <c r="C10353" t="s">
        <v>12</v>
      </c>
      <c r="D10353" s="2">
        <v>0</v>
      </c>
      <c r="E10353" s="2">
        <v>229.59</v>
      </c>
      <c r="F10353" t="s">
        <v>16</v>
      </c>
      <c r="G10353" t="s">
        <v>17</v>
      </c>
    </row>
    <row r="10354" spans="1:7" x14ac:dyDescent="0.35">
      <c r="A10354">
        <v>4110</v>
      </c>
      <c r="B10354" s="1">
        <v>45826</v>
      </c>
      <c r="C10354" t="s">
        <v>24</v>
      </c>
      <c r="D10354" s="2">
        <v>3687.18</v>
      </c>
      <c r="E10354" s="2">
        <v>0</v>
      </c>
      <c r="F10354" t="s">
        <v>8</v>
      </c>
      <c r="G10354" t="s">
        <v>9</v>
      </c>
    </row>
    <row r="10355" spans="1:7" x14ac:dyDescent="0.35">
      <c r="A10355">
        <v>4110</v>
      </c>
      <c r="B10355" s="1">
        <v>45826</v>
      </c>
      <c r="C10355" t="s">
        <v>24</v>
      </c>
      <c r="D10355" s="2">
        <v>0</v>
      </c>
      <c r="E10355" s="2">
        <v>3687.18</v>
      </c>
      <c r="F10355" t="s">
        <v>13</v>
      </c>
      <c r="G10355" t="s">
        <v>9</v>
      </c>
    </row>
    <row r="10356" spans="1:7" x14ac:dyDescent="0.35">
      <c r="A10356">
        <v>4111</v>
      </c>
      <c r="B10356" s="1">
        <v>45826</v>
      </c>
      <c r="C10356" t="s">
        <v>24</v>
      </c>
      <c r="D10356" s="2">
        <v>5103.03</v>
      </c>
      <c r="E10356" s="2">
        <v>0</v>
      </c>
      <c r="F10356" t="s">
        <v>8</v>
      </c>
      <c r="G10356" t="s">
        <v>9</v>
      </c>
    </row>
    <row r="10357" spans="1:7" x14ac:dyDescent="0.35">
      <c r="A10357">
        <v>4111</v>
      </c>
      <c r="B10357" s="1">
        <v>45826</v>
      </c>
      <c r="C10357" t="s">
        <v>24</v>
      </c>
      <c r="D10357" s="2">
        <v>0</v>
      </c>
      <c r="E10357" s="2">
        <v>5103.03</v>
      </c>
      <c r="F10357" t="s">
        <v>13</v>
      </c>
      <c r="G10357" t="s">
        <v>9</v>
      </c>
    </row>
    <row r="10358" spans="1:7" x14ac:dyDescent="0.35">
      <c r="A10358">
        <v>4112</v>
      </c>
      <c r="B10358" s="1">
        <v>45826</v>
      </c>
      <c r="C10358" t="s">
        <v>24</v>
      </c>
      <c r="D10358" s="2">
        <v>224.85</v>
      </c>
      <c r="E10358" s="2">
        <v>0</v>
      </c>
      <c r="F10358" t="s">
        <v>8</v>
      </c>
      <c r="G10358" t="s">
        <v>9</v>
      </c>
    </row>
    <row r="10359" spans="1:7" x14ac:dyDescent="0.35">
      <c r="A10359">
        <v>4112</v>
      </c>
      <c r="B10359" s="1">
        <v>45826</v>
      </c>
      <c r="C10359" t="s">
        <v>24</v>
      </c>
      <c r="D10359" s="2">
        <v>0</v>
      </c>
      <c r="E10359" s="2">
        <v>224.85</v>
      </c>
      <c r="F10359" t="s">
        <v>13</v>
      </c>
      <c r="G10359" t="s">
        <v>9</v>
      </c>
    </row>
    <row r="10360" spans="1:7" x14ac:dyDescent="0.35">
      <c r="A10360">
        <v>4113</v>
      </c>
      <c r="B10360" s="1">
        <v>45826</v>
      </c>
      <c r="C10360" t="s">
        <v>24</v>
      </c>
      <c r="D10360" s="2">
        <v>2065.9499999999998</v>
      </c>
      <c r="E10360" s="2">
        <v>0</v>
      </c>
      <c r="F10360" t="s">
        <v>8</v>
      </c>
      <c r="G10360" t="s">
        <v>9</v>
      </c>
    </row>
    <row r="10361" spans="1:7" x14ac:dyDescent="0.35">
      <c r="A10361">
        <v>4113</v>
      </c>
      <c r="B10361" s="1">
        <v>45826</v>
      </c>
      <c r="C10361" t="s">
        <v>24</v>
      </c>
      <c r="D10361" s="2">
        <v>0</v>
      </c>
      <c r="E10361" s="2">
        <v>2065.9499999999998</v>
      </c>
      <c r="F10361" t="s">
        <v>13</v>
      </c>
      <c r="G10361" t="s">
        <v>9</v>
      </c>
    </row>
    <row r="10362" spans="1:7" x14ac:dyDescent="0.35">
      <c r="A10362">
        <v>4114</v>
      </c>
      <c r="B10362" s="1">
        <v>45826</v>
      </c>
      <c r="C10362" t="s">
        <v>24</v>
      </c>
      <c r="D10362" s="2">
        <v>4290.21</v>
      </c>
      <c r="E10362" s="2">
        <v>0</v>
      </c>
      <c r="F10362" t="s">
        <v>8</v>
      </c>
      <c r="G10362" t="s">
        <v>9</v>
      </c>
    </row>
    <row r="10363" spans="1:7" x14ac:dyDescent="0.35">
      <c r="A10363">
        <v>4114</v>
      </c>
      <c r="B10363" s="1">
        <v>45826</v>
      </c>
      <c r="C10363" t="s">
        <v>24</v>
      </c>
      <c r="D10363" s="2">
        <v>0</v>
      </c>
      <c r="E10363" s="2">
        <v>4290.21</v>
      </c>
      <c r="F10363" t="s">
        <v>13</v>
      </c>
      <c r="G10363" t="s">
        <v>9</v>
      </c>
    </row>
    <row r="10364" spans="1:7" x14ac:dyDescent="0.35">
      <c r="A10364">
        <v>4115</v>
      </c>
      <c r="B10364" s="1">
        <v>45826</v>
      </c>
      <c r="C10364" t="s">
        <v>24</v>
      </c>
      <c r="D10364" s="2">
        <v>791.63</v>
      </c>
      <c r="E10364" s="2">
        <v>0</v>
      </c>
      <c r="F10364" t="s">
        <v>8</v>
      </c>
      <c r="G10364" t="s">
        <v>9</v>
      </c>
    </row>
    <row r="10365" spans="1:7" x14ac:dyDescent="0.35">
      <c r="A10365">
        <v>4115</v>
      </c>
      <c r="B10365" s="1">
        <v>45826</v>
      </c>
      <c r="C10365" t="s">
        <v>24</v>
      </c>
      <c r="D10365" s="2">
        <v>0</v>
      </c>
      <c r="E10365" s="2">
        <v>791.63</v>
      </c>
      <c r="F10365" t="s">
        <v>13</v>
      </c>
      <c r="G10365" t="s">
        <v>9</v>
      </c>
    </row>
    <row r="10366" spans="1:7" x14ac:dyDescent="0.35">
      <c r="A10366">
        <v>4116</v>
      </c>
      <c r="B10366" s="1">
        <v>45827</v>
      </c>
      <c r="C10366" t="s">
        <v>18</v>
      </c>
      <c r="D10366" s="2">
        <v>22037.74</v>
      </c>
      <c r="E10366" s="2">
        <v>0</v>
      </c>
      <c r="F10366" t="s">
        <v>19</v>
      </c>
      <c r="G10366" t="s">
        <v>20</v>
      </c>
    </row>
    <row r="10367" spans="1:7" x14ac:dyDescent="0.35">
      <c r="A10367">
        <v>4116</v>
      </c>
      <c r="B10367" s="1">
        <v>45827</v>
      </c>
      <c r="C10367" t="s">
        <v>18</v>
      </c>
      <c r="D10367" s="2">
        <v>881.51</v>
      </c>
      <c r="E10367" s="2">
        <v>0</v>
      </c>
      <c r="F10367" t="s">
        <v>21</v>
      </c>
      <c r="G10367" t="s">
        <v>20</v>
      </c>
    </row>
    <row r="10368" spans="1:7" x14ac:dyDescent="0.35">
      <c r="A10368">
        <v>4116</v>
      </c>
      <c r="B10368" s="1">
        <v>45827</v>
      </c>
      <c r="C10368" t="s">
        <v>18</v>
      </c>
      <c r="D10368" s="2">
        <v>0</v>
      </c>
      <c r="E10368" s="2">
        <v>17968.47</v>
      </c>
      <c r="F10368" t="s">
        <v>8</v>
      </c>
      <c r="G10368" t="s">
        <v>9</v>
      </c>
    </row>
    <row r="10369" spans="1:7" x14ac:dyDescent="0.35">
      <c r="A10369">
        <v>4116</v>
      </c>
      <c r="B10369" s="1">
        <v>45827</v>
      </c>
      <c r="C10369" t="s">
        <v>18</v>
      </c>
      <c r="D10369" s="2">
        <v>0</v>
      </c>
      <c r="E10369" s="2">
        <v>4069.27</v>
      </c>
      <c r="F10369" t="s">
        <v>22</v>
      </c>
      <c r="G10369" t="s">
        <v>17</v>
      </c>
    </row>
    <row r="10370" spans="1:7" x14ac:dyDescent="0.35">
      <c r="A10370">
        <v>4116</v>
      </c>
      <c r="B10370" s="1">
        <v>45827</v>
      </c>
      <c r="C10370" t="s">
        <v>18</v>
      </c>
      <c r="D10370" s="2">
        <v>0</v>
      </c>
      <c r="E10370" s="2">
        <v>881.51</v>
      </c>
      <c r="F10370" t="s">
        <v>23</v>
      </c>
      <c r="G10370" t="s">
        <v>17</v>
      </c>
    </row>
    <row r="10371" spans="1:7" x14ac:dyDescent="0.35">
      <c r="A10371">
        <v>4117</v>
      </c>
      <c r="B10371" s="1">
        <v>45827</v>
      </c>
      <c r="C10371" t="s">
        <v>12</v>
      </c>
      <c r="D10371" s="2">
        <v>3758.56</v>
      </c>
      <c r="E10371" s="2">
        <v>0</v>
      </c>
      <c r="F10371" t="s">
        <v>13</v>
      </c>
      <c r="G10371" t="s">
        <v>9</v>
      </c>
    </row>
    <row r="10372" spans="1:7" x14ac:dyDescent="0.35">
      <c r="A10372">
        <v>4117</v>
      </c>
      <c r="B10372" s="1">
        <v>45827</v>
      </c>
      <c r="C10372" t="s">
        <v>12</v>
      </c>
      <c r="D10372" s="2">
        <v>0</v>
      </c>
      <c r="E10372" s="2">
        <v>3496.33</v>
      </c>
      <c r="F10372" t="s">
        <v>14</v>
      </c>
      <c r="G10372" t="s">
        <v>15</v>
      </c>
    </row>
    <row r="10373" spans="1:7" x14ac:dyDescent="0.35">
      <c r="A10373">
        <v>4117</v>
      </c>
      <c r="B10373" s="1">
        <v>45827</v>
      </c>
      <c r="C10373" t="s">
        <v>12</v>
      </c>
      <c r="D10373" s="2">
        <v>0</v>
      </c>
      <c r="E10373" s="2">
        <v>262.23</v>
      </c>
      <c r="F10373" t="s">
        <v>16</v>
      </c>
      <c r="G10373" t="s">
        <v>17</v>
      </c>
    </row>
    <row r="10374" spans="1:7" x14ac:dyDescent="0.35">
      <c r="A10374">
        <v>4118</v>
      </c>
      <c r="B10374" s="1">
        <v>45827</v>
      </c>
      <c r="C10374" t="s">
        <v>12</v>
      </c>
      <c r="D10374" s="2">
        <v>464.88</v>
      </c>
      <c r="E10374" s="2">
        <v>0</v>
      </c>
      <c r="F10374" t="s">
        <v>13</v>
      </c>
      <c r="G10374" t="s">
        <v>9</v>
      </c>
    </row>
    <row r="10375" spans="1:7" x14ac:dyDescent="0.35">
      <c r="A10375">
        <v>4118</v>
      </c>
      <c r="B10375" s="1">
        <v>45827</v>
      </c>
      <c r="C10375" t="s">
        <v>12</v>
      </c>
      <c r="D10375" s="2">
        <v>0</v>
      </c>
      <c r="E10375" s="2">
        <v>432.45</v>
      </c>
      <c r="F10375" t="s">
        <v>14</v>
      </c>
      <c r="G10375" t="s">
        <v>15</v>
      </c>
    </row>
    <row r="10376" spans="1:7" x14ac:dyDescent="0.35">
      <c r="A10376">
        <v>4118</v>
      </c>
      <c r="B10376" s="1">
        <v>45827</v>
      </c>
      <c r="C10376" t="s">
        <v>12</v>
      </c>
      <c r="D10376" s="2">
        <v>0</v>
      </c>
      <c r="E10376" s="2">
        <v>32.43</v>
      </c>
      <c r="F10376" t="s">
        <v>16</v>
      </c>
      <c r="G10376" t="s">
        <v>17</v>
      </c>
    </row>
    <row r="10377" spans="1:7" x14ac:dyDescent="0.35">
      <c r="A10377">
        <v>4119</v>
      </c>
      <c r="B10377" s="1">
        <v>45827</v>
      </c>
      <c r="C10377" t="s">
        <v>12</v>
      </c>
      <c r="D10377" s="2">
        <v>931.28</v>
      </c>
      <c r="E10377" s="2">
        <v>0</v>
      </c>
      <c r="F10377" t="s">
        <v>13</v>
      </c>
      <c r="G10377" t="s">
        <v>9</v>
      </c>
    </row>
    <row r="10378" spans="1:7" x14ac:dyDescent="0.35">
      <c r="A10378">
        <v>4119</v>
      </c>
      <c r="B10378" s="1">
        <v>45827</v>
      </c>
      <c r="C10378" t="s">
        <v>12</v>
      </c>
      <c r="D10378" s="2">
        <v>0</v>
      </c>
      <c r="E10378" s="2">
        <v>866.3</v>
      </c>
      <c r="F10378" t="s">
        <v>14</v>
      </c>
      <c r="G10378" t="s">
        <v>15</v>
      </c>
    </row>
    <row r="10379" spans="1:7" x14ac:dyDescent="0.35">
      <c r="A10379">
        <v>4119</v>
      </c>
      <c r="B10379" s="1">
        <v>45827</v>
      </c>
      <c r="C10379" t="s">
        <v>12</v>
      </c>
      <c r="D10379" s="2">
        <v>0</v>
      </c>
      <c r="E10379" s="2">
        <v>64.98</v>
      </c>
      <c r="F10379" t="s">
        <v>16</v>
      </c>
      <c r="G10379" t="s">
        <v>17</v>
      </c>
    </row>
    <row r="10380" spans="1:7" x14ac:dyDescent="0.35">
      <c r="A10380">
        <v>4120</v>
      </c>
      <c r="B10380" s="1">
        <v>45827</v>
      </c>
      <c r="C10380" t="s">
        <v>24</v>
      </c>
      <c r="D10380" s="2">
        <v>3204.32</v>
      </c>
      <c r="E10380" s="2">
        <v>0</v>
      </c>
      <c r="F10380" t="s">
        <v>8</v>
      </c>
      <c r="G10380" t="s">
        <v>9</v>
      </c>
    </row>
    <row r="10381" spans="1:7" x14ac:dyDescent="0.35">
      <c r="A10381">
        <v>4120</v>
      </c>
      <c r="B10381" s="1">
        <v>45827</v>
      </c>
      <c r="C10381" t="s">
        <v>24</v>
      </c>
      <c r="D10381" s="2">
        <v>0</v>
      </c>
      <c r="E10381" s="2">
        <v>3204.32</v>
      </c>
      <c r="F10381" t="s">
        <v>13</v>
      </c>
      <c r="G10381" t="s">
        <v>9</v>
      </c>
    </row>
    <row r="10382" spans="1:7" x14ac:dyDescent="0.35">
      <c r="A10382">
        <v>4121</v>
      </c>
      <c r="B10382" s="1">
        <v>45827</v>
      </c>
      <c r="C10382" t="s">
        <v>24</v>
      </c>
      <c r="D10382" s="2">
        <v>4183.1899999999996</v>
      </c>
      <c r="E10382" s="2">
        <v>0</v>
      </c>
      <c r="F10382" t="s">
        <v>8</v>
      </c>
      <c r="G10382" t="s">
        <v>9</v>
      </c>
    </row>
    <row r="10383" spans="1:7" x14ac:dyDescent="0.35">
      <c r="A10383">
        <v>4121</v>
      </c>
      <c r="B10383" s="1">
        <v>45827</v>
      </c>
      <c r="C10383" t="s">
        <v>24</v>
      </c>
      <c r="D10383" s="2">
        <v>0</v>
      </c>
      <c r="E10383" s="2">
        <v>4183.1899999999996</v>
      </c>
      <c r="F10383" t="s">
        <v>13</v>
      </c>
      <c r="G10383" t="s">
        <v>9</v>
      </c>
    </row>
    <row r="10384" spans="1:7" x14ac:dyDescent="0.35">
      <c r="A10384">
        <v>4122</v>
      </c>
      <c r="B10384" s="1">
        <v>45827</v>
      </c>
      <c r="C10384" t="s">
        <v>24</v>
      </c>
      <c r="D10384" s="2">
        <v>6219.18</v>
      </c>
      <c r="E10384" s="2">
        <v>0</v>
      </c>
      <c r="F10384" t="s">
        <v>8</v>
      </c>
      <c r="G10384" t="s">
        <v>9</v>
      </c>
    </row>
    <row r="10385" spans="1:7" x14ac:dyDescent="0.35">
      <c r="A10385">
        <v>4122</v>
      </c>
      <c r="B10385" s="1">
        <v>45827</v>
      </c>
      <c r="C10385" t="s">
        <v>24</v>
      </c>
      <c r="D10385" s="2">
        <v>0</v>
      </c>
      <c r="E10385" s="2">
        <v>6219.18</v>
      </c>
      <c r="F10385" t="s">
        <v>13</v>
      </c>
      <c r="G10385" t="s">
        <v>9</v>
      </c>
    </row>
    <row r="10386" spans="1:7" x14ac:dyDescent="0.35">
      <c r="A10386">
        <v>4123</v>
      </c>
      <c r="B10386" s="1">
        <v>45827</v>
      </c>
      <c r="C10386" t="s">
        <v>24</v>
      </c>
      <c r="D10386" s="2">
        <v>3498.16</v>
      </c>
      <c r="E10386" s="2">
        <v>0</v>
      </c>
      <c r="F10386" t="s">
        <v>8</v>
      </c>
      <c r="G10386" t="s">
        <v>9</v>
      </c>
    </row>
    <row r="10387" spans="1:7" x14ac:dyDescent="0.35">
      <c r="A10387">
        <v>4123</v>
      </c>
      <c r="B10387" s="1">
        <v>45827</v>
      </c>
      <c r="C10387" t="s">
        <v>24</v>
      </c>
      <c r="D10387" s="2">
        <v>0</v>
      </c>
      <c r="E10387" s="2">
        <v>3498.16</v>
      </c>
      <c r="F10387" t="s">
        <v>13</v>
      </c>
      <c r="G10387" t="s">
        <v>9</v>
      </c>
    </row>
    <row r="10388" spans="1:7" x14ac:dyDescent="0.35">
      <c r="A10388">
        <v>4124</v>
      </c>
      <c r="B10388" s="1">
        <v>45827</v>
      </c>
      <c r="C10388" t="s">
        <v>25</v>
      </c>
      <c r="D10388" s="2">
        <v>2714.58</v>
      </c>
      <c r="E10388" s="2">
        <v>0</v>
      </c>
      <c r="F10388" t="s">
        <v>26</v>
      </c>
      <c r="G10388" t="s">
        <v>20</v>
      </c>
    </row>
    <row r="10389" spans="1:7" x14ac:dyDescent="0.35">
      <c r="A10389">
        <v>4124</v>
      </c>
      <c r="B10389" s="1">
        <v>45827</v>
      </c>
      <c r="C10389" t="s">
        <v>25</v>
      </c>
      <c r="D10389" s="2">
        <v>203.59</v>
      </c>
      <c r="E10389" s="2">
        <v>0</v>
      </c>
      <c r="F10389" t="s">
        <v>27</v>
      </c>
      <c r="G10389" t="s">
        <v>9</v>
      </c>
    </row>
    <row r="10390" spans="1:7" x14ac:dyDescent="0.35">
      <c r="A10390">
        <v>4124</v>
      </c>
      <c r="B10390" s="1">
        <v>45827</v>
      </c>
      <c r="C10390" t="s">
        <v>25</v>
      </c>
      <c r="D10390" s="2">
        <v>0</v>
      </c>
      <c r="E10390" s="2">
        <v>2918.17</v>
      </c>
      <c r="F10390" t="s">
        <v>28</v>
      </c>
      <c r="G10390" t="s">
        <v>17</v>
      </c>
    </row>
    <row r="10391" spans="1:7" x14ac:dyDescent="0.35">
      <c r="A10391">
        <v>4125</v>
      </c>
      <c r="B10391" s="1">
        <v>45827</v>
      </c>
      <c r="C10391" t="s">
        <v>29</v>
      </c>
      <c r="D10391" s="2">
        <v>862.91</v>
      </c>
      <c r="E10391" s="2">
        <v>0</v>
      </c>
      <c r="F10391" t="s">
        <v>28</v>
      </c>
      <c r="G10391" t="s">
        <v>17</v>
      </c>
    </row>
    <row r="10392" spans="1:7" x14ac:dyDescent="0.35">
      <c r="A10392">
        <v>4125</v>
      </c>
      <c r="B10392" s="1">
        <v>45827</v>
      </c>
      <c r="C10392" t="s">
        <v>29</v>
      </c>
      <c r="D10392" s="2">
        <v>0</v>
      </c>
      <c r="E10392" s="2">
        <v>862.91</v>
      </c>
      <c r="F10392" t="s">
        <v>8</v>
      </c>
      <c r="G10392" t="s">
        <v>9</v>
      </c>
    </row>
    <row r="10393" spans="1:7" x14ac:dyDescent="0.35">
      <c r="A10393">
        <v>4126</v>
      </c>
      <c r="B10393" s="1">
        <v>45827</v>
      </c>
      <c r="C10393" t="s">
        <v>29</v>
      </c>
      <c r="D10393" s="2">
        <v>1304.6199999999999</v>
      </c>
      <c r="E10393" s="2">
        <v>0</v>
      </c>
      <c r="F10393" t="s">
        <v>28</v>
      </c>
      <c r="G10393" t="s">
        <v>17</v>
      </c>
    </row>
    <row r="10394" spans="1:7" x14ac:dyDescent="0.35">
      <c r="A10394">
        <v>4126</v>
      </c>
      <c r="B10394" s="1">
        <v>45827</v>
      </c>
      <c r="C10394" t="s">
        <v>29</v>
      </c>
      <c r="D10394" s="2">
        <v>0</v>
      </c>
      <c r="E10394" s="2">
        <v>1304.6199999999999</v>
      </c>
      <c r="F10394" t="s">
        <v>8</v>
      </c>
      <c r="G10394" t="s">
        <v>9</v>
      </c>
    </row>
    <row r="10395" spans="1:7" x14ac:dyDescent="0.35">
      <c r="A10395">
        <v>4127</v>
      </c>
      <c r="B10395" s="1">
        <v>45827</v>
      </c>
      <c r="C10395" t="s">
        <v>29</v>
      </c>
      <c r="D10395" s="2">
        <v>1591.54</v>
      </c>
      <c r="E10395" s="2">
        <v>0</v>
      </c>
      <c r="F10395" t="s">
        <v>28</v>
      </c>
      <c r="G10395" t="s">
        <v>17</v>
      </c>
    </row>
    <row r="10396" spans="1:7" x14ac:dyDescent="0.35">
      <c r="A10396">
        <v>4127</v>
      </c>
      <c r="B10396" s="1">
        <v>45827</v>
      </c>
      <c r="C10396" t="s">
        <v>29</v>
      </c>
      <c r="D10396" s="2">
        <v>0</v>
      </c>
      <c r="E10396" s="2">
        <v>1591.54</v>
      </c>
      <c r="F10396" t="s">
        <v>8</v>
      </c>
      <c r="G10396" t="s">
        <v>9</v>
      </c>
    </row>
    <row r="10397" spans="1:7" x14ac:dyDescent="0.35">
      <c r="A10397">
        <v>4128</v>
      </c>
      <c r="B10397" s="1">
        <v>45828</v>
      </c>
      <c r="C10397" t="s">
        <v>12</v>
      </c>
      <c r="D10397" s="2">
        <v>1803.13</v>
      </c>
      <c r="E10397" s="2">
        <v>0</v>
      </c>
      <c r="F10397" t="s">
        <v>13</v>
      </c>
      <c r="G10397" t="s">
        <v>9</v>
      </c>
    </row>
    <row r="10398" spans="1:7" x14ac:dyDescent="0.35">
      <c r="A10398">
        <v>4128</v>
      </c>
      <c r="B10398" s="1">
        <v>45828</v>
      </c>
      <c r="C10398" t="s">
        <v>12</v>
      </c>
      <c r="D10398" s="2">
        <v>0</v>
      </c>
      <c r="E10398" s="2">
        <v>1677.33</v>
      </c>
      <c r="F10398" t="s">
        <v>14</v>
      </c>
      <c r="G10398" t="s">
        <v>15</v>
      </c>
    </row>
    <row r="10399" spans="1:7" x14ac:dyDescent="0.35">
      <c r="A10399">
        <v>4128</v>
      </c>
      <c r="B10399" s="1">
        <v>45828</v>
      </c>
      <c r="C10399" t="s">
        <v>12</v>
      </c>
      <c r="D10399" s="2">
        <v>0</v>
      </c>
      <c r="E10399" s="2">
        <v>125.8</v>
      </c>
      <c r="F10399" t="s">
        <v>16</v>
      </c>
      <c r="G10399" t="s">
        <v>17</v>
      </c>
    </row>
    <row r="10400" spans="1:7" x14ac:dyDescent="0.35">
      <c r="A10400">
        <v>4129</v>
      </c>
      <c r="B10400" s="1">
        <v>45828</v>
      </c>
      <c r="C10400" t="s">
        <v>12</v>
      </c>
      <c r="D10400" s="2">
        <v>1802.34</v>
      </c>
      <c r="E10400" s="2">
        <v>0</v>
      </c>
      <c r="F10400" t="s">
        <v>13</v>
      </c>
      <c r="G10400" t="s">
        <v>9</v>
      </c>
    </row>
    <row r="10401" spans="1:7" x14ac:dyDescent="0.35">
      <c r="A10401">
        <v>4129</v>
      </c>
      <c r="B10401" s="1">
        <v>45828</v>
      </c>
      <c r="C10401" t="s">
        <v>12</v>
      </c>
      <c r="D10401" s="2">
        <v>0</v>
      </c>
      <c r="E10401" s="2">
        <v>1676.59</v>
      </c>
      <c r="F10401" t="s">
        <v>14</v>
      </c>
      <c r="G10401" t="s">
        <v>15</v>
      </c>
    </row>
    <row r="10402" spans="1:7" x14ac:dyDescent="0.35">
      <c r="A10402">
        <v>4129</v>
      </c>
      <c r="B10402" s="1">
        <v>45828</v>
      </c>
      <c r="C10402" t="s">
        <v>12</v>
      </c>
      <c r="D10402" s="2">
        <v>0</v>
      </c>
      <c r="E10402" s="2">
        <v>125.75</v>
      </c>
      <c r="F10402" t="s">
        <v>16</v>
      </c>
      <c r="G10402" t="s">
        <v>17</v>
      </c>
    </row>
    <row r="10403" spans="1:7" x14ac:dyDescent="0.35">
      <c r="A10403">
        <v>4130</v>
      </c>
      <c r="B10403" s="1">
        <v>45828</v>
      </c>
      <c r="C10403" t="s">
        <v>12</v>
      </c>
      <c r="D10403" s="2">
        <v>1079.98</v>
      </c>
      <c r="E10403" s="2">
        <v>0</v>
      </c>
      <c r="F10403" t="s">
        <v>13</v>
      </c>
      <c r="G10403" t="s">
        <v>9</v>
      </c>
    </row>
    <row r="10404" spans="1:7" x14ac:dyDescent="0.35">
      <c r="A10404">
        <v>4130</v>
      </c>
      <c r="B10404" s="1">
        <v>45828</v>
      </c>
      <c r="C10404" t="s">
        <v>12</v>
      </c>
      <c r="D10404" s="2">
        <v>0</v>
      </c>
      <c r="E10404" s="2">
        <v>1004.64</v>
      </c>
      <c r="F10404" t="s">
        <v>14</v>
      </c>
      <c r="G10404" t="s">
        <v>15</v>
      </c>
    </row>
    <row r="10405" spans="1:7" x14ac:dyDescent="0.35">
      <c r="A10405">
        <v>4130</v>
      </c>
      <c r="B10405" s="1">
        <v>45828</v>
      </c>
      <c r="C10405" t="s">
        <v>12</v>
      </c>
      <c r="D10405" s="2">
        <v>0</v>
      </c>
      <c r="E10405" s="2">
        <v>75.34</v>
      </c>
      <c r="F10405" t="s">
        <v>16</v>
      </c>
      <c r="G10405" t="s">
        <v>17</v>
      </c>
    </row>
    <row r="10406" spans="1:7" x14ac:dyDescent="0.35">
      <c r="A10406">
        <v>4131</v>
      </c>
      <c r="B10406" s="1">
        <v>45828</v>
      </c>
      <c r="C10406" t="s">
        <v>12</v>
      </c>
      <c r="D10406" s="2">
        <v>690.11</v>
      </c>
      <c r="E10406" s="2">
        <v>0</v>
      </c>
      <c r="F10406" t="s">
        <v>13</v>
      </c>
      <c r="G10406" t="s">
        <v>9</v>
      </c>
    </row>
    <row r="10407" spans="1:7" x14ac:dyDescent="0.35">
      <c r="A10407">
        <v>4131</v>
      </c>
      <c r="B10407" s="1">
        <v>45828</v>
      </c>
      <c r="C10407" t="s">
        <v>12</v>
      </c>
      <c r="D10407" s="2">
        <v>0</v>
      </c>
      <c r="E10407" s="2">
        <v>641.96</v>
      </c>
      <c r="F10407" t="s">
        <v>14</v>
      </c>
      <c r="G10407" t="s">
        <v>15</v>
      </c>
    </row>
    <row r="10408" spans="1:7" x14ac:dyDescent="0.35">
      <c r="A10408">
        <v>4131</v>
      </c>
      <c r="B10408" s="1">
        <v>45828</v>
      </c>
      <c r="C10408" t="s">
        <v>12</v>
      </c>
      <c r="D10408" s="2">
        <v>0</v>
      </c>
      <c r="E10408" s="2">
        <v>48.15</v>
      </c>
      <c r="F10408" t="s">
        <v>16</v>
      </c>
      <c r="G10408" t="s">
        <v>17</v>
      </c>
    </row>
    <row r="10409" spans="1:7" x14ac:dyDescent="0.35">
      <c r="A10409">
        <v>4132</v>
      </c>
      <c r="B10409" s="1">
        <v>45828</v>
      </c>
      <c r="C10409" t="s">
        <v>12</v>
      </c>
      <c r="D10409" s="2">
        <v>970.66</v>
      </c>
      <c r="E10409" s="2">
        <v>0</v>
      </c>
      <c r="F10409" t="s">
        <v>13</v>
      </c>
      <c r="G10409" t="s">
        <v>9</v>
      </c>
    </row>
    <row r="10410" spans="1:7" x14ac:dyDescent="0.35">
      <c r="A10410">
        <v>4132</v>
      </c>
      <c r="B10410" s="1">
        <v>45828</v>
      </c>
      <c r="C10410" t="s">
        <v>12</v>
      </c>
      <c r="D10410" s="2">
        <v>0</v>
      </c>
      <c r="E10410" s="2">
        <v>902.94</v>
      </c>
      <c r="F10410" t="s">
        <v>14</v>
      </c>
      <c r="G10410" t="s">
        <v>15</v>
      </c>
    </row>
    <row r="10411" spans="1:7" x14ac:dyDescent="0.35">
      <c r="A10411">
        <v>4132</v>
      </c>
      <c r="B10411" s="1">
        <v>45828</v>
      </c>
      <c r="C10411" t="s">
        <v>12</v>
      </c>
      <c r="D10411" s="2">
        <v>0</v>
      </c>
      <c r="E10411" s="2">
        <v>67.72</v>
      </c>
      <c r="F10411" t="s">
        <v>16</v>
      </c>
      <c r="G10411" t="s">
        <v>17</v>
      </c>
    </row>
    <row r="10412" spans="1:7" x14ac:dyDescent="0.35">
      <c r="A10412">
        <v>4133</v>
      </c>
      <c r="B10412" s="1">
        <v>45828</v>
      </c>
      <c r="C10412" t="s">
        <v>12</v>
      </c>
      <c r="D10412" s="2">
        <v>590.71</v>
      </c>
      <c r="E10412" s="2">
        <v>0</v>
      </c>
      <c r="F10412" t="s">
        <v>13</v>
      </c>
      <c r="G10412" t="s">
        <v>9</v>
      </c>
    </row>
    <row r="10413" spans="1:7" x14ac:dyDescent="0.35">
      <c r="A10413">
        <v>4133</v>
      </c>
      <c r="B10413" s="1">
        <v>45828</v>
      </c>
      <c r="C10413" t="s">
        <v>12</v>
      </c>
      <c r="D10413" s="2">
        <v>0</v>
      </c>
      <c r="E10413" s="2">
        <v>549.5</v>
      </c>
      <c r="F10413" t="s">
        <v>14</v>
      </c>
      <c r="G10413" t="s">
        <v>15</v>
      </c>
    </row>
    <row r="10414" spans="1:7" x14ac:dyDescent="0.35">
      <c r="A10414">
        <v>4133</v>
      </c>
      <c r="B10414" s="1">
        <v>45828</v>
      </c>
      <c r="C10414" t="s">
        <v>12</v>
      </c>
      <c r="D10414" s="2">
        <v>0</v>
      </c>
      <c r="E10414" s="2">
        <v>41.21</v>
      </c>
      <c r="F10414" t="s">
        <v>16</v>
      </c>
      <c r="G10414" t="s">
        <v>17</v>
      </c>
    </row>
    <row r="10415" spans="1:7" x14ac:dyDescent="0.35">
      <c r="A10415">
        <v>4134</v>
      </c>
      <c r="B10415" s="1">
        <v>45828</v>
      </c>
      <c r="C10415" t="s">
        <v>12</v>
      </c>
      <c r="D10415" s="2">
        <v>1798.92</v>
      </c>
      <c r="E10415" s="2">
        <v>0</v>
      </c>
      <c r="F10415" t="s">
        <v>13</v>
      </c>
      <c r="G10415" t="s">
        <v>9</v>
      </c>
    </row>
    <row r="10416" spans="1:7" x14ac:dyDescent="0.35">
      <c r="A10416">
        <v>4134</v>
      </c>
      <c r="B10416" s="1">
        <v>45828</v>
      </c>
      <c r="C10416" t="s">
        <v>12</v>
      </c>
      <c r="D10416" s="2">
        <v>0</v>
      </c>
      <c r="E10416" s="2">
        <v>1673.41</v>
      </c>
      <c r="F10416" t="s">
        <v>14</v>
      </c>
      <c r="G10416" t="s">
        <v>15</v>
      </c>
    </row>
    <row r="10417" spans="1:7" x14ac:dyDescent="0.35">
      <c r="A10417">
        <v>4134</v>
      </c>
      <c r="B10417" s="1">
        <v>45828</v>
      </c>
      <c r="C10417" t="s">
        <v>12</v>
      </c>
      <c r="D10417" s="2">
        <v>0</v>
      </c>
      <c r="E10417" s="2">
        <v>125.51</v>
      </c>
      <c r="F10417" t="s">
        <v>16</v>
      </c>
      <c r="G10417" t="s">
        <v>17</v>
      </c>
    </row>
    <row r="10418" spans="1:7" x14ac:dyDescent="0.35">
      <c r="A10418">
        <v>4135</v>
      </c>
      <c r="B10418" s="1">
        <v>45828</v>
      </c>
      <c r="C10418" t="s">
        <v>12</v>
      </c>
      <c r="D10418" s="2">
        <v>2152.17</v>
      </c>
      <c r="E10418" s="2">
        <v>0</v>
      </c>
      <c r="F10418" t="s">
        <v>13</v>
      </c>
      <c r="G10418" t="s">
        <v>9</v>
      </c>
    </row>
    <row r="10419" spans="1:7" x14ac:dyDescent="0.35">
      <c r="A10419">
        <v>4135</v>
      </c>
      <c r="B10419" s="1">
        <v>45828</v>
      </c>
      <c r="C10419" t="s">
        <v>12</v>
      </c>
      <c r="D10419" s="2">
        <v>0</v>
      </c>
      <c r="E10419" s="2">
        <v>2002.02</v>
      </c>
      <c r="F10419" t="s">
        <v>14</v>
      </c>
      <c r="G10419" t="s">
        <v>15</v>
      </c>
    </row>
    <row r="10420" spans="1:7" x14ac:dyDescent="0.35">
      <c r="A10420">
        <v>4135</v>
      </c>
      <c r="B10420" s="1">
        <v>45828</v>
      </c>
      <c r="C10420" t="s">
        <v>12</v>
      </c>
      <c r="D10420" s="2">
        <v>0</v>
      </c>
      <c r="E10420" s="2">
        <v>150.15</v>
      </c>
      <c r="F10420" t="s">
        <v>16</v>
      </c>
      <c r="G10420" t="s">
        <v>17</v>
      </c>
    </row>
    <row r="10421" spans="1:7" x14ac:dyDescent="0.35">
      <c r="A10421">
        <v>4136</v>
      </c>
      <c r="B10421" s="1">
        <v>45828</v>
      </c>
      <c r="C10421" t="s">
        <v>12</v>
      </c>
      <c r="D10421" s="2">
        <v>3754.08</v>
      </c>
      <c r="E10421" s="2">
        <v>0</v>
      </c>
      <c r="F10421" t="s">
        <v>13</v>
      </c>
      <c r="G10421" t="s">
        <v>9</v>
      </c>
    </row>
    <row r="10422" spans="1:7" x14ac:dyDescent="0.35">
      <c r="A10422">
        <v>4136</v>
      </c>
      <c r="B10422" s="1">
        <v>45828</v>
      </c>
      <c r="C10422" t="s">
        <v>12</v>
      </c>
      <c r="D10422" s="2">
        <v>0</v>
      </c>
      <c r="E10422" s="2">
        <v>3492.16</v>
      </c>
      <c r="F10422" t="s">
        <v>14</v>
      </c>
      <c r="G10422" t="s">
        <v>15</v>
      </c>
    </row>
    <row r="10423" spans="1:7" x14ac:dyDescent="0.35">
      <c r="A10423">
        <v>4136</v>
      </c>
      <c r="B10423" s="1">
        <v>45828</v>
      </c>
      <c r="C10423" t="s">
        <v>12</v>
      </c>
      <c r="D10423" s="2">
        <v>0</v>
      </c>
      <c r="E10423" s="2">
        <v>261.92</v>
      </c>
      <c r="F10423" t="s">
        <v>16</v>
      </c>
      <c r="G10423" t="s">
        <v>17</v>
      </c>
    </row>
    <row r="10424" spans="1:7" x14ac:dyDescent="0.35">
      <c r="A10424">
        <v>4137</v>
      </c>
      <c r="B10424" s="1">
        <v>45828</v>
      </c>
      <c r="C10424" t="s">
        <v>12</v>
      </c>
      <c r="D10424" s="2">
        <v>2672.31</v>
      </c>
      <c r="E10424" s="2">
        <v>0</v>
      </c>
      <c r="F10424" t="s">
        <v>13</v>
      </c>
      <c r="G10424" t="s">
        <v>9</v>
      </c>
    </row>
    <row r="10425" spans="1:7" x14ac:dyDescent="0.35">
      <c r="A10425">
        <v>4137</v>
      </c>
      <c r="B10425" s="1">
        <v>45828</v>
      </c>
      <c r="C10425" t="s">
        <v>12</v>
      </c>
      <c r="D10425" s="2">
        <v>0</v>
      </c>
      <c r="E10425" s="2">
        <v>2485.86</v>
      </c>
      <c r="F10425" t="s">
        <v>14</v>
      </c>
      <c r="G10425" t="s">
        <v>15</v>
      </c>
    </row>
    <row r="10426" spans="1:7" x14ac:dyDescent="0.35">
      <c r="A10426">
        <v>4137</v>
      </c>
      <c r="B10426" s="1">
        <v>45828</v>
      </c>
      <c r="C10426" t="s">
        <v>12</v>
      </c>
      <c r="D10426" s="2">
        <v>0</v>
      </c>
      <c r="E10426" s="2">
        <v>186.45</v>
      </c>
      <c r="F10426" t="s">
        <v>16</v>
      </c>
      <c r="G10426" t="s">
        <v>17</v>
      </c>
    </row>
    <row r="10427" spans="1:7" x14ac:dyDescent="0.35">
      <c r="A10427">
        <v>4138</v>
      </c>
      <c r="B10427" s="1">
        <v>45828</v>
      </c>
      <c r="C10427" t="s">
        <v>24</v>
      </c>
      <c r="D10427" s="2">
        <v>2152.17</v>
      </c>
      <c r="E10427" s="2">
        <v>0</v>
      </c>
      <c r="F10427" t="s">
        <v>8</v>
      </c>
      <c r="G10427" t="s">
        <v>9</v>
      </c>
    </row>
    <row r="10428" spans="1:7" x14ac:dyDescent="0.35">
      <c r="A10428">
        <v>4138</v>
      </c>
      <c r="B10428" s="1">
        <v>45828</v>
      </c>
      <c r="C10428" t="s">
        <v>24</v>
      </c>
      <c r="D10428" s="2">
        <v>0</v>
      </c>
      <c r="E10428" s="2">
        <v>2152.17</v>
      </c>
      <c r="F10428" t="s">
        <v>13</v>
      </c>
      <c r="G10428" t="s">
        <v>9</v>
      </c>
    </row>
    <row r="10429" spans="1:7" x14ac:dyDescent="0.35">
      <c r="A10429">
        <v>4139</v>
      </c>
      <c r="B10429" s="1">
        <v>45828</v>
      </c>
      <c r="C10429" t="s">
        <v>25</v>
      </c>
      <c r="D10429" s="2">
        <v>4476.71</v>
      </c>
      <c r="E10429" s="2">
        <v>0</v>
      </c>
      <c r="F10429" t="s">
        <v>26</v>
      </c>
      <c r="G10429" t="s">
        <v>20</v>
      </c>
    </row>
    <row r="10430" spans="1:7" x14ac:dyDescent="0.35">
      <c r="A10430">
        <v>4139</v>
      </c>
      <c r="B10430" s="1">
        <v>45828</v>
      </c>
      <c r="C10430" t="s">
        <v>25</v>
      </c>
      <c r="D10430" s="2">
        <v>335.75</v>
      </c>
      <c r="E10430" s="2">
        <v>0</v>
      </c>
      <c r="F10430" t="s">
        <v>27</v>
      </c>
      <c r="G10430" t="s">
        <v>9</v>
      </c>
    </row>
    <row r="10431" spans="1:7" x14ac:dyDescent="0.35">
      <c r="A10431">
        <v>4139</v>
      </c>
      <c r="B10431" s="1">
        <v>45828</v>
      </c>
      <c r="C10431" t="s">
        <v>25</v>
      </c>
      <c r="D10431" s="2">
        <v>0</v>
      </c>
      <c r="E10431" s="2">
        <v>4812.46</v>
      </c>
      <c r="F10431" t="s">
        <v>28</v>
      </c>
      <c r="G10431" t="s">
        <v>17</v>
      </c>
    </row>
    <row r="10432" spans="1:7" x14ac:dyDescent="0.35">
      <c r="A10432">
        <v>4140</v>
      </c>
      <c r="B10432" s="1">
        <v>45828</v>
      </c>
      <c r="C10432" t="s">
        <v>29</v>
      </c>
      <c r="D10432" s="2">
        <v>1023.42</v>
      </c>
      <c r="E10432" s="2">
        <v>0</v>
      </c>
      <c r="F10432" t="s">
        <v>28</v>
      </c>
      <c r="G10432" t="s">
        <v>17</v>
      </c>
    </row>
    <row r="10433" spans="1:7" x14ac:dyDescent="0.35">
      <c r="A10433">
        <v>4140</v>
      </c>
      <c r="B10433" s="1">
        <v>45828</v>
      </c>
      <c r="C10433" t="s">
        <v>29</v>
      </c>
      <c r="D10433" s="2">
        <v>0</v>
      </c>
      <c r="E10433" s="2">
        <v>1023.42</v>
      </c>
      <c r="F10433" t="s">
        <v>8</v>
      </c>
      <c r="G10433" t="s">
        <v>9</v>
      </c>
    </row>
    <row r="10434" spans="1:7" x14ac:dyDescent="0.35">
      <c r="A10434">
        <v>4141</v>
      </c>
      <c r="B10434" s="1">
        <v>45831</v>
      </c>
      <c r="C10434" t="s">
        <v>12</v>
      </c>
      <c r="D10434" s="2">
        <v>1848.92</v>
      </c>
      <c r="E10434" s="2">
        <v>0</v>
      </c>
      <c r="F10434" t="s">
        <v>13</v>
      </c>
      <c r="G10434" t="s">
        <v>9</v>
      </c>
    </row>
    <row r="10435" spans="1:7" x14ac:dyDescent="0.35">
      <c r="A10435">
        <v>4141</v>
      </c>
      <c r="B10435" s="1">
        <v>45831</v>
      </c>
      <c r="C10435" t="s">
        <v>12</v>
      </c>
      <c r="D10435" s="2">
        <v>0</v>
      </c>
      <c r="E10435" s="2">
        <v>1719.93</v>
      </c>
      <c r="F10435" t="s">
        <v>14</v>
      </c>
      <c r="G10435" t="s">
        <v>15</v>
      </c>
    </row>
    <row r="10436" spans="1:7" x14ac:dyDescent="0.35">
      <c r="A10436">
        <v>4141</v>
      </c>
      <c r="B10436" s="1">
        <v>45831</v>
      </c>
      <c r="C10436" t="s">
        <v>12</v>
      </c>
      <c r="D10436" s="2">
        <v>0</v>
      </c>
      <c r="E10436" s="2">
        <v>128.99</v>
      </c>
      <c r="F10436" t="s">
        <v>16</v>
      </c>
      <c r="G10436" t="s">
        <v>17</v>
      </c>
    </row>
    <row r="10437" spans="1:7" x14ac:dyDescent="0.35">
      <c r="A10437">
        <v>4142</v>
      </c>
      <c r="B10437" s="1">
        <v>45831</v>
      </c>
      <c r="C10437" t="s">
        <v>12</v>
      </c>
      <c r="D10437" s="2">
        <v>743.24</v>
      </c>
      <c r="E10437" s="2">
        <v>0</v>
      </c>
      <c r="F10437" t="s">
        <v>13</v>
      </c>
      <c r="G10437" t="s">
        <v>9</v>
      </c>
    </row>
    <row r="10438" spans="1:7" x14ac:dyDescent="0.35">
      <c r="A10438">
        <v>4142</v>
      </c>
      <c r="B10438" s="1">
        <v>45831</v>
      </c>
      <c r="C10438" t="s">
        <v>12</v>
      </c>
      <c r="D10438" s="2">
        <v>0</v>
      </c>
      <c r="E10438" s="2">
        <v>691.38</v>
      </c>
      <c r="F10438" t="s">
        <v>14</v>
      </c>
      <c r="G10438" t="s">
        <v>15</v>
      </c>
    </row>
    <row r="10439" spans="1:7" x14ac:dyDescent="0.35">
      <c r="A10439">
        <v>4142</v>
      </c>
      <c r="B10439" s="1">
        <v>45831</v>
      </c>
      <c r="C10439" t="s">
        <v>12</v>
      </c>
      <c r="D10439" s="2">
        <v>0</v>
      </c>
      <c r="E10439" s="2">
        <v>51.86</v>
      </c>
      <c r="F10439" t="s">
        <v>16</v>
      </c>
      <c r="G10439" t="s">
        <v>17</v>
      </c>
    </row>
    <row r="10440" spans="1:7" x14ac:dyDescent="0.35">
      <c r="A10440">
        <v>4143</v>
      </c>
      <c r="B10440" s="1">
        <v>45831</v>
      </c>
      <c r="C10440" t="s">
        <v>12</v>
      </c>
      <c r="D10440" s="2">
        <v>1850.3</v>
      </c>
      <c r="E10440" s="2">
        <v>0</v>
      </c>
      <c r="F10440" t="s">
        <v>13</v>
      </c>
      <c r="G10440" t="s">
        <v>9</v>
      </c>
    </row>
    <row r="10441" spans="1:7" x14ac:dyDescent="0.35">
      <c r="A10441">
        <v>4143</v>
      </c>
      <c r="B10441" s="1">
        <v>45831</v>
      </c>
      <c r="C10441" t="s">
        <v>12</v>
      </c>
      <c r="D10441" s="2">
        <v>0</v>
      </c>
      <c r="E10441" s="2">
        <v>1721.21</v>
      </c>
      <c r="F10441" t="s">
        <v>14</v>
      </c>
      <c r="G10441" t="s">
        <v>15</v>
      </c>
    </row>
    <row r="10442" spans="1:7" x14ac:dyDescent="0.35">
      <c r="A10442">
        <v>4143</v>
      </c>
      <c r="B10442" s="1">
        <v>45831</v>
      </c>
      <c r="C10442" t="s">
        <v>12</v>
      </c>
      <c r="D10442" s="2">
        <v>0</v>
      </c>
      <c r="E10442" s="2">
        <v>129.09</v>
      </c>
      <c r="F10442" t="s">
        <v>16</v>
      </c>
      <c r="G10442" t="s">
        <v>17</v>
      </c>
    </row>
    <row r="10443" spans="1:7" x14ac:dyDescent="0.35">
      <c r="A10443">
        <v>4144</v>
      </c>
      <c r="B10443" s="1">
        <v>45831</v>
      </c>
      <c r="C10443" t="s">
        <v>12</v>
      </c>
      <c r="D10443" s="2">
        <v>1655.83</v>
      </c>
      <c r="E10443" s="2">
        <v>0</v>
      </c>
      <c r="F10443" t="s">
        <v>13</v>
      </c>
      <c r="G10443" t="s">
        <v>9</v>
      </c>
    </row>
    <row r="10444" spans="1:7" x14ac:dyDescent="0.35">
      <c r="A10444">
        <v>4144</v>
      </c>
      <c r="B10444" s="1">
        <v>45831</v>
      </c>
      <c r="C10444" t="s">
        <v>12</v>
      </c>
      <c r="D10444" s="2">
        <v>0</v>
      </c>
      <c r="E10444" s="2">
        <v>1540.31</v>
      </c>
      <c r="F10444" t="s">
        <v>14</v>
      </c>
      <c r="G10444" t="s">
        <v>15</v>
      </c>
    </row>
    <row r="10445" spans="1:7" x14ac:dyDescent="0.35">
      <c r="A10445">
        <v>4144</v>
      </c>
      <c r="B10445" s="1">
        <v>45831</v>
      </c>
      <c r="C10445" t="s">
        <v>12</v>
      </c>
      <c r="D10445" s="2">
        <v>0</v>
      </c>
      <c r="E10445" s="2">
        <v>115.52</v>
      </c>
      <c r="F10445" t="s">
        <v>16</v>
      </c>
      <c r="G10445" t="s">
        <v>17</v>
      </c>
    </row>
    <row r="10446" spans="1:7" x14ac:dyDescent="0.35">
      <c r="A10446">
        <v>4145</v>
      </c>
      <c r="B10446" s="1">
        <v>45831</v>
      </c>
      <c r="C10446" t="s">
        <v>12</v>
      </c>
      <c r="D10446" s="2">
        <v>3787.1</v>
      </c>
      <c r="E10446" s="2">
        <v>0</v>
      </c>
      <c r="F10446" t="s">
        <v>13</v>
      </c>
      <c r="G10446" t="s">
        <v>9</v>
      </c>
    </row>
    <row r="10447" spans="1:7" x14ac:dyDescent="0.35">
      <c r="A10447">
        <v>4145</v>
      </c>
      <c r="B10447" s="1">
        <v>45831</v>
      </c>
      <c r="C10447" t="s">
        <v>12</v>
      </c>
      <c r="D10447" s="2">
        <v>0</v>
      </c>
      <c r="E10447" s="2">
        <v>3522.87</v>
      </c>
      <c r="F10447" t="s">
        <v>14</v>
      </c>
      <c r="G10447" t="s">
        <v>15</v>
      </c>
    </row>
    <row r="10448" spans="1:7" x14ac:dyDescent="0.35">
      <c r="A10448">
        <v>4145</v>
      </c>
      <c r="B10448" s="1">
        <v>45831</v>
      </c>
      <c r="C10448" t="s">
        <v>12</v>
      </c>
      <c r="D10448" s="2">
        <v>0</v>
      </c>
      <c r="E10448" s="2">
        <v>264.23</v>
      </c>
      <c r="F10448" t="s">
        <v>16</v>
      </c>
      <c r="G10448" t="s">
        <v>17</v>
      </c>
    </row>
    <row r="10449" spans="1:7" x14ac:dyDescent="0.35">
      <c r="A10449">
        <v>4146</v>
      </c>
      <c r="B10449" s="1">
        <v>45831</v>
      </c>
      <c r="C10449" t="s">
        <v>12</v>
      </c>
      <c r="D10449" s="2">
        <v>3041.1</v>
      </c>
      <c r="E10449" s="2">
        <v>0</v>
      </c>
      <c r="F10449" t="s">
        <v>13</v>
      </c>
      <c r="G10449" t="s">
        <v>9</v>
      </c>
    </row>
    <row r="10450" spans="1:7" x14ac:dyDescent="0.35">
      <c r="A10450">
        <v>4146</v>
      </c>
      <c r="B10450" s="1">
        <v>45831</v>
      </c>
      <c r="C10450" t="s">
        <v>12</v>
      </c>
      <c r="D10450" s="2">
        <v>0</v>
      </c>
      <c r="E10450" s="2">
        <v>2828.94</v>
      </c>
      <c r="F10450" t="s">
        <v>14</v>
      </c>
      <c r="G10450" t="s">
        <v>15</v>
      </c>
    </row>
    <row r="10451" spans="1:7" x14ac:dyDescent="0.35">
      <c r="A10451">
        <v>4146</v>
      </c>
      <c r="B10451" s="1">
        <v>45831</v>
      </c>
      <c r="C10451" t="s">
        <v>12</v>
      </c>
      <c r="D10451" s="2">
        <v>0</v>
      </c>
      <c r="E10451" s="2">
        <v>212.16</v>
      </c>
      <c r="F10451" t="s">
        <v>16</v>
      </c>
      <c r="G10451" t="s">
        <v>17</v>
      </c>
    </row>
    <row r="10452" spans="1:7" x14ac:dyDescent="0.35">
      <c r="A10452">
        <v>4147</v>
      </c>
      <c r="B10452" s="1">
        <v>45831</v>
      </c>
      <c r="C10452" t="s">
        <v>24</v>
      </c>
      <c r="D10452" s="2">
        <v>1733.94</v>
      </c>
      <c r="E10452" s="2">
        <v>0</v>
      </c>
      <c r="F10452" t="s">
        <v>8</v>
      </c>
      <c r="G10452" t="s">
        <v>9</v>
      </c>
    </row>
    <row r="10453" spans="1:7" x14ac:dyDescent="0.35">
      <c r="A10453">
        <v>4147</v>
      </c>
      <c r="B10453" s="1">
        <v>45831</v>
      </c>
      <c r="C10453" t="s">
        <v>24</v>
      </c>
      <c r="D10453" s="2">
        <v>0</v>
      </c>
      <c r="E10453" s="2">
        <v>1733.94</v>
      </c>
      <c r="F10453" t="s">
        <v>13</v>
      </c>
      <c r="G10453" t="s">
        <v>9</v>
      </c>
    </row>
    <row r="10454" spans="1:7" x14ac:dyDescent="0.35">
      <c r="A10454">
        <v>4148</v>
      </c>
      <c r="B10454" s="1">
        <v>45831</v>
      </c>
      <c r="C10454" t="s">
        <v>24</v>
      </c>
      <c r="D10454" s="2">
        <v>3333.58</v>
      </c>
      <c r="E10454" s="2">
        <v>0</v>
      </c>
      <c r="F10454" t="s">
        <v>8</v>
      </c>
      <c r="G10454" t="s">
        <v>9</v>
      </c>
    </row>
    <row r="10455" spans="1:7" x14ac:dyDescent="0.35">
      <c r="A10455">
        <v>4148</v>
      </c>
      <c r="B10455" s="1">
        <v>45831</v>
      </c>
      <c r="C10455" t="s">
        <v>24</v>
      </c>
      <c r="D10455" s="2">
        <v>0</v>
      </c>
      <c r="E10455" s="2">
        <v>3333.58</v>
      </c>
      <c r="F10455" t="s">
        <v>13</v>
      </c>
      <c r="G10455" t="s">
        <v>9</v>
      </c>
    </row>
    <row r="10456" spans="1:7" x14ac:dyDescent="0.35">
      <c r="A10456">
        <v>4149</v>
      </c>
      <c r="B10456" s="1">
        <v>45831</v>
      </c>
      <c r="C10456" t="s">
        <v>24</v>
      </c>
      <c r="D10456" s="2">
        <v>4722.8999999999996</v>
      </c>
      <c r="E10456" s="2">
        <v>0</v>
      </c>
      <c r="F10456" t="s">
        <v>8</v>
      </c>
      <c r="G10456" t="s">
        <v>9</v>
      </c>
    </row>
    <row r="10457" spans="1:7" x14ac:dyDescent="0.35">
      <c r="A10457">
        <v>4149</v>
      </c>
      <c r="B10457" s="1">
        <v>45831</v>
      </c>
      <c r="C10457" t="s">
        <v>24</v>
      </c>
      <c r="D10457" s="2">
        <v>0</v>
      </c>
      <c r="E10457" s="2">
        <v>4722.8999999999996</v>
      </c>
      <c r="F10457" t="s">
        <v>13</v>
      </c>
      <c r="G10457" t="s">
        <v>9</v>
      </c>
    </row>
    <row r="10458" spans="1:7" x14ac:dyDescent="0.35">
      <c r="A10458">
        <v>4150</v>
      </c>
      <c r="B10458" s="1">
        <v>45831</v>
      </c>
      <c r="C10458" t="s">
        <v>24</v>
      </c>
      <c r="D10458" s="2">
        <v>2423.0100000000002</v>
      </c>
      <c r="E10458" s="2">
        <v>0</v>
      </c>
      <c r="F10458" t="s">
        <v>8</v>
      </c>
      <c r="G10458" t="s">
        <v>9</v>
      </c>
    </row>
    <row r="10459" spans="1:7" x14ac:dyDescent="0.35">
      <c r="A10459">
        <v>4150</v>
      </c>
      <c r="B10459" s="1">
        <v>45831</v>
      </c>
      <c r="C10459" t="s">
        <v>24</v>
      </c>
      <c r="D10459" s="2">
        <v>0</v>
      </c>
      <c r="E10459" s="2">
        <v>2423.0100000000002</v>
      </c>
      <c r="F10459" t="s">
        <v>13</v>
      </c>
      <c r="G10459" t="s">
        <v>9</v>
      </c>
    </row>
    <row r="10460" spans="1:7" x14ac:dyDescent="0.35">
      <c r="A10460">
        <v>4151</v>
      </c>
      <c r="B10460" s="1">
        <v>45831</v>
      </c>
      <c r="C10460" t="s">
        <v>24</v>
      </c>
      <c r="D10460" s="2">
        <v>404.2</v>
      </c>
      <c r="E10460" s="2">
        <v>0</v>
      </c>
      <c r="F10460" t="s">
        <v>8</v>
      </c>
      <c r="G10460" t="s">
        <v>9</v>
      </c>
    </row>
    <row r="10461" spans="1:7" x14ac:dyDescent="0.35">
      <c r="A10461">
        <v>4151</v>
      </c>
      <c r="B10461" s="1">
        <v>45831</v>
      </c>
      <c r="C10461" t="s">
        <v>24</v>
      </c>
      <c r="D10461" s="2">
        <v>0</v>
      </c>
      <c r="E10461" s="2">
        <v>404.2</v>
      </c>
      <c r="F10461" t="s">
        <v>13</v>
      </c>
      <c r="G10461" t="s">
        <v>9</v>
      </c>
    </row>
    <row r="10462" spans="1:7" x14ac:dyDescent="0.35">
      <c r="A10462">
        <v>4152</v>
      </c>
      <c r="B10462" s="1">
        <v>45831</v>
      </c>
      <c r="C10462" t="s">
        <v>24</v>
      </c>
      <c r="D10462" s="2">
        <v>3022.27</v>
      </c>
      <c r="E10462" s="2">
        <v>0</v>
      </c>
      <c r="F10462" t="s">
        <v>8</v>
      </c>
      <c r="G10462" t="s">
        <v>9</v>
      </c>
    </row>
    <row r="10463" spans="1:7" x14ac:dyDescent="0.35">
      <c r="A10463">
        <v>4152</v>
      </c>
      <c r="B10463" s="1">
        <v>45831</v>
      </c>
      <c r="C10463" t="s">
        <v>24</v>
      </c>
      <c r="D10463" s="2">
        <v>0</v>
      </c>
      <c r="E10463" s="2">
        <v>3022.27</v>
      </c>
      <c r="F10463" t="s">
        <v>13</v>
      </c>
      <c r="G10463" t="s">
        <v>9</v>
      </c>
    </row>
    <row r="10464" spans="1:7" x14ac:dyDescent="0.35">
      <c r="A10464">
        <v>4153</v>
      </c>
      <c r="B10464" s="1">
        <v>45831</v>
      </c>
      <c r="C10464" t="s">
        <v>24</v>
      </c>
      <c r="D10464" s="2">
        <v>467.34</v>
      </c>
      <c r="E10464" s="2">
        <v>0</v>
      </c>
      <c r="F10464" t="s">
        <v>8</v>
      </c>
      <c r="G10464" t="s">
        <v>9</v>
      </c>
    </row>
    <row r="10465" spans="1:7" x14ac:dyDescent="0.35">
      <c r="A10465">
        <v>4153</v>
      </c>
      <c r="B10465" s="1">
        <v>45831</v>
      </c>
      <c r="C10465" t="s">
        <v>24</v>
      </c>
      <c r="D10465" s="2">
        <v>0</v>
      </c>
      <c r="E10465" s="2">
        <v>467.34</v>
      </c>
      <c r="F10465" t="s">
        <v>13</v>
      </c>
      <c r="G10465" t="s">
        <v>9</v>
      </c>
    </row>
    <row r="10466" spans="1:7" x14ac:dyDescent="0.35">
      <c r="A10466">
        <v>4154</v>
      </c>
      <c r="B10466" s="1">
        <v>45831</v>
      </c>
      <c r="C10466" t="s">
        <v>24</v>
      </c>
      <c r="D10466" s="2">
        <v>1549.41</v>
      </c>
      <c r="E10466" s="2">
        <v>0</v>
      </c>
      <c r="F10466" t="s">
        <v>8</v>
      </c>
      <c r="G10466" t="s">
        <v>9</v>
      </c>
    </row>
    <row r="10467" spans="1:7" x14ac:dyDescent="0.35">
      <c r="A10467">
        <v>4154</v>
      </c>
      <c r="B10467" s="1">
        <v>45831</v>
      </c>
      <c r="C10467" t="s">
        <v>24</v>
      </c>
      <c r="D10467" s="2">
        <v>0</v>
      </c>
      <c r="E10467" s="2">
        <v>1549.41</v>
      </c>
      <c r="F10467" t="s">
        <v>13</v>
      </c>
      <c r="G10467" t="s">
        <v>9</v>
      </c>
    </row>
    <row r="10468" spans="1:7" x14ac:dyDescent="0.35">
      <c r="A10468">
        <v>4155</v>
      </c>
      <c r="B10468" s="1">
        <v>45831</v>
      </c>
      <c r="C10468" t="s">
        <v>24</v>
      </c>
      <c r="D10468" s="2">
        <v>1105.42</v>
      </c>
      <c r="E10468" s="2">
        <v>0</v>
      </c>
      <c r="F10468" t="s">
        <v>8</v>
      </c>
      <c r="G10468" t="s">
        <v>9</v>
      </c>
    </row>
    <row r="10469" spans="1:7" x14ac:dyDescent="0.35">
      <c r="A10469">
        <v>4155</v>
      </c>
      <c r="B10469" s="1">
        <v>45831</v>
      </c>
      <c r="C10469" t="s">
        <v>24</v>
      </c>
      <c r="D10469" s="2">
        <v>0</v>
      </c>
      <c r="E10469" s="2">
        <v>1105.42</v>
      </c>
      <c r="F10469" t="s">
        <v>13</v>
      </c>
      <c r="G10469" t="s">
        <v>9</v>
      </c>
    </row>
    <row r="10470" spans="1:7" x14ac:dyDescent="0.35">
      <c r="A10470">
        <v>4156</v>
      </c>
      <c r="B10470" s="1">
        <v>45831</v>
      </c>
      <c r="C10470" t="s">
        <v>24</v>
      </c>
      <c r="D10470" s="2">
        <v>3539.37</v>
      </c>
      <c r="E10470" s="2">
        <v>0</v>
      </c>
      <c r="F10470" t="s">
        <v>8</v>
      </c>
      <c r="G10470" t="s">
        <v>9</v>
      </c>
    </row>
    <row r="10471" spans="1:7" x14ac:dyDescent="0.35">
      <c r="A10471">
        <v>4156</v>
      </c>
      <c r="B10471" s="1">
        <v>45831</v>
      </c>
      <c r="C10471" t="s">
        <v>24</v>
      </c>
      <c r="D10471" s="2">
        <v>0</v>
      </c>
      <c r="E10471" s="2">
        <v>3539.37</v>
      </c>
      <c r="F10471" t="s">
        <v>13</v>
      </c>
      <c r="G10471" t="s">
        <v>9</v>
      </c>
    </row>
    <row r="10472" spans="1:7" x14ac:dyDescent="0.35">
      <c r="A10472">
        <v>4157</v>
      </c>
      <c r="B10472" s="1">
        <v>45831</v>
      </c>
      <c r="C10472" t="s">
        <v>24</v>
      </c>
      <c r="D10472" s="2">
        <v>2281.59</v>
      </c>
      <c r="E10472" s="2">
        <v>0</v>
      </c>
      <c r="F10472" t="s">
        <v>8</v>
      </c>
      <c r="G10472" t="s">
        <v>9</v>
      </c>
    </row>
    <row r="10473" spans="1:7" x14ac:dyDescent="0.35">
      <c r="A10473">
        <v>4157</v>
      </c>
      <c r="B10473" s="1">
        <v>45831</v>
      </c>
      <c r="C10473" t="s">
        <v>24</v>
      </c>
      <c r="D10473" s="2">
        <v>0</v>
      </c>
      <c r="E10473" s="2">
        <v>2281.59</v>
      </c>
      <c r="F10473" t="s">
        <v>13</v>
      </c>
      <c r="G10473" t="s">
        <v>9</v>
      </c>
    </row>
    <row r="10474" spans="1:7" x14ac:dyDescent="0.35">
      <c r="A10474">
        <v>4158</v>
      </c>
      <c r="B10474" s="1">
        <v>45831</v>
      </c>
      <c r="C10474" t="s">
        <v>24</v>
      </c>
      <c r="D10474" s="2">
        <v>282.85000000000002</v>
      </c>
      <c r="E10474" s="2">
        <v>0</v>
      </c>
      <c r="F10474" t="s">
        <v>8</v>
      </c>
      <c r="G10474" t="s">
        <v>9</v>
      </c>
    </row>
    <row r="10475" spans="1:7" x14ac:dyDescent="0.35">
      <c r="A10475">
        <v>4158</v>
      </c>
      <c r="B10475" s="1">
        <v>45831</v>
      </c>
      <c r="C10475" t="s">
        <v>24</v>
      </c>
      <c r="D10475" s="2">
        <v>0</v>
      </c>
      <c r="E10475" s="2">
        <v>282.85000000000002</v>
      </c>
      <c r="F10475" t="s">
        <v>13</v>
      </c>
      <c r="G10475" t="s">
        <v>9</v>
      </c>
    </row>
    <row r="10476" spans="1:7" x14ac:dyDescent="0.35">
      <c r="A10476">
        <v>4159</v>
      </c>
      <c r="B10476" s="1">
        <v>45831</v>
      </c>
      <c r="C10476" t="s">
        <v>24</v>
      </c>
      <c r="D10476" s="2">
        <v>970.66</v>
      </c>
      <c r="E10476" s="2">
        <v>0</v>
      </c>
      <c r="F10476" t="s">
        <v>8</v>
      </c>
      <c r="G10476" t="s">
        <v>9</v>
      </c>
    </row>
    <row r="10477" spans="1:7" x14ac:dyDescent="0.35">
      <c r="A10477">
        <v>4159</v>
      </c>
      <c r="B10477" s="1">
        <v>45831</v>
      </c>
      <c r="C10477" t="s">
        <v>24</v>
      </c>
      <c r="D10477" s="2">
        <v>0</v>
      </c>
      <c r="E10477" s="2">
        <v>970.66</v>
      </c>
      <c r="F10477" t="s">
        <v>13</v>
      </c>
      <c r="G10477" t="s">
        <v>9</v>
      </c>
    </row>
    <row r="10478" spans="1:7" x14ac:dyDescent="0.35">
      <c r="A10478">
        <v>4160</v>
      </c>
      <c r="B10478" s="1">
        <v>45831</v>
      </c>
      <c r="C10478" t="s">
        <v>25</v>
      </c>
      <c r="D10478" s="2">
        <v>1800.04</v>
      </c>
      <c r="E10478" s="2">
        <v>0</v>
      </c>
      <c r="F10478" t="s">
        <v>26</v>
      </c>
      <c r="G10478" t="s">
        <v>20</v>
      </c>
    </row>
    <row r="10479" spans="1:7" x14ac:dyDescent="0.35">
      <c r="A10479">
        <v>4160</v>
      </c>
      <c r="B10479" s="1">
        <v>45831</v>
      </c>
      <c r="C10479" t="s">
        <v>25</v>
      </c>
      <c r="D10479" s="2">
        <v>135</v>
      </c>
      <c r="E10479" s="2">
        <v>0</v>
      </c>
      <c r="F10479" t="s">
        <v>27</v>
      </c>
      <c r="G10479" t="s">
        <v>9</v>
      </c>
    </row>
    <row r="10480" spans="1:7" x14ac:dyDescent="0.35">
      <c r="A10480">
        <v>4160</v>
      </c>
      <c r="B10480" s="1">
        <v>45831</v>
      </c>
      <c r="C10480" t="s">
        <v>25</v>
      </c>
      <c r="D10480" s="2">
        <v>0</v>
      </c>
      <c r="E10480" s="2">
        <v>1935.04</v>
      </c>
      <c r="F10480" t="s">
        <v>28</v>
      </c>
      <c r="G10480" t="s">
        <v>17</v>
      </c>
    </row>
    <row r="10481" spans="1:7" x14ac:dyDescent="0.35">
      <c r="A10481">
        <v>4161</v>
      </c>
      <c r="B10481" s="1">
        <v>45831</v>
      </c>
      <c r="C10481" t="s">
        <v>25</v>
      </c>
      <c r="D10481" s="2">
        <v>187.44</v>
      </c>
      <c r="E10481" s="2">
        <v>0</v>
      </c>
      <c r="F10481" t="s">
        <v>26</v>
      </c>
      <c r="G10481" t="s">
        <v>20</v>
      </c>
    </row>
    <row r="10482" spans="1:7" x14ac:dyDescent="0.35">
      <c r="A10482">
        <v>4161</v>
      </c>
      <c r="B10482" s="1">
        <v>45831</v>
      </c>
      <c r="C10482" t="s">
        <v>25</v>
      </c>
      <c r="D10482" s="2">
        <v>14.06</v>
      </c>
      <c r="E10482" s="2">
        <v>0</v>
      </c>
      <c r="F10482" t="s">
        <v>27</v>
      </c>
      <c r="G10482" t="s">
        <v>9</v>
      </c>
    </row>
    <row r="10483" spans="1:7" x14ac:dyDescent="0.35">
      <c r="A10483">
        <v>4161</v>
      </c>
      <c r="B10483" s="1">
        <v>45831</v>
      </c>
      <c r="C10483" t="s">
        <v>25</v>
      </c>
      <c r="D10483" s="2">
        <v>0</v>
      </c>
      <c r="E10483" s="2">
        <v>201.5</v>
      </c>
      <c r="F10483" t="s">
        <v>28</v>
      </c>
      <c r="G10483" t="s">
        <v>17</v>
      </c>
    </row>
    <row r="10484" spans="1:7" x14ac:dyDescent="0.35">
      <c r="A10484">
        <v>4162</v>
      </c>
      <c r="B10484" s="1">
        <v>45831</v>
      </c>
      <c r="C10484" t="s">
        <v>25</v>
      </c>
      <c r="D10484" s="2">
        <v>512</v>
      </c>
      <c r="E10484" s="2">
        <v>0</v>
      </c>
      <c r="F10484" t="s">
        <v>26</v>
      </c>
      <c r="G10484" t="s">
        <v>20</v>
      </c>
    </row>
    <row r="10485" spans="1:7" x14ac:dyDescent="0.35">
      <c r="A10485">
        <v>4162</v>
      </c>
      <c r="B10485" s="1">
        <v>45831</v>
      </c>
      <c r="C10485" t="s">
        <v>25</v>
      </c>
      <c r="D10485" s="2">
        <v>38.4</v>
      </c>
      <c r="E10485" s="2">
        <v>0</v>
      </c>
      <c r="F10485" t="s">
        <v>27</v>
      </c>
      <c r="G10485" t="s">
        <v>9</v>
      </c>
    </row>
    <row r="10486" spans="1:7" x14ac:dyDescent="0.35">
      <c r="A10486">
        <v>4162</v>
      </c>
      <c r="B10486" s="1">
        <v>45831</v>
      </c>
      <c r="C10486" t="s">
        <v>25</v>
      </c>
      <c r="D10486" s="2">
        <v>0</v>
      </c>
      <c r="E10486" s="2">
        <v>550.4</v>
      </c>
      <c r="F10486" t="s">
        <v>28</v>
      </c>
      <c r="G10486" t="s">
        <v>17</v>
      </c>
    </row>
    <row r="10487" spans="1:7" x14ac:dyDescent="0.35">
      <c r="A10487">
        <v>4163</v>
      </c>
      <c r="B10487" s="1">
        <v>45831</v>
      </c>
      <c r="C10487" t="s">
        <v>29</v>
      </c>
      <c r="D10487" s="2">
        <v>2504.23</v>
      </c>
      <c r="E10487" s="2">
        <v>0</v>
      </c>
      <c r="F10487" t="s">
        <v>28</v>
      </c>
      <c r="G10487" t="s">
        <v>17</v>
      </c>
    </row>
    <row r="10488" spans="1:7" x14ac:dyDescent="0.35">
      <c r="A10488">
        <v>4163</v>
      </c>
      <c r="B10488" s="1">
        <v>45831</v>
      </c>
      <c r="C10488" t="s">
        <v>29</v>
      </c>
      <c r="D10488" s="2">
        <v>0</v>
      </c>
      <c r="E10488" s="2">
        <v>2504.23</v>
      </c>
      <c r="F10488" t="s">
        <v>8</v>
      </c>
      <c r="G10488" t="s">
        <v>9</v>
      </c>
    </row>
    <row r="10489" spans="1:7" x14ac:dyDescent="0.35">
      <c r="A10489">
        <v>4164</v>
      </c>
      <c r="B10489" s="1">
        <v>45831</v>
      </c>
      <c r="C10489" t="s">
        <v>29</v>
      </c>
      <c r="D10489" s="2">
        <v>748.26</v>
      </c>
      <c r="E10489" s="2">
        <v>0</v>
      </c>
      <c r="F10489" t="s">
        <v>28</v>
      </c>
      <c r="G10489" t="s">
        <v>17</v>
      </c>
    </row>
    <row r="10490" spans="1:7" x14ac:dyDescent="0.35">
      <c r="A10490">
        <v>4164</v>
      </c>
      <c r="B10490" s="1">
        <v>45831</v>
      </c>
      <c r="C10490" t="s">
        <v>29</v>
      </c>
      <c r="D10490" s="2">
        <v>0</v>
      </c>
      <c r="E10490" s="2">
        <v>748.26</v>
      </c>
      <c r="F10490" t="s">
        <v>8</v>
      </c>
      <c r="G10490" t="s">
        <v>9</v>
      </c>
    </row>
    <row r="10491" spans="1:7" x14ac:dyDescent="0.35">
      <c r="A10491">
        <v>4165</v>
      </c>
      <c r="B10491" s="1">
        <v>45831</v>
      </c>
      <c r="C10491" t="s">
        <v>29</v>
      </c>
      <c r="D10491" s="2">
        <v>201.5</v>
      </c>
      <c r="E10491" s="2">
        <v>0</v>
      </c>
      <c r="F10491" t="s">
        <v>28</v>
      </c>
      <c r="G10491" t="s">
        <v>17</v>
      </c>
    </row>
    <row r="10492" spans="1:7" x14ac:dyDescent="0.35">
      <c r="A10492">
        <v>4165</v>
      </c>
      <c r="B10492" s="1">
        <v>45831</v>
      </c>
      <c r="C10492" t="s">
        <v>29</v>
      </c>
      <c r="D10492" s="2">
        <v>0</v>
      </c>
      <c r="E10492" s="2">
        <v>201.5</v>
      </c>
      <c r="F10492" t="s">
        <v>8</v>
      </c>
      <c r="G10492" t="s">
        <v>9</v>
      </c>
    </row>
    <row r="10493" spans="1:7" x14ac:dyDescent="0.35">
      <c r="A10493">
        <v>4166</v>
      </c>
      <c r="B10493" s="1">
        <v>45832</v>
      </c>
      <c r="C10493" t="s">
        <v>12</v>
      </c>
      <c r="D10493" s="2">
        <v>452.96</v>
      </c>
      <c r="E10493" s="2">
        <v>0</v>
      </c>
      <c r="F10493" t="s">
        <v>13</v>
      </c>
      <c r="G10493" t="s">
        <v>9</v>
      </c>
    </row>
    <row r="10494" spans="1:7" x14ac:dyDescent="0.35">
      <c r="A10494">
        <v>4166</v>
      </c>
      <c r="B10494" s="1">
        <v>45832</v>
      </c>
      <c r="C10494" t="s">
        <v>12</v>
      </c>
      <c r="D10494" s="2">
        <v>0</v>
      </c>
      <c r="E10494" s="2">
        <v>421.36</v>
      </c>
      <c r="F10494" t="s">
        <v>14</v>
      </c>
      <c r="G10494" t="s">
        <v>15</v>
      </c>
    </row>
    <row r="10495" spans="1:7" x14ac:dyDescent="0.35">
      <c r="A10495">
        <v>4166</v>
      </c>
      <c r="B10495" s="1">
        <v>45832</v>
      </c>
      <c r="C10495" t="s">
        <v>12</v>
      </c>
      <c r="D10495" s="2">
        <v>0</v>
      </c>
      <c r="E10495" s="2">
        <v>31.6</v>
      </c>
      <c r="F10495" t="s">
        <v>16</v>
      </c>
      <c r="G10495" t="s">
        <v>17</v>
      </c>
    </row>
    <row r="10496" spans="1:7" x14ac:dyDescent="0.35">
      <c r="A10496">
        <v>4167</v>
      </c>
      <c r="B10496" s="1">
        <v>45832</v>
      </c>
      <c r="C10496" t="s">
        <v>12</v>
      </c>
      <c r="D10496" s="2">
        <v>1476.73</v>
      </c>
      <c r="E10496" s="2">
        <v>0</v>
      </c>
      <c r="F10496" t="s">
        <v>13</v>
      </c>
      <c r="G10496" t="s">
        <v>9</v>
      </c>
    </row>
    <row r="10497" spans="1:7" x14ac:dyDescent="0.35">
      <c r="A10497">
        <v>4167</v>
      </c>
      <c r="B10497" s="1">
        <v>45832</v>
      </c>
      <c r="C10497" t="s">
        <v>12</v>
      </c>
      <c r="D10497" s="2">
        <v>0</v>
      </c>
      <c r="E10497" s="2">
        <v>1373.7</v>
      </c>
      <c r="F10497" t="s">
        <v>14</v>
      </c>
      <c r="G10497" t="s">
        <v>15</v>
      </c>
    </row>
    <row r="10498" spans="1:7" x14ac:dyDescent="0.35">
      <c r="A10498">
        <v>4167</v>
      </c>
      <c r="B10498" s="1">
        <v>45832</v>
      </c>
      <c r="C10498" t="s">
        <v>12</v>
      </c>
      <c r="D10498" s="2">
        <v>0</v>
      </c>
      <c r="E10498" s="2">
        <v>103.03</v>
      </c>
      <c r="F10498" t="s">
        <v>16</v>
      </c>
      <c r="G10498" t="s">
        <v>17</v>
      </c>
    </row>
    <row r="10499" spans="1:7" x14ac:dyDescent="0.35">
      <c r="A10499">
        <v>4168</v>
      </c>
      <c r="B10499" s="1">
        <v>45832</v>
      </c>
      <c r="C10499" t="s">
        <v>12</v>
      </c>
      <c r="D10499" s="2">
        <v>2667.98</v>
      </c>
      <c r="E10499" s="2">
        <v>0</v>
      </c>
      <c r="F10499" t="s">
        <v>13</v>
      </c>
      <c r="G10499" t="s">
        <v>9</v>
      </c>
    </row>
    <row r="10500" spans="1:7" x14ac:dyDescent="0.35">
      <c r="A10500">
        <v>4168</v>
      </c>
      <c r="B10500" s="1">
        <v>45832</v>
      </c>
      <c r="C10500" t="s">
        <v>12</v>
      </c>
      <c r="D10500" s="2">
        <v>0</v>
      </c>
      <c r="E10500" s="2">
        <v>2481.85</v>
      </c>
      <c r="F10500" t="s">
        <v>14</v>
      </c>
      <c r="G10500" t="s">
        <v>15</v>
      </c>
    </row>
    <row r="10501" spans="1:7" x14ac:dyDescent="0.35">
      <c r="A10501">
        <v>4168</v>
      </c>
      <c r="B10501" s="1">
        <v>45832</v>
      </c>
      <c r="C10501" t="s">
        <v>12</v>
      </c>
      <c r="D10501" s="2">
        <v>0</v>
      </c>
      <c r="E10501" s="2">
        <v>186.13</v>
      </c>
      <c r="F10501" t="s">
        <v>16</v>
      </c>
      <c r="G10501" t="s">
        <v>17</v>
      </c>
    </row>
    <row r="10502" spans="1:7" x14ac:dyDescent="0.35">
      <c r="A10502">
        <v>4169</v>
      </c>
      <c r="B10502" s="1">
        <v>45832</v>
      </c>
      <c r="C10502" t="s">
        <v>12</v>
      </c>
      <c r="D10502" s="2">
        <v>205.92</v>
      </c>
      <c r="E10502" s="2">
        <v>0</v>
      </c>
      <c r="F10502" t="s">
        <v>13</v>
      </c>
      <c r="G10502" t="s">
        <v>9</v>
      </c>
    </row>
    <row r="10503" spans="1:7" x14ac:dyDescent="0.35">
      <c r="A10503">
        <v>4169</v>
      </c>
      <c r="B10503" s="1">
        <v>45832</v>
      </c>
      <c r="C10503" t="s">
        <v>12</v>
      </c>
      <c r="D10503" s="2">
        <v>0</v>
      </c>
      <c r="E10503" s="2">
        <v>191.55</v>
      </c>
      <c r="F10503" t="s">
        <v>14</v>
      </c>
      <c r="G10503" t="s">
        <v>15</v>
      </c>
    </row>
    <row r="10504" spans="1:7" x14ac:dyDescent="0.35">
      <c r="A10504">
        <v>4169</v>
      </c>
      <c r="B10504" s="1">
        <v>45832</v>
      </c>
      <c r="C10504" t="s">
        <v>12</v>
      </c>
      <c r="D10504" s="2">
        <v>0</v>
      </c>
      <c r="E10504" s="2">
        <v>14.37</v>
      </c>
      <c r="F10504" t="s">
        <v>16</v>
      </c>
      <c r="G10504" t="s">
        <v>17</v>
      </c>
    </row>
    <row r="10505" spans="1:7" x14ac:dyDescent="0.35">
      <c r="A10505">
        <v>4170</v>
      </c>
      <c r="B10505" s="1">
        <v>45832</v>
      </c>
      <c r="C10505" t="s">
        <v>24</v>
      </c>
      <c r="D10505" s="2">
        <v>995.04</v>
      </c>
      <c r="E10505" s="2">
        <v>0</v>
      </c>
      <c r="F10505" t="s">
        <v>8</v>
      </c>
      <c r="G10505" t="s">
        <v>9</v>
      </c>
    </row>
    <row r="10506" spans="1:7" x14ac:dyDescent="0.35">
      <c r="A10506">
        <v>4170</v>
      </c>
      <c r="B10506" s="1">
        <v>45832</v>
      </c>
      <c r="C10506" t="s">
        <v>24</v>
      </c>
      <c r="D10506" s="2">
        <v>0</v>
      </c>
      <c r="E10506" s="2">
        <v>995.04</v>
      </c>
      <c r="F10506" t="s">
        <v>13</v>
      </c>
      <c r="G10506" t="s">
        <v>9</v>
      </c>
    </row>
    <row r="10507" spans="1:7" x14ac:dyDescent="0.35">
      <c r="A10507">
        <v>4171</v>
      </c>
      <c r="B10507" s="1">
        <v>45832</v>
      </c>
      <c r="C10507" t="s">
        <v>24</v>
      </c>
      <c r="D10507" s="2">
        <v>2993.25</v>
      </c>
      <c r="E10507" s="2">
        <v>0</v>
      </c>
      <c r="F10507" t="s">
        <v>8</v>
      </c>
      <c r="G10507" t="s">
        <v>9</v>
      </c>
    </row>
    <row r="10508" spans="1:7" x14ac:dyDescent="0.35">
      <c r="A10508">
        <v>4171</v>
      </c>
      <c r="B10508" s="1">
        <v>45832</v>
      </c>
      <c r="C10508" t="s">
        <v>24</v>
      </c>
      <c r="D10508" s="2">
        <v>0</v>
      </c>
      <c r="E10508" s="2">
        <v>2993.25</v>
      </c>
      <c r="F10508" t="s">
        <v>13</v>
      </c>
      <c r="G10508" t="s">
        <v>9</v>
      </c>
    </row>
    <row r="10509" spans="1:7" x14ac:dyDescent="0.35">
      <c r="A10509">
        <v>4172</v>
      </c>
      <c r="B10509" s="1">
        <v>45832</v>
      </c>
      <c r="C10509" t="s">
        <v>24</v>
      </c>
      <c r="D10509" s="2">
        <v>3972.97</v>
      </c>
      <c r="E10509" s="2">
        <v>0</v>
      </c>
      <c r="F10509" t="s">
        <v>8</v>
      </c>
      <c r="G10509" t="s">
        <v>9</v>
      </c>
    </row>
    <row r="10510" spans="1:7" x14ac:dyDescent="0.35">
      <c r="A10510">
        <v>4172</v>
      </c>
      <c r="B10510" s="1">
        <v>45832</v>
      </c>
      <c r="C10510" t="s">
        <v>24</v>
      </c>
      <c r="D10510" s="2">
        <v>0</v>
      </c>
      <c r="E10510" s="2">
        <v>3972.97</v>
      </c>
      <c r="F10510" t="s">
        <v>13</v>
      </c>
      <c r="G10510" t="s">
        <v>9</v>
      </c>
    </row>
    <row r="10511" spans="1:7" x14ac:dyDescent="0.35">
      <c r="A10511">
        <v>4173</v>
      </c>
      <c r="B10511" s="1">
        <v>45832</v>
      </c>
      <c r="C10511" t="s">
        <v>24</v>
      </c>
      <c r="D10511" s="2">
        <v>1079.98</v>
      </c>
      <c r="E10511" s="2">
        <v>0</v>
      </c>
      <c r="F10511" t="s">
        <v>8</v>
      </c>
      <c r="G10511" t="s">
        <v>9</v>
      </c>
    </row>
    <row r="10512" spans="1:7" x14ac:dyDescent="0.35">
      <c r="A10512">
        <v>4173</v>
      </c>
      <c r="B10512" s="1">
        <v>45832</v>
      </c>
      <c r="C10512" t="s">
        <v>24</v>
      </c>
      <c r="D10512" s="2">
        <v>0</v>
      </c>
      <c r="E10512" s="2">
        <v>1079.98</v>
      </c>
      <c r="F10512" t="s">
        <v>13</v>
      </c>
      <c r="G10512" t="s">
        <v>9</v>
      </c>
    </row>
    <row r="10513" spans="1:7" x14ac:dyDescent="0.35">
      <c r="A10513">
        <v>4174</v>
      </c>
      <c r="B10513" s="1">
        <v>45832</v>
      </c>
      <c r="C10513" t="s">
        <v>24</v>
      </c>
      <c r="D10513" s="2">
        <v>1444.51</v>
      </c>
      <c r="E10513" s="2">
        <v>0</v>
      </c>
      <c r="F10513" t="s">
        <v>8</v>
      </c>
      <c r="G10513" t="s">
        <v>9</v>
      </c>
    </row>
    <row r="10514" spans="1:7" x14ac:dyDescent="0.35">
      <c r="A10514">
        <v>4174</v>
      </c>
      <c r="B10514" s="1">
        <v>45832</v>
      </c>
      <c r="C10514" t="s">
        <v>24</v>
      </c>
      <c r="D10514" s="2">
        <v>0</v>
      </c>
      <c r="E10514" s="2">
        <v>1444.51</v>
      </c>
      <c r="F10514" t="s">
        <v>13</v>
      </c>
      <c r="G10514" t="s">
        <v>9</v>
      </c>
    </row>
    <row r="10515" spans="1:7" x14ac:dyDescent="0.35">
      <c r="A10515">
        <v>4175</v>
      </c>
      <c r="B10515" s="1">
        <v>45832</v>
      </c>
      <c r="C10515" t="s">
        <v>29</v>
      </c>
      <c r="D10515" s="2">
        <v>2918.17</v>
      </c>
      <c r="E10515" s="2">
        <v>0</v>
      </c>
      <c r="F10515" t="s">
        <v>28</v>
      </c>
      <c r="G10515" t="s">
        <v>17</v>
      </c>
    </row>
    <row r="10516" spans="1:7" x14ac:dyDescent="0.35">
      <c r="A10516">
        <v>4175</v>
      </c>
      <c r="B10516" s="1">
        <v>45832</v>
      </c>
      <c r="C10516" t="s">
        <v>29</v>
      </c>
      <c r="D10516" s="2">
        <v>0</v>
      </c>
      <c r="E10516" s="2">
        <v>2918.17</v>
      </c>
      <c r="F10516" t="s">
        <v>8</v>
      </c>
      <c r="G10516" t="s">
        <v>9</v>
      </c>
    </row>
    <row r="10517" spans="1:7" x14ac:dyDescent="0.35">
      <c r="A10517">
        <v>4176</v>
      </c>
      <c r="B10517" s="1">
        <v>45833</v>
      </c>
      <c r="C10517" t="s">
        <v>12</v>
      </c>
      <c r="D10517" s="2">
        <v>3902.63</v>
      </c>
      <c r="E10517" s="2">
        <v>0</v>
      </c>
      <c r="F10517" t="s">
        <v>13</v>
      </c>
      <c r="G10517" t="s">
        <v>9</v>
      </c>
    </row>
    <row r="10518" spans="1:7" x14ac:dyDescent="0.35">
      <c r="A10518">
        <v>4176</v>
      </c>
      <c r="B10518" s="1">
        <v>45833</v>
      </c>
      <c r="C10518" t="s">
        <v>12</v>
      </c>
      <c r="D10518" s="2">
        <v>0</v>
      </c>
      <c r="E10518" s="2">
        <v>3630.36</v>
      </c>
      <c r="F10518" t="s">
        <v>14</v>
      </c>
      <c r="G10518" t="s">
        <v>15</v>
      </c>
    </row>
    <row r="10519" spans="1:7" x14ac:dyDescent="0.35">
      <c r="A10519">
        <v>4176</v>
      </c>
      <c r="B10519" s="1">
        <v>45833</v>
      </c>
      <c r="C10519" t="s">
        <v>12</v>
      </c>
      <c r="D10519" s="2">
        <v>0</v>
      </c>
      <c r="E10519" s="2">
        <v>272.27</v>
      </c>
      <c r="F10519" t="s">
        <v>16</v>
      </c>
      <c r="G10519" t="s">
        <v>17</v>
      </c>
    </row>
    <row r="10520" spans="1:7" x14ac:dyDescent="0.35">
      <c r="A10520">
        <v>4177</v>
      </c>
      <c r="B10520" s="1">
        <v>45833</v>
      </c>
      <c r="C10520" t="s">
        <v>12</v>
      </c>
      <c r="D10520" s="2">
        <v>1127.31</v>
      </c>
      <c r="E10520" s="2">
        <v>0</v>
      </c>
      <c r="F10520" t="s">
        <v>13</v>
      </c>
      <c r="G10520" t="s">
        <v>9</v>
      </c>
    </row>
    <row r="10521" spans="1:7" x14ac:dyDescent="0.35">
      <c r="A10521">
        <v>4177</v>
      </c>
      <c r="B10521" s="1">
        <v>45833</v>
      </c>
      <c r="C10521" t="s">
        <v>12</v>
      </c>
      <c r="D10521" s="2">
        <v>0</v>
      </c>
      <c r="E10521" s="2">
        <v>1048.6500000000001</v>
      </c>
      <c r="F10521" t="s">
        <v>14</v>
      </c>
      <c r="G10521" t="s">
        <v>15</v>
      </c>
    </row>
    <row r="10522" spans="1:7" x14ac:dyDescent="0.35">
      <c r="A10522">
        <v>4177</v>
      </c>
      <c r="B10522" s="1">
        <v>45833</v>
      </c>
      <c r="C10522" t="s">
        <v>12</v>
      </c>
      <c r="D10522" s="2">
        <v>0</v>
      </c>
      <c r="E10522" s="2">
        <v>78.66</v>
      </c>
      <c r="F10522" t="s">
        <v>16</v>
      </c>
      <c r="G10522" t="s">
        <v>17</v>
      </c>
    </row>
    <row r="10523" spans="1:7" x14ac:dyDescent="0.35">
      <c r="A10523">
        <v>4178</v>
      </c>
      <c r="B10523" s="1">
        <v>45833</v>
      </c>
      <c r="C10523" t="s">
        <v>12</v>
      </c>
      <c r="D10523" s="2">
        <v>218.52</v>
      </c>
      <c r="E10523" s="2">
        <v>0</v>
      </c>
      <c r="F10523" t="s">
        <v>13</v>
      </c>
      <c r="G10523" t="s">
        <v>9</v>
      </c>
    </row>
    <row r="10524" spans="1:7" x14ac:dyDescent="0.35">
      <c r="A10524">
        <v>4178</v>
      </c>
      <c r="B10524" s="1">
        <v>45833</v>
      </c>
      <c r="C10524" t="s">
        <v>12</v>
      </c>
      <c r="D10524" s="2">
        <v>0</v>
      </c>
      <c r="E10524" s="2">
        <v>203.27</v>
      </c>
      <c r="F10524" t="s">
        <v>14</v>
      </c>
      <c r="G10524" t="s">
        <v>15</v>
      </c>
    </row>
    <row r="10525" spans="1:7" x14ac:dyDescent="0.35">
      <c r="A10525">
        <v>4178</v>
      </c>
      <c r="B10525" s="1">
        <v>45833</v>
      </c>
      <c r="C10525" t="s">
        <v>12</v>
      </c>
      <c r="D10525" s="2">
        <v>0</v>
      </c>
      <c r="E10525" s="2">
        <v>15.25</v>
      </c>
      <c r="F10525" t="s">
        <v>16</v>
      </c>
      <c r="G10525" t="s">
        <v>17</v>
      </c>
    </row>
    <row r="10526" spans="1:7" x14ac:dyDescent="0.35">
      <c r="A10526">
        <v>4179</v>
      </c>
      <c r="B10526" s="1">
        <v>45833</v>
      </c>
      <c r="C10526" t="s">
        <v>12</v>
      </c>
      <c r="D10526" s="2">
        <v>2148.64</v>
      </c>
      <c r="E10526" s="2">
        <v>0</v>
      </c>
      <c r="F10526" t="s">
        <v>13</v>
      </c>
      <c r="G10526" t="s">
        <v>9</v>
      </c>
    </row>
    <row r="10527" spans="1:7" x14ac:dyDescent="0.35">
      <c r="A10527">
        <v>4179</v>
      </c>
      <c r="B10527" s="1">
        <v>45833</v>
      </c>
      <c r="C10527" t="s">
        <v>12</v>
      </c>
      <c r="D10527" s="2">
        <v>0</v>
      </c>
      <c r="E10527" s="2">
        <v>1998.73</v>
      </c>
      <c r="F10527" t="s">
        <v>14</v>
      </c>
      <c r="G10527" t="s">
        <v>15</v>
      </c>
    </row>
    <row r="10528" spans="1:7" x14ac:dyDescent="0.35">
      <c r="A10528">
        <v>4179</v>
      </c>
      <c r="B10528" s="1">
        <v>45833</v>
      </c>
      <c r="C10528" t="s">
        <v>12</v>
      </c>
      <c r="D10528" s="2">
        <v>0</v>
      </c>
      <c r="E10528" s="2">
        <v>149.91</v>
      </c>
      <c r="F10528" t="s">
        <v>16</v>
      </c>
      <c r="G10528" t="s">
        <v>17</v>
      </c>
    </row>
    <row r="10529" spans="1:7" x14ac:dyDescent="0.35">
      <c r="A10529">
        <v>4180</v>
      </c>
      <c r="B10529" s="1">
        <v>45833</v>
      </c>
      <c r="C10529" t="s">
        <v>12</v>
      </c>
      <c r="D10529" s="2">
        <v>996.01</v>
      </c>
      <c r="E10529" s="2">
        <v>0</v>
      </c>
      <c r="F10529" t="s">
        <v>13</v>
      </c>
      <c r="G10529" t="s">
        <v>9</v>
      </c>
    </row>
    <row r="10530" spans="1:7" x14ac:dyDescent="0.35">
      <c r="A10530">
        <v>4180</v>
      </c>
      <c r="B10530" s="1">
        <v>45833</v>
      </c>
      <c r="C10530" t="s">
        <v>12</v>
      </c>
      <c r="D10530" s="2">
        <v>0</v>
      </c>
      <c r="E10530" s="2">
        <v>926.52</v>
      </c>
      <c r="F10530" t="s">
        <v>14</v>
      </c>
      <c r="G10530" t="s">
        <v>15</v>
      </c>
    </row>
    <row r="10531" spans="1:7" x14ac:dyDescent="0.35">
      <c r="A10531">
        <v>4180</v>
      </c>
      <c r="B10531" s="1">
        <v>45833</v>
      </c>
      <c r="C10531" t="s">
        <v>12</v>
      </c>
      <c r="D10531" s="2">
        <v>0</v>
      </c>
      <c r="E10531" s="2">
        <v>69.489999999999995</v>
      </c>
      <c r="F10531" t="s">
        <v>16</v>
      </c>
      <c r="G10531" t="s">
        <v>17</v>
      </c>
    </row>
    <row r="10532" spans="1:7" x14ac:dyDescent="0.35">
      <c r="A10532">
        <v>4181</v>
      </c>
      <c r="B10532" s="1">
        <v>45833</v>
      </c>
      <c r="C10532" t="s">
        <v>12</v>
      </c>
      <c r="D10532" s="2">
        <v>1694.03</v>
      </c>
      <c r="E10532" s="2">
        <v>0</v>
      </c>
      <c r="F10532" t="s">
        <v>13</v>
      </c>
      <c r="G10532" t="s">
        <v>9</v>
      </c>
    </row>
    <row r="10533" spans="1:7" x14ac:dyDescent="0.35">
      <c r="A10533">
        <v>4181</v>
      </c>
      <c r="B10533" s="1">
        <v>45833</v>
      </c>
      <c r="C10533" t="s">
        <v>12</v>
      </c>
      <c r="D10533" s="2">
        <v>0</v>
      </c>
      <c r="E10533" s="2">
        <v>1575.84</v>
      </c>
      <c r="F10533" t="s">
        <v>14</v>
      </c>
      <c r="G10533" t="s">
        <v>15</v>
      </c>
    </row>
    <row r="10534" spans="1:7" x14ac:dyDescent="0.35">
      <c r="A10534">
        <v>4181</v>
      </c>
      <c r="B10534" s="1">
        <v>45833</v>
      </c>
      <c r="C10534" t="s">
        <v>12</v>
      </c>
      <c r="D10534" s="2">
        <v>0</v>
      </c>
      <c r="E10534" s="2">
        <v>118.19</v>
      </c>
      <c r="F10534" t="s">
        <v>16</v>
      </c>
      <c r="G10534" t="s">
        <v>17</v>
      </c>
    </row>
    <row r="10535" spans="1:7" x14ac:dyDescent="0.35">
      <c r="A10535">
        <v>4182</v>
      </c>
      <c r="B10535" s="1">
        <v>45833</v>
      </c>
      <c r="C10535" t="s">
        <v>12</v>
      </c>
      <c r="D10535" s="2">
        <v>636.41999999999996</v>
      </c>
      <c r="E10535" s="2">
        <v>0</v>
      </c>
      <c r="F10535" t="s">
        <v>13</v>
      </c>
      <c r="G10535" t="s">
        <v>9</v>
      </c>
    </row>
    <row r="10536" spans="1:7" x14ac:dyDescent="0.35">
      <c r="A10536">
        <v>4182</v>
      </c>
      <c r="B10536" s="1">
        <v>45833</v>
      </c>
      <c r="C10536" t="s">
        <v>12</v>
      </c>
      <c r="D10536" s="2">
        <v>0</v>
      </c>
      <c r="E10536" s="2">
        <v>592.02</v>
      </c>
      <c r="F10536" t="s">
        <v>14</v>
      </c>
      <c r="G10536" t="s">
        <v>15</v>
      </c>
    </row>
    <row r="10537" spans="1:7" x14ac:dyDescent="0.35">
      <c r="A10537">
        <v>4182</v>
      </c>
      <c r="B10537" s="1">
        <v>45833</v>
      </c>
      <c r="C10537" t="s">
        <v>12</v>
      </c>
      <c r="D10537" s="2">
        <v>0</v>
      </c>
      <c r="E10537" s="2">
        <v>44.4</v>
      </c>
      <c r="F10537" t="s">
        <v>16</v>
      </c>
      <c r="G10537" t="s">
        <v>17</v>
      </c>
    </row>
    <row r="10538" spans="1:7" x14ac:dyDescent="0.35">
      <c r="A10538">
        <v>4183</v>
      </c>
      <c r="B10538" s="1">
        <v>45833</v>
      </c>
      <c r="C10538" t="s">
        <v>12</v>
      </c>
      <c r="D10538" s="2">
        <v>3263.89</v>
      </c>
      <c r="E10538" s="2">
        <v>0</v>
      </c>
      <c r="F10538" t="s">
        <v>13</v>
      </c>
      <c r="G10538" t="s">
        <v>9</v>
      </c>
    </row>
    <row r="10539" spans="1:7" x14ac:dyDescent="0.35">
      <c r="A10539">
        <v>4183</v>
      </c>
      <c r="B10539" s="1">
        <v>45833</v>
      </c>
      <c r="C10539" t="s">
        <v>12</v>
      </c>
      <c r="D10539" s="2">
        <v>0</v>
      </c>
      <c r="E10539" s="2">
        <v>3036.18</v>
      </c>
      <c r="F10539" t="s">
        <v>14</v>
      </c>
      <c r="G10539" t="s">
        <v>15</v>
      </c>
    </row>
    <row r="10540" spans="1:7" x14ac:dyDescent="0.35">
      <c r="A10540">
        <v>4183</v>
      </c>
      <c r="B10540" s="1">
        <v>45833</v>
      </c>
      <c r="C10540" t="s">
        <v>12</v>
      </c>
      <c r="D10540" s="2">
        <v>0</v>
      </c>
      <c r="E10540" s="2">
        <v>227.71</v>
      </c>
      <c r="F10540" t="s">
        <v>16</v>
      </c>
      <c r="G10540" t="s">
        <v>17</v>
      </c>
    </row>
    <row r="10541" spans="1:7" x14ac:dyDescent="0.35">
      <c r="A10541">
        <v>4184</v>
      </c>
      <c r="B10541" s="1">
        <v>45833</v>
      </c>
      <c r="C10541" t="s">
        <v>12</v>
      </c>
      <c r="D10541" s="2">
        <v>1873.63</v>
      </c>
      <c r="E10541" s="2">
        <v>0</v>
      </c>
      <c r="F10541" t="s">
        <v>13</v>
      </c>
      <c r="G10541" t="s">
        <v>9</v>
      </c>
    </row>
    <row r="10542" spans="1:7" x14ac:dyDescent="0.35">
      <c r="A10542">
        <v>4184</v>
      </c>
      <c r="B10542" s="1">
        <v>45833</v>
      </c>
      <c r="C10542" t="s">
        <v>12</v>
      </c>
      <c r="D10542" s="2">
        <v>0</v>
      </c>
      <c r="E10542" s="2">
        <v>1742.91</v>
      </c>
      <c r="F10542" t="s">
        <v>14</v>
      </c>
      <c r="G10542" t="s">
        <v>15</v>
      </c>
    </row>
    <row r="10543" spans="1:7" x14ac:dyDescent="0.35">
      <c r="A10543">
        <v>4184</v>
      </c>
      <c r="B10543" s="1">
        <v>45833</v>
      </c>
      <c r="C10543" t="s">
        <v>12</v>
      </c>
      <c r="D10543" s="2">
        <v>0</v>
      </c>
      <c r="E10543" s="2">
        <v>130.72</v>
      </c>
      <c r="F10543" t="s">
        <v>16</v>
      </c>
      <c r="G10543" t="s">
        <v>17</v>
      </c>
    </row>
    <row r="10544" spans="1:7" x14ac:dyDescent="0.35">
      <c r="A10544">
        <v>4185</v>
      </c>
      <c r="B10544" s="1">
        <v>45833</v>
      </c>
      <c r="C10544" t="s">
        <v>12</v>
      </c>
      <c r="D10544" s="2">
        <v>2604.39</v>
      </c>
      <c r="E10544" s="2">
        <v>0</v>
      </c>
      <c r="F10544" t="s">
        <v>13</v>
      </c>
      <c r="G10544" t="s">
        <v>9</v>
      </c>
    </row>
    <row r="10545" spans="1:7" x14ac:dyDescent="0.35">
      <c r="A10545">
        <v>4185</v>
      </c>
      <c r="B10545" s="1">
        <v>45833</v>
      </c>
      <c r="C10545" t="s">
        <v>12</v>
      </c>
      <c r="D10545" s="2">
        <v>0</v>
      </c>
      <c r="E10545" s="2">
        <v>2422.69</v>
      </c>
      <c r="F10545" t="s">
        <v>14</v>
      </c>
      <c r="G10545" t="s">
        <v>15</v>
      </c>
    </row>
    <row r="10546" spans="1:7" x14ac:dyDescent="0.35">
      <c r="A10546">
        <v>4185</v>
      </c>
      <c r="B10546" s="1">
        <v>45833</v>
      </c>
      <c r="C10546" t="s">
        <v>12</v>
      </c>
      <c r="D10546" s="2">
        <v>0</v>
      </c>
      <c r="E10546" s="2">
        <v>181.7</v>
      </c>
      <c r="F10546" t="s">
        <v>16</v>
      </c>
      <c r="G10546" t="s">
        <v>17</v>
      </c>
    </row>
    <row r="10547" spans="1:7" x14ac:dyDescent="0.35">
      <c r="A10547">
        <v>4186</v>
      </c>
      <c r="B10547" s="1">
        <v>45833</v>
      </c>
      <c r="C10547" t="s">
        <v>24</v>
      </c>
      <c r="D10547" s="2">
        <v>59.07</v>
      </c>
      <c r="E10547" s="2">
        <v>0</v>
      </c>
      <c r="F10547" t="s">
        <v>8</v>
      </c>
      <c r="G10547" t="s">
        <v>9</v>
      </c>
    </row>
    <row r="10548" spans="1:7" x14ac:dyDescent="0.35">
      <c r="A10548">
        <v>4186</v>
      </c>
      <c r="B10548" s="1">
        <v>45833</v>
      </c>
      <c r="C10548" t="s">
        <v>24</v>
      </c>
      <c r="D10548" s="2">
        <v>0</v>
      </c>
      <c r="E10548" s="2">
        <v>59.07</v>
      </c>
      <c r="F10548" t="s">
        <v>13</v>
      </c>
      <c r="G10548" t="s">
        <v>9</v>
      </c>
    </row>
    <row r="10549" spans="1:7" x14ac:dyDescent="0.35">
      <c r="A10549">
        <v>4187</v>
      </c>
      <c r="B10549" s="1">
        <v>45833</v>
      </c>
      <c r="C10549" t="s">
        <v>24</v>
      </c>
      <c r="D10549" s="2">
        <v>5176.24</v>
      </c>
      <c r="E10549" s="2">
        <v>0</v>
      </c>
      <c r="F10549" t="s">
        <v>8</v>
      </c>
      <c r="G10549" t="s">
        <v>9</v>
      </c>
    </row>
    <row r="10550" spans="1:7" x14ac:dyDescent="0.35">
      <c r="A10550">
        <v>4187</v>
      </c>
      <c r="B10550" s="1">
        <v>45833</v>
      </c>
      <c r="C10550" t="s">
        <v>24</v>
      </c>
      <c r="D10550" s="2">
        <v>0</v>
      </c>
      <c r="E10550" s="2">
        <v>5176.24</v>
      </c>
      <c r="F10550" t="s">
        <v>13</v>
      </c>
      <c r="G10550" t="s">
        <v>9</v>
      </c>
    </row>
    <row r="10551" spans="1:7" x14ac:dyDescent="0.35">
      <c r="A10551">
        <v>4188</v>
      </c>
      <c r="B10551" s="1">
        <v>45833</v>
      </c>
      <c r="C10551" t="s">
        <v>24</v>
      </c>
      <c r="D10551" s="2">
        <v>294.08</v>
      </c>
      <c r="E10551" s="2">
        <v>0</v>
      </c>
      <c r="F10551" t="s">
        <v>8</v>
      </c>
      <c r="G10551" t="s">
        <v>9</v>
      </c>
    </row>
    <row r="10552" spans="1:7" x14ac:dyDescent="0.35">
      <c r="A10552">
        <v>4188</v>
      </c>
      <c r="B10552" s="1">
        <v>45833</v>
      </c>
      <c r="C10552" t="s">
        <v>24</v>
      </c>
      <c r="D10552" s="2">
        <v>0</v>
      </c>
      <c r="E10552" s="2">
        <v>294.08</v>
      </c>
      <c r="F10552" t="s">
        <v>13</v>
      </c>
      <c r="G10552" t="s">
        <v>9</v>
      </c>
    </row>
    <row r="10553" spans="1:7" x14ac:dyDescent="0.35">
      <c r="A10553">
        <v>4189</v>
      </c>
      <c r="B10553" s="1">
        <v>45833</v>
      </c>
      <c r="C10553" t="s">
        <v>24</v>
      </c>
      <c r="D10553" s="2">
        <v>2346.31</v>
      </c>
      <c r="E10553" s="2">
        <v>0</v>
      </c>
      <c r="F10553" t="s">
        <v>8</v>
      </c>
      <c r="G10553" t="s">
        <v>9</v>
      </c>
    </row>
    <row r="10554" spans="1:7" x14ac:dyDescent="0.35">
      <c r="A10554">
        <v>4189</v>
      </c>
      <c r="B10554" s="1">
        <v>45833</v>
      </c>
      <c r="C10554" t="s">
        <v>24</v>
      </c>
      <c r="D10554" s="2">
        <v>0</v>
      </c>
      <c r="E10554" s="2">
        <v>2346.31</v>
      </c>
      <c r="F10554" t="s">
        <v>13</v>
      </c>
      <c r="G10554" t="s">
        <v>9</v>
      </c>
    </row>
    <row r="10555" spans="1:7" x14ac:dyDescent="0.35">
      <c r="A10555">
        <v>4190</v>
      </c>
      <c r="B10555" s="1">
        <v>45833</v>
      </c>
      <c r="C10555" t="s">
        <v>24</v>
      </c>
      <c r="D10555" s="2">
        <v>3290.84</v>
      </c>
      <c r="E10555" s="2">
        <v>0</v>
      </c>
      <c r="F10555" t="s">
        <v>8</v>
      </c>
      <c r="G10555" t="s">
        <v>9</v>
      </c>
    </row>
    <row r="10556" spans="1:7" x14ac:dyDescent="0.35">
      <c r="A10556">
        <v>4190</v>
      </c>
      <c r="B10556" s="1">
        <v>45833</v>
      </c>
      <c r="C10556" t="s">
        <v>24</v>
      </c>
      <c r="D10556" s="2">
        <v>0</v>
      </c>
      <c r="E10556" s="2">
        <v>3290.84</v>
      </c>
      <c r="F10556" t="s">
        <v>13</v>
      </c>
      <c r="G10556" t="s">
        <v>9</v>
      </c>
    </row>
    <row r="10557" spans="1:7" x14ac:dyDescent="0.35">
      <c r="A10557">
        <v>4191</v>
      </c>
      <c r="B10557" s="1">
        <v>45833</v>
      </c>
      <c r="C10557" t="s">
        <v>24</v>
      </c>
      <c r="D10557" s="2">
        <v>1476.73</v>
      </c>
      <c r="E10557" s="2">
        <v>0</v>
      </c>
      <c r="F10557" t="s">
        <v>8</v>
      </c>
      <c r="G10557" t="s">
        <v>9</v>
      </c>
    </row>
    <row r="10558" spans="1:7" x14ac:dyDescent="0.35">
      <c r="A10558">
        <v>4191</v>
      </c>
      <c r="B10558" s="1">
        <v>45833</v>
      </c>
      <c r="C10558" t="s">
        <v>24</v>
      </c>
      <c r="D10558" s="2">
        <v>0</v>
      </c>
      <c r="E10558" s="2">
        <v>1476.73</v>
      </c>
      <c r="F10558" t="s">
        <v>13</v>
      </c>
      <c r="G10558" t="s">
        <v>9</v>
      </c>
    </row>
    <row r="10559" spans="1:7" x14ac:dyDescent="0.35">
      <c r="A10559">
        <v>4192</v>
      </c>
      <c r="B10559" s="1">
        <v>45833</v>
      </c>
      <c r="C10559" t="s">
        <v>25</v>
      </c>
      <c r="D10559" s="2">
        <v>2451.5</v>
      </c>
      <c r="E10559" s="2">
        <v>0</v>
      </c>
      <c r="F10559" t="s">
        <v>26</v>
      </c>
      <c r="G10559" t="s">
        <v>20</v>
      </c>
    </row>
    <row r="10560" spans="1:7" x14ac:dyDescent="0.35">
      <c r="A10560">
        <v>4192</v>
      </c>
      <c r="B10560" s="1">
        <v>45833</v>
      </c>
      <c r="C10560" t="s">
        <v>25</v>
      </c>
      <c r="D10560" s="2">
        <v>183.86</v>
      </c>
      <c r="E10560" s="2">
        <v>0</v>
      </c>
      <c r="F10560" t="s">
        <v>27</v>
      </c>
      <c r="G10560" t="s">
        <v>9</v>
      </c>
    </row>
    <row r="10561" spans="1:7" x14ac:dyDescent="0.35">
      <c r="A10561">
        <v>4192</v>
      </c>
      <c r="B10561" s="1">
        <v>45833</v>
      </c>
      <c r="C10561" t="s">
        <v>25</v>
      </c>
      <c r="D10561" s="2">
        <v>0</v>
      </c>
      <c r="E10561" s="2">
        <v>2635.36</v>
      </c>
      <c r="F10561" t="s">
        <v>28</v>
      </c>
      <c r="G10561" t="s">
        <v>17</v>
      </c>
    </row>
    <row r="10562" spans="1:7" x14ac:dyDescent="0.35">
      <c r="A10562">
        <v>4193</v>
      </c>
      <c r="B10562" s="1">
        <v>45833</v>
      </c>
      <c r="C10562" t="s">
        <v>25</v>
      </c>
      <c r="D10562" s="2">
        <v>952.02</v>
      </c>
      <c r="E10562" s="2">
        <v>0</v>
      </c>
      <c r="F10562" t="s">
        <v>26</v>
      </c>
      <c r="G10562" t="s">
        <v>20</v>
      </c>
    </row>
    <row r="10563" spans="1:7" x14ac:dyDescent="0.35">
      <c r="A10563">
        <v>4193</v>
      </c>
      <c r="B10563" s="1">
        <v>45833</v>
      </c>
      <c r="C10563" t="s">
        <v>25</v>
      </c>
      <c r="D10563" s="2">
        <v>71.400000000000006</v>
      </c>
      <c r="E10563" s="2">
        <v>0</v>
      </c>
      <c r="F10563" t="s">
        <v>27</v>
      </c>
      <c r="G10563" t="s">
        <v>9</v>
      </c>
    </row>
    <row r="10564" spans="1:7" x14ac:dyDescent="0.35">
      <c r="A10564">
        <v>4193</v>
      </c>
      <c r="B10564" s="1">
        <v>45833</v>
      </c>
      <c r="C10564" t="s">
        <v>25</v>
      </c>
      <c r="D10564" s="2">
        <v>0</v>
      </c>
      <c r="E10564" s="2">
        <v>1023.42</v>
      </c>
      <c r="F10564" t="s">
        <v>28</v>
      </c>
      <c r="G10564" t="s">
        <v>17</v>
      </c>
    </row>
    <row r="10565" spans="1:7" x14ac:dyDescent="0.35">
      <c r="A10565">
        <v>4194</v>
      </c>
      <c r="B10565" s="1">
        <v>45833</v>
      </c>
      <c r="C10565" t="s">
        <v>29</v>
      </c>
      <c r="D10565" s="2">
        <v>3528.97</v>
      </c>
      <c r="E10565" s="2">
        <v>0</v>
      </c>
      <c r="F10565" t="s">
        <v>28</v>
      </c>
      <c r="G10565" t="s">
        <v>17</v>
      </c>
    </row>
    <row r="10566" spans="1:7" x14ac:dyDescent="0.35">
      <c r="A10566">
        <v>4194</v>
      </c>
      <c r="B10566" s="1">
        <v>45833</v>
      </c>
      <c r="C10566" t="s">
        <v>29</v>
      </c>
      <c r="D10566" s="2">
        <v>0</v>
      </c>
      <c r="E10566" s="2">
        <v>3528.97</v>
      </c>
      <c r="F10566" t="s">
        <v>8</v>
      </c>
      <c r="G10566" t="s">
        <v>9</v>
      </c>
    </row>
    <row r="10567" spans="1:7" x14ac:dyDescent="0.35">
      <c r="A10567">
        <v>4195</v>
      </c>
      <c r="B10567" s="1">
        <v>45833</v>
      </c>
      <c r="C10567" t="s">
        <v>29</v>
      </c>
      <c r="D10567" s="2">
        <v>1958.74</v>
      </c>
      <c r="E10567" s="2">
        <v>0</v>
      </c>
      <c r="F10567" t="s">
        <v>28</v>
      </c>
      <c r="G10567" t="s">
        <v>17</v>
      </c>
    </row>
    <row r="10568" spans="1:7" x14ac:dyDescent="0.35">
      <c r="A10568">
        <v>4195</v>
      </c>
      <c r="B10568" s="1">
        <v>45833</v>
      </c>
      <c r="C10568" t="s">
        <v>29</v>
      </c>
      <c r="D10568" s="2">
        <v>0</v>
      </c>
      <c r="E10568" s="2">
        <v>1958.74</v>
      </c>
      <c r="F10568" t="s">
        <v>8</v>
      </c>
      <c r="G10568" t="s">
        <v>9</v>
      </c>
    </row>
    <row r="10569" spans="1:7" x14ac:dyDescent="0.35">
      <c r="A10569">
        <v>4196</v>
      </c>
      <c r="B10569" s="1">
        <v>45834</v>
      </c>
      <c r="C10569" t="s">
        <v>12</v>
      </c>
      <c r="D10569" s="2">
        <v>1149.31</v>
      </c>
      <c r="E10569" s="2">
        <v>0</v>
      </c>
      <c r="F10569" t="s">
        <v>13</v>
      </c>
      <c r="G10569" t="s">
        <v>9</v>
      </c>
    </row>
    <row r="10570" spans="1:7" x14ac:dyDescent="0.35">
      <c r="A10570">
        <v>4196</v>
      </c>
      <c r="B10570" s="1">
        <v>45834</v>
      </c>
      <c r="C10570" t="s">
        <v>12</v>
      </c>
      <c r="D10570" s="2">
        <v>0</v>
      </c>
      <c r="E10570" s="2">
        <v>1069.1300000000001</v>
      </c>
      <c r="F10570" t="s">
        <v>14</v>
      </c>
      <c r="G10570" t="s">
        <v>15</v>
      </c>
    </row>
    <row r="10571" spans="1:7" x14ac:dyDescent="0.35">
      <c r="A10571">
        <v>4196</v>
      </c>
      <c r="B10571" s="1">
        <v>45834</v>
      </c>
      <c r="C10571" t="s">
        <v>12</v>
      </c>
      <c r="D10571" s="2">
        <v>0</v>
      </c>
      <c r="E10571" s="2">
        <v>80.180000000000007</v>
      </c>
      <c r="F10571" t="s">
        <v>16</v>
      </c>
      <c r="G10571" t="s">
        <v>17</v>
      </c>
    </row>
    <row r="10572" spans="1:7" x14ac:dyDescent="0.35">
      <c r="A10572">
        <v>4197</v>
      </c>
      <c r="B10572" s="1">
        <v>45834</v>
      </c>
      <c r="C10572" t="s">
        <v>12</v>
      </c>
      <c r="D10572" s="2">
        <v>2453.71</v>
      </c>
      <c r="E10572" s="2">
        <v>0</v>
      </c>
      <c r="F10572" t="s">
        <v>13</v>
      </c>
      <c r="G10572" t="s">
        <v>9</v>
      </c>
    </row>
    <row r="10573" spans="1:7" x14ac:dyDescent="0.35">
      <c r="A10573">
        <v>4197</v>
      </c>
      <c r="B10573" s="1">
        <v>45834</v>
      </c>
      <c r="C10573" t="s">
        <v>12</v>
      </c>
      <c r="D10573" s="2">
        <v>0</v>
      </c>
      <c r="E10573" s="2">
        <v>2282.52</v>
      </c>
      <c r="F10573" t="s">
        <v>14</v>
      </c>
      <c r="G10573" t="s">
        <v>15</v>
      </c>
    </row>
    <row r="10574" spans="1:7" x14ac:dyDescent="0.35">
      <c r="A10574">
        <v>4197</v>
      </c>
      <c r="B10574" s="1">
        <v>45834</v>
      </c>
      <c r="C10574" t="s">
        <v>12</v>
      </c>
      <c r="D10574" s="2">
        <v>0</v>
      </c>
      <c r="E10574" s="2">
        <v>171.19</v>
      </c>
      <c r="F10574" t="s">
        <v>16</v>
      </c>
      <c r="G10574" t="s">
        <v>17</v>
      </c>
    </row>
    <row r="10575" spans="1:7" x14ac:dyDescent="0.35">
      <c r="A10575">
        <v>4198</v>
      </c>
      <c r="B10575" s="1">
        <v>45834</v>
      </c>
      <c r="C10575" t="s">
        <v>12</v>
      </c>
      <c r="D10575" s="2">
        <v>3387.81</v>
      </c>
      <c r="E10575" s="2">
        <v>0</v>
      </c>
      <c r="F10575" t="s">
        <v>13</v>
      </c>
      <c r="G10575" t="s">
        <v>9</v>
      </c>
    </row>
    <row r="10576" spans="1:7" x14ac:dyDescent="0.35">
      <c r="A10576">
        <v>4198</v>
      </c>
      <c r="B10576" s="1">
        <v>45834</v>
      </c>
      <c r="C10576" t="s">
        <v>12</v>
      </c>
      <c r="D10576" s="2">
        <v>0</v>
      </c>
      <c r="E10576" s="2">
        <v>3151.45</v>
      </c>
      <c r="F10576" t="s">
        <v>14</v>
      </c>
      <c r="G10576" t="s">
        <v>15</v>
      </c>
    </row>
    <row r="10577" spans="1:7" x14ac:dyDescent="0.35">
      <c r="A10577">
        <v>4198</v>
      </c>
      <c r="B10577" s="1">
        <v>45834</v>
      </c>
      <c r="C10577" t="s">
        <v>12</v>
      </c>
      <c r="D10577" s="2">
        <v>0</v>
      </c>
      <c r="E10577" s="2">
        <v>236.36</v>
      </c>
      <c r="F10577" t="s">
        <v>16</v>
      </c>
      <c r="G10577" t="s">
        <v>17</v>
      </c>
    </row>
    <row r="10578" spans="1:7" x14ac:dyDescent="0.35">
      <c r="A10578">
        <v>4199</v>
      </c>
      <c r="B10578" s="1">
        <v>45834</v>
      </c>
      <c r="C10578" t="s">
        <v>12</v>
      </c>
      <c r="D10578" s="2">
        <v>824.32</v>
      </c>
      <c r="E10578" s="2">
        <v>0</v>
      </c>
      <c r="F10578" t="s">
        <v>13</v>
      </c>
      <c r="G10578" t="s">
        <v>9</v>
      </c>
    </row>
    <row r="10579" spans="1:7" x14ac:dyDescent="0.35">
      <c r="A10579">
        <v>4199</v>
      </c>
      <c r="B10579" s="1">
        <v>45834</v>
      </c>
      <c r="C10579" t="s">
        <v>12</v>
      </c>
      <c r="D10579" s="2">
        <v>0</v>
      </c>
      <c r="E10579" s="2">
        <v>766.81</v>
      </c>
      <c r="F10579" t="s">
        <v>14</v>
      </c>
      <c r="G10579" t="s">
        <v>15</v>
      </c>
    </row>
    <row r="10580" spans="1:7" x14ac:dyDescent="0.35">
      <c r="A10580">
        <v>4199</v>
      </c>
      <c r="B10580" s="1">
        <v>45834</v>
      </c>
      <c r="C10580" t="s">
        <v>12</v>
      </c>
      <c r="D10580" s="2">
        <v>0</v>
      </c>
      <c r="E10580" s="2">
        <v>57.51</v>
      </c>
      <c r="F10580" t="s">
        <v>16</v>
      </c>
      <c r="G10580" t="s">
        <v>17</v>
      </c>
    </row>
    <row r="10581" spans="1:7" x14ac:dyDescent="0.35">
      <c r="A10581">
        <v>4200</v>
      </c>
      <c r="B10581" s="1">
        <v>45834</v>
      </c>
      <c r="C10581" t="s">
        <v>24</v>
      </c>
      <c r="D10581" s="2">
        <v>1774.86</v>
      </c>
      <c r="E10581" s="2">
        <v>0</v>
      </c>
      <c r="F10581" t="s">
        <v>8</v>
      </c>
      <c r="G10581" t="s">
        <v>9</v>
      </c>
    </row>
    <row r="10582" spans="1:7" x14ac:dyDescent="0.35">
      <c r="A10582">
        <v>4200</v>
      </c>
      <c r="B10582" s="1">
        <v>45834</v>
      </c>
      <c r="C10582" t="s">
        <v>24</v>
      </c>
      <c r="D10582" s="2">
        <v>0</v>
      </c>
      <c r="E10582" s="2">
        <v>1774.86</v>
      </c>
      <c r="F10582" t="s">
        <v>13</v>
      </c>
      <c r="G10582" t="s">
        <v>9</v>
      </c>
    </row>
    <row r="10583" spans="1:7" x14ac:dyDescent="0.35">
      <c r="A10583">
        <v>4201</v>
      </c>
      <c r="B10583" s="1">
        <v>45834</v>
      </c>
      <c r="C10583" t="s">
        <v>24</v>
      </c>
      <c r="D10583" s="2">
        <v>2906.55</v>
      </c>
      <c r="E10583" s="2">
        <v>0</v>
      </c>
      <c r="F10583" t="s">
        <v>8</v>
      </c>
      <c r="G10583" t="s">
        <v>9</v>
      </c>
    </row>
    <row r="10584" spans="1:7" x14ac:dyDescent="0.35">
      <c r="A10584">
        <v>4201</v>
      </c>
      <c r="B10584" s="1">
        <v>45834</v>
      </c>
      <c r="C10584" t="s">
        <v>24</v>
      </c>
      <c r="D10584" s="2">
        <v>0</v>
      </c>
      <c r="E10584" s="2">
        <v>2906.55</v>
      </c>
      <c r="F10584" t="s">
        <v>13</v>
      </c>
      <c r="G10584" t="s">
        <v>9</v>
      </c>
    </row>
    <row r="10585" spans="1:7" x14ac:dyDescent="0.35">
      <c r="A10585">
        <v>4202</v>
      </c>
      <c r="B10585" s="1">
        <v>45834</v>
      </c>
      <c r="C10585" t="s">
        <v>24</v>
      </c>
      <c r="D10585" s="2">
        <v>1663.07</v>
      </c>
      <c r="E10585" s="2">
        <v>0</v>
      </c>
      <c r="F10585" t="s">
        <v>8</v>
      </c>
      <c r="G10585" t="s">
        <v>9</v>
      </c>
    </row>
    <row r="10586" spans="1:7" x14ac:dyDescent="0.35">
      <c r="A10586">
        <v>4202</v>
      </c>
      <c r="B10586" s="1">
        <v>45834</v>
      </c>
      <c r="C10586" t="s">
        <v>24</v>
      </c>
      <c r="D10586" s="2">
        <v>0</v>
      </c>
      <c r="E10586" s="2">
        <v>1663.07</v>
      </c>
      <c r="F10586" t="s">
        <v>13</v>
      </c>
      <c r="G10586" t="s">
        <v>9</v>
      </c>
    </row>
    <row r="10587" spans="1:7" x14ac:dyDescent="0.35">
      <c r="A10587">
        <v>4203</v>
      </c>
      <c r="B10587" s="1">
        <v>45834</v>
      </c>
      <c r="C10587" t="s">
        <v>24</v>
      </c>
      <c r="D10587" s="2">
        <v>1970.44</v>
      </c>
      <c r="E10587" s="2">
        <v>0</v>
      </c>
      <c r="F10587" t="s">
        <v>8</v>
      </c>
      <c r="G10587" t="s">
        <v>9</v>
      </c>
    </row>
    <row r="10588" spans="1:7" x14ac:dyDescent="0.35">
      <c r="A10588">
        <v>4203</v>
      </c>
      <c r="B10588" s="1">
        <v>45834</v>
      </c>
      <c r="C10588" t="s">
        <v>24</v>
      </c>
      <c r="D10588" s="2">
        <v>0</v>
      </c>
      <c r="E10588" s="2">
        <v>1970.44</v>
      </c>
      <c r="F10588" t="s">
        <v>13</v>
      </c>
      <c r="G10588" t="s">
        <v>9</v>
      </c>
    </row>
    <row r="10589" spans="1:7" x14ac:dyDescent="0.35">
      <c r="A10589">
        <v>4204</v>
      </c>
      <c r="B10589" s="1">
        <v>45834</v>
      </c>
      <c r="C10589" t="s">
        <v>24</v>
      </c>
      <c r="D10589" s="2">
        <v>1874.71</v>
      </c>
      <c r="E10589" s="2">
        <v>0</v>
      </c>
      <c r="F10589" t="s">
        <v>8</v>
      </c>
      <c r="G10589" t="s">
        <v>9</v>
      </c>
    </row>
    <row r="10590" spans="1:7" x14ac:dyDescent="0.35">
      <c r="A10590">
        <v>4204</v>
      </c>
      <c r="B10590" s="1">
        <v>45834</v>
      </c>
      <c r="C10590" t="s">
        <v>24</v>
      </c>
      <c r="D10590" s="2">
        <v>0</v>
      </c>
      <c r="E10590" s="2">
        <v>1874.71</v>
      </c>
      <c r="F10590" t="s">
        <v>13</v>
      </c>
      <c r="G10590" t="s">
        <v>9</v>
      </c>
    </row>
    <row r="10591" spans="1:7" x14ac:dyDescent="0.35">
      <c r="A10591">
        <v>4205</v>
      </c>
      <c r="B10591" s="1">
        <v>45834</v>
      </c>
      <c r="C10591" t="s">
        <v>24</v>
      </c>
      <c r="D10591" s="2">
        <v>690.11</v>
      </c>
      <c r="E10591" s="2">
        <v>0</v>
      </c>
      <c r="F10591" t="s">
        <v>8</v>
      </c>
      <c r="G10591" t="s">
        <v>9</v>
      </c>
    </row>
    <row r="10592" spans="1:7" x14ac:dyDescent="0.35">
      <c r="A10592">
        <v>4205</v>
      </c>
      <c r="B10592" s="1">
        <v>45834</v>
      </c>
      <c r="C10592" t="s">
        <v>24</v>
      </c>
      <c r="D10592" s="2">
        <v>0</v>
      </c>
      <c r="E10592" s="2">
        <v>690.11</v>
      </c>
      <c r="F10592" t="s">
        <v>13</v>
      </c>
      <c r="G10592" t="s">
        <v>9</v>
      </c>
    </row>
    <row r="10593" spans="1:7" x14ac:dyDescent="0.35">
      <c r="A10593">
        <v>4206</v>
      </c>
      <c r="B10593" s="1">
        <v>45834</v>
      </c>
      <c r="C10593" t="s">
        <v>25</v>
      </c>
      <c r="D10593" s="2">
        <v>3282.76</v>
      </c>
      <c r="E10593" s="2">
        <v>0</v>
      </c>
      <c r="F10593" t="s">
        <v>26</v>
      </c>
      <c r="G10593" t="s">
        <v>20</v>
      </c>
    </row>
    <row r="10594" spans="1:7" x14ac:dyDescent="0.35">
      <c r="A10594">
        <v>4206</v>
      </c>
      <c r="B10594" s="1">
        <v>45834</v>
      </c>
      <c r="C10594" t="s">
        <v>25</v>
      </c>
      <c r="D10594" s="2">
        <v>246.21</v>
      </c>
      <c r="E10594" s="2">
        <v>0</v>
      </c>
      <c r="F10594" t="s">
        <v>27</v>
      </c>
      <c r="G10594" t="s">
        <v>9</v>
      </c>
    </row>
    <row r="10595" spans="1:7" x14ac:dyDescent="0.35">
      <c r="A10595">
        <v>4206</v>
      </c>
      <c r="B10595" s="1">
        <v>45834</v>
      </c>
      <c r="C10595" t="s">
        <v>25</v>
      </c>
      <c r="D10595" s="2">
        <v>0</v>
      </c>
      <c r="E10595" s="2">
        <v>3528.97</v>
      </c>
      <c r="F10595" t="s">
        <v>28</v>
      </c>
      <c r="G10595" t="s">
        <v>17</v>
      </c>
    </row>
    <row r="10596" spans="1:7" x14ac:dyDescent="0.35">
      <c r="A10596">
        <v>4207</v>
      </c>
      <c r="B10596" s="1">
        <v>45834</v>
      </c>
      <c r="C10596" t="s">
        <v>29</v>
      </c>
      <c r="D10596" s="2">
        <v>7227.44</v>
      </c>
      <c r="E10596" s="2">
        <v>0</v>
      </c>
      <c r="F10596" t="s">
        <v>28</v>
      </c>
      <c r="G10596" t="s">
        <v>17</v>
      </c>
    </row>
    <row r="10597" spans="1:7" x14ac:dyDescent="0.35">
      <c r="A10597">
        <v>4207</v>
      </c>
      <c r="B10597" s="1">
        <v>45834</v>
      </c>
      <c r="C10597" t="s">
        <v>29</v>
      </c>
      <c r="D10597" s="2">
        <v>0</v>
      </c>
      <c r="E10597" s="2">
        <v>7227.44</v>
      </c>
      <c r="F10597" t="s">
        <v>8</v>
      </c>
      <c r="G10597" t="s">
        <v>9</v>
      </c>
    </row>
    <row r="10598" spans="1:7" x14ac:dyDescent="0.35">
      <c r="A10598">
        <v>4208</v>
      </c>
      <c r="B10598" s="1">
        <v>45834</v>
      </c>
      <c r="C10598" t="s">
        <v>29</v>
      </c>
      <c r="D10598" s="2">
        <v>276.32</v>
      </c>
      <c r="E10598" s="2">
        <v>0</v>
      </c>
      <c r="F10598" t="s">
        <v>28</v>
      </c>
      <c r="G10598" t="s">
        <v>17</v>
      </c>
    </row>
    <row r="10599" spans="1:7" x14ac:dyDescent="0.35">
      <c r="A10599">
        <v>4208</v>
      </c>
      <c r="B10599" s="1">
        <v>45834</v>
      </c>
      <c r="C10599" t="s">
        <v>29</v>
      </c>
      <c r="D10599" s="2">
        <v>0</v>
      </c>
      <c r="E10599" s="2">
        <v>276.32</v>
      </c>
      <c r="F10599" t="s">
        <v>8</v>
      </c>
      <c r="G10599" t="s">
        <v>9</v>
      </c>
    </row>
    <row r="10600" spans="1:7" x14ac:dyDescent="0.35">
      <c r="A10600">
        <v>4209</v>
      </c>
      <c r="B10600" s="1">
        <v>45834</v>
      </c>
      <c r="C10600" t="s">
        <v>29</v>
      </c>
      <c r="D10600" s="2">
        <v>9336.67</v>
      </c>
      <c r="E10600" s="2">
        <v>0</v>
      </c>
      <c r="F10600" t="s">
        <v>28</v>
      </c>
      <c r="G10600" t="s">
        <v>17</v>
      </c>
    </row>
    <row r="10601" spans="1:7" x14ac:dyDescent="0.35">
      <c r="A10601">
        <v>4209</v>
      </c>
      <c r="B10601" s="1">
        <v>45834</v>
      </c>
      <c r="C10601" t="s">
        <v>29</v>
      </c>
      <c r="D10601" s="2">
        <v>0</v>
      </c>
      <c r="E10601" s="2">
        <v>9336.67</v>
      </c>
      <c r="F10601" t="s">
        <v>8</v>
      </c>
      <c r="G10601" t="s">
        <v>9</v>
      </c>
    </row>
    <row r="10602" spans="1:7" x14ac:dyDescent="0.35">
      <c r="A10602">
        <v>4210</v>
      </c>
      <c r="B10602" s="1">
        <v>45835</v>
      </c>
      <c r="C10602" t="s">
        <v>12</v>
      </c>
      <c r="D10602" s="2">
        <v>3221.71</v>
      </c>
      <c r="E10602" s="2">
        <v>0</v>
      </c>
      <c r="F10602" t="s">
        <v>13</v>
      </c>
      <c r="G10602" t="s">
        <v>9</v>
      </c>
    </row>
    <row r="10603" spans="1:7" x14ac:dyDescent="0.35">
      <c r="A10603">
        <v>4210</v>
      </c>
      <c r="B10603" s="1">
        <v>45835</v>
      </c>
      <c r="C10603" t="s">
        <v>12</v>
      </c>
      <c r="D10603" s="2">
        <v>0</v>
      </c>
      <c r="E10603" s="2">
        <v>2996.94</v>
      </c>
      <c r="F10603" t="s">
        <v>14</v>
      </c>
      <c r="G10603" t="s">
        <v>15</v>
      </c>
    </row>
    <row r="10604" spans="1:7" x14ac:dyDescent="0.35">
      <c r="A10604">
        <v>4210</v>
      </c>
      <c r="B10604" s="1">
        <v>45835</v>
      </c>
      <c r="C10604" t="s">
        <v>12</v>
      </c>
      <c r="D10604" s="2">
        <v>0</v>
      </c>
      <c r="E10604" s="2">
        <v>224.77</v>
      </c>
      <c r="F10604" t="s">
        <v>16</v>
      </c>
      <c r="G10604" t="s">
        <v>17</v>
      </c>
    </row>
    <row r="10605" spans="1:7" x14ac:dyDescent="0.35">
      <c r="A10605">
        <v>4211</v>
      </c>
      <c r="B10605" s="1">
        <v>45835</v>
      </c>
      <c r="C10605" t="s">
        <v>12</v>
      </c>
      <c r="D10605" s="2">
        <v>2156.33</v>
      </c>
      <c r="E10605" s="2">
        <v>0</v>
      </c>
      <c r="F10605" t="s">
        <v>13</v>
      </c>
      <c r="G10605" t="s">
        <v>9</v>
      </c>
    </row>
    <row r="10606" spans="1:7" x14ac:dyDescent="0.35">
      <c r="A10606">
        <v>4211</v>
      </c>
      <c r="B10606" s="1">
        <v>45835</v>
      </c>
      <c r="C10606" t="s">
        <v>12</v>
      </c>
      <c r="D10606" s="2">
        <v>0</v>
      </c>
      <c r="E10606" s="2">
        <v>2005.89</v>
      </c>
      <c r="F10606" t="s">
        <v>14</v>
      </c>
      <c r="G10606" t="s">
        <v>15</v>
      </c>
    </row>
    <row r="10607" spans="1:7" x14ac:dyDescent="0.35">
      <c r="A10607">
        <v>4211</v>
      </c>
      <c r="B10607" s="1">
        <v>45835</v>
      </c>
      <c r="C10607" t="s">
        <v>12</v>
      </c>
      <c r="D10607" s="2">
        <v>0</v>
      </c>
      <c r="E10607" s="2">
        <v>150.44</v>
      </c>
      <c r="F10607" t="s">
        <v>16</v>
      </c>
      <c r="G10607" t="s">
        <v>17</v>
      </c>
    </row>
    <row r="10608" spans="1:7" x14ac:dyDescent="0.35">
      <c r="A10608">
        <v>4212</v>
      </c>
      <c r="B10608" s="1">
        <v>45835</v>
      </c>
      <c r="C10608" t="s">
        <v>12</v>
      </c>
      <c r="D10608" s="2">
        <v>2604.04</v>
      </c>
      <c r="E10608" s="2">
        <v>0</v>
      </c>
      <c r="F10608" t="s">
        <v>13</v>
      </c>
      <c r="G10608" t="s">
        <v>9</v>
      </c>
    </row>
    <row r="10609" spans="1:7" x14ac:dyDescent="0.35">
      <c r="A10609">
        <v>4212</v>
      </c>
      <c r="B10609" s="1">
        <v>45835</v>
      </c>
      <c r="C10609" t="s">
        <v>12</v>
      </c>
      <c r="D10609" s="2">
        <v>0</v>
      </c>
      <c r="E10609" s="2">
        <v>2422.36</v>
      </c>
      <c r="F10609" t="s">
        <v>14</v>
      </c>
      <c r="G10609" t="s">
        <v>15</v>
      </c>
    </row>
    <row r="10610" spans="1:7" x14ac:dyDescent="0.35">
      <c r="A10610">
        <v>4212</v>
      </c>
      <c r="B10610" s="1">
        <v>45835</v>
      </c>
      <c r="C10610" t="s">
        <v>12</v>
      </c>
      <c r="D10610" s="2">
        <v>0</v>
      </c>
      <c r="E10610" s="2">
        <v>181.68</v>
      </c>
      <c r="F10610" t="s">
        <v>16</v>
      </c>
      <c r="G10610" t="s">
        <v>17</v>
      </c>
    </row>
    <row r="10611" spans="1:7" x14ac:dyDescent="0.35">
      <c r="A10611">
        <v>4213</v>
      </c>
      <c r="B10611" s="1">
        <v>45835</v>
      </c>
      <c r="C10611" t="s">
        <v>12</v>
      </c>
      <c r="D10611" s="2">
        <v>1309.1300000000001</v>
      </c>
      <c r="E10611" s="2">
        <v>0</v>
      </c>
      <c r="F10611" t="s">
        <v>13</v>
      </c>
      <c r="G10611" t="s">
        <v>9</v>
      </c>
    </row>
    <row r="10612" spans="1:7" x14ac:dyDescent="0.35">
      <c r="A10612">
        <v>4213</v>
      </c>
      <c r="B10612" s="1">
        <v>45835</v>
      </c>
      <c r="C10612" t="s">
        <v>12</v>
      </c>
      <c r="D10612" s="2">
        <v>0</v>
      </c>
      <c r="E10612" s="2">
        <v>1217.8</v>
      </c>
      <c r="F10612" t="s">
        <v>14</v>
      </c>
      <c r="G10612" t="s">
        <v>15</v>
      </c>
    </row>
    <row r="10613" spans="1:7" x14ac:dyDescent="0.35">
      <c r="A10613">
        <v>4213</v>
      </c>
      <c r="B10613" s="1">
        <v>45835</v>
      </c>
      <c r="C10613" t="s">
        <v>12</v>
      </c>
      <c r="D10613" s="2">
        <v>0</v>
      </c>
      <c r="E10613" s="2">
        <v>91.33</v>
      </c>
      <c r="F10613" t="s">
        <v>16</v>
      </c>
      <c r="G10613" t="s">
        <v>17</v>
      </c>
    </row>
    <row r="10614" spans="1:7" x14ac:dyDescent="0.35">
      <c r="A10614">
        <v>4214</v>
      </c>
      <c r="B10614" s="1">
        <v>45835</v>
      </c>
      <c r="C10614" t="s">
        <v>12</v>
      </c>
      <c r="D10614" s="2">
        <v>6378.45</v>
      </c>
      <c r="E10614" s="2">
        <v>0</v>
      </c>
      <c r="F10614" t="s">
        <v>13</v>
      </c>
      <c r="G10614" t="s">
        <v>9</v>
      </c>
    </row>
    <row r="10615" spans="1:7" x14ac:dyDescent="0.35">
      <c r="A10615">
        <v>4214</v>
      </c>
      <c r="B10615" s="1">
        <v>45835</v>
      </c>
      <c r="C10615" t="s">
        <v>12</v>
      </c>
      <c r="D10615" s="2">
        <v>0</v>
      </c>
      <c r="E10615" s="2">
        <v>5933.43</v>
      </c>
      <c r="F10615" t="s">
        <v>14</v>
      </c>
      <c r="G10615" t="s">
        <v>15</v>
      </c>
    </row>
    <row r="10616" spans="1:7" x14ac:dyDescent="0.35">
      <c r="A10616">
        <v>4214</v>
      </c>
      <c r="B10616" s="1">
        <v>45835</v>
      </c>
      <c r="C10616" t="s">
        <v>12</v>
      </c>
      <c r="D10616" s="2">
        <v>0</v>
      </c>
      <c r="E10616" s="2">
        <v>445.02</v>
      </c>
      <c r="F10616" t="s">
        <v>16</v>
      </c>
      <c r="G10616" t="s">
        <v>17</v>
      </c>
    </row>
    <row r="10617" spans="1:7" x14ac:dyDescent="0.35">
      <c r="A10617">
        <v>4215</v>
      </c>
      <c r="B10617" s="1">
        <v>45835</v>
      </c>
      <c r="C10617" t="s">
        <v>24</v>
      </c>
      <c r="D10617" s="2">
        <v>2604.39</v>
      </c>
      <c r="E10617" s="2">
        <v>0</v>
      </c>
      <c r="F10617" t="s">
        <v>8</v>
      </c>
      <c r="G10617" t="s">
        <v>9</v>
      </c>
    </row>
    <row r="10618" spans="1:7" x14ac:dyDescent="0.35">
      <c r="A10618">
        <v>4215</v>
      </c>
      <c r="B10618" s="1">
        <v>45835</v>
      </c>
      <c r="C10618" t="s">
        <v>24</v>
      </c>
      <c r="D10618" s="2">
        <v>0</v>
      </c>
      <c r="E10618" s="2">
        <v>2604.39</v>
      </c>
      <c r="F10618" t="s">
        <v>13</v>
      </c>
      <c r="G10618" t="s">
        <v>9</v>
      </c>
    </row>
    <row r="10619" spans="1:7" x14ac:dyDescent="0.35">
      <c r="A10619">
        <v>4216</v>
      </c>
      <c r="B10619" s="1">
        <v>45835</v>
      </c>
      <c r="C10619" t="s">
        <v>25</v>
      </c>
      <c r="D10619" s="2">
        <v>1078.92</v>
      </c>
      <c r="E10619" s="2">
        <v>0</v>
      </c>
      <c r="F10619" t="s">
        <v>26</v>
      </c>
      <c r="G10619" t="s">
        <v>20</v>
      </c>
    </row>
    <row r="10620" spans="1:7" x14ac:dyDescent="0.35">
      <c r="A10620">
        <v>4216</v>
      </c>
      <c r="B10620" s="1">
        <v>45835</v>
      </c>
      <c r="C10620" t="s">
        <v>25</v>
      </c>
      <c r="D10620" s="2">
        <v>80.92</v>
      </c>
      <c r="E10620" s="2">
        <v>0</v>
      </c>
      <c r="F10620" t="s">
        <v>27</v>
      </c>
      <c r="G10620" t="s">
        <v>9</v>
      </c>
    </row>
    <row r="10621" spans="1:7" x14ac:dyDescent="0.35">
      <c r="A10621">
        <v>4216</v>
      </c>
      <c r="B10621" s="1">
        <v>45835</v>
      </c>
      <c r="C10621" t="s">
        <v>25</v>
      </c>
      <c r="D10621" s="2">
        <v>0</v>
      </c>
      <c r="E10621" s="2">
        <v>1159.8399999999999</v>
      </c>
      <c r="F10621" t="s">
        <v>28</v>
      </c>
      <c r="G10621" t="s">
        <v>17</v>
      </c>
    </row>
    <row r="10622" spans="1:7" x14ac:dyDescent="0.35">
      <c r="A10622">
        <v>4217</v>
      </c>
      <c r="B10622" s="1">
        <v>45835</v>
      </c>
      <c r="C10622" t="s">
        <v>25</v>
      </c>
      <c r="D10622" s="2">
        <v>166.52</v>
      </c>
      <c r="E10622" s="2">
        <v>0</v>
      </c>
      <c r="F10622" t="s">
        <v>26</v>
      </c>
      <c r="G10622" t="s">
        <v>20</v>
      </c>
    </row>
    <row r="10623" spans="1:7" x14ac:dyDescent="0.35">
      <c r="A10623">
        <v>4217</v>
      </c>
      <c r="B10623" s="1">
        <v>45835</v>
      </c>
      <c r="C10623" t="s">
        <v>25</v>
      </c>
      <c r="D10623" s="2">
        <v>12.49</v>
      </c>
      <c r="E10623" s="2">
        <v>0</v>
      </c>
      <c r="F10623" t="s">
        <v>27</v>
      </c>
      <c r="G10623" t="s">
        <v>9</v>
      </c>
    </row>
    <row r="10624" spans="1:7" x14ac:dyDescent="0.35">
      <c r="A10624">
        <v>4217</v>
      </c>
      <c r="B10624" s="1">
        <v>45835</v>
      </c>
      <c r="C10624" t="s">
        <v>25</v>
      </c>
      <c r="D10624" s="2">
        <v>0</v>
      </c>
      <c r="E10624" s="2">
        <v>179.01</v>
      </c>
      <c r="F10624" t="s">
        <v>28</v>
      </c>
      <c r="G10624" t="s">
        <v>17</v>
      </c>
    </row>
    <row r="10625" spans="1:7" x14ac:dyDescent="0.35">
      <c r="A10625">
        <v>4218</v>
      </c>
      <c r="B10625" s="1">
        <v>45835</v>
      </c>
      <c r="C10625" t="s">
        <v>29</v>
      </c>
      <c r="D10625" s="2">
        <v>2093.2800000000002</v>
      </c>
      <c r="E10625" s="2">
        <v>0</v>
      </c>
      <c r="F10625" t="s">
        <v>28</v>
      </c>
      <c r="G10625" t="s">
        <v>17</v>
      </c>
    </row>
    <row r="10626" spans="1:7" x14ac:dyDescent="0.35">
      <c r="A10626">
        <v>4218</v>
      </c>
      <c r="B10626" s="1">
        <v>45835</v>
      </c>
      <c r="C10626" t="s">
        <v>29</v>
      </c>
      <c r="D10626" s="2">
        <v>0</v>
      </c>
      <c r="E10626" s="2">
        <v>2093.2800000000002</v>
      </c>
      <c r="F10626" t="s">
        <v>8</v>
      </c>
      <c r="G10626" t="s">
        <v>9</v>
      </c>
    </row>
    <row r="10627" spans="1:7" x14ac:dyDescent="0.35">
      <c r="A10627">
        <v>4219</v>
      </c>
      <c r="B10627" s="1">
        <v>45835</v>
      </c>
      <c r="C10627" t="s">
        <v>29</v>
      </c>
      <c r="D10627" s="2">
        <v>4812.46</v>
      </c>
      <c r="E10627" s="2">
        <v>0</v>
      </c>
      <c r="F10627" t="s">
        <v>28</v>
      </c>
      <c r="G10627" t="s">
        <v>17</v>
      </c>
    </row>
    <row r="10628" spans="1:7" x14ac:dyDescent="0.35">
      <c r="A10628">
        <v>4219</v>
      </c>
      <c r="B10628" s="1">
        <v>45835</v>
      </c>
      <c r="C10628" t="s">
        <v>29</v>
      </c>
      <c r="D10628" s="2">
        <v>0</v>
      </c>
      <c r="E10628" s="2">
        <v>4812.46</v>
      </c>
      <c r="F10628" t="s">
        <v>8</v>
      </c>
      <c r="G10628" t="s">
        <v>9</v>
      </c>
    </row>
    <row r="10629" spans="1:7" x14ac:dyDescent="0.35">
      <c r="A10629">
        <v>4220</v>
      </c>
      <c r="B10629" s="1">
        <v>45835</v>
      </c>
      <c r="C10629" t="s">
        <v>29</v>
      </c>
      <c r="D10629" s="2">
        <v>550.4</v>
      </c>
      <c r="E10629" s="2">
        <v>0</v>
      </c>
      <c r="F10629" t="s">
        <v>28</v>
      </c>
      <c r="G10629" t="s">
        <v>17</v>
      </c>
    </row>
    <row r="10630" spans="1:7" x14ac:dyDescent="0.35">
      <c r="A10630">
        <v>4220</v>
      </c>
      <c r="B10630" s="1">
        <v>45835</v>
      </c>
      <c r="C10630" t="s">
        <v>29</v>
      </c>
      <c r="D10630" s="2">
        <v>0</v>
      </c>
      <c r="E10630" s="2">
        <v>550.4</v>
      </c>
      <c r="F10630" t="s">
        <v>8</v>
      </c>
      <c r="G10630" t="s">
        <v>9</v>
      </c>
    </row>
    <row r="10631" spans="1:7" x14ac:dyDescent="0.35">
      <c r="A10631">
        <v>4221</v>
      </c>
      <c r="B10631" s="1">
        <v>45838</v>
      </c>
      <c r="C10631" t="s">
        <v>12</v>
      </c>
      <c r="D10631" s="2">
        <v>2852.81</v>
      </c>
      <c r="E10631" s="2">
        <v>0</v>
      </c>
      <c r="F10631" t="s">
        <v>13</v>
      </c>
      <c r="G10631" t="s">
        <v>9</v>
      </c>
    </row>
    <row r="10632" spans="1:7" x14ac:dyDescent="0.35">
      <c r="A10632">
        <v>4221</v>
      </c>
      <c r="B10632" s="1">
        <v>45838</v>
      </c>
      <c r="C10632" t="s">
        <v>12</v>
      </c>
      <c r="D10632" s="2">
        <v>0</v>
      </c>
      <c r="E10632" s="2">
        <v>2653.78</v>
      </c>
      <c r="F10632" t="s">
        <v>14</v>
      </c>
      <c r="G10632" t="s">
        <v>15</v>
      </c>
    </row>
    <row r="10633" spans="1:7" x14ac:dyDescent="0.35">
      <c r="A10633">
        <v>4221</v>
      </c>
      <c r="B10633" s="1">
        <v>45838</v>
      </c>
      <c r="C10633" t="s">
        <v>12</v>
      </c>
      <c r="D10633" s="2">
        <v>0</v>
      </c>
      <c r="E10633" s="2">
        <v>199.03</v>
      </c>
      <c r="F10633" t="s">
        <v>16</v>
      </c>
      <c r="G10633" t="s">
        <v>17</v>
      </c>
    </row>
    <row r="10634" spans="1:7" x14ac:dyDescent="0.35">
      <c r="A10634">
        <v>4222</v>
      </c>
      <c r="B10634" s="1">
        <v>45838</v>
      </c>
      <c r="C10634" t="s">
        <v>12</v>
      </c>
      <c r="D10634" s="2">
        <v>3484.27</v>
      </c>
      <c r="E10634" s="2">
        <v>0</v>
      </c>
      <c r="F10634" t="s">
        <v>13</v>
      </c>
      <c r="G10634" t="s">
        <v>9</v>
      </c>
    </row>
    <row r="10635" spans="1:7" x14ac:dyDescent="0.35">
      <c r="A10635">
        <v>4222</v>
      </c>
      <c r="B10635" s="1">
        <v>45838</v>
      </c>
      <c r="C10635" t="s">
        <v>12</v>
      </c>
      <c r="D10635" s="2">
        <v>0</v>
      </c>
      <c r="E10635" s="2">
        <v>3241.18</v>
      </c>
      <c r="F10635" t="s">
        <v>14</v>
      </c>
      <c r="G10635" t="s">
        <v>15</v>
      </c>
    </row>
    <row r="10636" spans="1:7" x14ac:dyDescent="0.35">
      <c r="A10636">
        <v>4222</v>
      </c>
      <c r="B10636" s="1">
        <v>45838</v>
      </c>
      <c r="C10636" t="s">
        <v>12</v>
      </c>
      <c r="D10636" s="2">
        <v>0</v>
      </c>
      <c r="E10636" s="2">
        <v>243.09</v>
      </c>
      <c r="F10636" t="s">
        <v>16</v>
      </c>
      <c r="G10636" t="s">
        <v>17</v>
      </c>
    </row>
    <row r="10637" spans="1:7" x14ac:dyDescent="0.35">
      <c r="A10637">
        <v>4223</v>
      </c>
      <c r="B10637" s="1">
        <v>45838</v>
      </c>
      <c r="C10637" t="s">
        <v>12</v>
      </c>
      <c r="D10637" s="2">
        <v>3913.71</v>
      </c>
      <c r="E10637" s="2">
        <v>0</v>
      </c>
      <c r="F10637" t="s">
        <v>13</v>
      </c>
      <c r="G10637" t="s">
        <v>9</v>
      </c>
    </row>
    <row r="10638" spans="1:7" x14ac:dyDescent="0.35">
      <c r="A10638">
        <v>4223</v>
      </c>
      <c r="B10638" s="1">
        <v>45838</v>
      </c>
      <c r="C10638" t="s">
        <v>12</v>
      </c>
      <c r="D10638" s="2">
        <v>0</v>
      </c>
      <c r="E10638" s="2">
        <v>3640.67</v>
      </c>
      <c r="F10638" t="s">
        <v>14</v>
      </c>
      <c r="G10638" t="s">
        <v>15</v>
      </c>
    </row>
    <row r="10639" spans="1:7" x14ac:dyDescent="0.35">
      <c r="A10639">
        <v>4223</v>
      </c>
      <c r="B10639" s="1">
        <v>45838</v>
      </c>
      <c r="C10639" t="s">
        <v>12</v>
      </c>
      <c r="D10639" s="2">
        <v>0</v>
      </c>
      <c r="E10639" s="2">
        <v>273.04000000000002</v>
      </c>
      <c r="F10639" t="s">
        <v>16</v>
      </c>
      <c r="G10639" t="s">
        <v>17</v>
      </c>
    </row>
    <row r="10640" spans="1:7" x14ac:dyDescent="0.35">
      <c r="A10640">
        <v>4224</v>
      </c>
      <c r="B10640" s="1">
        <v>45838</v>
      </c>
      <c r="C10640" t="s">
        <v>24</v>
      </c>
      <c r="D10640" s="2">
        <v>3667.34</v>
      </c>
      <c r="E10640" s="2">
        <v>0</v>
      </c>
      <c r="F10640" t="s">
        <v>8</v>
      </c>
      <c r="G10640" t="s">
        <v>9</v>
      </c>
    </row>
    <row r="10641" spans="1:7" x14ac:dyDescent="0.35">
      <c r="A10641">
        <v>4224</v>
      </c>
      <c r="B10641" s="1">
        <v>45838</v>
      </c>
      <c r="C10641" t="s">
        <v>24</v>
      </c>
      <c r="D10641" s="2">
        <v>0</v>
      </c>
      <c r="E10641" s="2">
        <v>3667.34</v>
      </c>
      <c r="F10641" t="s">
        <v>13</v>
      </c>
      <c r="G10641" t="s">
        <v>9</v>
      </c>
    </row>
    <row r="10642" spans="1:7" x14ac:dyDescent="0.35">
      <c r="A10642">
        <v>4225</v>
      </c>
      <c r="B10642" s="1">
        <v>45838</v>
      </c>
      <c r="C10642" t="s">
        <v>24</v>
      </c>
      <c r="D10642" s="2">
        <v>2441.62</v>
      </c>
      <c r="E10642" s="2">
        <v>0</v>
      </c>
      <c r="F10642" t="s">
        <v>8</v>
      </c>
      <c r="G10642" t="s">
        <v>9</v>
      </c>
    </row>
    <row r="10643" spans="1:7" x14ac:dyDescent="0.35">
      <c r="A10643">
        <v>4225</v>
      </c>
      <c r="B10643" s="1">
        <v>45838</v>
      </c>
      <c r="C10643" t="s">
        <v>24</v>
      </c>
      <c r="D10643" s="2">
        <v>0</v>
      </c>
      <c r="E10643" s="2">
        <v>2441.62</v>
      </c>
      <c r="F10643" t="s">
        <v>13</v>
      </c>
      <c r="G10643" t="s">
        <v>9</v>
      </c>
    </row>
    <row r="10644" spans="1:7" x14ac:dyDescent="0.35">
      <c r="A10644">
        <v>4226</v>
      </c>
      <c r="B10644" s="1">
        <v>45838</v>
      </c>
      <c r="C10644" t="s">
        <v>24</v>
      </c>
      <c r="D10644" s="2">
        <v>2351.5300000000002</v>
      </c>
      <c r="E10644" s="2">
        <v>0</v>
      </c>
      <c r="F10644" t="s">
        <v>8</v>
      </c>
      <c r="G10644" t="s">
        <v>9</v>
      </c>
    </row>
    <row r="10645" spans="1:7" x14ac:dyDescent="0.35">
      <c r="A10645">
        <v>4226</v>
      </c>
      <c r="B10645" s="1">
        <v>45838</v>
      </c>
      <c r="C10645" t="s">
        <v>24</v>
      </c>
      <c r="D10645" s="2">
        <v>0</v>
      </c>
      <c r="E10645" s="2">
        <v>2351.5300000000002</v>
      </c>
      <c r="F10645" t="s">
        <v>13</v>
      </c>
      <c r="G10645" t="s">
        <v>9</v>
      </c>
    </row>
    <row r="10646" spans="1:7" x14ac:dyDescent="0.35">
      <c r="A10646">
        <v>4227</v>
      </c>
      <c r="B10646" s="1">
        <v>45838</v>
      </c>
      <c r="C10646" t="s">
        <v>24</v>
      </c>
      <c r="D10646" s="2">
        <v>250.25</v>
      </c>
      <c r="E10646" s="2">
        <v>0</v>
      </c>
      <c r="F10646" t="s">
        <v>8</v>
      </c>
      <c r="G10646" t="s">
        <v>9</v>
      </c>
    </row>
    <row r="10647" spans="1:7" x14ac:dyDescent="0.35">
      <c r="A10647">
        <v>4227</v>
      </c>
      <c r="B10647" s="1">
        <v>45838</v>
      </c>
      <c r="C10647" t="s">
        <v>24</v>
      </c>
      <c r="D10647" s="2">
        <v>0</v>
      </c>
      <c r="E10647" s="2">
        <v>250.25</v>
      </c>
      <c r="F10647" t="s">
        <v>13</v>
      </c>
      <c r="G10647" t="s">
        <v>9</v>
      </c>
    </row>
    <row r="10648" spans="1:7" x14ac:dyDescent="0.35">
      <c r="A10648">
        <v>4228</v>
      </c>
      <c r="B10648" s="1">
        <v>45838</v>
      </c>
      <c r="C10648" t="s">
        <v>24</v>
      </c>
      <c r="D10648" s="2">
        <v>1101.1199999999999</v>
      </c>
      <c r="E10648" s="2">
        <v>0</v>
      </c>
      <c r="F10648" t="s">
        <v>8</v>
      </c>
      <c r="G10648" t="s">
        <v>9</v>
      </c>
    </row>
    <row r="10649" spans="1:7" x14ac:dyDescent="0.35">
      <c r="A10649">
        <v>4228</v>
      </c>
      <c r="B10649" s="1">
        <v>45838</v>
      </c>
      <c r="C10649" t="s">
        <v>24</v>
      </c>
      <c r="D10649" s="2">
        <v>0</v>
      </c>
      <c r="E10649" s="2">
        <v>1101.1199999999999</v>
      </c>
      <c r="F10649" t="s">
        <v>13</v>
      </c>
      <c r="G10649" t="s">
        <v>9</v>
      </c>
    </row>
    <row r="10650" spans="1:7" x14ac:dyDescent="0.35">
      <c r="A10650">
        <v>4229</v>
      </c>
      <c r="B10650" s="1">
        <v>45838</v>
      </c>
      <c r="C10650" t="s">
        <v>25</v>
      </c>
      <c r="D10650" s="2">
        <v>2329.52</v>
      </c>
      <c r="E10650" s="2">
        <v>0</v>
      </c>
      <c r="F10650" t="s">
        <v>26</v>
      </c>
      <c r="G10650" t="s">
        <v>20</v>
      </c>
    </row>
    <row r="10651" spans="1:7" x14ac:dyDescent="0.35">
      <c r="A10651">
        <v>4229</v>
      </c>
      <c r="B10651" s="1">
        <v>45838</v>
      </c>
      <c r="C10651" t="s">
        <v>25</v>
      </c>
      <c r="D10651" s="2">
        <v>174.71</v>
      </c>
      <c r="E10651" s="2">
        <v>0</v>
      </c>
      <c r="F10651" t="s">
        <v>27</v>
      </c>
      <c r="G10651" t="s">
        <v>9</v>
      </c>
    </row>
    <row r="10652" spans="1:7" x14ac:dyDescent="0.35">
      <c r="A10652">
        <v>4229</v>
      </c>
      <c r="B10652" s="1">
        <v>45838</v>
      </c>
      <c r="C10652" t="s">
        <v>25</v>
      </c>
      <c r="D10652" s="2">
        <v>0</v>
      </c>
      <c r="E10652" s="2">
        <v>2504.23</v>
      </c>
      <c r="F10652" t="s">
        <v>28</v>
      </c>
      <c r="G10652" t="s">
        <v>17</v>
      </c>
    </row>
    <row r="10653" spans="1:7" x14ac:dyDescent="0.35">
      <c r="A10653">
        <v>4230</v>
      </c>
      <c r="B10653" s="1">
        <v>45838</v>
      </c>
      <c r="C10653" t="s">
        <v>25</v>
      </c>
      <c r="D10653" s="2">
        <v>2030.15</v>
      </c>
      <c r="E10653" s="2">
        <v>0</v>
      </c>
      <c r="F10653" t="s">
        <v>26</v>
      </c>
      <c r="G10653" t="s">
        <v>20</v>
      </c>
    </row>
    <row r="10654" spans="1:7" x14ac:dyDescent="0.35">
      <c r="A10654">
        <v>4230</v>
      </c>
      <c r="B10654" s="1">
        <v>45838</v>
      </c>
      <c r="C10654" t="s">
        <v>25</v>
      </c>
      <c r="D10654" s="2">
        <v>152.26</v>
      </c>
      <c r="E10654" s="2">
        <v>0</v>
      </c>
      <c r="F10654" t="s">
        <v>27</v>
      </c>
      <c r="G10654" t="s">
        <v>9</v>
      </c>
    </row>
    <row r="10655" spans="1:7" x14ac:dyDescent="0.35">
      <c r="A10655">
        <v>4230</v>
      </c>
      <c r="B10655" s="1">
        <v>45838</v>
      </c>
      <c r="C10655" t="s">
        <v>25</v>
      </c>
      <c r="D10655" s="2">
        <v>0</v>
      </c>
      <c r="E10655" s="2">
        <v>2182.41</v>
      </c>
      <c r="F10655" t="s">
        <v>28</v>
      </c>
      <c r="G10655" t="s">
        <v>17</v>
      </c>
    </row>
    <row r="10656" spans="1:7" x14ac:dyDescent="0.35">
      <c r="A10656">
        <v>4231</v>
      </c>
      <c r="B10656" s="1">
        <v>45838</v>
      </c>
      <c r="C10656" t="s">
        <v>25</v>
      </c>
      <c r="D10656" s="2">
        <v>383.76</v>
      </c>
      <c r="E10656" s="2">
        <v>0</v>
      </c>
      <c r="F10656" t="s">
        <v>26</v>
      </c>
      <c r="G10656" t="s">
        <v>20</v>
      </c>
    </row>
    <row r="10657" spans="1:7" x14ac:dyDescent="0.35">
      <c r="A10657">
        <v>4231</v>
      </c>
      <c r="B10657" s="1">
        <v>45838</v>
      </c>
      <c r="C10657" t="s">
        <v>25</v>
      </c>
      <c r="D10657" s="2">
        <v>28.78</v>
      </c>
      <c r="E10657" s="2">
        <v>0</v>
      </c>
      <c r="F10657" t="s">
        <v>27</v>
      </c>
      <c r="G10657" t="s">
        <v>9</v>
      </c>
    </row>
    <row r="10658" spans="1:7" x14ac:dyDescent="0.35">
      <c r="A10658">
        <v>4231</v>
      </c>
      <c r="B10658" s="1">
        <v>45838</v>
      </c>
      <c r="C10658" t="s">
        <v>25</v>
      </c>
      <c r="D10658" s="2">
        <v>0</v>
      </c>
      <c r="E10658" s="2">
        <v>412.54</v>
      </c>
      <c r="F10658" t="s">
        <v>28</v>
      </c>
      <c r="G10658" t="s">
        <v>17</v>
      </c>
    </row>
    <row r="10659" spans="1:7" x14ac:dyDescent="0.35">
      <c r="A10659">
        <v>4232</v>
      </c>
      <c r="B10659" s="1">
        <v>45838</v>
      </c>
      <c r="C10659" t="s">
        <v>25</v>
      </c>
      <c r="D10659" s="2">
        <v>1947.24</v>
      </c>
      <c r="E10659" s="2">
        <v>0</v>
      </c>
      <c r="F10659" t="s">
        <v>26</v>
      </c>
      <c r="G10659" t="s">
        <v>20</v>
      </c>
    </row>
    <row r="10660" spans="1:7" x14ac:dyDescent="0.35">
      <c r="A10660">
        <v>4232</v>
      </c>
      <c r="B10660" s="1">
        <v>45838</v>
      </c>
      <c r="C10660" t="s">
        <v>25</v>
      </c>
      <c r="D10660" s="2">
        <v>146.04</v>
      </c>
      <c r="E10660" s="2">
        <v>0</v>
      </c>
      <c r="F10660" t="s">
        <v>27</v>
      </c>
      <c r="G10660" t="s">
        <v>9</v>
      </c>
    </row>
    <row r="10661" spans="1:7" x14ac:dyDescent="0.35">
      <c r="A10661">
        <v>4232</v>
      </c>
      <c r="B10661" s="1">
        <v>45838</v>
      </c>
      <c r="C10661" t="s">
        <v>25</v>
      </c>
      <c r="D10661" s="2">
        <v>0</v>
      </c>
      <c r="E10661" s="2">
        <v>2093.2800000000002</v>
      </c>
      <c r="F10661" t="s">
        <v>28</v>
      </c>
      <c r="G10661" t="s">
        <v>17</v>
      </c>
    </row>
    <row r="10662" spans="1:7" x14ac:dyDescent="0.35">
      <c r="A10662">
        <v>4233</v>
      </c>
      <c r="B10662" s="1">
        <v>45838</v>
      </c>
      <c r="C10662" t="s">
        <v>25</v>
      </c>
      <c r="D10662" s="2">
        <v>4476.71</v>
      </c>
      <c r="E10662" s="2">
        <v>0</v>
      </c>
      <c r="F10662" t="s">
        <v>26</v>
      </c>
      <c r="G10662" t="s">
        <v>20</v>
      </c>
    </row>
    <row r="10663" spans="1:7" x14ac:dyDescent="0.35">
      <c r="A10663">
        <v>4233</v>
      </c>
      <c r="B10663" s="1">
        <v>45838</v>
      </c>
      <c r="C10663" t="s">
        <v>25</v>
      </c>
      <c r="D10663" s="2">
        <v>335.75</v>
      </c>
      <c r="E10663" s="2">
        <v>0</v>
      </c>
      <c r="F10663" t="s">
        <v>27</v>
      </c>
      <c r="G10663" t="s">
        <v>9</v>
      </c>
    </row>
    <row r="10664" spans="1:7" x14ac:dyDescent="0.35">
      <c r="A10664">
        <v>4233</v>
      </c>
      <c r="B10664" s="1">
        <v>45838</v>
      </c>
      <c r="C10664" t="s">
        <v>25</v>
      </c>
      <c r="D10664" s="2">
        <v>0</v>
      </c>
      <c r="E10664" s="2">
        <v>4812.46</v>
      </c>
      <c r="F10664" t="s">
        <v>28</v>
      </c>
      <c r="G10664" t="s">
        <v>17</v>
      </c>
    </row>
    <row r="10665" spans="1:7" x14ac:dyDescent="0.35">
      <c r="A10665">
        <v>4234</v>
      </c>
      <c r="B10665" s="1">
        <v>45838</v>
      </c>
      <c r="C10665" t="s">
        <v>29</v>
      </c>
      <c r="D10665" s="2">
        <v>1159.8399999999999</v>
      </c>
      <c r="E10665" s="2">
        <v>0</v>
      </c>
      <c r="F10665" t="s">
        <v>28</v>
      </c>
      <c r="G10665" t="s">
        <v>17</v>
      </c>
    </row>
    <row r="10666" spans="1:7" x14ac:dyDescent="0.35">
      <c r="A10666">
        <v>4234</v>
      </c>
      <c r="B10666" s="1">
        <v>45838</v>
      </c>
      <c r="C10666" t="s">
        <v>29</v>
      </c>
      <c r="D10666" s="2">
        <v>0</v>
      </c>
      <c r="E10666" s="2">
        <v>1159.8399999999999</v>
      </c>
      <c r="F10666" t="s">
        <v>8</v>
      </c>
      <c r="G10666" t="s">
        <v>9</v>
      </c>
    </row>
    <row r="10667" spans="1:7" x14ac:dyDescent="0.35">
      <c r="A10667">
        <v>4235</v>
      </c>
      <c r="B10667" s="1">
        <v>45838</v>
      </c>
      <c r="C10667" t="s">
        <v>29</v>
      </c>
      <c r="D10667" s="2">
        <v>4812.46</v>
      </c>
      <c r="E10667" s="2">
        <v>0</v>
      </c>
      <c r="F10667" t="s">
        <v>28</v>
      </c>
      <c r="G10667" t="s">
        <v>17</v>
      </c>
    </row>
    <row r="10668" spans="1:7" x14ac:dyDescent="0.35">
      <c r="A10668">
        <v>4235</v>
      </c>
      <c r="B10668" s="1">
        <v>45838</v>
      </c>
      <c r="C10668" t="s">
        <v>29</v>
      </c>
      <c r="D10668" s="2">
        <v>0</v>
      </c>
      <c r="E10668" s="2">
        <v>4812.46</v>
      </c>
      <c r="F10668" t="s">
        <v>8</v>
      </c>
      <c r="G10668" t="s">
        <v>9</v>
      </c>
    </row>
    <row r="10669" spans="1:7" x14ac:dyDescent="0.35">
      <c r="A10669">
        <v>4236</v>
      </c>
      <c r="B10669" s="1">
        <v>45838</v>
      </c>
      <c r="C10669" t="s">
        <v>29</v>
      </c>
      <c r="D10669" s="2">
        <v>550.4</v>
      </c>
      <c r="E10669" s="2">
        <v>0</v>
      </c>
      <c r="F10669" t="s">
        <v>28</v>
      </c>
      <c r="G10669" t="s">
        <v>17</v>
      </c>
    </row>
    <row r="10670" spans="1:7" x14ac:dyDescent="0.35">
      <c r="A10670">
        <v>4236</v>
      </c>
      <c r="B10670" s="1">
        <v>45838</v>
      </c>
      <c r="C10670" t="s">
        <v>29</v>
      </c>
      <c r="D10670" s="2">
        <v>0</v>
      </c>
      <c r="E10670" s="2">
        <v>550.4</v>
      </c>
      <c r="F10670" t="s">
        <v>8</v>
      </c>
      <c r="G10670" t="s">
        <v>9</v>
      </c>
    </row>
    <row r="10671" spans="1:7" x14ac:dyDescent="0.35">
      <c r="A10671">
        <v>4237</v>
      </c>
      <c r="B10671" s="1">
        <v>45838</v>
      </c>
      <c r="C10671" t="s">
        <v>29</v>
      </c>
      <c r="D10671" s="2">
        <v>1023.42</v>
      </c>
      <c r="E10671" s="2">
        <v>0</v>
      </c>
      <c r="F10671" t="s">
        <v>28</v>
      </c>
      <c r="G10671" t="s">
        <v>17</v>
      </c>
    </row>
    <row r="10672" spans="1:7" x14ac:dyDescent="0.35">
      <c r="A10672">
        <v>4237</v>
      </c>
      <c r="B10672" s="1">
        <v>45838</v>
      </c>
      <c r="C10672" t="s">
        <v>29</v>
      </c>
      <c r="D10672" s="2">
        <v>0</v>
      </c>
      <c r="E10672" s="2">
        <v>1023.42</v>
      </c>
      <c r="F10672" t="s">
        <v>8</v>
      </c>
      <c r="G10672" t="s">
        <v>9</v>
      </c>
    </row>
    <row r="10673" spans="1:7" x14ac:dyDescent="0.35">
      <c r="A10673">
        <v>4238</v>
      </c>
      <c r="B10673" s="1">
        <v>45838</v>
      </c>
      <c r="C10673" t="s">
        <v>30</v>
      </c>
      <c r="D10673" s="2">
        <v>93.61</v>
      </c>
      <c r="E10673" s="2">
        <v>0</v>
      </c>
      <c r="F10673" t="s">
        <v>31</v>
      </c>
      <c r="G10673" t="s">
        <v>20</v>
      </c>
    </row>
    <row r="10674" spans="1:7" x14ac:dyDescent="0.35">
      <c r="A10674">
        <v>4238</v>
      </c>
      <c r="B10674" s="1">
        <v>45838</v>
      </c>
      <c r="C10674" t="s">
        <v>30</v>
      </c>
      <c r="D10674" s="2">
        <v>0</v>
      </c>
      <c r="E10674" s="2">
        <v>93.61</v>
      </c>
      <c r="F10674" t="s">
        <v>32</v>
      </c>
      <c r="G10674" t="s">
        <v>9</v>
      </c>
    </row>
    <row r="10675" spans="1:7" x14ac:dyDescent="0.35">
      <c r="A10675">
        <v>4239</v>
      </c>
      <c r="B10675" s="1">
        <v>45838</v>
      </c>
      <c r="C10675" t="s">
        <v>33</v>
      </c>
      <c r="D10675" s="2">
        <v>76.86</v>
      </c>
      <c r="E10675" s="2">
        <v>0</v>
      </c>
      <c r="F10675" t="s">
        <v>31</v>
      </c>
      <c r="G10675" t="s">
        <v>20</v>
      </c>
    </row>
    <row r="10676" spans="1:7" x14ac:dyDescent="0.35">
      <c r="A10676">
        <v>4239</v>
      </c>
      <c r="B10676" s="1">
        <v>45838</v>
      </c>
      <c r="C10676" t="s">
        <v>33</v>
      </c>
      <c r="D10676" s="2">
        <v>0</v>
      </c>
      <c r="E10676" s="2">
        <v>76.86</v>
      </c>
      <c r="F10676" t="s">
        <v>32</v>
      </c>
      <c r="G10676" t="s">
        <v>9</v>
      </c>
    </row>
    <row r="10677" spans="1:7" x14ac:dyDescent="0.35">
      <c r="A10677">
        <v>4240</v>
      </c>
      <c r="B10677" s="1">
        <v>45838</v>
      </c>
      <c r="C10677" t="s">
        <v>34</v>
      </c>
      <c r="D10677" s="2">
        <v>20.03</v>
      </c>
      <c r="E10677" s="2">
        <v>0</v>
      </c>
      <c r="F10677" t="s">
        <v>31</v>
      </c>
      <c r="G10677" t="s">
        <v>20</v>
      </c>
    </row>
    <row r="10678" spans="1:7" x14ac:dyDescent="0.35">
      <c r="A10678">
        <v>4240</v>
      </c>
      <c r="B10678" s="1">
        <v>45838</v>
      </c>
      <c r="C10678" t="s">
        <v>34</v>
      </c>
      <c r="D10678" s="2">
        <v>0</v>
      </c>
      <c r="E10678" s="2">
        <v>20.03</v>
      </c>
      <c r="F10678" t="s">
        <v>32</v>
      </c>
      <c r="G10678" t="s">
        <v>9</v>
      </c>
    </row>
    <row r="10679" spans="1:7" x14ac:dyDescent="0.35">
      <c r="A10679">
        <v>4241</v>
      </c>
      <c r="B10679" s="1">
        <v>45838</v>
      </c>
      <c r="C10679" t="s">
        <v>35</v>
      </c>
      <c r="D10679" s="2">
        <v>86.89</v>
      </c>
      <c r="E10679" s="2">
        <v>0</v>
      </c>
      <c r="F10679" t="s">
        <v>31</v>
      </c>
      <c r="G10679" t="s">
        <v>20</v>
      </c>
    </row>
    <row r="10680" spans="1:7" x14ac:dyDescent="0.35">
      <c r="A10680">
        <v>4241</v>
      </c>
      <c r="B10680" s="1">
        <v>45838</v>
      </c>
      <c r="C10680" t="s">
        <v>35</v>
      </c>
      <c r="D10680" s="2">
        <v>0</v>
      </c>
      <c r="E10680" s="2">
        <v>86.89</v>
      </c>
      <c r="F10680" t="s">
        <v>36</v>
      </c>
      <c r="G10680" t="s">
        <v>9</v>
      </c>
    </row>
    <row r="10681" spans="1:7" x14ac:dyDescent="0.35">
      <c r="A10681">
        <v>4242</v>
      </c>
      <c r="B10681" s="1">
        <v>45838</v>
      </c>
      <c r="C10681" t="s">
        <v>37</v>
      </c>
      <c r="D10681" s="2">
        <v>76.8</v>
      </c>
      <c r="E10681" s="2">
        <v>0</v>
      </c>
      <c r="F10681" t="s">
        <v>31</v>
      </c>
      <c r="G10681" t="s">
        <v>20</v>
      </c>
    </row>
    <row r="10682" spans="1:7" x14ac:dyDescent="0.35">
      <c r="A10682">
        <v>4242</v>
      </c>
      <c r="B10682" s="1">
        <v>45838</v>
      </c>
      <c r="C10682" t="s">
        <v>37</v>
      </c>
      <c r="D10682" s="2">
        <v>0</v>
      </c>
      <c r="E10682" s="2">
        <v>76.8</v>
      </c>
      <c r="F10682" t="s">
        <v>36</v>
      </c>
      <c r="G10682" t="s">
        <v>9</v>
      </c>
    </row>
    <row r="10683" spans="1:7" x14ac:dyDescent="0.35">
      <c r="A10683">
        <v>4243</v>
      </c>
      <c r="B10683" s="1">
        <v>45838</v>
      </c>
      <c r="C10683" t="s">
        <v>38</v>
      </c>
      <c r="D10683" s="2">
        <v>48.28</v>
      </c>
      <c r="E10683" s="2">
        <v>0</v>
      </c>
      <c r="F10683" t="s">
        <v>31</v>
      </c>
      <c r="G10683" t="s">
        <v>20</v>
      </c>
    </row>
    <row r="10684" spans="1:7" x14ac:dyDescent="0.35">
      <c r="A10684">
        <v>4243</v>
      </c>
      <c r="B10684" s="1">
        <v>45838</v>
      </c>
      <c r="C10684" t="s">
        <v>38</v>
      </c>
      <c r="D10684" s="2">
        <v>0</v>
      </c>
      <c r="E10684" s="2">
        <v>48.28</v>
      </c>
      <c r="F10684" t="s">
        <v>36</v>
      </c>
      <c r="G10684" t="s">
        <v>9</v>
      </c>
    </row>
    <row r="10685" spans="1:7" x14ac:dyDescent="0.35">
      <c r="A10685">
        <v>4244</v>
      </c>
      <c r="B10685" s="1">
        <v>45838</v>
      </c>
      <c r="C10685" t="s">
        <v>39</v>
      </c>
      <c r="D10685" s="2">
        <v>53.21</v>
      </c>
      <c r="E10685" s="2">
        <v>0</v>
      </c>
      <c r="F10685" t="s">
        <v>31</v>
      </c>
      <c r="G10685" t="s">
        <v>20</v>
      </c>
    </row>
    <row r="10686" spans="1:7" x14ac:dyDescent="0.35">
      <c r="A10686">
        <v>4244</v>
      </c>
      <c r="B10686" s="1">
        <v>45838</v>
      </c>
      <c r="C10686" t="s">
        <v>39</v>
      </c>
      <c r="D10686" s="2">
        <v>0</v>
      </c>
      <c r="E10686" s="2">
        <v>53.21</v>
      </c>
      <c r="F10686" t="s">
        <v>36</v>
      </c>
      <c r="G10686" t="s">
        <v>9</v>
      </c>
    </row>
    <row r="10687" spans="1:7" x14ac:dyDescent="0.35">
      <c r="A10687">
        <v>4245</v>
      </c>
      <c r="B10687" s="1">
        <v>45838</v>
      </c>
      <c r="C10687" t="s">
        <v>40</v>
      </c>
      <c r="D10687" s="2">
        <v>232.19</v>
      </c>
      <c r="E10687" s="2">
        <v>0</v>
      </c>
      <c r="F10687" t="s">
        <v>31</v>
      </c>
      <c r="G10687" t="s">
        <v>20</v>
      </c>
    </row>
    <row r="10688" spans="1:7" x14ac:dyDescent="0.35">
      <c r="A10688">
        <v>4245</v>
      </c>
      <c r="B10688" s="1">
        <v>45838</v>
      </c>
      <c r="C10688" t="s">
        <v>40</v>
      </c>
      <c r="D10688" s="2">
        <v>0</v>
      </c>
      <c r="E10688" s="2">
        <v>232.19</v>
      </c>
      <c r="F10688" t="s">
        <v>41</v>
      </c>
      <c r="G10688" t="s">
        <v>9</v>
      </c>
    </row>
    <row r="10689" spans="1:7" x14ac:dyDescent="0.35">
      <c r="A10689">
        <v>4246</v>
      </c>
      <c r="B10689" s="1">
        <v>45838</v>
      </c>
      <c r="C10689" t="s">
        <v>42</v>
      </c>
      <c r="D10689" s="2">
        <v>43.85</v>
      </c>
      <c r="E10689" s="2">
        <v>0</v>
      </c>
      <c r="F10689" t="s">
        <v>31</v>
      </c>
      <c r="G10689" t="s">
        <v>20</v>
      </c>
    </row>
    <row r="10690" spans="1:7" x14ac:dyDescent="0.35">
      <c r="A10690">
        <v>4246</v>
      </c>
      <c r="B10690" s="1">
        <v>45838</v>
      </c>
      <c r="C10690" t="s">
        <v>42</v>
      </c>
      <c r="D10690" s="2">
        <v>0</v>
      </c>
      <c r="E10690" s="2">
        <v>43.85</v>
      </c>
      <c r="F10690" t="s">
        <v>32</v>
      </c>
      <c r="G10690" t="s">
        <v>9</v>
      </c>
    </row>
    <row r="10691" spans="1:7" x14ac:dyDescent="0.35">
      <c r="A10691">
        <v>4247</v>
      </c>
      <c r="B10691" s="1">
        <v>45839</v>
      </c>
      <c r="C10691" t="s">
        <v>12</v>
      </c>
      <c r="D10691" s="2">
        <v>772.04</v>
      </c>
      <c r="E10691" s="2">
        <v>0</v>
      </c>
      <c r="F10691" t="s">
        <v>13</v>
      </c>
      <c r="G10691" t="s">
        <v>9</v>
      </c>
    </row>
    <row r="10692" spans="1:7" x14ac:dyDescent="0.35">
      <c r="A10692">
        <v>4247</v>
      </c>
      <c r="B10692" s="1">
        <v>45839</v>
      </c>
      <c r="C10692" t="s">
        <v>12</v>
      </c>
      <c r="D10692" s="2">
        <v>0</v>
      </c>
      <c r="E10692" s="2">
        <v>718.18</v>
      </c>
      <c r="F10692" t="s">
        <v>14</v>
      </c>
      <c r="G10692" t="s">
        <v>15</v>
      </c>
    </row>
    <row r="10693" spans="1:7" x14ac:dyDescent="0.35">
      <c r="A10693">
        <v>4247</v>
      </c>
      <c r="B10693" s="1">
        <v>45839</v>
      </c>
      <c r="C10693" t="s">
        <v>12</v>
      </c>
      <c r="D10693" s="2">
        <v>0</v>
      </c>
      <c r="E10693" s="2">
        <v>53.86</v>
      </c>
      <c r="F10693" t="s">
        <v>16</v>
      </c>
      <c r="G10693" t="s">
        <v>17</v>
      </c>
    </row>
    <row r="10694" spans="1:7" x14ac:dyDescent="0.35">
      <c r="A10694">
        <v>4248</v>
      </c>
      <c r="B10694" s="1">
        <v>45839</v>
      </c>
      <c r="C10694" t="s">
        <v>12</v>
      </c>
      <c r="D10694" s="2">
        <v>108.68</v>
      </c>
      <c r="E10694" s="2">
        <v>0</v>
      </c>
      <c r="F10694" t="s">
        <v>13</v>
      </c>
      <c r="G10694" t="s">
        <v>9</v>
      </c>
    </row>
    <row r="10695" spans="1:7" x14ac:dyDescent="0.35">
      <c r="A10695">
        <v>4248</v>
      </c>
      <c r="B10695" s="1">
        <v>45839</v>
      </c>
      <c r="C10695" t="s">
        <v>12</v>
      </c>
      <c r="D10695" s="2">
        <v>0</v>
      </c>
      <c r="E10695" s="2">
        <v>101.1</v>
      </c>
      <c r="F10695" t="s">
        <v>14</v>
      </c>
      <c r="G10695" t="s">
        <v>15</v>
      </c>
    </row>
    <row r="10696" spans="1:7" x14ac:dyDescent="0.35">
      <c r="A10696">
        <v>4248</v>
      </c>
      <c r="B10696" s="1">
        <v>45839</v>
      </c>
      <c r="C10696" t="s">
        <v>12</v>
      </c>
      <c r="D10696" s="2">
        <v>0</v>
      </c>
      <c r="E10696" s="2">
        <v>7.58</v>
      </c>
      <c r="F10696" t="s">
        <v>16</v>
      </c>
      <c r="G10696" t="s">
        <v>17</v>
      </c>
    </row>
    <row r="10697" spans="1:7" x14ac:dyDescent="0.35">
      <c r="A10697">
        <v>4249</v>
      </c>
      <c r="B10697" s="1">
        <v>45839</v>
      </c>
      <c r="C10697" t="s">
        <v>12</v>
      </c>
      <c r="D10697" s="2">
        <v>106.62</v>
      </c>
      <c r="E10697" s="2">
        <v>0</v>
      </c>
      <c r="F10697" t="s">
        <v>13</v>
      </c>
      <c r="G10697" t="s">
        <v>9</v>
      </c>
    </row>
    <row r="10698" spans="1:7" x14ac:dyDescent="0.35">
      <c r="A10698">
        <v>4249</v>
      </c>
      <c r="B10698" s="1">
        <v>45839</v>
      </c>
      <c r="C10698" t="s">
        <v>12</v>
      </c>
      <c r="D10698" s="2">
        <v>0</v>
      </c>
      <c r="E10698" s="2">
        <v>99.18</v>
      </c>
      <c r="F10698" t="s">
        <v>14</v>
      </c>
      <c r="G10698" t="s">
        <v>15</v>
      </c>
    </row>
    <row r="10699" spans="1:7" x14ac:dyDescent="0.35">
      <c r="A10699">
        <v>4249</v>
      </c>
      <c r="B10699" s="1">
        <v>45839</v>
      </c>
      <c r="C10699" t="s">
        <v>12</v>
      </c>
      <c r="D10699" s="2">
        <v>0</v>
      </c>
      <c r="E10699" s="2">
        <v>7.44</v>
      </c>
      <c r="F10699" t="s">
        <v>16</v>
      </c>
      <c r="G10699" t="s">
        <v>17</v>
      </c>
    </row>
    <row r="10700" spans="1:7" x14ac:dyDescent="0.35">
      <c r="A10700">
        <v>4250</v>
      </c>
      <c r="B10700" s="1">
        <v>45839</v>
      </c>
      <c r="C10700" t="s">
        <v>12</v>
      </c>
      <c r="D10700" s="2">
        <v>2343.33</v>
      </c>
      <c r="E10700" s="2">
        <v>0</v>
      </c>
      <c r="F10700" t="s">
        <v>13</v>
      </c>
      <c r="G10700" t="s">
        <v>9</v>
      </c>
    </row>
    <row r="10701" spans="1:7" x14ac:dyDescent="0.35">
      <c r="A10701">
        <v>4250</v>
      </c>
      <c r="B10701" s="1">
        <v>45839</v>
      </c>
      <c r="C10701" t="s">
        <v>12</v>
      </c>
      <c r="D10701" s="2">
        <v>0</v>
      </c>
      <c r="E10701" s="2">
        <v>2179.84</v>
      </c>
      <c r="F10701" t="s">
        <v>14</v>
      </c>
      <c r="G10701" t="s">
        <v>15</v>
      </c>
    </row>
    <row r="10702" spans="1:7" x14ac:dyDescent="0.35">
      <c r="A10702">
        <v>4250</v>
      </c>
      <c r="B10702" s="1">
        <v>45839</v>
      </c>
      <c r="C10702" t="s">
        <v>12</v>
      </c>
      <c r="D10702" s="2">
        <v>0</v>
      </c>
      <c r="E10702" s="2">
        <v>163.49</v>
      </c>
      <c r="F10702" t="s">
        <v>16</v>
      </c>
      <c r="G10702" t="s">
        <v>17</v>
      </c>
    </row>
    <row r="10703" spans="1:7" x14ac:dyDescent="0.35">
      <c r="A10703">
        <v>4251</v>
      </c>
      <c r="B10703" s="1">
        <v>45839</v>
      </c>
      <c r="C10703" t="s">
        <v>12</v>
      </c>
      <c r="D10703" s="2">
        <v>1538.68</v>
      </c>
      <c r="E10703" s="2">
        <v>0</v>
      </c>
      <c r="F10703" t="s">
        <v>13</v>
      </c>
      <c r="G10703" t="s">
        <v>9</v>
      </c>
    </row>
    <row r="10704" spans="1:7" x14ac:dyDescent="0.35">
      <c r="A10704">
        <v>4251</v>
      </c>
      <c r="B10704" s="1">
        <v>45839</v>
      </c>
      <c r="C10704" t="s">
        <v>12</v>
      </c>
      <c r="D10704" s="2">
        <v>0</v>
      </c>
      <c r="E10704" s="2">
        <v>1431.32</v>
      </c>
      <c r="F10704" t="s">
        <v>14</v>
      </c>
      <c r="G10704" t="s">
        <v>15</v>
      </c>
    </row>
    <row r="10705" spans="1:7" x14ac:dyDescent="0.35">
      <c r="A10705">
        <v>4251</v>
      </c>
      <c r="B10705" s="1">
        <v>45839</v>
      </c>
      <c r="C10705" t="s">
        <v>12</v>
      </c>
      <c r="D10705" s="2">
        <v>0</v>
      </c>
      <c r="E10705" s="2">
        <v>107.36</v>
      </c>
      <c r="F10705" t="s">
        <v>16</v>
      </c>
      <c r="G10705" t="s">
        <v>17</v>
      </c>
    </row>
    <row r="10706" spans="1:7" x14ac:dyDescent="0.35">
      <c r="A10706">
        <v>4252</v>
      </c>
      <c r="B10706" s="1">
        <v>45839</v>
      </c>
      <c r="C10706" t="s">
        <v>12</v>
      </c>
      <c r="D10706" s="2">
        <v>448.69</v>
      </c>
      <c r="E10706" s="2">
        <v>0</v>
      </c>
      <c r="F10706" t="s">
        <v>13</v>
      </c>
      <c r="G10706" t="s">
        <v>9</v>
      </c>
    </row>
    <row r="10707" spans="1:7" x14ac:dyDescent="0.35">
      <c r="A10707">
        <v>4252</v>
      </c>
      <c r="B10707" s="1">
        <v>45839</v>
      </c>
      <c r="C10707" t="s">
        <v>12</v>
      </c>
      <c r="D10707" s="2">
        <v>0</v>
      </c>
      <c r="E10707" s="2">
        <v>417.39</v>
      </c>
      <c r="F10707" t="s">
        <v>14</v>
      </c>
      <c r="G10707" t="s">
        <v>15</v>
      </c>
    </row>
    <row r="10708" spans="1:7" x14ac:dyDescent="0.35">
      <c r="A10708">
        <v>4252</v>
      </c>
      <c r="B10708" s="1">
        <v>45839</v>
      </c>
      <c r="C10708" t="s">
        <v>12</v>
      </c>
      <c r="D10708" s="2">
        <v>0</v>
      </c>
      <c r="E10708" s="2">
        <v>31.3</v>
      </c>
      <c r="F10708" t="s">
        <v>16</v>
      </c>
      <c r="G10708" t="s">
        <v>17</v>
      </c>
    </row>
    <row r="10709" spans="1:7" x14ac:dyDescent="0.35">
      <c r="A10709">
        <v>4253</v>
      </c>
      <c r="B10709" s="1">
        <v>45839</v>
      </c>
      <c r="C10709" t="s">
        <v>12</v>
      </c>
      <c r="D10709" s="2">
        <v>18.55</v>
      </c>
      <c r="E10709" s="2">
        <v>0</v>
      </c>
      <c r="F10709" t="s">
        <v>13</v>
      </c>
      <c r="G10709" t="s">
        <v>9</v>
      </c>
    </row>
    <row r="10710" spans="1:7" x14ac:dyDescent="0.35">
      <c r="A10710">
        <v>4253</v>
      </c>
      <c r="B10710" s="1">
        <v>45839</v>
      </c>
      <c r="C10710" t="s">
        <v>12</v>
      </c>
      <c r="D10710" s="2">
        <v>0</v>
      </c>
      <c r="E10710" s="2">
        <v>17.260000000000002</v>
      </c>
      <c r="F10710" t="s">
        <v>14</v>
      </c>
      <c r="G10710" t="s">
        <v>15</v>
      </c>
    </row>
    <row r="10711" spans="1:7" x14ac:dyDescent="0.35">
      <c r="A10711">
        <v>4253</v>
      </c>
      <c r="B10711" s="1">
        <v>45839</v>
      </c>
      <c r="C10711" t="s">
        <v>12</v>
      </c>
      <c r="D10711" s="2">
        <v>0</v>
      </c>
      <c r="E10711" s="2">
        <v>1.29</v>
      </c>
      <c r="F10711" t="s">
        <v>16</v>
      </c>
      <c r="G10711" t="s">
        <v>17</v>
      </c>
    </row>
    <row r="10712" spans="1:7" x14ac:dyDescent="0.35">
      <c r="A10712">
        <v>4254</v>
      </c>
      <c r="B10712" s="1">
        <v>45839</v>
      </c>
      <c r="C10712" t="s">
        <v>12</v>
      </c>
      <c r="D10712" s="2">
        <v>4054.48</v>
      </c>
      <c r="E10712" s="2">
        <v>0</v>
      </c>
      <c r="F10712" t="s">
        <v>13</v>
      </c>
      <c r="G10712" t="s">
        <v>9</v>
      </c>
    </row>
    <row r="10713" spans="1:7" x14ac:dyDescent="0.35">
      <c r="A10713">
        <v>4254</v>
      </c>
      <c r="B10713" s="1">
        <v>45839</v>
      </c>
      <c r="C10713" t="s">
        <v>12</v>
      </c>
      <c r="D10713" s="2">
        <v>0</v>
      </c>
      <c r="E10713" s="2">
        <v>3771.6</v>
      </c>
      <c r="F10713" t="s">
        <v>14</v>
      </c>
      <c r="G10713" t="s">
        <v>15</v>
      </c>
    </row>
    <row r="10714" spans="1:7" x14ac:dyDescent="0.35">
      <c r="A10714">
        <v>4254</v>
      </c>
      <c r="B10714" s="1">
        <v>45839</v>
      </c>
      <c r="C10714" t="s">
        <v>12</v>
      </c>
      <c r="D10714" s="2">
        <v>0</v>
      </c>
      <c r="E10714" s="2">
        <v>282.88</v>
      </c>
      <c r="F10714" t="s">
        <v>16</v>
      </c>
      <c r="G10714" t="s">
        <v>17</v>
      </c>
    </row>
    <row r="10715" spans="1:7" x14ac:dyDescent="0.35">
      <c r="A10715">
        <v>4255</v>
      </c>
      <c r="B10715" s="1">
        <v>45839</v>
      </c>
      <c r="C10715" t="s">
        <v>12</v>
      </c>
      <c r="D10715" s="2">
        <v>1405.94</v>
      </c>
      <c r="E10715" s="2">
        <v>0</v>
      </c>
      <c r="F10715" t="s">
        <v>13</v>
      </c>
      <c r="G10715" t="s">
        <v>9</v>
      </c>
    </row>
    <row r="10716" spans="1:7" x14ac:dyDescent="0.35">
      <c r="A10716">
        <v>4255</v>
      </c>
      <c r="B10716" s="1">
        <v>45839</v>
      </c>
      <c r="C10716" t="s">
        <v>12</v>
      </c>
      <c r="D10716" s="2">
        <v>0</v>
      </c>
      <c r="E10716" s="2">
        <v>1307.8499999999999</v>
      </c>
      <c r="F10716" t="s">
        <v>14</v>
      </c>
      <c r="G10716" t="s">
        <v>15</v>
      </c>
    </row>
    <row r="10717" spans="1:7" x14ac:dyDescent="0.35">
      <c r="A10717">
        <v>4255</v>
      </c>
      <c r="B10717" s="1">
        <v>45839</v>
      </c>
      <c r="C10717" t="s">
        <v>12</v>
      </c>
      <c r="D10717" s="2">
        <v>0</v>
      </c>
      <c r="E10717" s="2">
        <v>98.09</v>
      </c>
      <c r="F10717" t="s">
        <v>16</v>
      </c>
      <c r="G10717" t="s">
        <v>17</v>
      </c>
    </row>
    <row r="10718" spans="1:7" x14ac:dyDescent="0.35">
      <c r="A10718">
        <v>4256</v>
      </c>
      <c r="B10718" s="1">
        <v>45839</v>
      </c>
      <c r="C10718" t="s">
        <v>24</v>
      </c>
      <c r="D10718" s="2">
        <v>1369.4</v>
      </c>
      <c r="E10718" s="2">
        <v>0</v>
      </c>
      <c r="F10718" t="s">
        <v>8</v>
      </c>
      <c r="G10718" t="s">
        <v>9</v>
      </c>
    </row>
    <row r="10719" spans="1:7" x14ac:dyDescent="0.35">
      <c r="A10719">
        <v>4256</v>
      </c>
      <c r="B10719" s="1">
        <v>45839</v>
      </c>
      <c r="C10719" t="s">
        <v>24</v>
      </c>
      <c r="D10719" s="2">
        <v>0</v>
      </c>
      <c r="E10719" s="2">
        <v>1369.4</v>
      </c>
      <c r="F10719" t="s">
        <v>13</v>
      </c>
      <c r="G10719" t="s">
        <v>9</v>
      </c>
    </row>
    <row r="10720" spans="1:7" x14ac:dyDescent="0.35">
      <c r="A10720">
        <v>4257</v>
      </c>
      <c r="B10720" s="1">
        <v>45839</v>
      </c>
      <c r="C10720" t="s">
        <v>24</v>
      </c>
      <c r="D10720" s="2">
        <v>837.07</v>
      </c>
      <c r="E10720" s="2">
        <v>0</v>
      </c>
      <c r="F10720" t="s">
        <v>8</v>
      </c>
      <c r="G10720" t="s">
        <v>9</v>
      </c>
    </row>
    <row r="10721" spans="1:7" x14ac:dyDescent="0.35">
      <c r="A10721">
        <v>4257</v>
      </c>
      <c r="B10721" s="1">
        <v>45839</v>
      </c>
      <c r="C10721" t="s">
        <v>24</v>
      </c>
      <c r="D10721" s="2">
        <v>0</v>
      </c>
      <c r="E10721" s="2">
        <v>837.07</v>
      </c>
      <c r="F10721" t="s">
        <v>13</v>
      </c>
      <c r="G10721" t="s">
        <v>9</v>
      </c>
    </row>
    <row r="10722" spans="1:7" x14ac:dyDescent="0.35">
      <c r="A10722">
        <v>4258</v>
      </c>
      <c r="B10722" s="1">
        <v>45839</v>
      </c>
      <c r="C10722" t="s">
        <v>24</v>
      </c>
      <c r="D10722" s="2">
        <v>2804.8</v>
      </c>
      <c r="E10722" s="2">
        <v>0</v>
      </c>
      <c r="F10722" t="s">
        <v>8</v>
      </c>
      <c r="G10722" t="s">
        <v>9</v>
      </c>
    </row>
    <row r="10723" spans="1:7" x14ac:dyDescent="0.35">
      <c r="A10723">
        <v>4258</v>
      </c>
      <c r="B10723" s="1">
        <v>45839</v>
      </c>
      <c r="C10723" t="s">
        <v>24</v>
      </c>
      <c r="D10723" s="2">
        <v>0</v>
      </c>
      <c r="E10723" s="2">
        <v>2804.8</v>
      </c>
      <c r="F10723" t="s">
        <v>13</v>
      </c>
      <c r="G10723" t="s">
        <v>9</v>
      </c>
    </row>
    <row r="10724" spans="1:7" x14ac:dyDescent="0.35">
      <c r="A10724">
        <v>4259</v>
      </c>
      <c r="B10724" s="1">
        <v>45839</v>
      </c>
      <c r="C10724" t="s">
        <v>24</v>
      </c>
      <c r="D10724" s="2">
        <v>1162.69</v>
      </c>
      <c r="E10724" s="2">
        <v>0</v>
      </c>
      <c r="F10724" t="s">
        <v>8</v>
      </c>
      <c r="G10724" t="s">
        <v>9</v>
      </c>
    </row>
    <row r="10725" spans="1:7" x14ac:dyDescent="0.35">
      <c r="A10725">
        <v>4259</v>
      </c>
      <c r="B10725" s="1">
        <v>45839</v>
      </c>
      <c r="C10725" t="s">
        <v>24</v>
      </c>
      <c r="D10725" s="2">
        <v>0</v>
      </c>
      <c r="E10725" s="2">
        <v>1162.69</v>
      </c>
      <c r="F10725" t="s">
        <v>13</v>
      </c>
      <c r="G10725" t="s">
        <v>9</v>
      </c>
    </row>
    <row r="10726" spans="1:7" x14ac:dyDescent="0.35">
      <c r="A10726">
        <v>4260</v>
      </c>
      <c r="B10726" s="1">
        <v>45839</v>
      </c>
      <c r="C10726" t="s">
        <v>24</v>
      </c>
      <c r="D10726" s="2">
        <v>1709.47</v>
      </c>
      <c r="E10726" s="2">
        <v>0</v>
      </c>
      <c r="F10726" t="s">
        <v>8</v>
      </c>
      <c r="G10726" t="s">
        <v>9</v>
      </c>
    </row>
    <row r="10727" spans="1:7" x14ac:dyDescent="0.35">
      <c r="A10727">
        <v>4260</v>
      </c>
      <c r="B10727" s="1">
        <v>45839</v>
      </c>
      <c r="C10727" t="s">
        <v>24</v>
      </c>
      <c r="D10727" s="2">
        <v>0</v>
      </c>
      <c r="E10727" s="2">
        <v>1709.47</v>
      </c>
      <c r="F10727" t="s">
        <v>13</v>
      </c>
      <c r="G10727" t="s">
        <v>9</v>
      </c>
    </row>
    <row r="10728" spans="1:7" x14ac:dyDescent="0.35">
      <c r="A10728">
        <v>4261</v>
      </c>
      <c r="B10728" s="1">
        <v>45839</v>
      </c>
      <c r="C10728" t="s">
        <v>24</v>
      </c>
      <c r="D10728" s="2">
        <v>3271.32</v>
      </c>
      <c r="E10728" s="2">
        <v>0</v>
      </c>
      <c r="F10728" t="s">
        <v>8</v>
      </c>
      <c r="G10728" t="s">
        <v>9</v>
      </c>
    </row>
    <row r="10729" spans="1:7" x14ac:dyDescent="0.35">
      <c r="A10729">
        <v>4261</v>
      </c>
      <c r="B10729" s="1">
        <v>45839</v>
      </c>
      <c r="C10729" t="s">
        <v>24</v>
      </c>
      <c r="D10729" s="2">
        <v>0</v>
      </c>
      <c r="E10729" s="2">
        <v>3271.32</v>
      </c>
      <c r="F10729" t="s">
        <v>13</v>
      </c>
      <c r="G10729" t="s">
        <v>9</v>
      </c>
    </row>
    <row r="10730" spans="1:7" x14ac:dyDescent="0.35">
      <c r="A10730">
        <v>4262</v>
      </c>
      <c r="B10730" s="1">
        <v>45839</v>
      </c>
      <c r="C10730" t="s">
        <v>24</v>
      </c>
      <c r="D10730" s="2">
        <v>3787.1</v>
      </c>
      <c r="E10730" s="2">
        <v>0</v>
      </c>
      <c r="F10730" t="s">
        <v>8</v>
      </c>
      <c r="G10730" t="s">
        <v>9</v>
      </c>
    </row>
    <row r="10731" spans="1:7" x14ac:dyDescent="0.35">
      <c r="A10731">
        <v>4262</v>
      </c>
      <c r="B10731" s="1">
        <v>45839</v>
      </c>
      <c r="C10731" t="s">
        <v>24</v>
      </c>
      <c r="D10731" s="2">
        <v>0</v>
      </c>
      <c r="E10731" s="2">
        <v>3787.1</v>
      </c>
      <c r="F10731" t="s">
        <v>13</v>
      </c>
      <c r="G10731" t="s">
        <v>9</v>
      </c>
    </row>
    <row r="10732" spans="1:7" x14ac:dyDescent="0.35">
      <c r="A10732">
        <v>4263</v>
      </c>
      <c r="B10732" s="1">
        <v>45839</v>
      </c>
      <c r="C10732" t="s">
        <v>25</v>
      </c>
      <c r="D10732" s="2">
        <v>3598.88</v>
      </c>
      <c r="E10732" s="2">
        <v>0</v>
      </c>
      <c r="F10732" t="s">
        <v>26</v>
      </c>
      <c r="G10732" t="s">
        <v>20</v>
      </c>
    </row>
    <row r="10733" spans="1:7" x14ac:dyDescent="0.35">
      <c r="A10733">
        <v>4263</v>
      </c>
      <c r="B10733" s="1">
        <v>45839</v>
      </c>
      <c r="C10733" t="s">
        <v>25</v>
      </c>
      <c r="D10733" s="2">
        <v>269.92</v>
      </c>
      <c r="E10733" s="2">
        <v>0</v>
      </c>
      <c r="F10733" t="s">
        <v>27</v>
      </c>
      <c r="G10733" t="s">
        <v>9</v>
      </c>
    </row>
    <row r="10734" spans="1:7" x14ac:dyDescent="0.35">
      <c r="A10734">
        <v>4263</v>
      </c>
      <c r="B10734" s="1">
        <v>45839</v>
      </c>
      <c r="C10734" t="s">
        <v>25</v>
      </c>
      <c r="D10734" s="2">
        <v>0</v>
      </c>
      <c r="E10734" s="2">
        <v>3868.8</v>
      </c>
      <c r="F10734" t="s">
        <v>28</v>
      </c>
      <c r="G10734" t="s">
        <v>17</v>
      </c>
    </row>
    <row r="10735" spans="1:7" x14ac:dyDescent="0.35">
      <c r="A10735">
        <v>4264</v>
      </c>
      <c r="B10735" s="1">
        <v>45839</v>
      </c>
      <c r="C10735" t="s">
        <v>29</v>
      </c>
      <c r="D10735" s="2">
        <v>2918.17</v>
      </c>
      <c r="E10735" s="2">
        <v>0</v>
      </c>
      <c r="F10735" t="s">
        <v>28</v>
      </c>
      <c r="G10735" t="s">
        <v>17</v>
      </c>
    </row>
    <row r="10736" spans="1:7" x14ac:dyDescent="0.35">
      <c r="A10736">
        <v>4264</v>
      </c>
      <c r="B10736" s="1">
        <v>45839</v>
      </c>
      <c r="C10736" t="s">
        <v>29</v>
      </c>
      <c r="D10736" s="2">
        <v>0</v>
      </c>
      <c r="E10736" s="2">
        <v>2918.17</v>
      </c>
      <c r="F10736" t="s">
        <v>8</v>
      </c>
      <c r="G10736" t="s">
        <v>9</v>
      </c>
    </row>
    <row r="10737" spans="1:7" x14ac:dyDescent="0.35">
      <c r="A10737">
        <v>4265</v>
      </c>
      <c r="B10737" s="1">
        <v>45839</v>
      </c>
      <c r="C10737" t="s">
        <v>29</v>
      </c>
      <c r="D10737" s="2">
        <v>1935.04</v>
      </c>
      <c r="E10737" s="2">
        <v>0</v>
      </c>
      <c r="F10737" t="s">
        <v>28</v>
      </c>
      <c r="G10737" t="s">
        <v>17</v>
      </c>
    </row>
    <row r="10738" spans="1:7" x14ac:dyDescent="0.35">
      <c r="A10738">
        <v>4265</v>
      </c>
      <c r="B10738" s="1">
        <v>45839</v>
      </c>
      <c r="C10738" t="s">
        <v>29</v>
      </c>
      <c r="D10738" s="2">
        <v>0</v>
      </c>
      <c r="E10738" s="2">
        <v>1935.04</v>
      </c>
      <c r="F10738" t="s">
        <v>8</v>
      </c>
      <c r="G10738" t="s">
        <v>9</v>
      </c>
    </row>
    <row r="10739" spans="1:7" x14ac:dyDescent="0.35">
      <c r="A10739">
        <v>4266</v>
      </c>
      <c r="B10739" s="1">
        <v>45840</v>
      </c>
      <c r="C10739" t="s">
        <v>12</v>
      </c>
      <c r="D10739" s="2">
        <v>3391.74</v>
      </c>
      <c r="E10739" s="2">
        <v>0</v>
      </c>
      <c r="F10739" t="s">
        <v>13</v>
      </c>
      <c r="G10739" t="s">
        <v>9</v>
      </c>
    </row>
    <row r="10740" spans="1:7" x14ac:dyDescent="0.35">
      <c r="A10740">
        <v>4266</v>
      </c>
      <c r="B10740" s="1">
        <v>45840</v>
      </c>
      <c r="C10740" t="s">
        <v>12</v>
      </c>
      <c r="D10740" s="2">
        <v>0</v>
      </c>
      <c r="E10740" s="2">
        <v>3155.11</v>
      </c>
      <c r="F10740" t="s">
        <v>14</v>
      </c>
      <c r="G10740" t="s">
        <v>15</v>
      </c>
    </row>
    <row r="10741" spans="1:7" x14ac:dyDescent="0.35">
      <c r="A10741">
        <v>4266</v>
      </c>
      <c r="B10741" s="1">
        <v>45840</v>
      </c>
      <c r="C10741" t="s">
        <v>12</v>
      </c>
      <c r="D10741" s="2">
        <v>0</v>
      </c>
      <c r="E10741" s="2">
        <v>236.63</v>
      </c>
      <c r="F10741" t="s">
        <v>16</v>
      </c>
      <c r="G10741" t="s">
        <v>17</v>
      </c>
    </row>
    <row r="10742" spans="1:7" x14ac:dyDescent="0.35">
      <c r="A10742">
        <v>4267</v>
      </c>
      <c r="B10742" s="1">
        <v>45840</v>
      </c>
      <c r="C10742" t="s">
        <v>12</v>
      </c>
      <c r="D10742" s="2">
        <v>6528.54</v>
      </c>
      <c r="E10742" s="2">
        <v>0</v>
      </c>
      <c r="F10742" t="s">
        <v>13</v>
      </c>
      <c r="G10742" t="s">
        <v>9</v>
      </c>
    </row>
    <row r="10743" spans="1:7" x14ac:dyDescent="0.35">
      <c r="A10743">
        <v>4267</v>
      </c>
      <c r="B10743" s="1">
        <v>45840</v>
      </c>
      <c r="C10743" t="s">
        <v>12</v>
      </c>
      <c r="D10743" s="2">
        <v>0</v>
      </c>
      <c r="E10743" s="2">
        <v>6073.05</v>
      </c>
      <c r="F10743" t="s">
        <v>14</v>
      </c>
      <c r="G10743" t="s">
        <v>15</v>
      </c>
    </row>
    <row r="10744" spans="1:7" x14ac:dyDescent="0.35">
      <c r="A10744">
        <v>4267</v>
      </c>
      <c r="B10744" s="1">
        <v>45840</v>
      </c>
      <c r="C10744" t="s">
        <v>12</v>
      </c>
      <c r="D10744" s="2">
        <v>0</v>
      </c>
      <c r="E10744" s="2">
        <v>455.49</v>
      </c>
      <c r="F10744" t="s">
        <v>16</v>
      </c>
      <c r="G10744" t="s">
        <v>17</v>
      </c>
    </row>
    <row r="10745" spans="1:7" x14ac:dyDescent="0.35">
      <c r="A10745">
        <v>4268</v>
      </c>
      <c r="B10745" s="1">
        <v>45840</v>
      </c>
      <c r="C10745" t="s">
        <v>12</v>
      </c>
      <c r="D10745" s="2">
        <v>138.57</v>
      </c>
      <c r="E10745" s="2">
        <v>0</v>
      </c>
      <c r="F10745" t="s">
        <v>13</v>
      </c>
      <c r="G10745" t="s">
        <v>9</v>
      </c>
    </row>
    <row r="10746" spans="1:7" x14ac:dyDescent="0.35">
      <c r="A10746">
        <v>4268</v>
      </c>
      <c r="B10746" s="1">
        <v>45840</v>
      </c>
      <c r="C10746" t="s">
        <v>12</v>
      </c>
      <c r="D10746" s="2">
        <v>0</v>
      </c>
      <c r="E10746" s="2">
        <v>128.9</v>
      </c>
      <c r="F10746" t="s">
        <v>14</v>
      </c>
      <c r="G10746" t="s">
        <v>15</v>
      </c>
    </row>
    <row r="10747" spans="1:7" x14ac:dyDescent="0.35">
      <c r="A10747">
        <v>4268</v>
      </c>
      <c r="B10747" s="1">
        <v>45840</v>
      </c>
      <c r="C10747" t="s">
        <v>12</v>
      </c>
      <c r="D10747" s="2">
        <v>0</v>
      </c>
      <c r="E10747" s="2">
        <v>9.67</v>
      </c>
      <c r="F10747" t="s">
        <v>16</v>
      </c>
      <c r="G10747" t="s">
        <v>17</v>
      </c>
    </row>
    <row r="10748" spans="1:7" x14ac:dyDescent="0.35">
      <c r="A10748">
        <v>4269</v>
      </c>
      <c r="B10748" s="1">
        <v>45840</v>
      </c>
      <c r="C10748" t="s">
        <v>12</v>
      </c>
      <c r="D10748" s="2">
        <v>511.18</v>
      </c>
      <c r="E10748" s="2">
        <v>0</v>
      </c>
      <c r="F10748" t="s">
        <v>13</v>
      </c>
      <c r="G10748" t="s">
        <v>9</v>
      </c>
    </row>
    <row r="10749" spans="1:7" x14ac:dyDescent="0.35">
      <c r="A10749">
        <v>4269</v>
      </c>
      <c r="B10749" s="1">
        <v>45840</v>
      </c>
      <c r="C10749" t="s">
        <v>12</v>
      </c>
      <c r="D10749" s="2">
        <v>0</v>
      </c>
      <c r="E10749" s="2">
        <v>475.51</v>
      </c>
      <c r="F10749" t="s">
        <v>14</v>
      </c>
      <c r="G10749" t="s">
        <v>15</v>
      </c>
    </row>
    <row r="10750" spans="1:7" x14ac:dyDescent="0.35">
      <c r="A10750">
        <v>4269</v>
      </c>
      <c r="B10750" s="1">
        <v>45840</v>
      </c>
      <c r="C10750" t="s">
        <v>12</v>
      </c>
      <c r="D10750" s="2">
        <v>0</v>
      </c>
      <c r="E10750" s="2">
        <v>35.67</v>
      </c>
      <c r="F10750" t="s">
        <v>16</v>
      </c>
      <c r="G10750" t="s">
        <v>17</v>
      </c>
    </row>
    <row r="10751" spans="1:7" x14ac:dyDescent="0.35">
      <c r="A10751">
        <v>4270</v>
      </c>
      <c r="B10751" s="1">
        <v>45840</v>
      </c>
      <c r="C10751" t="s">
        <v>12</v>
      </c>
      <c r="D10751" s="2">
        <v>2055.7399999999998</v>
      </c>
      <c r="E10751" s="2">
        <v>0</v>
      </c>
      <c r="F10751" t="s">
        <v>13</v>
      </c>
      <c r="G10751" t="s">
        <v>9</v>
      </c>
    </row>
    <row r="10752" spans="1:7" x14ac:dyDescent="0.35">
      <c r="A10752">
        <v>4270</v>
      </c>
      <c r="B10752" s="1">
        <v>45840</v>
      </c>
      <c r="C10752" t="s">
        <v>12</v>
      </c>
      <c r="D10752" s="2">
        <v>0</v>
      </c>
      <c r="E10752" s="2">
        <v>1912.31</v>
      </c>
      <c r="F10752" t="s">
        <v>14</v>
      </c>
      <c r="G10752" t="s">
        <v>15</v>
      </c>
    </row>
    <row r="10753" spans="1:7" x14ac:dyDescent="0.35">
      <c r="A10753">
        <v>4270</v>
      </c>
      <c r="B10753" s="1">
        <v>45840</v>
      </c>
      <c r="C10753" t="s">
        <v>12</v>
      </c>
      <c r="D10753" s="2">
        <v>0</v>
      </c>
      <c r="E10753" s="2">
        <v>143.43</v>
      </c>
      <c r="F10753" t="s">
        <v>16</v>
      </c>
      <c r="G10753" t="s">
        <v>17</v>
      </c>
    </row>
    <row r="10754" spans="1:7" x14ac:dyDescent="0.35">
      <c r="A10754">
        <v>4271</v>
      </c>
      <c r="B10754" s="1">
        <v>45840</v>
      </c>
      <c r="C10754" t="s">
        <v>12</v>
      </c>
      <c r="D10754" s="2">
        <v>98.95</v>
      </c>
      <c r="E10754" s="2">
        <v>0</v>
      </c>
      <c r="F10754" t="s">
        <v>13</v>
      </c>
      <c r="G10754" t="s">
        <v>9</v>
      </c>
    </row>
    <row r="10755" spans="1:7" x14ac:dyDescent="0.35">
      <c r="A10755">
        <v>4271</v>
      </c>
      <c r="B10755" s="1">
        <v>45840</v>
      </c>
      <c r="C10755" t="s">
        <v>12</v>
      </c>
      <c r="D10755" s="2">
        <v>0</v>
      </c>
      <c r="E10755" s="2">
        <v>92.05</v>
      </c>
      <c r="F10755" t="s">
        <v>14</v>
      </c>
      <c r="G10755" t="s">
        <v>15</v>
      </c>
    </row>
    <row r="10756" spans="1:7" x14ac:dyDescent="0.35">
      <c r="A10756">
        <v>4271</v>
      </c>
      <c r="B10756" s="1">
        <v>45840</v>
      </c>
      <c r="C10756" t="s">
        <v>12</v>
      </c>
      <c r="D10756" s="2">
        <v>0</v>
      </c>
      <c r="E10756" s="2">
        <v>6.9</v>
      </c>
      <c r="F10756" t="s">
        <v>16</v>
      </c>
      <c r="G10756" t="s">
        <v>17</v>
      </c>
    </row>
    <row r="10757" spans="1:7" x14ac:dyDescent="0.35">
      <c r="A10757">
        <v>4272</v>
      </c>
      <c r="B10757" s="1">
        <v>45840</v>
      </c>
      <c r="C10757" t="s">
        <v>12</v>
      </c>
      <c r="D10757" s="2">
        <v>1209.47</v>
      </c>
      <c r="E10757" s="2">
        <v>0</v>
      </c>
      <c r="F10757" t="s">
        <v>13</v>
      </c>
      <c r="G10757" t="s">
        <v>9</v>
      </c>
    </row>
    <row r="10758" spans="1:7" x14ac:dyDescent="0.35">
      <c r="A10758">
        <v>4272</v>
      </c>
      <c r="B10758" s="1">
        <v>45840</v>
      </c>
      <c r="C10758" t="s">
        <v>12</v>
      </c>
      <c r="D10758" s="2">
        <v>0</v>
      </c>
      <c r="E10758" s="2">
        <v>1125.0999999999999</v>
      </c>
      <c r="F10758" t="s">
        <v>14</v>
      </c>
      <c r="G10758" t="s">
        <v>15</v>
      </c>
    </row>
    <row r="10759" spans="1:7" x14ac:dyDescent="0.35">
      <c r="A10759">
        <v>4272</v>
      </c>
      <c r="B10759" s="1">
        <v>45840</v>
      </c>
      <c r="C10759" t="s">
        <v>12</v>
      </c>
      <c r="D10759" s="2">
        <v>0</v>
      </c>
      <c r="E10759" s="2">
        <v>84.37</v>
      </c>
      <c r="F10759" t="s">
        <v>16</v>
      </c>
      <c r="G10759" t="s">
        <v>17</v>
      </c>
    </row>
    <row r="10760" spans="1:7" x14ac:dyDescent="0.35">
      <c r="A10760">
        <v>4273</v>
      </c>
      <c r="B10760" s="1">
        <v>45840</v>
      </c>
      <c r="C10760" t="s">
        <v>24</v>
      </c>
      <c r="D10760" s="2">
        <v>1252.17</v>
      </c>
      <c r="E10760" s="2">
        <v>0</v>
      </c>
      <c r="F10760" t="s">
        <v>8</v>
      </c>
      <c r="G10760" t="s">
        <v>9</v>
      </c>
    </row>
    <row r="10761" spans="1:7" x14ac:dyDescent="0.35">
      <c r="A10761">
        <v>4273</v>
      </c>
      <c r="B10761" s="1">
        <v>45840</v>
      </c>
      <c r="C10761" t="s">
        <v>24</v>
      </c>
      <c r="D10761" s="2">
        <v>0</v>
      </c>
      <c r="E10761" s="2">
        <v>1252.17</v>
      </c>
      <c r="F10761" t="s">
        <v>13</v>
      </c>
      <c r="G10761" t="s">
        <v>9</v>
      </c>
    </row>
    <row r="10762" spans="1:7" x14ac:dyDescent="0.35">
      <c r="A10762">
        <v>4274</v>
      </c>
      <c r="B10762" s="1">
        <v>45840</v>
      </c>
      <c r="C10762" t="s">
        <v>24</v>
      </c>
      <c r="D10762" s="2">
        <v>2859.43</v>
      </c>
      <c r="E10762" s="2">
        <v>0</v>
      </c>
      <c r="F10762" t="s">
        <v>8</v>
      </c>
      <c r="G10762" t="s">
        <v>9</v>
      </c>
    </row>
    <row r="10763" spans="1:7" x14ac:dyDescent="0.35">
      <c r="A10763">
        <v>4274</v>
      </c>
      <c r="B10763" s="1">
        <v>45840</v>
      </c>
      <c r="C10763" t="s">
        <v>24</v>
      </c>
      <c r="D10763" s="2">
        <v>0</v>
      </c>
      <c r="E10763" s="2">
        <v>2859.43</v>
      </c>
      <c r="F10763" t="s">
        <v>13</v>
      </c>
      <c r="G10763" t="s">
        <v>9</v>
      </c>
    </row>
    <row r="10764" spans="1:7" x14ac:dyDescent="0.35">
      <c r="A10764">
        <v>4275</v>
      </c>
      <c r="B10764" s="1">
        <v>45840</v>
      </c>
      <c r="C10764" t="s">
        <v>24</v>
      </c>
      <c r="D10764" s="2">
        <v>1818.61</v>
      </c>
      <c r="E10764" s="2">
        <v>0</v>
      </c>
      <c r="F10764" t="s">
        <v>8</v>
      </c>
      <c r="G10764" t="s">
        <v>9</v>
      </c>
    </row>
    <row r="10765" spans="1:7" x14ac:dyDescent="0.35">
      <c r="A10765">
        <v>4275</v>
      </c>
      <c r="B10765" s="1">
        <v>45840</v>
      </c>
      <c r="C10765" t="s">
        <v>24</v>
      </c>
      <c r="D10765" s="2">
        <v>0</v>
      </c>
      <c r="E10765" s="2">
        <v>1818.61</v>
      </c>
      <c r="F10765" t="s">
        <v>13</v>
      </c>
      <c r="G10765" t="s">
        <v>9</v>
      </c>
    </row>
    <row r="10766" spans="1:7" x14ac:dyDescent="0.35">
      <c r="A10766">
        <v>4276</v>
      </c>
      <c r="B10766" s="1">
        <v>45840</v>
      </c>
      <c r="C10766" t="s">
        <v>24</v>
      </c>
      <c r="D10766" s="2">
        <v>660</v>
      </c>
      <c r="E10766" s="2">
        <v>0</v>
      </c>
      <c r="F10766" t="s">
        <v>8</v>
      </c>
      <c r="G10766" t="s">
        <v>9</v>
      </c>
    </row>
    <row r="10767" spans="1:7" x14ac:dyDescent="0.35">
      <c r="A10767">
        <v>4276</v>
      </c>
      <c r="B10767" s="1">
        <v>45840</v>
      </c>
      <c r="C10767" t="s">
        <v>24</v>
      </c>
      <c r="D10767" s="2">
        <v>0</v>
      </c>
      <c r="E10767" s="2">
        <v>660</v>
      </c>
      <c r="F10767" t="s">
        <v>13</v>
      </c>
      <c r="G10767" t="s">
        <v>9</v>
      </c>
    </row>
    <row r="10768" spans="1:7" x14ac:dyDescent="0.35">
      <c r="A10768">
        <v>4277</v>
      </c>
      <c r="B10768" s="1">
        <v>45840</v>
      </c>
      <c r="C10768" t="s">
        <v>24</v>
      </c>
      <c r="D10768" s="2">
        <v>1441.7</v>
      </c>
      <c r="E10768" s="2">
        <v>0</v>
      </c>
      <c r="F10768" t="s">
        <v>8</v>
      </c>
      <c r="G10768" t="s">
        <v>9</v>
      </c>
    </row>
    <row r="10769" spans="1:7" x14ac:dyDescent="0.35">
      <c r="A10769">
        <v>4277</v>
      </c>
      <c r="B10769" s="1">
        <v>45840</v>
      </c>
      <c r="C10769" t="s">
        <v>24</v>
      </c>
      <c r="D10769" s="2">
        <v>0</v>
      </c>
      <c r="E10769" s="2">
        <v>1441.7</v>
      </c>
      <c r="F10769" t="s">
        <v>13</v>
      </c>
      <c r="G10769" t="s">
        <v>9</v>
      </c>
    </row>
    <row r="10770" spans="1:7" x14ac:dyDescent="0.35">
      <c r="A10770">
        <v>4278</v>
      </c>
      <c r="B10770" s="1">
        <v>45840</v>
      </c>
      <c r="C10770" t="s">
        <v>24</v>
      </c>
      <c r="D10770" s="2">
        <v>197.45</v>
      </c>
      <c r="E10770" s="2">
        <v>0</v>
      </c>
      <c r="F10770" t="s">
        <v>8</v>
      </c>
      <c r="G10770" t="s">
        <v>9</v>
      </c>
    </row>
    <row r="10771" spans="1:7" x14ac:dyDescent="0.35">
      <c r="A10771">
        <v>4278</v>
      </c>
      <c r="B10771" s="1">
        <v>45840</v>
      </c>
      <c r="C10771" t="s">
        <v>24</v>
      </c>
      <c r="D10771" s="2">
        <v>0</v>
      </c>
      <c r="E10771" s="2">
        <v>197.45</v>
      </c>
      <c r="F10771" t="s">
        <v>13</v>
      </c>
      <c r="G10771" t="s">
        <v>9</v>
      </c>
    </row>
    <row r="10772" spans="1:7" x14ac:dyDescent="0.35">
      <c r="A10772">
        <v>4279</v>
      </c>
      <c r="B10772" s="1">
        <v>45840</v>
      </c>
      <c r="C10772" t="s">
        <v>24</v>
      </c>
      <c r="D10772" s="2">
        <v>1655.83</v>
      </c>
      <c r="E10772" s="2">
        <v>0</v>
      </c>
      <c r="F10772" t="s">
        <v>8</v>
      </c>
      <c r="G10772" t="s">
        <v>9</v>
      </c>
    </row>
    <row r="10773" spans="1:7" x14ac:dyDescent="0.35">
      <c r="A10773">
        <v>4279</v>
      </c>
      <c r="B10773" s="1">
        <v>45840</v>
      </c>
      <c r="C10773" t="s">
        <v>24</v>
      </c>
      <c r="D10773" s="2">
        <v>0</v>
      </c>
      <c r="E10773" s="2">
        <v>1655.83</v>
      </c>
      <c r="F10773" t="s">
        <v>13</v>
      </c>
      <c r="G10773" t="s">
        <v>9</v>
      </c>
    </row>
    <row r="10774" spans="1:7" x14ac:dyDescent="0.35">
      <c r="A10774">
        <v>4280</v>
      </c>
      <c r="B10774" s="1">
        <v>45840</v>
      </c>
      <c r="C10774" t="s">
        <v>24</v>
      </c>
      <c r="D10774" s="2">
        <v>70.87</v>
      </c>
      <c r="E10774" s="2">
        <v>0</v>
      </c>
      <c r="F10774" t="s">
        <v>8</v>
      </c>
      <c r="G10774" t="s">
        <v>9</v>
      </c>
    </row>
    <row r="10775" spans="1:7" x14ac:dyDescent="0.35">
      <c r="A10775">
        <v>4280</v>
      </c>
      <c r="B10775" s="1">
        <v>45840</v>
      </c>
      <c r="C10775" t="s">
        <v>24</v>
      </c>
      <c r="D10775" s="2">
        <v>0</v>
      </c>
      <c r="E10775" s="2">
        <v>70.87</v>
      </c>
      <c r="F10775" t="s">
        <v>13</v>
      </c>
      <c r="G10775" t="s">
        <v>9</v>
      </c>
    </row>
    <row r="10776" spans="1:7" x14ac:dyDescent="0.35">
      <c r="A10776">
        <v>4281</v>
      </c>
      <c r="B10776" s="1">
        <v>45840</v>
      </c>
      <c r="C10776" t="s">
        <v>24</v>
      </c>
      <c r="D10776" s="2">
        <v>636.41999999999996</v>
      </c>
      <c r="E10776" s="2">
        <v>0</v>
      </c>
      <c r="F10776" t="s">
        <v>8</v>
      </c>
      <c r="G10776" t="s">
        <v>9</v>
      </c>
    </row>
    <row r="10777" spans="1:7" x14ac:dyDescent="0.35">
      <c r="A10777">
        <v>4281</v>
      </c>
      <c r="B10777" s="1">
        <v>45840</v>
      </c>
      <c r="C10777" t="s">
        <v>24</v>
      </c>
      <c r="D10777" s="2">
        <v>0</v>
      </c>
      <c r="E10777" s="2">
        <v>636.41999999999996</v>
      </c>
      <c r="F10777" t="s">
        <v>13</v>
      </c>
      <c r="G10777" t="s">
        <v>9</v>
      </c>
    </row>
    <row r="10778" spans="1:7" x14ac:dyDescent="0.35">
      <c r="A10778">
        <v>4282</v>
      </c>
      <c r="B10778" s="1">
        <v>45840</v>
      </c>
      <c r="C10778" t="s">
        <v>24</v>
      </c>
      <c r="D10778" s="2">
        <v>1309.1300000000001</v>
      </c>
      <c r="E10778" s="2">
        <v>0</v>
      </c>
      <c r="F10778" t="s">
        <v>8</v>
      </c>
      <c r="G10778" t="s">
        <v>9</v>
      </c>
    </row>
    <row r="10779" spans="1:7" x14ac:dyDescent="0.35">
      <c r="A10779">
        <v>4282</v>
      </c>
      <c r="B10779" s="1">
        <v>45840</v>
      </c>
      <c r="C10779" t="s">
        <v>24</v>
      </c>
      <c r="D10779" s="2">
        <v>0</v>
      </c>
      <c r="E10779" s="2">
        <v>1309.1300000000001</v>
      </c>
      <c r="F10779" t="s">
        <v>13</v>
      </c>
      <c r="G10779" t="s">
        <v>9</v>
      </c>
    </row>
    <row r="10780" spans="1:7" x14ac:dyDescent="0.35">
      <c r="A10780">
        <v>4283</v>
      </c>
      <c r="B10780" s="1">
        <v>45840</v>
      </c>
      <c r="C10780" t="s">
        <v>25</v>
      </c>
      <c r="D10780" s="2">
        <v>802.71</v>
      </c>
      <c r="E10780" s="2">
        <v>0</v>
      </c>
      <c r="F10780" t="s">
        <v>26</v>
      </c>
      <c r="G10780" t="s">
        <v>20</v>
      </c>
    </row>
    <row r="10781" spans="1:7" x14ac:dyDescent="0.35">
      <c r="A10781">
        <v>4283</v>
      </c>
      <c r="B10781" s="1">
        <v>45840</v>
      </c>
      <c r="C10781" t="s">
        <v>25</v>
      </c>
      <c r="D10781" s="2">
        <v>60.2</v>
      </c>
      <c r="E10781" s="2">
        <v>0</v>
      </c>
      <c r="F10781" t="s">
        <v>27</v>
      </c>
      <c r="G10781" t="s">
        <v>9</v>
      </c>
    </row>
    <row r="10782" spans="1:7" x14ac:dyDescent="0.35">
      <c r="A10782">
        <v>4283</v>
      </c>
      <c r="B10782" s="1">
        <v>45840</v>
      </c>
      <c r="C10782" t="s">
        <v>25</v>
      </c>
      <c r="D10782" s="2">
        <v>0</v>
      </c>
      <c r="E10782" s="2">
        <v>862.91</v>
      </c>
      <c r="F10782" t="s">
        <v>28</v>
      </c>
      <c r="G10782" t="s">
        <v>17</v>
      </c>
    </row>
    <row r="10783" spans="1:7" x14ac:dyDescent="0.35">
      <c r="A10783">
        <v>4284</v>
      </c>
      <c r="B10783" s="1">
        <v>45840</v>
      </c>
      <c r="C10783" t="s">
        <v>29</v>
      </c>
      <c r="D10783" s="2">
        <v>2918.17</v>
      </c>
      <c r="E10783" s="2">
        <v>0</v>
      </c>
      <c r="F10783" t="s">
        <v>28</v>
      </c>
      <c r="G10783" t="s">
        <v>17</v>
      </c>
    </row>
    <row r="10784" spans="1:7" x14ac:dyDescent="0.35">
      <c r="A10784">
        <v>4284</v>
      </c>
      <c r="B10784" s="1">
        <v>45840</v>
      </c>
      <c r="C10784" t="s">
        <v>29</v>
      </c>
      <c r="D10784" s="2">
        <v>0</v>
      </c>
      <c r="E10784" s="2">
        <v>2918.17</v>
      </c>
      <c r="F10784" t="s">
        <v>8</v>
      </c>
      <c r="G10784" t="s">
        <v>9</v>
      </c>
    </row>
    <row r="10785" spans="1:7" x14ac:dyDescent="0.35">
      <c r="A10785">
        <v>4285</v>
      </c>
      <c r="B10785" s="1">
        <v>45840</v>
      </c>
      <c r="C10785" t="s">
        <v>29</v>
      </c>
      <c r="D10785" s="2">
        <v>1159.8399999999999</v>
      </c>
      <c r="E10785" s="2">
        <v>0</v>
      </c>
      <c r="F10785" t="s">
        <v>28</v>
      </c>
      <c r="G10785" t="s">
        <v>17</v>
      </c>
    </row>
    <row r="10786" spans="1:7" x14ac:dyDescent="0.35">
      <c r="A10786">
        <v>4285</v>
      </c>
      <c r="B10786" s="1">
        <v>45840</v>
      </c>
      <c r="C10786" t="s">
        <v>29</v>
      </c>
      <c r="D10786" s="2">
        <v>0</v>
      </c>
      <c r="E10786" s="2">
        <v>1159.8399999999999</v>
      </c>
      <c r="F10786" t="s">
        <v>8</v>
      </c>
      <c r="G10786" t="s">
        <v>9</v>
      </c>
    </row>
    <row r="10787" spans="1:7" x14ac:dyDescent="0.35">
      <c r="A10787">
        <v>4286</v>
      </c>
      <c r="B10787" s="1">
        <v>45841</v>
      </c>
      <c r="C10787" t="s">
        <v>18</v>
      </c>
      <c r="D10787" s="2">
        <v>23033.4</v>
      </c>
      <c r="E10787" s="2">
        <v>0</v>
      </c>
      <c r="F10787" t="s">
        <v>19</v>
      </c>
      <c r="G10787" t="s">
        <v>20</v>
      </c>
    </row>
    <row r="10788" spans="1:7" x14ac:dyDescent="0.35">
      <c r="A10788">
        <v>4286</v>
      </c>
      <c r="B10788" s="1">
        <v>45841</v>
      </c>
      <c r="C10788" t="s">
        <v>18</v>
      </c>
      <c r="D10788" s="2">
        <v>921.34</v>
      </c>
      <c r="E10788" s="2">
        <v>0</v>
      </c>
      <c r="F10788" t="s">
        <v>21</v>
      </c>
      <c r="G10788" t="s">
        <v>20</v>
      </c>
    </row>
    <row r="10789" spans="1:7" x14ac:dyDescent="0.35">
      <c r="A10789">
        <v>4286</v>
      </c>
      <c r="B10789" s="1">
        <v>45841</v>
      </c>
      <c r="C10789" t="s">
        <v>18</v>
      </c>
      <c r="D10789" s="2">
        <v>0</v>
      </c>
      <c r="E10789" s="2">
        <v>18718.310000000001</v>
      </c>
      <c r="F10789" t="s">
        <v>8</v>
      </c>
      <c r="G10789" t="s">
        <v>9</v>
      </c>
    </row>
    <row r="10790" spans="1:7" x14ac:dyDescent="0.35">
      <c r="A10790">
        <v>4286</v>
      </c>
      <c r="B10790" s="1">
        <v>45841</v>
      </c>
      <c r="C10790" t="s">
        <v>18</v>
      </c>
      <c r="D10790" s="2">
        <v>0</v>
      </c>
      <c r="E10790" s="2">
        <v>4315.09</v>
      </c>
      <c r="F10790" t="s">
        <v>22</v>
      </c>
      <c r="G10790" t="s">
        <v>17</v>
      </c>
    </row>
    <row r="10791" spans="1:7" x14ac:dyDescent="0.35">
      <c r="A10791">
        <v>4286</v>
      </c>
      <c r="B10791" s="1">
        <v>45841</v>
      </c>
      <c r="C10791" t="s">
        <v>18</v>
      </c>
      <c r="D10791" s="2">
        <v>0</v>
      </c>
      <c r="E10791" s="2">
        <v>921.34</v>
      </c>
      <c r="F10791" t="s">
        <v>23</v>
      </c>
      <c r="G10791" t="s">
        <v>17</v>
      </c>
    </row>
    <row r="10792" spans="1:7" x14ac:dyDescent="0.35">
      <c r="A10792">
        <v>4287</v>
      </c>
      <c r="B10792" s="1">
        <v>45841</v>
      </c>
      <c r="C10792" t="s">
        <v>12</v>
      </c>
      <c r="D10792" s="2">
        <v>1966.43</v>
      </c>
      <c r="E10792" s="2">
        <v>0</v>
      </c>
      <c r="F10792" t="s">
        <v>13</v>
      </c>
      <c r="G10792" t="s">
        <v>9</v>
      </c>
    </row>
    <row r="10793" spans="1:7" x14ac:dyDescent="0.35">
      <c r="A10793">
        <v>4287</v>
      </c>
      <c r="B10793" s="1">
        <v>45841</v>
      </c>
      <c r="C10793" t="s">
        <v>12</v>
      </c>
      <c r="D10793" s="2">
        <v>0</v>
      </c>
      <c r="E10793" s="2">
        <v>1829.25</v>
      </c>
      <c r="F10793" t="s">
        <v>14</v>
      </c>
      <c r="G10793" t="s">
        <v>15</v>
      </c>
    </row>
    <row r="10794" spans="1:7" x14ac:dyDescent="0.35">
      <c r="A10794">
        <v>4287</v>
      </c>
      <c r="B10794" s="1">
        <v>45841</v>
      </c>
      <c r="C10794" t="s">
        <v>12</v>
      </c>
      <c r="D10794" s="2">
        <v>0</v>
      </c>
      <c r="E10794" s="2">
        <v>137.18</v>
      </c>
      <c r="F10794" t="s">
        <v>16</v>
      </c>
      <c r="G10794" t="s">
        <v>17</v>
      </c>
    </row>
    <row r="10795" spans="1:7" x14ac:dyDescent="0.35">
      <c r="A10795">
        <v>4288</v>
      </c>
      <c r="B10795" s="1">
        <v>45841</v>
      </c>
      <c r="C10795" t="s">
        <v>12</v>
      </c>
      <c r="D10795" s="2">
        <v>1028.06</v>
      </c>
      <c r="E10795" s="2">
        <v>0</v>
      </c>
      <c r="F10795" t="s">
        <v>13</v>
      </c>
      <c r="G10795" t="s">
        <v>9</v>
      </c>
    </row>
    <row r="10796" spans="1:7" x14ac:dyDescent="0.35">
      <c r="A10796">
        <v>4288</v>
      </c>
      <c r="B10796" s="1">
        <v>45841</v>
      </c>
      <c r="C10796" t="s">
        <v>12</v>
      </c>
      <c r="D10796" s="2">
        <v>0</v>
      </c>
      <c r="E10796" s="2">
        <v>956.33</v>
      </c>
      <c r="F10796" t="s">
        <v>14</v>
      </c>
      <c r="G10796" t="s">
        <v>15</v>
      </c>
    </row>
    <row r="10797" spans="1:7" x14ac:dyDescent="0.35">
      <c r="A10797">
        <v>4288</v>
      </c>
      <c r="B10797" s="1">
        <v>45841</v>
      </c>
      <c r="C10797" t="s">
        <v>12</v>
      </c>
      <c r="D10797" s="2">
        <v>0</v>
      </c>
      <c r="E10797" s="2">
        <v>71.73</v>
      </c>
      <c r="F10797" t="s">
        <v>16</v>
      </c>
      <c r="G10797" t="s">
        <v>17</v>
      </c>
    </row>
    <row r="10798" spans="1:7" x14ac:dyDescent="0.35">
      <c r="A10798">
        <v>4289</v>
      </c>
      <c r="B10798" s="1">
        <v>45841</v>
      </c>
      <c r="C10798" t="s">
        <v>12</v>
      </c>
      <c r="D10798" s="2">
        <v>515.47</v>
      </c>
      <c r="E10798" s="2">
        <v>0</v>
      </c>
      <c r="F10798" t="s">
        <v>13</v>
      </c>
      <c r="G10798" t="s">
        <v>9</v>
      </c>
    </row>
    <row r="10799" spans="1:7" x14ac:dyDescent="0.35">
      <c r="A10799">
        <v>4289</v>
      </c>
      <c r="B10799" s="1">
        <v>45841</v>
      </c>
      <c r="C10799" t="s">
        <v>12</v>
      </c>
      <c r="D10799" s="2">
        <v>0</v>
      </c>
      <c r="E10799" s="2">
        <v>479.51</v>
      </c>
      <c r="F10799" t="s">
        <v>14</v>
      </c>
      <c r="G10799" t="s">
        <v>15</v>
      </c>
    </row>
    <row r="10800" spans="1:7" x14ac:dyDescent="0.35">
      <c r="A10800">
        <v>4289</v>
      </c>
      <c r="B10800" s="1">
        <v>45841</v>
      </c>
      <c r="C10800" t="s">
        <v>12</v>
      </c>
      <c r="D10800" s="2">
        <v>0</v>
      </c>
      <c r="E10800" s="2">
        <v>35.96</v>
      </c>
      <c r="F10800" t="s">
        <v>16</v>
      </c>
      <c r="G10800" t="s">
        <v>17</v>
      </c>
    </row>
    <row r="10801" spans="1:7" x14ac:dyDescent="0.35">
      <c r="A10801">
        <v>4290</v>
      </c>
      <c r="B10801" s="1">
        <v>45841</v>
      </c>
      <c r="C10801" t="s">
        <v>12</v>
      </c>
      <c r="D10801" s="2">
        <v>1936.35</v>
      </c>
      <c r="E10801" s="2">
        <v>0</v>
      </c>
      <c r="F10801" t="s">
        <v>13</v>
      </c>
      <c r="G10801" t="s">
        <v>9</v>
      </c>
    </row>
    <row r="10802" spans="1:7" x14ac:dyDescent="0.35">
      <c r="A10802">
        <v>4290</v>
      </c>
      <c r="B10802" s="1">
        <v>45841</v>
      </c>
      <c r="C10802" t="s">
        <v>12</v>
      </c>
      <c r="D10802" s="2">
        <v>0</v>
      </c>
      <c r="E10802" s="2">
        <v>1801.26</v>
      </c>
      <c r="F10802" t="s">
        <v>14</v>
      </c>
      <c r="G10802" t="s">
        <v>15</v>
      </c>
    </row>
    <row r="10803" spans="1:7" x14ac:dyDescent="0.35">
      <c r="A10803">
        <v>4290</v>
      </c>
      <c r="B10803" s="1">
        <v>45841</v>
      </c>
      <c r="C10803" t="s">
        <v>12</v>
      </c>
      <c r="D10803" s="2">
        <v>0</v>
      </c>
      <c r="E10803" s="2">
        <v>135.09</v>
      </c>
      <c r="F10803" t="s">
        <v>16</v>
      </c>
      <c r="G10803" t="s">
        <v>17</v>
      </c>
    </row>
    <row r="10804" spans="1:7" x14ac:dyDescent="0.35">
      <c r="A10804">
        <v>4291</v>
      </c>
      <c r="B10804" s="1">
        <v>45841</v>
      </c>
      <c r="C10804" t="s">
        <v>12</v>
      </c>
      <c r="D10804" s="2">
        <v>3527.07</v>
      </c>
      <c r="E10804" s="2">
        <v>0</v>
      </c>
      <c r="F10804" t="s">
        <v>13</v>
      </c>
      <c r="G10804" t="s">
        <v>9</v>
      </c>
    </row>
    <row r="10805" spans="1:7" x14ac:dyDescent="0.35">
      <c r="A10805">
        <v>4291</v>
      </c>
      <c r="B10805" s="1">
        <v>45841</v>
      </c>
      <c r="C10805" t="s">
        <v>12</v>
      </c>
      <c r="D10805" s="2">
        <v>0</v>
      </c>
      <c r="E10805" s="2">
        <v>3280.99</v>
      </c>
      <c r="F10805" t="s">
        <v>14</v>
      </c>
      <c r="G10805" t="s">
        <v>15</v>
      </c>
    </row>
    <row r="10806" spans="1:7" x14ac:dyDescent="0.35">
      <c r="A10806">
        <v>4291</v>
      </c>
      <c r="B10806" s="1">
        <v>45841</v>
      </c>
      <c r="C10806" t="s">
        <v>12</v>
      </c>
      <c r="D10806" s="2">
        <v>0</v>
      </c>
      <c r="E10806" s="2">
        <v>246.08</v>
      </c>
      <c r="F10806" t="s">
        <v>16</v>
      </c>
      <c r="G10806" t="s">
        <v>17</v>
      </c>
    </row>
    <row r="10807" spans="1:7" x14ac:dyDescent="0.35">
      <c r="A10807">
        <v>4292</v>
      </c>
      <c r="B10807" s="1">
        <v>45841</v>
      </c>
      <c r="C10807" t="s">
        <v>12</v>
      </c>
      <c r="D10807" s="2">
        <v>288.27999999999997</v>
      </c>
      <c r="E10807" s="2">
        <v>0</v>
      </c>
      <c r="F10807" t="s">
        <v>13</v>
      </c>
      <c r="G10807" t="s">
        <v>9</v>
      </c>
    </row>
    <row r="10808" spans="1:7" x14ac:dyDescent="0.35">
      <c r="A10808">
        <v>4292</v>
      </c>
      <c r="B10808" s="1">
        <v>45841</v>
      </c>
      <c r="C10808" t="s">
        <v>12</v>
      </c>
      <c r="D10808" s="2">
        <v>0</v>
      </c>
      <c r="E10808" s="2">
        <v>268.17</v>
      </c>
      <c r="F10808" t="s">
        <v>14</v>
      </c>
      <c r="G10808" t="s">
        <v>15</v>
      </c>
    </row>
    <row r="10809" spans="1:7" x14ac:dyDescent="0.35">
      <c r="A10809">
        <v>4292</v>
      </c>
      <c r="B10809" s="1">
        <v>45841</v>
      </c>
      <c r="C10809" t="s">
        <v>12</v>
      </c>
      <c r="D10809" s="2">
        <v>0</v>
      </c>
      <c r="E10809" s="2">
        <v>20.11</v>
      </c>
      <c r="F10809" t="s">
        <v>16</v>
      </c>
      <c r="G10809" t="s">
        <v>17</v>
      </c>
    </row>
    <row r="10810" spans="1:7" x14ac:dyDescent="0.35">
      <c r="A10810">
        <v>4293</v>
      </c>
      <c r="B10810" s="1">
        <v>45841</v>
      </c>
      <c r="C10810" t="s">
        <v>12</v>
      </c>
      <c r="D10810" s="2">
        <v>2610.36</v>
      </c>
      <c r="E10810" s="2">
        <v>0</v>
      </c>
      <c r="F10810" t="s">
        <v>13</v>
      </c>
      <c r="G10810" t="s">
        <v>9</v>
      </c>
    </row>
    <row r="10811" spans="1:7" x14ac:dyDescent="0.35">
      <c r="A10811">
        <v>4293</v>
      </c>
      <c r="B10811" s="1">
        <v>45841</v>
      </c>
      <c r="C10811" t="s">
        <v>12</v>
      </c>
      <c r="D10811" s="2">
        <v>0</v>
      </c>
      <c r="E10811" s="2">
        <v>2428.2399999999998</v>
      </c>
      <c r="F10811" t="s">
        <v>14</v>
      </c>
      <c r="G10811" t="s">
        <v>15</v>
      </c>
    </row>
    <row r="10812" spans="1:7" x14ac:dyDescent="0.35">
      <c r="A10812">
        <v>4293</v>
      </c>
      <c r="B10812" s="1">
        <v>45841</v>
      </c>
      <c r="C10812" t="s">
        <v>12</v>
      </c>
      <c r="D10812" s="2">
        <v>0</v>
      </c>
      <c r="E10812" s="2">
        <v>182.12</v>
      </c>
      <c r="F10812" t="s">
        <v>16</v>
      </c>
      <c r="G10812" t="s">
        <v>17</v>
      </c>
    </row>
    <row r="10813" spans="1:7" x14ac:dyDescent="0.35">
      <c r="A10813">
        <v>4294</v>
      </c>
      <c r="B10813" s="1">
        <v>45841</v>
      </c>
      <c r="C10813" t="s">
        <v>24</v>
      </c>
      <c r="D10813" s="2">
        <v>4531.04</v>
      </c>
      <c r="E10813" s="2">
        <v>0</v>
      </c>
      <c r="F10813" t="s">
        <v>8</v>
      </c>
      <c r="G10813" t="s">
        <v>9</v>
      </c>
    </row>
    <row r="10814" spans="1:7" x14ac:dyDescent="0.35">
      <c r="A10814">
        <v>4294</v>
      </c>
      <c r="B10814" s="1">
        <v>45841</v>
      </c>
      <c r="C10814" t="s">
        <v>24</v>
      </c>
      <c r="D10814" s="2">
        <v>0</v>
      </c>
      <c r="E10814" s="2">
        <v>4531.04</v>
      </c>
      <c r="F10814" t="s">
        <v>13</v>
      </c>
      <c r="G10814" t="s">
        <v>9</v>
      </c>
    </row>
    <row r="10815" spans="1:7" x14ac:dyDescent="0.35">
      <c r="A10815">
        <v>4295</v>
      </c>
      <c r="B10815" s="1">
        <v>45841</v>
      </c>
      <c r="C10815" t="s">
        <v>24</v>
      </c>
      <c r="D10815" s="2">
        <v>3259.51</v>
      </c>
      <c r="E10815" s="2">
        <v>0</v>
      </c>
      <c r="F10815" t="s">
        <v>8</v>
      </c>
      <c r="G10815" t="s">
        <v>9</v>
      </c>
    </row>
    <row r="10816" spans="1:7" x14ac:dyDescent="0.35">
      <c r="A10816">
        <v>4295</v>
      </c>
      <c r="B10816" s="1">
        <v>45841</v>
      </c>
      <c r="C10816" t="s">
        <v>24</v>
      </c>
      <c r="D10816" s="2">
        <v>0</v>
      </c>
      <c r="E10816" s="2">
        <v>3259.51</v>
      </c>
      <c r="F10816" t="s">
        <v>13</v>
      </c>
      <c r="G10816" t="s">
        <v>9</v>
      </c>
    </row>
    <row r="10817" spans="1:7" x14ac:dyDescent="0.35">
      <c r="A10817">
        <v>4296</v>
      </c>
      <c r="B10817" s="1">
        <v>45841</v>
      </c>
      <c r="C10817" t="s">
        <v>24</v>
      </c>
      <c r="D10817" s="2">
        <v>1617.72</v>
      </c>
      <c r="E10817" s="2">
        <v>0</v>
      </c>
      <c r="F10817" t="s">
        <v>8</v>
      </c>
      <c r="G10817" t="s">
        <v>9</v>
      </c>
    </row>
    <row r="10818" spans="1:7" x14ac:dyDescent="0.35">
      <c r="A10818">
        <v>4296</v>
      </c>
      <c r="B10818" s="1">
        <v>45841</v>
      </c>
      <c r="C10818" t="s">
        <v>24</v>
      </c>
      <c r="D10818" s="2">
        <v>0</v>
      </c>
      <c r="E10818" s="2">
        <v>1617.72</v>
      </c>
      <c r="F10818" t="s">
        <v>13</v>
      </c>
      <c r="G10818" t="s">
        <v>9</v>
      </c>
    </row>
    <row r="10819" spans="1:7" x14ac:dyDescent="0.35">
      <c r="A10819">
        <v>4297</v>
      </c>
      <c r="B10819" s="1">
        <v>45841</v>
      </c>
      <c r="C10819" t="s">
        <v>24</v>
      </c>
      <c r="D10819" s="2">
        <v>98.95</v>
      </c>
      <c r="E10819" s="2">
        <v>0</v>
      </c>
      <c r="F10819" t="s">
        <v>8</v>
      </c>
      <c r="G10819" t="s">
        <v>9</v>
      </c>
    </row>
    <row r="10820" spans="1:7" x14ac:dyDescent="0.35">
      <c r="A10820">
        <v>4297</v>
      </c>
      <c r="B10820" s="1">
        <v>45841</v>
      </c>
      <c r="C10820" t="s">
        <v>24</v>
      </c>
      <c r="D10820" s="2">
        <v>0</v>
      </c>
      <c r="E10820" s="2">
        <v>98.95</v>
      </c>
      <c r="F10820" t="s">
        <v>13</v>
      </c>
      <c r="G10820" t="s">
        <v>9</v>
      </c>
    </row>
    <row r="10821" spans="1:7" x14ac:dyDescent="0.35">
      <c r="A10821">
        <v>4298</v>
      </c>
      <c r="B10821" s="1">
        <v>45841</v>
      </c>
      <c r="C10821" t="s">
        <v>25</v>
      </c>
      <c r="D10821" s="2">
        <v>1668.94</v>
      </c>
      <c r="E10821" s="2">
        <v>0</v>
      </c>
      <c r="F10821" t="s">
        <v>26</v>
      </c>
      <c r="G10821" t="s">
        <v>20</v>
      </c>
    </row>
    <row r="10822" spans="1:7" x14ac:dyDescent="0.35">
      <c r="A10822">
        <v>4298</v>
      </c>
      <c r="B10822" s="1">
        <v>45841</v>
      </c>
      <c r="C10822" t="s">
        <v>25</v>
      </c>
      <c r="D10822" s="2">
        <v>125.17</v>
      </c>
      <c r="E10822" s="2">
        <v>0</v>
      </c>
      <c r="F10822" t="s">
        <v>27</v>
      </c>
      <c r="G10822" t="s">
        <v>9</v>
      </c>
    </row>
    <row r="10823" spans="1:7" x14ac:dyDescent="0.35">
      <c r="A10823">
        <v>4298</v>
      </c>
      <c r="B10823" s="1">
        <v>45841</v>
      </c>
      <c r="C10823" t="s">
        <v>25</v>
      </c>
      <c r="D10823" s="2">
        <v>0</v>
      </c>
      <c r="E10823" s="2">
        <v>1794.11</v>
      </c>
      <c r="F10823" t="s">
        <v>28</v>
      </c>
      <c r="G10823" t="s">
        <v>17</v>
      </c>
    </row>
    <row r="10824" spans="1:7" x14ac:dyDescent="0.35">
      <c r="A10824">
        <v>4299</v>
      </c>
      <c r="B10824" s="1">
        <v>45841</v>
      </c>
      <c r="C10824" t="s">
        <v>29</v>
      </c>
      <c r="D10824" s="2">
        <v>7227.44</v>
      </c>
      <c r="E10824" s="2">
        <v>0</v>
      </c>
      <c r="F10824" t="s">
        <v>28</v>
      </c>
      <c r="G10824" t="s">
        <v>17</v>
      </c>
    </row>
    <row r="10825" spans="1:7" x14ac:dyDescent="0.35">
      <c r="A10825">
        <v>4299</v>
      </c>
      <c r="B10825" s="1">
        <v>45841</v>
      </c>
      <c r="C10825" t="s">
        <v>29</v>
      </c>
      <c r="D10825" s="2">
        <v>0</v>
      </c>
      <c r="E10825" s="2">
        <v>7227.44</v>
      </c>
      <c r="F10825" t="s">
        <v>8</v>
      </c>
      <c r="G10825" t="s">
        <v>9</v>
      </c>
    </row>
    <row r="10826" spans="1:7" x14ac:dyDescent="0.35">
      <c r="A10826">
        <v>4300</v>
      </c>
      <c r="B10826" s="1">
        <v>45841</v>
      </c>
      <c r="C10826" t="s">
        <v>29</v>
      </c>
      <c r="D10826" s="2">
        <v>862.91</v>
      </c>
      <c r="E10826" s="2">
        <v>0</v>
      </c>
      <c r="F10826" t="s">
        <v>28</v>
      </c>
      <c r="G10826" t="s">
        <v>17</v>
      </c>
    </row>
    <row r="10827" spans="1:7" x14ac:dyDescent="0.35">
      <c r="A10827">
        <v>4300</v>
      </c>
      <c r="B10827" s="1">
        <v>45841</v>
      </c>
      <c r="C10827" t="s">
        <v>29</v>
      </c>
      <c r="D10827" s="2">
        <v>0</v>
      </c>
      <c r="E10827" s="2">
        <v>862.91</v>
      </c>
      <c r="F10827" t="s">
        <v>8</v>
      </c>
      <c r="G10827" t="s">
        <v>9</v>
      </c>
    </row>
    <row r="10828" spans="1:7" x14ac:dyDescent="0.35">
      <c r="A10828">
        <v>4301</v>
      </c>
      <c r="B10828" s="1">
        <v>45841</v>
      </c>
      <c r="C10828" t="s">
        <v>29</v>
      </c>
      <c r="D10828" s="2">
        <v>1794.11</v>
      </c>
      <c r="E10828" s="2">
        <v>0</v>
      </c>
      <c r="F10828" t="s">
        <v>28</v>
      </c>
      <c r="G10828" t="s">
        <v>17</v>
      </c>
    </row>
    <row r="10829" spans="1:7" x14ac:dyDescent="0.35">
      <c r="A10829">
        <v>4301</v>
      </c>
      <c r="B10829" s="1">
        <v>45841</v>
      </c>
      <c r="C10829" t="s">
        <v>29</v>
      </c>
      <c r="D10829" s="2">
        <v>0</v>
      </c>
      <c r="E10829" s="2">
        <v>1794.11</v>
      </c>
      <c r="F10829" t="s">
        <v>8</v>
      </c>
      <c r="G10829" t="s">
        <v>9</v>
      </c>
    </row>
    <row r="10830" spans="1:7" x14ac:dyDescent="0.35">
      <c r="A10830">
        <v>4302</v>
      </c>
      <c r="B10830" s="1">
        <v>45845</v>
      </c>
      <c r="C10830" t="s">
        <v>12</v>
      </c>
      <c r="D10830" s="2">
        <v>474.86</v>
      </c>
      <c r="E10830" s="2">
        <v>0</v>
      </c>
      <c r="F10830" t="s">
        <v>13</v>
      </c>
      <c r="G10830" t="s">
        <v>9</v>
      </c>
    </row>
    <row r="10831" spans="1:7" x14ac:dyDescent="0.35">
      <c r="A10831">
        <v>4302</v>
      </c>
      <c r="B10831" s="1">
        <v>45845</v>
      </c>
      <c r="C10831" t="s">
        <v>12</v>
      </c>
      <c r="D10831" s="2">
        <v>0</v>
      </c>
      <c r="E10831" s="2">
        <v>441.73</v>
      </c>
      <c r="F10831" t="s">
        <v>14</v>
      </c>
      <c r="G10831" t="s">
        <v>15</v>
      </c>
    </row>
    <row r="10832" spans="1:7" x14ac:dyDescent="0.35">
      <c r="A10832">
        <v>4302</v>
      </c>
      <c r="B10832" s="1">
        <v>45845</v>
      </c>
      <c r="C10832" t="s">
        <v>12</v>
      </c>
      <c r="D10832" s="2">
        <v>0</v>
      </c>
      <c r="E10832" s="2">
        <v>33.130000000000003</v>
      </c>
      <c r="F10832" t="s">
        <v>16</v>
      </c>
      <c r="G10832" t="s">
        <v>17</v>
      </c>
    </row>
    <row r="10833" spans="1:7" x14ac:dyDescent="0.35">
      <c r="A10833">
        <v>4303</v>
      </c>
      <c r="B10833" s="1">
        <v>45845</v>
      </c>
      <c r="C10833" t="s">
        <v>12</v>
      </c>
      <c r="D10833" s="2">
        <v>4195.76</v>
      </c>
      <c r="E10833" s="2">
        <v>0</v>
      </c>
      <c r="F10833" t="s">
        <v>13</v>
      </c>
      <c r="G10833" t="s">
        <v>9</v>
      </c>
    </row>
    <row r="10834" spans="1:7" x14ac:dyDescent="0.35">
      <c r="A10834">
        <v>4303</v>
      </c>
      <c r="B10834" s="1">
        <v>45845</v>
      </c>
      <c r="C10834" t="s">
        <v>12</v>
      </c>
      <c r="D10834" s="2">
        <v>0</v>
      </c>
      <c r="E10834" s="2">
        <v>3903.03</v>
      </c>
      <c r="F10834" t="s">
        <v>14</v>
      </c>
      <c r="G10834" t="s">
        <v>15</v>
      </c>
    </row>
    <row r="10835" spans="1:7" x14ac:dyDescent="0.35">
      <c r="A10835">
        <v>4303</v>
      </c>
      <c r="B10835" s="1">
        <v>45845</v>
      </c>
      <c r="C10835" t="s">
        <v>12</v>
      </c>
      <c r="D10835" s="2">
        <v>0</v>
      </c>
      <c r="E10835" s="2">
        <v>292.73</v>
      </c>
      <c r="F10835" t="s">
        <v>16</v>
      </c>
      <c r="G10835" t="s">
        <v>17</v>
      </c>
    </row>
    <row r="10836" spans="1:7" x14ac:dyDescent="0.35">
      <c r="A10836">
        <v>4304</v>
      </c>
      <c r="B10836" s="1">
        <v>45845</v>
      </c>
      <c r="C10836" t="s">
        <v>12</v>
      </c>
      <c r="D10836" s="2">
        <v>4619.45</v>
      </c>
      <c r="E10836" s="2">
        <v>0</v>
      </c>
      <c r="F10836" t="s">
        <v>13</v>
      </c>
      <c r="G10836" t="s">
        <v>9</v>
      </c>
    </row>
    <row r="10837" spans="1:7" x14ac:dyDescent="0.35">
      <c r="A10837">
        <v>4304</v>
      </c>
      <c r="B10837" s="1">
        <v>45845</v>
      </c>
      <c r="C10837" t="s">
        <v>12</v>
      </c>
      <c r="D10837" s="2">
        <v>0</v>
      </c>
      <c r="E10837" s="2">
        <v>4297.16</v>
      </c>
      <c r="F10837" t="s">
        <v>14</v>
      </c>
      <c r="G10837" t="s">
        <v>15</v>
      </c>
    </row>
    <row r="10838" spans="1:7" x14ac:dyDescent="0.35">
      <c r="A10838">
        <v>4304</v>
      </c>
      <c r="B10838" s="1">
        <v>45845</v>
      </c>
      <c r="C10838" t="s">
        <v>12</v>
      </c>
      <c r="D10838" s="2">
        <v>0</v>
      </c>
      <c r="E10838" s="2">
        <v>322.29000000000002</v>
      </c>
      <c r="F10838" t="s">
        <v>16</v>
      </c>
      <c r="G10838" t="s">
        <v>17</v>
      </c>
    </row>
    <row r="10839" spans="1:7" x14ac:dyDescent="0.35">
      <c r="A10839">
        <v>4305</v>
      </c>
      <c r="B10839" s="1">
        <v>45845</v>
      </c>
      <c r="C10839" t="s">
        <v>12</v>
      </c>
      <c r="D10839" s="2">
        <v>3188.67</v>
      </c>
      <c r="E10839" s="2">
        <v>0</v>
      </c>
      <c r="F10839" t="s">
        <v>13</v>
      </c>
      <c r="G10839" t="s">
        <v>9</v>
      </c>
    </row>
    <row r="10840" spans="1:7" x14ac:dyDescent="0.35">
      <c r="A10840">
        <v>4305</v>
      </c>
      <c r="B10840" s="1">
        <v>45845</v>
      </c>
      <c r="C10840" t="s">
        <v>12</v>
      </c>
      <c r="D10840" s="2">
        <v>0</v>
      </c>
      <c r="E10840" s="2">
        <v>2966.21</v>
      </c>
      <c r="F10840" t="s">
        <v>14</v>
      </c>
      <c r="G10840" t="s">
        <v>15</v>
      </c>
    </row>
    <row r="10841" spans="1:7" x14ac:dyDescent="0.35">
      <c r="A10841">
        <v>4305</v>
      </c>
      <c r="B10841" s="1">
        <v>45845</v>
      </c>
      <c r="C10841" t="s">
        <v>12</v>
      </c>
      <c r="D10841" s="2">
        <v>0</v>
      </c>
      <c r="E10841" s="2">
        <v>222.46</v>
      </c>
      <c r="F10841" t="s">
        <v>16</v>
      </c>
      <c r="G10841" t="s">
        <v>17</v>
      </c>
    </row>
    <row r="10842" spans="1:7" x14ac:dyDescent="0.35">
      <c r="A10842">
        <v>4306</v>
      </c>
      <c r="B10842" s="1">
        <v>45845</v>
      </c>
      <c r="C10842" t="s">
        <v>24</v>
      </c>
      <c r="D10842" s="2">
        <v>3390.54</v>
      </c>
      <c r="E10842" s="2">
        <v>0</v>
      </c>
      <c r="F10842" t="s">
        <v>8</v>
      </c>
      <c r="G10842" t="s">
        <v>9</v>
      </c>
    </row>
    <row r="10843" spans="1:7" x14ac:dyDescent="0.35">
      <c r="A10843">
        <v>4306</v>
      </c>
      <c r="B10843" s="1">
        <v>45845</v>
      </c>
      <c r="C10843" t="s">
        <v>24</v>
      </c>
      <c r="D10843" s="2">
        <v>0</v>
      </c>
      <c r="E10843" s="2">
        <v>3390.54</v>
      </c>
      <c r="F10843" t="s">
        <v>13</v>
      </c>
      <c r="G10843" t="s">
        <v>9</v>
      </c>
    </row>
    <row r="10844" spans="1:7" x14ac:dyDescent="0.35">
      <c r="A10844">
        <v>4307</v>
      </c>
      <c r="B10844" s="1">
        <v>45845</v>
      </c>
      <c r="C10844" t="s">
        <v>24</v>
      </c>
      <c r="D10844" s="2">
        <v>1022.16</v>
      </c>
      <c r="E10844" s="2">
        <v>0</v>
      </c>
      <c r="F10844" t="s">
        <v>8</v>
      </c>
      <c r="G10844" t="s">
        <v>9</v>
      </c>
    </row>
    <row r="10845" spans="1:7" x14ac:dyDescent="0.35">
      <c r="A10845">
        <v>4307</v>
      </c>
      <c r="B10845" s="1">
        <v>45845</v>
      </c>
      <c r="C10845" t="s">
        <v>24</v>
      </c>
      <c r="D10845" s="2">
        <v>0</v>
      </c>
      <c r="E10845" s="2">
        <v>1022.16</v>
      </c>
      <c r="F10845" t="s">
        <v>13</v>
      </c>
      <c r="G10845" t="s">
        <v>9</v>
      </c>
    </row>
    <row r="10846" spans="1:7" x14ac:dyDescent="0.35">
      <c r="A10846">
        <v>4308</v>
      </c>
      <c r="B10846" s="1">
        <v>45845</v>
      </c>
      <c r="C10846" t="s">
        <v>24</v>
      </c>
      <c r="D10846" s="2">
        <v>4209.7700000000004</v>
      </c>
      <c r="E10846" s="2">
        <v>0</v>
      </c>
      <c r="F10846" t="s">
        <v>8</v>
      </c>
      <c r="G10846" t="s">
        <v>9</v>
      </c>
    </row>
    <row r="10847" spans="1:7" x14ac:dyDescent="0.35">
      <c r="A10847">
        <v>4308</v>
      </c>
      <c r="B10847" s="1">
        <v>45845</v>
      </c>
      <c r="C10847" t="s">
        <v>24</v>
      </c>
      <c r="D10847" s="2">
        <v>0</v>
      </c>
      <c r="E10847" s="2">
        <v>4209.7700000000004</v>
      </c>
      <c r="F10847" t="s">
        <v>13</v>
      </c>
      <c r="G10847" t="s">
        <v>9</v>
      </c>
    </row>
    <row r="10848" spans="1:7" x14ac:dyDescent="0.35">
      <c r="A10848">
        <v>4309</v>
      </c>
      <c r="B10848" s="1">
        <v>45845</v>
      </c>
      <c r="C10848" t="s">
        <v>24</v>
      </c>
      <c r="D10848" s="2">
        <v>2375.9</v>
      </c>
      <c r="E10848" s="2">
        <v>0</v>
      </c>
      <c r="F10848" t="s">
        <v>8</v>
      </c>
      <c r="G10848" t="s">
        <v>9</v>
      </c>
    </row>
    <row r="10849" spans="1:7" x14ac:dyDescent="0.35">
      <c r="A10849">
        <v>4309</v>
      </c>
      <c r="B10849" s="1">
        <v>45845</v>
      </c>
      <c r="C10849" t="s">
        <v>24</v>
      </c>
      <c r="D10849" s="2">
        <v>0</v>
      </c>
      <c r="E10849" s="2">
        <v>2375.9</v>
      </c>
      <c r="F10849" t="s">
        <v>13</v>
      </c>
      <c r="G10849" t="s">
        <v>9</v>
      </c>
    </row>
    <row r="10850" spans="1:7" x14ac:dyDescent="0.35">
      <c r="A10850">
        <v>4310</v>
      </c>
      <c r="B10850" s="1">
        <v>45845</v>
      </c>
      <c r="C10850" t="s">
        <v>24</v>
      </c>
      <c r="D10850" s="2">
        <v>2694.56</v>
      </c>
      <c r="E10850" s="2">
        <v>0</v>
      </c>
      <c r="F10850" t="s">
        <v>8</v>
      </c>
      <c r="G10850" t="s">
        <v>9</v>
      </c>
    </row>
    <row r="10851" spans="1:7" x14ac:dyDescent="0.35">
      <c r="A10851">
        <v>4310</v>
      </c>
      <c r="B10851" s="1">
        <v>45845</v>
      </c>
      <c r="C10851" t="s">
        <v>24</v>
      </c>
      <c r="D10851" s="2">
        <v>0</v>
      </c>
      <c r="E10851" s="2">
        <v>2694.56</v>
      </c>
      <c r="F10851" t="s">
        <v>13</v>
      </c>
      <c r="G10851" t="s">
        <v>9</v>
      </c>
    </row>
    <row r="10852" spans="1:7" x14ac:dyDescent="0.35">
      <c r="A10852">
        <v>4311</v>
      </c>
      <c r="B10852" s="1">
        <v>45845</v>
      </c>
      <c r="C10852" t="s">
        <v>24</v>
      </c>
      <c r="D10852" s="2">
        <v>1706.78</v>
      </c>
      <c r="E10852" s="2">
        <v>0</v>
      </c>
      <c r="F10852" t="s">
        <v>8</v>
      </c>
      <c r="G10852" t="s">
        <v>9</v>
      </c>
    </row>
    <row r="10853" spans="1:7" x14ac:dyDescent="0.35">
      <c r="A10853">
        <v>4311</v>
      </c>
      <c r="B10853" s="1">
        <v>45845</v>
      </c>
      <c r="C10853" t="s">
        <v>24</v>
      </c>
      <c r="D10853" s="2">
        <v>0</v>
      </c>
      <c r="E10853" s="2">
        <v>1706.78</v>
      </c>
      <c r="F10853" t="s">
        <v>13</v>
      </c>
      <c r="G10853" t="s">
        <v>9</v>
      </c>
    </row>
    <row r="10854" spans="1:7" x14ac:dyDescent="0.35">
      <c r="A10854">
        <v>4312</v>
      </c>
      <c r="B10854" s="1">
        <v>45845</v>
      </c>
      <c r="C10854" t="s">
        <v>24</v>
      </c>
      <c r="D10854" s="2">
        <v>708.59</v>
      </c>
      <c r="E10854" s="2">
        <v>0</v>
      </c>
      <c r="F10854" t="s">
        <v>8</v>
      </c>
      <c r="G10854" t="s">
        <v>9</v>
      </c>
    </row>
    <row r="10855" spans="1:7" x14ac:dyDescent="0.35">
      <c r="A10855">
        <v>4312</v>
      </c>
      <c r="B10855" s="1">
        <v>45845</v>
      </c>
      <c r="C10855" t="s">
        <v>24</v>
      </c>
      <c r="D10855" s="2">
        <v>0</v>
      </c>
      <c r="E10855" s="2">
        <v>708.59</v>
      </c>
      <c r="F10855" t="s">
        <v>13</v>
      </c>
      <c r="G10855" t="s">
        <v>9</v>
      </c>
    </row>
    <row r="10856" spans="1:7" x14ac:dyDescent="0.35">
      <c r="A10856">
        <v>4313</v>
      </c>
      <c r="B10856" s="1">
        <v>45845</v>
      </c>
      <c r="C10856" t="s">
        <v>24</v>
      </c>
      <c r="D10856" s="2">
        <v>1873.63</v>
      </c>
      <c r="E10856" s="2">
        <v>0</v>
      </c>
      <c r="F10856" t="s">
        <v>8</v>
      </c>
      <c r="G10856" t="s">
        <v>9</v>
      </c>
    </row>
    <row r="10857" spans="1:7" x14ac:dyDescent="0.35">
      <c r="A10857">
        <v>4313</v>
      </c>
      <c r="B10857" s="1">
        <v>45845</v>
      </c>
      <c r="C10857" t="s">
        <v>24</v>
      </c>
      <c r="D10857" s="2">
        <v>0</v>
      </c>
      <c r="E10857" s="2">
        <v>1873.63</v>
      </c>
      <c r="F10857" t="s">
        <v>13</v>
      </c>
      <c r="G10857" t="s">
        <v>9</v>
      </c>
    </row>
    <row r="10858" spans="1:7" x14ac:dyDescent="0.35">
      <c r="A10858">
        <v>4314</v>
      </c>
      <c r="B10858" s="1">
        <v>45845</v>
      </c>
      <c r="C10858" t="s">
        <v>24</v>
      </c>
      <c r="D10858" s="2">
        <v>138.57</v>
      </c>
      <c r="E10858" s="2">
        <v>0</v>
      </c>
      <c r="F10858" t="s">
        <v>8</v>
      </c>
      <c r="G10858" t="s">
        <v>9</v>
      </c>
    </row>
    <row r="10859" spans="1:7" x14ac:dyDescent="0.35">
      <c r="A10859">
        <v>4314</v>
      </c>
      <c r="B10859" s="1">
        <v>45845</v>
      </c>
      <c r="C10859" t="s">
        <v>24</v>
      </c>
      <c r="D10859" s="2">
        <v>0</v>
      </c>
      <c r="E10859" s="2">
        <v>138.57</v>
      </c>
      <c r="F10859" t="s">
        <v>13</v>
      </c>
      <c r="G10859" t="s">
        <v>9</v>
      </c>
    </row>
    <row r="10860" spans="1:7" x14ac:dyDescent="0.35">
      <c r="A10860">
        <v>4315</v>
      </c>
      <c r="B10860" s="1">
        <v>45845</v>
      </c>
      <c r="C10860" t="s">
        <v>24</v>
      </c>
      <c r="D10860" s="2">
        <v>3527.07</v>
      </c>
      <c r="E10860" s="2">
        <v>0</v>
      </c>
      <c r="F10860" t="s">
        <v>8</v>
      </c>
      <c r="G10860" t="s">
        <v>9</v>
      </c>
    </row>
    <row r="10861" spans="1:7" x14ac:dyDescent="0.35">
      <c r="A10861">
        <v>4315</v>
      </c>
      <c r="B10861" s="1">
        <v>45845</v>
      </c>
      <c r="C10861" t="s">
        <v>24</v>
      </c>
      <c r="D10861" s="2">
        <v>0</v>
      </c>
      <c r="E10861" s="2">
        <v>3527.07</v>
      </c>
      <c r="F10861" t="s">
        <v>13</v>
      </c>
      <c r="G10861" t="s">
        <v>9</v>
      </c>
    </row>
    <row r="10862" spans="1:7" x14ac:dyDescent="0.35">
      <c r="A10862">
        <v>4316</v>
      </c>
      <c r="B10862" s="1">
        <v>45845</v>
      </c>
      <c r="C10862" t="s">
        <v>25</v>
      </c>
      <c r="D10862" s="2">
        <v>696.06</v>
      </c>
      <c r="E10862" s="2">
        <v>0</v>
      </c>
      <c r="F10862" t="s">
        <v>26</v>
      </c>
      <c r="G10862" t="s">
        <v>20</v>
      </c>
    </row>
    <row r="10863" spans="1:7" x14ac:dyDescent="0.35">
      <c r="A10863">
        <v>4316</v>
      </c>
      <c r="B10863" s="1">
        <v>45845</v>
      </c>
      <c r="C10863" t="s">
        <v>25</v>
      </c>
      <c r="D10863" s="2">
        <v>52.2</v>
      </c>
      <c r="E10863" s="2">
        <v>0</v>
      </c>
      <c r="F10863" t="s">
        <v>27</v>
      </c>
      <c r="G10863" t="s">
        <v>9</v>
      </c>
    </row>
    <row r="10864" spans="1:7" x14ac:dyDescent="0.35">
      <c r="A10864">
        <v>4316</v>
      </c>
      <c r="B10864" s="1">
        <v>45845</v>
      </c>
      <c r="C10864" t="s">
        <v>25</v>
      </c>
      <c r="D10864" s="2">
        <v>0</v>
      </c>
      <c r="E10864" s="2">
        <v>748.26</v>
      </c>
      <c r="F10864" t="s">
        <v>28</v>
      </c>
      <c r="G10864" t="s">
        <v>17</v>
      </c>
    </row>
    <row r="10865" spans="1:7" x14ac:dyDescent="0.35">
      <c r="A10865">
        <v>4317</v>
      </c>
      <c r="B10865" s="1">
        <v>45845</v>
      </c>
      <c r="C10865" t="s">
        <v>25</v>
      </c>
      <c r="D10865" s="2">
        <v>257.04000000000002</v>
      </c>
      <c r="E10865" s="2">
        <v>0</v>
      </c>
      <c r="F10865" t="s">
        <v>26</v>
      </c>
      <c r="G10865" t="s">
        <v>20</v>
      </c>
    </row>
    <row r="10866" spans="1:7" x14ac:dyDescent="0.35">
      <c r="A10866">
        <v>4317</v>
      </c>
      <c r="B10866" s="1">
        <v>45845</v>
      </c>
      <c r="C10866" t="s">
        <v>25</v>
      </c>
      <c r="D10866" s="2">
        <v>19.28</v>
      </c>
      <c r="E10866" s="2">
        <v>0</v>
      </c>
      <c r="F10866" t="s">
        <v>27</v>
      </c>
      <c r="G10866" t="s">
        <v>9</v>
      </c>
    </row>
    <row r="10867" spans="1:7" x14ac:dyDescent="0.35">
      <c r="A10867">
        <v>4317</v>
      </c>
      <c r="B10867" s="1">
        <v>45845</v>
      </c>
      <c r="C10867" t="s">
        <v>25</v>
      </c>
      <c r="D10867" s="2">
        <v>0</v>
      </c>
      <c r="E10867" s="2">
        <v>276.32</v>
      </c>
      <c r="F10867" t="s">
        <v>28</v>
      </c>
      <c r="G10867" t="s">
        <v>17</v>
      </c>
    </row>
    <row r="10868" spans="1:7" x14ac:dyDescent="0.35">
      <c r="A10868">
        <v>4318</v>
      </c>
      <c r="B10868" s="1">
        <v>45845</v>
      </c>
      <c r="C10868" t="s">
        <v>29</v>
      </c>
      <c r="D10868" s="2">
        <v>179.01</v>
      </c>
      <c r="E10868" s="2">
        <v>0</v>
      </c>
      <c r="F10868" t="s">
        <v>28</v>
      </c>
      <c r="G10868" t="s">
        <v>17</v>
      </c>
    </row>
    <row r="10869" spans="1:7" x14ac:dyDescent="0.35">
      <c r="A10869">
        <v>4318</v>
      </c>
      <c r="B10869" s="1">
        <v>45845</v>
      </c>
      <c r="C10869" t="s">
        <v>29</v>
      </c>
      <c r="D10869" s="2">
        <v>0</v>
      </c>
      <c r="E10869" s="2">
        <v>179.01</v>
      </c>
      <c r="F10869" t="s">
        <v>8</v>
      </c>
      <c r="G10869" t="s">
        <v>9</v>
      </c>
    </row>
    <row r="10870" spans="1:7" x14ac:dyDescent="0.35">
      <c r="A10870">
        <v>4319</v>
      </c>
      <c r="B10870" s="1">
        <v>45845</v>
      </c>
      <c r="C10870" t="s">
        <v>29</v>
      </c>
      <c r="D10870" s="2">
        <v>2093.2800000000002</v>
      </c>
      <c r="E10870" s="2">
        <v>0</v>
      </c>
      <c r="F10870" t="s">
        <v>28</v>
      </c>
      <c r="G10870" t="s">
        <v>17</v>
      </c>
    </row>
    <row r="10871" spans="1:7" x14ac:dyDescent="0.35">
      <c r="A10871">
        <v>4319</v>
      </c>
      <c r="B10871" s="1">
        <v>45845</v>
      </c>
      <c r="C10871" t="s">
        <v>29</v>
      </c>
      <c r="D10871" s="2">
        <v>0</v>
      </c>
      <c r="E10871" s="2">
        <v>2093.2800000000002</v>
      </c>
      <c r="F10871" t="s">
        <v>8</v>
      </c>
      <c r="G10871" t="s">
        <v>9</v>
      </c>
    </row>
    <row r="10872" spans="1:7" x14ac:dyDescent="0.35">
      <c r="A10872">
        <v>4320</v>
      </c>
      <c r="B10872" s="1">
        <v>45845</v>
      </c>
      <c r="C10872" t="s">
        <v>29</v>
      </c>
      <c r="D10872" s="2">
        <v>276.32</v>
      </c>
      <c r="E10872" s="2">
        <v>0</v>
      </c>
      <c r="F10872" t="s">
        <v>28</v>
      </c>
      <c r="G10872" t="s">
        <v>17</v>
      </c>
    </row>
    <row r="10873" spans="1:7" x14ac:dyDescent="0.35">
      <c r="A10873">
        <v>4320</v>
      </c>
      <c r="B10873" s="1">
        <v>45845</v>
      </c>
      <c r="C10873" t="s">
        <v>29</v>
      </c>
      <c r="D10873" s="2">
        <v>0</v>
      </c>
      <c r="E10873" s="2">
        <v>276.32</v>
      </c>
      <c r="F10873" t="s">
        <v>8</v>
      </c>
      <c r="G10873" t="s">
        <v>9</v>
      </c>
    </row>
    <row r="10874" spans="1:7" x14ac:dyDescent="0.35">
      <c r="A10874">
        <v>4321</v>
      </c>
      <c r="B10874" s="1">
        <v>45846</v>
      </c>
      <c r="C10874" t="s">
        <v>12</v>
      </c>
      <c r="D10874" s="2">
        <v>1112.45</v>
      </c>
      <c r="E10874" s="2">
        <v>0</v>
      </c>
      <c r="F10874" t="s">
        <v>13</v>
      </c>
      <c r="G10874" t="s">
        <v>9</v>
      </c>
    </row>
    <row r="10875" spans="1:7" x14ac:dyDescent="0.35">
      <c r="A10875">
        <v>4321</v>
      </c>
      <c r="B10875" s="1">
        <v>45846</v>
      </c>
      <c r="C10875" t="s">
        <v>12</v>
      </c>
      <c r="D10875" s="2">
        <v>0</v>
      </c>
      <c r="E10875" s="2">
        <v>1034.8399999999999</v>
      </c>
      <c r="F10875" t="s">
        <v>14</v>
      </c>
      <c r="G10875" t="s">
        <v>15</v>
      </c>
    </row>
    <row r="10876" spans="1:7" x14ac:dyDescent="0.35">
      <c r="A10876">
        <v>4321</v>
      </c>
      <c r="B10876" s="1">
        <v>45846</v>
      </c>
      <c r="C10876" t="s">
        <v>12</v>
      </c>
      <c r="D10876" s="2">
        <v>0</v>
      </c>
      <c r="E10876" s="2">
        <v>77.61</v>
      </c>
      <c r="F10876" t="s">
        <v>16</v>
      </c>
      <c r="G10876" t="s">
        <v>17</v>
      </c>
    </row>
    <row r="10877" spans="1:7" x14ac:dyDescent="0.35">
      <c r="A10877">
        <v>4322</v>
      </c>
      <c r="B10877" s="1">
        <v>45846</v>
      </c>
      <c r="C10877" t="s">
        <v>12</v>
      </c>
      <c r="D10877" s="2">
        <v>479.46</v>
      </c>
      <c r="E10877" s="2">
        <v>0</v>
      </c>
      <c r="F10877" t="s">
        <v>13</v>
      </c>
      <c r="G10877" t="s">
        <v>9</v>
      </c>
    </row>
    <row r="10878" spans="1:7" x14ac:dyDescent="0.35">
      <c r="A10878">
        <v>4322</v>
      </c>
      <c r="B10878" s="1">
        <v>45846</v>
      </c>
      <c r="C10878" t="s">
        <v>12</v>
      </c>
      <c r="D10878" s="2">
        <v>0</v>
      </c>
      <c r="E10878" s="2">
        <v>446</v>
      </c>
      <c r="F10878" t="s">
        <v>14</v>
      </c>
      <c r="G10878" t="s">
        <v>15</v>
      </c>
    </row>
    <row r="10879" spans="1:7" x14ac:dyDescent="0.35">
      <c r="A10879">
        <v>4322</v>
      </c>
      <c r="B10879" s="1">
        <v>45846</v>
      </c>
      <c r="C10879" t="s">
        <v>12</v>
      </c>
      <c r="D10879" s="2">
        <v>0</v>
      </c>
      <c r="E10879" s="2">
        <v>33.46</v>
      </c>
      <c r="F10879" t="s">
        <v>16</v>
      </c>
      <c r="G10879" t="s">
        <v>17</v>
      </c>
    </row>
    <row r="10880" spans="1:7" x14ac:dyDescent="0.35">
      <c r="A10880">
        <v>4323</v>
      </c>
      <c r="B10880" s="1">
        <v>45846</v>
      </c>
      <c r="C10880" t="s">
        <v>12</v>
      </c>
      <c r="D10880" s="2">
        <v>537.47</v>
      </c>
      <c r="E10880" s="2">
        <v>0</v>
      </c>
      <c r="F10880" t="s">
        <v>13</v>
      </c>
      <c r="G10880" t="s">
        <v>9</v>
      </c>
    </row>
    <row r="10881" spans="1:7" x14ac:dyDescent="0.35">
      <c r="A10881">
        <v>4323</v>
      </c>
      <c r="B10881" s="1">
        <v>45846</v>
      </c>
      <c r="C10881" t="s">
        <v>12</v>
      </c>
      <c r="D10881" s="2">
        <v>0</v>
      </c>
      <c r="E10881" s="2">
        <v>499.97</v>
      </c>
      <c r="F10881" t="s">
        <v>14</v>
      </c>
      <c r="G10881" t="s">
        <v>15</v>
      </c>
    </row>
    <row r="10882" spans="1:7" x14ac:dyDescent="0.35">
      <c r="A10882">
        <v>4323</v>
      </c>
      <c r="B10882" s="1">
        <v>45846</v>
      </c>
      <c r="C10882" t="s">
        <v>12</v>
      </c>
      <c r="D10882" s="2">
        <v>0</v>
      </c>
      <c r="E10882" s="2">
        <v>37.5</v>
      </c>
      <c r="F10882" t="s">
        <v>16</v>
      </c>
      <c r="G10882" t="s">
        <v>17</v>
      </c>
    </row>
    <row r="10883" spans="1:7" x14ac:dyDescent="0.35">
      <c r="A10883">
        <v>4324</v>
      </c>
      <c r="B10883" s="1">
        <v>45846</v>
      </c>
      <c r="C10883" t="s">
        <v>12</v>
      </c>
      <c r="D10883" s="2">
        <v>422.66</v>
      </c>
      <c r="E10883" s="2">
        <v>0</v>
      </c>
      <c r="F10883" t="s">
        <v>13</v>
      </c>
      <c r="G10883" t="s">
        <v>9</v>
      </c>
    </row>
    <row r="10884" spans="1:7" x14ac:dyDescent="0.35">
      <c r="A10884">
        <v>4324</v>
      </c>
      <c r="B10884" s="1">
        <v>45846</v>
      </c>
      <c r="C10884" t="s">
        <v>12</v>
      </c>
      <c r="D10884" s="2">
        <v>0</v>
      </c>
      <c r="E10884" s="2">
        <v>393.18</v>
      </c>
      <c r="F10884" t="s">
        <v>14</v>
      </c>
      <c r="G10884" t="s">
        <v>15</v>
      </c>
    </row>
    <row r="10885" spans="1:7" x14ac:dyDescent="0.35">
      <c r="A10885">
        <v>4324</v>
      </c>
      <c r="B10885" s="1">
        <v>45846</v>
      </c>
      <c r="C10885" t="s">
        <v>12</v>
      </c>
      <c r="D10885" s="2">
        <v>0</v>
      </c>
      <c r="E10885" s="2">
        <v>29.48</v>
      </c>
      <c r="F10885" t="s">
        <v>16</v>
      </c>
      <c r="G10885" t="s">
        <v>17</v>
      </c>
    </row>
    <row r="10886" spans="1:7" x14ac:dyDescent="0.35">
      <c r="A10886">
        <v>4325</v>
      </c>
      <c r="B10886" s="1">
        <v>45846</v>
      </c>
      <c r="C10886" t="s">
        <v>12</v>
      </c>
      <c r="D10886" s="2">
        <v>956.92</v>
      </c>
      <c r="E10886" s="2">
        <v>0</v>
      </c>
      <c r="F10886" t="s">
        <v>13</v>
      </c>
      <c r="G10886" t="s">
        <v>9</v>
      </c>
    </row>
    <row r="10887" spans="1:7" x14ac:dyDescent="0.35">
      <c r="A10887">
        <v>4325</v>
      </c>
      <c r="B10887" s="1">
        <v>45846</v>
      </c>
      <c r="C10887" t="s">
        <v>12</v>
      </c>
      <c r="D10887" s="2">
        <v>0</v>
      </c>
      <c r="E10887" s="2">
        <v>890.16</v>
      </c>
      <c r="F10887" t="s">
        <v>14</v>
      </c>
      <c r="G10887" t="s">
        <v>15</v>
      </c>
    </row>
    <row r="10888" spans="1:7" x14ac:dyDescent="0.35">
      <c r="A10888">
        <v>4325</v>
      </c>
      <c r="B10888" s="1">
        <v>45846</v>
      </c>
      <c r="C10888" t="s">
        <v>12</v>
      </c>
      <c r="D10888" s="2">
        <v>0</v>
      </c>
      <c r="E10888" s="2">
        <v>66.760000000000005</v>
      </c>
      <c r="F10888" t="s">
        <v>16</v>
      </c>
      <c r="G10888" t="s">
        <v>17</v>
      </c>
    </row>
    <row r="10889" spans="1:7" x14ac:dyDescent="0.35">
      <c r="A10889">
        <v>4326</v>
      </c>
      <c r="B10889" s="1">
        <v>45846</v>
      </c>
      <c r="C10889" t="s">
        <v>12</v>
      </c>
      <c r="D10889" s="2">
        <v>3461.01</v>
      </c>
      <c r="E10889" s="2">
        <v>0</v>
      </c>
      <c r="F10889" t="s">
        <v>13</v>
      </c>
      <c r="G10889" t="s">
        <v>9</v>
      </c>
    </row>
    <row r="10890" spans="1:7" x14ac:dyDescent="0.35">
      <c r="A10890">
        <v>4326</v>
      </c>
      <c r="B10890" s="1">
        <v>45846</v>
      </c>
      <c r="C10890" t="s">
        <v>12</v>
      </c>
      <c r="D10890" s="2">
        <v>0</v>
      </c>
      <c r="E10890" s="2">
        <v>3219.56</v>
      </c>
      <c r="F10890" t="s">
        <v>14</v>
      </c>
      <c r="G10890" t="s">
        <v>15</v>
      </c>
    </row>
    <row r="10891" spans="1:7" x14ac:dyDescent="0.35">
      <c r="A10891">
        <v>4326</v>
      </c>
      <c r="B10891" s="1">
        <v>45846</v>
      </c>
      <c r="C10891" t="s">
        <v>12</v>
      </c>
      <c r="D10891" s="2">
        <v>0</v>
      </c>
      <c r="E10891" s="2">
        <v>241.45</v>
      </c>
      <c r="F10891" t="s">
        <v>16</v>
      </c>
      <c r="G10891" t="s">
        <v>17</v>
      </c>
    </row>
    <row r="10892" spans="1:7" x14ac:dyDescent="0.35">
      <c r="A10892">
        <v>4327</v>
      </c>
      <c r="B10892" s="1">
        <v>45846</v>
      </c>
      <c r="C10892" t="s">
        <v>12</v>
      </c>
      <c r="D10892" s="2">
        <v>2675.46</v>
      </c>
      <c r="E10892" s="2">
        <v>0</v>
      </c>
      <c r="F10892" t="s">
        <v>13</v>
      </c>
      <c r="G10892" t="s">
        <v>9</v>
      </c>
    </row>
    <row r="10893" spans="1:7" x14ac:dyDescent="0.35">
      <c r="A10893">
        <v>4327</v>
      </c>
      <c r="B10893" s="1">
        <v>45846</v>
      </c>
      <c r="C10893" t="s">
        <v>12</v>
      </c>
      <c r="D10893" s="2">
        <v>0</v>
      </c>
      <c r="E10893" s="2">
        <v>2488.7800000000002</v>
      </c>
      <c r="F10893" t="s">
        <v>14</v>
      </c>
      <c r="G10893" t="s">
        <v>15</v>
      </c>
    </row>
    <row r="10894" spans="1:7" x14ac:dyDescent="0.35">
      <c r="A10894">
        <v>4327</v>
      </c>
      <c r="B10894" s="1">
        <v>45846</v>
      </c>
      <c r="C10894" t="s">
        <v>12</v>
      </c>
      <c r="D10894" s="2">
        <v>0</v>
      </c>
      <c r="E10894" s="2">
        <v>186.68</v>
      </c>
      <c r="F10894" t="s">
        <v>16</v>
      </c>
      <c r="G10894" t="s">
        <v>17</v>
      </c>
    </row>
    <row r="10895" spans="1:7" x14ac:dyDescent="0.35">
      <c r="A10895">
        <v>4328</v>
      </c>
      <c r="B10895" s="1">
        <v>45846</v>
      </c>
      <c r="C10895" t="s">
        <v>12</v>
      </c>
      <c r="D10895" s="2">
        <v>4697.18</v>
      </c>
      <c r="E10895" s="2">
        <v>0</v>
      </c>
      <c r="F10895" t="s">
        <v>13</v>
      </c>
      <c r="G10895" t="s">
        <v>9</v>
      </c>
    </row>
    <row r="10896" spans="1:7" x14ac:dyDescent="0.35">
      <c r="A10896">
        <v>4328</v>
      </c>
      <c r="B10896" s="1">
        <v>45846</v>
      </c>
      <c r="C10896" t="s">
        <v>12</v>
      </c>
      <c r="D10896" s="2">
        <v>0</v>
      </c>
      <c r="E10896" s="2">
        <v>4369.4799999999996</v>
      </c>
      <c r="F10896" t="s">
        <v>14</v>
      </c>
      <c r="G10896" t="s">
        <v>15</v>
      </c>
    </row>
    <row r="10897" spans="1:7" x14ac:dyDescent="0.35">
      <c r="A10897">
        <v>4328</v>
      </c>
      <c r="B10897" s="1">
        <v>45846</v>
      </c>
      <c r="C10897" t="s">
        <v>12</v>
      </c>
      <c r="D10897" s="2">
        <v>0</v>
      </c>
      <c r="E10897" s="2">
        <v>327.7</v>
      </c>
      <c r="F10897" t="s">
        <v>16</v>
      </c>
      <c r="G10897" t="s">
        <v>17</v>
      </c>
    </row>
    <row r="10898" spans="1:7" x14ac:dyDescent="0.35">
      <c r="A10898">
        <v>4329</v>
      </c>
      <c r="B10898" s="1">
        <v>45846</v>
      </c>
      <c r="C10898" t="s">
        <v>12</v>
      </c>
      <c r="D10898" s="2">
        <v>1435.53</v>
      </c>
      <c r="E10898" s="2">
        <v>0</v>
      </c>
      <c r="F10898" t="s">
        <v>13</v>
      </c>
      <c r="G10898" t="s">
        <v>9</v>
      </c>
    </row>
    <row r="10899" spans="1:7" x14ac:dyDescent="0.35">
      <c r="A10899">
        <v>4329</v>
      </c>
      <c r="B10899" s="1">
        <v>45846</v>
      </c>
      <c r="C10899" t="s">
        <v>12</v>
      </c>
      <c r="D10899" s="2">
        <v>0</v>
      </c>
      <c r="E10899" s="2">
        <v>1335.38</v>
      </c>
      <c r="F10899" t="s">
        <v>14</v>
      </c>
      <c r="G10899" t="s">
        <v>15</v>
      </c>
    </row>
    <row r="10900" spans="1:7" x14ac:dyDescent="0.35">
      <c r="A10900">
        <v>4329</v>
      </c>
      <c r="B10900" s="1">
        <v>45846</v>
      </c>
      <c r="C10900" t="s">
        <v>12</v>
      </c>
      <c r="D10900" s="2">
        <v>0</v>
      </c>
      <c r="E10900" s="2">
        <v>100.15</v>
      </c>
      <c r="F10900" t="s">
        <v>16</v>
      </c>
      <c r="G10900" t="s">
        <v>17</v>
      </c>
    </row>
    <row r="10901" spans="1:7" x14ac:dyDescent="0.35">
      <c r="A10901">
        <v>4330</v>
      </c>
      <c r="B10901" s="1">
        <v>45846</v>
      </c>
      <c r="C10901" t="s">
        <v>12</v>
      </c>
      <c r="D10901" s="2">
        <v>480.32</v>
      </c>
      <c r="E10901" s="2">
        <v>0</v>
      </c>
      <c r="F10901" t="s">
        <v>13</v>
      </c>
      <c r="G10901" t="s">
        <v>9</v>
      </c>
    </row>
    <row r="10902" spans="1:7" x14ac:dyDescent="0.35">
      <c r="A10902">
        <v>4330</v>
      </c>
      <c r="B10902" s="1">
        <v>45846</v>
      </c>
      <c r="C10902" t="s">
        <v>12</v>
      </c>
      <c r="D10902" s="2">
        <v>0</v>
      </c>
      <c r="E10902" s="2">
        <v>446.81</v>
      </c>
      <c r="F10902" t="s">
        <v>14</v>
      </c>
      <c r="G10902" t="s">
        <v>15</v>
      </c>
    </row>
    <row r="10903" spans="1:7" x14ac:dyDescent="0.35">
      <c r="A10903">
        <v>4330</v>
      </c>
      <c r="B10903" s="1">
        <v>45846</v>
      </c>
      <c r="C10903" t="s">
        <v>12</v>
      </c>
      <c r="D10903" s="2">
        <v>0</v>
      </c>
      <c r="E10903" s="2">
        <v>33.51</v>
      </c>
      <c r="F10903" t="s">
        <v>16</v>
      </c>
      <c r="G10903" t="s">
        <v>17</v>
      </c>
    </row>
    <row r="10904" spans="1:7" x14ac:dyDescent="0.35">
      <c r="A10904">
        <v>4331</v>
      </c>
      <c r="B10904" s="1">
        <v>45846</v>
      </c>
      <c r="C10904" t="s">
        <v>12</v>
      </c>
      <c r="D10904" s="2">
        <v>417.85</v>
      </c>
      <c r="E10904" s="2">
        <v>0</v>
      </c>
      <c r="F10904" t="s">
        <v>13</v>
      </c>
      <c r="G10904" t="s">
        <v>9</v>
      </c>
    </row>
    <row r="10905" spans="1:7" x14ac:dyDescent="0.35">
      <c r="A10905">
        <v>4331</v>
      </c>
      <c r="B10905" s="1">
        <v>45846</v>
      </c>
      <c r="C10905" t="s">
        <v>12</v>
      </c>
      <c r="D10905" s="2">
        <v>0</v>
      </c>
      <c r="E10905" s="2">
        <v>388.7</v>
      </c>
      <c r="F10905" t="s">
        <v>14</v>
      </c>
      <c r="G10905" t="s">
        <v>15</v>
      </c>
    </row>
    <row r="10906" spans="1:7" x14ac:dyDescent="0.35">
      <c r="A10906">
        <v>4331</v>
      </c>
      <c r="B10906" s="1">
        <v>45846</v>
      </c>
      <c r="C10906" t="s">
        <v>12</v>
      </c>
      <c r="D10906" s="2">
        <v>0</v>
      </c>
      <c r="E10906" s="2">
        <v>29.15</v>
      </c>
      <c r="F10906" t="s">
        <v>16</v>
      </c>
      <c r="G10906" t="s">
        <v>17</v>
      </c>
    </row>
    <row r="10907" spans="1:7" x14ac:dyDescent="0.35">
      <c r="A10907">
        <v>4332</v>
      </c>
      <c r="B10907" s="1">
        <v>45846</v>
      </c>
      <c r="C10907" t="s">
        <v>24</v>
      </c>
      <c r="D10907" s="2">
        <v>2106.4499999999998</v>
      </c>
      <c r="E10907" s="2">
        <v>0</v>
      </c>
      <c r="F10907" t="s">
        <v>8</v>
      </c>
      <c r="G10907" t="s">
        <v>9</v>
      </c>
    </row>
    <row r="10908" spans="1:7" x14ac:dyDescent="0.35">
      <c r="A10908">
        <v>4332</v>
      </c>
      <c r="B10908" s="1">
        <v>45846</v>
      </c>
      <c r="C10908" t="s">
        <v>24</v>
      </c>
      <c r="D10908" s="2">
        <v>0</v>
      </c>
      <c r="E10908" s="2">
        <v>2106.4499999999998</v>
      </c>
      <c r="F10908" t="s">
        <v>13</v>
      </c>
      <c r="G10908" t="s">
        <v>9</v>
      </c>
    </row>
    <row r="10909" spans="1:7" x14ac:dyDescent="0.35">
      <c r="A10909">
        <v>4333</v>
      </c>
      <c r="B10909" s="1">
        <v>45846</v>
      </c>
      <c r="C10909" t="s">
        <v>24</v>
      </c>
      <c r="D10909" s="2">
        <v>1951.86</v>
      </c>
      <c r="E10909" s="2">
        <v>0</v>
      </c>
      <c r="F10909" t="s">
        <v>8</v>
      </c>
      <c r="G10909" t="s">
        <v>9</v>
      </c>
    </row>
    <row r="10910" spans="1:7" x14ac:dyDescent="0.35">
      <c r="A10910">
        <v>4333</v>
      </c>
      <c r="B10910" s="1">
        <v>45846</v>
      </c>
      <c r="C10910" t="s">
        <v>24</v>
      </c>
      <c r="D10910" s="2">
        <v>0</v>
      </c>
      <c r="E10910" s="2">
        <v>1951.86</v>
      </c>
      <c r="F10910" t="s">
        <v>13</v>
      </c>
      <c r="G10910" t="s">
        <v>9</v>
      </c>
    </row>
    <row r="10911" spans="1:7" x14ac:dyDescent="0.35">
      <c r="A10911">
        <v>4334</v>
      </c>
      <c r="B10911" s="1">
        <v>45846</v>
      </c>
      <c r="C10911" t="s">
        <v>24</v>
      </c>
      <c r="D10911" s="2">
        <v>919.05</v>
      </c>
      <c r="E10911" s="2">
        <v>0</v>
      </c>
      <c r="F10911" t="s">
        <v>8</v>
      </c>
      <c r="G10911" t="s">
        <v>9</v>
      </c>
    </row>
    <row r="10912" spans="1:7" x14ac:dyDescent="0.35">
      <c r="A10912">
        <v>4334</v>
      </c>
      <c r="B10912" s="1">
        <v>45846</v>
      </c>
      <c r="C10912" t="s">
        <v>24</v>
      </c>
      <c r="D10912" s="2">
        <v>0</v>
      </c>
      <c r="E10912" s="2">
        <v>919.05</v>
      </c>
      <c r="F10912" t="s">
        <v>13</v>
      </c>
      <c r="G10912" t="s">
        <v>9</v>
      </c>
    </row>
    <row r="10913" spans="1:7" x14ac:dyDescent="0.35">
      <c r="A10913">
        <v>4335</v>
      </c>
      <c r="B10913" s="1">
        <v>45846</v>
      </c>
      <c r="C10913" t="s">
        <v>24</v>
      </c>
      <c r="D10913" s="2">
        <v>3263.89</v>
      </c>
      <c r="E10913" s="2">
        <v>0</v>
      </c>
      <c r="F10913" t="s">
        <v>8</v>
      </c>
      <c r="G10913" t="s">
        <v>9</v>
      </c>
    </row>
    <row r="10914" spans="1:7" x14ac:dyDescent="0.35">
      <c r="A10914">
        <v>4335</v>
      </c>
      <c r="B10914" s="1">
        <v>45846</v>
      </c>
      <c r="C10914" t="s">
        <v>24</v>
      </c>
      <c r="D10914" s="2">
        <v>0</v>
      </c>
      <c r="E10914" s="2">
        <v>3263.89</v>
      </c>
      <c r="F10914" t="s">
        <v>13</v>
      </c>
      <c r="G10914" t="s">
        <v>9</v>
      </c>
    </row>
    <row r="10915" spans="1:7" x14ac:dyDescent="0.35">
      <c r="A10915">
        <v>4336</v>
      </c>
      <c r="B10915" s="1">
        <v>45846</v>
      </c>
      <c r="C10915" t="s">
        <v>24</v>
      </c>
      <c r="D10915" s="2">
        <v>1028.06</v>
      </c>
      <c r="E10915" s="2">
        <v>0</v>
      </c>
      <c r="F10915" t="s">
        <v>8</v>
      </c>
      <c r="G10915" t="s">
        <v>9</v>
      </c>
    </row>
    <row r="10916" spans="1:7" x14ac:dyDescent="0.35">
      <c r="A10916">
        <v>4336</v>
      </c>
      <c r="B10916" s="1">
        <v>45846</v>
      </c>
      <c r="C10916" t="s">
        <v>24</v>
      </c>
      <c r="D10916" s="2">
        <v>0</v>
      </c>
      <c r="E10916" s="2">
        <v>1028.06</v>
      </c>
      <c r="F10916" t="s">
        <v>13</v>
      </c>
      <c r="G10916" t="s">
        <v>9</v>
      </c>
    </row>
    <row r="10917" spans="1:7" x14ac:dyDescent="0.35">
      <c r="A10917">
        <v>4337</v>
      </c>
      <c r="B10917" s="1">
        <v>45846</v>
      </c>
      <c r="C10917" t="s">
        <v>25</v>
      </c>
      <c r="D10917" s="2">
        <v>8685.27</v>
      </c>
      <c r="E10917" s="2">
        <v>0</v>
      </c>
      <c r="F10917" t="s">
        <v>26</v>
      </c>
      <c r="G10917" t="s">
        <v>20</v>
      </c>
    </row>
    <row r="10918" spans="1:7" x14ac:dyDescent="0.35">
      <c r="A10918">
        <v>4337</v>
      </c>
      <c r="B10918" s="1">
        <v>45846</v>
      </c>
      <c r="C10918" t="s">
        <v>25</v>
      </c>
      <c r="D10918" s="2">
        <v>651.4</v>
      </c>
      <c r="E10918" s="2">
        <v>0</v>
      </c>
      <c r="F10918" t="s">
        <v>27</v>
      </c>
      <c r="G10918" t="s">
        <v>9</v>
      </c>
    </row>
    <row r="10919" spans="1:7" x14ac:dyDescent="0.35">
      <c r="A10919">
        <v>4337</v>
      </c>
      <c r="B10919" s="1">
        <v>45846</v>
      </c>
      <c r="C10919" t="s">
        <v>25</v>
      </c>
      <c r="D10919" s="2">
        <v>0</v>
      </c>
      <c r="E10919" s="2">
        <v>9336.67</v>
      </c>
      <c r="F10919" t="s">
        <v>28</v>
      </c>
      <c r="G10919" t="s">
        <v>17</v>
      </c>
    </row>
    <row r="10920" spans="1:7" x14ac:dyDescent="0.35">
      <c r="A10920">
        <v>4338</v>
      </c>
      <c r="B10920" s="1">
        <v>45846</v>
      </c>
      <c r="C10920" t="s">
        <v>25</v>
      </c>
      <c r="D10920" s="2">
        <v>2714.58</v>
      </c>
      <c r="E10920" s="2">
        <v>0</v>
      </c>
      <c r="F10920" t="s">
        <v>26</v>
      </c>
      <c r="G10920" t="s">
        <v>20</v>
      </c>
    </row>
    <row r="10921" spans="1:7" x14ac:dyDescent="0.35">
      <c r="A10921">
        <v>4338</v>
      </c>
      <c r="B10921" s="1">
        <v>45846</v>
      </c>
      <c r="C10921" t="s">
        <v>25</v>
      </c>
      <c r="D10921" s="2">
        <v>203.59</v>
      </c>
      <c r="E10921" s="2">
        <v>0</v>
      </c>
      <c r="F10921" t="s">
        <v>27</v>
      </c>
      <c r="G10921" t="s">
        <v>9</v>
      </c>
    </row>
    <row r="10922" spans="1:7" x14ac:dyDescent="0.35">
      <c r="A10922">
        <v>4338</v>
      </c>
      <c r="B10922" s="1">
        <v>45846</v>
      </c>
      <c r="C10922" t="s">
        <v>25</v>
      </c>
      <c r="D10922" s="2">
        <v>0</v>
      </c>
      <c r="E10922" s="2">
        <v>2918.17</v>
      </c>
      <c r="F10922" t="s">
        <v>28</v>
      </c>
      <c r="G10922" t="s">
        <v>17</v>
      </c>
    </row>
    <row r="10923" spans="1:7" x14ac:dyDescent="0.35">
      <c r="A10923">
        <v>4339</v>
      </c>
      <c r="B10923" s="1">
        <v>45846</v>
      </c>
      <c r="C10923" t="s">
        <v>25</v>
      </c>
      <c r="D10923" s="2">
        <v>952.02</v>
      </c>
      <c r="E10923" s="2">
        <v>0</v>
      </c>
      <c r="F10923" t="s">
        <v>26</v>
      </c>
      <c r="G10923" t="s">
        <v>20</v>
      </c>
    </row>
    <row r="10924" spans="1:7" x14ac:dyDescent="0.35">
      <c r="A10924">
        <v>4339</v>
      </c>
      <c r="B10924" s="1">
        <v>45846</v>
      </c>
      <c r="C10924" t="s">
        <v>25</v>
      </c>
      <c r="D10924" s="2">
        <v>71.400000000000006</v>
      </c>
      <c r="E10924" s="2">
        <v>0</v>
      </c>
      <c r="F10924" t="s">
        <v>27</v>
      </c>
      <c r="G10924" t="s">
        <v>9</v>
      </c>
    </row>
    <row r="10925" spans="1:7" x14ac:dyDescent="0.35">
      <c r="A10925">
        <v>4339</v>
      </c>
      <c r="B10925" s="1">
        <v>45846</v>
      </c>
      <c r="C10925" t="s">
        <v>25</v>
      </c>
      <c r="D10925" s="2">
        <v>0</v>
      </c>
      <c r="E10925" s="2">
        <v>1023.42</v>
      </c>
      <c r="F10925" t="s">
        <v>28</v>
      </c>
      <c r="G10925" t="s">
        <v>17</v>
      </c>
    </row>
    <row r="10926" spans="1:7" x14ac:dyDescent="0.35">
      <c r="A10926">
        <v>4340</v>
      </c>
      <c r="B10926" s="1">
        <v>45846</v>
      </c>
      <c r="C10926" t="s">
        <v>29</v>
      </c>
      <c r="D10926" s="2">
        <v>412.54</v>
      </c>
      <c r="E10926" s="2">
        <v>0</v>
      </c>
      <c r="F10926" t="s">
        <v>28</v>
      </c>
      <c r="G10926" t="s">
        <v>17</v>
      </c>
    </row>
    <row r="10927" spans="1:7" x14ac:dyDescent="0.35">
      <c r="A10927">
        <v>4340</v>
      </c>
      <c r="B10927" s="1">
        <v>45846</v>
      </c>
      <c r="C10927" t="s">
        <v>29</v>
      </c>
      <c r="D10927" s="2">
        <v>0</v>
      </c>
      <c r="E10927" s="2">
        <v>412.54</v>
      </c>
      <c r="F10927" t="s">
        <v>8</v>
      </c>
      <c r="G10927" t="s">
        <v>9</v>
      </c>
    </row>
    <row r="10928" spans="1:7" x14ac:dyDescent="0.35">
      <c r="A10928">
        <v>4341</v>
      </c>
      <c r="B10928" s="1">
        <v>45846</v>
      </c>
      <c r="C10928" t="s">
        <v>29</v>
      </c>
      <c r="D10928" s="2">
        <v>3528.97</v>
      </c>
      <c r="E10928" s="2">
        <v>0</v>
      </c>
      <c r="F10928" t="s">
        <v>28</v>
      </c>
      <c r="G10928" t="s">
        <v>17</v>
      </c>
    </row>
    <row r="10929" spans="1:7" x14ac:dyDescent="0.35">
      <c r="A10929">
        <v>4341</v>
      </c>
      <c r="B10929" s="1">
        <v>45846</v>
      </c>
      <c r="C10929" t="s">
        <v>29</v>
      </c>
      <c r="D10929" s="2">
        <v>0</v>
      </c>
      <c r="E10929" s="2">
        <v>3528.97</v>
      </c>
      <c r="F10929" t="s">
        <v>8</v>
      </c>
      <c r="G10929" t="s">
        <v>9</v>
      </c>
    </row>
    <row r="10930" spans="1:7" x14ac:dyDescent="0.35">
      <c r="A10930">
        <v>4342</v>
      </c>
      <c r="B10930" s="1">
        <v>45846</v>
      </c>
      <c r="C10930" t="s">
        <v>29</v>
      </c>
      <c r="D10930" s="2">
        <v>2504.23</v>
      </c>
      <c r="E10930" s="2">
        <v>0</v>
      </c>
      <c r="F10930" t="s">
        <v>28</v>
      </c>
      <c r="G10930" t="s">
        <v>17</v>
      </c>
    </row>
    <row r="10931" spans="1:7" x14ac:dyDescent="0.35">
      <c r="A10931">
        <v>4342</v>
      </c>
      <c r="B10931" s="1">
        <v>45846</v>
      </c>
      <c r="C10931" t="s">
        <v>29</v>
      </c>
      <c r="D10931" s="2">
        <v>0</v>
      </c>
      <c r="E10931" s="2">
        <v>2504.23</v>
      </c>
      <c r="F10931" t="s">
        <v>8</v>
      </c>
      <c r="G10931" t="s">
        <v>9</v>
      </c>
    </row>
    <row r="10932" spans="1:7" x14ac:dyDescent="0.35">
      <c r="A10932">
        <v>4343</v>
      </c>
      <c r="B10932" s="1">
        <v>45847</v>
      </c>
      <c r="C10932" t="s">
        <v>12</v>
      </c>
      <c r="D10932" s="2">
        <v>4697.67</v>
      </c>
      <c r="E10932" s="2">
        <v>0</v>
      </c>
      <c r="F10932" t="s">
        <v>13</v>
      </c>
      <c r="G10932" t="s">
        <v>9</v>
      </c>
    </row>
    <row r="10933" spans="1:7" x14ac:dyDescent="0.35">
      <c r="A10933">
        <v>4343</v>
      </c>
      <c r="B10933" s="1">
        <v>45847</v>
      </c>
      <c r="C10933" t="s">
        <v>12</v>
      </c>
      <c r="D10933" s="2">
        <v>0</v>
      </c>
      <c r="E10933" s="2">
        <v>4369.92</v>
      </c>
      <c r="F10933" t="s">
        <v>14</v>
      </c>
      <c r="G10933" t="s">
        <v>15</v>
      </c>
    </row>
    <row r="10934" spans="1:7" x14ac:dyDescent="0.35">
      <c r="A10934">
        <v>4343</v>
      </c>
      <c r="B10934" s="1">
        <v>45847</v>
      </c>
      <c r="C10934" t="s">
        <v>12</v>
      </c>
      <c r="D10934" s="2">
        <v>0</v>
      </c>
      <c r="E10934" s="2">
        <v>327.75</v>
      </c>
      <c r="F10934" t="s">
        <v>16</v>
      </c>
      <c r="G10934" t="s">
        <v>17</v>
      </c>
    </row>
    <row r="10935" spans="1:7" x14ac:dyDescent="0.35">
      <c r="A10935">
        <v>4344</v>
      </c>
      <c r="B10935" s="1">
        <v>45847</v>
      </c>
      <c r="C10935" t="s">
        <v>12</v>
      </c>
      <c r="D10935" s="2">
        <v>2955.42</v>
      </c>
      <c r="E10935" s="2">
        <v>0</v>
      </c>
      <c r="F10935" t="s">
        <v>13</v>
      </c>
      <c r="G10935" t="s">
        <v>9</v>
      </c>
    </row>
    <row r="10936" spans="1:7" x14ac:dyDescent="0.35">
      <c r="A10936">
        <v>4344</v>
      </c>
      <c r="B10936" s="1">
        <v>45847</v>
      </c>
      <c r="C10936" t="s">
        <v>12</v>
      </c>
      <c r="D10936" s="2">
        <v>0</v>
      </c>
      <c r="E10936" s="2">
        <v>2749.23</v>
      </c>
      <c r="F10936" t="s">
        <v>14</v>
      </c>
      <c r="G10936" t="s">
        <v>15</v>
      </c>
    </row>
    <row r="10937" spans="1:7" x14ac:dyDescent="0.35">
      <c r="A10937">
        <v>4344</v>
      </c>
      <c r="B10937" s="1">
        <v>45847</v>
      </c>
      <c r="C10937" t="s">
        <v>12</v>
      </c>
      <c r="D10937" s="2">
        <v>0</v>
      </c>
      <c r="E10937" s="2">
        <v>206.19</v>
      </c>
      <c r="F10937" t="s">
        <v>16</v>
      </c>
      <c r="G10937" t="s">
        <v>17</v>
      </c>
    </row>
    <row r="10938" spans="1:7" x14ac:dyDescent="0.35">
      <c r="A10938">
        <v>4345</v>
      </c>
      <c r="B10938" s="1">
        <v>45847</v>
      </c>
      <c r="C10938" t="s">
        <v>12</v>
      </c>
      <c r="D10938" s="2">
        <v>2322.5500000000002</v>
      </c>
      <c r="E10938" s="2">
        <v>0</v>
      </c>
      <c r="F10938" t="s">
        <v>13</v>
      </c>
      <c r="G10938" t="s">
        <v>9</v>
      </c>
    </row>
    <row r="10939" spans="1:7" x14ac:dyDescent="0.35">
      <c r="A10939">
        <v>4345</v>
      </c>
      <c r="B10939" s="1">
        <v>45847</v>
      </c>
      <c r="C10939" t="s">
        <v>12</v>
      </c>
      <c r="D10939" s="2">
        <v>0</v>
      </c>
      <c r="E10939" s="2">
        <v>2160.5</v>
      </c>
      <c r="F10939" t="s">
        <v>14</v>
      </c>
      <c r="G10939" t="s">
        <v>15</v>
      </c>
    </row>
    <row r="10940" spans="1:7" x14ac:dyDescent="0.35">
      <c r="A10940">
        <v>4345</v>
      </c>
      <c r="B10940" s="1">
        <v>45847</v>
      </c>
      <c r="C10940" t="s">
        <v>12</v>
      </c>
      <c r="D10940" s="2">
        <v>0</v>
      </c>
      <c r="E10940" s="2">
        <v>162.05000000000001</v>
      </c>
      <c r="F10940" t="s">
        <v>16</v>
      </c>
      <c r="G10940" t="s">
        <v>17</v>
      </c>
    </row>
    <row r="10941" spans="1:7" x14ac:dyDescent="0.35">
      <c r="A10941">
        <v>4346</v>
      </c>
      <c r="B10941" s="1">
        <v>45847</v>
      </c>
      <c r="C10941" t="s">
        <v>24</v>
      </c>
      <c r="D10941" s="2">
        <v>3992.47</v>
      </c>
      <c r="E10941" s="2">
        <v>0</v>
      </c>
      <c r="F10941" t="s">
        <v>8</v>
      </c>
      <c r="G10941" t="s">
        <v>9</v>
      </c>
    </row>
    <row r="10942" spans="1:7" x14ac:dyDescent="0.35">
      <c r="A10942">
        <v>4346</v>
      </c>
      <c r="B10942" s="1">
        <v>45847</v>
      </c>
      <c r="C10942" t="s">
        <v>24</v>
      </c>
      <c r="D10942" s="2">
        <v>0</v>
      </c>
      <c r="E10942" s="2">
        <v>3992.47</v>
      </c>
      <c r="F10942" t="s">
        <v>13</v>
      </c>
      <c r="G10942" t="s">
        <v>9</v>
      </c>
    </row>
    <row r="10943" spans="1:7" x14ac:dyDescent="0.35">
      <c r="A10943">
        <v>4347</v>
      </c>
      <c r="B10943" s="1">
        <v>45847</v>
      </c>
      <c r="C10943" t="s">
        <v>24</v>
      </c>
      <c r="D10943" s="2">
        <v>5144.53</v>
      </c>
      <c r="E10943" s="2">
        <v>0</v>
      </c>
      <c r="F10943" t="s">
        <v>8</v>
      </c>
      <c r="G10943" t="s">
        <v>9</v>
      </c>
    </row>
    <row r="10944" spans="1:7" x14ac:dyDescent="0.35">
      <c r="A10944">
        <v>4347</v>
      </c>
      <c r="B10944" s="1">
        <v>45847</v>
      </c>
      <c r="C10944" t="s">
        <v>24</v>
      </c>
      <c r="D10944" s="2">
        <v>0</v>
      </c>
      <c r="E10944" s="2">
        <v>5144.53</v>
      </c>
      <c r="F10944" t="s">
        <v>13</v>
      </c>
      <c r="G10944" t="s">
        <v>9</v>
      </c>
    </row>
    <row r="10945" spans="1:7" x14ac:dyDescent="0.35">
      <c r="A10945">
        <v>4348</v>
      </c>
      <c r="B10945" s="1">
        <v>45847</v>
      </c>
      <c r="C10945" t="s">
        <v>24</v>
      </c>
      <c r="D10945" s="2">
        <v>744.46</v>
      </c>
      <c r="E10945" s="2">
        <v>0</v>
      </c>
      <c r="F10945" t="s">
        <v>8</v>
      </c>
      <c r="G10945" t="s">
        <v>9</v>
      </c>
    </row>
    <row r="10946" spans="1:7" x14ac:dyDescent="0.35">
      <c r="A10946">
        <v>4348</v>
      </c>
      <c r="B10946" s="1">
        <v>45847</v>
      </c>
      <c r="C10946" t="s">
        <v>24</v>
      </c>
      <c r="D10946" s="2">
        <v>0</v>
      </c>
      <c r="E10946" s="2">
        <v>744.46</v>
      </c>
      <c r="F10946" t="s">
        <v>13</v>
      </c>
      <c r="G10946" t="s">
        <v>9</v>
      </c>
    </row>
    <row r="10947" spans="1:7" x14ac:dyDescent="0.35">
      <c r="A10947">
        <v>4349</v>
      </c>
      <c r="B10947" s="1">
        <v>45847</v>
      </c>
      <c r="C10947" t="s">
        <v>24</v>
      </c>
      <c r="D10947" s="2">
        <v>3387.81</v>
      </c>
      <c r="E10947" s="2">
        <v>0</v>
      </c>
      <c r="F10947" t="s">
        <v>8</v>
      </c>
      <c r="G10947" t="s">
        <v>9</v>
      </c>
    </row>
    <row r="10948" spans="1:7" x14ac:dyDescent="0.35">
      <c r="A10948">
        <v>4349</v>
      </c>
      <c r="B10948" s="1">
        <v>45847</v>
      </c>
      <c r="C10948" t="s">
        <v>24</v>
      </c>
      <c r="D10948" s="2">
        <v>0</v>
      </c>
      <c r="E10948" s="2">
        <v>3387.81</v>
      </c>
      <c r="F10948" t="s">
        <v>13</v>
      </c>
      <c r="G10948" t="s">
        <v>9</v>
      </c>
    </row>
    <row r="10949" spans="1:7" x14ac:dyDescent="0.35">
      <c r="A10949">
        <v>4350</v>
      </c>
      <c r="B10949" s="1">
        <v>45847</v>
      </c>
      <c r="C10949" t="s">
        <v>24</v>
      </c>
      <c r="D10949" s="2">
        <v>3586.32</v>
      </c>
      <c r="E10949" s="2">
        <v>0</v>
      </c>
      <c r="F10949" t="s">
        <v>8</v>
      </c>
      <c r="G10949" t="s">
        <v>9</v>
      </c>
    </row>
    <row r="10950" spans="1:7" x14ac:dyDescent="0.35">
      <c r="A10950">
        <v>4350</v>
      </c>
      <c r="B10950" s="1">
        <v>45847</v>
      </c>
      <c r="C10950" t="s">
        <v>24</v>
      </c>
      <c r="D10950" s="2">
        <v>0</v>
      </c>
      <c r="E10950" s="2">
        <v>3586.32</v>
      </c>
      <c r="F10950" t="s">
        <v>13</v>
      </c>
      <c r="G10950" t="s">
        <v>9</v>
      </c>
    </row>
    <row r="10951" spans="1:7" x14ac:dyDescent="0.35">
      <c r="A10951">
        <v>4351</v>
      </c>
      <c r="B10951" s="1">
        <v>45847</v>
      </c>
      <c r="C10951" t="s">
        <v>25</v>
      </c>
      <c r="D10951" s="2">
        <v>3282.76</v>
      </c>
      <c r="E10951" s="2">
        <v>0</v>
      </c>
      <c r="F10951" t="s">
        <v>26</v>
      </c>
      <c r="G10951" t="s">
        <v>20</v>
      </c>
    </row>
    <row r="10952" spans="1:7" x14ac:dyDescent="0.35">
      <c r="A10952">
        <v>4351</v>
      </c>
      <c r="B10952" s="1">
        <v>45847</v>
      </c>
      <c r="C10952" t="s">
        <v>25</v>
      </c>
      <c r="D10952" s="2">
        <v>246.21</v>
      </c>
      <c r="E10952" s="2">
        <v>0</v>
      </c>
      <c r="F10952" t="s">
        <v>27</v>
      </c>
      <c r="G10952" t="s">
        <v>9</v>
      </c>
    </row>
    <row r="10953" spans="1:7" x14ac:dyDescent="0.35">
      <c r="A10953">
        <v>4351</v>
      </c>
      <c r="B10953" s="1">
        <v>45847</v>
      </c>
      <c r="C10953" t="s">
        <v>25</v>
      </c>
      <c r="D10953" s="2">
        <v>0</v>
      </c>
      <c r="E10953" s="2">
        <v>3528.97</v>
      </c>
      <c r="F10953" t="s">
        <v>28</v>
      </c>
      <c r="G10953" t="s">
        <v>17</v>
      </c>
    </row>
    <row r="10954" spans="1:7" x14ac:dyDescent="0.35">
      <c r="A10954">
        <v>4352</v>
      </c>
      <c r="B10954" s="1">
        <v>45847</v>
      </c>
      <c r="C10954" t="s">
        <v>25</v>
      </c>
      <c r="D10954" s="2">
        <v>1213.5999999999999</v>
      </c>
      <c r="E10954" s="2">
        <v>0</v>
      </c>
      <c r="F10954" t="s">
        <v>26</v>
      </c>
      <c r="G10954" t="s">
        <v>20</v>
      </c>
    </row>
    <row r="10955" spans="1:7" x14ac:dyDescent="0.35">
      <c r="A10955">
        <v>4352</v>
      </c>
      <c r="B10955" s="1">
        <v>45847</v>
      </c>
      <c r="C10955" t="s">
        <v>25</v>
      </c>
      <c r="D10955" s="2">
        <v>91.02</v>
      </c>
      <c r="E10955" s="2">
        <v>0</v>
      </c>
      <c r="F10955" t="s">
        <v>27</v>
      </c>
      <c r="G10955" t="s">
        <v>9</v>
      </c>
    </row>
    <row r="10956" spans="1:7" x14ac:dyDescent="0.35">
      <c r="A10956">
        <v>4352</v>
      </c>
      <c r="B10956" s="1">
        <v>45847</v>
      </c>
      <c r="C10956" t="s">
        <v>25</v>
      </c>
      <c r="D10956" s="2">
        <v>0</v>
      </c>
      <c r="E10956" s="2">
        <v>1304.6199999999999</v>
      </c>
      <c r="F10956" t="s">
        <v>28</v>
      </c>
      <c r="G10956" t="s">
        <v>17</v>
      </c>
    </row>
    <row r="10957" spans="1:7" x14ac:dyDescent="0.35">
      <c r="A10957">
        <v>4353</v>
      </c>
      <c r="B10957" s="1">
        <v>45847</v>
      </c>
      <c r="C10957" t="s">
        <v>29</v>
      </c>
      <c r="D10957" s="2">
        <v>201.5</v>
      </c>
      <c r="E10957" s="2">
        <v>0</v>
      </c>
      <c r="F10957" t="s">
        <v>28</v>
      </c>
      <c r="G10957" t="s">
        <v>17</v>
      </c>
    </row>
    <row r="10958" spans="1:7" x14ac:dyDescent="0.35">
      <c r="A10958">
        <v>4353</v>
      </c>
      <c r="B10958" s="1">
        <v>45847</v>
      </c>
      <c r="C10958" t="s">
        <v>29</v>
      </c>
      <c r="D10958" s="2">
        <v>0</v>
      </c>
      <c r="E10958" s="2">
        <v>201.5</v>
      </c>
      <c r="F10958" t="s">
        <v>8</v>
      </c>
      <c r="G10958" t="s">
        <v>9</v>
      </c>
    </row>
    <row r="10959" spans="1:7" x14ac:dyDescent="0.35">
      <c r="A10959">
        <v>4354</v>
      </c>
      <c r="B10959" s="1">
        <v>45848</v>
      </c>
      <c r="C10959" t="s">
        <v>12</v>
      </c>
      <c r="D10959" s="2">
        <v>3742.94</v>
      </c>
      <c r="E10959" s="2">
        <v>0</v>
      </c>
      <c r="F10959" t="s">
        <v>13</v>
      </c>
      <c r="G10959" t="s">
        <v>9</v>
      </c>
    </row>
    <row r="10960" spans="1:7" x14ac:dyDescent="0.35">
      <c r="A10960">
        <v>4354</v>
      </c>
      <c r="B10960" s="1">
        <v>45848</v>
      </c>
      <c r="C10960" t="s">
        <v>12</v>
      </c>
      <c r="D10960" s="2">
        <v>0</v>
      </c>
      <c r="E10960" s="2">
        <v>3481.81</v>
      </c>
      <c r="F10960" t="s">
        <v>14</v>
      </c>
      <c r="G10960" t="s">
        <v>15</v>
      </c>
    </row>
    <row r="10961" spans="1:7" x14ac:dyDescent="0.35">
      <c r="A10961">
        <v>4354</v>
      </c>
      <c r="B10961" s="1">
        <v>45848</v>
      </c>
      <c r="C10961" t="s">
        <v>12</v>
      </c>
      <c r="D10961" s="2">
        <v>0</v>
      </c>
      <c r="E10961" s="2">
        <v>261.13</v>
      </c>
      <c r="F10961" t="s">
        <v>16</v>
      </c>
      <c r="G10961" t="s">
        <v>17</v>
      </c>
    </row>
    <row r="10962" spans="1:7" x14ac:dyDescent="0.35">
      <c r="A10962">
        <v>4355</v>
      </c>
      <c r="B10962" s="1">
        <v>45848</v>
      </c>
      <c r="C10962" t="s">
        <v>12</v>
      </c>
      <c r="D10962" s="2">
        <v>80.84</v>
      </c>
      <c r="E10962" s="2">
        <v>0</v>
      </c>
      <c r="F10962" t="s">
        <v>13</v>
      </c>
      <c r="G10962" t="s">
        <v>9</v>
      </c>
    </row>
    <row r="10963" spans="1:7" x14ac:dyDescent="0.35">
      <c r="A10963">
        <v>4355</v>
      </c>
      <c r="B10963" s="1">
        <v>45848</v>
      </c>
      <c r="C10963" t="s">
        <v>12</v>
      </c>
      <c r="D10963" s="2">
        <v>0</v>
      </c>
      <c r="E10963" s="2">
        <v>75.2</v>
      </c>
      <c r="F10963" t="s">
        <v>14</v>
      </c>
      <c r="G10963" t="s">
        <v>15</v>
      </c>
    </row>
    <row r="10964" spans="1:7" x14ac:dyDescent="0.35">
      <c r="A10964">
        <v>4355</v>
      </c>
      <c r="B10964" s="1">
        <v>45848</v>
      </c>
      <c r="C10964" t="s">
        <v>12</v>
      </c>
      <c r="D10964" s="2">
        <v>0</v>
      </c>
      <c r="E10964" s="2">
        <v>5.64</v>
      </c>
      <c r="F10964" t="s">
        <v>16</v>
      </c>
      <c r="G10964" t="s">
        <v>17</v>
      </c>
    </row>
    <row r="10965" spans="1:7" x14ac:dyDescent="0.35">
      <c r="A10965">
        <v>4356</v>
      </c>
      <c r="B10965" s="1">
        <v>45848</v>
      </c>
      <c r="C10965" t="s">
        <v>12</v>
      </c>
      <c r="D10965" s="2">
        <v>4961.7700000000004</v>
      </c>
      <c r="E10965" s="2">
        <v>0</v>
      </c>
      <c r="F10965" t="s">
        <v>13</v>
      </c>
      <c r="G10965" t="s">
        <v>9</v>
      </c>
    </row>
    <row r="10966" spans="1:7" x14ac:dyDescent="0.35">
      <c r="A10966">
        <v>4356</v>
      </c>
      <c r="B10966" s="1">
        <v>45848</v>
      </c>
      <c r="C10966" t="s">
        <v>12</v>
      </c>
      <c r="D10966" s="2">
        <v>0</v>
      </c>
      <c r="E10966" s="2">
        <v>4615.6000000000004</v>
      </c>
      <c r="F10966" t="s">
        <v>14</v>
      </c>
      <c r="G10966" t="s">
        <v>15</v>
      </c>
    </row>
    <row r="10967" spans="1:7" x14ac:dyDescent="0.35">
      <c r="A10967">
        <v>4356</v>
      </c>
      <c r="B10967" s="1">
        <v>45848</v>
      </c>
      <c r="C10967" t="s">
        <v>12</v>
      </c>
      <c r="D10967" s="2">
        <v>0</v>
      </c>
      <c r="E10967" s="2">
        <v>346.17</v>
      </c>
      <c r="F10967" t="s">
        <v>16</v>
      </c>
      <c r="G10967" t="s">
        <v>17</v>
      </c>
    </row>
    <row r="10968" spans="1:7" x14ac:dyDescent="0.35">
      <c r="A10968">
        <v>4357</v>
      </c>
      <c r="B10968" s="1">
        <v>45848</v>
      </c>
      <c r="C10968" t="s">
        <v>24</v>
      </c>
      <c r="D10968" s="2">
        <v>2785.87</v>
      </c>
      <c r="E10968" s="2">
        <v>0</v>
      </c>
      <c r="F10968" t="s">
        <v>8</v>
      </c>
      <c r="G10968" t="s">
        <v>9</v>
      </c>
    </row>
    <row r="10969" spans="1:7" x14ac:dyDescent="0.35">
      <c r="A10969">
        <v>4357</v>
      </c>
      <c r="B10969" s="1">
        <v>45848</v>
      </c>
      <c r="C10969" t="s">
        <v>24</v>
      </c>
      <c r="D10969" s="2">
        <v>0</v>
      </c>
      <c r="E10969" s="2">
        <v>2785.87</v>
      </c>
      <c r="F10969" t="s">
        <v>13</v>
      </c>
      <c r="G10969" t="s">
        <v>9</v>
      </c>
    </row>
    <row r="10970" spans="1:7" x14ac:dyDescent="0.35">
      <c r="A10970">
        <v>4358</v>
      </c>
      <c r="B10970" s="1">
        <v>45848</v>
      </c>
      <c r="C10970" t="s">
        <v>24</v>
      </c>
      <c r="D10970" s="2">
        <v>2669.65</v>
      </c>
      <c r="E10970" s="2">
        <v>0</v>
      </c>
      <c r="F10970" t="s">
        <v>8</v>
      </c>
      <c r="G10970" t="s">
        <v>9</v>
      </c>
    </row>
    <row r="10971" spans="1:7" x14ac:dyDescent="0.35">
      <c r="A10971">
        <v>4358</v>
      </c>
      <c r="B10971" s="1">
        <v>45848</v>
      </c>
      <c r="C10971" t="s">
        <v>24</v>
      </c>
      <c r="D10971" s="2">
        <v>0</v>
      </c>
      <c r="E10971" s="2">
        <v>2669.65</v>
      </c>
      <c r="F10971" t="s">
        <v>13</v>
      </c>
      <c r="G10971" t="s">
        <v>9</v>
      </c>
    </row>
    <row r="10972" spans="1:7" x14ac:dyDescent="0.35">
      <c r="A10972">
        <v>4359</v>
      </c>
      <c r="B10972" s="1">
        <v>45848</v>
      </c>
      <c r="C10972" t="s">
        <v>24</v>
      </c>
      <c r="D10972" s="2">
        <v>1116.69</v>
      </c>
      <c r="E10972" s="2">
        <v>0</v>
      </c>
      <c r="F10972" t="s">
        <v>8</v>
      </c>
      <c r="G10972" t="s">
        <v>9</v>
      </c>
    </row>
    <row r="10973" spans="1:7" x14ac:dyDescent="0.35">
      <c r="A10973">
        <v>4359</v>
      </c>
      <c r="B10973" s="1">
        <v>45848</v>
      </c>
      <c r="C10973" t="s">
        <v>24</v>
      </c>
      <c r="D10973" s="2">
        <v>0</v>
      </c>
      <c r="E10973" s="2">
        <v>1116.69</v>
      </c>
      <c r="F10973" t="s">
        <v>13</v>
      </c>
      <c r="G10973" t="s">
        <v>9</v>
      </c>
    </row>
    <row r="10974" spans="1:7" x14ac:dyDescent="0.35">
      <c r="A10974">
        <v>4360</v>
      </c>
      <c r="B10974" s="1">
        <v>45848</v>
      </c>
      <c r="C10974" t="s">
        <v>24</v>
      </c>
      <c r="D10974" s="2">
        <v>1282.93</v>
      </c>
      <c r="E10974" s="2">
        <v>0</v>
      </c>
      <c r="F10974" t="s">
        <v>8</v>
      </c>
      <c r="G10974" t="s">
        <v>9</v>
      </c>
    </row>
    <row r="10975" spans="1:7" x14ac:dyDescent="0.35">
      <c r="A10975">
        <v>4360</v>
      </c>
      <c r="B10975" s="1">
        <v>45848</v>
      </c>
      <c r="C10975" t="s">
        <v>24</v>
      </c>
      <c r="D10975" s="2">
        <v>0</v>
      </c>
      <c r="E10975" s="2">
        <v>1282.93</v>
      </c>
      <c r="F10975" t="s">
        <v>13</v>
      </c>
      <c r="G10975" t="s">
        <v>9</v>
      </c>
    </row>
    <row r="10976" spans="1:7" x14ac:dyDescent="0.35">
      <c r="A10976">
        <v>4361</v>
      </c>
      <c r="B10976" s="1">
        <v>45848</v>
      </c>
      <c r="C10976" t="s">
        <v>24</v>
      </c>
      <c r="D10976" s="2">
        <v>2430.73</v>
      </c>
      <c r="E10976" s="2">
        <v>0</v>
      </c>
      <c r="F10976" t="s">
        <v>8</v>
      </c>
      <c r="G10976" t="s">
        <v>9</v>
      </c>
    </row>
    <row r="10977" spans="1:7" x14ac:dyDescent="0.35">
      <c r="A10977">
        <v>4361</v>
      </c>
      <c r="B10977" s="1">
        <v>45848</v>
      </c>
      <c r="C10977" t="s">
        <v>24</v>
      </c>
      <c r="D10977" s="2">
        <v>0</v>
      </c>
      <c r="E10977" s="2">
        <v>2430.73</v>
      </c>
      <c r="F10977" t="s">
        <v>13</v>
      </c>
      <c r="G10977" t="s">
        <v>9</v>
      </c>
    </row>
    <row r="10978" spans="1:7" x14ac:dyDescent="0.35">
      <c r="A10978">
        <v>4362</v>
      </c>
      <c r="B10978" s="1">
        <v>45848</v>
      </c>
      <c r="C10978" t="s">
        <v>25</v>
      </c>
      <c r="D10978" s="2">
        <v>1078.92</v>
      </c>
      <c r="E10978" s="2">
        <v>0</v>
      </c>
      <c r="F10978" t="s">
        <v>26</v>
      </c>
      <c r="G10978" t="s">
        <v>20</v>
      </c>
    </row>
    <row r="10979" spans="1:7" x14ac:dyDescent="0.35">
      <c r="A10979">
        <v>4362</v>
      </c>
      <c r="B10979" s="1">
        <v>45848</v>
      </c>
      <c r="C10979" t="s">
        <v>25</v>
      </c>
      <c r="D10979" s="2">
        <v>80.92</v>
      </c>
      <c r="E10979" s="2">
        <v>0</v>
      </c>
      <c r="F10979" t="s">
        <v>27</v>
      </c>
      <c r="G10979" t="s">
        <v>9</v>
      </c>
    </row>
    <row r="10980" spans="1:7" x14ac:dyDescent="0.35">
      <c r="A10980">
        <v>4362</v>
      </c>
      <c r="B10980" s="1">
        <v>45848</v>
      </c>
      <c r="C10980" t="s">
        <v>25</v>
      </c>
      <c r="D10980" s="2">
        <v>0</v>
      </c>
      <c r="E10980" s="2">
        <v>1159.8399999999999</v>
      </c>
      <c r="F10980" t="s">
        <v>28</v>
      </c>
      <c r="G10980" t="s">
        <v>17</v>
      </c>
    </row>
    <row r="10981" spans="1:7" x14ac:dyDescent="0.35">
      <c r="A10981">
        <v>4363</v>
      </c>
      <c r="B10981" s="1">
        <v>45848</v>
      </c>
      <c r="C10981" t="s">
        <v>29</v>
      </c>
      <c r="D10981" s="2">
        <v>3868.8</v>
      </c>
      <c r="E10981" s="2">
        <v>0</v>
      </c>
      <c r="F10981" t="s">
        <v>28</v>
      </c>
      <c r="G10981" t="s">
        <v>17</v>
      </c>
    </row>
    <row r="10982" spans="1:7" x14ac:dyDescent="0.35">
      <c r="A10982">
        <v>4363</v>
      </c>
      <c r="B10982" s="1">
        <v>45848</v>
      </c>
      <c r="C10982" t="s">
        <v>29</v>
      </c>
      <c r="D10982" s="2">
        <v>0</v>
      </c>
      <c r="E10982" s="2">
        <v>3868.8</v>
      </c>
      <c r="F10982" t="s">
        <v>8</v>
      </c>
      <c r="G10982" t="s">
        <v>9</v>
      </c>
    </row>
    <row r="10983" spans="1:7" x14ac:dyDescent="0.35">
      <c r="A10983">
        <v>4364</v>
      </c>
      <c r="B10983" s="1">
        <v>45849</v>
      </c>
      <c r="C10983" t="s">
        <v>12</v>
      </c>
      <c r="D10983" s="2">
        <v>1405</v>
      </c>
      <c r="E10983" s="2">
        <v>0</v>
      </c>
      <c r="F10983" t="s">
        <v>13</v>
      </c>
      <c r="G10983" t="s">
        <v>9</v>
      </c>
    </row>
    <row r="10984" spans="1:7" x14ac:dyDescent="0.35">
      <c r="A10984">
        <v>4364</v>
      </c>
      <c r="B10984" s="1">
        <v>45849</v>
      </c>
      <c r="C10984" t="s">
        <v>12</v>
      </c>
      <c r="D10984" s="2">
        <v>0</v>
      </c>
      <c r="E10984" s="2">
        <v>1306.97</v>
      </c>
      <c r="F10984" t="s">
        <v>14</v>
      </c>
      <c r="G10984" t="s">
        <v>15</v>
      </c>
    </row>
    <row r="10985" spans="1:7" x14ac:dyDescent="0.35">
      <c r="A10985">
        <v>4364</v>
      </c>
      <c r="B10985" s="1">
        <v>45849</v>
      </c>
      <c r="C10985" t="s">
        <v>12</v>
      </c>
      <c r="D10985" s="2">
        <v>0</v>
      </c>
      <c r="E10985" s="2">
        <v>98.03</v>
      </c>
      <c r="F10985" t="s">
        <v>16</v>
      </c>
      <c r="G10985" t="s">
        <v>17</v>
      </c>
    </row>
    <row r="10986" spans="1:7" x14ac:dyDescent="0.35">
      <c r="A10986">
        <v>4365</v>
      </c>
      <c r="B10986" s="1">
        <v>45849</v>
      </c>
      <c r="C10986" t="s">
        <v>12</v>
      </c>
      <c r="D10986" s="2">
        <v>545.11</v>
      </c>
      <c r="E10986" s="2">
        <v>0</v>
      </c>
      <c r="F10986" t="s">
        <v>13</v>
      </c>
      <c r="G10986" t="s">
        <v>9</v>
      </c>
    </row>
    <row r="10987" spans="1:7" x14ac:dyDescent="0.35">
      <c r="A10987">
        <v>4365</v>
      </c>
      <c r="B10987" s="1">
        <v>45849</v>
      </c>
      <c r="C10987" t="s">
        <v>12</v>
      </c>
      <c r="D10987" s="2">
        <v>0</v>
      </c>
      <c r="E10987" s="2">
        <v>507.08</v>
      </c>
      <c r="F10987" t="s">
        <v>14</v>
      </c>
      <c r="G10987" t="s">
        <v>15</v>
      </c>
    </row>
    <row r="10988" spans="1:7" x14ac:dyDescent="0.35">
      <c r="A10988">
        <v>4365</v>
      </c>
      <c r="B10988" s="1">
        <v>45849</v>
      </c>
      <c r="C10988" t="s">
        <v>12</v>
      </c>
      <c r="D10988" s="2">
        <v>0</v>
      </c>
      <c r="E10988" s="2">
        <v>38.03</v>
      </c>
      <c r="F10988" t="s">
        <v>16</v>
      </c>
      <c r="G10988" t="s">
        <v>17</v>
      </c>
    </row>
    <row r="10989" spans="1:7" x14ac:dyDescent="0.35">
      <c r="A10989">
        <v>4366</v>
      </c>
      <c r="B10989" s="1">
        <v>45849</v>
      </c>
      <c r="C10989" t="s">
        <v>12</v>
      </c>
      <c r="D10989" s="2">
        <v>2797.07</v>
      </c>
      <c r="E10989" s="2">
        <v>0</v>
      </c>
      <c r="F10989" t="s">
        <v>13</v>
      </c>
      <c r="G10989" t="s">
        <v>9</v>
      </c>
    </row>
    <row r="10990" spans="1:7" x14ac:dyDescent="0.35">
      <c r="A10990">
        <v>4366</v>
      </c>
      <c r="B10990" s="1">
        <v>45849</v>
      </c>
      <c r="C10990" t="s">
        <v>12</v>
      </c>
      <c r="D10990" s="2">
        <v>0</v>
      </c>
      <c r="E10990" s="2">
        <v>2601.9299999999998</v>
      </c>
      <c r="F10990" t="s">
        <v>14</v>
      </c>
      <c r="G10990" t="s">
        <v>15</v>
      </c>
    </row>
    <row r="10991" spans="1:7" x14ac:dyDescent="0.35">
      <c r="A10991">
        <v>4366</v>
      </c>
      <c r="B10991" s="1">
        <v>45849</v>
      </c>
      <c r="C10991" t="s">
        <v>12</v>
      </c>
      <c r="D10991" s="2">
        <v>0</v>
      </c>
      <c r="E10991" s="2">
        <v>195.14</v>
      </c>
      <c r="F10991" t="s">
        <v>16</v>
      </c>
      <c r="G10991" t="s">
        <v>17</v>
      </c>
    </row>
    <row r="10992" spans="1:7" x14ac:dyDescent="0.35">
      <c r="A10992">
        <v>4367</v>
      </c>
      <c r="B10992" s="1">
        <v>45849</v>
      </c>
      <c r="C10992" t="s">
        <v>12</v>
      </c>
      <c r="D10992" s="2">
        <v>2348.2800000000002</v>
      </c>
      <c r="E10992" s="2">
        <v>0</v>
      </c>
      <c r="F10992" t="s">
        <v>13</v>
      </c>
      <c r="G10992" t="s">
        <v>9</v>
      </c>
    </row>
    <row r="10993" spans="1:7" x14ac:dyDescent="0.35">
      <c r="A10993">
        <v>4367</v>
      </c>
      <c r="B10993" s="1">
        <v>45849</v>
      </c>
      <c r="C10993" t="s">
        <v>12</v>
      </c>
      <c r="D10993" s="2">
        <v>0</v>
      </c>
      <c r="E10993" s="2">
        <v>2184.4499999999998</v>
      </c>
      <c r="F10993" t="s">
        <v>14</v>
      </c>
      <c r="G10993" t="s">
        <v>15</v>
      </c>
    </row>
    <row r="10994" spans="1:7" x14ac:dyDescent="0.35">
      <c r="A10994">
        <v>4367</v>
      </c>
      <c r="B10994" s="1">
        <v>45849</v>
      </c>
      <c r="C10994" t="s">
        <v>12</v>
      </c>
      <c r="D10994" s="2">
        <v>0</v>
      </c>
      <c r="E10994" s="2">
        <v>163.83000000000001</v>
      </c>
      <c r="F10994" t="s">
        <v>16</v>
      </c>
      <c r="G10994" t="s">
        <v>17</v>
      </c>
    </row>
    <row r="10995" spans="1:7" x14ac:dyDescent="0.35">
      <c r="A10995">
        <v>4368</v>
      </c>
      <c r="B10995" s="1">
        <v>45849</v>
      </c>
      <c r="C10995" t="s">
        <v>12</v>
      </c>
      <c r="D10995" s="2">
        <v>2746.45</v>
      </c>
      <c r="E10995" s="2">
        <v>0</v>
      </c>
      <c r="F10995" t="s">
        <v>13</v>
      </c>
      <c r="G10995" t="s">
        <v>9</v>
      </c>
    </row>
    <row r="10996" spans="1:7" x14ac:dyDescent="0.35">
      <c r="A10996">
        <v>4368</v>
      </c>
      <c r="B10996" s="1">
        <v>45849</v>
      </c>
      <c r="C10996" t="s">
        <v>12</v>
      </c>
      <c r="D10996" s="2">
        <v>0</v>
      </c>
      <c r="E10996" s="2">
        <v>2554.84</v>
      </c>
      <c r="F10996" t="s">
        <v>14</v>
      </c>
      <c r="G10996" t="s">
        <v>15</v>
      </c>
    </row>
    <row r="10997" spans="1:7" x14ac:dyDescent="0.35">
      <c r="A10997">
        <v>4368</v>
      </c>
      <c r="B10997" s="1">
        <v>45849</v>
      </c>
      <c r="C10997" t="s">
        <v>12</v>
      </c>
      <c r="D10997" s="2">
        <v>0</v>
      </c>
      <c r="E10997" s="2">
        <v>191.61</v>
      </c>
      <c r="F10997" t="s">
        <v>16</v>
      </c>
      <c r="G10997" t="s">
        <v>17</v>
      </c>
    </row>
    <row r="10998" spans="1:7" x14ac:dyDescent="0.35">
      <c r="A10998">
        <v>4369</v>
      </c>
      <c r="B10998" s="1">
        <v>45849</v>
      </c>
      <c r="C10998" t="s">
        <v>12</v>
      </c>
      <c r="D10998" s="2">
        <v>2974.86</v>
      </c>
      <c r="E10998" s="2">
        <v>0</v>
      </c>
      <c r="F10998" t="s">
        <v>13</v>
      </c>
      <c r="G10998" t="s">
        <v>9</v>
      </c>
    </row>
    <row r="10999" spans="1:7" x14ac:dyDescent="0.35">
      <c r="A10999">
        <v>4369</v>
      </c>
      <c r="B10999" s="1">
        <v>45849</v>
      </c>
      <c r="C10999" t="s">
        <v>12</v>
      </c>
      <c r="D10999" s="2">
        <v>0</v>
      </c>
      <c r="E10999" s="2">
        <v>2767.31</v>
      </c>
      <c r="F10999" t="s">
        <v>14</v>
      </c>
      <c r="G10999" t="s">
        <v>15</v>
      </c>
    </row>
    <row r="11000" spans="1:7" x14ac:dyDescent="0.35">
      <c r="A11000">
        <v>4369</v>
      </c>
      <c r="B11000" s="1">
        <v>45849</v>
      </c>
      <c r="C11000" t="s">
        <v>12</v>
      </c>
      <c r="D11000" s="2">
        <v>0</v>
      </c>
      <c r="E11000" s="2">
        <v>207.55</v>
      </c>
      <c r="F11000" t="s">
        <v>16</v>
      </c>
      <c r="G11000" t="s">
        <v>17</v>
      </c>
    </row>
    <row r="11001" spans="1:7" x14ac:dyDescent="0.35">
      <c r="A11001">
        <v>4370</v>
      </c>
      <c r="B11001" s="1">
        <v>45849</v>
      </c>
      <c r="C11001" t="s">
        <v>12</v>
      </c>
      <c r="D11001" s="2">
        <v>2907.9</v>
      </c>
      <c r="E11001" s="2">
        <v>0</v>
      </c>
      <c r="F11001" t="s">
        <v>13</v>
      </c>
      <c r="G11001" t="s">
        <v>9</v>
      </c>
    </row>
    <row r="11002" spans="1:7" x14ac:dyDescent="0.35">
      <c r="A11002">
        <v>4370</v>
      </c>
      <c r="B11002" s="1">
        <v>45849</v>
      </c>
      <c r="C11002" t="s">
        <v>12</v>
      </c>
      <c r="D11002" s="2">
        <v>0</v>
      </c>
      <c r="E11002" s="2">
        <v>2705.03</v>
      </c>
      <c r="F11002" t="s">
        <v>14</v>
      </c>
      <c r="G11002" t="s">
        <v>15</v>
      </c>
    </row>
    <row r="11003" spans="1:7" x14ac:dyDescent="0.35">
      <c r="A11003">
        <v>4370</v>
      </c>
      <c r="B11003" s="1">
        <v>45849</v>
      </c>
      <c r="C11003" t="s">
        <v>12</v>
      </c>
      <c r="D11003" s="2">
        <v>0</v>
      </c>
      <c r="E11003" s="2">
        <v>202.87</v>
      </c>
      <c r="F11003" t="s">
        <v>16</v>
      </c>
      <c r="G11003" t="s">
        <v>17</v>
      </c>
    </row>
    <row r="11004" spans="1:7" x14ac:dyDescent="0.35">
      <c r="A11004">
        <v>4371</v>
      </c>
      <c r="B11004" s="1">
        <v>45849</v>
      </c>
      <c r="C11004" t="s">
        <v>24</v>
      </c>
      <c r="D11004" s="2">
        <v>4023.98</v>
      </c>
      <c r="E11004" s="2">
        <v>0</v>
      </c>
      <c r="F11004" t="s">
        <v>8</v>
      </c>
      <c r="G11004" t="s">
        <v>9</v>
      </c>
    </row>
    <row r="11005" spans="1:7" x14ac:dyDescent="0.35">
      <c r="A11005">
        <v>4371</v>
      </c>
      <c r="B11005" s="1">
        <v>45849</v>
      </c>
      <c r="C11005" t="s">
        <v>24</v>
      </c>
      <c r="D11005" s="2">
        <v>0</v>
      </c>
      <c r="E11005" s="2">
        <v>4023.98</v>
      </c>
      <c r="F11005" t="s">
        <v>13</v>
      </c>
      <c r="G11005" t="s">
        <v>9</v>
      </c>
    </row>
    <row r="11006" spans="1:7" x14ac:dyDescent="0.35">
      <c r="A11006">
        <v>4372</v>
      </c>
      <c r="B11006" s="1">
        <v>45849</v>
      </c>
      <c r="C11006" t="s">
        <v>24</v>
      </c>
      <c r="D11006" s="2">
        <v>2862.69</v>
      </c>
      <c r="E11006" s="2">
        <v>0</v>
      </c>
      <c r="F11006" t="s">
        <v>8</v>
      </c>
      <c r="G11006" t="s">
        <v>9</v>
      </c>
    </row>
    <row r="11007" spans="1:7" x14ac:dyDescent="0.35">
      <c r="A11007">
        <v>4372</v>
      </c>
      <c r="B11007" s="1">
        <v>45849</v>
      </c>
      <c r="C11007" t="s">
        <v>24</v>
      </c>
      <c r="D11007" s="2">
        <v>0</v>
      </c>
      <c r="E11007" s="2">
        <v>2862.69</v>
      </c>
      <c r="F11007" t="s">
        <v>13</v>
      </c>
      <c r="G11007" t="s">
        <v>9</v>
      </c>
    </row>
    <row r="11008" spans="1:7" x14ac:dyDescent="0.35">
      <c r="A11008">
        <v>4373</v>
      </c>
      <c r="B11008" s="1">
        <v>45849</v>
      </c>
      <c r="C11008" t="s">
        <v>24</v>
      </c>
      <c r="D11008" s="2">
        <v>1931.07</v>
      </c>
      <c r="E11008" s="2">
        <v>0</v>
      </c>
      <c r="F11008" t="s">
        <v>8</v>
      </c>
      <c r="G11008" t="s">
        <v>9</v>
      </c>
    </row>
    <row r="11009" spans="1:7" x14ac:dyDescent="0.35">
      <c r="A11009">
        <v>4373</v>
      </c>
      <c r="B11009" s="1">
        <v>45849</v>
      </c>
      <c r="C11009" t="s">
        <v>24</v>
      </c>
      <c r="D11009" s="2">
        <v>0</v>
      </c>
      <c r="E11009" s="2">
        <v>1931.07</v>
      </c>
      <c r="F11009" t="s">
        <v>13</v>
      </c>
      <c r="G11009" t="s">
        <v>9</v>
      </c>
    </row>
    <row r="11010" spans="1:7" x14ac:dyDescent="0.35">
      <c r="A11010">
        <v>4374</v>
      </c>
      <c r="B11010" s="1">
        <v>45849</v>
      </c>
      <c r="C11010" t="s">
        <v>24</v>
      </c>
      <c r="D11010" s="2">
        <v>2202.6999999999998</v>
      </c>
      <c r="E11010" s="2">
        <v>0</v>
      </c>
      <c r="F11010" t="s">
        <v>8</v>
      </c>
      <c r="G11010" t="s">
        <v>9</v>
      </c>
    </row>
    <row r="11011" spans="1:7" x14ac:dyDescent="0.35">
      <c r="A11011">
        <v>4374</v>
      </c>
      <c r="B11011" s="1">
        <v>45849</v>
      </c>
      <c r="C11011" t="s">
        <v>24</v>
      </c>
      <c r="D11011" s="2">
        <v>0</v>
      </c>
      <c r="E11011" s="2">
        <v>2202.6999999999998</v>
      </c>
      <c r="F11011" t="s">
        <v>13</v>
      </c>
      <c r="G11011" t="s">
        <v>9</v>
      </c>
    </row>
    <row r="11012" spans="1:7" x14ac:dyDescent="0.35">
      <c r="A11012">
        <v>4375</v>
      </c>
      <c r="B11012" s="1">
        <v>45849</v>
      </c>
      <c r="C11012" t="s">
        <v>24</v>
      </c>
      <c r="D11012" s="2">
        <v>1568.59</v>
      </c>
      <c r="E11012" s="2">
        <v>0</v>
      </c>
      <c r="F11012" t="s">
        <v>8</v>
      </c>
      <c r="G11012" t="s">
        <v>9</v>
      </c>
    </row>
    <row r="11013" spans="1:7" x14ac:dyDescent="0.35">
      <c r="A11013">
        <v>4375</v>
      </c>
      <c r="B11013" s="1">
        <v>45849</v>
      </c>
      <c r="C11013" t="s">
        <v>24</v>
      </c>
      <c r="D11013" s="2">
        <v>0</v>
      </c>
      <c r="E11013" s="2">
        <v>1568.59</v>
      </c>
      <c r="F11013" t="s">
        <v>13</v>
      </c>
      <c r="G11013" t="s">
        <v>9</v>
      </c>
    </row>
    <row r="11014" spans="1:7" x14ac:dyDescent="0.35">
      <c r="A11014">
        <v>4376</v>
      </c>
      <c r="B11014" s="1">
        <v>45849</v>
      </c>
      <c r="C11014" t="s">
        <v>24</v>
      </c>
      <c r="D11014" s="2">
        <v>2938.89</v>
      </c>
      <c r="E11014" s="2">
        <v>0</v>
      </c>
      <c r="F11014" t="s">
        <v>8</v>
      </c>
      <c r="G11014" t="s">
        <v>9</v>
      </c>
    </row>
    <row r="11015" spans="1:7" x14ac:dyDescent="0.35">
      <c r="A11015">
        <v>4376</v>
      </c>
      <c r="B11015" s="1">
        <v>45849</v>
      </c>
      <c r="C11015" t="s">
        <v>24</v>
      </c>
      <c r="D11015" s="2">
        <v>0</v>
      </c>
      <c r="E11015" s="2">
        <v>2938.89</v>
      </c>
      <c r="F11015" t="s">
        <v>13</v>
      </c>
      <c r="G11015" t="s">
        <v>9</v>
      </c>
    </row>
    <row r="11016" spans="1:7" x14ac:dyDescent="0.35">
      <c r="A11016">
        <v>4377</v>
      </c>
      <c r="B11016" s="1">
        <v>45849</v>
      </c>
      <c r="C11016" t="s">
        <v>24</v>
      </c>
      <c r="D11016" s="2">
        <v>44.64</v>
      </c>
      <c r="E11016" s="2">
        <v>0</v>
      </c>
      <c r="F11016" t="s">
        <v>8</v>
      </c>
      <c r="G11016" t="s">
        <v>9</v>
      </c>
    </row>
    <row r="11017" spans="1:7" x14ac:dyDescent="0.35">
      <c r="A11017">
        <v>4377</v>
      </c>
      <c r="B11017" s="1">
        <v>45849</v>
      </c>
      <c r="C11017" t="s">
        <v>24</v>
      </c>
      <c r="D11017" s="2">
        <v>0</v>
      </c>
      <c r="E11017" s="2">
        <v>44.64</v>
      </c>
      <c r="F11017" t="s">
        <v>13</v>
      </c>
      <c r="G11017" t="s">
        <v>9</v>
      </c>
    </row>
    <row r="11018" spans="1:7" x14ac:dyDescent="0.35">
      <c r="A11018">
        <v>4378</v>
      </c>
      <c r="B11018" s="1">
        <v>45849</v>
      </c>
      <c r="C11018" t="s">
        <v>24</v>
      </c>
      <c r="D11018" s="2">
        <v>2569.65</v>
      </c>
      <c r="E11018" s="2">
        <v>0</v>
      </c>
      <c r="F11018" t="s">
        <v>8</v>
      </c>
      <c r="G11018" t="s">
        <v>9</v>
      </c>
    </row>
    <row r="11019" spans="1:7" x14ac:dyDescent="0.35">
      <c r="A11019">
        <v>4378</v>
      </c>
      <c r="B11019" s="1">
        <v>45849</v>
      </c>
      <c r="C11019" t="s">
        <v>24</v>
      </c>
      <c r="D11019" s="2">
        <v>0</v>
      </c>
      <c r="E11019" s="2">
        <v>2569.65</v>
      </c>
      <c r="F11019" t="s">
        <v>13</v>
      </c>
      <c r="G11019" t="s">
        <v>9</v>
      </c>
    </row>
    <row r="11020" spans="1:7" x14ac:dyDescent="0.35">
      <c r="A11020">
        <v>4379</v>
      </c>
      <c r="B11020" s="1">
        <v>45849</v>
      </c>
      <c r="C11020" t="s">
        <v>24</v>
      </c>
      <c r="D11020" s="2">
        <v>590.71</v>
      </c>
      <c r="E11020" s="2">
        <v>0</v>
      </c>
      <c r="F11020" t="s">
        <v>8</v>
      </c>
      <c r="G11020" t="s">
        <v>9</v>
      </c>
    </row>
    <row r="11021" spans="1:7" x14ac:dyDescent="0.35">
      <c r="A11021">
        <v>4379</v>
      </c>
      <c r="B11021" s="1">
        <v>45849</v>
      </c>
      <c r="C11021" t="s">
        <v>24</v>
      </c>
      <c r="D11021" s="2">
        <v>0</v>
      </c>
      <c r="E11021" s="2">
        <v>590.71</v>
      </c>
      <c r="F11021" t="s">
        <v>13</v>
      </c>
      <c r="G11021" t="s">
        <v>9</v>
      </c>
    </row>
    <row r="11022" spans="1:7" x14ac:dyDescent="0.35">
      <c r="A11022">
        <v>4380</v>
      </c>
      <c r="B11022" s="1">
        <v>45849</v>
      </c>
      <c r="C11022" t="s">
        <v>24</v>
      </c>
      <c r="D11022" s="2">
        <v>2672.31</v>
      </c>
      <c r="E11022" s="2">
        <v>0</v>
      </c>
      <c r="F11022" t="s">
        <v>8</v>
      </c>
      <c r="G11022" t="s">
        <v>9</v>
      </c>
    </row>
    <row r="11023" spans="1:7" x14ac:dyDescent="0.35">
      <c r="A11023">
        <v>4380</v>
      </c>
      <c r="B11023" s="1">
        <v>45849</v>
      </c>
      <c r="C11023" t="s">
        <v>24</v>
      </c>
      <c r="D11023" s="2">
        <v>0</v>
      </c>
      <c r="E11023" s="2">
        <v>2672.31</v>
      </c>
      <c r="F11023" t="s">
        <v>13</v>
      </c>
      <c r="G11023" t="s">
        <v>9</v>
      </c>
    </row>
    <row r="11024" spans="1:7" x14ac:dyDescent="0.35">
      <c r="A11024">
        <v>4381</v>
      </c>
      <c r="B11024" s="1">
        <v>45849</v>
      </c>
      <c r="C11024" t="s">
        <v>24</v>
      </c>
      <c r="D11024" s="2">
        <v>824.32</v>
      </c>
      <c r="E11024" s="2">
        <v>0</v>
      </c>
      <c r="F11024" t="s">
        <v>8</v>
      </c>
      <c r="G11024" t="s">
        <v>9</v>
      </c>
    </row>
    <row r="11025" spans="1:7" x14ac:dyDescent="0.35">
      <c r="A11025">
        <v>4381</v>
      </c>
      <c r="B11025" s="1">
        <v>45849</v>
      </c>
      <c r="C11025" t="s">
        <v>24</v>
      </c>
      <c r="D11025" s="2">
        <v>0</v>
      </c>
      <c r="E11025" s="2">
        <v>824.32</v>
      </c>
      <c r="F11025" t="s">
        <v>13</v>
      </c>
      <c r="G11025" t="s">
        <v>9</v>
      </c>
    </row>
    <row r="11026" spans="1:7" x14ac:dyDescent="0.35">
      <c r="A11026">
        <v>4382</v>
      </c>
      <c r="B11026" s="1">
        <v>45849</v>
      </c>
      <c r="C11026" t="s">
        <v>24</v>
      </c>
      <c r="D11026" s="2">
        <v>2955.42</v>
      </c>
      <c r="E11026" s="2">
        <v>0</v>
      </c>
      <c r="F11026" t="s">
        <v>8</v>
      </c>
      <c r="G11026" t="s">
        <v>9</v>
      </c>
    </row>
    <row r="11027" spans="1:7" x14ac:dyDescent="0.35">
      <c r="A11027">
        <v>4382</v>
      </c>
      <c r="B11027" s="1">
        <v>45849</v>
      </c>
      <c r="C11027" t="s">
        <v>24</v>
      </c>
      <c r="D11027" s="2">
        <v>0</v>
      </c>
      <c r="E11027" s="2">
        <v>2955.42</v>
      </c>
      <c r="F11027" t="s">
        <v>13</v>
      </c>
      <c r="G11027" t="s">
        <v>9</v>
      </c>
    </row>
    <row r="11028" spans="1:7" x14ac:dyDescent="0.35">
      <c r="A11028">
        <v>4383</v>
      </c>
      <c r="B11028" s="1">
        <v>45849</v>
      </c>
      <c r="C11028" t="s">
        <v>25</v>
      </c>
      <c r="D11028" s="2">
        <v>1947.24</v>
      </c>
      <c r="E11028" s="2">
        <v>0</v>
      </c>
      <c r="F11028" t="s">
        <v>26</v>
      </c>
      <c r="G11028" t="s">
        <v>20</v>
      </c>
    </row>
    <row r="11029" spans="1:7" x14ac:dyDescent="0.35">
      <c r="A11029">
        <v>4383</v>
      </c>
      <c r="B11029" s="1">
        <v>45849</v>
      </c>
      <c r="C11029" t="s">
        <v>25</v>
      </c>
      <c r="D11029" s="2">
        <v>146.04</v>
      </c>
      <c r="E11029" s="2">
        <v>0</v>
      </c>
      <c r="F11029" t="s">
        <v>27</v>
      </c>
      <c r="G11029" t="s">
        <v>9</v>
      </c>
    </row>
    <row r="11030" spans="1:7" x14ac:dyDescent="0.35">
      <c r="A11030">
        <v>4383</v>
      </c>
      <c r="B11030" s="1">
        <v>45849</v>
      </c>
      <c r="C11030" t="s">
        <v>25</v>
      </c>
      <c r="D11030" s="2">
        <v>0</v>
      </c>
      <c r="E11030" s="2">
        <v>2093.2800000000002</v>
      </c>
      <c r="F11030" t="s">
        <v>28</v>
      </c>
      <c r="G11030" t="s">
        <v>17</v>
      </c>
    </row>
    <row r="11031" spans="1:7" x14ac:dyDescent="0.35">
      <c r="A11031">
        <v>4384</v>
      </c>
      <c r="B11031" s="1">
        <v>45849</v>
      </c>
      <c r="C11031" t="s">
        <v>25</v>
      </c>
      <c r="D11031" s="2">
        <v>2329.52</v>
      </c>
      <c r="E11031" s="2">
        <v>0</v>
      </c>
      <c r="F11031" t="s">
        <v>26</v>
      </c>
      <c r="G11031" t="s">
        <v>20</v>
      </c>
    </row>
    <row r="11032" spans="1:7" x14ac:dyDescent="0.35">
      <c r="A11032">
        <v>4384</v>
      </c>
      <c r="B11032" s="1">
        <v>45849</v>
      </c>
      <c r="C11032" t="s">
        <v>25</v>
      </c>
      <c r="D11032" s="2">
        <v>174.71</v>
      </c>
      <c r="E11032" s="2">
        <v>0</v>
      </c>
      <c r="F11032" t="s">
        <v>27</v>
      </c>
      <c r="G11032" t="s">
        <v>9</v>
      </c>
    </row>
    <row r="11033" spans="1:7" x14ac:dyDescent="0.35">
      <c r="A11033">
        <v>4384</v>
      </c>
      <c r="B11033" s="1">
        <v>45849</v>
      </c>
      <c r="C11033" t="s">
        <v>25</v>
      </c>
      <c r="D11033" s="2">
        <v>0</v>
      </c>
      <c r="E11033" s="2">
        <v>2504.23</v>
      </c>
      <c r="F11033" t="s">
        <v>28</v>
      </c>
      <c r="G11033" t="s">
        <v>17</v>
      </c>
    </row>
    <row r="11034" spans="1:7" x14ac:dyDescent="0.35">
      <c r="A11034">
        <v>4385</v>
      </c>
      <c r="B11034" s="1">
        <v>45849</v>
      </c>
      <c r="C11034" t="s">
        <v>25</v>
      </c>
      <c r="D11034" s="2">
        <v>257.04000000000002</v>
      </c>
      <c r="E11034" s="2">
        <v>0</v>
      </c>
      <c r="F11034" t="s">
        <v>26</v>
      </c>
      <c r="G11034" t="s">
        <v>20</v>
      </c>
    </row>
    <row r="11035" spans="1:7" x14ac:dyDescent="0.35">
      <c r="A11035">
        <v>4385</v>
      </c>
      <c r="B11035" s="1">
        <v>45849</v>
      </c>
      <c r="C11035" t="s">
        <v>25</v>
      </c>
      <c r="D11035" s="2">
        <v>19.28</v>
      </c>
      <c r="E11035" s="2">
        <v>0</v>
      </c>
      <c r="F11035" t="s">
        <v>27</v>
      </c>
      <c r="G11035" t="s">
        <v>9</v>
      </c>
    </row>
    <row r="11036" spans="1:7" x14ac:dyDescent="0.35">
      <c r="A11036">
        <v>4385</v>
      </c>
      <c r="B11036" s="1">
        <v>45849</v>
      </c>
      <c r="C11036" t="s">
        <v>25</v>
      </c>
      <c r="D11036" s="2">
        <v>0</v>
      </c>
      <c r="E11036" s="2">
        <v>276.32</v>
      </c>
      <c r="F11036" t="s">
        <v>28</v>
      </c>
      <c r="G11036" t="s">
        <v>17</v>
      </c>
    </row>
    <row r="11037" spans="1:7" x14ac:dyDescent="0.35">
      <c r="A11037">
        <v>4386</v>
      </c>
      <c r="B11037" s="1">
        <v>45849</v>
      </c>
      <c r="C11037" t="s">
        <v>29</v>
      </c>
      <c r="D11037" s="2">
        <v>4812.46</v>
      </c>
      <c r="E11037" s="2">
        <v>0</v>
      </c>
      <c r="F11037" t="s">
        <v>28</v>
      </c>
      <c r="G11037" t="s">
        <v>17</v>
      </c>
    </row>
    <row r="11038" spans="1:7" x14ac:dyDescent="0.35">
      <c r="A11038">
        <v>4386</v>
      </c>
      <c r="B11038" s="1">
        <v>45849</v>
      </c>
      <c r="C11038" t="s">
        <v>29</v>
      </c>
      <c r="D11038" s="2">
        <v>0</v>
      </c>
      <c r="E11038" s="2">
        <v>4812.46</v>
      </c>
      <c r="F11038" t="s">
        <v>8</v>
      </c>
      <c r="G11038" t="s">
        <v>9</v>
      </c>
    </row>
    <row r="11039" spans="1:7" x14ac:dyDescent="0.35">
      <c r="A11039">
        <v>4387</v>
      </c>
      <c r="B11039" s="1">
        <v>45852</v>
      </c>
      <c r="C11039" t="s">
        <v>12</v>
      </c>
      <c r="D11039" s="2">
        <v>3232.39</v>
      </c>
      <c r="E11039" s="2">
        <v>0</v>
      </c>
      <c r="F11039" t="s">
        <v>13</v>
      </c>
      <c r="G11039" t="s">
        <v>9</v>
      </c>
    </row>
    <row r="11040" spans="1:7" x14ac:dyDescent="0.35">
      <c r="A11040">
        <v>4387</v>
      </c>
      <c r="B11040" s="1">
        <v>45852</v>
      </c>
      <c r="C11040" t="s">
        <v>12</v>
      </c>
      <c r="D11040" s="2">
        <v>0</v>
      </c>
      <c r="E11040" s="2">
        <v>3006.87</v>
      </c>
      <c r="F11040" t="s">
        <v>14</v>
      </c>
      <c r="G11040" t="s">
        <v>15</v>
      </c>
    </row>
    <row r="11041" spans="1:7" x14ac:dyDescent="0.35">
      <c r="A11041">
        <v>4387</v>
      </c>
      <c r="B11041" s="1">
        <v>45852</v>
      </c>
      <c r="C11041" t="s">
        <v>12</v>
      </c>
      <c r="D11041" s="2">
        <v>0</v>
      </c>
      <c r="E11041" s="2">
        <v>225.52</v>
      </c>
      <c r="F11041" t="s">
        <v>16</v>
      </c>
      <c r="G11041" t="s">
        <v>17</v>
      </c>
    </row>
    <row r="11042" spans="1:7" x14ac:dyDescent="0.35">
      <c r="A11042">
        <v>4388</v>
      </c>
      <c r="B11042" s="1">
        <v>45852</v>
      </c>
      <c r="C11042" t="s">
        <v>12</v>
      </c>
      <c r="D11042" s="2">
        <v>2534.46</v>
      </c>
      <c r="E11042" s="2">
        <v>0</v>
      </c>
      <c r="F11042" t="s">
        <v>13</v>
      </c>
      <c r="G11042" t="s">
        <v>9</v>
      </c>
    </row>
    <row r="11043" spans="1:7" x14ac:dyDescent="0.35">
      <c r="A11043">
        <v>4388</v>
      </c>
      <c r="B11043" s="1">
        <v>45852</v>
      </c>
      <c r="C11043" t="s">
        <v>12</v>
      </c>
      <c r="D11043" s="2">
        <v>0</v>
      </c>
      <c r="E11043" s="2">
        <v>2357.64</v>
      </c>
      <c r="F11043" t="s">
        <v>14</v>
      </c>
      <c r="G11043" t="s">
        <v>15</v>
      </c>
    </row>
    <row r="11044" spans="1:7" x14ac:dyDescent="0.35">
      <c r="A11044">
        <v>4388</v>
      </c>
      <c r="B11044" s="1">
        <v>45852</v>
      </c>
      <c r="C11044" t="s">
        <v>12</v>
      </c>
      <c r="D11044" s="2">
        <v>0</v>
      </c>
      <c r="E11044" s="2">
        <v>176.82</v>
      </c>
      <c r="F11044" t="s">
        <v>16</v>
      </c>
      <c r="G11044" t="s">
        <v>17</v>
      </c>
    </row>
    <row r="11045" spans="1:7" x14ac:dyDescent="0.35">
      <c r="A11045">
        <v>4389</v>
      </c>
      <c r="B11045" s="1">
        <v>45852</v>
      </c>
      <c r="C11045" t="s">
        <v>12</v>
      </c>
      <c r="D11045" s="2">
        <v>1190.6500000000001</v>
      </c>
      <c r="E11045" s="2">
        <v>0</v>
      </c>
      <c r="F11045" t="s">
        <v>13</v>
      </c>
      <c r="G11045" t="s">
        <v>9</v>
      </c>
    </row>
    <row r="11046" spans="1:7" x14ac:dyDescent="0.35">
      <c r="A11046">
        <v>4389</v>
      </c>
      <c r="B11046" s="1">
        <v>45852</v>
      </c>
      <c r="C11046" t="s">
        <v>12</v>
      </c>
      <c r="D11046" s="2">
        <v>0</v>
      </c>
      <c r="E11046" s="2">
        <v>1107.58</v>
      </c>
      <c r="F11046" t="s">
        <v>14</v>
      </c>
      <c r="G11046" t="s">
        <v>15</v>
      </c>
    </row>
    <row r="11047" spans="1:7" x14ac:dyDescent="0.35">
      <c r="A11047">
        <v>4389</v>
      </c>
      <c r="B11047" s="1">
        <v>45852</v>
      </c>
      <c r="C11047" t="s">
        <v>12</v>
      </c>
      <c r="D11047" s="2">
        <v>0</v>
      </c>
      <c r="E11047" s="2">
        <v>83.07</v>
      </c>
      <c r="F11047" t="s">
        <v>16</v>
      </c>
      <c r="G11047" t="s">
        <v>17</v>
      </c>
    </row>
    <row r="11048" spans="1:7" x14ac:dyDescent="0.35">
      <c r="A11048">
        <v>4390</v>
      </c>
      <c r="B11048" s="1">
        <v>45852</v>
      </c>
      <c r="C11048" t="s">
        <v>12</v>
      </c>
      <c r="D11048" s="2">
        <v>2221.1</v>
      </c>
      <c r="E11048" s="2">
        <v>0</v>
      </c>
      <c r="F11048" t="s">
        <v>13</v>
      </c>
      <c r="G11048" t="s">
        <v>9</v>
      </c>
    </row>
    <row r="11049" spans="1:7" x14ac:dyDescent="0.35">
      <c r="A11049">
        <v>4390</v>
      </c>
      <c r="B11049" s="1">
        <v>45852</v>
      </c>
      <c r="C11049" t="s">
        <v>12</v>
      </c>
      <c r="D11049" s="2">
        <v>0</v>
      </c>
      <c r="E11049" s="2">
        <v>2066.14</v>
      </c>
      <c r="F11049" t="s">
        <v>14</v>
      </c>
      <c r="G11049" t="s">
        <v>15</v>
      </c>
    </row>
    <row r="11050" spans="1:7" x14ac:dyDescent="0.35">
      <c r="A11050">
        <v>4390</v>
      </c>
      <c r="B11050" s="1">
        <v>45852</v>
      </c>
      <c r="C11050" t="s">
        <v>12</v>
      </c>
      <c r="D11050" s="2">
        <v>0</v>
      </c>
      <c r="E11050" s="2">
        <v>154.96</v>
      </c>
      <c r="F11050" t="s">
        <v>16</v>
      </c>
      <c r="G11050" t="s">
        <v>17</v>
      </c>
    </row>
    <row r="11051" spans="1:7" x14ac:dyDescent="0.35">
      <c r="A11051">
        <v>4391</v>
      </c>
      <c r="B11051" s="1">
        <v>45852</v>
      </c>
      <c r="C11051" t="s">
        <v>12</v>
      </c>
      <c r="D11051" s="2">
        <v>3487.38</v>
      </c>
      <c r="E11051" s="2">
        <v>0</v>
      </c>
      <c r="F11051" t="s">
        <v>13</v>
      </c>
      <c r="G11051" t="s">
        <v>9</v>
      </c>
    </row>
    <row r="11052" spans="1:7" x14ac:dyDescent="0.35">
      <c r="A11052">
        <v>4391</v>
      </c>
      <c r="B11052" s="1">
        <v>45852</v>
      </c>
      <c r="C11052" t="s">
        <v>12</v>
      </c>
      <c r="D11052" s="2">
        <v>0</v>
      </c>
      <c r="E11052" s="2">
        <v>3244.07</v>
      </c>
      <c r="F11052" t="s">
        <v>14</v>
      </c>
      <c r="G11052" t="s">
        <v>15</v>
      </c>
    </row>
    <row r="11053" spans="1:7" x14ac:dyDescent="0.35">
      <c r="A11053">
        <v>4391</v>
      </c>
      <c r="B11053" s="1">
        <v>45852</v>
      </c>
      <c r="C11053" t="s">
        <v>12</v>
      </c>
      <c r="D11053" s="2">
        <v>0</v>
      </c>
      <c r="E11053" s="2">
        <v>243.31</v>
      </c>
      <c r="F11053" t="s">
        <v>16</v>
      </c>
      <c r="G11053" t="s">
        <v>17</v>
      </c>
    </row>
    <row r="11054" spans="1:7" x14ac:dyDescent="0.35">
      <c r="A11054">
        <v>4392</v>
      </c>
      <c r="B11054" s="1">
        <v>45852</v>
      </c>
      <c r="C11054" t="s">
        <v>24</v>
      </c>
      <c r="D11054" s="2">
        <v>2980.75</v>
      </c>
      <c r="E11054" s="2">
        <v>0</v>
      </c>
      <c r="F11054" t="s">
        <v>8</v>
      </c>
      <c r="G11054" t="s">
        <v>9</v>
      </c>
    </row>
    <row r="11055" spans="1:7" x14ac:dyDescent="0.35">
      <c r="A11055">
        <v>4392</v>
      </c>
      <c r="B11055" s="1">
        <v>45852</v>
      </c>
      <c r="C11055" t="s">
        <v>24</v>
      </c>
      <c r="D11055" s="2">
        <v>0</v>
      </c>
      <c r="E11055" s="2">
        <v>2980.75</v>
      </c>
      <c r="F11055" t="s">
        <v>13</v>
      </c>
      <c r="G11055" t="s">
        <v>9</v>
      </c>
    </row>
    <row r="11056" spans="1:7" x14ac:dyDescent="0.35">
      <c r="A11056">
        <v>4393</v>
      </c>
      <c r="B11056" s="1">
        <v>45852</v>
      </c>
      <c r="C11056" t="s">
        <v>24</v>
      </c>
      <c r="D11056" s="2">
        <v>39.14</v>
      </c>
      <c r="E11056" s="2">
        <v>0</v>
      </c>
      <c r="F11056" t="s">
        <v>8</v>
      </c>
      <c r="G11056" t="s">
        <v>9</v>
      </c>
    </row>
    <row r="11057" spans="1:7" x14ac:dyDescent="0.35">
      <c r="A11057">
        <v>4393</v>
      </c>
      <c r="B11057" s="1">
        <v>45852</v>
      </c>
      <c r="C11057" t="s">
        <v>24</v>
      </c>
      <c r="D11057" s="2">
        <v>0</v>
      </c>
      <c r="E11057" s="2">
        <v>39.14</v>
      </c>
      <c r="F11057" t="s">
        <v>13</v>
      </c>
      <c r="G11057" t="s">
        <v>9</v>
      </c>
    </row>
    <row r="11058" spans="1:7" x14ac:dyDescent="0.35">
      <c r="A11058">
        <v>4394</v>
      </c>
      <c r="B11058" s="1">
        <v>45852</v>
      </c>
      <c r="C11058" t="s">
        <v>24</v>
      </c>
      <c r="D11058" s="2">
        <v>1966.43</v>
      </c>
      <c r="E11058" s="2">
        <v>0</v>
      </c>
      <c r="F11058" t="s">
        <v>8</v>
      </c>
      <c r="G11058" t="s">
        <v>9</v>
      </c>
    </row>
    <row r="11059" spans="1:7" x14ac:dyDescent="0.35">
      <c r="A11059">
        <v>4394</v>
      </c>
      <c r="B11059" s="1">
        <v>45852</v>
      </c>
      <c r="C11059" t="s">
        <v>24</v>
      </c>
      <c r="D11059" s="2">
        <v>0</v>
      </c>
      <c r="E11059" s="2">
        <v>1966.43</v>
      </c>
      <c r="F11059" t="s">
        <v>13</v>
      </c>
      <c r="G11059" t="s">
        <v>9</v>
      </c>
    </row>
    <row r="11060" spans="1:7" x14ac:dyDescent="0.35">
      <c r="A11060">
        <v>4395</v>
      </c>
      <c r="B11060" s="1">
        <v>45852</v>
      </c>
      <c r="C11060" t="s">
        <v>24</v>
      </c>
      <c r="D11060" s="2">
        <v>956.92</v>
      </c>
      <c r="E11060" s="2">
        <v>0</v>
      </c>
      <c r="F11060" t="s">
        <v>8</v>
      </c>
      <c r="G11060" t="s">
        <v>9</v>
      </c>
    </row>
    <row r="11061" spans="1:7" x14ac:dyDescent="0.35">
      <c r="A11061">
        <v>4395</v>
      </c>
      <c r="B11061" s="1">
        <v>45852</v>
      </c>
      <c r="C11061" t="s">
        <v>24</v>
      </c>
      <c r="D11061" s="2">
        <v>0</v>
      </c>
      <c r="E11061" s="2">
        <v>956.92</v>
      </c>
      <c r="F11061" t="s">
        <v>13</v>
      </c>
      <c r="G11061" t="s">
        <v>9</v>
      </c>
    </row>
    <row r="11062" spans="1:7" x14ac:dyDescent="0.35">
      <c r="A11062">
        <v>4396</v>
      </c>
      <c r="B11062" s="1">
        <v>45852</v>
      </c>
      <c r="C11062" t="s">
        <v>24</v>
      </c>
      <c r="D11062" s="2">
        <v>1719.99</v>
      </c>
      <c r="E11062" s="2">
        <v>0</v>
      </c>
      <c r="F11062" t="s">
        <v>8</v>
      </c>
      <c r="G11062" t="s">
        <v>9</v>
      </c>
    </row>
    <row r="11063" spans="1:7" x14ac:dyDescent="0.35">
      <c r="A11063">
        <v>4396</v>
      </c>
      <c r="B11063" s="1">
        <v>45852</v>
      </c>
      <c r="C11063" t="s">
        <v>24</v>
      </c>
      <c r="D11063" s="2">
        <v>0</v>
      </c>
      <c r="E11063" s="2">
        <v>1719.99</v>
      </c>
      <c r="F11063" t="s">
        <v>13</v>
      </c>
      <c r="G11063" t="s">
        <v>9</v>
      </c>
    </row>
    <row r="11064" spans="1:7" x14ac:dyDescent="0.35">
      <c r="A11064">
        <v>4397</v>
      </c>
      <c r="B11064" s="1">
        <v>45852</v>
      </c>
      <c r="C11064" t="s">
        <v>24</v>
      </c>
      <c r="D11064" s="2">
        <v>545.11</v>
      </c>
      <c r="E11064" s="2">
        <v>0</v>
      </c>
      <c r="F11064" t="s">
        <v>8</v>
      </c>
      <c r="G11064" t="s">
        <v>9</v>
      </c>
    </row>
    <row r="11065" spans="1:7" x14ac:dyDescent="0.35">
      <c r="A11065">
        <v>4397</v>
      </c>
      <c r="B11065" s="1">
        <v>45852</v>
      </c>
      <c r="C11065" t="s">
        <v>24</v>
      </c>
      <c r="D11065" s="2">
        <v>0</v>
      </c>
      <c r="E11065" s="2">
        <v>545.11</v>
      </c>
      <c r="F11065" t="s">
        <v>13</v>
      </c>
      <c r="G11065" t="s">
        <v>9</v>
      </c>
    </row>
    <row r="11066" spans="1:7" x14ac:dyDescent="0.35">
      <c r="A11066">
        <v>4398</v>
      </c>
      <c r="B11066" s="1">
        <v>45852</v>
      </c>
      <c r="C11066" t="s">
        <v>25</v>
      </c>
      <c r="D11066" s="2">
        <v>1800.04</v>
      </c>
      <c r="E11066" s="2">
        <v>0</v>
      </c>
      <c r="F11066" t="s">
        <v>26</v>
      </c>
      <c r="G11066" t="s">
        <v>20</v>
      </c>
    </row>
    <row r="11067" spans="1:7" x14ac:dyDescent="0.35">
      <c r="A11067">
        <v>4398</v>
      </c>
      <c r="B11067" s="1">
        <v>45852</v>
      </c>
      <c r="C11067" t="s">
        <v>25</v>
      </c>
      <c r="D11067" s="2">
        <v>135</v>
      </c>
      <c r="E11067" s="2">
        <v>0</v>
      </c>
      <c r="F11067" t="s">
        <v>27</v>
      </c>
      <c r="G11067" t="s">
        <v>9</v>
      </c>
    </row>
    <row r="11068" spans="1:7" x14ac:dyDescent="0.35">
      <c r="A11068">
        <v>4398</v>
      </c>
      <c r="B11068" s="1">
        <v>45852</v>
      </c>
      <c r="C11068" t="s">
        <v>25</v>
      </c>
      <c r="D11068" s="2">
        <v>0</v>
      </c>
      <c r="E11068" s="2">
        <v>1935.04</v>
      </c>
      <c r="F11068" t="s">
        <v>28</v>
      </c>
      <c r="G11068" t="s">
        <v>17</v>
      </c>
    </row>
    <row r="11069" spans="1:7" x14ac:dyDescent="0.35">
      <c r="A11069">
        <v>4399</v>
      </c>
      <c r="B11069" s="1">
        <v>45852</v>
      </c>
      <c r="C11069" t="s">
        <v>25</v>
      </c>
      <c r="D11069" s="2">
        <v>512</v>
      </c>
      <c r="E11069" s="2">
        <v>0</v>
      </c>
      <c r="F11069" t="s">
        <v>26</v>
      </c>
      <c r="G11069" t="s">
        <v>20</v>
      </c>
    </row>
    <row r="11070" spans="1:7" x14ac:dyDescent="0.35">
      <c r="A11070">
        <v>4399</v>
      </c>
      <c r="B11070" s="1">
        <v>45852</v>
      </c>
      <c r="C11070" t="s">
        <v>25</v>
      </c>
      <c r="D11070" s="2">
        <v>38.4</v>
      </c>
      <c r="E11070" s="2">
        <v>0</v>
      </c>
      <c r="F11070" t="s">
        <v>27</v>
      </c>
      <c r="G11070" t="s">
        <v>9</v>
      </c>
    </row>
    <row r="11071" spans="1:7" x14ac:dyDescent="0.35">
      <c r="A11071">
        <v>4399</v>
      </c>
      <c r="B11071" s="1">
        <v>45852</v>
      </c>
      <c r="C11071" t="s">
        <v>25</v>
      </c>
      <c r="D11071" s="2">
        <v>0</v>
      </c>
      <c r="E11071" s="2">
        <v>550.4</v>
      </c>
      <c r="F11071" t="s">
        <v>28</v>
      </c>
      <c r="G11071" t="s">
        <v>17</v>
      </c>
    </row>
    <row r="11072" spans="1:7" x14ac:dyDescent="0.35">
      <c r="A11072">
        <v>4400</v>
      </c>
      <c r="B11072" s="1">
        <v>45852</v>
      </c>
      <c r="C11072" t="s">
        <v>25</v>
      </c>
      <c r="D11072" s="2">
        <v>187.44</v>
      </c>
      <c r="E11072" s="2">
        <v>0</v>
      </c>
      <c r="F11072" t="s">
        <v>26</v>
      </c>
      <c r="G11072" t="s">
        <v>20</v>
      </c>
    </row>
    <row r="11073" spans="1:7" x14ac:dyDescent="0.35">
      <c r="A11073">
        <v>4400</v>
      </c>
      <c r="B11073" s="1">
        <v>45852</v>
      </c>
      <c r="C11073" t="s">
        <v>25</v>
      </c>
      <c r="D11073" s="2">
        <v>14.06</v>
      </c>
      <c r="E11073" s="2">
        <v>0</v>
      </c>
      <c r="F11073" t="s">
        <v>27</v>
      </c>
      <c r="G11073" t="s">
        <v>9</v>
      </c>
    </row>
    <row r="11074" spans="1:7" x14ac:dyDescent="0.35">
      <c r="A11074">
        <v>4400</v>
      </c>
      <c r="B11074" s="1">
        <v>45852</v>
      </c>
      <c r="C11074" t="s">
        <v>25</v>
      </c>
      <c r="D11074" s="2">
        <v>0</v>
      </c>
      <c r="E11074" s="2">
        <v>201.5</v>
      </c>
      <c r="F11074" t="s">
        <v>28</v>
      </c>
      <c r="G11074" t="s">
        <v>17</v>
      </c>
    </row>
    <row r="11075" spans="1:7" x14ac:dyDescent="0.35">
      <c r="A11075">
        <v>4401</v>
      </c>
      <c r="B11075" s="1">
        <v>45852</v>
      </c>
      <c r="C11075" t="s">
        <v>25</v>
      </c>
      <c r="D11075" s="2">
        <v>1822.08</v>
      </c>
      <c r="E11075" s="2">
        <v>0</v>
      </c>
      <c r="F11075" t="s">
        <v>26</v>
      </c>
      <c r="G11075" t="s">
        <v>20</v>
      </c>
    </row>
    <row r="11076" spans="1:7" x14ac:dyDescent="0.35">
      <c r="A11076">
        <v>4401</v>
      </c>
      <c r="B11076" s="1">
        <v>45852</v>
      </c>
      <c r="C11076" t="s">
        <v>25</v>
      </c>
      <c r="D11076" s="2">
        <v>136.66</v>
      </c>
      <c r="E11076" s="2">
        <v>0</v>
      </c>
      <c r="F11076" t="s">
        <v>27</v>
      </c>
      <c r="G11076" t="s">
        <v>9</v>
      </c>
    </row>
    <row r="11077" spans="1:7" x14ac:dyDescent="0.35">
      <c r="A11077">
        <v>4401</v>
      </c>
      <c r="B11077" s="1">
        <v>45852</v>
      </c>
      <c r="C11077" t="s">
        <v>25</v>
      </c>
      <c r="D11077" s="2">
        <v>0</v>
      </c>
      <c r="E11077" s="2">
        <v>1958.74</v>
      </c>
      <c r="F11077" t="s">
        <v>28</v>
      </c>
      <c r="G11077" t="s">
        <v>17</v>
      </c>
    </row>
    <row r="11078" spans="1:7" x14ac:dyDescent="0.35">
      <c r="A11078">
        <v>4402</v>
      </c>
      <c r="B11078" s="1">
        <v>45852</v>
      </c>
      <c r="C11078" t="s">
        <v>25</v>
      </c>
      <c r="D11078" s="2">
        <v>166.52</v>
      </c>
      <c r="E11078" s="2">
        <v>0</v>
      </c>
      <c r="F11078" t="s">
        <v>26</v>
      </c>
      <c r="G11078" t="s">
        <v>20</v>
      </c>
    </row>
    <row r="11079" spans="1:7" x14ac:dyDescent="0.35">
      <c r="A11079">
        <v>4402</v>
      </c>
      <c r="B11079" s="1">
        <v>45852</v>
      </c>
      <c r="C11079" t="s">
        <v>25</v>
      </c>
      <c r="D11079" s="2">
        <v>12.49</v>
      </c>
      <c r="E11079" s="2">
        <v>0</v>
      </c>
      <c r="F11079" t="s">
        <v>27</v>
      </c>
      <c r="G11079" t="s">
        <v>9</v>
      </c>
    </row>
    <row r="11080" spans="1:7" x14ac:dyDescent="0.35">
      <c r="A11080">
        <v>4402</v>
      </c>
      <c r="B11080" s="1">
        <v>45852</v>
      </c>
      <c r="C11080" t="s">
        <v>25</v>
      </c>
      <c r="D11080" s="2">
        <v>0</v>
      </c>
      <c r="E11080" s="2">
        <v>179.01</v>
      </c>
      <c r="F11080" t="s">
        <v>28</v>
      </c>
      <c r="G11080" t="s">
        <v>17</v>
      </c>
    </row>
    <row r="11081" spans="1:7" x14ac:dyDescent="0.35">
      <c r="A11081">
        <v>4403</v>
      </c>
      <c r="B11081" s="1">
        <v>45852</v>
      </c>
      <c r="C11081" t="s">
        <v>25</v>
      </c>
      <c r="D11081" s="2">
        <v>4476.71</v>
      </c>
      <c r="E11081" s="2">
        <v>0</v>
      </c>
      <c r="F11081" t="s">
        <v>26</v>
      </c>
      <c r="G11081" t="s">
        <v>20</v>
      </c>
    </row>
    <row r="11082" spans="1:7" x14ac:dyDescent="0.35">
      <c r="A11082">
        <v>4403</v>
      </c>
      <c r="B11082" s="1">
        <v>45852</v>
      </c>
      <c r="C11082" t="s">
        <v>25</v>
      </c>
      <c r="D11082" s="2">
        <v>335.75</v>
      </c>
      <c r="E11082" s="2">
        <v>0</v>
      </c>
      <c r="F11082" t="s">
        <v>27</v>
      </c>
      <c r="G11082" t="s">
        <v>9</v>
      </c>
    </row>
    <row r="11083" spans="1:7" x14ac:dyDescent="0.35">
      <c r="A11083">
        <v>4403</v>
      </c>
      <c r="B11083" s="1">
        <v>45852</v>
      </c>
      <c r="C11083" t="s">
        <v>25</v>
      </c>
      <c r="D11083" s="2">
        <v>0</v>
      </c>
      <c r="E11083" s="2">
        <v>4812.46</v>
      </c>
      <c r="F11083" t="s">
        <v>28</v>
      </c>
      <c r="G11083" t="s">
        <v>17</v>
      </c>
    </row>
    <row r="11084" spans="1:7" x14ac:dyDescent="0.35">
      <c r="A11084">
        <v>4404</v>
      </c>
      <c r="B11084" s="1">
        <v>45852</v>
      </c>
      <c r="C11084" t="s">
        <v>25</v>
      </c>
      <c r="D11084" s="2">
        <v>696.06</v>
      </c>
      <c r="E11084" s="2">
        <v>0</v>
      </c>
      <c r="F11084" t="s">
        <v>26</v>
      </c>
      <c r="G11084" t="s">
        <v>20</v>
      </c>
    </row>
    <row r="11085" spans="1:7" x14ac:dyDescent="0.35">
      <c r="A11085">
        <v>4404</v>
      </c>
      <c r="B11085" s="1">
        <v>45852</v>
      </c>
      <c r="C11085" t="s">
        <v>25</v>
      </c>
      <c r="D11085" s="2">
        <v>52.2</v>
      </c>
      <c r="E11085" s="2">
        <v>0</v>
      </c>
      <c r="F11085" t="s">
        <v>27</v>
      </c>
      <c r="G11085" t="s">
        <v>9</v>
      </c>
    </row>
    <row r="11086" spans="1:7" x14ac:dyDescent="0.35">
      <c r="A11086">
        <v>4404</v>
      </c>
      <c r="B11086" s="1">
        <v>45852</v>
      </c>
      <c r="C11086" t="s">
        <v>25</v>
      </c>
      <c r="D11086" s="2">
        <v>0</v>
      </c>
      <c r="E11086" s="2">
        <v>748.26</v>
      </c>
      <c r="F11086" t="s">
        <v>28</v>
      </c>
      <c r="G11086" t="s">
        <v>17</v>
      </c>
    </row>
    <row r="11087" spans="1:7" x14ac:dyDescent="0.35">
      <c r="A11087">
        <v>4405</v>
      </c>
      <c r="B11087" s="1">
        <v>45852</v>
      </c>
      <c r="C11087" t="s">
        <v>25</v>
      </c>
      <c r="D11087" s="2">
        <v>1643.22</v>
      </c>
      <c r="E11087" s="2">
        <v>0</v>
      </c>
      <c r="F11087" t="s">
        <v>26</v>
      </c>
      <c r="G11087" t="s">
        <v>20</v>
      </c>
    </row>
    <row r="11088" spans="1:7" x14ac:dyDescent="0.35">
      <c r="A11088">
        <v>4405</v>
      </c>
      <c r="B11088" s="1">
        <v>45852</v>
      </c>
      <c r="C11088" t="s">
        <v>25</v>
      </c>
      <c r="D11088" s="2">
        <v>123.24</v>
      </c>
      <c r="E11088" s="2">
        <v>0</v>
      </c>
      <c r="F11088" t="s">
        <v>27</v>
      </c>
      <c r="G11088" t="s">
        <v>9</v>
      </c>
    </row>
    <row r="11089" spans="1:7" x14ac:dyDescent="0.35">
      <c r="A11089">
        <v>4405</v>
      </c>
      <c r="B11089" s="1">
        <v>45852</v>
      </c>
      <c r="C11089" t="s">
        <v>25</v>
      </c>
      <c r="D11089" s="2">
        <v>0</v>
      </c>
      <c r="E11089" s="2">
        <v>1766.46</v>
      </c>
      <c r="F11089" t="s">
        <v>28</v>
      </c>
      <c r="G11089" t="s">
        <v>17</v>
      </c>
    </row>
    <row r="11090" spans="1:7" x14ac:dyDescent="0.35">
      <c r="A11090">
        <v>4406</v>
      </c>
      <c r="B11090" s="1">
        <v>45852</v>
      </c>
      <c r="C11090" t="s">
        <v>25</v>
      </c>
      <c r="D11090" s="2">
        <v>8685.27</v>
      </c>
      <c r="E11090" s="2">
        <v>0</v>
      </c>
      <c r="F11090" t="s">
        <v>26</v>
      </c>
      <c r="G11090" t="s">
        <v>20</v>
      </c>
    </row>
    <row r="11091" spans="1:7" x14ac:dyDescent="0.35">
      <c r="A11091">
        <v>4406</v>
      </c>
      <c r="B11091" s="1">
        <v>45852</v>
      </c>
      <c r="C11091" t="s">
        <v>25</v>
      </c>
      <c r="D11091" s="2">
        <v>651.4</v>
      </c>
      <c r="E11091" s="2">
        <v>0</v>
      </c>
      <c r="F11091" t="s">
        <v>27</v>
      </c>
      <c r="G11091" t="s">
        <v>9</v>
      </c>
    </row>
    <row r="11092" spans="1:7" x14ac:dyDescent="0.35">
      <c r="A11092">
        <v>4406</v>
      </c>
      <c r="B11092" s="1">
        <v>45852</v>
      </c>
      <c r="C11092" t="s">
        <v>25</v>
      </c>
      <c r="D11092" s="2">
        <v>0</v>
      </c>
      <c r="E11092" s="2">
        <v>9336.67</v>
      </c>
      <c r="F11092" t="s">
        <v>28</v>
      </c>
      <c r="G11092" t="s">
        <v>17</v>
      </c>
    </row>
    <row r="11093" spans="1:7" x14ac:dyDescent="0.35">
      <c r="A11093">
        <v>4407</v>
      </c>
      <c r="B11093" s="1">
        <v>45852</v>
      </c>
      <c r="C11093" t="s">
        <v>25</v>
      </c>
      <c r="D11093" s="2">
        <v>2714.58</v>
      </c>
      <c r="E11093" s="2">
        <v>0</v>
      </c>
      <c r="F11093" t="s">
        <v>26</v>
      </c>
      <c r="G11093" t="s">
        <v>20</v>
      </c>
    </row>
    <row r="11094" spans="1:7" x14ac:dyDescent="0.35">
      <c r="A11094">
        <v>4407</v>
      </c>
      <c r="B11094" s="1">
        <v>45852</v>
      </c>
      <c r="C11094" t="s">
        <v>25</v>
      </c>
      <c r="D11094" s="2">
        <v>203.59</v>
      </c>
      <c r="E11094" s="2">
        <v>0</v>
      </c>
      <c r="F11094" t="s">
        <v>27</v>
      </c>
      <c r="G11094" t="s">
        <v>9</v>
      </c>
    </row>
    <row r="11095" spans="1:7" x14ac:dyDescent="0.35">
      <c r="A11095">
        <v>4407</v>
      </c>
      <c r="B11095" s="1">
        <v>45852</v>
      </c>
      <c r="C11095" t="s">
        <v>25</v>
      </c>
      <c r="D11095" s="2">
        <v>0</v>
      </c>
      <c r="E11095" s="2">
        <v>2918.17</v>
      </c>
      <c r="F11095" t="s">
        <v>28</v>
      </c>
      <c r="G11095" t="s">
        <v>17</v>
      </c>
    </row>
    <row r="11096" spans="1:7" x14ac:dyDescent="0.35">
      <c r="A11096">
        <v>4408</v>
      </c>
      <c r="B11096" s="1">
        <v>45852</v>
      </c>
      <c r="C11096" t="s">
        <v>25</v>
      </c>
      <c r="D11096" s="2">
        <v>952.02</v>
      </c>
      <c r="E11096" s="2">
        <v>0</v>
      </c>
      <c r="F11096" t="s">
        <v>26</v>
      </c>
      <c r="G11096" t="s">
        <v>20</v>
      </c>
    </row>
    <row r="11097" spans="1:7" x14ac:dyDescent="0.35">
      <c r="A11097">
        <v>4408</v>
      </c>
      <c r="B11097" s="1">
        <v>45852</v>
      </c>
      <c r="C11097" t="s">
        <v>25</v>
      </c>
      <c r="D11097" s="2">
        <v>71.400000000000006</v>
      </c>
      <c r="E11097" s="2">
        <v>0</v>
      </c>
      <c r="F11097" t="s">
        <v>27</v>
      </c>
      <c r="G11097" t="s">
        <v>9</v>
      </c>
    </row>
    <row r="11098" spans="1:7" x14ac:dyDescent="0.35">
      <c r="A11098">
        <v>4408</v>
      </c>
      <c r="B11098" s="1">
        <v>45852</v>
      </c>
      <c r="C11098" t="s">
        <v>25</v>
      </c>
      <c r="D11098" s="2">
        <v>0</v>
      </c>
      <c r="E11098" s="2">
        <v>1023.42</v>
      </c>
      <c r="F11098" t="s">
        <v>28</v>
      </c>
      <c r="G11098" t="s">
        <v>17</v>
      </c>
    </row>
    <row r="11099" spans="1:7" x14ac:dyDescent="0.35">
      <c r="A11099">
        <v>4409</v>
      </c>
      <c r="B11099" s="1">
        <v>45852</v>
      </c>
      <c r="C11099" t="s">
        <v>29</v>
      </c>
      <c r="D11099" s="2">
        <v>2918.17</v>
      </c>
      <c r="E11099" s="2">
        <v>0</v>
      </c>
      <c r="F11099" t="s">
        <v>28</v>
      </c>
      <c r="G11099" t="s">
        <v>17</v>
      </c>
    </row>
    <row r="11100" spans="1:7" x14ac:dyDescent="0.35">
      <c r="A11100">
        <v>4409</v>
      </c>
      <c r="B11100" s="1">
        <v>45852</v>
      </c>
      <c r="C11100" t="s">
        <v>29</v>
      </c>
      <c r="D11100" s="2">
        <v>0</v>
      </c>
      <c r="E11100" s="2">
        <v>2918.17</v>
      </c>
      <c r="F11100" t="s">
        <v>8</v>
      </c>
      <c r="G11100" t="s">
        <v>9</v>
      </c>
    </row>
    <row r="11101" spans="1:7" x14ac:dyDescent="0.35">
      <c r="A11101">
        <v>4410</v>
      </c>
      <c r="B11101" s="1">
        <v>45853</v>
      </c>
      <c r="C11101" t="s">
        <v>12</v>
      </c>
      <c r="D11101" s="2">
        <v>526.87</v>
      </c>
      <c r="E11101" s="2">
        <v>0</v>
      </c>
      <c r="F11101" t="s">
        <v>13</v>
      </c>
      <c r="G11101" t="s">
        <v>9</v>
      </c>
    </row>
    <row r="11102" spans="1:7" x14ac:dyDescent="0.35">
      <c r="A11102">
        <v>4410</v>
      </c>
      <c r="B11102" s="1">
        <v>45853</v>
      </c>
      <c r="C11102" t="s">
        <v>12</v>
      </c>
      <c r="D11102" s="2">
        <v>0</v>
      </c>
      <c r="E11102" s="2">
        <v>490.11</v>
      </c>
      <c r="F11102" t="s">
        <v>14</v>
      </c>
      <c r="G11102" t="s">
        <v>15</v>
      </c>
    </row>
    <row r="11103" spans="1:7" x14ac:dyDescent="0.35">
      <c r="A11103">
        <v>4410</v>
      </c>
      <c r="B11103" s="1">
        <v>45853</v>
      </c>
      <c r="C11103" t="s">
        <v>12</v>
      </c>
      <c r="D11103" s="2">
        <v>0</v>
      </c>
      <c r="E11103" s="2">
        <v>36.76</v>
      </c>
      <c r="F11103" t="s">
        <v>16</v>
      </c>
      <c r="G11103" t="s">
        <v>17</v>
      </c>
    </row>
    <row r="11104" spans="1:7" x14ac:dyDescent="0.35">
      <c r="A11104">
        <v>4411</v>
      </c>
      <c r="B11104" s="1">
        <v>45853</v>
      </c>
      <c r="C11104" t="s">
        <v>12</v>
      </c>
      <c r="D11104" s="2">
        <v>1969.24</v>
      </c>
      <c r="E11104" s="2">
        <v>0</v>
      </c>
      <c r="F11104" t="s">
        <v>13</v>
      </c>
      <c r="G11104" t="s">
        <v>9</v>
      </c>
    </row>
    <row r="11105" spans="1:7" x14ac:dyDescent="0.35">
      <c r="A11105">
        <v>4411</v>
      </c>
      <c r="B11105" s="1">
        <v>45853</v>
      </c>
      <c r="C11105" t="s">
        <v>12</v>
      </c>
      <c r="D11105" s="2">
        <v>0</v>
      </c>
      <c r="E11105" s="2">
        <v>1831.85</v>
      </c>
      <c r="F11105" t="s">
        <v>14</v>
      </c>
      <c r="G11105" t="s">
        <v>15</v>
      </c>
    </row>
    <row r="11106" spans="1:7" x14ac:dyDescent="0.35">
      <c r="A11106">
        <v>4411</v>
      </c>
      <c r="B11106" s="1">
        <v>45853</v>
      </c>
      <c r="C11106" t="s">
        <v>12</v>
      </c>
      <c r="D11106" s="2">
        <v>0</v>
      </c>
      <c r="E11106" s="2">
        <v>137.38999999999999</v>
      </c>
      <c r="F11106" t="s">
        <v>16</v>
      </c>
      <c r="G11106" t="s">
        <v>17</v>
      </c>
    </row>
    <row r="11107" spans="1:7" x14ac:dyDescent="0.35">
      <c r="A11107">
        <v>4412</v>
      </c>
      <c r="B11107" s="1">
        <v>45853</v>
      </c>
      <c r="C11107" t="s">
        <v>12</v>
      </c>
      <c r="D11107" s="2">
        <v>3297.25</v>
      </c>
      <c r="E11107" s="2">
        <v>0</v>
      </c>
      <c r="F11107" t="s">
        <v>13</v>
      </c>
      <c r="G11107" t="s">
        <v>9</v>
      </c>
    </row>
    <row r="11108" spans="1:7" x14ac:dyDescent="0.35">
      <c r="A11108">
        <v>4412</v>
      </c>
      <c r="B11108" s="1">
        <v>45853</v>
      </c>
      <c r="C11108" t="s">
        <v>12</v>
      </c>
      <c r="D11108" s="2">
        <v>0</v>
      </c>
      <c r="E11108" s="2">
        <v>3067.21</v>
      </c>
      <c r="F11108" t="s">
        <v>14</v>
      </c>
      <c r="G11108" t="s">
        <v>15</v>
      </c>
    </row>
    <row r="11109" spans="1:7" x14ac:dyDescent="0.35">
      <c r="A11109">
        <v>4412</v>
      </c>
      <c r="B11109" s="1">
        <v>45853</v>
      </c>
      <c r="C11109" t="s">
        <v>12</v>
      </c>
      <c r="D11109" s="2">
        <v>0</v>
      </c>
      <c r="E11109" s="2">
        <v>230.04</v>
      </c>
      <c r="F11109" t="s">
        <v>16</v>
      </c>
      <c r="G11109" t="s">
        <v>17</v>
      </c>
    </row>
    <row r="11110" spans="1:7" x14ac:dyDescent="0.35">
      <c r="A11110">
        <v>4413</v>
      </c>
      <c r="B11110" s="1">
        <v>45853</v>
      </c>
      <c r="C11110" t="s">
        <v>12</v>
      </c>
      <c r="D11110" s="2">
        <v>719.43</v>
      </c>
      <c r="E11110" s="2">
        <v>0</v>
      </c>
      <c r="F11110" t="s">
        <v>13</v>
      </c>
      <c r="G11110" t="s">
        <v>9</v>
      </c>
    </row>
    <row r="11111" spans="1:7" x14ac:dyDescent="0.35">
      <c r="A11111">
        <v>4413</v>
      </c>
      <c r="B11111" s="1">
        <v>45853</v>
      </c>
      <c r="C11111" t="s">
        <v>12</v>
      </c>
      <c r="D11111" s="2">
        <v>0</v>
      </c>
      <c r="E11111" s="2">
        <v>669.24</v>
      </c>
      <c r="F11111" t="s">
        <v>14</v>
      </c>
      <c r="G11111" t="s">
        <v>15</v>
      </c>
    </row>
    <row r="11112" spans="1:7" x14ac:dyDescent="0.35">
      <c r="A11112">
        <v>4413</v>
      </c>
      <c r="B11112" s="1">
        <v>45853</v>
      </c>
      <c r="C11112" t="s">
        <v>12</v>
      </c>
      <c r="D11112" s="2">
        <v>0</v>
      </c>
      <c r="E11112" s="2">
        <v>50.19</v>
      </c>
      <c r="F11112" t="s">
        <v>16</v>
      </c>
      <c r="G11112" t="s">
        <v>17</v>
      </c>
    </row>
    <row r="11113" spans="1:7" x14ac:dyDescent="0.35">
      <c r="A11113">
        <v>4414</v>
      </c>
      <c r="B11113" s="1">
        <v>45853</v>
      </c>
      <c r="C11113" t="s">
        <v>24</v>
      </c>
      <c r="D11113" s="2">
        <v>1924.91</v>
      </c>
      <c r="E11113" s="2">
        <v>0</v>
      </c>
      <c r="F11113" t="s">
        <v>8</v>
      </c>
      <c r="G11113" t="s">
        <v>9</v>
      </c>
    </row>
    <row r="11114" spans="1:7" x14ac:dyDescent="0.35">
      <c r="A11114">
        <v>4414</v>
      </c>
      <c r="B11114" s="1">
        <v>45853</v>
      </c>
      <c r="C11114" t="s">
        <v>24</v>
      </c>
      <c r="D11114" s="2">
        <v>0</v>
      </c>
      <c r="E11114" s="2">
        <v>1924.91</v>
      </c>
      <c r="F11114" t="s">
        <v>13</v>
      </c>
      <c r="G11114" t="s">
        <v>9</v>
      </c>
    </row>
    <row r="11115" spans="1:7" x14ac:dyDescent="0.35">
      <c r="A11115">
        <v>4415</v>
      </c>
      <c r="B11115" s="1">
        <v>45853</v>
      </c>
      <c r="C11115" t="s">
        <v>24</v>
      </c>
      <c r="D11115" s="2">
        <v>2052.0300000000002</v>
      </c>
      <c r="E11115" s="2">
        <v>0</v>
      </c>
      <c r="F11115" t="s">
        <v>8</v>
      </c>
      <c r="G11115" t="s">
        <v>9</v>
      </c>
    </row>
    <row r="11116" spans="1:7" x14ac:dyDescent="0.35">
      <c r="A11116">
        <v>4415</v>
      </c>
      <c r="B11116" s="1">
        <v>45853</v>
      </c>
      <c r="C11116" t="s">
        <v>24</v>
      </c>
      <c r="D11116" s="2">
        <v>0</v>
      </c>
      <c r="E11116" s="2">
        <v>2052.0300000000002</v>
      </c>
      <c r="F11116" t="s">
        <v>13</v>
      </c>
      <c r="G11116" t="s">
        <v>9</v>
      </c>
    </row>
    <row r="11117" spans="1:7" x14ac:dyDescent="0.35">
      <c r="A11117">
        <v>4416</v>
      </c>
      <c r="B11117" s="1">
        <v>45853</v>
      </c>
      <c r="C11117" t="s">
        <v>24</v>
      </c>
      <c r="D11117" s="2">
        <v>6528.54</v>
      </c>
      <c r="E11117" s="2">
        <v>0</v>
      </c>
      <c r="F11117" t="s">
        <v>8</v>
      </c>
      <c r="G11117" t="s">
        <v>9</v>
      </c>
    </row>
    <row r="11118" spans="1:7" x14ac:dyDescent="0.35">
      <c r="A11118">
        <v>4416</v>
      </c>
      <c r="B11118" s="1">
        <v>45853</v>
      </c>
      <c r="C11118" t="s">
        <v>24</v>
      </c>
      <c r="D11118" s="2">
        <v>0</v>
      </c>
      <c r="E11118" s="2">
        <v>6528.54</v>
      </c>
      <c r="F11118" t="s">
        <v>13</v>
      </c>
      <c r="G11118" t="s">
        <v>9</v>
      </c>
    </row>
    <row r="11119" spans="1:7" x14ac:dyDescent="0.35">
      <c r="A11119">
        <v>4417</v>
      </c>
      <c r="B11119" s="1">
        <v>45853</v>
      </c>
      <c r="C11119" t="s">
        <v>25</v>
      </c>
      <c r="D11119" s="2">
        <v>1480.5</v>
      </c>
      <c r="E11119" s="2">
        <v>0</v>
      </c>
      <c r="F11119" t="s">
        <v>26</v>
      </c>
      <c r="G11119" t="s">
        <v>20</v>
      </c>
    </row>
    <row r="11120" spans="1:7" x14ac:dyDescent="0.35">
      <c r="A11120">
        <v>4417</v>
      </c>
      <c r="B11120" s="1">
        <v>45853</v>
      </c>
      <c r="C11120" t="s">
        <v>25</v>
      </c>
      <c r="D11120" s="2">
        <v>111.04</v>
      </c>
      <c r="E11120" s="2">
        <v>0</v>
      </c>
      <c r="F11120" t="s">
        <v>27</v>
      </c>
      <c r="G11120" t="s">
        <v>9</v>
      </c>
    </row>
    <row r="11121" spans="1:7" x14ac:dyDescent="0.35">
      <c r="A11121">
        <v>4417</v>
      </c>
      <c r="B11121" s="1">
        <v>45853</v>
      </c>
      <c r="C11121" t="s">
        <v>25</v>
      </c>
      <c r="D11121" s="2">
        <v>0</v>
      </c>
      <c r="E11121" s="2">
        <v>1591.54</v>
      </c>
      <c r="F11121" t="s">
        <v>28</v>
      </c>
      <c r="G11121" t="s">
        <v>17</v>
      </c>
    </row>
    <row r="11122" spans="1:7" x14ac:dyDescent="0.35">
      <c r="A11122">
        <v>4418</v>
      </c>
      <c r="B11122" s="1">
        <v>45853</v>
      </c>
      <c r="C11122" t="s">
        <v>29</v>
      </c>
      <c r="D11122" s="2">
        <v>1766.46</v>
      </c>
      <c r="E11122" s="2">
        <v>0</v>
      </c>
      <c r="F11122" t="s">
        <v>28</v>
      </c>
      <c r="G11122" t="s">
        <v>17</v>
      </c>
    </row>
    <row r="11123" spans="1:7" x14ac:dyDescent="0.35">
      <c r="A11123">
        <v>4418</v>
      </c>
      <c r="B11123" s="1">
        <v>45853</v>
      </c>
      <c r="C11123" t="s">
        <v>29</v>
      </c>
      <c r="D11123" s="2">
        <v>0</v>
      </c>
      <c r="E11123" s="2">
        <v>1766.46</v>
      </c>
      <c r="F11123" t="s">
        <v>8</v>
      </c>
      <c r="G11123" t="s">
        <v>9</v>
      </c>
    </row>
    <row r="11124" spans="1:7" x14ac:dyDescent="0.35">
      <c r="A11124">
        <v>4419</v>
      </c>
      <c r="B11124" s="1">
        <v>45853</v>
      </c>
      <c r="C11124" t="s">
        <v>29</v>
      </c>
      <c r="D11124" s="2">
        <v>9336.67</v>
      </c>
      <c r="E11124" s="2">
        <v>0</v>
      </c>
      <c r="F11124" t="s">
        <v>28</v>
      </c>
      <c r="G11124" t="s">
        <v>17</v>
      </c>
    </row>
    <row r="11125" spans="1:7" x14ac:dyDescent="0.35">
      <c r="A11125">
        <v>4419</v>
      </c>
      <c r="B11125" s="1">
        <v>45853</v>
      </c>
      <c r="C11125" t="s">
        <v>29</v>
      </c>
      <c r="D11125" s="2">
        <v>0</v>
      </c>
      <c r="E11125" s="2">
        <v>9336.67</v>
      </c>
      <c r="F11125" t="s">
        <v>8</v>
      </c>
      <c r="G11125" t="s">
        <v>9</v>
      </c>
    </row>
    <row r="11126" spans="1:7" x14ac:dyDescent="0.35">
      <c r="A11126">
        <v>4420</v>
      </c>
      <c r="B11126" s="1">
        <v>45853</v>
      </c>
      <c r="C11126" t="s">
        <v>29</v>
      </c>
      <c r="D11126" s="2">
        <v>3528.97</v>
      </c>
      <c r="E11126" s="2">
        <v>0</v>
      </c>
      <c r="F11126" t="s">
        <v>28</v>
      </c>
      <c r="G11126" t="s">
        <v>17</v>
      </c>
    </row>
    <row r="11127" spans="1:7" x14ac:dyDescent="0.35">
      <c r="A11127">
        <v>4420</v>
      </c>
      <c r="B11127" s="1">
        <v>45853</v>
      </c>
      <c r="C11127" t="s">
        <v>29</v>
      </c>
      <c r="D11127" s="2">
        <v>0</v>
      </c>
      <c r="E11127" s="2">
        <v>3528.97</v>
      </c>
      <c r="F11127" t="s">
        <v>8</v>
      </c>
      <c r="G11127" t="s">
        <v>9</v>
      </c>
    </row>
    <row r="11128" spans="1:7" x14ac:dyDescent="0.35">
      <c r="A11128">
        <v>4421</v>
      </c>
      <c r="B11128" s="1">
        <v>45854</v>
      </c>
      <c r="C11128" t="s">
        <v>12</v>
      </c>
      <c r="D11128" s="2">
        <v>2120.17</v>
      </c>
      <c r="E11128" s="2">
        <v>0</v>
      </c>
      <c r="F11128" t="s">
        <v>13</v>
      </c>
      <c r="G11128" t="s">
        <v>9</v>
      </c>
    </row>
    <row r="11129" spans="1:7" x14ac:dyDescent="0.35">
      <c r="A11129">
        <v>4421</v>
      </c>
      <c r="B11129" s="1">
        <v>45854</v>
      </c>
      <c r="C11129" t="s">
        <v>12</v>
      </c>
      <c r="D11129" s="2">
        <v>0</v>
      </c>
      <c r="E11129" s="2">
        <v>1972.25</v>
      </c>
      <c r="F11129" t="s">
        <v>14</v>
      </c>
      <c r="G11129" t="s">
        <v>15</v>
      </c>
    </row>
    <row r="11130" spans="1:7" x14ac:dyDescent="0.35">
      <c r="A11130">
        <v>4421</v>
      </c>
      <c r="B11130" s="1">
        <v>45854</v>
      </c>
      <c r="C11130" t="s">
        <v>12</v>
      </c>
      <c r="D11130" s="2">
        <v>0</v>
      </c>
      <c r="E11130" s="2">
        <v>147.91999999999999</v>
      </c>
      <c r="F11130" t="s">
        <v>16</v>
      </c>
      <c r="G11130" t="s">
        <v>17</v>
      </c>
    </row>
    <row r="11131" spans="1:7" x14ac:dyDescent="0.35">
      <c r="A11131">
        <v>4422</v>
      </c>
      <c r="B11131" s="1">
        <v>45854</v>
      </c>
      <c r="C11131" t="s">
        <v>12</v>
      </c>
      <c r="D11131" s="2">
        <v>4117.34</v>
      </c>
      <c r="E11131" s="2">
        <v>0</v>
      </c>
      <c r="F11131" t="s">
        <v>13</v>
      </c>
      <c r="G11131" t="s">
        <v>9</v>
      </c>
    </row>
    <row r="11132" spans="1:7" x14ac:dyDescent="0.35">
      <c r="A11132">
        <v>4422</v>
      </c>
      <c r="B11132" s="1">
        <v>45854</v>
      </c>
      <c r="C11132" t="s">
        <v>12</v>
      </c>
      <c r="D11132" s="2">
        <v>0</v>
      </c>
      <c r="E11132" s="2">
        <v>3830.09</v>
      </c>
      <c r="F11132" t="s">
        <v>14</v>
      </c>
      <c r="G11132" t="s">
        <v>15</v>
      </c>
    </row>
    <row r="11133" spans="1:7" x14ac:dyDescent="0.35">
      <c r="A11133">
        <v>4422</v>
      </c>
      <c r="B11133" s="1">
        <v>45854</v>
      </c>
      <c r="C11133" t="s">
        <v>12</v>
      </c>
      <c r="D11133" s="2">
        <v>0</v>
      </c>
      <c r="E11133" s="2">
        <v>287.25</v>
      </c>
      <c r="F11133" t="s">
        <v>16</v>
      </c>
      <c r="G11133" t="s">
        <v>17</v>
      </c>
    </row>
    <row r="11134" spans="1:7" x14ac:dyDescent="0.35">
      <c r="A11134">
        <v>4423</v>
      </c>
      <c r="B11134" s="1">
        <v>45854</v>
      </c>
      <c r="C11134" t="s">
        <v>12</v>
      </c>
      <c r="D11134" s="2">
        <v>112.23</v>
      </c>
      <c r="E11134" s="2">
        <v>0</v>
      </c>
      <c r="F11134" t="s">
        <v>13</v>
      </c>
      <c r="G11134" t="s">
        <v>9</v>
      </c>
    </row>
    <row r="11135" spans="1:7" x14ac:dyDescent="0.35">
      <c r="A11135">
        <v>4423</v>
      </c>
      <c r="B11135" s="1">
        <v>45854</v>
      </c>
      <c r="C11135" t="s">
        <v>12</v>
      </c>
      <c r="D11135" s="2">
        <v>0</v>
      </c>
      <c r="E11135" s="2">
        <v>104.4</v>
      </c>
      <c r="F11135" t="s">
        <v>14</v>
      </c>
      <c r="G11135" t="s">
        <v>15</v>
      </c>
    </row>
    <row r="11136" spans="1:7" x14ac:dyDescent="0.35">
      <c r="A11136">
        <v>4423</v>
      </c>
      <c r="B11136" s="1">
        <v>45854</v>
      </c>
      <c r="C11136" t="s">
        <v>12</v>
      </c>
      <c r="D11136" s="2">
        <v>0</v>
      </c>
      <c r="E11136" s="2">
        <v>7.83</v>
      </c>
      <c r="F11136" t="s">
        <v>16</v>
      </c>
      <c r="G11136" t="s">
        <v>17</v>
      </c>
    </row>
    <row r="11137" spans="1:7" x14ac:dyDescent="0.35">
      <c r="A11137">
        <v>4424</v>
      </c>
      <c r="B11137" s="1">
        <v>45854</v>
      </c>
      <c r="C11137" t="s">
        <v>24</v>
      </c>
      <c r="D11137" s="2">
        <v>747.38</v>
      </c>
      <c r="E11137" s="2">
        <v>0</v>
      </c>
      <c r="F11137" t="s">
        <v>8</v>
      </c>
      <c r="G11137" t="s">
        <v>9</v>
      </c>
    </row>
    <row r="11138" spans="1:7" x14ac:dyDescent="0.35">
      <c r="A11138">
        <v>4424</v>
      </c>
      <c r="B11138" s="1">
        <v>45854</v>
      </c>
      <c r="C11138" t="s">
        <v>24</v>
      </c>
      <c r="D11138" s="2">
        <v>0</v>
      </c>
      <c r="E11138" s="2">
        <v>747.38</v>
      </c>
      <c r="F11138" t="s">
        <v>13</v>
      </c>
      <c r="G11138" t="s">
        <v>9</v>
      </c>
    </row>
    <row r="11139" spans="1:7" x14ac:dyDescent="0.35">
      <c r="A11139">
        <v>4425</v>
      </c>
      <c r="B11139" s="1">
        <v>45854</v>
      </c>
      <c r="C11139" t="s">
        <v>24</v>
      </c>
      <c r="D11139" s="2">
        <v>539.92999999999995</v>
      </c>
      <c r="E11139" s="2">
        <v>0</v>
      </c>
      <c r="F11139" t="s">
        <v>8</v>
      </c>
      <c r="G11139" t="s">
        <v>9</v>
      </c>
    </row>
    <row r="11140" spans="1:7" x14ac:dyDescent="0.35">
      <c r="A11140">
        <v>4425</v>
      </c>
      <c r="B11140" s="1">
        <v>45854</v>
      </c>
      <c r="C11140" t="s">
        <v>24</v>
      </c>
      <c r="D11140" s="2">
        <v>0</v>
      </c>
      <c r="E11140" s="2">
        <v>539.92999999999995</v>
      </c>
      <c r="F11140" t="s">
        <v>13</v>
      </c>
      <c r="G11140" t="s">
        <v>9</v>
      </c>
    </row>
    <row r="11141" spans="1:7" x14ac:dyDescent="0.35">
      <c r="A11141">
        <v>4426</v>
      </c>
      <c r="B11141" s="1">
        <v>45854</v>
      </c>
      <c r="C11141" t="s">
        <v>24</v>
      </c>
      <c r="D11141" s="2">
        <v>3754.08</v>
      </c>
      <c r="E11141" s="2">
        <v>0</v>
      </c>
      <c r="F11141" t="s">
        <v>8</v>
      </c>
      <c r="G11141" t="s">
        <v>9</v>
      </c>
    </row>
    <row r="11142" spans="1:7" x14ac:dyDescent="0.35">
      <c r="A11142">
        <v>4426</v>
      </c>
      <c r="B11142" s="1">
        <v>45854</v>
      </c>
      <c r="C11142" t="s">
        <v>24</v>
      </c>
      <c r="D11142" s="2">
        <v>0</v>
      </c>
      <c r="E11142" s="2">
        <v>3754.08</v>
      </c>
      <c r="F11142" t="s">
        <v>13</v>
      </c>
      <c r="G11142" t="s">
        <v>9</v>
      </c>
    </row>
    <row r="11143" spans="1:7" x14ac:dyDescent="0.35">
      <c r="A11143">
        <v>4427</v>
      </c>
      <c r="B11143" s="1">
        <v>45854</v>
      </c>
      <c r="C11143" t="s">
        <v>24</v>
      </c>
      <c r="D11143" s="2">
        <v>18.55</v>
      </c>
      <c r="E11143" s="2">
        <v>0</v>
      </c>
      <c r="F11143" t="s">
        <v>8</v>
      </c>
      <c r="G11143" t="s">
        <v>9</v>
      </c>
    </row>
    <row r="11144" spans="1:7" x14ac:dyDescent="0.35">
      <c r="A11144">
        <v>4427</v>
      </c>
      <c r="B11144" s="1">
        <v>45854</v>
      </c>
      <c r="C11144" t="s">
        <v>24</v>
      </c>
      <c r="D11144" s="2">
        <v>0</v>
      </c>
      <c r="E11144" s="2">
        <v>18.55</v>
      </c>
      <c r="F11144" t="s">
        <v>13</v>
      </c>
      <c r="G11144" t="s">
        <v>9</v>
      </c>
    </row>
    <row r="11145" spans="1:7" x14ac:dyDescent="0.35">
      <c r="A11145">
        <v>4428</v>
      </c>
      <c r="B11145" s="1">
        <v>45854</v>
      </c>
      <c r="C11145" t="s">
        <v>25</v>
      </c>
      <c r="D11145" s="2">
        <v>6723.2</v>
      </c>
      <c r="E11145" s="2">
        <v>0</v>
      </c>
      <c r="F11145" t="s">
        <v>26</v>
      </c>
      <c r="G11145" t="s">
        <v>20</v>
      </c>
    </row>
    <row r="11146" spans="1:7" x14ac:dyDescent="0.35">
      <c r="A11146">
        <v>4428</v>
      </c>
      <c r="B11146" s="1">
        <v>45854</v>
      </c>
      <c r="C11146" t="s">
        <v>25</v>
      </c>
      <c r="D11146" s="2">
        <v>504.24</v>
      </c>
      <c r="E11146" s="2">
        <v>0</v>
      </c>
      <c r="F11146" t="s">
        <v>27</v>
      </c>
      <c r="G11146" t="s">
        <v>9</v>
      </c>
    </row>
    <row r="11147" spans="1:7" x14ac:dyDescent="0.35">
      <c r="A11147">
        <v>4428</v>
      </c>
      <c r="B11147" s="1">
        <v>45854</v>
      </c>
      <c r="C11147" t="s">
        <v>25</v>
      </c>
      <c r="D11147" s="2">
        <v>0</v>
      </c>
      <c r="E11147" s="2">
        <v>7227.44</v>
      </c>
      <c r="F11147" t="s">
        <v>28</v>
      </c>
      <c r="G11147" t="s">
        <v>17</v>
      </c>
    </row>
    <row r="11148" spans="1:7" x14ac:dyDescent="0.35">
      <c r="A11148">
        <v>4429</v>
      </c>
      <c r="B11148" s="1">
        <v>45854</v>
      </c>
      <c r="C11148" t="s">
        <v>25</v>
      </c>
      <c r="D11148" s="2">
        <v>2451.5</v>
      </c>
      <c r="E11148" s="2">
        <v>0</v>
      </c>
      <c r="F11148" t="s">
        <v>26</v>
      </c>
      <c r="G11148" t="s">
        <v>20</v>
      </c>
    </row>
    <row r="11149" spans="1:7" x14ac:dyDescent="0.35">
      <c r="A11149">
        <v>4429</v>
      </c>
      <c r="B11149" s="1">
        <v>45854</v>
      </c>
      <c r="C11149" t="s">
        <v>25</v>
      </c>
      <c r="D11149" s="2">
        <v>183.86</v>
      </c>
      <c r="E11149" s="2">
        <v>0</v>
      </c>
      <c r="F11149" t="s">
        <v>27</v>
      </c>
      <c r="G11149" t="s">
        <v>9</v>
      </c>
    </row>
    <row r="11150" spans="1:7" x14ac:dyDescent="0.35">
      <c r="A11150">
        <v>4429</v>
      </c>
      <c r="B11150" s="1">
        <v>45854</v>
      </c>
      <c r="C11150" t="s">
        <v>25</v>
      </c>
      <c r="D11150" s="2">
        <v>0</v>
      </c>
      <c r="E11150" s="2">
        <v>2635.36</v>
      </c>
      <c r="F11150" t="s">
        <v>28</v>
      </c>
      <c r="G11150" t="s">
        <v>17</v>
      </c>
    </row>
    <row r="11151" spans="1:7" x14ac:dyDescent="0.35">
      <c r="A11151">
        <v>4430</v>
      </c>
      <c r="B11151" s="1">
        <v>45854</v>
      </c>
      <c r="C11151" t="s">
        <v>29</v>
      </c>
      <c r="D11151" s="2">
        <v>1023.42</v>
      </c>
      <c r="E11151" s="2">
        <v>0</v>
      </c>
      <c r="F11151" t="s">
        <v>28</v>
      </c>
      <c r="G11151" t="s">
        <v>17</v>
      </c>
    </row>
    <row r="11152" spans="1:7" x14ac:dyDescent="0.35">
      <c r="A11152">
        <v>4430</v>
      </c>
      <c r="B11152" s="1">
        <v>45854</v>
      </c>
      <c r="C11152" t="s">
        <v>29</v>
      </c>
      <c r="D11152" s="2">
        <v>0</v>
      </c>
      <c r="E11152" s="2">
        <v>1023.42</v>
      </c>
      <c r="F11152" t="s">
        <v>8</v>
      </c>
      <c r="G11152" t="s">
        <v>9</v>
      </c>
    </row>
    <row r="11153" spans="1:7" x14ac:dyDescent="0.35">
      <c r="A11153">
        <v>4431</v>
      </c>
      <c r="B11153" s="1">
        <v>45854</v>
      </c>
      <c r="C11153" t="s">
        <v>29</v>
      </c>
      <c r="D11153" s="2">
        <v>1159.8399999999999</v>
      </c>
      <c r="E11153" s="2">
        <v>0</v>
      </c>
      <c r="F11153" t="s">
        <v>28</v>
      </c>
      <c r="G11153" t="s">
        <v>17</v>
      </c>
    </row>
    <row r="11154" spans="1:7" x14ac:dyDescent="0.35">
      <c r="A11154">
        <v>4431</v>
      </c>
      <c r="B11154" s="1">
        <v>45854</v>
      </c>
      <c r="C11154" t="s">
        <v>29</v>
      </c>
      <c r="D11154" s="2">
        <v>0</v>
      </c>
      <c r="E11154" s="2">
        <v>1159.8399999999999</v>
      </c>
      <c r="F11154" t="s">
        <v>8</v>
      </c>
      <c r="G11154" t="s">
        <v>9</v>
      </c>
    </row>
    <row r="11155" spans="1:7" x14ac:dyDescent="0.35">
      <c r="A11155">
        <v>4432</v>
      </c>
      <c r="B11155" s="1">
        <v>45854</v>
      </c>
      <c r="C11155" t="s">
        <v>29</v>
      </c>
      <c r="D11155" s="2">
        <v>2504.23</v>
      </c>
      <c r="E11155" s="2">
        <v>0</v>
      </c>
      <c r="F11155" t="s">
        <v>28</v>
      </c>
      <c r="G11155" t="s">
        <v>17</v>
      </c>
    </row>
    <row r="11156" spans="1:7" x14ac:dyDescent="0.35">
      <c r="A11156">
        <v>4432</v>
      </c>
      <c r="B11156" s="1">
        <v>45854</v>
      </c>
      <c r="C11156" t="s">
        <v>29</v>
      </c>
      <c r="D11156" s="2">
        <v>0</v>
      </c>
      <c r="E11156" s="2">
        <v>2504.23</v>
      </c>
      <c r="F11156" t="s">
        <v>8</v>
      </c>
      <c r="G11156" t="s">
        <v>9</v>
      </c>
    </row>
    <row r="11157" spans="1:7" x14ac:dyDescent="0.35">
      <c r="A11157">
        <v>4433</v>
      </c>
      <c r="B11157" s="1">
        <v>45854</v>
      </c>
      <c r="C11157" t="s">
        <v>29</v>
      </c>
      <c r="D11157" s="2">
        <v>2635.36</v>
      </c>
      <c r="E11157" s="2">
        <v>0</v>
      </c>
      <c r="F11157" t="s">
        <v>28</v>
      </c>
      <c r="G11157" t="s">
        <v>17</v>
      </c>
    </row>
    <row r="11158" spans="1:7" x14ac:dyDescent="0.35">
      <c r="A11158">
        <v>4433</v>
      </c>
      <c r="B11158" s="1">
        <v>45854</v>
      </c>
      <c r="C11158" t="s">
        <v>29</v>
      </c>
      <c r="D11158" s="2">
        <v>0</v>
      </c>
      <c r="E11158" s="2">
        <v>2635.36</v>
      </c>
      <c r="F11158" t="s">
        <v>8</v>
      </c>
      <c r="G11158" t="s">
        <v>9</v>
      </c>
    </row>
    <row r="11159" spans="1:7" x14ac:dyDescent="0.35">
      <c r="A11159">
        <v>4434</v>
      </c>
      <c r="B11159" s="1">
        <v>45855</v>
      </c>
      <c r="C11159" t="s">
        <v>18</v>
      </c>
      <c r="D11159" s="2">
        <v>23033.4</v>
      </c>
      <c r="E11159" s="2">
        <v>0</v>
      </c>
      <c r="F11159" t="s">
        <v>19</v>
      </c>
      <c r="G11159" t="s">
        <v>20</v>
      </c>
    </row>
    <row r="11160" spans="1:7" x14ac:dyDescent="0.35">
      <c r="A11160">
        <v>4434</v>
      </c>
      <c r="B11160" s="1">
        <v>45855</v>
      </c>
      <c r="C11160" t="s">
        <v>18</v>
      </c>
      <c r="D11160" s="2">
        <v>921.34</v>
      </c>
      <c r="E11160" s="2">
        <v>0</v>
      </c>
      <c r="F11160" t="s">
        <v>21</v>
      </c>
      <c r="G11160" t="s">
        <v>20</v>
      </c>
    </row>
    <row r="11161" spans="1:7" x14ac:dyDescent="0.35">
      <c r="A11161">
        <v>4434</v>
      </c>
      <c r="B11161" s="1">
        <v>45855</v>
      </c>
      <c r="C11161" t="s">
        <v>18</v>
      </c>
      <c r="D11161" s="2">
        <v>0</v>
      </c>
      <c r="E11161" s="2">
        <v>18718.310000000001</v>
      </c>
      <c r="F11161" t="s">
        <v>8</v>
      </c>
      <c r="G11161" t="s">
        <v>9</v>
      </c>
    </row>
    <row r="11162" spans="1:7" x14ac:dyDescent="0.35">
      <c r="A11162">
        <v>4434</v>
      </c>
      <c r="B11162" s="1">
        <v>45855</v>
      </c>
      <c r="C11162" t="s">
        <v>18</v>
      </c>
      <c r="D11162" s="2">
        <v>0</v>
      </c>
      <c r="E11162" s="2">
        <v>4315.09</v>
      </c>
      <c r="F11162" t="s">
        <v>22</v>
      </c>
      <c r="G11162" t="s">
        <v>17</v>
      </c>
    </row>
    <row r="11163" spans="1:7" x14ac:dyDescent="0.35">
      <c r="A11163">
        <v>4434</v>
      </c>
      <c r="B11163" s="1">
        <v>45855</v>
      </c>
      <c r="C11163" t="s">
        <v>18</v>
      </c>
      <c r="D11163" s="2">
        <v>0</v>
      </c>
      <c r="E11163" s="2">
        <v>921.34</v>
      </c>
      <c r="F11163" t="s">
        <v>23</v>
      </c>
      <c r="G11163" t="s">
        <v>17</v>
      </c>
    </row>
    <row r="11164" spans="1:7" x14ac:dyDescent="0.35">
      <c r="A11164">
        <v>4435</v>
      </c>
      <c r="B11164" s="1">
        <v>45855</v>
      </c>
      <c r="C11164" t="s">
        <v>12</v>
      </c>
      <c r="D11164" s="2">
        <v>1026.4100000000001</v>
      </c>
      <c r="E11164" s="2">
        <v>0</v>
      </c>
      <c r="F11164" t="s">
        <v>13</v>
      </c>
      <c r="G11164" t="s">
        <v>9</v>
      </c>
    </row>
    <row r="11165" spans="1:7" x14ac:dyDescent="0.35">
      <c r="A11165">
        <v>4435</v>
      </c>
      <c r="B11165" s="1">
        <v>45855</v>
      </c>
      <c r="C11165" t="s">
        <v>12</v>
      </c>
      <c r="D11165" s="2">
        <v>0</v>
      </c>
      <c r="E11165" s="2">
        <v>954.8</v>
      </c>
      <c r="F11165" t="s">
        <v>14</v>
      </c>
      <c r="G11165" t="s">
        <v>15</v>
      </c>
    </row>
    <row r="11166" spans="1:7" x14ac:dyDescent="0.35">
      <c r="A11166">
        <v>4435</v>
      </c>
      <c r="B11166" s="1">
        <v>45855</v>
      </c>
      <c r="C11166" t="s">
        <v>12</v>
      </c>
      <c r="D11166" s="2">
        <v>0</v>
      </c>
      <c r="E11166" s="2">
        <v>71.61</v>
      </c>
      <c r="F11166" t="s">
        <v>16</v>
      </c>
      <c r="G11166" t="s">
        <v>17</v>
      </c>
    </row>
    <row r="11167" spans="1:7" x14ac:dyDescent="0.35">
      <c r="A11167">
        <v>4436</v>
      </c>
      <c r="B11167" s="1">
        <v>45855</v>
      </c>
      <c r="C11167" t="s">
        <v>12</v>
      </c>
      <c r="D11167" s="2">
        <v>4725.9799999999996</v>
      </c>
      <c r="E11167" s="2">
        <v>0</v>
      </c>
      <c r="F11167" t="s">
        <v>13</v>
      </c>
      <c r="G11167" t="s">
        <v>9</v>
      </c>
    </row>
    <row r="11168" spans="1:7" x14ac:dyDescent="0.35">
      <c r="A11168">
        <v>4436</v>
      </c>
      <c r="B11168" s="1">
        <v>45855</v>
      </c>
      <c r="C11168" t="s">
        <v>12</v>
      </c>
      <c r="D11168" s="2">
        <v>0</v>
      </c>
      <c r="E11168" s="2">
        <v>4396.26</v>
      </c>
      <c r="F11168" t="s">
        <v>14</v>
      </c>
      <c r="G11168" t="s">
        <v>15</v>
      </c>
    </row>
    <row r="11169" spans="1:7" x14ac:dyDescent="0.35">
      <c r="A11169">
        <v>4436</v>
      </c>
      <c r="B11169" s="1">
        <v>45855</v>
      </c>
      <c r="C11169" t="s">
        <v>12</v>
      </c>
      <c r="D11169" s="2">
        <v>0</v>
      </c>
      <c r="E11169" s="2">
        <v>329.72</v>
      </c>
      <c r="F11169" t="s">
        <v>16</v>
      </c>
      <c r="G11169" t="s">
        <v>17</v>
      </c>
    </row>
    <row r="11170" spans="1:7" x14ac:dyDescent="0.35">
      <c r="A11170">
        <v>4437</v>
      </c>
      <c r="B11170" s="1">
        <v>45855</v>
      </c>
      <c r="C11170" t="s">
        <v>24</v>
      </c>
      <c r="D11170" s="2">
        <v>1560.55</v>
      </c>
      <c r="E11170" s="2">
        <v>0</v>
      </c>
      <c r="F11170" t="s">
        <v>8</v>
      </c>
      <c r="G11170" t="s">
        <v>9</v>
      </c>
    </row>
    <row r="11171" spans="1:7" x14ac:dyDescent="0.35">
      <c r="A11171">
        <v>4437</v>
      </c>
      <c r="B11171" s="1">
        <v>45855</v>
      </c>
      <c r="C11171" t="s">
        <v>24</v>
      </c>
      <c r="D11171" s="2">
        <v>0</v>
      </c>
      <c r="E11171" s="2">
        <v>1560.55</v>
      </c>
      <c r="F11171" t="s">
        <v>13</v>
      </c>
      <c r="G11171" t="s">
        <v>9</v>
      </c>
    </row>
    <row r="11172" spans="1:7" x14ac:dyDescent="0.35">
      <c r="A11172">
        <v>4438</v>
      </c>
      <c r="B11172" s="1">
        <v>45855</v>
      </c>
      <c r="C11172" t="s">
        <v>24</v>
      </c>
      <c r="D11172" s="2">
        <v>2140.35</v>
      </c>
      <c r="E11172" s="2">
        <v>0</v>
      </c>
      <c r="F11172" t="s">
        <v>8</v>
      </c>
      <c r="G11172" t="s">
        <v>9</v>
      </c>
    </row>
    <row r="11173" spans="1:7" x14ac:dyDescent="0.35">
      <c r="A11173">
        <v>4438</v>
      </c>
      <c r="B11173" s="1">
        <v>45855</v>
      </c>
      <c r="C11173" t="s">
        <v>24</v>
      </c>
      <c r="D11173" s="2">
        <v>0</v>
      </c>
      <c r="E11173" s="2">
        <v>2140.35</v>
      </c>
      <c r="F11173" t="s">
        <v>13</v>
      </c>
      <c r="G11173" t="s">
        <v>9</v>
      </c>
    </row>
    <row r="11174" spans="1:7" x14ac:dyDescent="0.35">
      <c r="A11174">
        <v>4439</v>
      </c>
      <c r="B11174" s="1">
        <v>45855</v>
      </c>
      <c r="C11174" t="s">
        <v>24</v>
      </c>
      <c r="D11174" s="2">
        <v>931.28</v>
      </c>
      <c r="E11174" s="2">
        <v>0</v>
      </c>
      <c r="F11174" t="s">
        <v>8</v>
      </c>
      <c r="G11174" t="s">
        <v>9</v>
      </c>
    </row>
    <row r="11175" spans="1:7" x14ac:dyDescent="0.35">
      <c r="A11175">
        <v>4439</v>
      </c>
      <c r="B11175" s="1">
        <v>45855</v>
      </c>
      <c r="C11175" t="s">
        <v>24</v>
      </c>
      <c r="D11175" s="2">
        <v>0</v>
      </c>
      <c r="E11175" s="2">
        <v>931.28</v>
      </c>
      <c r="F11175" t="s">
        <v>13</v>
      </c>
      <c r="G11175" t="s">
        <v>9</v>
      </c>
    </row>
    <row r="11176" spans="1:7" x14ac:dyDescent="0.35">
      <c r="A11176">
        <v>4440</v>
      </c>
      <c r="B11176" s="1">
        <v>45855</v>
      </c>
      <c r="C11176" t="s">
        <v>24</v>
      </c>
      <c r="D11176" s="2">
        <v>2148.64</v>
      </c>
      <c r="E11176" s="2">
        <v>0</v>
      </c>
      <c r="F11176" t="s">
        <v>8</v>
      </c>
      <c r="G11176" t="s">
        <v>9</v>
      </c>
    </row>
    <row r="11177" spans="1:7" x14ac:dyDescent="0.35">
      <c r="A11177">
        <v>4440</v>
      </c>
      <c r="B11177" s="1">
        <v>45855</v>
      </c>
      <c r="C11177" t="s">
        <v>24</v>
      </c>
      <c r="D11177" s="2">
        <v>0</v>
      </c>
      <c r="E11177" s="2">
        <v>2148.64</v>
      </c>
      <c r="F11177" t="s">
        <v>13</v>
      </c>
      <c r="G11177" t="s">
        <v>9</v>
      </c>
    </row>
    <row r="11178" spans="1:7" x14ac:dyDescent="0.35">
      <c r="A11178">
        <v>4441</v>
      </c>
      <c r="B11178" s="1">
        <v>45855</v>
      </c>
      <c r="C11178" t="s">
        <v>24</v>
      </c>
      <c r="D11178" s="2">
        <v>3391.74</v>
      </c>
      <c r="E11178" s="2">
        <v>0</v>
      </c>
      <c r="F11178" t="s">
        <v>8</v>
      </c>
      <c r="G11178" t="s">
        <v>9</v>
      </c>
    </row>
    <row r="11179" spans="1:7" x14ac:dyDescent="0.35">
      <c r="A11179">
        <v>4441</v>
      </c>
      <c r="B11179" s="1">
        <v>45855</v>
      </c>
      <c r="C11179" t="s">
        <v>24</v>
      </c>
      <c r="D11179" s="2">
        <v>0</v>
      </c>
      <c r="E11179" s="2">
        <v>3391.74</v>
      </c>
      <c r="F11179" t="s">
        <v>13</v>
      </c>
      <c r="G11179" t="s">
        <v>9</v>
      </c>
    </row>
    <row r="11180" spans="1:7" x14ac:dyDescent="0.35">
      <c r="A11180">
        <v>4442</v>
      </c>
      <c r="B11180" s="1">
        <v>45855</v>
      </c>
      <c r="C11180" t="s">
        <v>25</v>
      </c>
      <c r="D11180" s="2">
        <v>2329.52</v>
      </c>
      <c r="E11180" s="2">
        <v>0</v>
      </c>
      <c r="F11180" t="s">
        <v>26</v>
      </c>
      <c r="G11180" t="s">
        <v>20</v>
      </c>
    </row>
    <row r="11181" spans="1:7" x14ac:dyDescent="0.35">
      <c r="A11181">
        <v>4442</v>
      </c>
      <c r="B11181" s="1">
        <v>45855</v>
      </c>
      <c r="C11181" t="s">
        <v>25</v>
      </c>
      <c r="D11181" s="2">
        <v>174.71</v>
      </c>
      <c r="E11181" s="2">
        <v>0</v>
      </c>
      <c r="F11181" t="s">
        <v>27</v>
      </c>
      <c r="G11181" t="s">
        <v>9</v>
      </c>
    </row>
    <row r="11182" spans="1:7" x14ac:dyDescent="0.35">
      <c r="A11182">
        <v>4442</v>
      </c>
      <c r="B11182" s="1">
        <v>45855</v>
      </c>
      <c r="C11182" t="s">
        <v>25</v>
      </c>
      <c r="D11182" s="2">
        <v>0</v>
      </c>
      <c r="E11182" s="2">
        <v>2504.23</v>
      </c>
      <c r="F11182" t="s">
        <v>28</v>
      </c>
      <c r="G11182" t="s">
        <v>17</v>
      </c>
    </row>
    <row r="11183" spans="1:7" x14ac:dyDescent="0.35">
      <c r="A11183">
        <v>4443</v>
      </c>
      <c r="B11183" s="1">
        <v>45855</v>
      </c>
      <c r="C11183" t="s">
        <v>25</v>
      </c>
      <c r="D11183" s="2">
        <v>257.04000000000002</v>
      </c>
      <c r="E11183" s="2">
        <v>0</v>
      </c>
      <c r="F11183" t="s">
        <v>26</v>
      </c>
      <c r="G11183" t="s">
        <v>20</v>
      </c>
    </row>
    <row r="11184" spans="1:7" x14ac:dyDescent="0.35">
      <c r="A11184">
        <v>4443</v>
      </c>
      <c r="B11184" s="1">
        <v>45855</v>
      </c>
      <c r="C11184" t="s">
        <v>25</v>
      </c>
      <c r="D11184" s="2">
        <v>19.28</v>
      </c>
      <c r="E11184" s="2">
        <v>0</v>
      </c>
      <c r="F11184" t="s">
        <v>27</v>
      </c>
      <c r="G11184" t="s">
        <v>9</v>
      </c>
    </row>
    <row r="11185" spans="1:7" x14ac:dyDescent="0.35">
      <c r="A11185">
        <v>4443</v>
      </c>
      <c r="B11185" s="1">
        <v>45855</v>
      </c>
      <c r="C11185" t="s">
        <v>25</v>
      </c>
      <c r="D11185" s="2">
        <v>0</v>
      </c>
      <c r="E11185" s="2">
        <v>276.32</v>
      </c>
      <c r="F11185" t="s">
        <v>28</v>
      </c>
      <c r="G11185" t="s">
        <v>17</v>
      </c>
    </row>
    <row r="11186" spans="1:7" x14ac:dyDescent="0.35">
      <c r="A11186">
        <v>4444</v>
      </c>
      <c r="B11186" s="1">
        <v>45856</v>
      </c>
      <c r="C11186" t="s">
        <v>12</v>
      </c>
      <c r="D11186" s="2">
        <v>965.05</v>
      </c>
      <c r="E11186" s="2">
        <v>0</v>
      </c>
      <c r="F11186" t="s">
        <v>13</v>
      </c>
      <c r="G11186" t="s">
        <v>9</v>
      </c>
    </row>
    <row r="11187" spans="1:7" x14ac:dyDescent="0.35">
      <c r="A11187">
        <v>4444</v>
      </c>
      <c r="B11187" s="1">
        <v>45856</v>
      </c>
      <c r="C11187" t="s">
        <v>12</v>
      </c>
      <c r="D11187" s="2">
        <v>0</v>
      </c>
      <c r="E11187" s="2">
        <v>897.72</v>
      </c>
      <c r="F11187" t="s">
        <v>14</v>
      </c>
      <c r="G11187" t="s">
        <v>15</v>
      </c>
    </row>
    <row r="11188" spans="1:7" x14ac:dyDescent="0.35">
      <c r="A11188">
        <v>4444</v>
      </c>
      <c r="B11188" s="1">
        <v>45856</v>
      </c>
      <c r="C11188" t="s">
        <v>12</v>
      </c>
      <c r="D11188" s="2">
        <v>0</v>
      </c>
      <c r="E11188" s="2">
        <v>67.33</v>
      </c>
      <c r="F11188" t="s">
        <v>16</v>
      </c>
      <c r="G11188" t="s">
        <v>17</v>
      </c>
    </row>
    <row r="11189" spans="1:7" x14ac:dyDescent="0.35">
      <c r="A11189">
        <v>4445</v>
      </c>
      <c r="B11189" s="1">
        <v>45856</v>
      </c>
      <c r="C11189" t="s">
        <v>12</v>
      </c>
      <c r="D11189" s="2">
        <v>2399.91</v>
      </c>
      <c r="E11189" s="2">
        <v>0</v>
      </c>
      <c r="F11189" t="s">
        <v>13</v>
      </c>
      <c r="G11189" t="s">
        <v>9</v>
      </c>
    </row>
    <row r="11190" spans="1:7" x14ac:dyDescent="0.35">
      <c r="A11190">
        <v>4445</v>
      </c>
      <c r="B11190" s="1">
        <v>45856</v>
      </c>
      <c r="C11190" t="s">
        <v>12</v>
      </c>
      <c r="D11190" s="2">
        <v>0</v>
      </c>
      <c r="E11190" s="2">
        <v>2232.48</v>
      </c>
      <c r="F11190" t="s">
        <v>14</v>
      </c>
      <c r="G11190" t="s">
        <v>15</v>
      </c>
    </row>
    <row r="11191" spans="1:7" x14ac:dyDescent="0.35">
      <c r="A11191">
        <v>4445</v>
      </c>
      <c r="B11191" s="1">
        <v>45856</v>
      </c>
      <c r="C11191" t="s">
        <v>12</v>
      </c>
      <c r="D11191" s="2">
        <v>0</v>
      </c>
      <c r="E11191" s="2">
        <v>167.43</v>
      </c>
      <c r="F11191" t="s">
        <v>16</v>
      </c>
      <c r="G11191" t="s">
        <v>17</v>
      </c>
    </row>
    <row r="11192" spans="1:7" x14ac:dyDescent="0.35">
      <c r="A11192">
        <v>4446</v>
      </c>
      <c r="B11192" s="1">
        <v>45856</v>
      </c>
      <c r="C11192" t="s">
        <v>12</v>
      </c>
      <c r="D11192" s="2">
        <v>1447.86</v>
      </c>
      <c r="E11192" s="2">
        <v>0</v>
      </c>
      <c r="F11192" t="s">
        <v>13</v>
      </c>
      <c r="G11192" t="s">
        <v>9</v>
      </c>
    </row>
    <row r="11193" spans="1:7" x14ac:dyDescent="0.35">
      <c r="A11193">
        <v>4446</v>
      </c>
      <c r="B11193" s="1">
        <v>45856</v>
      </c>
      <c r="C11193" t="s">
        <v>12</v>
      </c>
      <c r="D11193" s="2">
        <v>0</v>
      </c>
      <c r="E11193" s="2">
        <v>1346.84</v>
      </c>
      <c r="F11193" t="s">
        <v>14</v>
      </c>
      <c r="G11193" t="s">
        <v>15</v>
      </c>
    </row>
    <row r="11194" spans="1:7" x14ac:dyDescent="0.35">
      <c r="A11194">
        <v>4446</v>
      </c>
      <c r="B11194" s="1">
        <v>45856</v>
      </c>
      <c r="C11194" t="s">
        <v>12</v>
      </c>
      <c r="D11194" s="2">
        <v>0</v>
      </c>
      <c r="E11194" s="2">
        <v>101.02</v>
      </c>
      <c r="F11194" t="s">
        <v>16</v>
      </c>
      <c r="G11194" t="s">
        <v>17</v>
      </c>
    </row>
    <row r="11195" spans="1:7" x14ac:dyDescent="0.35">
      <c r="A11195">
        <v>4447</v>
      </c>
      <c r="B11195" s="1">
        <v>45856</v>
      </c>
      <c r="C11195" t="s">
        <v>12</v>
      </c>
      <c r="D11195" s="2">
        <v>597.9</v>
      </c>
      <c r="E11195" s="2">
        <v>0</v>
      </c>
      <c r="F11195" t="s">
        <v>13</v>
      </c>
      <c r="G11195" t="s">
        <v>9</v>
      </c>
    </row>
    <row r="11196" spans="1:7" x14ac:dyDescent="0.35">
      <c r="A11196">
        <v>4447</v>
      </c>
      <c r="B11196" s="1">
        <v>45856</v>
      </c>
      <c r="C11196" t="s">
        <v>12</v>
      </c>
      <c r="D11196" s="2">
        <v>0</v>
      </c>
      <c r="E11196" s="2">
        <v>556.19000000000005</v>
      </c>
      <c r="F11196" t="s">
        <v>14</v>
      </c>
      <c r="G11196" t="s">
        <v>15</v>
      </c>
    </row>
    <row r="11197" spans="1:7" x14ac:dyDescent="0.35">
      <c r="A11197">
        <v>4447</v>
      </c>
      <c r="B11197" s="1">
        <v>45856</v>
      </c>
      <c r="C11197" t="s">
        <v>12</v>
      </c>
      <c r="D11197" s="2">
        <v>0</v>
      </c>
      <c r="E11197" s="2">
        <v>41.71</v>
      </c>
      <c r="F11197" t="s">
        <v>16</v>
      </c>
      <c r="G11197" t="s">
        <v>17</v>
      </c>
    </row>
    <row r="11198" spans="1:7" x14ac:dyDescent="0.35">
      <c r="A11198">
        <v>4448</v>
      </c>
      <c r="B11198" s="1">
        <v>45856</v>
      </c>
      <c r="C11198" t="s">
        <v>12</v>
      </c>
      <c r="D11198" s="2">
        <v>495.01</v>
      </c>
      <c r="E11198" s="2">
        <v>0</v>
      </c>
      <c r="F11198" t="s">
        <v>13</v>
      </c>
      <c r="G11198" t="s">
        <v>9</v>
      </c>
    </row>
    <row r="11199" spans="1:7" x14ac:dyDescent="0.35">
      <c r="A11199">
        <v>4448</v>
      </c>
      <c r="B11199" s="1">
        <v>45856</v>
      </c>
      <c r="C11199" t="s">
        <v>12</v>
      </c>
      <c r="D11199" s="2">
        <v>0</v>
      </c>
      <c r="E11199" s="2">
        <v>460.47</v>
      </c>
      <c r="F11199" t="s">
        <v>14</v>
      </c>
      <c r="G11199" t="s">
        <v>15</v>
      </c>
    </row>
    <row r="11200" spans="1:7" x14ac:dyDescent="0.35">
      <c r="A11200">
        <v>4448</v>
      </c>
      <c r="B11200" s="1">
        <v>45856</v>
      </c>
      <c r="C11200" t="s">
        <v>12</v>
      </c>
      <c r="D11200" s="2">
        <v>0</v>
      </c>
      <c r="E11200" s="2">
        <v>34.54</v>
      </c>
      <c r="F11200" t="s">
        <v>16</v>
      </c>
      <c r="G11200" t="s">
        <v>17</v>
      </c>
    </row>
    <row r="11201" spans="1:7" x14ac:dyDescent="0.35">
      <c r="A11201">
        <v>4449</v>
      </c>
      <c r="B11201" s="1">
        <v>45856</v>
      </c>
      <c r="C11201" t="s">
        <v>24</v>
      </c>
      <c r="D11201" s="2">
        <v>1893.77</v>
      </c>
      <c r="E11201" s="2">
        <v>0</v>
      </c>
      <c r="F11201" t="s">
        <v>8</v>
      </c>
      <c r="G11201" t="s">
        <v>9</v>
      </c>
    </row>
    <row r="11202" spans="1:7" x14ac:dyDescent="0.35">
      <c r="A11202">
        <v>4449</v>
      </c>
      <c r="B11202" s="1">
        <v>45856</v>
      </c>
      <c r="C11202" t="s">
        <v>24</v>
      </c>
      <c r="D11202" s="2">
        <v>0</v>
      </c>
      <c r="E11202" s="2">
        <v>1893.77</v>
      </c>
      <c r="F11202" t="s">
        <v>13</v>
      </c>
      <c r="G11202" t="s">
        <v>9</v>
      </c>
    </row>
    <row r="11203" spans="1:7" x14ac:dyDescent="0.35">
      <c r="A11203">
        <v>4450</v>
      </c>
      <c r="B11203" s="1">
        <v>45856</v>
      </c>
      <c r="C11203" t="s">
        <v>24</v>
      </c>
      <c r="D11203" s="2">
        <v>2704.01</v>
      </c>
      <c r="E11203" s="2">
        <v>0</v>
      </c>
      <c r="F11203" t="s">
        <v>8</v>
      </c>
      <c r="G11203" t="s">
        <v>9</v>
      </c>
    </row>
    <row r="11204" spans="1:7" x14ac:dyDescent="0.35">
      <c r="A11204">
        <v>4450</v>
      </c>
      <c r="B11204" s="1">
        <v>45856</v>
      </c>
      <c r="C11204" t="s">
        <v>24</v>
      </c>
      <c r="D11204" s="2">
        <v>0</v>
      </c>
      <c r="E11204" s="2">
        <v>2704.01</v>
      </c>
      <c r="F11204" t="s">
        <v>13</v>
      </c>
      <c r="G11204" t="s">
        <v>9</v>
      </c>
    </row>
    <row r="11205" spans="1:7" x14ac:dyDescent="0.35">
      <c r="A11205">
        <v>4451</v>
      </c>
      <c r="B11205" s="1">
        <v>45856</v>
      </c>
      <c r="C11205" t="s">
        <v>24</v>
      </c>
      <c r="D11205" s="2">
        <v>1360.79</v>
      </c>
      <c r="E11205" s="2">
        <v>0</v>
      </c>
      <c r="F11205" t="s">
        <v>8</v>
      </c>
      <c r="G11205" t="s">
        <v>9</v>
      </c>
    </row>
    <row r="11206" spans="1:7" x14ac:dyDescent="0.35">
      <c r="A11206">
        <v>4451</v>
      </c>
      <c r="B11206" s="1">
        <v>45856</v>
      </c>
      <c r="C11206" t="s">
        <v>24</v>
      </c>
      <c r="D11206" s="2">
        <v>0</v>
      </c>
      <c r="E11206" s="2">
        <v>1360.79</v>
      </c>
      <c r="F11206" t="s">
        <v>13</v>
      </c>
      <c r="G11206" t="s">
        <v>9</v>
      </c>
    </row>
    <row r="11207" spans="1:7" x14ac:dyDescent="0.35">
      <c r="A11207">
        <v>4452</v>
      </c>
      <c r="B11207" s="1">
        <v>45856</v>
      </c>
      <c r="C11207" t="s">
        <v>24</v>
      </c>
      <c r="D11207" s="2">
        <v>1850.3</v>
      </c>
      <c r="E11207" s="2">
        <v>0</v>
      </c>
      <c r="F11207" t="s">
        <v>8</v>
      </c>
      <c r="G11207" t="s">
        <v>9</v>
      </c>
    </row>
    <row r="11208" spans="1:7" x14ac:dyDescent="0.35">
      <c r="A11208">
        <v>4452</v>
      </c>
      <c r="B11208" s="1">
        <v>45856</v>
      </c>
      <c r="C11208" t="s">
        <v>24</v>
      </c>
      <c r="D11208" s="2">
        <v>0</v>
      </c>
      <c r="E11208" s="2">
        <v>1850.3</v>
      </c>
      <c r="F11208" t="s">
        <v>13</v>
      </c>
      <c r="G11208" t="s">
        <v>9</v>
      </c>
    </row>
    <row r="11209" spans="1:7" x14ac:dyDescent="0.35">
      <c r="A11209">
        <v>4453</v>
      </c>
      <c r="B11209" s="1">
        <v>45856</v>
      </c>
      <c r="C11209" t="s">
        <v>24</v>
      </c>
      <c r="D11209" s="2">
        <v>2453.71</v>
      </c>
      <c r="E11209" s="2">
        <v>0</v>
      </c>
      <c r="F11209" t="s">
        <v>8</v>
      </c>
      <c r="G11209" t="s">
        <v>9</v>
      </c>
    </row>
    <row r="11210" spans="1:7" x14ac:dyDescent="0.35">
      <c r="A11210">
        <v>4453</v>
      </c>
      <c r="B11210" s="1">
        <v>45856</v>
      </c>
      <c r="C11210" t="s">
        <v>24</v>
      </c>
      <c r="D11210" s="2">
        <v>0</v>
      </c>
      <c r="E11210" s="2">
        <v>2453.71</v>
      </c>
      <c r="F11210" t="s">
        <v>13</v>
      </c>
      <c r="G11210" t="s">
        <v>9</v>
      </c>
    </row>
    <row r="11211" spans="1:7" x14ac:dyDescent="0.35">
      <c r="A11211">
        <v>4454</v>
      </c>
      <c r="B11211" s="1">
        <v>45856</v>
      </c>
      <c r="C11211" t="s">
        <v>24</v>
      </c>
      <c r="D11211" s="2">
        <v>537.47</v>
      </c>
      <c r="E11211" s="2">
        <v>0</v>
      </c>
      <c r="F11211" t="s">
        <v>8</v>
      </c>
      <c r="G11211" t="s">
        <v>9</v>
      </c>
    </row>
    <row r="11212" spans="1:7" x14ac:dyDescent="0.35">
      <c r="A11212">
        <v>4454</v>
      </c>
      <c r="B11212" s="1">
        <v>45856</v>
      </c>
      <c r="C11212" t="s">
        <v>24</v>
      </c>
      <c r="D11212" s="2">
        <v>0</v>
      </c>
      <c r="E11212" s="2">
        <v>537.47</v>
      </c>
      <c r="F11212" t="s">
        <v>13</v>
      </c>
      <c r="G11212" t="s">
        <v>9</v>
      </c>
    </row>
    <row r="11213" spans="1:7" x14ac:dyDescent="0.35">
      <c r="A11213">
        <v>4455</v>
      </c>
      <c r="B11213" s="1">
        <v>45856</v>
      </c>
      <c r="C11213" t="s">
        <v>24</v>
      </c>
      <c r="D11213" s="2">
        <v>4961.7700000000004</v>
      </c>
      <c r="E11213" s="2">
        <v>0</v>
      </c>
      <c r="F11213" t="s">
        <v>8</v>
      </c>
      <c r="G11213" t="s">
        <v>9</v>
      </c>
    </row>
    <row r="11214" spans="1:7" x14ac:dyDescent="0.35">
      <c r="A11214">
        <v>4455</v>
      </c>
      <c r="B11214" s="1">
        <v>45856</v>
      </c>
      <c r="C11214" t="s">
        <v>24</v>
      </c>
      <c r="D11214" s="2">
        <v>0</v>
      </c>
      <c r="E11214" s="2">
        <v>4961.7700000000004</v>
      </c>
      <c r="F11214" t="s">
        <v>13</v>
      </c>
      <c r="G11214" t="s">
        <v>9</v>
      </c>
    </row>
    <row r="11215" spans="1:7" x14ac:dyDescent="0.35">
      <c r="A11215">
        <v>4456</v>
      </c>
      <c r="B11215" s="1">
        <v>45856</v>
      </c>
      <c r="C11215" t="s">
        <v>24</v>
      </c>
      <c r="D11215" s="2">
        <v>495.01</v>
      </c>
      <c r="E11215" s="2">
        <v>0</v>
      </c>
      <c r="F11215" t="s">
        <v>8</v>
      </c>
      <c r="G11215" t="s">
        <v>9</v>
      </c>
    </row>
    <row r="11216" spans="1:7" x14ac:dyDescent="0.35">
      <c r="A11216">
        <v>4456</v>
      </c>
      <c r="B11216" s="1">
        <v>45856</v>
      </c>
      <c r="C11216" t="s">
        <v>24</v>
      </c>
      <c r="D11216" s="2">
        <v>0</v>
      </c>
      <c r="E11216" s="2">
        <v>495.01</v>
      </c>
      <c r="F11216" t="s">
        <v>13</v>
      </c>
      <c r="G11216" t="s">
        <v>9</v>
      </c>
    </row>
    <row r="11217" spans="1:7" x14ac:dyDescent="0.35">
      <c r="A11217">
        <v>4457</v>
      </c>
      <c r="B11217" s="1">
        <v>45856</v>
      </c>
      <c r="C11217" t="s">
        <v>25</v>
      </c>
      <c r="D11217" s="2">
        <v>166.52</v>
      </c>
      <c r="E11217" s="2">
        <v>0</v>
      </c>
      <c r="F11217" t="s">
        <v>26</v>
      </c>
      <c r="G11217" t="s">
        <v>20</v>
      </c>
    </row>
    <row r="11218" spans="1:7" x14ac:dyDescent="0.35">
      <c r="A11218">
        <v>4457</v>
      </c>
      <c r="B11218" s="1">
        <v>45856</v>
      </c>
      <c r="C11218" t="s">
        <v>25</v>
      </c>
      <c r="D11218" s="2">
        <v>12.49</v>
      </c>
      <c r="E11218" s="2">
        <v>0</v>
      </c>
      <c r="F11218" t="s">
        <v>27</v>
      </c>
      <c r="G11218" t="s">
        <v>9</v>
      </c>
    </row>
    <row r="11219" spans="1:7" x14ac:dyDescent="0.35">
      <c r="A11219">
        <v>4457</v>
      </c>
      <c r="B11219" s="1">
        <v>45856</v>
      </c>
      <c r="C11219" t="s">
        <v>25</v>
      </c>
      <c r="D11219" s="2">
        <v>0</v>
      </c>
      <c r="E11219" s="2">
        <v>179.01</v>
      </c>
      <c r="F11219" t="s">
        <v>28</v>
      </c>
      <c r="G11219" t="s">
        <v>17</v>
      </c>
    </row>
    <row r="11220" spans="1:7" x14ac:dyDescent="0.35">
      <c r="A11220">
        <v>4458</v>
      </c>
      <c r="B11220" s="1">
        <v>45856</v>
      </c>
      <c r="C11220" t="s">
        <v>29</v>
      </c>
      <c r="D11220" s="2">
        <v>1304.6199999999999</v>
      </c>
      <c r="E11220" s="2">
        <v>0</v>
      </c>
      <c r="F11220" t="s">
        <v>28</v>
      </c>
      <c r="G11220" t="s">
        <v>17</v>
      </c>
    </row>
    <row r="11221" spans="1:7" x14ac:dyDescent="0.35">
      <c r="A11221">
        <v>4458</v>
      </c>
      <c r="B11221" s="1">
        <v>45856</v>
      </c>
      <c r="C11221" t="s">
        <v>29</v>
      </c>
      <c r="D11221" s="2">
        <v>0</v>
      </c>
      <c r="E11221" s="2">
        <v>1304.6199999999999</v>
      </c>
      <c r="F11221" t="s">
        <v>8</v>
      </c>
      <c r="G11221" t="s">
        <v>9</v>
      </c>
    </row>
    <row r="11222" spans="1:7" x14ac:dyDescent="0.35">
      <c r="A11222">
        <v>4459</v>
      </c>
      <c r="B11222" s="1">
        <v>45856</v>
      </c>
      <c r="C11222" t="s">
        <v>29</v>
      </c>
      <c r="D11222" s="2">
        <v>7227.44</v>
      </c>
      <c r="E11222" s="2">
        <v>0</v>
      </c>
      <c r="F11222" t="s">
        <v>28</v>
      </c>
      <c r="G11222" t="s">
        <v>17</v>
      </c>
    </row>
    <row r="11223" spans="1:7" x14ac:dyDescent="0.35">
      <c r="A11223">
        <v>4459</v>
      </c>
      <c r="B11223" s="1">
        <v>45856</v>
      </c>
      <c r="C11223" t="s">
        <v>29</v>
      </c>
      <c r="D11223" s="2">
        <v>0</v>
      </c>
      <c r="E11223" s="2">
        <v>7227.44</v>
      </c>
      <c r="F11223" t="s">
        <v>8</v>
      </c>
      <c r="G11223" t="s">
        <v>9</v>
      </c>
    </row>
    <row r="11224" spans="1:7" x14ac:dyDescent="0.35">
      <c r="A11224">
        <v>4460</v>
      </c>
      <c r="B11224" s="1">
        <v>45859</v>
      </c>
      <c r="C11224" t="s">
        <v>12</v>
      </c>
      <c r="D11224" s="2">
        <v>4200.2700000000004</v>
      </c>
      <c r="E11224" s="2">
        <v>0</v>
      </c>
      <c r="F11224" t="s">
        <v>13</v>
      </c>
      <c r="G11224" t="s">
        <v>9</v>
      </c>
    </row>
    <row r="11225" spans="1:7" x14ac:dyDescent="0.35">
      <c r="A11225">
        <v>4460</v>
      </c>
      <c r="B11225" s="1">
        <v>45859</v>
      </c>
      <c r="C11225" t="s">
        <v>12</v>
      </c>
      <c r="D11225" s="2">
        <v>0</v>
      </c>
      <c r="E11225" s="2">
        <v>3907.23</v>
      </c>
      <c r="F11225" t="s">
        <v>14</v>
      </c>
      <c r="G11225" t="s">
        <v>15</v>
      </c>
    </row>
    <row r="11226" spans="1:7" x14ac:dyDescent="0.35">
      <c r="A11226">
        <v>4460</v>
      </c>
      <c r="B11226" s="1">
        <v>45859</v>
      </c>
      <c r="C11226" t="s">
        <v>12</v>
      </c>
      <c r="D11226" s="2">
        <v>0</v>
      </c>
      <c r="E11226" s="2">
        <v>293.04000000000002</v>
      </c>
      <c r="F11226" t="s">
        <v>16</v>
      </c>
      <c r="G11226" t="s">
        <v>17</v>
      </c>
    </row>
    <row r="11227" spans="1:7" x14ac:dyDescent="0.35">
      <c r="A11227">
        <v>4461</v>
      </c>
      <c r="B11227" s="1">
        <v>45859</v>
      </c>
      <c r="C11227" t="s">
        <v>12</v>
      </c>
      <c r="D11227" s="2">
        <v>3983.88</v>
      </c>
      <c r="E11227" s="2">
        <v>0</v>
      </c>
      <c r="F11227" t="s">
        <v>13</v>
      </c>
      <c r="G11227" t="s">
        <v>9</v>
      </c>
    </row>
    <row r="11228" spans="1:7" x14ac:dyDescent="0.35">
      <c r="A11228">
        <v>4461</v>
      </c>
      <c r="B11228" s="1">
        <v>45859</v>
      </c>
      <c r="C11228" t="s">
        <v>12</v>
      </c>
      <c r="D11228" s="2">
        <v>0</v>
      </c>
      <c r="E11228" s="2">
        <v>3705.94</v>
      </c>
      <c r="F11228" t="s">
        <v>14</v>
      </c>
      <c r="G11228" t="s">
        <v>15</v>
      </c>
    </row>
    <row r="11229" spans="1:7" x14ac:dyDescent="0.35">
      <c r="A11229">
        <v>4461</v>
      </c>
      <c r="B11229" s="1">
        <v>45859</v>
      </c>
      <c r="C11229" t="s">
        <v>12</v>
      </c>
      <c r="D11229" s="2">
        <v>0</v>
      </c>
      <c r="E11229" s="2">
        <v>277.94</v>
      </c>
      <c r="F11229" t="s">
        <v>16</v>
      </c>
      <c r="G11229" t="s">
        <v>17</v>
      </c>
    </row>
    <row r="11230" spans="1:7" x14ac:dyDescent="0.35">
      <c r="A11230">
        <v>4462</v>
      </c>
      <c r="B11230" s="1">
        <v>45859</v>
      </c>
      <c r="C11230" t="s">
        <v>12</v>
      </c>
      <c r="D11230" s="2">
        <v>3043.03</v>
      </c>
      <c r="E11230" s="2">
        <v>0</v>
      </c>
      <c r="F11230" t="s">
        <v>13</v>
      </c>
      <c r="G11230" t="s">
        <v>9</v>
      </c>
    </row>
    <row r="11231" spans="1:7" x14ac:dyDescent="0.35">
      <c r="A11231">
        <v>4462</v>
      </c>
      <c r="B11231" s="1">
        <v>45859</v>
      </c>
      <c r="C11231" t="s">
        <v>12</v>
      </c>
      <c r="D11231" s="2">
        <v>0</v>
      </c>
      <c r="E11231" s="2">
        <v>2830.72</v>
      </c>
      <c r="F11231" t="s">
        <v>14</v>
      </c>
      <c r="G11231" t="s">
        <v>15</v>
      </c>
    </row>
    <row r="11232" spans="1:7" x14ac:dyDescent="0.35">
      <c r="A11232">
        <v>4462</v>
      </c>
      <c r="B11232" s="1">
        <v>45859</v>
      </c>
      <c r="C11232" t="s">
        <v>12</v>
      </c>
      <c r="D11232" s="2">
        <v>0</v>
      </c>
      <c r="E11232" s="2">
        <v>212.31</v>
      </c>
      <c r="F11232" t="s">
        <v>16</v>
      </c>
      <c r="G11232" t="s">
        <v>17</v>
      </c>
    </row>
    <row r="11233" spans="1:7" x14ac:dyDescent="0.35">
      <c r="A11233">
        <v>4463</v>
      </c>
      <c r="B11233" s="1">
        <v>45859</v>
      </c>
      <c r="C11233" t="s">
        <v>12</v>
      </c>
      <c r="D11233" s="2">
        <v>4182.66</v>
      </c>
      <c r="E11233" s="2">
        <v>0</v>
      </c>
      <c r="F11233" t="s">
        <v>13</v>
      </c>
      <c r="G11233" t="s">
        <v>9</v>
      </c>
    </row>
    <row r="11234" spans="1:7" x14ac:dyDescent="0.35">
      <c r="A11234">
        <v>4463</v>
      </c>
      <c r="B11234" s="1">
        <v>45859</v>
      </c>
      <c r="C11234" t="s">
        <v>12</v>
      </c>
      <c r="D11234" s="2">
        <v>0</v>
      </c>
      <c r="E11234" s="2">
        <v>3890.84</v>
      </c>
      <c r="F11234" t="s">
        <v>14</v>
      </c>
      <c r="G11234" t="s">
        <v>15</v>
      </c>
    </row>
    <row r="11235" spans="1:7" x14ac:dyDescent="0.35">
      <c r="A11235">
        <v>4463</v>
      </c>
      <c r="B11235" s="1">
        <v>45859</v>
      </c>
      <c r="C11235" t="s">
        <v>12</v>
      </c>
      <c r="D11235" s="2">
        <v>0</v>
      </c>
      <c r="E11235" s="2">
        <v>291.82</v>
      </c>
      <c r="F11235" t="s">
        <v>16</v>
      </c>
      <c r="G11235" t="s">
        <v>17</v>
      </c>
    </row>
    <row r="11236" spans="1:7" x14ac:dyDescent="0.35">
      <c r="A11236">
        <v>4464</v>
      </c>
      <c r="B11236" s="1">
        <v>45859</v>
      </c>
      <c r="C11236" t="s">
        <v>12</v>
      </c>
      <c r="D11236" s="2">
        <v>3443.53</v>
      </c>
      <c r="E11236" s="2">
        <v>0</v>
      </c>
      <c r="F11236" t="s">
        <v>13</v>
      </c>
      <c r="G11236" t="s">
        <v>9</v>
      </c>
    </row>
    <row r="11237" spans="1:7" x14ac:dyDescent="0.35">
      <c r="A11237">
        <v>4464</v>
      </c>
      <c r="B11237" s="1">
        <v>45859</v>
      </c>
      <c r="C11237" t="s">
        <v>12</v>
      </c>
      <c r="D11237" s="2">
        <v>0</v>
      </c>
      <c r="E11237" s="2">
        <v>3203.29</v>
      </c>
      <c r="F11237" t="s">
        <v>14</v>
      </c>
      <c r="G11237" t="s">
        <v>15</v>
      </c>
    </row>
    <row r="11238" spans="1:7" x14ac:dyDescent="0.35">
      <c r="A11238">
        <v>4464</v>
      </c>
      <c r="B11238" s="1">
        <v>45859</v>
      </c>
      <c r="C11238" t="s">
        <v>12</v>
      </c>
      <c r="D11238" s="2">
        <v>0</v>
      </c>
      <c r="E11238" s="2">
        <v>240.24</v>
      </c>
      <c r="F11238" t="s">
        <v>16</v>
      </c>
      <c r="G11238" t="s">
        <v>17</v>
      </c>
    </row>
    <row r="11239" spans="1:7" x14ac:dyDescent="0.35">
      <c r="A11239">
        <v>4465</v>
      </c>
      <c r="B11239" s="1">
        <v>45859</v>
      </c>
      <c r="C11239" t="s">
        <v>12</v>
      </c>
      <c r="D11239" s="2">
        <v>2340.56</v>
      </c>
      <c r="E11239" s="2">
        <v>0</v>
      </c>
      <c r="F11239" t="s">
        <v>13</v>
      </c>
      <c r="G11239" t="s">
        <v>9</v>
      </c>
    </row>
    <row r="11240" spans="1:7" x14ac:dyDescent="0.35">
      <c r="A11240">
        <v>4465</v>
      </c>
      <c r="B11240" s="1">
        <v>45859</v>
      </c>
      <c r="C11240" t="s">
        <v>12</v>
      </c>
      <c r="D11240" s="2">
        <v>0</v>
      </c>
      <c r="E11240" s="2">
        <v>2177.27</v>
      </c>
      <c r="F11240" t="s">
        <v>14</v>
      </c>
      <c r="G11240" t="s">
        <v>15</v>
      </c>
    </row>
    <row r="11241" spans="1:7" x14ac:dyDescent="0.35">
      <c r="A11241">
        <v>4465</v>
      </c>
      <c r="B11241" s="1">
        <v>45859</v>
      </c>
      <c r="C11241" t="s">
        <v>12</v>
      </c>
      <c r="D11241" s="2">
        <v>0</v>
      </c>
      <c r="E11241" s="2">
        <v>163.29</v>
      </c>
      <c r="F11241" t="s">
        <v>16</v>
      </c>
      <c r="G11241" t="s">
        <v>17</v>
      </c>
    </row>
    <row r="11242" spans="1:7" x14ac:dyDescent="0.35">
      <c r="A11242">
        <v>4466</v>
      </c>
      <c r="B11242" s="1">
        <v>45859</v>
      </c>
      <c r="C11242" t="s">
        <v>12</v>
      </c>
      <c r="D11242" s="2">
        <v>2852.73</v>
      </c>
      <c r="E11242" s="2">
        <v>0</v>
      </c>
      <c r="F11242" t="s">
        <v>13</v>
      </c>
      <c r="G11242" t="s">
        <v>9</v>
      </c>
    </row>
    <row r="11243" spans="1:7" x14ac:dyDescent="0.35">
      <c r="A11243">
        <v>4466</v>
      </c>
      <c r="B11243" s="1">
        <v>45859</v>
      </c>
      <c r="C11243" t="s">
        <v>12</v>
      </c>
      <c r="D11243" s="2">
        <v>0</v>
      </c>
      <c r="E11243" s="2">
        <v>2653.71</v>
      </c>
      <c r="F11243" t="s">
        <v>14</v>
      </c>
      <c r="G11243" t="s">
        <v>15</v>
      </c>
    </row>
    <row r="11244" spans="1:7" x14ac:dyDescent="0.35">
      <c r="A11244">
        <v>4466</v>
      </c>
      <c r="B11244" s="1">
        <v>45859</v>
      </c>
      <c r="C11244" t="s">
        <v>12</v>
      </c>
      <c r="D11244" s="2">
        <v>0</v>
      </c>
      <c r="E11244" s="2">
        <v>199.02</v>
      </c>
      <c r="F11244" t="s">
        <v>16</v>
      </c>
      <c r="G11244" t="s">
        <v>17</v>
      </c>
    </row>
    <row r="11245" spans="1:7" x14ac:dyDescent="0.35">
      <c r="A11245">
        <v>4467</v>
      </c>
      <c r="B11245" s="1">
        <v>45859</v>
      </c>
      <c r="C11245" t="s">
        <v>24</v>
      </c>
      <c r="D11245" s="2">
        <v>743.24</v>
      </c>
      <c r="E11245" s="2">
        <v>0</v>
      </c>
      <c r="F11245" t="s">
        <v>8</v>
      </c>
      <c r="G11245" t="s">
        <v>9</v>
      </c>
    </row>
    <row r="11246" spans="1:7" x14ac:dyDescent="0.35">
      <c r="A11246">
        <v>4467</v>
      </c>
      <c r="B11246" s="1">
        <v>45859</v>
      </c>
      <c r="C11246" t="s">
        <v>24</v>
      </c>
      <c r="D11246" s="2">
        <v>0</v>
      </c>
      <c r="E11246" s="2">
        <v>743.24</v>
      </c>
      <c r="F11246" t="s">
        <v>13</v>
      </c>
      <c r="G11246" t="s">
        <v>9</v>
      </c>
    </row>
    <row r="11247" spans="1:7" x14ac:dyDescent="0.35">
      <c r="A11247">
        <v>4468</v>
      </c>
      <c r="B11247" s="1">
        <v>45859</v>
      </c>
      <c r="C11247" t="s">
        <v>25</v>
      </c>
      <c r="D11247" s="2">
        <v>383.76</v>
      </c>
      <c r="E11247" s="2">
        <v>0</v>
      </c>
      <c r="F11247" t="s">
        <v>26</v>
      </c>
      <c r="G11247" t="s">
        <v>20</v>
      </c>
    </row>
    <row r="11248" spans="1:7" x14ac:dyDescent="0.35">
      <c r="A11248">
        <v>4468</v>
      </c>
      <c r="B11248" s="1">
        <v>45859</v>
      </c>
      <c r="C11248" t="s">
        <v>25</v>
      </c>
      <c r="D11248" s="2">
        <v>28.78</v>
      </c>
      <c r="E11248" s="2">
        <v>0</v>
      </c>
      <c r="F11248" t="s">
        <v>27</v>
      </c>
      <c r="G11248" t="s">
        <v>9</v>
      </c>
    </row>
    <row r="11249" spans="1:7" x14ac:dyDescent="0.35">
      <c r="A11249">
        <v>4468</v>
      </c>
      <c r="B11249" s="1">
        <v>45859</v>
      </c>
      <c r="C11249" t="s">
        <v>25</v>
      </c>
      <c r="D11249" s="2">
        <v>0</v>
      </c>
      <c r="E11249" s="2">
        <v>412.54</v>
      </c>
      <c r="F11249" t="s">
        <v>28</v>
      </c>
      <c r="G11249" t="s">
        <v>17</v>
      </c>
    </row>
    <row r="11250" spans="1:7" x14ac:dyDescent="0.35">
      <c r="A11250">
        <v>4469</v>
      </c>
      <c r="B11250" s="1">
        <v>45859</v>
      </c>
      <c r="C11250" t="s">
        <v>25</v>
      </c>
      <c r="D11250" s="2">
        <v>3598.88</v>
      </c>
      <c r="E11250" s="2">
        <v>0</v>
      </c>
      <c r="F11250" t="s">
        <v>26</v>
      </c>
      <c r="G11250" t="s">
        <v>20</v>
      </c>
    </row>
    <row r="11251" spans="1:7" x14ac:dyDescent="0.35">
      <c r="A11251">
        <v>4469</v>
      </c>
      <c r="B11251" s="1">
        <v>45859</v>
      </c>
      <c r="C11251" t="s">
        <v>25</v>
      </c>
      <c r="D11251" s="2">
        <v>269.92</v>
      </c>
      <c r="E11251" s="2">
        <v>0</v>
      </c>
      <c r="F11251" t="s">
        <v>27</v>
      </c>
      <c r="G11251" t="s">
        <v>9</v>
      </c>
    </row>
    <row r="11252" spans="1:7" x14ac:dyDescent="0.35">
      <c r="A11252">
        <v>4469</v>
      </c>
      <c r="B11252" s="1">
        <v>45859</v>
      </c>
      <c r="C11252" t="s">
        <v>25</v>
      </c>
      <c r="D11252" s="2">
        <v>0</v>
      </c>
      <c r="E11252" s="2">
        <v>3868.8</v>
      </c>
      <c r="F11252" t="s">
        <v>28</v>
      </c>
      <c r="G11252" t="s">
        <v>17</v>
      </c>
    </row>
    <row r="11253" spans="1:7" x14ac:dyDescent="0.35">
      <c r="A11253">
        <v>4470</v>
      </c>
      <c r="B11253" s="1">
        <v>45859</v>
      </c>
      <c r="C11253" t="s">
        <v>25</v>
      </c>
      <c r="D11253" s="2">
        <v>3282.76</v>
      </c>
      <c r="E11253" s="2">
        <v>0</v>
      </c>
      <c r="F11253" t="s">
        <v>26</v>
      </c>
      <c r="G11253" t="s">
        <v>20</v>
      </c>
    </row>
    <row r="11254" spans="1:7" x14ac:dyDescent="0.35">
      <c r="A11254">
        <v>4470</v>
      </c>
      <c r="B11254" s="1">
        <v>45859</v>
      </c>
      <c r="C11254" t="s">
        <v>25</v>
      </c>
      <c r="D11254" s="2">
        <v>246.21</v>
      </c>
      <c r="E11254" s="2">
        <v>0</v>
      </c>
      <c r="F11254" t="s">
        <v>27</v>
      </c>
      <c r="G11254" t="s">
        <v>9</v>
      </c>
    </row>
    <row r="11255" spans="1:7" x14ac:dyDescent="0.35">
      <c r="A11255">
        <v>4470</v>
      </c>
      <c r="B11255" s="1">
        <v>45859</v>
      </c>
      <c r="C11255" t="s">
        <v>25</v>
      </c>
      <c r="D11255" s="2">
        <v>0</v>
      </c>
      <c r="E11255" s="2">
        <v>3528.97</v>
      </c>
      <c r="F11255" t="s">
        <v>28</v>
      </c>
      <c r="G11255" t="s">
        <v>17</v>
      </c>
    </row>
    <row r="11256" spans="1:7" x14ac:dyDescent="0.35">
      <c r="A11256">
        <v>4471</v>
      </c>
      <c r="B11256" s="1">
        <v>45859</v>
      </c>
      <c r="C11256" t="s">
        <v>25</v>
      </c>
      <c r="D11256" s="2">
        <v>1947.24</v>
      </c>
      <c r="E11256" s="2">
        <v>0</v>
      </c>
      <c r="F11256" t="s">
        <v>26</v>
      </c>
      <c r="G11256" t="s">
        <v>20</v>
      </c>
    </row>
    <row r="11257" spans="1:7" x14ac:dyDescent="0.35">
      <c r="A11257">
        <v>4471</v>
      </c>
      <c r="B11257" s="1">
        <v>45859</v>
      </c>
      <c r="C11257" t="s">
        <v>25</v>
      </c>
      <c r="D11257" s="2">
        <v>146.04</v>
      </c>
      <c r="E11257" s="2">
        <v>0</v>
      </c>
      <c r="F11257" t="s">
        <v>27</v>
      </c>
      <c r="G11257" t="s">
        <v>9</v>
      </c>
    </row>
    <row r="11258" spans="1:7" x14ac:dyDescent="0.35">
      <c r="A11258">
        <v>4471</v>
      </c>
      <c r="B11258" s="1">
        <v>45859</v>
      </c>
      <c r="C11258" t="s">
        <v>25</v>
      </c>
      <c r="D11258" s="2">
        <v>0</v>
      </c>
      <c r="E11258" s="2">
        <v>2093.2800000000002</v>
      </c>
      <c r="F11258" t="s">
        <v>28</v>
      </c>
      <c r="G11258" t="s">
        <v>17</v>
      </c>
    </row>
    <row r="11259" spans="1:7" x14ac:dyDescent="0.35">
      <c r="A11259">
        <v>4472</v>
      </c>
      <c r="B11259" s="1">
        <v>45859</v>
      </c>
      <c r="C11259" t="s">
        <v>25</v>
      </c>
      <c r="D11259" s="2">
        <v>802.71</v>
      </c>
      <c r="E11259" s="2">
        <v>0</v>
      </c>
      <c r="F11259" t="s">
        <v>26</v>
      </c>
      <c r="G11259" t="s">
        <v>20</v>
      </c>
    </row>
    <row r="11260" spans="1:7" x14ac:dyDescent="0.35">
      <c r="A11260">
        <v>4472</v>
      </c>
      <c r="B11260" s="1">
        <v>45859</v>
      </c>
      <c r="C11260" t="s">
        <v>25</v>
      </c>
      <c r="D11260" s="2">
        <v>60.2</v>
      </c>
      <c r="E11260" s="2">
        <v>0</v>
      </c>
      <c r="F11260" t="s">
        <v>27</v>
      </c>
      <c r="G11260" t="s">
        <v>9</v>
      </c>
    </row>
    <row r="11261" spans="1:7" x14ac:dyDescent="0.35">
      <c r="A11261">
        <v>4472</v>
      </c>
      <c r="B11261" s="1">
        <v>45859</v>
      </c>
      <c r="C11261" t="s">
        <v>25</v>
      </c>
      <c r="D11261" s="2">
        <v>0</v>
      </c>
      <c r="E11261" s="2">
        <v>862.91</v>
      </c>
      <c r="F11261" t="s">
        <v>28</v>
      </c>
      <c r="G11261" t="s">
        <v>17</v>
      </c>
    </row>
    <row r="11262" spans="1:7" x14ac:dyDescent="0.35">
      <c r="A11262">
        <v>4473</v>
      </c>
      <c r="B11262" s="1">
        <v>45859</v>
      </c>
      <c r="C11262" t="s">
        <v>25</v>
      </c>
      <c r="D11262" s="2">
        <v>4476.71</v>
      </c>
      <c r="E11262" s="2">
        <v>0</v>
      </c>
      <c r="F11262" t="s">
        <v>26</v>
      </c>
      <c r="G11262" t="s">
        <v>20</v>
      </c>
    </row>
    <row r="11263" spans="1:7" x14ac:dyDescent="0.35">
      <c r="A11263">
        <v>4473</v>
      </c>
      <c r="B11263" s="1">
        <v>45859</v>
      </c>
      <c r="C11263" t="s">
        <v>25</v>
      </c>
      <c r="D11263" s="2">
        <v>335.75</v>
      </c>
      <c r="E11263" s="2">
        <v>0</v>
      </c>
      <c r="F11263" t="s">
        <v>27</v>
      </c>
      <c r="G11263" t="s">
        <v>9</v>
      </c>
    </row>
    <row r="11264" spans="1:7" x14ac:dyDescent="0.35">
      <c r="A11264">
        <v>4473</v>
      </c>
      <c r="B11264" s="1">
        <v>45859</v>
      </c>
      <c r="C11264" t="s">
        <v>25</v>
      </c>
      <c r="D11264" s="2">
        <v>0</v>
      </c>
      <c r="E11264" s="2">
        <v>4812.46</v>
      </c>
      <c r="F11264" t="s">
        <v>28</v>
      </c>
      <c r="G11264" t="s">
        <v>17</v>
      </c>
    </row>
    <row r="11265" spans="1:7" x14ac:dyDescent="0.35">
      <c r="A11265">
        <v>4474</v>
      </c>
      <c r="B11265" s="1">
        <v>45859</v>
      </c>
      <c r="C11265" t="s">
        <v>25</v>
      </c>
      <c r="D11265" s="2">
        <v>2714.58</v>
      </c>
      <c r="E11265" s="2">
        <v>0</v>
      </c>
      <c r="F11265" t="s">
        <v>26</v>
      </c>
      <c r="G11265" t="s">
        <v>20</v>
      </c>
    </row>
    <row r="11266" spans="1:7" x14ac:dyDescent="0.35">
      <c r="A11266">
        <v>4474</v>
      </c>
      <c r="B11266" s="1">
        <v>45859</v>
      </c>
      <c r="C11266" t="s">
        <v>25</v>
      </c>
      <c r="D11266" s="2">
        <v>203.59</v>
      </c>
      <c r="E11266" s="2">
        <v>0</v>
      </c>
      <c r="F11266" t="s">
        <v>27</v>
      </c>
      <c r="G11266" t="s">
        <v>9</v>
      </c>
    </row>
    <row r="11267" spans="1:7" x14ac:dyDescent="0.35">
      <c r="A11267">
        <v>4474</v>
      </c>
      <c r="B11267" s="1">
        <v>45859</v>
      </c>
      <c r="C11267" t="s">
        <v>25</v>
      </c>
      <c r="D11267" s="2">
        <v>0</v>
      </c>
      <c r="E11267" s="2">
        <v>2918.17</v>
      </c>
      <c r="F11267" t="s">
        <v>28</v>
      </c>
      <c r="G11267" t="s">
        <v>17</v>
      </c>
    </row>
    <row r="11268" spans="1:7" x14ac:dyDescent="0.35">
      <c r="A11268">
        <v>4475</v>
      </c>
      <c r="B11268" s="1">
        <v>45859</v>
      </c>
      <c r="C11268" t="s">
        <v>25</v>
      </c>
      <c r="D11268" s="2">
        <v>952.02</v>
      </c>
      <c r="E11268" s="2">
        <v>0</v>
      </c>
      <c r="F11268" t="s">
        <v>26</v>
      </c>
      <c r="G11268" t="s">
        <v>20</v>
      </c>
    </row>
    <row r="11269" spans="1:7" x14ac:dyDescent="0.35">
      <c r="A11269">
        <v>4475</v>
      </c>
      <c r="B11269" s="1">
        <v>45859</v>
      </c>
      <c r="C11269" t="s">
        <v>25</v>
      </c>
      <c r="D11269" s="2">
        <v>71.400000000000006</v>
      </c>
      <c r="E11269" s="2">
        <v>0</v>
      </c>
      <c r="F11269" t="s">
        <v>27</v>
      </c>
      <c r="G11269" t="s">
        <v>9</v>
      </c>
    </row>
    <row r="11270" spans="1:7" x14ac:dyDescent="0.35">
      <c r="A11270">
        <v>4475</v>
      </c>
      <c r="B11270" s="1">
        <v>45859</v>
      </c>
      <c r="C11270" t="s">
        <v>25</v>
      </c>
      <c r="D11270" s="2">
        <v>0</v>
      </c>
      <c r="E11270" s="2">
        <v>1023.42</v>
      </c>
      <c r="F11270" t="s">
        <v>28</v>
      </c>
      <c r="G11270" t="s">
        <v>17</v>
      </c>
    </row>
    <row r="11271" spans="1:7" x14ac:dyDescent="0.35">
      <c r="A11271">
        <v>4476</v>
      </c>
      <c r="B11271" s="1">
        <v>45859</v>
      </c>
      <c r="C11271" t="s">
        <v>25</v>
      </c>
      <c r="D11271" s="2">
        <v>2451.5</v>
      </c>
      <c r="E11271" s="2">
        <v>0</v>
      </c>
      <c r="F11271" t="s">
        <v>26</v>
      </c>
      <c r="G11271" t="s">
        <v>20</v>
      </c>
    </row>
    <row r="11272" spans="1:7" x14ac:dyDescent="0.35">
      <c r="A11272">
        <v>4476</v>
      </c>
      <c r="B11272" s="1">
        <v>45859</v>
      </c>
      <c r="C11272" t="s">
        <v>25</v>
      </c>
      <c r="D11272" s="2">
        <v>183.86</v>
      </c>
      <c r="E11272" s="2">
        <v>0</v>
      </c>
      <c r="F11272" t="s">
        <v>27</v>
      </c>
      <c r="G11272" t="s">
        <v>9</v>
      </c>
    </row>
    <row r="11273" spans="1:7" x14ac:dyDescent="0.35">
      <c r="A11273">
        <v>4476</v>
      </c>
      <c r="B11273" s="1">
        <v>45859</v>
      </c>
      <c r="C11273" t="s">
        <v>25</v>
      </c>
      <c r="D11273" s="2">
        <v>0</v>
      </c>
      <c r="E11273" s="2">
        <v>2635.36</v>
      </c>
      <c r="F11273" t="s">
        <v>28</v>
      </c>
      <c r="G11273" t="s">
        <v>17</v>
      </c>
    </row>
    <row r="11274" spans="1:7" x14ac:dyDescent="0.35">
      <c r="A11274">
        <v>4477</v>
      </c>
      <c r="B11274" s="1">
        <v>45859</v>
      </c>
      <c r="C11274" t="s">
        <v>29</v>
      </c>
      <c r="D11274" s="2">
        <v>179.01</v>
      </c>
      <c r="E11274" s="2">
        <v>0</v>
      </c>
      <c r="F11274" t="s">
        <v>28</v>
      </c>
      <c r="G11274" t="s">
        <v>17</v>
      </c>
    </row>
    <row r="11275" spans="1:7" x14ac:dyDescent="0.35">
      <c r="A11275">
        <v>4477</v>
      </c>
      <c r="B11275" s="1">
        <v>45859</v>
      </c>
      <c r="C11275" t="s">
        <v>29</v>
      </c>
      <c r="D11275" s="2">
        <v>0</v>
      </c>
      <c r="E11275" s="2">
        <v>179.01</v>
      </c>
      <c r="F11275" t="s">
        <v>8</v>
      </c>
      <c r="G11275" t="s">
        <v>9</v>
      </c>
    </row>
    <row r="11276" spans="1:7" x14ac:dyDescent="0.35">
      <c r="A11276">
        <v>4478</v>
      </c>
      <c r="B11276" s="1">
        <v>45859</v>
      </c>
      <c r="C11276" t="s">
        <v>29</v>
      </c>
      <c r="D11276" s="2">
        <v>1591.54</v>
      </c>
      <c r="E11276" s="2">
        <v>0</v>
      </c>
      <c r="F11276" t="s">
        <v>28</v>
      </c>
      <c r="G11276" t="s">
        <v>17</v>
      </c>
    </row>
    <row r="11277" spans="1:7" x14ac:dyDescent="0.35">
      <c r="A11277">
        <v>4478</v>
      </c>
      <c r="B11277" s="1">
        <v>45859</v>
      </c>
      <c r="C11277" t="s">
        <v>29</v>
      </c>
      <c r="D11277" s="2">
        <v>0</v>
      </c>
      <c r="E11277" s="2">
        <v>1591.54</v>
      </c>
      <c r="F11277" t="s">
        <v>8</v>
      </c>
      <c r="G11277" t="s">
        <v>9</v>
      </c>
    </row>
    <row r="11278" spans="1:7" x14ac:dyDescent="0.35">
      <c r="A11278">
        <v>4479</v>
      </c>
      <c r="B11278" s="1">
        <v>45859</v>
      </c>
      <c r="C11278" t="s">
        <v>29</v>
      </c>
      <c r="D11278" s="2">
        <v>862.91</v>
      </c>
      <c r="E11278" s="2">
        <v>0</v>
      </c>
      <c r="F11278" t="s">
        <v>28</v>
      </c>
      <c r="G11278" t="s">
        <v>17</v>
      </c>
    </row>
    <row r="11279" spans="1:7" x14ac:dyDescent="0.35">
      <c r="A11279">
        <v>4479</v>
      </c>
      <c r="B11279" s="1">
        <v>45859</v>
      </c>
      <c r="C11279" t="s">
        <v>29</v>
      </c>
      <c r="D11279" s="2">
        <v>0</v>
      </c>
      <c r="E11279" s="2">
        <v>862.91</v>
      </c>
      <c r="F11279" t="s">
        <v>8</v>
      </c>
      <c r="G11279" t="s">
        <v>9</v>
      </c>
    </row>
    <row r="11280" spans="1:7" x14ac:dyDescent="0.35">
      <c r="A11280">
        <v>4480</v>
      </c>
      <c r="B11280" s="1">
        <v>45860</v>
      </c>
      <c r="C11280" t="s">
        <v>12</v>
      </c>
      <c r="D11280" s="2">
        <v>440.88</v>
      </c>
      <c r="E11280" s="2">
        <v>0</v>
      </c>
      <c r="F11280" t="s">
        <v>13</v>
      </c>
      <c r="G11280" t="s">
        <v>9</v>
      </c>
    </row>
    <row r="11281" spans="1:7" x14ac:dyDescent="0.35">
      <c r="A11281">
        <v>4480</v>
      </c>
      <c r="B11281" s="1">
        <v>45860</v>
      </c>
      <c r="C11281" t="s">
        <v>12</v>
      </c>
      <c r="D11281" s="2">
        <v>0</v>
      </c>
      <c r="E11281" s="2">
        <v>410.12</v>
      </c>
      <c r="F11281" t="s">
        <v>14</v>
      </c>
      <c r="G11281" t="s">
        <v>15</v>
      </c>
    </row>
    <row r="11282" spans="1:7" x14ac:dyDescent="0.35">
      <c r="A11282">
        <v>4480</v>
      </c>
      <c r="B11282" s="1">
        <v>45860</v>
      </c>
      <c r="C11282" t="s">
        <v>12</v>
      </c>
      <c r="D11282" s="2">
        <v>0</v>
      </c>
      <c r="E11282" s="2">
        <v>30.76</v>
      </c>
      <c r="F11282" t="s">
        <v>16</v>
      </c>
      <c r="G11282" t="s">
        <v>17</v>
      </c>
    </row>
    <row r="11283" spans="1:7" x14ac:dyDescent="0.35">
      <c r="A11283">
        <v>4481</v>
      </c>
      <c r="B11283" s="1">
        <v>45860</v>
      </c>
      <c r="C11283" t="s">
        <v>12</v>
      </c>
      <c r="D11283" s="2">
        <v>2458.4</v>
      </c>
      <c r="E11283" s="2">
        <v>0</v>
      </c>
      <c r="F11283" t="s">
        <v>13</v>
      </c>
      <c r="G11283" t="s">
        <v>9</v>
      </c>
    </row>
    <row r="11284" spans="1:7" x14ac:dyDescent="0.35">
      <c r="A11284">
        <v>4481</v>
      </c>
      <c r="B11284" s="1">
        <v>45860</v>
      </c>
      <c r="C11284" t="s">
        <v>12</v>
      </c>
      <c r="D11284" s="2">
        <v>0</v>
      </c>
      <c r="E11284" s="2">
        <v>2286.87</v>
      </c>
      <c r="F11284" t="s">
        <v>14</v>
      </c>
      <c r="G11284" t="s">
        <v>15</v>
      </c>
    </row>
    <row r="11285" spans="1:7" x14ac:dyDescent="0.35">
      <c r="A11285">
        <v>4481</v>
      </c>
      <c r="B11285" s="1">
        <v>45860</v>
      </c>
      <c r="C11285" t="s">
        <v>12</v>
      </c>
      <c r="D11285" s="2">
        <v>0</v>
      </c>
      <c r="E11285" s="2">
        <v>171.53</v>
      </c>
      <c r="F11285" t="s">
        <v>16</v>
      </c>
      <c r="G11285" t="s">
        <v>17</v>
      </c>
    </row>
    <row r="11286" spans="1:7" x14ac:dyDescent="0.35">
      <c r="A11286">
        <v>4482</v>
      </c>
      <c r="B11286" s="1">
        <v>45860</v>
      </c>
      <c r="C11286" t="s">
        <v>12</v>
      </c>
      <c r="D11286" s="2">
        <v>1580.63</v>
      </c>
      <c r="E11286" s="2">
        <v>0</v>
      </c>
      <c r="F11286" t="s">
        <v>13</v>
      </c>
      <c r="G11286" t="s">
        <v>9</v>
      </c>
    </row>
    <row r="11287" spans="1:7" x14ac:dyDescent="0.35">
      <c r="A11287">
        <v>4482</v>
      </c>
      <c r="B11287" s="1">
        <v>45860</v>
      </c>
      <c r="C11287" t="s">
        <v>12</v>
      </c>
      <c r="D11287" s="2">
        <v>0</v>
      </c>
      <c r="E11287" s="2">
        <v>1470.35</v>
      </c>
      <c r="F11287" t="s">
        <v>14</v>
      </c>
      <c r="G11287" t="s">
        <v>15</v>
      </c>
    </row>
    <row r="11288" spans="1:7" x14ac:dyDescent="0.35">
      <c r="A11288">
        <v>4482</v>
      </c>
      <c r="B11288" s="1">
        <v>45860</v>
      </c>
      <c r="C11288" t="s">
        <v>12</v>
      </c>
      <c r="D11288" s="2">
        <v>0</v>
      </c>
      <c r="E11288" s="2">
        <v>110.28</v>
      </c>
      <c r="F11288" t="s">
        <v>16</v>
      </c>
      <c r="G11288" t="s">
        <v>17</v>
      </c>
    </row>
    <row r="11289" spans="1:7" x14ac:dyDescent="0.35">
      <c r="A11289">
        <v>4483</v>
      </c>
      <c r="B11289" s="1">
        <v>45860</v>
      </c>
      <c r="C11289" t="s">
        <v>12</v>
      </c>
      <c r="D11289" s="2">
        <v>4283.5600000000004</v>
      </c>
      <c r="E11289" s="2">
        <v>0</v>
      </c>
      <c r="F11289" t="s">
        <v>13</v>
      </c>
      <c r="G11289" t="s">
        <v>9</v>
      </c>
    </row>
    <row r="11290" spans="1:7" x14ac:dyDescent="0.35">
      <c r="A11290">
        <v>4483</v>
      </c>
      <c r="B11290" s="1">
        <v>45860</v>
      </c>
      <c r="C11290" t="s">
        <v>12</v>
      </c>
      <c r="D11290" s="2">
        <v>0</v>
      </c>
      <c r="E11290" s="2">
        <v>3984.71</v>
      </c>
      <c r="F11290" t="s">
        <v>14</v>
      </c>
      <c r="G11290" t="s">
        <v>15</v>
      </c>
    </row>
    <row r="11291" spans="1:7" x14ac:dyDescent="0.35">
      <c r="A11291">
        <v>4483</v>
      </c>
      <c r="B11291" s="1">
        <v>45860</v>
      </c>
      <c r="C11291" t="s">
        <v>12</v>
      </c>
      <c r="D11291" s="2">
        <v>0</v>
      </c>
      <c r="E11291" s="2">
        <v>298.85000000000002</v>
      </c>
      <c r="F11291" t="s">
        <v>16</v>
      </c>
      <c r="G11291" t="s">
        <v>17</v>
      </c>
    </row>
    <row r="11292" spans="1:7" x14ac:dyDescent="0.35">
      <c r="A11292">
        <v>4484</v>
      </c>
      <c r="B11292" s="1">
        <v>45860</v>
      </c>
      <c r="C11292" t="s">
        <v>12</v>
      </c>
      <c r="D11292" s="2">
        <v>298.38</v>
      </c>
      <c r="E11292" s="2">
        <v>0</v>
      </c>
      <c r="F11292" t="s">
        <v>13</v>
      </c>
      <c r="G11292" t="s">
        <v>9</v>
      </c>
    </row>
    <row r="11293" spans="1:7" x14ac:dyDescent="0.35">
      <c r="A11293">
        <v>4484</v>
      </c>
      <c r="B11293" s="1">
        <v>45860</v>
      </c>
      <c r="C11293" t="s">
        <v>12</v>
      </c>
      <c r="D11293" s="2">
        <v>0</v>
      </c>
      <c r="E11293" s="2">
        <v>277.56</v>
      </c>
      <c r="F11293" t="s">
        <v>14</v>
      </c>
      <c r="G11293" t="s">
        <v>15</v>
      </c>
    </row>
    <row r="11294" spans="1:7" x14ac:dyDescent="0.35">
      <c r="A11294">
        <v>4484</v>
      </c>
      <c r="B11294" s="1">
        <v>45860</v>
      </c>
      <c r="C11294" t="s">
        <v>12</v>
      </c>
      <c r="D11294" s="2">
        <v>0</v>
      </c>
      <c r="E11294" s="2">
        <v>20.82</v>
      </c>
      <c r="F11294" t="s">
        <v>16</v>
      </c>
      <c r="G11294" t="s">
        <v>17</v>
      </c>
    </row>
    <row r="11295" spans="1:7" x14ac:dyDescent="0.35">
      <c r="A11295">
        <v>4485</v>
      </c>
      <c r="B11295" s="1">
        <v>45860</v>
      </c>
      <c r="C11295" t="s">
        <v>12</v>
      </c>
      <c r="D11295" s="2">
        <v>3972.44</v>
      </c>
      <c r="E11295" s="2">
        <v>0</v>
      </c>
      <c r="F11295" t="s">
        <v>13</v>
      </c>
      <c r="G11295" t="s">
        <v>9</v>
      </c>
    </row>
    <row r="11296" spans="1:7" x14ac:dyDescent="0.35">
      <c r="A11296">
        <v>4485</v>
      </c>
      <c r="B11296" s="1">
        <v>45860</v>
      </c>
      <c r="C11296" t="s">
        <v>12</v>
      </c>
      <c r="D11296" s="2">
        <v>0</v>
      </c>
      <c r="E11296" s="2">
        <v>3695.29</v>
      </c>
      <c r="F11296" t="s">
        <v>14</v>
      </c>
      <c r="G11296" t="s">
        <v>15</v>
      </c>
    </row>
    <row r="11297" spans="1:7" x14ac:dyDescent="0.35">
      <c r="A11297">
        <v>4485</v>
      </c>
      <c r="B11297" s="1">
        <v>45860</v>
      </c>
      <c r="C11297" t="s">
        <v>12</v>
      </c>
      <c r="D11297" s="2">
        <v>0</v>
      </c>
      <c r="E11297" s="2">
        <v>277.14999999999998</v>
      </c>
      <c r="F11297" t="s">
        <v>16</v>
      </c>
      <c r="G11297" t="s">
        <v>17</v>
      </c>
    </row>
    <row r="11298" spans="1:7" x14ac:dyDescent="0.35">
      <c r="A11298">
        <v>4486</v>
      </c>
      <c r="B11298" s="1">
        <v>45860</v>
      </c>
      <c r="C11298" t="s">
        <v>24</v>
      </c>
      <c r="D11298" s="2">
        <v>1026.6600000000001</v>
      </c>
      <c r="E11298" s="2">
        <v>0</v>
      </c>
      <c r="F11298" t="s">
        <v>8</v>
      </c>
      <c r="G11298" t="s">
        <v>9</v>
      </c>
    </row>
    <row r="11299" spans="1:7" x14ac:dyDescent="0.35">
      <c r="A11299">
        <v>4486</v>
      </c>
      <c r="B11299" s="1">
        <v>45860</v>
      </c>
      <c r="C11299" t="s">
        <v>24</v>
      </c>
      <c r="D11299" s="2">
        <v>0</v>
      </c>
      <c r="E11299" s="2">
        <v>1026.6600000000001</v>
      </c>
      <c r="F11299" t="s">
        <v>13</v>
      </c>
      <c r="G11299" t="s">
        <v>9</v>
      </c>
    </row>
    <row r="11300" spans="1:7" x14ac:dyDescent="0.35">
      <c r="A11300">
        <v>4487</v>
      </c>
      <c r="B11300" s="1">
        <v>45860</v>
      </c>
      <c r="C11300" t="s">
        <v>24</v>
      </c>
      <c r="D11300" s="2">
        <v>928.55</v>
      </c>
      <c r="E11300" s="2">
        <v>0</v>
      </c>
      <c r="F11300" t="s">
        <v>8</v>
      </c>
      <c r="G11300" t="s">
        <v>9</v>
      </c>
    </row>
    <row r="11301" spans="1:7" x14ac:dyDescent="0.35">
      <c r="A11301">
        <v>4487</v>
      </c>
      <c r="B11301" s="1">
        <v>45860</v>
      </c>
      <c r="C11301" t="s">
        <v>24</v>
      </c>
      <c r="D11301" s="2">
        <v>0</v>
      </c>
      <c r="E11301" s="2">
        <v>928.55</v>
      </c>
      <c r="F11301" t="s">
        <v>13</v>
      </c>
      <c r="G11301" t="s">
        <v>9</v>
      </c>
    </row>
    <row r="11302" spans="1:7" x14ac:dyDescent="0.35">
      <c r="A11302">
        <v>4488</v>
      </c>
      <c r="B11302" s="1">
        <v>45860</v>
      </c>
      <c r="C11302" t="s">
        <v>24</v>
      </c>
      <c r="D11302" s="2">
        <v>1726.62</v>
      </c>
      <c r="E11302" s="2">
        <v>0</v>
      </c>
      <c r="F11302" t="s">
        <v>8</v>
      </c>
      <c r="G11302" t="s">
        <v>9</v>
      </c>
    </row>
    <row r="11303" spans="1:7" x14ac:dyDescent="0.35">
      <c r="A11303">
        <v>4488</v>
      </c>
      <c r="B11303" s="1">
        <v>45860</v>
      </c>
      <c r="C11303" t="s">
        <v>24</v>
      </c>
      <c r="D11303" s="2">
        <v>0</v>
      </c>
      <c r="E11303" s="2">
        <v>1726.62</v>
      </c>
      <c r="F11303" t="s">
        <v>13</v>
      </c>
      <c r="G11303" t="s">
        <v>9</v>
      </c>
    </row>
    <row r="11304" spans="1:7" x14ac:dyDescent="0.35">
      <c r="A11304">
        <v>4489</v>
      </c>
      <c r="B11304" s="1">
        <v>45860</v>
      </c>
      <c r="C11304" t="s">
        <v>24</v>
      </c>
      <c r="D11304" s="2">
        <v>2667.98</v>
      </c>
      <c r="E11304" s="2">
        <v>0</v>
      </c>
      <c r="F11304" t="s">
        <v>8</v>
      </c>
      <c r="G11304" t="s">
        <v>9</v>
      </c>
    </row>
    <row r="11305" spans="1:7" x14ac:dyDescent="0.35">
      <c r="A11305">
        <v>4489</v>
      </c>
      <c r="B11305" s="1">
        <v>45860</v>
      </c>
      <c r="C11305" t="s">
        <v>24</v>
      </c>
      <c r="D11305" s="2">
        <v>0</v>
      </c>
      <c r="E11305" s="2">
        <v>2667.98</v>
      </c>
      <c r="F11305" t="s">
        <v>13</v>
      </c>
      <c r="G11305" t="s">
        <v>9</v>
      </c>
    </row>
    <row r="11306" spans="1:7" x14ac:dyDescent="0.35">
      <c r="A11306">
        <v>4490</v>
      </c>
      <c r="B11306" s="1">
        <v>45860</v>
      </c>
      <c r="C11306" t="s">
        <v>24</v>
      </c>
      <c r="D11306" s="2">
        <v>440.88</v>
      </c>
      <c r="E11306" s="2">
        <v>0</v>
      </c>
      <c r="F11306" t="s">
        <v>8</v>
      </c>
      <c r="G11306" t="s">
        <v>9</v>
      </c>
    </row>
    <row r="11307" spans="1:7" x14ac:dyDescent="0.35">
      <c r="A11307">
        <v>4490</v>
      </c>
      <c r="B11307" s="1">
        <v>45860</v>
      </c>
      <c r="C11307" t="s">
        <v>24</v>
      </c>
      <c r="D11307" s="2">
        <v>0</v>
      </c>
      <c r="E11307" s="2">
        <v>440.88</v>
      </c>
      <c r="F11307" t="s">
        <v>13</v>
      </c>
      <c r="G11307" t="s">
        <v>9</v>
      </c>
    </row>
    <row r="11308" spans="1:7" x14ac:dyDescent="0.35">
      <c r="A11308">
        <v>4491</v>
      </c>
      <c r="B11308" s="1">
        <v>45860</v>
      </c>
      <c r="C11308" t="s">
        <v>25</v>
      </c>
      <c r="D11308" s="2">
        <v>2030.15</v>
      </c>
      <c r="E11308" s="2">
        <v>0</v>
      </c>
      <c r="F11308" t="s">
        <v>26</v>
      </c>
      <c r="G11308" t="s">
        <v>20</v>
      </c>
    </row>
    <row r="11309" spans="1:7" x14ac:dyDescent="0.35">
      <c r="A11309">
        <v>4491</v>
      </c>
      <c r="B11309" s="1">
        <v>45860</v>
      </c>
      <c r="C11309" t="s">
        <v>25</v>
      </c>
      <c r="D11309" s="2">
        <v>152.26</v>
      </c>
      <c r="E11309" s="2">
        <v>0</v>
      </c>
      <c r="F11309" t="s">
        <v>27</v>
      </c>
      <c r="G11309" t="s">
        <v>9</v>
      </c>
    </row>
    <row r="11310" spans="1:7" x14ac:dyDescent="0.35">
      <c r="A11310">
        <v>4491</v>
      </c>
      <c r="B11310" s="1">
        <v>45860</v>
      </c>
      <c r="C11310" t="s">
        <v>25</v>
      </c>
      <c r="D11310" s="2">
        <v>0</v>
      </c>
      <c r="E11310" s="2">
        <v>2182.41</v>
      </c>
      <c r="F11310" t="s">
        <v>28</v>
      </c>
      <c r="G11310" t="s">
        <v>17</v>
      </c>
    </row>
    <row r="11311" spans="1:7" x14ac:dyDescent="0.35">
      <c r="A11311">
        <v>4492</v>
      </c>
      <c r="B11311" s="1">
        <v>45860</v>
      </c>
      <c r="C11311" t="s">
        <v>29</v>
      </c>
      <c r="D11311" s="2">
        <v>2093.2800000000002</v>
      </c>
      <c r="E11311" s="2">
        <v>0</v>
      </c>
      <c r="F11311" t="s">
        <v>28</v>
      </c>
      <c r="G11311" t="s">
        <v>17</v>
      </c>
    </row>
    <row r="11312" spans="1:7" x14ac:dyDescent="0.35">
      <c r="A11312">
        <v>4492</v>
      </c>
      <c r="B11312" s="1">
        <v>45860</v>
      </c>
      <c r="C11312" t="s">
        <v>29</v>
      </c>
      <c r="D11312" s="2">
        <v>0</v>
      </c>
      <c r="E11312" s="2">
        <v>2093.2800000000002</v>
      </c>
      <c r="F11312" t="s">
        <v>8</v>
      </c>
      <c r="G11312" t="s">
        <v>9</v>
      </c>
    </row>
    <row r="11313" spans="1:7" x14ac:dyDescent="0.35">
      <c r="A11313">
        <v>4493</v>
      </c>
      <c r="B11313" s="1">
        <v>45860</v>
      </c>
      <c r="C11313" t="s">
        <v>29</v>
      </c>
      <c r="D11313" s="2">
        <v>1935.04</v>
      </c>
      <c r="E11313" s="2">
        <v>0</v>
      </c>
      <c r="F11313" t="s">
        <v>28</v>
      </c>
      <c r="G11313" t="s">
        <v>17</v>
      </c>
    </row>
    <row r="11314" spans="1:7" x14ac:dyDescent="0.35">
      <c r="A11314">
        <v>4493</v>
      </c>
      <c r="B11314" s="1">
        <v>45860</v>
      </c>
      <c r="C11314" t="s">
        <v>29</v>
      </c>
      <c r="D11314" s="2">
        <v>0</v>
      </c>
      <c r="E11314" s="2">
        <v>1935.04</v>
      </c>
      <c r="F11314" t="s">
        <v>8</v>
      </c>
      <c r="G11314" t="s">
        <v>9</v>
      </c>
    </row>
    <row r="11315" spans="1:7" x14ac:dyDescent="0.35">
      <c r="A11315">
        <v>4494</v>
      </c>
      <c r="B11315" s="1">
        <v>45860</v>
      </c>
      <c r="C11315" t="s">
        <v>29</v>
      </c>
      <c r="D11315" s="2">
        <v>4812.46</v>
      </c>
      <c r="E11315" s="2">
        <v>0</v>
      </c>
      <c r="F11315" t="s">
        <v>28</v>
      </c>
      <c r="G11315" t="s">
        <v>17</v>
      </c>
    </row>
    <row r="11316" spans="1:7" x14ac:dyDescent="0.35">
      <c r="A11316">
        <v>4494</v>
      </c>
      <c r="B11316" s="1">
        <v>45860</v>
      </c>
      <c r="C11316" t="s">
        <v>29</v>
      </c>
      <c r="D11316" s="2">
        <v>0</v>
      </c>
      <c r="E11316" s="2">
        <v>4812.46</v>
      </c>
      <c r="F11316" t="s">
        <v>8</v>
      </c>
      <c r="G11316" t="s">
        <v>9</v>
      </c>
    </row>
    <row r="11317" spans="1:7" x14ac:dyDescent="0.35">
      <c r="A11317">
        <v>4495</v>
      </c>
      <c r="B11317" s="1">
        <v>45860</v>
      </c>
      <c r="C11317" t="s">
        <v>29</v>
      </c>
      <c r="D11317" s="2">
        <v>179.01</v>
      </c>
      <c r="E11317" s="2">
        <v>0</v>
      </c>
      <c r="F11317" t="s">
        <v>28</v>
      </c>
      <c r="G11317" t="s">
        <v>17</v>
      </c>
    </row>
    <row r="11318" spans="1:7" x14ac:dyDescent="0.35">
      <c r="A11318">
        <v>4495</v>
      </c>
      <c r="B11318" s="1">
        <v>45860</v>
      </c>
      <c r="C11318" t="s">
        <v>29</v>
      </c>
      <c r="D11318" s="2">
        <v>0</v>
      </c>
      <c r="E11318" s="2">
        <v>179.01</v>
      </c>
      <c r="F11318" t="s">
        <v>8</v>
      </c>
      <c r="G11318" t="s">
        <v>9</v>
      </c>
    </row>
    <row r="11319" spans="1:7" x14ac:dyDescent="0.35">
      <c r="A11319">
        <v>4496</v>
      </c>
      <c r="B11319" s="1">
        <v>45861</v>
      </c>
      <c r="C11319" t="s">
        <v>12</v>
      </c>
      <c r="D11319" s="2">
        <v>3247.12</v>
      </c>
      <c r="E11319" s="2">
        <v>0</v>
      </c>
      <c r="F11319" t="s">
        <v>13</v>
      </c>
      <c r="G11319" t="s">
        <v>9</v>
      </c>
    </row>
    <row r="11320" spans="1:7" x14ac:dyDescent="0.35">
      <c r="A11320">
        <v>4496</v>
      </c>
      <c r="B11320" s="1">
        <v>45861</v>
      </c>
      <c r="C11320" t="s">
        <v>12</v>
      </c>
      <c r="D11320" s="2">
        <v>0</v>
      </c>
      <c r="E11320" s="2">
        <v>3020.57</v>
      </c>
      <c r="F11320" t="s">
        <v>14</v>
      </c>
      <c r="G11320" t="s">
        <v>15</v>
      </c>
    </row>
    <row r="11321" spans="1:7" x14ac:dyDescent="0.35">
      <c r="A11321">
        <v>4496</v>
      </c>
      <c r="B11321" s="1">
        <v>45861</v>
      </c>
      <c r="C11321" t="s">
        <v>12</v>
      </c>
      <c r="D11321" s="2">
        <v>0</v>
      </c>
      <c r="E11321" s="2">
        <v>226.55</v>
      </c>
      <c r="F11321" t="s">
        <v>16</v>
      </c>
      <c r="G11321" t="s">
        <v>17</v>
      </c>
    </row>
    <row r="11322" spans="1:7" x14ac:dyDescent="0.35">
      <c r="A11322">
        <v>4497</v>
      </c>
      <c r="B11322" s="1">
        <v>45861</v>
      </c>
      <c r="C11322" t="s">
        <v>12</v>
      </c>
      <c r="D11322" s="2">
        <v>321.68</v>
      </c>
      <c r="E11322" s="2">
        <v>0</v>
      </c>
      <c r="F11322" t="s">
        <v>13</v>
      </c>
      <c r="G11322" t="s">
        <v>9</v>
      </c>
    </row>
    <row r="11323" spans="1:7" x14ac:dyDescent="0.35">
      <c r="A11323">
        <v>4497</v>
      </c>
      <c r="B11323" s="1">
        <v>45861</v>
      </c>
      <c r="C11323" t="s">
        <v>12</v>
      </c>
      <c r="D11323" s="2">
        <v>0</v>
      </c>
      <c r="E11323" s="2">
        <v>299.24</v>
      </c>
      <c r="F11323" t="s">
        <v>14</v>
      </c>
      <c r="G11323" t="s">
        <v>15</v>
      </c>
    </row>
    <row r="11324" spans="1:7" x14ac:dyDescent="0.35">
      <c r="A11324">
        <v>4497</v>
      </c>
      <c r="B11324" s="1">
        <v>45861</v>
      </c>
      <c r="C11324" t="s">
        <v>12</v>
      </c>
      <c r="D11324" s="2">
        <v>0</v>
      </c>
      <c r="E11324" s="2">
        <v>22.44</v>
      </c>
      <c r="F11324" t="s">
        <v>16</v>
      </c>
      <c r="G11324" t="s">
        <v>17</v>
      </c>
    </row>
    <row r="11325" spans="1:7" x14ac:dyDescent="0.35">
      <c r="A11325">
        <v>4498</v>
      </c>
      <c r="B11325" s="1">
        <v>45861</v>
      </c>
      <c r="C11325" t="s">
        <v>12</v>
      </c>
      <c r="D11325" s="2">
        <v>3531.01</v>
      </c>
      <c r="E11325" s="2">
        <v>0</v>
      </c>
      <c r="F11325" t="s">
        <v>13</v>
      </c>
      <c r="G11325" t="s">
        <v>9</v>
      </c>
    </row>
    <row r="11326" spans="1:7" x14ac:dyDescent="0.35">
      <c r="A11326">
        <v>4498</v>
      </c>
      <c r="B11326" s="1">
        <v>45861</v>
      </c>
      <c r="C11326" t="s">
        <v>12</v>
      </c>
      <c r="D11326" s="2">
        <v>0</v>
      </c>
      <c r="E11326" s="2">
        <v>3284.67</v>
      </c>
      <c r="F11326" t="s">
        <v>14</v>
      </c>
      <c r="G11326" t="s">
        <v>15</v>
      </c>
    </row>
    <row r="11327" spans="1:7" x14ac:dyDescent="0.35">
      <c r="A11327">
        <v>4498</v>
      </c>
      <c r="B11327" s="1">
        <v>45861</v>
      </c>
      <c r="C11327" t="s">
        <v>12</v>
      </c>
      <c r="D11327" s="2">
        <v>0</v>
      </c>
      <c r="E11327" s="2">
        <v>246.34</v>
      </c>
      <c r="F11327" t="s">
        <v>16</v>
      </c>
      <c r="G11327" t="s">
        <v>17</v>
      </c>
    </row>
    <row r="11328" spans="1:7" x14ac:dyDescent="0.35">
      <c r="A11328">
        <v>4499</v>
      </c>
      <c r="B11328" s="1">
        <v>45861</v>
      </c>
      <c r="C11328" t="s">
        <v>12</v>
      </c>
      <c r="D11328" s="2">
        <v>235.28</v>
      </c>
      <c r="E11328" s="2">
        <v>0</v>
      </c>
      <c r="F11328" t="s">
        <v>13</v>
      </c>
      <c r="G11328" t="s">
        <v>9</v>
      </c>
    </row>
    <row r="11329" spans="1:7" x14ac:dyDescent="0.35">
      <c r="A11329">
        <v>4499</v>
      </c>
      <c r="B11329" s="1">
        <v>45861</v>
      </c>
      <c r="C11329" t="s">
        <v>12</v>
      </c>
      <c r="D11329" s="2">
        <v>0</v>
      </c>
      <c r="E11329" s="2">
        <v>218.86</v>
      </c>
      <c r="F11329" t="s">
        <v>14</v>
      </c>
      <c r="G11329" t="s">
        <v>15</v>
      </c>
    </row>
    <row r="11330" spans="1:7" x14ac:dyDescent="0.35">
      <c r="A11330">
        <v>4499</v>
      </c>
      <c r="B11330" s="1">
        <v>45861</v>
      </c>
      <c r="C11330" t="s">
        <v>12</v>
      </c>
      <c r="D11330" s="2">
        <v>0</v>
      </c>
      <c r="E11330" s="2">
        <v>16.420000000000002</v>
      </c>
      <c r="F11330" t="s">
        <v>16</v>
      </c>
      <c r="G11330" t="s">
        <v>17</v>
      </c>
    </row>
    <row r="11331" spans="1:7" x14ac:dyDescent="0.35">
      <c r="A11331">
        <v>4500</v>
      </c>
      <c r="B11331" s="1">
        <v>45861</v>
      </c>
      <c r="C11331" t="s">
        <v>12</v>
      </c>
      <c r="D11331" s="2">
        <v>2896.21</v>
      </c>
      <c r="E11331" s="2">
        <v>0</v>
      </c>
      <c r="F11331" t="s">
        <v>13</v>
      </c>
      <c r="G11331" t="s">
        <v>9</v>
      </c>
    </row>
    <row r="11332" spans="1:7" x14ac:dyDescent="0.35">
      <c r="A11332">
        <v>4500</v>
      </c>
      <c r="B11332" s="1">
        <v>45861</v>
      </c>
      <c r="C11332" t="s">
        <v>12</v>
      </c>
      <c r="D11332" s="2">
        <v>0</v>
      </c>
      <c r="E11332" s="2">
        <v>2694.15</v>
      </c>
      <c r="F11332" t="s">
        <v>14</v>
      </c>
      <c r="G11332" t="s">
        <v>15</v>
      </c>
    </row>
    <row r="11333" spans="1:7" x14ac:dyDescent="0.35">
      <c r="A11333">
        <v>4500</v>
      </c>
      <c r="B11333" s="1">
        <v>45861</v>
      </c>
      <c r="C11333" t="s">
        <v>12</v>
      </c>
      <c r="D11333" s="2">
        <v>0</v>
      </c>
      <c r="E11333" s="2">
        <v>202.06</v>
      </c>
      <c r="F11333" t="s">
        <v>16</v>
      </c>
      <c r="G11333" t="s">
        <v>17</v>
      </c>
    </row>
    <row r="11334" spans="1:7" x14ac:dyDescent="0.35">
      <c r="A11334">
        <v>4501</v>
      </c>
      <c r="B11334" s="1">
        <v>45861</v>
      </c>
      <c r="C11334" t="s">
        <v>12</v>
      </c>
      <c r="D11334" s="2">
        <v>1611.16</v>
      </c>
      <c r="E11334" s="2">
        <v>0</v>
      </c>
      <c r="F11334" t="s">
        <v>13</v>
      </c>
      <c r="G11334" t="s">
        <v>9</v>
      </c>
    </row>
    <row r="11335" spans="1:7" x14ac:dyDescent="0.35">
      <c r="A11335">
        <v>4501</v>
      </c>
      <c r="B11335" s="1">
        <v>45861</v>
      </c>
      <c r="C11335" t="s">
        <v>12</v>
      </c>
      <c r="D11335" s="2">
        <v>0</v>
      </c>
      <c r="E11335" s="2">
        <v>1498.75</v>
      </c>
      <c r="F11335" t="s">
        <v>14</v>
      </c>
      <c r="G11335" t="s">
        <v>15</v>
      </c>
    </row>
    <row r="11336" spans="1:7" x14ac:dyDescent="0.35">
      <c r="A11336">
        <v>4501</v>
      </c>
      <c r="B11336" s="1">
        <v>45861</v>
      </c>
      <c r="C11336" t="s">
        <v>12</v>
      </c>
      <c r="D11336" s="2">
        <v>0</v>
      </c>
      <c r="E11336" s="2">
        <v>112.41</v>
      </c>
      <c r="F11336" t="s">
        <v>16</v>
      </c>
      <c r="G11336" t="s">
        <v>17</v>
      </c>
    </row>
    <row r="11337" spans="1:7" x14ac:dyDescent="0.35">
      <c r="A11337">
        <v>4502</v>
      </c>
      <c r="B11337" s="1">
        <v>45861</v>
      </c>
      <c r="C11337" t="s">
        <v>24</v>
      </c>
      <c r="D11337" s="2">
        <v>1187.6300000000001</v>
      </c>
      <c r="E11337" s="2">
        <v>0</v>
      </c>
      <c r="F11337" t="s">
        <v>8</v>
      </c>
      <c r="G11337" t="s">
        <v>9</v>
      </c>
    </row>
    <row r="11338" spans="1:7" x14ac:dyDescent="0.35">
      <c r="A11338">
        <v>4502</v>
      </c>
      <c r="B11338" s="1">
        <v>45861</v>
      </c>
      <c r="C11338" t="s">
        <v>24</v>
      </c>
      <c r="D11338" s="2">
        <v>0</v>
      </c>
      <c r="E11338" s="2">
        <v>1187.6300000000001</v>
      </c>
      <c r="F11338" t="s">
        <v>13</v>
      </c>
      <c r="G11338" t="s">
        <v>9</v>
      </c>
    </row>
    <row r="11339" spans="1:7" x14ac:dyDescent="0.35">
      <c r="A11339">
        <v>4503</v>
      </c>
      <c r="B11339" s="1">
        <v>45861</v>
      </c>
      <c r="C11339" t="s">
        <v>24</v>
      </c>
      <c r="D11339" s="2">
        <v>6306.59</v>
      </c>
      <c r="E11339" s="2">
        <v>0</v>
      </c>
      <c r="F11339" t="s">
        <v>8</v>
      </c>
      <c r="G11339" t="s">
        <v>9</v>
      </c>
    </row>
    <row r="11340" spans="1:7" x14ac:dyDescent="0.35">
      <c r="A11340">
        <v>4503</v>
      </c>
      <c r="B11340" s="1">
        <v>45861</v>
      </c>
      <c r="C11340" t="s">
        <v>24</v>
      </c>
      <c r="D11340" s="2">
        <v>0</v>
      </c>
      <c r="E11340" s="2">
        <v>6306.59</v>
      </c>
      <c r="F11340" t="s">
        <v>13</v>
      </c>
      <c r="G11340" t="s">
        <v>9</v>
      </c>
    </row>
    <row r="11341" spans="1:7" x14ac:dyDescent="0.35">
      <c r="A11341">
        <v>4504</v>
      </c>
      <c r="B11341" s="1">
        <v>45861</v>
      </c>
      <c r="C11341" t="s">
        <v>24</v>
      </c>
      <c r="D11341" s="2">
        <v>3902.63</v>
      </c>
      <c r="E11341" s="2">
        <v>0</v>
      </c>
      <c r="F11341" t="s">
        <v>8</v>
      </c>
      <c r="G11341" t="s">
        <v>9</v>
      </c>
    </row>
    <row r="11342" spans="1:7" x14ac:dyDescent="0.35">
      <c r="A11342">
        <v>4504</v>
      </c>
      <c r="B11342" s="1">
        <v>45861</v>
      </c>
      <c r="C11342" t="s">
        <v>24</v>
      </c>
      <c r="D11342" s="2">
        <v>0</v>
      </c>
      <c r="E11342" s="2">
        <v>3902.63</v>
      </c>
      <c r="F11342" t="s">
        <v>13</v>
      </c>
      <c r="G11342" t="s">
        <v>9</v>
      </c>
    </row>
    <row r="11343" spans="1:7" x14ac:dyDescent="0.35">
      <c r="A11343">
        <v>4505</v>
      </c>
      <c r="B11343" s="1">
        <v>45861</v>
      </c>
      <c r="C11343" t="s">
        <v>24</v>
      </c>
      <c r="D11343" s="2">
        <v>3221.71</v>
      </c>
      <c r="E11343" s="2">
        <v>0</v>
      </c>
      <c r="F11343" t="s">
        <v>8</v>
      </c>
      <c r="G11343" t="s">
        <v>9</v>
      </c>
    </row>
    <row r="11344" spans="1:7" x14ac:dyDescent="0.35">
      <c r="A11344">
        <v>4505</v>
      </c>
      <c r="B11344" s="1">
        <v>45861</v>
      </c>
      <c r="C11344" t="s">
        <v>24</v>
      </c>
      <c r="D11344" s="2">
        <v>0</v>
      </c>
      <c r="E11344" s="2">
        <v>3221.71</v>
      </c>
      <c r="F11344" t="s">
        <v>13</v>
      </c>
      <c r="G11344" t="s">
        <v>9</v>
      </c>
    </row>
    <row r="11345" spans="1:7" x14ac:dyDescent="0.35">
      <c r="A11345">
        <v>4506</v>
      </c>
      <c r="B11345" s="1">
        <v>45861</v>
      </c>
      <c r="C11345" t="s">
        <v>24</v>
      </c>
      <c r="D11345" s="2">
        <v>2156.33</v>
      </c>
      <c r="E11345" s="2">
        <v>0</v>
      </c>
      <c r="F11345" t="s">
        <v>8</v>
      </c>
      <c r="G11345" t="s">
        <v>9</v>
      </c>
    </row>
    <row r="11346" spans="1:7" x14ac:dyDescent="0.35">
      <c r="A11346">
        <v>4506</v>
      </c>
      <c r="B11346" s="1">
        <v>45861</v>
      </c>
      <c r="C11346" t="s">
        <v>24</v>
      </c>
      <c r="D11346" s="2">
        <v>0</v>
      </c>
      <c r="E11346" s="2">
        <v>2156.33</v>
      </c>
      <c r="F11346" t="s">
        <v>13</v>
      </c>
      <c r="G11346" t="s">
        <v>9</v>
      </c>
    </row>
    <row r="11347" spans="1:7" x14ac:dyDescent="0.35">
      <c r="A11347">
        <v>4507</v>
      </c>
      <c r="B11347" s="1">
        <v>45861</v>
      </c>
      <c r="C11347" t="s">
        <v>24</v>
      </c>
      <c r="D11347" s="2">
        <v>4619.45</v>
      </c>
      <c r="E11347" s="2">
        <v>0</v>
      </c>
      <c r="F11347" t="s">
        <v>8</v>
      </c>
      <c r="G11347" t="s">
        <v>9</v>
      </c>
    </row>
    <row r="11348" spans="1:7" x14ac:dyDescent="0.35">
      <c r="A11348">
        <v>4507</v>
      </c>
      <c r="B11348" s="1">
        <v>45861</v>
      </c>
      <c r="C11348" t="s">
        <v>24</v>
      </c>
      <c r="D11348" s="2">
        <v>0</v>
      </c>
      <c r="E11348" s="2">
        <v>4619.45</v>
      </c>
      <c r="F11348" t="s">
        <v>13</v>
      </c>
      <c r="G11348" t="s">
        <v>9</v>
      </c>
    </row>
    <row r="11349" spans="1:7" x14ac:dyDescent="0.35">
      <c r="A11349">
        <v>4508</v>
      </c>
      <c r="B11349" s="1">
        <v>45861</v>
      </c>
      <c r="C11349" t="s">
        <v>24</v>
      </c>
      <c r="D11349" s="2">
        <v>1112.45</v>
      </c>
      <c r="E11349" s="2">
        <v>0</v>
      </c>
      <c r="F11349" t="s">
        <v>8</v>
      </c>
      <c r="G11349" t="s">
        <v>9</v>
      </c>
    </row>
    <row r="11350" spans="1:7" x14ac:dyDescent="0.35">
      <c r="A11350">
        <v>4508</v>
      </c>
      <c r="B11350" s="1">
        <v>45861</v>
      </c>
      <c r="C11350" t="s">
        <v>24</v>
      </c>
      <c r="D11350" s="2">
        <v>0</v>
      </c>
      <c r="E11350" s="2">
        <v>1112.45</v>
      </c>
      <c r="F11350" t="s">
        <v>13</v>
      </c>
      <c r="G11350" t="s">
        <v>9</v>
      </c>
    </row>
    <row r="11351" spans="1:7" x14ac:dyDescent="0.35">
      <c r="A11351">
        <v>4509</v>
      </c>
      <c r="B11351" s="1">
        <v>45861</v>
      </c>
      <c r="C11351" t="s">
        <v>24</v>
      </c>
      <c r="D11351" s="2">
        <v>597.9</v>
      </c>
      <c r="E11351" s="2">
        <v>0</v>
      </c>
      <c r="F11351" t="s">
        <v>8</v>
      </c>
      <c r="G11351" t="s">
        <v>9</v>
      </c>
    </row>
    <row r="11352" spans="1:7" x14ac:dyDescent="0.35">
      <c r="A11352">
        <v>4509</v>
      </c>
      <c r="B11352" s="1">
        <v>45861</v>
      </c>
      <c r="C11352" t="s">
        <v>24</v>
      </c>
      <c r="D11352" s="2">
        <v>0</v>
      </c>
      <c r="E11352" s="2">
        <v>597.9</v>
      </c>
      <c r="F11352" t="s">
        <v>13</v>
      </c>
      <c r="G11352" t="s">
        <v>9</v>
      </c>
    </row>
    <row r="11353" spans="1:7" x14ac:dyDescent="0.35">
      <c r="A11353">
        <v>4510</v>
      </c>
      <c r="B11353" s="1">
        <v>45861</v>
      </c>
      <c r="C11353" t="s">
        <v>24</v>
      </c>
      <c r="D11353" s="2">
        <v>4182.66</v>
      </c>
      <c r="E11353" s="2">
        <v>0</v>
      </c>
      <c r="F11353" t="s">
        <v>8</v>
      </c>
      <c r="G11353" t="s">
        <v>9</v>
      </c>
    </row>
    <row r="11354" spans="1:7" x14ac:dyDescent="0.35">
      <c r="A11354">
        <v>4510</v>
      </c>
      <c r="B11354" s="1">
        <v>45861</v>
      </c>
      <c r="C11354" t="s">
        <v>24</v>
      </c>
      <c r="D11354" s="2">
        <v>0</v>
      </c>
      <c r="E11354" s="2">
        <v>4182.66</v>
      </c>
      <c r="F11354" t="s">
        <v>13</v>
      </c>
      <c r="G11354" t="s">
        <v>9</v>
      </c>
    </row>
    <row r="11355" spans="1:7" x14ac:dyDescent="0.35">
      <c r="A11355">
        <v>4511</v>
      </c>
      <c r="B11355" s="1">
        <v>45861</v>
      </c>
      <c r="C11355" t="s">
        <v>29</v>
      </c>
      <c r="D11355" s="2">
        <v>276.32</v>
      </c>
      <c r="E11355" s="2">
        <v>0</v>
      </c>
      <c r="F11355" t="s">
        <v>28</v>
      </c>
      <c r="G11355" t="s">
        <v>17</v>
      </c>
    </row>
    <row r="11356" spans="1:7" x14ac:dyDescent="0.35">
      <c r="A11356">
        <v>4511</v>
      </c>
      <c r="B11356" s="1">
        <v>45861</v>
      </c>
      <c r="C11356" t="s">
        <v>29</v>
      </c>
      <c r="D11356" s="2">
        <v>0</v>
      </c>
      <c r="E11356" s="2">
        <v>276.32</v>
      </c>
      <c r="F11356" t="s">
        <v>8</v>
      </c>
      <c r="G11356" t="s">
        <v>9</v>
      </c>
    </row>
    <row r="11357" spans="1:7" x14ac:dyDescent="0.35">
      <c r="A11357">
        <v>4512</v>
      </c>
      <c r="B11357" s="1">
        <v>45861</v>
      </c>
      <c r="C11357" t="s">
        <v>29</v>
      </c>
      <c r="D11357" s="2">
        <v>276.32</v>
      </c>
      <c r="E11357" s="2">
        <v>0</v>
      </c>
      <c r="F11357" t="s">
        <v>28</v>
      </c>
      <c r="G11357" t="s">
        <v>17</v>
      </c>
    </row>
    <row r="11358" spans="1:7" x14ac:dyDescent="0.35">
      <c r="A11358">
        <v>4512</v>
      </c>
      <c r="B11358" s="1">
        <v>45861</v>
      </c>
      <c r="C11358" t="s">
        <v>29</v>
      </c>
      <c r="D11358" s="2">
        <v>0</v>
      </c>
      <c r="E11358" s="2">
        <v>276.32</v>
      </c>
      <c r="F11358" t="s">
        <v>8</v>
      </c>
      <c r="G11358" t="s">
        <v>9</v>
      </c>
    </row>
    <row r="11359" spans="1:7" x14ac:dyDescent="0.35">
      <c r="A11359">
        <v>4513</v>
      </c>
      <c r="B11359" s="1">
        <v>45862</v>
      </c>
      <c r="C11359" t="s">
        <v>12</v>
      </c>
      <c r="D11359" s="2">
        <v>1839.15</v>
      </c>
      <c r="E11359" s="2">
        <v>0</v>
      </c>
      <c r="F11359" t="s">
        <v>13</v>
      </c>
      <c r="G11359" t="s">
        <v>9</v>
      </c>
    </row>
    <row r="11360" spans="1:7" x14ac:dyDescent="0.35">
      <c r="A11360">
        <v>4513</v>
      </c>
      <c r="B11360" s="1">
        <v>45862</v>
      </c>
      <c r="C11360" t="s">
        <v>12</v>
      </c>
      <c r="D11360" s="2">
        <v>0</v>
      </c>
      <c r="E11360" s="2">
        <v>1710.83</v>
      </c>
      <c r="F11360" t="s">
        <v>14</v>
      </c>
      <c r="G11360" t="s">
        <v>15</v>
      </c>
    </row>
    <row r="11361" spans="1:7" x14ac:dyDescent="0.35">
      <c r="A11361">
        <v>4513</v>
      </c>
      <c r="B11361" s="1">
        <v>45862</v>
      </c>
      <c r="C11361" t="s">
        <v>12</v>
      </c>
      <c r="D11361" s="2">
        <v>0</v>
      </c>
      <c r="E11361" s="2">
        <v>128.32</v>
      </c>
      <c r="F11361" t="s">
        <v>16</v>
      </c>
      <c r="G11361" t="s">
        <v>17</v>
      </c>
    </row>
    <row r="11362" spans="1:7" x14ac:dyDescent="0.35">
      <c r="A11362">
        <v>4514</v>
      </c>
      <c r="B11362" s="1">
        <v>45862</v>
      </c>
      <c r="C11362" t="s">
        <v>12</v>
      </c>
      <c r="D11362" s="2">
        <v>2238.4</v>
      </c>
      <c r="E11362" s="2">
        <v>0</v>
      </c>
      <c r="F11362" t="s">
        <v>13</v>
      </c>
      <c r="G11362" t="s">
        <v>9</v>
      </c>
    </row>
    <row r="11363" spans="1:7" x14ac:dyDescent="0.35">
      <c r="A11363">
        <v>4514</v>
      </c>
      <c r="B11363" s="1">
        <v>45862</v>
      </c>
      <c r="C11363" t="s">
        <v>12</v>
      </c>
      <c r="D11363" s="2">
        <v>0</v>
      </c>
      <c r="E11363" s="2">
        <v>2082.23</v>
      </c>
      <c r="F11363" t="s">
        <v>14</v>
      </c>
      <c r="G11363" t="s">
        <v>15</v>
      </c>
    </row>
    <row r="11364" spans="1:7" x14ac:dyDescent="0.35">
      <c r="A11364">
        <v>4514</v>
      </c>
      <c r="B11364" s="1">
        <v>45862</v>
      </c>
      <c r="C11364" t="s">
        <v>12</v>
      </c>
      <c r="D11364" s="2">
        <v>0</v>
      </c>
      <c r="E11364" s="2">
        <v>156.16999999999999</v>
      </c>
      <c r="F11364" t="s">
        <v>16</v>
      </c>
      <c r="G11364" t="s">
        <v>17</v>
      </c>
    </row>
    <row r="11365" spans="1:7" x14ac:dyDescent="0.35">
      <c r="A11365">
        <v>4515</v>
      </c>
      <c r="B11365" s="1">
        <v>45862</v>
      </c>
      <c r="C11365" t="s">
        <v>12</v>
      </c>
      <c r="D11365" s="2">
        <v>5784.32</v>
      </c>
      <c r="E11365" s="2">
        <v>0</v>
      </c>
      <c r="F11365" t="s">
        <v>13</v>
      </c>
      <c r="G11365" t="s">
        <v>9</v>
      </c>
    </row>
    <row r="11366" spans="1:7" x14ac:dyDescent="0.35">
      <c r="A11366">
        <v>4515</v>
      </c>
      <c r="B11366" s="1">
        <v>45862</v>
      </c>
      <c r="C11366" t="s">
        <v>12</v>
      </c>
      <c r="D11366" s="2">
        <v>0</v>
      </c>
      <c r="E11366" s="2">
        <v>5380.76</v>
      </c>
      <c r="F11366" t="s">
        <v>14</v>
      </c>
      <c r="G11366" t="s">
        <v>15</v>
      </c>
    </row>
    <row r="11367" spans="1:7" x14ac:dyDescent="0.35">
      <c r="A11367">
        <v>4515</v>
      </c>
      <c r="B11367" s="1">
        <v>45862</v>
      </c>
      <c r="C11367" t="s">
        <v>12</v>
      </c>
      <c r="D11367" s="2">
        <v>0</v>
      </c>
      <c r="E11367" s="2">
        <v>403.56</v>
      </c>
      <c r="F11367" t="s">
        <v>16</v>
      </c>
      <c r="G11367" t="s">
        <v>17</v>
      </c>
    </row>
    <row r="11368" spans="1:7" x14ac:dyDescent="0.35">
      <c r="A11368">
        <v>4516</v>
      </c>
      <c r="B11368" s="1">
        <v>45862</v>
      </c>
      <c r="C11368" t="s">
        <v>24</v>
      </c>
      <c r="D11368" s="2">
        <v>1149.31</v>
      </c>
      <c r="E11368" s="2">
        <v>0</v>
      </c>
      <c r="F11368" t="s">
        <v>8</v>
      </c>
      <c r="G11368" t="s">
        <v>9</v>
      </c>
    </row>
    <row r="11369" spans="1:7" x14ac:dyDescent="0.35">
      <c r="A11369">
        <v>4516</v>
      </c>
      <c r="B11369" s="1">
        <v>45862</v>
      </c>
      <c r="C11369" t="s">
        <v>24</v>
      </c>
      <c r="D11369" s="2">
        <v>0</v>
      </c>
      <c r="E11369" s="2">
        <v>1149.31</v>
      </c>
      <c r="F11369" t="s">
        <v>13</v>
      </c>
      <c r="G11369" t="s">
        <v>9</v>
      </c>
    </row>
    <row r="11370" spans="1:7" x14ac:dyDescent="0.35">
      <c r="A11370">
        <v>4517</v>
      </c>
      <c r="B11370" s="1">
        <v>45862</v>
      </c>
      <c r="C11370" t="s">
        <v>24</v>
      </c>
      <c r="D11370" s="2">
        <v>772.04</v>
      </c>
      <c r="E11370" s="2">
        <v>0</v>
      </c>
      <c r="F11370" t="s">
        <v>8</v>
      </c>
      <c r="G11370" t="s">
        <v>9</v>
      </c>
    </row>
    <row r="11371" spans="1:7" x14ac:dyDescent="0.35">
      <c r="A11371">
        <v>4517</v>
      </c>
      <c r="B11371" s="1">
        <v>45862</v>
      </c>
      <c r="C11371" t="s">
        <v>24</v>
      </c>
      <c r="D11371" s="2">
        <v>0</v>
      </c>
      <c r="E11371" s="2">
        <v>772.04</v>
      </c>
      <c r="F11371" t="s">
        <v>13</v>
      </c>
      <c r="G11371" t="s">
        <v>9</v>
      </c>
    </row>
    <row r="11372" spans="1:7" x14ac:dyDescent="0.35">
      <c r="A11372">
        <v>4518</v>
      </c>
      <c r="B11372" s="1">
        <v>45862</v>
      </c>
      <c r="C11372" t="s">
        <v>24</v>
      </c>
      <c r="D11372" s="2">
        <v>4054.48</v>
      </c>
      <c r="E11372" s="2">
        <v>0</v>
      </c>
      <c r="F11372" t="s">
        <v>8</v>
      </c>
      <c r="G11372" t="s">
        <v>9</v>
      </c>
    </row>
    <row r="11373" spans="1:7" x14ac:dyDescent="0.35">
      <c r="A11373">
        <v>4518</v>
      </c>
      <c r="B11373" s="1">
        <v>45862</v>
      </c>
      <c r="C11373" t="s">
        <v>24</v>
      </c>
      <c r="D11373" s="2">
        <v>0</v>
      </c>
      <c r="E11373" s="2">
        <v>4054.48</v>
      </c>
      <c r="F11373" t="s">
        <v>13</v>
      </c>
      <c r="G11373" t="s">
        <v>9</v>
      </c>
    </row>
    <row r="11374" spans="1:7" x14ac:dyDescent="0.35">
      <c r="A11374">
        <v>4519</v>
      </c>
      <c r="B11374" s="1">
        <v>45862</v>
      </c>
      <c r="C11374" t="s">
        <v>24</v>
      </c>
      <c r="D11374" s="2">
        <v>479.46</v>
      </c>
      <c r="E11374" s="2">
        <v>0</v>
      </c>
      <c r="F11374" t="s">
        <v>8</v>
      </c>
      <c r="G11374" t="s">
        <v>9</v>
      </c>
    </row>
    <row r="11375" spans="1:7" x14ac:dyDescent="0.35">
      <c r="A11375">
        <v>4519</v>
      </c>
      <c r="B11375" s="1">
        <v>45862</v>
      </c>
      <c r="C11375" t="s">
        <v>24</v>
      </c>
      <c r="D11375" s="2">
        <v>0</v>
      </c>
      <c r="E11375" s="2">
        <v>479.46</v>
      </c>
      <c r="F11375" t="s">
        <v>13</v>
      </c>
      <c r="G11375" t="s">
        <v>9</v>
      </c>
    </row>
    <row r="11376" spans="1:7" x14ac:dyDescent="0.35">
      <c r="A11376">
        <v>4520</v>
      </c>
      <c r="B11376" s="1">
        <v>45862</v>
      </c>
      <c r="C11376" t="s">
        <v>29</v>
      </c>
      <c r="D11376" s="2">
        <v>2635.36</v>
      </c>
      <c r="E11376" s="2">
        <v>0</v>
      </c>
      <c r="F11376" t="s">
        <v>28</v>
      </c>
      <c r="G11376" t="s">
        <v>17</v>
      </c>
    </row>
    <row r="11377" spans="1:7" x14ac:dyDescent="0.35">
      <c r="A11377">
        <v>4520</v>
      </c>
      <c r="B11377" s="1">
        <v>45862</v>
      </c>
      <c r="C11377" t="s">
        <v>29</v>
      </c>
      <c r="D11377" s="2">
        <v>0</v>
      </c>
      <c r="E11377" s="2">
        <v>2635.36</v>
      </c>
      <c r="F11377" t="s">
        <v>8</v>
      </c>
      <c r="G11377" t="s">
        <v>9</v>
      </c>
    </row>
    <row r="11378" spans="1:7" x14ac:dyDescent="0.35">
      <c r="A11378">
        <v>4521</v>
      </c>
      <c r="B11378" s="1">
        <v>45863</v>
      </c>
      <c r="C11378" t="s">
        <v>12</v>
      </c>
      <c r="D11378" s="2">
        <v>724.85</v>
      </c>
      <c r="E11378" s="2">
        <v>0</v>
      </c>
      <c r="F11378" t="s">
        <v>13</v>
      </c>
      <c r="G11378" t="s">
        <v>9</v>
      </c>
    </row>
    <row r="11379" spans="1:7" x14ac:dyDescent="0.35">
      <c r="A11379">
        <v>4521</v>
      </c>
      <c r="B11379" s="1">
        <v>45863</v>
      </c>
      <c r="C11379" t="s">
        <v>12</v>
      </c>
      <c r="D11379" s="2">
        <v>0</v>
      </c>
      <c r="E11379" s="2">
        <v>674.28</v>
      </c>
      <c r="F11379" t="s">
        <v>14</v>
      </c>
      <c r="G11379" t="s">
        <v>15</v>
      </c>
    </row>
    <row r="11380" spans="1:7" x14ac:dyDescent="0.35">
      <c r="A11380">
        <v>4521</v>
      </c>
      <c r="B11380" s="1">
        <v>45863</v>
      </c>
      <c r="C11380" t="s">
        <v>12</v>
      </c>
      <c r="D11380" s="2">
        <v>0</v>
      </c>
      <c r="E11380" s="2">
        <v>50.57</v>
      </c>
      <c r="F11380" t="s">
        <v>16</v>
      </c>
      <c r="G11380" t="s">
        <v>17</v>
      </c>
    </row>
    <row r="11381" spans="1:7" x14ac:dyDescent="0.35">
      <c r="A11381">
        <v>4522</v>
      </c>
      <c r="B11381" s="1">
        <v>45863</v>
      </c>
      <c r="C11381" t="s">
        <v>12</v>
      </c>
      <c r="D11381" s="2">
        <v>122.57</v>
      </c>
      <c r="E11381" s="2">
        <v>0</v>
      </c>
      <c r="F11381" t="s">
        <v>13</v>
      </c>
      <c r="G11381" t="s">
        <v>9</v>
      </c>
    </row>
    <row r="11382" spans="1:7" x14ac:dyDescent="0.35">
      <c r="A11382">
        <v>4522</v>
      </c>
      <c r="B11382" s="1">
        <v>45863</v>
      </c>
      <c r="C11382" t="s">
        <v>12</v>
      </c>
      <c r="D11382" s="2">
        <v>0</v>
      </c>
      <c r="E11382" s="2">
        <v>114.02</v>
      </c>
      <c r="F11382" t="s">
        <v>14</v>
      </c>
      <c r="G11382" t="s">
        <v>15</v>
      </c>
    </row>
    <row r="11383" spans="1:7" x14ac:dyDescent="0.35">
      <c r="A11383">
        <v>4522</v>
      </c>
      <c r="B11383" s="1">
        <v>45863</v>
      </c>
      <c r="C11383" t="s">
        <v>12</v>
      </c>
      <c r="D11383" s="2">
        <v>0</v>
      </c>
      <c r="E11383" s="2">
        <v>8.5500000000000007</v>
      </c>
      <c r="F11383" t="s">
        <v>16</v>
      </c>
      <c r="G11383" t="s">
        <v>17</v>
      </c>
    </row>
    <row r="11384" spans="1:7" x14ac:dyDescent="0.35">
      <c r="A11384">
        <v>4523</v>
      </c>
      <c r="B11384" s="1">
        <v>45863</v>
      </c>
      <c r="C11384" t="s">
        <v>24</v>
      </c>
      <c r="D11384" s="2">
        <v>3041.1</v>
      </c>
      <c r="E11384" s="2">
        <v>0</v>
      </c>
      <c r="F11384" t="s">
        <v>8</v>
      </c>
      <c r="G11384" t="s">
        <v>9</v>
      </c>
    </row>
    <row r="11385" spans="1:7" x14ac:dyDescent="0.35">
      <c r="A11385">
        <v>4523</v>
      </c>
      <c r="B11385" s="1">
        <v>45863</v>
      </c>
      <c r="C11385" t="s">
        <v>24</v>
      </c>
      <c r="D11385" s="2">
        <v>0</v>
      </c>
      <c r="E11385" s="2">
        <v>3041.1</v>
      </c>
      <c r="F11385" t="s">
        <v>13</v>
      </c>
      <c r="G11385" t="s">
        <v>9</v>
      </c>
    </row>
    <row r="11386" spans="1:7" x14ac:dyDescent="0.35">
      <c r="A11386">
        <v>4524</v>
      </c>
      <c r="B11386" s="1">
        <v>45863</v>
      </c>
      <c r="C11386" t="s">
        <v>24</v>
      </c>
      <c r="D11386" s="2">
        <v>1405.94</v>
      </c>
      <c r="E11386" s="2">
        <v>0</v>
      </c>
      <c r="F11386" t="s">
        <v>8</v>
      </c>
      <c r="G11386" t="s">
        <v>9</v>
      </c>
    </row>
    <row r="11387" spans="1:7" x14ac:dyDescent="0.35">
      <c r="A11387">
        <v>4524</v>
      </c>
      <c r="B11387" s="1">
        <v>45863</v>
      </c>
      <c r="C11387" t="s">
        <v>24</v>
      </c>
      <c r="D11387" s="2">
        <v>0</v>
      </c>
      <c r="E11387" s="2">
        <v>1405.94</v>
      </c>
      <c r="F11387" t="s">
        <v>13</v>
      </c>
      <c r="G11387" t="s">
        <v>9</v>
      </c>
    </row>
    <row r="11388" spans="1:7" x14ac:dyDescent="0.35">
      <c r="A11388">
        <v>4525</v>
      </c>
      <c r="B11388" s="1">
        <v>45863</v>
      </c>
      <c r="C11388" t="s">
        <v>24</v>
      </c>
      <c r="D11388" s="2">
        <v>2974.86</v>
      </c>
      <c r="E11388" s="2">
        <v>0</v>
      </c>
      <c r="F11388" t="s">
        <v>8</v>
      </c>
      <c r="G11388" t="s">
        <v>9</v>
      </c>
    </row>
    <row r="11389" spans="1:7" x14ac:dyDescent="0.35">
      <c r="A11389">
        <v>4525</v>
      </c>
      <c r="B11389" s="1">
        <v>45863</v>
      </c>
      <c r="C11389" t="s">
        <v>24</v>
      </c>
      <c r="D11389" s="2">
        <v>0</v>
      </c>
      <c r="E11389" s="2">
        <v>2974.86</v>
      </c>
      <c r="F11389" t="s">
        <v>13</v>
      </c>
      <c r="G11389" t="s">
        <v>9</v>
      </c>
    </row>
    <row r="11390" spans="1:7" x14ac:dyDescent="0.35">
      <c r="A11390">
        <v>4526</v>
      </c>
      <c r="B11390" s="1">
        <v>45863</v>
      </c>
      <c r="C11390" t="s">
        <v>24</v>
      </c>
      <c r="D11390" s="2">
        <v>1969.24</v>
      </c>
      <c r="E11390" s="2">
        <v>0</v>
      </c>
      <c r="F11390" t="s">
        <v>8</v>
      </c>
      <c r="G11390" t="s">
        <v>9</v>
      </c>
    </row>
    <row r="11391" spans="1:7" x14ac:dyDescent="0.35">
      <c r="A11391">
        <v>4526</v>
      </c>
      <c r="B11391" s="1">
        <v>45863</v>
      </c>
      <c r="C11391" t="s">
        <v>24</v>
      </c>
      <c r="D11391" s="2">
        <v>0</v>
      </c>
      <c r="E11391" s="2">
        <v>1969.24</v>
      </c>
      <c r="F11391" t="s">
        <v>13</v>
      </c>
      <c r="G11391" t="s">
        <v>9</v>
      </c>
    </row>
    <row r="11392" spans="1:7" x14ac:dyDescent="0.35">
      <c r="A11392">
        <v>4527</v>
      </c>
      <c r="B11392" s="1">
        <v>45863</v>
      </c>
      <c r="C11392" t="s">
        <v>24</v>
      </c>
      <c r="D11392" s="2">
        <v>3297.25</v>
      </c>
      <c r="E11392" s="2">
        <v>0</v>
      </c>
      <c r="F11392" t="s">
        <v>8</v>
      </c>
      <c r="G11392" t="s">
        <v>9</v>
      </c>
    </row>
    <row r="11393" spans="1:7" x14ac:dyDescent="0.35">
      <c r="A11393">
        <v>4527</v>
      </c>
      <c r="B11393" s="1">
        <v>45863</v>
      </c>
      <c r="C11393" t="s">
        <v>24</v>
      </c>
      <c r="D11393" s="2">
        <v>0</v>
      </c>
      <c r="E11393" s="2">
        <v>3297.25</v>
      </c>
      <c r="F11393" t="s">
        <v>13</v>
      </c>
      <c r="G11393" t="s">
        <v>9</v>
      </c>
    </row>
    <row r="11394" spans="1:7" x14ac:dyDescent="0.35">
      <c r="A11394">
        <v>4528</v>
      </c>
      <c r="B11394" s="1">
        <v>45863</v>
      </c>
      <c r="C11394" t="s">
        <v>24</v>
      </c>
      <c r="D11394" s="2">
        <v>4725.9799999999996</v>
      </c>
      <c r="E11394" s="2">
        <v>0</v>
      </c>
      <c r="F11394" t="s">
        <v>8</v>
      </c>
      <c r="G11394" t="s">
        <v>9</v>
      </c>
    </row>
    <row r="11395" spans="1:7" x14ac:dyDescent="0.35">
      <c r="A11395">
        <v>4528</v>
      </c>
      <c r="B11395" s="1">
        <v>45863</v>
      </c>
      <c r="C11395" t="s">
        <v>24</v>
      </c>
      <c r="D11395" s="2">
        <v>0</v>
      </c>
      <c r="E11395" s="2">
        <v>4725.9799999999996</v>
      </c>
      <c r="F11395" t="s">
        <v>13</v>
      </c>
      <c r="G11395" t="s">
        <v>9</v>
      </c>
    </row>
    <row r="11396" spans="1:7" x14ac:dyDescent="0.35">
      <c r="A11396">
        <v>4529</v>
      </c>
      <c r="B11396" s="1">
        <v>45863</v>
      </c>
      <c r="C11396" t="s">
        <v>25</v>
      </c>
      <c r="D11396" s="2">
        <v>1947.24</v>
      </c>
      <c r="E11396" s="2">
        <v>0</v>
      </c>
      <c r="F11396" t="s">
        <v>26</v>
      </c>
      <c r="G11396" t="s">
        <v>20</v>
      </c>
    </row>
    <row r="11397" spans="1:7" x14ac:dyDescent="0.35">
      <c r="A11397">
        <v>4529</v>
      </c>
      <c r="B11397" s="1">
        <v>45863</v>
      </c>
      <c r="C11397" t="s">
        <v>25</v>
      </c>
      <c r="D11397" s="2">
        <v>146.04</v>
      </c>
      <c r="E11397" s="2">
        <v>0</v>
      </c>
      <c r="F11397" t="s">
        <v>27</v>
      </c>
      <c r="G11397" t="s">
        <v>9</v>
      </c>
    </row>
    <row r="11398" spans="1:7" x14ac:dyDescent="0.35">
      <c r="A11398">
        <v>4529</v>
      </c>
      <c r="B11398" s="1">
        <v>45863</v>
      </c>
      <c r="C11398" t="s">
        <v>25</v>
      </c>
      <c r="D11398" s="2">
        <v>0</v>
      </c>
      <c r="E11398" s="2">
        <v>2093.2800000000002</v>
      </c>
      <c r="F11398" t="s">
        <v>28</v>
      </c>
      <c r="G11398" t="s">
        <v>17</v>
      </c>
    </row>
    <row r="11399" spans="1:7" x14ac:dyDescent="0.35">
      <c r="A11399">
        <v>4530</v>
      </c>
      <c r="B11399" s="1">
        <v>45863</v>
      </c>
      <c r="C11399" t="s">
        <v>25</v>
      </c>
      <c r="D11399" s="2">
        <v>3282.76</v>
      </c>
      <c r="E11399" s="2">
        <v>0</v>
      </c>
      <c r="F11399" t="s">
        <v>26</v>
      </c>
      <c r="G11399" t="s">
        <v>20</v>
      </c>
    </row>
    <row r="11400" spans="1:7" x14ac:dyDescent="0.35">
      <c r="A11400">
        <v>4530</v>
      </c>
      <c r="B11400" s="1">
        <v>45863</v>
      </c>
      <c r="C11400" t="s">
        <v>25</v>
      </c>
      <c r="D11400" s="2">
        <v>246.21</v>
      </c>
      <c r="E11400" s="2">
        <v>0</v>
      </c>
      <c r="F11400" t="s">
        <v>27</v>
      </c>
      <c r="G11400" t="s">
        <v>9</v>
      </c>
    </row>
    <row r="11401" spans="1:7" x14ac:dyDescent="0.35">
      <c r="A11401">
        <v>4530</v>
      </c>
      <c r="B11401" s="1">
        <v>45863</v>
      </c>
      <c r="C11401" t="s">
        <v>25</v>
      </c>
      <c r="D11401" s="2">
        <v>0</v>
      </c>
      <c r="E11401" s="2">
        <v>3528.97</v>
      </c>
      <c r="F11401" t="s">
        <v>28</v>
      </c>
      <c r="G11401" t="s">
        <v>17</v>
      </c>
    </row>
    <row r="11402" spans="1:7" x14ac:dyDescent="0.35">
      <c r="A11402">
        <v>4531</v>
      </c>
      <c r="B11402" s="1">
        <v>45866</v>
      </c>
      <c r="C11402" t="s">
        <v>12</v>
      </c>
      <c r="D11402" s="2">
        <v>3521.54</v>
      </c>
      <c r="E11402" s="2">
        <v>0</v>
      </c>
      <c r="F11402" t="s">
        <v>13</v>
      </c>
      <c r="G11402" t="s">
        <v>9</v>
      </c>
    </row>
    <row r="11403" spans="1:7" x14ac:dyDescent="0.35">
      <c r="A11403">
        <v>4531</v>
      </c>
      <c r="B11403" s="1">
        <v>45866</v>
      </c>
      <c r="C11403" t="s">
        <v>12</v>
      </c>
      <c r="D11403" s="2">
        <v>0</v>
      </c>
      <c r="E11403" s="2">
        <v>3275.85</v>
      </c>
      <c r="F11403" t="s">
        <v>14</v>
      </c>
      <c r="G11403" t="s">
        <v>15</v>
      </c>
    </row>
    <row r="11404" spans="1:7" x14ac:dyDescent="0.35">
      <c r="A11404">
        <v>4531</v>
      </c>
      <c r="B11404" s="1">
        <v>45866</v>
      </c>
      <c r="C11404" t="s">
        <v>12</v>
      </c>
      <c r="D11404" s="2">
        <v>0</v>
      </c>
      <c r="E11404" s="2">
        <v>245.69</v>
      </c>
      <c r="F11404" t="s">
        <v>16</v>
      </c>
      <c r="G11404" t="s">
        <v>17</v>
      </c>
    </row>
    <row r="11405" spans="1:7" x14ac:dyDescent="0.35">
      <c r="A11405">
        <v>4532</v>
      </c>
      <c r="B11405" s="1">
        <v>45866</v>
      </c>
      <c r="C11405" t="s">
        <v>12</v>
      </c>
      <c r="D11405" s="2">
        <v>3369.54</v>
      </c>
      <c r="E11405" s="2">
        <v>0</v>
      </c>
      <c r="F11405" t="s">
        <v>13</v>
      </c>
      <c r="G11405" t="s">
        <v>9</v>
      </c>
    </row>
    <row r="11406" spans="1:7" x14ac:dyDescent="0.35">
      <c r="A11406">
        <v>4532</v>
      </c>
      <c r="B11406" s="1">
        <v>45866</v>
      </c>
      <c r="C11406" t="s">
        <v>12</v>
      </c>
      <c r="D11406" s="2">
        <v>0</v>
      </c>
      <c r="E11406" s="2">
        <v>3134.45</v>
      </c>
      <c r="F11406" t="s">
        <v>14</v>
      </c>
      <c r="G11406" t="s">
        <v>15</v>
      </c>
    </row>
    <row r="11407" spans="1:7" x14ac:dyDescent="0.35">
      <c r="A11407">
        <v>4532</v>
      </c>
      <c r="B11407" s="1">
        <v>45866</v>
      </c>
      <c r="C11407" t="s">
        <v>12</v>
      </c>
      <c r="D11407" s="2">
        <v>0</v>
      </c>
      <c r="E11407" s="2">
        <v>235.09</v>
      </c>
      <c r="F11407" t="s">
        <v>16</v>
      </c>
      <c r="G11407" t="s">
        <v>17</v>
      </c>
    </row>
    <row r="11408" spans="1:7" x14ac:dyDescent="0.35">
      <c r="A11408">
        <v>4533</v>
      </c>
      <c r="B11408" s="1">
        <v>45866</v>
      </c>
      <c r="C11408" t="s">
        <v>24</v>
      </c>
      <c r="D11408" s="2">
        <v>223.08</v>
      </c>
      <c r="E11408" s="2">
        <v>0</v>
      </c>
      <c r="F11408" t="s">
        <v>8</v>
      </c>
      <c r="G11408" t="s">
        <v>9</v>
      </c>
    </row>
    <row r="11409" spans="1:7" x14ac:dyDescent="0.35">
      <c r="A11409">
        <v>4533</v>
      </c>
      <c r="B11409" s="1">
        <v>45866</v>
      </c>
      <c r="C11409" t="s">
        <v>24</v>
      </c>
      <c r="D11409" s="2">
        <v>0</v>
      </c>
      <c r="E11409" s="2">
        <v>223.08</v>
      </c>
      <c r="F11409" t="s">
        <v>13</v>
      </c>
      <c r="G11409" t="s">
        <v>9</v>
      </c>
    </row>
    <row r="11410" spans="1:7" x14ac:dyDescent="0.35">
      <c r="A11410">
        <v>4534</v>
      </c>
      <c r="B11410" s="1">
        <v>45866</v>
      </c>
      <c r="C11410" t="s">
        <v>24</v>
      </c>
      <c r="D11410" s="2">
        <v>2746.45</v>
      </c>
      <c r="E11410" s="2">
        <v>0</v>
      </c>
      <c r="F11410" t="s">
        <v>8</v>
      </c>
      <c r="G11410" t="s">
        <v>9</v>
      </c>
    </row>
    <row r="11411" spans="1:7" x14ac:dyDescent="0.35">
      <c r="A11411">
        <v>4534</v>
      </c>
      <c r="B11411" s="1">
        <v>45866</v>
      </c>
      <c r="C11411" t="s">
        <v>24</v>
      </c>
      <c r="D11411" s="2">
        <v>0</v>
      </c>
      <c r="E11411" s="2">
        <v>2746.45</v>
      </c>
      <c r="F11411" t="s">
        <v>13</v>
      </c>
      <c r="G11411" t="s">
        <v>9</v>
      </c>
    </row>
    <row r="11412" spans="1:7" x14ac:dyDescent="0.35">
      <c r="A11412">
        <v>4535</v>
      </c>
      <c r="B11412" s="1">
        <v>45866</v>
      </c>
      <c r="C11412" t="s">
        <v>24</v>
      </c>
      <c r="D11412" s="2">
        <v>2534.46</v>
      </c>
      <c r="E11412" s="2">
        <v>0</v>
      </c>
      <c r="F11412" t="s">
        <v>8</v>
      </c>
      <c r="G11412" t="s">
        <v>9</v>
      </c>
    </row>
    <row r="11413" spans="1:7" x14ac:dyDescent="0.35">
      <c r="A11413">
        <v>4535</v>
      </c>
      <c r="B11413" s="1">
        <v>45866</v>
      </c>
      <c r="C11413" t="s">
        <v>24</v>
      </c>
      <c r="D11413" s="2">
        <v>0</v>
      </c>
      <c r="E11413" s="2">
        <v>2534.46</v>
      </c>
      <c r="F11413" t="s">
        <v>13</v>
      </c>
      <c r="G11413" t="s">
        <v>9</v>
      </c>
    </row>
    <row r="11414" spans="1:7" x14ac:dyDescent="0.35">
      <c r="A11414">
        <v>4536</v>
      </c>
      <c r="B11414" s="1">
        <v>45866</v>
      </c>
      <c r="C11414" t="s">
        <v>24</v>
      </c>
      <c r="D11414" s="2">
        <v>2399.91</v>
      </c>
      <c r="E11414" s="2">
        <v>0</v>
      </c>
      <c r="F11414" t="s">
        <v>8</v>
      </c>
      <c r="G11414" t="s">
        <v>9</v>
      </c>
    </row>
    <row r="11415" spans="1:7" x14ac:dyDescent="0.35">
      <c r="A11415">
        <v>4536</v>
      </c>
      <c r="B11415" s="1">
        <v>45866</v>
      </c>
      <c r="C11415" t="s">
        <v>24</v>
      </c>
      <c r="D11415" s="2">
        <v>0</v>
      </c>
      <c r="E11415" s="2">
        <v>2399.91</v>
      </c>
      <c r="F11415" t="s">
        <v>13</v>
      </c>
      <c r="G11415" t="s">
        <v>9</v>
      </c>
    </row>
    <row r="11416" spans="1:7" x14ac:dyDescent="0.35">
      <c r="A11416">
        <v>4537</v>
      </c>
      <c r="B11416" s="1">
        <v>45866</v>
      </c>
      <c r="C11416" t="s">
        <v>25</v>
      </c>
      <c r="D11416" s="2">
        <v>1643.22</v>
      </c>
      <c r="E11416" s="2">
        <v>0</v>
      </c>
      <c r="F11416" t="s">
        <v>26</v>
      </c>
      <c r="G11416" t="s">
        <v>20</v>
      </c>
    </row>
    <row r="11417" spans="1:7" x14ac:dyDescent="0.35">
      <c r="A11417">
        <v>4537</v>
      </c>
      <c r="B11417" s="1">
        <v>45866</v>
      </c>
      <c r="C11417" t="s">
        <v>25</v>
      </c>
      <c r="D11417" s="2">
        <v>123.24</v>
      </c>
      <c r="E11417" s="2">
        <v>0</v>
      </c>
      <c r="F11417" t="s">
        <v>27</v>
      </c>
      <c r="G11417" t="s">
        <v>9</v>
      </c>
    </row>
    <row r="11418" spans="1:7" x14ac:dyDescent="0.35">
      <c r="A11418">
        <v>4537</v>
      </c>
      <c r="B11418" s="1">
        <v>45866</v>
      </c>
      <c r="C11418" t="s">
        <v>25</v>
      </c>
      <c r="D11418" s="2">
        <v>0</v>
      </c>
      <c r="E11418" s="2">
        <v>1766.46</v>
      </c>
      <c r="F11418" t="s">
        <v>28</v>
      </c>
      <c r="G11418" t="s">
        <v>17</v>
      </c>
    </row>
    <row r="11419" spans="1:7" x14ac:dyDescent="0.35">
      <c r="A11419">
        <v>4538</v>
      </c>
      <c r="B11419" s="1">
        <v>45866</v>
      </c>
      <c r="C11419" t="s">
        <v>29</v>
      </c>
      <c r="D11419" s="2">
        <v>4812.46</v>
      </c>
      <c r="E11419" s="2">
        <v>0</v>
      </c>
      <c r="F11419" t="s">
        <v>28</v>
      </c>
      <c r="G11419" t="s">
        <v>17</v>
      </c>
    </row>
    <row r="11420" spans="1:7" x14ac:dyDescent="0.35">
      <c r="A11420">
        <v>4538</v>
      </c>
      <c r="B11420" s="1">
        <v>45866</v>
      </c>
      <c r="C11420" t="s">
        <v>29</v>
      </c>
      <c r="D11420" s="2">
        <v>0</v>
      </c>
      <c r="E11420" s="2">
        <v>4812.46</v>
      </c>
      <c r="F11420" t="s">
        <v>8</v>
      </c>
      <c r="G11420" t="s">
        <v>9</v>
      </c>
    </row>
    <row r="11421" spans="1:7" x14ac:dyDescent="0.35">
      <c r="A11421">
        <v>4539</v>
      </c>
      <c r="B11421" s="1">
        <v>45866</v>
      </c>
      <c r="C11421" t="s">
        <v>29</v>
      </c>
      <c r="D11421" s="2">
        <v>550.4</v>
      </c>
      <c r="E11421" s="2">
        <v>0</v>
      </c>
      <c r="F11421" t="s">
        <v>28</v>
      </c>
      <c r="G11421" t="s">
        <v>17</v>
      </c>
    </row>
    <row r="11422" spans="1:7" x14ac:dyDescent="0.35">
      <c r="A11422">
        <v>4539</v>
      </c>
      <c r="B11422" s="1">
        <v>45866</v>
      </c>
      <c r="C11422" t="s">
        <v>29</v>
      </c>
      <c r="D11422" s="2">
        <v>0</v>
      </c>
      <c r="E11422" s="2">
        <v>550.4</v>
      </c>
      <c r="F11422" t="s">
        <v>8</v>
      </c>
      <c r="G11422" t="s">
        <v>9</v>
      </c>
    </row>
    <row r="11423" spans="1:7" x14ac:dyDescent="0.35">
      <c r="A11423">
        <v>4540</v>
      </c>
      <c r="B11423" s="1">
        <v>45866</v>
      </c>
      <c r="C11423" t="s">
        <v>29</v>
      </c>
      <c r="D11423" s="2">
        <v>3868.8</v>
      </c>
      <c r="E11423" s="2">
        <v>0</v>
      </c>
      <c r="F11423" t="s">
        <v>28</v>
      </c>
      <c r="G11423" t="s">
        <v>17</v>
      </c>
    </row>
    <row r="11424" spans="1:7" x14ac:dyDescent="0.35">
      <c r="A11424">
        <v>4540</v>
      </c>
      <c r="B11424" s="1">
        <v>45866</v>
      </c>
      <c r="C11424" t="s">
        <v>29</v>
      </c>
      <c r="D11424" s="2">
        <v>0</v>
      </c>
      <c r="E11424" s="2">
        <v>3868.8</v>
      </c>
      <c r="F11424" t="s">
        <v>8</v>
      </c>
      <c r="G11424" t="s">
        <v>9</v>
      </c>
    </row>
    <row r="11425" spans="1:7" x14ac:dyDescent="0.35">
      <c r="A11425">
        <v>4541</v>
      </c>
      <c r="B11425" s="1">
        <v>45866</v>
      </c>
      <c r="C11425" t="s">
        <v>29</v>
      </c>
      <c r="D11425" s="2">
        <v>3528.97</v>
      </c>
      <c r="E11425" s="2">
        <v>0</v>
      </c>
      <c r="F11425" t="s">
        <v>28</v>
      </c>
      <c r="G11425" t="s">
        <v>17</v>
      </c>
    </row>
    <row r="11426" spans="1:7" x14ac:dyDescent="0.35">
      <c r="A11426">
        <v>4541</v>
      </c>
      <c r="B11426" s="1">
        <v>45866</v>
      </c>
      <c r="C11426" t="s">
        <v>29</v>
      </c>
      <c r="D11426" s="2">
        <v>0</v>
      </c>
      <c r="E11426" s="2">
        <v>3528.97</v>
      </c>
      <c r="F11426" t="s">
        <v>8</v>
      </c>
      <c r="G11426" t="s">
        <v>9</v>
      </c>
    </row>
    <row r="11427" spans="1:7" x14ac:dyDescent="0.35">
      <c r="A11427">
        <v>4542</v>
      </c>
      <c r="B11427" s="1">
        <v>45867</v>
      </c>
      <c r="C11427" t="s">
        <v>12</v>
      </c>
      <c r="D11427" s="2">
        <v>2063.81</v>
      </c>
      <c r="E11427" s="2">
        <v>0</v>
      </c>
      <c r="F11427" t="s">
        <v>13</v>
      </c>
      <c r="G11427" t="s">
        <v>9</v>
      </c>
    </row>
    <row r="11428" spans="1:7" x14ac:dyDescent="0.35">
      <c r="A11428">
        <v>4542</v>
      </c>
      <c r="B11428" s="1">
        <v>45867</v>
      </c>
      <c r="C11428" t="s">
        <v>12</v>
      </c>
      <c r="D11428" s="2">
        <v>0</v>
      </c>
      <c r="E11428" s="2">
        <v>1919.82</v>
      </c>
      <c r="F11428" t="s">
        <v>14</v>
      </c>
      <c r="G11428" t="s">
        <v>15</v>
      </c>
    </row>
    <row r="11429" spans="1:7" x14ac:dyDescent="0.35">
      <c r="A11429">
        <v>4542</v>
      </c>
      <c r="B11429" s="1">
        <v>45867</v>
      </c>
      <c r="C11429" t="s">
        <v>12</v>
      </c>
      <c r="D11429" s="2">
        <v>0</v>
      </c>
      <c r="E11429" s="2">
        <v>143.99</v>
      </c>
      <c r="F11429" t="s">
        <v>16</v>
      </c>
      <c r="G11429" t="s">
        <v>17</v>
      </c>
    </row>
    <row r="11430" spans="1:7" x14ac:dyDescent="0.35">
      <c r="A11430">
        <v>4543</v>
      </c>
      <c r="B11430" s="1">
        <v>45867</v>
      </c>
      <c r="C11430" t="s">
        <v>12</v>
      </c>
      <c r="D11430" s="2">
        <v>367.71</v>
      </c>
      <c r="E11430" s="2">
        <v>0</v>
      </c>
      <c r="F11430" t="s">
        <v>13</v>
      </c>
      <c r="G11430" t="s">
        <v>9</v>
      </c>
    </row>
    <row r="11431" spans="1:7" x14ac:dyDescent="0.35">
      <c r="A11431">
        <v>4543</v>
      </c>
      <c r="B11431" s="1">
        <v>45867</v>
      </c>
      <c r="C11431" t="s">
        <v>12</v>
      </c>
      <c r="D11431" s="2">
        <v>0</v>
      </c>
      <c r="E11431" s="2">
        <v>342.06</v>
      </c>
      <c r="F11431" t="s">
        <v>14</v>
      </c>
      <c r="G11431" t="s">
        <v>15</v>
      </c>
    </row>
    <row r="11432" spans="1:7" x14ac:dyDescent="0.35">
      <c r="A11432">
        <v>4543</v>
      </c>
      <c r="B11432" s="1">
        <v>45867</v>
      </c>
      <c r="C11432" t="s">
        <v>12</v>
      </c>
      <c r="D11432" s="2">
        <v>0</v>
      </c>
      <c r="E11432" s="2">
        <v>25.65</v>
      </c>
      <c r="F11432" t="s">
        <v>16</v>
      </c>
      <c r="G11432" t="s">
        <v>17</v>
      </c>
    </row>
    <row r="11433" spans="1:7" x14ac:dyDescent="0.35">
      <c r="A11433">
        <v>4544</v>
      </c>
      <c r="B11433" s="1">
        <v>45867</v>
      </c>
      <c r="C11433" t="s">
        <v>12</v>
      </c>
      <c r="D11433" s="2">
        <v>2377.35</v>
      </c>
      <c r="E11433" s="2">
        <v>0</v>
      </c>
      <c r="F11433" t="s">
        <v>13</v>
      </c>
      <c r="G11433" t="s">
        <v>9</v>
      </c>
    </row>
    <row r="11434" spans="1:7" x14ac:dyDescent="0.35">
      <c r="A11434">
        <v>4544</v>
      </c>
      <c r="B11434" s="1">
        <v>45867</v>
      </c>
      <c r="C11434" t="s">
        <v>12</v>
      </c>
      <c r="D11434" s="2">
        <v>0</v>
      </c>
      <c r="E11434" s="2">
        <v>2211.4899999999998</v>
      </c>
      <c r="F11434" t="s">
        <v>14</v>
      </c>
      <c r="G11434" t="s">
        <v>15</v>
      </c>
    </row>
    <row r="11435" spans="1:7" x14ac:dyDescent="0.35">
      <c r="A11435">
        <v>4544</v>
      </c>
      <c r="B11435" s="1">
        <v>45867</v>
      </c>
      <c r="C11435" t="s">
        <v>12</v>
      </c>
      <c r="D11435" s="2">
        <v>0</v>
      </c>
      <c r="E11435" s="2">
        <v>165.86</v>
      </c>
      <c r="F11435" t="s">
        <v>16</v>
      </c>
      <c r="G11435" t="s">
        <v>17</v>
      </c>
    </row>
    <row r="11436" spans="1:7" x14ac:dyDescent="0.35">
      <c r="A11436">
        <v>4545</v>
      </c>
      <c r="B11436" s="1">
        <v>45867</v>
      </c>
      <c r="C11436" t="s">
        <v>12</v>
      </c>
      <c r="D11436" s="2">
        <v>420.25</v>
      </c>
      <c r="E11436" s="2">
        <v>0</v>
      </c>
      <c r="F11436" t="s">
        <v>13</v>
      </c>
      <c r="G11436" t="s">
        <v>9</v>
      </c>
    </row>
    <row r="11437" spans="1:7" x14ac:dyDescent="0.35">
      <c r="A11437">
        <v>4545</v>
      </c>
      <c r="B11437" s="1">
        <v>45867</v>
      </c>
      <c r="C11437" t="s">
        <v>12</v>
      </c>
      <c r="D11437" s="2">
        <v>0</v>
      </c>
      <c r="E11437" s="2">
        <v>390.93</v>
      </c>
      <c r="F11437" t="s">
        <v>14</v>
      </c>
      <c r="G11437" t="s">
        <v>15</v>
      </c>
    </row>
    <row r="11438" spans="1:7" x14ac:dyDescent="0.35">
      <c r="A11438">
        <v>4545</v>
      </c>
      <c r="B11438" s="1">
        <v>45867</v>
      </c>
      <c r="C11438" t="s">
        <v>12</v>
      </c>
      <c r="D11438" s="2">
        <v>0</v>
      </c>
      <c r="E11438" s="2">
        <v>29.32</v>
      </c>
      <c r="F11438" t="s">
        <v>16</v>
      </c>
      <c r="G11438" t="s">
        <v>17</v>
      </c>
    </row>
    <row r="11439" spans="1:7" x14ac:dyDescent="0.35">
      <c r="A11439">
        <v>4546</v>
      </c>
      <c r="B11439" s="1">
        <v>45867</v>
      </c>
      <c r="C11439" t="s">
        <v>24</v>
      </c>
      <c r="D11439" s="2">
        <v>3913.71</v>
      </c>
      <c r="E11439" s="2">
        <v>0</v>
      </c>
      <c r="F11439" t="s">
        <v>8</v>
      </c>
      <c r="G11439" t="s">
        <v>9</v>
      </c>
    </row>
    <row r="11440" spans="1:7" x14ac:dyDescent="0.35">
      <c r="A11440">
        <v>4546</v>
      </c>
      <c r="B11440" s="1">
        <v>45867</v>
      </c>
      <c r="C11440" t="s">
        <v>24</v>
      </c>
      <c r="D11440" s="2">
        <v>0</v>
      </c>
      <c r="E11440" s="2">
        <v>3913.71</v>
      </c>
      <c r="F11440" t="s">
        <v>13</v>
      </c>
      <c r="G11440" t="s">
        <v>9</v>
      </c>
    </row>
    <row r="11441" spans="1:7" x14ac:dyDescent="0.35">
      <c r="A11441">
        <v>4547</v>
      </c>
      <c r="B11441" s="1">
        <v>45867</v>
      </c>
      <c r="C11441" t="s">
        <v>24</v>
      </c>
      <c r="D11441" s="2">
        <v>108.68</v>
      </c>
      <c r="E11441" s="2">
        <v>0</v>
      </c>
      <c r="F11441" t="s">
        <v>8</v>
      </c>
      <c r="G11441" t="s">
        <v>9</v>
      </c>
    </row>
    <row r="11442" spans="1:7" x14ac:dyDescent="0.35">
      <c r="A11442">
        <v>4547</v>
      </c>
      <c r="B11442" s="1">
        <v>45867</v>
      </c>
      <c r="C11442" t="s">
        <v>24</v>
      </c>
      <c r="D11442" s="2">
        <v>0</v>
      </c>
      <c r="E11442" s="2">
        <v>108.68</v>
      </c>
      <c r="F11442" t="s">
        <v>13</v>
      </c>
      <c r="G11442" t="s">
        <v>9</v>
      </c>
    </row>
    <row r="11443" spans="1:7" x14ac:dyDescent="0.35">
      <c r="A11443">
        <v>4548</v>
      </c>
      <c r="B11443" s="1">
        <v>45867</v>
      </c>
      <c r="C11443" t="s">
        <v>24</v>
      </c>
      <c r="D11443" s="2">
        <v>2055.7399999999998</v>
      </c>
      <c r="E11443" s="2">
        <v>0</v>
      </c>
      <c r="F11443" t="s">
        <v>8</v>
      </c>
      <c r="G11443" t="s">
        <v>9</v>
      </c>
    </row>
    <row r="11444" spans="1:7" x14ac:dyDescent="0.35">
      <c r="A11444">
        <v>4548</v>
      </c>
      <c r="B11444" s="1">
        <v>45867</v>
      </c>
      <c r="C11444" t="s">
        <v>24</v>
      </c>
      <c r="D11444" s="2">
        <v>0</v>
      </c>
      <c r="E11444" s="2">
        <v>2055.7399999999998</v>
      </c>
      <c r="F11444" t="s">
        <v>13</v>
      </c>
      <c r="G11444" t="s">
        <v>9</v>
      </c>
    </row>
    <row r="11445" spans="1:7" x14ac:dyDescent="0.35">
      <c r="A11445">
        <v>4549</v>
      </c>
      <c r="B11445" s="1">
        <v>45867</v>
      </c>
      <c r="C11445" t="s">
        <v>24</v>
      </c>
      <c r="D11445" s="2">
        <v>2797.07</v>
      </c>
      <c r="E11445" s="2">
        <v>0</v>
      </c>
      <c r="F11445" t="s">
        <v>8</v>
      </c>
      <c r="G11445" t="s">
        <v>9</v>
      </c>
    </row>
    <row r="11446" spans="1:7" x14ac:dyDescent="0.35">
      <c r="A11446">
        <v>4549</v>
      </c>
      <c r="B11446" s="1">
        <v>45867</v>
      </c>
      <c r="C11446" t="s">
        <v>24</v>
      </c>
      <c r="D11446" s="2">
        <v>0</v>
      </c>
      <c r="E11446" s="2">
        <v>2797.07</v>
      </c>
      <c r="F11446" t="s">
        <v>13</v>
      </c>
      <c r="G11446" t="s">
        <v>9</v>
      </c>
    </row>
    <row r="11447" spans="1:7" x14ac:dyDescent="0.35">
      <c r="A11447">
        <v>4550</v>
      </c>
      <c r="B11447" s="1">
        <v>45867</v>
      </c>
      <c r="C11447" t="s">
        <v>24</v>
      </c>
      <c r="D11447" s="2">
        <v>1447.86</v>
      </c>
      <c r="E11447" s="2">
        <v>0</v>
      </c>
      <c r="F11447" t="s">
        <v>8</v>
      </c>
      <c r="G11447" t="s">
        <v>9</v>
      </c>
    </row>
    <row r="11448" spans="1:7" x14ac:dyDescent="0.35">
      <c r="A11448">
        <v>4550</v>
      </c>
      <c r="B11448" s="1">
        <v>45867</v>
      </c>
      <c r="C11448" t="s">
        <v>24</v>
      </c>
      <c r="D11448" s="2">
        <v>0</v>
      </c>
      <c r="E11448" s="2">
        <v>1447.86</v>
      </c>
      <c r="F11448" t="s">
        <v>13</v>
      </c>
      <c r="G11448" t="s">
        <v>9</v>
      </c>
    </row>
    <row r="11449" spans="1:7" x14ac:dyDescent="0.35">
      <c r="A11449">
        <v>4551</v>
      </c>
      <c r="B11449" s="1">
        <v>45867</v>
      </c>
      <c r="C11449" t="s">
        <v>24</v>
      </c>
      <c r="D11449" s="2">
        <v>1611.16</v>
      </c>
      <c r="E11449" s="2">
        <v>0</v>
      </c>
      <c r="F11449" t="s">
        <v>8</v>
      </c>
      <c r="G11449" t="s">
        <v>9</v>
      </c>
    </row>
    <row r="11450" spans="1:7" x14ac:dyDescent="0.35">
      <c r="A11450">
        <v>4551</v>
      </c>
      <c r="B11450" s="1">
        <v>45867</v>
      </c>
      <c r="C11450" t="s">
        <v>24</v>
      </c>
      <c r="D11450" s="2">
        <v>0</v>
      </c>
      <c r="E11450" s="2">
        <v>1611.16</v>
      </c>
      <c r="F11450" t="s">
        <v>13</v>
      </c>
      <c r="G11450" t="s">
        <v>9</v>
      </c>
    </row>
    <row r="11451" spans="1:7" x14ac:dyDescent="0.35">
      <c r="A11451">
        <v>4552</v>
      </c>
      <c r="B11451" s="1">
        <v>45867</v>
      </c>
      <c r="C11451" t="s">
        <v>25</v>
      </c>
      <c r="D11451" s="2">
        <v>1078.92</v>
      </c>
      <c r="E11451" s="2">
        <v>0</v>
      </c>
      <c r="F11451" t="s">
        <v>26</v>
      </c>
      <c r="G11451" t="s">
        <v>20</v>
      </c>
    </row>
    <row r="11452" spans="1:7" x14ac:dyDescent="0.35">
      <c r="A11452">
        <v>4552</v>
      </c>
      <c r="B11452" s="1">
        <v>45867</v>
      </c>
      <c r="C11452" t="s">
        <v>25</v>
      </c>
      <c r="D11452" s="2">
        <v>80.92</v>
      </c>
      <c r="E11452" s="2">
        <v>0</v>
      </c>
      <c r="F11452" t="s">
        <v>27</v>
      </c>
      <c r="G11452" t="s">
        <v>9</v>
      </c>
    </row>
    <row r="11453" spans="1:7" x14ac:dyDescent="0.35">
      <c r="A11453">
        <v>4552</v>
      </c>
      <c r="B11453" s="1">
        <v>45867</v>
      </c>
      <c r="C11453" t="s">
        <v>25</v>
      </c>
      <c r="D11453" s="2">
        <v>0</v>
      </c>
      <c r="E11453" s="2">
        <v>1159.8399999999999</v>
      </c>
      <c r="F11453" t="s">
        <v>28</v>
      </c>
      <c r="G11453" t="s">
        <v>17</v>
      </c>
    </row>
    <row r="11454" spans="1:7" x14ac:dyDescent="0.35">
      <c r="A11454">
        <v>4553</v>
      </c>
      <c r="B11454" s="1">
        <v>45867</v>
      </c>
      <c r="C11454" t="s">
        <v>29</v>
      </c>
      <c r="D11454" s="2">
        <v>2504.23</v>
      </c>
      <c r="E11454" s="2">
        <v>0</v>
      </c>
      <c r="F11454" t="s">
        <v>28</v>
      </c>
      <c r="G11454" t="s">
        <v>17</v>
      </c>
    </row>
    <row r="11455" spans="1:7" x14ac:dyDescent="0.35">
      <c r="A11455">
        <v>4553</v>
      </c>
      <c r="B11455" s="1">
        <v>45867</v>
      </c>
      <c r="C11455" t="s">
        <v>29</v>
      </c>
      <c r="D11455" s="2">
        <v>0</v>
      </c>
      <c r="E11455" s="2">
        <v>2504.23</v>
      </c>
      <c r="F11455" t="s">
        <v>8</v>
      </c>
      <c r="G11455" t="s">
        <v>9</v>
      </c>
    </row>
    <row r="11456" spans="1:7" x14ac:dyDescent="0.35">
      <c r="A11456">
        <v>4554</v>
      </c>
      <c r="B11456" s="1">
        <v>45867</v>
      </c>
      <c r="C11456" t="s">
        <v>29</v>
      </c>
      <c r="D11456" s="2">
        <v>2093.2800000000002</v>
      </c>
      <c r="E11456" s="2">
        <v>0</v>
      </c>
      <c r="F11456" t="s">
        <v>28</v>
      </c>
      <c r="G11456" t="s">
        <v>17</v>
      </c>
    </row>
    <row r="11457" spans="1:7" x14ac:dyDescent="0.35">
      <c r="A11457">
        <v>4554</v>
      </c>
      <c r="B11457" s="1">
        <v>45867</v>
      </c>
      <c r="C11457" t="s">
        <v>29</v>
      </c>
      <c r="D11457" s="2">
        <v>0</v>
      </c>
      <c r="E11457" s="2">
        <v>2093.2800000000002</v>
      </c>
      <c r="F11457" t="s">
        <v>8</v>
      </c>
      <c r="G11457" t="s">
        <v>9</v>
      </c>
    </row>
    <row r="11458" spans="1:7" x14ac:dyDescent="0.35">
      <c r="A11458">
        <v>4555</v>
      </c>
      <c r="B11458" s="1">
        <v>45868</v>
      </c>
      <c r="C11458" t="s">
        <v>12</v>
      </c>
      <c r="D11458" s="2">
        <v>2776.5</v>
      </c>
      <c r="E11458" s="2">
        <v>0</v>
      </c>
      <c r="F11458" t="s">
        <v>13</v>
      </c>
      <c r="G11458" t="s">
        <v>9</v>
      </c>
    </row>
    <row r="11459" spans="1:7" x14ac:dyDescent="0.35">
      <c r="A11459">
        <v>4555</v>
      </c>
      <c r="B11459" s="1">
        <v>45868</v>
      </c>
      <c r="C11459" t="s">
        <v>12</v>
      </c>
      <c r="D11459" s="2">
        <v>0</v>
      </c>
      <c r="E11459" s="2">
        <v>2582.7800000000002</v>
      </c>
      <c r="F11459" t="s">
        <v>14</v>
      </c>
      <c r="G11459" t="s">
        <v>15</v>
      </c>
    </row>
    <row r="11460" spans="1:7" x14ac:dyDescent="0.35">
      <c r="A11460">
        <v>4555</v>
      </c>
      <c r="B11460" s="1">
        <v>45868</v>
      </c>
      <c r="C11460" t="s">
        <v>12</v>
      </c>
      <c r="D11460" s="2">
        <v>0</v>
      </c>
      <c r="E11460" s="2">
        <v>193.72</v>
      </c>
      <c r="F11460" t="s">
        <v>16</v>
      </c>
      <c r="G11460" t="s">
        <v>17</v>
      </c>
    </row>
    <row r="11461" spans="1:7" x14ac:dyDescent="0.35">
      <c r="A11461">
        <v>4556</v>
      </c>
      <c r="B11461" s="1">
        <v>45868</v>
      </c>
      <c r="C11461" t="s">
        <v>12</v>
      </c>
      <c r="D11461" s="2">
        <v>6906.23</v>
      </c>
      <c r="E11461" s="2">
        <v>0</v>
      </c>
      <c r="F11461" t="s">
        <v>13</v>
      </c>
      <c r="G11461" t="s">
        <v>9</v>
      </c>
    </row>
    <row r="11462" spans="1:7" x14ac:dyDescent="0.35">
      <c r="A11462">
        <v>4556</v>
      </c>
      <c r="B11462" s="1">
        <v>45868</v>
      </c>
      <c r="C11462" t="s">
        <v>12</v>
      </c>
      <c r="D11462" s="2">
        <v>0</v>
      </c>
      <c r="E11462" s="2">
        <v>6424.4</v>
      </c>
      <c r="F11462" t="s">
        <v>14</v>
      </c>
      <c r="G11462" t="s">
        <v>15</v>
      </c>
    </row>
    <row r="11463" spans="1:7" x14ac:dyDescent="0.35">
      <c r="A11463">
        <v>4556</v>
      </c>
      <c r="B11463" s="1">
        <v>45868</v>
      </c>
      <c r="C11463" t="s">
        <v>12</v>
      </c>
      <c r="D11463" s="2">
        <v>0</v>
      </c>
      <c r="E11463" s="2">
        <v>481.83</v>
      </c>
      <c r="F11463" t="s">
        <v>16</v>
      </c>
      <c r="G11463" t="s">
        <v>17</v>
      </c>
    </row>
    <row r="11464" spans="1:7" x14ac:dyDescent="0.35">
      <c r="A11464">
        <v>4557</v>
      </c>
      <c r="B11464" s="1">
        <v>45868</v>
      </c>
      <c r="C11464" t="s">
        <v>12</v>
      </c>
      <c r="D11464" s="2">
        <v>3162.26</v>
      </c>
      <c r="E11464" s="2">
        <v>0</v>
      </c>
      <c r="F11464" t="s">
        <v>13</v>
      </c>
      <c r="G11464" t="s">
        <v>9</v>
      </c>
    </row>
    <row r="11465" spans="1:7" x14ac:dyDescent="0.35">
      <c r="A11465">
        <v>4557</v>
      </c>
      <c r="B11465" s="1">
        <v>45868</v>
      </c>
      <c r="C11465" t="s">
        <v>12</v>
      </c>
      <c r="D11465" s="2">
        <v>0</v>
      </c>
      <c r="E11465" s="2">
        <v>2941.63</v>
      </c>
      <c r="F11465" t="s">
        <v>14</v>
      </c>
      <c r="G11465" t="s">
        <v>15</v>
      </c>
    </row>
    <row r="11466" spans="1:7" x14ac:dyDescent="0.35">
      <c r="A11466">
        <v>4557</v>
      </c>
      <c r="B11466" s="1">
        <v>45868</v>
      </c>
      <c r="C11466" t="s">
        <v>12</v>
      </c>
      <c r="D11466" s="2">
        <v>0</v>
      </c>
      <c r="E11466" s="2">
        <v>220.63</v>
      </c>
      <c r="F11466" t="s">
        <v>16</v>
      </c>
      <c r="G11466" t="s">
        <v>17</v>
      </c>
    </row>
    <row r="11467" spans="1:7" x14ac:dyDescent="0.35">
      <c r="A11467">
        <v>4558</v>
      </c>
      <c r="B11467" s="1">
        <v>45868</v>
      </c>
      <c r="C11467" t="s">
        <v>12</v>
      </c>
      <c r="D11467" s="2">
        <v>2210.08</v>
      </c>
      <c r="E11467" s="2">
        <v>0</v>
      </c>
      <c r="F11467" t="s">
        <v>13</v>
      </c>
      <c r="G11467" t="s">
        <v>9</v>
      </c>
    </row>
    <row r="11468" spans="1:7" x14ac:dyDescent="0.35">
      <c r="A11468">
        <v>4558</v>
      </c>
      <c r="B11468" s="1">
        <v>45868</v>
      </c>
      <c r="C11468" t="s">
        <v>12</v>
      </c>
      <c r="D11468" s="2">
        <v>0</v>
      </c>
      <c r="E11468" s="2">
        <v>2055.88</v>
      </c>
      <c r="F11468" t="s">
        <v>14</v>
      </c>
      <c r="G11468" t="s">
        <v>15</v>
      </c>
    </row>
    <row r="11469" spans="1:7" x14ac:dyDescent="0.35">
      <c r="A11469">
        <v>4558</v>
      </c>
      <c r="B11469" s="1">
        <v>45868</v>
      </c>
      <c r="C11469" t="s">
        <v>12</v>
      </c>
      <c r="D11469" s="2">
        <v>0</v>
      </c>
      <c r="E11469" s="2">
        <v>154.19999999999999</v>
      </c>
      <c r="F11469" t="s">
        <v>16</v>
      </c>
      <c r="G11469" t="s">
        <v>17</v>
      </c>
    </row>
    <row r="11470" spans="1:7" x14ac:dyDescent="0.35">
      <c r="A11470">
        <v>4559</v>
      </c>
      <c r="B11470" s="1">
        <v>45868</v>
      </c>
      <c r="C11470" t="s">
        <v>12</v>
      </c>
      <c r="D11470" s="2">
        <v>3276.66</v>
      </c>
      <c r="E11470" s="2">
        <v>0</v>
      </c>
      <c r="F11470" t="s">
        <v>13</v>
      </c>
      <c r="G11470" t="s">
        <v>9</v>
      </c>
    </row>
    <row r="11471" spans="1:7" x14ac:dyDescent="0.35">
      <c r="A11471">
        <v>4559</v>
      </c>
      <c r="B11471" s="1">
        <v>45868</v>
      </c>
      <c r="C11471" t="s">
        <v>12</v>
      </c>
      <c r="D11471" s="2">
        <v>0</v>
      </c>
      <c r="E11471" s="2">
        <v>3048.06</v>
      </c>
      <c r="F11471" t="s">
        <v>14</v>
      </c>
      <c r="G11471" t="s">
        <v>15</v>
      </c>
    </row>
    <row r="11472" spans="1:7" x14ac:dyDescent="0.35">
      <c r="A11472">
        <v>4559</v>
      </c>
      <c r="B11472" s="1">
        <v>45868</v>
      </c>
      <c r="C11472" t="s">
        <v>12</v>
      </c>
      <c r="D11472" s="2">
        <v>0</v>
      </c>
      <c r="E11472" s="2">
        <v>228.6</v>
      </c>
      <c r="F11472" t="s">
        <v>16</v>
      </c>
      <c r="G11472" t="s">
        <v>17</v>
      </c>
    </row>
    <row r="11473" spans="1:7" x14ac:dyDescent="0.35">
      <c r="A11473">
        <v>4560</v>
      </c>
      <c r="B11473" s="1">
        <v>45868</v>
      </c>
      <c r="C11473" t="s">
        <v>24</v>
      </c>
      <c r="D11473" s="2">
        <v>464.88</v>
      </c>
      <c r="E11473" s="2">
        <v>0</v>
      </c>
      <c r="F11473" t="s">
        <v>8</v>
      </c>
      <c r="G11473" t="s">
        <v>9</v>
      </c>
    </row>
    <row r="11474" spans="1:7" x14ac:dyDescent="0.35">
      <c r="A11474">
        <v>4560</v>
      </c>
      <c r="B11474" s="1">
        <v>45868</v>
      </c>
      <c r="C11474" t="s">
        <v>24</v>
      </c>
      <c r="D11474" s="2">
        <v>0</v>
      </c>
      <c r="E11474" s="2">
        <v>464.88</v>
      </c>
      <c r="F11474" t="s">
        <v>13</v>
      </c>
      <c r="G11474" t="s">
        <v>9</v>
      </c>
    </row>
    <row r="11475" spans="1:7" x14ac:dyDescent="0.35">
      <c r="A11475">
        <v>4561</v>
      </c>
      <c r="B11475" s="1">
        <v>45868</v>
      </c>
      <c r="C11475" t="s">
        <v>24</v>
      </c>
      <c r="D11475" s="2">
        <v>1538.68</v>
      </c>
      <c r="E11475" s="2">
        <v>0</v>
      </c>
      <c r="F11475" t="s">
        <v>8</v>
      </c>
      <c r="G11475" t="s">
        <v>9</v>
      </c>
    </row>
    <row r="11476" spans="1:7" x14ac:dyDescent="0.35">
      <c r="A11476">
        <v>4561</v>
      </c>
      <c r="B11476" s="1">
        <v>45868</v>
      </c>
      <c r="C11476" t="s">
        <v>24</v>
      </c>
      <c r="D11476" s="2">
        <v>0</v>
      </c>
      <c r="E11476" s="2">
        <v>1538.68</v>
      </c>
      <c r="F11476" t="s">
        <v>13</v>
      </c>
      <c r="G11476" t="s">
        <v>9</v>
      </c>
    </row>
    <row r="11477" spans="1:7" x14ac:dyDescent="0.35">
      <c r="A11477">
        <v>4562</v>
      </c>
      <c r="B11477" s="1">
        <v>45868</v>
      </c>
      <c r="C11477" t="s">
        <v>24</v>
      </c>
      <c r="D11477" s="2">
        <v>3487.38</v>
      </c>
      <c r="E11477" s="2">
        <v>0</v>
      </c>
      <c r="F11477" t="s">
        <v>8</v>
      </c>
      <c r="G11477" t="s">
        <v>9</v>
      </c>
    </row>
    <row r="11478" spans="1:7" x14ac:dyDescent="0.35">
      <c r="A11478">
        <v>4562</v>
      </c>
      <c r="B11478" s="1">
        <v>45868</v>
      </c>
      <c r="C11478" t="s">
        <v>24</v>
      </c>
      <c r="D11478" s="2">
        <v>0</v>
      </c>
      <c r="E11478" s="2">
        <v>3487.38</v>
      </c>
      <c r="F11478" t="s">
        <v>13</v>
      </c>
      <c r="G11478" t="s">
        <v>9</v>
      </c>
    </row>
    <row r="11479" spans="1:7" x14ac:dyDescent="0.35">
      <c r="A11479">
        <v>4563</v>
      </c>
      <c r="B11479" s="1">
        <v>45868</v>
      </c>
      <c r="C11479" t="s">
        <v>24</v>
      </c>
      <c r="D11479" s="2">
        <v>4117.34</v>
      </c>
      <c r="E11479" s="2">
        <v>0</v>
      </c>
      <c r="F11479" t="s">
        <v>8</v>
      </c>
      <c r="G11479" t="s">
        <v>9</v>
      </c>
    </row>
    <row r="11480" spans="1:7" x14ac:dyDescent="0.35">
      <c r="A11480">
        <v>4563</v>
      </c>
      <c r="B11480" s="1">
        <v>45868</v>
      </c>
      <c r="C11480" t="s">
        <v>24</v>
      </c>
      <c r="D11480" s="2">
        <v>0</v>
      </c>
      <c r="E11480" s="2">
        <v>4117.34</v>
      </c>
      <c r="F11480" t="s">
        <v>13</v>
      </c>
      <c r="G11480" t="s">
        <v>9</v>
      </c>
    </row>
    <row r="11481" spans="1:7" x14ac:dyDescent="0.35">
      <c r="A11481">
        <v>4564</v>
      </c>
      <c r="B11481" s="1">
        <v>45868</v>
      </c>
      <c r="C11481" t="s">
        <v>24</v>
      </c>
      <c r="D11481" s="2">
        <v>965.05</v>
      </c>
      <c r="E11481" s="2">
        <v>0</v>
      </c>
      <c r="F11481" t="s">
        <v>8</v>
      </c>
      <c r="G11481" t="s">
        <v>9</v>
      </c>
    </row>
    <row r="11482" spans="1:7" x14ac:dyDescent="0.35">
      <c r="A11482">
        <v>4564</v>
      </c>
      <c r="B11482" s="1">
        <v>45868</v>
      </c>
      <c r="C11482" t="s">
        <v>24</v>
      </c>
      <c r="D11482" s="2">
        <v>0</v>
      </c>
      <c r="E11482" s="2">
        <v>965.05</v>
      </c>
      <c r="F11482" t="s">
        <v>13</v>
      </c>
      <c r="G11482" t="s">
        <v>9</v>
      </c>
    </row>
    <row r="11483" spans="1:7" x14ac:dyDescent="0.35">
      <c r="A11483">
        <v>4565</v>
      </c>
      <c r="B11483" s="1">
        <v>45868</v>
      </c>
      <c r="C11483" t="s">
        <v>24</v>
      </c>
      <c r="D11483" s="2">
        <v>3531.01</v>
      </c>
      <c r="E11483" s="2">
        <v>0</v>
      </c>
      <c r="F11483" t="s">
        <v>8</v>
      </c>
      <c r="G11483" t="s">
        <v>9</v>
      </c>
    </row>
    <row r="11484" spans="1:7" x14ac:dyDescent="0.35">
      <c r="A11484">
        <v>4565</v>
      </c>
      <c r="B11484" s="1">
        <v>45868</v>
      </c>
      <c r="C11484" t="s">
        <v>24</v>
      </c>
      <c r="D11484" s="2">
        <v>0</v>
      </c>
      <c r="E11484" s="2">
        <v>3531.01</v>
      </c>
      <c r="F11484" t="s">
        <v>13</v>
      </c>
      <c r="G11484" t="s">
        <v>9</v>
      </c>
    </row>
    <row r="11485" spans="1:7" x14ac:dyDescent="0.35">
      <c r="A11485">
        <v>4566</v>
      </c>
      <c r="B11485" s="1">
        <v>45868</v>
      </c>
      <c r="C11485" t="s">
        <v>24</v>
      </c>
      <c r="D11485" s="2">
        <v>420.25</v>
      </c>
      <c r="E11485" s="2">
        <v>0</v>
      </c>
      <c r="F11485" t="s">
        <v>8</v>
      </c>
      <c r="G11485" t="s">
        <v>9</v>
      </c>
    </row>
    <row r="11486" spans="1:7" x14ac:dyDescent="0.35">
      <c r="A11486">
        <v>4566</v>
      </c>
      <c r="B11486" s="1">
        <v>45868</v>
      </c>
      <c r="C11486" t="s">
        <v>24</v>
      </c>
      <c r="D11486" s="2">
        <v>0</v>
      </c>
      <c r="E11486" s="2">
        <v>420.25</v>
      </c>
      <c r="F11486" t="s">
        <v>13</v>
      </c>
      <c r="G11486" t="s">
        <v>9</v>
      </c>
    </row>
    <row r="11487" spans="1:7" x14ac:dyDescent="0.35">
      <c r="A11487">
        <v>4567</v>
      </c>
      <c r="B11487" s="1">
        <v>45868</v>
      </c>
      <c r="C11487" t="s">
        <v>25</v>
      </c>
      <c r="D11487" s="2">
        <v>2329.52</v>
      </c>
      <c r="E11487" s="2">
        <v>0</v>
      </c>
      <c r="F11487" t="s">
        <v>26</v>
      </c>
      <c r="G11487" t="s">
        <v>20</v>
      </c>
    </row>
    <row r="11488" spans="1:7" x14ac:dyDescent="0.35">
      <c r="A11488">
        <v>4567</v>
      </c>
      <c r="B11488" s="1">
        <v>45868</v>
      </c>
      <c r="C11488" t="s">
        <v>25</v>
      </c>
      <c r="D11488" s="2">
        <v>174.71</v>
      </c>
      <c r="E11488" s="2">
        <v>0</v>
      </c>
      <c r="F11488" t="s">
        <v>27</v>
      </c>
      <c r="G11488" t="s">
        <v>9</v>
      </c>
    </row>
    <row r="11489" spans="1:7" x14ac:dyDescent="0.35">
      <c r="A11489">
        <v>4567</v>
      </c>
      <c r="B11489" s="1">
        <v>45868</v>
      </c>
      <c r="C11489" t="s">
        <v>25</v>
      </c>
      <c r="D11489" s="2">
        <v>0</v>
      </c>
      <c r="E11489" s="2">
        <v>2504.23</v>
      </c>
      <c r="F11489" t="s">
        <v>28</v>
      </c>
      <c r="G11489" t="s">
        <v>17</v>
      </c>
    </row>
    <row r="11490" spans="1:7" x14ac:dyDescent="0.35">
      <c r="A11490">
        <v>4568</v>
      </c>
      <c r="B11490" s="1">
        <v>45868</v>
      </c>
      <c r="C11490" t="s">
        <v>29</v>
      </c>
      <c r="D11490" s="2">
        <v>2182.41</v>
      </c>
      <c r="E11490" s="2">
        <v>0</v>
      </c>
      <c r="F11490" t="s">
        <v>28</v>
      </c>
      <c r="G11490" t="s">
        <v>17</v>
      </c>
    </row>
    <row r="11491" spans="1:7" x14ac:dyDescent="0.35">
      <c r="A11491">
        <v>4568</v>
      </c>
      <c r="B11491" s="1">
        <v>45868</v>
      </c>
      <c r="C11491" t="s">
        <v>29</v>
      </c>
      <c r="D11491" s="2">
        <v>0</v>
      </c>
      <c r="E11491" s="2">
        <v>2182.41</v>
      </c>
      <c r="F11491" t="s">
        <v>8</v>
      </c>
      <c r="G11491" t="s">
        <v>9</v>
      </c>
    </row>
    <row r="11492" spans="1:7" x14ac:dyDescent="0.35">
      <c r="A11492">
        <v>4569</v>
      </c>
      <c r="B11492" s="1">
        <v>45868</v>
      </c>
      <c r="C11492" t="s">
        <v>29</v>
      </c>
      <c r="D11492" s="2">
        <v>412.54</v>
      </c>
      <c r="E11492" s="2">
        <v>0</v>
      </c>
      <c r="F11492" t="s">
        <v>28</v>
      </c>
      <c r="G11492" t="s">
        <v>17</v>
      </c>
    </row>
    <row r="11493" spans="1:7" x14ac:dyDescent="0.35">
      <c r="A11493">
        <v>4569</v>
      </c>
      <c r="B11493" s="1">
        <v>45868</v>
      </c>
      <c r="C11493" t="s">
        <v>29</v>
      </c>
      <c r="D11493" s="2">
        <v>0</v>
      </c>
      <c r="E11493" s="2">
        <v>412.54</v>
      </c>
      <c r="F11493" t="s">
        <v>8</v>
      </c>
      <c r="G11493" t="s">
        <v>9</v>
      </c>
    </row>
    <row r="11494" spans="1:7" x14ac:dyDescent="0.35">
      <c r="A11494">
        <v>4570</v>
      </c>
      <c r="B11494" s="1">
        <v>45869</v>
      </c>
      <c r="C11494" t="s">
        <v>18</v>
      </c>
      <c r="D11494" s="2">
        <v>23033.4</v>
      </c>
      <c r="E11494" s="2">
        <v>0</v>
      </c>
      <c r="F11494" t="s">
        <v>19</v>
      </c>
      <c r="G11494" t="s">
        <v>20</v>
      </c>
    </row>
    <row r="11495" spans="1:7" x14ac:dyDescent="0.35">
      <c r="A11495">
        <v>4570</v>
      </c>
      <c r="B11495" s="1">
        <v>45869</v>
      </c>
      <c r="C11495" t="s">
        <v>18</v>
      </c>
      <c r="D11495" s="2">
        <v>921.34</v>
      </c>
      <c r="E11495" s="2">
        <v>0</v>
      </c>
      <c r="F11495" t="s">
        <v>21</v>
      </c>
      <c r="G11495" t="s">
        <v>20</v>
      </c>
    </row>
    <row r="11496" spans="1:7" x14ac:dyDescent="0.35">
      <c r="A11496">
        <v>4570</v>
      </c>
      <c r="B11496" s="1">
        <v>45869</v>
      </c>
      <c r="C11496" t="s">
        <v>18</v>
      </c>
      <c r="D11496" s="2">
        <v>0</v>
      </c>
      <c r="E11496" s="2">
        <v>18718.310000000001</v>
      </c>
      <c r="F11496" t="s">
        <v>8</v>
      </c>
      <c r="G11496" t="s">
        <v>9</v>
      </c>
    </row>
    <row r="11497" spans="1:7" x14ac:dyDescent="0.35">
      <c r="A11497">
        <v>4570</v>
      </c>
      <c r="B11497" s="1">
        <v>45869</v>
      </c>
      <c r="C11497" t="s">
        <v>18</v>
      </c>
      <c r="D11497" s="2">
        <v>0</v>
      </c>
      <c r="E11497" s="2">
        <v>4315.09</v>
      </c>
      <c r="F11497" t="s">
        <v>22</v>
      </c>
      <c r="G11497" t="s">
        <v>17</v>
      </c>
    </row>
    <row r="11498" spans="1:7" x14ac:dyDescent="0.35">
      <c r="A11498">
        <v>4570</v>
      </c>
      <c r="B11498" s="1">
        <v>45869</v>
      </c>
      <c r="C11498" t="s">
        <v>18</v>
      </c>
      <c r="D11498" s="2">
        <v>0</v>
      </c>
      <c r="E11498" s="2">
        <v>921.34</v>
      </c>
      <c r="F11498" t="s">
        <v>23</v>
      </c>
      <c r="G11498" t="s">
        <v>17</v>
      </c>
    </row>
    <row r="11499" spans="1:7" x14ac:dyDescent="0.35">
      <c r="A11499">
        <v>4571</v>
      </c>
      <c r="B11499" s="1">
        <v>45869</v>
      </c>
      <c r="C11499" t="s">
        <v>12</v>
      </c>
      <c r="D11499" s="2">
        <v>961.82</v>
      </c>
      <c r="E11499" s="2">
        <v>0</v>
      </c>
      <c r="F11499" t="s">
        <v>13</v>
      </c>
      <c r="G11499" t="s">
        <v>9</v>
      </c>
    </row>
    <row r="11500" spans="1:7" x14ac:dyDescent="0.35">
      <c r="A11500">
        <v>4571</v>
      </c>
      <c r="B11500" s="1">
        <v>45869</v>
      </c>
      <c r="C11500" t="s">
        <v>12</v>
      </c>
      <c r="D11500" s="2">
        <v>0</v>
      </c>
      <c r="E11500" s="2">
        <v>894.72</v>
      </c>
      <c r="F11500" t="s">
        <v>14</v>
      </c>
      <c r="G11500" t="s">
        <v>15</v>
      </c>
    </row>
    <row r="11501" spans="1:7" x14ac:dyDescent="0.35">
      <c r="A11501">
        <v>4571</v>
      </c>
      <c r="B11501" s="1">
        <v>45869</v>
      </c>
      <c r="C11501" t="s">
        <v>12</v>
      </c>
      <c r="D11501" s="2">
        <v>0</v>
      </c>
      <c r="E11501" s="2">
        <v>67.099999999999994</v>
      </c>
      <c r="F11501" t="s">
        <v>16</v>
      </c>
      <c r="G11501" t="s">
        <v>17</v>
      </c>
    </row>
    <row r="11502" spans="1:7" x14ac:dyDescent="0.35">
      <c r="A11502">
        <v>4572</v>
      </c>
      <c r="B11502" s="1">
        <v>45869</v>
      </c>
      <c r="C11502" t="s">
        <v>12</v>
      </c>
      <c r="D11502" s="2">
        <v>1663.57</v>
      </c>
      <c r="E11502" s="2">
        <v>0</v>
      </c>
      <c r="F11502" t="s">
        <v>13</v>
      </c>
      <c r="G11502" t="s">
        <v>9</v>
      </c>
    </row>
    <row r="11503" spans="1:7" x14ac:dyDescent="0.35">
      <c r="A11503">
        <v>4572</v>
      </c>
      <c r="B11503" s="1">
        <v>45869</v>
      </c>
      <c r="C11503" t="s">
        <v>12</v>
      </c>
      <c r="D11503" s="2">
        <v>0</v>
      </c>
      <c r="E11503" s="2">
        <v>1547.51</v>
      </c>
      <c r="F11503" t="s">
        <v>14</v>
      </c>
      <c r="G11503" t="s">
        <v>15</v>
      </c>
    </row>
    <row r="11504" spans="1:7" x14ac:dyDescent="0.35">
      <c r="A11504">
        <v>4572</v>
      </c>
      <c r="B11504" s="1">
        <v>45869</v>
      </c>
      <c r="C11504" t="s">
        <v>12</v>
      </c>
      <c r="D11504" s="2">
        <v>0</v>
      </c>
      <c r="E11504" s="2">
        <v>116.06</v>
      </c>
      <c r="F11504" t="s">
        <v>16</v>
      </c>
      <c r="G11504" t="s">
        <v>17</v>
      </c>
    </row>
    <row r="11505" spans="1:7" x14ac:dyDescent="0.35">
      <c r="A11505">
        <v>4573</v>
      </c>
      <c r="B11505" s="1">
        <v>45869</v>
      </c>
      <c r="C11505" t="s">
        <v>12</v>
      </c>
      <c r="D11505" s="2">
        <v>2595.6</v>
      </c>
      <c r="E11505" s="2">
        <v>0</v>
      </c>
      <c r="F11505" t="s">
        <v>13</v>
      </c>
      <c r="G11505" t="s">
        <v>9</v>
      </c>
    </row>
    <row r="11506" spans="1:7" x14ac:dyDescent="0.35">
      <c r="A11506">
        <v>4573</v>
      </c>
      <c r="B11506" s="1">
        <v>45869</v>
      </c>
      <c r="C11506" t="s">
        <v>12</v>
      </c>
      <c r="D11506" s="2">
        <v>0</v>
      </c>
      <c r="E11506" s="2">
        <v>2414.5100000000002</v>
      </c>
      <c r="F11506" t="s">
        <v>14</v>
      </c>
      <c r="G11506" t="s">
        <v>15</v>
      </c>
    </row>
    <row r="11507" spans="1:7" x14ac:dyDescent="0.35">
      <c r="A11507">
        <v>4573</v>
      </c>
      <c r="B11507" s="1">
        <v>45869</v>
      </c>
      <c r="C11507" t="s">
        <v>12</v>
      </c>
      <c r="D11507" s="2">
        <v>0</v>
      </c>
      <c r="E11507" s="2">
        <v>181.09</v>
      </c>
      <c r="F11507" t="s">
        <v>16</v>
      </c>
      <c r="G11507" t="s">
        <v>17</v>
      </c>
    </row>
    <row r="11508" spans="1:7" x14ac:dyDescent="0.35">
      <c r="A11508">
        <v>4574</v>
      </c>
      <c r="B11508" s="1">
        <v>45869</v>
      </c>
      <c r="C11508" t="s">
        <v>24</v>
      </c>
      <c r="D11508" s="2">
        <v>179.91</v>
      </c>
      <c r="E11508" s="2">
        <v>0</v>
      </c>
      <c r="F11508" t="s">
        <v>8</v>
      </c>
      <c r="G11508" t="s">
        <v>9</v>
      </c>
    </row>
    <row r="11509" spans="1:7" x14ac:dyDescent="0.35">
      <c r="A11509">
        <v>4574</v>
      </c>
      <c r="B11509" s="1">
        <v>45869</v>
      </c>
      <c r="C11509" t="s">
        <v>24</v>
      </c>
      <c r="D11509" s="2">
        <v>0</v>
      </c>
      <c r="E11509" s="2">
        <v>179.91</v>
      </c>
      <c r="F11509" t="s">
        <v>13</v>
      </c>
      <c r="G11509" t="s">
        <v>9</v>
      </c>
    </row>
    <row r="11510" spans="1:7" x14ac:dyDescent="0.35">
      <c r="A11510">
        <v>4575</v>
      </c>
      <c r="B11510" s="1">
        <v>45869</v>
      </c>
      <c r="C11510" t="s">
        <v>24</v>
      </c>
      <c r="D11510" s="2">
        <v>2610.36</v>
      </c>
      <c r="E11510" s="2">
        <v>0</v>
      </c>
      <c r="F11510" t="s">
        <v>8</v>
      </c>
      <c r="G11510" t="s">
        <v>9</v>
      </c>
    </row>
    <row r="11511" spans="1:7" x14ac:dyDescent="0.35">
      <c r="A11511">
        <v>4575</v>
      </c>
      <c r="B11511" s="1">
        <v>45869</v>
      </c>
      <c r="C11511" t="s">
        <v>24</v>
      </c>
      <c r="D11511" s="2">
        <v>0</v>
      </c>
      <c r="E11511" s="2">
        <v>2610.36</v>
      </c>
      <c r="F11511" t="s">
        <v>13</v>
      </c>
      <c r="G11511" t="s">
        <v>9</v>
      </c>
    </row>
    <row r="11512" spans="1:7" x14ac:dyDescent="0.35">
      <c r="A11512">
        <v>4576</v>
      </c>
      <c r="B11512" s="1">
        <v>45869</v>
      </c>
      <c r="C11512" t="s">
        <v>24</v>
      </c>
      <c r="D11512" s="2">
        <v>422.66</v>
      </c>
      <c r="E11512" s="2">
        <v>0</v>
      </c>
      <c r="F11512" t="s">
        <v>8</v>
      </c>
      <c r="G11512" t="s">
        <v>9</v>
      </c>
    </row>
    <row r="11513" spans="1:7" x14ac:dyDescent="0.35">
      <c r="A11513">
        <v>4576</v>
      </c>
      <c r="B11513" s="1">
        <v>45869</v>
      </c>
      <c r="C11513" t="s">
        <v>24</v>
      </c>
      <c r="D11513" s="2">
        <v>0</v>
      </c>
      <c r="E11513" s="2">
        <v>422.66</v>
      </c>
      <c r="F11513" t="s">
        <v>13</v>
      </c>
      <c r="G11513" t="s">
        <v>9</v>
      </c>
    </row>
    <row r="11514" spans="1:7" x14ac:dyDescent="0.35">
      <c r="A11514">
        <v>4577</v>
      </c>
      <c r="B11514" s="1">
        <v>45869</v>
      </c>
      <c r="C11514" t="s">
        <v>24</v>
      </c>
      <c r="D11514" s="2">
        <v>2776.5</v>
      </c>
      <c r="E11514" s="2">
        <v>0</v>
      </c>
      <c r="F11514" t="s">
        <v>8</v>
      </c>
      <c r="G11514" t="s">
        <v>9</v>
      </c>
    </row>
    <row r="11515" spans="1:7" x14ac:dyDescent="0.35">
      <c r="A11515">
        <v>4577</v>
      </c>
      <c r="B11515" s="1">
        <v>45869</v>
      </c>
      <c r="C11515" t="s">
        <v>24</v>
      </c>
      <c r="D11515" s="2">
        <v>0</v>
      </c>
      <c r="E11515" s="2">
        <v>2776.5</v>
      </c>
      <c r="F11515" t="s">
        <v>13</v>
      </c>
      <c r="G11515" t="s">
        <v>9</v>
      </c>
    </row>
    <row r="11516" spans="1:7" x14ac:dyDescent="0.35">
      <c r="A11516">
        <v>4578</v>
      </c>
      <c r="B11516" s="1">
        <v>45869</v>
      </c>
      <c r="C11516" t="s">
        <v>25</v>
      </c>
      <c r="D11516" s="2">
        <v>166.52</v>
      </c>
      <c r="E11516" s="2">
        <v>0</v>
      </c>
      <c r="F11516" t="s">
        <v>26</v>
      </c>
      <c r="G11516" t="s">
        <v>20</v>
      </c>
    </row>
    <row r="11517" spans="1:7" x14ac:dyDescent="0.35">
      <c r="A11517">
        <v>4578</v>
      </c>
      <c r="B11517" s="1">
        <v>45869</v>
      </c>
      <c r="C11517" t="s">
        <v>25</v>
      </c>
      <c r="D11517" s="2">
        <v>12.49</v>
      </c>
      <c r="E11517" s="2">
        <v>0</v>
      </c>
      <c r="F11517" t="s">
        <v>27</v>
      </c>
      <c r="G11517" t="s">
        <v>9</v>
      </c>
    </row>
    <row r="11518" spans="1:7" x14ac:dyDescent="0.35">
      <c r="A11518">
        <v>4578</v>
      </c>
      <c r="B11518" s="1">
        <v>45869</v>
      </c>
      <c r="C11518" t="s">
        <v>25</v>
      </c>
      <c r="D11518" s="2">
        <v>0</v>
      </c>
      <c r="E11518" s="2">
        <v>179.01</v>
      </c>
      <c r="F11518" t="s">
        <v>28</v>
      </c>
      <c r="G11518" t="s">
        <v>17</v>
      </c>
    </row>
    <row r="11519" spans="1:7" x14ac:dyDescent="0.35">
      <c r="A11519">
        <v>4579</v>
      </c>
      <c r="B11519" s="1">
        <v>45869</v>
      </c>
      <c r="C11519" t="s">
        <v>25</v>
      </c>
      <c r="D11519" s="2">
        <v>3282.76</v>
      </c>
      <c r="E11519" s="2">
        <v>0</v>
      </c>
      <c r="F11519" t="s">
        <v>26</v>
      </c>
      <c r="G11519" t="s">
        <v>20</v>
      </c>
    </row>
    <row r="11520" spans="1:7" x14ac:dyDescent="0.35">
      <c r="A11520">
        <v>4579</v>
      </c>
      <c r="B11520" s="1">
        <v>45869</v>
      </c>
      <c r="C11520" t="s">
        <v>25</v>
      </c>
      <c r="D11520" s="2">
        <v>246.21</v>
      </c>
      <c r="E11520" s="2">
        <v>0</v>
      </c>
      <c r="F11520" t="s">
        <v>27</v>
      </c>
      <c r="G11520" t="s">
        <v>9</v>
      </c>
    </row>
    <row r="11521" spans="1:7" x14ac:dyDescent="0.35">
      <c r="A11521">
        <v>4579</v>
      </c>
      <c r="B11521" s="1">
        <v>45869</v>
      </c>
      <c r="C11521" t="s">
        <v>25</v>
      </c>
      <c r="D11521" s="2">
        <v>0</v>
      </c>
      <c r="E11521" s="2">
        <v>3528.97</v>
      </c>
      <c r="F11521" t="s">
        <v>28</v>
      </c>
      <c r="G11521" t="s">
        <v>17</v>
      </c>
    </row>
    <row r="11522" spans="1:7" x14ac:dyDescent="0.35">
      <c r="A11522">
        <v>4580</v>
      </c>
      <c r="B11522" s="1">
        <v>45869</v>
      </c>
      <c r="C11522" t="s">
        <v>29</v>
      </c>
      <c r="D11522" s="2">
        <v>3868.8</v>
      </c>
      <c r="E11522" s="2">
        <v>0</v>
      </c>
      <c r="F11522" t="s">
        <v>28</v>
      </c>
      <c r="G11522" t="s">
        <v>17</v>
      </c>
    </row>
    <row r="11523" spans="1:7" x14ac:dyDescent="0.35">
      <c r="A11523">
        <v>4580</v>
      </c>
      <c r="B11523" s="1">
        <v>45869</v>
      </c>
      <c r="C11523" t="s">
        <v>29</v>
      </c>
      <c r="D11523" s="2">
        <v>0</v>
      </c>
      <c r="E11523" s="2">
        <v>3868.8</v>
      </c>
      <c r="F11523" t="s">
        <v>8</v>
      </c>
      <c r="G11523" t="s">
        <v>9</v>
      </c>
    </row>
    <row r="11524" spans="1:7" x14ac:dyDescent="0.35">
      <c r="A11524">
        <v>4581</v>
      </c>
      <c r="B11524" s="1">
        <v>45869</v>
      </c>
      <c r="C11524" t="s">
        <v>29</v>
      </c>
      <c r="D11524" s="2">
        <v>1023.42</v>
      </c>
      <c r="E11524" s="2">
        <v>0</v>
      </c>
      <c r="F11524" t="s">
        <v>28</v>
      </c>
      <c r="G11524" t="s">
        <v>17</v>
      </c>
    </row>
    <row r="11525" spans="1:7" x14ac:dyDescent="0.35">
      <c r="A11525">
        <v>4581</v>
      </c>
      <c r="B11525" s="1">
        <v>45869</v>
      </c>
      <c r="C11525" t="s">
        <v>29</v>
      </c>
      <c r="D11525" s="2">
        <v>0</v>
      </c>
      <c r="E11525" s="2">
        <v>1023.42</v>
      </c>
      <c r="F11525" t="s">
        <v>8</v>
      </c>
      <c r="G11525" t="s">
        <v>9</v>
      </c>
    </row>
    <row r="11526" spans="1:7" x14ac:dyDescent="0.35">
      <c r="A11526">
        <v>4582</v>
      </c>
      <c r="B11526" s="1">
        <v>45869</v>
      </c>
      <c r="C11526" t="s">
        <v>29</v>
      </c>
      <c r="D11526" s="2">
        <v>2182.41</v>
      </c>
      <c r="E11526" s="2">
        <v>0</v>
      </c>
      <c r="F11526" t="s">
        <v>28</v>
      </c>
      <c r="G11526" t="s">
        <v>17</v>
      </c>
    </row>
    <row r="11527" spans="1:7" x14ac:dyDescent="0.35">
      <c r="A11527">
        <v>4582</v>
      </c>
      <c r="B11527" s="1">
        <v>45869</v>
      </c>
      <c r="C11527" t="s">
        <v>29</v>
      </c>
      <c r="D11527" s="2">
        <v>0</v>
      </c>
      <c r="E11527" s="2">
        <v>2182.41</v>
      </c>
      <c r="F11527" t="s">
        <v>8</v>
      </c>
      <c r="G11527" t="s">
        <v>9</v>
      </c>
    </row>
    <row r="11528" spans="1:7" x14ac:dyDescent="0.35">
      <c r="A11528">
        <v>4583</v>
      </c>
      <c r="B11528" s="1">
        <v>45869</v>
      </c>
      <c r="C11528" t="s">
        <v>30</v>
      </c>
      <c r="D11528" s="2">
        <v>93.61</v>
      </c>
      <c r="E11528" s="2">
        <v>0</v>
      </c>
      <c r="F11528" t="s">
        <v>31</v>
      </c>
      <c r="G11528" t="s">
        <v>20</v>
      </c>
    </row>
    <row r="11529" spans="1:7" x14ac:dyDescent="0.35">
      <c r="A11529">
        <v>4583</v>
      </c>
      <c r="B11529" s="1">
        <v>45869</v>
      </c>
      <c r="C11529" t="s">
        <v>30</v>
      </c>
      <c r="D11529" s="2">
        <v>0</v>
      </c>
      <c r="E11529" s="2">
        <v>93.61</v>
      </c>
      <c r="F11529" t="s">
        <v>32</v>
      </c>
      <c r="G11529" t="s">
        <v>9</v>
      </c>
    </row>
    <row r="11530" spans="1:7" x14ac:dyDescent="0.35">
      <c r="A11530">
        <v>4584</v>
      </c>
      <c r="B11530" s="1">
        <v>45869</v>
      </c>
      <c r="C11530" t="s">
        <v>33</v>
      </c>
      <c r="D11530" s="2">
        <v>76.86</v>
      </c>
      <c r="E11530" s="2">
        <v>0</v>
      </c>
      <c r="F11530" t="s">
        <v>31</v>
      </c>
      <c r="G11530" t="s">
        <v>20</v>
      </c>
    </row>
    <row r="11531" spans="1:7" x14ac:dyDescent="0.35">
      <c r="A11531">
        <v>4584</v>
      </c>
      <c r="B11531" s="1">
        <v>45869</v>
      </c>
      <c r="C11531" t="s">
        <v>33</v>
      </c>
      <c r="D11531" s="2">
        <v>0</v>
      </c>
      <c r="E11531" s="2">
        <v>76.86</v>
      </c>
      <c r="F11531" t="s">
        <v>32</v>
      </c>
      <c r="G11531" t="s">
        <v>9</v>
      </c>
    </row>
    <row r="11532" spans="1:7" x14ac:dyDescent="0.35">
      <c r="A11532">
        <v>4585</v>
      </c>
      <c r="B11532" s="1">
        <v>45869</v>
      </c>
      <c r="C11532" t="s">
        <v>34</v>
      </c>
      <c r="D11532" s="2">
        <v>20.03</v>
      </c>
      <c r="E11532" s="2">
        <v>0</v>
      </c>
      <c r="F11532" t="s">
        <v>31</v>
      </c>
      <c r="G11532" t="s">
        <v>20</v>
      </c>
    </row>
    <row r="11533" spans="1:7" x14ac:dyDescent="0.35">
      <c r="A11533">
        <v>4585</v>
      </c>
      <c r="B11533" s="1">
        <v>45869</v>
      </c>
      <c r="C11533" t="s">
        <v>34</v>
      </c>
      <c r="D11533" s="2">
        <v>0</v>
      </c>
      <c r="E11533" s="2">
        <v>20.03</v>
      </c>
      <c r="F11533" t="s">
        <v>32</v>
      </c>
      <c r="G11533" t="s">
        <v>9</v>
      </c>
    </row>
    <row r="11534" spans="1:7" x14ac:dyDescent="0.35">
      <c r="A11534">
        <v>4586</v>
      </c>
      <c r="B11534" s="1">
        <v>45869</v>
      </c>
      <c r="C11534" t="s">
        <v>35</v>
      </c>
      <c r="D11534" s="2">
        <v>86.89</v>
      </c>
      <c r="E11534" s="2">
        <v>0</v>
      </c>
      <c r="F11534" t="s">
        <v>31</v>
      </c>
      <c r="G11534" t="s">
        <v>20</v>
      </c>
    </row>
    <row r="11535" spans="1:7" x14ac:dyDescent="0.35">
      <c r="A11535">
        <v>4586</v>
      </c>
      <c r="B11535" s="1">
        <v>45869</v>
      </c>
      <c r="C11535" t="s">
        <v>35</v>
      </c>
      <c r="D11535" s="2">
        <v>0</v>
      </c>
      <c r="E11535" s="2">
        <v>86.89</v>
      </c>
      <c r="F11535" t="s">
        <v>36</v>
      </c>
      <c r="G11535" t="s">
        <v>9</v>
      </c>
    </row>
    <row r="11536" spans="1:7" x14ac:dyDescent="0.35">
      <c r="A11536">
        <v>4587</v>
      </c>
      <c r="B11536" s="1">
        <v>45869</v>
      </c>
      <c r="C11536" t="s">
        <v>37</v>
      </c>
      <c r="D11536" s="2">
        <v>76.8</v>
      </c>
      <c r="E11536" s="2">
        <v>0</v>
      </c>
      <c r="F11536" t="s">
        <v>31</v>
      </c>
      <c r="G11536" t="s">
        <v>20</v>
      </c>
    </row>
    <row r="11537" spans="1:7" x14ac:dyDescent="0.35">
      <c r="A11537">
        <v>4587</v>
      </c>
      <c r="B11537" s="1">
        <v>45869</v>
      </c>
      <c r="C11537" t="s">
        <v>37</v>
      </c>
      <c r="D11537" s="2">
        <v>0</v>
      </c>
      <c r="E11537" s="2">
        <v>76.8</v>
      </c>
      <c r="F11537" t="s">
        <v>36</v>
      </c>
      <c r="G11537" t="s">
        <v>9</v>
      </c>
    </row>
    <row r="11538" spans="1:7" x14ac:dyDescent="0.35">
      <c r="A11538">
        <v>4588</v>
      </c>
      <c r="B11538" s="1">
        <v>45869</v>
      </c>
      <c r="C11538" t="s">
        <v>38</v>
      </c>
      <c r="D11538" s="2">
        <v>48.28</v>
      </c>
      <c r="E11538" s="2">
        <v>0</v>
      </c>
      <c r="F11538" t="s">
        <v>31</v>
      </c>
      <c r="G11538" t="s">
        <v>20</v>
      </c>
    </row>
    <row r="11539" spans="1:7" x14ac:dyDescent="0.35">
      <c r="A11539">
        <v>4588</v>
      </c>
      <c r="B11539" s="1">
        <v>45869</v>
      </c>
      <c r="C11539" t="s">
        <v>38</v>
      </c>
      <c r="D11539" s="2">
        <v>0</v>
      </c>
      <c r="E11539" s="2">
        <v>48.28</v>
      </c>
      <c r="F11539" t="s">
        <v>36</v>
      </c>
      <c r="G11539" t="s">
        <v>9</v>
      </c>
    </row>
    <row r="11540" spans="1:7" x14ac:dyDescent="0.35">
      <c r="A11540">
        <v>4589</v>
      </c>
      <c r="B11540" s="1">
        <v>45869</v>
      </c>
      <c r="C11540" t="s">
        <v>39</v>
      </c>
      <c r="D11540" s="2">
        <v>53.21</v>
      </c>
      <c r="E11540" s="2">
        <v>0</v>
      </c>
      <c r="F11540" t="s">
        <v>31</v>
      </c>
      <c r="G11540" t="s">
        <v>20</v>
      </c>
    </row>
    <row r="11541" spans="1:7" x14ac:dyDescent="0.35">
      <c r="A11541">
        <v>4589</v>
      </c>
      <c r="B11541" s="1">
        <v>45869</v>
      </c>
      <c r="C11541" t="s">
        <v>39</v>
      </c>
      <c r="D11541" s="2">
        <v>0</v>
      </c>
      <c r="E11541" s="2">
        <v>53.21</v>
      </c>
      <c r="F11541" t="s">
        <v>36</v>
      </c>
      <c r="G11541" t="s">
        <v>9</v>
      </c>
    </row>
    <row r="11542" spans="1:7" x14ac:dyDescent="0.35">
      <c r="A11542">
        <v>4590</v>
      </c>
      <c r="B11542" s="1">
        <v>45869</v>
      </c>
      <c r="C11542" t="s">
        <v>40</v>
      </c>
      <c r="D11542" s="2">
        <v>232.19</v>
      </c>
      <c r="E11542" s="2">
        <v>0</v>
      </c>
      <c r="F11542" t="s">
        <v>31</v>
      </c>
      <c r="G11542" t="s">
        <v>20</v>
      </c>
    </row>
    <row r="11543" spans="1:7" x14ac:dyDescent="0.35">
      <c r="A11543">
        <v>4590</v>
      </c>
      <c r="B11543" s="1">
        <v>45869</v>
      </c>
      <c r="C11543" t="s">
        <v>40</v>
      </c>
      <c r="D11543" s="2">
        <v>0</v>
      </c>
      <c r="E11543" s="2">
        <v>232.19</v>
      </c>
      <c r="F11543" t="s">
        <v>41</v>
      </c>
      <c r="G11543" t="s">
        <v>9</v>
      </c>
    </row>
    <row r="11544" spans="1:7" x14ac:dyDescent="0.35">
      <c r="A11544">
        <v>4591</v>
      </c>
      <c r="B11544" s="1">
        <v>45869</v>
      </c>
      <c r="C11544" t="s">
        <v>42</v>
      </c>
      <c r="D11544" s="2">
        <v>43.85</v>
      </c>
      <c r="E11544" s="2">
        <v>0</v>
      </c>
      <c r="F11544" t="s">
        <v>31</v>
      </c>
      <c r="G11544" t="s">
        <v>20</v>
      </c>
    </row>
    <row r="11545" spans="1:7" x14ac:dyDescent="0.35">
      <c r="A11545">
        <v>4591</v>
      </c>
      <c r="B11545" s="1">
        <v>45869</v>
      </c>
      <c r="C11545" t="s">
        <v>42</v>
      </c>
      <c r="D11545" s="2">
        <v>0</v>
      </c>
      <c r="E11545" s="2">
        <v>43.85</v>
      </c>
      <c r="F11545" t="s">
        <v>32</v>
      </c>
      <c r="G11545" t="s">
        <v>9</v>
      </c>
    </row>
    <row r="11546" spans="1:7" x14ac:dyDescent="0.35">
      <c r="A11546">
        <v>4592</v>
      </c>
      <c r="B11546" s="1">
        <v>45870</v>
      </c>
      <c r="C11546" t="s">
        <v>12</v>
      </c>
      <c r="D11546" s="2">
        <v>2832.79</v>
      </c>
      <c r="E11546" s="2">
        <v>0</v>
      </c>
      <c r="F11546" t="s">
        <v>13</v>
      </c>
      <c r="G11546" t="s">
        <v>9</v>
      </c>
    </row>
    <row r="11547" spans="1:7" x14ac:dyDescent="0.35">
      <c r="A11547">
        <v>4592</v>
      </c>
      <c r="B11547" s="1">
        <v>45870</v>
      </c>
      <c r="C11547" t="s">
        <v>12</v>
      </c>
      <c r="D11547" s="2">
        <v>0</v>
      </c>
      <c r="E11547" s="2">
        <v>2635.14</v>
      </c>
      <c r="F11547" t="s">
        <v>14</v>
      </c>
      <c r="G11547" t="s">
        <v>15</v>
      </c>
    </row>
    <row r="11548" spans="1:7" x14ac:dyDescent="0.35">
      <c r="A11548">
        <v>4592</v>
      </c>
      <c r="B11548" s="1">
        <v>45870</v>
      </c>
      <c r="C11548" t="s">
        <v>12</v>
      </c>
      <c r="D11548" s="2">
        <v>0</v>
      </c>
      <c r="E11548" s="2">
        <v>197.65</v>
      </c>
      <c r="F11548" t="s">
        <v>16</v>
      </c>
      <c r="G11548" t="s">
        <v>17</v>
      </c>
    </row>
    <row r="11549" spans="1:7" x14ac:dyDescent="0.35">
      <c r="A11549">
        <v>4593</v>
      </c>
      <c r="B11549" s="1">
        <v>45870</v>
      </c>
      <c r="C11549" t="s">
        <v>12</v>
      </c>
      <c r="D11549" s="2">
        <v>2234.29</v>
      </c>
      <c r="E11549" s="2">
        <v>0</v>
      </c>
      <c r="F11549" t="s">
        <v>13</v>
      </c>
      <c r="G11549" t="s">
        <v>9</v>
      </c>
    </row>
    <row r="11550" spans="1:7" x14ac:dyDescent="0.35">
      <c r="A11550">
        <v>4593</v>
      </c>
      <c r="B11550" s="1">
        <v>45870</v>
      </c>
      <c r="C11550" t="s">
        <v>12</v>
      </c>
      <c r="D11550" s="2">
        <v>0</v>
      </c>
      <c r="E11550" s="2">
        <v>2078.4</v>
      </c>
      <c r="F11550" t="s">
        <v>14</v>
      </c>
      <c r="G11550" t="s">
        <v>15</v>
      </c>
    </row>
    <row r="11551" spans="1:7" x14ac:dyDescent="0.35">
      <c r="A11551">
        <v>4593</v>
      </c>
      <c r="B11551" s="1">
        <v>45870</v>
      </c>
      <c r="C11551" t="s">
        <v>12</v>
      </c>
      <c r="D11551" s="2">
        <v>0</v>
      </c>
      <c r="E11551" s="2">
        <v>155.88999999999999</v>
      </c>
      <c r="F11551" t="s">
        <v>16</v>
      </c>
      <c r="G11551" t="s">
        <v>17</v>
      </c>
    </row>
    <row r="11552" spans="1:7" x14ac:dyDescent="0.35">
      <c r="A11552">
        <v>4594</v>
      </c>
      <c r="B11552" s="1">
        <v>45870</v>
      </c>
      <c r="C11552" t="s">
        <v>12</v>
      </c>
      <c r="D11552" s="2">
        <v>1728.35</v>
      </c>
      <c r="E11552" s="2">
        <v>0</v>
      </c>
      <c r="F11552" t="s">
        <v>13</v>
      </c>
      <c r="G11552" t="s">
        <v>9</v>
      </c>
    </row>
    <row r="11553" spans="1:7" x14ac:dyDescent="0.35">
      <c r="A11553">
        <v>4594</v>
      </c>
      <c r="B11553" s="1">
        <v>45870</v>
      </c>
      <c r="C11553" t="s">
        <v>12</v>
      </c>
      <c r="D11553" s="2">
        <v>0</v>
      </c>
      <c r="E11553" s="2">
        <v>1607.76</v>
      </c>
      <c r="F11553" t="s">
        <v>14</v>
      </c>
      <c r="G11553" t="s">
        <v>15</v>
      </c>
    </row>
    <row r="11554" spans="1:7" x14ac:dyDescent="0.35">
      <c r="A11554">
        <v>4594</v>
      </c>
      <c r="B11554" s="1">
        <v>45870</v>
      </c>
      <c r="C11554" t="s">
        <v>12</v>
      </c>
      <c r="D11554" s="2">
        <v>0</v>
      </c>
      <c r="E11554" s="2">
        <v>120.59</v>
      </c>
      <c r="F11554" t="s">
        <v>16</v>
      </c>
      <c r="G11554" t="s">
        <v>17</v>
      </c>
    </row>
    <row r="11555" spans="1:7" x14ac:dyDescent="0.35">
      <c r="A11555">
        <v>4595</v>
      </c>
      <c r="B11555" s="1">
        <v>45870</v>
      </c>
      <c r="C11555" t="s">
        <v>12</v>
      </c>
      <c r="D11555" s="2">
        <v>1133.21</v>
      </c>
      <c r="E11555" s="2">
        <v>0</v>
      </c>
      <c r="F11555" t="s">
        <v>13</v>
      </c>
      <c r="G11555" t="s">
        <v>9</v>
      </c>
    </row>
    <row r="11556" spans="1:7" x14ac:dyDescent="0.35">
      <c r="A11556">
        <v>4595</v>
      </c>
      <c r="B11556" s="1">
        <v>45870</v>
      </c>
      <c r="C11556" t="s">
        <v>12</v>
      </c>
      <c r="D11556" s="2">
        <v>0</v>
      </c>
      <c r="E11556" s="2">
        <v>1054.1400000000001</v>
      </c>
      <c r="F11556" t="s">
        <v>14</v>
      </c>
      <c r="G11556" t="s">
        <v>15</v>
      </c>
    </row>
    <row r="11557" spans="1:7" x14ac:dyDescent="0.35">
      <c r="A11557">
        <v>4595</v>
      </c>
      <c r="B11557" s="1">
        <v>45870</v>
      </c>
      <c r="C11557" t="s">
        <v>12</v>
      </c>
      <c r="D11557" s="2">
        <v>0</v>
      </c>
      <c r="E11557" s="2">
        <v>79.069999999999993</v>
      </c>
      <c r="F11557" t="s">
        <v>16</v>
      </c>
      <c r="G11557" t="s">
        <v>17</v>
      </c>
    </row>
    <row r="11558" spans="1:7" x14ac:dyDescent="0.35">
      <c r="A11558">
        <v>4596</v>
      </c>
      <c r="B11558" s="1">
        <v>45870</v>
      </c>
      <c r="C11558" t="s">
        <v>12</v>
      </c>
      <c r="D11558" s="2">
        <v>176.06</v>
      </c>
      <c r="E11558" s="2">
        <v>0</v>
      </c>
      <c r="F11558" t="s">
        <v>13</v>
      </c>
      <c r="G11558" t="s">
        <v>9</v>
      </c>
    </row>
    <row r="11559" spans="1:7" x14ac:dyDescent="0.35">
      <c r="A11559">
        <v>4596</v>
      </c>
      <c r="B11559" s="1">
        <v>45870</v>
      </c>
      <c r="C11559" t="s">
        <v>12</v>
      </c>
      <c r="D11559" s="2">
        <v>0</v>
      </c>
      <c r="E11559" s="2">
        <v>163.78</v>
      </c>
      <c r="F11559" t="s">
        <v>14</v>
      </c>
      <c r="G11559" t="s">
        <v>15</v>
      </c>
    </row>
    <row r="11560" spans="1:7" x14ac:dyDescent="0.35">
      <c r="A11560">
        <v>4596</v>
      </c>
      <c r="B11560" s="1">
        <v>45870</v>
      </c>
      <c r="C11560" t="s">
        <v>12</v>
      </c>
      <c r="D11560" s="2">
        <v>0</v>
      </c>
      <c r="E11560" s="2">
        <v>12.28</v>
      </c>
      <c r="F11560" t="s">
        <v>16</v>
      </c>
      <c r="G11560" t="s">
        <v>17</v>
      </c>
    </row>
    <row r="11561" spans="1:7" x14ac:dyDescent="0.35">
      <c r="A11561">
        <v>4597</v>
      </c>
      <c r="B11561" s="1">
        <v>45870</v>
      </c>
      <c r="C11561" t="s">
        <v>12</v>
      </c>
      <c r="D11561" s="2">
        <v>2841.07</v>
      </c>
      <c r="E11561" s="2">
        <v>0</v>
      </c>
      <c r="F11561" t="s">
        <v>13</v>
      </c>
      <c r="G11561" t="s">
        <v>9</v>
      </c>
    </row>
    <row r="11562" spans="1:7" x14ac:dyDescent="0.35">
      <c r="A11562">
        <v>4597</v>
      </c>
      <c r="B11562" s="1">
        <v>45870</v>
      </c>
      <c r="C11562" t="s">
        <v>12</v>
      </c>
      <c r="D11562" s="2">
        <v>0</v>
      </c>
      <c r="E11562" s="2">
        <v>2642.86</v>
      </c>
      <c r="F11562" t="s">
        <v>14</v>
      </c>
      <c r="G11562" t="s">
        <v>15</v>
      </c>
    </row>
    <row r="11563" spans="1:7" x14ac:dyDescent="0.35">
      <c r="A11563">
        <v>4597</v>
      </c>
      <c r="B11563" s="1">
        <v>45870</v>
      </c>
      <c r="C11563" t="s">
        <v>12</v>
      </c>
      <c r="D11563" s="2">
        <v>0</v>
      </c>
      <c r="E11563" s="2">
        <v>198.21</v>
      </c>
      <c r="F11563" t="s">
        <v>16</v>
      </c>
      <c r="G11563" t="s">
        <v>17</v>
      </c>
    </row>
    <row r="11564" spans="1:7" x14ac:dyDescent="0.35">
      <c r="A11564">
        <v>4598</v>
      </c>
      <c r="B11564" s="1">
        <v>45870</v>
      </c>
      <c r="C11564" t="s">
        <v>12</v>
      </c>
      <c r="D11564" s="2">
        <v>1240.26</v>
      </c>
      <c r="E11564" s="2">
        <v>0</v>
      </c>
      <c r="F11564" t="s">
        <v>13</v>
      </c>
      <c r="G11564" t="s">
        <v>9</v>
      </c>
    </row>
    <row r="11565" spans="1:7" x14ac:dyDescent="0.35">
      <c r="A11565">
        <v>4598</v>
      </c>
      <c r="B11565" s="1">
        <v>45870</v>
      </c>
      <c r="C11565" t="s">
        <v>12</v>
      </c>
      <c r="D11565" s="2">
        <v>0</v>
      </c>
      <c r="E11565" s="2">
        <v>1153.73</v>
      </c>
      <c r="F11565" t="s">
        <v>14</v>
      </c>
      <c r="G11565" t="s">
        <v>15</v>
      </c>
    </row>
    <row r="11566" spans="1:7" x14ac:dyDescent="0.35">
      <c r="A11566">
        <v>4598</v>
      </c>
      <c r="B11566" s="1">
        <v>45870</v>
      </c>
      <c r="C11566" t="s">
        <v>12</v>
      </c>
      <c r="D11566" s="2">
        <v>0</v>
      </c>
      <c r="E11566" s="2">
        <v>86.53</v>
      </c>
      <c r="F11566" t="s">
        <v>16</v>
      </c>
      <c r="G11566" t="s">
        <v>17</v>
      </c>
    </row>
    <row r="11567" spans="1:7" x14ac:dyDescent="0.35">
      <c r="A11567">
        <v>4599</v>
      </c>
      <c r="B11567" s="1">
        <v>45870</v>
      </c>
      <c r="C11567" t="s">
        <v>12</v>
      </c>
      <c r="D11567" s="2">
        <v>811.34</v>
      </c>
      <c r="E11567" s="2">
        <v>0</v>
      </c>
      <c r="F11567" t="s">
        <v>13</v>
      </c>
      <c r="G11567" t="s">
        <v>9</v>
      </c>
    </row>
    <row r="11568" spans="1:7" x14ac:dyDescent="0.35">
      <c r="A11568">
        <v>4599</v>
      </c>
      <c r="B11568" s="1">
        <v>45870</v>
      </c>
      <c r="C11568" t="s">
        <v>12</v>
      </c>
      <c r="D11568" s="2">
        <v>0</v>
      </c>
      <c r="E11568" s="2">
        <v>754.74</v>
      </c>
      <c r="F11568" t="s">
        <v>14</v>
      </c>
      <c r="G11568" t="s">
        <v>15</v>
      </c>
    </row>
    <row r="11569" spans="1:7" x14ac:dyDescent="0.35">
      <c r="A11569">
        <v>4599</v>
      </c>
      <c r="B11569" s="1">
        <v>45870</v>
      </c>
      <c r="C11569" t="s">
        <v>12</v>
      </c>
      <c r="D11569" s="2">
        <v>0</v>
      </c>
      <c r="E11569" s="2">
        <v>56.6</v>
      </c>
      <c r="F11569" t="s">
        <v>16</v>
      </c>
      <c r="G11569" t="s">
        <v>17</v>
      </c>
    </row>
    <row r="11570" spans="1:7" x14ac:dyDescent="0.35">
      <c r="A11570">
        <v>4600</v>
      </c>
      <c r="B11570" s="1">
        <v>45870</v>
      </c>
      <c r="C11570" t="s">
        <v>12</v>
      </c>
      <c r="D11570" s="2">
        <v>1227.6300000000001</v>
      </c>
      <c r="E11570" s="2">
        <v>0</v>
      </c>
      <c r="F11570" t="s">
        <v>13</v>
      </c>
      <c r="G11570" t="s">
        <v>9</v>
      </c>
    </row>
    <row r="11571" spans="1:7" x14ac:dyDescent="0.35">
      <c r="A11571">
        <v>4600</v>
      </c>
      <c r="B11571" s="1">
        <v>45870</v>
      </c>
      <c r="C11571" t="s">
        <v>12</v>
      </c>
      <c r="D11571" s="2">
        <v>0</v>
      </c>
      <c r="E11571" s="2">
        <v>1141.98</v>
      </c>
      <c r="F11571" t="s">
        <v>14</v>
      </c>
      <c r="G11571" t="s">
        <v>15</v>
      </c>
    </row>
    <row r="11572" spans="1:7" x14ac:dyDescent="0.35">
      <c r="A11572">
        <v>4600</v>
      </c>
      <c r="B11572" s="1">
        <v>45870</v>
      </c>
      <c r="C11572" t="s">
        <v>12</v>
      </c>
      <c r="D11572" s="2">
        <v>0</v>
      </c>
      <c r="E11572" s="2">
        <v>85.65</v>
      </c>
      <c r="F11572" t="s">
        <v>16</v>
      </c>
      <c r="G11572" t="s">
        <v>17</v>
      </c>
    </row>
    <row r="11573" spans="1:7" x14ac:dyDescent="0.35">
      <c r="A11573">
        <v>4601</v>
      </c>
      <c r="B11573" s="1">
        <v>45870</v>
      </c>
      <c r="C11573" t="s">
        <v>12</v>
      </c>
      <c r="D11573" s="2">
        <v>3247.15</v>
      </c>
      <c r="E11573" s="2">
        <v>0</v>
      </c>
      <c r="F11573" t="s">
        <v>13</v>
      </c>
      <c r="G11573" t="s">
        <v>9</v>
      </c>
    </row>
    <row r="11574" spans="1:7" x14ac:dyDescent="0.35">
      <c r="A11574">
        <v>4601</v>
      </c>
      <c r="B11574" s="1">
        <v>45870</v>
      </c>
      <c r="C11574" t="s">
        <v>12</v>
      </c>
      <c r="D11574" s="2">
        <v>0</v>
      </c>
      <c r="E11574" s="2">
        <v>3020.61</v>
      </c>
      <c r="F11574" t="s">
        <v>14</v>
      </c>
      <c r="G11574" t="s">
        <v>15</v>
      </c>
    </row>
    <row r="11575" spans="1:7" x14ac:dyDescent="0.35">
      <c r="A11575">
        <v>4601</v>
      </c>
      <c r="B11575" s="1">
        <v>45870</v>
      </c>
      <c r="C11575" t="s">
        <v>12</v>
      </c>
      <c r="D11575" s="2">
        <v>0</v>
      </c>
      <c r="E11575" s="2">
        <v>226.54</v>
      </c>
      <c r="F11575" t="s">
        <v>16</v>
      </c>
      <c r="G11575" t="s">
        <v>17</v>
      </c>
    </row>
    <row r="11576" spans="1:7" x14ac:dyDescent="0.35">
      <c r="A11576">
        <v>4602</v>
      </c>
      <c r="B11576" s="1">
        <v>45870</v>
      </c>
      <c r="C11576" t="s">
        <v>12</v>
      </c>
      <c r="D11576" s="2">
        <v>4082.41</v>
      </c>
      <c r="E11576" s="2">
        <v>0</v>
      </c>
      <c r="F11576" t="s">
        <v>13</v>
      </c>
      <c r="G11576" t="s">
        <v>9</v>
      </c>
    </row>
    <row r="11577" spans="1:7" x14ac:dyDescent="0.35">
      <c r="A11577">
        <v>4602</v>
      </c>
      <c r="B11577" s="1">
        <v>45870</v>
      </c>
      <c r="C11577" t="s">
        <v>12</v>
      </c>
      <c r="D11577" s="2">
        <v>0</v>
      </c>
      <c r="E11577" s="2">
        <v>3797.59</v>
      </c>
      <c r="F11577" t="s">
        <v>14</v>
      </c>
      <c r="G11577" t="s">
        <v>15</v>
      </c>
    </row>
    <row r="11578" spans="1:7" x14ac:dyDescent="0.35">
      <c r="A11578">
        <v>4602</v>
      </c>
      <c r="B11578" s="1">
        <v>45870</v>
      </c>
      <c r="C11578" t="s">
        <v>12</v>
      </c>
      <c r="D11578" s="2">
        <v>0</v>
      </c>
      <c r="E11578" s="2">
        <v>284.82</v>
      </c>
      <c r="F11578" t="s">
        <v>16</v>
      </c>
      <c r="G11578" t="s">
        <v>17</v>
      </c>
    </row>
    <row r="11579" spans="1:7" x14ac:dyDescent="0.35">
      <c r="A11579">
        <v>4603</v>
      </c>
      <c r="B11579" s="1">
        <v>45870</v>
      </c>
      <c r="C11579" t="s">
        <v>24</v>
      </c>
      <c r="D11579" s="2">
        <v>1258.29</v>
      </c>
      <c r="E11579" s="2">
        <v>0</v>
      </c>
      <c r="F11579" t="s">
        <v>8</v>
      </c>
      <c r="G11579" t="s">
        <v>9</v>
      </c>
    </row>
    <row r="11580" spans="1:7" x14ac:dyDescent="0.35">
      <c r="A11580">
        <v>4603</v>
      </c>
      <c r="B11580" s="1">
        <v>45870</v>
      </c>
      <c r="C11580" t="s">
        <v>24</v>
      </c>
      <c r="D11580" s="2">
        <v>0</v>
      </c>
      <c r="E11580" s="2">
        <v>1258.29</v>
      </c>
      <c r="F11580" t="s">
        <v>13</v>
      </c>
      <c r="G11580" t="s">
        <v>9</v>
      </c>
    </row>
    <row r="11581" spans="1:7" x14ac:dyDescent="0.35">
      <c r="A11581">
        <v>4604</v>
      </c>
      <c r="B11581" s="1">
        <v>45870</v>
      </c>
      <c r="C11581" t="s">
        <v>24</v>
      </c>
      <c r="D11581" s="2">
        <v>3341.36</v>
      </c>
      <c r="E11581" s="2">
        <v>0</v>
      </c>
      <c r="F11581" t="s">
        <v>8</v>
      </c>
      <c r="G11581" t="s">
        <v>9</v>
      </c>
    </row>
    <row r="11582" spans="1:7" x14ac:dyDescent="0.35">
      <c r="A11582">
        <v>4604</v>
      </c>
      <c r="B11582" s="1">
        <v>45870</v>
      </c>
      <c r="C11582" t="s">
        <v>24</v>
      </c>
      <c r="D11582" s="2">
        <v>0</v>
      </c>
      <c r="E11582" s="2">
        <v>3341.36</v>
      </c>
      <c r="F11582" t="s">
        <v>13</v>
      </c>
      <c r="G11582" t="s">
        <v>9</v>
      </c>
    </row>
    <row r="11583" spans="1:7" x14ac:dyDescent="0.35">
      <c r="A11583">
        <v>4605</v>
      </c>
      <c r="B11583" s="1">
        <v>45870</v>
      </c>
      <c r="C11583" t="s">
        <v>24</v>
      </c>
      <c r="D11583" s="2">
        <v>4697.18</v>
      </c>
      <c r="E11583" s="2">
        <v>0</v>
      </c>
      <c r="F11583" t="s">
        <v>8</v>
      </c>
      <c r="G11583" t="s">
        <v>9</v>
      </c>
    </row>
    <row r="11584" spans="1:7" x14ac:dyDescent="0.35">
      <c r="A11584">
        <v>4605</v>
      </c>
      <c r="B11584" s="1">
        <v>45870</v>
      </c>
      <c r="C11584" t="s">
        <v>24</v>
      </c>
      <c r="D11584" s="2">
        <v>0</v>
      </c>
      <c r="E11584" s="2">
        <v>4697.18</v>
      </c>
      <c r="F11584" t="s">
        <v>13</v>
      </c>
      <c r="G11584" t="s">
        <v>9</v>
      </c>
    </row>
    <row r="11585" spans="1:7" x14ac:dyDescent="0.35">
      <c r="A11585">
        <v>4606</v>
      </c>
      <c r="B11585" s="1">
        <v>45870</v>
      </c>
      <c r="C11585" t="s">
        <v>24</v>
      </c>
      <c r="D11585" s="2">
        <v>4697.67</v>
      </c>
      <c r="E11585" s="2">
        <v>0</v>
      </c>
      <c r="F11585" t="s">
        <v>8</v>
      </c>
      <c r="G11585" t="s">
        <v>9</v>
      </c>
    </row>
    <row r="11586" spans="1:7" x14ac:dyDescent="0.35">
      <c r="A11586">
        <v>4606</v>
      </c>
      <c r="B11586" s="1">
        <v>45870</v>
      </c>
      <c r="C11586" t="s">
        <v>24</v>
      </c>
      <c r="D11586" s="2">
        <v>0</v>
      </c>
      <c r="E11586" s="2">
        <v>4697.67</v>
      </c>
      <c r="F11586" t="s">
        <v>13</v>
      </c>
      <c r="G11586" t="s">
        <v>9</v>
      </c>
    </row>
    <row r="11587" spans="1:7" x14ac:dyDescent="0.35">
      <c r="A11587">
        <v>4607</v>
      </c>
      <c r="B11587" s="1">
        <v>45870</v>
      </c>
      <c r="C11587" t="s">
        <v>24</v>
      </c>
      <c r="D11587" s="2">
        <v>3232.39</v>
      </c>
      <c r="E11587" s="2">
        <v>0</v>
      </c>
      <c r="F11587" t="s">
        <v>8</v>
      </c>
      <c r="G11587" t="s">
        <v>9</v>
      </c>
    </row>
    <row r="11588" spans="1:7" x14ac:dyDescent="0.35">
      <c r="A11588">
        <v>4607</v>
      </c>
      <c r="B11588" s="1">
        <v>45870</v>
      </c>
      <c r="C11588" t="s">
        <v>24</v>
      </c>
      <c r="D11588" s="2">
        <v>0</v>
      </c>
      <c r="E11588" s="2">
        <v>3232.39</v>
      </c>
      <c r="F11588" t="s">
        <v>13</v>
      </c>
      <c r="G11588" t="s">
        <v>9</v>
      </c>
    </row>
    <row r="11589" spans="1:7" x14ac:dyDescent="0.35">
      <c r="A11589">
        <v>4608</v>
      </c>
      <c r="B11589" s="1">
        <v>45870</v>
      </c>
      <c r="C11589" t="s">
        <v>24</v>
      </c>
      <c r="D11589" s="2">
        <v>298.38</v>
      </c>
      <c r="E11589" s="2">
        <v>0</v>
      </c>
      <c r="F11589" t="s">
        <v>8</v>
      </c>
      <c r="G11589" t="s">
        <v>9</v>
      </c>
    </row>
    <row r="11590" spans="1:7" x14ac:dyDescent="0.35">
      <c r="A11590">
        <v>4608</v>
      </c>
      <c r="B11590" s="1">
        <v>45870</v>
      </c>
      <c r="C11590" t="s">
        <v>24</v>
      </c>
      <c r="D11590" s="2">
        <v>0</v>
      </c>
      <c r="E11590" s="2">
        <v>298.38</v>
      </c>
      <c r="F11590" t="s">
        <v>13</v>
      </c>
      <c r="G11590" t="s">
        <v>9</v>
      </c>
    </row>
    <row r="11591" spans="1:7" x14ac:dyDescent="0.35">
      <c r="A11591">
        <v>4609</v>
      </c>
      <c r="B11591" s="1">
        <v>45870</v>
      </c>
      <c r="C11591" t="s">
        <v>24</v>
      </c>
      <c r="D11591" s="2">
        <v>1839.15</v>
      </c>
      <c r="E11591" s="2">
        <v>0</v>
      </c>
      <c r="F11591" t="s">
        <v>8</v>
      </c>
      <c r="G11591" t="s">
        <v>9</v>
      </c>
    </row>
    <row r="11592" spans="1:7" x14ac:dyDescent="0.35">
      <c r="A11592">
        <v>4609</v>
      </c>
      <c r="B11592" s="1">
        <v>45870</v>
      </c>
      <c r="C11592" t="s">
        <v>24</v>
      </c>
      <c r="D11592" s="2">
        <v>0</v>
      </c>
      <c r="E11592" s="2">
        <v>1839.15</v>
      </c>
      <c r="F11592" t="s">
        <v>13</v>
      </c>
      <c r="G11592" t="s">
        <v>9</v>
      </c>
    </row>
    <row r="11593" spans="1:7" x14ac:dyDescent="0.35">
      <c r="A11593">
        <v>4610</v>
      </c>
      <c r="B11593" s="1">
        <v>45870</v>
      </c>
      <c r="C11593" t="s">
        <v>24</v>
      </c>
      <c r="D11593" s="2">
        <v>122.57</v>
      </c>
      <c r="E11593" s="2">
        <v>0</v>
      </c>
      <c r="F11593" t="s">
        <v>8</v>
      </c>
      <c r="G11593" t="s">
        <v>9</v>
      </c>
    </row>
    <row r="11594" spans="1:7" x14ac:dyDescent="0.35">
      <c r="A11594">
        <v>4610</v>
      </c>
      <c r="B11594" s="1">
        <v>45870</v>
      </c>
      <c r="C11594" t="s">
        <v>24</v>
      </c>
      <c r="D11594" s="2">
        <v>0</v>
      </c>
      <c r="E11594" s="2">
        <v>122.57</v>
      </c>
      <c r="F11594" t="s">
        <v>13</v>
      </c>
      <c r="G11594" t="s">
        <v>9</v>
      </c>
    </row>
    <row r="11595" spans="1:7" x14ac:dyDescent="0.35">
      <c r="A11595">
        <v>4611</v>
      </c>
      <c r="B11595" s="1">
        <v>45870</v>
      </c>
      <c r="C11595" t="s">
        <v>24</v>
      </c>
      <c r="D11595" s="2">
        <v>1133.21</v>
      </c>
      <c r="E11595" s="2">
        <v>0</v>
      </c>
      <c r="F11595" t="s">
        <v>8</v>
      </c>
      <c r="G11595" t="s">
        <v>9</v>
      </c>
    </row>
    <row r="11596" spans="1:7" x14ac:dyDescent="0.35">
      <c r="A11596">
        <v>4611</v>
      </c>
      <c r="B11596" s="1">
        <v>45870</v>
      </c>
      <c r="C11596" t="s">
        <v>24</v>
      </c>
      <c r="D11596" s="2">
        <v>0</v>
      </c>
      <c r="E11596" s="2">
        <v>1133.21</v>
      </c>
      <c r="F11596" t="s">
        <v>13</v>
      </c>
      <c r="G11596" t="s">
        <v>9</v>
      </c>
    </row>
    <row r="11597" spans="1:7" x14ac:dyDescent="0.35">
      <c r="A11597">
        <v>4612</v>
      </c>
      <c r="B11597" s="1">
        <v>45873</v>
      </c>
      <c r="C11597" t="s">
        <v>12</v>
      </c>
      <c r="D11597" s="2">
        <v>1352.01</v>
      </c>
      <c r="E11597" s="2">
        <v>0</v>
      </c>
      <c r="F11597" t="s">
        <v>13</v>
      </c>
      <c r="G11597" t="s">
        <v>9</v>
      </c>
    </row>
    <row r="11598" spans="1:7" x14ac:dyDescent="0.35">
      <c r="A11598">
        <v>4612</v>
      </c>
      <c r="B11598" s="1">
        <v>45873</v>
      </c>
      <c r="C11598" t="s">
        <v>12</v>
      </c>
      <c r="D11598" s="2">
        <v>0</v>
      </c>
      <c r="E11598" s="2">
        <v>1257.68</v>
      </c>
      <c r="F11598" t="s">
        <v>14</v>
      </c>
      <c r="G11598" t="s">
        <v>15</v>
      </c>
    </row>
    <row r="11599" spans="1:7" x14ac:dyDescent="0.35">
      <c r="A11599">
        <v>4612</v>
      </c>
      <c r="B11599" s="1">
        <v>45873</v>
      </c>
      <c r="C11599" t="s">
        <v>12</v>
      </c>
      <c r="D11599" s="2">
        <v>0</v>
      </c>
      <c r="E11599" s="2">
        <v>94.33</v>
      </c>
      <c r="F11599" t="s">
        <v>16</v>
      </c>
      <c r="G11599" t="s">
        <v>17</v>
      </c>
    </row>
    <row r="11600" spans="1:7" x14ac:dyDescent="0.35">
      <c r="A11600">
        <v>4613</v>
      </c>
      <c r="B11600" s="1">
        <v>45873</v>
      </c>
      <c r="C11600" t="s">
        <v>12</v>
      </c>
      <c r="D11600" s="2">
        <v>3636.04</v>
      </c>
      <c r="E11600" s="2">
        <v>0</v>
      </c>
      <c r="F11600" t="s">
        <v>13</v>
      </c>
      <c r="G11600" t="s">
        <v>9</v>
      </c>
    </row>
    <row r="11601" spans="1:7" x14ac:dyDescent="0.35">
      <c r="A11601">
        <v>4613</v>
      </c>
      <c r="B11601" s="1">
        <v>45873</v>
      </c>
      <c r="C11601" t="s">
        <v>12</v>
      </c>
      <c r="D11601" s="2">
        <v>0</v>
      </c>
      <c r="E11601" s="2">
        <v>3382.37</v>
      </c>
      <c r="F11601" t="s">
        <v>14</v>
      </c>
      <c r="G11601" t="s">
        <v>15</v>
      </c>
    </row>
    <row r="11602" spans="1:7" x14ac:dyDescent="0.35">
      <c r="A11602">
        <v>4613</v>
      </c>
      <c r="B11602" s="1">
        <v>45873</v>
      </c>
      <c r="C11602" t="s">
        <v>12</v>
      </c>
      <c r="D11602" s="2">
        <v>0</v>
      </c>
      <c r="E11602" s="2">
        <v>253.67</v>
      </c>
      <c r="F11602" t="s">
        <v>16</v>
      </c>
      <c r="G11602" t="s">
        <v>17</v>
      </c>
    </row>
    <row r="11603" spans="1:7" x14ac:dyDescent="0.35">
      <c r="A11603">
        <v>4614</v>
      </c>
      <c r="B11603" s="1">
        <v>45873</v>
      </c>
      <c r="C11603" t="s">
        <v>12</v>
      </c>
      <c r="D11603" s="2">
        <v>1056.8900000000001</v>
      </c>
      <c r="E11603" s="2">
        <v>0</v>
      </c>
      <c r="F11603" t="s">
        <v>13</v>
      </c>
      <c r="G11603" t="s">
        <v>9</v>
      </c>
    </row>
    <row r="11604" spans="1:7" x14ac:dyDescent="0.35">
      <c r="A11604">
        <v>4614</v>
      </c>
      <c r="B11604" s="1">
        <v>45873</v>
      </c>
      <c r="C11604" t="s">
        <v>12</v>
      </c>
      <c r="D11604" s="2">
        <v>0</v>
      </c>
      <c r="E11604" s="2">
        <v>983.15</v>
      </c>
      <c r="F11604" t="s">
        <v>14</v>
      </c>
      <c r="G11604" t="s">
        <v>15</v>
      </c>
    </row>
    <row r="11605" spans="1:7" x14ac:dyDescent="0.35">
      <c r="A11605">
        <v>4614</v>
      </c>
      <c r="B11605" s="1">
        <v>45873</v>
      </c>
      <c r="C11605" t="s">
        <v>12</v>
      </c>
      <c r="D11605" s="2">
        <v>0</v>
      </c>
      <c r="E11605" s="2">
        <v>73.739999999999995</v>
      </c>
      <c r="F11605" t="s">
        <v>16</v>
      </c>
      <c r="G11605" t="s">
        <v>17</v>
      </c>
    </row>
    <row r="11606" spans="1:7" x14ac:dyDescent="0.35">
      <c r="A11606">
        <v>4615</v>
      </c>
      <c r="B11606" s="1">
        <v>45873</v>
      </c>
      <c r="C11606" t="s">
        <v>24</v>
      </c>
      <c r="D11606" s="2">
        <v>2852.73</v>
      </c>
      <c r="E11606" s="2">
        <v>0</v>
      </c>
      <c r="F11606" t="s">
        <v>8</v>
      </c>
      <c r="G11606" t="s">
        <v>9</v>
      </c>
    </row>
    <row r="11607" spans="1:7" x14ac:dyDescent="0.35">
      <c r="A11607">
        <v>4615</v>
      </c>
      <c r="B11607" s="1">
        <v>45873</v>
      </c>
      <c r="C11607" t="s">
        <v>24</v>
      </c>
      <c r="D11607" s="2">
        <v>0</v>
      </c>
      <c r="E11607" s="2">
        <v>2852.73</v>
      </c>
      <c r="F11607" t="s">
        <v>13</v>
      </c>
      <c r="G11607" t="s">
        <v>9</v>
      </c>
    </row>
    <row r="11608" spans="1:7" x14ac:dyDescent="0.35">
      <c r="A11608">
        <v>4616</v>
      </c>
      <c r="B11608" s="1">
        <v>45873</v>
      </c>
      <c r="C11608" t="s">
        <v>25</v>
      </c>
      <c r="D11608" s="2">
        <v>1800.04</v>
      </c>
      <c r="E11608" s="2">
        <v>0</v>
      </c>
      <c r="F11608" t="s">
        <v>26</v>
      </c>
      <c r="G11608" t="s">
        <v>20</v>
      </c>
    </row>
    <row r="11609" spans="1:7" x14ac:dyDescent="0.35">
      <c r="A11609">
        <v>4616</v>
      </c>
      <c r="B11609" s="1">
        <v>45873</v>
      </c>
      <c r="C11609" t="s">
        <v>25</v>
      </c>
      <c r="D11609" s="2">
        <v>135</v>
      </c>
      <c r="E11609" s="2">
        <v>0</v>
      </c>
      <c r="F11609" t="s">
        <v>27</v>
      </c>
      <c r="G11609" t="s">
        <v>9</v>
      </c>
    </row>
    <row r="11610" spans="1:7" x14ac:dyDescent="0.35">
      <c r="A11610">
        <v>4616</v>
      </c>
      <c r="B11610" s="1">
        <v>45873</v>
      </c>
      <c r="C11610" t="s">
        <v>25</v>
      </c>
      <c r="D11610" s="2">
        <v>0</v>
      </c>
      <c r="E11610" s="2">
        <v>1935.04</v>
      </c>
      <c r="F11610" t="s">
        <v>28</v>
      </c>
      <c r="G11610" t="s">
        <v>17</v>
      </c>
    </row>
    <row r="11611" spans="1:7" x14ac:dyDescent="0.35">
      <c r="A11611">
        <v>4617</v>
      </c>
      <c r="B11611" s="1">
        <v>45873</v>
      </c>
      <c r="C11611" t="s">
        <v>25</v>
      </c>
      <c r="D11611" s="2">
        <v>512</v>
      </c>
      <c r="E11611" s="2">
        <v>0</v>
      </c>
      <c r="F11611" t="s">
        <v>26</v>
      </c>
      <c r="G11611" t="s">
        <v>20</v>
      </c>
    </row>
    <row r="11612" spans="1:7" x14ac:dyDescent="0.35">
      <c r="A11612">
        <v>4617</v>
      </c>
      <c r="B11612" s="1">
        <v>45873</v>
      </c>
      <c r="C11612" t="s">
        <v>25</v>
      </c>
      <c r="D11612" s="2">
        <v>38.4</v>
      </c>
      <c r="E11612" s="2">
        <v>0</v>
      </c>
      <c r="F11612" t="s">
        <v>27</v>
      </c>
      <c r="G11612" t="s">
        <v>9</v>
      </c>
    </row>
    <row r="11613" spans="1:7" x14ac:dyDescent="0.35">
      <c r="A11613">
        <v>4617</v>
      </c>
      <c r="B11613" s="1">
        <v>45873</v>
      </c>
      <c r="C11613" t="s">
        <v>25</v>
      </c>
      <c r="D11613" s="2">
        <v>0</v>
      </c>
      <c r="E11613" s="2">
        <v>550.4</v>
      </c>
      <c r="F11613" t="s">
        <v>28</v>
      </c>
      <c r="G11613" t="s">
        <v>17</v>
      </c>
    </row>
    <row r="11614" spans="1:7" x14ac:dyDescent="0.35">
      <c r="A11614">
        <v>4618</v>
      </c>
      <c r="B11614" s="1">
        <v>45873</v>
      </c>
      <c r="C11614" t="s">
        <v>25</v>
      </c>
      <c r="D11614" s="2">
        <v>696.06</v>
      </c>
      <c r="E11614" s="2">
        <v>0</v>
      </c>
      <c r="F11614" t="s">
        <v>26</v>
      </c>
      <c r="G11614" t="s">
        <v>20</v>
      </c>
    </row>
    <row r="11615" spans="1:7" x14ac:dyDescent="0.35">
      <c r="A11615">
        <v>4618</v>
      </c>
      <c r="B11615" s="1">
        <v>45873</v>
      </c>
      <c r="C11615" t="s">
        <v>25</v>
      </c>
      <c r="D11615" s="2">
        <v>52.2</v>
      </c>
      <c r="E11615" s="2">
        <v>0</v>
      </c>
      <c r="F11615" t="s">
        <v>27</v>
      </c>
      <c r="G11615" t="s">
        <v>9</v>
      </c>
    </row>
    <row r="11616" spans="1:7" x14ac:dyDescent="0.35">
      <c r="A11616">
        <v>4618</v>
      </c>
      <c r="B11616" s="1">
        <v>45873</v>
      </c>
      <c r="C11616" t="s">
        <v>25</v>
      </c>
      <c r="D11616" s="2">
        <v>0</v>
      </c>
      <c r="E11616" s="2">
        <v>748.26</v>
      </c>
      <c r="F11616" t="s">
        <v>28</v>
      </c>
      <c r="G11616" t="s">
        <v>17</v>
      </c>
    </row>
    <row r="11617" spans="1:7" x14ac:dyDescent="0.35">
      <c r="A11617">
        <v>4619</v>
      </c>
      <c r="B11617" s="1">
        <v>45873</v>
      </c>
      <c r="C11617" t="s">
        <v>25</v>
      </c>
      <c r="D11617" s="2">
        <v>187.44</v>
      </c>
      <c r="E11617" s="2">
        <v>0</v>
      </c>
      <c r="F11617" t="s">
        <v>26</v>
      </c>
      <c r="G11617" t="s">
        <v>20</v>
      </c>
    </row>
    <row r="11618" spans="1:7" x14ac:dyDescent="0.35">
      <c r="A11618">
        <v>4619</v>
      </c>
      <c r="B11618" s="1">
        <v>45873</v>
      </c>
      <c r="C11618" t="s">
        <v>25</v>
      </c>
      <c r="D11618" s="2">
        <v>14.06</v>
      </c>
      <c r="E11618" s="2">
        <v>0</v>
      </c>
      <c r="F11618" t="s">
        <v>27</v>
      </c>
      <c r="G11618" t="s">
        <v>9</v>
      </c>
    </row>
    <row r="11619" spans="1:7" x14ac:dyDescent="0.35">
      <c r="A11619">
        <v>4619</v>
      </c>
      <c r="B11619" s="1">
        <v>45873</v>
      </c>
      <c r="C11619" t="s">
        <v>25</v>
      </c>
      <c r="D11619" s="2">
        <v>0</v>
      </c>
      <c r="E11619" s="2">
        <v>201.5</v>
      </c>
      <c r="F11619" t="s">
        <v>28</v>
      </c>
      <c r="G11619" t="s">
        <v>17</v>
      </c>
    </row>
    <row r="11620" spans="1:7" x14ac:dyDescent="0.35">
      <c r="A11620">
        <v>4620</v>
      </c>
      <c r="B11620" s="1">
        <v>45873</v>
      </c>
      <c r="C11620" t="s">
        <v>25</v>
      </c>
      <c r="D11620" s="2">
        <v>1822.08</v>
      </c>
      <c r="E11620" s="2">
        <v>0</v>
      </c>
      <c r="F11620" t="s">
        <v>26</v>
      </c>
      <c r="G11620" t="s">
        <v>20</v>
      </c>
    </row>
    <row r="11621" spans="1:7" x14ac:dyDescent="0.35">
      <c r="A11621">
        <v>4620</v>
      </c>
      <c r="B11621" s="1">
        <v>45873</v>
      </c>
      <c r="C11621" t="s">
        <v>25</v>
      </c>
      <c r="D11621" s="2">
        <v>136.66</v>
      </c>
      <c r="E11621" s="2">
        <v>0</v>
      </c>
      <c r="F11621" t="s">
        <v>27</v>
      </c>
      <c r="G11621" t="s">
        <v>9</v>
      </c>
    </row>
    <row r="11622" spans="1:7" x14ac:dyDescent="0.35">
      <c r="A11622">
        <v>4620</v>
      </c>
      <c r="B11622" s="1">
        <v>45873</v>
      </c>
      <c r="C11622" t="s">
        <v>25</v>
      </c>
      <c r="D11622" s="2">
        <v>0</v>
      </c>
      <c r="E11622" s="2">
        <v>1958.74</v>
      </c>
      <c r="F11622" t="s">
        <v>28</v>
      </c>
      <c r="G11622" t="s">
        <v>17</v>
      </c>
    </row>
    <row r="11623" spans="1:7" x14ac:dyDescent="0.35">
      <c r="A11623">
        <v>4621</v>
      </c>
      <c r="B11623" s="1">
        <v>45873</v>
      </c>
      <c r="C11623" t="s">
        <v>25</v>
      </c>
      <c r="D11623" s="2">
        <v>6723.2</v>
      </c>
      <c r="E11623" s="2">
        <v>0</v>
      </c>
      <c r="F11623" t="s">
        <v>26</v>
      </c>
      <c r="G11623" t="s">
        <v>20</v>
      </c>
    </row>
    <row r="11624" spans="1:7" x14ac:dyDescent="0.35">
      <c r="A11624">
        <v>4621</v>
      </c>
      <c r="B11624" s="1">
        <v>45873</v>
      </c>
      <c r="C11624" t="s">
        <v>25</v>
      </c>
      <c r="D11624" s="2">
        <v>504.24</v>
      </c>
      <c r="E11624" s="2">
        <v>0</v>
      </c>
      <c r="F11624" t="s">
        <v>27</v>
      </c>
      <c r="G11624" t="s">
        <v>9</v>
      </c>
    </row>
    <row r="11625" spans="1:7" x14ac:dyDescent="0.35">
      <c r="A11625">
        <v>4621</v>
      </c>
      <c r="B11625" s="1">
        <v>45873</v>
      </c>
      <c r="C11625" t="s">
        <v>25</v>
      </c>
      <c r="D11625" s="2">
        <v>0</v>
      </c>
      <c r="E11625" s="2">
        <v>7227.44</v>
      </c>
      <c r="F11625" t="s">
        <v>28</v>
      </c>
      <c r="G11625" t="s">
        <v>17</v>
      </c>
    </row>
    <row r="11626" spans="1:7" x14ac:dyDescent="0.35">
      <c r="A11626">
        <v>4622</v>
      </c>
      <c r="B11626" s="1">
        <v>45873</v>
      </c>
      <c r="C11626" t="s">
        <v>25</v>
      </c>
      <c r="D11626" s="2">
        <v>2714.58</v>
      </c>
      <c r="E11626" s="2">
        <v>0</v>
      </c>
      <c r="F11626" t="s">
        <v>26</v>
      </c>
      <c r="G11626" t="s">
        <v>20</v>
      </c>
    </row>
    <row r="11627" spans="1:7" x14ac:dyDescent="0.35">
      <c r="A11627">
        <v>4622</v>
      </c>
      <c r="B11627" s="1">
        <v>45873</v>
      </c>
      <c r="C11627" t="s">
        <v>25</v>
      </c>
      <c r="D11627" s="2">
        <v>203.59</v>
      </c>
      <c r="E11627" s="2">
        <v>0</v>
      </c>
      <c r="F11627" t="s">
        <v>27</v>
      </c>
      <c r="G11627" t="s">
        <v>9</v>
      </c>
    </row>
    <row r="11628" spans="1:7" x14ac:dyDescent="0.35">
      <c r="A11628">
        <v>4622</v>
      </c>
      <c r="B11628" s="1">
        <v>45873</v>
      </c>
      <c r="C11628" t="s">
        <v>25</v>
      </c>
      <c r="D11628" s="2">
        <v>0</v>
      </c>
      <c r="E11628" s="2">
        <v>2918.17</v>
      </c>
      <c r="F11628" t="s">
        <v>28</v>
      </c>
      <c r="G11628" t="s">
        <v>17</v>
      </c>
    </row>
    <row r="11629" spans="1:7" x14ac:dyDescent="0.35">
      <c r="A11629">
        <v>4623</v>
      </c>
      <c r="B11629" s="1">
        <v>45873</v>
      </c>
      <c r="C11629" t="s">
        <v>25</v>
      </c>
      <c r="D11629" s="2">
        <v>3598.88</v>
      </c>
      <c r="E11629" s="2">
        <v>0</v>
      </c>
      <c r="F11629" t="s">
        <v>26</v>
      </c>
      <c r="G11629" t="s">
        <v>20</v>
      </c>
    </row>
    <row r="11630" spans="1:7" x14ac:dyDescent="0.35">
      <c r="A11630">
        <v>4623</v>
      </c>
      <c r="B11630" s="1">
        <v>45873</v>
      </c>
      <c r="C11630" t="s">
        <v>25</v>
      </c>
      <c r="D11630" s="2">
        <v>269.92</v>
      </c>
      <c r="E11630" s="2">
        <v>0</v>
      </c>
      <c r="F11630" t="s">
        <v>27</v>
      </c>
      <c r="G11630" t="s">
        <v>9</v>
      </c>
    </row>
    <row r="11631" spans="1:7" x14ac:dyDescent="0.35">
      <c r="A11631">
        <v>4623</v>
      </c>
      <c r="B11631" s="1">
        <v>45873</v>
      </c>
      <c r="C11631" t="s">
        <v>25</v>
      </c>
      <c r="D11631" s="2">
        <v>0</v>
      </c>
      <c r="E11631" s="2">
        <v>3868.8</v>
      </c>
      <c r="F11631" t="s">
        <v>28</v>
      </c>
      <c r="G11631" t="s">
        <v>17</v>
      </c>
    </row>
    <row r="11632" spans="1:7" x14ac:dyDescent="0.35">
      <c r="A11632">
        <v>4624</v>
      </c>
      <c r="B11632" s="1">
        <v>45873</v>
      </c>
      <c r="C11632" t="s">
        <v>25</v>
      </c>
      <c r="D11632" s="2">
        <v>2329.52</v>
      </c>
      <c r="E11632" s="2">
        <v>0</v>
      </c>
      <c r="F11632" t="s">
        <v>26</v>
      </c>
      <c r="G11632" t="s">
        <v>20</v>
      </c>
    </row>
    <row r="11633" spans="1:7" x14ac:dyDescent="0.35">
      <c r="A11633">
        <v>4624</v>
      </c>
      <c r="B11633" s="1">
        <v>45873</v>
      </c>
      <c r="C11633" t="s">
        <v>25</v>
      </c>
      <c r="D11633" s="2">
        <v>174.71</v>
      </c>
      <c r="E11633" s="2">
        <v>0</v>
      </c>
      <c r="F11633" t="s">
        <v>27</v>
      </c>
      <c r="G11633" t="s">
        <v>9</v>
      </c>
    </row>
    <row r="11634" spans="1:7" x14ac:dyDescent="0.35">
      <c r="A11634">
        <v>4624</v>
      </c>
      <c r="B11634" s="1">
        <v>45873</v>
      </c>
      <c r="C11634" t="s">
        <v>25</v>
      </c>
      <c r="D11634" s="2">
        <v>0</v>
      </c>
      <c r="E11634" s="2">
        <v>2504.23</v>
      </c>
      <c r="F11634" t="s">
        <v>28</v>
      </c>
      <c r="G11634" t="s">
        <v>17</v>
      </c>
    </row>
    <row r="11635" spans="1:7" x14ac:dyDescent="0.35">
      <c r="A11635">
        <v>4625</v>
      </c>
      <c r="B11635" s="1">
        <v>45873</v>
      </c>
      <c r="C11635" t="s">
        <v>29</v>
      </c>
      <c r="D11635" s="2">
        <v>748.26</v>
      </c>
      <c r="E11635" s="2">
        <v>0</v>
      </c>
      <c r="F11635" t="s">
        <v>28</v>
      </c>
      <c r="G11635" t="s">
        <v>17</v>
      </c>
    </row>
    <row r="11636" spans="1:7" x14ac:dyDescent="0.35">
      <c r="A11636">
        <v>4625</v>
      </c>
      <c r="B11636" s="1">
        <v>45873</v>
      </c>
      <c r="C11636" t="s">
        <v>29</v>
      </c>
      <c r="D11636" s="2">
        <v>0</v>
      </c>
      <c r="E11636" s="2">
        <v>748.26</v>
      </c>
      <c r="F11636" t="s">
        <v>8</v>
      </c>
      <c r="G11636" t="s">
        <v>9</v>
      </c>
    </row>
    <row r="11637" spans="1:7" x14ac:dyDescent="0.35">
      <c r="A11637">
        <v>4626</v>
      </c>
      <c r="B11637" s="1">
        <v>45873</v>
      </c>
      <c r="C11637" t="s">
        <v>29</v>
      </c>
      <c r="D11637" s="2">
        <v>3528.97</v>
      </c>
      <c r="E11637" s="2">
        <v>0</v>
      </c>
      <c r="F11637" t="s">
        <v>28</v>
      </c>
      <c r="G11637" t="s">
        <v>17</v>
      </c>
    </row>
    <row r="11638" spans="1:7" x14ac:dyDescent="0.35">
      <c r="A11638">
        <v>4626</v>
      </c>
      <c r="B11638" s="1">
        <v>45873</v>
      </c>
      <c r="C11638" t="s">
        <v>29</v>
      </c>
      <c r="D11638" s="2">
        <v>0</v>
      </c>
      <c r="E11638" s="2">
        <v>3528.97</v>
      </c>
      <c r="F11638" t="s">
        <v>8</v>
      </c>
      <c r="G11638" t="s">
        <v>9</v>
      </c>
    </row>
    <row r="11639" spans="1:7" x14ac:dyDescent="0.35">
      <c r="A11639">
        <v>4627</v>
      </c>
      <c r="B11639" s="1">
        <v>45874</v>
      </c>
      <c r="C11639" t="s">
        <v>12</v>
      </c>
      <c r="D11639" s="2">
        <v>2505.6799999999998</v>
      </c>
      <c r="E11639" s="2">
        <v>0</v>
      </c>
      <c r="F11639" t="s">
        <v>13</v>
      </c>
      <c r="G11639" t="s">
        <v>9</v>
      </c>
    </row>
    <row r="11640" spans="1:7" x14ac:dyDescent="0.35">
      <c r="A11640">
        <v>4627</v>
      </c>
      <c r="B11640" s="1">
        <v>45874</v>
      </c>
      <c r="C11640" t="s">
        <v>12</v>
      </c>
      <c r="D11640" s="2">
        <v>0</v>
      </c>
      <c r="E11640" s="2">
        <v>2330.86</v>
      </c>
      <c r="F11640" t="s">
        <v>14</v>
      </c>
      <c r="G11640" t="s">
        <v>15</v>
      </c>
    </row>
    <row r="11641" spans="1:7" x14ac:dyDescent="0.35">
      <c r="A11641">
        <v>4627</v>
      </c>
      <c r="B11641" s="1">
        <v>45874</v>
      </c>
      <c r="C11641" t="s">
        <v>12</v>
      </c>
      <c r="D11641" s="2">
        <v>0</v>
      </c>
      <c r="E11641" s="2">
        <v>174.82</v>
      </c>
      <c r="F11641" t="s">
        <v>16</v>
      </c>
      <c r="G11641" t="s">
        <v>17</v>
      </c>
    </row>
    <row r="11642" spans="1:7" x14ac:dyDescent="0.35">
      <c r="A11642">
        <v>4628</v>
      </c>
      <c r="B11642" s="1">
        <v>45874</v>
      </c>
      <c r="C11642" t="s">
        <v>12</v>
      </c>
      <c r="D11642" s="2">
        <v>2575.6999999999998</v>
      </c>
      <c r="E11642" s="2">
        <v>0</v>
      </c>
      <c r="F11642" t="s">
        <v>13</v>
      </c>
      <c r="G11642" t="s">
        <v>9</v>
      </c>
    </row>
    <row r="11643" spans="1:7" x14ac:dyDescent="0.35">
      <c r="A11643">
        <v>4628</v>
      </c>
      <c r="B11643" s="1">
        <v>45874</v>
      </c>
      <c r="C11643" t="s">
        <v>12</v>
      </c>
      <c r="D11643" s="2">
        <v>0</v>
      </c>
      <c r="E11643" s="2">
        <v>2396.0100000000002</v>
      </c>
      <c r="F11643" t="s">
        <v>14</v>
      </c>
      <c r="G11643" t="s">
        <v>15</v>
      </c>
    </row>
    <row r="11644" spans="1:7" x14ac:dyDescent="0.35">
      <c r="A11644">
        <v>4628</v>
      </c>
      <c r="B11644" s="1">
        <v>45874</v>
      </c>
      <c r="C11644" t="s">
        <v>12</v>
      </c>
      <c r="D11644" s="2">
        <v>0</v>
      </c>
      <c r="E11644" s="2">
        <v>179.69</v>
      </c>
      <c r="F11644" t="s">
        <v>16</v>
      </c>
      <c r="G11644" t="s">
        <v>17</v>
      </c>
    </row>
    <row r="11645" spans="1:7" x14ac:dyDescent="0.35">
      <c r="A11645">
        <v>4629</v>
      </c>
      <c r="B11645" s="1">
        <v>45874</v>
      </c>
      <c r="C11645" t="s">
        <v>12</v>
      </c>
      <c r="D11645" s="2">
        <v>707.14</v>
      </c>
      <c r="E11645" s="2">
        <v>0</v>
      </c>
      <c r="F11645" t="s">
        <v>13</v>
      </c>
      <c r="G11645" t="s">
        <v>9</v>
      </c>
    </row>
    <row r="11646" spans="1:7" x14ac:dyDescent="0.35">
      <c r="A11646">
        <v>4629</v>
      </c>
      <c r="B11646" s="1">
        <v>45874</v>
      </c>
      <c r="C11646" t="s">
        <v>12</v>
      </c>
      <c r="D11646" s="2">
        <v>0</v>
      </c>
      <c r="E11646" s="2">
        <v>657.8</v>
      </c>
      <c r="F11646" t="s">
        <v>14</v>
      </c>
      <c r="G11646" t="s">
        <v>15</v>
      </c>
    </row>
    <row r="11647" spans="1:7" x14ac:dyDescent="0.35">
      <c r="A11647">
        <v>4629</v>
      </c>
      <c r="B11647" s="1">
        <v>45874</v>
      </c>
      <c r="C11647" t="s">
        <v>12</v>
      </c>
      <c r="D11647" s="2">
        <v>0</v>
      </c>
      <c r="E11647" s="2">
        <v>49.34</v>
      </c>
      <c r="F11647" t="s">
        <v>16</v>
      </c>
      <c r="G11647" t="s">
        <v>17</v>
      </c>
    </row>
    <row r="11648" spans="1:7" x14ac:dyDescent="0.35">
      <c r="A11648">
        <v>4630</v>
      </c>
      <c r="B11648" s="1">
        <v>45874</v>
      </c>
      <c r="C11648" t="s">
        <v>12</v>
      </c>
      <c r="D11648" s="2">
        <v>2332.84</v>
      </c>
      <c r="E11648" s="2">
        <v>0</v>
      </c>
      <c r="F11648" t="s">
        <v>13</v>
      </c>
      <c r="G11648" t="s">
        <v>9</v>
      </c>
    </row>
    <row r="11649" spans="1:7" x14ac:dyDescent="0.35">
      <c r="A11649">
        <v>4630</v>
      </c>
      <c r="B11649" s="1">
        <v>45874</v>
      </c>
      <c r="C11649" t="s">
        <v>12</v>
      </c>
      <c r="D11649" s="2">
        <v>0</v>
      </c>
      <c r="E11649" s="2">
        <v>2170.08</v>
      </c>
      <c r="F11649" t="s">
        <v>14</v>
      </c>
      <c r="G11649" t="s">
        <v>15</v>
      </c>
    </row>
    <row r="11650" spans="1:7" x14ac:dyDescent="0.35">
      <c r="A11650">
        <v>4630</v>
      </c>
      <c r="B11650" s="1">
        <v>45874</v>
      </c>
      <c r="C11650" t="s">
        <v>12</v>
      </c>
      <c r="D11650" s="2">
        <v>0</v>
      </c>
      <c r="E11650" s="2">
        <v>162.76</v>
      </c>
      <c r="F11650" t="s">
        <v>16</v>
      </c>
      <c r="G11650" t="s">
        <v>17</v>
      </c>
    </row>
    <row r="11651" spans="1:7" x14ac:dyDescent="0.35">
      <c r="A11651">
        <v>4631</v>
      </c>
      <c r="B11651" s="1">
        <v>45874</v>
      </c>
      <c r="C11651" t="s">
        <v>12</v>
      </c>
      <c r="D11651" s="2">
        <v>633.76</v>
      </c>
      <c r="E11651" s="2">
        <v>0</v>
      </c>
      <c r="F11651" t="s">
        <v>13</v>
      </c>
      <c r="G11651" t="s">
        <v>9</v>
      </c>
    </row>
    <row r="11652" spans="1:7" x14ac:dyDescent="0.35">
      <c r="A11652">
        <v>4631</v>
      </c>
      <c r="B11652" s="1">
        <v>45874</v>
      </c>
      <c r="C11652" t="s">
        <v>12</v>
      </c>
      <c r="D11652" s="2">
        <v>0</v>
      </c>
      <c r="E11652" s="2">
        <v>589.54</v>
      </c>
      <c r="F11652" t="s">
        <v>14</v>
      </c>
      <c r="G11652" t="s">
        <v>15</v>
      </c>
    </row>
    <row r="11653" spans="1:7" x14ac:dyDescent="0.35">
      <c r="A11653">
        <v>4631</v>
      </c>
      <c r="B11653" s="1">
        <v>45874</v>
      </c>
      <c r="C11653" t="s">
        <v>12</v>
      </c>
      <c r="D11653" s="2">
        <v>0</v>
      </c>
      <c r="E11653" s="2">
        <v>44.22</v>
      </c>
      <c r="F11653" t="s">
        <v>16</v>
      </c>
      <c r="G11653" t="s">
        <v>17</v>
      </c>
    </row>
    <row r="11654" spans="1:7" x14ac:dyDescent="0.35">
      <c r="A11654">
        <v>4632</v>
      </c>
      <c r="B11654" s="1">
        <v>45874</v>
      </c>
      <c r="C11654" t="s">
        <v>12</v>
      </c>
      <c r="D11654" s="2">
        <v>1678.61</v>
      </c>
      <c r="E11654" s="2">
        <v>0</v>
      </c>
      <c r="F11654" t="s">
        <v>13</v>
      </c>
      <c r="G11654" t="s">
        <v>9</v>
      </c>
    </row>
    <row r="11655" spans="1:7" x14ac:dyDescent="0.35">
      <c r="A11655">
        <v>4632</v>
      </c>
      <c r="B11655" s="1">
        <v>45874</v>
      </c>
      <c r="C11655" t="s">
        <v>12</v>
      </c>
      <c r="D11655" s="2">
        <v>0</v>
      </c>
      <c r="E11655" s="2">
        <v>1561.51</v>
      </c>
      <c r="F11655" t="s">
        <v>14</v>
      </c>
      <c r="G11655" t="s">
        <v>15</v>
      </c>
    </row>
    <row r="11656" spans="1:7" x14ac:dyDescent="0.35">
      <c r="A11656">
        <v>4632</v>
      </c>
      <c r="B11656" s="1">
        <v>45874</v>
      </c>
      <c r="C11656" t="s">
        <v>12</v>
      </c>
      <c r="D11656" s="2">
        <v>0</v>
      </c>
      <c r="E11656" s="2">
        <v>117.1</v>
      </c>
      <c r="F11656" t="s">
        <v>16</v>
      </c>
      <c r="G11656" t="s">
        <v>17</v>
      </c>
    </row>
    <row r="11657" spans="1:7" x14ac:dyDescent="0.35">
      <c r="A11657">
        <v>4633</v>
      </c>
      <c r="B11657" s="1">
        <v>45874</v>
      </c>
      <c r="C11657" t="s">
        <v>12</v>
      </c>
      <c r="D11657" s="2">
        <v>442.62</v>
      </c>
      <c r="E11657" s="2">
        <v>0</v>
      </c>
      <c r="F11657" t="s">
        <v>13</v>
      </c>
      <c r="G11657" t="s">
        <v>9</v>
      </c>
    </row>
    <row r="11658" spans="1:7" x14ac:dyDescent="0.35">
      <c r="A11658">
        <v>4633</v>
      </c>
      <c r="B11658" s="1">
        <v>45874</v>
      </c>
      <c r="C11658" t="s">
        <v>12</v>
      </c>
      <c r="D11658" s="2">
        <v>0</v>
      </c>
      <c r="E11658" s="2">
        <v>411.73</v>
      </c>
      <c r="F11658" t="s">
        <v>14</v>
      </c>
      <c r="G11658" t="s">
        <v>15</v>
      </c>
    </row>
    <row r="11659" spans="1:7" x14ac:dyDescent="0.35">
      <c r="A11659">
        <v>4633</v>
      </c>
      <c r="B11659" s="1">
        <v>45874</v>
      </c>
      <c r="C11659" t="s">
        <v>12</v>
      </c>
      <c r="D11659" s="2">
        <v>0</v>
      </c>
      <c r="E11659" s="2">
        <v>30.89</v>
      </c>
      <c r="F11659" t="s">
        <v>16</v>
      </c>
      <c r="G11659" t="s">
        <v>17</v>
      </c>
    </row>
    <row r="11660" spans="1:7" x14ac:dyDescent="0.35">
      <c r="A11660">
        <v>4634</v>
      </c>
      <c r="B11660" s="1">
        <v>45874</v>
      </c>
      <c r="C11660" t="s">
        <v>12</v>
      </c>
      <c r="D11660" s="2">
        <v>266.74</v>
      </c>
      <c r="E11660" s="2">
        <v>0</v>
      </c>
      <c r="F11660" t="s">
        <v>13</v>
      </c>
      <c r="G11660" t="s">
        <v>9</v>
      </c>
    </row>
    <row r="11661" spans="1:7" x14ac:dyDescent="0.35">
      <c r="A11661">
        <v>4634</v>
      </c>
      <c r="B11661" s="1">
        <v>45874</v>
      </c>
      <c r="C11661" t="s">
        <v>12</v>
      </c>
      <c r="D11661" s="2">
        <v>0</v>
      </c>
      <c r="E11661" s="2">
        <v>248.13</v>
      </c>
      <c r="F11661" t="s">
        <v>14</v>
      </c>
      <c r="G11661" t="s">
        <v>15</v>
      </c>
    </row>
    <row r="11662" spans="1:7" x14ac:dyDescent="0.35">
      <c r="A11662">
        <v>4634</v>
      </c>
      <c r="B11662" s="1">
        <v>45874</v>
      </c>
      <c r="C11662" t="s">
        <v>12</v>
      </c>
      <c r="D11662" s="2">
        <v>0</v>
      </c>
      <c r="E11662" s="2">
        <v>18.61</v>
      </c>
      <c r="F11662" t="s">
        <v>16</v>
      </c>
      <c r="G11662" t="s">
        <v>17</v>
      </c>
    </row>
    <row r="11663" spans="1:7" x14ac:dyDescent="0.35">
      <c r="A11663">
        <v>4635</v>
      </c>
      <c r="B11663" s="1">
        <v>45874</v>
      </c>
      <c r="C11663" t="s">
        <v>12</v>
      </c>
      <c r="D11663" s="2">
        <v>2628.35</v>
      </c>
      <c r="E11663" s="2">
        <v>0</v>
      </c>
      <c r="F11663" t="s">
        <v>13</v>
      </c>
      <c r="G11663" t="s">
        <v>9</v>
      </c>
    </row>
    <row r="11664" spans="1:7" x14ac:dyDescent="0.35">
      <c r="A11664">
        <v>4635</v>
      </c>
      <c r="B11664" s="1">
        <v>45874</v>
      </c>
      <c r="C11664" t="s">
        <v>12</v>
      </c>
      <c r="D11664" s="2">
        <v>0</v>
      </c>
      <c r="E11664" s="2">
        <v>2444.98</v>
      </c>
      <c r="F11664" t="s">
        <v>14</v>
      </c>
      <c r="G11664" t="s">
        <v>15</v>
      </c>
    </row>
    <row r="11665" spans="1:7" x14ac:dyDescent="0.35">
      <c r="A11665">
        <v>4635</v>
      </c>
      <c r="B11665" s="1">
        <v>45874</v>
      </c>
      <c r="C11665" t="s">
        <v>12</v>
      </c>
      <c r="D11665" s="2">
        <v>0</v>
      </c>
      <c r="E11665" s="2">
        <v>183.37</v>
      </c>
      <c r="F11665" t="s">
        <v>16</v>
      </c>
      <c r="G11665" t="s">
        <v>17</v>
      </c>
    </row>
    <row r="11666" spans="1:7" x14ac:dyDescent="0.35">
      <c r="A11666">
        <v>4636</v>
      </c>
      <c r="B11666" s="1">
        <v>45874</v>
      </c>
      <c r="C11666" t="s">
        <v>24</v>
      </c>
      <c r="D11666" s="2">
        <v>4195.76</v>
      </c>
      <c r="E11666" s="2">
        <v>0</v>
      </c>
      <c r="F11666" t="s">
        <v>8</v>
      </c>
      <c r="G11666" t="s">
        <v>9</v>
      </c>
    </row>
    <row r="11667" spans="1:7" x14ac:dyDescent="0.35">
      <c r="A11667">
        <v>4636</v>
      </c>
      <c r="B11667" s="1">
        <v>45874</v>
      </c>
      <c r="C11667" t="s">
        <v>24</v>
      </c>
      <c r="D11667" s="2">
        <v>0</v>
      </c>
      <c r="E11667" s="2">
        <v>4195.76</v>
      </c>
      <c r="F11667" t="s">
        <v>13</v>
      </c>
      <c r="G11667" t="s">
        <v>9</v>
      </c>
    </row>
    <row r="11668" spans="1:7" x14ac:dyDescent="0.35">
      <c r="A11668">
        <v>4637</v>
      </c>
      <c r="B11668" s="1">
        <v>45874</v>
      </c>
      <c r="C11668" t="s">
        <v>24</v>
      </c>
      <c r="D11668" s="2">
        <v>1405</v>
      </c>
      <c r="E11668" s="2">
        <v>0</v>
      </c>
      <c r="F11668" t="s">
        <v>8</v>
      </c>
      <c r="G11668" t="s">
        <v>9</v>
      </c>
    </row>
    <row r="11669" spans="1:7" x14ac:dyDescent="0.35">
      <c r="A11669">
        <v>4637</v>
      </c>
      <c r="B11669" s="1">
        <v>45874</v>
      </c>
      <c r="C11669" t="s">
        <v>24</v>
      </c>
      <c r="D11669" s="2">
        <v>0</v>
      </c>
      <c r="E11669" s="2">
        <v>1405</v>
      </c>
      <c r="F11669" t="s">
        <v>13</v>
      </c>
      <c r="G11669" t="s">
        <v>9</v>
      </c>
    </row>
    <row r="11670" spans="1:7" x14ac:dyDescent="0.35">
      <c r="A11670">
        <v>4638</v>
      </c>
      <c r="B11670" s="1">
        <v>45874</v>
      </c>
      <c r="C11670" t="s">
        <v>24</v>
      </c>
      <c r="D11670" s="2">
        <v>2348.2800000000002</v>
      </c>
      <c r="E11670" s="2">
        <v>0</v>
      </c>
      <c r="F11670" t="s">
        <v>8</v>
      </c>
      <c r="G11670" t="s">
        <v>9</v>
      </c>
    </row>
    <row r="11671" spans="1:7" x14ac:dyDescent="0.35">
      <c r="A11671">
        <v>4638</v>
      </c>
      <c r="B11671" s="1">
        <v>45874</v>
      </c>
      <c r="C11671" t="s">
        <v>24</v>
      </c>
      <c r="D11671" s="2">
        <v>0</v>
      </c>
      <c r="E11671" s="2">
        <v>2348.2800000000002</v>
      </c>
      <c r="F11671" t="s">
        <v>13</v>
      </c>
      <c r="G11671" t="s">
        <v>9</v>
      </c>
    </row>
    <row r="11672" spans="1:7" x14ac:dyDescent="0.35">
      <c r="A11672">
        <v>4639</v>
      </c>
      <c r="B11672" s="1">
        <v>45874</v>
      </c>
      <c r="C11672" t="s">
        <v>24</v>
      </c>
      <c r="D11672" s="2">
        <v>2238.4</v>
      </c>
      <c r="E11672" s="2">
        <v>0</v>
      </c>
      <c r="F11672" t="s">
        <v>8</v>
      </c>
      <c r="G11672" t="s">
        <v>9</v>
      </c>
    </row>
    <row r="11673" spans="1:7" x14ac:dyDescent="0.35">
      <c r="A11673">
        <v>4639</v>
      </c>
      <c r="B11673" s="1">
        <v>45874</v>
      </c>
      <c r="C11673" t="s">
        <v>24</v>
      </c>
      <c r="D11673" s="2">
        <v>0</v>
      </c>
      <c r="E11673" s="2">
        <v>2238.4</v>
      </c>
      <c r="F11673" t="s">
        <v>13</v>
      </c>
      <c r="G11673" t="s">
        <v>9</v>
      </c>
    </row>
    <row r="11674" spans="1:7" x14ac:dyDescent="0.35">
      <c r="A11674">
        <v>4640</v>
      </c>
      <c r="B11674" s="1">
        <v>45874</v>
      </c>
      <c r="C11674" t="s">
        <v>24</v>
      </c>
      <c r="D11674" s="2">
        <v>1807.32</v>
      </c>
      <c r="E11674" s="2">
        <v>0</v>
      </c>
      <c r="F11674" t="s">
        <v>8</v>
      </c>
      <c r="G11674" t="s">
        <v>9</v>
      </c>
    </row>
    <row r="11675" spans="1:7" x14ac:dyDescent="0.35">
      <c r="A11675">
        <v>4640</v>
      </c>
      <c r="B11675" s="1">
        <v>45874</v>
      </c>
      <c r="C11675" t="s">
        <v>24</v>
      </c>
      <c r="D11675" s="2">
        <v>0</v>
      </c>
      <c r="E11675" s="2">
        <v>1807.32</v>
      </c>
      <c r="F11675" t="s">
        <v>13</v>
      </c>
      <c r="G11675" t="s">
        <v>9</v>
      </c>
    </row>
    <row r="11676" spans="1:7" x14ac:dyDescent="0.35">
      <c r="A11676">
        <v>4641</v>
      </c>
      <c r="B11676" s="1">
        <v>45874</v>
      </c>
      <c r="C11676" t="s">
        <v>25</v>
      </c>
      <c r="D11676" s="2">
        <v>1213.5999999999999</v>
      </c>
      <c r="E11676" s="2">
        <v>0</v>
      </c>
      <c r="F11676" t="s">
        <v>26</v>
      </c>
      <c r="G11676" t="s">
        <v>20</v>
      </c>
    </row>
    <row r="11677" spans="1:7" x14ac:dyDescent="0.35">
      <c r="A11677">
        <v>4641</v>
      </c>
      <c r="B11677" s="1">
        <v>45874</v>
      </c>
      <c r="C11677" t="s">
        <v>25</v>
      </c>
      <c r="D11677" s="2">
        <v>91.02</v>
      </c>
      <c r="E11677" s="2">
        <v>0</v>
      </c>
      <c r="F11677" t="s">
        <v>27</v>
      </c>
      <c r="G11677" t="s">
        <v>9</v>
      </c>
    </row>
    <row r="11678" spans="1:7" x14ac:dyDescent="0.35">
      <c r="A11678">
        <v>4641</v>
      </c>
      <c r="B11678" s="1">
        <v>45874</v>
      </c>
      <c r="C11678" t="s">
        <v>25</v>
      </c>
      <c r="D11678" s="2">
        <v>0</v>
      </c>
      <c r="E11678" s="2">
        <v>1304.6199999999999</v>
      </c>
      <c r="F11678" t="s">
        <v>28</v>
      </c>
      <c r="G11678" t="s">
        <v>17</v>
      </c>
    </row>
    <row r="11679" spans="1:7" x14ac:dyDescent="0.35">
      <c r="A11679">
        <v>4642</v>
      </c>
      <c r="B11679" s="1">
        <v>45874</v>
      </c>
      <c r="C11679" t="s">
        <v>29</v>
      </c>
      <c r="D11679" s="2">
        <v>2504.23</v>
      </c>
      <c r="E11679" s="2">
        <v>0</v>
      </c>
      <c r="F11679" t="s">
        <v>28</v>
      </c>
      <c r="G11679" t="s">
        <v>17</v>
      </c>
    </row>
    <row r="11680" spans="1:7" x14ac:dyDescent="0.35">
      <c r="A11680">
        <v>4642</v>
      </c>
      <c r="B11680" s="1">
        <v>45874</v>
      </c>
      <c r="C11680" t="s">
        <v>29</v>
      </c>
      <c r="D11680" s="2">
        <v>0</v>
      </c>
      <c r="E11680" s="2">
        <v>2504.23</v>
      </c>
      <c r="F11680" t="s">
        <v>8</v>
      </c>
      <c r="G11680" t="s">
        <v>9</v>
      </c>
    </row>
    <row r="11681" spans="1:7" x14ac:dyDescent="0.35">
      <c r="A11681">
        <v>4643</v>
      </c>
      <c r="B11681" s="1">
        <v>45874</v>
      </c>
      <c r="C11681" t="s">
        <v>29</v>
      </c>
      <c r="D11681" s="2">
        <v>179.01</v>
      </c>
      <c r="E11681" s="2">
        <v>0</v>
      </c>
      <c r="F11681" t="s">
        <v>28</v>
      </c>
      <c r="G11681" t="s">
        <v>17</v>
      </c>
    </row>
    <row r="11682" spans="1:7" x14ac:dyDescent="0.35">
      <c r="A11682">
        <v>4643</v>
      </c>
      <c r="B11682" s="1">
        <v>45874</v>
      </c>
      <c r="C11682" t="s">
        <v>29</v>
      </c>
      <c r="D11682" s="2">
        <v>0</v>
      </c>
      <c r="E11682" s="2">
        <v>179.01</v>
      </c>
      <c r="F11682" t="s">
        <v>8</v>
      </c>
      <c r="G11682" t="s">
        <v>9</v>
      </c>
    </row>
    <row r="11683" spans="1:7" x14ac:dyDescent="0.35">
      <c r="A11683">
        <v>4644</v>
      </c>
      <c r="B11683" s="1">
        <v>45874</v>
      </c>
      <c r="C11683" t="s">
        <v>29</v>
      </c>
      <c r="D11683" s="2">
        <v>1958.74</v>
      </c>
      <c r="E11683" s="2">
        <v>0</v>
      </c>
      <c r="F11683" t="s">
        <v>28</v>
      </c>
      <c r="G11683" t="s">
        <v>17</v>
      </c>
    </row>
    <row r="11684" spans="1:7" x14ac:dyDescent="0.35">
      <c r="A11684">
        <v>4644</v>
      </c>
      <c r="B11684" s="1">
        <v>45874</v>
      </c>
      <c r="C11684" t="s">
        <v>29</v>
      </c>
      <c r="D11684" s="2">
        <v>0</v>
      </c>
      <c r="E11684" s="2">
        <v>1958.74</v>
      </c>
      <c r="F11684" t="s">
        <v>8</v>
      </c>
      <c r="G11684" t="s">
        <v>9</v>
      </c>
    </row>
    <row r="11685" spans="1:7" x14ac:dyDescent="0.35">
      <c r="A11685">
        <v>4645</v>
      </c>
      <c r="B11685" s="1">
        <v>45875</v>
      </c>
      <c r="C11685" t="s">
        <v>12</v>
      </c>
      <c r="D11685" s="2">
        <v>341.66</v>
      </c>
      <c r="E11685" s="2">
        <v>0</v>
      </c>
      <c r="F11685" t="s">
        <v>13</v>
      </c>
      <c r="G11685" t="s">
        <v>9</v>
      </c>
    </row>
    <row r="11686" spans="1:7" x14ac:dyDescent="0.35">
      <c r="A11686">
        <v>4645</v>
      </c>
      <c r="B11686" s="1">
        <v>45875</v>
      </c>
      <c r="C11686" t="s">
        <v>12</v>
      </c>
      <c r="D11686" s="2">
        <v>0</v>
      </c>
      <c r="E11686" s="2">
        <v>317.82</v>
      </c>
      <c r="F11686" t="s">
        <v>14</v>
      </c>
      <c r="G11686" t="s">
        <v>15</v>
      </c>
    </row>
    <row r="11687" spans="1:7" x14ac:dyDescent="0.35">
      <c r="A11687">
        <v>4645</v>
      </c>
      <c r="B11687" s="1">
        <v>45875</v>
      </c>
      <c r="C11687" t="s">
        <v>12</v>
      </c>
      <c r="D11687" s="2">
        <v>0</v>
      </c>
      <c r="E11687" s="2">
        <v>23.84</v>
      </c>
      <c r="F11687" t="s">
        <v>16</v>
      </c>
      <c r="G11687" t="s">
        <v>17</v>
      </c>
    </row>
    <row r="11688" spans="1:7" x14ac:dyDescent="0.35">
      <c r="A11688">
        <v>4646</v>
      </c>
      <c r="B11688" s="1">
        <v>45875</v>
      </c>
      <c r="C11688" t="s">
        <v>12</v>
      </c>
      <c r="D11688" s="2">
        <v>5327.75</v>
      </c>
      <c r="E11688" s="2">
        <v>0</v>
      </c>
      <c r="F11688" t="s">
        <v>13</v>
      </c>
      <c r="G11688" t="s">
        <v>9</v>
      </c>
    </row>
    <row r="11689" spans="1:7" x14ac:dyDescent="0.35">
      <c r="A11689">
        <v>4646</v>
      </c>
      <c r="B11689" s="1">
        <v>45875</v>
      </c>
      <c r="C11689" t="s">
        <v>12</v>
      </c>
      <c r="D11689" s="2">
        <v>0</v>
      </c>
      <c r="E11689" s="2">
        <v>4956.05</v>
      </c>
      <c r="F11689" t="s">
        <v>14</v>
      </c>
      <c r="G11689" t="s">
        <v>15</v>
      </c>
    </row>
    <row r="11690" spans="1:7" x14ac:dyDescent="0.35">
      <c r="A11690">
        <v>4646</v>
      </c>
      <c r="B11690" s="1">
        <v>45875</v>
      </c>
      <c r="C11690" t="s">
        <v>12</v>
      </c>
      <c r="D11690" s="2">
        <v>0</v>
      </c>
      <c r="E11690" s="2">
        <v>371.7</v>
      </c>
      <c r="F11690" t="s">
        <v>16</v>
      </c>
      <c r="G11690" t="s">
        <v>17</v>
      </c>
    </row>
    <row r="11691" spans="1:7" x14ac:dyDescent="0.35">
      <c r="A11691">
        <v>4647</v>
      </c>
      <c r="B11691" s="1">
        <v>45875</v>
      </c>
      <c r="C11691" t="s">
        <v>12</v>
      </c>
      <c r="D11691" s="2">
        <v>2853.68</v>
      </c>
      <c r="E11691" s="2">
        <v>0</v>
      </c>
      <c r="F11691" t="s">
        <v>13</v>
      </c>
      <c r="G11691" t="s">
        <v>9</v>
      </c>
    </row>
    <row r="11692" spans="1:7" x14ac:dyDescent="0.35">
      <c r="A11692">
        <v>4647</v>
      </c>
      <c r="B11692" s="1">
        <v>45875</v>
      </c>
      <c r="C11692" t="s">
        <v>12</v>
      </c>
      <c r="D11692" s="2">
        <v>0</v>
      </c>
      <c r="E11692" s="2">
        <v>2654.58</v>
      </c>
      <c r="F11692" t="s">
        <v>14</v>
      </c>
      <c r="G11692" t="s">
        <v>15</v>
      </c>
    </row>
    <row r="11693" spans="1:7" x14ac:dyDescent="0.35">
      <c r="A11693">
        <v>4647</v>
      </c>
      <c r="B11693" s="1">
        <v>45875</v>
      </c>
      <c r="C11693" t="s">
        <v>12</v>
      </c>
      <c r="D11693" s="2">
        <v>0</v>
      </c>
      <c r="E11693" s="2">
        <v>199.1</v>
      </c>
      <c r="F11693" t="s">
        <v>16</v>
      </c>
      <c r="G11693" t="s">
        <v>17</v>
      </c>
    </row>
    <row r="11694" spans="1:7" x14ac:dyDescent="0.35">
      <c r="A11694">
        <v>4648</v>
      </c>
      <c r="B11694" s="1">
        <v>45875</v>
      </c>
      <c r="C11694" t="s">
        <v>12</v>
      </c>
      <c r="D11694" s="2">
        <v>1410.28</v>
      </c>
      <c r="E11694" s="2">
        <v>0</v>
      </c>
      <c r="F11694" t="s">
        <v>13</v>
      </c>
      <c r="G11694" t="s">
        <v>9</v>
      </c>
    </row>
    <row r="11695" spans="1:7" x14ac:dyDescent="0.35">
      <c r="A11695">
        <v>4648</v>
      </c>
      <c r="B11695" s="1">
        <v>45875</v>
      </c>
      <c r="C11695" t="s">
        <v>12</v>
      </c>
      <c r="D11695" s="2">
        <v>0</v>
      </c>
      <c r="E11695" s="2">
        <v>1311.89</v>
      </c>
      <c r="F11695" t="s">
        <v>14</v>
      </c>
      <c r="G11695" t="s">
        <v>15</v>
      </c>
    </row>
    <row r="11696" spans="1:7" x14ac:dyDescent="0.35">
      <c r="A11696">
        <v>4648</v>
      </c>
      <c r="B11696" s="1">
        <v>45875</v>
      </c>
      <c r="C11696" t="s">
        <v>12</v>
      </c>
      <c r="D11696" s="2">
        <v>0</v>
      </c>
      <c r="E11696" s="2">
        <v>98.39</v>
      </c>
      <c r="F11696" t="s">
        <v>16</v>
      </c>
      <c r="G11696" t="s">
        <v>17</v>
      </c>
    </row>
    <row r="11697" spans="1:7" x14ac:dyDescent="0.35">
      <c r="A11697">
        <v>4649</v>
      </c>
      <c r="B11697" s="1">
        <v>45875</v>
      </c>
      <c r="C11697" t="s">
        <v>12</v>
      </c>
      <c r="D11697" s="2">
        <v>2014.94</v>
      </c>
      <c r="E11697" s="2">
        <v>0</v>
      </c>
      <c r="F11697" t="s">
        <v>13</v>
      </c>
      <c r="G11697" t="s">
        <v>9</v>
      </c>
    </row>
    <row r="11698" spans="1:7" x14ac:dyDescent="0.35">
      <c r="A11698">
        <v>4649</v>
      </c>
      <c r="B11698" s="1">
        <v>45875</v>
      </c>
      <c r="C11698" t="s">
        <v>12</v>
      </c>
      <c r="D11698" s="2">
        <v>0</v>
      </c>
      <c r="E11698" s="2">
        <v>1874.37</v>
      </c>
      <c r="F11698" t="s">
        <v>14</v>
      </c>
      <c r="G11698" t="s">
        <v>15</v>
      </c>
    </row>
    <row r="11699" spans="1:7" x14ac:dyDescent="0.35">
      <c r="A11699">
        <v>4649</v>
      </c>
      <c r="B11699" s="1">
        <v>45875</v>
      </c>
      <c r="C11699" t="s">
        <v>12</v>
      </c>
      <c r="D11699" s="2">
        <v>0</v>
      </c>
      <c r="E11699" s="2">
        <v>140.57</v>
      </c>
      <c r="F11699" t="s">
        <v>16</v>
      </c>
      <c r="G11699" t="s">
        <v>17</v>
      </c>
    </row>
    <row r="11700" spans="1:7" x14ac:dyDescent="0.35">
      <c r="A11700">
        <v>4650</v>
      </c>
      <c r="B11700" s="1">
        <v>45875</v>
      </c>
      <c r="C11700" t="s">
        <v>12</v>
      </c>
      <c r="D11700" s="2">
        <v>3169.82</v>
      </c>
      <c r="E11700" s="2">
        <v>0</v>
      </c>
      <c r="F11700" t="s">
        <v>13</v>
      </c>
      <c r="G11700" t="s">
        <v>9</v>
      </c>
    </row>
    <row r="11701" spans="1:7" x14ac:dyDescent="0.35">
      <c r="A11701">
        <v>4650</v>
      </c>
      <c r="B11701" s="1">
        <v>45875</v>
      </c>
      <c r="C11701" t="s">
        <v>12</v>
      </c>
      <c r="D11701" s="2">
        <v>0</v>
      </c>
      <c r="E11701" s="2">
        <v>2948.68</v>
      </c>
      <c r="F11701" t="s">
        <v>14</v>
      </c>
      <c r="G11701" t="s">
        <v>15</v>
      </c>
    </row>
    <row r="11702" spans="1:7" x14ac:dyDescent="0.35">
      <c r="A11702">
        <v>4650</v>
      </c>
      <c r="B11702" s="1">
        <v>45875</v>
      </c>
      <c r="C11702" t="s">
        <v>12</v>
      </c>
      <c r="D11702" s="2">
        <v>0</v>
      </c>
      <c r="E11702" s="2">
        <v>221.14</v>
      </c>
      <c r="F11702" t="s">
        <v>16</v>
      </c>
      <c r="G11702" t="s">
        <v>17</v>
      </c>
    </row>
    <row r="11703" spans="1:7" x14ac:dyDescent="0.35">
      <c r="A11703">
        <v>4651</v>
      </c>
      <c r="B11703" s="1">
        <v>45875</v>
      </c>
      <c r="C11703" t="s">
        <v>24</v>
      </c>
      <c r="D11703" s="2">
        <v>1798.92</v>
      </c>
      <c r="E11703" s="2">
        <v>0</v>
      </c>
      <c r="F11703" t="s">
        <v>8</v>
      </c>
      <c r="G11703" t="s">
        <v>9</v>
      </c>
    </row>
    <row r="11704" spans="1:7" x14ac:dyDescent="0.35">
      <c r="A11704">
        <v>4651</v>
      </c>
      <c r="B11704" s="1">
        <v>45875</v>
      </c>
      <c r="C11704" t="s">
        <v>24</v>
      </c>
      <c r="D11704" s="2">
        <v>0</v>
      </c>
      <c r="E11704" s="2">
        <v>1798.92</v>
      </c>
      <c r="F11704" t="s">
        <v>13</v>
      </c>
      <c r="G11704" t="s">
        <v>9</v>
      </c>
    </row>
    <row r="11705" spans="1:7" x14ac:dyDescent="0.35">
      <c r="A11705">
        <v>4652</v>
      </c>
      <c r="B11705" s="1">
        <v>45875</v>
      </c>
      <c r="C11705" t="s">
        <v>24</v>
      </c>
      <c r="D11705" s="2">
        <v>1209.47</v>
      </c>
      <c r="E11705" s="2">
        <v>0</v>
      </c>
      <c r="F11705" t="s">
        <v>8</v>
      </c>
      <c r="G11705" t="s">
        <v>9</v>
      </c>
    </row>
    <row r="11706" spans="1:7" x14ac:dyDescent="0.35">
      <c r="A11706">
        <v>4652</v>
      </c>
      <c r="B11706" s="1">
        <v>45875</v>
      </c>
      <c r="C11706" t="s">
        <v>24</v>
      </c>
      <c r="D11706" s="2">
        <v>0</v>
      </c>
      <c r="E11706" s="2">
        <v>1209.47</v>
      </c>
      <c r="F11706" t="s">
        <v>13</v>
      </c>
      <c r="G11706" t="s">
        <v>9</v>
      </c>
    </row>
    <row r="11707" spans="1:7" x14ac:dyDescent="0.35">
      <c r="A11707">
        <v>4653</v>
      </c>
      <c r="B11707" s="1">
        <v>45875</v>
      </c>
      <c r="C11707" t="s">
        <v>24</v>
      </c>
      <c r="D11707" s="2">
        <v>1190.6500000000001</v>
      </c>
      <c r="E11707" s="2">
        <v>0</v>
      </c>
      <c r="F11707" t="s">
        <v>8</v>
      </c>
      <c r="G11707" t="s">
        <v>9</v>
      </c>
    </row>
    <row r="11708" spans="1:7" x14ac:dyDescent="0.35">
      <c r="A11708">
        <v>4653</v>
      </c>
      <c r="B11708" s="1">
        <v>45875</v>
      </c>
      <c r="C11708" t="s">
        <v>24</v>
      </c>
      <c r="D11708" s="2">
        <v>0</v>
      </c>
      <c r="E11708" s="2">
        <v>1190.6500000000001</v>
      </c>
      <c r="F11708" t="s">
        <v>13</v>
      </c>
      <c r="G11708" t="s">
        <v>9</v>
      </c>
    </row>
    <row r="11709" spans="1:7" x14ac:dyDescent="0.35">
      <c r="A11709">
        <v>4654</v>
      </c>
      <c r="B11709" s="1">
        <v>45875</v>
      </c>
      <c r="C11709" t="s">
        <v>24</v>
      </c>
      <c r="D11709" s="2">
        <v>3972.44</v>
      </c>
      <c r="E11709" s="2">
        <v>0</v>
      </c>
      <c r="F11709" t="s">
        <v>8</v>
      </c>
      <c r="G11709" t="s">
        <v>9</v>
      </c>
    </row>
    <row r="11710" spans="1:7" x14ac:dyDescent="0.35">
      <c r="A11710">
        <v>4654</v>
      </c>
      <c r="B11710" s="1">
        <v>45875</v>
      </c>
      <c r="C11710" t="s">
        <v>24</v>
      </c>
      <c r="D11710" s="2">
        <v>0</v>
      </c>
      <c r="E11710" s="2">
        <v>3972.44</v>
      </c>
      <c r="F11710" t="s">
        <v>13</v>
      </c>
      <c r="G11710" t="s">
        <v>9</v>
      </c>
    </row>
    <row r="11711" spans="1:7" x14ac:dyDescent="0.35">
      <c r="A11711">
        <v>4655</v>
      </c>
      <c r="B11711" s="1">
        <v>45875</v>
      </c>
      <c r="C11711" t="s">
        <v>24</v>
      </c>
      <c r="D11711" s="2">
        <v>2904.87</v>
      </c>
      <c r="E11711" s="2">
        <v>0</v>
      </c>
      <c r="F11711" t="s">
        <v>8</v>
      </c>
      <c r="G11711" t="s">
        <v>9</v>
      </c>
    </row>
    <row r="11712" spans="1:7" x14ac:dyDescent="0.35">
      <c r="A11712">
        <v>4655</v>
      </c>
      <c r="B11712" s="1">
        <v>45875</v>
      </c>
      <c r="C11712" t="s">
        <v>24</v>
      </c>
      <c r="D11712" s="2">
        <v>0</v>
      </c>
      <c r="E11712" s="2">
        <v>2904.87</v>
      </c>
      <c r="F11712" t="s">
        <v>13</v>
      </c>
      <c r="G11712" t="s">
        <v>9</v>
      </c>
    </row>
    <row r="11713" spans="1:7" x14ac:dyDescent="0.35">
      <c r="A11713">
        <v>4656</v>
      </c>
      <c r="B11713" s="1">
        <v>45875</v>
      </c>
      <c r="C11713" t="s">
        <v>24</v>
      </c>
      <c r="D11713" s="2">
        <v>1663.57</v>
      </c>
      <c r="E11713" s="2">
        <v>0</v>
      </c>
      <c r="F11713" t="s">
        <v>8</v>
      </c>
      <c r="G11713" t="s">
        <v>9</v>
      </c>
    </row>
    <row r="11714" spans="1:7" x14ac:dyDescent="0.35">
      <c r="A11714">
        <v>4656</v>
      </c>
      <c r="B11714" s="1">
        <v>45875</v>
      </c>
      <c r="C11714" t="s">
        <v>24</v>
      </c>
      <c r="D11714" s="2">
        <v>0</v>
      </c>
      <c r="E11714" s="2">
        <v>1663.57</v>
      </c>
      <c r="F11714" t="s">
        <v>13</v>
      </c>
      <c r="G11714" t="s">
        <v>9</v>
      </c>
    </row>
    <row r="11715" spans="1:7" x14ac:dyDescent="0.35">
      <c r="A11715">
        <v>4657</v>
      </c>
      <c r="B11715" s="1">
        <v>45875</v>
      </c>
      <c r="C11715" t="s">
        <v>29</v>
      </c>
      <c r="D11715" s="2">
        <v>2093.2800000000002</v>
      </c>
      <c r="E11715" s="2">
        <v>0</v>
      </c>
      <c r="F11715" t="s">
        <v>28</v>
      </c>
      <c r="G11715" t="s">
        <v>17</v>
      </c>
    </row>
    <row r="11716" spans="1:7" x14ac:dyDescent="0.35">
      <c r="A11716">
        <v>4657</v>
      </c>
      <c r="B11716" s="1">
        <v>45875</v>
      </c>
      <c r="C11716" t="s">
        <v>29</v>
      </c>
      <c r="D11716" s="2">
        <v>0</v>
      </c>
      <c r="E11716" s="2">
        <v>2093.2800000000002</v>
      </c>
      <c r="F11716" t="s">
        <v>8</v>
      </c>
      <c r="G11716" t="s">
        <v>9</v>
      </c>
    </row>
    <row r="11717" spans="1:7" x14ac:dyDescent="0.35">
      <c r="A11717">
        <v>4658</v>
      </c>
      <c r="B11717" s="1">
        <v>45875</v>
      </c>
      <c r="C11717" t="s">
        <v>29</v>
      </c>
      <c r="D11717" s="2">
        <v>550.4</v>
      </c>
      <c r="E11717" s="2">
        <v>0</v>
      </c>
      <c r="F11717" t="s">
        <v>28</v>
      </c>
      <c r="G11717" t="s">
        <v>17</v>
      </c>
    </row>
    <row r="11718" spans="1:7" x14ac:dyDescent="0.35">
      <c r="A11718">
        <v>4658</v>
      </c>
      <c r="B11718" s="1">
        <v>45875</v>
      </c>
      <c r="C11718" t="s">
        <v>29</v>
      </c>
      <c r="D11718" s="2">
        <v>0</v>
      </c>
      <c r="E11718" s="2">
        <v>550.4</v>
      </c>
      <c r="F11718" t="s">
        <v>8</v>
      </c>
      <c r="G11718" t="s">
        <v>9</v>
      </c>
    </row>
    <row r="11719" spans="1:7" x14ac:dyDescent="0.35">
      <c r="A11719">
        <v>4659</v>
      </c>
      <c r="B11719" s="1">
        <v>45876</v>
      </c>
      <c r="C11719" t="s">
        <v>12</v>
      </c>
      <c r="D11719" s="2">
        <v>3744.48</v>
      </c>
      <c r="E11719" s="2">
        <v>0</v>
      </c>
      <c r="F11719" t="s">
        <v>13</v>
      </c>
      <c r="G11719" t="s">
        <v>9</v>
      </c>
    </row>
    <row r="11720" spans="1:7" x14ac:dyDescent="0.35">
      <c r="A11720">
        <v>4659</v>
      </c>
      <c r="B11720" s="1">
        <v>45876</v>
      </c>
      <c r="C11720" t="s">
        <v>12</v>
      </c>
      <c r="D11720" s="2">
        <v>0</v>
      </c>
      <c r="E11720" s="2">
        <v>3483.23</v>
      </c>
      <c r="F11720" t="s">
        <v>14</v>
      </c>
      <c r="G11720" t="s">
        <v>15</v>
      </c>
    </row>
    <row r="11721" spans="1:7" x14ac:dyDescent="0.35">
      <c r="A11721">
        <v>4659</v>
      </c>
      <c r="B11721" s="1">
        <v>45876</v>
      </c>
      <c r="C11721" t="s">
        <v>12</v>
      </c>
      <c r="D11721" s="2">
        <v>0</v>
      </c>
      <c r="E11721" s="2">
        <v>261.25</v>
      </c>
      <c r="F11721" t="s">
        <v>16</v>
      </c>
      <c r="G11721" t="s">
        <v>17</v>
      </c>
    </row>
    <row r="11722" spans="1:7" x14ac:dyDescent="0.35">
      <c r="A11722">
        <v>4660</v>
      </c>
      <c r="B11722" s="1">
        <v>45876</v>
      </c>
      <c r="C11722" t="s">
        <v>12</v>
      </c>
      <c r="D11722" s="2">
        <v>507.11</v>
      </c>
      <c r="E11722" s="2">
        <v>0</v>
      </c>
      <c r="F11722" t="s">
        <v>13</v>
      </c>
      <c r="G11722" t="s">
        <v>9</v>
      </c>
    </row>
    <row r="11723" spans="1:7" x14ac:dyDescent="0.35">
      <c r="A11723">
        <v>4660</v>
      </c>
      <c r="B11723" s="1">
        <v>45876</v>
      </c>
      <c r="C11723" t="s">
        <v>12</v>
      </c>
      <c r="D11723" s="2">
        <v>0</v>
      </c>
      <c r="E11723" s="2">
        <v>471.73</v>
      </c>
      <c r="F11723" t="s">
        <v>14</v>
      </c>
      <c r="G11723" t="s">
        <v>15</v>
      </c>
    </row>
    <row r="11724" spans="1:7" x14ac:dyDescent="0.35">
      <c r="A11724">
        <v>4660</v>
      </c>
      <c r="B11724" s="1">
        <v>45876</v>
      </c>
      <c r="C11724" t="s">
        <v>12</v>
      </c>
      <c r="D11724" s="2">
        <v>0</v>
      </c>
      <c r="E11724" s="2">
        <v>35.380000000000003</v>
      </c>
      <c r="F11724" t="s">
        <v>16</v>
      </c>
      <c r="G11724" t="s">
        <v>17</v>
      </c>
    </row>
    <row r="11725" spans="1:7" x14ac:dyDescent="0.35">
      <c r="A11725">
        <v>4661</v>
      </c>
      <c r="B11725" s="1">
        <v>45876</v>
      </c>
      <c r="C11725" t="s">
        <v>12</v>
      </c>
      <c r="D11725" s="2">
        <v>1981.72</v>
      </c>
      <c r="E11725" s="2">
        <v>0</v>
      </c>
      <c r="F11725" t="s">
        <v>13</v>
      </c>
      <c r="G11725" t="s">
        <v>9</v>
      </c>
    </row>
    <row r="11726" spans="1:7" x14ac:dyDescent="0.35">
      <c r="A11726">
        <v>4661</v>
      </c>
      <c r="B11726" s="1">
        <v>45876</v>
      </c>
      <c r="C11726" t="s">
        <v>12</v>
      </c>
      <c r="D11726" s="2">
        <v>0</v>
      </c>
      <c r="E11726" s="2">
        <v>1843.46</v>
      </c>
      <c r="F11726" t="s">
        <v>14</v>
      </c>
      <c r="G11726" t="s">
        <v>15</v>
      </c>
    </row>
    <row r="11727" spans="1:7" x14ac:dyDescent="0.35">
      <c r="A11727">
        <v>4661</v>
      </c>
      <c r="B11727" s="1">
        <v>45876</v>
      </c>
      <c r="C11727" t="s">
        <v>12</v>
      </c>
      <c r="D11727" s="2">
        <v>0</v>
      </c>
      <c r="E11727" s="2">
        <v>138.26</v>
      </c>
      <c r="F11727" t="s">
        <v>16</v>
      </c>
      <c r="G11727" t="s">
        <v>17</v>
      </c>
    </row>
    <row r="11728" spans="1:7" x14ac:dyDescent="0.35">
      <c r="A11728">
        <v>4662</v>
      </c>
      <c r="B11728" s="1">
        <v>45876</v>
      </c>
      <c r="C11728" t="s">
        <v>12</v>
      </c>
      <c r="D11728" s="2">
        <v>2298.5300000000002</v>
      </c>
      <c r="E11728" s="2">
        <v>0</v>
      </c>
      <c r="F11728" t="s">
        <v>13</v>
      </c>
      <c r="G11728" t="s">
        <v>9</v>
      </c>
    </row>
    <row r="11729" spans="1:7" x14ac:dyDescent="0.35">
      <c r="A11729">
        <v>4662</v>
      </c>
      <c r="B11729" s="1">
        <v>45876</v>
      </c>
      <c r="C11729" t="s">
        <v>12</v>
      </c>
      <c r="D11729" s="2">
        <v>0</v>
      </c>
      <c r="E11729" s="2">
        <v>2138.17</v>
      </c>
      <c r="F11729" t="s">
        <v>14</v>
      </c>
      <c r="G11729" t="s">
        <v>15</v>
      </c>
    </row>
    <row r="11730" spans="1:7" x14ac:dyDescent="0.35">
      <c r="A11730">
        <v>4662</v>
      </c>
      <c r="B11730" s="1">
        <v>45876</v>
      </c>
      <c r="C11730" t="s">
        <v>12</v>
      </c>
      <c r="D11730" s="2">
        <v>0</v>
      </c>
      <c r="E11730" s="2">
        <v>160.36000000000001</v>
      </c>
      <c r="F11730" t="s">
        <v>16</v>
      </c>
      <c r="G11730" t="s">
        <v>17</v>
      </c>
    </row>
    <row r="11731" spans="1:7" x14ac:dyDescent="0.35">
      <c r="A11731">
        <v>4663</v>
      </c>
      <c r="B11731" s="1">
        <v>45876</v>
      </c>
      <c r="C11731" t="s">
        <v>12</v>
      </c>
      <c r="D11731" s="2">
        <v>92.77</v>
      </c>
      <c r="E11731" s="2">
        <v>0</v>
      </c>
      <c r="F11731" t="s">
        <v>13</v>
      </c>
      <c r="G11731" t="s">
        <v>9</v>
      </c>
    </row>
    <row r="11732" spans="1:7" x14ac:dyDescent="0.35">
      <c r="A11732">
        <v>4663</v>
      </c>
      <c r="B11732" s="1">
        <v>45876</v>
      </c>
      <c r="C11732" t="s">
        <v>12</v>
      </c>
      <c r="D11732" s="2">
        <v>0</v>
      </c>
      <c r="E11732" s="2">
        <v>86.3</v>
      </c>
      <c r="F11732" t="s">
        <v>14</v>
      </c>
      <c r="G11732" t="s">
        <v>15</v>
      </c>
    </row>
    <row r="11733" spans="1:7" x14ac:dyDescent="0.35">
      <c r="A11733">
        <v>4663</v>
      </c>
      <c r="B11733" s="1">
        <v>45876</v>
      </c>
      <c r="C11733" t="s">
        <v>12</v>
      </c>
      <c r="D11733" s="2">
        <v>0</v>
      </c>
      <c r="E11733" s="2">
        <v>6.47</v>
      </c>
      <c r="F11733" t="s">
        <v>16</v>
      </c>
      <c r="G11733" t="s">
        <v>17</v>
      </c>
    </row>
    <row r="11734" spans="1:7" x14ac:dyDescent="0.35">
      <c r="A11734">
        <v>4664</v>
      </c>
      <c r="B11734" s="1">
        <v>45876</v>
      </c>
      <c r="C11734" t="s">
        <v>24</v>
      </c>
      <c r="D11734" s="2">
        <v>452.96</v>
      </c>
      <c r="E11734" s="2">
        <v>0</v>
      </c>
      <c r="F11734" t="s">
        <v>8</v>
      </c>
      <c r="G11734" t="s">
        <v>9</v>
      </c>
    </row>
    <row r="11735" spans="1:7" x14ac:dyDescent="0.35">
      <c r="A11735">
        <v>4664</v>
      </c>
      <c r="B11735" s="1">
        <v>45876</v>
      </c>
      <c r="C11735" t="s">
        <v>24</v>
      </c>
      <c r="D11735" s="2">
        <v>0</v>
      </c>
      <c r="E11735" s="2">
        <v>452.96</v>
      </c>
      <c r="F11735" t="s">
        <v>13</v>
      </c>
      <c r="G11735" t="s">
        <v>9</v>
      </c>
    </row>
    <row r="11736" spans="1:7" x14ac:dyDescent="0.35">
      <c r="A11736">
        <v>4665</v>
      </c>
      <c r="B11736" s="1">
        <v>45876</v>
      </c>
      <c r="C11736" t="s">
        <v>24</v>
      </c>
      <c r="D11736" s="2">
        <v>1936.35</v>
      </c>
      <c r="E11736" s="2">
        <v>0</v>
      </c>
      <c r="F11736" t="s">
        <v>8</v>
      </c>
      <c r="G11736" t="s">
        <v>9</v>
      </c>
    </row>
    <row r="11737" spans="1:7" x14ac:dyDescent="0.35">
      <c r="A11737">
        <v>4665</v>
      </c>
      <c r="B11737" s="1">
        <v>45876</v>
      </c>
      <c r="C11737" t="s">
        <v>24</v>
      </c>
      <c r="D11737" s="2">
        <v>0</v>
      </c>
      <c r="E11737" s="2">
        <v>1936.35</v>
      </c>
      <c r="F11737" t="s">
        <v>13</v>
      </c>
      <c r="G11737" t="s">
        <v>9</v>
      </c>
    </row>
    <row r="11738" spans="1:7" x14ac:dyDescent="0.35">
      <c r="A11738">
        <v>4666</v>
      </c>
      <c r="B11738" s="1">
        <v>45876</v>
      </c>
      <c r="C11738" t="s">
        <v>24</v>
      </c>
      <c r="D11738" s="2">
        <v>961.82</v>
      </c>
      <c r="E11738" s="2">
        <v>0</v>
      </c>
      <c r="F11738" t="s">
        <v>8</v>
      </c>
      <c r="G11738" t="s">
        <v>9</v>
      </c>
    </row>
    <row r="11739" spans="1:7" x14ac:dyDescent="0.35">
      <c r="A11739">
        <v>4666</v>
      </c>
      <c r="B11739" s="1">
        <v>45876</v>
      </c>
      <c r="C11739" t="s">
        <v>24</v>
      </c>
      <c r="D11739" s="2">
        <v>0</v>
      </c>
      <c r="E11739" s="2">
        <v>961.82</v>
      </c>
      <c r="F11739" t="s">
        <v>13</v>
      </c>
      <c r="G11739" t="s">
        <v>9</v>
      </c>
    </row>
    <row r="11740" spans="1:7" x14ac:dyDescent="0.35">
      <c r="A11740">
        <v>4667</v>
      </c>
      <c r="B11740" s="1">
        <v>45876</v>
      </c>
      <c r="C11740" t="s">
        <v>24</v>
      </c>
      <c r="D11740" s="2">
        <v>707.14</v>
      </c>
      <c r="E11740" s="2">
        <v>0</v>
      </c>
      <c r="F11740" t="s">
        <v>8</v>
      </c>
      <c r="G11740" t="s">
        <v>9</v>
      </c>
    </row>
    <row r="11741" spans="1:7" x14ac:dyDescent="0.35">
      <c r="A11741">
        <v>4667</v>
      </c>
      <c r="B11741" s="1">
        <v>45876</v>
      </c>
      <c r="C11741" t="s">
        <v>24</v>
      </c>
      <c r="D11741" s="2">
        <v>0</v>
      </c>
      <c r="E11741" s="2">
        <v>707.14</v>
      </c>
      <c r="F11741" t="s">
        <v>13</v>
      </c>
      <c r="G11741" t="s">
        <v>9</v>
      </c>
    </row>
    <row r="11742" spans="1:7" x14ac:dyDescent="0.35">
      <c r="A11742">
        <v>4668</v>
      </c>
      <c r="B11742" s="1">
        <v>45876</v>
      </c>
      <c r="C11742" t="s">
        <v>24</v>
      </c>
      <c r="D11742" s="2">
        <v>507.11</v>
      </c>
      <c r="E11742" s="2">
        <v>0</v>
      </c>
      <c r="F11742" t="s">
        <v>8</v>
      </c>
      <c r="G11742" t="s">
        <v>9</v>
      </c>
    </row>
    <row r="11743" spans="1:7" x14ac:dyDescent="0.35">
      <c r="A11743">
        <v>4668</v>
      </c>
      <c r="B11743" s="1">
        <v>45876</v>
      </c>
      <c r="C11743" t="s">
        <v>24</v>
      </c>
      <c r="D11743" s="2">
        <v>0</v>
      </c>
      <c r="E11743" s="2">
        <v>507.11</v>
      </c>
      <c r="F11743" t="s">
        <v>13</v>
      </c>
      <c r="G11743" t="s">
        <v>9</v>
      </c>
    </row>
    <row r="11744" spans="1:7" x14ac:dyDescent="0.35">
      <c r="A11744">
        <v>4669</v>
      </c>
      <c r="B11744" s="1">
        <v>45876</v>
      </c>
      <c r="C11744" t="s">
        <v>25</v>
      </c>
      <c r="D11744" s="2">
        <v>1947.24</v>
      </c>
      <c r="E11744" s="2">
        <v>0</v>
      </c>
      <c r="F11744" t="s">
        <v>26</v>
      </c>
      <c r="G11744" t="s">
        <v>20</v>
      </c>
    </row>
    <row r="11745" spans="1:7" x14ac:dyDescent="0.35">
      <c r="A11745">
        <v>4669</v>
      </c>
      <c r="B11745" s="1">
        <v>45876</v>
      </c>
      <c r="C11745" t="s">
        <v>25</v>
      </c>
      <c r="D11745" s="2">
        <v>146.04</v>
      </c>
      <c r="E11745" s="2">
        <v>0</v>
      </c>
      <c r="F11745" t="s">
        <v>27</v>
      </c>
      <c r="G11745" t="s">
        <v>9</v>
      </c>
    </row>
    <row r="11746" spans="1:7" x14ac:dyDescent="0.35">
      <c r="A11746">
        <v>4669</v>
      </c>
      <c r="B11746" s="1">
        <v>45876</v>
      </c>
      <c r="C11746" t="s">
        <v>25</v>
      </c>
      <c r="D11746" s="2">
        <v>0</v>
      </c>
      <c r="E11746" s="2">
        <v>2093.2800000000002</v>
      </c>
      <c r="F11746" t="s">
        <v>28</v>
      </c>
      <c r="G11746" t="s">
        <v>17</v>
      </c>
    </row>
    <row r="11747" spans="1:7" x14ac:dyDescent="0.35">
      <c r="A11747">
        <v>4670</v>
      </c>
      <c r="B11747" s="1">
        <v>45876</v>
      </c>
      <c r="C11747" t="s">
        <v>29</v>
      </c>
      <c r="D11747" s="2">
        <v>7227.44</v>
      </c>
      <c r="E11747" s="2">
        <v>0</v>
      </c>
      <c r="F11747" t="s">
        <v>28</v>
      </c>
      <c r="G11747" t="s">
        <v>17</v>
      </c>
    </row>
    <row r="11748" spans="1:7" x14ac:dyDescent="0.35">
      <c r="A11748">
        <v>4670</v>
      </c>
      <c r="B11748" s="1">
        <v>45876</v>
      </c>
      <c r="C11748" t="s">
        <v>29</v>
      </c>
      <c r="D11748" s="2">
        <v>0</v>
      </c>
      <c r="E11748" s="2">
        <v>7227.44</v>
      </c>
      <c r="F11748" t="s">
        <v>8</v>
      </c>
      <c r="G11748" t="s">
        <v>9</v>
      </c>
    </row>
    <row r="11749" spans="1:7" x14ac:dyDescent="0.35">
      <c r="A11749">
        <v>4671</v>
      </c>
      <c r="B11749" s="1">
        <v>45877</v>
      </c>
      <c r="C11749" t="s">
        <v>12</v>
      </c>
      <c r="D11749" s="2">
        <v>597.57000000000005</v>
      </c>
      <c r="E11749" s="2">
        <v>0</v>
      </c>
      <c r="F11749" t="s">
        <v>13</v>
      </c>
      <c r="G11749" t="s">
        <v>9</v>
      </c>
    </row>
    <row r="11750" spans="1:7" x14ac:dyDescent="0.35">
      <c r="A11750">
        <v>4671</v>
      </c>
      <c r="B11750" s="1">
        <v>45877</v>
      </c>
      <c r="C11750" t="s">
        <v>12</v>
      </c>
      <c r="D11750" s="2">
        <v>0</v>
      </c>
      <c r="E11750" s="2">
        <v>555.88</v>
      </c>
      <c r="F11750" t="s">
        <v>14</v>
      </c>
      <c r="G11750" t="s">
        <v>15</v>
      </c>
    </row>
    <row r="11751" spans="1:7" x14ac:dyDescent="0.35">
      <c r="A11751">
        <v>4671</v>
      </c>
      <c r="B11751" s="1">
        <v>45877</v>
      </c>
      <c r="C11751" t="s">
        <v>12</v>
      </c>
      <c r="D11751" s="2">
        <v>0</v>
      </c>
      <c r="E11751" s="2">
        <v>41.69</v>
      </c>
      <c r="F11751" t="s">
        <v>16</v>
      </c>
      <c r="G11751" t="s">
        <v>17</v>
      </c>
    </row>
    <row r="11752" spans="1:7" x14ac:dyDescent="0.35">
      <c r="A11752">
        <v>4672</v>
      </c>
      <c r="B11752" s="1">
        <v>45877</v>
      </c>
      <c r="C11752" t="s">
        <v>12</v>
      </c>
      <c r="D11752" s="2">
        <v>137.72</v>
      </c>
      <c r="E11752" s="2">
        <v>0</v>
      </c>
      <c r="F11752" t="s">
        <v>13</v>
      </c>
      <c r="G11752" t="s">
        <v>9</v>
      </c>
    </row>
    <row r="11753" spans="1:7" x14ac:dyDescent="0.35">
      <c r="A11753">
        <v>4672</v>
      </c>
      <c r="B11753" s="1">
        <v>45877</v>
      </c>
      <c r="C11753" t="s">
        <v>12</v>
      </c>
      <c r="D11753" s="2">
        <v>0</v>
      </c>
      <c r="E11753" s="2">
        <v>128.11000000000001</v>
      </c>
      <c r="F11753" t="s">
        <v>14</v>
      </c>
      <c r="G11753" t="s">
        <v>15</v>
      </c>
    </row>
    <row r="11754" spans="1:7" x14ac:dyDescent="0.35">
      <c r="A11754">
        <v>4672</v>
      </c>
      <c r="B11754" s="1">
        <v>45877</v>
      </c>
      <c r="C11754" t="s">
        <v>12</v>
      </c>
      <c r="D11754" s="2">
        <v>0</v>
      </c>
      <c r="E11754" s="2">
        <v>9.61</v>
      </c>
      <c r="F11754" t="s">
        <v>16</v>
      </c>
      <c r="G11754" t="s">
        <v>17</v>
      </c>
    </row>
    <row r="11755" spans="1:7" x14ac:dyDescent="0.35">
      <c r="A11755">
        <v>4673</v>
      </c>
      <c r="B11755" s="1">
        <v>45877</v>
      </c>
      <c r="C11755" t="s">
        <v>12</v>
      </c>
      <c r="D11755" s="2">
        <v>370.65</v>
      </c>
      <c r="E11755" s="2">
        <v>0</v>
      </c>
      <c r="F11755" t="s">
        <v>13</v>
      </c>
      <c r="G11755" t="s">
        <v>9</v>
      </c>
    </row>
    <row r="11756" spans="1:7" x14ac:dyDescent="0.35">
      <c r="A11756">
        <v>4673</v>
      </c>
      <c r="B11756" s="1">
        <v>45877</v>
      </c>
      <c r="C11756" t="s">
        <v>12</v>
      </c>
      <c r="D11756" s="2">
        <v>0</v>
      </c>
      <c r="E11756" s="2">
        <v>344.79</v>
      </c>
      <c r="F11756" t="s">
        <v>14</v>
      </c>
      <c r="G11756" t="s">
        <v>15</v>
      </c>
    </row>
    <row r="11757" spans="1:7" x14ac:dyDescent="0.35">
      <c r="A11757">
        <v>4673</v>
      </c>
      <c r="B11757" s="1">
        <v>45877</v>
      </c>
      <c r="C11757" t="s">
        <v>12</v>
      </c>
      <c r="D11757" s="2">
        <v>0</v>
      </c>
      <c r="E11757" s="2">
        <v>25.86</v>
      </c>
      <c r="F11757" t="s">
        <v>16</v>
      </c>
      <c r="G11757" t="s">
        <v>17</v>
      </c>
    </row>
    <row r="11758" spans="1:7" x14ac:dyDescent="0.35">
      <c r="A11758">
        <v>4674</v>
      </c>
      <c r="B11758" s="1">
        <v>45877</v>
      </c>
      <c r="C11758" t="s">
        <v>24</v>
      </c>
      <c r="D11758" s="2">
        <v>8.82</v>
      </c>
      <c r="E11758" s="2">
        <v>0</v>
      </c>
      <c r="F11758" t="s">
        <v>8</v>
      </c>
      <c r="G11758" t="s">
        <v>9</v>
      </c>
    </row>
    <row r="11759" spans="1:7" x14ac:dyDescent="0.35">
      <c r="A11759">
        <v>4674</v>
      </c>
      <c r="B11759" s="1">
        <v>45877</v>
      </c>
      <c r="C11759" t="s">
        <v>24</v>
      </c>
      <c r="D11759" s="2">
        <v>0</v>
      </c>
      <c r="E11759" s="2">
        <v>8.82</v>
      </c>
      <c r="F11759" t="s">
        <v>13</v>
      </c>
      <c r="G11759" t="s">
        <v>9</v>
      </c>
    </row>
    <row r="11760" spans="1:7" x14ac:dyDescent="0.35">
      <c r="A11760">
        <v>4675</v>
      </c>
      <c r="B11760" s="1">
        <v>45877</v>
      </c>
      <c r="C11760" t="s">
        <v>24</v>
      </c>
      <c r="D11760" s="2">
        <v>205.92</v>
      </c>
      <c r="E11760" s="2">
        <v>0</v>
      </c>
      <c r="F11760" t="s">
        <v>8</v>
      </c>
      <c r="G11760" t="s">
        <v>9</v>
      </c>
    </row>
    <row r="11761" spans="1:7" x14ac:dyDescent="0.35">
      <c r="A11761">
        <v>4675</v>
      </c>
      <c r="B11761" s="1">
        <v>45877</v>
      </c>
      <c r="C11761" t="s">
        <v>24</v>
      </c>
      <c r="D11761" s="2">
        <v>0</v>
      </c>
      <c r="E11761" s="2">
        <v>205.92</v>
      </c>
      <c r="F11761" t="s">
        <v>13</v>
      </c>
      <c r="G11761" t="s">
        <v>9</v>
      </c>
    </row>
    <row r="11762" spans="1:7" x14ac:dyDescent="0.35">
      <c r="A11762">
        <v>4676</v>
      </c>
      <c r="B11762" s="1">
        <v>45877</v>
      </c>
      <c r="C11762" t="s">
        <v>24</v>
      </c>
      <c r="D11762" s="2">
        <v>2221.1</v>
      </c>
      <c r="E11762" s="2">
        <v>0</v>
      </c>
      <c r="F11762" t="s">
        <v>8</v>
      </c>
      <c r="G11762" t="s">
        <v>9</v>
      </c>
    </row>
    <row r="11763" spans="1:7" x14ac:dyDescent="0.35">
      <c r="A11763">
        <v>4676</v>
      </c>
      <c r="B11763" s="1">
        <v>45877</v>
      </c>
      <c r="C11763" t="s">
        <v>24</v>
      </c>
      <c r="D11763" s="2">
        <v>0</v>
      </c>
      <c r="E11763" s="2">
        <v>2221.1</v>
      </c>
      <c r="F11763" t="s">
        <v>13</v>
      </c>
      <c r="G11763" t="s">
        <v>9</v>
      </c>
    </row>
    <row r="11764" spans="1:7" x14ac:dyDescent="0.35">
      <c r="A11764">
        <v>4677</v>
      </c>
      <c r="B11764" s="1">
        <v>45877</v>
      </c>
      <c r="C11764" t="s">
        <v>24</v>
      </c>
      <c r="D11764" s="2">
        <v>2210.08</v>
      </c>
      <c r="E11764" s="2">
        <v>0</v>
      </c>
      <c r="F11764" t="s">
        <v>8</v>
      </c>
      <c r="G11764" t="s">
        <v>9</v>
      </c>
    </row>
    <row r="11765" spans="1:7" x14ac:dyDescent="0.35">
      <c r="A11765">
        <v>4677</v>
      </c>
      <c r="B11765" s="1">
        <v>45877</v>
      </c>
      <c r="C11765" t="s">
        <v>24</v>
      </c>
      <c r="D11765" s="2">
        <v>0</v>
      </c>
      <c r="E11765" s="2">
        <v>2210.08</v>
      </c>
      <c r="F11765" t="s">
        <v>13</v>
      </c>
      <c r="G11765" t="s">
        <v>9</v>
      </c>
    </row>
    <row r="11766" spans="1:7" x14ac:dyDescent="0.35">
      <c r="A11766">
        <v>4678</v>
      </c>
      <c r="B11766" s="1">
        <v>45877</v>
      </c>
      <c r="C11766" t="s">
        <v>24</v>
      </c>
      <c r="D11766" s="2">
        <v>2832.79</v>
      </c>
      <c r="E11766" s="2">
        <v>0</v>
      </c>
      <c r="F11766" t="s">
        <v>8</v>
      </c>
      <c r="G11766" t="s">
        <v>9</v>
      </c>
    </row>
    <row r="11767" spans="1:7" x14ac:dyDescent="0.35">
      <c r="A11767">
        <v>4678</v>
      </c>
      <c r="B11767" s="1">
        <v>45877</v>
      </c>
      <c r="C11767" t="s">
        <v>24</v>
      </c>
      <c r="D11767" s="2">
        <v>0</v>
      </c>
      <c r="E11767" s="2">
        <v>2832.79</v>
      </c>
      <c r="F11767" t="s">
        <v>13</v>
      </c>
      <c r="G11767" t="s">
        <v>9</v>
      </c>
    </row>
    <row r="11768" spans="1:7" x14ac:dyDescent="0.35">
      <c r="A11768">
        <v>4679</v>
      </c>
      <c r="B11768" s="1">
        <v>45877</v>
      </c>
      <c r="C11768" t="s">
        <v>24</v>
      </c>
      <c r="D11768" s="2">
        <v>1728.35</v>
      </c>
      <c r="E11768" s="2">
        <v>0</v>
      </c>
      <c r="F11768" t="s">
        <v>8</v>
      </c>
      <c r="G11768" t="s">
        <v>9</v>
      </c>
    </row>
    <row r="11769" spans="1:7" x14ac:dyDescent="0.35">
      <c r="A11769">
        <v>4679</v>
      </c>
      <c r="B11769" s="1">
        <v>45877</v>
      </c>
      <c r="C11769" t="s">
        <v>24</v>
      </c>
      <c r="D11769" s="2">
        <v>0</v>
      </c>
      <c r="E11769" s="2">
        <v>1728.35</v>
      </c>
      <c r="F11769" t="s">
        <v>13</v>
      </c>
      <c r="G11769" t="s">
        <v>9</v>
      </c>
    </row>
    <row r="11770" spans="1:7" x14ac:dyDescent="0.35">
      <c r="A11770">
        <v>4680</v>
      </c>
      <c r="B11770" s="1">
        <v>45877</v>
      </c>
      <c r="C11770" t="s">
        <v>25</v>
      </c>
      <c r="D11770" s="2">
        <v>696.06</v>
      </c>
      <c r="E11770" s="2">
        <v>0</v>
      </c>
      <c r="F11770" t="s">
        <v>26</v>
      </c>
      <c r="G11770" t="s">
        <v>20</v>
      </c>
    </row>
    <row r="11771" spans="1:7" x14ac:dyDescent="0.35">
      <c r="A11771">
        <v>4680</v>
      </c>
      <c r="B11771" s="1">
        <v>45877</v>
      </c>
      <c r="C11771" t="s">
        <v>25</v>
      </c>
      <c r="D11771" s="2">
        <v>52.2</v>
      </c>
      <c r="E11771" s="2">
        <v>0</v>
      </c>
      <c r="F11771" t="s">
        <v>27</v>
      </c>
      <c r="G11771" t="s">
        <v>9</v>
      </c>
    </row>
    <row r="11772" spans="1:7" x14ac:dyDescent="0.35">
      <c r="A11772">
        <v>4680</v>
      </c>
      <c r="B11772" s="1">
        <v>45877</v>
      </c>
      <c r="C11772" t="s">
        <v>25</v>
      </c>
      <c r="D11772" s="2">
        <v>0</v>
      </c>
      <c r="E11772" s="2">
        <v>748.26</v>
      </c>
      <c r="F11772" t="s">
        <v>28</v>
      </c>
      <c r="G11772" t="s">
        <v>17</v>
      </c>
    </row>
    <row r="11773" spans="1:7" x14ac:dyDescent="0.35">
      <c r="A11773">
        <v>4681</v>
      </c>
      <c r="B11773" s="1">
        <v>45877</v>
      </c>
      <c r="C11773" t="s">
        <v>25</v>
      </c>
      <c r="D11773" s="2">
        <v>257.04000000000002</v>
      </c>
      <c r="E11773" s="2">
        <v>0</v>
      </c>
      <c r="F11773" t="s">
        <v>26</v>
      </c>
      <c r="G11773" t="s">
        <v>20</v>
      </c>
    </row>
    <row r="11774" spans="1:7" x14ac:dyDescent="0.35">
      <c r="A11774">
        <v>4681</v>
      </c>
      <c r="B11774" s="1">
        <v>45877</v>
      </c>
      <c r="C11774" t="s">
        <v>25</v>
      </c>
      <c r="D11774" s="2">
        <v>19.28</v>
      </c>
      <c r="E11774" s="2">
        <v>0</v>
      </c>
      <c r="F11774" t="s">
        <v>27</v>
      </c>
      <c r="G11774" t="s">
        <v>9</v>
      </c>
    </row>
    <row r="11775" spans="1:7" x14ac:dyDescent="0.35">
      <c r="A11775">
        <v>4681</v>
      </c>
      <c r="B11775" s="1">
        <v>45877</v>
      </c>
      <c r="C11775" t="s">
        <v>25</v>
      </c>
      <c r="D11775" s="2">
        <v>0</v>
      </c>
      <c r="E11775" s="2">
        <v>276.32</v>
      </c>
      <c r="F11775" t="s">
        <v>28</v>
      </c>
      <c r="G11775" t="s">
        <v>17</v>
      </c>
    </row>
    <row r="11776" spans="1:7" x14ac:dyDescent="0.35">
      <c r="A11776">
        <v>4682</v>
      </c>
      <c r="B11776" s="1">
        <v>45877</v>
      </c>
      <c r="C11776" t="s">
        <v>29</v>
      </c>
      <c r="D11776" s="2">
        <v>1023.42</v>
      </c>
      <c r="E11776" s="2">
        <v>0</v>
      </c>
      <c r="F11776" t="s">
        <v>28</v>
      </c>
      <c r="G11776" t="s">
        <v>17</v>
      </c>
    </row>
    <row r="11777" spans="1:7" x14ac:dyDescent="0.35">
      <c r="A11777">
        <v>4682</v>
      </c>
      <c r="B11777" s="1">
        <v>45877</v>
      </c>
      <c r="C11777" t="s">
        <v>29</v>
      </c>
      <c r="D11777" s="2">
        <v>0</v>
      </c>
      <c r="E11777" s="2">
        <v>1023.42</v>
      </c>
      <c r="F11777" t="s">
        <v>8</v>
      </c>
      <c r="G11777" t="s">
        <v>9</v>
      </c>
    </row>
    <row r="11778" spans="1:7" x14ac:dyDescent="0.35">
      <c r="A11778">
        <v>4683</v>
      </c>
      <c r="B11778" s="1">
        <v>45877</v>
      </c>
      <c r="C11778" t="s">
        <v>29</v>
      </c>
      <c r="D11778" s="2">
        <v>2635.36</v>
      </c>
      <c r="E11778" s="2">
        <v>0</v>
      </c>
      <c r="F11778" t="s">
        <v>28</v>
      </c>
      <c r="G11778" t="s">
        <v>17</v>
      </c>
    </row>
    <row r="11779" spans="1:7" x14ac:dyDescent="0.35">
      <c r="A11779">
        <v>4683</v>
      </c>
      <c r="B11779" s="1">
        <v>45877</v>
      </c>
      <c r="C11779" t="s">
        <v>29</v>
      </c>
      <c r="D11779" s="2">
        <v>0</v>
      </c>
      <c r="E11779" s="2">
        <v>2635.36</v>
      </c>
      <c r="F11779" t="s">
        <v>8</v>
      </c>
      <c r="G11779" t="s">
        <v>9</v>
      </c>
    </row>
    <row r="11780" spans="1:7" x14ac:dyDescent="0.35">
      <c r="A11780">
        <v>4684</v>
      </c>
      <c r="B11780" s="1">
        <v>45880</v>
      </c>
      <c r="C11780" t="s">
        <v>12</v>
      </c>
      <c r="D11780" s="2">
        <v>3007.55</v>
      </c>
      <c r="E11780" s="2">
        <v>0</v>
      </c>
      <c r="F11780" t="s">
        <v>13</v>
      </c>
      <c r="G11780" t="s">
        <v>9</v>
      </c>
    </row>
    <row r="11781" spans="1:7" x14ac:dyDescent="0.35">
      <c r="A11781">
        <v>4684</v>
      </c>
      <c r="B11781" s="1">
        <v>45880</v>
      </c>
      <c r="C11781" t="s">
        <v>12</v>
      </c>
      <c r="D11781" s="2">
        <v>0</v>
      </c>
      <c r="E11781" s="2">
        <v>2797.72</v>
      </c>
      <c r="F11781" t="s">
        <v>14</v>
      </c>
      <c r="G11781" t="s">
        <v>15</v>
      </c>
    </row>
    <row r="11782" spans="1:7" x14ac:dyDescent="0.35">
      <c r="A11782">
        <v>4684</v>
      </c>
      <c r="B11782" s="1">
        <v>45880</v>
      </c>
      <c r="C11782" t="s">
        <v>12</v>
      </c>
      <c r="D11782" s="2">
        <v>0</v>
      </c>
      <c r="E11782" s="2">
        <v>209.83</v>
      </c>
      <c r="F11782" t="s">
        <v>16</v>
      </c>
      <c r="G11782" t="s">
        <v>17</v>
      </c>
    </row>
    <row r="11783" spans="1:7" x14ac:dyDescent="0.35">
      <c r="A11783">
        <v>4685</v>
      </c>
      <c r="B11783" s="1">
        <v>45880</v>
      </c>
      <c r="C11783" t="s">
        <v>12</v>
      </c>
      <c r="D11783" s="2">
        <v>3672.97</v>
      </c>
      <c r="E11783" s="2">
        <v>0</v>
      </c>
      <c r="F11783" t="s">
        <v>13</v>
      </c>
      <c r="G11783" t="s">
        <v>9</v>
      </c>
    </row>
    <row r="11784" spans="1:7" x14ac:dyDescent="0.35">
      <c r="A11784">
        <v>4685</v>
      </c>
      <c r="B11784" s="1">
        <v>45880</v>
      </c>
      <c r="C11784" t="s">
        <v>12</v>
      </c>
      <c r="D11784" s="2">
        <v>0</v>
      </c>
      <c r="E11784" s="2">
        <v>3416.71</v>
      </c>
      <c r="F11784" t="s">
        <v>14</v>
      </c>
      <c r="G11784" t="s">
        <v>15</v>
      </c>
    </row>
    <row r="11785" spans="1:7" x14ac:dyDescent="0.35">
      <c r="A11785">
        <v>4685</v>
      </c>
      <c r="B11785" s="1">
        <v>45880</v>
      </c>
      <c r="C11785" t="s">
        <v>12</v>
      </c>
      <c r="D11785" s="2">
        <v>0</v>
      </c>
      <c r="E11785" s="2">
        <v>256.26</v>
      </c>
      <c r="F11785" t="s">
        <v>16</v>
      </c>
      <c r="G11785" t="s">
        <v>17</v>
      </c>
    </row>
    <row r="11786" spans="1:7" x14ac:dyDescent="0.35">
      <c r="A11786">
        <v>4686</v>
      </c>
      <c r="B11786" s="1">
        <v>45880</v>
      </c>
      <c r="C11786" t="s">
        <v>12</v>
      </c>
      <c r="D11786" s="2">
        <v>2078.06</v>
      </c>
      <c r="E11786" s="2">
        <v>0</v>
      </c>
      <c r="F11786" t="s">
        <v>13</v>
      </c>
      <c r="G11786" t="s">
        <v>9</v>
      </c>
    </row>
    <row r="11787" spans="1:7" x14ac:dyDescent="0.35">
      <c r="A11787">
        <v>4686</v>
      </c>
      <c r="B11787" s="1">
        <v>45880</v>
      </c>
      <c r="C11787" t="s">
        <v>12</v>
      </c>
      <c r="D11787" s="2">
        <v>0</v>
      </c>
      <c r="E11787" s="2">
        <v>1933.08</v>
      </c>
      <c r="F11787" t="s">
        <v>14</v>
      </c>
      <c r="G11787" t="s">
        <v>15</v>
      </c>
    </row>
    <row r="11788" spans="1:7" x14ac:dyDescent="0.35">
      <c r="A11788">
        <v>4686</v>
      </c>
      <c r="B11788" s="1">
        <v>45880</v>
      </c>
      <c r="C11788" t="s">
        <v>12</v>
      </c>
      <c r="D11788" s="2">
        <v>0</v>
      </c>
      <c r="E11788" s="2">
        <v>144.97999999999999</v>
      </c>
      <c r="F11788" t="s">
        <v>16</v>
      </c>
      <c r="G11788" t="s">
        <v>17</v>
      </c>
    </row>
    <row r="11789" spans="1:7" x14ac:dyDescent="0.35">
      <c r="A11789">
        <v>4687</v>
      </c>
      <c r="B11789" s="1">
        <v>45880</v>
      </c>
      <c r="C11789" t="s">
        <v>12</v>
      </c>
      <c r="D11789" s="2">
        <v>216.03</v>
      </c>
      <c r="E11789" s="2">
        <v>0</v>
      </c>
      <c r="F11789" t="s">
        <v>13</v>
      </c>
      <c r="G11789" t="s">
        <v>9</v>
      </c>
    </row>
    <row r="11790" spans="1:7" x14ac:dyDescent="0.35">
      <c r="A11790">
        <v>4687</v>
      </c>
      <c r="B11790" s="1">
        <v>45880</v>
      </c>
      <c r="C11790" t="s">
        <v>12</v>
      </c>
      <c r="D11790" s="2">
        <v>0</v>
      </c>
      <c r="E11790" s="2">
        <v>200.96</v>
      </c>
      <c r="F11790" t="s">
        <v>14</v>
      </c>
      <c r="G11790" t="s">
        <v>15</v>
      </c>
    </row>
    <row r="11791" spans="1:7" x14ac:dyDescent="0.35">
      <c r="A11791">
        <v>4687</v>
      </c>
      <c r="B11791" s="1">
        <v>45880</v>
      </c>
      <c r="C11791" t="s">
        <v>12</v>
      </c>
      <c r="D11791" s="2">
        <v>0</v>
      </c>
      <c r="E11791" s="2">
        <v>15.07</v>
      </c>
      <c r="F11791" t="s">
        <v>16</v>
      </c>
      <c r="G11791" t="s">
        <v>17</v>
      </c>
    </row>
    <row r="11792" spans="1:7" x14ac:dyDescent="0.35">
      <c r="A11792">
        <v>4688</v>
      </c>
      <c r="B11792" s="1">
        <v>45880</v>
      </c>
      <c r="C11792" t="s">
        <v>12</v>
      </c>
      <c r="D11792" s="2">
        <v>3374.4</v>
      </c>
      <c r="E11792" s="2">
        <v>0</v>
      </c>
      <c r="F11792" t="s">
        <v>13</v>
      </c>
      <c r="G11792" t="s">
        <v>9</v>
      </c>
    </row>
    <row r="11793" spans="1:7" x14ac:dyDescent="0.35">
      <c r="A11793">
        <v>4688</v>
      </c>
      <c r="B11793" s="1">
        <v>45880</v>
      </c>
      <c r="C11793" t="s">
        <v>12</v>
      </c>
      <c r="D11793" s="2">
        <v>0</v>
      </c>
      <c r="E11793" s="2">
        <v>3138.98</v>
      </c>
      <c r="F11793" t="s">
        <v>14</v>
      </c>
      <c r="G11793" t="s">
        <v>15</v>
      </c>
    </row>
    <row r="11794" spans="1:7" x14ac:dyDescent="0.35">
      <c r="A11794">
        <v>4688</v>
      </c>
      <c r="B11794" s="1">
        <v>45880</v>
      </c>
      <c r="C11794" t="s">
        <v>12</v>
      </c>
      <c r="D11794" s="2">
        <v>0</v>
      </c>
      <c r="E11794" s="2">
        <v>235.42</v>
      </c>
      <c r="F11794" t="s">
        <v>16</v>
      </c>
      <c r="G11794" t="s">
        <v>17</v>
      </c>
    </row>
    <row r="11795" spans="1:7" x14ac:dyDescent="0.35">
      <c r="A11795">
        <v>4689</v>
      </c>
      <c r="B11795" s="1">
        <v>45880</v>
      </c>
      <c r="C11795" t="s">
        <v>12</v>
      </c>
      <c r="D11795" s="2">
        <v>1755.76</v>
      </c>
      <c r="E11795" s="2">
        <v>0</v>
      </c>
      <c r="F11795" t="s">
        <v>13</v>
      </c>
      <c r="G11795" t="s">
        <v>9</v>
      </c>
    </row>
    <row r="11796" spans="1:7" x14ac:dyDescent="0.35">
      <c r="A11796">
        <v>4689</v>
      </c>
      <c r="B11796" s="1">
        <v>45880</v>
      </c>
      <c r="C11796" t="s">
        <v>12</v>
      </c>
      <c r="D11796" s="2">
        <v>0</v>
      </c>
      <c r="E11796" s="2">
        <v>1633.27</v>
      </c>
      <c r="F11796" t="s">
        <v>14</v>
      </c>
      <c r="G11796" t="s">
        <v>15</v>
      </c>
    </row>
    <row r="11797" spans="1:7" x14ac:dyDescent="0.35">
      <c r="A11797">
        <v>4689</v>
      </c>
      <c r="B11797" s="1">
        <v>45880</v>
      </c>
      <c r="C11797" t="s">
        <v>12</v>
      </c>
      <c r="D11797" s="2">
        <v>0</v>
      </c>
      <c r="E11797" s="2">
        <v>122.49</v>
      </c>
      <c r="F11797" t="s">
        <v>16</v>
      </c>
      <c r="G11797" t="s">
        <v>17</v>
      </c>
    </row>
    <row r="11798" spans="1:7" x14ac:dyDescent="0.35">
      <c r="A11798">
        <v>4690</v>
      </c>
      <c r="B11798" s="1">
        <v>45880</v>
      </c>
      <c r="C11798" t="s">
        <v>12</v>
      </c>
      <c r="D11798" s="2">
        <v>2901.6</v>
      </c>
      <c r="E11798" s="2">
        <v>0</v>
      </c>
      <c r="F11798" t="s">
        <v>13</v>
      </c>
      <c r="G11798" t="s">
        <v>9</v>
      </c>
    </row>
    <row r="11799" spans="1:7" x14ac:dyDescent="0.35">
      <c r="A11799">
        <v>4690</v>
      </c>
      <c r="B11799" s="1">
        <v>45880</v>
      </c>
      <c r="C11799" t="s">
        <v>12</v>
      </c>
      <c r="D11799" s="2">
        <v>0</v>
      </c>
      <c r="E11799" s="2">
        <v>2699.18</v>
      </c>
      <c r="F11799" t="s">
        <v>14</v>
      </c>
      <c r="G11799" t="s">
        <v>15</v>
      </c>
    </row>
    <row r="11800" spans="1:7" x14ac:dyDescent="0.35">
      <c r="A11800">
        <v>4690</v>
      </c>
      <c r="B11800" s="1">
        <v>45880</v>
      </c>
      <c r="C11800" t="s">
        <v>12</v>
      </c>
      <c r="D11800" s="2">
        <v>0</v>
      </c>
      <c r="E11800" s="2">
        <v>202.42</v>
      </c>
      <c r="F11800" t="s">
        <v>16</v>
      </c>
      <c r="G11800" t="s">
        <v>17</v>
      </c>
    </row>
    <row r="11801" spans="1:7" x14ac:dyDescent="0.35">
      <c r="A11801">
        <v>4691</v>
      </c>
      <c r="B11801" s="1">
        <v>45880</v>
      </c>
      <c r="C11801" t="s">
        <v>12</v>
      </c>
      <c r="D11801" s="2">
        <v>128.63</v>
      </c>
      <c r="E11801" s="2">
        <v>0</v>
      </c>
      <c r="F11801" t="s">
        <v>13</v>
      </c>
      <c r="G11801" t="s">
        <v>9</v>
      </c>
    </row>
    <row r="11802" spans="1:7" x14ac:dyDescent="0.35">
      <c r="A11802">
        <v>4691</v>
      </c>
      <c r="B11802" s="1">
        <v>45880</v>
      </c>
      <c r="C11802" t="s">
        <v>12</v>
      </c>
      <c r="D11802" s="2">
        <v>0</v>
      </c>
      <c r="E11802" s="2">
        <v>119.65</v>
      </c>
      <c r="F11802" t="s">
        <v>14</v>
      </c>
      <c r="G11802" t="s">
        <v>15</v>
      </c>
    </row>
    <row r="11803" spans="1:7" x14ac:dyDescent="0.35">
      <c r="A11803">
        <v>4691</v>
      </c>
      <c r="B11803" s="1">
        <v>45880</v>
      </c>
      <c r="C11803" t="s">
        <v>12</v>
      </c>
      <c r="D11803" s="2">
        <v>0</v>
      </c>
      <c r="E11803" s="2">
        <v>8.98</v>
      </c>
      <c r="F11803" t="s">
        <v>16</v>
      </c>
      <c r="G11803" t="s">
        <v>17</v>
      </c>
    </row>
    <row r="11804" spans="1:7" x14ac:dyDescent="0.35">
      <c r="A11804">
        <v>4692</v>
      </c>
      <c r="B11804" s="1">
        <v>45880</v>
      </c>
      <c r="C11804" t="s">
        <v>12</v>
      </c>
      <c r="D11804" s="2">
        <v>1783.71</v>
      </c>
      <c r="E11804" s="2">
        <v>0</v>
      </c>
      <c r="F11804" t="s">
        <v>13</v>
      </c>
      <c r="G11804" t="s">
        <v>9</v>
      </c>
    </row>
    <row r="11805" spans="1:7" x14ac:dyDescent="0.35">
      <c r="A11805">
        <v>4692</v>
      </c>
      <c r="B11805" s="1">
        <v>45880</v>
      </c>
      <c r="C11805" t="s">
        <v>12</v>
      </c>
      <c r="D11805" s="2">
        <v>0</v>
      </c>
      <c r="E11805" s="2">
        <v>1659.27</v>
      </c>
      <c r="F11805" t="s">
        <v>14</v>
      </c>
      <c r="G11805" t="s">
        <v>15</v>
      </c>
    </row>
    <row r="11806" spans="1:7" x14ac:dyDescent="0.35">
      <c r="A11806">
        <v>4692</v>
      </c>
      <c r="B11806" s="1">
        <v>45880</v>
      </c>
      <c r="C11806" t="s">
        <v>12</v>
      </c>
      <c r="D11806" s="2">
        <v>0</v>
      </c>
      <c r="E11806" s="2">
        <v>124.44</v>
      </c>
      <c r="F11806" t="s">
        <v>16</v>
      </c>
      <c r="G11806" t="s">
        <v>17</v>
      </c>
    </row>
    <row r="11807" spans="1:7" x14ac:dyDescent="0.35">
      <c r="A11807">
        <v>4693</v>
      </c>
      <c r="B11807" s="1">
        <v>45880</v>
      </c>
      <c r="C11807" t="s">
        <v>12</v>
      </c>
      <c r="D11807" s="2">
        <v>493.79</v>
      </c>
      <c r="E11807" s="2">
        <v>0</v>
      </c>
      <c r="F11807" t="s">
        <v>13</v>
      </c>
      <c r="G11807" t="s">
        <v>9</v>
      </c>
    </row>
    <row r="11808" spans="1:7" x14ac:dyDescent="0.35">
      <c r="A11808">
        <v>4693</v>
      </c>
      <c r="B11808" s="1">
        <v>45880</v>
      </c>
      <c r="C11808" t="s">
        <v>12</v>
      </c>
      <c r="D11808" s="2">
        <v>0</v>
      </c>
      <c r="E11808" s="2">
        <v>459.34</v>
      </c>
      <c r="F11808" t="s">
        <v>14</v>
      </c>
      <c r="G11808" t="s">
        <v>15</v>
      </c>
    </row>
    <row r="11809" spans="1:7" x14ac:dyDescent="0.35">
      <c r="A11809">
        <v>4693</v>
      </c>
      <c r="B11809" s="1">
        <v>45880</v>
      </c>
      <c r="C11809" t="s">
        <v>12</v>
      </c>
      <c r="D11809" s="2">
        <v>0</v>
      </c>
      <c r="E11809" s="2">
        <v>34.450000000000003</v>
      </c>
      <c r="F11809" t="s">
        <v>16</v>
      </c>
      <c r="G11809" t="s">
        <v>17</v>
      </c>
    </row>
    <row r="11810" spans="1:7" x14ac:dyDescent="0.35">
      <c r="A11810">
        <v>4694</v>
      </c>
      <c r="B11810" s="1">
        <v>45880</v>
      </c>
      <c r="C11810" t="s">
        <v>24</v>
      </c>
      <c r="D11810" s="2">
        <v>2458.4</v>
      </c>
      <c r="E11810" s="2">
        <v>0</v>
      </c>
      <c r="F11810" t="s">
        <v>8</v>
      </c>
      <c r="G11810" t="s">
        <v>9</v>
      </c>
    </row>
    <row r="11811" spans="1:7" x14ac:dyDescent="0.35">
      <c r="A11811">
        <v>4694</v>
      </c>
      <c r="B11811" s="1">
        <v>45880</v>
      </c>
      <c r="C11811" t="s">
        <v>24</v>
      </c>
      <c r="D11811" s="2">
        <v>0</v>
      </c>
      <c r="E11811" s="2">
        <v>2458.4</v>
      </c>
      <c r="F11811" t="s">
        <v>13</v>
      </c>
      <c r="G11811" t="s">
        <v>9</v>
      </c>
    </row>
    <row r="11812" spans="1:7" x14ac:dyDescent="0.35">
      <c r="A11812">
        <v>4695</v>
      </c>
      <c r="B11812" s="1">
        <v>45880</v>
      </c>
      <c r="C11812" t="s">
        <v>24</v>
      </c>
      <c r="D11812" s="2">
        <v>3247.12</v>
      </c>
      <c r="E11812" s="2">
        <v>0</v>
      </c>
      <c r="F11812" t="s">
        <v>8</v>
      </c>
      <c r="G11812" t="s">
        <v>9</v>
      </c>
    </row>
    <row r="11813" spans="1:7" x14ac:dyDescent="0.35">
      <c r="A11813">
        <v>4695</v>
      </c>
      <c r="B11813" s="1">
        <v>45880</v>
      </c>
      <c r="C11813" t="s">
        <v>24</v>
      </c>
      <c r="D11813" s="2">
        <v>0</v>
      </c>
      <c r="E11813" s="2">
        <v>3247.12</v>
      </c>
      <c r="F11813" t="s">
        <v>13</v>
      </c>
      <c r="G11813" t="s">
        <v>9</v>
      </c>
    </row>
    <row r="11814" spans="1:7" x14ac:dyDescent="0.35">
      <c r="A11814">
        <v>4696</v>
      </c>
      <c r="B11814" s="1">
        <v>45880</v>
      </c>
      <c r="C11814" t="s">
        <v>24</v>
      </c>
      <c r="D11814" s="2">
        <v>2298.5300000000002</v>
      </c>
      <c r="E11814" s="2">
        <v>0</v>
      </c>
      <c r="F11814" t="s">
        <v>8</v>
      </c>
      <c r="G11814" t="s">
        <v>9</v>
      </c>
    </row>
    <row r="11815" spans="1:7" x14ac:dyDescent="0.35">
      <c r="A11815">
        <v>4696</v>
      </c>
      <c r="B11815" s="1">
        <v>45880</v>
      </c>
      <c r="C11815" t="s">
        <v>24</v>
      </c>
      <c r="D11815" s="2">
        <v>0</v>
      </c>
      <c r="E11815" s="2">
        <v>2298.5300000000002</v>
      </c>
      <c r="F11815" t="s">
        <v>13</v>
      </c>
      <c r="G11815" t="s">
        <v>9</v>
      </c>
    </row>
    <row r="11816" spans="1:7" x14ac:dyDescent="0.35">
      <c r="A11816">
        <v>4697</v>
      </c>
      <c r="B11816" s="1">
        <v>45880</v>
      </c>
      <c r="C11816" t="s">
        <v>24</v>
      </c>
      <c r="D11816" s="2">
        <v>3007.55</v>
      </c>
      <c r="E11816" s="2">
        <v>0</v>
      </c>
      <c r="F11816" t="s">
        <v>8</v>
      </c>
      <c r="G11816" t="s">
        <v>9</v>
      </c>
    </row>
    <row r="11817" spans="1:7" x14ac:dyDescent="0.35">
      <c r="A11817">
        <v>4697</v>
      </c>
      <c r="B11817" s="1">
        <v>45880</v>
      </c>
      <c r="C11817" t="s">
        <v>24</v>
      </c>
      <c r="D11817" s="2">
        <v>0</v>
      </c>
      <c r="E11817" s="2">
        <v>3007.55</v>
      </c>
      <c r="F11817" t="s">
        <v>13</v>
      </c>
      <c r="G11817" t="s">
        <v>9</v>
      </c>
    </row>
    <row r="11818" spans="1:7" x14ac:dyDescent="0.35">
      <c r="A11818">
        <v>4698</v>
      </c>
      <c r="B11818" s="1">
        <v>45880</v>
      </c>
      <c r="C11818" t="s">
        <v>25</v>
      </c>
      <c r="D11818" s="2">
        <v>4476.71</v>
      </c>
      <c r="E11818" s="2">
        <v>0</v>
      </c>
      <c r="F11818" t="s">
        <v>26</v>
      </c>
      <c r="G11818" t="s">
        <v>20</v>
      </c>
    </row>
    <row r="11819" spans="1:7" x14ac:dyDescent="0.35">
      <c r="A11819">
        <v>4698</v>
      </c>
      <c r="B11819" s="1">
        <v>45880</v>
      </c>
      <c r="C11819" t="s">
        <v>25</v>
      </c>
      <c r="D11819" s="2">
        <v>335.75</v>
      </c>
      <c r="E11819" s="2">
        <v>0</v>
      </c>
      <c r="F11819" t="s">
        <v>27</v>
      </c>
      <c r="G11819" t="s">
        <v>9</v>
      </c>
    </row>
    <row r="11820" spans="1:7" x14ac:dyDescent="0.35">
      <c r="A11820">
        <v>4698</v>
      </c>
      <c r="B11820" s="1">
        <v>45880</v>
      </c>
      <c r="C11820" t="s">
        <v>25</v>
      </c>
      <c r="D11820" s="2">
        <v>0</v>
      </c>
      <c r="E11820" s="2">
        <v>4812.46</v>
      </c>
      <c r="F11820" t="s">
        <v>28</v>
      </c>
      <c r="G11820" t="s">
        <v>17</v>
      </c>
    </row>
    <row r="11821" spans="1:7" x14ac:dyDescent="0.35">
      <c r="A11821">
        <v>4699</v>
      </c>
      <c r="B11821" s="1">
        <v>45880</v>
      </c>
      <c r="C11821" t="s">
        <v>25</v>
      </c>
      <c r="D11821" s="2">
        <v>2451.5</v>
      </c>
      <c r="E11821" s="2">
        <v>0</v>
      </c>
      <c r="F11821" t="s">
        <v>26</v>
      </c>
      <c r="G11821" t="s">
        <v>20</v>
      </c>
    </row>
    <row r="11822" spans="1:7" x14ac:dyDescent="0.35">
      <c r="A11822">
        <v>4699</v>
      </c>
      <c r="B11822" s="1">
        <v>45880</v>
      </c>
      <c r="C11822" t="s">
        <v>25</v>
      </c>
      <c r="D11822" s="2">
        <v>183.86</v>
      </c>
      <c r="E11822" s="2">
        <v>0</v>
      </c>
      <c r="F11822" t="s">
        <v>27</v>
      </c>
      <c r="G11822" t="s">
        <v>9</v>
      </c>
    </row>
    <row r="11823" spans="1:7" x14ac:dyDescent="0.35">
      <c r="A11823">
        <v>4699</v>
      </c>
      <c r="B11823" s="1">
        <v>45880</v>
      </c>
      <c r="C11823" t="s">
        <v>25</v>
      </c>
      <c r="D11823" s="2">
        <v>0</v>
      </c>
      <c r="E11823" s="2">
        <v>2635.36</v>
      </c>
      <c r="F11823" t="s">
        <v>28</v>
      </c>
      <c r="G11823" t="s">
        <v>17</v>
      </c>
    </row>
    <row r="11824" spans="1:7" x14ac:dyDescent="0.35">
      <c r="A11824">
        <v>4700</v>
      </c>
      <c r="B11824" s="1">
        <v>45880</v>
      </c>
      <c r="C11824" t="s">
        <v>25</v>
      </c>
      <c r="D11824" s="2">
        <v>952.02</v>
      </c>
      <c r="E11824" s="2">
        <v>0</v>
      </c>
      <c r="F11824" t="s">
        <v>26</v>
      </c>
      <c r="G11824" t="s">
        <v>20</v>
      </c>
    </row>
    <row r="11825" spans="1:7" x14ac:dyDescent="0.35">
      <c r="A11825">
        <v>4700</v>
      </c>
      <c r="B11825" s="1">
        <v>45880</v>
      </c>
      <c r="C11825" t="s">
        <v>25</v>
      </c>
      <c r="D11825" s="2">
        <v>71.400000000000006</v>
      </c>
      <c r="E11825" s="2">
        <v>0</v>
      </c>
      <c r="F11825" t="s">
        <v>27</v>
      </c>
      <c r="G11825" t="s">
        <v>9</v>
      </c>
    </row>
    <row r="11826" spans="1:7" x14ac:dyDescent="0.35">
      <c r="A11826">
        <v>4700</v>
      </c>
      <c r="B11826" s="1">
        <v>45880</v>
      </c>
      <c r="C11826" t="s">
        <v>25</v>
      </c>
      <c r="D11826" s="2">
        <v>0</v>
      </c>
      <c r="E11826" s="2">
        <v>1023.42</v>
      </c>
      <c r="F11826" t="s">
        <v>28</v>
      </c>
      <c r="G11826" t="s">
        <v>17</v>
      </c>
    </row>
    <row r="11827" spans="1:7" x14ac:dyDescent="0.35">
      <c r="A11827">
        <v>4701</v>
      </c>
      <c r="B11827" s="1">
        <v>45880</v>
      </c>
      <c r="C11827" t="s">
        <v>25</v>
      </c>
      <c r="D11827" s="2">
        <v>383.76</v>
      </c>
      <c r="E11827" s="2">
        <v>0</v>
      </c>
      <c r="F11827" t="s">
        <v>26</v>
      </c>
      <c r="G11827" t="s">
        <v>20</v>
      </c>
    </row>
    <row r="11828" spans="1:7" x14ac:dyDescent="0.35">
      <c r="A11828">
        <v>4701</v>
      </c>
      <c r="B11828" s="1">
        <v>45880</v>
      </c>
      <c r="C11828" t="s">
        <v>25</v>
      </c>
      <c r="D11828" s="2">
        <v>28.78</v>
      </c>
      <c r="E11828" s="2">
        <v>0</v>
      </c>
      <c r="F11828" t="s">
        <v>27</v>
      </c>
      <c r="G11828" t="s">
        <v>9</v>
      </c>
    </row>
    <row r="11829" spans="1:7" x14ac:dyDescent="0.35">
      <c r="A11829">
        <v>4701</v>
      </c>
      <c r="B11829" s="1">
        <v>45880</v>
      </c>
      <c r="C11829" t="s">
        <v>25</v>
      </c>
      <c r="D11829" s="2">
        <v>0</v>
      </c>
      <c r="E11829" s="2">
        <v>412.54</v>
      </c>
      <c r="F11829" t="s">
        <v>28</v>
      </c>
      <c r="G11829" t="s">
        <v>17</v>
      </c>
    </row>
    <row r="11830" spans="1:7" x14ac:dyDescent="0.35">
      <c r="A11830">
        <v>4702</v>
      </c>
      <c r="B11830" s="1">
        <v>45880</v>
      </c>
      <c r="C11830" t="s">
        <v>25</v>
      </c>
      <c r="D11830" s="2">
        <v>187.44</v>
      </c>
      <c r="E11830" s="2">
        <v>0</v>
      </c>
      <c r="F11830" t="s">
        <v>26</v>
      </c>
      <c r="G11830" t="s">
        <v>20</v>
      </c>
    </row>
    <row r="11831" spans="1:7" x14ac:dyDescent="0.35">
      <c r="A11831">
        <v>4702</v>
      </c>
      <c r="B11831" s="1">
        <v>45880</v>
      </c>
      <c r="C11831" t="s">
        <v>25</v>
      </c>
      <c r="D11831" s="2">
        <v>14.06</v>
      </c>
      <c r="E11831" s="2">
        <v>0</v>
      </c>
      <c r="F11831" t="s">
        <v>27</v>
      </c>
      <c r="G11831" t="s">
        <v>9</v>
      </c>
    </row>
    <row r="11832" spans="1:7" x14ac:dyDescent="0.35">
      <c r="A11832">
        <v>4702</v>
      </c>
      <c r="B11832" s="1">
        <v>45880</v>
      </c>
      <c r="C11832" t="s">
        <v>25</v>
      </c>
      <c r="D11832" s="2">
        <v>0</v>
      </c>
      <c r="E11832" s="2">
        <v>201.5</v>
      </c>
      <c r="F11832" t="s">
        <v>28</v>
      </c>
      <c r="G11832" t="s">
        <v>17</v>
      </c>
    </row>
    <row r="11833" spans="1:7" x14ac:dyDescent="0.35">
      <c r="A11833">
        <v>4703</v>
      </c>
      <c r="B11833" s="1">
        <v>45880</v>
      </c>
      <c r="C11833" t="s">
        <v>25</v>
      </c>
      <c r="D11833" s="2">
        <v>2030.15</v>
      </c>
      <c r="E11833" s="2">
        <v>0</v>
      </c>
      <c r="F11833" t="s">
        <v>26</v>
      </c>
      <c r="G11833" t="s">
        <v>20</v>
      </c>
    </row>
    <row r="11834" spans="1:7" x14ac:dyDescent="0.35">
      <c r="A11834">
        <v>4703</v>
      </c>
      <c r="B11834" s="1">
        <v>45880</v>
      </c>
      <c r="C11834" t="s">
        <v>25</v>
      </c>
      <c r="D11834" s="2">
        <v>152.26</v>
      </c>
      <c r="E11834" s="2">
        <v>0</v>
      </c>
      <c r="F11834" t="s">
        <v>27</v>
      </c>
      <c r="G11834" t="s">
        <v>9</v>
      </c>
    </row>
    <row r="11835" spans="1:7" x14ac:dyDescent="0.35">
      <c r="A11835">
        <v>4703</v>
      </c>
      <c r="B11835" s="1">
        <v>45880</v>
      </c>
      <c r="C11835" t="s">
        <v>25</v>
      </c>
      <c r="D11835" s="2">
        <v>0</v>
      </c>
      <c r="E11835" s="2">
        <v>2182.41</v>
      </c>
      <c r="F11835" t="s">
        <v>28</v>
      </c>
      <c r="G11835" t="s">
        <v>17</v>
      </c>
    </row>
    <row r="11836" spans="1:7" x14ac:dyDescent="0.35">
      <c r="A11836">
        <v>4704</v>
      </c>
      <c r="B11836" s="1">
        <v>45880</v>
      </c>
      <c r="C11836" t="s">
        <v>29</v>
      </c>
      <c r="D11836" s="2">
        <v>201.5</v>
      </c>
      <c r="E11836" s="2">
        <v>0</v>
      </c>
      <c r="F11836" t="s">
        <v>28</v>
      </c>
      <c r="G11836" t="s">
        <v>17</v>
      </c>
    </row>
    <row r="11837" spans="1:7" x14ac:dyDescent="0.35">
      <c r="A11837">
        <v>4704</v>
      </c>
      <c r="B11837" s="1">
        <v>45880</v>
      </c>
      <c r="C11837" t="s">
        <v>29</v>
      </c>
      <c r="D11837" s="2">
        <v>0</v>
      </c>
      <c r="E11837" s="2">
        <v>201.5</v>
      </c>
      <c r="F11837" t="s">
        <v>8</v>
      </c>
      <c r="G11837" t="s">
        <v>9</v>
      </c>
    </row>
    <row r="11838" spans="1:7" x14ac:dyDescent="0.35">
      <c r="A11838">
        <v>4705</v>
      </c>
      <c r="B11838" s="1">
        <v>45880</v>
      </c>
      <c r="C11838" t="s">
        <v>29</v>
      </c>
      <c r="D11838" s="2">
        <v>748.26</v>
      </c>
      <c r="E11838" s="2">
        <v>0</v>
      </c>
      <c r="F11838" t="s">
        <v>28</v>
      </c>
      <c r="G11838" t="s">
        <v>17</v>
      </c>
    </row>
    <row r="11839" spans="1:7" x14ac:dyDescent="0.35">
      <c r="A11839">
        <v>4705</v>
      </c>
      <c r="B11839" s="1">
        <v>45880</v>
      </c>
      <c r="C11839" t="s">
        <v>29</v>
      </c>
      <c r="D11839" s="2">
        <v>0</v>
      </c>
      <c r="E11839" s="2">
        <v>748.26</v>
      </c>
      <c r="F11839" t="s">
        <v>8</v>
      </c>
      <c r="G11839" t="s">
        <v>9</v>
      </c>
    </row>
    <row r="11840" spans="1:7" x14ac:dyDescent="0.35">
      <c r="A11840">
        <v>4706</v>
      </c>
      <c r="B11840" s="1">
        <v>45880</v>
      </c>
      <c r="C11840" t="s">
        <v>29</v>
      </c>
      <c r="D11840" s="2">
        <v>1766.46</v>
      </c>
      <c r="E11840" s="2">
        <v>0</v>
      </c>
      <c r="F11840" t="s">
        <v>28</v>
      </c>
      <c r="G11840" t="s">
        <v>17</v>
      </c>
    </row>
    <row r="11841" spans="1:7" x14ac:dyDescent="0.35">
      <c r="A11841">
        <v>4706</v>
      </c>
      <c r="B11841" s="1">
        <v>45880</v>
      </c>
      <c r="C11841" t="s">
        <v>29</v>
      </c>
      <c r="D11841" s="2">
        <v>0</v>
      </c>
      <c r="E11841" s="2">
        <v>1766.46</v>
      </c>
      <c r="F11841" t="s">
        <v>8</v>
      </c>
      <c r="G11841" t="s">
        <v>9</v>
      </c>
    </row>
    <row r="11842" spans="1:7" x14ac:dyDescent="0.35">
      <c r="A11842">
        <v>4707</v>
      </c>
      <c r="B11842" s="1">
        <v>45880</v>
      </c>
      <c r="C11842" t="s">
        <v>29</v>
      </c>
      <c r="D11842" s="2">
        <v>412.54</v>
      </c>
      <c r="E11842" s="2">
        <v>0</v>
      </c>
      <c r="F11842" t="s">
        <v>28</v>
      </c>
      <c r="G11842" t="s">
        <v>17</v>
      </c>
    </row>
    <row r="11843" spans="1:7" x14ac:dyDescent="0.35">
      <c r="A11843">
        <v>4707</v>
      </c>
      <c r="B11843" s="1">
        <v>45880</v>
      </c>
      <c r="C11843" t="s">
        <v>29</v>
      </c>
      <c r="D11843" s="2">
        <v>0</v>
      </c>
      <c r="E11843" s="2">
        <v>412.54</v>
      </c>
      <c r="F11843" t="s">
        <v>8</v>
      </c>
      <c r="G11843" t="s">
        <v>9</v>
      </c>
    </row>
    <row r="11844" spans="1:7" x14ac:dyDescent="0.35">
      <c r="A11844">
        <v>4708</v>
      </c>
      <c r="B11844" s="1">
        <v>45881</v>
      </c>
      <c r="C11844" t="s">
        <v>12</v>
      </c>
      <c r="D11844" s="2">
        <v>1404.43</v>
      </c>
      <c r="E11844" s="2">
        <v>0</v>
      </c>
      <c r="F11844" t="s">
        <v>13</v>
      </c>
      <c r="G11844" t="s">
        <v>9</v>
      </c>
    </row>
    <row r="11845" spans="1:7" x14ac:dyDescent="0.35">
      <c r="A11845">
        <v>4708</v>
      </c>
      <c r="B11845" s="1">
        <v>45881</v>
      </c>
      <c r="C11845" t="s">
        <v>12</v>
      </c>
      <c r="D11845" s="2">
        <v>0</v>
      </c>
      <c r="E11845" s="2">
        <v>1306.45</v>
      </c>
      <c r="F11845" t="s">
        <v>14</v>
      </c>
      <c r="G11845" t="s">
        <v>15</v>
      </c>
    </row>
    <row r="11846" spans="1:7" x14ac:dyDescent="0.35">
      <c r="A11846">
        <v>4708</v>
      </c>
      <c r="B11846" s="1">
        <v>45881</v>
      </c>
      <c r="C11846" t="s">
        <v>12</v>
      </c>
      <c r="D11846" s="2">
        <v>0</v>
      </c>
      <c r="E11846" s="2">
        <v>97.98</v>
      </c>
      <c r="F11846" t="s">
        <v>16</v>
      </c>
      <c r="G11846" t="s">
        <v>17</v>
      </c>
    </row>
    <row r="11847" spans="1:7" x14ac:dyDescent="0.35">
      <c r="A11847">
        <v>4709</v>
      </c>
      <c r="B11847" s="1">
        <v>45881</v>
      </c>
      <c r="C11847" t="s">
        <v>12</v>
      </c>
      <c r="D11847" s="2">
        <v>1449.13</v>
      </c>
      <c r="E11847" s="2">
        <v>0</v>
      </c>
      <c r="F11847" t="s">
        <v>13</v>
      </c>
      <c r="G11847" t="s">
        <v>9</v>
      </c>
    </row>
    <row r="11848" spans="1:7" x14ac:dyDescent="0.35">
      <c r="A11848">
        <v>4709</v>
      </c>
      <c r="B11848" s="1">
        <v>45881</v>
      </c>
      <c r="C11848" t="s">
        <v>12</v>
      </c>
      <c r="D11848" s="2">
        <v>0</v>
      </c>
      <c r="E11848" s="2">
        <v>1348.03</v>
      </c>
      <c r="F11848" t="s">
        <v>14</v>
      </c>
      <c r="G11848" t="s">
        <v>15</v>
      </c>
    </row>
    <row r="11849" spans="1:7" x14ac:dyDescent="0.35">
      <c r="A11849">
        <v>4709</v>
      </c>
      <c r="B11849" s="1">
        <v>45881</v>
      </c>
      <c r="C11849" t="s">
        <v>12</v>
      </c>
      <c r="D11849" s="2">
        <v>0</v>
      </c>
      <c r="E11849" s="2">
        <v>101.1</v>
      </c>
      <c r="F11849" t="s">
        <v>16</v>
      </c>
      <c r="G11849" t="s">
        <v>17</v>
      </c>
    </row>
    <row r="11850" spans="1:7" x14ac:dyDescent="0.35">
      <c r="A11850">
        <v>4710</v>
      </c>
      <c r="B11850" s="1">
        <v>45881</v>
      </c>
      <c r="C11850" t="s">
        <v>12</v>
      </c>
      <c r="D11850" s="2">
        <v>165.22</v>
      </c>
      <c r="E11850" s="2">
        <v>0</v>
      </c>
      <c r="F11850" t="s">
        <v>13</v>
      </c>
      <c r="G11850" t="s">
        <v>9</v>
      </c>
    </row>
    <row r="11851" spans="1:7" x14ac:dyDescent="0.35">
      <c r="A11851">
        <v>4710</v>
      </c>
      <c r="B11851" s="1">
        <v>45881</v>
      </c>
      <c r="C11851" t="s">
        <v>12</v>
      </c>
      <c r="D11851" s="2">
        <v>0</v>
      </c>
      <c r="E11851" s="2">
        <v>153.69</v>
      </c>
      <c r="F11851" t="s">
        <v>14</v>
      </c>
      <c r="G11851" t="s">
        <v>15</v>
      </c>
    </row>
    <row r="11852" spans="1:7" x14ac:dyDescent="0.35">
      <c r="A11852">
        <v>4710</v>
      </c>
      <c r="B11852" s="1">
        <v>45881</v>
      </c>
      <c r="C11852" t="s">
        <v>12</v>
      </c>
      <c r="D11852" s="2">
        <v>0</v>
      </c>
      <c r="E11852" s="2">
        <v>11.53</v>
      </c>
      <c r="F11852" t="s">
        <v>16</v>
      </c>
      <c r="G11852" t="s">
        <v>17</v>
      </c>
    </row>
    <row r="11853" spans="1:7" x14ac:dyDescent="0.35">
      <c r="A11853">
        <v>4711</v>
      </c>
      <c r="B11853" s="1">
        <v>45881</v>
      </c>
      <c r="C11853" t="s">
        <v>24</v>
      </c>
      <c r="D11853" s="2">
        <v>1098.69</v>
      </c>
      <c r="E11853" s="2">
        <v>0</v>
      </c>
      <c r="F11853" t="s">
        <v>8</v>
      </c>
      <c r="G11853" t="s">
        <v>9</v>
      </c>
    </row>
    <row r="11854" spans="1:7" x14ac:dyDescent="0.35">
      <c r="A11854">
        <v>4711</v>
      </c>
      <c r="B11854" s="1">
        <v>45881</v>
      </c>
      <c r="C11854" t="s">
        <v>24</v>
      </c>
      <c r="D11854" s="2">
        <v>0</v>
      </c>
      <c r="E11854" s="2">
        <v>1098.69</v>
      </c>
      <c r="F11854" t="s">
        <v>13</v>
      </c>
      <c r="G11854" t="s">
        <v>9</v>
      </c>
    </row>
    <row r="11855" spans="1:7" x14ac:dyDescent="0.35">
      <c r="A11855">
        <v>4712</v>
      </c>
      <c r="B11855" s="1">
        <v>45881</v>
      </c>
      <c r="C11855" t="s">
        <v>24</v>
      </c>
      <c r="D11855" s="2">
        <v>1694.03</v>
      </c>
      <c r="E11855" s="2">
        <v>0</v>
      </c>
      <c r="F11855" t="s">
        <v>8</v>
      </c>
      <c r="G11855" t="s">
        <v>9</v>
      </c>
    </row>
    <row r="11856" spans="1:7" x14ac:dyDescent="0.35">
      <c r="A11856">
        <v>4712</v>
      </c>
      <c r="B11856" s="1">
        <v>45881</v>
      </c>
      <c r="C11856" t="s">
        <v>24</v>
      </c>
      <c r="D11856" s="2">
        <v>0</v>
      </c>
      <c r="E11856" s="2">
        <v>1694.03</v>
      </c>
      <c r="F11856" t="s">
        <v>13</v>
      </c>
      <c r="G11856" t="s">
        <v>9</v>
      </c>
    </row>
    <row r="11857" spans="1:7" x14ac:dyDescent="0.35">
      <c r="A11857">
        <v>4713</v>
      </c>
      <c r="B11857" s="1">
        <v>45881</v>
      </c>
      <c r="C11857" t="s">
        <v>24</v>
      </c>
      <c r="D11857" s="2">
        <v>2852.81</v>
      </c>
      <c r="E11857" s="2">
        <v>0</v>
      </c>
      <c r="F11857" t="s">
        <v>8</v>
      </c>
      <c r="G11857" t="s">
        <v>9</v>
      </c>
    </row>
    <row r="11858" spans="1:7" x14ac:dyDescent="0.35">
      <c r="A11858">
        <v>4713</v>
      </c>
      <c r="B11858" s="1">
        <v>45881</v>
      </c>
      <c r="C11858" t="s">
        <v>24</v>
      </c>
      <c r="D11858" s="2">
        <v>0</v>
      </c>
      <c r="E11858" s="2">
        <v>2852.81</v>
      </c>
      <c r="F11858" t="s">
        <v>13</v>
      </c>
      <c r="G11858" t="s">
        <v>9</v>
      </c>
    </row>
    <row r="11859" spans="1:7" x14ac:dyDescent="0.35">
      <c r="A11859">
        <v>4714</v>
      </c>
      <c r="B11859" s="1">
        <v>45881</v>
      </c>
      <c r="C11859" t="s">
        <v>24</v>
      </c>
      <c r="D11859" s="2">
        <v>480.32</v>
      </c>
      <c r="E11859" s="2">
        <v>0</v>
      </c>
      <c r="F11859" t="s">
        <v>8</v>
      </c>
      <c r="G11859" t="s">
        <v>9</v>
      </c>
    </row>
    <row r="11860" spans="1:7" x14ac:dyDescent="0.35">
      <c r="A11860">
        <v>4714</v>
      </c>
      <c r="B11860" s="1">
        <v>45881</v>
      </c>
      <c r="C11860" t="s">
        <v>24</v>
      </c>
      <c r="D11860" s="2">
        <v>0</v>
      </c>
      <c r="E11860" s="2">
        <v>480.32</v>
      </c>
      <c r="F11860" t="s">
        <v>13</v>
      </c>
      <c r="G11860" t="s">
        <v>9</v>
      </c>
    </row>
    <row r="11861" spans="1:7" x14ac:dyDescent="0.35">
      <c r="A11861">
        <v>4715</v>
      </c>
      <c r="B11861" s="1">
        <v>45881</v>
      </c>
      <c r="C11861" t="s">
        <v>24</v>
      </c>
      <c r="D11861" s="2">
        <v>2595.6</v>
      </c>
      <c r="E11861" s="2">
        <v>0</v>
      </c>
      <c r="F11861" t="s">
        <v>8</v>
      </c>
      <c r="G11861" t="s">
        <v>9</v>
      </c>
    </row>
    <row r="11862" spans="1:7" x14ac:dyDescent="0.35">
      <c r="A11862">
        <v>4715</v>
      </c>
      <c r="B11862" s="1">
        <v>45881</v>
      </c>
      <c r="C11862" t="s">
        <v>24</v>
      </c>
      <c r="D11862" s="2">
        <v>0</v>
      </c>
      <c r="E11862" s="2">
        <v>2595.6</v>
      </c>
      <c r="F11862" t="s">
        <v>13</v>
      </c>
      <c r="G11862" t="s">
        <v>9</v>
      </c>
    </row>
    <row r="11863" spans="1:7" x14ac:dyDescent="0.35">
      <c r="A11863">
        <v>4716</v>
      </c>
      <c r="B11863" s="1">
        <v>45881</v>
      </c>
      <c r="C11863" t="s">
        <v>24</v>
      </c>
      <c r="D11863" s="2">
        <v>1378.38</v>
      </c>
      <c r="E11863" s="2">
        <v>0</v>
      </c>
      <c r="F11863" t="s">
        <v>8</v>
      </c>
      <c r="G11863" t="s">
        <v>9</v>
      </c>
    </row>
    <row r="11864" spans="1:7" x14ac:dyDescent="0.35">
      <c r="A11864">
        <v>4716</v>
      </c>
      <c r="B11864" s="1">
        <v>45881</v>
      </c>
      <c r="C11864" t="s">
        <v>24</v>
      </c>
      <c r="D11864" s="2">
        <v>0</v>
      </c>
      <c r="E11864" s="2">
        <v>1378.38</v>
      </c>
      <c r="F11864" t="s">
        <v>13</v>
      </c>
      <c r="G11864" t="s">
        <v>9</v>
      </c>
    </row>
    <row r="11865" spans="1:7" x14ac:dyDescent="0.35">
      <c r="A11865">
        <v>4717</v>
      </c>
      <c r="B11865" s="1">
        <v>45881</v>
      </c>
      <c r="C11865" t="s">
        <v>24</v>
      </c>
      <c r="D11865" s="2">
        <v>165.22</v>
      </c>
      <c r="E11865" s="2">
        <v>0</v>
      </c>
      <c r="F11865" t="s">
        <v>8</v>
      </c>
      <c r="G11865" t="s">
        <v>9</v>
      </c>
    </row>
    <row r="11866" spans="1:7" x14ac:dyDescent="0.35">
      <c r="A11866">
        <v>4717</v>
      </c>
      <c r="B11866" s="1">
        <v>45881</v>
      </c>
      <c r="C11866" t="s">
        <v>24</v>
      </c>
      <c r="D11866" s="2">
        <v>0</v>
      </c>
      <c r="E11866" s="2">
        <v>165.22</v>
      </c>
      <c r="F11866" t="s">
        <v>13</v>
      </c>
      <c r="G11866" t="s">
        <v>9</v>
      </c>
    </row>
    <row r="11867" spans="1:7" x14ac:dyDescent="0.35">
      <c r="A11867">
        <v>4718</v>
      </c>
      <c r="B11867" s="1">
        <v>45881</v>
      </c>
      <c r="C11867" t="s">
        <v>29</v>
      </c>
      <c r="D11867" s="2">
        <v>9336.67</v>
      </c>
      <c r="E11867" s="2">
        <v>0</v>
      </c>
      <c r="F11867" t="s">
        <v>28</v>
      </c>
      <c r="G11867" t="s">
        <v>17</v>
      </c>
    </row>
    <row r="11868" spans="1:7" x14ac:dyDescent="0.35">
      <c r="A11868">
        <v>4718</v>
      </c>
      <c r="B11868" s="1">
        <v>45881</v>
      </c>
      <c r="C11868" t="s">
        <v>29</v>
      </c>
      <c r="D11868" s="2">
        <v>0</v>
      </c>
      <c r="E11868" s="2">
        <v>9336.67</v>
      </c>
      <c r="F11868" t="s">
        <v>8</v>
      </c>
      <c r="G11868" t="s">
        <v>9</v>
      </c>
    </row>
    <row r="11869" spans="1:7" x14ac:dyDescent="0.35">
      <c r="A11869">
        <v>4719</v>
      </c>
      <c r="B11869" s="1">
        <v>45881</v>
      </c>
      <c r="C11869" t="s">
        <v>29</v>
      </c>
      <c r="D11869" s="2">
        <v>2918.17</v>
      </c>
      <c r="E11869" s="2">
        <v>0</v>
      </c>
      <c r="F11869" t="s">
        <v>28</v>
      </c>
      <c r="G11869" t="s">
        <v>17</v>
      </c>
    </row>
    <row r="11870" spans="1:7" x14ac:dyDescent="0.35">
      <c r="A11870">
        <v>4719</v>
      </c>
      <c r="B11870" s="1">
        <v>45881</v>
      </c>
      <c r="C11870" t="s">
        <v>29</v>
      </c>
      <c r="D11870" s="2">
        <v>0</v>
      </c>
      <c r="E11870" s="2">
        <v>2918.17</v>
      </c>
      <c r="F11870" t="s">
        <v>8</v>
      </c>
      <c r="G11870" t="s">
        <v>9</v>
      </c>
    </row>
    <row r="11871" spans="1:7" x14ac:dyDescent="0.35">
      <c r="A11871">
        <v>4720</v>
      </c>
      <c r="B11871" s="1">
        <v>45882</v>
      </c>
      <c r="C11871" t="s">
        <v>12</v>
      </c>
      <c r="D11871" s="2">
        <v>140.29</v>
      </c>
      <c r="E11871" s="2">
        <v>0</v>
      </c>
      <c r="F11871" t="s">
        <v>13</v>
      </c>
      <c r="G11871" t="s">
        <v>9</v>
      </c>
    </row>
    <row r="11872" spans="1:7" x14ac:dyDescent="0.35">
      <c r="A11872">
        <v>4720</v>
      </c>
      <c r="B11872" s="1">
        <v>45882</v>
      </c>
      <c r="C11872" t="s">
        <v>12</v>
      </c>
      <c r="D11872" s="2">
        <v>0</v>
      </c>
      <c r="E11872" s="2">
        <v>130.5</v>
      </c>
      <c r="F11872" t="s">
        <v>14</v>
      </c>
      <c r="G11872" t="s">
        <v>15</v>
      </c>
    </row>
    <row r="11873" spans="1:7" x14ac:dyDescent="0.35">
      <c r="A11873">
        <v>4720</v>
      </c>
      <c r="B11873" s="1">
        <v>45882</v>
      </c>
      <c r="C11873" t="s">
        <v>12</v>
      </c>
      <c r="D11873" s="2">
        <v>0</v>
      </c>
      <c r="E11873" s="2">
        <v>9.7899999999999991</v>
      </c>
      <c r="F11873" t="s">
        <v>16</v>
      </c>
      <c r="G11873" t="s">
        <v>17</v>
      </c>
    </row>
    <row r="11874" spans="1:7" x14ac:dyDescent="0.35">
      <c r="A11874">
        <v>4721</v>
      </c>
      <c r="B11874" s="1">
        <v>45882</v>
      </c>
      <c r="C11874" t="s">
        <v>12</v>
      </c>
      <c r="D11874" s="2">
        <v>3885.86</v>
      </c>
      <c r="E11874" s="2">
        <v>0</v>
      </c>
      <c r="F11874" t="s">
        <v>13</v>
      </c>
      <c r="G11874" t="s">
        <v>9</v>
      </c>
    </row>
    <row r="11875" spans="1:7" x14ac:dyDescent="0.35">
      <c r="A11875">
        <v>4721</v>
      </c>
      <c r="B11875" s="1">
        <v>45882</v>
      </c>
      <c r="C11875" t="s">
        <v>12</v>
      </c>
      <c r="D11875" s="2">
        <v>0</v>
      </c>
      <c r="E11875" s="2">
        <v>3614.75</v>
      </c>
      <c r="F11875" t="s">
        <v>14</v>
      </c>
      <c r="G11875" t="s">
        <v>15</v>
      </c>
    </row>
    <row r="11876" spans="1:7" x14ac:dyDescent="0.35">
      <c r="A11876">
        <v>4721</v>
      </c>
      <c r="B11876" s="1">
        <v>45882</v>
      </c>
      <c r="C11876" t="s">
        <v>12</v>
      </c>
      <c r="D11876" s="2">
        <v>0</v>
      </c>
      <c r="E11876" s="2">
        <v>271.11</v>
      </c>
      <c r="F11876" t="s">
        <v>16</v>
      </c>
      <c r="G11876" t="s">
        <v>17</v>
      </c>
    </row>
    <row r="11877" spans="1:7" x14ac:dyDescent="0.35">
      <c r="A11877">
        <v>4722</v>
      </c>
      <c r="B11877" s="1">
        <v>45882</v>
      </c>
      <c r="C11877" t="s">
        <v>12</v>
      </c>
      <c r="D11877" s="2">
        <v>2171.92</v>
      </c>
      <c r="E11877" s="2">
        <v>0</v>
      </c>
      <c r="F11877" t="s">
        <v>13</v>
      </c>
      <c r="G11877" t="s">
        <v>9</v>
      </c>
    </row>
    <row r="11878" spans="1:7" x14ac:dyDescent="0.35">
      <c r="A11878">
        <v>4722</v>
      </c>
      <c r="B11878" s="1">
        <v>45882</v>
      </c>
      <c r="C11878" t="s">
        <v>12</v>
      </c>
      <c r="D11878" s="2">
        <v>0</v>
      </c>
      <c r="E11878" s="2">
        <v>2020.39</v>
      </c>
      <c r="F11878" t="s">
        <v>14</v>
      </c>
      <c r="G11878" t="s">
        <v>15</v>
      </c>
    </row>
    <row r="11879" spans="1:7" x14ac:dyDescent="0.35">
      <c r="A11879">
        <v>4722</v>
      </c>
      <c r="B11879" s="1">
        <v>45882</v>
      </c>
      <c r="C11879" t="s">
        <v>12</v>
      </c>
      <c r="D11879" s="2">
        <v>0</v>
      </c>
      <c r="E11879" s="2">
        <v>151.53</v>
      </c>
      <c r="F11879" t="s">
        <v>16</v>
      </c>
      <c r="G11879" t="s">
        <v>17</v>
      </c>
    </row>
    <row r="11880" spans="1:7" x14ac:dyDescent="0.35">
      <c r="A11880">
        <v>4723</v>
      </c>
      <c r="B11880" s="1">
        <v>45882</v>
      </c>
      <c r="C11880" t="s">
        <v>12</v>
      </c>
      <c r="D11880" s="2">
        <v>286.24</v>
      </c>
      <c r="E11880" s="2">
        <v>0</v>
      </c>
      <c r="F11880" t="s">
        <v>13</v>
      </c>
      <c r="G11880" t="s">
        <v>9</v>
      </c>
    </row>
    <row r="11881" spans="1:7" x14ac:dyDescent="0.35">
      <c r="A11881">
        <v>4723</v>
      </c>
      <c r="B11881" s="1">
        <v>45882</v>
      </c>
      <c r="C11881" t="s">
        <v>12</v>
      </c>
      <c r="D11881" s="2">
        <v>0</v>
      </c>
      <c r="E11881" s="2">
        <v>266.27</v>
      </c>
      <c r="F11881" t="s">
        <v>14</v>
      </c>
      <c r="G11881" t="s">
        <v>15</v>
      </c>
    </row>
    <row r="11882" spans="1:7" x14ac:dyDescent="0.35">
      <c r="A11882">
        <v>4723</v>
      </c>
      <c r="B11882" s="1">
        <v>45882</v>
      </c>
      <c r="C11882" t="s">
        <v>12</v>
      </c>
      <c r="D11882" s="2">
        <v>0</v>
      </c>
      <c r="E11882" s="2">
        <v>19.97</v>
      </c>
      <c r="F11882" t="s">
        <v>16</v>
      </c>
      <c r="G11882" t="s">
        <v>17</v>
      </c>
    </row>
    <row r="11883" spans="1:7" x14ac:dyDescent="0.35">
      <c r="A11883">
        <v>4724</v>
      </c>
      <c r="B11883" s="1">
        <v>45882</v>
      </c>
      <c r="C11883" t="s">
        <v>12</v>
      </c>
      <c r="D11883" s="2">
        <v>2516.36</v>
      </c>
      <c r="E11883" s="2">
        <v>0</v>
      </c>
      <c r="F11883" t="s">
        <v>13</v>
      </c>
      <c r="G11883" t="s">
        <v>9</v>
      </c>
    </row>
    <row r="11884" spans="1:7" x14ac:dyDescent="0.35">
      <c r="A11884">
        <v>4724</v>
      </c>
      <c r="B11884" s="1">
        <v>45882</v>
      </c>
      <c r="C11884" t="s">
        <v>12</v>
      </c>
      <c r="D11884" s="2">
        <v>0</v>
      </c>
      <c r="E11884" s="2">
        <v>2340.8000000000002</v>
      </c>
      <c r="F11884" t="s">
        <v>14</v>
      </c>
      <c r="G11884" t="s">
        <v>15</v>
      </c>
    </row>
    <row r="11885" spans="1:7" x14ac:dyDescent="0.35">
      <c r="A11885">
        <v>4724</v>
      </c>
      <c r="B11885" s="1">
        <v>45882</v>
      </c>
      <c r="C11885" t="s">
        <v>12</v>
      </c>
      <c r="D11885" s="2">
        <v>0</v>
      </c>
      <c r="E11885" s="2">
        <v>175.56</v>
      </c>
      <c r="F11885" t="s">
        <v>16</v>
      </c>
      <c r="G11885" t="s">
        <v>17</v>
      </c>
    </row>
    <row r="11886" spans="1:7" x14ac:dyDescent="0.35">
      <c r="A11886">
        <v>4725</v>
      </c>
      <c r="B11886" s="1">
        <v>45882</v>
      </c>
      <c r="C11886" t="s">
        <v>12</v>
      </c>
      <c r="D11886" s="2">
        <v>2143.84</v>
      </c>
      <c r="E11886" s="2">
        <v>0</v>
      </c>
      <c r="F11886" t="s">
        <v>13</v>
      </c>
      <c r="G11886" t="s">
        <v>9</v>
      </c>
    </row>
    <row r="11887" spans="1:7" x14ac:dyDescent="0.35">
      <c r="A11887">
        <v>4725</v>
      </c>
      <c r="B11887" s="1">
        <v>45882</v>
      </c>
      <c r="C11887" t="s">
        <v>12</v>
      </c>
      <c r="D11887" s="2">
        <v>0</v>
      </c>
      <c r="E11887" s="2">
        <v>1994.27</v>
      </c>
      <c r="F11887" t="s">
        <v>14</v>
      </c>
      <c r="G11887" t="s">
        <v>15</v>
      </c>
    </row>
    <row r="11888" spans="1:7" x14ac:dyDescent="0.35">
      <c r="A11888">
        <v>4725</v>
      </c>
      <c r="B11888" s="1">
        <v>45882</v>
      </c>
      <c r="C11888" t="s">
        <v>12</v>
      </c>
      <c r="D11888" s="2">
        <v>0</v>
      </c>
      <c r="E11888" s="2">
        <v>149.57</v>
      </c>
      <c r="F11888" t="s">
        <v>16</v>
      </c>
      <c r="G11888" t="s">
        <v>17</v>
      </c>
    </row>
    <row r="11889" spans="1:7" x14ac:dyDescent="0.35">
      <c r="A11889">
        <v>4726</v>
      </c>
      <c r="B11889" s="1">
        <v>45882</v>
      </c>
      <c r="C11889" t="s">
        <v>24</v>
      </c>
      <c r="D11889" s="2">
        <v>996.01</v>
      </c>
      <c r="E11889" s="2">
        <v>0</v>
      </c>
      <c r="F11889" t="s">
        <v>8</v>
      </c>
      <c r="G11889" t="s">
        <v>9</v>
      </c>
    </row>
    <row r="11890" spans="1:7" x14ac:dyDescent="0.35">
      <c r="A11890">
        <v>4726</v>
      </c>
      <c r="B11890" s="1">
        <v>45882</v>
      </c>
      <c r="C11890" t="s">
        <v>24</v>
      </c>
      <c r="D11890" s="2">
        <v>0</v>
      </c>
      <c r="E11890" s="2">
        <v>996.01</v>
      </c>
      <c r="F11890" t="s">
        <v>13</v>
      </c>
      <c r="G11890" t="s">
        <v>9</v>
      </c>
    </row>
    <row r="11891" spans="1:7" x14ac:dyDescent="0.35">
      <c r="A11891">
        <v>4727</v>
      </c>
      <c r="B11891" s="1">
        <v>45882</v>
      </c>
      <c r="C11891" t="s">
        <v>24</v>
      </c>
      <c r="D11891" s="2">
        <v>3484.27</v>
      </c>
      <c r="E11891" s="2">
        <v>0</v>
      </c>
      <c r="F11891" t="s">
        <v>8</v>
      </c>
      <c r="G11891" t="s">
        <v>9</v>
      </c>
    </row>
    <row r="11892" spans="1:7" x14ac:dyDescent="0.35">
      <c r="A11892">
        <v>4727</v>
      </c>
      <c r="B11892" s="1">
        <v>45882</v>
      </c>
      <c r="C11892" t="s">
        <v>24</v>
      </c>
      <c r="D11892" s="2">
        <v>0</v>
      </c>
      <c r="E11892" s="2">
        <v>3484.27</v>
      </c>
      <c r="F11892" t="s">
        <v>13</v>
      </c>
      <c r="G11892" t="s">
        <v>9</v>
      </c>
    </row>
    <row r="11893" spans="1:7" x14ac:dyDescent="0.35">
      <c r="A11893">
        <v>4728</v>
      </c>
      <c r="B11893" s="1">
        <v>45882</v>
      </c>
      <c r="C11893" t="s">
        <v>24</v>
      </c>
      <c r="D11893" s="2">
        <v>321.68</v>
      </c>
      <c r="E11893" s="2">
        <v>0</v>
      </c>
      <c r="F11893" t="s">
        <v>8</v>
      </c>
      <c r="G11893" t="s">
        <v>9</v>
      </c>
    </row>
    <row r="11894" spans="1:7" x14ac:dyDescent="0.35">
      <c r="A11894">
        <v>4728</v>
      </c>
      <c r="B11894" s="1">
        <v>45882</v>
      </c>
      <c r="C11894" t="s">
        <v>24</v>
      </c>
      <c r="D11894" s="2">
        <v>0</v>
      </c>
      <c r="E11894" s="2">
        <v>321.68</v>
      </c>
      <c r="F11894" t="s">
        <v>13</v>
      </c>
      <c r="G11894" t="s">
        <v>9</v>
      </c>
    </row>
    <row r="11895" spans="1:7" x14ac:dyDescent="0.35">
      <c r="A11895">
        <v>4729</v>
      </c>
      <c r="B11895" s="1">
        <v>45882</v>
      </c>
      <c r="C11895" t="s">
        <v>24</v>
      </c>
      <c r="D11895" s="2">
        <v>633.76</v>
      </c>
      <c r="E11895" s="2">
        <v>0</v>
      </c>
      <c r="F11895" t="s">
        <v>8</v>
      </c>
      <c r="G11895" t="s">
        <v>9</v>
      </c>
    </row>
    <row r="11896" spans="1:7" x14ac:dyDescent="0.35">
      <c r="A11896">
        <v>4729</v>
      </c>
      <c r="B11896" s="1">
        <v>45882</v>
      </c>
      <c r="C11896" t="s">
        <v>24</v>
      </c>
      <c r="D11896" s="2">
        <v>0</v>
      </c>
      <c r="E11896" s="2">
        <v>633.76</v>
      </c>
      <c r="F11896" t="s">
        <v>13</v>
      </c>
      <c r="G11896" t="s">
        <v>9</v>
      </c>
    </row>
    <row r="11897" spans="1:7" x14ac:dyDescent="0.35">
      <c r="A11897">
        <v>4730</v>
      </c>
      <c r="B11897" s="1">
        <v>45882</v>
      </c>
      <c r="C11897" t="s">
        <v>24</v>
      </c>
      <c r="D11897" s="2">
        <v>2853.68</v>
      </c>
      <c r="E11897" s="2">
        <v>0</v>
      </c>
      <c r="F11897" t="s">
        <v>8</v>
      </c>
      <c r="G11897" t="s">
        <v>9</v>
      </c>
    </row>
    <row r="11898" spans="1:7" x14ac:dyDescent="0.35">
      <c r="A11898">
        <v>4730</v>
      </c>
      <c r="B11898" s="1">
        <v>45882</v>
      </c>
      <c r="C11898" t="s">
        <v>24</v>
      </c>
      <c r="D11898" s="2">
        <v>0</v>
      </c>
      <c r="E11898" s="2">
        <v>2853.68</v>
      </c>
      <c r="F11898" t="s">
        <v>13</v>
      </c>
      <c r="G11898" t="s">
        <v>9</v>
      </c>
    </row>
    <row r="11899" spans="1:7" x14ac:dyDescent="0.35">
      <c r="A11899">
        <v>4731</v>
      </c>
      <c r="B11899" s="1">
        <v>45882</v>
      </c>
      <c r="C11899" t="s">
        <v>25</v>
      </c>
      <c r="D11899" s="2">
        <v>166.52</v>
      </c>
      <c r="E11899" s="2">
        <v>0</v>
      </c>
      <c r="F11899" t="s">
        <v>26</v>
      </c>
      <c r="G11899" t="s">
        <v>20</v>
      </c>
    </row>
    <row r="11900" spans="1:7" x14ac:dyDescent="0.35">
      <c r="A11900">
        <v>4731</v>
      </c>
      <c r="B11900" s="1">
        <v>45882</v>
      </c>
      <c r="C11900" t="s">
        <v>25</v>
      </c>
      <c r="D11900" s="2">
        <v>12.49</v>
      </c>
      <c r="E11900" s="2">
        <v>0</v>
      </c>
      <c r="F11900" t="s">
        <v>27</v>
      </c>
      <c r="G11900" t="s">
        <v>9</v>
      </c>
    </row>
    <row r="11901" spans="1:7" x14ac:dyDescent="0.35">
      <c r="A11901">
        <v>4731</v>
      </c>
      <c r="B11901" s="1">
        <v>45882</v>
      </c>
      <c r="C11901" t="s">
        <v>25</v>
      </c>
      <c r="D11901" s="2">
        <v>0</v>
      </c>
      <c r="E11901" s="2">
        <v>179.01</v>
      </c>
      <c r="F11901" t="s">
        <v>28</v>
      </c>
      <c r="G11901" t="s">
        <v>17</v>
      </c>
    </row>
    <row r="11902" spans="1:7" x14ac:dyDescent="0.35">
      <c r="A11902">
        <v>4732</v>
      </c>
      <c r="B11902" s="1">
        <v>45882</v>
      </c>
      <c r="C11902" t="s">
        <v>29</v>
      </c>
      <c r="D11902" s="2">
        <v>1935.04</v>
      </c>
      <c r="E11902" s="2">
        <v>0</v>
      </c>
      <c r="F11902" t="s">
        <v>28</v>
      </c>
      <c r="G11902" t="s">
        <v>17</v>
      </c>
    </row>
    <row r="11903" spans="1:7" x14ac:dyDescent="0.35">
      <c r="A11903">
        <v>4732</v>
      </c>
      <c r="B11903" s="1">
        <v>45882</v>
      </c>
      <c r="C11903" t="s">
        <v>29</v>
      </c>
      <c r="D11903" s="2">
        <v>0</v>
      </c>
      <c r="E11903" s="2">
        <v>1935.04</v>
      </c>
      <c r="F11903" t="s">
        <v>8</v>
      </c>
      <c r="G11903" t="s">
        <v>9</v>
      </c>
    </row>
    <row r="11904" spans="1:7" x14ac:dyDescent="0.35">
      <c r="A11904">
        <v>4733</v>
      </c>
      <c r="B11904" s="1">
        <v>45883</v>
      </c>
      <c r="C11904" t="s">
        <v>18</v>
      </c>
      <c r="D11904" s="2">
        <v>21543.7</v>
      </c>
      <c r="E11904" s="2">
        <v>0</v>
      </c>
      <c r="F11904" t="s">
        <v>19</v>
      </c>
      <c r="G11904" t="s">
        <v>20</v>
      </c>
    </row>
    <row r="11905" spans="1:7" x14ac:dyDescent="0.35">
      <c r="A11905">
        <v>4733</v>
      </c>
      <c r="B11905" s="1">
        <v>45883</v>
      </c>
      <c r="C11905" t="s">
        <v>18</v>
      </c>
      <c r="D11905" s="2">
        <v>861.75</v>
      </c>
      <c r="E11905" s="2">
        <v>0</v>
      </c>
      <c r="F11905" t="s">
        <v>21</v>
      </c>
      <c r="G11905" t="s">
        <v>20</v>
      </c>
    </row>
    <row r="11906" spans="1:7" x14ac:dyDescent="0.35">
      <c r="A11906">
        <v>4733</v>
      </c>
      <c r="B11906" s="1">
        <v>45883</v>
      </c>
      <c r="C11906" t="s">
        <v>18</v>
      </c>
      <c r="D11906" s="2">
        <v>0</v>
      </c>
      <c r="E11906" s="2">
        <v>17507.810000000001</v>
      </c>
      <c r="F11906" t="s">
        <v>8</v>
      </c>
      <c r="G11906" t="s">
        <v>9</v>
      </c>
    </row>
    <row r="11907" spans="1:7" x14ac:dyDescent="0.35">
      <c r="A11907">
        <v>4733</v>
      </c>
      <c r="B11907" s="1">
        <v>45883</v>
      </c>
      <c r="C11907" t="s">
        <v>18</v>
      </c>
      <c r="D11907" s="2">
        <v>0</v>
      </c>
      <c r="E11907" s="2">
        <v>4035.89</v>
      </c>
      <c r="F11907" t="s">
        <v>22</v>
      </c>
      <c r="G11907" t="s">
        <v>17</v>
      </c>
    </row>
    <row r="11908" spans="1:7" x14ac:dyDescent="0.35">
      <c r="A11908">
        <v>4733</v>
      </c>
      <c r="B11908" s="1">
        <v>45883</v>
      </c>
      <c r="C11908" t="s">
        <v>18</v>
      </c>
      <c r="D11908" s="2">
        <v>0</v>
      </c>
      <c r="E11908" s="2">
        <v>861.75</v>
      </c>
      <c r="F11908" t="s">
        <v>23</v>
      </c>
      <c r="G11908" t="s">
        <v>17</v>
      </c>
    </row>
    <row r="11909" spans="1:7" x14ac:dyDescent="0.35">
      <c r="A11909">
        <v>4734</v>
      </c>
      <c r="B11909" s="1">
        <v>45883</v>
      </c>
      <c r="C11909" t="s">
        <v>12</v>
      </c>
      <c r="D11909" s="2">
        <v>1333.3</v>
      </c>
      <c r="E11909" s="2">
        <v>0</v>
      </c>
      <c r="F11909" t="s">
        <v>13</v>
      </c>
      <c r="G11909" t="s">
        <v>9</v>
      </c>
    </row>
    <row r="11910" spans="1:7" x14ac:dyDescent="0.35">
      <c r="A11910">
        <v>4734</v>
      </c>
      <c r="B11910" s="1">
        <v>45883</v>
      </c>
      <c r="C11910" t="s">
        <v>12</v>
      </c>
      <c r="D11910" s="2">
        <v>0</v>
      </c>
      <c r="E11910" s="2">
        <v>1240.28</v>
      </c>
      <c r="F11910" t="s">
        <v>14</v>
      </c>
      <c r="G11910" t="s">
        <v>15</v>
      </c>
    </row>
    <row r="11911" spans="1:7" x14ac:dyDescent="0.35">
      <c r="A11911">
        <v>4734</v>
      </c>
      <c r="B11911" s="1">
        <v>45883</v>
      </c>
      <c r="C11911" t="s">
        <v>12</v>
      </c>
      <c r="D11911" s="2">
        <v>0</v>
      </c>
      <c r="E11911" s="2">
        <v>93.02</v>
      </c>
      <c r="F11911" t="s">
        <v>16</v>
      </c>
      <c r="G11911" t="s">
        <v>17</v>
      </c>
    </row>
    <row r="11912" spans="1:7" x14ac:dyDescent="0.35">
      <c r="A11912">
        <v>4735</v>
      </c>
      <c r="B11912" s="1">
        <v>45883</v>
      </c>
      <c r="C11912" t="s">
        <v>12</v>
      </c>
      <c r="D11912" s="2">
        <v>3940.98</v>
      </c>
      <c r="E11912" s="2">
        <v>0</v>
      </c>
      <c r="F11912" t="s">
        <v>13</v>
      </c>
      <c r="G11912" t="s">
        <v>9</v>
      </c>
    </row>
    <row r="11913" spans="1:7" x14ac:dyDescent="0.35">
      <c r="A11913">
        <v>4735</v>
      </c>
      <c r="B11913" s="1">
        <v>45883</v>
      </c>
      <c r="C11913" t="s">
        <v>12</v>
      </c>
      <c r="D11913" s="2">
        <v>0</v>
      </c>
      <c r="E11913" s="2">
        <v>3666.03</v>
      </c>
      <c r="F11913" t="s">
        <v>14</v>
      </c>
      <c r="G11913" t="s">
        <v>15</v>
      </c>
    </row>
    <row r="11914" spans="1:7" x14ac:dyDescent="0.35">
      <c r="A11914">
        <v>4735</v>
      </c>
      <c r="B11914" s="1">
        <v>45883</v>
      </c>
      <c r="C11914" t="s">
        <v>12</v>
      </c>
      <c r="D11914" s="2">
        <v>0</v>
      </c>
      <c r="E11914" s="2">
        <v>274.95</v>
      </c>
      <c r="F11914" t="s">
        <v>16</v>
      </c>
      <c r="G11914" t="s">
        <v>17</v>
      </c>
    </row>
    <row r="11915" spans="1:7" x14ac:dyDescent="0.35">
      <c r="A11915">
        <v>4736</v>
      </c>
      <c r="B11915" s="1">
        <v>45883</v>
      </c>
      <c r="C11915" t="s">
        <v>12</v>
      </c>
      <c r="D11915" s="2">
        <v>603.70000000000005</v>
      </c>
      <c r="E11915" s="2">
        <v>0</v>
      </c>
      <c r="F11915" t="s">
        <v>13</v>
      </c>
      <c r="G11915" t="s">
        <v>9</v>
      </c>
    </row>
    <row r="11916" spans="1:7" x14ac:dyDescent="0.35">
      <c r="A11916">
        <v>4736</v>
      </c>
      <c r="B11916" s="1">
        <v>45883</v>
      </c>
      <c r="C11916" t="s">
        <v>12</v>
      </c>
      <c r="D11916" s="2">
        <v>0</v>
      </c>
      <c r="E11916" s="2">
        <v>561.58000000000004</v>
      </c>
      <c r="F11916" t="s">
        <v>14</v>
      </c>
      <c r="G11916" t="s">
        <v>15</v>
      </c>
    </row>
    <row r="11917" spans="1:7" x14ac:dyDescent="0.35">
      <c r="A11917">
        <v>4736</v>
      </c>
      <c r="B11917" s="1">
        <v>45883</v>
      </c>
      <c r="C11917" t="s">
        <v>12</v>
      </c>
      <c r="D11917" s="2">
        <v>0</v>
      </c>
      <c r="E11917" s="2">
        <v>42.12</v>
      </c>
      <c r="F11917" t="s">
        <v>16</v>
      </c>
      <c r="G11917" t="s">
        <v>17</v>
      </c>
    </row>
    <row r="11918" spans="1:7" x14ac:dyDescent="0.35">
      <c r="A11918">
        <v>4737</v>
      </c>
      <c r="B11918" s="1">
        <v>45883</v>
      </c>
      <c r="C11918" t="s">
        <v>24</v>
      </c>
      <c r="D11918" s="2">
        <v>1826.77</v>
      </c>
      <c r="E11918" s="2">
        <v>0</v>
      </c>
      <c r="F11918" t="s">
        <v>8</v>
      </c>
      <c r="G11918" t="s">
        <v>9</v>
      </c>
    </row>
    <row r="11919" spans="1:7" x14ac:dyDescent="0.35">
      <c r="A11919">
        <v>4737</v>
      </c>
      <c r="B11919" s="1">
        <v>45883</v>
      </c>
      <c r="C11919" t="s">
        <v>24</v>
      </c>
      <c r="D11919" s="2">
        <v>0</v>
      </c>
      <c r="E11919" s="2">
        <v>1826.77</v>
      </c>
      <c r="F11919" t="s">
        <v>13</v>
      </c>
      <c r="G11919" t="s">
        <v>9</v>
      </c>
    </row>
    <row r="11920" spans="1:7" x14ac:dyDescent="0.35">
      <c r="A11920">
        <v>4738</v>
      </c>
      <c r="B11920" s="1">
        <v>45883</v>
      </c>
      <c r="C11920" t="s">
        <v>24</v>
      </c>
      <c r="D11920" s="2">
        <v>1435.53</v>
      </c>
      <c r="E11920" s="2">
        <v>0</v>
      </c>
      <c r="F11920" t="s">
        <v>8</v>
      </c>
      <c r="G11920" t="s">
        <v>9</v>
      </c>
    </row>
    <row r="11921" spans="1:7" x14ac:dyDescent="0.35">
      <c r="A11921">
        <v>4738</v>
      </c>
      <c r="B11921" s="1">
        <v>45883</v>
      </c>
      <c r="C11921" t="s">
        <v>24</v>
      </c>
      <c r="D11921" s="2">
        <v>0</v>
      </c>
      <c r="E11921" s="2">
        <v>1435.53</v>
      </c>
      <c r="F11921" t="s">
        <v>13</v>
      </c>
      <c r="G11921" t="s">
        <v>9</v>
      </c>
    </row>
    <row r="11922" spans="1:7" x14ac:dyDescent="0.35">
      <c r="A11922">
        <v>4739</v>
      </c>
      <c r="B11922" s="1">
        <v>45883</v>
      </c>
      <c r="C11922" t="s">
        <v>24</v>
      </c>
      <c r="D11922" s="2">
        <v>526.87</v>
      </c>
      <c r="E11922" s="2">
        <v>0</v>
      </c>
      <c r="F11922" t="s">
        <v>8</v>
      </c>
      <c r="G11922" t="s">
        <v>9</v>
      </c>
    </row>
    <row r="11923" spans="1:7" x14ac:dyDescent="0.35">
      <c r="A11923">
        <v>4739</v>
      </c>
      <c r="B11923" s="1">
        <v>45883</v>
      </c>
      <c r="C11923" t="s">
        <v>24</v>
      </c>
      <c r="D11923" s="2">
        <v>0</v>
      </c>
      <c r="E11923" s="2">
        <v>526.87</v>
      </c>
      <c r="F11923" t="s">
        <v>13</v>
      </c>
      <c r="G11923" t="s">
        <v>9</v>
      </c>
    </row>
    <row r="11924" spans="1:7" x14ac:dyDescent="0.35">
      <c r="A11924">
        <v>4740</v>
      </c>
      <c r="B11924" s="1">
        <v>45883</v>
      </c>
      <c r="C11924" t="s">
        <v>24</v>
      </c>
      <c r="D11924" s="2">
        <v>112.23</v>
      </c>
      <c r="E11924" s="2">
        <v>0</v>
      </c>
      <c r="F11924" t="s">
        <v>8</v>
      </c>
      <c r="G11924" t="s">
        <v>9</v>
      </c>
    </row>
    <row r="11925" spans="1:7" x14ac:dyDescent="0.35">
      <c r="A11925">
        <v>4740</v>
      </c>
      <c r="B11925" s="1">
        <v>45883</v>
      </c>
      <c r="C11925" t="s">
        <v>24</v>
      </c>
      <c r="D11925" s="2">
        <v>0</v>
      </c>
      <c r="E11925" s="2">
        <v>112.23</v>
      </c>
      <c r="F11925" t="s">
        <v>13</v>
      </c>
      <c r="G11925" t="s">
        <v>9</v>
      </c>
    </row>
    <row r="11926" spans="1:7" x14ac:dyDescent="0.35">
      <c r="A11926">
        <v>4741</v>
      </c>
      <c r="B11926" s="1">
        <v>45883</v>
      </c>
      <c r="C11926" t="s">
        <v>24</v>
      </c>
      <c r="D11926" s="2">
        <v>2340.56</v>
      </c>
      <c r="E11926" s="2">
        <v>0</v>
      </c>
      <c r="F11926" t="s">
        <v>8</v>
      </c>
      <c r="G11926" t="s">
        <v>9</v>
      </c>
    </row>
    <row r="11927" spans="1:7" x14ac:dyDescent="0.35">
      <c r="A11927">
        <v>4741</v>
      </c>
      <c r="B11927" s="1">
        <v>45883</v>
      </c>
      <c r="C11927" t="s">
        <v>24</v>
      </c>
      <c r="D11927" s="2">
        <v>0</v>
      </c>
      <c r="E11927" s="2">
        <v>2340.56</v>
      </c>
      <c r="F11927" t="s">
        <v>13</v>
      </c>
      <c r="G11927" t="s">
        <v>9</v>
      </c>
    </row>
    <row r="11928" spans="1:7" x14ac:dyDescent="0.35">
      <c r="A11928">
        <v>4742</v>
      </c>
      <c r="B11928" s="1">
        <v>45883</v>
      </c>
      <c r="C11928" t="s">
        <v>24</v>
      </c>
      <c r="D11928" s="2">
        <v>1580.63</v>
      </c>
      <c r="E11928" s="2">
        <v>0</v>
      </c>
      <c r="F11928" t="s">
        <v>8</v>
      </c>
      <c r="G11928" t="s">
        <v>9</v>
      </c>
    </row>
    <row r="11929" spans="1:7" x14ac:dyDescent="0.35">
      <c r="A11929">
        <v>4742</v>
      </c>
      <c r="B11929" s="1">
        <v>45883</v>
      </c>
      <c r="C11929" t="s">
        <v>24</v>
      </c>
      <c r="D11929" s="2">
        <v>0</v>
      </c>
      <c r="E11929" s="2">
        <v>1580.63</v>
      </c>
      <c r="F11929" t="s">
        <v>13</v>
      </c>
      <c r="G11929" t="s">
        <v>9</v>
      </c>
    </row>
    <row r="11930" spans="1:7" x14ac:dyDescent="0.35">
      <c r="A11930">
        <v>4743</v>
      </c>
      <c r="B11930" s="1">
        <v>45883</v>
      </c>
      <c r="C11930" t="s">
        <v>24</v>
      </c>
      <c r="D11930" s="2">
        <v>493.79</v>
      </c>
      <c r="E11930" s="2">
        <v>0</v>
      </c>
      <c r="F11930" t="s">
        <v>8</v>
      </c>
      <c r="G11930" t="s">
        <v>9</v>
      </c>
    </row>
    <row r="11931" spans="1:7" x14ac:dyDescent="0.35">
      <c r="A11931">
        <v>4743</v>
      </c>
      <c r="B11931" s="1">
        <v>45883</v>
      </c>
      <c r="C11931" t="s">
        <v>24</v>
      </c>
      <c r="D11931" s="2">
        <v>0</v>
      </c>
      <c r="E11931" s="2">
        <v>493.79</v>
      </c>
      <c r="F11931" t="s">
        <v>13</v>
      </c>
      <c r="G11931" t="s">
        <v>9</v>
      </c>
    </row>
    <row r="11932" spans="1:7" x14ac:dyDescent="0.35">
      <c r="A11932">
        <v>4744</v>
      </c>
      <c r="B11932" s="1">
        <v>45883</v>
      </c>
      <c r="C11932" t="s">
        <v>29</v>
      </c>
      <c r="D11932" s="2">
        <v>2093.2800000000002</v>
      </c>
      <c r="E11932" s="2">
        <v>0</v>
      </c>
      <c r="F11932" t="s">
        <v>28</v>
      </c>
      <c r="G11932" t="s">
        <v>17</v>
      </c>
    </row>
    <row r="11933" spans="1:7" x14ac:dyDescent="0.35">
      <c r="A11933">
        <v>4744</v>
      </c>
      <c r="B11933" s="1">
        <v>45883</v>
      </c>
      <c r="C11933" t="s">
        <v>29</v>
      </c>
      <c r="D11933" s="2">
        <v>0</v>
      </c>
      <c r="E11933" s="2">
        <v>2093.2800000000002</v>
      </c>
      <c r="F11933" t="s">
        <v>8</v>
      </c>
      <c r="G11933" t="s">
        <v>9</v>
      </c>
    </row>
    <row r="11934" spans="1:7" x14ac:dyDescent="0.35">
      <c r="A11934">
        <v>4745</v>
      </c>
      <c r="B11934" s="1">
        <v>45884</v>
      </c>
      <c r="C11934" t="s">
        <v>12</v>
      </c>
      <c r="D11934" s="2">
        <v>4775.1499999999996</v>
      </c>
      <c r="E11934" s="2">
        <v>0</v>
      </c>
      <c r="F11934" t="s">
        <v>13</v>
      </c>
      <c r="G11934" t="s">
        <v>9</v>
      </c>
    </row>
    <row r="11935" spans="1:7" x14ac:dyDescent="0.35">
      <c r="A11935">
        <v>4745</v>
      </c>
      <c r="B11935" s="1">
        <v>45884</v>
      </c>
      <c r="C11935" t="s">
        <v>12</v>
      </c>
      <c r="D11935" s="2">
        <v>0</v>
      </c>
      <c r="E11935" s="2">
        <v>4442</v>
      </c>
      <c r="F11935" t="s">
        <v>14</v>
      </c>
      <c r="G11935" t="s">
        <v>15</v>
      </c>
    </row>
    <row r="11936" spans="1:7" x14ac:dyDescent="0.35">
      <c r="A11936">
        <v>4745</v>
      </c>
      <c r="B11936" s="1">
        <v>45884</v>
      </c>
      <c r="C11936" t="s">
        <v>12</v>
      </c>
      <c r="D11936" s="2">
        <v>0</v>
      </c>
      <c r="E11936" s="2">
        <v>333.15</v>
      </c>
      <c r="F11936" t="s">
        <v>16</v>
      </c>
      <c r="G11936" t="s">
        <v>17</v>
      </c>
    </row>
    <row r="11937" spans="1:7" x14ac:dyDescent="0.35">
      <c r="A11937">
        <v>4746</v>
      </c>
      <c r="B11937" s="1">
        <v>45884</v>
      </c>
      <c r="C11937" t="s">
        <v>12</v>
      </c>
      <c r="D11937" s="2">
        <v>441.26</v>
      </c>
      <c r="E11937" s="2">
        <v>0</v>
      </c>
      <c r="F11937" t="s">
        <v>13</v>
      </c>
      <c r="G11937" t="s">
        <v>9</v>
      </c>
    </row>
    <row r="11938" spans="1:7" x14ac:dyDescent="0.35">
      <c r="A11938">
        <v>4746</v>
      </c>
      <c r="B11938" s="1">
        <v>45884</v>
      </c>
      <c r="C11938" t="s">
        <v>12</v>
      </c>
      <c r="D11938" s="2">
        <v>0</v>
      </c>
      <c r="E11938" s="2">
        <v>410.47</v>
      </c>
      <c r="F11938" t="s">
        <v>14</v>
      </c>
      <c r="G11938" t="s">
        <v>15</v>
      </c>
    </row>
    <row r="11939" spans="1:7" x14ac:dyDescent="0.35">
      <c r="A11939">
        <v>4746</v>
      </c>
      <c r="B11939" s="1">
        <v>45884</v>
      </c>
      <c r="C11939" t="s">
        <v>12</v>
      </c>
      <c r="D11939" s="2">
        <v>0</v>
      </c>
      <c r="E11939" s="2">
        <v>30.79</v>
      </c>
      <c r="F11939" t="s">
        <v>16</v>
      </c>
      <c r="G11939" t="s">
        <v>17</v>
      </c>
    </row>
    <row r="11940" spans="1:7" x14ac:dyDescent="0.35">
      <c r="A11940">
        <v>4747</v>
      </c>
      <c r="B11940" s="1">
        <v>45884</v>
      </c>
      <c r="C11940" t="s">
        <v>12</v>
      </c>
      <c r="D11940" s="2">
        <v>183.86</v>
      </c>
      <c r="E11940" s="2">
        <v>0</v>
      </c>
      <c r="F11940" t="s">
        <v>13</v>
      </c>
      <c r="G11940" t="s">
        <v>9</v>
      </c>
    </row>
    <row r="11941" spans="1:7" x14ac:dyDescent="0.35">
      <c r="A11941">
        <v>4747</v>
      </c>
      <c r="B11941" s="1">
        <v>45884</v>
      </c>
      <c r="C11941" t="s">
        <v>12</v>
      </c>
      <c r="D11941" s="2">
        <v>0</v>
      </c>
      <c r="E11941" s="2">
        <v>171.03</v>
      </c>
      <c r="F11941" t="s">
        <v>14</v>
      </c>
      <c r="G11941" t="s">
        <v>15</v>
      </c>
    </row>
    <row r="11942" spans="1:7" x14ac:dyDescent="0.35">
      <c r="A11942">
        <v>4747</v>
      </c>
      <c r="B11942" s="1">
        <v>45884</v>
      </c>
      <c r="C11942" t="s">
        <v>12</v>
      </c>
      <c r="D11942" s="2">
        <v>0</v>
      </c>
      <c r="E11942" s="2">
        <v>12.83</v>
      </c>
      <c r="F11942" t="s">
        <v>16</v>
      </c>
      <c r="G11942" t="s">
        <v>17</v>
      </c>
    </row>
    <row r="11943" spans="1:7" x14ac:dyDescent="0.35">
      <c r="A11943">
        <v>4748</v>
      </c>
      <c r="B11943" s="1">
        <v>45884</v>
      </c>
      <c r="C11943" t="s">
        <v>12</v>
      </c>
      <c r="D11943" s="2">
        <v>236.29</v>
      </c>
      <c r="E11943" s="2">
        <v>0</v>
      </c>
      <c r="F11943" t="s">
        <v>13</v>
      </c>
      <c r="G11943" t="s">
        <v>9</v>
      </c>
    </row>
    <row r="11944" spans="1:7" x14ac:dyDescent="0.35">
      <c r="A11944">
        <v>4748</v>
      </c>
      <c r="B11944" s="1">
        <v>45884</v>
      </c>
      <c r="C11944" t="s">
        <v>12</v>
      </c>
      <c r="D11944" s="2">
        <v>0</v>
      </c>
      <c r="E11944" s="2">
        <v>219.8</v>
      </c>
      <c r="F11944" t="s">
        <v>14</v>
      </c>
      <c r="G11944" t="s">
        <v>15</v>
      </c>
    </row>
    <row r="11945" spans="1:7" x14ac:dyDescent="0.35">
      <c r="A11945">
        <v>4748</v>
      </c>
      <c r="B11945" s="1">
        <v>45884</v>
      </c>
      <c r="C11945" t="s">
        <v>12</v>
      </c>
      <c r="D11945" s="2">
        <v>0</v>
      </c>
      <c r="E11945" s="2">
        <v>16.489999999999998</v>
      </c>
      <c r="F11945" t="s">
        <v>16</v>
      </c>
      <c r="G11945" t="s">
        <v>17</v>
      </c>
    </row>
    <row r="11946" spans="1:7" x14ac:dyDescent="0.35">
      <c r="A11946">
        <v>4749</v>
      </c>
      <c r="B11946" s="1">
        <v>45884</v>
      </c>
      <c r="C11946" t="s">
        <v>12</v>
      </c>
      <c r="D11946" s="2">
        <v>1065.81</v>
      </c>
      <c r="E11946" s="2">
        <v>0</v>
      </c>
      <c r="F11946" t="s">
        <v>13</v>
      </c>
      <c r="G11946" t="s">
        <v>9</v>
      </c>
    </row>
    <row r="11947" spans="1:7" x14ac:dyDescent="0.35">
      <c r="A11947">
        <v>4749</v>
      </c>
      <c r="B11947" s="1">
        <v>45884</v>
      </c>
      <c r="C11947" t="s">
        <v>12</v>
      </c>
      <c r="D11947" s="2">
        <v>0</v>
      </c>
      <c r="E11947" s="2">
        <v>991.45</v>
      </c>
      <c r="F11947" t="s">
        <v>14</v>
      </c>
      <c r="G11947" t="s">
        <v>15</v>
      </c>
    </row>
    <row r="11948" spans="1:7" x14ac:dyDescent="0.35">
      <c r="A11948">
        <v>4749</v>
      </c>
      <c r="B11948" s="1">
        <v>45884</v>
      </c>
      <c r="C11948" t="s">
        <v>12</v>
      </c>
      <c r="D11948" s="2">
        <v>0</v>
      </c>
      <c r="E11948" s="2">
        <v>74.36</v>
      </c>
      <c r="F11948" t="s">
        <v>16</v>
      </c>
      <c r="G11948" t="s">
        <v>17</v>
      </c>
    </row>
    <row r="11949" spans="1:7" x14ac:dyDescent="0.35">
      <c r="A11949">
        <v>4750</v>
      </c>
      <c r="B11949" s="1">
        <v>45884</v>
      </c>
      <c r="C11949" t="s">
        <v>24</v>
      </c>
      <c r="D11949" s="2">
        <v>2322.5500000000002</v>
      </c>
      <c r="E11949" s="2">
        <v>0</v>
      </c>
      <c r="F11949" t="s">
        <v>8</v>
      </c>
      <c r="G11949" t="s">
        <v>9</v>
      </c>
    </row>
    <row r="11950" spans="1:7" x14ac:dyDescent="0.35">
      <c r="A11950">
        <v>4750</v>
      </c>
      <c r="B11950" s="1">
        <v>45884</v>
      </c>
      <c r="C11950" t="s">
        <v>24</v>
      </c>
      <c r="D11950" s="2">
        <v>0</v>
      </c>
      <c r="E11950" s="2">
        <v>2322.5500000000002</v>
      </c>
      <c r="F11950" t="s">
        <v>13</v>
      </c>
      <c r="G11950" t="s">
        <v>9</v>
      </c>
    </row>
    <row r="11951" spans="1:7" x14ac:dyDescent="0.35">
      <c r="A11951">
        <v>4751</v>
      </c>
      <c r="B11951" s="1">
        <v>45884</v>
      </c>
      <c r="C11951" t="s">
        <v>24</v>
      </c>
      <c r="D11951" s="2">
        <v>719.43</v>
      </c>
      <c r="E11951" s="2">
        <v>0</v>
      </c>
      <c r="F11951" t="s">
        <v>8</v>
      </c>
      <c r="G11951" t="s">
        <v>9</v>
      </c>
    </row>
    <row r="11952" spans="1:7" x14ac:dyDescent="0.35">
      <c r="A11952">
        <v>4751</v>
      </c>
      <c r="B11952" s="1">
        <v>45884</v>
      </c>
      <c r="C11952" t="s">
        <v>24</v>
      </c>
      <c r="D11952" s="2">
        <v>0</v>
      </c>
      <c r="E11952" s="2">
        <v>719.43</v>
      </c>
      <c r="F11952" t="s">
        <v>13</v>
      </c>
      <c r="G11952" t="s">
        <v>9</v>
      </c>
    </row>
    <row r="11953" spans="1:7" x14ac:dyDescent="0.35">
      <c r="A11953">
        <v>4752</v>
      </c>
      <c r="B11953" s="1">
        <v>45884</v>
      </c>
      <c r="C11953" t="s">
        <v>24</v>
      </c>
      <c r="D11953" s="2">
        <v>4082.41</v>
      </c>
      <c r="E11953" s="2">
        <v>0</v>
      </c>
      <c r="F11953" t="s">
        <v>8</v>
      </c>
      <c r="G11953" t="s">
        <v>9</v>
      </c>
    </row>
    <row r="11954" spans="1:7" x14ac:dyDescent="0.35">
      <c r="A11954">
        <v>4752</v>
      </c>
      <c r="B11954" s="1">
        <v>45884</v>
      </c>
      <c r="C11954" t="s">
        <v>24</v>
      </c>
      <c r="D11954" s="2">
        <v>0</v>
      </c>
      <c r="E11954" s="2">
        <v>4082.41</v>
      </c>
      <c r="F11954" t="s">
        <v>13</v>
      </c>
      <c r="G11954" t="s">
        <v>9</v>
      </c>
    </row>
    <row r="11955" spans="1:7" x14ac:dyDescent="0.35">
      <c r="A11955">
        <v>4753</v>
      </c>
      <c r="B11955" s="1">
        <v>45884</v>
      </c>
      <c r="C11955" t="s">
        <v>24</v>
      </c>
      <c r="D11955" s="2">
        <v>1056.8900000000001</v>
      </c>
      <c r="E11955" s="2">
        <v>0</v>
      </c>
      <c r="F11955" t="s">
        <v>8</v>
      </c>
      <c r="G11955" t="s">
        <v>9</v>
      </c>
    </row>
    <row r="11956" spans="1:7" x14ac:dyDescent="0.35">
      <c r="A11956">
        <v>4753</v>
      </c>
      <c r="B11956" s="1">
        <v>45884</v>
      </c>
      <c r="C11956" t="s">
        <v>24</v>
      </c>
      <c r="D11956" s="2">
        <v>0</v>
      </c>
      <c r="E11956" s="2">
        <v>1056.8900000000001</v>
      </c>
      <c r="F11956" t="s">
        <v>13</v>
      </c>
      <c r="G11956" t="s">
        <v>9</v>
      </c>
    </row>
    <row r="11957" spans="1:7" x14ac:dyDescent="0.35">
      <c r="A11957">
        <v>4754</v>
      </c>
      <c r="B11957" s="1">
        <v>45884</v>
      </c>
      <c r="C11957" t="s">
        <v>25</v>
      </c>
      <c r="D11957" s="2">
        <v>1800.04</v>
      </c>
      <c r="E11957" s="2">
        <v>0</v>
      </c>
      <c r="F11957" t="s">
        <v>26</v>
      </c>
      <c r="G11957" t="s">
        <v>20</v>
      </c>
    </row>
    <row r="11958" spans="1:7" x14ac:dyDescent="0.35">
      <c r="A11958">
        <v>4754</v>
      </c>
      <c r="B11958" s="1">
        <v>45884</v>
      </c>
      <c r="C11958" t="s">
        <v>25</v>
      </c>
      <c r="D11958" s="2">
        <v>135</v>
      </c>
      <c r="E11958" s="2">
        <v>0</v>
      </c>
      <c r="F11958" t="s">
        <v>27</v>
      </c>
      <c r="G11958" t="s">
        <v>9</v>
      </c>
    </row>
    <row r="11959" spans="1:7" x14ac:dyDescent="0.35">
      <c r="A11959">
        <v>4754</v>
      </c>
      <c r="B11959" s="1">
        <v>45884</v>
      </c>
      <c r="C11959" t="s">
        <v>25</v>
      </c>
      <c r="D11959" s="2">
        <v>0</v>
      </c>
      <c r="E11959" s="2">
        <v>1935.04</v>
      </c>
      <c r="F11959" t="s">
        <v>28</v>
      </c>
      <c r="G11959" t="s">
        <v>17</v>
      </c>
    </row>
    <row r="11960" spans="1:7" x14ac:dyDescent="0.35">
      <c r="A11960">
        <v>4755</v>
      </c>
      <c r="B11960" s="1">
        <v>45884</v>
      </c>
      <c r="C11960" t="s">
        <v>29</v>
      </c>
      <c r="D11960" s="2">
        <v>1958.74</v>
      </c>
      <c r="E11960" s="2">
        <v>0</v>
      </c>
      <c r="F11960" t="s">
        <v>28</v>
      </c>
      <c r="G11960" t="s">
        <v>17</v>
      </c>
    </row>
    <row r="11961" spans="1:7" x14ac:dyDescent="0.35">
      <c r="A11961">
        <v>4755</v>
      </c>
      <c r="B11961" s="1">
        <v>45884</v>
      </c>
      <c r="C11961" t="s">
        <v>29</v>
      </c>
      <c r="D11961" s="2">
        <v>0</v>
      </c>
      <c r="E11961" s="2">
        <v>1958.74</v>
      </c>
      <c r="F11961" t="s">
        <v>8</v>
      </c>
      <c r="G11961" t="s">
        <v>9</v>
      </c>
    </row>
    <row r="11962" spans="1:7" x14ac:dyDescent="0.35">
      <c r="A11962">
        <v>4756</v>
      </c>
      <c r="B11962" s="1">
        <v>45884</v>
      </c>
      <c r="C11962" t="s">
        <v>29</v>
      </c>
      <c r="D11962" s="2">
        <v>2918.17</v>
      </c>
      <c r="E11962" s="2">
        <v>0</v>
      </c>
      <c r="F11962" t="s">
        <v>28</v>
      </c>
      <c r="G11962" t="s">
        <v>17</v>
      </c>
    </row>
    <row r="11963" spans="1:7" x14ac:dyDescent="0.35">
      <c r="A11963">
        <v>4756</v>
      </c>
      <c r="B11963" s="1">
        <v>45884</v>
      </c>
      <c r="C11963" t="s">
        <v>29</v>
      </c>
      <c r="D11963" s="2">
        <v>0</v>
      </c>
      <c r="E11963" s="2">
        <v>2918.17</v>
      </c>
      <c r="F11963" t="s">
        <v>8</v>
      </c>
      <c r="G11963" t="s">
        <v>9</v>
      </c>
    </row>
    <row r="11964" spans="1:7" x14ac:dyDescent="0.35">
      <c r="A11964">
        <v>4757</v>
      </c>
      <c r="B11964" s="1">
        <v>45887</v>
      </c>
      <c r="C11964" t="s">
        <v>12</v>
      </c>
      <c r="D11964" s="2">
        <v>3281</v>
      </c>
      <c r="E11964" s="2">
        <v>0</v>
      </c>
      <c r="F11964" t="s">
        <v>13</v>
      </c>
      <c r="G11964" t="s">
        <v>9</v>
      </c>
    </row>
    <row r="11965" spans="1:7" x14ac:dyDescent="0.35">
      <c r="A11965">
        <v>4757</v>
      </c>
      <c r="B11965" s="1">
        <v>45887</v>
      </c>
      <c r="C11965" t="s">
        <v>12</v>
      </c>
      <c r="D11965" s="2">
        <v>0</v>
      </c>
      <c r="E11965" s="2">
        <v>3052.1</v>
      </c>
      <c r="F11965" t="s">
        <v>14</v>
      </c>
      <c r="G11965" t="s">
        <v>15</v>
      </c>
    </row>
    <row r="11966" spans="1:7" x14ac:dyDescent="0.35">
      <c r="A11966">
        <v>4757</v>
      </c>
      <c r="B11966" s="1">
        <v>45887</v>
      </c>
      <c r="C11966" t="s">
        <v>12</v>
      </c>
      <c r="D11966" s="2">
        <v>0</v>
      </c>
      <c r="E11966" s="2">
        <v>228.9</v>
      </c>
      <c r="F11966" t="s">
        <v>16</v>
      </c>
      <c r="G11966" t="s">
        <v>17</v>
      </c>
    </row>
    <row r="11967" spans="1:7" x14ac:dyDescent="0.35">
      <c r="A11967">
        <v>4758</v>
      </c>
      <c r="B11967" s="1">
        <v>45887</v>
      </c>
      <c r="C11967" t="s">
        <v>12</v>
      </c>
      <c r="D11967" s="2">
        <v>665.35</v>
      </c>
      <c r="E11967" s="2">
        <v>0</v>
      </c>
      <c r="F11967" t="s">
        <v>13</v>
      </c>
      <c r="G11967" t="s">
        <v>9</v>
      </c>
    </row>
    <row r="11968" spans="1:7" x14ac:dyDescent="0.35">
      <c r="A11968">
        <v>4758</v>
      </c>
      <c r="B11968" s="1">
        <v>45887</v>
      </c>
      <c r="C11968" t="s">
        <v>12</v>
      </c>
      <c r="D11968" s="2">
        <v>0</v>
      </c>
      <c r="E11968" s="2">
        <v>618.92999999999995</v>
      </c>
      <c r="F11968" t="s">
        <v>14</v>
      </c>
      <c r="G11968" t="s">
        <v>15</v>
      </c>
    </row>
    <row r="11969" spans="1:7" x14ac:dyDescent="0.35">
      <c r="A11969">
        <v>4758</v>
      </c>
      <c r="B11969" s="1">
        <v>45887</v>
      </c>
      <c r="C11969" t="s">
        <v>12</v>
      </c>
      <c r="D11969" s="2">
        <v>0</v>
      </c>
      <c r="E11969" s="2">
        <v>46.42</v>
      </c>
      <c r="F11969" t="s">
        <v>16</v>
      </c>
      <c r="G11969" t="s">
        <v>17</v>
      </c>
    </row>
    <row r="11970" spans="1:7" x14ac:dyDescent="0.35">
      <c r="A11970">
        <v>4759</v>
      </c>
      <c r="B11970" s="1">
        <v>45887</v>
      </c>
      <c r="C11970" t="s">
        <v>12</v>
      </c>
      <c r="D11970" s="2">
        <v>995.44</v>
      </c>
      <c r="E11970" s="2">
        <v>0</v>
      </c>
      <c r="F11970" t="s">
        <v>13</v>
      </c>
      <c r="G11970" t="s">
        <v>9</v>
      </c>
    </row>
    <row r="11971" spans="1:7" x14ac:dyDescent="0.35">
      <c r="A11971">
        <v>4759</v>
      </c>
      <c r="B11971" s="1">
        <v>45887</v>
      </c>
      <c r="C11971" t="s">
        <v>12</v>
      </c>
      <c r="D11971" s="2">
        <v>0</v>
      </c>
      <c r="E11971" s="2">
        <v>925.99</v>
      </c>
      <c r="F11971" t="s">
        <v>14</v>
      </c>
      <c r="G11971" t="s">
        <v>15</v>
      </c>
    </row>
    <row r="11972" spans="1:7" x14ac:dyDescent="0.35">
      <c r="A11972">
        <v>4759</v>
      </c>
      <c r="B11972" s="1">
        <v>45887</v>
      </c>
      <c r="C11972" t="s">
        <v>12</v>
      </c>
      <c r="D11972" s="2">
        <v>0</v>
      </c>
      <c r="E11972" s="2">
        <v>69.45</v>
      </c>
      <c r="F11972" t="s">
        <v>16</v>
      </c>
      <c r="G11972" t="s">
        <v>17</v>
      </c>
    </row>
    <row r="11973" spans="1:7" x14ac:dyDescent="0.35">
      <c r="A11973">
        <v>4760</v>
      </c>
      <c r="B11973" s="1">
        <v>45887</v>
      </c>
      <c r="C11973" t="s">
        <v>12</v>
      </c>
      <c r="D11973" s="2">
        <v>636.41999999999996</v>
      </c>
      <c r="E11973" s="2">
        <v>0</v>
      </c>
      <c r="F11973" t="s">
        <v>13</v>
      </c>
      <c r="G11973" t="s">
        <v>9</v>
      </c>
    </row>
    <row r="11974" spans="1:7" x14ac:dyDescent="0.35">
      <c r="A11974">
        <v>4760</v>
      </c>
      <c r="B11974" s="1">
        <v>45887</v>
      </c>
      <c r="C11974" t="s">
        <v>12</v>
      </c>
      <c r="D11974" s="2">
        <v>0</v>
      </c>
      <c r="E11974" s="2">
        <v>592.02</v>
      </c>
      <c r="F11974" t="s">
        <v>14</v>
      </c>
      <c r="G11974" t="s">
        <v>15</v>
      </c>
    </row>
    <row r="11975" spans="1:7" x14ac:dyDescent="0.35">
      <c r="A11975">
        <v>4760</v>
      </c>
      <c r="B11975" s="1">
        <v>45887</v>
      </c>
      <c r="C11975" t="s">
        <v>12</v>
      </c>
      <c r="D11975" s="2">
        <v>0</v>
      </c>
      <c r="E11975" s="2">
        <v>44.4</v>
      </c>
      <c r="F11975" t="s">
        <v>16</v>
      </c>
      <c r="G11975" t="s">
        <v>17</v>
      </c>
    </row>
    <row r="11976" spans="1:7" x14ac:dyDescent="0.35">
      <c r="A11976">
        <v>4761</v>
      </c>
      <c r="B11976" s="1">
        <v>45887</v>
      </c>
      <c r="C11976" t="s">
        <v>24</v>
      </c>
      <c r="D11976" s="2">
        <v>1026.4100000000001</v>
      </c>
      <c r="E11976" s="2">
        <v>0</v>
      </c>
      <c r="F11976" t="s">
        <v>8</v>
      </c>
      <c r="G11976" t="s">
        <v>9</v>
      </c>
    </row>
    <row r="11977" spans="1:7" x14ac:dyDescent="0.35">
      <c r="A11977">
        <v>4761</v>
      </c>
      <c r="B11977" s="1">
        <v>45887</v>
      </c>
      <c r="C11977" t="s">
        <v>24</v>
      </c>
      <c r="D11977" s="2">
        <v>0</v>
      </c>
      <c r="E11977" s="2">
        <v>1026.4100000000001</v>
      </c>
      <c r="F11977" t="s">
        <v>13</v>
      </c>
      <c r="G11977" t="s">
        <v>9</v>
      </c>
    </row>
    <row r="11978" spans="1:7" x14ac:dyDescent="0.35">
      <c r="A11978">
        <v>4762</v>
      </c>
      <c r="B11978" s="1">
        <v>45887</v>
      </c>
      <c r="C11978" t="s">
        <v>24</v>
      </c>
      <c r="D11978" s="2">
        <v>2896.21</v>
      </c>
      <c r="E11978" s="2">
        <v>0</v>
      </c>
      <c r="F11978" t="s">
        <v>8</v>
      </c>
      <c r="G11978" t="s">
        <v>9</v>
      </c>
    </row>
    <row r="11979" spans="1:7" x14ac:dyDescent="0.35">
      <c r="A11979">
        <v>4762</v>
      </c>
      <c r="B11979" s="1">
        <v>45887</v>
      </c>
      <c r="C11979" t="s">
        <v>24</v>
      </c>
      <c r="D11979" s="2">
        <v>0</v>
      </c>
      <c r="E11979" s="2">
        <v>2896.21</v>
      </c>
      <c r="F11979" t="s">
        <v>13</v>
      </c>
      <c r="G11979" t="s">
        <v>9</v>
      </c>
    </row>
    <row r="11980" spans="1:7" x14ac:dyDescent="0.35">
      <c r="A11980">
        <v>4763</v>
      </c>
      <c r="B11980" s="1">
        <v>45887</v>
      </c>
      <c r="C11980" t="s">
        <v>24</v>
      </c>
      <c r="D11980" s="2">
        <v>6906.23</v>
      </c>
      <c r="E11980" s="2">
        <v>0</v>
      </c>
      <c r="F11980" t="s">
        <v>8</v>
      </c>
      <c r="G11980" t="s">
        <v>9</v>
      </c>
    </row>
    <row r="11981" spans="1:7" x14ac:dyDescent="0.35">
      <c r="A11981">
        <v>4763</v>
      </c>
      <c r="B11981" s="1">
        <v>45887</v>
      </c>
      <c r="C11981" t="s">
        <v>24</v>
      </c>
      <c r="D11981" s="2">
        <v>0</v>
      </c>
      <c r="E11981" s="2">
        <v>6906.23</v>
      </c>
      <c r="F11981" t="s">
        <v>13</v>
      </c>
      <c r="G11981" t="s">
        <v>9</v>
      </c>
    </row>
    <row r="11982" spans="1:7" x14ac:dyDescent="0.35">
      <c r="A11982">
        <v>4764</v>
      </c>
      <c r="B11982" s="1">
        <v>45887</v>
      </c>
      <c r="C11982" t="s">
        <v>24</v>
      </c>
      <c r="D11982" s="2">
        <v>1981.72</v>
      </c>
      <c r="E11982" s="2">
        <v>0</v>
      </c>
      <c r="F11982" t="s">
        <v>8</v>
      </c>
      <c r="G11982" t="s">
        <v>9</v>
      </c>
    </row>
    <row r="11983" spans="1:7" x14ac:dyDescent="0.35">
      <c r="A11983">
        <v>4764</v>
      </c>
      <c r="B11983" s="1">
        <v>45887</v>
      </c>
      <c r="C11983" t="s">
        <v>24</v>
      </c>
      <c r="D11983" s="2">
        <v>0</v>
      </c>
      <c r="E11983" s="2">
        <v>1981.72</v>
      </c>
      <c r="F11983" t="s">
        <v>13</v>
      </c>
      <c r="G11983" t="s">
        <v>9</v>
      </c>
    </row>
    <row r="11984" spans="1:7" x14ac:dyDescent="0.35">
      <c r="A11984">
        <v>4765</v>
      </c>
      <c r="B11984" s="1">
        <v>45887</v>
      </c>
      <c r="C11984" t="s">
        <v>24</v>
      </c>
      <c r="D11984" s="2">
        <v>137.72</v>
      </c>
      <c r="E11984" s="2">
        <v>0</v>
      </c>
      <c r="F11984" t="s">
        <v>8</v>
      </c>
      <c r="G11984" t="s">
        <v>9</v>
      </c>
    </row>
    <row r="11985" spans="1:7" x14ac:dyDescent="0.35">
      <c r="A11985">
        <v>4765</v>
      </c>
      <c r="B11985" s="1">
        <v>45887</v>
      </c>
      <c r="C11985" t="s">
        <v>24</v>
      </c>
      <c r="D11985" s="2">
        <v>0</v>
      </c>
      <c r="E11985" s="2">
        <v>137.72</v>
      </c>
      <c r="F11985" t="s">
        <v>13</v>
      </c>
      <c r="G11985" t="s">
        <v>9</v>
      </c>
    </row>
    <row r="11986" spans="1:7" x14ac:dyDescent="0.35">
      <c r="A11986">
        <v>4766</v>
      </c>
      <c r="B11986" s="1">
        <v>45887</v>
      </c>
      <c r="C11986" t="s">
        <v>24</v>
      </c>
      <c r="D11986" s="2">
        <v>1458.59</v>
      </c>
      <c r="E11986" s="2">
        <v>0</v>
      </c>
      <c r="F11986" t="s">
        <v>8</v>
      </c>
      <c r="G11986" t="s">
        <v>9</v>
      </c>
    </row>
    <row r="11987" spans="1:7" x14ac:dyDescent="0.35">
      <c r="A11987">
        <v>4766</v>
      </c>
      <c r="B11987" s="1">
        <v>45887</v>
      </c>
      <c r="C11987" t="s">
        <v>24</v>
      </c>
      <c r="D11987" s="2">
        <v>0</v>
      </c>
      <c r="E11987" s="2">
        <v>1458.59</v>
      </c>
      <c r="F11987" t="s">
        <v>13</v>
      </c>
      <c r="G11987" t="s">
        <v>9</v>
      </c>
    </row>
    <row r="11988" spans="1:7" x14ac:dyDescent="0.35">
      <c r="A11988">
        <v>4767</v>
      </c>
      <c r="B11988" s="1">
        <v>45887</v>
      </c>
      <c r="C11988" t="s">
        <v>25</v>
      </c>
      <c r="D11988" s="2">
        <v>1668.94</v>
      </c>
      <c r="E11988" s="2">
        <v>0</v>
      </c>
      <c r="F11988" t="s">
        <v>26</v>
      </c>
      <c r="G11988" t="s">
        <v>20</v>
      </c>
    </row>
    <row r="11989" spans="1:7" x14ac:dyDescent="0.35">
      <c r="A11989">
        <v>4767</v>
      </c>
      <c r="B11989" s="1">
        <v>45887</v>
      </c>
      <c r="C11989" t="s">
        <v>25</v>
      </c>
      <c r="D11989" s="2">
        <v>125.17</v>
      </c>
      <c r="E11989" s="2">
        <v>0</v>
      </c>
      <c r="F11989" t="s">
        <v>27</v>
      </c>
      <c r="G11989" t="s">
        <v>9</v>
      </c>
    </row>
    <row r="11990" spans="1:7" x14ac:dyDescent="0.35">
      <c r="A11990">
        <v>4767</v>
      </c>
      <c r="B11990" s="1">
        <v>45887</v>
      </c>
      <c r="C11990" t="s">
        <v>25</v>
      </c>
      <c r="D11990" s="2">
        <v>0</v>
      </c>
      <c r="E11990" s="2">
        <v>1794.11</v>
      </c>
      <c r="F11990" t="s">
        <v>28</v>
      </c>
      <c r="G11990" t="s">
        <v>17</v>
      </c>
    </row>
    <row r="11991" spans="1:7" x14ac:dyDescent="0.35">
      <c r="A11991">
        <v>4768</v>
      </c>
      <c r="B11991" s="1">
        <v>45887</v>
      </c>
      <c r="C11991" t="s">
        <v>25</v>
      </c>
      <c r="D11991" s="2">
        <v>512</v>
      </c>
      <c r="E11991" s="2">
        <v>0</v>
      </c>
      <c r="F11991" t="s">
        <v>26</v>
      </c>
      <c r="G11991" t="s">
        <v>20</v>
      </c>
    </row>
    <row r="11992" spans="1:7" x14ac:dyDescent="0.35">
      <c r="A11992">
        <v>4768</v>
      </c>
      <c r="B11992" s="1">
        <v>45887</v>
      </c>
      <c r="C11992" t="s">
        <v>25</v>
      </c>
      <c r="D11992" s="2">
        <v>38.4</v>
      </c>
      <c r="E11992" s="2">
        <v>0</v>
      </c>
      <c r="F11992" t="s">
        <v>27</v>
      </c>
      <c r="G11992" t="s">
        <v>9</v>
      </c>
    </row>
    <row r="11993" spans="1:7" x14ac:dyDescent="0.35">
      <c r="A11993">
        <v>4768</v>
      </c>
      <c r="B11993" s="1">
        <v>45887</v>
      </c>
      <c r="C11993" t="s">
        <v>25</v>
      </c>
      <c r="D11993" s="2">
        <v>0</v>
      </c>
      <c r="E11993" s="2">
        <v>550.4</v>
      </c>
      <c r="F11993" t="s">
        <v>28</v>
      </c>
      <c r="G11993" t="s">
        <v>17</v>
      </c>
    </row>
    <row r="11994" spans="1:7" x14ac:dyDescent="0.35">
      <c r="A11994">
        <v>4769</v>
      </c>
      <c r="B11994" s="1">
        <v>45887</v>
      </c>
      <c r="C11994" t="s">
        <v>25</v>
      </c>
      <c r="D11994" s="2">
        <v>1947.24</v>
      </c>
      <c r="E11994" s="2">
        <v>0</v>
      </c>
      <c r="F11994" t="s">
        <v>26</v>
      </c>
      <c r="G11994" t="s">
        <v>20</v>
      </c>
    </row>
    <row r="11995" spans="1:7" x14ac:dyDescent="0.35">
      <c r="A11995">
        <v>4769</v>
      </c>
      <c r="B11995" s="1">
        <v>45887</v>
      </c>
      <c r="C11995" t="s">
        <v>25</v>
      </c>
      <c r="D11995" s="2">
        <v>146.04</v>
      </c>
      <c r="E11995" s="2">
        <v>0</v>
      </c>
      <c r="F11995" t="s">
        <v>27</v>
      </c>
      <c r="G11995" t="s">
        <v>9</v>
      </c>
    </row>
    <row r="11996" spans="1:7" x14ac:dyDescent="0.35">
      <c r="A11996">
        <v>4769</v>
      </c>
      <c r="B11996" s="1">
        <v>45887</v>
      </c>
      <c r="C11996" t="s">
        <v>25</v>
      </c>
      <c r="D11996" s="2">
        <v>0</v>
      </c>
      <c r="E11996" s="2">
        <v>2093.2800000000002</v>
      </c>
      <c r="F11996" t="s">
        <v>28</v>
      </c>
      <c r="G11996" t="s">
        <v>17</v>
      </c>
    </row>
    <row r="11997" spans="1:7" x14ac:dyDescent="0.35">
      <c r="A11997">
        <v>4770</v>
      </c>
      <c r="B11997" s="1">
        <v>45887</v>
      </c>
      <c r="C11997" t="s">
        <v>25</v>
      </c>
      <c r="D11997" s="2">
        <v>952.02</v>
      </c>
      <c r="E11997" s="2">
        <v>0</v>
      </c>
      <c r="F11997" t="s">
        <v>26</v>
      </c>
      <c r="G11997" t="s">
        <v>20</v>
      </c>
    </row>
    <row r="11998" spans="1:7" x14ac:dyDescent="0.35">
      <c r="A11998">
        <v>4770</v>
      </c>
      <c r="B11998" s="1">
        <v>45887</v>
      </c>
      <c r="C11998" t="s">
        <v>25</v>
      </c>
      <c r="D11998" s="2">
        <v>71.400000000000006</v>
      </c>
      <c r="E11998" s="2">
        <v>0</v>
      </c>
      <c r="F11998" t="s">
        <v>27</v>
      </c>
      <c r="G11998" t="s">
        <v>9</v>
      </c>
    </row>
    <row r="11999" spans="1:7" x14ac:dyDescent="0.35">
      <c r="A11999">
        <v>4770</v>
      </c>
      <c r="B11999" s="1">
        <v>45887</v>
      </c>
      <c r="C11999" t="s">
        <v>25</v>
      </c>
      <c r="D11999" s="2">
        <v>0</v>
      </c>
      <c r="E11999" s="2">
        <v>1023.42</v>
      </c>
      <c r="F11999" t="s">
        <v>28</v>
      </c>
      <c r="G11999" t="s">
        <v>17</v>
      </c>
    </row>
    <row r="12000" spans="1:7" x14ac:dyDescent="0.35">
      <c r="A12000">
        <v>4771</v>
      </c>
      <c r="B12000" s="1">
        <v>45887</v>
      </c>
      <c r="C12000" t="s">
        <v>25</v>
      </c>
      <c r="D12000" s="2">
        <v>1213.5999999999999</v>
      </c>
      <c r="E12000" s="2">
        <v>0</v>
      </c>
      <c r="F12000" t="s">
        <v>26</v>
      </c>
      <c r="G12000" t="s">
        <v>20</v>
      </c>
    </row>
    <row r="12001" spans="1:7" x14ac:dyDescent="0.35">
      <c r="A12001">
        <v>4771</v>
      </c>
      <c r="B12001" s="1">
        <v>45887</v>
      </c>
      <c r="C12001" t="s">
        <v>25</v>
      </c>
      <c r="D12001" s="2">
        <v>91.02</v>
      </c>
      <c r="E12001" s="2">
        <v>0</v>
      </c>
      <c r="F12001" t="s">
        <v>27</v>
      </c>
      <c r="G12001" t="s">
        <v>9</v>
      </c>
    </row>
    <row r="12002" spans="1:7" x14ac:dyDescent="0.35">
      <c r="A12002">
        <v>4771</v>
      </c>
      <c r="B12002" s="1">
        <v>45887</v>
      </c>
      <c r="C12002" t="s">
        <v>25</v>
      </c>
      <c r="D12002" s="2">
        <v>0</v>
      </c>
      <c r="E12002" s="2">
        <v>1304.6199999999999</v>
      </c>
      <c r="F12002" t="s">
        <v>28</v>
      </c>
      <c r="G12002" t="s">
        <v>17</v>
      </c>
    </row>
    <row r="12003" spans="1:7" x14ac:dyDescent="0.35">
      <c r="A12003">
        <v>4772</v>
      </c>
      <c r="B12003" s="1">
        <v>45887</v>
      </c>
      <c r="C12003" t="s">
        <v>29</v>
      </c>
      <c r="D12003" s="2">
        <v>412.54</v>
      </c>
      <c r="E12003" s="2">
        <v>0</v>
      </c>
      <c r="F12003" t="s">
        <v>28</v>
      </c>
      <c r="G12003" t="s">
        <v>17</v>
      </c>
    </row>
    <row r="12004" spans="1:7" x14ac:dyDescent="0.35">
      <c r="A12004">
        <v>4772</v>
      </c>
      <c r="B12004" s="1">
        <v>45887</v>
      </c>
      <c r="C12004" t="s">
        <v>29</v>
      </c>
      <c r="D12004" s="2">
        <v>0</v>
      </c>
      <c r="E12004" s="2">
        <v>412.54</v>
      </c>
      <c r="F12004" t="s">
        <v>8</v>
      </c>
      <c r="G12004" t="s">
        <v>9</v>
      </c>
    </row>
    <row r="12005" spans="1:7" x14ac:dyDescent="0.35">
      <c r="A12005">
        <v>4773</v>
      </c>
      <c r="B12005" s="1">
        <v>45887</v>
      </c>
      <c r="C12005" t="s">
        <v>29</v>
      </c>
      <c r="D12005" s="2">
        <v>2918.17</v>
      </c>
      <c r="E12005" s="2">
        <v>0</v>
      </c>
      <c r="F12005" t="s">
        <v>28</v>
      </c>
      <c r="G12005" t="s">
        <v>17</v>
      </c>
    </row>
    <row r="12006" spans="1:7" x14ac:dyDescent="0.35">
      <c r="A12006">
        <v>4773</v>
      </c>
      <c r="B12006" s="1">
        <v>45887</v>
      </c>
      <c r="C12006" t="s">
        <v>29</v>
      </c>
      <c r="D12006" s="2">
        <v>0</v>
      </c>
      <c r="E12006" s="2">
        <v>2918.17</v>
      </c>
      <c r="F12006" t="s">
        <v>8</v>
      </c>
      <c r="G12006" t="s">
        <v>9</v>
      </c>
    </row>
    <row r="12007" spans="1:7" x14ac:dyDescent="0.35">
      <c r="A12007">
        <v>4774</v>
      </c>
      <c r="B12007" s="1">
        <v>45887</v>
      </c>
      <c r="C12007" t="s">
        <v>29</v>
      </c>
      <c r="D12007" s="2">
        <v>2182.41</v>
      </c>
      <c r="E12007" s="2">
        <v>0</v>
      </c>
      <c r="F12007" t="s">
        <v>28</v>
      </c>
      <c r="G12007" t="s">
        <v>17</v>
      </c>
    </row>
    <row r="12008" spans="1:7" x14ac:dyDescent="0.35">
      <c r="A12008">
        <v>4774</v>
      </c>
      <c r="B12008" s="1">
        <v>45887</v>
      </c>
      <c r="C12008" t="s">
        <v>29</v>
      </c>
      <c r="D12008" s="2">
        <v>0</v>
      </c>
      <c r="E12008" s="2">
        <v>2182.41</v>
      </c>
      <c r="F12008" t="s">
        <v>8</v>
      </c>
      <c r="G12008" t="s">
        <v>9</v>
      </c>
    </row>
    <row r="12009" spans="1:7" x14ac:dyDescent="0.35">
      <c r="A12009">
        <v>4775</v>
      </c>
      <c r="B12009" s="1">
        <v>45887</v>
      </c>
      <c r="C12009" t="s">
        <v>29</v>
      </c>
      <c r="D12009" s="2">
        <v>179.01</v>
      </c>
      <c r="E12009" s="2">
        <v>0</v>
      </c>
      <c r="F12009" t="s">
        <v>28</v>
      </c>
      <c r="G12009" t="s">
        <v>17</v>
      </c>
    </row>
    <row r="12010" spans="1:7" x14ac:dyDescent="0.35">
      <c r="A12010">
        <v>4775</v>
      </c>
      <c r="B12010" s="1">
        <v>45887</v>
      </c>
      <c r="C12010" t="s">
        <v>29</v>
      </c>
      <c r="D12010" s="2">
        <v>0</v>
      </c>
      <c r="E12010" s="2">
        <v>179.01</v>
      </c>
      <c r="F12010" t="s">
        <v>8</v>
      </c>
      <c r="G12010" t="s">
        <v>9</v>
      </c>
    </row>
    <row r="12011" spans="1:7" x14ac:dyDescent="0.35">
      <c r="A12011">
        <v>4776</v>
      </c>
      <c r="B12011" s="1">
        <v>45887</v>
      </c>
      <c r="C12011" t="s">
        <v>29</v>
      </c>
      <c r="D12011" s="2">
        <v>1304.6199999999999</v>
      </c>
      <c r="E12011" s="2">
        <v>0</v>
      </c>
      <c r="F12011" t="s">
        <v>28</v>
      </c>
      <c r="G12011" t="s">
        <v>17</v>
      </c>
    </row>
    <row r="12012" spans="1:7" x14ac:dyDescent="0.35">
      <c r="A12012">
        <v>4776</v>
      </c>
      <c r="B12012" s="1">
        <v>45887</v>
      </c>
      <c r="C12012" t="s">
        <v>29</v>
      </c>
      <c r="D12012" s="2">
        <v>0</v>
      </c>
      <c r="E12012" s="2">
        <v>1304.6199999999999</v>
      </c>
      <c r="F12012" t="s">
        <v>8</v>
      </c>
      <c r="G12012" t="s">
        <v>9</v>
      </c>
    </row>
    <row r="12013" spans="1:7" x14ac:dyDescent="0.35">
      <c r="A12013">
        <v>4777</v>
      </c>
      <c r="B12013" s="1">
        <v>45888</v>
      </c>
      <c r="C12013" t="s">
        <v>12</v>
      </c>
      <c r="D12013" s="2">
        <v>1913.89</v>
      </c>
      <c r="E12013" s="2">
        <v>0</v>
      </c>
      <c r="F12013" t="s">
        <v>13</v>
      </c>
      <c r="G12013" t="s">
        <v>9</v>
      </c>
    </row>
    <row r="12014" spans="1:7" x14ac:dyDescent="0.35">
      <c r="A12014">
        <v>4777</v>
      </c>
      <c r="B12014" s="1">
        <v>45888</v>
      </c>
      <c r="C12014" t="s">
        <v>12</v>
      </c>
      <c r="D12014" s="2">
        <v>0</v>
      </c>
      <c r="E12014" s="2">
        <v>1780.36</v>
      </c>
      <c r="F12014" t="s">
        <v>14</v>
      </c>
      <c r="G12014" t="s">
        <v>15</v>
      </c>
    </row>
    <row r="12015" spans="1:7" x14ac:dyDescent="0.35">
      <c r="A12015">
        <v>4777</v>
      </c>
      <c r="B12015" s="1">
        <v>45888</v>
      </c>
      <c r="C12015" t="s">
        <v>12</v>
      </c>
      <c r="D12015" s="2">
        <v>0</v>
      </c>
      <c r="E12015" s="2">
        <v>133.53</v>
      </c>
      <c r="F12015" t="s">
        <v>16</v>
      </c>
      <c r="G12015" t="s">
        <v>17</v>
      </c>
    </row>
    <row r="12016" spans="1:7" x14ac:dyDescent="0.35">
      <c r="A12016">
        <v>4778</v>
      </c>
      <c r="B12016" s="1">
        <v>45888</v>
      </c>
      <c r="C12016" t="s">
        <v>12</v>
      </c>
      <c r="D12016" s="2">
        <v>5020.93</v>
      </c>
      <c r="E12016" s="2">
        <v>0</v>
      </c>
      <c r="F12016" t="s">
        <v>13</v>
      </c>
      <c r="G12016" t="s">
        <v>9</v>
      </c>
    </row>
    <row r="12017" spans="1:7" x14ac:dyDescent="0.35">
      <c r="A12017">
        <v>4778</v>
      </c>
      <c r="B12017" s="1">
        <v>45888</v>
      </c>
      <c r="C12017" t="s">
        <v>12</v>
      </c>
      <c r="D12017" s="2">
        <v>0</v>
      </c>
      <c r="E12017" s="2">
        <v>4670.63</v>
      </c>
      <c r="F12017" t="s">
        <v>14</v>
      </c>
      <c r="G12017" t="s">
        <v>15</v>
      </c>
    </row>
    <row r="12018" spans="1:7" x14ac:dyDescent="0.35">
      <c r="A12018">
        <v>4778</v>
      </c>
      <c r="B12018" s="1">
        <v>45888</v>
      </c>
      <c r="C12018" t="s">
        <v>12</v>
      </c>
      <c r="D12018" s="2">
        <v>0</v>
      </c>
      <c r="E12018" s="2">
        <v>350.3</v>
      </c>
      <c r="F12018" t="s">
        <v>16</v>
      </c>
      <c r="G12018" t="s">
        <v>17</v>
      </c>
    </row>
    <row r="12019" spans="1:7" x14ac:dyDescent="0.35">
      <c r="A12019">
        <v>4779</v>
      </c>
      <c r="B12019" s="1">
        <v>45888</v>
      </c>
      <c r="C12019" t="s">
        <v>12</v>
      </c>
      <c r="D12019" s="2">
        <v>1161.72</v>
      </c>
      <c r="E12019" s="2">
        <v>0</v>
      </c>
      <c r="F12019" t="s">
        <v>13</v>
      </c>
      <c r="G12019" t="s">
        <v>9</v>
      </c>
    </row>
    <row r="12020" spans="1:7" x14ac:dyDescent="0.35">
      <c r="A12020">
        <v>4779</v>
      </c>
      <c r="B12020" s="1">
        <v>45888</v>
      </c>
      <c r="C12020" t="s">
        <v>12</v>
      </c>
      <c r="D12020" s="2">
        <v>0</v>
      </c>
      <c r="E12020" s="2">
        <v>1080.67</v>
      </c>
      <c r="F12020" t="s">
        <v>14</v>
      </c>
      <c r="G12020" t="s">
        <v>15</v>
      </c>
    </row>
    <row r="12021" spans="1:7" x14ac:dyDescent="0.35">
      <c r="A12021">
        <v>4779</v>
      </c>
      <c r="B12021" s="1">
        <v>45888</v>
      </c>
      <c r="C12021" t="s">
        <v>12</v>
      </c>
      <c r="D12021" s="2">
        <v>0</v>
      </c>
      <c r="E12021" s="2">
        <v>81.05</v>
      </c>
      <c r="F12021" t="s">
        <v>16</v>
      </c>
      <c r="G12021" t="s">
        <v>17</v>
      </c>
    </row>
    <row r="12022" spans="1:7" x14ac:dyDescent="0.35">
      <c r="A12022">
        <v>4780</v>
      </c>
      <c r="B12022" s="1">
        <v>45888</v>
      </c>
      <c r="C12022" t="s">
        <v>12</v>
      </c>
      <c r="D12022" s="2">
        <v>1386.7</v>
      </c>
      <c r="E12022" s="2">
        <v>0</v>
      </c>
      <c r="F12022" t="s">
        <v>13</v>
      </c>
      <c r="G12022" t="s">
        <v>9</v>
      </c>
    </row>
    <row r="12023" spans="1:7" x14ac:dyDescent="0.35">
      <c r="A12023">
        <v>4780</v>
      </c>
      <c r="B12023" s="1">
        <v>45888</v>
      </c>
      <c r="C12023" t="s">
        <v>12</v>
      </c>
      <c r="D12023" s="2">
        <v>0</v>
      </c>
      <c r="E12023" s="2">
        <v>1289.95</v>
      </c>
      <c r="F12023" t="s">
        <v>14</v>
      </c>
      <c r="G12023" t="s">
        <v>15</v>
      </c>
    </row>
    <row r="12024" spans="1:7" x14ac:dyDescent="0.35">
      <c r="A12024">
        <v>4780</v>
      </c>
      <c r="B12024" s="1">
        <v>45888</v>
      </c>
      <c r="C12024" t="s">
        <v>12</v>
      </c>
      <c r="D12024" s="2">
        <v>0</v>
      </c>
      <c r="E12024" s="2">
        <v>96.75</v>
      </c>
      <c r="F12024" t="s">
        <v>16</v>
      </c>
      <c r="G12024" t="s">
        <v>17</v>
      </c>
    </row>
    <row r="12025" spans="1:7" x14ac:dyDescent="0.35">
      <c r="A12025">
        <v>4781</v>
      </c>
      <c r="B12025" s="1">
        <v>45888</v>
      </c>
      <c r="C12025" t="s">
        <v>24</v>
      </c>
      <c r="D12025" s="2">
        <v>1802.34</v>
      </c>
      <c r="E12025" s="2">
        <v>0</v>
      </c>
      <c r="F12025" t="s">
        <v>8</v>
      </c>
      <c r="G12025" t="s">
        <v>9</v>
      </c>
    </row>
    <row r="12026" spans="1:7" x14ac:dyDescent="0.35">
      <c r="A12026">
        <v>4781</v>
      </c>
      <c r="B12026" s="1">
        <v>45888</v>
      </c>
      <c r="C12026" t="s">
        <v>24</v>
      </c>
      <c r="D12026" s="2">
        <v>0</v>
      </c>
      <c r="E12026" s="2">
        <v>1802.34</v>
      </c>
      <c r="F12026" t="s">
        <v>13</v>
      </c>
      <c r="G12026" t="s">
        <v>9</v>
      </c>
    </row>
    <row r="12027" spans="1:7" x14ac:dyDescent="0.35">
      <c r="A12027">
        <v>4782</v>
      </c>
      <c r="B12027" s="1">
        <v>45888</v>
      </c>
      <c r="C12027" t="s">
        <v>24</v>
      </c>
      <c r="D12027" s="2">
        <v>448.69</v>
      </c>
      <c r="E12027" s="2">
        <v>0</v>
      </c>
      <c r="F12027" t="s">
        <v>8</v>
      </c>
      <c r="G12027" t="s">
        <v>9</v>
      </c>
    </row>
    <row r="12028" spans="1:7" x14ac:dyDescent="0.35">
      <c r="A12028">
        <v>4782</v>
      </c>
      <c r="B12028" s="1">
        <v>45888</v>
      </c>
      <c r="C12028" t="s">
        <v>24</v>
      </c>
      <c r="D12028" s="2">
        <v>0</v>
      </c>
      <c r="E12028" s="2">
        <v>448.69</v>
      </c>
      <c r="F12028" t="s">
        <v>13</v>
      </c>
      <c r="G12028" t="s">
        <v>9</v>
      </c>
    </row>
    <row r="12029" spans="1:7" x14ac:dyDescent="0.35">
      <c r="A12029">
        <v>4783</v>
      </c>
      <c r="B12029" s="1">
        <v>45888</v>
      </c>
      <c r="C12029" t="s">
        <v>24</v>
      </c>
      <c r="D12029" s="2">
        <v>3983.88</v>
      </c>
      <c r="E12029" s="2">
        <v>0</v>
      </c>
      <c r="F12029" t="s">
        <v>8</v>
      </c>
      <c r="G12029" t="s">
        <v>9</v>
      </c>
    </row>
    <row r="12030" spans="1:7" x14ac:dyDescent="0.35">
      <c r="A12030">
        <v>4783</v>
      </c>
      <c r="B12030" s="1">
        <v>45888</v>
      </c>
      <c r="C12030" t="s">
        <v>24</v>
      </c>
      <c r="D12030" s="2">
        <v>0</v>
      </c>
      <c r="E12030" s="2">
        <v>3983.88</v>
      </c>
      <c r="F12030" t="s">
        <v>13</v>
      </c>
      <c r="G12030" t="s">
        <v>9</v>
      </c>
    </row>
    <row r="12031" spans="1:7" x14ac:dyDescent="0.35">
      <c r="A12031">
        <v>4784</v>
      </c>
      <c r="B12031" s="1">
        <v>45888</v>
      </c>
      <c r="C12031" t="s">
        <v>24</v>
      </c>
      <c r="D12031" s="2">
        <v>3043.03</v>
      </c>
      <c r="E12031" s="2">
        <v>0</v>
      </c>
      <c r="F12031" t="s">
        <v>8</v>
      </c>
      <c r="G12031" t="s">
        <v>9</v>
      </c>
    </row>
    <row r="12032" spans="1:7" x14ac:dyDescent="0.35">
      <c r="A12032">
        <v>4784</v>
      </c>
      <c r="B12032" s="1">
        <v>45888</v>
      </c>
      <c r="C12032" t="s">
        <v>24</v>
      </c>
      <c r="D12032" s="2">
        <v>0</v>
      </c>
      <c r="E12032" s="2">
        <v>3043.03</v>
      </c>
      <c r="F12032" t="s">
        <v>13</v>
      </c>
      <c r="G12032" t="s">
        <v>9</v>
      </c>
    </row>
    <row r="12033" spans="1:7" x14ac:dyDescent="0.35">
      <c r="A12033">
        <v>4785</v>
      </c>
      <c r="B12033" s="1">
        <v>45888</v>
      </c>
      <c r="C12033" t="s">
        <v>24</v>
      </c>
      <c r="D12033" s="2">
        <v>3162.26</v>
      </c>
      <c r="E12033" s="2">
        <v>0</v>
      </c>
      <c r="F12033" t="s">
        <v>8</v>
      </c>
      <c r="G12033" t="s">
        <v>9</v>
      </c>
    </row>
    <row r="12034" spans="1:7" x14ac:dyDescent="0.35">
      <c r="A12034">
        <v>4785</v>
      </c>
      <c r="B12034" s="1">
        <v>45888</v>
      </c>
      <c r="C12034" t="s">
        <v>24</v>
      </c>
      <c r="D12034" s="2">
        <v>0</v>
      </c>
      <c r="E12034" s="2">
        <v>3162.26</v>
      </c>
      <c r="F12034" t="s">
        <v>13</v>
      </c>
      <c r="G12034" t="s">
        <v>9</v>
      </c>
    </row>
    <row r="12035" spans="1:7" x14ac:dyDescent="0.35">
      <c r="A12035">
        <v>4786</v>
      </c>
      <c r="B12035" s="1">
        <v>45888</v>
      </c>
      <c r="C12035" t="s">
        <v>24</v>
      </c>
      <c r="D12035" s="2">
        <v>128.63</v>
      </c>
      <c r="E12035" s="2">
        <v>0</v>
      </c>
      <c r="F12035" t="s">
        <v>8</v>
      </c>
      <c r="G12035" t="s">
        <v>9</v>
      </c>
    </row>
    <row r="12036" spans="1:7" x14ac:dyDescent="0.35">
      <c r="A12036">
        <v>4786</v>
      </c>
      <c r="B12036" s="1">
        <v>45888</v>
      </c>
      <c r="C12036" t="s">
        <v>24</v>
      </c>
      <c r="D12036" s="2">
        <v>0</v>
      </c>
      <c r="E12036" s="2">
        <v>128.63</v>
      </c>
      <c r="F12036" t="s">
        <v>13</v>
      </c>
      <c r="G12036" t="s">
        <v>9</v>
      </c>
    </row>
    <row r="12037" spans="1:7" x14ac:dyDescent="0.35">
      <c r="A12037">
        <v>4787</v>
      </c>
      <c r="B12037" s="1">
        <v>45888</v>
      </c>
      <c r="C12037" t="s">
        <v>25</v>
      </c>
      <c r="D12037" s="2">
        <v>1078.92</v>
      </c>
      <c r="E12037" s="2">
        <v>0</v>
      </c>
      <c r="F12037" t="s">
        <v>26</v>
      </c>
      <c r="G12037" t="s">
        <v>20</v>
      </c>
    </row>
    <row r="12038" spans="1:7" x14ac:dyDescent="0.35">
      <c r="A12038">
        <v>4787</v>
      </c>
      <c r="B12038" s="1">
        <v>45888</v>
      </c>
      <c r="C12038" t="s">
        <v>25</v>
      </c>
      <c r="D12038" s="2">
        <v>80.92</v>
      </c>
      <c r="E12038" s="2">
        <v>0</v>
      </c>
      <c r="F12038" t="s">
        <v>27</v>
      </c>
      <c r="G12038" t="s">
        <v>9</v>
      </c>
    </row>
    <row r="12039" spans="1:7" x14ac:dyDescent="0.35">
      <c r="A12039">
        <v>4787</v>
      </c>
      <c r="B12039" s="1">
        <v>45888</v>
      </c>
      <c r="C12039" t="s">
        <v>25</v>
      </c>
      <c r="D12039" s="2">
        <v>0</v>
      </c>
      <c r="E12039" s="2">
        <v>1159.8399999999999</v>
      </c>
      <c r="F12039" t="s">
        <v>28</v>
      </c>
      <c r="G12039" t="s">
        <v>17</v>
      </c>
    </row>
    <row r="12040" spans="1:7" x14ac:dyDescent="0.35">
      <c r="A12040">
        <v>4788</v>
      </c>
      <c r="B12040" s="1">
        <v>45888</v>
      </c>
      <c r="C12040" t="s">
        <v>25</v>
      </c>
      <c r="D12040" s="2">
        <v>3282.76</v>
      </c>
      <c r="E12040" s="2">
        <v>0</v>
      </c>
      <c r="F12040" t="s">
        <v>26</v>
      </c>
      <c r="G12040" t="s">
        <v>20</v>
      </c>
    </row>
    <row r="12041" spans="1:7" x14ac:dyDescent="0.35">
      <c r="A12041">
        <v>4788</v>
      </c>
      <c r="B12041" s="1">
        <v>45888</v>
      </c>
      <c r="C12041" t="s">
        <v>25</v>
      </c>
      <c r="D12041" s="2">
        <v>246.21</v>
      </c>
      <c r="E12041" s="2">
        <v>0</v>
      </c>
      <c r="F12041" t="s">
        <v>27</v>
      </c>
      <c r="G12041" t="s">
        <v>9</v>
      </c>
    </row>
    <row r="12042" spans="1:7" x14ac:dyDescent="0.35">
      <c r="A12042">
        <v>4788</v>
      </c>
      <c r="B12042" s="1">
        <v>45888</v>
      </c>
      <c r="C12042" t="s">
        <v>25</v>
      </c>
      <c r="D12042" s="2">
        <v>0</v>
      </c>
      <c r="E12042" s="2">
        <v>3528.97</v>
      </c>
      <c r="F12042" t="s">
        <v>28</v>
      </c>
      <c r="G12042" t="s">
        <v>17</v>
      </c>
    </row>
    <row r="12043" spans="1:7" x14ac:dyDescent="0.35">
      <c r="A12043">
        <v>4789</v>
      </c>
      <c r="B12043" s="1">
        <v>45888</v>
      </c>
      <c r="C12043" t="s">
        <v>29</v>
      </c>
      <c r="D12043" s="2">
        <v>3528.97</v>
      </c>
      <c r="E12043" s="2">
        <v>0</v>
      </c>
      <c r="F12043" t="s">
        <v>28</v>
      </c>
      <c r="G12043" t="s">
        <v>17</v>
      </c>
    </row>
    <row r="12044" spans="1:7" x14ac:dyDescent="0.35">
      <c r="A12044">
        <v>4789</v>
      </c>
      <c r="B12044" s="1">
        <v>45888</v>
      </c>
      <c r="C12044" t="s">
        <v>29</v>
      </c>
      <c r="D12044" s="2">
        <v>0</v>
      </c>
      <c r="E12044" s="2">
        <v>3528.97</v>
      </c>
      <c r="F12044" t="s">
        <v>8</v>
      </c>
      <c r="G12044" t="s">
        <v>9</v>
      </c>
    </row>
    <row r="12045" spans="1:7" x14ac:dyDescent="0.35">
      <c r="A12045">
        <v>4790</v>
      </c>
      <c r="B12045" s="1">
        <v>45888</v>
      </c>
      <c r="C12045" t="s">
        <v>29</v>
      </c>
      <c r="D12045" s="2">
        <v>3868.8</v>
      </c>
      <c r="E12045" s="2">
        <v>0</v>
      </c>
      <c r="F12045" t="s">
        <v>28</v>
      </c>
      <c r="G12045" t="s">
        <v>17</v>
      </c>
    </row>
    <row r="12046" spans="1:7" x14ac:dyDescent="0.35">
      <c r="A12046">
        <v>4790</v>
      </c>
      <c r="B12046" s="1">
        <v>45888</v>
      </c>
      <c r="C12046" t="s">
        <v>29</v>
      </c>
      <c r="D12046" s="2">
        <v>0</v>
      </c>
      <c r="E12046" s="2">
        <v>3868.8</v>
      </c>
      <c r="F12046" t="s">
        <v>8</v>
      </c>
      <c r="G12046" t="s">
        <v>9</v>
      </c>
    </row>
    <row r="12047" spans="1:7" x14ac:dyDescent="0.35">
      <c r="A12047">
        <v>4791</v>
      </c>
      <c r="B12047" s="1">
        <v>45889</v>
      </c>
      <c r="C12047" t="s">
        <v>12</v>
      </c>
      <c r="D12047" s="2">
        <v>149.22999999999999</v>
      </c>
      <c r="E12047" s="2">
        <v>0</v>
      </c>
      <c r="F12047" t="s">
        <v>13</v>
      </c>
      <c r="G12047" t="s">
        <v>9</v>
      </c>
    </row>
    <row r="12048" spans="1:7" x14ac:dyDescent="0.35">
      <c r="A12048">
        <v>4791</v>
      </c>
      <c r="B12048" s="1">
        <v>45889</v>
      </c>
      <c r="C12048" t="s">
        <v>12</v>
      </c>
      <c r="D12048" s="2">
        <v>0</v>
      </c>
      <c r="E12048" s="2">
        <v>138.82</v>
      </c>
      <c r="F12048" t="s">
        <v>14</v>
      </c>
      <c r="G12048" t="s">
        <v>15</v>
      </c>
    </row>
    <row r="12049" spans="1:7" x14ac:dyDescent="0.35">
      <c r="A12049">
        <v>4791</v>
      </c>
      <c r="B12049" s="1">
        <v>45889</v>
      </c>
      <c r="C12049" t="s">
        <v>12</v>
      </c>
      <c r="D12049" s="2">
        <v>0</v>
      </c>
      <c r="E12049" s="2">
        <v>10.41</v>
      </c>
      <c r="F12049" t="s">
        <v>16</v>
      </c>
      <c r="G12049" t="s">
        <v>17</v>
      </c>
    </row>
    <row r="12050" spans="1:7" x14ac:dyDescent="0.35">
      <c r="A12050">
        <v>4792</v>
      </c>
      <c r="B12050" s="1">
        <v>45889</v>
      </c>
      <c r="C12050" t="s">
        <v>12</v>
      </c>
      <c r="D12050" s="2">
        <v>1786.1</v>
      </c>
      <c r="E12050" s="2">
        <v>0</v>
      </c>
      <c r="F12050" t="s">
        <v>13</v>
      </c>
      <c r="G12050" t="s">
        <v>9</v>
      </c>
    </row>
    <row r="12051" spans="1:7" x14ac:dyDescent="0.35">
      <c r="A12051">
        <v>4792</v>
      </c>
      <c r="B12051" s="1">
        <v>45889</v>
      </c>
      <c r="C12051" t="s">
        <v>12</v>
      </c>
      <c r="D12051" s="2">
        <v>0</v>
      </c>
      <c r="E12051" s="2">
        <v>1661.5</v>
      </c>
      <c r="F12051" t="s">
        <v>14</v>
      </c>
      <c r="G12051" t="s">
        <v>15</v>
      </c>
    </row>
    <row r="12052" spans="1:7" x14ac:dyDescent="0.35">
      <c r="A12052">
        <v>4792</v>
      </c>
      <c r="B12052" s="1">
        <v>45889</v>
      </c>
      <c r="C12052" t="s">
        <v>12</v>
      </c>
      <c r="D12052" s="2">
        <v>0</v>
      </c>
      <c r="E12052" s="2">
        <v>124.6</v>
      </c>
      <c r="F12052" t="s">
        <v>16</v>
      </c>
      <c r="G12052" t="s">
        <v>17</v>
      </c>
    </row>
    <row r="12053" spans="1:7" x14ac:dyDescent="0.35">
      <c r="A12053">
        <v>4793</v>
      </c>
      <c r="B12053" s="1">
        <v>45889</v>
      </c>
      <c r="C12053" t="s">
        <v>12</v>
      </c>
      <c r="D12053" s="2">
        <v>2920.53</v>
      </c>
      <c r="E12053" s="2">
        <v>0</v>
      </c>
      <c r="F12053" t="s">
        <v>13</v>
      </c>
      <c r="G12053" t="s">
        <v>9</v>
      </c>
    </row>
    <row r="12054" spans="1:7" x14ac:dyDescent="0.35">
      <c r="A12054">
        <v>4793</v>
      </c>
      <c r="B12054" s="1">
        <v>45889</v>
      </c>
      <c r="C12054" t="s">
        <v>12</v>
      </c>
      <c r="D12054" s="2">
        <v>0</v>
      </c>
      <c r="E12054" s="2">
        <v>2716.78</v>
      </c>
      <c r="F12054" t="s">
        <v>14</v>
      </c>
      <c r="G12054" t="s">
        <v>15</v>
      </c>
    </row>
    <row r="12055" spans="1:7" x14ac:dyDescent="0.35">
      <c r="A12055">
        <v>4793</v>
      </c>
      <c r="B12055" s="1">
        <v>45889</v>
      </c>
      <c r="C12055" t="s">
        <v>12</v>
      </c>
      <c r="D12055" s="2">
        <v>0</v>
      </c>
      <c r="E12055" s="2">
        <v>203.75</v>
      </c>
      <c r="F12055" t="s">
        <v>16</v>
      </c>
      <c r="G12055" t="s">
        <v>17</v>
      </c>
    </row>
    <row r="12056" spans="1:7" x14ac:dyDescent="0.35">
      <c r="A12056">
        <v>4794</v>
      </c>
      <c r="B12056" s="1">
        <v>45889</v>
      </c>
      <c r="C12056" t="s">
        <v>12</v>
      </c>
      <c r="D12056" s="2">
        <v>5169.5600000000004</v>
      </c>
      <c r="E12056" s="2">
        <v>0</v>
      </c>
      <c r="F12056" t="s">
        <v>13</v>
      </c>
      <c r="G12056" t="s">
        <v>9</v>
      </c>
    </row>
    <row r="12057" spans="1:7" x14ac:dyDescent="0.35">
      <c r="A12057">
        <v>4794</v>
      </c>
      <c r="B12057" s="1">
        <v>45889</v>
      </c>
      <c r="C12057" t="s">
        <v>12</v>
      </c>
      <c r="D12057" s="2">
        <v>0</v>
      </c>
      <c r="E12057" s="2">
        <v>4808.8999999999996</v>
      </c>
      <c r="F12057" t="s">
        <v>14</v>
      </c>
      <c r="G12057" t="s">
        <v>15</v>
      </c>
    </row>
    <row r="12058" spans="1:7" x14ac:dyDescent="0.35">
      <c r="A12058">
        <v>4794</v>
      </c>
      <c r="B12058" s="1">
        <v>45889</v>
      </c>
      <c r="C12058" t="s">
        <v>12</v>
      </c>
      <c r="D12058" s="2">
        <v>0</v>
      </c>
      <c r="E12058" s="2">
        <v>360.66</v>
      </c>
      <c r="F12058" t="s">
        <v>16</v>
      </c>
      <c r="G12058" t="s">
        <v>17</v>
      </c>
    </row>
    <row r="12059" spans="1:7" x14ac:dyDescent="0.35">
      <c r="A12059">
        <v>4795</v>
      </c>
      <c r="B12059" s="1">
        <v>45889</v>
      </c>
      <c r="C12059" t="s">
        <v>24</v>
      </c>
      <c r="D12059" s="2">
        <v>1082.05</v>
      </c>
      <c r="E12059" s="2">
        <v>0</v>
      </c>
      <c r="F12059" t="s">
        <v>8</v>
      </c>
      <c r="G12059" t="s">
        <v>9</v>
      </c>
    </row>
    <row r="12060" spans="1:7" x14ac:dyDescent="0.35">
      <c r="A12060">
        <v>4795</v>
      </c>
      <c r="B12060" s="1">
        <v>45889</v>
      </c>
      <c r="C12060" t="s">
        <v>24</v>
      </c>
      <c r="D12060" s="2">
        <v>0</v>
      </c>
      <c r="E12060" s="2">
        <v>1082.05</v>
      </c>
      <c r="F12060" t="s">
        <v>13</v>
      </c>
      <c r="G12060" t="s">
        <v>9</v>
      </c>
    </row>
    <row r="12061" spans="1:7" x14ac:dyDescent="0.35">
      <c r="A12061">
        <v>4796</v>
      </c>
      <c r="B12061" s="1">
        <v>45889</v>
      </c>
      <c r="C12061" t="s">
        <v>24</v>
      </c>
      <c r="D12061" s="2">
        <v>3169.82</v>
      </c>
      <c r="E12061" s="2">
        <v>0</v>
      </c>
      <c r="F12061" t="s">
        <v>8</v>
      </c>
      <c r="G12061" t="s">
        <v>9</v>
      </c>
    </row>
    <row r="12062" spans="1:7" x14ac:dyDescent="0.35">
      <c r="A12062">
        <v>4796</v>
      </c>
      <c r="B12062" s="1">
        <v>45889</v>
      </c>
      <c r="C12062" t="s">
        <v>24</v>
      </c>
      <c r="D12062" s="2">
        <v>0</v>
      </c>
      <c r="E12062" s="2">
        <v>3169.82</v>
      </c>
      <c r="F12062" t="s">
        <v>13</v>
      </c>
      <c r="G12062" t="s">
        <v>9</v>
      </c>
    </row>
    <row r="12063" spans="1:7" x14ac:dyDescent="0.35">
      <c r="A12063">
        <v>4797</v>
      </c>
      <c r="B12063" s="1">
        <v>45889</v>
      </c>
      <c r="C12063" t="s">
        <v>24</v>
      </c>
      <c r="D12063" s="2">
        <v>216.03</v>
      </c>
      <c r="E12063" s="2">
        <v>0</v>
      </c>
      <c r="F12063" t="s">
        <v>8</v>
      </c>
      <c r="G12063" t="s">
        <v>9</v>
      </c>
    </row>
    <row r="12064" spans="1:7" x14ac:dyDescent="0.35">
      <c r="A12064">
        <v>4797</v>
      </c>
      <c r="B12064" s="1">
        <v>45889</v>
      </c>
      <c r="C12064" t="s">
        <v>24</v>
      </c>
      <c r="D12064" s="2">
        <v>0</v>
      </c>
      <c r="E12064" s="2">
        <v>216.03</v>
      </c>
      <c r="F12064" t="s">
        <v>13</v>
      </c>
      <c r="G12064" t="s">
        <v>9</v>
      </c>
    </row>
    <row r="12065" spans="1:7" x14ac:dyDescent="0.35">
      <c r="A12065">
        <v>4798</v>
      </c>
      <c r="B12065" s="1">
        <v>45889</v>
      </c>
      <c r="C12065" t="s">
        <v>24</v>
      </c>
      <c r="D12065" s="2">
        <v>441.26</v>
      </c>
      <c r="E12065" s="2">
        <v>0</v>
      </c>
      <c r="F12065" t="s">
        <v>8</v>
      </c>
      <c r="G12065" t="s">
        <v>9</v>
      </c>
    </row>
    <row r="12066" spans="1:7" x14ac:dyDescent="0.35">
      <c r="A12066">
        <v>4798</v>
      </c>
      <c r="B12066" s="1">
        <v>45889</v>
      </c>
      <c r="C12066" t="s">
        <v>24</v>
      </c>
      <c r="D12066" s="2">
        <v>0</v>
      </c>
      <c r="E12066" s="2">
        <v>441.26</v>
      </c>
      <c r="F12066" t="s">
        <v>13</v>
      </c>
      <c r="G12066" t="s">
        <v>9</v>
      </c>
    </row>
    <row r="12067" spans="1:7" x14ac:dyDescent="0.35">
      <c r="A12067">
        <v>4799</v>
      </c>
      <c r="B12067" s="1">
        <v>45889</v>
      </c>
      <c r="C12067" t="s">
        <v>25</v>
      </c>
      <c r="D12067" s="2">
        <v>383.76</v>
      </c>
      <c r="E12067" s="2">
        <v>0</v>
      </c>
      <c r="F12067" t="s">
        <v>26</v>
      </c>
      <c r="G12067" t="s">
        <v>20</v>
      </c>
    </row>
    <row r="12068" spans="1:7" x14ac:dyDescent="0.35">
      <c r="A12068">
        <v>4799</v>
      </c>
      <c r="B12068" s="1">
        <v>45889</v>
      </c>
      <c r="C12068" t="s">
        <v>25</v>
      </c>
      <c r="D12068" s="2">
        <v>28.78</v>
      </c>
      <c r="E12068" s="2">
        <v>0</v>
      </c>
      <c r="F12068" t="s">
        <v>27</v>
      </c>
      <c r="G12068" t="s">
        <v>9</v>
      </c>
    </row>
    <row r="12069" spans="1:7" x14ac:dyDescent="0.35">
      <c r="A12069">
        <v>4799</v>
      </c>
      <c r="B12069" s="1">
        <v>45889</v>
      </c>
      <c r="C12069" t="s">
        <v>25</v>
      </c>
      <c r="D12069" s="2">
        <v>0</v>
      </c>
      <c r="E12069" s="2">
        <v>412.54</v>
      </c>
      <c r="F12069" t="s">
        <v>28</v>
      </c>
      <c r="G12069" t="s">
        <v>17</v>
      </c>
    </row>
    <row r="12070" spans="1:7" x14ac:dyDescent="0.35">
      <c r="A12070">
        <v>4800</v>
      </c>
      <c r="B12070" s="1">
        <v>45889</v>
      </c>
      <c r="C12070" t="s">
        <v>29</v>
      </c>
      <c r="D12070" s="2">
        <v>4812.46</v>
      </c>
      <c r="E12070" s="2">
        <v>0</v>
      </c>
      <c r="F12070" t="s">
        <v>28</v>
      </c>
      <c r="G12070" t="s">
        <v>17</v>
      </c>
    </row>
    <row r="12071" spans="1:7" x14ac:dyDescent="0.35">
      <c r="A12071">
        <v>4800</v>
      </c>
      <c r="B12071" s="1">
        <v>45889</v>
      </c>
      <c r="C12071" t="s">
        <v>29</v>
      </c>
      <c r="D12071" s="2">
        <v>0</v>
      </c>
      <c r="E12071" s="2">
        <v>4812.46</v>
      </c>
      <c r="F12071" t="s">
        <v>8</v>
      </c>
      <c r="G12071" t="s">
        <v>9</v>
      </c>
    </row>
    <row r="12072" spans="1:7" x14ac:dyDescent="0.35">
      <c r="A12072">
        <v>4801</v>
      </c>
      <c r="B12072" s="1">
        <v>45889</v>
      </c>
      <c r="C12072" t="s">
        <v>29</v>
      </c>
      <c r="D12072" s="2">
        <v>1935.04</v>
      </c>
      <c r="E12072" s="2">
        <v>0</v>
      </c>
      <c r="F12072" t="s">
        <v>28</v>
      </c>
      <c r="G12072" t="s">
        <v>17</v>
      </c>
    </row>
    <row r="12073" spans="1:7" x14ac:dyDescent="0.35">
      <c r="A12073">
        <v>4801</v>
      </c>
      <c r="B12073" s="1">
        <v>45889</v>
      </c>
      <c r="C12073" t="s">
        <v>29</v>
      </c>
      <c r="D12073" s="2">
        <v>0</v>
      </c>
      <c r="E12073" s="2">
        <v>1935.04</v>
      </c>
      <c r="F12073" t="s">
        <v>8</v>
      </c>
      <c r="G12073" t="s">
        <v>9</v>
      </c>
    </row>
    <row r="12074" spans="1:7" x14ac:dyDescent="0.35">
      <c r="A12074">
        <v>4802</v>
      </c>
      <c r="B12074" s="1">
        <v>45889</v>
      </c>
      <c r="C12074" t="s">
        <v>29</v>
      </c>
      <c r="D12074" s="2">
        <v>2093.2800000000002</v>
      </c>
      <c r="E12074" s="2">
        <v>0</v>
      </c>
      <c r="F12074" t="s">
        <v>28</v>
      </c>
      <c r="G12074" t="s">
        <v>17</v>
      </c>
    </row>
    <row r="12075" spans="1:7" x14ac:dyDescent="0.35">
      <c r="A12075">
        <v>4802</v>
      </c>
      <c r="B12075" s="1">
        <v>45889</v>
      </c>
      <c r="C12075" t="s">
        <v>29</v>
      </c>
      <c r="D12075" s="2">
        <v>0</v>
      </c>
      <c r="E12075" s="2">
        <v>2093.2800000000002</v>
      </c>
      <c r="F12075" t="s">
        <v>8</v>
      </c>
      <c r="G12075" t="s">
        <v>9</v>
      </c>
    </row>
    <row r="12076" spans="1:7" x14ac:dyDescent="0.35">
      <c r="A12076">
        <v>4803</v>
      </c>
      <c r="B12076" s="1">
        <v>45889</v>
      </c>
      <c r="C12076" t="s">
        <v>29</v>
      </c>
      <c r="D12076" s="2">
        <v>1023.42</v>
      </c>
      <c r="E12076" s="2">
        <v>0</v>
      </c>
      <c r="F12076" t="s">
        <v>28</v>
      </c>
      <c r="G12076" t="s">
        <v>17</v>
      </c>
    </row>
    <row r="12077" spans="1:7" x14ac:dyDescent="0.35">
      <c r="A12077">
        <v>4803</v>
      </c>
      <c r="B12077" s="1">
        <v>45889</v>
      </c>
      <c r="C12077" t="s">
        <v>29</v>
      </c>
      <c r="D12077" s="2">
        <v>0</v>
      </c>
      <c r="E12077" s="2">
        <v>1023.42</v>
      </c>
      <c r="F12077" t="s">
        <v>8</v>
      </c>
      <c r="G12077" t="s">
        <v>9</v>
      </c>
    </row>
    <row r="12078" spans="1:7" x14ac:dyDescent="0.35">
      <c r="A12078">
        <v>4804</v>
      </c>
      <c r="B12078" s="1">
        <v>45890</v>
      </c>
      <c r="C12078" t="s">
        <v>12</v>
      </c>
      <c r="D12078" s="2">
        <v>1183.28</v>
      </c>
      <c r="E12078" s="2">
        <v>0</v>
      </c>
      <c r="F12078" t="s">
        <v>13</v>
      </c>
      <c r="G12078" t="s">
        <v>9</v>
      </c>
    </row>
    <row r="12079" spans="1:7" x14ac:dyDescent="0.35">
      <c r="A12079">
        <v>4804</v>
      </c>
      <c r="B12079" s="1">
        <v>45890</v>
      </c>
      <c r="C12079" t="s">
        <v>12</v>
      </c>
      <c r="D12079" s="2">
        <v>0</v>
      </c>
      <c r="E12079" s="2">
        <v>1100.73</v>
      </c>
      <c r="F12079" t="s">
        <v>14</v>
      </c>
      <c r="G12079" t="s">
        <v>15</v>
      </c>
    </row>
    <row r="12080" spans="1:7" x14ac:dyDescent="0.35">
      <c r="A12080">
        <v>4804</v>
      </c>
      <c r="B12080" s="1">
        <v>45890</v>
      </c>
      <c r="C12080" t="s">
        <v>12</v>
      </c>
      <c r="D12080" s="2">
        <v>0</v>
      </c>
      <c r="E12080" s="2">
        <v>82.55</v>
      </c>
      <c r="F12080" t="s">
        <v>16</v>
      </c>
      <c r="G12080" t="s">
        <v>17</v>
      </c>
    </row>
    <row r="12081" spans="1:7" x14ac:dyDescent="0.35">
      <c r="A12081">
        <v>4805</v>
      </c>
      <c r="B12081" s="1">
        <v>45890</v>
      </c>
      <c r="C12081" t="s">
        <v>12</v>
      </c>
      <c r="D12081" s="2">
        <v>3267.62</v>
      </c>
      <c r="E12081" s="2">
        <v>0</v>
      </c>
      <c r="F12081" t="s">
        <v>13</v>
      </c>
      <c r="G12081" t="s">
        <v>9</v>
      </c>
    </row>
    <row r="12082" spans="1:7" x14ac:dyDescent="0.35">
      <c r="A12082">
        <v>4805</v>
      </c>
      <c r="B12082" s="1">
        <v>45890</v>
      </c>
      <c r="C12082" t="s">
        <v>12</v>
      </c>
      <c r="D12082" s="2">
        <v>0</v>
      </c>
      <c r="E12082" s="2">
        <v>3039.65</v>
      </c>
      <c r="F12082" t="s">
        <v>14</v>
      </c>
      <c r="G12082" t="s">
        <v>15</v>
      </c>
    </row>
    <row r="12083" spans="1:7" x14ac:dyDescent="0.35">
      <c r="A12083">
        <v>4805</v>
      </c>
      <c r="B12083" s="1">
        <v>45890</v>
      </c>
      <c r="C12083" t="s">
        <v>12</v>
      </c>
      <c r="D12083" s="2">
        <v>0</v>
      </c>
      <c r="E12083" s="2">
        <v>227.97</v>
      </c>
      <c r="F12083" t="s">
        <v>16</v>
      </c>
      <c r="G12083" t="s">
        <v>17</v>
      </c>
    </row>
    <row r="12084" spans="1:7" x14ac:dyDescent="0.35">
      <c r="A12084">
        <v>4806</v>
      </c>
      <c r="B12084" s="1">
        <v>45890</v>
      </c>
      <c r="C12084" t="s">
        <v>12</v>
      </c>
      <c r="D12084" s="2">
        <v>1121.55</v>
      </c>
      <c r="E12084" s="2">
        <v>0</v>
      </c>
      <c r="F12084" t="s">
        <v>13</v>
      </c>
      <c r="G12084" t="s">
        <v>9</v>
      </c>
    </row>
    <row r="12085" spans="1:7" x14ac:dyDescent="0.35">
      <c r="A12085">
        <v>4806</v>
      </c>
      <c r="B12085" s="1">
        <v>45890</v>
      </c>
      <c r="C12085" t="s">
        <v>12</v>
      </c>
      <c r="D12085" s="2">
        <v>0</v>
      </c>
      <c r="E12085" s="2">
        <v>1043.3</v>
      </c>
      <c r="F12085" t="s">
        <v>14</v>
      </c>
      <c r="G12085" t="s">
        <v>15</v>
      </c>
    </row>
    <row r="12086" spans="1:7" x14ac:dyDescent="0.35">
      <c r="A12086">
        <v>4806</v>
      </c>
      <c r="B12086" s="1">
        <v>45890</v>
      </c>
      <c r="C12086" t="s">
        <v>12</v>
      </c>
      <c r="D12086" s="2">
        <v>0</v>
      </c>
      <c r="E12086" s="2">
        <v>78.25</v>
      </c>
      <c r="F12086" t="s">
        <v>16</v>
      </c>
      <c r="G12086" t="s">
        <v>17</v>
      </c>
    </row>
    <row r="12087" spans="1:7" x14ac:dyDescent="0.35">
      <c r="A12087">
        <v>4807</v>
      </c>
      <c r="B12087" s="1">
        <v>45890</v>
      </c>
      <c r="C12087" t="s">
        <v>12</v>
      </c>
      <c r="D12087" s="2">
        <v>2571.9899999999998</v>
      </c>
      <c r="E12087" s="2">
        <v>0</v>
      </c>
      <c r="F12087" t="s">
        <v>13</v>
      </c>
      <c r="G12087" t="s">
        <v>9</v>
      </c>
    </row>
    <row r="12088" spans="1:7" x14ac:dyDescent="0.35">
      <c r="A12088">
        <v>4807</v>
      </c>
      <c r="B12088" s="1">
        <v>45890</v>
      </c>
      <c r="C12088" t="s">
        <v>12</v>
      </c>
      <c r="D12088" s="2">
        <v>0</v>
      </c>
      <c r="E12088" s="2">
        <v>2392.5500000000002</v>
      </c>
      <c r="F12088" t="s">
        <v>14</v>
      </c>
      <c r="G12088" t="s">
        <v>15</v>
      </c>
    </row>
    <row r="12089" spans="1:7" x14ac:dyDescent="0.35">
      <c r="A12089">
        <v>4807</v>
      </c>
      <c r="B12089" s="1">
        <v>45890</v>
      </c>
      <c r="C12089" t="s">
        <v>12</v>
      </c>
      <c r="D12089" s="2">
        <v>0</v>
      </c>
      <c r="E12089" s="2">
        <v>179.44</v>
      </c>
      <c r="F12089" t="s">
        <v>16</v>
      </c>
      <c r="G12089" t="s">
        <v>17</v>
      </c>
    </row>
    <row r="12090" spans="1:7" x14ac:dyDescent="0.35">
      <c r="A12090">
        <v>4808</v>
      </c>
      <c r="B12090" s="1">
        <v>45890</v>
      </c>
      <c r="C12090" t="s">
        <v>12</v>
      </c>
      <c r="D12090" s="2">
        <v>448.24</v>
      </c>
      <c r="E12090" s="2">
        <v>0</v>
      </c>
      <c r="F12090" t="s">
        <v>13</v>
      </c>
      <c r="G12090" t="s">
        <v>9</v>
      </c>
    </row>
    <row r="12091" spans="1:7" x14ac:dyDescent="0.35">
      <c r="A12091">
        <v>4808</v>
      </c>
      <c r="B12091" s="1">
        <v>45890</v>
      </c>
      <c r="C12091" t="s">
        <v>12</v>
      </c>
      <c r="D12091" s="2">
        <v>0</v>
      </c>
      <c r="E12091" s="2">
        <v>416.97</v>
      </c>
      <c r="F12091" t="s">
        <v>14</v>
      </c>
      <c r="G12091" t="s">
        <v>15</v>
      </c>
    </row>
    <row r="12092" spans="1:7" x14ac:dyDescent="0.35">
      <c r="A12092">
        <v>4808</v>
      </c>
      <c r="B12092" s="1">
        <v>45890</v>
      </c>
      <c r="C12092" t="s">
        <v>12</v>
      </c>
      <c r="D12092" s="2">
        <v>0</v>
      </c>
      <c r="E12092" s="2">
        <v>31.27</v>
      </c>
      <c r="F12092" t="s">
        <v>16</v>
      </c>
      <c r="G12092" t="s">
        <v>17</v>
      </c>
    </row>
    <row r="12093" spans="1:7" x14ac:dyDescent="0.35">
      <c r="A12093">
        <v>4809</v>
      </c>
      <c r="B12093" s="1">
        <v>45890</v>
      </c>
      <c r="C12093" t="s">
        <v>12</v>
      </c>
      <c r="D12093" s="2">
        <v>1947.66</v>
      </c>
      <c r="E12093" s="2">
        <v>0</v>
      </c>
      <c r="F12093" t="s">
        <v>13</v>
      </c>
      <c r="G12093" t="s">
        <v>9</v>
      </c>
    </row>
    <row r="12094" spans="1:7" x14ac:dyDescent="0.35">
      <c r="A12094">
        <v>4809</v>
      </c>
      <c r="B12094" s="1">
        <v>45890</v>
      </c>
      <c r="C12094" t="s">
        <v>12</v>
      </c>
      <c r="D12094" s="2">
        <v>0</v>
      </c>
      <c r="E12094" s="2">
        <v>1811.77</v>
      </c>
      <c r="F12094" t="s">
        <v>14</v>
      </c>
      <c r="G12094" t="s">
        <v>15</v>
      </c>
    </row>
    <row r="12095" spans="1:7" x14ac:dyDescent="0.35">
      <c r="A12095">
        <v>4809</v>
      </c>
      <c r="B12095" s="1">
        <v>45890</v>
      </c>
      <c r="C12095" t="s">
        <v>12</v>
      </c>
      <c r="D12095" s="2">
        <v>0</v>
      </c>
      <c r="E12095" s="2">
        <v>135.88999999999999</v>
      </c>
      <c r="F12095" t="s">
        <v>16</v>
      </c>
      <c r="G12095" t="s">
        <v>17</v>
      </c>
    </row>
    <row r="12096" spans="1:7" x14ac:dyDescent="0.35">
      <c r="A12096">
        <v>4810</v>
      </c>
      <c r="B12096" s="1">
        <v>45890</v>
      </c>
      <c r="C12096" t="s">
        <v>12</v>
      </c>
      <c r="D12096" s="2">
        <v>5566.5</v>
      </c>
      <c r="E12096" s="2">
        <v>0</v>
      </c>
      <c r="F12096" t="s">
        <v>13</v>
      </c>
      <c r="G12096" t="s">
        <v>9</v>
      </c>
    </row>
    <row r="12097" spans="1:7" x14ac:dyDescent="0.35">
      <c r="A12097">
        <v>4810</v>
      </c>
      <c r="B12097" s="1">
        <v>45890</v>
      </c>
      <c r="C12097" t="s">
        <v>12</v>
      </c>
      <c r="D12097" s="2">
        <v>0</v>
      </c>
      <c r="E12097" s="2">
        <v>5178.1400000000003</v>
      </c>
      <c r="F12097" t="s">
        <v>14</v>
      </c>
      <c r="G12097" t="s">
        <v>15</v>
      </c>
    </row>
    <row r="12098" spans="1:7" x14ac:dyDescent="0.35">
      <c r="A12098">
        <v>4810</v>
      </c>
      <c r="B12098" s="1">
        <v>45890</v>
      </c>
      <c r="C12098" t="s">
        <v>12</v>
      </c>
      <c r="D12098" s="2">
        <v>0</v>
      </c>
      <c r="E12098" s="2">
        <v>388.36</v>
      </c>
      <c r="F12098" t="s">
        <v>16</v>
      </c>
      <c r="G12098" t="s">
        <v>17</v>
      </c>
    </row>
    <row r="12099" spans="1:7" x14ac:dyDescent="0.35">
      <c r="A12099">
        <v>4811</v>
      </c>
      <c r="B12099" s="1">
        <v>45890</v>
      </c>
      <c r="C12099" t="s">
        <v>24</v>
      </c>
      <c r="D12099" s="2">
        <v>417.85</v>
      </c>
      <c r="E12099" s="2">
        <v>0</v>
      </c>
      <c r="F12099" t="s">
        <v>8</v>
      </c>
      <c r="G12099" t="s">
        <v>9</v>
      </c>
    </row>
    <row r="12100" spans="1:7" x14ac:dyDescent="0.35">
      <c r="A12100">
        <v>4811</v>
      </c>
      <c r="B12100" s="1">
        <v>45890</v>
      </c>
      <c r="C12100" t="s">
        <v>24</v>
      </c>
      <c r="D12100" s="2">
        <v>0</v>
      </c>
      <c r="E12100" s="2">
        <v>417.85</v>
      </c>
      <c r="F12100" t="s">
        <v>13</v>
      </c>
      <c r="G12100" t="s">
        <v>9</v>
      </c>
    </row>
    <row r="12101" spans="1:7" x14ac:dyDescent="0.35">
      <c r="A12101">
        <v>4812</v>
      </c>
      <c r="B12101" s="1">
        <v>45890</v>
      </c>
      <c r="C12101" t="s">
        <v>24</v>
      </c>
      <c r="D12101" s="2">
        <v>80.84</v>
      </c>
      <c r="E12101" s="2">
        <v>0</v>
      </c>
      <c r="F12101" t="s">
        <v>8</v>
      </c>
      <c r="G12101" t="s">
        <v>9</v>
      </c>
    </row>
    <row r="12102" spans="1:7" x14ac:dyDescent="0.35">
      <c r="A12102">
        <v>4812</v>
      </c>
      <c r="B12102" s="1">
        <v>45890</v>
      </c>
      <c r="C12102" t="s">
        <v>24</v>
      </c>
      <c r="D12102" s="2">
        <v>0</v>
      </c>
      <c r="E12102" s="2">
        <v>80.84</v>
      </c>
      <c r="F12102" t="s">
        <v>13</v>
      </c>
      <c r="G12102" t="s">
        <v>9</v>
      </c>
    </row>
    <row r="12103" spans="1:7" x14ac:dyDescent="0.35">
      <c r="A12103">
        <v>4813</v>
      </c>
      <c r="B12103" s="1">
        <v>45890</v>
      </c>
      <c r="C12103" t="s">
        <v>24</v>
      </c>
      <c r="D12103" s="2">
        <v>4283.5600000000004</v>
      </c>
      <c r="E12103" s="2">
        <v>0</v>
      </c>
      <c r="F12103" t="s">
        <v>8</v>
      </c>
      <c r="G12103" t="s">
        <v>9</v>
      </c>
    </row>
    <row r="12104" spans="1:7" x14ac:dyDescent="0.35">
      <c r="A12104">
        <v>4813</v>
      </c>
      <c r="B12104" s="1">
        <v>45890</v>
      </c>
      <c r="C12104" t="s">
        <v>24</v>
      </c>
      <c r="D12104" s="2">
        <v>0</v>
      </c>
      <c r="E12104" s="2">
        <v>4283.5600000000004</v>
      </c>
      <c r="F12104" t="s">
        <v>13</v>
      </c>
      <c r="G12104" t="s">
        <v>9</v>
      </c>
    </row>
    <row r="12105" spans="1:7" x14ac:dyDescent="0.35">
      <c r="A12105">
        <v>4814</v>
      </c>
      <c r="B12105" s="1">
        <v>45890</v>
      </c>
      <c r="C12105" t="s">
        <v>24</v>
      </c>
      <c r="D12105" s="2">
        <v>724.85</v>
      </c>
      <c r="E12105" s="2">
        <v>0</v>
      </c>
      <c r="F12105" t="s">
        <v>8</v>
      </c>
      <c r="G12105" t="s">
        <v>9</v>
      </c>
    </row>
    <row r="12106" spans="1:7" x14ac:dyDescent="0.35">
      <c r="A12106">
        <v>4814</v>
      </c>
      <c r="B12106" s="1">
        <v>45890</v>
      </c>
      <c r="C12106" t="s">
        <v>24</v>
      </c>
      <c r="D12106" s="2">
        <v>0</v>
      </c>
      <c r="E12106" s="2">
        <v>724.85</v>
      </c>
      <c r="F12106" t="s">
        <v>13</v>
      </c>
      <c r="G12106" t="s">
        <v>9</v>
      </c>
    </row>
    <row r="12107" spans="1:7" x14ac:dyDescent="0.35">
      <c r="A12107">
        <v>4815</v>
      </c>
      <c r="B12107" s="1">
        <v>45890</v>
      </c>
      <c r="C12107" t="s">
        <v>24</v>
      </c>
      <c r="D12107" s="2">
        <v>3369.54</v>
      </c>
      <c r="E12107" s="2">
        <v>0</v>
      </c>
      <c r="F12107" t="s">
        <v>8</v>
      </c>
      <c r="G12107" t="s">
        <v>9</v>
      </c>
    </row>
    <row r="12108" spans="1:7" x14ac:dyDescent="0.35">
      <c r="A12108">
        <v>4815</v>
      </c>
      <c r="B12108" s="1">
        <v>45890</v>
      </c>
      <c r="C12108" t="s">
        <v>24</v>
      </c>
      <c r="D12108" s="2">
        <v>0</v>
      </c>
      <c r="E12108" s="2">
        <v>3369.54</v>
      </c>
      <c r="F12108" t="s">
        <v>13</v>
      </c>
      <c r="G12108" t="s">
        <v>9</v>
      </c>
    </row>
    <row r="12109" spans="1:7" x14ac:dyDescent="0.35">
      <c r="A12109">
        <v>4816</v>
      </c>
      <c r="B12109" s="1">
        <v>45890</v>
      </c>
      <c r="C12109" t="s">
        <v>24</v>
      </c>
      <c r="D12109" s="2">
        <v>2234.29</v>
      </c>
      <c r="E12109" s="2">
        <v>0</v>
      </c>
      <c r="F12109" t="s">
        <v>8</v>
      </c>
      <c r="G12109" t="s">
        <v>9</v>
      </c>
    </row>
    <row r="12110" spans="1:7" x14ac:dyDescent="0.35">
      <c r="A12110">
        <v>4816</v>
      </c>
      <c r="B12110" s="1">
        <v>45890</v>
      </c>
      <c r="C12110" t="s">
        <v>24</v>
      </c>
      <c r="D12110" s="2">
        <v>0</v>
      </c>
      <c r="E12110" s="2">
        <v>2234.29</v>
      </c>
      <c r="F12110" t="s">
        <v>13</v>
      </c>
      <c r="G12110" t="s">
        <v>9</v>
      </c>
    </row>
    <row r="12111" spans="1:7" x14ac:dyDescent="0.35">
      <c r="A12111">
        <v>4817</v>
      </c>
      <c r="B12111" s="1">
        <v>45890</v>
      </c>
      <c r="C12111" t="s">
        <v>24</v>
      </c>
      <c r="D12111" s="2">
        <v>1947.66</v>
      </c>
      <c r="E12111" s="2">
        <v>0</v>
      </c>
      <c r="F12111" t="s">
        <v>8</v>
      </c>
      <c r="G12111" t="s">
        <v>9</v>
      </c>
    </row>
    <row r="12112" spans="1:7" x14ac:dyDescent="0.35">
      <c r="A12112">
        <v>4817</v>
      </c>
      <c r="B12112" s="1">
        <v>45890</v>
      </c>
      <c r="C12112" t="s">
        <v>24</v>
      </c>
      <c r="D12112" s="2">
        <v>0</v>
      </c>
      <c r="E12112" s="2">
        <v>1947.66</v>
      </c>
      <c r="F12112" t="s">
        <v>13</v>
      </c>
      <c r="G12112" t="s">
        <v>9</v>
      </c>
    </row>
    <row r="12113" spans="1:7" x14ac:dyDescent="0.35">
      <c r="A12113">
        <v>4818</v>
      </c>
      <c r="B12113" s="1">
        <v>45890</v>
      </c>
      <c r="C12113" t="s">
        <v>25</v>
      </c>
      <c r="D12113" s="2">
        <v>696.06</v>
      </c>
      <c r="E12113" s="2">
        <v>0</v>
      </c>
      <c r="F12113" t="s">
        <v>26</v>
      </c>
      <c r="G12113" t="s">
        <v>20</v>
      </c>
    </row>
    <row r="12114" spans="1:7" x14ac:dyDescent="0.35">
      <c r="A12114">
        <v>4818</v>
      </c>
      <c r="B12114" s="1">
        <v>45890</v>
      </c>
      <c r="C12114" t="s">
        <v>25</v>
      </c>
      <c r="D12114" s="2">
        <v>52.2</v>
      </c>
      <c r="E12114" s="2">
        <v>0</v>
      </c>
      <c r="F12114" t="s">
        <v>27</v>
      </c>
      <c r="G12114" t="s">
        <v>9</v>
      </c>
    </row>
    <row r="12115" spans="1:7" x14ac:dyDescent="0.35">
      <c r="A12115">
        <v>4818</v>
      </c>
      <c r="B12115" s="1">
        <v>45890</v>
      </c>
      <c r="C12115" t="s">
        <v>25</v>
      </c>
      <c r="D12115" s="2">
        <v>0</v>
      </c>
      <c r="E12115" s="2">
        <v>748.26</v>
      </c>
      <c r="F12115" t="s">
        <v>28</v>
      </c>
      <c r="G12115" t="s">
        <v>17</v>
      </c>
    </row>
    <row r="12116" spans="1:7" x14ac:dyDescent="0.35">
      <c r="A12116">
        <v>4819</v>
      </c>
      <c r="B12116" s="1">
        <v>45890</v>
      </c>
      <c r="C12116" t="s">
        <v>29</v>
      </c>
      <c r="D12116" s="2">
        <v>748.26</v>
      </c>
      <c r="E12116" s="2">
        <v>0</v>
      </c>
      <c r="F12116" t="s">
        <v>28</v>
      </c>
      <c r="G12116" t="s">
        <v>17</v>
      </c>
    </row>
    <row r="12117" spans="1:7" x14ac:dyDescent="0.35">
      <c r="A12117">
        <v>4819</v>
      </c>
      <c r="B12117" s="1">
        <v>45890</v>
      </c>
      <c r="C12117" t="s">
        <v>29</v>
      </c>
      <c r="D12117" s="2">
        <v>0</v>
      </c>
      <c r="E12117" s="2">
        <v>748.26</v>
      </c>
      <c r="F12117" t="s">
        <v>8</v>
      </c>
      <c r="G12117" t="s">
        <v>9</v>
      </c>
    </row>
    <row r="12118" spans="1:7" x14ac:dyDescent="0.35">
      <c r="A12118">
        <v>4820</v>
      </c>
      <c r="B12118" s="1">
        <v>45890</v>
      </c>
      <c r="C12118" t="s">
        <v>29</v>
      </c>
      <c r="D12118" s="2">
        <v>276.32</v>
      </c>
      <c r="E12118" s="2">
        <v>0</v>
      </c>
      <c r="F12118" t="s">
        <v>28</v>
      </c>
      <c r="G12118" t="s">
        <v>17</v>
      </c>
    </row>
    <row r="12119" spans="1:7" x14ac:dyDescent="0.35">
      <c r="A12119">
        <v>4820</v>
      </c>
      <c r="B12119" s="1">
        <v>45890</v>
      </c>
      <c r="C12119" t="s">
        <v>29</v>
      </c>
      <c r="D12119" s="2">
        <v>0</v>
      </c>
      <c r="E12119" s="2">
        <v>276.32</v>
      </c>
      <c r="F12119" t="s">
        <v>8</v>
      </c>
      <c r="G12119" t="s">
        <v>9</v>
      </c>
    </row>
    <row r="12120" spans="1:7" x14ac:dyDescent="0.35">
      <c r="A12120">
        <v>4821</v>
      </c>
      <c r="B12120" s="1">
        <v>45891</v>
      </c>
      <c r="C12120" t="s">
        <v>12</v>
      </c>
      <c r="D12120" s="2">
        <v>1852.79</v>
      </c>
      <c r="E12120" s="2">
        <v>0</v>
      </c>
      <c r="F12120" t="s">
        <v>13</v>
      </c>
      <c r="G12120" t="s">
        <v>9</v>
      </c>
    </row>
    <row r="12121" spans="1:7" x14ac:dyDescent="0.35">
      <c r="A12121">
        <v>4821</v>
      </c>
      <c r="B12121" s="1">
        <v>45891</v>
      </c>
      <c r="C12121" t="s">
        <v>12</v>
      </c>
      <c r="D12121" s="2">
        <v>0</v>
      </c>
      <c r="E12121" s="2">
        <v>1723.54</v>
      </c>
      <c r="F12121" t="s">
        <v>14</v>
      </c>
      <c r="G12121" t="s">
        <v>15</v>
      </c>
    </row>
    <row r="12122" spans="1:7" x14ac:dyDescent="0.35">
      <c r="A12122">
        <v>4821</v>
      </c>
      <c r="B12122" s="1">
        <v>45891</v>
      </c>
      <c r="C12122" t="s">
        <v>12</v>
      </c>
      <c r="D12122" s="2">
        <v>0</v>
      </c>
      <c r="E12122" s="2">
        <v>129.25</v>
      </c>
      <c r="F12122" t="s">
        <v>16</v>
      </c>
      <c r="G12122" t="s">
        <v>17</v>
      </c>
    </row>
    <row r="12123" spans="1:7" x14ac:dyDescent="0.35">
      <c r="A12123">
        <v>4822</v>
      </c>
      <c r="B12123" s="1">
        <v>45891</v>
      </c>
      <c r="C12123" t="s">
        <v>12</v>
      </c>
      <c r="D12123" s="2">
        <v>267.36</v>
      </c>
      <c r="E12123" s="2">
        <v>0</v>
      </c>
      <c r="F12123" t="s">
        <v>13</v>
      </c>
      <c r="G12123" t="s">
        <v>9</v>
      </c>
    </row>
    <row r="12124" spans="1:7" x14ac:dyDescent="0.35">
      <c r="A12124">
        <v>4822</v>
      </c>
      <c r="B12124" s="1">
        <v>45891</v>
      </c>
      <c r="C12124" t="s">
        <v>12</v>
      </c>
      <c r="D12124" s="2">
        <v>0</v>
      </c>
      <c r="E12124" s="2">
        <v>248.7</v>
      </c>
      <c r="F12124" t="s">
        <v>14</v>
      </c>
      <c r="G12124" t="s">
        <v>15</v>
      </c>
    </row>
    <row r="12125" spans="1:7" x14ac:dyDescent="0.35">
      <c r="A12125">
        <v>4822</v>
      </c>
      <c r="B12125" s="1">
        <v>45891</v>
      </c>
      <c r="C12125" t="s">
        <v>12</v>
      </c>
      <c r="D12125" s="2">
        <v>0</v>
      </c>
      <c r="E12125" s="2">
        <v>18.66</v>
      </c>
      <c r="F12125" t="s">
        <v>16</v>
      </c>
      <c r="G12125" t="s">
        <v>17</v>
      </c>
    </row>
    <row r="12126" spans="1:7" x14ac:dyDescent="0.35">
      <c r="A12126">
        <v>4823</v>
      </c>
      <c r="B12126" s="1">
        <v>45891</v>
      </c>
      <c r="C12126" t="s">
        <v>12</v>
      </c>
      <c r="D12126" s="2">
        <v>2786.11</v>
      </c>
      <c r="E12126" s="2">
        <v>0</v>
      </c>
      <c r="F12126" t="s">
        <v>13</v>
      </c>
      <c r="G12126" t="s">
        <v>9</v>
      </c>
    </row>
    <row r="12127" spans="1:7" x14ac:dyDescent="0.35">
      <c r="A12127">
        <v>4823</v>
      </c>
      <c r="B12127" s="1">
        <v>45891</v>
      </c>
      <c r="C12127" t="s">
        <v>12</v>
      </c>
      <c r="D12127" s="2">
        <v>0</v>
      </c>
      <c r="E12127" s="2">
        <v>2591.7399999999998</v>
      </c>
      <c r="F12127" t="s">
        <v>14</v>
      </c>
      <c r="G12127" t="s">
        <v>15</v>
      </c>
    </row>
    <row r="12128" spans="1:7" x14ac:dyDescent="0.35">
      <c r="A12128">
        <v>4823</v>
      </c>
      <c r="B12128" s="1">
        <v>45891</v>
      </c>
      <c r="C12128" t="s">
        <v>12</v>
      </c>
      <c r="D12128" s="2">
        <v>0</v>
      </c>
      <c r="E12128" s="2">
        <v>194.37</v>
      </c>
      <c r="F12128" t="s">
        <v>16</v>
      </c>
      <c r="G12128" t="s">
        <v>17</v>
      </c>
    </row>
    <row r="12129" spans="1:7" x14ac:dyDescent="0.35">
      <c r="A12129">
        <v>4824</v>
      </c>
      <c r="B12129" s="1">
        <v>45891</v>
      </c>
      <c r="C12129" t="s">
        <v>12</v>
      </c>
      <c r="D12129" s="2">
        <v>1763.7</v>
      </c>
      <c r="E12129" s="2">
        <v>0</v>
      </c>
      <c r="F12129" t="s">
        <v>13</v>
      </c>
      <c r="G12129" t="s">
        <v>9</v>
      </c>
    </row>
    <row r="12130" spans="1:7" x14ac:dyDescent="0.35">
      <c r="A12130">
        <v>4824</v>
      </c>
      <c r="B12130" s="1">
        <v>45891</v>
      </c>
      <c r="C12130" t="s">
        <v>12</v>
      </c>
      <c r="D12130" s="2">
        <v>0</v>
      </c>
      <c r="E12130" s="2">
        <v>1640.64</v>
      </c>
      <c r="F12130" t="s">
        <v>14</v>
      </c>
      <c r="G12130" t="s">
        <v>15</v>
      </c>
    </row>
    <row r="12131" spans="1:7" x14ac:dyDescent="0.35">
      <c r="A12131">
        <v>4824</v>
      </c>
      <c r="B12131" s="1">
        <v>45891</v>
      </c>
      <c r="C12131" t="s">
        <v>12</v>
      </c>
      <c r="D12131" s="2">
        <v>0</v>
      </c>
      <c r="E12131" s="2">
        <v>123.06</v>
      </c>
      <c r="F12131" t="s">
        <v>16</v>
      </c>
      <c r="G12131" t="s">
        <v>17</v>
      </c>
    </row>
    <row r="12132" spans="1:7" x14ac:dyDescent="0.35">
      <c r="A12132">
        <v>4825</v>
      </c>
      <c r="B12132" s="1">
        <v>45891</v>
      </c>
      <c r="C12132" t="s">
        <v>24</v>
      </c>
      <c r="D12132" s="2">
        <v>3636.04</v>
      </c>
      <c r="E12132" s="2">
        <v>0</v>
      </c>
      <c r="F12132" t="s">
        <v>8</v>
      </c>
      <c r="G12132" t="s">
        <v>9</v>
      </c>
    </row>
    <row r="12133" spans="1:7" x14ac:dyDescent="0.35">
      <c r="A12133">
        <v>4825</v>
      </c>
      <c r="B12133" s="1">
        <v>45891</v>
      </c>
      <c r="C12133" t="s">
        <v>24</v>
      </c>
      <c r="D12133" s="2">
        <v>0</v>
      </c>
      <c r="E12133" s="2">
        <v>3636.04</v>
      </c>
      <c r="F12133" t="s">
        <v>13</v>
      </c>
      <c r="G12133" t="s">
        <v>9</v>
      </c>
    </row>
    <row r="12134" spans="1:7" x14ac:dyDescent="0.35">
      <c r="A12134">
        <v>4826</v>
      </c>
      <c r="B12134" s="1">
        <v>45891</v>
      </c>
      <c r="C12134" t="s">
        <v>24</v>
      </c>
      <c r="D12134" s="2">
        <v>341.66</v>
      </c>
      <c r="E12134" s="2">
        <v>0</v>
      </c>
      <c r="F12134" t="s">
        <v>8</v>
      </c>
      <c r="G12134" t="s">
        <v>9</v>
      </c>
    </row>
    <row r="12135" spans="1:7" x14ac:dyDescent="0.35">
      <c r="A12135">
        <v>4826</v>
      </c>
      <c r="B12135" s="1">
        <v>45891</v>
      </c>
      <c r="C12135" t="s">
        <v>24</v>
      </c>
      <c r="D12135" s="2">
        <v>0</v>
      </c>
      <c r="E12135" s="2">
        <v>341.66</v>
      </c>
      <c r="F12135" t="s">
        <v>13</v>
      </c>
      <c r="G12135" t="s">
        <v>9</v>
      </c>
    </row>
    <row r="12136" spans="1:7" x14ac:dyDescent="0.35">
      <c r="A12136">
        <v>4827</v>
      </c>
      <c r="B12136" s="1">
        <v>45891</v>
      </c>
      <c r="C12136" t="s">
        <v>24</v>
      </c>
      <c r="D12136" s="2">
        <v>3267.62</v>
      </c>
      <c r="E12136" s="2">
        <v>0</v>
      </c>
      <c r="F12136" t="s">
        <v>8</v>
      </c>
      <c r="G12136" t="s">
        <v>9</v>
      </c>
    </row>
    <row r="12137" spans="1:7" x14ac:dyDescent="0.35">
      <c r="A12137">
        <v>4827</v>
      </c>
      <c r="B12137" s="1">
        <v>45891</v>
      </c>
      <c r="C12137" t="s">
        <v>24</v>
      </c>
      <c r="D12137" s="2">
        <v>0</v>
      </c>
      <c r="E12137" s="2">
        <v>3267.62</v>
      </c>
      <c r="F12137" t="s">
        <v>13</v>
      </c>
      <c r="G12137" t="s">
        <v>9</v>
      </c>
    </row>
    <row r="12138" spans="1:7" x14ac:dyDescent="0.35">
      <c r="A12138">
        <v>4828</v>
      </c>
      <c r="B12138" s="1">
        <v>45891</v>
      </c>
      <c r="C12138" t="s">
        <v>25</v>
      </c>
      <c r="D12138" s="2">
        <v>187.44</v>
      </c>
      <c r="E12138" s="2">
        <v>0</v>
      </c>
      <c r="F12138" t="s">
        <v>26</v>
      </c>
      <c r="G12138" t="s">
        <v>20</v>
      </c>
    </row>
    <row r="12139" spans="1:7" x14ac:dyDescent="0.35">
      <c r="A12139">
        <v>4828</v>
      </c>
      <c r="B12139" s="1">
        <v>45891</v>
      </c>
      <c r="C12139" t="s">
        <v>25</v>
      </c>
      <c r="D12139" s="2">
        <v>14.06</v>
      </c>
      <c r="E12139" s="2">
        <v>0</v>
      </c>
      <c r="F12139" t="s">
        <v>27</v>
      </c>
      <c r="G12139" t="s">
        <v>9</v>
      </c>
    </row>
    <row r="12140" spans="1:7" x14ac:dyDescent="0.35">
      <c r="A12140">
        <v>4828</v>
      </c>
      <c r="B12140" s="1">
        <v>45891</v>
      </c>
      <c r="C12140" t="s">
        <v>25</v>
      </c>
      <c r="D12140" s="2">
        <v>0</v>
      </c>
      <c r="E12140" s="2">
        <v>201.5</v>
      </c>
      <c r="F12140" t="s">
        <v>28</v>
      </c>
      <c r="G12140" t="s">
        <v>17</v>
      </c>
    </row>
    <row r="12141" spans="1:7" x14ac:dyDescent="0.35">
      <c r="A12141">
        <v>4829</v>
      </c>
      <c r="B12141" s="1">
        <v>45891</v>
      </c>
      <c r="C12141" t="s">
        <v>25</v>
      </c>
      <c r="D12141" s="2">
        <v>1643.22</v>
      </c>
      <c r="E12141" s="2">
        <v>0</v>
      </c>
      <c r="F12141" t="s">
        <v>26</v>
      </c>
      <c r="G12141" t="s">
        <v>20</v>
      </c>
    </row>
    <row r="12142" spans="1:7" x14ac:dyDescent="0.35">
      <c r="A12142">
        <v>4829</v>
      </c>
      <c r="B12142" s="1">
        <v>45891</v>
      </c>
      <c r="C12142" t="s">
        <v>25</v>
      </c>
      <c r="D12142" s="2">
        <v>123.24</v>
      </c>
      <c r="E12142" s="2">
        <v>0</v>
      </c>
      <c r="F12142" t="s">
        <v>27</v>
      </c>
      <c r="G12142" t="s">
        <v>9</v>
      </c>
    </row>
    <row r="12143" spans="1:7" x14ac:dyDescent="0.35">
      <c r="A12143">
        <v>4829</v>
      </c>
      <c r="B12143" s="1">
        <v>45891</v>
      </c>
      <c r="C12143" t="s">
        <v>25</v>
      </c>
      <c r="D12143" s="2">
        <v>0</v>
      </c>
      <c r="E12143" s="2">
        <v>1766.46</v>
      </c>
      <c r="F12143" t="s">
        <v>28</v>
      </c>
      <c r="G12143" t="s">
        <v>17</v>
      </c>
    </row>
    <row r="12144" spans="1:7" x14ac:dyDescent="0.35">
      <c r="A12144">
        <v>4830</v>
      </c>
      <c r="B12144" s="1">
        <v>45894</v>
      </c>
      <c r="C12144" t="s">
        <v>12</v>
      </c>
      <c r="D12144" s="2">
        <v>1116.69</v>
      </c>
      <c r="E12144" s="2">
        <v>0</v>
      </c>
      <c r="F12144" t="s">
        <v>13</v>
      </c>
      <c r="G12144" t="s">
        <v>9</v>
      </c>
    </row>
    <row r="12145" spans="1:7" x14ac:dyDescent="0.35">
      <c r="A12145">
        <v>4830</v>
      </c>
      <c r="B12145" s="1">
        <v>45894</v>
      </c>
      <c r="C12145" t="s">
        <v>12</v>
      </c>
      <c r="D12145" s="2">
        <v>0</v>
      </c>
      <c r="E12145" s="2">
        <v>1038.78</v>
      </c>
      <c r="F12145" t="s">
        <v>14</v>
      </c>
      <c r="G12145" t="s">
        <v>15</v>
      </c>
    </row>
    <row r="12146" spans="1:7" x14ac:dyDescent="0.35">
      <c r="A12146">
        <v>4830</v>
      </c>
      <c r="B12146" s="1">
        <v>45894</v>
      </c>
      <c r="C12146" t="s">
        <v>12</v>
      </c>
      <c r="D12146" s="2">
        <v>0</v>
      </c>
      <c r="E12146" s="2">
        <v>77.91</v>
      </c>
      <c r="F12146" t="s">
        <v>16</v>
      </c>
      <c r="G12146" t="s">
        <v>17</v>
      </c>
    </row>
    <row r="12147" spans="1:7" x14ac:dyDescent="0.35">
      <c r="A12147">
        <v>4831</v>
      </c>
      <c r="B12147" s="1">
        <v>45894</v>
      </c>
      <c r="C12147" t="s">
        <v>12</v>
      </c>
      <c r="D12147" s="2">
        <v>274.73</v>
      </c>
      <c r="E12147" s="2">
        <v>0</v>
      </c>
      <c r="F12147" t="s">
        <v>13</v>
      </c>
      <c r="G12147" t="s">
        <v>9</v>
      </c>
    </row>
    <row r="12148" spans="1:7" x14ac:dyDescent="0.35">
      <c r="A12148">
        <v>4831</v>
      </c>
      <c r="B12148" s="1">
        <v>45894</v>
      </c>
      <c r="C12148" t="s">
        <v>12</v>
      </c>
      <c r="D12148" s="2">
        <v>0</v>
      </c>
      <c r="E12148" s="2">
        <v>255.56</v>
      </c>
      <c r="F12148" t="s">
        <v>14</v>
      </c>
      <c r="G12148" t="s">
        <v>15</v>
      </c>
    </row>
    <row r="12149" spans="1:7" x14ac:dyDescent="0.35">
      <c r="A12149">
        <v>4831</v>
      </c>
      <c r="B12149" s="1">
        <v>45894</v>
      </c>
      <c r="C12149" t="s">
        <v>12</v>
      </c>
      <c r="D12149" s="2">
        <v>0</v>
      </c>
      <c r="E12149" s="2">
        <v>19.170000000000002</v>
      </c>
      <c r="F12149" t="s">
        <v>16</v>
      </c>
      <c r="G12149" t="s">
        <v>17</v>
      </c>
    </row>
    <row r="12150" spans="1:7" x14ac:dyDescent="0.35">
      <c r="A12150">
        <v>4832</v>
      </c>
      <c r="B12150" s="1">
        <v>45894</v>
      </c>
      <c r="C12150" t="s">
        <v>12</v>
      </c>
      <c r="D12150" s="2">
        <v>2526.84</v>
      </c>
      <c r="E12150" s="2">
        <v>0</v>
      </c>
      <c r="F12150" t="s">
        <v>13</v>
      </c>
      <c r="G12150" t="s">
        <v>9</v>
      </c>
    </row>
    <row r="12151" spans="1:7" x14ac:dyDescent="0.35">
      <c r="A12151">
        <v>4832</v>
      </c>
      <c r="B12151" s="1">
        <v>45894</v>
      </c>
      <c r="C12151" t="s">
        <v>12</v>
      </c>
      <c r="D12151" s="2">
        <v>0</v>
      </c>
      <c r="E12151" s="2">
        <v>2350.54</v>
      </c>
      <c r="F12151" t="s">
        <v>14</v>
      </c>
      <c r="G12151" t="s">
        <v>15</v>
      </c>
    </row>
    <row r="12152" spans="1:7" x14ac:dyDescent="0.35">
      <c r="A12152">
        <v>4832</v>
      </c>
      <c r="B12152" s="1">
        <v>45894</v>
      </c>
      <c r="C12152" t="s">
        <v>12</v>
      </c>
      <c r="D12152" s="2">
        <v>0</v>
      </c>
      <c r="E12152" s="2">
        <v>176.3</v>
      </c>
      <c r="F12152" t="s">
        <v>16</v>
      </c>
      <c r="G12152" t="s">
        <v>17</v>
      </c>
    </row>
    <row r="12153" spans="1:7" x14ac:dyDescent="0.35">
      <c r="A12153">
        <v>4833</v>
      </c>
      <c r="B12153" s="1">
        <v>45894</v>
      </c>
      <c r="C12153" t="s">
        <v>12</v>
      </c>
      <c r="D12153" s="2">
        <v>1850.31</v>
      </c>
      <c r="E12153" s="2">
        <v>0</v>
      </c>
      <c r="F12153" t="s">
        <v>13</v>
      </c>
      <c r="G12153" t="s">
        <v>9</v>
      </c>
    </row>
    <row r="12154" spans="1:7" x14ac:dyDescent="0.35">
      <c r="A12154">
        <v>4833</v>
      </c>
      <c r="B12154" s="1">
        <v>45894</v>
      </c>
      <c r="C12154" t="s">
        <v>12</v>
      </c>
      <c r="D12154" s="2">
        <v>0</v>
      </c>
      <c r="E12154" s="2">
        <v>1721.22</v>
      </c>
      <c r="F12154" t="s">
        <v>14</v>
      </c>
      <c r="G12154" t="s">
        <v>15</v>
      </c>
    </row>
    <row r="12155" spans="1:7" x14ac:dyDescent="0.35">
      <c r="A12155">
        <v>4833</v>
      </c>
      <c r="B12155" s="1">
        <v>45894</v>
      </c>
      <c r="C12155" t="s">
        <v>12</v>
      </c>
      <c r="D12155" s="2">
        <v>0</v>
      </c>
      <c r="E12155" s="2">
        <v>129.09</v>
      </c>
      <c r="F12155" t="s">
        <v>16</v>
      </c>
      <c r="G12155" t="s">
        <v>17</v>
      </c>
    </row>
    <row r="12156" spans="1:7" x14ac:dyDescent="0.35">
      <c r="A12156">
        <v>4834</v>
      </c>
      <c r="B12156" s="1">
        <v>45894</v>
      </c>
      <c r="C12156" t="s">
        <v>12</v>
      </c>
      <c r="D12156" s="2">
        <v>52.17</v>
      </c>
      <c r="E12156" s="2">
        <v>0</v>
      </c>
      <c r="F12156" t="s">
        <v>13</v>
      </c>
      <c r="G12156" t="s">
        <v>9</v>
      </c>
    </row>
    <row r="12157" spans="1:7" x14ac:dyDescent="0.35">
      <c r="A12157">
        <v>4834</v>
      </c>
      <c r="B12157" s="1">
        <v>45894</v>
      </c>
      <c r="C12157" t="s">
        <v>12</v>
      </c>
      <c r="D12157" s="2">
        <v>0</v>
      </c>
      <c r="E12157" s="2">
        <v>48.53</v>
      </c>
      <c r="F12157" t="s">
        <v>14</v>
      </c>
      <c r="G12157" t="s">
        <v>15</v>
      </c>
    </row>
    <row r="12158" spans="1:7" x14ac:dyDescent="0.35">
      <c r="A12158">
        <v>4834</v>
      </c>
      <c r="B12158" s="1">
        <v>45894</v>
      </c>
      <c r="C12158" t="s">
        <v>12</v>
      </c>
      <c r="D12158" s="2">
        <v>0</v>
      </c>
      <c r="E12158" s="2">
        <v>3.64</v>
      </c>
      <c r="F12158" t="s">
        <v>16</v>
      </c>
      <c r="G12158" t="s">
        <v>17</v>
      </c>
    </row>
    <row r="12159" spans="1:7" x14ac:dyDescent="0.35">
      <c r="A12159">
        <v>4835</v>
      </c>
      <c r="B12159" s="1">
        <v>45894</v>
      </c>
      <c r="C12159" t="s">
        <v>12</v>
      </c>
      <c r="D12159" s="2">
        <v>1659.9</v>
      </c>
      <c r="E12159" s="2">
        <v>0</v>
      </c>
      <c r="F12159" t="s">
        <v>13</v>
      </c>
      <c r="G12159" t="s">
        <v>9</v>
      </c>
    </row>
    <row r="12160" spans="1:7" x14ac:dyDescent="0.35">
      <c r="A12160">
        <v>4835</v>
      </c>
      <c r="B12160" s="1">
        <v>45894</v>
      </c>
      <c r="C12160" t="s">
        <v>12</v>
      </c>
      <c r="D12160" s="2">
        <v>0</v>
      </c>
      <c r="E12160" s="2">
        <v>1544.09</v>
      </c>
      <c r="F12160" t="s">
        <v>14</v>
      </c>
      <c r="G12160" t="s">
        <v>15</v>
      </c>
    </row>
    <row r="12161" spans="1:7" x14ac:dyDescent="0.35">
      <c r="A12161">
        <v>4835</v>
      </c>
      <c r="B12161" s="1">
        <v>45894</v>
      </c>
      <c r="C12161" t="s">
        <v>12</v>
      </c>
      <c r="D12161" s="2">
        <v>0</v>
      </c>
      <c r="E12161" s="2">
        <v>115.81</v>
      </c>
      <c r="F12161" t="s">
        <v>16</v>
      </c>
      <c r="G12161" t="s">
        <v>17</v>
      </c>
    </row>
    <row r="12162" spans="1:7" x14ac:dyDescent="0.35">
      <c r="A12162">
        <v>4836</v>
      </c>
      <c r="B12162" s="1">
        <v>45894</v>
      </c>
      <c r="C12162" t="s">
        <v>12</v>
      </c>
      <c r="D12162" s="2">
        <v>1158.1500000000001</v>
      </c>
      <c r="E12162" s="2">
        <v>0</v>
      </c>
      <c r="F12162" t="s">
        <v>13</v>
      </c>
      <c r="G12162" t="s">
        <v>9</v>
      </c>
    </row>
    <row r="12163" spans="1:7" x14ac:dyDescent="0.35">
      <c r="A12163">
        <v>4836</v>
      </c>
      <c r="B12163" s="1">
        <v>45894</v>
      </c>
      <c r="C12163" t="s">
        <v>12</v>
      </c>
      <c r="D12163" s="2">
        <v>0</v>
      </c>
      <c r="E12163" s="2">
        <v>1077.3499999999999</v>
      </c>
      <c r="F12163" t="s">
        <v>14</v>
      </c>
      <c r="G12163" t="s">
        <v>15</v>
      </c>
    </row>
    <row r="12164" spans="1:7" x14ac:dyDescent="0.35">
      <c r="A12164">
        <v>4836</v>
      </c>
      <c r="B12164" s="1">
        <v>45894</v>
      </c>
      <c r="C12164" t="s">
        <v>12</v>
      </c>
      <c r="D12164" s="2">
        <v>0</v>
      </c>
      <c r="E12164" s="2">
        <v>80.8</v>
      </c>
      <c r="F12164" t="s">
        <v>16</v>
      </c>
      <c r="G12164" t="s">
        <v>17</v>
      </c>
    </row>
    <row r="12165" spans="1:7" x14ac:dyDescent="0.35">
      <c r="A12165">
        <v>4837</v>
      </c>
      <c r="B12165" s="1">
        <v>45894</v>
      </c>
      <c r="C12165" t="s">
        <v>12</v>
      </c>
      <c r="D12165" s="2">
        <v>3299.13</v>
      </c>
      <c r="E12165" s="2">
        <v>0</v>
      </c>
      <c r="F12165" t="s">
        <v>13</v>
      </c>
      <c r="G12165" t="s">
        <v>9</v>
      </c>
    </row>
    <row r="12166" spans="1:7" x14ac:dyDescent="0.35">
      <c r="A12166">
        <v>4837</v>
      </c>
      <c r="B12166" s="1">
        <v>45894</v>
      </c>
      <c r="C12166" t="s">
        <v>12</v>
      </c>
      <c r="D12166" s="2">
        <v>0</v>
      </c>
      <c r="E12166" s="2">
        <v>3068.95</v>
      </c>
      <c r="F12166" t="s">
        <v>14</v>
      </c>
      <c r="G12166" t="s">
        <v>15</v>
      </c>
    </row>
    <row r="12167" spans="1:7" x14ac:dyDescent="0.35">
      <c r="A12167">
        <v>4837</v>
      </c>
      <c r="B12167" s="1">
        <v>45894</v>
      </c>
      <c r="C12167" t="s">
        <v>12</v>
      </c>
      <c r="D12167" s="2">
        <v>0</v>
      </c>
      <c r="E12167" s="2">
        <v>230.18</v>
      </c>
      <c r="F12167" t="s">
        <v>16</v>
      </c>
      <c r="G12167" t="s">
        <v>17</v>
      </c>
    </row>
    <row r="12168" spans="1:7" x14ac:dyDescent="0.35">
      <c r="A12168">
        <v>4838</v>
      </c>
      <c r="B12168" s="1">
        <v>45894</v>
      </c>
      <c r="C12168" t="s">
        <v>12</v>
      </c>
      <c r="D12168" s="2">
        <v>329.47</v>
      </c>
      <c r="E12168" s="2">
        <v>0</v>
      </c>
      <c r="F12168" t="s">
        <v>13</v>
      </c>
      <c r="G12168" t="s">
        <v>9</v>
      </c>
    </row>
    <row r="12169" spans="1:7" x14ac:dyDescent="0.35">
      <c r="A12169">
        <v>4838</v>
      </c>
      <c r="B12169" s="1">
        <v>45894</v>
      </c>
      <c r="C12169" t="s">
        <v>12</v>
      </c>
      <c r="D12169" s="2">
        <v>0</v>
      </c>
      <c r="E12169" s="2">
        <v>306.48</v>
      </c>
      <c r="F12169" t="s">
        <v>14</v>
      </c>
      <c r="G12169" t="s">
        <v>15</v>
      </c>
    </row>
    <row r="12170" spans="1:7" x14ac:dyDescent="0.35">
      <c r="A12170">
        <v>4838</v>
      </c>
      <c r="B12170" s="1">
        <v>45894</v>
      </c>
      <c r="C12170" t="s">
        <v>12</v>
      </c>
      <c r="D12170" s="2">
        <v>0</v>
      </c>
      <c r="E12170" s="2">
        <v>22.99</v>
      </c>
      <c r="F12170" t="s">
        <v>16</v>
      </c>
      <c r="G12170" t="s">
        <v>17</v>
      </c>
    </row>
    <row r="12171" spans="1:7" x14ac:dyDescent="0.35">
      <c r="A12171">
        <v>4839</v>
      </c>
      <c r="B12171" s="1">
        <v>45894</v>
      </c>
      <c r="C12171" t="s">
        <v>12</v>
      </c>
      <c r="D12171" s="2">
        <v>656.41</v>
      </c>
      <c r="E12171" s="2">
        <v>0</v>
      </c>
      <c r="F12171" t="s">
        <v>13</v>
      </c>
      <c r="G12171" t="s">
        <v>9</v>
      </c>
    </row>
    <row r="12172" spans="1:7" x14ac:dyDescent="0.35">
      <c r="A12172">
        <v>4839</v>
      </c>
      <c r="B12172" s="1">
        <v>45894</v>
      </c>
      <c r="C12172" t="s">
        <v>12</v>
      </c>
      <c r="D12172" s="2">
        <v>0</v>
      </c>
      <c r="E12172" s="2">
        <v>610.61</v>
      </c>
      <c r="F12172" t="s">
        <v>14</v>
      </c>
      <c r="G12172" t="s">
        <v>15</v>
      </c>
    </row>
    <row r="12173" spans="1:7" x14ac:dyDescent="0.35">
      <c r="A12173">
        <v>4839</v>
      </c>
      <c r="B12173" s="1">
        <v>45894</v>
      </c>
      <c r="C12173" t="s">
        <v>12</v>
      </c>
      <c r="D12173" s="2">
        <v>0</v>
      </c>
      <c r="E12173" s="2">
        <v>45.8</v>
      </c>
      <c r="F12173" t="s">
        <v>16</v>
      </c>
      <c r="G12173" t="s">
        <v>17</v>
      </c>
    </row>
    <row r="12174" spans="1:7" x14ac:dyDescent="0.35">
      <c r="A12174">
        <v>4840</v>
      </c>
      <c r="B12174" s="1">
        <v>45894</v>
      </c>
      <c r="C12174" t="s">
        <v>24</v>
      </c>
      <c r="D12174" s="2">
        <v>2120.17</v>
      </c>
      <c r="E12174" s="2">
        <v>0</v>
      </c>
      <c r="F12174" t="s">
        <v>8</v>
      </c>
      <c r="G12174" t="s">
        <v>9</v>
      </c>
    </row>
    <row r="12175" spans="1:7" x14ac:dyDescent="0.35">
      <c r="A12175">
        <v>4840</v>
      </c>
      <c r="B12175" s="1">
        <v>45894</v>
      </c>
      <c r="C12175" t="s">
        <v>24</v>
      </c>
      <c r="D12175" s="2">
        <v>0</v>
      </c>
      <c r="E12175" s="2">
        <v>2120.17</v>
      </c>
      <c r="F12175" t="s">
        <v>13</v>
      </c>
      <c r="G12175" t="s">
        <v>9</v>
      </c>
    </row>
    <row r="12176" spans="1:7" x14ac:dyDescent="0.35">
      <c r="A12176">
        <v>4841</v>
      </c>
      <c r="B12176" s="1">
        <v>45894</v>
      </c>
      <c r="C12176" t="s">
        <v>24</v>
      </c>
      <c r="D12176" s="2">
        <v>2063.81</v>
      </c>
      <c r="E12176" s="2">
        <v>0</v>
      </c>
      <c r="F12176" t="s">
        <v>8</v>
      </c>
      <c r="G12176" t="s">
        <v>9</v>
      </c>
    </row>
    <row r="12177" spans="1:7" x14ac:dyDescent="0.35">
      <c r="A12177">
        <v>4841</v>
      </c>
      <c r="B12177" s="1">
        <v>45894</v>
      </c>
      <c r="C12177" t="s">
        <v>24</v>
      </c>
      <c r="D12177" s="2">
        <v>0</v>
      </c>
      <c r="E12177" s="2">
        <v>2063.81</v>
      </c>
      <c r="F12177" t="s">
        <v>13</v>
      </c>
      <c r="G12177" t="s">
        <v>9</v>
      </c>
    </row>
    <row r="12178" spans="1:7" x14ac:dyDescent="0.35">
      <c r="A12178">
        <v>4842</v>
      </c>
      <c r="B12178" s="1">
        <v>45894</v>
      </c>
      <c r="C12178" t="s">
        <v>24</v>
      </c>
      <c r="D12178" s="2">
        <v>1227.6300000000001</v>
      </c>
      <c r="E12178" s="2">
        <v>0</v>
      </c>
      <c r="F12178" t="s">
        <v>8</v>
      </c>
      <c r="G12178" t="s">
        <v>9</v>
      </c>
    </row>
    <row r="12179" spans="1:7" x14ac:dyDescent="0.35">
      <c r="A12179">
        <v>4842</v>
      </c>
      <c r="B12179" s="1">
        <v>45894</v>
      </c>
      <c r="C12179" t="s">
        <v>24</v>
      </c>
      <c r="D12179" s="2">
        <v>0</v>
      </c>
      <c r="E12179" s="2">
        <v>1227.6300000000001</v>
      </c>
      <c r="F12179" t="s">
        <v>13</v>
      </c>
      <c r="G12179" t="s">
        <v>9</v>
      </c>
    </row>
    <row r="12180" spans="1:7" x14ac:dyDescent="0.35">
      <c r="A12180">
        <v>4843</v>
      </c>
      <c r="B12180" s="1">
        <v>45894</v>
      </c>
      <c r="C12180" t="s">
        <v>24</v>
      </c>
      <c r="D12180" s="2">
        <v>1065.81</v>
      </c>
      <c r="E12180" s="2">
        <v>0</v>
      </c>
      <c r="F12180" t="s">
        <v>8</v>
      </c>
      <c r="G12180" t="s">
        <v>9</v>
      </c>
    </row>
    <row r="12181" spans="1:7" x14ac:dyDescent="0.35">
      <c r="A12181">
        <v>4843</v>
      </c>
      <c r="B12181" s="1">
        <v>45894</v>
      </c>
      <c r="C12181" t="s">
        <v>24</v>
      </c>
      <c r="D12181" s="2">
        <v>0</v>
      </c>
      <c r="E12181" s="2">
        <v>1065.81</v>
      </c>
      <c r="F12181" t="s">
        <v>13</v>
      </c>
      <c r="G12181" t="s">
        <v>9</v>
      </c>
    </row>
    <row r="12182" spans="1:7" x14ac:dyDescent="0.35">
      <c r="A12182">
        <v>4844</v>
      </c>
      <c r="B12182" s="1">
        <v>45894</v>
      </c>
      <c r="C12182" t="s">
        <v>24</v>
      </c>
      <c r="D12182" s="2">
        <v>274.73</v>
      </c>
      <c r="E12182" s="2">
        <v>0</v>
      </c>
      <c r="F12182" t="s">
        <v>8</v>
      </c>
      <c r="G12182" t="s">
        <v>9</v>
      </c>
    </row>
    <row r="12183" spans="1:7" x14ac:dyDescent="0.35">
      <c r="A12183">
        <v>4844</v>
      </c>
      <c r="B12183" s="1">
        <v>45894</v>
      </c>
      <c r="C12183" t="s">
        <v>24</v>
      </c>
      <c r="D12183" s="2">
        <v>0</v>
      </c>
      <c r="E12183" s="2">
        <v>274.73</v>
      </c>
      <c r="F12183" t="s">
        <v>13</v>
      </c>
      <c r="G12183" t="s">
        <v>9</v>
      </c>
    </row>
    <row r="12184" spans="1:7" x14ac:dyDescent="0.35">
      <c r="A12184">
        <v>4845</v>
      </c>
      <c r="B12184" s="1">
        <v>45894</v>
      </c>
      <c r="C12184" t="s">
        <v>25</v>
      </c>
      <c r="D12184" s="2">
        <v>8685.27</v>
      </c>
      <c r="E12184" s="2">
        <v>0</v>
      </c>
      <c r="F12184" t="s">
        <v>26</v>
      </c>
      <c r="G12184" t="s">
        <v>20</v>
      </c>
    </row>
    <row r="12185" spans="1:7" x14ac:dyDescent="0.35">
      <c r="A12185">
        <v>4845</v>
      </c>
      <c r="B12185" s="1">
        <v>45894</v>
      </c>
      <c r="C12185" t="s">
        <v>25</v>
      </c>
      <c r="D12185" s="2">
        <v>651.4</v>
      </c>
      <c r="E12185" s="2">
        <v>0</v>
      </c>
      <c r="F12185" t="s">
        <v>27</v>
      </c>
      <c r="G12185" t="s">
        <v>9</v>
      </c>
    </row>
    <row r="12186" spans="1:7" x14ac:dyDescent="0.35">
      <c r="A12186">
        <v>4845</v>
      </c>
      <c r="B12186" s="1">
        <v>45894</v>
      </c>
      <c r="C12186" t="s">
        <v>25</v>
      </c>
      <c r="D12186" s="2">
        <v>0</v>
      </c>
      <c r="E12186" s="2">
        <v>9336.67</v>
      </c>
      <c r="F12186" t="s">
        <v>28</v>
      </c>
      <c r="G12186" t="s">
        <v>17</v>
      </c>
    </row>
    <row r="12187" spans="1:7" x14ac:dyDescent="0.35">
      <c r="A12187">
        <v>4846</v>
      </c>
      <c r="B12187" s="1">
        <v>45894</v>
      </c>
      <c r="C12187" t="s">
        <v>25</v>
      </c>
      <c r="D12187" s="2">
        <v>1480.5</v>
      </c>
      <c r="E12187" s="2">
        <v>0</v>
      </c>
      <c r="F12187" t="s">
        <v>26</v>
      </c>
      <c r="G12187" t="s">
        <v>20</v>
      </c>
    </row>
    <row r="12188" spans="1:7" x14ac:dyDescent="0.35">
      <c r="A12188">
        <v>4846</v>
      </c>
      <c r="B12188" s="1">
        <v>45894</v>
      </c>
      <c r="C12188" t="s">
        <v>25</v>
      </c>
      <c r="D12188" s="2">
        <v>111.04</v>
      </c>
      <c r="E12188" s="2">
        <v>0</v>
      </c>
      <c r="F12188" t="s">
        <v>27</v>
      </c>
      <c r="G12188" t="s">
        <v>9</v>
      </c>
    </row>
    <row r="12189" spans="1:7" x14ac:dyDescent="0.35">
      <c r="A12189">
        <v>4846</v>
      </c>
      <c r="B12189" s="1">
        <v>45894</v>
      </c>
      <c r="C12189" t="s">
        <v>25</v>
      </c>
      <c r="D12189" s="2">
        <v>0</v>
      </c>
      <c r="E12189" s="2">
        <v>1591.54</v>
      </c>
      <c r="F12189" t="s">
        <v>28</v>
      </c>
      <c r="G12189" t="s">
        <v>17</v>
      </c>
    </row>
    <row r="12190" spans="1:7" x14ac:dyDescent="0.35">
      <c r="A12190">
        <v>4847</v>
      </c>
      <c r="B12190" s="1">
        <v>45894</v>
      </c>
      <c r="C12190" t="s">
        <v>25</v>
      </c>
      <c r="D12190" s="2">
        <v>2714.58</v>
      </c>
      <c r="E12190" s="2">
        <v>0</v>
      </c>
      <c r="F12190" t="s">
        <v>26</v>
      </c>
      <c r="G12190" t="s">
        <v>20</v>
      </c>
    </row>
    <row r="12191" spans="1:7" x14ac:dyDescent="0.35">
      <c r="A12191">
        <v>4847</v>
      </c>
      <c r="B12191" s="1">
        <v>45894</v>
      </c>
      <c r="C12191" t="s">
        <v>25</v>
      </c>
      <c r="D12191" s="2">
        <v>203.59</v>
      </c>
      <c r="E12191" s="2">
        <v>0</v>
      </c>
      <c r="F12191" t="s">
        <v>27</v>
      </c>
      <c r="G12191" t="s">
        <v>9</v>
      </c>
    </row>
    <row r="12192" spans="1:7" x14ac:dyDescent="0.35">
      <c r="A12192">
        <v>4847</v>
      </c>
      <c r="B12192" s="1">
        <v>45894</v>
      </c>
      <c r="C12192" t="s">
        <v>25</v>
      </c>
      <c r="D12192" s="2">
        <v>0</v>
      </c>
      <c r="E12192" s="2">
        <v>2918.17</v>
      </c>
      <c r="F12192" t="s">
        <v>28</v>
      </c>
      <c r="G12192" t="s">
        <v>17</v>
      </c>
    </row>
    <row r="12193" spans="1:7" x14ac:dyDescent="0.35">
      <c r="A12193">
        <v>4848</v>
      </c>
      <c r="B12193" s="1">
        <v>45894</v>
      </c>
      <c r="C12193" t="s">
        <v>25</v>
      </c>
      <c r="D12193" s="2">
        <v>2329.52</v>
      </c>
      <c r="E12193" s="2">
        <v>0</v>
      </c>
      <c r="F12193" t="s">
        <v>26</v>
      </c>
      <c r="G12193" t="s">
        <v>20</v>
      </c>
    </row>
    <row r="12194" spans="1:7" x14ac:dyDescent="0.35">
      <c r="A12194">
        <v>4848</v>
      </c>
      <c r="B12194" s="1">
        <v>45894</v>
      </c>
      <c r="C12194" t="s">
        <v>25</v>
      </c>
      <c r="D12194" s="2">
        <v>174.71</v>
      </c>
      <c r="E12194" s="2">
        <v>0</v>
      </c>
      <c r="F12194" t="s">
        <v>27</v>
      </c>
      <c r="G12194" t="s">
        <v>9</v>
      </c>
    </row>
    <row r="12195" spans="1:7" x14ac:dyDescent="0.35">
      <c r="A12195">
        <v>4848</v>
      </c>
      <c r="B12195" s="1">
        <v>45894</v>
      </c>
      <c r="C12195" t="s">
        <v>25</v>
      </c>
      <c r="D12195" s="2">
        <v>0</v>
      </c>
      <c r="E12195" s="2">
        <v>2504.23</v>
      </c>
      <c r="F12195" t="s">
        <v>28</v>
      </c>
      <c r="G12195" t="s">
        <v>17</v>
      </c>
    </row>
    <row r="12196" spans="1:7" x14ac:dyDescent="0.35">
      <c r="A12196">
        <v>4849</v>
      </c>
      <c r="B12196" s="1">
        <v>45894</v>
      </c>
      <c r="C12196" t="s">
        <v>25</v>
      </c>
      <c r="D12196" s="2">
        <v>4476.71</v>
      </c>
      <c r="E12196" s="2">
        <v>0</v>
      </c>
      <c r="F12196" t="s">
        <v>26</v>
      </c>
      <c r="G12196" t="s">
        <v>20</v>
      </c>
    </row>
    <row r="12197" spans="1:7" x14ac:dyDescent="0.35">
      <c r="A12197">
        <v>4849</v>
      </c>
      <c r="B12197" s="1">
        <v>45894</v>
      </c>
      <c r="C12197" t="s">
        <v>25</v>
      </c>
      <c r="D12197" s="2">
        <v>335.75</v>
      </c>
      <c r="E12197" s="2">
        <v>0</v>
      </c>
      <c r="F12197" t="s">
        <v>27</v>
      </c>
      <c r="G12197" t="s">
        <v>9</v>
      </c>
    </row>
    <row r="12198" spans="1:7" x14ac:dyDescent="0.35">
      <c r="A12198">
        <v>4849</v>
      </c>
      <c r="B12198" s="1">
        <v>45894</v>
      </c>
      <c r="C12198" t="s">
        <v>25</v>
      </c>
      <c r="D12198" s="2">
        <v>0</v>
      </c>
      <c r="E12198" s="2">
        <v>4812.46</v>
      </c>
      <c r="F12198" t="s">
        <v>28</v>
      </c>
      <c r="G12198" t="s">
        <v>17</v>
      </c>
    </row>
    <row r="12199" spans="1:7" x14ac:dyDescent="0.35">
      <c r="A12199">
        <v>4850</v>
      </c>
      <c r="B12199" s="1">
        <v>45894</v>
      </c>
      <c r="C12199" t="s">
        <v>25</v>
      </c>
      <c r="D12199" s="2">
        <v>3598.88</v>
      </c>
      <c r="E12199" s="2">
        <v>0</v>
      </c>
      <c r="F12199" t="s">
        <v>26</v>
      </c>
      <c r="G12199" t="s">
        <v>20</v>
      </c>
    </row>
    <row r="12200" spans="1:7" x14ac:dyDescent="0.35">
      <c r="A12200">
        <v>4850</v>
      </c>
      <c r="B12200" s="1">
        <v>45894</v>
      </c>
      <c r="C12200" t="s">
        <v>25</v>
      </c>
      <c r="D12200" s="2">
        <v>269.92</v>
      </c>
      <c r="E12200" s="2">
        <v>0</v>
      </c>
      <c r="F12200" t="s">
        <v>27</v>
      </c>
      <c r="G12200" t="s">
        <v>9</v>
      </c>
    </row>
    <row r="12201" spans="1:7" x14ac:dyDescent="0.35">
      <c r="A12201">
        <v>4850</v>
      </c>
      <c r="B12201" s="1">
        <v>45894</v>
      </c>
      <c r="C12201" t="s">
        <v>25</v>
      </c>
      <c r="D12201" s="2">
        <v>0</v>
      </c>
      <c r="E12201" s="2">
        <v>3868.8</v>
      </c>
      <c r="F12201" t="s">
        <v>28</v>
      </c>
      <c r="G12201" t="s">
        <v>17</v>
      </c>
    </row>
    <row r="12202" spans="1:7" x14ac:dyDescent="0.35">
      <c r="A12202">
        <v>4851</v>
      </c>
      <c r="B12202" s="1">
        <v>45894</v>
      </c>
      <c r="C12202" t="s">
        <v>29</v>
      </c>
      <c r="D12202" s="2">
        <v>748.26</v>
      </c>
      <c r="E12202" s="2">
        <v>0</v>
      </c>
      <c r="F12202" t="s">
        <v>28</v>
      </c>
      <c r="G12202" t="s">
        <v>17</v>
      </c>
    </row>
    <row r="12203" spans="1:7" x14ac:dyDescent="0.35">
      <c r="A12203">
        <v>4851</v>
      </c>
      <c r="B12203" s="1">
        <v>45894</v>
      </c>
      <c r="C12203" t="s">
        <v>29</v>
      </c>
      <c r="D12203" s="2">
        <v>0</v>
      </c>
      <c r="E12203" s="2">
        <v>748.26</v>
      </c>
      <c r="F12203" t="s">
        <v>8</v>
      </c>
      <c r="G12203" t="s">
        <v>9</v>
      </c>
    </row>
    <row r="12204" spans="1:7" x14ac:dyDescent="0.35">
      <c r="A12204">
        <v>4852</v>
      </c>
      <c r="B12204" s="1">
        <v>45894</v>
      </c>
      <c r="C12204" t="s">
        <v>29</v>
      </c>
      <c r="D12204" s="2">
        <v>3528.97</v>
      </c>
      <c r="E12204" s="2">
        <v>0</v>
      </c>
      <c r="F12204" t="s">
        <v>28</v>
      </c>
      <c r="G12204" t="s">
        <v>17</v>
      </c>
    </row>
    <row r="12205" spans="1:7" x14ac:dyDescent="0.35">
      <c r="A12205">
        <v>4852</v>
      </c>
      <c r="B12205" s="1">
        <v>45894</v>
      </c>
      <c r="C12205" t="s">
        <v>29</v>
      </c>
      <c r="D12205" s="2">
        <v>0</v>
      </c>
      <c r="E12205" s="2">
        <v>3528.97</v>
      </c>
      <c r="F12205" t="s">
        <v>8</v>
      </c>
      <c r="G12205" t="s">
        <v>9</v>
      </c>
    </row>
    <row r="12206" spans="1:7" x14ac:dyDescent="0.35">
      <c r="A12206">
        <v>4853</v>
      </c>
      <c r="B12206" s="1">
        <v>45895</v>
      </c>
      <c r="C12206" t="s">
        <v>12</v>
      </c>
      <c r="D12206" s="2">
        <v>2021.69</v>
      </c>
      <c r="E12206" s="2">
        <v>0</v>
      </c>
      <c r="F12206" t="s">
        <v>13</v>
      </c>
      <c r="G12206" t="s">
        <v>9</v>
      </c>
    </row>
    <row r="12207" spans="1:7" x14ac:dyDescent="0.35">
      <c r="A12207">
        <v>4853</v>
      </c>
      <c r="B12207" s="1">
        <v>45895</v>
      </c>
      <c r="C12207" t="s">
        <v>12</v>
      </c>
      <c r="D12207" s="2">
        <v>0</v>
      </c>
      <c r="E12207" s="2">
        <v>1880.64</v>
      </c>
      <c r="F12207" t="s">
        <v>14</v>
      </c>
      <c r="G12207" t="s">
        <v>15</v>
      </c>
    </row>
    <row r="12208" spans="1:7" x14ac:dyDescent="0.35">
      <c r="A12208">
        <v>4853</v>
      </c>
      <c r="B12208" s="1">
        <v>45895</v>
      </c>
      <c r="C12208" t="s">
        <v>12</v>
      </c>
      <c r="D12208" s="2">
        <v>0</v>
      </c>
      <c r="E12208" s="2">
        <v>141.05000000000001</v>
      </c>
      <c r="F12208" t="s">
        <v>16</v>
      </c>
      <c r="G12208" t="s">
        <v>17</v>
      </c>
    </row>
    <row r="12209" spans="1:7" x14ac:dyDescent="0.35">
      <c r="A12209">
        <v>4854</v>
      </c>
      <c r="B12209" s="1">
        <v>45895</v>
      </c>
      <c r="C12209" t="s">
        <v>12</v>
      </c>
      <c r="D12209" s="2">
        <v>5723.51</v>
      </c>
      <c r="E12209" s="2">
        <v>0</v>
      </c>
      <c r="F12209" t="s">
        <v>13</v>
      </c>
      <c r="G12209" t="s">
        <v>9</v>
      </c>
    </row>
    <row r="12210" spans="1:7" x14ac:dyDescent="0.35">
      <c r="A12210">
        <v>4854</v>
      </c>
      <c r="B12210" s="1">
        <v>45895</v>
      </c>
      <c r="C12210" t="s">
        <v>12</v>
      </c>
      <c r="D12210" s="2">
        <v>0</v>
      </c>
      <c r="E12210" s="2">
        <v>5324.19</v>
      </c>
      <c r="F12210" t="s">
        <v>14</v>
      </c>
      <c r="G12210" t="s">
        <v>15</v>
      </c>
    </row>
    <row r="12211" spans="1:7" x14ac:dyDescent="0.35">
      <c r="A12211">
        <v>4854</v>
      </c>
      <c r="B12211" s="1">
        <v>45895</v>
      </c>
      <c r="C12211" t="s">
        <v>12</v>
      </c>
      <c r="D12211" s="2">
        <v>0</v>
      </c>
      <c r="E12211" s="2">
        <v>399.32</v>
      </c>
      <c r="F12211" t="s">
        <v>16</v>
      </c>
      <c r="G12211" t="s">
        <v>17</v>
      </c>
    </row>
    <row r="12212" spans="1:7" x14ac:dyDescent="0.35">
      <c r="A12212">
        <v>4855</v>
      </c>
      <c r="B12212" s="1">
        <v>45895</v>
      </c>
      <c r="C12212" t="s">
        <v>12</v>
      </c>
      <c r="D12212" s="2">
        <v>746.16</v>
      </c>
      <c r="E12212" s="2">
        <v>0</v>
      </c>
      <c r="F12212" t="s">
        <v>13</v>
      </c>
      <c r="G12212" t="s">
        <v>9</v>
      </c>
    </row>
    <row r="12213" spans="1:7" x14ac:dyDescent="0.35">
      <c r="A12213">
        <v>4855</v>
      </c>
      <c r="B12213" s="1">
        <v>45895</v>
      </c>
      <c r="C12213" t="s">
        <v>12</v>
      </c>
      <c r="D12213" s="2">
        <v>0</v>
      </c>
      <c r="E12213" s="2">
        <v>694.1</v>
      </c>
      <c r="F12213" t="s">
        <v>14</v>
      </c>
      <c r="G12213" t="s">
        <v>15</v>
      </c>
    </row>
    <row r="12214" spans="1:7" x14ac:dyDescent="0.35">
      <c r="A12214">
        <v>4855</v>
      </c>
      <c r="B12214" s="1">
        <v>45895</v>
      </c>
      <c r="C12214" t="s">
        <v>12</v>
      </c>
      <c r="D12214" s="2">
        <v>0</v>
      </c>
      <c r="E12214" s="2">
        <v>52.06</v>
      </c>
      <c r="F12214" t="s">
        <v>16</v>
      </c>
      <c r="G12214" t="s">
        <v>17</v>
      </c>
    </row>
    <row r="12215" spans="1:7" x14ac:dyDescent="0.35">
      <c r="A12215">
        <v>4856</v>
      </c>
      <c r="B12215" s="1">
        <v>45895</v>
      </c>
      <c r="C12215" t="s">
        <v>12</v>
      </c>
      <c r="D12215" s="2">
        <v>625.29999999999995</v>
      </c>
      <c r="E12215" s="2">
        <v>0</v>
      </c>
      <c r="F12215" t="s">
        <v>13</v>
      </c>
      <c r="G12215" t="s">
        <v>9</v>
      </c>
    </row>
    <row r="12216" spans="1:7" x14ac:dyDescent="0.35">
      <c r="A12216">
        <v>4856</v>
      </c>
      <c r="B12216" s="1">
        <v>45895</v>
      </c>
      <c r="C12216" t="s">
        <v>12</v>
      </c>
      <c r="D12216" s="2">
        <v>0</v>
      </c>
      <c r="E12216" s="2">
        <v>581.67999999999995</v>
      </c>
      <c r="F12216" t="s">
        <v>14</v>
      </c>
      <c r="G12216" t="s">
        <v>15</v>
      </c>
    </row>
    <row r="12217" spans="1:7" x14ac:dyDescent="0.35">
      <c r="A12217">
        <v>4856</v>
      </c>
      <c r="B12217" s="1">
        <v>45895</v>
      </c>
      <c r="C12217" t="s">
        <v>12</v>
      </c>
      <c r="D12217" s="2">
        <v>0</v>
      </c>
      <c r="E12217" s="2">
        <v>43.62</v>
      </c>
      <c r="F12217" t="s">
        <v>16</v>
      </c>
      <c r="G12217" t="s">
        <v>17</v>
      </c>
    </row>
    <row r="12218" spans="1:7" x14ac:dyDescent="0.35">
      <c r="A12218">
        <v>4857</v>
      </c>
      <c r="B12218" s="1">
        <v>45895</v>
      </c>
      <c r="C12218" t="s">
        <v>24</v>
      </c>
      <c r="D12218" s="2">
        <v>1410.28</v>
      </c>
      <c r="E12218" s="2">
        <v>0</v>
      </c>
      <c r="F12218" t="s">
        <v>8</v>
      </c>
      <c r="G12218" t="s">
        <v>9</v>
      </c>
    </row>
    <row r="12219" spans="1:7" x14ac:dyDescent="0.35">
      <c r="A12219">
        <v>4857</v>
      </c>
      <c r="B12219" s="1">
        <v>45895</v>
      </c>
      <c r="C12219" t="s">
        <v>24</v>
      </c>
      <c r="D12219" s="2">
        <v>0</v>
      </c>
      <c r="E12219" s="2">
        <v>1410.28</v>
      </c>
      <c r="F12219" t="s">
        <v>13</v>
      </c>
      <c r="G12219" t="s">
        <v>9</v>
      </c>
    </row>
    <row r="12220" spans="1:7" x14ac:dyDescent="0.35">
      <c r="A12220">
        <v>4858</v>
      </c>
      <c r="B12220" s="1">
        <v>45895</v>
      </c>
      <c r="C12220" t="s">
        <v>24</v>
      </c>
      <c r="D12220" s="2">
        <v>2516.36</v>
      </c>
      <c r="E12220" s="2">
        <v>0</v>
      </c>
      <c r="F12220" t="s">
        <v>8</v>
      </c>
      <c r="G12220" t="s">
        <v>9</v>
      </c>
    </row>
    <row r="12221" spans="1:7" x14ac:dyDescent="0.35">
      <c r="A12221">
        <v>4858</v>
      </c>
      <c r="B12221" s="1">
        <v>45895</v>
      </c>
      <c r="C12221" t="s">
        <v>24</v>
      </c>
      <c r="D12221" s="2">
        <v>0</v>
      </c>
      <c r="E12221" s="2">
        <v>2516.36</v>
      </c>
      <c r="F12221" t="s">
        <v>13</v>
      </c>
      <c r="G12221" t="s">
        <v>9</v>
      </c>
    </row>
    <row r="12222" spans="1:7" x14ac:dyDescent="0.35">
      <c r="A12222">
        <v>4859</v>
      </c>
      <c r="B12222" s="1">
        <v>45895</v>
      </c>
      <c r="C12222" t="s">
        <v>24</v>
      </c>
      <c r="D12222" s="2">
        <v>2143.84</v>
      </c>
      <c r="E12222" s="2">
        <v>0</v>
      </c>
      <c r="F12222" t="s">
        <v>8</v>
      </c>
      <c r="G12222" t="s">
        <v>9</v>
      </c>
    </row>
    <row r="12223" spans="1:7" x14ac:dyDescent="0.35">
      <c r="A12223">
        <v>4859</v>
      </c>
      <c r="B12223" s="1">
        <v>45895</v>
      </c>
      <c r="C12223" t="s">
        <v>24</v>
      </c>
      <c r="D12223" s="2">
        <v>0</v>
      </c>
      <c r="E12223" s="2">
        <v>2143.84</v>
      </c>
      <c r="F12223" t="s">
        <v>13</v>
      </c>
      <c r="G12223" t="s">
        <v>9</v>
      </c>
    </row>
    <row r="12224" spans="1:7" x14ac:dyDescent="0.35">
      <c r="A12224">
        <v>4860</v>
      </c>
      <c r="B12224" s="1">
        <v>45895</v>
      </c>
      <c r="C12224" t="s">
        <v>24</v>
      </c>
      <c r="D12224" s="2">
        <v>1333.3</v>
      </c>
      <c r="E12224" s="2">
        <v>0</v>
      </c>
      <c r="F12224" t="s">
        <v>8</v>
      </c>
      <c r="G12224" t="s">
        <v>9</v>
      </c>
    </row>
    <row r="12225" spans="1:7" x14ac:dyDescent="0.35">
      <c r="A12225">
        <v>4860</v>
      </c>
      <c r="B12225" s="1">
        <v>45895</v>
      </c>
      <c r="C12225" t="s">
        <v>24</v>
      </c>
      <c r="D12225" s="2">
        <v>0</v>
      </c>
      <c r="E12225" s="2">
        <v>1333.3</v>
      </c>
      <c r="F12225" t="s">
        <v>13</v>
      </c>
      <c r="G12225" t="s">
        <v>9</v>
      </c>
    </row>
    <row r="12226" spans="1:7" x14ac:dyDescent="0.35">
      <c r="A12226">
        <v>4861</v>
      </c>
      <c r="B12226" s="1">
        <v>45895</v>
      </c>
      <c r="C12226" t="s">
        <v>24</v>
      </c>
      <c r="D12226" s="2">
        <v>1763.7</v>
      </c>
      <c r="E12226" s="2">
        <v>0</v>
      </c>
      <c r="F12226" t="s">
        <v>8</v>
      </c>
      <c r="G12226" t="s">
        <v>9</v>
      </c>
    </row>
    <row r="12227" spans="1:7" x14ac:dyDescent="0.35">
      <c r="A12227">
        <v>4861</v>
      </c>
      <c r="B12227" s="1">
        <v>45895</v>
      </c>
      <c r="C12227" t="s">
        <v>24</v>
      </c>
      <c r="D12227" s="2">
        <v>0</v>
      </c>
      <c r="E12227" s="2">
        <v>1763.7</v>
      </c>
      <c r="F12227" t="s">
        <v>13</v>
      </c>
      <c r="G12227" t="s">
        <v>9</v>
      </c>
    </row>
    <row r="12228" spans="1:7" x14ac:dyDescent="0.35">
      <c r="A12228">
        <v>4862</v>
      </c>
      <c r="B12228" s="1">
        <v>45895</v>
      </c>
      <c r="C12228" t="s">
        <v>24</v>
      </c>
      <c r="D12228" s="2">
        <v>329.47</v>
      </c>
      <c r="E12228" s="2">
        <v>0</v>
      </c>
      <c r="F12228" t="s">
        <v>8</v>
      </c>
      <c r="G12228" t="s">
        <v>9</v>
      </c>
    </row>
    <row r="12229" spans="1:7" x14ac:dyDescent="0.35">
      <c r="A12229">
        <v>4862</v>
      </c>
      <c r="B12229" s="1">
        <v>45895</v>
      </c>
      <c r="C12229" t="s">
        <v>24</v>
      </c>
      <c r="D12229" s="2">
        <v>0</v>
      </c>
      <c r="E12229" s="2">
        <v>329.47</v>
      </c>
      <c r="F12229" t="s">
        <v>13</v>
      </c>
      <c r="G12229" t="s">
        <v>9</v>
      </c>
    </row>
    <row r="12230" spans="1:7" x14ac:dyDescent="0.35">
      <c r="A12230">
        <v>4863</v>
      </c>
      <c r="B12230" s="1">
        <v>45895</v>
      </c>
      <c r="C12230" t="s">
        <v>25</v>
      </c>
      <c r="D12230" s="2">
        <v>166.52</v>
      </c>
      <c r="E12230" s="2">
        <v>0</v>
      </c>
      <c r="F12230" t="s">
        <v>26</v>
      </c>
      <c r="G12230" t="s">
        <v>20</v>
      </c>
    </row>
    <row r="12231" spans="1:7" x14ac:dyDescent="0.35">
      <c r="A12231">
        <v>4863</v>
      </c>
      <c r="B12231" s="1">
        <v>45895</v>
      </c>
      <c r="C12231" t="s">
        <v>25</v>
      </c>
      <c r="D12231" s="2">
        <v>12.49</v>
      </c>
      <c r="E12231" s="2">
        <v>0</v>
      </c>
      <c r="F12231" t="s">
        <v>27</v>
      </c>
      <c r="G12231" t="s">
        <v>9</v>
      </c>
    </row>
    <row r="12232" spans="1:7" x14ac:dyDescent="0.35">
      <c r="A12232">
        <v>4863</v>
      </c>
      <c r="B12232" s="1">
        <v>45895</v>
      </c>
      <c r="C12232" t="s">
        <v>25</v>
      </c>
      <c r="D12232" s="2">
        <v>0</v>
      </c>
      <c r="E12232" s="2">
        <v>179.01</v>
      </c>
      <c r="F12232" t="s">
        <v>28</v>
      </c>
      <c r="G12232" t="s">
        <v>17</v>
      </c>
    </row>
    <row r="12233" spans="1:7" x14ac:dyDescent="0.35">
      <c r="A12233">
        <v>4864</v>
      </c>
      <c r="B12233" s="1">
        <v>45895</v>
      </c>
      <c r="C12233" t="s">
        <v>25</v>
      </c>
      <c r="D12233" s="2">
        <v>257.04000000000002</v>
      </c>
      <c r="E12233" s="2">
        <v>0</v>
      </c>
      <c r="F12233" t="s">
        <v>26</v>
      </c>
      <c r="G12233" t="s">
        <v>20</v>
      </c>
    </row>
    <row r="12234" spans="1:7" x14ac:dyDescent="0.35">
      <c r="A12234">
        <v>4864</v>
      </c>
      <c r="B12234" s="1">
        <v>45895</v>
      </c>
      <c r="C12234" t="s">
        <v>25</v>
      </c>
      <c r="D12234" s="2">
        <v>19.28</v>
      </c>
      <c r="E12234" s="2">
        <v>0</v>
      </c>
      <c r="F12234" t="s">
        <v>27</v>
      </c>
      <c r="G12234" t="s">
        <v>9</v>
      </c>
    </row>
    <row r="12235" spans="1:7" x14ac:dyDescent="0.35">
      <c r="A12235">
        <v>4864</v>
      </c>
      <c r="B12235" s="1">
        <v>45895</v>
      </c>
      <c r="C12235" t="s">
        <v>25</v>
      </c>
      <c r="D12235" s="2">
        <v>0</v>
      </c>
      <c r="E12235" s="2">
        <v>276.32</v>
      </c>
      <c r="F12235" t="s">
        <v>28</v>
      </c>
      <c r="G12235" t="s">
        <v>17</v>
      </c>
    </row>
    <row r="12236" spans="1:7" x14ac:dyDescent="0.35">
      <c r="A12236">
        <v>4865</v>
      </c>
      <c r="B12236" s="1">
        <v>45895</v>
      </c>
      <c r="C12236" t="s">
        <v>29</v>
      </c>
      <c r="D12236" s="2">
        <v>550.4</v>
      </c>
      <c r="E12236" s="2">
        <v>0</v>
      </c>
      <c r="F12236" t="s">
        <v>28</v>
      </c>
      <c r="G12236" t="s">
        <v>17</v>
      </c>
    </row>
    <row r="12237" spans="1:7" x14ac:dyDescent="0.35">
      <c r="A12237">
        <v>4865</v>
      </c>
      <c r="B12237" s="1">
        <v>45895</v>
      </c>
      <c r="C12237" t="s">
        <v>29</v>
      </c>
      <c r="D12237" s="2">
        <v>0</v>
      </c>
      <c r="E12237" s="2">
        <v>550.4</v>
      </c>
      <c r="F12237" t="s">
        <v>8</v>
      </c>
      <c r="G12237" t="s">
        <v>9</v>
      </c>
    </row>
    <row r="12238" spans="1:7" x14ac:dyDescent="0.35">
      <c r="A12238">
        <v>4866</v>
      </c>
      <c r="B12238" s="1">
        <v>45895</v>
      </c>
      <c r="C12238" t="s">
        <v>29</v>
      </c>
      <c r="D12238" s="2">
        <v>748.26</v>
      </c>
      <c r="E12238" s="2">
        <v>0</v>
      </c>
      <c r="F12238" t="s">
        <v>28</v>
      </c>
      <c r="G12238" t="s">
        <v>17</v>
      </c>
    </row>
    <row r="12239" spans="1:7" x14ac:dyDescent="0.35">
      <c r="A12239">
        <v>4866</v>
      </c>
      <c r="B12239" s="1">
        <v>45895</v>
      </c>
      <c r="C12239" t="s">
        <v>29</v>
      </c>
      <c r="D12239" s="2">
        <v>0</v>
      </c>
      <c r="E12239" s="2">
        <v>748.26</v>
      </c>
      <c r="F12239" t="s">
        <v>8</v>
      </c>
      <c r="G12239" t="s">
        <v>9</v>
      </c>
    </row>
    <row r="12240" spans="1:7" x14ac:dyDescent="0.35">
      <c r="A12240">
        <v>4867</v>
      </c>
      <c r="B12240" s="1">
        <v>45895</v>
      </c>
      <c r="C12240" t="s">
        <v>29</v>
      </c>
      <c r="D12240" s="2">
        <v>179.01</v>
      </c>
      <c r="E12240" s="2">
        <v>0</v>
      </c>
      <c r="F12240" t="s">
        <v>28</v>
      </c>
      <c r="G12240" t="s">
        <v>17</v>
      </c>
    </row>
    <row r="12241" spans="1:7" x14ac:dyDescent="0.35">
      <c r="A12241">
        <v>4867</v>
      </c>
      <c r="B12241" s="1">
        <v>45895</v>
      </c>
      <c r="C12241" t="s">
        <v>29</v>
      </c>
      <c r="D12241" s="2">
        <v>0</v>
      </c>
      <c r="E12241" s="2">
        <v>179.01</v>
      </c>
      <c r="F12241" t="s">
        <v>8</v>
      </c>
      <c r="G12241" t="s">
        <v>9</v>
      </c>
    </row>
    <row r="12242" spans="1:7" x14ac:dyDescent="0.35">
      <c r="A12242">
        <v>4868</v>
      </c>
      <c r="B12242" s="1">
        <v>45896</v>
      </c>
      <c r="C12242" t="s">
        <v>12</v>
      </c>
      <c r="D12242" s="2">
        <v>862.87</v>
      </c>
      <c r="E12242" s="2">
        <v>0</v>
      </c>
      <c r="F12242" t="s">
        <v>13</v>
      </c>
      <c r="G12242" t="s">
        <v>9</v>
      </c>
    </row>
    <row r="12243" spans="1:7" x14ac:dyDescent="0.35">
      <c r="A12243">
        <v>4868</v>
      </c>
      <c r="B12243" s="1">
        <v>45896</v>
      </c>
      <c r="C12243" t="s">
        <v>12</v>
      </c>
      <c r="D12243" s="2">
        <v>0</v>
      </c>
      <c r="E12243" s="2">
        <v>802.67</v>
      </c>
      <c r="F12243" t="s">
        <v>14</v>
      </c>
      <c r="G12243" t="s">
        <v>15</v>
      </c>
    </row>
    <row r="12244" spans="1:7" x14ac:dyDescent="0.35">
      <c r="A12244">
        <v>4868</v>
      </c>
      <c r="B12244" s="1">
        <v>45896</v>
      </c>
      <c r="C12244" t="s">
        <v>12</v>
      </c>
      <c r="D12244" s="2">
        <v>0</v>
      </c>
      <c r="E12244" s="2">
        <v>60.2</v>
      </c>
      <c r="F12244" t="s">
        <v>16</v>
      </c>
      <c r="G12244" t="s">
        <v>17</v>
      </c>
    </row>
    <row r="12245" spans="1:7" x14ac:dyDescent="0.35">
      <c r="A12245">
        <v>4869</v>
      </c>
      <c r="B12245" s="1">
        <v>45896</v>
      </c>
      <c r="C12245" t="s">
        <v>12</v>
      </c>
      <c r="D12245" s="2">
        <v>3635.7</v>
      </c>
      <c r="E12245" s="2">
        <v>0</v>
      </c>
      <c r="F12245" t="s">
        <v>13</v>
      </c>
      <c r="G12245" t="s">
        <v>9</v>
      </c>
    </row>
    <row r="12246" spans="1:7" x14ac:dyDescent="0.35">
      <c r="A12246">
        <v>4869</v>
      </c>
      <c r="B12246" s="1">
        <v>45896</v>
      </c>
      <c r="C12246" t="s">
        <v>12</v>
      </c>
      <c r="D12246" s="2">
        <v>0</v>
      </c>
      <c r="E12246" s="2">
        <v>3382.05</v>
      </c>
      <c r="F12246" t="s">
        <v>14</v>
      </c>
      <c r="G12246" t="s">
        <v>15</v>
      </c>
    </row>
    <row r="12247" spans="1:7" x14ac:dyDescent="0.35">
      <c r="A12247">
        <v>4869</v>
      </c>
      <c r="B12247" s="1">
        <v>45896</v>
      </c>
      <c r="C12247" t="s">
        <v>12</v>
      </c>
      <c r="D12247" s="2">
        <v>0</v>
      </c>
      <c r="E12247" s="2">
        <v>253.65</v>
      </c>
      <c r="F12247" t="s">
        <v>16</v>
      </c>
      <c r="G12247" t="s">
        <v>17</v>
      </c>
    </row>
    <row r="12248" spans="1:7" x14ac:dyDescent="0.35">
      <c r="A12248">
        <v>4870</v>
      </c>
      <c r="B12248" s="1">
        <v>45896</v>
      </c>
      <c r="C12248" t="s">
        <v>12</v>
      </c>
      <c r="D12248" s="2">
        <v>6786.83</v>
      </c>
      <c r="E12248" s="2">
        <v>0</v>
      </c>
      <c r="F12248" t="s">
        <v>13</v>
      </c>
      <c r="G12248" t="s">
        <v>9</v>
      </c>
    </row>
    <row r="12249" spans="1:7" x14ac:dyDescent="0.35">
      <c r="A12249">
        <v>4870</v>
      </c>
      <c r="B12249" s="1">
        <v>45896</v>
      </c>
      <c r="C12249" t="s">
        <v>12</v>
      </c>
      <c r="D12249" s="2">
        <v>0</v>
      </c>
      <c r="E12249" s="2">
        <v>6313.32</v>
      </c>
      <c r="F12249" t="s">
        <v>14</v>
      </c>
      <c r="G12249" t="s">
        <v>15</v>
      </c>
    </row>
    <row r="12250" spans="1:7" x14ac:dyDescent="0.35">
      <c r="A12250">
        <v>4870</v>
      </c>
      <c r="B12250" s="1">
        <v>45896</v>
      </c>
      <c r="C12250" t="s">
        <v>12</v>
      </c>
      <c r="D12250" s="2">
        <v>0</v>
      </c>
      <c r="E12250" s="2">
        <v>473.51</v>
      </c>
      <c r="F12250" t="s">
        <v>16</v>
      </c>
      <c r="G12250" t="s">
        <v>17</v>
      </c>
    </row>
    <row r="12251" spans="1:7" x14ac:dyDescent="0.35">
      <c r="A12251">
        <v>4871</v>
      </c>
      <c r="B12251" s="1">
        <v>45896</v>
      </c>
      <c r="C12251" t="s">
        <v>12</v>
      </c>
      <c r="D12251" s="2">
        <v>589.9</v>
      </c>
      <c r="E12251" s="2">
        <v>0</v>
      </c>
      <c r="F12251" t="s">
        <v>13</v>
      </c>
      <c r="G12251" t="s">
        <v>9</v>
      </c>
    </row>
    <row r="12252" spans="1:7" x14ac:dyDescent="0.35">
      <c r="A12252">
        <v>4871</v>
      </c>
      <c r="B12252" s="1">
        <v>45896</v>
      </c>
      <c r="C12252" t="s">
        <v>12</v>
      </c>
      <c r="D12252" s="2">
        <v>0</v>
      </c>
      <c r="E12252" s="2">
        <v>548.74</v>
      </c>
      <c r="F12252" t="s">
        <v>14</v>
      </c>
      <c r="G12252" t="s">
        <v>15</v>
      </c>
    </row>
    <row r="12253" spans="1:7" x14ac:dyDescent="0.35">
      <c r="A12253">
        <v>4871</v>
      </c>
      <c r="B12253" s="1">
        <v>45896</v>
      </c>
      <c r="C12253" t="s">
        <v>12</v>
      </c>
      <c r="D12253" s="2">
        <v>0</v>
      </c>
      <c r="E12253" s="2">
        <v>41.16</v>
      </c>
      <c r="F12253" t="s">
        <v>16</v>
      </c>
      <c r="G12253" t="s">
        <v>17</v>
      </c>
    </row>
    <row r="12254" spans="1:7" x14ac:dyDescent="0.35">
      <c r="A12254">
        <v>4872</v>
      </c>
      <c r="B12254" s="1">
        <v>45896</v>
      </c>
      <c r="C12254" t="s">
        <v>24</v>
      </c>
      <c r="D12254" s="2">
        <v>1240.26</v>
      </c>
      <c r="E12254" s="2">
        <v>0</v>
      </c>
      <c r="F12254" t="s">
        <v>8</v>
      </c>
      <c r="G12254" t="s">
        <v>9</v>
      </c>
    </row>
    <row r="12255" spans="1:7" x14ac:dyDescent="0.35">
      <c r="A12255">
        <v>4872</v>
      </c>
      <c r="B12255" s="1">
        <v>45896</v>
      </c>
      <c r="C12255" t="s">
        <v>24</v>
      </c>
      <c r="D12255" s="2">
        <v>0</v>
      </c>
      <c r="E12255" s="2">
        <v>1240.26</v>
      </c>
      <c r="F12255" t="s">
        <v>13</v>
      </c>
      <c r="G12255" t="s">
        <v>9</v>
      </c>
    </row>
    <row r="12256" spans="1:7" x14ac:dyDescent="0.35">
      <c r="A12256">
        <v>4873</v>
      </c>
      <c r="B12256" s="1">
        <v>45896</v>
      </c>
      <c r="C12256" t="s">
        <v>24</v>
      </c>
      <c r="D12256" s="2">
        <v>2078.06</v>
      </c>
      <c r="E12256" s="2">
        <v>0</v>
      </c>
      <c r="F12256" t="s">
        <v>8</v>
      </c>
      <c r="G12256" t="s">
        <v>9</v>
      </c>
    </row>
    <row r="12257" spans="1:7" x14ac:dyDescent="0.35">
      <c r="A12257">
        <v>4873</v>
      </c>
      <c r="B12257" s="1">
        <v>45896</v>
      </c>
      <c r="C12257" t="s">
        <v>24</v>
      </c>
      <c r="D12257" s="2">
        <v>0</v>
      </c>
      <c r="E12257" s="2">
        <v>2078.06</v>
      </c>
      <c r="F12257" t="s">
        <v>13</v>
      </c>
      <c r="G12257" t="s">
        <v>9</v>
      </c>
    </row>
    <row r="12258" spans="1:7" x14ac:dyDescent="0.35">
      <c r="A12258">
        <v>4874</v>
      </c>
      <c r="B12258" s="1">
        <v>45896</v>
      </c>
      <c r="C12258" t="s">
        <v>24</v>
      </c>
      <c r="D12258" s="2">
        <v>1386.7</v>
      </c>
      <c r="E12258" s="2">
        <v>0</v>
      </c>
      <c r="F12258" t="s">
        <v>8</v>
      </c>
      <c r="G12258" t="s">
        <v>9</v>
      </c>
    </row>
    <row r="12259" spans="1:7" x14ac:dyDescent="0.35">
      <c r="A12259">
        <v>4874</v>
      </c>
      <c r="B12259" s="1">
        <v>45896</v>
      </c>
      <c r="C12259" t="s">
        <v>24</v>
      </c>
      <c r="D12259" s="2">
        <v>0</v>
      </c>
      <c r="E12259" s="2">
        <v>1386.7</v>
      </c>
      <c r="F12259" t="s">
        <v>13</v>
      </c>
      <c r="G12259" t="s">
        <v>9</v>
      </c>
    </row>
    <row r="12260" spans="1:7" x14ac:dyDescent="0.35">
      <c r="A12260">
        <v>4875</v>
      </c>
      <c r="B12260" s="1">
        <v>45896</v>
      </c>
      <c r="C12260" t="s">
        <v>24</v>
      </c>
      <c r="D12260" s="2">
        <v>1850.31</v>
      </c>
      <c r="E12260" s="2">
        <v>0</v>
      </c>
      <c r="F12260" t="s">
        <v>8</v>
      </c>
      <c r="G12260" t="s">
        <v>9</v>
      </c>
    </row>
    <row r="12261" spans="1:7" x14ac:dyDescent="0.35">
      <c r="A12261">
        <v>4875</v>
      </c>
      <c r="B12261" s="1">
        <v>45896</v>
      </c>
      <c r="C12261" t="s">
        <v>24</v>
      </c>
      <c r="D12261" s="2">
        <v>0</v>
      </c>
      <c r="E12261" s="2">
        <v>1850.31</v>
      </c>
      <c r="F12261" t="s">
        <v>13</v>
      </c>
      <c r="G12261" t="s">
        <v>9</v>
      </c>
    </row>
    <row r="12262" spans="1:7" x14ac:dyDescent="0.35">
      <c r="A12262">
        <v>4876</v>
      </c>
      <c r="B12262" s="1">
        <v>45896</v>
      </c>
      <c r="C12262" t="s">
        <v>29</v>
      </c>
      <c r="D12262" s="2">
        <v>201.5</v>
      </c>
      <c r="E12262" s="2">
        <v>0</v>
      </c>
      <c r="F12262" t="s">
        <v>28</v>
      </c>
      <c r="G12262" t="s">
        <v>17</v>
      </c>
    </row>
    <row r="12263" spans="1:7" x14ac:dyDescent="0.35">
      <c r="A12263">
        <v>4876</v>
      </c>
      <c r="B12263" s="1">
        <v>45896</v>
      </c>
      <c r="C12263" t="s">
        <v>29</v>
      </c>
      <c r="D12263" s="2">
        <v>0</v>
      </c>
      <c r="E12263" s="2">
        <v>201.5</v>
      </c>
      <c r="F12263" t="s">
        <v>8</v>
      </c>
      <c r="G12263" t="s">
        <v>9</v>
      </c>
    </row>
    <row r="12264" spans="1:7" x14ac:dyDescent="0.35">
      <c r="A12264">
        <v>4877</v>
      </c>
      <c r="B12264" s="1">
        <v>45897</v>
      </c>
      <c r="C12264" t="s">
        <v>18</v>
      </c>
      <c r="D12264" s="2">
        <v>21603.55</v>
      </c>
      <c r="E12264" s="2">
        <v>0</v>
      </c>
      <c r="F12264" t="s">
        <v>19</v>
      </c>
      <c r="G12264" t="s">
        <v>20</v>
      </c>
    </row>
    <row r="12265" spans="1:7" x14ac:dyDescent="0.35">
      <c r="A12265">
        <v>4877</v>
      </c>
      <c r="B12265" s="1">
        <v>45897</v>
      </c>
      <c r="C12265" t="s">
        <v>18</v>
      </c>
      <c r="D12265" s="2">
        <v>864.14</v>
      </c>
      <c r="E12265" s="2">
        <v>0</v>
      </c>
      <c r="F12265" t="s">
        <v>21</v>
      </c>
      <c r="G12265" t="s">
        <v>20</v>
      </c>
    </row>
    <row r="12266" spans="1:7" x14ac:dyDescent="0.35">
      <c r="A12266">
        <v>4877</v>
      </c>
      <c r="B12266" s="1">
        <v>45897</v>
      </c>
      <c r="C12266" t="s">
        <v>18</v>
      </c>
      <c r="D12266" s="2">
        <v>0</v>
      </c>
      <c r="E12266" s="2">
        <v>17567.66</v>
      </c>
      <c r="F12266" t="s">
        <v>8</v>
      </c>
      <c r="G12266" t="s">
        <v>9</v>
      </c>
    </row>
    <row r="12267" spans="1:7" x14ac:dyDescent="0.35">
      <c r="A12267">
        <v>4877</v>
      </c>
      <c r="B12267" s="1">
        <v>45897</v>
      </c>
      <c r="C12267" t="s">
        <v>18</v>
      </c>
      <c r="D12267" s="2">
        <v>0</v>
      </c>
      <c r="E12267" s="2">
        <v>4035.89</v>
      </c>
      <c r="F12267" t="s">
        <v>22</v>
      </c>
      <c r="G12267" t="s">
        <v>17</v>
      </c>
    </row>
    <row r="12268" spans="1:7" x14ac:dyDescent="0.35">
      <c r="A12268">
        <v>4877</v>
      </c>
      <c r="B12268" s="1">
        <v>45897</v>
      </c>
      <c r="C12268" t="s">
        <v>18</v>
      </c>
      <c r="D12268" s="2">
        <v>0</v>
      </c>
      <c r="E12268" s="2">
        <v>864.14</v>
      </c>
      <c r="F12268" t="s">
        <v>23</v>
      </c>
      <c r="G12268" t="s">
        <v>17</v>
      </c>
    </row>
    <row r="12269" spans="1:7" x14ac:dyDescent="0.35">
      <c r="A12269">
        <v>4878</v>
      </c>
      <c r="B12269" s="1">
        <v>45897</v>
      </c>
      <c r="C12269" t="s">
        <v>12</v>
      </c>
      <c r="D12269" s="2">
        <v>312.58999999999997</v>
      </c>
      <c r="E12269" s="2">
        <v>0</v>
      </c>
      <c r="F12269" t="s">
        <v>13</v>
      </c>
      <c r="G12269" t="s">
        <v>9</v>
      </c>
    </row>
    <row r="12270" spans="1:7" x14ac:dyDescent="0.35">
      <c r="A12270">
        <v>4878</v>
      </c>
      <c r="B12270" s="1">
        <v>45897</v>
      </c>
      <c r="C12270" t="s">
        <v>12</v>
      </c>
      <c r="D12270" s="2">
        <v>0</v>
      </c>
      <c r="E12270" s="2">
        <v>290.77999999999997</v>
      </c>
      <c r="F12270" t="s">
        <v>14</v>
      </c>
      <c r="G12270" t="s">
        <v>15</v>
      </c>
    </row>
    <row r="12271" spans="1:7" x14ac:dyDescent="0.35">
      <c r="A12271">
        <v>4878</v>
      </c>
      <c r="B12271" s="1">
        <v>45897</v>
      </c>
      <c r="C12271" t="s">
        <v>12</v>
      </c>
      <c r="D12271" s="2">
        <v>0</v>
      </c>
      <c r="E12271" s="2">
        <v>21.81</v>
      </c>
      <c r="F12271" t="s">
        <v>16</v>
      </c>
      <c r="G12271" t="s">
        <v>17</v>
      </c>
    </row>
    <row r="12272" spans="1:7" x14ac:dyDescent="0.35">
      <c r="A12272">
        <v>4879</v>
      </c>
      <c r="B12272" s="1">
        <v>45897</v>
      </c>
      <c r="C12272" t="s">
        <v>12</v>
      </c>
      <c r="D12272" s="2">
        <v>179.58</v>
      </c>
      <c r="E12272" s="2">
        <v>0</v>
      </c>
      <c r="F12272" t="s">
        <v>13</v>
      </c>
      <c r="G12272" t="s">
        <v>9</v>
      </c>
    </row>
    <row r="12273" spans="1:7" x14ac:dyDescent="0.35">
      <c r="A12273">
        <v>4879</v>
      </c>
      <c r="B12273" s="1">
        <v>45897</v>
      </c>
      <c r="C12273" t="s">
        <v>12</v>
      </c>
      <c r="D12273" s="2">
        <v>0</v>
      </c>
      <c r="E12273" s="2">
        <v>167.05</v>
      </c>
      <c r="F12273" t="s">
        <v>14</v>
      </c>
      <c r="G12273" t="s">
        <v>15</v>
      </c>
    </row>
    <row r="12274" spans="1:7" x14ac:dyDescent="0.35">
      <c r="A12274">
        <v>4879</v>
      </c>
      <c r="B12274" s="1">
        <v>45897</v>
      </c>
      <c r="C12274" t="s">
        <v>12</v>
      </c>
      <c r="D12274" s="2">
        <v>0</v>
      </c>
      <c r="E12274" s="2">
        <v>12.53</v>
      </c>
      <c r="F12274" t="s">
        <v>16</v>
      </c>
      <c r="G12274" t="s">
        <v>17</v>
      </c>
    </row>
    <row r="12275" spans="1:7" x14ac:dyDescent="0.35">
      <c r="A12275">
        <v>4880</v>
      </c>
      <c r="B12275" s="1">
        <v>45897</v>
      </c>
      <c r="C12275" t="s">
        <v>12</v>
      </c>
      <c r="D12275" s="2">
        <v>2100.5500000000002</v>
      </c>
      <c r="E12275" s="2">
        <v>0</v>
      </c>
      <c r="F12275" t="s">
        <v>13</v>
      </c>
      <c r="G12275" t="s">
        <v>9</v>
      </c>
    </row>
    <row r="12276" spans="1:7" x14ac:dyDescent="0.35">
      <c r="A12276">
        <v>4880</v>
      </c>
      <c r="B12276" s="1">
        <v>45897</v>
      </c>
      <c r="C12276" t="s">
        <v>12</v>
      </c>
      <c r="D12276" s="2">
        <v>0</v>
      </c>
      <c r="E12276" s="2">
        <v>1954</v>
      </c>
      <c r="F12276" t="s">
        <v>14</v>
      </c>
      <c r="G12276" t="s">
        <v>15</v>
      </c>
    </row>
    <row r="12277" spans="1:7" x14ac:dyDescent="0.35">
      <c r="A12277">
        <v>4880</v>
      </c>
      <c r="B12277" s="1">
        <v>45897</v>
      </c>
      <c r="C12277" t="s">
        <v>12</v>
      </c>
      <c r="D12277" s="2">
        <v>0</v>
      </c>
      <c r="E12277" s="2">
        <v>146.55000000000001</v>
      </c>
      <c r="F12277" t="s">
        <v>16</v>
      </c>
      <c r="G12277" t="s">
        <v>17</v>
      </c>
    </row>
    <row r="12278" spans="1:7" x14ac:dyDescent="0.35">
      <c r="A12278">
        <v>4881</v>
      </c>
      <c r="B12278" s="1">
        <v>45897</v>
      </c>
      <c r="C12278" t="s">
        <v>24</v>
      </c>
      <c r="D12278" s="2">
        <v>511.18</v>
      </c>
      <c r="E12278" s="2">
        <v>0</v>
      </c>
      <c r="F12278" t="s">
        <v>8</v>
      </c>
      <c r="G12278" t="s">
        <v>9</v>
      </c>
    </row>
    <row r="12279" spans="1:7" x14ac:dyDescent="0.35">
      <c r="A12279">
        <v>4881</v>
      </c>
      <c r="B12279" s="1">
        <v>45897</v>
      </c>
      <c r="C12279" t="s">
        <v>24</v>
      </c>
      <c r="D12279" s="2">
        <v>0</v>
      </c>
      <c r="E12279" s="2">
        <v>511.18</v>
      </c>
      <c r="F12279" t="s">
        <v>13</v>
      </c>
      <c r="G12279" t="s">
        <v>9</v>
      </c>
    </row>
    <row r="12280" spans="1:7" x14ac:dyDescent="0.35">
      <c r="A12280">
        <v>4882</v>
      </c>
      <c r="B12280" s="1">
        <v>45897</v>
      </c>
      <c r="C12280" t="s">
        <v>24</v>
      </c>
      <c r="D12280" s="2">
        <v>3443.53</v>
      </c>
      <c r="E12280" s="2">
        <v>0</v>
      </c>
      <c r="F12280" t="s">
        <v>8</v>
      </c>
      <c r="G12280" t="s">
        <v>9</v>
      </c>
    </row>
    <row r="12281" spans="1:7" x14ac:dyDescent="0.35">
      <c r="A12281">
        <v>4882</v>
      </c>
      <c r="B12281" s="1">
        <v>45897</v>
      </c>
      <c r="C12281" t="s">
        <v>24</v>
      </c>
      <c r="D12281" s="2">
        <v>0</v>
      </c>
      <c r="E12281" s="2">
        <v>3443.53</v>
      </c>
      <c r="F12281" t="s">
        <v>13</v>
      </c>
      <c r="G12281" t="s">
        <v>9</v>
      </c>
    </row>
    <row r="12282" spans="1:7" x14ac:dyDescent="0.35">
      <c r="A12282">
        <v>4883</v>
      </c>
      <c r="B12282" s="1">
        <v>45897</v>
      </c>
      <c r="C12282" t="s">
        <v>24</v>
      </c>
      <c r="D12282" s="2">
        <v>811.34</v>
      </c>
      <c r="E12282" s="2">
        <v>0</v>
      </c>
      <c r="F12282" t="s">
        <v>8</v>
      </c>
      <c r="G12282" t="s">
        <v>9</v>
      </c>
    </row>
    <row r="12283" spans="1:7" x14ac:dyDescent="0.35">
      <c r="A12283">
        <v>4883</v>
      </c>
      <c r="B12283" s="1">
        <v>45897</v>
      </c>
      <c r="C12283" t="s">
        <v>24</v>
      </c>
      <c r="D12283" s="2">
        <v>0</v>
      </c>
      <c r="E12283" s="2">
        <v>811.34</v>
      </c>
      <c r="F12283" t="s">
        <v>13</v>
      </c>
      <c r="G12283" t="s">
        <v>9</v>
      </c>
    </row>
    <row r="12284" spans="1:7" x14ac:dyDescent="0.35">
      <c r="A12284">
        <v>4884</v>
      </c>
      <c r="B12284" s="1">
        <v>45897</v>
      </c>
      <c r="C12284" t="s">
        <v>24</v>
      </c>
      <c r="D12284" s="2">
        <v>212.4</v>
      </c>
      <c r="E12284" s="2">
        <v>0</v>
      </c>
      <c r="F12284" t="s">
        <v>8</v>
      </c>
      <c r="G12284" t="s">
        <v>9</v>
      </c>
    </row>
    <row r="12285" spans="1:7" x14ac:dyDescent="0.35">
      <c r="A12285">
        <v>4884</v>
      </c>
      <c r="B12285" s="1">
        <v>45897</v>
      </c>
      <c r="C12285" t="s">
        <v>24</v>
      </c>
      <c r="D12285" s="2">
        <v>0</v>
      </c>
      <c r="E12285" s="2">
        <v>212.4</v>
      </c>
      <c r="F12285" t="s">
        <v>13</v>
      </c>
      <c r="G12285" t="s">
        <v>9</v>
      </c>
    </row>
    <row r="12286" spans="1:7" x14ac:dyDescent="0.35">
      <c r="A12286">
        <v>4885</v>
      </c>
      <c r="B12286" s="1">
        <v>45897</v>
      </c>
      <c r="C12286" t="s">
        <v>24</v>
      </c>
      <c r="D12286" s="2">
        <v>2733.48</v>
      </c>
      <c r="E12286" s="2">
        <v>0</v>
      </c>
      <c r="F12286" t="s">
        <v>8</v>
      </c>
      <c r="G12286" t="s">
        <v>9</v>
      </c>
    </row>
    <row r="12287" spans="1:7" x14ac:dyDescent="0.35">
      <c r="A12287">
        <v>4885</v>
      </c>
      <c r="B12287" s="1">
        <v>45897</v>
      </c>
      <c r="C12287" t="s">
        <v>24</v>
      </c>
      <c r="D12287" s="2">
        <v>0</v>
      </c>
      <c r="E12287" s="2">
        <v>2733.48</v>
      </c>
      <c r="F12287" t="s">
        <v>13</v>
      </c>
      <c r="G12287" t="s">
        <v>9</v>
      </c>
    </row>
    <row r="12288" spans="1:7" x14ac:dyDescent="0.35">
      <c r="A12288">
        <v>4886</v>
      </c>
      <c r="B12288" s="1">
        <v>45897</v>
      </c>
      <c r="C12288" t="s">
        <v>24</v>
      </c>
      <c r="D12288" s="2">
        <v>1183.28</v>
      </c>
      <c r="E12288" s="2">
        <v>0</v>
      </c>
      <c r="F12288" t="s">
        <v>8</v>
      </c>
      <c r="G12288" t="s">
        <v>9</v>
      </c>
    </row>
    <row r="12289" spans="1:7" x14ac:dyDescent="0.35">
      <c r="A12289">
        <v>4886</v>
      </c>
      <c r="B12289" s="1">
        <v>45897</v>
      </c>
      <c r="C12289" t="s">
        <v>24</v>
      </c>
      <c r="D12289" s="2">
        <v>0</v>
      </c>
      <c r="E12289" s="2">
        <v>1183.28</v>
      </c>
      <c r="F12289" t="s">
        <v>13</v>
      </c>
      <c r="G12289" t="s">
        <v>9</v>
      </c>
    </row>
    <row r="12290" spans="1:7" x14ac:dyDescent="0.35">
      <c r="A12290">
        <v>4887</v>
      </c>
      <c r="B12290" s="1">
        <v>45897</v>
      </c>
      <c r="C12290" t="s">
        <v>29</v>
      </c>
      <c r="D12290" s="2">
        <v>1766.46</v>
      </c>
      <c r="E12290" s="2">
        <v>0</v>
      </c>
      <c r="F12290" t="s">
        <v>28</v>
      </c>
      <c r="G12290" t="s">
        <v>17</v>
      </c>
    </row>
    <row r="12291" spans="1:7" x14ac:dyDescent="0.35">
      <c r="A12291">
        <v>4887</v>
      </c>
      <c r="B12291" s="1">
        <v>45897</v>
      </c>
      <c r="C12291" t="s">
        <v>29</v>
      </c>
      <c r="D12291" s="2">
        <v>0</v>
      </c>
      <c r="E12291" s="2">
        <v>1766.46</v>
      </c>
      <c r="F12291" t="s">
        <v>8</v>
      </c>
      <c r="G12291" t="s">
        <v>9</v>
      </c>
    </row>
    <row r="12292" spans="1:7" x14ac:dyDescent="0.35">
      <c r="A12292">
        <v>4888</v>
      </c>
      <c r="B12292" s="1">
        <v>45897</v>
      </c>
      <c r="C12292" t="s">
        <v>29</v>
      </c>
      <c r="D12292" s="2">
        <v>1159.8399999999999</v>
      </c>
      <c r="E12292" s="2">
        <v>0</v>
      </c>
      <c r="F12292" t="s">
        <v>28</v>
      </c>
      <c r="G12292" t="s">
        <v>17</v>
      </c>
    </row>
    <row r="12293" spans="1:7" x14ac:dyDescent="0.35">
      <c r="A12293">
        <v>4888</v>
      </c>
      <c r="B12293" s="1">
        <v>45897</v>
      </c>
      <c r="C12293" t="s">
        <v>29</v>
      </c>
      <c r="D12293" s="2">
        <v>0</v>
      </c>
      <c r="E12293" s="2">
        <v>1159.8399999999999</v>
      </c>
      <c r="F12293" t="s">
        <v>8</v>
      </c>
      <c r="G12293" t="s">
        <v>9</v>
      </c>
    </row>
    <row r="12294" spans="1:7" x14ac:dyDescent="0.35">
      <c r="A12294">
        <v>4889</v>
      </c>
      <c r="B12294" s="1">
        <v>45897</v>
      </c>
      <c r="C12294" t="s">
        <v>29</v>
      </c>
      <c r="D12294" s="2">
        <v>201.5</v>
      </c>
      <c r="E12294" s="2">
        <v>0</v>
      </c>
      <c r="F12294" t="s">
        <v>28</v>
      </c>
      <c r="G12294" t="s">
        <v>17</v>
      </c>
    </row>
    <row r="12295" spans="1:7" x14ac:dyDescent="0.35">
      <c r="A12295">
        <v>4889</v>
      </c>
      <c r="B12295" s="1">
        <v>45897</v>
      </c>
      <c r="C12295" t="s">
        <v>29</v>
      </c>
      <c r="D12295" s="2">
        <v>0</v>
      </c>
      <c r="E12295" s="2">
        <v>201.5</v>
      </c>
      <c r="F12295" t="s">
        <v>8</v>
      </c>
      <c r="G12295" t="s">
        <v>9</v>
      </c>
    </row>
    <row r="12296" spans="1:7" x14ac:dyDescent="0.35">
      <c r="A12296">
        <v>4890</v>
      </c>
      <c r="B12296" s="1">
        <v>45897</v>
      </c>
      <c r="C12296" t="s">
        <v>29</v>
      </c>
      <c r="D12296" s="2">
        <v>2504.23</v>
      </c>
      <c r="E12296" s="2">
        <v>0</v>
      </c>
      <c r="F12296" t="s">
        <v>28</v>
      </c>
      <c r="G12296" t="s">
        <v>17</v>
      </c>
    </row>
    <row r="12297" spans="1:7" x14ac:dyDescent="0.35">
      <c r="A12297">
        <v>4890</v>
      </c>
      <c r="B12297" s="1">
        <v>45897</v>
      </c>
      <c r="C12297" t="s">
        <v>29</v>
      </c>
      <c r="D12297" s="2">
        <v>0</v>
      </c>
      <c r="E12297" s="2">
        <v>2504.23</v>
      </c>
      <c r="F12297" t="s">
        <v>8</v>
      </c>
      <c r="G12297" t="s">
        <v>9</v>
      </c>
    </row>
    <row r="12298" spans="1:7" x14ac:dyDescent="0.35">
      <c r="A12298">
        <v>4891</v>
      </c>
      <c r="B12298" s="1">
        <v>45897</v>
      </c>
      <c r="C12298" t="s">
        <v>29</v>
      </c>
      <c r="D12298" s="2">
        <v>9336.67</v>
      </c>
      <c r="E12298" s="2">
        <v>0</v>
      </c>
      <c r="F12298" t="s">
        <v>28</v>
      </c>
      <c r="G12298" t="s">
        <v>17</v>
      </c>
    </row>
    <row r="12299" spans="1:7" x14ac:dyDescent="0.35">
      <c r="A12299">
        <v>4891</v>
      </c>
      <c r="B12299" s="1">
        <v>45897</v>
      </c>
      <c r="C12299" t="s">
        <v>29</v>
      </c>
      <c r="D12299" s="2">
        <v>0</v>
      </c>
      <c r="E12299" s="2">
        <v>9336.67</v>
      </c>
      <c r="F12299" t="s">
        <v>8</v>
      </c>
      <c r="G12299" t="s">
        <v>9</v>
      </c>
    </row>
    <row r="12300" spans="1:7" x14ac:dyDescent="0.35">
      <c r="A12300">
        <v>4892</v>
      </c>
      <c r="B12300" s="1">
        <v>45898</v>
      </c>
      <c r="C12300" t="s">
        <v>12</v>
      </c>
      <c r="D12300" s="2">
        <v>395.43</v>
      </c>
      <c r="E12300" s="2">
        <v>0</v>
      </c>
      <c r="F12300" t="s">
        <v>13</v>
      </c>
      <c r="G12300" t="s">
        <v>9</v>
      </c>
    </row>
    <row r="12301" spans="1:7" x14ac:dyDescent="0.35">
      <c r="A12301">
        <v>4892</v>
      </c>
      <c r="B12301" s="1">
        <v>45898</v>
      </c>
      <c r="C12301" t="s">
        <v>12</v>
      </c>
      <c r="D12301" s="2">
        <v>0</v>
      </c>
      <c r="E12301" s="2">
        <v>367.84</v>
      </c>
      <c r="F12301" t="s">
        <v>14</v>
      </c>
      <c r="G12301" t="s">
        <v>15</v>
      </c>
    </row>
    <row r="12302" spans="1:7" x14ac:dyDescent="0.35">
      <c r="A12302">
        <v>4892</v>
      </c>
      <c r="B12302" s="1">
        <v>45898</v>
      </c>
      <c r="C12302" t="s">
        <v>12</v>
      </c>
      <c r="D12302" s="2">
        <v>0</v>
      </c>
      <c r="E12302" s="2">
        <v>27.59</v>
      </c>
      <c r="F12302" t="s">
        <v>16</v>
      </c>
      <c r="G12302" t="s">
        <v>17</v>
      </c>
    </row>
    <row r="12303" spans="1:7" x14ac:dyDescent="0.35">
      <c r="A12303">
        <v>4893</v>
      </c>
      <c r="B12303" s="1">
        <v>45898</v>
      </c>
      <c r="C12303" t="s">
        <v>12</v>
      </c>
      <c r="D12303" s="2">
        <v>1691.13</v>
      </c>
      <c r="E12303" s="2">
        <v>0</v>
      </c>
      <c r="F12303" t="s">
        <v>13</v>
      </c>
      <c r="G12303" t="s">
        <v>9</v>
      </c>
    </row>
    <row r="12304" spans="1:7" x14ac:dyDescent="0.35">
      <c r="A12304">
        <v>4893</v>
      </c>
      <c r="B12304" s="1">
        <v>45898</v>
      </c>
      <c r="C12304" t="s">
        <v>12</v>
      </c>
      <c r="D12304" s="2">
        <v>0</v>
      </c>
      <c r="E12304" s="2">
        <v>1573.14</v>
      </c>
      <c r="F12304" t="s">
        <v>14</v>
      </c>
      <c r="G12304" t="s">
        <v>15</v>
      </c>
    </row>
    <row r="12305" spans="1:7" x14ac:dyDescent="0.35">
      <c r="A12305">
        <v>4893</v>
      </c>
      <c r="B12305" s="1">
        <v>45898</v>
      </c>
      <c r="C12305" t="s">
        <v>12</v>
      </c>
      <c r="D12305" s="2">
        <v>0</v>
      </c>
      <c r="E12305" s="2">
        <v>117.99</v>
      </c>
      <c r="F12305" t="s">
        <v>16</v>
      </c>
      <c r="G12305" t="s">
        <v>17</v>
      </c>
    </row>
    <row r="12306" spans="1:7" x14ac:dyDescent="0.35">
      <c r="A12306">
        <v>4894</v>
      </c>
      <c r="B12306" s="1">
        <v>45898</v>
      </c>
      <c r="C12306" t="s">
        <v>12</v>
      </c>
      <c r="D12306" s="2">
        <v>1334.9</v>
      </c>
      <c r="E12306" s="2">
        <v>0</v>
      </c>
      <c r="F12306" t="s">
        <v>13</v>
      </c>
      <c r="G12306" t="s">
        <v>9</v>
      </c>
    </row>
    <row r="12307" spans="1:7" x14ac:dyDescent="0.35">
      <c r="A12307">
        <v>4894</v>
      </c>
      <c r="B12307" s="1">
        <v>45898</v>
      </c>
      <c r="C12307" t="s">
        <v>12</v>
      </c>
      <c r="D12307" s="2">
        <v>0</v>
      </c>
      <c r="E12307" s="2">
        <v>1241.77</v>
      </c>
      <c r="F12307" t="s">
        <v>14</v>
      </c>
      <c r="G12307" t="s">
        <v>15</v>
      </c>
    </row>
    <row r="12308" spans="1:7" x14ac:dyDescent="0.35">
      <c r="A12308">
        <v>4894</v>
      </c>
      <c r="B12308" s="1">
        <v>45898</v>
      </c>
      <c r="C12308" t="s">
        <v>12</v>
      </c>
      <c r="D12308" s="2">
        <v>0</v>
      </c>
      <c r="E12308" s="2">
        <v>93.13</v>
      </c>
      <c r="F12308" t="s">
        <v>16</v>
      </c>
      <c r="G12308" t="s">
        <v>17</v>
      </c>
    </row>
    <row r="12309" spans="1:7" x14ac:dyDescent="0.35">
      <c r="A12309">
        <v>4895</v>
      </c>
      <c r="B12309" s="1">
        <v>45898</v>
      </c>
      <c r="C12309" t="s">
        <v>12</v>
      </c>
      <c r="D12309" s="2">
        <v>1846.57</v>
      </c>
      <c r="E12309" s="2">
        <v>0</v>
      </c>
      <c r="F12309" t="s">
        <v>13</v>
      </c>
      <c r="G12309" t="s">
        <v>9</v>
      </c>
    </row>
    <row r="12310" spans="1:7" x14ac:dyDescent="0.35">
      <c r="A12310">
        <v>4895</v>
      </c>
      <c r="B12310" s="1">
        <v>45898</v>
      </c>
      <c r="C12310" t="s">
        <v>12</v>
      </c>
      <c r="D12310" s="2">
        <v>0</v>
      </c>
      <c r="E12310" s="2">
        <v>1717.74</v>
      </c>
      <c r="F12310" t="s">
        <v>14</v>
      </c>
      <c r="G12310" t="s">
        <v>15</v>
      </c>
    </row>
    <row r="12311" spans="1:7" x14ac:dyDescent="0.35">
      <c r="A12311">
        <v>4895</v>
      </c>
      <c r="B12311" s="1">
        <v>45898</v>
      </c>
      <c r="C12311" t="s">
        <v>12</v>
      </c>
      <c r="D12311" s="2">
        <v>0</v>
      </c>
      <c r="E12311" s="2">
        <v>128.83000000000001</v>
      </c>
      <c r="F12311" t="s">
        <v>16</v>
      </c>
      <c r="G12311" t="s">
        <v>17</v>
      </c>
    </row>
    <row r="12312" spans="1:7" x14ac:dyDescent="0.35">
      <c r="A12312">
        <v>4896</v>
      </c>
      <c r="B12312" s="1">
        <v>45898</v>
      </c>
      <c r="C12312" t="s">
        <v>12</v>
      </c>
      <c r="D12312" s="2">
        <v>3582.7</v>
      </c>
      <c r="E12312" s="2">
        <v>0</v>
      </c>
      <c r="F12312" t="s">
        <v>13</v>
      </c>
      <c r="G12312" t="s">
        <v>9</v>
      </c>
    </row>
    <row r="12313" spans="1:7" x14ac:dyDescent="0.35">
      <c r="A12313">
        <v>4896</v>
      </c>
      <c r="B12313" s="1">
        <v>45898</v>
      </c>
      <c r="C12313" t="s">
        <v>12</v>
      </c>
      <c r="D12313" s="2">
        <v>0</v>
      </c>
      <c r="E12313" s="2">
        <v>3332.74</v>
      </c>
      <c r="F12313" t="s">
        <v>14</v>
      </c>
      <c r="G12313" t="s">
        <v>15</v>
      </c>
    </row>
    <row r="12314" spans="1:7" x14ac:dyDescent="0.35">
      <c r="A12314">
        <v>4896</v>
      </c>
      <c r="B12314" s="1">
        <v>45898</v>
      </c>
      <c r="C12314" t="s">
        <v>12</v>
      </c>
      <c r="D12314" s="2">
        <v>0</v>
      </c>
      <c r="E12314" s="2">
        <v>249.96</v>
      </c>
      <c r="F12314" t="s">
        <v>16</v>
      </c>
      <c r="G12314" t="s">
        <v>17</v>
      </c>
    </row>
    <row r="12315" spans="1:7" x14ac:dyDescent="0.35">
      <c r="A12315">
        <v>4897</v>
      </c>
      <c r="B12315" s="1">
        <v>45898</v>
      </c>
      <c r="C12315" t="s">
        <v>24</v>
      </c>
      <c r="D12315" s="2">
        <v>2675.46</v>
      </c>
      <c r="E12315" s="2">
        <v>0</v>
      </c>
      <c r="F12315" t="s">
        <v>8</v>
      </c>
      <c r="G12315" t="s">
        <v>9</v>
      </c>
    </row>
    <row r="12316" spans="1:7" x14ac:dyDescent="0.35">
      <c r="A12316">
        <v>4897</v>
      </c>
      <c r="B12316" s="1">
        <v>45898</v>
      </c>
      <c r="C12316" t="s">
        <v>24</v>
      </c>
      <c r="D12316" s="2">
        <v>0</v>
      </c>
      <c r="E12316" s="2">
        <v>2675.46</v>
      </c>
      <c r="F12316" t="s">
        <v>13</v>
      </c>
      <c r="G12316" t="s">
        <v>9</v>
      </c>
    </row>
    <row r="12317" spans="1:7" x14ac:dyDescent="0.35">
      <c r="A12317">
        <v>4898</v>
      </c>
      <c r="B12317" s="1">
        <v>45898</v>
      </c>
      <c r="C12317" t="s">
        <v>24</v>
      </c>
      <c r="D12317" s="2">
        <v>367.71</v>
      </c>
      <c r="E12317" s="2">
        <v>0</v>
      </c>
      <c r="F12317" t="s">
        <v>8</v>
      </c>
      <c r="G12317" t="s">
        <v>9</v>
      </c>
    </row>
    <row r="12318" spans="1:7" x14ac:dyDescent="0.35">
      <c r="A12318">
        <v>4898</v>
      </c>
      <c r="B12318" s="1">
        <v>45898</v>
      </c>
      <c r="C12318" t="s">
        <v>24</v>
      </c>
      <c r="D12318" s="2">
        <v>0</v>
      </c>
      <c r="E12318" s="2">
        <v>367.71</v>
      </c>
      <c r="F12318" t="s">
        <v>13</v>
      </c>
      <c r="G12318" t="s">
        <v>9</v>
      </c>
    </row>
    <row r="12319" spans="1:7" x14ac:dyDescent="0.35">
      <c r="A12319">
        <v>4899</v>
      </c>
      <c r="B12319" s="1">
        <v>45898</v>
      </c>
      <c r="C12319" t="s">
        <v>24</v>
      </c>
      <c r="D12319" s="2">
        <v>3247.15</v>
      </c>
      <c r="E12319" s="2">
        <v>0</v>
      </c>
      <c r="F12319" t="s">
        <v>8</v>
      </c>
      <c r="G12319" t="s">
        <v>9</v>
      </c>
    </row>
    <row r="12320" spans="1:7" x14ac:dyDescent="0.35">
      <c r="A12320">
        <v>4899</v>
      </c>
      <c r="B12320" s="1">
        <v>45898</v>
      </c>
      <c r="C12320" t="s">
        <v>24</v>
      </c>
      <c r="D12320" s="2">
        <v>0</v>
      </c>
      <c r="E12320" s="2">
        <v>3247.15</v>
      </c>
      <c r="F12320" t="s">
        <v>13</v>
      </c>
      <c r="G12320" t="s">
        <v>9</v>
      </c>
    </row>
    <row r="12321" spans="1:7" x14ac:dyDescent="0.35">
      <c r="A12321">
        <v>4900</v>
      </c>
      <c r="B12321" s="1">
        <v>45898</v>
      </c>
      <c r="C12321" t="s">
        <v>24</v>
      </c>
      <c r="D12321" s="2">
        <v>2014.94</v>
      </c>
      <c r="E12321" s="2">
        <v>0</v>
      </c>
      <c r="F12321" t="s">
        <v>8</v>
      </c>
      <c r="G12321" t="s">
        <v>9</v>
      </c>
    </row>
    <row r="12322" spans="1:7" x14ac:dyDescent="0.35">
      <c r="A12322">
        <v>4900</v>
      </c>
      <c r="B12322" s="1">
        <v>45898</v>
      </c>
      <c r="C12322" t="s">
        <v>24</v>
      </c>
      <c r="D12322" s="2">
        <v>0</v>
      </c>
      <c r="E12322" s="2">
        <v>2014.94</v>
      </c>
      <c r="F12322" t="s">
        <v>13</v>
      </c>
      <c r="G12322" t="s">
        <v>9</v>
      </c>
    </row>
    <row r="12323" spans="1:7" x14ac:dyDescent="0.35">
      <c r="A12323">
        <v>4901</v>
      </c>
      <c r="B12323" s="1">
        <v>45898</v>
      </c>
      <c r="C12323" t="s">
        <v>24</v>
      </c>
      <c r="D12323" s="2">
        <v>1786.1</v>
      </c>
      <c r="E12323" s="2">
        <v>0</v>
      </c>
      <c r="F12323" t="s">
        <v>8</v>
      </c>
      <c r="G12323" t="s">
        <v>9</v>
      </c>
    </row>
    <row r="12324" spans="1:7" x14ac:dyDescent="0.35">
      <c r="A12324">
        <v>4901</v>
      </c>
      <c r="B12324" s="1">
        <v>45898</v>
      </c>
      <c r="C12324" t="s">
        <v>24</v>
      </c>
      <c r="D12324" s="2">
        <v>0</v>
      </c>
      <c r="E12324" s="2">
        <v>1786.1</v>
      </c>
      <c r="F12324" t="s">
        <v>13</v>
      </c>
      <c r="G12324" t="s">
        <v>9</v>
      </c>
    </row>
    <row r="12325" spans="1:7" x14ac:dyDescent="0.35">
      <c r="A12325">
        <v>4902</v>
      </c>
      <c r="B12325" s="1">
        <v>45898</v>
      </c>
      <c r="C12325" t="s">
        <v>24</v>
      </c>
      <c r="D12325" s="2">
        <v>2100.5500000000002</v>
      </c>
      <c r="E12325" s="2">
        <v>0</v>
      </c>
      <c r="F12325" t="s">
        <v>8</v>
      </c>
      <c r="G12325" t="s">
        <v>9</v>
      </c>
    </row>
    <row r="12326" spans="1:7" x14ac:dyDescent="0.35">
      <c r="A12326">
        <v>4902</v>
      </c>
      <c r="B12326" s="1">
        <v>45898</v>
      </c>
      <c r="C12326" t="s">
        <v>24</v>
      </c>
      <c r="D12326" s="2">
        <v>0</v>
      </c>
      <c r="E12326" s="2">
        <v>2100.5500000000002</v>
      </c>
      <c r="F12326" t="s">
        <v>13</v>
      </c>
      <c r="G12326" t="s">
        <v>9</v>
      </c>
    </row>
    <row r="12327" spans="1:7" x14ac:dyDescent="0.35">
      <c r="A12327">
        <v>4903</v>
      </c>
      <c r="B12327" s="1">
        <v>45898</v>
      </c>
      <c r="C12327" t="s">
        <v>25</v>
      </c>
      <c r="D12327" s="2">
        <v>802.71</v>
      </c>
      <c r="E12327" s="2">
        <v>0</v>
      </c>
      <c r="F12327" t="s">
        <v>26</v>
      </c>
      <c r="G12327" t="s">
        <v>20</v>
      </c>
    </row>
    <row r="12328" spans="1:7" x14ac:dyDescent="0.35">
      <c r="A12328">
        <v>4903</v>
      </c>
      <c r="B12328" s="1">
        <v>45898</v>
      </c>
      <c r="C12328" t="s">
        <v>25</v>
      </c>
      <c r="D12328" s="2">
        <v>60.2</v>
      </c>
      <c r="E12328" s="2">
        <v>0</v>
      </c>
      <c r="F12328" t="s">
        <v>27</v>
      </c>
      <c r="G12328" t="s">
        <v>9</v>
      </c>
    </row>
    <row r="12329" spans="1:7" x14ac:dyDescent="0.35">
      <c r="A12329">
        <v>4903</v>
      </c>
      <c r="B12329" s="1">
        <v>45898</v>
      </c>
      <c r="C12329" t="s">
        <v>25</v>
      </c>
      <c r="D12329" s="2">
        <v>0</v>
      </c>
      <c r="E12329" s="2">
        <v>862.91</v>
      </c>
      <c r="F12329" t="s">
        <v>28</v>
      </c>
      <c r="G12329" t="s">
        <v>17</v>
      </c>
    </row>
    <row r="12330" spans="1:7" x14ac:dyDescent="0.35">
      <c r="A12330">
        <v>4904</v>
      </c>
      <c r="B12330" s="1">
        <v>45898</v>
      </c>
      <c r="C12330" t="s">
        <v>25</v>
      </c>
      <c r="D12330" s="2">
        <v>4476.71</v>
      </c>
      <c r="E12330" s="2">
        <v>0</v>
      </c>
      <c r="F12330" t="s">
        <v>26</v>
      </c>
      <c r="G12330" t="s">
        <v>20</v>
      </c>
    </row>
    <row r="12331" spans="1:7" x14ac:dyDescent="0.35">
      <c r="A12331">
        <v>4904</v>
      </c>
      <c r="B12331" s="1">
        <v>45898</v>
      </c>
      <c r="C12331" t="s">
        <v>25</v>
      </c>
      <c r="D12331" s="2">
        <v>335.75</v>
      </c>
      <c r="E12331" s="2">
        <v>0</v>
      </c>
      <c r="F12331" t="s">
        <v>27</v>
      </c>
      <c r="G12331" t="s">
        <v>9</v>
      </c>
    </row>
    <row r="12332" spans="1:7" x14ac:dyDescent="0.35">
      <c r="A12332">
        <v>4904</v>
      </c>
      <c r="B12332" s="1">
        <v>45898</v>
      </c>
      <c r="C12332" t="s">
        <v>25</v>
      </c>
      <c r="D12332" s="2">
        <v>0</v>
      </c>
      <c r="E12332" s="2">
        <v>4812.46</v>
      </c>
      <c r="F12332" t="s">
        <v>28</v>
      </c>
      <c r="G12332" t="s">
        <v>17</v>
      </c>
    </row>
    <row r="12333" spans="1:7" x14ac:dyDescent="0.35">
      <c r="A12333">
        <v>4905</v>
      </c>
      <c r="B12333" s="1">
        <v>45900</v>
      </c>
      <c r="C12333" t="s">
        <v>30</v>
      </c>
      <c r="D12333" s="2">
        <v>93.61</v>
      </c>
      <c r="E12333" s="2">
        <v>0</v>
      </c>
      <c r="F12333" t="s">
        <v>31</v>
      </c>
      <c r="G12333" t="s">
        <v>20</v>
      </c>
    </row>
    <row r="12334" spans="1:7" x14ac:dyDescent="0.35">
      <c r="A12334">
        <v>4905</v>
      </c>
      <c r="B12334" s="1">
        <v>45900</v>
      </c>
      <c r="C12334" t="s">
        <v>30</v>
      </c>
      <c r="D12334" s="2">
        <v>0</v>
      </c>
      <c r="E12334" s="2">
        <v>93.61</v>
      </c>
      <c r="F12334" t="s">
        <v>32</v>
      </c>
      <c r="G12334" t="s">
        <v>9</v>
      </c>
    </row>
    <row r="12335" spans="1:7" x14ac:dyDescent="0.35">
      <c r="A12335">
        <v>4906</v>
      </c>
      <c r="B12335" s="1">
        <v>45900</v>
      </c>
      <c r="C12335" t="s">
        <v>33</v>
      </c>
      <c r="D12335" s="2">
        <v>76.86</v>
      </c>
      <c r="E12335" s="2">
        <v>0</v>
      </c>
      <c r="F12335" t="s">
        <v>31</v>
      </c>
      <c r="G12335" t="s">
        <v>20</v>
      </c>
    </row>
    <row r="12336" spans="1:7" x14ac:dyDescent="0.35">
      <c r="A12336">
        <v>4906</v>
      </c>
      <c r="B12336" s="1">
        <v>45900</v>
      </c>
      <c r="C12336" t="s">
        <v>33</v>
      </c>
      <c r="D12336" s="2">
        <v>0</v>
      </c>
      <c r="E12336" s="2">
        <v>76.86</v>
      </c>
      <c r="F12336" t="s">
        <v>32</v>
      </c>
      <c r="G12336" t="s">
        <v>9</v>
      </c>
    </row>
    <row r="12337" spans="1:7" x14ac:dyDescent="0.35">
      <c r="A12337">
        <v>4907</v>
      </c>
      <c r="B12337" s="1">
        <v>45900</v>
      </c>
      <c r="C12337" t="s">
        <v>34</v>
      </c>
      <c r="D12337" s="2">
        <v>20.03</v>
      </c>
      <c r="E12337" s="2">
        <v>0</v>
      </c>
      <c r="F12337" t="s">
        <v>31</v>
      </c>
      <c r="G12337" t="s">
        <v>20</v>
      </c>
    </row>
    <row r="12338" spans="1:7" x14ac:dyDescent="0.35">
      <c r="A12338">
        <v>4907</v>
      </c>
      <c r="B12338" s="1">
        <v>45900</v>
      </c>
      <c r="C12338" t="s">
        <v>34</v>
      </c>
      <c r="D12338" s="2">
        <v>0</v>
      </c>
      <c r="E12338" s="2">
        <v>20.03</v>
      </c>
      <c r="F12338" t="s">
        <v>32</v>
      </c>
      <c r="G12338" t="s">
        <v>9</v>
      </c>
    </row>
    <row r="12339" spans="1:7" x14ac:dyDescent="0.35">
      <c r="A12339">
        <v>4908</v>
      </c>
      <c r="B12339" s="1">
        <v>45900</v>
      </c>
      <c r="C12339" t="s">
        <v>35</v>
      </c>
      <c r="D12339" s="2">
        <v>86.89</v>
      </c>
      <c r="E12339" s="2">
        <v>0</v>
      </c>
      <c r="F12339" t="s">
        <v>31</v>
      </c>
      <c r="G12339" t="s">
        <v>20</v>
      </c>
    </row>
    <row r="12340" spans="1:7" x14ac:dyDescent="0.35">
      <c r="A12340">
        <v>4908</v>
      </c>
      <c r="B12340" s="1">
        <v>45900</v>
      </c>
      <c r="C12340" t="s">
        <v>35</v>
      </c>
      <c r="D12340" s="2">
        <v>0</v>
      </c>
      <c r="E12340" s="2">
        <v>86.89</v>
      </c>
      <c r="F12340" t="s">
        <v>36</v>
      </c>
      <c r="G12340" t="s">
        <v>9</v>
      </c>
    </row>
    <row r="12341" spans="1:7" x14ac:dyDescent="0.35">
      <c r="A12341">
        <v>4909</v>
      </c>
      <c r="B12341" s="1">
        <v>45900</v>
      </c>
      <c r="C12341" t="s">
        <v>37</v>
      </c>
      <c r="D12341" s="2">
        <v>76.8</v>
      </c>
      <c r="E12341" s="2">
        <v>0</v>
      </c>
      <c r="F12341" t="s">
        <v>31</v>
      </c>
      <c r="G12341" t="s">
        <v>20</v>
      </c>
    </row>
    <row r="12342" spans="1:7" x14ac:dyDescent="0.35">
      <c r="A12342">
        <v>4909</v>
      </c>
      <c r="B12342" s="1">
        <v>45900</v>
      </c>
      <c r="C12342" t="s">
        <v>37</v>
      </c>
      <c r="D12342" s="2">
        <v>0</v>
      </c>
      <c r="E12342" s="2">
        <v>76.8</v>
      </c>
      <c r="F12342" t="s">
        <v>36</v>
      </c>
      <c r="G12342" t="s">
        <v>9</v>
      </c>
    </row>
    <row r="12343" spans="1:7" x14ac:dyDescent="0.35">
      <c r="A12343">
        <v>4910</v>
      </c>
      <c r="B12343" s="1">
        <v>45900</v>
      </c>
      <c r="C12343" t="s">
        <v>38</v>
      </c>
      <c r="D12343" s="2">
        <v>48.28</v>
      </c>
      <c r="E12343" s="2">
        <v>0</v>
      </c>
      <c r="F12343" t="s">
        <v>31</v>
      </c>
      <c r="G12343" t="s">
        <v>20</v>
      </c>
    </row>
    <row r="12344" spans="1:7" x14ac:dyDescent="0.35">
      <c r="A12344">
        <v>4910</v>
      </c>
      <c r="B12344" s="1">
        <v>45900</v>
      </c>
      <c r="C12344" t="s">
        <v>38</v>
      </c>
      <c r="D12344" s="2">
        <v>0</v>
      </c>
      <c r="E12344" s="2">
        <v>48.28</v>
      </c>
      <c r="F12344" t="s">
        <v>36</v>
      </c>
      <c r="G12344" t="s">
        <v>9</v>
      </c>
    </row>
    <row r="12345" spans="1:7" x14ac:dyDescent="0.35">
      <c r="A12345">
        <v>4911</v>
      </c>
      <c r="B12345" s="1">
        <v>45900</v>
      </c>
      <c r="C12345" t="s">
        <v>39</v>
      </c>
      <c r="D12345" s="2">
        <v>53.21</v>
      </c>
      <c r="E12345" s="2">
        <v>0</v>
      </c>
      <c r="F12345" t="s">
        <v>31</v>
      </c>
      <c r="G12345" t="s">
        <v>20</v>
      </c>
    </row>
    <row r="12346" spans="1:7" x14ac:dyDescent="0.35">
      <c r="A12346">
        <v>4911</v>
      </c>
      <c r="B12346" s="1">
        <v>45900</v>
      </c>
      <c r="C12346" t="s">
        <v>39</v>
      </c>
      <c r="D12346" s="2">
        <v>0</v>
      </c>
      <c r="E12346" s="2">
        <v>53.21</v>
      </c>
      <c r="F12346" t="s">
        <v>36</v>
      </c>
      <c r="G12346" t="s">
        <v>9</v>
      </c>
    </row>
    <row r="12347" spans="1:7" x14ac:dyDescent="0.35">
      <c r="A12347">
        <v>4912</v>
      </c>
      <c r="B12347" s="1">
        <v>45900</v>
      </c>
      <c r="C12347" t="s">
        <v>40</v>
      </c>
      <c r="D12347" s="2">
        <v>232.19</v>
      </c>
      <c r="E12347" s="2">
        <v>0</v>
      </c>
      <c r="F12347" t="s">
        <v>31</v>
      </c>
      <c r="G12347" t="s">
        <v>20</v>
      </c>
    </row>
    <row r="12348" spans="1:7" x14ac:dyDescent="0.35">
      <c r="A12348">
        <v>4912</v>
      </c>
      <c r="B12348" s="1">
        <v>45900</v>
      </c>
      <c r="C12348" t="s">
        <v>40</v>
      </c>
      <c r="D12348" s="2">
        <v>0</v>
      </c>
      <c r="E12348" s="2">
        <v>232.19</v>
      </c>
      <c r="F12348" t="s">
        <v>41</v>
      </c>
      <c r="G12348" t="s">
        <v>9</v>
      </c>
    </row>
    <row r="12349" spans="1:7" x14ac:dyDescent="0.35">
      <c r="A12349">
        <v>4913</v>
      </c>
      <c r="B12349" s="1">
        <v>45900</v>
      </c>
      <c r="C12349" t="s">
        <v>42</v>
      </c>
      <c r="D12349" s="2">
        <v>43.85</v>
      </c>
      <c r="E12349" s="2">
        <v>0</v>
      </c>
      <c r="F12349" t="s">
        <v>31</v>
      </c>
      <c r="G12349" t="s">
        <v>20</v>
      </c>
    </row>
    <row r="12350" spans="1:7" x14ac:dyDescent="0.35">
      <c r="A12350">
        <v>4913</v>
      </c>
      <c r="B12350" s="1">
        <v>45900</v>
      </c>
      <c r="C12350" t="s">
        <v>42</v>
      </c>
      <c r="D12350" s="2">
        <v>0</v>
      </c>
      <c r="E12350" s="2">
        <v>43.85</v>
      </c>
      <c r="F12350" t="s">
        <v>32</v>
      </c>
      <c r="G12350" t="s">
        <v>9</v>
      </c>
    </row>
    <row r="12351" spans="1:7" x14ac:dyDescent="0.35">
      <c r="A12351">
        <v>4914</v>
      </c>
      <c r="B12351" s="1">
        <v>45901</v>
      </c>
      <c r="C12351" t="s">
        <v>12</v>
      </c>
      <c r="D12351" s="2">
        <v>3894.53</v>
      </c>
      <c r="E12351" s="2">
        <v>0</v>
      </c>
      <c r="F12351" t="s">
        <v>13</v>
      </c>
      <c r="G12351" t="s">
        <v>9</v>
      </c>
    </row>
    <row r="12352" spans="1:7" x14ac:dyDescent="0.35">
      <c r="A12352">
        <v>4914</v>
      </c>
      <c r="B12352" s="1">
        <v>45901</v>
      </c>
      <c r="C12352" t="s">
        <v>12</v>
      </c>
      <c r="D12352" s="2">
        <v>0</v>
      </c>
      <c r="E12352" s="2">
        <v>3622.81</v>
      </c>
      <c r="F12352" t="s">
        <v>14</v>
      </c>
      <c r="G12352" t="s">
        <v>15</v>
      </c>
    </row>
    <row r="12353" spans="1:7" x14ac:dyDescent="0.35">
      <c r="A12353">
        <v>4914</v>
      </c>
      <c r="B12353" s="1">
        <v>45901</v>
      </c>
      <c r="C12353" t="s">
        <v>12</v>
      </c>
      <c r="D12353" s="2">
        <v>0</v>
      </c>
      <c r="E12353" s="2">
        <v>271.72000000000003</v>
      </c>
      <c r="F12353" t="s">
        <v>16</v>
      </c>
      <c r="G12353" t="s">
        <v>17</v>
      </c>
    </row>
    <row r="12354" spans="1:7" x14ac:dyDescent="0.35">
      <c r="A12354">
        <v>4915</v>
      </c>
      <c r="B12354" s="1">
        <v>45901</v>
      </c>
      <c r="C12354" t="s">
        <v>12</v>
      </c>
      <c r="D12354" s="2">
        <v>56.12</v>
      </c>
      <c r="E12354" s="2">
        <v>0</v>
      </c>
      <c r="F12354" t="s">
        <v>13</v>
      </c>
      <c r="G12354" t="s">
        <v>9</v>
      </c>
    </row>
    <row r="12355" spans="1:7" x14ac:dyDescent="0.35">
      <c r="A12355">
        <v>4915</v>
      </c>
      <c r="B12355" s="1">
        <v>45901</v>
      </c>
      <c r="C12355" t="s">
        <v>12</v>
      </c>
      <c r="D12355" s="2">
        <v>0</v>
      </c>
      <c r="E12355" s="2">
        <v>52.2</v>
      </c>
      <c r="F12355" t="s">
        <v>14</v>
      </c>
      <c r="G12355" t="s">
        <v>15</v>
      </c>
    </row>
    <row r="12356" spans="1:7" x14ac:dyDescent="0.35">
      <c r="A12356">
        <v>4915</v>
      </c>
      <c r="B12356" s="1">
        <v>45901</v>
      </c>
      <c r="C12356" t="s">
        <v>12</v>
      </c>
      <c r="D12356" s="2">
        <v>0</v>
      </c>
      <c r="E12356" s="2">
        <v>3.92</v>
      </c>
      <c r="F12356" t="s">
        <v>16</v>
      </c>
      <c r="G12356" t="s">
        <v>17</v>
      </c>
    </row>
    <row r="12357" spans="1:7" x14ac:dyDescent="0.35">
      <c r="A12357">
        <v>4916</v>
      </c>
      <c r="B12357" s="1">
        <v>45901</v>
      </c>
      <c r="C12357" t="s">
        <v>12</v>
      </c>
      <c r="D12357" s="2">
        <v>2183.23</v>
      </c>
      <c r="E12357" s="2">
        <v>0</v>
      </c>
      <c r="F12357" t="s">
        <v>13</v>
      </c>
      <c r="G12357" t="s">
        <v>9</v>
      </c>
    </row>
    <row r="12358" spans="1:7" x14ac:dyDescent="0.35">
      <c r="A12358">
        <v>4916</v>
      </c>
      <c r="B12358" s="1">
        <v>45901</v>
      </c>
      <c r="C12358" t="s">
        <v>12</v>
      </c>
      <c r="D12358" s="2">
        <v>0</v>
      </c>
      <c r="E12358" s="2">
        <v>2030.91</v>
      </c>
      <c r="F12358" t="s">
        <v>14</v>
      </c>
      <c r="G12358" t="s">
        <v>15</v>
      </c>
    </row>
    <row r="12359" spans="1:7" x14ac:dyDescent="0.35">
      <c r="A12359">
        <v>4916</v>
      </c>
      <c r="B12359" s="1">
        <v>45901</v>
      </c>
      <c r="C12359" t="s">
        <v>12</v>
      </c>
      <c r="D12359" s="2">
        <v>0</v>
      </c>
      <c r="E12359" s="2">
        <v>152.32</v>
      </c>
      <c r="F12359" t="s">
        <v>16</v>
      </c>
      <c r="G12359" t="s">
        <v>17</v>
      </c>
    </row>
    <row r="12360" spans="1:7" x14ac:dyDescent="0.35">
      <c r="A12360">
        <v>4917</v>
      </c>
      <c r="B12360" s="1">
        <v>45901</v>
      </c>
      <c r="C12360" t="s">
        <v>12</v>
      </c>
      <c r="D12360" s="2">
        <v>634.92999999999995</v>
      </c>
      <c r="E12360" s="2">
        <v>0</v>
      </c>
      <c r="F12360" t="s">
        <v>13</v>
      </c>
      <c r="G12360" t="s">
        <v>9</v>
      </c>
    </row>
    <row r="12361" spans="1:7" x14ac:dyDescent="0.35">
      <c r="A12361">
        <v>4917</v>
      </c>
      <c r="B12361" s="1">
        <v>45901</v>
      </c>
      <c r="C12361" t="s">
        <v>12</v>
      </c>
      <c r="D12361" s="2">
        <v>0</v>
      </c>
      <c r="E12361" s="2">
        <v>590.63</v>
      </c>
      <c r="F12361" t="s">
        <v>14</v>
      </c>
      <c r="G12361" t="s">
        <v>15</v>
      </c>
    </row>
    <row r="12362" spans="1:7" x14ac:dyDescent="0.35">
      <c r="A12362">
        <v>4917</v>
      </c>
      <c r="B12362" s="1">
        <v>45901</v>
      </c>
      <c r="C12362" t="s">
        <v>12</v>
      </c>
      <c r="D12362" s="2">
        <v>0</v>
      </c>
      <c r="E12362" s="2">
        <v>44.3</v>
      </c>
      <c r="F12362" t="s">
        <v>16</v>
      </c>
      <c r="G12362" t="s">
        <v>17</v>
      </c>
    </row>
    <row r="12363" spans="1:7" x14ac:dyDescent="0.35">
      <c r="A12363">
        <v>4918</v>
      </c>
      <c r="B12363" s="1">
        <v>45901</v>
      </c>
      <c r="C12363" t="s">
        <v>12</v>
      </c>
      <c r="D12363" s="2">
        <v>1105.18</v>
      </c>
      <c r="E12363" s="2">
        <v>0</v>
      </c>
      <c r="F12363" t="s">
        <v>13</v>
      </c>
      <c r="G12363" t="s">
        <v>9</v>
      </c>
    </row>
    <row r="12364" spans="1:7" x14ac:dyDescent="0.35">
      <c r="A12364">
        <v>4918</v>
      </c>
      <c r="B12364" s="1">
        <v>45901</v>
      </c>
      <c r="C12364" t="s">
        <v>12</v>
      </c>
      <c r="D12364" s="2">
        <v>0</v>
      </c>
      <c r="E12364" s="2">
        <v>1028.08</v>
      </c>
      <c r="F12364" t="s">
        <v>14</v>
      </c>
      <c r="G12364" t="s">
        <v>15</v>
      </c>
    </row>
    <row r="12365" spans="1:7" x14ac:dyDescent="0.35">
      <c r="A12365">
        <v>4918</v>
      </c>
      <c r="B12365" s="1">
        <v>45901</v>
      </c>
      <c r="C12365" t="s">
        <v>12</v>
      </c>
      <c r="D12365" s="2">
        <v>0</v>
      </c>
      <c r="E12365" s="2">
        <v>77.099999999999994</v>
      </c>
      <c r="F12365" t="s">
        <v>16</v>
      </c>
      <c r="G12365" t="s">
        <v>17</v>
      </c>
    </row>
    <row r="12366" spans="1:7" x14ac:dyDescent="0.35">
      <c r="A12366">
        <v>4919</v>
      </c>
      <c r="B12366" s="1">
        <v>45901</v>
      </c>
      <c r="C12366" t="s">
        <v>12</v>
      </c>
      <c r="D12366" s="2">
        <v>1726.89</v>
      </c>
      <c r="E12366" s="2">
        <v>0</v>
      </c>
      <c r="F12366" t="s">
        <v>13</v>
      </c>
      <c r="G12366" t="s">
        <v>9</v>
      </c>
    </row>
    <row r="12367" spans="1:7" x14ac:dyDescent="0.35">
      <c r="A12367">
        <v>4919</v>
      </c>
      <c r="B12367" s="1">
        <v>45901</v>
      </c>
      <c r="C12367" t="s">
        <v>12</v>
      </c>
      <c r="D12367" s="2">
        <v>0</v>
      </c>
      <c r="E12367" s="2">
        <v>1606.41</v>
      </c>
      <c r="F12367" t="s">
        <v>14</v>
      </c>
      <c r="G12367" t="s">
        <v>15</v>
      </c>
    </row>
    <row r="12368" spans="1:7" x14ac:dyDescent="0.35">
      <c r="A12368">
        <v>4919</v>
      </c>
      <c r="B12368" s="1">
        <v>45901</v>
      </c>
      <c r="C12368" t="s">
        <v>12</v>
      </c>
      <c r="D12368" s="2">
        <v>0</v>
      </c>
      <c r="E12368" s="2">
        <v>120.48</v>
      </c>
      <c r="F12368" t="s">
        <v>16</v>
      </c>
      <c r="G12368" t="s">
        <v>17</v>
      </c>
    </row>
    <row r="12369" spans="1:7" x14ac:dyDescent="0.35">
      <c r="A12369">
        <v>4920</v>
      </c>
      <c r="B12369" s="1">
        <v>45901</v>
      </c>
      <c r="C12369" t="s">
        <v>12</v>
      </c>
      <c r="D12369" s="2">
        <v>3662.65</v>
      </c>
      <c r="E12369" s="2">
        <v>0</v>
      </c>
      <c r="F12369" t="s">
        <v>13</v>
      </c>
      <c r="G12369" t="s">
        <v>9</v>
      </c>
    </row>
    <row r="12370" spans="1:7" x14ac:dyDescent="0.35">
      <c r="A12370">
        <v>4920</v>
      </c>
      <c r="B12370" s="1">
        <v>45901</v>
      </c>
      <c r="C12370" t="s">
        <v>12</v>
      </c>
      <c r="D12370" s="2">
        <v>0</v>
      </c>
      <c r="E12370" s="2">
        <v>3407.12</v>
      </c>
      <c r="F12370" t="s">
        <v>14</v>
      </c>
      <c r="G12370" t="s">
        <v>15</v>
      </c>
    </row>
    <row r="12371" spans="1:7" x14ac:dyDescent="0.35">
      <c r="A12371">
        <v>4920</v>
      </c>
      <c r="B12371" s="1">
        <v>45901</v>
      </c>
      <c r="C12371" t="s">
        <v>12</v>
      </c>
      <c r="D12371" s="2">
        <v>0</v>
      </c>
      <c r="E12371" s="2">
        <v>255.53</v>
      </c>
      <c r="F12371" t="s">
        <v>16</v>
      </c>
      <c r="G12371" t="s">
        <v>17</v>
      </c>
    </row>
    <row r="12372" spans="1:7" x14ac:dyDescent="0.35">
      <c r="A12372">
        <v>4921</v>
      </c>
      <c r="B12372" s="1">
        <v>45901</v>
      </c>
      <c r="C12372" t="s">
        <v>24</v>
      </c>
      <c r="D12372" s="2">
        <v>2907.9</v>
      </c>
      <c r="E12372" s="2">
        <v>0</v>
      </c>
      <c r="F12372" t="s">
        <v>8</v>
      </c>
      <c r="G12372" t="s">
        <v>9</v>
      </c>
    </row>
    <row r="12373" spans="1:7" x14ac:dyDescent="0.35">
      <c r="A12373">
        <v>4921</v>
      </c>
      <c r="B12373" s="1">
        <v>45901</v>
      </c>
      <c r="C12373" t="s">
        <v>24</v>
      </c>
      <c r="D12373" s="2">
        <v>0</v>
      </c>
      <c r="E12373" s="2">
        <v>2907.9</v>
      </c>
      <c r="F12373" t="s">
        <v>13</v>
      </c>
      <c r="G12373" t="s">
        <v>9</v>
      </c>
    </row>
    <row r="12374" spans="1:7" x14ac:dyDescent="0.35">
      <c r="A12374">
        <v>4922</v>
      </c>
      <c r="B12374" s="1">
        <v>45901</v>
      </c>
      <c r="C12374" t="s">
        <v>24</v>
      </c>
      <c r="D12374" s="2">
        <v>5327.75</v>
      </c>
      <c r="E12374" s="2">
        <v>0</v>
      </c>
      <c r="F12374" t="s">
        <v>8</v>
      </c>
      <c r="G12374" t="s">
        <v>9</v>
      </c>
    </row>
    <row r="12375" spans="1:7" x14ac:dyDescent="0.35">
      <c r="A12375">
        <v>4922</v>
      </c>
      <c r="B12375" s="1">
        <v>45901</v>
      </c>
      <c r="C12375" t="s">
        <v>24</v>
      </c>
      <c r="D12375" s="2">
        <v>0</v>
      </c>
      <c r="E12375" s="2">
        <v>5327.75</v>
      </c>
      <c r="F12375" t="s">
        <v>13</v>
      </c>
      <c r="G12375" t="s">
        <v>9</v>
      </c>
    </row>
    <row r="12376" spans="1:7" x14ac:dyDescent="0.35">
      <c r="A12376">
        <v>4923</v>
      </c>
      <c r="B12376" s="1">
        <v>45901</v>
      </c>
      <c r="C12376" t="s">
        <v>24</v>
      </c>
      <c r="D12376" s="2">
        <v>1755.76</v>
      </c>
      <c r="E12376" s="2">
        <v>0</v>
      </c>
      <c r="F12376" t="s">
        <v>8</v>
      </c>
      <c r="G12376" t="s">
        <v>9</v>
      </c>
    </row>
    <row r="12377" spans="1:7" x14ac:dyDescent="0.35">
      <c r="A12377">
        <v>4923</v>
      </c>
      <c r="B12377" s="1">
        <v>45901</v>
      </c>
      <c r="C12377" t="s">
        <v>24</v>
      </c>
      <c r="D12377" s="2">
        <v>0</v>
      </c>
      <c r="E12377" s="2">
        <v>1755.76</v>
      </c>
      <c r="F12377" t="s">
        <v>13</v>
      </c>
      <c r="G12377" t="s">
        <v>9</v>
      </c>
    </row>
    <row r="12378" spans="1:7" x14ac:dyDescent="0.35">
      <c r="A12378">
        <v>4924</v>
      </c>
      <c r="B12378" s="1">
        <v>45901</v>
      </c>
      <c r="C12378" t="s">
        <v>24</v>
      </c>
      <c r="D12378" s="2">
        <v>2609.81</v>
      </c>
      <c r="E12378" s="2">
        <v>0</v>
      </c>
      <c r="F12378" t="s">
        <v>8</v>
      </c>
      <c r="G12378" t="s">
        <v>9</v>
      </c>
    </row>
    <row r="12379" spans="1:7" x14ac:dyDescent="0.35">
      <c r="A12379">
        <v>4924</v>
      </c>
      <c r="B12379" s="1">
        <v>45901</v>
      </c>
      <c r="C12379" t="s">
        <v>24</v>
      </c>
      <c r="D12379" s="2">
        <v>0</v>
      </c>
      <c r="E12379" s="2">
        <v>2609.81</v>
      </c>
      <c r="F12379" t="s">
        <v>13</v>
      </c>
      <c r="G12379" t="s">
        <v>9</v>
      </c>
    </row>
    <row r="12380" spans="1:7" x14ac:dyDescent="0.35">
      <c r="A12380">
        <v>4925</v>
      </c>
      <c r="B12380" s="1">
        <v>45901</v>
      </c>
      <c r="C12380" t="s">
        <v>25</v>
      </c>
      <c r="D12380" s="2">
        <v>2451.5</v>
      </c>
      <c r="E12380" s="2">
        <v>0</v>
      </c>
      <c r="F12380" t="s">
        <v>26</v>
      </c>
      <c r="G12380" t="s">
        <v>20</v>
      </c>
    </row>
    <row r="12381" spans="1:7" x14ac:dyDescent="0.35">
      <c r="A12381">
        <v>4925</v>
      </c>
      <c r="B12381" s="1">
        <v>45901</v>
      </c>
      <c r="C12381" t="s">
        <v>25</v>
      </c>
      <c r="D12381" s="2">
        <v>183.86</v>
      </c>
      <c r="E12381" s="2">
        <v>0</v>
      </c>
      <c r="F12381" t="s">
        <v>27</v>
      </c>
      <c r="G12381" t="s">
        <v>9</v>
      </c>
    </row>
    <row r="12382" spans="1:7" x14ac:dyDescent="0.35">
      <c r="A12382">
        <v>4925</v>
      </c>
      <c r="B12382" s="1">
        <v>45901</v>
      </c>
      <c r="C12382" t="s">
        <v>25</v>
      </c>
      <c r="D12382" s="2">
        <v>0</v>
      </c>
      <c r="E12382" s="2">
        <v>2635.36</v>
      </c>
      <c r="F12382" t="s">
        <v>28</v>
      </c>
      <c r="G12382" t="s">
        <v>17</v>
      </c>
    </row>
    <row r="12383" spans="1:7" x14ac:dyDescent="0.35">
      <c r="A12383">
        <v>4926</v>
      </c>
      <c r="B12383" s="1">
        <v>45901</v>
      </c>
      <c r="C12383" t="s">
        <v>25</v>
      </c>
      <c r="D12383" s="2">
        <v>1800.04</v>
      </c>
      <c r="E12383" s="2">
        <v>0</v>
      </c>
      <c r="F12383" t="s">
        <v>26</v>
      </c>
      <c r="G12383" t="s">
        <v>20</v>
      </c>
    </row>
    <row r="12384" spans="1:7" x14ac:dyDescent="0.35">
      <c r="A12384">
        <v>4926</v>
      </c>
      <c r="B12384" s="1">
        <v>45901</v>
      </c>
      <c r="C12384" t="s">
        <v>25</v>
      </c>
      <c r="D12384" s="2">
        <v>135</v>
      </c>
      <c r="E12384" s="2">
        <v>0</v>
      </c>
      <c r="F12384" t="s">
        <v>27</v>
      </c>
      <c r="G12384" t="s">
        <v>9</v>
      </c>
    </row>
    <row r="12385" spans="1:7" x14ac:dyDescent="0.35">
      <c r="A12385">
        <v>4926</v>
      </c>
      <c r="B12385" s="1">
        <v>45901</v>
      </c>
      <c r="C12385" t="s">
        <v>25</v>
      </c>
      <c r="D12385" s="2">
        <v>0</v>
      </c>
      <c r="E12385" s="2">
        <v>1935.04</v>
      </c>
      <c r="F12385" t="s">
        <v>28</v>
      </c>
      <c r="G12385" t="s">
        <v>17</v>
      </c>
    </row>
    <row r="12386" spans="1:7" x14ac:dyDescent="0.35">
      <c r="A12386">
        <v>4927</v>
      </c>
      <c r="B12386" s="1">
        <v>45901</v>
      </c>
      <c r="C12386" t="s">
        <v>25</v>
      </c>
      <c r="D12386" s="2">
        <v>952.02</v>
      </c>
      <c r="E12386" s="2">
        <v>0</v>
      </c>
      <c r="F12386" t="s">
        <v>26</v>
      </c>
      <c r="G12386" t="s">
        <v>20</v>
      </c>
    </row>
    <row r="12387" spans="1:7" x14ac:dyDescent="0.35">
      <c r="A12387">
        <v>4927</v>
      </c>
      <c r="B12387" s="1">
        <v>45901</v>
      </c>
      <c r="C12387" t="s">
        <v>25</v>
      </c>
      <c r="D12387" s="2">
        <v>71.400000000000006</v>
      </c>
      <c r="E12387" s="2">
        <v>0</v>
      </c>
      <c r="F12387" t="s">
        <v>27</v>
      </c>
      <c r="G12387" t="s">
        <v>9</v>
      </c>
    </row>
    <row r="12388" spans="1:7" x14ac:dyDescent="0.35">
      <c r="A12388">
        <v>4927</v>
      </c>
      <c r="B12388" s="1">
        <v>45901</v>
      </c>
      <c r="C12388" t="s">
        <v>25</v>
      </c>
      <c r="D12388" s="2">
        <v>0</v>
      </c>
      <c r="E12388" s="2">
        <v>1023.42</v>
      </c>
      <c r="F12388" t="s">
        <v>28</v>
      </c>
      <c r="G12388" t="s">
        <v>17</v>
      </c>
    </row>
    <row r="12389" spans="1:7" x14ac:dyDescent="0.35">
      <c r="A12389">
        <v>4928</v>
      </c>
      <c r="B12389" s="1">
        <v>45901</v>
      </c>
      <c r="C12389" t="s">
        <v>25</v>
      </c>
      <c r="D12389" s="2">
        <v>1668.94</v>
      </c>
      <c r="E12389" s="2">
        <v>0</v>
      </c>
      <c r="F12389" t="s">
        <v>26</v>
      </c>
      <c r="G12389" t="s">
        <v>20</v>
      </c>
    </row>
    <row r="12390" spans="1:7" x14ac:dyDescent="0.35">
      <c r="A12390">
        <v>4928</v>
      </c>
      <c r="B12390" s="1">
        <v>45901</v>
      </c>
      <c r="C12390" t="s">
        <v>25</v>
      </c>
      <c r="D12390" s="2">
        <v>125.17</v>
      </c>
      <c r="E12390" s="2">
        <v>0</v>
      </c>
      <c r="F12390" t="s">
        <v>27</v>
      </c>
      <c r="G12390" t="s">
        <v>9</v>
      </c>
    </row>
    <row r="12391" spans="1:7" x14ac:dyDescent="0.35">
      <c r="A12391">
        <v>4928</v>
      </c>
      <c r="B12391" s="1">
        <v>45901</v>
      </c>
      <c r="C12391" t="s">
        <v>25</v>
      </c>
      <c r="D12391" s="2">
        <v>0</v>
      </c>
      <c r="E12391" s="2">
        <v>1794.11</v>
      </c>
      <c r="F12391" t="s">
        <v>28</v>
      </c>
      <c r="G12391" t="s">
        <v>17</v>
      </c>
    </row>
    <row r="12392" spans="1:7" x14ac:dyDescent="0.35">
      <c r="A12392">
        <v>4929</v>
      </c>
      <c r="B12392" s="1">
        <v>45901</v>
      </c>
      <c r="C12392" t="s">
        <v>25</v>
      </c>
      <c r="D12392" s="2">
        <v>1078.92</v>
      </c>
      <c r="E12392" s="2">
        <v>0</v>
      </c>
      <c r="F12392" t="s">
        <v>26</v>
      </c>
      <c r="G12392" t="s">
        <v>20</v>
      </c>
    </row>
    <row r="12393" spans="1:7" x14ac:dyDescent="0.35">
      <c r="A12393">
        <v>4929</v>
      </c>
      <c r="B12393" s="1">
        <v>45901</v>
      </c>
      <c r="C12393" t="s">
        <v>25</v>
      </c>
      <c r="D12393" s="2">
        <v>80.92</v>
      </c>
      <c r="E12393" s="2">
        <v>0</v>
      </c>
      <c r="F12393" t="s">
        <v>27</v>
      </c>
      <c r="G12393" t="s">
        <v>9</v>
      </c>
    </row>
    <row r="12394" spans="1:7" x14ac:dyDescent="0.35">
      <c r="A12394">
        <v>4929</v>
      </c>
      <c r="B12394" s="1">
        <v>45901</v>
      </c>
      <c r="C12394" t="s">
        <v>25</v>
      </c>
      <c r="D12394" s="2">
        <v>0</v>
      </c>
      <c r="E12394" s="2">
        <v>1159.8399999999999</v>
      </c>
      <c r="F12394" t="s">
        <v>28</v>
      </c>
      <c r="G12394" t="s">
        <v>17</v>
      </c>
    </row>
    <row r="12395" spans="1:7" x14ac:dyDescent="0.35">
      <c r="A12395">
        <v>4930</v>
      </c>
      <c r="B12395" s="1">
        <v>45901</v>
      </c>
      <c r="C12395" t="s">
        <v>25</v>
      </c>
      <c r="D12395" s="2">
        <v>1822.08</v>
      </c>
      <c r="E12395" s="2">
        <v>0</v>
      </c>
      <c r="F12395" t="s">
        <v>26</v>
      </c>
      <c r="G12395" t="s">
        <v>20</v>
      </c>
    </row>
    <row r="12396" spans="1:7" x14ac:dyDescent="0.35">
      <c r="A12396">
        <v>4930</v>
      </c>
      <c r="B12396" s="1">
        <v>45901</v>
      </c>
      <c r="C12396" t="s">
        <v>25</v>
      </c>
      <c r="D12396" s="2">
        <v>136.66</v>
      </c>
      <c r="E12396" s="2">
        <v>0</v>
      </c>
      <c r="F12396" t="s">
        <v>27</v>
      </c>
      <c r="G12396" t="s">
        <v>9</v>
      </c>
    </row>
    <row r="12397" spans="1:7" x14ac:dyDescent="0.35">
      <c r="A12397">
        <v>4930</v>
      </c>
      <c r="B12397" s="1">
        <v>45901</v>
      </c>
      <c r="C12397" t="s">
        <v>25</v>
      </c>
      <c r="D12397" s="2">
        <v>0</v>
      </c>
      <c r="E12397" s="2">
        <v>1958.74</v>
      </c>
      <c r="F12397" t="s">
        <v>28</v>
      </c>
      <c r="G12397" t="s">
        <v>17</v>
      </c>
    </row>
    <row r="12398" spans="1:7" x14ac:dyDescent="0.35">
      <c r="A12398">
        <v>4931</v>
      </c>
      <c r="B12398" s="1">
        <v>45901</v>
      </c>
      <c r="C12398" t="s">
        <v>25</v>
      </c>
      <c r="D12398" s="2">
        <v>696.06</v>
      </c>
      <c r="E12398" s="2">
        <v>0</v>
      </c>
      <c r="F12398" t="s">
        <v>26</v>
      </c>
      <c r="G12398" t="s">
        <v>20</v>
      </c>
    </row>
    <row r="12399" spans="1:7" x14ac:dyDescent="0.35">
      <c r="A12399">
        <v>4931</v>
      </c>
      <c r="B12399" s="1">
        <v>45901</v>
      </c>
      <c r="C12399" t="s">
        <v>25</v>
      </c>
      <c r="D12399" s="2">
        <v>52.2</v>
      </c>
      <c r="E12399" s="2">
        <v>0</v>
      </c>
      <c r="F12399" t="s">
        <v>27</v>
      </c>
      <c r="G12399" t="s">
        <v>9</v>
      </c>
    </row>
    <row r="12400" spans="1:7" x14ac:dyDescent="0.35">
      <c r="A12400">
        <v>4931</v>
      </c>
      <c r="B12400" s="1">
        <v>45901</v>
      </c>
      <c r="C12400" t="s">
        <v>25</v>
      </c>
      <c r="D12400" s="2">
        <v>0</v>
      </c>
      <c r="E12400" s="2">
        <v>748.26</v>
      </c>
      <c r="F12400" t="s">
        <v>28</v>
      </c>
      <c r="G12400" t="s">
        <v>17</v>
      </c>
    </row>
    <row r="12401" spans="1:7" x14ac:dyDescent="0.35">
      <c r="A12401">
        <v>4932</v>
      </c>
      <c r="B12401" s="1">
        <v>45901</v>
      </c>
      <c r="C12401" t="s">
        <v>25</v>
      </c>
      <c r="D12401" s="2">
        <v>187.44</v>
      </c>
      <c r="E12401" s="2">
        <v>0</v>
      </c>
      <c r="F12401" t="s">
        <v>26</v>
      </c>
      <c r="G12401" t="s">
        <v>20</v>
      </c>
    </row>
    <row r="12402" spans="1:7" x14ac:dyDescent="0.35">
      <c r="A12402">
        <v>4932</v>
      </c>
      <c r="B12402" s="1">
        <v>45901</v>
      </c>
      <c r="C12402" t="s">
        <v>25</v>
      </c>
      <c r="D12402" s="2">
        <v>14.06</v>
      </c>
      <c r="E12402" s="2">
        <v>0</v>
      </c>
      <c r="F12402" t="s">
        <v>27</v>
      </c>
      <c r="G12402" t="s">
        <v>9</v>
      </c>
    </row>
    <row r="12403" spans="1:7" x14ac:dyDescent="0.35">
      <c r="A12403">
        <v>4932</v>
      </c>
      <c r="B12403" s="1">
        <v>45901</v>
      </c>
      <c r="C12403" t="s">
        <v>25</v>
      </c>
      <c r="D12403" s="2">
        <v>0</v>
      </c>
      <c r="E12403" s="2">
        <v>201.5</v>
      </c>
      <c r="F12403" t="s">
        <v>28</v>
      </c>
      <c r="G12403" t="s">
        <v>17</v>
      </c>
    </row>
    <row r="12404" spans="1:7" x14ac:dyDescent="0.35">
      <c r="A12404">
        <v>4933</v>
      </c>
      <c r="B12404" s="1">
        <v>45901</v>
      </c>
      <c r="C12404" t="s">
        <v>25</v>
      </c>
      <c r="D12404" s="2">
        <v>166.52</v>
      </c>
      <c r="E12404" s="2">
        <v>0</v>
      </c>
      <c r="F12404" t="s">
        <v>26</v>
      </c>
      <c r="G12404" t="s">
        <v>20</v>
      </c>
    </row>
    <row r="12405" spans="1:7" x14ac:dyDescent="0.35">
      <c r="A12405">
        <v>4933</v>
      </c>
      <c r="B12405" s="1">
        <v>45901</v>
      </c>
      <c r="C12405" t="s">
        <v>25</v>
      </c>
      <c r="D12405" s="2">
        <v>12.49</v>
      </c>
      <c r="E12405" s="2">
        <v>0</v>
      </c>
      <c r="F12405" t="s">
        <v>27</v>
      </c>
      <c r="G12405" t="s">
        <v>9</v>
      </c>
    </row>
    <row r="12406" spans="1:7" x14ac:dyDescent="0.35">
      <c r="A12406">
        <v>4933</v>
      </c>
      <c r="B12406" s="1">
        <v>45901</v>
      </c>
      <c r="C12406" t="s">
        <v>25</v>
      </c>
      <c r="D12406" s="2">
        <v>0</v>
      </c>
      <c r="E12406" s="2">
        <v>179.01</v>
      </c>
      <c r="F12406" t="s">
        <v>28</v>
      </c>
      <c r="G12406" t="s">
        <v>17</v>
      </c>
    </row>
    <row r="12407" spans="1:7" x14ac:dyDescent="0.35">
      <c r="A12407">
        <v>4934</v>
      </c>
      <c r="B12407" s="1">
        <v>45901</v>
      </c>
      <c r="C12407" t="s">
        <v>29</v>
      </c>
      <c r="D12407" s="2">
        <v>4812.46</v>
      </c>
      <c r="E12407" s="2">
        <v>0</v>
      </c>
      <c r="F12407" t="s">
        <v>28</v>
      </c>
      <c r="G12407" t="s">
        <v>17</v>
      </c>
    </row>
    <row r="12408" spans="1:7" x14ac:dyDescent="0.35">
      <c r="A12408">
        <v>4934</v>
      </c>
      <c r="B12408" s="1">
        <v>45901</v>
      </c>
      <c r="C12408" t="s">
        <v>29</v>
      </c>
      <c r="D12408" s="2">
        <v>0</v>
      </c>
      <c r="E12408" s="2">
        <v>4812.46</v>
      </c>
      <c r="F12408" t="s">
        <v>8</v>
      </c>
      <c r="G12408" t="s">
        <v>9</v>
      </c>
    </row>
    <row r="12409" spans="1:7" x14ac:dyDescent="0.35">
      <c r="A12409">
        <v>4935</v>
      </c>
      <c r="B12409" s="1">
        <v>45901</v>
      </c>
      <c r="C12409" t="s">
        <v>29</v>
      </c>
      <c r="D12409" s="2">
        <v>1935.04</v>
      </c>
      <c r="E12409" s="2">
        <v>0</v>
      </c>
      <c r="F12409" t="s">
        <v>28</v>
      </c>
      <c r="G12409" t="s">
        <v>17</v>
      </c>
    </row>
    <row r="12410" spans="1:7" x14ac:dyDescent="0.35">
      <c r="A12410">
        <v>4935</v>
      </c>
      <c r="B12410" s="1">
        <v>45901</v>
      </c>
      <c r="C12410" t="s">
        <v>29</v>
      </c>
      <c r="D12410" s="2">
        <v>0</v>
      </c>
      <c r="E12410" s="2">
        <v>1935.04</v>
      </c>
      <c r="F12410" t="s">
        <v>8</v>
      </c>
      <c r="G12410" t="s">
        <v>9</v>
      </c>
    </row>
    <row r="12411" spans="1:7" x14ac:dyDescent="0.35">
      <c r="A12411">
        <v>4936</v>
      </c>
      <c r="B12411" s="1">
        <v>45902</v>
      </c>
      <c r="C12411" t="s">
        <v>12</v>
      </c>
      <c r="D12411" s="2">
        <v>2581.08</v>
      </c>
      <c r="E12411" s="2">
        <v>0</v>
      </c>
      <c r="F12411" t="s">
        <v>13</v>
      </c>
      <c r="G12411" t="s">
        <v>9</v>
      </c>
    </row>
    <row r="12412" spans="1:7" x14ac:dyDescent="0.35">
      <c r="A12412">
        <v>4936</v>
      </c>
      <c r="B12412" s="1">
        <v>45902</v>
      </c>
      <c r="C12412" t="s">
        <v>12</v>
      </c>
      <c r="D12412" s="2">
        <v>0</v>
      </c>
      <c r="E12412" s="2">
        <v>2401</v>
      </c>
      <c r="F12412" t="s">
        <v>14</v>
      </c>
      <c r="G12412" t="s">
        <v>15</v>
      </c>
    </row>
    <row r="12413" spans="1:7" x14ac:dyDescent="0.35">
      <c r="A12413">
        <v>4936</v>
      </c>
      <c r="B12413" s="1">
        <v>45902</v>
      </c>
      <c r="C12413" t="s">
        <v>12</v>
      </c>
      <c r="D12413" s="2">
        <v>0</v>
      </c>
      <c r="E12413" s="2">
        <v>180.08</v>
      </c>
      <c r="F12413" t="s">
        <v>16</v>
      </c>
      <c r="G12413" t="s">
        <v>17</v>
      </c>
    </row>
    <row r="12414" spans="1:7" x14ac:dyDescent="0.35">
      <c r="A12414">
        <v>4937</v>
      </c>
      <c r="B12414" s="1">
        <v>45902</v>
      </c>
      <c r="C12414" t="s">
        <v>12</v>
      </c>
      <c r="D12414" s="2">
        <v>2310.7600000000002</v>
      </c>
      <c r="E12414" s="2">
        <v>0</v>
      </c>
      <c r="F12414" t="s">
        <v>13</v>
      </c>
      <c r="G12414" t="s">
        <v>9</v>
      </c>
    </row>
    <row r="12415" spans="1:7" x14ac:dyDescent="0.35">
      <c r="A12415">
        <v>4937</v>
      </c>
      <c r="B12415" s="1">
        <v>45902</v>
      </c>
      <c r="C12415" t="s">
        <v>12</v>
      </c>
      <c r="D12415" s="2">
        <v>0</v>
      </c>
      <c r="E12415" s="2">
        <v>2149.54</v>
      </c>
      <c r="F12415" t="s">
        <v>14</v>
      </c>
      <c r="G12415" t="s">
        <v>15</v>
      </c>
    </row>
    <row r="12416" spans="1:7" x14ac:dyDescent="0.35">
      <c r="A12416">
        <v>4937</v>
      </c>
      <c r="B12416" s="1">
        <v>45902</v>
      </c>
      <c r="C12416" t="s">
        <v>12</v>
      </c>
      <c r="D12416" s="2">
        <v>0</v>
      </c>
      <c r="E12416" s="2">
        <v>161.22</v>
      </c>
      <c r="F12416" t="s">
        <v>16</v>
      </c>
      <c r="G12416" t="s">
        <v>17</v>
      </c>
    </row>
    <row r="12417" spans="1:7" x14ac:dyDescent="0.35">
      <c r="A12417">
        <v>4938</v>
      </c>
      <c r="B12417" s="1">
        <v>45902</v>
      </c>
      <c r="C12417" t="s">
        <v>12</v>
      </c>
      <c r="D12417" s="2">
        <v>541.66</v>
      </c>
      <c r="E12417" s="2">
        <v>0</v>
      </c>
      <c r="F12417" t="s">
        <v>13</v>
      </c>
      <c r="G12417" t="s">
        <v>9</v>
      </c>
    </row>
    <row r="12418" spans="1:7" x14ac:dyDescent="0.35">
      <c r="A12418">
        <v>4938</v>
      </c>
      <c r="B12418" s="1">
        <v>45902</v>
      </c>
      <c r="C12418" t="s">
        <v>12</v>
      </c>
      <c r="D12418" s="2">
        <v>0</v>
      </c>
      <c r="E12418" s="2">
        <v>503.87</v>
      </c>
      <c r="F12418" t="s">
        <v>14</v>
      </c>
      <c r="G12418" t="s">
        <v>15</v>
      </c>
    </row>
    <row r="12419" spans="1:7" x14ac:dyDescent="0.35">
      <c r="A12419">
        <v>4938</v>
      </c>
      <c r="B12419" s="1">
        <v>45902</v>
      </c>
      <c r="C12419" t="s">
        <v>12</v>
      </c>
      <c r="D12419" s="2">
        <v>0</v>
      </c>
      <c r="E12419" s="2">
        <v>37.79</v>
      </c>
      <c r="F12419" t="s">
        <v>16</v>
      </c>
      <c r="G12419" t="s">
        <v>17</v>
      </c>
    </row>
    <row r="12420" spans="1:7" x14ac:dyDescent="0.35">
      <c r="A12420">
        <v>4939</v>
      </c>
      <c r="B12420" s="1">
        <v>45902</v>
      </c>
      <c r="C12420" t="s">
        <v>12</v>
      </c>
      <c r="D12420" s="2">
        <v>5973.52</v>
      </c>
      <c r="E12420" s="2">
        <v>0</v>
      </c>
      <c r="F12420" t="s">
        <v>13</v>
      </c>
      <c r="G12420" t="s">
        <v>9</v>
      </c>
    </row>
    <row r="12421" spans="1:7" x14ac:dyDescent="0.35">
      <c r="A12421">
        <v>4939</v>
      </c>
      <c r="B12421" s="1">
        <v>45902</v>
      </c>
      <c r="C12421" t="s">
        <v>12</v>
      </c>
      <c r="D12421" s="2">
        <v>0</v>
      </c>
      <c r="E12421" s="2">
        <v>5556.76</v>
      </c>
      <c r="F12421" t="s">
        <v>14</v>
      </c>
      <c r="G12421" t="s">
        <v>15</v>
      </c>
    </row>
    <row r="12422" spans="1:7" x14ac:dyDescent="0.35">
      <c r="A12422">
        <v>4939</v>
      </c>
      <c r="B12422" s="1">
        <v>45902</v>
      </c>
      <c r="C12422" t="s">
        <v>12</v>
      </c>
      <c r="D12422" s="2">
        <v>0</v>
      </c>
      <c r="E12422" s="2">
        <v>416.76</v>
      </c>
      <c r="F12422" t="s">
        <v>16</v>
      </c>
      <c r="G12422" t="s">
        <v>17</v>
      </c>
    </row>
    <row r="12423" spans="1:7" x14ac:dyDescent="0.35">
      <c r="A12423">
        <v>4940</v>
      </c>
      <c r="B12423" s="1">
        <v>45902</v>
      </c>
      <c r="C12423" t="s">
        <v>12</v>
      </c>
      <c r="D12423" s="2">
        <v>2542.4899999999998</v>
      </c>
      <c r="E12423" s="2">
        <v>0</v>
      </c>
      <c r="F12423" t="s">
        <v>13</v>
      </c>
      <c r="G12423" t="s">
        <v>9</v>
      </c>
    </row>
    <row r="12424" spans="1:7" x14ac:dyDescent="0.35">
      <c r="A12424">
        <v>4940</v>
      </c>
      <c r="B12424" s="1">
        <v>45902</v>
      </c>
      <c r="C12424" t="s">
        <v>12</v>
      </c>
      <c r="D12424" s="2">
        <v>0</v>
      </c>
      <c r="E12424" s="2">
        <v>2365.11</v>
      </c>
      <c r="F12424" t="s">
        <v>14</v>
      </c>
      <c r="G12424" t="s">
        <v>15</v>
      </c>
    </row>
    <row r="12425" spans="1:7" x14ac:dyDescent="0.35">
      <c r="A12425">
        <v>4940</v>
      </c>
      <c r="B12425" s="1">
        <v>45902</v>
      </c>
      <c r="C12425" t="s">
        <v>12</v>
      </c>
      <c r="D12425" s="2">
        <v>0</v>
      </c>
      <c r="E12425" s="2">
        <v>177.38</v>
      </c>
      <c r="F12425" t="s">
        <v>16</v>
      </c>
      <c r="G12425" t="s">
        <v>17</v>
      </c>
    </row>
    <row r="12426" spans="1:7" x14ac:dyDescent="0.35">
      <c r="A12426">
        <v>4941</v>
      </c>
      <c r="B12426" s="1">
        <v>45902</v>
      </c>
      <c r="C12426" t="s">
        <v>12</v>
      </c>
      <c r="D12426" s="2">
        <v>2285.67</v>
      </c>
      <c r="E12426" s="2">
        <v>0</v>
      </c>
      <c r="F12426" t="s">
        <v>13</v>
      </c>
      <c r="G12426" t="s">
        <v>9</v>
      </c>
    </row>
    <row r="12427" spans="1:7" x14ac:dyDescent="0.35">
      <c r="A12427">
        <v>4941</v>
      </c>
      <c r="B12427" s="1">
        <v>45902</v>
      </c>
      <c r="C12427" t="s">
        <v>12</v>
      </c>
      <c r="D12427" s="2">
        <v>0</v>
      </c>
      <c r="E12427" s="2">
        <v>2126.21</v>
      </c>
      <c r="F12427" t="s">
        <v>14</v>
      </c>
      <c r="G12427" t="s">
        <v>15</v>
      </c>
    </row>
    <row r="12428" spans="1:7" x14ac:dyDescent="0.35">
      <c r="A12428">
        <v>4941</v>
      </c>
      <c r="B12428" s="1">
        <v>45902</v>
      </c>
      <c r="C12428" t="s">
        <v>12</v>
      </c>
      <c r="D12428" s="2">
        <v>0</v>
      </c>
      <c r="E12428" s="2">
        <v>159.46</v>
      </c>
      <c r="F12428" t="s">
        <v>16</v>
      </c>
      <c r="G12428" t="s">
        <v>17</v>
      </c>
    </row>
    <row r="12429" spans="1:7" x14ac:dyDescent="0.35">
      <c r="A12429">
        <v>4942</v>
      </c>
      <c r="B12429" s="1">
        <v>45902</v>
      </c>
      <c r="C12429" t="s">
        <v>12</v>
      </c>
      <c r="D12429" s="2">
        <v>1262.94</v>
      </c>
      <c r="E12429" s="2">
        <v>0</v>
      </c>
      <c r="F12429" t="s">
        <v>13</v>
      </c>
      <c r="G12429" t="s">
        <v>9</v>
      </c>
    </row>
    <row r="12430" spans="1:7" x14ac:dyDescent="0.35">
      <c r="A12430">
        <v>4942</v>
      </c>
      <c r="B12430" s="1">
        <v>45902</v>
      </c>
      <c r="C12430" t="s">
        <v>12</v>
      </c>
      <c r="D12430" s="2">
        <v>0</v>
      </c>
      <c r="E12430" s="2">
        <v>1174.83</v>
      </c>
      <c r="F12430" t="s">
        <v>14</v>
      </c>
      <c r="G12430" t="s">
        <v>15</v>
      </c>
    </row>
    <row r="12431" spans="1:7" x14ac:dyDescent="0.35">
      <c r="A12431">
        <v>4942</v>
      </c>
      <c r="B12431" s="1">
        <v>45902</v>
      </c>
      <c r="C12431" t="s">
        <v>12</v>
      </c>
      <c r="D12431" s="2">
        <v>0</v>
      </c>
      <c r="E12431" s="2">
        <v>88.11</v>
      </c>
      <c r="F12431" t="s">
        <v>16</v>
      </c>
      <c r="G12431" t="s">
        <v>17</v>
      </c>
    </row>
    <row r="12432" spans="1:7" x14ac:dyDescent="0.35">
      <c r="A12432">
        <v>4943</v>
      </c>
      <c r="B12432" s="1">
        <v>45902</v>
      </c>
      <c r="C12432" t="s">
        <v>12</v>
      </c>
      <c r="D12432" s="2">
        <v>1323.27</v>
      </c>
      <c r="E12432" s="2">
        <v>0</v>
      </c>
      <c r="F12432" t="s">
        <v>13</v>
      </c>
      <c r="G12432" t="s">
        <v>9</v>
      </c>
    </row>
    <row r="12433" spans="1:7" x14ac:dyDescent="0.35">
      <c r="A12433">
        <v>4943</v>
      </c>
      <c r="B12433" s="1">
        <v>45902</v>
      </c>
      <c r="C12433" t="s">
        <v>12</v>
      </c>
      <c r="D12433" s="2">
        <v>0</v>
      </c>
      <c r="E12433" s="2">
        <v>1230.95</v>
      </c>
      <c r="F12433" t="s">
        <v>14</v>
      </c>
      <c r="G12433" t="s">
        <v>15</v>
      </c>
    </row>
    <row r="12434" spans="1:7" x14ac:dyDescent="0.35">
      <c r="A12434">
        <v>4943</v>
      </c>
      <c r="B12434" s="1">
        <v>45902</v>
      </c>
      <c r="C12434" t="s">
        <v>12</v>
      </c>
      <c r="D12434" s="2">
        <v>0</v>
      </c>
      <c r="E12434" s="2">
        <v>92.32</v>
      </c>
      <c r="F12434" t="s">
        <v>16</v>
      </c>
      <c r="G12434" t="s">
        <v>17</v>
      </c>
    </row>
    <row r="12435" spans="1:7" x14ac:dyDescent="0.35">
      <c r="A12435">
        <v>4944</v>
      </c>
      <c r="B12435" s="1">
        <v>45902</v>
      </c>
      <c r="C12435" t="s">
        <v>24</v>
      </c>
      <c r="D12435" s="2">
        <v>2604.04</v>
      </c>
      <c r="E12435" s="2">
        <v>0</v>
      </c>
      <c r="F12435" t="s">
        <v>8</v>
      </c>
      <c r="G12435" t="s">
        <v>9</v>
      </c>
    </row>
    <row r="12436" spans="1:7" x14ac:dyDescent="0.35">
      <c r="A12436">
        <v>4944</v>
      </c>
      <c r="B12436" s="1">
        <v>45902</v>
      </c>
      <c r="C12436" t="s">
        <v>24</v>
      </c>
      <c r="D12436" s="2">
        <v>0</v>
      </c>
      <c r="E12436" s="2">
        <v>2604.04</v>
      </c>
      <c r="F12436" t="s">
        <v>13</v>
      </c>
      <c r="G12436" t="s">
        <v>9</v>
      </c>
    </row>
    <row r="12437" spans="1:7" x14ac:dyDescent="0.35">
      <c r="A12437">
        <v>4945</v>
      </c>
      <c r="B12437" s="1">
        <v>45902</v>
      </c>
      <c r="C12437" t="s">
        <v>24</v>
      </c>
      <c r="D12437" s="2">
        <v>3188.67</v>
      </c>
      <c r="E12437" s="2">
        <v>0</v>
      </c>
      <c r="F12437" t="s">
        <v>8</v>
      </c>
      <c r="G12437" t="s">
        <v>9</v>
      </c>
    </row>
    <row r="12438" spans="1:7" x14ac:dyDescent="0.35">
      <c r="A12438">
        <v>4945</v>
      </c>
      <c r="B12438" s="1">
        <v>45902</v>
      </c>
      <c r="C12438" t="s">
        <v>24</v>
      </c>
      <c r="D12438" s="2">
        <v>0</v>
      </c>
      <c r="E12438" s="2">
        <v>3188.67</v>
      </c>
      <c r="F12438" t="s">
        <v>13</v>
      </c>
      <c r="G12438" t="s">
        <v>9</v>
      </c>
    </row>
    <row r="12439" spans="1:7" x14ac:dyDescent="0.35">
      <c r="A12439">
        <v>4946</v>
      </c>
      <c r="B12439" s="1">
        <v>45902</v>
      </c>
      <c r="C12439" t="s">
        <v>24</v>
      </c>
      <c r="D12439" s="2">
        <v>2377.35</v>
      </c>
      <c r="E12439" s="2">
        <v>0</v>
      </c>
      <c r="F12439" t="s">
        <v>8</v>
      </c>
      <c r="G12439" t="s">
        <v>9</v>
      </c>
    </row>
    <row r="12440" spans="1:7" x14ac:dyDescent="0.35">
      <c r="A12440">
        <v>4946</v>
      </c>
      <c r="B12440" s="1">
        <v>45902</v>
      </c>
      <c r="C12440" t="s">
        <v>24</v>
      </c>
      <c r="D12440" s="2">
        <v>0</v>
      </c>
      <c r="E12440" s="2">
        <v>2377.35</v>
      </c>
      <c r="F12440" t="s">
        <v>13</v>
      </c>
      <c r="G12440" t="s">
        <v>9</v>
      </c>
    </row>
    <row r="12441" spans="1:7" x14ac:dyDescent="0.35">
      <c r="A12441">
        <v>4947</v>
      </c>
      <c r="B12441" s="1">
        <v>45902</v>
      </c>
      <c r="C12441" t="s">
        <v>24</v>
      </c>
      <c r="D12441" s="2">
        <v>267.36</v>
      </c>
      <c r="E12441" s="2">
        <v>0</v>
      </c>
      <c r="F12441" t="s">
        <v>8</v>
      </c>
      <c r="G12441" t="s">
        <v>9</v>
      </c>
    </row>
    <row r="12442" spans="1:7" x14ac:dyDescent="0.35">
      <c r="A12442">
        <v>4947</v>
      </c>
      <c r="B12442" s="1">
        <v>45902</v>
      </c>
      <c r="C12442" t="s">
        <v>24</v>
      </c>
      <c r="D12442" s="2">
        <v>0</v>
      </c>
      <c r="E12442" s="2">
        <v>267.36</v>
      </c>
      <c r="F12442" t="s">
        <v>13</v>
      </c>
      <c r="G12442" t="s">
        <v>9</v>
      </c>
    </row>
    <row r="12443" spans="1:7" x14ac:dyDescent="0.35">
      <c r="A12443">
        <v>4948</v>
      </c>
      <c r="B12443" s="1">
        <v>45902</v>
      </c>
      <c r="C12443" t="s">
        <v>24</v>
      </c>
      <c r="D12443" s="2">
        <v>52.17</v>
      </c>
      <c r="E12443" s="2">
        <v>0</v>
      </c>
      <c r="F12443" t="s">
        <v>8</v>
      </c>
      <c r="G12443" t="s">
        <v>9</v>
      </c>
    </row>
    <row r="12444" spans="1:7" x14ac:dyDescent="0.35">
      <c r="A12444">
        <v>4948</v>
      </c>
      <c r="B12444" s="1">
        <v>45902</v>
      </c>
      <c r="C12444" t="s">
        <v>24</v>
      </c>
      <c r="D12444" s="2">
        <v>0</v>
      </c>
      <c r="E12444" s="2">
        <v>52.17</v>
      </c>
      <c r="F12444" t="s">
        <v>13</v>
      </c>
      <c r="G12444" t="s">
        <v>9</v>
      </c>
    </row>
    <row r="12445" spans="1:7" x14ac:dyDescent="0.35">
      <c r="A12445">
        <v>4949</v>
      </c>
      <c r="B12445" s="1">
        <v>45902</v>
      </c>
      <c r="C12445" t="s">
        <v>24</v>
      </c>
      <c r="D12445" s="2">
        <v>56.12</v>
      </c>
      <c r="E12445" s="2">
        <v>0</v>
      </c>
      <c r="F12445" t="s">
        <v>8</v>
      </c>
      <c r="G12445" t="s">
        <v>9</v>
      </c>
    </row>
    <row r="12446" spans="1:7" x14ac:dyDescent="0.35">
      <c r="A12446">
        <v>4949</v>
      </c>
      <c r="B12446" s="1">
        <v>45902</v>
      </c>
      <c r="C12446" t="s">
        <v>24</v>
      </c>
      <c r="D12446" s="2">
        <v>0</v>
      </c>
      <c r="E12446" s="2">
        <v>56.12</v>
      </c>
      <c r="F12446" t="s">
        <v>13</v>
      </c>
      <c r="G12446" t="s">
        <v>9</v>
      </c>
    </row>
    <row r="12447" spans="1:7" x14ac:dyDescent="0.35">
      <c r="A12447">
        <v>4950</v>
      </c>
      <c r="B12447" s="1">
        <v>45902</v>
      </c>
      <c r="C12447" t="s">
        <v>29</v>
      </c>
      <c r="D12447" s="2">
        <v>2635.36</v>
      </c>
      <c r="E12447" s="2">
        <v>0</v>
      </c>
      <c r="F12447" t="s">
        <v>28</v>
      </c>
      <c r="G12447" t="s">
        <v>17</v>
      </c>
    </row>
    <row r="12448" spans="1:7" x14ac:dyDescent="0.35">
      <c r="A12448">
        <v>4950</v>
      </c>
      <c r="B12448" s="1">
        <v>45902</v>
      </c>
      <c r="C12448" t="s">
        <v>29</v>
      </c>
      <c r="D12448" s="2">
        <v>0</v>
      </c>
      <c r="E12448" s="2">
        <v>2635.36</v>
      </c>
      <c r="F12448" t="s">
        <v>8</v>
      </c>
      <c r="G12448" t="s">
        <v>9</v>
      </c>
    </row>
    <row r="12449" spans="1:7" x14ac:dyDescent="0.35">
      <c r="A12449">
        <v>4951</v>
      </c>
      <c r="B12449" s="1">
        <v>45902</v>
      </c>
      <c r="C12449" t="s">
        <v>29</v>
      </c>
      <c r="D12449" s="2">
        <v>1023.42</v>
      </c>
      <c r="E12449" s="2">
        <v>0</v>
      </c>
      <c r="F12449" t="s">
        <v>28</v>
      </c>
      <c r="G12449" t="s">
        <v>17</v>
      </c>
    </row>
    <row r="12450" spans="1:7" x14ac:dyDescent="0.35">
      <c r="A12450">
        <v>4951</v>
      </c>
      <c r="B12450" s="1">
        <v>45902</v>
      </c>
      <c r="C12450" t="s">
        <v>29</v>
      </c>
      <c r="D12450" s="2">
        <v>0</v>
      </c>
      <c r="E12450" s="2">
        <v>1023.42</v>
      </c>
      <c r="F12450" t="s">
        <v>8</v>
      </c>
      <c r="G12450" t="s">
        <v>9</v>
      </c>
    </row>
    <row r="12451" spans="1:7" x14ac:dyDescent="0.35">
      <c r="A12451">
        <v>4952</v>
      </c>
      <c r="B12451" s="1">
        <v>45903</v>
      </c>
      <c r="C12451" t="s">
        <v>12</v>
      </c>
      <c r="D12451" s="2">
        <v>1324.83</v>
      </c>
      <c r="E12451" s="2">
        <v>0</v>
      </c>
      <c r="F12451" t="s">
        <v>13</v>
      </c>
      <c r="G12451" t="s">
        <v>9</v>
      </c>
    </row>
    <row r="12452" spans="1:7" x14ac:dyDescent="0.35">
      <c r="A12452">
        <v>4952</v>
      </c>
      <c r="B12452" s="1">
        <v>45903</v>
      </c>
      <c r="C12452" t="s">
        <v>12</v>
      </c>
      <c r="D12452" s="2">
        <v>0</v>
      </c>
      <c r="E12452" s="2">
        <v>1232.4000000000001</v>
      </c>
      <c r="F12452" t="s">
        <v>14</v>
      </c>
      <c r="G12452" t="s">
        <v>15</v>
      </c>
    </row>
    <row r="12453" spans="1:7" x14ac:dyDescent="0.35">
      <c r="A12453">
        <v>4952</v>
      </c>
      <c r="B12453" s="1">
        <v>45903</v>
      </c>
      <c r="C12453" t="s">
        <v>12</v>
      </c>
      <c r="D12453" s="2">
        <v>0</v>
      </c>
      <c r="E12453" s="2">
        <v>92.43</v>
      </c>
      <c r="F12453" t="s">
        <v>16</v>
      </c>
      <c r="G12453" t="s">
        <v>17</v>
      </c>
    </row>
    <row r="12454" spans="1:7" x14ac:dyDescent="0.35">
      <c r="A12454">
        <v>4953</v>
      </c>
      <c r="B12454" s="1">
        <v>45903</v>
      </c>
      <c r="C12454" t="s">
        <v>12</v>
      </c>
      <c r="D12454" s="2">
        <v>1984.35</v>
      </c>
      <c r="E12454" s="2">
        <v>0</v>
      </c>
      <c r="F12454" t="s">
        <v>13</v>
      </c>
      <c r="G12454" t="s">
        <v>9</v>
      </c>
    </row>
    <row r="12455" spans="1:7" x14ac:dyDescent="0.35">
      <c r="A12455">
        <v>4953</v>
      </c>
      <c r="B12455" s="1">
        <v>45903</v>
      </c>
      <c r="C12455" t="s">
        <v>12</v>
      </c>
      <c r="D12455" s="2">
        <v>0</v>
      </c>
      <c r="E12455" s="2">
        <v>1845.91</v>
      </c>
      <c r="F12455" t="s">
        <v>14</v>
      </c>
      <c r="G12455" t="s">
        <v>15</v>
      </c>
    </row>
    <row r="12456" spans="1:7" x14ac:dyDescent="0.35">
      <c r="A12456">
        <v>4953</v>
      </c>
      <c r="B12456" s="1">
        <v>45903</v>
      </c>
      <c r="C12456" t="s">
        <v>12</v>
      </c>
      <c r="D12456" s="2">
        <v>0</v>
      </c>
      <c r="E12456" s="2">
        <v>138.44</v>
      </c>
      <c r="F12456" t="s">
        <v>16</v>
      </c>
      <c r="G12456" t="s">
        <v>17</v>
      </c>
    </row>
    <row r="12457" spans="1:7" x14ac:dyDescent="0.35">
      <c r="A12457">
        <v>4954</v>
      </c>
      <c r="B12457" s="1">
        <v>45903</v>
      </c>
      <c r="C12457" t="s">
        <v>24</v>
      </c>
      <c r="D12457" s="2">
        <v>235.28</v>
      </c>
      <c r="E12457" s="2">
        <v>0</v>
      </c>
      <c r="F12457" t="s">
        <v>8</v>
      </c>
      <c r="G12457" t="s">
        <v>9</v>
      </c>
    </row>
    <row r="12458" spans="1:7" x14ac:dyDescent="0.35">
      <c r="A12458">
        <v>4954</v>
      </c>
      <c r="B12458" s="1">
        <v>45903</v>
      </c>
      <c r="C12458" t="s">
        <v>24</v>
      </c>
      <c r="D12458" s="2">
        <v>0</v>
      </c>
      <c r="E12458" s="2">
        <v>235.28</v>
      </c>
      <c r="F12458" t="s">
        <v>13</v>
      </c>
      <c r="G12458" t="s">
        <v>9</v>
      </c>
    </row>
    <row r="12459" spans="1:7" x14ac:dyDescent="0.35">
      <c r="A12459">
        <v>4955</v>
      </c>
      <c r="B12459" s="1">
        <v>45903</v>
      </c>
      <c r="C12459" t="s">
        <v>24</v>
      </c>
      <c r="D12459" s="2">
        <v>1116.69</v>
      </c>
      <c r="E12459" s="2">
        <v>0</v>
      </c>
      <c r="F12459" t="s">
        <v>8</v>
      </c>
      <c r="G12459" t="s">
        <v>9</v>
      </c>
    </row>
    <row r="12460" spans="1:7" x14ac:dyDescent="0.35">
      <c r="A12460">
        <v>4955</v>
      </c>
      <c r="B12460" s="1">
        <v>45903</v>
      </c>
      <c r="C12460" t="s">
        <v>24</v>
      </c>
      <c r="D12460" s="2">
        <v>0</v>
      </c>
      <c r="E12460" s="2">
        <v>1116.69</v>
      </c>
      <c r="F12460" t="s">
        <v>13</v>
      </c>
      <c r="G12460" t="s">
        <v>9</v>
      </c>
    </row>
    <row r="12461" spans="1:7" x14ac:dyDescent="0.35">
      <c r="A12461">
        <v>4956</v>
      </c>
      <c r="B12461" s="1">
        <v>45903</v>
      </c>
      <c r="C12461" t="s">
        <v>29</v>
      </c>
      <c r="D12461" s="2">
        <v>1304.6199999999999</v>
      </c>
      <c r="E12461" s="2">
        <v>0</v>
      </c>
      <c r="F12461" t="s">
        <v>28</v>
      </c>
      <c r="G12461" t="s">
        <v>17</v>
      </c>
    </row>
    <row r="12462" spans="1:7" x14ac:dyDescent="0.35">
      <c r="A12462">
        <v>4956</v>
      </c>
      <c r="B12462" s="1">
        <v>45903</v>
      </c>
      <c r="C12462" t="s">
        <v>29</v>
      </c>
      <c r="D12462" s="2">
        <v>0</v>
      </c>
      <c r="E12462" s="2">
        <v>1304.6199999999999</v>
      </c>
      <c r="F12462" t="s">
        <v>8</v>
      </c>
      <c r="G12462" t="s">
        <v>9</v>
      </c>
    </row>
    <row r="12463" spans="1:7" x14ac:dyDescent="0.35">
      <c r="A12463">
        <v>4957</v>
      </c>
      <c r="B12463" s="1">
        <v>45903</v>
      </c>
      <c r="C12463" t="s">
        <v>29</v>
      </c>
      <c r="D12463" s="2">
        <v>2635.36</v>
      </c>
      <c r="E12463" s="2">
        <v>0</v>
      </c>
      <c r="F12463" t="s">
        <v>28</v>
      </c>
      <c r="G12463" t="s">
        <v>17</v>
      </c>
    </row>
    <row r="12464" spans="1:7" x14ac:dyDescent="0.35">
      <c r="A12464">
        <v>4957</v>
      </c>
      <c r="B12464" s="1">
        <v>45903</v>
      </c>
      <c r="C12464" t="s">
        <v>29</v>
      </c>
      <c r="D12464" s="2">
        <v>0</v>
      </c>
      <c r="E12464" s="2">
        <v>2635.36</v>
      </c>
      <c r="F12464" t="s">
        <v>8</v>
      </c>
      <c r="G12464" t="s">
        <v>9</v>
      </c>
    </row>
    <row r="12465" spans="1:7" x14ac:dyDescent="0.35">
      <c r="A12465">
        <v>4958</v>
      </c>
      <c r="B12465" s="1">
        <v>45903</v>
      </c>
      <c r="C12465" t="s">
        <v>29</v>
      </c>
      <c r="D12465" s="2">
        <v>1023.42</v>
      </c>
      <c r="E12465" s="2">
        <v>0</v>
      </c>
      <c r="F12465" t="s">
        <v>28</v>
      </c>
      <c r="G12465" t="s">
        <v>17</v>
      </c>
    </row>
    <row r="12466" spans="1:7" x14ac:dyDescent="0.35">
      <c r="A12466">
        <v>4958</v>
      </c>
      <c r="B12466" s="1">
        <v>45903</v>
      </c>
      <c r="C12466" t="s">
        <v>29</v>
      </c>
      <c r="D12466" s="2">
        <v>0</v>
      </c>
      <c r="E12466" s="2">
        <v>1023.42</v>
      </c>
      <c r="F12466" t="s">
        <v>8</v>
      </c>
      <c r="G12466" t="s">
        <v>9</v>
      </c>
    </row>
    <row r="12467" spans="1:7" x14ac:dyDescent="0.35">
      <c r="A12467">
        <v>4959</v>
      </c>
      <c r="B12467" s="1">
        <v>45903</v>
      </c>
      <c r="C12467" t="s">
        <v>29</v>
      </c>
      <c r="D12467" s="2">
        <v>1159.8399999999999</v>
      </c>
      <c r="E12467" s="2">
        <v>0</v>
      </c>
      <c r="F12467" t="s">
        <v>28</v>
      </c>
      <c r="G12467" t="s">
        <v>17</v>
      </c>
    </row>
    <row r="12468" spans="1:7" x14ac:dyDescent="0.35">
      <c r="A12468">
        <v>4959</v>
      </c>
      <c r="B12468" s="1">
        <v>45903</v>
      </c>
      <c r="C12468" t="s">
        <v>29</v>
      </c>
      <c r="D12468" s="2">
        <v>0</v>
      </c>
      <c r="E12468" s="2">
        <v>1159.8399999999999</v>
      </c>
      <c r="F12468" t="s">
        <v>8</v>
      </c>
      <c r="G12468" t="s">
        <v>9</v>
      </c>
    </row>
    <row r="12469" spans="1:7" x14ac:dyDescent="0.35">
      <c r="A12469">
        <v>4960</v>
      </c>
      <c r="B12469" s="1">
        <v>45903</v>
      </c>
      <c r="C12469" t="s">
        <v>29</v>
      </c>
      <c r="D12469" s="2">
        <v>3868.8</v>
      </c>
      <c r="E12469" s="2">
        <v>0</v>
      </c>
      <c r="F12469" t="s">
        <v>28</v>
      </c>
      <c r="G12469" t="s">
        <v>17</v>
      </c>
    </row>
    <row r="12470" spans="1:7" x14ac:dyDescent="0.35">
      <c r="A12470">
        <v>4960</v>
      </c>
      <c r="B12470" s="1">
        <v>45903</v>
      </c>
      <c r="C12470" t="s">
        <v>29</v>
      </c>
      <c r="D12470" s="2">
        <v>0</v>
      </c>
      <c r="E12470" s="2">
        <v>3868.8</v>
      </c>
      <c r="F12470" t="s">
        <v>8</v>
      </c>
      <c r="G12470" t="s">
        <v>9</v>
      </c>
    </row>
    <row r="12471" spans="1:7" x14ac:dyDescent="0.35">
      <c r="A12471">
        <v>4961</v>
      </c>
      <c r="B12471" s="1">
        <v>45903</v>
      </c>
      <c r="C12471" t="s">
        <v>29</v>
      </c>
      <c r="D12471" s="2">
        <v>276.32</v>
      </c>
      <c r="E12471" s="2">
        <v>0</v>
      </c>
      <c r="F12471" t="s">
        <v>28</v>
      </c>
      <c r="G12471" t="s">
        <v>17</v>
      </c>
    </row>
    <row r="12472" spans="1:7" x14ac:dyDescent="0.35">
      <c r="A12472">
        <v>4961</v>
      </c>
      <c r="B12472" s="1">
        <v>45903</v>
      </c>
      <c r="C12472" t="s">
        <v>29</v>
      </c>
      <c r="D12472" s="2">
        <v>0</v>
      </c>
      <c r="E12472" s="2">
        <v>276.32</v>
      </c>
      <c r="F12472" t="s">
        <v>8</v>
      </c>
      <c r="G12472" t="s">
        <v>9</v>
      </c>
    </row>
    <row r="12473" spans="1:7" x14ac:dyDescent="0.35">
      <c r="A12473">
        <v>4962</v>
      </c>
      <c r="B12473" s="1">
        <v>45904</v>
      </c>
      <c r="C12473" t="s">
        <v>12</v>
      </c>
      <c r="D12473" s="2">
        <v>3506.96</v>
      </c>
      <c r="E12473" s="2">
        <v>0</v>
      </c>
      <c r="F12473" t="s">
        <v>13</v>
      </c>
      <c r="G12473" t="s">
        <v>9</v>
      </c>
    </row>
    <row r="12474" spans="1:7" x14ac:dyDescent="0.35">
      <c r="A12474">
        <v>4962</v>
      </c>
      <c r="B12474" s="1">
        <v>45904</v>
      </c>
      <c r="C12474" t="s">
        <v>12</v>
      </c>
      <c r="D12474" s="2">
        <v>0</v>
      </c>
      <c r="E12474" s="2">
        <v>3262.29</v>
      </c>
      <c r="F12474" t="s">
        <v>14</v>
      </c>
      <c r="G12474" t="s">
        <v>15</v>
      </c>
    </row>
    <row r="12475" spans="1:7" x14ac:dyDescent="0.35">
      <c r="A12475">
        <v>4962</v>
      </c>
      <c r="B12475" s="1">
        <v>45904</v>
      </c>
      <c r="C12475" t="s">
        <v>12</v>
      </c>
      <c r="D12475" s="2">
        <v>0</v>
      </c>
      <c r="E12475" s="2">
        <v>244.67</v>
      </c>
      <c r="F12475" t="s">
        <v>16</v>
      </c>
      <c r="G12475" t="s">
        <v>17</v>
      </c>
    </row>
    <row r="12476" spans="1:7" x14ac:dyDescent="0.35">
      <c r="A12476">
        <v>4963</v>
      </c>
      <c r="B12476" s="1">
        <v>45904</v>
      </c>
      <c r="C12476" t="s">
        <v>12</v>
      </c>
      <c r="D12476" s="2">
        <v>3897.15</v>
      </c>
      <c r="E12476" s="2">
        <v>0</v>
      </c>
      <c r="F12476" t="s">
        <v>13</v>
      </c>
      <c r="G12476" t="s">
        <v>9</v>
      </c>
    </row>
    <row r="12477" spans="1:7" x14ac:dyDescent="0.35">
      <c r="A12477">
        <v>4963</v>
      </c>
      <c r="B12477" s="1">
        <v>45904</v>
      </c>
      <c r="C12477" t="s">
        <v>12</v>
      </c>
      <c r="D12477" s="2">
        <v>0</v>
      </c>
      <c r="E12477" s="2">
        <v>3625.25</v>
      </c>
      <c r="F12477" t="s">
        <v>14</v>
      </c>
      <c r="G12477" t="s">
        <v>15</v>
      </c>
    </row>
    <row r="12478" spans="1:7" x14ac:dyDescent="0.35">
      <c r="A12478">
        <v>4963</v>
      </c>
      <c r="B12478" s="1">
        <v>45904</v>
      </c>
      <c r="C12478" t="s">
        <v>12</v>
      </c>
      <c r="D12478" s="2">
        <v>0</v>
      </c>
      <c r="E12478" s="2">
        <v>271.89999999999998</v>
      </c>
      <c r="F12478" t="s">
        <v>16</v>
      </c>
      <c r="G12478" t="s">
        <v>17</v>
      </c>
    </row>
    <row r="12479" spans="1:7" x14ac:dyDescent="0.35">
      <c r="A12479">
        <v>4964</v>
      </c>
      <c r="B12479" s="1">
        <v>45904</v>
      </c>
      <c r="C12479" t="s">
        <v>12</v>
      </c>
      <c r="D12479" s="2">
        <v>2349.7199999999998</v>
      </c>
      <c r="E12479" s="2">
        <v>0</v>
      </c>
      <c r="F12479" t="s">
        <v>13</v>
      </c>
      <c r="G12479" t="s">
        <v>9</v>
      </c>
    </row>
    <row r="12480" spans="1:7" x14ac:dyDescent="0.35">
      <c r="A12480">
        <v>4964</v>
      </c>
      <c r="B12480" s="1">
        <v>45904</v>
      </c>
      <c r="C12480" t="s">
        <v>12</v>
      </c>
      <c r="D12480" s="2">
        <v>0</v>
      </c>
      <c r="E12480" s="2">
        <v>2185.79</v>
      </c>
      <c r="F12480" t="s">
        <v>14</v>
      </c>
      <c r="G12480" t="s">
        <v>15</v>
      </c>
    </row>
    <row r="12481" spans="1:7" x14ac:dyDescent="0.35">
      <c r="A12481">
        <v>4964</v>
      </c>
      <c r="B12481" s="1">
        <v>45904</v>
      </c>
      <c r="C12481" t="s">
        <v>12</v>
      </c>
      <c r="D12481" s="2">
        <v>0</v>
      </c>
      <c r="E12481" s="2">
        <v>163.93</v>
      </c>
      <c r="F12481" t="s">
        <v>16</v>
      </c>
      <c r="G12481" t="s">
        <v>17</v>
      </c>
    </row>
    <row r="12482" spans="1:7" x14ac:dyDescent="0.35">
      <c r="A12482">
        <v>4965</v>
      </c>
      <c r="B12482" s="1">
        <v>45904</v>
      </c>
      <c r="C12482" t="s">
        <v>12</v>
      </c>
      <c r="D12482" s="2">
        <v>838.44</v>
      </c>
      <c r="E12482" s="2">
        <v>0</v>
      </c>
      <c r="F12482" t="s">
        <v>13</v>
      </c>
      <c r="G12482" t="s">
        <v>9</v>
      </c>
    </row>
    <row r="12483" spans="1:7" x14ac:dyDescent="0.35">
      <c r="A12483">
        <v>4965</v>
      </c>
      <c r="B12483" s="1">
        <v>45904</v>
      </c>
      <c r="C12483" t="s">
        <v>12</v>
      </c>
      <c r="D12483" s="2">
        <v>0</v>
      </c>
      <c r="E12483" s="2">
        <v>779.94</v>
      </c>
      <c r="F12483" t="s">
        <v>14</v>
      </c>
      <c r="G12483" t="s">
        <v>15</v>
      </c>
    </row>
    <row r="12484" spans="1:7" x14ac:dyDescent="0.35">
      <c r="A12484">
        <v>4965</v>
      </c>
      <c r="B12484" s="1">
        <v>45904</v>
      </c>
      <c r="C12484" t="s">
        <v>12</v>
      </c>
      <c r="D12484" s="2">
        <v>0</v>
      </c>
      <c r="E12484" s="2">
        <v>58.5</v>
      </c>
      <c r="F12484" t="s">
        <v>16</v>
      </c>
      <c r="G12484" t="s">
        <v>17</v>
      </c>
    </row>
    <row r="12485" spans="1:7" x14ac:dyDescent="0.35">
      <c r="A12485">
        <v>4966</v>
      </c>
      <c r="B12485" s="1">
        <v>45904</v>
      </c>
      <c r="C12485" t="s">
        <v>12</v>
      </c>
      <c r="D12485" s="2">
        <v>1710.57</v>
      </c>
      <c r="E12485" s="2">
        <v>0</v>
      </c>
      <c r="F12485" t="s">
        <v>13</v>
      </c>
      <c r="G12485" t="s">
        <v>9</v>
      </c>
    </row>
    <row r="12486" spans="1:7" x14ac:dyDescent="0.35">
      <c r="A12486">
        <v>4966</v>
      </c>
      <c r="B12486" s="1">
        <v>45904</v>
      </c>
      <c r="C12486" t="s">
        <v>12</v>
      </c>
      <c r="D12486" s="2">
        <v>0</v>
      </c>
      <c r="E12486" s="2">
        <v>1591.23</v>
      </c>
      <c r="F12486" t="s">
        <v>14</v>
      </c>
      <c r="G12486" t="s">
        <v>15</v>
      </c>
    </row>
    <row r="12487" spans="1:7" x14ac:dyDescent="0.35">
      <c r="A12487">
        <v>4966</v>
      </c>
      <c r="B12487" s="1">
        <v>45904</v>
      </c>
      <c r="C12487" t="s">
        <v>12</v>
      </c>
      <c r="D12487" s="2">
        <v>0</v>
      </c>
      <c r="E12487" s="2">
        <v>119.34</v>
      </c>
      <c r="F12487" t="s">
        <v>16</v>
      </c>
      <c r="G12487" t="s">
        <v>17</v>
      </c>
    </row>
    <row r="12488" spans="1:7" x14ac:dyDescent="0.35">
      <c r="A12488">
        <v>4967</v>
      </c>
      <c r="B12488" s="1">
        <v>45904</v>
      </c>
      <c r="C12488" t="s">
        <v>12</v>
      </c>
      <c r="D12488" s="2">
        <v>494.46</v>
      </c>
      <c r="E12488" s="2">
        <v>0</v>
      </c>
      <c r="F12488" t="s">
        <v>13</v>
      </c>
      <c r="G12488" t="s">
        <v>9</v>
      </c>
    </row>
    <row r="12489" spans="1:7" x14ac:dyDescent="0.35">
      <c r="A12489">
        <v>4967</v>
      </c>
      <c r="B12489" s="1">
        <v>45904</v>
      </c>
      <c r="C12489" t="s">
        <v>12</v>
      </c>
      <c r="D12489" s="2">
        <v>0</v>
      </c>
      <c r="E12489" s="2">
        <v>459.96</v>
      </c>
      <c r="F12489" t="s">
        <v>14</v>
      </c>
      <c r="G12489" t="s">
        <v>15</v>
      </c>
    </row>
    <row r="12490" spans="1:7" x14ac:dyDescent="0.35">
      <c r="A12490">
        <v>4967</v>
      </c>
      <c r="B12490" s="1">
        <v>45904</v>
      </c>
      <c r="C12490" t="s">
        <v>12</v>
      </c>
      <c r="D12490" s="2">
        <v>0</v>
      </c>
      <c r="E12490" s="2">
        <v>34.5</v>
      </c>
      <c r="F12490" t="s">
        <v>16</v>
      </c>
      <c r="G12490" t="s">
        <v>17</v>
      </c>
    </row>
    <row r="12491" spans="1:7" x14ac:dyDescent="0.35">
      <c r="A12491">
        <v>4968</v>
      </c>
      <c r="B12491" s="1">
        <v>45904</v>
      </c>
      <c r="C12491" t="s">
        <v>12</v>
      </c>
      <c r="D12491" s="2">
        <v>420.59</v>
      </c>
      <c r="E12491" s="2">
        <v>0</v>
      </c>
      <c r="F12491" t="s">
        <v>13</v>
      </c>
      <c r="G12491" t="s">
        <v>9</v>
      </c>
    </row>
    <row r="12492" spans="1:7" x14ac:dyDescent="0.35">
      <c r="A12492">
        <v>4968</v>
      </c>
      <c r="B12492" s="1">
        <v>45904</v>
      </c>
      <c r="C12492" t="s">
        <v>12</v>
      </c>
      <c r="D12492" s="2">
        <v>0</v>
      </c>
      <c r="E12492" s="2">
        <v>391.25</v>
      </c>
      <c r="F12492" t="s">
        <v>14</v>
      </c>
      <c r="G12492" t="s">
        <v>15</v>
      </c>
    </row>
    <row r="12493" spans="1:7" x14ac:dyDescent="0.35">
      <c r="A12493">
        <v>4968</v>
      </c>
      <c r="B12493" s="1">
        <v>45904</v>
      </c>
      <c r="C12493" t="s">
        <v>12</v>
      </c>
      <c r="D12493" s="2">
        <v>0</v>
      </c>
      <c r="E12493" s="2">
        <v>29.34</v>
      </c>
      <c r="F12493" t="s">
        <v>16</v>
      </c>
      <c r="G12493" t="s">
        <v>17</v>
      </c>
    </row>
    <row r="12494" spans="1:7" x14ac:dyDescent="0.35">
      <c r="A12494">
        <v>4969</v>
      </c>
      <c r="B12494" s="1">
        <v>45904</v>
      </c>
      <c r="C12494" t="s">
        <v>12</v>
      </c>
      <c r="D12494" s="2">
        <v>590.71</v>
      </c>
      <c r="E12494" s="2">
        <v>0</v>
      </c>
      <c r="F12494" t="s">
        <v>13</v>
      </c>
      <c r="G12494" t="s">
        <v>9</v>
      </c>
    </row>
    <row r="12495" spans="1:7" x14ac:dyDescent="0.35">
      <c r="A12495">
        <v>4969</v>
      </c>
      <c r="B12495" s="1">
        <v>45904</v>
      </c>
      <c r="C12495" t="s">
        <v>12</v>
      </c>
      <c r="D12495" s="2">
        <v>0</v>
      </c>
      <c r="E12495" s="2">
        <v>549.5</v>
      </c>
      <c r="F12495" t="s">
        <v>14</v>
      </c>
      <c r="G12495" t="s">
        <v>15</v>
      </c>
    </row>
    <row r="12496" spans="1:7" x14ac:dyDescent="0.35">
      <c r="A12496">
        <v>4969</v>
      </c>
      <c r="B12496" s="1">
        <v>45904</v>
      </c>
      <c r="C12496" t="s">
        <v>12</v>
      </c>
      <c r="D12496" s="2">
        <v>0</v>
      </c>
      <c r="E12496" s="2">
        <v>41.21</v>
      </c>
      <c r="F12496" t="s">
        <v>16</v>
      </c>
      <c r="G12496" t="s">
        <v>17</v>
      </c>
    </row>
    <row r="12497" spans="1:7" x14ac:dyDescent="0.35">
      <c r="A12497">
        <v>4970</v>
      </c>
      <c r="B12497" s="1">
        <v>45904</v>
      </c>
      <c r="C12497" t="s">
        <v>24</v>
      </c>
      <c r="D12497" s="2">
        <v>288.27999999999997</v>
      </c>
      <c r="E12497" s="2">
        <v>0</v>
      </c>
      <c r="F12497" t="s">
        <v>8</v>
      </c>
      <c r="G12497" t="s">
        <v>9</v>
      </c>
    </row>
    <row r="12498" spans="1:7" x14ac:dyDescent="0.35">
      <c r="A12498">
        <v>4970</v>
      </c>
      <c r="B12498" s="1">
        <v>45904</v>
      </c>
      <c r="C12498" t="s">
        <v>24</v>
      </c>
      <c r="D12498" s="2">
        <v>0</v>
      </c>
      <c r="E12498" s="2">
        <v>288.27999999999997</v>
      </c>
      <c r="F12498" t="s">
        <v>13</v>
      </c>
      <c r="G12498" t="s">
        <v>9</v>
      </c>
    </row>
    <row r="12499" spans="1:7" x14ac:dyDescent="0.35">
      <c r="A12499">
        <v>4971</v>
      </c>
      <c r="B12499" s="1">
        <v>45904</v>
      </c>
      <c r="C12499" t="s">
        <v>24</v>
      </c>
      <c r="D12499" s="2">
        <v>2505.6799999999998</v>
      </c>
      <c r="E12499" s="2">
        <v>0</v>
      </c>
      <c r="F12499" t="s">
        <v>8</v>
      </c>
      <c r="G12499" t="s">
        <v>9</v>
      </c>
    </row>
    <row r="12500" spans="1:7" x14ac:dyDescent="0.35">
      <c r="A12500">
        <v>4971</v>
      </c>
      <c r="B12500" s="1">
        <v>45904</v>
      </c>
      <c r="C12500" t="s">
        <v>24</v>
      </c>
      <c r="D12500" s="2">
        <v>0</v>
      </c>
      <c r="E12500" s="2">
        <v>2505.6799999999998</v>
      </c>
      <c r="F12500" t="s">
        <v>13</v>
      </c>
      <c r="G12500" t="s">
        <v>9</v>
      </c>
    </row>
    <row r="12501" spans="1:7" x14ac:dyDescent="0.35">
      <c r="A12501">
        <v>4972</v>
      </c>
      <c r="B12501" s="1">
        <v>45904</v>
      </c>
      <c r="C12501" t="s">
        <v>24</v>
      </c>
      <c r="D12501" s="2">
        <v>2349.7199999999998</v>
      </c>
      <c r="E12501" s="2">
        <v>0</v>
      </c>
      <c r="F12501" t="s">
        <v>8</v>
      </c>
      <c r="G12501" t="s">
        <v>9</v>
      </c>
    </row>
    <row r="12502" spans="1:7" x14ac:dyDescent="0.35">
      <c r="A12502">
        <v>4972</v>
      </c>
      <c r="B12502" s="1">
        <v>45904</v>
      </c>
      <c r="C12502" t="s">
        <v>24</v>
      </c>
      <c r="D12502" s="2">
        <v>0</v>
      </c>
      <c r="E12502" s="2">
        <v>2349.7199999999998</v>
      </c>
      <c r="F12502" t="s">
        <v>13</v>
      </c>
      <c r="G12502" t="s">
        <v>9</v>
      </c>
    </row>
    <row r="12503" spans="1:7" x14ac:dyDescent="0.35">
      <c r="A12503">
        <v>4973</v>
      </c>
      <c r="B12503" s="1">
        <v>45904</v>
      </c>
      <c r="C12503" t="s">
        <v>29</v>
      </c>
      <c r="D12503" s="2">
        <v>1794.11</v>
      </c>
      <c r="E12503" s="2">
        <v>0</v>
      </c>
      <c r="F12503" t="s">
        <v>28</v>
      </c>
      <c r="G12503" t="s">
        <v>17</v>
      </c>
    </row>
    <row r="12504" spans="1:7" x14ac:dyDescent="0.35">
      <c r="A12504">
        <v>4973</v>
      </c>
      <c r="B12504" s="1">
        <v>45904</v>
      </c>
      <c r="C12504" t="s">
        <v>29</v>
      </c>
      <c r="D12504" s="2">
        <v>0</v>
      </c>
      <c r="E12504" s="2">
        <v>1794.11</v>
      </c>
      <c r="F12504" t="s">
        <v>8</v>
      </c>
      <c r="G12504" t="s">
        <v>9</v>
      </c>
    </row>
    <row r="12505" spans="1:7" x14ac:dyDescent="0.35">
      <c r="A12505">
        <v>4974</v>
      </c>
      <c r="B12505" s="1">
        <v>45905</v>
      </c>
      <c r="C12505" t="s">
        <v>12</v>
      </c>
      <c r="D12505" s="2">
        <v>2129.27</v>
      </c>
      <c r="E12505" s="2">
        <v>0</v>
      </c>
      <c r="F12505" t="s">
        <v>13</v>
      </c>
      <c r="G12505" t="s">
        <v>9</v>
      </c>
    </row>
    <row r="12506" spans="1:7" x14ac:dyDescent="0.35">
      <c r="A12506">
        <v>4974</v>
      </c>
      <c r="B12506" s="1">
        <v>45905</v>
      </c>
      <c r="C12506" t="s">
        <v>12</v>
      </c>
      <c r="D12506" s="2">
        <v>0</v>
      </c>
      <c r="E12506" s="2">
        <v>1980.72</v>
      </c>
      <c r="F12506" t="s">
        <v>14</v>
      </c>
      <c r="G12506" t="s">
        <v>15</v>
      </c>
    </row>
    <row r="12507" spans="1:7" x14ac:dyDescent="0.35">
      <c r="A12507">
        <v>4974</v>
      </c>
      <c r="B12507" s="1">
        <v>45905</v>
      </c>
      <c r="C12507" t="s">
        <v>12</v>
      </c>
      <c r="D12507" s="2">
        <v>0</v>
      </c>
      <c r="E12507" s="2">
        <v>148.55000000000001</v>
      </c>
      <c r="F12507" t="s">
        <v>16</v>
      </c>
      <c r="G12507" t="s">
        <v>17</v>
      </c>
    </row>
    <row r="12508" spans="1:7" x14ac:dyDescent="0.35">
      <c r="A12508">
        <v>4975</v>
      </c>
      <c r="B12508" s="1">
        <v>45905</v>
      </c>
      <c r="C12508" t="s">
        <v>12</v>
      </c>
      <c r="D12508" s="2">
        <v>1798.41</v>
      </c>
      <c r="E12508" s="2">
        <v>0</v>
      </c>
      <c r="F12508" t="s">
        <v>13</v>
      </c>
      <c r="G12508" t="s">
        <v>9</v>
      </c>
    </row>
    <row r="12509" spans="1:7" x14ac:dyDescent="0.35">
      <c r="A12509">
        <v>4975</v>
      </c>
      <c r="B12509" s="1">
        <v>45905</v>
      </c>
      <c r="C12509" t="s">
        <v>12</v>
      </c>
      <c r="D12509" s="2">
        <v>0</v>
      </c>
      <c r="E12509" s="2">
        <v>1672.94</v>
      </c>
      <c r="F12509" t="s">
        <v>14</v>
      </c>
      <c r="G12509" t="s">
        <v>15</v>
      </c>
    </row>
    <row r="12510" spans="1:7" x14ac:dyDescent="0.35">
      <c r="A12510">
        <v>4975</v>
      </c>
      <c r="B12510" s="1">
        <v>45905</v>
      </c>
      <c r="C12510" t="s">
        <v>12</v>
      </c>
      <c r="D12510" s="2">
        <v>0</v>
      </c>
      <c r="E12510" s="2">
        <v>125.47</v>
      </c>
      <c r="F12510" t="s">
        <v>16</v>
      </c>
      <c r="G12510" t="s">
        <v>17</v>
      </c>
    </row>
    <row r="12511" spans="1:7" x14ac:dyDescent="0.35">
      <c r="A12511">
        <v>4976</v>
      </c>
      <c r="B12511" s="1">
        <v>45905</v>
      </c>
      <c r="C12511" t="s">
        <v>12</v>
      </c>
      <c r="D12511" s="2">
        <v>2439.11</v>
      </c>
      <c r="E12511" s="2">
        <v>0</v>
      </c>
      <c r="F12511" t="s">
        <v>13</v>
      </c>
      <c r="G12511" t="s">
        <v>9</v>
      </c>
    </row>
    <row r="12512" spans="1:7" x14ac:dyDescent="0.35">
      <c r="A12512">
        <v>4976</v>
      </c>
      <c r="B12512" s="1">
        <v>45905</v>
      </c>
      <c r="C12512" t="s">
        <v>12</v>
      </c>
      <c r="D12512" s="2">
        <v>0</v>
      </c>
      <c r="E12512" s="2">
        <v>2268.9299999999998</v>
      </c>
      <c r="F12512" t="s">
        <v>14</v>
      </c>
      <c r="G12512" t="s">
        <v>15</v>
      </c>
    </row>
    <row r="12513" spans="1:7" x14ac:dyDescent="0.35">
      <c r="A12513">
        <v>4976</v>
      </c>
      <c r="B12513" s="1">
        <v>45905</v>
      </c>
      <c r="C12513" t="s">
        <v>12</v>
      </c>
      <c r="D12513" s="2">
        <v>0</v>
      </c>
      <c r="E12513" s="2">
        <v>170.18</v>
      </c>
      <c r="F12513" t="s">
        <v>16</v>
      </c>
      <c r="G12513" t="s">
        <v>17</v>
      </c>
    </row>
    <row r="12514" spans="1:7" x14ac:dyDescent="0.35">
      <c r="A12514">
        <v>4977</v>
      </c>
      <c r="B12514" s="1">
        <v>45905</v>
      </c>
      <c r="C12514" t="s">
        <v>12</v>
      </c>
      <c r="D12514" s="2">
        <v>2071.8000000000002</v>
      </c>
      <c r="E12514" s="2">
        <v>0</v>
      </c>
      <c r="F12514" t="s">
        <v>13</v>
      </c>
      <c r="G12514" t="s">
        <v>9</v>
      </c>
    </row>
    <row r="12515" spans="1:7" x14ac:dyDescent="0.35">
      <c r="A12515">
        <v>4977</v>
      </c>
      <c r="B12515" s="1">
        <v>45905</v>
      </c>
      <c r="C12515" t="s">
        <v>12</v>
      </c>
      <c r="D12515" s="2">
        <v>0</v>
      </c>
      <c r="E12515" s="2">
        <v>1927.26</v>
      </c>
      <c r="F12515" t="s">
        <v>14</v>
      </c>
      <c r="G12515" t="s">
        <v>15</v>
      </c>
    </row>
    <row r="12516" spans="1:7" x14ac:dyDescent="0.35">
      <c r="A12516">
        <v>4977</v>
      </c>
      <c r="B12516" s="1">
        <v>45905</v>
      </c>
      <c r="C12516" t="s">
        <v>12</v>
      </c>
      <c r="D12516" s="2">
        <v>0</v>
      </c>
      <c r="E12516" s="2">
        <v>144.54</v>
      </c>
      <c r="F12516" t="s">
        <v>16</v>
      </c>
      <c r="G12516" t="s">
        <v>17</v>
      </c>
    </row>
    <row r="12517" spans="1:7" x14ac:dyDescent="0.35">
      <c r="A12517">
        <v>4978</v>
      </c>
      <c r="B12517" s="1">
        <v>45905</v>
      </c>
      <c r="C12517" t="s">
        <v>24</v>
      </c>
      <c r="D12517" s="2">
        <v>4200.2700000000004</v>
      </c>
      <c r="E12517" s="2">
        <v>0</v>
      </c>
      <c r="F12517" t="s">
        <v>8</v>
      </c>
      <c r="G12517" t="s">
        <v>9</v>
      </c>
    </row>
    <row r="12518" spans="1:7" x14ac:dyDescent="0.35">
      <c r="A12518">
        <v>4978</v>
      </c>
      <c r="B12518" s="1">
        <v>45905</v>
      </c>
      <c r="C12518" t="s">
        <v>24</v>
      </c>
      <c r="D12518" s="2">
        <v>0</v>
      </c>
      <c r="E12518" s="2">
        <v>4200.2700000000004</v>
      </c>
      <c r="F12518" t="s">
        <v>13</v>
      </c>
      <c r="G12518" t="s">
        <v>9</v>
      </c>
    </row>
    <row r="12519" spans="1:7" x14ac:dyDescent="0.35">
      <c r="A12519">
        <v>4979</v>
      </c>
      <c r="B12519" s="1">
        <v>45905</v>
      </c>
      <c r="C12519" t="s">
        <v>24</v>
      </c>
      <c r="D12519" s="2">
        <v>2841.07</v>
      </c>
      <c r="E12519" s="2">
        <v>0</v>
      </c>
      <c r="F12519" t="s">
        <v>8</v>
      </c>
      <c r="G12519" t="s">
        <v>9</v>
      </c>
    </row>
    <row r="12520" spans="1:7" x14ac:dyDescent="0.35">
      <c r="A12520">
        <v>4979</v>
      </c>
      <c r="B12520" s="1">
        <v>45905</v>
      </c>
      <c r="C12520" t="s">
        <v>24</v>
      </c>
      <c r="D12520" s="2">
        <v>0</v>
      </c>
      <c r="E12520" s="2">
        <v>2841.07</v>
      </c>
      <c r="F12520" t="s">
        <v>13</v>
      </c>
      <c r="G12520" t="s">
        <v>9</v>
      </c>
    </row>
    <row r="12521" spans="1:7" x14ac:dyDescent="0.35">
      <c r="A12521">
        <v>4980</v>
      </c>
      <c r="B12521" s="1">
        <v>45905</v>
      </c>
      <c r="C12521" t="s">
        <v>24</v>
      </c>
      <c r="D12521" s="2">
        <v>1449.13</v>
      </c>
      <c r="E12521" s="2">
        <v>0</v>
      </c>
      <c r="F12521" t="s">
        <v>8</v>
      </c>
      <c r="G12521" t="s">
        <v>9</v>
      </c>
    </row>
    <row r="12522" spans="1:7" x14ac:dyDescent="0.35">
      <c r="A12522">
        <v>4980</v>
      </c>
      <c r="B12522" s="1">
        <v>45905</v>
      </c>
      <c r="C12522" t="s">
        <v>24</v>
      </c>
      <c r="D12522" s="2">
        <v>0</v>
      </c>
      <c r="E12522" s="2">
        <v>1449.13</v>
      </c>
      <c r="F12522" t="s">
        <v>13</v>
      </c>
      <c r="G12522" t="s">
        <v>9</v>
      </c>
    </row>
    <row r="12523" spans="1:7" x14ac:dyDescent="0.35">
      <c r="A12523">
        <v>4981</v>
      </c>
      <c r="B12523" s="1">
        <v>45905</v>
      </c>
      <c r="C12523" t="s">
        <v>24</v>
      </c>
      <c r="D12523" s="2">
        <v>1064.94</v>
      </c>
      <c r="E12523" s="2">
        <v>0</v>
      </c>
      <c r="F12523" t="s">
        <v>8</v>
      </c>
      <c r="G12523" t="s">
        <v>9</v>
      </c>
    </row>
    <row r="12524" spans="1:7" x14ac:dyDescent="0.35">
      <c r="A12524">
        <v>4981</v>
      </c>
      <c r="B12524" s="1">
        <v>45905</v>
      </c>
      <c r="C12524" t="s">
        <v>24</v>
      </c>
      <c r="D12524" s="2">
        <v>0</v>
      </c>
      <c r="E12524" s="2">
        <v>1064.94</v>
      </c>
      <c r="F12524" t="s">
        <v>13</v>
      </c>
      <c r="G12524" t="s">
        <v>9</v>
      </c>
    </row>
    <row r="12525" spans="1:7" x14ac:dyDescent="0.35">
      <c r="A12525">
        <v>4982</v>
      </c>
      <c r="B12525" s="1">
        <v>45905</v>
      </c>
      <c r="C12525" t="s">
        <v>24</v>
      </c>
      <c r="D12525" s="2">
        <v>2920.53</v>
      </c>
      <c r="E12525" s="2">
        <v>0</v>
      </c>
      <c r="F12525" t="s">
        <v>8</v>
      </c>
      <c r="G12525" t="s">
        <v>9</v>
      </c>
    </row>
    <row r="12526" spans="1:7" x14ac:dyDescent="0.35">
      <c r="A12526">
        <v>4982</v>
      </c>
      <c r="B12526" s="1">
        <v>45905</v>
      </c>
      <c r="C12526" t="s">
        <v>24</v>
      </c>
      <c r="D12526" s="2">
        <v>0</v>
      </c>
      <c r="E12526" s="2">
        <v>2920.53</v>
      </c>
      <c r="F12526" t="s">
        <v>13</v>
      </c>
      <c r="G12526" t="s">
        <v>9</v>
      </c>
    </row>
    <row r="12527" spans="1:7" x14ac:dyDescent="0.35">
      <c r="A12527">
        <v>4983</v>
      </c>
      <c r="B12527" s="1">
        <v>45905</v>
      </c>
      <c r="C12527" t="s">
        <v>24</v>
      </c>
      <c r="D12527" s="2">
        <v>1158.1500000000001</v>
      </c>
      <c r="E12527" s="2">
        <v>0</v>
      </c>
      <c r="F12527" t="s">
        <v>8</v>
      </c>
      <c r="G12527" t="s">
        <v>9</v>
      </c>
    </row>
    <row r="12528" spans="1:7" x14ac:dyDescent="0.35">
      <c r="A12528">
        <v>4983</v>
      </c>
      <c r="B12528" s="1">
        <v>45905</v>
      </c>
      <c r="C12528" t="s">
        <v>24</v>
      </c>
      <c r="D12528" s="2">
        <v>0</v>
      </c>
      <c r="E12528" s="2">
        <v>1158.1500000000001</v>
      </c>
      <c r="F12528" t="s">
        <v>13</v>
      </c>
      <c r="G12528" t="s">
        <v>9</v>
      </c>
    </row>
    <row r="12529" spans="1:7" x14ac:dyDescent="0.35">
      <c r="A12529">
        <v>4984</v>
      </c>
      <c r="B12529" s="1">
        <v>45905</v>
      </c>
      <c r="C12529" t="s">
        <v>24</v>
      </c>
      <c r="D12529" s="2">
        <v>3635.7</v>
      </c>
      <c r="E12529" s="2">
        <v>0</v>
      </c>
      <c r="F12529" t="s">
        <v>8</v>
      </c>
      <c r="G12529" t="s">
        <v>9</v>
      </c>
    </row>
    <row r="12530" spans="1:7" x14ac:dyDescent="0.35">
      <c r="A12530">
        <v>4984</v>
      </c>
      <c r="B12530" s="1">
        <v>45905</v>
      </c>
      <c r="C12530" t="s">
        <v>24</v>
      </c>
      <c r="D12530" s="2">
        <v>0</v>
      </c>
      <c r="E12530" s="2">
        <v>3635.7</v>
      </c>
      <c r="F12530" t="s">
        <v>13</v>
      </c>
      <c r="G12530" t="s">
        <v>9</v>
      </c>
    </row>
    <row r="12531" spans="1:7" x14ac:dyDescent="0.35">
      <c r="A12531">
        <v>4985</v>
      </c>
      <c r="B12531" s="1">
        <v>45905</v>
      </c>
      <c r="C12531" t="s">
        <v>24</v>
      </c>
      <c r="D12531" s="2">
        <v>1691.13</v>
      </c>
      <c r="E12531" s="2">
        <v>0</v>
      </c>
      <c r="F12531" t="s">
        <v>8</v>
      </c>
      <c r="G12531" t="s">
        <v>9</v>
      </c>
    </row>
    <row r="12532" spans="1:7" x14ac:dyDescent="0.35">
      <c r="A12532">
        <v>4985</v>
      </c>
      <c r="B12532" s="1">
        <v>45905</v>
      </c>
      <c r="C12532" t="s">
        <v>24</v>
      </c>
      <c r="D12532" s="2">
        <v>0</v>
      </c>
      <c r="E12532" s="2">
        <v>1691.13</v>
      </c>
      <c r="F12532" t="s">
        <v>13</v>
      </c>
      <c r="G12532" t="s">
        <v>9</v>
      </c>
    </row>
    <row r="12533" spans="1:7" x14ac:dyDescent="0.35">
      <c r="A12533">
        <v>4986</v>
      </c>
      <c r="B12533" s="1">
        <v>45905</v>
      </c>
      <c r="C12533" t="s">
        <v>24</v>
      </c>
      <c r="D12533" s="2">
        <v>2129.27</v>
      </c>
      <c r="E12533" s="2">
        <v>0</v>
      </c>
      <c r="F12533" t="s">
        <v>8</v>
      </c>
      <c r="G12533" t="s">
        <v>9</v>
      </c>
    </row>
    <row r="12534" spans="1:7" x14ac:dyDescent="0.35">
      <c r="A12534">
        <v>4986</v>
      </c>
      <c r="B12534" s="1">
        <v>45905</v>
      </c>
      <c r="C12534" t="s">
        <v>24</v>
      </c>
      <c r="D12534" s="2">
        <v>0</v>
      </c>
      <c r="E12534" s="2">
        <v>2129.27</v>
      </c>
      <c r="F12534" t="s">
        <v>13</v>
      </c>
      <c r="G12534" t="s">
        <v>9</v>
      </c>
    </row>
    <row r="12535" spans="1:7" x14ac:dyDescent="0.35">
      <c r="A12535">
        <v>4987</v>
      </c>
      <c r="B12535" s="1">
        <v>45905</v>
      </c>
      <c r="C12535" t="s">
        <v>25</v>
      </c>
      <c r="D12535" s="2">
        <v>383.76</v>
      </c>
      <c r="E12535" s="2">
        <v>0</v>
      </c>
      <c r="F12535" t="s">
        <v>26</v>
      </c>
      <c r="G12535" t="s">
        <v>20</v>
      </c>
    </row>
    <row r="12536" spans="1:7" x14ac:dyDescent="0.35">
      <c r="A12536">
        <v>4987</v>
      </c>
      <c r="B12536" s="1">
        <v>45905</v>
      </c>
      <c r="C12536" t="s">
        <v>25</v>
      </c>
      <c r="D12536" s="2">
        <v>28.78</v>
      </c>
      <c r="E12536" s="2">
        <v>0</v>
      </c>
      <c r="F12536" t="s">
        <v>27</v>
      </c>
      <c r="G12536" t="s">
        <v>9</v>
      </c>
    </row>
    <row r="12537" spans="1:7" x14ac:dyDescent="0.35">
      <c r="A12537">
        <v>4987</v>
      </c>
      <c r="B12537" s="1">
        <v>45905</v>
      </c>
      <c r="C12537" t="s">
        <v>25</v>
      </c>
      <c r="D12537" s="2">
        <v>0</v>
      </c>
      <c r="E12537" s="2">
        <v>412.54</v>
      </c>
      <c r="F12537" t="s">
        <v>28</v>
      </c>
      <c r="G12537" t="s">
        <v>17</v>
      </c>
    </row>
    <row r="12538" spans="1:7" x14ac:dyDescent="0.35">
      <c r="A12538">
        <v>4988</v>
      </c>
      <c r="B12538" s="1">
        <v>45908</v>
      </c>
      <c r="C12538" t="s">
        <v>12</v>
      </c>
      <c r="D12538" s="2">
        <v>4778.78</v>
      </c>
      <c r="E12538" s="2">
        <v>0</v>
      </c>
      <c r="F12538" t="s">
        <v>13</v>
      </c>
      <c r="G12538" t="s">
        <v>9</v>
      </c>
    </row>
    <row r="12539" spans="1:7" x14ac:dyDescent="0.35">
      <c r="A12539">
        <v>4988</v>
      </c>
      <c r="B12539" s="1">
        <v>45908</v>
      </c>
      <c r="C12539" t="s">
        <v>12</v>
      </c>
      <c r="D12539" s="2">
        <v>0</v>
      </c>
      <c r="E12539" s="2">
        <v>4445.3900000000003</v>
      </c>
      <c r="F12539" t="s">
        <v>14</v>
      </c>
      <c r="G12539" t="s">
        <v>15</v>
      </c>
    </row>
    <row r="12540" spans="1:7" x14ac:dyDescent="0.35">
      <c r="A12540">
        <v>4988</v>
      </c>
      <c r="B12540" s="1">
        <v>45908</v>
      </c>
      <c r="C12540" t="s">
        <v>12</v>
      </c>
      <c r="D12540" s="2">
        <v>0</v>
      </c>
      <c r="E12540" s="2">
        <v>333.39</v>
      </c>
      <c r="F12540" t="s">
        <v>16</v>
      </c>
      <c r="G12540" t="s">
        <v>17</v>
      </c>
    </row>
    <row r="12541" spans="1:7" x14ac:dyDescent="0.35">
      <c r="A12541">
        <v>4989</v>
      </c>
      <c r="B12541" s="1">
        <v>45908</v>
      </c>
      <c r="C12541" t="s">
        <v>12</v>
      </c>
      <c r="D12541" s="2">
        <v>2780.49</v>
      </c>
      <c r="E12541" s="2">
        <v>0</v>
      </c>
      <c r="F12541" t="s">
        <v>13</v>
      </c>
      <c r="G12541" t="s">
        <v>9</v>
      </c>
    </row>
    <row r="12542" spans="1:7" x14ac:dyDescent="0.35">
      <c r="A12542">
        <v>4989</v>
      </c>
      <c r="B12542" s="1">
        <v>45908</v>
      </c>
      <c r="C12542" t="s">
        <v>12</v>
      </c>
      <c r="D12542" s="2">
        <v>0</v>
      </c>
      <c r="E12542" s="2">
        <v>2586.5</v>
      </c>
      <c r="F12542" t="s">
        <v>14</v>
      </c>
      <c r="G12542" t="s">
        <v>15</v>
      </c>
    </row>
    <row r="12543" spans="1:7" x14ac:dyDescent="0.35">
      <c r="A12543">
        <v>4989</v>
      </c>
      <c r="B12543" s="1">
        <v>45908</v>
      </c>
      <c r="C12543" t="s">
        <v>12</v>
      </c>
      <c r="D12543" s="2">
        <v>0</v>
      </c>
      <c r="E12543" s="2">
        <v>193.99</v>
      </c>
      <c r="F12543" t="s">
        <v>16</v>
      </c>
      <c r="G12543" t="s">
        <v>17</v>
      </c>
    </row>
    <row r="12544" spans="1:7" x14ac:dyDescent="0.35">
      <c r="A12544">
        <v>4990</v>
      </c>
      <c r="B12544" s="1">
        <v>45908</v>
      </c>
      <c r="C12544" t="s">
        <v>12</v>
      </c>
      <c r="D12544" s="2">
        <v>3573.18</v>
      </c>
      <c r="E12544" s="2">
        <v>0</v>
      </c>
      <c r="F12544" t="s">
        <v>13</v>
      </c>
      <c r="G12544" t="s">
        <v>9</v>
      </c>
    </row>
    <row r="12545" spans="1:7" x14ac:dyDescent="0.35">
      <c r="A12545">
        <v>4990</v>
      </c>
      <c r="B12545" s="1">
        <v>45908</v>
      </c>
      <c r="C12545" t="s">
        <v>12</v>
      </c>
      <c r="D12545" s="2">
        <v>0</v>
      </c>
      <c r="E12545" s="2">
        <v>3323.9</v>
      </c>
      <c r="F12545" t="s">
        <v>14</v>
      </c>
      <c r="G12545" t="s">
        <v>15</v>
      </c>
    </row>
    <row r="12546" spans="1:7" x14ac:dyDescent="0.35">
      <c r="A12546">
        <v>4990</v>
      </c>
      <c r="B12546" s="1">
        <v>45908</v>
      </c>
      <c r="C12546" t="s">
        <v>12</v>
      </c>
      <c r="D12546" s="2">
        <v>0</v>
      </c>
      <c r="E12546" s="2">
        <v>249.28</v>
      </c>
      <c r="F12546" t="s">
        <v>16</v>
      </c>
      <c r="G12546" t="s">
        <v>17</v>
      </c>
    </row>
    <row r="12547" spans="1:7" x14ac:dyDescent="0.35">
      <c r="A12547">
        <v>4991</v>
      </c>
      <c r="B12547" s="1">
        <v>45908</v>
      </c>
      <c r="C12547" t="s">
        <v>12</v>
      </c>
      <c r="D12547" s="2">
        <v>1225.29</v>
      </c>
      <c r="E12547" s="2">
        <v>0</v>
      </c>
      <c r="F12547" t="s">
        <v>13</v>
      </c>
      <c r="G12547" t="s">
        <v>9</v>
      </c>
    </row>
    <row r="12548" spans="1:7" x14ac:dyDescent="0.35">
      <c r="A12548">
        <v>4991</v>
      </c>
      <c r="B12548" s="1">
        <v>45908</v>
      </c>
      <c r="C12548" t="s">
        <v>12</v>
      </c>
      <c r="D12548" s="2">
        <v>0</v>
      </c>
      <c r="E12548" s="2">
        <v>1139.8</v>
      </c>
      <c r="F12548" t="s">
        <v>14</v>
      </c>
      <c r="G12548" t="s">
        <v>15</v>
      </c>
    </row>
    <row r="12549" spans="1:7" x14ac:dyDescent="0.35">
      <c r="A12549">
        <v>4991</v>
      </c>
      <c r="B12549" s="1">
        <v>45908</v>
      </c>
      <c r="C12549" t="s">
        <v>12</v>
      </c>
      <c r="D12549" s="2">
        <v>0</v>
      </c>
      <c r="E12549" s="2">
        <v>85.49</v>
      </c>
      <c r="F12549" t="s">
        <v>16</v>
      </c>
      <c r="G12549" t="s">
        <v>17</v>
      </c>
    </row>
    <row r="12550" spans="1:7" x14ac:dyDescent="0.35">
      <c r="A12550">
        <v>4992</v>
      </c>
      <c r="B12550" s="1">
        <v>45908</v>
      </c>
      <c r="C12550" t="s">
        <v>12</v>
      </c>
      <c r="D12550" s="2">
        <v>2169.7399999999998</v>
      </c>
      <c r="E12550" s="2">
        <v>0</v>
      </c>
      <c r="F12550" t="s">
        <v>13</v>
      </c>
      <c r="G12550" t="s">
        <v>9</v>
      </c>
    </row>
    <row r="12551" spans="1:7" x14ac:dyDescent="0.35">
      <c r="A12551">
        <v>4992</v>
      </c>
      <c r="B12551" s="1">
        <v>45908</v>
      </c>
      <c r="C12551" t="s">
        <v>12</v>
      </c>
      <c r="D12551" s="2">
        <v>0</v>
      </c>
      <c r="E12551" s="2">
        <v>2018.36</v>
      </c>
      <c r="F12551" t="s">
        <v>14</v>
      </c>
      <c r="G12551" t="s">
        <v>15</v>
      </c>
    </row>
    <row r="12552" spans="1:7" x14ac:dyDescent="0.35">
      <c r="A12552">
        <v>4992</v>
      </c>
      <c r="B12552" s="1">
        <v>45908</v>
      </c>
      <c r="C12552" t="s">
        <v>12</v>
      </c>
      <c r="D12552" s="2">
        <v>0</v>
      </c>
      <c r="E12552" s="2">
        <v>151.38</v>
      </c>
      <c r="F12552" t="s">
        <v>16</v>
      </c>
      <c r="G12552" t="s">
        <v>17</v>
      </c>
    </row>
    <row r="12553" spans="1:7" x14ac:dyDescent="0.35">
      <c r="A12553">
        <v>4993</v>
      </c>
      <c r="B12553" s="1">
        <v>45908</v>
      </c>
      <c r="C12553" t="s">
        <v>24</v>
      </c>
      <c r="D12553" s="2">
        <v>2628.35</v>
      </c>
      <c r="E12553" s="2">
        <v>0</v>
      </c>
      <c r="F12553" t="s">
        <v>8</v>
      </c>
      <c r="G12553" t="s">
        <v>9</v>
      </c>
    </row>
    <row r="12554" spans="1:7" x14ac:dyDescent="0.35">
      <c r="A12554">
        <v>4993</v>
      </c>
      <c r="B12554" s="1">
        <v>45908</v>
      </c>
      <c r="C12554" t="s">
        <v>24</v>
      </c>
      <c r="D12554" s="2">
        <v>0</v>
      </c>
      <c r="E12554" s="2">
        <v>2628.35</v>
      </c>
      <c r="F12554" t="s">
        <v>13</v>
      </c>
      <c r="G12554" t="s">
        <v>9</v>
      </c>
    </row>
    <row r="12555" spans="1:7" x14ac:dyDescent="0.35">
      <c r="A12555">
        <v>4994</v>
      </c>
      <c r="B12555" s="1">
        <v>45908</v>
      </c>
      <c r="C12555" t="s">
        <v>24</v>
      </c>
      <c r="D12555" s="2">
        <v>97.4</v>
      </c>
      <c r="E12555" s="2">
        <v>0</v>
      </c>
      <c r="F12555" t="s">
        <v>8</v>
      </c>
      <c r="G12555" t="s">
        <v>9</v>
      </c>
    </row>
    <row r="12556" spans="1:7" x14ac:dyDescent="0.35">
      <c r="A12556">
        <v>4994</v>
      </c>
      <c r="B12556" s="1">
        <v>45908</v>
      </c>
      <c r="C12556" t="s">
        <v>24</v>
      </c>
      <c r="D12556" s="2">
        <v>0</v>
      </c>
      <c r="E12556" s="2">
        <v>97.4</v>
      </c>
      <c r="F12556" t="s">
        <v>13</v>
      </c>
      <c r="G12556" t="s">
        <v>9</v>
      </c>
    </row>
    <row r="12557" spans="1:7" x14ac:dyDescent="0.35">
      <c r="A12557">
        <v>4995</v>
      </c>
      <c r="B12557" s="1">
        <v>45908</v>
      </c>
      <c r="C12557" t="s">
        <v>24</v>
      </c>
      <c r="D12557" s="2">
        <v>1659.9</v>
      </c>
      <c r="E12557" s="2">
        <v>0</v>
      </c>
      <c r="F12557" t="s">
        <v>8</v>
      </c>
      <c r="G12557" t="s">
        <v>9</v>
      </c>
    </row>
    <row r="12558" spans="1:7" x14ac:dyDescent="0.35">
      <c r="A12558">
        <v>4995</v>
      </c>
      <c r="B12558" s="1">
        <v>45908</v>
      </c>
      <c r="C12558" t="s">
        <v>24</v>
      </c>
      <c r="D12558" s="2">
        <v>0</v>
      </c>
      <c r="E12558" s="2">
        <v>1659.9</v>
      </c>
      <c r="F12558" t="s">
        <v>13</v>
      </c>
      <c r="G12558" t="s">
        <v>9</v>
      </c>
    </row>
    <row r="12559" spans="1:7" x14ac:dyDescent="0.35">
      <c r="A12559">
        <v>4996</v>
      </c>
      <c r="B12559" s="1">
        <v>45908</v>
      </c>
      <c r="C12559" t="s">
        <v>24</v>
      </c>
      <c r="D12559" s="2">
        <v>625.29999999999995</v>
      </c>
      <c r="E12559" s="2">
        <v>0</v>
      </c>
      <c r="F12559" t="s">
        <v>8</v>
      </c>
      <c r="G12559" t="s">
        <v>9</v>
      </c>
    </row>
    <row r="12560" spans="1:7" x14ac:dyDescent="0.35">
      <c r="A12560">
        <v>4996</v>
      </c>
      <c r="B12560" s="1">
        <v>45908</v>
      </c>
      <c r="C12560" t="s">
        <v>24</v>
      </c>
      <c r="D12560" s="2">
        <v>0</v>
      </c>
      <c r="E12560" s="2">
        <v>625.29999999999995</v>
      </c>
      <c r="F12560" t="s">
        <v>13</v>
      </c>
      <c r="G12560" t="s">
        <v>9</v>
      </c>
    </row>
    <row r="12561" spans="1:7" x14ac:dyDescent="0.35">
      <c r="A12561">
        <v>4997</v>
      </c>
      <c r="B12561" s="1">
        <v>45908</v>
      </c>
      <c r="C12561" t="s">
        <v>24</v>
      </c>
      <c r="D12561" s="2">
        <v>1846.57</v>
      </c>
      <c r="E12561" s="2">
        <v>0</v>
      </c>
      <c r="F12561" t="s">
        <v>8</v>
      </c>
      <c r="G12561" t="s">
        <v>9</v>
      </c>
    </row>
    <row r="12562" spans="1:7" x14ac:dyDescent="0.35">
      <c r="A12562">
        <v>4997</v>
      </c>
      <c r="B12562" s="1">
        <v>45908</v>
      </c>
      <c r="C12562" t="s">
        <v>24</v>
      </c>
      <c r="D12562" s="2">
        <v>0</v>
      </c>
      <c r="E12562" s="2">
        <v>1846.57</v>
      </c>
      <c r="F12562" t="s">
        <v>13</v>
      </c>
      <c r="G12562" t="s">
        <v>9</v>
      </c>
    </row>
    <row r="12563" spans="1:7" x14ac:dyDescent="0.35">
      <c r="A12563">
        <v>4998</v>
      </c>
      <c r="B12563" s="1">
        <v>45908</v>
      </c>
      <c r="C12563" t="s">
        <v>25</v>
      </c>
      <c r="D12563" s="2">
        <v>1947.24</v>
      </c>
      <c r="E12563" s="2">
        <v>0</v>
      </c>
      <c r="F12563" t="s">
        <v>26</v>
      </c>
      <c r="G12563" t="s">
        <v>20</v>
      </c>
    </row>
    <row r="12564" spans="1:7" x14ac:dyDescent="0.35">
      <c r="A12564">
        <v>4998</v>
      </c>
      <c r="B12564" s="1">
        <v>45908</v>
      </c>
      <c r="C12564" t="s">
        <v>25</v>
      </c>
      <c r="D12564" s="2">
        <v>146.04</v>
      </c>
      <c r="E12564" s="2">
        <v>0</v>
      </c>
      <c r="F12564" t="s">
        <v>27</v>
      </c>
      <c r="G12564" t="s">
        <v>9</v>
      </c>
    </row>
    <row r="12565" spans="1:7" x14ac:dyDescent="0.35">
      <c r="A12565">
        <v>4998</v>
      </c>
      <c r="B12565" s="1">
        <v>45908</v>
      </c>
      <c r="C12565" t="s">
        <v>25</v>
      </c>
      <c r="D12565" s="2">
        <v>0</v>
      </c>
      <c r="E12565" s="2">
        <v>2093.2800000000002</v>
      </c>
      <c r="F12565" t="s">
        <v>28</v>
      </c>
      <c r="G12565" t="s">
        <v>17</v>
      </c>
    </row>
    <row r="12566" spans="1:7" x14ac:dyDescent="0.35">
      <c r="A12566">
        <v>4999</v>
      </c>
      <c r="B12566" s="1">
        <v>45908</v>
      </c>
      <c r="C12566" t="s">
        <v>25</v>
      </c>
      <c r="D12566" s="2">
        <v>512</v>
      </c>
      <c r="E12566" s="2">
        <v>0</v>
      </c>
      <c r="F12566" t="s">
        <v>26</v>
      </c>
      <c r="G12566" t="s">
        <v>20</v>
      </c>
    </row>
    <row r="12567" spans="1:7" x14ac:dyDescent="0.35">
      <c r="A12567">
        <v>4999</v>
      </c>
      <c r="B12567" s="1">
        <v>45908</v>
      </c>
      <c r="C12567" t="s">
        <v>25</v>
      </c>
      <c r="D12567" s="2">
        <v>38.4</v>
      </c>
      <c r="E12567" s="2">
        <v>0</v>
      </c>
      <c r="F12567" t="s">
        <v>27</v>
      </c>
      <c r="G12567" t="s">
        <v>9</v>
      </c>
    </row>
    <row r="12568" spans="1:7" x14ac:dyDescent="0.35">
      <c r="A12568">
        <v>4999</v>
      </c>
      <c r="B12568" s="1">
        <v>45908</v>
      </c>
      <c r="C12568" t="s">
        <v>25</v>
      </c>
      <c r="D12568" s="2">
        <v>0</v>
      </c>
      <c r="E12568" s="2">
        <v>550.4</v>
      </c>
      <c r="F12568" t="s">
        <v>28</v>
      </c>
      <c r="G12568" t="s">
        <v>17</v>
      </c>
    </row>
    <row r="12569" spans="1:7" x14ac:dyDescent="0.35">
      <c r="A12569">
        <v>5000</v>
      </c>
      <c r="B12569" s="1">
        <v>45908</v>
      </c>
      <c r="C12569" t="s">
        <v>25</v>
      </c>
      <c r="D12569" s="2">
        <v>1480.5</v>
      </c>
      <c r="E12569" s="2">
        <v>0</v>
      </c>
      <c r="F12569" t="s">
        <v>26</v>
      </c>
      <c r="G12569" t="s">
        <v>20</v>
      </c>
    </row>
    <row r="12570" spans="1:7" x14ac:dyDescent="0.35">
      <c r="A12570">
        <v>5000</v>
      </c>
      <c r="B12570" s="1">
        <v>45908</v>
      </c>
      <c r="C12570" t="s">
        <v>25</v>
      </c>
      <c r="D12570" s="2">
        <v>111.04</v>
      </c>
      <c r="E12570" s="2">
        <v>0</v>
      </c>
      <c r="F12570" t="s">
        <v>27</v>
      </c>
      <c r="G12570" t="s">
        <v>9</v>
      </c>
    </row>
    <row r="12571" spans="1:7" x14ac:dyDescent="0.35">
      <c r="A12571">
        <v>5000</v>
      </c>
      <c r="B12571" s="1">
        <v>45908</v>
      </c>
      <c r="C12571" t="s">
        <v>25</v>
      </c>
      <c r="D12571" s="2">
        <v>0</v>
      </c>
      <c r="E12571" s="2">
        <v>1591.54</v>
      </c>
      <c r="F12571" t="s">
        <v>28</v>
      </c>
      <c r="G12571" t="s">
        <v>17</v>
      </c>
    </row>
    <row r="12572" spans="1:7" x14ac:dyDescent="0.35">
      <c r="A12572">
        <v>5001</v>
      </c>
      <c r="B12572" s="1">
        <v>45908</v>
      </c>
      <c r="C12572" t="s">
        <v>25</v>
      </c>
      <c r="D12572" s="2">
        <v>3282.76</v>
      </c>
      <c r="E12572" s="2">
        <v>0</v>
      </c>
      <c r="F12572" t="s">
        <v>26</v>
      </c>
      <c r="G12572" t="s">
        <v>20</v>
      </c>
    </row>
    <row r="12573" spans="1:7" x14ac:dyDescent="0.35">
      <c r="A12573">
        <v>5001</v>
      </c>
      <c r="B12573" s="1">
        <v>45908</v>
      </c>
      <c r="C12573" t="s">
        <v>25</v>
      </c>
      <c r="D12573" s="2">
        <v>246.21</v>
      </c>
      <c r="E12573" s="2">
        <v>0</v>
      </c>
      <c r="F12573" t="s">
        <v>27</v>
      </c>
      <c r="G12573" t="s">
        <v>9</v>
      </c>
    </row>
    <row r="12574" spans="1:7" x14ac:dyDescent="0.35">
      <c r="A12574">
        <v>5001</v>
      </c>
      <c r="B12574" s="1">
        <v>45908</v>
      </c>
      <c r="C12574" t="s">
        <v>25</v>
      </c>
      <c r="D12574" s="2">
        <v>0</v>
      </c>
      <c r="E12574" s="2">
        <v>3528.97</v>
      </c>
      <c r="F12574" t="s">
        <v>28</v>
      </c>
      <c r="G12574" t="s">
        <v>17</v>
      </c>
    </row>
    <row r="12575" spans="1:7" x14ac:dyDescent="0.35">
      <c r="A12575">
        <v>5002</v>
      </c>
      <c r="B12575" s="1">
        <v>45908</v>
      </c>
      <c r="C12575" t="s">
        <v>25</v>
      </c>
      <c r="D12575" s="2">
        <v>2451.5</v>
      </c>
      <c r="E12575" s="2">
        <v>0</v>
      </c>
      <c r="F12575" t="s">
        <v>26</v>
      </c>
      <c r="G12575" t="s">
        <v>20</v>
      </c>
    </row>
    <row r="12576" spans="1:7" x14ac:dyDescent="0.35">
      <c r="A12576">
        <v>5002</v>
      </c>
      <c r="B12576" s="1">
        <v>45908</v>
      </c>
      <c r="C12576" t="s">
        <v>25</v>
      </c>
      <c r="D12576" s="2">
        <v>183.86</v>
      </c>
      <c r="E12576" s="2">
        <v>0</v>
      </c>
      <c r="F12576" t="s">
        <v>27</v>
      </c>
      <c r="G12576" t="s">
        <v>9</v>
      </c>
    </row>
    <row r="12577" spans="1:7" x14ac:dyDescent="0.35">
      <c r="A12577">
        <v>5002</v>
      </c>
      <c r="B12577" s="1">
        <v>45908</v>
      </c>
      <c r="C12577" t="s">
        <v>25</v>
      </c>
      <c r="D12577" s="2">
        <v>0</v>
      </c>
      <c r="E12577" s="2">
        <v>2635.36</v>
      </c>
      <c r="F12577" t="s">
        <v>28</v>
      </c>
      <c r="G12577" t="s">
        <v>17</v>
      </c>
    </row>
    <row r="12578" spans="1:7" x14ac:dyDescent="0.35">
      <c r="A12578">
        <v>5003</v>
      </c>
      <c r="B12578" s="1">
        <v>45908</v>
      </c>
      <c r="C12578" t="s">
        <v>25</v>
      </c>
      <c r="D12578" s="2">
        <v>696.06</v>
      </c>
      <c r="E12578" s="2">
        <v>0</v>
      </c>
      <c r="F12578" t="s">
        <v>26</v>
      </c>
      <c r="G12578" t="s">
        <v>20</v>
      </c>
    </row>
    <row r="12579" spans="1:7" x14ac:dyDescent="0.35">
      <c r="A12579">
        <v>5003</v>
      </c>
      <c r="B12579" s="1">
        <v>45908</v>
      </c>
      <c r="C12579" t="s">
        <v>25</v>
      </c>
      <c r="D12579" s="2">
        <v>52.2</v>
      </c>
      <c r="E12579" s="2">
        <v>0</v>
      </c>
      <c r="F12579" t="s">
        <v>27</v>
      </c>
      <c r="G12579" t="s">
        <v>9</v>
      </c>
    </row>
    <row r="12580" spans="1:7" x14ac:dyDescent="0.35">
      <c r="A12580">
        <v>5003</v>
      </c>
      <c r="B12580" s="1">
        <v>45908</v>
      </c>
      <c r="C12580" t="s">
        <v>25</v>
      </c>
      <c r="D12580" s="2">
        <v>0</v>
      </c>
      <c r="E12580" s="2">
        <v>748.26</v>
      </c>
      <c r="F12580" t="s">
        <v>28</v>
      </c>
      <c r="G12580" t="s">
        <v>17</v>
      </c>
    </row>
    <row r="12581" spans="1:7" x14ac:dyDescent="0.35">
      <c r="A12581">
        <v>5004</v>
      </c>
      <c r="B12581" s="1">
        <v>45908</v>
      </c>
      <c r="C12581" t="s">
        <v>25</v>
      </c>
      <c r="D12581" s="2">
        <v>187.44</v>
      </c>
      <c r="E12581" s="2">
        <v>0</v>
      </c>
      <c r="F12581" t="s">
        <v>26</v>
      </c>
      <c r="G12581" t="s">
        <v>20</v>
      </c>
    </row>
    <row r="12582" spans="1:7" x14ac:dyDescent="0.35">
      <c r="A12582">
        <v>5004</v>
      </c>
      <c r="B12582" s="1">
        <v>45908</v>
      </c>
      <c r="C12582" t="s">
        <v>25</v>
      </c>
      <c r="D12582" s="2">
        <v>14.06</v>
      </c>
      <c r="E12582" s="2">
        <v>0</v>
      </c>
      <c r="F12582" t="s">
        <v>27</v>
      </c>
      <c r="G12582" t="s">
        <v>9</v>
      </c>
    </row>
    <row r="12583" spans="1:7" x14ac:dyDescent="0.35">
      <c r="A12583">
        <v>5004</v>
      </c>
      <c r="B12583" s="1">
        <v>45908</v>
      </c>
      <c r="C12583" t="s">
        <v>25</v>
      </c>
      <c r="D12583" s="2">
        <v>0</v>
      </c>
      <c r="E12583" s="2">
        <v>201.5</v>
      </c>
      <c r="F12583" t="s">
        <v>28</v>
      </c>
      <c r="G12583" t="s">
        <v>17</v>
      </c>
    </row>
    <row r="12584" spans="1:7" x14ac:dyDescent="0.35">
      <c r="A12584">
        <v>5005</v>
      </c>
      <c r="B12584" s="1">
        <v>45908</v>
      </c>
      <c r="C12584" t="s">
        <v>29</v>
      </c>
      <c r="D12584" s="2">
        <v>4812.46</v>
      </c>
      <c r="E12584" s="2">
        <v>0</v>
      </c>
      <c r="F12584" t="s">
        <v>28</v>
      </c>
      <c r="G12584" t="s">
        <v>17</v>
      </c>
    </row>
    <row r="12585" spans="1:7" x14ac:dyDescent="0.35">
      <c r="A12585">
        <v>5005</v>
      </c>
      <c r="B12585" s="1">
        <v>45908</v>
      </c>
      <c r="C12585" t="s">
        <v>29</v>
      </c>
      <c r="D12585" s="2">
        <v>0</v>
      </c>
      <c r="E12585" s="2">
        <v>4812.46</v>
      </c>
      <c r="F12585" t="s">
        <v>8</v>
      </c>
      <c r="G12585" t="s">
        <v>9</v>
      </c>
    </row>
    <row r="12586" spans="1:7" x14ac:dyDescent="0.35">
      <c r="A12586">
        <v>5006</v>
      </c>
      <c r="B12586" s="1">
        <v>45908</v>
      </c>
      <c r="C12586" t="s">
        <v>29</v>
      </c>
      <c r="D12586" s="2">
        <v>201.5</v>
      </c>
      <c r="E12586" s="2">
        <v>0</v>
      </c>
      <c r="F12586" t="s">
        <v>28</v>
      </c>
      <c r="G12586" t="s">
        <v>17</v>
      </c>
    </row>
    <row r="12587" spans="1:7" x14ac:dyDescent="0.35">
      <c r="A12587">
        <v>5006</v>
      </c>
      <c r="B12587" s="1">
        <v>45908</v>
      </c>
      <c r="C12587" t="s">
        <v>29</v>
      </c>
      <c r="D12587" s="2">
        <v>0</v>
      </c>
      <c r="E12587" s="2">
        <v>201.5</v>
      </c>
      <c r="F12587" t="s">
        <v>8</v>
      </c>
      <c r="G12587" t="s">
        <v>9</v>
      </c>
    </row>
    <row r="12588" spans="1:7" x14ac:dyDescent="0.35">
      <c r="A12588">
        <v>5007</v>
      </c>
      <c r="B12588" s="1">
        <v>45908</v>
      </c>
      <c r="C12588" t="s">
        <v>29</v>
      </c>
      <c r="D12588" s="2">
        <v>1766.46</v>
      </c>
      <c r="E12588" s="2">
        <v>0</v>
      </c>
      <c r="F12588" t="s">
        <v>28</v>
      </c>
      <c r="G12588" t="s">
        <v>17</v>
      </c>
    </row>
    <row r="12589" spans="1:7" x14ac:dyDescent="0.35">
      <c r="A12589">
        <v>5007</v>
      </c>
      <c r="B12589" s="1">
        <v>45908</v>
      </c>
      <c r="C12589" t="s">
        <v>29</v>
      </c>
      <c r="D12589" s="2">
        <v>0</v>
      </c>
      <c r="E12589" s="2">
        <v>1766.46</v>
      </c>
      <c r="F12589" t="s">
        <v>8</v>
      </c>
      <c r="G12589" t="s">
        <v>9</v>
      </c>
    </row>
    <row r="12590" spans="1:7" x14ac:dyDescent="0.35">
      <c r="A12590">
        <v>5008</v>
      </c>
      <c r="B12590" s="1">
        <v>45908</v>
      </c>
      <c r="C12590" t="s">
        <v>29</v>
      </c>
      <c r="D12590" s="2">
        <v>1159.8399999999999</v>
      </c>
      <c r="E12590" s="2">
        <v>0</v>
      </c>
      <c r="F12590" t="s">
        <v>28</v>
      </c>
      <c r="G12590" t="s">
        <v>17</v>
      </c>
    </row>
    <row r="12591" spans="1:7" x14ac:dyDescent="0.35">
      <c r="A12591">
        <v>5008</v>
      </c>
      <c r="B12591" s="1">
        <v>45908</v>
      </c>
      <c r="C12591" t="s">
        <v>29</v>
      </c>
      <c r="D12591" s="2">
        <v>0</v>
      </c>
      <c r="E12591" s="2">
        <v>1159.8399999999999</v>
      </c>
      <c r="F12591" t="s">
        <v>8</v>
      </c>
      <c r="G12591" t="s">
        <v>9</v>
      </c>
    </row>
    <row r="12592" spans="1:7" x14ac:dyDescent="0.35">
      <c r="A12592">
        <v>5009</v>
      </c>
      <c r="B12592" s="1">
        <v>45908</v>
      </c>
      <c r="C12592" t="s">
        <v>29</v>
      </c>
      <c r="D12592" s="2">
        <v>1958.74</v>
      </c>
      <c r="E12592" s="2">
        <v>0</v>
      </c>
      <c r="F12592" t="s">
        <v>28</v>
      </c>
      <c r="G12592" t="s">
        <v>17</v>
      </c>
    </row>
    <row r="12593" spans="1:7" x14ac:dyDescent="0.35">
      <c r="A12593">
        <v>5009</v>
      </c>
      <c r="B12593" s="1">
        <v>45908</v>
      </c>
      <c r="C12593" t="s">
        <v>29</v>
      </c>
      <c r="D12593" s="2">
        <v>0</v>
      </c>
      <c r="E12593" s="2">
        <v>1958.74</v>
      </c>
      <c r="F12593" t="s">
        <v>8</v>
      </c>
      <c r="G12593" t="s">
        <v>9</v>
      </c>
    </row>
    <row r="12594" spans="1:7" x14ac:dyDescent="0.35">
      <c r="A12594">
        <v>5010</v>
      </c>
      <c r="B12594" s="1">
        <v>45908</v>
      </c>
      <c r="C12594" t="s">
        <v>29</v>
      </c>
      <c r="D12594" s="2">
        <v>748.26</v>
      </c>
      <c r="E12594" s="2">
        <v>0</v>
      </c>
      <c r="F12594" t="s">
        <v>28</v>
      </c>
      <c r="G12594" t="s">
        <v>17</v>
      </c>
    </row>
    <row r="12595" spans="1:7" x14ac:dyDescent="0.35">
      <c r="A12595">
        <v>5010</v>
      </c>
      <c r="B12595" s="1">
        <v>45908</v>
      </c>
      <c r="C12595" t="s">
        <v>29</v>
      </c>
      <c r="D12595" s="2">
        <v>0</v>
      </c>
      <c r="E12595" s="2">
        <v>748.26</v>
      </c>
      <c r="F12595" t="s">
        <v>8</v>
      </c>
      <c r="G12595" t="s">
        <v>9</v>
      </c>
    </row>
    <row r="12596" spans="1:7" x14ac:dyDescent="0.35">
      <c r="A12596">
        <v>5011</v>
      </c>
      <c r="B12596" s="1">
        <v>45909</v>
      </c>
      <c r="C12596" t="s">
        <v>12</v>
      </c>
      <c r="D12596" s="2">
        <v>2767.99</v>
      </c>
      <c r="E12596" s="2">
        <v>0</v>
      </c>
      <c r="F12596" t="s">
        <v>13</v>
      </c>
      <c r="G12596" t="s">
        <v>9</v>
      </c>
    </row>
    <row r="12597" spans="1:7" x14ac:dyDescent="0.35">
      <c r="A12597">
        <v>5011</v>
      </c>
      <c r="B12597" s="1">
        <v>45909</v>
      </c>
      <c r="C12597" t="s">
        <v>12</v>
      </c>
      <c r="D12597" s="2">
        <v>0</v>
      </c>
      <c r="E12597" s="2">
        <v>2574.87</v>
      </c>
      <c r="F12597" t="s">
        <v>14</v>
      </c>
      <c r="G12597" t="s">
        <v>15</v>
      </c>
    </row>
    <row r="12598" spans="1:7" x14ac:dyDescent="0.35">
      <c r="A12598">
        <v>5011</v>
      </c>
      <c r="B12598" s="1">
        <v>45909</v>
      </c>
      <c r="C12598" t="s">
        <v>12</v>
      </c>
      <c r="D12598" s="2">
        <v>0</v>
      </c>
      <c r="E12598" s="2">
        <v>193.12</v>
      </c>
      <c r="F12598" t="s">
        <v>16</v>
      </c>
      <c r="G12598" t="s">
        <v>17</v>
      </c>
    </row>
    <row r="12599" spans="1:7" x14ac:dyDescent="0.35">
      <c r="A12599">
        <v>5012</v>
      </c>
      <c r="B12599" s="1">
        <v>45909</v>
      </c>
      <c r="C12599" t="s">
        <v>12</v>
      </c>
      <c r="D12599" s="2">
        <v>4992.6400000000003</v>
      </c>
      <c r="E12599" s="2">
        <v>0</v>
      </c>
      <c r="F12599" t="s">
        <v>13</v>
      </c>
      <c r="G12599" t="s">
        <v>9</v>
      </c>
    </row>
    <row r="12600" spans="1:7" x14ac:dyDescent="0.35">
      <c r="A12600">
        <v>5012</v>
      </c>
      <c r="B12600" s="1">
        <v>45909</v>
      </c>
      <c r="C12600" t="s">
        <v>12</v>
      </c>
      <c r="D12600" s="2">
        <v>0</v>
      </c>
      <c r="E12600" s="2">
        <v>4644.3100000000004</v>
      </c>
      <c r="F12600" t="s">
        <v>14</v>
      </c>
      <c r="G12600" t="s">
        <v>15</v>
      </c>
    </row>
    <row r="12601" spans="1:7" x14ac:dyDescent="0.35">
      <c r="A12601">
        <v>5012</v>
      </c>
      <c r="B12601" s="1">
        <v>45909</v>
      </c>
      <c r="C12601" t="s">
        <v>12</v>
      </c>
      <c r="D12601" s="2">
        <v>0</v>
      </c>
      <c r="E12601" s="2">
        <v>348.33</v>
      </c>
      <c r="F12601" t="s">
        <v>16</v>
      </c>
      <c r="G12601" t="s">
        <v>17</v>
      </c>
    </row>
    <row r="12602" spans="1:7" x14ac:dyDescent="0.35">
      <c r="A12602">
        <v>5013</v>
      </c>
      <c r="B12602" s="1">
        <v>45909</v>
      </c>
      <c r="C12602" t="s">
        <v>12</v>
      </c>
      <c r="D12602" s="2">
        <v>2368.0700000000002</v>
      </c>
      <c r="E12602" s="2">
        <v>0</v>
      </c>
      <c r="F12602" t="s">
        <v>13</v>
      </c>
      <c r="G12602" t="s">
        <v>9</v>
      </c>
    </row>
    <row r="12603" spans="1:7" x14ac:dyDescent="0.35">
      <c r="A12603">
        <v>5013</v>
      </c>
      <c r="B12603" s="1">
        <v>45909</v>
      </c>
      <c r="C12603" t="s">
        <v>12</v>
      </c>
      <c r="D12603" s="2">
        <v>0</v>
      </c>
      <c r="E12603" s="2">
        <v>2202.86</v>
      </c>
      <c r="F12603" t="s">
        <v>14</v>
      </c>
      <c r="G12603" t="s">
        <v>15</v>
      </c>
    </row>
    <row r="12604" spans="1:7" x14ac:dyDescent="0.35">
      <c r="A12604">
        <v>5013</v>
      </c>
      <c r="B12604" s="1">
        <v>45909</v>
      </c>
      <c r="C12604" t="s">
        <v>12</v>
      </c>
      <c r="D12604" s="2">
        <v>0</v>
      </c>
      <c r="E12604" s="2">
        <v>165.21</v>
      </c>
      <c r="F12604" t="s">
        <v>16</v>
      </c>
      <c r="G12604" t="s">
        <v>17</v>
      </c>
    </row>
    <row r="12605" spans="1:7" x14ac:dyDescent="0.35">
      <c r="A12605">
        <v>5014</v>
      </c>
      <c r="B12605" s="1">
        <v>45909</v>
      </c>
      <c r="C12605" t="s">
        <v>12</v>
      </c>
      <c r="D12605" s="2">
        <v>1888.92</v>
      </c>
      <c r="E12605" s="2">
        <v>0</v>
      </c>
      <c r="F12605" t="s">
        <v>13</v>
      </c>
      <c r="G12605" t="s">
        <v>9</v>
      </c>
    </row>
    <row r="12606" spans="1:7" x14ac:dyDescent="0.35">
      <c r="A12606">
        <v>5014</v>
      </c>
      <c r="B12606" s="1">
        <v>45909</v>
      </c>
      <c r="C12606" t="s">
        <v>12</v>
      </c>
      <c r="D12606" s="2">
        <v>0</v>
      </c>
      <c r="E12606" s="2">
        <v>1757.13</v>
      </c>
      <c r="F12606" t="s">
        <v>14</v>
      </c>
      <c r="G12606" t="s">
        <v>15</v>
      </c>
    </row>
    <row r="12607" spans="1:7" x14ac:dyDescent="0.35">
      <c r="A12607">
        <v>5014</v>
      </c>
      <c r="B12607" s="1">
        <v>45909</v>
      </c>
      <c r="C12607" t="s">
        <v>12</v>
      </c>
      <c r="D12607" s="2">
        <v>0</v>
      </c>
      <c r="E12607" s="2">
        <v>131.79</v>
      </c>
      <c r="F12607" t="s">
        <v>16</v>
      </c>
      <c r="G12607" t="s">
        <v>17</v>
      </c>
    </row>
    <row r="12608" spans="1:7" x14ac:dyDescent="0.35">
      <c r="A12608">
        <v>5015</v>
      </c>
      <c r="B12608" s="1">
        <v>45909</v>
      </c>
      <c r="C12608" t="s">
        <v>12</v>
      </c>
      <c r="D12608" s="2">
        <v>734.88</v>
      </c>
      <c r="E12608" s="2">
        <v>0</v>
      </c>
      <c r="F12608" t="s">
        <v>13</v>
      </c>
      <c r="G12608" t="s">
        <v>9</v>
      </c>
    </row>
    <row r="12609" spans="1:7" x14ac:dyDescent="0.35">
      <c r="A12609">
        <v>5015</v>
      </c>
      <c r="B12609" s="1">
        <v>45909</v>
      </c>
      <c r="C12609" t="s">
        <v>12</v>
      </c>
      <c r="D12609" s="2">
        <v>0</v>
      </c>
      <c r="E12609" s="2">
        <v>683.61</v>
      </c>
      <c r="F12609" t="s">
        <v>14</v>
      </c>
      <c r="G12609" t="s">
        <v>15</v>
      </c>
    </row>
    <row r="12610" spans="1:7" x14ac:dyDescent="0.35">
      <c r="A12610">
        <v>5015</v>
      </c>
      <c r="B12610" s="1">
        <v>45909</v>
      </c>
      <c r="C12610" t="s">
        <v>12</v>
      </c>
      <c r="D12610" s="2">
        <v>0</v>
      </c>
      <c r="E12610" s="2">
        <v>51.27</v>
      </c>
      <c r="F12610" t="s">
        <v>16</v>
      </c>
      <c r="G12610" t="s">
        <v>17</v>
      </c>
    </row>
    <row r="12611" spans="1:7" x14ac:dyDescent="0.35">
      <c r="A12611">
        <v>5016</v>
      </c>
      <c r="B12611" s="1">
        <v>45909</v>
      </c>
      <c r="C12611" t="s">
        <v>24</v>
      </c>
      <c r="D12611" s="2">
        <v>4775.1499999999996</v>
      </c>
      <c r="E12611" s="2">
        <v>0</v>
      </c>
      <c r="F12611" t="s">
        <v>8</v>
      </c>
      <c r="G12611" t="s">
        <v>9</v>
      </c>
    </row>
    <row r="12612" spans="1:7" x14ac:dyDescent="0.35">
      <c r="A12612">
        <v>5016</v>
      </c>
      <c r="B12612" s="1">
        <v>45909</v>
      </c>
      <c r="C12612" t="s">
        <v>24</v>
      </c>
      <c r="D12612" s="2">
        <v>0</v>
      </c>
      <c r="E12612" s="2">
        <v>4775.1499999999996</v>
      </c>
      <c r="F12612" t="s">
        <v>13</v>
      </c>
      <c r="G12612" t="s">
        <v>9</v>
      </c>
    </row>
    <row r="12613" spans="1:7" x14ac:dyDescent="0.35">
      <c r="A12613">
        <v>5017</v>
      </c>
      <c r="B12613" s="1">
        <v>45909</v>
      </c>
      <c r="C12613" t="s">
        <v>24</v>
      </c>
      <c r="D12613" s="2">
        <v>634.92999999999995</v>
      </c>
      <c r="E12613" s="2">
        <v>0</v>
      </c>
      <c r="F12613" t="s">
        <v>8</v>
      </c>
      <c r="G12613" t="s">
        <v>9</v>
      </c>
    </row>
    <row r="12614" spans="1:7" x14ac:dyDescent="0.35">
      <c r="A12614">
        <v>5017</v>
      </c>
      <c r="B12614" s="1">
        <v>45909</v>
      </c>
      <c r="C12614" t="s">
        <v>24</v>
      </c>
      <c r="D12614" s="2">
        <v>0</v>
      </c>
      <c r="E12614" s="2">
        <v>634.92999999999995</v>
      </c>
      <c r="F12614" t="s">
        <v>13</v>
      </c>
      <c r="G12614" t="s">
        <v>9</v>
      </c>
    </row>
    <row r="12615" spans="1:7" x14ac:dyDescent="0.35">
      <c r="A12615">
        <v>5018</v>
      </c>
      <c r="B12615" s="1">
        <v>45909</v>
      </c>
      <c r="C12615" t="s">
        <v>24</v>
      </c>
      <c r="D12615" s="2">
        <v>2368.0700000000002</v>
      </c>
      <c r="E12615" s="2">
        <v>0</v>
      </c>
      <c r="F12615" t="s">
        <v>8</v>
      </c>
      <c r="G12615" t="s">
        <v>9</v>
      </c>
    </row>
    <row r="12616" spans="1:7" x14ac:dyDescent="0.35">
      <c r="A12616">
        <v>5018</v>
      </c>
      <c r="B12616" s="1">
        <v>45909</v>
      </c>
      <c r="C12616" t="s">
        <v>24</v>
      </c>
      <c r="D12616" s="2">
        <v>0</v>
      </c>
      <c r="E12616" s="2">
        <v>2368.0700000000002</v>
      </c>
      <c r="F12616" t="s">
        <v>13</v>
      </c>
      <c r="G12616" t="s">
        <v>9</v>
      </c>
    </row>
    <row r="12617" spans="1:7" x14ac:dyDescent="0.35">
      <c r="A12617">
        <v>5019</v>
      </c>
      <c r="B12617" s="1">
        <v>45909</v>
      </c>
      <c r="C12617" t="s">
        <v>29</v>
      </c>
      <c r="D12617" s="2">
        <v>412.54</v>
      </c>
      <c r="E12617" s="2">
        <v>0</v>
      </c>
      <c r="F12617" t="s">
        <v>28</v>
      </c>
      <c r="G12617" t="s">
        <v>17</v>
      </c>
    </row>
    <row r="12618" spans="1:7" x14ac:dyDescent="0.35">
      <c r="A12618">
        <v>5019</v>
      </c>
      <c r="B12618" s="1">
        <v>45909</v>
      </c>
      <c r="C12618" t="s">
        <v>29</v>
      </c>
      <c r="D12618" s="2">
        <v>0</v>
      </c>
      <c r="E12618" s="2">
        <v>412.54</v>
      </c>
      <c r="F12618" t="s">
        <v>8</v>
      </c>
      <c r="G12618" t="s">
        <v>9</v>
      </c>
    </row>
    <row r="12619" spans="1:7" x14ac:dyDescent="0.35">
      <c r="A12619">
        <v>5020</v>
      </c>
      <c r="B12619" s="1">
        <v>45909</v>
      </c>
      <c r="C12619" t="s">
        <v>29</v>
      </c>
      <c r="D12619" s="2">
        <v>1794.11</v>
      </c>
      <c r="E12619" s="2">
        <v>0</v>
      </c>
      <c r="F12619" t="s">
        <v>28</v>
      </c>
      <c r="G12619" t="s">
        <v>17</v>
      </c>
    </row>
    <row r="12620" spans="1:7" x14ac:dyDescent="0.35">
      <c r="A12620">
        <v>5020</v>
      </c>
      <c r="B12620" s="1">
        <v>45909</v>
      </c>
      <c r="C12620" t="s">
        <v>29</v>
      </c>
      <c r="D12620" s="2">
        <v>0</v>
      </c>
      <c r="E12620" s="2">
        <v>1794.11</v>
      </c>
      <c r="F12620" t="s">
        <v>8</v>
      </c>
      <c r="G12620" t="s">
        <v>9</v>
      </c>
    </row>
    <row r="12621" spans="1:7" x14ac:dyDescent="0.35">
      <c r="A12621">
        <v>5021</v>
      </c>
      <c r="B12621" s="1">
        <v>45909</v>
      </c>
      <c r="C12621" t="s">
        <v>29</v>
      </c>
      <c r="D12621" s="2">
        <v>2093.2800000000002</v>
      </c>
      <c r="E12621" s="2">
        <v>0</v>
      </c>
      <c r="F12621" t="s">
        <v>28</v>
      </c>
      <c r="G12621" t="s">
        <v>17</v>
      </c>
    </row>
    <row r="12622" spans="1:7" x14ac:dyDescent="0.35">
      <c r="A12622">
        <v>5021</v>
      </c>
      <c r="B12622" s="1">
        <v>45909</v>
      </c>
      <c r="C12622" t="s">
        <v>29</v>
      </c>
      <c r="D12622" s="2">
        <v>0</v>
      </c>
      <c r="E12622" s="2">
        <v>2093.2800000000002</v>
      </c>
      <c r="F12622" t="s">
        <v>8</v>
      </c>
      <c r="G12622" t="s">
        <v>9</v>
      </c>
    </row>
    <row r="12623" spans="1:7" x14ac:dyDescent="0.35">
      <c r="A12623">
        <v>5022</v>
      </c>
      <c r="B12623" s="1">
        <v>45910</v>
      </c>
      <c r="C12623" t="s">
        <v>12</v>
      </c>
      <c r="D12623" s="2">
        <v>1093.42</v>
      </c>
      <c r="E12623" s="2">
        <v>0</v>
      </c>
      <c r="F12623" t="s">
        <v>13</v>
      </c>
      <c r="G12623" t="s">
        <v>9</v>
      </c>
    </row>
    <row r="12624" spans="1:7" x14ac:dyDescent="0.35">
      <c r="A12624">
        <v>5022</v>
      </c>
      <c r="B12624" s="1">
        <v>45910</v>
      </c>
      <c r="C12624" t="s">
        <v>12</v>
      </c>
      <c r="D12624" s="2">
        <v>0</v>
      </c>
      <c r="E12624" s="2">
        <v>1017.13</v>
      </c>
      <c r="F12624" t="s">
        <v>14</v>
      </c>
      <c r="G12624" t="s">
        <v>15</v>
      </c>
    </row>
    <row r="12625" spans="1:7" x14ac:dyDescent="0.35">
      <c r="A12625">
        <v>5022</v>
      </c>
      <c r="B12625" s="1">
        <v>45910</v>
      </c>
      <c r="C12625" t="s">
        <v>12</v>
      </c>
      <c r="D12625" s="2">
        <v>0</v>
      </c>
      <c r="E12625" s="2">
        <v>76.290000000000006</v>
      </c>
      <c r="F12625" t="s">
        <v>16</v>
      </c>
      <c r="G12625" t="s">
        <v>17</v>
      </c>
    </row>
    <row r="12626" spans="1:7" x14ac:dyDescent="0.35">
      <c r="A12626">
        <v>5023</v>
      </c>
      <c r="B12626" s="1">
        <v>45910</v>
      </c>
      <c r="C12626" t="s">
        <v>12</v>
      </c>
      <c r="D12626" s="2">
        <v>4249.3599999999997</v>
      </c>
      <c r="E12626" s="2">
        <v>0</v>
      </c>
      <c r="F12626" t="s">
        <v>13</v>
      </c>
      <c r="G12626" t="s">
        <v>9</v>
      </c>
    </row>
    <row r="12627" spans="1:7" x14ac:dyDescent="0.35">
      <c r="A12627">
        <v>5023</v>
      </c>
      <c r="B12627" s="1">
        <v>45910</v>
      </c>
      <c r="C12627" t="s">
        <v>12</v>
      </c>
      <c r="D12627" s="2">
        <v>0</v>
      </c>
      <c r="E12627" s="2">
        <v>3952.89</v>
      </c>
      <c r="F12627" t="s">
        <v>14</v>
      </c>
      <c r="G12627" t="s">
        <v>15</v>
      </c>
    </row>
    <row r="12628" spans="1:7" x14ac:dyDescent="0.35">
      <c r="A12628">
        <v>5023</v>
      </c>
      <c r="B12628" s="1">
        <v>45910</v>
      </c>
      <c r="C12628" t="s">
        <v>12</v>
      </c>
      <c r="D12628" s="2">
        <v>0</v>
      </c>
      <c r="E12628" s="2">
        <v>296.47000000000003</v>
      </c>
      <c r="F12628" t="s">
        <v>16</v>
      </c>
      <c r="G12628" t="s">
        <v>17</v>
      </c>
    </row>
    <row r="12629" spans="1:7" x14ac:dyDescent="0.35">
      <c r="A12629">
        <v>5024</v>
      </c>
      <c r="B12629" s="1">
        <v>45910</v>
      </c>
      <c r="C12629" t="s">
        <v>12</v>
      </c>
      <c r="D12629" s="2">
        <v>2818.02</v>
      </c>
      <c r="E12629" s="2">
        <v>0</v>
      </c>
      <c r="F12629" t="s">
        <v>13</v>
      </c>
      <c r="G12629" t="s">
        <v>9</v>
      </c>
    </row>
    <row r="12630" spans="1:7" x14ac:dyDescent="0.35">
      <c r="A12630">
        <v>5024</v>
      </c>
      <c r="B12630" s="1">
        <v>45910</v>
      </c>
      <c r="C12630" t="s">
        <v>12</v>
      </c>
      <c r="D12630" s="2">
        <v>0</v>
      </c>
      <c r="E12630" s="2">
        <v>2621.42</v>
      </c>
      <c r="F12630" t="s">
        <v>14</v>
      </c>
      <c r="G12630" t="s">
        <v>15</v>
      </c>
    </row>
    <row r="12631" spans="1:7" x14ac:dyDescent="0.35">
      <c r="A12631">
        <v>5024</v>
      </c>
      <c r="B12631" s="1">
        <v>45910</v>
      </c>
      <c r="C12631" t="s">
        <v>12</v>
      </c>
      <c r="D12631" s="2">
        <v>0</v>
      </c>
      <c r="E12631" s="2">
        <v>196.6</v>
      </c>
      <c r="F12631" t="s">
        <v>16</v>
      </c>
      <c r="G12631" t="s">
        <v>17</v>
      </c>
    </row>
    <row r="12632" spans="1:7" x14ac:dyDescent="0.35">
      <c r="A12632">
        <v>5025</v>
      </c>
      <c r="B12632" s="1">
        <v>45910</v>
      </c>
      <c r="C12632" t="s">
        <v>12</v>
      </c>
      <c r="D12632" s="2">
        <v>1414.55</v>
      </c>
      <c r="E12632" s="2">
        <v>0</v>
      </c>
      <c r="F12632" t="s">
        <v>13</v>
      </c>
      <c r="G12632" t="s">
        <v>9</v>
      </c>
    </row>
    <row r="12633" spans="1:7" x14ac:dyDescent="0.35">
      <c r="A12633">
        <v>5025</v>
      </c>
      <c r="B12633" s="1">
        <v>45910</v>
      </c>
      <c r="C12633" t="s">
        <v>12</v>
      </c>
      <c r="D12633" s="2">
        <v>0</v>
      </c>
      <c r="E12633" s="2">
        <v>1315.86</v>
      </c>
      <c r="F12633" t="s">
        <v>14</v>
      </c>
      <c r="G12633" t="s">
        <v>15</v>
      </c>
    </row>
    <row r="12634" spans="1:7" x14ac:dyDescent="0.35">
      <c r="A12634">
        <v>5025</v>
      </c>
      <c r="B12634" s="1">
        <v>45910</v>
      </c>
      <c r="C12634" t="s">
        <v>12</v>
      </c>
      <c r="D12634" s="2">
        <v>0</v>
      </c>
      <c r="E12634" s="2">
        <v>98.69</v>
      </c>
      <c r="F12634" t="s">
        <v>16</v>
      </c>
      <c r="G12634" t="s">
        <v>17</v>
      </c>
    </row>
    <row r="12635" spans="1:7" x14ac:dyDescent="0.35">
      <c r="A12635">
        <v>5026</v>
      </c>
      <c r="B12635" s="1">
        <v>45910</v>
      </c>
      <c r="C12635" t="s">
        <v>12</v>
      </c>
      <c r="D12635" s="2">
        <v>852.99</v>
      </c>
      <c r="E12635" s="2">
        <v>0</v>
      </c>
      <c r="F12635" t="s">
        <v>13</v>
      </c>
      <c r="G12635" t="s">
        <v>9</v>
      </c>
    </row>
    <row r="12636" spans="1:7" x14ac:dyDescent="0.35">
      <c r="A12636">
        <v>5026</v>
      </c>
      <c r="B12636" s="1">
        <v>45910</v>
      </c>
      <c r="C12636" t="s">
        <v>12</v>
      </c>
      <c r="D12636" s="2">
        <v>0</v>
      </c>
      <c r="E12636" s="2">
        <v>793.48</v>
      </c>
      <c r="F12636" t="s">
        <v>14</v>
      </c>
      <c r="G12636" t="s">
        <v>15</v>
      </c>
    </row>
    <row r="12637" spans="1:7" x14ac:dyDescent="0.35">
      <c r="A12637">
        <v>5026</v>
      </c>
      <c r="B12637" s="1">
        <v>45910</v>
      </c>
      <c r="C12637" t="s">
        <v>12</v>
      </c>
      <c r="D12637" s="2">
        <v>0</v>
      </c>
      <c r="E12637" s="2">
        <v>59.51</v>
      </c>
      <c r="F12637" t="s">
        <v>16</v>
      </c>
      <c r="G12637" t="s">
        <v>17</v>
      </c>
    </row>
    <row r="12638" spans="1:7" x14ac:dyDescent="0.35">
      <c r="A12638">
        <v>5027</v>
      </c>
      <c r="B12638" s="1">
        <v>45910</v>
      </c>
      <c r="C12638" t="s">
        <v>12</v>
      </c>
      <c r="D12638" s="2">
        <v>3253.68</v>
      </c>
      <c r="E12638" s="2">
        <v>0</v>
      </c>
      <c r="F12638" t="s">
        <v>13</v>
      </c>
      <c r="G12638" t="s">
        <v>9</v>
      </c>
    </row>
    <row r="12639" spans="1:7" x14ac:dyDescent="0.35">
      <c r="A12639">
        <v>5027</v>
      </c>
      <c r="B12639" s="1">
        <v>45910</v>
      </c>
      <c r="C12639" t="s">
        <v>12</v>
      </c>
      <c r="D12639" s="2">
        <v>0</v>
      </c>
      <c r="E12639" s="2">
        <v>3026.68</v>
      </c>
      <c r="F12639" t="s">
        <v>14</v>
      </c>
      <c r="G12639" t="s">
        <v>15</v>
      </c>
    </row>
    <row r="12640" spans="1:7" x14ac:dyDescent="0.35">
      <c r="A12640">
        <v>5027</v>
      </c>
      <c r="B12640" s="1">
        <v>45910</v>
      </c>
      <c r="C12640" t="s">
        <v>12</v>
      </c>
      <c r="D12640" s="2">
        <v>0</v>
      </c>
      <c r="E12640" s="2">
        <v>227</v>
      </c>
      <c r="F12640" t="s">
        <v>16</v>
      </c>
      <c r="G12640" t="s">
        <v>17</v>
      </c>
    </row>
    <row r="12641" spans="1:7" x14ac:dyDescent="0.35">
      <c r="A12641">
        <v>5028</v>
      </c>
      <c r="B12641" s="1">
        <v>45910</v>
      </c>
      <c r="C12641" t="s">
        <v>12</v>
      </c>
      <c r="D12641" s="2">
        <v>2919.11</v>
      </c>
      <c r="E12641" s="2">
        <v>0</v>
      </c>
      <c r="F12641" t="s">
        <v>13</v>
      </c>
      <c r="G12641" t="s">
        <v>9</v>
      </c>
    </row>
    <row r="12642" spans="1:7" x14ac:dyDescent="0.35">
      <c r="A12642">
        <v>5028</v>
      </c>
      <c r="B12642" s="1">
        <v>45910</v>
      </c>
      <c r="C12642" t="s">
        <v>12</v>
      </c>
      <c r="D12642" s="2">
        <v>0</v>
      </c>
      <c r="E12642" s="2">
        <v>2715.46</v>
      </c>
      <c r="F12642" t="s">
        <v>14</v>
      </c>
      <c r="G12642" t="s">
        <v>15</v>
      </c>
    </row>
    <row r="12643" spans="1:7" x14ac:dyDescent="0.35">
      <c r="A12643">
        <v>5028</v>
      </c>
      <c r="B12643" s="1">
        <v>45910</v>
      </c>
      <c r="C12643" t="s">
        <v>12</v>
      </c>
      <c r="D12643" s="2">
        <v>0</v>
      </c>
      <c r="E12643" s="2">
        <v>203.65</v>
      </c>
      <c r="F12643" t="s">
        <v>16</v>
      </c>
      <c r="G12643" t="s">
        <v>17</v>
      </c>
    </row>
    <row r="12644" spans="1:7" x14ac:dyDescent="0.35">
      <c r="A12644">
        <v>5029</v>
      </c>
      <c r="B12644" s="1">
        <v>45910</v>
      </c>
      <c r="C12644" t="s">
        <v>12</v>
      </c>
      <c r="D12644" s="2">
        <v>3699.7</v>
      </c>
      <c r="E12644" s="2">
        <v>0</v>
      </c>
      <c r="F12644" t="s">
        <v>13</v>
      </c>
      <c r="G12644" t="s">
        <v>9</v>
      </c>
    </row>
    <row r="12645" spans="1:7" x14ac:dyDescent="0.35">
      <c r="A12645">
        <v>5029</v>
      </c>
      <c r="B12645" s="1">
        <v>45910</v>
      </c>
      <c r="C12645" t="s">
        <v>12</v>
      </c>
      <c r="D12645" s="2">
        <v>0</v>
      </c>
      <c r="E12645" s="2">
        <v>3441.58</v>
      </c>
      <c r="F12645" t="s">
        <v>14</v>
      </c>
      <c r="G12645" t="s">
        <v>15</v>
      </c>
    </row>
    <row r="12646" spans="1:7" x14ac:dyDescent="0.35">
      <c r="A12646">
        <v>5029</v>
      </c>
      <c r="B12646" s="1">
        <v>45910</v>
      </c>
      <c r="C12646" t="s">
        <v>12</v>
      </c>
      <c r="D12646" s="2">
        <v>0</v>
      </c>
      <c r="E12646" s="2">
        <v>258.12</v>
      </c>
      <c r="F12646" t="s">
        <v>16</v>
      </c>
      <c r="G12646" t="s">
        <v>17</v>
      </c>
    </row>
    <row r="12647" spans="1:7" x14ac:dyDescent="0.35">
      <c r="A12647">
        <v>5030</v>
      </c>
      <c r="B12647" s="1">
        <v>45910</v>
      </c>
      <c r="C12647" t="s">
        <v>24</v>
      </c>
      <c r="D12647" s="2">
        <v>3521.54</v>
      </c>
      <c r="E12647" s="2">
        <v>0</v>
      </c>
      <c r="F12647" t="s">
        <v>8</v>
      </c>
      <c r="G12647" t="s">
        <v>9</v>
      </c>
    </row>
    <row r="12648" spans="1:7" x14ac:dyDescent="0.35">
      <c r="A12648">
        <v>5030</v>
      </c>
      <c r="B12648" s="1">
        <v>45910</v>
      </c>
      <c r="C12648" t="s">
        <v>24</v>
      </c>
      <c r="D12648" s="2">
        <v>0</v>
      </c>
      <c r="E12648" s="2">
        <v>3521.54</v>
      </c>
      <c r="F12648" t="s">
        <v>13</v>
      </c>
      <c r="G12648" t="s">
        <v>9</v>
      </c>
    </row>
    <row r="12649" spans="1:7" x14ac:dyDescent="0.35">
      <c r="A12649">
        <v>5031</v>
      </c>
      <c r="B12649" s="1">
        <v>45910</v>
      </c>
      <c r="C12649" t="s">
        <v>24</v>
      </c>
      <c r="D12649" s="2">
        <v>1352.01</v>
      </c>
      <c r="E12649" s="2">
        <v>0</v>
      </c>
      <c r="F12649" t="s">
        <v>8</v>
      </c>
      <c r="G12649" t="s">
        <v>9</v>
      </c>
    </row>
    <row r="12650" spans="1:7" x14ac:dyDescent="0.35">
      <c r="A12650">
        <v>5031</v>
      </c>
      <c r="B12650" s="1">
        <v>45910</v>
      </c>
      <c r="C12650" t="s">
        <v>24</v>
      </c>
      <c r="D12650" s="2">
        <v>0</v>
      </c>
      <c r="E12650" s="2">
        <v>1352.01</v>
      </c>
      <c r="F12650" t="s">
        <v>13</v>
      </c>
      <c r="G12650" t="s">
        <v>9</v>
      </c>
    </row>
    <row r="12651" spans="1:7" x14ac:dyDescent="0.35">
      <c r="A12651">
        <v>5032</v>
      </c>
      <c r="B12651" s="1">
        <v>45910</v>
      </c>
      <c r="C12651" t="s">
        <v>24</v>
      </c>
      <c r="D12651" s="2">
        <v>3672.97</v>
      </c>
      <c r="E12651" s="2">
        <v>0</v>
      </c>
      <c r="F12651" t="s">
        <v>8</v>
      </c>
      <c r="G12651" t="s">
        <v>9</v>
      </c>
    </row>
    <row r="12652" spans="1:7" x14ac:dyDescent="0.35">
      <c r="A12652">
        <v>5032</v>
      </c>
      <c r="B12652" s="1">
        <v>45910</v>
      </c>
      <c r="C12652" t="s">
        <v>24</v>
      </c>
      <c r="D12652" s="2">
        <v>0</v>
      </c>
      <c r="E12652" s="2">
        <v>3672.97</v>
      </c>
      <c r="F12652" t="s">
        <v>13</v>
      </c>
      <c r="G12652" t="s">
        <v>9</v>
      </c>
    </row>
    <row r="12653" spans="1:7" x14ac:dyDescent="0.35">
      <c r="A12653">
        <v>5033</v>
      </c>
      <c r="B12653" s="1">
        <v>45910</v>
      </c>
      <c r="C12653" t="s">
        <v>24</v>
      </c>
      <c r="D12653" s="2">
        <v>183.86</v>
      </c>
      <c r="E12653" s="2">
        <v>0</v>
      </c>
      <c r="F12653" t="s">
        <v>8</v>
      </c>
      <c r="G12653" t="s">
        <v>9</v>
      </c>
    </row>
    <row r="12654" spans="1:7" x14ac:dyDescent="0.35">
      <c r="A12654">
        <v>5033</v>
      </c>
      <c r="B12654" s="1">
        <v>45910</v>
      </c>
      <c r="C12654" t="s">
        <v>24</v>
      </c>
      <c r="D12654" s="2">
        <v>0</v>
      </c>
      <c r="E12654" s="2">
        <v>183.86</v>
      </c>
      <c r="F12654" t="s">
        <v>13</v>
      </c>
      <c r="G12654" t="s">
        <v>9</v>
      </c>
    </row>
    <row r="12655" spans="1:7" x14ac:dyDescent="0.35">
      <c r="A12655">
        <v>5034</v>
      </c>
      <c r="B12655" s="1">
        <v>45910</v>
      </c>
      <c r="C12655" t="s">
        <v>24</v>
      </c>
      <c r="D12655" s="2">
        <v>5169.5600000000004</v>
      </c>
      <c r="E12655" s="2">
        <v>0</v>
      </c>
      <c r="F12655" t="s">
        <v>8</v>
      </c>
      <c r="G12655" t="s">
        <v>9</v>
      </c>
    </row>
    <row r="12656" spans="1:7" x14ac:dyDescent="0.35">
      <c r="A12656">
        <v>5034</v>
      </c>
      <c r="B12656" s="1">
        <v>45910</v>
      </c>
      <c r="C12656" t="s">
        <v>24</v>
      </c>
      <c r="D12656" s="2">
        <v>0</v>
      </c>
      <c r="E12656" s="2">
        <v>5169.5600000000004</v>
      </c>
      <c r="F12656" t="s">
        <v>13</v>
      </c>
      <c r="G12656" t="s">
        <v>9</v>
      </c>
    </row>
    <row r="12657" spans="1:7" x14ac:dyDescent="0.35">
      <c r="A12657">
        <v>5035</v>
      </c>
      <c r="B12657" s="1">
        <v>45910</v>
      </c>
      <c r="C12657" t="s">
        <v>24</v>
      </c>
      <c r="D12657" s="2">
        <v>1262.94</v>
      </c>
      <c r="E12657" s="2">
        <v>0</v>
      </c>
      <c r="F12657" t="s">
        <v>8</v>
      </c>
      <c r="G12657" t="s">
        <v>9</v>
      </c>
    </row>
    <row r="12658" spans="1:7" x14ac:dyDescent="0.35">
      <c r="A12658">
        <v>5035</v>
      </c>
      <c r="B12658" s="1">
        <v>45910</v>
      </c>
      <c r="C12658" t="s">
        <v>24</v>
      </c>
      <c r="D12658" s="2">
        <v>0</v>
      </c>
      <c r="E12658" s="2">
        <v>1262.94</v>
      </c>
      <c r="F12658" t="s">
        <v>13</v>
      </c>
      <c r="G12658" t="s">
        <v>9</v>
      </c>
    </row>
    <row r="12659" spans="1:7" x14ac:dyDescent="0.35">
      <c r="A12659">
        <v>5036</v>
      </c>
      <c r="B12659" s="1">
        <v>45910</v>
      </c>
      <c r="C12659" t="s">
        <v>24</v>
      </c>
      <c r="D12659" s="2">
        <v>2439.11</v>
      </c>
      <c r="E12659" s="2">
        <v>0</v>
      </c>
      <c r="F12659" t="s">
        <v>8</v>
      </c>
      <c r="G12659" t="s">
        <v>9</v>
      </c>
    </row>
    <row r="12660" spans="1:7" x14ac:dyDescent="0.35">
      <c r="A12660">
        <v>5036</v>
      </c>
      <c r="B12660" s="1">
        <v>45910</v>
      </c>
      <c r="C12660" t="s">
        <v>24</v>
      </c>
      <c r="D12660" s="2">
        <v>0</v>
      </c>
      <c r="E12660" s="2">
        <v>2439.11</v>
      </c>
      <c r="F12660" t="s">
        <v>13</v>
      </c>
      <c r="G12660" t="s">
        <v>9</v>
      </c>
    </row>
    <row r="12661" spans="1:7" x14ac:dyDescent="0.35">
      <c r="A12661">
        <v>5037</v>
      </c>
      <c r="B12661" s="1">
        <v>45910</v>
      </c>
      <c r="C12661" t="s">
        <v>24</v>
      </c>
      <c r="D12661" s="2">
        <v>4778.78</v>
      </c>
      <c r="E12661" s="2">
        <v>0</v>
      </c>
      <c r="F12661" t="s">
        <v>8</v>
      </c>
      <c r="G12661" t="s">
        <v>9</v>
      </c>
    </row>
    <row r="12662" spans="1:7" x14ac:dyDescent="0.35">
      <c r="A12662">
        <v>5037</v>
      </c>
      <c r="B12662" s="1">
        <v>45910</v>
      </c>
      <c r="C12662" t="s">
        <v>24</v>
      </c>
      <c r="D12662" s="2">
        <v>0</v>
      </c>
      <c r="E12662" s="2">
        <v>4778.78</v>
      </c>
      <c r="F12662" t="s">
        <v>13</v>
      </c>
      <c r="G12662" t="s">
        <v>9</v>
      </c>
    </row>
    <row r="12663" spans="1:7" x14ac:dyDescent="0.35">
      <c r="A12663">
        <v>5038</v>
      </c>
      <c r="B12663" s="1">
        <v>45910</v>
      </c>
      <c r="C12663" t="s">
        <v>24</v>
      </c>
      <c r="D12663" s="2">
        <v>2767.99</v>
      </c>
      <c r="E12663" s="2">
        <v>0</v>
      </c>
      <c r="F12663" t="s">
        <v>8</v>
      </c>
      <c r="G12663" t="s">
        <v>9</v>
      </c>
    </row>
    <row r="12664" spans="1:7" x14ac:dyDescent="0.35">
      <c r="A12664">
        <v>5038</v>
      </c>
      <c r="B12664" s="1">
        <v>45910</v>
      </c>
      <c r="C12664" t="s">
        <v>24</v>
      </c>
      <c r="D12664" s="2">
        <v>0</v>
      </c>
      <c r="E12664" s="2">
        <v>2767.99</v>
      </c>
      <c r="F12664" t="s">
        <v>13</v>
      </c>
      <c r="G12664" t="s">
        <v>9</v>
      </c>
    </row>
    <row r="12665" spans="1:7" x14ac:dyDescent="0.35">
      <c r="A12665">
        <v>5039</v>
      </c>
      <c r="B12665" s="1">
        <v>45910</v>
      </c>
      <c r="C12665" t="s">
        <v>24</v>
      </c>
      <c r="D12665" s="2">
        <v>4992.6400000000003</v>
      </c>
      <c r="E12665" s="2">
        <v>0</v>
      </c>
      <c r="F12665" t="s">
        <v>8</v>
      </c>
      <c r="G12665" t="s">
        <v>9</v>
      </c>
    </row>
    <row r="12666" spans="1:7" x14ac:dyDescent="0.35">
      <c r="A12666">
        <v>5039</v>
      </c>
      <c r="B12666" s="1">
        <v>45910</v>
      </c>
      <c r="C12666" t="s">
        <v>24</v>
      </c>
      <c r="D12666" s="2">
        <v>0</v>
      </c>
      <c r="E12666" s="2">
        <v>4992.6400000000003</v>
      </c>
      <c r="F12666" t="s">
        <v>13</v>
      </c>
      <c r="G12666" t="s">
        <v>9</v>
      </c>
    </row>
    <row r="12667" spans="1:7" x14ac:dyDescent="0.35">
      <c r="A12667">
        <v>5040</v>
      </c>
      <c r="B12667" s="1">
        <v>45910</v>
      </c>
      <c r="C12667" t="s">
        <v>29</v>
      </c>
      <c r="D12667" s="2">
        <v>4812.46</v>
      </c>
      <c r="E12667" s="2">
        <v>0</v>
      </c>
      <c r="F12667" t="s">
        <v>28</v>
      </c>
      <c r="G12667" t="s">
        <v>17</v>
      </c>
    </row>
    <row r="12668" spans="1:7" x14ac:dyDescent="0.35">
      <c r="A12668">
        <v>5040</v>
      </c>
      <c r="B12668" s="1">
        <v>45910</v>
      </c>
      <c r="C12668" t="s">
        <v>29</v>
      </c>
      <c r="D12668" s="2">
        <v>0</v>
      </c>
      <c r="E12668" s="2">
        <v>4812.46</v>
      </c>
      <c r="F12668" t="s">
        <v>8</v>
      </c>
      <c r="G12668" t="s">
        <v>9</v>
      </c>
    </row>
    <row r="12669" spans="1:7" x14ac:dyDescent="0.35">
      <c r="A12669">
        <v>5041</v>
      </c>
      <c r="B12669" s="1">
        <v>45910</v>
      </c>
      <c r="C12669" t="s">
        <v>29</v>
      </c>
      <c r="D12669" s="2">
        <v>201.5</v>
      </c>
      <c r="E12669" s="2">
        <v>0</v>
      </c>
      <c r="F12669" t="s">
        <v>28</v>
      </c>
      <c r="G12669" t="s">
        <v>17</v>
      </c>
    </row>
    <row r="12670" spans="1:7" x14ac:dyDescent="0.35">
      <c r="A12670">
        <v>5041</v>
      </c>
      <c r="B12670" s="1">
        <v>45910</v>
      </c>
      <c r="C12670" t="s">
        <v>29</v>
      </c>
      <c r="D12670" s="2">
        <v>0</v>
      </c>
      <c r="E12670" s="2">
        <v>201.5</v>
      </c>
      <c r="F12670" t="s">
        <v>8</v>
      </c>
      <c r="G12670" t="s">
        <v>9</v>
      </c>
    </row>
    <row r="12671" spans="1:7" x14ac:dyDescent="0.35">
      <c r="A12671">
        <v>5042</v>
      </c>
      <c r="B12671" s="1">
        <v>45911</v>
      </c>
      <c r="C12671" t="s">
        <v>18</v>
      </c>
      <c r="D12671" s="2">
        <v>22571.3</v>
      </c>
      <c r="E12671" s="2">
        <v>0</v>
      </c>
      <c r="F12671" t="s">
        <v>19</v>
      </c>
      <c r="G12671" t="s">
        <v>20</v>
      </c>
    </row>
    <row r="12672" spans="1:7" x14ac:dyDescent="0.35">
      <c r="A12672">
        <v>5042</v>
      </c>
      <c r="B12672" s="1">
        <v>45911</v>
      </c>
      <c r="C12672" t="s">
        <v>18</v>
      </c>
      <c r="D12672" s="2">
        <v>902.86</v>
      </c>
      <c r="E12672" s="2">
        <v>0</v>
      </c>
      <c r="F12672" t="s">
        <v>21</v>
      </c>
      <c r="G12672" t="s">
        <v>20</v>
      </c>
    </row>
    <row r="12673" spans="1:7" x14ac:dyDescent="0.35">
      <c r="A12673">
        <v>5042</v>
      </c>
      <c r="B12673" s="1">
        <v>45911</v>
      </c>
      <c r="C12673" t="s">
        <v>18</v>
      </c>
      <c r="D12673" s="2">
        <v>0</v>
      </c>
      <c r="E12673" s="2">
        <v>18218.72</v>
      </c>
      <c r="F12673" t="s">
        <v>8</v>
      </c>
      <c r="G12673" t="s">
        <v>9</v>
      </c>
    </row>
    <row r="12674" spans="1:7" x14ac:dyDescent="0.35">
      <c r="A12674">
        <v>5042</v>
      </c>
      <c r="B12674" s="1">
        <v>45911</v>
      </c>
      <c r="C12674" t="s">
        <v>18</v>
      </c>
      <c r="D12674" s="2">
        <v>0</v>
      </c>
      <c r="E12674" s="2">
        <v>4352.58</v>
      </c>
      <c r="F12674" t="s">
        <v>22</v>
      </c>
      <c r="G12674" t="s">
        <v>17</v>
      </c>
    </row>
    <row r="12675" spans="1:7" x14ac:dyDescent="0.35">
      <c r="A12675">
        <v>5042</v>
      </c>
      <c r="B12675" s="1">
        <v>45911</v>
      </c>
      <c r="C12675" t="s">
        <v>18</v>
      </c>
      <c r="D12675" s="2">
        <v>0</v>
      </c>
      <c r="E12675" s="2">
        <v>902.86</v>
      </c>
      <c r="F12675" t="s">
        <v>23</v>
      </c>
      <c r="G12675" t="s">
        <v>17</v>
      </c>
    </row>
    <row r="12676" spans="1:7" x14ac:dyDescent="0.35">
      <c r="A12676">
        <v>5043</v>
      </c>
      <c r="B12676" s="1">
        <v>45911</v>
      </c>
      <c r="C12676" t="s">
        <v>12</v>
      </c>
      <c r="D12676" s="2">
        <v>14.85</v>
      </c>
      <c r="E12676" s="2">
        <v>0</v>
      </c>
      <c r="F12676" t="s">
        <v>13</v>
      </c>
      <c r="G12676" t="s">
        <v>9</v>
      </c>
    </row>
    <row r="12677" spans="1:7" x14ac:dyDescent="0.35">
      <c r="A12677">
        <v>5043</v>
      </c>
      <c r="B12677" s="1">
        <v>45911</v>
      </c>
      <c r="C12677" t="s">
        <v>12</v>
      </c>
      <c r="D12677" s="2">
        <v>0</v>
      </c>
      <c r="E12677" s="2">
        <v>13.81</v>
      </c>
      <c r="F12677" t="s">
        <v>14</v>
      </c>
      <c r="G12677" t="s">
        <v>15</v>
      </c>
    </row>
    <row r="12678" spans="1:7" x14ac:dyDescent="0.35">
      <c r="A12678">
        <v>5043</v>
      </c>
      <c r="B12678" s="1">
        <v>45911</v>
      </c>
      <c r="C12678" t="s">
        <v>12</v>
      </c>
      <c r="D12678" s="2">
        <v>0</v>
      </c>
      <c r="E12678" s="2">
        <v>1.04</v>
      </c>
      <c r="F12678" t="s">
        <v>16</v>
      </c>
      <c r="G12678" t="s">
        <v>17</v>
      </c>
    </row>
    <row r="12679" spans="1:7" x14ac:dyDescent="0.35">
      <c r="A12679">
        <v>5044</v>
      </c>
      <c r="B12679" s="1">
        <v>45911</v>
      </c>
      <c r="C12679" t="s">
        <v>12</v>
      </c>
      <c r="D12679" s="2">
        <v>7084.14</v>
      </c>
      <c r="E12679" s="2">
        <v>0</v>
      </c>
      <c r="F12679" t="s">
        <v>13</v>
      </c>
      <c r="G12679" t="s">
        <v>9</v>
      </c>
    </row>
    <row r="12680" spans="1:7" x14ac:dyDescent="0.35">
      <c r="A12680">
        <v>5044</v>
      </c>
      <c r="B12680" s="1">
        <v>45911</v>
      </c>
      <c r="C12680" t="s">
        <v>12</v>
      </c>
      <c r="D12680" s="2">
        <v>0</v>
      </c>
      <c r="E12680" s="2">
        <v>6589.9</v>
      </c>
      <c r="F12680" t="s">
        <v>14</v>
      </c>
      <c r="G12680" t="s">
        <v>15</v>
      </c>
    </row>
    <row r="12681" spans="1:7" x14ac:dyDescent="0.35">
      <c r="A12681">
        <v>5044</v>
      </c>
      <c r="B12681" s="1">
        <v>45911</v>
      </c>
      <c r="C12681" t="s">
        <v>12</v>
      </c>
      <c r="D12681" s="2">
        <v>0</v>
      </c>
      <c r="E12681" s="2">
        <v>494.24</v>
      </c>
      <c r="F12681" t="s">
        <v>16</v>
      </c>
      <c r="G12681" t="s">
        <v>17</v>
      </c>
    </row>
    <row r="12682" spans="1:7" x14ac:dyDescent="0.35">
      <c r="A12682">
        <v>5045</v>
      </c>
      <c r="B12682" s="1">
        <v>45911</v>
      </c>
      <c r="C12682" t="s">
        <v>12</v>
      </c>
      <c r="D12682" s="2">
        <v>2670.34</v>
      </c>
      <c r="E12682" s="2">
        <v>0</v>
      </c>
      <c r="F12682" t="s">
        <v>13</v>
      </c>
      <c r="G12682" t="s">
        <v>9</v>
      </c>
    </row>
    <row r="12683" spans="1:7" x14ac:dyDescent="0.35">
      <c r="A12683">
        <v>5045</v>
      </c>
      <c r="B12683" s="1">
        <v>45911</v>
      </c>
      <c r="C12683" t="s">
        <v>12</v>
      </c>
      <c r="D12683" s="2">
        <v>0</v>
      </c>
      <c r="E12683" s="2">
        <v>2484.0300000000002</v>
      </c>
      <c r="F12683" t="s">
        <v>14</v>
      </c>
      <c r="G12683" t="s">
        <v>15</v>
      </c>
    </row>
    <row r="12684" spans="1:7" x14ac:dyDescent="0.35">
      <c r="A12684">
        <v>5045</v>
      </c>
      <c r="B12684" s="1">
        <v>45911</v>
      </c>
      <c r="C12684" t="s">
        <v>12</v>
      </c>
      <c r="D12684" s="2">
        <v>0</v>
      </c>
      <c r="E12684" s="2">
        <v>186.31</v>
      </c>
      <c r="F12684" t="s">
        <v>16</v>
      </c>
      <c r="G12684" t="s">
        <v>17</v>
      </c>
    </row>
    <row r="12685" spans="1:7" x14ac:dyDescent="0.35">
      <c r="A12685">
        <v>5046</v>
      </c>
      <c r="B12685" s="1">
        <v>45911</v>
      </c>
      <c r="C12685" t="s">
        <v>12</v>
      </c>
      <c r="D12685" s="2">
        <v>1281.3399999999999</v>
      </c>
      <c r="E12685" s="2">
        <v>0</v>
      </c>
      <c r="F12685" t="s">
        <v>13</v>
      </c>
      <c r="G12685" t="s">
        <v>9</v>
      </c>
    </row>
    <row r="12686" spans="1:7" x14ac:dyDescent="0.35">
      <c r="A12686">
        <v>5046</v>
      </c>
      <c r="B12686" s="1">
        <v>45911</v>
      </c>
      <c r="C12686" t="s">
        <v>12</v>
      </c>
      <c r="D12686" s="2">
        <v>0</v>
      </c>
      <c r="E12686" s="2">
        <v>1191.95</v>
      </c>
      <c r="F12686" t="s">
        <v>14</v>
      </c>
      <c r="G12686" t="s">
        <v>15</v>
      </c>
    </row>
    <row r="12687" spans="1:7" x14ac:dyDescent="0.35">
      <c r="A12687">
        <v>5046</v>
      </c>
      <c r="B12687" s="1">
        <v>45911</v>
      </c>
      <c r="C12687" t="s">
        <v>12</v>
      </c>
      <c r="D12687" s="2">
        <v>0</v>
      </c>
      <c r="E12687" s="2">
        <v>89.39</v>
      </c>
      <c r="F12687" t="s">
        <v>16</v>
      </c>
      <c r="G12687" t="s">
        <v>17</v>
      </c>
    </row>
    <row r="12688" spans="1:7" x14ac:dyDescent="0.35">
      <c r="A12688">
        <v>5047</v>
      </c>
      <c r="B12688" s="1">
        <v>45911</v>
      </c>
      <c r="C12688" t="s">
        <v>12</v>
      </c>
      <c r="D12688" s="2">
        <v>1370.64</v>
      </c>
      <c r="E12688" s="2">
        <v>0</v>
      </c>
      <c r="F12688" t="s">
        <v>13</v>
      </c>
      <c r="G12688" t="s">
        <v>9</v>
      </c>
    </row>
    <row r="12689" spans="1:7" x14ac:dyDescent="0.35">
      <c r="A12689">
        <v>5047</v>
      </c>
      <c r="B12689" s="1">
        <v>45911</v>
      </c>
      <c r="C12689" t="s">
        <v>12</v>
      </c>
      <c r="D12689" s="2">
        <v>0</v>
      </c>
      <c r="E12689" s="2">
        <v>1275.02</v>
      </c>
      <c r="F12689" t="s">
        <v>14</v>
      </c>
      <c r="G12689" t="s">
        <v>15</v>
      </c>
    </row>
    <row r="12690" spans="1:7" x14ac:dyDescent="0.35">
      <c r="A12690">
        <v>5047</v>
      </c>
      <c r="B12690" s="1">
        <v>45911</v>
      </c>
      <c r="C12690" t="s">
        <v>12</v>
      </c>
      <c r="D12690" s="2">
        <v>0</v>
      </c>
      <c r="E12690" s="2">
        <v>95.62</v>
      </c>
      <c r="F12690" t="s">
        <v>16</v>
      </c>
      <c r="G12690" t="s">
        <v>17</v>
      </c>
    </row>
    <row r="12691" spans="1:7" x14ac:dyDescent="0.35">
      <c r="A12691">
        <v>5048</v>
      </c>
      <c r="B12691" s="1">
        <v>45911</v>
      </c>
      <c r="C12691" t="s">
        <v>12</v>
      </c>
      <c r="D12691" s="2">
        <v>2874.75</v>
      </c>
      <c r="E12691" s="2">
        <v>0</v>
      </c>
      <c r="F12691" t="s">
        <v>13</v>
      </c>
      <c r="G12691" t="s">
        <v>9</v>
      </c>
    </row>
    <row r="12692" spans="1:7" x14ac:dyDescent="0.35">
      <c r="A12692">
        <v>5048</v>
      </c>
      <c r="B12692" s="1">
        <v>45911</v>
      </c>
      <c r="C12692" t="s">
        <v>12</v>
      </c>
      <c r="D12692" s="2">
        <v>0</v>
      </c>
      <c r="E12692" s="2">
        <v>2674.18</v>
      </c>
      <c r="F12692" t="s">
        <v>14</v>
      </c>
      <c r="G12692" t="s">
        <v>15</v>
      </c>
    </row>
    <row r="12693" spans="1:7" x14ac:dyDescent="0.35">
      <c r="A12693">
        <v>5048</v>
      </c>
      <c r="B12693" s="1">
        <v>45911</v>
      </c>
      <c r="C12693" t="s">
        <v>12</v>
      </c>
      <c r="D12693" s="2">
        <v>0</v>
      </c>
      <c r="E12693" s="2">
        <v>200.57</v>
      </c>
      <c r="F12693" t="s">
        <v>16</v>
      </c>
      <c r="G12693" t="s">
        <v>17</v>
      </c>
    </row>
    <row r="12694" spans="1:7" x14ac:dyDescent="0.35">
      <c r="A12694">
        <v>5049</v>
      </c>
      <c r="B12694" s="1">
        <v>45911</v>
      </c>
      <c r="C12694" t="s">
        <v>12</v>
      </c>
      <c r="D12694" s="2">
        <v>3283.83</v>
      </c>
      <c r="E12694" s="2">
        <v>0</v>
      </c>
      <c r="F12694" t="s">
        <v>13</v>
      </c>
      <c r="G12694" t="s">
        <v>9</v>
      </c>
    </row>
    <row r="12695" spans="1:7" x14ac:dyDescent="0.35">
      <c r="A12695">
        <v>5049</v>
      </c>
      <c r="B12695" s="1">
        <v>45911</v>
      </c>
      <c r="C12695" t="s">
        <v>12</v>
      </c>
      <c r="D12695" s="2">
        <v>0</v>
      </c>
      <c r="E12695" s="2">
        <v>3054.73</v>
      </c>
      <c r="F12695" t="s">
        <v>14</v>
      </c>
      <c r="G12695" t="s">
        <v>15</v>
      </c>
    </row>
    <row r="12696" spans="1:7" x14ac:dyDescent="0.35">
      <c r="A12696">
        <v>5049</v>
      </c>
      <c r="B12696" s="1">
        <v>45911</v>
      </c>
      <c r="C12696" t="s">
        <v>12</v>
      </c>
      <c r="D12696" s="2">
        <v>0</v>
      </c>
      <c r="E12696" s="2">
        <v>229.1</v>
      </c>
      <c r="F12696" t="s">
        <v>16</v>
      </c>
      <c r="G12696" t="s">
        <v>17</v>
      </c>
    </row>
    <row r="12697" spans="1:7" x14ac:dyDescent="0.35">
      <c r="A12697">
        <v>5050</v>
      </c>
      <c r="B12697" s="1">
        <v>45911</v>
      </c>
      <c r="C12697" t="s">
        <v>12</v>
      </c>
      <c r="D12697" s="2">
        <v>1933.51</v>
      </c>
      <c r="E12697" s="2">
        <v>0</v>
      </c>
      <c r="F12697" t="s">
        <v>13</v>
      </c>
      <c r="G12697" t="s">
        <v>9</v>
      </c>
    </row>
    <row r="12698" spans="1:7" x14ac:dyDescent="0.35">
      <c r="A12698">
        <v>5050</v>
      </c>
      <c r="B12698" s="1">
        <v>45911</v>
      </c>
      <c r="C12698" t="s">
        <v>12</v>
      </c>
      <c r="D12698" s="2">
        <v>0</v>
      </c>
      <c r="E12698" s="2">
        <v>1798.62</v>
      </c>
      <c r="F12698" t="s">
        <v>14</v>
      </c>
      <c r="G12698" t="s">
        <v>15</v>
      </c>
    </row>
    <row r="12699" spans="1:7" x14ac:dyDescent="0.35">
      <c r="A12699">
        <v>5050</v>
      </c>
      <c r="B12699" s="1">
        <v>45911</v>
      </c>
      <c r="C12699" t="s">
        <v>12</v>
      </c>
      <c r="D12699" s="2">
        <v>0</v>
      </c>
      <c r="E12699" s="2">
        <v>134.88999999999999</v>
      </c>
      <c r="F12699" t="s">
        <v>16</v>
      </c>
      <c r="G12699" t="s">
        <v>17</v>
      </c>
    </row>
    <row r="12700" spans="1:7" x14ac:dyDescent="0.35">
      <c r="A12700">
        <v>5051</v>
      </c>
      <c r="B12700" s="1">
        <v>45911</v>
      </c>
      <c r="C12700" t="s">
        <v>24</v>
      </c>
      <c r="D12700" s="2">
        <v>1783.71</v>
      </c>
      <c r="E12700" s="2">
        <v>0</v>
      </c>
      <c r="F12700" t="s">
        <v>8</v>
      </c>
      <c r="G12700" t="s">
        <v>9</v>
      </c>
    </row>
    <row r="12701" spans="1:7" x14ac:dyDescent="0.35">
      <c r="A12701">
        <v>5051</v>
      </c>
      <c r="B12701" s="1">
        <v>45911</v>
      </c>
      <c r="C12701" t="s">
        <v>24</v>
      </c>
      <c r="D12701" s="2">
        <v>0</v>
      </c>
      <c r="E12701" s="2">
        <v>1783.71</v>
      </c>
      <c r="F12701" t="s">
        <v>13</v>
      </c>
      <c r="G12701" t="s">
        <v>9</v>
      </c>
    </row>
    <row r="12702" spans="1:7" x14ac:dyDescent="0.35">
      <c r="A12702">
        <v>5052</v>
      </c>
      <c r="B12702" s="1">
        <v>45911</v>
      </c>
      <c r="C12702" t="s">
        <v>24</v>
      </c>
      <c r="D12702" s="2">
        <v>1913.89</v>
      </c>
      <c r="E12702" s="2">
        <v>0</v>
      </c>
      <c r="F12702" t="s">
        <v>8</v>
      </c>
      <c r="G12702" t="s">
        <v>9</v>
      </c>
    </row>
    <row r="12703" spans="1:7" x14ac:dyDescent="0.35">
      <c r="A12703">
        <v>5052</v>
      </c>
      <c r="B12703" s="1">
        <v>45911</v>
      </c>
      <c r="C12703" t="s">
        <v>24</v>
      </c>
      <c r="D12703" s="2">
        <v>0</v>
      </c>
      <c r="E12703" s="2">
        <v>1913.89</v>
      </c>
      <c r="F12703" t="s">
        <v>13</v>
      </c>
      <c r="G12703" t="s">
        <v>9</v>
      </c>
    </row>
    <row r="12704" spans="1:7" x14ac:dyDescent="0.35">
      <c r="A12704">
        <v>5053</v>
      </c>
      <c r="B12704" s="1">
        <v>45911</v>
      </c>
      <c r="C12704" t="s">
        <v>24</v>
      </c>
      <c r="D12704" s="2">
        <v>312.58999999999997</v>
      </c>
      <c r="E12704" s="2">
        <v>0</v>
      </c>
      <c r="F12704" t="s">
        <v>8</v>
      </c>
      <c r="G12704" t="s">
        <v>9</v>
      </c>
    </row>
    <row r="12705" spans="1:7" x14ac:dyDescent="0.35">
      <c r="A12705">
        <v>5053</v>
      </c>
      <c r="B12705" s="1">
        <v>45911</v>
      </c>
      <c r="C12705" t="s">
        <v>24</v>
      </c>
      <c r="D12705" s="2">
        <v>0</v>
      </c>
      <c r="E12705" s="2">
        <v>312.58999999999997</v>
      </c>
      <c r="F12705" t="s">
        <v>13</v>
      </c>
      <c r="G12705" t="s">
        <v>9</v>
      </c>
    </row>
    <row r="12706" spans="1:7" x14ac:dyDescent="0.35">
      <c r="A12706">
        <v>5054</v>
      </c>
      <c r="B12706" s="1">
        <v>45911</v>
      </c>
      <c r="C12706" t="s">
        <v>24</v>
      </c>
      <c r="D12706" s="2">
        <v>1093.42</v>
      </c>
      <c r="E12706" s="2">
        <v>0</v>
      </c>
      <c r="F12706" t="s">
        <v>8</v>
      </c>
      <c r="G12706" t="s">
        <v>9</v>
      </c>
    </row>
    <row r="12707" spans="1:7" x14ac:dyDescent="0.35">
      <c r="A12707">
        <v>5054</v>
      </c>
      <c r="B12707" s="1">
        <v>45911</v>
      </c>
      <c r="C12707" t="s">
        <v>24</v>
      </c>
      <c r="D12707" s="2">
        <v>0</v>
      </c>
      <c r="E12707" s="2">
        <v>1093.42</v>
      </c>
      <c r="F12707" t="s">
        <v>13</v>
      </c>
      <c r="G12707" t="s">
        <v>9</v>
      </c>
    </row>
    <row r="12708" spans="1:7" x14ac:dyDescent="0.35">
      <c r="A12708">
        <v>5055</v>
      </c>
      <c r="B12708" s="1">
        <v>45911</v>
      </c>
      <c r="C12708" t="s">
        <v>24</v>
      </c>
      <c r="D12708" s="2">
        <v>2874.75</v>
      </c>
      <c r="E12708" s="2">
        <v>0</v>
      </c>
      <c r="F12708" t="s">
        <v>8</v>
      </c>
      <c r="G12708" t="s">
        <v>9</v>
      </c>
    </row>
    <row r="12709" spans="1:7" x14ac:dyDescent="0.35">
      <c r="A12709">
        <v>5055</v>
      </c>
      <c r="B12709" s="1">
        <v>45911</v>
      </c>
      <c r="C12709" t="s">
        <v>24</v>
      </c>
      <c r="D12709" s="2">
        <v>0</v>
      </c>
      <c r="E12709" s="2">
        <v>2874.75</v>
      </c>
      <c r="F12709" t="s">
        <v>13</v>
      </c>
      <c r="G12709" t="s">
        <v>9</v>
      </c>
    </row>
    <row r="12710" spans="1:7" x14ac:dyDescent="0.35">
      <c r="A12710">
        <v>5056</v>
      </c>
      <c r="B12710" s="1">
        <v>45912</v>
      </c>
      <c r="C12710" t="s">
        <v>12</v>
      </c>
      <c r="D12710" s="2">
        <v>764.01</v>
      </c>
      <c r="E12710" s="2">
        <v>0</v>
      </c>
      <c r="F12710" t="s">
        <v>13</v>
      </c>
      <c r="G12710" t="s">
        <v>9</v>
      </c>
    </row>
    <row r="12711" spans="1:7" x14ac:dyDescent="0.35">
      <c r="A12711">
        <v>5056</v>
      </c>
      <c r="B12711" s="1">
        <v>45912</v>
      </c>
      <c r="C12711" t="s">
        <v>12</v>
      </c>
      <c r="D12711" s="2">
        <v>0</v>
      </c>
      <c r="E12711" s="2">
        <v>710.71</v>
      </c>
      <c r="F12711" t="s">
        <v>14</v>
      </c>
      <c r="G12711" t="s">
        <v>15</v>
      </c>
    </row>
    <row r="12712" spans="1:7" x14ac:dyDescent="0.35">
      <c r="A12712">
        <v>5056</v>
      </c>
      <c r="B12712" s="1">
        <v>45912</v>
      </c>
      <c r="C12712" t="s">
        <v>12</v>
      </c>
      <c r="D12712" s="2">
        <v>0</v>
      </c>
      <c r="E12712" s="2">
        <v>53.3</v>
      </c>
      <c r="F12712" t="s">
        <v>16</v>
      </c>
      <c r="G12712" t="s">
        <v>17</v>
      </c>
    </row>
    <row r="12713" spans="1:7" x14ac:dyDescent="0.35">
      <c r="A12713">
        <v>5057</v>
      </c>
      <c r="B12713" s="1">
        <v>45912</v>
      </c>
      <c r="C12713" t="s">
        <v>12</v>
      </c>
      <c r="D12713" s="2">
        <v>907.35</v>
      </c>
      <c r="E12713" s="2">
        <v>0</v>
      </c>
      <c r="F12713" t="s">
        <v>13</v>
      </c>
      <c r="G12713" t="s">
        <v>9</v>
      </c>
    </row>
    <row r="12714" spans="1:7" x14ac:dyDescent="0.35">
      <c r="A12714">
        <v>5057</v>
      </c>
      <c r="B12714" s="1">
        <v>45912</v>
      </c>
      <c r="C12714" t="s">
        <v>12</v>
      </c>
      <c r="D12714" s="2">
        <v>0</v>
      </c>
      <c r="E12714" s="2">
        <v>844.05</v>
      </c>
      <c r="F12714" t="s">
        <v>14</v>
      </c>
      <c r="G12714" t="s">
        <v>15</v>
      </c>
    </row>
    <row r="12715" spans="1:7" x14ac:dyDescent="0.35">
      <c r="A12715">
        <v>5057</v>
      </c>
      <c r="B12715" s="1">
        <v>45912</v>
      </c>
      <c r="C12715" t="s">
        <v>12</v>
      </c>
      <c r="D12715" s="2">
        <v>0</v>
      </c>
      <c r="E12715" s="2">
        <v>63.3</v>
      </c>
      <c r="F12715" t="s">
        <v>16</v>
      </c>
      <c r="G12715" t="s">
        <v>17</v>
      </c>
    </row>
    <row r="12716" spans="1:7" x14ac:dyDescent="0.35">
      <c r="A12716">
        <v>5058</v>
      </c>
      <c r="B12716" s="1">
        <v>45912</v>
      </c>
      <c r="C12716" t="s">
        <v>12</v>
      </c>
      <c r="D12716" s="2">
        <v>3738.68</v>
      </c>
      <c r="E12716" s="2">
        <v>0</v>
      </c>
      <c r="F12716" t="s">
        <v>13</v>
      </c>
      <c r="G12716" t="s">
        <v>9</v>
      </c>
    </row>
    <row r="12717" spans="1:7" x14ac:dyDescent="0.35">
      <c r="A12717">
        <v>5058</v>
      </c>
      <c r="B12717" s="1">
        <v>45912</v>
      </c>
      <c r="C12717" t="s">
        <v>12</v>
      </c>
      <c r="D12717" s="2">
        <v>0</v>
      </c>
      <c r="E12717" s="2">
        <v>3477.84</v>
      </c>
      <c r="F12717" t="s">
        <v>14</v>
      </c>
      <c r="G12717" t="s">
        <v>15</v>
      </c>
    </row>
    <row r="12718" spans="1:7" x14ac:dyDescent="0.35">
      <c r="A12718">
        <v>5058</v>
      </c>
      <c r="B12718" s="1">
        <v>45912</v>
      </c>
      <c r="C12718" t="s">
        <v>12</v>
      </c>
      <c r="D12718" s="2">
        <v>0</v>
      </c>
      <c r="E12718" s="2">
        <v>260.83999999999997</v>
      </c>
      <c r="F12718" t="s">
        <v>16</v>
      </c>
      <c r="G12718" t="s">
        <v>17</v>
      </c>
    </row>
    <row r="12719" spans="1:7" x14ac:dyDescent="0.35">
      <c r="A12719">
        <v>5059</v>
      </c>
      <c r="B12719" s="1">
        <v>45912</v>
      </c>
      <c r="C12719" t="s">
        <v>12</v>
      </c>
      <c r="D12719" s="2">
        <v>2278.13</v>
      </c>
      <c r="E12719" s="2">
        <v>0</v>
      </c>
      <c r="F12719" t="s">
        <v>13</v>
      </c>
      <c r="G12719" t="s">
        <v>9</v>
      </c>
    </row>
    <row r="12720" spans="1:7" x14ac:dyDescent="0.35">
      <c r="A12720">
        <v>5059</v>
      </c>
      <c r="B12720" s="1">
        <v>45912</v>
      </c>
      <c r="C12720" t="s">
        <v>12</v>
      </c>
      <c r="D12720" s="2">
        <v>0</v>
      </c>
      <c r="E12720" s="2">
        <v>2119.1999999999998</v>
      </c>
      <c r="F12720" t="s">
        <v>14</v>
      </c>
      <c r="G12720" t="s">
        <v>15</v>
      </c>
    </row>
    <row r="12721" spans="1:7" x14ac:dyDescent="0.35">
      <c r="A12721">
        <v>5059</v>
      </c>
      <c r="B12721" s="1">
        <v>45912</v>
      </c>
      <c r="C12721" t="s">
        <v>12</v>
      </c>
      <c r="D12721" s="2">
        <v>0</v>
      </c>
      <c r="E12721" s="2">
        <v>158.93</v>
      </c>
      <c r="F12721" t="s">
        <v>16</v>
      </c>
      <c r="G12721" t="s">
        <v>17</v>
      </c>
    </row>
    <row r="12722" spans="1:7" x14ac:dyDescent="0.35">
      <c r="A12722">
        <v>5060</v>
      </c>
      <c r="B12722" s="1">
        <v>45912</v>
      </c>
      <c r="C12722" t="s">
        <v>12</v>
      </c>
      <c r="D12722" s="2">
        <v>219</v>
      </c>
      <c r="E12722" s="2">
        <v>0</v>
      </c>
      <c r="F12722" t="s">
        <v>13</v>
      </c>
      <c r="G12722" t="s">
        <v>9</v>
      </c>
    </row>
    <row r="12723" spans="1:7" x14ac:dyDescent="0.35">
      <c r="A12723">
        <v>5060</v>
      </c>
      <c r="B12723" s="1">
        <v>45912</v>
      </c>
      <c r="C12723" t="s">
        <v>12</v>
      </c>
      <c r="D12723" s="2">
        <v>0</v>
      </c>
      <c r="E12723" s="2">
        <v>203.72</v>
      </c>
      <c r="F12723" t="s">
        <v>14</v>
      </c>
      <c r="G12723" t="s">
        <v>15</v>
      </c>
    </row>
    <row r="12724" spans="1:7" x14ac:dyDescent="0.35">
      <c r="A12724">
        <v>5060</v>
      </c>
      <c r="B12724" s="1">
        <v>45912</v>
      </c>
      <c r="C12724" t="s">
        <v>12</v>
      </c>
      <c r="D12724" s="2">
        <v>0</v>
      </c>
      <c r="E12724" s="2">
        <v>15.28</v>
      </c>
      <c r="F12724" t="s">
        <v>16</v>
      </c>
      <c r="G12724" t="s">
        <v>17</v>
      </c>
    </row>
    <row r="12725" spans="1:7" x14ac:dyDescent="0.35">
      <c r="A12725">
        <v>5061</v>
      </c>
      <c r="B12725" s="1">
        <v>45912</v>
      </c>
      <c r="C12725" t="s">
        <v>24</v>
      </c>
      <c r="D12725" s="2">
        <v>92.77</v>
      </c>
      <c r="E12725" s="2">
        <v>0</v>
      </c>
      <c r="F12725" t="s">
        <v>8</v>
      </c>
      <c r="G12725" t="s">
        <v>9</v>
      </c>
    </row>
    <row r="12726" spans="1:7" x14ac:dyDescent="0.35">
      <c r="A12726">
        <v>5061</v>
      </c>
      <c r="B12726" s="1">
        <v>45912</v>
      </c>
      <c r="C12726" t="s">
        <v>24</v>
      </c>
      <c r="D12726" s="2">
        <v>0</v>
      </c>
      <c r="E12726" s="2">
        <v>92.77</v>
      </c>
      <c r="F12726" t="s">
        <v>13</v>
      </c>
      <c r="G12726" t="s">
        <v>9</v>
      </c>
    </row>
    <row r="12727" spans="1:7" x14ac:dyDescent="0.35">
      <c r="A12727">
        <v>5062</v>
      </c>
      <c r="B12727" s="1">
        <v>45912</v>
      </c>
      <c r="C12727" t="s">
        <v>24</v>
      </c>
      <c r="D12727" s="2">
        <v>3940.98</v>
      </c>
      <c r="E12727" s="2">
        <v>0</v>
      </c>
      <c r="F12727" t="s">
        <v>8</v>
      </c>
      <c r="G12727" t="s">
        <v>9</v>
      </c>
    </row>
    <row r="12728" spans="1:7" x14ac:dyDescent="0.35">
      <c r="A12728">
        <v>5062</v>
      </c>
      <c r="B12728" s="1">
        <v>45912</v>
      </c>
      <c r="C12728" t="s">
        <v>24</v>
      </c>
      <c r="D12728" s="2">
        <v>0</v>
      </c>
      <c r="E12728" s="2">
        <v>3940.98</v>
      </c>
      <c r="F12728" t="s">
        <v>13</v>
      </c>
      <c r="G12728" t="s">
        <v>9</v>
      </c>
    </row>
    <row r="12729" spans="1:7" x14ac:dyDescent="0.35">
      <c r="A12729">
        <v>5063</v>
      </c>
      <c r="B12729" s="1">
        <v>45912</v>
      </c>
      <c r="C12729" t="s">
        <v>24</v>
      </c>
      <c r="D12729" s="2">
        <v>636.41999999999996</v>
      </c>
      <c r="E12729" s="2">
        <v>0</v>
      </c>
      <c r="F12729" t="s">
        <v>8</v>
      </c>
      <c r="G12729" t="s">
        <v>9</v>
      </c>
    </row>
    <row r="12730" spans="1:7" x14ac:dyDescent="0.35">
      <c r="A12730">
        <v>5063</v>
      </c>
      <c r="B12730" s="1">
        <v>45912</v>
      </c>
      <c r="C12730" t="s">
        <v>24</v>
      </c>
      <c r="D12730" s="2">
        <v>0</v>
      </c>
      <c r="E12730" s="2">
        <v>636.41999999999996</v>
      </c>
      <c r="F12730" t="s">
        <v>13</v>
      </c>
      <c r="G12730" t="s">
        <v>9</v>
      </c>
    </row>
    <row r="12731" spans="1:7" x14ac:dyDescent="0.35">
      <c r="A12731">
        <v>5064</v>
      </c>
      <c r="B12731" s="1">
        <v>45912</v>
      </c>
      <c r="C12731" t="s">
        <v>24</v>
      </c>
      <c r="D12731" s="2">
        <v>2581.08</v>
      </c>
      <c r="E12731" s="2">
        <v>0</v>
      </c>
      <c r="F12731" t="s">
        <v>8</v>
      </c>
      <c r="G12731" t="s">
        <v>9</v>
      </c>
    </row>
    <row r="12732" spans="1:7" x14ac:dyDescent="0.35">
      <c r="A12732">
        <v>5064</v>
      </c>
      <c r="B12732" s="1">
        <v>45912</v>
      </c>
      <c r="C12732" t="s">
        <v>24</v>
      </c>
      <c r="D12732" s="2">
        <v>0</v>
      </c>
      <c r="E12732" s="2">
        <v>2581.08</v>
      </c>
      <c r="F12732" t="s">
        <v>13</v>
      </c>
      <c r="G12732" t="s">
        <v>9</v>
      </c>
    </row>
    <row r="12733" spans="1:7" x14ac:dyDescent="0.35">
      <c r="A12733">
        <v>5065</v>
      </c>
      <c r="B12733" s="1">
        <v>45912</v>
      </c>
      <c r="C12733" t="s">
        <v>25</v>
      </c>
      <c r="D12733" s="2">
        <v>6723.2</v>
      </c>
      <c r="E12733" s="2">
        <v>0</v>
      </c>
      <c r="F12733" t="s">
        <v>26</v>
      </c>
      <c r="G12733" t="s">
        <v>20</v>
      </c>
    </row>
    <row r="12734" spans="1:7" x14ac:dyDescent="0.35">
      <c r="A12734">
        <v>5065</v>
      </c>
      <c r="B12734" s="1">
        <v>45912</v>
      </c>
      <c r="C12734" t="s">
        <v>25</v>
      </c>
      <c r="D12734" s="2">
        <v>504.24</v>
      </c>
      <c r="E12734" s="2">
        <v>0</v>
      </c>
      <c r="F12734" t="s">
        <v>27</v>
      </c>
      <c r="G12734" t="s">
        <v>9</v>
      </c>
    </row>
    <row r="12735" spans="1:7" x14ac:dyDescent="0.35">
      <c r="A12735">
        <v>5065</v>
      </c>
      <c r="B12735" s="1">
        <v>45912</v>
      </c>
      <c r="C12735" t="s">
        <v>25</v>
      </c>
      <c r="D12735" s="2">
        <v>0</v>
      </c>
      <c r="E12735" s="2">
        <v>7227.44</v>
      </c>
      <c r="F12735" t="s">
        <v>28</v>
      </c>
      <c r="G12735" t="s">
        <v>17</v>
      </c>
    </row>
    <row r="12736" spans="1:7" x14ac:dyDescent="0.35">
      <c r="A12736">
        <v>5066</v>
      </c>
      <c r="B12736" s="1">
        <v>45912</v>
      </c>
      <c r="C12736" t="s">
        <v>25</v>
      </c>
      <c r="D12736" s="2">
        <v>166.52</v>
      </c>
      <c r="E12736" s="2">
        <v>0</v>
      </c>
      <c r="F12736" t="s">
        <v>26</v>
      </c>
      <c r="G12736" t="s">
        <v>20</v>
      </c>
    </row>
    <row r="12737" spans="1:7" x14ac:dyDescent="0.35">
      <c r="A12737">
        <v>5066</v>
      </c>
      <c r="B12737" s="1">
        <v>45912</v>
      </c>
      <c r="C12737" t="s">
        <v>25</v>
      </c>
      <c r="D12737" s="2">
        <v>12.49</v>
      </c>
      <c r="E12737" s="2">
        <v>0</v>
      </c>
      <c r="F12737" t="s">
        <v>27</v>
      </c>
      <c r="G12737" t="s">
        <v>9</v>
      </c>
    </row>
    <row r="12738" spans="1:7" x14ac:dyDescent="0.35">
      <c r="A12738">
        <v>5066</v>
      </c>
      <c r="B12738" s="1">
        <v>45912</v>
      </c>
      <c r="C12738" t="s">
        <v>25</v>
      </c>
      <c r="D12738" s="2">
        <v>0</v>
      </c>
      <c r="E12738" s="2">
        <v>179.01</v>
      </c>
      <c r="F12738" t="s">
        <v>28</v>
      </c>
      <c r="G12738" t="s">
        <v>17</v>
      </c>
    </row>
    <row r="12739" spans="1:7" x14ac:dyDescent="0.35">
      <c r="A12739">
        <v>5067</v>
      </c>
      <c r="B12739" s="1">
        <v>45912</v>
      </c>
      <c r="C12739" t="s">
        <v>25</v>
      </c>
      <c r="D12739" s="2">
        <v>1947.24</v>
      </c>
      <c r="E12739" s="2">
        <v>0</v>
      </c>
      <c r="F12739" t="s">
        <v>26</v>
      </c>
      <c r="G12739" t="s">
        <v>20</v>
      </c>
    </row>
    <row r="12740" spans="1:7" x14ac:dyDescent="0.35">
      <c r="A12740">
        <v>5067</v>
      </c>
      <c r="B12740" s="1">
        <v>45912</v>
      </c>
      <c r="C12740" t="s">
        <v>25</v>
      </c>
      <c r="D12740" s="2">
        <v>146.04</v>
      </c>
      <c r="E12740" s="2">
        <v>0</v>
      </c>
      <c r="F12740" t="s">
        <v>27</v>
      </c>
      <c r="G12740" t="s">
        <v>9</v>
      </c>
    </row>
    <row r="12741" spans="1:7" x14ac:dyDescent="0.35">
      <c r="A12741">
        <v>5067</v>
      </c>
      <c r="B12741" s="1">
        <v>45912</v>
      </c>
      <c r="C12741" t="s">
        <v>25</v>
      </c>
      <c r="D12741" s="2">
        <v>0</v>
      </c>
      <c r="E12741" s="2">
        <v>2093.2800000000002</v>
      </c>
      <c r="F12741" t="s">
        <v>28</v>
      </c>
      <c r="G12741" t="s">
        <v>17</v>
      </c>
    </row>
    <row r="12742" spans="1:7" x14ac:dyDescent="0.35">
      <c r="A12742">
        <v>5068</v>
      </c>
      <c r="B12742" s="1">
        <v>45912</v>
      </c>
      <c r="C12742" t="s">
        <v>29</v>
      </c>
      <c r="D12742" s="2">
        <v>179.01</v>
      </c>
      <c r="E12742" s="2">
        <v>0</v>
      </c>
      <c r="F12742" t="s">
        <v>28</v>
      </c>
      <c r="G12742" t="s">
        <v>17</v>
      </c>
    </row>
    <row r="12743" spans="1:7" x14ac:dyDescent="0.35">
      <c r="A12743">
        <v>5068</v>
      </c>
      <c r="B12743" s="1">
        <v>45912</v>
      </c>
      <c r="C12743" t="s">
        <v>29</v>
      </c>
      <c r="D12743" s="2">
        <v>0</v>
      </c>
      <c r="E12743" s="2">
        <v>179.01</v>
      </c>
      <c r="F12743" t="s">
        <v>8</v>
      </c>
      <c r="G12743" t="s">
        <v>9</v>
      </c>
    </row>
    <row r="12744" spans="1:7" x14ac:dyDescent="0.35">
      <c r="A12744">
        <v>5069</v>
      </c>
      <c r="B12744" s="1">
        <v>45915</v>
      </c>
      <c r="C12744" t="s">
        <v>12</v>
      </c>
      <c r="D12744" s="2">
        <v>1293.55</v>
      </c>
      <c r="E12744" s="2">
        <v>0</v>
      </c>
      <c r="F12744" t="s">
        <v>13</v>
      </c>
      <c r="G12744" t="s">
        <v>9</v>
      </c>
    </row>
    <row r="12745" spans="1:7" x14ac:dyDescent="0.35">
      <c r="A12745">
        <v>5069</v>
      </c>
      <c r="B12745" s="1">
        <v>45915</v>
      </c>
      <c r="C12745" t="s">
        <v>12</v>
      </c>
      <c r="D12745" s="2">
        <v>0</v>
      </c>
      <c r="E12745" s="2">
        <v>1203.3</v>
      </c>
      <c r="F12745" t="s">
        <v>14</v>
      </c>
      <c r="G12745" t="s">
        <v>15</v>
      </c>
    </row>
    <row r="12746" spans="1:7" x14ac:dyDescent="0.35">
      <c r="A12746">
        <v>5069</v>
      </c>
      <c r="B12746" s="1">
        <v>45915</v>
      </c>
      <c r="C12746" t="s">
        <v>12</v>
      </c>
      <c r="D12746" s="2">
        <v>0</v>
      </c>
      <c r="E12746" s="2">
        <v>90.25</v>
      </c>
      <c r="F12746" t="s">
        <v>16</v>
      </c>
      <c r="G12746" t="s">
        <v>17</v>
      </c>
    </row>
    <row r="12747" spans="1:7" x14ac:dyDescent="0.35">
      <c r="A12747">
        <v>5070</v>
      </c>
      <c r="B12747" s="1">
        <v>45915</v>
      </c>
      <c r="C12747" t="s">
        <v>12</v>
      </c>
      <c r="D12747" s="2">
        <v>161.97999999999999</v>
      </c>
      <c r="E12747" s="2">
        <v>0</v>
      </c>
      <c r="F12747" t="s">
        <v>13</v>
      </c>
      <c r="G12747" t="s">
        <v>9</v>
      </c>
    </row>
    <row r="12748" spans="1:7" x14ac:dyDescent="0.35">
      <c r="A12748">
        <v>5070</v>
      </c>
      <c r="B12748" s="1">
        <v>45915</v>
      </c>
      <c r="C12748" t="s">
        <v>12</v>
      </c>
      <c r="D12748" s="2">
        <v>0</v>
      </c>
      <c r="E12748" s="2">
        <v>150.68</v>
      </c>
      <c r="F12748" t="s">
        <v>14</v>
      </c>
      <c r="G12748" t="s">
        <v>15</v>
      </c>
    </row>
    <row r="12749" spans="1:7" x14ac:dyDescent="0.35">
      <c r="A12749">
        <v>5070</v>
      </c>
      <c r="B12749" s="1">
        <v>45915</v>
      </c>
      <c r="C12749" t="s">
        <v>12</v>
      </c>
      <c r="D12749" s="2">
        <v>0</v>
      </c>
      <c r="E12749" s="2">
        <v>11.3</v>
      </c>
      <c r="F12749" t="s">
        <v>16</v>
      </c>
      <c r="G12749" t="s">
        <v>17</v>
      </c>
    </row>
    <row r="12750" spans="1:7" x14ac:dyDescent="0.35">
      <c r="A12750">
        <v>5071</v>
      </c>
      <c r="B12750" s="1">
        <v>45915</v>
      </c>
      <c r="C12750" t="s">
        <v>12</v>
      </c>
      <c r="D12750" s="2">
        <v>2618.61</v>
      </c>
      <c r="E12750" s="2">
        <v>0</v>
      </c>
      <c r="F12750" t="s">
        <v>13</v>
      </c>
      <c r="G12750" t="s">
        <v>9</v>
      </c>
    </row>
    <row r="12751" spans="1:7" x14ac:dyDescent="0.35">
      <c r="A12751">
        <v>5071</v>
      </c>
      <c r="B12751" s="1">
        <v>45915</v>
      </c>
      <c r="C12751" t="s">
        <v>12</v>
      </c>
      <c r="D12751" s="2">
        <v>0</v>
      </c>
      <c r="E12751" s="2">
        <v>2435.92</v>
      </c>
      <c r="F12751" t="s">
        <v>14</v>
      </c>
      <c r="G12751" t="s">
        <v>15</v>
      </c>
    </row>
    <row r="12752" spans="1:7" x14ac:dyDescent="0.35">
      <c r="A12752">
        <v>5071</v>
      </c>
      <c r="B12752" s="1">
        <v>45915</v>
      </c>
      <c r="C12752" t="s">
        <v>12</v>
      </c>
      <c r="D12752" s="2">
        <v>0</v>
      </c>
      <c r="E12752" s="2">
        <v>182.69</v>
      </c>
      <c r="F12752" t="s">
        <v>16</v>
      </c>
      <c r="G12752" t="s">
        <v>17</v>
      </c>
    </row>
    <row r="12753" spans="1:7" x14ac:dyDescent="0.35">
      <c r="A12753">
        <v>5072</v>
      </c>
      <c r="B12753" s="1">
        <v>45915</v>
      </c>
      <c r="C12753" t="s">
        <v>12</v>
      </c>
      <c r="D12753" s="2">
        <v>1485.88</v>
      </c>
      <c r="E12753" s="2">
        <v>0</v>
      </c>
      <c r="F12753" t="s">
        <v>13</v>
      </c>
      <c r="G12753" t="s">
        <v>9</v>
      </c>
    </row>
    <row r="12754" spans="1:7" x14ac:dyDescent="0.35">
      <c r="A12754">
        <v>5072</v>
      </c>
      <c r="B12754" s="1">
        <v>45915</v>
      </c>
      <c r="C12754" t="s">
        <v>12</v>
      </c>
      <c r="D12754" s="2">
        <v>0</v>
      </c>
      <c r="E12754" s="2">
        <v>1382.21</v>
      </c>
      <c r="F12754" t="s">
        <v>14</v>
      </c>
      <c r="G12754" t="s">
        <v>15</v>
      </c>
    </row>
    <row r="12755" spans="1:7" x14ac:dyDescent="0.35">
      <c r="A12755">
        <v>5072</v>
      </c>
      <c r="B12755" s="1">
        <v>45915</v>
      </c>
      <c r="C12755" t="s">
        <v>12</v>
      </c>
      <c r="D12755" s="2">
        <v>0</v>
      </c>
      <c r="E12755" s="2">
        <v>103.67</v>
      </c>
      <c r="F12755" t="s">
        <v>16</v>
      </c>
      <c r="G12755" t="s">
        <v>17</v>
      </c>
    </row>
    <row r="12756" spans="1:7" x14ac:dyDescent="0.35">
      <c r="A12756">
        <v>5073</v>
      </c>
      <c r="B12756" s="1">
        <v>45915</v>
      </c>
      <c r="C12756" t="s">
        <v>12</v>
      </c>
      <c r="D12756" s="2">
        <v>3931.85</v>
      </c>
      <c r="E12756" s="2">
        <v>0</v>
      </c>
      <c r="F12756" t="s">
        <v>13</v>
      </c>
      <c r="G12756" t="s">
        <v>9</v>
      </c>
    </row>
    <row r="12757" spans="1:7" x14ac:dyDescent="0.35">
      <c r="A12757">
        <v>5073</v>
      </c>
      <c r="B12757" s="1">
        <v>45915</v>
      </c>
      <c r="C12757" t="s">
        <v>12</v>
      </c>
      <c r="D12757" s="2">
        <v>0</v>
      </c>
      <c r="E12757" s="2">
        <v>3657.53</v>
      </c>
      <c r="F12757" t="s">
        <v>14</v>
      </c>
      <c r="G12757" t="s">
        <v>15</v>
      </c>
    </row>
    <row r="12758" spans="1:7" x14ac:dyDescent="0.35">
      <c r="A12758">
        <v>5073</v>
      </c>
      <c r="B12758" s="1">
        <v>45915</v>
      </c>
      <c r="C12758" t="s">
        <v>12</v>
      </c>
      <c r="D12758" s="2">
        <v>0</v>
      </c>
      <c r="E12758" s="2">
        <v>274.32</v>
      </c>
      <c r="F12758" t="s">
        <v>16</v>
      </c>
      <c r="G12758" t="s">
        <v>17</v>
      </c>
    </row>
    <row r="12759" spans="1:7" x14ac:dyDescent="0.35">
      <c r="A12759">
        <v>5074</v>
      </c>
      <c r="B12759" s="1">
        <v>45915</v>
      </c>
      <c r="C12759" t="s">
        <v>12</v>
      </c>
      <c r="D12759" s="2">
        <v>3636.1</v>
      </c>
      <c r="E12759" s="2">
        <v>0</v>
      </c>
      <c r="F12759" t="s">
        <v>13</v>
      </c>
      <c r="G12759" t="s">
        <v>9</v>
      </c>
    </row>
    <row r="12760" spans="1:7" x14ac:dyDescent="0.35">
      <c r="A12760">
        <v>5074</v>
      </c>
      <c r="B12760" s="1">
        <v>45915</v>
      </c>
      <c r="C12760" t="s">
        <v>12</v>
      </c>
      <c r="D12760" s="2">
        <v>0</v>
      </c>
      <c r="E12760" s="2">
        <v>3382.41</v>
      </c>
      <c r="F12760" t="s">
        <v>14</v>
      </c>
      <c r="G12760" t="s">
        <v>15</v>
      </c>
    </row>
    <row r="12761" spans="1:7" x14ac:dyDescent="0.35">
      <c r="A12761">
        <v>5074</v>
      </c>
      <c r="B12761" s="1">
        <v>45915</v>
      </c>
      <c r="C12761" t="s">
        <v>12</v>
      </c>
      <c r="D12761" s="2">
        <v>0</v>
      </c>
      <c r="E12761" s="2">
        <v>253.69</v>
      </c>
      <c r="F12761" t="s">
        <v>16</v>
      </c>
      <c r="G12761" t="s">
        <v>17</v>
      </c>
    </row>
    <row r="12762" spans="1:7" x14ac:dyDescent="0.35">
      <c r="A12762">
        <v>5075</v>
      </c>
      <c r="B12762" s="1">
        <v>45915</v>
      </c>
      <c r="C12762" t="s">
        <v>12</v>
      </c>
      <c r="D12762" s="2">
        <v>854.85</v>
      </c>
      <c r="E12762" s="2">
        <v>0</v>
      </c>
      <c r="F12762" t="s">
        <v>13</v>
      </c>
      <c r="G12762" t="s">
        <v>9</v>
      </c>
    </row>
    <row r="12763" spans="1:7" x14ac:dyDescent="0.35">
      <c r="A12763">
        <v>5075</v>
      </c>
      <c r="B12763" s="1">
        <v>45915</v>
      </c>
      <c r="C12763" t="s">
        <v>12</v>
      </c>
      <c r="D12763" s="2">
        <v>0</v>
      </c>
      <c r="E12763" s="2">
        <v>795.21</v>
      </c>
      <c r="F12763" t="s">
        <v>14</v>
      </c>
      <c r="G12763" t="s">
        <v>15</v>
      </c>
    </row>
    <row r="12764" spans="1:7" x14ac:dyDescent="0.35">
      <c r="A12764">
        <v>5075</v>
      </c>
      <c r="B12764" s="1">
        <v>45915</v>
      </c>
      <c r="C12764" t="s">
        <v>12</v>
      </c>
      <c r="D12764" s="2">
        <v>0</v>
      </c>
      <c r="E12764" s="2">
        <v>59.64</v>
      </c>
      <c r="F12764" t="s">
        <v>16</v>
      </c>
      <c r="G12764" t="s">
        <v>17</v>
      </c>
    </row>
    <row r="12765" spans="1:7" x14ac:dyDescent="0.35">
      <c r="A12765">
        <v>5076</v>
      </c>
      <c r="B12765" s="1">
        <v>45915</v>
      </c>
      <c r="C12765" t="s">
        <v>24</v>
      </c>
      <c r="D12765" s="2">
        <v>3276.66</v>
      </c>
      <c r="E12765" s="2">
        <v>0</v>
      </c>
      <c r="F12765" t="s">
        <v>8</v>
      </c>
      <c r="G12765" t="s">
        <v>9</v>
      </c>
    </row>
    <row r="12766" spans="1:7" x14ac:dyDescent="0.35">
      <c r="A12766">
        <v>5076</v>
      </c>
      <c r="B12766" s="1">
        <v>45915</v>
      </c>
      <c r="C12766" t="s">
        <v>24</v>
      </c>
      <c r="D12766" s="2">
        <v>0</v>
      </c>
      <c r="E12766" s="2">
        <v>3276.66</v>
      </c>
      <c r="F12766" t="s">
        <v>13</v>
      </c>
      <c r="G12766" t="s">
        <v>9</v>
      </c>
    </row>
    <row r="12767" spans="1:7" x14ac:dyDescent="0.35">
      <c r="A12767">
        <v>5077</v>
      </c>
      <c r="B12767" s="1">
        <v>45915</v>
      </c>
      <c r="C12767" t="s">
        <v>24</v>
      </c>
      <c r="D12767" s="2">
        <v>2901.6</v>
      </c>
      <c r="E12767" s="2">
        <v>0</v>
      </c>
      <c r="F12767" t="s">
        <v>8</v>
      </c>
      <c r="G12767" t="s">
        <v>9</v>
      </c>
    </row>
    <row r="12768" spans="1:7" x14ac:dyDescent="0.35">
      <c r="A12768">
        <v>5077</v>
      </c>
      <c r="B12768" s="1">
        <v>45915</v>
      </c>
      <c r="C12768" t="s">
        <v>24</v>
      </c>
      <c r="D12768" s="2">
        <v>0</v>
      </c>
      <c r="E12768" s="2">
        <v>2901.6</v>
      </c>
      <c r="F12768" t="s">
        <v>13</v>
      </c>
      <c r="G12768" t="s">
        <v>9</v>
      </c>
    </row>
    <row r="12769" spans="1:7" x14ac:dyDescent="0.35">
      <c r="A12769">
        <v>5078</v>
      </c>
      <c r="B12769" s="1">
        <v>45915</v>
      </c>
      <c r="C12769" t="s">
        <v>24</v>
      </c>
      <c r="D12769" s="2">
        <v>3885.86</v>
      </c>
      <c r="E12769" s="2">
        <v>0</v>
      </c>
      <c r="F12769" t="s">
        <v>8</v>
      </c>
      <c r="G12769" t="s">
        <v>9</v>
      </c>
    </row>
    <row r="12770" spans="1:7" x14ac:dyDescent="0.35">
      <c r="A12770">
        <v>5078</v>
      </c>
      <c r="B12770" s="1">
        <v>45915</v>
      </c>
      <c r="C12770" t="s">
        <v>24</v>
      </c>
      <c r="D12770" s="2">
        <v>0</v>
      </c>
      <c r="E12770" s="2">
        <v>3885.86</v>
      </c>
      <c r="F12770" t="s">
        <v>13</v>
      </c>
      <c r="G12770" t="s">
        <v>9</v>
      </c>
    </row>
    <row r="12771" spans="1:7" x14ac:dyDescent="0.35">
      <c r="A12771">
        <v>5079</v>
      </c>
      <c r="B12771" s="1">
        <v>45915</v>
      </c>
      <c r="C12771" t="s">
        <v>24</v>
      </c>
      <c r="D12771" s="2">
        <v>286.24</v>
      </c>
      <c r="E12771" s="2">
        <v>0</v>
      </c>
      <c r="F12771" t="s">
        <v>8</v>
      </c>
      <c r="G12771" t="s">
        <v>9</v>
      </c>
    </row>
    <row r="12772" spans="1:7" x14ac:dyDescent="0.35">
      <c r="A12772">
        <v>5079</v>
      </c>
      <c r="B12772" s="1">
        <v>45915</v>
      </c>
      <c r="C12772" t="s">
        <v>24</v>
      </c>
      <c r="D12772" s="2">
        <v>0</v>
      </c>
      <c r="E12772" s="2">
        <v>286.24</v>
      </c>
      <c r="F12772" t="s">
        <v>13</v>
      </c>
      <c r="G12772" t="s">
        <v>9</v>
      </c>
    </row>
    <row r="12773" spans="1:7" x14ac:dyDescent="0.35">
      <c r="A12773">
        <v>5080</v>
      </c>
      <c r="B12773" s="1">
        <v>45915</v>
      </c>
      <c r="C12773" t="s">
        <v>24</v>
      </c>
      <c r="D12773" s="2">
        <v>1726.89</v>
      </c>
      <c r="E12773" s="2">
        <v>0</v>
      </c>
      <c r="F12773" t="s">
        <v>8</v>
      </c>
      <c r="G12773" t="s">
        <v>9</v>
      </c>
    </row>
    <row r="12774" spans="1:7" x14ac:dyDescent="0.35">
      <c r="A12774">
        <v>5080</v>
      </c>
      <c r="B12774" s="1">
        <v>45915</v>
      </c>
      <c r="C12774" t="s">
        <v>24</v>
      </c>
      <c r="D12774" s="2">
        <v>0</v>
      </c>
      <c r="E12774" s="2">
        <v>1726.89</v>
      </c>
      <c r="F12774" t="s">
        <v>13</v>
      </c>
      <c r="G12774" t="s">
        <v>9</v>
      </c>
    </row>
    <row r="12775" spans="1:7" x14ac:dyDescent="0.35">
      <c r="A12775">
        <v>5081</v>
      </c>
      <c r="B12775" s="1">
        <v>45915</v>
      </c>
      <c r="C12775" t="s">
        <v>24</v>
      </c>
      <c r="D12775" s="2">
        <v>3506.96</v>
      </c>
      <c r="E12775" s="2">
        <v>0</v>
      </c>
      <c r="F12775" t="s">
        <v>8</v>
      </c>
      <c r="G12775" t="s">
        <v>9</v>
      </c>
    </row>
    <row r="12776" spans="1:7" x14ac:dyDescent="0.35">
      <c r="A12776">
        <v>5081</v>
      </c>
      <c r="B12776" s="1">
        <v>45915</v>
      </c>
      <c r="C12776" t="s">
        <v>24</v>
      </c>
      <c r="D12776" s="2">
        <v>0</v>
      </c>
      <c r="E12776" s="2">
        <v>3506.96</v>
      </c>
      <c r="F12776" t="s">
        <v>13</v>
      </c>
      <c r="G12776" t="s">
        <v>9</v>
      </c>
    </row>
    <row r="12777" spans="1:7" x14ac:dyDescent="0.35">
      <c r="A12777">
        <v>5082</v>
      </c>
      <c r="B12777" s="1">
        <v>45915</v>
      </c>
      <c r="C12777" t="s">
        <v>24</v>
      </c>
      <c r="D12777" s="2">
        <v>838.44</v>
      </c>
      <c r="E12777" s="2">
        <v>0</v>
      </c>
      <c r="F12777" t="s">
        <v>8</v>
      </c>
      <c r="G12777" t="s">
        <v>9</v>
      </c>
    </row>
    <row r="12778" spans="1:7" x14ac:dyDescent="0.35">
      <c r="A12778">
        <v>5082</v>
      </c>
      <c r="B12778" s="1">
        <v>45915</v>
      </c>
      <c r="C12778" t="s">
        <v>24</v>
      </c>
      <c r="D12778" s="2">
        <v>0</v>
      </c>
      <c r="E12778" s="2">
        <v>838.44</v>
      </c>
      <c r="F12778" t="s">
        <v>13</v>
      </c>
      <c r="G12778" t="s">
        <v>9</v>
      </c>
    </row>
    <row r="12779" spans="1:7" x14ac:dyDescent="0.35">
      <c r="A12779">
        <v>5083</v>
      </c>
      <c r="B12779" s="1">
        <v>45915</v>
      </c>
      <c r="C12779" t="s">
        <v>25</v>
      </c>
      <c r="D12779" s="2">
        <v>2714.58</v>
      </c>
      <c r="E12779" s="2">
        <v>0</v>
      </c>
      <c r="F12779" t="s">
        <v>26</v>
      </c>
      <c r="G12779" t="s">
        <v>20</v>
      </c>
    </row>
    <row r="12780" spans="1:7" x14ac:dyDescent="0.35">
      <c r="A12780">
        <v>5083</v>
      </c>
      <c r="B12780" s="1">
        <v>45915</v>
      </c>
      <c r="C12780" t="s">
        <v>25</v>
      </c>
      <c r="D12780" s="2">
        <v>203.59</v>
      </c>
      <c r="E12780" s="2">
        <v>0</v>
      </c>
      <c r="F12780" t="s">
        <v>27</v>
      </c>
      <c r="G12780" t="s">
        <v>9</v>
      </c>
    </row>
    <row r="12781" spans="1:7" x14ac:dyDescent="0.35">
      <c r="A12781">
        <v>5083</v>
      </c>
      <c r="B12781" s="1">
        <v>45915</v>
      </c>
      <c r="C12781" t="s">
        <v>25</v>
      </c>
      <c r="D12781" s="2">
        <v>0</v>
      </c>
      <c r="E12781" s="2">
        <v>2918.17</v>
      </c>
      <c r="F12781" t="s">
        <v>28</v>
      </c>
      <c r="G12781" t="s">
        <v>17</v>
      </c>
    </row>
    <row r="12782" spans="1:7" x14ac:dyDescent="0.35">
      <c r="A12782">
        <v>5084</v>
      </c>
      <c r="B12782" s="1">
        <v>45915</v>
      </c>
      <c r="C12782" t="s">
        <v>25</v>
      </c>
      <c r="D12782" s="2">
        <v>2329.52</v>
      </c>
      <c r="E12782" s="2">
        <v>0</v>
      </c>
      <c r="F12782" t="s">
        <v>26</v>
      </c>
      <c r="G12782" t="s">
        <v>20</v>
      </c>
    </row>
    <row r="12783" spans="1:7" x14ac:dyDescent="0.35">
      <c r="A12783">
        <v>5084</v>
      </c>
      <c r="B12783" s="1">
        <v>45915</v>
      </c>
      <c r="C12783" t="s">
        <v>25</v>
      </c>
      <c r="D12783" s="2">
        <v>174.71</v>
      </c>
      <c r="E12783" s="2">
        <v>0</v>
      </c>
      <c r="F12783" t="s">
        <v>27</v>
      </c>
      <c r="G12783" t="s">
        <v>9</v>
      </c>
    </row>
    <row r="12784" spans="1:7" x14ac:dyDescent="0.35">
      <c r="A12784">
        <v>5084</v>
      </c>
      <c r="B12784" s="1">
        <v>45915</v>
      </c>
      <c r="C12784" t="s">
        <v>25</v>
      </c>
      <c r="D12784" s="2">
        <v>0</v>
      </c>
      <c r="E12784" s="2">
        <v>2504.23</v>
      </c>
      <c r="F12784" t="s">
        <v>28</v>
      </c>
      <c r="G12784" t="s">
        <v>17</v>
      </c>
    </row>
    <row r="12785" spans="1:7" x14ac:dyDescent="0.35">
      <c r="A12785">
        <v>5085</v>
      </c>
      <c r="B12785" s="1">
        <v>45915</v>
      </c>
      <c r="C12785" t="s">
        <v>25</v>
      </c>
      <c r="D12785" s="2">
        <v>4476.71</v>
      </c>
      <c r="E12785" s="2">
        <v>0</v>
      </c>
      <c r="F12785" t="s">
        <v>26</v>
      </c>
      <c r="G12785" t="s">
        <v>20</v>
      </c>
    </row>
    <row r="12786" spans="1:7" x14ac:dyDescent="0.35">
      <c r="A12786">
        <v>5085</v>
      </c>
      <c r="B12786" s="1">
        <v>45915</v>
      </c>
      <c r="C12786" t="s">
        <v>25</v>
      </c>
      <c r="D12786" s="2">
        <v>335.75</v>
      </c>
      <c r="E12786" s="2">
        <v>0</v>
      </c>
      <c r="F12786" t="s">
        <v>27</v>
      </c>
      <c r="G12786" t="s">
        <v>9</v>
      </c>
    </row>
    <row r="12787" spans="1:7" x14ac:dyDescent="0.35">
      <c r="A12787">
        <v>5085</v>
      </c>
      <c r="B12787" s="1">
        <v>45915</v>
      </c>
      <c r="C12787" t="s">
        <v>25</v>
      </c>
      <c r="D12787" s="2">
        <v>0</v>
      </c>
      <c r="E12787" s="2">
        <v>4812.46</v>
      </c>
      <c r="F12787" t="s">
        <v>28</v>
      </c>
      <c r="G12787" t="s">
        <v>17</v>
      </c>
    </row>
    <row r="12788" spans="1:7" x14ac:dyDescent="0.35">
      <c r="A12788">
        <v>5086</v>
      </c>
      <c r="B12788" s="1">
        <v>45915</v>
      </c>
      <c r="C12788" t="s">
        <v>25</v>
      </c>
      <c r="D12788" s="2">
        <v>2030.15</v>
      </c>
      <c r="E12788" s="2">
        <v>0</v>
      </c>
      <c r="F12788" t="s">
        <v>26</v>
      </c>
      <c r="G12788" t="s">
        <v>20</v>
      </c>
    </row>
    <row r="12789" spans="1:7" x14ac:dyDescent="0.35">
      <c r="A12789">
        <v>5086</v>
      </c>
      <c r="B12789" s="1">
        <v>45915</v>
      </c>
      <c r="C12789" t="s">
        <v>25</v>
      </c>
      <c r="D12789" s="2">
        <v>152.26</v>
      </c>
      <c r="E12789" s="2">
        <v>0</v>
      </c>
      <c r="F12789" t="s">
        <v>27</v>
      </c>
      <c r="G12789" t="s">
        <v>9</v>
      </c>
    </row>
    <row r="12790" spans="1:7" x14ac:dyDescent="0.35">
      <c r="A12790">
        <v>5086</v>
      </c>
      <c r="B12790" s="1">
        <v>45915</v>
      </c>
      <c r="C12790" t="s">
        <v>25</v>
      </c>
      <c r="D12790" s="2">
        <v>0</v>
      </c>
      <c r="E12790" s="2">
        <v>2182.41</v>
      </c>
      <c r="F12790" t="s">
        <v>28</v>
      </c>
      <c r="G12790" t="s">
        <v>17</v>
      </c>
    </row>
    <row r="12791" spans="1:7" x14ac:dyDescent="0.35">
      <c r="A12791">
        <v>5087</v>
      </c>
      <c r="B12791" s="1">
        <v>45915</v>
      </c>
      <c r="C12791" t="s">
        <v>25</v>
      </c>
      <c r="D12791" s="2">
        <v>2451.5</v>
      </c>
      <c r="E12791" s="2">
        <v>0</v>
      </c>
      <c r="F12791" t="s">
        <v>26</v>
      </c>
      <c r="G12791" t="s">
        <v>20</v>
      </c>
    </row>
    <row r="12792" spans="1:7" x14ac:dyDescent="0.35">
      <c r="A12792">
        <v>5087</v>
      </c>
      <c r="B12792" s="1">
        <v>45915</v>
      </c>
      <c r="C12792" t="s">
        <v>25</v>
      </c>
      <c r="D12792" s="2">
        <v>183.86</v>
      </c>
      <c r="E12792" s="2">
        <v>0</v>
      </c>
      <c r="F12792" t="s">
        <v>27</v>
      </c>
      <c r="G12792" t="s">
        <v>9</v>
      </c>
    </row>
    <row r="12793" spans="1:7" x14ac:dyDescent="0.35">
      <c r="A12793">
        <v>5087</v>
      </c>
      <c r="B12793" s="1">
        <v>45915</v>
      </c>
      <c r="C12793" t="s">
        <v>25</v>
      </c>
      <c r="D12793" s="2">
        <v>0</v>
      </c>
      <c r="E12793" s="2">
        <v>2635.36</v>
      </c>
      <c r="F12793" t="s">
        <v>28</v>
      </c>
      <c r="G12793" t="s">
        <v>17</v>
      </c>
    </row>
    <row r="12794" spans="1:7" x14ac:dyDescent="0.35">
      <c r="A12794">
        <v>5088</v>
      </c>
      <c r="B12794" s="1">
        <v>45915</v>
      </c>
      <c r="C12794" t="s">
        <v>29</v>
      </c>
      <c r="D12794" s="2">
        <v>1591.54</v>
      </c>
      <c r="E12794" s="2">
        <v>0</v>
      </c>
      <c r="F12794" t="s">
        <v>28</v>
      </c>
      <c r="G12794" t="s">
        <v>17</v>
      </c>
    </row>
    <row r="12795" spans="1:7" x14ac:dyDescent="0.35">
      <c r="A12795">
        <v>5088</v>
      </c>
      <c r="B12795" s="1">
        <v>45915</v>
      </c>
      <c r="C12795" t="s">
        <v>29</v>
      </c>
      <c r="D12795" s="2">
        <v>0</v>
      </c>
      <c r="E12795" s="2">
        <v>1591.54</v>
      </c>
      <c r="F12795" t="s">
        <v>8</v>
      </c>
      <c r="G12795" t="s">
        <v>9</v>
      </c>
    </row>
    <row r="12796" spans="1:7" x14ac:dyDescent="0.35">
      <c r="A12796">
        <v>5089</v>
      </c>
      <c r="B12796" s="1">
        <v>45915</v>
      </c>
      <c r="C12796" t="s">
        <v>29</v>
      </c>
      <c r="D12796" s="2">
        <v>3528.97</v>
      </c>
      <c r="E12796" s="2">
        <v>0</v>
      </c>
      <c r="F12796" t="s">
        <v>28</v>
      </c>
      <c r="G12796" t="s">
        <v>17</v>
      </c>
    </row>
    <row r="12797" spans="1:7" x14ac:dyDescent="0.35">
      <c r="A12797">
        <v>5089</v>
      </c>
      <c r="B12797" s="1">
        <v>45915</v>
      </c>
      <c r="C12797" t="s">
        <v>29</v>
      </c>
      <c r="D12797" s="2">
        <v>0</v>
      </c>
      <c r="E12797" s="2">
        <v>3528.97</v>
      </c>
      <c r="F12797" t="s">
        <v>8</v>
      </c>
      <c r="G12797" t="s">
        <v>9</v>
      </c>
    </row>
    <row r="12798" spans="1:7" x14ac:dyDescent="0.35">
      <c r="A12798">
        <v>5090</v>
      </c>
      <c r="B12798" s="1">
        <v>45916</v>
      </c>
      <c r="C12798" t="s">
        <v>12</v>
      </c>
      <c r="D12798" s="2">
        <v>3448.16</v>
      </c>
      <c r="E12798" s="2">
        <v>0</v>
      </c>
      <c r="F12798" t="s">
        <v>13</v>
      </c>
      <c r="G12798" t="s">
        <v>9</v>
      </c>
    </row>
    <row r="12799" spans="1:7" x14ac:dyDescent="0.35">
      <c r="A12799">
        <v>5090</v>
      </c>
      <c r="B12799" s="1">
        <v>45916</v>
      </c>
      <c r="C12799" t="s">
        <v>12</v>
      </c>
      <c r="D12799" s="2">
        <v>0</v>
      </c>
      <c r="E12799" s="2">
        <v>3207.59</v>
      </c>
      <c r="F12799" t="s">
        <v>14</v>
      </c>
      <c r="G12799" t="s">
        <v>15</v>
      </c>
    </row>
    <row r="12800" spans="1:7" x14ac:dyDescent="0.35">
      <c r="A12800">
        <v>5090</v>
      </c>
      <c r="B12800" s="1">
        <v>45916</v>
      </c>
      <c r="C12800" t="s">
        <v>12</v>
      </c>
      <c r="D12800" s="2">
        <v>0</v>
      </c>
      <c r="E12800" s="2">
        <v>240.57</v>
      </c>
      <c r="F12800" t="s">
        <v>16</v>
      </c>
      <c r="G12800" t="s">
        <v>17</v>
      </c>
    </row>
    <row r="12801" spans="1:7" x14ac:dyDescent="0.35">
      <c r="A12801">
        <v>5091</v>
      </c>
      <c r="B12801" s="1">
        <v>45916</v>
      </c>
      <c r="C12801" t="s">
        <v>12</v>
      </c>
      <c r="D12801" s="2">
        <v>1644.19</v>
      </c>
      <c r="E12801" s="2">
        <v>0</v>
      </c>
      <c r="F12801" t="s">
        <v>13</v>
      </c>
      <c r="G12801" t="s">
        <v>9</v>
      </c>
    </row>
    <row r="12802" spans="1:7" x14ac:dyDescent="0.35">
      <c r="A12802">
        <v>5091</v>
      </c>
      <c r="B12802" s="1">
        <v>45916</v>
      </c>
      <c r="C12802" t="s">
        <v>12</v>
      </c>
      <c r="D12802" s="2">
        <v>0</v>
      </c>
      <c r="E12802" s="2">
        <v>1529.48</v>
      </c>
      <c r="F12802" t="s">
        <v>14</v>
      </c>
      <c r="G12802" t="s">
        <v>15</v>
      </c>
    </row>
    <row r="12803" spans="1:7" x14ac:dyDescent="0.35">
      <c r="A12803">
        <v>5091</v>
      </c>
      <c r="B12803" s="1">
        <v>45916</v>
      </c>
      <c r="C12803" t="s">
        <v>12</v>
      </c>
      <c r="D12803" s="2">
        <v>0</v>
      </c>
      <c r="E12803" s="2">
        <v>114.71</v>
      </c>
      <c r="F12803" t="s">
        <v>16</v>
      </c>
      <c r="G12803" t="s">
        <v>17</v>
      </c>
    </row>
    <row r="12804" spans="1:7" x14ac:dyDescent="0.35">
      <c r="A12804">
        <v>5092</v>
      </c>
      <c r="B12804" s="1">
        <v>45916</v>
      </c>
      <c r="C12804" t="s">
        <v>12</v>
      </c>
      <c r="D12804" s="2">
        <v>3663.1</v>
      </c>
      <c r="E12804" s="2">
        <v>0</v>
      </c>
      <c r="F12804" t="s">
        <v>13</v>
      </c>
      <c r="G12804" t="s">
        <v>9</v>
      </c>
    </row>
    <row r="12805" spans="1:7" x14ac:dyDescent="0.35">
      <c r="A12805">
        <v>5092</v>
      </c>
      <c r="B12805" s="1">
        <v>45916</v>
      </c>
      <c r="C12805" t="s">
        <v>12</v>
      </c>
      <c r="D12805" s="2">
        <v>0</v>
      </c>
      <c r="E12805" s="2">
        <v>3407.53</v>
      </c>
      <c r="F12805" t="s">
        <v>14</v>
      </c>
      <c r="G12805" t="s">
        <v>15</v>
      </c>
    </row>
    <row r="12806" spans="1:7" x14ac:dyDescent="0.35">
      <c r="A12806">
        <v>5092</v>
      </c>
      <c r="B12806" s="1">
        <v>45916</v>
      </c>
      <c r="C12806" t="s">
        <v>12</v>
      </c>
      <c r="D12806" s="2">
        <v>0</v>
      </c>
      <c r="E12806" s="2">
        <v>255.57</v>
      </c>
      <c r="F12806" t="s">
        <v>16</v>
      </c>
      <c r="G12806" t="s">
        <v>17</v>
      </c>
    </row>
    <row r="12807" spans="1:7" x14ac:dyDescent="0.35">
      <c r="A12807">
        <v>5093</v>
      </c>
      <c r="B12807" s="1">
        <v>45916</v>
      </c>
      <c r="C12807" t="s">
        <v>12</v>
      </c>
      <c r="D12807" s="2">
        <v>3032.39</v>
      </c>
      <c r="E12807" s="2">
        <v>0</v>
      </c>
      <c r="F12807" t="s">
        <v>13</v>
      </c>
      <c r="G12807" t="s">
        <v>9</v>
      </c>
    </row>
    <row r="12808" spans="1:7" x14ac:dyDescent="0.35">
      <c r="A12808">
        <v>5093</v>
      </c>
      <c r="B12808" s="1">
        <v>45916</v>
      </c>
      <c r="C12808" t="s">
        <v>12</v>
      </c>
      <c r="D12808" s="2">
        <v>0</v>
      </c>
      <c r="E12808" s="2">
        <v>2820.83</v>
      </c>
      <c r="F12808" t="s">
        <v>14</v>
      </c>
      <c r="G12808" t="s">
        <v>15</v>
      </c>
    </row>
    <row r="12809" spans="1:7" x14ac:dyDescent="0.35">
      <c r="A12809">
        <v>5093</v>
      </c>
      <c r="B12809" s="1">
        <v>45916</v>
      </c>
      <c r="C12809" t="s">
        <v>12</v>
      </c>
      <c r="D12809" s="2">
        <v>0</v>
      </c>
      <c r="E12809" s="2">
        <v>211.56</v>
      </c>
      <c r="F12809" t="s">
        <v>16</v>
      </c>
      <c r="G12809" t="s">
        <v>17</v>
      </c>
    </row>
    <row r="12810" spans="1:7" x14ac:dyDescent="0.35">
      <c r="A12810">
        <v>5094</v>
      </c>
      <c r="B12810" s="1">
        <v>45916</v>
      </c>
      <c r="C12810" t="s">
        <v>12</v>
      </c>
      <c r="D12810" s="2">
        <v>6204.62</v>
      </c>
      <c r="E12810" s="2">
        <v>0</v>
      </c>
      <c r="F12810" t="s">
        <v>13</v>
      </c>
      <c r="G12810" t="s">
        <v>9</v>
      </c>
    </row>
    <row r="12811" spans="1:7" x14ac:dyDescent="0.35">
      <c r="A12811">
        <v>5094</v>
      </c>
      <c r="B12811" s="1">
        <v>45916</v>
      </c>
      <c r="C12811" t="s">
        <v>12</v>
      </c>
      <c r="D12811" s="2">
        <v>0</v>
      </c>
      <c r="E12811" s="2">
        <v>5771.73</v>
      </c>
      <c r="F12811" t="s">
        <v>14</v>
      </c>
      <c r="G12811" t="s">
        <v>15</v>
      </c>
    </row>
    <row r="12812" spans="1:7" x14ac:dyDescent="0.35">
      <c r="A12812">
        <v>5094</v>
      </c>
      <c r="B12812" s="1">
        <v>45916</v>
      </c>
      <c r="C12812" t="s">
        <v>12</v>
      </c>
      <c r="D12812" s="2">
        <v>0</v>
      </c>
      <c r="E12812" s="2">
        <v>432.89</v>
      </c>
      <c r="F12812" t="s">
        <v>16</v>
      </c>
      <c r="G12812" t="s">
        <v>17</v>
      </c>
    </row>
    <row r="12813" spans="1:7" x14ac:dyDescent="0.35">
      <c r="A12813">
        <v>5095</v>
      </c>
      <c r="B12813" s="1">
        <v>45916</v>
      </c>
      <c r="C12813" t="s">
        <v>12</v>
      </c>
      <c r="D12813" s="2">
        <v>1260.1199999999999</v>
      </c>
      <c r="E12813" s="2">
        <v>0</v>
      </c>
      <c r="F12813" t="s">
        <v>13</v>
      </c>
      <c r="G12813" t="s">
        <v>9</v>
      </c>
    </row>
    <row r="12814" spans="1:7" x14ac:dyDescent="0.35">
      <c r="A12814">
        <v>5095</v>
      </c>
      <c r="B12814" s="1">
        <v>45916</v>
      </c>
      <c r="C12814" t="s">
        <v>12</v>
      </c>
      <c r="D12814" s="2">
        <v>0</v>
      </c>
      <c r="E12814" s="2">
        <v>1172.21</v>
      </c>
      <c r="F12814" t="s">
        <v>14</v>
      </c>
      <c r="G12814" t="s">
        <v>15</v>
      </c>
    </row>
    <row r="12815" spans="1:7" x14ac:dyDescent="0.35">
      <c r="A12815">
        <v>5095</v>
      </c>
      <c r="B12815" s="1">
        <v>45916</v>
      </c>
      <c r="C12815" t="s">
        <v>12</v>
      </c>
      <c r="D12815" s="2">
        <v>0</v>
      </c>
      <c r="E12815" s="2">
        <v>87.91</v>
      </c>
      <c r="F12815" t="s">
        <v>16</v>
      </c>
      <c r="G12815" t="s">
        <v>17</v>
      </c>
    </row>
    <row r="12816" spans="1:7" x14ac:dyDescent="0.35">
      <c r="A12816">
        <v>5096</v>
      </c>
      <c r="B12816" s="1">
        <v>45916</v>
      </c>
      <c r="C12816" t="s">
        <v>12</v>
      </c>
      <c r="D12816" s="2">
        <v>2006.02</v>
      </c>
      <c r="E12816" s="2">
        <v>0</v>
      </c>
      <c r="F12816" t="s">
        <v>13</v>
      </c>
      <c r="G12816" t="s">
        <v>9</v>
      </c>
    </row>
    <row r="12817" spans="1:7" x14ac:dyDescent="0.35">
      <c r="A12817">
        <v>5096</v>
      </c>
      <c r="B12817" s="1">
        <v>45916</v>
      </c>
      <c r="C12817" t="s">
        <v>12</v>
      </c>
      <c r="D12817" s="2">
        <v>0</v>
      </c>
      <c r="E12817" s="2">
        <v>1866.07</v>
      </c>
      <c r="F12817" t="s">
        <v>14</v>
      </c>
      <c r="G12817" t="s">
        <v>15</v>
      </c>
    </row>
    <row r="12818" spans="1:7" x14ac:dyDescent="0.35">
      <c r="A12818">
        <v>5096</v>
      </c>
      <c r="B12818" s="1">
        <v>45916</v>
      </c>
      <c r="C12818" t="s">
        <v>12</v>
      </c>
      <c r="D12818" s="2">
        <v>0</v>
      </c>
      <c r="E12818" s="2">
        <v>139.94999999999999</v>
      </c>
      <c r="F12818" t="s">
        <v>16</v>
      </c>
      <c r="G12818" t="s">
        <v>17</v>
      </c>
    </row>
    <row r="12819" spans="1:7" x14ac:dyDescent="0.35">
      <c r="A12819">
        <v>5097</v>
      </c>
      <c r="B12819" s="1">
        <v>45916</v>
      </c>
      <c r="C12819" t="s">
        <v>24</v>
      </c>
      <c r="D12819" s="2">
        <v>3742.94</v>
      </c>
      <c r="E12819" s="2">
        <v>0</v>
      </c>
      <c r="F12819" t="s">
        <v>8</v>
      </c>
      <c r="G12819" t="s">
        <v>9</v>
      </c>
    </row>
    <row r="12820" spans="1:7" x14ac:dyDescent="0.35">
      <c r="A12820">
        <v>5097</v>
      </c>
      <c r="B12820" s="1">
        <v>45916</v>
      </c>
      <c r="C12820" t="s">
        <v>24</v>
      </c>
      <c r="D12820" s="2">
        <v>0</v>
      </c>
      <c r="E12820" s="2">
        <v>3742.94</v>
      </c>
      <c r="F12820" t="s">
        <v>13</v>
      </c>
      <c r="G12820" t="s">
        <v>9</v>
      </c>
    </row>
    <row r="12821" spans="1:7" x14ac:dyDescent="0.35">
      <c r="A12821">
        <v>5098</v>
      </c>
      <c r="B12821" s="1">
        <v>45916</v>
      </c>
      <c r="C12821" t="s">
        <v>24</v>
      </c>
      <c r="D12821" s="2">
        <v>442.62</v>
      </c>
      <c r="E12821" s="2">
        <v>0</v>
      </c>
      <c r="F12821" t="s">
        <v>8</v>
      </c>
      <c r="G12821" t="s">
        <v>9</v>
      </c>
    </row>
    <row r="12822" spans="1:7" x14ac:dyDescent="0.35">
      <c r="A12822">
        <v>5098</v>
      </c>
      <c r="B12822" s="1">
        <v>45916</v>
      </c>
      <c r="C12822" t="s">
        <v>24</v>
      </c>
      <c r="D12822" s="2">
        <v>0</v>
      </c>
      <c r="E12822" s="2">
        <v>442.62</v>
      </c>
      <c r="F12822" t="s">
        <v>13</v>
      </c>
      <c r="G12822" t="s">
        <v>9</v>
      </c>
    </row>
    <row r="12823" spans="1:7" x14ac:dyDescent="0.35">
      <c r="A12823">
        <v>5099</v>
      </c>
      <c r="B12823" s="1">
        <v>45916</v>
      </c>
      <c r="C12823" t="s">
        <v>24</v>
      </c>
      <c r="D12823" s="2">
        <v>1404.43</v>
      </c>
      <c r="E12823" s="2">
        <v>0</v>
      </c>
      <c r="F12823" t="s">
        <v>8</v>
      </c>
      <c r="G12823" t="s">
        <v>9</v>
      </c>
    </row>
    <row r="12824" spans="1:7" x14ac:dyDescent="0.35">
      <c r="A12824">
        <v>5099</v>
      </c>
      <c r="B12824" s="1">
        <v>45916</v>
      </c>
      <c r="C12824" t="s">
        <v>24</v>
      </c>
      <c r="D12824" s="2">
        <v>0</v>
      </c>
      <c r="E12824" s="2">
        <v>1404.43</v>
      </c>
      <c r="F12824" t="s">
        <v>13</v>
      </c>
      <c r="G12824" t="s">
        <v>9</v>
      </c>
    </row>
    <row r="12825" spans="1:7" x14ac:dyDescent="0.35">
      <c r="A12825">
        <v>5100</v>
      </c>
      <c r="B12825" s="1">
        <v>45916</v>
      </c>
      <c r="C12825" t="s">
        <v>24</v>
      </c>
      <c r="D12825" s="2">
        <v>862.87</v>
      </c>
      <c r="E12825" s="2">
        <v>0</v>
      </c>
      <c r="F12825" t="s">
        <v>8</v>
      </c>
      <c r="G12825" t="s">
        <v>9</v>
      </c>
    </row>
    <row r="12826" spans="1:7" x14ac:dyDescent="0.35">
      <c r="A12826">
        <v>5100</v>
      </c>
      <c r="B12826" s="1">
        <v>45916</v>
      </c>
      <c r="C12826" t="s">
        <v>24</v>
      </c>
      <c r="D12826" s="2">
        <v>0</v>
      </c>
      <c r="E12826" s="2">
        <v>862.87</v>
      </c>
      <c r="F12826" t="s">
        <v>13</v>
      </c>
      <c r="G12826" t="s">
        <v>9</v>
      </c>
    </row>
    <row r="12827" spans="1:7" x14ac:dyDescent="0.35">
      <c r="A12827">
        <v>5101</v>
      </c>
      <c r="B12827" s="1">
        <v>45916</v>
      </c>
      <c r="C12827" t="s">
        <v>24</v>
      </c>
      <c r="D12827" s="2">
        <v>2310.7600000000002</v>
      </c>
      <c r="E12827" s="2">
        <v>0</v>
      </c>
      <c r="F12827" t="s">
        <v>8</v>
      </c>
      <c r="G12827" t="s">
        <v>9</v>
      </c>
    </row>
    <row r="12828" spans="1:7" x14ac:dyDescent="0.35">
      <c r="A12828">
        <v>5101</v>
      </c>
      <c r="B12828" s="1">
        <v>45916</v>
      </c>
      <c r="C12828" t="s">
        <v>24</v>
      </c>
      <c r="D12828" s="2">
        <v>0</v>
      </c>
      <c r="E12828" s="2">
        <v>2310.7600000000002</v>
      </c>
      <c r="F12828" t="s">
        <v>13</v>
      </c>
      <c r="G12828" t="s">
        <v>9</v>
      </c>
    </row>
    <row r="12829" spans="1:7" x14ac:dyDescent="0.35">
      <c r="A12829">
        <v>5102</v>
      </c>
      <c r="B12829" s="1">
        <v>45916</v>
      </c>
      <c r="C12829" t="s">
        <v>24</v>
      </c>
      <c r="D12829" s="2">
        <v>2780.49</v>
      </c>
      <c r="E12829" s="2">
        <v>0</v>
      </c>
      <c r="F12829" t="s">
        <v>8</v>
      </c>
      <c r="G12829" t="s">
        <v>9</v>
      </c>
    </row>
    <row r="12830" spans="1:7" x14ac:dyDescent="0.35">
      <c r="A12830">
        <v>5102</v>
      </c>
      <c r="B12830" s="1">
        <v>45916</v>
      </c>
      <c r="C12830" t="s">
        <v>24</v>
      </c>
      <c r="D12830" s="2">
        <v>0</v>
      </c>
      <c r="E12830" s="2">
        <v>2780.49</v>
      </c>
      <c r="F12830" t="s">
        <v>13</v>
      </c>
      <c r="G12830" t="s">
        <v>9</v>
      </c>
    </row>
    <row r="12831" spans="1:7" x14ac:dyDescent="0.35">
      <c r="A12831">
        <v>5103</v>
      </c>
      <c r="B12831" s="1">
        <v>45916</v>
      </c>
      <c r="C12831" t="s">
        <v>29</v>
      </c>
      <c r="D12831" s="2">
        <v>2093.2800000000002</v>
      </c>
      <c r="E12831" s="2">
        <v>0</v>
      </c>
      <c r="F12831" t="s">
        <v>28</v>
      </c>
      <c r="G12831" t="s">
        <v>17</v>
      </c>
    </row>
    <row r="12832" spans="1:7" x14ac:dyDescent="0.35">
      <c r="A12832">
        <v>5103</v>
      </c>
      <c r="B12832" s="1">
        <v>45916</v>
      </c>
      <c r="C12832" t="s">
        <v>29</v>
      </c>
      <c r="D12832" s="2">
        <v>0</v>
      </c>
      <c r="E12832" s="2">
        <v>2093.2800000000002</v>
      </c>
      <c r="F12832" t="s">
        <v>8</v>
      </c>
      <c r="G12832" t="s">
        <v>9</v>
      </c>
    </row>
    <row r="12833" spans="1:7" x14ac:dyDescent="0.35">
      <c r="A12833">
        <v>5104</v>
      </c>
      <c r="B12833" s="1">
        <v>45917</v>
      </c>
      <c r="C12833" t="s">
        <v>12</v>
      </c>
      <c r="D12833" s="2">
        <v>3052.05</v>
      </c>
      <c r="E12833" s="2">
        <v>0</v>
      </c>
      <c r="F12833" t="s">
        <v>13</v>
      </c>
      <c r="G12833" t="s">
        <v>9</v>
      </c>
    </row>
    <row r="12834" spans="1:7" x14ac:dyDescent="0.35">
      <c r="A12834">
        <v>5104</v>
      </c>
      <c r="B12834" s="1">
        <v>45917</v>
      </c>
      <c r="C12834" t="s">
        <v>12</v>
      </c>
      <c r="D12834" s="2">
        <v>0</v>
      </c>
      <c r="E12834" s="2">
        <v>2839.13</v>
      </c>
      <c r="F12834" t="s">
        <v>14</v>
      </c>
      <c r="G12834" t="s">
        <v>15</v>
      </c>
    </row>
    <row r="12835" spans="1:7" x14ac:dyDescent="0.35">
      <c r="A12835">
        <v>5104</v>
      </c>
      <c r="B12835" s="1">
        <v>45917</v>
      </c>
      <c r="C12835" t="s">
        <v>12</v>
      </c>
      <c r="D12835" s="2">
        <v>0</v>
      </c>
      <c r="E12835" s="2">
        <v>212.92</v>
      </c>
      <c r="F12835" t="s">
        <v>16</v>
      </c>
      <c r="G12835" t="s">
        <v>17</v>
      </c>
    </row>
    <row r="12836" spans="1:7" x14ac:dyDescent="0.35">
      <c r="A12836">
        <v>5105</v>
      </c>
      <c r="B12836" s="1">
        <v>45917</v>
      </c>
      <c r="C12836" t="s">
        <v>12</v>
      </c>
      <c r="D12836" s="2">
        <v>5090</v>
      </c>
      <c r="E12836" s="2">
        <v>0</v>
      </c>
      <c r="F12836" t="s">
        <v>13</v>
      </c>
      <c r="G12836" t="s">
        <v>9</v>
      </c>
    </row>
    <row r="12837" spans="1:7" x14ac:dyDescent="0.35">
      <c r="A12837">
        <v>5105</v>
      </c>
      <c r="B12837" s="1">
        <v>45917</v>
      </c>
      <c r="C12837" t="s">
        <v>12</v>
      </c>
      <c r="D12837" s="2">
        <v>0</v>
      </c>
      <c r="E12837" s="2">
        <v>4734.8900000000003</v>
      </c>
      <c r="F12837" t="s">
        <v>14</v>
      </c>
      <c r="G12837" t="s">
        <v>15</v>
      </c>
    </row>
    <row r="12838" spans="1:7" x14ac:dyDescent="0.35">
      <c r="A12838">
        <v>5105</v>
      </c>
      <c r="B12838" s="1">
        <v>45917</v>
      </c>
      <c r="C12838" t="s">
        <v>12</v>
      </c>
      <c r="D12838" s="2">
        <v>0</v>
      </c>
      <c r="E12838" s="2">
        <v>355.11</v>
      </c>
      <c r="F12838" t="s">
        <v>16</v>
      </c>
      <c r="G12838" t="s">
        <v>17</v>
      </c>
    </row>
    <row r="12839" spans="1:7" x14ac:dyDescent="0.35">
      <c r="A12839">
        <v>5106</v>
      </c>
      <c r="B12839" s="1">
        <v>45917</v>
      </c>
      <c r="C12839" t="s">
        <v>12</v>
      </c>
      <c r="D12839" s="2">
        <v>1367.83</v>
      </c>
      <c r="E12839" s="2">
        <v>0</v>
      </c>
      <c r="F12839" t="s">
        <v>13</v>
      </c>
      <c r="G12839" t="s">
        <v>9</v>
      </c>
    </row>
    <row r="12840" spans="1:7" x14ac:dyDescent="0.35">
      <c r="A12840">
        <v>5106</v>
      </c>
      <c r="B12840" s="1">
        <v>45917</v>
      </c>
      <c r="C12840" t="s">
        <v>12</v>
      </c>
      <c r="D12840" s="2">
        <v>0</v>
      </c>
      <c r="E12840" s="2">
        <v>1272.4000000000001</v>
      </c>
      <c r="F12840" t="s">
        <v>14</v>
      </c>
      <c r="G12840" t="s">
        <v>15</v>
      </c>
    </row>
    <row r="12841" spans="1:7" x14ac:dyDescent="0.35">
      <c r="A12841">
        <v>5106</v>
      </c>
      <c r="B12841" s="1">
        <v>45917</v>
      </c>
      <c r="C12841" t="s">
        <v>12</v>
      </c>
      <c r="D12841" s="2">
        <v>0</v>
      </c>
      <c r="E12841" s="2">
        <v>95.43</v>
      </c>
      <c r="F12841" t="s">
        <v>16</v>
      </c>
      <c r="G12841" t="s">
        <v>17</v>
      </c>
    </row>
    <row r="12842" spans="1:7" x14ac:dyDescent="0.35">
      <c r="A12842">
        <v>5107</v>
      </c>
      <c r="B12842" s="1">
        <v>45917</v>
      </c>
      <c r="C12842" t="s">
        <v>12</v>
      </c>
      <c r="D12842" s="2">
        <v>1249.76</v>
      </c>
      <c r="E12842" s="2">
        <v>0</v>
      </c>
      <c r="F12842" t="s">
        <v>13</v>
      </c>
      <c r="G12842" t="s">
        <v>9</v>
      </c>
    </row>
    <row r="12843" spans="1:7" x14ac:dyDescent="0.35">
      <c r="A12843">
        <v>5107</v>
      </c>
      <c r="B12843" s="1">
        <v>45917</v>
      </c>
      <c r="C12843" t="s">
        <v>12</v>
      </c>
      <c r="D12843" s="2">
        <v>0</v>
      </c>
      <c r="E12843" s="2">
        <v>1162.57</v>
      </c>
      <c r="F12843" t="s">
        <v>14</v>
      </c>
      <c r="G12843" t="s">
        <v>15</v>
      </c>
    </row>
    <row r="12844" spans="1:7" x14ac:dyDescent="0.35">
      <c r="A12844">
        <v>5107</v>
      </c>
      <c r="B12844" s="1">
        <v>45917</v>
      </c>
      <c r="C12844" t="s">
        <v>12</v>
      </c>
      <c r="D12844" s="2">
        <v>0</v>
      </c>
      <c r="E12844" s="2">
        <v>87.19</v>
      </c>
      <c r="F12844" t="s">
        <v>16</v>
      </c>
      <c r="G12844" t="s">
        <v>17</v>
      </c>
    </row>
    <row r="12845" spans="1:7" x14ac:dyDescent="0.35">
      <c r="A12845">
        <v>5108</v>
      </c>
      <c r="B12845" s="1">
        <v>45917</v>
      </c>
      <c r="C12845" t="s">
        <v>24</v>
      </c>
      <c r="D12845" s="2">
        <v>665.35</v>
      </c>
      <c r="E12845" s="2">
        <v>0</v>
      </c>
      <c r="F12845" t="s">
        <v>8</v>
      </c>
      <c r="G12845" t="s">
        <v>9</v>
      </c>
    </row>
    <row r="12846" spans="1:7" x14ac:dyDescent="0.35">
      <c r="A12846">
        <v>5108</v>
      </c>
      <c r="B12846" s="1">
        <v>45917</v>
      </c>
      <c r="C12846" t="s">
        <v>24</v>
      </c>
      <c r="D12846" s="2">
        <v>0</v>
      </c>
      <c r="E12846" s="2">
        <v>665.35</v>
      </c>
      <c r="F12846" t="s">
        <v>13</v>
      </c>
      <c r="G12846" t="s">
        <v>9</v>
      </c>
    </row>
    <row r="12847" spans="1:7" x14ac:dyDescent="0.35">
      <c r="A12847">
        <v>5109</v>
      </c>
      <c r="B12847" s="1">
        <v>45917</v>
      </c>
      <c r="C12847" t="s">
        <v>24</v>
      </c>
      <c r="D12847" s="2">
        <v>4249.3599999999997</v>
      </c>
      <c r="E12847" s="2">
        <v>0</v>
      </c>
      <c r="F12847" t="s">
        <v>8</v>
      </c>
      <c r="G12847" t="s">
        <v>9</v>
      </c>
    </row>
    <row r="12848" spans="1:7" x14ac:dyDescent="0.35">
      <c r="A12848">
        <v>5109</v>
      </c>
      <c r="B12848" s="1">
        <v>45917</v>
      </c>
      <c r="C12848" t="s">
        <v>24</v>
      </c>
      <c r="D12848" s="2">
        <v>0</v>
      </c>
      <c r="E12848" s="2">
        <v>4249.3599999999997</v>
      </c>
      <c r="F12848" t="s">
        <v>13</v>
      </c>
      <c r="G12848" t="s">
        <v>9</v>
      </c>
    </row>
    <row r="12849" spans="1:7" x14ac:dyDescent="0.35">
      <c r="A12849">
        <v>5110</v>
      </c>
      <c r="B12849" s="1">
        <v>45917</v>
      </c>
      <c r="C12849" t="s">
        <v>24</v>
      </c>
      <c r="D12849" s="2">
        <v>2618.61</v>
      </c>
      <c r="E12849" s="2">
        <v>0</v>
      </c>
      <c r="F12849" t="s">
        <v>8</v>
      </c>
      <c r="G12849" t="s">
        <v>9</v>
      </c>
    </row>
    <row r="12850" spans="1:7" x14ac:dyDescent="0.35">
      <c r="A12850">
        <v>5110</v>
      </c>
      <c r="B12850" s="1">
        <v>45917</v>
      </c>
      <c r="C12850" t="s">
        <v>24</v>
      </c>
      <c r="D12850" s="2">
        <v>0</v>
      </c>
      <c r="E12850" s="2">
        <v>2618.61</v>
      </c>
      <c r="F12850" t="s">
        <v>13</v>
      </c>
      <c r="G12850" t="s">
        <v>9</v>
      </c>
    </row>
    <row r="12851" spans="1:7" x14ac:dyDescent="0.35">
      <c r="A12851">
        <v>5111</v>
      </c>
      <c r="B12851" s="1">
        <v>45917</v>
      </c>
      <c r="C12851" t="s">
        <v>29</v>
      </c>
      <c r="D12851" s="2">
        <v>862.91</v>
      </c>
      <c r="E12851" s="2">
        <v>0</v>
      </c>
      <c r="F12851" t="s">
        <v>28</v>
      </c>
      <c r="G12851" t="s">
        <v>17</v>
      </c>
    </row>
    <row r="12852" spans="1:7" x14ac:dyDescent="0.35">
      <c r="A12852">
        <v>5111</v>
      </c>
      <c r="B12852" s="1">
        <v>45917</v>
      </c>
      <c r="C12852" t="s">
        <v>29</v>
      </c>
      <c r="D12852" s="2">
        <v>0</v>
      </c>
      <c r="E12852" s="2">
        <v>862.91</v>
      </c>
      <c r="F12852" t="s">
        <v>8</v>
      </c>
      <c r="G12852" t="s">
        <v>9</v>
      </c>
    </row>
    <row r="12853" spans="1:7" x14ac:dyDescent="0.35">
      <c r="A12853">
        <v>5112</v>
      </c>
      <c r="B12853" s="1">
        <v>45917</v>
      </c>
      <c r="C12853" t="s">
        <v>29</v>
      </c>
      <c r="D12853" s="2">
        <v>179.01</v>
      </c>
      <c r="E12853" s="2">
        <v>0</v>
      </c>
      <c r="F12853" t="s">
        <v>28</v>
      </c>
      <c r="G12853" t="s">
        <v>17</v>
      </c>
    </row>
    <row r="12854" spans="1:7" x14ac:dyDescent="0.35">
      <c r="A12854">
        <v>5112</v>
      </c>
      <c r="B12854" s="1">
        <v>45917</v>
      </c>
      <c r="C12854" t="s">
        <v>29</v>
      </c>
      <c r="D12854" s="2">
        <v>0</v>
      </c>
      <c r="E12854" s="2">
        <v>179.01</v>
      </c>
      <c r="F12854" t="s">
        <v>8</v>
      </c>
      <c r="G12854" t="s">
        <v>9</v>
      </c>
    </row>
    <row r="12855" spans="1:7" x14ac:dyDescent="0.35">
      <c r="A12855">
        <v>5113</v>
      </c>
      <c r="B12855" s="1">
        <v>45917</v>
      </c>
      <c r="C12855" t="s">
        <v>29</v>
      </c>
      <c r="D12855" s="2">
        <v>412.54</v>
      </c>
      <c r="E12855" s="2">
        <v>0</v>
      </c>
      <c r="F12855" t="s">
        <v>28</v>
      </c>
      <c r="G12855" t="s">
        <v>17</v>
      </c>
    </row>
    <row r="12856" spans="1:7" x14ac:dyDescent="0.35">
      <c r="A12856">
        <v>5113</v>
      </c>
      <c r="B12856" s="1">
        <v>45917</v>
      </c>
      <c r="C12856" t="s">
        <v>29</v>
      </c>
      <c r="D12856" s="2">
        <v>0</v>
      </c>
      <c r="E12856" s="2">
        <v>412.54</v>
      </c>
      <c r="F12856" t="s">
        <v>8</v>
      </c>
      <c r="G12856" t="s">
        <v>9</v>
      </c>
    </row>
    <row r="12857" spans="1:7" x14ac:dyDescent="0.35">
      <c r="A12857">
        <v>5114</v>
      </c>
      <c r="B12857" s="1">
        <v>45918</v>
      </c>
      <c r="C12857" t="s">
        <v>12</v>
      </c>
      <c r="D12857" s="2">
        <v>5032.54</v>
      </c>
      <c r="E12857" s="2">
        <v>0</v>
      </c>
      <c r="F12857" t="s">
        <v>13</v>
      </c>
      <c r="G12857" t="s">
        <v>9</v>
      </c>
    </row>
    <row r="12858" spans="1:7" x14ac:dyDescent="0.35">
      <c r="A12858">
        <v>5114</v>
      </c>
      <c r="B12858" s="1">
        <v>45918</v>
      </c>
      <c r="C12858" t="s">
        <v>12</v>
      </c>
      <c r="D12858" s="2">
        <v>0</v>
      </c>
      <c r="E12858" s="2">
        <v>4681.42</v>
      </c>
      <c r="F12858" t="s">
        <v>14</v>
      </c>
      <c r="G12858" t="s">
        <v>15</v>
      </c>
    </row>
    <row r="12859" spans="1:7" x14ac:dyDescent="0.35">
      <c r="A12859">
        <v>5114</v>
      </c>
      <c r="B12859" s="1">
        <v>45918</v>
      </c>
      <c r="C12859" t="s">
        <v>12</v>
      </c>
      <c r="D12859" s="2">
        <v>0</v>
      </c>
      <c r="E12859" s="2">
        <v>351.12</v>
      </c>
      <c r="F12859" t="s">
        <v>16</v>
      </c>
      <c r="G12859" t="s">
        <v>17</v>
      </c>
    </row>
    <row r="12860" spans="1:7" x14ac:dyDescent="0.35">
      <c r="A12860">
        <v>5115</v>
      </c>
      <c r="B12860" s="1">
        <v>45918</v>
      </c>
      <c r="C12860" t="s">
        <v>12</v>
      </c>
      <c r="D12860" s="2">
        <v>784.72</v>
      </c>
      <c r="E12860" s="2">
        <v>0</v>
      </c>
      <c r="F12860" t="s">
        <v>13</v>
      </c>
      <c r="G12860" t="s">
        <v>9</v>
      </c>
    </row>
    <row r="12861" spans="1:7" x14ac:dyDescent="0.35">
      <c r="A12861">
        <v>5115</v>
      </c>
      <c r="B12861" s="1">
        <v>45918</v>
      </c>
      <c r="C12861" t="s">
        <v>12</v>
      </c>
      <c r="D12861" s="2">
        <v>0</v>
      </c>
      <c r="E12861" s="2">
        <v>729.97</v>
      </c>
      <c r="F12861" t="s">
        <v>14</v>
      </c>
      <c r="G12861" t="s">
        <v>15</v>
      </c>
    </row>
    <row r="12862" spans="1:7" x14ac:dyDescent="0.35">
      <c r="A12862">
        <v>5115</v>
      </c>
      <c r="B12862" s="1">
        <v>45918</v>
      </c>
      <c r="C12862" t="s">
        <v>12</v>
      </c>
      <c r="D12862" s="2">
        <v>0</v>
      </c>
      <c r="E12862" s="2">
        <v>54.75</v>
      </c>
      <c r="F12862" t="s">
        <v>16</v>
      </c>
      <c r="G12862" t="s">
        <v>17</v>
      </c>
    </row>
    <row r="12863" spans="1:7" x14ac:dyDescent="0.35">
      <c r="A12863">
        <v>5116</v>
      </c>
      <c r="B12863" s="1">
        <v>45918</v>
      </c>
      <c r="C12863" t="s">
        <v>12</v>
      </c>
      <c r="D12863" s="2">
        <v>2321.79</v>
      </c>
      <c r="E12863" s="2">
        <v>0</v>
      </c>
      <c r="F12863" t="s">
        <v>13</v>
      </c>
      <c r="G12863" t="s">
        <v>9</v>
      </c>
    </row>
    <row r="12864" spans="1:7" x14ac:dyDescent="0.35">
      <c r="A12864">
        <v>5116</v>
      </c>
      <c r="B12864" s="1">
        <v>45918</v>
      </c>
      <c r="C12864" t="s">
        <v>12</v>
      </c>
      <c r="D12864" s="2">
        <v>0</v>
      </c>
      <c r="E12864" s="2">
        <v>2159.81</v>
      </c>
      <c r="F12864" t="s">
        <v>14</v>
      </c>
      <c r="G12864" t="s">
        <v>15</v>
      </c>
    </row>
    <row r="12865" spans="1:7" x14ac:dyDescent="0.35">
      <c r="A12865">
        <v>5116</v>
      </c>
      <c r="B12865" s="1">
        <v>45918</v>
      </c>
      <c r="C12865" t="s">
        <v>12</v>
      </c>
      <c r="D12865" s="2">
        <v>0</v>
      </c>
      <c r="E12865" s="2">
        <v>161.97999999999999</v>
      </c>
      <c r="F12865" t="s">
        <v>16</v>
      </c>
      <c r="G12865" t="s">
        <v>17</v>
      </c>
    </row>
    <row r="12866" spans="1:7" x14ac:dyDescent="0.35">
      <c r="A12866">
        <v>5117</v>
      </c>
      <c r="B12866" s="1">
        <v>45918</v>
      </c>
      <c r="C12866" t="s">
        <v>12</v>
      </c>
      <c r="D12866" s="2">
        <v>395.21</v>
      </c>
      <c r="E12866" s="2">
        <v>0</v>
      </c>
      <c r="F12866" t="s">
        <v>13</v>
      </c>
      <c r="G12866" t="s">
        <v>9</v>
      </c>
    </row>
    <row r="12867" spans="1:7" x14ac:dyDescent="0.35">
      <c r="A12867">
        <v>5117</v>
      </c>
      <c r="B12867" s="1">
        <v>45918</v>
      </c>
      <c r="C12867" t="s">
        <v>12</v>
      </c>
      <c r="D12867" s="2">
        <v>0</v>
      </c>
      <c r="E12867" s="2">
        <v>367.63</v>
      </c>
      <c r="F12867" t="s">
        <v>14</v>
      </c>
      <c r="G12867" t="s">
        <v>15</v>
      </c>
    </row>
    <row r="12868" spans="1:7" x14ac:dyDescent="0.35">
      <c r="A12868">
        <v>5117</v>
      </c>
      <c r="B12868" s="1">
        <v>45918</v>
      </c>
      <c r="C12868" t="s">
        <v>12</v>
      </c>
      <c r="D12868" s="2">
        <v>0</v>
      </c>
      <c r="E12868" s="2">
        <v>27.58</v>
      </c>
      <c r="F12868" t="s">
        <v>16</v>
      </c>
      <c r="G12868" t="s">
        <v>17</v>
      </c>
    </row>
    <row r="12869" spans="1:7" x14ac:dyDescent="0.35">
      <c r="A12869">
        <v>5118</v>
      </c>
      <c r="B12869" s="1">
        <v>45918</v>
      </c>
      <c r="C12869" t="s">
        <v>12</v>
      </c>
      <c r="D12869" s="2">
        <v>3286.1</v>
      </c>
      <c r="E12869" s="2">
        <v>0</v>
      </c>
      <c r="F12869" t="s">
        <v>13</v>
      </c>
      <c r="G12869" t="s">
        <v>9</v>
      </c>
    </row>
    <row r="12870" spans="1:7" x14ac:dyDescent="0.35">
      <c r="A12870">
        <v>5118</v>
      </c>
      <c r="B12870" s="1">
        <v>45918</v>
      </c>
      <c r="C12870" t="s">
        <v>12</v>
      </c>
      <c r="D12870" s="2">
        <v>0</v>
      </c>
      <c r="E12870" s="2">
        <v>3056.84</v>
      </c>
      <c r="F12870" t="s">
        <v>14</v>
      </c>
      <c r="G12870" t="s">
        <v>15</v>
      </c>
    </row>
    <row r="12871" spans="1:7" x14ac:dyDescent="0.35">
      <c r="A12871">
        <v>5118</v>
      </c>
      <c r="B12871" s="1">
        <v>45918</v>
      </c>
      <c r="C12871" t="s">
        <v>12</v>
      </c>
      <c r="D12871" s="2">
        <v>0</v>
      </c>
      <c r="E12871" s="2">
        <v>229.26</v>
      </c>
      <c r="F12871" t="s">
        <v>16</v>
      </c>
      <c r="G12871" t="s">
        <v>17</v>
      </c>
    </row>
    <row r="12872" spans="1:7" x14ac:dyDescent="0.35">
      <c r="A12872">
        <v>5119</v>
      </c>
      <c r="B12872" s="1">
        <v>45918</v>
      </c>
      <c r="C12872" t="s">
        <v>12</v>
      </c>
      <c r="D12872" s="2">
        <v>1108.56</v>
      </c>
      <c r="E12872" s="2">
        <v>0</v>
      </c>
      <c r="F12872" t="s">
        <v>13</v>
      </c>
      <c r="G12872" t="s">
        <v>9</v>
      </c>
    </row>
    <row r="12873" spans="1:7" x14ac:dyDescent="0.35">
      <c r="A12873">
        <v>5119</v>
      </c>
      <c r="B12873" s="1">
        <v>45918</v>
      </c>
      <c r="C12873" t="s">
        <v>12</v>
      </c>
      <c r="D12873" s="2">
        <v>0</v>
      </c>
      <c r="E12873" s="2">
        <v>1031.22</v>
      </c>
      <c r="F12873" t="s">
        <v>14</v>
      </c>
      <c r="G12873" t="s">
        <v>15</v>
      </c>
    </row>
    <row r="12874" spans="1:7" x14ac:dyDescent="0.35">
      <c r="A12874">
        <v>5119</v>
      </c>
      <c r="B12874" s="1">
        <v>45918</v>
      </c>
      <c r="C12874" t="s">
        <v>12</v>
      </c>
      <c r="D12874" s="2">
        <v>0</v>
      </c>
      <c r="E12874" s="2">
        <v>77.34</v>
      </c>
      <c r="F12874" t="s">
        <v>16</v>
      </c>
      <c r="G12874" t="s">
        <v>17</v>
      </c>
    </row>
    <row r="12875" spans="1:7" x14ac:dyDescent="0.35">
      <c r="A12875">
        <v>5120</v>
      </c>
      <c r="B12875" s="1">
        <v>45918</v>
      </c>
      <c r="C12875" t="s">
        <v>24</v>
      </c>
      <c r="D12875" s="2">
        <v>3897.15</v>
      </c>
      <c r="E12875" s="2">
        <v>0</v>
      </c>
      <c r="F12875" t="s">
        <v>8</v>
      </c>
      <c r="G12875" t="s">
        <v>9</v>
      </c>
    </row>
    <row r="12876" spans="1:7" x14ac:dyDescent="0.35">
      <c r="A12876">
        <v>5120</v>
      </c>
      <c r="B12876" s="1">
        <v>45918</v>
      </c>
      <c r="C12876" t="s">
        <v>24</v>
      </c>
      <c r="D12876" s="2">
        <v>0</v>
      </c>
      <c r="E12876" s="2">
        <v>3897.15</v>
      </c>
      <c r="F12876" t="s">
        <v>13</v>
      </c>
      <c r="G12876" t="s">
        <v>9</v>
      </c>
    </row>
    <row r="12877" spans="1:7" x14ac:dyDescent="0.35">
      <c r="A12877">
        <v>5121</v>
      </c>
      <c r="B12877" s="1">
        <v>45918</v>
      </c>
      <c r="C12877" t="s">
        <v>24</v>
      </c>
      <c r="D12877" s="2">
        <v>1798.41</v>
      </c>
      <c r="E12877" s="2">
        <v>0</v>
      </c>
      <c r="F12877" t="s">
        <v>8</v>
      </c>
      <c r="G12877" t="s">
        <v>9</v>
      </c>
    </row>
    <row r="12878" spans="1:7" x14ac:dyDescent="0.35">
      <c r="A12878">
        <v>5121</v>
      </c>
      <c r="B12878" s="1">
        <v>45918</v>
      </c>
      <c r="C12878" t="s">
        <v>24</v>
      </c>
      <c r="D12878" s="2">
        <v>0</v>
      </c>
      <c r="E12878" s="2">
        <v>1798.41</v>
      </c>
      <c r="F12878" t="s">
        <v>13</v>
      </c>
      <c r="G12878" t="s">
        <v>9</v>
      </c>
    </row>
    <row r="12879" spans="1:7" x14ac:dyDescent="0.35">
      <c r="A12879">
        <v>5122</v>
      </c>
      <c r="B12879" s="1">
        <v>45918</v>
      </c>
      <c r="C12879" t="s">
        <v>24</v>
      </c>
      <c r="D12879" s="2">
        <v>1249.76</v>
      </c>
      <c r="E12879" s="2">
        <v>0</v>
      </c>
      <c r="F12879" t="s">
        <v>8</v>
      </c>
      <c r="G12879" t="s">
        <v>9</v>
      </c>
    </row>
    <row r="12880" spans="1:7" x14ac:dyDescent="0.35">
      <c r="A12880">
        <v>5122</v>
      </c>
      <c r="B12880" s="1">
        <v>45918</v>
      </c>
      <c r="C12880" t="s">
        <v>24</v>
      </c>
      <c r="D12880" s="2">
        <v>0</v>
      </c>
      <c r="E12880" s="2">
        <v>1249.76</v>
      </c>
      <c r="F12880" t="s">
        <v>13</v>
      </c>
      <c r="G12880" t="s">
        <v>9</v>
      </c>
    </row>
    <row r="12881" spans="1:7" x14ac:dyDescent="0.35">
      <c r="A12881">
        <v>5123</v>
      </c>
      <c r="B12881" s="1">
        <v>45918</v>
      </c>
      <c r="C12881" t="s">
        <v>25</v>
      </c>
      <c r="D12881" s="2">
        <v>3598.88</v>
      </c>
      <c r="E12881" s="2">
        <v>0</v>
      </c>
      <c r="F12881" t="s">
        <v>26</v>
      </c>
      <c r="G12881" t="s">
        <v>20</v>
      </c>
    </row>
    <row r="12882" spans="1:7" x14ac:dyDescent="0.35">
      <c r="A12882">
        <v>5123</v>
      </c>
      <c r="B12882" s="1">
        <v>45918</v>
      </c>
      <c r="C12882" t="s">
        <v>25</v>
      </c>
      <c r="D12882" s="2">
        <v>269.92</v>
      </c>
      <c r="E12882" s="2">
        <v>0</v>
      </c>
      <c r="F12882" t="s">
        <v>27</v>
      </c>
      <c r="G12882" t="s">
        <v>9</v>
      </c>
    </row>
    <row r="12883" spans="1:7" x14ac:dyDescent="0.35">
      <c r="A12883">
        <v>5123</v>
      </c>
      <c r="B12883" s="1">
        <v>45918</v>
      </c>
      <c r="C12883" t="s">
        <v>25</v>
      </c>
      <c r="D12883" s="2">
        <v>0</v>
      </c>
      <c r="E12883" s="2">
        <v>3868.8</v>
      </c>
      <c r="F12883" t="s">
        <v>28</v>
      </c>
      <c r="G12883" t="s">
        <v>17</v>
      </c>
    </row>
    <row r="12884" spans="1:7" x14ac:dyDescent="0.35">
      <c r="A12884">
        <v>5124</v>
      </c>
      <c r="B12884" s="1">
        <v>45919</v>
      </c>
      <c r="C12884" t="s">
        <v>12</v>
      </c>
      <c r="D12884" s="2">
        <v>4772.55</v>
      </c>
      <c r="E12884" s="2">
        <v>0</v>
      </c>
      <c r="F12884" t="s">
        <v>13</v>
      </c>
      <c r="G12884" t="s">
        <v>9</v>
      </c>
    </row>
    <row r="12885" spans="1:7" x14ac:dyDescent="0.35">
      <c r="A12885">
        <v>5124</v>
      </c>
      <c r="B12885" s="1">
        <v>45919</v>
      </c>
      <c r="C12885" t="s">
        <v>12</v>
      </c>
      <c r="D12885" s="2">
        <v>0</v>
      </c>
      <c r="E12885" s="2">
        <v>4439.58</v>
      </c>
      <c r="F12885" t="s">
        <v>14</v>
      </c>
      <c r="G12885" t="s">
        <v>15</v>
      </c>
    </row>
    <row r="12886" spans="1:7" x14ac:dyDescent="0.35">
      <c r="A12886">
        <v>5124</v>
      </c>
      <c r="B12886" s="1">
        <v>45919</v>
      </c>
      <c r="C12886" t="s">
        <v>12</v>
      </c>
      <c r="D12886" s="2">
        <v>0</v>
      </c>
      <c r="E12886" s="2">
        <v>332.97</v>
      </c>
      <c r="F12886" t="s">
        <v>16</v>
      </c>
      <c r="G12886" t="s">
        <v>17</v>
      </c>
    </row>
    <row r="12887" spans="1:7" x14ac:dyDescent="0.35">
      <c r="A12887">
        <v>5125</v>
      </c>
      <c r="B12887" s="1">
        <v>45919</v>
      </c>
      <c r="C12887" t="s">
        <v>12</v>
      </c>
      <c r="D12887" s="2">
        <v>1575.11</v>
      </c>
      <c r="E12887" s="2">
        <v>0</v>
      </c>
      <c r="F12887" t="s">
        <v>13</v>
      </c>
      <c r="G12887" t="s">
        <v>9</v>
      </c>
    </row>
    <row r="12888" spans="1:7" x14ac:dyDescent="0.35">
      <c r="A12888">
        <v>5125</v>
      </c>
      <c r="B12888" s="1">
        <v>45919</v>
      </c>
      <c r="C12888" t="s">
        <v>12</v>
      </c>
      <c r="D12888" s="2">
        <v>0</v>
      </c>
      <c r="E12888" s="2">
        <v>1465.22</v>
      </c>
      <c r="F12888" t="s">
        <v>14</v>
      </c>
      <c r="G12888" t="s">
        <v>15</v>
      </c>
    </row>
    <row r="12889" spans="1:7" x14ac:dyDescent="0.35">
      <c r="A12889">
        <v>5125</v>
      </c>
      <c r="B12889" s="1">
        <v>45919</v>
      </c>
      <c r="C12889" t="s">
        <v>12</v>
      </c>
      <c r="D12889" s="2">
        <v>0</v>
      </c>
      <c r="E12889" s="2">
        <v>109.89</v>
      </c>
      <c r="F12889" t="s">
        <v>16</v>
      </c>
      <c r="G12889" t="s">
        <v>17</v>
      </c>
    </row>
    <row r="12890" spans="1:7" x14ac:dyDescent="0.35">
      <c r="A12890">
        <v>5126</v>
      </c>
      <c r="B12890" s="1">
        <v>45919</v>
      </c>
      <c r="C12890" t="s">
        <v>12</v>
      </c>
      <c r="D12890" s="2">
        <v>3349.86</v>
      </c>
      <c r="E12890" s="2">
        <v>0</v>
      </c>
      <c r="F12890" t="s">
        <v>13</v>
      </c>
      <c r="G12890" t="s">
        <v>9</v>
      </c>
    </row>
    <row r="12891" spans="1:7" x14ac:dyDescent="0.35">
      <c r="A12891">
        <v>5126</v>
      </c>
      <c r="B12891" s="1">
        <v>45919</v>
      </c>
      <c r="C12891" t="s">
        <v>12</v>
      </c>
      <c r="D12891" s="2">
        <v>0</v>
      </c>
      <c r="E12891" s="2">
        <v>3116.15</v>
      </c>
      <c r="F12891" t="s">
        <v>14</v>
      </c>
      <c r="G12891" t="s">
        <v>15</v>
      </c>
    </row>
    <row r="12892" spans="1:7" x14ac:dyDescent="0.35">
      <c r="A12892">
        <v>5126</v>
      </c>
      <c r="B12892" s="1">
        <v>45919</v>
      </c>
      <c r="C12892" t="s">
        <v>12</v>
      </c>
      <c r="D12892" s="2">
        <v>0</v>
      </c>
      <c r="E12892" s="2">
        <v>233.71</v>
      </c>
      <c r="F12892" t="s">
        <v>16</v>
      </c>
      <c r="G12892" t="s">
        <v>17</v>
      </c>
    </row>
    <row r="12893" spans="1:7" x14ac:dyDescent="0.35">
      <c r="A12893">
        <v>5127</v>
      </c>
      <c r="B12893" s="1">
        <v>45919</v>
      </c>
      <c r="C12893" t="s">
        <v>12</v>
      </c>
      <c r="D12893" s="2">
        <v>924.42</v>
      </c>
      <c r="E12893" s="2">
        <v>0</v>
      </c>
      <c r="F12893" t="s">
        <v>13</v>
      </c>
      <c r="G12893" t="s">
        <v>9</v>
      </c>
    </row>
    <row r="12894" spans="1:7" x14ac:dyDescent="0.35">
      <c r="A12894">
        <v>5127</v>
      </c>
      <c r="B12894" s="1">
        <v>45919</v>
      </c>
      <c r="C12894" t="s">
        <v>12</v>
      </c>
      <c r="D12894" s="2">
        <v>0</v>
      </c>
      <c r="E12894" s="2">
        <v>859.93</v>
      </c>
      <c r="F12894" t="s">
        <v>14</v>
      </c>
      <c r="G12894" t="s">
        <v>15</v>
      </c>
    </row>
    <row r="12895" spans="1:7" x14ac:dyDescent="0.35">
      <c r="A12895">
        <v>5127</v>
      </c>
      <c r="B12895" s="1">
        <v>45919</v>
      </c>
      <c r="C12895" t="s">
        <v>12</v>
      </c>
      <c r="D12895" s="2">
        <v>0</v>
      </c>
      <c r="E12895" s="2">
        <v>64.489999999999995</v>
      </c>
      <c r="F12895" t="s">
        <v>16</v>
      </c>
      <c r="G12895" t="s">
        <v>17</v>
      </c>
    </row>
    <row r="12896" spans="1:7" x14ac:dyDescent="0.35">
      <c r="A12896">
        <v>5128</v>
      </c>
      <c r="B12896" s="1">
        <v>45919</v>
      </c>
      <c r="C12896" t="s">
        <v>12</v>
      </c>
      <c r="D12896" s="2">
        <v>1093.51</v>
      </c>
      <c r="E12896" s="2">
        <v>0</v>
      </c>
      <c r="F12896" t="s">
        <v>13</v>
      </c>
      <c r="G12896" t="s">
        <v>9</v>
      </c>
    </row>
    <row r="12897" spans="1:7" x14ac:dyDescent="0.35">
      <c r="A12897">
        <v>5128</v>
      </c>
      <c r="B12897" s="1">
        <v>45919</v>
      </c>
      <c r="C12897" t="s">
        <v>12</v>
      </c>
      <c r="D12897" s="2">
        <v>0</v>
      </c>
      <c r="E12897" s="2">
        <v>1017.22</v>
      </c>
      <c r="F12897" t="s">
        <v>14</v>
      </c>
      <c r="G12897" t="s">
        <v>15</v>
      </c>
    </row>
    <row r="12898" spans="1:7" x14ac:dyDescent="0.35">
      <c r="A12898">
        <v>5128</v>
      </c>
      <c r="B12898" s="1">
        <v>45919</v>
      </c>
      <c r="C12898" t="s">
        <v>12</v>
      </c>
      <c r="D12898" s="2">
        <v>0</v>
      </c>
      <c r="E12898" s="2">
        <v>76.290000000000006</v>
      </c>
      <c r="F12898" t="s">
        <v>16</v>
      </c>
      <c r="G12898" t="s">
        <v>17</v>
      </c>
    </row>
    <row r="12899" spans="1:7" x14ac:dyDescent="0.35">
      <c r="A12899">
        <v>5129</v>
      </c>
      <c r="B12899" s="1">
        <v>45919</v>
      </c>
      <c r="C12899" t="s">
        <v>12</v>
      </c>
      <c r="D12899" s="2">
        <v>272.14999999999998</v>
      </c>
      <c r="E12899" s="2">
        <v>0</v>
      </c>
      <c r="F12899" t="s">
        <v>13</v>
      </c>
      <c r="G12899" t="s">
        <v>9</v>
      </c>
    </row>
    <row r="12900" spans="1:7" x14ac:dyDescent="0.35">
      <c r="A12900">
        <v>5129</v>
      </c>
      <c r="B12900" s="1">
        <v>45919</v>
      </c>
      <c r="C12900" t="s">
        <v>12</v>
      </c>
      <c r="D12900" s="2">
        <v>0</v>
      </c>
      <c r="E12900" s="2">
        <v>253.16</v>
      </c>
      <c r="F12900" t="s">
        <v>14</v>
      </c>
      <c r="G12900" t="s">
        <v>15</v>
      </c>
    </row>
    <row r="12901" spans="1:7" x14ac:dyDescent="0.35">
      <c r="A12901">
        <v>5129</v>
      </c>
      <c r="B12901" s="1">
        <v>45919</v>
      </c>
      <c r="C12901" t="s">
        <v>12</v>
      </c>
      <c r="D12901" s="2">
        <v>0</v>
      </c>
      <c r="E12901" s="2">
        <v>18.989999999999998</v>
      </c>
      <c r="F12901" t="s">
        <v>16</v>
      </c>
      <c r="G12901" t="s">
        <v>17</v>
      </c>
    </row>
    <row r="12902" spans="1:7" x14ac:dyDescent="0.35">
      <c r="A12902">
        <v>5130</v>
      </c>
      <c r="B12902" s="1">
        <v>45919</v>
      </c>
      <c r="C12902" t="s">
        <v>12</v>
      </c>
      <c r="D12902" s="2">
        <v>3587.66</v>
      </c>
      <c r="E12902" s="2">
        <v>0</v>
      </c>
      <c r="F12902" t="s">
        <v>13</v>
      </c>
      <c r="G12902" t="s">
        <v>9</v>
      </c>
    </row>
    <row r="12903" spans="1:7" x14ac:dyDescent="0.35">
      <c r="A12903">
        <v>5130</v>
      </c>
      <c r="B12903" s="1">
        <v>45919</v>
      </c>
      <c r="C12903" t="s">
        <v>12</v>
      </c>
      <c r="D12903" s="2">
        <v>0</v>
      </c>
      <c r="E12903" s="2">
        <v>3337.36</v>
      </c>
      <c r="F12903" t="s">
        <v>14</v>
      </c>
      <c r="G12903" t="s">
        <v>15</v>
      </c>
    </row>
    <row r="12904" spans="1:7" x14ac:dyDescent="0.35">
      <c r="A12904">
        <v>5130</v>
      </c>
      <c r="B12904" s="1">
        <v>45919</v>
      </c>
      <c r="C12904" t="s">
        <v>12</v>
      </c>
      <c r="D12904" s="2">
        <v>0</v>
      </c>
      <c r="E12904" s="2">
        <v>250.3</v>
      </c>
      <c r="F12904" t="s">
        <v>16</v>
      </c>
      <c r="G12904" t="s">
        <v>17</v>
      </c>
    </row>
    <row r="12905" spans="1:7" x14ac:dyDescent="0.35">
      <c r="A12905">
        <v>5131</v>
      </c>
      <c r="B12905" s="1">
        <v>45919</v>
      </c>
      <c r="C12905" t="s">
        <v>12</v>
      </c>
      <c r="D12905" s="2">
        <v>1285.5</v>
      </c>
      <c r="E12905" s="2">
        <v>0</v>
      </c>
      <c r="F12905" t="s">
        <v>13</v>
      </c>
      <c r="G12905" t="s">
        <v>9</v>
      </c>
    </row>
    <row r="12906" spans="1:7" x14ac:dyDescent="0.35">
      <c r="A12906">
        <v>5131</v>
      </c>
      <c r="B12906" s="1">
        <v>45919</v>
      </c>
      <c r="C12906" t="s">
        <v>12</v>
      </c>
      <c r="D12906" s="2">
        <v>0</v>
      </c>
      <c r="E12906" s="2">
        <v>1195.82</v>
      </c>
      <c r="F12906" t="s">
        <v>14</v>
      </c>
      <c r="G12906" t="s">
        <v>15</v>
      </c>
    </row>
    <row r="12907" spans="1:7" x14ac:dyDescent="0.35">
      <c r="A12907">
        <v>5131</v>
      </c>
      <c r="B12907" s="1">
        <v>45919</v>
      </c>
      <c r="C12907" t="s">
        <v>12</v>
      </c>
      <c r="D12907" s="2">
        <v>0</v>
      </c>
      <c r="E12907" s="2">
        <v>89.68</v>
      </c>
      <c r="F12907" t="s">
        <v>16</v>
      </c>
      <c r="G12907" t="s">
        <v>17</v>
      </c>
    </row>
    <row r="12908" spans="1:7" x14ac:dyDescent="0.35">
      <c r="A12908">
        <v>5132</v>
      </c>
      <c r="B12908" s="1">
        <v>45919</v>
      </c>
      <c r="C12908" t="s">
        <v>12</v>
      </c>
      <c r="D12908" s="2">
        <v>5108.7</v>
      </c>
      <c r="E12908" s="2">
        <v>0</v>
      </c>
      <c r="F12908" t="s">
        <v>13</v>
      </c>
      <c r="G12908" t="s">
        <v>9</v>
      </c>
    </row>
    <row r="12909" spans="1:7" x14ac:dyDescent="0.35">
      <c r="A12909">
        <v>5132</v>
      </c>
      <c r="B12909" s="1">
        <v>45919</v>
      </c>
      <c r="C12909" t="s">
        <v>12</v>
      </c>
      <c r="D12909" s="2">
        <v>0</v>
      </c>
      <c r="E12909" s="2">
        <v>4752.28</v>
      </c>
      <c r="F12909" t="s">
        <v>14</v>
      </c>
      <c r="G12909" t="s">
        <v>15</v>
      </c>
    </row>
    <row r="12910" spans="1:7" x14ac:dyDescent="0.35">
      <c r="A12910">
        <v>5132</v>
      </c>
      <c r="B12910" s="1">
        <v>45919</v>
      </c>
      <c r="C12910" t="s">
        <v>12</v>
      </c>
      <c r="D12910" s="2">
        <v>0</v>
      </c>
      <c r="E12910" s="2">
        <v>356.42</v>
      </c>
      <c r="F12910" t="s">
        <v>16</v>
      </c>
      <c r="G12910" t="s">
        <v>17</v>
      </c>
    </row>
    <row r="12911" spans="1:7" x14ac:dyDescent="0.35">
      <c r="A12911">
        <v>5133</v>
      </c>
      <c r="B12911" s="1">
        <v>45919</v>
      </c>
      <c r="C12911" t="s">
        <v>12</v>
      </c>
      <c r="D12911" s="2">
        <v>202.29</v>
      </c>
      <c r="E12911" s="2">
        <v>0</v>
      </c>
      <c r="F12911" t="s">
        <v>13</v>
      </c>
      <c r="G12911" t="s">
        <v>9</v>
      </c>
    </row>
    <row r="12912" spans="1:7" x14ac:dyDescent="0.35">
      <c r="A12912">
        <v>5133</v>
      </c>
      <c r="B12912" s="1">
        <v>45919</v>
      </c>
      <c r="C12912" t="s">
        <v>12</v>
      </c>
      <c r="D12912" s="2">
        <v>0</v>
      </c>
      <c r="E12912" s="2">
        <v>188.17</v>
      </c>
      <c r="F12912" t="s">
        <v>14</v>
      </c>
      <c r="G12912" t="s">
        <v>15</v>
      </c>
    </row>
    <row r="12913" spans="1:7" x14ac:dyDescent="0.35">
      <c r="A12913">
        <v>5133</v>
      </c>
      <c r="B12913" s="1">
        <v>45919</v>
      </c>
      <c r="C12913" t="s">
        <v>12</v>
      </c>
      <c r="D12913" s="2">
        <v>0</v>
      </c>
      <c r="E12913" s="2">
        <v>14.12</v>
      </c>
      <c r="F12913" t="s">
        <v>16</v>
      </c>
      <c r="G12913" t="s">
        <v>17</v>
      </c>
    </row>
    <row r="12914" spans="1:7" x14ac:dyDescent="0.35">
      <c r="A12914">
        <v>5134</v>
      </c>
      <c r="B12914" s="1">
        <v>45919</v>
      </c>
      <c r="C12914" t="s">
        <v>24</v>
      </c>
      <c r="D12914" s="2">
        <v>1161.72</v>
      </c>
      <c r="E12914" s="2">
        <v>0</v>
      </c>
      <c r="F12914" t="s">
        <v>8</v>
      </c>
      <c r="G12914" t="s">
        <v>9</v>
      </c>
    </row>
    <row r="12915" spans="1:7" x14ac:dyDescent="0.35">
      <c r="A12915">
        <v>5134</v>
      </c>
      <c r="B12915" s="1">
        <v>45919</v>
      </c>
      <c r="C12915" t="s">
        <v>24</v>
      </c>
      <c r="D12915" s="2">
        <v>0</v>
      </c>
      <c r="E12915" s="2">
        <v>1161.72</v>
      </c>
      <c r="F12915" t="s">
        <v>13</v>
      </c>
      <c r="G12915" t="s">
        <v>9</v>
      </c>
    </row>
    <row r="12916" spans="1:7" x14ac:dyDescent="0.35">
      <c r="A12916">
        <v>5135</v>
      </c>
      <c r="B12916" s="1">
        <v>45919</v>
      </c>
      <c r="C12916" t="s">
        <v>24</v>
      </c>
      <c r="D12916" s="2">
        <v>2571.9899999999998</v>
      </c>
      <c r="E12916" s="2">
        <v>0</v>
      </c>
      <c r="F12916" t="s">
        <v>8</v>
      </c>
      <c r="G12916" t="s">
        <v>9</v>
      </c>
    </row>
    <row r="12917" spans="1:7" x14ac:dyDescent="0.35">
      <c r="A12917">
        <v>5135</v>
      </c>
      <c r="B12917" s="1">
        <v>45919</v>
      </c>
      <c r="C12917" t="s">
        <v>24</v>
      </c>
      <c r="D12917" s="2">
        <v>0</v>
      </c>
      <c r="E12917" s="2">
        <v>2571.9899999999998</v>
      </c>
      <c r="F12917" t="s">
        <v>13</v>
      </c>
      <c r="G12917" t="s">
        <v>9</v>
      </c>
    </row>
    <row r="12918" spans="1:7" x14ac:dyDescent="0.35">
      <c r="A12918">
        <v>5136</v>
      </c>
      <c r="B12918" s="1">
        <v>45919</v>
      </c>
      <c r="C12918" t="s">
        <v>24</v>
      </c>
      <c r="D12918" s="2">
        <v>5566.5</v>
      </c>
      <c r="E12918" s="2">
        <v>0</v>
      </c>
      <c r="F12918" t="s">
        <v>8</v>
      </c>
      <c r="G12918" t="s">
        <v>9</v>
      </c>
    </row>
    <row r="12919" spans="1:7" x14ac:dyDescent="0.35">
      <c r="A12919">
        <v>5136</v>
      </c>
      <c r="B12919" s="1">
        <v>45919</v>
      </c>
      <c r="C12919" t="s">
        <v>24</v>
      </c>
      <c r="D12919" s="2">
        <v>0</v>
      </c>
      <c r="E12919" s="2">
        <v>5566.5</v>
      </c>
      <c r="F12919" t="s">
        <v>13</v>
      </c>
      <c r="G12919" t="s">
        <v>9</v>
      </c>
    </row>
    <row r="12920" spans="1:7" x14ac:dyDescent="0.35">
      <c r="A12920">
        <v>5137</v>
      </c>
      <c r="B12920" s="1">
        <v>45919</v>
      </c>
      <c r="C12920" t="s">
        <v>24</v>
      </c>
      <c r="D12920" s="2">
        <v>1324.83</v>
      </c>
      <c r="E12920" s="2">
        <v>0</v>
      </c>
      <c r="F12920" t="s">
        <v>8</v>
      </c>
      <c r="G12920" t="s">
        <v>9</v>
      </c>
    </row>
    <row r="12921" spans="1:7" x14ac:dyDescent="0.35">
      <c r="A12921">
        <v>5137</v>
      </c>
      <c r="B12921" s="1">
        <v>45919</v>
      </c>
      <c r="C12921" t="s">
        <v>24</v>
      </c>
      <c r="D12921" s="2">
        <v>0</v>
      </c>
      <c r="E12921" s="2">
        <v>1324.83</v>
      </c>
      <c r="F12921" t="s">
        <v>13</v>
      </c>
      <c r="G12921" t="s">
        <v>9</v>
      </c>
    </row>
    <row r="12922" spans="1:7" x14ac:dyDescent="0.35">
      <c r="A12922">
        <v>5138</v>
      </c>
      <c r="B12922" s="1">
        <v>45919</v>
      </c>
      <c r="C12922" t="s">
        <v>24</v>
      </c>
      <c r="D12922" s="2">
        <v>3253.68</v>
      </c>
      <c r="E12922" s="2">
        <v>0</v>
      </c>
      <c r="F12922" t="s">
        <v>8</v>
      </c>
      <c r="G12922" t="s">
        <v>9</v>
      </c>
    </row>
    <row r="12923" spans="1:7" x14ac:dyDescent="0.35">
      <c r="A12923">
        <v>5138</v>
      </c>
      <c r="B12923" s="1">
        <v>45919</v>
      </c>
      <c r="C12923" t="s">
        <v>24</v>
      </c>
      <c r="D12923" s="2">
        <v>0</v>
      </c>
      <c r="E12923" s="2">
        <v>3253.68</v>
      </c>
      <c r="F12923" t="s">
        <v>13</v>
      </c>
      <c r="G12923" t="s">
        <v>9</v>
      </c>
    </row>
    <row r="12924" spans="1:7" x14ac:dyDescent="0.35">
      <c r="A12924">
        <v>5139</v>
      </c>
      <c r="B12924" s="1">
        <v>45919</v>
      </c>
      <c r="C12924" t="s">
        <v>24</v>
      </c>
      <c r="D12924" s="2">
        <v>3636.1</v>
      </c>
      <c r="E12924" s="2">
        <v>0</v>
      </c>
      <c r="F12924" t="s">
        <v>8</v>
      </c>
      <c r="G12924" t="s">
        <v>9</v>
      </c>
    </row>
    <row r="12925" spans="1:7" x14ac:dyDescent="0.35">
      <c r="A12925">
        <v>5139</v>
      </c>
      <c r="B12925" s="1">
        <v>45919</v>
      </c>
      <c r="C12925" t="s">
        <v>24</v>
      </c>
      <c r="D12925" s="2">
        <v>0</v>
      </c>
      <c r="E12925" s="2">
        <v>3636.1</v>
      </c>
      <c r="F12925" t="s">
        <v>13</v>
      </c>
      <c r="G12925" t="s">
        <v>9</v>
      </c>
    </row>
    <row r="12926" spans="1:7" x14ac:dyDescent="0.35">
      <c r="A12926">
        <v>5140</v>
      </c>
      <c r="B12926" s="1">
        <v>45919</v>
      </c>
      <c r="C12926" t="s">
        <v>25</v>
      </c>
      <c r="D12926" s="2">
        <v>802.71</v>
      </c>
      <c r="E12926" s="2">
        <v>0</v>
      </c>
      <c r="F12926" t="s">
        <v>26</v>
      </c>
      <c r="G12926" t="s">
        <v>20</v>
      </c>
    </row>
    <row r="12927" spans="1:7" x14ac:dyDescent="0.35">
      <c r="A12927">
        <v>5140</v>
      </c>
      <c r="B12927" s="1">
        <v>45919</v>
      </c>
      <c r="C12927" t="s">
        <v>25</v>
      </c>
      <c r="D12927" s="2">
        <v>60.2</v>
      </c>
      <c r="E12927" s="2">
        <v>0</v>
      </c>
      <c r="F12927" t="s">
        <v>27</v>
      </c>
      <c r="G12927" t="s">
        <v>9</v>
      </c>
    </row>
    <row r="12928" spans="1:7" x14ac:dyDescent="0.35">
      <c r="A12928">
        <v>5140</v>
      </c>
      <c r="B12928" s="1">
        <v>45919</v>
      </c>
      <c r="C12928" t="s">
        <v>25</v>
      </c>
      <c r="D12928" s="2">
        <v>0</v>
      </c>
      <c r="E12928" s="2">
        <v>862.91</v>
      </c>
      <c r="F12928" t="s">
        <v>28</v>
      </c>
      <c r="G12928" t="s">
        <v>17</v>
      </c>
    </row>
    <row r="12929" spans="1:7" x14ac:dyDescent="0.35">
      <c r="A12929">
        <v>5141</v>
      </c>
      <c r="B12929" s="1">
        <v>45919</v>
      </c>
      <c r="C12929" t="s">
        <v>25</v>
      </c>
      <c r="D12929" s="2">
        <v>3282.76</v>
      </c>
      <c r="E12929" s="2">
        <v>0</v>
      </c>
      <c r="F12929" t="s">
        <v>26</v>
      </c>
      <c r="G12929" t="s">
        <v>20</v>
      </c>
    </row>
    <row r="12930" spans="1:7" x14ac:dyDescent="0.35">
      <c r="A12930">
        <v>5141</v>
      </c>
      <c r="B12930" s="1">
        <v>45919</v>
      </c>
      <c r="C12930" t="s">
        <v>25</v>
      </c>
      <c r="D12930" s="2">
        <v>246.21</v>
      </c>
      <c r="E12930" s="2">
        <v>0</v>
      </c>
      <c r="F12930" t="s">
        <v>27</v>
      </c>
      <c r="G12930" t="s">
        <v>9</v>
      </c>
    </row>
    <row r="12931" spans="1:7" x14ac:dyDescent="0.35">
      <c r="A12931">
        <v>5141</v>
      </c>
      <c r="B12931" s="1">
        <v>45919</v>
      </c>
      <c r="C12931" t="s">
        <v>25</v>
      </c>
      <c r="D12931" s="2">
        <v>0</v>
      </c>
      <c r="E12931" s="2">
        <v>3528.97</v>
      </c>
      <c r="F12931" t="s">
        <v>28</v>
      </c>
      <c r="G12931" t="s">
        <v>17</v>
      </c>
    </row>
    <row r="12932" spans="1:7" x14ac:dyDescent="0.35">
      <c r="A12932">
        <v>5142</v>
      </c>
      <c r="B12932" s="1">
        <v>45919</v>
      </c>
      <c r="C12932" t="s">
        <v>25</v>
      </c>
      <c r="D12932" s="2">
        <v>187.44</v>
      </c>
      <c r="E12932" s="2">
        <v>0</v>
      </c>
      <c r="F12932" t="s">
        <v>26</v>
      </c>
      <c r="G12932" t="s">
        <v>20</v>
      </c>
    </row>
    <row r="12933" spans="1:7" x14ac:dyDescent="0.35">
      <c r="A12933">
        <v>5142</v>
      </c>
      <c r="B12933" s="1">
        <v>45919</v>
      </c>
      <c r="C12933" t="s">
        <v>25</v>
      </c>
      <c r="D12933" s="2">
        <v>14.06</v>
      </c>
      <c r="E12933" s="2">
        <v>0</v>
      </c>
      <c r="F12933" t="s">
        <v>27</v>
      </c>
      <c r="G12933" t="s">
        <v>9</v>
      </c>
    </row>
    <row r="12934" spans="1:7" x14ac:dyDescent="0.35">
      <c r="A12934">
        <v>5142</v>
      </c>
      <c r="B12934" s="1">
        <v>45919</v>
      </c>
      <c r="C12934" t="s">
        <v>25</v>
      </c>
      <c r="D12934" s="2">
        <v>0</v>
      </c>
      <c r="E12934" s="2">
        <v>201.5</v>
      </c>
      <c r="F12934" t="s">
        <v>28</v>
      </c>
      <c r="G12934" t="s">
        <v>17</v>
      </c>
    </row>
    <row r="12935" spans="1:7" x14ac:dyDescent="0.35">
      <c r="A12935">
        <v>5143</v>
      </c>
      <c r="B12935" s="1">
        <v>45922</v>
      </c>
      <c r="C12935" t="s">
        <v>12</v>
      </c>
      <c r="D12935" s="2">
        <v>1714.75</v>
      </c>
      <c r="E12935" s="2">
        <v>0</v>
      </c>
      <c r="F12935" t="s">
        <v>13</v>
      </c>
      <c r="G12935" t="s">
        <v>9</v>
      </c>
    </row>
    <row r="12936" spans="1:7" x14ac:dyDescent="0.35">
      <c r="A12936">
        <v>5143</v>
      </c>
      <c r="B12936" s="1">
        <v>45922</v>
      </c>
      <c r="C12936" t="s">
        <v>12</v>
      </c>
      <c r="D12936" s="2">
        <v>0</v>
      </c>
      <c r="E12936" s="2">
        <v>1595.12</v>
      </c>
      <c r="F12936" t="s">
        <v>14</v>
      </c>
      <c r="G12936" t="s">
        <v>15</v>
      </c>
    </row>
    <row r="12937" spans="1:7" x14ac:dyDescent="0.35">
      <c r="A12937">
        <v>5143</v>
      </c>
      <c r="B12937" s="1">
        <v>45922</v>
      </c>
      <c r="C12937" t="s">
        <v>12</v>
      </c>
      <c r="D12937" s="2">
        <v>0</v>
      </c>
      <c r="E12937" s="2">
        <v>119.63</v>
      </c>
      <c r="F12937" t="s">
        <v>16</v>
      </c>
      <c r="G12937" t="s">
        <v>17</v>
      </c>
    </row>
    <row r="12938" spans="1:7" x14ac:dyDescent="0.35">
      <c r="A12938">
        <v>5144</v>
      </c>
      <c r="B12938" s="1">
        <v>45922</v>
      </c>
      <c r="C12938" t="s">
        <v>12</v>
      </c>
      <c r="D12938" s="2">
        <v>4080.69</v>
      </c>
      <c r="E12938" s="2">
        <v>0</v>
      </c>
      <c r="F12938" t="s">
        <v>13</v>
      </c>
      <c r="G12938" t="s">
        <v>9</v>
      </c>
    </row>
    <row r="12939" spans="1:7" x14ac:dyDescent="0.35">
      <c r="A12939">
        <v>5144</v>
      </c>
      <c r="B12939" s="1">
        <v>45922</v>
      </c>
      <c r="C12939" t="s">
        <v>12</v>
      </c>
      <c r="D12939" s="2">
        <v>0</v>
      </c>
      <c r="E12939" s="2">
        <v>3796</v>
      </c>
      <c r="F12939" t="s">
        <v>14</v>
      </c>
      <c r="G12939" t="s">
        <v>15</v>
      </c>
    </row>
    <row r="12940" spans="1:7" x14ac:dyDescent="0.35">
      <c r="A12940">
        <v>5144</v>
      </c>
      <c r="B12940" s="1">
        <v>45922</v>
      </c>
      <c r="C12940" t="s">
        <v>12</v>
      </c>
      <c r="D12940" s="2">
        <v>0</v>
      </c>
      <c r="E12940" s="2">
        <v>284.69</v>
      </c>
      <c r="F12940" t="s">
        <v>16</v>
      </c>
      <c r="G12940" t="s">
        <v>17</v>
      </c>
    </row>
    <row r="12941" spans="1:7" x14ac:dyDescent="0.35">
      <c r="A12941">
        <v>5145</v>
      </c>
      <c r="B12941" s="1">
        <v>45922</v>
      </c>
      <c r="C12941" t="s">
        <v>12</v>
      </c>
      <c r="D12941" s="2">
        <v>2149.5</v>
      </c>
      <c r="E12941" s="2">
        <v>0</v>
      </c>
      <c r="F12941" t="s">
        <v>13</v>
      </c>
      <c r="G12941" t="s">
        <v>9</v>
      </c>
    </row>
    <row r="12942" spans="1:7" x14ac:dyDescent="0.35">
      <c r="A12942">
        <v>5145</v>
      </c>
      <c r="B12942" s="1">
        <v>45922</v>
      </c>
      <c r="C12942" t="s">
        <v>12</v>
      </c>
      <c r="D12942" s="2">
        <v>0</v>
      </c>
      <c r="E12942" s="2">
        <v>1999.53</v>
      </c>
      <c r="F12942" t="s">
        <v>14</v>
      </c>
      <c r="G12942" t="s">
        <v>15</v>
      </c>
    </row>
    <row r="12943" spans="1:7" x14ac:dyDescent="0.35">
      <c r="A12943">
        <v>5145</v>
      </c>
      <c r="B12943" s="1">
        <v>45922</v>
      </c>
      <c r="C12943" t="s">
        <v>12</v>
      </c>
      <c r="D12943" s="2">
        <v>0</v>
      </c>
      <c r="E12943" s="2">
        <v>149.97</v>
      </c>
      <c r="F12943" t="s">
        <v>16</v>
      </c>
      <c r="G12943" t="s">
        <v>17</v>
      </c>
    </row>
    <row r="12944" spans="1:7" x14ac:dyDescent="0.35">
      <c r="A12944">
        <v>5146</v>
      </c>
      <c r="B12944" s="1">
        <v>45922</v>
      </c>
      <c r="C12944" t="s">
        <v>12</v>
      </c>
      <c r="D12944" s="2">
        <v>3392.02</v>
      </c>
      <c r="E12944" s="2">
        <v>0</v>
      </c>
      <c r="F12944" t="s">
        <v>13</v>
      </c>
      <c r="G12944" t="s">
        <v>9</v>
      </c>
    </row>
    <row r="12945" spans="1:7" x14ac:dyDescent="0.35">
      <c r="A12945">
        <v>5146</v>
      </c>
      <c r="B12945" s="1">
        <v>45922</v>
      </c>
      <c r="C12945" t="s">
        <v>12</v>
      </c>
      <c r="D12945" s="2">
        <v>0</v>
      </c>
      <c r="E12945" s="2">
        <v>3155.37</v>
      </c>
      <c r="F12945" t="s">
        <v>14</v>
      </c>
      <c r="G12945" t="s">
        <v>15</v>
      </c>
    </row>
    <row r="12946" spans="1:7" x14ac:dyDescent="0.35">
      <c r="A12946">
        <v>5146</v>
      </c>
      <c r="B12946" s="1">
        <v>45922</v>
      </c>
      <c r="C12946" t="s">
        <v>12</v>
      </c>
      <c r="D12946" s="2">
        <v>0</v>
      </c>
      <c r="E12946" s="2">
        <v>236.65</v>
      </c>
      <c r="F12946" t="s">
        <v>16</v>
      </c>
      <c r="G12946" t="s">
        <v>17</v>
      </c>
    </row>
    <row r="12947" spans="1:7" x14ac:dyDescent="0.35">
      <c r="A12947">
        <v>5147</v>
      </c>
      <c r="B12947" s="1">
        <v>45922</v>
      </c>
      <c r="C12947" t="s">
        <v>12</v>
      </c>
      <c r="D12947" s="2">
        <v>2121.23</v>
      </c>
      <c r="E12947" s="2">
        <v>0</v>
      </c>
      <c r="F12947" t="s">
        <v>13</v>
      </c>
      <c r="G12947" t="s">
        <v>9</v>
      </c>
    </row>
    <row r="12948" spans="1:7" x14ac:dyDescent="0.35">
      <c r="A12948">
        <v>5147</v>
      </c>
      <c r="B12948" s="1">
        <v>45922</v>
      </c>
      <c r="C12948" t="s">
        <v>12</v>
      </c>
      <c r="D12948" s="2">
        <v>0</v>
      </c>
      <c r="E12948" s="2">
        <v>1973.24</v>
      </c>
      <c r="F12948" t="s">
        <v>14</v>
      </c>
      <c r="G12948" t="s">
        <v>15</v>
      </c>
    </row>
    <row r="12949" spans="1:7" x14ac:dyDescent="0.35">
      <c r="A12949">
        <v>5147</v>
      </c>
      <c r="B12949" s="1">
        <v>45922</v>
      </c>
      <c r="C12949" t="s">
        <v>12</v>
      </c>
      <c r="D12949" s="2">
        <v>0</v>
      </c>
      <c r="E12949" s="2">
        <v>147.99</v>
      </c>
      <c r="F12949" t="s">
        <v>16</v>
      </c>
      <c r="G12949" t="s">
        <v>17</v>
      </c>
    </row>
    <row r="12950" spans="1:7" x14ac:dyDescent="0.35">
      <c r="A12950">
        <v>5148</v>
      </c>
      <c r="B12950" s="1">
        <v>45922</v>
      </c>
      <c r="C12950" t="s">
        <v>12</v>
      </c>
      <c r="D12950" s="2">
        <v>45.9</v>
      </c>
      <c r="E12950" s="2">
        <v>0</v>
      </c>
      <c r="F12950" t="s">
        <v>13</v>
      </c>
      <c r="G12950" t="s">
        <v>9</v>
      </c>
    </row>
    <row r="12951" spans="1:7" x14ac:dyDescent="0.35">
      <c r="A12951">
        <v>5148</v>
      </c>
      <c r="B12951" s="1">
        <v>45922</v>
      </c>
      <c r="C12951" t="s">
        <v>12</v>
      </c>
      <c r="D12951" s="2">
        <v>0</v>
      </c>
      <c r="E12951" s="2">
        <v>42.7</v>
      </c>
      <c r="F12951" t="s">
        <v>14</v>
      </c>
      <c r="G12951" t="s">
        <v>15</v>
      </c>
    </row>
    <row r="12952" spans="1:7" x14ac:dyDescent="0.35">
      <c r="A12952">
        <v>5148</v>
      </c>
      <c r="B12952" s="1">
        <v>45922</v>
      </c>
      <c r="C12952" t="s">
        <v>12</v>
      </c>
      <c r="D12952" s="2">
        <v>0</v>
      </c>
      <c r="E12952" s="2">
        <v>3.2</v>
      </c>
      <c r="F12952" t="s">
        <v>16</v>
      </c>
      <c r="G12952" t="s">
        <v>17</v>
      </c>
    </row>
    <row r="12953" spans="1:7" x14ac:dyDescent="0.35">
      <c r="A12953">
        <v>5149</v>
      </c>
      <c r="B12953" s="1">
        <v>45922</v>
      </c>
      <c r="C12953" t="s">
        <v>12</v>
      </c>
      <c r="D12953" s="2">
        <v>1000.79</v>
      </c>
      <c r="E12953" s="2">
        <v>0</v>
      </c>
      <c r="F12953" t="s">
        <v>13</v>
      </c>
      <c r="G12953" t="s">
        <v>9</v>
      </c>
    </row>
    <row r="12954" spans="1:7" x14ac:dyDescent="0.35">
      <c r="A12954">
        <v>5149</v>
      </c>
      <c r="B12954" s="1">
        <v>45922</v>
      </c>
      <c r="C12954" t="s">
        <v>12</v>
      </c>
      <c r="D12954" s="2">
        <v>0</v>
      </c>
      <c r="E12954" s="2">
        <v>930.97</v>
      </c>
      <c r="F12954" t="s">
        <v>14</v>
      </c>
      <c r="G12954" t="s">
        <v>15</v>
      </c>
    </row>
    <row r="12955" spans="1:7" x14ac:dyDescent="0.35">
      <c r="A12955">
        <v>5149</v>
      </c>
      <c r="B12955" s="1">
        <v>45922</v>
      </c>
      <c r="C12955" t="s">
        <v>12</v>
      </c>
      <c r="D12955" s="2">
        <v>0</v>
      </c>
      <c r="E12955" s="2">
        <v>69.819999999999993</v>
      </c>
      <c r="F12955" t="s">
        <v>16</v>
      </c>
      <c r="G12955" t="s">
        <v>17</v>
      </c>
    </row>
    <row r="12956" spans="1:7" x14ac:dyDescent="0.35">
      <c r="A12956">
        <v>5150</v>
      </c>
      <c r="B12956" s="1">
        <v>45922</v>
      </c>
      <c r="C12956" t="s">
        <v>24</v>
      </c>
      <c r="D12956" s="2">
        <v>656.41</v>
      </c>
      <c r="E12956" s="2">
        <v>0</v>
      </c>
      <c r="F12956" t="s">
        <v>8</v>
      </c>
      <c r="G12956" t="s">
        <v>9</v>
      </c>
    </row>
    <row r="12957" spans="1:7" x14ac:dyDescent="0.35">
      <c r="A12957">
        <v>5150</v>
      </c>
      <c r="B12957" s="1">
        <v>45922</v>
      </c>
      <c r="C12957" t="s">
        <v>24</v>
      </c>
      <c r="D12957" s="2">
        <v>0</v>
      </c>
      <c r="E12957" s="2">
        <v>656.41</v>
      </c>
      <c r="F12957" t="s">
        <v>13</v>
      </c>
      <c r="G12957" t="s">
        <v>9</v>
      </c>
    </row>
    <row r="12958" spans="1:7" x14ac:dyDescent="0.35">
      <c r="A12958">
        <v>5151</v>
      </c>
      <c r="B12958" s="1">
        <v>45922</v>
      </c>
      <c r="C12958" t="s">
        <v>24</v>
      </c>
      <c r="D12958" s="2">
        <v>5723.51</v>
      </c>
      <c r="E12958" s="2">
        <v>0</v>
      </c>
      <c r="F12958" t="s">
        <v>8</v>
      </c>
      <c r="G12958" t="s">
        <v>9</v>
      </c>
    </row>
    <row r="12959" spans="1:7" x14ac:dyDescent="0.35">
      <c r="A12959">
        <v>5151</v>
      </c>
      <c r="B12959" s="1">
        <v>45922</v>
      </c>
      <c r="C12959" t="s">
        <v>24</v>
      </c>
      <c r="D12959" s="2">
        <v>0</v>
      </c>
      <c r="E12959" s="2">
        <v>5723.51</v>
      </c>
      <c r="F12959" t="s">
        <v>13</v>
      </c>
      <c r="G12959" t="s">
        <v>9</v>
      </c>
    </row>
    <row r="12960" spans="1:7" x14ac:dyDescent="0.35">
      <c r="A12960">
        <v>5152</v>
      </c>
      <c r="B12960" s="1">
        <v>45922</v>
      </c>
      <c r="C12960" t="s">
        <v>24</v>
      </c>
      <c r="D12960" s="2">
        <v>746.16</v>
      </c>
      <c r="E12960" s="2">
        <v>0</v>
      </c>
      <c r="F12960" t="s">
        <v>8</v>
      </c>
      <c r="G12960" t="s">
        <v>9</v>
      </c>
    </row>
    <row r="12961" spans="1:7" x14ac:dyDescent="0.35">
      <c r="A12961">
        <v>5152</v>
      </c>
      <c r="B12961" s="1">
        <v>45922</v>
      </c>
      <c r="C12961" t="s">
        <v>24</v>
      </c>
      <c r="D12961" s="2">
        <v>0</v>
      </c>
      <c r="E12961" s="2">
        <v>746.16</v>
      </c>
      <c r="F12961" t="s">
        <v>13</v>
      </c>
      <c r="G12961" t="s">
        <v>9</v>
      </c>
    </row>
    <row r="12962" spans="1:7" x14ac:dyDescent="0.35">
      <c r="A12962">
        <v>5153</v>
      </c>
      <c r="B12962" s="1">
        <v>45922</v>
      </c>
      <c r="C12962" t="s">
        <v>24</v>
      </c>
      <c r="D12962" s="2">
        <v>420.59</v>
      </c>
      <c r="E12962" s="2">
        <v>0</v>
      </c>
      <c r="F12962" t="s">
        <v>8</v>
      </c>
      <c r="G12962" t="s">
        <v>9</v>
      </c>
    </row>
    <row r="12963" spans="1:7" x14ac:dyDescent="0.35">
      <c r="A12963">
        <v>5153</v>
      </c>
      <c r="B12963" s="1">
        <v>45922</v>
      </c>
      <c r="C12963" t="s">
        <v>24</v>
      </c>
      <c r="D12963" s="2">
        <v>0</v>
      </c>
      <c r="E12963" s="2">
        <v>420.59</v>
      </c>
      <c r="F12963" t="s">
        <v>13</v>
      </c>
      <c r="G12963" t="s">
        <v>9</v>
      </c>
    </row>
    <row r="12964" spans="1:7" x14ac:dyDescent="0.35">
      <c r="A12964">
        <v>5154</v>
      </c>
      <c r="B12964" s="1">
        <v>45922</v>
      </c>
      <c r="C12964" t="s">
        <v>24</v>
      </c>
      <c r="D12964" s="2">
        <v>3699.7</v>
      </c>
      <c r="E12964" s="2">
        <v>0</v>
      </c>
      <c r="F12964" t="s">
        <v>8</v>
      </c>
      <c r="G12964" t="s">
        <v>9</v>
      </c>
    </row>
    <row r="12965" spans="1:7" x14ac:dyDescent="0.35">
      <c r="A12965">
        <v>5154</v>
      </c>
      <c r="B12965" s="1">
        <v>45922</v>
      </c>
      <c r="C12965" t="s">
        <v>24</v>
      </c>
      <c r="D12965" s="2">
        <v>0</v>
      </c>
      <c r="E12965" s="2">
        <v>3699.7</v>
      </c>
      <c r="F12965" t="s">
        <v>13</v>
      </c>
      <c r="G12965" t="s">
        <v>9</v>
      </c>
    </row>
    <row r="12966" spans="1:7" x14ac:dyDescent="0.35">
      <c r="A12966">
        <v>5155</v>
      </c>
      <c r="B12966" s="1">
        <v>45922</v>
      </c>
      <c r="C12966" t="s">
        <v>24</v>
      </c>
      <c r="D12966" s="2">
        <v>1933.51</v>
      </c>
      <c r="E12966" s="2">
        <v>0</v>
      </c>
      <c r="F12966" t="s">
        <v>8</v>
      </c>
      <c r="G12966" t="s">
        <v>9</v>
      </c>
    </row>
    <row r="12967" spans="1:7" x14ac:dyDescent="0.35">
      <c r="A12967">
        <v>5155</v>
      </c>
      <c r="B12967" s="1">
        <v>45922</v>
      </c>
      <c r="C12967" t="s">
        <v>24</v>
      </c>
      <c r="D12967" s="2">
        <v>0</v>
      </c>
      <c r="E12967" s="2">
        <v>1933.51</v>
      </c>
      <c r="F12967" t="s">
        <v>13</v>
      </c>
      <c r="G12967" t="s">
        <v>9</v>
      </c>
    </row>
    <row r="12968" spans="1:7" x14ac:dyDescent="0.35">
      <c r="A12968">
        <v>5156</v>
      </c>
      <c r="B12968" s="1">
        <v>45922</v>
      </c>
      <c r="C12968" t="s">
        <v>24</v>
      </c>
      <c r="D12968" s="2">
        <v>161.97999999999999</v>
      </c>
      <c r="E12968" s="2">
        <v>0</v>
      </c>
      <c r="F12968" t="s">
        <v>8</v>
      </c>
      <c r="G12968" t="s">
        <v>9</v>
      </c>
    </row>
    <row r="12969" spans="1:7" x14ac:dyDescent="0.35">
      <c r="A12969">
        <v>5156</v>
      </c>
      <c r="B12969" s="1">
        <v>45922</v>
      </c>
      <c r="C12969" t="s">
        <v>24</v>
      </c>
      <c r="D12969" s="2">
        <v>0</v>
      </c>
      <c r="E12969" s="2">
        <v>161.97999999999999</v>
      </c>
      <c r="F12969" t="s">
        <v>13</v>
      </c>
      <c r="G12969" t="s">
        <v>9</v>
      </c>
    </row>
    <row r="12970" spans="1:7" x14ac:dyDescent="0.35">
      <c r="A12970">
        <v>5157</v>
      </c>
      <c r="B12970" s="1">
        <v>45922</v>
      </c>
      <c r="C12970" t="s">
        <v>24</v>
      </c>
      <c r="D12970" s="2">
        <v>5108.7</v>
      </c>
      <c r="E12970" s="2">
        <v>0</v>
      </c>
      <c r="F12970" t="s">
        <v>8</v>
      </c>
      <c r="G12970" t="s">
        <v>9</v>
      </c>
    </row>
    <row r="12971" spans="1:7" x14ac:dyDescent="0.35">
      <c r="A12971">
        <v>5157</v>
      </c>
      <c r="B12971" s="1">
        <v>45922</v>
      </c>
      <c r="C12971" t="s">
        <v>24</v>
      </c>
      <c r="D12971" s="2">
        <v>0</v>
      </c>
      <c r="E12971" s="2">
        <v>5108.7</v>
      </c>
      <c r="F12971" t="s">
        <v>13</v>
      </c>
      <c r="G12971" t="s">
        <v>9</v>
      </c>
    </row>
    <row r="12972" spans="1:7" x14ac:dyDescent="0.35">
      <c r="A12972">
        <v>5158</v>
      </c>
      <c r="B12972" s="1">
        <v>45922</v>
      </c>
      <c r="C12972" t="s">
        <v>25</v>
      </c>
      <c r="D12972" s="2">
        <v>1800.04</v>
      </c>
      <c r="E12972" s="2">
        <v>0</v>
      </c>
      <c r="F12972" t="s">
        <v>26</v>
      </c>
      <c r="G12972" t="s">
        <v>20</v>
      </c>
    </row>
    <row r="12973" spans="1:7" x14ac:dyDescent="0.35">
      <c r="A12973">
        <v>5158</v>
      </c>
      <c r="B12973" s="1">
        <v>45922</v>
      </c>
      <c r="C12973" t="s">
        <v>25</v>
      </c>
      <c r="D12973" s="2">
        <v>135</v>
      </c>
      <c r="E12973" s="2">
        <v>0</v>
      </c>
      <c r="F12973" t="s">
        <v>27</v>
      </c>
      <c r="G12973" t="s">
        <v>9</v>
      </c>
    </row>
    <row r="12974" spans="1:7" x14ac:dyDescent="0.35">
      <c r="A12974">
        <v>5158</v>
      </c>
      <c r="B12974" s="1">
        <v>45922</v>
      </c>
      <c r="C12974" t="s">
        <v>25</v>
      </c>
      <c r="D12974" s="2">
        <v>0</v>
      </c>
      <c r="E12974" s="2">
        <v>1935.04</v>
      </c>
      <c r="F12974" t="s">
        <v>28</v>
      </c>
      <c r="G12974" t="s">
        <v>17</v>
      </c>
    </row>
    <row r="12975" spans="1:7" x14ac:dyDescent="0.35">
      <c r="A12975">
        <v>5159</v>
      </c>
      <c r="B12975" s="1">
        <v>45922</v>
      </c>
      <c r="C12975" t="s">
        <v>25</v>
      </c>
      <c r="D12975" s="2">
        <v>952.02</v>
      </c>
      <c r="E12975" s="2">
        <v>0</v>
      </c>
      <c r="F12975" t="s">
        <v>26</v>
      </c>
      <c r="G12975" t="s">
        <v>20</v>
      </c>
    </row>
    <row r="12976" spans="1:7" x14ac:dyDescent="0.35">
      <c r="A12976">
        <v>5159</v>
      </c>
      <c r="B12976" s="1">
        <v>45922</v>
      </c>
      <c r="C12976" t="s">
        <v>25</v>
      </c>
      <c r="D12976" s="2">
        <v>71.400000000000006</v>
      </c>
      <c r="E12976" s="2">
        <v>0</v>
      </c>
      <c r="F12976" t="s">
        <v>27</v>
      </c>
      <c r="G12976" t="s">
        <v>9</v>
      </c>
    </row>
    <row r="12977" spans="1:7" x14ac:dyDescent="0.35">
      <c r="A12977">
        <v>5159</v>
      </c>
      <c r="B12977" s="1">
        <v>45922</v>
      </c>
      <c r="C12977" t="s">
        <v>25</v>
      </c>
      <c r="D12977" s="2">
        <v>0</v>
      </c>
      <c r="E12977" s="2">
        <v>1023.42</v>
      </c>
      <c r="F12977" t="s">
        <v>28</v>
      </c>
      <c r="G12977" t="s">
        <v>17</v>
      </c>
    </row>
    <row r="12978" spans="1:7" x14ac:dyDescent="0.35">
      <c r="A12978">
        <v>5160</v>
      </c>
      <c r="B12978" s="1">
        <v>45922</v>
      </c>
      <c r="C12978" t="s">
        <v>25</v>
      </c>
      <c r="D12978" s="2">
        <v>1078.92</v>
      </c>
      <c r="E12978" s="2">
        <v>0</v>
      </c>
      <c r="F12978" t="s">
        <v>26</v>
      </c>
      <c r="G12978" t="s">
        <v>20</v>
      </c>
    </row>
    <row r="12979" spans="1:7" x14ac:dyDescent="0.35">
      <c r="A12979">
        <v>5160</v>
      </c>
      <c r="B12979" s="1">
        <v>45922</v>
      </c>
      <c r="C12979" t="s">
        <v>25</v>
      </c>
      <c r="D12979" s="2">
        <v>80.92</v>
      </c>
      <c r="E12979" s="2">
        <v>0</v>
      </c>
      <c r="F12979" t="s">
        <v>27</v>
      </c>
      <c r="G12979" t="s">
        <v>9</v>
      </c>
    </row>
    <row r="12980" spans="1:7" x14ac:dyDescent="0.35">
      <c r="A12980">
        <v>5160</v>
      </c>
      <c r="B12980" s="1">
        <v>45922</v>
      </c>
      <c r="C12980" t="s">
        <v>25</v>
      </c>
      <c r="D12980" s="2">
        <v>0</v>
      </c>
      <c r="E12980" s="2">
        <v>1159.8399999999999</v>
      </c>
      <c r="F12980" t="s">
        <v>28</v>
      </c>
      <c r="G12980" t="s">
        <v>17</v>
      </c>
    </row>
    <row r="12981" spans="1:7" x14ac:dyDescent="0.35">
      <c r="A12981">
        <v>5161</v>
      </c>
      <c r="B12981" s="1">
        <v>45922</v>
      </c>
      <c r="C12981" t="s">
        <v>25</v>
      </c>
      <c r="D12981" s="2">
        <v>696.06</v>
      </c>
      <c r="E12981" s="2">
        <v>0</v>
      </c>
      <c r="F12981" t="s">
        <v>26</v>
      </c>
      <c r="G12981" t="s">
        <v>20</v>
      </c>
    </row>
    <row r="12982" spans="1:7" x14ac:dyDescent="0.35">
      <c r="A12982">
        <v>5161</v>
      </c>
      <c r="B12982" s="1">
        <v>45922</v>
      </c>
      <c r="C12982" t="s">
        <v>25</v>
      </c>
      <c r="D12982" s="2">
        <v>52.2</v>
      </c>
      <c r="E12982" s="2">
        <v>0</v>
      </c>
      <c r="F12982" t="s">
        <v>27</v>
      </c>
      <c r="G12982" t="s">
        <v>9</v>
      </c>
    </row>
    <row r="12983" spans="1:7" x14ac:dyDescent="0.35">
      <c r="A12983">
        <v>5161</v>
      </c>
      <c r="B12983" s="1">
        <v>45922</v>
      </c>
      <c r="C12983" t="s">
        <v>25</v>
      </c>
      <c r="D12983" s="2">
        <v>0</v>
      </c>
      <c r="E12983" s="2">
        <v>748.26</v>
      </c>
      <c r="F12983" t="s">
        <v>28</v>
      </c>
      <c r="G12983" t="s">
        <v>17</v>
      </c>
    </row>
    <row r="12984" spans="1:7" x14ac:dyDescent="0.35">
      <c r="A12984">
        <v>5162</v>
      </c>
      <c r="B12984" s="1">
        <v>45922</v>
      </c>
      <c r="C12984" t="s">
        <v>25</v>
      </c>
      <c r="D12984" s="2">
        <v>4476.71</v>
      </c>
      <c r="E12984" s="2">
        <v>0</v>
      </c>
      <c r="F12984" t="s">
        <v>26</v>
      </c>
      <c r="G12984" t="s">
        <v>20</v>
      </c>
    </row>
    <row r="12985" spans="1:7" x14ac:dyDescent="0.35">
      <c r="A12985">
        <v>5162</v>
      </c>
      <c r="B12985" s="1">
        <v>45922</v>
      </c>
      <c r="C12985" t="s">
        <v>25</v>
      </c>
      <c r="D12985" s="2">
        <v>335.75</v>
      </c>
      <c r="E12985" s="2">
        <v>0</v>
      </c>
      <c r="F12985" t="s">
        <v>27</v>
      </c>
      <c r="G12985" t="s">
        <v>9</v>
      </c>
    </row>
    <row r="12986" spans="1:7" x14ac:dyDescent="0.35">
      <c r="A12986">
        <v>5162</v>
      </c>
      <c r="B12986" s="1">
        <v>45922</v>
      </c>
      <c r="C12986" t="s">
        <v>25</v>
      </c>
      <c r="D12986" s="2">
        <v>0</v>
      </c>
      <c r="E12986" s="2">
        <v>4812.46</v>
      </c>
      <c r="F12986" t="s">
        <v>28</v>
      </c>
      <c r="G12986" t="s">
        <v>17</v>
      </c>
    </row>
    <row r="12987" spans="1:7" x14ac:dyDescent="0.35">
      <c r="A12987">
        <v>5163</v>
      </c>
      <c r="B12987" s="1">
        <v>45922</v>
      </c>
      <c r="C12987" t="s">
        <v>25</v>
      </c>
      <c r="D12987" s="2">
        <v>2329.52</v>
      </c>
      <c r="E12987" s="2">
        <v>0</v>
      </c>
      <c r="F12987" t="s">
        <v>26</v>
      </c>
      <c r="G12987" t="s">
        <v>20</v>
      </c>
    </row>
    <row r="12988" spans="1:7" x14ac:dyDescent="0.35">
      <c r="A12988">
        <v>5163</v>
      </c>
      <c r="B12988" s="1">
        <v>45922</v>
      </c>
      <c r="C12988" t="s">
        <v>25</v>
      </c>
      <c r="D12988" s="2">
        <v>174.71</v>
      </c>
      <c r="E12988" s="2">
        <v>0</v>
      </c>
      <c r="F12988" t="s">
        <v>27</v>
      </c>
      <c r="G12988" t="s">
        <v>9</v>
      </c>
    </row>
    <row r="12989" spans="1:7" x14ac:dyDescent="0.35">
      <c r="A12989">
        <v>5163</v>
      </c>
      <c r="B12989" s="1">
        <v>45922</v>
      </c>
      <c r="C12989" t="s">
        <v>25</v>
      </c>
      <c r="D12989" s="2">
        <v>0</v>
      </c>
      <c r="E12989" s="2">
        <v>2504.23</v>
      </c>
      <c r="F12989" t="s">
        <v>28</v>
      </c>
      <c r="G12989" t="s">
        <v>17</v>
      </c>
    </row>
    <row r="12990" spans="1:7" x14ac:dyDescent="0.35">
      <c r="A12990">
        <v>5164</v>
      </c>
      <c r="B12990" s="1">
        <v>45922</v>
      </c>
      <c r="C12990" t="s">
        <v>25</v>
      </c>
      <c r="D12990" s="2">
        <v>2451.5</v>
      </c>
      <c r="E12990" s="2">
        <v>0</v>
      </c>
      <c r="F12990" t="s">
        <v>26</v>
      </c>
      <c r="G12990" t="s">
        <v>20</v>
      </c>
    </row>
    <row r="12991" spans="1:7" x14ac:dyDescent="0.35">
      <c r="A12991">
        <v>5164</v>
      </c>
      <c r="B12991" s="1">
        <v>45922</v>
      </c>
      <c r="C12991" t="s">
        <v>25</v>
      </c>
      <c r="D12991" s="2">
        <v>183.86</v>
      </c>
      <c r="E12991" s="2">
        <v>0</v>
      </c>
      <c r="F12991" t="s">
        <v>27</v>
      </c>
      <c r="G12991" t="s">
        <v>9</v>
      </c>
    </row>
    <row r="12992" spans="1:7" x14ac:dyDescent="0.35">
      <c r="A12992">
        <v>5164</v>
      </c>
      <c r="B12992" s="1">
        <v>45922</v>
      </c>
      <c r="C12992" t="s">
        <v>25</v>
      </c>
      <c r="D12992" s="2">
        <v>0</v>
      </c>
      <c r="E12992" s="2">
        <v>2635.36</v>
      </c>
      <c r="F12992" t="s">
        <v>28</v>
      </c>
      <c r="G12992" t="s">
        <v>17</v>
      </c>
    </row>
    <row r="12993" spans="1:7" x14ac:dyDescent="0.35">
      <c r="A12993">
        <v>5165</v>
      </c>
      <c r="B12993" s="1">
        <v>45922</v>
      </c>
      <c r="C12993" t="s">
        <v>29</v>
      </c>
      <c r="D12993" s="2">
        <v>2504.23</v>
      </c>
      <c r="E12993" s="2">
        <v>0</v>
      </c>
      <c r="F12993" t="s">
        <v>28</v>
      </c>
      <c r="G12993" t="s">
        <v>17</v>
      </c>
    </row>
    <row r="12994" spans="1:7" x14ac:dyDescent="0.35">
      <c r="A12994">
        <v>5165</v>
      </c>
      <c r="B12994" s="1">
        <v>45922</v>
      </c>
      <c r="C12994" t="s">
        <v>29</v>
      </c>
      <c r="D12994" s="2">
        <v>0</v>
      </c>
      <c r="E12994" s="2">
        <v>2504.23</v>
      </c>
      <c r="F12994" t="s">
        <v>8</v>
      </c>
      <c r="G12994" t="s">
        <v>9</v>
      </c>
    </row>
    <row r="12995" spans="1:7" x14ac:dyDescent="0.35">
      <c r="A12995">
        <v>5166</v>
      </c>
      <c r="B12995" s="1">
        <v>45922</v>
      </c>
      <c r="C12995" t="s">
        <v>29</v>
      </c>
      <c r="D12995" s="2">
        <v>1159.8399999999999</v>
      </c>
      <c r="E12995" s="2">
        <v>0</v>
      </c>
      <c r="F12995" t="s">
        <v>28</v>
      </c>
      <c r="G12995" t="s">
        <v>17</v>
      </c>
    </row>
    <row r="12996" spans="1:7" x14ac:dyDescent="0.35">
      <c r="A12996">
        <v>5166</v>
      </c>
      <c r="B12996" s="1">
        <v>45922</v>
      </c>
      <c r="C12996" t="s">
        <v>29</v>
      </c>
      <c r="D12996" s="2">
        <v>0</v>
      </c>
      <c r="E12996" s="2">
        <v>1159.8399999999999</v>
      </c>
      <c r="F12996" t="s">
        <v>8</v>
      </c>
      <c r="G12996" t="s">
        <v>9</v>
      </c>
    </row>
    <row r="12997" spans="1:7" x14ac:dyDescent="0.35">
      <c r="A12997">
        <v>5167</v>
      </c>
      <c r="B12997" s="1">
        <v>45923</v>
      </c>
      <c r="C12997" t="s">
        <v>12</v>
      </c>
      <c r="D12997" s="2">
        <v>145.79</v>
      </c>
      <c r="E12997" s="2">
        <v>0</v>
      </c>
      <c r="F12997" t="s">
        <v>13</v>
      </c>
      <c r="G12997" t="s">
        <v>9</v>
      </c>
    </row>
    <row r="12998" spans="1:7" x14ac:dyDescent="0.35">
      <c r="A12998">
        <v>5167</v>
      </c>
      <c r="B12998" s="1">
        <v>45923</v>
      </c>
      <c r="C12998" t="s">
        <v>12</v>
      </c>
      <c r="D12998" s="2">
        <v>0</v>
      </c>
      <c r="E12998" s="2">
        <v>135.62</v>
      </c>
      <c r="F12998" t="s">
        <v>14</v>
      </c>
      <c r="G12998" t="s">
        <v>15</v>
      </c>
    </row>
    <row r="12999" spans="1:7" x14ac:dyDescent="0.35">
      <c r="A12999">
        <v>5167</v>
      </c>
      <c r="B12999" s="1">
        <v>45923</v>
      </c>
      <c r="C12999" t="s">
        <v>12</v>
      </c>
      <c r="D12999" s="2">
        <v>0</v>
      </c>
      <c r="E12999" s="2">
        <v>10.17</v>
      </c>
      <c r="F12999" t="s">
        <v>16</v>
      </c>
      <c r="G12999" t="s">
        <v>17</v>
      </c>
    </row>
    <row r="13000" spans="1:7" x14ac:dyDescent="0.35">
      <c r="A13000">
        <v>5168</v>
      </c>
      <c r="B13000" s="1">
        <v>45923</v>
      </c>
      <c r="C13000" t="s">
        <v>12</v>
      </c>
      <c r="D13000" s="2">
        <v>2383.56</v>
      </c>
      <c r="E13000" s="2">
        <v>0</v>
      </c>
      <c r="F13000" t="s">
        <v>13</v>
      </c>
      <c r="G13000" t="s">
        <v>9</v>
      </c>
    </row>
    <row r="13001" spans="1:7" x14ac:dyDescent="0.35">
      <c r="A13001">
        <v>5168</v>
      </c>
      <c r="B13001" s="1">
        <v>45923</v>
      </c>
      <c r="C13001" t="s">
        <v>12</v>
      </c>
      <c r="D13001" s="2">
        <v>0</v>
      </c>
      <c r="E13001" s="2">
        <v>2217.2600000000002</v>
      </c>
      <c r="F13001" t="s">
        <v>14</v>
      </c>
      <c r="G13001" t="s">
        <v>15</v>
      </c>
    </row>
    <row r="13002" spans="1:7" x14ac:dyDescent="0.35">
      <c r="A13002">
        <v>5168</v>
      </c>
      <c r="B13002" s="1">
        <v>45923</v>
      </c>
      <c r="C13002" t="s">
        <v>12</v>
      </c>
      <c r="D13002" s="2">
        <v>0</v>
      </c>
      <c r="E13002" s="2">
        <v>166.3</v>
      </c>
      <c r="F13002" t="s">
        <v>16</v>
      </c>
      <c r="G13002" t="s">
        <v>17</v>
      </c>
    </row>
    <row r="13003" spans="1:7" x14ac:dyDescent="0.35">
      <c r="A13003">
        <v>5169</v>
      </c>
      <c r="B13003" s="1">
        <v>45923</v>
      </c>
      <c r="C13003" t="s">
        <v>12</v>
      </c>
      <c r="D13003" s="2">
        <v>4217.7</v>
      </c>
      <c r="E13003" s="2">
        <v>0</v>
      </c>
      <c r="F13003" t="s">
        <v>13</v>
      </c>
      <c r="G13003" t="s">
        <v>9</v>
      </c>
    </row>
    <row r="13004" spans="1:7" x14ac:dyDescent="0.35">
      <c r="A13004">
        <v>5169</v>
      </c>
      <c r="B13004" s="1">
        <v>45923</v>
      </c>
      <c r="C13004" t="s">
        <v>12</v>
      </c>
      <c r="D13004" s="2">
        <v>0</v>
      </c>
      <c r="E13004" s="2">
        <v>3923.45</v>
      </c>
      <c r="F13004" t="s">
        <v>14</v>
      </c>
      <c r="G13004" t="s">
        <v>15</v>
      </c>
    </row>
    <row r="13005" spans="1:7" x14ac:dyDescent="0.35">
      <c r="A13005">
        <v>5169</v>
      </c>
      <c r="B13005" s="1">
        <v>45923</v>
      </c>
      <c r="C13005" t="s">
        <v>12</v>
      </c>
      <c r="D13005" s="2">
        <v>0</v>
      </c>
      <c r="E13005" s="2">
        <v>294.25</v>
      </c>
      <c r="F13005" t="s">
        <v>16</v>
      </c>
      <c r="G13005" t="s">
        <v>17</v>
      </c>
    </row>
    <row r="13006" spans="1:7" x14ac:dyDescent="0.35">
      <c r="A13006">
        <v>5170</v>
      </c>
      <c r="B13006" s="1">
        <v>45923</v>
      </c>
      <c r="C13006" t="s">
        <v>12</v>
      </c>
      <c r="D13006" s="2">
        <v>1321.73</v>
      </c>
      <c r="E13006" s="2">
        <v>0</v>
      </c>
      <c r="F13006" t="s">
        <v>13</v>
      </c>
      <c r="G13006" t="s">
        <v>9</v>
      </c>
    </row>
    <row r="13007" spans="1:7" x14ac:dyDescent="0.35">
      <c r="A13007">
        <v>5170</v>
      </c>
      <c r="B13007" s="1">
        <v>45923</v>
      </c>
      <c r="C13007" t="s">
        <v>12</v>
      </c>
      <c r="D13007" s="2">
        <v>0</v>
      </c>
      <c r="E13007" s="2">
        <v>1229.52</v>
      </c>
      <c r="F13007" t="s">
        <v>14</v>
      </c>
      <c r="G13007" t="s">
        <v>15</v>
      </c>
    </row>
    <row r="13008" spans="1:7" x14ac:dyDescent="0.35">
      <c r="A13008">
        <v>5170</v>
      </c>
      <c r="B13008" s="1">
        <v>45923</v>
      </c>
      <c r="C13008" t="s">
        <v>12</v>
      </c>
      <c r="D13008" s="2">
        <v>0</v>
      </c>
      <c r="E13008" s="2">
        <v>92.21</v>
      </c>
      <c r="F13008" t="s">
        <v>16</v>
      </c>
      <c r="G13008" t="s">
        <v>17</v>
      </c>
    </row>
    <row r="13009" spans="1:7" x14ac:dyDescent="0.35">
      <c r="A13009">
        <v>5171</v>
      </c>
      <c r="B13009" s="1">
        <v>45923</v>
      </c>
      <c r="C13009" t="s">
        <v>12</v>
      </c>
      <c r="D13009" s="2">
        <v>2594.77</v>
      </c>
      <c r="E13009" s="2">
        <v>0</v>
      </c>
      <c r="F13009" t="s">
        <v>13</v>
      </c>
      <c r="G13009" t="s">
        <v>9</v>
      </c>
    </row>
    <row r="13010" spans="1:7" x14ac:dyDescent="0.35">
      <c r="A13010">
        <v>5171</v>
      </c>
      <c r="B13010" s="1">
        <v>45923</v>
      </c>
      <c r="C13010" t="s">
        <v>12</v>
      </c>
      <c r="D13010" s="2">
        <v>0</v>
      </c>
      <c r="E13010" s="2">
        <v>2413.75</v>
      </c>
      <c r="F13010" t="s">
        <v>14</v>
      </c>
      <c r="G13010" t="s">
        <v>15</v>
      </c>
    </row>
    <row r="13011" spans="1:7" x14ac:dyDescent="0.35">
      <c r="A13011">
        <v>5171</v>
      </c>
      <c r="B13011" s="1">
        <v>45923</v>
      </c>
      <c r="C13011" t="s">
        <v>12</v>
      </c>
      <c r="D13011" s="2">
        <v>0</v>
      </c>
      <c r="E13011" s="2">
        <v>181.02</v>
      </c>
      <c r="F13011" t="s">
        <v>16</v>
      </c>
      <c r="G13011" t="s">
        <v>17</v>
      </c>
    </row>
    <row r="13012" spans="1:7" x14ac:dyDescent="0.35">
      <c r="A13012">
        <v>5172</v>
      </c>
      <c r="B13012" s="1">
        <v>45923</v>
      </c>
      <c r="C13012" t="s">
        <v>24</v>
      </c>
      <c r="D13012" s="2">
        <v>597.57000000000005</v>
      </c>
      <c r="E13012" s="2">
        <v>0</v>
      </c>
      <c r="F13012" t="s">
        <v>8</v>
      </c>
      <c r="G13012" t="s">
        <v>9</v>
      </c>
    </row>
    <row r="13013" spans="1:7" x14ac:dyDescent="0.35">
      <c r="A13013">
        <v>5172</v>
      </c>
      <c r="B13013" s="1">
        <v>45923</v>
      </c>
      <c r="C13013" t="s">
        <v>24</v>
      </c>
      <c r="D13013" s="2">
        <v>0</v>
      </c>
      <c r="E13013" s="2">
        <v>597.57000000000005</v>
      </c>
      <c r="F13013" t="s">
        <v>13</v>
      </c>
      <c r="G13013" t="s">
        <v>9</v>
      </c>
    </row>
    <row r="13014" spans="1:7" x14ac:dyDescent="0.35">
      <c r="A13014">
        <v>5173</v>
      </c>
      <c r="B13014" s="1">
        <v>45923</v>
      </c>
      <c r="C13014" t="s">
        <v>24</v>
      </c>
      <c r="D13014" s="2">
        <v>603.70000000000005</v>
      </c>
      <c r="E13014" s="2">
        <v>0</v>
      </c>
      <c r="F13014" t="s">
        <v>8</v>
      </c>
      <c r="G13014" t="s">
        <v>9</v>
      </c>
    </row>
    <row r="13015" spans="1:7" x14ac:dyDescent="0.35">
      <c r="A13015">
        <v>5173</v>
      </c>
      <c r="B13015" s="1">
        <v>45923</v>
      </c>
      <c r="C13015" t="s">
        <v>24</v>
      </c>
      <c r="D13015" s="2">
        <v>0</v>
      </c>
      <c r="E13015" s="2">
        <v>603.70000000000005</v>
      </c>
      <c r="F13015" t="s">
        <v>13</v>
      </c>
      <c r="G13015" t="s">
        <v>9</v>
      </c>
    </row>
    <row r="13016" spans="1:7" x14ac:dyDescent="0.35">
      <c r="A13016">
        <v>5174</v>
      </c>
      <c r="B13016" s="1">
        <v>45923</v>
      </c>
      <c r="C13016" t="s">
        <v>24</v>
      </c>
      <c r="D13016" s="2">
        <v>448.24</v>
      </c>
      <c r="E13016" s="2">
        <v>0</v>
      </c>
      <c r="F13016" t="s">
        <v>8</v>
      </c>
      <c r="G13016" t="s">
        <v>9</v>
      </c>
    </row>
    <row r="13017" spans="1:7" x14ac:dyDescent="0.35">
      <c r="A13017">
        <v>5174</v>
      </c>
      <c r="B13017" s="1">
        <v>45923</v>
      </c>
      <c r="C13017" t="s">
        <v>24</v>
      </c>
      <c r="D13017" s="2">
        <v>0</v>
      </c>
      <c r="E13017" s="2">
        <v>448.24</v>
      </c>
      <c r="F13017" t="s">
        <v>13</v>
      </c>
      <c r="G13017" t="s">
        <v>9</v>
      </c>
    </row>
    <row r="13018" spans="1:7" x14ac:dyDescent="0.35">
      <c r="A13018">
        <v>5175</v>
      </c>
      <c r="B13018" s="1">
        <v>45923</v>
      </c>
      <c r="C13018" t="s">
        <v>24</v>
      </c>
      <c r="D13018" s="2">
        <v>6786.83</v>
      </c>
      <c r="E13018" s="2">
        <v>0</v>
      </c>
      <c r="F13018" t="s">
        <v>8</v>
      </c>
      <c r="G13018" t="s">
        <v>9</v>
      </c>
    </row>
    <row r="13019" spans="1:7" x14ac:dyDescent="0.35">
      <c r="A13019">
        <v>5175</v>
      </c>
      <c r="B13019" s="1">
        <v>45923</v>
      </c>
      <c r="C13019" t="s">
        <v>24</v>
      </c>
      <c r="D13019" s="2">
        <v>0</v>
      </c>
      <c r="E13019" s="2">
        <v>6786.83</v>
      </c>
      <c r="F13019" t="s">
        <v>13</v>
      </c>
      <c r="G13019" t="s">
        <v>9</v>
      </c>
    </row>
    <row r="13020" spans="1:7" x14ac:dyDescent="0.35">
      <c r="A13020">
        <v>5176</v>
      </c>
      <c r="B13020" s="1">
        <v>45923</v>
      </c>
      <c r="C13020" t="s">
        <v>24</v>
      </c>
      <c r="D13020" s="2">
        <v>2818.02</v>
      </c>
      <c r="E13020" s="2">
        <v>0</v>
      </c>
      <c r="F13020" t="s">
        <v>8</v>
      </c>
      <c r="G13020" t="s">
        <v>9</v>
      </c>
    </row>
    <row r="13021" spans="1:7" x14ac:dyDescent="0.35">
      <c r="A13021">
        <v>5176</v>
      </c>
      <c r="B13021" s="1">
        <v>45923</v>
      </c>
      <c r="C13021" t="s">
        <v>24</v>
      </c>
      <c r="D13021" s="2">
        <v>0</v>
      </c>
      <c r="E13021" s="2">
        <v>2818.02</v>
      </c>
      <c r="F13021" t="s">
        <v>13</v>
      </c>
      <c r="G13021" t="s">
        <v>9</v>
      </c>
    </row>
    <row r="13022" spans="1:7" x14ac:dyDescent="0.35">
      <c r="A13022">
        <v>5177</v>
      </c>
      <c r="B13022" s="1">
        <v>45923</v>
      </c>
      <c r="C13022" t="s">
        <v>24</v>
      </c>
      <c r="D13022" s="2">
        <v>764.01</v>
      </c>
      <c r="E13022" s="2">
        <v>0</v>
      </c>
      <c r="F13022" t="s">
        <v>8</v>
      </c>
      <c r="G13022" t="s">
        <v>9</v>
      </c>
    </row>
    <row r="13023" spans="1:7" x14ac:dyDescent="0.35">
      <c r="A13023">
        <v>5177</v>
      </c>
      <c r="B13023" s="1">
        <v>45923</v>
      </c>
      <c r="C13023" t="s">
        <v>24</v>
      </c>
      <c r="D13023" s="2">
        <v>0</v>
      </c>
      <c r="E13023" s="2">
        <v>764.01</v>
      </c>
      <c r="F13023" t="s">
        <v>13</v>
      </c>
      <c r="G13023" t="s">
        <v>9</v>
      </c>
    </row>
    <row r="13024" spans="1:7" x14ac:dyDescent="0.35">
      <c r="A13024">
        <v>5178</v>
      </c>
      <c r="B13024" s="1">
        <v>45923</v>
      </c>
      <c r="C13024" t="s">
        <v>24</v>
      </c>
      <c r="D13024" s="2">
        <v>2321.79</v>
      </c>
      <c r="E13024" s="2">
        <v>0</v>
      </c>
      <c r="F13024" t="s">
        <v>8</v>
      </c>
      <c r="G13024" t="s">
        <v>9</v>
      </c>
    </row>
    <row r="13025" spans="1:7" x14ac:dyDescent="0.35">
      <c r="A13025">
        <v>5178</v>
      </c>
      <c r="B13025" s="1">
        <v>45923</v>
      </c>
      <c r="C13025" t="s">
        <v>24</v>
      </c>
      <c r="D13025" s="2">
        <v>0</v>
      </c>
      <c r="E13025" s="2">
        <v>2321.79</v>
      </c>
      <c r="F13025" t="s">
        <v>13</v>
      </c>
      <c r="G13025" t="s">
        <v>9</v>
      </c>
    </row>
    <row r="13026" spans="1:7" x14ac:dyDescent="0.35">
      <c r="A13026">
        <v>5179</v>
      </c>
      <c r="B13026" s="1">
        <v>45923</v>
      </c>
      <c r="C13026" t="s">
        <v>25</v>
      </c>
      <c r="D13026" s="2">
        <v>257.04000000000002</v>
      </c>
      <c r="E13026" s="2">
        <v>0</v>
      </c>
      <c r="F13026" t="s">
        <v>26</v>
      </c>
      <c r="G13026" t="s">
        <v>20</v>
      </c>
    </row>
    <row r="13027" spans="1:7" x14ac:dyDescent="0.35">
      <c r="A13027">
        <v>5179</v>
      </c>
      <c r="B13027" s="1">
        <v>45923</v>
      </c>
      <c r="C13027" t="s">
        <v>25</v>
      </c>
      <c r="D13027" s="2">
        <v>19.28</v>
      </c>
      <c r="E13027" s="2">
        <v>0</v>
      </c>
      <c r="F13027" t="s">
        <v>27</v>
      </c>
      <c r="G13027" t="s">
        <v>9</v>
      </c>
    </row>
    <row r="13028" spans="1:7" x14ac:dyDescent="0.35">
      <c r="A13028">
        <v>5179</v>
      </c>
      <c r="B13028" s="1">
        <v>45923</v>
      </c>
      <c r="C13028" t="s">
        <v>25</v>
      </c>
      <c r="D13028" s="2">
        <v>0</v>
      </c>
      <c r="E13028" s="2">
        <v>276.32</v>
      </c>
      <c r="F13028" t="s">
        <v>28</v>
      </c>
      <c r="G13028" t="s">
        <v>17</v>
      </c>
    </row>
    <row r="13029" spans="1:7" x14ac:dyDescent="0.35">
      <c r="A13029">
        <v>5180</v>
      </c>
      <c r="B13029" s="1">
        <v>45923</v>
      </c>
      <c r="C13029" t="s">
        <v>29</v>
      </c>
      <c r="D13029" s="2">
        <v>1591.54</v>
      </c>
      <c r="E13029" s="2">
        <v>0</v>
      </c>
      <c r="F13029" t="s">
        <v>28</v>
      </c>
      <c r="G13029" t="s">
        <v>17</v>
      </c>
    </row>
    <row r="13030" spans="1:7" x14ac:dyDescent="0.35">
      <c r="A13030">
        <v>5180</v>
      </c>
      <c r="B13030" s="1">
        <v>45923</v>
      </c>
      <c r="C13030" t="s">
        <v>29</v>
      </c>
      <c r="D13030" s="2">
        <v>0</v>
      </c>
      <c r="E13030" s="2">
        <v>1591.54</v>
      </c>
      <c r="F13030" t="s">
        <v>8</v>
      </c>
      <c r="G13030" t="s">
        <v>9</v>
      </c>
    </row>
    <row r="13031" spans="1:7" x14ac:dyDescent="0.35">
      <c r="A13031">
        <v>5181</v>
      </c>
      <c r="B13031" s="1">
        <v>45923</v>
      </c>
      <c r="C13031" t="s">
        <v>29</v>
      </c>
      <c r="D13031" s="2">
        <v>2918.17</v>
      </c>
      <c r="E13031" s="2">
        <v>0</v>
      </c>
      <c r="F13031" t="s">
        <v>28</v>
      </c>
      <c r="G13031" t="s">
        <v>17</v>
      </c>
    </row>
    <row r="13032" spans="1:7" x14ac:dyDescent="0.35">
      <c r="A13032">
        <v>5181</v>
      </c>
      <c r="B13032" s="1">
        <v>45923</v>
      </c>
      <c r="C13032" t="s">
        <v>29</v>
      </c>
      <c r="D13032" s="2">
        <v>0</v>
      </c>
      <c r="E13032" s="2">
        <v>2918.17</v>
      </c>
      <c r="F13032" t="s">
        <v>8</v>
      </c>
      <c r="G13032" t="s">
        <v>9</v>
      </c>
    </row>
    <row r="13033" spans="1:7" x14ac:dyDescent="0.35">
      <c r="A13033">
        <v>5182</v>
      </c>
      <c r="B13033" s="1">
        <v>45923</v>
      </c>
      <c r="C13033" t="s">
        <v>29</v>
      </c>
      <c r="D13033" s="2">
        <v>276.32</v>
      </c>
      <c r="E13033" s="2">
        <v>0</v>
      </c>
      <c r="F13033" t="s">
        <v>28</v>
      </c>
      <c r="G13033" t="s">
        <v>17</v>
      </c>
    </row>
    <row r="13034" spans="1:7" x14ac:dyDescent="0.35">
      <c r="A13034">
        <v>5182</v>
      </c>
      <c r="B13034" s="1">
        <v>45923</v>
      </c>
      <c r="C13034" t="s">
        <v>29</v>
      </c>
      <c r="D13034" s="2">
        <v>0</v>
      </c>
      <c r="E13034" s="2">
        <v>276.32</v>
      </c>
      <c r="F13034" t="s">
        <v>8</v>
      </c>
      <c r="G13034" t="s">
        <v>9</v>
      </c>
    </row>
    <row r="13035" spans="1:7" x14ac:dyDescent="0.35">
      <c r="A13035">
        <v>5183</v>
      </c>
      <c r="B13035" s="1">
        <v>45924</v>
      </c>
      <c r="C13035" t="s">
        <v>12</v>
      </c>
      <c r="D13035" s="2">
        <v>5149.79</v>
      </c>
      <c r="E13035" s="2">
        <v>0</v>
      </c>
      <c r="F13035" t="s">
        <v>13</v>
      </c>
      <c r="G13035" t="s">
        <v>9</v>
      </c>
    </row>
    <row r="13036" spans="1:7" x14ac:dyDescent="0.35">
      <c r="A13036">
        <v>5183</v>
      </c>
      <c r="B13036" s="1">
        <v>45924</v>
      </c>
      <c r="C13036" t="s">
        <v>12</v>
      </c>
      <c r="D13036" s="2">
        <v>0</v>
      </c>
      <c r="E13036" s="2">
        <v>4790.5</v>
      </c>
      <c r="F13036" t="s">
        <v>14</v>
      </c>
      <c r="G13036" t="s">
        <v>15</v>
      </c>
    </row>
    <row r="13037" spans="1:7" x14ac:dyDescent="0.35">
      <c r="A13037">
        <v>5183</v>
      </c>
      <c r="B13037" s="1">
        <v>45924</v>
      </c>
      <c r="C13037" t="s">
        <v>12</v>
      </c>
      <c r="D13037" s="2">
        <v>0</v>
      </c>
      <c r="E13037" s="2">
        <v>359.29</v>
      </c>
      <c r="F13037" t="s">
        <v>16</v>
      </c>
      <c r="G13037" t="s">
        <v>17</v>
      </c>
    </row>
    <row r="13038" spans="1:7" x14ac:dyDescent="0.35">
      <c r="A13038">
        <v>5184</v>
      </c>
      <c r="B13038" s="1">
        <v>45924</v>
      </c>
      <c r="C13038" t="s">
        <v>12</v>
      </c>
      <c r="D13038" s="2">
        <v>396.8</v>
      </c>
      <c r="E13038" s="2">
        <v>0</v>
      </c>
      <c r="F13038" t="s">
        <v>13</v>
      </c>
      <c r="G13038" t="s">
        <v>9</v>
      </c>
    </row>
    <row r="13039" spans="1:7" x14ac:dyDescent="0.35">
      <c r="A13039">
        <v>5184</v>
      </c>
      <c r="B13039" s="1">
        <v>45924</v>
      </c>
      <c r="C13039" t="s">
        <v>12</v>
      </c>
      <c r="D13039" s="2">
        <v>0</v>
      </c>
      <c r="E13039" s="2">
        <v>369.12</v>
      </c>
      <c r="F13039" t="s">
        <v>14</v>
      </c>
      <c r="G13039" t="s">
        <v>15</v>
      </c>
    </row>
    <row r="13040" spans="1:7" x14ac:dyDescent="0.35">
      <c r="A13040">
        <v>5184</v>
      </c>
      <c r="B13040" s="1">
        <v>45924</v>
      </c>
      <c r="C13040" t="s">
        <v>12</v>
      </c>
      <c r="D13040" s="2">
        <v>0</v>
      </c>
      <c r="E13040" s="2">
        <v>27.68</v>
      </c>
      <c r="F13040" t="s">
        <v>16</v>
      </c>
      <c r="G13040" t="s">
        <v>17</v>
      </c>
    </row>
    <row r="13041" spans="1:7" x14ac:dyDescent="0.35">
      <c r="A13041">
        <v>5185</v>
      </c>
      <c r="B13041" s="1">
        <v>45924</v>
      </c>
      <c r="C13041" t="s">
        <v>12</v>
      </c>
      <c r="D13041" s="2">
        <v>2088.64</v>
      </c>
      <c r="E13041" s="2">
        <v>0</v>
      </c>
      <c r="F13041" t="s">
        <v>13</v>
      </c>
      <c r="G13041" t="s">
        <v>9</v>
      </c>
    </row>
    <row r="13042" spans="1:7" x14ac:dyDescent="0.35">
      <c r="A13042">
        <v>5185</v>
      </c>
      <c r="B13042" s="1">
        <v>45924</v>
      </c>
      <c r="C13042" t="s">
        <v>12</v>
      </c>
      <c r="D13042" s="2">
        <v>0</v>
      </c>
      <c r="E13042" s="2">
        <v>1942.92</v>
      </c>
      <c r="F13042" t="s">
        <v>14</v>
      </c>
      <c r="G13042" t="s">
        <v>15</v>
      </c>
    </row>
    <row r="13043" spans="1:7" x14ac:dyDescent="0.35">
      <c r="A13043">
        <v>5185</v>
      </c>
      <c r="B13043" s="1">
        <v>45924</v>
      </c>
      <c r="C13043" t="s">
        <v>12</v>
      </c>
      <c r="D13043" s="2">
        <v>0</v>
      </c>
      <c r="E13043" s="2">
        <v>145.72</v>
      </c>
      <c r="F13043" t="s">
        <v>16</v>
      </c>
      <c r="G13043" t="s">
        <v>17</v>
      </c>
    </row>
    <row r="13044" spans="1:7" x14ac:dyDescent="0.35">
      <c r="A13044">
        <v>5186</v>
      </c>
      <c r="B13044" s="1">
        <v>45924</v>
      </c>
      <c r="C13044" t="s">
        <v>12</v>
      </c>
      <c r="D13044" s="2">
        <v>2551.8200000000002</v>
      </c>
      <c r="E13044" s="2">
        <v>0</v>
      </c>
      <c r="F13044" t="s">
        <v>13</v>
      </c>
      <c r="G13044" t="s">
        <v>9</v>
      </c>
    </row>
    <row r="13045" spans="1:7" x14ac:dyDescent="0.35">
      <c r="A13045">
        <v>5186</v>
      </c>
      <c r="B13045" s="1">
        <v>45924</v>
      </c>
      <c r="C13045" t="s">
        <v>12</v>
      </c>
      <c r="D13045" s="2">
        <v>0</v>
      </c>
      <c r="E13045" s="2">
        <v>2373.7800000000002</v>
      </c>
      <c r="F13045" t="s">
        <v>14</v>
      </c>
      <c r="G13045" t="s">
        <v>15</v>
      </c>
    </row>
    <row r="13046" spans="1:7" x14ac:dyDescent="0.35">
      <c r="A13046">
        <v>5186</v>
      </c>
      <c r="B13046" s="1">
        <v>45924</v>
      </c>
      <c r="C13046" t="s">
        <v>12</v>
      </c>
      <c r="D13046" s="2">
        <v>0</v>
      </c>
      <c r="E13046" s="2">
        <v>178.04</v>
      </c>
      <c r="F13046" t="s">
        <v>16</v>
      </c>
      <c r="G13046" t="s">
        <v>17</v>
      </c>
    </row>
    <row r="13047" spans="1:7" x14ac:dyDescent="0.35">
      <c r="A13047">
        <v>5187</v>
      </c>
      <c r="B13047" s="1">
        <v>45924</v>
      </c>
      <c r="C13047" t="s">
        <v>12</v>
      </c>
      <c r="D13047" s="2">
        <v>2878.23</v>
      </c>
      <c r="E13047" s="2">
        <v>0</v>
      </c>
      <c r="F13047" t="s">
        <v>13</v>
      </c>
      <c r="G13047" t="s">
        <v>9</v>
      </c>
    </row>
    <row r="13048" spans="1:7" x14ac:dyDescent="0.35">
      <c r="A13048">
        <v>5187</v>
      </c>
      <c r="B13048" s="1">
        <v>45924</v>
      </c>
      <c r="C13048" t="s">
        <v>12</v>
      </c>
      <c r="D13048" s="2">
        <v>0</v>
      </c>
      <c r="E13048" s="2">
        <v>2677.42</v>
      </c>
      <c r="F13048" t="s">
        <v>14</v>
      </c>
      <c r="G13048" t="s">
        <v>15</v>
      </c>
    </row>
    <row r="13049" spans="1:7" x14ac:dyDescent="0.35">
      <c r="A13049">
        <v>5187</v>
      </c>
      <c r="B13049" s="1">
        <v>45924</v>
      </c>
      <c r="C13049" t="s">
        <v>12</v>
      </c>
      <c r="D13049" s="2">
        <v>0</v>
      </c>
      <c r="E13049" s="2">
        <v>200.81</v>
      </c>
      <c r="F13049" t="s">
        <v>16</v>
      </c>
      <c r="G13049" t="s">
        <v>17</v>
      </c>
    </row>
    <row r="13050" spans="1:7" x14ac:dyDescent="0.35">
      <c r="A13050">
        <v>5188</v>
      </c>
      <c r="B13050" s="1">
        <v>45924</v>
      </c>
      <c r="C13050" t="s">
        <v>12</v>
      </c>
      <c r="D13050" s="2">
        <v>3493.41</v>
      </c>
      <c r="E13050" s="2">
        <v>0</v>
      </c>
      <c r="F13050" t="s">
        <v>13</v>
      </c>
      <c r="G13050" t="s">
        <v>9</v>
      </c>
    </row>
    <row r="13051" spans="1:7" x14ac:dyDescent="0.35">
      <c r="A13051">
        <v>5188</v>
      </c>
      <c r="B13051" s="1">
        <v>45924</v>
      </c>
      <c r="C13051" t="s">
        <v>12</v>
      </c>
      <c r="D13051" s="2">
        <v>0</v>
      </c>
      <c r="E13051" s="2">
        <v>3249.69</v>
      </c>
      <c r="F13051" t="s">
        <v>14</v>
      </c>
      <c r="G13051" t="s">
        <v>15</v>
      </c>
    </row>
    <row r="13052" spans="1:7" x14ac:dyDescent="0.35">
      <c r="A13052">
        <v>5188</v>
      </c>
      <c r="B13052" s="1">
        <v>45924</v>
      </c>
      <c r="C13052" t="s">
        <v>12</v>
      </c>
      <c r="D13052" s="2">
        <v>0</v>
      </c>
      <c r="E13052" s="2">
        <v>243.72</v>
      </c>
      <c r="F13052" t="s">
        <v>16</v>
      </c>
      <c r="G13052" t="s">
        <v>17</v>
      </c>
    </row>
    <row r="13053" spans="1:7" x14ac:dyDescent="0.35">
      <c r="A13053">
        <v>5189</v>
      </c>
      <c r="B13053" s="1">
        <v>45924</v>
      </c>
      <c r="C13053" t="s">
        <v>12</v>
      </c>
      <c r="D13053" s="2">
        <v>4694.24</v>
      </c>
      <c r="E13053" s="2">
        <v>0</v>
      </c>
      <c r="F13053" t="s">
        <v>13</v>
      </c>
      <c r="G13053" t="s">
        <v>9</v>
      </c>
    </row>
    <row r="13054" spans="1:7" x14ac:dyDescent="0.35">
      <c r="A13054">
        <v>5189</v>
      </c>
      <c r="B13054" s="1">
        <v>45924</v>
      </c>
      <c r="C13054" t="s">
        <v>12</v>
      </c>
      <c r="D13054" s="2">
        <v>0</v>
      </c>
      <c r="E13054" s="2">
        <v>4366.7299999999996</v>
      </c>
      <c r="F13054" t="s">
        <v>14</v>
      </c>
      <c r="G13054" t="s">
        <v>15</v>
      </c>
    </row>
    <row r="13055" spans="1:7" x14ac:dyDescent="0.35">
      <c r="A13055">
        <v>5189</v>
      </c>
      <c r="B13055" s="1">
        <v>45924</v>
      </c>
      <c r="C13055" t="s">
        <v>12</v>
      </c>
      <c r="D13055" s="2">
        <v>0</v>
      </c>
      <c r="E13055" s="2">
        <v>327.51</v>
      </c>
      <c r="F13055" t="s">
        <v>16</v>
      </c>
      <c r="G13055" t="s">
        <v>17</v>
      </c>
    </row>
    <row r="13056" spans="1:7" x14ac:dyDescent="0.35">
      <c r="A13056">
        <v>5190</v>
      </c>
      <c r="B13056" s="1">
        <v>45924</v>
      </c>
      <c r="C13056" t="s">
        <v>24</v>
      </c>
      <c r="D13056" s="2">
        <v>3299.13</v>
      </c>
      <c r="E13056" s="2">
        <v>0</v>
      </c>
      <c r="F13056" t="s">
        <v>8</v>
      </c>
      <c r="G13056" t="s">
        <v>9</v>
      </c>
    </row>
    <row r="13057" spans="1:7" x14ac:dyDescent="0.35">
      <c r="A13057">
        <v>5190</v>
      </c>
      <c r="B13057" s="1">
        <v>45924</v>
      </c>
      <c r="C13057" t="s">
        <v>24</v>
      </c>
      <c r="D13057" s="2">
        <v>0</v>
      </c>
      <c r="E13057" s="2">
        <v>3299.13</v>
      </c>
      <c r="F13057" t="s">
        <v>13</v>
      </c>
      <c r="G13057" t="s">
        <v>9</v>
      </c>
    </row>
    <row r="13058" spans="1:7" x14ac:dyDescent="0.35">
      <c r="A13058">
        <v>5191</v>
      </c>
      <c r="B13058" s="1">
        <v>45924</v>
      </c>
      <c r="C13058" t="s">
        <v>24</v>
      </c>
      <c r="D13058" s="2">
        <v>395.43</v>
      </c>
      <c r="E13058" s="2">
        <v>0</v>
      </c>
      <c r="F13058" t="s">
        <v>8</v>
      </c>
      <c r="G13058" t="s">
        <v>9</v>
      </c>
    </row>
    <row r="13059" spans="1:7" x14ac:dyDescent="0.35">
      <c r="A13059">
        <v>5191</v>
      </c>
      <c r="B13059" s="1">
        <v>45924</v>
      </c>
      <c r="C13059" t="s">
        <v>24</v>
      </c>
      <c r="D13059" s="2">
        <v>0</v>
      </c>
      <c r="E13059" s="2">
        <v>395.43</v>
      </c>
      <c r="F13059" t="s">
        <v>13</v>
      </c>
      <c r="G13059" t="s">
        <v>9</v>
      </c>
    </row>
    <row r="13060" spans="1:7" x14ac:dyDescent="0.35">
      <c r="A13060">
        <v>5192</v>
      </c>
      <c r="B13060" s="1">
        <v>45924</v>
      </c>
      <c r="C13060" t="s">
        <v>24</v>
      </c>
      <c r="D13060" s="2">
        <v>590.71</v>
      </c>
      <c r="E13060" s="2">
        <v>0</v>
      </c>
      <c r="F13060" t="s">
        <v>8</v>
      </c>
      <c r="G13060" t="s">
        <v>9</v>
      </c>
    </row>
    <row r="13061" spans="1:7" x14ac:dyDescent="0.35">
      <c r="A13061">
        <v>5192</v>
      </c>
      <c r="B13061" s="1">
        <v>45924</v>
      </c>
      <c r="C13061" t="s">
        <v>24</v>
      </c>
      <c r="D13061" s="2">
        <v>0</v>
      </c>
      <c r="E13061" s="2">
        <v>590.71</v>
      </c>
      <c r="F13061" t="s">
        <v>13</v>
      </c>
      <c r="G13061" t="s">
        <v>9</v>
      </c>
    </row>
    <row r="13062" spans="1:7" x14ac:dyDescent="0.35">
      <c r="A13062">
        <v>5193</v>
      </c>
      <c r="B13062" s="1">
        <v>45924</v>
      </c>
      <c r="C13062" t="s">
        <v>24</v>
      </c>
      <c r="D13062" s="2">
        <v>3283.83</v>
      </c>
      <c r="E13062" s="2">
        <v>0</v>
      </c>
      <c r="F13062" t="s">
        <v>8</v>
      </c>
      <c r="G13062" t="s">
        <v>9</v>
      </c>
    </row>
    <row r="13063" spans="1:7" x14ac:dyDescent="0.35">
      <c r="A13063">
        <v>5193</v>
      </c>
      <c r="B13063" s="1">
        <v>45924</v>
      </c>
      <c r="C13063" t="s">
        <v>24</v>
      </c>
      <c r="D13063" s="2">
        <v>0</v>
      </c>
      <c r="E13063" s="2">
        <v>3283.83</v>
      </c>
      <c r="F13063" t="s">
        <v>13</v>
      </c>
      <c r="G13063" t="s">
        <v>9</v>
      </c>
    </row>
    <row r="13064" spans="1:7" x14ac:dyDescent="0.35">
      <c r="A13064">
        <v>5194</v>
      </c>
      <c r="B13064" s="1">
        <v>45924</v>
      </c>
      <c r="C13064" t="s">
        <v>24</v>
      </c>
      <c r="D13064" s="2">
        <v>3738.68</v>
      </c>
      <c r="E13064" s="2">
        <v>0</v>
      </c>
      <c r="F13064" t="s">
        <v>8</v>
      </c>
      <c r="G13064" t="s">
        <v>9</v>
      </c>
    </row>
    <row r="13065" spans="1:7" x14ac:dyDescent="0.35">
      <c r="A13065">
        <v>5194</v>
      </c>
      <c r="B13065" s="1">
        <v>45924</v>
      </c>
      <c r="C13065" t="s">
        <v>24</v>
      </c>
      <c r="D13065" s="2">
        <v>0</v>
      </c>
      <c r="E13065" s="2">
        <v>3738.68</v>
      </c>
      <c r="F13065" t="s">
        <v>13</v>
      </c>
      <c r="G13065" t="s">
        <v>9</v>
      </c>
    </row>
    <row r="13066" spans="1:7" x14ac:dyDescent="0.35">
      <c r="A13066">
        <v>5195</v>
      </c>
      <c r="B13066" s="1">
        <v>45924</v>
      </c>
      <c r="C13066" t="s">
        <v>24</v>
      </c>
      <c r="D13066" s="2">
        <v>3032.39</v>
      </c>
      <c r="E13066" s="2">
        <v>0</v>
      </c>
      <c r="F13066" t="s">
        <v>8</v>
      </c>
      <c r="G13066" t="s">
        <v>9</v>
      </c>
    </row>
    <row r="13067" spans="1:7" x14ac:dyDescent="0.35">
      <c r="A13067">
        <v>5195</v>
      </c>
      <c r="B13067" s="1">
        <v>45924</v>
      </c>
      <c r="C13067" t="s">
        <v>24</v>
      </c>
      <c r="D13067" s="2">
        <v>0</v>
      </c>
      <c r="E13067" s="2">
        <v>3032.39</v>
      </c>
      <c r="F13067" t="s">
        <v>13</v>
      </c>
      <c r="G13067" t="s">
        <v>9</v>
      </c>
    </row>
    <row r="13068" spans="1:7" x14ac:dyDescent="0.35">
      <c r="A13068">
        <v>5196</v>
      </c>
      <c r="B13068" s="1">
        <v>45924</v>
      </c>
      <c r="C13068" t="s">
        <v>24</v>
      </c>
      <c r="D13068" s="2">
        <v>3052.05</v>
      </c>
      <c r="E13068" s="2">
        <v>0</v>
      </c>
      <c r="F13068" t="s">
        <v>8</v>
      </c>
      <c r="G13068" t="s">
        <v>9</v>
      </c>
    </row>
    <row r="13069" spans="1:7" x14ac:dyDescent="0.35">
      <c r="A13069">
        <v>5196</v>
      </c>
      <c r="B13069" s="1">
        <v>45924</v>
      </c>
      <c r="C13069" t="s">
        <v>24</v>
      </c>
      <c r="D13069" s="2">
        <v>0</v>
      </c>
      <c r="E13069" s="2">
        <v>3052.05</v>
      </c>
      <c r="F13069" t="s">
        <v>13</v>
      </c>
      <c r="G13069" t="s">
        <v>9</v>
      </c>
    </row>
    <row r="13070" spans="1:7" x14ac:dyDescent="0.35">
      <c r="A13070">
        <v>5197</v>
      </c>
      <c r="B13070" s="1">
        <v>45924</v>
      </c>
      <c r="C13070" t="s">
        <v>24</v>
      </c>
      <c r="D13070" s="2">
        <v>5090</v>
      </c>
      <c r="E13070" s="2">
        <v>0</v>
      </c>
      <c r="F13070" t="s">
        <v>8</v>
      </c>
      <c r="G13070" t="s">
        <v>9</v>
      </c>
    </row>
    <row r="13071" spans="1:7" x14ac:dyDescent="0.35">
      <c r="A13071">
        <v>5197</v>
      </c>
      <c r="B13071" s="1">
        <v>45924</v>
      </c>
      <c r="C13071" t="s">
        <v>24</v>
      </c>
      <c r="D13071" s="2">
        <v>0</v>
      </c>
      <c r="E13071" s="2">
        <v>5090</v>
      </c>
      <c r="F13071" t="s">
        <v>13</v>
      </c>
      <c r="G13071" t="s">
        <v>9</v>
      </c>
    </row>
    <row r="13072" spans="1:7" x14ac:dyDescent="0.35">
      <c r="A13072">
        <v>5198</v>
      </c>
      <c r="B13072" s="1">
        <v>45924</v>
      </c>
      <c r="C13072" t="s">
        <v>24</v>
      </c>
      <c r="D13072" s="2">
        <v>45.9</v>
      </c>
      <c r="E13072" s="2">
        <v>0</v>
      </c>
      <c r="F13072" t="s">
        <v>8</v>
      </c>
      <c r="G13072" t="s">
        <v>9</v>
      </c>
    </row>
    <row r="13073" spans="1:7" x14ac:dyDescent="0.35">
      <c r="A13073">
        <v>5198</v>
      </c>
      <c r="B13073" s="1">
        <v>45924</v>
      </c>
      <c r="C13073" t="s">
        <v>24</v>
      </c>
      <c r="D13073" s="2">
        <v>0</v>
      </c>
      <c r="E13073" s="2">
        <v>45.9</v>
      </c>
      <c r="F13073" t="s">
        <v>13</v>
      </c>
      <c r="G13073" t="s">
        <v>9</v>
      </c>
    </row>
    <row r="13074" spans="1:7" x14ac:dyDescent="0.35">
      <c r="A13074">
        <v>5199</v>
      </c>
      <c r="B13074" s="1">
        <v>45924</v>
      </c>
      <c r="C13074" t="s">
        <v>24</v>
      </c>
      <c r="D13074" s="2">
        <v>1446.37</v>
      </c>
      <c r="E13074" s="2">
        <v>0</v>
      </c>
      <c r="F13074" t="s">
        <v>8</v>
      </c>
      <c r="G13074" t="s">
        <v>9</v>
      </c>
    </row>
    <row r="13075" spans="1:7" x14ac:dyDescent="0.35">
      <c r="A13075">
        <v>5199</v>
      </c>
      <c r="B13075" s="1">
        <v>45924</v>
      </c>
      <c r="C13075" t="s">
        <v>24</v>
      </c>
      <c r="D13075" s="2">
        <v>0</v>
      </c>
      <c r="E13075" s="2">
        <v>1446.37</v>
      </c>
      <c r="F13075" t="s">
        <v>13</v>
      </c>
      <c r="G13075" t="s">
        <v>9</v>
      </c>
    </row>
    <row r="13076" spans="1:7" x14ac:dyDescent="0.35">
      <c r="A13076">
        <v>5200</v>
      </c>
      <c r="B13076" s="1">
        <v>45924</v>
      </c>
      <c r="C13076" t="s">
        <v>29</v>
      </c>
      <c r="D13076" s="2">
        <v>4812.46</v>
      </c>
      <c r="E13076" s="2">
        <v>0</v>
      </c>
      <c r="F13076" t="s">
        <v>28</v>
      </c>
      <c r="G13076" t="s">
        <v>17</v>
      </c>
    </row>
    <row r="13077" spans="1:7" x14ac:dyDescent="0.35">
      <c r="A13077">
        <v>5200</v>
      </c>
      <c r="B13077" s="1">
        <v>45924</v>
      </c>
      <c r="C13077" t="s">
        <v>29</v>
      </c>
      <c r="D13077" s="2">
        <v>0</v>
      </c>
      <c r="E13077" s="2">
        <v>4812.46</v>
      </c>
      <c r="F13077" t="s">
        <v>8</v>
      </c>
      <c r="G13077" t="s">
        <v>9</v>
      </c>
    </row>
    <row r="13078" spans="1:7" x14ac:dyDescent="0.35">
      <c r="A13078">
        <v>5201</v>
      </c>
      <c r="B13078" s="1">
        <v>45924</v>
      </c>
      <c r="C13078" t="s">
        <v>29</v>
      </c>
      <c r="D13078" s="2">
        <v>3868.8</v>
      </c>
      <c r="E13078" s="2">
        <v>0</v>
      </c>
      <c r="F13078" t="s">
        <v>28</v>
      </c>
      <c r="G13078" t="s">
        <v>17</v>
      </c>
    </row>
    <row r="13079" spans="1:7" x14ac:dyDescent="0.35">
      <c r="A13079">
        <v>5201</v>
      </c>
      <c r="B13079" s="1">
        <v>45924</v>
      </c>
      <c r="C13079" t="s">
        <v>29</v>
      </c>
      <c r="D13079" s="2">
        <v>0</v>
      </c>
      <c r="E13079" s="2">
        <v>3868.8</v>
      </c>
      <c r="F13079" t="s">
        <v>8</v>
      </c>
      <c r="G13079" t="s">
        <v>9</v>
      </c>
    </row>
    <row r="13080" spans="1:7" x14ac:dyDescent="0.35">
      <c r="A13080">
        <v>5202</v>
      </c>
      <c r="B13080" s="1">
        <v>45925</v>
      </c>
      <c r="C13080" t="s">
        <v>18</v>
      </c>
      <c r="D13080" s="2">
        <v>22631.93</v>
      </c>
      <c r="E13080" s="2">
        <v>0</v>
      </c>
      <c r="F13080" t="s">
        <v>19</v>
      </c>
      <c r="G13080" t="s">
        <v>20</v>
      </c>
    </row>
    <row r="13081" spans="1:7" x14ac:dyDescent="0.35">
      <c r="A13081">
        <v>5202</v>
      </c>
      <c r="B13081" s="1">
        <v>45925</v>
      </c>
      <c r="C13081" t="s">
        <v>18</v>
      </c>
      <c r="D13081" s="2">
        <v>905.28</v>
      </c>
      <c r="E13081" s="2">
        <v>0</v>
      </c>
      <c r="F13081" t="s">
        <v>21</v>
      </c>
      <c r="G13081" t="s">
        <v>20</v>
      </c>
    </row>
    <row r="13082" spans="1:7" x14ac:dyDescent="0.35">
      <c r="A13082">
        <v>5202</v>
      </c>
      <c r="B13082" s="1">
        <v>45925</v>
      </c>
      <c r="C13082" t="s">
        <v>18</v>
      </c>
      <c r="D13082" s="2">
        <v>0</v>
      </c>
      <c r="E13082" s="2">
        <v>18279.349999999999</v>
      </c>
      <c r="F13082" t="s">
        <v>8</v>
      </c>
      <c r="G13082" t="s">
        <v>9</v>
      </c>
    </row>
    <row r="13083" spans="1:7" x14ac:dyDescent="0.35">
      <c r="A13083">
        <v>5202</v>
      </c>
      <c r="B13083" s="1">
        <v>45925</v>
      </c>
      <c r="C13083" t="s">
        <v>18</v>
      </c>
      <c r="D13083" s="2">
        <v>0</v>
      </c>
      <c r="E13083" s="2">
        <v>4352.58</v>
      </c>
      <c r="F13083" t="s">
        <v>22</v>
      </c>
      <c r="G13083" t="s">
        <v>17</v>
      </c>
    </row>
    <row r="13084" spans="1:7" x14ac:dyDescent="0.35">
      <c r="A13084">
        <v>5202</v>
      </c>
      <c r="B13084" s="1">
        <v>45925</v>
      </c>
      <c r="C13084" t="s">
        <v>18</v>
      </c>
      <c r="D13084" s="2">
        <v>0</v>
      </c>
      <c r="E13084" s="2">
        <v>905.28</v>
      </c>
      <c r="F13084" t="s">
        <v>23</v>
      </c>
      <c r="G13084" t="s">
        <v>17</v>
      </c>
    </row>
    <row r="13085" spans="1:7" x14ac:dyDescent="0.35">
      <c r="A13085">
        <v>5203</v>
      </c>
      <c r="B13085" s="1">
        <v>45925</v>
      </c>
      <c r="C13085" t="s">
        <v>12</v>
      </c>
      <c r="D13085" s="2">
        <v>872.58</v>
      </c>
      <c r="E13085" s="2">
        <v>0</v>
      </c>
      <c r="F13085" t="s">
        <v>13</v>
      </c>
      <c r="G13085" t="s">
        <v>9</v>
      </c>
    </row>
    <row r="13086" spans="1:7" x14ac:dyDescent="0.35">
      <c r="A13086">
        <v>5203</v>
      </c>
      <c r="B13086" s="1">
        <v>45925</v>
      </c>
      <c r="C13086" t="s">
        <v>12</v>
      </c>
      <c r="D13086" s="2">
        <v>0</v>
      </c>
      <c r="E13086" s="2">
        <v>811.71</v>
      </c>
      <c r="F13086" t="s">
        <v>14</v>
      </c>
      <c r="G13086" t="s">
        <v>15</v>
      </c>
    </row>
    <row r="13087" spans="1:7" x14ac:dyDescent="0.35">
      <c r="A13087">
        <v>5203</v>
      </c>
      <c r="B13087" s="1">
        <v>45925</v>
      </c>
      <c r="C13087" t="s">
        <v>12</v>
      </c>
      <c r="D13087" s="2">
        <v>0</v>
      </c>
      <c r="E13087" s="2">
        <v>60.87</v>
      </c>
      <c r="F13087" t="s">
        <v>16</v>
      </c>
      <c r="G13087" t="s">
        <v>17</v>
      </c>
    </row>
    <row r="13088" spans="1:7" x14ac:dyDescent="0.35">
      <c r="A13088">
        <v>5204</v>
      </c>
      <c r="B13088" s="1">
        <v>45925</v>
      </c>
      <c r="C13088" t="s">
        <v>12</v>
      </c>
      <c r="D13088" s="2">
        <v>5319.74</v>
      </c>
      <c r="E13088" s="2">
        <v>0</v>
      </c>
      <c r="F13088" t="s">
        <v>13</v>
      </c>
      <c r="G13088" t="s">
        <v>9</v>
      </c>
    </row>
    <row r="13089" spans="1:7" x14ac:dyDescent="0.35">
      <c r="A13089">
        <v>5204</v>
      </c>
      <c r="B13089" s="1">
        <v>45925</v>
      </c>
      <c r="C13089" t="s">
        <v>12</v>
      </c>
      <c r="D13089" s="2">
        <v>0</v>
      </c>
      <c r="E13089" s="2">
        <v>4948.59</v>
      </c>
      <c r="F13089" t="s">
        <v>14</v>
      </c>
      <c r="G13089" t="s">
        <v>15</v>
      </c>
    </row>
    <row r="13090" spans="1:7" x14ac:dyDescent="0.35">
      <c r="A13090">
        <v>5204</v>
      </c>
      <c r="B13090" s="1">
        <v>45925</v>
      </c>
      <c r="C13090" t="s">
        <v>12</v>
      </c>
      <c r="D13090" s="2">
        <v>0</v>
      </c>
      <c r="E13090" s="2">
        <v>371.15</v>
      </c>
      <c r="F13090" t="s">
        <v>16</v>
      </c>
      <c r="G13090" t="s">
        <v>17</v>
      </c>
    </row>
    <row r="13091" spans="1:7" x14ac:dyDescent="0.35">
      <c r="A13091">
        <v>5205</v>
      </c>
      <c r="B13091" s="1">
        <v>45925</v>
      </c>
      <c r="C13091" t="s">
        <v>12</v>
      </c>
      <c r="D13091" s="2">
        <v>1831.23</v>
      </c>
      <c r="E13091" s="2">
        <v>0</v>
      </c>
      <c r="F13091" t="s">
        <v>13</v>
      </c>
      <c r="G13091" t="s">
        <v>9</v>
      </c>
    </row>
    <row r="13092" spans="1:7" x14ac:dyDescent="0.35">
      <c r="A13092">
        <v>5205</v>
      </c>
      <c r="B13092" s="1">
        <v>45925</v>
      </c>
      <c r="C13092" t="s">
        <v>12</v>
      </c>
      <c r="D13092" s="2">
        <v>0</v>
      </c>
      <c r="E13092" s="2">
        <v>1703.47</v>
      </c>
      <c r="F13092" t="s">
        <v>14</v>
      </c>
      <c r="G13092" t="s">
        <v>15</v>
      </c>
    </row>
    <row r="13093" spans="1:7" x14ac:dyDescent="0.35">
      <c r="A13093">
        <v>5205</v>
      </c>
      <c r="B13093" s="1">
        <v>45925</v>
      </c>
      <c r="C13093" t="s">
        <v>12</v>
      </c>
      <c r="D13093" s="2">
        <v>0</v>
      </c>
      <c r="E13093" s="2">
        <v>127.76</v>
      </c>
      <c r="F13093" t="s">
        <v>16</v>
      </c>
      <c r="G13093" t="s">
        <v>17</v>
      </c>
    </row>
    <row r="13094" spans="1:7" x14ac:dyDescent="0.35">
      <c r="A13094">
        <v>5206</v>
      </c>
      <c r="B13094" s="1">
        <v>45925</v>
      </c>
      <c r="C13094" t="s">
        <v>12</v>
      </c>
      <c r="D13094" s="2">
        <v>3255.93</v>
      </c>
      <c r="E13094" s="2">
        <v>0</v>
      </c>
      <c r="F13094" t="s">
        <v>13</v>
      </c>
      <c r="G13094" t="s">
        <v>9</v>
      </c>
    </row>
    <row r="13095" spans="1:7" x14ac:dyDescent="0.35">
      <c r="A13095">
        <v>5206</v>
      </c>
      <c r="B13095" s="1">
        <v>45925</v>
      </c>
      <c r="C13095" t="s">
        <v>12</v>
      </c>
      <c r="D13095" s="2">
        <v>0</v>
      </c>
      <c r="E13095" s="2">
        <v>3028.78</v>
      </c>
      <c r="F13095" t="s">
        <v>14</v>
      </c>
      <c r="G13095" t="s">
        <v>15</v>
      </c>
    </row>
    <row r="13096" spans="1:7" x14ac:dyDescent="0.35">
      <c r="A13096">
        <v>5206</v>
      </c>
      <c r="B13096" s="1">
        <v>45925</v>
      </c>
      <c r="C13096" t="s">
        <v>12</v>
      </c>
      <c r="D13096" s="2">
        <v>0</v>
      </c>
      <c r="E13096" s="2">
        <v>227.15</v>
      </c>
      <c r="F13096" t="s">
        <v>16</v>
      </c>
      <c r="G13096" t="s">
        <v>17</v>
      </c>
    </row>
    <row r="13097" spans="1:7" x14ac:dyDescent="0.35">
      <c r="A13097">
        <v>5207</v>
      </c>
      <c r="B13097" s="1">
        <v>45925</v>
      </c>
      <c r="C13097" t="s">
        <v>12</v>
      </c>
      <c r="D13097" s="2">
        <v>3254.33</v>
      </c>
      <c r="E13097" s="2">
        <v>0</v>
      </c>
      <c r="F13097" t="s">
        <v>13</v>
      </c>
      <c r="G13097" t="s">
        <v>9</v>
      </c>
    </row>
    <row r="13098" spans="1:7" x14ac:dyDescent="0.35">
      <c r="A13098">
        <v>5207</v>
      </c>
      <c r="B13098" s="1">
        <v>45925</v>
      </c>
      <c r="C13098" t="s">
        <v>12</v>
      </c>
      <c r="D13098" s="2">
        <v>0</v>
      </c>
      <c r="E13098" s="2">
        <v>3027.28</v>
      </c>
      <c r="F13098" t="s">
        <v>14</v>
      </c>
      <c r="G13098" t="s">
        <v>15</v>
      </c>
    </row>
    <row r="13099" spans="1:7" x14ac:dyDescent="0.35">
      <c r="A13099">
        <v>5207</v>
      </c>
      <c r="B13099" s="1">
        <v>45925</v>
      </c>
      <c r="C13099" t="s">
        <v>12</v>
      </c>
      <c r="D13099" s="2">
        <v>0</v>
      </c>
      <c r="E13099" s="2">
        <v>227.05</v>
      </c>
      <c r="F13099" t="s">
        <v>16</v>
      </c>
      <c r="G13099" t="s">
        <v>17</v>
      </c>
    </row>
    <row r="13100" spans="1:7" x14ac:dyDescent="0.35">
      <c r="A13100">
        <v>5208</v>
      </c>
      <c r="B13100" s="1">
        <v>45925</v>
      </c>
      <c r="C13100" t="s">
        <v>12</v>
      </c>
      <c r="D13100" s="2">
        <v>4690.79</v>
      </c>
      <c r="E13100" s="2">
        <v>0</v>
      </c>
      <c r="F13100" t="s">
        <v>13</v>
      </c>
      <c r="G13100" t="s">
        <v>9</v>
      </c>
    </row>
    <row r="13101" spans="1:7" x14ac:dyDescent="0.35">
      <c r="A13101">
        <v>5208</v>
      </c>
      <c r="B13101" s="1">
        <v>45925</v>
      </c>
      <c r="C13101" t="s">
        <v>12</v>
      </c>
      <c r="D13101" s="2">
        <v>0</v>
      </c>
      <c r="E13101" s="2">
        <v>4363.5200000000004</v>
      </c>
      <c r="F13101" t="s">
        <v>14</v>
      </c>
      <c r="G13101" t="s">
        <v>15</v>
      </c>
    </row>
    <row r="13102" spans="1:7" x14ac:dyDescent="0.35">
      <c r="A13102">
        <v>5208</v>
      </c>
      <c r="B13102" s="1">
        <v>45925</v>
      </c>
      <c r="C13102" t="s">
        <v>12</v>
      </c>
      <c r="D13102" s="2">
        <v>0</v>
      </c>
      <c r="E13102" s="2">
        <v>327.27</v>
      </c>
      <c r="F13102" t="s">
        <v>16</v>
      </c>
      <c r="G13102" t="s">
        <v>17</v>
      </c>
    </row>
    <row r="13103" spans="1:7" x14ac:dyDescent="0.35">
      <c r="A13103">
        <v>5209</v>
      </c>
      <c r="B13103" s="1">
        <v>45925</v>
      </c>
      <c r="C13103" t="s">
        <v>12</v>
      </c>
      <c r="D13103" s="2">
        <v>700.99</v>
      </c>
      <c r="E13103" s="2">
        <v>0</v>
      </c>
      <c r="F13103" t="s">
        <v>13</v>
      </c>
      <c r="G13103" t="s">
        <v>9</v>
      </c>
    </row>
    <row r="13104" spans="1:7" x14ac:dyDescent="0.35">
      <c r="A13104">
        <v>5209</v>
      </c>
      <c r="B13104" s="1">
        <v>45925</v>
      </c>
      <c r="C13104" t="s">
        <v>12</v>
      </c>
      <c r="D13104" s="2">
        <v>0</v>
      </c>
      <c r="E13104" s="2">
        <v>652.08000000000004</v>
      </c>
      <c r="F13104" t="s">
        <v>14</v>
      </c>
      <c r="G13104" t="s">
        <v>15</v>
      </c>
    </row>
    <row r="13105" spans="1:7" x14ac:dyDescent="0.35">
      <c r="A13105">
        <v>5209</v>
      </c>
      <c r="B13105" s="1">
        <v>45925</v>
      </c>
      <c r="C13105" t="s">
        <v>12</v>
      </c>
      <c r="D13105" s="2">
        <v>0</v>
      </c>
      <c r="E13105" s="2">
        <v>48.91</v>
      </c>
      <c r="F13105" t="s">
        <v>16</v>
      </c>
      <c r="G13105" t="s">
        <v>17</v>
      </c>
    </row>
    <row r="13106" spans="1:7" x14ac:dyDescent="0.35">
      <c r="A13106">
        <v>5210</v>
      </c>
      <c r="B13106" s="1">
        <v>45925</v>
      </c>
      <c r="C13106" t="s">
        <v>12</v>
      </c>
      <c r="D13106" s="2">
        <v>914.87</v>
      </c>
      <c r="E13106" s="2">
        <v>0</v>
      </c>
      <c r="F13106" t="s">
        <v>13</v>
      </c>
      <c r="G13106" t="s">
        <v>9</v>
      </c>
    </row>
    <row r="13107" spans="1:7" x14ac:dyDescent="0.35">
      <c r="A13107">
        <v>5210</v>
      </c>
      <c r="B13107" s="1">
        <v>45925</v>
      </c>
      <c r="C13107" t="s">
        <v>12</v>
      </c>
      <c r="D13107" s="2">
        <v>0</v>
      </c>
      <c r="E13107" s="2">
        <v>851.04</v>
      </c>
      <c r="F13107" t="s">
        <v>14</v>
      </c>
      <c r="G13107" t="s">
        <v>15</v>
      </c>
    </row>
    <row r="13108" spans="1:7" x14ac:dyDescent="0.35">
      <c r="A13108">
        <v>5210</v>
      </c>
      <c r="B13108" s="1">
        <v>45925</v>
      </c>
      <c r="C13108" t="s">
        <v>12</v>
      </c>
      <c r="D13108" s="2">
        <v>0</v>
      </c>
      <c r="E13108" s="2">
        <v>63.83</v>
      </c>
      <c r="F13108" t="s">
        <v>16</v>
      </c>
      <c r="G13108" t="s">
        <v>17</v>
      </c>
    </row>
    <row r="13109" spans="1:7" x14ac:dyDescent="0.35">
      <c r="A13109">
        <v>5211</v>
      </c>
      <c r="B13109" s="1">
        <v>45925</v>
      </c>
      <c r="C13109" t="s">
        <v>12</v>
      </c>
      <c r="D13109" s="2">
        <v>4144.55</v>
      </c>
      <c r="E13109" s="2">
        <v>0</v>
      </c>
      <c r="F13109" t="s">
        <v>13</v>
      </c>
      <c r="G13109" t="s">
        <v>9</v>
      </c>
    </row>
    <row r="13110" spans="1:7" x14ac:dyDescent="0.35">
      <c r="A13110">
        <v>5211</v>
      </c>
      <c r="B13110" s="1">
        <v>45925</v>
      </c>
      <c r="C13110" t="s">
        <v>12</v>
      </c>
      <c r="D13110" s="2">
        <v>0</v>
      </c>
      <c r="E13110" s="2">
        <v>3855.4</v>
      </c>
      <c r="F13110" t="s">
        <v>14</v>
      </c>
      <c r="G13110" t="s">
        <v>15</v>
      </c>
    </row>
    <row r="13111" spans="1:7" x14ac:dyDescent="0.35">
      <c r="A13111">
        <v>5211</v>
      </c>
      <c r="B13111" s="1">
        <v>45925</v>
      </c>
      <c r="C13111" t="s">
        <v>12</v>
      </c>
      <c r="D13111" s="2">
        <v>0</v>
      </c>
      <c r="E13111" s="2">
        <v>289.14999999999998</v>
      </c>
      <c r="F13111" t="s">
        <v>16</v>
      </c>
      <c r="G13111" t="s">
        <v>17</v>
      </c>
    </row>
    <row r="13112" spans="1:7" x14ac:dyDescent="0.35">
      <c r="A13112">
        <v>5212</v>
      </c>
      <c r="B13112" s="1">
        <v>45925</v>
      </c>
      <c r="C13112" t="s">
        <v>12</v>
      </c>
      <c r="D13112" s="2">
        <v>215.49</v>
      </c>
      <c r="E13112" s="2">
        <v>0</v>
      </c>
      <c r="F13112" t="s">
        <v>13</v>
      </c>
      <c r="G13112" t="s">
        <v>9</v>
      </c>
    </row>
    <row r="13113" spans="1:7" x14ac:dyDescent="0.35">
      <c r="A13113">
        <v>5212</v>
      </c>
      <c r="B13113" s="1">
        <v>45925</v>
      </c>
      <c r="C13113" t="s">
        <v>12</v>
      </c>
      <c r="D13113" s="2">
        <v>0</v>
      </c>
      <c r="E13113" s="2">
        <v>200.46</v>
      </c>
      <c r="F13113" t="s">
        <v>14</v>
      </c>
      <c r="G13113" t="s">
        <v>15</v>
      </c>
    </row>
    <row r="13114" spans="1:7" x14ac:dyDescent="0.35">
      <c r="A13114">
        <v>5212</v>
      </c>
      <c r="B13114" s="1">
        <v>45925</v>
      </c>
      <c r="C13114" t="s">
        <v>12</v>
      </c>
      <c r="D13114" s="2">
        <v>0</v>
      </c>
      <c r="E13114" s="2">
        <v>15.03</v>
      </c>
      <c r="F13114" t="s">
        <v>16</v>
      </c>
      <c r="G13114" t="s">
        <v>17</v>
      </c>
    </row>
    <row r="13115" spans="1:7" x14ac:dyDescent="0.35">
      <c r="A13115">
        <v>5213</v>
      </c>
      <c r="B13115" s="1">
        <v>45925</v>
      </c>
      <c r="C13115" t="s">
        <v>24</v>
      </c>
      <c r="D13115" s="2">
        <v>1803.13</v>
      </c>
      <c r="E13115" s="2">
        <v>0</v>
      </c>
      <c r="F13115" t="s">
        <v>8</v>
      </c>
      <c r="G13115" t="s">
        <v>9</v>
      </c>
    </row>
    <row r="13116" spans="1:7" x14ac:dyDescent="0.35">
      <c r="A13116">
        <v>5213</v>
      </c>
      <c r="B13116" s="1">
        <v>45925</v>
      </c>
      <c r="C13116" t="s">
        <v>24</v>
      </c>
      <c r="D13116" s="2">
        <v>0</v>
      </c>
      <c r="E13116" s="2">
        <v>1803.13</v>
      </c>
      <c r="F13116" t="s">
        <v>13</v>
      </c>
      <c r="G13116" t="s">
        <v>9</v>
      </c>
    </row>
    <row r="13117" spans="1:7" x14ac:dyDescent="0.35">
      <c r="A13117">
        <v>5214</v>
      </c>
      <c r="B13117" s="1">
        <v>45925</v>
      </c>
      <c r="C13117" t="s">
        <v>24</v>
      </c>
      <c r="D13117" s="2">
        <v>2343.33</v>
      </c>
      <c r="E13117" s="2">
        <v>0</v>
      </c>
      <c r="F13117" t="s">
        <v>8</v>
      </c>
      <c r="G13117" t="s">
        <v>9</v>
      </c>
    </row>
    <row r="13118" spans="1:7" x14ac:dyDescent="0.35">
      <c r="A13118">
        <v>5214</v>
      </c>
      <c r="B13118" s="1">
        <v>45925</v>
      </c>
      <c r="C13118" t="s">
        <v>24</v>
      </c>
      <c r="D13118" s="2">
        <v>0</v>
      </c>
      <c r="E13118" s="2">
        <v>2343.33</v>
      </c>
      <c r="F13118" t="s">
        <v>13</v>
      </c>
      <c r="G13118" t="s">
        <v>9</v>
      </c>
    </row>
    <row r="13119" spans="1:7" x14ac:dyDescent="0.35">
      <c r="A13119">
        <v>5215</v>
      </c>
      <c r="B13119" s="1">
        <v>45925</v>
      </c>
      <c r="C13119" t="s">
        <v>24</v>
      </c>
      <c r="D13119" s="2">
        <v>2183.23</v>
      </c>
      <c r="E13119" s="2">
        <v>0</v>
      </c>
      <c r="F13119" t="s">
        <v>8</v>
      </c>
      <c r="G13119" t="s">
        <v>9</v>
      </c>
    </row>
    <row r="13120" spans="1:7" x14ac:dyDescent="0.35">
      <c r="A13120">
        <v>5215</v>
      </c>
      <c r="B13120" s="1">
        <v>45925</v>
      </c>
      <c r="C13120" t="s">
        <v>24</v>
      </c>
      <c r="D13120" s="2">
        <v>0</v>
      </c>
      <c r="E13120" s="2">
        <v>2183.23</v>
      </c>
      <c r="F13120" t="s">
        <v>13</v>
      </c>
      <c r="G13120" t="s">
        <v>9</v>
      </c>
    </row>
    <row r="13121" spans="1:7" x14ac:dyDescent="0.35">
      <c r="A13121">
        <v>5216</v>
      </c>
      <c r="B13121" s="1">
        <v>45925</v>
      </c>
      <c r="C13121" t="s">
        <v>24</v>
      </c>
      <c r="D13121" s="2">
        <v>541.66</v>
      </c>
      <c r="E13121" s="2">
        <v>0</v>
      </c>
      <c r="F13121" t="s">
        <v>8</v>
      </c>
      <c r="G13121" t="s">
        <v>9</v>
      </c>
    </row>
    <row r="13122" spans="1:7" x14ac:dyDescent="0.35">
      <c r="A13122">
        <v>5216</v>
      </c>
      <c r="B13122" s="1">
        <v>45925</v>
      </c>
      <c r="C13122" t="s">
        <v>24</v>
      </c>
      <c r="D13122" s="2">
        <v>0</v>
      </c>
      <c r="E13122" s="2">
        <v>541.66</v>
      </c>
      <c r="F13122" t="s">
        <v>13</v>
      </c>
      <c r="G13122" t="s">
        <v>9</v>
      </c>
    </row>
    <row r="13123" spans="1:7" x14ac:dyDescent="0.35">
      <c r="A13123">
        <v>5217</v>
      </c>
      <c r="B13123" s="1">
        <v>45925</v>
      </c>
      <c r="C13123" t="s">
        <v>24</v>
      </c>
      <c r="D13123" s="2">
        <v>854.85</v>
      </c>
      <c r="E13123" s="2">
        <v>0</v>
      </c>
      <c r="F13123" t="s">
        <v>8</v>
      </c>
      <c r="G13123" t="s">
        <v>9</v>
      </c>
    </row>
    <row r="13124" spans="1:7" x14ac:dyDescent="0.35">
      <c r="A13124">
        <v>5217</v>
      </c>
      <c r="B13124" s="1">
        <v>45925</v>
      </c>
      <c r="C13124" t="s">
        <v>24</v>
      </c>
      <c r="D13124" s="2">
        <v>0</v>
      </c>
      <c r="E13124" s="2">
        <v>854.85</v>
      </c>
      <c r="F13124" t="s">
        <v>13</v>
      </c>
      <c r="G13124" t="s">
        <v>9</v>
      </c>
    </row>
    <row r="13125" spans="1:7" x14ac:dyDescent="0.35">
      <c r="A13125">
        <v>5218</v>
      </c>
      <c r="B13125" s="1">
        <v>45925</v>
      </c>
      <c r="C13125" t="s">
        <v>24</v>
      </c>
      <c r="D13125" s="2">
        <v>1093.51</v>
      </c>
      <c r="E13125" s="2">
        <v>0</v>
      </c>
      <c r="F13125" t="s">
        <v>8</v>
      </c>
      <c r="G13125" t="s">
        <v>9</v>
      </c>
    </row>
    <row r="13126" spans="1:7" x14ac:dyDescent="0.35">
      <c r="A13126">
        <v>5218</v>
      </c>
      <c r="B13126" s="1">
        <v>45925</v>
      </c>
      <c r="C13126" t="s">
        <v>24</v>
      </c>
      <c r="D13126" s="2">
        <v>0</v>
      </c>
      <c r="E13126" s="2">
        <v>1093.51</v>
      </c>
      <c r="F13126" t="s">
        <v>13</v>
      </c>
      <c r="G13126" t="s">
        <v>9</v>
      </c>
    </row>
    <row r="13127" spans="1:7" x14ac:dyDescent="0.35">
      <c r="A13127">
        <v>5219</v>
      </c>
      <c r="B13127" s="1">
        <v>45925</v>
      </c>
      <c r="C13127" t="s">
        <v>25</v>
      </c>
      <c r="D13127" s="2">
        <v>1213.5999999999999</v>
      </c>
      <c r="E13127" s="2">
        <v>0</v>
      </c>
      <c r="F13127" t="s">
        <v>26</v>
      </c>
      <c r="G13127" t="s">
        <v>20</v>
      </c>
    </row>
    <row r="13128" spans="1:7" x14ac:dyDescent="0.35">
      <c r="A13128">
        <v>5219</v>
      </c>
      <c r="B13128" s="1">
        <v>45925</v>
      </c>
      <c r="C13128" t="s">
        <v>25</v>
      </c>
      <c r="D13128" s="2">
        <v>91.02</v>
      </c>
      <c r="E13128" s="2">
        <v>0</v>
      </c>
      <c r="F13128" t="s">
        <v>27</v>
      </c>
      <c r="G13128" t="s">
        <v>9</v>
      </c>
    </row>
    <row r="13129" spans="1:7" x14ac:dyDescent="0.35">
      <c r="A13129">
        <v>5219</v>
      </c>
      <c r="B13129" s="1">
        <v>45925</v>
      </c>
      <c r="C13129" t="s">
        <v>25</v>
      </c>
      <c r="D13129" s="2">
        <v>0</v>
      </c>
      <c r="E13129" s="2">
        <v>1304.6199999999999</v>
      </c>
      <c r="F13129" t="s">
        <v>28</v>
      </c>
      <c r="G13129" t="s">
        <v>17</v>
      </c>
    </row>
    <row r="13130" spans="1:7" x14ac:dyDescent="0.35">
      <c r="A13130">
        <v>5220</v>
      </c>
      <c r="B13130" s="1">
        <v>45925</v>
      </c>
      <c r="C13130" t="s">
        <v>25</v>
      </c>
      <c r="D13130" s="2">
        <v>1947.24</v>
      </c>
      <c r="E13130" s="2">
        <v>0</v>
      </c>
      <c r="F13130" t="s">
        <v>26</v>
      </c>
      <c r="G13130" t="s">
        <v>20</v>
      </c>
    </row>
    <row r="13131" spans="1:7" x14ac:dyDescent="0.35">
      <c r="A13131">
        <v>5220</v>
      </c>
      <c r="B13131" s="1">
        <v>45925</v>
      </c>
      <c r="C13131" t="s">
        <v>25</v>
      </c>
      <c r="D13131" s="2">
        <v>146.04</v>
      </c>
      <c r="E13131" s="2">
        <v>0</v>
      </c>
      <c r="F13131" t="s">
        <v>27</v>
      </c>
      <c r="G13131" t="s">
        <v>9</v>
      </c>
    </row>
    <row r="13132" spans="1:7" x14ac:dyDescent="0.35">
      <c r="A13132">
        <v>5220</v>
      </c>
      <c r="B13132" s="1">
        <v>45925</v>
      </c>
      <c r="C13132" t="s">
        <v>25</v>
      </c>
      <c r="D13132" s="2">
        <v>0</v>
      </c>
      <c r="E13132" s="2">
        <v>2093.2800000000002</v>
      </c>
      <c r="F13132" t="s">
        <v>28</v>
      </c>
      <c r="G13132" t="s">
        <v>17</v>
      </c>
    </row>
    <row r="13133" spans="1:7" x14ac:dyDescent="0.35">
      <c r="A13133">
        <v>5221</v>
      </c>
      <c r="B13133" s="1">
        <v>45925</v>
      </c>
      <c r="C13133" t="s">
        <v>29</v>
      </c>
      <c r="D13133" s="2">
        <v>3528.97</v>
      </c>
      <c r="E13133" s="2">
        <v>0</v>
      </c>
      <c r="F13133" t="s">
        <v>28</v>
      </c>
      <c r="G13133" t="s">
        <v>17</v>
      </c>
    </row>
    <row r="13134" spans="1:7" x14ac:dyDescent="0.35">
      <c r="A13134">
        <v>5221</v>
      </c>
      <c r="B13134" s="1">
        <v>45925</v>
      </c>
      <c r="C13134" t="s">
        <v>29</v>
      </c>
      <c r="D13134" s="2">
        <v>0</v>
      </c>
      <c r="E13134" s="2">
        <v>3528.97</v>
      </c>
      <c r="F13134" t="s">
        <v>8</v>
      </c>
      <c r="G13134" t="s">
        <v>9</v>
      </c>
    </row>
    <row r="13135" spans="1:7" x14ac:dyDescent="0.35">
      <c r="A13135">
        <v>5222</v>
      </c>
      <c r="B13135" s="1">
        <v>45925</v>
      </c>
      <c r="C13135" t="s">
        <v>29</v>
      </c>
      <c r="D13135" s="2">
        <v>2504.23</v>
      </c>
      <c r="E13135" s="2">
        <v>0</v>
      </c>
      <c r="F13135" t="s">
        <v>28</v>
      </c>
      <c r="G13135" t="s">
        <v>17</v>
      </c>
    </row>
    <row r="13136" spans="1:7" x14ac:dyDescent="0.35">
      <c r="A13136">
        <v>5222</v>
      </c>
      <c r="B13136" s="1">
        <v>45925</v>
      </c>
      <c r="C13136" t="s">
        <v>29</v>
      </c>
      <c r="D13136" s="2">
        <v>0</v>
      </c>
      <c r="E13136" s="2">
        <v>2504.23</v>
      </c>
      <c r="F13136" t="s">
        <v>8</v>
      </c>
      <c r="G13136" t="s">
        <v>9</v>
      </c>
    </row>
    <row r="13137" spans="1:7" x14ac:dyDescent="0.35">
      <c r="A13137">
        <v>5223</v>
      </c>
      <c r="B13137" s="1">
        <v>45926</v>
      </c>
      <c r="C13137" t="s">
        <v>12</v>
      </c>
      <c r="D13137" s="2">
        <v>2450.58</v>
      </c>
      <c r="E13137" s="2">
        <v>0</v>
      </c>
      <c r="F13137" t="s">
        <v>13</v>
      </c>
      <c r="G13137" t="s">
        <v>9</v>
      </c>
    </row>
    <row r="13138" spans="1:7" x14ac:dyDescent="0.35">
      <c r="A13138">
        <v>5223</v>
      </c>
      <c r="B13138" s="1">
        <v>45926</v>
      </c>
      <c r="C13138" t="s">
        <v>12</v>
      </c>
      <c r="D13138" s="2">
        <v>0</v>
      </c>
      <c r="E13138" s="2">
        <v>2279.61</v>
      </c>
      <c r="F13138" t="s">
        <v>14</v>
      </c>
      <c r="G13138" t="s">
        <v>15</v>
      </c>
    </row>
    <row r="13139" spans="1:7" x14ac:dyDescent="0.35">
      <c r="A13139">
        <v>5223</v>
      </c>
      <c r="B13139" s="1">
        <v>45926</v>
      </c>
      <c r="C13139" t="s">
        <v>12</v>
      </c>
      <c r="D13139" s="2">
        <v>0</v>
      </c>
      <c r="E13139" s="2">
        <v>170.97</v>
      </c>
      <c r="F13139" t="s">
        <v>16</v>
      </c>
      <c r="G13139" t="s">
        <v>17</v>
      </c>
    </row>
    <row r="13140" spans="1:7" x14ac:dyDescent="0.35">
      <c r="A13140">
        <v>5224</v>
      </c>
      <c r="B13140" s="1">
        <v>45926</v>
      </c>
      <c r="C13140" t="s">
        <v>12</v>
      </c>
      <c r="D13140" s="2">
        <v>2982.38</v>
      </c>
      <c r="E13140" s="2">
        <v>0</v>
      </c>
      <c r="F13140" t="s">
        <v>13</v>
      </c>
      <c r="G13140" t="s">
        <v>9</v>
      </c>
    </row>
    <row r="13141" spans="1:7" x14ac:dyDescent="0.35">
      <c r="A13141">
        <v>5224</v>
      </c>
      <c r="B13141" s="1">
        <v>45926</v>
      </c>
      <c r="C13141" t="s">
        <v>12</v>
      </c>
      <c r="D13141" s="2">
        <v>0</v>
      </c>
      <c r="E13141" s="2">
        <v>2774.31</v>
      </c>
      <c r="F13141" t="s">
        <v>14</v>
      </c>
      <c r="G13141" t="s">
        <v>15</v>
      </c>
    </row>
    <row r="13142" spans="1:7" x14ac:dyDescent="0.35">
      <c r="A13142">
        <v>5224</v>
      </c>
      <c r="B13142" s="1">
        <v>45926</v>
      </c>
      <c r="C13142" t="s">
        <v>12</v>
      </c>
      <c r="D13142" s="2">
        <v>0</v>
      </c>
      <c r="E13142" s="2">
        <v>208.07</v>
      </c>
      <c r="F13142" t="s">
        <v>16</v>
      </c>
      <c r="G13142" t="s">
        <v>17</v>
      </c>
    </row>
    <row r="13143" spans="1:7" x14ac:dyDescent="0.35">
      <c r="A13143">
        <v>5225</v>
      </c>
      <c r="B13143" s="1">
        <v>45926</v>
      </c>
      <c r="C13143" t="s">
        <v>12</v>
      </c>
      <c r="D13143" s="2">
        <v>3499.05</v>
      </c>
      <c r="E13143" s="2">
        <v>0</v>
      </c>
      <c r="F13143" t="s">
        <v>13</v>
      </c>
      <c r="G13143" t="s">
        <v>9</v>
      </c>
    </row>
    <row r="13144" spans="1:7" x14ac:dyDescent="0.35">
      <c r="A13144">
        <v>5225</v>
      </c>
      <c r="B13144" s="1">
        <v>45926</v>
      </c>
      <c r="C13144" t="s">
        <v>12</v>
      </c>
      <c r="D13144" s="2">
        <v>0</v>
      </c>
      <c r="E13144" s="2">
        <v>3254.94</v>
      </c>
      <c r="F13144" t="s">
        <v>14</v>
      </c>
      <c r="G13144" t="s">
        <v>15</v>
      </c>
    </row>
    <row r="13145" spans="1:7" x14ac:dyDescent="0.35">
      <c r="A13145">
        <v>5225</v>
      </c>
      <c r="B13145" s="1">
        <v>45926</v>
      </c>
      <c r="C13145" t="s">
        <v>12</v>
      </c>
      <c r="D13145" s="2">
        <v>0</v>
      </c>
      <c r="E13145" s="2">
        <v>244.11</v>
      </c>
      <c r="F13145" t="s">
        <v>16</v>
      </c>
      <c r="G13145" t="s">
        <v>17</v>
      </c>
    </row>
    <row r="13146" spans="1:7" x14ac:dyDescent="0.35">
      <c r="A13146">
        <v>5226</v>
      </c>
      <c r="B13146" s="1">
        <v>45926</v>
      </c>
      <c r="C13146" t="s">
        <v>12</v>
      </c>
      <c r="D13146" s="2">
        <v>1961.39</v>
      </c>
      <c r="E13146" s="2">
        <v>0</v>
      </c>
      <c r="F13146" t="s">
        <v>13</v>
      </c>
      <c r="G13146" t="s">
        <v>9</v>
      </c>
    </row>
    <row r="13147" spans="1:7" x14ac:dyDescent="0.35">
      <c r="A13147">
        <v>5226</v>
      </c>
      <c r="B13147" s="1">
        <v>45926</v>
      </c>
      <c r="C13147" t="s">
        <v>12</v>
      </c>
      <c r="D13147" s="2">
        <v>0</v>
      </c>
      <c r="E13147" s="2">
        <v>1824.55</v>
      </c>
      <c r="F13147" t="s">
        <v>14</v>
      </c>
      <c r="G13147" t="s">
        <v>15</v>
      </c>
    </row>
    <row r="13148" spans="1:7" x14ac:dyDescent="0.35">
      <c r="A13148">
        <v>5226</v>
      </c>
      <c r="B13148" s="1">
        <v>45926</v>
      </c>
      <c r="C13148" t="s">
        <v>12</v>
      </c>
      <c r="D13148" s="2">
        <v>0</v>
      </c>
      <c r="E13148" s="2">
        <v>136.84</v>
      </c>
      <c r="F13148" t="s">
        <v>16</v>
      </c>
      <c r="G13148" t="s">
        <v>17</v>
      </c>
    </row>
    <row r="13149" spans="1:7" x14ac:dyDescent="0.35">
      <c r="A13149">
        <v>5227</v>
      </c>
      <c r="B13149" s="1">
        <v>45926</v>
      </c>
      <c r="C13149" t="s">
        <v>12</v>
      </c>
      <c r="D13149" s="2">
        <v>1461.66</v>
      </c>
      <c r="E13149" s="2">
        <v>0</v>
      </c>
      <c r="F13149" t="s">
        <v>13</v>
      </c>
      <c r="G13149" t="s">
        <v>9</v>
      </c>
    </row>
    <row r="13150" spans="1:7" x14ac:dyDescent="0.35">
      <c r="A13150">
        <v>5227</v>
      </c>
      <c r="B13150" s="1">
        <v>45926</v>
      </c>
      <c r="C13150" t="s">
        <v>12</v>
      </c>
      <c r="D13150" s="2">
        <v>0</v>
      </c>
      <c r="E13150" s="2">
        <v>1359.68</v>
      </c>
      <c r="F13150" t="s">
        <v>14</v>
      </c>
      <c r="G13150" t="s">
        <v>15</v>
      </c>
    </row>
    <row r="13151" spans="1:7" x14ac:dyDescent="0.35">
      <c r="A13151">
        <v>5227</v>
      </c>
      <c r="B13151" s="1">
        <v>45926</v>
      </c>
      <c r="C13151" t="s">
        <v>12</v>
      </c>
      <c r="D13151" s="2">
        <v>0</v>
      </c>
      <c r="E13151" s="2">
        <v>101.98</v>
      </c>
      <c r="F13151" t="s">
        <v>16</v>
      </c>
      <c r="G13151" t="s">
        <v>17</v>
      </c>
    </row>
    <row r="13152" spans="1:7" x14ac:dyDescent="0.35">
      <c r="A13152">
        <v>5228</v>
      </c>
      <c r="B13152" s="1">
        <v>45926</v>
      </c>
      <c r="C13152" t="s">
        <v>12</v>
      </c>
      <c r="D13152" s="2">
        <v>2856.42</v>
      </c>
      <c r="E13152" s="2">
        <v>0</v>
      </c>
      <c r="F13152" t="s">
        <v>13</v>
      </c>
      <c r="G13152" t="s">
        <v>9</v>
      </c>
    </row>
    <row r="13153" spans="1:7" x14ac:dyDescent="0.35">
      <c r="A13153">
        <v>5228</v>
      </c>
      <c r="B13153" s="1">
        <v>45926</v>
      </c>
      <c r="C13153" t="s">
        <v>12</v>
      </c>
      <c r="D13153" s="2">
        <v>0</v>
      </c>
      <c r="E13153" s="2">
        <v>2657.14</v>
      </c>
      <c r="F13153" t="s">
        <v>14</v>
      </c>
      <c r="G13153" t="s">
        <v>15</v>
      </c>
    </row>
    <row r="13154" spans="1:7" x14ac:dyDescent="0.35">
      <c r="A13154">
        <v>5228</v>
      </c>
      <c r="B13154" s="1">
        <v>45926</v>
      </c>
      <c r="C13154" t="s">
        <v>12</v>
      </c>
      <c r="D13154" s="2">
        <v>0</v>
      </c>
      <c r="E13154" s="2">
        <v>199.28</v>
      </c>
      <c r="F13154" t="s">
        <v>16</v>
      </c>
      <c r="G13154" t="s">
        <v>17</v>
      </c>
    </row>
    <row r="13155" spans="1:7" x14ac:dyDescent="0.35">
      <c r="A13155">
        <v>5229</v>
      </c>
      <c r="B13155" s="1">
        <v>45926</v>
      </c>
      <c r="C13155" t="s">
        <v>12</v>
      </c>
      <c r="D13155" s="2">
        <v>5265.7</v>
      </c>
      <c r="E13155" s="2">
        <v>0</v>
      </c>
      <c r="F13155" t="s">
        <v>13</v>
      </c>
      <c r="G13155" t="s">
        <v>9</v>
      </c>
    </row>
    <row r="13156" spans="1:7" x14ac:dyDescent="0.35">
      <c r="A13156">
        <v>5229</v>
      </c>
      <c r="B13156" s="1">
        <v>45926</v>
      </c>
      <c r="C13156" t="s">
        <v>12</v>
      </c>
      <c r="D13156" s="2">
        <v>0</v>
      </c>
      <c r="E13156" s="2">
        <v>4898.33</v>
      </c>
      <c r="F13156" t="s">
        <v>14</v>
      </c>
      <c r="G13156" t="s">
        <v>15</v>
      </c>
    </row>
    <row r="13157" spans="1:7" x14ac:dyDescent="0.35">
      <c r="A13157">
        <v>5229</v>
      </c>
      <c r="B13157" s="1">
        <v>45926</v>
      </c>
      <c r="C13157" t="s">
        <v>12</v>
      </c>
      <c r="D13157" s="2">
        <v>0</v>
      </c>
      <c r="E13157" s="2">
        <v>367.37</v>
      </c>
      <c r="F13157" t="s">
        <v>16</v>
      </c>
      <c r="G13157" t="s">
        <v>17</v>
      </c>
    </row>
    <row r="13158" spans="1:7" x14ac:dyDescent="0.35">
      <c r="A13158">
        <v>5230</v>
      </c>
      <c r="B13158" s="1">
        <v>45926</v>
      </c>
      <c r="C13158" t="s">
        <v>12</v>
      </c>
      <c r="D13158" s="2">
        <v>2159.79</v>
      </c>
      <c r="E13158" s="2">
        <v>0</v>
      </c>
      <c r="F13158" t="s">
        <v>13</v>
      </c>
      <c r="G13158" t="s">
        <v>9</v>
      </c>
    </row>
    <row r="13159" spans="1:7" x14ac:dyDescent="0.35">
      <c r="A13159">
        <v>5230</v>
      </c>
      <c r="B13159" s="1">
        <v>45926</v>
      </c>
      <c r="C13159" t="s">
        <v>12</v>
      </c>
      <c r="D13159" s="2">
        <v>0</v>
      </c>
      <c r="E13159" s="2">
        <v>2009.12</v>
      </c>
      <c r="F13159" t="s">
        <v>14</v>
      </c>
      <c r="G13159" t="s">
        <v>15</v>
      </c>
    </row>
    <row r="13160" spans="1:7" x14ac:dyDescent="0.35">
      <c r="A13160">
        <v>5230</v>
      </c>
      <c r="B13160" s="1">
        <v>45926</v>
      </c>
      <c r="C13160" t="s">
        <v>12</v>
      </c>
      <c r="D13160" s="2">
        <v>0</v>
      </c>
      <c r="E13160" s="2">
        <v>150.66999999999999</v>
      </c>
      <c r="F13160" t="s">
        <v>16</v>
      </c>
      <c r="G13160" t="s">
        <v>17</v>
      </c>
    </row>
    <row r="13161" spans="1:7" x14ac:dyDescent="0.35">
      <c r="A13161">
        <v>5231</v>
      </c>
      <c r="B13161" s="1">
        <v>45926</v>
      </c>
      <c r="C13161" t="s">
        <v>12</v>
      </c>
      <c r="D13161" s="2">
        <v>1471.21</v>
      </c>
      <c r="E13161" s="2">
        <v>0</v>
      </c>
      <c r="F13161" t="s">
        <v>13</v>
      </c>
      <c r="G13161" t="s">
        <v>9</v>
      </c>
    </row>
    <row r="13162" spans="1:7" x14ac:dyDescent="0.35">
      <c r="A13162">
        <v>5231</v>
      </c>
      <c r="B13162" s="1">
        <v>45926</v>
      </c>
      <c r="C13162" t="s">
        <v>12</v>
      </c>
      <c r="D13162" s="2">
        <v>0</v>
      </c>
      <c r="E13162" s="2">
        <v>1368.56</v>
      </c>
      <c r="F13162" t="s">
        <v>14</v>
      </c>
      <c r="G13162" t="s">
        <v>15</v>
      </c>
    </row>
    <row r="13163" spans="1:7" x14ac:dyDescent="0.35">
      <c r="A13163">
        <v>5231</v>
      </c>
      <c r="B13163" s="1">
        <v>45926</v>
      </c>
      <c r="C13163" t="s">
        <v>12</v>
      </c>
      <c r="D13163" s="2">
        <v>0</v>
      </c>
      <c r="E13163" s="2">
        <v>102.65</v>
      </c>
      <c r="F13163" t="s">
        <v>16</v>
      </c>
      <c r="G13163" t="s">
        <v>17</v>
      </c>
    </row>
    <row r="13164" spans="1:7" x14ac:dyDescent="0.35">
      <c r="A13164">
        <v>5232</v>
      </c>
      <c r="B13164" s="1">
        <v>45926</v>
      </c>
      <c r="C13164" t="s">
        <v>24</v>
      </c>
      <c r="D13164" s="2">
        <v>236.29</v>
      </c>
      <c r="E13164" s="2">
        <v>0</v>
      </c>
      <c r="F13164" t="s">
        <v>8</v>
      </c>
      <c r="G13164" t="s">
        <v>9</v>
      </c>
    </row>
    <row r="13165" spans="1:7" x14ac:dyDescent="0.35">
      <c r="A13165">
        <v>5232</v>
      </c>
      <c r="B13165" s="1">
        <v>45926</v>
      </c>
      <c r="C13165" t="s">
        <v>24</v>
      </c>
      <c r="D13165" s="2">
        <v>0</v>
      </c>
      <c r="E13165" s="2">
        <v>236.29</v>
      </c>
      <c r="F13165" t="s">
        <v>13</v>
      </c>
      <c r="G13165" t="s">
        <v>9</v>
      </c>
    </row>
    <row r="13166" spans="1:7" x14ac:dyDescent="0.35">
      <c r="A13166">
        <v>5233</v>
      </c>
      <c r="B13166" s="1">
        <v>45926</v>
      </c>
      <c r="C13166" t="s">
        <v>24</v>
      </c>
      <c r="D13166" s="2">
        <v>1121.55</v>
      </c>
      <c r="E13166" s="2">
        <v>0</v>
      </c>
      <c r="F13166" t="s">
        <v>8</v>
      </c>
      <c r="G13166" t="s">
        <v>9</v>
      </c>
    </row>
    <row r="13167" spans="1:7" x14ac:dyDescent="0.35">
      <c r="A13167">
        <v>5233</v>
      </c>
      <c r="B13167" s="1">
        <v>45926</v>
      </c>
      <c r="C13167" t="s">
        <v>24</v>
      </c>
      <c r="D13167" s="2">
        <v>0</v>
      </c>
      <c r="E13167" s="2">
        <v>1121.55</v>
      </c>
      <c r="F13167" t="s">
        <v>13</v>
      </c>
      <c r="G13167" t="s">
        <v>9</v>
      </c>
    </row>
    <row r="13168" spans="1:7" x14ac:dyDescent="0.35">
      <c r="A13168">
        <v>5234</v>
      </c>
      <c r="B13168" s="1">
        <v>45926</v>
      </c>
      <c r="C13168" t="s">
        <v>24</v>
      </c>
      <c r="D13168" s="2">
        <v>1323.27</v>
      </c>
      <c r="E13168" s="2">
        <v>0</v>
      </c>
      <c r="F13168" t="s">
        <v>8</v>
      </c>
      <c r="G13168" t="s">
        <v>9</v>
      </c>
    </row>
    <row r="13169" spans="1:7" x14ac:dyDescent="0.35">
      <c r="A13169">
        <v>5234</v>
      </c>
      <c r="B13169" s="1">
        <v>45926</v>
      </c>
      <c r="C13169" t="s">
        <v>24</v>
      </c>
      <c r="D13169" s="2">
        <v>0</v>
      </c>
      <c r="E13169" s="2">
        <v>1323.27</v>
      </c>
      <c r="F13169" t="s">
        <v>13</v>
      </c>
      <c r="G13169" t="s">
        <v>9</v>
      </c>
    </row>
    <row r="13170" spans="1:7" x14ac:dyDescent="0.35">
      <c r="A13170">
        <v>5235</v>
      </c>
      <c r="B13170" s="1">
        <v>45926</v>
      </c>
      <c r="C13170" t="s">
        <v>24</v>
      </c>
      <c r="D13170" s="2">
        <v>1485.88</v>
      </c>
      <c r="E13170" s="2">
        <v>0</v>
      </c>
      <c r="F13170" t="s">
        <v>8</v>
      </c>
      <c r="G13170" t="s">
        <v>9</v>
      </c>
    </row>
    <row r="13171" spans="1:7" x14ac:dyDescent="0.35">
      <c r="A13171">
        <v>5235</v>
      </c>
      <c r="B13171" s="1">
        <v>45926</v>
      </c>
      <c r="C13171" t="s">
        <v>24</v>
      </c>
      <c r="D13171" s="2">
        <v>0</v>
      </c>
      <c r="E13171" s="2">
        <v>1485.88</v>
      </c>
      <c r="F13171" t="s">
        <v>13</v>
      </c>
      <c r="G13171" t="s">
        <v>9</v>
      </c>
    </row>
    <row r="13172" spans="1:7" x14ac:dyDescent="0.35">
      <c r="A13172">
        <v>5236</v>
      </c>
      <c r="B13172" s="1">
        <v>45926</v>
      </c>
      <c r="C13172" t="s">
        <v>24</v>
      </c>
      <c r="D13172" s="2">
        <v>1714.23</v>
      </c>
      <c r="E13172" s="2">
        <v>0</v>
      </c>
      <c r="F13172" t="s">
        <v>8</v>
      </c>
      <c r="G13172" t="s">
        <v>9</v>
      </c>
    </row>
    <row r="13173" spans="1:7" x14ac:dyDescent="0.35">
      <c r="A13173">
        <v>5236</v>
      </c>
      <c r="B13173" s="1">
        <v>45926</v>
      </c>
      <c r="C13173" t="s">
        <v>24</v>
      </c>
      <c r="D13173" s="2">
        <v>0</v>
      </c>
      <c r="E13173" s="2">
        <v>1714.23</v>
      </c>
      <c r="F13173" t="s">
        <v>13</v>
      </c>
      <c r="G13173" t="s">
        <v>9</v>
      </c>
    </row>
    <row r="13174" spans="1:7" x14ac:dyDescent="0.35">
      <c r="A13174">
        <v>5237</v>
      </c>
      <c r="B13174" s="1">
        <v>45926</v>
      </c>
      <c r="C13174" t="s">
        <v>24</v>
      </c>
      <c r="D13174" s="2">
        <v>1961.39</v>
      </c>
      <c r="E13174" s="2">
        <v>0</v>
      </c>
      <c r="F13174" t="s">
        <v>8</v>
      </c>
      <c r="G13174" t="s">
        <v>9</v>
      </c>
    </row>
    <row r="13175" spans="1:7" x14ac:dyDescent="0.35">
      <c r="A13175">
        <v>5237</v>
      </c>
      <c r="B13175" s="1">
        <v>45926</v>
      </c>
      <c r="C13175" t="s">
        <v>24</v>
      </c>
      <c r="D13175" s="2">
        <v>0</v>
      </c>
      <c r="E13175" s="2">
        <v>1961.39</v>
      </c>
      <c r="F13175" t="s">
        <v>13</v>
      </c>
      <c r="G13175" t="s">
        <v>9</v>
      </c>
    </row>
    <row r="13176" spans="1:7" x14ac:dyDescent="0.35">
      <c r="A13176">
        <v>5238</v>
      </c>
      <c r="B13176" s="1">
        <v>45926</v>
      </c>
      <c r="C13176" t="s">
        <v>24</v>
      </c>
      <c r="D13176" s="2">
        <v>5265.7</v>
      </c>
      <c r="E13176" s="2">
        <v>0</v>
      </c>
      <c r="F13176" t="s">
        <v>8</v>
      </c>
      <c r="G13176" t="s">
        <v>9</v>
      </c>
    </row>
    <row r="13177" spans="1:7" x14ac:dyDescent="0.35">
      <c r="A13177">
        <v>5238</v>
      </c>
      <c r="B13177" s="1">
        <v>45926</v>
      </c>
      <c r="C13177" t="s">
        <v>24</v>
      </c>
      <c r="D13177" s="2">
        <v>0</v>
      </c>
      <c r="E13177" s="2">
        <v>5265.7</v>
      </c>
      <c r="F13177" t="s">
        <v>13</v>
      </c>
      <c r="G13177" t="s">
        <v>9</v>
      </c>
    </row>
    <row r="13178" spans="1:7" x14ac:dyDescent="0.35">
      <c r="A13178">
        <v>5239</v>
      </c>
      <c r="B13178" s="1">
        <v>45926</v>
      </c>
      <c r="C13178" t="s">
        <v>25</v>
      </c>
      <c r="D13178" s="2">
        <v>1822.08</v>
      </c>
      <c r="E13178" s="2">
        <v>0</v>
      </c>
      <c r="F13178" t="s">
        <v>26</v>
      </c>
      <c r="G13178" t="s">
        <v>20</v>
      </c>
    </row>
    <row r="13179" spans="1:7" x14ac:dyDescent="0.35">
      <c r="A13179">
        <v>5239</v>
      </c>
      <c r="B13179" s="1">
        <v>45926</v>
      </c>
      <c r="C13179" t="s">
        <v>25</v>
      </c>
      <c r="D13179" s="2">
        <v>136.66</v>
      </c>
      <c r="E13179" s="2">
        <v>0</v>
      </c>
      <c r="F13179" t="s">
        <v>27</v>
      </c>
      <c r="G13179" t="s">
        <v>9</v>
      </c>
    </row>
    <row r="13180" spans="1:7" x14ac:dyDescent="0.35">
      <c r="A13180">
        <v>5239</v>
      </c>
      <c r="B13180" s="1">
        <v>45926</v>
      </c>
      <c r="C13180" t="s">
        <v>25</v>
      </c>
      <c r="D13180" s="2">
        <v>0</v>
      </c>
      <c r="E13180" s="2">
        <v>1958.74</v>
      </c>
      <c r="F13180" t="s">
        <v>28</v>
      </c>
      <c r="G13180" t="s">
        <v>17</v>
      </c>
    </row>
    <row r="13181" spans="1:7" x14ac:dyDescent="0.35">
      <c r="A13181">
        <v>5240</v>
      </c>
      <c r="B13181" s="1">
        <v>45926</v>
      </c>
      <c r="C13181" t="s">
        <v>29</v>
      </c>
      <c r="D13181" s="2">
        <v>2182.41</v>
      </c>
      <c r="E13181" s="2">
        <v>0</v>
      </c>
      <c r="F13181" t="s">
        <v>28</v>
      </c>
      <c r="G13181" t="s">
        <v>17</v>
      </c>
    </row>
    <row r="13182" spans="1:7" x14ac:dyDescent="0.35">
      <c r="A13182">
        <v>5240</v>
      </c>
      <c r="B13182" s="1">
        <v>45926</v>
      </c>
      <c r="C13182" t="s">
        <v>29</v>
      </c>
      <c r="D13182" s="2">
        <v>0</v>
      </c>
      <c r="E13182" s="2">
        <v>2182.41</v>
      </c>
      <c r="F13182" t="s">
        <v>8</v>
      </c>
      <c r="G13182" t="s">
        <v>9</v>
      </c>
    </row>
    <row r="13183" spans="1:7" x14ac:dyDescent="0.35">
      <c r="A13183">
        <v>5241</v>
      </c>
      <c r="B13183" s="1">
        <v>45929</v>
      </c>
      <c r="C13183" t="s">
        <v>12</v>
      </c>
      <c r="D13183" s="2">
        <v>1820.46</v>
      </c>
      <c r="E13183" s="2">
        <v>0</v>
      </c>
      <c r="F13183" t="s">
        <v>13</v>
      </c>
      <c r="G13183" t="s">
        <v>9</v>
      </c>
    </row>
    <row r="13184" spans="1:7" x14ac:dyDescent="0.35">
      <c r="A13184">
        <v>5241</v>
      </c>
      <c r="B13184" s="1">
        <v>45929</v>
      </c>
      <c r="C13184" t="s">
        <v>12</v>
      </c>
      <c r="D13184" s="2">
        <v>0</v>
      </c>
      <c r="E13184" s="2">
        <v>1693.45</v>
      </c>
      <c r="F13184" t="s">
        <v>14</v>
      </c>
      <c r="G13184" t="s">
        <v>15</v>
      </c>
    </row>
    <row r="13185" spans="1:7" x14ac:dyDescent="0.35">
      <c r="A13185">
        <v>5241</v>
      </c>
      <c r="B13185" s="1">
        <v>45929</v>
      </c>
      <c r="C13185" t="s">
        <v>12</v>
      </c>
      <c r="D13185" s="2">
        <v>0</v>
      </c>
      <c r="E13185" s="2">
        <v>127.01</v>
      </c>
      <c r="F13185" t="s">
        <v>16</v>
      </c>
      <c r="G13185" t="s">
        <v>17</v>
      </c>
    </row>
    <row r="13186" spans="1:7" x14ac:dyDescent="0.35">
      <c r="A13186">
        <v>5242</v>
      </c>
      <c r="B13186" s="1">
        <v>45929</v>
      </c>
      <c r="C13186" t="s">
        <v>12</v>
      </c>
      <c r="D13186" s="2">
        <v>5068.34</v>
      </c>
      <c r="E13186" s="2">
        <v>0</v>
      </c>
      <c r="F13186" t="s">
        <v>13</v>
      </c>
      <c r="G13186" t="s">
        <v>9</v>
      </c>
    </row>
    <row r="13187" spans="1:7" x14ac:dyDescent="0.35">
      <c r="A13187">
        <v>5242</v>
      </c>
      <c r="B13187" s="1">
        <v>45929</v>
      </c>
      <c r="C13187" t="s">
        <v>12</v>
      </c>
      <c r="D13187" s="2">
        <v>0</v>
      </c>
      <c r="E13187" s="2">
        <v>4714.74</v>
      </c>
      <c r="F13187" t="s">
        <v>14</v>
      </c>
      <c r="G13187" t="s">
        <v>15</v>
      </c>
    </row>
    <row r="13188" spans="1:7" x14ac:dyDescent="0.35">
      <c r="A13188">
        <v>5242</v>
      </c>
      <c r="B13188" s="1">
        <v>45929</v>
      </c>
      <c r="C13188" t="s">
        <v>12</v>
      </c>
      <c r="D13188" s="2">
        <v>0</v>
      </c>
      <c r="E13188" s="2">
        <v>353.6</v>
      </c>
      <c r="F13188" t="s">
        <v>16</v>
      </c>
      <c r="G13188" t="s">
        <v>17</v>
      </c>
    </row>
    <row r="13189" spans="1:7" x14ac:dyDescent="0.35">
      <c r="A13189">
        <v>5243</v>
      </c>
      <c r="B13189" s="1">
        <v>45929</v>
      </c>
      <c r="C13189" t="s">
        <v>12</v>
      </c>
      <c r="D13189" s="2">
        <v>2673.93</v>
      </c>
      <c r="E13189" s="2">
        <v>0</v>
      </c>
      <c r="F13189" t="s">
        <v>13</v>
      </c>
      <c r="G13189" t="s">
        <v>9</v>
      </c>
    </row>
    <row r="13190" spans="1:7" x14ac:dyDescent="0.35">
      <c r="A13190">
        <v>5243</v>
      </c>
      <c r="B13190" s="1">
        <v>45929</v>
      </c>
      <c r="C13190" t="s">
        <v>12</v>
      </c>
      <c r="D13190" s="2">
        <v>0</v>
      </c>
      <c r="E13190" s="2">
        <v>2487.39</v>
      </c>
      <c r="F13190" t="s">
        <v>14</v>
      </c>
      <c r="G13190" t="s">
        <v>15</v>
      </c>
    </row>
    <row r="13191" spans="1:7" x14ac:dyDescent="0.35">
      <c r="A13191">
        <v>5243</v>
      </c>
      <c r="B13191" s="1">
        <v>45929</v>
      </c>
      <c r="C13191" t="s">
        <v>12</v>
      </c>
      <c r="D13191" s="2">
        <v>0</v>
      </c>
      <c r="E13191" s="2">
        <v>186.54</v>
      </c>
      <c r="F13191" t="s">
        <v>16</v>
      </c>
      <c r="G13191" t="s">
        <v>17</v>
      </c>
    </row>
    <row r="13192" spans="1:7" x14ac:dyDescent="0.35">
      <c r="A13192">
        <v>5244</v>
      </c>
      <c r="B13192" s="1">
        <v>45929</v>
      </c>
      <c r="C13192" t="s">
        <v>12</v>
      </c>
      <c r="D13192" s="2">
        <v>1492.83</v>
      </c>
      <c r="E13192" s="2">
        <v>0</v>
      </c>
      <c r="F13192" t="s">
        <v>13</v>
      </c>
      <c r="G13192" t="s">
        <v>9</v>
      </c>
    </row>
    <row r="13193" spans="1:7" x14ac:dyDescent="0.35">
      <c r="A13193">
        <v>5244</v>
      </c>
      <c r="B13193" s="1">
        <v>45929</v>
      </c>
      <c r="C13193" t="s">
        <v>12</v>
      </c>
      <c r="D13193" s="2">
        <v>0</v>
      </c>
      <c r="E13193" s="2">
        <v>1388.68</v>
      </c>
      <c r="F13193" t="s">
        <v>14</v>
      </c>
      <c r="G13193" t="s">
        <v>15</v>
      </c>
    </row>
    <row r="13194" spans="1:7" x14ac:dyDescent="0.35">
      <c r="A13194">
        <v>5244</v>
      </c>
      <c r="B13194" s="1">
        <v>45929</v>
      </c>
      <c r="C13194" t="s">
        <v>12</v>
      </c>
      <c r="D13194" s="2">
        <v>0</v>
      </c>
      <c r="E13194" s="2">
        <v>104.15</v>
      </c>
      <c r="F13194" t="s">
        <v>16</v>
      </c>
      <c r="G13194" t="s">
        <v>17</v>
      </c>
    </row>
    <row r="13195" spans="1:7" x14ac:dyDescent="0.35">
      <c r="A13195">
        <v>5245</v>
      </c>
      <c r="B13195" s="1">
        <v>45929</v>
      </c>
      <c r="C13195" t="s">
        <v>12</v>
      </c>
      <c r="D13195" s="2">
        <v>143.66</v>
      </c>
      <c r="E13195" s="2">
        <v>0</v>
      </c>
      <c r="F13195" t="s">
        <v>13</v>
      </c>
      <c r="G13195" t="s">
        <v>9</v>
      </c>
    </row>
    <row r="13196" spans="1:7" x14ac:dyDescent="0.35">
      <c r="A13196">
        <v>5245</v>
      </c>
      <c r="B13196" s="1">
        <v>45929</v>
      </c>
      <c r="C13196" t="s">
        <v>12</v>
      </c>
      <c r="D13196" s="2">
        <v>0</v>
      </c>
      <c r="E13196" s="2">
        <v>133.63999999999999</v>
      </c>
      <c r="F13196" t="s">
        <v>14</v>
      </c>
      <c r="G13196" t="s">
        <v>15</v>
      </c>
    </row>
    <row r="13197" spans="1:7" x14ac:dyDescent="0.35">
      <c r="A13197">
        <v>5245</v>
      </c>
      <c r="B13197" s="1">
        <v>45929</v>
      </c>
      <c r="C13197" t="s">
        <v>12</v>
      </c>
      <c r="D13197" s="2">
        <v>0</v>
      </c>
      <c r="E13197" s="2">
        <v>10.02</v>
      </c>
      <c r="F13197" t="s">
        <v>16</v>
      </c>
      <c r="G13197" t="s">
        <v>17</v>
      </c>
    </row>
    <row r="13198" spans="1:7" x14ac:dyDescent="0.35">
      <c r="A13198">
        <v>5246</v>
      </c>
      <c r="B13198" s="1">
        <v>45929</v>
      </c>
      <c r="C13198" t="s">
        <v>12</v>
      </c>
      <c r="D13198" s="2">
        <v>2873.62</v>
      </c>
      <c r="E13198" s="2">
        <v>0</v>
      </c>
      <c r="F13198" t="s">
        <v>13</v>
      </c>
      <c r="G13198" t="s">
        <v>9</v>
      </c>
    </row>
    <row r="13199" spans="1:7" x14ac:dyDescent="0.35">
      <c r="A13199">
        <v>5246</v>
      </c>
      <c r="B13199" s="1">
        <v>45929</v>
      </c>
      <c r="C13199" t="s">
        <v>12</v>
      </c>
      <c r="D13199" s="2">
        <v>0</v>
      </c>
      <c r="E13199" s="2">
        <v>2673.13</v>
      </c>
      <c r="F13199" t="s">
        <v>14</v>
      </c>
      <c r="G13199" t="s">
        <v>15</v>
      </c>
    </row>
    <row r="13200" spans="1:7" x14ac:dyDescent="0.35">
      <c r="A13200">
        <v>5246</v>
      </c>
      <c r="B13200" s="1">
        <v>45929</v>
      </c>
      <c r="C13200" t="s">
        <v>12</v>
      </c>
      <c r="D13200" s="2">
        <v>0</v>
      </c>
      <c r="E13200" s="2">
        <v>200.49</v>
      </c>
      <c r="F13200" t="s">
        <v>16</v>
      </c>
      <c r="G13200" t="s">
        <v>17</v>
      </c>
    </row>
    <row r="13201" spans="1:7" x14ac:dyDescent="0.35">
      <c r="A13201">
        <v>5247</v>
      </c>
      <c r="B13201" s="1">
        <v>45929</v>
      </c>
      <c r="C13201" t="s">
        <v>12</v>
      </c>
      <c r="D13201" s="2">
        <v>2084.9499999999998</v>
      </c>
      <c r="E13201" s="2">
        <v>0</v>
      </c>
      <c r="F13201" t="s">
        <v>13</v>
      </c>
      <c r="G13201" t="s">
        <v>9</v>
      </c>
    </row>
    <row r="13202" spans="1:7" x14ac:dyDescent="0.35">
      <c r="A13202">
        <v>5247</v>
      </c>
      <c r="B13202" s="1">
        <v>45929</v>
      </c>
      <c r="C13202" t="s">
        <v>12</v>
      </c>
      <c r="D13202" s="2">
        <v>0</v>
      </c>
      <c r="E13202" s="2">
        <v>1939.5</v>
      </c>
      <c r="F13202" t="s">
        <v>14</v>
      </c>
      <c r="G13202" t="s">
        <v>15</v>
      </c>
    </row>
    <row r="13203" spans="1:7" x14ac:dyDescent="0.35">
      <c r="A13203">
        <v>5247</v>
      </c>
      <c r="B13203" s="1">
        <v>45929</v>
      </c>
      <c r="C13203" t="s">
        <v>12</v>
      </c>
      <c r="D13203" s="2">
        <v>0</v>
      </c>
      <c r="E13203" s="2">
        <v>145.44999999999999</v>
      </c>
      <c r="F13203" t="s">
        <v>16</v>
      </c>
      <c r="G13203" t="s">
        <v>17</v>
      </c>
    </row>
    <row r="13204" spans="1:7" x14ac:dyDescent="0.35">
      <c r="A13204">
        <v>5248</v>
      </c>
      <c r="B13204" s="1">
        <v>45929</v>
      </c>
      <c r="C13204" t="s">
        <v>24</v>
      </c>
      <c r="D13204" s="2">
        <v>1074.72</v>
      </c>
      <c r="E13204" s="2">
        <v>0</v>
      </c>
      <c r="F13204" t="s">
        <v>8</v>
      </c>
      <c r="G13204" t="s">
        <v>9</v>
      </c>
    </row>
    <row r="13205" spans="1:7" x14ac:dyDescent="0.35">
      <c r="A13205">
        <v>5248</v>
      </c>
      <c r="B13205" s="1">
        <v>45929</v>
      </c>
      <c r="C13205" t="s">
        <v>24</v>
      </c>
      <c r="D13205" s="2">
        <v>0</v>
      </c>
      <c r="E13205" s="2">
        <v>1074.72</v>
      </c>
      <c r="F13205" t="s">
        <v>13</v>
      </c>
      <c r="G13205" t="s">
        <v>9</v>
      </c>
    </row>
    <row r="13206" spans="1:7" x14ac:dyDescent="0.35">
      <c r="A13206">
        <v>5249</v>
      </c>
      <c r="B13206" s="1">
        <v>45929</v>
      </c>
      <c r="C13206" t="s">
        <v>24</v>
      </c>
      <c r="D13206" s="2">
        <v>179.58</v>
      </c>
      <c r="E13206" s="2">
        <v>0</v>
      </c>
      <c r="F13206" t="s">
        <v>8</v>
      </c>
      <c r="G13206" t="s">
        <v>9</v>
      </c>
    </row>
    <row r="13207" spans="1:7" x14ac:dyDescent="0.35">
      <c r="A13207">
        <v>5249</v>
      </c>
      <c r="B13207" s="1">
        <v>45929</v>
      </c>
      <c r="C13207" t="s">
        <v>24</v>
      </c>
      <c r="D13207" s="2">
        <v>0</v>
      </c>
      <c r="E13207" s="2">
        <v>179.58</v>
      </c>
      <c r="F13207" t="s">
        <v>13</v>
      </c>
      <c r="G13207" t="s">
        <v>9</v>
      </c>
    </row>
    <row r="13208" spans="1:7" x14ac:dyDescent="0.35">
      <c r="A13208">
        <v>5250</v>
      </c>
      <c r="B13208" s="1">
        <v>45929</v>
      </c>
      <c r="C13208" t="s">
        <v>24</v>
      </c>
      <c r="D13208" s="2">
        <v>3662.65</v>
      </c>
      <c r="E13208" s="2">
        <v>0</v>
      </c>
      <c r="F13208" t="s">
        <v>8</v>
      </c>
      <c r="G13208" t="s">
        <v>9</v>
      </c>
    </row>
    <row r="13209" spans="1:7" x14ac:dyDescent="0.35">
      <c r="A13209">
        <v>5250</v>
      </c>
      <c r="B13209" s="1">
        <v>45929</v>
      </c>
      <c r="C13209" t="s">
        <v>24</v>
      </c>
      <c r="D13209" s="2">
        <v>0</v>
      </c>
      <c r="E13209" s="2">
        <v>3662.65</v>
      </c>
      <c r="F13209" t="s">
        <v>13</v>
      </c>
      <c r="G13209" t="s">
        <v>9</v>
      </c>
    </row>
    <row r="13210" spans="1:7" x14ac:dyDescent="0.35">
      <c r="A13210">
        <v>5251</v>
      </c>
      <c r="B13210" s="1">
        <v>45929</v>
      </c>
      <c r="C13210" t="s">
        <v>25</v>
      </c>
      <c r="D13210" s="2">
        <v>8685.27</v>
      </c>
      <c r="E13210" s="2">
        <v>0</v>
      </c>
      <c r="F13210" t="s">
        <v>26</v>
      </c>
      <c r="G13210" t="s">
        <v>20</v>
      </c>
    </row>
    <row r="13211" spans="1:7" x14ac:dyDescent="0.35">
      <c r="A13211">
        <v>5251</v>
      </c>
      <c r="B13211" s="1">
        <v>45929</v>
      </c>
      <c r="C13211" t="s">
        <v>25</v>
      </c>
      <c r="D13211" s="2">
        <v>651.4</v>
      </c>
      <c r="E13211" s="2">
        <v>0</v>
      </c>
      <c r="F13211" t="s">
        <v>27</v>
      </c>
      <c r="G13211" t="s">
        <v>9</v>
      </c>
    </row>
    <row r="13212" spans="1:7" x14ac:dyDescent="0.35">
      <c r="A13212">
        <v>5251</v>
      </c>
      <c r="B13212" s="1">
        <v>45929</v>
      </c>
      <c r="C13212" t="s">
        <v>25</v>
      </c>
      <c r="D13212" s="2">
        <v>0</v>
      </c>
      <c r="E13212" s="2">
        <v>9336.67</v>
      </c>
      <c r="F13212" t="s">
        <v>28</v>
      </c>
      <c r="G13212" t="s">
        <v>17</v>
      </c>
    </row>
    <row r="13213" spans="1:7" x14ac:dyDescent="0.35">
      <c r="A13213">
        <v>5252</v>
      </c>
      <c r="B13213" s="1">
        <v>45929</v>
      </c>
      <c r="C13213" t="s">
        <v>25</v>
      </c>
      <c r="D13213" s="2">
        <v>512</v>
      </c>
      <c r="E13213" s="2">
        <v>0</v>
      </c>
      <c r="F13213" t="s">
        <v>26</v>
      </c>
      <c r="G13213" t="s">
        <v>20</v>
      </c>
    </row>
    <row r="13214" spans="1:7" x14ac:dyDescent="0.35">
      <c r="A13214">
        <v>5252</v>
      </c>
      <c r="B13214" s="1">
        <v>45929</v>
      </c>
      <c r="C13214" t="s">
        <v>25</v>
      </c>
      <c r="D13214" s="2">
        <v>38.4</v>
      </c>
      <c r="E13214" s="2">
        <v>0</v>
      </c>
      <c r="F13214" t="s">
        <v>27</v>
      </c>
      <c r="G13214" t="s">
        <v>9</v>
      </c>
    </row>
    <row r="13215" spans="1:7" x14ac:dyDescent="0.35">
      <c r="A13215">
        <v>5252</v>
      </c>
      <c r="B13215" s="1">
        <v>45929</v>
      </c>
      <c r="C13215" t="s">
        <v>25</v>
      </c>
      <c r="D13215" s="2">
        <v>0</v>
      </c>
      <c r="E13215" s="2">
        <v>550.4</v>
      </c>
      <c r="F13215" t="s">
        <v>28</v>
      </c>
      <c r="G13215" t="s">
        <v>17</v>
      </c>
    </row>
    <row r="13216" spans="1:7" x14ac:dyDescent="0.35">
      <c r="A13216">
        <v>5253</v>
      </c>
      <c r="B13216" s="1">
        <v>45929</v>
      </c>
      <c r="C13216" t="s">
        <v>25</v>
      </c>
      <c r="D13216" s="2">
        <v>1643.22</v>
      </c>
      <c r="E13216" s="2">
        <v>0</v>
      </c>
      <c r="F13216" t="s">
        <v>26</v>
      </c>
      <c r="G13216" t="s">
        <v>20</v>
      </c>
    </row>
    <row r="13217" spans="1:7" x14ac:dyDescent="0.35">
      <c r="A13217">
        <v>5253</v>
      </c>
      <c r="B13217" s="1">
        <v>45929</v>
      </c>
      <c r="C13217" t="s">
        <v>25</v>
      </c>
      <c r="D13217" s="2">
        <v>123.24</v>
      </c>
      <c r="E13217" s="2">
        <v>0</v>
      </c>
      <c r="F13217" t="s">
        <v>27</v>
      </c>
      <c r="G13217" t="s">
        <v>9</v>
      </c>
    </row>
    <row r="13218" spans="1:7" x14ac:dyDescent="0.35">
      <c r="A13218">
        <v>5253</v>
      </c>
      <c r="B13218" s="1">
        <v>45929</v>
      </c>
      <c r="C13218" t="s">
        <v>25</v>
      </c>
      <c r="D13218" s="2">
        <v>0</v>
      </c>
      <c r="E13218" s="2">
        <v>1766.46</v>
      </c>
      <c r="F13218" t="s">
        <v>28</v>
      </c>
      <c r="G13218" t="s">
        <v>17</v>
      </c>
    </row>
    <row r="13219" spans="1:7" x14ac:dyDescent="0.35">
      <c r="A13219">
        <v>5254</v>
      </c>
      <c r="B13219" s="1">
        <v>45929</v>
      </c>
      <c r="C13219" t="s">
        <v>25</v>
      </c>
      <c r="D13219" s="2">
        <v>6723.2</v>
      </c>
      <c r="E13219" s="2">
        <v>0</v>
      </c>
      <c r="F13219" t="s">
        <v>26</v>
      </c>
      <c r="G13219" t="s">
        <v>20</v>
      </c>
    </row>
    <row r="13220" spans="1:7" x14ac:dyDescent="0.35">
      <c r="A13220">
        <v>5254</v>
      </c>
      <c r="B13220" s="1">
        <v>45929</v>
      </c>
      <c r="C13220" t="s">
        <v>25</v>
      </c>
      <c r="D13220" s="2">
        <v>504.24</v>
      </c>
      <c r="E13220" s="2">
        <v>0</v>
      </c>
      <c r="F13220" t="s">
        <v>27</v>
      </c>
      <c r="G13220" t="s">
        <v>9</v>
      </c>
    </row>
    <row r="13221" spans="1:7" x14ac:dyDescent="0.35">
      <c r="A13221">
        <v>5254</v>
      </c>
      <c r="B13221" s="1">
        <v>45929</v>
      </c>
      <c r="C13221" t="s">
        <v>25</v>
      </c>
      <c r="D13221" s="2">
        <v>0</v>
      </c>
      <c r="E13221" s="2">
        <v>7227.44</v>
      </c>
      <c r="F13221" t="s">
        <v>28</v>
      </c>
      <c r="G13221" t="s">
        <v>17</v>
      </c>
    </row>
    <row r="13222" spans="1:7" x14ac:dyDescent="0.35">
      <c r="A13222">
        <v>5255</v>
      </c>
      <c r="B13222" s="1">
        <v>45929</v>
      </c>
      <c r="C13222" t="s">
        <v>25</v>
      </c>
      <c r="D13222" s="2">
        <v>166.52</v>
      </c>
      <c r="E13222" s="2">
        <v>0</v>
      </c>
      <c r="F13222" t="s">
        <v>26</v>
      </c>
      <c r="G13222" t="s">
        <v>20</v>
      </c>
    </row>
    <row r="13223" spans="1:7" x14ac:dyDescent="0.35">
      <c r="A13223">
        <v>5255</v>
      </c>
      <c r="B13223" s="1">
        <v>45929</v>
      </c>
      <c r="C13223" t="s">
        <v>25</v>
      </c>
      <c r="D13223" s="2">
        <v>12.49</v>
      </c>
      <c r="E13223" s="2">
        <v>0</v>
      </c>
      <c r="F13223" t="s">
        <v>27</v>
      </c>
      <c r="G13223" t="s">
        <v>9</v>
      </c>
    </row>
    <row r="13224" spans="1:7" x14ac:dyDescent="0.35">
      <c r="A13224">
        <v>5255</v>
      </c>
      <c r="B13224" s="1">
        <v>45929</v>
      </c>
      <c r="C13224" t="s">
        <v>25</v>
      </c>
      <c r="D13224" s="2">
        <v>0</v>
      </c>
      <c r="E13224" s="2">
        <v>179.01</v>
      </c>
      <c r="F13224" t="s">
        <v>28</v>
      </c>
      <c r="G13224" t="s">
        <v>17</v>
      </c>
    </row>
    <row r="13225" spans="1:7" x14ac:dyDescent="0.35">
      <c r="A13225">
        <v>5256</v>
      </c>
      <c r="B13225" s="1">
        <v>45929</v>
      </c>
      <c r="C13225" t="s">
        <v>25</v>
      </c>
      <c r="D13225" s="2">
        <v>2714.58</v>
      </c>
      <c r="E13225" s="2">
        <v>0</v>
      </c>
      <c r="F13225" t="s">
        <v>26</v>
      </c>
      <c r="G13225" t="s">
        <v>20</v>
      </c>
    </row>
    <row r="13226" spans="1:7" x14ac:dyDescent="0.35">
      <c r="A13226">
        <v>5256</v>
      </c>
      <c r="B13226" s="1">
        <v>45929</v>
      </c>
      <c r="C13226" t="s">
        <v>25</v>
      </c>
      <c r="D13226" s="2">
        <v>203.59</v>
      </c>
      <c r="E13226" s="2">
        <v>0</v>
      </c>
      <c r="F13226" t="s">
        <v>27</v>
      </c>
      <c r="G13226" t="s">
        <v>9</v>
      </c>
    </row>
    <row r="13227" spans="1:7" x14ac:dyDescent="0.35">
      <c r="A13227">
        <v>5256</v>
      </c>
      <c r="B13227" s="1">
        <v>45929</v>
      </c>
      <c r="C13227" t="s">
        <v>25</v>
      </c>
      <c r="D13227" s="2">
        <v>0</v>
      </c>
      <c r="E13227" s="2">
        <v>2918.17</v>
      </c>
      <c r="F13227" t="s">
        <v>28</v>
      </c>
      <c r="G13227" t="s">
        <v>17</v>
      </c>
    </row>
    <row r="13228" spans="1:7" x14ac:dyDescent="0.35">
      <c r="A13228">
        <v>5257</v>
      </c>
      <c r="B13228" s="1">
        <v>45929</v>
      </c>
      <c r="C13228" t="s">
        <v>25</v>
      </c>
      <c r="D13228" s="2">
        <v>802.71</v>
      </c>
      <c r="E13228" s="2">
        <v>0</v>
      </c>
      <c r="F13228" t="s">
        <v>26</v>
      </c>
      <c r="G13228" t="s">
        <v>20</v>
      </c>
    </row>
    <row r="13229" spans="1:7" x14ac:dyDescent="0.35">
      <c r="A13229">
        <v>5257</v>
      </c>
      <c r="B13229" s="1">
        <v>45929</v>
      </c>
      <c r="C13229" t="s">
        <v>25</v>
      </c>
      <c r="D13229" s="2">
        <v>60.2</v>
      </c>
      <c r="E13229" s="2">
        <v>0</v>
      </c>
      <c r="F13229" t="s">
        <v>27</v>
      </c>
      <c r="G13229" t="s">
        <v>9</v>
      </c>
    </row>
    <row r="13230" spans="1:7" x14ac:dyDescent="0.35">
      <c r="A13230">
        <v>5257</v>
      </c>
      <c r="B13230" s="1">
        <v>45929</v>
      </c>
      <c r="C13230" t="s">
        <v>25</v>
      </c>
      <c r="D13230" s="2">
        <v>0</v>
      </c>
      <c r="E13230" s="2">
        <v>862.91</v>
      </c>
      <c r="F13230" t="s">
        <v>28</v>
      </c>
      <c r="G13230" t="s">
        <v>17</v>
      </c>
    </row>
    <row r="13231" spans="1:7" x14ac:dyDescent="0.35">
      <c r="A13231">
        <v>5258</v>
      </c>
      <c r="B13231" s="1">
        <v>45929</v>
      </c>
      <c r="C13231" t="s">
        <v>25</v>
      </c>
      <c r="D13231" s="2">
        <v>2329.52</v>
      </c>
      <c r="E13231" s="2">
        <v>0</v>
      </c>
      <c r="F13231" t="s">
        <v>26</v>
      </c>
      <c r="G13231" t="s">
        <v>20</v>
      </c>
    </row>
    <row r="13232" spans="1:7" x14ac:dyDescent="0.35">
      <c r="A13232">
        <v>5258</v>
      </c>
      <c r="B13232" s="1">
        <v>45929</v>
      </c>
      <c r="C13232" t="s">
        <v>25</v>
      </c>
      <c r="D13232" s="2">
        <v>174.71</v>
      </c>
      <c r="E13232" s="2">
        <v>0</v>
      </c>
      <c r="F13232" t="s">
        <v>27</v>
      </c>
      <c r="G13232" t="s">
        <v>9</v>
      </c>
    </row>
    <row r="13233" spans="1:7" x14ac:dyDescent="0.35">
      <c r="A13233">
        <v>5258</v>
      </c>
      <c r="B13233" s="1">
        <v>45929</v>
      </c>
      <c r="C13233" t="s">
        <v>25</v>
      </c>
      <c r="D13233" s="2">
        <v>0</v>
      </c>
      <c r="E13233" s="2">
        <v>2504.23</v>
      </c>
      <c r="F13233" t="s">
        <v>28</v>
      </c>
      <c r="G13233" t="s">
        <v>17</v>
      </c>
    </row>
    <row r="13234" spans="1:7" x14ac:dyDescent="0.35">
      <c r="A13234">
        <v>5259</v>
      </c>
      <c r="B13234" s="1">
        <v>45929</v>
      </c>
      <c r="C13234" t="s">
        <v>25</v>
      </c>
      <c r="D13234" s="2">
        <v>3598.88</v>
      </c>
      <c r="E13234" s="2">
        <v>0</v>
      </c>
      <c r="F13234" t="s">
        <v>26</v>
      </c>
      <c r="G13234" t="s">
        <v>20</v>
      </c>
    </row>
    <row r="13235" spans="1:7" x14ac:dyDescent="0.35">
      <c r="A13235">
        <v>5259</v>
      </c>
      <c r="B13235" s="1">
        <v>45929</v>
      </c>
      <c r="C13235" t="s">
        <v>25</v>
      </c>
      <c r="D13235" s="2">
        <v>269.92</v>
      </c>
      <c r="E13235" s="2">
        <v>0</v>
      </c>
      <c r="F13235" t="s">
        <v>27</v>
      </c>
      <c r="G13235" t="s">
        <v>9</v>
      </c>
    </row>
    <row r="13236" spans="1:7" x14ac:dyDescent="0.35">
      <c r="A13236">
        <v>5259</v>
      </c>
      <c r="B13236" s="1">
        <v>45929</v>
      </c>
      <c r="C13236" t="s">
        <v>25</v>
      </c>
      <c r="D13236" s="2">
        <v>0</v>
      </c>
      <c r="E13236" s="2">
        <v>3868.8</v>
      </c>
      <c r="F13236" t="s">
        <v>28</v>
      </c>
      <c r="G13236" t="s">
        <v>17</v>
      </c>
    </row>
    <row r="13237" spans="1:7" x14ac:dyDescent="0.35">
      <c r="A13237">
        <v>5260</v>
      </c>
      <c r="B13237" s="1">
        <v>45929</v>
      </c>
      <c r="C13237" t="s">
        <v>25</v>
      </c>
      <c r="D13237" s="2">
        <v>696.06</v>
      </c>
      <c r="E13237" s="2">
        <v>0</v>
      </c>
      <c r="F13237" t="s">
        <v>26</v>
      </c>
      <c r="G13237" t="s">
        <v>20</v>
      </c>
    </row>
    <row r="13238" spans="1:7" x14ac:dyDescent="0.35">
      <c r="A13238">
        <v>5260</v>
      </c>
      <c r="B13238" s="1">
        <v>45929</v>
      </c>
      <c r="C13238" t="s">
        <v>25</v>
      </c>
      <c r="D13238" s="2">
        <v>52.2</v>
      </c>
      <c r="E13238" s="2">
        <v>0</v>
      </c>
      <c r="F13238" t="s">
        <v>27</v>
      </c>
      <c r="G13238" t="s">
        <v>9</v>
      </c>
    </row>
    <row r="13239" spans="1:7" x14ac:dyDescent="0.35">
      <c r="A13239">
        <v>5260</v>
      </c>
      <c r="B13239" s="1">
        <v>45929</v>
      </c>
      <c r="C13239" t="s">
        <v>25</v>
      </c>
      <c r="D13239" s="2">
        <v>0</v>
      </c>
      <c r="E13239" s="2">
        <v>748.26</v>
      </c>
      <c r="F13239" t="s">
        <v>28</v>
      </c>
      <c r="G13239" t="s">
        <v>17</v>
      </c>
    </row>
    <row r="13240" spans="1:7" x14ac:dyDescent="0.35">
      <c r="A13240">
        <v>5261</v>
      </c>
      <c r="B13240" s="1">
        <v>45929</v>
      </c>
      <c r="C13240" t="s">
        <v>25</v>
      </c>
      <c r="D13240" s="2">
        <v>383.76</v>
      </c>
      <c r="E13240" s="2">
        <v>0</v>
      </c>
      <c r="F13240" t="s">
        <v>26</v>
      </c>
      <c r="G13240" t="s">
        <v>20</v>
      </c>
    </row>
    <row r="13241" spans="1:7" x14ac:dyDescent="0.35">
      <c r="A13241">
        <v>5261</v>
      </c>
      <c r="B13241" s="1">
        <v>45929</v>
      </c>
      <c r="C13241" t="s">
        <v>25</v>
      </c>
      <c r="D13241" s="2">
        <v>28.78</v>
      </c>
      <c r="E13241" s="2">
        <v>0</v>
      </c>
      <c r="F13241" t="s">
        <v>27</v>
      </c>
      <c r="G13241" t="s">
        <v>9</v>
      </c>
    </row>
    <row r="13242" spans="1:7" x14ac:dyDescent="0.35">
      <c r="A13242">
        <v>5261</v>
      </c>
      <c r="B13242" s="1">
        <v>45929</v>
      </c>
      <c r="C13242" t="s">
        <v>25</v>
      </c>
      <c r="D13242" s="2">
        <v>0</v>
      </c>
      <c r="E13242" s="2">
        <v>412.54</v>
      </c>
      <c r="F13242" t="s">
        <v>28</v>
      </c>
      <c r="G13242" t="s">
        <v>17</v>
      </c>
    </row>
    <row r="13243" spans="1:7" x14ac:dyDescent="0.35">
      <c r="A13243">
        <v>5262</v>
      </c>
      <c r="B13243" s="1">
        <v>45929</v>
      </c>
      <c r="C13243" t="s">
        <v>29</v>
      </c>
      <c r="D13243" s="2">
        <v>748.26</v>
      </c>
      <c r="E13243" s="2">
        <v>0</v>
      </c>
      <c r="F13243" t="s">
        <v>28</v>
      </c>
      <c r="G13243" t="s">
        <v>17</v>
      </c>
    </row>
    <row r="13244" spans="1:7" x14ac:dyDescent="0.35">
      <c r="A13244">
        <v>5262</v>
      </c>
      <c r="B13244" s="1">
        <v>45929</v>
      </c>
      <c r="C13244" t="s">
        <v>29</v>
      </c>
      <c r="D13244" s="2">
        <v>0</v>
      </c>
      <c r="E13244" s="2">
        <v>748.26</v>
      </c>
      <c r="F13244" t="s">
        <v>8</v>
      </c>
      <c r="G13244" t="s">
        <v>9</v>
      </c>
    </row>
    <row r="13245" spans="1:7" x14ac:dyDescent="0.35">
      <c r="A13245">
        <v>5263</v>
      </c>
      <c r="B13245" s="1">
        <v>45930</v>
      </c>
      <c r="C13245" t="s">
        <v>12</v>
      </c>
      <c r="D13245" s="2">
        <v>2798.08</v>
      </c>
      <c r="E13245" s="2">
        <v>0</v>
      </c>
      <c r="F13245" t="s">
        <v>13</v>
      </c>
      <c r="G13245" t="s">
        <v>9</v>
      </c>
    </row>
    <row r="13246" spans="1:7" x14ac:dyDescent="0.35">
      <c r="A13246">
        <v>5263</v>
      </c>
      <c r="B13246" s="1">
        <v>45930</v>
      </c>
      <c r="C13246" t="s">
        <v>12</v>
      </c>
      <c r="D13246" s="2">
        <v>0</v>
      </c>
      <c r="E13246" s="2">
        <v>2602.87</v>
      </c>
      <c r="F13246" t="s">
        <v>14</v>
      </c>
      <c r="G13246" t="s">
        <v>15</v>
      </c>
    </row>
    <row r="13247" spans="1:7" x14ac:dyDescent="0.35">
      <c r="A13247">
        <v>5263</v>
      </c>
      <c r="B13247" s="1">
        <v>45930</v>
      </c>
      <c r="C13247" t="s">
        <v>12</v>
      </c>
      <c r="D13247" s="2">
        <v>0</v>
      </c>
      <c r="E13247" s="2">
        <v>195.21</v>
      </c>
      <c r="F13247" t="s">
        <v>16</v>
      </c>
      <c r="G13247" t="s">
        <v>17</v>
      </c>
    </row>
    <row r="13248" spans="1:7" x14ac:dyDescent="0.35">
      <c r="A13248">
        <v>5264</v>
      </c>
      <c r="B13248" s="1">
        <v>45930</v>
      </c>
      <c r="C13248" t="s">
        <v>12</v>
      </c>
      <c r="D13248" s="2">
        <v>1340.03</v>
      </c>
      <c r="E13248" s="2">
        <v>0</v>
      </c>
      <c r="F13248" t="s">
        <v>13</v>
      </c>
      <c r="G13248" t="s">
        <v>9</v>
      </c>
    </row>
    <row r="13249" spans="1:7" x14ac:dyDescent="0.35">
      <c r="A13249">
        <v>5264</v>
      </c>
      <c r="B13249" s="1">
        <v>45930</v>
      </c>
      <c r="C13249" t="s">
        <v>12</v>
      </c>
      <c r="D13249" s="2">
        <v>0</v>
      </c>
      <c r="E13249" s="2">
        <v>1246.54</v>
      </c>
      <c r="F13249" t="s">
        <v>14</v>
      </c>
      <c r="G13249" t="s">
        <v>15</v>
      </c>
    </row>
    <row r="13250" spans="1:7" x14ac:dyDescent="0.35">
      <c r="A13250">
        <v>5264</v>
      </c>
      <c r="B13250" s="1">
        <v>45930</v>
      </c>
      <c r="C13250" t="s">
        <v>12</v>
      </c>
      <c r="D13250" s="2">
        <v>0</v>
      </c>
      <c r="E13250" s="2">
        <v>93.49</v>
      </c>
      <c r="F13250" t="s">
        <v>16</v>
      </c>
      <c r="G13250" t="s">
        <v>17</v>
      </c>
    </row>
    <row r="13251" spans="1:7" x14ac:dyDescent="0.35">
      <c r="A13251">
        <v>5265</v>
      </c>
      <c r="B13251" s="1">
        <v>45930</v>
      </c>
      <c r="C13251" t="s">
        <v>12</v>
      </c>
      <c r="D13251" s="2">
        <v>1204.43</v>
      </c>
      <c r="E13251" s="2">
        <v>0</v>
      </c>
      <c r="F13251" t="s">
        <v>13</v>
      </c>
      <c r="G13251" t="s">
        <v>9</v>
      </c>
    </row>
    <row r="13252" spans="1:7" x14ac:dyDescent="0.35">
      <c r="A13252">
        <v>5265</v>
      </c>
      <c r="B13252" s="1">
        <v>45930</v>
      </c>
      <c r="C13252" t="s">
        <v>12</v>
      </c>
      <c r="D13252" s="2">
        <v>0</v>
      </c>
      <c r="E13252" s="2">
        <v>1120.4000000000001</v>
      </c>
      <c r="F13252" t="s">
        <v>14</v>
      </c>
      <c r="G13252" t="s">
        <v>15</v>
      </c>
    </row>
    <row r="13253" spans="1:7" x14ac:dyDescent="0.35">
      <c r="A13253">
        <v>5265</v>
      </c>
      <c r="B13253" s="1">
        <v>45930</v>
      </c>
      <c r="C13253" t="s">
        <v>12</v>
      </c>
      <c r="D13253" s="2">
        <v>0</v>
      </c>
      <c r="E13253" s="2">
        <v>84.03</v>
      </c>
      <c r="F13253" t="s">
        <v>16</v>
      </c>
      <c r="G13253" t="s">
        <v>17</v>
      </c>
    </row>
    <row r="13254" spans="1:7" x14ac:dyDescent="0.35">
      <c r="A13254">
        <v>5266</v>
      </c>
      <c r="B13254" s="1">
        <v>45930</v>
      </c>
      <c r="C13254" t="s">
        <v>12</v>
      </c>
      <c r="D13254" s="2">
        <v>3238.47</v>
      </c>
      <c r="E13254" s="2">
        <v>0</v>
      </c>
      <c r="F13254" t="s">
        <v>13</v>
      </c>
      <c r="G13254" t="s">
        <v>9</v>
      </c>
    </row>
    <row r="13255" spans="1:7" x14ac:dyDescent="0.35">
      <c r="A13255">
        <v>5266</v>
      </c>
      <c r="B13255" s="1">
        <v>45930</v>
      </c>
      <c r="C13255" t="s">
        <v>12</v>
      </c>
      <c r="D13255" s="2">
        <v>0</v>
      </c>
      <c r="E13255" s="2">
        <v>3012.53</v>
      </c>
      <c r="F13255" t="s">
        <v>14</v>
      </c>
      <c r="G13255" t="s">
        <v>15</v>
      </c>
    </row>
    <row r="13256" spans="1:7" x14ac:dyDescent="0.35">
      <c r="A13256">
        <v>5266</v>
      </c>
      <c r="B13256" s="1">
        <v>45930</v>
      </c>
      <c r="C13256" t="s">
        <v>12</v>
      </c>
      <c r="D13256" s="2">
        <v>0</v>
      </c>
      <c r="E13256" s="2">
        <v>225.94</v>
      </c>
      <c r="F13256" t="s">
        <v>16</v>
      </c>
      <c r="G13256" t="s">
        <v>17</v>
      </c>
    </row>
    <row r="13257" spans="1:7" x14ac:dyDescent="0.35">
      <c r="A13257">
        <v>5267</v>
      </c>
      <c r="B13257" s="1">
        <v>45930</v>
      </c>
      <c r="C13257" t="s">
        <v>12</v>
      </c>
      <c r="D13257" s="2">
        <v>5857.01</v>
      </c>
      <c r="E13257" s="2">
        <v>0</v>
      </c>
      <c r="F13257" t="s">
        <v>13</v>
      </c>
      <c r="G13257" t="s">
        <v>9</v>
      </c>
    </row>
    <row r="13258" spans="1:7" x14ac:dyDescent="0.35">
      <c r="A13258">
        <v>5267</v>
      </c>
      <c r="B13258" s="1">
        <v>45930</v>
      </c>
      <c r="C13258" t="s">
        <v>12</v>
      </c>
      <c r="D13258" s="2">
        <v>0</v>
      </c>
      <c r="E13258" s="2">
        <v>5448.39</v>
      </c>
      <c r="F13258" t="s">
        <v>14</v>
      </c>
      <c r="G13258" t="s">
        <v>15</v>
      </c>
    </row>
    <row r="13259" spans="1:7" x14ac:dyDescent="0.35">
      <c r="A13259">
        <v>5267</v>
      </c>
      <c r="B13259" s="1">
        <v>45930</v>
      </c>
      <c r="C13259" t="s">
        <v>12</v>
      </c>
      <c r="D13259" s="2">
        <v>0</v>
      </c>
      <c r="E13259" s="2">
        <v>408.62</v>
      </c>
      <c r="F13259" t="s">
        <v>16</v>
      </c>
      <c r="G13259" t="s">
        <v>17</v>
      </c>
    </row>
    <row r="13260" spans="1:7" x14ac:dyDescent="0.35">
      <c r="A13260">
        <v>5268</v>
      </c>
      <c r="B13260" s="1">
        <v>45930</v>
      </c>
      <c r="C13260" t="s">
        <v>24</v>
      </c>
      <c r="D13260" s="2">
        <v>1334.9</v>
      </c>
      <c r="E13260" s="2">
        <v>0</v>
      </c>
      <c r="F13260" t="s">
        <v>8</v>
      </c>
      <c r="G13260" t="s">
        <v>9</v>
      </c>
    </row>
    <row r="13261" spans="1:7" x14ac:dyDescent="0.35">
      <c r="A13261">
        <v>5268</v>
      </c>
      <c r="B13261" s="1">
        <v>45930</v>
      </c>
      <c r="C13261" t="s">
        <v>24</v>
      </c>
      <c r="D13261" s="2">
        <v>0</v>
      </c>
      <c r="E13261" s="2">
        <v>1334.9</v>
      </c>
      <c r="F13261" t="s">
        <v>13</v>
      </c>
      <c r="G13261" t="s">
        <v>9</v>
      </c>
    </row>
    <row r="13262" spans="1:7" x14ac:dyDescent="0.35">
      <c r="A13262">
        <v>5269</v>
      </c>
      <c r="B13262" s="1">
        <v>45930</v>
      </c>
      <c r="C13262" t="s">
        <v>24</v>
      </c>
      <c r="D13262" s="2">
        <v>1414.55</v>
      </c>
      <c r="E13262" s="2">
        <v>0</v>
      </c>
      <c r="F13262" t="s">
        <v>8</v>
      </c>
      <c r="G13262" t="s">
        <v>9</v>
      </c>
    </row>
    <row r="13263" spans="1:7" x14ac:dyDescent="0.35">
      <c r="A13263">
        <v>5269</v>
      </c>
      <c r="B13263" s="1">
        <v>45930</v>
      </c>
      <c r="C13263" t="s">
        <v>24</v>
      </c>
      <c r="D13263" s="2">
        <v>0</v>
      </c>
      <c r="E13263" s="2">
        <v>1414.55</v>
      </c>
      <c r="F13263" t="s">
        <v>13</v>
      </c>
      <c r="G13263" t="s">
        <v>9</v>
      </c>
    </row>
    <row r="13264" spans="1:7" x14ac:dyDescent="0.35">
      <c r="A13264">
        <v>5270</v>
      </c>
      <c r="B13264" s="1">
        <v>45930</v>
      </c>
      <c r="C13264" t="s">
        <v>24</v>
      </c>
      <c r="D13264" s="2">
        <v>395.21</v>
      </c>
      <c r="E13264" s="2">
        <v>0</v>
      </c>
      <c r="F13264" t="s">
        <v>8</v>
      </c>
      <c r="G13264" t="s">
        <v>9</v>
      </c>
    </row>
    <row r="13265" spans="1:7" x14ac:dyDescent="0.35">
      <c r="A13265">
        <v>5270</v>
      </c>
      <c r="B13265" s="1">
        <v>45930</v>
      </c>
      <c r="C13265" t="s">
        <v>24</v>
      </c>
      <c r="D13265" s="2">
        <v>0</v>
      </c>
      <c r="E13265" s="2">
        <v>395.21</v>
      </c>
      <c r="F13265" t="s">
        <v>13</v>
      </c>
      <c r="G13265" t="s">
        <v>9</v>
      </c>
    </row>
    <row r="13266" spans="1:7" x14ac:dyDescent="0.35">
      <c r="A13266">
        <v>5271</v>
      </c>
      <c r="B13266" s="1">
        <v>45930</v>
      </c>
      <c r="C13266" t="s">
        <v>24</v>
      </c>
      <c r="D13266" s="2">
        <v>202.29</v>
      </c>
      <c r="E13266" s="2">
        <v>0</v>
      </c>
      <c r="F13266" t="s">
        <v>8</v>
      </c>
      <c r="G13266" t="s">
        <v>9</v>
      </c>
    </row>
    <row r="13267" spans="1:7" x14ac:dyDescent="0.35">
      <c r="A13267">
        <v>5271</v>
      </c>
      <c r="B13267" s="1">
        <v>45930</v>
      </c>
      <c r="C13267" t="s">
        <v>24</v>
      </c>
      <c r="D13267" s="2">
        <v>0</v>
      </c>
      <c r="E13267" s="2">
        <v>202.29</v>
      </c>
      <c r="F13267" t="s">
        <v>13</v>
      </c>
      <c r="G13267" t="s">
        <v>9</v>
      </c>
    </row>
    <row r="13268" spans="1:7" x14ac:dyDescent="0.35">
      <c r="A13268">
        <v>5272</v>
      </c>
      <c r="B13268" s="1">
        <v>45930</v>
      </c>
      <c r="C13268" t="s">
        <v>24</v>
      </c>
      <c r="D13268" s="2">
        <v>1714.75</v>
      </c>
      <c r="E13268" s="2">
        <v>0</v>
      </c>
      <c r="F13268" t="s">
        <v>8</v>
      </c>
      <c r="G13268" t="s">
        <v>9</v>
      </c>
    </row>
    <row r="13269" spans="1:7" x14ac:dyDescent="0.35">
      <c r="A13269">
        <v>5272</v>
      </c>
      <c r="B13269" s="1">
        <v>45930</v>
      </c>
      <c r="C13269" t="s">
        <v>24</v>
      </c>
      <c r="D13269" s="2">
        <v>0</v>
      </c>
      <c r="E13269" s="2">
        <v>1714.75</v>
      </c>
      <c r="F13269" t="s">
        <v>13</v>
      </c>
      <c r="G13269" t="s">
        <v>9</v>
      </c>
    </row>
    <row r="13270" spans="1:7" x14ac:dyDescent="0.35">
      <c r="A13270">
        <v>5273</v>
      </c>
      <c r="B13270" s="1">
        <v>45930</v>
      </c>
      <c r="C13270" t="s">
        <v>24</v>
      </c>
      <c r="D13270" s="2">
        <v>341.78</v>
      </c>
      <c r="E13270" s="2">
        <v>0</v>
      </c>
      <c r="F13270" t="s">
        <v>8</v>
      </c>
      <c r="G13270" t="s">
        <v>9</v>
      </c>
    </row>
    <row r="13271" spans="1:7" x14ac:dyDescent="0.35">
      <c r="A13271">
        <v>5273</v>
      </c>
      <c r="B13271" s="1">
        <v>45930</v>
      </c>
      <c r="C13271" t="s">
        <v>24</v>
      </c>
      <c r="D13271" s="2">
        <v>0</v>
      </c>
      <c r="E13271" s="2">
        <v>341.78</v>
      </c>
      <c r="F13271" t="s">
        <v>13</v>
      </c>
      <c r="G13271" t="s">
        <v>9</v>
      </c>
    </row>
    <row r="13272" spans="1:7" x14ac:dyDescent="0.35">
      <c r="A13272">
        <v>5274</v>
      </c>
      <c r="B13272" s="1">
        <v>45930</v>
      </c>
      <c r="C13272" t="s">
        <v>24</v>
      </c>
      <c r="D13272" s="2">
        <v>700.99</v>
      </c>
      <c r="E13272" s="2">
        <v>0</v>
      </c>
      <c r="F13272" t="s">
        <v>8</v>
      </c>
      <c r="G13272" t="s">
        <v>9</v>
      </c>
    </row>
    <row r="13273" spans="1:7" x14ac:dyDescent="0.35">
      <c r="A13273">
        <v>5274</v>
      </c>
      <c r="B13273" s="1">
        <v>45930</v>
      </c>
      <c r="C13273" t="s">
        <v>24</v>
      </c>
      <c r="D13273" s="2">
        <v>0</v>
      </c>
      <c r="E13273" s="2">
        <v>700.99</v>
      </c>
      <c r="F13273" t="s">
        <v>13</v>
      </c>
      <c r="G13273" t="s">
        <v>9</v>
      </c>
    </row>
    <row r="13274" spans="1:7" x14ac:dyDescent="0.35">
      <c r="A13274">
        <v>5275</v>
      </c>
      <c r="B13274" s="1">
        <v>45930</v>
      </c>
      <c r="C13274" t="s">
        <v>24</v>
      </c>
      <c r="D13274" s="2">
        <v>3499.05</v>
      </c>
      <c r="E13274" s="2">
        <v>0</v>
      </c>
      <c r="F13274" t="s">
        <v>8</v>
      </c>
      <c r="G13274" t="s">
        <v>9</v>
      </c>
    </row>
    <row r="13275" spans="1:7" x14ac:dyDescent="0.35">
      <c r="A13275">
        <v>5275</v>
      </c>
      <c r="B13275" s="1">
        <v>45930</v>
      </c>
      <c r="C13275" t="s">
        <v>24</v>
      </c>
      <c r="D13275" s="2">
        <v>0</v>
      </c>
      <c r="E13275" s="2">
        <v>3499.05</v>
      </c>
      <c r="F13275" t="s">
        <v>13</v>
      </c>
      <c r="G13275" t="s">
        <v>9</v>
      </c>
    </row>
    <row r="13276" spans="1:7" x14ac:dyDescent="0.35">
      <c r="A13276">
        <v>5276</v>
      </c>
      <c r="B13276" s="1">
        <v>45930</v>
      </c>
      <c r="C13276" t="s">
        <v>25</v>
      </c>
      <c r="D13276" s="2">
        <v>1668.94</v>
      </c>
      <c r="E13276" s="2">
        <v>0</v>
      </c>
      <c r="F13276" t="s">
        <v>26</v>
      </c>
      <c r="G13276" t="s">
        <v>20</v>
      </c>
    </row>
    <row r="13277" spans="1:7" x14ac:dyDescent="0.35">
      <c r="A13277">
        <v>5276</v>
      </c>
      <c r="B13277" s="1">
        <v>45930</v>
      </c>
      <c r="C13277" t="s">
        <v>25</v>
      </c>
      <c r="D13277" s="2">
        <v>125.17</v>
      </c>
      <c r="E13277" s="2">
        <v>0</v>
      </c>
      <c r="F13277" t="s">
        <v>27</v>
      </c>
      <c r="G13277" t="s">
        <v>9</v>
      </c>
    </row>
    <row r="13278" spans="1:7" x14ac:dyDescent="0.35">
      <c r="A13278">
        <v>5276</v>
      </c>
      <c r="B13278" s="1">
        <v>45930</v>
      </c>
      <c r="C13278" t="s">
        <v>25</v>
      </c>
      <c r="D13278" s="2">
        <v>0</v>
      </c>
      <c r="E13278" s="2">
        <v>1794.11</v>
      </c>
      <c r="F13278" t="s">
        <v>28</v>
      </c>
      <c r="G13278" t="s">
        <v>17</v>
      </c>
    </row>
    <row r="13279" spans="1:7" x14ac:dyDescent="0.35">
      <c r="A13279">
        <v>5277</v>
      </c>
      <c r="B13279" s="1">
        <v>45930</v>
      </c>
      <c r="C13279" t="s">
        <v>29</v>
      </c>
      <c r="D13279" s="2">
        <v>201.5</v>
      </c>
      <c r="E13279" s="2">
        <v>0</v>
      </c>
      <c r="F13279" t="s">
        <v>28</v>
      </c>
      <c r="G13279" t="s">
        <v>17</v>
      </c>
    </row>
    <row r="13280" spans="1:7" x14ac:dyDescent="0.35">
      <c r="A13280">
        <v>5277</v>
      </c>
      <c r="B13280" s="1">
        <v>45930</v>
      </c>
      <c r="C13280" t="s">
        <v>29</v>
      </c>
      <c r="D13280" s="2">
        <v>0</v>
      </c>
      <c r="E13280" s="2">
        <v>201.5</v>
      </c>
      <c r="F13280" t="s">
        <v>8</v>
      </c>
      <c r="G13280" t="s">
        <v>9</v>
      </c>
    </row>
    <row r="13281" spans="1:7" x14ac:dyDescent="0.35">
      <c r="A13281">
        <v>5278</v>
      </c>
      <c r="B13281" s="1">
        <v>45930</v>
      </c>
      <c r="C13281" t="s">
        <v>30</v>
      </c>
      <c r="D13281" s="2">
        <v>93.61</v>
      </c>
      <c r="E13281" s="2">
        <v>0</v>
      </c>
      <c r="F13281" t="s">
        <v>31</v>
      </c>
      <c r="G13281" t="s">
        <v>20</v>
      </c>
    </row>
    <row r="13282" spans="1:7" x14ac:dyDescent="0.35">
      <c r="A13282">
        <v>5278</v>
      </c>
      <c r="B13282" s="1">
        <v>45930</v>
      </c>
      <c r="C13282" t="s">
        <v>30</v>
      </c>
      <c r="D13282" s="2">
        <v>0</v>
      </c>
      <c r="E13282" s="2">
        <v>93.61</v>
      </c>
      <c r="F13282" t="s">
        <v>32</v>
      </c>
      <c r="G13282" t="s">
        <v>9</v>
      </c>
    </row>
    <row r="13283" spans="1:7" x14ac:dyDescent="0.35">
      <c r="A13283">
        <v>5279</v>
      </c>
      <c r="B13283" s="1">
        <v>45930</v>
      </c>
      <c r="C13283" t="s">
        <v>33</v>
      </c>
      <c r="D13283" s="2">
        <v>76.86</v>
      </c>
      <c r="E13283" s="2">
        <v>0</v>
      </c>
      <c r="F13283" t="s">
        <v>31</v>
      </c>
      <c r="G13283" t="s">
        <v>20</v>
      </c>
    </row>
    <row r="13284" spans="1:7" x14ac:dyDescent="0.35">
      <c r="A13284">
        <v>5279</v>
      </c>
      <c r="B13284" s="1">
        <v>45930</v>
      </c>
      <c r="C13284" t="s">
        <v>33</v>
      </c>
      <c r="D13284" s="2">
        <v>0</v>
      </c>
      <c r="E13284" s="2">
        <v>76.86</v>
      </c>
      <c r="F13284" t="s">
        <v>32</v>
      </c>
      <c r="G13284" t="s">
        <v>9</v>
      </c>
    </row>
    <row r="13285" spans="1:7" x14ac:dyDescent="0.35">
      <c r="A13285">
        <v>5280</v>
      </c>
      <c r="B13285" s="1">
        <v>45930</v>
      </c>
      <c r="C13285" t="s">
        <v>34</v>
      </c>
      <c r="D13285" s="2">
        <v>20.03</v>
      </c>
      <c r="E13285" s="2">
        <v>0</v>
      </c>
      <c r="F13285" t="s">
        <v>31</v>
      </c>
      <c r="G13285" t="s">
        <v>20</v>
      </c>
    </row>
    <row r="13286" spans="1:7" x14ac:dyDescent="0.35">
      <c r="A13286">
        <v>5280</v>
      </c>
      <c r="B13286" s="1">
        <v>45930</v>
      </c>
      <c r="C13286" t="s">
        <v>34</v>
      </c>
      <c r="D13286" s="2">
        <v>0</v>
      </c>
      <c r="E13286" s="2">
        <v>20.03</v>
      </c>
      <c r="F13286" t="s">
        <v>32</v>
      </c>
      <c r="G13286" t="s">
        <v>9</v>
      </c>
    </row>
    <row r="13287" spans="1:7" x14ac:dyDescent="0.35">
      <c r="A13287">
        <v>5281</v>
      </c>
      <c r="B13287" s="1">
        <v>45930</v>
      </c>
      <c r="C13287" t="s">
        <v>35</v>
      </c>
      <c r="D13287" s="2">
        <v>86.89</v>
      </c>
      <c r="E13287" s="2">
        <v>0</v>
      </c>
      <c r="F13287" t="s">
        <v>31</v>
      </c>
      <c r="G13287" t="s">
        <v>20</v>
      </c>
    </row>
    <row r="13288" spans="1:7" x14ac:dyDescent="0.35">
      <c r="A13288">
        <v>5281</v>
      </c>
      <c r="B13288" s="1">
        <v>45930</v>
      </c>
      <c r="C13288" t="s">
        <v>35</v>
      </c>
      <c r="D13288" s="2">
        <v>0</v>
      </c>
      <c r="E13288" s="2">
        <v>86.89</v>
      </c>
      <c r="F13288" t="s">
        <v>36</v>
      </c>
      <c r="G13288" t="s">
        <v>9</v>
      </c>
    </row>
    <row r="13289" spans="1:7" x14ac:dyDescent="0.35">
      <c r="A13289">
        <v>5282</v>
      </c>
      <c r="B13289" s="1">
        <v>45930</v>
      </c>
      <c r="C13289" t="s">
        <v>37</v>
      </c>
      <c r="D13289" s="2">
        <v>76.8</v>
      </c>
      <c r="E13289" s="2">
        <v>0</v>
      </c>
      <c r="F13289" t="s">
        <v>31</v>
      </c>
      <c r="G13289" t="s">
        <v>20</v>
      </c>
    </row>
    <row r="13290" spans="1:7" x14ac:dyDescent="0.35">
      <c r="A13290">
        <v>5282</v>
      </c>
      <c r="B13290" s="1">
        <v>45930</v>
      </c>
      <c r="C13290" t="s">
        <v>37</v>
      </c>
      <c r="D13290" s="2">
        <v>0</v>
      </c>
      <c r="E13290" s="2">
        <v>76.8</v>
      </c>
      <c r="F13290" t="s">
        <v>36</v>
      </c>
      <c r="G13290" t="s">
        <v>9</v>
      </c>
    </row>
    <row r="13291" spans="1:7" x14ac:dyDescent="0.35">
      <c r="A13291">
        <v>5283</v>
      </c>
      <c r="B13291" s="1">
        <v>45930</v>
      </c>
      <c r="C13291" t="s">
        <v>38</v>
      </c>
      <c r="D13291" s="2">
        <v>48.28</v>
      </c>
      <c r="E13291" s="2">
        <v>0</v>
      </c>
      <c r="F13291" t="s">
        <v>31</v>
      </c>
      <c r="G13291" t="s">
        <v>20</v>
      </c>
    </row>
    <row r="13292" spans="1:7" x14ac:dyDescent="0.35">
      <c r="A13292">
        <v>5283</v>
      </c>
      <c r="B13292" s="1">
        <v>45930</v>
      </c>
      <c r="C13292" t="s">
        <v>38</v>
      </c>
      <c r="D13292" s="2">
        <v>0</v>
      </c>
      <c r="E13292" s="2">
        <v>48.28</v>
      </c>
      <c r="F13292" t="s">
        <v>36</v>
      </c>
      <c r="G13292" t="s">
        <v>9</v>
      </c>
    </row>
    <row r="13293" spans="1:7" x14ac:dyDescent="0.35">
      <c r="A13293">
        <v>5284</v>
      </c>
      <c r="B13293" s="1">
        <v>45930</v>
      </c>
      <c r="C13293" t="s">
        <v>39</v>
      </c>
      <c r="D13293" s="2">
        <v>53.21</v>
      </c>
      <c r="E13293" s="2">
        <v>0</v>
      </c>
      <c r="F13293" t="s">
        <v>31</v>
      </c>
      <c r="G13293" t="s">
        <v>20</v>
      </c>
    </row>
    <row r="13294" spans="1:7" x14ac:dyDescent="0.35">
      <c r="A13294">
        <v>5284</v>
      </c>
      <c r="B13294" s="1">
        <v>45930</v>
      </c>
      <c r="C13294" t="s">
        <v>39</v>
      </c>
      <c r="D13294" s="2">
        <v>0</v>
      </c>
      <c r="E13294" s="2">
        <v>53.21</v>
      </c>
      <c r="F13294" t="s">
        <v>36</v>
      </c>
      <c r="G13294" t="s">
        <v>9</v>
      </c>
    </row>
    <row r="13295" spans="1:7" x14ac:dyDescent="0.35">
      <c r="A13295">
        <v>5285</v>
      </c>
      <c r="B13295" s="1">
        <v>45930</v>
      </c>
      <c r="C13295" t="s">
        <v>40</v>
      </c>
      <c r="D13295" s="2">
        <v>232.19</v>
      </c>
      <c r="E13295" s="2">
        <v>0</v>
      </c>
      <c r="F13295" t="s">
        <v>31</v>
      </c>
      <c r="G13295" t="s">
        <v>20</v>
      </c>
    </row>
    <row r="13296" spans="1:7" x14ac:dyDescent="0.35">
      <c r="A13296">
        <v>5285</v>
      </c>
      <c r="B13296" s="1">
        <v>45930</v>
      </c>
      <c r="C13296" t="s">
        <v>40</v>
      </c>
      <c r="D13296" s="2">
        <v>0</v>
      </c>
      <c r="E13296" s="2">
        <v>232.19</v>
      </c>
      <c r="F13296" t="s">
        <v>41</v>
      </c>
      <c r="G13296" t="s">
        <v>9</v>
      </c>
    </row>
    <row r="13297" spans="1:7" x14ac:dyDescent="0.35">
      <c r="A13297">
        <v>5286</v>
      </c>
      <c r="B13297" s="1">
        <v>45930</v>
      </c>
      <c r="C13297" t="s">
        <v>42</v>
      </c>
      <c r="D13297" s="2">
        <v>43.85</v>
      </c>
      <c r="E13297" s="2">
        <v>0</v>
      </c>
      <c r="F13297" t="s">
        <v>31</v>
      </c>
      <c r="G13297" t="s">
        <v>20</v>
      </c>
    </row>
    <row r="13298" spans="1:7" x14ac:dyDescent="0.35">
      <c r="A13298">
        <v>5286</v>
      </c>
      <c r="B13298" s="1">
        <v>45930</v>
      </c>
      <c r="C13298" t="s">
        <v>42</v>
      </c>
      <c r="D13298" s="2">
        <v>0</v>
      </c>
      <c r="E13298" s="2">
        <v>43.85</v>
      </c>
      <c r="F13298" t="s">
        <v>32</v>
      </c>
      <c r="G13298" t="s">
        <v>9</v>
      </c>
    </row>
    <row r="13299" spans="1:7" x14ac:dyDescent="0.35">
      <c r="A13299">
        <v>5287</v>
      </c>
      <c r="B13299" s="1">
        <v>45931</v>
      </c>
      <c r="C13299" t="s">
        <v>12</v>
      </c>
      <c r="D13299" s="2">
        <v>2578.44</v>
      </c>
      <c r="E13299" s="2">
        <v>0</v>
      </c>
      <c r="F13299" t="s">
        <v>13</v>
      </c>
      <c r="G13299" t="s">
        <v>9</v>
      </c>
    </row>
    <row r="13300" spans="1:7" x14ac:dyDescent="0.35">
      <c r="A13300">
        <v>5287</v>
      </c>
      <c r="B13300" s="1">
        <v>45931</v>
      </c>
      <c r="C13300" t="s">
        <v>12</v>
      </c>
      <c r="D13300" s="2">
        <v>0</v>
      </c>
      <c r="E13300" s="2">
        <v>2398.5500000000002</v>
      </c>
      <c r="F13300" t="s">
        <v>14</v>
      </c>
      <c r="G13300" t="s">
        <v>15</v>
      </c>
    </row>
    <row r="13301" spans="1:7" x14ac:dyDescent="0.35">
      <c r="A13301">
        <v>5287</v>
      </c>
      <c r="B13301" s="1">
        <v>45931</v>
      </c>
      <c r="C13301" t="s">
        <v>12</v>
      </c>
      <c r="D13301" s="2">
        <v>0</v>
      </c>
      <c r="E13301" s="2">
        <v>179.89</v>
      </c>
      <c r="F13301" t="s">
        <v>16</v>
      </c>
      <c r="G13301" t="s">
        <v>17</v>
      </c>
    </row>
    <row r="13302" spans="1:7" x14ac:dyDescent="0.35">
      <c r="A13302">
        <v>5288</v>
      </c>
      <c r="B13302" s="1">
        <v>45931</v>
      </c>
      <c r="C13302" t="s">
        <v>12</v>
      </c>
      <c r="D13302" s="2">
        <v>2213.9</v>
      </c>
      <c r="E13302" s="2">
        <v>0</v>
      </c>
      <c r="F13302" t="s">
        <v>13</v>
      </c>
      <c r="G13302" t="s">
        <v>9</v>
      </c>
    </row>
    <row r="13303" spans="1:7" x14ac:dyDescent="0.35">
      <c r="A13303">
        <v>5288</v>
      </c>
      <c r="B13303" s="1">
        <v>45931</v>
      </c>
      <c r="C13303" t="s">
        <v>12</v>
      </c>
      <c r="D13303" s="2">
        <v>0</v>
      </c>
      <c r="E13303" s="2">
        <v>2059.44</v>
      </c>
      <c r="F13303" t="s">
        <v>14</v>
      </c>
      <c r="G13303" t="s">
        <v>15</v>
      </c>
    </row>
    <row r="13304" spans="1:7" x14ac:dyDescent="0.35">
      <c r="A13304">
        <v>5288</v>
      </c>
      <c r="B13304" s="1">
        <v>45931</v>
      </c>
      <c r="C13304" t="s">
        <v>12</v>
      </c>
      <c r="D13304" s="2">
        <v>0</v>
      </c>
      <c r="E13304" s="2">
        <v>154.46</v>
      </c>
      <c r="F13304" t="s">
        <v>16</v>
      </c>
      <c r="G13304" t="s">
        <v>17</v>
      </c>
    </row>
    <row r="13305" spans="1:7" x14ac:dyDescent="0.35">
      <c r="A13305">
        <v>5289</v>
      </c>
      <c r="B13305" s="1">
        <v>45931</v>
      </c>
      <c r="C13305" t="s">
        <v>12</v>
      </c>
      <c r="D13305" s="2">
        <v>4734.01</v>
      </c>
      <c r="E13305" s="2">
        <v>0</v>
      </c>
      <c r="F13305" t="s">
        <v>13</v>
      </c>
      <c r="G13305" t="s">
        <v>9</v>
      </c>
    </row>
    <row r="13306" spans="1:7" x14ac:dyDescent="0.35">
      <c r="A13306">
        <v>5289</v>
      </c>
      <c r="B13306" s="1">
        <v>45931</v>
      </c>
      <c r="C13306" t="s">
        <v>12</v>
      </c>
      <c r="D13306" s="2">
        <v>0</v>
      </c>
      <c r="E13306" s="2">
        <v>4403.72</v>
      </c>
      <c r="F13306" t="s">
        <v>14</v>
      </c>
      <c r="G13306" t="s">
        <v>15</v>
      </c>
    </row>
    <row r="13307" spans="1:7" x14ac:dyDescent="0.35">
      <c r="A13307">
        <v>5289</v>
      </c>
      <c r="B13307" s="1">
        <v>45931</v>
      </c>
      <c r="C13307" t="s">
        <v>12</v>
      </c>
      <c r="D13307" s="2">
        <v>0</v>
      </c>
      <c r="E13307" s="2">
        <v>330.29</v>
      </c>
      <c r="F13307" t="s">
        <v>16</v>
      </c>
      <c r="G13307" t="s">
        <v>17</v>
      </c>
    </row>
    <row r="13308" spans="1:7" x14ac:dyDescent="0.35">
      <c r="A13308">
        <v>5290</v>
      </c>
      <c r="B13308" s="1">
        <v>45931</v>
      </c>
      <c r="C13308" t="s">
        <v>12</v>
      </c>
      <c r="D13308" s="2">
        <v>1087.8800000000001</v>
      </c>
      <c r="E13308" s="2">
        <v>0</v>
      </c>
      <c r="F13308" t="s">
        <v>13</v>
      </c>
      <c r="G13308" t="s">
        <v>9</v>
      </c>
    </row>
    <row r="13309" spans="1:7" x14ac:dyDescent="0.35">
      <c r="A13309">
        <v>5290</v>
      </c>
      <c r="B13309" s="1">
        <v>45931</v>
      </c>
      <c r="C13309" t="s">
        <v>12</v>
      </c>
      <c r="D13309" s="2">
        <v>0</v>
      </c>
      <c r="E13309" s="2">
        <v>1011.99</v>
      </c>
      <c r="F13309" t="s">
        <v>14</v>
      </c>
      <c r="G13309" t="s">
        <v>15</v>
      </c>
    </row>
    <row r="13310" spans="1:7" x14ac:dyDescent="0.35">
      <c r="A13310">
        <v>5290</v>
      </c>
      <c r="B13310" s="1">
        <v>45931</v>
      </c>
      <c r="C13310" t="s">
        <v>12</v>
      </c>
      <c r="D13310" s="2">
        <v>0</v>
      </c>
      <c r="E13310" s="2">
        <v>75.89</v>
      </c>
      <c r="F13310" t="s">
        <v>16</v>
      </c>
      <c r="G13310" t="s">
        <v>17</v>
      </c>
    </row>
    <row r="13311" spans="1:7" x14ac:dyDescent="0.35">
      <c r="A13311">
        <v>5291</v>
      </c>
      <c r="B13311" s="1">
        <v>45931</v>
      </c>
      <c r="C13311" t="s">
        <v>12</v>
      </c>
      <c r="D13311" s="2">
        <v>2476.41</v>
      </c>
      <c r="E13311" s="2">
        <v>0</v>
      </c>
      <c r="F13311" t="s">
        <v>13</v>
      </c>
      <c r="G13311" t="s">
        <v>9</v>
      </c>
    </row>
    <row r="13312" spans="1:7" x14ac:dyDescent="0.35">
      <c r="A13312">
        <v>5291</v>
      </c>
      <c r="B13312" s="1">
        <v>45931</v>
      </c>
      <c r="C13312" t="s">
        <v>12</v>
      </c>
      <c r="D13312" s="2">
        <v>0</v>
      </c>
      <c r="E13312" s="2">
        <v>2303.64</v>
      </c>
      <c r="F13312" t="s">
        <v>14</v>
      </c>
      <c r="G13312" t="s">
        <v>15</v>
      </c>
    </row>
    <row r="13313" spans="1:7" x14ac:dyDescent="0.35">
      <c r="A13313">
        <v>5291</v>
      </c>
      <c r="B13313" s="1">
        <v>45931</v>
      </c>
      <c r="C13313" t="s">
        <v>12</v>
      </c>
      <c r="D13313" s="2">
        <v>0</v>
      </c>
      <c r="E13313" s="2">
        <v>172.77</v>
      </c>
      <c r="F13313" t="s">
        <v>16</v>
      </c>
      <c r="G13313" t="s">
        <v>17</v>
      </c>
    </row>
    <row r="13314" spans="1:7" x14ac:dyDescent="0.35">
      <c r="A13314">
        <v>5292</v>
      </c>
      <c r="B13314" s="1">
        <v>45931</v>
      </c>
      <c r="C13314" t="s">
        <v>12</v>
      </c>
      <c r="D13314" s="2">
        <v>1210.0899999999999</v>
      </c>
      <c r="E13314" s="2">
        <v>0</v>
      </c>
      <c r="F13314" t="s">
        <v>13</v>
      </c>
      <c r="G13314" t="s">
        <v>9</v>
      </c>
    </row>
    <row r="13315" spans="1:7" x14ac:dyDescent="0.35">
      <c r="A13315">
        <v>5292</v>
      </c>
      <c r="B13315" s="1">
        <v>45931</v>
      </c>
      <c r="C13315" t="s">
        <v>12</v>
      </c>
      <c r="D13315" s="2">
        <v>0</v>
      </c>
      <c r="E13315" s="2">
        <v>1125.67</v>
      </c>
      <c r="F13315" t="s">
        <v>14</v>
      </c>
      <c r="G13315" t="s">
        <v>15</v>
      </c>
    </row>
    <row r="13316" spans="1:7" x14ac:dyDescent="0.35">
      <c r="A13316">
        <v>5292</v>
      </c>
      <c r="B13316" s="1">
        <v>45931</v>
      </c>
      <c r="C13316" t="s">
        <v>12</v>
      </c>
      <c r="D13316" s="2">
        <v>0</v>
      </c>
      <c r="E13316" s="2">
        <v>84.42</v>
      </c>
      <c r="F13316" t="s">
        <v>16</v>
      </c>
      <c r="G13316" t="s">
        <v>17</v>
      </c>
    </row>
    <row r="13317" spans="1:7" x14ac:dyDescent="0.35">
      <c r="A13317">
        <v>5293</v>
      </c>
      <c r="B13317" s="1">
        <v>45931</v>
      </c>
      <c r="C13317" t="s">
        <v>12</v>
      </c>
      <c r="D13317" s="2">
        <v>1198.93</v>
      </c>
      <c r="E13317" s="2">
        <v>0</v>
      </c>
      <c r="F13317" t="s">
        <v>13</v>
      </c>
      <c r="G13317" t="s">
        <v>9</v>
      </c>
    </row>
    <row r="13318" spans="1:7" x14ac:dyDescent="0.35">
      <c r="A13318">
        <v>5293</v>
      </c>
      <c r="B13318" s="1">
        <v>45931</v>
      </c>
      <c r="C13318" t="s">
        <v>12</v>
      </c>
      <c r="D13318" s="2">
        <v>0</v>
      </c>
      <c r="E13318" s="2">
        <v>1115.29</v>
      </c>
      <c r="F13318" t="s">
        <v>14</v>
      </c>
      <c r="G13318" t="s">
        <v>15</v>
      </c>
    </row>
    <row r="13319" spans="1:7" x14ac:dyDescent="0.35">
      <c r="A13319">
        <v>5293</v>
      </c>
      <c r="B13319" s="1">
        <v>45931</v>
      </c>
      <c r="C13319" t="s">
        <v>12</v>
      </c>
      <c r="D13319" s="2">
        <v>0</v>
      </c>
      <c r="E13319" s="2">
        <v>83.64</v>
      </c>
      <c r="F13319" t="s">
        <v>16</v>
      </c>
      <c r="G13319" t="s">
        <v>17</v>
      </c>
    </row>
    <row r="13320" spans="1:7" x14ac:dyDescent="0.35">
      <c r="A13320">
        <v>5294</v>
      </c>
      <c r="B13320" s="1">
        <v>45931</v>
      </c>
      <c r="C13320" t="s">
        <v>12</v>
      </c>
      <c r="D13320" s="2">
        <v>1083.31</v>
      </c>
      <c r="E13320" s="2">
        <v>0</v>
      </c>
      <c r="F13320" t="s">
        <v>13</v>
      </c>
      <c r="G13320" t="s">
        <v>9</v>
      </c>
    </row>
    <row r="13321" spans="1:7" x14ac:dyDescent="0.35">
      <c r="A13321">
        <v>5294</v>
      </c>
      <c r="B13321" s="1">
        <v>45931</v>
      </c>
      <c r="C13321" t="s">
        <v>12</v>
      </c>
      <c r="D13321" s="2">
        <v>0</v>
      </c>
      <c r="E13321" s="2">
        <v>1007.73</v>
      </c>
      <c r="F13321" t="s">
        <v>14</v>
      </c>
      <c r="G13321" t="s">
        <v>15</v>
      </c>
    </row>
    <row r="13322" spans="1:7" x14ac:dyDescent="0.35">
      <c r="A13322">
        <v>5294</v>
      </c>
      <c r="B13322" s="1">
        <v>45931</v>
      </c>
      <c r="C13322" t="s">
        <v>12</v>
      </c>
      <c r="D13322" s="2">
        <v>0</v>
      </c>
      <c r="E13322" s="2">
        <v>75.58</v>
      </c>
      <c r="F13322" t="s">
        <v>16</v>
      </c>
      <c r="G13322" t="s">
        <v>17</v>
      </c>
    </row>
    <row r="13323" spans="1:7" x14ac:dyDescent="0.35">
      <c r="A13323">
        <v>5295</v>
      </c>
      <c r="B13323" s="1">
        <v>45931</v>
      </c>
      <c r="C13323" t="s">
        <v>24</v>
      </c>
      <c r="D13323" s="2">
        <v>176.06</v>
      </c>
      <c r="E13323" s="2">
        <v>0</v>
      </c>
      <c r="F13323" t="s">
        <v>8</v>
      </c>
      <c r="G13323" t="s">
        <v>9</v>
      </c>
    </row>
    <row r="13324" spans="1:7" x14ac:dyDescent="0.35">
      <c r="A13324">
        <v>5295</v>
      </c>
      <c r="B13324" s="1">
        <v>45931</v>
      </c>
      <c r="C13324" t="s">
        <v>24</v>
      </c>
      <c r="D13324" s="2">
        <v>0</v>
      </c>
      <c r="E13324" s="2">
        <v>176.06</v>
      </c>
      <c r="F13324" t="s">
        <v>13</v>
      </c>
      <c r="G13324" t="s">
        <v>9</v>
      </c>
    </row>
    <row r="13325" spans="1:7" x14ac:dyDescent="0.35">
      <c r="A13325">
        <v>5296</v>
      </c>
      <c r="B13325" s="1">
        <v>45931</v>
      </c>
      <c r="C13325" t="s">
        <v>24</v>
      </c>
      <c r="D13325" s="2">
        <v>1984.35</v>
      </c>
      <c r="E13325" s="2">
        <v>0</v>
      </c>
      <c r="F13325" t="s">
        <v>8</v>
      </c>
      <c r="G13325" t="s">
        <v>9</v>
      </c>
    </row>
    <row r="13326" spans="1:7" x14ac:dyDescent="0.35">
      <c r="A13326">
        <v>5296</v>
      </c>
      <c r="B13326" s="1">
        <v>45931</v>
      </c>
      <c r="C13326" t="s">
        <v>24</v>
      </c>
      <c r="D13326" s="2">
        <v>0</v>
      </c>
      <c r="E13326" s="2">
        <v>1984.35</v>
      </c>
      <c r="F13326" t="s">
        <v>13</v>
      </c>
      <c r="G13326" t="s">
        <v>9</v>
      </c>
    </row>
    <row r="13327" spans="1:7" x14ac:dyDescent="0.35">
      <c r="A13327">
        <v>5297</v>
      </c>
      <c r="B13327" s="1">
        <v>45931</v>
      </c>
      <c r="C13327" t="s">
        <v>24</v>
      </c>
      <c r="D13327" s="2">
        <v>3448.16</v>
      </c>
      <c r="E13327" s="2">
        <v>0</v>
      </c>
      <c r="F13327" t="s">
        <v>8</v>
      </c>
      <c r="G13327" t="s">
        <v>9</v>
      </c>
    </row>
    <row r="13328" spans="1:7" x14ac:dyDescent="0.35">
      <c r="A13328">
        <v>5297</v>
      </c>
      <c r="B13328" s="1">
        <v>45931</v>
      </c>
      <c r="C13328" t="s">
        <v>24</v>
      </c>
      <c r="D13328" s="2">
        <v>0</v>
      </c>
      <c r="E13328" s="2">
        <v>3448.16</v>
      </c>
      <c r="F13328" t="s">
        <v>13</v>
      </c>
      <c r="G13328" t="s">
        <v>9</v>
      </c>
    </row>
    <row r="13329" spans="1:7" x14ac:dyDescent="0.35">
      <c r="A13329">
        <v>5298</v>
      </c>
      <c r="B13329" s="1">
        <v>45931</v>
      </c>
      <c r="C13329" t="s">
        <v>24</v>
      </c>
      <c r="D13329" s="2">
        <v>1367.83</v>
      </c>
      <c r="E13329" s="2">
        <v>0</v>
      </c>
      <c r="F13329" t="s">
        <v>8</v>
      </c>
      <c r="G13329" t="s">
        <v>9</v>
      </c>
    </row>
    <row r="13330" spans="1:7" x14ac:dyDescent="0.35">
      <c r="A13330">
        <v>5298</v>
      </c>
      <c r="B13330" s="1">
        <v>45931</v>
      </c>
      <c r="C13330" t="s">
        <v>24</v>
      </c>
      <c r="D13330" s="2">
        <v>0</v>
      </c>
      <c r="E13330" s="2">
        <v>1367.83</v>
      </c>
      <c r="F13330" t="s">
        <v>13</v>
      </c>
      <c r="G13330" t="s">
        <v>9</v>
      </c>
    </row>
    <row r="13331" spans="1:7" x14ac:dyDescent="0.35">
      <c r="A13331">
        <v>5299</v>
      </c>
      <c r="B13331" s="1">
        <v>45931</v>
      </c>
      <c r="C13331" t="s">
        <v>24</v>
      </c>
      <c r="D13331" s="2">
        <v>4694.24</v>
      </c>
      <c r="E13331" s="2">
        <v>0</v>
      </c>
      <c r="F13331" t="s">
        <v>8</v>
      </c>
      <c r="G13331" t="s">
        <v>9</v>
      </c>
    </row>
    <row r="13332" spans="1:7" x14ac:dyDescent="0.35">
      <c r="A13332">
        <v>5299</v>
      </c>
      <c r="B13332" s="1">
        <v>45931</v>
      </c>
      <c r="C13332" t="s">
        <v>24</v>
      </c>
      <c r="D13332" s="2">
        <v>0</v>
      </c>
      <c r="E13332" s="2">
        <v>4694.24</v>
      </c>
      <c r="F13332" t="s">
        <v>13</v>
      </c>
      <c r="G13332" t="s">
        <v>9</v>
      </c>
    </row>
    <row r="13333" spans="1:7" x14ac:dyDescent="0.35">
      <c r="A13333">
        <v>5300</v>
      </c>
      <c r="B13333" s="1">
        <v>45931</v>
      </c>
      <c r="C13333" t="s">
        <v>24</v>
      </c>
      <c r="D13333" s="2">
        <v>1198.93</v>
      </c>
      <c r="E13333" s="2">
        <v>0</v>
      </c>
      <c r="F13333" t="s">
        <v>8</v>
      </c>
      <c r="G13333" t="s">
        <v>9</v>
      </c>
    </row>
    <row r="13334" spans="1:7" x14ac:dyDescent="0.35">
      <c r="A13334">
        <v>5300</v>
      </c>
      <c r="B13334" s="1">
        <v>45931</v>
      </c>
      <c r="C13334" t="s">
        <v>24</v>
      </c>
      <c r="D13334" s="2">
        <v>0</v>
      </c>
      <c r="E13334" s="2">
        <v>1198.93</v>
      </c>
      <c r="F13334" t="s">
        <v>13</v>
      </c>
      <c r="G13334" t="s">
        <v>9</v>
      </c>
    </row>
    <row r="13335" spans="1:7" x14ac:dyDescent="0.35">
      <c r="A13335">
        <v>5301</v>
      </c>
      <c r="B13335" s="1">
        <v>45931</v>
      </c>
      <c r="C13335" t="s">
        <v>25</v>
      </c>
      <c r="D13335" s="2">
        <v>1480.5</v>
      </c>
      <c r="E13335" s="2">
        <v>0</v>
      </c>
      <c r="F13335" t="s">
        <v>26</v>
      </c>
      <c r="G13335" t="s">
        <v>20</v>
      </c>
    </row>
    <row r="13336" spans="1:7" x14ac:dyDescent="0.35">
      <c r="A13336">
        <v>5301</v>
      </c>
      <c r="B13336" s="1">
        <v>45931</v>
      </c>
      <c r="C13336" t="s">
        <v>25</v>
      </c>
      <c r="D13336" s="2">
        <v>111.04</v>
      </c>
      <c r="E13336" s="2">
        <v>0</v>
      </c>
      <c r="F13336" t="s">
        <v>27</v>
      </c>
      <c r="G13336" t="s">
        <v>9</v>
      </c>
    </row>
    <row r="13337" spans="1:7" x14ac:dyDescent="0.35">
      <c r="A13337">
        <v>5301</v>
      </c>
      <c r="B13337" s="1">
        <v>45931</v>
      </c>
      <c r="C13337" t="s">
        <v>25</v>
      </c>
      <c r="D13337" s="2">
        <v>0</v>
      </c>
      <c r="E13337" s="2">
        <v>1591.54</v>
      </c>
      <c r="F13337" t="s">
        <v>28</v>
      </c>
      <c r="G13337" t="s">
        <v>17</v>
      </c>
    </row>
    <row r="13338" spans="1:7" x14ac:dyDescent="0.35">
      <c r="A13338">
        <v>5302</v>
      </c>
      <c r="B13338" s="1">
        <v>45931</v>
      </c>
      <c r="C13338" t="s">
        <v>29</v>
      </c>
      <c r="D13338" s="2">
        <v>7227.44</v>
      </c>
      <c r="E13338" s="2">
        <v>0</v>
      </c>
      <c r="F13338" t="s">
        <v>28</v>
      </c>
      <c r="G13338" t="s">
        <v>17</v>
      </c>
    </row>
    <row r="13339" spans="1:7" x14ac:dyDescent="0.35">
      <c r="A13339">
        <v>5302</v>
      </c>
      <c r="B13339" s="1">
        <v>45931</v>
      </c>
      <c r="C13339" t="s">
        <v>29</v>
      </c>
      <c r="D13339" s="2">
        <v>0</v>
      </c>
      <c r="E13339" s="2">
        <v>7227.44</v>
      </c>
      <c r="F13339" t="s">
        <v>8</v>
      </c>
      <c r="G13339" t="s">
        <v>9</v>
      </c>
    </row>
    <row r="13340" spans="1:7" x14ac:dyDescent="0.35">
      <c r="A13340">
        <v>5303</v>
      </c>
      <c r="B13340" s="1">
        <v>45931</v>
      </c>
      <c r="C13340" t="s">
        <v>29</v>
      </c>
      <c r="D13340" s="2">
        <v>2093.2800000000002</v>
      </c>
      <c r="E13340" s="2">
        <v>0</v>
      </c>
      <c r="F13340" t="s">
        <v>28</v>
      </c>
      <c r="G13340" t="s">
        <v>17</v>
      </c>
    </row>
    <row r="13341" spans="1:7" x14ac:dyDescent="0.35">
      <c r="A13341">
        <v>5303</v>
      </c>
      <c r="B13341" s="1">
        <v>45931</v>
      </c>
      <c r="C13341" t="s">
        <v>29</v>
      </c>
      <c r="D13341" s="2">
        <v>0</v>
      </c>
      <c r="E13341" s="2">
        <v>2093.2800000000002</v>
      </c>
      <c r="F13341" t="s">
        <v>8</v>
      </c>
      <c r="G13341" t="s">
        <v>9</v>
      </c>
    </row>
    <row r="13342" spans="1:7" x14ac:dyDescent="0.35">
      <c r="A13342">
        <v>5304</v>
      </c>
      <c r="B13342" s="1">
        <v>45931</v>
      </c>
      <c r="C13342" t="s">
        <v>29</v>
      </c>
      <c r="D13342" s="2">
        <v>1958.74</v>
      </c>
      <c r="E13342" s="2">
        <v>0</v>
      </c>
      <c r="F13342" t="s">
        <v>28</v>
      </c>
      <c r="G13342" t="s">
        <v>17</v>
      </c>
    </row>
    <row r="13343" spans="1:7" x14ac:dyDescent="0.35">
      <c r="A13343">
        <v>5304</v>
      </c>
      <c r="B13343" s="1">
        <v>45931</v>
      </c>
      <c r="C13343" t="s">
        <v>29</v>
      </c>
      <c r="D13343" s="2">
        <v>0</v>
      </c>
      <c r="E13343" s="2">
        <v>1958.74</v>
      </c>
      <c r="F13343" t="s">
        <v>8</v>
      </c>
      <c r="G13343" t="s">
        <v>9</v>
      </c>
    </row>
    <row r="13344" spans="1:7" x14ac:dyDescent="0.35">
      <c r="A13344">
        <v>5305</v>
      </c>
      <c r="B13344" s="1">
        <v>45932</v>
      </c>
      <c r="C13344" t="s">
        <v>12</v>
      </c>
      <c r="D13344" s="2">
        <v>3209.86</v>
      </c>
      <c r="E13344" s="2">
        <v>0</v>
      </c>
      <c r="F13344" t="s">
        <v>13</v>
      </c>
      <c r="G13344" t="s">
        <v>9</v>
      </c>
    </row>
    <row r="13345" spans="1:7" x14ac:dyDescent="0.35">
      <c r="A13345">
        <v>5305</v>
      </c>
      <c r="B13345" s="1">
        <v>45932</v>
      </c>
      <c r="C13345" t="s">
        <v>12</v>
      </c>
      <c r="D13345" s="2">
        <v>0</v>
      </c>
      <c r="E13345" s="2">
        <v>2985.93</v>
      </c>
      <c r="F13345" t="s">
        <v>14</v>
      </c>
      <c r="G13345" t="s">
        <v>15</v>
      </c>
    </row>
    <row r="13346" spans="1:7" x14ac:dyDescent="0.35">
      <c r="A13346">
        <v>5305</v>
      </c>
      <c r="B13346" s="1">
        <v>45932</v>
      </c>
      <c r="C13346" t="s">
        <v>12</v>
      </c>
      <c r="D13346" s="2">
        <v>0</v>
      </c>
      <c r="E13346" s="2">
        <v>223.93</v>
      </c>
      <c r="F13346" t="s">
        <v>16</v>
      </c>
      <c r="G13346" t="s">
        <v>17</v>
      </c>
    </row>
    <row r="13347" spans="1:7" x14ac:dyDescent="0.35">
      <c r="A13347">
        <v>5306</v>
      </c>
      <c r="B13347" s="1">
        <v>45932</v>
      </c>
      <c r="C13347" t="s">
        <v>12</v>
      </c>
      <c r="D13347" s="2">
        <v>2326.21</v>
      </c>
      <c r="E13347" s="2">
        <v>0</v>
      </c>
      <c r="F13347" t="s">
        <v>13</v>
      </c>
      <c r="G13347" t="s">
        <v>9</v>
      </c>
    </row>
    <row r="13348" spans="1:7" x14ac:dyDescent="0.35">
      <c r="A13348">
        <v>5306</v>
      </c>
      <c r="B13348" s="1">
        <v>45932</v>
      </c>
      <c r="C13348" t="s">
        <v>12</v>
      </c>
      <c r="D13348" s="2">
        <v>0</v>
      </c>
      <c r="E13348" s="2">
        <v>2163.91</v>
      </c>
      <c r="F13348" t="s">
        <v>14</v>
      </c>
      <c r="G13348" t="s">
        <v>15</v>
      </c>
    </row>
    <row r="13349" spans="1:7" x14ac:dyDescent="0.35">
      <c r="A13349">
        <v>5306</v>
      </c>
      <c r="B13349" s="1">
        <v>45932</v>
      </c>
      <c r="C13349" t="s">
        <v>12</v>
      </c>
      <c r="D13349" s="2">
        <v>0</v>
      </c>
      <c r="E13349" s="2">
        <v>162.30000000000001</v>
      </c>
      <c r="F13349" t="s">
        <v>16</v>
      </c>
      <c r="G13349" t="s">
        <v>17</v>
      </c>
    </row>
    <row r="13350" spans="1:7" x14ac:dyDescent="0.35">
      <c r="A13350">
        <v>5307</v>
      </c>
      <c r="B13350" s="1">
        <v>45932</v>
      </c>
      <c r="C13350" t="s">
        <v>12</v>
      </c>
      <c r="D13350" s="2">
        <v>5233.6099999999997</v>
      </c>
      <c r="E13350" s="2">
        <v>0</v>
      </c>
      <c r="F13350" t="s">
        <v>13</v>
      </c>
      <c r="G13350" t="s">
        <v>9</v>
      </c>
    </row>
    <row r="13351" spans="1:7" x14ac:dyDescent="0.35">
      <c r="A13351">
        <v>5307</v>
      </c>
      <c r="B13351" s="1">
        <v>45932</v>
      </c>
      <c r="C13351" t="s">
        <v>12</v>
      </c>
      <c r="D13351" s="2">
        <v>0</v>
      </c>
      <c r="E13351" s="2">
        <v>4868.4799999999996</v>
      </c>
      <c r="F13351" t="s">
        <v>14</v>
      </c>
      <c r="G13351" t="s">
        <v>15</v>
      </c>
    </row>
    <row r="13352" spans="1:7" x14ac:dyDescent="0.35">
      <c r="A13352">
        <v>5307</v>
      </c>
      <c r="B13352" s="1">
        <v>45932</v>
      </c>
      <c r="C13352" t="s">
        <v>12</v>
      </c>
      <c r="D13352" s="2">
        <v>0</v>
      </c>
      <c r="E13352" s="2">
        <v>365.13</v>
      </c>
      <c r="F13352" t="s">
        <v>16</v>
      </c>
      <c r="G13352" t="s">
        <v>17</v>
      </c>
    </row>
    <row r="13353" spans="1:7" x14ac:dyDescent="0.35">
      <c r="A13353">
        <v>5308</v>
      </c>
      <c r="B13353" s="1">
        <v>45932</v>
      </c>
      <c r="C13353" t="s">
        <v>12</v>
      </c>
      <c r="D13353" s="2">
        <v>2289.2600000000002</v>
      </c>
      <c r="E13353" s="2">
        <v>0</v>
      </c>
      <c r="F13353" t="s">
        <v>13</v>
      </c>
      <c r="G13353" t="s">
        <v>9</v>
      </c>
    </row>
    <row r="13354" spans="1:7" x14ac:dyDescent="0.35">
      <c r="A13354">
        <v>5308</v>
      </c>
      <c r="B13354" s="1">
        <v>45932</v>
      </c>
      <c r="C13354" t="s">
        <v>12</v>
      </c>
      <c r="D13354" s="2">
        <v>0</v>
      </c>
      <c r="E13354" s="2">
        <v>2129.54</v>
      </c>
      <c r="F13354" t="s">
        <v>14</v>
      </c>
      <c r="G13354" t="s">
        <v>15</v>
      </c>
    </row>
    <row r="13355" spans="1:7" x14ac:dyDescent="0.35">
      <c r="A13355">
        <v>5308</v>
      </c>
      <c r="B13355" s="1">
        <v>45932</v>
      </c>
      <c r="C13355" t="s">
        <v>12</v>
      </c>
      <c r="D13355" s="2">
        <v>0</v>
      </c>
      <c r="E13355" s="2">
        <v>159.72</v>
      </c>
      <c r="F13355" t="s">
        <v>16</v>
      </c>
      <c r="G13355" t="s">
        <v>17</v>
      </c>
    </row>
    <row r="13356" spans="1:7" x14ac:dyDescent="0.35">
      <c r="A13356">
        <v>5309</v>
      </c>
      <c r="B13356" s="1">
        <v>45932</v>
      </c>
      <c r="C13356" t="s">
        <v>12</v>
      </c>
      <c r="D13356" s="2">
        <v>140.29</v>
      </c>
      <c r="E13356" s="2">
        <v>0</v>
      </c>
      <c r="F13356" t="s">
        <v>13</v>
      </c>
      <c r="G13356" t="s">
        <v>9</v>
      </c>
    </row>
    <row r="13357" spans="1:7" x14ac:dyDescent="0.35">
      <c r="A13357">
        <v>5309</v>
      </c>
      <c r="B13357" s="1">
        <v>45932</v>
      </c>
      <c r="C13357" t="s">
        <v>12</v>
      </c>
      <c r="D13357" s="2">
        <v>0</v>
      </c>
      <c r="E13357" s="2">
        <v>130.5</v>
      </c>
      <c r="F13357" t="s">
        <v>14</v>
      </c>
      <c r="G13357" t="s">
        <v>15</v>
      </c>
    </row>
    <row r="13358" spans="1:7" x14ac:dyDescent="0.35">
      <c r="A13358">
        <v>5309</v>
      </c>
      <c r="B13358" s="1">
        <v>45932</v>
      </c>
      <c r="C13358" t="s">
        <v>12</v>
      </c>
      <c r="D13358" s="2">
        <v>0</v>
      </c>
      <c r="E13358" s="2">
        <v>9.7899999999999991</v>
      </c>
      <c r="F13358" t="s">
        <v>16</v>
      </c>
      <c r="G13358" t="s">
        <v>17</v>
      </c>
    </row>
    <row r="13359" spans="1:7" x14ac:dyDescent="0.35">
      <c r="A13359">
        <v>5310</v>
      </c>
      <c r="B13359" s="1">
        <v>45932</v>
      </c>
      <c r="C13359" t="s">
        <v>12</v>
      </c>
      <c r="D13359" s="2">
        <v>2159.4</v>
      </c>
      <c r="E13359" s="2">
        <v>0</v>
      </c>
      <c r="F13359" t="s">
        <v>13</v>
      </c>
      <c r="G13359" t="s">
        <v>9</v>
      </c>
    </row>
    <row r="13360" spans="1:7" x14ac:dyDescent="0.35">
      <c r="A13360">
        <v>5310</v>
      </c>
      <c r="B13360" s="1">
        <v>45932</v>
      </c>
      <c r="C13360" t="s">
        <v>12</v>
      </c>
      <c r="D13360" s="2">
        <v>0</v>
      </c>
      <c r="E13360" s="2">
        <v>2008.74</v>
      </c>
      <c r="F13360" t="s">
        <v>14</v>
      </c>
      <c r="G13360" t="s">
        <v>15</v>
      </c>
    </row>
    <row r="13361" spans="1:7" x14ac:dyDescent="0.35">
      <c r="A13361">
        <v>5310</v>
      </c>
      <c r="B13361" s="1">
        <v>45932</v>
      </c>
      <c r="C13361" t="s">
        <v>12</v>
      </c>
      <c r="D13361" s="2">
        <v>0</v>
      </c>
      <c r="E13361" s="2">
        <v>150.66</v>
      </c>
      <c r="F13361" t="s">
        <v>16</v>
      </c>
      <c r="G13361" t="s">
        <v>17</v>
      </c>
    </row>
    <row r="13362" spans="1:7" x14ac:dyDescent="0.35">
      <c r="A13362">
        <v>5311</v>
      </c>
      <c r="B13362" s="1">
        <v>45932</v>
      </c>
      <c r="C13362" t="s">
        <v>12</v>
      </c>
      <c r="D13362" s="2">
        <v>1014.12</v>
      </c>
      <c r="E13362" s="2">
        <v>0</v>
      </c>
      <c r="F13362" t="s">
        <v>13</v>
      </c>
      <c r="G13362" t="s">
        <v>9</v>
      </c>
    </row>
    <row r="13363" spans="1:7" x14ac:dyDescent="0.35">
      <c r="A13363">
        <v>5311</v>
      </c>
      <c r="B13363" s="1">
        <v>45932</v>
      </c>
      <c r="C13363" t="s">
        <v>12</v>
      </c>
      <c r="D13363" s="2">
        <v>0</v>
      </c>
      <c r="E13363" s="2">
        <v>943.37</v>
      </c>
      <c r="F13363" t="s">
        <v>14</v>
      </c>
      <c r="G13363" t="s">
        <v>15</v>
      </c>
    </row>
    <row r="13364" spans="1:7" x14ac:dyDescent="0.35">
      <c r="A13364">
        <v>5311</v>
      </c>
      <c r="B13364" s="1">
        <v>45932</v>
      </c>
      <c r="C13364" t="s">
        <v>12</v>
      </c>
      <c r="D13364" s="2">
        <v>0</v>
      </c>
      <c r="E13364" s="2">
        <v>70.75</v>
      </c>
      <c r="F13364" t="s">
        <v>16</v>
      </c>
      <c r="G13364" t="s">
        <v>17</v>
      </c>
    </row>
    <row r="13365" spans="1:7" x14ac:dyDescent="0.35">
      <c r="A13365">
        <v>5312</v>
      </c>
      <c r="B13365" s="1">
        <v>45932</v>
      </c>
      <c r="C13365" t="s">
        <v>12</v>
      </c>
      <c r="D13365" s="2">
        <v>2738.56</v>
      </c>
      <c r="E13365" s="2">
        <v>0</v>
      </c>
      <c r="F13365" t="s">
        <v>13</v>
      </c>
      <c r="G13365" t="s">
        <v>9</v>
      </c>
    </row>
    <row r="13366" spans="1:7" x14ac:dyDescent="0.35">
      <c r="A13366">
        <v>5312</v>
      </c>
      <c r="B13366" s="1">
        <v>45932</v>
      </c>
      <c r="C13366" t="s">
        <v>12</v>
      </c>
      <c r="D13366" s="2">
        <v>0</v>
      </c>
      <c r="E13366" s="2">
        <v>2547.4899999999998</v>
      </c>
      <c r="F13366" t="s">
        <v>14</v>
      </c>
      <c r="G13366" t="s">
        <v>15</v>
      </c>
    </row>
    <row r="13367" spans="1:7" x14ac:dyDescent="0.35">
      <c r="A13367">
        <v>5312</v>
      </c>
      <c r="B13367" s="1">
        <v>45932</v>
      </c>
      <c r="C13367" t="s">
        <v>12</v>
      </c>
      <c r="D13367" s="2">
        <v>0</v>
      </c>
      <c r="E13367" s="2">
        <v>191.07</v>
      </c>
      <c r="F13367" t="s">
        <v>16</v>
      </c>
      <c r="G13367" t="s">
        <v>17</v>
      </c>
    </row>
    <row r="13368" spans="1:7" x14ac:dyDescent="0.35">
      <c r="A13368">
        <v>5313</v>
      </c>
      <c r="B13368" s="1">
        <v>45932</v>
      </c>
      <c r="C13368" t="s">
        <v>12</v>
      </c>
      <c r="D13368" s="2">
        <v>1330.27</v>
      </c>
      <c r="E13368" s="2">
        <v>0</v>
      </c>
      <c r="F13368" t="s">
        <v>13</v>
      </c>
      <c r="G13368" t="s">
        <v>9</v>
      </c>
    </row>
    <row r="13369" spans="1:7" x14ac:dyDescent="0.35">
      <c r="A13369">
        <v>5313</v>
      </c>
      <c r="B13369" s="1">
        <v>45932</v>
      </c>
      <c r="C13369" t="s">
        <v>12</v>
      </c>
      <c r="D13369" s="2">
        <v>0</v>
      </c>
      <c r="E13369" s="2">
        <v>1237.46</v>
      </c>
      <c r="F13369" t="s">
        <v>14</v>
      </c>
      <c r="G13369" t="s">
        <v>15</v>
      </c>
    </row>
    <row r="13370" spans="1:7" x14ac:dyDescent="0.35">
      <c r="A13370">
        <v>5313</v>
      </c>
      <c r="B13370" s="1">
        <v>45932</v>
      </c>
      <c r="C13370" t="s">
        <v>12</v>
      </c>
      <c r="D13370" s="2">
        <v>0</v>
      </c>
      <c r="E13370" s="2">
        <v>92.81</v>
      </c>
      <c r="F13370" t="s">
        <v>16</v>
      </c>
      <c r="G13370" t="s">
        <v>17</v>
      </c>
    </row>
    <row r="13371" spans="1:7" x14ac:dyDescent="0.35">
      <c r="A13371">
        <v>5314</v>
      </c>
      <c r="B13371" s="1">
        <v>45932</v>
      </c>
      <c r="C13371" t="s">
        <v>12</v>
      </c>
      <c r="D13371" s="2">
        <v>2929.64</v>
      </c>
      <c r="E13371" s="2">
        <v>0</v>
      </c>
      <c r="F13371" t="s">
        <v>13</v>
      </c>
      <c r="G13371" t="s">
        <v>9</v>
      </c>
    </row>
    <row r="13372" spans="1:7" x14ac:dyDescent="0.35">
      <c r="A13372">
        <v>5314</v>
      </c>
      <c r="B13372" s="1">
        <v>45932</v>
      </c>
      <c r="C13372" t="s">
        <v>12</v>
      </c>
      <c r="D13372" s="2">
        <v>0</v>
      </c>
      <c r="E13372" s="2">
        <v>2725.24</v>
      </c>
      <c r="F13372" t="s">
        <v>14</v>
      </c>
      <c r="G13372" t="s">
        <v>15</v>
      </c>
    </row>
    <row r="13373" spans="1:7" x14ac:dyDescent="0.35">
      <c r="A13373">
        <v>5314</v>
      </c>
      <c r="B13373" s="1">
        <v>45932</v>
      </c>
      <c r="C13373" t="s">
        <v>12</v>
      </c>
      <c r="D13373" s="2">
        <v>0</v>
      </c>
      <c r="E13373" s="2">
        <v>204.4</v>
      </c>
      <c r="F13373" t="s">
        <v>16</v>
      </c>
      <c r="G13373" t="s">
        <v>17</v>
      </c>
    </row>
    <row r="13374" spans="1:7" x14ac:dyDescent="0.35">
      <c r="A13374">
        <v>5315</v>
      </c>
      <c r="B13374" s="1">
        <v>45932</v>
      </c>
      <c r="C13374" t="s">
        <v>12</v>
      </c>
      <c r="D13374" s="2">
        <v>2920.32</v>
      </c>
      <c r="E13374" s="2">
        <v>0</v>
      </c>
      <c r="F13374" t="s">
        <v>13</v>
      </c>
      <c r="G13374" t="s">
        <v>9</v>
      </c>
    </row>
    <row r="13375" spans="1:7" x14ac:dyDescent="0.35">
      <c r="A13375">
        <v>5315</v>
      </c>
      <c r="B13375" s="1">
        <v>45932</v>
      </c>
      <c r="C13375" t="s">
        <v>12</v>
      </c>
      <c r="D13375" s="2">
        <v>0</v>
      </c>
      <c r="E13375" s="2">
        <v>2716.58</v>
      </c>
      <c r="F13375" t="s">
        <v>14</v>
      </c>
      <c r="G13375" t="s">
        <v>15</v>
      </c>
    </row>
    <row r="13376" spans="1:7" x14ac:dyDescent="0.35">
      <c r="A13376">
        <v>5315</v>
      </c>
      <c r="B13376" s="1">
        <v>45932</v>
      </c>
      <c r="C13376" t="s">
        <v>12</v>
      </c>
      <c r="D13376" s="2">
        <v>0</v>
      </c>
      <c r="E13376" s="2">
        <v>203.74</v>
      </c>
      <c r="F13376" t="s">
        <v>16</v>
      </c>
      <c r="G13376" t="s">
        <v>17</v>
      </c>
    </row>
    <row r="13377" spans="1:7" x14ac:dyDescent="0.35">
      <c r="A13377">
        <v>5316</v>
      </c>
      <c r="B13377" s="1">
        <v>45932</v>
      </c>
      <c r="C13377" t="s">
        <v>24</v>
      </c>
      <c r="D13377" s="2">
        <v>3374.4</v>
      </c>
      <c r="E13377" s="2">
        <v>0</v>
      </c>
      <c r="F13377" t="s">
        <v>8</v>
      </c>
      <c r="G13377" t="s">
        <v>9</v>
      </c>
    </row>
    <row r="13378" spans="1:7" x14ac:dyDescent="0.35">
      <c r="A13378">
        <v>5316</v>
      </c>
      <c r="B13378" s="1">
        <v>45932</v>
      </c>
      <c r="C13378" t="s">
        <v>24</v>
      </c>
      <c r="D13378" s="2">
        <v>0</v>
      </c>
      <c r="E13378" s="2">
        <v>3374.4</v>
      </c>
      <c r="F13378" t="s">
        <v>13</v>
      </c>
      <c r="G13378" t="s">
        <v>9</v>
      </c>
    </row>
    <row r="13379" spans="1:7" x14ac:dyDescent="0.35">
      <c r="A13379">
        <v>5317</v>
      </c>
      <c r="B13379" s="1">
        <v>45932</v>
      </c>
      <c r="C13379" t="s">
        <v>24</v>
      </c>
      <c r="D13379" s="2">
        <v>2526.84</v>
      </c>
      <c r="E13379" s="2">
        <v>0</v>
      </c>
      <c r="F13379" t="s">
        <v>8</v>
      </c>
      <c r="G13379" t="s">
        <v>9</v>
      </c>
    </row>
    <row r="13380" spans="1:7" x14ac:dyDescent="0.35">
      <c r="A13380">
        <v>5317</v>
      </c>
      <c r="B13380" s="1">
        <v>45932</v>
      </c>
      <c r="C13380" t="s">
        <v>24</v>
      </c>
      <c r="D13380" s="2">
        <v>0</v>
      </c>
      <c r="E13380" s="2">
        <v>2526.84</v>
      </c>
      <c r="F13380" t="s">
        <v>13</v>
      </c>
      <c r="G13380" t="s">
        <v>9</v>
      </c>
    </row>
    <row r="13381" spans="1:7" x14ac:dyDescent="0.35">
      <c r="A13381">
        <v>5318</v>
      </c>
      <c r="B13381" s="1">
        <v>45932</v>
      </c>
      <c r="C13381" t="s">
        <v>24</v>
      </c>
      <c r="D13381" s="2">
        <v>3573.18</v>
      </c>
      <c r="E13381" s="2">
        <v>0</v>
      </c>
      <c r="F13381" t="s">
        <v>8</v>
      </c>
      <c r="G13381" t="s">
        <v>9</v>
      </c>
    </row>
    <row r="13382" spans="1:7" x14ac:dyDescent="0.35">
      <c r="A13382">
        <v>5318</v>
      </c>
      <c r="B13382" s="1">
        <v>45932</v>
      </c>
      <c r="C13382" t="s">
        <v>24</v>
      </c>
      <c r="D13382" s="2">
        <v>0</v>
      </c>
      <c r="E13382" s="2">
        <v>3573.18</v>
      </c>
      <c r="F13382" t="s">
        <v>13</v>
      </c>
      <c r="G13382" t="s">
        <v>9</v>
      </c>
    </row>
    <row r="13383" spans="1:7" x14ac:dyDescent="0.35">
      <c r="A13383">
        <v>5319</v>
      </c>
      <c r="B13383" s="1">
        <v>45932</v>
      </c>
      <c r="C13383" t="s">
        <v>24</v>
      </c>
      <c r="D13383" s="2">
        <v>4080.69</v>
      </c>
      <c r="E13383" s="2">
        <v>0</v>
      </c>
      <c r="F13383" t="s">
        <v>8</v>
      </c>
      <c r="G13383" t="s">
        <v>9</v>
      </c>
    </row>
    <row r="13384" spans="1:7" x14ac:dyDescent="0.35">
      <c r="A13384">
        <v>5319</v>
      </c>
      <c r="B13384" s="1">
        <v>45932</v>
      </c>
      <c r="C13384" t="s">
        <v>24</v>
      </c>
      <c r="D13384" s="2">
        <v>0</v>
      </c>
      <c r="E13384" s="2">
        <v>4080.69</v>
      </c>
      <c r="F13384" t="s">
        <v>13</v>
      </c>
      <c r="G13384" t="s">
        <v>9</v>
      </c>
    </row>
    <row r="13385" spans="1:7" x14ac:dyDescent="0.35">
      <c r="A13385">
        <v>5320</v>
      </c>
      <c r="B13385" s="1">
        <v>45932</v>
      </c>
      <c r="C13385" t="s">
        <v>24</v>
      </c>
      <c r="D13385" s="2">
        <v>1210.0899999999999</v>
      </c>
      <c r="E13385" s="2">
        <v>0</v>
      </c>
      <c r="F13385" t="s">
        <v>8</v>
      </c>
      <c r="G13385" t="s">
        <v>9</v>
      </c>
    </row>
    <row r="13386" spans="1:7" x14ac:dyDescent="0.35">
      <c r="A13386">
        <v>5320</v>
      </c>
      <c r="B13386" s="1">
        <v>45932</v>
      </c>
      <c r="C13386" t="s">
        <v>24</v>
      </c>
      <c r="D13386" s="2">
        <v>0</v>
      </c>
      <c r="E13386" s="2">
        <v>1210.0899999999999</v>
      </c>
      <c r="F13386" t="s">
        <v>13</v>
      </c>
      <c r="G13386" t="s">
        <v>9</v>
      </c>
    </row>
    <row r="13387" spans="1:7" x14ac:dyDescent="0.35">
      <c r="A13387">
        <v>5321</v>
      </c>
      <c r="B13387" s="1">
        <v>45932</v>
      </c>
      <c r="C13387" t="s">
        <v>24</v>
      </c>
      <c r="D13387" s="2">
        <v>2929.64</v>
      </c>
      <c r="E13387" s="2">
        <v>0</v>
      </c>
      <c r="F13387" t="s">
        <v>8</v>
      </c>
      <c r="G13387" t="s">
        <v>9</v>
      </c>
    </row>
    <row r="13388" spans="1:7" x14ac:dyDescent="0.35">
      <c r="A13388">
        <v>5321</v>
      </c>
      <c r="B13388" s="1">
        <v>45932</v>
      </c>
      <c r="C13388" t="s">
        <v>24</v>
      </c>
      <c r="D13388" s="2">
        <v>0</v>
      </c>
      <c r="E13388" s="2">
        <v>2929.64</v>
      </c>
      <c r="F13388" t="s">
        <v>13</v>
      </c>
      <c r="G13388" t="s">
        <v>9</v>
      </c>
    </row>
    <row r="13389" spans="1:7" x14ac:dyDescent="0.35">
      <c r="A13389">
        <v>5322</v>
      </c>
      <c r="B13389" s="1">
        <v>45932</v>
      </c>
      <c r="C13389" t="s">
        <v>25</v>
      </c>
      <c r="D13389" s="2">
        <v>187.44</v>
      </c>
      <c r="E13389" s="2">
        <v>0</v>
      </c>
      <c r="F13389" t="s">
        <v>26</v>
      </c>
      <c r="G13389" t="s">
        <v>20</v>
      </c>
    </row>
    <row r="13390" spans="1:7" x14ac:dyDescent="0.35">
      <c r="A13390">
        <v>5322</v>
      </c>
      <c r="B13390" s="1">
        <v>45932</v>
      </c>
      <c r="C13390" t="s">
        <v>25</v>
      </c>
      <c r="D13390" s="2">
        <v>14.06</v>
      </c>
      <c r="E13390" s="2">
        <v>0</v>
      </c>
      <c r="F13390" t="s">
        <v>27</v>
      </c>
      <c r="G13390" t="s">
        <v>9</v>
      </c>
    </row>
    <row r="13391" spans="1:7" x14ac:dyDescent="0.35">
      <c r="A13391">
        <v>5322</v>
      </c>
      <c r="B13391" s="1">
        <v>45932</v>
      </c>
      <c r="C13391" t="s">
        <v>25</v>
      </c>
      <c r="D13391" s="2">
        <v>0</v>
      </c>
      <c r="E13391" s="2">
        <v>201.5</v>
      </c>
      <c r="F13391" t="s">
        <v>28</v>
      </c>
      <c r="G13391" t="s">
        <v>17</v>
      </c>
    </row>
    <row r="13392" spans="1:7" x14ac:dyDescent="0.35">
      <c r="A13392">
        <v>5323</v>
      </c>
      <c r="B13392" s="1">
        <v>45932</v>
      </c>
      <c r="C13392" t="s">
        <v>29</v>
      </c>
      <c r="D13392" s="2">
        <v>2635.36</v>
      </c>
      <c r="E13392" s="2">
        <v>0</v>
      </c>
      <c r="F13392" t="s">
        <v>28</v>
      </c>
      <c r="G13392" t="s">
        <v>17</v>
      </c>
    </row>
    <row r="13393" spans="1:7" x14ac:dyDescent="0.35">
      <c r="A13393">
        <v>5323</v>
      </c>
      <c r="B13393" s="1">
        <v>45932</v>
      </c>
      <c r="C13393" t="s">
        <v>29</v>
      </c>
      <c r="D13393" s="2">
        <v>0</v>
      </c>
      <c r="E13393" s="2">
        <v>2635.36</v>
      </c>
      <c r="F13393" t="s">
        <v>8</v>
      </c>
      <c r="G13393" t="s">
        <v>9</v>
      </c>
    </row>
    <row r="13394" spans="1:7" x14ac:dyDescent="0.35">
      <c r="A13394">
        <v>5324</v>
      </c>
      <c r="B13394" s="1">
        <v>45932</v>
      </c>
      <c r="C13394" t="s">
        <v>29</v>
      </c>
      <c r="D13394" s="2">
        <v>1766.46</v>
      </c>
      <c r="E13394" s="2">
        <v>0</v>
      </c>
      <c r="F13394" t="s">
        <v>28</v>
      </c>
      <c r="G13394" t="s">
        <v>17</v>
      </c>
    </row>
    <row r="13395" spans="1:7" x14ac:dyDescent="0.35">
      <c r="A13395">
        <v>5324</v>
      </c>
      <c r="B13395" s="1">
        <v>45932</v>
      </c>
      <c r="C13395" t="s">
        <v>29</v>
      </c>
      <c r="D13395" s="2">
        <v>0</v>
      </c>
      <c r="E13395" s="2">
        <v>1766.46</v>
      </c>
      <c r="F13395" t="s">
        <v>8</v>
      </c>
      <c r="G13395" t="s">
        <v>9</v>
      </c>
    </row>
    <row r="13396" spans="1:7" x14ac:dyDescent="0.35">
      <c r="A13396">
        <v>5325</v>
      </c>
      <c r="B13396" s="1">
        <v>45932</v>
      </c>
      <c r="C13396" t="s">
        <v>29</v>
      </c>
      <c r="D13396" s="2">
        <v>1591.54</v>
      </c>
      <c r="E13396" s="2">
        <v>0</v>
      </c>
      <c r="F13396" t="s">
        <v>28</v>
      </c>
      <c r="G13396" t="s">
        <v>17</v>
      </c>
    </row>
    <row r="13397" spans="1:7" x14ac:dyDescent="0.35">
      <c r="A13397">
        <v>5325</v>
      </c>
      <c r="B13397" s="1">
        <v>45932</v>
      </c>
      <c r="C13397" t="s">
        <v>29</v>
      </c>
      <c r="D13397" s="2">
        <v>0</v>
      </c>
      <c r="E13397" s="2">
        <v>1591.54</v>
      </c>
      <c r="F13397" t="s">
        <v>8</v>
      </c>
      <c r="G13397" t="s">
        <v>9</v>
      </c>
    </row>
    <row r="13398" spans="1:7" x14ac:dyDescent="0.35">
      <c r="A13398">
        <v>5326</v>
      </c>
      <c r="B13398" s="1">
        <v>45933</v>
      </c>
      <c r="C13398" t="s">
        <v>12</v>
      </c>
      <c r="D13398" s="2">
        <v>3237.08</v>
      </c>
      <c r="E13398" s="2">
        <v>0</v>
      </c>
      <c r="F13398" t="s">
        <v>13</v>
      </c>
      <c r="G13398" t="s">
        <v>9</v>
      </c>
    </row>
    <row r="13399" spans="1:7" x14ac:dyDescent="0.35">
      <c r="A13399">
        <v>5326</v>
      </c>
      <c r="B13399" s="1">
        <v>45933</v>
      </c>
      <c r="C13399" t="s">
        <v>12</v>
      </c>
      <c r="D13399" s="2">
        <v>0</v>
      </c>
      <c r="E13399" s="2">
        <v>3011.24</v>
      </c>
      <c r="F13399" t="s">
        <v>14</v>
      </c>
      <c r="G13399" t="s">
        <v>15</v>
      </c>
    </row>
    <row r="13400" spans="1:7" x14ac:dyDescent="0.35">
      <c r="A13400">
        <v>5326</v>
      </c>
      <c r="B13400" s="1">
        <v>45933</v>
      </c>
      <c r="C13400" t="s">
        <v>12</v>
      </c>
      <c r="D13400" s="2">
        <v>0</v>
      </c>
      <c r="E13400" s="2">
        <v>225.84</v>
      </c>
      <c r="F13400" t="s">
        <v>16</v>
      </c>
      <c r="G13400" t="s">
        <v>17</v>
      </c>
    </row>
    <row r="13401" spans="1:7" x14ac:dyDescent="0.35">
      <c r="A13401">
        <v>5327</v>
      </c>
      <c r="B13401" s="1">
        <v>45933</v>
      </c>
      <c r="C13401" t="s">
        <v>12</v>
      </c>
      <c r="D13401" s="2">
        <v>2225.46</v>
      </c>
      <c r="E13401" s="2">
        <v>0</v>
      </c>
      <c r="F13401" t="s">
        <v>13</v>
      </c>
      <c r="G13401" t="s">
        <v>9</v>
      </c>
    </row>
    <row r="13402" spans="1:7" x14ac:dyDescent="0.35">
      <c r="A13402">
        <v>5327</v>
      </c>
      <c r="B13402" s="1">
        <v>45933</v>
      </c>
      <c r="C13402" t="s">
        <v>12</v>
      </c>
      <c r="D13402" s="2">
        <v>0</v>
      </c>
      <c r="E13402" s="2">
        <v>2070.1999999999998</v>
      </c>
      <c r="F13402" t="s">
        <v>14</v>
      </c>
      <c r="G13402" t="s">
        <v>15</v>
      </c>
    </row>
    <row r="13403" spans="1:7" x14ac:dyDescent="0.35">
      <c r="A13403">
        <v>5327</v>
      </c>
      <c r="B13403" s="1">
        <v>45933</v>
      </c>
      <c r="C13403" t="s">
        <v>12</v>
      </c>
      <c r="D13403" s="2">
        <v>0</v>
      </c>
      <c r="E13403" s="2">
        <v>155.26</v>
      </c>
      <c r="F13403" t="s">
        <v>16</v>
      </c>
      <c r="G13403" t="s">
        <v>17</v>
      </c>
    </row>
    <row r="13404" spans="1:7" x14ac:dyDescent="0.35">
      <c r="A13404">
        <v>5328</v>
      </c>
      <c r="B13404" s="1">
        <v>45933</v>
      </c>
      <c r="C13404" t="s">
        <v>12</v>
      </c>
      <c r="D13404" s="2">
        <v>1826.02</v>
      </c>
      <c r="E13404" s="2">
        <v>0</v>
      </c>
      <c r="F13404" t="s">
        <v>13</v>
      </c>
      <c r="G13404" t="s">
        <v>9</v>
      </c>
    </row>
    <row r="13405" spans="1:7" x14ac:dyDescent="0.35">
      <c r="A13405">
        <v>5328</v>
      </c>
      <c r="B13405" s="1">
        <v>45933</v>
      </c>
      <c r="C13405" t="s">
        <v>12</v>
      </c>
      <c r="D13405" s="2">
        <v>0</v>
      </c>
      <c r="E13405" s="2">
        <v>1698.62</v>
      </c>
      <c r="F13405" t="s">
        <v>14</v>
      </c>
      <c r="G13405" t="s">
        <v>15</v>
      </c>
    </row>
    <row r="13406" spans="1:7" x14ac:dyDescent="0.35">
      <c r="A13406">
        <v>5328</v>
      </c>
      <c r="B13406" s="1">
        <v>45933</v>
      </c>
      <c r="C13406" t="s">
        <v>12</v>
      </c>
      <c r="D13406" s="2">
        <v>0</v>
      </c>
      <c r="E13406" s="2">
        <v>127.4</v>
      </c>
      <c r="F13406" t="s">
        <v>16</v>
      </c>
      <c r="G13406" t="s">
        <v>17</v>
      </c>
    </row>
    <row r="13407" spans="1:7" x14ac:dyDescent="0.35">
      <c r="A13407">
        <v>5329</v>
      </c>
      <c r="B13407" s="1">
        <v>45933</v>
      </c>
      <c r="C13407" t="s">
        <v>24</v>
      </c>
      <c r="D13407" s="2">
        <v>370.65</v>
      </c>
      <c r="E13407" s="2">
        <v>0</v>
      </c>
      <c r="F13407" t="s">
        <v>8</v>
      </c>
      <c r="G13407" t="s">
        <v>9</v>
      </c>
    </row>
    <row r="13408" spans="1:7" x14ac:dyDescent="0.35">
      <c r="A13408">
        <v>5329</v>
      </c>
      <c r="B13408" s="1">
        <v>45933</v>
      </c>
      <c r="C13408" t="s">
        <v>24</v>
      </c>
      <c r="D13408" s="2">
        <v>0</v>
      </c>
      <c r="E13408" s="2">
        <v>370.65</v>
      </c>
      <c r="F13408" t="s">
        <v>13</v>
      </c>
      <c r="G13408" t="s">
        <v>9</v>
      </c>
    </row>
    <row r="13409" spans="1:7" x14ac:dyDescent="0.35">
      <c r="A13409">
        <v>5330</v>
      </c>
      <c r="B13409" s="1">
        <v>45933</v>
      </c>
      <c r="C13409" t="s">
        <v>24</v>
      </c>
      <c r="D13409" s="2">
        <v>2285.67</v>
      </c>
      <c r="E13409" s="2">
        <v>0</v>
      </c>
      <c r="F13409" t="s">
        <v>8</v>
      </c>
      <c r="G13409" t="s">
        <v>9</v>
      </c>
    </row>
    <row r="13410" spans="1:7" x14ac:dyDescent="0.35">
      <c r="A13410">
        <v>5330</v>
      </c>
      <c r="B13410" s="1">
        <v>45933</v>
      </c>
      <c r="C13410" t="s">
        <v>24</v>
      </c>
      <c r="D13410" s="2">
        <v>0</v>
      </c>
      <c r="E13410" s="2">
        <v>2285.67</v>
      </c>
      <c r="F13410" t="s">
        <v>13</v>
      </c>
      <c r="G13410" t="s">
        <v>9</v>
      </c>
    </row>
    <row r="13411" spans="1:7" x14ac:dyDescent="0.35">
      <c r="A13411">
        <v>5331</v>
      </c>
      <c r="B13411" s="1">
        <v>45933</v>
      </c>
      <c r="C13411" t="s">
        <v>25</v>
      </c>
      <c r="D13411" s="2">
        <v>2714.58</v>
      </c>
      <c r="E13411" s="2">
        <v>0</v>
      </c>
      <c r="F13411" t="s">
        <v>26</v>
      </c>
      <c r="G13411" t="s">
        <v>20</v>
      </c>
    </row>
    <row r="13412" spans="1:7" x14ac:dyDescent="0.35">
      <c r="A13412">
        <v>5331</v>
      </c>
      <c r="B13412" s="1">
        <v>45933</v>
      </c>
      <c r="C13412" t="s">
        <v>25</v>
      </c>
      <c r="D13412" s="2">
        <v>203.59</v>
      </c>
      <c r="E13412" s="2">
        <v>0</v>
      </c>
      <c r="F13412" t="s">
        <v>27</v>
      </c>
      <c r="G13412" t="s">
        <v>9</v>
      </c>
    </row>
    <row r="13413" spans="1:7" x14ac:dyDescent="0.35">
      <c r="A13413">
        <v>5331</v>
      </c>
      <c r="B13413" s="1">
        <v>45933</v>
      </c>
      <c r="C13413" t="s">
        <v>25</v>
      </c>
      <c r="D13413" s="2">
        <v>0</v>
      </c>
      <c r="E13413" s="2">
        <v>2918.17</v>
      </c>
      <c r="F13413" t="s">
        <v>28</v>
      </c>
      <c r="G13413" t="s">
        <v>17</v>
      </c>
    </row>
    <row r="13414" spans="1:7" x14ac:dyDescent="0.35">
      <c r="A13414">
        <v>5332</v>
      </c>
      <c r="B13414" s="1">
        <v>45933</v>
      </c>
      <c r="C13414" t="s">
        <v>25</v>
      </c>
      <c r="D13414" s="2">
        <v>1643.22</v>
      </c>
      <c r="E13414" s="2">
        <v>0</v>
      </c>
      <c r="F13414" t="s">
        <v>26</v>
      </c>
      <c r="G13414" t="s">
        <v>20</v>
      </c>
    </row>
    <row r="13415" spans="1:7" x14ac:dyDescent="0.35">
      <c r="A13415">
        <v>5332</v>
      </c>
      <c r="B13415" s="1">
        <v>45933</v>
      </c>
      <c r="C13415" t="s">
        <v>25</v>
      </c>
      <c r="D13415" s="2">
        <v>123.24</v>
      </c>
      <c r="E13415" s="2">
        <v>0</v>
      </c>
      <c r="F13415" t="s">
        <v>27</v>
      </c>
      <c r="G13415" t="s">
        <v>9</v>
      </c>
    </row>
    <row r="13416" spans="1:7" x14ac:dyDescent="0.35">
      <c r="A13416">
        <v>5332</v>
      </c>
      <c r="B13416" s="1">
        <v>45933</v>
      </c>
      <c r="C13416" t="s">
        <v>25</v>
      </c>
      <c r="D13416" s="2">
        <v>0</v>
      </c>
      <c r="E13416" s="2">
        <v>1766.46</v>
      </c>
      <c r="F13416" t="s">
        <v>28</v>
      </c>
      <c r="G13416" t="s">
        <v>17</v>
      </c>
    </row>
    <row r="13417" spans="1:7" x14ac:dyDescent="0.35">
      <c r="A13417">
        <v>5333</v>
      </c>
      <c r="B13417" s="1">
        <v>45933</v>
      </c>
      <c r="C13417" t="s">
        <v>29</v>
      </c>
      <c r="D13417" s="2">
        <v>412.54</v>
      </c>
      <c r="E13417" s="2">
        <v>0</v>
      </c>
      <c r="F13417" t="s">
        <v>28</v>
      </c>
      <c r="G13417" t="s">
        <v>17</v>
      </c>
    </row>
    <row r="13418" spans="1:7" x14ac:dyDescent="0.35">
      <c r="A13418">
        <v>5333</v>
      </c>
      <c r="B13418" s="1">
        <v>45933</v>
      </c>
      <c r="C13418" t="s">
        <v>29</v>
      </c>
      <c r="D13418" s="2">
        <v>0</v>
      </c>
      <c r="E13418" s="2">
        <v>412.54</v>
      </c>
      <c r="F13418" t="s">
        <v>8</v>
      </c>
      <c r="G13418" t="s">
        <v>9</v>
      </c>
    </row>
    <row r="13419" spans="1:7" x14ac:dyDescent="0.35">
      <c r="A13419">
        <v>5334</v>
      </c>
      <c r="B13419" s="1">
        <v>45936</v>
      </c>
      <c r="C13419" t="s">
        <v>12</v>
      </c>
      <c r="D13419" s="2">
        <v>1486.95</v>
      </c>
      <c r="E13419" s="2">
        <v>0</v>
      </c>
      <c r="F13419" t="s">
        <v>13</v>
      </c>
      <c r="G13419" t="s">
        <v>9</v>
      </c>
    </row>
    <row r="13420" spans="1:7" x14ac:dyDescent="0.35">
      <c r="A13420">
        <v>5334</v>
      </c>
      <c r="B13420" s="1">
        <v>45936</v>
      </c>
      <c r="C13420" t="s">
        <v>12</v>
      </c>
      <c r="D13420" s="2">
        <v>0</v>
      </c>
      <c r="E13420" s="2">
        <v>1383.21</v>
      </c>
      <c r="F13420" t="s">
        <v>14</v>
      </c>
      <c r="G13420" t="s">
        <v>15</v>
      </c>
    </row>
    <row r="13421" spans="1:7" x14ac:dyDescent="0.35">
      <c r="A13421">
        <v>5334</v>
      </c>
      <c r="B13421" s="1">
        <v>45936</v>
      </c>
      <c r="C13421" t="s">
        <v>12</v>
      </c>
      <c r="D13421" s="2">
        <v>0</v>
      </c>
      <c r="E13421" s="2">
        <v>103.74</v>
      </c>
      <c r="F13421" t="s">
        <v>16</v>
      </c>
      <c r="G13421" t="s">
        <v>17</v>
      </c>
    </row>
    <row r="13422" spans="1:7" x14ac:dyDescent="0.35">
      <c r="A13422">
        <v>5335</v>
      </c>
      <c r="B13422" s="1">
        <v>45936</v>
      </c>
      <c r="C13422" t="s">
        <v>12</v>
      </c>
      <c r="D13422" s="2">
        <v>1636.82</v>
      </c>
      <c r="E13422" s="2">
        <v>0</v>
      </c>
      <c r="F13422" t="s">
        <v>13</v>
      </c>
      <c r="G13422" t="s">
        <v>9</v>
      </c>
    </row>
    <row r="13423" spans="1:7" x14ac:dyDescent="0.35">
      <c r="A13423">
        <v>5335</v>
      </c>
      <c r="B13423" s="1">
        <v>45936</v>
      </c>
      <c r="C13423" t="s">
        <v>12</v>
      </c>
      <c r="D13423" s="2">
        <v>0</v>
      </c>
      <c r="E13423" s="2">
        <v>1522.62</v>
      </c>
      <c r="F13423" t="s">
        <v>14</v>
      </c>
      <c r="G13423" t="s">
        <v>15</v>
      </c>
    </row>
    <row r="13424" spans="1:7" x14ac:dyDescent="0.35">
      <c r="A13424">
        <v>5335</v>
      </c>
      <c r="B13424" s="1">
        <v>45936</v>
      </c>
      <c r="C13424" t="s">
        <v>12</v>
      </c>
      <c r="D13424" s="2">
        <v>0</v>
      </c>
      <c r="E13424" s="2">
        <v>114.2</v>
      </c>
      <c r="F13424" t="s">
        <v>16</v>
      </c>
      <c r="G13424" t="s">
        <v>17</v>
      </c>
    </row>
    <row r="13425" spans="1:7" x14ac:dyDescent="0.35">
      <c r="A13425">
        <v>5336</v>
      </c>
      <c r="B13425" s="1">
        <v>45936</v>
      </c>
      <c r="C13425" t="s">
        <v>12</v>
      </c>
      <c r="D13425" s="2">
        <v>1548.13</v>
      </c>
      <c r="E13425" s="2">
        <v>0</v>
      </c>
      <c r="F13425" t="s">
        <v>13</v>
      </c>
      <c r="G13425" t="s">
        <v>9</v>
      </c>
    </row>
    <row r="13426" spans="1:7" x14ac:dyDescent="0.35">
      <c r="A13426">
        <v>5336</v>
      </c>
      <c r="B13426" s="1">
        <v>45936</v>
      </c>
      <c r="C13426" t="s">
        <v>12</v>
      </c>
      <c r="D13426" s="2">
        <v>0</v>
      </c>
      <c r="E13426" s="2">
        <v>1440.13</v>
      </c>
      <c r="F13426" t="s">
        <v>14</v>
      </c>
      <c r="G13426" t="s">
        <v>15</v>
      </c>
    </row>
    <row r="13427" spans="1:7" x14ac:dyDescent="0.35">
      <c r="A13427">
        <v>5336</v>
      </c>
      <c r="B13427" s="1">
        <v>45936</v>
      </c>
      <c r="C13427" t="s">
        <v>12</v>
      </c>
      <c r="D13427" s="2">
        <v>0</v>
      </c>
      <c r="E13427" s="2">
        <v>108</v>
      </c>
      <c r="F13427" t="s">
        <v>16</v>
      </c>
      <c r="G13427" t="s">
        <v>17</v>
      </c>
    </row>
    <row r="13428" spans="1:7" x14ac:dyDescent="0.35">
      <c r="A13428">
        <v>5337</v>
      </c>
      <c r="B13428" s="1">
        <v>45936</v>
      </c>
      <c r="C13428" t="s">
        <v>12</v>
      </c>
      <c r="D13428" s="2">
        <v>5150.54</v>
      </c>
      <c r="E13428" s="2">
        <v>0</v>
      </c>
      <c r="F13428" t="s">
        <v>13</v>
      </c>
      <c r="G13428" t="s">
        <v>9</v>
      </c>
    </row>
    <row r="13429" spans="1:7" x14ac:dyDescent="0.35">
      <c r="A13429">
        <v>5337</v>
      </c>
      <c r="B13429" s="1">
        <v>45936</v>
      </c>
      <c r="C13429" t="s">
        <v>12</v>
      </c>
      <c r="D13429" s="2">
        <v>0</v>
      </c>
      <c r="E13429" s="2">
        <v>4791.2</v>
      </c>
      <c r="F13429" t="s">
        <v>14</v>
      </c>
      <c r="G13429" t="s">
        <v>15</v>
      </c>
    </row>
    <row r="13430" spans="1:7" x14ac:dyDescent="0.35">
      <c r="A13430">
        <v>5337</v>
      </c>
      <c r="B13430" s="1">
        <v>45936</v>
      </c>
      <c r="C13430" t="s">
        <v>12</v>
      </c>
      <c r="D13430" s="2">
        <v>0</v>
      </c>
      <c r="E13430" s="2">
        <v>359.34</v>
      </c>
      <c r="F13430" t="s">
        <v>16</v>
      </c>
      <c r="G13430" t="s">
        <v>17</v>
      </c>
    </row>
    <row r="13431" spans="1:7" x14ac:dyDescent="0.35">
      <c r="A13431">
        <v>5338</v>
      </c>
      <c r="B13431" s="1">
        <v>45936</v>
      </c>
      <c r="C13431" t="s">
        <v>12</v>
      </c>
      <c r="D13431" s="2">
        <v>2763.11</v>
      </c>
      <c r="E13431" s="2">
        <v>0</v>
      </c>
      <c r="F13431" t="s">
        <v>13</v>
      </c>
      <c r="G13431" t="s">
        <v>9</v>
      </c>
    </row>
    <row r="13432" spans="1:7" x14ac:dyDescent="0.35">
      <c r="A13432">
        <v>5338</v>
      </c>
      <c r="B13432" s="1">
        <v>45936</v>
      </c>
      <c r="C13432" t="s">
        <v>12</v>
      </c>
      <c r="D13432" s="2">
        <v>0</v>
      </c>
      <c r="E13432" s="2">
        <v>2570.34</v>
      </c>
      <c r="F13432" t="s">
        <v>14</v>
      </c>
      <c r="G13432" t="s">
        <v>15</v>
      </c>
    </row>
    <row r="13433" spans="1:7" x14ac:dyDescent="0.35">
      <c r="A13433">
        <v>5338</v>
      </c>
      <c r="B13433" s="1">
        <v>45936</v>
      </c>
      <c r="C13433" t="s">
        <v>12</v>
      </c>
      <c r="D13433" s="2">
        <v>0</v>
      </c>
      <c r="E13433" s="2">
        <v>192.77</v>
      </c>
      <c r="F13433" t="s">
        <v>16</v>
      </c>
      <c r="G13433" t="s">
        <v>17</v>
      </c>
    </row>
    <row r="13434" spans="1:7" x14ac:dyDescent="0.35">
      <c r="A13434">
        <v>5339</v>
      </c>
      <c r="B13434" s="1">
        <v>45936</v>
      </c>
      <c r="C13434" t="s">
        <v>12</v>
      </c>
      <c r="D13434" s="2">
        <v>1613.46</v>
      </c>
      <c r="E13434" s="2">
        <v>0</v>
      </c>
      <c r="F13434" t="s">
        <v>13</v>
      </c>
      <c r="G13434" t="s">
        <v>9</v>
      </c>
    </row>
    <row r="13435" spans="1:7" x14ac:dyDescent="0.35">
      <c r="A13435">
        <v>5339</v>
      </c>
      <c r="B13435" s="1">
        <v>45936</v>
      </c>
      <c r="C13435" t="s">
        <v>12</v>
      </c>
      <c r="D13435" s="2">
        <v>0</v>
      </c>
      <c r="E13435" s="2">
        <v>1500.89</v>
      </c>
      <c r="F13435" t="s">
        <v>14</v>
      </c>
      <c r="G13435" t="s">
        <v>15</v>
      </c>
    </row>
    <row r="13436" spans="1:7" x14ac:dyDescent="0.35">
      <c r="A13436">
        <v>5339</v>
      </c>
      <c r="B13436" s="1">
        <v>45936</v>
      </c>
      <c r="C13436" t="s">
        <v>12</v>
      </c>
      <c r="D13436" s="2">
        <v>0</v>
      </c>
      <c r="E13436" s="2">
        <v>112.57</v>
      </c>
      <c r="F13436" t="s">
        <v>16</v>
      </c>
      <c r="G13436" t="s">
        <v>17</v>
      </c>
    </row>
    <row r="13437" spans="1:7" x14ac:dyDescent="0.35">
      <c r="A13437">
        <v>5340</v>
      </c>
      <c r="B13437" s="1">
        <v>45936</v>
      </c>
      <c r="C13437" t="s">
        <v>12</v>
      </c>
      <c r="D13437" s="2">
        <v>350.49</v>
      </c>
      <c r="E13437" s="2">
        <v>0</v>
      </c>
      <c r="F13437" t="s">
        <v>13</v>
      </c>
      <c r="G13437" t="s">
        <v>9</v>
      </c>
    </row>
    <row r="13438" spans="1:7" x14ac:dyDescent="0.35">
      <c r="A13438">
        <v>5340</v>
      </c>
      <c r="B13438" s="1">
        <v>45936</v>
      </c>
      <c r="C13438" t="s">
        <v>12</v>
      </c>
      <c r="D13438" s="2">
        <v>0</v>
      </c>
      <c r="E13438" s="2">
        <v>326.04000000000002</v>
      </c>
      <c r="F13438" t="s">
        <v>14</v>
      </c>
      <c r="G13438" t="s">
        <v>15</v>
      </c>
    </row>
    <row r="13439" spans="1:7" x14ac:dyDescent="0.35">
      <c r="A13439">
        <v>5340</v>
      </c>
      <c r="B13439" s="1">
        <v>45936</v>
      </c>
      <c r="C13439" t="s">
        <v>12</v>
      </c>
      <c r="D13439" s="2">
        <v>0</v>
      </c>
      <c r="E13439" s="2">
        <v>24.45</v>
      </c>
      <c r="F13439" t="s">
        <v>16</v>
      </c>
      <c r="G13439" t="s">
        <v>17</v>
      </c>
    </row>
    <row r="13440" spans="1:7" x14ac:dyDescent="0.35">
      <c r="A13440">
        <v>5341</v>
      </c>
      <c r="B13440" s="1">
        <v>45936</v>
      </c>
      <c r="C13440" t="s">
        <v>24</v>
      </c>
      <c r="D13440" s="2">
        <v>3744.48</v>
      </c>
      <c r="E13440" s="2">
        <v>0</v>
      </c>
      <c r="F13440" t="s">
        <v>8</v>
      </c>
      <c r="G13440" t="s">
        <v>9</v>
      </c>
    </row>
    <row r="13441" spans="1:7" x14ac:dyDescent="0.35">
      <c r="A13441">
        <v>5341</v>
      </c>
      <c r="B13441" s="1">
        <v>45936</v>
      </c>
      <c r="C13441" t="s">
        <v>24</v>
      </c>
      <c r="D13441" s="2">
        <v>0</v>
      </c>
      <c r="E13441" s="2">
        <v>3744.48</v>
      </c>
      <c r="F13441" t="s">
        <v>13</v>
      </c>
      <c r="G13441" t="s">
        <v>9</v>
      </c>
    </row>
    <row r="13442" spans="1:7" x14ac:dyDescent="0.35">
      <c r="A13442">
        <v>5342</v>
      </c>
      <c r="B13442" s="1">
        <v>45936</v>
      </c>
      <c r="C13442" t="s">
        <v>24</v>
      </c>
      <c r="D13442" s="2">
        <v>852.99</v>
      </c>
      <c r="E13442" s="2">
        <v>0</v>
      </c>
      <c r="F13442" t="s">
        <v>8</v>
      </c>
      <c r="G13442" t="s">
        <v>9</v>
      </c>
    </row>
    <row r="13443" spans="1:7" x14ac:dyDescent="0.35">
      <c r="A13443">
        <v>5342</v>
      </c>
      <c r="B13443" s="1">
        <v>45936</v>
      </c>
      <c r="C13443" t="s">
        <v>24</v>
      </c>
      <c r="D13443" s="2">
        <v>0</v>
      </c>
      <c r="E13443" s="2">
        <v>852.99</v>
      </c>
      <c r="F13443" t="s">
        <v>13</v>
      </c>
      <c r="G13443" t="s">
        <v>9</v>
      </c>
    </row>
    <row r="13444" spans="1:7" x14ac:dyDescent="0.35">
      <c r="A13444">
        <v>5343</v>
      </c>
      <c r="B13444" s="1">
        <v>45936</v>
      </c>
      <c r="C13444" t="s">
        <v>24</v>
      </c>
      <c r="D13444" s="2">
        <v>1370.64</v>
      </c>
      <c r="E13444" s="2">
        <v>0</v>
      </c>
      <c r="F13444" t="s">
        <v>8</v>
      </c>
      <c r="G13444" t="s">
        <v>9</v>
      </c>
    </row>
    <row r="13445" spans="1:7" x14ac:dyDescent="0.35">
      <c r="A13445">
        <v>5343</v>
      </c>
      <c r="B13445" s="1">
        <v>45936</v>
      </c>
      <c r="C13445" t="s">
        <v>24</v>
      </c>
      <c r="D13445" s="2">
        <v>0</v>
      </c>
      <c r="E13445" s="2">
        <v>1370.64</v>
      </c>
      <c r="F13445" t="s">
        <v>13</v>
      </c>
      <c r="G13445" t="s">
        <v>9</v>
      </c>
    </row>
    <row r="13446" spans="1:7" x14ac:dyDescent="0.35">
      <c r="A13446">
        <v>5344</v>
      </c>
      <c r="B13446" s="1">
        <v>45936</v>
      </c>
      <c r="C13446" t="s">
        <v>24</v>
      </c>
      <c r="D13446" s="2">
        <v>4217.7</v>
      </c>
      <c r="E13446" s="2">
        <v>0</v>
      </c>
      <c r="F13446" t="s">
        <v>8</v>
      </c>
      <c r="G13446" t="s">
        <v>9</v>
      </c>
    </row>
    <row r="13447" spans="1:7" x14ac:dyDescent="0.35">
      <c r="A13447">
        <v>5344</v>
      </c>
      <c r="B13447" s="1">
        <v>45936</v>
      </c>
      <c r="C13447" t="s">
        <v>24</v>
      </c>
      <c r="D13447" s="2">
        <v>0</v>
      </c>
      <c r="E13447" s="2">
        <v>4217.7</v>
      </c>
      <c r="F13447" t="s">
        <v>13</v>
      </c>
      <c r="G13447" t="s">
        <v>9</v>
      </c>
    </row>
    <row r="13448" spans="1:7" x14ac:dyDescent="0.35">
      <c r="A13448">
        <v>5345</v>
      </c>
      <c r="B13448" s="1">
        <v>45936</v>
      </c>
      <c r="C13448" t="s">
        <v>24</v>
      </c>
      <c r="D13448" s="2">
        <v>914.87</v>
      </c>
      <c r="E13448" s="2">
        <v>0</v>
      </c>
      <c r="F13448" t="s">
        <v>8</v>
      </c>
      <c r="G13448" t="s">
        <v>9</v>
      </c>
    </row>
    <row r="13449" spans="1:7" x14ac:dyDescent="0.35">
      <c r="A13449">
        <v>5345</v>
      </c>
      <c r="B13449" s="1">
        <v>45936</v>
      </c>
      <c r="C13449" t="s">
        <v>24</v>
      </c>
      <c r="D13449" s="2">
        <v>0</v>
      </c>
      <c r="E13449" s="2">
        <v>914.87</v>
      </c>
      <c r="F13449" t="s">
        <v>13</v>
      </c>
      <c r="G13449" t="s">
        <v>9</v>
      </c>
    </row>
    <row r="13450" spans="1:7" x14ac:dyDescent="0.35">
      <c r="A13450">
        <v>5346</v>
      </c>
      <c r="B13450" s="1">
        <v>45936</v>
      </c>
      <c r="C13450" t="s">
        <v>25</v>
      </c>
      <c r="D13450" s="2">
        <v>4476.71</v>
      </c>
      <c r="E13450" s="2">
        <v>0</v>
      </c>
      <c r="F13450" t="s">
        <v>26</v>
      </c>
      <c r="G13450" t="s">
        <v>20</v>
      </c>
    </row>
    <row r="13451" spans="1:7" x14ac:dyDescent="0.35">
      <c r="A13451">
        <v>5346</v>
      </c>
      <c r="B13451" s="1">
        <v>45936</v>
      </c>
      <c r="C13451" t="s">
        <v>25</v>
      </c>
      <c r="D13451" s="2">
        <v>335.75</v>
      </c>
      <c r="E13451" s="2">
        <v>0</v>
      </c>
      <c r="F13451" t="s">
        <v>27</v>
      </c>
      <c r="G13451" t="s">
        <v>9</v>
      </c>
    </row>
    <row r="13452" spans="1:7" x14ac:dyDescent="0.35">
      <c r="A13452">
        <v>5346</v>
      </c>
      <c r="B13452" s="1">
        <v>45936</v>
      </c>
      <c r="C13452" t="s">
        <v>25</v>
      </c>
      <c r="D13452" s="2">
        <v>0</v>
      </c>
      <c r="E13452" s="2">
        <v>4812.46</v>
      </c>
      <c r="F13452" t="s">
        <v>28</v>
      </c>
      <c r="G13452" t="s">
        <v>17</v>
      </c>
    </row>
    <row r="13453" spans="1:7" x14ac:dyDescent="0.35">
      <c r="A13453">
        <v>5347</v>
      </c>
      <c r="B13453" s="1">
        <v>45936</v>
      </c>
      <c r="C13453" t="s">
        <v>25</v>
      </c>
      <c r="D13453" s="2">
        <v>1078.92</v>
      </c>
      <c r="E13453" s="2">
        <v>0</v>
      </c>
      <c r="F13453" t="s">
        <v>26</v>
      </c>
      <c r="G13453" t="s">
        <v>20</v>
      </c>
    </row>
    <row r="13454" spans="1:7" x14ac:dyDescent="0.35">
      <c r="A13454">
        <v>5347</v>
      </c>
      <c r="B13454" s="1">
        <v>45936</v>
      </c>
      <c r="C13454" t="s">
        <v>25</v>
      </c>
      <c r="D13454" s="2">
        <v>80.92</v>
      </c>
      <c r="E13454" s="2">
        <v>0</v>
      </c>
      <c r="F13454" t="s">
        <v>27</v>
      </c>
      <c r="G13454" t="s">
        <v>9</v>
      </c>
    </row>
    <row r="13455" spans="1:7" x14ac:dyDescent="0.35">
      <c r="A13455">
        <v>5347</v>
      </c>
      <c r="B13455" s="1">
        <v>45936</v>
      </c>
      <c r="C13455" t="s">
        <v>25</v>
      </c>
      <c r="D13455" s="2">
        <v>0</v>
      </c>
      <c r="E13455" s="2">
        <v>1159.8399999999999</v>
      </c>
      <c r="F13455" t="s">
        <v>28</v>
      </c>
      <c r="G13455" t="s">
        <v>17</v>
      </c>
    </row>
    <row r="13456" spans="1:7" x14ac:dyDescent="0.35">
      <c r="A13456">
        <v>5348</v>
      </c>
      <c r="B13456" s="1">
        <v>45936</v>
      </c>
      <c r="C13456" t="s">
        <v>25</v>
      </c>
      <c r="D13456" s="2">
        <v>257.04000000000002</v>
      </c>
      <c r="E13456" s="2">
        <v>0</v>
      </c>
      <c r="F13456" t="s">
        <v>26</v>
      </c>
      <c r="G13456" t="s">
        <v>20</v>
      </c>
    </row>
    <row r="13457" spans="1:7" x14ac:dyDescent="0.35">
      <c r="A13457">
        <v>5348</v>
      </c>
      <c r="B13457" s="1">
        <v>45936</v>
      </c>
      <c r="C13457" t="s">
        <v>25</v>
      </c>
      <c r="D13457" s="2">
        <v>19.28</v>
      </c>
      <c r="E13457" s="2">
        <v>0</v>
      </c>
      <c r="F13457" t="s">
        <v>27</v>
      </c>
      <c r="G13457" t="s">
        <v>9</v>
      </c>
    </row>
    <row r="13458" spans="1:7" x14ac:dyDescent="0.35">
      <c r="A13458">
        <v>5348</v>
      </c>
      <c r="B13458" s="1">
        <v>45936</v>
      </c>
      <c r="C13458" t="s">
        <v>25</v>
      </c>
      <c r="D13458" s="2">
        <v>0</v>
      </c>
      <c r="E13458" s="2">
        <v>276.32</v>
      </c>
      <c r="F13458" t="s">
        <v>28</v>
      </c>
      <c r="G13458" t="s">
        <v>17</v>
      </c>
    </row>
    <row r="13459" spans="1:7" x14ac:dyDescent="0.35">
      <c r="A13459">
        <v>5349</v>
      </c>
      <c r="B13459" s="1">
        <v>45936</v>
      </c>
      <c r="C13459" t="s">
        <v>25</v>
      </c>
      <c r="D13459" s="2">
        <v>2329.52</v>
      </c>
      <c r="E13459" s="2">
        <v>0</v>
      </c>
      <c r="F13459" t="s">
        <v>26</v>
      </c>
      <c r="G13459" t="s">
        <v>20</v>
      </c>
    </row>
    <row r="13460" spans="1:7" x14ac:dyDescent="0.35">
      <c r="A13460">
        <v>5349</v>
      </c>
      <c r="B13460" s="1">
        <v>45936</v>
      </c>
      <c r="C13460" t="s">
        <v>25</v>
      </c>
      <c r="D13460" s="2">
        <v>174.71</v>
      </c>
      <c r="E13460" s="2">
        <v>0</v>
      </c>
      <c r="F13460" t="s">
        <v>27</v>
      </c>
      <c r="G13460" t="s">
        <v>9</v>
      </c>
    </row>
    <row r="13461" spans="1:7" x14ac:dyDescent="0.35">
      <c r="A13461">
        <v>5349</v>
      </c>
      <c r="B13461" s="1">
        <v>45936</v>
      </c>
      <c r="C13461" t="s">
        <v>25</v>
      </c>
      <c r="D13461" s="2">
        <v>0</v>
      </c>
      <c r="E13461" s="2">
        <v>2504.23</v>
      </c>
      <c r="F13461" t="s">
        <v>28</v>
      </c>
      <c r="G13461" t="s">
        <v>17</v>
      </c>
    </row>
    <row r="13462" spans="1:7" x14ac:dyDescent="0.35">
      <c r="A13462">
        <v>5350</v>
      </c>
      <c r="B13462" s="1">
        <v>45936</v>
      </c>
      <c r="C13462" t="s">
        <v>25</v>
      </c>
      <c r="D13462" s="2">
        <v>512</v>
      </c>
      <c r="E13462" s="2">
        <v>0</v>
      </c>
      <c r="F13462" t="s">
        <v>26</v>
      </c>
      <c r="G13462" t="s">
        <v>20</v>
      </c>
    </row>
    <row r="13463" spans="1:7" x14ac:dyDescent="0.35">
      <c r="A13463">
        <v>5350</v>
      </c>
      <c r="B13463" s="1">
        <v>45936</v>
      </c>
      <c r="C13463" t="s">
        <v>25</v>
      </c>
      <c r="D13463" s="2">
        <v>38.4</v>
      </c>
      <c r="E13463" s="2">
        <v>0</v>
      </c>
      <c r="F13463" t="s">
        <v>27</v>
      </c>
      <c r="G13463" t="s">
        <v>9</v>
      </c>
    </row>
    <row r="13464" spans="1:7" x14ac:dyDescent="0.35">
      <c r="A13464">
        <v>5350</v>
      </c>
      <c r="B13464" s="1">
        <v>45936</v>
      </c>
      <c r="C13464" t="s">
        <v>25</v>
      </c>
      <c r="D13464" s="2">
        <v>0</v>
      </c>
      <c r="E13464" s="2">
        <v>550.4</v>
      </c>
      <c r="F13464" t="s">
        <v>28</v>
      </c>
      <c r="G13464" t="s">
        <v>17</v>
      </c>
    </row>
    <row r="13465" spans="1:7" x14ac:dyDescent="0.35">
      <c r="A13465">
        <v>5351</v>
      </c>
      <c r="B13465" s="1">
        <v>45936</v>
      </c>
      <c r="C13465" t="s">
        <v>25</v>
      </c>
      <c r="D13465" s="2">
        <v>696.06</v>
      </c>
      <c r="E13465" s="2">
        <v>0</v>
      </c>
      <c r="F13465" t="s">
        <v>26</v>
      </c>
      <c r="G13465" t="s">
        <v>20</v>
      </c>
    </row>
    <row r="13466" spans="1:7" x14ac:dyDescent="0.35">
      <c r="A13466">
        <v>5351</v>
      </c>
      <c r="B13466" s="1">
        <v>45936</v>
      </c>
      <c r="C13466" t="s">
        <v>25</v>
      </c>
      <c r="D13466" s="2">
        <v>52.2</v>
      </c>
      <c r="E13466" s="2">
        <v>0</v>
      </c>
      <c r="F13466" t="s">
        <v>27</v>
      </c>
      <c r="G13466" t="s">
        <v>9</v>
      </c>
    </row>
    <row r="13467" spans="1:7" x14ac:dyDescent="0.35">
      <c r="A13467">
        <v>5351</v>
      </c>
      <c r="B13467" s="1">
        <v>45936</v>
      </c>
      <c r="C13467" t="s">
        <v>25</v>
      </c>
      <c r="D13467" s="2">
        <v>0</v>
      </c>
      <c r="E13467" s="2">
        <v>748.26</v>
      </c>
      <c r="F13467" t="s">
        <v>28</v>
      </c>
      <c r="G13467" t="s">
        <v>17</v>
      </c>
    </row>
    <row r="13468" spans="1:7" x14ac:dyDescent="0.35">
      <c r="A13468">
        <v>5352</v>
      </c>
      <c r="B13468" s="1">
        <v>45936</v>
      </c>
      <c r="C13468" t="s">
        <v>25</v>
      </c>
      <c r="D13468" s="2">
        <v>383.76</v>
      </c>
      <c r="E13468" s="2">
        <v>0</v>
      </c>
      <c r="F13468" t="s">
        <v>26</v>
      </c>
      <c r="G13468" t="s">
        <v>20</v>
      </c>
    </row>
    <row r="13469" spans="1:7" x14ac:dyDescent="0.35">
      <c r="A13469">
        <v>5352</v>
      </c>
      <c r="B13469" s="1">
        <v>45936</v>
      </c>
      <c r="C13469" t="s">
        <v>25</v>
      </c>
      <c r="D13469" s="2">
        <v>28.78</v>
      </c>
      <c r="E13469" s="2">
        <v>0</v>
      </c>
      <c r="F13469" t="s">
        <v>27</v>
      </c>
      <c r="G13469" t="s">
        <v>9</v>
      </c>
    </row>
    <row r="13470" spans="1:7" x14ac:dyDescent="0.35">
      <c r="A13470">
        <v>5352</v>
      </c>
      <c r="B13470" s="1">
        <v>45936</v>
      </c>
      <c r="C13470" t="s">
        <v>25</v>
      </c>
      <c r="D13470" s="2">
        <v>0</v>
      </c>
      <c r="E13470" s="2">
        <v>412.54</v>
      </c>
      <c r="F13470" t="s">
        <v>28</v>
      </c>
      <c r="G13470" t="s">
        <v>17</v>
      </c>
    </row>
    <row r="13471" spans="1:7" x14ac:dyDescent="0.35">
      <c r="A13471">
        <v>5353</v>
      </c>
      <c r="B13471" s="1">
        <v>45936</v>
      </c>
      <c r="C13471" t="s">
        <v>25</v>
      </c>
      <c r="D13471" s="2">
        <v>187.44</v>
      </c>
      <c r="E13471" s="2">
        <v>0</v>
      </c>
      <c r="F13471" t="s">
        <v>26</v>
      </c>
      <c r="G13471" t="s">
        <v>20</v>
      </c>
    </row>
    <row r="13472" spans="1:7" x14ac:dyDescent="0.35">
      <c r="A13472">
        <v>5353</v>
      </c>
      <c r="B13472" s="1">
        <v>45936</v>
      </c>
      <c r="C13472" t="s">
        <v>25</v>
      </c>
      <c r="D13472" s="2">
        <v>14.06</v>
      </c>
      <c r="E13472" s="2">
        <v>0</v>
      </c>
      <c r="F13472" t="s">
        <v>27</v>
      </c>
      <c r="G13472" t="s">
        <v>9</v>
      </c>
    </row>
    <row r="13473" spans="1:7" x14ac:dyDescent="0.35">
      <c r="A13473">
        <v>5353</v>
      </c>
      <c r="B13473" s="1">
        <v>45936</v>
      </c>
      <c r="C13473" t="s">
        <v>25</v>
      </c>
      <c r="D13473" s="2">
        <v>0</v>
      </c>
      <c r="E13473" s="2">
        <v>201.5</v>
      </c>
      <c r="F13473" t="s">
        <v>28</v>
      </c>
      <c r="G13473" t="s">
        <v>17</v>
      </c>
    </row>
    <row r="13474" spans="1:7" x14ac:dyDescent="0.35">
      <c r="A13474">
        <v>5354</v>
      </c>
      <c r="B13474" s="1">
        <v>45936</v>
      </c>
      <c r="C13474" t="s">
        <v>29</v>
      </c>
      <c r="D13474" s="2">
        <v>550.4</v>
      </c>
      <c r="E13474" s="2">
        <v>0</v>
      </c>
      <c r="F13474" t="s">
        <v>28</v>
      </c>
      <c r="G13474" t="s">
        <v>17</v>
      </c>
    </row>
    <row r="13475" spans="1:7" x14ac:dyDescent="0.35">
      <c r="A13475">
        <v>5354</v>
      </c>
      <c r="B13475" s="1">
        <v>45936</v>
      </c>
      <c r="C13475" t="s">
        <v>29</v>
      </c>
      <c r="D13475" s="2">
        <v>0</v>
      </c>
      <c r="E13475" s="2">
        <v>550.4</v>
      </c>
      <c r="F13475" t="s">
        <v>8</v>
      </c>
      <c r="G13475" t="s">
        <v>9</v>
      </c>
    </row>
    <row r="13476" spans="1:7" x14ac:dyDescent="0.35">
      <c r="A13476">
        <v>5355</v>
      </c>
      <c r="B13476" s="1">
        <v>45936</v>
      </c>
      <c r="C13476" t="s">
        <v>29</v>
      </c>
      <c r="D13476" s="2">
        <v>748.26</v>
      </c>
      <c r="E13476" s="2">
        <v>0</v>
      </c>
      <c r="F13476" t="s">
        <v>28</v>
      </c>
      <c r="G13476" t="s">
        <v>17</v>
      </c>
    </row>
    <row r="13477" spans="1:7" x14ac:dyDescent="0.35">
      <c r="A13477">
        <v>5355</v>
      </c>
      <c r="B13477" s="1">
        <v>45936</v>
      </c>
      <c r="C13477" t="s">
        <v>29</v>
      </c>
      <c r="D13477" s="2">
        <v>0</v>
      </c>
      <c r="E13477" s="2">
        <v>748.26</v>
      </c>
      <c r="F13477" t="s">
        <v>8</v>
      </c>
      <c r="G13477" t="s">
        <v>9</v>
      </c>
    </row>
    <row r="13478" spans="1:7" x14ac:dyDescent="0.35">
      <c r="A13478">
        <v>5356</v>
      </c>
      <c r="B13478" s="1">
        <v>45936</v>
      </c>
      <c r="C13478" t="s">
        <v>29</v>
      </c>
      <c r="D13478" s="2">
        <v>862.91</v>
      </c>
      <c r="E13478" s="2">
        <v>0</v>
      </c>
      <c r="F13478" t="s">
        <v>28</v>
      </c>
      <c r="G13478" t="s">
        <v>17</v>
      </c>
    </row>
    <row r="13479" spans="1:7" x14ac:dyDescent="0.35">
      <c r="A13479">
        <v>5356</v>
      </c>
      <c r="B13479" s="1">
        <v>45936</v>
      </c>
      <c r="C13479" t="s">
        <v>29</v>
      </c>
      <c r="D13479" s="2">
        <v>0</v>
      </c>
      <c r="E13479" s="2">
        <v>862.91</v>
      </c>
      <c r="F13479" t="s">
        <v>8</v>
      </c>
      <c r="G13479" t="s">
        <v>9</v>
      </c>
    </row>
    <row r="13480" spans="1:7" x14ac:dyDescent="0.35">
      <c r="A13480">
        <v>5357</v>
      </c>
      <c r="B13480" s="1">
        <v>45936</v>
      </c>
      <c r="C13480" t="s">
        <v>29</v>
      </c>
      <c r="D13480" s="2">
        <v>2635.36</v>
      </c>
      <c r="E13480" s="2">
        <v>0</v>
      </c>
      <c r="F13480" t="s">
        <v>28</v>
      </c>
      <c r="G13480" t="s">
        <v>17</v>
      </c>
    </row>
    <row r="13481" spans="1:7" x14ac:dyDescent="0.35">
      <c r="A13481">
        <v>5357</v>
      </c>
      <c r="B13481" s="1">
        <v>45936</v>
      </c>
      <c r="C13481" t="s">
        <v>29</v>
      </c>
      <c r="D13481" s="2">
        <v>0</v>
      </c>
      <c r="E13481" s="2">
        <v>2635.36</v>
      </c>
      <c r="F13481" t="s">
        <v>8</v>
      </c>
      <c r="G13481" t="s">
        <v>9</v>
      </c>
    </row>
    <row r="13482" spans="1:7" x14ac:dyDescent="0.35">
      <c r="A13482">
        <v>5358</v>
      </c>
      <c r="B13482" s="1">
        <v>45936</v>
      </c>
      <c r="C13482" t="s">
        <v>29</v>
      </c>
      <c r="D13482" s="2">
        <v>2918.17</v>
      </c>
      <c r="E13482" s="2">
        <v>0</v>
      </c>
      <c r="F13482" t="s">
        <v>28</v>
      </c>
      <c r="G13482" t="s">
        <v>17</v>
      </c>
    </row>
    <row r="13483" spans="1:7" x14ac:dyDescent="0.35">
      <c r="A13483">
        <v>5358</v>
      </c>
      <c r="B13483" s="1">
        <v>45936</v>
      </c>
      <c r="C13483" t="s">
        <v>29</v>
      </c>
      <c r="D13483" s="2">
        <v>0</v>
      </c>
      <c r="E13483" s="2">
        <v>2918.17</v>
      </c>
      <c r="F13483" t="s">
        <v>8</v>
      </c>
      <c r="G13483" t="s">
        <v>9</v>
      </c>
    </row>
    <row r="13484" spans="1:7" x14ac:dyDescent="0.35">
      <c r="A13484">
        <v>5359</v>
      </c>
      <c r="B13484" s="1">
        <v>45936</v>
      </c>
      <c r="C13484" t="s">
        <v>29</v>
      </c>
      <c r="D13484" s="2">
        <v>862.91</v>
      </c>
      <c r="E13484" s="2">
        <v>0</v>
      </c>
      <c r="F13484" t="s">
        <v>28</v>
      </c>
      <c r="G13484" t="s">
        <v>17</v>
      </c>
    </row>
    <row r="13485" spans="1:7" x14ac:dyDescent="0.35">
      <c r="A13485">
        <v>5359</v>
      </c>
      <c r="B13485" s="1">
        <v>45936</v>
      </c>
      <c r="C13485" t="s">
        <v>29</v>
      </c>
      <c r="D13485" s="2">
        <v>0</v>
      </c>
      <c r="E13485" s="2">
        <v>862.91</v>
      </c>
      <c r="F13485" t="s">
        <v>8</v>
      </c>
      <c r="G13485" t="s">
        <v>9</v>
      </c>
    </row>
    <row r="13486" spans="1:7" x14ac:dyDescent="0.35">
      <c r="A13486">
        <v>5360</v>
      </c>
      <c r="B13486" s="1">
        <v>45936</v>
      </c>
      <c r="C13486" t="s">
        <v>29</v>
      </c>
      <c r="D13486" s="2">
        <v>1794.11</v>
      </c>
      <c r="E13486" s="2">
        <v>0</v>
      </c>
      <c r="F13486" t="s">
        <v>28</v>
      </c>
      <c r="G13486" t="s">
        <v>17</v>
      </c>
    </row>
    <row r="13487" spans="1:7" x14ac:dyDescent="0.35">
      <c r="A13487">
        <v>5360</v>
      </c>
      <c r="B13487" s="1">
        <v>45936</v>
      </c>
      <c r="C13487" t="s">
        <v>29</v>
      </c>
      <c r="D13487" s="2">
        <v>0</v>
      </c>
      <c r="E13487" s="2">
        <v>1794.11</v>
      </c>
      <c r="F13487" t="s">
        <v>8</v>
      </c>
      <c r="G13487" t="s">
        <v>9</v>
      </c>
    </row>
    <row r="13488" spans="1:7" x14ac:dyDescent="0.35">
      <c r="A13488">
        <v>5361</v>
      </c>
      <c r="B13488" s="1">
        <v>45936</v>
      </c>
      <c r="C13488" t="s">
        <v>29</v>
      </c>
      <c r="D13488" s="2">
        <v>2918.17</v>
      </c>
      <c r="E13488" s="2">
        <v>0</v>
      </c>
      <c r="F13488" t="s">
        <v>28</v>
      </c>
      <c r="G13488" t="s">
        <v>17</v>
      </c>
    </row>
    <row r="13489" spans="1:7" x14ac:dyDescent="0.35">
      <c r="A13489">
        <v>5361</v>
      </c>
      <c r="B13489" s="1">
        <v>45936</v>
      </c>
      <c r="C13489" t="s">
        <v>29</v>
      </c>
      <c r="D13489" s="2">
        <v>0</v>
      </c>
      <c r="E13489" s="2">
        <v>2918.17</v>
      </c>
      <c r="F13489" t="s">
        <v>8</v>
      </c>
      <c r="G13489" t="s">
        <v>9</v>
      </c>
    </row>
    <row r="13490" spans="1:7" x14ac:dyDescent="0.35">
      <c r="A13490">
        <v>5362</v>
      </c>
      <c r="B13490" s="1">
        <v>45936</v>
      </c>
      <c r="C13490" t="s">
        <v>29</v>
      </c>
      <c r="D13490" s="2">
        <v>1159.8399999999999</v>
      </c>
      <c r="E13490" s="2">
        <v>0</v>
      </c>
      <c r="F13490" t="s">
        <v>28</v>
      </c>
      <c r="G13490" t="s">
        <v>17</v>
      </c>
    </row>
    <row r="13491" spans="1:7" x14ac:dyDescent="0.35">
      <c r="A13491">
        <v>5362</v>
      </c>
      <c r="B13491" s="1">
        <v>45936</v>
      </c>
      <c r="C13491" t="s">
        <v>29</v>
      </c>
      <c r="D13491" s="2">
        <v>0</v>
      </c>
      <c r="E13491" s="2">
        <v>1159.8399999999999</v>
      </c>
      <c r="F13491" t="s">
        <v>8</v>
      </c>
      <c r="G13491" t="s">
        <v>9</v>
      </c>
    </row>
    <row r="13492" spans="1:7" x14ac:dyDescent="0.35">
      <c r="A13492">
        <v>5363</v>
      </c>
      <c r="B13492" s="1">
        <v>45937</v>
      </c>
      <c r="C13492" t="s">
        <v>12</v>
      </c>
      <c r="D13492" s="2">
        <v>2912.37</v>
      </c>
      <c r="E13492" s="2">
        <v>0</v>
      </c>
      <c r="F13492" t="s">
        <v>13</v>
      </c>
      <c r="G13492" t="s">
        <v>9</v>
      </c>
    </row>
    <row r="13493" spans="1:7" x14ac:dyDescent="0.35">
      <c r="A13493">
        <v>5363</v>
      </c>
      <c r="B13493" s="1">
        <v>45937</v>
      </c>
      <c r="C13493" t="s">
        <v>12</v>
      </c>
      <c r="D13493" s="2">
        <v>0</v>
      </c>
      <c r="E13493" s="2">
        <v>2709.19</v>
      </c>
      <c r="F13493" t="s">
        <v>14</v>
      </c>
      <c r="G13493" t="s">
        <v>15</v>
      </c>
    </row>
    <row r="13494" spans="1:7" x14ac:dyDescent="0.35">
      <c r="A13494">
        <v>5363</v>
      </c>
      <c r="B13494" s="1">
        <v>45937</v>
      </c>
      <c r="C13494" t="s">
        <v>12</v>
      </c>
      <c r="D13494" s="2">
        <v>0</v>
      </c>
      <c r="E13494" s="2">
        <v>203.18</v>
      </c>
      <c r="F13494" t="s">
        <v>16</v>
      </c>
      <c r="G13494" t="s">
        <v>17</v>
      </c>
    </row>
    <row r="13495" spans="1:7" x14ac:dyDescent="0.35">
      <c r="A13495">
        <v>5364</v>
      </c>
      <c r="B13495" s="1">
        <v>45937</v>
      </c>
      <c r="C13495" t="s">
        <v>12</v>
      </c>
      <c r="D13495" s="2">
        <v>4023.06</v>
      </c>
      <c r="E13495" s="2">
        <v>0</v>
      </c>
      <c r="F13495" t="s">
        <v>13</v>
      </c>
      <c r="G13495" t="s">
        <v>9</v>
      </c>
    </row>
    <row r="13496" spans="1:7" x14ac:dyDescent="0.35">
      <c r="A13496">
        <v>5364</v>
      </c>
      <c r="B13496" s="1">
        <v>45937</v>
      </c>
      <c r="C13496" t="s">
        <v>12</v>
      </c>
      <c r="D13496" s="2">
        <v>0</v>
      </c>
      <c r="E13496" s="2">
        <v>3742.39</v>
      </c>
      <c r="F13496" t="s">
        <v>14</v>
      </c>
      <c r="G13496" t="s">
        <v>15</v>
      </c>
    </row>
    <row r="13497" spans="1:7" x14ac:dyDescent="0.35">
      <c r="A13497">
        <v>5364</v>
      </c>
      <c r="B13497" s="1">
        <v>45937</v>
      </c>
      <c r="C13497" t="s">
        <v>12</v>
      </c>
      <c r="D13497" s="2">
        <v>0</v>
      </c>
      <c r="E13497" s="2">
        <v>280.67</v>
      </c>
      <c r="F13497" t="s">
        <v>16</v>
      </c>
      <c r="G13497" t="s">
        <v>17</v>
      </c>
    </row>
    <row r="13498" spans="1:7" x14ac:dyDescent="0.35">
      <c r="A13498">
        <v>5365</v>
      </c>
      <c r="B13498" s="1">
        <v>45937</v>
      </c>
      <c r="C13498" t="s">
        <v>12</v>
      </c>
      <c r="D13498" s="2">
        <v>1563.65</v>
      </c>
      <c r="E13498" s="2">
        <v>0</v>
      </c>
      <c r="F13498" t="s">
        <v>13</v>
      </c>
      <c r="G13498" t="s">
        <v>9</v>
      </c>
    </row>
    <row r="13499" spans="1:7" x14ac:dyDescent="0.35">
      <c r="A13499">
        <v>5365</v>
      </c>
      <c r="B13499" s="1">
        <v>45937</v>
      </c>
      <c r="C13499" t="s">
        <v>12</v>
      </c>
      <c r="D13499" s="2">
        <v>0</v>
      </c>
      <c r="E13499" s="2">
        <v>1454.56</v>
      </c>
      <c r="F13499" t="s">
        <v>14</v>
      </c>
      <c r="G13499" t="s">
        <v>15</v>
      </c>
    </row>
    <row r="13500" spans="1:7" x14ac:dyDescent="0.35">
      <c r="A13500">
        <v>5365</v>
      </c>
      <c r="B13500" s="1">
        <v>45937</v>
      </c>
      <c r="C13500" t="s">
        <v>12</v>
      </c>
      <c r="D13500" s="2">
        <v>0</v>
      </c>
      <c r="E13500" s="2">
        <v>109.09</v>
      </c>
      <c r="F13500" t="s">
        <v>16</v>
      </c>
      <c r="G13500" t="s">
        <v>17</v>
      </c>
    </row>
    <row r="13501" spans="1:7" x14ac:dyDescent="0.35">
      <c r="A13501">
        <v>5366</v>
      </c>
      <c r="B13501" s="1">
        <v>45937</v>
      </c>
      <c r="C13501" t="s">
        <v>12</v>
      </c>
      <c r="D13501" s="2">
        <v>788.61</v>
      </c>
      <c r="E13501" s="2">
        <v>0</v>
      </c>
      <c r="F13501" t="s">
        <v>13</v>
      </c>
      <c r="G13501" t="s">
        <v>9</v>
      </c>
    </row>
    <row r="13502" spans="1:7" x14ac:dyDescent="0.35">
      <c r="A13502">
        <v>5366</v>
      </c>
      <c r="B13502" s="1">
        <v>45937</v>
      </c>
      <c r="C13502" t="s">
        <v>12</v>
      </c>
      <c r="D13502" s="2">
        <v>0</v>
      </c>
      <c r="E13502" s="2">
        <v>733.59</v>
      </c>
      <c r="F13502" t="s">
        <v>14</v>
      </c>
      <c r="G13502" t="s">
        <v>15</v>
      </c>
    </row>
    <row r="13503" spans="1:7" x14ac:dyDescent="0.35">
      <c r="A13503">
        <v>5366</v>
      </c>
      <c r="B13503" s="1">
        <v>45937</v>
      </c>
      <c r="C13503" t="s">
        <v>12</v>
      </c>
      <c r="D13503" s="2">
        <v>0</v>
      </c>
      <c r="E13503" s="2">
        <v>55.02</v>
      </c>
      <c r="F13503" t="s">
        <v>16</v>
      </c>
      <c r="G13503" t="s">
        <v>17</v>
      </c>
    </row>
    <row r="13504" spans="1:7" x14ac:dyDescent="0.35">
      <c r="A13504">
        <v>5367</v>
      </c>
      <c r="B13504" s="1">
        <v>45937</v>
      </c>
      <c r="C13504" t="s">
        <v>12</v>
      </c>
      <c r="D13504" s="2">
        <v>2866.49</v>
      </c>
      <c r="E13504" s="2">
        <v>0</v>
      </c>
      <c r="F13504" t="s">
        <v>13</v>
      </c>
      <c r="G13504" t="s">
        <v>9</v>
      </c>
    </row>
    <row r="13505" spans="1:7" x14ac:dyDescent="0.35">
      <c r="A13505">
        <v>5367</v>
      </c>
      <c r="B13505" s="1">
        <v>45937</v>
      </c>
      <c r="C13505" t="s">
        <v>12</v>
      </c>
      <c r="D13505" s="2">
        <v>0</v>
      </c>
      <c r="E13505" s="2">
        <v>2666.5</v>
      </c>
      <c r="F13505" t="s">
        <v>14</v>
      </c>
      <c r="G13505" t="s">
        <v>15</v>
      </c>
    </row>
    <row r="13506" spans="1:7" x14ac:dyDescent="0.35">
      <c r="A13506">
        <v>5367</v>
      </c>
      <c r="B13506" s="1">
        <v>45937</v>
      </c>
      <c r="C13506" t="s">
        <v>12</v>
      </c>
      <c r="D13506" s="2">
        <v>0</v>
      </c>
      <c r="E13506" s="2">
        <v>199.99</v>
      </c>
      <c r="F13506" t="s">
        <v>16</v>
      </c>
      <c r="G13506" t="s">
        <v>17</v>
      </c>
    </row>
    <row r="13507" spans="1:7" x14ac:dyDescent="0.35">
      <c r="A13507">
        <v>5368</v>
      </c>
      <c r="B13507" s="1">
        <v>45937</v>
      </c>
      <c r="C13507" t="s">
        <v>12</v>
      </c>
      <c r="D13507" s="2">
        <v>2072.88</v>
      </c>
      <c r="E13507" s="2">
        <v>0</v>
      </c>
      <c r="F13507" t="s">
        <v>13</v>
      </c>
      <c r="G13507" t="s">
        <v>9</v>
      </c>
    </row>
    <row r="13508" spans="1:7" x14ac:dyDescent="0.35">
      <c r="A13508">
        <v>5368</v>
      </c>
      <c r="B13508" s="1">
        <v>45937</v>
      </c>
      <c r="C13508" t="s">
        <v>12</v>
      </c>
      <c r="D13508" s="2">
        <v>0</v>
      </c>
      <c r="E13508" s="2">
        <v>1928.26</v>
      </c>
      <c r="F13508" t="s">
        <v>14</v>
      </c>
      <c r="G13508" t="s">
        <v>15</v>
      </c>
    </row>
    <row r="13509" spans="1:7" x14ac:dyDescent="0.35">
      <c r="A13509">
        <v>5368</v>
      </c>
      <c r="B13509" s="1">
        <v>45937</v>
      </c>
      <c r="C13509" t="s">
        <v>12</v>
      </c>
      <c r="D13509" s="2">
        <v>0</v>
      </c>
      <c r="E13509" s="2">
        <v>144.62</v>
      </c>
      <c r="F13509" t="s">
        <v>16</v>
      </c>
      <c r="G13509" t="s">
        <v>17</v>
      </c>
    </row>
    <row r="13510" spans="1:7" x14ac:dyDescent="0.35">
      <c r="A13510">
        <v>5369</v>
      </c>
      <c r="B13510" s="1">
        <v>45937</v>
      </c>
      <c r="C13510" t="s">
        <v>12</v>
      </c>
      <c r="D13510" s="2">
        <v>2572.13</v>
      </c>
      <c r="E13510" s="2">
        <v>0</v>
      </c>
      <c r="F13510" t="s">
        <v>13</v>
      </c>
      <c r="G13510" t="s">
        <v>9</v>
      </c>
    </row>
    <row r="13511" spans="1:7" x14ac:dyDescent="0.35">
      <c r="A13511">
        <v>5369</v>
      </c>
      <c r="B13511" s="1">
        <v>45937</v>
      </c>
      <c r="C13511" t="s">
        <v>12</v>
      </c>
      <c r="D13511" s="2">
        <v>0</v>
      </c>
      <c r="E13511" s="2">
        <v>2392.6799999999998</v>
      </c>
      <c r="F13511" t="s">
        <v>14</v>
      </c>
      <c r="G13511" t="s">
        <v>15</v>
      </c>
    </row>
    <row r="13512" spans="1:7" x14ac:dyDescent="0.35">
      <c r="A13512">
        <v>5369</v>
      </c>
      <c r="B13512" s="1">
        <v>45937</v>
      </c>
      <c r="C13512" t="s">
        <v>12</v>
      </c>
      <c r="D13512" s="2">
        <v>0</v>
      </c>
      <c r="E13512" s="2">
        <v>179.45</v>
      </c>
      <c r="F13512" t="s">
        <v>16</v>
      </c>
      <c r="G13512" t="s">
        <v>17</v>
      </c>
    </row>
    <row r="13513" spans="1:7" x14ac:dyDescent="0.35">
      <c r="A13513">
        <v>5370</v>
      </c>
      <c r="B13513" s="1">
        <v>45937</v>
      </c>
      <c r="C13513" t="s">
        <v>12</v>
      </c>
      <c r="D13513" s="2">
        <v>1939.19</v>
      </c>
      <c r="E13513" s="2">
        <v>0</v>
      </c>
      <c r="F13513" t="s">
        <v>13</v>
      </c>
      <c r="G13513" t="s">
        <v>9</v>
      </c>
    </row>
    <row r="13514" spans="1:7" x14ac:dyDescent="0.35">
      <c r="A13514">
        <v>5370</v>
      </c>
      <c r="B13514" s="1">
        <v>45937</v>
      </c>
      <c r="C13514" t="s">
        <v>12</v>
      </c>
      <c r="D13514" s="2">
        <v>0</v>
      </c>
      <c r="E13514" s="2">
        <v>1803.89</v>
      </c>
      <c r="F13514" t="s">
        <v>14</v>
      </c>
      <c r="G13514" t="s">
        <v>15</v>
      </c>
    </row>
    <row r="13515" spans="1:7" x14ac:dyDescent="0.35">
      <c r="A13515">
        <v>5370</v>
      </c>
      <c r="B13515" s="1">
        <v>45937</v>
      </c>
      <c r="C13515" t="s">
        <v>12</v>
      </c>
      <c r="D13515" s="2">
        <v>0</v>
      </c>
      <c r="E13515" s="2">
        <v>135.30000000000001</v>
      </c>
      <c r="F13515" t="s">
        <v>16</v>
      </c>
      <c r="G13515" t="s">
        <v>17</v>
      </c>
    </row>
    <row r="13516" spans="1:7" x14ac:dyDescent="0.35">
      <c r="A13516">
        <v>5371</v>
      </c>
      <c r="B13516" s="1">
        <v>45937</v>
      </c>
      <c r="C13516" t="s">
        <v>12</v>
      </c>
      <c r="D13516" s="2">
        <v>940.92</v>
      </c>
      <c r="E13516" s="2">
        <v>0</v>
      </c>
      <c r="F13516" t="s">
        <v>13</v>
      </c>
      <c r="G13516" t="s">
        <v>9</v>
      </c>
    </row>
    <row r="13517" spans="1:7" x14ac:dyDescent="0.35">
      <c r="A13517">
        <v>5371</v>
      </c>
      <c r="B13517" s="1">
        <v>45937</v>
      </c>
      <c r="C13517" t="s">
        <v>12</v>
      </c>
      <c r="D13517" s="2">
        <v>0</v>
      </c>
      <c r="E13517" s="2">
        <v>875.27</v>
      </c>
      <c r="F13517" t="s">
        <v>14</v>
      </c>
      <c r="G13517" t="s">
        <v>15</v>
      </c>
    </row>
    <row r="13518" spans="1:7" x14ac:dyDescent="0.35">
      <c r="A13518">
        <v>5371</v>
      </c>
      <c r="B13518" s="1">
        <v>45937</v>
      </c>
      <c r="C13518" t="s">
        <v>12</v>
      </c>
      <c r="D13518" s="2">
        <v>0</v>
      </c>
      <c r="E13518" s="2">
        <v>65.650000000000006</v>
      </c>
      <c r="F13518" t="s">
        <v>16</v>
      </c>
      <c r="G13518" t="s">
        <v>17</v>
      </c>
    </row>
    <row r="13519" spans="1:7" x14ac:dyDescent="0.35">
      <c r="A13519">
        <v>5372</v>
      </c>
      <c r="B13519" s="1">
        <v>45937</v>
      </c>
      <c r="C13519" t="s">
        <v>24</v>
      </c>
      <c r="D13519" s="2">
        <v>1852.79</v>
      </c>
      <c r="E13519" s="2">
        <v>0</v>
      </c>
      <c r="F13519" t="s">
        <v>8</v>
      </c>
      <c r="G13519" t="s">
        <v>9</v>
      </c>
    </row>
    <row r="13520" spans="1:7" x14ac:dyDescent="0.35">
      <c r="A13520">
        <v>5372</v>
      </c>
      <c r="B13520" s="1">
        <v>45937</v>
      </c>
      <c r="C13520" t="s">
        <v>24</v>
      </c>
      <c r="D13520" s="2">
        <v>0</v>
      </c>
      <c r="E13520" s="2">
        <v>1852.79</v>
      </c>
      <c r="F13520" t="s">
        <v>13</v>
      </c>
      <c r="G13520" t="s">
        <v>9</v>
      </c>
    </row>
    <row r="13521" spans="1:7" x14ac:dyDescent="0.35">
      <c r="A13521">
        <v>5373</v>
      </c>
      <c r="B13521" s="1">
        <v>45937</v>
      </c>
      <c r="C13521" t="s">
        <v>24</v>
      </c>
      <c r="D13521" s="2">
        <v>280.89999999999998</v>
      </c>
      <c r="E13521" s="2">
        <v>0</v>
      </c>
      <c r="F13521" t="s">
        <v>8</v>
      </c>
      <c r="G13521" t="s">
        <v>9</v>
      </c>
    </row>
    <row r="13522" spans="1:7" x14ac:dyDescent="0.35">
      <c r="A13522">
        <v>5373</v>
      </c>
      <c r="B13522" s="1">
        <v>45937</v>
      </c>
      <c r="C13522" t="s">
        <v>24</v>
      </c>
      <c r="D13522" s="2">
        <v>0</v>
      </c>
      <c r="E13522" s="2">
        <v>280.89999999999998</v>
      </c>
      <c r="F13522" t="s">
        <v>13</v>
      </c>
      <c r="G13522" t="s">
        <v>9</v>
      </c>
    </row>
    <row r="13523" spans="1:7" x14ac:dyDescent="0.35">
      <c r="A13523">
        <v>5374</v>
      </c>
      <c r="B13523" s="1">
        <v>45937</v>
      </c>
      <c r="C13523" t="s">
        <v>24</v>
      </c>
      <c r="D13523" s="2">
        <v>2278.13</v>
      </c>
      <c r="E13523" s="2">
        <v>0</v>
      </c>
      <c r="F13523" t="s">
        <v>8</v>
      </c>
      <c r="G13523" t="s">
        <v>9</v>
      </c>
    </row>
    <row r="13524" spans="1:7" x14ac:dyDescent="0.35">
      <c r="A13524">
        <v>5374</v>
      </c>
      <c r="B13524" s="1">
        <v>45937</v>
      </c>
      <c r="C13524" t="s">
        <v>24</v>
      </c>
      <c r="D13524" s="2">
        <v>0</v>
      </c>
      <c r="E13524" s="2">
        <v>2278.13</v>
      </c>
      <c r="F13524" t="s">
        <v>13</v>
      </c>
      <c r="G13524" t="s">
        <v>9</v>
      </c>
    </row>
    <row r="13525" spans="1:7" x14ac:dyDescent="0.35">
      <c r="A13525">
        <v>5375</v>
      </c>
      <c r="B13525" s="1">
        <v>45937</v>
      </c>
      <c r="C13525" t="s">
        <v>24</v>
      </c>
      <c r="D13525" s="2">
        <v>5149.79</v>
      </c>
      <c r="E13525" s="2">
        <v>0</v>
      </c>
      <c r="F13525" t="s">
        <v>8</v>
      </c>
      <c r="G13525" t="s">
        <v>9</v>
      </c>
    </row>
    <row r="13526" spans="1:7" x14ac:dyDescent="0.35">
      <c r="A13526">
        <v>5375</v>
      </c>
      <c r="B13526" s="1">
        <v>45937</v>
      </c>
      <c r="C13526" t="s">
        <v>24</v>
      </c>
      <c r="D13526" s="2">
        <v>0</v>
      </c>
      <c r="E13526" s="2">
        <v>5149.79</v>
      </c>
      <c r="F13526" t="s">
        <v>13</v>
      </c>
      <c r="G13526" t="s">
        <v>9</v>
      </c>
    </row>
    <row r="13527" spans="1:7" x14ac:dyDescent="0.35">
      <c r="A13527">
        <v>5376</v>
      </c>
      <c r="B13527" s="1">
        <v>45937</v>
      </c>
      <c r="C13527" t="s">
        <v>24</v>
      </c>
      <c r="D13527" s="2">
        <v>1831.23</v>
      </c>
      <c r="E13527" s="2">
        <v>0</v>
      </c>
      <c r="F13527" t="s">
        <v>8</v>
      </c>
      <c r="G13527" t="s">
        <v>9</v>
      </c>
    </row>
    <row r="13528" spans="1:7" x14ac:dyDescent="0.35">
      <c r="A13528">
        <v>5376</v>
      </c>
      <c r="B13528" s="1">
        <v>45937</v>
      </c>
      <c r="C13528" t="s">
        <v>24</v>
      </c>
      <c r="D13528" s="2">
        <v>0</v>
      </c>
      <c r="E13528" s="2">
        <v>1831.23</v>
      </c>
      <c r="F13528" t="s">
        <v>13</v>
      </c>
      <c r="G13528" t="s">
        <v>9</v>
      </c>
    </row>
    <row r="13529" spans="1:7" x14ac:dyDescent="0.35">
      <c r="A13529">
        <v>5377</v>
      </c>
      <c r="B13529" s="1">
        <v>45937</v>
      </c>
      <c r="C13529" t="s">
        <v>29</v>
      </c>
      <c r="D13529" s="2">
        <v>1023.42</v>
      </c>
      <c r="E13529" s="2">
        <v>0</v>
      </c>
      <c r="F13529" t="s">
        <v>28</v>
      </c>
      <c r="G13529" t="s">
        <v>17</v>
      </c>
    </row>
    <row r="13530" spans="1:7" x14ac:dyDescent="0.35">
      <c r="A13530">
        <v>5377</v>
      </c>
      <c r="B13530" s="1">
        <v>45937</v>
      </c>
      <c r="C13530" t="s">
        <v>29</v>
      </c>
      <c r="D13530" s="2">
        <v>0</v>
      </c>
      <c r="E13530" s="2">
        <v>1023.42</v>
      </c>
      <c r="F13530" t="s">
        <v>8</v>
      </c>
      <c r="G13530" t="s">
        <v>9</v>
      </c>
    </row>
    <row r="13531" spans="1:7" x14ac:dyDescent="0.35">
      <c r="A13531">
        <v>5378</v>
      </c>
      <c r="B13531" s="1">
        <v>45937</v>
      </c>
      <c r="C13531" t="s">
        <v>29</v>
      </c>
      <c r="D13531" s="2">
        <v>7227.44</v>
      </c>
      <c r="E13531" s="2">
        <v>0</v>
      </c>
      <c r="F13531" t="s">
        <v>28</v>
      </c>
      <c r="G13531" t="s">
        <v>17</v>
      </c>
    </row>
    <row r="13532" spans="1:7" x14ac:dyDescent="0.35">
      <c r="A13532">
        <v>5378</v>
      </c>
      <c r="B13532" s="1">
        <v>45937</v>
      </c>
      <c r="C13532" t="s">
        <v>29</v>
      </c>
      <c r="D13532" s="2">
        <v>0</v>
      </c>
      <c r="E13532" s="2">
        <v>7227.44</v>
      </c>
      <c r="F13532" t="s">
        <v>8</v>
      </c>
      <c r="G13532" t="s">
        <v>9</v>
      </c>
    </row>
    <row r="13533" spans="1:7" x14ac:dyDescent="0.35">
      <c r="A13533">
        <v>5379</v>
      </c>
      <c r="B13533" s="1">
        <v>45937</v>
      </c>
      <c r="C13533" t="s">
        <v>29</v>
      </c>
      <c r="D13533" s="2">
        <v>201.5</v>
      </c>
      <c r="E13533" s="2">
        <v>0</v>
      </c>
      <c r="F13533" t="s">
        <v>28</v>
      </c>
      <c r="G13533" t="s">
        <v>17</v>
      </c>
    </row>
    <row r="13534" spans="1:7" x14ac:dyDescent="0.35">
      <c r="A13534">
        <v>5379</v>
      </c>
      <c r="B13534" s="1">
        <v>45937</v>
      </c>
      <c r="C13534" t="s">
        <v>29</v>
      </c>
      <c r="D13534" s="2">
        <v>0</v>
      </c>
      <c r="E13534" s="2">
        <v>201.5</v>
      </c>
      <c r="F13534" t="s">
        <v>8</v>
      </c>
      <c r="G13534" t="s">
        <v>9</v>
      </c>
    </row>
    <row r="13535" spans="1:7" x14ac:dyDescent="0.35">
      <c r="A13535">
        <v>5380</v>
      </c>
      <c r="B13535" s="1">
        <v>45938</v>
      </c>
      <c r="C13535" t="s">
        <v>12</v>
      </c>
      <c r="D13535" s="2">
        <v>1480.23</v>
      </c>
      <c r="E13535" s="2">
        <v>0</v>
      </c>
      <c r="F13535" t="s">
        <v>13</v>
      </c>
      <c r="G13535" t="s">
        <v>9</v>
      </c>
    </row>
    <row r="13536" spans="1:7" x14ac:dyDescent="0.35">
      <c r="A13536">
        <v>5380</v>
      </c>
      <c r="B13536" s="1">
        <v>45938</v>
      </c>
      <c r="C13536" t="s">
        <v>12</v>
      </c>
      <c r="D13536" s="2">
        <v>0</v>
      </c>
      <c r="E13536" s="2">
        <v>1376.96</v>
      </c>
      <c r="F13536" t="s">
        <v>14</v>
      </c>
      <c r="G13536" t="s">
        <v>15</v>
      </c>
    </row>
    <row r="13537" spans="1:7" x14ac:dyDescent="0.35">
      <c r="A13537">
        <v>5380</v>
      </c>
      <c r="B13537" s="1">
        <v>45938</v>
      </c>
      <c r="C13537" t="s">
        <v>12</v>
      </c>
      <c r="D13537" s="2">
        <v>0</v>
      </c>
      <c r="E13537" s="2">
        <v>103.27</v>
      </c>
      <c r="F13537" t="s">
        <v>16</v>
      </c>
      <c r="G13537" t="s">
        <v>17</v>
      </c>
    </row>
    <row r="13538" spans="1:7" x14ac:dyDescent="0.35">
      <c r="A13538">
        <v>5381</v>
      </c>
      <c r="B13538" s="1">
        <v>45938</v>
      </c>
      <c r="C13538" t="s">
        <v>12</v>
      </c>
      <c r="D13538" s="2">
        <v>5459.38</v>
      </c>
      <c r="E13538" s="2">
        <v>0</v>
      </c>
      <c r="F13538" t="s">
        <v>13</v>
      </c>
      <c r="G13538" t="s">
        <v>9</v>
      </c>
    </row>
    <row r="13539" spans="1:7" x14ac:dyDescent="0.35">
      <c r="A13539">
        <v>5381</v>
      </c>
      <c r="B13539" s="1">
        <v>45938</v>
      </c>
      <c r="C13539" t="s">
        <v>12</v>
      </c>
      <c r="D13539" s="2">
        <v>0</v>
      </c>
      <c r="E13539" s="2">
        <v>5078.4799999999996</v>
      </c>
      <c r="F13539" t="s">
        <v>14</v>
      </c>
      <c r="G13539" t="s">
        <v>15</v>
      </c>
    </row>
    <row r="13540" spans="1:7" x14ac:dyDescent="0.35">
      <c r="A13540">
        <v>5381</v>
      </c>
      <c r="B13540" s="1">
        <v>45938</v>
      </c>
      <c r="C13540" t="s">
        <v>12</v>
      </c>
      <c r="D13540" s="2">
        <v>0</v>
      </c>
      <c r="E13540" s="2">
        <v>380.9</v>
      </c>
      <c r="F13540" t="s">
        <v>16</v>
      </c>
      <c r="G13540" t="s">
        <v>17</v>
      </c>
    </row>
    <row r="13541" spans="1:7" x14ac:dyDescent="0.35">
      <c r="A13541">
        <v>5382</v>
      </c>
      <c r="B13541" s="1">
        <v>45938</v>
      </c>
      <c r="C13541" t="s">
        <v>12</v>
      </c>
      <c r="D13541" s="2">
        <v>3940.99</v>
      </c>
      <c r="E13541" s="2">
        <v>0</v>
      </c>
      <c r="F13541" t="s">
        <v>13</v>
      </c>
      <c r="G13541" t="s">
        <v>9</v>
      </c>
    </row>
    <row r="13542" spans="1:7" x14ac:dyDescent="0.35">
      <c r="A13542">
        <v>5382</v>
      </c>
      <c r="B13542" s="1">
        <v>45938</v>
      </c>
      <c r="C13542" t="s">
        <v>12</v>
      </c>
      <c r="D13542" s="2">
        <v>0</v>
      </c>
      <c r="E13542" s="2">
        <v>3666.04</v>
      </c>
      <c r="F13542" t="s">
        <v>14</v>
      </c>
      <c r="G13542" t="s">
        <v>15</v>
      </c>
    </row>
    <row r="13543" spans="1:7" x14ac:dyDescent="0.35">
      <c r="A13543">
        <v>5382</v>
      </c>
      <c r="B13543" s="1">
        <v>45938</v>
      </c>
      <c r="C13543" t="s">
        <v>12</v>
      </c>
      <c r="D13543" s="2">
        <v>0</v>
      </c>
      <c r="E13543" s="2">
        <v>274.95</v>
      </c>
      <c r="F13543" t="s">
        <v>16</v>
      </c>
      <c r="G13543" t="s">
        <v>17</v>
      </c>
    </row>
    <row r="13544" spans="1:7" x14ac:dyDescent="0.35">
      <c r="A13544">
        <v>5383</v>
      </c>
      <c r="B13544" s="1">
        <v>45938</v>
      </c>
      <c r="C13544" t="s">
        <v>12</v>
      </c>
      <c r="D13544" s="2">
        <v>3388.91</v>
      </c>
      <c r="E13544" s="2">
        <v>0</v>
      </c>
      <c r="F13544" t="s">
        <v>13</v>
      </c>
      <c r="G13544" t="s">
        <v>9</v>
      </c>
    </row>
    <row r="13545" spans="1:7" x14ac:dyDescent="0.35">
      <c r="A13545">
        <v>5383</v>
      </c>
      <c r="B13545" s="1">
        <v>45938</v>
      </c>
      <c r="C13545" t="s">
        <v>12</v>
      </c>
      <c r="D13545" s="2">
        <v>0</v>
      </c>
      <c r="E13545" s="2">
        <v>3152.48</v>
      </c>
      <c r="F13545" t="s">
        <v>14</v>
      </c>
      <c r="G13545" t="s">
        <v>15</v>
      </c>
    </row>
    <row r="13546" spans="1:7" x14ac:dyDescent="0.35">
      <c r="A13546">
        <v>5383</v>
      </c>
      <c r="B13546" s="1">
        <v>45938</v>
      </c>
      <c r="C13546" t="s">
        <v>12</v>
      </c>
      <c r="D13546" s="2">
        <v>0</v>
      </c>
      <c r="E13546" s="2">
        <v>236.43</v>
      </c>
      <c r="F13546" t="s">
        <v>16</v>
      </c>
      <c r="G13546" t="s">
        <v>17</v>
      </c>
    </row>
    <row r="13547" spans="1:7" x14ac:dyDescent="0.35">
      <c r="A13547">
        <v>5384</v>
      </c>
      <c r="B13547" s="1">
        <v>45938</v>
      </c>
      <c r="C13547" t="s">
        <v>12</v>
      </c>
      <c r="D13547" s="2">
        <v>96.36</v>
      </c>
      <c r="E13547" s="2">
        <v>0</v>
      </c>
      <c r="F13547" t="s">
        <v>13</v>
      </c>
      <c r="G13547" t="s">
        <v>9</v>
      </c>
    </row>
    <row r="13548" spans="1:7" x14ac:dyDescent="0.35">
      <c r="A13548">
        <v>5384</v>
      </c>
      <c r="B13548" s="1">
        <v>45938</v>
      </c>
      <c r="C13548" t="s">
        <v>12</v>
      </c>
      <c r="D13548" s="2">
        <v>0</v>
      </c>
      <c r="E13548" s="2">
        <v>89.64</v>
      </c>
      <c r="F13548" t="s">
        <v>14</v>
      </c>
      <c r="G13548" t="s">
        <v>15</v>
      </c>
    </row>
    <row r="13549" spans="1:7" x14ac:dyDescent="0.35">
      <c r="A13549">
        <v>5384</v>
      </c>
      <c r="B13549" s="1">
        <v>45938</v>
      </c>
      <c r="C13549" t="s">
        <v>12</v>
      </c>
      <c r="D13549" s="2">
        <v>0</v>
      </c>
      <c r="E13549" s="2">
        <v>6.72</v>
      </c>
      <c r="F13549" t="s">
        <v>16</v>
      </c>
      <c r="G13549" t="s">
        <v>17</v>
      </c>
    </row>
    <row r="13550" spans="1:7" x14ac:dyDescent="0.35">
      <c r="A13550">
        <v>5385</v>
      </c>
      <c r="B13550" s="1">
        <v>45938</v>
      </c>
      <c r="C13550" t="s">
        <v>24</v>
      </c>
      <c r="D13550" s="2">
        <v>1710.57</v>
      </c>
      <c r="E13550" s="2">
        <v>0</v>
      </c>
      <c r="F13550" t="s">
        <v>8</v>
      </c>
      <c r="G13550" t="s">
        <v>9</v>
      </c>
    </row>
    <row r="13551" spans="1:7" x14ac:dyDescent="0.35">
      <c r="A13551">
        <v>5385</v>
      </c>
      <c r="B13551" s="1">
        <v>45938</v>
      </c>
      <c r="C13551" t="s">
        <v>24</v>
      </c>
      <c r="D13551" s="2">
        <v>0</v>
      </c>
      <c r="E13551" s="2">
        <v>1710.57</v>
      </c>
      <c r="F13551" t="s">
        <v>13</v>
      </c>
      <c r="G13551" t="s">
        <v>9</v>
      </c>
    </row>
    <row r="13552" spans="1:7" x14ac:dyDescent="0.35">
      <c r="A13552">
        <v>5386</v>
      </c>
      <c r="B13552" s="1">
        <v>45938</v>
      </c>
      <c r="C13552" t="s">
        <v>24</v>
      </c>
      <c r="D13552" s="2">
        <v>2670.34</v>
      </c>
      <c r="E13552" s="2">
        <v>0</v>
      </c>
      <c r="F13552" t="s">
        <v>8</v>
      </c>
      <c r="G13552" t="s">
        <v>9</v>
      </c>
    </row>
    <row r="13553" spans="1:7" x14ac:dyDescent="0.35">
      <c r="A13553">
        <v>5386</v>
      </c>
      <c r="B13553" s="1">
        <v>45938</v>
      </c>
      <c r="C13553" t="s">
        <v>24</v>
      </c>
      <c r="D13553" s="2">
        <v>0</v>
      </c>
      <c r="E13553" s="2">
        <v>2670.34</v>
      </c>
      <c r="F13553" t="s">
        <v>13</v>
      </c>
      <c r="G13553" t="s">
        <v>9</v>
      </c>
    </row>
    <row r="13554" spans="1:7" x14ac:dyDescent="0.35">
      <c r="A13554">
        <v>5387</v>
      </c>
      <c r="B13554" s="1">
        <v>45938</v>
      </c>
      <c r="C13554" t="s">
        <v>24</v>
      </c>
      <c r="D13554" s="2">
        <v>3663.1</v>
      </c>
      <c r="E13554" s="2">
        <v>0</v>
      </c>
      <c r="F13554" t="s">
        <v>8</v>
      </c>
      <c r="G13554" t="s">
        <v>9</v>
      </c>
    </row>
    <row r="13555" spans="1:7" x14ac:dyDescent="0.35">
      <c r="A13555">
        <v>5387</v>
      </c>
      <c r="B13555" s="1">
        <v>45938</v>
      </c>
      <c r="C13555" t="s">
        <v>24</v>
      </c>
      <c r="D13555" s="2">
        <v>0</v>
      </c>
      <c r="E13555" s="2">
        <v>3663.1</v>
      </c>
      <c r="F13555" t="s">
        <v>13</v>
      </c>
      <c r="G13555" t="s">
        <v>9</v>
      </c>
    </row>
    <row r="13556" spans="1:7" x14ac:dyDescent="0.35">
      <c r="A13556">
        <v>5388</v>
      </c>
      <c r="B13556" s="1">
        <v>45938</v>
      </c>
      <c r="C13556" t="s">
        <v>24</v>
      </c>
      <c r="D13556" s="2">
        <v>4144.55</v>
      </c>
      <c r="E13556" s="2">
        <v>0</v>
      </c>
      <c r="F13556" t="s">
        <v>8</v>
      </c>
      <c r="G13556" t="s">
        <v>9</v>
      </c>
    </row>
    <row r="13557" spans="1:7" x14ac:dyDescent="0.35">
      <c r="A13557">
        <v>5388</v>
      </c>
      <c r="B13557" s="1">
        <v>45938</v>
      </c>
      <c r="C13557" t="s">
        <v>24</v>
      </c>
      <c r="D13557" s="2">
        <v>0</v>
      </c>
      <c r="E13557" s="2">
        <v>4144.55</v>
      </c>
      <c r="F13557" t="s">
        <v>13</v>
      </c>
      <c r="G13557" t="s">
        <v>9</v>
      </c>
    </row>
    <row r="13558" spans="1:7" x14ac:dyDescent="0.35">
      <c r="A13558">
        <v>5389</v>
      </c>
      <c r="B13558" s="1">
        <v>45938</v>
      </c>
      <c r="C13558" t="s">
        <v>24</v>
      </c>
      <c r="D13558" s="2">
        <v>2450.58</v>
      </c>
      <c r="E13558" s="2">
        <v>0</v>
      </c>
      <c r="F13558" t="s">
        <v>8</v>
      </c>
      <c r="G13558" t="s">
        <v>9</v>
      </c>
    </row>
    <row r="13559" spans="1:7" x14ac:dyDescent="0.35">
      <c r="A13559">
        <v>5389</v>
      </c>
      <c r="B13559" s="1">
        <v>45938</v>
      </c>
      <c r="C13559" t="s">
        <v>24</v>
      </c>
      <c r="D13559" s="2">
        <v>0</v>
      </c>
      <c r="E13559" s="2">
        <v>2450.58</v>
      </c>
      <c r="F13559" t="s">
        <v>13</v>
      </c>
      <c r="G13559" t="s">
        <v>9</v>
      </c>
    </row>
    <row r="13560" spans="1:7" x14ac:dyDescent="0.35">
      <c r="A13560">
        <v>5390</v>
      </c>
      <c r="B13560" s="1">
        <v>45938</v>
      </c>
      <c r="C13560" t="s">
        <v>24</v>
      </c>
      <c r="D13560" s="2">
        <v>1471.21</v>
      </c>
      <c r="E13560" s="2">
        <v>0</v>
      </c>
      <c r="F13560" t="s">
        <v>8</v>
      </c>
      <c r="G13560" t="s">
        <v>9</v>
      </c>
    </row>
    <row r="13561" spans="1:7" x14ac:dyDescent="0.35">
      <c r="A13561">
        <v>5390</v>
      </c>
      <c r="B13561" s="1">
        <v>45938</v>
      </c>
      <c r="C13561" t="s">
        <v>24</v>
      </c>
      <c r="D13561" s="2">
        <v>0</v>
      </c>
      <c r="E13561" s="2">
        <v>1471.21</v>
      </c>
      <c r="F13561" t="s">
        <v>13</v>
      </c>
      <c r="G13561" t="s">
        <v>9</v>
      </c>
    </row>
    <row r="13562" spans="1:7" x14ac:dyDescent="0.35">
      <c r="A13562">
        <v>5391</v>
      </c>
      <c r="B13562" s="1">
        <v>45938</v>
      </c>
      <c r="C13562" t="s">
        <v>24</v>
      </c>
      <c r="D13562" s="2">
        <v>2873.62</v>
      </c>
      <c r="E13562" s="2">
        <v>0</v>
      </c>
      <c r="F13562" t="s">
        <v>8</v>
      </c>
      <c r="G13562" t="s">
        <v>9</v>
      </c>
    </row>
    <row r="13563" spans="1:7" x14ac:dyDescent="0.35">
      <c r="A13563">
        <v>5391</v>
      </c>
      <c r="B13563" s="1">
        <v>45938</v>
      </c>
      <c r="C13563" t="s">
        <v>24</v>
      </c>
      <c r="D13563" s="2">
        <v>0</v>
      </c>
      <c r="E13563" s="2">
        <v>2873.62</v>
      </c>
      <c r="F13563" t="s">
        <v>13</v>
      </c>
      <c r="G13563" t="s">
        <v>9</v>
      </c>
    </row>
    <row r="13564" spans="1:7" x14ac:dyDescent="0.35">
      <c r="A13564">
        <v>5392</v>
      </c>
      <c r="B13564" s="1">
        <v>45938</v>
      </c>
      <c r="C13564" t="s">
        <v>24</v>
      </c>
      <c r="D13564" s="2">
        <v>3238.47</v>
      </c>
      <c r="E13564" s="2">
        <v>0</v>
      </c>
      <c r="F13564" t="s">
        <v>8</v>
      </c>
      <c r="G13564" t="s">
        <v>9</v>
      </c>
    </row>
    <row r="13565" spans="1:7" x14ac:dyDescent="0.35">
      <c r="A13565">
        <v>5392</v>
      </c>
      <c r="B13565" s="1">
        <v>45938</v>
      </c>
      <c r="C13565" t="s">
        <v>24</v>
      </c>
      <c r="D13565" s="2">
        <v>0</v>
      </c>
      <c r="E13565" s="2">
        <v>3238.47</v>
      </c>
      <c r="F13565" t="s">
        <v>13</v>
      </c>
      <c r="G13565" t="s">
        <v>9</v>
      </c>
    </row>
    <row r="13566" spans="1:7" x14ac:dyDescent="0.35">
      <c r="A13566">
        <v>5393</v>
      </c>
      <c r="B13566" s="1">
        <v>45938</v>
      </c>
      <c r="C13566" t="s">
        <v>24</v>
      </c>
      <c r="D13566" s="2">
        <v>4734.01</v>
      </c>
      <c r="E13566" s="2">
        <v>0</v>
      </c>
      <c r="F13566" t="s">
        <v>8</v>
      </c>
      <c r="G13566" t="s">
        <v>9</v>
      </c>
    </row>
    <row r="13567" spans="1:7" x14ac:dyDescent="0.35">
      <c r="A13567">
        <v>5393</v>
      </c>
      <c r="B13567" s="1">
        <v>45938</v>
      </c>
      <c r="C13567" t="s">
        <v>24</v>
      </c>
      <c r="D13567" s="2">
        <v>0</v>
      </c>
      <c r="E13567" s="2">
        <v>4734.01</v>
      </c>
      <c r="F13567" t="s">
        <v>13</v>
      </c>
      <c r="G13567" t="s">
        <v>9</v>
      </c>
    </row>
    <row r="13568" spans="1:7" x14ac:dyDescent="0.35">
      <c r="A13568">
        <v>5394</v>
      </c>
      <c r="B13568" s="1">
        <v>45938</v>
      </c>
      <c r="C13568" t="s">
        <v>24</v>
      </c>
      <c r="D13568" s="2">
        <v>1083.31</v>
      </c>
      <c r="E13568" s="2">
        <v>0</v>
      </c>
      <c r="F13568" t="s">
        <v>8</v>
      </c>
      <c r="G13568" t="s">
        <v>9</v>
      </c>
    </row>
    <row r="13569" spans="1:7" x14ac:dyDescent="0.35">
      <c r="A13569">
        <v>5394</v>
      </c>
      <c r="B13569" s="1">
        <v>45938</v>
      </c>
      <c r="C13569" t="s">
        <v>24</v>
      </c>
      <c r="D13569" s="2">
        <v>0</v>
      </c>
      <c r="E13569" s="2">
        <v>1083.31</v>
      </c>
      <c r="F13569" t="s">
        <v>13</v>
      </c>
      <c r="G13569" t="s">
        <v>9</v>
      </c>
    </row>
    <row r="13570" spans="1:7" x14ac:dyDescent="0.35">
      <c r="A13570">
        <v>5395</v>
      </c>
      <c r="B13570" s="1">
        <v>45938</v>
      </c>
      <c r="C13570" t="s">
        <v>24</v>
      </c>
      <c r="D13570" s="2">
        <v>5150.54</v>
      </c>
      <c r="E13570" s="2">
        <v>0</v>
      </c>
      <c r="F13570" t="s">
        <v>8</v>
      </c>
      <c r="G13570" t="s">
        <v>9</v>
      </c>
    </row>
    <row r="13571" spans="1:7" x14ac:dyDescent="0.35">
      <c r="A13571">
        <v>5395</v>
      </c>
      <c r="B13571" s="1">
        <v>45938</v>
      </c>
      <c r="C13571" t="s">
        <v>24</v>
      </c>
      <c r="D13571" s="2">
        <v>0</v>
      </c>
      <c r="E13571" s="2">
        <v>5150.54</v>
      </c>
      <c r="F13571" t="s">
        <v>13</v>
      </c>
      <c r="G13571" t="s">
        <v>9</v>
      </c>
    </row>
    <row r="13572" spans="1:7" x14ac:dyDescent="0.35">
      <c r="A13572">
        <v>5396</v>
      </c>
      <c r="B13572" s="1">
        <v>45938</v>
      </c>
      <c r="C13572" t="s">
        <v>24</v>
      </c>
      <c r="D13572" s="2">
        <v>1613.46</v>
      </c>
      <c r="E13572" s="2">
        <v>0</v>
      </c>
      <c r="F13572" t="s">
        <v>8</v>
      </c>
      <c r="G13572" t="s">
        <v>9</v>
      </c>
    </row>
    <row r="13573" spans="1:7" x14ac:dyDescent="0.35">
      <c r="A13573">
        <v>5396</v>
      </c>
      <c r="B13573" s="1">
        <v>45938</v>
      </c>
      <c r="C13573" t="s">
        <v>24</v>
      </c>
      <c r="D13573" s="2">
        <v>0</v>
      </c>
      <c r="E13573" s="2">
        <v>1613.46</v>
      </c>
      <c r="F13573" t="s">
        <v>13</v>
      </c>
      <c r="G13573" t="s">
        <v>9</v>
      </c>
    </row>
    <row r="13574" spans="1:7" x14ac:dyDescent="0.35">
      <c r="A13574">
        <v>5397</v>
      </c>
      <c r="B13574" s="1">
        <v>45938</v>
      </c>
      <c r="C13574" t="s">
        <v>24</v>
      </c>
      <c r="D13574" s="2">
        <v>4023.06</v>
      </c>
      <c r="E13574" s="2">
        <v>0</v>
      </c>
      <c r="F13574" t="s">
        <v>8</v>
      </c>
      <c r="G13574" t="s">
        <v>9</v>
      </c>
    </row>
    <row r="13575" spans="1:7" x14ac:dyDescent="0.35">
      <c r="A13575">
        <v>5397</v>
      </c>
      <c r="B13575" s="1">
        <v>45938</v>
      </c>
      <c r="C13575" t="s">
        <v>24</v>
      </c>
      <c r="D13575" s="2">
        <v>0</v>
      </c>
      <c r="E13575" s="2">
        <v>4023.06</v>
      </c>
      <c r="F13575" t="s">
        <v>13</v>
      </c>
      <c r="G13575" t="s">
        <v>9</v>
      </c>
    </row>
    <row r="13576" spans="1:7" x14ac:dyDescent="0.35">
      <c r="A13576">
        <v>5398</v>
      </c>
      <c r="B13576" s="1">
        <v>45938</v>
      </c>
      <c r="C13576" t="s">
        <v>25</v>
      </c>
      <c r="D13576" s="2">
        <v>1947.24</v>
      </c>
      <c r="E13576" s="2">
        <v>0</v>
      </c>
      <c r="F13576" t="s">
        <v>26</v>
      </c>
      <c r="G13576" t="s">
        <v>20</v>
      </c>
    </row>
    <row r="13577" spans="1:7" x14ac:dyDescent="0.35">
      <c r="A13577">
        <v>5398</v>
      </c>
      <c r="B13577" s="1">
        <v>45938</v>
      </c>
      <c r="C13577" t="s">
        <v>25</v>
      </c>
      <c r="D13577" s="2">
        <v>146.04</v>
      </c>
      <c r="E13577" s="2">
        <v>0</v>
      </c>
      <c r="F13577" t="s">
        <v>27</v>
      </c>
      <c r="G13577" t="s">
        <v>9</v>
      </c>
    </row>
    <row r="13578" spans="1:7" x14ac:dyDescent="0.35">
      <c r="A13578">
        <v>5398</v>
      </c>
      <c r="B13578" s="1">
        <v>45938</v>
      </c>
      <c r="C13578" t="s">
        <v>25</v>
      </c>
      <c r="D13578" s="2">
        <v>0</v>
      </c>
      <c r="E13578" s="2">
        <v>2093.2800000000002</v>
      </c>
      <c r="F13578" t="s">
        <v>28</v>
      </c>
      <c r="G13578" t="s">
        <v>17</v>
      </c>
    </row>
    <row r="13579" spans="1:7" x14ac:dyDescent="0.35">
      <c r="A13579">
        <v>5399</v>
      </c>
      <c r="B13579" s="1">
        <v>45938</v>
      </c>
      <c r="C13579" t="s">
        <v>29</v>
      </c>
      <c r="D13579" s="2">
        <v>3868.8</v>
      </c>
      <c r="E13579" s="2">
        <v>0</v>
      </c>
      <c r="F13579" t="s">
        <v>28</v>
      </c>
      <c r="G13579" t="s">
        <v>17</v>
      </c>
    </row>
    <row r="13580" spans="1:7" x14ac:dyDescent="0.35">
      <c r="A13580">
        <v>5399</v>
      </c>
      <c r="B13580" s="1">
        <v>45938</v>
      </c>
      <c r="C13580" t="s">
        <v>29</v>
      </c>
      <c r="D13580" s="2">
        <v>0</v>
      </c>
      <c r="E13580" s="2">
        <v>3868.8</v>
      </c>
      <c r="F13580" t="s">
        <v>8</v>
      </c>
      <c r="G13580" t="s">
        <v>9</v>
      </c>
    </row>
    <row r="13581" spans="1:7" x14ac:dyDescent="0.35">
      <c r="A13581">
        <v>5400</v>
      </c>
      <c r="B13581" s="1">
        <v>45938</v>
      </c>
      <c r="C13581" t="s">
        <v>29</v>
      </c>
      <c r="D13581" s="2">
        <v>550.4</v>
      </c>
      <c r="E13581" s="2">
        <v>0</v>
      </c>
      <c r="F13581" t="s">
        <v>28</v>
      </c>
      <c r="G13581" t="s">
        <v>17</v>
      </c>
    </row>
    <row r="13582" spans="1:7" x14ac:dyDescent="0.35">
      <c r="A13582">
        <v>5400</v>
      </c>
      <c r="B13582" s="1">
        <v>45938</v>
      </c>
      <c r="C13582" t="s">
        <v>29</v>
      </c>
      <c r="D13582" s="2">
        <v>0</v>
      </c>
      <c r="E13582" s="2">
        <v>550.4</v>
      </c>
      <c r="F13582" t="s">
        <v>8</v>
      </c>
      <c r="G13582" t="s">
        <v>9</v>
      </c>
    </row>
    <row r="13583" spans="1:7" x14ac:dyDescent="0.35">
      <c r="A13583">
        <v>5401</v>
      </c>
      <c r="B13583" s="1">
        <v>45939</v>
      </c>
      <c r="C13583" t="s">
        <v>18</v>
      </c>
      <c r="D13583" s="2">
        <v>22681.64</v>
      </c>
      <c r="E13583" s="2">
        <v>0</v>
      </c>
      <c r="F13583" t="s">
        <v>19</v>
      </c>
      <c r="G13583" t="s">
        <v>20</v>
      </c>
    </row>
    <row r="13584" spans="1:7" x14ac:dyDescent="0.35">
      <c r="A13584">
        <v>5401</v>
      </c>
      <c r="B13584" s="1">
        <v>45939</v>
      </c>
      <c r="C13584" t="s">
        <v>18</v>
      </c>
      <c r="D13584" s="2">
        <v>907.27</v>
      </c>
      <c r="E13584" s="2">
        <v>0</v>
      </c>
      <c r="F13584" t="s">
        <v>21</v>
      </c>
      <c r="G13584" t="s">
        <v>20</v>
      </c>
    </row>
    <row r="13585" spans="1:7" x14ac:dyDescent="0.35">
      <c r="A13585">
        <v>5401</v>
      </c>
      <c r="B13585" s="1">
        <v>45939</v>
      </c>
      <c r="C13585" t="s">
        <v>18</v>
      </c>
      <c r="D13585" s="2">
        <v>0</v>
      </c>
      <c r="E13585" s="2">
        <v>18329.060000000001</v>
      </c>
      <c r="F13585" t="s">
        <v>8</v>
      </c>
      <c r="G13585" t="s">
        <v>9</v>
      </c>
    </row>
    <row r="13586" spans="1:7" x14ac:dyDescent="0.35">
      <c r="A13586">
        <v>5401</v>
      </c>
      <c r="B13586" s="1">
        <v>45939</v>
      </c>
      <c r="C13586" t="s">
        <v>18</v>
      </c>
      <c r="D13586" s="2">
        <v>0</v>
      </c>
      <c r="E13586" s="2">
        <v>4352.58</v>
      </c>
      <c r="F13586" t="s">
        <v>22</v>
      </c>
      <c r="G13586" t="s">
        <v>17</v>
      </c>
    </row>
    <row r="13587" spans="1:7" x14ac:dyDescent="0.35">
      <c r="A13587">
        <v>5401</v>
      </c>
      <c r="B13587" s="1">
        <v>45939</v>
      </c>
      <c r="C13587" t="s">
        <v>18</v>
      </c>
      <c r="D13587" s="2">
        <v>0</v>
      </c>
      <c r="E13587" s="2">
        <v>907.27</v>
      </c>
      <c r="F13587" t="s">
        <v>23</v>
      </c>
      <c r="G13587" t="s">
        <v>17</v>
      </c>
    </row>
    <row r="13588" spans="1:7" x14ac:dyDescent="0.35">
      <c r="A13588">
        <v>5402</v>
      </c>
      <c r="B13588" s="1">
        <v>45939</v>
      </c>
      <c r="C13588" t="s">
        <v>12</v>
      </c>
      <c r="D13588" s="2">
        <v>1358.81</v>
      </c>
      <c r="E13588" s="2">
        <v>0</v>
      </c>
      <c r="F13588" t="s">
        <v>13</v>
      </c>
      <c r="G13588" t="s">
        <v>9</v>
      </c>
    </row>
    <row r="13589" spans="1:7" x14ac:dyDescent="0.35">
      <c r="A13589">
        <v>5402</v>
      </c>
      <c r="B13589" s="1">
        <v>45939</v>
      </c>
      <c r="C13589" t="s">
        <v>12</v>
      </c>
      <c r="D13589" s="2">
        <v>0</v>
      </c>
      <c r="E13589" s="2">
        <v>1264</v>
      </c>
      <c r="F13589" t="s">
        <v>14</v>
      </c>
      <c r="G13589" t="s">
        <v>15</v>
      </c>
    </row>
    <row r="13590" spans="1:7" x14ac:dyDescent="0.35">
      <c r="A13590">
        <v>5402</v>
      </c>
      <c r="B13590" s="1">
        <v>45939</v>
      </c>
      <c r="C13590" t="s">
        <v>12</v>
      </c>
      <c r="D13590" s="2">
        <v>0</v>
      </c>
      <c r="E13590" s="2">
        <v>94.81</v>
      </c>
      <c r="F13590" t="s">
        <v>16</v>
      </c>
      <c r="G13590" t="s">
        <v>17</v>
      </c>
    </row>
    <row r="13591" spans="1:7" x14ac:dyDescent="0.35">
      <c r="A13591">
        <v>5403</v>
      </c>
      <c r="B13591" s="1">
        <v>45939</v>
      </c>
      <c r="C13591" t="s">
        <v>24</v>
      </c>
      <c r="D13591" s="2">
        <v>1888.92</v>
      </c>
      <c r="E13591" s="2">
        <v>0</v>
      </c>
      <c r="F13591" t="s">
        <v>8</v>
      </c>
      <c r="G13591" t="s">
        <v>9</v>
      </c>
    </row>
    <row r="13592" spans="1:7" x14ac:dyDescent="0.35">
      <c r="A13592">
        <v>5403</v>
      </c>
      <c r="B13592" s="1">
        <v>45939</v>
      </c>
      <c r="C13592" t="s">
        <v>24</v>
      </c>
      <c r="D13592" s="2">
        <v>0</v>
      </c>
      <c r="E13592" s="2">
        <v>1888.92</v>
      </c>
      <c r="F13592" t="s">
        <v>13</v>
      </c>
      <c r="G13592" t="s">
        <v>9</v>
      </c>
    </row>
    <row r="13593" spans="1:7" x14ac:dyDescent="0.35">
      <c r="A13593">
        <v>5404</v>
      </c>
      <c r="B13593" s="1">
        <v>45939</v>
      </c>
      <c r="C13593" t="s">
        <v>24</v>
      </c>
      <c r="D13593" s="2">
        <v>1644.19</v>
      </c>
      <c r="E13593" s="2">
        <v>0</v>
      </c>
      <c r="F13593" t="s">
        <v>8</v>
      </c>
      <c r="G13593" t="s">
        <v>9</v>
      </c>
    </row>
    <row r="13594" spans="1:7" x14ac:dyDescent="0.35">
      <c r="A13594">
        <v>5404</v>
      </c>
      <c r="B13594" s="1">
        <v>45939</v>
      </c>
      <c r="C13594" t="s">
        <v>24</v>
      </c>
      <c r="D13594" s="2">
        <v>0</v>
      </c>
      <c r="E13594" s="2">
        <v>1644.19</v>
      </c>
      <c r="F13594" t="s">
        <v>13</v>
      </c>
      <c r="G13594" t="s">
        <v>9</v>
      </c>
    </row>
    <row r="13595" spans="1:7" x14ac:dyDescent="0.35">
      <c r="A13595">
        <v>5405</v>
      </c>
      <c r="B13595" s="1">
        <v>45939</v>
      </c>
      <c r="C13595" t="s">
        <v>24</v>
      </c>
      <c r="D13595" s="2">
        <v>1575.11</v>
      </c>
      <c r="E13595" s="2">
        <v>0</v>
      </c>
      <c r="F13595" t="s">
        <v>8</v>
      </c>
      <c r="G13595" t="s">
        <v>9</v>
      </c>
    </row>
    <row r="13596" spans="1:7" x14ac:dyDescent="0.35">
      <c r="A13596">
        <v>5405</v>
      </c>
      <c r="B13596" s="1">
        <v>45939</v>
      </c>
      <c r="C13596" t="s">
        <v>24</v>
      </c>
      <c r="D13596" s="2">
        <v>0</v>
      </c>
      <c r="E13596" s="2">
        <v>1575.11</v>
      </c>
      <c r="F13596" t="s">
        <v>13</v>
      </c>
      <c r="G13596" t="s">
        <v>9</v>
      </c>
    </row>
    <row r="13597" spans="1:7" x14ac:dyDescent="0.35">
      <c r="A13597">
        <v>5406</v>
      </c>
      <c r="B13597" s="1">
        <v>45939</v>
      </c>
      <c r="C13597" t="s">
        <v>24</v>
      </c>
      <c r="D13597" s="2">
        <v>143.66</v>
      </c>
      <c r="E13597" s="2">
        <v>0</v>
      </c>
      <c r="F13597" t="s">
        <v>8</v>
      </c>
      <c r="G13597" t="s">
        <v>9</v>
      </c>
    </row>
    <row r="13598" spans="1:7" x14ac:dyDescent="0.35">
      <c r="A13598">
        <v>5406</v>
      </c>
      <c r="B13598" s="1">
        <v>45939</v>
      </c>
      <c r="C13598" t="s">
        <v>24</v>
      </c>
      <c r="D13598" s="2">
        <v>0</v>
      </c>
      <c r="E13598" s="2">
        <v>143.66</v>
      </c>
      <c r="F13598" t="s">
        <v>13</v>
      </c>
      <c r="G13598" t="s">
        <v>9</v>
      </c>
    </row>
    <row r="13599" spans="1:7" x14ac:dyDescent="0.35">
      <c r="A13599">
        <v>5407</v>
      </c>
      <c r="B13599" s="1">
        <v>45939</v>
      </c>
      <c r="C13599" t="s">
        <v>24</v>
      </c>
      <c r="D13599" s="2">
        <v>2072.88</v>
      </c>
      <c r="E13599" s="2">
        <v>0</v>
      </c>
      <c r="F13599" t="s">
        <v>8</v>
      </c>
      <c r="G13599" t="s">
        <v>9</v>
      </c>
    </row>
    <row r="13600" spans="1:7" x14ac:dyDescent="0.35">
      <c r="A13600">
        <v>5407</v>
      </c>
      <c r="B13600" s="1">
        <v>45939</v>
      </c>
      <c r="C13600" t="s">
        <v>24</v>
      </c>
      <c r="D13600" s="2">
        <v>0</v>
      </c>
      <c r="E13600" s="2">
        <v>2072.88</v>
      </c>
      <c r="F13600" t="s">
        <v>13</v>
      </c>
      <c r="G13600" t="s">
        <v>9</v>
      </c>
    </row>
    <row r="13601" spans="1:7" x14ac:dyDescent="0.35">
      <c r="A13601">
        <v>5408</v>
      </c>
      <c r="B13601" s="1">
        <v>45939</v>
      </c>
      <c r="C13601" t="s">
        <v>24</v>
      </c>
      <c r="D13601" s="2">
        <v>940.92</v>
      </c>
      <c r="E13601" s="2">
        <v>0</v>
      </c>
      <c r="F13601" t="s">
        <v>8</v>
      </c>
      <c r="G13601" t="s">
        <v>9</v>
      </c>
    </row>
    <row r="13602" spans="1:7" x14ac:dyDescent="0.35">
      <c r="A13602">
        <v>5408</v>
      </c>
      <c r="B13602" s="1">
        <v>45939</v>
      </c>
      <c r="C13602" t="s">
        <v>24</v>
      </c>
      <c r="D13602" s="2">
        <v>0</v>
      </c>
      <c r="E13602" s="2">
        <v>940.92</v>
      </c>
      <c r="F13602" t="s">
        <v>13</v>
      </c>
      <c r="G13602" t="s">
        <v>9</v>
      </c>
    </row>
    <row r="13603" spans="1:7" x14ac:dyDescent="0.35">
      <c r="A13603">
        <v>5409</v>
      </c>
      <c r="B13603" s="1">
        <v>45940</v>
      </c>
      <c r="C13603" t="s">
        <v>12</v>
      </c>
      <c r="D13603" s="2">
        <v>2356.63</v>
      </c>
      <c r="E13603" s="2">
        <v>0</v>
      </c>
      <c r="F13603" t="s">
        <v>13</v>
      </c>
      <c r="G13603" t="s">
        <v>9</v>
      </c>
    </row>
    <row r="13604" spans="1:7" x14ac:dyDescent="0.35">
      <c r="A13604">
        <v>5409</v>
      </c>
      <c r="B13604" s="1">
        <v>45940</v>
      </c>
      <c r="C13604" t="s">
        <v>12</v>
      </c>
      <c r="D13604" s="2">
        <v>0</v>
      </c>
      <c r="E13604" s="2">
        <v>2192.2199999999998</v>
      </c>
      <c r="F13604" t="s">
        <v>14</v>
      </c>
      <c r="G13604" t="s">
        <v>15</v>
      </c>
    </row>
    <row r="13605" spans="1:7" x14ac:dyDescent="0.35">
      <c r="A13605">
        <v>5409</v>
      </c>
      <c r="B13605" s="1">
        <v>45940</v>
      </c>
      <c r="C13605" t="s">
        <v>12</v>
      </c>
      <c r="D13605" s="2">
        <v>0</v>
      </c>
      <c r="E13605" s="2">
        <v>164.41</v>
      </c>
      <c r="F13605" t="s">
        <v>16</v>
      </c>
      <c r="G13605" t="s">
        <v>17</v>
      </c>
    </row>
    <row r="13606" spans="1:7" x14ac:dyDescent="0.35">
      <c r="A13606">
        <v>5410</v>
      </c>
      <c r="B13606" s="1">
        <v>45940</v>
      </c>
      <c r="C13606" t="s">
        <v>12</v>
      </c>
      <c r="D13606" s="2">
        <v>1163.44</v>
      </c>
      <c r="E13606" s="2">
        <v>0</v>
      </c>
      <c r="F13606" t="s">
        <v>13</v>
      </c>
      <c r="G13606" t="s">
        <v>9</v>
      </c>
    </row>
    <row r="13607" spans="1:7" x14ac:dyDescent="0.35">
      <c r="A13607">
        <v>5410</v>
      </c>
      <c r="B13607" s="1">
        <v>45940</v>
      </c>
      <c r="C13607" t="s">
        <v>12</v>
      </c>
      <c r="D13607" s="2">
        <v>0</v>
      </c>
      <c r="E13607" s="2">
        <v>1082.27</v>
      </c>
      <c r="F13607" t="s">
        <v>14</v>
      </c>
      <c r="G13607" t="s">
        <v>15</v>
      </c>
    </row>
    <row r="13608" spans="1:7" x14ac:dyDescent="0.35">
      <c r="A13608">
        <v>5410</v>
      </c>
      <c r="B13608" s="1">
        <v>45940</v>
      </c>
      <c r="C13608" t="s">
        <v>12</v>
      </c>
      <c r="D13608" s="2">
        <v>0</v>
      </c>
      <c r="E13608" s="2">
        <v>81.17</v>
      </c>
      <c r="F13608" t="s">
        <v>16</v>
      </c>
      <c r="G13608" t="s">
        <v>17</v>
      </c>
    </row>
    <row r="13609" spans="1:7" x14ac:dyDescent="0.35">
      <c r="A13609">
        <v>5411</v>
      </c>
      <c r="B13609" s="1">
        <v>45940</v>
      </c>
      <c r="C13609" t="s">
        <v>12</v>
      </c>
      <c r="D13609" s="2">
        <v>321.20999999999998</v>
      </c>
      <c r="E13609" s="2">
        <v>0</v>
      </c>
      <c r="F13609" t="s">
        <v>13</v>
      </c>
      <c r="G13609" t="s">
        <v>9</v>
      </c>
    </row>
    <row r="13610" spans="1:7" x14ac:dyDescent="0.35">
      <c r="A13610">
        <v>5411</v>
      </c>
      <c r="B13610" s="1">
        <v>45940</v>
      </c>
      <c r="C13610" t="s">
        <v>12</v>
      </c>
      <c r="D13610" s="2">
        <v>0</v>
      </c>
      <c r="E13610" s="2">
        <v>298.8</v>
      </c>
      <c r="F13610" t="s">
        <v>14</v>
      </c>
      <c r="G13610" t="s">
        <v>15</v>
      </c>
    </row>
    <row r="13611" spans="1:7" x14ac:dyDescent="0.35">
      <c r="A13611">
        <v>5411</v>
      </c>
      <c r="B13611" s="1">
        <v>45940</v>
      </c>
      <c r="C13611" t="s">
        <v>12</v>
      </c>
      <c r="D13611" s="2">
        <v>0</v>
      </c>
      <c r="E13611" s="2">
        <v>22.41</v>
      </c>
      <c r="F13611" t="s">
        <v>16</v>
      </c>
      <c r="G13611" t="s">
        <v>17</v>
      </c>
    </row>
    <row r="13612" spans="1:7" x14ac:dyDescent="0.35">
      <c r="A13612">
        <v>5412</v>
      </c>
      <c r="B13612" s="1">
        <v>45940</v>
      </c>
      <c r="C13612" t="s">
        <v>12</v>
      </c>
      <c r="D13612" s="2">
        <v>1113.08</v>
      </c>
      <c r="E13612" s="2">
        <v>0</v>
      </c>
      <c r="F13612" t="s">
        <v>13</v>
      </c>
      <c r="G13612" t="s">
        <v>9</v>
      </c>
    </row>
    <row r="13613" spans="1:7" x14ac:dyDescent="0.35">
      <c r="A13613">
        <v>5412</v>
      </c>
      <c r="B13613" s="1">
        <v>45940</v>
      </c>
      <c r="C13613" t="s">
        <v>12</v>
      </c>
      <c r="D13613" s="2">
        <v>0</v>
      </c>
      <c r="E13613" s="2">
        <v>1035.42</v>
      </c>
      <c r="F13613" t="s">
        <v>14</v>
      </c>
      <c r="G13613" t="s">
        <v>15</v>
      </c>
    </row>
    <row r="13614" spans="1:7" x14ac:dyDescent="0.35">
      <c r="A13614">
        <v>5412</v>
      </c>
      <c r="B13614" s="1">
        <v>45940</v>
      </c>
      <c r="C13614" t="s">
        <v>12</v>
      </c>
      <c r="D13614" s="2">
        <v>0</v>
      </c>
      <c r="E13614" s="2">
        <v>77.66</v>
      </c>
      <c r="F13614" t="s">
        <v>16</v>
      </c>
      <c r="G13614" t="s">
        <v>17</v>
      </c>
    </row>
    <row r="13615" spans="1:7" x14ac:dyDescent="0.35">
      <c r="A13615">
        <v>5413</v>
      </c>
      <c r="B13615" s="1">
        <v>45940</v>
      </c>
      <c r="C13615" t="s">
        <v>12</v>
      </c>
      <c r="D13615" s="2">
        <v>5634.96</v>
      </c>
      <c r="E13615" s="2">
        <v>0</v>
      </c>
      <c r="F13615" t="s">
        <v>13</v>
      </c>
      <c r="G13615" t="s">
        <v>9</v>
      </c>
    </row>
    <row r="13616" spans="1:7" x14ac:dyDescent="0.35">
      <c r="A13616">
        <v>5413</v>
      </c>
      <c r="B13616" s="1">
        <v>45940</v>
      </c>
      <c r="C13616" t="s">
        <v>12</v>
      </c>
      <c r="D13616" s="2">
        <v>0</v>
      </c>
      <c r="E13616" s="2">
        <v>5241.82</v>
      </c>
      <c r="F13616" t="s">
        <v>14</v>
      </c>
      <c r="G13616" t="s">
        <v>15</v>
      </c>
    </row>
    <row r="13617" spans="1:7" x14ac:dyDescent="0.35">
      <c r="A13617">
        <v>5413</v>
      </c>
      <c r="B13617" s="1">
        <v>45940</v>
      </c>
      <c r="C13617" t="s">
        <v>12</v>
      </c>
      <c r="D13617" s="2">
        <v>0</v>
      </c>
      <c r="E13617" s="2">
        <v>393.14</v>
      </c>
      <c r="F13617" t="s">
        <v>16</v>
      </c>
      <c r="G13617" t="s">
        <v>17</v>
      </c>
    </row>
    <row r="13618" spans="1:7" x14ac:dyDescent="0.35">
      <c r="A13618">
        <v>5414</v>
      </c>
      <c r="B13618" s="1">
        <v>45940</v>
      </c>
      <c r="C13618" t="s">
        <v>12</v>
      </c>
      <c r="D13618" s="2">
        <v>383.98</v>
      </c>
      <c r="E13618" s="2">
        <v>0</v>
      </c>
      <c r="F13618" t="s">
        <v>13</v>
      </c>
      <c r="G13618" t="s">
        <v>9</v>
      </c>
    </row>
    <row r="13619" spans="1:7" x14ac:dyDescent="0.35">
      <c r="A13619">
        <v>5414</v>
      </c>
      <c r="B13619" s="1">
        <v>45940</v>
      </c>
      <c r="C13619" t="s">
        <v>12</v>
      </c>
      <c r="D13619" s="2">
        <v>0</v>
      </c>
      <c r="E13619" s="2">
        <v>357.19</v>
      </c>
      <c r="F13619" t="s">
        <v>14</v>
      </c>
      <c r="G13619" t="s">
        <v>15</v>
      </c>
    </row>
    <row r="13620" spans="1:7" x14ac:dyDescent="0.35">
      <c r="A13620">
        <v>5414</v>
      </c>
      <c r="B13620" s="1">
        <v>45940</v>
      </c>
      <c r="C13620" t="s">
        <v>12</v>
      </c>
      <c r="D13620" s="2">
        <v>0</v>
      </c>
      <c r="E13620" s="2">
        <v>26.79</v>
      </c>
      <c r="F13620" t="s">
        <v>16</v>
      </c>
      <c r="G13620" t="s">
        <v>17</v>
      </c>
    </row>
    <row r="13621" spans="1:7" x14ac:dyDescent="0.35">
      <c r="A13621">
        <v>5415</v>
      </c>
      <c r="B13621" s="1">
        <v>45940</v>
      </c>
      <c r="C13621" t="s">
        <v>24</v>
      </c>
      <c r="D13621" s="2">
        <v>1105.18</v>
      </c>
      <c r="E13621" s="2">
        <v>0</v>
      </c>
      <c r="F13621" t="s">
        <v>8</v>
      </c>
      <c r="G13621" t="s">
        <v>9</v>
      </c>
    </row>
    <row r="13622" spans="1:7" x14ac:dyDescent="0.35">
      <c r="A13622">
        <v>5415</v>
      </c>
      <c r="B13622" s="1">
        <v>45940</v>
      </c>
      <c r="C13622" t="s">
        <v>24</v>
      </c>
      <c r="D13622" s="2">
        <v>0</v>
      </c>
      <c r="E13622" s="2">
        <v>1105.18</v>
      </c>
      <c r="F13622" t="s">
        <v>13</v>
      </c>
      <c r="G13622" t="s">
        <v>9</v>
      </c>
    </row>
    <row r="13623" spans="1:7" x14ac:dyDescent="0.35">
      <c r="A13623">
        <v>5416</v>
      </c>
      <c r="B13623" s="1">
        <v>45940</v>
      </c>
      <c r="C13623" t="s">
        <v>24</v>
      </c>
      <c r="D13623" s="2">
        <v>2071.8000000000002</v>
      </c>
      <c r="E13623" s="2">
        <v>0</v>
      </c>
      <c r="F13623" t="s">
        <v>8</v>
      </c>
      <c r="G13623" t="s">
        <v>9</v>
      </c>
    </row>
    <row r="13624" spans="1:7" x14ac:dyDescent="0.35">
      <c r="A13624">
        <v>5416</v>
      </c>
      <c r="B13624" s="1">
        <v>45940</v>
      </c>
      <c r="C13624" t="s">
        <v>24</v>
      </c>
      <c r="D13624" s="2">
        <v>0</v>
      </c>
      <c r="E13624" s="2">
        <v>2071.8000000000002</v>
      </c>
      <c r="F13624" t="s">
        <v>13</v>
      </c>
      <c r="G13624" t="s">
        <v>9</v>
      </c>
    </row>
    <row r="13625" spans="1:7" x14ac:dyDescent="0.35">
      <c r="A13625">
        <v>5417</v>
      </c>
      <c r="B13625" s="1">
        <v>45940</v>
      </c>
      <c r="C13625" t="s">
        <v>24</v>
      </c>
      <c r="D13625" s="2">
        <v>1260.1199999999999</v>
      </c>
      <c r="E13625" s="2">
        <v>0</v>
      </c>
      <c r="F13625" t="s">
        <v>8</v>
      </c>
      <c r="G13625" t="s">
        <v>9</v>
      </c>
    </row>
    <row r="13626" spans="1:7" x14ac:dyDescent="0.35">
      <c r="A13626">
        <v>5417</v>
      </c>
      <c r="B13626" s="1">
        <v>45940</v>
      </c>
      <c r="C13626" t="s">
        <v>24</v>
      </c>
      <c r="D13626" s="2">
        <v>0</v>
      </c>
      <c r="E13626" s="2">
        <v>1260.1199999999999</v>
      </c>
      <c r="F13626" t="s">
        <v>13</v>
      </c>
      <c r="G13626" t="s">
        <v>9</v>
      </c>
    </row>
    <row r="13627" spans="1:7" x14ac:dyDescent="0.35">
      <c r="A13627">
        <v>5418</v>
      </c>
      <c r="B13627" s="1">
        <v>45940</v>
      </c>
      <c r="C13627" t="s">
        <v>24</v>
      </c>
      <c r="D13627" s="2">
        <v>396.8</v>
      </c>
      <c r="E13627" s="2">
        <v>0</v>
      </c>
      <c r="F13627" t="s">
        <v>8</v>
      </c>
      <c r="G13627" t="s">
        <v>9</v>
      </c>
    </row>
    <row r="13628" spans="1:7" x14ac:dyDescent="0.35">
      <c r="A13628">
        <v>5418</v>
      </c>
      <c r="B13628" s="1">
        <v>45940</v>
      </c>
      <c r="C13628" t="s">
        <v>24</v>
      </c>
      <c r="D13628" s="2">
        <v>0</v>
      </c>
      <c r="E13628" s="2">
        <v>396.8</v>
      </c>
      <c r="F13628" t="s">
        <v>13</v>
      </c>
      <c r="G13628" t="s">
        <v>9</v>
      </c>
    </row>
    <row r="13629" spans="1:7" x14ac:dyDescent="0.35">
      <c r="A13629">
        <v>5419</v>
      </c>
      <c r="B13629" s="1">
        <v>45940</v>
      </c>
      <c r="C13629" t="s">
        <v>24</v>
      </c>
      <c r="D13629" s="2">
        <v>5068.34</v>
      </c>
      <c r="E13629" s="2">
        <v>0</v>
      </c>
      <c r="F13629" t="s">
        <v>8</v>
      </c>
      <c r="G13629" t="s">
        <v>9</v>
      </c>
    </row>
    <row r="13630" spans="1:7" x14ac:dyDescent="0.35">
      <c r="A13630">
        <v>5419</v>
      </c>
      <c r="B13630" s="1">
        <v>45940</v>
      </c>
      <c r="C13630" t="s">
        <v>24</v>
      </c>
      <c r="D13630" s="2">
        <v>0</v>
      </c>
      <c r="E13630" s="2">
        <v>5068.34</v>
      </c>
      <c r="F13630" t="s">
        <v>13</v>
      </c>
      <c r="G13630" t="s">
        <v>9</v>
      </c>
    </row>
    <row r="13631" spans="1:7" x14ac:dyDescent="0.35">
      <c r="A13631">
        <v>5420</v>
      </c>
      <c r="B13631" s="1">
        <v>45940</v>
      </c>
      <c r="C13631" t="s">
        <v>24</v>
      </c>
      <c r="D13631" s="2">
        <v>2213.9</v>
      </c>
      <c r="E13631" s="2">
        <v>0</v>
      </c>
      <c r="F13631" t="s">
        <v>8</v>
      </c>
      <c r="G13631" t="s">
        <v>9</v>
      </c>
    </row>
    <row r="13632" spans="1:7" x14ac:dyDescent="0.35">
      <c r="A13632">
        <v>5420</v>
      </c>
      <c r="B13632" s="1">
        <v>45940</v>
      </c>
      <c r="C13632" t="s">
        <v>24</v>
      </c>
      <c r="D13632" s="2">
        <v>0</v>
      </c>
      <c r="E13632" s="2">
        <v>2213.9</v>
      </c>
      <c r="F13632" t="s">
        <v>13</v>
      </c>
      <c r="G13632" t="s">
        <v>9</v>
      </c>
    </row>
    <row r="13633" spans="1:7" x14ac:dyDescent="0.35">
      <c r="A13633">
        <v>5421</v>
      </c>
      <c r="B13633" s="1">
        <v>45940</v>
      </c>
      <c r="C13633" t="s">
        <v>24</v>
      </c>
      <c r="D13633" s="2">
        <v>1826.02</v>
      </c>
      <c r="E13633" s="2">
        <v>0</v>
      </c>
      <c r="F13633" t="s">
        <v>8</v>
      </c>
      <c r="G13633" t="s">
        <v>9</v>
      </c>
    </row>
    <row r="13634" spans="1:7" x14ac:dyDescent="0.35">
      <c r="A13634">
        <v>5421</v>
      </c>
      <c r="B13634" s="1">
        <v>45940</v>
      </c>
      <c r="C13634" t="s">
        <v>24</v>
      </c>
      <c r="D13634" s="2">
        <v>0</v>
      </c>
      <c r="E13634" s="2">
        <v>1826.02</v>
      </c>
      <c r="F13634" t="s">
        <v>13</v>
      </c>
      <c r="G13634" t="s">
        <v>9</v>
      </c>
    </row>
    <row r="13635" spans="1:7" x14ac:dyDescent="0.35">
      <c r="A13635">
        <v>5422</v>
      </c>
      <c r="B13635" s="1">
        <v>45940</v>
      </c>
      <c r="C13635" t="s">
        <v>25</v>
      </c>
      <c r="D13635" s="2">
        <v>696.06</v>
      </c>
      <c r="E13635" s="2">
        <v>0</v>
      </c>
      <c r="F13635" t="s">
        <v>26</v>
      </c>
      <c r="G13635" t="s">
        <v>20</v>
      </c>
    </row>
    <row r="13636" spans="1:7" x14ac:dyDescent="0.35">
      <c r="A13636">
        <v>5422</v>
      </c>
      <c r="B13636" s="1">
        <v>45940</v>
      </c>
      <c r="C13636" t="s">
        <v>25</v>
      </c>
      <c r="D13636" s="2">
        <v>52.2</v>
      </c>
      <c r="E13636" s="2">
        <v>0</v>
      </c>
      <c r="F13636" t="s">
        <v>27</v>
      </c>
      <c r="G13636" t="s">
        <v>9</v>
      </c>
    </row>
    <row r="13637" spans="1:7" x14ac:dyDescent="0.35">
      <c r="A13637">
        <v>5422</v>
      </c>
      <c r="B13637" s="1">
        <v>45940</v>
      </c>
      <c r="C13637" t="s">
        <v>25</v>
      </c>
      <c r="D13637" s="2">
        <v>0</v>
      </c>
      <c r="E13637" s="2">
        <v>748.26</v>
      </c>
      <c r="F13637" t="s">
        <v>28</v>
      </c>
      <c r="G13637" t="s">
        <v>17</v>
      </c>
    </row>
    <row r="13638" spans="1:7" x14ac:dyDescent="0.35">
      <c r="A13638">
        <v>5423</v>
      </c>
      <c r="B13638" s="1">
        <v>45940</v>
      </c>
      <c r="C13638" t="s">
        <v>25</v>
      </c>
      <c r="D13638" s="2">
        <v>257.04000000000002</v>
      </c>
      <c r="E13638" s="2">
        <v>0</v>
      </c>
      <c r="F13638" t="s">
        <v>26</v>
      </c>
      <c r="G13638" t="s">
        <v>20</v>
      </c>
    </row>
    <row r="13639" spans="1:7" x14ac:dyDescent="0.35">
      <c r="A13639">
        <v>5423</v>
      </c>
      <c r="B13639" s="1">
        <v>45940</v>
      </c>
      <c r="C13639" t="s">
        <v>25</v>
      </c>
      <c r="D13639" s="2">
        <v>19.28</v>
      </c>
      <c r="E13639" s="2">
        <v>0</v>
      </c>
      <c r="F13639" t="s">
        <v>27</v>
      </c>
      <c r="G13639" t="s">
        <v>9</v>
      </c>
    </row>
    <row r="13640" spans="1:7" x14ac:dyDescent="0.35">
      <c r="A13640">
        <v>5423</v>
      </c>
      <c r="B13640" s="1">
        <v>45940</v>
      </c>
      <c r="C13640" t="s">
        <v>25</v>
      </c>
      <c r="D13640" s="2">
        <v>0</v>
      </c>
      <c r="E13640" s="2">
        <v>276.32</v>
      </c>
      <c r="F13640" t="s">
        <v>28</v>
      </c>
      <c r="G13640" t="s">
        <v>17</v>
      </c>
    </row>
    <row r="13641" spans="1:7" x14ac:dyDescent="0.35">
      <c r="A13641">
        <v>5424</v>
      </c>
      <c r="B13641" s="1">
        <v>45940</v>
      </c>
      <c r="C13641" t="s">
        <v>29</v>
      </c>
      <c r="D13641" s="2">
        <v>201.5</v>
      </c>
      <c r="E13641" s="2">
        <v>0</v>
      </c>
      <c r="F13641" t="s">
        <v>28</v>
      </c>
      <c r="G13641" t="s">
        <v>17</v>
      </c>
    </row>
    <row r="13642" spans="1:7" x14ac:dyDescent="0.35">
      <c r="A13642">
        <v>5424</v>
      </c>
      <c r="B13642" s="1">
        <v>45940</v>
      </c>
      <c r="C13642" t="s">
        <v>29</v>
      </c>
      <c r="D13642" s="2">
        <v>0</v>
      </c>
      <c r="E13642" s="2">
        <v>201.5</v>
      </c>
      <c r="F13642" t="s">
        <v>8</v>
      </c>
      <c r="G13642" t="s">
        <v>9</v>
      </c>
    </row>
    <row r="13643" spans="1:7" x14ac:dyDescent="0.35">
      <c r="A13643">
        <v>5425</v>
      </c>
      <c r="B13643" s="1">
        <v>45940</v>
      </c>
      <c r="C13643" t="s">
        <v>29</v>
      </c>
      <c r="D13643" s="2">
        <v>1935.04</v>
      </c>
      <c r="E13643" s="2">
        <v>0</v>
      </c>
      <c r="F13643" t="s">
        <v>28</v>
      </c>
      <c r="G13643" t="s">
        <v>17</v>
      </c>
    </row>
    <row r="13644" spans="1:7" x14ac:dyDescent="0.35">
      <c r="A13644">
        <v>5425</v>
      </c>
      <c r="B13644" s="1">
        <v>45940</v>
      </c>
      <c r="C13644" t="s">
        <v>29</v>
      </c>
      <c r="D13644" s="2">
        <v>0</v>
      </c>
      <c r="E13644" s="2">
        <v>1935.04</v>
      </c>
      <c r="F13644" t="s">
        <v>8</v>
      </c>
      <c r="G13644" t="s">
        <v>9</v>
      </c>
    </row>
    <row r="13645" spans="1:7" x14ac:dyDescent="0.35">
      <c r="A13645">
        <v>5426</v>
      </c>
      <c r="B13645" s="1">
        <v>45940</v>
      </c>
      <c r="C13645" t="s">
        <v>29</v>
      </c>
      <c r="D13645" s="2">
        <v>179.01</v>
      </c>
      <c r="E13645" s="2">
        <v>0</v>
      </c>
      <c r="F13645" t="s">
        <v>28</v>
      </c>
      <c r="G13645" t="s">
        <v>17</v>
      </c>
    </row>
    <row r="13646" spans="1:7" x14ac:dyDescent="0.35">
      <c r="A13646">
        <v>5426</v>
      </c>
      <c r="B13646" s="1">
        <v>45940</v>
      </c>
      <c r="C13646" t="s">
        <v>29</v>
      </c>
      <c r="D13646" s="2">
        <v>0</v>
      </c>
      <c r="E13646" s="2">
        <v>179.01</v>
      </c>
      <c r="F13646" t="s">
        <v>8</v>
      </c>
      <c r="G13646" t="s">
        <v>9</v>
      </c>
    </row>
    <row r="13647" spans="1:7" x14ac:dyDescent="0.35">
      <c r="A13647">
        <v>5427</v>
      </c>
      <c r="B13647" s="1">
        <v>45943</v>
      </c>
      <c r="C13647" t="s">
        <v>12</v>
      </c>
      <c r="D13647" s="2">
        <v>782.6</v>
      </c>
      <c r="E13647" s="2">
        <v>0</v>
      </c>
      <c r="F13647" t="s">
        <v>13</v>
      </c>
      <c r="G13647" t="s">
        <v>9</v>
      </c>
    </row>
    <row r="13648" spans="1:7" x14ac:dyDescent="0.35">
      <c r="A13648">
        <v>5427</v>
      </c>
      <c r="B13648" s="1">
        <v>45943</v>
      </c>
      <c r="C13648" t="s">
        <v>12</v>
      </c>
      <c r="D13648" s="2">
        <v>0</v>
      </c>
      <c r="E13648" s="2">
        <v>728</v>
      </c>
      <c r="F13648" t="s">
        <v>14</v>
      </c>
      <c r="G13648" t="s">
        <v>15</v>
      </c>
    </row>
    <row r="13649" spans="1:7" x14ac:dyDescent="0.35">
      <c r="A13649">
        <v>5427</v>
      </c>
      <c r="B13649" s="1">
        <v>45943</v>
      </c>
      <c r="C13649" t="s">
        <v>12</v>
      </c>
      <c r="D13649" s="2">
        <v>0</v>
      </c>
      <c r="E13649" s="2">
        <v>54.6</v>
      </c>
      <c r="F13649" t="s">
        <v>16</v>
      </c>
      <c r="G13649" t="s">
        <v>17</v>
      </c>
    </row>
    <row r="13650" spans="1:7" x14ac:dyDescent="0.35">
      <c r="A13650">
        <v>5428</v>
      </c>
      <c r="B13650" s="1">
        <v>45943</v>
      </c>
      <c r="C13650" t="s">
        <v>12</v>
      </c>
      <c r="D13650" s="2">
        <v>1941.01</v>
      </c>
      <c r="E13650" s="2">
        <v>0</v>
      </c>
      <c r="F13650" t="s">
        <v>13</v>
      </c>
      <c r="G13650" t="s">
        <v>9</v>
      </c>
    </row>
    <row r="13651" spans="1:7" x14ac:dyDescent="0.35">
      <c r="A13651">
        <v>5428</v>
      </c>
      <c r="B13651" s="1">
        <v>45943</v>
      </c>
      <c r="C13651" t="s">
        <v>12</v>
      </c>
      <c r="D13651" s="2">
        <v>0</v>
      </c>
      <c r="E13651" s="2">
        <v>1805.59</v>
      </c>
      <c r="F13651" t="s">
        <v>14</v>
      </c>
      <c r="G13651" t="s">
        <v>15</v>
      </c>
    </row>
    <row r="13652" spans="1:7" x14ac:dyDescent="0.35">
      <c r="A13652">
        <v>5428</v>
      </c>
      <c r="B13652" s="1">
        <v>45943</v>
      </c>
      <c r="C13652" t="s">
        <v>12</v>
      </c>
      <c r="D13652" s="2">
        <v>0</v>
      </c>
      <c r="E13652" s="2">
        <v>135.41999999999999</v>
      </c>
      <c r="F13652" t="s">
        <v>16</v>
      </c>
      <c r="G13652" t="s">
        <v>17</v>
      </c>
    </row>
    <row r="13653" spans="1:7" x14ac:dyDescent="0.35">
      <c r="A13653">
        <v>5429</v>
      </c>
      <c r="B13653" s="1">
        <v>45943</v>
      </c>
      <c r="C13653" t="s">
        <v>12</v>
      </c>
      <c r="D13653" s="2">
        <v>1391.07</v>
      </c>
      <c r="E13653" s="2">
        <v>0</v>
      </c>
      <c r="F13653" t="s">
        <v>13</v>
      </c>
      <c r="G13653" t="s">
        <v>9</v>
      </c>
    </row>
    <row r="13654" spans="1:7" x14ac:dyDescent="0.35">
      <c r="A13654">
        <v>5429</v>
      </c>
      <c r="B13654" s="1">
        <v>45943</v>
      </c>
      <c r="C13654" t="s">
        <v>12</v>
      </c>
      <c r="D13654" s="2">
        <v>0</v>
      </c>
      <c r="E13654" s="2">
        <v>1294.02</v>
      </c>
      <c r="F13654" t="s">
        <v>14</v>
      </c>
      <c r="G13654" t="s">
        <v>15</v>
      </c>
    </row>
    <row r="13655" spans="1:7" x14ac:dyDescent="0.35">
      <c r="A13655">
        <v>5429</v>
      </c>
      <c r="B13655" s="1">
        <v>45943</v>
      </c>
      <c r="C13655" t="s">
        <v>12</v>
      </c>
      <c r="D13655" s="2">
        <v>0</v>
      </c>
      <c r="E13655" s="2">
        <v>97.05</v>
      </c>
      <c r="F13655" t="s">
        <v>16</v>
      </c>
      <c r="G13655" t="s">
        <v>17</v>
      </c>
    </row>
    <row r="13656" spans="1:7" x14ac:dyDescent="0.35">
      <c r="A13656">
        <v>5430</v>
      </c>
      <c r="B13656" s="1">
        <v>45943</v>
      </c>
      <c r="C13656" t="s">
        <v>12</v>
      </c>
      <c r="D13656" s="2">
        <v>2091.27</v>
      </c>
      <c r="E13656" s="2">
        <v>0</v>
      </c>
      <c r="F13656" t="s">
        <v>13</v>
      </c>
      <c r="G13656" t="s">
        <v>9</v>
      </c>
    </row>
    <row r="13657" spans="1:7" x14ac:dyDescent="0.35">
      <c r="A13657">
        <v>5430</v>
      </c>
      <c r="B13657" s="1">
        <v>45943</v>
      </c>
      <c r="C13657" t="s">
        <v>12</v>
      </c>
      <c r="D13657" s="2">
        <v>0</v>
      </c>
      <c r="E13657" s="2">
        <v>1945.38</v>
      </c>
      <c r="F13657" t="s">
        <v>14</v>
      </c>
      <c r="G13657" t="s">
        <v>15</v>
      </c>
    </row>
    <row r="13658" spans="1:7" x14ac:dyDescent="0.35">
      <c r="A13658">
        <v>5430</v>
      </c>
      <c r="B13658" s="1">
        <v>45943</v>
      </c>
      <c r="C13658" t="s">
        <v>12</v>
      </c>
      <c r="D13658" s="2">
        <v>0</v>
      </c>
      <c r="E13658" s="2">
        <v>145.88999999999999</v>
      </c>
      <c r="F13658" t="s">
        <v>16</v>
      </c>
      <c r="G13658" t="s">
        <v>17</v>
      </c>
    </row>
    <row r="13659" spans="1:7" x14ac:dyDescent="0.35">
      <c r="A13659">
        <v>5431</v>
      </c>
      <c r="B13659" s="1">
        <v>45943</v>
      </c>
      <c r="C13659" t="s">
        <v>12</v>
      </c>
      <c r="D13659" s="2">
        <v>1028.1400000000001</v>
      </c>
      <c r="E13659" s="2">
        <v>0</v>
      </c>
      <c r="F13659" t="s">
        <v>13</v>
      </c>
      <c r="G13659" t="s">
        <v>9</v>
      </c>
    </row>
    <row r="13660" spans="1:7" x14ac:dyDescent="0.35">
      <c r="A13660">
        <v>5431</v>
      </c>
      <c r="B13660" s="1">
        <v>45943</v>
      </c>
      <c r="C13660" t="s">
        <v>12</v>
      </c>
      <c r="D13660" s="2">
        <v>0</v>
      </c>
      <c r="E13660" s="2">
        <v>956.4</v>
      </c>
      <c r="F13660" t="s">
        <v>14</v>
      </c>
      <c r="G13660" t="s">
        <v>15</v>
      </c>
    </row>
    <row r="13661" spans="1:7" x14ac:dyDescent="0.35">
      <c r="A13661">
        <v>5431</v>
      </c>
      <c r="B13661" s="1">
        <v>45943</v>
      </c>
      <c r="C13661" t="s">
        <v>12</v>
      </c>
      <c r="D13661" s="2">
        <v>0</v>
      </c>
      <c r="E13661" s="2">
        <v>71.739999999999995</v>
      </c>
      <c r="F13661" t="s">
        <v>16</v>
      </c>
      <c r="G13661" t="s">
        <v>17</v>
      </c>
    </row>
    <row r="13662" spans="1:7" x14ac:dyDescent="0.35">
      <c r="A13662">
        <v>5432</v>
      </c>
      <c r="B13662" s="1">
        <v>45943</v>
      </c>
      <c r="C13662" t="s">
        <v>12</v>
      </c>
      <c r="D13662" s="2">
        <v>3246.55</v>
      </c>
      <c r="E13662" s="2">
        <v>0</v>
      </c>
      <c r="F13662" t="s">
        <v>13</v>
      </c>
      <c r="G13662" t="s">
        <v>9</v>
      </c>
    </row>
    <row r="13663" spans="1:7" x14ac:dyDescent="0.35">
      <c r="A13663">
        <v>5432</v>
      </c>
      <c r="B13663" s="1">
        <v>45943</v>
      </c>
      <c r="C13663" t="s">
        <v>12</v>
      </c>
      <c r="D13663" s="2">
        <v>0</v>
      </c>
      <c r="E13663" s="2">
        <v>3020.05</v>
      </c>
      <c r="F13663" t="s">
        <v>14</v>
      </c>
      <c r="G13663" t="s">
        <v>15</v>
      </c>
    </row>
    <row r="13664" spans="1:7" x14ac:dyDescent="0.35">
      <c r="A13664">
        <v>5432</v>
      </c>
      <c r="B13664" s="1">
        <v>45943</v>
      </c>
      <c r="C13664" t="s">
        <v>12</v>
      </c>
      <c r="D13664" s="2">
        <v>0</v>
      </c>
      <c r="E13664" s="2">
        <v>226.5</v>
      </c>
      <c r="F13664" t="s">
        <v>16</v>
      </c>
      <c r="G13664" t="s">
        <v>17</v>
      </c>
    </row>
    <row r="13665" spans="1:7" x14ac:dyDescent="0.35">
      <c r="A13665">
        <v>5433</v>
      </c>
      <c r="B13665" s="1">
        <v>45943</v>
      </c>
      <c r="C13665" t="s">
        <v>12</v>
      </c>
      <c r="D13665" s="2">
        <v>4187.4799999999996</v>
      </c>
      <c r="E13665" s="2">
        <v>0</v>
      </c>
      <c r="F13665" t="s">
        <v>13</v>
      </c>
      <c r="G13665" t="s">
        <v>9</v>
      </c>
    </row>
    <row r="13666" spans="1:7" x14ac:dyDescent="0.35">
      <c r="A13666">
        <v>5433</v>
      </c>
      <c r="B13666" s="1">
        <v>45943</v>
      </c>
      <c r="C13666" t="s">
        <v>12</v>
      </c>
      <c r="D13666" s="2">
        <v>0</v>
      </c>
      <c r="E13666" s="2">
        <v>3895.32</v>
      </c>
      <c r="F13666" t="s">
        <v>14</v>
      </c>
      <c r="G13666" t="s">
        <v>15</v>
      </c>
    </row>
    <row r="13667" spans="1:7" x14ac:dyDescent="0.35">
      <c r="A13667">
        <v>5433</v>
      </c>
      <c r="B13667" s="1">
        <v>45943</v>
      </c>
      <c r="C13667" t="s">
        <v>12</v>
      </c>
      <c r="D13667" s="2">
        <v>0</v>
      </c>
      <c r="E13667" s="2">
        <v>292.16000000000003</v>
      </c>
      <c r="F13667" t="s">
        <v>16</v>
      </c>
      <c r="G13667" t="s">
        <v>17</v>
      </c>
    </row>
    <row r="13668" spans="1:7" x14ac:dyDescent="0.35">
      <c r="A13668">
        <v>5434</v>
      </c>
      <c r="B13668" s="1">
        <v>45943</v>
      </c>
      <c r="C13668" t="s">
        <v>12</v>
      </c>
      <c r="D13668" s="2">
        <v>3907.56</v>
      </c>
      <c r="E13668" s="2">
        <v>0</v>
      </c>
      <c r="F13668" t="s">
        <v>13</v>
      </c>
      <c r="G13668" t="s">
        <v>9</v>
      </c>
    </row>
    <row r="13669" spans="1:7" x14ac:dyDescent="0.35">
      <c r="A13669">
        <v>5434</v>
      </c>
      <c r="B13669" s="1">
        <v>45943</v>
      </c>
      <c r="C13669" t="s">
        <v>12</v>
      </c>
      <c r="D13669" s="2">
        <v>0</v>
      </c>
      <c r="E13669" s="2">
        <v>3634.95</v>
      </c>
      <c r="F13669" t="s">
        <v>14</v>
      </c>
      <c r="G13669" t="s">
        <v>15</v>
      </c>
    </row>
    <row r="13670" spans="1:7" x14ac:dyDescent="0.35">
      <c r="A13670">
        <v>5434</v>
      </c>
      <c r="B13670" s="1">
        <v>45943</v>
      </c>
      <c r="C13670" t="s">
        <v>12</v>
      </c>
      <c r="D13670" s="2">
        <v>0</v>
      </c>
      <c r="E13670" s="2">
        <v>272.61</v>
      </c>
      <c r="F13670" t="s">
        <v>16</v>
      </c>
      <c r="G13670" t="s">
        <v>17</v>
      </c>
    </row>
    <row r="13671" spans="1:7" x14ac:dyDescent="0.35">
      <c r="A13671">
        <v>5435</v>
      </c>
      <c r="B13671" s="1">
        <v>45943</v>
      </c>
      <c r="C13671" t="s">
        <v>24</v>
      </c>
      <c r="D13671" s="2">
        <v>995.44</v>
      </c>
      <c r="E13671" s="2">
        <v>0</v>
      </c>
      <c r="F13671" t="s">
        <v>8</v>
      </c>
      <c r="G13671" t="s">
        <v>9</v>
      </c>
    </row>
    <row r="13672" spans="1:7" x14ac:dyDescent="0.35">
      <c r="A13672">
        <v>5435</v>
      </c>
      <c r="B13672" s="1">
        <v>45943</v>
      </c>
      <c r="C13672" t="s">
        <v>24</v>
      </c>
      <c r="D13672" s="2">
        <v>0</v>
      </c>
      <c r="E13672" s="2">
        <v>995.44</v>
      </c>
      <c r="F13672" t="s">
        <v>13</v>
      </c>
      <c r="G13672" t="s">
        <v>9</v>
      </c>
    </row>
    <row r="13673" spans="1:7" x14ac:dyDescent="0.35">
      <c r="A13673">
        <v>5436</v>
      </c>
      <c r="B13673" s="1">
        <v>45943</v>
      </c>
      <c r="C13673" t="s">
        <v>24</v>
      </c>
      <c r="D13673" s="2">
        <v>14.85</v>
      </c>
      <c r="E13673" s="2">
        <v>0</v>
      </c>
      <c r="F13673" t="s">
        <v>8</v>
      </c>
      <c r="G13673" t="s">
        <v>9</v>
      </c>
    </row>
    <row r="13674" spans="1:7" x14ac:dyDescent="0.35">
      <c r="A13674">
        <v>5436</v>
      </c>
      <c r="B13674" s="1">
        <v>45943</v>
      </c>
      <c r="C13674" t="s">
        <v>24</v>
      </c>
      <c r="D13674" s="2">
        <v>0</v>
      </c>
      <c r="E13674" s="2">
        <v>14.85</v>
      </c>
      <c r="F13674" t="s">
        <v>13</v>
      </c>
      <c r="G13674" t="s">
        <v>9</v>
      </c>
    </row>
    <row r="13675" spans="1:7" x14ac:dyDescent="0.35">
      <c r="A13675">
        <v>5437</v>
      </c>
      <c r="B13675" s="1">
        <v>45943</v>
      </c>
      <c r="C13675" t="s">
        <v>24</v>
      </c>
      <c r="D13675" s="2">
        <v>5319.74</v>
      </c>
      <c r="E13675" s="2">
        <v>0</v>
      </c>
      <c r="F13675" t="s">
        <v>8</v>
      </c>
      <c r="G13675" t="s">
        <v>9</v>
      </c>
    </row>
    <row r="13676" spans="1:7" x14ac:dyDescent="0.35">
      <c r="A13676">
        <v>5437</v>
      </c>
      <c r="B13676" s="1">
        <v>45943</v>
      </c>
      <c r="C13676" t="s">
        <v>24</v>
      </c>
      <c r="D13676" s="2">
        <v>0</v>
      </c>
      <c r="E13676" s="2">
        <v>5319.74</v>
      </c>
      <c r="F13676" t="s">
        <v>13</v>
      </c>
      <c r="G13676" t="s">
        <v>9</v>
      </c>
    </row>
    <row r="13677" spans="1:7" x14ac:dyDescent="0.35">
      <c r="A13677">
        <v>5438</v>
      </c>
      <c r="B13677" s="1">
        <v>45943</v>
      </c>
      <c r="C13677" t="s">
        <v>24</v>
      </c>
      <c r="D13677" s="2">
        <v>1330.27</v>
      </c>
      <c r="E13677" s="2">
        <v>0</v>
      </c>
      <c r="F13677" t="s">
        <v>8</v>
      </c>
      <c r="G13677" t="s">
        <v>9</v>
      </c>
    </row>
    <row r="13678" spans="1:7" x14ac:dyDescent="0.35">
      <c r="A13678">
        <v>5438</v>
      </c>
      <c r="B13678" s="1">
        <v>45943</v>
      </c>
      <c r="C13678" t="s">
        <v>24</v>
      </c>
      <c r="D13678" s="2">
        <v>0</v>
      </c>
      <c r="E13678" s="2">
        <v>1330.27</v>
      </c>
      <c r="F13678" t="s">
        <v>13</v>
      </c>
      <c r="G13678" t="s">
        <v>9</v>
      </c>
    </row>
    <row r="13679" spans="1:7" x14ac:dyDescent="0.35">
      <c r="A13679">
        <v>5439</v>
      </c>
      <c r="B13679" s="1">
        <v>45943</v>
      </c>
      <c r="C13679" t="s">
        <v>24</v>
      </c>
      <c r="D13679" s="2">
        <v>1548.13</v>
      </c>
      <c r="E13679" s="2">
        <v>0</v>
      </c>
      <c r="F13679" t="s">
        <v>8</v>
      </c>
      <c r="G13679" t="s">
        <v>9</v>
      </c>
    </row>
    <row r="13680" spans="1:7" x14ac:dyDescent="0.35">
      <c r="A13680">
        <v>5439</v>
      </c>
      <c r="B13680" s="1">
        <v>45943</v>
      </c>
      <c r="C13680" t="s">
        <v>24</v>
      </c>
      <c r="D13680" s="2">
        <v>0</v>
      </c>
      <c r="E13680" s="2">
        <v>1548.13</v>
      </c>
      <c r="F13680" t="s">
        <v>13</v>
      </c>
      <c r="G13680" t="s">
        <v>9</v>
      </c>
    </row>
    <row r="13681" spans="1:7" x14ac:dyDescent="0.35">
      <c r="A13681">
        <v>5440</v>
      </c>
      <c r="B13681" s="1">
        <v>45943</v>
      </c>
      <c r="C13681" t="s">
        <v>24</v>
      </c>
      <c r="D13681" s="2">
        <v>1480.23</v>
      </c>
      <c r="E13681" s="2">
        <v>0</v>
      </c>
      <c r="F13681" t="s">
        <v>8</v>
      </c>
      <c r="G13681" t="s">
        <v>9</v>
      </c>
    </row>
    <row r="13682" spans="1:7" x14ac:dyDescent="0.35">
      <c r="A13682">
        <v>5440</v>
      </c>
      <c r="B13682" s="1">
        <v>45943</v>
      </c>
      <c r="C13682" t="s">
        <v>24</v>
      </c>
      <c r="D13682" s="2">
        <v>0</v>
      </c>
      <c r="E13682" s="2">
        <v>1480.23</v>
      </c>
      <c r="F13682" t="s">
        <v>13</v>
      </c>
      <c r="G13682" t="s">
        <v>9</v>
      </c>
    </row>
    <row r="13683" spans="1:7" x14ac:dyDescent="0.35">
      <c r="A13683">
        <v>5441</v>
      </c>
      <c r="B13683" s="1">
        <v>45943</v>
      </c>
      <c r="C13683" t="s">
        <v>24</v>
      </c>
      <c r="D13683" s="2">
        <v>321.20999999999998</v>
      </c>
      <c r="E13683" s="2">
        <v>0</v>
      </c>
      <c r="F13683" t="s">
        <v>8</v>
      </c>
      <c r="G13683" t="s">
        <v>9</v>
      </c>
    </row>
    <row r="13684" spans="1:7" x14ac:dyDescent="0.35">
      <c r="A13684">
        <v>5441</v>
      </c>
      <c r="B13684" s="1">
        <v>45943</v>
      </c>
      <c r="C13684" t="s">
        <v>24</v>
      </c>
      <c r="D13684" s="2">
        <v>0</v>
      </c>
      <c r="E13684" s="2">
        <v>321.20999999999998</v>
      </c>
      <c r="F13684" t="s">
        <v>13</v>
      </c>
      <c r="G13684" t="s">
        <v>9</v>
      </c>
    </row>
    <row r="13685" spans="1:7" x14ac:dyDescent="0.35">
      <c r="A13685">
        <v>5442</v>
      </c>
      <c r="B13685" s="1">
        <v>45943</v>
      </c>
      <c r="C13685" t="s">
        <v>25</v>
      </c>
      <c r="D13685" s="2">
        <v>3282.76</v>
      </c>
      <c r="E13685" s="2">
        <v>0</v>
      </c>
      <c r="F13685" t="s">
        <v>26</v>
      </c>
      <c r="G13685" t="s">
        <v>20</v>
      </c>
    </row>
    <row r="13686" spans="1:7" x14ac:dyDescent="0.35">
      <c r="A13686">
        <v>5442</v>
      </c>
      <c r="B13686" s="1">
        <v>45943</v>
      </c>
      <c r="C13686" t="s">
        <v>25</v>
      </c>
      <c r="D13686" s="2">
        <v>246.21</v>
      </c>
      <c r="E13686" s="2">
        <v>0</v>
      </c>
      <c r="F13686" t="s">
        <v>27</v>
      </c>
      <c r="G13686" t="s">
        <v>9</v>
      </c>
    </row>
    <row r="13687" spans="1:7" x14ac:dyDescent="0.35">
      <c r="A13687">
        <v>5442</v>
      </c>
      <c r="B13687" s="1">
        <v>45943</v>
      </c>
      <c r="C13687" t="s">
        <v>25</v>
      </c>
      <c r="D13687" s="2">
        <v>0</v>
      </c>
      <c r="E13687" s="2">
        <v>3528.97</v>
      </c>
      <c r="F13687" t="s">
        <v>28</v>
      </c>
      <c r="G13687" t="s">
        <v>17</v>
      </c>
    </row>
    <row r="13688" spans="1:7" x14ac:dyDescent="0.35">
      <c r="A13688">
        <v>5443</v>
      </c>
      <c r="B13688" s="1">
        <v>45943</v>
      </c>
      <c r="C13688" t="s">
        <v>25</v>
      </c>
      <c r="D13688" s="2">
        <v>2030.15</v>
      </c>
      <c r="E13688" s="2">
        <v>0</v>
      </c>
      <c r="F13688" t="s">
        <v>26</v>
      </c>
      <c r="G13688" t="s">
        <v>20</v>
      </c>
    </row>
    <row r="13689" spans="1:7" x14ac:dyDescent="0.35">
      <c r="A13689">
        <v>5443</v>
      </c>
      <c r="B13689" s="1">
        <v>45943</v>
      </c>
      <c r="C13689" t="s">
        <v>25</v>
      </c>
      <c r="D13689" s="2">
        <v>152.26</v>
      </c>
      <c r="E13689" s="2">
        <v>0</v>
      </c>
      <c r="F13689" t="s">
        <v>27</v>
      </c>
      <c r="G13689" t="s">
        <v>9</v>
      </c>
    </row>
    <row r="13690" spans="1:7" x14ac:dyDescent="0.35">
      <c r="A13690">
        <v>5443</v>
      </c>
      <c r="B13690" s="1">
        <v>45943</v>
      </c>
      <c r="C13690" t="s">
        <v>25</v>
      </c>
      <c r="D13690" s="2">
        <v>0</v>
      </c>
      <c r="E13690" s="2">
        <v>2182.41</v>
      </c>
      <c r="F13690" t="s">
        <v>28</v>
      </c>
      <c r="G13690" t="s">
        <v>17</v>
      </c>
    </row>
    <row r="13691" spans="1:7" x14ac:dyDescent="0.35">
      <c r="A13691">
        <v>5444</v>
      </c>
      <c r="B13691" s="1">
        <v>45943</v>
      </c>
      <c r="C13691" t="s">
        <v>25</v>
      </c>
      <c r="D13691" s="2">
        <v>1800.04</v>
      </c>
      <c r="E13691" s="2">
        <v>0</v>
      </c>
      <c r="F13691" t="s">
        <v>26</v>
      </c>
      <c r="G13691" t="s">
        <v>20</v>
      </c>
    </row>
    <row r="13692" spans="1:7" x14ac:dyDescent="0.35">
      <c r="A13692">
        <v>5444</v>
      </c>
      <c r="B13692" s="1">
        <v>45943</v>
      </c>
      <c r="C13692" t="s">
        <v>25</v>
      </c>
      <c r="D13692" s="2">
        <v>135</v>
      </c>
      <c r="E13692" s="2">
        <v>0</v>
      </c>
      <c r="F13692" t="s">
        <v>27</v>
      </c>
      <c r="G13692" t="s">
        <v>9</v>
      </c>
    </row>
    <row r="13693" spans="1:7" x14ac:dyDescent="0.35">
      <c r="A13693">
        <v>5444</v>
      </c>
      <c r="B13693" s="1">
        <v>45943</v>
      </c>
      <c r="C13693" t="s">
        <v>25</v>
      </c>
      <c r="D13693" s="2">
        <v>0</v>
      </c>
      <c r="E13693" s="2">
        <v>1935.04</v>
      </c>
      <c r="F13693" t="s">
        <v>28</v>
      </c>
      <c r="G13693" t="s">
        <v>17</v>
      </c>
    </row>
    <row r="13694" spans="1:7" x14ac:dyDescent="0.35">
      <c r="A13694">
        <v>5445</v>
      </c>
      <c r="B13694" s="1">
        <v>45943</v>
      </c>
      <c r="C13694" t="s">
        <v>25</v>
      </c>
      <c r="D13694" s="2">
        <v>2451.5</v>
      </c>
      <c r="E13694" s="2">
        <v>0</v>
      </c>
      <c r="F13694" t="s">
        <v>26</v>
      </c>
      <c r="G13694" t="s">
        <v>20</v>
      </c>
    </row>
    <row r="13695" spans="1:7" x14ac:dyDescent="0.35">
      <c r="A13695">
        <v>5445</v>
      </c>
      <c r="B13695" s="1">
        <v>45943</v>
      </c>
      <c r="C13695" t="s">
        <v>25</v>
      </c>
      <c r="D13695" s="2">
        <v>183.86</v>
      </c>
      <c r="E13695" s="2">
        <v>0</v>
      </c>
      <c r="F13695" t="s">
        <v>27</v>
      </c>
      <c r="G13695" t="s">
        <v>9</v>
      </c>
    </row>
    <row r="13696" spans="1:7" x14ac:dyDescent="0.35">
      <c r="A13696">
        <v>5445</v>
      </c>
      <c r="B13696" s="1">
        <v>45943</v>
      </c>
      <c r="C13696" t="s">
        <v>25</v>
      </c>
      <c r="D13696" s="2">
        <v>0</v>
      </c>
      <c r="E13696" s="2">
        <v>2635.36</v>
      </c>
      <c r="F13696" t="s">
        <v>28</v>
      </c>
      <c r="G13696" t="s">
        <v>17</v>
      </c>
    </row>
    <row r="13697" spans="1:7" x14ac:dyDescent="0.35">
      <c r="A13697">
        <v>5446</v>
      </c>
      <c r="B13697" s="1">
        <v>45943</v>
      </c>
      <c r="C13697" t="s">
        <v>25</v>
      </c>
      <c r="D13697" s="2">
        <v>952.02</v>
      </c>
      <c r="E13697" s="2">
        <v>0</v>
      </c>
      <c r="F13697" t="s">
        <v>26</v>
      </c>
      <c r="G13697" t="s">
        <v>20</v>
      </c>
    </row>
    <row r="13698" spans="1:7" x14ac:dyDescent="0.35">
      <c r="A13698">
        <v>5446</v>
      </c>
      <c r="B13698" s="1">
        <v>45943</v>
      </c>
      <c r="C13698" t="s">
        <v>25</v>
      </c>
      <c r="D13698" s="2">
        <v>71.400000000000006</v>
      </c>
      <c r="E13698" s="2">
        <v>0</v>
      </c>
      <c r="F13698" t="s">
        <v>27</v>
      </c>
      <c r="G13698" t="s">
        <v>9</v>
      </c>
    </row>
    <row r="13699" spans="1:7" x14ac:dyDescent="0.35">
      <c r="A13699">
        <v>5446</v>
      </c>
      <c r="B13699" s="1">
        <v>45943</v>
      </c>
      <c r="C13699" t="s">
        <v>25</v>
      </c>
      <c r="D13699" s="2">
        <v>0</v>
      </c>
      <c r="E13699" s="2">
        <v>1023.42</v>
      </c>
      <c r="F13699" t="s">
        <v>28</v>
      </c>
      <c r="G13699" t="s">
        <v>17</v>
      </c>
    </row>
    <row r="13700" spans="1:7" x14ac:dyDescent="0.35">
      <c r="A13700">
        <v>5447</v>
      </c>
      <c r="B13700" s="1">
        <v>45943</v>
      </c>
      <c r="C13700" t="s">
        <v>25</v>
      </c>
      <c r="D13700" s="2">
        <v>6723.2</v>
      </c>
      <c r="E13700" s="2">
        <v>0</v>
      </c>
      <c r="F13700" t="s">
        <v>26</v>
      </c>
      <c r="G13700" t="s">
        <v>20</v>
      </c>
    </row>
    <row r="13701" spans="1:7" x14ac:dyDescent="0.35">
      <c r="A13701">
        <v>5447</v>
      </c>
      <c r="B13701" s="1">
        <v>45943</v>
      </c>
      <c r="C13701" t="s">
        <v>25</v>
      </c>
      <c r="D13701" s="2">
        <v>504.24</v>
      </c>
      <c r="E13701" s="2">
        <v>0</v>
      </c>
      <c r="F13701" t="s">
        <v>27</v>
      </c>
      <c r="G13701" t="s">
        <v>9</v>
      </c>
    </row>
    <row r="13702" spans="1:7" x14ac:dyDescent="0.35">
      <c r="A13702">
        <v>5447</v>
      </c>
      <c r="B13702" s="1">
        <v>45943</v>
      </c>
      <c r="C13702" t="s">
        <v>25</v>
      </c>
      <c r="D13702" s="2">
        <v>0</v>
      </c>
      <c r="E13702" s="2">
        <v>7227.44</v>
      </c>
      <c r="F13702" t="s">
        <v>28</v>
      </c>
      <c r="G13702" t="s">
        <v>17</v>
      </c>
    </row>
    <row r="13703" spans="1:7" x14ac:dyDescent="0.35">
      <c r="A13703">
        <v>5448</v>
      </c>
      <c r="B13703" s="1">
        <v>45943</v>
      </c>
      <c r="C13703" t="s">
        <v>25</v>
      </c>
      <c r="D13703" s="2">
        <v>1822.08</v>
      </c>
      <c r="E13703" s="2">
        <v>0</v>
      </c>
      <c r="F13703" t="s">
        <v>26</v>
      </c>
      <c r="G13703" t="s">
        <v>20</v>
      </c>
    </row>
    <row r="13704" spans="1:7" x14ac:dyDescent="0.35">
      <c r="A13704">
        <v>5448</v>
      </c>
      <c r="B13704" s="1">
        <v>45943</v>
      </c>
      <c r="C13704" t="s">
        <v>25</v>
      </c>
      <c r="D13704" s="2">
        <v>136.66</v>
      </c>
      <c r="E13704" s="2">
        <v>0</v>
      </c>
      <c r="F13704" t="s">
        <v>27</v>
      </c>
      <c r="G13704" t="s">
        <v>9</v>
      </c>
    </row>
    <row r="13705" spans="1:7" x14ac:dyDescent="0.35">
      <c r="A13705">
        <v>5448</v>
      </c>
      <c r="B13705" s="1">
        <v>45943</v>
      </c>
      <c r="C13705" t="s">
        <v>25</v>
      </c>
      <c r="D13705" s="2">
        <v>0</v>
      </c>
      <c r="E13705" s="2">
        <v>1958.74</v>
      </c>
      <c r="F13705" t="s">
        <v>28</v>
      </c>
      <c r="G13705" t="s">
        <v>17</v>
      </c>
    </row>
    <row r="13706" spans="1:7" x14ac:dyDescent="0.35">
      <c r="A13706">
        <v>5449</v>
      </c>
      <c r="B13706" s="1">
        <v>45943</v>
      </c>
      <c r="C13706" t="s">
        <v>25</v>
      </c>
      <c r="D13706" s="2">
        <v>3598.88</v>
      </c>
      <c r="E13706" s="2">
        <v>0</v>
      </c>
      <c r="F13706" t="s">
        <v>26</v>
      </c>
      <c r="G13706" t="s">
        <v>20</v>
      </c>
    </row>
    <row r="13707" spans="1:7" x14ac:dyDescent="0.35">
      <c r="A13707">
        <v>5449</v>
      </c>
      <c r="B13707" s="1">
        <v>45943</v>
      </c>
      <c r="C13707" t="s">
        <v>25</v>
      </c>
      <c r="D13707" s="2">
        <v>269.92</v>
      </c>
      <c r="E13707" s="2">
        <v>0</v>
      </c>
      <c r="F13707" t="s">
        <v>27</v>
      </c>
      <c r="G13707" t="s">
        <v>9</v>
      </c>
    </row>
    <row r="13708" spans="1:7" x14ac:dyDescent="0.35">
      <c r="A13708">
        <v>5449</v>
      </c>
      <c r="B13708" s="1">
        <v>45943</v>
      </c>
      <c r="C13708" t="s">
        <v>25</v>
      </c>
      <c r="D13708" s="2">
        <v>0</v>
      </c>
      <c r="E13708" s="2">
        <v>3868.8</v>
      </c>
      <c r="F13708" t="s">
        <v>28</v>
      </c>
      <c r="G13708" t="s">
        <v>17</v>
      </c>
    </row>
    <row r="13709" spans="1:7" x14ac:dyDescent="0.35">
      <c r="A13709">
        <v>5450</v>
      </c>
      <c r="B13709" s="1">
        <v>45943</v>
      </c>
      <c r="C13709" t="s">
        <v>25</v>
      </c>
      <c r="D13709" s="2">
        <v>1480.5</v>
      </c>
      <c r="E13709" s="2">
        <v>0</v>
      </c>
      <c r="F13709" t="s">
        <v>26</v>
      </c>
      <c r="G13709" t="s">
        <v>20</v>
      </c>
    </row>
    <row r="13710" spans="1:7" x14ac:dyDescent="0.35">
      <c r="A13710">
        <v>5450</v>
      </c>
      <c r="B13710" s="1">
        <v>45943</v>
      </c>
      <c r="C13710" t="s">
        <v>25</v>
      </c>
      <c r="D13710" s="2">
        <v>111.04</v>
      </c>
      <c r="E13710" s="2">
        <v>0</v>
      </c>
      <c r="F13710" t="s">
        <v>27</v>
      </c>
      <c r="G13710" t="s">
        <v>9</v>
      </c>
    </row>
    <row r="13711" spans="1:7" x14ac:dyDescent="0.35">
      <c r="A13711">
        <v>5450</v>
      </c>
      <c r="B13711" s="1">
        <v>45943</v>
      </c>
      <c r="C13711" t="s">
        <v>25</v>
      </c>
      <c r="D13711" s="2">
        <v>0</v>
      </c>
      <c r="E13711" s="2">
        <v>1591.54</v>
      </c>
      <c r="F13711" t="s">
        <v>28</v>
      </c>
      <c r="G13711" t="s">
        <v>17</v>
      </c>
    </row>
    <row r="13712" spans="1:7" x14ac:dyDescent="0.35">
      <c r="A13712">
        <v>5451</v>
      </c>
      <c r="B13712" s="1">
        <v>45943</v>
      </c>
      <c r="C13712" t="s">
        <v>25</v>
      </c>
      <c r="D13712" s="2">
        <v>512</v>
      </c>
      <c r="E13712" s="2">
        <v>0</v>
      </c>
      <c r="F13712" t="s">
        <v>26</v>
      </c>
      <c r="G13712" t="s">
        <v>20</v>
      </c>
    </row>
    <row r="13713" spans="1:7" x14ac:dyDescent="0.35">
      <c r="A13713">
        <v>5451</v>
      </c>
      <c r="B13713" s="1">
        <v>45943</v>
      </c>
      <c r="C13713" t="s">
        <v>25</v>
      </c>
      <c r="D13713" s="2">
        <v>38.4</v>
      </c>
      <c r="E13713" s="2">
        <v>0</v>
      </c>
      <c r="F13713" t="s">
        <v>27</v>
      </c>
      <c r="G13713" t="s">
        <v>9</v>
      </c>
    </row>
    <row r="13714" spans="1:7" x14ac:dyDescent="0.35">
      <c r="A13714">
        <v>5451</v>
      </c>
      <c r="B13714" s="1">
        <v>45943</v>
      </c>
      <c r="C13714" t="s">
        <v>25</v>
      </c>
      <c r="D13714" s="2">
        <v>0</v>
      </c>
      <c r="E13714" s="2">
        <v>550.4</v>
      </c>
      <c r="F13714" t="s">
        <v>28</v>
      </c>
      <c r="G13714" t="s">
        <v>17</v>
      </c>
    </row>
    <row r="13715" spans="1:7" x14ac:dyDescent="0.35">
      <c r="A13715">
        <v>5452</v>
      </c>
      <c r="B13715" s="1">
        <v>45943</v>
      </c>
      <c r="C13715" t="s">
        <v>29</v>
      </c>
      <c r="D13715" s="2">
        <v>2918.17</v>
      </c>
      <c r="E13715" s="2">
        <v>0</v>
      </c>
      <c r="F13715" t="s">
        <v>28</v>
      </c>
      <c r="G13715" t="s">
        <v>17</v>
      </c>
    </row>
    <row r="13716" spans="1:7" x14ac:dyDescent="0.35">
      <c r="A13716">
        <v>5452</v>
      </c>
      <c r="B13716" s="1">
        <v>45943</v>
      </c>
      <c r="C13716" t="s">
        <v>29</v>
      </c>
      <c r="D13716" s="2">
        <v>0</v>
      </c>
      <c r="E13716" s="2">
        <v>2918.17</v>
      </c>
      <c r="F13716" t="s">
        <v>8</v>
      </c>
      <c r="G13716" t="s">
        <v>9</v>
      </c>
    </row>
    <row r="13717" spans="1:7" x14ac:dyDescent="0.35">
      <c r="A13717">
        <v>5453</v>
      </c>
      <c r="B13717" s="1">
        <v>45943</v>
      </c>
      <c r="C13717" t="s">
        <v>29</v>
      </c>
      <c r="D13717" s="2">
        <v>2635.36</v>
      </c>
      <c r="E13717" s="2">
        <v>0</v>
      </c>
      <c r="F13717" t="s">
        <v>28</v>
      </c>
      <c r="G13717" t="s">
        <v>17</v>
      </c>
    </row>
    <row r="13718" spans="1:7" x14ac:dyDescent="0.35">
      <c r="A13718">
        <v>5453</v>
      </c>
      <c r="B13718" s="1">
        <v>45943</v>
      </c>
      <c r="C13718" t="s">
        <v>29</v>
      </c>
      <c r="D13718" s="2">
        <v>0</v>
      </c>
      <c r="E13718" s="2">
        <v>2635.36</v>
      </c>
      <c r="F13718" t="s">
        <v>8</v>
      </c>
      <c r="G13718" t="s">
        <v>9</v>
      </c>
    </row>
    <row r="13719" spans="1:7" x14ac:dyDescent="0.35">
      <c r="A13719">
        <v>5454</v>
      </c>
      <c r="B13719" s="1">
        <v>45943</v>
      </c>
      <c r="C13719" t="s">
        <v>29</v>
      </c>
      <c r="D13719" s="2">
        <v>9336.67</v>
      </c>
      <c r="E13719" s="2">
        <v>0</v>
      </c>
      <c r="F13719" t="s">
        <v>28</v>
      </c>
      <c r="G13719" t="s">
        <v>17</v>
      </c>
    </row>
    <row r="13720" spans="1:7" x14ac:dyDescent="0.35">
      <c r="A13720">
        <v>5454</v>
      </c>
      <c r="B13720" s="1">
        <v>45943</v>
      </c>
      <c r="C13720" t="s">
        <v>29</v>
      </c>
      <c r="D13720" s="2">
        <v>0</v>
      </c>
      <c r="E13720" s="2">
        <v>9336.67</v>
      </c>
      <c r="F13720" t="s">
        <v>8</v>
      </c>
      <c r="G13720" t="s">
        <v>9</v>
      </c>
    </row>
    <row r="13721" spans="1:7" x14ac:dyDescent="0.35">
      <c r="A13721">
        <v>5455</v>
      </c>
      <c r="B13721" s="1">
        <v>45943</v>
      </c>
      <c r="C13721" t="s">
        <v>29</v>
      </c>
      <c r="D13721" s="2">
        <v>1766.46</v>
      </c>
      <c r="E13721" s="2">
        <v>0</v>
      </c>
      <c r="F13721" t="s">
        <v>28</v>
      </c>
      <c r="G13721" t="s">
        <v>17</v>
      </c>
    </row>
    <row r="13722" spans="1:7" x14ac:dyDescent="0.35">
      <c r="A13722">
        <v>5455</v>
      </c>
      <c r="B13722" s="1">
        <v>45943</v>
      </c>
      <c r="C13722" t="s">
        <v>29</v>
      </c>
      <c r="D13722" s="2">
        <v>0</v>
      </c>
      <c r="E13722" s="2">
        <v>1766.46</v>
      </c>
      <c r="F13722" t="s">
        <v>8</v>
      </c>
      <c r="G13722" t="s">
        <v>9</v>
      </c>
    </row>
    <row r="13723" spans="1:7" x14ac:dyDescent="0.35">
      <c r="A13723">
        <v>5456</v>
      </c>
      <c r="B13723" s="1">
        <v>45943</v>
      </c>
      <c r="C13723" t="s">
        <v>29</v>
      </c>
      <c r="D13723" s="2">
        <v>4812.46</v>
      </c>
      <c r="E13723" s="2">
        <v>0</v>
      </c>
      <c r="F13723" t="s">
        <v>28</v>
      </c>
      <c r="G13723" t="s">
        <v>17</v>
      </c>
    </row>
    <row r="13724" spans="1:7" x14ac:dyDescent="0.35">
      <c r="A13724">
        <v>5456</v>
      </c>
      <c r="B13724" s="1">
        <v>45943</v>
      </c>
      <c r="C13724" t="s">
        <v>29</v>
      </c>
      <c r="D13724" s="2">
        <v>0</v>
      </c>
      <c r="E13724" s="2">
        <v>4812.46</v>
      </c>
      <c r="F13724" t="s">
        <v>8</v>
      </c>
      <c r="G13724" t="s">
        <v>9</v>
      </c>
    </row>
    <row r="13725" spans="1:7" x14ac:dyDescent="0.35">
      <c r="A13725">
        <v>5457</v>
      </c>
      <c r="B13725" s="1">
        <v>45943</v>
      </c>
      <c r="C13725" t="s">
        <v>29</v>
      </c>
      <c r="D13725" s="2">
        <v>276.32</v>
      </c>
      <c r="E13725" s="2">
        <v>0</v>
      </c>
      <c r="F13725" t="s">
        <v>28</v>
      </c>
      <c r="G13725" t="s">
        <v>17</v>
      </c>
    </row>
    <row r="13726" spans="1:7" x14ac:dyDescent="0.35">
      <c r="A13726">
        <v>5457</v>
      </c>
      <c r="B13726" s="1">
        <v>45943</v>
      </c>
      <c r="C13726" t="s">
        <v>29</v>
      </c>
      <c r="D13726" s="2">
        <v>0</v>
      </c>
      <c r="E13726" s="2">
        <v>276.32</v>
      </c>
      <c r="F13726" t="s">
        <v>8</v>
      </c>
      <c r="G13726" t="s">
        <v>9</v>
      </c>
    </row>
    <row r="13727" spans="1:7" x14ac:dyDescent="0.35">
      <c r="A13727">
        <v>5458</v>
      </c>
      <c r="B13727" s="1">
        <v>45943</v>
      </c>
      <c r="C13727" t="s">
        <v>29</v>
      </c>
      <c r="D13727" s="2">
        <v>2093.2800000000002</v>
      </c>
      <c r="E13727" s="2">
        <v>0</v>
      </c>
      <c r="F13727" t="s">
        <v>28</v>
      </c>
      <c r="G13727" t="s">
        <v>17</v>
      </c>
    </row>
    <row r="13728" spans="1:7" x14ac:dyDescent="0.35">
      <c r="A13728">
        <v>5458</v>
      </c>
      <c r="B13728" s="1">
        <v>45943</v>
      </c>
      <c r="C13728" t="s">
        <v>29</v>
      </c>
      <c r="D13728" s="2">
        <v>0</v>
      </c>
      <c r="E13728" s="2">
        <v>2093.2800000000002</v>
      </c>
      <c r="F13728" t="s">
        <v>8</v>
      </c>
      <c r="G13728" t="s">
        <v>9</v>
      </c>
    </row>
    <row r="13729" spans="1:7" x14ac:dyDescent="0.35">
      <c r="A13729">
        <v>5459</v>
      </c>
      <c r="B13729" s="1">
        <v>45943</v>
      </c>
      <c r="C13729" t="s">
        <v>29</v>
      </c>
      <c r="D13729" s="2">
        <v>1023.42</v>
      </c>
      <c r="E13729" s="2">
        <v>0</v>
      </c>
      <c r="F13729" t="s">
        <v>28</v>
      </c>
      <c r="G13729" t="s">
        <v>17</v>
      </c>
    </row>
    <row r="13730" spans="1:7" x14ac:dyDescent="0.35">
      <c r="A13730">
        <v>5459</v>
      </c>
      <c r="B13730" s="1">
        <v>45943</v>
      </c>
      <c r="C13730" t="s">
        <v>29</v>
      </c>
      <c r="D13730" s="2">
        <v>0</v>
      </c>
      <c r="E13730" s="2">
        <v>1023.42</v>
      </c>
      <c r="F13730" t="s">
        <v>8</v>
      </c>
      <c r="G13730" t="s">
        <v>9</v>
      </c>
    </row>
    <row r="13731" spans="1:7" x14ac:dyDescent="0.35">
      <c r="A13731">
        <v>5460</v>
      </c>
      <c r="B13731" s="1">
        <v>45944</v>
      </c>
      <c r="C13731" t="s">
        <v>12</v>
      </c>
      <c r="D13731" s="2">
        <v>1010.9</v>
      </c>
      <c r="E13731" s="2">
        <v>0</v>
      </c>
      <c r="F13731" t="s">
        <v>13</v>
      </c>
      <c r="G13731" t="s">
        <v>9</v>
      </c>
    </row>
    <row r="13732" spans="1:7" x14ac:dyDescent="0.35">
      <c r="A13732">
        <v>5460</v>
      </c>
      <c r="B13732" s="1">
        <v>45944</v>
      </c>
      <c r="C13732" t="s">
        <v>12</v>
      </c>
      <c r="D13732" s="2">
        <v>0</v>
      </c>
      <c r="E13732" s="2">
        <v>940.37</v>
      </c>
      <c r="F13732" t="s">
        <v>14</v>
      </c>
      <c r="G13732" t="s">
        <v>15</v>
      </c>
    </row>
    <row r="13733" spans="1:7" x14ac:dyDescent="0.35">
      <c r="A13733">
        <v>5460</v>
      </c>
      <c r="B13733" s="1">
        <v>45944</v>
      </c>
      <c r="C13733" t="s">
        <v>12</v>
      </c>
      <c r="D13733" s="2">
        <v>0</v>
      </c>
      <c r="E13733" s="2">
        <v>70.53</v>
      </c>
      <c r="F13733" t="s">
        <v>16</v>
      </c>
      <c r="G13733" t="s">
        <v>17</v>
      </c>
    </row>
    <row r="13734" spans="1:7" x14ac:dyDescent="0.35">
      <c r="A13734">
        <v>5461</v>
      </c>
      <c r="B13734" s="1">
        <v>45944</v>
      </c>
      <c r="C13734" t="s">
        <v>12</v>
      </c>
      <c r="D13734" s="2">
        <v>1663.3</v>
      </c>
      <c r="E13734" s="2">
        <v>0</v>
      </c>
      <c r="F13734" t="s">
        <v>13</v>
      </c>
      <c r="G13734" t="s">
        <v>9</v>
      </c>
    </row>
    <row r="13735" spans="1:7" x14ac:dyDescent="0.35">
      <c r="A13735">
        <v>5461</v>
      </c>
      <c r="B13735" s="1">
        <v>45944</v>
      </c>
      <c r="C13735" t="s">
        <v>12</v>
      </c>
      <c r="D13735" s="2">
        <v>0</v>
      </c>
      <c r="E13735" s="2">
        <v>1547.26</v>
      </c>
      <c r="F13735" t="s">
        <v>14</v>
      </c>
      <c r="G13735" t="s">
        <v>15</v>
      </c>
    </row>
    <row r="13736" spans="1:7" x14ac:dyDescent="0.35">
      <c r="A13736">
        <v>5461</v>
      </c>
      <c r="B13736" s="1">
        <v>45944</v>
      </c>
      <c r="C13736" t="s">
        <v>12</v>
      </c>
      <c r="D13736" s="2">
        <v>0</v>
      </c>
      <c r="E13736" s="2">
        <v>116.04</v>
      </c>
      <c r="F13736" t="s">
        <v>16</v>
      </c>
      <c r="G13736" t="s">
        <v>17</v>
      </c>
    </row>
    <row r="13737" spans="1:7" x14ac:dyDescent="0.35">
      <c r="A13737">
        <v>5462</v>
      </c>
      <c r="B13737" s="1">
        <v>45944</v>
      </c>
      <c r="C13737" t="s">
        <v>12</v>
      </c>
      <c r="D13737" s="2">
        <v>106.77</v>
      </c>
      <c r="E13737" s="2">
        <v>0</v>
      </c>
      <c r="F13737" t="s">
        <v>13</v>
      </c>
      <c r="G13737" t="s">
        <v>9</v>
      </c>
    </row>
    <row r="13738" spans="1:7" x14ac:dyDescent="0.35">
      <c r="A13738">
        <v>5462</v>
      </c>
      <c r="B13738" s="1">
        <v>45944</v>
      </c>
      <c r="C13738" t="s">
        <v>12</v>
      </c>
      <c r="D13738" s="2">
        <v>0</v>
      </c>
      <c r="E13738" s="2">
        <v>99.32</v>
      </c>
      <c r="F13738" t="s">
        <v>14</v>
      </c>
      <c r="G13738" t="s">
        <v>15</v>
      </c>
    </row>
    <row r="13739" spans="1:7" x14ac:dyDescent="0.35">
      <c r="A13739">
        <v>5462</v>
      </c>
      <c r="B13739" s="1">
        <v>45944</v>
      </c>
      <c r="C13739" t="s">
        <v>12</v>
      </c>
      <c r="D13739" s="2">
        <v>0</v>
      </c>
      <c r="E13739" s="2">
        <v>7.45</v>
      </c>
      <c r="F13739" t="s">
        <v>16</v>
      </c>
      <c r="G13739" t="s">
        <v>17</v>
      </c>
    </row>
    <row r="13740" spans="1:7" x14ac:dyDescent="0.35">
      <c r="A13740">
        <v>5463</v>
      </c>
      <c r="B13740" s="1">
        <v>45944</v>
      </c>
      <c r="C13740" t="s">
        <v>12</v>
      </c>
      <c r="D13740" s="2">
        <v>788.61</v>
      </c>
      <c r="E13740" s="2">
        <v>0</v>
      </c>
      <c r="F13740" t="s">
        <v>13</v>
      </c>
      <c r="G13740" t="s">
        <v>9</v>
      </c>
    </row>
    <row r="13741" spans="1:7" x14ac:dyDescent="0.35">
      <c r="A13741">
        <v>5463</v>
      </c>
      <c r="B13741" s="1">
        <v>45944</v>
      </c>
      <c r="C13741" t="s">
        <v>12</v>
      </c>
      <c r="D13741" s="2">
        <v>0</v>
      </c>
      <c r="E13741" s="2">
        <v>733.59</v>
      </c>
      <c r="F13741" t="s">
        <v>14</v>
      </c>
      <c r="G13741" t="s">
        <v>15</v>
      </c>
    </row>
    <row r="13742" spans="1:7" x14ac:dyDescent="0.35">
      <c r="A13742">
        <v>5463</v>
      </c>
      <c r="B13742" s="1">
        <v>45944</v>
      </c>
      <c r="C13742" t="s">
        <v>12</v>
      </c>
      <c r="D13742" s="2">
        <v>0</v>
      </c>
      <c r="E13742" s="2">
        <v>55.02</v>
      </c>
      <c r="F13742" t="s">
        <v>16</v>
      </c>
      <c r="G13742" t="s">
        <v>17</v>
      </c>
    </row>
    <row r="13743" spans="1:7" x14ac:dyDescent="0.35">
      <c r="A13743">
        <v>5464</v>
      </c>
      <c r="B13743" s="1">
        <v>45944</v>
      </c>
      <c r="C13743" t="s">
        <v>12</v>
      </c>
      <c r="D13743" s="2">
        <v>824.34</v>
      </c>
      <c r="E13743" s="2">
        <v>0</v>
      </c>
      <c r="F13743" t="s">
        <v>13</v>
      </c>
      <c r="G13743" t="s">
        <v>9</v>
      </c>
    </row>
    <row r="13744" spans="1:7" x14ac:dyDescent="0.35">
      <c r="A13744">
        <v>5464</v>
      </c>
      <c r="B13744" s="1">
        <v>45944</v>
      </c>
      <c r="C13744" t="s">
        <v>12</v>
      </c>
      <c r="D13744" s="2">
        <v>0</v>
      </c>
      <c r="E13744" s="2">
        <v>766.82</v>
      </c>
      <c r="F13744" t="s">
        <v>14</v>
      </c>
      <c r="G13744" t="s">
        <v>15</v>
      </c>
    </row>
    <row r="13745" spans="1:7" x14ac:dyDescent="0.35">
      <c r="A13745">
        <v>5464</v>
      </c>
      <c r="B13745" s="1">
        <v>45944</v>
      </c>
      <c r="C13745" t="s">
        <v>12</v>
      </c>
      <c r="D13745" s="2">
        <v>0</v>
      </c>
      <c r="E13745" s="2">
        <v>57.52</v>
      </c>
      <c r="F13745" t="s">
        <v>16</v>
      </c>
      <c r="G13745" t="s">
        <v>17</v>
      </c>
    </row>
    <row r="13746" spans="1:7" x14ac:dyDescent="0.35">
      <c r="A13746">
        <v>5465</v>
      </c>
      <c r="B13746" s="1">
        <v>45944</v>
      </c>
      <c r="C13746" t="s">
        <v>12</v>
      </c>
      <c r="D13746" s="2">
        <v>2839.14</v>
      </c>
      <c r="E13746" s="2">
        <v>0</v>
      </c>
      <c r="F13746" t="s">
        <v>13</v>
      </c>
      <c r="G13746" t="s">
        <v>9</v>
      </c>
    </row>
    <row r="13747" spans="1:7" x14ac:dyDescent="0.35">
      <c r="A13747">
        <v>5465</v>
      </c>
      <c r="B13747" s="1">
        <v>45944</v>
      </c>
      <c r="C13747" t="s">
        <v>12</v>
      </c>
      <c r="D13747" s="2">
        <v>0</v>
      </c>
      <c r="E13747" s="2">
        <v>2641.05</v>
      </c>
      <c r="F13747" t="s">
        <v>14</v>
      </c>
      <c r="G13747" t="s">
        <v>15</v>
      </c>
    </row>
    <row r="13748" spans="1:7" x14ac:dyDescent="0.35">
      <c r="A13748">
        <v>5465</v>
      </c>
      <c r="B13748" s="1">
        <v>45944</v>
      </c>
      <c r="C13748" t="s">
        <v>12</v>
      </c>
      <c r="D13748" s="2">
        <v>0</v>
      </c>
      <c r="E13748" s="2">
        <v>198.09</v>
      </c>
      <c r="F13748" t="s">
        <v>16</v>
      </c>
      <c r="G13748" t="s">
        <v>17</v>
      </c>
    </row>
    <row r="13749" spans="1:7" x14ac:dyDescent="0.35">
      <c r="A13749">
        <v>5466</v>
      </c>
      <c r="B13749" s="1">
        <v>45944</v>
      </c>
      <c r="C13749" t="s">
        <v>24</v>
      </c>
      <c r="D13749" s="2">
        <v>2021.69</v>
      </c>
      <c r="E13749" s="2">
        <v>0</v>
      </c>
      <c r="F13749" t="s">
        <v>8</v>
      </c>
      <c r="G13749" t="s">
        <v>9</v>
      </c>
    </row>
    <row r="13750" spans="1:7" x14ac:dyDescent="0.35">
      <c r="A13750">
        <v>5466</v>
      </c>
      <c r="B13750" s="1">
        <v>45944</v>
      </c>
      <c r="C13750" t="s">
        <v>24</v>
      </c>
      <c r="D13750" s="2">
        <v>0</v>
      </c>
      <c r="E13750" s="2">
        <v>2021.69</v>
      </c>
      <c r="F13750" t="s">
        <v>13</v>
      </c>
      <c r="G13750" t="s">
        <v>9</v>
      </c>
    </row>
    <row r="13751" spans="1:7" x14ac:dyDescent="0.35">
      <c r="A13751">
        <v>5467</v>
      </c>
      <c r="B13751" s="1">
        <v>45944</v>
      </c>
      <c r="C13751" t="s">
        <v>24</v>
      </c>
      <c r="D13751" s="2">
        <v>2542.4899999999998</v>
      </c>
      <c r="E13751" s="2">
        <v>0</v>
      </c>
      <c r="F13751" t="s">
        <v>8</v>
      </c>
      <c r="G13751" t="s">
        <v>9</v>
      </c>
    </row>
    <row r="13752" spans="1:7" x14ac:dyDescent="0.35">
      <c r="A13752">
        <v>5467</v>
      </c>
      <c r="B13752" s="1">
        <v>45944</v>
      </c>
      <c r="C13752" t="s">
        <v>24</v>
      </c>
      <c r="D13752" s="2">
        <v>0</v>
      </c>
      <c r="E13752" s="2">
        <v>2542.4899999999998</v>
      </c>
      <c r="F13752" t="s">
        <v>13</v>
      </c>
      <c r="G13752" t="s">
        <v>9</v>
      </c>
    </row>
    <row r="13753" spans="1:7" x14ac:dyDescent="0.35">
      <c r="A13753">
        <v>5468</v>
      </c>
      <c r="B13753" s="1">
        <v>45944</v>
      </c>
      <c r="C13753" t="s">
        <v>24</v>
      </c>
      <c r="D13753" s="2">
        <v>1293.55</v>
      </c>
      <c r="E13753" s="2">
        <v>0</v>
      </c>
      <c r="F13753" t="s">
        <v>8</v>
      </c>
      <c r="G13753" t="s">
        <v>9</v>
      </c>
    </row>
    <row r="13754" spans="1:7" x14ac:dyDescent="0.35">
      <c r="A13754">
        <v>5468</v>
      </c>
      <c r="B13754" s="1">
        <v>45944</v>
      </c>
      <c r="C13754" t="s">
        <v>24</v>
      </c>
      <c r="D13754" s="2">
        <v>0</v>
      </c>
      <c r="E13754" s="2">
        <v>1293.55</v>
      </c>
      <c r="F13754" t="s">
        <v>13</v>
      </c>
      <c r="G13754" t="s">
        <v>9</v>
      </c>
    </row>
    <row r="13755" spans="1:7" x14ac:dyDescent="0.35">
      <c r="A13755">
        <v>5469</v>
      </c>
      <c r="B13755" s="1">
        <v>45944</v>
      </c>
      <c r="C13755" t="s">
        <v>24</v>
      </c>
      <c r="D13755" s="2">
        <v>4772.55</v>
      </c>
      <c r="E13755" s="2">
        <v>0</v>
      </c>
      <c r="F13755" t="s">
        <v>8</v>
      </c>
      <c r="G13755" t="s">
        <v>9</v>
      </c>
    </row>
    <row r="13756" spans="1:7" x14ac:dyDescent="0.35">
      <c r="A13756">
        <v>5469</v>
      </c>
      <c r="B13756" s="1">
        <v>45944</v>
      </c>
      <c r="C13756" t="s">
        <v>24</v>
      </c>
      <c r="D13756" s="2">
        <v>0</v>
      </c>
      <c r="E13756" s="2">
        <v>4772.55</v>
      </c>
      <c r="F13756" t="s">
        <v>13</v>
      </c>
      <c r="G13756" t="s">
        <v>9</v>
      </c>
    </row>
    <row r="13757" spans="1:7" x14ac:dyDescent="0.35">
      <c r="A13757">
        <v>5470</v>
      </c>
      <c r="B13757" s="1">
        <v>45944</v>
      </c>
      <c r="C13757" t="s">
        <v>24</v>
      </c>
      <c r="D13757" s="2">
        <v>924.42</v>
      </c>
      <c r="E13757" s="2">
        <v>0</v>
      </c>
      <c r="F13757" t="s">
        <v>8</v>
      </c>
      <c r="G13757" t="s">
        <v>9</v>
      </c>
    </row>
    <row r="13758" spans="1:7" x14ac:dyDescent="0.35">
      <c r="A13758">
        <v>5470</v>
      </c>
      <c r="B13758" s="1">
        <v>45944</v>
      </c>
      <c r="C13758" t="s">
        <v>24</v>
      </c>
      <c r="D13758" s="2">
        <v>0</v>
      </c>
      <c r="E13758" s="2">
        <v>924.42</v>
      </c>
      <c r="F13758" t="s">
        <v>13</v>
      </c>
      <c r="G13758" t="s">
        <v>9</v>
      </c>
    </row>
    <row r="13759" spans="1:7" x14ac:dyDescent="0.35">
      <c r="A13759">
        <v>5471</v>
      </c>
      <c r="B13759" s="1">
        <v>45944</v>
      </c>
      <c r="C13759" t="s">
        <v>24</v>
      </c>
      <c r="D13759" s="2">
        <v>145.79</v>
      </c>
      <c r="E13759" s="2">
        <v>0</v>
      </c>
      <c r="F13759" t="s">
        <v>8</v>
      </c>
      <c r="G13759" t="s">
        <v>9</v>
      </c>
    </row>
    <row r="13760" spans="1:7" x14ac:dyDescent="0.35">
      <c r="A13760">
        <v>5471</v>
      </c>
      <c r="B13760" s="1">
        <v>45944</v>
      </c>
      <c r="C13760" t="s">
        <v>24</v>
      </c>
      <c r="D13760" s="2">
        <v>0</v>
      </c>
      <c r="E13760" s="2">
        <v>145.79</v>
      </c>
      <c r="F13760" t="s">
        <v>13</v>
      </c>
      <c r="G13760" t="s">
        <v>9</v>
      </c>
    </row>
    <row r="13761" spans="1:7" x14ac:dyDescent="0.35">
      <c r="A13761">
        <v>5472</v>
      </c>
      <c r="B13761" s="1">
        <v>45944</v>
      </c>
      <c r="C13761" t="s">
        <v>24</v>
      </c>
      <c r="D13761" s="2">
        <v>1492.83</v>
      </c>
      <c r="E13761" s="2">
        <v>0</v>
      </c>
      <c r="F13761" t="s">
        <v>8</v>
      </c>
      <c r="G13761" t="s">
        <v>9</v>
      </c>
    </row>
    <row r="13762" spans="1:7" x14ac:dyDescent="0.35">
      <c r="A13762">
        <v>5472</v>
      </c>
      <c r="B13762" s="1">
        <v>45944</v>
      </c>
      <c r="C13762" t="s">
        <v>24</v>
      </c>
      <c r="D13762" s="2">
        <v>0</v>
      </c>
      <c r="E13762" s="2">
        <v>1492.83</v>
      </c>
      <c r="F13762" t="s">
        <v>13</v>
      </c>
      <c r="G13762" t="s">
        <v>9</v>
      </c>
    </row>
    <row r="13763" spans="1:7" x14ac:dyDescent="0.35">
      <c r="A13763">
        <v>5473</v>
      </c>
      <c r="B13763" s="1">
        <v>45944</v>
      </c>
      <c r="C13763" t="s">
        <v>24</v>
      </c>
      <c r="D13763" s="2">
        <v>140.29</v>
      </c>
      <c r="E13763" s="2">
        <v>0</v>
      </c>
      <c r="F13763" t="s">
        <v>8</v>
      </c>
      <c r="G13763" t="s">
        <v>9</v>
      </c>
    </row>
    <row r="13764" spans="1:7" x14ac:dyDescent="0.35">
      <c r="A13764">
        <v>5473</v>
      </c>
      <c r="B13764" s="1">
        <v>45944</v>
      </c>
      <c r="C13764" t="s">
        <v>24</v>
      </c>
      <c r="D13764" s="2">
        <v>0</v>
      </c>
      <c r="E13764" s="2">
        <v>140.29</v>
      </c>
      <c r="F13764" t="s">
        <v>13</v>
      </c>
      <c r="G13764" t="s">
        <v>9</v>
      </c>
    </row>
    <row r="13765" spans="1:7" x14ac:dyDescent="0.35">
      <c r="A13765">
        <v>5474</v>
      </c>
      <c r="B13765" s="1">
        <v>45944</v>
      </c>
      <c r="C13765" t="s">
        <v>25</v>
      </c>
      <c r="D13765" s="2">
        <v>1213.5999999999999</v>
      </c>
      <c r="E13765" s="2">
        <v>0</v>
      </c>
      <c r="F13765" t="s">
        <v>26</v>
      </c>
      <c r="G13765" t="s">
        <v>20</v>
      </c>
    </row>
    <row r="13766" spans="1:7" x14ac:dyDescent="0.35">
      <c r="A13766">
        <v>5474</v>
      </c>
      <c r="B13766" s="1">
        <v>45944</v>
      </c>
      <c r="C13766" t="s">
        <v>25</v>
      </c>
      <c r="D13766" s="2">
        <v>91.02</v>
      </c>
      <c r="E13766" s="2">
        <v>0</v>
      </c>
      <c r="F13766" t="s">
        <v>27</v>
      </c>
      <c r="G13766" t="s">
        <v>9</v>
      </c>
    </row>
    <row r="13767" spans="1:7" x14ac:dyDescent="0.35">
      <c r="A13767">
        <v>5474</v>
      </c>
      <c r="B13767" s="1">
        <v>45944</v>
      </c>
      <c r="C13767" t="s">
        <v>25</v>
      </c>
      <c r="D13767" s="2">
        <v>0</v>
      </c>
      <c r="E13767" s="2">
        <v>1304.6199999999999</v>
      </c>
      <c r="F13767" t="s">
        <v>28</v>
      </c>
      <c r="G13767" t="s">
        <v>17</v>
      </c>
    </row>
    <row r="13768" spans="1:7" x14ac:dyDescent="0.35">
      <c r="A13768">
        <v>5475</v>
      </c>
      <c r="B13768" s="1">
        <v>45944</v>
      </c>
      <c r="C13768" t="s">
        <v>25</v>
      </c>
      <c r="D13768" s="2">
        <v>1947.24</v>
      </c>
      <c r="E13768" s="2">
        <v>0</v>
      </c>
      <c r="F13768" t="s">
        <v>26</v>
      </c>
      <c r="G13768" t="s">
        <v>20</v>
      </c>
    </row>
    <row r="13769" spans="1:7" x14ac:dyDescent="0.35">
      <c r="A13769">
        <v>5475</v>
      </c>
      <c r="B13769" s="1">
        <v>45944</v>
      </c>
      <c r="C13769" t="s">
        <v>25</v>
      </c>
      <c r="D13769" s="2">
        <v>146.04</v>
      </c>
      <c r="E13769" s="2">
        <v>0</v>
      </c>
      <c r="F13769" t="s">
        <v>27</v>
      </c>
      <c r="G13769" t="s">
        <v>9</v>
      </c>
    </row>
    <row r="13770" spans="1:7" x14ac:dyDescent="0.35">
      <c r="A13770">
        <v>5475</v>
      </c>
      <c r="B13770" s="1">
        <v>45944</v>
      </c>
      <c r="C13770" t="s">
        <v>25</v>
      </c>
      <c r="D13770" s="2">
        <v>0</v>
      </c>
      <c r="E13770" s="2">
        <v>2093.2800000000002</v>
      </c>
      <c r="F13770" t="s">
        <v>28</v>
      </c>
      <c r="G13770" t="s">
        <v>17</v>
      </c>
    </row>
    <row r="13771" spans="1:7" x14ac:dyDescent="0.35">
      <c r="A13771">
        <v>5476</v>
      </c>
      <c r="B13771" s="1">
        <v>45945</v>
      </c>
      <c r="C13771" t="s">
        <v>12</v>
      </c>
      <c r="D13771" s="2">
        <v>5553.75</v>
      </c>
      <c r="E13771" s="2">
        <v>0</v>
      </c>
      <c r="F13771" t="s">
        <v>13</v>
      </c>
      <c r="G13771" t="s">
        <v>9</v>
      </c>
    </row>
    <row r="13772" spans="1:7" x14ac:dyDescent="0.35">
      <c r="A13772">
        <v>5476</v>
      </c>
      <c r="B13772" s="1">
        <v>45945</v>
      </c>
      <c r="C13772" t="s">
        <v>12</v>
      </c>
      <c r="D13772" s="2">
        <v>0</v>
      </c>
      <c r="E13772" s="2">
        <v>5166.2700000000004</v>
      </c>
      <c r="F13772" t="s">
        <v>14</v>
      </c>
      <c r="G13772" t="s">
        <v>15</v>
      </c>
    </row>
    <row r="13773" spans="1:7" x14ac:dyDescent="0.35">
      <c r="A13773">
        <v>5476</v>
      </c>
      <c r="B13773" s="1">
        <v>45945</v>
      </c>
      <c r="C13773" t="s">
        <v>12</v>
      </c>
      <c r="D13773" s="2">
        <v>0</v>
      </c>
      <c r="E13773" s="2">
        <v>387.48</v>
      </c>
      <c r="F13773" t="s">
        <v>16</v>
      </c>
      <c r="G13773" t="s">
        <v>17</v>
      </c>
    </row>
    <row r="13774" spans="1:7" x14ac:dyDescent="0.35">
      <c r="A13774">
        <v>5477</v>
      </c>
      <c r="B13774" s="1">
        <v>45945</v>
      </c>
      <c r="C13774" t="s">
        <v>12</v>
      </c>
      <c r="D13774" s="2">
        <v>2076.4899999999998</v>
      </c>
      <c r="E13774" s="2">
        <v>0</v>
      </c>
      <c r="F13774" t="s">
        <v>13</v>
      </c>
      <c r="G13774" t="s">
        <v>9</v>
      </c>
    </row>
    <row r="13775" spans="1:7" x14ac:dyDescent="0.35">
      <c r="A13775">
        <v>5477</v>
      </c>
      <c r="B13775" s="1">
        <v>45945</v>
      </c>
      <c r="C13775" t="s">
        <v>12</v>
      </c>
      <c r="D13775" s="2">
        <v>0</v>
      </c>
      <c r="E13775" s="2">
        <v>1931.61</v>
      </c>
      <c r="F13775" t="s">
        <v>14</v>
      </c>
      <c r="G13775" t="s">
        <v>15</v>
      </c>
    </row>
    <row r="13776" spans="1:7" x14ac:dyDescent="0.35">
      <c r="A13776">
        <v>5477</v>
      </c>
      <c r="B13776" s="1">
        <v>45945</v>
      </c>
      <c r="C13776" t="s">
        <v>12</v>
      </c>
      <c r="D13776" s="2">
        <v>0</v>
      </c>
      <c r="E13776" s="2">
        <v>144.88</v>
      </c>
      <c r="F13776" t="s">
        <v>16</v>
      </c>
      <c r="G13776" t="s">
        <v>17</v>
      </c>
    </row>
    <row r="13777" spans="1:7" x14ac:dyDescent="0.35">
      <c r="A13777">
        <v>5478</v>
      </c>
      <c r="B13777" s="1">
        <v>45945</v>
      </c>
      <c r="C13777" t="s">
        <v>12</v>
      </c>
      <c r="D13777" s="2">
        <v>2800.44</v>
      </c>
      <c r="E13777" s="2">
        <v>0</v>
      </c>
      <c r="F13777" t="s">
        <v>13</v>
      </c>
      <c r="G13777" t="s">
        <v>9</v>
      </c>
    </row>
    <row r="13778" spans="1:7" x14ac:dyDescent="0.35">
      <c r="A13778">
        <v>5478</v>
      </c>
      <c r="B13778" s="1">
        <v>45945</v>
      </c>
      <c r="C13778" t="s">
        <v>12</v>
      </c>
      <c r="D13778" s="2">
        <v>0</v>
      </c>
      <c r="E13778" s="2">
        <v>2605.0500000000002</v>
      </c>
      <c r="F13778" t="s">
        <v>14</v>
      </c>
      <c r="G13778" t="s">
        <v>15</v>
      </c>
    </row>
    <row r="13779" spans="1:7" x14ac:dyDescent="0.35">
      <c r="A13779">
        <v>5478</v>
      </c>
      <c r="B13779" s="1">
        <v>45945</v>
      </c>
      <c r="C13779" t="s">
        <v>12</v>
      </c>
      <c r="D13779" s="2">
        <v>0</v>
      </c>
      <c r="E13779" s="2">
        <v>195.39</v>
      </c>
      <c r="F13779" t="s">
        <v>16</v>
      </c>
      <c r="G13779" t="s">
        <v>17</v>
      </c>
    </row>
    <row r="13780" spans="1:7" x14ac:dyDescent="0.35">
      <c r="A13780">
        <v>5479</v>
      </c>
      <c r="B13780" s="1">
        <v>45945</v>
      </c>
      <c r="C13780" t="s">
        <v>12</v>
      </c>
      <c r="D13780" s="2">
        <v>1867.62</v>
      </c>
      <c r="E13780" s="2">
        <v>0</v>
      </c>
      <c r="F13780" t="s">
        <v>13</v>
      </c>
      <c r="G13780" t="s">
        <v>9</v>
      </c>
    </row>
    <row r="13781" spans="1:7" x14ac:dyDescent="0.35">
      <c r="A13781">
        <v>5479</v>
      </c>
      <c r="B13781" s="1">
        <v>45945</v>
      </c>
      <c r="C13781" t="s">
        <v>12</v>
      </c>
      <c r="D13781" s="2">
        <v>0</v>
      </c>
      <c r="E13781" s="2">
        <v>1737.33</v>
      </c>
      <c r="F13781" t="s">
        <v>14</v>
      </c>
      <c r="G13781" t="s">
        <v>15</v>
      </c>
    </row>
    <row r="13782" spans="1:7" x14ac:dyDescent="0.35">
      <c r="A13782">
        <v>5479</v>
      </c>
      <c r="B13782" s="1">
        <v>45945</v>
      </c>
      <c r="C13782" t="s">
        <v>12</v>
      </c>
      <c r="D13782" s="2">
        <v>0</v>
      </c>
      <c r="E13782" s="2">
        <v>130.29</v>
      </c>
      <c r="F13782" t="s">
        <v>16</v>
      </c>
      <c r="G13782" t="s">
        <v>17</v>
      </c>
    </row>
    <row r="13783" spans="1:7" x14ac:dyDescent="0.35">
      <c r="A13783">
        <v>5480</v>
      </c>
      <c r="B13783" s="1">
        <v>45945</v>
      </c>
      <c r="C13783" t="s">
        <v>12</v>
      </c>
      <c r="D13783" s="2">
        <v>3227.16</v>
      </c>
      <c r="E13783" s="2">
        <v>0</v>
      </c>
      <c r="F13783" t="s">
        <v>13</v>
      </c>
      <c r="G13783" t="s">
        <v>9</v>
      </c>
    </row>
    <row r="13784" spans="1:7" x14ac:dyDescent="0.35">
      <c r="A13784">
        <v>5480</v>
      </c>
      <c r="B13784" s="1">
        <v>45945</v>
      </c>
      <c r="C13784" t="s">
        <v>12</v>
      </c>
      <c r="D13784" s="2">
        <v>0</v>
      </c>
      <c r="E13784" s="2">
        <v>3002.01</v>
      </c>
      <c r="F13784" t="s">
        <v>14</v>
      </c>
      <c r="G13784" t="s">
        <v>15</v>
      </c>
    </row>
    <row r="13785" spans="1:7" x14ac:dyDescent="0.35">
      <c r="A13785">
        <v>5480</v>
      </c>
      <c r="B13785" s="1">
        <v>45945</v>
      </c>
      <c r="C13785" t="s">
        <v>12</v>
      </c>
      <c r="D13785" s="2">
        <v>0</v>
      </c>
      <c r="E13785" s="2">
        <v>225.15</v>
      </c>
      <c r="F13785" t="s">
        <v>16</v>
      </c>
      <c r="G13785" t="s">
        <v>17</v>
      </c>
    </row>
    <row r="13786" spans="1:7" x14ac:dyDescent="0.35">
      <c r="A13786">
        <v>5481</v>
      </c>
      <c r="B13786" s="1">
        <v>45945</v>
      </c>
      <c r="C13786" t="s">
        <v>24</v>
      </c>
      <c r="D13786" s="2">
        <v>1678.61</v>
      </c>
      <c r="E13786" s="2">
        <v>0</v>
      </c>
      <c r="F13786" t="s">
        <v>8</v>
      </c>
      <c r="G13786" t="s">
        <v>9</v>
      </c>
    </row>
    <row r="13787" spans="1:7" x14ac:dyDescent="0.35">
      <c r="A13787">
        <v>5481</v>
      </c>
      <c r="B13787" s="1">
        <v>45945</v>
      </c>
      <c r="C13787" t="s">
        <v>24</v>
      </c>
      <c r="D13787" s="2">
        <v>0</v>
      </c>
      <c r="E13787" s="2">
        <v>1678.61</v>
      </c>
      <c r="F13787" t="s">
        <v>13</v>
      </c>
      <c r="G13787" t="s">
        <v>9</v>
      </c>
    </row>
    <row r="13788" spans="1:7" x14ac:dyDescent="0.35">
      <c r="A13788">
        <v>5482</v>
      </c>
      <c r="B13788" s="1">
        <v>45945</v>
      </c>
      <c r="C13788" t="s">
        <v>24</v>
      </c>
      <c r="D13788" s="2">
        <v>2159.79</v>
      </c>
      <c r="E13788" s="2">
        <v>0</v>
      </c>
      <c r="F13788" t="s">
        <v>8</v>
      </c>
      <c r="G13788" t="s">
        <v>9</v>
      </c>
    </row>
    <row r="13789" spans="1:7" x14ac:dyDescent="0.35">
      <c r="A13789">
        <v>5482</v>
      </c>
      <c r="B13789" s="1">
        <v>45945</v>
      </c>
      <c r="C13789" t="s">
        <v>24</v>
      </c>
      <c r="D13789" s="2">
        <v>0</v>
      </c>
      <c r="E13789" s="2">
        <v>2159.79</v>
      </c>
      <c r="F13789" t="s">
        <v>13</v>
      </c>
      <c r="G13789" t="s">
        <v>9</v>
      </c>
    </row>
    <row r="13790" spans="1:7" x14ac:dyDescent="0.35">
      <c r="A13790">
        <v>5483</v>
      </c>
      <c r="B13790" s="1">
        <v>45945</v>
      </c>
      <c r="C13790" t="s">
        <v>24</v>
      </c>
      <c r="D13790" s="2">
        <v>1180.05</v>
      </c>
      <c r="E13790" s="2">
        <v>0</v>
      </c>
      <c r="F13790" t="s">
        <v>8</v>
      </c>
      <c r="G13790" t="s">
        <v>9</v>
      </c>
    </row>
    <row r="13791" spans="1:7" x14ac:dyDescent="0.35">
      <c r="A13791">
        <v>5483</v>
      </c>
      <c r="B13791" s="1">
        <v>45945</v>
      </c>
      <c r="C13791" t="s">
        <v>24</v>
      </c>
      <c r="D13791" s="2">
        <v>0</v>
      </c>
      <c r="E13791" s="2">
        <v>1180.05</v>
      </c>
      <c r="F13791" t="s">
        <v>13</v>
      </c>
      <c r="G13791" t="s">
        <v>9</v>
      </c>
    </row>
    <row r="13792" spans="1:7" x14ac:dyDescent="0.35">
      <c r="A13792">
        <v>5484</v>
      </c>
      <c r="B13792" s="1">
        <v>45945</v>
      </c>
      <c r="C13792" t="s">
        <v>24</v>
      </c>
      <c r="D13792" s="2">
        <v>5233.6099999999997</v>
      </c>
      <c r="E13792" s="2">
        <v>0</v>
      </c>
      <c r="F13792" t="s">
        <v>8</v>
      </c>
      <c r="G13792" t="s">
        <v>9</v>
      </c>
    </row>
    <row r="13793" spans="1:7" x14ac:dyDescent="0.35">
      <c r="A13793">
        <v>5484</v>
      </c>
      <c r="B13793" s="1">
        <v>45945</v>
      </c>
      <c r="C13793" t="s">
        <v>24</v>
      </c>
      <c r="D13793" s="2">
        <v>0</v>
      </c>
      <c r="E13793" s="2">
        <v>5233.6099999999997</v>
      </c>
      <c r="F13793" t="s">
        <v>13</v>
      </c>
      <c r="G13793" t="s">
        <v>9</v>
      </c>
    </row>
    <row r="13794" spans="1:7" x14ac:dyDescent="0.35">
      <c r="A13794">
        <v>5485</v>
      </c>
      <c r="B13794" s="1">
        <v>45945</v>
      </c>
      <c r="C13794" t="s">
        <v>24</v>
      </c>
      <c r="D13794" s="2">
        <v>1906.44</v>
      </c>
      <c r="E13794" s="2">
        <v>0</v>
      </c>
      <c r="F13794" t="s">
        <v>8</v>
      </c>
      <c r="G13794" t="s">
        <v>9</v>
      </c>
    </row>
    <row r="13795" spans="1:7" x14ac:dyDescent="0.35">
      <c r="A13795">
        <v>5485</v>
      </c>
      <c r="B13795" s="1">
        <v>45945</v>
      </c>
      <c r="C13795" t="s">
        <v>24</v>
      </c>
      <c r="D13795" s="2">
        <v>0</v>
      </c>
      <c r="E13795" s="2">
        <v>1906.44</v>
      </c>
      <c r="F13795" t="s">
        <v>13</v>
      </c>
      <c r="G13795" t="s">
        <v>9</v>
      </c>
    </row>
    <row r="13796" spans="1:7" x14ac:dyDescent="0.35">
      <c r="A13796">
        <v>5486</v>
      </c>
      <c r="B13796" s="1">
        <v>45946</v>
      </c>
      <c r="C13796" t="s">
        <v>12</v>
      </c>
      <c r="D13796" s="2">
        <v>5062.7700000000004</v>
      </c>
      <c r="E13796" s="2">
        <v>0</v>
      </c>
      <c r="F13796" t="s">
        <v>13</v>
      </c>
      <c r="G13796" t="s">
        <v>9</v>
      </c>
    </row>
    <row r="13797" spans="1:7" x14ac:dyDescent="0.35">
      <c r="A13797">
        <v>5486</v>
      </c>
      <c r="B13797" s="1">
        <v>45946</v>
      </c>
      <c r="C13797" t="s">
        <v>12</v>
      </c>
      <c r="D13797" s="2">
        <v>0</v>
      </c>
      <c r="E13797" s="2">
        <v>4709.5600000000004</v>
      </c>
      <c r="F13797" t="s">
        <v>14</v>
      </c>
      <c r="G13797" t="s">
        <v>15</v>
      </c>
    </row>
    <row r="13798" spans="1:7" x14ac:dyDescent="0.35">
      <c r="A13798">
        <v>5486</v>
      </c>
      <c r="B13798" s="1">
        <v>45946</v>
      </c>
      <c r="C13798" t="s">
        <v>12</v>
      </c>
      <c r="D13798" s="2">
        <v>0</v>
      </c>
      <c r="E13798" s="2">
        <v>353.21</v>
      </c>
      <c r="F13798" t="s">
        <v>16</v>
      </c>
      <c r="G13798" t="s">
        <v>17</v>
      </c>
    </row>
    <row r="13799" spans="1:7" x14ac:dyDescent="0.35">
      <c r="A13799">
        <v>5487</v>
      </c>
      <c r="B13799" s="1">
        <v>45946</v>
      </c>
      <c r="C13799" t="s">
        <v>12</v>
      </c>
      <c r="D13799" s="2">
        <v>914.89</v>
      </c>
      <c r="E13799" s="2">
        <v>0</v>
      </c>
      <c r="F13799" t="s">
        <v>13</v>
      </c>
      <c r="G13799" t="s">
        <v>9</v>
      </c>
    </row>
    <row r="13800" spans="1:7" x14ac:dyDescent="0.35">
      <c r="A13800">
        <v>5487</v>
      </c>
      <c r="B13800" s="1">
        <v>45946</v>
      </c>
      <c r="C13800" t="s">
        <v>12</v>
      </c>
      <c r="D13800" s="2">
        <v>0</v>
      </c>
      <c r="E13800" s="2">
        <v>851.06</v>
      </c>
      <c r="F13800" t="s">
        <v>14</v>
      </c>
      <c r="G13800" t="s">
        <v>15</v>
      </c>
    </row>
    <row r="13801" spans="1:7" x14ac:dyDescent="0.35">
      <c r="A13801">
        <v>5487</v>
      </c>
      <c r="B13801" s="1">
        <v>45946</v>
      </c>
      <c r="C13801" t="s">
        <v>12</v>
      </c>
      <c r="D13801" s="2">
        <v>0</v>
      </c>
      <c r="E13801" s="2">
        <v>63.83</v>
      </c>
      <c r="F13801" t="s">
        <v>16</v>
      </c>
      <c r="G13801" t="s">
        <v>17</v>
      </c>
    </row>
    <row r="13802" spans="1:7" x14ac:dyDescent="0.35">
      <c r="A13802">
        <v>5488</v>
      </c>
      <c r="B13802" s="1">
        <v>45946</v>
      </c>
      <c r="C13802" t="s">
        <v>12</v>
      </c>
      <c r="D13802" s="2">
        <v>3714.51</v>
      </c>
      <c r="E13802" s="2">
        <v>0</v>
      </c>
      <c r="F13802" t="s">
        <v>13</v>
      </c>
      <c r="G13802" t="s">
        <v>9</v>
      </c>
    </row>
    <row r="13803" spans="1:7" x14ac:dyDescent="0.35">
      <c r="A13803">
        <v>5488</v>
      </c>
      <c r="B13803" s="1">
        <v>45946</v>
      </c>
      <c r="C13803" t="s">
        <v>12</v>
      </c>
      <c r="D13803" s="2">
        <v>0</v>
      </c>
      <c r="E13803" s="2">
        <v>3455.36</v>
      </c>
      <c r="F13803" t="s">
        <v>14</v>
      </c>
      <c r="G13803" t="s">
        <v>15</v>
      </c>
    </row>
    <row r="13804" spans="1:7" x14ac:dyDescent="0.35">
      <c r="A13804">
        <v>5488</v>
      </c>
      <c r="B13804" s="1">
        <v>45946</v>
      </c>
      <c r="C13804" t="s">
        <v>12</v>
      </c>
      <c r="D13804" s="2">
        <v>0</v>
      </c>
      <c r="E13804" s="2">
        <v>259.14999999999998</v>
      </c>
      <c r="F13804" t="s">
        <v>16</v>
      </c>
      <c r="G13804" t="s">
        <v>17</v>
      </c>
    </row>
    <row r="13805" spans="1:7" x14ac:dyDescent="0.35">
      <c r="A13805">
        <v>5489</v>
      </c>
      <c r="B13805" s="1">
        <v>45946</v>
      </c>
      <c r="C13805" t="s">
        <v>12</v>
      </c>
      <c r="D13805" s="2">
        <v>789.93</v>
      </c>
      <c r="E13805" s="2">
        <v>0</v>
      </c>
      <c r="F13805" t="s">
        <v>13</v>
      </c>
      <c r="G13805" t="s">
        <v>9</v>
      </c>
    </row>
    <row r="13806" spans="1:7" x14ac:dyDescent="0.35">
      <c r="A13806">
        <v>5489</v>
      </c>
      <c r="B13806" s="1">
        <v>45946</v>
      </c>
      <c r="C13806" t="s">
        <v>12</v>
      </c>
      <c r="D13806" s="2">
        <v>0</v>
      </c>
      <c r="E13806" s="2">
        <v>734.82</v>
      </c>
      <c r="F13806" t="s">
        <v>14</v>
      </c>
      <c r="G13806" t="s">
        <v>15</v>
      </c>
    </row>
    <row r="13807" spans="1:7" x14ac:dyDescent="0.35">
      <c r="A13807">
        <v>5489</v>
      </c>
      <c r="B13807" s="1">
        <v>45946</v>
      </c>
      <c r="C13807" t="s">
        <v>12</v>
      </c>
      <c r="D13807" s="2">
        <v>0</v>
      </c>
      <c r="E13807" s="2">
        <v>55.11</v>
      </c>
      <c r="F13807" t="s">
        <v>16</v>
      </c>
      <c r="G13807" t="s">
        <v>17</v>
      </c>
    </row>
    <row r="13808" spans="1:7" x14ac:dyDescent="0.35">
      <c r="A13808">
        <v>5490</v>
      </c>
      <c r="B13808" s="1">
        <v>45946</v>
      </c>
      <c r="C13808" t="s">
        <v>12</v>
      </c>
      <c r="D13808" s="2">
        <v>199.22</v>
      </c>
      <c r="E13808" s="2">
        <v>0</v>
      </c>
      <c r="F13808" t="s">
        <v>13</v>
      </c>
      <c r="G13808" t="s">
        <v>9</v>
      </c>
    </row>
    <row r="13809" spans="1:7" x14ac:dyDescent="0.35">
      <c r="A13809">
        <v>5490</v>
      </c>
      <c r="B13809" s="1">
        <v>45946</v>
      </c>
      <c r="C13809" t="s">
        <v>12</v>
      </c>
      <c r="D13809" s="2">
        <v>0</v>
      </c>
      <c r="E13809" s="2">
        <v>185.32</v>
      </c>
      <c r="F13809" t="s">
        <v>14</v>
      </c>
      <c r="G13809" t="s">
        <v>15</v>
      </c>
    </row>
    <row r="13810" spans="1:7" x14ac:dyDescent="0.35">
      <c r="A13810">
        <v>5490</v>
      </c>
      <c r="B13810" s="1">
        <v>45946</v>
      </c>
      <c r="C13810" t="s">
        <v>12</v>
      </c>
      <c r="D13810" s="2">
        <v>0</v>
      </c>
      <c r="E13810" s="2">
        <v>13.9</v>
      </c>
      <c r="F13810" t="s">
        <v>16</v>
      </c>
      <c r="G13810" t="s">
        <v>17</v>
      </c>
    </row>
    <row r="13811" spans="1:7" x14ac:dyDescent="0.35">
      <c r="A13811">
        <v>5491</v>
      </c>
      <c r="B13811" s="1">
        <v>45946</v>
      </c>
      <c r="C13811" t="s">
        <v>12</v>
      </c>
      <c r="D13811" s="2">
        <v>3222.48</v>
      </c>
      <c r="E13811" s="2">
        <v>0</v>
      </c>
      <c r="F13811" t="s">
        <v>13</v>
      </c>
      <c r="G13811" t="s">
        <v>9</v>
      </c>
    </row>
    <row r="13812" spans="1:7" x14ac:dyDescent="0.35">
      <c r="A13812">
        <v>5491</v>
      </c>
      <c r="B13812" s="1">
        <v>45946</v>
      </c>
      <c r="C13812" t="s">
        <v>12</v>
      </c>
      <c r="D13812" s="2">
        <v>0</v>
      </c>
      <c r="E13812" s="2">
        <v>2997.66</v>
      </c>
      <c r="F13812" t="s">
        <v>14</v>
      </c>
      <c r="G13812" t="s">
        <v>15</v>
      </c>
    </row>
    <row r="13813" spans="1:7" x14ac:dyDescent="0.35">
      <c r="A13813">
        <v>5491</v>
      </c>
      <c r="B13813" s="1">
        <v>45946</v>
      </c>
      <c r="C13813" t="s">
        <v>12</v>
      </c>
      <c r="D13813" s="2">
        <v>0</v>
      </c>
      <c r="E13813" s="2">
        <v>224.82</v>
      </c>
      <c r="F13813" t="s">
        <v>16</v>
      </c>
      <c r="G13813" t="s">
        <v>17</v>
      </c>
    </row>
    <row r="13814" spans="1:7" x14ac:dyDescent="0.35">
      <c r="A13814">
        <v>5492</v>
      </c>
      <c r="B13814" s="1">
        <v>45946</v>
      </c>
      <c r="C13814" t="s">
        <v>12</v>
      </c>
      <c r="D13814" s="2">
        <v>2374.79</v>
      </c>
      <c r="E13814" s="2">
        <v>0</v>
      </c>
      <c r="F13814" t="s">
        <v>13</v>
      </c>
      <c r="G13814" t="s">
        <v>9</v>
      </c>
    </row>
    <row r="13815" spans="1:7" x14ac:dyDescent="0.35">
      <c r="A13815">
        <v>5492</v>
      </c>
      <c r="B13815" s="1">
        <v>45946</v>
      </c>
      <c r="C13815" t="s">
        <v>12</v>
      </c>
      <c r="D13815" s="2">
        <v>0</v>
      </c>
      <c r="E13815" s="2">
        <v>2209.1</v>
      </c>
      <c r="F13815" t="s">
        <v>14</v>
      </c>
      <c r="G13815" t="s">
        <v>15</v>
      </c>
    </row>
    <row r="13816" spans="1:7" x14ac:dyDescent="0.35">
      <c r="A13816">
        <v>5492</v>
      </c>
      <c r="B13816" s="1">
        <v>45946</v>
      </c>
      <c r="C13816" t="s">
        <v>12</v>
      </c>
      <c r="D13816" s="2">
        <v>0</v>
      </c>
      <c r="E13816" s="2">
        <v>165.69</v>
      </c>
      <c r="F13816" t="s">
        <v>16</v>
      </c>
      <c r="G13816" t="s">
        <v>17</v>
      </c>
    </row>
    <row r="13817" spans="1:7" x14ac:dyDescent="0.35">
      <c r="A13817">
        <v>5493</v>
      </c>
      <c r="B13817" s="1">
        <v>45946</v>
      </c>
      <c r="C13817" t="s">
        <v>24</v>
      </c>
      <c r="D13817" s="2">
        <v>494.46</v>
      </c>
      <c r="E13817" s="2">
        <v>0</v>
      </c>
      <c r="F13817" t="s">
        <v>8</v>
      </c>
      <c r="G13817" t="s">
        <v>9</v>
      </c>
    </row>
    <row r="13818" spans="1:7" x14ac:dyDescent="0.35">
      <c r="A13818">
        <v>5493</v>
      </c>
      <c r="B13818" s="1">
        <v>45946</v>
      </c>
      <c r="C13818" t="s">
        <v>24</v>
      </c>
      <c r="D13818" s="2">
        <v>0</v>
      </c>
      <c r="E13818" s="2">
        <v>494.46</v>
      </c>
      <c r="F13818" t="s">
        <v>13</v>
      </c>
      <c r="G13818" t="s">
        <v>9</v>
      </c>
    </row>
    <row r="13819" spans="1:7" x14ac:dyDescent="0.35">
      <c r="A13819">
        <v>5494</v>
      </c>
      <c r="B13819" s="1">
        <v>45946</v>
      </c>
      <c r="C13819" t="s">
        <v>24</v>
      </c>
      <c r="D13819" s="2">
        <v>907.35</v>
      </c>
      <c r="E13819" s="2">
        <v>0</v>
      </c>
      <c r="F13819" t="s">
        <v>8</v>
      </c>
      <c r="G13819" t="s">
        <v>9</v>
      </c>
    </row>
    <row r="13820" spans="1:7" x14ac:dyDescent="0.35">
      <c r="A13820">
        <v>5494</v>
      </c>
      <c r="B13820" s="1">
        <v>45946</v>
      </c>
      <c r="C13820" t="s">
        <v>24</v>
      </c>
      <c r="D13820" s="2">
        <v>0</v>
      </c>
      <c r="E13820" s="2">
        <v>907.35</v>
      </c>
      <c r="F13820" t="s">
        <v>13</v>
      </c>
      <c r="G13820" t="s">
        <v>9</v>
      </c>
    </row>
    <row r="13821" spans="1:7" x14ac:dyDescent="0.35">
      <c r="A13821">
        <v>5495</v>
      </c>
      <c r="B13821" s="1">
        <v>45946</v>
      </c>
      <c r="C13821" t="s">
        <v>24</v>
      </c>
      <c r="D13821" s="2">
        <v>2159.4</v>
      </c>
      <c r="E13821" s="2">
        <v>0</v>
      </c>
      <c r="F13821" t="s">
        <v>8</v>
      </c>
      <c r="G13821" t="s">
        <v>9</v>
      </c>
    </row>
    <row r="13822" spans="1:7" x14ac:dyDescent="0.35">
      <c r="A13822">
        <v>5495</v>
      </c>
      <c r="B13822" s="1">
        <v>45946</v>
      </c>
      <c r="C13822" t="s">
        <v>24</v>
      </c>
      <c r="D13822" s="2">
        <v>0</v>
      </c>
      <c r="E13822" s="2">
        <v>2159.4</v>
      </c>
      <c r="F13822" t="s">
        <v>13</v>
      </c>
      <c r="G13822" t="s">
        <v>9</v>
      </c>
    </row>
    <row r="13823" spans="1:7" x14ac:dyDescent="0.35">
      <c r="A13823">
        <v>5496</v>
      </c>
      <c r="B13823" s="1">
        <v>45946</v>
      </c>
      <c r="C13823" t="s">
        <v>24</v>
      </c>
      <c r="D13823" s="2">
        <v>1010.9</v>
      </c>
      <c r="E13823" s="2">
        <v>0</v>
      </c>
      <c r="F13823" t="s">
        <v>8</v>
      </c>
      <c r="G13823" t="s">
        <v>9</v>
      </c>
    </row>
    <row r="13824" spans="1:7" x14ac:dyDescent="0.35">
      <c r="A13824">
        <v>5496</v>
      </c>
      <c r="B13824" s="1">
        <v>45946</v>
      </c>
      <c r="C13824" t="s">
        <v>24</v>
      </c>
      <c r="D13824" s="2">
        <v>0</v>
      </c>
      <c r="E13824" s="2">
        <v>1010.9</v>
      </c>
      <c r="F13824" t="s">
        <v>13</v>
      </c>
      <c r="G13824" t="s">
        <v>9</v>
      </c>
    </row>
    <row r="13825" spans="1:7" x14ac:dyDescent="0.35">
      <c r="A13825">
        <v>5497</v>
      </c>
      <c r="B13825" s="1">
        <v>45946</v>
      </c>
      <c r="C13825" t="s">
        <v>29</v>
      </c>
      <c r="D13825" s="2">
        <v>1958.74</v>
      </c>
      <c r="E13825" s="2">
        <v>0</v>
      </c>
      <c r="F13825" t="s">
        <v>28</v>
      </c>
      <c r="G13825" t="s">
        <v>17</v>
      </c>
    </row>
    <row r="13826" spans="1:7" x14ac:dyDescent="0.35">
      <c r="A13826">
        <v>5497</v>
      </c>
      <c r="B13826" s="1">
        <v>45946</v>
      </c>
      <c r="C13826" t="s">
        <v>29</v>
      </c>
      <c r="D13826" s="2">
        <v>0</v>
      </c>
      <c r="E13826" s="2">
        <v>1958.74</v>
      </c>
      <c r="F13826" t="s">
        <v>8</v>
      </c>
      <c r="G13826" t="s">
        <v>9</v>
      </c>
    </row>
    <row r="13827" spans="1:7" x14ac:dyDescent="0.35">
      <c r="A13827">
        <v>5498</v>
      </c>
      <c r="B13827" s="1">
        <v>45947</v>
      </c>
      <c r="C13827" t="s">
        <v>12</v>
      </c>
      <c r="D13827" s="2">
        <v>2529.9699999999998</v>
      </c>
      <c r="E13827" s="2">
        <v>0</v>
      </c>
      <c r="F13827" t="s">
        <v>13</v>
      </c>
      <c r="G13827" t="s">
        <v>9</v>
      </c>
    </row>
    <row r="13828" spans="1:7" x14ac:dyDescent="0.35">
      <c r="A13828">
        <v>5498</v>
      </c>
      <c r="B13828" s="1">
        <v>45947</v>
      </c>
      <c r="C13828" t="s">
        <v>12</v>
      </c>
      <c r="D13828" s="2">
        <v>0</v>
      </c>
      <c r="E13828" s="2">
        <v>2353.46</v>
      </c>
      <c r="F13828" t="s">
        <v>14</v>
      </c>
      <c r="G13828" t="s">
        <v>15</v>
      </c>
    </row>
    <row r="13829" spans="1:7" x14ac:dyDescent="0.35">
      <c r="A13829">
        <v>5498</v>
      </c>
      <c r="B13829" s="1">
        <v>45947</v>
      </c>
      <c r="C13829" t="s">
        <v>12</v>
      </c>
      <c r="D13829" s="2">
        <v>0</v>
      </c>
      <c r="E13829" s="2">
        <v>176.51</v>
      </c>
      <c r="F13829" t="s">
        <v>16</v>
      </c>
      <c r="G13829" t="s">
        <v>17</v>
      </c>
    </row>
    <row r="13830" spans="1:7" x14ac:dyDescent="0.35">
      <c r="A13830">
        <v>5499</v>
      </c>
      <c r="B13830" s="1">
        <v>45947</v>
      </c>
      <c r="C13830" t="s">
        <v>12</v>
      </c>
      <c r="D13830" s="2">
        <v>716.97</v>
      </c>
      <c r="E13830" s="2">
        <v>0</v>
      </c>
      <c r="F13830" t="s">
        <v>13</v>
      </c>
      <c r="G13830" t="s">
        <v>9</v>
      </c>
    </row>
    <row r="13831" spans="1:7" x14ac:dyDescent="0.35">
      <c r="A13831">
        <v>5499</v>
      </c>
      <c r="B13831" s="1">
        <v>45947</v>
      </c>
      <c r="C13831" t="s">
        <v>12</v>
      </c>
      <c r="D13831" s="2">
        <v>0</v>
      </c>
      <c r="E13831" s="2">
        <v>666.96</v>
      </c>
      <c r="F13831" t="s">
        <v>14</v>
      </c>
      <c r="G13831" t="s">
        <v>15</v>
      </c>
    </row>
    <row r="13832" spans="1:7" x14ac:dyDescent="0.35">
      <c r="A13832">
        <v>5499</v>
      </c>
      <c r="B13832" s="1">
        <v>45947</v>
      </c>
      <c r="C13832" t="s">
        <v>12</v>
      </c>
      <c r="D13832" s="2">
        <v>0</v>
      </c>
      <c r="E13832" s="2">
        <v>50.01</v>
      </c>
      <c r="F13832" t="s">
        <v>16</v>
      </c>
      <c r="G13832" t="s">
        <v>17</v>
      </c>
    </row>
    <row r="13833" spans="1:7" x14ac:dyDescent="0.35">
      <c r="A13833">
        <v>5500</v>
      </c>
      <c r="B13833" s="1">
        <v>45947</v>
      </c>
      <c r="C13833" t="s">
        <v>12</v>
      </c>
      <c r="D13833" s="2">
        <v>1475.56</v>
      </c>
      <c r="E13833" s="2">
        <v>0</v>
      </c>
      <c r="F13833" t="s">
        <v>13</v>
      </c>
      <c r="G13833" t="s">
        <v>9</v>
      </c>
    </row>
    <row r="13834" spans="1:7" x14ac:dyDescent="0.35">
      <c r="A13834">
        <v>5500</v>
      </c>
      <c r="B13834" s="1">
        <v>45947</v>
      </c>
      <c r="C13834" t="s">
        <v>12</v>
      </c>
      <c r="D13834" s="2">
        <v>0</v>
      </c>
      <c r="E13834" s="2">
        <v>1372.61</v>
      </c>
      <c r="F13834" t="s">
        <v>14</v>
      </c>
      <c r="G13834" t="s">
        <v>15</v>
      </c>
    </row>
    <row r="13835" spans="1:7" x14ac:dyDescent="0.35">
      <c r="A13835">
        <v>5500</v>
      </c>
      <c r="B13835" s="1">
        <v>45947</v>
      </c>
      <c r="C13835" t="s">
        <v>12</v>
      </c>
      <c r="D13835" s="2">
        <v>0</v>
      </c>
      <c r="E13835" s="2">
        <v>102.95</v>
      </c>
      <c r="F13835" t="s">
        <v>16</v>
      </c>
      <c r="G13835" t="s">
        <v>17</v>
      </c>
    </row>
    <row r="13836" spans="1:7" x14ac:dyDescent="0.35">
      <c r="A13836">
        <v>5501</v>
      </c>
      <c r="B13836" s="1">
        <v>45947</v>
      </c>
      <c r="C13836" t="s">
        <v>12</v>
      </c>
      <c r="D13836" s="2">
        <v>1615.34</v>
      </c>
      <c r="E13836" s="2">
        <v>0</v>
      </c>
      <c r="F13836" t="s">
        <v>13</v>
      </c>
      <c r="G13836" t="s">
        <v>9</v>
      </c>
    </row>
    <row r="13837" spans="1:7" x14ac:dyDescent="0.35">
      <c r="A13837">
        <v>5501</v>
      </c>
      <c r="B13837" s="1">
        <v>45947</v>
      </c>
      <c r="C13837" t="s">
        <v>12</v>
      </c>
      <c r="D13837" s="2">
        <v>0</v>
      </c>
      <c r="E13837" s="2">
        <v>1502.65</v>
      </c>
      <c r="F13837" t="s">
        <v>14</v>
      </c>
      <c r="G13837" t="s">
        <v>15</v>
      </c>
    </row>
    <row r="13838" spans="1:7" x14ac:dyDescent="0.35">
      <c r="A13838">
        <v>5501</v>
      </c>
      <c r="B13838" s="1">
        <v>45947</v>
      </c>
      <c r="C13838" t="s">
        <v>12</v>
      </c>
      <c r="D13838" s="2">
        <v>0</v>
      </c>
      <c r="E13838" s="2">
        <v>112.69</v>
      </c>
      <c r="F13838" t="s">
        <v>16</v>
      </c>
      <c r="G13838" t="s">
        <v>17</v>
      </c>
    </row>
    <row r="13839" spans="1:7" x14ac:dyDescent="0.35">
      <c r="A13839">
        <v>5502</v>
      </c>
      <c r="B13839" s="1">
        <v>45947</v>
      </c>
      <c r="C13839" t="s">
        <v>12</v>
      </c>
      <c r="D13839" s="2">
        <v>2442.86</v>
      </c>
      <c r="E13839" s="2">
        <v>0</v>
      </c>
      <c r="F13839" t="s">
        <v>13</v>
      </c>
      <c r="G13839" t="s">
        <v>9</v>
      </c>
    </row>
    <row r="13840" spans="1:7" x14ac:dyDescent="0.35">
      <c r="A13840">
        <v>5502</v>
      </c>
      <c r="B13840" s="1">
        <v>45947</v>
      </c>
      <c r="C13840" t="s">
        <v>12</v>
      </c>
      <c r="D13840" s="2">
        <v>0</v>
      </c>
      <c r="E13840" s="2">
        <v>2272.4299999999998</v>
      </c>
      <c r="F13840" t="s">
        <v>14</v>
      </c>
      <c r="G13840" t="s">
        <v>15</v>
      </c>
    </row>
    <row r="13841" spans="1:7" x14ac:dyDescent="0.35">
      <c r="A13841">
        <v>5502</v>
      </c>
      <c r="B13841" s="1">
        <v>45947</v>
      </c>
      <c r="C13841" t="s">
        <v>12</v>
      </c>
      <c r="D13841" s="2">
        <v>0</v>
      </c>
      <c r="E13841" s="2">
        <v>170.43</v>
      </c>
      <c r="F13841" t="s">
        <v>16</v>
      </c>
      <c r="G13841" t="s">
        <v>17</v>
      </c>
    </row>
    <row r="13842" spans="1:7" x14ac:dyDescent="0.35">
      <c r="A13842">
        <v>5503</v>
      </c>
      <c r="B13842" s="1">
        <v>45947</v>
      </c>
      <c r="C13842" t="s">
        <v>12</v>
      </c>
      <c r="D13842" s="2">
        <v>1687.24</v>
      </c>
      <c r="E13842" s="2">
        <v>0</v>
      </c>
      <c r="F13842" t="s">
        <v>13</v>
      </c>
      <c r="G13842" t="s">
        <v>9</v>
      </c>
    </row>
    <row r="13843" spans="1:7" x14ac:dyDescent="0.35">
      <c r="A13843">
        <v>5503</v>
      </c>
      <c r="B13843" s="1">
        <v>45947</v>
      </c>
      <c r="C13843" t="s">
        <v>12</v>
      </c>
      <c r="D13843" s="2">
        <v>0</v>
      </c>
      <c r="E13843" s="2">
        <v>1569.52</v>
      </c>
      <c r="F13843" t="s">
        <v>14</v>
      </c>
      <c r="G13843" t="s">
        <v>15</v>
      </c>
    </row>
    <row r="13844" spans="1:7" x14ac:dyDescent="0.35">
      <c r="A13844">
        <v>5503</v>
      </c>
      <c r="B13844" s="1">
        <v>45947</v>
      </c>
      <c r="C13844" t="s">
        <v>12</v>
      </c>
      <c r="D13844" s="2">
        <v>0</v>
      </c>
      <c r="E13844" s="2">
        <v>117.72</v>
      </c>
      <c r="F13844" t="s">
        <v>16</v>
      </c>
      <c r="G13844" t="s">
        <v>17</v>
      </c>
    </row>
    <row r="13845" spans="1:7" x14ac:dyDescent="0.35">
      <c r="A13845">
        <v>5504</v>
      </c>
      <c r="B13845" s="1">
        <v>45947</v>
      </c>
      <c r="C13845" t="s">
        <v>12</v>
      </c>
      <c r="D13845" s="2">
        <v>1668.36</v>
      </c>
      <c r="E13845" s="2">
        <v>0</v>
      </c>
      <c r="F13845" t="s">
        <v>13</v>
      </c>
      <c r="G13845" t="s">
        <v>9</v>
      </c>
    </row>
    <row r="13846" spans="1:7" x14ac:dyDescent="0.35">
      <c r="A13846">
        <v>5504</v>
      </c>
      <c r="B13846" s="1">
        <v>45947</v>
      </c>
      <c r="C13846" t="s">
        <v>12</v>
      </c>
      <c r="D13846" s="2">
        <v>0</v>
      </c>
      <c r="E13846" s="2">
        <v>1551.96</v>
      </c>
      <c r="F13846" t="s">
        <v>14</v>
      </c>
      <c r="G13846" t="s">
        <v>15</v>
      </c>
    </row>
    <row r="13847" spans="1:7" x14ac:dyDescent="0.35">
      <c r="A13847">
        <v>5504</v>
      </c>
      <c r="B13847" s="1">
        <v>45947</v>
      </c>
      <c r="C13847" t="s">
        <v>12</v>
      </c>
      <c r="D13847" s="2">
        <v>0</v>
      </c>
      <c r="E13847" s="2">
        <v>116.4</v>
      </c>
      <c r="F13847" t="s">
        <v>16</v>
      </c>
      <c r="G13847" t="s">
        <v>17</v>
      </c>
    </row>
    <row r="13848" spans="1:7" x14ac:dyDescent="0.35">
      <c r="A13848">
        <v>5505</v>
      </c>
      <c r="B13848" s="1">
        <v>45947</v>
      </c>
      <c r="C13848" t="s">
        <v>12</v>
      </c>
      <c r="D13848" s="2">
        <v>1234.42</v>
      </c>
      <c r="E13848" s="2">
        <v>0</v>
      </c>
      <c r="F13848" t="s">
        <v>13</v>
      </c>
      <c r="G13848" t="s">
        <v>9</v>
      </c>
    </row>
    <row r="13849" spans="1:7" x14ac:dyDescent="0.35">
      <c r="A13849">
        <v>5505</v>
      </c>
      <c r="B13849" s="1">
        <v>45947</v>
      </c>
      <c r="C13849" t="s">
        <v>12</v>
      </c>
      <c r="D13849" s="2">
        <v>0</v>
      </c>
      <c r="E13849" s="2">
        <v>1148.29</v>
      </c>
      <c r="F13849" t="s">
        <v>14</v>
      </c>
      <c r="G13849" t="s">
        <v>15</v>
      </c>
    </row>
    <row r="13850" spans="1:7" x14ac:dyDescent="0.35">
      <c r="A13850">
        <v>5505</v>
      </c>
      <c r="B13850" s="1">
        <v>45947</v>
      </c>
      <c r="C13850" t="s">
        <v>12</v>
      </c>
      <c r="D13850" s="2">
        <v>0</v>
      </c>
      <c r="E13850" s="2">
        <v>86.13</v>
      </c>
      <c r="F13850" t="s">
        <v>16</v>
      </c>
      <c r="G13850" t="s">
        <v>17</v>
      </c>
    </row>
    <row r="13851" spans="1:7" x14ac:dyDescent="0.35">
      <c r="A13851">
        <v>5506</v>
      </c>
      <c r="B13851" s="1">
        <v>45947</v>
      </c>
      <c r="C13851" t="s">
        <v>12</v>
      </c>
      <c r="D13851" s="2">
        <v>3347.28</v>
      </c>
      <c r="E13851" s="2">
        <v>0</v>
      </c>
      <c r="F13851" t="s">
        <v>13</v>
      </c>
      <c r="G13851" t="s">
        <v>9</v>
      </c>
    </row>
    <row r="13852" spans="1:7" x14ac:dyDescent="0.35">
      <c r="A13852">
        <v>5506</v>
      </c>
      <c r="B13852" s="1">
        <v>45947</v>
      </c>
      <c r="C13852" t="s">
        <v>12</v>
      </c>
      <c r="D13852" s="2">
        <v>0</v>
      </c>
      <c r="E13852" s="2">
        <v>3113.75</v>
      </c>
      <c r="F13852" t="s">
        <v>14</v>
      </c>
      <c r="G13852" t="s">
        <v>15</v>
      </c>
    </row>
    <row r="13853" spans="1:7" x14ac:dyDescent="0.35">
      <c r="A13853">
        <v>5506</v>
      </c>
      <c r="B13853" s="1">
        <v>45947</v>
      </c>
      <c r="C13853" t="s">
        <v>12</v>
      </c>
      <c r="D13853" s="2">
        <v>0</v>
      </c>
      <c r="E13853" s="2">
        <v>233.53</v>
      </c>
      <c r="F13853" t="s">
        <v>16</v>
      </c>
      <c r="G13853" t="s">
        <v>17</v>
      </c>
    </row>
    <row r="13854" spans="1:7" x14ac:dyDescent="0.35">
      <c r="A13854">
        <v>5507</v>
      </c>
      <c r="B13854" s="1">
        <v>45947</v>
      </c>
      <c r="C13854" t="s">
        <v>24</v>
      </c>
      <c r="D13854" s="2">
        <v>901.11</v>
      </c>
      <c r="E13854" s="2">
        <v>0</v>
      </c>
      <c r="F13854" t="s">
        <v>8</v>
      </c>
      <c r="G13854" t="s">
        <v>9</v>
      </c>
    </row>
    <row r="13855" spans="1:7" x14ac:dyDescent="0.35">
      <c r="A13855">
        <v>5507</v>
      </c>
      <c r="B13855" s="1">
        <v>45947</v>
      </c>
      <c r="C13855" t="s">
        <v>24</v>
      </c>
      <c r="D13855" s="2">
        <v>0</v>
      </c>
      <c r="E13855" s="2">
        <v>901.11</v>
      </c>
      <c r="F13855" t="s">
        <v>13</v>
      </c>
      <c r="G13855" t="s">
        <v>9</v>
      </c>
    </row>
    <row r="13856" spans="1:7" x14ac:dyDescent="0.35">
      <c r="A13856">
        <v>5508</v>
      </c>
      <c r="B13856" s="1">
        <v>45947</v>
      </c>
      <c r="C13856" t="s">
        <v>24</v>
      </c>
      <c r="D13856" s="2">
        <v>788.61</v>
      </c>
      <c r="E13856" s="2">
        <v>0</v>
      </c>
      <c r="F13856" t="s">
        <v>8</v>
      </c>
      <c r="G13856" t="s">
        <v>9</v>
      </c>
    </row>
    <row r="13857" spans="1:7" x14ac:dyDescent="0.35">
      <c r="A13857">
        <v>5508</v>
      </c>
      <c r="B13857" s="1">
        <v>45947</v>
      </c>
      <c r="C13857" t="s">
        <v>24</v>
      </c>
      <c r="D13857" s="2">
        <v>0</v>
      </c>
      <c r="E13857" s="2">
        <v>788.61</v>
      </c>
      <c r="F13857" t="s">
        <v>13</v>
      </c>
      <c r="G13857" t="s">
        <v>9</v>
      </c>
    </row>
    <row r="13858" spans="1:7" x14ac:dyDescent="0.35">
      <c r="A13858">
        <v>5509</v>
      </c>
      <c r="B13858" s="1">
        <v>45947</v>
      </c>
      <c r="C13858" t="s">
        <v>24</v>
      </c>
      <c r="D13858" s="2">
        <v>5634.96</v>
      </c>
      <c r="E13858" s="2">
        <v>0</v>
      </c>
      <c r="F13858" t="s">
        <v>8</v>
      </c>
      <c r="G13858" t="s">
        <v>9</v>
      </c>
    </row>
    <row r="13859" spans="1:7" x14ac:dyDescent="0.35">
      <c r="A13859">
        <v>5509</v>
      </c>
      <c r="B13859" s="1">
        <v>45947</v>
      </c>
      <c r="C13859" t="s">
        <v>24</v>
      </c>
      <c r="D13859" s="2">
        <v>0</v>
      </c>
      <c r="E13859" s="2">
        <v>5634.96</v>
      </c>
      <c r="F13859" t="s">
        <v>13</v>
      </c>
      <c r="G13859" t="s">
        <v>9</v>
      </c>
    </row>
    <row r="13860" spans="1:7" x14ac:dyDescent="0.35">
      <c r="A13860">
        <v>5510</v>
      </c>
      <c r="B13860" s="1">
        <v>45947</v>
      </c>
      <c r="C13860" t="s">
        <v>24</v>
      </c>
      <c r="D13860" s="2">
        <v>1028.1400000000001</v>
      </c>
      <c r="E13860" s="2">
        <v>0</v>
      </c>
      <c r="F13860" t="s">
        <v>8</v>
      </c>
      <c r="G13860" t="s">
        <v>9</v>
      </c>
    </row>
    <row r="13861" spans="1:7" x14ac:dyDescent="0.35">
      <c r="A13861">
        <v>5510</v>
      </c>
      <c r="B13861" s="1">
        <v>45947</v>
      </c>
      <c r="C13861" t="s">
        <v>24</v>
      </c>
      <c r="D13861" s="2">
        <v>0</v>
      </c>
      <c r="E13861" s="2">
        <v>1028.1400000000001</v>
      </c>
      <c r="F13861" t="s">
        <v>13</v>
      </c>
      <c r="G13861" t="s">
        <v>9</v>
      </c>
    </row>
    <row r="13862" spans="1:7" x14ac:dyDescent="0.35">
      <c r="A13862">
        <v>5511</v>
      </c>
      <c r="B13862" s="1">
        <v>45947</v>
      </c>
      <c r="C13862" t="s">
        <v>24</v>
      </c>
      <c r="D13862" s="2">
        <v>2839.14</v>
      </c>
      <c r="E13862" s="2">
        <v>0</v>
      </c>
      <c r="F13862" t="s">
        <v>8</v>
      </c>
      <c r="G13862" t="s">
        <v>9</v>
      </c>
    </row>
    <row r="13863" spans="1:7" x14ac:dyDescent="0.35">
      <c r="A13863">
        <v>5511</v>
      </c>
      <c r="B13863" s="1">
        <v>45947</v>
      </c>
      <c r="C13863" t="s">
        <v>24</v>
      </c>
      <c r="D13863" s="2">
        <v>0</v>
      </c>
      <c r="E13863" s="2">
        <v>2839.14</v>
      </c>
      <c r="F13863" t="s">
        <v>13</v>
      </c>
      <c r="G13863" t="s">
        <v>9</v>
      </c>
    </row>
    <row r="13864" spans="1:7" x14ac:dyDescent="0.35">
      <c r="A13864">
        <v>5512</v>
      </c>
      <c r="B13864" s="1">
        <v>45947</v>
      </c>
      <c r="C13864" t="s">
        <v>24</v>
      </c>
      <c r="D13864" s="2">
        <v>2800.44</v>
      </c>
      <c r="E13864" s="2">
        <v>0</v>
      </c>
      <c r="F13864" t="s">
        <v>8</v>
      </c>
      <c r="G13864" t="s">
        <v>9</v>
      </c>
    </row>
    <row r="13865" spans="1:7" x14ac:dyDescent="0.35">
      <c r="A13865">
        <v>5512</v>
      </c>
      <c r="B13865" s="1">
        <v>45947</v>
      </c>
      <c r="C13865" t="s">
        <v>24</v>
      </c>
      <c r="D13865" s="2">
        <v>0</v>
      </c>
      <c r="E13865" s="2">
        <v>2800.44</v>
      </c>
      <c r="F13865" t="s">
        <v>13</v>
      </c>
      <c r="G13865" t="s">
        <v>9</v>
      </c>
    </row>
    <row r="13866" spans="1:7" x14ac:dyDescent="0.35">
      <c r="A13866">
        <v>5513</v>
      </c>
      <c r="B13866" s="1">
        <v>45947</v>
      </c>
      <c r="C13866" t="s">
        <v>25</v>
      </c>
      <c r="D13866" s="2">
        <v>2451.5</v>
      </c>
      <c r="E13866" s="2">
        <v>0</v>
      </c>
      <c r="F13866" t="s">
        <v>26</v>
      </c>
      <c r="G13866" t="s">
        <v>20</v>
      </c>
    </row>
    <row r="13867" spans="1:7" x14ac:dyDescent="0.35">
      <c r="A13867">
        <v>5513</v>
      </c>
      <c r="B13867" s="1">
        <v>45947</v>
      </c>
      <c r="C13867" t="s">
        <v>25</v>
      </c>
      <c r="D13867" s="2">
        <v>183.86</v>
      </c>
      <c r="E13867" s="2">
        <v>0</v>
      </c>
      <c r="F13867" t="s">
        <v>27</v>
      </c>
      <c r="G13867" t="s">
        <v>9</v>
      </c>
    </row>
    <row r="13868" spans="1:7" x14ac:dyDescent="0.35">
      <c r="A13868">
        <v>5513</v>
      </c>
      <c r="B13868" s="1">
        <v>45947</v>
      </c>
      <c r="C13868" t="s">
        <v>25</v>
      </c>
      <c r="D13868" s="2">
        <v>0</v>
      </c>
      <c r="E13868" s="2">
        <v>2635.36</v>
      </c>
      <c r="F13868" t="s">
        <v>28</v>
      </c>
      <c r="G13868" t="s">
        <v>17</v>
      </c>
    </row>
    <row r="13869" spans="1:7" x14ac:dyDescent="0.35">
      <c r="A13869">
        <v>5514</v>
      </c>
      <c r="B13869" s="1">
        <v>45950</v>
      </c>
      <c r="C13869" t="s">
        <v>12</v>
      </c>
      <c r="D13869" s="2">
        <v>1626.7</v>
      </c>
      <c r="E13869" s="2">
        <v>0</v>
      </c>
      <c r="F13869" t="s">
        <v>13</v>
      </c>
      <c r="G13869" t="s">
        <v>9</v>
      </c>
    </row>
    <row r="13870" spans="1:7" x14ac:dyDescent="0.35">
      <c r="A13870">
        <v>5514</v>
      </c>
      <c r="B13870" s="1">
        <v>45950</v>
      </c>
      <c r="C13870" t="s">
        <v>12</v>
      </c>
      <c r="D13870" s="2">
        <v>0</v>
      </c>
      <c r="E13870" s="2">
        <v>1513.22</v>
      </c>
      <c r="F13870" t="s">
        <v>14</v>
      </c>
      <c r="G13870" t="s">
        <v>15</v>
      </c>
    </row>
    <row r="13871" spans="1:7" x14ac:dyDescent="0.35">
      <c r="A13871">
        <v>5514</v>
      </c>
      <c r="B13871" s="1">
        <v>45950</v>
      </c>
      <c r="C13871" t="s">
        <v>12</v>
      </c>
      <c r="D13871" s="2">
        <v>0</v>
      </c>
      <c r="E13871" s="2">
        <v>113.48</v>
      </c>
      <c r="F13871" t="s">
        <v>16</v>
      </c>
      <c r="G13871" t="s">
        <v>17</v>
      </c>
    </row>
    <row r="13872" spans="1:7" x14ac:dyDescent="0.35">
      <c r="A13872">
        <v>5515</v>
      </c>
      <c r="B13872" s="1">
        <v>45950</v>
      </c>
      <c r="C13872" t="s">
        <v>12</v>
      </c>
      <c r="D13872" s="2">
        <v>1371.6</v>
      </c>
      <c r="E13872" s="2">
        <v>0</v>
      </c>
      <c r="F13872" t="s">
        <v>13</v>
      </c>
      <c r="G13872" t="s">
        <v>9</v>
      </c>
    </row>
    <row r="13873" spans="1:7" x14ac:dyDescent="0.35">
      <c r="A13873">
        <v>5515</v>
      </c>
      <c r="B13873" s="1">
        <v>45950</v>
      </c>
      <c r="C13873" t="s">
        <v>12</v>
      </c>
      <c r="D13873" s="2">
        <v>0</v>
      </c>
      <c r="E13873" s="2">
        <v>1275.9100000000001</v>
      </c>
      <c r="F13873" t="s">
        <v>14</v>
      </c>
      <c r="G13873" t="s">
        <v>15</v>
      </c>
    </row>
    <row r="13874" spans="1:7" x14ac:dyDescent="0.35">
      <c r="A13874">
        <v>5515</v>
      </c>
      <c r="B13874" s="1">
        <v>45950</v>
      </c>
      <c r="C13874" t="s">
        <v>12</v>
      </c>
      <c r="D13874" s="2">
        <v>0</v>
      </c>
      <c r="E13874" s="2">
        <v>95.69</v>
      </c>
      <c r="F13874" t="s">
        <v>16</v>
      </c>
      <c r="G13874" t="s">
        <v>17</v>
      </c>
    </row>
    <row r="13875" spans="1:7" x14ac:dyDescent="0.35">
      <c r="A13875">
        <v>5516</v>
      </c>
      <c r="B13875" s="1">
        <v>45950</v>
      </c>
      <c r="C13875" t="s">
        <v>12</v>
      </c>
      <c r="D13875" s="2">
        <v>347.99</v>
      </c>
      <c r="E13875" s="2">
        <v>0</v>
      </c>
      <c r="F13875" t="s">
        <v>13</v>
      </c>
      <c r="G13875" t="s">
        <v>9</v>
      </c>
    </row>
    <row r="13876" spans="1:7" x14ac:dyDescent="0.35">
      <c r="A13876">
        <v>5516</v>
      </c>
      <c r="B13876" s="1">
        <v>45950</v>
      </c>
      <c r="C13876" t="s">
        <v>12</v>
      </c>
      <c r="D13876" s="2">
        <v>0</v>
      </c>
      <c r="E13876" s="2">
        <v>323.70999999999998</v>
      </c>
      <c r="F13876" t="s">
        <v>14</v>
      </c>
      <c r="G13876" t="s">
        <v>15</v>
      </c>
    </row>
    <row r="13877" spans="1:7" x14ac:dyDescent="0.35">
      <c r="A13877">
        <v>5516</v>
      </c>
      <c r="B13877" s="1">
        <v>45950</v>
      </c>
      <c r="C13877" t="s">
        <v>12</v>
      </c>
      <c r="D13877" s="2">
        <v>0</v>
      </c>
      <c r="E13877" s="2">
        <v>24.28</v>
      </c>
      <c r="F13877" t="s">
        <v>16</v>
      </c>
      <c r="G13877" t="s">
        <v>17</v>
      </c>
    </row>
    <row r="13878" spans="1:7" x14ac:dyDescent="0.35">
      <c r="A13878">
        <v>5517</v>
      </c>
      <c r="B13878" s="1">
        <v>45950</v>
      </c>
      <c r="C13878" t="s">
        <v>12</v>
      </c>
      <c r="D13878" s="2">
        <v>1252.31</v>
      </c>
      <c r="E13878" s="2">
        <v>0</v>
      </c>
      <c r="F13878" t="s">
        <v>13</v>
      </c>
      <c r="G13878" t="s">
        <v>9</v>
      </c>
    </row>
    <row r="13879" spans="1:7" x14ac:dyDescent="0.35">
      <c r="A13879">
        <v>5517</v>
      </c>
      <c r="B13879" s="1">
        <v>45950</v>
      </c>
      <c r="C13879" t="s">
        <v>12</v>
      </c>
      <c r="D13879" s="2">
        <v>0</v>
      </c>
      <c r="E13879" s="2">
        <v>1164.94</v>
      </c>
      <c r="F13879" t="s">
        <v>14</v>
      </c>
      <c r="G13879" t="s">
        <v>15</v>
      </c>
    </row>
    <row r="13880" spans="1:7" x14ac:dyDescent="0.35">
      <c r="A13880">
        <v>5517</v>
      </c>
      <c r="B13880" s="1">
        <v>45950</v>
      </c>
      <c r="C13880" t="s">
        <v>12</v>
      </c>
      <c r="D13880" s="2">
        <v>0</v>
      </c>
      <c r="E13880" s="2">
        <v>87.37</v>
      </c>
      <c r="F13880" t="s">
        <v>16</v>
      </c>
      <c r="G13880" t="s">
        <v>17</v>
      </c>
    </row>
    <row r="13881" spans="1:7" x14ac:dyDescent="0.35">
      <c r="A13881">
        <v>5518</v>
      </c>
      <c r="B13881" s="1">
        <v>45950</v>
      </c>
      <c r="C13881" t="s">
        <v>12</v>
      </c>
      <c r="D13881" s="2">
        <v>235.9</v>
      </c>
      <c r="E13881" s="2">
        <v>0</v>
      </c>
      <c r="F13881" t="s">
        <v>13</v>
      </c>
      <c r="G13881" t="s">
        <v>9</v>
      </c>
    </row>
    <row r="13882" spans="1:7" x14ac:dyDescent="0.35">
      <c r="A13882">
        <v>5518</v>
      </c>
      <c r="B13882" s="1">
        <v>45950</v>
      </c>
      <c r="C13882" t="s">
        <v>12</v>
      </c>
      <c r="D13882" s="2">
        <v>0</v>
      </c>
      <c r="E13882" s="2">
        <v>219.44</v>
      </c>
      <c r="F13882" t="s">
        <v>14</v>
      </c>
      <c r="G13882" t="s">
        <v>15</v>
      </c>
    </row>
    <row r="13883" spans="1:7" x14ac:dyDescent="0.35">
      <c r="A13883">
        <v>5518</v>
      </c>
      <c r="B13883" s="1">
        <v>45950</v>
      </c>
      <c r="C13883" t="s">
        <v>12</v>
      </c>
      <c r="D13883" s="2">
        <v>0</v>
      </c>
      <c r="E13883" s="2">
        <v>16.46</v>
      </c>
      <c r="F13883" t="s">
        <v>16</v>
      </c>
      <c r="G13883" t="s">
        <v>17</v>
      </c>
    </row>
    <row r="13884" spans="1:7" x14ac:dyDescent="0.35">
      <c r="A13884">
        <v>5519</v>
      </c>
      <c r="B13884" s="1">
        <v>45950</v>
      </c>
      <c r="C13884" t="s">
        <v>12</v>
      </c>
      <c r="D13884" s="2">
        <v>576</v>
      </c>
      <c r="E13884" s="2">
        <v>0</v>
      </c>
      <c r="F13884" t="s">
        <v>13</v>
      </c>
      <c r="G13884" t="s">
        <v>9</v>
      </c>
    </row>
    <row r="13885" spans="1:7" x14ac:dyDescent="0.35">
      <c r="A13885">
        <v>5519</v>
      </c>
      <c r="B13885" s="1">
        <v>45950</v>
      </c>
      <c r="C13885" t="s">
        <v>12</v>
      </c>
      <c r="D13885" s="2">
        <v>0</v>
      </c>
      <c r="E13885" s="2">
        <v>535.82000000000005</v>
      </c>
      <c r="F13885" t="s">
        <v>14</v>
      </c>
      <c r="G13885" t="s">
        <v>15</v>
      </c>
    </row>
    <row r="13886" spans="1:7" x14ac:dyDescent="0.35">
      <c r="A13886">
        <v>5519</v>
      </c>
      <c r="B13886" s="1">
        <v>45950</v>
      </c>
      <c r="C13886" t="s">
        <v>12</v>
      </c>
      <c r="D13886" s="2">
        <v>0</v>
      </c>
      <c r="E13886" s="2">
        <v>40.18</v>
      </c>
      <c r="F13886" t="s">
        <v>16</v>
      </c>
      <c r="G13886" t="s">
        <v>17</v>
      </c>
    </row>
    <row r="13887" spans="1:7" x14ac:dyDescent="0.35">
      <c r="A13887">
        <v>5520</v>
      </c>
      <c r="B13887" s="1">
        <v>45950</v>
      </c>
      <c r="C13887" t="s">
        <v>12</v>
      </c>
      <c r="D13887" s="2">
        <v>1404.1</v>
      </c>
      <c r="E13887" s="2">
        <v>0</v>
      </c>
      <c r="F13887" t="s">
        <v>13</v>
      </c>
      <c r="G13887" t="s">
        <v>9</v>
      </c>
    </row>
    <row r="13888" spans="1:7" x14ac:dyDescent="0.35">
      <c r="A13888">
        <v>5520</v>
      </c>
      <c r="B13888" s="1">
        <v>45950</v>
      </c>
      <c r="C13888" t="s">
        <v>12</v>
      </c>
      <c r="D13888" s="2">
        <v>0</v>
      </c>
      <c r="E13888" s="2">
        <v>1306.1400000000001</v>
      </c>
      <c r="F13888" t="s">
        <v>14</v>
      </c>
      <c r="G13888" t="s">
        <v>15</v>
      </c>
    </row>
    <row r="13889" spans="1:7" x14ac:dyDescent="0.35">
      <c r="A13889">
        <v>5520</v>
      </c>
      <c r="B13889" s="1">
        <v>45950</v>
      </c>
      <c r="C13889" t="s">
        <v>12</v>
      </c>
      <c r="D13889" s="2">
        <v>0</v>
      </c>
      <c r="E13889" s="2">
        <v>97.96</v>
      </c>
      <c r="F13889" t="s">
        <v>16</v>
      </c>
      <c r="G13889" t="s">
        <v>17</v>
      </c>
    </row>
    <row r="13890" spans="1:7" x14ac:dyDescent="0.35">
      <c r="A13890">
        <v>5521</v>
      </c>
      <c r="B13890" s="1">
        <v>45950</v>
      </c>
      <c r="C13890" t="s">
        <v>12</v>
      </c>
      <c r="D13890" s="2">
        <v>3261.83</v>
      </c>
      <c r="E13890" s="2">
        <v>0</v>
      </c>
      <c r="F13890" t="s">
        <v>13</v>
      </c>
      <c r="G13890" t="s">
        <v>9</v>
      </c>
    </row>
    <row r="13891" spans="1:7" x14ac:dyDescent="0.35">
      <c r="A13891">
        <v>5521</v>
      </c>
      <c r="B13891" s="1">
        <v>45950</v>
      </c>
      <c r="C13891" t="s">
        <v>12</v>
      </c>
      <c r="D13891" s="2">
        <v>0</v>
      </c>
      <c r="E13891" s="2">
        <v>3034.27</v>
      </c>
      <c r="F13891" t="s">
        <v>14</v>
      </c>
      <c r="G13891" t="s">
        <v>15</v>
      </c>
    </row>
    <row r="13892" spans="1:7" x14ac:dyDescent="0.35">
      <c r="A13892">
        <v>5521</v>
      </c>
      <c r="B13892" s="1">
        <v>45950</v>
      </c>
      <c r="C13892" t="s">
        <v>12</v>
      </c>
      <c r="D13892" s="2">
        <v>0</v>
      </c>
      <c r="E13892" s="2">
        <v>227.56</v>
      </c>
      <c r="F13892" t="s">
        <v>16</v>
      </c>
      <c r="G13892" t="s">
        <v>17</v>
      </c>
    </row>
    <row r="13893" spans="1:7" x14ac:dyDescent="0.35">
      <c r="A13893">
        <v>5522</v>
      </c>
      <c r="B13893" s="1">
        <v>45950</v>
      </c>
      <c r="C13893" t="s">
        <v>12</v>
      </c>
      <c r="D13893" s="2">
        <v>4844.46</v>
      </c>
      <c r="E13893" s="2">
        <v>0</v>
      </c>
      <c r="F13893" t="s">
        <v>13</v>
      </c>
      <c r="G13893" t="s">
        <v>9</v>
      </c>
    </row>
    <row r="13894" spans="1:7" x14ac:dyDescent="0.35">
      <c r="A13894">
        <v>5522</v>
      </c>
      <c r="B13894" s="1">
        <v>45950</v>
      </c>
      <c r="C13894" t="s">
        <v>12</v>
      </c>
      <c r="D13894" s="2">
        <v>0</v>
      </c>
      <c r="E13894" s="2">
        <v>4506.46</v>
      </c>
      <c r="F13894" t="s">
        <v>14</v>
      </c>
      <c r="G13894" t="s">
        <v>15</v>
      </c>
    </row>
    <row r="13895" spans="1:7" x14ac:dyDescent="0.35">
      <c r="A13895">
        <v>5522</v>
      </c>
      <c r="B13895" s="1">
        <v>45950</v>
      </c>
      <c r="C13895" t="s">
        <v>12</v>
      </c>
      <c r="D13895" s="2">
        <v>0</v>
      </c>
      <c r="E13895" s="2">
        <v>338</v>
      </c>
      <c r="F13895" t="s">
        <v>16</v>
      </c>
      <c r="G13895" t="s">
        <v>17</v>
      </c>
    </row>
    <row r="13896" spans="1:7" x14ac:dyDescent="0.35">
      <c r="A13896">
        <v>5523</v>
      </c>
      <c r="B13896" s="1">
        <v>45950</v>
      </c>
      <c r="C13896" t="s">
        <v>12</v>
      </c>
      <c r="D13896" s="2">
        <v>1037.26</v>
      </c>
      <c r="E13896" s="2">
        <v>0</v>
      </c>
      <c r="F13896" t="s">
        <v>13</v>
      </c>
      <c r="G13896" t="s">
        <v>9</v>
      </c>
    </row>
    <row r="13897" spans="1:7" x14ac:dyDescent="0.35">
      <c r="A13897">
        <v>5523</v>
      </c>
      <c r="B13897" s="1">
        <v>45950</v>
      </c>
      <c r="C13897" t="s">
        <v>12</v>
      </c>
      <c r="D13897" s="2">
        <v>0</v>
      </c>
      <c r="E13897" s="2">
        <v>964.9</v>
      </c>
      <c r="F13897" t="s">
        <v>14</v>
      </c>
      <c r="G13897" t="s">
        <v>15</v>
      </c>
    </row>
    <row r="13898" spans="1:7" x14ac:dyDescent="0.35">
      <c r="A13898">
        <v>5523</v>
      </c>
      <c r="B13898" s="1">
        <v>45950</v>
      </c>
      <c r="C13898" t="s">
        <v>12</v>
      </c>
      <c r="D13898" s="2">
        <v>0</v>
      </c>
      <c r="E13898" s="2">
        <v>72.36</v>
      </c>
      <c r="F13898" t="s">
        <v>16</v>
      </c>
      <c r="G13898" t="s">
        <v>17</v>
      </c>
    </row>
    <row r="13899" spans="1:7" x14ac:dyDescent="0.35">
      <c r="A13899">
        <v>5524</v>
      </c>
      <c r="B13899" s="1">
        <v>45950</v>
      </c>
      <c r="C13899" t="s">
        <v>24</v>
      </c>
      <c r="D13899" s="2">
        <v>2006.02</v>
      </c>
      <c r="E13899" s="2">
        <v>0</v>
      </c>
      <c r="F13899" t="s">
        <v>8</v>
      </c>
      <c r="G13899" t="s">
        <v>9</v>
      </c>
    </row>
    <row r="13900" spans="1:7" x14ac:dyDescent="0.35">
      <c r="A13900">
        <v>5524</v>
      </c>
      <c r="B13900" s="1">
        <v>45950</v>
      </c>
      <c r="C13900" t="s">
        <v>24</v>
      </c>
      <c r="D13900" s="2">
        <v>0</v>
      </c>
      <c r="E13900" s="2">
        <v>2006.02</v>
      </c>
      <c r="F13900" t="s">
        <v>13</v>
      </c>
      <c r="G13900" t="s">
        <v>9</v>
      </c>
    </row>
    <row r="13901" spans="1:7" x14ac:dyDescent="0.35">
      <c r="A13901">
        <v>5525</v>
      </c>
      <c r="B13901" s="1">
        <v>45950</v>
      </c>
      <c r="C13901" t="s">
        <v>24</v>
      </c>
      <c r="D13901" s="2">
        <v>1461.66</v>
      </c>
      <c r="E13901" s="2">
        <v>0</v>
      </c>
      <c r="F13901" t="s">
        <v>8</v>
      </c>
      <c r="G13901" t="s">
        <v>9</v>
      </c>
    </row>
    <row r="13902" spans="1:7" x14ac:dyDescent="0.35">
      <c r="A13902">
        <v>5525</v>
      </c>
      <c r="B13902" s="1">
        <v>45950</v>
      </c>
      <c r="C13902" t="s">
        <v>24</v>
      </c>
      <c r="D13902" s="2">
        <v>0</v>
      </c>
      <c r="E13902" s="2">
        <v>1461.66</v>
      </c>
      <c r="F13902" t="s">
        <v>13</v>
      </c>
      <c r="G13902" t="s">
        <v>9</v>
      </c>
    </row>
    <row r="13903" spans="1:7" x14ac:dyDescent="0.35">
      <c r="A13903">
        <v>5526</v>
      </c>
      <c r="B13903" s="1">
        <v>45950</v>
      </c>
      <c r="C13903" t="s">
        <v>24</v>
      </c>
      <c r="D13903" s="2">
        <v>3246.55</v>
      </c>
      <c r="E13903" s="2">
        <v>0</v>
      </c>
      <c r="F13903" t="s">
        <v>8</v>
      </c>
      <c r="G13903" t="s">
        <v>9</v>
      </c>
    </row>
    <row r="13904" spans="1:7" x14ac:dyDescent="0.35">
      <c r="A13904">
        <v>5526</v>
      </c>
      <c r="B13904" s="1">
        <v>45950</v>
      </c>
      <c r="C13904" t="s">
        <v>24</v>
      </c>
      <c r="D13904" s="2">
        <v>0</v>
      </c>
      <c r="E13904" s="2">
        <v>3246.55</v>
      </c>
      <c r="F13904" t="s">
        <v>13</v>
      </c>
      <c r="G13904" t="s">
        <v>9</v>
      </c>
    </row>
    <row r="13905" spans="1:7" x14ac:dyDescent="0.35">
      <c r="A13905">
        <v>5527</v>
      </c>
      <c r="B13905" s="1">
        <v>45950</v>
      </c>
      <c r="C13905" t="s">
        <v>24</v>
      </c>
      <c r="D13905" s="2">
        <v>576</v>
      </c>
      <c r="E13905" s="2">
        <v>0</v>
      </c>
      <c r="F13905" t="s">
        <v>8</v>
      </c>
      <c r="G13905" t="s">
        <v>9</v>
      </c>
    </row>
    <row r="13906" spans="1:7" x14ac:dyDescent="0.35">
      <c r="A13906">
        <v>5527</v>
      </c>
      <c r="B13906" s="1">
        <v>45950</v>
      </c>
      <c r="C13906" t="s">
        <v>24</v>
      </c>
      <c r="D13906" s="2">
        <v>0</v>
      </c>
      <c r="E13906" s="2">
        <v>576</v>
      </c>
      <c r="F13906" t="s">
        <v>13</v>
      </c>
      <c r="G13906" t="s">
        <v>9</v>
      </c>
    </row>
    <row r="13907" spans="1:7" x14ac:dyDescent="0.35">
      <c r="A13907">
        <v>5528</v>
      </c>
      <c r="B13907" s="1">
        <v>45950</v>
      </c>
      <c r="C13907" t="s">
        <v>25</v>
      </c>
      <c r="D13907" s="2">
        <v>8685.27</v>
      </c>
      <c r="E13907" s="2">
        <v>0</v>
      </c>
      <c r="F13907" t="s">
        <v>26</v>
      </c>
      <c r="G13907" t="s">
        <v>20</v>
      </c>
    </row>
    <row r="13908" spans="1:7" x14ac:dyDescent="0.35">
      <c r="A13908">
        <v>5528</v>
      </c>
      <c r="B13908" s="1">
        <v>45950</v>
      </c>
      <c r="C13908" t="s">
        <v>25</v>
      </c>
      <c r="D13908" s="2">
        <v>651.4</v>
      </c>
      <c r="E13908" s="2">
        <v>0</v>
      </c>
      <c r="F13908" t="s">
        <v>27</v>
      </c>
      <c r="G13908" t="s">
        <v>9</v>
      </c>
    </row>
    <row r="13909" spans="1:7" x14ac:dyDescent="0.35">
      <c r="A13909">
        <v>5528</v>
      </c>
      <c r="B13909" s="1">
        <v>45950</v>
      </c>
      <c r="C13909" t="s">
        <v>25</v>
      </c>
      <c r="D13909" s="2">
        <v>0</v>
      </c>
      <c r="E13909" s="2">
        <v>9336.67</v>
      </c>
      <c r="F13909" t="s">
        <v>28</v>
      </c>
      <c r="G13909" t="s">
        <v>17</v>
      </c>
    </row>
    <row r="13910" spans="1:7" x14ac:dyDescent="0.35">
      <c r="A13910">
        <v>5529</v>
      </c>
      <c r="B13910" s="1">
        <v>45950</v>
      </c>
      <c r="C13910" t="s">
        <v>25</v>
      </c>
      <c r="D13910" s="2">
        <v>166.52</v>
      </c>
      <c r="E13910" s="2">
        <v>0</v>
      </c>
      <c r="F13910" t="s">
        <v>26</v>
      </c>
      <c r="G13910" t="s">
        <v>20</v>
      </c>
    </row>
    <row r="13911" spans="1:7" x14ac:dyDescent="0.35">
      <c r="A13911">
        <v>5529</v>
      </c>
      <c r="B13911" s="1">
        <v>45950</v>
      </c>
      <c r="C13911" t="s">
        <v>25</v>
      </c>
      <c r="D13911" s="2">
        <v>12.49</v>
      </c>
      <c r="E13911" s="2">
        <v>0</v>
      </c>
      <c r="F13911" t="s">
        <v>27</v>
      </c>
      <c r="G13911" t="s">
        <v>9</v>
      </c>
    </row>
    <row r="13912" spans="1:7" x14ac:dyDescent="0.35">
      <c r="A13912">
        <v>5529</v>
      </c>
      <c r="B13912" s="1">
        <v>45950</v>
      </c>
      <c r="C13912" t="s">
        <v>25</v>
      </c>
      <c r="D13912" s="2">
        <v>0</v>
      </c>
      <c r="E13912" s="2">
        <v>179.01</v>
      </c>
      <c r="F13912" t="s">
        <v>28</v>
      </c>
      <c r="G13912" t="s">
        <v>17</v>
      </c>
    </row>
    <row r="13913" spans="1:7" x14ac:dyDescent="0.35">
      <c r="A13913">
        <v>5530</v>
      </c>
      <c r="B13913" s="1">
        <v>45950</v>
      </c>
      <c r="C13913" t="s">
        <v>25</v>
      </c>
      <c r="D13913" s="2">
        <v>1643.22</v>
      </c>
      <c r="E13913" s="2">
        <v>0</v>
      </c>
      <c r="F13913" t="s">
        <v>26</v>
      </c>
      <c r="G13913" t="s">
        <v>20</v>
      </c>
    </row>
    <row r="13914" spans="1:7" x14ac:dyDescent="0.35">
      <c r="A13914">
        <v>5530</v>
      </c>
      <c r="B13914" s="1">
        <v>45950</v>
      </c>
      <c r="C13914" t="s">
        <v>25</v>
      </c>
      <c r="D13914" s="2">
        <v>123.24</v>
      </c>
      <c r="E13914" s="2">
        <v>0</v>
      </c>
      <c r="F13914" t="s">
        <v>27</v>
      </c>
      <c r="G13914" t="s">
        <v>9</v>
      </c>
    </row>
    <row r="13915" spans="1:7" x14ac:dyDescent="0.35">
      <c r="A13915">
        <v>5530</v>
      </c>
      <c r="B13915" s="1">
        <v>45950</v>
      </c>
      <c r="C13915" t="s">
        <v>25</v>
      </c>
      <c r="D13915" s="2">
        <v>0</v>
      </c>
      <c r="E13915" s="2">
        <v>1766.46</v>
      </c>
      <c r="F13915" t="s">
        <v>28</v>
      </c>
      <c r="G13915" t="s">
        <v>17</v>
      </c>
    </row>
    <row r="13916" spans="1:7" x14ac:dyDescent="0.35">
      <c r="A13916">
        <v>5531</v>
      </c>
      <c r="B13916" s="1">
        <v>45950</v>
      </c>
      <c r="C13916" t="s">
        <v>25</v>
      </c>
      <c r="D13916" s="2">
        <v>4476.71</v>
      </c>
      <c r="E13916" s="2">
        <v>0</v>
      </c>
      <c r="F13916" t="s">
        <v>26</v>
      </c>
      <c r="G13916" t="s">
        <v>20</v>
      </c>
    </row>
    <row r="13917" spans="1:7" x14ac:dyDescent="0.35">
      <c r="A13917">
        <v>5531</v>
      </c>
      <c r="B13917" s="1">
        <v>45950</v>
      </c>
      <c r="C13917" t="s">
        <v>25</v>
      </c>
      <c r="D13917" s="2">
        <v>335.75</v>
      </c>
      <c r="E13917" s="2">
        <v>0</v>
      </c>
      <c r="F13917" t="s">
        <v>27</v>
      </c>
      <c r="G13917" t="s">
        <v>9</v>
      </c>
    </row>
    <row r="13918" spans="1:7" x14ac:dyDescent="0.35">
      <c r="A13918">
        <v>5531</v>
      </c>
      <c r="B13918" s="1">
        <v>45950</v>
      </c>
      <c r="C13918" t="s">
        <v>25</v>
      </c>
      <c r="D13918" s="2">
        <v>0</v>
      </c>
      <c r="E13918" s="2">
        <v>4812.46</v>
      </c>
      <c r="F13918" t="s">
        <v>28</v>
      </c>
      <c r="G13918" t="s">
        <v>17</v>
      </c>
    </row>
    <row r="13919" spans="1:7" x14ac:dyDescent="0.35">
      <c r="A13919">
        <v>5532</v>
      </c>
      <c r="B13919" s="1">
        <v>45950</v>
      </c>
      <c r="C13919" t="s">
        <v>25</v>
      </c>
      <c r="D13919" s="2">
        <v>1078.92</v>
      </c>
      <c r="E13919" s="2">
        <v>0</v>
      </c>
      <c r="F13919" t="s">
        <v>26</v>
      </c>
      <c r="G13919" t="s">
        <v>20</v>
      </c>
    </row>
    <row r="13920" spans="1:7" x14ac:dyDescent="0.35">
      <c r="A13920">
        <v>5532</v>
      </c>
      <c r="B13920" s="1">
        <v>45950</v>
      </c>
      <c r="C13920" t="s">
        <v>25</v>
      </c>
      <c r="D13920" s="2">
        <v>80.92</v>
      </c>
      <c r="E13920" s="2">
        <v>0</v>
      </c>
      <c r="F13920" t="s">
        <v>27</v>
      </c>
      <c r="G13920" t="s">
        <v>9</v>
      </c>
    </row>
    <row r="13921" spans="1:7" x14ac:dyDescent="0.35">
      <c r="A13921">
        <v>5532</v>
      </c>
      <c r="B13921" s="1">
        <v>45950</v>
      </c>
      <c r="C13921" t="s">
        <v>25</v>
      </c>
      <c r="D13921" s="2">
        <v>0</v>
      </c>
      <c r="E13921" s="2">
        <v>1159.8399999999999</v>
      </c>
      <c r="F13921" t="s">
        <v>28</v>
      </c>
      <c r="G13921" t="s">
        <v>17</v>
      </c>
    </row>
    <row r="13922" spans="1:7" x14ac:dyDescent="0.35">
      <c r="A13922">
        <v>5533</v>
      </c>
      <c r="B13922" s="1">
        <v>45950</v>
      </c>
      <c r="C13922" t="s">
        <v>25</v>
      </c>
      <c r="D13922" s="2">
        <v>187.44</v>
      </c>
      <c r="E13922" s="2">
        <v>0</v>
      </c>
      <c r="F13922" t="s">
        <v>26</v>
      </c>
      <c r="G13922" t="s">
        <v>20</v>
      </c>
    </row>
    <row r="13923" spans="1:7" x14ac:dyDescent="0.35">
      <c r="A13923">
        <v>5533</v>
      </c>
      <c r="B13923" s="1">
        <v>45950</v>
      </c>
      <c r="C13923" t="s">
        <v>25</v>
      </c>
      <c r="D13923" s="2">
        <v>14.06</v>
      </c>
      <c r="E13923" s="2">
        <v>0</v>
      </c>
      <c r="F13923" t="s">
        <v>27</v>
      </c>
      <c r="G13923" t="s">
        <v>9</v>
      </c>
    </row>
    <row r="13924" spans="1:7" x14ac:dyDescent="0.35">
      <c r="A13924">
        <v>5533</v>
      </c>
      <c r="B13924" s="1">
        <v>45950</v>
      </c>
      <c r="C13924" t="s">
        <v>25</v>
      </c>
      <c r="D13924" s="2">
        <v>0</v>
      </c>
      <c r="E13924" s="2">
        <v>201.5</v>
      </c>
      <c r="F13924" t="s">
        <v>28</v>
      </c>
      <c r="G13924" t="s">
        <v>17</v>
      </c>
    </row>
    <row r="13925" spans="1:7" x14ac:dyDescent="0.35">
      <c r="A13925">
        <v>5534</v>
      </c>
      <c r="B13925" s="1">
        <v>45950</v>
      </c>
      <c r="C13925" t="s">
        <v>25</v>
      </c>
      <c r="D13925" s="2">
        <v>6723.2</v>
      </c>
      <c r="E13925" s="2">
        <v>0</v>
      </c>
      <c r="F13925" t="s">
        <v>26</v>
      </c>
      <c r="G13925" t="s">
        <v>20</v>
      </c>
    </row>
    <row r="13926" spans="1:7" x14ac:dyDescent="0.35">
      <c r="A13926">
        <v>5534</v>
      </c>
      <c r="B13926" s="1">
        <v>45950</v>
      </c>
      <c r="C13926" t="s">
        <v>25</v>
      </c>
      <c r="D13926" s="2">
        <v>504.24</v>
      </c>
      <c r="E13926" s="2">
        <v>0</v>
      </c>
      <c r="F13926" t="s">
        <v>27</v>
      </c>
      <c r="G13926" t="s">
        <v>9</v>
      </c>
    </row>
    <row r="13927" spans="1:7" x14ac:dyDescent="0.35">
      <c r="A13927">
        <v>5534</v>
      </c>
      <c r="B13927" s="1">
        <v>45950</v>
      </c>
      <c r="C13927" t="s">
        <v>25</v>
      </c>
      <c r="D13927" s="2">
        <v>0</v>
      </c>
      <c r="E13927" s="2">
        <v>7227.44</v>
      </c>
      <c r="F13927" t="s">
        <v>28</v>
      </c>
      <c r="G13927" t="s">
        <v>17</v>
      </c>
    </row>
    <row r="13928" spans="1:7" x14ac:dyDescent="0.35">
      <c r="A13928">
        <v>5535</v>
      </c>
      <c r="B13928" s="1">
        <v>45950</v>
      </c>
      <c r="C13928" t="s">
        <v>25</v>
      </c>
      <c r="D13928" s="2">
        <v>3282.76</v>
      </c>
      <c r="E13928" s="2">
        <v>0</v>
      </c>
      <c r="F13928" t="s">
        <v>26</v>
      </c>
      <c r="G13928" t="s">
        <v>20</v>
      </c>
    </row>
    <row r="13929" spans="1:7" x14ac:dyDescent="0.35">
      <c r="A13929">
        <v>5535</v>
      </c>
      <c r="B13929" s="1">
        <v>45950</v>
      </c>
      <c r="C13929" t="s">
        <v>25</v>
      </c>
      <c r="D13929" s="2">
        <v>246.21</v>
      </c>
      <c r="E13929" s="2">
        <v>0</v>
      </c>
      <c r="F13929" t="s">
        <v>27</v>
      </c>
      <c r="G13929" t="s">
        <v>9</v>
      </c>
    </row>
    <row r="13930" spans="1:7" x14ac:dyDescent="0.35">
      <c r="A13930">
        <v>5535</v>
      </c>
      <c r="B13930" s="1">
        <v>45950</v>
      </c>
      <c r="C13930" t="s">
        <v>25</v>
      </c>
      <c r="D13930" s="2">
        <v>0</v>
      </c>
      <c r="E13930" s="2">
        <v>3528.97</v>
      </c>
      <c r="F13930" t="s">
        <v>28</v>
      </c>
      <c r="G13930" t="s">
        <v>17</v>
      </c>
    </row>
    <row r="13931" spans="1:7" x14ac:dyDescent="0.35">
      <c r="A13931">
        <v>5536</v>
      </c>
      <c r="B13931" s="1">
        <v>45950</v>
      </c>
      <c r="C13931" t="s">
        <v>25</v>
      </c>
      <c r="D13931" s="2">
        <v>2030.15</v>
      </c>
      <c r="E13931" s="2">
        <v>0</v>
      </c>
      <c r="F13931" t="s">
        <v>26</v>
      </c>
      <c r="G13931" t="s">
        <v>20</v>
      </c>
    </row>
    <row r="13932" spans="1:7" x14ac:dyDescent="0.35">
      <c r="A13932">
        <v>5536</v>
      </c>
      <c r="B13932" s="1">
        <v>45950</v>
      </c>
      <c r="C13932" t="s">
        <v>25</v>
      </c>
      <c r="D13932" s="2">
        <v>152.26</v>
      </c>
      <c r="E13932" s="2">
        <v>0</v>
      </c>
      <c r="F13932" t="s">
        <v>27</v>
      </c>
      <c r="G13932" t="s">
        <v>9</v>
      </c>
    </row>
    <row r="13933" spans="1:7" x14ac:dyDescent="0.35">
      <c r="A13933">
        <v>5536</v>
      </c>
      <c r="B13933" s="1">
        <v>45950</v>
      </c>
      <c r="C13933" t="s">
        <v>25</v>
      </c>
      <c r="D13933" s="2">
        <v>0</v>
      </c>
      <c r="E13933" s="2">
        <v>2182.41</v>
      </c>
      <c r="F13933" t="s">
        <v>28</v>
      </c>
      <c r="G13933" t="s">
        <v>17</v>
      </c>
    </row>
    <row r="13934" spans="1:7" x14ac:dyDescent="0.35">
      <c r="A13934">
        <v>5537</v>
      </c>
      <c r="B13934" s="1">
        <v>45950</v>
      </c>
      <c r="C13934" t="s">
        <v>25</v>
      </c>
      <c r="D13934" s="2">
        <v>1947.24</v>
      </c>
      <c r="E13934" s="2">
        <v>0</v>
      </c>
      <c r="F13934" t="s">
        <v>26</v>
      </c>
      <c r="G13934" t="s">
        <v>20</v>
      </c>
    </row>
    <row r="13935" spans="1:7" x14ac:dyDescent="0.35">
      <c r="A13935">
        <v>5537</v>
      </c>
      <c r="B13935" s="1">
        <v>45950</v>
      </c>
      <c r="C13935" t="s">
        <v>25</v>
      </c>
      <c r="D13935" s="2">
        <v>146.04</v>
      </c>
      <c r="E13935" s="2">
        <v>0</v>
      </c>
      <c r="F13935" t="s">
        <v>27</v>
      </c>
      <c r="G13935" t="s">
        <v>9</v>
      </c>
    </row>
    <row r="13936" spans="1:7" x14ac:dyDescent="0.35">
      <c r="A13936">
        <v>5537</v>
      </c>
      <c r="B13936" s="1">
        <v>45950</v>
      </c>
      <c r="C13936" t="s">
        <v>25</v>
      </c>
      <c r="D13936" s="2">
        <v>0</v>
      </c>
      <c r="E13936" s="2">
        <v>2093.2800000000002</v>
      </c>
      <c r="F13936" t="s">
        <v>28</v>
      </c>
      <c r="G13936" t="s">
        <v>17</v>
      </c>
    </row>
    <row r="13937" spans="1:7" x14ac:dyDescent="0.35">
      <c r="A13937">
        <v>5538</v>
      </c>
      <c r="B13937" s="1">
        <v>45950</v>
      </c>
      <c r="C13937" t="s">
        <v>29</v>
      </c>
      <c r="D13937" s="2">
        <v>748.26</v>
      </c>
      <c r="E13937" s="2">
        <v>0</v>
      </c>
      <c r="F13937" t="s">
        <v>28</v>
      </c>
      <c r="G13937" t="s">
        <v>17</v>
      </c>
    </row>
    <row r="13938" spans="1:7" x14ac:dyDescent="0.35">
      <c r="A13938">
        <v>5538</v>
      </c>
      <c r="B13938" s="1">
        <v>45950</v>
      </c>
      <c r="C13938" t="s">
        <v>29</v>
      </c>
      <c r="D13938" s="2">
        <v>0</v>
      </c>
      <c r="E13938" s="2">
        <v>748.26</v>
      </c>
      <c r="F13938" t="s">
        <v>8</v>
      </c>
      <c r="G13938" t="s">
        <v>9</v>
      </c>
    </row>
    <row r="13939" spans="1:7" x14ac:dyDescent="0.35">
      <c r="A13939">
        <v>5539</v>
      </c>
      <c r="B13939" s="1">
        <v>45950</v>
      </c>
      <c r="C13939" t="s">
        <v>29</v>
      </c>
      <c r="D13939" s="2">
        <v>2182.41</v>
      </c>
      <c r="E13939" s="2">
        <v>0</v>
      </c>
      <c r="F13939" t="s">
        <v>28</v>
      </c>
      <c r="G13939" t="s">
        <v>17</v>
      </c>
    </row>
    <row r="13940" spans="1:7" x14ac:dyDescent="0.35">
      <c r="A13940">
        <v>5539</v>
      </c>
      <c r="B13940" s="1">
        <v>45950</v>
      </c>
      <c r="C13940" t="s">
        <v>29</v>
      </c>
      <c r="D13940" s="2">
        <v>0</v>
      </c>
      <c r="E13940" s="2">
        <v>2182.41</v>
      </c>
      <c r="F13940" t="s">
        <v>8</v>
      </c>
      <c r="G13940" t="s">
        <v>9</v>
      </c>
    </row>
    <row r="13941" spans="1:7" x14ac:dyDescent="0.35">
      <c r="A13941">
        <v>5540</v>
      </c>
      <c r="B13941" s="1">
        <v>45950</v>
      </c>
      <c r="C13941" t="s">
        <v>29</v>
      </c>
      <c r="D13941" s="2">
        <v>179.01</v>
      </c>
      <c r="E13941" s="2">
        <v>0</v>
      </c>
      <c r="F13941" t="s">
        <v>28</v>
      </c>
      <c r="G13941" t="s">
        <v>17</v>
      </c>
    </row>
    <row r="13942" spans="1:7" x14ac:dyDescent="0.35">
      <c r="A13942">
        <v>5540</v>
      </c>
      <c r="B13942" s="1">
        <v>45950</v>
      </c>
      <c r="C13942" t="s">
        <v>29</v>
      </c>
      <c r="D13942" s="2">
        <v>0</v>
      </c>
      <c r="E13942" s="2">
        <v>179.01</v>
      </c>
      <c r="F13942" t="s">
        <v>8</v>
      </c>
      <c r="G13942" t="s">
        <v>9</v>
      </c>
    </row>
    <row r="13943" spans="1:7" x14ac:dyDescent="0.35">
      <c r="A13943">
        <v>5541</v>
      </c>
      <c r="B13943" s="1">
        <v>45950</v>
      </c>
      <c r="C13943" t="s">
        <v>29</v>
      </c>
      <c r="D13943" s="2">
        <v>2093.2800000000002</v>
      </c>
      <c r="E13943" s="2">
        <v>0</v>
      </c>
      <c r="F13943" t="s">
        <v>28</v>
      </c>
      <c r="G13943" t="s">
        <v>17</v>
      </c>
    </row>
    <row r="13944" spans="1:7" x14ac:dyDescent="0.35">
      <c r="A13944">
        <v>5541</v>
      </c>
      <c r="B13944" s="1">
        <v>45950</v>
      </c>
      <c r="C13944" t="s">
        <v>29</v>
      </c>
      <c r="D13944" s="2">
        <v>0</v>
      </c>
      <c r="E13944" s="2">
        <v>2093.2800000000002</v>
      </c>
      <c r="F13944" t="s">
        <v>8</v>
      </c>
      <c r="G13944" t="s">
        <v>9</v>
      </c>
    </row>
    <row r="13945" spans="1:7" x14ac:dyDescent="0.35">
      <c r="A13945">
        <v>5542</v>
      </c>
      <c r="B13945" s="1">
        <v>45951</v>
      </c>
      <c r="C13945" t="s">
        <v>12</v>
      </c>
      <c r="D13945" s="2">
        <v>3834.81</v>
      </c>
      <c r="E13945" s="2">
        <v>0</v>
      </c>
      <c r="F13945" t="s">
        <v>13</v>
      </c>
      <c r="G13945" t="s">
        <v>9</v>
      </c>
    </row>
    <row r="13946" spans="1:7" x14ac:dyDescent="0.35">
      <c r="A13946">
        <v>5542</v>
      </c>
      <c r="B13946" s="1">
        <v>45951</v>
      </c>
      <c r="C13946" t="s">
        <v>12</v>
      </c>
      <c r="D13946" s="2">
        <v>0</v>
      </c>
      <c r="E13946" s="2">
        <v>3567.27</v>
      </c>
      <c r="F13946" t="s">
        <v>14</v>
      </c>
      <c r="G13946" t="s">
        <v>15</v>
      </c>
    </row>
    <row r="13947" spans="1:7" x14ac:dyDescent="0.35">
      <c r="A13947">
        <v>5542</v>
      </c>
      <c r="B13947" s="1">
        <v>45951</v>
      </c>
      <c r="C13947" t="s">
        <v>12</v>
      </c>
      <c r="D13947" s="2">
        <v>0</v>
      </c>
      <c r="E13947" s="2">
        <v>267.54000000000002</v>
      </c>
      <c r="F13947" t="s">
        <v>16</v>
      </c>
      <c r="G13947" t="s">
        <v>17</v>
      </c>
    </row>
    <row r="13948" spans="1:7" x14ac:dyDescent="0.35">
      <c r="A13948">
        <v>5543</v>
      </c>
      <c r="B13948" s="1">
        <v>45951</v>
      </c>
      <c r="C13948" t="s">
        <v>12</v>
      </c>
      <c r="D13948" s="2">
        <v>90.38</v>
      </c>
      <c r="E13948" s="2">
        <v>0</v>
      </c>
      <c r="F13948" t="s">
        <v>13</v>
      </c>
      <c r="G13948" t="s">
        <v>9</v>
      </c>
    </row>
    <row r="13949" spans="1:7" x14ac:dyDescent="0.35">
      <c r="A13949">
        <v>5543</v>
      </c>
      <c r="B13949" s="1">
        <v>45951</v>
      </c>
      <c r="C13949" t="s">
        <v>12</v>
      </c>
      <c r="D13949" s="2">
        <v>0</v>
      </c>
      <c r="E13949" s="2">
        <v>84.08</v>
      </c>
      <c r="F13949" t="s">
        <v>14</v>
      </c>
      <c r="G13949" t="s">
        <v>15</v>
      </c>
    </row>
    <row r="13950" spans="1:7" x14ac:dyDescent="0.35">
      <c r="A13950">
        <v>5543</v>
      </c>
      <c r="B13950" s="1">
        <v>45951</v>
      </c>
      <c r="C13950" t="s">
        <v>12</v>
      </c>
      <c r="D13950" s="2">
        <v>0</v>
      </c>
      <c r="E13950" s="2">
        <v>6.3</v>
      </c>
      <c r="F13950" t="s">
        <v>16</v>
      </c>
      <c r="G13950" t="s">
        <v>17</v>
      </c>
    </row>
    <row r="13951" spans="1:7" x14ac:dyDescent="0.35">
      <c r="A13951">
        <v>5544</v>
      </c>
      <c r="B13951" s="1">
        <v>45951</v>
      </c>
      <c r="C13951" t="s">
        <v>12</v>
      </c>
      <c r="D13951" s="2">
        <v>1222.03</v>
      </c>
      <c r="E13951" s="2">
        <v>0</v>
      </c>
      <c r="F13951" t="s">
        <v>13</v>
      </c>
      <c r="G13951" t="s">
        <v>9</v>
      </c>
    </row>
    <row r="13952" spans="1:7" x14ac:dyDescent="0.35">
      <c r="A13952">
        <v>5544</v>
      </c>
      <c r="B13952" s="1">
        <v>45951</v>
      </c>
      <c r="C13952" t="s">
        <v>12</v>
      </c>
      <c r="D13952" s="2">
        <v>0</v>
      </c>
      <c r="E13952" s="2">
        <v>1136.77</v>
      </c>
      <c r="F13952" t="s">
        <v>14</v>
      </c>
      <c r="G13952" t="s">
        <v>15</v>
      </c>
    </row>
    <row r="13953" spans="1:7" x14ac:dyDescent="0.35">
      <c r="A13953">
        <v>5544</v>
      </c>
      <c r="B13953" s="1">
        <v>45951</v>
      </c>
      <c r="C13953" t="s">
        <v>12</v>
      </c>
      <c r="D13953" s="2">
        <v>0</v>
      </c>
      <c r="E13953" s="2">
        <v>85.26</v>
      </c>
      <c r="F13953" t="s">
        <v>16</v>
      </c>
      <c r="G13953" t="s">
        <v>17</v>
      </c>
    </row>
    <row r="13954" spans="1:7" x14ac:dyDescent="0.35">
      <c r="A13954">
        <v>5545</v>
      </c>
      <c r="B13954" s="1">
        <v>45951</v>
      </c>
      <c r="C13954" t="s">
        <v>12</v>
      </c>
      <c r="D13954" s="2">
        <v>1543.7</v>
      </c>
      <c r="E13954" s="2">
        <v>0</v>
      </c>
      <c r="F13954" t="s">
        <v>13</v>
      </c>
      <c r="G13954" t="s">
        <v>9</v>
      </c>
    </row>
    <row r="13955" spans="1:7" x14ac:dyDescent="0.35">
      <c r="A13955">
        <v>5545</v>
      </c>
      <c r="B13955" s="1">
        <v>45951</v>
      </c>
      <c r="C13955" t="s">
        <v>12</v>
      </c>
      <c r="D13955" s="2">
        <v>0</v>
      </c>
      <c r="E13955" s="2">
        <v>1436</v>
      </c>
      <c r="F13955" t="s">
        <v>14</v>
      </c>
      <c r="G13955" t="s">
        <v>15</v>
      </c>
    </row>
    <row r="13956" spans="1:7" x14ac:dyDescent="0.35">
      <c r="A13956">
        <v>5545</v>
      </c>
      <c r="B13956" s="1">
        <v>45951</v>
      </c>
      <c r="C13956" t="s">
        <v>12</v>
      </c>
      <c r="D13956" s="2">
        <v>0</v>
      </c>
      <c r="E13956" s="2">
        <v>107.7</v>
      </c>
      <c r="F13956" t="s">
        <v>16</v>
      </c>
      <c r="G13956" t="s">
        <v>17</v>
      </c>
    </row>
    <row r="13957" spans="1:7" x14ac:dyDescent="0.35">
      <c r="A13957">
        <v>5546</v>
      </c>
      <c r="B13957" s="1">
        <v>45951</v>
      </c>
      <c r="C13957" t="s">
        <v>12</v>
      </c>
      <c r="D13957" s="2">
        <v>531.64</v>
      </c>
      <c r="E13957" s="2">
        <v>0</v>
      </c>
      <c r="F13957" t="s">
        <v>13</v>
      </c>
      <c r="G13957" t="s">
        <v>9</v>
      </c>
    </row>
    <row r="13958" spans="1:7" x14ac:dyDescent="0.35">
      <c r="A13958">
        <v>5546</v>
      </c>
      <c r="B13958" s="1">
        <v>45951</v>
      </c>
      <c r="C13958" t="s">
        <v>12</v>
      </c>
      <c r="D13958" s="2">
        <v>0</v>
      </c>
      <c r="E13958" s="2">
        <v>494.55</v>
      </c>
      <c r="F13958" t="s">
        <v>14</v>
      </c>
      <c r="G13958" t="s">
        <v>15</v>
      </c>
    </row>
    <row r="13959" spans="1:7" x14ac:dyDescent="0.35">
      <c r="A13959">
        <v>5546</v>
      </c>
      <c r="B13959" s="1">
        <v>45951</v>
      </c>
      <c r="C13959" t="s">
        <v>12</v>
      </c>
      <c r="D13959" s="2">
        <v>0</v>
      </c>
      <c r="E13959" s="2">
        <v>37.090000000000003</v>
      </c>
      <c r="F13959" t="s">
        <v>16</v>
      </c>
      <c r="G13959" t="s">
        <v>17</v>
      </c>
    </row>
    <row r="13960" spans="1:7" x14ac:dyDescent="0.35">
      <c r="A13960">
        <v>5547</v>
      </c>
      <c r="B13960" s="1">
        <v>45951</v>
      </c>
      <c r="C13960" t="s">
        <v>12</v>
      </c>
      <c r="D13960" s="2">
        <v>2304.96</v>
      </c>
      <c r="E13960" s="2">
        <v>0</v>
      </c>
      <c r="F13960" t="s">
        <v>13</v>
      </c>
      <c r="G13960" t="s">
        <v>9</v>
      </c>
    </row>
    <row r="13961" spans="1:7" x14ac:dyDescent="0.35">
      <c r="A13961">
        <v>5547</v>
      </c>
      <c r="B13961" s="1">
        <v>45951</v>
      </c>
      <c r="C13961" t="s">
        <v>12</v>
      </c>
      <c r="D13961" s="2">
        <v>0</v>
      </c>
      <c r="E13961" s="2">
        <v>2144.15</v>
      </c>
      <c r="F13961" t="s">
        <v>14</v>
      </c>
      <c r="G13961" t="s">
        <v>15</v>
      </c>
    </row>
    <row r="13962" spans="1:7" x14ac:dyDescent="0.35">
      <c r="A13962">
        <v>5547</v>
      </c>
      <c r="B13962" s="1">
        <v>45951</v>
      </c>
      <c r="C13962" t="s">
        <v>12</v>
      </c>
      <c r="D13962" s="2">
        <v>0</v>
      </c>
      <c r="E13962" s="2">
        <v>160.81</v>
      </c>
      <c r="F13962" t="s">
        <v>16</v>
      </c>
      <c r="G13962" t="s">
        <v>17</v>
      </c>
    </row>
    <row r="13963" spans="1:7" x14ac:dyDescent="0.35">
      <c r="A13963">
        <v>5548</v>
      </c>
      <c r="B13963" s="1">
        <v>45951</v>
      </c>
      <c r="C13963" t="s">
        <v>12</v>
      </c>
      <c r="D13963" s="2">
        <v>289.08999999999997</v>
      </c>
      <c r="E13963" s="2">
        <v>0</v>
      </c>
      <c r="F13963" t="s">
        <v>13</v>
      </c>
      <c r="G13963" t="s">
        <v>9</v>
      </c>
    </row>
    <row r="13964" spans="1:7" x14ac:dyDescent="0.35">
      <c r="A13964">
        <v>5548</v>
      </c>
      <c r="B13964" s="1">
        <v>45951</v>
      </c>
      <c r="C13964" t="s">
        <v>12</v>
      </c>
      <c r="D13964" s="2">
        <v>0</v>
      </c>
      <c r="E13964" s="2">
        <v>268.92</v>
      </c>
      <c r="F13964" t="s">
        <v>14</v>
      </c>
      <c r="G13964" t="s">
        <v>15</v>
      </c>
    </row>
    <row r="13965" spans="1:7" x14ac:dyDescent="0.35">
      <c r="A13965">
        <v>5548</v>
      </c>
      <c r="B13965" s="1">
        <v>45951</v>
      </c>
      <c r="C13965" t="s">
        <v>12</v>
      </c>
      <c r="D13965" s="2">
        <v>0</v>
      </c>
      <c r="E13965" s="2">
        <v>20.170000000000002</v>
      </c>
      <c r="F13965" t="s">
        <v>16</v>
      </c>
      <c r="G13965" t="s">
        <v>17</v>
      </c>
    </row>
    <row r="13966" spans="1:7" x14ac:dyDescent="0.35">
      <c r="A13966">
        <v>5549</v>
      </c>
      <c r="B13966" s="1">
        <v>45951</v>
      </c>
      <c r="C13966" t="s">
        <v>12</v>
      </c>
      <c r="D13966" s="2">
        <v>954.31</v>
      </c>
      <c r="E13966" s="2">
        <v>0</v>
      </c>
      <c r="F13966" t="s">
        <v>13</v>
      </c>
      <c r="G13966" t="s">
        <v>9</v>
      </c>
    </row>
    <row r="13967" spans="1:7" x14ac:dyDescent="0.35">
      <c r="A13967">
        <v>5549</v>
      </c>
      <c r="B13967" s="1">
        <v>45951</v>
      </c>
      <c r="C13967" t="s">
        <v>12</v>
      </c>
      <c r="D13967" s="2">
        <v>0</v>
      </c>
      <c r="E13967" s="2">
        <v>887.73</v>
      </c>
      <c r="F13967" t="s">
        <v>14</v>
      </c>
      <c r="G13967" t="s">
        <v>15</v>
      </c>
    </row>
    <row r="13968" spans="1:7" x14ac:dyDescent="0.35">
      <c r="A13968">
        <v>5549</v>
      </c>
      <c r="B13968" s="1">
        <v>45951</v>
      </c>
      <c r="C13968" t="s">
        <v>12</v>
      </c>
      <c r="D13968" s="2">
        <v>0</v>
      </c>
      <c r="E13968" s="2">
        <v>66.58</v>
      </c>
      <c r="F13968" t="s">
        <v>16</v>
      </c>
      <c r="G13968" t="s">
        <v>17</v>
      </c>
    </row>
    <row r="13969" spans="1:7" x14ac:dyDescent="0.35">
      <c r="A13969">
        <v>5550</v>
      </c>
      <c r="B13969" s="1">
        <v>45951</v>
      </c>
      <c r="C13969" t="s">
        <v>12</v>
      </c>
      <c r="D13969" s="2">
        <v>3145.29</v>
      </c>
      <c r="E13969" s="2">
        <v>0</v>
      </c>
      <c r="F13969" t="s">
        <v>13</v>
      </c>
      <c r="G13969" t="s">
        <v>9</v>
      </c>
    </row>
    <row r="13970" spans="1:7" x14ac:dyDescent="0.35">
      <c r="A13970">
        <v>5550</v>
      </c>
      <c r="B13970" s="1">
        <v>45951</v>
      </c>
      <c r="C13970" t="s">
        <v>12</v>
      </c>
      <c r="D13970" s="2">
        <v>0</v>
      </c>
      <c r="E13970" s="2">
        <v>2925.86</v>
      </c>
      <c r="F13970" t="s">
        <v>14</v>
      </c>
      <c r="G13970" t="s">
        <v>15</v>
      </c>
    </row>
    <row r="13971" spans="1:7" x14ac:dyDescent="0.35">
      <c r="A13971">
        <v>5550</v>
      </c>
      <c r="B13971" s="1">
        <v>45951</v>
      </c>
      <c r="C13971" t="s">
        <v>12</v>
      </c>
      <c r="D13971" s="2">
        <v>0</v>
      </c>
      <c r="E13971" s="2">
        <v>219.43</v>
      </c>
      <c r="F13971" t="s">
        <v>16</v>
      </c>
      <c r="G13971" t="s">
        <v>17</v>
      </c>
    </row>
    <row r="13972" spans="1:7" x14ac:dyDescent="0.35">
      <c r="A13972">
        <v>5551</v>
      </c>
      <c r="B13972" s="1">
        <v>45951</v>
      </c>
      <c r="C13972" t="s">
        <v>24</v>
      </c>
      <c r="D13972" s="2">
        <v>3894.53</v>
      </c>
      <c r="E13972" s="2">
        <v>0</v>
      </c>
      <c r="F13972" t="s">
        <v>8</v>
      </c>
      <c r="G13972" t="s">
        <v>9</v>
      </c>
    </row>
    <row r="13973" spans="1:7" x14ac:dyDescent="0.35">
      <c r="A13973">
        <v>5551</v>
      </c>
      <c r="B13973" s="1">
        <v>45951</v>
      </c>
      <c r="C13973" t="s">
        <v>24</v>
      </c>
      <c r="D13973" s="2">
        <v>0</v>
      </c>
      <c r="E13973" s="2">
        <v>3894.53</v>
      </c>
      <c r="F13973" t="s">
        <v>13</v>
      </c>
      <c r="G13973" t="s">
        <v>9</v>
      </c>
    </row>
    <row r="13974" spans="1:7" x14ac:dyDescent="0.35">
      <c r="A13974">
        <v>5552</v>
      </c>
      <c r="B13974" s="1">
        <v>45951</v>
      </c>
      <c r="C13974" t="s">
        <v>24</v>
      </c>
      <c r="D13974" s="2">
        <v>272.14999999999998</v>
      </c>
      <c r="E13974" s="2">
        <v>0</v>
      </c>
      <c r="F13974" t="s">
        <v>8</v>
      </c>
      <c r="G13974" t="s">
        <v>9</v>
      </c>
    </row>
    <row r="13975" spans="1:7" x14ac:dyDescent="0.35">
      <c r="A13975">
        <v>5552</v>
      </c>
      <c r="B13975" s="1">
        <v>45951</v>
      </c>
      <c r="C13975" t="s">
        <v>24</v>
      </c>
      <c r="D13975" s="2">
        <v>0</v>
      </c>
      <c r="E13975" s="2">
        <v>272.14999999999998</v>
      </c>
      <c r="F13975" t="s">
        <v>13</v>
      </c>
      <c r="G13975" t="s">
        <v>9</v>
      </c>
    </row>
    <row r="13976" spans="1:7" x14ac:dyDescent="0.35">
      <c r="A13976">
        <v>5553</v>
      </c>
      <c r="B13976" s="1">
        <v>45951</v>
      </c>
      <c r="C13976" t="s">
        <v>24</v>
      </c>
      <c r="D13976" s="2">
        <v>215.49</v>
      </c>
      <c r="E13976" s="2">
        <v>0</v>
      </c>
      <c r="F13976" t="s">
        <v>8</v>
      </c>
      <c r="G13976" t="s">
        <v>9</v>
      </c>
    </row>
    <row r="13977" spans="1:7" x14ac:dyDescent="0.35">
      <c r="A13977">
        <v>5553</v>
      </c>
      <c r="B13977" s="1">
        <v>45951</v>
      </c>
      <c r="C13977" t="s">
        <v>24</v>
      </c>
      <c r="D13977" s="2">
        <v>0</v>
      </c>
      <c r="E13977" s="2">
        <v>215.49</v>
      </c>
      <c r="F13977" t="s">
        <v>13</v>
      </c>
      <c r="G13977" t="s">
        <v>9</v>
      </c>
    </row>
    <row r="13978" spans="1:7" x14ac:dyDescent="0.35">
      <c r="A13978">
        <v>5554</v>
      </c>
      <c r="B13978" s="1">
        <v>45951</v>
      </c>
      <c r="C13978" t="s">
        <v>24</v>
      </c>
      <c r="D13978" s="2">
        <v>1668.36</v>
      </c>
      <c r="E13978" s="2">
        <v>0</v>
      </c>
      <c r="F13978" t="s">
        <v>8</v>
      </c>
      <c r="G13978" t="s">
        <v>9</v>
      </c>
    </row>
    <row r="13979" spans="1:7" x14ac:dyDescent="0.35">
      <c r="A13979">
        <v>5554</v>
      </c>
      <c r="B13979" s="1">
        <v>45951</v>
      </c>
      <c r="C13979" t="s">
        <v>24</v>
      </c>
      <c r="D13979" s="2">
        <v>0</v>
      </c>
      <c r="E13979" s="2">
        <v>1668.36</v>
      </c>
      <c r="F13979" t="s">
        <v>13</v>
      </c>
      <c r="G13979" t="s">
        <v>9</v>
      </c>
    </row>
    <row r="13980" spans="1:7" x14ac:dyDescent="0.35">
      <c r="A13980">
        <v>5555</v>
      </c>
      <c r="B13980" s="1">
        <v>45951</v>
      </c>
      <c r="C13980" t="s">
        <v>24</v>
      </c>
      <c r="D13980" s="2">
        <v>1037.26</v>
      </c>
      <c r="E13980" s="2">
        <v>0</v>
      </c>
      <c r="F13980" t="s">
        <v>8</v>
      </c>
      <c r="G13980" t="s">
        <v>9</v>
      </c>
    </row>
    <row r="13981" spans="1:7" x14ac:dyDescent="0.35">
      <c r="A13981">
        <v>5555</v>
      </c>
      <c r="B13981" s="1">
        <v>45951</v>
      </c>
      <c r="C13981" t="s">
        <v>24</v>
      </c>
      <c r="D13981" s="2">
        <v>0</v>
      </c>
      <c r="E13981" s="2">
        <v>1037.26</v>
      </c>
      <c r="F13981" t="s">
        <v>13</v>
      </c>
      <c r="G13981" t="s">
        <v>9</v>
      </c>
    </row>
    <row r="13982" spans="1:7" x14ac:dyDescent="0.35">
      <c r="A13982">
        <v>5556</v>
      </c>
      <c r="B13982" s="1">
        <v>45951</v>
      </c>
      <c r="C13982" t="s">
        <v>29</v>
      </c>
      <c r="D13982" s="2">
        <v>2504.23</v>
      </c>
      <c r="E13982" s="2">
        <v>0</v>
      </c>
      <c r="F13982" t="s">
        <v>28</v>
      </c>
      <c r="G13982" t="s">
        <v>17</v>
      </c>
    </row>
    <row r="13983" spans="1:7" x14ac:dyDescent="0.35">
      <c r="A13983">
        <v>5556</v>
      </c>
      <c r="B13983" s="1">
        <v>45951</v>
      </c>
      <c r="C13983" t="s">
        <v>29</v>
      </c>
      <c r="D13983" s="2">
        <v>0</v>
      </c>
      <c r="E13983" s="2">
        <v>2504.23</v>
      </c>
      <c r="F13983" t="s">
        <v>8</v>
      </c>
      <c r="G13983" t="s">
        <v>9</v>
      </c>
    </row>
    <row r="13984" spans="1:7" x14ac:dyDescent="0.35">
      <c r="A13984">
        <v>5557</v>
      </c>
      <c r="B13984" s="1">
        <v>45951</v>
      </c>
      <c r="C13984" t="s">
        <v>29</v>
      </c>
      <c r="D13984" s="2">
        <v>2504.23</v>
      </c>
      <c r="E13984" s="2">
        <v>0</v>
      </c>
      <c r="F13984" t="s">
        <v>28</v>
      </c>
      <c r="G13984" t="s">
        <v>17</v>
      </c>
    </row>
    <row r="13985" spans="1:7" x14ac:dyDescent="0.35">
      <c r="A13985">
        <v>5557</v>
      </c>
      <c r="B13985" s="1">
        <v>45951</v>
      </c>
      <c r="C13985" t="s">
        <v>29</v>
      </c>
      <c r="D13985" s="2">
        <v>0</v>
      </c>
      <c r="E13985" s="2">
        <v>2504.23</v>
      </c>
      <c r="F13985" t="s">
        <v>8</v>
      </c>
      <c r="G13985" t="s">
        <v>9</v>
      </c>
    </row>
    <row r="13986" spans="1:7" x14ac:dyDescent="0.35">
      <c r="A13986">
        <v>5558</v>
      </c>
      <c r="B13986" s="1">
        <v>45951</v>
      </c>
      <c r="C13986" t="s">
        <v>29</v>
      </c>
      <c r="D13986" s="2">
        <v>3528.97</v>
      </c>
      <c r="E13986" s="2">
        <v>0</v>
      </c>
      <c r="F13986" t="s">
        <v>28</v>
      </c>
      <c r="G13986" t="s">
        <v>17</v>
      </c>
    </row>
    <row r="13987" spans="1:7" x14ac:dyDescent="0.35">
      <c r="A13987">
        <v>5558</v>
      </c>
      <c r="B13987" s="1">
        <v>45951</v>
      </c>
      <c r="C13987" t="s">
        <v>29</v>
      </c>
      <c r="D13987" s="2">
        <v>0</v>
      </c>
      <c r="E13987" s="2">
        <v>3528.97</v>
      </c>
      <c r="F13987" t="s">
        <v>8</v>
      </c>
      <c r="G13987" t="s">
        <v>9</v>
      </c>
    </row>
    <row r="13988" spans="1:7" x14ac:dyDescent="0.35">
      <c r="A13988">
        <v>5559</v>
      </c>
      <c r="B13988" s="1">
        <v>45952</v>
      </c>
      <c r="C13988" t="s">
        <v>12</v>
      </c>
      <c r="D13988" s="2">
        <v>2086.41</v>
      </c>
      <c r="E13988" s="2">
        <v>0</v>
      </c>
      <c r="F13988" t="s">
        <v>13</v>
      </c>
      <c r="G13988" t="s">
        <v>9</v>
      </c>
    </row>
    <row r="13989" spans="1:7" x14ac:dyDescent="0.35">
      <c r="A13989">
        <v>5559</v>
      </c>
      <c r="B13989" s="1">
        <v>45952</v>
      </c>
      <c r="C13989" t="s">
        <v>12</v>
      </c>
      <c r="D13989" s="2">
        <v>0</v>
      </c>
      <c r="E13989" s="2">
        <v>1940.85</v>
      </c>
      <c r="F13989" t="s">
        <v>14</v>
      </c>
      <c r="G13989" t="s">
        <v>15</v>
      </c>
    </row>
    <row r="13990" spans="1:7" x14ac:dyDescent="0.35">
      <c r="A13990">
        <v>5559</v>
      </c>
      <c r="B13990" s="1">
        <v>45952</v>
      </c>
      <c r="C13990" t="s">
        <v>12</v>
      </c>
      <c r="D13990" s="2">
        <v>0</v>
      </c>
      <c r="E13990" s="2">
        <v>145.56</v>
      </c>
      <c r="F13990" t="s">
        <v>16</v>
      </c>
      <c r="G13990" t="s">
        <v>17</v>
      </c>
    </row>
    <row r="13991" spans="1:7" x14ac:dyDescent="0.35">
      <c r="A13991">
        <v>5560</v>
      </c>
      <c r="B13991" s="1">
        <v>45952</v>
      </c>
      <c r="C13991" t="s">
        <v>12</v>
      </c>
      <c r="D13991" s="2">
        <v>679.96</v>
      </c>
      <c r="E13991" s="2">
        <v>0</v>
      </c>
      <c r="F13991" t="s">
        <v>13</v>
      </c>
      <c r="G13991" t="s">
        <v>9</v>
      </c>
    </row>
    <row r="13992" spans="1:7" x14ac:dyDescent="0.35">
      <c r="A13992">
        <v>5560</v>
      </c>
      <c r="B13992" s="1">
        <v>45952</v>
      </c>
      <c r="C13992" t="s">
        <v>12</v>
      </c>
      <c r="D13992" s="2">
        <v>0</v>
      </c>
      <c r="E13992" s="2">
        <v>632.52</v>
      </c>
      <c r="F13992" t="s">
        <v>14</v>
      </c>
      <c r="G13992" t="s">
        <v>15</v>
      </c>
    </row>
    <row r="13993" spans="1:7" x14ac:dyDescent="0.35">
      <c r="A13993">
        <v>5560</v>
      </c>
      <c r="B13993" s="1">
        <v>45952</v>
      </c>
      <c r="C13993" t="s">
        <v>12</v>
      </c>
      <c r="D13993" s="2">
        <v>0</v>
      </c>
      <c r="E13993" s="2">
        <v>47.44</v>
      </c>
      <c r="F13993" t="s">
        <v>16</v>
      </c>
      <c r="G13993" t="s">
        <v>17</v>
      </c>
    </row>
    <row r="13994" spans="1:7" x14ac:dyDescent="0.35">
      <c r="A13994">
        <v>5561</v>
      </c>
      <c r="B13994" s="1">
        <v>45952</v>
      </c>
      <c r="C13994" t="s">
        <v>12</v>
      </c>
      <c r="D13994" s="2">
        <v>1185.19</v>
      </c>
      <c r="E13994" s="2">
        <v>0</v>
      </c>
      <c r="F13994" t="s">
        <v>13</v>
      </c>
      <c r="G13994" t="s">
        <v>9</v>
      </c>
    </row>
    <row r="13995" spans="1:7" x14ac:dyDescent="0.35">
      <c r="A13995">
        <v>5561</v>
      </c>
      <c r="B13995" s="1">
        <v>45952</v>
      </c>
      <c r="C13995" t="s">
        <v>12</v>
      </c>
      <c r="D13995" s="2">
        <v>0</v>
      </c>
      <c r="E13995" s="2">
        <v>1102.5</v>
      </c>
      <c r="F13995" t="s">
        <v>14</v>
      </c>
      <c r="G13995" t="s">
        <v>15</v>
      </c>
    </row>
    <row r="13996" spans="1:7" x14ac:dyDescent="0.35">
      <c r="A13996">
        <v>5561</v>
      </c>
      <c r="B13996" s="1">
        <v>45952</v>
      </c>
      <c r="C13996" t="s">
        <v>12</v>
      </c>
      <c r="D13996" s="2">
        <v>0</v>
      </c>
      <c r="E13996" s="2">
        <v>82.69</v>
      </c>
      <c r="F13996" t="s">
        <v>16</v>
      </c>
      <c r="G13996" t="s">
        <v>17</v>
      </c>
    </row>
    <row r="13997" spans="1:7" x14ac:dyDescent="0.35">
      <c r="A13997">
        <v>5562</v>
      </c>
      <c r="B13997" s="1">
        <v>45952</v>
      </c>
      <c r="C13997" t="s">
        <v>12</v>
      </c>
      <c r="D13997" s="2">
        <v>2859.57</v>
      </c>
      <c r="E13997" s="2">
        <v>0</v>
      </c>
      <c r="F13997" t="s">
        <v>13</v>
      </c>
      <c r="G13997" t="s">
        <v>9</v>
      </c>
    </row>
    <row r="13998" spans="1:7" x14ac:dyDescent="0.35">
      <c r="A13998">
        <v>5562</v>
      </c>
      <c r="B13998" s="1">
        <v>45952</v>
      </c>
      <c r="C13998" t="s">
        <v>12</v>
      </c>
      <c r="D13998" s="2">
        <v>0</v>
      </c>
      <c r="E13998" s="2">
        <v>2660.07</v>
      </c>
      <c r="F13998" t="s">
        <v>14</v>
      </c>
      <c r="G13998" t="s">
        <v>15</v>
      </c>
    </row>
    <row r="13999" spans="1:7" x14ac:dyDescent="0.35">
      <c r="A13999">
        <v>5562</v>
      </c>
      <c r="B13999" s="1">
        <v>45952</v>
      </c>
      <c r="C13999" t="s">
        <v>12</v>
      </c>
      <c r="D13999" s="2">
        <v>0</v>
      </c>
      <c r="E13999" s="2">
        <v>199.5</v>
      </c>
      <c r="F13999" t="s">
        <v>16</v>
      </c>
      <c r="G13999" t="s">
        <v>17</v>
      </c>
    </row>
    <row r="14000" spans="1:7" x14ac:dyDescent="0.35">
      <c r="A14000">
        <v>5563</v>
      </c>
      <c r="B14000" s="1">
        <v>45952</v>
      </c>
      <c r="C14000" t="s">
        <v>24</v>
      </c>
      <c r="D14000" s="2">
        <v>589.9</v>
      </c>
      <c r="E14000" s="2">
        <v>0</v>
      </c>
      <c r="F14000" t="s">
        <v>8</v>
      </c>
      <c r="G14000" t="s">
        <v>9</v>
      </c>
    </row>
    <row r="14001" spans="1:7" x14ac:dyDescent="0.35">
      <c r="A14001">
        <v>5563</v>
      </c>
      <c r="B14001" s="1">
        <v>45952</v>
      </c>
      <c r="C14001" t="s">
        <v>24</v>
      </c>
      <c r="D14001" s="2">
        <v>0</v>
      </c>
      <c r="E14001" s="2">
        <v>589.9</v>
      </c>
      <c r="F14001" t="s">
        <v>13</v>
      </c>
      <c r="G14001" t="s">
        <v>9</v>
      </c>
    </row>
    <row r="14002" spans="1:7" x14ac:dyDescent="0.35">
      <c r="A14002">
        <v>5564</v>
      </c>
      <c r="B14002" s="1">
        <v>45952</v>
      </c>
      <c r="C14002" t="s">
        <v>24</v>
      </c>
      <c r="D14002" s="2">
        <v>2169.7399999999998</v>
      </c>
      <c r="E14002" s="2">
        <v>0</v>
      </c>
      <c r="F14002" t="s">
        <v>8</v>
      </c>
      <c r="G14002" t="s">
        <v>9</v>
      </c>
    </row>
    <row r="14003" spans="1:7" x14ac:dyDescent="0.35">
      <c r="A14003">
        <v>5564</v>
      </c>
      <c r="B14003" s="1">
        <v>45952</v>
      </c>
      <c r="C14003" t="s">
        <v>24</v>
      </c>
      <c r="D14003" s="2">
        <v>0</v>
      </c>
      <c r="E14003" s="2">
        <v>2169.7399999999998</v>
      </c>
      <c r="F14003" t="s">
        <v>13</v>
      </c>
      <c r="G14003" t="s">
        <v>9</v>
      </c>
    </row>
    <row r="14004" spans="1:7" x14ac:dyDescent="0.35">
      <c r="A14004">
        <v>5565</v>
      </c>
      <c r="B14004" s="1">
        <v>45952</v>
      </c>
      <c r="C14004" t="s">
        <v>24</v>
      </c>
      <c r="D14004" s="2">
        <v>219</v>
      </c>
      <c r="E14004" s="2">
        <v>0</v>
      </c>
      <c r="F14004" t="s">
        <v>8</v>
      </c>
      <c r="G14004" t="s">
        <v>9</v>
      </c>
    </row>
    <row r="14005" spans="1:7" x14ac:dyDescent="0.35">
      <c r="A14005">
        <v>5565</v>
      </c>
      <c r="B14005" s="1">
        <v>45952</v>
      </c>
      <c r="C14005" t="s">
        <v>24</v>
      </c>
      <c r="D14005" s="2">
        <v>0</v>
      </c>
      <c r="E14005" s="2">
        <v>219</v>
      </c>
      <c r="F14005" t="s">
        <v>13</v>
      </c>
      <c r="G14005" t="s">
        <v>9</v>
      </c>
    </row>
    <row r="14006" spans="1:7" x14ac:dyDescent="0.35">
      <c r="A14006">
        <v>5566</v>
      </c>
      <c r="B14006" s="1">
        <v>45952</v>
      </c>
      <c r="C14006" t="s">
        <v>24</v>
      </c>
      <c r="D14006" s="2">
        <v>784.72</v>
      </c>
      <c r="E14006" s="2">
        <v>0</v>
      </c>
      <c r="F14006" t="s">
        <v>8</v>
      </c>
      <c r="G14006" t="s">
        <v>9</v>
      </c>
    </row>
    <row r="14007" spans="1:7" x14ac:dyDescent="0.35">
      <c r="A14007">
        <v>5566</v>
      </c>
      <c r="B14007" s="1">
        <v>45952</v>
      </c>
      <c r="C14007" t="s">
        <v>24</v>
      </c>
      <c r="D14007" s="2">
        <v>0</v>
      </c>
      <c r="E14007" s="2">
        <v>784.72</v>
      </c>
      <c r="F14007" t="s">
        <v>13</v>
      </c>
      <c r="G14007" t="s">
        <v>9</v>
      </c>
    </row>
    <row r="14008" spans="1:7" x14ac:dyDescent="0.35">
      <c r="A14008">
        <v>5567</v>
      </c>
      <c r="B14008" s="1">
        <v>45952</v>
      </c>
      <c r="C14008" t="s">
        <v>24</v>
      </c>
      <c r="D14008" s="2">
        <v>1285.5</v>
      </c>
      <c r="E14008" s="2">
        <v>0</v>
      </c>
      <c r="F14008" t="s">
        <v>8</v>
      </c>
      <c r="G14008" t="s">
        <v>9</v>
      </c>
    </row>
    <row r="14009" spans="1:7" x14ac:dyDescent="0.35">
      <c r="A14009">
        <v>5567</v>
      </c>
      <c r="B14009" s="1">
        <v>45952</v>
      </c>
      <c r="C14009" t="s">
        <v>24</v>
      </c>
      <c r="D14009" s="2">
        <v>0</v>
      </c>
      <c r="E14009" s="2">
        <v>1285.5</v>
      </c>
      <c r="F14009" t="s">
        <v>13</v>
      </c>
      <c r="G14009" t="s">
        <v>9</v>
      </c>
    </row>
    <row r="14010" spans="1:7" x14ac:dyDescent="0.35">
      <c r="A14010">
        <v>5568</v>
      </c>
      <c r="B14010" s="1">
        <v>45952</v>
      </c>
      <c r="C14010" t="s">
        <v>24</v>
      </c>
      <c r="D14010" s="2">
        <v>2383.56</v>
      </c>
      <c r="E14010" s="2">
        <v>0</v>
      </c>
      <c r="F14010" t="s">
        <v>8</v>
      </c>
      <c r="G14010" t="s">
        <v>9</v>
      </c>
    </row>
    <row r="14011" spans="1:7" x14ac:dyDescent="0.35">
      <c r="A14011">
        <v>5568</v>
      </c>
      <c r="B14011" s="1">
        <v>45952</v>
      </c>
      <c r="C14011" t="s">
        <v>24</v>
      </c>
      <c r="D14011" s="2">
        <v>0</v>
      </c>
      <c r="E14011" s="2">
        <v>2383.56</v>
      </c>
      <c r="F14011" t="s">
        <v>13</v>
      </c>
      <c r="G14011" t="s">
        <v>9</v>
      </c>
    </row>
    <row r="14012" spans="1:7" x14ac:dyDescent="0.35">
      <c r="A14012">
        <v>5569</v>
      </c>
      <c r="B14012" s="1">
        <v>45952</v>
      </c>
      <c r="C14012" t="s">
        <v>24</v>
      </c>
      <c r="D14012" s="2">
        <v>2594.77</v>
      </c>
      <c r="E14012" s="2">
        <v>0</v>
      </c>
      <c r="F14012" t="s">
        <v>8</v>
      </c>
      <c r="G14012" t="s">
        <v>9</v>
      </c>
    </row>
    <row r="14013" spans="1:7" x14ac:dyDescent="0.35">
      <c r="A14013">
        <v>5569</v>
      </c>
      <c r="B14013" s="1">
        <v>45952</v>
      </c>
      <c r="C14013" t="s">
        <v>24</v>
      </c>
      <c r="D14013" s="2">
        <v>0</v>
      </c>
      <c r="E14013" s="2">
        <v>2594.77</v>
      </c>
      <c r="F14013" t="s">
        <v>13</v>
      </c>
      <c r="G14013" t="s">
        <v>9</v>
      </c>
    </row>
    <row r="14014" spans="1:7" x14ac:dyDescent="0.35">
      <c r="A14014">
        <v>5570</v>
      </c>
      <c r="B14014" s="1">
        <v>45952</v>
      </c>
      <c r="C14014" t="s">
        <v>24</v>
      </c>
      <c r="D14014" s="2">
        <v>2084.9499999999998</v>
      </c>
      <c r="E14014" s="2">
        <v>0</v>
      </c>
      <c r="F14014" t="s">
        <v>8</v>
      </c>
      <c r="G14014" t="s">
        <v>9</v>
      </c>
    </row>
    <row r="14015" spans="1:7" x14ac:dyDescent="0.35">
      <c r="A14015">
        <v>5570</v>
      </c>
      <c r="B14015" s="1">
        <v>45952</v>
      </c>
      <c r="C14015" t="s">
        <v>24</v>
      </c>
      <c r="D14015" s="2">
        <v>0</v>
      </c>
      <c r="E14015" s="2">
        <v>2084.9499999999998</v>
      </c>
      <c r="F14015" t="s">
        <v>13</v>
      </c>
      <c r="G14015" t="s">
        <v>9</v>
      </c>
    </row>
    <row r="14016" spans="1:7" x14ac:dyDescent="0.35">
      <c r="A14016">
        <v>5571</v>
      </c>
      <c r="B14016" s="1">
        <v>45952</v>
      </c>
      <c r="C14016" t="s">
        <v>24</v>
      </c>
      <c r="D14016" s="2">
        <v>1163.44</v>
      </c>
      <c r="E14016" s="2">
        <v>0</v>
      </c>
      <c r="F14016" t="s">
        <v>8</v>
      </c>
      <c r="G14016" t="s">
        <v>9</v>
      </c>
    </row>
    <row r="14017" spans="1:7" x14ac:dyDescent="0.35">
      <c r="A14017">
        <v>5571</v>
      </c>
      <c r="B14017" s="1">
        <v>45952</v>
      </c>
      <c r="C14017" t="s">
        <v>24</v>
      </c>
      <c r="D14017" s="2">
        <v>0</v>
      </c>
      <c r="E14017" s="2">
        <v>1163.44</v>
      </c>
      <c r="F14017" t="s">
        <v>13</v>
      </c>
      <c r="G14017" t="s">
        <v>9</v>
      </c>
    </row>
    <row r="14018" spans="1:7" x14ac:dyDescent="0.35">
      <c r="A14018">
        <v>5572</v>
      </c>
      <c r="B14018" s="1">
        <v>45952</v>
      </c>
      <c r="C14018" t="s">
        <v>24</v>
      </c>
      <c r="D14018" s="2">
        <v>824.34</v>
      </c>
      <c r="E14018" s="2">
        <v>0</v>
      </c>
      <c r="F14018" t="s">
        <v>8</v>
      </c>
      <c r="G14018" t="s">
        <v>9</v>
      </c>
    </row>
    <row r="14019" spans="1:7" x14ac:dyDescent="0.35">
      <c r="A14019">
        <v>5572</v>
      </c>
      <c r="B14019" s="1">
        <v>45952</v>
      </c>
      <c r="C14019" t="s">
        <v>24</v>
      </c>
      <c r="D14019" s="2">
        <v>0</v>
      </c>
      <c r="E14019" s="2">
        <v>824.34</v>
      </c>
      <c r="F14019" t="s">
        <v>13</v>
      </c>
      <c r="G14019" t="s">
        <v>9</v>
      </c>
    </row>
    <row r="14020" spans="1:7" x14ac:dyDescent="0.35">
      <c r="A14020">
        <v>5573</v>
      </c>
      <c r="B14020" s="1">
        <v>45952</v>
      </c>
      <c r="C14020" t="s">
        <v>24</v>
      </c>
      <c r="D14020" s="2">
        <v>531.64</v>
      </c>
      <c r="E14020" s="2">
        <v>0</v>
      </c>
      <c r="F14020" t="s">
        <v>8</v>
      </c>
      <c r="G14020" t="s">
        <v>9</v>
      </c>
    </row>
    <row r="14021" spans="1:7" x14ac:dyDescent="0.35">
      <c r="A14021">
        <v>5573</v>
      </c>
      <c r="B14021" s="1">
        <v>45952</v>
      </c>
      <c r="C14021" t="s">
        <v>24</v>
      </c>
      <c r="D14021" s="2">
        <v>0</v>
      </c>
      <c r="E14021" s="2">
        <v>531.64</v>
      </c>
      <c r="F14021" t="s">
        <v>13</v>
      </c>
      <c r="G14021" t="s">
        <v>9</v>
      </c>
    </row>
    <row r="14022" spans="1:7" x14ac:dyDescent="0.35">
      <c r="A14022">
        <v>5574</v>
      </c>
      <c r="B14022" s="1">
        <v>45952</v>
      </c>
      <c r="C14022" t="s">
        <v>24</v>
      </c>
      <c r="D14022" s="2">
        <v>1185.19</v>
      </c>
      <c r="E14022" s="2">
        <v>0</v>
      </c>
      <c r="F14022" t="s">
        <v>8</v>
      </c>
      <c r="G14022" t="s">
        <v>9</v>
      </c>
    </row>
    <row r="14023" spans="1:7" x14ac:dyDescent="0.35">
      <c r="A14023">
        <v>5574</v>
      </c>
      <c r="B14023" s="1">
        <v>45952</v>
      </c>
      <c r="C14023" t="s">
        <v>24</v>
      </c>
      <c r="D14023" s="2">
        <v>0</v>
      </c>
      <c r="E14023" s="2">
        <v>1185.19</v>
      </c>
      <c r="F14023" t="s">
        <v>13</v>
      </c>
      <c r="G14023" t="s">
        <v>9</v>
      </c>
    </row>
    <row r="14024" spans="1:7" x14ac:dyDescent="0.35">
      <c r="A14024">
        <v>5575</v>
      </c>
      <c r="B14024" s="1">
        <v>45952</v>
      </c>
      <c r="C14024" t="s">
        <v>29</v>
      </c>
      <c r="D14024" s="2">
        <v>4812.46</v>
      </c>
      <c r="E14024" s="2">
        <v>0</v>
      </c>
      <c r="F14024" t="s">
        <v>28</v>
      </c>
      <c r="G14024" t="s">
        <v>17</v>
      </c>
    </row>
    <row r="14025" spans="1:7" x14ac:dyDescent="0.35">
      <c r="A14025">
        <v>5575</v>
      </c>
      <c r="B14025" s="1">
        <v>45952</v>
      </c>
      <c r="C14025" t="s">
        <v>29</v>
      </c>
      <c r="D14025" s="2">
        <v>0</v>
      </c>
      <c r="E14025" s="2">
        <v>4812.46</v>
      </c>
      <c r="F14025" t="s">
        <v>8</v>
      </c>
      <c r="G14025" t="s">
        <v>9</v>
      </c>
    </row>
    <row r="14026" spans="1:7" x14ac:dyDescent="0.35">
      <c r="A14026">
        <v>5576</v>
      </c>
      <c r="B14026" s="1">
        <v>45952</v>
      </c>
      <c r="C14026" t="s">
        <v>29</v>
      </c>
      <c r="D14026" s="2">
        <v>201.5</v>
      </c>
      <c r="E14026" s="2">
        <v>0</v>
      </c>
      <c r="F14026" t="s">
        <v>28</v>
      </c>
      <c r="G14026" t="s">
        <v>17</v>
      </c>
    </row>
    <row r="14027" spans="1:7" x14ac:dyDescent="0.35">
      <c r="A14027">
        <v>5576</v>
      </c>
      <c r="B14027" s="1">
        <v>45952</v>
      </c>
      <c r="C14027" t="s">
        <v>29</v>
      </c>
      <c r="D14027" s="2">
        <v>0</v>
      </c>
      <c r="E14027" s="2">
        <v>201.5</v>
      </c>
      <c r="F14027" t="s">
        <v>8</v>
      </c>
      <c r="G14027" t="s">
        <v>9</v>
      </c>
    </row>
    <row r="14028" spans="1:7" x14ac:dyDescent="0.35">
      <c r="A14028">
        <v>5577</v>
      </c>
      <c r="B14028" s="1">
        <v>45952</v>
      </c>
      <c r="C14028" t="s">
        <v>29</v>
      </c>
      <c r="D14028" s="2">
        <v>748.26</v>
      </c>
      <c r="E14028" s="2">
        <v>0</v>
      </c>
      <c r="F14028" t="s">
        <v>28</v>
      </c>
      <c r="G14028" t="s">
        <v>17</v>
      </c>
    </row>
    <row r="14029" spans="1:7" x14ac:dyDescent="0.35">
      <c r="A14029">
        <v>5577</v>
      </c>
      <c r="B14029" s="1">
        <v>45952</v>
      </c>
      <c r="C14029" t="s">
        <v>29</v>
      </c>
      <c r="D14029" s="2">
        <v>0</v>
      </c>
      <c r="E14029" s="2">
        <v>748.26</v>
      </c>
      <c r="F14029" t="s">
        <v>8</v>
      </c>
      <c r="G14029" t="s">
        <v>9</v>
      </c>
    </row>
    <row r="14030" spans="1:7" x14ac:dyDescent="0.35">
      <c r="A14030">
        <v>5578</v>
      </c>
      <c r="B14030" s="1">
        <v>45953</v>
      </c>
      <c r="C14030" t="s">
        <v>18</v>
      </c>
      <c r="D14030" s="2">
        <v>22424.18</v>
      </c>
      <c r="E14030" s="2">
        <v>0</v>
      </c>
      <c r="F14030" t="s">
        <v>19</v>
      </c>
      <c r="G14030" t="s">
        <v>20</v>
      </c>
    </row>
    <row r="14031" spans="1:7" x14ac:dyDescent="0.35">
      <c r="A14031">
        <v>5578</v>
      </c>
      <c r="B14031" s="1">
        <v>45953</v>
      </c>
      <c r="C14031" t="s">
        <v>18</v>
      </c>
      <c r="D14031" s="2">
        <v>896.97</v>
      </c>
      <c r="E14031" s="2">
        <v>0</v>
      </c>
      <c r="F14031" t="s">
        <v>21</v>
      </c>
      <c r="G14031" t="s">
        <v>20</v>
      </c>
    </row>
    <row r="14032" spans="1:7" x14ac:dyDescent="0.35">
      <c r="A14032">
        <v>5578</v>
      </c>
      <c r="B14032" s="1">
        <v>45953</v>
      </c>
      <c r="C14032" t="s">
        <v>18</v>
      </c>
      <c r="D14032" s="2">
        <v>0</v>
      </c>
      <c r="E14032" s="2">
        <v>18071.599999999999</v>
      </c>
      <c r="F14032" t="s">
        <v>8</v>
      </c>
      <c r="G14032" t="s">
        <v>9</v>
      </c>
    </row>
    <row r="14033" spans="1:7" x14ac:dyDescent="0.35">
      <c r="A14033">
        <v>5578</v>
      </c>
      <c r="B14033" s="1">
        <v>45953</v>
      </c>
      <c r="C14033" t="s">
        <v>18</v>
      </c>
      <c r="D14033" s="2">
        <v>0</v>
      </c>
      <c r="E14033" s="2">
        <v>4352.58</v>
      </c>
      <c r="F14033" t="s">
        <v>22</v>
      </c>
      <c r="G14033" t="s">
        <v>17</v>
      </c>
    </row>
    <row r="14034" spans="1:7" x14ac:dyDescent="0.35">
      <c r="A14034">
        <v>5578</v>
      </c>
      <c r="B14034" s="1">
        <v>45953</v>
      </c>
      <c r="C14034" t="s">
        <v>18</v>
      </c>
      <c r="D14034" s="2">
        <v>0</v>
      </c>
      <c r="E14034" s="2">
        <v>896.97</v>
      </c>
      <c r="F14034" t="s">
        <v>23</v>
      </c>
      <c r="G14034" t="s">
        <v>17</v>
      </c>
    </row>
    <row r="14035" spans="1:7" x14ac:dyDescent="0.35">
      <c r="A14035">
        <v>5579</v>
      </c>
      <c r="B14035" s="1">
        <v>45953</v>
      </c>
      <c r="C14035" t="s">
        <v>12</v>
      </c>
      <c r="D14035" s="2">
        <v>3335.31</v>
      </c>
      <c r="E14035" s="2">
        <v>0</v>
      </c>
      <c r="F14035" t="s">
        <v>13</v>
      </c>
      <c r="G14035" t="s">
        <v>9</v>
      </c>
    </row>
    <row r="14036" spans="1:7" x14ac:dyDescent="0.35">
      <c r="A14036">
        <v>5579</v>
      </c>
      <c r="B14036" s="1">
        <v>45953</v>
      </c>
      <c r="C14036" t="s">
        <v>12</v>
      </c>
      <c r="D14036" s="2">
        <v>0</v>
      </c>
      <c r="E14036" s="2">
        <v>3102.61</v>
      </c>
      <c r="F14036" t="s">
        <v>14</v>
      </c>
      <c r="G14036" t="s">
        <v>15</v>
      </c>
    </row>
    <row r="14037" spans="1:7" x14ac:dyDescent="0.35">
      <c r="A14037">
        <v>5579</v>
      </c>
      <c r="B14037" s="1">
        <v>45953</v>
      </c>
      <c r="C14037" t="s">
        <v>12</v>
      </c>
      <c r="D14037" s="2">
        <v>0</v>
      </c>
      <c r="E14037" s="2">
        <v>232.7</v>
      </c>
      <c r="F14037" t="s">
        <v>16</v>
      </c>
      <c r="G14037" t="s">
        <v>17</v>
      </c>
    </row>
    <row r="14038" spans="1:7" x14ac:dyDescent="0.35">
      <c r="A14038">
        <v>5580</v>
      </c>
      <c r="B14038" s="1">
        <v>45953</v>
      </c>
      <c r="C14038" t="s">
        <v>12</v>
      </c>
      <c r="D14038" s="2">
        <v>411.83</v>
      </c>
      <c r="E14038" s="2">
        <v>0</v>
      </c>
      <c r="F14038" t="s">
        <v>13</v>
      </c>
      <c r="G14038" t="s">
        <v>9</v>
      </c>
    </row>
    <row r="14039" spans="1:7" x14ac:dyDescent="0.35">
      <c r="A14039">
        <v>5580</v>
      </c>
      <c r="B14039" s="1">
        <v>45953</v>
      </c>
      <c r="C14039" t="s">
        <v>12</v>
      </c>
      <c r="D14039" s="2">
        <v>0</v>
      </c>
      <c r="E14039" s="2">
        <v>383.1</v>
      </c>
      <c r="F14039" t="s">
        <v>14</v>
      </c>
      <c r="G14039" t="s">
        <v>15</v>
      </c>
    </row>
    <row r="14040" spans="1:7" x14ac:dyDescent="0.35">
      <c r="A14040">
        <v>5580</v>
      </c>
      <c r="B14040" s="1">
        <v>45953</v>
      </c>
      <c r="C14040" t="s">
        <v>12</v>
      </c>
      <c r="D14040" s="2">
        <v>0</v>
      </c>
      <c r="E14040" s="2">
        <v>28.73</v>
      </c>
      <c r="F14040" t="s">
        <v>16</v>
      </c>
      <c r="G14040" t="s">
        <v>17</v>
      </c>
    </row>
    <row r="14041" spans="1:7" x14ac:dyDescent="0.35">
      <c r="A14041">
        <v>5581</v>
      </c>
      <c r="B14041" s="1">
        <v>45953</v>
      </c>
      <c r="C14041" t="s">
        <v>12</v>
      </c>
      <c r="D14041" s="2">
        <v>4707.26</v>
      </c>
      <c r="E14041" s="2">
        <v>0</v>
      </c>
      <c r="F14041" t="s">
        <v>13</v>
      </c>
      <c r="G14041" t="s">
        <v>9</v>
      </c>
    </row>
    <row r="14042" spans="1:7" x14ac:dyDescent="0.35">
      <c r="A14042">
        <v>5581</v>
      </c>
      <c r="B14042" s="1">
        <v>45953</v>
      </c>
      <c r="C14042" t="s">
        <v>12</v>
      </c>
      <c r="D14042" s="2">
        <v>0</v>
      </c>
      <c r="E14042" s="2">
        <v>4378.84</v>
      </c>
      <c r="F14042" t="s">
        <v>14</v>
      </c>
      <c r="G14042" t="s">
        <v>15</v>
      </c>
    </row>
    <row r="14043" spans="1:7" x14ac:dyDescent="0.35">
      <c r="A14043">
        <v>5581</v>
      </c>
      <c r="B14043" s="1">
        <v>45953</v>
      </c>
      <c r="C14043" t="s">
        <v>12</v>
      </c>
      <c r="D14043" s="2">
        <v>0</v>
      </c>
      <c r="E14043" s="2">
        <v>328.42</v>
      </c>
      <c r="F14043" t="s">
        <v>16</v>
      </c>
      <c r="G14043" t="s">
        <v>17</v>
      </c>
    </row>
    <row r="14044" spans="1:7" x14ac:dyDescent="0.35">
      <c r="A14044">
        <v>5582</v>
      </c>
      <c r="B14044" s="1">
        <v>45953</v>
      </c>
      <c r="C14044" t="s">
        <v>12</v>
      </c>
      <c r="D14044" s="2">
        <v>5519.45</v>
      </c>
      <c r="E14044" s="2">
        <v>0</v>
      </c>
      <c r="F14044" t="s">
        <v>13</v>
      </c>
      <c r="G14044" t="s">
        <v>9</v>
      </c>
    </row>
    <row r="14045" spans="1:7" x14ac:dyDescent="0.35">
      <c r="A14045">
        <v>5582</v>
      </c>
      <c r="B14045" s="1">
        <v>45953</v>
      </c>
      <c r="C14045" t="s">
        <v>12</v>
      </c>
      <c r="D14045" s="2">
        <v>0</v>
      </c>
      <c r="E14045" s="2">
        <v>5134.37</v>
      </c>
      <c r="F14045" t="s">
        <v>14</v>
      </c>
      <c r="G14045" t="s">
        <v>15</v>
      </c>
    </row>
    <row r="14046" spans="1:7" x14ac:dyDescent="0.35">
      <c r="A14046">
        <v>5582</v>
      </c>
      <c r="B14046" s="1">
        <v>45953</v>
      </c>
      <c r="C14046" t="s">
        <v>12</v>
      </c>
      <c r="D14046" s="2">
        <v>0</v>
      </c>
      <c r="E14046" s="2">
        <v>385.08</v>
      </c>
      <c r="F14046" t="s">
        <v>16</v>
      </c>
      <c r="G14046" t="s">
        <v>17</v>
      </c>
    </row>
    <row r="14047" spans="1:7" x14ac:dyDescent="0.35">
      <c r="A14047">
        <v>5583</v>
      </c>
      <c r="B14047" s="1">
        <v>45953</v>
      </c>
      <c r="C14047" t="s">
        <v>12</v>
      </c>
      <c r="D14047" s="2">
        <v>914.31</v>
      </c>
      <c r="E14047" s="2">
        <v>0</v>
      </c>
      <c r="F14047" t="s">
        <v>13</v>
      </c>
      <c r="G14047" t="s">
        <v>9</v>
      </c>
    </row>
    <row r="14048" spans="1:7" x14ac:dyDescent="0.35">
      <c r="A14048">
        <v>5583</v>
      </c>
      <c r="B14048" s="1">
        <v>45953</v>
      </c>
      <c r="C14048" t="s">
        <v>12</v>
      </c>
      <c r="D14048" s="2">
        <v>0</v>
      </c>
      <c r="E14048" s="2">
        <v>850.52</v>
      </c>
      <c r="F14048" t="s">
        <v>14</v>
      </c>
      <c r="G14048" t="s">
        <v>15</v>
      </c>
    </row>
    <row r="14049" spans="1:7" x14ac:dyDescent="0.35">
      <c r="A14049">
        <v>5583</v>
      </c>
      <c r="B14049" s="1">
        <v>45953</v>
      </c>
      <c r="C14049" t="s">
        <v>12</v>
      </c>
      <c r="D14049" s="2">
        <v>0</v>
      </c>
      <c r="E14049" s="2">
        <v>63.79</v>
      </c>
      <c r="F14049" t="s">
        <v>16</v>
      </c>
      <c r="G14049" t="s">
        <v>17</v>
      </c>
    </row>
    <row r="14050" spans="1:7" x14ac:dyDescent="0.35">
      <c r="A14050">
        <v>5584</v>
      </c>
      <c r="B14050" s="1">
        <v>45953</v>
      </c>
      <c r="C14050" t="s">
        <v>24</v>
      </c>
      <c r="D14050" s="2">
        <v>1281.3399999999999</v>
      </c>
      <c r="E14050" s="2">
        <v>0</v>
      </c>
      <c r="F14050" t="s">
        <v>8</v>
      </c>
      <c r="G14050" t="s">
        <v>9</v>
      </c>
    </row>
    <row r="14051" spans="1:7" x14ac:dyDescent="0.35">
      <c r="A14051">
        <v>5584</v>
      </c>
      <c r="B14051" s="1">
        <v>45953</v>
      </c>
      <c r="C14051" t="s">
        <v>24</v>
      </c>
      <c r="D14051" s="2">
        <v>0</v>
      </c>
      <c r="E14051" s="2">
        <v>1281.3399999999999</v>
      </c>
      <c r="F14051" t="s">
        <v>13</v>
      </c>
      <c r="G14051" t="s">
        <v>9</v>
      </c>
    </row>
    <row r="14052" spans="1:7" x14ac:dyDescent="0.35">
      <c r="A14052">
        <v>5585</v>
      </c>
      <c r="B14052" s="1">
        <v>45953</v>
      </c>
      <c r="C14052" t="s">
        <v>24</v>
      </c>
      <c r="D14052" s="2">
        <v>2551.8200000000002</v>
      </c>
      <c r="E14052" s="2">
        <v>0</v>
      </c>
      <c r="F14052" t="s">
        <v>8</v>
      </c>
      <c r="G14052" t="s">
        <v>9</v>
      </c>
    </row>
    <row r="14053" spans="1:7" x14ac:dyDescent="0.35">
      <c r="A14053">
        <v>5585</v>
      </c>
      <c r="B14053" s="1">
        <v>45953</v>
      </c>
      <c r="C14053" t="s">
        <v>24</v>
      </c>
      <c r="D14053" s="2">
        <v>0</v>
      </c>
      <c r="E14053" s="2">
        <v>2551.8200000000002</v>
      </c>
      <c r="F14053" t="s">
        <v>13</v>
      </c>
      <c r="G14053" t="s">
        <v>9</v>
      </c>
    </row>
    <row r="14054" spans="1:7" x14ac:dyDescent="0.35">
      <c r="A14054">
        <v>5586</v>
      </c>
      <c r="B14054" s="1">
        <v>45953</v>
      </c>
      <c r="C14054" t="s">
        <v>24</v>
      </c>
      <c r="D14054" s="2">
        <v>2673.93</v>
      </c>
      <c r="E14054" s="2">
        <v>0</v>
      </c>
      <c r="F14054" t="s">
        <v>8</v>
      </c>
      <c r="G14054" t="s">
        <v>9</v>
      </c>
    </row>
    <row r="14055" spans="1:7" x14ac:dyDescent="0.35">
      <c r="A14055">
        <v>5586</v>
      </c>
      <c r="B14055" s="1">
        <v>45953</v>
      </c>
      <c r="C14055" t="s">
        <v>24</v>
      </c>
      <c r="D14055" s="2">
        <v>0</v>
      </c>
      <c r="E14055" s="2">
        <v>2673.93</v>
      </c>
      <c r="F14055" t="s">
        <v>13</v>
      </c>
      <c r="G14055" t="s">
        <v>9</v>
      </c>
    </row>
    <row r="14056" spans="1:7" x14ac:dyDescent="0.35">
      <c r="A14056">
        <v>5587</v>
      </c>
      <c r="B14056" s="1">
        <v>45953</v>
      </c>
      <c r="C14056" t="s">
        <v>24</v>
      </c>
      <c r="D14056" s="2">
        <v>1391.07</v>
      </c>
      <c r="E14056" s="2">
        <v>0</v>
      </c>
      <c r="F14056" t="s">
        <v>8</v>
      </c>
      <c r="G14056" t="s">
        <v>9</v>
      </c>
    </row>
    <row r="14057" spans="1:7" x14ac:dyDescent="0.35">
      <c r="A14057">
        <v>5587</v>
      </c>
      <c r="B14057" s="1">
        <v>45953</v>
      </c>
      <c r="C14057" t="s">
        <v>24</v>
      </c>
      <c r="D14057" s="2">
        <v>0</v>
      </c>
      <c r="E14057" s="2">
        <v>1391.07</v>
      </c>
      <c r="F14057" t="s">
        <v>13</v>
      </c>
      <c r="G14057" t="s">
        <v>9</v>
      </c>
    </row>
    <row r="14058" spans="1:7" x14ac:dyDescent="0.35">
      <c r="A14058">
        <v>5588</v>
      </c>
      <c r="B14058" s="1">
        <v>45953</v>
      </c>
      <c r="C14058" t="s">
        <v>24</v>
      </c>
      <c r="D14058" s="2">
        <v>1663.3</v>
      </c>
      <c r="E14058" s="2">
        <v>0</v>
      </c>
      <c r="F14058" t="s">
        <v>8</v>
      </c>
      <c r="G14058" t="s">
        <v>9</v>
      </c>
    </row>
    <row r="14059" spans="1:7" x14ac:dyDescent="0.35">
      <c r="A14059">
        <v>5588</v>
      </c>
      <c r="B14059" s="1">
        <v>45953</v>
      </c>
      <c r="C14059" t="s">
        <v>24</v>
      </c>
      <c r="D14059" s="2">
        <v>0</v>
      </c>
      <c r="E14059" s="2">
        <v>1663.3</v>
      </c>
      <c r="F14059" t="s">
        <v>13</v>
      </c>
      <c r="G14059" t="s">
        <v>9</v>
      </c>
    </row>
    <row r="14060" spans="1:7" x14ac:dyDescent="0.35">
      <c r="A14060">
        <v>5589</v>
      </c>
      <c r="B14060" s="1">
        <v>45953</v>
      </c>
      <c r="C14060" t="s">
        <v>24</v>
      </c>
      <c r="D14060" s="2">
        <v>5062.7700000000004</v>
      </c>
      <c r="E14060" s="2">
        <v>0</v>
      </c>
      <c r="F14060" t="s">
        <v>8</v>
      </c>
      <c r="G14060" t="s">
        <v>9</v>
      </c>
    </row>
    <row r="14061" spans="1:7" x14ac:dyDescent="0.35">
      <c r="A14061">
        <v>5589</v>
      </c>
      <c r="B14061" s="1">
        <v>45953</v>
      </c>
      <c r="C14061" t="s">
        <v>24</v>
      </c>
      <c r="D14061" s="2">
        <v>0</v>
      </c>
      <c r="E14061" s="2">
        <v>5062.7700000000004</v>
      </c>
      <c r="F14061" t="s">
        <v>13</v>
      </c>
      <c r="G14061" t="s">
        <v>9</v>
      </c>
    </row>
    <row r="14062" spans="1:7" x14ac:dyDescent="0.35">
      <c r="A14062">
        <v>5590</v>
      </c>
      <c r="B14062" s="1">
        <v>45953</v>
      </c>
      <c r="C14062" t="s">
        <v>24</v>
      </c>
      <c r="D14062" s="2">
        <v>914.89</v>
      </c>
      <c r="E14062" s="2">
        <v>0</v>
      </c>
      <c r="F14062" t="s">
        <v>8</v>
      </c>
      <c r="G14062" t="s">
        <v>9</v>
      </c>
    </row>
    <row r="14063" spans="1:7" x14ac:dyDescent="0.35">
      <c r="A14063">
        <v>5590</v>
      </c>
      <c r="B14063" s="1">
        <v>45953</v>
      </c>
      <c r="C14063" t="s">
        <v>24</v>
      </c>
      <c r="D14063" s="2">
        <v>0</v>
      </c>
      <c r="E14063" s="2">
        <v>914.89</v>
      </c>
      <c r="F14063" t="s">
        <v>13</v>
      </c>
      <c r="G14063" t="s">
        <v>9</v>
      </c>
    </row>
    <row r="14064" spans="1:7" x14ac:dyDescent="0.35">
      <c r="A14064">
        <v>5591</v>
      </c>
      <c r="B14064" s="1">
        <v>45953</v>
      </c>
      <c r="C14064" t="s">
        <v>24</v>
      </c>
      <c r="D14064" s="2">
        <v>3222.48</v>
      </c>
      <c r="E14064" s="2">
        <v>0</v>
      </c>
      <c r="F14064" t="s">
        <v>8</v>
      </c>
      <c r="G14064" t="s">
        <v>9</v>
      </c>
    </row>
    <row r="14065" spans="1:7" x14ac:dyDescent="0.35">
      <c r="A14065">
        <v>5591</v>
      </c>
      <c r="B14065" s="1">
        <v>45953</v>
      </c>
      <c r="C14065" t="s">
        <v>24</v>
      </c>
      <c r="D14065" s="2">
        <v>0</v>
      </c>
      <c r="E14065" s="2">
        <v>3222.48</v>
      </c>
      <c r="F14065" t="s">
        <v>13</v>
      </c>
      <c r="G14065" t="s">
        <v>9</v>
      </c>
    </row>
    <row r="14066" spans="1:7" x14ac:dyDescent="0.35">
      <c r="A14066">
        <v>5592</v>
      </c>
      <c r="B14066" s="1">
        <v>45953</v>
      </c>
      <c r="C14066" t="s">
        <v>24</v>
      </c>
      <c r="D14066" s="2">
        <v>347.99</v>
      </c>
      <c r="E14066" s="2">
        <v>0</v>
      </c>
      <c r="F14066" t="s">
        <v>8</v>
      </c>
      <c r="G14066" t="s">
        <v>9</v>
      </c>
    </row>
    <row r="14067" spans="1:7" x14ac:dyDescent="0.35">
      <c r="A14067">
        <v>5592</v>
      </c>
      <c r="B14067" s="1">
        <v>45953</v>
      </c>
      <c r="C14067" t="s">
        <v>24</v>
      </c>
      <c r="D14067" s="2">
        <v>0</v>
      </c>
      <c r="E14067" s="2">
        <v>347.99</v>
      </c>
      <c r="F14067" t="s">
        <v>13</v>
      </c>
      <c r="G14067" t="s">
        <v>9</v>
      </c>
    </row>
    <row r="14068" spans="1:7" x14ac:dyDescent="0.35">
      <c r="A14068">
        <v>5593</v>
      </c>
      <c r="B14068" s="1">
        <v>45953</v>
      </c>
      <c r="C14068" t="s">
        <v>24</v>
      </c>
      <c r="D14068" s="2">
        <v>4844.46</v>
      </c>
      <c r="E14068" s="2">
        <v>0</v>
      </c>
      <c r="F14068" t="s">
        <v>8</v>
      </c>
      <c r="G14068" t="s">
        <v>9</v>
      </c>
    </row>
    <row r="14069" spans="1:7" x14ac:dyDescent="0.35">
      <c r="A14069">
        <v>5593</v>
      </c>
      <c r="B14069" s="1">
        <v>45953</v>
      </c>
      <c r="C14069" t="s">
        <v>24</v>
      </c>
      <c r="D14069" s="2">
        <v>0</v>
      </c>
      <c r="E14069" s="2">
        <v>4844.46</v>
      </c>
      <c r="F14069" t="s">
        <v>13</v>
      </c>
      <c r="G14069" t="s">
        <v>9</v>
      </c>
    </row>
    <row r="14070" spans="1:7" x14ac:dyDescent="0.35">
      <c r="A14070">
        <v>5594</v>
      </c>
      <c r="B14070" s="1">
        <v>45953</v>
      </c>
      <c r="C14070" t="s">
        <v>24</v>
      </c>
      <c r="D14070" s="2">
        <v>1703.82</v>
      </c>
      <c r="E14070" s="2">
        <v>0</v>
      </c>
      <c r="F14070" t="s">
        <v>8</v>
      </c>
      <c r="G14070" t="s">
        <v>9</v>
      </c>
    </row>
    <row r="14071" spans="1:7" x14ac:dyDescent="0.35">
      <c r="A14071">
        <v>5594</v>
      </c>
      <c r="B14071" s="1">
        <v>45953</v>
      </c>
      <c r="C14071" t="s">
        <v>24</v>
      </c>
      <c r="D14071" s="2">
        <v>0</v>
      </c>
      <c r="E14071" s="2">
        <v>1703.82</v>
      </c>
      <c r="F14071" t="s">
        <v>13</v>
      </c>
      <c r="G14071" t="s">
        <v>9</v>
      </c>
    </row>
    <row r="14072" spans="1:7" x14ac:dyDescent="0.35">
      <c r="A14072">
        <v>5595</v>
      </c>
      <c r="B14072" s="1">
        <v>45953</v>
      </c>
      <c r="C14072" t="s">
        <v>25</v>
      </c>
      <c r="D14072" s="2">
        <v>1668.94</v>
      </c>
      <c r="E14072" s="2">
        <v>0</v>
      </c>
      <c r="F14072" t="s">
        <v>26</v>
      </c>
      <c r="G14072" t="s">
        <v>20</v>
      </c>
    </row>
    <row r="14073" spans="1:7" x14ac:dyDescent="0.35">
      <c r="A14073">
        <v>5595</v>
      </c>
      <c r="B14073" s="1">
        <v>45953</v>
      </c>
      <c r="C14073" t="s">
        <v>25</v>
      </c>
      <c r="D14073" s="2">
        <v>125.17</v>
      </c>
      <c r="E14073" s="2">
        <v>0</v>
      </c>
      <c r="F14073" t="s">
        <v>27</v>
      </c>
      <c r="G14073" t="s">
        <v>9</v>
      </c>
    </row>
    <row r="14074" spans="1:7" x14ac:dyDescent="0.35">
      <c r="A14074">
        <v>5595</v>
      </c>
      <c r="B14074" s="1">
        <v>45953</v>
      </c>
      <c r="C14074" t="s">
        <v>25</v>
      </c>
      <c r="D14074" s="2">
        <v>0</v>
      </c>
      <c r="E14074" s="2">
        <v>1794.11</v>
      </c>
      <c r="F14074" t="s">
        <v>28</v>
      </c>
      <c r="G14074" t="s">
        <v>17</v>
      </c>
    </row>
    <row r="14075" spans="1:7" x14ac:dyDescent="0.35">
      <c r="A14075">
        <v>5596</v>
      </c>
      <c r="B14075" s="1">
        <v>45953</v>
      </c>
      <c r="C14075" t="s">
        <v>25</v>
      </c>
      <c r="D14075" s="2">
        <v>2451.5</v>
      </c>
      <c r="E14075" s="2">
        <v>0</v>
      </c>
      <c r="F14075" t="s">
        <v>26</v>
      </c>
      <c r="G14075" t="s">
        <v>20</v>
      </c>
    </row>
    <row r="14076" spans="1:7" x14ac:dyDescent="0.35">
      <c r="A14076">
        <v>5596</v>
      </c>
      <c r="B14076" s="1">
        <v>45953</v>
      </c>
      <c r="C14076" t="s">
        <v>25</v>
      </c>
      <c r="D14076" s="2">
        <v>183.86</v>
      </c>
      <c r="E14076" s="2">
        <v>0</v>
      </c>
      <c r="F14076" t="s">
        <v>27</v>
      </c>
      <c r="G14076" t="s">
        <v>9</v>
      </c>
    </row>
    <row r="14077" spans="1:7" x14ac:dyDescent="0.35">
      <c r="A14077">
        <v>5596</v>
      </c>
      <c r="B14077" s="1">
        <v>45953</v>
      </c>
      <c r="C14077" t="s">
        <v>25</v>
      </c>
      <c r="D14077" s="2">
        <v>0</v>
      </c>
      <c r="E14077" s="2">
        <v>2635.36</v>
      </c>
      <c r="F14077" t="s">
        <v>28</v>
      </c>
      <c r="G14077" t="s">
        <v>17</v>
      </c>
    </row>
    <row r="14078" spans="1:7" x14ac:dyDescent="0.35">
      <c r="A14078">
        <v>5597</v>
      </c>
      <c r="B14078" s="1">
        <v>45953</v>
      </c>
      <c r="C14078" t="s">
        <v>29</v>
      </c>
      <c r="D14078" s="2">
        <v>1304.6199999999999</v>
      </c>
      <c r="E14078" s="2">
        <v>0</v>
      </c>
      <c r="F14078" t="s">
        <v>28</v>
      </c>
      <c r="G14078" t="s">
        <v>17</v>
      </c>
    </row>
    <row r="14079" spans="1:7" x14ac:dyDescent="0.35">
      <c r="A14079">
        <v>5597</v>
      </c>
      <c r="B14079" s="1">
        <v>45953</v>
      </c>
      <c r="C14079" t="s">
        <v>29</v>
      </c>
      <c r="D14079" s="2">
        <v>0</v>
      </c>
      <c r="E14079" s="2">
        <v>1304.6199999999999</v>
      </c>
      <c r="F14079" t="s">
        <v>8</v>
      </c>
      <c r="G14079" t="s">
        <v>9</v>
      </c>
    </row>
    <row r="14080" spans="1:7" x14ac:dyDescent="0.35">
      <c r="A14080">
        <v>5598</v>
      </c>
      <c r="B14080" s="1">
        <v>45953</v>
      </c>
      <c r="C14080" t="s">
        <v>29</v>
      </c>
      <c r="D14080" s="2">
        <v>276.32</v>
      </c>
      <c r="E14080" s="2">
        <v>0</v>
      </c>
      <c r="F14080" t="s">
        <v>28</v>
      </c>
      <c r="G14080" t="s">
        <v>17</v>
      </c>
    </row>
    <row r="14081" spans="1:7" x14ac:dyDescent="0.35">
      <c r="A14081">
        <v>5598</v>
      </c>
      <c r="B14081" s="1">
        <v>45953</v>
      </c>
      <c r="C14081" t="s">
        <v>29</v>
      </c>
      <c r="D14081" s="2">
        <v>0</v>
      </c>
      <c r="E14081" s="2">
        <v>276.32</v>
      </c>
      <c r="F14081" t="s">
        <v>8</v>
      </c>
      <c r="G14081" t="s">
        <v>9</v>
      </c>
    </row>
    <row r="14082" spans="1:7" x14ac:dyDescent="0.35">
      <c r="A14082">
        <v>5599</v>
      </c>
      <c r="B14082" s="1">
        <v>45953</v>
      </c>
      <c r="C14082" t="s">
        <v>29</v>
      </c>
      <c r="D14082" s="2">
        <v>7227.44</v>
      </c>
      <c r="E14082" s="2">
        <v>0</v>
      </c>
      <c r="F14082" t="s">
        <v>28</v>
      </c>
      <c r="G14082" t="s">
        <v>17</v>
      </c>
    </row>
    <row r="14083" spans="1:7" x14ac:dyDescent="0.35">
      <c r="A14083">
        <v>5599</v>
      </c>
      <c r="B14083" s="1">
        <v>45953</v>
      </c>
      <c r="C14083" t="s">
        <v>29</v>
      </c>
      <c r="D14083" s="2">
        <v>0</v>
      </c>
      <c r="E14083" s="2">
        <v>7227.44</v>
      </c>
      <c r="F14083" t="s">
        <v>8</v>
      </c>
      <c r="G14083" t="s">
        <v>9</v>
      </c>
    </row>
    <row r="14084" spans="1:7" x14ac:dyDescent="0.35">
      <c r="A14084">
        <v>5600</v>
      </c>
      <c r="B14084" s="1">
        <v>45953</v>
      </c>
      <c r="C14084" t="s">
        <v>29</v>
      </c>
      <c r="D14084" s="2">
        <v>2635.36</v>
      </c>
      <c r="E14084" s="2">
        <v>0</v>
      </c>
      <c r="F14084" t="s">
        <v>28</v>
      </c>
      <c r="G14084" t="s">
        <v>17</v>
      </c>
    </row>
    <row r="14085" spans="1:7" x14ac:dyDescent="0.35">
      <c r="A14085">
        <v>5600</v>
      </c>
      <c r="B14085" s="1">
        <v>45953</v>
      </c>
      <c r="C14085" t="s">
        <v>29</v>
      </c>
      <c r="D14085" s="2">
        <v>0</v>
      </c>
      <c r="E14085" s="2">
        <v>2635.36</v>
      </c>
      <c r="F14085" t="s">
        <v>8</v>
      </c>
      <c r="G14085" t="s">
        <v>9</v>
      </c>
    </row>
    <row r="14086" spans="1:7" x14ac:dyDescent="0.35">
      <c r="A14086">
        <v>5601</v>
      </c>
      <c r="B14086" s="1">
        <v>45954</v>
      </c>
      <c r="C14086" t="s">
        <v>12</v>
      </c>
      <c r="D14086" s="2">
        <v>3260.74</v>
      </c>
      <c r="E14086" s="2">
        <v>0</v>
      </c>
      <c r="F14086" t="s">
        <v>13</v>
      </c>
      <c r="G14086" t="s">
        <v>9</v>
      </c>
    </row>
    <row r="14087" spans="1:7" x14ac:dyDescent="0.35">
      <c r="A14087">
        <v>5601</v>
      </c>
      <c r="B14087" s="1">
        <v>45954</v>
      </c>
      <c r="C14087" t="s">
        <v>12</v>
      </c>
      <c r="D14087" s="2">
        <v>0</v>
      </c>
      <c r="E14087" s="2">
        <v>3033.25</v>
      </c>
      <c r="F14087" t="s">
        <v>14</v>
      </c>
      <c r="G14087" t="s">
        <v>15</v>
      </c>
    </row>
    <row r="14088" spans="1:7" x14ac:dyDescent="0.35">
      <c r="A14088">
        <v>5601</v>
      </c>
      <c r="B14088" s="1">
        <v>45954</v>
      </c>
      <c r="C14088" t="s">
        <v>12</v>
      </c>
      <c r="D14088" s="2">
        <v>0</v>
      </c>
      <c r="E14088" s="2">
        <v>227.49</v>
      </c>
      <c r="F14088" t="s">
        <v>16</v>
      </c>
      <c r="G14088" t="s">
        <v>17</v>
      </c>
    </row>
    <row r="14089" spans="1:7" x14ac:dyDescent="0.35">
      <c r="A14089">
        <v>5602</v>
      </c>
      <c r="B14089" s="1">
        <v>45954</v>
      </c>
      <c r="C14089" t="s">
        <v>12</v>
      </c>
      <c r="D14089" s="2">
        <v>2428.02</v>
      </c>
      <c r="E14089" s="2">
        <v>0</v>
      </c>
      <c r="F14089" t="s">
        <v>13</v>
      </c>
      <c r="G14089" t="s">
        <v>9</v>
      </c>
    </row>
    <row r="14090" spans="1:7" x14ac:dyDescent="0.35">
      <c r="A14090">
        <v>5602</v>
      </c>
      <c r="B14090" s="1">
        <v>45954</v>
      </c>
      <c r="C14090" t="s">
        <v>12</v>
      </c>
      <c r="D14090" s="2">
        <v>0</v>
      </c>
      <c r="E14090" s="2">
        <v>2258.61</v>
      </c>
      <c r="F14090" t="s">
        <v>14</v>
      </c>
      <c r="G14090" t="s">
        <v>15</v>
      </c>
    </row>
    <row r="14091" spans="1:7" x14ac:dyDescent="0.35">
      <c r="A14091">
        <v>5602</v>
      </c>
      <c r="B14091" s="1">
        <v>45954</v>
      </c>
      <c r="C14091" t="s">
        <v>12</v>
      </c>
      <c r="D14091" s="2">
        <v>0</v>
      </c>
      <c r="E14091" s="2">
        <v>169.41</v>
      </c>
      <c r="F14091" t="s">
        <v>16</v>
      </c>
      <c r="G14091" t="s">
        <v>17</v>
      </c>
    </row>
    <row r="14092" spans="1:7" x14ac:dyDescent="0.35">
      <c r="A14092">
        <v>5603</v>
      </c>
      <c r="B14092" s="1">
        <v>45954</v>
      </c>
      <c r="C14092" t="s">
        <v>12</v>
      </c>
      <c r="D14092" s="2">
        <v>418.02</v>
      </c>
      <c r="E14092" s="2">
        <v>0</v>
      </c>
      <c r="F14092" t="s">
        <v>13</v>
      </c>
      <c r="G14092" t="s">
        <v>9</v>
      </c>
    </row>
    <row r="14093" spans="1:7" x14ac:dyDescent="0.35">
      <c r="A14093">
        <v>5603</v>
      </c>
      <c r="B14093" s="1">
        <v>45954</v>
      </c>
      <c r="C14093" t="s">
        <v>12</v>
      </c>
      <c r="D14093" s="2">
        <v>0</v>
      </c>
      <c r="E14093" s="2">
        <v>388.86</v>
      </c>
      <c r="F14093" t="s">
        <v>14</v>
      </c>
      <c r="G14093" t="s">
        <v>15</v>
      </c>
    </row>
    <row r="14094" spans="1:7" x14ac:dyDescent="0.35">
      <c r="A14094">
        <v>5603</v>
      </c>
      <c r="B14094" s="1">
        <v>45954</v>
      </c>
      <c r="C14094" t="s">
        <v>12</v>
      </c>
      <c r="D14094" s="2">
        <v>0</v>
      </c>
      <c r="E14094" s="2">
        <v>29.16</v>
      </c>
      <c r="F14094" t="s">
        <v>16</v>
      </c>
      <c r="G14094" t="s">
        <v>17</v>
      </c>
    </row>
    <row r="14095" spans="1:7" x14ac:dyDescent="0.35">
      <c r="A14095">
        <v>5604</v>
      </c>
      <c r="B14095" s="1">
        <v>45954</v>
      </c>
      <c r="C14095" t="s">
        <v>24</v>
      </c>
      <c r="D14095" s="2">
        <v>149.22999999999999</v>
      </c>
      <c r="E14095" s="2">
        <v>0</v>
      </c>
      <c r="F14095" t="s">
        <v>8</v>
      </c>
      <c r="G14095" t="s">
        <v>9</v>
      </c>
    </row>
    <row r="14096" spans="1:7" x14ac:dyDescent="0.35">
      <c r="A14096">
        <v>5604</v>
      </c>
      <c r="B14096" s="1">
        <v>45954</v>
      </c>
      <c r="C14096" t="s">
        <v>24</v>
      </c>
      <c r="D14096" s="2">
        <v>0</v>
      </c>
      <c r="E14096" s="2">
        <v>149.22999999999999</v>
      </c>
      <c r="F14096" t="s">
        <v>13</v>
      </c>
      <c r="G14096" t="s">
        <v>9</v>
      </c>
    </row>
    <row r="14097" spans="1:7" x14ac:dyDescent="0.35">
      <c r="A14097">
        <v>5605</v>
      </c>
      <c r="B14097" s="1">
        <v>45954</v>
      </c>
      <c r="C14097" t="s">
        <v>24</v>
      </c>
      <c r="D14097" s="2">
        <v>1087.8800000000001</v>
      </c>
      <c r="E14097" s="2">
        <v>0</v>
      </c>
      <c r="F14097" t="s">
        <v>8</v>
      </c>
      <c r="G14097" t="s">
        <v>9</v>
      </c>
    </row>
    <row r="14098" spans="1:7" x14ac:dyDescent="0.35">
      <c r="A14098">
        <v>5605</v>
      </c>
      <c r="B14098" s="1">
        <v>45954</v>
      </c>
      <c r="C14098" t="s">
        <v>24</v>
      </c>
      <c r="D14098" s="2">
        <v>0</v>
      </c>
      <c r="E14098" s="2">
        <v>1087.8800000000001</v>
      </c>
      <c r="F14098" t="s">
        <v>13</v>
      </c>
      <c r="G14098" t="s">
        <v>9</v>
      </c>
    </row>
    <row r="14099" spans="1:7" x14ac:dyDescent="0.35">
      <c r="A14099">
        <v>5606</v>
      </c>
      <c r="B14099" s="1">
        <v>45954</v>
      </c>
      <c r="C14099" t="s">
        <v>24</v>
      </c>
      <c r="D14099" s="2">
        <v>793.72</v>
      </c>
      <c r="E14099" s="2">
        <v>0</v>
      </c>
      <c r="F14099" t="s">
        <v>8</v>
      </c>
      <c r="G14099" t="s">
        <v>9</v>
      </c>
    </row>
    <row r="14100" spans="1:7" x14ac:dyDescent="0.35">
      <c r="A14100">
        <v>5606</v>
      </c>
      <c r="B14100" s="1">
        <v>45954</v>
      </c>
      <c r="C14100" t="s">
        <v>24</v>
      </c>
      <c r="D14100" s="2">
        <v>0</v>
      </c>
      <c r="E14100" s="2">
        <v>793.72</v>
      </c>
      <c r="F14100" t="s">
        <v>13</v>
      </c>
      <c r="G14100" t="s">
        <v>9</v>
      </c>
    </row>
    <row r="14101" spans="1:7" x14ac:dyDescent="0.35">
      <c r="A14101">
        <v>5607</v>
      </c>
      <c r="B14101" s="1">
        <v>45954</v>
      </c>
      <c r="C14101" t="s">
        <v>25</v>
      </c>
      <c r="D14101" s="2">
        <v>2714.58</v>
      </c>
      <c r="E14101" s="2">
        <v>0</v>
      </c>
      <c r="F14101" t="s">
        <v>26</v>
      </c>
      <c r="G14101" t="s">
        <v>20</v>
      </c>
    </row>
    <row r="14102" spans="1:7" x14ac:dyDescent="0.35">
      <c r="A14102">
        <v>5607</v>
      </c>
      <c r="B14102" s="1">
        <v>45954</v>
      </c>
      <c r="C14102" t="s">
        <v>25</v>
      </c>
      <c r="D14102" s="2">
        <v>203.59</v>
      </c>
      <c r="E14102" s="2">
        <v>0</v>
      </c>
      <c r="F14102" t="s">
        <v>27</v>
      </c>
      <c r="G14102" t="s">
        <v>9</v>
      </c>
    </row>
    <row r="14103" spans="1:7" x14ac:dyDescent="0.35">
      <c r="A14103">
        <v>5607</v>
      </c>
      <c r="B14103" s="1">
        <v>45954</v>
      </c>
      <c r="C14103" t="s">
        <v>25</v>
      </c>
      <c r="D14103" s="2">
        <v>0</v>
      </c>
      <c r="E14103" s="2">
        <v>2918.17</v>
      </c>
      <c r="F14103" t="s">
        <v>28</v>
      </c>
      <c r="G14103" t="s">
        <v>17</v>
      </c>
    </row>
    <row r="14104" spans="1:7" x14ac:dyDescent="0.35">
      <c r="A14104">
        <v>5608</v>
      </c>
      <c r="B14104" s="1">
        <v>45954</v>
      </c>
      <c r="C14104" t="s">
        <v>25</v>
      </c>
      <c r="D14104" s="2">
        <v>1800.04</v>
      </c>
      <c r="E14104" s="2">
        <v>0</v>
      </c>
      <c r="F14104" t="s">
        <v>26</v>
      </c>
      <c r="G14104" t="s">
        <v>20</v>
      </c>
    </row>
    <row r="14105" spans="1:7" x14ac:dyDescent="0.35">
      <c r="A14105">
        <v>5608</v>
      </c>
      <c r="B14105" s="1">
        <v>45954</v>
      </c>
      <c r="C14105" t="s">
        <v>25</v>
      </c>
      <c r="D14105" s="2">
        <v>135</v>
      </c>
      <c r="E14105" s="2">
        <v>0</v>
      </c>
      <c r="F14105" t="s">
        <v>27</v>
      </c>
      <c r="G14105" t="s">
        <v>9</v>
      </c>
    </row>
    <row r="14106" spans="1:7" x14ac:dyDescent="0.35">
      <c r="A14106">
        <v>5608</v>
      </c>
      <c r="B14106" s="1">
        <v>45954</v>
      </c>
      <c r="C14106" t="s">
        <v>25</v>
      </c>
      <c r="D14106" s="2">
        <v>0</v>
      </c>
      <c r="E14106" s="2">
        <v>1935.04</v>
      </c>
      <c r="F14106" t="s">
        <v>28</v>
      </c>
      <c r="G14106" t="s">
        <v>17</v>
      </c>
    </row>
    <row r="14107" spans="1:7" x14ac:dyDescent="0.35">
      <c r="A14107">
        <v>5609</v>
      </c>
      <c r="B14107" s="1">
        <v>45954</v>
      </c>
      <c r="C14107" t="s">
        <v>25</v>
      </c>
      <c r="D14107" s="2">
        <v>1480.5</v>
      </c>
      <c r="E14107" s="2">
        <v>0</v>
      </c>
      <c r="F14107" t="s">
        <v>26</v>
      </c>
      <c r="G14107" t="s">
        <v>20</v>
      </c>
    </row>
    <row r="14108" spans="1:7" x14ac:dyDescent="0.35">
      <c r="A14108">
        <v>5609</v>
      </c>
      <c r="B14108" s="1">
        <v>45954</v>
      </c>
      <c r="C14108" t="s">
        <v>25</v>
      </c>
      <c r="D14108" s="2">
        <v>111.04</v>
      </c>
      <c r="E14108" s="2">
        <v>0</v>
      </c>
      <c r="F14108" t="s">
        <v>27</v>
      </c>
      <c r="G14108" t="s">
        <v>9</v>
      </c>
    </row>
    <row r="14109" spans="1:7" x14ac:dyDescent="0.35">
      <c r="A14109">
        <v>5609</v>
      </c>
      <c r="B14109" s="1">
        <v>45954</v>
      </c>
      <c r="C14109" t="s">
        <v>25</v>
      </c>
      <c r="D14109" s="2">
        <v>0</v>
      </c>
      <c r="E14109" s="2">
        <v>1591.54</v>
      </c>
      <c r="F14109" t="s">
        <v>28</v>
      </c>
      <c r="G14109" t="s">
        <v>17</v>
      </c>
    </row>
    <row r="14110" spans="1:7" x14ac:dyDescent="0.35">
      <c r="A14110">
        <v>5610</v>
      </c>
      <c r="B14110" s="1">
        <v>45954</v>
      </c>
      <c r="C14110" t="s">
        <v>25</v>
      </c>
      <c r="D14110" s="2">
        <v>3282.76</v>
      </c>
      <c r="E14110" s="2">
        <v>0</v>
      </c>
      <c r="F14110" t="s">
        <v>26</v>
      </c>
      <c r="G14110" t="s">
        <v>20</v>
      </c>
    </row>
    <row r="14111" spans="1:7" x14ac:dyDescent="0.35">
      <c r="A14111">
        <v>5610</v>
      </c>
      <c r="B14111" s="1">
        <v>45954</v>
      </c>
      <c r="C14111" t="s">
        <v>25</v>
      </c>
      <c r="D14111" s="2">
        <v>246.21</v>
      </c>
      <c r="E14111" s="2">
        <v>0</v>
      </c>
      <c r="F14111" t="s">
        <v>27</v>
      </c>
      <c r="G14111" t="s">
        <v>9</v>
      </c>
    </row>
    <row r="14112" spans="1:7" x14ac:dyDescent="0.35">
      <c r="A14112">
        <v>5610</v>
      </c>
      <c r="B14112" s="1">
        <v>45954</v>
      </c>
      <c r="C14112" t="s">
        <v>25</v>
      </c>
      <c r="D14112" s="2">
        <v>0</v>
      </c>
      <c r="E14112" s="2">
        <v>3528.97</v>
      </c>
      <c r="F14112" t="s">
        <v>28</v>
      </c>
      <c r="G14112" t="s">
        <v>17</v>
      </c>
    </row>
    <row r="14113" spans="1:7" x14ac:dyDescent="0.35">
      <c r="A14113">
        <v>5611</v>
      </c>
      <c r="B14113" s="1">
        <v>45954</v>
      </c>
      <c r="C14113" t="s">
        <v>25</v>
      </c>
      <c r="D14113" s="2">
        <v>166.52</v>
      </c>
      <c r="E14113" s="2">
        <v>0</v>
      </c>
      <c r="F14113" t="s">
        <v>26</v>
      </c>
      <c r="G14113" t="s">
        <v>20</v>
      </c>
    </row>
    <row r="14114" spans="1:7" x14ac:dyDescent="0.35">
      <c r="A14114">
        <v>5611</v>
      </c>
      <c r="B14114" s="1">
        <v>45954</v>
      </c>
      <c r="C14114" t="s">
        <v>25</v>
      </c>
      <c r="D14114" s="2">
        <v>12.49</v>
      </c>
      <c r="E14114" s="2">
        <v>0</v>
      </c>
      <c r="F14114" t="s">
        <v>27</v>
      </c>
      <c r="G14114" t="s">
        <v>9</v>
      </c>
    </row>
    <row r="14115" spans="1:7" x14ac:dyDescent="0.35">
      <c r="A14115">
        <v>5611</v>
      </c>
      <c r="B14115" s="1">
        <v>45954</v>
      </c>
      <c r="C14115" t="s">
        <v>25</v>
      </c>
      <c r="D14115" s="2">
        <v>0</v>
      </c>
      <c r="E14115" s="2">
        <v>179.01</v>
      </c>
      <c r="F14115" t="s">
        <v>28</v>
      </c>
      <c r="G14115" t="s">
        <v>17</v>
      </c>
    </row>
    <row r="14116" spans="1:7" x14ac:dyDescent="0.35">
      <c r="A14116">
        <v>5612</v>
      </c>
      <c r="B14116" s="1">
        <v>45954</v>
      </c>
      <c r="C14116" t="s">
        <v>29</v>
      </c>
      <c r="D14116" s="2">
        <v>3868.8</v>
      </c>
      <c r="E14116" s="2">
        <v>0</v>
      </c>
      <c r="F14116" t="s">
        <v>28</v>
      </c>
      <c r="G14116" t="s">
        <v>17</v>
      </c>
    </row>
    <row r="14117" spans="1:7" x14ac:dyDescent="0.35">
      <c r="A14117">
        <v>5612</v>
      </c>
      <c r="B14117" s="1">
        <v>45954</v>
      </c>
      <c r="C14117" t="s">
        <v>29</v>
      </c>
      <c r="D14117" s="2">
        <v>0</v>
      </c>
      <c r="E14117" s="2">
        <v>3868.8</v>
      </c>
      <c r="F14117" t="s">
        <v>8</v>
      </c>
      <c r="G14117" t="s">
        <v>9</v>
      </c>
    </row>
    <row r="14118" spans="1:7" x14ac:dyDescent="0.35">
      <c r="A14118">
        <v>5613</v>
      </c>
      <c r="B14118" s="1">
        <v>45954</v>
      </c>
      <c r="C14118" t="s">
        <v>29</v>
      </c>
      <c r="D14118" s="2">
        <v>7227.44</v>
      </c>
      <c r="E14118" s="2">
        <v>0</v>
      </c>
      <c r="F14118" t="s">
        <v>28</v>
      </c>
      <c r="G14118" t="s">
        <v>17</v>
      </c>
    </row>
    <row r="14119" spans="1:7" x14ac:dyDescent="0.35">
      <c r="A14119">
        <v>5613</v>
      </c>
      <c r="B14119" s="1">
        <v>45954</v>
      </c>
      <c r="C14119" t="s">
        <v>29</v>
      </c>
      <c r="D14119" s="2">
        <v>0</v>
      </c>
      <c r="E14119" s="2">
        <v>7227.44</v>
      </c>
      <c r="F14119" t="s">
        <v>8</v>
      </c>
      <c r="G14119" t="s">
        <v>9</v>
      </c>
    </row>
    <row r="14120" spans="1:7" x14ac:dyDescent="0.35">
      <c r="A14120">
        <v>5614</v>
      </c>
      <c r="B14120" s="1">
        <v>45954</v>
      </c>
      <c r="C14120" t="s">
        <v>29</v>
      </c>
      <c r="D14120" s="2">
        <v>2182.41</v>
      </c>
      <c r="E14120" s="2">
        <v>0</v>
      </c>
      <c r="F14120" t="s">
        <v>28</v>
      </c>
      <c r="G14120" t="s">
        <v>17</v>
      </c>
    </row>
    <row r="14121" spans="1:7" x14ac:dyDescent="0.35">
      <c r="A14121">
        <v>5614</v>
      </c>
      <c r="B14121" s="1">
        <v>45954</v>
      </c>
      <c r="C14121" t="s">
        <v>29</v>
      </c>
      <c r="D14121" s="2">
        <v>0</v>
      </c>
      <c r="E14121" s="2">
        <v>2182.41</v>
      </c>
      <c r="F14121" t="s">
        <v>8</v>
      </c>
      <c r="G14121" t="s">
        <v>9</v>
      </c>
    </row>
    <row r="14122" spans="1:7" x14ac:dyDescent="0.35">
      <c r="A14122">
        <v>5615</v>
      </c>
      <c r="B14122" s="1">
        <v>45954</v>
      </c>
      <c r="C14122" t="s">
        <v>29</v>
      </c>
      <c r="D14122" s="2">
        <v>2918.17</v>
      </c>
      <c r="E14122" s="2">
        <v>0</v>
      </c>
      <c r="F14122" t="s">
        <v>28</v>
      </c>
      <c r="G14122" t="s">
        <v>17</v>
      </c>
    </row>
    <row r="14123" spans="1:7" x14ac:dyDescent="0.35">
      <c r="A14123">
        <v>5615</v>
      </c>
      <c r="B14123" s="1">
        <v>45954</v>
      </c>
      <c r="C14123" t="s">
        <v>29</v>
      </c>
      <c r="D14123" s="2">
        <v>0</v>
      </c>
      <c r="E14123" s="2">
        <v>2918.17</v>
      </c>
      <c r="F14123" t="s">
        <v>8</v>
      </c>
      <c r="G14123" t="s">
        <v>9</v>
      </c>
    </row>
    <row r="14124" spans="1:7" x14ac:dyDescent="0.35">
      <c r="A14124">
        <v>5616</v>
      </c>
      <c r="B14124" s="1">
        <v>45954</v>
      </c>
      <c r="C14124" t="s">
        <v>29</v>
      </c>
      <c r="D14124" s="2">
        <v>179.01</v>
      </c>
      <c r="E14124" s="2">
        <v>0</v>
      </c>
      <c r="F14124" t="s">
        <v>28</v>
      </c>
      <c r="G14124" t="s">
        <v>17</v>
      </c>
    </row>
    <row r="14125" spans="1:7" x14ac:dyDescent="0.35">
      <c r="A14125">
        <v>5616</v>
      </c>
      <c r="B14125" s="1">
        <v>45954</v>
      </c>
      <c r="C14125" t="s">
        <v>29</v>
      </c>
      <c r="D14125" s="2">
        <v>0</v>
      </c>
      <c r="E14125" s="2">
        <v>179.01</v>
      </c>
      <c r="F14125" t="s">
        <v>8</v>
      </c>
      <c r="G14125" t="s">
        <v>9</v>
      </c>
    </row>
    <row r="14126" spans="1:7" x14ac:dyDescent="0.35">
      <c r="A14126">
        <v>5617</v>
      </c>
      <c r="B14126" s="1">
        <v>45957</v>
      </c>
      <c r="C14126" t="s">
        <v>12</v>
      </c>
      <c r="D14126" s="2">
        <v>108.02</v>
      </c>
      <c r="E14126" s="2">
        <v>0</v>
      </c>
      <c r="F14126" t="s">
        <v>13</v>
      </c>
      <c r="G14126" t="s">
        <v>9</v>
      </c>
    </row>
    <row r="14127" spans="1:7" x14ac:dyDescent="0.35">
      <c r="A14127">
        <v>5617</v>
      </c>
      <c r="B14127" s="1">
        <v>45957</v>
      </c>
      <c r="C14127" t="s">
        <v>12</v>
      </c>
      <c r="D14127" s="2">
        <v>0</v>
      </c>
      <c r="E14127" s="2">
        <v>100.48</v>
      </c>
      <c r="F14127" t="s">
        <v>14</v>
      </c>
      <c r="G14127" t="s">
        <v>15</v>
      </c>
    </row>
    <row r="14128" spans="1:7" x14ac:dyDescent="0.35">
      <c r="A14128">
        <v>5617</v>
      </c>
      <c r="B14128" s="1">
        <v>45957</v>
      </c>
      <c r="C14128" t="s">
        <v>12</v>
      </c>
      <c r="D14128" s="2">
        <v>0</v>
      </c>
      <c r="E14128" s="2">
        <v>7.54</v>
      </c>
      <c r="F14128" t="s">
        <v>16</v>
      </c>
      <c r="G14128" t="s">
        <v>17</v>
      </c>
    </row>
    <row r="14129" spans="1:7" x14ac:dyDescent="0.35">
      <c r="A14129">
        <v>5618</v>
      </c>
      <c r="B14129" s="1">
        <v>45957</v>
      </c>
      <c r="C14129" t="s">
        <v>12</v>
      </c>
      <c r="D14129" s="2">
        <v>1149.56</v>
      </c>
      <c r="E14129" s="2">
        <v>0</v>
      </c>
      <c r="F14129" t="s">
        <v>13</v>
      </c>
      <c r="G14129" t="s">
        <v>9</v>
      </c>
    </row>
    <row r="14130" spans="1:7" x14ac:dyDescent="0.35">
      <c r="A14130">
        <v>5618</v>
      </c>
      <c r="B14130" s="1">
        <v>45957</v>
      </c>
      <c r="C14130" t="s">
        <v>12</v>
      </c>
      <c r="D14130" s="2">
        <v>0</v>
      </c>
      <c r="E14130" s="2">
        <v>1069.3499999999999</v>
      </c>
      <c r="F14130" t="s">
        <v>14</v>
      </c>
      <c r="G14130" t="s">
        <v>15</v>
      </c>
    </row>
    <row r="14131" spans="1:7" x14ac:dyDescent="0.35">
      <c r="A14131">
        <v>5618</v>
      </c>
      <c r="B14131" s="1">
        <v>45957</v>
      </c>
      <c r="C14131" t="s">
        <v>12</v>
      </c>
      <c r="D14131" s="2">
        <v>0</v>
      </c>
      <c r="E14131" s="2">
        <v>80.209999999999994</v>
      </c>
      <c r="F14131" t="s">
        <v>16</v>
      </c>
      <c r="G14131" t="s">
        <v>17</v>
      </c>
    </row>
    <row r="14132" spans="1:7" x14ac:dyDescent="0.35">
      <c r="A14132">
        <v>5619</v>
      </c>
      <c r="B14132" s="1">
        <v>45957</v>
      </c>
      <c r="C14132" t="s">
        <v>12</v>
      </c>
      <c r="D14132" s="2">
        <v>2366.0100000000002</v>
      </c>
      <c r="E14132" s="2">
        <v>0</v>
      </c>
      <c r="F14132" t="s">
        <v>13</v>
      </c>
      <c r="G14132" t="s">
        <v>9</v>
      </c>
    </row>
    <row r="14133" spans="1:7" x14ac:dyDescent="0.35">
      <c r="A14133">
        <v>5619</v>
      </c>
      <c r="B14133" s="1">
        <v>45957</v>
      </c>
      <c r="C14133" t="s">
        <v>12</v>
      </c>
      <c r="D14133" s="2">
        <v>0</v>
      </c>
      <c r="E14133" s="2">
        <v>2200.94</v>
      </c>
      <c r="F14133" t="s">
        <v>14</v>
      </c>
      <c r="G14133" t="s">
        <v>15</v>
      </c>
    </row>
    <row r="14134" spans="1:7" x14ac:dyDescent="0.35">
      <c r="A14134">
        <v>5619</v>
      </c>
      <c r="B14134" s="1">
        <v>45957</v>
      </c>
      <c r="C14134" t="s">
        <v>12</v>
      </c>
      <c r="D14134" s="2">
        <v>0</v>
      </c>
      <c r="E14134" s="2">
        <v>165.07</v>
      </c>
      <c r="F14134" t="s">
        <v>16</v>
      </c>
      <c r="G14134" t="s">
        <v>17</v>
      </c>
    </row>
    <row r="14135" spans="1:7" x14ac:dyDescent="0.35">
      <c r="A14135">
        <v>5620</v>
      </c>
      <c r="B14135" s="1">
        <v>45957</v>
      </c>
      <c r="C14135" t="s">
        <v>12</v>
      </c>
      <c r="D14135" s="2">
        <v>205.92</v>
      </c>
      <c r="E14135" s="2">
        <v>0</v>
      </c>
      <c r="F14135" t="s">
        <v>13</v>
      </c>
      <c r="G14135" t="s">
        <v>9</v>
      </c>
    </row>
    <row r="14136" spans="1:7" x14ac:dyDescent="0.35">
      <c r="A14136">
        <v>5620</v>
      </c>
      <c r="B14136" s="1">
        <v>45957</v>
      </c>
      <c r="C14136" t="s">
        <v>12</v>
      </c>
      <c r="D14136" s="2">
        <v>0</v>
      </c>
      <c r="E14136" s="2">
        <v>191.55</v>
      </c>
      <c r="F14136" t="s">
        <v>14</v>
      </c>
      <c r="G14136" t="s">
        <v>15</v>
      </c>
    </row>
    <row r="14137" spans="1:7" x14ac:dyDescent="0.35">
      <c r="A14137">
        <v>5620</v>
      </c>
      <c r="B14137" s="1">
        <v>45957</v>
      </c>
      <c r="C14137" t="s">
        <v>12</v>
      </c>
      <c r="D14137" s="2">
        <v>0</v>
      </c>
      <c r="E14137" s="2">
        <v>14.37</v>
      </c>
      <c r="F14137" t="s">
        <v>16</v>
      </c>
      <c r="G14137" t="s">
        <v>17</v>
      </c>
    </row>
    <row r="14138" spans="1:7" x14ac:dyDescent="0.35">
      <c r="A14138">
        <v>5621</v>
      </c>
      <c r="B14138" s="1">
        <v>45957</v>
      </c>
      <c r="C14138" t="s">
        <v>12</v>
      </c>
      <c r="D14138" s="2">
        <v>4551.66</v>
      </c>
      <c r="E14138" s="2">
        <v>0</v>
      </c>
      <c r="F14138" t="s">
        <v>13</v>
      </c>
      <c r="G14138" t="s">
        <v>9</v>
      </c>
    </row>
    <row r="14139" spans="1:7" x14ac:dyDescent="0.35">
      <c r="A14139">
        <v>5621</v>
      </c>
      <c r="B14139" s="1">
        <v>45957</v>
      </c>
      <c r="C14139" t="s">
        <v>12</v>
      </c>
      <c r="D14139" s="2">
        <v>0</v>
      </c>
      <c r="E14139" s="2">
        <v>4234.1000000000004</v>
      </c>
      <c r="F14139" t="s">
        <v>14</v>
      </c>
      <c r="G14139" t="s">
        <v>15</v>
      </c>
    </row>
    <row r="14140" spans="1:7" x14ac:dyDescent="0.35">
      <c r="A14140">
        <v>5621</v>
      </c>
      <c r="B14140" s="1">
        <v>45957</v>
      </c>
      <c r="C14140" t="s">
        <v>12</v>
      </c>
      <c r="D14140" s="2">
        <v>0</v>
      </c>
      <c r="E14140" s="2">
        <v>317.56</v>
      </c>
      <c r="F14140" t="s">
        <v>16</v>
      </c>
      <c r="G14140" t="s">
        <v>17</v>
      </c>
    </row>
    <row r="14141" spans="1:7" x14ac:dyDescent="0.35">
      <c r="A14141">
        <v>5622</v>
      </c>
      <c r="B14141" s="1">
        <v>45957</v>
      </c>
      <c r="C14141" t="s">
        <v>12</v>
      </c>
      <c r="D14141" s="2">
        <v>5118.09</v>
      </c>
      <c r="E14141" s="2">
        <v>0</v>
      </c>
      <c r="F14141" t="s">
        <v>13</v>
      </c>
      <c r="G14141" t="s">
        <v>9</v>
      </c>
    </row>
    <row r="14142" spans="1:7" x14ac:dyDescent="0.35">
      <c r="A14142">
        <v>5622</v>
      </c>
      <c r="B14142" s="1">
        <v>45957</v>
      </c>
      <c r="C14142" t="s">
        <v>12</v>
      </c>
      <c r="D14142" s="2">
        <v>0</v>
      </c>
      <c r="E14142" s="2">
        <v>4761.01</v>
      </c>
      <c r="F14142" t="s">
        <v>14</v>
      </c>
      <c r="G14142" t="s">
        <v>15</v>
      </c>
    </row>
    <row r="14143" spans="1:7" x14ac:dyDescent="0.35">
      <c r="A14143">
        <v>5622</v>
      </c>
      <c r="B14143" s="1">
        <v>45957</v>
      </c>
      <c r="C14143" t="s">
        <v>12</v>
      </c>
      <c r="D14143" s="2">
        <v>0</v>
      </c>
      <c r="E14143" s="2">
        <v>357.08</v>
      </c>
      <c r="F14143" t="s">
        <v>16</v>
      </c>
      <c r="G14143" t="s">
        <v>17</v>
      </c>
    </row>
    <row r="14144" spans="1:7" x14ac:dyDescent="0.35">
      <c r="A14144">
        <v>5623</v>
      </c>
      <c r="B14144" s="1">
        <v>45957</v>
      </c>
      <c r="C14144" t="s">
        <v>24</v>
      </c>
      <c r="D14144" s="2">
        <v>5857.01</v>
      </c>
      <c r="E14144" s="2">
        <v>0</v>
      </c>
      <c r="F14144" t="s">
        <v>8</v>
      </c>
      <c r="G14144" t="s">
        <v>9</v>
      </c>
    </row>
    <row r="14145" spans="1:7" x14ac:dyDescent="0.35">
      <c r="A14145">
        <v>5623</v>
      </c>
      <c r="B14145" s="1">
        <v>45957</v>
      </c>
      <c r="C14145" t="s">
        <v>24</v>
      </c>
      <c r="D14145" s="2">
        <v>0</v>
      </c>
      <c r="E14145" s="2">
        <v>5857.01</v>
      </c>
      <c r="F14145" t="s">
        <v>13</v>
      </c>
      <c r="G14145" t="s">
        <v>9</v>
      </c>
    </row>
    <row r="14146" spans="1:7" x14ac:dyDescent="0.35">
      <c r="A14146">
        <v>5624</v>
      </c>
      <c r="B14146" s="1">
        <v>45957</v>
      </c>
      <c r="C14146" t="s">
        <v>24</v>
      </c>
      <c r="D14146" s="2">
        <v>1014.12</v>
      </c>
      <c r="E14146" s="2">
        <v>0</v>
      </c>
      <c r="F14146" t="s">
        <v>8</v>
      </c>
      <c r="G14146" t="s">
        <v>9</v>
      </c>
    </row>
    <row r="14147" spans="1:7" x14ac:dyDescent="0.35">
      <c r="A14147">
        <v>5624</v>
      </c>
      <c r="B14147" s="1">
        <v>45957</v>
      </c>
      <c r="C14147" t="s">
        <v>24</v>
      </c>
      <c r="D14147" s="2">
        <v>0</v>
      </c>
      <c r="E14147" s="2">
        <v>1014.12</v>
      </c>
      <c r="F14147" t="s">
        <v>13</v>
      </c>
      <c r="G14147" t="s">
        <v>9</v>
      </c>
    </row>
    <row r="14148" spans="1:7" x14ac:dyDescent="0.35">
      <c r="A14148">
        <v>5625</v>
      </c>
      <c r="B14148" s="1">
        <v>45957</v>
      </c>
      <c r="C14148" t="s">
        <v>24</v>
      </c>
      <c r="D14148" s="2">
        <v>3388.91</v>
      </c>
      <c r="E14148" s="2">
        <v>0</v>
      </c>
      <c r="F14148" t="s">
        <v>8</v>
      </c>
      <c r="G14148" t="s">
        <v>9</v>
      </c>
    </row>
    <row r="14149" spans="1:7" x14ac:dyDescent="0.35">
      <c r="A14149">
        <v>5625</v>
      </c>
      <c r="B14149" s="1">
        <v>45957</v>
      </c>
      <c r="C14149" t="s">
        <v>24</v>
      </c>
      <c r="D14149" s="2">
        <v>0</v>
      </c>
      <c r="E14149" s="2">
        <v>3388.91</v>
      </c>
      <c r="F14149" t="s">
        <v>13</v>
      </c>
      <c r="G14149" t="s">
        <v>9</v>
      </c>
    </row>
    <row r="14150" spans="1:7" x14ac:dyDescent="0.35">
      <c r="A14150">
        <v>5626</v>
      </c>
      <c r="B14150" s="1">
        <v>45957</v>
      </c>
      <c r="C14150" t="s">
        <v>24</v>
      </c>
      <c r="D14150" s="2">
        <v>3907.56</v>
      </c>
      <c r="E14150" s="2">
        <v>0</v>
      </c>
      <c r="F14150" t="s">
        <v>8</v>
      </c>
      <c r="G14150" t="s">
        <v>9</v>
      </c>
    </row>
    <row r="14151" spans="1:7" x14ac:dyDescent="0.35">
      <c r="A14151">
        <v>5626</v>
      </c>
      <c r="B14151" s="1">
        <v>45957</v>
      </c>
      <c r="C14151" t="s">
        <v>24</v>
      </c>
      <c r="D14151" s="2">
        <v>0</v>
      </c>
      <c r="E14151" s="2">
        <v>3907.56</v>
      </c>
      <c r="F14151" t="s">
        <v>13</v>
      </c>
      <c r="G14151" t="s">
        <v>9</v>
      </c>
    </row>
    <row r="14152" spans="1:7" x14ac:dyDescent="0.35">
      <c r="A14152">
        <v>5627</v>
      </c>
      <c r="B14152" s="1">
        <v>45957</v>
      </c>
      <c r="C14152" t="s">
        <v>24</v>
      </c>
      <c r="D14152" s="2">
        <v>5553.75</v>
      </c>
      <c r="E14152" s="2">
        <v>0</v>
      </c>
      <c r="F14152" t="s">
        <v>8</v>
      </c>
      <c r="G14152" t="s">
        <v>9</v>
      </c>
    </row>
    <row r="14153" spans="1:7" x14ac:dyDescent="0.35">
      <c r="A14153">
        <v>5627</v>
      </c>
      <c r="B14153" s="1">
        <v>45957</v>
      </c>
      <c r="C14153" t="s">
        <v>24</v>
      </c>
      <c r="D14153" s="2">
        <v>0</v>
      </c>
      <c r="E14153" s="2">
        <v>5553.75</v>
      </c>
      <c r="F14153" t="s">
        <v>13</v>
      </c>
      <c r="G14153" t="s">
        <v>9</v>
      </c>
    </row>
    <row r="14154" spans="1:7" x14ac:dyDescent="0.35">
      <c r="A14154">
        <v>5628</v>
      </c>
      <c r="B14154" s="1">
        <v>45957</v>
      </c>
      <c r="C14154" t="s">
        <v>24</v>
      </c>
      <c r="D14154" s="2">
        <v>914.31</v>
      </c>
      <c r="E14154" s="2">
        <v>0</v>
      </c>
      <c r="F14154" t="s">
        <v>8</v>
      </c>
      <c r="G14154" t="s">
        <v>9</v>
      </c>
    </row>
    <row r="14155" spans="1:7" x14ac:dyDescent="0.35">
      <c r="A14155">
        <v>5628</v>
      </c>
      <c r="B14155" s="1">
        <v>45957</v>
      </c>
      <c r="C14155" t="s">
        <v>24</v>
      </c>
      <c r="D14155" s="2">
        <v>0</v>
      </c>
      <c r="E14155" s="2">
        <v>914.31</v>
      </c>
      <c r="F14155" t="s">
        <v>13</v>
      </c>
      <c r="G14155" t="s">
        <v>9</v>
      </c>
    </row>
    <row r="14156" spans="1:7" x14ac:dyDescent="0.35">
      <c r="A14156">
        <v>5629</v>
      </c>
      <c r="B14156" s="1">
        <v>45957</v>
      </c>
      <c r="C14156" t="s">
        <v>25</v>
      </c>
      <c r="D14156" s="2">
        <v>2329.52</v>
      </c>
      <c r="E14156" s="2">
        <v>0</v>
      </c>
      <c r="F14156" t="s">
        <v>26</v>
      </c>
      <c r="G14156" t="s">
        <v>20</v>
      </c>
    </row>
    <row r="14157" spans="1:7" x14ac:dyDescent="0.35">
      <c r="A14157">
        <v>5629</v>
      </c>
      <c r="B14157" s="1">
        <v>45957</v>
      </c>
      <c r="C14157" t="s">
        <v>25</v>
      </c>
      <c r="D14157" s="2">
        <v>174.71</v>
      </c>
      <c r="E14157" s="2">
        <v>0</v>
      </c>
      <c r="F14157" t="s">
        <v>27</v>
      </c>
      <c r="G14157" t="s">
        <v>9</v>
      </c>
    </row>
    <row r="14158" spans="1:7" x14ac:dyDescent="0.35">
      <c r="A14158">
        <v>5629</v>
      </c>
      <c r="B14158" s="1">
        <v>45957</v>
      </c>
      <c r="C14158" t="s">
        <v>25</v>
      </c>
      <c r="D14158" s="2">
        <v>0</v>
      </c>
      <c r="E14158" s="2">
        <v>2504.23</v>
      </c>
      <c r="F14158" t="s">
        <v>28</v>
      </c>
      <c r="G14158" t="s">
        <v>17</v>
      </c>
    </row>
    <row r="14159" spans="1:7" x14ac:dyDescent="0.35">
      <c r="A14159">
        <v>5630</v>
      </c>
      <c r="B14159" s="1">
        <v>45957</v>
      </c>
      <c r="C14159" t="s">
        <v>25</v>
      </c>
      <c r="D14159" s="2">
        <v>512</v>
      </c>
      <c r="E14159" s="2">
        <v>0</v>
      </c>
      <c r="F14159" t="s">
        <v>26</v>
      </c>
      <c r="G14159" t="s">
        <v>20</v>
      </c>
    </row>
    <row r="14160" spans="1:7" x14ac:dyDescent="0.35">
      <c r="A14160">
        <v>5630</v>
      </c>
      <c r="B14160" s="1">
        <v>45957</v>
      </c>
      <c r="C14160" t="s">
        <v>25</v>
      </c>
      <c r="D14160" s="2">
        <v>38.4</v>
      </c>
      <c r="E14160" s="2">
        <v>0</v>
      </c>
      <c r="F14160" t="s">
        <v>27</v>
      </c>
      <c r="G14160" t="s">
        <v>9</v>
      </c>
    </row>
    <row r="14161" spans="1:7" x14ac:dyDescent="0.35">
      <c r="A14161">
        <v>5630</v>
      </c>
      <c r="B14161" s="1">
        <v>45957</v>
      </c>
      <c r="C14161" t="s">
        <v>25</v>
      </c>
      <c r="D14161" s="2">
        <v>0</v>
      </c>
      <c r="E14161" s="2">
        <v>550.4</v>
      </c>
      <c r="F14161" t="s">
        <v>28</v>
      </c>
      <c r="G14161" t="s">
        <v>17</v>
      </c>
    </row>
    <row r="14162" spans="1:7" x14ac:dyDescent="0.35">
      <c r="A14162">
        <v>5631</v>
      </c>
      <c r="B14162" s="1">
        <v>45957</v>
      </c>
      <c r="C14162" t="s">
        <v>25</v>
      </c>
      <c r="D14162" s="2">
        <v>1213.5999999999999</v>
      </c>
      <c r="E14162" s="2">
        <v>0</v>
      </c>
      <c r="F14162" t="s">
        <v>26</v>
      </c>
      <c r="G14162" t="s">
        <v>20</v>
      </c>
    </row>
    <row r="14163" spans="1:7" x14ac:dyDescent="0.35">
      <c r="A14163">
        <v>5631</v>
      </c>
      <c r="B14163" s="1">
        <v>45957</v>
      </c>
      <c r="C14163" t="s">
        <v>25</v>
      </c>
      <c r="D14163" s="2">
        <v>91.02</v>
      </c>
      <c r="E14163" s="2">
        <v>0</v>
      </c>
      <c r="F14163" t="s">
        <v>27</v>
      </c>
      <c r="G14163" t="s">
        <v>9</v>
      </c>
    </row>
    <row r="14164" spans="1:7" x14ac:dyDescent="0.35">
      <c r="A14164">
        <v>5631</v>
      </c>
      <c r="B14164" s="1">
        <v>45957</v>
      </c>
      <c r="C14164" t="s">
        <v>25</v>
      </c>
      <c r="D14164" s="2">
        <v>0</v>
      </c>
      <c r="E14164" s="2">
        <v>1304.6199999999999</v>
      </c>
      <c r="F14164" t="s">
        <v>28</v>
      </c>
      <c r="G14164" t="s">
        <v>17</v>
      </c>
    </row>
    <row r="14165" spans="1:7" x14ac:dyDescent="0.35">
      <c r="A14165">
        <v>5632</v>
      </c>
      <c r="B14165" s="1">
        <v>45957</v>
      </c>
      <c r="C14165" t="s">
        <v>29</v>
      </c>
      <c r="D14165" s="2">
        <v>1591.54</v>
      </c>
      <c r="E14165" s="2">
        <v>0</v>
      </c>
      <c r="F14165" t="s">
        <v>28</v>
      </c>
      <c r="G14165" t="s">
        <v>17</v>
      </c>
    </row>
    <row r="14166" spans="1:7" x14ac:dyDescent="0.35">
      <c r="A14166">
        <v>5632</v>
      </c>
      <c r="B14166" s="1">
        <v>45957</v>
      </c>
      <c r="C14166" t="s">
        <v>29</v>
      </c>
      <c r="D14166" s="2">
        <v>0</v>
      </c>
      <c r="E14166" s="2">
        <v>1591.54</v>
      </c>
      <c r="F14166" t="s">
        <v>8</v>
      </c>
      <c r="G14166" t="s">
        <v>9</v>
      </c>
    </row>
    <row r="14167" spans="1:7" x14ac:dyDescent="0.35">
      <c r="A14167">
        <v>5633</v>
      </c>
      <c r="B14167" s="1">
        <v>45957</v>
      </c>
      <c r="C14167" t="s">
        <v>29</v>
      </c>
      <c r="D14167" s="2">
        <v>1766.46</v>
      </c>
      <c r="E14167" s="2">
        <v>0</v>
      </c>
      <c r="F14167" t="s">
        <v>28</v>
      </c>
      <c r="G14167" t="s">
        <v>17</v>
      </c>
    </row>
    <row r="14168" spans="1:7" x14ac:dyDescent="0.35">
      <c r="A14168">
        <v>5633</v>
      </c>
      <c r="B14168" s="1">
        <v>45957</v>
      </c>
      <c r="C14168" t="s">
        <v>29</v>
      </c>
      <c r="D14168" s="2">
        <v>0</v>
      </c>
      <c r="E14168" s="2">
        <v>1766.46</v>
      </c>
      <c r="F14168" t="s">
        <v>8</v>
      </c>
      <c r="G14168" t="s">
        <v>9</v>
      </c>
    </row>
    <row r="14169" spans="1:7" x14ac:dyDescent="0.35">
      <c r="A14169">
        <v>5634</v>
      </c>
      <c r="B14169" s="1">
        <v>45957</v>
      </c>
      <c r="C14169" t="s">
        <v>29</v>
      </c>
      <c r="D14169" s="2">
        <v>4812.46</v>
      </c>
      <c r="E14169" s="2">
        <v>0</v>
      </c>
      <c r="F14169" t="s">
        <v>28</v>
      </c>
      <c r="G14169" t="s">
        <v>17</v>
      </c>
    </row>
    <row r="14170" spans="1:7" x14ac:dyDescent="0.35">
      <c r="A14170">
        <v>5634</v>
      </c>
      <c r="B14170" s="1">
        <v>45957</v>
      </c>
      <c r="C14170" t="s">
        <v>29</v>
      </c>
      <c r="D14170" s="2">
        <v>0</v>
      </c>
      <c r="E14170" s="2">
        <v>4812.46</v>
      </c>
      <c r="F14170" t="s">
        <v>8</v>
      </c>
      <c r="G14170" t="s">
        <v>9</v>
      </c>
    </row>
    <row r="14171" spans="1:7" x14ac:dyDescent="0.35">
      <c r="A14171">
        <v>5635</v>
      </c>
      <c r="B14171" s="1">
        <v>45957</v>
      </c>
      <c r="C14171" t="s">
        <v>29</v>
      </c>
      <c r="D14171" s="2">
        <v>1159.8399999999999</v>
      </c>
      <c r="E14171" s="2">
        <v>0</v>
      </c>
      <c r="F14171" t="s">
        <v>28</v>
      </c>
      <c r="G14171" t="s">
        <v>17</v>
      </c>
    </row>
    <row r="14172" spans="1:7" x14ac:dyDescent="0.35">
      <c r="A14172">
        <v>5635</v>
      </c>
      <c r="B14172" s="1">
        <v>45957</v>
      </c>
      <c r="C14172" t="s">
        <v>29</v>
      </c>
      <c r="D14172" s="2">
        <v>0</v>
      </c>
      <c r="E14172" s="2">
        <v>1159.8399999999999</v>
      </c>
      <c r="F14172" t="s">
        <v>8</v>
      </c>
      <c r="G14172" t="s">
        <v>9</v>
      </c>
    </row>
    <row r="14173" spans="1:7" x14ac:dyDescent="0.35">
      <c r="A14173">
        <v>5636</v>
      </c>
      <c r="B14173" s="1">
        <v>45957</v>
      </c>
      <c r="C14173" t="s">
        <v>29</v>
      </c>
      <c r="D14173" s="2">
        <v>201.5</v>
      </c>
      <c r="E14173" s="2">
        <v>0</v>
      </c>
      <c r="F14173" t="s">
        <v>28</v>
      </c>
      <c r="G14173" t="s">
        <v>17</v>
      </c>
    </row>
    <row r="14174" spans="1:7" x14ac:dyDescent="0.35">
      <c r="A14174">
        <v>5636</v>
      </c>
      <c r="B14174" s="1">
        <v>45957</v>
      </c>
      <c r="C14174" t="s">
        <v>29</v>
      </c>
      <c r="D14174" s="2">
        <v>0</v>
      </c>
      <c r="E14174" s="2">
        <v>201.5</v>
      </c>
      <c r="F14174" t="s">
        <v>8</v>
      </c>
      <c r="G14174" t="s">
        <v>9</v>
      </c>
    </row>
    <row r="14175" spans="1:7" x14ac:dyDescent="0.35">
      <c r="A14175">
        <v>5637</v>
      </c>
      <c r="B14175" s="1">
        <v>45958</v>
      </c>
      <c r="C14175" t="s">
        <v>12</v>
      </c>
      <c r="D14175" s="2">
        <v>885.37</v>
      </c>
      <c r="E14175" s="2">
        <v>0</v>
      </c>
      <c r="F14175" t="s">
        <v>13</v>
      </c>
      <c r="G14175" t="s">
        <v>9</v>
      </c>
    </row>
    <row r="14176" spans="1:7" x14ac:dyDescent="0.35">
      <c r="A14176">
        <v>5637</v>
      </c>
      <c r="B14176" s="1">
        <v>45958</v>
      </c>
      <c r="C14176" t="s">
        <v>12</v>
      </c>
      <c r="D14176" s="2">
        <v>0</v>
      </c>
      <c r="E14176" s="2">
        <v>823.6</v>
      </c>
      <c r="F14176" t="s">
        <v>14</v>
      </c>
      <c r="G14176" t="s">
        <v>15</v>
      </c>
    </row>
    <row r="14177" spans="1:7" x14ac:dyDescent="0.35">
      <c r="A14177">
        <v>5637</v>
      </c>
      <c r="B14177" s="1">
        <v>45958</v>
      </c>
      <c r="C14177" t="s">
        <v>12</v>
      </c>
      <c r="D14177" s="2">
        <v>0</v>
      </c>
      <c r="E14177" s="2">
        <v>61.77</v>
      </c>
      <c r="F14177" t="s">
        <v>16</v>
      </c>
      <c r="G14177" t="s">
        <v>17</v>
      </c>
    </row>
    <row r="14178" spans="1:7" x14ac:dyDescent="0.35">
      <c r="A14178">
        <v>5638</v>
      </c>
      <c r="B14178" s="1">
        <v>45958</v>
      </c>
      <c r="C14178" t="s">
        <v>12</v>
      </c>
      <c r="D14178" s="2">
        <v>148.80000000000001</v>
      </c>
      <c r="E14178" s="2">
        <v>0</v>
      </c>
      <c r="F14178" t="s">
        <v>13</v>
      </c>
      <c r="G14178" t="s">
        <v>9</v>
      </c>
    </row>
    <row r="14179" spans="1:7" x14ac:dyDescent="0.35">
      <c r="A14179">
        <v>5638</v>
      </c>
      <c r="B14179" s="1">
        <v>45958</v>
      </c>
      <c r="C14179" t="s">
        <v>12</v>
      </c>
      <c r="D14179" s="2">
        <v>0</v>
      </c>
      <c r="E14179" s="2">
        <v>138.41999999999999</v>
      </c>
      <c r="F14179" t="s">
        <v>14</v>
      </c>
      <c r="G14179" t="s">
        <v>15</v>
      </c>
    </row>
    <row r="14180" spans="1:7" x14ac:dyDescent="0.35">
      <c r="A14180">
        <v>5638</v>
      </c>
      <c r="B14180" s="1">
        <v>45958</v>
      </c>
      <c r="C14180" t="s">
        <v>12</v>
      </c>
      <c r="D14180" s="2">
        <v>0</v>
      </c>
      <c r="E14180" s="2">
        <v>10.38</v>
      </c>
      <c r="F14180" t="s">
        <v>16</v>
      </c>
      <c r="G14180" t="s">
        <v>17</v>
      </c>
    </row>
    <row r="14181" spans="1:7" x14ac:dyDescent="0.35">
      <c r="A14181">
        <v>5639</v>
      </c>
      <c r="B14181" s="1">
        <v>45958</v>
      </c>
      <c r="C14181" t="s">
        <v>12</v>
      </c>
      <c r="D14181" s="2">
        <v>2395.2199999999998</v>
      </c>
      <c r="E14181" s="2">
        <v>0</v>
      </c>
      <c r="F14181" t="s">
        <v>13</v>
      </c>
      <c r="G14181" t="s">
        <v>9</v>
      </c>
    </row>
    <row r="14182" spans="1:7" x14ac:dyDescent="0.35">
      <c r="A14182">
        <v>5639</v>
      </c>
      <c r="B14182" s="1">
        <v>45958</v>
      </c>
      <c r="C14182" t="s">
        <v>12</v>
      </c>
      <c r="D14182" s="2">
        <v>0</v>
      </c>
      <c r="E14182" s="2">
        <v>2228.11</v>
      </c>
      <c r="F14182" t="s">
        <v>14</v>
      </c>
      <c r="G14182" t="s">
        <v>15</v>
      </c>
    </row>
    <row r="14183" spans="1:7" x14ac:dyDescent="0.35">
      <c r="A14183">
        <v>5639</v>
      </c>
      <c r="B14183" s="1">
        <v>45958</v>
      </c>
      <c r="C14183" t="s">
        <v>12</v>
      </c>
      <c r="D14183" s="2">
        <v>0</v>
      </c>
      <c r="E14183" s="2">
        <v>167.11</v>
      </c>
      <c r="F14183" t="s">
        <v>16</v>
      </c>
      <c r="G14183" t="s">
        <v>17</v>
      </c>
    </row>
    <row r="14184" spans="1:7" x14ac:dyDescent="0.35">
      <c r="A14184">
        <v>5640</v>
      </c>
      <c r="B14184" s="1">
        <v>45958</v>
      </c>
      <c r="C14184" t="s">
        <v>12</v>
      </c>
      <c r="D14184" s="2">
        <v>441.26</v>
      </c>
      <c r="E14184" s="2">
        <v>0</v>
      </c>
      <c r="F14184" t="s">
        <v>13</v>
      </c>
      <c r="G14184" t="s">
        <v>9</v>
      </c>
    </row>
    <row r="14185" spans="1:7" x14ac:dyDescent="0.35">
      <c r="A14185">
        <v>5640</v>
      </c>
      <c r="B14185" s="1">
        <v>45958</v>
      </c>
      <c r="C14185" t="s">
        <v>12</v>
      </c>
      <c r="D14185" s="2">
        <v>0</v>
      </c>
      <c r="E14185" s="2">
        <v>410.47</v>
      </c>
      <c r="F14185" t="s">
        <v>14</v>
      </c>
      <c r="G14185" t="s">
        <v>15</v>
      </c>
    </row>
    <row r="14186" spans="1:7" x14ac:dyDescent="0.35">
      <c r="A14186">
        <v>5640</v>
      </c>
      <c r="B14186" s="1">
        <v>45958</v>
      </c>
      <c r="C14186" t="s">
        <v>12</v>
      </c>
      <c r="D14186" s="2">
        <v>0</v>
      </c>
      <c r="E14186" s="2">
        <v>30.79</v>
      </c>
      <c r="F14186" t="s">
        <v>16</v>
      </c>
      <c r="G14186" t="s">
        <v>17</v>
      </c>
    </row>
    <row r="14187" spans="1:7" x14ac:dyDescent="0.35">
      <c r="A14187">
        <v>5641</v>
      </c>
      <c r="B14187" s="1">
        <v>45958</v>
      </c>
      <c r="C14187" t="s">
        <v>12</v>
      </c>
      <c r="D14187" s="2">
        <v>2066.46</v>
      </c>
      <c r="E14187" s="2">
        <v>0</v>
      </c>
      <c r="F14187" t="s">
        <v>13</v>
      </c>
      <c r="G14187" t="s">
        <v>9</v>
      </c>
    </row>
    <row r="14188" spans="1:7" x14ac:dyDescent="0.35">
      <c r="A14188">
        <v>5641</v>
      </c>
      <c r="B14188" s="1">
        <v>45958</v>
      </c>
      <c r="C14188" t="s">
        <v>12</v>
      </c>
      <c r="D14188" s="2">
        <v>0</v>
      </c>
      <c r="E14188" s="2">
        <v>1922.29</v>
      </c>
      <c r="F14188" t="s">
        <v>14</v>
      </c>
      <c r="G14188" t="s">
        <v>15</v>
      </c>
    </row>
    <row r="14189" spans="1:7" x14ac:dyDescent="0.35">
      <c r="A14189">
        <v>5641</v>
      </c>
      <c r="B14189" s="1">
        <v>45958</v>
      </c>
      <c r="C14189" t="s">
        <v>12</v>
      </c>
      <c r="D14189" s="2">
        <v>0</v>
      </c>
      <c r="E14189" s="2">
        <v>144.16999999999999</v>
      </c>
      <c r="F14189" t="s">
        <v>16</v>
      </c>
      <c r="G14189" t="s">
        <v>17</v>
      </c>
    </row>
    <row r="14190" spans="1:7" x14ac:dyDescent="0.35">
      <c r="A14190">
        <v>5642</v>
      </c>
      <c r="B14190" s="1">
        <v>45958</v>
      </c>
      <c r="C14190" t="s">
        <v>12</v>
      </c>
      <c r="D14190" s="2">
        <v>2505.5</v>
      </c>
      <c r="E14190" s="2">
        <v>0</v>
      </c>
      <c r="F14190" t="s">
        <v>13</v>
      </c>
      <c r="G14190" t="s">
        <v>9</v>
      </c>
    </row>
    <row r="14191" spans="1:7" x14ac:dyDescent="0.35">
      <c r="A14191">
        <v>5642</v>
      </c>
      <c r="B14191" s="1">
        <v>45958</v>
      </c>
      <c r="C14191" t="s">
        <v>12</v>
      </c>
      <c r="D14191" s="2">
        <v>0</v>
      </c>
      <c r="E14191" s="2">
        <v>2330.6999999999998</v>
      </c>
      <c r="F14191" t="s">
        <v>14</v>
      </c>
      <c r="G14191" t="s">
        <v>15</v>
      </c>
    </row>
    <row r="14192" spans="1:7" x14ac:dyDescent="0.35">
      <c r="A14192">
        <v>5642</v>
      </c>
      <c r="B14192" s="1">
        <v>45958</v>
      </c>
      <c r="C14192" t="s">
        <v>12</v>
      </c>
      <c r="D14192" s="2">
        <v>0</v>
      </c>
      <c r="E14192" s="2">
        <v>174.8</v>
      </c>
      <c r="F14192" t="s">
        <v>16</v>
      </c>
      <c r="G14192" t="s">
        <v>17</v>
      </c>
    </row>
    <row r="14193" spans="1:7" x14ac:dyDescent="0.35">
      <c r="A14193">
        <v>5643</v>
      </c>
      <c r="B14193" s="1">
        <v>45958</v>
      </c>
      <c r="C14193" t="s">
        <v>24</v>
      </c>
      <c r="D14193" s="2">
        <v>7084.14</v>
      </c>
      <c r="E14193" s="2">
        <v>0</v>
      </c>
      <c r="F14193" t="s">
        <v>8</v>
      </c>
      <c r="G14193" t="s">
        <v>9</v>
      </c>
    </row>
    <row r="14194" spans="1:7" x14ac:dyDescent="0.35">
      <c r="A14194">
        <v>5643</v>
      </c>
      <c r="B14194" s="1">
        <v>45958</v>
      </c>
      <c r="C14194" t="s">
        <v>24</v>
      </c>
      <c r="D14194" s="2">
        <v>0</v>
      </c>
      <c r="E14194" s="2">
        <v>7084.14</v>
      </c>
      <c r="F14194" t="s">
        <v>13</v>
      </c>
      <c r="G14194" t="s">
        <v>9</v>
      </c>
    </row>
    <row r="14195" spans="1:7" x14ac:dyDescent="0.35">
      <c r="A14195">
        <v>5644</v>
      </c>
      <c r="B14195" s="1">
        <v>45958</v>
      </c>
      <c r="C14195" t="s">
        <v>24</v>
      </c>
      <c r="D14195" s="2">
        <v>1475.56</v>
      </c>
      <c r="E14195" s="2">
        <v>0</v>
      </c>
      <c r="F14195" t="s">
        <v>8</v>
      </c>
      <c r="G14195" t="s">
        <v>9</v>
      </c>
    </row>
    <row r="14196" spans="1:7" x14ac:dyDescent="0.35">
      <c r="A14196">
        <v>5644</v>
      </c>
      <c r="B14196" s="1">
        <v>45958</v>
      </c>
      <c r="C14196" t="s">
        <v>24</v>
      </c>
      <c r="D14196" s="2">
        <v>0</v>
      </c>
      <c r="E14196" s="2">
        <v>1475.56</v>
      </c>
      <c r="F14196" t="s">
        <v>13</v>
      </c>
      <c r="G14196" t="s">
        <v>9</v>
      </c>
    </row>
    <row r="14197" spans="1:7" x14ac:dyDescent="0.35">
      <c r="A14197">
        <v>5645</v>
      </c>
      <c r="B14197" s="1">
        <v>45958</v>
      </c>
      <c r="C14197" t="s">
        <v>24</v>
      </c>
      <c r="D14197" s="2">
        <v>3347.28</v>
      </c>
      <c r="E14197" s="2">
        <v>0</v>
      </c>
      <c r="F14197" t="s">
        <v>8</v>
      </c>
      <c r="G14197" t="s">
        <v>9</v>
      </c>
    </row>
    <row r="14198" spans="1:7" x14ac:dyDescent="0.35">
      <c r="A14198">
        <v>5645</v>
      </c>
      <c r="B14198" s="1">
        <v>45958</v>
      </c>
      <c r="C14198" t="s">
        <v>24</v>
      </c>
      <c r="D14198" s="2">
        <v>0</v>
      </c>
      <c r="E14198" s="2">
        <v>3347.28</v>
      </c>
      <c r="F14198" t="s">
        <v>13</v>
      </c>
      <c r="G14198" t="s">
        <v>9</v>
      </c>
    </row>
    <row r="14199" spans="1:7" x14ac:dyDescent="0.35">
      <c r="A14199">
        <v>5646</v>
      </c>
      <c r="B14199" s="1">
        <v>45958</v>
      </c>
      <c r="C14199" t="s">
        <v>25</v>
      </c>
      <c r="D14199" s="2">
        <v>802.71</v>
      </c>
      <c r="E14199" s="2">
        <v>0</v>
      </c>
      <c r="F14199" t="s">
        <v>26</v>
      </c>
      <c r="G14199" t="s">
        <v>20</v>
      </c>
    </row>
    <row r="14200" spans="1:7" x14ac:dyDescent="0.35">
      <c r="A14200">
        <v>5646</v>
      </c>
      <c r="B14200" s="1">
        <v>45958</v>
      </c>
      <c r="C14200" t="s">
        <v>25</v>
      </c>
      <c r="D14200" s="2">
        <v>60.2</v>
      </c>
      <c r="E14200" s="2">
        <v>0</v>
      </c>
      <c r="F14200" t="s">
        <v>27</v>
      </c>
      <c r="G14200" t="s">
        <v>9</v>
      </c>
    </row>
    <row r="14201" spans="1:7" x14ac:dyDescent="0.35">
      <c r="A14201">
        <v>5646</v>
      </c>
      <c r="B14201" s="1">
        <v>45958</v>
      </c>
      <c r="C14201" t="s">
        <v>25</v>
      </c>
      <c r="D14201" s="2">
        <v>0</v>
      </c>
      <c r="E14201" s="2">
        <v>862.91</v>
      </c>
      <c r="F14201" t="s">
        <v>28</v>
      </c>
      <c r="G14201" t="s">
        <v>17</v>
      </c>
    </row>
    <row r="14202" spans="1:7" x14ac:dyDescent="0.35">
      <c r="A14202">
        <v>5647</v>
      </c>
      <c r="B14202" s="1">
        <v>45958</v>
      </c>
      <c r="C14202" t="s">
        <v>29</v>
      </c>
      <c r="D14202" s="2">
        <v>550.4</v>
      </c>
      <c r="E14202" s="2">
        <v>0</v>
      </c>
      <c r="F14202" t="s">
        <v>28</v>
      </c>
      <c r="G14202" t="s">
        <v>17</v>
      </c>
    </row>
    <row r="14203" spans="1:7" x14ac:dyDescent="0.35">
      <c r="A14203">
        <v>5647</v>
      </c>
      <c r="B14203" s="1">
        <v>45958</v>
      </c>
      <c r="C14203" t="s">
        <v>29</v>
      </c>
      <c r="D14203" s="2">
        <v>0</v>
      </c>
      <c r="E14203" s="2">
        <v>550.4</v>
      </c>
      <c r="F14203" t="s">
        <v>8</v>
      </c>
      <c r="G14203" t="s">
        <v>9</v>
      </c>
    </row>
    <row r="14204" spans="1:7" x14ac:dyDescent="0.35">
      <c r="A14204">
        <v>5648</v>
      </c>
      <c r="B14204" s="1">
        <v>45958</v>
      </c>
      <c r="C14204" t="s">
        <v>29</v>
      </c>
      <c r="D14204" s="2">
        <v>748.26</v>
      </c>
      <c r="E14204" s="2">
        <v>0</v>
      </c>
      <c r="F14204" t="s">
        <v>28</v>
      </c>
      <c r="G14204" t="s">
        <v>17</v>
      </c>
    </row>
    <row r="14205" spans="1:7" x14ac:dyDescent="0.35">
      <c r="A14205">
        <v>5648</v>
      </c>
      <c r="B14205" s="1">
        <v>45958</v>
      </c>
      <c r="C14205" t="s">
        <v>29</v>
      </c>
      <c r="D14205" s="2">
        <v>0</v>
      </c>
      <c r="E14205" s="2">
        <v>748.26</v>
      </c>
      <c r="F14205" t="s">
        <v>8</v>
      </c>
      <c r="G14205" t="s">
        <v>9</v>
      </c>
    </row>
    <row r="14206" spans="1:7" x14ac:dyDescent="0.35">
      <c r="A14206">
        <v>5649</v>
      </c>
      <c r="B14206" s="1">
        <v>45958</v>
      </c>
      <c r="C14206" t="s">
        <v>29</v>
      </c>
      <c r="D14206" s="2">
        <v>9336.67</v>
      </c>
      <c r="E14206" s="2">
        <v>0</v>
      </c>
      <c r="F14206" t="s">
        <v>28</v>
      </c>
      <c r="G14206" t="s">
        <v>17</v>
      </c>
    </row>
    <row r="14207" spans="1:7" x14ac:dyDescent="0.35">
      <c r="A14207">
        <v>5649</v>
      </c>
      <c r="B14207" s="1">
        <v>45958</v>
      </c>
      <c r="C14207" t="s">
        <v>29</v>
      </c>
      <c r="D14207" s="2">
        <v>0</v>
      </c>
      <c r="E14207" s="2">
        <v>9336.67</v>
      </c>
      <c r="F14207" t="s">
        <v>8</v>
      </c>
      <c r="G14207" t="s">
        <v>9</v>
      </c>
    </row>
    <row r="14208" spans="1:7" x14ac:dyDescent="0.35">
      <c r="A14208">
        <v>5650</v>
      </c>
      <c r="B14208" s="1">
        <v>45958</v>
      </c>
      <c r="C14208" t="s">
        <v>29</v>
      </c>
      <c r="D14208" s="2">
        <v>862.91</v>
      </c>
      <c r="E14208" s="2">
        <v>0</v>
      </c>
      <c r="F14208" t="s">
        <v>28</v>
      </c>
      <c r="G14208" t="s">
        <v>17</v>
      </c>
    </row>
    <row r="14209" spans="1:7" x14ac:dyDescent="0.35">
      <c r="A14209">
        <v>5650</v>
      </c>
      <c r="B14209" s="1">
        <v>45958</v>
      </c>
      <c r="C14209" t="s">
        <v>29</v>
      </c>
      <c r="D14209" s="2">
        <v>0</v>
      </c>
      <c r="E14209" s="2">
        <v>862.91</v>
      </c>
      <c r="F14209" t="s">
        <v>8</v>
      </c>
      <c r="G14209" t="s">
        <v>9</v>
      </c>
    </row>
    <row r="14210" spans="1:7" x14ac:dyDescent="0.35">
      <c r="A14210">
        <v>5651</v>
      </c>
      <c r="B14210" s="1">
        <v>45959</v>
      </c>
      <c r="C14210" t="s">
        <v>12</v>
      </c>
      <c r="D14210" s="2">
        <v>3868.65</v>
      </c>
      <c r="E14210" s="2">
        <v>0</v>
      </c>
      <c r="F14210" t="s">
        <v>13</v>
      </c>
      <c r="G14210" t="s">
        <v>9</v>
      </c>
    </row>
    <row r="14211" spans="1:7" x14ac:dyDescent="0.35">
      <c r="A14211">
        <v>5651</v>
      </c>
      <c r="B14211" s="1">
        <v>45959</v>
      </c>
      <c r="C14211" t="s">
        <v>12</v>
      </c>
      <c r="D14211" s="2">
        <v>0</v>
      </c>
      <c r="E14211" s="2">
        <v>3598.75</v>
      </c>
      <c r="F14211" t="s">
        <v>14</v>
      </c>
      <c r="G14211" t="s">
        <v>15</v>
      </c>
    </row>
    <row r="14212" spans="1:7" x14ac:dyDescent="0.35">
      <c r="A14212">
        <v>5651</v>
      </c>
      <c r="B14212" s="1">
        <v>45959</v>
      </c>
      <c r="C14212" t="s">
        <v>12</v>
      </c>
      <c r="D14212" s="2">
        <v>0</v>
      </c>
      <c r="E14212" s="2">
        <v>269.89999999999998</v>
      </c>
      <c r="F14212" t="s">
        <v>16</v>
      </c>
      <c r="G14212" t="s">
        <v>17</v>
      </c>
    </row>
    <row r="14213" spans="1:7" x14ac:dyDescent="0.35">
      <c r="A14213">
        <v>5652</v>
      </c>
      <c r="B14213" s="1">
        <v>45959</v>
      </c>
      <c r="C14213" t="s">
        <v>12</v>
      </c>
      <c r="D14213" s="2">
        <v>4379.53</v>
      </c>
      <c r="E14213" s="2">
        <v>0</v>
      </c>
      <c r="F14213" t="s">
        <v>13</v>
      </c>
      <c r="G14213" t="s">
        <v>9</v>
      </c>
    </row>
    <row r="14214" spans="1:7" x14ac:dyDescent="0.35">
      <c r="A14214">
        <v>5652</v>
      </c>
      <c r="B14214" s="1">
        <v>45959</v>
      </c>
      <c r="C14214" t="s">
        <v>12</v>
      </c>
      <c r="D14214" s="2">
        <v>0</v>
      </c>
      <c r="E14214" s="2">
        <v>4073.98</v>
      </c>
      <c r="F14214" t="s">
        <v>14</v>
      </c>
      <c r="G14214" t="s">
        <v>15</v>
      </c>
    </row>
    <row r="14215" spans="1:7" x14ac:dyDescent="0.35">
      <c r="A14215">
        <v>5652</v>
      </c>
      <c r="B14215" s="1">
        <v>45959</v>
      </c>
      <c r="C14215" t="s">
        <v>12</v>
      </c>
      <c r="D14215" s="2">
        <v>0</v>
      </c>
      <c r="E14215" s="2">
        <v>305.55</v>
      </c>
      <c r="F14215" t="s">
        <v>16</v>
      </c>
      <c r="G14215" t="s">
        <v>17</v>
      </c>
    </row>
    <row r="14216" spans="1:7" x14ac:dyDescent="0.35">
      <c r="A14216">
        <v>5653</v>
      </c>
      <c r="B14216" s="1">
        <v>45959</v>
      </c>
      <c r="C14216" t="s">
        <v>12</v>
      </c>
      <c r="D14216" s="2">
        <v>4374.6099999999997</v>
      </c>
      <c r="E14216" s="2">
        <v>0</v>
      </c>
      <c r="F14216" t="s">
        <v>13</v>
      </c>
      <c r="G14216" t="s">
        <v>9</v>
      </c>
    </row>
    <row r="14217" spans="1:7" x14ac:dyDescent="0.35">
      <c r="A14217">
        <v>5653</v>
      </c>
      <c r="B14217" s="1">
        <v>45959</v>
      </c>
      <c r="C14217" t="s">
        <v>12</v>
      </c>
      <c r="D14217" s="2">
        <v>0</v>
      </c>
      <c r="E14217" s="2">
        <v>4069.41</v>
      </c>
      <c r="F14217" t="s">
        <v>14</v>
      </c>
      <c r="G14217" t="s">
        <v>15</v>
      </c>
    </row>
    <row r="14218" spans="1:7" x14ac:dyDescent="0.35">
      <c r="A14218">
        <v>5653</v>
      </c>
      <c r="B14218" s="1">
        <v>45959</v>
      </c>
      <c r="C14218" t="s">
        <v>12</v>
      </c>
      <c r="D14218" s="2">
        <v>0</v>
      </c>
      <c r="E14218" s="2">
        <v>305.2</v>
      </c>
      <c r="F14218" t="s">
        <v>16</v>
      </c>
      <c r="G14218" t="s">
        <v>17</v>
      </c>
    </row>
    <row r="14219" spans="1:7" x14ac:dyDescent="0.35">
      <c r="A14219">
        <v>5654</v>
      </c>
      <c r="B14219" s="1">
        <v>45959</v>
      </c>
      <c r="C14219" t="s">
        <v>24</v>
      </c>
      <c r="D14219" s="2">
        <v>1744.19</v>
      </c>
      <c r="E14219" s="2">
        <v>0</v>
      </c>
      <c r="F14219" t="s">
        <v>8</v>
      </c>
      <c r="G14219" t="s">
        <v>9</v>
      </c>
    </row>
    <row r="14220" spans="1:7" x14ac:dyDescent="0.35">
      <c r="A14220">
        <v>5654</v>
      </c>
      <c r="B14220" s="1">
        <v>45959</v>
      </c>
      <c r="C14220" t="s">
        <v>24</v>
      </c>
      <c r="D14220" s="2">
        <v>0</v>
      </c>
      <c r="E14220" s="2">
        <v>1744.19</v>
      </c>
      <c r="F14220" t="s">
        <v>13</v>
      </c>
      <c r="G14220" t="s">
        <v>9</v>
      </c>
    </row>
    <row r="14221" spans="1:7" x14ac:dyDescent="0.35">
      <c r="A14221">
        <v>5655</v>
      </c>
      <c r="B14221" s="1">
        <v>45959</v>
      </c>
      <c r="C14221" t="s">
        <v>24</v>
      </c>
      <c r="D14221" s="2">
        <v>1941.01</v>
      </c>
      <c r="E14221" s="2">
        <v>0</v>
      </c>
      <c r="F14221" t="s">
        <v>8</v>
      </c>
      <c r="G14221" t="s">
        <v>9</v>
      </c>
    </row>
    <row r="14222" spans="1:7" x14ac:dyDescent="0.35">
      <c r="A14222">
        <v>5655</v>
      </c>
      <c r="B14222" s="1">
        <v>45959</v>
      </c>
      <c r="C14222" t="s">
        <v>24</v>
      </c>
      <c r="D14222" s="2">
        <v>0</v>
      </c>
      <c r="E14222" s="2">
        <v>1941.01</v>
      </c>
      <c r="F14222" t="s">
        <v>13</v>
      </c>
      <c r="G14222" t="s">
        <v>9</v>
      </c>
    </row>
    <row r="14223" spans="1:7" x14ac:dyDescent="0.35">
      <c r="A14223">
        <v>5656</v>
      </c>
      <c r="B14223" s="1">
        <v>45959</v>
      </c>
      <c r="C14223" t="s">
        <v>24</v>
      </c>
      <c r="D14223" s="2">
        <v>2529.9699999999998</v>
      </c>
      <c r="E14223" s="2">
        <v>0</v>
      </c>
      <c r="F14223" t="s">
        <v>8</v>
      </c>
      <c r="G14223" t="s">
        <v>9</v>
      </c>
    </row>
    <row r="14224" spans="1:7" x14ac:dyDescent="0.35">
      <c r="A14224">
        <v>5656</v>
      </c>
      <c r="B14224" s="1">
        <v>45959</v>
      </c>
      <c r="C14224" t="s">
        <v>24</v>
      </c>
      <c r="D14224" s="2">
        <v>0</v>
      </c>
      <c r="E14224" s="2">
        <v>2529.9699999999998</v>
      </c>
      <c r="F14224" t="s">
        <v>13</v>
      </c>
      <c r="G14224" t="s">
        <v>9</v>
      </c>
    </row>
    <row r="14225" spans="1:7" x14ac:dyDescent="0.35">
      <c r="A14225">
        <v>5657</v>
      </c>
      <c r="B14225" s="1">
        <v>45959</v>
      </c>
      <c r="C14225" t="s">
        <v>24</v>
      </c>
      <c r="D14225" s="2">
        <v>3335.31</v>
      </c>
      <c r="E14225" s="2">
        <v>0</v>
      </c>
      <c r="F14225" t="s">
        <v>8</v>
      </c>
      <c r="G14225" t="s">
        <v>9</v>
      </c>
    </row>
    <row r="14226" spans="1:7" x14ac:dyDescent="0.35">
      <c r="A14226">
        <v>5657</v>
      </c>
      <c r="B14226" s="1">
        <v>45959</v>
      </c>
      <c r="C14226" t="s">
        <v>24</v>
      </c>
      <c r="D14226" s="2">
        <v>0</v>
      </c>
      <c r="E14226" s="2">
        <v>3335.31</v>
      </c>
      <c r="F14226" t="s">
        <v>13</v>
      </c>
      <c r="G14226" t="s">
        <v>9</v>
      </c>
    </row>
    <row r="14227" spans="1:7" x14ac:dyDescent="0.35">
      <c r="A14227">
        <v>5658</v>
      </c>
      <c r="B14227" s="1">
        <v>45959</v>
      </c>
      <c r="C14227" t="s">
        <v>25</v>
      </c>
      <c r="D14227" s="2">
        <v>2451.5</v>
      </c>
      <c r="E14227" s="2">
        <v>0</v>
      </c>
      <c r="F14227" t="s">
        <v>26</v>
      </c>
      <c r="G14227" t="s">
        <v>20</v>
      </c>
    </row>
    <row r="14228" spans="1:7" x14ac:dyDescent="0.35">
      <c r="A14228">
        <v>5658</v>
      </c>
      <c r="B14228" s="1">
        <v>45959</v>
      </c>
      <c r="C14228" t="s">
        <v>25</v>
      </c>
      <c r="D14228" s="2">
        <v>183.86</v>
      </c>
      <c r="E14228" s="2">
        <v>0</v>
      </c>
      <c r="F14228" t="s">
        <v>27</v>
      </c>
      <c r="G14228" t="s">
        <v>9</v>
      </c>
    </row>
    <row r="14229" spans="1:7" x14ac:dyDescent="0.35">
      <c r="A14229">
        <v>5658</v>
      </c>
      <c r="B14229" s="1">
        <v>45959</v>
      </c>
      <c r="C14229" t="s">
        <v>25</v>
      </c>
      <c r="D14229" s="2">
        <v>0</v>
      </c>
      <c r="E14229" s="2">
        <v>2635.36</v>
      </c>
      <c r="F14229" t="s">
        <v>28</v>
      </c>
      <c r="G14229" t="s">
        <v>17</v>
      </c>
    </row>
    <row r="14230" spans="1:7" x14ac:dyDescent="0.35">
      <c r="A14230">
        <v>5659</v>
      </c>
      <c r="B14230" s="1">
        <v>45959</v>
      </c>
      <c r="C14230" t="s">
        <v>25</v>
      </c>
      <c r="D14230" s="2">
        <v>1668.94</v>
      </c>
      <c r="E14230" s="2">
        <v>0</v>
      </c>
      <c r="F14230" t="s">
        <v>26</v>
      </c>
      <c r="G14230" t="s">
        <v>20</v>
      </c>
    </row>
    <row r="14231" spans="1:7" x14ac:dyDescent="0.35">
      <c r="A14231">
        <v>5659</v>
      </c>
      <c r="B14231" s="1">
        <v>45959</v>
      </c>
      <c r="C14231" t="s">
        <v>25</v>
      </c>
      <c r="D14231" s="2">
        <v>125.17</v>
      </c>
      <c r="E14231" s="2">
        <v>0</v>
      </c>
      <c r="F14231" t="s">
        <v>27</v>
      </c>
      <c r="G14231" t="s">
        <v>9</v>
      </c>
    </row>
    <row r="14232" spans="1:7" x14ac:dyDescent="0.35">
      <c r="A14232">
        <v>5659</v>
      </c>
      <c r="B14232" s="1">
        <v>45959</v>
      </c>
      <c r="C14232" t="s">
        <v>25</v>
      </c>
      <c r="D14232" s="2">
        <v>0</v>
      </c>
      <c r="E14232" s="2">
        <v>1794.11</v>
      </c>
      <c r="F14232" t="s">
        <v>28</v>
      </c>
      <c r="G14232" t="s">
        <v>17</v>
      </c>
    </row>
    <row r="14233" spans="1:7" x14ac:dyDescent="0.35">
      <c r="A14233">
        <v>5660</v>
      </c>
      <c r="B14233" s="1">
        <v>45959</v>
      </c>
      <c r="C14233" t="s">
        <v>29</v>
      </c>
      <c r="D14233" s="2">
        <v>550.4</v>
      </c>
      <c r="E14233" s="2">
        <v>0</v>
      </c>
      <c r="F14233" t="s">
        <v>28</v>
      </c>
      <c r="G14233" t="s">
        <v>17</v>
      </c>
    </row>
    <row r="14234" spans="1:7" x14ac:dyDescent="0.35">
      <c r="A14234">
        <v>5660</v>
      </c>
      <c r="B14234" s="1">
        <v>45959</v>
      </c>
      <c r="C14234" t="s">
        <v>29</v>
      </c>
      <c r="D14234" s="2">
        <v>0</v>
      </c>
      <c r="E14234" s="2">
        <v>550.4</v>
      </c>
      <c r="F14234" t="s">
        <v>8</v>
      </c>
      <c r="G14234" t="s">
        <v>9</v>
      </c>
    </row>
    <row r="14235" spans="1:7" x14ac:dyDescent="0.35">
      <c r="A14235">
        <v>5661</v>
      </c>
      <c r="B14235" s="1">
        <v>45959</v>
      </c>
      <c r="C14235" t="s">
        <v>29</v>
      </c>
      <c r="D14235" s="2">
        <v>1935.04</v>
      </c>
      <c r="E14235" s="2">
        <v>0</v>
      </c>
      <c r="F14235" t="s">
        <v>28</v>
      </c>
      <c r="G14235" t="s">
        <v>17</v>
      </c>
    </row>
    <row r="14236" spans="1:7" x14ac:dyDescent="0.35">
      <c r="A14236">
        <v>5661</v>
      </c>
      <c r="B14236" s="1">
        <v>45959</v>
      </c>
      <c r="C14236" t="s">
        <v>29</v>
      </c>
      <c r="D14236" s="2">
        <v>0</v>
      </c>
      <c r="E14236" s="2">
        <v>1935.04</v>
      </c>
      <c r="F14236" t="s">
        <v>8</v>
      </c>
      <c r="G14236" t="s">
        <v>9</v>
      </c>
    </row>
    <row r="14237" spans="1:7" x14ac:dyDescent="0.35">
      <c r="A14237">
        <v>5662</v>
      </c>
      <c r="B14237" s="1">
        <v>45959</v>
      </c>
      <c r="C14237" t="s">
        <v>29</v>
      </c>
      <c r="D14237" s="2">
        <v>1794.11</v>
      </c>
      <c r="E14237" s="2">
        <v>0</v>
      </c>
      <c r="F14237" t="s">
        <v>28</v>
      </c>
      <c r="G14237" t="s">
        <v>17</v>
      </c>
    </row>
    <row r="14238" spans="1:7" x14ac:dyDescent="0.35">
      <c r="A14238">
        <v>5662</v>
      </c>
      <c r="B14238" s="1">
        <v>45959</v>
      </c>
      <c r="C14238" t="s">
        <v>29</v>
      </c>
      <c r="D14238" s="2">
        <v>0</v>
      </c>
      <c r="E14238" s="2">
        <v>1794.11</v>
      </c>
      <c r="F14238" t="s">
        <v>8</v>
      </c>
      <c r="G14238" t="s">
        <v>9</v>
      </c>
    </row>
    <row r="14239" spans="1:7" x14ac:dyDescent="0.35">
      <c r="A14239">
        <v>5663</v>
      </c>
      <c r="B14239" s="1">
        <v>45960</v>
      </c>
      <c r="C14239" t="s">
        <v>12</v>
      </c>
      <c r="D14239" s="2">
        <v>2952.16</v>
      </c>
      <c r="E14239" s="2">
        <v>0</v>
      </c>
      <c r="F14239" t="s">
        <v>13</v>
      </c>
      <c r="G14239" t="s">
        <v>9</v>
      </c>
    </row>
    <row r="14240" spans="1:7" x14ac:dyDescent="0.35">
      <c r="A14240">
        <v>5663</v>
      </c>
      <c r="B14240" s="1">
        <v>45960</v>
      </c>
      <c r="C14240" t="s">
        <v>12</v>
      </c>
      <c r="D14240" s="2">
        <v>0</v>
      </c>
      <c r="E14240" s="2">
        <v>2746.19</v>
      </c>
      <c r="F14240" t="s">
        <v>14</v>
      </c>
      <c r="G14240" t="s">
        <v>15</v>
      </c>
    </row>
    <row r="14241" spans="1:7" x14ac:dyDescent="0.35">
      <c r="A14241">
        <v>5663</v>
      </c>
      <c r="B14241" s="1">
        <v>45960</v>
      </c>
      <c r="C14241" t="s">
        <v>12</v>
      </c>
      <c r="D14241" s="2">
        <v>0</v>
      </c>
      <c r="E14241" s="2">
        <v>205.97</v>
      </c>
      <c r="F14241" t="s">
        <v>16</v>
      </c>
      <c r="G14241" t="s">
        <v>17</v>
      </c>
    </row>
    <row r="14242" spans="1:7" x14ac:dyDescent="0.35">
      <c r="A14242">
        <v>5664</v>
      </c>
      <c r="B14242" s="1">
        <v>45960</v>
      </c>
      <c r="C14242" t="s">
        <v>12</v>
      </c>
      <c r="D14242" s="2">
        <v>2692.66</v>
      </c>
      <c r="E14242" s="2">
        <v>0</v>
      </c>
      <c r="F14242" t="s">
        <v>13</v>
      </c>
      <c r="G14242" t="s">
        <v>9</v>
      </c>
    </row>
    <row r="14243" spans="1:7" x14ac:dyDescent="0.35">
      <c r="A14243">
        <v>5664</v>
      </c>
      <c r="B14243" s="1">
        <v>45960</v>
      </c>
      <c r="C14243" t="s">
        <v>12</v>
      </c>
      <c r="D14243" s="2">
        <v>0</v>
      </c>
      <c r="E14243" s="2">
        <v>2504.81</v>
      </c>
      <c r="F14243" t="s">
        <v>14</v>
      </c>
      <c r="G14243" t="s">
        <v>15</v>
      </c>
    </row>
    <row r="14244" spans="1:7" x14ac:dyDescent="0.35">
      <c r="A14244">
        <v>5664</v>
      </c>
      <c r="B14244" s="1">
        <v>45960</v>
      </c>
      <c r="C14244" t="s">
        <v>12</v>
      </c>
      <c r="D14244" s="2">
        <v>0</v>
      </c>
      <c r="E14244" s="2">
        <v>187.85</v>
      </c>
      <c r="F14244" t="s">
        <v>16</v>
      </c>
      <c r="G14244" t="s">
        <v>17</v>
      </c>
    </row>
    <row r="14245" spans="1:7" x14ac:dyDescent="0.35">
      <c r="A14245">
        <v>5665</v>
      </c>
      <c r="B14245" s="1">
        <v>45960</v>
      </c>
      <c r="C14245" t="s">
        <v>12</v>
      </c>
      <c r="D14245" s="2">
        <v>1747.34</v>
      </c>
      <c r="E14245" s="2">
        <v>0</v>
      </c>
      <c r="F14245" t="s">
        <v>13</v>
      </c>
      <c r="G14245" t="s">
        <v>9</v>
      </c>
    </row>
    <row r="14246" spans="1:7" x14ac:dyDescent="0.35">
      <c r="A14246">
        <v>5665</v>
      </c>
      <c r="B14246" s="1">
        <v>45960</v>
      </c>
      <c r="C14246" t="s">
        <v>12</v>
      </c>
      <c r="D14246" s="2">
        <v>0</v>
      </c>
      <c r="E14246" s="2">
        <v>1625.43</v>
      </c>
      <c r="F14246" t="s">
        <v>14</v>
      </c>
      <c r="G14246" t="s">
        <v>15</v>
      </c>
    </row>
    <row r="14247" spans="1:7" x14ac:dyDescent="0.35">
      <c r="A14247">
        <v>5665</v>
      </c>
      <c r="B14247" s="1">
        <v>45960</v>
      </c>
      <c r="C14247" t="s">
        <v>12</v>
      </c>
      <c r="D14247" s="2">
        <v>0</v>
      </c>
      <c r="E14247" s="2">
        <v>121.91</v>
      </c>
      <c r="F14247" t="s">
        <v>16</v>
      </c>
      <c r="G14247" t="s">
        <v>17</v>
      </c>
    </row>
    <row r="14248" spans="1:7" x14ac:dyDescent="0.35">
      <c r="A14248">
        <v>5666</v>
      </c>
      <c r="B14248" s="1">
        <v>45960</v>
      </c>
      <c r="C14248" t="s">
        <v>12</v>
      </c>
      <c r="D14248" s="2">
        <v>4553.83</v>
      </c>
      <c r="E14248" s="2">
        <v>0</v>
      </c>
      <c r="F14248" t="s">
        <v>13</v>
      </c>
      <c r="G14248" t="s">
        <v>9</v>
      </c>
    </row>
    <row r="14249" spans="1:7" x14ac:dyDescent="0.35">
      <c r="A14249">
        <v>5666</v>
      </c>
      <c r="B14249" s="1">
        <v>45960</v>
      </c>
      <c r="C14249" t="s">
        <v>12</v>
      </c>
      <c r="D14249" s="2">
        <v>0</v>
      </c>
      <c r="E14249" s="2">
        <v>4236.13</v>
      </c>
      <c r="F14249" t="s">
        <v>14</v>
      </c>
      <c r="G14249" t="s">
        <v>15</v>
      </c>
    </row>
    <row r="14250" spans="1:7" x14ac:dyDescent="0.35">
      <c r="A14250">
        <v>5666</v>
      </c>
      <c r="B14250" s="1">
        <v>45960</v>
      </c>
      <c r="C14250" t="s">
        <v>12</v>
      </c>
      <c r="D14250" s="2">
        <v>0</v>
      </c>
      <c r="E14250" s="2">
        <v>317.7</v>
      </c>
      <c r="F14250" t="s">
        <v>16</v>
      </c>
      <c r="G14250" t="s">
        <v>17</v>
      </c>
    </row>
    <row r="14251" spans="1:7" x14ac:dyDescent="0.35">
      <c r="A14251">
        <v>5667</v>
      </c>
      <c r="B14251" s="1">
        <v>45960</v>
      </c>
      <c r="C14251" t="s">
        <v>12</v>
      </c>
      <c r="D14251" s="2">
        <v>2766.25</v>
      </c>
      <c r="E14251" s="2">
        <v>0</v>
      </c>
      <c r="F14251" t="s">
        <v>13</v>
      </c>
      <c r="G14251" t="s">
        <v>9</v>
      </c>
    </row>
    <row r="14252" spans="1:7" x14ac:dyDescent="0.35">
      <c r="A14252">
        <v>5667</v>
      </c>
      <c r="B14252" s="1">
        <v>45960</v>
      </c>
      <c r="C14252" t="s">
        <v>12</v>
      </c>
      <c r="D14252" s="2">
        <v>0</v>
      </c>
      <c r="E14252" s="2">
        <v>2573.27</v>
      </c>
      <c r="F14252" t="s">
        <v>14</v>
      </c>
      <c r="G14252" t="s">
        <v>15</v>
      </c>
    </row>
    <row r="14253" spans="1:7" x14ac:dyDescent="0.35">
      <c r="A14253">
        <v>5667</v>
      </c>
      <c r="B14253" s="1">
        <v>45960</v>
      </c>
      <c r="C14253" t="s">
        <v>12</v>
      </c>
      <c r="D14253" s="2">
        <v>0</v>
      </c>
      <c r="E14253" s="2">
        <v>192.98</v>
      </c>
      <c r="F14253" t="s">
        <v>16</v>
      </c>
      <c r="G14253" t="s">
        <v>17</v>
      </c>
    </row>
    <row r="14254" spans="1:7" x14ac:dyDescent="0.35">
      <c r="A14254">
        <v>5668</v>
      </c>
      <c r="B14254" s="1">
        <v>45960</v>
      </c>
      <c r="C14254" t="s">
        <v>12</v>
      </c>
      <c r="D14254" s="2">
        <v>5102.57</v>
      </c>
      <c r="E14254" s="2">
        <v>0</v>
      </c>
      <c r="F14254" t="s">
        <v>13</v>
      </c>
      <c r="G14254" t="s">
        <v>9</v>
      </c>
    </row>
    <row r="14255" spans="1:7" x14ac:dyDescent="0.35">
      <c r="A14255">
        <v>5668</v>
      </c>
      <c r="B14255" s="1">
        <v>45960</v>
      </c>
      <c r="C14255" t="s">
        <v>12</v>
      </c>
      <c r="D14255" s="2">
        <v>0</v>
      </c>
      <c r="E14255" s="2">
        <v>4746.57</v>
      </c>
      <c r="F14255" t="s">
        <v>14</v>
      </c>
      <c r="G14255" t="s">
        <v>15</v>
      </c>
    </row>
    <row r="14256" spans="1:7" x14ac:dyDescent="0.35">
      <c r="A14256">
        <v>5668</v>
      </c>
      <c r="B14256" s="1">
        <v>45960</v>
      </c>
      <c r="C14256" t="s">
        <v>12</v>
      </c>
      <c r="D14256" s="2">
        <v>0</v>
      </c>
      <c r="E14256" s="2">
        <v>356</v>
      </c>
      <c r="F14256" t="s">
        <v>16</v>
      </c>
      <c r="G14256" t="s">
        <v>17</v>
      </c>
    </row>
    <row r="14257" spans="1:7" x14ac:dyDescent="0.35">
      <c r="A14257">
        <v>5669</v>
      </c>
      <c r="B14257" s="1">
        <v>45960</v>
      </c>
      <c r="C14257" t="s">
        <v>12</v>
      </c>
      <c r="D14257" s="2">
        <v>245.14</v>
      </c>
      <c r="E14257" s="2">
        <v>0</v>
      </c>
      <c r="F14257" t="s">
        <v>13</v>
      </c>
      <c r="G14257" t="s">
        <v>9</v>
      </c>
    </row>
    <row r="14258" spans="1:7" x14ac:dyDescent="0.35">
      <c r="A14258">
        <v>5669</v>
      </c>
      <c r="B14258" s="1">
        <v>45960</v>
      </c>
      <c r="C14258" t="s">
        <v>12</v>
      </c>
      <c r="D14258" s="2">
        <v>0</v>
      </c>
      <c r="E14258" s="2">
        <v>228.04</v>
      </c>
      <c r="F14258" t="s">
        <v>14</v>
      </c>
      <c r="G14258" t="s">
        <v>15</v>
      </c>
    </row>
    <row r="14259" spans="1:7" x14ac:dyDescent="0.35">
      <c r="A14259">
        <v>5669</v>
      </c>
      <c r="B14259" s="1">
        <v>45960</v>
      </c>
      <c r="C14259" t="s">
        <v>12</v>
      </c>
      <c r="D14259" s="2">
        <v>0</v>
      </c>
      <c r="E14259" s="2">
        <v>17.100000000000001</v>
      </c>
      <c r="F14259" t="s">
        <v>16</v>
      </c>
      <c r="G14259" t="s">
        <v>17</v>
      </c>
    </row>
    <row r="14260" spans="1:7" x14ac:dyDescent="0.35">
      <c r="A14260">
        <v>5670</v>
      </c>
      <c r="B14260" s="1">
        <v>45960</v>
      </c>
      <c r="C14260" t="s">
        <v>24</v>
      </c>
      <c r="D14260" s="2">
        <v>3931.85</v>
      </c>
      <c r="E14260" s="2">
        <v>0</v>
      </c>
      <c r="F14260" t="s">
        <v>8</v>
      </c>
      <c r="G14260" t="s">
        <v>9</v>
      </c>
    </row>
    <row r="14261" spans="1:7" x14ac:dyDescent="0.35">
      <c r="A14261">
        <v>5670</v>
      </c>
      <c r="B14261" s="1">
        <v>45960</v>
      </c>
      <c r="C14261" t="s">
        <v>24</v>
      </c>
      <c r="D14261" s="2">
        <v>0</v>
      </c>
      <c r="E14261" s="2">
        <v>3931.85</v>
      </c>
      <c r="F14261" t="s">
        <v>13</v>
      </c>
      <c r="G14261" t="s">
        <v>9</v>
      </c>
    </row>
    <row r="14262" spans="1:7" x14ac:dyDescent="0.35">
      <c r="A14262">
        <v>5671</v>
      </c>
      <c r="B14262" s="1">
        <v>45960</v>
      </c>
      <c r="C14262" t="s">
        <v>24</v>
      </c>
      <c r="D14262" s="2">
        <v>1108.56</v>
      </c>
      <c r="E14262" s="2">
        <v>0</v>
      </c>
      <c r="F14262" t="s">
        <v>8</v>
      </c>
      <c r="G14262" t="s">
        <v>9</v>
      </c>
    </row>
    <row r="14263" spans="1:7" x14ac:dyDescent="0.35">
      <c r="A14263">
        <v>5671</v>
      </c>
      <c r="B14263" s="1">
        <v>45960</v>
      </c>
      <c r="C14263" t="s">
        <v>24</v>
      </c>
      <c r="D14263" s="2">
        <v>0</v>
      </c>
      <c r="E14263" s="2">
        <v>1108.56</v>
      </c>
      <c r="F14263" t="s">
        <v>13</v>
      </c>
      <c r="G14263" t="s">
        <v>9</v>
      </c>
    </row>
    <row r="14264" spans="1:7" x14ac:dyDescent="0.35">
      <c r="A14264">
        <v>5672</v>
      </c>
      <c r="B14264" s="1">
        <v>45960</v>
      </c>
      <c r="C14264" t="s">
        <v>24</v>
      </c>
      <c r="D14264" s="2">
        <v>1046.3699999999999</v>
      </c>
      <c r="E14264" s="2">
        <v>0</v>
      </c>
      <c r="F14264" t="s">
        <v>8</v>
      </c>
      <c r="G14264" t="s">
        <v>9</v>
      </c>
    </row>
    <row r="14265" spans="1:7" x14ac:dyDescent="0.35">
      <c r="A14265">
        <v>5672</v>
      </c>
      <c r="B14265" s="1">
        <v>45960</v>
      </c>
      <c r="C14265" t="s">
        <v>24</v>
      </c>
      <c r="D14265" s="2">
        <v>0</v>
      </c>
      <c r="E14265" s="2">
        <v>1046.3699999999999</v>
      </c>
      <c r="F14265" t="s">
        <v>13</v>
      </c>
      <c r="G14265" t="s">
        <v>9</v>
      </c>
    </row>
    <row r="14266" spans="1:7" x14ac:dyDescent="0.35">
      <c r="A14266">
        <v>5673</v>
      </c>
      <c r="B14266" s="1">
        <v>45960</v>
      </c>
      <c r="C14266" t="s">
        <v>24</v>
      </c>
      <c r="D14266" s="2">
        <v>1563.65</v>
      </c>
      <c r="E14266" s="2">
        <v>0</v>
      </c>
      <c r="F14266" t="s">
        <v>8</v>
      </c>
      <c r="G14266" t="s">
        <v>9</v>
      </c>
    </row>
    <row r="14267" spans="1:7" x14ac:dyDescent="0.35">
      <c r="A14267">
        <v>5673</v>
      </c>
      <c r="B14267" s="1">
        <v>45960</v>
      </c>
      <c r="C14267" t="s">
        <v>24</v>
      </c>
      <c r="D14267" s="2">
        <v>0</v>
      </c>
      <c r="E14267" s="2">
        <v>1563.65</v>
      </c>
      <c r="F14267" t="s">
        <v>13</v>
      </c>
      <c r="G14267" t="s">
        <v>9</v>
      </c>
    </row>
    <row r="14268" spans="1:7" x14ac:dyDescent="0.35">
      <c r="A14268">
        <v>5674</v>
      </c>
      <c r="B14268" s="1">
        <v>45960</v>
      </c>
      <c r="C14268" t="s">
        <v>24</v>
      </c>
      <c r="D14268" s="2">
        <v>788.61</v>
      </c>
      <c r="E14268" s="2">
        <v>0</v>
      </c>
      <c r="F14268" t="s">
        <v>8</v>
      </c>
      <c r="G14268" t="s">
        <v>9</v>
      </c>
    </row>
    <row r="14269" spans="1:7" x14ac:dyDescent="0.35">
      <c r="A14269">
        <v>5674</v>
      </c>
      <c r="B14269" s="1">
        <v>45960</v>
      </c>
      <c r="C14269" t="s">
        <v>24</v>
      </c>
      <c r="D14269" s="2">
        <v>0</v>
      </c>
      <c r="E14269" s="2">
        <v>788.61</v>
      </c>
      <c r="F14269" t="s">
        <v>13</v>
      </c>
      <c r="G14269" t="s">
        <v>9</v>
      </c>
    </row>
    <row r="14270" spans="1:7" x14ac:dyDescent="0.35">
      <c r="A14270">
        <v>5675</v>
      </c>
      <c r="B14270" s="1">
        <v>45960</v>
      </c>
      <c r="C14270" t="s">
        <v>24</v>
      </c>
      <c r="D14270" s="2">
        <v>5118.09</v>
      </c>
      <c r="E14270" s="2">
        <v>0</v>
      </c>
      <c r="F14270" t="s">
        <v>8</v>
      </c>
      <c r="G14270" t="s">
        <v>9</v>
      </c>
    </row>
    <row r="14271" spans="1:7" x14ac:dyDescent="0.35">
      <c r="A14271">
        <v>5675</v>
      </c>
      <c r="B14271" s="1">
        <v>45960</v>
      </c>
      <c r="C14271" t="s">
        <v>24</v>
      </c>
      <c r="D14271" s="2">
        <v>0</v>
      </c>
      <c r="E14271" s="2">
        <v>5118.09</v>
      </c>
      <c r="F14271" t="s">
        <v>13</v>
      </c>
      <c r="G14271" t="s">
        <v>9</v>
      </c>
    </row>
    <row r="14272" spans="1:7" x14ac:dyDescent="0.35">
      <c r="A14272">
        <v>5676</v>
      </c>
      <c r="B14272" s="1">
        <v>45960</v>
      </c>
      <c r="C14272" t="s">
        <v>24</v>
      </c>
      <c r="D14272" s="2">
        <v>4553.83</v>
      </c>
      <c r="E14272" s="2">
        <v>0</v>
      </c>
      <c r="F14272" t="s">
        <v>8</v>
      </c>
      <c r="G14272" t="s">
        <v>9</v>
      </c>
    </row>
    <row r="14273" spans="1:7" x14ac:dyDescent="0.35">
      <c r="A14273">
        <v>5676</v>
      </c>
      <c r="B14273" s="1">
        <v>45960</v>
      </c>
      <c r="C14273" t="s">
        <v>24</v>
      </c>
      <c r="D14273" s="2">
        <v>0</v>
      </c>
      <c r="E14273" s="2">
        <v>4553.83</v>
      </c>
      <c r="F14273" t="s">
        <v>13</v>
      </c>
      <c r="G14273" t="s">
        <v>9</v>
      </c>
    </row>
    <row r="14274" spans="1:7" x14ac:dyDescent="0.35">
      <c r="A14274">
        <v>5677</v>
      </c>
      <c r="B14274" s="1">
        <v>45960</v>
      </c>
      <c r="C14274" t="s">
        <v>29</v>
      </c>
      <c r="D14274" s="2">
        <v>1591.54</v>
      </c>
      <c r="E14274" s="2">
        <v>0</v>
      </c>
      <c r="F14274" t="s">
        <v>28</v>
      </c>
      <c r="G14274" t="s">
        <v>17</v>
      </c>
    </row>
    <row r="14275" spans="1:7" x14ac:dyDescent="0.35">
      <c r="A14275">
        <v>5677</v>
      </c>
      <c r="B14275" s="1">
        <v>45960</v>
      </c>
      <c r="C14275" t="s">
        <v>29</v>
      </c>
      <c r="D14275" s="2">
        <v>0</v>
      </c>
      <c r="E14275" s="2">
        <v>1591.54</v>
      </c>
      <c r="F14275" t="s">
        <v>8</v>
      </c>
      <c r="G14275" t="s">
        <v>9</v>
      </c>
    </row>
    <row r="14276" spans="1:7" x14ac:dyDescent="0.35">
      <c r="A14276">
        <v>5678</v>
      </c>
      <c r="B14276" s="1">
        <v>45961</v>
      </c>
      <c r="C14276" t="s">
        <v>12</v>
      </c>
      <c r="D14276" s="2">
        <v>3450.39</v>
      </c>
      <c r="E14276" s="2">
        <v>0</v>
      </c>
      <c r="F14276" t="s">
        <v>13</v>
      </c>
      <c r="G14276" t="s">
        <v>9</v>
      </c>
    </row>
    <row r="14277" spans="1:7" x14ac:dyDescent="0.35">
      <c r="A14277">
        <v>5678</v>
      </c>
      <c r="B14277" s="1">
        <v>45961</v>
      </c>
      <c r="C14277" t="s">
        <v>12</v>
      </c>
      <c r="D14277" s="2">
        <v>0</v>
      </c>
      <c r="E14277" s="2">
        <v>3209.67</v>
      </c>
      <c r="F14277" t="s">
        <v>14</v>
      </c>
      <c r="G14277" t="s">
        <v>15</v>
      </c>
    </row>
    <row r="14278" spans="1:7" x14ac:dyDescent="0.35">
      <c r="A14278">
        <v>5678</v>
      </c>
      <c r="B14278" s="1">
        <v>45961</v>
      </c>
      <c r="C14278" t="s">
        <v>12</v>
      </c>
      <c r="D14278" s="2">
        <v>0</v>
      </c>
      <c r="E14278" s="2">
        <v>240.72</v>
      </c>
      <c r="F14278" t="s">
        <v>16</v>
      </c>
      <c r="G14278" t="s">
        <v>17</v>
      </c>
    </row>
    <row r="14279" spans="1:7" x14ac:dyDescent="0.35">
      <c r="A14279">
        <v>5679</v>
      </c>
      <c r="B14279" s="1">
        <v>45961</v>
      </c>
      <c r="C14279" t="s">
        <v>12</v>
      </c>
      <c r="D14279" s="2">
        <v>4520.76</v>
      </c>
      <c r="E14279" s="2">
        <v>0</v>
      </c>
      <c r="F14279" t="s">
        <v>13</v>
      </c>
      <c r="G14279" t="s">
        <v>9</v>
      </c>
    </row>
    <row r="14280" spans="1:7" x14ac:dyDescent="0.35">
      <c r="A14280">
        <v>5679</v>
      </c>
      <c r="B14280" s="1">
        <v>45961</v>
      </c>
      <c r="C14280" t="s">
        <v>12</v>
      </c>
      <c r="D14280" s="2">
        <v>0</v>
      </c>
      <c r="E14280" s="2">
        <v>4205.3599999999997</v>
      </c>
      <c r="F14280" t="s">
        <v>14</v>
      </c>
      <c r="G14280" t="s">
        <v>15</v>
      </c>
    </row>
    <row r="14281" spans="1:7" x14ac:dyDescent="0.35">
      <c r="A14281">
        <v>5679</v>
      </c>
      <c r="B14281" s="1">
        <v>45961</v>
      </c>
      <c r="C14281" t="s">
        <v>12</v>
      </c>
      <c r="D14281" s="2">
        <v>0</v>
      </c>
      <c r="E14281" s="2">
        <v>315.39999999999998</v>
      </c>
      <c r="F14281" t="s">
        <v>16</v>
      </c>
      <c r="G14281" t="s">
        <v>17</v>
      </c>
    </row>
    <row r="14282" spans="1:7" x14ac:dyDescent="0.35">
      <c r="A14282">
        <v>5680</v>
      </c>
      <c r="B14282" s="1">
        <v>45961</v>
      </c>
      <c r="C14282" t="s">
        <v>12</v>
      </c>
      <c r="D14282" s="2">
        <v>3404.28</v>
      </c>
      <c r="E14282" s="2">
        <v>0</v>
      </c>
      <c r="F14282" t="s">
        <v>13</v>
      </c>
      <c r="G14282" t="s">
        <v>9</v>
      </c>
    </row>
    <row r="14283" spans="1:7" x14ac:dyDescent="0.35">
      <c r="A14283">
        <v>5680</v>
      </c>
      <c r="B14283" s="1">
        <v>45961</v>
      </c>
      <c r="C14283" t="s">
        <v>12</v>
      </c>
      <c r="D14283" s="2">
        <v>0</v>
      </c>
      <c r="E14283" s="2">
        <v>3166.77</v>
      </c>
      <c r="F14283" t="s">
        <v>14</v>
      </c>
      <c r="G14283" t="s">
        <v>15</v>
      </c>
    </row>
    <row r="14284" spans="1:7" x14ac:dyDescent="0.35">
      <c r="A14284">
        <v>5680</v>
      </c>
      <c r="B14284" s="1">
        <v>45961</v>
      </c>
      <c r="C14284" t="s">
        <v>12</v>
      </c>
      <c r="D14284" s="2">
        <v>0</v>
      </c>
      <c r="E14284" s="2">
        <v>237.51</v>
      </c>
      <c r="F14284" t="s">
        <v>16</v>
      </c>
      <c r="G14284" t="s">
        <v>17</v>
      </c>
    </row>
    <row r="14285" spans="1:7" x14ac:dyDescent="0.35">
      <c r="A14285">
        <v>5681</v>
      </c>
      <c r="B14285" s="1">
        <v>45961</v>
      </c>
      <c r="C14285" t="s">
        <v>12</v>
      </c>
      <c r="D14285" s="2">
        <v>338</v>
      </c>
      <c r="E14285" s="2">
        <v>0</v>
      </c>
      <c r="F14285" t="s">
        <v>13</v>
      </c>
      <c r="G14285" t="s">
        <v>9</v>
      </c>
    </row>
    <row r="14286" spans="1:7" x14ac:dyDescent="0.35">
      <c r="A14286">
        <v>5681</v>
      </c>
      <c r="B14286" s="1">
        <v>45961</v>
      </c>
      <c r="C14286" t="s">
        <v>12</v>
      </c>
      <c r="D14286" s="2">
        <v>0</v>
      </c>
      <c r="E14286" s="2">
        <v>314.42</v>
      </c>
      <c r="F14286" t="s">
        <v>14</v>
      </c>
      <c r="G14286" t="s">
        <v>15</v>
      </c>
    </row>
    <row r="14287" spans="1:7" x14ac:dyDescent="0.35">
      <c r="A14287">
        <v>5681</v>
      </c>
      <c r="B14287" s="1">
        <v>45961</v>
      </c>
      <c r="C14287" t="s">
        <v>12</v>
      </c>
      <c r="D14287" s="2">
        <v>0</v>
      </c>
      <c r="E14287" s="2">
        <v>23.58</v>
      </c>
      <c r="F14287" t="s">
        <v>16</v>
      </c>
      <c r="G14287" t="s">
        <v>17</v>
      </c>
    </row>
    <row r="14288" spans="1:7" x14ac:dyDescent="0.35">
      <c r="A14288">
        <v>5682</v>
      </c>
      <c r="B14288" s="1">
        <v>45961</v>
      </c>
      <c r="C14288" t="s">
        <v>12</v>
      </c>
      <c r="D14288" s="2">
        <v>3567.58</v>
      </c>
      <c r="E14288" s="2">
        <v>0</v>
      </c>
      <c r="F14288" t="s">
        <v>13</v>
      </c>
      <c r="G14288" t="s">
        <v>9</v>
      </c>
    </row>
    <row r="14289" spans="1:7" x14ac:dyDescent="0.35">
      <c r="A14289">
        <v>5682</v>
      </c>
      <c r="B14289" s="1">
        <v>45961</v>
      </c>
      <c r="C14289" t="s">
        <v>12</v>
      </c>
      <c r="D14289" s="2">
        <v>0</v>
      </c>
      <c r="E14289" s="2">
        <v>3318.68</v>
      </c>
      <c r="F14289" t="s">
        <v>14</v>
      </c>
      <c r="G14289" t="s">
        <v>15</v>
      </c>
    </row>
    <row r="14290" spans="1:7" x14ac:dyDescent="0.35">
      <c r="A14290">
        <v>5682</v>
      </c>
      <c r="B14290" s="1">
        <v>45961</v>
      </c>
      <c r="C14290" t="s">
        <v>12</v>
      </c>
      <c r="D14290" s="2">
        <v>0</v>
      </c>
      <c r="E14290" s="2">
        <v>248.9</v>
      </c>
      <c r="F14290" t="s">
        <v>16</v>
      </c>
      <c r="G14290" t="s">
        <v>17</v>
      </c>
    </row>
    <row r="14291" spans="1:7" x14ac:dyDescent="0.35">
      <c r="A14291">
        <v>5683</v>
      </c>
      <c r="B14291" s="1">
        <v>45961</v>
      </c>
      <c r="C14291" t="s">
        <v>12</v>
      </c>
      <c r="D14291" s="2">
        <v>2595.5100000000002</v>
      </c>
      <c r="E14291" s="2">
        <v>0</v>
      </c>
      <c r="F14291" t="s">
        <v>13</v>
      </c>
      <c r="G14291" t="s">
        <v>9</v>
      </c>
    </row>
    <row r="14292" spans="1:7" x14ac:dyDescent="0.35">
      <c r="A14292">
        <v>5683</v>
      </c>
      <c r="B14292" s="1">
        <v>45961</v>
      </c>
      <c r="C14292" t="s">
        <v>12</v>
      </c>
      <c r="D14292" s="2">
        <v>0</v>
      </c>
      <c r="E14292" s="2">
        <v>2414.4299999999998</v>
      </c>
      <c r="F14292" t="s">
        <v>14</v>
      </c>
      <c r="G14292" t="s">
        <v>15</v>
      </c>
    </row>
    <row r="14293" spans="1:7" x14ac:dyDescent="0.35">
      <c r="A14293">
        <v>5683</v>
      </c>
      <c r="B14293" s="1">
        <v>45961</v>
      </c>
      <c r="C14293" t="s">
        <v>12</v>
      </c>
      <c r="D14293" s="2">
        <v>0</v>
      </c>
      <c r="E14293" s="2">
        <v>181.08</v>
      </c>
      <c r="F14293" t="s">
        <v>16</v>
      </c>
      <c r="G14293" t="s">
        <v>17</v>
      </c>
    </row>
    <row r="14294" spans="1:7" x14ac:dyDescent="0.35">
      <c r="A14294">
        <v>5684</v>
      </c>
      <c r="B14294" s="1">
        <v>45961</v>
      </c>
      <c r="C14294" t="s">
        <v>12</v>
      </c>
      <c r="D14294" s="2">
        <v>5883</v>
      </c>
      <c r="E14294" s="2">
        <v>0</v>
      </c>
      <c r="F14294" t="s">
        <v>13</v>
      </c>
      <c r="G14294" t="s">
        <v>9</v>
      </c>
    </row>
    <row r="14295" spans="1:7" x14ac:dyDescent="0.35">
      <c r="A14295">
        <v>5684</v>
      </c>
      <c r="B14295" s="1">
        <v>45961</v>
      </c>
      <c r="C14295" t="s">
        <v>12</v>
      </c>
      <c r="D14295" s="2">
        <v>0</v>
      </c>
      <c r="E14295" s="2">
        <v>5472.56</v>
      </c>
      <c r="F14295" t="s">
        <v>14</v>
      </c>
      <c r="G14295" t="s">
        <v>15</v>
      </c>
    </row>
    <row r="14296" spans="1:7" x14ac:dyDescent="0.35">
      <c r="A14296">
        <v>5684</v>
      </c>
      <c r="B14296" s="1">
        <v>45961</v>
      </c>
      <c r="C14296" t="s">
        <v>12</v>
      </c>
      <c r="D14296" s="2">
        <v>0</v>
      </c>
      <c r="E14296" s="2">
        <v>410.44</v>
      </c>
      <c r="F14296" t="s">
        <v>16</v>
      </c>
      <c r="G14296" t="s">
        <v>17</v>
      </c>
    </row>
    <row r="14297" spans="1:7" x14ac:dyDescent="0.35">
      <c r="A14297">
        <v>5685</v>
      </c>
      <c r="B14297" s="1">
        <v>45961</v>
      </c>
      <c r="C14297" t="s">
        <v>24</v>
      </c>
      <c r="D14297" s="2">
        <v>1000.79</v>
      </c>
      <c r="E14297" s="2">
        <v>0</v>
      </c>
      <c r="F14297" t="s">
        <v>8</v>
      </c>
      <c r="G14297" t="s">
        <v>9</v>
      </c>
    </row>
    <row r="14298" spans="1:7" x14ac:dyDescent="0.35">
      <c r="A14298">
        <v>5685</v>
      </c>
      <c r="B14298" s="1">
        <v>45961</v>
      </c>
      <c r="C14298" t="s">
        <v>24</v>
      </c>
      <c r="D14298" s="2">
        <v>0</v>
      </c>
      <c r="E14298" s="2">
        <v>1000.79</v>
      </c>
      <c r="F14298" t="s">
        <v>13</v>
      </c>
      <c r="G14298" t="s">
        <v>9</v>
      </c>
    </row>
    <row r="14299" spans="1:7" x14ac:dyDescent="0.35">
      <c r="A14299">
        <v>5686</v>
      </c>
      <c r="B14299" s="1">
        <v>45961</v>
      </c>
      <c r="C14299" t="s">
        <v>24</v>
      </c>
      <c r="D14299" s="2">
        <v>2476.41</v>
      </c>
      <c r="E14299" s="2">
        <v>0</v>
      </c>
      <c r="F14299" t="s">
        <v>8</v>
      </c>
      <c r="G14299" t="s">
        <v>9</v>
      </c>
    </row>
    <row r="14300" spans="1:7" x14ac:dyDescent="0.35">
      <c r="A14300">
        <v>5686</v>
      </c>
      <c r="B14300" s="1">
        <v>45961</v>
      </c>
      <c r="C14300" t="s">
        <v>24</v>
      </c>
      <c r="D14300" s="2">
        <v>0</v>
      </c>
      <c r="E14300" s="2">
        <v>2476.41</v>
      </c>
      <c r="F14300" t="s">
        <v>13</v>
      </c>
      <c r="G14300" t="s">
        <v>9</v>
      </c>
    </row>
    <row r="14301" spans="1:7" x14ac:dyDescent="0.35">
      <c r="A14301">
        <v>5687</v>
      </c>
      <c r="B14301" s="1">
        <v>45961</v>
      </c>
      <c r="C14301" t="s">
        <v>24</v>
      </c>
      <c r="D14301" s="2">
        <v>2225.46</v>
      </c>
      <c r="E14301" s="2">
        <v>0</v>
      </c>
      <c r="F14301" t="s">
        <v>8</v>
      </c>
      <c r="G14301" t="s">
        <v>9</v>
      </c>
    </row>
    <row r="14302" spans="1:7" x14ac:dyDescent="0.35">
      <c r="A14302">
        <v>5687</v>
      </c>
      <c r="B14302" s="1">
        <v>45961</v>
      </c>
      <c r="C14302" t="s">
        <v>24</v>
      </c>
      <c r="D14302" s="2">
        <v>0</v>
      </c>
      <c r="E14302" s="2">
        <v>2225.46</v>
      </c>
      <c r="F14302" t="s">
        <v>13</v>
      </c>
      <c r="G14302" t="s">
        <v>9</v>
      </c>
    </row>
    <row r="14303" spans="1:7" x14ac:dyDescent="0.35">
      <c r="A14303">
        <v>5688</v>
      </c>
      <c r="B14303" s="1">
        <v>45961</v>
      </c>
      <c r="C14303" t="s">
        <v>24</v>
      </c>
      <c r="D14303" s="2">
        <v>5459.38</v>
      </c>
      <c r="E14303" s="2">
        <v>0</v>
      </c>
      <c r="F14303" t="s">
        <v>8</v>
      </c>
      <c r="G14303" t="s">
        <v>9</v>
      </c>
    </row>
    <row r="14304" spans="1:7" x14ac:dyDescent="0.35">
      <c r="A14304">
        <v>5688</v>
      </c>
      <c r="B14304" s="1">
        <v>45961</v>
      </c>
      <c r="C14304" t="s">
        <v>24</v>
      </c>
      <c r="D14304" s="2">
        <v>0</v>
      </c>
      <c r="E14304" s="2">
        <v>5459.38</v>
      </c>
      <c r="F14304" t="s">
        <v>13</v>
      </c>
      <c r="G14304" t="s">
        <v>9</v>
      </c>
    </row>
    <row r="14305" spans="1:7" x14ac:dyDescent="0.35">
      <c r="A14305">
        <v>5689</v>
      </c>
      <c r="B14305" s="1">
        <v>45961</v>
      </c>
      <c r="C14305" t="s">
        <v>24</v>
      </c>
      <c r="D14305" s="2">
        <v>716.97</v>
      </c>
      <c r="E14305" s="2">
        <v>0</v>
      </c>
      <c r="F14305" t="s">
        <v>8</v>
      </c>
      <c r="G14305" t="s">
        <v>9</v>
      </c>
    </row>
    <row r="14306" spans="1:7" x14ac:dyDescent="0.35">
      <c r="A14306">
        <v>5689</v>
      </c>
      <c r="B14306" s="1">
        <v>45961</v>
      </c>
      <c r="C14306" t="s">
        <v>24</v>
      </c>
      <c r="D14306" s="2">
        <v>0</v>
      </c>
      <c r="E14306" s="2">
        <v>716.97</v>
      </c>
      <c r="F14306" t="s">
        <v>13</v>
      </c>
      <c r="G14306" t="s">
        <v>9</v>
      </c>
    </row>
    <row r="14307" spans="1:7" x14ac:dyDescent="0.35">
      <c r="A14307">
        <v>5690</v>
      </c>
      <c r="B14307" s="1">
        <v>45961</v>
      </c>
      <c r="C14307" t="s">
        <v>24</v>
      </c>
      <c r="D14307" s="2">
        <v>1615.34</v>
      </c>
      <c r="E14307" s="2">
        <v>0</v>
      </c>
      <c r="F14307" t="s">
        <v>8</v>
      </c>
      <c r="G14307" t="s">
        <v>9</v>
      </c>
    </row>
    <row r="14308" spans="1:7" x14ac:dyDescent="0.35">
      <c r="A14308">
        <v>5690</v>
      </c>
      <c r="B14308" s="1">
        <v>45961</v>
      </c>
      <c r="C14308" t="s">
        <v>24</v>
      </c>
      <c r="D14308" s="2">
        <v>0</v>
      </c>
      <c r="E14308" s="2">
        <v>1615.34</v>
      </c>
      <c r="F14308" t="s">
        <v>13</v>
      </c>
      <c r="G14308" t="s">
        <v>9</v>
      </c>
    </row>
    <row r="14309" spans="1:7" x14ac:dyDescent="0.35">
      <c r="A14309">
        <v>5691</v>
      </c>
      <c r="B14309" s="1">
        <v>45961</v>
      </c>
      <c r="C14309" t="s">
        <v>24</v>
      </c>
      <c r="D14309" s="2">
        <v>3260.74</v>
      </c>
      <c r="E14309" s="2">
        <v>0</v>
      </c>
      <c r="F14309" t="s">
        <v>8</v>
      </c>
      <c r="G14309" t="s">
        <v>9</v>
      </c>
    </row>
    <row r="14310" spans="1:7" x14ac:dyDescent="0.35">
      <c r="A14310">
        <v>5691</v>
      </c>
      <c r="B14310" s="1">
        <v>45961</v>
      </c>
      <c r="C14310" t="s">
        <v>24</v>
      </c>
      <c r="D14310" s="2">
        <v>0</v>
      </c>
      <c r="E14310" s="2">
        <v>3260.74</v>
      </c>
      <c r="F14310" t="s">
        <v>13</v>
      </c>
      <c r="G14310" t="s">
        <v>9</v>
      </c>
    </row>
    <row r="14311" spans="1:7" x14ac:dyDescent="0.35">
      <c r="A14311">
        <v>5692</v>
      </c>
      <c r="B14311" s="1">
        <v>45961</v>
      </c>
      <c r="C14311" t="s">
        <v>25</v>
      </c>
      <c r="D14311" s="2">
        <v>1643.22</v>
      </c>
      <c r="E14311" s="2">
        <v>0</v>
      </c>
      <c r="F14311" t="s">
        <v>26</v>
      </c>
      <c r="G14311" t="s">
        <v>20</v>
      </c>
    </row>
    <row r="14312" spans="1:7" x14ac:dyDescent="0.35">
      <c r="A14312">
        <v>5692</v>
      </c>
      <c r="B14312" s="1">
        <v>45961</v>
      </c>
      <c r="C14312" t="s">
        <v>25</v>
      </c>
      <c r="D14312" s="2">
        <v>123.24</v>
      </c>
      <c r="E14312" s="2">
        <v>0</v>
      </c>
      <c r="F14312" t="s">
        <v>27</v>
      </c>
      <c r="G14312" t="s">
        <v>9</v>
      </c>
    </row>
    <row r="14313" spans="1:7" x14ac:dyDescent="0.35">
      <c r="A14313">
        <v>5692</v>
      </c>
      <c r="B14313" s="1">
        <v>45961</v>
      </c>
      <c r="C14313" t="s">
        <v>25</v>
      </c>
      <c r="D14313" s="2">
        <v>0</v>
      </c>
      <c r="E14313" s="2">
        <v>1766.46</v>
      </c>
      <c r="F14313" t="s">
        <v>28</v>
      </c>
      <c r="G14313" t="s">
        <v>17</v>
      </c>
    </row>
    <row r="14314" spans="1:7" x14ac:dyDescent="0.35">
      <c r="A14314">
        <v>5693</v>
      </c>
      <c r="B14314" s="1">
        <v>45961</v>
      </c>
      <c r="C14314" t="s">
        <v>29</v>
      </c>
      <c r="D14314" s="2">
        <v>3528.97</v>
      </c>
      <c r="E14314" s="2">
        <v>0</v>
      </c>
      <c r="F14314" t="s">
        <v>28</v>
      </c>
      <c r="G14314" t="s">
        <v>17</v>
      </c>
    </row>
    <row r="14315" spans="1:7" x14ac:dyDescent="0.35">
      <c r="A14315">
        <v>5693</v>
      </c>
      <c r="B14315" s="1">
        <v>45961</v>
      </c>
      <c r="C14315" t="s">
        <v>29</v>
      </c>
      <c r="D14315" s="2">
        <v>0</v>
      </c>
      <c r="E14315" s="2">
        <v>3528.97</v>
      </c>
      <c r="F14315" t="s">
        <v>8</v>
      </c>
      <c r="G14315" t="s">
        <v>9</v>
      </c>
    </row>
    <row r="14316" spans="1:7" x14ac:dyDescent="0.35">
      <c r="A14316">
        <v>5694</v>
      </c>
      <c r="B14316" s="1">
        <v>45961</v>
      </c>
      <c r="C14316" t="s">
        <v>30</v>
      </c>
      <c r="D14316" s="2">
        <v>93.37</v>
      </c>
      <c r="E14316" s="2">
        <v>0</v>
      </c>
      <c r="F14316" t="s">
        <v>31</v>
      </c>
      <c r="G14316" t="s">
        <v>20</v>
      </c>
    </row>
    <row r="14317" spans="1:7" x14ac:dyDescent="0.35">
      <c r="A14317">
        <v>5694</v>
      </c>
      <c r="B14317" s="1">
        <v>45961</v>
      </c>
      <c r="C14317" t="s">
        <v>30</v>
      </c>
      <c r="D14317" s="2">
        <v>0</v>
      </c>
      <c r="E14317" s="2">
        <v>93.37</v>
      </c>
      <c r="F14317" t="s">
        <v>32</v>
      </c>
      <c r="G14317" t="s">
        <v>9</v>
      </c>
    </row>
    <row r="14318" spans="1:7" x14ac:dyDescent="0.35">
      <c r="A14318">
        <v>5695</v>
      </c>
      <c r="B14318" s="1">
        <v>45961</v>
      </c>
      <c r="C14318" t="s">
        <v>33</v>
      </c>
      <c r="D14318" s="2">
        <v>0.04</v>
      </c>
      <c r="E14318" s="2">
        <v>0</v>
      </c>
      <c r="F14318" t="s">
        <v>31</v>
      </c>
      <c r="G14318" t="s">
        <v>20</v>
      </c>
    </row>
    <row r="14319" spans="1:7" x14ac:dyDescent="0.35">
      <c r="A14319">
        <v>5695</v>
      </c>
      <c r="B14319" s="1">
        <v>45961</v>
      </c>
      <c r="C14319" t="s">
        <v>33</v>
      </c>
      <c r="D14319" s="2">
        <v>0</v>
      </c>
      <c r="E14319" s="2">
        <v>0.04</v>
      </c>
      <c r="F14319" t="s">
        <v>32</v>
      </c>
      <c r="G14319" t="s">
        <v>9</v>
      </c>
    </row>
    <row r="14320" spans="1:7" x14ac:dyDescent="0.35">
      <c r="A14320">
        <v>5696</v>
      </c>
      <c r="B14320" s="1">
        <v>45961</v>
      </c>
      <c r="C14320" t="s">
        <v>34</v>
      </c>
      <c r="D14320" s="2">
        <v>20.03</v>
      </c>
      <c r="E14320" s="2">
        <v>0</v>
      </c>
      <c r="F14320" t="s">
        <v>31</v>
      </c>
      <c r="G14320" t="s">
        <v>20</v>
      </c>
    </row>
    <row r="14321" spans="1:7" x14ac:dyDescent="0.35">
      <c r="A14321">
        <v>5696</v>
      </c>
      <c r="B14321" s="1">
        <v>45961</v>
      </c>
      <c r="C14321" t="s">
        <v>34</v>
      </c>
      <c r="D14321" s="2">
        <v>0</v>
      </c>
      <c r="E14321" s="2">
        <v>20.03</v>
      </c>
      <c r="F14321" t="s">
        <v>32</v>
      </c>
      <c r="G14321" t="s">
        <v>9</v>
      </c>
    </row>
    <row r="14322" spans="1:7" x14ac:dyDescent="0.35">
      <c r="A14322">
        <v>5697</v>
      </c>
      <c r="B14322" s="1">
        <v>45961</v>
      </c>
      <c r="C14322" t="s">
        <v>35</v>
      </c>
      <c r="D14322" s="2">
        <v>86.89</v>
      </c>
      <c r="E14322" s="2">
        <v>0</v>
      </c>
      <c r="F14322" t="s">
        <v>31</v>
      </c>
      <c r="G14322" t="s">
        <v>20</v>
      </c>
    </row>
    <row r="14323" spans="1:7" x14ac:dyDescent="0.35">
      <c r="A14323">
        <v>5697</v>
      </c>
      <c r="B14323" s="1">
        <v>45961</v>
      </c>
      <c r="C14323" t="s">
        <v>35</v>
      </c>
      <c r="D14323" s="2">
        <v>0</v>
      </c>
      <c r="E14323" s="2">
        <v>86.89</v>
      </c>
      <c r="F14323" t="s">
        <v>36</v>
      </c>
      <c r="G14323" t="s">
        <v>9</v>
      </c>
    </row>
    <row r="14324" spans="1:7" x14ac:dyDescent="0.35">
      <c r="A14324">
        <v>5698</v>
      </c>
      <c r="B14324" s="1">
        <v>45961</v>
      </c>
      <c r="C14324" t="s">
        <v>37</v>
      </c>
      <c r="D14324" s="2">
        <v>76.8</v>
      </c>
      <c r="E14324" s="2">
        <v>0</v>
      </c>
      <c r="F14324" t="s">
        <v>31</v>
      </c>
      <c r="G14324" t="s">
        <v>20</v>
      </c>
    </row>
    <row r="14325" spans="1:7" x14ac:dyDescent="0.35">
      <c r="A14325">
        <v>5698</v>
      </c>
      <c r="B14325" s="1">
        <v>45961</v>
      </c>
      <c r="C14325" t="s">
        <v>37</v>
      </c>
      <c r="D14325" s="2">
        <v>0</v>
      </c>
      <c r="E14325" s="2">
        <v>76.8</v>
      </c>
      <c r="F14325" t="s">
        <v>36</v>
      </c>
      <c r="G14325" t="s">
        <v>9</v>
      </c>
    </row>
    <row r="14326" spans="1:7" x14ac:dyDescent="0.35">
      <c r="A14326">
        <v>5699</v>
      </c>
      <c r="B14326" s="1">
        <v>45961</v>
      </c>
      <c r="C14326" t="s">
        <v>38</v>
      </c>
      <c r="D14326" s="2">
        <v>48.28</v>
      </c>
      <c r="E14326" s="2">
        <v>0</v>
      </c>
      <c r="F14326" t="s">
        <v>31</v>
      </c>
      <c r="G14326" t="s">
        <v>20</v>
      </c>
    </row>
    <row r="14327" spans="1:7" x14ac:dyDescent="0.35">
      <c r="A14327">
        <v>5699</v>
      </c>
      <c r="B14327" s="1">
        <v>45961</v>
      </c>
      <c r="C14327" t="s">
        <v>38</v>
      </c>
      <c r="D14327" s="2">
        <v>0</v>
      </c>
      <c r="E14327" s="2">
        <v>48.28</v>
      </c>
      <c r="F14327" t="s">
        <v>36</v>
      </c>
      <c r="G14327" t="s">
        <v>9</v>
      </c>
    </row>
    <row r="14328" spans="1:7" x14ac:dyDescent="0.35">
      <c r="A14328">
        <v>5700</v>
      </c>
      <c r="B14328" s="1">
        <v>45961</v>
      </c>
      <c r="C14328" t="s">
        <v>39</v>
      </c>
      <c r="D14328" s="2">
        <v>53.21</v>
      </c>
      <c r="E14328" s="2">
        <v>0</v>
      </c>
      <c r="F14328" t="s">
        <v>31</v>
      </c>
      <c r="G14328" t="s">
        <v>20</v>
      </c>
    </row>
    <row r="14329" spans="1:7" x14ac:dyDescent="0.35">
      <c r="A14329">
        <v>5700</v>
      </c>
      <c r="B14329" s="1">
        <v>45961</v>
      </c>
      <c r="C14329" t="s">
        <v>39</v>
      </c>
      <c r="D14329" s="2">
        <v>0</v>
      </c>
      <c r="E14329" s="2">
        <v>53.21</v>
      </c>
      <c r="F14329" t="s">
        <v>36</v>
      </c>
      <c r="G14329" t="s">
        <v>9</v>
      </c>
    </row>
    <row r="14330" spans="1:7" x14ac:dyDescent="0.35">
      <c r="A14330">
        <v>5701</v>
      </c>
      <c r="B14330" s="1">
        <v>45961</v>
      </c>
      <c r="C14330" t="s">
        <v>40</v>
      </c>
      <c r="D14330" s="2">
        <v>232.19</v>
      </c>
      <c r="E14330" s="2">
        <v>0</v>
      </c>
      <c r="F14330" t="s">
        <v>31</v>
      </c>
      <c r="G14330" t="s">
        <v>20</v>
      </c>
    </row>
    <row r="14331" spans="1:7" x14ac:dyDescent="0.35">
      <c r="A14331">
        <v>5701</v>
      </c>
      <c r="B14331" s="1">
        <v>45961</v>
      </c>
      <c r="C14331" t="s">
        <v>40</v>
      </c>
      <c r="D14331" s="2">
        <v>0</v>
      </c>
      <c r="E14331" s="2">
        <v>232.19</v>
      </c>
      <c r="F14331" t="s">
        <v>41</v>
      </c>
      <c r="G14331" t="s">
        <v>9</v>
      </c>
    </row>
    <row r="14332" spans="1:7" x14ac:dyDescent="0.35">
      <c r="A14332">
        <v>5702</v>
      </c>
      <c r="B14332" s="1">
        <v>45961</v>
      </c>
      <c r="C14332" t="s">
        <v>42</v>
      </c>
      <c r="D14332" s="2">
        <v>43.85</v>
      </c>
      <c r="E14332" s="2">
        <v>0</v>
      </c>
      <c r="F14332" t="s">
        <v>31</v>
      </c>
      <c r="G14332" t="s">
        <v>20</v>
      </c>
    </row>
    <row r="14333" spans="1:7" x14ac:dyDescent="0.35">
      <c r="A14333">
        <v>5702</v>
      </c>
      <c r="B14333" s="1">
        <v>45961</v>
      </c>
      <c r="C14333" t="s">
        <v>42</v>
      </c>
      <c r="D14333" s="2">
        <v>0</v>
      </c>
      <c r="E14333" s="2">
        <v>43.85</v>
      </c>
      <c r="F14333" t="s">
        <v>32</v>
      </c>
      <c r="G14333" t="s">
        <v>9</v>
      </c>
    </row>
    <row r="14334" spans="1:7" x14ac:dyDescent="0.35">
      <c r="A14334">
        <v>5703</v>
      </c>
      <c r="B14334" s="1">
        <v>45964</v>
      </c>
      <c r="C14334" t="s">
        <v>12</v>
      </c>
      <c r="D14334" s="2">
        <v>1652.17</v>
      </c>
      <c r="E14334" s="2">
        <v>0</v>
      </c>
      <c r="F14334" t="s">
        <v>13</v>
      </c>
      <c r="G14334" t="s">
        <v>9</v>
      </c>
    </row>
    <row r="14335" spans="1:7" x14ac:dyDescent="0.35">
      <c r="A14335">
        <v>5703</v>
      </c>
      <c r="B14335" s="1">
        <v>45964</v>
      </c>
      <c r="C14335" t="s">
        <v>12</v>
      </c>
      <c r="D14335" s="2">
        <v>0</v>
      </c>
      <c r="E14335" s="2">
        <v>1536.9</v>
      </c>
      <c r="F14335" t="s">
        <v>14</v>
      </c>
      <c r="G14335" t="s">
        <v>15</v>
      </c>
    </row>
    <row r="14336" spans="1:7" x14ac:dyDescent="0.35">
      <c r="A14336">
        <v>5703</v>
      </c>
      <c r="B14336" s="1">
        <v>45964</v>
      </c>
      <c r="C14336" t="s">
        <v>12</v>
      </c>
      <c r="D14336" s="2">
        <v>0</v>
      </c>
      <c r="E14336" s="2">
        <v>115.27</v>
      </c>
      <c r="F14336" t="s">
        <v>16</v>
      </c>
      <c r="G14336" t="s">
        <v>17</v>
      </c>
    </row>
    <row r="14337" spans="1:7" x14ac:dyDescent="0.35">
      <c r="A14337">
        <v>5704</v>
      </c>
      <c r="B14337" s="1">
        <v>45964</v>
      </c>
      <c r="C14337" t="s">
        <v>12</v>
      </c>
      <c r="D14337" s="2">
        <v>3772.15</v>
      </c>
      <c r="E14337" s="2">
        <v>0</v>
      </c>
      <c r="F14337" t="s">
        <v>13</v>
      </c>
      <c r="G14337" t="s">
        <v>9</v>
      </c>
    </row>
    <row r="14338" spans="1:7" x14ac:dyDescent="0.35">
      <c r="A14338">
        <v>5704</v>
      </c>
      <c r="B14338" s="1">
        <v>45964</v>
      </c>
      <c r="C14338" t="s">
        <v>12</v>
      </c>
      <c r="D14338" s="2">
        <v>0</v>
      </c>
      <c r="E14338" s="2">
        <v>3508.97</v>
      </c>
      <c r="F14338" t="s">
        <v>14</v>
      </c>
      <c r="G14338" t="s">
        <v>15</v>
      </c>
    </row>
    <row r="14339" spans="1:7" x14ac:dyDescent="0.35">
      <c r="A14339">
        <v>5704</v>
      </c>
      <c r="B14339" s="1">
        <v>45964</v>
      </c>
      <c r="C14339" t="s">
        <v>12</v>
      </c>
      <c r="D14339" s="2">
        <v>0</v>
      </c>
      <c r="E14339" s="2">
        <v>263.18</v>
      </c>
      <c r="F14339" t="s">
        <v>16</v>
      </c>
      <c r="G14339" t="s">
        <v>17</v>
      </c>
    </row>
    <row r="14340" spans="1:7" x14ac:dyDescent="0.35">
      <c r="A14340">
        <v>5705</v>
      </c>
      <c r="B14340" s="1">
        <v>45964</v>
      </c>
      <c r="C14340" t="s">
        <v>12</v>
      </c>
      <c r="D14340" s="2">
        <v>2325.52</v>
      </c>
      <c r="E14340" s="2">
        <v>0</v>
      </c>
      <c r="F14340" t="s">
        <v>13</v>
      </c>
      <c r="G14340" t="s">
        <v>9</v>
      </c>
    </row>
    <row r="14341" spans="1:7" x14ac:dyDescent="0.35">
      <c r="A14341">
        <v>5705</v>
      </c>
      <c r="B14341" s="1">
        <v>45964</v>
      </c>
      <c r="C14341" t="s">
        <v>12</v>
      </c>
      <c r="D14341" s="2">
        <v>0</v>
      </c>
      <c r="E14341" s="2">
        <v>2163.2600000000002</v>
      </c>
      <c r="F14341" t="s">
        <v>14</v>
      </c>
      <c r="G14341" t="s">
        <v>15</v>
      </c>
    </row>
    <row r="14342" spans="1:7" x14ac:dyDescent="0.35">
      <c r="A14342">
        <v>5705</v>
      </c>
      <c r="B14342" s="1">
        <v>45964</v>
      </c>
      <c r="C14342" t="s">
        <v>12</v>
      </c>
      <c r="D14342" s="2">
        <v>0</v>
      </c>
      <c r="E14342" s="2">
        <v>162.26</v>
      </c>
      <c r="F14342" t="s">
        <v>16</v>
      </c>
      <c r="G14342" t="s">
        <v>17</v>
      </c>
    </row>
    <row r="14343" spans="1:7" x14ac:dyDescent="0.35">
      <c r="A14343">
        <v>5706</v>
      </c>
      <c r="B14343" s="1">
        <v>45964</v>
      </c>
      <c r="C14343" t="s">
        <v>12</v>
      </c>
      <c r="D14343" s="2">
        <v>2039.84</v>
      </c>
      <c r="E14343" s="2">
        <v>0</v>
      </c>
      <c r="F14343" t="s">
        <v>13</v>
      </c>
      <c r="G14343" t="s">
        <v>9</v>
      </c>
    </row>
    <row r="14344" spans="1:7" x14ac:dyDescent="0.35">
      <c r="A14344">
        <v>5706</v>
      </c>
      <c r="B14344" s="1">
        <v>45964</v>
      </c>
      <c r="C14344" t="s">
        <v>12</v>
      </c>
      <c r="D14344" s="2">
        <v>0</v>
      </c>
      <c r="E14344" s="2">
        <v>1897.53</v>
      </c>
      <c r="F14344" t="s">
        <v>14</v>
      </c>
      <c r="G14344" t="s">
        <v>15</v>
      </c>
    </row>
    <row r="14345" spans="1:7" x14ac:dyDescent="0.35">
      <c r="A14345">
        <v>5706</v>
      </c>
      <c r="B14345" s="1">
        <v>45964</v>
      </c>
      <c r="C14345" t="s">
        <v>12</v>
      </c>
      <c r="D14345" s="2">
        <v>0</v>
      </c>
      <c r="E14345" s="2">
        <v>142.31</v>
      </c>
      <c r="F14345" t="s">
        <v>16</v>
      </c>
      <c r="G14345" t="s">
        <v>17</v>
      </c>
    </row>
    <row r="14346" spans="1:7" x14ac:dyDescent="0.35">
      <c r="A14346">
        <v>5707</v>
      </c>
      <c r="B14346" s="1">
        <v>45964</v>
      </c>
      <c r="C14346" t="s">
        <v>12</v>
      </c>
      <c r="D14346" s="2">
        <v>2043.84</v>
      </c>
      <c r="E14346" s="2">
        <v>0</v>
      </c>
      <c r="F14346" t="s">
        <v>13</v>
      </c>
      <c r="G14346" t="s">
        <v>9</v>
      </c>
    </row>
    <row r="14347" spans="1:7" x14ac:dyDescent="0.35">
      <c r="A14347">
        <v>5707</v>
      </c>
      <c r="B14347" s="1">
        <v>45964</v>
      </c>
      <c r="C14347" t="s">
        <v>12</v>
      </c>
      <c r="D14347" s="2">
        <v>0</v>
      </c>
      <c r="E14347" s="2">
        <v>1901.25</v>
      </c>
      <c r="F14347" t="s">
        <v>14</v>
      </c>
      <c r="G14347" t="s">
        <v>15</v>
      </c>
    </row>
    <row r="14348" spans="1:7" x14ac:dyDescent="0.35">
      <c r="A14348">
        <v>5707</v>
      </c>
      <c r="B14348" s="1">
        <v>45964</v>
      </c>
      <c r="C14348" t="s">
        <v>12</v>
      </c>
      <c r="D14348" s="2">
        <v>0</v>
      </c>
      <c r="E14348" s="2">
        <v>142.59</v>
      </c>
      <c r="F14348" t="s">
        <v>16</v>
      </c>
      <c r="G14348" t="s">
        <v>17</v>
      </c>
    </row>
    <row r="14349" spans="1:7" x14ac:dyDescent="0.35">
      <c r="A14349">
        <v>5708</v>
      </c>
      <c r="B14349" s="1">
        <v>45964</v>
      </c>
      <c r="C14349" t="s">
        <v>12</v>
      </c>
      <c r="D14349" s="2">
        <v>2974.44</v>
      </c>
      <c r="E14349" s="2">
        <v>0</v>
      </c>
      <c r="F14349" t="s">
        <v>13</v>
      </c>
      <c r="G14349" t="s">
        <v>9</v>
      </c>
    </row>
    <row r="14350" spans="1:7" x14ac:dyDescent="0.35">
      <c r="A14350">
        <v>5708</v>
      </c>
      <c r="B14350" s="1">
        <v>45964</v>
      </c>
      <c r="C14350" t="s">
        <v>12</v>
      </c>
      <c r="D14350" s="2">
        <v>0</v>
      </c>
      <c r="E14350" s="2">
        <v>2766.92</v>
      </c>
      <c r="F14350" t="s">
        <v>14</v>
      </c>
      <c r="G14350" t="s">
        <v>15</v>
      </c>
    </row>
    <row r="14351" spans="1:7" x14ac:dyDescent="0.35">
      <c r="A14351">
        <v>5708</v>
      </c>
      <c r="B14351" s="1">
        <v>45964</v>
      </c>
      <c r="C14351" t="s">
        <v>12</v>
      </c>
      <c r="D14351" s="2">
        <v>0</v>
      </c>
      <c r="E14351" s="2">
        <v>207.52</v>
      </c>
      <c r="F14351" t="s">
        <v>16</v>
      </c>
      <c r="G14351" t="s">
        <v>17</v>
      </c>
    </row>
    <row r="14352" spans="1:7" x14ac:dyDescent="0.35">
      <c r="A14352">
        <v>5709</v>
      </c>
      <c r="B14352" s="1">
        <v>45964</v>
      </c>
      <c r="C14352" t="s">
        <v>12</v>
      </c>
      <c r="D14352" s="2">
        <v>1717.6</v>
      </c>
      <c r="E14352" s="2">
        <v>0</v>
      </c>
      <c r="F14352" t="s">
        <v>13</v>
      </c>
      <c r="G14352" t="s">
        <v>9</v>
      </c>
    </row>
    <row r="14353" spans="1:7" x14ac:dyDescent="0.35">
      <c r="A14353">
        <v>5709</v>
      </c>
      <c r="B14353" s="1">
        <v>45964</v>
      </c>
      <c r="C14353" t="s">
        <v>12</v>
      </c>
      <c r="D14353" s="2">
        <v>0</v>
      </c>
      <c r="E14353" s="2">
        <v>1597.77</v>
      </c>
      <c r="F14353" t="s">
        <v>14</v>
      </c>
      <c r="G14353" t="s">
        <v>15</v>
      </c>
    </row>
    <row r="14354" spans="1:7" x14ac:dyDescent="0.35">
      <c r="A14354">
        <v>5709</v>
      </c>
      <c r="B14354" s="1">
        <v>45964</v>
      </c>
      <c r="C14354" t="s">
        <v>12</v>
      </c>
      <c r="D14354" s="2">
        <v>0</v>
      </c>
      <c r="E14354" s="2">
        <v>119.83</v>
      </c>
      <c r="F14354" t="s">
        <v>16</v>
      </c>
      <c r="G14354" t="s">
        <v>17</v>
      </c>
    </row>
    <row r="14355" spans="1:7" x14ac:dyDescent="0.35">
      <c r="A14355">
        <v>5710</v>
      </c>
      <c r="B14355" s="1">
        <v>45964</v>
      </c>
      <c r="C14355" t="s">
        <v>12</v>
      </c>
      <c r="D14355" s="2">
        <v>1432.4</v>
      </c>
      <c r="E14355" s="2">
        <v>0</v>
      </c>
      <c r="F14355" t="s">
        <v>13</v>
      </c>
      <c r="G14355" t="s">
        <v>9</v>
      </c>
    </row>
    <row r="14356" spans="1:7" x14ac:dyDescent="0.35">
      <c r="A14356">
        <v>5710</v>
      </c>
      <c r="B14356" s="1">
        <v>45964</v>
      </c>
      <c r="C14356" t="s">
        <v>12</v>
      </c>
      <c r="D14356" s="2">
        <v>0</v>
      </c>
      <c r="E14356" s="2">
        <v>1332.46</v>
      </c>
      <c r="F14356" t="s">
        <v>14</v>
      </c>
      <c r="G14356" t="s">
        <v>15</v>
      </c>
    </row>
    <row r="14357" spans="1:7" x14ac:dyDescent="0.35">
      <c r="A14357">
        <v>5710</v>
      </c>
      <c r="B14357" s="1">
        <v>45964</v>
      </c>
      <c r="C14357" t="s">
        <v>12</v>
      </c>
      <c r="D14357" s="2">
        <v>0</v>
      </c>
      <c r="E14357" s="2">
        <v>99.94</v>
      </c>
      <c r="F14357" t="s">
        <v>16</v>
      </c>
      <c r="G14357" t="s">
        <v>17</v>
      </c>
    </row>
    <row r="14358" spans="1:7" x14ac:dyDescent="0.35">
      <c r="A14358">
        <v>5711</v>
      </c>
      <c r="B14358" s="1">
        <v>45964</v>
      </c>
      <c r="C14358" t="s">
        <v>12</v>
      </c>
      <c r="D14358" s="2">
        <v>623.58000000000004</v>
      </c>
      <c r="E14358" s="2">
        <v>0</v>
      </c>
      <c r="F14358" t="s">
        <v>13</v>
      </c>
      <c r="G14358" t="s">
        <v>9</v>
      </c>
    </row>
    <row r="14359" spans="1:7" x14ac:dyDescent="0.35">
      <c r="A14359">
        <v>5711</v>
      </c>
      <c r="B14359" s="1">
        <v>45964</v>
      </c>
      <c r="C14359" t="s">
        <v>12</v>
      </c>
      <c r="D14359" s="2">
        <v>0</v>
      </c>
      <c r="E14359" s="2">
        <v>580.08000000000004</v>
      </c>
      <c r="F14359" t="s">
        <v>14</v>
      </c>
      <c r="G14359" t="s">
        <v>15</v>
      </c>
    </row>
    <row r="14360" spans="1:7" x14ac:dyDescent="0.35">
      <c r="A14360">
        <v>5711</v>
      </c>
      <c r="B14360" s="1">
        <v>45964</v>
      </c>
      <c r="C14360" t="s">
        <v>12</v>
      </c>
      <c r="D14360" s="2">
        <v>0</v>
      </c>
      <c r="E14360" s="2">
        <v>43.5</v>
      </c>
      <c r="F14360" t="s">
        <v>16</v>
      </c>
      <c r="G14360" t="s">
        <v>17</v>
      </c>
    </row>
    <row r="14361" spans="1:7" x14ac:dyDescent="0.35">
      <c r="A14361">
        <v>5712</v>
      </c>
      <c r="B14361" s="1">
        <v>45964</v>
      </c>
      <c r="C14361" t="s">
        <v>12</v>
      </c>
      <c r="D14361" s="2">
        <v>1270.03</v>
      </c>
      <c r="E14361" s="2">
        <v>0</v>
      </c>
      <c r="F14361" t="s">
        <v>13</v>
      </c>
      <c r="G14361" t="s">
        <v>9</v>
      </c>
    </row>
    <row r="14362" spans="1:7" x14ac:dyDescent="0.35">
      <c r="A14362">
        <v>5712</v>
      </c>
      <c r="B14362" s="1">
        <v>45964</v>
      </c>
      <c r="C14362" t="s">
        <v>12</v>
      </c>
      <c r="D14362" s="2">
        <v>0</v>
      </c>
      <c r="E14362" s="2">
        <v>1181.42</v>
      </c>
      <c r="F14362" t="s">
        <v>14</v>
      </c>
      <c r="G14362" t="s">
        <v>15</v>
      </c>
    </row>
    <row r="14363" spans="1:7" x14ac:dyDescent="0.35">
      <c r="A14363">
        <v>5712</v>
      </c>
      <c r="B14363" s="1">
        <v>45964</v>
      </c>
      <c r="C14363" t="s">
        <v>12</v>
      </c>
      <c r="D14363" s="2">
        <v>0</v>
      </c>
      <c r="E14363" s="2">
        <v>88.61</v>
      </c>
      <c r="F14363" t="s">
        <v>16</v>
      </c>
      <c r="G14363" t="s">
        <v>17</v>
      </c>
    </row>
    <row r="14364" spans="1:7" x14ac:dyDescent="0.35">
      <c r="A14364">
        <v>5713</v>
      </c>
      <c r="B14364" s="1">
        <v>45964</v>
      </c>
      <c r="C14364" t="s">
        <v>24</v>
      </c>
      <c r="D14364" s="2">
        <v>5032.54</v>
      </c>
      <c r="E14364" s="2">
        <v>0</v>
      </c>
      <c r="F14364" t="s">
        <v>8</v>
      </c>
      <c r="G14364" t="s">
        <v>9</v>
      </c>
    </row>
    <row r="14365" spans="1:7" x14ac:dyDescent="0.35">
      <c r="A14365">
        <v>5713</v>
      </c>
      <c r="B14365" s="1">
        <v>45964</v>
      </c>
      <c r="C14365" t="s">
        <v>24</v>
      </c>
      <c r="D14365" s="2">
        <v>0</v>
      </c>
      <c r="E14365" s="2">
        <v>5032.54</v>
      </c>
      <c r="F14365" t="s">
        <v>13</v>
      </c>
      <c r="G14365" t="s">
        <v>9</v>
      </c>
    </row>
    <row r="14366" spans="1:7" x14ac:dyDescent="0.35">
      <c r="A14366">
        <v>5714</v>
      </c>
      <c r="B14366" s="1">
        <v>45964</v>
      </c>
      <c r="C14366" t="s">
        <v>24</v>
      </c>
      <c r="D14366" s="2">
        <v>2578.44</v>
      </c>
      <c r="E14366" s="2">
        <v>0</v>
      </c>
      <c r="F14366" t="s">
        <v>8</v>
      </c>
      <c r="G14366" t="s">
        <v>9</v>
      </c>
    </row>
    <row r="14367" spans="1:7" x14ac:dyDescent="0.35">
      <c r="A14367">
        <v>5714</v>
      </c>
      <c r="B14367" s="1">
        <v>45964</v>
      </c>
      <c r="C14367" t="s">
        <v>24</v>
      </c>
      <c r="D14367" s="2">
        <v>0</v>
      </c>
      <c r="E14367" s="2">
        <v>2578.44</v>
      </c>
      <c r="F14367" t="s">
        <v>13</v>
      </c>
      <c r="G14367" t="s">
        <v>9</v>
      </c>
    </row>
    <row r="14368" spans="1:7" x14ac:dyDescent="0.35">
      <c r="A14368">
        <v>5715</v>
      </c>
      <c r="B14368" s="1">
        <v>45964</v>
      </c>
      <c r="C14368" t="s">
        <v>24</v>
      </c>
      <c r="D14368" s="2">
        <v>3237.08</v>
      </c>
      <c r="E14368" s="2">
        <v>0</v>
      </c>
      <c r="F14368" t="s">
        <v>8</v>
      </c>
      <c r="G14368" t="s">
        <v>9</v>
      </c>
    </row>
    <row r="14369" spans="1:7" x14ac:dyDescent="0.35">
      <c r="A14369">
        <v>5715</v>
      </c>
      <c r="B14369" s="1">
        <v>45964</v>
      </c>
      <c r="C14369" t="s">
        <v>24</v>
      </c>
      <c r="D14369" s="2">
        <v>0</v>
      </c>
      <c r="E14369" s="2">
        <v>3237.08</v>
      </c>
      <c r="F14369" t="s">
        <v>13</v>
      </c>
      <c r="G14369" t="s">
        <v>9</v>
      </c>
    </row>
    <row r="14370" spans="1:7" x14ac:dyDescent="0.35">
      <c r="A14370">
        <v>5716</v>
      </c>
      <c r="B14370" s="1">
        <v>45964</v>
      </c>
      <c r="C14370" t="s">
        <v>24</v>
      </c>
      <c r="D14370" s="2">
        <v>350.49</v>
      </c>
      <c r="E14370" s="2">
        <v>0</v>
      </c>
      <c r="F14370" t="s">
        <v>8</v>
      </c>
      <c r="G14370" t="s">
        <v>9</v>
      </c>
    </row>
    <row r="14371" spans="1:7" x14ac:dyDescent="0.35">
      <c r="A14371">
        <v>5716</v>
      </c>
      <c r="B14371" s="1">
        <v>45964</v>
      </c>
      <c r="C14371" t="s">
        <v>24</v>
      </c>
      <c r="D14371" s="2">
        <v>0</v>
      </c>
      <c r="E14371" s="2">
        <v>350.49</v>
      </c>
      <c r="F14371" t="s">
        <v>13</v>
      </c>
      <c r="G14371" t="s">
        <v>9</v>
      </c>
    </row>
    <row r="14372" spans="1:7" x14ac:dyDescent="0.35">
      <c r="A14372">
        <v>5717</v>
      </c>
      <c r="B14372" s="1">
        <v>45964</v>
      </c>
      <c r="C14372" t="s">
        <v>24</v>
      </c>
      <c r="D14372" s="2">
        <v>2572.13</v>
      </c>
      <c r="E14372" s="2">
        <v>0</v>
      </c>
      <c r="F14372" t="s">
        <v>8</v>
      </c>
      <c r="G14372" t="s">
        <v>9</v>
      </c>
    </row>
    <row r="14373" spans="1:7" x14ac:dyDescent="0.35">
      <c r="A14373">
        <v>5717</v>
      </c>
      <c r="B14373" s="1">
        <v>45964</v>
      </c>
      <c r="C14373" t="s">
        <v>24</v>
      </c>
      <c r="D14373" s="2">
        <v>0</v>
      </c>
      <c r="E14373" s="2">
        <v>2572.13</v>
      </c>
      <c r="F14373" t="s">
        <v>13</v>
      </c>
      <c r="G14373" t="s">
        <v>9</v>
      </c>
    </row>
    <row r="14374" spans="1:7" x14ac:dyDescent="0.35">
      <c r="A14374">
        <v>5718</v>
      </c>
      <c r="B14374" s="1">
        <v>45964</v>
      </c>
      <c r="C14374" t="s">
        <v>24</v>
      </c>
      <c r="D14374" s="2">
        <v>3227.16</v>
      </c>
      <c r="E14374" s="2">
        <v>0</v>
      </c>
      <c r="F14374" t="s">
        <v>8</v>
      </c>
      <c r="G14374" t="s">
        <v>9</v>
      </c>
    </row>
    <row r="14375" spans="1:7" x14ac:dyDescent="0.35">
      <c r="A14375">
        <v>5718</v>
      </c>
      <c r="B14375" s="1">
        <v>45964</v>
      </c>
      <c r="C14375" t="s">
        <v>24</v>
      </c>
      <c r="D14375" s="2">
        <v>0</v>
      </c>
      <c r="E14375" s="2">
        <v>3227.16</v>
      </c>
      <c r="F14375" t="s">
        <v>13</v>
      </c>
      <c r="G14375" t="s">
        <v>9</v>
      </c>
    </row>
    <row r="14376" spans="1:7" x14ac:dyDescent="0.35">
      <c r="A14376">
        <v>5719</v>
      </c>
      <c r="B14376" s="1">
        <v>45964</v>
      </c>
      <c r="C14376" t="s">
        <v>24</v>
      </c>
      <c r="D14376" s="2">
        <v>411.83</v>
      </c>
      <c r="E14376" s="2">
        <v>0</v>
      </c>
      <c r="F14376" t="s">
        <v>8</v>
      </c>
      <c r="G14376" t="s">
        <v>9</v>
      </c>
    </row>
    <row r="14377" spans="1:7" x14ac:dyDescent="0.35">
      <c r="A14377">
        <v>5719</v>
      </c>
      <c r="B14377" s="1">
        <v>45964</v>
      </c>
      <c r="C14377" t="s">
        <v>24</v>
      </c>
      <c r="D14377" s="2">
        <v>0</v>
      </c>
      <c r="E14377" s="2">
        <v>411.83</v>
      </c>
      <c r="F14377" t="s">
        <v>13</v>
      </c>
      <c r="G14377" t="s">
        <v>9</v>
      </c>
    </row>
    <row r="14378" spans="1:7" x14ac:dyDescent="0.35">
      <c r="A14378">
        <v>5720</v>
      </c>
      <c r="B14378" s="1">
        <v>45964</v>
      </c>
      <c r="C14378" t="s">
        <v>24</v>
      </c>
      <c r="D14378" s="2">
        <v>2366.0100000000002</v>
      </c>
      <c r="E14378" s="2">
        <v>0</v>
      </c>
      <c r="F14378" t="s">
        <v>8</v>
      </c>
      <c r="G14378" t="s">
        <v>9</v>
      </c>
    </row>
    <row r="14379" spans="1:7" x14ac:dyDescent="0.35">
      <c r="A14379">
        <v>5720</v>
      </c>
      <c r="B14379" s="1">
        <v>45964</v>
      </c>
      <c r="C14379" t="s">
        <v>24</v>
      </c>
      <c r="D14379" s="2">
        <v>0</v>
      </c>
      <c r="E14379" s="2">
        <v>2366.0100000000002</v>
      </c>
      <c r="F14379" t="s">
        <v>13</v>
      </c>
      <c r="G14379" t="s">
        <v>9</v>
      </c>
    </row>
    <row r="14380" spans="1:7" x14ac:dyDescent="0.35">
      <c r="A14380">
        <v>5721</v>
      </c>
      <c r="B14380" s="1">
        <v>45964</v>
      </c>
      <c r="C14380" t="s">
        <v>24</v>
      </c>
      <c r="D14380" s="2">
        <v>2505.5</v>
      </c>
      <c r="E14380" s="2">
        <v>0</v>
      </c>
      <c r="F14380" t="s">
        <v>8</v>
      </c>
      <c r="G14380" t="s">
        <v>9</v>
      </c>
    </row>
    <row r="14381" spans="1:7" x14ac:dyDescent="0.35">
      <c r="A14381">
        <v>5721</v>
      </c>
      <c r="B14381" s="1">
        <v>45964</v>
      </c>
      <c r="C14381" t="s">
        <v>24</v>
      </c>
      <c r="D14381" s="2">
        <v>0</v>
      </c>
      <c r="E14381" s="2">
        <v>2505.5</v>
      </c>
      <c r="F14381" t="s">
        <v>13</v>
      </c>
      <c r="G14381" t="s">
        <v>9</v>
      </c>
    </row>
    <row r="14382" spans="1:7" x14ac:dyDescent="0.35">
      <c r="A14382">
        <v>5722</v>
      </c>
      <c r="B14382" s="1">
        <v>45964</v>
      </c>
      <c r="C14382" t="s">
        <v>24</v>
      </c>
      <c r="D14382" s="2">
        <v>3772.15</v>
      </c>
      <c r="E14382" s="2">
        <v>0</v>
      </c>
      <c r="F14382" t="s">
        <v>8</v>
      </c>
      <c r="G14382" t="s">
        <v>9</v>
      </c>
    </row>
    <row r="14383" spans="1:7" x14ac:dyDescent="0.35">
      <c r="A14383">
        <v>5722</v>
      </c>
      <c r="B14383" s="1">
        <v>45964</v>
      </c>
      <c r="C14383" t="s">
        <v>24</v>
      </c>
      <c r="D14383" s="2">
        <v>0</v>
      </c>
      <c r="E14383" s="2">
        <v>3772.15</v>
      </c>
      <c r="F14383" t="s">
        <v>13</v>
      </c>
      <c r="G14383" t="s">
        <v>9</v>
      </c>
    </row>
    <row r="14384" spans="1:7" x14ac:dyDescent="0.35">
      <c r="A14384">
        <v>5723</v>
      </c>
      <c r="B14384" s="1">
        <v>45964</v>
      </c>
      <c r="C14384" t="s">
        <v>25</v>
      </c>
      <c r="D14384" s="2">
        <v>696.06</v>
      </c>
      <c r="E14384" s="2">
        <v>0</v>
      </c>
      <c r="F14384" t="s">
        <v>26</v>
      </c>
      <c r="G14384" t="s">
        <v>20</v>
      </c>
    </row>
    <row r="14385" spans="1:7" x14ac:dyDescent="0.35">
      <c r="A14385">
        <v>5723</v>
      </c>
      <c r="B14385" s="1">
        <v>45964</v>
      </c>
      <c r="C14385" t="s">
        <v>25</v>
      </c>
      <c r="D14385" s="2">
        <v>52.2</v>
      </c>
      <c r="E14385" s="2">
        <v>0</v>
      </c>
      <c r="F14385" t="s">
        <v>27</v>
      </c>
      <c r="G14385" t="s">
        <v>9</v>
      </c>
    </row>
    <row r="14386" spans="1:7" x14ac:dyDescent="0.35">
      <c r="A14386">
        <v>5723</v>
      </c>
      <c r="B14386" s="1">
        <v>45964</v>
      </c>
      <c r="C14386" t="s">
        <v>25</v>
      </c>
      <c r="D14386" s="2">
        <v>0</v>
      </c>
      <c r="E14386" s="2">
        <v>748.26</v>
      </c>
      <c r="F14386" t="s">
        <v>28</v>
      </c>
      <c r="G14386" t="s">
        <v>17</v>
      </c>
    </row>
    <row r="14387" spans="1:7" x14ac:dyDescent="0.35">
      <c r="A14387">
        <v>5724</v>
      </c>
      <c r="B14387" s="1">
        <v>45964</v>
      </c>
      <c r="C14387" t="s">
        <v>25</v>
      </c>
      <c r="D14387" s="2">
        <v>952.02</v>
      </c>
      <c r="E14387" s="2">
        <v>0</v>
      </c>
      <c r="F14387" t="s">
        <v>26</v>
      </c>
      <c r="G14387" t="s">
        <v>20</v>
      </c>
    </row>
    <row r="14388" spans="1:7" x14ac:dyDescent="0.35">
      <c r="A14388">
        <v>5724</v>
      </c>
      <c r="B14388" s="1">
        <v>45964</v>
      </c>
      <c r="C14388" t="s">
        <v>25</v>
      </c>
      <c r="D14388" s="2">
        <v>71.400000000000006</v>
      </c>
      <c r="E14388" s="2">
        <v>0</v>
      </c>
      <c r="F14388" t="s">
        <v>27</v>
      </c>
      <c r="G14388" t="s">
        <v>9</v>
      </c>
    </row>
    <row r="14389" spans="1:7" x14ac:dyDescent="0.35">
      <c r="A14389">
        <v>5724</v>
      </c>
      <c r="B14389" s="1">
        <v>45964</v>
      </c>
      <c r="C14389" t="s">
        <v>25</v>
      </c>
      <c r="D14389" s="2">
        <v>0</v>
      </c>
      <c r="E14389" s="2">
        <v>1023.42</v>
      </c>
      <c r="F14389" t="s">
        <v>28</v>
      </c>
      <c r="G14389" t="s">
        <v>17</v>
      </c>
    </row>
    <row r="14390" spans="1:7" x14ac:dyDescent="0.35">
      <c r="A14390">
        <v>5725</v>
      </c>
      <c r="B14390" s="1">
        <v>45964</v>
      </c>
      <c r="C14390" t="s">
        <v>25</v>
      </c>
      <c r="D14390" s="2">
        <v>8685.27</v>
      </c>
      <c r="E14390" s="2">
        <v>0</v>
      </c>
      <c r="F14390" t="s">
        <v>26</v>
      </c>
      <c r="G14390" t="s">
        <v>20</v>
      </c>
    </row>
    <row r="14391" spans="1:7" x14ac:dyDescent="0.35">
      <c r="A14391">
        <v>5725</v>
      </c>
      <c r="B14391" s="1">
        <v>45964</v>
      </c>
      <c r="C14391" t="s">
        <v>25</v>
      </c>
      <c r="D14391" s="2">
        <v>651.4</v>
      </c>
      <c r="E14391" s="2">
        <v>0</v>
      </c>
      <c r="F14391" t="s">
        <v>27</v>
      </c>
      <c r="G14391" t="s">
        <v>9</v>
      </c>
    </row>
    <row r="14392" spans="1:7" x14ac:dyDescent="0.35">
      <c r="A14392">
        <v>5725</v>
      </c>
      <c r="B14392" s="1">
        <v>45964</v>
      </c>
      <c r="C14392" t="s">
        <v>25</v>
      </c>
      <c r="D14392" s="2">
        <v>0</v>
      </c>
      <c r="E14392" s="2">
        <v>9336.67</v>
      </c>
      <c r="F14392" t="s">
        <v>28</v>
      </c>
      <c r="G14392" t="s">
        <v>17</v>
      </c>
    </row>
    <row r="14393" spans="1:7" x14ac:dyDescent="0.35">
      <c r="A14393">
        <v>5726</v>
      </c>
      <c r="B14393" s="1">
        <v>45964</v>
      </c>
      <c r="C14393" t="s">
        <v>25</v>
      </c>
      <c r="D14393" s="2">
        <v>2030.15</v>
      </c>
      <c r="E14393" s="2">
        <v>0</v>
      </c>
      <c r="F14393" t="s">
        <v>26</v>
      </c>
      <c r="G14393" t="s">
        <v>20</v>
      </c>
    </row>
    <row r="14394" spans="1:7" x14ac:dyDescent="0.35">
      <c r="A14394">
        <v>5726</v>
      </c>
      <c r="B14394" s="1">
        <v>45964</v>
      </c>
      <c r="C14394" t="s">
        <v>25</v>
      </c>
      <c r="D14394" s="2">
        <v>152.26</v>
      </c>
      <c r="E14394" s="2">
        <v>0</v>
      </c>
      <c r="F14394" t="s">
        <v>27</v>
      </c>
      <c r="G14394" t="s">
        <v>9</v>
      </c>
    </row>
    <row r="14395" spans="1:7" x14ac:dyDescent="0.35">
      <c r="A14395">
        <v>5726</v>
      </c>
      <c r="B14395" s="1">
        <v>45964</v>
      </c>
      <c r="C14395" t="s">
        <v>25</v>
      </c>
      <c r="D14395" s="2">
        <v>0</v>
      </c>
      <c r="E14395" s="2">
        <v>2182.41</v>
      </c>
      <c r="F14395" t="s">
        <v>28</v>
      </c>
      <c r="G14395" t="s">
        <v>17</v>
      </c>
    </row>
    <row r="14396" spans="1:7" x14ac:dyDescent="0.35">
      <c r="A14396">
        <v>5727</v>
      </c>
      <c r="B14396" s="1">
        <v>45964</v>
      </c>
      <c r="C14396" t="s">
        <v>25</v>
      </c>
      <c r="D14396" s="2">
        <v>6723.2</v>
      </c>
      <c r="E14396" s="2">
        <v>0</v>
      </c>
      <c r="F14396" t="s">
        <v>26</v>
      </c>
      <c r="G14396" t="s">
        <v>20</v>
      </c>
    </row>
    <row r="14397" spans="1:7" x14ac:dyDescent="0.35">
      <c r="A14397">
        <v>5727</v>
      </c>
      <c r="B14397" s="1">
        <v>45964</v>
      </c>
      <c r="C14397" t="s">
        <v>25</v>
      </c>
      <c r="D14397" s="2">
        <v>504.24</v>
      </c>
      <c r="E14397" s="2">
        <v>0</v>
      </c>
      <c r="F14397" t="s">
        <v>27</v>
      </c>
      <c r="G14397" t="s">
        <v>9</v>
      </c>
    </row>
    <row r="14398" spans="1:7" x14ac:dyDescent="0.35">
      <c r="A14398">
        <v>5727</v>
      </c>
      <c r="B14398" s="1">
        <v>45964</v>
      </c>
      <c r="C14398" t="s">
        <v>25</v>
      </c>
      <c r="D14398" s="2">
        <v>0</v>
      </c>
      <c r="E14398" s="2">
        <v>7227.44</v>
      </c>
      <c r="F14398" t="s">
        <v>28</v>
      </c>
      <c r="G14398" t="s">
        <v>17</v>
      </c>
    </row>
    <row r="14399" spans="1:7" x14ac:dyDescent="0.35">
      <c r="A14399">
        <v>5728</v>
      </c>
      <c r="B14399" s="1">
        <v>45964</v>
      </c>
      <c r="C14399" t="s">
        <v>25</v>
      </c>
      <c r="D14399" s="2">
        <v>257.04000000000002</v>
      </c>
      <c r="E14399" s="2">
        <v>0</v>
      </c>
      <c r="F14399" t="s">
        <v>26</v>
      </c>
      <c r="G14399" t="s">
        <v>20</v>
      </c>
    </row>
    <row r="14400" spans="1:7" x14ac:dyDescent="0.35">
      <c r="A14400">
        <v>5728</v>
      </c>
      <c r="B14400" s="1">
        <v>45964</v>
      </c>
      <c r="C14400" t="s">
        <v>25</v>
      </c>
      <c r="D14400" s="2">
        <v>19.28</v>
      </c>
      <c r="E14400" s="2">
        <v>0</v>
      </c>
      <c r="F14400" t="s">
        <v>27</v>
      </c>
      <c r="G14400" t="s">
        <v>9</v>
      </c>
    </row>
    <row r="14401" spans="1:7" x14ac:dyDescent="0.35">
      <c r="A14401">
        <v>5728</v>
      </c>
      <c r="B14401" s="1">
        <v>45964</v>
      </c>
      <c r="C14401" t="s">
        <v>25</v>
      </c>
      <c r="D14401" s="2">
        <v>0</v>
      </c>
      <c r="E14401" s="2">
        <v>276.32</v>
      </c>
      <c r="F14401" t="s">
        <v>28</v>
      </c>
      <c r="G14401" t="s">
        <v>17</v>
      </c>
    </row>
    <row r="14402" spans="1:7" x14ac:dyDescent="0.35">
      <c r="A14402">
        <v>5729</v>
      </c>
      <c r="B14402" s="1">
        <v>45964</v>
      </c>
      <c r="C14402" t="s">
        <v>25</v>
      </c>
      <c r="D14402" s="2">
        <v>802.71</v>
      </c>
      <c r="E14402" s="2">
        <v>0</v>
      </c>
      <c r="F14402" t="s">
        <v>26</v>
      </c>
      <c r="G14402" t="s">
        <v>20</v>
      </c>
    </row>
    <row r="14403" spans="1:7" x14ac:dyDescent="0.35">
      <c r="A14403">
        <v>5729</v>
      </c>
      <c r="B14403" s="1">
        <v>45964</v>
      </c>
      <c r="C14403" t="s">
        <v>25</v>
      </c>
      <c r="D14403" s="2">
        <v>60.2</v>
      </c>
      <c r="E14403" s="2">
        <v>0</v>
      </c>
      <c r="F14403" t="s">
        <v>27</v>
      </c>
      <c r="G14403" t="s">
        <v>9</v>
      </c>
    </row>
    <row r="14404" spans="1:7" x14ac:dyDescent="0.35">
      <c r="A14404">
        <v>5729</v>
      </c>
      <c r="B14404" s="1">
        <v>45964</v>
      </c>
      <c r="C14404" t="s">
        <v>25</v>
      </c>
      <c r="D14404" s="2">
        <v>0</v>
      </c>
      <c r="E14404" s="2">
        <v>862.91</v>
      </c>
      <c r="F14404" t="s">
        <v>28</v>
      </c>
      <c r="G14404" t="s">
        <v>17</v>
      </c>
    </row>
    <row r="14405" spans="1:7" x14ac:dyDescent="0.35">
      <c r="A14405">
        <v>5730</v>
      </c>
      <c r="B14405" s="1">
        <v>45964</v>
      </c>
      <c r="C14405" t="s">
        <v>29</v>
      </c>
      <c r="D14405" s="2">
        <v>412.54</v>
      </c>
      <c r="E14405" s="2">
        <v>0</v>
      </c>
      <c r="F14405" t="s">
        <v>28</v>
      </c>
      <c r="G14405" t="s">
        <v>17</v>
      </c>
    </row>
    <row r="14406" spans="1:7" x14ac:dyDescent="0.35">
      <c r="A14406">
        <v>5730</v>
      </c>
      <c r="B14406" s="1">
        <v>45964</v>
      </c>
      <c r="C14406" t="s">
        <v>29</v>
      </c>
      <c r="D14406" s="2">
        <v>0</v>
      </c>
      <c r="E14406" s="2">
        <v>412.54</v>
      </c>
      <c r="F14406" t="s">
        <v>8</v>
      </c>
      <c r="G14406" t="s">
        <v>9</v>
      </c>
    </row>
    <row r="14407" spans="1:7" x14ac:dyDescent="0.35">
      <c r="A14407">
        <v>5731</v>
      </c>
      <c r="B14407" s="1">
        <v>45965</v>
      </c>
      <c r="C14407" t="s">
        <v>12</v>
      </c>
      <c r="D14407" s="2">
        <v>1620.18</v>
      </c>
      <c r="E14407" s="2">
        <v>0</v>
      </c>
      <c r="F14407" t="s">
        <v>13</v>
      </c>
      <c r="G14407" t="s">
        <v>9</v>
      </c>
    </row>
    <row r="14408" spans="1:7" x14ac:dyDescent="0.35">
      <c r="A14408">
        <v>5731</v>
      </c>
      <c r="B14408" s="1">
        <v>45965</v>
      </c>
      <c r="C14408" t="s">
        <v>12</v>
      </c>
      <c r="D14408" s="2">
        <v>0</v>
      </c>
      <c r="E14408" s="2">
        <v>1507.14</v>
      </c>
      <c r="F14408" t="s">
        <v>14</v>
      </c>
      <c r="G14408" t="s">
        <v>15</v>
      </c>
    </row>
    <row r="14409" spans="1:7" x14ac:dyDescent="0.35">
      <c r="A14409">
        <v>5731</v>
      </c>
      <c r="B14409" s="1">
        <v>45965</v>
      </c>
      <c r="C14409" t="s">
        <v>12</v>
      </c>
      <c r="D14409" s="2">
        <v>0</v>
      </c>
      <c r="E14409" s="2">
        <v>113.04</v>
      </c>
      <c r="F14409" t="s">
        <v>16</v>
      </c>
      <c r="G14409" t="s">
        <v>17</v>
      </c>
    </row>
    <row r="14410" spans="1:7" x14ac:dyDescent="0.35">
      <c r="A14410">
        <v>5732</v>
      </c>
      <c r="B14410" s="1">
        <v>45965</v>
      </c>
      <c r="C14410" t="s">
        <v>12</v>
      </c>
      <c r="D14410" s="2">
        <v>1708.7</v>
      </c>
      <c r="E14410" s="2">
        <v>0</v>
      </c>
      <c r="F14410" t="s">
        <v>13</v>
      </c>
      <c r="G14410" t="s">
        <v>9</v>
      </c>
    </row>
    <row r="14411" spans="1:7" x14ac:dyDescent="0.35">
      <c r="A14411">
        <v>5732</v>
      </c>
      <c r="B14411" s="1">
        <v>45965</v>
      </c>
      <c r="C14411" t="s">
        <v>12</v>
      </c>
      <c r="D14411" s="2">
        <v>0</v>
      </c>
      <c r="E14411" s="2">
        <v>1589.49</v>
      </c>
      <c r="F14411" t="s">
        <v>14</v>
      </c>
      <c r="G14411" t="s">
        <v>15</v>
      </c>
    </row>
    <row r="14412" spans="1:7" x14ac:dyDescent="0.35">
      <c r="A14412">
        <v>5732</v>
      </c>
      <c r="B14412" s="1">
        <v>45965</v>
      </c>
      <c r="C14412" t="s">
        <v>12</v>
      </c>
      <c r="D14412" s="2">
        <v>0</v>
      </c>
      <c r="E14412" s="2">
        <v>119.21</v>
      </c>
      <c r="F14412" t="s">
        <v>16</v>
      </c>
      <c r="G14412" t="s">
        <v>17</v>
      </c>
    </row>
    <row r="14413" spans="1:7" x14ac:dyDescent="0.35">
      <c r="A14413">
        <v>5733</v>
      </c>
      <c r="B14413" s="1">
        <v>45965</v>
      </c>
      <c r="C14413" t="s">
        <v>12</v>
      </c>
      <c r="D14413" s="2">
        <v>2518.5700000000002</v>
      </c>
      <c r="E14413" s="2">
        <v>0</v>
      </c>
      <c r="F14413" t="s">
        <v>13</v>
      </c>
      <c r="G14413" t="s">
        <v>9</v>
      </c>
    </row>
    <row r="14414" spans="1:7" x14ac:dyDescent="0.35">
      <c r="A14414">
        <v>5733</v>
      </c>
      <c r="B14414" s="1">
        <v>45965</v>
      </c>
      <c r="C14414" t="s">
        <v>12</v>
      </c>
      <c r="D14414" s="2">
        <v>0</v>
      </c>
      <c r="E14414" s="2">
        <v>2342.84</v>
      </c>
      <c r="F14414" t="s">
        <v>14</v>
      </c>
      <c r="G14414" t="s">
        <v>15</v>
      </c>
    </row>
    <row r="14415" spans="1:7" x14ac:dyDescent="0.35">
      <c r="A14415">
        <v>5733</v>
      </c>
      <c r="B14415" s="1">
        <v>45965</v>
      </c>
      <c r="C14415" t="s">
        <v>12</v>
      </c>
      <c r="D14415" s="2">
        <v>0</v>
      </c>
      <c r="E14415" s="2">
        <v>175.73</v>
      </c>
      <c r="F14415" t="s">
        <v>16</v>
      </c>
      <c r="G14415" t="s">
        <v>17</v>
      </c>
    </row>
    <row r="14416" spans="1:7" x14ac:dyDescent="0.35">
      <c r="A14416">
        <v>5734</v>
      </c>
      <c r="B14416" s="1">
        <v>45965</v>
      </c>
      <c r="C14416" t="s">
        <v>12</v>
      </c>
      <c r="D14416" s="2">
        <v>1227.56</v>
      </c>
      <c r="E14416" s="2">
        <v>0</v>
      </c>
      <c r="F14416" t="s">
        <v>13</v>
      </c>
      <c r="G14416" t="s">
        <v>9</v>
      </c>
    </row>
    <row r="14417" spans="1:7" x14ac:dyDescent="0.35">
      <c r="A14417">
        <v>5734</v>
      </c>
      <c r="B14417" s="1">
        <v>45965</v>
      </c>
      <c r="C14417" t="s">
        <v>12</v>
      </c>
      <c r="D14417" s="2">
        <v>0</v>
      </c>
      <c r="E14417" s="2">
        <v>1141.92</v>
      </c>
      <c r="F14417" t="s">
        <v>14</v>
      </c>
      <c r="G14417" t="s">
        <v>15</v>
      </c>
    </row>
    <row r="14418" spans="1:7" x14ac:dyDescent="0.35">
      <c r="A14418">
        <v>5734</v>
      </c>
      <c r="B14418" s="1">
        <v>45965</v>
      </c>
      <c r="C14418" t="s">
        <v>12</v>
      </c>
      <c r="D14418" s="2">
        <v>0</v>
      </c>
      <c r="E14418" s="2">
        <v>85.64</v>
      </c>
      <c r="F14418" t="s">
        <v>16</v>
      </c>
      <c r="G14418" t="s">
        <v>17</v>
      </c>
    </row>
    <row r="14419" spans="1:7" x14ac:dyDescent="0.35">
      <c r="A14419">
        <v>5735</v>
      </c>
      <c r="B14419" s="1">
        <v>45965</v>
      </c>
      <c r="C14419" t="s">
        <v>12</v>
      </c>
      <c r="D14419" s="2">
        <v>1651.51</v>
      </c>
      <c r="E14419" s="2">
        <v>0</v>
      </c>
      <c r="F14419" t="s">
        <v>13</v>
      </c>
      <c r="G14419" t="s">
        <v>9</v>
      </c>
    </row>
    <row r="14420" spans="1:7" x14ac:dyDescent="0.35">
      <c r="A14420">
        <v>5735</v>
      </c>
      <c r="B14420" s="1">
        <v>45965</v>
      </c>
      <c r="C14420" t="s">
        <v>12</v>
      </c>
      <c r="D14420" s="2">
        <v>0</v>
      </c>
      <c r="E14420" s="2">
        <v>1536.29</v>
      </c>
      <c r="F14420" t="s">
        <v>14</v>
      </c>
      <c r="G14420" t="s">
        <v>15</v>
      </c>
    </row>
    <row r="14421" spans="1:7" x14ac:dyDescent="0.35">
      <c r="A14421">
        <v>5735</v>
      </c>
      <c r="B14421" s="1">
        <v>45965</v>
      </c>
      <c r="C14421" t="s">
        <v>12</v>
      </c>
      <c r="D14421" s="2">
        <v>0</v>
      </c>
      <c r="E14421" s="2">
        <v>115.22</v>
      </c>
      <c r="F14421" t="s">
        <v>16</v>
      </c>
      <c r="G14421" t="s">
        <v>17</v>
      </c>
    </row>
    <row r="14422" spans="1:7" x14ac:dyDescent="0.35">
      <c r="A14422">
        <v>5736</v>
      </c>
      <c r="B14422" s="1">
        <v>45965</v>
      </c>
      <c r="C14422" t="s">
        <v>12</v>
      </c>
      <c r="D14422" s="2">
        <v>3991.68</v>
      </c>
      <c r="E14422" s="2">
        <v>0</v>
      </c>
      <c r="F14422" t="s">
        <v>13</v>
      </c>
      <c r="G14422" t="s">
        <v>9</v>
      </c>
    </row>
    <row r="14423" spans="1:7" x14ac:dyDescent="0.35">
      <c r="A14423">
        <v>5736</v>
      </c>
      <c r="B14423" s="1">
        <v>45965</v>
      </c>
      <c r="C14423" t="s">
        <v>12</v>
      </c>
      <c r="D14423" s="2">
        <v>0</v>
      </c>
      <c r="E14423" s="2">
        <v>3713.19</v>
      </c>
      <c r="F14423" t="s">
        <v>14</v>
      </c>
      <c r="G14423" t="s">
        <v>15</v>
      </c>
    </row>
    <row r="14424" spans="1:7" x14ac:dyDescent="0.35">
      <c r="A14424">
        <v>5736</v>
      </c>
      <c r="B14424" s="1">
        <v>45965</v>
      </c>
      <c r="C14424" t="s">
        <v>12</v>
      </c>
      <c r="D14424" s="2">
        <v>0</v>
      </c>
      <c r="E14424" s="2">
        <v>278.49</v>
      </c>
      <c r="F14424" t="s">
        <v>16</v>
      </c>
      <c r="G14424" t="s">
        <v>17</v>
      </c>
    </row>
    <row r="14425" spans="1:7" x14ac:dyDescent="0.35">
      <c r="A14425">
        <v>5737</v>
      </c>
      <c r="B14425" s="1">
        <v>45965</v>
      </c>
      <c r="C14425" t="s">
        <v>24</v>
      </c>
      <c r="D14425" s="2">
        <v>2492.71</v>
      </c>
      <c r="E14425" s="2">
        <v>0</v>
      </c>
      <c r="F14425" t="s">
        <v>8</v>
      </c>
      <c r="G14425" t="s">
        <v>9</v>
      </c>
    </row>
    <row r="14426" spans="1:7" x14ac:dyDescent="0.35">
      <c r="A14426">
        <v>5737</v>
      </c>
      <c r="B14426" s="1">
        <v>45965</v>
      </c>
      <c r="C14426" t="s">
        <v>24</v>
      </c>
      <c r="D14426" s="2">
        <v>0</v>
      </c>
      <c r="E14426" s="2">
        <v>2492.71</v>
      </c>
      <c r="F14426" t="s">
        <v>13</v>
      </c>
      <c r="G14426" t="s">
        <v>9</v>
      </c>
    </row>
    <row r="14427" spans="1:7" x14ac:dyDescent="0.35">
      <c r="A14427">
        <v>5738</v>
      </c>
      <c r="B14427" s="1">
        <v>45965</v>
      </c>
      <c r="C14427" t="s">
        <v>24</v>
      </c>
      <c r="D14427" s="2">
        <v>3349.86</v>
      </c>
      <c r="E14427" s="2">
        <v>0</v>
      </c>
      <c r="F14427" t="s">
        <v>8</v>
      </c>
      <c r="G14427" t="s">
        <v>9</v>
      </c>
    </row>
    <row r="14428" spans="1:7" x14ac:dyDescent="0.35">
      <c r="A14428">
        <v>5738</v>
      </c>
      <c r="B14428" s="1">
        <v>45965</v>
      </c>
      <c r="C14428" t="s">
        <v>24</v>
      </c>
      <c r="D14428" s="2">
        <v>0</v>
      </c>
      <c r="E14428" s="2">
        <v>3349.86</v>
      </c>
      <c r="F14428" t="s">
        <v>13</v>
      </c>
      <c r="G14428" t="s">
        <v>9</v>
      </c>
    </row>
    <row r="14429" spans="1:7" x14ac:dyDescent="0.35">
      <c r="A14429">
        <v>5739</v>
      </c>
      <c r="B14429" s="1">
        <v>45965</v>
      </c>
      <c r="C14429" t="s">
        <v>24</v>
      </c>
      <c r="D14429" s="2">
        <v>2798.08</v>
      </c>
      <c r="E14429" s="2">
        <v>0</v>
      </c>
      <c r="F14429" t="s">
        <v>8</v>
      </c>
      <c r="G14429" t="s">
        <v>9</v>
      </c>
    </row>
    <row r="14430" spans="1:7" x14ac:dyDescent="0.35">
      <c r="A14430">
        <v>5739</v>
      </c>
      <c r="B14430" s="1">
        <v>45965</v>
      </c>
      <c r="C14430" t="s">
        <v>24</v>
      </c>
      <c r="D14430" s="2">
        <v>0</v>
      </c>
      <c r="E14430" s="2">
        <v>2798.08</v>
      </c>
      <c r="F14430" t="s">
        <v>13</v>
      </c>
      <c r="G14430" t="s">
        <v>9</v>
      </c>
    </row>
    <row r="14431" spans="1:7" x14ac:dyDescent="0.35">
      <c r="A14431">
        <v>5740</v>
      </c>
      <c r="B14431" s="1">
        <v>45965</v>
      </c>
      <c r="C14431" t="s">
        <v>24</v>
      </c>
      <c r="D14431" s="2">
        <v>2912.37</v>
      </c>
      <c r="E14431" s="2">
        <v>0</v>
      </c>
      <c r="F14431" t="s">
        <v>8</v>
      </c>
      <c r="G14431" t="s">
        <v>9</v>
      </c>
    </row>
    <row r="14432" spans="1:7" x14ac:dyDescent="0.35">
      <c r="A14432">
        <v>5740</v>
      </c>
      <c r="B14432" s="1">
        <v>45965</v>
      </c>
      <c r="C14432" t="s">
        <v>24</v>
      </c>
      <c r="D14432" s="2">
        <v>0</v>
      </c>
      <c r="E14432" s="2">
        <v>2912.37</v>
      </c>
      <c r="F14432" t="s">
        <v>13</v>
      </c>
      <c r="G14432" t="s">
        <v>9</v>
      </c>
    </row>
    <row r="14433" spans="1:7" x14ac:dyDescent="0.35">
      <c r="A14433">
        <v>5741</v>
      </c>
      <c r="B14433" s="1">
        <v>45965</v>
      </c>
      <c r="C14433" t="s">
        <v>24</v>
      </c>
      <c r="D14433" s="2">
        <v>4187.4799999999996</v>
      </c>
      <c r="E14433" s="2">
        <v>0</v>
      </c>
      <c r="F14433" t="s">
        <v>8</v>
      </c>
      <c r="G14433" t="s">
        <v>9</v>
      </c>
    </row>
    <row r="14434" spans="1:7" x14ac:dyDescent="0.35">
      <c r="A14434">
        <v>5741</v>
      </c>
      <c r="B14434" s="1">
        <v>45965</v>
      </c>
      <c r="C14434" t="s">
        <v>24</v>
      </c>
      <c r="D14434" s="2">
        <v>0</v>
      </c>
      <c r="E14434" s="2">
        <v>4187.4799999999996</v>
      </c>
      <c r="F14434" t="s">
        <v>13</v>
      </c>
      <c r="G14434" t="s">
        <v>9</v>
      </c>
    </row>
    <row r="14435" spans="1:7" x14ac:dyDescent="0.35">
      <c r="A14435">
        <v>5742</v>
      </c>
      <c r="B14435" s="1">
        <v>45965</v>
      </c>
      <c r="C14435" t="s">
        <v>24</v>
      </c>
      <c r="D14435" s="2">
        <v>3714.51</v>
      </c>
      <c r="E14435" s="2">
        <v>0</v>
      </c>
      <c r="F14435" t="s">
        <v>8</v>
      </c>
      <c r="G14435" t="s">
        <v>9</v>
      </c>
    </row>
    <row r="14436" spans="1:7" x14ac:dyDescent="0.35">
      <c r="A14436">
        <v>5742</v>
      </c>
      <c r="B14436" s="1">
        <v>45965</v>
      </c>
      <c r="C14436" t="s">
        <v>24</v>
      </c>
      <c r="D14436" s="2">
        <v>0</v>
      </c>
      <c r="E14436" s="2">
        <v>3714.51</v>
      </c>
      <c r="F14436" t="s">
        <v>13</v>
      </c>
      <c r="G14436" t="s">
        <v>9</v>
      </c>
    </row>
    <row r="14437" spans="1:7" x14ac:dyDescent="0.35">
      <c r="A14437">
        <v>5743</v>
      </c>
      <c r="B14437" s="1">
        <v>45965</v>
      </c>
      <c r="C14437" t="s">
        <v>24</v>
      </c>
      <c r="D14437" s="2">
        <v>4379.53</v>
      </c>
      <c r="E14437" s="2">
        <v>0</v>
      </c>
      <c r="F14437" t="s">
        <v>8</v>
      </c>
      <c r="G14437" t="s">
        <v>9</v>
      </c>
    </row>
    <row r="14438" spans="1:7" x14ac:dyDescent="0.35">
      <c r="A14438">
        <v>5743</v>
      </c>
      <c r="B14438" s="1">
        <v>45965</v>
      </c>
      <c r="C14438" t="s">
        <v>24</v>
      </c>
      <c r="D14438" s="2">
        <v>0</v>
      </c>
      <c r="E14438" s="2">
        <v>4379.53</v>
      </c>
      <c r="F14438" t="s">
        <v>13</v>
      </c>
      <c r="G14438" t="s">
        <v>9</v>
      </c>
    </row>
    <row r="14439" spans="1:7" x14ac:dyDescent="0.35">
      <c r="A14439">
        <v>5744</v>
      </c>
      <c r="B14439" s="1">
        <v>45965</v>
      </c>
      <c r="C14439" t="s">
        <v>25</v>
      </c>
      <c r="D14439" s="2">
        <v>2451.5</v>
      </c>
      <c r="E14439" s="2">
        <v>0</v>
      </c>
      <c r="F14439" t="s">
        <v>26</v>
      </c>
      <c r="G14439" t="s">
        <v>20</v>
      </c>
    </row>
    <row r="14440" spans="1:7" x14ac:dyDescent="0.35">
      <c r="A14440">
        <v>5744</v>
      </c>
      <c r="B14440" s="1">
        <v>45965</v>
      </c>
      <c r="C14440" t="s">
        <v>25</v>
      </c>
      <c r="D14440" s="2">
        <v>183.86</v>
      </c>
      <c r="E14440" s="2">
        <v>0</v>
      </c>
      <c r="F14440" t="s">
        <v>27</v>
      </c>
      <c r="G14440" t="s">
        <v>9</v>
      </c>
    </row>
    <row r="14441" spans="1:7" x14ac:dyDescent="0.35">
      <c r="A14441">
        <v>5744</v>
      </c>
      <c r="B14441" s="1">
        <v>45965</v>
      </c>
      <c r="C14441" t="s">
        <v>25</v>
      </c>
      <c r="D14441" s="2">
        <v>0</v>
      </c>
      <c r="E14441" s="2">
        <v>2635.36</v>
      </c>
      <c r="F14441" t="s">
        <v>28</v>
      </c>
      <c r="G14441" t="s">
        <v>17</v>
      </c>
    </row>
    <row r="14442" spans="1:7" x14ac:dyDescent="0.35">
      <c r="A14442">
        <v>5745</v>
      </c>
      <c r="B14442" s="1">
        <v>45965</v>
      </c>
      <c r="C14442" t="s">
        <v>25</v>
      </c>
      <c r="D14442" s="2">
        <v>1668.94</v>
      </c>
      <c r="E14442" s="2">
        <v>0</v>
      </c>
      <c r="F14442" t="s">
        <v>26</v>
      </c>
      <c r="G14442" t="s">
        <v>20</v>
      </c>
    </row>
    <row r="14443" spans="1:7" x14ac:dyDescent="0.35">
      <c r="A14443">
        <v>5745</v>
      </c>
      <c r="B14443" s="1">
        <v>45965</v>
      </c>
      <c r="C14443" t="s">
        <v>25</v>
      </c>
      <c r="D14443" s="2">
        <v>125.17</v>
      </c>
      <c r="E14443" s="2">
        <v>0</v>
      </c>
      <c r="F14443" t="s">
        <v>27</v>
      </c>
      <c r="G14443" t="s">
        <v>9</v>
      </c>
    </row>
    <row r="14444" spans="1:7" x14ac:dyDescent="0.35">
      <c r="A14444">
        <v>5745</v>
      </c>
      <c r="B14444" s="1">
        <v>45965</v>
      </c>
      <c r="C14444" t="s">
        <v>25</v>
      </c>
      <c r="D14444" s="2">
        <v>0</v>
      </c>
      <c r="E14444" s="2">
        <v>1794.11</v>
      </c>
      <c r="F14444" t="s">
        <v>28</v>
      </c>
      <c r="G14444" t="s">
        <v>17</v>
      </c>
    </row>
    <row r="14445" spans="1:7" x14ac:dyDescent="0.35">
      <c r="A14445">
        <v>5746</v>
      </c>
      <c r="B14445" s="1">
        <v>45965</v>
      </c>
      <c r="C14445" t="s">
        <v>29</v>
      </c>
      <c r="D14445" s="2">
        <v>2504.23</v>
      </c>
      <c r="E14445" s="2">
        <v>0</v>
      </c>
      <c r="F14445" t="s">
        <v>28</v>
      </c>
      <c r="G14445" t="s">
        <v>17</v>
      </c>
    </row>
    <row r="14446" spans="1:7" x14ac:dyDescent="0.35">
      <c r="A14446">
        <v>5746</v>
      </c>
      <c r="B14446" s="1">
        <v>45965</v>
      </c>
      <c r="C14446" t="s">
        <v>29</v>
      </c>
      <c r="D14446" s="2">
        <v>0</v>
      </c>
      <c r="E14446" s="2">
        <v>2504.23</v>
      </c>
      <c r="F14446" t="s">
        <v>8</v>
      </c>
      <c r="G14446" t="s">
        <v>9</v>
      </c>
    </row>
    <row r="14447" spans="1:7" x14ac:dyDescent="0.35">
      <c r="A14447">
        <v>5747</v>
      </c>
      <c r="B14447" s="1">
        <v>45965</v>
      </c>
      <c r="C14447" t="s">
        <v>29</v>
      </c>
      <c r="D14447" s="2">
        <v>1304.6199999999999</v>
      </c>
      <c r="E14447" s="2">
        <v>0</v>
      </c>
      <c r="F14447" t="s">
        <v>28</v>
      </c>
      <c r="G14447" t="s">
        <v>17</v>
      </c>
    </row>
    <row r="14448" spans="1:7" x14ac:dyDescent="0.35">
      <c r="A14448">
        <v>5747</v>
      </c>
      <c r="B14448" s="1">
        <v>45965</v>
      </c>
      <c r="C14448" t="s">
        <v>29</v>
      </c>
      <c r="D14448" s="2">
        <v>0</v>
      </c>
      <c r="E14448" s="2">
        <v>1304.6199999999999</v>
      </c>
      <c r="F14448" t="s">
        <v>8</v>
      </c>
      <c r="G14448" t="s">
        <v>9</v>
      </c>
    </row>
    <row r="14449" spans="1:7" x14ac:dyDescent="0.35">
      <c r="A14449">
        <v>5748</v>
      </c>
      <c r="B14449" s="1">
        <v>45965</v>
      </c>
      <c r="C14449" t="s">
        <v>29</v>
      </c>
      <c r="D14449" s="2">
        <v>7227.44</v>
      </c>
      <c r="E14449" s="2">
        <v>0</v>
      </c>
      <c r="F14449" t="s">
        <v>28</v>
      </c>
      <c r="G14449" t="s">
        <v>17</v>
      </c>
    </row>
    <row r="14450" spans="1:7" x14ac:dyDescent="0.35">
      <c r="A14450">
        <v>5748</v>
      </c>
      <c r="B14450" s="1">
        <v>45965</v>
      </c>
      <c r="C14450" t="s">
        <v>29</v>
      </c>
      <c r="D14450" s="2">
        <v>0</v>
      </c>
      <c r="E14450" s="2">
        <v>7227.44</v>
      </c>
      <c r="F14450" t="s">
        <v>8</v>
      </c>
      <c r="G14450" t="s">
        <v>9</v>
      </c>
    </row>
    <row r="14451" spans="1:7" x14ac:dyDescent="0.35">
      <c r="A14451">
        <v>5749</v>
      </c>
      <c r="B14451" s="1">
        <v>45966</v>
      </c>
      <c r="C14451" t="s">
        <v>12</v>
      </c>
      <c r="D14451" s="2">
        <v>4192.38</v>
      </c>
      <c r="E14451" s="2">
        <v>0</v>
      </c>
      <c r="F14451" t="s">
        <v>13</v>
      </c>
      <c r="G14451" t="s">
        <v>9</v>
      </c>
    </row>
    <row r="14452" spans="1:7" x14ac:dyDescent="0.35">
      <c r="A14452">
        <v>5749</v>
      </c>
      <c r="B14452" s="1">
        <v>45966</v>
      </c>
      <c r="C14452" t="s">
        <v>12</v>
      </c>
      <c r="D14452" s="2">
        <v>0</v>
      </c>
      <c r="E14452" s="2">
        <v>3899.89</v>
      </c>
      <c r="F14452" t="s">
        <v>14</v>
      </c>
      <c r="G14452" t="s">
        <v>15</v>
      </c>
    </row>
    <row r="14453" spans="1:7" x14ac:dyDescent="0.35">
      <c r="A14453">
        <v>5749</v>
      </c>
      <c r="B14453" s="1">
        <v>45966</v>
      </c>
      <c r="C14453" t="s">
        <v>12</v>
      </c>
      <c r="D14453" s="2">
        <v>0</v>
      </c>
      <c r="E14453" s="2">
        <v>292.49</v>
      </c>
      <c r="F14453" t="s">
        <v>16</v>
      </c>
      <c r="G14453" t="s">
        <v>17</v>
      </c>
    </row>
    <row r="14454" spans="1:7" x14ac:dyDescent="0.35">
      <c r="A14454">
        <v>5750</v>
      </c>
      <c r="B14454" s="1">
        <v>45966</v>
      </c>
      <c r="C14454" t="s">
        <v>12</v>
      </c>
      <c r="D14454" s="2">
        <v>145.51</v>
      </c>
      <c r="E14454" s="2">
        <v>0</v>
      </c>
      <c r="F14454" t="s">
        <v>13</v>
      </c>
      <c r="G14454" t="s">
        <v>9</v>
      </c>
    </row>
    <row r="14455" spans="1:7" x14ac:dyDescent="0.35">
      <c r="A14455">
        <v>5750</v>
      </c>
      <c r="B14455" s="1">
        <v>45966</v>
      </c>
      <c r="C14455" t="s">
        <v>12</v>
      </c>
      <c r="D14455" s="2">
        <v>0</v>
      </c>
      <c r="E14455" s="2">
        <v>135.36000000000001</v>
      </c>
      <c r="F14455" t="s">
        <v>14</v>
      </c>
      <c r="G14455" t="s">
        <v>15</v>
      </c>
    </row>
    <row r="14456" spans="1:7" x14ac:dyDescent="0.35">
      <c r="A14456">
        <v>5750</v>
      </c>
      <c r="B14456" s="1">
        <v>45966</v>
      </c>
      <c r="C14456" t="s">
        <v>12</v>
      </c>
      <c r="D14456" s="2">
        <v>0</v>
      </c>
      <c r="E14456" s="2">
        <v>10.15</v>
      </c>
      <c r="F14456" t="s">
        <v>16</v>
      </c>
      <c r="G14456" t="s">
        <v>17</v>
      </c>
    </row>
    <row r="14457" spans="1:7" x14ac:dyDescent="0.35">
      <c r="A14457">
        <v>5751</v>
      </c>
      <c r="B14457" s="1">
        <v>45966</v>
      </c>
      <c r="C14457" t="s">
        <v>12</v>
      </c>
      <c r="D14457" s="2">
        <v>148.80000000000001</v>
      </c>
      <c r="E14457" s="2">
        <v>0</v>
      </c>
      <c r="F14457" t="s">
        <v>13</v>
      </c>
      <c r="G14457" t="s">
        <v>9</v>
      </c>
    </row>
    <row r="14458" spans="1:7" x14ac:dyDescent="0.35">
      <c r="A14458">
        <v>5751</v>
      </c>
      <c r="B14458" s="1">
        <v>45966</v>
      </c>
      <c r="C14458" t="s">
        <v>12</v>
      </c>
      <c r="D14458" s="2">
        <v>0</v>
      </c>
      <c r="E14458" s="2">
        <v>138.41999999999999</v>
      </c>
      <c r="F14458" t="s">
        <v>14</v>
      </c>
      <c r="G14458" t="s">
        <v>15</v>
      </c>
    </row>
    <row r="14459" spans="1:7" x14ac:dyDescent="0.35">
      <c r="A14459">
        <v>5751</v>
      </c>
      <c r="B14459" s="1">
        <v>45966</v>
      </c>
      <c r="C14459" t="s">
        <v>12</v>
      </c>
      <c r="D14459" s="2">
        <v>0</v>
      </c>
      <c r="E14459" s="2">
        <v>10.38</v>
      </c>
      <c r="F14459" t="s">
        <v>16</v>
      </c>
      <c r="G14459" t="s">
        <v>17</v>
      </c>
    </row>
    <row r="14460" spans="1:7" x14ac:dyDescent="0.35">
      <c r="A14460">
        <v>5752</v>
      </c>
      <c r="B14460" s="1">
        <v>45966</v>
      </c>
      <c r="C14460" t="s">
        <v>12</v>
      </c>
      <c r="D14460" s="2">
        <v>1707.12</v>
      </c>
      <c r="E14460" s="2">
        <v>0</v>
      </c>
      <c r="F14460" t="s">
        <v>13</v>
      </c>
      <c r="G14460" t="s">
        <v>9</v>
      </c>
    </row>
    <row r="14461" spans="1:7" x14ac:dyDescent="0.35">
      <c r="A14461">
        <v>5752</v>
      </c>
      <c r="B14461" s="1">
        <v>45966</v>
      </c>
      <c r="C14461" t="s">
        <v>12</v>
      </c>
      <c r="D14461" s="2">
        <v>0</v>
      </c>
      <c r="E14461" s="2">
        <v>1588.02</v>
      </c>
      <c r="F14461" t="s">
        <v>14</v>
      </c>
      <c r="G14461" t="s">
        <v>15</v>
      </c>
    </row>
    <row r="14462" spans="1:7" x14ac:dyDescent="0.35">
      <c r="A14462">
        <v>5752</v>
      </c>
      <c r="B14462" s="1">
        <v>45966</v>
      </c>
      <c r="C14462" t="s">
        <v>12</v>
      </c>
      <c r="D14462" s="2">
        <v>0</v>
      </c>
      <c r="E14462" s="2">
        <v>119.1</v>
      </c>
      <c r="F14462" t="s">
        <v>16</v>
      </c>
      <c r="G14462" t="s">
        <v>17</v>
      </c>
    </row>
    <row r="14463" spans="1:7" x14ac:dyDescent="0.35">
      <c r="A14463">
        <v>5753</v>
      </c>
      <c r="B14463" s="1">
        <v>45966</v>
      </c>
      <c r="C14463" t="s">
        <v>12</v>
      </c>
      <c r="D14463" s="2">
        <v>2673.28</v>
      </c>
      <c r="E14463" s="2">
        <v>0</v>
      </c>
      <c r="F14463" t="s">
        <v>13</v>
      </c>
      <c r="G14463" t="s">
        <v>9</v>
      </c>
    </row>
    <row r="14464" spans="1:7" x14ac:dyDescent="0.35">
      <c r="A14464">
        <v>5753</v>
      </c>
      <c r="B14464" s="1">
        <v>45966</v>
      </c>
      <c r="C14464" t="s">
        <v>12</v>
      </c>
      <c r="D14464" s="2">
        <v>0</v>
      </c>
      <c r="E14464" s="2">
        <v>2486.7800000000002</v>
      </c>
      <c r="F14464" t="s">
        <v>14</v>
      </c>
      <c r="G14464" t="s">
        <v>15</v>
      </c>
    </row>
    <row r="14465" spans="1:7" x14ac:dyDescent="0.35">
      <c r="A14465">
        <v>5753</v>
      </c>
      <c r="B14465" s="1">
        <v>45966</v>
      </c>
      <c r="C14465" t="s">
        <v>12</v>
      </c>
      <c r="D14465" s="2">
        <v>0</v>
      </c>
      <c r="E14465" s="2">
        <v>186.5</v>
      </c>
      <c r="F14465" t="s">
        <v>16</v>
      </c>
      <c r="G14465" t="s">
        <v>17</v>
      </c>
    </row>
    <row r="14466" spans="1:7" x14ac:dyDescent="0.35">
      <c r="A14466">
        <v>5754</v>
      </c>
      <c r="B14466" s="1">
        <v>45966</v>
      </c>
      <c r="C14466" t="s">
        <v>12</v>
      </c>
      <c r="D14466" s="2">
        <v>2837.38</v>
      </c>
      <c r="E14466" s="2">
        <v>0</v>
      </c>
      <c r="F14466" t="s">
        <v>13</v>
      </c>
      <c r="G14466" t="s">
        <v>9</v>
      </c>
    </row>
    <row r="14467" spans="1:7" x14ac:dyDescent="0.35">
      <c r="A14467">
        <v>5754</v>
      </c>
      <c r="B14467" s="1">
        <v>45966</v>
      </c>
      <c r="C14467" t="s">
        <v>12</v>
      </c>
      <c r="D14467" s="2">
        <v>0</v>
      </c>
      <c r="E14467" s="2">
        <v>2639.42</v>
      </c>
      <c r="F14467" t="s">
        <v>14</v>
      </c>
      <c r="G14467" t="s">
        <v>15</v>
      </c>
    </row>
    <row r="14468" spans="1:7" x14ac:dyDescent="0.35">
      <c r="A14468">
        <v>5754</v>
      </c>
      <c r="B14468" s="1">
        <v>45966</v>
      </c>
      <c r="C14468" t="s">
        <v>12</v>
      </c>
      <c r="D14468" s="2">
        <v>0</v>
      </c>
      <c r="E14468" s="2">
        <v>197.96</v>
      </c>
      <c r="F14468" t="s">
        <v>16</v>
      </c>
      <c r="G14468" t="s">
        <v>17</v>
      </c>
    </row>
    <row r="14469" spans="1:7" x14ac:dyDescent="0.35">
      <c r="A14469">
        <v>5755</v>
      </c>
      <c r="B14469" s="1">
        <v>45966</v>
      </c>
      <c r="C14469" t="s">
        <v>12</v>
      </c>
      <c r="D14469" s="2">
        <v>495.72</v>
      </c>
      <c r="E14469" s="2">
        <v>0</v>
      </c>
      <c r="F14469" t="s">
        <v>13</v>
      </c>
      <c r="G14469" t="s">
        <v>9</v>
      </c>
    </row>
    <row r="14470" spans="1:7" x14ac:dyDescent="0.35">
      <c r="A14470">
        <v>5755</v>
      </c>
      <c r="B14470" s="1">
        <v>45966</v>
      </c>
      <c r="C14470" t="s">
        <v>12</v>
      </c>
      <c r="D14470" s="2">
        <v>0</v>
      </c>
      <c r="E14470" s="2">
        <v>461.13</v>
      </c>
      <c r="F14470" t="s">
        <v>14</v>
      </c>
      <c r="G14470" t="s">
        <v>15</v>
      </c>
    </row>
    <row r="14471" spans="1:7" x14ac:dyDescent="0.35">
      <c r="A14471">
        <v>5755</v>
      </c>
      <c r="B14471" s="1">
        <v>45966</v>
      </c>
      <c r="C14471" t="s">
        <v>12</v>
      </c>
      <c r="D14471" s="2">
        <v>0</v>
      </c>
      <c r="E14471" s="2">
        <v>34.590000000000003</v>
      </c>
      <c r="F14471" t="s">
        <v>16</v>
      </c>
      <c r="G14471" t="s">
        <v>17</v>
      </c>
    </row>
    <row r="14472" spans="1:7" x14ac:dyDescent="0.35">
      <c r="A14472">
        <v>5756</v>
      </c>
      <c r="B14472" s="1">
        <v>45966</v>
      </c>
      <c r="C14472" t="s">
        <v>12</v>
      </c>
      <c r="D14472" s="2">
        <v>299.76</v>
      </c>
      <c r="E14472" s="2">
        <v>0</v>
      </c>
      <c r="F14472" t="s">
        <v>13</v>
      </c>
      <c r="G14472" t="s">
        <v>9</v>
      </c>
    </row>
    <row r="14473" spans="1:7" x14ac:dyDescent="0.35">
      <c r="A14473">
        <v>5756</v>
      </c>
      <c r="B14473" s="1">
        <v>45966</v>
      </c>
      <c r="C14473" t="s">
        <v>12</v>
      </c>
      <c r="D14473" s="2">
        <v>0</v>
      </c>
      <c r="E14473" s="2">
        <v>278.85000000000002</v>
      </c>
      <c r="F14473" t="s">
        <v>14</v>
      </c>
      <c r="G14473" t="s">
        <v>15</v>
      </c>
    </row>
    <row r="14474" spans="1:7" x14ac:dyDescent="0.35">
      <c r="A14474">
        <v>5756</v>
      </c>
      <c r="B14474" s="1">
        <v>45966</v>
      </c>
      <c r="C14474" t="s">
        <v>12</v>
      </c>
      <c r="D14474" s="2">
        <v>0</v>
      </c>
      <c r="E14474" s="2">
        <v>20.91</v>
      </c>
      <c r="F14474" t="s">
        <v>16</v>
      </c>
      <c r="G14474" t="s">
        <v>17</v>
      </c>
    </row>
    <row r="14475" spans="1:7" x14ac:dyDescent="0.35">
      <c r="A14475">
        <v>5757</v>
      </c>
      <c r="B14475" s="1">
        <v>45966</v>
      </c>
      <c r="C14475" t="s">
        <v>12</v>
      </c>
      <c r="D14475" s="2">
        <v>772.04</v>
      </c>
      <c r="E14475" s="2">
        <v>0</v>
      </c>
      <c r="F14475" t="s">
        <v>13</v>
      </c>
      <c r="G14475" t="s">
        <v>9</v>
      </c>
    </row>
    <row r="14476" spans="1:7" x14ac:dyDescent="0.35">
      <c r="A14476">
        <v>5757</v>
      </c>
      <c r="B14476" s="1">
        <v>45966</v>
      </c>
      <c r="C14476" t="s">
        <v>12</v>
      </c>
      <c r="D14476" s="2">
        <v>0</v>
      </c>
      <c r="E14476" s="2">
        <v>718.18</v>
      </c>
      <c r="F14476" t="s">
        <v>14</v>
      </c>
      <c r="G14476" t="s">
        <v>15</v>
      </c>
    </row>
    <row r="14477" spans="1:7" x14ac:dyDescent="0.35">
      <c r="A14477">
        <v>5757</v>
      </c>
      <c r="B14477" s="1">
        <v>45966</v>
      </c>
      <c r="C14477" t="s">
        <v>12</v>
      </c>
      <c r="D14477" s="2">
        <v>0</v>
      </c>
      <c r="E14477" s="2">
        <v>53.86</v>
      </c>
      <c r="F14477" t="s">
        <v>16</v>
      </c>
      <c r="G14477" t="s">
        <v>17</v>
      </c>
    </row>
    <row r="14478" spans="1:7" x14ac:dyDescent="0.35">
      <c r="A14478">
        <v>5758</v>
      </c>
      <c r="B14478" s="1">
        <v>45966</v>
      </c>
      <c r="C14478" t="s">
        <v>12</v>
      </c>
      <c r="D14478" s="2">
        <v>3736.86</v>
      </c>
      <c r="E14478" s="2">
        <v>0</v>
      </c>
      <c r="F14478" t="s">
        <v>13</v>
      </c>
      <c r="G14478" t="s">
        <v>9</v>
      </c>
    </row>
    <row r="14479" spans="1:7" x14ac:dyDescent="0.35">
      <c r="A14479">
        <v>5758</v>
      </c>
      <c r="B14479" s="1">
        <v>45966</v>
      </c>
      <c r="C14479" t="s">
        <v>12</v>
      </c>
      <c r="D14479" s="2">
        <v>0</v>
      </c>
      <c r="E14479" s="2">
        <v>3476.14</v>
      </c>
      <c r="F14479" t="s">
        <v>14</v>
      </c>
      <c r="G14479" t="s">
        <v>15</v>
      </c>
    </row>
    <row r="14480" spans="1:7" x14ac:dyDescent="0.35">
      <c r="A14480">
        <v>5758</v>
      </c>
      <c r="B14480" s="1">
        <v>45966</v>
      </c>
      <c r="C14480" t="s">
        <v>12</v>
      </c>
      <c r="D14480" s="2">
        <v>0</v>
      </c>
      <c r="E14480" s="2">
        <v>260.72000000000003</v>
      </c>
      <c r="F14480" t="s">
        <v>16</v>
      </c>
      <c r="G14480" t="s">
        <v>17</v>
      </c>
    </row>
    <row r="14481" spans="1:7" x14ac:dyDescent="0.35">
      <c r="A14481">
        <v>5759</v>
      </c>
      <c r="B14481" s="1">
        <v>45966</v>
      </c>
      <c r="C14481" t="s">
        <v>24</v>
      </c>
      <c r="D14481" s="2">
        <v>1225.29</v>
      </c>
      <c r="E14481" s="2">
        <v>0</v>
      </c>
      <c r="F14481" t="s">
        <v>8</v>
      </c>
      <c r="G14481" t="s">
        <v>9</v>
      </c>
    </row>
    <row r="14482" spans="1:7" x14ac:dyDescent="0.35">
      <c r="A14482">
        <v>5759</v>
      </c>
      <c r="B14482" s="1">
        <v>45966</v>
      </c>
      <c r="C14482" t="s">
        <v>24</v>
      </c>
      <c r="D14482" s="2">
        <v>0</v>
      </c>
      <c r="E14482" s="2">
        <v>1225.29</v>
      </c>
      <c r="F14482" t="s">
        <v>13</v>
      </c>
      <c r="G14482" t="s">
        <v>9</v>
      </c>
    </row>
    <row r="14483" spans="1:7" x14ac:dyDescent="0.35">
      <c r="A14483">
        <v>5760</v>
      </c>
      <c r="B14483" s="1">
        <v>45966</v>
      </c>
      <c r="C14483" t="s">
        <v>24</v>
      </c>
      <c r="D14483" s="2">
        <v>1636.82</v>
      </c>
      <c r="E14483" s="2">
        <v>0</v>
      </c>
      <c r="F14483" t="s">
        <v>8</v>
      </c>
      <c r="G14483" t="s">
        <v>9</v>
      </c>
    </row>
    <row r="14484" spans="1:7" x14ac:dyDescent="0.35">
      <c r="A14484">
        <v>5760</v>
      </c>
      <c r="B14484" s="1">
        <v>45966</v>
      </c>
      <c r="C14484" t="s">
        <v>24</v>
      </c>
      <c r="D14484" s="2">
        <v>0</v>
      </c>
      <c r="E14484" s="2">
        <v>1636.82</v>
      </c>
      <c r="F14484" t="s">
        <v>13</v>
      </c>
      <c r="G14484" t="s">
        <v>9</v>
      </c>
    </row>
    <row r="14485" spans="1:7" x14ac:dyDescent="0.35">
      <c r="A14485">
        <v>5761</v>
      </c>
      <c r="B14485" s="1">
        <v>45966</v>
      </c>
      <c r="C14485" t="s">
        <v>24</v>
      </c>
      <c r="D14485" s="2">
        <v>1358.81</v>
      </c>
      <c r="E14485" s="2">
        <v>0</v>
      </c>
      <c r="F14485" t="s">
        <v>8</v>
      </c>
      <c r="G14485" t="s">
        <v>9</v>
      </c>
    </row>
    <row r="14486" spans="1:7" x14ac:dyDescent="0.35">
      <c r="A14486">
        <v>5761</v>
      </c>
      <c r="B14486" s="1">
        <v>45966</v>
      </c>
      <c r="C14486" t="s">
        <v>24</v>
      </c>
      <c r="D14486" s="2">
        <v>0</v>
      </c>
      <c r="E14486" s="2">
        <v>1358.81</v>
      </c>
      <c r="F14486" t="s">
        <v>13</v>
      </c>
      <c r="G14486" t="s">
        <v>9</v>
      </c>
    </row>
    <row r="14487" spans="1:7" x14ac:dyDescent="0.35">
      <c r="A14487">
        <v>5762</v>
      </c>
      <c r="B14487" s="1">
        <v>45966</v>
      </c>
      <c r="C14487" t="s">
        <v>24</v>
      </c>
      <c r="D14487" s="2">
        <v>2091.27</v>
      </c>
      <c r="E14487" s="2">
        <v>0</v>
      </c>
      <c r="F14487" t="s">
        <v>8</v>
      </c>
      <c r="G14487" t="s">
        <v>9</v>
      </c>
    </row>
    <row r="14488" spans="1:7" x14ac:dyDescent="0.35">
      <c r="A14488">
        <v>5762</v>
      </c>
      <c r="B14488" s="1">
        <v>45966</v>
      </c>
      <c r="C14488" t="s">
        <v>24</v>
      </c>
      <c r="D14488" s="2">
        <v>0</v>
      </c>
      <c r="E14488" s="2">
        <v>2091.27</v>
      </c>
      <c r="F14488" t="s">
        <v>13</v>
      </c>
      <c r="G14488" t="s">
        <v>9</v>
      </c>
    </row>
    <row r="14489" spans="1:7" x14ac:dyDescent="0.35">
      <c r="A14489">
        <v>5763</v>
      </c>
      <c r="B14489" s="1">
        <v>45966</v>
      </c>
      <c r="C14489" t="s">
        <v>24</v>
      </c>
      <c r="D14489" s="2">
        <v>235.9</v>
      </c>
      <c r="E14489" s="2">
        <v>0</v>
      </c>
      <c r="F14489" t="s">
        <v>8</v>
      </c>
      <c r="G14489" t="s">
        <v>9</v>
      </c>
    </row>
    <row r="14490" spans="1:7" x14ac:dyDescent="0.35">
      <c r="A14490">
        <v>5763</v>
      </c>
      <c r="B14490" s="1">
        <v>45966</v>
      </c>
      <c r="C14490" t="s">
        <v>24</v>
      </c>
      <c r="D14490" s="2">
        <v>0</v>
      </c>
      <c r="E14490" s="2">
        <v>235.9</v>
      </c>
      <c r="F14490" t="s">
        <v>13</v>
      </c>
      <c r="G14490" t="s">
        <v>9</v>
      </c>
    </row>
    <row r="14491" spans="1:7" x14ac:dyDescent="0.35">
      <c r="A14491">
        <v>5764</v>
      </c>
      <c r="B14491" s="1">
        <v>45966</v>
      </c>
      <c r="C14491" t="s">
        <v>24</v>
      </c>
      <c r="D14491" s="2">
        <v>90.38</v>
      </c>
      <c r="E14491" s="2">
        <v>0</v>
      </c>
      <c r="F14491" t="s">
        <v>8</v>
      </c>
      <c r="G14491" t="s">
        <v>9</v>
      </c>
    </row>
    <row r="14492" spans="1:7" x14ac:dyDescent="0.35">
      <c r="A14492">
        <v>5764</v>
      </c>
      <c r="B14492" s="1">
        <v>45966</v>
      </c>
      <c r="C14492" t="s">
        <v>24</v>
      </c>
      <c r="D14492" s="2">
        <v>0</v>
      </c>
      <c r="E14492" s="2">
        <v>90.38</v>
      </c>
      <c r="F14492" t="s">
        <v>13</v>
      </c>
      <c r="G14492" t="s">
        <v>9</v>
      </c>
    </row>
    <row r="14493" spans="1:7" x14ac:dyDescent="0.35">
      <c r="A14493">
        <v>5765</v>
      </c>
      <c r="B14493" s="1">
        <v>45966</v>
      </c>
      <c r="C14493" t="s">
        <v>24</v>
      </c>
      <c r="D14493" s="2">
        <v>145.51</v>
      </c>
      <c r="E14493" s="2">
        <v>0</v>
      </c>
      <c r="F14493" t="s">
        <v>8</v>
      </c>
      <c r="G14493" t="s">
        <v>9</v>
      </c>
    </row>
    <row r="14494" spans="1:7" x14ac:dyDescent="0.35">
      <c r="A14494">
        <v>5765</v>
      </c>
      <c r="B14494" s="1">
        <v>45966</v>
      </c>
      <c r="C14494" t="s">
        <v>24</v>
      </c>
      <c r="D14494" s="2">
        <v>0</v>
      </c>
      <c r="E14494" s="2">
        <v>145.51</v>
      </c>
      <c r="F14494" t="s">
        <v>13</v>
      </c>
      <c r="G14494" t="s">
        <v>9</v>
      </c>
    </row>
    <row r="14495" spans="1:7" x14ac:dyDescent="0.35">
      <c r="A14495">
        <v>5766</v>
      </c>
      <c r="B14495" s="1">
        <v>45966</v>
      </c>
      <c r="C14495" t="s">
        <v>24</v>
      </c>
      <c r="D14495" s="2">
        <v>299.76</v>
      </c>
      <c r="E14495" s="2">
        <v>0</v>
      </c>
      <c r="F14495" t="s">
        <v>8</v>
      </c>
      <c r="G14495" t="s">
        <v>9</v>
      </c>
    </row>
    <row r="14496" spans="1:7" x14ac:dyDescent="0.35">
      <c r="A14496">
        <v>5766</v>
      </c>
      <c r="B14496" s="1">
        <v>45966</v>
      </c>
      <c r="C14496" t="s">
        <v>24</v>
      </c>
      <c r="D14496" s="2">
        <v>0</v>
      </c>
      <c r="E14496" s="2">
        <v>299.76</v>
      </c>
      <c r="F14496" t="s">
        <v>13</v>
      </c>
      <c r="G14496" t="s">
        <v>9</v>
      </c>
    </row>
    <row r="14497" spans="1:7" x14ac:dyDescent="0.35">
      <c r="A14497">
        <v>5767</v>
      </c>
      <c r="B14497" s="1">
        <v>45966</v>
      </c>
      <c r="C14497" t="s">
        <v>29</v>
      </c>
      <c r="D14497" s="2">
        <v>2093.2800000000002</v>
      </c>
      <c r="E14497" s="2">
        <v>0</v>
      </c>
      <c r="F14497" t="s">
        <v>28</v>
      </c>
      <c r="G14497" t="s">
        <v>17</v>
      </c>
    </row>
    <row r="14498" spans="1:7" x14ac:dyDescent="0.35">
      <c r="A14498">
        <v>5767</v>
      </c>
      <c r="B14498" s="1">
        <v>45966</v>
      </c>
      <c r="C14498" t="s">
        <v>29</v>
      </c>
      <c r="D14498" s="2">
        <v>0</v>
      </c>
      <c r="E14498" s="2">
        <v>2093.2800000000002</v>
      </c>
      <c r="F14498" t="s">
        <v>8</v>
      </c>
      <c r="G14498" t="s">
        <v>9</v>
      </c>
    </row>
    <row r="14499" spans="1:7" x14ac:dyDescent="0.35">
      <c r="A14499">
        <v>5768</v>
      </c>
      <c r="B14499" s="1">
        <v>45966</v>
      </c>
      <c r="C14499" t="s">
        <v>29</v>
      </c>
      <c r="D14499" s="2">
        <v>2635.36</v>
      </c>
      <c r="E14499" s="2">
        <v>0</v>
      </c>
      <c r="F14499" t="s">
        <v>28</v>
      </c>
      <c r="G14499" t="s">
        <v>17</v>
      </c>
    </row>
    <row r="14500" spans="1:7" x14ac:dyDescent="0.35">
      <c r="A14500">
        <v>5768</v>
      </c>
      <c r="B14500" s="1">
        <v>45966</v>
      </c>
      <c r="C14500" t="s">
        <v>29</v>
      </c>
      <c r="D14500" s="2">
        <v>0</v>
      </c>
      <c r="E14500" s="2">
        <v>2635.36</v>
      </c>
      <c r="F14500" t="s">
        <v>8</v>
      </c>
      <c r="G14500" t="s">
        <v>9</v>
      </c>
    </row>
    <row r="14501" spans="1:7" x14ac:dyDescent="0.35">
      <c r="A14501">
        <v>5769</v>
      </c>
      <c r="B14501" s="1">
        <v>45967</v>
      </c>
      <c r="C14501" t="s">
        <v>18</v>
      </c>
      <c r="D14501" s="2">
        <v>22718.9</v>
      </c>
      <c r="E14501" s="2">
        <v>0</v>
      </c>
      <c r="F14501" t="s">
        <v>19</v>
      </c>
      <c r="G14501" t="s">
        <v>20</v>
      </c>
    </row>
    <row r="14502" spans="1:7" x14ac:dyDescent="0.35">
      <c r="A14502">
        <v>5769</v>
      </c>
      <c r="B14502" s="1">
        <v>45967</v>
      </c>
      <c r="C14502" t="s">
        <v>18</v>
      </c>
      <c r="D14502" s="2">
        <v>908.76</v>
      </c>
      <c r="E14502" s="2">
        <v>0</v>
      </c>
      <c r="F14502" t="s">
        <v>21</v>
      </c>
      <c r="G14502" t="s">
        <v>20</v>
      </c>
    </row>
    <row r="14503" spans="1:7" x14ac:dyDescent="0.35">
      <c r="A14503">
        <v>5769</v>
      </c>
      <c r="B14503" s="1">
        <v>45967</v>
      </c>
      <c r="C14503" t="s">
        <v>18</v>
      </c>
      <c r="D14503" s="2">
        <v>0</v>
      </c>
      <c r="E14503" s="2">
        <v>18366.32</v>
      </c>
      <c r="F14503" t="s">
        <v>8</v>
      </c>
      <c r="G14503" t="s">
        <v>9</v>
      </c>
    </row>
    <row r="14504" spans="1:7" x14ac:dyDescent="0.35">
      <c r="A14504">
        <v>5769</v>
      </c>
      <c r="B14504" s="1">
        <v>45967</v>
      </c>
      <c r="C14504" t="s">
        <v>18</v>
      </c>
      <c r="D14504" s="2">
        <v>0</v>
      </c>
      <c r="E14504" s="2">
        <v>4352.58</v>
      </c>
      <c r="F14504" t="s">
        <v>22</v>
      </c>
      <c r="G14504" t="s">
        <v>17</v>
      </c>
    </row>
    <row r="14505" spans="1:7" x14ac:dyDescent="0.35">
      <c r="A14505">
        <v>5769</v>
      </c>
      <c r="B14505" s="1">
        <v>45967</v>
      </c>
      <c r="C14505" t="s">
        <v>18</v>
      </c>
      <c r="D14505" s="2">
        <v>0</v>
      </c>
      <c r="E14505" s="2">
        <v>908.76</v>
      </c>
      <c r="F14505" t="s">
        <v>23</v>
      </c>
      <c r="G14505" t="s">
        <v>17</v>
      </c>
    </row>
    <row r="14506" spans="1:7" x14ac:dyDescent="0.35">
      <c r="A14506">
        <v>5770</v>
      </c>
      <c r="B14506" s="1">
        <v>45967</v>
      </c>
      <c r="C14506" t="s">
        <v>12</v>
      </c>
      <c r="D14506" s="2">
        <v>2903.52</v>
      </c>
      <c r="E14506" s="2">
        <v>0</v>
      </c>
      <c r="F14506" t="s">
        <v>13</v>
      </c>
      <c r="G14506" t="s">
        <v>9</v>
      </c>
    </row>
    <row r="14507" spans="1:7" x14ac:dyDescent="0.35">
      <c r="A14507">
        <v>5770</v>
      </c>
      <c r="B14507" s="1">
        <v>45967</v>
      </c>
      <c r="C14507" t="s">
        <v>12</v>
      </c>
      <c r="D14507" s="2">
        <v>0</v>
      </c>
      <c r="E14507" s="2">
        <v>2700.95</v>
      </c>
      <c r="F14507" t="s">
        <v>14</v>
      </c>
      <c r="G14507" t="s">
        <v>15</v>
      </c>
    </row>
    <row r="14508" spans="1:7" x14ac:dyDescent="0.35">
      <c r="A14508">
        <v>5770</v>
      </c>
      <c r="B14508" s="1">
        <v>45967</v>
      </c>
      <c r="C14508" t="s">
        <v>12</v>
      </c>
      <c r="D14508" s="2">
        <v>0</v>
      </c>
      <c r="E14508" s="2">
        <v>202.57</v>
      </c>
      <c r="F14508" t="s">
        <v>16</v>
      </c>
      <c r="G14508" t="s">
        <v>17</v>
      </c>
    </row>
    <row r="14509" spans="1:7" x14ac:dyDescent="0.35">
      <c r="A14509">
        <v>5771</v>
      </c>
      <c r="B14509" s="1">
        <v>45967</v>
      </c>
      <c r="C14509" t="s">
        <v>12</v>
      </c>
      <c r="D14509" s="2">
        <v>3747.76</v>
      </c>
      <c r="E14509" s="2">
        <v>0</v>
      </c>
      <c r="F14509" t="s">
        <v>13</v>
      </c>
      <c r="G14509" t="s">
        <v>9</v>
      </c>
    </row>
    <row r="14510" spans="1:7" x14ac:dyDescent="0.35">
      <c r="A14510">
        <v>5771</v>
      </c>
      <c r="B14510" s="1">
        <v>45967</v>
      </c>
      <c r="C14510" t="s">
        <v>12</v>
      </c>
      <c r="D14510" s="2">
        <v>0</v>
      </c>
      <c r="E14510" s="2">
        <v>3486.3</v>
      </c>
      <c r="F14510" t="s">
        <v>14</v>
      </c>
      <c r="G14510" t="s">
        <v>15</v>
      </c>
    </row>
    <row r="14511" spans="1:7" x14ac:dyDescent="0.35">
      <c r="A14511">
        <v>5771</v>
      </c>
      <c r="B14511" s="1">
        <v>45967</v>
      </c>
      <c r="C14511" t="s">
        <v>12</v>
      </c>
      <c r="D14511" s="2">
        <v>0</v>
      </c>
      <c r="E14511" s="2">
        <v>261.45999999999998</v>
      </c>
      <c r="F14511" t="s">
        <v>16</v>
      </c>
      <c r="G14511" t="s">
        <v>17</v>
      </c>
    </row>
    <row r="14512" spans="1:7" x14ac:dyDescent="0.35">
      <c r="A14512">
        <v>5772</v>
      </c>
      <c r="B14512" s="1">
        <v>45967</v>
      </c>
      <c r="C14512" t="s">
        <v>12</v>
      </c>
      <c r="D14512" s="2">
        <v>1920.6</v>
      </c>
      <c r="E14512" s="2">
        <v>0</v>
      </c>
      <c r="F14512" t="s">
        <v>13</v>
      </c>
      <c r="G14512" t="s">
        <v>9</v>
      </c>
    </row>
    <row r="14513" spans="1:7" x14ac:dyDescent="0.35">
      <c r="A14513">
        <v>5772</v>
      </c>
      <c r="B14513" s="1">
        <v>45967</v>
      </c>
      <c r="C14513" t="s">
        <v>12</v>
      </c>
      <c r="D14513" s="2">
        <v>0</v>
      </c>
      <c r="E14513" s="2">
        <v>1786.61</v>
      </c>
      <c r="F14513" t="s">
        <v>14</v>
      </c>
      <c r="G14513" t="s">
        <v>15</v>
      </c>
    </row>
    <row r="14514" spans="1:7" x14ac:dyDescent="0.35">
      <c r="A14514">
        <v>5772</v>
      </c>
      <c r="B14514" s="1">
        <v>45967</v>
      </c>
      <c r="C14514" t="s">
        <v>12</v>
      </c>
      <c r="D14514" s="2">
        <v>0</v>
      </c>
      <c r="E14514" s="2">
        <v>133.99</v>
      </c>
      <c r="F14514" t="s">
        <v>16</v>
      </c>
      <c r="G14514" t="s">
        <v>17</v>
      </c>
    </row>
    <row r="14515" spans="1:7" x14ac:dyDescent="0.35">
      <c r="A14515">
        <v>5773</v>
      </c>
      <c r="B14515" s="1">
        <v>45967</v>
      </c>
      <c r="C14515" t="s">
        <v>12</v>
      </c>
      <c r="D14515" s="2">
        <v>700.99</v>
      </c>
      <c r="E14515" s="2">
        <v>0</v>
      </c>
      <c r="F14515" t="s">
        <v>13</v>
      </c>
      <c r="G14515" t="s">
        <v>9</v>
      </c>
    </row>
    <row r="14516" spans="1:7" x14ac:dyDescent="0.35">
      <c r="A14516">
        <v>5773</v>
      </c>
      <c r="B14516" s="1">
        <v>45967</v>
      </c>
      <c r="C14516" t="s">
        <v>12</v>
      </c>
      <c r="D14516" s="2">
        <v>0</v>
      </c>
      <c r="E14516" s="2">
        <v>652.08000000000004</v>
      </c>
      <c r="F14516" t="s">
        <v>14</v>
      </c>
      <c r="G14516" t="s">
        <v>15</v>
      </c>
    </row>
    <row r="14517" spans="1:7" x14ac:dyDescent="0.35">
      <c r="A14517">
        <v>5773</v>
      </c>
      <c r="B14517" s="1">
        <v>45967</v>
      </c>
      <c r="C14517" t="s">
        <v>12</v>
      </c>
      <c r="D14517" s="2">
        <v>0</v>
      </c>
      <c r="E14517" s="2">
        <v>48.91</v>
      </c>
      <c r="F14517" t="s">
        <v>16</v>
      </c>
      <c r="G14517" t="s">
        <v>17</v>
      </c>
    </row>
    <row r="14518" spans="1:7" x14ac:dyDescent="0.35">
      <c r="A14518">
        <v>5774</v>
      </c>
      <c r="B14518" s="1">
        <v>45967</v>
      </c>
      <c r="C14518" t="s">
        <v>12</v>
      </c>
      <c r="D14518" s="2">
        <v>6407.5</v>
      </c>
      <c r="E14518" s="2">
        <v>0</v>
      </c>
      <c r="F14518" t="s">
        <v>13</v>
      </c>
      <c r="G14518" t="s">
        <v>9</v>
      </c>
    </row>
    <row r="14519" spans="1:7" x14ac:dyDescent="0.35">
      <c r="A14519">
        <v>5774</v>
      </c>
      <c r="B14519" s="1">
        <v>45967</v>
      </c>
      <c r="C14519" t="s">
        <v>12</v>
      </c>
      <c r="D14519" s="2">
        <v>0</v>
      </c>
      <c r="E14519" s="2">
        <v>5960.46</v>
      </c>
      <c r="F14519" t="s">
        <v>14</v>
      </c>
      <c r="G14519" t="s">
        <v>15</v>
      </c>
    </row>
    <row r="14520" spans="1:7" x14ac:dyDescent="0.35">
      <c r="A14520">
        <v>5774</v>
      </c>
      <c r="B14520" s="1">
        <v>45967</v>
      </c>
      <c r="C14520" t="s">
        <v>12</v>
      </c>
      <c r="D14520" s="2">
        <v>0</v>
      </c>
      <c r="E14520" s="2">
        <v>447.04</v>
      </c>
      <c r="F14520" t="s">
        <v>16</v>
      </c>
      <c r="G14520" t="s">
        <v>17</v>
      </c>
    </row>
    <row r="14521" spans="1:7" x14ac:dyDescent="0.35">
      <c r="A14521">
        <v>5775</v>
      </c>
      <c r="B14521" s="1">
        <v>45967</v>
      </c>
      <c r="C14521" t="s">
        <v>12</v>
      </c>
      <c r="D14521" s="2">
        <v>3487.51</v>
      </c>
      <c r="E14521" s="2">
        <v>0</v>
      </c>
      <c r="F14521" t="s">
        <v>13</v>
      </c>
      <c r="G14521" t="s">
        <v>9</v>
      </c>
    </row>
    <row r="14522" spans="1:7" x14ac:dyDescent="0.35">
      <c r="A14522">
        <v>5775</v>
      </c>
      <c r="B14522" s="1">
        <v>45967</v>
      </c>
      <c r="C14522" t="s">
        <v>12</v>
      </c>
      <c r="D14522" s="2">
        <v>0</v>
      </c>
      <c r="E14522" s="2">
        <v>3244.2</v>
      </c>
      <c r="F14522" t="s">
        <v>14</v>
      </c>
      <c r="G14522" t="s">
        <v>15</v>
      </c>
    </row>
    <row r="14523" spans="1:7" x14ac:dyDescent="0.35">
      <c r="A14523">
        <v>5775</v>
      </c>
      <c r="B14523" s="1">
        <v>45967</v>
      </c>
      <c r="C14523" t="s">
        <v>12</v>
      </c>
      <c r="D14523" s="2">
        <v>0</v>
      </c>
      <c r="E14523" s="2">
        <v>243.31</v>
      </c>
      <c r="F14523" t="s">
        <v>16</v>
      </c>
      <c r="G14523" t="s">
        <v>17</v>
      </c>
    </row>
    <row r="14524" spans="1:7" x14ac:dyDescent="0.35">
      <c r="A14524">
        <v>5776</v>
      </c>
      <c r="B14524" s="1">
        <v>45967</v>
      </c>
      <c r="C14524" t="s">
        <v>12</v>
      </c>
      <c r="D14524" s="2">
        <v>3619.04</v>
      </c>
      <c r="E14524" s="2">
        <v>0</v>
      </c>
      <c r="F14524" t="s">
        <v>13</v>
      </c>
      <c r="G14524" t="s">
        <v>9</v>
      </c>
    </row>
    <row r="14525" spans="1:7" x14ac:dyDescent="0.35">
      <c r="A14525">
        <v>5776</v>
      </c>
      <c r="B14525" s="1">
        <v>45967</v>
      </c>
      <c r="C14525" t="s">
        <v>12</v>
      </c>
      <c r="D14525" s="2">
        <v>0</v>
      </c>
      <c r="E14525" s="2">
        <v>3366.55</v>
      </c>
      <c r="F14525" t="s">
        <v>14</v>
      </c>
      <c r="G14525" t="s">
        <v>15</v>
      </c>
    </row>
    <row r="14526" spans="1:7" x14ac:dyDescent="0.35">
      <c r="A14526">
        <v>5776</v>
      </c>
      <c r="B14526" s="1">
        <v>45967</v>
      </c>
      <c r="C14526" t="s">
        <v>12</v>
      </c>
      <c r="D14526" s="2">
        <v>0</v>
      </c>
      <c r="E14526" s="2">
        <v>252.49</v>
      </c>
      <c r="F14526" t="s">
        <v>16</v>
      </c>
      <c r="G14526" t="s">
        <v>17</v>
      </c>
    </row>
    <row r="14527" spans="1:7" x14ac:dyDescent="0.35">
      <c r="A14527">
        <v>5777</v>
      </c>
      <c r="B14527" s="1">
        <v>45967</v>
      </c>
      <c r="C14527" t="s">
        <v>12</v>
      </c>
      <c r="D14527" s="2">
        <v>4048.87</v>
      </c>
      <c r="E14527" s="2">
        <v>0</v>
      </c>
      <c r="F14527" t="s">
        <v>13</v>
      </c>
      <c r="G14527" t="s">
        <v>9</v>
      </c>
    </row>
    <row r="14528" spans="1:7" x14ac:dyDescent="0.35">
      <c r="A14528">
        <v>5777</v>
      </c>
      <c r="B14528" s="1">
        <v>45967</v>
      </c>
      <c r="C14528" t="s">
        <v>12</v>
      </c>
      <c r="D14528" s="2">
        <v>0</v>
      </c>
      <c r="E14528" s="2">
        <v>3766.39</v>
      </c>
      <c r="F14528" t="s">
        <v>14</v>
      </c>
      <c r="G14528" t="s">
        <v>15</v>
      </c>
    </row>
    <row r="14529" spans="1:7" x14ac:dyDescent="0.35">
      <c r="A14529">
        <v>5777</v>
      </c>
      <c r="B14529" s="1">
        <v>45967</v>
      </c>
      <c r="C14529" t="s">
        <v>12</v>
      </c>
      <c r="D14529" s="2">
        <v>0</v>
      </c>
      <c r="E14529" s="2">
        <v>282.48</v>
      </c>
      <c r="F14529" t="s">
        <v>16</v>
      </c>
      <c r="G14529" t="s">
        <v>17</v>
      </c>
    </row>
    <row r="14530" spans="1:7" x14ac:dyDescent="0.35">
      <c r="A14530">
        <v>5778</v>
      </c>
      <c r="B14530" s="1">
        <v>45967</v>
      </c>
      <c r="C14530" t="s">
        <v>12</v>
      </c>
      <c r="D14530" s="2">
        <v>3222.74</v>
      </c>
      <c r="E14530" s="2">
        <v>0</v>
      </c>
      <c r="F14530" t="s">
        <v>13</v>
      </c>
      <c r="G14530" t="s">
        <v>9</v>
      </c>
    </row>
    <row r="14531" spans="1:7" x14ac:dyDescent="0.35">
      <c r="A14531">
        <v>5778</v>
      </c>
      <c r="B14531" s="1">
        <v>45967</v>
      </c>
      <c r="C14531" t="s">
        <v>12</v>
      </c>
      <c r="D14531" s="2">
        <v>0</v>
      </c>
      <c r="E14531" s="2">
        <v>2997.9</v>
      </c>
      <c r="F14531" t="s">
        <v>14</v>
      </c>
      <c r="G14531" t="s">
        <v>15</v>
      </c>
    </row>
    <row r="14532" spans="1:7" x14ac:dyDescent="0.35">
      <c r="A14532">
        <v>5778</v>
      </c>
      <c r="B14532" s="1">
        <v>45967</v>
      </c>
      <c r="C14532" t="s">
        <v>12</v>
      </c>
      <c r="D14532" s="2">
        <v>0</v>
      </c>
      <c r="E14532" s="2">
        <v>224.84</v>
      </c>
      <c r="F14532" t="s">
        <v>16</v>
      </c>
      <c r="G14532" t="s">
        <v>17</v>
      </c>
    </row>
    <row r="14533" spans="1:7" x14ac:dyDescent="0.35">
      <c r="A14533">
        <v>5779</v>
      </c>
      <c r="B14533" s="1">
        <v>45967</v>
      </c>
      <c r="C14533" t="s">
        <v>12</v>
      </c>
      <c r="D14533" s="2">
        <v>4347.09</v>
      </c>
      <c r="E14533" s="2">
        <v>0</v>
      </c>
      <c r="F14533" t="s">
        <v>13</v>
      </c>
      <c r="G14533" t="s">
        <v>9</v>
      </c>
    </row>
    <row r="14534" spans="1:7" x14ac:dyDescent="0.35">
      <c r="A14534">
        <v>5779</v>
      </c>
      <c r="B14534" s="1">
        <v>45967</v>
      </c>
      <c r="C14534" t="s">
        <v>12</v>
      </c>
      <c r="D14534" s="2">
        <v>0</v>
      </c>
      <c r="E14534" s="2">
        <v>4043.8</v>
      </c>
      <c r="F14534" t="s">
        <v>14</v>
      </c>
      <c r="G14534" t="s">
        <v>15</v>
      </c>
    </row>
    <row r="14535" spans="1:7" x14ac:dyDescent="0.35">
      <c r="A14535">
        <v>5779</v>
      </c>
      <c r="B14535" s="1">
        <v>45967</v>
      </c>
      <c r="C14535" t="s">
        <v>12</v>
      </c>
      <c r="D14535" s="2">
        <v>0</v>
      </c>
      <c r="E14535" s="2">
        <v>303.29000000000002</v>
      </c>
      <c r="F14535" t="s">
        <v>16</v>
      </c>
      <c r="G14535" t="s">
        <v>17</v>
      </c>
    </row>
    <row r="14536" spans="1:7" x14ac:dyDescent="0.35">
      <c r="A14536">
        <v>5780</v>
      </c>
      <c r="B14536" s="1">
        <v>45967</v>
      </c>
      <c r="C14536" t="s">
        <v>12</v>
      </c>
      <c r="D14536" s="2">
        <v>570.49</v>
      </c>
      <c r="E14536" s="2">
        <v>0</v>
      </c>
      <c r="F14536" t="s">
        <v>13</v>
      </c>
      <c r="G14536" t="s">
        <v>9</v>
      </c>
    </row>
    <row r="14537" spans="1:7" x14ac:dyDescent="0.35">
      <c r="A14537">
        <v>5780</v>
      </c>
      <c r="B14537" s="1">
        <v>45967</v>
      </c>
      <c r="C14537" t="s">
        <v>12</v>
      </c>
      <c r="D14537" s="2">
        <v>0</v>
      </c>
      <c r="E14537" s="2">
        <v>530.67999999999995</v>
      </c>
      <c r="F14537" t="s">
        <v>14</v>
      </c>
      <c r="G14537" t="s">
        <v>15</v>
      </c>
    </row>
    <row r="14538" spans="1:7" x14ac:dyDescent="0.35">
      <c r="A14538">
        <v>5780</v>
      </c>
      <c r="B14538" s="1">
        <v>45967</v>
      </c>
      <c r="C14538" t="s">
        <v>12</v>
      </c>
      <c r="D14538" s="2">
        <v>0</v>
      </c>
      <c r="E14538" s="2">
        <v>39.81</v>
      </c>
      <c r="F14538" t="s">
        <v>16</v>
      </c>
      <c r="G14538" t="s">
        <v>17</v>
      </c>
    </row>
    <row r="14539" spans="1:7" x14ac:dyDescent="0.35">
      <c r="A14539">
        <v>5781</v>
      </c>
      <c r="B14539" s="1">
        <v>45967</v>
      </c>
      <c r="C14539" t="s">
        <v>24</v>
      </c>
      <c r="D14539" s="2">
        <v>96.36</v>
      </c>
      <c r="E14539" s="2">
        <v>0</v>
      </c>
      <c r="F14539" t="s">
        <v>8</v>
      </c>
      <c r="G14539" t="s">
        <v>9</v>
      </c>
    </row>
    <row r="14540" spans="1:7" x14ac:dyDescent="0.35">
      <c r="A14540">
        <v>5781</v>
      </c>
      <c r="B14540" s="1">
        <v>45967</v>
      </c>
      <c r="C14540" t="s">
        <v>24</v>
      </c>
      <c r="D14540" s="2">
        <v>0</v>
      </c>
      <c r="E14540" s="2">
        <v>96.36</v>
      </c>
      <c r="F14540" t="s">
        <v>13</v>
      </c>
      <c r="G14540" t="s">
        <v>9</v>
      </c>
    </row>
    <row r="14541" spans="1:7" x14ac:dyDescent="0.35">
      <c r="A14541">
        <v>5782</v>
      </c>
      <c r="B14541" s="1">
        <v>45967</v>
      </c>
      <c r="C14541" t="s">
        <v>24</v>
      </c>
      <c r="D14541" s="2">
        <v>108.02</v>
      </c>
      <c r="E14541" s="2">
        <v>0</v>
      </c>
      <c r="F14541" t="s">
        <v>8</v>
      </c>
      <c r="G14541" t="s">
        <v>9</v>
      </c>
    </row>
    <row r="14542" spans="1:7" x14ac:dyDescent="0.35">
      <c r="A14542">
        <v>5782</v>
      </c>
      <c r="B14542" s="1">
        <v>45967</v>
      </c>
      <c r="C14542" t="s">
        <v>24</v>
      </c>
      <c r="D14542" s="2">
        <v>0</v>
      </c>
      <c r="E14542" s="2">
        <v>108.02</v>
      </c>
      <c r="F14542" t="s">
        <v>13</v>
      </c>
      <c r="G14542" t="s">
        <v>9</v>
      </c>
    </row>
    <row r="14543" spans="1:7" x14ac:dyDescent="0.35">
      <c r="A14543">
        <v>5783</v>
      </c>
      <c r="B14543" s="1">
        <v>45967</v>
      </c>
      <c r="C14543" t="s">
        <v>24</v>
      </c>
      <c r="D14543" s="2">
        <v>5102.57</v>
      </c>
      <c r="E14543" s="2">
        <v>0</v>
      </c>
      <c r="F14543" t="s">
        <v>8</v>
      </c>
      <c r="G14543" t="s">
        <v>9</v>
      </c>
    </row>
    <row r="14544" spans="1:7" x14ac:dyDescent="0.35">
      <c r="A14544">
        <v>5783</v>
      </c>
      <c r="B14544" s="1">
        <v>45967</v>
      </c>
      <c r="C14544" t="s">
        <v>24</v>
      </c>
      <c r="D14544" s="2">
        <v>0</v>
      </c>
      <c r="E14544" s="2">
        <v>5102.57</v>
      </c>
      <c r="F14544" t="s">
        <v>13</v>
      </c>
      <c r="G14544" t="s">
        <v>9</v>
      </c>
    </row>
    <row r="14545" spans="1:7" x14ac:dyDescent="0.35">
      <c r="A14545">
        <v>5784</v>
      </c>
      <c r="B14545" s="1">
        <v>45967</v>
      </c>
      <c r="C14545" t="s">
        <v>24</v>
      </c>
      <c r="D14545" s="2">
        <v>148.80000000000001</v>
      </c>
      <c r="E14545" s="2">
        <v>0</v>
      </c>
      <c r="F14545" t="s">
        <v>8</v>
      </c>
      <c r="G14545" t="s">
        <v>9</v>
      </c>
    </row>
    <row r="14546" spans="1:7" x14ac:dyDescent="0.35">
      <c r="A14546">
        <v>5784</v>
      </c>
      <c r="B14546" s="1">
        <v>45967</v>
      </c>
      <c r="C14546" t="s">
        <v>24</v>
      </c>
      <c r="D14546" s="2">
        <v>0</v>
      </c>
      <c r="E14546" s="2">
        <v>148.80000000000001</v>
      </c>
      <c r="F14546" t="s">
        <v>13</v>
      </c>
      <c r="G14546" t="s">
        <v>9</v>
      </c>
    </row>
    <row r="14547" spans="1:7" x14ac:dyDescent="0.35">
      <c r="A14547">
        <v>5785</v>
      </c>
      <c r="B14547" s="1">
        <v>45967</v>
      </c>
      <c r="C14547" t="s">
        <v>24</v>
      </c>
      <c r="D14547" s="2">
        <v>2837.38</v>
      </c>
      <c r="E14547" s="2">
        <v>0</v>
      </c>
      <c r="F14547" t="s">
        <v>8</v>
      </c>
      <c r="G14547" t="s">
        <v>9</v>
      </c>
    </row>
    <row r="14548" spans="1:7" x14ac:dyDescent="0.35">
      <c r="A14548">
        <v>5785</v>
      </c>
      <c r="B14548" s="1">
        <v>45967</v>
      </c>
      <c r="C14548" t="s">
        <v>24</v>
      </c>
      <c r="D14548" s="2">
        <v>0</v>
      </c>
      <c r="E14548" s="2">
        <v>2837.38</v>
      </c>
      <c r="F14548" t="s">
        <v>13</v>
      </c>
      <c r="G14548" t="s">
        <v>9</v>
      </c>
    </row>
    <row r="14549" spans="1:7" x14ac:dyDescent="0.35">
      <c r="A14549">
        <v>5786</v>
      </c>
      <c r="B14549" s="1">
        <v>45967</v>
      </c>
      <c r="C14549" t="s">
        <v>24</v>
      </c>
      <c r="D14549" s="2">
        <v>4048.87</v>
      </c>
      <c r="E14549" s="2">
        <v>0</v>
      </c>
      <c r="F14549" t="s">
        <v>8</v>
      </c>
      <c r="G14549" t="s">
        <v>9</v>
      </c>
    </row>
    <row r="14550" spans="1:7" x14ac:dyDescent="0.35">
      <c r="A14550">
        <v>5786</v>
      </c>
      <c r="B14550" s="1">
        <v>45967</v>
      </c>
      <c r="C14550" t="s">
        <v>24</v>
      </c>
      <c r="D14550" s="2">
        <v>0</v>
      </c>
      <c r="E14550" s="2">
        <v>4048.87</v>
      </c>
      <c r="F14550" t="s">
        <v>13</v>
      </c>
      <c r="G14550" t="s">
        <v>9</v>
      </c>
    </row>
    <row r="14551" spans="1:7" x14ac:dyDescent="0.35">
      <c r="A14551">
        <v>5787</v>
      </c>
      <c r="B14551" s="1">
        <v>45967</v>
      </c>
      <c r="C14551" t="s">
        <v>25</v>
      </c>
      <c r="D14551" s="2">
        <v>2714.58</v>
      </c>
      <c r="E14551" s="2">
        <v>0</v>
      </c>
      <c r="F14551" t="s">
        <v>26</v>
      </c>
      <c r="G14551" t="s">
        <v>20</v>
      </c>
    </row>
    <row r="14552" spans="1:7" x14ac:dyDescent="0.35">
      <c r="A14552">
        <v>5787</v>
      </c>
      <c r="B14552" s="1">
        <v>45967</v>
      </c>
      <c r="C14552" t="s">
        <v>25</v>
      </c>
      <c r="D14552" s="2">
        <v>203.59</v>
      </c>
      <c r="E14552" s="2">
        <v>0</v>
      </c>
      <c r="F14552" t="s">
        <v>27</v>
      </c>
      <c r="G14552" t="s">
        <v>9</v>
      </c>
    </row>
    <row r="14553" spans="1:7" x14ac:dyDescent="0.35">
      <c r="A14553">
        <v>5787</v>
      </c>
      <c r="B14553" s="1">
        <v>45967</v>
      </c>
      <c r="C14553" t="s">
        <v>25</v>
      </c>
      <c r="D14553" s="2">
        <v>0</v>
      </c>
      <c r="E14553" s="2">
        <v>2918.17</v>
      </c>
      <c r="F14553" t="s">
        <v>28</v>
      </c>
      <c r="G14553" t="s">
        <v>17</v>
      </c>
    </row>
    <row r="14554" spans="1:7" x14ac:dyDescent="0.35">
      <c r="A14554">
        <v>5788</v>
      </c>
      <c r="B14554" s="1">
        <v>45967</v>
      </c>
      <c r="C14554" t="s">
        <v>25</v>
      </c>
      <c r="D14554" s="2">
        <v>166.52</v>
      </c>
      <c r="E14554" s="2">
        <v>0</v>
      </c>
      <c r="F14554" t="s">
        <v>26</v>
      </c>
      <c r="G14554" t="s">
        <v>20</v>
      </c>
    </row>
    <row r="14555" spans="1:7" x14ac:dyDescent="0.35">
      <c r="A14555">
        <v>5788</v>
      </c>
      <c r="B14555" s="1">
        <v>45967</v>
      </c>
      <c r="C14555" t="s">
        <v>25</v>
      </c>
      <c r="D14555" s="2">
        <v>12.49</v>
      </c>
      <c r="E14555" s="2">
        <v>0</v>
      </c>
      <c r="F14555" t="s">
        <v>27</v>
      </c>
      <c r="G14555" t="s">
        <v>9</v>
      </c>
    </row>
    <row r="14556" spans="1:7" x14ac:dyDescent="0.35">
      <c r="A14556">
        <v>5788</v>
      </c>
      <c r="B14556" s="1">
        <v>45967</v>
      </c>
      <c r="C14556" t="s">
        <v>25</v>
      </c>
      <c r="D14556" s="2">
        <v>0</v>
      </c>
      <c r="E14556" s="2">
        <v>179.01</v>
      </c>
      <c r="F14556" t="s">
        <v>28</v>
      </c>
      <c r="G14556" t="s">
        <v>17</v>
      </c>
    </row>
    <row r="14557" spans="1:7" x14ac:dyDescent="0.35">
      <c r="A14557">
        <v>5789</v>
      </c>
      <c r="B14557" s="1">
        <v>45967</v>
      </c>
      <c r="C14557" t="s">
        <v>29</v>
      </c>
      <c r="D14557" s="2">
        <v>2635.36</v>
      </c>
      <c r="E14557" s="2">
        <v>0</v>
      </c>
      <c r="F14557" t="s">
        <v>28</v>
      </c>
      <c r="G14557" t="s">
        <v>17</v>
      </c>
    </row>
    <row r="14558" spans="1:7" x14ac:dyDescent="0.35">
      <c r="A14558">
        <v>5789</v>
      </c>
      <c r="B14558" s="1">
        <v>45967</v>
      </c>
      <c r="C14558" t="s">
        <v>29</v>
      </c>
      <c r="D14558" s="2">
        <v>0</v>
      </c>
      <c r="E14558" s="2">
        <v>2635.36</v>
      </c>
      <c r="F14558" t="s">
        <v>8</v>
      </c>
      <c r="G14558" t="s">
        <v>9</v>
      </c>
    </row>
    <row r="14559" spans="1:7" x14ac:dyDescent="0.35">
      <c r="A14559">
        <v>5790</v>
      </c>
      <c r="B14559" s="1">
        <v>45967</v>
      </c>
      <c r="C14559" t="s">
        <v>29</v>
      </c>
      <c r="D14559" s="2">
        <v>550.4</v>
      </c>
      <c r="E14559" s="2">
        <v>0</v>
      </c>
      <c r="F14559" t="s">
        <v>28</v>
      </c>
      <c r="G14559" t="s">
        <v>17</v>
      </c>
    </row>
    <row r="14560" spans="1:7" x14ac:dyDescent="0.35">
      <c r="A14560">
        <v>5790</v>
      </c>
      <c r="B14560" s="1">
        <v>45967</v>
      </c>
      <c r="C14560" t="s">
        <v>29</v>
      </c>
      <c r="D14560" s="2">
        <v>0</v>
      </c>
      <c r="E14560" s="2">
        <v>550.4</v>
      </c>
      <c r="F14560" t="s">
        <v>8</v>
      </c>
      <c r="G14560" t="s">
        <v>9</v>
      </c>
    </row>
    <row r="14561" spans="1:7" x14ac:dyDescent="0.35">
      <c r="A14561">
        <v>5791</v>
      </c>
      <c r="B14561" s="1">
        <v>45967</v>
      </c>
      <c r="C14561" t="s">
        <v>29</v>
      </c>
      <c r="D14561" s="2">
        <v>748.26</v>
      </c>
      <c r="E14561" s="2">
        <v>0</v>
      </c>
      <c r="F14561" t="s">
        <v>28</v>
      </c>
      <c r="G14561" t="s">
        <v>17</v>
      </c>
    </row>
    <row r="14562" spans="1:7" x14ac:dyDescent="0.35">
      <c r="A14562">
        <v>5791</v>
      </c>
      <c r="B14562" s="1">
        <v>45967</v>
      </c>
      <c r="C14562" t="s">
        <v>29</v>
      </c>
      <c r="D14562" s="2">
        <v>0</v>
      </c>
      <c r="E14562" s="2">
        <v>748.26</v>
      </c>
      <c r="F14562" t="s">
        <v>8</v>
      </c>
      <c r="G14562" t="s">
        <v>9</v>
      </c>
    </row>
    <row r="14563" spans="1:7" x14ac:dyDescent="0.35">
      <c r="A14563">
        <v>5792</v>
      </c>
      <c r="B14563" s="1">
        <v>45967</v>
      </c>
      <c r="C14563" t="s">
        <v>29</v>
      </c>
      <c r="D14563" s="2">
        <v>1023.42</v>
      </c>
      <c r="E14563" s="2">
        <v>0</v>
      </c>
      <c r="F14563" t="s">
        <v>28</v>
      </c>
      <c r="G14563" t="s">
        <v>17</v>
      </c>
    </row>
    <row r="14564" spans="1:7" x14ac:dyDescent="0.35">
      <c r="A14564">
        <v>5792</v>
      </c>
      <c r="B14564" s="1">
        <v>45967</v>
      </c>
      <c r="C14564" t="s">
        <v>29</v>
      </c>
      <c r="D14564" s="2">
        <v>0</v>
      </c>
      <c r="E14564" s="2">
        <v>1023.42</v>
      </c>
      <c r="F14564" t="s">
        <v>8</v>
      </c>
      <c r="G14564" t="s">
        <v>9</v>
      </c>
    </row>
    <row r="14565" spans="1:7" x14ac:dyDescent="0.35">
      <c r="A14565">
        <v>5793</v>
      </c>
      <c r="B14565" s="1">
        <v>45968</v>
      </c>
      <c r="C14565" t="s">
        <v>12</v>
      </c>
      <c r="D14565" s="2">
        <v>1783.61</v>
      </c>
      <c r="E14565" s="2">
        <v>0</v>
      </c>
      <c r="F14565" t="s">
        <v>13</v>
      </c>
      <c r="G14565" t="s">
        <v>9</v>
      </c>
    </row>
    <row r="14566" spans="1:7" x14ac:dyDescent="0.35">
      <c r="A14566">
        <v>5793</v>
      </c>
      <c r="B14566" s="1">
        <v>45968</v>
      </c>
      <c r="C14566" t="s">
        <v>12</v>
      </c>
      <c r="D14566" s="2">
        <v>0</v>
      </c>
      <c r="E14566" s="2">
        <v>1659.17</v>
      </c>
      <c r="F14566" t="s">
        <v>14</v>
      </c>
      <c r="G14566" t="s">
        <v>15</v>
      </c>
    </row>
    <row r="14567" spans="1:7" x14ac:dyDescent="0.35">
      <c r="A14567">
        <v>5793</v>
      </c>
      <c r="B14567" s="1">
        <v>45968</v>
      </c>
      <c r="C14567" t="s">
        <v>12</v>
      </c>
      <c r="D14567" s="2">
        <v>0</v>
      </c>
      <c r="E14567" s="2">
        <v>124.44</v>
      </c>
      <c r="F14567" t="s">
        <v>16</v>
      </c>
      <c r="G14567" t="s">
        <v>17</v>
      </c>
    </row>
    <row r="14568" spans="1:7" x14ac:dyDescent="0.35">
      <c r="A14568">
        <v>5794</v>
      </c>
      <c r="B14568" s="1">
        <v>45968</v>
      </c>
      <c r="C14568" t="s">
        <v>12</v>
      </c>
      <c r="D14568" s="2">
        <v>4342.1899999999996</v>
      </c>
      <c r="E14568" s="2">
        <v>0</v>
      </c>
      <c r="F14568" t="s">
        <v>13</v>
      </c>
      <c r="G14568" t="s">
        <v>9</v>
      </c>
    </row>
    <row r="14569" spans="1:7" x14ac:dyDescent="0.35">
      <c r="A14569">
        <v>5794</v>
      </c>
      <c r="B14569" s="1">
        <v>45968</v>
      </c>
      <c r="C14569" t="s">
        <v>12</v>
      </c>
      <c r="D14569" s="2">
        <v>0</v>
      </c>
      <c r="E14569" s="2">
        <v>4039.23</v>
      </c>
      <c r="F14569" t="s">
        <v>14</v>
      </c>
      <c r="G14569" t="s">
        <v>15</v>
      </c>
    </row>
    <row r="14570" spans="1:7" x14ac:dyDescent="0.35">
      <c r="A14570">
        <v>5794</v>
      </c>
      <c r="B14570" s="1">
        <v>45968</v>
      </c>
      <c r="C14570" t="s">
        <v>12</v>
      </c>
      <c r="D14570" s="2">
        <v>0</v>
      </c>
      <c r="E14570" s="2">
        <v>302.95999999999998</v>
      </c>
      <c r="F14570" t="s">
        <v>16</v>
      </c>
      <c r="G14570" t="s">
        <v>17</v>
      </c>
    </row>
    <row r="14571" spans="1:7" x14ac:dyDescent="0.35">
      <c r="A14571">
        <v>5795</v>
      </c>
      <c r="B14571" s="1">
        <v>45968</v>
      </c>
      <c r="C14571" t="s">
        <v>12</v>
      </c>
      <c r="D14571" s="2">
        <v>2639.51</v>
      </c>
      <c r="E14571" s="2">
        <v>0</v>
      </c>
      <c r="F14571" t="s">
        <v>13</v>
      </c>
      <c r="G14571" t="s">
        <v>9</v>
      </c>
    </row>
    <row r="14572" spans="1:7" x14ac:dyDescent="0.35">
      <c r="A14572">
        <v>5795</v>
      </c>
      <c r="B14572" s="1">
        <v>45968</v>
      </c>
      <c r="C14572" t="s">
        <v>12</v>
      </c>
      <c r="D14572" s="2">
        <v>0</v>
      </c>
      <c r="E14572" s="2">
        <v>2455.36</v>
      </c>
      <c r="F14572" t="s">
        <v>14</v>
      </c>
      <c r="G14572" t="s">
        <v>15</v>
      </c>
    </row>
    <row r="14573" spans="1:7" x14ac:dyDescent="0.35">
      <c r="A14573">
        <v>5795</v>
      </c>
      <c r="B14573" s="1">
        <v>45968</v>
      </c>
      <c r="C14573" t="s">
        <v>12</v>
      </c>
      <c r="D14573" s="2">
        <v>0</v>
      </c>
      <c r="E14573" s="2">
        <v>184.15</v>
      </c>
      <c r="F14573" t="s">
        <v>16</v>
      </c>
      <c r="G14573" t="s">
        <v>17</v>
      </c>
    </row>
    <row r="14574" spans="1:7" x14ac:dyDescent="0.35">
      <c r="A14574">
        <v>5796</v>
      </c>
      <c r="B14574" s="1">
        <v>45968</v>
      </c>
      <c r="C14574" t="s">
        <v>12</v>
      </c>
      <c r="D14574" s="2">
        <v>1475.84</v>
      </c>
      <c r="E14574" s="2">
        <v>0</v>
      </c>
      <c r="F14574" t="s">
        <v>13</v>
      </c>
      <c r="G14574" t="s">
        <v>9</v>
      </c>
    </row>
    <row r="14575" spans="1:7" x14ac:dyDescent="0.35">
      <c r="A14575">
        <v>5796</v>
      </c>
      <c r="B14575" s="1">
        <v>45968</v>
      </c>
      <c r="C14575" t="s">
        <v>12</v>
      </c>
      <c r="D14575" s="2">
        <v>0</v>
      </c>
      <c r="E14575" s="2">
        <v>1372.87</v>
      </c>
      <c r="F14575" t="s">
        <v>14</v>
      </c>
      <c r="G14575" t="s">
        <v>15</v>
      </c>
    </row>
    <row r="14576" spans="1:7" x14ac:dyDescent="0.35">
      <c r="A14576">
        <v>5796</v>
      </c>
      <c r="B14576" s="1">
        <v>45968</v>
      </c>
      <c r="C14576" t="s">
        <v>12</v>
      </c>
      <c r="D14576" s="2">
        <v>0</v>
      </c>
      <c r="E14576" s="2">
        <v>102.97</v>
      </c>
      <c r="F14576" t="s">
        <v>16</v>
      </c>
      <c r="G14576" t="s">
        <v>17</v>
      </c>
    </row>
    <row r="14577" spans="1:7" x14ac:dyDescent="0.35">
      <c r="A14577">
        <v>5797</v>
      </c>
      <c r="B14577" s="1">
        <v>45968</v>
      </c>
      <c r="C14577" t="s">
        <v>12</v>
      </c>
      <c r="D14577" s="2">
        <v>4691.45</v>
      </c>
      <c r="E14577" s="2">
        <v>0</v>
      </c>
      <c r="F14577" t="s">
        <v>13</v>
      </c>
      <c r="G14577" t="s">
        <v>9</v>
      </c>
    </row>
    <row r="14578" spans="1:7" x14ac:dyDescent="0.35">
      <c r="A14578">
        <v>5797</v>
      </c>
      <c r="B14578" s="1">
        <v>45968</v>
      </c>
      <c r="C14578" t="s">
        <v>12</v>
      </c>
      <c r="D14578" s="2">
        <v>0</v>
      </c>
      <c r="E14578" s="2">
        <v>4364.1499999999996</v>
      </c>
      <c r="F14578" t="s">
        <v>14</v>
      </c>
      <c r="G14578" t="s">
        <v>15</v>
      </c>
    </row>
    <row r="14579" spans="1:7" x14ac:dyDescent="0.35">
      <c r="A14579">
        <v>5797</v>
      </c>
      <c r="B14579" s="1">
        <v>45968</v>
      </c>
      <c r="C14579" t="s">
        <v>12</v>
      </c>
      <c r="D14579" s="2">
        <v>0</v>
      </c>
      <c r="E14579" s="2">
        <v>327.3</v>
      </c>
      <c r="F14579" t="s">
        <v>16</v>
      </c>
      <c r="G14579" t="s">
        <v>17</v>
      </c>
    </row>
    <row r="14580" spans="1:7" x14ac:dyDescent="0.35">
      <c r="A14580">
        <v>5798</v>
      </c>
      <c r="B14580" s="1">
        <v>45968</v>
      </c>
      <c r="C14580" t="s">
        <v>12</v>
      </c>
      <c r="D14580" s="2">
        <v>1889.95</v>
      </c>
      <c r="E14580" s="2">
        <v>0</v>
      </c>
      <c r="F14580" t="s">
        <v>13</v>
      </c>
      <c r="G14580" t="s">
        <v>9</v>
      </c>
    </row>
    <row r="14581" spans="1:7" x14ac:dyDescent="0.35">
      <c r="A14581">
        <v>5798</v>
      </c>
      <c r="B14581" s="1">
        <v>45968</v>
      </c>
      <c r="C14581" t="s">
        <v>12</v>
      </c>
      <c r="D14581" s="2">
        <v>0</v>
      </c>
      <c r="E14581" s="2">
        <v>1758.1</v>
      </c>
      <c r="F14581" t="s">
        <v>14</v>
      </c>
      <c r="G14581" t="s">
        <v>15</v>
      </c>
    </row>
    <row r="14582" spans="1:7" x14ac:dyDescent="0.35">
      <c r="A14582">
        <v>5798</v>
      </c>
      <c r="B14582" s="1">
        <v>45968</v>
      </c>
      <c r="C14582" t="s">
        <v>12</v>
      </c>
      <c r="D14582" s="2">
        <v>0</v>
      </c>
      <c r="E14582" s="2">
        <v>131.85</v>
      </c>
      <c r="F14582" t="s">
        <v>16</v>
      </c>
      <c r="G14582" t="s">
        <v>17</v>
      </c>
    </row>
    <row r="14583" spans="1:7" x14ac:dyDescent="0.35">
      <c r="A14583">
        <v>5799</v>
      </c>
      <c r="B14583" s="1">
        <v>45968</v>
      </c>
      <c r="C14583" t="s">
        <v>24</v>
      </c>
      <c r="D14583" s="2">
        <v>3587.66</v>
      </c>
      <c r="E14583" s="2">
        <v>0</v>
      </c>
      <c r="F14583" t="s">
        <v>8</v>
      </c>
      <c r="G14583" t="s">
        <v>9</v>
      </c>
    </row>
    <row r="14584" spans="1:7" x14ac:dyDescent="0.35">
      <c r="A14584">
        <v>5799</v>
      </c>
      <c r="B14584" s="1">
        <v>45968</v>
      </c>
      <c r="C14584" t="s">
        <v>24</v>
      </c>
      <c r="D14584" s="2">
        <v>0</v>
      </c>
      <c r="E14584" s="2">
        <v>3587.66</v>
      </c>
      <c r="F14584" t="s">
        <v>13</v>
      </c>
      <c r="G14584" t="s">
        <v>9</v>
      </c>
    </row>
    <row r="14585" spans="1:7" x14ac:dyDescent="0.35">
      <c r="A14585">
        <v>5800</v>
      </c>
      <c r="B14585" s="1">
        <v>45968</v>
      </c>
      <c r="C14585" t="s">
        <v>24</v>
      </c>
      <c r="D14585" s="2">
        <v>2149.5</v>
      </c>
      <c r="E14585" s="2">
        <v>0</v>
      </c>
      <c r="F14585" t="s">
        <v>8</v>
      </c>
      <c r="G14585" t="s">
        <v>9</v>
      </c>
    </row>
    <row r="14586" spans="1:7" x14ac:dyDescent="0.35">
      <c r="A14586">
        <v>5800</v>
      </c>
      <c r="B14586" s="1">
        <v>45968</v>
      </c>
      <c r="C14586" t="s">
        <v>24</v>
      </c>
      <c r="D14586" s="2">
        <v>0</v>
      </c>
      <c r="E14586" s="2">
        <v>2149.5</v>
      </c>
      <c r="F14586" t="s">
        <v>13</v>
      </c>
      <c r="G14586" t="s">
        <v>9</v>
      </c>
    </row>
    <row r="14587" spans="1:7" x14ac:dyDescent="0.35">
      <c r="A14587">
        <v>5801</v>
      </c>
      <c r="B14587" s="1">
        <v>45968</v>
      </c>
      <c r="C14587" t="s">
        <v>24</v>
      </c>
      <c r="D14587" s="2">
        <v>1820.46</v>
      </c>
      <c r="E14587" s="2">
        <v>0</v>
      </c>
      <c r="F14587" t="s">
        <v>8</v>
      </c>
      <c r="G14587" t="s">
        <v>9</v>
      </c>
    </row>
    <row r="14588" spans="1:7" x14ac:dyDescent="0.35">
      <c r="A14588">
        <v>5801</v>
      </c>
      <c r="B14588" s="1">
        <v>45968</v>
      </c>
      <c r="C14588" t="s">
        <v>24</v>
      </c>
      <c r="D14588" s="2">
        <v>0</v>
      </c>
      <c r="E14588" s="2">
        <v>1820.46</v>
      </c>
      <c r="F14588" t="s">
        <v>13</v>
      </c>
      <c r="G14588" t="s">
        <v>9</v>
      </c>
    </row>
    <row r="14589" spans="1:7" x14ac:dyDescent="0.35">
      <c r="A14589">
        <v>5802</v>
      </c>
      <c r="B14589" s="1">
        <v>45968</v>
      </c>
      <c r="C14589" t="s">
        <v>24</v>
      </c>
      <c r="D14589" s="2">
        <v>2356.63</v>
      </c>
      <c r="E14589" s="2">
        <v>0</v>
      </c>
      <c r="F14589" t="s">
        <v>8</v>
      </c>
      <c r="G14589" t="s">
        <v>9</v>
      </c>
    </row>
    <row r="14590" spans="1:7" x14ac:dyDescent="0.35">
      <c r="A14590">
        <v>5802</v>
      </c>
      <c r="B14590" s="1">
        <v>45968</v>
      </c>
      <c r="C14590" t="s">
        <v>24</v>
      </c>
      <c r="D14590" s="2">
        <v>0</v>
      </c>
      <c r="E14590" s="2">
        <v>2356.63</v>
      </c>
      <c r="F14590" t="s">
        <v>13</v>
      </c>
      <c r="G14590" t="s">
        <v>9</v>
      </c>
    </row>
    <row r="14591" spans="1:7" x14ac:dyDescent="0.35">
      <c r="A14591">
        <v>5803</v>
      </c>
      <c r="B14591" s="1">
        <v>45968</v>
      </c>
      <c r="C14591" t="s">
        <v>24</v>
      </c>
      <c r="D14591" s="2">
        <v>2395.2199999999998</v>
      </c>
      <c r="E14591" s="2">
        <v>0</v>
      </c>
      <c r="F14591" t="s">
        <v>8</v>
      </c>
      <c r="G14591" t="s">
        <v>9</v>
      </c>
    </row>
    <row r="14592" spans="1:7" x14ac:dyDescent="0.35">
      <c r="A14592">
        <v>5803</v>
      </c>
      <c r="B14592" s="1">
        <v>45968</v>
      </c>
      <c r="C14592" t="s">
        <v>24</v>
      </c>
      <c r="D14592" s="2">
        <v>0</v>
      </c>
      <c r="E14592" s="2">
        <v>2395.2199999999998</v>
      </c>
      <c r="F14592" t="s">
        <v>13</v>
      </c>
      <c r="G14592" t="s">
        <v>9</v>
      </c>
    </row>
    <row r="14593" spans="1:7" x14ac:dyDescent="0.35">
      <c r="A14593">
        <v>5804</v>
      </c>
      <c r="B14593" s="1">
        <v>45968</v>
      </c>
      <c r="C14593" t="s">
        <v>24</v>
      </c>
      <c r="D14593" s="2">
        <v>2595.5100000000002</v>
      </c>
      <c r="E14593" s="2">
        <v>0</v>
      </c>
      <c r="F14593" t="s">
        <v>8</v>
      </c>
      <c r="G14593" t="s">
        <v>9</v>
      </c>
    </row>
    <row r="14594" spans="1:7" x14ac:dyDescent="0.35">
      <c r="A14594">
        <v>5804</v>
      </c>
      <c r="B14594" s="1">
        <v>45968</v>
      </c>
      <c r="C14594" t="s">
        <v>24</v>
      </c>
      <c r="D14594" s="2">
        <v>0</v>
      </c>
      <c r="E14594" s="2">
        <v>2595.5100000000002</v>
      </c>
      <c r="F14594" t="s">
        <v>13</v>
      </c>
      <c r="G14594" t="s">
        <v>9</v>
      </c>
    </row>
    <row r="14595" spans="1:7" x14ac:dyDescent="0.35">
      <c r="A14595">
        <v>5805</v>
      </c>
      <c r="B14595" s="1">
        <v>45968</v>
      </c>
      <c r="C14595" t="s">
        <v>24</v>
      </c>
      <c r="D14595" s="2">
        <v>495.72</v>
      </c>
      <c r="E14595" s="2">
        <v>0</v>
      </c>
      <c r="F14595" t="s">
        <v>8</v>
      </c>
      <c r="G14595" t="s">
        <v>9</v>
      </c>
    </row>
    <row r="14596" spans="1:7" x14ac:dyDescent="0.35">
      <c r="A14596">
        <v>5805</v>
      </c>
      <c r="B14596" s="1">
        <v>45968</v>
      </c>
      <c r="C14596" t="s">
        <v>24</v>
      </c>
      <c r="D14596" s="2">
        <v>0</v>
      </c>
      <c r="E14596" s="2">
        <v>495.72</v>
      </c>
      <c r="F14596" t="s">
        <v>13</v>
      </c>
      <c r="G14596" t="s">
        <v>9</v>
      </c>
    </row>
    <row r="14597" spans="1:7" x14ac:dyDescent="0.35">
      <c r="A14597">
        <v>5806</v>
      </c>
      <c r="B14597" s="1">
        <v>45968</v>
      </c>
      <c r="C14597" t="s">
        <v>24</v>
      </c>
      <c r="D14597" s="2">
        <v>1475.84</v>
      </c>
      <c r="E14597" s="2">
        <v>0</v>
      </c>
      <c r="F14597" t="s">
        <v>8</v>
      </c>
      <c r="G14597" t="s">
        <v>9</v>
      </c>
    </row>
    <row r="14598" spans="1:7" x14ac:dyDescent="0.35">
      <c r="A14598">
        <v>5806</v>
      </c>
      <c r="B14598" s="1">
        <v>45968</v>
      </c>
      <c r="C14598" t="s">
        <v>24</v>
      </c>
      <c r="D14598" s="2">
        <v>0</v>
      </c>
      <c r="E14598" s="2">
        <v>1475.84</v>
      </c>
      <c r="F14598" t="s">
        <v>13</v>
      </c>
      <c r="G14598" t="s">
        <v>9</v>
      </c>
    </row>
    <row r="14599" spans="1:7" x14ac:dyDescent="0.35">
      <c r="A14599">
        <v>5807</v>
      </c>
      <c r="B14599" s="1">
        <v>45968</v>
      </c>
      <c r="C14599" t="s">
        <v>25</v>
      </c>
      <c r="D14599" s="2">
        <v>383.76</v>
      </c>
      <c r="E14599" s="2">
        <v>0</v>
      </c>
      <c r="F14599" t="s">
        <v>26</v>
      </c>
      <c r="G14599" t="s">
        <v>20</v>
      </c>
    </row>
    <row r="14600" spans="1:7" x14ac:dyDescent="0.35">
      <c r="A14600">
        <v>5807</v>
      </c>
      <c r="B14600" s="1">
        <v>45968</v>
      </c>
      <c r="C14600" t="s">
        <v>25</v>
      </c>
      <c r="D14600" s="2">
        <v>28.78</v>
      </c>
      <c r="E14600" s="2">
        <v>0</v>
      </c>
      <c r="F14600" t="s">
        <v>27</v>
      </c>
      <c r="G14600" t="s">
        <v>9</v>
      </c>
    </row>
    <row r="14601" spans="1:7" x14ac:dyDescent="0.35">
      <c r="A14601">
        <v>5807</v>
      </c>
      <c r="B14601" s="1">
        <v>45968</v>
      </c>
      <c r="C14601" t="s">
        <v>25</v>
      </c>
      <c r="D14601" s="2">
        <v>0</v>
      </c>
      <c r="E14601" s="2">
        <v>412.54</v>
      </c>
      <c r="F14601" t="s">
        <v>28</v>
      </c>
      <c r="G14601" t="s">
        <v>17</v>
      </c>
    </row>
    <row r="14602" spans="1:7" x14ac:dyDescent="0.35">
      <c r="A14602">
        <v>5808</v>
      </c>
      <c r="B14602" s="1">
        <v>45968</v>
      </c>
      <c r="C14602" t="s">
        <v>25</v>
      </c>
      <c r="D14602" s="2">
        <v>512</v>
      </c>
      <c r="E14602" s="2">
        <v>0</v>
      </c>
      <c r="F14602" t="s">
        <v>26</v>
      </c>
      <c r="G14602" t="s">
        <v>20</v>
      </c>
    </row>
    <row r="14603" spans="1:7" x14ac:dyDescent="0.35">
      <c r="A14603">
        <v>5808</v>
      </c>
      <c r="B14603" s="1">
        <v>45968</v>
      </c>
      <c r="C14603" t="s">
        <v>25</v>
      </c>
      <c r="D14603" s="2">
        <v>38.4</v>
      </c>
      <c r="E14603" s="2">
        <v>0</v>
      </c>
      <c r="F14603" t="s">
        <v>27</v>
      </c>
      <c r="G14603" t="s">
        <v>9</v>
      </c>
    </row>
    <row r="14604" spans="1:7" x14ac:dyDescent="0.35">
      <c r="A14604">
        <v>5808</v>
      </c>
      <c r="B14604" s="1">
        <v>45968</v>
      </c>
      <c r="C14604" t="s">
        <v>25</v>
      </c>
      <c r="D14604" s="2">
        <v>0</v>
      </c>
      <c r="E14604" s="2">
        <v>550.4</v>
      </c>
      <c r="F14604" t="s">
        <v>28</v>
      </c>
      <c r="G14604" t="s">
        <v>17</v>
      </c>
    </row>
    <row r="14605" spans="1:7" x14ac:dyDescent="0.35">
      <c r="A14605">
        <v>5809</v>
      </c>
      <c r="B14605" s="1">
        <v>45968</v>
      </c>
      <c r="C14605" t="s">
        <v>25</v>
      </c>
      <c r="D14605" s="2">
        <v>1213.5999999999999</v>
      </c>
      <c r="E14605" s="2">
        <v>0</v>
      </c>
      <c r="F14605" t="s">
        <v>26</v>
      </c>
      <c r="G14605" t="s">
        <v>20</v>
      </c>
    </row>
    <row r="14606" spans="1:7" x14ac:dyDescent="0.35">
      <c r="A14606">
        <v>5809</v>
      </c>
      <c r="B14606" s="1">
        <v>45968</v>
      </c>
      <c r="C14606" t="s">
        <v>25</v>
      </c>
      <c r="D14606" s="2">
        <v>91.02</v>
      </c>
      <c r="E14606" s="2">
        <v>0</v>
      </c>
      <c r="F14606" t="s">
        <v>27</v>
      </c>
      <c r="G14606" t="s">
        <v>9</v>
      </c>
    </row>
    <row r="14607" spans="1:7" x14ac:dyDescent="0.35">
      <c r="A14607">
        <v>5809</v>
      </c>
      <c r="B14607" s="1">
        <v>45968</v>
      </c>
      <c r="C14607" t="s">
        <v>25</v>
      </c>
      <c r="D14607" s="2">
        <v>0</v>
      </c>
      <c r="E14607" s="2">
        <v>1304.6199999999999</v>
      </c>
      <c r="F14607" t="s">
        <v>28</v>
      </c>
      <c r="G14607" t="s">
        <v>17</v>
      </c>
    </row>
    <row r="14608" spans="1:7" x14ac:dyDescent="0.35">
      <c r="A14608">
        <v>5810</v>
      </c>
      <c r="B14608" s="1">
        <v>45968</v>
      </c>
      <c r="C14608" t="s">
        <v>29</v>
      </c>
      <c r="D14608" s="2">
        <v>1304.6199999999999</v>
      </c>
      <c r="E14608" s="2">
        <v>0</v>
      </c>
      <c r="F14608" t="s">
        <v>28</v>
      </c>
      <c r="G14608" t="s">
        <v>17</v>
      </c>
    </row>
    <row r="14609" spans="1:7" x14ac:dyDescent="0.35">
      <c r="A14609">
        <v>5810</v>
      </c>
      <c r="B14609" s="1">
        <v>45968</v>
      </c>
      <c r="C14609" t="s">
        <v>29</v>
      </c>
      <c r="D14609" s="2">
        <v>0</v>
      </c>
      <c r="E14609" s="2">
        <v>1304.6199999999999</v>
      </c>
      <c r="F14609" t="s">
        <v>8</v>
      </c>
      <c r="G14609" t="s">
        <v>9</v>
      </c>
    </row>
    <row r="14610" spans="1:7" x14ac:dyDescent="0.35">
      <c r="A14610">
        <v>5811</v>
      </c>
      <c r="B14610" s="1">
        <v>45968</v>
      </c>
      <c r="C14610" t="s">
        <v>29</v>
      </c>
      <c r="D14610" s="2">
        <v>1304.6199999999999</v>
      </c>
      <c r="E14610" s="2">
        <v>0</v>
      </c>
      <c r="F14610" t="s">
        <v>28</v>
      </c>
      <c r="G14610" t="s">
        <v>17</v>
      </c>
    </row>
    <row r="14611" spans="1:7" x14ac:dyDescent="0.35">
      <c r="A14611">
        <v>5811</v>
      </c>
      <c r="B14611" s="1">
        <v>45968</v>
      </c>
      <c r="C14611" t="s">
        <v>29</v>
      </c>
      <c r="D14611" s="2">
        <v>0</v>
      </c>
      <c r="E14611" s="2">
        <v>1304.6199999999999</v>
      </c>
      <c r="F14611" t="s">
        <v>8</v>
      </c>
      <c r="G14611" t="s">
        <v>9</v>
      </c>
    </row>
    <row r="14612" spans="1:7" x14ac:dyDescent="0.35">
      <c r="A14612">
        <v>5812</v>
      </c>
      <c r="B14612" s="1">
        <v>45971</v>
      </c>
      <c r="C14612" t="s">
        <v>12</v>
      </c>
      <c r="D14612" s="2">
        <v>1553.32</v>
      </c>
      <c r="E14612" s="2">
        <v>0</v>
      </c>
      <c r="F14612" t="s">
        <v>13</v>
      </c>
      <c r="G14612" t="s">
        <v>9</v>
      </c>
    </row>
    <row r="14613" spans="1:7" x14ac:dyDescent="0.35">
      <c r="A14613">
        <v>5812</v>
      </c>
      <c r="B14613" s="1">
        <v>45971</v>
      </c>
      <c r="C14613" t="s">
        <v>12</v>
      </c>
      <c r="D14613" s="2">
        <v>0</v>
      </c>
      <c r="E14613" s="2">
        <v>1444.95</v>
      </c>
      <c r="F14613" t="s">
        <v>14</v>
      </c>
      <c r="G14613" t="s">
        <v>15</v>
      </c>
    </row>
    <row r="14614" spans="1:7" x14ac:dyDescent="0.35">
      <c r="A14614">
        <v>5812</v>
      </c>
      <c r="B14614" s="1">
        <v>45971</v>
      </c>
      <c r="C14614" t="s">
        <v>12</v>
      </c>
      <c r="D14614" s="2">
        <v>0</v>
      </c>
      <c r="E14614" s="2">
        <v>108.37</v>
      </c>
      <c r="F14614" t="s">
        <v>16</v>
      </c>
      <c r="G14614" t="s">
        <v>17</v>
      </c>
    </row>
    <row r="14615" spans="1:7" x14ac:dyDescent="0.35">
      <c r="A14615">
        <v>5813</v>
      </c>
      <c r="B14615" s="1">
        <v>45971</v>
      </c>
      <c r="C14615" t="s">
        <v>12</v>
      </c>
      <c r="D14615" s="2">
        <v>1537.04</v>
      </c>
      <c r="E14615" s="2">
        <v>0</v>
      </c>
      <c r="F14615" t="s">
        <v>13</v>
      </c>
      <c r="G14615" t="s">
        <v>9</v>
      </c>
    </row>
    <row r="14616" spans="1:7" x14ac:dyDescent="0.35">
      <c r="A14616">
        <v>5813</v>
      </c>
      <c r="B14616" s="1">
        <v>45971</v>
      </c>
      <c r="C14616" t="s">
        <v>12</v>
      </c>
      <c r="D14616" s="2">
        <v>0</v>
      </c>
      <c r="E14616" s="2">
        <v>1429.8</v>
      </c>
      <c r="F14616" t="s">
        <v>14</v>
      </c>
      <c r="G14616" t="s">
        <v>15</v>
      </c>
    </row>
    <row r="14617" spans="1:7" x14ac:dyDescent="0.35">
      <c r="A14617">
        <v>5813</v>
      </c>
      <c r="B14617" s="1">
        <v>45971</v>
      </c>
      <c r="C14617" t="s">
        <v>12</v>
      </c>
      <c r="D14617" s="2">
        <v>0</v>
      </c>
      <c r="E14617" s="2">
        <v>107.24</v>
      </c>
      <c r="F14617" t="s">
        <v>16</v>
      </c>
      <c r="G14617" t="s">
        <v>17</v>
      </c>
    </row>
    <row r="14618" spans="1:7" x14ac:dyDescent="0.35">
      <c r="A14618">
        <v>5814</v>
      </c>
      <c r="B14618" s="1">
        <v>45971</v>
      </c>
      <c r="C14618" t="s">
        <v>12</v>
      </c>
      <c r="D14618" s="2">
        <v>3057.94</v>
      </c>
      <c r="E14618" s="2">
        <v>0</v>
      </c>
      <c r="F14618" t="s">
        <v>13</v>
      </c>
      <c r="G14618" t="s">
        <v>9</v>
      </c>
    </row>
    <row r="14619" spans="1:7" x14ac:dyDescent="0.35">
      <c r="A14619">
        <v>5814</v>
      </c>
      <c r="B14619" s="1">
        <v>45971</v>
      </c>
      <c r="C14619" t="s">
        <v>12</v>
      </c>
      <c r="D14619" s="2">
        <v>0</v>
      </c>
      <c r="E14619" s="2">
        <v>2844.59</v>
      </c>
      <c r="F14619" t="s">
        <v>14</v>
      </c>
      <c r="G14619" t="s">
        <v>15</v>
      </c>
    </row>
    <row r="14620" spans="1:7" x14ac:dyDescent="0.35">
      <c r="A14620">
        <v>5814</v>
      </c>
      <c r="B14620" s="1">
        <v>45971</v>
      </c>
      <c r="C14620" t="s">
        <v>12</v>
      </c>
      <c r="D14620" s="2">
        <v>0</v>
      </c>
      <c r="E14620" s="2">
        <v>213.35</v>
      </c>
      <c r="F14620" t="s">
        <v>16</v>
      </c>
      <c r="G14620" t="s">
        <v>17</v>
      </c>
    </row>
    <row r="14621" spans="1:7" x14ac:dyDescent="0.35">
      <c r="A14621">
        <v>5815</v>
      </c>
      <c r="B14621" s="1">
        <v>45971</v>
      </c>
      <c r="C14621" t="s">
        <v>12</v>
      </c>
      <c r="D14621" s="2">
        <v>5221.83</v>
      </c>
      <c r="E14621" s="2">
        <v>0</v>
      </c>
      <c r="F14621" t="s">
        <v>13</v>
      </c>
      <c r="G14621" t="s">
        <v>9</v>
      </c>
    </row>
    <row r="14622" spans="1:7" x14ac:dyDescent="0.35">
      <c r="A14622">
        <v>5815</v>
      </c>
      <c r="B14622" s="1">
        <v>45971</v>
      </c>
      <c r="C14622" t="s">
        <v>12</v>
      </c>
      <c r="D14622" s="2">
        <v>0</v>
      </c>
      <c r="E14622" s="2">
        <v>4857.5200000000004</v>
      </c>
      <c r="F14622" t="s">
        <v>14</v>
      </c>
      <c r="G14622" t="s">
        <v>15</v>
      </c>
    </row>
    <row r="14623" spans="1:7" x14ac:dyDescent="0.35">
      <c r="A14623">
        <v>5815</v>
      </c>
      <c r="B14623" s="1">
        <v>45971</v>
      </c>
      <c r="C14623" t="s">
        <v>12</v>
      </c>
      <c r="D14623" s="2">
        <v>0</v>
      </c>
      <c r="E14623" s="2">
        <v>364.31</v>
      </c>
      <c r="F14623" t="s">
        <v>16</v>
      </c>
      <c r="G14623" t="s">
        <v>17</v>
      </c>
    </row>
    <row r="14624" spans="1:7" x14ac:dyDescent="0.35">
      <c r="A14624">
        <v>5816</v>
      </c>
      <c r="B14624" s="1">
        <v>45971</v>
      </c>
      <c r="C14624" t="s">
        <v>12</v>
      </c>
      <c r="D14624" s="2">
        <v>965.05</v>
      </c>
      <c r="E14624" s="2">
        <v>0</v>
      </c>
      <c r="F14624" t="s">
        <v>13</v>
      </c>
      <c r="G14624" t="s">
        <v>9</v>
      </c>
    </row>
    <row r="14625" spans="1:7" x14ac:dyDescent="0.35">
      <c r="A14625">
        <v>5816</v>
      </c>
      <c r="B14625" s="1">
        <v>45971</v>
      </c>
      <c r="C14625" t="s">
        <v>12</v>
      </c>
      <c r="D14625" s="2">
        <v>0</v>
      </c>
      <c r="E14625" s="2">
        <v>897.72</v>
      </c>
      <c r="F14625" t="s">
        <v>14</v>
      </c>
      <c r="G14625" t="s">
        <v>15</v>
      </c>
    </row>
    <row r="14626" spans="1:7" x14ac:dyDescent="0.35">
      <c r="A14626">
        <v>5816</v>
      </c>
      <c r="B14626" s="1">
        <v>45971</v>
      </c>
      <c r="C14626" t="s">
        <v>12</v>
      </c>
      <c r="D14626" s="2">
        <v>0</v>
      </c>
      <c r="E14626" s="2">
        <v>67.33</v>
      </c>
      <c r="F14626" t="s">
        <v>16</v>
      </c>
      <c r="G14626" t="s">
        <v>17</v>
      </c>
    </row>
    <row r="14627" spans="1:7" x14ac:dyDescent="0.35">
      <c r="A14627">
        <v>5817</v>
      </c>
      <c r="B14627" s="1">
        <v>45971</v>
      </c>
      <c r="C14627" t="s">
        <v>12</v>
      </c>
      <c r="D14627" s="2">
        <v>1988.1</v>
      </c>
      <c r="E14627" s="2">
        <v>0</v>
      </c>
      <c r="F14627" t="s">
        <v>13</v>
      </c>
      <c r="G14627" t="s">
        <v>9</v>
      </c>
    </row>
    <row r="14628" spans="1:7" x14ac:dyDescent="0.35">
      <c r="A14628">
        <v>5817</v>
      </c>
      <c r="B14628" s="1">
        <v>45971</v>
      </c>
      <c r="C14628" t="s">
        <v>12</v>
      </c>
      <c r="D14628" s="2">
        <v>0</v>
      </c>
      <c r="E14628" s="2">
        <v>1849.41</v>
      </c>
      <c r="F14628" t="s">
        <v>14</v>
      </c>
      <c r="G14628" t="s">
        <v>15</v>
      </c>
    </row>
    <row r="14629" spans="1:7" x14ac:dyDescent="0.35">
      <c r="A14629">
        <v>5817</v>
      </c>
      <c r="B14629" s="1">
        <v>45971</v>
      </c>
      <c r="C14629" t="s">
        <v>12</v>
      </c>
      <c r="D14629" s="2">
        <v>0</v>
      </c>
      <c r="E14629" s="2">
        <v>138.69</v>
      </c>
      <c r="F14629" t="s">
        <v>16</v>
      </c>
      <c r="G14629" t="s">
        <v>17</v>
      </c>
    </row>
    <row r="14630" spans="1:7" x14ac:dyDescent="0.35">
      <c r="A14630">
        <v>5818</v>
      </c>
      <c r="B14630" s="1">
        <v>45971</v>
      </c>
      <c r="C14630" t="s">
        <v>12</v>
      </c>
      <c r="D14630" s="2">
        <v>2547.4699999999998</v>
      </c>
      <c r="E14630" s="2">
        <v>0</v>
      </c>
      <c r="F14630" t="s">
        <v>13</v>
      </c>
      <c r="G14630" t="s">
        <v>9</v>
      </c>
    </row>
    <row r="14631" spans="1:7" x14ac:dyDescent="0.35">
      <c r="A14631">
        <v>5818</v>
      </c>
      <c r="B14631" s="1">
        <v>45971</v>
      </c>
      <c r="C14631" t="s">
        <v>12</v>
      </c>
      <c r="D14631" s="2">
        <v>0</v>
      </c>
      <c r="E14631" s="2">
        <v>2369.7399999999998</v>
      </c>
      <c r="F14631" t="s">
        <v>14</v>
      </c>
      <c r="G14631" t="s">
        <v>15</v>
      </c>
    </row>
    <row r="14632" spans="1:7" x14ac:dyDescent="0.35">
      <c r="A14632">
        <v>5818</v>
      </c>
      <c r="B14632" s="1">
        <v>45971</v>
      </c>
      <c r="C14632" t="s">
        <v>12</v>
      </c>
      <c r="D14632" s="2">
        <v>0</v>
      </c>
      <c r="E14632" s="2">
        <v>177.73</v>
      </c>
      <c r="F14632" t="s">
        <v>16</v>
      </c>
      <c r="G14632" t="s">
        <v>17</v>
      </c>
    </row>
    <row r="14633" spans="1:7" x14ac:dyDescent="0.35">
      <c r="A14633">
        <v>5819</v>
      </c>
      <c r="B14633" s="1">
        <v>45971</v>
      </c>
      <c r="C14633" t="s">
        <v>12</v>
      </c>
      <c r="D14633" s="2">
        <v>2877.24</v>
      </c>
      <c r="E14633" s="2">
        <v>0</v>
      </c>
      <c r="F14633" t="s">
        <v>13</v>
      </c>
      <c r="G14633" t="s">
        <v>9</v>
      </c>
    </row>
    <row r="14634" spans="1:7" x14ac:dyDescent="0.35">
      <c r="A14634">
        <v>5819</v>
      </c>
      <c r="B14634" s="1">
        <v>45971</v>
      </c>
      <c r="C14634" t="s">
        <v>12</v>
      </c>
      <c r="D14634" s="2">
        <v>0</v>
      </c>
      <c r="E14634" s="2">
        <v>2676.5</v>
      </c>
      <c r="F14634" t="s">
        <v>14</v>
      </c>
      <c r="G14634" t="s">
        <v>15</v>
      </c>
    </row>
    <row r="14635" spans="1:7" x14ac:dyDescent="0.35">
      <c r="A14635">
        <v>5819</v>
      </c>
      <c r="B14635" s="1">
        <v>45971</v>
      </c>
      <c r="C14635" t="s">
        <v>12</v>
      </c>
      <c r="D14635" s="2">
        <v>0</v>
      </c>
      <c r="E14635" s="2">
        <v>200.74</v>
      </c>
      <c r="F14635" t="s">
        <v>16</v>
      </c>
      <c r="G14635" t="s">
        <v>17</v>
      </c>
    </row>
    <row r="14636" spans="1:7" x14ac:dyDescent="0.35">
      <c r="A14636">
        <v>5820</v>
      </c>
      <c r="B14636" s="1">
        <v>45971</v>
      </c>
      <c r="C14636" t="s">
        <v>12</v>
      </c>
      <c r="D14636" s="2">
        <v>3205.63</v>
      </c>
      <c r="E14636" s="2">
        <v>0</v>
      </c>
      <c r="F14636" t="s">
        <v>13</v>
      </c>
      <c r="G14636" t="s">
        <v>9</v>
      </c>
    </row>
    <row r="14637" spans="1:7" x14ac:dyDescent="0.35">
      <c r="A14637">
        <v>5820</v>
      </c>
      <c r="B14637" s="1">
        <v>45971</v>
      </c>
      <c r="C14637" t="s">
        <v>12</v>
      </c>
      <c r="D14637" s="2">
        <v>0</v>
      </c>
      <c r="E14637" s="2">
        <v>2981.98</v>
      </c>
      <c r="F14637" t="s">
        <v>14</v>
      </c>
      <c r="G14637" t="s">
        <v>15</v>
      </c>
    </row>
    <row r="14638" spans="1:7" x14ac:dyDescent="0.35">
      <c r="A14638">
        <v>5820</v>
      </c>
      <c r="B14638" s="1">
        <v>45971</v>
      </c>
      <c r="C14638" t="s">
        <v>12</v>
      </c>
      <c r="D14638" s="2">
        <v>0</v>
      </c>
      <c r="E14638" s="2">
        <v>223.65</v>
      </c>
      <c r="F14638" t="s">
        <v>16</v>
      </c>
      <c r="G14638" t="s">
        <v>17</v>
      </c>
    </row>
    <row r="14639" spans="1:7" x14ac:dyDescent="0.35">
      <c r="A14639">
        <v>5821</v>
      </c>
      <c r="B14639" s="1">
        <v>45971</v>
      </c>
      <c r="C14639" t="s">
        <v>12</v>
      </c>
      <c r="D14639" s="2">
        <v>1499.82</v>
      </c>
      <c r="E14639" s="2">
        <v>0</v>
      </c>
      <c r="F14639" t="s">
        <v>13</v>
      </c>
      <c r="G14639" t="s">
        <v>9</v>
      </c>
    </row>
    <row r="14640" spans="1:7" x14ac:dyDescent="0.35">
      <c r="A14640">
        <v>5821</v>
      </c>
      <c r="B14640" s="1">
        <v>45971</v>
      </c>
      <c r="C14640" t="s">
        <v>12</v>
      </c>
      <c r="D14640" s="2">
        <v>0</v>
      </c>
      <c r="E14640" s="2">
        <v>1395.18</v>
      </c>
      <c r="F14640" t="s">
        <v>14</v>
      </c>
      <c r="G14640" t="s">
        <v>15</v>
      </c>
    </row>
    <row r="14641" spans="1:7" x14ac:dyDescent="0.35">
      <c r="A14641">
        <v>5821</v>
      </c>
      <c r="B14641" s="1">
        <v>45971</v>
      </c>
      <c r="C14641" t="s">
        <v>12</v>
      </c>
      <c r="D14641" s="2">
        <v>0</v>
      </c>
      <c r="E14641" s="2">
        <v>104.64</v>
      </c>
      <c r="F14641" t="s">
        <v>16</v>
      </c>
      <c r="G14641" t="s">
        <v>17</v>
      </c>
    </row>
    <row r="14642" spans="1:7" x14ac:dyDescent="0.35">
      <c r="A14642">
        <v>5822</v>
      </c>
      <c r="B14642" s="1">
        <v>45971</v>
      </c>
      <c r="C14642" t="s">
        <v>12</v>
      </c>
      <c r="D14642" s="2">
        <v>1195.53</v>
      </c>
      <c r="E14642" s="2">
        <v>0</v>
      </c>
      <c r="F14642" t="s">
        <v>13</v>
      </c>
      <c r="G14642" t="s">
        <v>9</v>
      </c>
    </row>
    <row r="14643" spans="1:7" x14ac:dyDescent="0.35">
      <c r="A14643">
        <v>5822</v>
      </c>
      <c r="B14643" s="1">
        <v>45971</v>
      </c>
      <c r="C14643" t="s">
        <v>12</v>
      </c>
      <c r="D14643" s="2">
        <v>0</v>
      </c>
      <c r="E14643" s="2">
        <v>1112.1300000000001</v>
      </c>
      <c r="F14643" t="s">
        <v>14</v>
      </c>
      <c r="G14643" t="s">
        <v>15</v>
      </c>
    </row>
    <row r="14644" spans="1:7" x14ac:dyDescent="0.35">
      <c r="A14644">
        <v>5822</v>
      </c>
      <c r="B14644" s="1">
        <v>45971</v>
      </c>
      <c r="C14644" t="s">
        <v>12</v>
      </c>
      <c r="D14644" s="2">
        <v>0</v>
      </c>
      <c r="E14644" s="2">
        <v>83.4</v>
      </c>
      <c r="F14644" t="s">
        <v>16</v>
      </c>
      <c r="G14644" t="s">
        <v>17</v>
      </c>
    </row>
    <row r="14645" spans="1:7" x14ac:dyDescent="0.35">
      <c r="A14645">
        <v>5823</v>
      </c>
      <c r="B14645" s="1">
        <v>45971</v>
      </c>
      <c r="C14645" t="s">
        <v>12</v>
      </c>
      <c r="D14645" s="2">
        <v>3113.87</v>
      </c>
      <c r="E14645" s="2">
        <v>0</v>
      </c>
      <c r="F14645" t="s">
        <v>13</v>
      </c>
      <c r="G14645" t="s">
        <v>9</v>
      </c>
    </row>
    <row r="14646" spans="1:7" x14ac:dyDescent="0.35">
      <c r="A14646">
        <v>5823</v>
      </c>
      <c r="B14646" s="1">
        <v>45971</v>
      </c>
      <c r="C14646" t="s">
        <v>12</v>
      </c>
      <c r="D14646" s="2">
        <v>0</v>
      </c>
      <c r="E14646" s="2">
        <v>2896.63</v>
      </c>
      <c r="F14646" t="s">
        <v>14</v>
      </c>
      <c r="G14646" t="s">
        <v>15</v>
      </c>
    </row>
    <row r="14647" spans="1:7" x14ac:dyDescent="0.35">
      <c r="A14647">
        <v>5823</v>
      </c>
      <c r="B14647" s="1">
        <v>45971</v>
      </c>
      <c r="C14647" t="s">
        <v>12</v>
      </c>
      <c r="D14647" s="2">
        <v>0</v>
      </c>
      <c r="E14647" s="2">
        <v>217.24</v>
      </c>
      <c r="F14647" t="s">
        <v>16</v>
      </c>
      <c r="G14647" t="s">
        <v>17</v>
      </c>
    </row>
    <row r="14648" spans="1:7" x14ac:dyDescent="0.35">
      <c r="A14648">
        <v>5824</v>
      </c>
      <c r="B14648" s="1">
        <v>45971</v>
      </c>
      <c r="C14648" t="s">
        <v>12</v>
      </c>
      <c r="D14648" s="2">
        <v>3586.62</v>
      </c>
      <c r="E14648" s="2">
        <v>0</v>
      </c>
      <c r="F14648" t="s">
        <v>13</v>
      </c>
      <c r="G14648" t="s">
        <v>9</v>
      </c>
    </row>
    <row r="14649" spans="1:7" x14ac:dyDescent="0.35">
      <c r="A14649">
        <v>5824</v>
      </c>
      <c r="B14649" s="1">
        <v>45971</v>
      </c>
      <c r="C14649" t="s">
        <v>12</v>
      </c>
      <c r="D14649" s="2">
        <v>0</v>
      </c>
      <c r="E14649" s="2">
        <v>3336.38</v>
      </c>
      <c r="F14649" t="s">
        <v>14</v>
      </c>
      <c r="G14649" t="s">
        <v>15</v>
      </c>
    </row>
    <row r="14650" spans="1:7" x14ac:dyDescent="0.35">
      <c r="A14650">
        <v>5824</v>
      </c>
      <c r="B14650" s="1">
        <v>45971</v>
      </c>
      <c r="C14650" t="s">
        <v>12</v>
      </c>
      <c r="D14650" s="2">
        <v>0</v>
      </c>
      <c r="E14650" s="2">
        <v>250.24</v>
      </c>
      <c r="F14650" t="s">
        <v>16</v>
      </c>
      <c r="G14650" t="s">
        <v>17</v>
      </c>
    </row>
    <row r="14651" spans="1:7" x14ac:dyDescent="0.35">
      <c r="A14651">
        <v>5825</v>
      </c>
      <c r="B14651" s="1">
        <v>45971</v>
      </c>
      <c r="C14651" t="s">
        <v>24</v>
      </c>
      <c r="D14651" s="2">
        <v>2919.11</v>
      </c>
      <c r="E14651" s="2">
        <v>0</v>
      </c>
      <c r="F14651" t="s">
        <v>8</v>
      </c>
      <c r="G14651" t="s">
        <v>9</v>
      </c>
    </row>
    <row r="14652" spans="1:7" x14ac:dyDescent="0.35">
      <c r="A14652">
        <v>5825</v>
      </c>
      <c r="B14652" s="1">
        <v>45971</v>
      </c>
      <c r="C14652" t="s">
        <v>24</v>
      </c>
      <c r="D14652" s="2">
        <v>0</v>
      </c>
      <c r="E14652" s="2">
        <v>2919.11</v>
      </c>
      <c r="F14652" t="s">
        <v>13</v>
      </c>
      <c r="G14652" t="s">
        <v>9</v>
      </c>
    </row>
    <row r="14653" spans="1:7" x14ac:dyDescent="0.35">
      <c r="A14653">
        <v>5826</v>
      </c>
      <c r="B14653" s="1">
        <v>45971</v>
      </c>
      <c r="C14653" t="s">
        <v>24</v>
      </c>
      <c r="D14653" s="2">
        <v>2076.4899999999998</v>
      </c>
      <c r="E14653" s="2">
        <v>0</v>
      </c>
      <c r="F14653" t="s">
        <v>8</v>
      </c>
      <c r="G14653" t="s">
        <v>9</v>
      </c>
    </row>
    <row r="14654" spans="1:7" x14ac:dyDescent="0.35">
      <c r="A14654">
        <v>5826</v>
      </c>
      <c r="B14654" s="1">
        <v>45971</v>
      </c>
      <c r="C14654" t="s">
        <v>24</v>
      </c>
      <c r="D14654" s="2">
        <v>0</v>
      </c>
      <c r="E14654" s="2">
        <v>2076.4899999999998</v>
      </c>
      <c r="F14654" t="s">
        <v>13</v>
      </c>
      <c r="G14654" t="s">
        <v>9</v>
      </c>
    </row>
    <row r="14655" spans="1:7" x14ac:dyDescent="0.35">
      <c r="A14655">
        <v>5827</v>
      </c>
      <c r="B14655" s="1">
        <v>45971</v>
      </c>
      <c r="C14655" t="s">
        <v>24</v>
      </c>
      <c r="D14655" s="2">
        <v>1708.7</v>
      </c>
      <c r="E14655" s="2">
        <v>0</v>
      </c>
      <c r="F14655" t="s">
        <v>8</v>
      </c>
      <c r="G14655" t="s">
        <v>9</v>
      </c>
    </row>
    <row r="14656" spans="1:7" x14ac:dyDescent="0.35">
      <c r="A14656">
        <v>5827</v>
      </c>
      <c r="B14656" s="1">
        <v>45971</v>
      </c>
      <c r="C14656" t="s">
        <v>24</v>
      </c>
      <c r="D14656" s="2">
        <v>0</v>
      </c>
      <c r="E14656" s="2">
        <v>1708.7</v>
      </c>
      <c r="F14656" t="s">
        <v>13</v>
      </c>
      <c r="G14656" t="s">
        <v>9</v>
      </c>
    </row>
    <row r="14657" spans="1:7" x14ac:dyDescent="0.35">
      <c r="A14657">
        <v>5828</v>
      </c>
      <c r="B14657" s="1">
        <v>45971</v>
      </c>
      <c r="C14657" t="s">
        <v>24</v>
      </c>
      <c r="D14657" s="2">
        <v>4192.38</v>
      </c>
      <c r="E14657" s="2">
        <v>0</v>
      </c>
      <c r="F14657" t="s">
        <v>8</v>
      </c>
      <c r="G14657" t="s">
        <v>9</v>
      </c>
    </row>
    <row r="14658" spans="1:7" x14ac:dyDescent="0.35">
      <c r="A14658">
        <v>5828</v>
      </c>
      <c r="B14658" s="1">
        <v>45971</v>
      </c>
      <c r="C14658" t="s">
        <v>24</v>
      </c>
      <c r="D14658" s="2">
        <v>0</v>
      </c>
      <c r="E14658" s="2">
        <v>4192.38</v>
      </c>
      <c r="F14658" t="s">
        <v>13</v>
      </c>
      <c r="G14658" t="s">
        <v>9</v>
      </c>
    </row>
    <row r="14659" spans="1:7" x14ac:dyDescent="0.35">
      <c r="A14659">
        <v>5829</v>
      </c>
      <c r="B14659" s="1">
        <v>45971</v>
      </c>
      <c r="C14659" t="s">
        <v>24</v>
      </c>
      <c r="D14659" s="2">
        <v>5221.83</v>
      </c>
      <c r="E14659" s="2">
        <v>0</v>
      </c>
      <c r="F14659" t="s">
        <v>8</v>
      </c>
      <c r="G14659" t="s">
        <v>9</v>
      </c>
    </row>
    <row r="14660" spans="1:7" x14ac:dyDescent="0.35">
      <c r="A14660">
        <v>5829</v>
      </c>
      <c r="B14660" s="1">
        <v>45971</v>
      </c>
      <c r="C14660" t="s">
        <v>24</v>
      </c>
      <c r="D14660" s="2">
        <v>0</v>
      </c>
      <c r="E14660" s="2">
        <v>5221.83</v>
      </c>
      <c r="F14660" t="s">
        <v>13</v>
      </c>
      <c r="G14660" t="s">
        <v>9</v>
      </c>
    </row>
    <row r="14661" spans="1:7" x14ac:dyDescent="0.35">
      <c r="A14661">
        <v>5830</v>
      </c>
      <c r="B14661" s="1">
        <v>45971</v>
      </c>
      <c r="C14661" t="s">
        <v>25</v>
      </c>
      <c r="D14661" s="2">
        <v>4476.71</v>
      </c>
      <c r="E14661" s="2">
        <v>0</v>
      </c>
      <c r="F14661" t="s">
        <v>26</v>
      </c>
      <c r="G14661" t="s">
        <v>20</v>
      </c>
    </row>
    <row r="14662" spans="1:7" x14ac:dyDescent="0.35">
      <c r="A14662">
        <v>5830</v>
      </c>
      <c r="B14662" s="1">
        <v>45971</v>
      </c>
      <c r="C14662" t="s">
        <v>25</v>
      </c>
      <c r="D14662" s="2">
        <v>335.75</v>
      </c>
      <c r="E14662" s="2">
        <v>0</v>
      </c>
      <c r="F14662" t="s">
        <v>27</v>
      </c>
      <c r="G14662" t="s">
        <v>9</v>
      </c>
    </row>
    <row r="14663" spans="1:7" x14ac:dyDescent="0.35">
      <c r="A14663">
        <v>5830</v>
      </c>
      <c r="B14663" s="1">
        <v>45971</v>
      </c>
      <c r="C14663" t="s">
        <v>25</v>
      </c>
      <c r="D14663" s="2">
        <v>0</v>
      </c>
      <c r="E14663" s="2">
        <v>4812.46</v>
      </c>
      <c r="F14663" t="s">
        <v>28</v>
      </c>
      <c r="G14663" t="s">
        <v>17</v>
      </c>
    </row>
    <row r="14664" spans="1:7" x14ac:dyDescent="0.35">
      <c r="A14664">
        <v>5831</v>
      </c>
      <c r="B14664" s="1">
        <v>45971</v>
      </c>
      <c r="C14664" t="s">
        <v>25</v>
      </c>
      <c r="D14664" s="2">
        <v>1947.24</v>
      </c>
      <c r="E14664" s="2">
        <v>0</v>
      </c>
      <c r="F14664" t="s">
        <v>26</v>
      </c>
      <c r="G14664" t="s">
        <v>20</v>
      </c>
    </row>
    <row r="14665" spans="1:7" x14ac:dyDescent="0.35">
      <c r="A14665">
        <v>5831</v>
      </c>
      <c r="B14665" s="1">
        <v>45971</v>
      </c>
      <c r="C14665" t="s">
        <v>25</v>
      </c>
      <c r="D14665" s="2">
        <v>146.04</v>
      </c>
      <c r="E14665" s="2">
        <v>0</v>
      </c>
      <c r="F14665" t="s">
        <v>27</v>
      </c>
      <c r="G14665" t="s">
        <v>9</v>
      </c>
    </row>
    <row r="14666" spans="1:7" x14ac:dyDescent="0.35">
      <c r="A14666">
        <v>5831</v>
      </c>
      <c r="B14666" s="1">
        <v>45971</v>
      </c>
      <c r="C14666" t="s">
        <v>25</v>
      </c>
      <c r="D14666" s="2">
        <v>0</v>
      </c>
      <c r="E14666" s="2">
        <v>2093.2800000000002</v>
      </c>
      <c r="F14666" t="s">
        <v>28</v>
      </c>
      <c r="G14666" t="s">
        <v>17</v>
      </c>
    </row>
    <row r="14667" spans="1:7" x14ac:dyDescent="0.35">
      <c r="A14667">
        <v>5832</v>
      </c>
      <c r="B14667" s="1">
        <v>45971</v>
      </c>
      <c r="C14667" t="s">
        <v>25</v>
      </c>
      <c r="D14667" s="2">
        <v>1078.92</v>
      </c>
      <c r="E14667" s="2">
        <v>0</v>
      </c>
      <c r="F14667" t="s">
        <v>26</v>
      </c>
      <c r="G14667" t="s">
        <v>20</v>
      </c>
    </row>
    <row r="14668" spans="1:7" x14ac:dyDescent="0.35">
      <c r="A14668">
        <v>5832</v>
      </c>
      <c r="B14668" s="1">
        <v>45971</v>
      </c>
      <c r="C14668" t="s">
        <v>25</v>
      </c>
      <c r="D14668" s="2">
        <v>80.92</v>
      </c>
      <c r="E14668" s="2">
        <v>0</v>
      </c>
      <c r="F14668" t="s">
        <v>27</v>
      </c>
      <c r="G14668" t="s">
        <v>9</v>
      </c>
    </row>
    <row r="14669" spans="1:7" x14ac:dyDescent="0.35">
      <c r="A14669">
        <v>5832</v>
      </c>
      <c r="B14669" s="1">
        <v>45971</v>
      </c>
      <c r="C14669" t="s">
        <v>25</v>
      </c>
      <c r="D14669" s="2">
        <v>0</v>
      </c>
      <c r="E14669" s="2">
        <v>1159.8399999999999</v>
      </c>
      <c r="F14669" t="s">
        <v>28</v>
      </c>
      <c r="G14669" t="s">
        <v>17</v>
      </c>
    </row>
    <row r="14670" spans="1:7" x14ac:dyDescent="0.35">
      <c r="A14670">
        <v>5833</v>
      </c>
      <c r="B14670" s="1">
        <v>45971</v>
      </c>
      <c r="C14670" t="s">
        <v>25</v>
      </c>
      <c r="D14670" s="2">
        <v>187.44</v>
      </c>
      <c r="E14670" s="2">
        <v>0</v>
      </c>
      <c r="F14670" t="s">
        <v>26</v>
      </c>
      <c r="G14670" t="s">
        <v>20</v>
      </c>
    </row>
    <row r="14671" spans="1:7" x14ac:dyDescent="0.35">
      <c r="A14671">
        <v>5833</v>
      </c>
      <c r="B14671" s="1">
        <v>45971</v>
      </c>
      <c r="C14671" t="s">
        <v>25</v>
      </c>
      <c r="D14671" s="2">
        <v>14.06</v>
      </c>
      <c r="E14671" s="2">
        <v>0</v>
      </c>
      <c r="F14671" t="s">
        <v>27</v>
      </c>
      <c r="G14671" t="s">
        <v>9</v>
      </c>
    </row>
    <row r="14672" spans="1:7" x14ac:dyDescent="0.35">
      <c r="A14672">
        <v>5833</v>
      </c>
      <c r="B14672" s="1">
        <v>45971</v>
      </c>
      <c r="C14672" t="s">
        <v>25</v>
      </c>
      <c r="D14672" s="2">
        <v>0</v>
      </c>
      <c r="E14672" s="2">
        <v>201.5</v>
      </c>
      <c r="F14672" t="s">
        <v>28</v>
      </c>
      <c r="G14672" t="s">
        <v>17</v>
      </c>
    </row>
    <row r="14673" spans="1:7" x14ac:dyDescent="0.35">
      <c r="A14673">
        <v>5834</v>
      </c>
      <c r="B14673" s="1">
        <v>45971</v>
      </c>
      <c r="C14673" t="s">
        <v>25</v>
      </c>
      <c r="D14673" s="2">
        <v>2329.52</v>
      </c>
      <c r="E14673" s="2">
        <v>0</v>
      </c>
      <c r="F14673" t="s">
        <v>26</v>
      </c>
      <c r="G14673" t="s">
        <v>20</v>
      </c>
    </row>
    <row r="14674" spans="1:7" x14ac:dyDescent="0.35">
      <c r="A14674">
        <v>5834</v>
      </c>
      <c r="B14674" s="1">
        <v>45971</v>
      </c>
      <c r="C14674" t="s">
        <v>25</v>
      </c>
      <c r="D14674" s="2">
        <v>174.71</v>
      </c>
      <c r="E14674" s="2">
        <v>0</v>
      </c>
      <c r="F14674" t="s">
        <v>27</v>
      </c>
      <c r="G14674" t="s">
        <v>9</v>
      </c>
    </row>
    <row r="14675" spans="1:7" x14ac:dyDescent="0.35">
      <c r="A14675">
        <v>5834</v>
      </c>
      <c r="B14675" s="1">
        <v>45971</v>
      </c>
      <c r="C14675" t="s">
        <v>25</v>
      </c>
      <c r="D14675" s="2">
        <v>0</v>
      </c>
      <c r="E14675" s="2">
        <v>2504.23</v>
      </c>
      <c r="F14675" t="s">
        <v>28</v>
      </c>
      <c r="G14675" t="s">
        <v>17</v>
      </c>
    </row>
    <row r="14676" spans="1:7" x14ac:dyDescent="0.35">
      <c r="A14676">
        <v>5835</v>
      </c>
      <c r="B14676" s="1">
        <v>45971</v>
      </c>
      <c r="C14676" t="s">
        <v>25</v>
      </c>
      <c r="D14676" s="2">
        <v>1643.22</v>
      </c>
      <c r="E14676" s="2">
        <v>0</v>
      </c>
      <c r="F14676" t="s">
        <v>26</v>
      </c>
      <c r="G14676" t="s">
        <v>20</v>
      </c>
    </row>
    <row r="14677" spans="1:7" x14ac:dyDescent="0.35">
      <c r="A14677">
        <v>5835</v>
      </c>
      <c r="B14677" s="1">
        <v>45971</v>
      </c>
      <c r="C14677" t="s">
        <v>25</v>
      </c>
      <c r="D14677" s="2">
        <v>123.24</v>
      </c>
      <c r="E14677" s="2">
        <v>0</v>
      </c>
      <c r="F14677" t="s">
        <v>27</v>
      </c>
      <c r="G14677" t="s">
        <v>9</v>
      </c>
    </row>
    <row r="14678" spans="1:7" x14ac:dyDescent="0.35">
      <c r="A14678">
        <v>5835</v>
      </c>
      <c r="B14678" s="1">
        <v>45971</v>
      </c>
      <c r="C14678" t="s">
        <v>25</v>
      </c>
      <c r="D14678" s="2">
        <v>0</v>
      </c>
      <c r="E14678" s="2">
        <v>1766.46</v>
      </c>
      <c r="F14678" t="s">
        <v>28</v>
      </c>
      <c r="G14678" t="s">
        <v>17</v>
      </c>
    </row>
    <row r="14679" spans="1:7" x14ac:dyDescent="0.35">
      <c r="A14679">
        <v>5836</v>
      </c>
      <c r="B14679" s="1">
        <v>45971</v>
      </c>
      <c r="C14679" t="s">
        <v>25</v>
      </c>
      <c r="D14679" s="2">
        <v>696.06</v>
      </c>
      <c r="E14679" s="2">
        <v>0</v>
      </c>
      <c r="F14679" t="s">
        <v>26</v>
      </c>
      <c r="G14679" t="s">
        <v>20</v>
      </c>
    </row>
    <row r="14680" spans="1:7" x14ac:dyDescent="0.35">
      <c r="A14680">
        <v>5836</v>
      </c>
      <c r="B14680" s="1">
        <v>45971</v>
      </c>
      <c r="C14680" t="s">
        <v>25</v>
      </c>
      <c r="D14680" s="2">
        <v>52.2</v>
      </c>
      <c r="E14680" s="2">
        <v>0</v>
      </c>
      <c r="F14680" t="s">
        <v>27</v>
      </c>
      <c r="G14680" t="s">
        <v>9</v>
      </c>
    </row>
    <row r="14681" spans="1:7" x14ac:dyDescent="0.35">
      <c r="A14681">
        <v>5836</v>
      </c>
      <c r="B14681" s="1">
        <v>45971</v>
      </c>
      <c r="C14681" t="s">
        <v>25</v>
      </c>
      <c r="D14681" s="2">
        <v>0</v>
      </c>
      <c r="E14681" s="2">
        <v>748.26</v>
      </c>
      <c r="F14681" t="s">
        <v>28</v>
      </c>
      <c r="G14681" t="s">
        <v>17</v>
      </c>
    </row>
    <row r="14682" spans="1:7" x14ac:dyDescent="0.35">
      <c r="A14682">
        <v>5837</v>
      </c>
      <c r="B14682" s="1">
        <v>45971</v>
      </c>
      <c r="C14682" t="s">
        <v>25</v>
      </c>
      <c r="D14682" s="2">
        <v>257.04000000000002</v>
      </c>
      <c r="E14682" s="2">
        <v>0</v>
      </c>
      <c r="F14682" t="s">
        <v>26</v>
      </c>
      <c r="G14682" t="s">
        <v>20</v>
      </c>
    </row>
    <row r="14683" spans="1:7" x14ac:dyDescent="0.35">
      <c r="A14683">
        <v>5837</v>
      </c>
      <c r="B14683" s="1">
        <v>45971</v>
      </c>
      <c r="C14683" t="s">
        <v>25</v>
      </c>
      <c r="D14683" s="2">
        <v>19.28</v>
      </c>
      <c r="E14683" s="2">
        <v>0</v>
      </c>
      <c r="F14683" t="s">
        <v>27</v>
      </c>
      <c r="G14683" t="s">
        <v>9</v>
      </c>
    </row>
    <row r="14684" spans="1:7" x14ac:dyDescent="0.35">
      <c r="A14684">
        <v>5837</v>
      </c>
      <c r="B14684" s="1">
        <v>45971</v>
      </c>
      <c r="C14684" t="s">
        <v>25</v>
      </c>
      <c r="D14684" s="2">
        <v>0</v>
      </c>
      <c r="E14684" s="2">
        <v>276.32</v>
      </c>
      <c r="F14684" t="s">
        <v>28</v>
      </c>
      <c r="G14684" t="s">
        <v>17</v>
      </c>
    </row>
    <row r="14685" spans="1:7" x14ac:dyDescent="0.35">
      <c r="A14685">
        <v>5838</v>
      </c>
      <c r="B14685" s="1">
        <v>45971</v>
      </c>
      <c r="C14685" t="s">
        <v>29</v>
      </c>
      <c r="D14685" s="2">
        <v>1935.04</v>
      </c>
      <c r="E14685" s="2">
        <v>0</v>
      </c>
      <c r="F14685" t="s">
        <v>28</v>
      </c>
      <c r="G14685" t="s">
        <v>17</v>
      </c>
    </row>
    <row r="14686" spans="1:7" x14ac:dyDescent="0.35">
      <c r="A14686">
        <v>5838</v>
      </c>
      <c r="B14686" s="1">
        <v>45971</v>
      </c>
      <c r="C14686" t="s">
        <v>29</v>
      </c>
      <c r="D14686" s="2">
        <v>0</v>
      </c>
      <c r="E14686" s="2">
        <v>1935.04</v>
      </c>
      <c r="F14686" t="s">
        <v>8</v>
      </c>
      <c r="G14686" t="s">
        <v>9</v>
      </c>
    </row>
    <row r="14687" spans="1:7" x14ac:dyDescent="0.35">
      <c r="A14687">
        <v>5839</v>
      </c>
      <c r="B14687" s="1">
        <v>45971</v>
      </c>
      <c r="C14687" t="s">
        <v>29</v>
      </c>
      <c r="D14687" s="2">
        <v>1794.11</v>
      </c>
      <c r="E14687" s="2">
        <v>0</v>
      </c>
      <c r="F14687" t="s">
        <v>28</v>
      </c>
      <c r="G14687" t="s">
        <v>17</v>
      </c>
    </row>
    <row r="14688" spans="1:7" x14ac:dyDescent="0.35">
      <c r="A14688">
        <v>5839</v>
      </c>
      <c r="B14688" s="1">
        <v>45971</v>
      </c>
      <c r="C14688" t="s">
        <v>29</v>
      </c>
      <c r="D14688" s="2">
        <v>0</v>
      </c>
      <c r="E14688" s="2">
        <v>1794.11</v>
      </c>
      <c r="F14688" t="s">
        <v>8</v>
      </c>
      <c r="G14688" t="s">
        <v>9</v>
      </c>
    </row>
    <row r="14689" spans="1:7" x14ac:dyDescent="0.35">
      <c r="A14689">
        <v>5840</v>
      </c>
      <c r="B14689" s="1">
        <v>45973</v>
      </c>
      <c r="C14689" t="s">
        <v>12</v>
      </c>
      <c r="D14689" s="2">
        <v>890.58</v>
      </c>
      <c r="E14689" s="2">
        <v>0</v>
      </c>
      <c r="F14689" t="s">
        <v>13</v>
      </c>
      <c r="G14689" t="s">
        <v>9</v>
      </c>
    </row>
    <row r="14690" spans="1:7" x14ac:dyDescent="0.35">
      <c r="A14690">
        <v>5840</v>
      </c>
      <c r="B14690" s="1">
        <v>45973</v>
      </c>
      <c r="C14690" t="s">
        <v>12</v>
      </c>
      <c r="D14690" s="2">
        <v>0</v>
      </c>
      <c r="E14690" s="2">
        <v>828.45</v>
      </c>
      <c r="F14690" t="s">
        <v>14</v>
      </c>
      <c r="G14690" t="s">
        <v>15</v>
      </c>
    </row>
    <row r="14691" spans="1:7" x14ac:dyDescent="0.35">
      <c r="A14691">
        <v>5840</v>
      </c>
      <c r="B14691" s="1">
        <v>45973</v>
      </c>
      <c r="C14691" t="s">
        <v>12</v>
      </c>
      <c r="D14691" s="2">
        <v>0</v>
      </c>
      <c r="E14691" s="2">
        <v>62.13</v>
      </c>
      <c r="F14691" t="s">
        <v>16</v>
      </c>
      <c r="G14691" t="s">
        <v>17</v>
      </c>
    </row>
    <row r="14692" spans="1:7" x14ac:dyDescent="0.35">
      <c r="A14692">
        <v>5841</v>
      </c>
      <c r="B14692" s="1">
        <v>45973</v>
      </c>
      <c r="C14692" t="s">
        <v>12</v>
      </c>
      <c r="D14692" s="2">
        <v>195.63</v>
      </c>
      <c r="E14692" s="2">
        <v>0</v>
      </c>
      <c r="F14692" t="s">
        <v>13</v>
      </c>
      <c r="G14692" t="s">
        <v>9</v>
      </c>
    </row>
    <row r="14693" spans="1:7" x14ac:dyDescent="0.35">
      <c r="A14693">
        <v>5841</v>
      </c>
      <c r="B14693" s="1">
        <v>45973</v>
      </c>
      <c r="C14693" t="s">
        <v>12</v>
      </c>
      <c r="D14693" s="2">
        <v>0</v>
      </c>
      <c r="E14693" s="2">
        <v>181.98</v>
      </c>
      <c r="F14693" t="s">
        <v>14</v>
      </c>
      <c r="G14693" t="s">
        <v>15</v>
      </c>
    </row>
    <row r="14694" spans="1:7" x14ac:dyDescent="0.35">
      <c r="A14694">
        <v>5841</v>
      </c>
      <c r="B14694" s="1">
        <v>45973</v>
      </c>
      <c r="C14694" t="s">
        <v>12</v>
      </c>
      <c r="D14694" s="2">
        <v>0</v>
      </c>
      <c r="E14694" s="2">
        <v>13.65</v>
      </c>
      <c r="F14694" t="s">
        <v>16</v>
      </c>
      <c r="G14694" t="s">
        <v>17</v>
      </c>
    </row>
    <row r="14695" spans="1:7" x14ac:dyDescent="0.35">
      <c r="A14695">
        <v>5842</v>
      </c>
      <c r="B14695" s="1">
        <v>45973</v>
      </c>
      <c r="C14695" t="s">
        <v>12</v>
      </c>
      <c r="D14695" s="2">
        <v>672.42</v>
      </c>
      <c r="E14695" s="2">
        <v>0</v>
      </c>
      <c r="F14695" t="s">
        <v>13</v>
      </c>
      <c r="G14695" t="s">
        <v>9</v>
      </c>
    </row>
    <row r="14696" spans="1:7" x14ac:dyDescent="0.35">
      <c r="A14696">
        <v>5842</v>
      </c>
      <c r="B14696" s="1">
        <v>45973</v>
      </c>
      <c r="C14696" t="s">
        <v>12</v>
      </c>
      <c r="D14696" s="2">
        <v>0</v>
      </c>
      <c r="E14696" s="2">
        <v>625.51</v>
      </c>
      <c r="F14696" t="s">
        <v>14</v>
      </c>
      <c r="G14696" t="s">
        <v>15</v>
      </c>
    </row>
    <row r="14697" spans="1:7" x14ac:dyDescent="0.35">
      <c r="A14697">
        <v>5842</v>
      </c>
      <c r="B14697" s="1">
        <v>45973</v>
      </c>
      <c r="C14697" t="s">
        <v>12</v>
      </c>
      <c r="D14697" s="2">
        <v>0</v>
      </c>
      <c r="E14697" s="2">
        <v>46.91</v>
      </c>
      <c r="F14697" t="s">
        <v>16</v>
      </c>
      <c r="G14697" t="s">
        <v>17</v>
      </c>
    </row>
    <row r="14698" spans="1:7" x14ac:dyDescent="0.35">
      <c r="A14698">
        <v>5843</v>
      </c>
      <c r="B14698" s="1">
        <v>45973</v>
      </c>
      <c r="C14698" t="s">
        <v>12</v>
      </c>
      <c r="D14698" s="2">
        <v>5611.38</v>
      </c>
      <c r="E14698" s="2">
        <v>0</v>
      </c>
      <c r="F14698" t="s">
        <v>13</v>
      </c>
      <c r="G14698" t="s">
        <v>9</v>
      </c>
    </row>
    <row r="14699" spans="1:7" x14ac:dyDescent="0.35">
      <c r="A14699">
        <v>5843</v>
      </c>
      <c r="B14699" s="1">
        <v>45973</v>
      </c>
      <c r="C14699" t="s">
        <v>12</v>
      </c>
      <c r="D14699" s="2">
        <v>0</v>
      </c>
      <c r="E14699" s="2">
        <v>5219.88</v>
      </c>
      <c r="F14699" t="s">
        <v>14</v>
      </c>
      <c r="G14699" t="s">
        <v>15</v>
      </c>
    </row>
    <row r="14700" spans="1:7" x14ac:dyDescent="0.35">
      <c r="A14700">
        <v>5843</v>
      </c>
      <c r="B14700" s="1">
        <v>45973</v>
      </c>
      <c r="C14700" t="s">
        <v>12</v>
      </c>
      <c r="D14700" s="2">
        <v>0</v>
      </c>
      <c r="E14700" s="2">
        <v>391.5</v>
      </c>
      <c r="F14700" t="s">
        <v>16</v>
      </c>
      <c r="G14700" t="s">
        <v>17</v>
      </c>
    </row>
    <row r="14701" spans="1:7" x14ac:dyDescent="0.35">
      <c r="A14701">
        <v>5844</v>
      </c>
      <c r="B14701" s="1">
        <v>45973</v>
      </c>
      <c r="C14701" t="s">
        <v>12</v>
      </c>
      <c r="D14701" s="2">
        <v>2880.76</v>
      </c>
      <c r="E14701" s="2">
        <v>0</v>
      </c>
      <c r="F14701" t="s">
        <v>13</v>
      </c>
      <c r="G14701" t="s">
        <v>9</v>
      </c>
    </row>
    <row r="14702" spans="1:7" x14ac:dyDescent="0.35">
      <c r="A14702">
        <v>5844</v>
      </c>
      <c r="B14702" s="1">
        <v>45973</v>
      </c>
      <c r="C14702" t="s">
        <v>12</v>
      </c>
      <c r="D14702" s="2">
        <v>0</v>
      </c>
      <c r="E14702" s="2">
        <v>2679.78</v>
      </c>
      <c r="F14702" t="s">
        <v>14</v>
      </c>
      <c r="G14702" t="s">
        <v>15</v>
      </c>
    </row>
    <row r="14703" spans="1:7" x14ac:dyDescent="0.35">
      <c r="A14703">
        <v>5844</v>
      </c>
      <c r="B14703" s="1">
        <v>45973</v>
      </c>
      <c r="C14703" t="s">
        <v>12</v>
      </c>
      <c r="D14703" s="2">
        <v>0</v>
      </c>
      <c r="E14703" s="2">
        <v>200.98</v>
      </c>
      <c r="F14703" t="s">
        <v>16</v>
      </c>
      <c r="G14703" t="s">
        <v>17</v>
      </c>
    </row>
    <row r="14704" spans="1:7" x14ac:dyDescent="0.35">
      <c r="A14704">
        <v>5845</v>
      </c>
      <c r="B14704" s="1">
        <v>45973</v>
      </c>
      <c r="C14704" t="s">
        <v>12</v>
      </c>
      <c r="D14704" s="2">
        <v>336.71</v>
      </c>
      <c r="E14704" s="2">
        <v>0</v>
      </c>
      <c r="F14704" t="s">
        <v>13</v>
      </c>
      <c r="G14704" t="s">
        <v>9</v>
      </c>
    </row>
    <row r="14705" spans="1:7" x14ac:dyDescent="0.35">
      <c r="A14705">
        <v>5845</v>
      </c>
      <c r="B14705" s="1">
        <v>45973</v>
      </c>
      <c r="C14705" t="s">
        <v>12</v>
      </c>
      <c r="D14705" s="2">
        <v>0</v>
      </c>
      <c r="E14705" s="2">
        <v>313.22000000000003</v>
      </c>
      <c r="F14705" t="s">
        <v>14</v>
      </c>
      <c r="G14705" t="s">
        <v>15</v>
      </c>
    </row>
    <row r="14706" spans="1:7" x14ac:dyDescent="0.35">
      <c r="A14706">
        <v>5845</v>
      </c>
      <c r="B14706" s="1">
        <v>45973</v>
      </c>
      <c r="C14706" t="s">
        <v>12</v>
      </c>
      <c r="D14706" s="2">
        <v>0</v>
      </c>
      <c r="E14706" s="2">
        <v>23.49</v>
      </c>
      <c r="F14706" t="s">
        <v>16</v>
      </c>
      <c r="G14706" t="s">
        <v>17</v>
      </c>
    </row>
    <row r="14707" spans="1:7" x14ac:dyDescent="0.35">
      <c r="A14707">
        <v>5846</v>
      </c>
      <c r="B14707" s="1">
        <v>45973</v>
      </c>
      <c r="C14707" t="s">
        <v>12</v>
      </c>
      <c r="D14707" s="2">
        <v>238.83</v>
      </c>
      <c r="E14707" s="2">
        <v>0</v>
      </c>
      <c r="F14707" t="s">
        <v>13</v>
      </c>
      <c r="G14707" t="s">
        <v>9</v>
      </c>
    </row>
    <row r="14708" spans="1:7" x14ac:dyDescent="0.35">
      <c r="A14708">
        <v>5846</v>
      </c>
      <c r="B14708" s="1">
        <v>45973</v>
      </c>
      <c r="C14708" t="s">
        <v>12</v>
      </c>
      <c r="D14708" s="2">
        <v>0</v>
      </c>
      <c r="E14708" s="2">
        <v>222.17</v>
      </c>
      <c r="F14708" t="s">
        <v>14</v>
      </c>
      <c r="G14708" t="s">
        <v>15</v>
      </c>
    </row>
    <row r="14709" spans="1:7" x14ac:dyDescent="0.35">
      <c r="A14709">
        <v>5846</v>
      </c>
      <c r="B14709" s="1">
        <v>45973</v>
      </c>
      <c r="C14709" t="s">
        <v>12</v>
      </c>
      <c r="D14709" s="2">
        <v>0</v>
      </c>
      <c r="E14709" s="2">
        <v>16.66</v>
      </c>
      <c r="F14709" t="s">
        <v>16</v>
      </c>
      <c r="G14709" t="s">
        <v>17</v>
      </c>
    </row>
    <row r="14710" spans="1:7" x14ac:dyDescent="0.35">
      <c r="A14710">
        <v>5847</v>
      </c>
      <c r="B14710" s="1">
        <v>45973</v>
      </c>
      <c r="C14710" t="s">
        <v>12</v>
      </c>
      <c r="D14710" s="2">
        <v>1506.09</v>
      </c>
      <c r="E14710" s="2">
        <v>0</v>
      </c>
      <c r="F14710" t="s">
        <v>13</v>
      </c>
      <c r="G14710" t="s">
        <v>9</v>
      </c>
    </row>
    <row r="14711" spans="1:7" x14ac:dyDescent="0.35">
      <c r="A14711">
        <v>5847</v>
      </c>
      <c r="B14711" s="1">
        <v>45973</v>
      </c>
      <c r="C14711" t="s">
        <v>12</v>
      </c>
      <c r="D14711" s="2">
        <v>0</v>
      </c>
      <c r="E14711" s="2">
        <v>1401.02</v>
      </c>
      <c r="F14711" t="s">
        <v>14</v>
      </c>
      <c r="G14711" t="s">
        <v>15</v>
      </c>
    </row>
    <row r="14712" spans="1:7" x14ac:dyDescent="0.35">
      <c r="A14712">
        <v>5847</v>
      </c>
      <c r="B14712" s="1">
        <v>45973</v>
      </c>
      <c r="C14712" t="s">
        <v>12</v>
      </c>
      <c r="D14712" s="2">
        <v>0</v>
      </c>
      <c r="E14712" s="2">
        <v>105.07</v>
      </c>
      <c r="F14712" t="s">
        <v>16</v>
      </c>
      <c r="G14712" t="s">
        <v>17</v>
      </c>
    </row>
    <row r="14713" spans="1:7" x14ac:dyDescent="0.35">
      <c r="A14713">
        <v>5848</v>
      </c>
      <c r="B14713" s="1">
        <v>45973</v>
      </c>
      <c r="C14713" t="s">
        <v>12</v>
      </c>
      <c r="D14713" s="2">
        <v>852.85</v>
      </c>
      <c r="E14713" s="2">
        <v>0</v>
      </c>
      <c r="F14713" t="s">
        <v>13</v>
      </c>
      <c r="G14713" t="s">
        <v>9</v>
      </c>
    </row>
    <row r="14714" spans="1:7" x14ac:dyDescent="0.35">
      <c r="A14714">
        <v>5848</v>
      </c>
      <c r="B14714" s="1">
        <v>45973</v>
      </c>
      <c r="C14714" t="s">
        <v>12</v>
      </c>
      <c r="D14714" s="2">
        <v>0</v>
      </c>
      <c r="E14714" s="2">
        <v>793.35</v>
      </c>
      <c r="F14714" t="s">
        <v>14</v>
      </c>
      <c r="G14714" t="s">
        <v>15</v>
      </c>
    </row>
    <row r="14715" spans="1:7" x14ac:dyDescent="0.35">
      <c r="A14715">
        <v>5848</v>
      </c>
      <c r="B14715" s="1">
        <v>45973</v>
      </c>
      <c r="C14715" t="s">
        <v>12</v>
      </c>
      <c r="D14715" s="2">
        <v>0</v>
      </c>
      <c r="E14715" s="2">
        <v>59.5</v>
      </c>
      <c r="F14715" t="s">
        <v>16</v>
      </c>
      <c r="G14715" t="s">
        <v>17</v>
      </c>
    </row>
    <row r="14716" spans="1:7" x14ac:dyDescent="0.35">
      <c r="A14716">
        <v>5849</v>
      </c>
      <c r="B14716" s="1">
        <v>45973</v>
      </c>
      <c r="C14716" t="s">
        <v>12</v>
      </c>
      <c r="D14716" s="2">
        <v>5850.78</v>
      </c>
      <c r="E14716" s="2">
        <v>0</v>
      </c>
      <c r="F14716" t="s">
        <v>13</v>
      </c>
      <c r="G14716" t="s">
        <v>9</v>
      </c>
    </row>
    <row r="14717" spans="1:7" x14ac:dyDescent="0.35">
      <c r="A14717">
        <v>5849</v>
      </c>
      <c r="B14717" s="1">
        <v>45973</v>
      </c>
      <c r="C14717" t="s">
        <v>12</v>
      </c>
      <c r="D14717" s="2">
        <v>0</v>
      </c>
      <c r="E14717" s="2">
        <v>5442.58</v>
      </c>
      <c r="F14717" t="s">
        <v>14</v>
      </c>
      <c r="G14717" t="s">
        <v>15</v>
      </c>
    </row>
    <row r="14718" spans="1:7" x14ac:dyDescent="0.35">
      <c r="A14718">
        <v>5849</v>
      </c>
      <c r="B14718" s="1">
        <v>45973</v>
      </c>
      <c r="C14718" t="s">
        <v>12</v>
      </c>
      <c r="D14718" s="2">
        <v>0</v>
      </c>
      <c r="E14718" s="2">
        <v>408.2</v>
      </c>
      <c r="F14718" t="s">
        <v>16</v>
      </c>
      <c r="G14718" t="s">
        <v>17</v>
      </c>
    </row>
    <row r="14719" spans="1:7" x14ac:dyDescent="0.35">
      <c r="A14719">
        <v>5850</v>
      </c>
      <c r="B14719" s="1">
        <v>45973</v>
      </c>
      <c r="C14719" t="s">
        <v>12</v>
      </c>
      <c r="D14719" s="2">
        <v>3310.51</v>
      </c>
      <c r="E14719" s="2">
        <v>0</v>
      </c>
      <c r="F14719" t="s">
        <v>13</v>
      </c>
      <c r="G14719" t="s">
        <v>9</v>
      </c>
    </row>
    <row r="14720" spans="1:7" x14ac:dyDescent="0.35">
      <c r="A14720">
        <v>5850</v>
      </c>
      <c r="B14720" s="1">
        <v>45973</v>
      </c>
      <c r="C14720" t="s">
        <v>12</v>
      </c>
      <c r="D14720" s="2">
        <v>0</v>
      </c>
      <c r="E14720" s="2">
        <v>3079.55</v>
      </c>
      <c r="F14720" t="s">
        <v>14</v>
      </c>
      <c r="G14720" t="s">
        <v>15</v>
      </c>
    </row>
    <row r="14721" spans="1:7" x14ac:dyDescent="0.35">
      <c r="A14721">
        <v>5850</v>
      </c>
      <c r="B14721" s="1">
        <v>45973</v>
      </c>
      <c r="C14721" t="s">
        <v>12</v>
      </c>
      <c r="D14721" s="2">
        <v>0</v>
      </c>
      <c r="E14721" s="2">
        <v>230.96</v>
      </c>
      <c r="F14721" t="s">
        <v>16</v>
      </c>
      <c r="G14721" t="s">
        <v>17</v>
      </c>
    </row>
    <row r="14722" spans="1:7" x14ac:dyDescent="0.35">
      <c r="A14722">
        <v>5851</v>
      </c>
      <c r="B14722" s="1">
        <v>45973</v>
      </c>
      <c r="C14722" t="s">
        <v>24</v>
      </c>
      <c r="D14722" s="2">
        <v>3392.02</v>
      </c>
      <c r="E14722" s="2">
        <v>0</v>
      </c>
      <c r="F14722" t="s">
        <v>8</v>
      </c>
      <c r="G14722" t="s">
        <v>9</v>
      </c>
    </row>
    <row r="14723" spans="1:7" x14ac:dyDescent="0.35">
      <c r="A14723">
        <v>5851</v>
      </c>
      <c r="B14723" s="1">
        <v>45973</v>
      </c>
      <c r="C14723" t="s">
        <v>24</v>
      </c>
      <c r="D14723" s="2">
        <v>0</v>
      </c>
      <c r="E14723" s="2">
        <v>3392.02</v>
      </c>
      <c r="F14723" t="s">
        <v>13</v>
      </c>
      <c r="G14723" t="s">
        <v>9</v>
      </c>
    </row>
    <row r="14724" spans="1:7" x14ac:dyDescent="0.35">
      <c r="A14724">
        <v>5852</v>
      </c>
      <c r="B14724" s="1">
        <v>45973</v>
      </c>
      <c r="C14724" t="s">
        <v>24</v>
      </c>
      <c r="D14724" s="2">
        <v>737.76</v>
      </c>
      <c r="E14724" s="2">
        <v>0</v>
      </c>
      <c r="F14724" t="s">
        <v>8</v>
      </c>
      <c r="G14724" t="s">
        <v>9</v>
      </c>
    </row>
    <row r="14725" spans="1:7" x14ac:dyDescent="0.35">
      <c r="A14725">
        <v>5852</v>
      </c>
      <c r="B14725" s="1">
        <v>45973</v>
      </c>
      <c r="C14725" t="s">
        <v>24</v>
      </c>
      <c r="D14725" s="2">
        <v>0</v>
      </c>
      <c r="E14725" s="2">
        <v>737.76</v>
      </c>
      <c r="F14725" t="s">
        <v>13</v>
      </c>
      <c r="G14725" t="s">
        <v>9</v>
      </c>
    </row>
    <row r="14726" spans="1:7" x14ac:dyDescent="0.35">
      <c r="A14726">
        <v>5853</v>
      </c>
      <c r="B14726" s="1">
        <v>45973</v>
      </c>
      <c r="C14726" t="s">
        <v>24</v>
      </c>
      <c r="D14726" s="2">
        <v>3254.33</v>
      </c>
      <c r="E14726" s="2">
        <v>0</v>
      </c>
      <c r="F14726" t="s">
        <v>8</v>
      </c>
      <c r="G14726" t="s">
        <v>9</v>
      </c>
    </row>
    <row r="14727" spans="1:7" x14ac:dyDescent="0.35">
      <c r="A14727">
        <v>5853</v>
      </c>
      <c r="B14727" s="1">
        <v>45973</v>
      </c>
      <c r="C14727" t="s">
        <v>24</v>
      </c>
      <c r="D14727" s="2">
        <v>0</v>
      </c>
      <c r="E14727" s="2">
        <v>3254.33</v>
      </c>
      <c r="F14727" t="s">
        <v>13</v>
      </c>
      <c r="G14727" t="s">
        <v>9</v>
      </c>
    </row>
    <row r="14728" spans="1:7" x14ac:dyDescent="0.35">
      <c r="A14728">
        <v>5854</v>
      </c>
      <c r="B14728" s="1">
        <v>45973</v>
      </c>
      <c r="C14728" t="s">
        <v>24</v>
      </c>
      <c r="D14728" s="2">
        <v>3209.86</v>
      </c>
      <c r="E14728" s="2">
        <v>0</v>
      </c>
      <c r="F14728" t="s">
        <v>8</v>
      </c>
      <c r="G14728" t="s">
        <v>9</v>
      </c>
    </row>
    <row r="14729" spans="1:7" x14ac:dyDescent="0.35">
      <c r="A14729">
        <v>5854</v>
      </c>
      <c r="B14729" s="1">
        <v>45973</v>
      </c>
      <c r="C14729" t="s">
        <v>24</v>
      </c>
      <c r="D14729" s="2">
        <v>0</v>
      </c>
      <c r="E14729" s="2">
        <v>3209.86</v>
      </c>
      <c r="F14729" t="s">
        <v>13</v>
      </c>
      <c r="G14729" t="s">
        <v>9</v>
      </c>
    </row>
    <row r="14730" spans="1:7" x14ac:dyDescent="0.35">
      <c r="A14730">
        <v>5855</v>
      </c>
      <c r="B14730" s="1">
        <v>45973</v>
      </c>
      <c r="C14730" t="s">
        <v>24</v>
      </c>
      <c r="D14730" s="2">
        <v>2374.79</v>
      </c>
      <c r="E14730" s="2">
        <v>0</v>
      </c>
      <c r="F14730" t="s">
        <v>8</v>
      </c>
      <c r="G14730" t="s">
        <v>9</v>
      </c>
    </row>
    <row r="14731" spans="1:7" x14ac:dyDescent="0.35">
      <c r="A14731">
        <v>5855</v>
      </c>
      <c r="B14731" s="1">
        <v>45973</v>
      </c>
      <c r="C14731" t="s">
        <v>24</v>
      </c>
      <c r="D14731" s="2">
        <v>0</v>
      </c>
      <c r="E14731" s="2">
        <v>2374.79</v>
      </c>
      <c r="F14731" t="s">
        <v>13</v>
      </c>
      <c r="G14731" t="s">
        <v>9</v>
      </c>
    </row>
    <row r="14732" spans="1:7" x14ac:dyDescent="0.35">
      <c r="A14732">
        <v>5856</v>
      </c>
      <c r="B14732" s="1">
        <v>45973</v>
      </c>
      <c r="C14732" t="s">
        <v>24</v>
      </c>
      <c r="D14732" s="2">
        <v>1707.12</v>
      </c>
      <c r="E14732" s="2">
        <v>0</v>
      </c>
      <c r="F14732" t="s">
        <v>8</v>
      </c>
      <c r="G14732" t="s">
        <v>9</v>
      </c>
    </row>
    <row r="14733" spans="1:7" x14ac:dyDescent="0.35">
      <c r="A14733">
        <v>5856</v>
      </c>
      <c r="B14733" s="1">
        <v>45973</v>
      </c>
      <c r="C14733" t="s">
        <v>24</v>
      </c>
      <c r="D14733" s="2">
        <v>0</v>
      </c>
      <c r="E14733" s="2">
        <v>1707.12</v>
      </c>
      <c r="F14733" t="s">
        <v>13</v>
      </c>
      <c r="G14733" t="s">
        <v>9</v>
      </c>
    </row>
    <row r="14734" spans="1:7" x14ac:dyDescent="0.35">
      <c r="A14734">
        <v>5857</v>
      </c>
      <c r="B14734" s="1">
        <v>45973</v>
      </c>
      <c r="C14734" t="s">
        <v>24</v>
      </c>
      <c r="D14734" s="2">
        <v>3222.74</v>
      </c>
      <c r="E14734" s="2">
        <v>0</v>
      </c>
      <c r="F14734" t="s">
        <v>8</v>
      </c>
      <c r="G14734" t="s">
        <v>9</v>
      </c>
    </row>
    <row r="14735" spans="1:7" x14ac:dyDescent="0.35">
      <c r="A14735">
        <v>5857</v>
      </c>
      <c r="B14735" s="1">
        <v>45973</v>
      </c>
      <c r="C14735" t="s">
        <v>24</v>
      </c>
      <c r="D14735" s="2">
        <v>0</v>
      </c>
      <c r="E14735" s="2">
        <v>3222.74</v>
      </c>
      <c r="F14735" t="s">
        <v>13</v>
      </c>
      <c r="G14735" t="s">
        <v>9</v>
      </c>
    </row>
    <row r="14736" spans="1:7" x14ac:dyDescent="0.35">
      <c r="A14736">
        <v>5858</v>
      </c>
      <c r="B14736" s="1">
        <v>45973</v>
      </c>
      <c r="C14736" t="s">
        <v>24</v>
      </c>
      <c r="D14736" s="2">
        <v>1783.61</v>
      </c>
      <c r="E14736" s="2">
        <v>0</v>
      </c>
      <c r="F14736" t="s">
        <v>8</v>
      </c>
      <c r="G14736" t="s">
        <v>9</v>
      </c>
    </row>
    <row r="14737" spans="1:7" x14ac:dyDescent="0.35">
      <c r="A14737">
        <v>5858</v>
      </c>
      <c r="B14737" s="1">
        <v>45973</v>
      </c>
      <c r="C14737" t="s">
        <v>24</v>
      </c>
      <c r="D14737" s="2">
        <v>0</v>
      </c>
      <c r="E14737" s="2">
        <v>1783.61</v>
      </c>
      <c r="F14737" t="s">
        <v>13</v>
      </c>
      <c r="G14737" t="s">
        <v>9</v>
      </c>
    </row>
    <row r="14738" spans="1:7" x14ac:dyDescent="0.35">
      <c r="A14738">
        <v>5859</v>
      </c>
      <c r="B14738" s="1">
        <v>45973</v>
      </c>
      <c r="C14738" t="s">
        <v>24</v>
      </c>
      <c r="D14738" s="2">
        <v>2639.51</v>
      </c>
      <c r="E14738" s="2">
        <v>0</v>
      </c>
      <c r="F14738" t="s">
        <v>8</v>
      </c>
      <c r="G14738" t="s">
        <v>9</v>
      </c>
    </row>
    <row r="14739" spans="1:7" x14ac:dyDescent="0.35">
      <c r="A14739">
        <v>5859</v>
      </c>
      <c r="B14739" s="1">
        <v>45973</v>
      </c>
      <c r="C14739" t="s">
        <v>24</v>
      </c>
      <c r="D14739" s="2">
        <v>0</v>
      </c>
      <c r="E14739" s="2">
        <v>2639.51</v>
      </c>
      <c r="F14739" t="s">
        <v>13</v>
      </c>
      <c r="G14739" t="s">
        <v>9</v>
      </c>
    </row>
    <row r="14740" spans="1:7" x14ac:dyDescent="0.35">
      <c r="A14740">
        <v>5860</v>
      </c>
      <c r="B14740" s="1">
        <v>45973</v>
      </c>
      <c r="C14740" t="s">
        <v>25</v>
      </c>
      <c r="D14740" s="2">
        <v>3598.88</v>
      </c>
      <c r="E14740" s="2">
        <v>0</v>
      </c>
      <c r="F14740" t="s">
        <v>26</v>
      </c>
      <c r="G14740" t="s">
        <v>20</v>
      </c>
    </row>
    <row r="14741" spans="1:7" x14ac:dyDescent="0.35">
      <c r="A14741">
        <v>5860</v>
      </c>
      <c r="B14741" s="1">
        <v>45973</v>
      </c>
      <c r="C14741" t="s">
        <v>25</v>
      </c>
      <c r="D14741" s="2">
        <v>269.92</v>
      </c>
      <c r="E14741" s="2">
        <v>0</v>
      </c>
      <c r="F14741" t="s">
        <v>27</v>
      </c>
      <c r="G14741" t="s">
        <v>9</v>
      </c>
    </row>
    <row r="14742" spans="1:7" x14ac:dyDescent="0.35">
      <c r="A14742">
        <v>5860</v>
      </c>
      <c r="B14742" s="1">
        <v>45973</v>
      </c>
      <c r="C14742" t="s">
        <v>25</v>
      </c>
      <c r="D14742" s="2">
        <v>0</v>
      </c>
      <c r="E14742" s="2">
        <v>3868.8</v>
      </c>
      <c r="F14742" t="s">
        <v>28</v>
      </c>
      <c r="G14742" t="s">
        <v>17</v>
      </c>
    </row>
    <row r="14743" spans="1:7" x14ac:dyDescent="0.35">
      <c r="A14743">
        <v>5861</v>
      </c>
      <c r="B14743" s="1">
        <v>45973</v>
      </c>
      <c r="C14743" t="s">
        <v>25</v>
      </c>
      <c r="D14743" s="2">
        <v>2714.58</v>
      </c>
      <c r="E14743" s="2">
        <v>0</v>
      </c>
      <c r="F14743" t="s">
        <v>26</v>
      </c>
      <c r="G14743" t="s">
        <v>20</v>
      </c>
    </row>
    <row r="14744" spans="1:7" x14ac:dyDescent="0.35">
      <c r="A14744">
        <v>5861</v>
      </c>
      <c r="B14744" s="1">
        <v>45973</v>
      </c>
      <c r="C14744" t="s">
        <v>25</v>
      </c>
      <c r="D14744" s="2">
        <v>203.59</v>
      </c>
      <c r="E14744" s="2">
        <v>0</v>
      </c>
      <c r="F14744" t="s">
        <v>27</v>
      </c>
      <c r="G14744" t="s">
        <v>9</v>
      </c>
    </row>
    <row r="14745" spans="1:7" x14ac:dyDescent="0.35">
      <c r="A14745">
        <v>5861</v>
      </c>
      <c r="B14745" s="1">
        <v>45973</v>
      </c>
      <c r="C14745" t="s">
        <v>25</v>
      </c>
      <c r="D14745" s="2">
        <v>0</v>
      </c>
      <c r="E14745" s="2">
        <v>2918.17</v>
      </c>
      <c r="F14745" t="s">
        <v>28</v>
      </c>
      <c r="G14745" t="s">
        <v>17</v>
      </c>
    </row>
    <row r="14746" spans="1:7" x14ac:dyDescent="0.35">
      <c r="A14746">
        <v>5862</v>
      </c>
      <c r="B14746" s="1">
        <v>45973</v>
      </c>
      <c r="C14746" t="s">
        <v>29</v>
      </c>
      <c r="D14746" s="2">
        <v>1766.46</v>
      </c>
      <c r="E14746" s="2">
        <v>0</v>
      </c>
      <c r="F14746" t="s">
        <v>28</v>
      </c>
      <c r="G14746" t="s">
        <v>17</v>
      </c>
    </row>
    <row r="14747" spans="1:7" x14ac:dyDescent="0.35">
      <c r="A14747">
        <v>5862</v>
      </c>
      <c r="B14747" s="1">
        <v>45973</v>
      </c>
      <c r="C14747" t="s">
        <v>29</v>
      </c>
      <c r="D14747" s="2">
        <v>0</v>
      </c>
      <c r="E14747" s="2">
        <v>1766.46</v>
      </c>
      <c r="F14747" t="s">
        <v>8</v>
      </c>
      <c r="G14747" t="s">
        <v>9</v>
      </c>
    </row>
    <row r="14748" spans="1:7" x14ac:dyDescent="0.35">
      <c r="A14748">
        <v>5863</v>
      </c>
      <c r="B14748" s="1">
        <v>45973</v>
      </c>
      <c r="C14748" t="s">
        <v>29</v>
      </c>
      <c r="D14748" s="2">
        <v>1794.11</v>
      </c>
      <c r="E14748" s="2">
        <v>0</v>
      </c>
      <c r="F14748" t="s">
        <v>28</v>
      </c>
      <c r="G14748" t="s">
        <v>17</v>
      </c>
    </row>
    <row r="14749" spans="1:7" x14ac:dyDescent="0.35">
      <c r="A14749">
        <v>5863</v>
      </c>
      <c r="B14749" s="1">
        <v>45973</v>
      </c>
      <c r="C14749" t="s">
        <v>29</v>
      </c>
      <c r="D14749" s="2">
        <v>0</v>
      </c>
      <c r="E14749" s="2">
        <v>1794.11</v>
      </c>
      <c r="F14749" t="s">
        <v>8</v>
      </c>
      <c r="G14749" t="s">
        <v>9</v>
      </c>
    </row>
    <row r="14750" spans="1:7" x14ac:dyDescent="0.35">
      <c r="A14750">
        <v>5864</v>
      </c>
      <c r="B14750" s="1">
        <v>45973</v>
      </c>
      <c r="C14750" t="s">
        <v>29</v>
      </c>
      <c r="D14750" s="2">
        <v>2918.17</v>
      </c>
      <c r="E14750" s="2">
        <v>0</v>
      </c>
      <c r="F14750" t="s">
        <v>28</v>
      </c>
      <c r="G14750" t="s">
        <v>17</v>
      </c>
    </row>
    <row r="14751" spans="1:7" x14ac:dyDescent="0.35">
      <c r="A14751">
        <v>5864</v>
      </c>
      <c r="B14751" s="1">
        <v>45973</v>
      </c>
      <c r="C14751" t="s">
        <v>29</v>
      </c>
      <c r="D14751" s="2">
        <v>0</v>
      </c>
      <c r="E14751" s="2">
        <v>2918.17</v>
      </c>
      <c r="F14751" t="s">
        <v>8</v>
      </c>
      <c r="G14751" t="s">
        <v>9</v>
      </c>
    </row>
    <row r="14752" spans="1:7" x14ac:dyDescent="0.35">
      <c r="A14752">
        <v>5865</v>
      </c>
      <c r="B14752" s="1">
        <v>45973</v>
      </c>
      <c r="C14752" t="s">
        <v>29</v>
      </c>
      <c r="D14752" s="2">
        <v>179.01</v>
      </c>
      <c r="E14752" s="2">
        <v>0</v>
      </c>
      <c r="F14752" t="s">
        <v>28</v>
      </c>
      <c r="G14752" t="s">
        <v>17</v>
      </c>
    </row>
    <row r="14753" spans="1:7" x14ac:dyDescent="0.35">
      <c r="A14753">
        <v>5865</v>
      </c>
      <c r="B14753" s="1">
        <v>45973</v>
      </c>
      <c r="C14753" t="s">
        <v>29</v>
      </c>
      <c r="D14753" s="2">
        <v>0</v>
      </c>
      <c r="E14753" s="2">
        <v>179.01</v>
      </c>
      <c r="F14753" t="s">
        <v>8</v>
      </c>
      <c r="G14753" t="s">
        <v>9</v>
      </c>
    </row>
    <row r="14754" spans="1:7" x14ac:dyDescent="0.35">
      <c r="A14754">
        <v>5866</v>
      </c>
      <c r="B14754" s="1">
        <v>45973</v>
      </c>
      <c r="C14754" t="s">
        <v>29</v>
      </c>
      <c r="D14754" s="2">
        <v>550.4</v>
      </c>
      <c r="E14754" s="2">
        <v>0</v>
      </c>
      <c r="F14754" t="s">
        <v>28</v>
      </c>
      <c r="G14754" t="s">
        <v>17</v>
      </c>
    </row>
    <row r="14755" spans="1:7" x14ac:dyDescent="0.35">
      <c r="A14755">
        <v>5866</v>
      </c>
      <c r="B14755" s="1">
        <v>45973</v>
      </c>
      <c r="C14755" t="s">
        <v>29</v>
      </c>
      <c r="D14755" s="2">
        <v>0</v>
      </c>
      <c r="E14755" s="2">
        <v>550.4</v>
      </c>
      <c r="F14755" t="s">
        <v>8</v>
      </c>
      <c r="G14755" t="s">
        <v>9</v>
      </c>
    </row>
    <row r="14756" spans="1:7" x14ac:dyDescent="0.35">
      <c r="A14756">
        <v>5867</v>
      </c>
      <c r="B14756" s="1">
        <v>45974</v>
      </c>
      <c r="C14756" t="s">
        <v>12</v>
      </c>
      <c r="D14756" s="2">
        <v>387.89</v>
      </c>
      <c r="E14756" s="2">
        <v>0</v>
      </c>
      <c r="F14756" t="s">
        <v>13</v>
      </c>
      <c r="G14756" t="s">
        <v>9</v>
      </c>
    </row>
    <row r="14757" spans="1:7" x14ac:dyDescent="0.35">
      <c r="A14757">
        <v>5867</v>
      </c>
      <c r="B14757" s="1">
        <v>45974</v>
      </c>
      <c r="C14757" t="s">
        <v>12</v>
      </c>
      <c r="D14757" s="2">
        <v>0</v>
      </c>
      <c r="E14757" s="2">
        <v>360.83</v>
      </c>
      <c r="F14757" t="s">
        <v>14</v>
      </c>
      <c r="G14757" t="s">
        <v>15</v>
      </c>
    </row>
    <row r="14758" spans="1:7" x14ac:dyDescent="0.35">
      <c r="A14758">
        <v>5867</v>
      </c>
      <c r="B14758" s="1">
        <v>45974</v>
      </c>
      <c r="C14758" t="s">
        <v>12</v>
      </c>
      <c r="D14758" s="2">
        <v>0</v>
      </c>
      <c r="E14758" s="2">
        <v>27.06</v>
      </c>
      <c r="F14758" t="s">
        <v>16</v>
      </c>
      <c r="G14758" t="s">
        <v>17</v>
      </c>
    </row>
    <row r="14759" spans="1:7" x14ac:dyDescent="0.35">
      <c r="A14759">
        <v>5868</v>
      </c>
      <c r="B14759" s="1">
        <v>45974</v>
      </c>
      <c r="C14759" t="s">
        <v>12</v>
      </c>
      <c r="D14759" s="2">
        <v>1564.78</v>
      </c>
      <c r="E14759" s="2">
        <v>0</v>
      </c>
      <c r="F14759" t="s">
        <v>13</v>
      </c>
      <c r="G14759" t="s">
        <v>9</v>
      </c>
    </row>
    <row r="14760" spans="1:7" x14ac:dyDescent="0.35">
      <c r="A14760">
        <v>5868</v>
      </c>
      <c r="B14760" s="1">
        <v>45974</v>
      </c>
      <c r="C14760" t="s">
        <v>12</v>
      </c>
      <c r="D14760" s="2">
        <v>0</v>
      </c>
      <c r="E14760" s="2">
        <v>1455.61</v>
      </c>
      <c r="F14760" t="s">
        <v>14</v>
      </c>
      <c r="G14760" t="s">
        <v>15</v>
      </c>
    </row>
    <row r="14761" spans="1:7" x14ac:dyDescent="0.35">
      <c r="A14761">
        <v>5868</v>
      </c>
      <c r="B14761" s="1">
        <v>45974</v>
      </c>
      <c r="C14761" t="s">
        <v>12</v>
      </c>
      <c r="D14761" s="2">
        <v>0</v>
      </c>
      <c r="E14761" s="2">
        <v>109.17</v>
      </c>
      <c r="F14761" t="s">
        <v>16</v>
      </c>
      <c r="G14761" t="s">
        <v>17</v>
      </c>
    </row>
    <row r="14762" spans="1:7" x14ac:dyDescent="0.35">
      <c r="A14762">
        <v>5869</v>
      </c>
      <c r="B14762" s="1">
        <v>45974</v>
      </c>
      <c r="C14762" t="s">
        <v>12</v>
      </c>
      <c r="D14762" s="2">
        <v>659.98</v>
      </c>
      <c r="E14762" s="2">
        <v>0</v>
      </c>
      <c r="F14762" t="s">
        <v>13</v>
      </c>
      <c r="G14762" t="s">
        <v>9</v>
      </c>
    </row>
    <row r="14763" spans="1:7" x14ac:dyDescent="0.35">
      <c r="A14763">
        <v>5869</v>
      </c>
      <c r="B14763" s="1">
        <v>45974</v>
      </c>
      <c r="C14763" t="s">
        <v>12</v>
      </c>
      <c r="D14763" s="2">
        <v>0</v>
      </c>
      <c r="E14763" s="2">
        <v>613.92999999999995</v>
      </c>
      <c r="F14763" t="s">
        <v>14</v>
      </c>
      <c r="G14763" t="s">
        <v>15</v>
      </c>
    </row>
    <row r="14764" spans="1:7" x14ac:dyDescent="0.35">
      <c r="A14764">
        <v>5869</v>
      </c>
      <c r="B14764" s="1">
        <v>45974</v>
      </c>
      <c r="C14764" t="s">
        <v>12</v>
      </c>
      <c r="D14764" s="2">
        <v>0</v>
      </c>
      <c r="E14764" s="2">
        <v>46.05</v>
      </c>
      <c r="F14764" t="s">
        <v>16</v>
      </c>
      <c r="G14764" t="s">
        <v>17</v>
      </c>
    </row>
    <row r="14765" spans="1:7" x14ac:dyDescent="0.35">
      <c r="A14765">
        <v>5870</v>
      </c>
      <c r="B14765" s="1">
        <v>45974</v>
      </c>
      <c r="C14765" t="s">
        <v>12</v>
      </c>
      <c r="D14765" s="2">
        <v>1315.2</v>
      </c>
      <c r="E14765" s="2">
        <v>0</v>
      </c>
      <c r="F14765" t="s">
        <v>13</v>
      </c>
      <c r="G14765" t="s">
        <v>9</v>
      </c>
    </row>
    <row r="14766" spans="1:7" x14ac:dyDescent="0.35">
      <c r="A14766">
        <v>5870</v>
      </c>
      <c r="B14766" s="1">
        <v>45974</v>
      </c>
      <c r="C14766" t="s">
        <v>12</v>
      </c>
      <c r="D14766" s="2">
        <v>0</v>
      </c>
      <c r="E14766" s="2">
        <v>1223.45</v>
      </c>
      <c r="F14766" t="s">
        <v>14</v>
      </c>
      <c r="G14766" t="s">
        <v>15</v>
      </c>
    </row>
    <row r="14767" spans="1:7" x14ac:dyDescent="0.35">
      <c r="A14767">
        <v>5870</v>
      </c>
      <c r="B14767" s="1">
        <v>45974</v>
      </c>
      <c r="C14767" t="s">
        <v>12</v>
      </c>
      <c r="D14767" s="2">
        <v>0</v>
      </c>
      <c r="E14767" s="2">
        <v>91.75</v>
      </c>
      <c r="F14767" t="s">
        <v>16</v>
      </c>
      <c r="G14767" t="s">
        <v>17</v>
      </c>
    </row>
    <row r="14768" spans="1:7" x14ac:dyDescent="0.35">
      <c r="A14768">
        <v>5871</v>
      </c>
      <c r="B14768" s="1">
        <v>45974</v>
      </c>
      <c r="C14768" t="s">
        <v>12</v>
      </c>
      <c r="D14768" s="2">
        <v>2688.81</v>
      </c>
      <c r="E14768" s="2">
        <v>0</v>
      </c>
      <c r="F14768" t="s">
        <v>13</v>
      </c>
      <c r="G14768" t="s">
        <v>9</v>
      </c>
    </row>
    <row r="14769" spans="1:7" x14ac:dyDescent="0.35">
      <c r="A14769">
        <v>5871</v>
      </c>
      <c r="B14769" s="1">
        <v>45974</v>
      </c>
      <c r="C14769" t="s">
        <v>12</v>
      </c>
      <c r="D14769" s="2">
        <v>0</v>
      </c>
      <c r="E14769" s="2">
        <v>2501.2199999999998</v>
      </c>
      <c r="F14769" t="s">
        <v>14</v>
      </c>
      <c r="G14769" t="s">
        <v>15</v>
      </c>
    </row>
    <row r="14770" spans="1:7" x14ac:dyDescent="0.35">
      <c r="A14770">
        <v>5871</v>
      </c>
      <c r="B14770" s="1">
        <v>45974</v>
      </c>
      <c r="C14770" t="s">
        <v>12</v>
      </c>
      <c r="D14770" s="2">
        <v>0</v>
      </c>
      <c r="E14770" s="2">
        <v>187.59</v>
      </c>
      <c r="F14770" t="s">
        <v>16</v>
      </c>
      <c r="G14770" t="s">
        <v>17</v>
      </c>
    </row>
    <row r="14771" spans="1:7" x14ac:dyDescent="0.35">
      <c r="A14771">
        <v>5872</v>
      </c>
      <c r="B14771" s="1">
        <v>45974</v>
      </c>
      <c r="C14771" t="s">
        <v>12</v>
      </c>
      <c r="D14771" s="2">
        <v>1833.95</v>
      </c>
      <c r="E14771" s="2">
        <v>0</v>
      </c>
      <c r="F14771" t="s">
        <v>13</v>
      </c>
      <c r="G14771" t="s">
        <v>9</v>
      </c>
    </row>
    <row r="14772" spans="1:7" x14ac:dyDescent="0.35">
      <c r="A14772">
        <v>5872</v>
      </c>
      <c r="B14772" s="1">
        <v>45974</v>
      </c>
      <c r="C14772" t="s">
        <v>12</v>
      </c>
      <c r="D14772" s="2">
        <v>0</v>
      </c>
      <c r="E14772" s="2">
        <v>1706</v>
      </c>
      <c r="F14772" t="s">
        <v>14</v>
      </c>
      <c r="G14772" t="s">
        <v>15</v>
      </c>
    </row>
    <row r="14773" spans="1:7" x14ac:dyDescent="0.35">
      <c r="A14773">
        <v>5872</v>
      </c>
      <c r="B14773" s="1">
        <v>45974</v>
      </c>
      <c r="C14773" t="s">
        <v>12</v>
      </c>
      <c r="D14773" s="2">
        <v>0</v>
      </c>
      <c r="E14773" s="2">
        <v>127.95</v>
      </c>
      <c r="F14773" t="s">
        <v>16</v>
      </c>
      <c r="G14773" t="s">
        <v>17</v>
      </c>
    </row>
    <row r="14774" spans="1:7" x14ac:dyDescent="0.35">
      <c r="A14774">
        <v>5873</v>
      </c>
      <c r="B14774" s="1">
        <v>45974</v>
      </c>
      <c r="C14774" t="s">
        <v>12</v>
      </c>
      <c r="D14774" s="2">
        <v>3632.31</v>
      </c>
      <c r="E14774" s="2">
        <v>0</v>
      </c>
      <c r="F14774" t="s">
        <v>13</v>
      </c>
      <c r="G14774" t="s">
        <v>9</v>
      </c>
    </row>
    <row r="14775" spans="1:7" x14ac:dyDescent="0.35">
      <c r="A14775">
        <v>5873</v>
      </c>
      <c r="B14775" s="1">
        <v>45974</v>
      </c>
      <c r="C14775" t="s">
        <v>12</v>
      </c>
      <c r="D14775" s="2">
        <v>0</v>
      </c>
      <c r="E14775" s="2">
        <v>3378.88</v>
      </c>
      <c r="F14775" t="s">
        <v>14</v>
      </c>
      <c r="G14775" t="s">
        <v>15</v>
      </c>
    </row>
    <row r="14776" spans="1:7" x14ac:dyDescent="0.35">
      <c r="A14776">
        <v>5873</v>
      </c>
      <c r="B14776" s="1">
        <v>45974</v>
      </c>
      <c r="C14776" t="s">
        <v>12</v>
      </c>
      <c r="D14776" s="2">
        <v>0</v>
      </c>
      <c r="E14776" s="2">
        <v>253.43</v>
      </c>
      <c r="F14776" t="s">
        <v>16</v>
      </c>
      <c r="G14776" t="s">
        <v>17</v>
      </c>
    </row>
    <row r="14777" spans="1:7" x14ac:dyDescent="0.35">
      <c r="A14777">
        <v>5874</v>
      </c>
      <c r="B14777" s="1">
        <v>45974</v>
      </c>
      <c r="C14777" t="s">
        <v>12</v>
      </c>
      <c r="D14777" s="2">
        <v>6169.17</v>
      </c>
      <c r="E14777" s="2">
        <v>0</v>
      </c>
      <c r="F14777" t="s">
        <v>13</v>
      </c>
      <c r="G14777" t="s">
        <v>9</v>
      </c>
    </row>
    <row r="14778" spans="1:7" x14ac:dyDescent="0.35">
      <c r="A14778">
        <v>5874</v>
      </c>
      <c r="B14778" s="1">
        <v>45974</v>
      </c>
      <c r="C14778" t="s">
        <v>12</v>
      </c>
      <c r="D14778" s="2">
        <v>0</v>
      </c>
      <c r="E14778" s="2">
        <v>5738.75</v>
      </c>
      <c r="F14778" t="s">
        <v>14</v>
      </c>
      <c r="G14778" t="s">
        <v>15</v>
      </c>
    </row>
    <row r="14779" spans="1:7" x14ac:dyDescent="0.35">
      <c r="A14779">
        <v>5874</v>
      </c>
      <c r="B14779" s="1">
        <v>45974</v>
      </c>
      <c r="C14779" t="s">
        <v>12</v>
      </c>
      <c r="D14779" s="2">
        <v>0</v>
      </c>
      <c r="E14779" s="2">
        <v>430.42</v>
      </c>
      <c r="F14779" t="s">
        <v>16</v>
      </c>
      <c r="G14779" t="s">
        <v>17</v>
      </c>
    </row>
    <row r="14780" spans="1:7" x14ac:dyDescent="0.35">
      <c r="A14780">
        <v>5875</v>
      </c>
      <c r="B14780" s="1">
        <v>45974</v>
      </c>
      <c r="C14780" t="s">
        <v>24</v>
      </c>
      <c r="D14780" s="2">
        <v>1204.43</v>
      </c>
      <c r="E14780" s="2">
        <v>0</v>
      </c>
      <c r="F14780" t="s">
        <v>8</v>
      </c>
      <c r="G14780" t="s">
        <v>9</v>
      </c>
    </row>
    <row r="14781" spans="1:7" x14ac:dyDescent="0.35">
      <c r="A14781">
        <v>5875</v>
      </c>
      <c r="B14781" s="1">
        <v>45974</v>
      </c>
      <c r="C14781" t="s">
        <v>24</v>
      </c>
      <c r="D14781" s="2">
        <v>0</v>
      </c>
      <c r="E14781" s="2">
        <v>1204.43</v>
      </c>
      <c r="F14781" t="s">
        <v>13</v>
      </c>
      <c r="G14781" t="s">
        <v>9</v>
      </c>
    </row>
    <row r="14782" spans="1:7" x14ac:dyDescent="0.35">
      <c r="A14782">
        <v>5876</v>
      </c>
      <c r="B14782" s="1">
        <v>45974</v>
      </c>
      <c r="C14782" t="s">
        <v>24</v>
      </c>
      <c r="D14782" s="2">
        <v>1113.08</v>
      </c>
      <c r="E14782" s="2">
        <v>0</v>
      </c>
      <c r="F14782" t="s">
        <v>8</v>
      </c>
      <c r="G14782" t="s">
        <v>9</v>
      </c>
    </row>
    <row r="14783" spans="1:7" x14ac:dyDescent="0.35">
      <c r="A14783">
        <v>5876</v>
      </c>
      <c r="B14783" s="1">
        <v>45974</v>
      </c>
      <c r="C14783" t="s">
        <v>24</v>
      </c>
      <c r="D14783" s="2">
        <v>0</v>
      </c>
      <c r="E14783" s="2">
        <v>1113.08</v>
      </c>
      <c r="F14783" t="s">
        <v>13</v>
      </c>
      <c r="G14783" t="s">
        <v>9</v>
      </c>
    </row>
    <row r="14784" spans="1:7" x14ac:dyDescent="0.35">
      <c r="A14784">
        <v>5877</v>
      </c>
      <c r="B14784" s="1">
        <v>45974</v>
      </c>
      <c r="C14784" t="s">
        <v>24</v>
      </c>
      <c r="D14784" s="2">
        <v>383.98</v>
      </c>
      <c r="E14784" s="2">
        <v>0</v>
      </c>
      <c r="F14784" t="s">
        <v>8</v>
      </c>
      <c r="G14784" t="s">
        <v>9</v>
      </c>
    </row>
    <row r="14785" spans="1:7" x14ac:dyDescent="0.35">
      <c r="A14785">
        <v>5877</v>
      </c>
      <c r="B14785" s="1">
        <v>45974</v>
      </c>
      <c r="C14785" t="s">
        <v>24</v>
      </c>
      <c r="D14785" s="2">
        <v>0</v>
      </c>
      <c r="E14785" s="2">
        <v>383.98</v>
      </c>
      <c r="F14785" t="s">
        <v>13</v>
      </c>
      <c r="G14785" t="s">
        <v>9</v>
      </c>
    </row>
    <row r="14786" spans="1:7" x14ac:dyDescent="0.35">
      <c r="A14786">
        <v>5878</v>
      </c>
      <c r="B14786" s="1">
        <v>45974</v>
      </c>
      <c r="C14786" t="s">
        <v>24</v>
      </c>
      <c r="D14786" s="2">
        <v>782.6</v>
      </c>
      <c r="E14786" s="2">
        <v>0</v>
      </c>
      <c r="F14786" t="s">
        <v>8</v>
      </c>
      <c r="G14786" t="s">
        <v>9</v>
      </c>
    </row>
    <row r="14787" spans="1:7" x14ac:dyDescent="0.35">
      <c r="A14787">
        <v>5878</v>
      </c>
      <c r="B14787" s="1">
        <v>45974</v>
      </c>
      <c r="C14787" t="s">
        <v>24</v>
      </c>
      <c r="D14787" s="2">
        <v>0</v>
      </c>
      <c r="E14787" s="2">
        <v>782.6</v>
      </c>
      <c r="F14787" t="s">
        <v>13</v>
      </c>
      <c r="G14787" t="s">
        <v>9</v>
      </c>
    </row>
    <row r="14788" spans="1:7" x14ac:dyDescent="0.35">
      <c r="A14788">
        <v>5879</v>
      </c>
      <c r="B14788" s="1">
        <v>45974</v>
      </c>
      <c r="C14788" t="s">
        <v>24</v>
      </c>
      <c r="D14788" s="2">
        <v>1867.62</v>
      </c>
      <c r="E14788" s="2">
        <v>0</v>
      </c>
      <c r="F14788" t="s">
        <v>8</v>
      </c>
      <c r="G14788" t="s">
        <v>9</v>
      </c>
    </row>
    <row r="14789" spans="1:7" x14ac:dyDescent="0.35">
      <c r="A14789">
        <v>5879</v>
      </c>
      <c r="B14789" s="1">
        <v>45974</v>
      </c>
      <c r="C14789" t="s">
        <v>24</v>
      </c>
      <c r="D14789" s="2">
        <v>0</v>
      </c>
      <c r="E14789" s="2">
        <v>1867.62</v>
      </c>
      <c r="F14789" t="s">
        <v>13</v>
      </c>
      <c r="G14789" t="s">
        <v>9</v>
      </c>
    </row>
    <row r="14790" spans="1:7" x14ac:dyDescent="0.35">
      <c r="A14790">
        <v>5880</v>
      </c>
      <c r="B14790" s="1">
        <v>45974</v>
      </c>
      <c r="C14790" t="s">
        <v>24</v>
      </c>
      <c r="D14790" s="2">
        <v>2043.84</v>
      </c>
      <c r="E14790" s="2">
        <v>0</v>
      </c>
      <c r="F14790" t="s">
        <v>8</v>
      </c>
      <c r="G14790" t="s">
        <v>9</v>
      </c>
    </row>
    <row r="14791" spans="1:7" x14ac:dyDescent="0.35">
      <c r="A14791">
        <v>5880</v>
      </c>
      <c r="B14791" s="1">
        <v>45974</v>
      </c>
      <c r="C14791" t="s">
        <v>24</v>
      </c>
      <c r="D14791" s="2">
        <v>0</v>
      </c>
      <c r="E14791" s="2">
        <v>2043.84</v>
      </c>
      <c r="F14791" t="s">
        <v>13</v>
      </c>
      <c r="G14791" t="s">
        <v>9</v>
      </c>
    </row>
    <row r="14792" spans="1:7" x14ac:dyDescent="0.35">
      <c r="A14792">
        <v>5881</v>
      </c>
      <c r="B14792" s="1">
        <v>45974</v>
      </c>
      <c r="C14792" t="s">
        <v>24</v>
      </c>
      <c r="D14792" s="2">
        <v>2518.5700000000002</v>
      </c>
      <c r="E14792" s="2">
        <v>0</v>
      </c>
      <c r="F14792" t="s">
        <v>8</v>
      </c>
      <c r="G14792" t="s">
        <v>9</v>
      </c>
    </row>
    <row r="14793" spans="1:7" x14ac:dyDescent="0.35">
      <c r="A14793">
        <v>5881</v>
      </c>
      <c r="B14793" s="1">
        <v>45974</v>
      </c>
      <c r="C14793" t="s">
        <v>24</v>
      </c>
      <c r="D14793" s="2">
        <v>0</v>
      </c>
      <c r="E14793" s="2">
        <v>2518.5700000000002</v>
      </c>
      <c r="F14793" t="s">
        <v>13</v>
      </c>
      <c r="G14793" t="s">
        <v>9</v>
      </c>
    </row>
    <row r="14794" spans="1:7" x14ac:dyDescent="0.35">
      <c r="A14794">
        <v>5882</v>
      </c>
      <c r="B14794" s="1">
        <v>45974</v>
      </c>
      <c r="C14794" t="s">
        <v>24</v>
      </c>
      <c r="D14794" s="2">
        <v>4347.09</v>
      </c>
      <c r="E14794" s="2">
        <v>0</v>
      </c>
      <c r="F14794" t="s">
        <v>8</v>
      </c>
      <c r="G14794" t="s">
        <v>9</v>
      </c>
    </row>
    <row r="14795" spans="1:7" x14ac:dyDescent="0.35">
      <c r="A14795">
        <v>5882</v>
      </c>
      <c r="B14795" s="1">
        <v>45974</v>
      </c>
      <c r="C14795" t="s">
        <v>24</v>
      </c>
      <c r="D14795" s="2">
        <v>0</v>
      </c>
      <c r="E14795" s="2">
        <v>4347.09</v>
      </c>
      <c r="F14795" t="s">
        <v>13</v>
      </c>
      <c r="G14795" t="s">
        <v>9</v>
      </c>
    </row>
    <row r="14796" spans="1:7" x14ac:dyDescent="0.35">
      <c r="A14796">
        <v>5883</v>
      </c>
      <c r="B14796" s="1">
        <v>45974</v>
      </c>
      <c r="C14796" t="s">
        <v>24</v>
      </c>
      <c r="D14796" s="2">
        <v>650.89</v>
      </c>
      <c r="E14796" s="2">
        <v>0</v>
      </c>
      <c r="F14796" t="s">
        <v>8</v>
      </c>
      <c r="G14796" t="s">
        <v>9</v>
      </c>
    </row>
    <row r="14797" spans="1:7" x14ac:dyDescent="0.35">
      <c r="A14797">
        <v>5883</v>
      </c>
      <c r="B14797" s="1">
        <v>45974</v>
      </c>
      <c r="C14797" t="s">
        <v>24</v>
      </c>
      <c r="D14797" s="2">
        <v>0</v>
      </c>
      <c r="E14797" s="2">
        <v>650.89</v>
      </c>
      <c r="F14797" t="s">
        <v>13</v>
      </c>
      <c r="G14797" t="s">
        <v>9</v>
      </c>
    </row>
    <row r="14798" spans="1:7" x14ac:dyDescent="0.35">
      <c r="A14798">
        <v>5884</v>
      </c>
      <c r="B14798" s="1">
        <v>45974</v>
      </c>
      <c r="C14798" t="s">
        <v>25</v>
      </c>
      <c r="D14798" s="2">
        <v>383.76</v>
      </c>
      <c r="E14798" s="2">
        <v>0</v>
      </c>
      <c r="F14798" t="s">
        <v>26</v>
      </c>
      <c r="G14798" t="s">
        <v>20</v>
      </c>
    </row>
    <row r="14799" spans="1:7" x14ac:dyDescent="0.35">
      <c r="A14799">
        <v>5884</v>
      </c>
      <c r="B14799" s="1">
        <v>45974</v>
      </c>
      <c r="C14799" t="s">
        <v>25</v>
      </c>
      <c r="D14799" s="2">
        <v>28.78</v>
      </c>
      <c r="E14799" s="2">
        <v>0</v>
      </c>
      <c r="F14799" t="s">
        <v>27</v>
      </c>
      <c r="G14799" t="s">
        <v>9</v>
      </c>
    </row>
    <row r="14800" spans="1:7" x14ac:dyDescent="0.35">
      <c r="A14800">
        <v>5884</v>
      </c>
      <c r="B14800" s="1">
        <v>45974</v>
      </c>
      <c r="C14800" t="s">
        <v>25</v>
      </c>
      <c r="D14800" s="2">
        <v>0</v>
      </c>
      <c r="E14800" s="2">
        <v>412.54</v>
      </c>
      <c r="F14800" t="s">
        <v>28</v>
      </c>
      <c r="G14800" t="s">
        <v>17</v>
      </c>
    </row>
    <row r="14801" spans="1:7" x14ac:dyDescent="0.35">
      <c r="A14801">
        <v>5885</v>
      </c>
      <c r="B14801" s="1">
        <v>45974</v>
      </c>
      <c r="C14801" t="s">
        <v>29</v>
      </c>
      <c r="D14801" s="2">
        <v>2635.36</v>
      </c>
      <c r="E14801" s="2">
        <v>0</v>
      </c>
      <c r="F14801" t="s">
        <v>28</v>
      </c>
      <c r="G14801" t="s">
        <v>17</v>
      </c>
    </row>
    <row r="14802" spans="1:7" x14ac:dyDescent="0.35">
      <c r="A14802">
        <v>5885</v>
      </c>
      <c r="B14802" s="1">
        <v>45974</v>
      </c>
      <c r="C14802" t="s">
        <v>29</v>
      </c>
      <c r="D14802" s="2">
        <v>0</v>
      </c>
      <c r="E14802" s="2">
        <v>2635.36</v>
      </c>
      <c r="F14802" t="s">
        <v>8</v>
      </c>
      <c r="G14802" t="s">
        <v>9</v>
      </c>
    </row>
    <row r="14803" spans="1:7" x14ac:dyDescent="0.35">
      <c r="A14803">
        <v>5886</v>
      </c>
      <c r="B14803" s="1">
        <v>45974</v>
      </c>
      <c r="C14803" t="s">
        <v>29</v>
      </c>
      <c r="D14803" s="2">
        <v>9336.67</v>
      </c>
      <c r="E14803" s="2">
        <v>0</v>
      </c>
      <c r="F14803" t="s">
        <v>28</v>
      </c>
      <c r="G14803" t="s">
        <v>17</v>
      </c>
    </row>
    <row r="14804" spans="1:7" x14ac:dyDescent="0.35">
      <c r="A14804">
        <v>5886</v>
      </c>
      <c r="B14804" s="1">
        <v>45974</v>
      </c>
      <c r="C14804" t="s">
        <v>29</v>
      </c>
      <c r="D14804" s="2">
        <v>0</v>
      </c>
      <c r="E14804" s="2">
        <v>9336.67</v>
      </c>
      <c r="F14804" t="s">
        <v>8</v>
      </c>
      <c r="G14804" t="s">
        <v>9</v>
      </c>
    </row>
    <row r="14805" spans="1:7" x14ac:dyDescent="0.35">
      <c r="A14805">
        <v>5887</v>
      </c>
      <c r="B14805" s="1">
        <v>45974</v>
      </c>
      <c r="C14805" t="s">
        <v>29</v>
      </c>
      <c r="D14805" s="2">
        <v>276.32</v>
      </c>
      <c r="E14805" s="2">
        <v>0</v>
      </c>
      <c r="F14805" t="s">
        <v>28</v>
      </c>
      <c r="G14805" t="s">
        <v>17</v>
      </c>
    </row>
    <row r="14806" spans="1:7" x14ac:dyDescent="0.35">
      <c r="A14806">
        <v>5887</v>
      </c>
      <c r="B14806" s="1">
        <v>45974</v>
      </c>
      <c r="C14806" t="s">
        <v>29</v>
      </c>
      <c r="D14806" s="2">
        <v>0</v>
      </c>
      <c r="E14806" s="2">
        <v>276.32</v>
      </c>
      <c r="F14806" t="s">
        <v>8</v>
      </c>
      <c r="G14806" t="s">
        <v>9</v>
      </c>
    </row>
    <row r="14807" spans="1:7" x14ac:dyDescent="0.35">
      <c r="A14807">
        <v>5888</v>
      </c>
      <c r="B14807" s="1">
        <v>45974</v>
      </c>
      <c r="C14807" t="s">
        <v>29</v>
      </c>
      <c r="D14807" s="2">
        <v>2504.23</v>
      </c>
      <c r="E14807" s="2">
        <v>0</v>
      </c>
      <c r="F14807" t="s">
        <v>28</v>
      </c>
      <c r="G14807" t="s">
        <v>17</v>
      </c>
    </row>
    <row r="14808" spans="1:7" x14ac:dyDescent="0.35">
      <c r="A14808">
        <v>5888</v>
      </c>
      <c r="B14808" s="1">
        <v>45974</v>
      </c>
      <c r="C14808" t="s">
        <v>29</v>
      </c>
      <c r="D14808" s="2">
        <v>0</v>
      </c>
      <c r="E14808" s="2">
        <v>2504.23</v>
      </c>
      <c r="F14808" t="s">
        <v>8</v>
      </c>
      <c r="G14808" t="s">
        <v>9</v>
      </c>
    </row>
    <row r="14809" spans="1:7" x14ac:dyDescent="0.35">
      <c r="A14809">
        <v>5889</v>
      </c>
      <c r="B14809" s="1">
        <v>45975</v>
      </c>
      <c r="C14809" t="s">
        <v>12</v>
      </c>
      <c r="D14809" s="2">
        <v>2005.98</v>
      </c>
      <c r="E14809" s="2">
        <v>0</v>
      </c>
      <c r="F14809" t="s">
        <v>13</v>
      </c>
      <c r="G14809" t="s">
        <v>9</v>
      </c>
    </row>
    <row r="14810" spans="1:7" x14ac:dyDescent="0.35">
      <c r="A14810">
        <v>5889</v>
      </c>
      <c r="B14810" s="1">
        <v>45975</v>
      </c>
      <c r="C14810" t="s">
        <v>12</v>
      </c>
      <c r="D14810" s="2">
        <v>0</v>
      </c>
      <c r="E14810" s="2">
        <v>1866.03</v>
      </c>
      <c r="F14810" t="s">
        <v>14</v>
      </c>
      <c r="G14810" t="s">
        <v>15</v>
      </c>
    </row>
    <row r="14811" spans="1:7" x14ac:dyDescent="0.35">
      <c r="A14811">
        <v>5889</v>
      </c>
      <c r="B14811" s="1">
        <v>45975</v>
      </c>
      <c r="C14811" t="s">
        <v>12</v>
      </c>
      <c r="D14811" s="2">
        <v>0</v>
      </c>
      <c r="E14811" s="2">
        <v>139.94999999999999</v>
      </c>
      <c r="F14811" t="s">
        <v>16</v>
      </c>
      <c r="G14811" t="s">
        <v>17</v>
      </c>
    </row>
    <row r="14812" spans="1:7" x14ac:dyDescent="0.35">
      <c r="A14812">
        <v>5890</v>
      </c>
      <c r="B14812" s="1">
        <v>45975</v>
      </c>
      <c r="C14812" t="s">
        <v>12</v>
      </c>
      <c r="D14812" s="2">
        <v>1657.34</v>
      </c>
      <c r="E14812" s="2">
        <v>0</v>
      </c>
      <c r="F14812" t="s">
        <v>13</v>
      </c>
      <c r="G14812" t="s">
        <v>9</v>
      </c>
    </row>
    <row r="14813" spans="1:7" x14ac:dyDescent="0.35">
      <c r="A14813">
        <v>5890</v>
      </c>
      <c r="B14813" s="1">
        <v>45975</v>
      </c>
      <c r="C14813" t="s">
        <v>12</v>
      </c>
      <c r="D14813" s="2">
        <v>0</v>
      </c>
      <c r="E14813" s="2">
        <v>1541.71</v>
      </c>
      <c r="F14813" t="s">
        <v>14</v>
      </c>
      <c r="G14813" t="s">
        <v>15</v>
      </c>
    </row>
    <row r="14814" spans="1:7" x14ac:dyDescent="0.35">
      <c r="A14814">
        <v>5890</v>
      </c>
      <c r="B14814" s="1">
        <v>45975</v>
      </c>
      <c r="C14814" t="s">
        <v>12</v>
      </c>
      <c r="D14814" s="2">
        <v>0</v>
      </c>
      <c r="E14814" s="2">
        <v>115.63</v>
      </c>
      <c r="F14814" t="s">
        <v>16</v>
      </c>
      <c r="G14814" t="s">
        <v>17</v>
      </c>
    </row>
    <row r="14815" spans="1:7" x14ac:dyDescent="0.35">
      <c r="A14815">
        <v>5891</v>
      </c>
      <c r="B14815" s="1">
        <v>45975</v>
      </c>
      <c r="C14815" t="s">
        <v>12</v>
      </c>
      <c r="D14815" s="2">
        <v>481.97</v>
      </c>
      <c r="E14815" s="2">
        <v>0</v>
      </c>
      <c r="F14815" t="s">
        <v>13</v>
      </c>
      <c r="G14815" t="s">
        <v>9</v>
      </c>
    </row>
    <row r="14816" spans="1:7" x14ac:dyDescent="0.35">
      <c r="A14816">
        <v>5891</v>
      </c>
      <c r="B14816" s="1">
        <v>45975</v>
      </c>
      <c r="C14816" t="s">
        <v>12</v>
      </c>
      <c r="D14816" s="2">
        <v>0</v>
      </c>
      <c r="E14816" s="2">
        <v>448.35</v>
      </c>
      <c r="F14816" t="s">
        <v>14</v>
      </c>
      <c r="G14816" t="s">
        <v>15</v>
      </c>
    </row>
    <row r="14817" spans="1:7" x14ac:dyDescent="0.35">
      <c r="A14817">
        <v>5891</v>
      </c>
      <c r="B14817" s="1">
        <v>45975</v>
      </c>
      <c r="C14817" t="s">
        <v>12</v>
      </c>
      <c r="D14817" s="2">
        <v>0</v>
      </c>
      <c r="E14817" s="2">
        <v>33.619999999999997</v>
      </c>
      <c r="F14817" t="s">
        <v>16</v>
      </c>
      <c r="G14817" t="s">
        <v>17</v>
      </c>
    </row>
    <row r="14818" spans="1:7" x14ac:dyDescent="0.35">
      <c r="A14818">
        <v>5892</v>
      </c>
      <c r="B14818" s="1">
        <v>45975</v>
      </c>
      <c r="C14818" t="s">
        <v>12</v>
      </c>
      <c r="D14818" s="2">
        <v>381.05</v>
      </c>
      <c r="E14818" s="2">
        <v>0</v>
      </c>
      <c r="F14818" t="s">
        <v>13</v>
      </c>
      <c r="G14818" t="s">
        <v>9</v>
      </c>
    </row>
    <row r="14819" spans="1:7" x14ac:dyDescent="0.35">
      <c r="A14819">
        <v>5892</v>
      </c>
      <c r="B14819" s="1">
        <v>45975</v>
      </c>
      <c r="C14819" t="s">
        <v>12</v>
      </c>
      <c r="D14819" s="2">
        <v>0</v>
      </c>
      <c r="E14819" s="2">
        <v>354.46</v>
      </c>
      <c r="F14819" t="s">
        <v>14</v>
      </c>
      <c r="G14819" t="s">
        <v>15</v>
      </c>
    </row>
    <row r="14820" spans="1:7" x14ac:dyDescent="0.35">
      <c r="A14820">
        <v>5892</v>
      </c>
      <c r="B14820" s="1">
        <v>45975</v>
      </c>
      <c r="C14820" t="s">
        <v>12</v>
      </c>
      <c r="D14820" s="2">
        <v>0</v>
      </c>
      <c r="E14820" s="2">
        <v>26.59</v>
      </c>
      <c r="F14820" t="s">
        <v>16</v>
      </c>
      <c r="G14820" t="s">
        <v>17</v>
      </c>
    </row>
    <row r="14821" spans="1:7" x14ac:dyDescent="0.35">
      <c r="A14821">
        <v>5893</v>
      </c>
      <c r="B14821" s="1">
        <v>45975</v>
      </c>
      <c r="C14821" t="s">
        <v>12</v>
      </c>
      <c r="D14821" s="2">
        <v>2736.74</v>
      </c>
      <c r="E14821" s="2">
        <v>0</v>
      </c>
      <c r="F14821" t="s">
        <v>13</v>
      </c>
      <c r="G14821" t="s">
        <v>9</v>
      </c>
    </row>
    <row r="14822" spans="1:7" x14ac:dyDescent="0.35">
      <c r="A14822">
        <v>5893</v>
      </c>
      <c r="B14822" s="1">
        <v>45975</v>
      </c>
      <c r="C14822" t="s">
        <v>12</v>
      </c>
      <c r="D14822" s="2">
        <v>0</v>
      </c>
      <c r="E14822" s="2">
        <v>2545.8000000000002</v>
      </c>
      <c r="F14822" t="s">
        <v>14</v>
      </c>
      <c r="G14822" t="s">
        <v>15</v>
      </c>
    </row>
    <row r="14823" spans="1:7" x14ac:dyDescent="0.35">
      <c r="A14823">
        <v>5893</v>
      </c>
      <c r="B14823" s="1">
        <v>45975</v>
      </c>
      <c r="C14823" t="s">
        <v>12</v>
      </c>
      <c r="D14823" s="2">
        <v>0</v>
      </c>
      <c r="E14823" s="2">
        <v>190.94</v>
      </c>
      <c r="F14823" t="s">
        <v>16</v>
      </c>
      <c r="G14823" t="s">
        <v>17</v>
      </c>
    </row>
    <row r="14824" spans="1:7" x14ac:dyDescent="0.35">
      <c r="A14824">
        <v>5894</v>
      </c>
      <c r="B14824" s="1">
        <v>45975</v>
      </c>
      <c r="C14824" t="s">
        <v>12</v>
      </c>
      <c r="D14824" s="2">
        <v>4426.71</v>
      </c>
      <c r="E14824" s="2">
        <v>0</v>
      </c>
      <c r="F14824" t="s">
        <v>13</v>
      </c>
      <c r="G14824" t="s">
        <v>9</v>
      </c>
    </row>
    <row r="14825" spans="1:7" x14ac:dyDescent="0.35">
      <c r="A14825">
        <v>5894</v>
      </c>
      <c r="B14825" s="1">
        <v>45975</v>
      </c>
      <c r="C14825" t="s">
        <v>12</v>
      </c>
      <c r="D14825" s="2">
        <v>0</v>
      </c>
      <c r="E14825" s="2">
        <v>4117.87</v>
      </c>
      <c r="F14825" t="s">
        <v>14</v>
      </c>
      <c r="G14825" t="s">
        <v>15</v>
      </c>
    </row>
    <row r="14826" spans="1:7" x14ac:dyDescent="0.35">
      <c r="A14826">
        <v>5894</v>
      </c>
      <c r="B14826" s="1">
        <v>45975</v>
      </c>
      <c r="C14826" t="s">
        <v>12</v>
      </c>
      <c r="D14826" s="2">
        <v>0</v>
      </c>
      <c r="E14826" s="2">
        <v>308.83999999999997</v>
      </c>
      <c r="F14826" t="s">
        <v>16</v>
      </c>
      <c r="G14826" t="s">
        <v>17</v>
      </c>
    </row>
    <row r="14827" spans="1:7" x14ac:dyDescent="0.35">
      <c r="A14827">
        <v>5895</v>
      </c>
      <c r="B14827" s="1">
        <v>45975</v>
      </c>
      <c r="C14827" t="s">
        <v>12</v>
      </c>
      <c r="D14827" s="2">
        <v>865.52</v>
      </c>
      <c r="E14827" s="2">
        <v>0</v>
      </c>
      <c r="F14827" t="s">
        <v>13</v>
      </c>
      <c r="G14827" t="s">
        <v>9</v>
      </c>
    </row>
    <row r="14828" spans="1:7" x14ac:dyDescent="0.35">
      <c r="A14828">
        <v>5895</v>
      </c>
      <c r="B14828" s="1">
        <v>45975</v>
      </c>
      <c r="C14828" t="s">
        <v>12</v>
      </c>
      <c r="D14828" s="2">
        <v>0</v>
      </c>
      <c r="E14828" s="2">
        <v>805.14</v>
      </c>
      <c r="F14828" t="s">
        <v>14</v>
      </c>
      <c r="G14828" t="s">
        <v>15</v>
      </c>
    </row>
    <row r="14829" spans="1:7" x14ac:dyDescent="0.35">
      <c r="A14829">
        <v>5895</v>
      </c>
      <c r="B14829" s="1">
        <v>45975</v>
      </c>
      <c r="C14829" t="s">
        <v>12</v>
      </c>
      <c r="D14829" s="2">
        <v>0</v>
      </c>
      <c r="E14829" s="2">
        <v>60.38</v>
      </c>
      <c r="F14829" t="s">
        <v>16</v>
      </c>
      <c r="G14829" t="s">
        <v>17</v>
      </c>
    </row>
    <row r="14830" spans="1:7" x14ac:dyDescent="0.35">
      <c r="A14830">
        <v>5896</v>
      </c>
      <c r="B14830" s="1">
        <v>45975</v>
      </c>
      <c r="C14830" t="s">
        <v>24</v>
      </c>
      <c r="D14830" s="2">
        <v>6204.62</v>
      </c>
      <c r="E14830" s="2">
        <v>0</v>
      </c>
      <c r="F14830" t="s">
        <v>8</v>
      </c>
      <c r="G14830" t="s">
        <v>9</v>
      </c>
    </row>
    <row r="14831" spans="1:7" x14ac:dyDescent="0.35">
      <c r="A14831">
        <v>5896</v>
      </c>
      <c r="B14831" s="1">
        <v>45975</v>
      </c>
      <c r="C14831" t="s">
        <v>24</v>
      </c>
      <c r="D14831" s="2">
        <v>0</v>
      </c>
      <c r="E14831" s="2">
        <v>6204.62</v>
      </c>
      <c r="F14831" t="s">
        <v>13</v>
      </c>
      <c r="G14831" t="s">
        <v>9</v>
      </c>
    </row>
    <row r="14832" spans="1:7" x14ac:dyDescent="0.35">
      <c r="A14832">
        <v>5897</v>
      </c>
      <c r="B14832" s="1">
        <v>45975</v>
      </c>
      <c r="C14832" t="s">
        <v>24</v>
      </c>
      <c r="D14832" s="2">
        <v>3286.1</v>
      </c>
      <c r="E14832" s="2">
        <v>0</v>
      </c>
      <c r="F14832" t="s">
        <v>8</v>
      </c>
      <c r="G14832" t="s">
        <v>9</v>
      </c>
    </row>
    <row r="14833" spans="1:7" x14ac:dyDescent="0.35">
      <c r="A14833">
        <v>5897</v>
      </c>
      <c r="B14833" s="1">
        <v>45975</v>
      </c>
      <c r="C14833" t="s">
        <v>24</v>
      </c>
      <c r="D14833" s="2">
        <v>0</v>
      </c>
      <c r="E14833" s="2">
        <v>3286.1</v>
      </c>
      <c r="F14833" t="s">
        <v>13</v>
      </c>
      <c r="G14833" t="s">
        <v>9</v>
      </c>
    </row>
    <row r="14834" spans="1:7" x14ac:dyDescent="0.35">
      <c r="A14834">
        <v>5898</v>
      </c>
      <c r="B14834" s="1">
        <v>45975</v>
      </c>
      <c r="C14834" t="s">
        <v>24</v>
      </c>
      <c r="D14834" s="2">
        <v>4690.79</v>
      </c>
      <c r="E14834" s="2">
        <v>0</v>
      </c>
      <c r="F14834" t="s">
        <v>8</v>
      </c>
      <c r="G14834" t="s">
        <v>9</v>
      </c>
    </row>
    <row r="14835" spans="1:7" x14ac:dyDescent="0.35">
      <c r="A14835">
        <v>5898</v>
      </c>
      <c r="B14835" s="1">
        <v>45975</v>
      </c>
      <c r="C14835" t="s">
        <v>24</v>
      </c>
      <c r="D14835" s="2">
        <v>0</v>
      </c>
      <c r="E14835" s="2">
        <v>4690.79</v>
      </c>
      <c r="F14835" t="s">
        <v>13</v>
      </c>
      <c r="G14835" t="s">
        <v>9</v>
      </c>
    </row>
    <row r="14836" spans="1:7" x14ac:dyDescent="0.35">
      <c r="A14836">
        <v>5899</v>
      </c>
      <c r="B14836" s="1">
        <v>45975</v>
      </c>
      <c r="C14836" t="s">
        <v>24</v>
      </c>
      <c r="D14836" s="2">
        <v>2866.49</v>
      </c>
      <c r="E14836" s="2">
        <v>0</v>
      </c>
      <c r="F14836" t="s">
        <v>8</v>
      </c>
      <c r="G14836" t="s">
        <v>9</v>
      </c>
    </row>
    <row r="14837" spans="1:7" x14ac:dyDescent="0.35">
      <c r="A14837">
        <v>5899</v>
      </c>
      <c r="B14837" s="1">
        <v>45975</v>
      </c>
      <c r="C14837" t="s">
        <v>24</v>
      </c>
      <c r="D14837" s="2">
        <v>0</v>
      </c>
      <c r="E14837" s="2">
        <v>2866.49</v>
      </c>
      <c r="F14837" t="s">
        <v>13</v>
      </c>
      <c r="G14837" t="s">
        <v>9</v>
      </c>
    </row>
    <row r="14838" spans="1:7" x14ac:dyDescent="0.35">
      <c r="A14838">
        <v>5900</v>
      </c>
      <c r="B14838" s="1">
        <v>45975</v>
      </c>
      <c r="C14838" t="s">
        <v>24</v>
      </c>
      <c r="D14838" s="2">
        <v>623.58000000000004</v>
      </c>
      <c r="E14838" s="2">
        <v>0</v>
      </c>
      <c r="F14838" t="s">
        <v>8</v>
      </c>
      <c r="G14838" t="s">
        <v>9</v>
      </c>
    </row>
    <row r="14839" spans="1:7" x14ac:dyDescent="0.35">
      <c r="A14839">
        <v>5900</v>
      </c>
      <c r="B14839" s="1">
        <v>45975</v>
      </c>
      <c r="C14839" t="s">
        <v>24</v>
      </c>
      <c r="D14839" s="2">
        <v>0</v>
      </c>
      <c r="E14839" s="2">
        <v>623.58000000000004</v>
      </c>
      <c r="F14839" t="s">
        <v>13</v>
      </c>
      <c r="G14839" t="s">
        <v>9</v>
      </c>
    </row>
    <row r="14840" spans="1:7" x14ac:dyDescent="0.35">
      <c r="A14840">
        <v>5901</v>
      </c>
      <c r="B14840" s="1">
        <v>45975</v>
      </c>
      <c r="C14840" t="s">
        <v>24</v>
      </c>
      <c r="D14840" s="2">
        <v>3487.51</v>
      </c>
      <c r="E14840" s="2">
        <v>0</v>
      </c>
      <c r="F14840" t="s">
        <v>8</v>
      </c>
      <c r="G14840" t="s">
        <v>9</v>
      </c>
    </row>
    <row r="14841" spans="1:7" x14ac:dyDescent="0.35">
      <c r="A14841">
        <v>5901</v>
      </c>
      <c r="B14841" s="1">
        <v>45975</v>
      </c>
      <c r="C14841" t="s">
        <v>24</v>
      </c>
      <c r="D14841" s="2">
        <v>0</v>
      </c>
      <c r="E14841" s="2">
        <v>3487.51</v>
      </c>
      <c r="F14841" t="s">
        <v>13</v>
      </c>
      <c r="G14841" t="s">
        <v>9</v>
      </c>
    </row>
    <row r="14842" spans="1:7" x14ac:dyDescent="0.35">
      <c r="A14842">
        <v>5902</v>
      </c>
      <c r="B14842" s="1">
        <v>45975</v>
      </c>
      <c r="C14842" t="s">
        <v>24</v>
      </c>
      <c r="D14842" s="2">
        <v>3619.04</v>
      </c>
      <c r="E14842" s="2">
        <v>0</v>
      </c>
      <c r="F14842" t="s">
        <v>8</v>
      </c>
      <c r="G14842" t="s">
        <v>9</v>
      </c>
    </row>
    <row r="14843" spans="1:7" x14ac:dyDescent="0.35">
      <c r="A14843">
        <v>5902</v>
      </c>
      <c r="B14843" s="1">
        <v>45975</v>
      </c>
      <c r="C14843" t="s">
        <v>24</v>
      </c>
      <c r="D14843" s="2">
        <v>0</v>
      </c>
      <c r="E14843" s="2">
        <v>3619.04</v>
      </c>
      <c r="F14843" t="s">
        <v>13</v>
      </c>
      <c r="G14843" t="s">
        <v>9</v>
      </c>
    </row>
    <row r="14844" spans="1:7" x14ac:dyDescent="0.35">
      <c r="A14844">
        <v>5903</v>
      </c>
      <c r="B14844" s="1">
        <v>45975</v>
      </c>
      <c r="C14844" t="s">
        <v>24</v>
      </c>
      <c r="D14844" s="2">
        <v>4691.45</v>
      </c>
      <c r="E14844" s="2">
        <v>0</v>
      </c>
      <c r="F14844" t="s">
        <v>8</v>
      </c>
      <c r="G14844" t="s">
        <v>9</v>
      </c>
    </row>
    <row r="14845" spans="1:7" x14ac:dyDescent="0.35">
      <c r="A14845">
        <v>5903</v>
      </c>
      <c r="B14845" s="1">
        <v>45975</v>
      </c>
      <c r="C14845" t="s">
        <v>24</v>
      </c>
      <c r="D14845" s="2">
        <v>0</v>
      </c>
      <c r="E14845" s="2">
        <v>4691.45</v>
      </c>
      <c r="F14845" t="s">
        <v>13</v>
      </c>
      <c r="G14845" t="s">
        <v>9</v>
      </c>
    </row>
    <row r="14846" spans="1:7" x14ac:dyDescent="0.35">
      <c r="A14846">
        <v>5904</v>
      </c>
      <c r="B14846" s="1">
        <v>45975</v>
      </c>
      <c r="C14846" t="s">
        <v>24</v>
      </c>
      <c r="D14846" s="2">
        <v>195.63</v>
      </c>
      <c r="E14846" s="2">
        <v>0</v>
      </c>
      <c r="F14846" t="s">
        <v>8</v>
      </c>
      <c r="G14846" t="s">
        <v>9</v>
      </c>
    </row>
    <row r="14847" spans="1:7" x14ac:dyDescent="0.35">
      <c r="A14847">
        <v>5904</v>
      </c>
      <c r="B14847" s="1">
        <v>45975</v>
      </c>
      <c r="C14847" t="s">
        <v>24</v>
      </c>
      <c r="D14847" s="2">
        <v>0</v>
      </c>
      <c r="E14847" s="2">
        <v>195.63</v>
      </c>
      <c r="F14847" t="s">
        <v>13</v>
      </c>
      <c r="G14847" t="s">
        <v>9</v>
      </c>
    </row>
    <row r="14848" spans="1:7" x14ac:dyDescent="0.35">
      <c r="A14848">
        <v>5905</v>
      </c>
      <c r="B14848" s="1">
        <v>45975</v>
      </c>
      <c r="C14848" t="s">
        <v>29</v>
      </c>
      <c r="D14848" s="2">
        <v>2182.41</v>
      </c>
      <c r="E14848" s="2">
        <v>0</v>
      </c>
      <c r="F14848" t="s">
        <v>28</v>
      </c>
      <c r="G14848" t="s">
        <v>17</v>
      </c>
    </row>
    <row r="14849" spans="1:7" x14ac:dyDescent="0.35">
      <c r="A14849">
        <v>5905</v>
      </c>
      <c r="B14849" s="1">
        <v>45975</v>
      </c>
      <c r="C14849" t="s">
        <v>29</v>
      </c>
      <c r="D14849" s="2">
        <v>0</v>
      </c>
      <c r="E14849" s="2">
        <v>2182.41</v>
      </c>
      <c r="F14849" t="s">
        <v>8</v>
      </c>
      <c r="G14849" t="s">
        <v>9</v>
      </c>
    </row>
    <row r="14850" spans="1:7" x14ac:dyDescent="0.35">
      <c r="A14850">
        <v>5906</v>
      </c>
      <c r="B14850" s="1">
        <v>45975</v>
      </c>
      <c r="C14850" t="s">
        <v>29</v>
      </c>
      <c r="D14850" s="2">
        <v>2918.17</v>
      </c>
      <c r="E14850" s="2">
        <v>0</v>
      </c>
      <c r="F14850" t="s">
        <v>28</v>
      </c>
      <c r="G14850" t="s">
        <v>17</v>
      </c>
    </row>
    <row r="14851" spans="1:7" x14ac:dyDescent="0.35">
      <c r="A14851">
        <v>5906</v>
      </c>
      <c r="B14851" s="1">
        <v>45975</v>
      </c>
      <c r="C14851" t="s">
        <v>29</v>
      </c>
      <c r="D14851" s="2">
        <v>0</v>
      </c>
      <c r="E14851" s="2">
        <v>2918.17</v>
      </c>
      <c r="F14851" t="s">
        <v>8</v>
      </c>
      <c r="G14851" t="s">
        <v>9</v>
      </c>
    </row>
    <row r="14852" spans="1:7" x14ac:dyDescent="0.35">
      <c r="A14852">
        <v>5907</v>
      </c>
      <c r="B14852" s="1">
        <v>45978</v>
      </c>
      <c r="C14852" t="s">
        <v>12</v>
      </c>
      <c r="D14852" s="2">
        <v>2163.21</v>
      </c>
      <c r="E14852" s="2">
        <v>0</v>
      </c>
      <c r="F14852" t="s">
        <v>13</v>
      </c>
      <c r="G14852" t="s">
        <v>9</v>
      </c>
    </row>
    <row r="14853" spans="1:7" x14ac:dyDescent="0.35">
      <c r="A14853">
        <v>5907</v>
      </c>
      <c r="B14853" s="1">
        <v>45978</v>
      </c>
      <c r="C14853" t="s">
        <v>12</v>
      </c>
      <c r="D14853" s="2">
        <v>0</v>
      </c>
      <c r="E14853" s="2">
        <v>2012.29</v>
      </c>
      <c r="F14853" t="s">
        <v>14</v>
      </c>
      <c r="G14853" t="s">
        <v>15</v>
      </c>
    </row>
    <row r="14854" spans="1:7" x14ac:dyDescent="0.35">
      <c r="A14854">
        <v>5907</v>
      </c>
      <c r="B14854" s="1">
        <v>45978</v>
      </c>
      <c r="C14854" t="s">
        <v>12</v>
      </c>
      <c r="D14854" s="2">
        <v>0</v>
      </c>
      <c r="E14854" s="2">
        <v>150.91999999999999</v>
      </c>
      <c r="F14854" t="s">
        <v>16</v>
      </c>
      <c r="G14854" t="s">
        <v>17</v>
      </c>
    </row>
    <row r="14855" spans="1:7" x14ac:dyDescent="0.35">
      <c r="A14855">
        <v>5908</v>
      </c>
      <c r="B14855" s="1">
        <v>45978</v>
      </c>
      <c r="C14855" t="s">
        <v>12</v>
      </c>
      <c r="D14855" s="2">
        <v>3609.7</v>
      </c>
      <c r="E14855" s="2">
        <v>0</v>
      </c>
      <c r="F14855" t="s">
        <v>13</v>
      </c>
      <c r="G14855" t="s">
        <v>9</v>
      </c>
    </row>
    <row r="14856" spans="1:7" x14ac:dyDescent="0.35">
      <c r="A14856">
        <v>5908</v>
      </c>
      <c r="B14856" s="1">
        <v>45978</v>
      </c>
      <c r="C14856" t="s">
        <v>12</v>
      </c>
      <c r="D14856" s="2">
        <v>0</v>
      </c>
      <c r="E14856" s="2">
        <v>3357.86</v>
      </c>
      <c r="F14856" t="s">
        <v>14</v>
      </c>
      <c r="G14856" t="s">
        <v>15</v>
      </c>
    </row>
    <row r="14857" spans="1:7" x14ac:dyDescent="0.35">
      <c r="A14857">
        <v>5908</v>
      </c>
      <c r="B14857" s="1">
        <v>45978</v>
      </c>
      <c r="C14857" t="s">
        <v>12</v>
      </c>
      <c r="D14857" s="2">
        <v>0</v>
      </c>
      <c r="E14857" s="2">
        <v>251.84</v>
      </c>
      <c r="F14857" t="s">
        <v>16</v>
      </c>
      <c r="G14857" t="s">
        <v>17</v>
      </c>
    </row>
    <row r="14858" spans="1:7" x14ac:dyDescent="0.35">
      <c r="A14858">
        <v>5909</v>
      </c>
      <c r="B14858" s="1">
        <v>45978</v>
      </c>
      <c r="C14858" t="s">
        <v>12</v>
      </c>
      <c r="D14858" s="2">
        <v>2004.15</v>
      </c>
      <c r="E14858" s="2">
        <v>0</v>
      </c>
      <c r="F14858" t="s">
        <v>13</v>
      </c>
      <c r="G14858" t="s">
        <v>9</v>
      </c>
    </row>
    <row r="14859" spans="1:7" x14ac:dyDescent="0.35">
      <c r="A14859">
        <v>5909</v>
      </c>
      <c r="B14859" s="1">
        <v>45978</v>
      </c>
      <c r="C14859" t="s">
        <v>12</v>
      </c>
      <c r="D14859" s="2">
        <v>0</v>
      </c>
      <c r="E14859" s="2">
        <v>1864.33</v>
      </c>
      <c r="F14859" t="s">
        <v>14</v>
      </c>
      <c r="G14859" t="s">
        <v>15</v>
      </c>
    </row>
    <row r="14860" spans="1:7" x14ac:dyDescent="0.35">
      <c r="A14860">
        <v>5909</v>
      </c>
      <c r="B14860" s="1">
        <v>45978</v>
      </c>
      <c r="C14860" t="s">
        <v>12</v>
      </c>
      <c r="D14860" s="2">
        <v>0</v>
      </c>
      <c r="E14860" s="2">
        <v>139.82</v>
      </c>
      <c r="F14860" t="s">
        <v>16</v>
      </c>
      <c r="G14860" t="s">
        <v>17</v>
      </c>
    </row>
    <row r="14861" spans="1:7" x14ac:dyDescent="0.35">
      <c r="A14861">
        <v>5910</v>
      </c>
      <c r="B14861" s="1">
        <v>45978</v>
      </c>
      <c r="C14861" t="s">
        <v>12</v>
      </c>
      <c r="D14861" s="2">
        <v>1954.1</v>
      </c>
      <c r="E14861" s="2">
        <v>0</v>
      </c>
      <c r="F14861" t="s">
        <v>13</v>
      </c>
      <c r="G14861" t="s">
        <v>9</v>
      </c>
    </row>
    <row r="14862" spans="1:7" x14ac:dyDescent="0.35">
      <c r="A14862">
        <v>5910</v>
      </c>
      <c r="B14862" s="1">
        <v>45978</v>
      </c>
      <c r="C14862" t="s">
        <v>12</v>
      </c>
      <c r="D14862" s="2">
        <v>0</v>
      </c>
      <c r="E14862" s="2">
        <v>1817.76</v>
      </c>
      <c r="F14862" t="s">
        <v>14</v>
      </c>
      <c r="G14862" t="s">
        <v>15</v>
      </c>
    </row>
    <row r="14863" spans="1:7" x14ac:dyDescent="0.35">
      <c r="A14863">
        <v>5910</v>
      </c>
      <c r="B14863" s="1">
        <v>45978</v>
      </c>
      <c r="C14863" t="s">
        <v>12</v>
      </c>
      <c r="D14863" s="2">
        <v>0</v>
      </c>
      <c r="E14863" s="2">
        <v>136.34</v>
      </c>
      <c r="F14863" t="s">
        <v>16</v>
      </c>
      <c r="G14863" t="s">
        <v>17</v>
      </c>
    </row>
    <row r="14864" spans="1:7" x14ac:dyDescent="0.35">
      <c r="A14864">
        <v>5911</v>
      </c>
      <c r="B14864" s="1">
        <v>45978</v>
      </c>
      <c r="C14864" t="s">
        <v>12</v>
      </c>
      <c r="D14864" s="2">
        <v>2502.1</v>
      </c>
      <c r="E14864" s="2">
        <v>0</v>
      </c>
      <c r="F14864" t="s">
        <v>13</v>
      </c>
      <c r="G14864" t="s">
        <v>9</v>
      </c>
    </row>
    <row r="14865" spans="1:7" x14ac:dyDescent="0.35">
      <c r="A14865">
        <v>5911</v>
      </c>
      <c r="B14865" s="1">
        <v>45978</v>
      </c>
      <c r="C14865" t="s">
        <v>12</v>
      </c>
      <c r="D14865" s="2">
        <v>0</v>
      </c>
      <c r="E14865" s="2">
        <v>2327.5300000000002</v>
      </c>
      <c r="F14865" t="s">
        <v>14</v>
      </c>
      <c r="G14865" t="s">
        <v>15</v>
      </c>
    </row>
    <row r="14866" spans="1:7" x14ac:dyDescent="0.35">
      <c r="A14866">
        <v>5911</v>
      </c>
      <c r="B14866" s="1">
        <v>45978</v>
      </c>
      <c r="C14866" t="s">
        <v>12</v>
      </c>
      <c r="D14866" s="2">
        <v>0</v>
      </c>
      <c r="E14866" s="2">
        <v>174.57</v>
      </c>
      <c r="F14866" t="s">
        <v>16</v>
      </c>
      <c r="G14866" t="s">
        <v>17</v>
      </c>
    </row>
    <row r="14867" spans="1:7" x14ac:dyDescent="0.35">
      <c r="A14867">
        <v>5912</v>
      </c>
      <c r="B14867" s="1">
        <v>45978</v>
      </c>
      <c r="C14867" t="s">
        <v>12</v>
      </c>
      <c r="D14867" s="2">
        <v>2246.15</v>
      </c>
      <c r="E14867" s="2">
        <v>0</v>
      </c>
      <c r="F14867" t="s">
        <v>13</v>
      </c>
      <c r="G14867" t="s">
        <v>9</v>
      </c>
    </row>
    <row r="14868" spans="1:7" x14ac:dyDescent="0.35">
      <c r="A14868">
        <v>5912</v>
      </c>
      <c r="B14868" s="1">
        <v>45978</v>
      </c>
      <c r="C14868" t="s">
        <v>12</v>
      </c>
      <c r="D14868" s="2">
        <v>0</v>
      </c>
      <c r="E14868" s="2">
        <v>2089.4299999999998</v>
      </c>
      <c r="F14868" t="s">
        <v>14</v>
      </c>
      <c r="G14868" t="s">
        <v>15</v>
      </c>
    </row>
    <row r="14869" spans="1:7" x14ac:dyDescent="0.35">
      <c r="A14869">
        <v>5912</v>
      </c>
      <c r="B14869" s="1">
        <v>45978</v>
      </c>
      <c r="C14869" t="s">
        <v>12</v>
      </c>
      <c r="D14869" s="2">
        <v>0</v>
      </c>
      <c r="E14869" s="2">
        <v>156.72</v>
      </c>
      <c r="F14869" t="s">
        <v>16</v>
      </c>
      <c r="G14869" t="s">
        <v>17</v>
      </c>
    </row>
    <row r="14870" spans="1:7" x14ac:dyDescent="0.35">
      <c r="A14870">
        <v>5913</v>
      </c>
      <c r="B14870" s="1">
        <v>45978</v>
      </c>
      <c r="C14870" t="s">
        <v>12</v>
      </c>
      <c r="D14870" s="2">
        <v>4421.34</v>
      </c>
      <c r="E14870" s="2">
        <v>0</v>
      </c>
      <c r="F14870" t="s">
        <v>13</v>
      </c>
      <c r="G14870" t="s">
        <v>9</v>
      </c>
    </row>
    <row r="14871" spans="1:7" x14ac:dyDescent="0.35">
      <c r="A14871">
        <v>5913</v>
      </c>
      <c r="B14871" s="1">
        <v>45978</v>
      </c>
      <c r="C14871" t="s">
        <v>12</v>
      </c>
      <c r="D14871" s="2">
        <v>0</v>
      </c>
      <c r="E14871" s="2">
        <v>4112.88</v>
      </c>
      <c r="F14871" t="s">
        <v>14</v>
      </c>
      <c r="G14871" t="s">
        <v>15</v>
      </c>
    </row>
    <row r="14872" spans="1:7" x14ac:dyDescent="0.35">
      <c r="A14872">
        <v>5913</v>
      </c>
      <c r="B14872" s="1">
        <v>45978</v>
      </c>
      <c r="C14872" t="s">
        <v>12</v>
      </c>
      <c r="D14872" s="2">
        <v>0</v>
      </c>
      <c r="E14872" s="2">
        <v>308.45999999999998</v>
      </c>
      <c r="F14872" t="s">
        <v>16</v>
      </c>
      <c r="G14872" t="s">
        <v>17</v>
      </c>
    </row>
    <row r="14873" spans="1:7" x14ac:dyDescent="0.35">
      <c r="A14873">
        <v>5914</v>
      </c>
      <c r="B14873" s="1">
        <v>45978</v>
      </c>
      <c r="C14873" t="s">
        <v>12</v>
      </c>
      <c r="D14873" s="2">
        <v>6261.36</v>
      </c>
      <c r="E14873" s="2">
        <v>0</v>
      </c>
      <c r="F14873" t="s">
        <v>13</v>
      </c>
      <c r="G14873" t="s">
        <v>9</v>
      </c>
    </row>
    <row r="14874" spans="1:7" x14ac:dyDescent="0.35">
      <c r="A14874">
        <v>5914</v>
      </c>
      <c r="B14874" s="1">
        <v>45978</v>
      </c>
      <c r="C14874" t="s">
        <v>12</v>
      </c>
      <c r="D14874" s="2">
        <v>0</v>
      </c>
      <c r="E14874" s="2">
        <v>5824.53</v>
      </c>
      <c r="F14874" t="s">
        <v>14</v>
      </c>
      <c r="G14874" t="s">
        <v>15</v>
      </c>
    </row>
    <row r="14875" spans="1:7" x14ac:dyDescent="0.35">
      <c r="A14875">
        <v>5914</v>
      </c>
      <c r="B14875" s="1">
        <v>45978</v>
      </c>
      <c r="C14875" t="s">
        <v>12</v>
      </c>
      <c r="D14875" s="2">
        <v>0</v>
      </c>
      <c r="E14875" s="2">
        <v>436.83</v>
      </c>
      <c r="F14875" t="s">
        <v>16</v>
      </c>
      <c r="G14875" t="s">
        <v>17</v>
      </c>
    </row>
    <row r="14876" spans="1:7" x14ac:dyDescent="0.35">
      <c r="A14876">
        <v>5915</v>
      </c>
      <c r="B14876" s="1">
        <v>45978</v>
      </c>
      <c r="C14876" t="s">
        <v>24</v>
      </c>
      <c r="D14876" s="2">
        <v>3493.41</v>
      </c>
      <c r="E14876" s="2">
        <v>0</v>
      </c>
      <c r="F14876" t="s">
        <v>8</v>
      </c>
      <c r="G14876" t="s">
        <v>9</v>
      </c>
    </row>
    <row r="14877" spans="1:7" x14ac:dyDescent="0.35">
      <c r="A14877">
        <v>5915</v>
      </c>
      <c r="B14877" s="1">
        <v>45978</v>
      </c>
      <c r="C14877" t="s">
        <v>24</v>
      </c>
      <c r="D14877" s="2">
        <v>0</v>
      </c>
      <c r="E14877" s="2">
        <v>3493.41</v>
      </c>
      <c r="F14877" t="s">
        <v>13</v>
      </c>
      <c r="G14877" t="s">
        <v>9</v>
      </c>
    </row>
    <row r="14878" spans="1:7" x14ac:dyDescent="0.35">
      <c r="A14878">
        <v>5916</v>
      </c>
      <c r="B14878" s="1">
        <v>45978</v>
      </c>
      <c r="C14878" t="s">
        <v>24</v>
      </c>
      <c r="D14878" s="2">
        <v>3255.93</v>
      </c>
      <c r="E14878" s="2">
        <v>0</v>
      </c>
      <c r="F14878" t="s">
        <v>8</v>
      </c>
      <c r="G14878" t="s">
        <v>9</v>
      </c>
    </row>
    <row r="14879" spans="1:7" x14ac:dyDescent="0.35">
      <c r="A14879">
        <v>5916</v>
      </c>
      <c r="B14879" s="1">
        <v>45978</v>
      </c>
      <c r="C14879" t="s">
        <v>24</v>
      </c>
      <c r="D14879" s="2">
        <v>0</v>
      </c>
      <c r="E14879" s="2">
        <v>3255.93</v>
      </c>
      <c r="F14879" t="s">
        <v>13</v>
      </c>
      <c r="G14879" t="s">
        <v>9</v>
      </c>
    </row>
    <row r="14880" spans="1:7" x14ac:dyDescent="0.35">
      <c r="A14880">
        <v>5917</v>
      </c>
      <c r="B14880" s="1">
        <v>45978</v>
      </c>
      <c r="C14880" t="s">
        <v>24</v>
      </c>
      <c r="D14880" s="2">
        <v>2738.56</v>
      </c>
      <c r="E14880" s="2">
        <v>0</v>
      </c>
      <c r="F14880" t="s">
        <v>8</v>
      </c>
      <c r="G14880" t="s">
        <v>9</v>
      </c>
    </row>
    <row r="14881" spans="1:7" x14ac:dyDescent="0.35">
      <c r="A14881">
        <v>5917</v>
      </c>
      <c r="B14881" s="1">
        <v>45978</v>
      </c>
      <c r="C14881" t="s">
        <v>24</v>
      </c>
      <c r="D14881" s="2">
        <v>0</v>
      </c>
      <c r="E14881" s="2">
        <v>2738.56</v>
      </c>
      <c r="F14881" t="s">
        <v>13</v>
      </c>
      <c r="G14881" t="s">
        <v>9</v>
      </c>
    </row>
    <row r="14882" spans="1:7" x14ac:dyDescent="0.35">
      <c r="A14882">
        <v>5918</v>
      </c>
      <c r="B14882" s="1">
        <v>45978</v>
      </c>
      <c r="C14882" t="s">
        <v>24</v>
      </c>
      <c r="D14882" s="2">
        <v>4520.76</v>
      </c>
      <c r="E14882" s="2">
        <v>0</v>
      </c>
      <c r="F14882" t="s">
        <v>8</v>
      </c>
      <c r="G14882" t="s">
        <v>9</v>
      </c>
    </row>
    <row r="14883" spans="1:7" x14ac:dyDescent="0.35">
      <c r="A14883">
        <v>5918</v>
      </c>
      <c r="B14883" s="1">
        <v>45978</v>
      </c>
      <c r="C14883" t="s">
        <v>24</v>
      </c>
      <c r="D14883" s="2">
        <v>0</v>
      </c>
      <c r="E14883" s="2">
        <v>4520.76</v>
      </c>
      <c r="F14883" t="s">
        <v>13</v>
      </c>
      <c r="G14883" t="s">
        <v>9</v>
      </c>
    </row>
    <row r="14884" spans="1:7" x14ac:dyDescent="0.35">
      <c r="A14884">
        <v>5919</v>
      </c>
      <c r="B14884" s="1">
        <v>45978</v>
      </c>
      <c r="C14884" t="s">
        <v>24</v>
      </c>
      <c r="D14884" s="2">
        <v>3567.58</v>
      </c>
      <c r="E14884" s="2">
        <v>0</v>
      </c>
      <c r="F14884" t="s">
        <v>8</v>
      </c>
      <c r="G14884" t="s">
        <v>9</v>
      </c>
    </row>
    <row r="14885" spans="1:7" x14ac:dyDescent="0.35">
      <c r="A14885">
        <v>5919</v>
      </c>
      <c r="B14885" s="1">
        <v>45978</v>
      </c>
      <c r="C14885" t="s">
        <v>24</v>
      </c>
      <c r="D14885" s="2">
        <v>0</v>
      </c>
      <c r="E14885" s="2">
        <v>3567.58</v>
      </c>
      <c r="F14885" t="s">
        <v>13</v>
      </c>
      <c r="G14885" t="s">
        <v>9</v>
      </c>
    </row>
    <row r="14886" spans="1:7" x14ac:dyDescent="0.35">
      <c r="A14886">
        <v>5920</v>
      </c>
      <c r="B14886" s="1">
        <v>45978</v>
      </c>
      <c r="C14886" t="s">
        <v>24</v>
      </c>
      <c r="D14886" s="2">
        <v>2974.44</v>
      </c>
      <c r="E14886" s="2">
        <v>0</v>
      </c>
      <c r="F14886" t="s">
        <v>8</v>
      </c>
      <c r="G14886" t="s">
        <v>9</v>
      </c>
    </row>
    <row r="14887" spans="1:7" x14ac:dyDescent="0.35">
      <c r="A14887">
        <v>5920</v>
      </c>
      <c r="B14887" s="1">
        <v>45978</v>
      </c>
      <c r="C14887" t="s">
        <v>24</v>
      </c>
      <c r="D14887" s="2">
        <v>0</v>
      </c>
      <c r="E14887" s="2">
        <v>2974.44</v>
      </c>
      <c r="F14887" t="s">
        <v>13</v>
      </c>
      <c r="G14887" t="s">
        <v>9</v>
      </c>
    </row>
    <row r="14888" spans="1:7" x14ac:dyDescent="0.35">
      <c r="A14888">
        <v>5921</v>
      </c>
      <c r="B14888" s="1">
        <v>45978</v>
      </c>
      <c r="C14888" t="s">
        <v>24</v>
      </c>
      <c r="D14888" s="2">
        <v>1889.95</v>
      </c>
      <c r="E14888" s="2">
        <v>0</v>
      </c>
      <c r="F14888" t="s">
        <v>8</v>
      </c>
      <c r="G14888" t="s">
        <v>9</v>
      </c>
    </row>
    <row r="14889" spans="1:7" x14ac:dyDescent="0.35">
      <c r="A14889">
        <v>5921</v>
      </c>
      <c r="B14889" s="1">
        <v>45978</v>
      </c>
      <c r="C14889" t="s">
        <v>24</v>
      </c>
      <c r="D14889" s="2">
        <v>0</v>
      </c>
      <c r="E14889" s="2">
        <v>1889.95</v>
      </c>
      <c r="F14889" t="s">
        <v>13</v>
      </c>
      <c r="G14889" t="s">
        <v>9</v>
      </c>
    </row>
    <row r="14890" spans="1:7" x14ac:dyDescent="0.35">
      <c r="A14890">
        <v>5922</v>
      </c>
      <c r="B14890" s="1">
        <v>45978</v>
      </c>
      <c r="C14890" t="s">
        <v>24</v>
      </c>
      <c r="D14890" s="2">
        <v>1499.82</v>
      </c>
      <c r="E14890" s="2">
        <v>0</v>
      </c>
      <c r="F14890" t="s">
        <v>8</v>
      </c>
      <c r="G14890" t="s">
        <v>9</v>
      </c>
    </row>
    <row r="14891" spans="1:7" x14ac:dyDescent="0.35">
      <c r="A14891">
        <v>5922</v>
      </c>
      <c r="B14891" s="1">
        <v>45978</v>
      </c>
      <c r="C14891" t="s">
        <v>24</v>
      </c>
      <c r="D14891" s="2">
        <v>0</v>
      </c>
      <c r="E14891" s="2">
        <v>1499.82</v>
      </c>
      <c r="F14891" t="s">
        <v>13</v>
      </c>
      <c r="G14891" t="s">
        <v>9</v>
      </c>
    </row>
    <row r="14892" spans="1:7" x14ac:dyDescent="0.35">
      <c r="A14892">
        <v>5923</v>
      </c>
      <c r="B14892" s="1">
        <v>45978</v>
      </c>
      <c r="C14892" t="s">
        <v>24</v>
      </c>
      <c r="D14892" s="2">
        <v>5850.78</v>
      </c>
      <c r="E14892" s="2">
        <v>0</v>
      </c>
      <c r="F14892" t="s">
        <v>8</v>
      </c>
      <c r="G14892" t="s">
        <v>9</v>
      </c>
    </row>
    <row r="14893" spans="1:7" x14ac:dyDescent="0.35">
      <c r="A14893">
        <v>5923</v>
      </c>
      <c r="B14893" s="1">
        <v>45978</v>
      </c>
      <c r="C14893" t="s">
        <v>24</v>
      </c>
      <c r="D14893" s="2">
        <v>0</v>
      </c>
      <c r="E14893" s="2">
        <v>5850.78</v>
      </c>
      <c r="F14893" t="s">
        <v>13</v>
      </c>
      <c r="G14893" t="s">
        <v>9</v>
      </c>
    </row>
    <row r="14894" spans="1:7" x14ac:dyDescent="0.35">
      <c r="A14894">
        <v>5924</v>
      </c>
      <c r="B14894" s="1">
        <v>45978</v>
      </c>
      <c r="C14894" t="s">
        <v>25</v>
      </c>
      <c r="D14894" s="2">
        <v>1800.04</v>
      </c>
      <c r="E14894" s="2">
        <v>0</v>
      </c>
      <c r="F14894" t="s">
        <v>26</v>
      </c>
      <c r="G14894" t="s">
        <v>20</v>
      </c>
    </row>
    <row r="14895" spans="1:7" x14ac:dyDescent="0.35">
      <c r="A14895">
        <v>5924</v>
      </c>
      <c r="B14895" s="1">
        <v>45978</v>
      </c>
      <c r="C14895" t="s">
        <v>25</v>
      </c>
      <c r="D14895" s="2">
        <v>135</v>
      </c>
      <c r="E14895" s="2">
        <v>0</v>
      </c>
      <c r="F14895" t="s">
        <v>27</v>
      </c>
      <c r="G14895" t="s">
        <v>9</v>
      </c>
    </row>
    <row r="14896" spans="1:7" x14ac:dyDescent="0.35">
      <c r="A14896">
        <v>5924</v>
      </c>
      <c r="B14896" s="1">
        <v>45978</v>
      </c>
      <c r="C14896" t="s">
        <v>25</v>
      </c>
      <c r="D14896" s="2">
        <v>0</v>
      </c>
      <c r="E14896" s="2">
        <v>1935.04</v>
      </c>
      <c r="F14896" t="s">
        <v>28</v>
      </c>
      <c r="G14896" t="s">
        <v>17</v>
      </c>
    </row>
    <row r="14897" spans="1:7" x14ac:dyDescent="0.35">
      <c r="A14897">
        <v>5925</v>
      </c>
      <c r="B14897" s="1">
        <v>45978</v>
      </c>
      <c r="C14897" t="s">
        <v>25</v>
      </c>
      <c r="D14897" s="2">
        <v>3282.76</v>
      </c>
      <c r="E14897" s="2">
        <v>0</v>
      </c>
      <c r="F14897" t="s">
        <v>26</v>
      </c>
      <c r="G14897" t="s">
        <v>20</v>
      </c>
    </row>
    <row r="14898" spans="1:7" x14ac:dyDescent="0.35">
      <c r="A14898">
        <v>5925</v>
      </c>
      <c r="B14898" s="1">
        <v>45978</v>
      </c>
      <c r="C14898" t="s">
        <v>25</v>
      </c>
      <c r="D14898" s="2">
        <v>246.21</v>
      </c>
      <c r="E14898" s="2">
        <v>0</v>
      </c>
      <c r="F14898" t="s">
        <v>27</v>
      </c>
      <c r="G14898" t="s">
        <v>9</v>
      </c>
    </row>
    <row r="14899" spans="1:7" x14ac:dyDescent="0.35">
      <c r="A14899">
        <v>5925</v>
      </c>
      <c r="B14899" s="1">
        <v>45978</v>
      </c>
      <c r="C14899" t="s">
        <v>25</v>
      </c>
      <c r="D14899" s="2">
        <v>0</v>
      </c>
      <c r="E14899" s="2">
        <v>3528.97</v>
      </c>
      <c r="F14899" t="s">
        <v>28</v>
      </c>
      <c r="G14899" t="s">
        <v>17</v>
      </c>
    </row>
    <row r="14900" spans="1:7" x14ac:dyDescent="0.35">
      <c r="A14900">
        <v>5926</v>
      </c>
      <c r="B14900" s="1">
        <v>45978</v>
      </c>
      <c r="C14900" t="s">
        <v>25</v>
      </c>
      <c r="D14900" s="2">
        <v>8685.27</v>
      </c>
      <c r="E14900" s="2">
        <v>0</v>
      </c>
      <c r="F14900" t="s">
        <v>26</v>
      </c>
      <c r="G14900" t="s">
        <v>20</v>
      </c>
    </row>
    <row r="14901" spans="1:7" x14ac:dyDescent="0.35">
      <c r="A14901">
        <v>5926</v>
      </c>
      <c r="B14901" s="1">
        <v>45978</v>
      </c>
      <c r="C14901" t="s">
        <v>25</v>
      </c>
      <c r="D14901" s="2">
        <v>651.4</v>
      </c>
      <c r="E14901" s="2">
        <v>0</v>
      </c>
      <c r="F14901" t="s">
        <v>27</v>
      </c>
      <c r="G14901" t="s">
        <v>9</v>
      </c>
    </row>
    <row r="14902" spans="1:7" x14ac:dyDescent="0.35">
      <c r="A14902">
        <v>5926</v>
      </c>
      <c r="B14902" s="1">
        <v>45978</v>
      </c>
      <c r="C14902" t="s">
        <v>25</v>
      </c>
      <c r="D14902" s="2">
        <v>0</v>
      </c>
      <c r="E14902" s="2">
        <v>9336.67</v>
      </c>
      <c r="F14902" t="s">
        <v>28</v>
      </c>
      <c r="G14902" t="s">
        <v>17</v>
      </c>
    </row>
    <row r="14903" spans="1:7" x14ac:dyDescent="0.35">
      <c r="A14903">
        <v>5927</v>
      </c>
      <c r="B14903" s="1">
        <v>45978</v>
      </c>
      <c r="C14903" t="s">
        <v>25</v>
      </c>
      <c r="D14903" s="2">
        <v>952.02</v>
      </c>
      <c r="E14903" s="2">
        <v>0</v>
      </c>
      <c r="F14903" t="s">
        <v>26</v>
      </c>
      <c r="G14903" t="s">
        <v>20</v>
      </c>
    </row>
    <row r="14904" spans="1:7" x14ac:dyDescent="0.35">
      <c r="A14904">
        <v>5927</v>
      </c>
      <c r="B14904" s="1">
        <v>45978</v>
      </c>
      <c r="C14904" t="s">
        <v>25</v>
      </c>
      <c r="D14904" s="2">
        <v>71.400000000000006</v>
      </c>
      <c r="E14904" s="2">
        <v>0</v>
      </c>
      <c r="F14904" t="s">
        <v>27</v>
      </c>
      <c r="G14904" t="s">
        <v>9</v>
      </c>
    </row>
    <row r="14905" spans="1:7" x14ac:dyDescent="0.35">
      <c r="A14905">
        <v>5927</v>
      </c>
      <c r="B14905" s="1">
        <v>45978</v>
      </c>
      <c r="C14905" t="s">
        <v>25</v>
      </c>
      <c r="D14905" s="2">
        <v>0</v>
      </c>
      <c r="E14905" s="2">
        <v>1023.42</v>
      </c>
      <c r="F14905" t="s">
        <v>28</v>
      </c>
      <c r="G14905" t="s">
        <v>17</v>
      </c>
    </row>
    <row r="14906" spans="1:7" x14ac:dyDescent="0.35">
      <c r="A14906">
        <v>5928</v>
      </c>
      <c r="B14906" s="1">
        <v>45978</v>
      </c>
      <c r="C14906" t="s">
        <v>25</v>
      </c>
      <c r="D14906" s="2">
        <v>166.52</v>
      </c>
      <c r="E14906" s="2">
        <v>0</v>
      </c>
      <c r="F14906" t="s">
        <v>26</v>
      </c>
      <c r="G14906" t="s">
        <v>20</v>
      </c>
    </row>
    <row r="14907" spans="1:7" x14ac:dyDescent="0.35">
      <c r="A14907">
        <v>5928</v>
      </c>
      <c r="B14907" s="1">
        <v>45978</v>
      </c>
      <c r="C14907" t="s">
        <v>25</v>
      </c>
      <c r="D14907" s="2">
        <v>12.49</v>
      </c>
      <c r="E14907" s="2">
        <v>0</v>
      </c>
      <c r="F14907" t="s">
        <v>27</v>
      </c>
      <c r="G14907" t="s">
        <v>9</v>
      </c>
    </row>
    <row r="14908" spans="1:7" x14ac:dyDescent="0.35">
      <c r="A14908">
        <v>5928</v>
      </c>
      <c r="B14908" s="1">
        <v>45978</v>
      </c>
      <c r="C14908" t="s">
        <v>25</v>
      </c>
      <c r="D14908" s="2">
        <v>0</v>
      </c>
      <c r="E14908" s="2">
        <v>179.01</v>
      </c>
      <c r="F14908" t="s">
        <v>28</v>
      </c>
      <c r="G14908" t="s">
        <v>17</v>
      </c>
    </row>
    <row r="14909" spans="1:7" x14ac:dyDescent="0.35">
      <c r="A14909">
        <v>5929</v>
      </c>
      <c r="B14909" s="1">
        <v>45978</v>
      </c>
      <c r="C14909" t="s">
        <v>25</v>
      </c>
      <c r="D14909" s="2">
        <v>4476.71</v>
      </c>
      <c r="E14909" s="2">
        <v>0</v>
      </c>
      <c r="F14909" t="s">
        <v>26</v>
      </c>
      <c r="G14909" t="s">
        <v>20</v>
      </c>
    </row>
    <row r="14910" spans="1:7" x14ac:dyDescent="0.35">
      <c r="A14910">
        <v>5929</v>
      </c>
      <c r="B14910" s="1">
        <v>45978</v>
      </c>
      <c r="C14910" t="s">
        <v>25</v>
      </c>
      <c r="D14910" s="2">
        <v>335.75</v>
      </c>
      <c r="E14910" s="2">
        <v>0</v>
      </c>
      <c r="F14910" t="s">
        <v>27</v>
      </c>
      <c r="G14910" t="s">
        <v>9</v>
      </c>
    </row>
    <row r="14911" spans="1:7" x14ac:dyDescent="0.35">
      <c r="A14911">
        <v>5929</v>
      </c>
      <c r="B14911" s="1">
        <v>45978</v>
      </c>
      <c r="C14911" t="s">
        <v>25</v>
      </c>
      <c r="D14911" s="2">
        <v>0</v>
      </c>
      <c r="E14911" s="2">
        <v>4812.46</v>
      </c>
      <c r="F14911" t="s">
        <v>28</v>
      </c>
      <c r="G14911" t="s">
        <v>17</v>
      </c>
    </row>
    <row r="14912" spans="1:7" x14ac:dyDescent="0.35">
      <c r="A14912">
        <v>5930</v>
      </c>
      <c r="B14912" s="1">
        <v>45978</v>
      </c>
      <c r="C14912" t="s">
        <v>25</v>
      </c>
      <c r="D14912" s="2">
        <v>2329.52</v>
      </c>
      <c r="E14912" s="2">
        <v>0</v>
      </c>
      <c r="F14912" t="s">
        <v>26</v>
      </c>
      <c r="G14912" t="s">
        <v>20</v>
      </c>
    </row>
    <row r="14913" spans="1:7" x14ac:dyDescent="0.35">
      <c r="A14913">
        <v>5930</v>
      </c>
      <c r="B14913" s="1">
        <v>45978</v>
      </c>
      <c r="C14913" t="s">
        <v>25</v>
      </c>
      <c r="D14913" s="2">
        <v>174.71</v>
      </c>
      <c r="E14913" s="2">
        <v>0</v>
      </c>
      <c r="F14913" t="s">
        <v>27</v>
      </c>
      <c r="G14913" t="s">
        <v>9</v>
      </c>
    </row>
    <row r="14914" spans="1:7" x14ac:dyDescent="0.35">
      <c r="A14914">
        <v>5930</v>
      </c>
      <c r="B14914" s="1">
        <v>45978</v>
      </c>
      <c r="C14914" t="s">
        <v>25</v>
      </c>
      <c r="D14914" s="2">
        <v>0</v>
      </c>
      <c r="E14914" s="2">
        <v>2504.23</v>
      </c>
      <c r="F14914" t="s">
        <v>28</v>
      </c>
      <c r="G14914" t="s">
        <v>17</v>
      </c>
    </row>
    <row r="14915" spans="1:7" x14ac:dyDescent="0.35">
      <c r="A14915">
        <v>5931</v>
      </c>
      <c r="B14915" s="1">
        <v>45978</v>
      </c>
      <c r="C14915" t="s">
        <v>25</v>
      </c>
      <c r="D14915" s="2">
        <v>187.44</v>
      </c>
      <c r="E14915" s="2">
        <v>0</v>
      </c>
      <c r="F14915" t="s">
        <v>26</v>
      </c>
      <c r="G14915" t="s">
        <v>20</v>
      </c>
    </row>
    <row r="14916" spans="1:7" x14ac:dyDescent="0.35">
      <c r="A14916">
        <v>5931</v>
      </c>
      <c r="B14916" s="1">
        <v>45978</v>
      </c>
      <c r="C14916" t="s">
        <v>25</v>
      </c>
      <c r="D14916" s="2">
        <v>14.06</v>
      </c>
      <c r="E14916" s="2">
        <v>0</v>
      </c>
      <c r="F14916" t="s">
        <v>27</v>
      </c>
      <c r="G14916" t="s">
        <v>9</v>
      </c>
    </row>
    <row r="14917" spans="1:7" x14ac:dyDescent="0.35">
      <c r="A14917">
        <v>5931</v>
      </c>
      <c r="B14917" s="1">
        <v>45978</v>
      </c>
      <c r="C14917" t="s">
        <v>25</v>
      </c>
      <c r="D14917" s="2">
        <v>0</v>
      </c>
      <c r="E14917" s="2">
        <v>201.5</v>
      </c>
      <c r="F14917" t="s">
        <v>28</v>
      </c>
      <c r="G14917" t="s">
        <v>17</v>
      </c>
    </row>
    <row r="14918" spans="1:7" x14ac:dyDescent="0.35">
      <c r="A14918">
        <v>5932</v>
      </c>
      <c r="B14918" s="1">
        <v>45978</v>
      </c>
      <c r="C14918" t="s">
        <v>25</v>
      </c>
      <c r="D14918" s="2">
        <v>1213.5999999999999</v>
      </c>
      <c r="E14918" s="2">
        <v>0</v>
      </c>
      <c r="F14918" t="s">
        <v>26</v>
      </c>
      <c r="G14918" t="s">
        <v>20</v>
      </c>
    </row>
    <row r="14919" spans="1:7" x14ac:dyDescent="0.35">
      <c r="A14919">
        <v>5932</v>
      </c>
      <c r="B14919" s="1">
        <v>45978</v>
      </c>
      <c r="C14919" t="s">
        <v>25</v>
      </c>
      <c r="D14919" s="2">
        <v>91.02</v>
      </c>
      <c r="E14919" s="2">
        <v>0</v>
      </c>
      <c r="F14919" t="s">
        <v>27</v>
      </c>
      <c r="G14919" t="s">
        <v>9</v>
      </c>
    </row>
    <row r="14920" spans="1:7" x14ac:dyDescent="0.35">
      <c r="A14920">
        <v>5932</v>
      </c>
      <c r="B14920" s="1">
        <v>45978</v>
      </c>
      <c r="C14920" t="s">
        <v>25</v>
      </c>
      <c r="D14920" s="2">
        <v>0</v>
      </c>
      <c r="E14920" s="2">
        <v>1304.6199999999999</v>
      </c>
      <c r="F14920" t="s">
        <v>28</v>
      </c>
      <c r="G14920" t="s">
        <v>17</v>
      </c>
    </row>
    <row r="14921" spans="1:7" x14ac:dyDescent="0.35">
      <c r="A14921">
        <v>5933</v>
      </c>
      <c r="B14921" s="1">
        <v>45978</v>
      </c>
      <c r="C14921" t="s">
        <v>25</v>
      </c>
      <c r="D14921" s="2">
        <v>2714.58</v>
      </c>
      <c r="E14921" s="2">
        <v>0</v>
      </c>
      <c r="F14921" t="s">
        <v>26</v>
      </c>
      <c r="G14921" t="s">
        <v>20</v>
      </c>
    </row>
    <row r="14922" spans="1:7" x14ac:dyDescent="0.35">
      <c r="A14922">
        <v>5933</v>
      </c>
      <c r="B14922" s="1">
        <v>45978</v>
      </c>
      <c r="C14922" t="s">
        <v>25</v>
      </c>
      <c r="D14922" s="2">
        <v>203.59</v>
      </c>
      <c r="E14922" s="2">
        <v>0</v>
      </c>
      <c r="F14922" t="s">
        <v>27</v>
      </c>
      <c r="G14922" t="s">
        <v>9</v>
      </c>
    </row>
    <row r="14923" spans="1:7" x14ac:dyDescent="0.35">
      <c r="A14923">
        <v>5933</v>
      </c>
      <c r="B14923" s="1">
        <v>45978</v>
      </c>
      <c r="C14923" t="s">
        <v>25</v>
      </c>
      <c r="D14923" s="2">
        <v>0</v>
      </c>
      <c r="E14923" s="2">
        <v>2918.17</v>
      </c>
      <c r="F14923" t="s">
        <v>28</v>
      </c>
      <c r="G14923" t="s">
        <v>17</v>
      </c>
    </row>
    <row r="14924" spans="1:7" x14ac:dyDescent="0.35">
      <c r="A14924">
        <v>5934</v>
      </c>
      <c r="B14924" s="1">
        <v>45978</v>
      </c>
      <c r="C14924" t="s">
        <v>25</v>
      </c>
      <c r="D14924" s="2">
        <v>383.76</v>
      </c>
      <c r="E14924" s="2">
        <v>0</v>
      </c>
      <c r="F14924" t="s">
        <v>26</v>
      </c>
      <c r="G14924" t="s">
        <v>20</v>
      </c>
    </row>
    <row r="14925" spans="1:7" x14ac:dyDescent="0.35">
      <c r="A14925">
        <v>5934</v>
      </c>
      <c r="B14925" s="1">
        <v>45978</v>
      </c>
      <c r="C14925" t="s">
        <v>25</v>
      </c>
      <c r="D14925" s="2">
        <v>28.78</v>
      </c>
      <c r="E14925" s="2">
        <v>0</v>
      </c>
      <c r="F14925" t="s">
        <v>27</v>
      </c>
      <c r="G14925" t="s">
        <v>9</v>
      </c>
    </row>
    <row r="14926" spans="1:7" x14ac:dyDescent="0.35">
      <c r="A14926">
        <v>5934</v>
      </c>
      <c r="B14926" s="1">
        <v>45978</v>
      </c>
      <c r="C14926" t="s">
        <v>25</v>
      </c>
      <c r="D14926" s="2">
        <v>0</v>
      </c>
      <c r="E14926" s="2">
        <v>412.54</v>
      </c>
      <c r="F14926" t="s">
        <v>28</v>
      </c>
      <c r="G14926" t="s">
        <v>17</v>
      </c>
    </row>
    <row r="14927" spans="1:7" x14ac:dyDescent="0.35">
      <c r="A14927">
        <v>5935</v>
      </c>
      <c r="B14927" s="1">
        <v>45978</v>
      </c>
      <c r="C14927" t="s">
        <v>29</v>
      </c>
      <c r="D14927" s="2">
        <v>2635.36</v>
      </c>
      <c r="E14927" s="2">
        <v>0</v>
      </c>
      <c r="F14927" t="s">
        <v>28</v>
      </c>
      <c r="G14927" t="s">
        <v>17</v>
      </c>
    </row>
    <row r="14928" spans="1:7" x14ac:dyDescent="0.35">
      <c r="A14928">
        <v>5935</v>
      </c>
      <c r="B14928" s="1">
        <v>45978</v>
      </c>
      <c r="C14928" t="s">
        <v>29</v>
      </c>
      <c r="D14928" s="2">
        <v>0</v>
      </c>
      <c r="E14928" s="2">
        <v>2635.36</v>
      </c>
      <c r="F14928" t="s">
        <v>8</v>
      </c>
      <c r="G14928" t="s">
        <v>9</v>
      </c>
    </row>
    <row r="14929" spans="1:7" x14ac:dyDescent="0.35">
      <c r="A14929">
        <v>5936</v>
      </c>
      <c r="B14929" s="1">
        <v>45979</v>
      </c>
      <c r="C14929" t="s">
        <v>12</v>
      </c>
      <c r="D14929" s="2">
        <v>5506.77</v>
      </c>
      <c r="E14929" s="2">
        <v>0</v>
      </c>
      <c r="F14929" t="s">
        <v>13</v>
      </c>
      <c r="G14929" t="s">
        <v>9</v>
      </c>
    </row>
    <row r="14930" spans="1:7" x14ac:dyDescent="0.35">
      <c r="A14930">
        <v>5936</v>
      </c>
      <c r="B14930" s="1">
        <v>45979</v>
      </c>
      <c r="C14930" t="s">
        <v>12</v>
      </c>
      <c r="D14930" s="2">
        <v>0</v>
      </c>
      <c r="E14930" s="2">
        <v>5122.57</v>
      </c>
      <c r="F14930" t="s">
        <v>14</v>
      </c>
      <c r="G14930" t="s">
        <v>15</v>
      </c>
    </row>
    <row r="14931" spans="1:7" x14ac:dyDescent="0.35">
      <c r="A14931">
        <v>5936</v>
      </c>
      <c r="B14931" s="1">
        <v>45979</v>
      </c>
      <c r="C14931" t="s">
        <v>12</v>
      </c>
      <c r="D14931" s="2">
        <v>0</v>
      </c>
      <c r="E14931" s="2">
        <v>384.2</v>
      </c>
      <c r="F14931" t="s">
        <v>16</v>
      </c>
      <c r="G14931" t="s">
        <v>17</v>
      </c>
    </row>
    <row r="14932" spans="1:7" x14ac:dyDescent="0.35">
      <c r="A14932">
        <v>5937</v>
      </c>
      <c r="B14932" s="1">
        <v>45979</v>
      </c>
      <c r="C14932" t="s">
        <v>12</v>
      </c>
      <c r="D14932" s="2">
        <v>2845.59</v>
      </c>
      <c r="E14932" s="2">
        <v>0</v>
      </c>
      <c r="F14932" t="s">
        <v>13</v>
      </c>
      <c r="G14932" t="s">
        <v>9</v>
      </c>
    </row>
    <row r="14933" spans="1:7" x14ac:dyDescent="0.35">
      <c r="A14933">
        <v>5937</v>
      </c>
      <c r="B14933" s="1">
        <v>45979</v>
      </c>
      <c r="C14933" t="s">
        <v>12</v>
      </c>
      <c r="D14933" s="2">
        <v>0</v>
      </c>
      <c r="E14933" s="2">
        <v>2647.06</v>
      </c>
      <c r="F14933" t="s">
        <v>14</v>
      </c>
      <c r="G14933" t="s">
        <v>15</v>
      </c>
    </row>
    <row r="14934" spans="1:7" x14ac:dyDescent="0.35">
      <c r="A14934">
        <v>5937</v>
      </c>
      <c r="B14934" s="1">
        <v>45979</v>
      </c>
      <c r="C14934" t="s">
        <v>12</v>
      </c>
      <c r="D14934" s="2">
        <v>0</v>
      </c>
      <c r="E14934" s="2">
        <v>198.53</v>
      </c>
      <c r="F14934" t="s">
        <v>16</v>
      </c>
      <c r="G14934" t="s">
        <v>17</v>
      </c>
    </row>
    <row r="14935" spans="1:7" x14ac:dyDescent="0.35">
      <c r="A14935">
        <v>5938</v>
      </c>
      <c r="B14935" s="1">
        <v>45979</v>
      </c>
      <c r="C14935" t="s">
        <v>12</v>
      </c>
      <c r="D14935" s="2">
        <v>1473.67</v>
      </c>
      <c r="E14935" s="2">
        <v>0</v>
      </c>
      <c r="F14935" t="s">
        <v>13</v>
      </c>
      <c r="G14935" t="s">
        <v>9</v>
      </c>
    </row>
    <row r="14936" spans="1:7" x14ac:dyDescent="0.35">
      <c r="A14936">
        <v>5938</v>
      </c>
      <c r="B14936" s="1">
        <v>45979</v>
      </c>
      <c r="C14936" t="s">
        <v>12</v>
      </c>
      <c r="D14936" s="2">
        <v>0</v>
      </c>
      <c r="E14936" s="2">
        <v>1370.86</v>
      </c>
      <c r="F14936" t="s">
        <v>14</v>
      </c>
      <c r="G14936" t="s">
        <v>15</v>
      </c>
    </row>
    <row r="14937" spans="1:7" x14ac:dyDescent="0.35">
      <c r="A14937">
        <v>5938</v>
      </c>
      <c r="B14937" s="1">
        <v>45979</v>
      </c>
      <c r="C14937" t="s">
        <v>12</v>
      </c>
      <c r="D14937" s="2">
        <v>0</v>
      </c>
      <c r="E14937" s="2">
        <v>102.81</v>
      </c>
      <c r="F14937" t="s">
        <v>16</v>
      </c>
      <c r="G14937" t="s">
        <v>17</v>
      </c>
    </row>
    <row r="14938" spans="1:7" x14ac:dyDescent="0.35">
      <c r="A14938">
        <v>5939</v>
      </c>
      <c r="B14938" s="1">
        <v>45979</v>
      </c>
      <c r="C14938" t="s">
        <v>12</v>
      </c>
      <c r="D14938" s="2">
        <v>3040.33</v>
      </c>
      <c r="E14938" s="2">
        <v>0</v>
      </c>
      <c r="F14938" t="s">
        <v>13</v>
      </c>
      <c r="G14938" t="s">
        <v>9</v>
      </c>
    </row>
    <row r="14939" spans="1:7" x14ac:dyDescent="0.35">
      <c r="A14939">
        <v>5939</v>
      </c>
      <c r="B14939" s="1">
        <v>45979</v>
      </c>
      <c r="C14939" t="s">
        <v>12</v>
      </c>
      <c r="D14939" s="2">
        <v>0</v>
      </c>
      <c r="E14939" s="2">
        <v>2828.22</v>
      </c>
      <c r="F14939" t="s">
        <v>14</v>
      </c>
      <c r="G14939" t="s">
        <v>15</v>
      </c>
    </row>
    <row r="14940" spans="1:7" x14ac:dyDescent="0.35">
      <c r="A14940">
        <v>5939</v>
      </c>
      <c r="B14940" s="1">
        <v>45979</v>
      </c>
      <c r="C14940" t="s">
        <v>12</v>
      </c>
      <c r="D14940" s="2">
        <v>0</v>
      </c>
      <c r="E14940" s="2">
        <v>212.11</v>
      </c>
      <c r="F14940" t="s">
        <v>16</v>
      </c>
      <c r="G14940" t="s">
        <v>17</v>
      </c>
    </row>
    <row r="14941" spans="1:7" x14ac:dyDescent="0.35">
      <c r="A14941">
        <v>5940</v>
      </c>
      <c r="B14941" s="1">
        <v>45979</v>
      </c>
      <c r="C14941" t="s">
        <v>12</v>
      </c>
      <c r="D14941" s="2">
        <v>577.16999999999996</v>
      </c>
      <c r="E14941" s="2">
        <v>0</v>
      </c>
      <c r="F14941" t="s">
        <v>13</v>
      </c>
      <c r="G14941" t="s">
        <v>9</v>
      </c>
    </row>
    <row r="14942" spans="1:7" x14ac:dyDescent="0.35">
      <c r="A14942">
        <v>5940</v>
      </c>
      <c r="B14942" s="1">
        <v>45979</v>
      </c>
      <c r="C14942" t="s">
        <v>12</v>
      </c>
      <c r="D14942" s="2">
        <v>0</v>
      </c>
      <c r="E14942" s="2">
        <v>536.9</v>
      </c>
      <c r="F14942" t="s">
        <v>14</v>
      </c>
      <c r="G14942" t="s">
        <v>15</v>
      </c>
    </row>
    <row r="14943" spans="1:7" x14ac:dyDescent="0.35">
      <c r="A14943">
        <v>5940</v>
      </c>
      <c r="B14943" s="1">
        <v>45979</v>
      </c>
      <c r="C14943" t="s">
        <v>12</v>
      </c>
      <c r="D14943" s="2">
        <v>0</v>
      </c>
      <c r="E14943" s="2">
        <v>40.270000000000003</v>
      </c>
      <c r="F14943" t="s">
        <v>16</v>
      </c>
      <c r="G14943" t="s">
        <v>17</v>
      </c>
    </row>
    <row r="14944" spans="1:7" x14ac:dyDescent="0.35">
      <c r="A14944">
        <v>5941</v>
      </c>
      <c r="B14944" s="1">
        <v>45979</v>
      </c>
      <c r="C14944" t="s">
        <v>12</v>
      </c>
      <c r="D14944" s="2">
        <v>1950.5</v>
      </c>
      <c r="E14944" s="2">
        <v>0</v>
      </c>
      <c r="F14944" t="s">
        <v>13</v>
      </c>
      <c r="G14944" t="s">
        <v>9</v>
      </c>
    </row>
    <row r="14945" spans="1:7" x14ac:dyDescent="0.35">
      <c r="A14945">
        <v>5941</v>
      </c>
      <c r="B14945" s="1">
        <v>45979</v>
      </c>
      <c r="C14945" t="s">
        <v>12</v>
      </c>
      <c r="D14945" s="2">
        <v>0</v>
      </c>
      <c r="E14945" s="2">
        <v>1814.43</v>
      </c>
      <c r="F14945" t="s">
        <v>14</v>
      </c>
      <c r="G14945" t="s">
        <v>15</v>
      </c>
    </row>
    <row r="14946" spans="1:7" x14ac:dyDescent="0.35">
      <c r="A14946">
        <v>5941</v>
      </c>
      <c r="B14946" s="1">
        <v>45979</v>
      </c>
      <c r="C14946" t="s">
        <v>12</v>
      </c>
      <c r="D14946" s="2">
        <v>0</v>
      </c>
      <c r="E14946" s="2">
        <v>136.07</v>
      </c>
      <c r="F14946" t="s">
        <v>16</v>
      </c>
      <c r="G14946" t="s">
        <v>17</v>
      </c>
    </row>
    <row r="14947" spans="1:7" x14ac:dyDescent="0.35">
      <c r="A14947">
        <v>5942</v>
      </c>
      <c r="B14947" s="1">
        <v>45979</v>
      </c>
      <c r="C14947" t="s">
        <v>12</v>
      </c>
      <c r="D14947" s="2">
        <v>3052.96</v>
      </c>
      <c r="E14947" s="2">
        <v>0</v>
      </c>
      <c r="F14947" t="s">
        <v>13</v>
      </c>
      <c r="G14947" t="s">
        <v>9</v>
      </c>
    </row>
    <row r="14948" spans="1:7" x14ac:dyDescent="0.35">
      <c r="A14948">
        <v>5942</v>
      </c>
      <c r="B14948" s="1">
        <v>45979</v>
      </c>
      <c r="C14948" t="s">
        <v>12</v>
      </c>
      <c r="D14948" s="2">
        <v>0</v>
      </c>
      <c r="E14948" s="2">
        <v>2839.97</v>
      </c>
      <c r="F14948" t="s">
        <v>14</v>
      </c>
      <c r="G14948" t="s">
        <v>15</v>
      </c>
    </row>
    <row r="14949" spans="1:7" x14ac:dyDescent="0.35">
      <c r="A14949">
        <v>5942</v>
      </c>
      <c r="B14949" s="1">
        <v>45979</v>
      </c>
      <c r="C14949" t="s">
        <v>12</v>
      </c>
      <c r="D14949" s="2">
        <v>0</v>
      </c>
      <c r="E14949" s="2">
        <v>212.99</v>
      </c>
      <c r="F14949" t="s">
        <v>16</v>
      </c>
      <c r="G14949" t="s">
        <v>17</v>
      </c>
    </row>
    <row r="14950" spans="1:7" x14ac:dyDescent="0.35">
      <c r="A14950">
        <v>5943</v>
      </c>
      <c r="B14950" s="1">
        <v>45979</v>
      </c>
      <c r="C14950" t="s">
        <v>12</v>
      </c>
      <c r="D14950" s="2">
        <v>2133.7600000000002</v>
      </c>
      <c r="E14950" s="2">
        <v>0</v>
      </c>
      <c r="F14950" t="s">
        <v>13</v>
      </c>
      <c r="G14950" t="s">
        <v>9</v>
      </c>
    </row>
    <row r="14951" spans="1:7" x14ac:dyDescent="0.35">
      <c r="A14951">
        <v>5943</v>
      </c>
      <c r="B14951" s="1">
        <v>45979</v>
      </c>
      <c r="C14951" t="s">
        <v>12</v>
      </c>
      <c r="D14951" s="2">
        <v>0</v>
      </c>
      <c r="E14951" s="2">
        <v>1984.89</v>
      </c>
      <c r="F14951" t="s">
        <v>14</v>
      </c>
      <c r="G14951" t="s">
        <v>15</v>
      </c>
    </row>
    <row r="14952" spans="1:7" x14ac:dyDescent="0.35">
      <c r="A14952">
        <v>5943</v>
      </c>
      <c r="B14952" s="1">
        <v>45979</v>
      </c>
      <c r="C14952" t="s">
        <v>12</v>
      </c>
      <c r="D14952" s="2">
        <v>0</v>
      </c>
      <c r="E14952" s="2">
        <v>148.87</v>
      </c>
      <c r="F14952" t="s">
        <v>16</v>
      </c>
      <c r="G14952" t="s">
        <v>17</v>
      </c>
    </row>
    <row r="14953" spans="1:7" x14ac:dyDescent="0.35">
      <c r="A14953">
        <v>5944</v>
      </c>
      <c r="B14953" s="1">
        <v>45979</v>
      </c>
      <c r="C14953" t="s">
        <v>24</v>
      </c>
      <c r="D14953" s="2">
        <v>460.26</v>
      </c>
      <c r="E14953" s="2">
        <v>0</v>
      </c>
      <c r="F14953" t="s">
        <v>8</v>
      </c>
      <c r="G14953" t="s">
        <v>9</v>
      </c>
    </row>
    <row r="14954" spans="1:7" x14ac:dyDescent="0.35">
      <c r="A14954">
        <v>5944</v>
      </c>
      <c r="B14954" s="1">
        <v>45979</v>
      </c>
      <c r="C14954" t="s">
        <v>24</v>
      </c>
      <c r="D14954" s="2">
        <v>0</v>
      </c>
      <c r="E14954" s="2">
        <v>460.26</v>
      </c>
      <c r="F14954" t="s">
        <v>13</v>
      </c>
      <c r="G14954" t="s">
        <v>9</v>
      </c>
    </row>
    <row r="14955" spans="1:7" x14ac:dyDescent="0.35">
      <c r="A14955">
        <v>5945</v>
      </c>
      <c r="B14955" s="1">
        <v>45979</v>
      </c>
      <c r="C14955" t="s">
        <v>24</v>
      </c>
      <c r="D14955" s="2">
        <v>2920.32</v>
      </c>
      <c r="E14955" s="2">
        <v>0</v>
      </c>
      <c r="F14955" t="s">
        <v>8</v>
      </c>
      <c r="G14955" t="s">
        <v>9</v>
      </c>
    </row>
    <row r="14956" spans="1:7" x14ac:dyDescent="0.35">
      <c r="A14956">
        <v>5945</v>
      </c>
      <c r="B14956" s="1">
        <v>45979</v>
      </c>
      <c r="C14956" t="s">
        <v>24</v>
      </c>
      <c r="D14956" s="2">
        <v>0</v>
      </c>
      <c r="E14956" s="2">
        <v>2920.32</v>
      </c>
      <c r="F14956" t="s">
        <v>13</v>
      </c>
      <c r="G14956" t="s">
        <v>9</v>
      </c>
    </row>
    <row r="14957" spans="1:7" x14ac:dyDescent="0.35">
      <c r="A14957">
        <v>5946</v>
      </c>
      <c r="B14957" s="1">
        <v>45979</v>
      </c>
      <c r="C14957" t="s">
        <v>24</v>
      </c>
      <c r="D14957" s="2">
        <v>2442.86</v>
      </c>
      <c r="E14957" s="2">
        <v>0</v>
      </c>
      <c r="F14957" t="s">
        <v>8</v>
      </c>
      <c r="G14957" t="s">
        <v>9</v>
      </c>
    </row>
    <row r="14958" spans="1:7" x14ac:dyDescent="0.35">
      <c r="A14958">
        <v>5946</v>
      </c>
      <c r="B14958" s="1">
        <v>45979</v>
      </c>
      <c r="C14958" t="s">
        <v>24</v>
      </c>
      <c r="D14958" s="2">
        <v>0</v>
      </c>
      <c r="E14958" s="2">
        <v>2442.86</v>
      </c>
      <c r="F14958" t="s">
        <v>13</v>
      </c>
      <c r="G14958" t="s">
        <v>9</v>
      </c>
    </row>
    <row r="14959" spans="1:7" x14ac:dyDescent="0.35">
      <c r="A14959">
        <v>5947</v>
      </c>
      <c r="B14959" s="1">
        <v>45979</v>
      </c>
      <c r="C14959" t="s">
        <v>24</v>
      </c>
      <c r="D14959" s="2">
        <v>679.96</v>
      </c>
      <c r="E14959" s="2">
        <v>0</v>
      </c>
      <c r="F14959" t="s">
        <v>8</v>
      </c>
      <c r="G14959" t="s">
        <v>9</v>
      </c>
    </row>
    <row r="14960" spans="1:7" x14ac:dyDescent="0.35">
      <c r="A14960">
        <v>5947</v>
      </c>
      <c r="B14960" s="1">
        <v>45979</v>
      </c>
      <c r="C14960" t="s">
        <v>24</v>
      </c>
      <c r="D14960" s="2">
        <v>0</v>
      </c>
      <c r="E14960" s="2">
        <v>679.96</v>
      </c>
      <c r="F14960" t="s">
        <v>13</v>
      </c>
      <c r="G14960" t="s">
        <v>9</v>
      </c>
    </row>
    <row r="14961" spans="1:7" x14ac:dyDescent="0.35">
      <c r="A14961">
        <v>5948</v>
      </c>
      <c r="B14961" s="1">
        <v>45979</v>
      </c>
      <c r="C14961" t="s">
        <v>24</v>
      </c>
      <c r="D14961" s="2">
        <v>1988.1</v>
      </c>
      <c r="E14961" s="2">
        <v>0</v>
      </c>
      <c r="F14961" t="s">
        <v>8</v>
      </c>
      <c r="G14961" t="s">
        <v>9</v>
      </c>
    </row>
    <row r="14962" spans="1:7" x14ac:dyDescent="0.35">
      <c r="A14962">
        <v>5948</v>
      </c>
      <c r="B14962" s="1">
        <v>45979</v>
      </c>
      <c r="C14962" t="s">
        <v>24</v>
      </c>
      <c r="D14962" s="2">
        <v>0</v>
      </c>
      <c r="E14962" s="2">
        <v>1988.1</v>
      </c>
      <c r="F14962" t="s">
        <v>13</v>
      </c>
      <c r="G14962" t="s">
        <v>9</v>
      </c>
    </row>
    <row r="14963" spans="1:7" x14ac:dyDescent="0.35">
      <c r="A14963">
        <v>5949</v>
      </c>
      <c r="B14963" s="1">
        <v>45979</v>
      </c>
      <c r="C14963" t="s">
        <v>24</v>
      </c>
      <c r="D14963" s="2">
        <v>1195.53</v>
      </c>
      <c r="E14963" s="2">
        <v>0</v>
      </c>
      <c r="F14963" t="s">
        <v>8</v>
      </c>
      <c r="G14963" t="s">
        <v>9</v>
      </c>
    </row>
    <row r="14964" spans="1:7" x14ac:dyDescent="0.35">
      <c r="A14964">
        <v>5949</v>
      </c>
      <c r="B14964" s="1">
        <v>45979</v>
      </c>
      <c r="C14964" t="s">
        <v>24</v>
      </c>
      <c r="D14964" s="2">
        <v>0</v>
      </c>
      <c r="E14964" s="2">
        <v>1195.53</v>
      </c>
      <c r="F14964" t="s">
        <v>13</v>
      </c>
      <c r="G14964" t="s">
        <v>9</v>
      </c>
    </row>
    <row r="14965" spans="1:7" x14ac:dyDescent="0.35">
      <c r="A14965">
        <v>5950</v>
      </c>
      <c r="B14965" s="1">
        <v>45979</v>
      </c>
      <c r="C14965" t="s">
        <v>24</v>
      </c>
      <c r="D14965" s="2">
        <v>672.42</v>
      </c>
      <c r="E14965" s="2">
        <v>0</v>
      </c>
      <c r="F14965" t="s">
        <v>8</v>
      </c>
      <c r="G14965" t="s">
        <v>9</v>
      </c>
    </row>
    <row r="14966" spans="1:7" x14ac:dyDescent="0.35">
      <c r="A14966">
        <v>5950</v>
      </c>
      <c r="B14966" s="1">
        <v>45979</v>
      </c>
      <c r="C14966" t="s">
        <v>24</v>
      </c>
      <c r="D14966" s="2">
        <v>0</v>
      </c>
      <c r="E14966" s="2">
        <v>672.42</v>
      </c>
      <c r="F14966" t="s">
        <v>13</v>
      </c>
      <c r="G14966" t="s">
        <v>9</v>
      </c>
    </row>
    <row r="14967" spans="1:7" x14ac:dyDescent="0.35">
      <c r="A14967">
        <v>5951</v>
      </c>
      <c r="B14967" s="1">
        <v>45979</v>
      </c>
      <c r="C14967" t="s">
        <v>25</v>
      </c>
      <c r="D14967" s="2">
        <v>1822.08</v>
      </c>
      <c r="E14967" s="2">
        <v>0</v>
      </c>
      <c r="F14967" t="s">
        <v>26</v>
      </c>
      <c r="G14967" t="s">
        <v>20</v>
      </c>
    </row>
    <row r="14968" spans="1:7" x14ac:dyDescent="0.35">
      <c r="A14968">
        <v>5951</v>
      </c>
      <c r="B14968" s="1">
        <v>45979</v>
      </c>
      <c r="C14968" t="s">
        <v>25</v>
      </c>
      <c r="D14968" s="2">
        <v>136.66</v>
      </c>
      <c r="E14968" s="2">
        <v>0</v>
      </c>
      <c r="F14968" t="s">
        <v>27</v>
      </c>
      <c r="G14968" t="s">
        <v>9</v>
      </c>
    </row>
    <row r="14969" spans="1:7" x14ac:dyDescent="0.35">
      <c r="A14969">
        <v>5951</v>
      </c>
      <c r="B14969" s="1">
        <v>45979</v>
      </c>
      <c r="C14969" t="s">
        <v>25</v>
      </c>
      <c r="D14969" s="2">
        <v>0</v>
      </c>
      <c r="E14969" s="2">
        <v>1958.74</v>
      </c>
      <c r="F14969" t="s">
        <v>28</v>
      </c>
      <c r="G14969" t="s">
        <v>17</v>
      </c>
    </row>
    <row r="14970" spans="1:7" x14ac:dyDescent="0.35">
      <c r="A14970">
        <v>5952</v>
      </c>
      <c r="B14970" s="1">
        <v>45980</v>
      </c>
      <c r="C14970" t="s">
        <v>12</v>
      </c>
      <c r="D14970" s="2">
        <v>447.01</v>
      </c>
      <c r="E14970" s="2">
        <v>0</v>
      </c>
      <c r="F14970" t="s">
        <v>13</v>
      </c>
      <c r="G14970" t="s">
        <v>9</v>
      </c>
    </row>
    <row r="14971" spans="1:7" x14ac:dyDescent="0.35">
      <c r="A14971">
        <v>5952</v>
      </c>
      <c r="B14971" s="1">
        <v>45980</v>
      </c>
      <c r="C14971" t="s">
        <v>12</v>
      </c>
      <c r="D14971" s="2">
        <v>0</v>
      </c>
      <c r="E14971" s="2">
        <v>415.83</v>
      </c>
      <c r="F14971" t="s">
        <v>14</v>
      </c>
      <c r="G14971" t="s">
        <v>15</v>
      </c>
    </row>
    <row r="14972" spans="1:7" x14ac:dyDescent="0.35">
      <c r="A14972">
        <v>5952</v>
      </c>
      <c r="B14972" s="1">
        <v>45980</v>
      </c>
      <c r="C14972" t="s">
        <v>12</v>
      </c>
      <c r="D14972" s="2">
        <v>0</v>
      </c>
      <c r="E14972" s="2">
        <v>31.18</v>
      </c>
      <c r="F14972" t="s">
        <v>16</v>
      </c>
      <c r="G14972" t="s">
        <v>17</v>
      </c>
    </row>
    <row r="14973" spans="1:7" x14ac:dyDescent="0.35">
      <c r="A14973">
        <v>5953</v>
      </c>
      <c r="B14973" s="1">
        <v>45980</v>
      </c>
      <c r="C14973" t="s">
        <v>12</v>
      </c>
      <c r="D14973" s="2">
        <v>355.17</v>
      </c>
      <c r="E14973" s="2">
        <v>0</v>
      </c>
      <c r="F14973" t="s">
        <v>13</v>
      </c>
      <c r="G14973" t="s">
        <v>9</v>
      </c>
    </row>
    <row r="14974" spans="1:7" x14ac:dyDescent="0.35">
      <c r="A14974">
        <v>5953</v>
      </c>
      <c r="B14974" s="1">
        <v>45980</v>
      </c>
      <c r="C14974" t="s">
        <v>12</v>
      </c>
      <c r="D14974" s="2">
        <v>0</v>
      </c>
      <c r="E14974" s="2">
        <v>330.39</v>
      </c>
      <c r="F14974" t="s">
        <v>14</v>
      </c>
      <c r="G14974" t="s">
        <v>15</v>
      </c>
    </row>
    <row r="14975" spans="1:7" x14ac:dyDescent="0.35">
      <c r="A14975">
        <v>5953</v>
      </c>
      <c r="B14975" s="1">
        <v>45980</v>
      </c>
      <c r="C14975" t="s">
        <v>12</v>
      </c>
      <c r="D14975" s="2">
        <v>0</v>
      </c>
      <c r="E14975" s="2">
        <v>24.78</v>
      </c>
      <c r="F14975" t="s">
        <v>16</v>
      </c>
      <c r="G14975" t="s">
        <v>17</v>
      </c>
    </row>
    <row r="14976" spans="1:7" x14ac:dyDescent="0.35">
      <c r="A14976">
        <v>5954</v>
      </c>
      <c r="B14976" s="1">
        <v>45980</v>
      </c>
      <c r="C14976" t="s">
        <v>12</v>
      </c>
      <c r="D14976" s="2">
        <v>932.38</v>
      </c>
      <c r="E14976" s="2">
        <v>0</v>
      </c>
      <c r="F14976" t="s">
        <v>13</v>
      </c>
      <c r="G14976" t="s">
        <v>9</v>
      </c>
    </row>
    <row r="14977" spans="1:7" x14ac:dyDescent="0.35">
      <c r="A14977">
        <v>5954</v>
      </c>
      <c r="B14977" s="1">
        <v>45980</v>
      </c>
      <c r="C14977" t="s">
        <v>12</v>
      </c>
      <c r="D14977" s="2">
        <v>0</v>
      </c>
      <c r="E14977" s="2">
        <v>867.33</v>
      </c>
      <c r="F14977" t="s">
        <v>14</v>
      </c>
      <c r="G14977" t="s">
        <v>15</v>
      </c>
    </row>
    <row r="14978" spans="1:7" x14ac:dyDescent="0.35">
      <c r="A14978">
        <v>5954</v>
      </c>
      <c r="B14978" s="1">
        <v>45980</v>
      </c>
      <c r="C14978" t="s">
        <v>12</v>
      </c>
      <c r="D14978" s="2">
        <v>0</v>
      </c>
      <c r="E14978" s="2">
        <v>65.05</v>
      </c>
      <c r="F14978" t="s">
        <v>16</v>
      </c>
      <c r="G14978" t="s">
        <v>17</v>
      </c>
    </row>
    <row r="14979" spans="1:7" x14ac:dyDescent="0.35">
      <c r="A14979">
        <v>5955</v>
      </c>
      <c r="B14979" s="1">
        <v>45980</v>
      </c>
      <c r="C14979" t="s">
        <v>12</v>
      </c>
      <c r="D14979" s="2">
        <v>2612.6799999999998</v>
      </c>
      <c r="E14979" s="2">
        <v>0</v>
      </c>
      <c r="F14979" t="s">
        <v>13</v>
      </c>
      <c r="G14979" t="s">
        <v>9</v>
      </c>
    </row>
    <row r="14980" spans="1:7" x14ac:dyDescent="0.35">
      <c r="A14980">
        <v>5955</v>
      </c>
      <c r="B14980" s="1">
        <v>45980</v>
      </c>
      <c r="C14980" t="s">
        <v>12</v>
      </c>
      <c r="D14980" s="2">
        <v>0</v>
      </c>
      <c r="E14980" s="2">
        <v>2430.41</v>
      </c>
      <c r="F14980" t="s">
        <v>14</v>
      </c>
      <c r="G14980" t="s">
        <v>15</v>
      </c>
    </row>
    <row r="14981" spans="1:7" x14ac:dyDescent="0.35">
      <c r="A14981">
        <v>5955</v>
      </c>
      <c r="B14981" s="1">
        <v>45980</v>
      </c>
      <c r="C14981" t="s">
        <v>12</v>
      </c>
      <c r="D14981" s="2">
        <v>0</v>
      </c>
      <c r="E14981" s="2">
        <v>182.27</v>
      </c>
      <c r="F14981" t="s">
        <v>16</v>
      </c>
      <c r="G14981" t="s">
        <v>17</v>
      </c>
    </row>
    <row r="14982" spans="1:7" x14ac:dyDescent="0.35">
      <c r="A14982">
        <v>5956</v>
      </c>
      <c r="B14982" s="1">
        <v>45980</v>
      </c>
      <c r="C14982" t="s">
        <v>12</v>
      </c>
      <c r="D14982" s="2">
        <v>1895.62</v>
      </c>
      <c r="E14982" s="2">
        <v>0</v>
      </c>
      <c r="F14982" t="s">
        <v>13</v>
      </c>
      <c r="G14982" t="s">
        <v>9</v>
      </c>
    </row>
    <row r="14983" spans="1:7" x14ac:dyDescent="0.35">
      <c r="A14983">
        <v>5956</v>
      </c>
      <c r="B14983" s="1">
        <v>45980</v>
      </c>
      <c r="C14983" t="s">
        <v>12</v>
      </c>
      <c r="D14983" s="2">
        <v>0</v>
      </c>
      <c r="E14983" s="2">
        <v>1763.37</v>
      </c>
      <c r="F14983" t="s">
        <v>14</v>
      </c>
      <c r="G14983" t="s">
        <v>15</v>
      </c>
    </row>
    <row r="14984" spans="1:7" x14ac:dyDescent="0.35">
      <c r="A14984">
        <v>5956</v>
      </c>
      <c r="B14984" s="1">
        <v>45980</v>
      </c>
      <c r="C14984" t="s">
        <v>12</v>
      </c>
      <c r="D14984" s="2">
        <v>0</v>
      </c>
      <c r="E14984" s="2">
        <v>132.25</v>
      </c>
      <c r="F14984" t="s">
        <v>16</v>
      </c>
      <c r="G14984" t="s">
        <v>17</v>
      </c>
    </row>
    <row r="14985" spans="1:7" x14ac:dyDescent="0.35">
      <c r="A14985">
        <v>5957</v>
      </c>
      <c r="B14985" s="1">
        <v>45980</v>
      </c>
      <c r="C14985" t="s">
        <v>12</v>
      </c>
      <c r="D14985" s="2">
        <v>394.96</v>
      </c>
      <c r="E14985" s="2">
        <v>0</v>
      </c>
      <c r="F14985" t="s">
        <v>13</v>
      </c>
      <c r="G14985" t="s">
        <v>9</v>
      </c>
    </row>
    <row r="14986" spans="1:7" x14ac:dyDescent="0.35">
      <c r="A14986">
        <v>5957</v>
      </c>
      <c r="B14986" s="1">
        <v>45980</v>
      </c>
      <c r="C14986" t="s">
        <v>12</v>
      </c>
      <c r="D14986" s="2">
        <v>0</v>
      </c>
      <c r="E14986" s="2">
        <v>367.4</v>
      </c>
      <c r="F14986" t="s">
        <v>14</v>
      </c>
      <c r="G14986" t="s">
        <v>15</v>
      </c>
    </row>
    <row r="14987" spans="1:7" x14ac:dyDescent="0.35">
      <c r="A14987">
        <v>5957</v>
      </c>
      <c r="B14987" s="1">
        <v>45980</v>
      </c>
      <c r="C14987" t="s">
        <v>12</v>
      </c>
      <c r="D14987" s="2">
        <v>0</v>
      </c>
      <c r="E14987" s="2">
        <v>27.56</v>
      </c>
      <c r="F14987" t="s">
        <v>16</v>
      </c>
      <c r="G14987" t="s">
        <v>17</v>
      </c>
    </row>
    <row r="14988" spans="1:7" x14ac:dyDescent="0.35">
      <c r="A14988">
        <v>5958</v>
      </c>
      <c r="B14988" s="1">
        <v>45980</v>
      </c>
      <c r="C14988" t="s">
        <v>12</v>
      </c>
      <c r="D14988" s="2">
        <v>1553.64</v>
      </c>
      <c r="E14988" s="2">
        <v>0</v>
      </c>
      <c r="F14988" t="s">
        <v>13</v>
      </c>
      <c r="G14988" t="s">
        <v>9</v>
      </c>
    </row>
    <row r="14989" spans="1:7" x14ac:dyDescent="0.35">
      <c r="A14989">
        <v>5958</v>
      </c>
      <c r="B14989" s="1">
        <v>45980</v>
      </c>
      <c r="C14989" t="s">
        <v>12</v>
      </c>
      <c r="D14989" s="2">
        <v>0</v>
      </c>
      <c r="E14989" s="2">
        <v>1445.24</v>
      </c>
      <c r="F14989" t="s">
        <v>14</v>
      </c>
      <c r="G14989" t="s">
        <v>15</v>
      </c>
    </row>
    <row r="14990" spans="1:7" x14ac:dyDescent="0.35">
      <c r="A14990">
        <v>5958</v>
      </c>
      <c r="B14990" s="1">
        <v>45980</v>
      </c>
      <c r="C14990" t="s">
        <v>12</v>
      </c>
      <c r="D14990" s="2">
        <v>0</v>
      </c>
      <c r="E14990" s="2">
        <v>108.4</v>
      </c>
      <c r="F14990" t="s">
        <v>16</v>
      </c>
      <c r="G14990" t="s">
        <v>17</v>
      </c>
    </row>
    <row r="14991" spans="1:7" x14ac:dyDescent="0.35">
      <c r="A14991">
        <v>5959</v>
      </c>
      <c r="B14991" s="1">
        <v>45980</v>
      </c>
      <c r="C14991" t="s">
        <v>12</v>
      </c>
      <c r="D14991" s="2">
        <v>4814.05</v>
      </c>
      <c r="E14991" s="2">
        <v>0</v>
      </c>
      <c r="F14991" t="s">
        <v>13</v>
      </c>
      <c r="G14991" t="s">
        <v>9</v>
      </c>
    </row>
    <row r="14992" spans="1:7" x14ac:dyDescent="0.35">
      <c r="A14992">
        <v>5959</v>
      </c>
      <c r="B14992" s="1">
        <v>45980</v>
      </c>
      <c r="C14992" t="s">
        <v>12</v>
      </c>
      <c r="D14992" s="2">
        <v>0</v>
      </c>
      <c r="E14992" s="2">
        <v>4478.2</v>
      </c>
      <c r="F14992" t="s">
        <v>14</v>
      </c>
      <c r="G14992" t="s">
        <v>15</v>
      </c>
    </row>
    <row r="14993" spans="1:7" x14ac:dyDescent="0.35">
      <c r="A14993">
        <v>5959</v>
      </c>
      <c r="B14993" s="1">
        <v>45980</v>
      </c>
      <c r="C14993" t="s">
        <v>12</v>
      </c>
      <c r="D14993" s="2">
        <v>0</v>
      </c>
      <c r="E14993" s="2">
        <v>335.85</v>
      </c>
      <c r="F14993" t="s">
        <v>16</v>
      </c>
      <c r="G14993" t="s">
        <v>17</v>
      </c>
    </row>
    <row r="14994" spans="1:7" x14ac:dyDescent="0.35">
      <c r="A14994">
        <v>5960</v>
      </c>
      <c r="B14994" s="1">
        <v>45980</v>
      </c>
      <c r="C14994" t="s">
        <v>12</v>
      </c>
      <c r="D14994" s="2">
        <v>1722.77</v>
      </c>
      <c r="E14994" s="2">
        <v>0</v>
      </c>
      <c r="F14994" t="s">
        <v>13</v>
      </c>
      <c r="G14994" t="s">
        <v>9</v>
      </c>
    </row>
    <row r="14995" spans="1:7" x14ac:dyDescent="0.35">
      <c r="A14995">
        <v>5960</v>
      </c>
      <c r="B14995" s="1">
        <v>45980</v>
      </c>
      <c r="C14995" t="s">
        <v>12</v>
      </c>
      <c r="D14995" s="2">
        <v>0</v>
      </c>
      <c r="E14995" s="2">
        <v>1602.58</v>
      </c>
      <c r="F14995" t="s">
        <v>14</v>
      </c>
      <c r="G14995" t="s">
        <v>15</v>
      </c>
    </row>
    <row r="14996" spans="1:7" x14ac:dyDescent="0.35">
      <c r="A14996">
        <v>5960</v>
      </c>
      <c r="B14996" s="1">
        <v>45980</v>
      </c>
      <c r="C14996" t="s">
        <v>12</v>
      </c>
      <c r="D14996" s="2">
        <v>0</v>
      </c>
      <c r="E14996" s="2">
        <v>120.19</v>
      </c>
      <c r="F14996" t="s">
        <v>16</v>
      </c>
      <c r="G14996" t="s">
        <v>17</v>
      </c>
    </row>
    <row r="14997" spans="1:7" x14ac:dyDescent="0.35">
      <c r="A14997">
        <v>5961</v>
      </c>
      <c r="B14997" s="1">
        <v>45980</v>
      </c>
      <c r="C14997" t="s">
        <v>12</v>
      </c>
      <c r="D14997" s="2">
        <v>492.15</v>
      </c>
      <c r="E14997" s="2">
        <v>0</v>
      </c>
      <c r="F14997" t="s">
        <v>13</v>
      </c>
      <c r="G14997" t="s">
        <v>9</v>
      </c>
    </row>
    <row r="14998" spans="1:7" x14ac:dyDescent="0.35">
      <c r="A14998">
        <v>5961</v>
      </c>
      <c r="B14998" s="1">
        <v>45980</v>
      </c>
      <c r="C14998" t="s">
        <v>12</v>
      </c>
      <c r="D14998" s="2">
        <v>0</v>
      </c>
      <c r="E14998" s="2">
        <v>457.81</v>
      </c>
      <c r="F14998" t="s">
        <v>14</v>
      </c>
      <c r="G14998" t="s">
        <v>15</v>
      </c>
    </row>
    <row r="14999" spans="1:7" x14ac:dyDescent="0.35">
      <c r="A14999">
        <v>5961</v>
      </c>
      <c r="B14999" s="1">
        <v>45980</v>
      </c>
      <c r="C14999" t="s">
        <v>12</v>
      </c>
      <c r="D14999" s="2">
        <v>0</v>
      </c>
      <c r="E14999" s="2">
        <v>34.340000000000003</v>
      </c>
      <c r="F14999" t="s">
        <v>16</v>
      </c>
      <c r="G14999" t="s">
        <v>17</v>
      </c>
    </row>
    <row r="15000" spans="1:7" x14ac:dyDescent="0.35">
      <c r="A15000">
        <v>5962</v>
      </c>
      <c r="B15000" s="1">
        <v>45980</v>
      </c>
      <c r="C15000" t="s">
        <v>24</v>
      </c>
      <c r="D15000" s="2">
        <v>2878.23</v>
      </c>
      <c r="E15000" s="2">
        <v>0</v>
      </c>
      <c r="F15000" t="s">
        <v>8</v>
      </c>
      <c r="G15000" t="s">
        <v>9</v>
      </c>
    </row>
    <row r="15001" spans="1:7" x14ac:dyDescent="0.35">
      <c r="A15001">
        <v>5962</v>
      </c>
      <c r="B15001" s="1">
        <v>45980</v>
      </c>
      <c r="C15001" t="s">
        <v>24</v>
      </c>
      <c r="D15001" s="2">
        <v>0</v>
      </c>
      <c r="E15001" s="2">
        <v>2878.23</v>
      </c>
      <c r="F15001" t="s">
        <v>13</v>
      </c>
      <c r="G15001" t="s">
        <v>9</v>
      </c>
    </row>
    <row r="15002" spans="1:7" x14ac:dyDescent="0.35">
      <c r="A15002">
        <v>5963</v>
      </c>
      <c r="B15002" s="1">
        <v>45980</v>
      </c>
      <c r="C15002" t="s">
        <v>24</v>
      </c>
      <c r="D15002" s="2">
        <v>1687.24</v>
      </c>
      <c r="E15002" s="2">
        <v>0</v>
      </c>
      <c r="F15002" t="s">
        <v>8</v>
      </c>
      <c r="G15002" t="s">
        <v>9</v>
      </c>
    </row>
    <row r="15003" spans="1:7" x14ac:dyDescent="0.35">
      <c r="A15003">
        <v>5963</v>
      </c>
      <c r="B15003" s="1">
        <v>45980</v>
      </c>
      <c r="C15003" t="s">
        <v>24</v>
      </c>
      <c r="D15003" s="2">
        <v>0</v>
      </c>
      <c r="E15003" s="2">
        <v>1687.24</v>
      </c>
      <c r="F15003" t="s">
        <v>13</v>
      </c>
      <c r="G15003" t="s">
        <v>9</v>
      </c>
    </row>
    <row r="15004" spans="1:7" x14ac:dyDescent="0.35">
      <c r="A15004">
        <v>5964</v>
      </c>
      <c r="B15004" s="1">
        <v>45980</v>
      </c>
      <c r="C15004" t="s">
        <v>24</v>
      </c>
      <c r="D15004" s="2">
        <v>3261.83</v>
      </c>
      <c r="E15004" s="2">
        <v>0</v>
      </c>
      <c r="F15004" t="s">
        <v>8</v>
      </c>
      <c r="G15004" t="s">
        <v>9</v>
      </c>
    </row>
    <row r="15005" spans="1:7" x14ac:dyDescent="0.35">
      <c r="A15005">
        <v>5964</v>
      </c>
      <c r="B15005" s="1">
        <v>45980</v>
      </c>
      <c r="C15005" t="s">
        <v>24</v>
      </c>
      <c r="D15005" s="2">
        <v>0</v>
      </c>
      <c r="E15005" s="2">
        <v>3261.83</v>
      </c>
      <c r="F15005" t="s">
        <v>13</v>
      </c>
      <c r="G15005" t="s">
        <v>9</v>
      </c>
    </row>
    <row r="15006" spans="1:7" x14ac:dyDescent="0.35">
      <c r="A15006">
        <v>5965</v>
      </c>
      <c r="B15006" s="1">
        <v>45980</v>
      </c>
      <c r="C15006" t="s">
        <v>24</v>
      </c>
      <c r="D15006" s="2">
        <v>3310.51</v>
      </c>
      <c r="E15006" s="2">
        <v>0</v>
      </c>
      <c r="F15006" t="s">
        <v>8</v>
      </c>
      <c r="G15006" t="s">
        <v>9</v>
      </c>
    </row>
    <row r="15007" spans="1:7" x14ac:dyDescent="0.35">
      <c r="A15007">
        <v>5965</v>
      </c>
      <c r="B15007" s="1">
        <v>45980</v>
      </c>
      <c r="C15007" t="s">
        <v>24</v>
      </c>
      <c r="D15007" s="2">
        <v>0</v>
      </c>
      <c r="E15007" s="2">
        <v>3310.51</v>
      </c>
      <c r="F15007" t="s">
        <v>13</v>
      </c>
      <c r="G15007" t="s">
        <v>9</v>
      </c>
    </row>
    <row r="15008" spans="1:7" x14ac:dyDescent="0.35">
      <c r="A15008">
        <v>5966</v>
      </c>
      <c r="B15008" s="1">
        <v>45980</v>
      </c>
      <c r="C15008" t="s">
        <v>24</v>
      </c>
      <c r="D15008" s="2">
        <v>932.38</v>
      </c>
      <c r="E15008" s="2">
        <v>0</v>
      </c>
      <c r="F15008" t="s">
        <v>8</v>
      </c>
      <c r="G15008" t="s">
        <v>9</v>
      </c>
    </row>
    <row r="15009" spans="1:7" x14ac:dyDescent="0.35">
      <c r="A15009">
        <v>5966</v>
      </c>
      <c r="B15009" s="1">
        <v>45980</v>
      </c>
      <c r="C15009" t="s">
        <v>24</v>
      </c>
      <c r="D15009" s="2">
        <v>0</v>
      </c>
      <c r="E15009" s="2">
        <v>932.38</v>
      </c>
      <c r="F15009" t="s">
        <v>13</v>
      </c>
      <c r="G15009" t="s">
        <v>9</v>
      </c>
    </row>
    <row r="15010" spans="1:7" x14ac:dyDescent="0.35">
      <c r="A15010">
        <v>5967</v>
      </c>
      <c r="B15010" s="1">
        <v>45980</v>
      </c>
      <c r="C15010" t="s">
        <v>25</v>
      </c>
      <c r="D15010" s="2">
        <v>2451.5</v>
      </c>
      <c r="E15010" s="2">
        <v>0</v>
      </c>
      <c r="F15010" t="s">
        <v>26</v>
      </c>
      <c r="G15010" t="s">
        <v>20</v>
      </c>
    </row>
    <row r="15011" spans="1:7" x14ac:dyDescent="0.35">
      <c r="A15011">
        <v>5967</v>
      </c>
      <c r="B15011" s="1">
        <v>45980</v>
      </c>
      <c r="C15011" t="s">
        <v>25</v>
      </c>
      <c r="D15011" s="2">
        <v>183.86</v>
      </c>
      <c r="E15011" s="2">
        <v>0</v>
      </c>
      <c r="F15011" t="s">
        <v>27</v>
      </c>
      <c r="G15011" t="s">
        <v>9</v>
      </c>
    </row>
    <row r="15012" spans="1:7" x14ac:dyDescent="0.35">
      <c r="A15012">
        <v>5967</v>
      </c>
      <c r="B15012" s="1">
        <v>45980</v>
      </c>
      <c r="C15012" t="s">
        <v>25</v>
      </c>
      <c r="D15012" s="2">
        <v>0</v>
      </c>
      <c r="E15012" s="2">
        <v>2635.36</v>
      </c>
      <c r="F15012" t="s">
        <v>28</v>
      </c>
      <c r="G15012" t="s">
        <v>17</v>
      </c>
    </row>
    <row r="15013" spans="1:7" x14ac:dyDescent="0.35">
      <c r="A15013">
        <v>5968</v>
      </c>
      <c r="B15013" s="1">
        <v>45980</v>
      </c>
      <c r="C15013" t="s">
        <v>29</v>
      </c>
      <c r="D15013" s="2">
        <v>201.5</v>
      </c>
      <c r="E15013" s="2">
        <v>0</v>
      </c>
      <c r="F15013" t="s">
        <v>28</v>
      </c>
      <c r="G15013" t="s">
        <v>17</v>
      </c>
    </row>
    <row r="15014" spans="1:7" x14ac:dyDescent="0.35">
      <c r="A15014">
        <v>5968</v>
      </c>
      <c r="B15014" s="1">
        <v>45980</v>
      </c>
      <c r="C15014" t="s">
        <v>29</v>
      </c>
      <c r="D15014" s="2">
        <v>0</v>
      </c>
      <c r="E15014" s="2">
        <v>201.5</v>
      </c>
      <c r="F15014" t="s">
        <v>8</v>
      </c>
      <c r="G15014" t="s">
        <v>9</v>
      </c>
    </row>
    <row r="15015" spans="1:7" x14ac:dyDescent="0.35">
      <c r="A15015">
        <v>5969</v>
      </c>
      <c r="B15015" s="1">
        <v>45981</v>
      </c>
      <c r="C15015" t="s">
        <v>18</v>
      </c>
      <c r="D15015" s="2">
        <v>22424.18</v>
      </c>
      <c r="E15015" s="2">
        <v>0</v>
      </c>
      <c r="F15015" t="s">
        <v>19</v>
      </c>
      <c r="G15015" t="s">
        <v>20</v>
      </c>
    </row>
    <row r="15016" spans="1:7" x14ac:dyDescent="0.35">
      <c r="A15016">
        <v>5969</v>
      </c>
      <c r="B15016" s="1">
        <v>45981</v>
      </c>
      <c r="C15016" t="s">
        <v>18</v>
      </c>
      <c r="D15016" s="2">
        <v>896.97</v>
      </c>
      <c r="E15016" s="2">
        <v>0</v>
      </c>
      <c r="F15016" t="s">
        <v>21</v>
      </c>
      <c r="G15016" t="s">
        <v>20</v>
      </c>
    </row>
    <row r="15017" spans="1:7" x14ac:dyDescent="0.35">
      <c r="A15017">
        <v>5969</v>
      </c>
      <c r="B15017" s="1">
        <v>45981</v>
      </c>
      <c r="C15017" t="s">
        <v>18</v>
      </c>
      <c r="D15017" s="2">
        <v>0</v>
      </c>
      <c r="E15017" s="2">
        <v>18071.599999999999</v>
      </c>
      <c r="F15017" t="s">
        <v>8</v>
      </c>
      <c r="G15017" t="s">
        <v>9</v>
      </c>
    </row>
    <row r="15018" spans="1:7" x14ac:dyDescent="0.35">
      <c r="A15018">
        <v>5969</v>
      </c>
      <c r="B15018" s="1">
        <v>45981</v>
      </c>
      <c r="C15018" t="s">
        <v>18</v>
      </c>
      <c r="D15018" s="2">
        <v>0</v>
      </c>
      <c r="E15018" s="2">
        <v>4352.58</v>
      </c>
      <c r="F15018" t="s">
        <v>22</v>
      </c>
      <c r="G15018" t="s">
        <v>17</v>
      </c>
    </row>
    <row r="15019" spans="1:7" x14ac:dyDescent="0.35">
      <c r="A15019">
        <v>5969</v>
      </c>
      <c r="B15019" s="1">
        <v>45981</v>
      </c>
      <c r="C15019" t="s">
        <v>18</v>
      </c>
      <c r="D15019" s="2">
        <v>0</v>
      </c>
      <c r="E15019" s="2">
        <v>896.97</v>
      </c>
      <c r="F15019" t="s">
        <v>23</v>
      </c>
      <c r="G15019" t="s">
        <v>17</v>
      </c>
    </row>
    <row r="15020" spans="1:7" x14ac:dyDescent="0.35">
      <c r="A15020">
        <v>5970</v>
      </c>
      <c r="B15020" s="1">
        <v>45981</v>
      </c>
      <c r="C15020" t="s">
        <v>12</v>
      </c>
      <c r="D15020" s="2">
        <v>3427.65</v>
      </c>
      <c r="E15020" s="2">
        <v>0</v>
      </c>
      <c r="F15020" t="s">
        <v>13</v>
      </c>
      <c r="G15020" t="s">
        <v>9</v>
      </c>
    </row>
    <row r="15021" spans="1:7" x14ac:dyDescent="0.35">
      <c r="A15021">
        <v>5970</v>
      </c>
      <c r="B15021" s="1">
        <v>45981</v>
      </c>
      <c r="C15021" t="s">
        <v>12</v>
      </c>
      <c r="D15021" s="2">
        <v>0</v>
      </c>
      <c r="E15021" s="2">
        <v>3188.51</v>
      </c>
      <c r="F15021" t="s">
        <v>14</v>
      </c>
      <c r="G15021" t="s">
        <v>15</v>
      </c>
    </row>
    <row r="15022" spans="1:7" x14ac:dyDescent="0.35">
      <c r="A15022">
        <v>5970</v>
      </c>
      <c r="B15022" s="1">
        <v>45981</v>
      </c>
      <c r="C15022" t="s">
        <v>12</v>
      </c>
      <c r="D15022" s="2">
        <v>0</v>
      </c>
      <c r="E15022" s="2">
        <v>239.14</v>
      </c>
      <c r="F15022" t="s">
        <v>16</v>
      </c>
      <c r="G15022" t="s">
        <v>17</v>
      </c>
    </row>
    <row r="15023" spans="1:7" x14ac:dyDescent="0.35">
      <c r="A15023">
        <v>5971</v>
      </c>
      <c r="B15023" s="1">
        <v>45981</v>
      </c>
      <c r="C15023" t="s">
        <v>12</v>
      </c>
      <c r="D15023" s="2">
        <v>1400.73</v>
      </c>
      <c r="E15023" s="2">
        <v>0</v>
      </c>
      <c r="F15023" t="s">
        <v>13</v>
      </c>
      <c r="G15023" t="s">
        <v>9</v>
      </c>
    </row>
    <row r="15024" spans="1:7" x14ac:dyDescent="0.35">
      <c r="A15024">
        <v>5971</v>
      </c>
      <c r="B15024" s="1">
        <v>45981</v>
      </c>
      <c r="C15024" t="s">
        <v>12</v>
      </c>
      <c r="D15024" s="2">
        <v>0</v>
      </c>
      <c r="E15024" s="2">
        <v>1303.01</v>
      </c>
      <c r="F15024" t="s">
        <v>14</v>
      </c>
      <c r="G15024" t="s">
        <v>15</v>
      </c>
    </row>
    <row r="15025" spans="1:7" x14ac:dyDescent="0.35">
      <c r="A15025">
        <v>5971</v>
      </c>
      <c r="B15025" s="1">
        <v>45981</v>
      </c>
      <c r="C15025" t="s">
        <v>12</v>
      </c>
      <c r="D15025" s="2">
        <v>0</v>
      </c>
      <c r="E15025" s="2">
        <v>97.72</v>
      </c>
      <c r="F15025" t="s">
        <v>16</v>
      </c>
      <c r="G15025" t="s">
        <v>17</v>
      </c>
    </row>
    <row r="15026" spans="1:7" x14ac:dyDescent="0.35">
      <c r="A15026">
        <v>5972</v>
      </c>
      <c r="B15026" s="1">
        <v>45981</v>
      </c>
      <c r="C15026" t="s">
        <v>12</v>
      </c>
      <c r="D15026" s="2">
        <v>1823.19</v>
      </c>
      <c r="E15026" s="2">
        <v>0</v>
      </c>
      <c r="F15026" t="s">
        <v>13</v>
      </c>
      <c r="G15026" t="s">
        <v>9</v>
      </c>
    </row>
    <row r="15027" spans="1:7" x14ac:dyDescent="0.35">
      <c r="A15027">
        <v>5972</v>
      </c>
      <c r="B15027" s="1">
        <v>45981</v>
      </c>
      <c r="C15027" t="s">
        <v>12</v>
      </c>
      <c r="D15027" s="2">
        <v>0</v>
      </c>
      <c r="E15027" s="2">
        <v>1695.99</v>
      </c>
      <c r="F15027" t="s">
        <v>14</v>
      </c>
      <c r="G15027" t="s">
        <v>15</v>
      </c>
    </row>
    <row r="15028" spans="1:7" x14ac:dyDescent="0.35">
      <c r="A15028">
        <v>5972</v>
      </c>
      <c r="B15028" s="1">
        <v>45981</v>
      </c>
      <c r="C15028" t="s">
        <v>12</v>
      </c>
      <c r="D15028" s="2">
        <v>0</v>
      </c>
      <c r="E15028" s="2">
        <v>127.2</v>
      </c>
      <c r="F15028" t="s">
        <v>16</v>
      </c>
      <c r="G15028" t="s">
        <v>17</v>
      </c>
    </row>
    <row r="15029" spans="1:7" x14ac:dyDescent="0.35">
      <c r="A15029">
        <v>5973</v>
      </c>
      <c r="B15029" s="1">
        <v>45981</v>
      </c>
      <c r="C15029" t="s">
        <v>12</v>
      </c>
      <c r="D15029" s="2">
        <v>4544.6099999999997</v>
      </c>
      <c r="E15029" s="2">
        <v>0</v>
      </c>
      <c r="F15029" t="s">
        <v>13</v>
      </c>
      <c r="G15029" t="s">
        <v>9</v>
      </c>
    </row>
    <row r="15030" spans="1:7" x14ac:dyDescent="0.35">
      <c r="A15030">
        <v>5973</v>
      </c>
      <c r="B15030" s="1">
        <v>45981</v>
      </c>
      <c r="C15030" t="s">
        <v>12</v>
      </c>
      <c r="D15030" s="2">
        <v>0</v>
      </c>
      <c r="E15030" s="2">
        <v>4227.54</v>
      </c>
      <c r="F15030" t="s">
        <v>14</v>
      </c>
      <c r="G15030" t="s">
        <v>15</v>
      </c>
    </row>
    <row r="15031" spans="1:7" x14ac:dyDescent="0.35">
      <c r="A15031">
        <v>5973</v>
      </c>
      <c r="B15031" s="1">
        <v>45981</v>
      </c>
      <c r="C15031" t="s">
        <v>12</v>
      </c>
      <c r="D15031" s="2">
        <v>0</v>
      </c>
      <c r="E15031" s="2">
        <v>317.07</v>
      </c>
      <c r="F15031" t="s">
        <v>16</v>
      </c>
      <c r="G15031" t="s">
        <v>17</v>
      </c>
    </row>
    <row r="15032" spans="1:7" x14ac:dyDescent="0.35">
      <c r="A15032">
        <v>5974</v>
      </c>
      <c r="B15032" s="1">
        <v>45981</v>
      </c>
      <c r="C15032" t="s">
        <v>12</v>
      </c>
      <c r="D15032" s="2">
        <v>782.3</v>
      </c>
      <c r="E15032" s="2">
        <v>0</v>
      </c>
      <c r="F15032" t="s">
        <v>13</v>
      </c>
      <c r="G15032" t="s">
        <v>9</v>
      </c>
    </row>
    <row r="15033" spans="1:7" x14ac:dyDescent="0.35">
      <c r="A15033">
        <v>5974</v>
      </c>
      <c r="B15033" s="1">
        <v>45981</v>
      </c>
      <c r="C15033" t="s">
        <v>12</v>
      </c>
      <c r="D15033" s="2">
        <v>0</v>
      </c>
      <c r="E15033" s="2">
        <v>727.73</v>
      </c>
      <c r="F15033" t="s">
        <v>14</v>
      </c>
      <c r="G15033" t="s">
        <v>15</v>
      </c>
    </row>
    <row r="15034" spans="1:7" x14ac:dyDescent="0.35">
      <c r="A15034">
        <v>5974</v>
      </c>
      <c r="B15034" s="1">
        <v>45981</v>
      </c>
      <c r="C15034" t="s">
        <v>12</v>
      </c>
      <c r="D15034" s="2">
        <v>0</v>
      </c>
      <c r="E15034" s="2">
        <v>54.57</v>
      </c>
      <c r="F15034" t="s">
        <v>16</v>
      </c>
      <c r="G15034" t="s">
        <v>17</v>
      </c>
    </row>
    <row r="15035" spans="1:7" x14ac:dyDescent="0.35">
      <c r="A15035">
        <v>5975</v>
      </c>
      <c r="B15035" s="1">
        <v>45981</v>
      </c>
      <c r="C15035" t="s">
        <v>12</v>
      </c>
      <c r="D15035" s="2">
        <v>3767.22</v>
      </c>
      <c r="E15035" s="2">
        <v>0</v>
      </c>
      <c r="F15035" t="s">
        <v>13</v>
      </c>
      <c r="G15035" t="s">
        <v>9</v>
      </c>
    </row>
    <row r="15036" spans="1:7" x14ac:dyDescent="0.35">
      <c r="A15036">
        <v>5975</v>
      </c>
      <c r="B15036" s="1">
        <v>45981</v>
      </c>
      <c r="C15036" t="s">
        <v>12</v>
      </c>
      <c r="D15036" s="2">
        <v>0</v>
      </c>
      <c r="E15036" s="2">
        <v>3504.4</v>
      </c>
      <c r="F15036" t="s">
        <v>14</v>
      </c>
      <c r="G15036" t="s">
        <v>15</v>
      </c>
    </row>
    <row r="15037" spans="1:7" x14ac:dyDescent="0.35">
      <c r="A15037">
        <v>5975</v>
      </c>
      <c r="B15037" s="1">
        <v>45981</v>
      </c>
      <c r="C15037" t="s">
        <v>12</v>
      </c>
      <c r="D15037" s="2">
        <v>0</v>
      </c>
      <c r="E15037" s="2">
        <v>262.82</v>
      </c>
      <c r="F15037" t="s">
        <v>16</v>
      </c>
      <c r="G15037" t="s">
        <v>17</v>
      </c>
    </row>
    <row r="15038" spans="1:7" x14ac:dyDescent="0.35">
      <c r="A15038">
        <v>5976</v>
      </c>
      <c r="B15038" s="1">
        <v>45981</v>
      </c>
      <c r="C15038" t="s">
        <v>12</v>
      </c>
      <c r="D15038" s="2">
        <v>5232.34</v>
      </c>
      <c r="E15038" s="2">
        <v>0</v>
      </c>
      <c r="F15038" t="s">
        <v>13</v>
      </c>
      <c r="G15038" t="s">
        <v>9</v>
      </c>
    </row>
    <row r="15039" spans="1:7" x14ac:dyDescent="0.35">
      <c r="A15039">
        <v>5976</v>
      </c>
      <c r="B15039" s="1">
        <v>45981</v>
      </c>
      <c r="C15039" t="s">
        <v>12</v>
      </c>
      <c r="D15039" s="2">
        <v>0</v>
      </c>
      <c r="E15039" s="2">
        <v>4867.29</v>
      </c>
      <c r="F15039" t="s">
        <v>14</v>
      </c>
      <c r="G15039" t="s">
        <v>15</v>
      </c>
    </row>
    <row r="15040" spans="1:7" x14ac:dyDescent="0.35">
      <c r="A15040">
        <v>5976</v>
      </c>
      <c r="B15040" s="1">
        <v>45981</v>
      </c>
      <c r="C15040" t="s">
        <v>12</v>
      </c>
      <c r="D15040" s="2">
        <v>0</v>
      </c>
      <c r="E15040" s="2">
        <v>365.05</v>
      </c>
      <c r="F15040" t="s">
        <v>16</v>
      </c>
      <c r="G15040" t="s">
        <v>17</v>
      </c>
    </row>
    <row r="15041" spans="1:7" x14ac:dyDescent="0.35">
      <c r="A15041">
        <v>5977</v>
      </c>
      <c r="B15041" s="1">
        <v>45981</v>
      </c>
      <c r="C15041" t="s">
        <v>12</v>
      </c>
      <c r="D15041" s="2">
        <v>2736.53</v>
      </c>
      <c r="E15041" s="2">
        <v>0</v>
      </c>
      <c r="F15041" t="s">
        <v>13</v>
      </c>
      <c r="G15041" t="s">
        <v>9</v>
      </c>
    </row>
    <row r="15042" spans="1:7" x14ac:dyDescent="0.35">
      <c r="A15042">
        <v>5977</v>
      </c>
      <c r="B15042" s="1">
        <v>45981</v>
      </c>
      <c r="C15042" t="s">
        <v>12</v>
      </c>
      <c r="D15042" s="2">
        <v>0</v>
      </c>
      <c r="E15042" s="2">
        <v>2545.6</v>
      </c>
      <c r="F15042" t="s">
        <v>14</v>
      </c>
      <c r="G15042" t="s">
        <v>15</v>
      </c>
    </row>
    <row r="15043" spans="1:7" x14ac:dyDescent="0.35">
      <c r="A15043">
        <v>5977</v>
      </c>
      <c r="B15043" s="1">
        <v>45981</v>
      </c>
      <c r="C15043" t="s">
        <v>12</v>
      </c>
      <c r="D15043" s="2">
        <v>0</v>
      </c>
      <c r="E15043" s="2">
        <v>190.93</v>
      </c>
      <c r="F15043" t="s">
        <v>16</v>
      </c>
      <c r="G15043" t="s">
        <v>17</v>
      </c>
    </row>
    <row r="15044" spans="1:7" x14ac:dyDescent="0.35">
      <c r="A15044">
        <v>5978</v>
      </c>
      <c r="B15044" s="1">
        <v>45981</v>
      </c>
      <c r="C15044" t="s">
        <v>12</v>
      </c>
      <c r="D15044" s="2">
        <v>6659.07</v>
      </c>
      <c r="E15044" s="2">
        <v>0</v>
      </c>
      <c r="F15044" t="s">
        <v>13</v>
      </c>
      <c r="G15044" t="s">
        <v>9</v>
      </c>
    </row>
    <row r="15045" spans="1:7" x14ac:dyDescent="0.35">
      <c r="A15045">
        <v>5978</v>
      </c>
      <c r="B15045" s="1">
        <v>45981</v>
      </c>
      <c r="C15045" t="s">
        <v>12</v>
      </c>
      <c r="D15045" s="2">
        <v>0</v>
      </c>
      <c r="E15045" s="2">
        <v>6194.49</v>
      </c>
      <c r="F15045" t="s">
        <v>14</v>
      </c>
      <c r="G15045" t="s">
        <v>15</v>
      </c>
    </row>
    <row r="15046" spans="1:7" x14ac:dyDescent="0.35">
      <c r="A15046">
        <v>5978</v>
      </c>
      <c r="B15046" s="1">
        <v>45981</v>
      </c>
      <c r="C15046" t="s">
        <v>12</v>
      </c>
      <c r="D15046" s="2">
        <v>0</v>
      </c>
      <c r="E15046" s="2">
        <v>464.58</v>
      </c>
      <c r="F15046" t="s">
        <v>16</v>
      </c>
      <c r="G15046" t="s">
        <v>17</v>
      </c>
    </row>
    <row r="15047" spans="1:7" x14ac:dyDescent="0.35">
      <c r="A15047">
        <v>5979</v>
      </c>
      <c r="B15047" s="1">
        <v>45981</v>
      </c>
      <c r="C15047" t="s">
        <v>12</v>
      </c>
      <c r="D15047" s="2">
        <v>494.63</v>
      </c>
      <c r="E15047" s="2">
        <v>0</v>
      </c>
      <c r="F15047" t="s">
        <v>13</v>
      </c>
      <c r="G15047" t="s">
        <v>9</v>
      </c>
    </row>
    <row r="15048" spans="1:7" x14ac:dyDescent="0.35">
      <c r="A15048">
        <v>5979</v>
      </c>
      <c r="B15048" s="1">
        <v>45981</v>
      </c>
      <c r="C15048" t="s">
        <v>12</v>
      </c>
      <c r="D15048" s="2">
        <v>0</v>
      </c>
      <c r="E15048" s="2">
        <v>460.12</v>
      </c>
      <c r="F15048" t="s">
        <v>14</v>
      </c>
      <c r="G15048" t="s">
        <v>15</v>
      </c>
    </row>
    <row r="15049" spans="1:7" x14ac:dyDescent="0.35">
      <c r="A15049">
        <v>5979</v>
      </c>
      <c r="B15049" s="1">
        <v>45981</v>
      </c>
      <c r="C15049" t="s">
        <v>12</v>
      </c>
      <c r="D15049" s="2">
        <v>0</v>
      </c>
      <c r="E15049" s="2">
        <v>34.51</v>
      </c>
      <c r="F15049" t="s">
        <v>16</v>
      </c>
      <c r="G15049" t="s">
        <v>17</v>
      </c>
    </row>
    <row r="15050" spans="1:7" x14ac:dyDescent="0.35">
      <c r="A15050">
        <v>5980</v>
      </c>
      <c r="B15050" s="1">
        <v>45981</v>
      </c>
      <c r="C15050" t="s">
        <v>12</v>
      </c>
      <c r="D15050" s="2">
        <v>215.49</v>
      </c>
      <c r="E15050" s="2">
        <v>0</v>
      </c>
      <c r="F15050" t="s">
        <v>13</v>
      </c>
      <c r="G15050" t="s">
        <v>9</v>
      </c>
    </row>
    <row r="15051" spans="1:7" x14ac:dyDescent="0.35">
      <c r="A15051">
        <v>5980</v>
      </c>
      <c r="B15051" s="1">
        <v>45981</v>
      </c>
      <c r="C15051" t="s">
        <v>12</v>
      </c>
      <c r="D15051" s="2">
        <v>0</v>
      </c>
      <c r="E15051" s="2">
        <v>200.46</v>
      </c>
      <c r="F15051" t="s">
        <v>14</v>
      </c>
      <c r="G15051" t="s">
        <v>15</v>
      </c>
    </row>
    <row r="15052" spans="1:7" x14ac:dyDescent="0.35">
      <c r="A15052">
        <v>5980</v>
      </c>
      <c r="B15052" s="1">
        <v>45981</v>
      </c>
      <c r="C15052" t="s">
        <v>12</v>
      </c>
      <c r="D15052" s="2">
        <v>0</v>
      </c>
      <c r="E15052" s="2">
        <v>15.03</v>
      </c>
      <c r="F15052" t="s">
        <v>16</v>
      </c>
      <c r="G15052" t="s">
        <v>17</v>
      </c>
    </row>
    <row r="15053" spans="1:7" x14ac:dyDescent="0.35">
      <c r="A15053">
        <v>5981</v>
      </c>
      <c r="B15053" s="1">
        <v>45981</v>
      </c>
      <c r="C15053" t="s">
        <v>12</v>
      </c>
      <c r="D15053" s="2">
        <v>4789.3900000000003</v>
      </c>
      <c r="E15053" s="2">
        <v>0</v>
      </c>
      <c r="F15053" t="s">
        <v>13</v>
      </c>
      <c r="G15053" t="s">
        <v>9</v>
      </c>
    </row>
    <row r="15054" spans="1:7" x14ac:dyDescent="0.35">
      <c r="A15054">
        <v>5981</v>
      </c>
      <c r="B15054" s="1">
        <v>45981</v>
      </c>
      <c r="C15054" t="s">
        <v>12</v>
      </c>
      <c r="D15054" s="2">
        <v>0</v>
      </c>
      <c r="E15054" s="2">
        <v>4455.2299999999996</v>
      </c>
      <c r="F15054" t="s">
        <v>14</v>
      </c>
      <c r="G15054" t="s">
        <v>15</v>
      </c>
    </row>
    <row r="15055" spans="1:7" x14ac:dyDescent="0.35">
      <c r="A15055">
        <v>5981</v>
      </c>
      <c r="B15055" s="1">
        <v>45981</v>
      </c>
      <c r="C15055" t="s">
        <v>12</v>
      </c>
      <c r="D15055" s="2">
        <v>0</v>
      </c>
      <c r="E15055" s="2">
        <v>334.16</v>
      </c>
      <c r="F15055" t="s">
        <v>16</v>
      </c>
      <c r="G15055" t="s">
        <v>17</v>
      </c>
    </row>
    <row r="15056" spans="1:7" x14ac:dyDescent="0.35">
      <c r="A15056">
        <v>5982</v>
      </c>
      <c r="B15056" s="1">
        <v>45981</v>
      </c>
      <c r="C15056" t="s">
        <v>24</v>
      </c>
      <c r="D15056" s="2">
        <v>1939.19</v>
      </c>
      <c r="E15056" s="2">
        <v>0</v>
      </c>
      <c r="F15056" t="s">
        <v>8</v>
      </c>
      <c r="G15056" t="s">
        <v>9</v>
      </c>
    </row>
    <row r="15057" spans="1:7" x14ac:dyDescent="0.35">
      <c r="A15057">
        <v>5982</v>
      </c>
      <c r="B15057" s="1">
        <v>45981</v>
      </c>
      <c r="C15057" t="s">
        <v>24</v>
      </c>
      <c r="D15057" s="2">
        <v>0</v>
      </c>
      <c r="E15057" s="2">
        <v>1939.19</v>
      </c>
      <c r="F15057" t="s">
        <v>13</v>
      </c>
      <c r="G15057" t="s">
        <v>9</v>
      </c>
    </row>
    <row r="15058" spans="1:7" x14ac:dyDescent="0.35">
      <c r="A15058">
        <v>5983</v>
      </c>
      <c r="B15058" s="1">
        <v>45981</v>
      </c>
      <c r="C15058" t="s">
        <v>24</v>
      </c>
      <c r="D15058" s="2">
        <v>789.93</v>
      </c>
      <c r="E15058" s="2">
        <v>0</v>
      </c>
      <c r="F15058" t="s">
        <v>8</v>
      </c>
      <c r="G15058" t="s">
        <v>9</v>
      </c>
    </row>
    <row r="15059" spans="1:7" x14ac:dyDescent="0.35">
      <c r="A15059">
        <v>5983</v>
      </c>
      <c r="B15059" s="1">
        <v>45981</v>
      </c>
      <c r="C15059" t="s">
        <v>24</v>
      </c>
      <c r="D15059" s="2">
        <v>0</v>
      </c>
      <c r="E15059" s="2">
        <v>789.93</v>
      </c>
      <c r="F15059" t="s">
        <v>13</v>
      </c>
      <c r="G15059" t="s">
        <v>9</v>
      </c>
    </row>
    <row r="15060" spans="1:7" x14ac:dyDescent="0.35">
      <c r="A15060">
        <v>5984</v>
      </c>
      <c r="B15060" s="1">
        <v>45981</v>
      </c>
      <c r="C15060" t="s">
        <v>24</v>
      </c>
      <c r="D15060" s="2">
        <v>3747.76</v>
      </c>
      <c r="E15060" s="2">
        <v>0</v>
      </c>
      <c r="F15060" t="s">
        <v>8</v>
      </c>
      <c r="G15060" t="s">
        <v>9</v>
      </c>
    </row>
    <row r="15061" spans="1:7" x14ac:dyDescent="0.35">
      <c r="A15061">
        <v>5984</v>
      </c>
      <c r="B15061" s="1">
        <v>45981</v>
      </c>
      <c r="C15061" t="s">
        <v>24</v>
      </c>
      <c r="D15061" s="2">
        <v>0</v>
      </c>
      <c r="E15061" s="2">
        <v>3747.76</v>
      </c>
      <c r="F15061" t="s">
        <v>13</v>
      </c>
      <c r="G15061" t="s">
        <v>9</v>
      </c>
    </row>
    <row r="15062" spans="1:7" x14ac:dyDescent="0.35">
      <c r="A15062">
        <v>5985</v>
      </c>
      <c r="B15062" s="1">
        <v>45981</v>
      </c>
      <c r="C15062" t="s">
        <v>24</v>
      </c>
      <c r="D15062" s="2">
        <v>890.58</v>
      </c>
      <c r="E15062" s="2">
        <v>0</v>
      </c>
      <c r="F15062" t="s">
        <v>8</v>
      </c>
      <c r="G15062" t="s">
        <v>9</v>
      </c>
    </row>
    <row r="15063" spans="1:7" x14ac:dyDescent="0.35">
      <c r="A15063">
        <v>5985</v>
      </c>
      <c r="B15063" s="1">
        <v>45981</v>
      </c>
      <c r="C15063" t="s">
        <v>24</v>
      </c>
      <c r="D15063" s="2">
        <v>0</v>
      </c>
      <c r="E15063" s="2">
        <v>890.58</v>
      </c>
      <c r="F15063" t="s">
        <v>13</v>
      </c>
      <c r="G15063" t="s">
        <v>9</v>
      </c>
    </row>
    <row r="15064" spans="1:7" x14ac:dyDescent="0.35">
      <c r="A15064">
        <v>5986</v>
      </c>
      <c r="B15064" s="1">
        <v>45981</v>
      </c>
      <c r="C15064" t="s">
        <v>24</v>
      </c>
      <c r="D15064" s="2">
        <v>238.83</v>
      </c>
      <c r="E15064" s="2">
        <v>0</v>
      </c>
      <c r="F15064" t="s">
        <v>8</v>
      </c>
      <c r="G15064" t="s">
        <v>9</v>
      </c>
    </row>
    <row r="15065" spans="1:7" x14ac:dyDescent="0.35">
      <c r="A15065">
        <v>5986</v>
      </c>
      <c r="B15065" s="1">
        <v>45981</v>
      </c>
      <c r="C15065" t="s">
        <v>24</v>
      </c>
      <c r="D15065" s="2">
        <v>0</v>
      </c>
      <c r="E15065" s="2">
        <v>238.83</v>
      </c>
      <c r="F15065" t="s">
        <v>13</v>
      </c>
      <c r="G15065" t="s">
        <v>9</v>
      </c>
    </row>
    <row r="15066" spans="1:7" x14ac:dyDescent="0.35">
      <c r="A15066">
        <v>5987</v>
      </c>
      <c r="B15066" s="1">
        <v>45981</v>
      </c>
      <c r="C15066" t="s">
        <v>24</v>
      </c>
      <c r="D15066" s="2">
        <v>2005.98</v>
      </c>
      <c r="E15066" s="2">
        <v>0</v>
      </c>
      <c r="F15066" t="s">
        <v>8</v>
      </c>
      <c r="G15066" t="s">
        <v>9</v>
      </c>
    </row>
    <row r="15067" spans="1:7" x14ac:dyDescent="0.35">
      <c r="A15067">
        <v>5987</v>
      </c>
      <c r="B15067" s="1">
        <v>45981</v>
      </c>
      <c r="C15067" t="s">
        <v>24</v>
      </c>
      <c r="D15067" s="2">
        <v>0</v>
      </c>
      <c r="E15067" s="2">
        <v>2005.98</v>
      </c>
      <c r="F15067" t="s">
        <v>13</v>
      </c>
      <c r="G15067" t="s">
        <v>9</v>
      </c>
    </row>
    <row r="15068" spans="1:7" x14ac:dyDescent="0.35">
      <c r="A15068">
        <v>5988</v>
      </c>
      <c r="B15068" s="1">
        <v>45981</v>
      </c>
      <c r="C15068" t="s">
        <v>29</v>
      </c>
      <c r="D15068" s="2">
        <v>3528.97</v>
      </c>
      <c r="E15068" s="2">
        <v>0</v>
      </c>
      <c r="F15068" t="s">
        <v>28</v>
      </c>
      <c r="G15068" t="s">
        <v>17</v>
      </c>
    </row>
    <row r="15069" spans="1:7" x14ac:dyDescent="0.35">
      <c r="A15069">
        <v>5988</v>
      </c>
      <c r="B15069" s="1">
        <v>45981</v>
      </c>
      <c r="C15069" t="s">
        <v>29</v>
      </c>
      <c r="D15069" s="2">
        <v>0</v>
      </c>
      <c r="E15069" s="2">
        <v>3528.97</v>
      </c>
      <c r="F15069" t="s">
        <v>8</v>
      </c>
      <c r="G15069" t="s">
        <v>9</v>
      </c>
    </row>
    <row r="15070" spans="1:7" x14ac:dyDescent="0.35">
      <c r="A15070">
        <v>5989</v>
      </c>
      <c r="B15070" s="1">
        <v>45981</v>
      </c>
      <c r="C15070" t="s">
        <v>29</v>
      </c>
      <c r="D15070" s="2">
        <v>862.91</v>
      </c>
      <c r="E15070" s="2">
        <v>0</v>
      </c>
      <c r="F15070" t="s">
        <v>28</v>
      </c>
      <c r="G15070" t="s">
        <v>17</v>
      </c>
    </row>
    <row r="15071" spans="1:7" x14ac:dyDescent="0.35">
      <c r="A15071">
        <v>5989</v>
      </c>
      <c r="B15071" s="1">
        <v>45981</v>
      </c>
      <c r="C15071" t="s">
        <v>29</v>
      </c>
      <c r="D15071" s="2">
        <v>0</v>
      </c>
      <c r="E15071" s="2">
        <v>862.91</v>
      </c>
      <c r="F15071" t="s">
        <v>8</v>
      </c>
      <c r="G15071" t="s">
        <v>9</v>
      </c>
    </row>
    <row r="15072" spans="1:7" x14ac:dyDescent="0.35">
      <c r="A15072">
        <v>5990</v>
      </c>
      <c r="B15072" s="1">
        <v>45982</v>
      </c>
      <c r="C15072" t="s">
        <v>12</v>
      </c>
      <c r="D15072" s="2">
        <v>1219.56</v>
      </c>
      <c r="E15072" s="2">
        <v>0</v>
      </c>
      <c r="F15072" t="s">
        <v>13</v>
      </c>
      <c r="G15072" t="s">
        <v>9</v>
      </c>
    </row>
    <row r="15073" spans="1:7" x14ac:dyDescent="0.35">
      <c r="A15073">
        <v>5990</v>
      </c>
      <c r="B15073" s="1">
        <v>45982</v>
      </c>
      <c r="C15073" t="s">
        <v>12</v>
      </c>
      <c r="D15073" s="2">
        <v>0</v>
      </c>
      <c r="E15073" s="2">
        <v>1134.48</v>
      </c>
      <c r="F15073" t="s">
        <v>14</v>
      </c>
      <c r="G15073" t="s">
        <v>15</v>
      </c>
    </row>
    <row r="15074" spans="1:7" x14ac:dyDescent="0.35">
      <c r="A15074">
        <v>5990</v>
      </c>
      <c r="B15074" s="1">
        <v>45982</v>
      </c>
      <c r="C15074" t="s">
        <v>12</v>
      </c>
      <c r="D15074" s="2">
        <v>0</v>
      </c>
      <c r="E15074" s="2">
        <v>85.08</v>
      </c>
      <c r="F15074" t="s">
        <v>16</v>
      </c>
      <c r="G15074" t="s">
        <v>17</v>
      </c>
    </row>
    <row r="15075" spans="1:7" x14ac:dyDescent="0.35">
      <c r="A15075">
        <v>5991</v>
      </c>
      <c r="B15075" s="1">
        <v>45982</v>
      </c>
      <c r="C15075" t="s">
        <v>12</v>
      </c>
      <c r="D15075" s="2">
        <v>5138.67</v>
      </c>
      <c r="E15075" s="2">
        <v>0</v>
      </c>
      <c r="F15075" t="s">
        <v>13</v>
      </c>
      <c r="G15075" t="s">
        <v>9</v>
      </c>
    </row>
    <row r="15076" spans="1:7" x14ac:dyDescent="0.35">
      <c r="A15076">
        <v>5991</v>
      </c>
      <c r="B15076" s="1">
        <v>45982</v>
      </c>
      <c r="C15076" t="s">
        <v>12</v>
      </c>
      <c r="D15076" s="2">
        <v>0</v>
      </c>
      <c r="E15076" s="2">
        <v>4780.1499999999996</v>
      </c>
      <c r="F15076" t="s">
        <v>14</v>
      </c>
      <c r="G15076" t="s">
        <v>15</v>
      </c>
    </row>
    <row r="15077" spans="1:7" x14ac:dyDescent="0.35">
      <c r="A15077">
        <v>5991</v>
      </c>
      <c r="B15077" s="1">
        <v>45982</v>
      </c>
      <c r="C15077" t="s">
        <v>12</v>
      </c>
      <c r="D15077" s="2">
        <v>0</v>
      </c>
      <c r="E15077" s="2">
        <v>358.52</v>
      </c>
      <c r="F15077" t="s">
        <v>16</v>
      </c>
      <c r="G15077" t="s">
        <v>17</v>
      </c>
    </row>
    <row r="15078" spans="1:7" x14ac:dyDescent="0.35">
      <c r="A15078">
        <v>5992</v>
      </c>
      <c r="B15078" s="1">
        <v>45982</v>
      </c>
      <c r="C15078" t="s">
        <v>12</v>
      </c>
      <c r="D15078" s="2">
        <v>876.23</v>
      </c>
      <c r="E15078" s="2">
        <v>0</v>
      </c>
      <c r="F15078" t="s">
        <v>13</v>
      </c>
      <c r="G15078" t="s">
        <v>9</v>
      </c>
    </row>
    <row r="15079" spans="1:7" x14ac:dyDescent="0.35">
      <c r="A15079">
        <v>5992</v>
      </c>
      <c r="B15079" s="1">
        <v>45982</v>
      </c>
      <c r="C15079" t="s">
        <v>12</v>
      </c>
      <c r="D15079" s="2">
        <v>0</v>
      </c>
      <c r="E15079" s="2">
        <v>815.1</v>
      </c>
      <c r="F15079" t="s">
        <v>14</v>
      </c>
      <c r="G15079" t="s">
        <v>15</v>
      </c>
    </row>
    <row r="15080" spans="1:7" x14ac:dyDescent="0.35">
      <c r="A15080">
        <v>5992</v>
      </c>
      <c r="B15080" s="1">
        <v>45982</v>
      </c>
      <c r="C15080" t="s">
        <v>12</v>
      </c>
      <c r="D15080" s="2">
        <v>0</v>
      </c>
      <c r="E15080" s="2">
        <v>61.13</v>
      </c>
      <c r="F15080" t="s">
        <v>16</v>
      </c>
      <c r="G15080" t="s">
        <v>17</v>
      </c>
    </row>
    <row r="15081" spans="1:7" x14ac:dyDescent="0.35">
      <c r="A15081">
        <v>5993</v>
      </c>
      <c r="B15081" s="1">
        <v>45982</v>
      </c>
      <c r="C15081" t="s">
        <v>12</v>
      </c>
      <c r="D15081" s="2">
        <v>4653.96</v>
      </c>
      <c r="E15081" s="2">
        <v>0</v>
      </c>
      <c r="F15081" t="s">
        <v>13</v>
      </c>
      <c r="G15081" t="s">
        <v>9</v>
      </c>
    </row>
    <row r="15082" spans="1:7" x14ac:dyDescent="0.35">
      <c r="A15082">
        <v>5993</v>
      </c>
      <c r="B15082" s="1">
        <v>45982</v>
      </c>
      <c r="C15082" t="s">
        <v>12</v>
      </c>
      <c r="D15082" s="2">
        <v>0</v>
      </c>
      <c r="E15082" s="2">
        <v>4329.2700000000004</v>
      </c>
      <c r="F15082" t="s">
        <v>14</v>
      </c>
      <c r="G15082" t="s">
        <v>15</v>
      </c>
    </row>
    <row r="15083" spans="1:7" x14ac:dyDescent="0.35">
      <c r="A15083">
        <v>5993</v>
      </c>
      <c r="B15083" s="1">
        <v>45982</v>
      </c>
      <c r="C15083" t="s">
        <v>12</v>
      </c>
      <c r="D15083" s="2">
        <v>0</v>
      </c>
      <c r="E15083" s="2">
        <v>324.69</v>
      </c>
      <c r="F15083" t="s">
        <v>16</v>
      </c>
      <c r="G15083" t="s">
        <v>17</v>
      </c>
    </row>
    <row r="15084" spans="1:7" x14ac:dyDescent="0.35">
      <c r="A15084">
        <v>5994</v>
      </c>
      <c r="B15084" s="1">
        <v>45982</v>
      </c>
      <c r="C15084" t="s">
        <v>12</v>
      </c>
      <c r="D15084" s="2">
        <v>559.48</v>
      </c>
      <c r="E15084" s="2">
        <v>0</v>
      </c>
      <c r="F15084" t="s">
        <v>13</v>
      </c>
      <c r="G15084" t="s">
        <v>9</v>
      </c>
    </row>
    <row r="15085" spans="1:7" x14ac:dyDescent="0.35">
      <c r="A15085">
        <v>5994</v>
      </c>
      <c r="B15085" s="1">
        <v>45982</v>
      </c>
      <c r="C15085" t="s">
        <v>12</v>
      </c>
      <c r="D15085" s="2">
        <v>0</v>
      </c>
      <c r="E15085" s="2">
        <v>520.44000000000005</v>
      </c>
      <c r="F15085" t="s">
        <v>14</v>
      </c>
      <c r="G15085" t="s">
        <v>15</v>
      </c>
    </row>
    <row r="15086" spans="1:7" x14ac:dyDescent="0.35">
      <c r="A15086">
        <v>5994</v>
      </c>
      <c r="B15086" s="1">
        <v>45982</v>
      </c>
      <c r="C15086" t="s">
        <v>12</v>
      </c>
      <c r="D15086" s="2">
        <v>0</v>
      </c>
      <c r="E15086" s="2">
        <v>39.04</v>
      </c>
      <c r="F15086" t="s">
        <v>16</v>
      </c>
      <c r="G15086" t="s">
        <v>17</v>
      </c>
    </row>
    <row r="15087" spans="1:7" x14ac:dyDescent="0.35">
      <c r="A15087">
        <v>5995</v>
      </c>
      <c r="B15087" s="1">
        <v>45982</v>
      </c>
      <c r="C15087" t="s">
        <v>12</v>
      </c>
      <c r="D15087" s="2">
        <v>149.41</v>
      </c>
      <c r="E15087" s="2">
        <v>0</v>
      </c>
      <c r="F15087" t="s">
        <v>13</v>
      </c>
      <c r="G15087" t="s">
        <v>9</v>
      </c>
    </row>
    <row r="15088" spans="1:7" x14ac:dyDescent="0.35">
      <c r="A15088">
        <v>5995</v>
      </c>
      <c r="B15088" s="1">
        <v>45982</v>
      </c>
      <c r="C15088" t="s">
        <v>12</v>
      </c>
      <c r="D15088" s="2">
        <v>0</v>
      </c>
      <c r="E15088" s="2">
        <v>138.99</v>
      </c>
      <c r="F15088" t="s">
        <v>14</v>
      </c>
      <c r="G15088" t="s">
        <v>15</v>
      </c>
    </row>
    <row r="15089" spans="1:7" x14ac:dyDescent="0.35">
      <c r="A15089">
        <v>5995</v>
      </c>
      <c r="B15089" s="1">
        <v>45982</v>
      </c>
      <c r="C15089" t="s">
        <v>12</v>
      </c>
      <c r="D15089" s="2">
        <v>0</v>
      </c>
      <c r="E15089" s="2">
        <v>10.42</v>
      </c>
      <c r="F15089" t="s">
        <v>16</v>
      </c>
      <c r="G15089" t="s">
        <v>17</v>
      </c>
    </row>
    <row r="15090" spans="1:7" x14ac:dyDescent="0.35">
      <c r="A15090">
        <v>5996</v>
      </c>
      <c r="B15090" s="1">
        <v>45982</v>
      </c>
      <c r="C15090" t="s">
        <v>12</v>
      </c>
      <c r="D15090" s="2">
        <v>3139.49</v>
      </c>
      <c r="E15090" s="2">
        <v>0</v>
      </c>
      <c r="F15090" t="s">
        <v>13</v>
      </c>
      <c r="G15090" t="s">
        <v>9</v>
      </c>
    </row>
    <row r="15091" spans="1:7" x14ac:dyDescent="0.35">
      <c r="A15091">
        <v>5996</v>
      </c>
      <c r="B15091" s="1">
        <v>45982</v>
      </c>
      <c r="C15091" t="s">
        <v>12</v>
      </c>
      <c r="D15091" s="2">
        <v>0</v>
      </c>
      <c r="E15091" s="2">
        <v>2920.45</v>
      </c>
      <c r="F15091" t="s">
        <v>14</v>
      </c>
      <c r="G15091" t="s">
        <v>15</v>
      </c>
    </row>
    <row r="15092" spans="1:7" x14ac:dyDescent="0.35">
      <c r="A15092">
        <v>5996</v>
      </c>
      <c r="B15092" s="1">
        <v>45982</v>
      </c>
      <c r="C15092" t="s">
        <v>12</v>
      </c>
      <c r="D15092" s="2">
        <v>0</v>
      </c>
      <c r="E15092" s="2">
        <v>219.04</v>
      </c>
      <c r="F15092" t="s">
        <v>16</v>
      </c>
      <c r="G15092" t="s">
        <v>17</v>
      </c>
    </row>
    <row r="15093" spans="1:7" x14ac:dyDescent="0.35">
      <c r="A15093">
        <v>5997</v>
      </c>
      <c r="B15093" s="1">
        <v>45982</v>
      </c>
      <c r="C15093" t="s">
        <v>12</v>
      </c>
      <c r="D15093" s="2">
        <v>1055.1099999999999</v>
      </c>
      <c r="E15093" s="2">
        <v>0</v>
      </c>
      <c r="F15093" t="s">
        <v>13</v>
      </c>
      <c r="G15093" t="s">
        <v>9</v>
      </c>
    </row>
    <row r="15094" spans="1:7" x14ac:dyDescent="0.35">
      <c r="A15094">
        <v>5997</v>
      </c>
      <c r="B15094" s="1">
        <v>45982</v>
      </c>
      <c r="C15094" t="s">
        <v>12</v>
      </c>
      <c r="D15094" s="2">
        <v>0</v>
      </c>
      <c r="E15094" s="2">
        <v>981.49</v>
      </c>
      <c r="F15094" t="s">
        <v>14</v>
      </c>
      <c r="G15094" t="s">
        <v>15</v>
      </c>
    </row>
    <row r="15095" spans="1:7" x14ac:dyDescent="0.35">
      <c r="A15095">
        <v>5997</v>
      </c>
      <c r="B15095" s="1">
        <v>45982</v>
      </c>
      <c r="C15095" t="s">
        <v>12</v>
      </c>
      <c r="D15095" s="2">
        <v>0</v>
      </c>
      <c r="E15095" s="2">
        <v>73.62</v>
      </c>
      <c r="F15095" t="s">
        <v>16</v>
      </c>
      <c r="G15095" t="s">
        <v>17</v>
      </c>
    </row>
    <row r="15096" spans="1:7" x14ac:dyDescent="0.35">
      <c r="A15096">
        <v>5998</v>
      </c>
      <c r="B15096" s="1">
        <v>45982</v>
      </c>
      <c r="C15096" t="s">
        <v>12</v>
      </c>
      <c r="D15096" s="2">
        <v>6392.28</v>
      </c>
      <c r="E15096" s="2">
        <v>0</v>
      </c>
      <c r="F15096" t="s">
        <v>13</v>
      </c>
      <c r="G15096" t="s">
        <v>9</v>
      </c>
    </row>
    <row r="15097" spans="1:7" x14ac:dyDescent="0.35">
      <c r="A15097">
        <v>5998</v>
      </c>
      <c r="B15097" s="1">
        <v>45982</v>
      </c>
      <c r="C15097" t="s">
        <v>12</v>
      </c>
      <c r="D15097" s="2">
        <v>0</v>
      </c>
      <c r="E15097" s="2">
        <v>5946.3</v>
      </c>
      <c r="F15097" t="s">
        <v>14</v>
      </c>
      <c r="G15097" t="s">
        <v>15</v>
      </c>
    </row>
    <row r="15098" spans="1:7" x14ac:dyDescent="0.35">
      <c r="A15098">
        <v>5998</v>
      </c>
      <c r="B15098" s="1">
        <v>45982</v>
      </c>
      <c r="C15098" t="s">
        <v>12</v>
      </c>
      <c r="D15098" s="2">
        <v>0</v>
      </c>
      <c r="E15098" s="2">
        <v>445.98</v>
      </c>
      <c r="F15098" t="s">
        <v>16</v>
      </c>
      <c r="G15098" t="s">
        <v>17</v>
      </c>
    </row>
    <row r="15099" spans="1:7" x14ac:dyDescent="0.35">
      <c r="A15099">
        <v>5999</v>
      </c>
      <c r="B15099" s="1">
        <v>45982</v>
      </c>
      <c r="C15099" t="s">
        <v>12</v>
      </c>
      <c r="D15099" s="2">
        <v>4135.0600000000004</v>
      </c>
      <c r="E15099" s="2">
        <v>0</v>
      </c>
      <c r="F15099" t="s">
        <v>13</v>
      </c>
      <c r="G15099" t="s">
        <v>9</v>
      </c>
    </row>
    <row r="15100" spans="1:7" x14ac:dyDescent="0.35">
      <c r="A15100">
        <v>5999</v>
      </c>
      <c r="B15100" s="1">
        <v>45982</v>
      </c>
      <c r="C15100" t="s">
        <v>12</v>
      </c>
      <c r="D15100" s="2">
        <v>0</v>
      </c>
      <c r="E15100" s="2">
        <v>3846.58</v>
      </c>
      <c r="F15100" t="s">
        <v>14</v>
      </c>
      <c r="G15100" t="s">
        <v>15</v>
      </c>
    </row>
    <row r="15101" spans="1:7" x14ac:dyDescent="0.35">
      <c r="A15101">
        <v>5999</v>
      </c>
      <c r="B15101" s="1">
        <v>45982</v>
      </c>
      <c r="C15101" t="s">
        <v>12</v>
      </c>
      <c r="D15101" s="2">
        <v>0</v>
      </c>
      <c r="E15101" s="2">
        <v>288.48</v>
      </c>
      <c r="F15101" t="s">
        <v>16</v>
      </c>
      <c r="G15101" t="s">
        <v>17</v>
      </c>
    </row>
    <row r="15102" spans="1:7" x14ac:dyDescent="0.35">
      <c r="A15102">
        <v>6000</v>
      </c>
      <c r="B15102" s="1">
        <v>45982</v>
      </c>
      <c r="C15102" t="s">
        <v>12</v>
      </c>
      <c r="D15102" s="2">
        <v>558.34</v>
      </c>
      <c r="E15102" s="2">
        <v>0</v>
      </c>
      <c r="F15102" t="s">
        <v>13</v>
      </c>
      <c r="G15102" t="s">
        <v>9</v>
      </c>
    </row>
    <row r="15103" spans="1:7" x14ac:dyDescent="0.35">
      <c r="A15103">
        <v>6000</v>
      </c>
      <c r="B15103" s="1">
        <v>45982</v>
      </c>
      <c r="C15103" t="s">
        <v>12</v>
      </c>
      <c r="D15103" s="2">
        <v>0</v>
      </c>
      <c r="E15103" s="2">
        <v>519.39</v>
      </c>
      <c r="F15103" t="s">
        <v>14</v>
      </c>
      <c r="G15103" t="s">
        <v>15</v>
      </c>
    </row>
    <row r="15104" spans="1:7" x14ac:dyDescent="0.35">
      <c r="A15104">
        <v>6000</v>
      </c>
      <c r="B15104" s="1">
        <v>45982</v>
      </c>
      <c r="C15104" t="s">
        <v>12</v>
      </c>
      <c r="D15104" s="2">
        <v>0</v>
      </c>
      <c r="E15104" s="2">
        <v>38.950000000000003</v>
      </c>
      <c r="F15104" t="s">
        <v>16</v>
      </c>
      <c r="G15104" t="s">
        <v>17</v>
      </c>
    </row>
    <row r="15105" spans="1:7" x14ac:dyDescent="0.35">
      <c r="A15105">
        <v>6001</v>
      </c>
      <c r="B15105" s="1">
        <v>45982</v>
      </c>
      <c r="C15105" t="s">
        <v>12</v>
      </c>
      <c r="D15105" s="2">
        <v>3252.32</v>
      </c>
      <c r="E15105" s="2">
        <v>0</v>
      </c>
      <c r="F15105" t="s">
        <v>13</v>
      </c>
      <c r="G15105" t="s">
        <v>9</v>
      </c>
    </row>
    <row r="15106" spans="1:7" x14ac:dyDescent="0.35">
      <c r="A15106">
        <v>6001</v>
      </c>
      <c r="B15106" s="1">
        <v>45982</v>
      </c>
      <c r="C15106" t="s">
        <v>12</v>
      </c>
      <c r="D15106" s="2">
        <v>0</v>
      </c>
      <c r="E15106" s="2">
        <v>3025.4</v>
      </c>
      <c r="F15106" t="s">
        <v>14</v>
      </c>
      <c r="G15106" t="s">
        <v>15</v>
      </c>
    </row>
    <row r="15107" spans="1:7" x14ac:dyDescent="0.35">
      <c r="A15107">
        <v>6001</v>
      </c>
      <c r="B15107" s="1">
        <v>45982</v>
      </c>
      <c r="C15107" t="s">
        <v>12</v>
      </c>
      <c r="D15107" s="2">
        <v>0</v>
      </c>
      <c r="E15107" s="2">
        <v>226.92</v>
      </c>
      <c r="F15107" t="s">
        <v>16</v>
      </c>
      <c r="G15107" t="s">
        <v>17</v>
      </c>
    </row>
    <row r="15108" spans="1:7" x14ac:dyDescent="0.35">
      <c r="A15108">
        <v>6002</v>
      </c>
      <c r="B15108" s="1">
        <v>45982</v>
      </c>
      <c r="C15108" t="s">
        <v>24</v>
      </c>
      <c r="D15108" s="2">
        <v>2952.16</v>
      </c>
      <c r="E15108" s="2">
        <v>0</v>
      </c>
      <c r="F15108" t="s">
        <v>8</v>
      </c>
      <c r="G15108" t="s">
        <v>9</v>
      </c>
    </row>
    <row r="15109" spans="1:7" x14ac:dyDescent="0.35">
      <c r="A15109">
        <v>6002</v>
      </c>
      <c r="B15109" s="1">
        <v>45982</v>
      </c>
      <c r="C15109" t="s">
        <v>24</v>
      </c>
      <c r="D15109" s="2">
        <v>0</v>
      </c>
      <c r="E15109" s="2">
        <v>2952.16</v>
      </c>
      <c r="F15109" t="s">
        <v>13</v>
      </c>
      <c r="G15109" t="s">
        <v>9</v>
      </c>
    </row>
    <row r="15110" spans="1:7" x14ac:dyDescent="0.35">
      <c r="A15110">
        <v>6003</v>
      </c>
      <c r="B15110" s="1">
        <v>45982</v>
      </c>
      <c r="C15110" t="s">
        <v>24</v>
      </c>
      <c r="D15110" s="2">
        <v>3450.39</v>
      </c>
      <c r="E15110" s="2">
        <v>0</v>
      </c>
      <c r="F15110" t="s">
        <v>8</v>
      </c>
      <c r="G15110" t="s">
        <v>9</v>
      </c>
    </row>
    <row r="15111" spans="1:7" x14ac:dyDescent="0.35">
      <c r="A15111">
        <v>6003</v>
      </c>
      <c r="B15111" s="1">
        <v>45982</v>
      </c>
      <c r="C15111" t="s">
        <v>24</v>
      </c>
      <c r="D15111" s="2">
        <v>0</v>
      </c>
      <c r="E15111" s="2">
        <v>3450.39</v>
      </c>
      <c r="F15111" t="s">
        <v>13</v>
      </c>
      <c r="G15111" t="s">
        <v>9</v>
      </c>
    </row>
    <row r="15112" spans="1:7" x14ac:dyDescent="0.35">
      <c r="A15112">
        <v>6004</v>
      </c>
      <c r="B15112" s="1">
        <v>45982</v>
      </c>
      <c r="C15112" t="s">
        <v>24</v>
      </c>
      <c r="D15112" s="2">
        <v>1920.6</v>
      </c>
      <c r="E15112" s="2">
        <v>0</v>
      </c>
      <c r="F15112" t="s">
        <v>8</v>
      </c>
      <c r="G15112" t="s">
        <v>9</v>
      </c>
    </row>
    <row r="15113" spans="1:7" x14ac:dyDescent="0.35">
      <c r="A15113">
        <v>6004</v>
      </c>
      <c r="B15113" s="1">
        <v>45982</v>
      </c>
      <c r="C15113" t="s">
        <v>24</v>
      </c>
      <c r="D15113" s="2">
        <v>0</v>
      </c>
      <c r="E15113" s="2">
        <v>1920.6</v>
      </c>
      <c r="F15113" t="s">
        <v>13</v>
      </c>
      <c r="G15113" t="s">
        <v>9</v>
      </c>
    </row>
    <row r="15114" spans="1:7" x14ac:dyDescent="0.35">
      <c r="A15114">
        <v>6005</v>
      </c>
      <c r="B15114" s="1">
        <v>45982</v>
      </c>
      <c r="C15114" t="s">
        <v>24</v>
      </c>
      <c r="D15114" s="2">
        <v>1564.78</v>
      </c>
      <c r="E15114" s="2">
        <v>0</v>
      </c>
      <c r="F15114" t="s">
        <v>8</v>
      </c>
      <c r="G15114" t="s">
        <v>9</v>
      </c>
    </row>
    <row r="15115" spans="1:7" x14ac:dyDescent="0.35">
      <c r="A15115">
        <v>6005</v>
      </c>
      <c r="B15115" s="1">
        <v>45982</v>
      </c>
      <c r="C15115" t="s">
        <v>24</v>
      </c>
      <c r="D15115" s="2">
        <v>0</v>
      </c>
      <c r="E15115" s="2">
        <v>1564.78</v>
      </c>
      <c r="F15115" t="s">
        <v>13</v>
      </c>
      <c r="G15115" t="s">
        <v>9</v>
      </c>
    </row>
    <row r="15116" spans="1:7" x14ac:dyDescent="0.35">
      <c r="A15116">
        <v>6006</v>
      </c>
      <c r="B15116" s="1">
        <v>45982</v>
      </c>
      <c r="C15116" t="s">
        <v>24</v>
      </c>
      <c r="D15116" s="2">
        <v>447.01</v>
      </c>
      <c r="E15116" s="2">
        <v>0</v>
      </c>
      <c r="F15116" t="s">
        <v>8</v>
      </c>
      <c r="G15116" t="s">
        <v>9</v>
      </c>
    </row>
    <row r="15117" spans="1:7" x14ac:dyDescent="0.35">
      <c r="A15117">
        <v>6006</v>
      </c>
      <c r="B15117" s="1">
        <v>45982</v>
      </c>
      <c r="C15117" t="s">
        <v>24</v>
      </c>
      <c r="D15117" s="2">
        <v>0</v>
      </c>
      <c r="E15117" s="2">
        <v>447.01</v>
      </c>
      <c r="F15117" t="s">
        <v>13</v>
      </c>
      <c r="G15117" t="s">
        <v>9</v>
      </c>
    </row>
    <row r="15118" spans="1:7" x14ac:dyDescent="0.35">
      <c r="A15118">
        <v>6007</v>
      </c>
      <c r="B15118" s="1">
        <v>45982</v>
      </c>
      <c r="C15118" t="s">
        <v>24</v>
      </c>
      <c r="D15118" s="2">
        <v>558.34</v>
      </c>
      <c r="E15118" s="2">
        <v>0</v>
      </c>
      <c r="F15118" t="s">
        <v>8</v>
      </c>
      <c r="G15118" t="s">
        <v>9</v>
      </c>
    </row>
    <row r="15119" spans="1:7" x14ac:dyDescent="0.35">
      <c r="A15119">
        <v>6007</v>
      </c>
      <c r="B15119" s="1">
        <v>45982</v>
      </c>
      <c r="C15119" t="s">
        <v>24</v>
      </c>
      <c r="D15119" s="2">
        <v>0</v>
      </c>
      <c r="E15119" s="2">
        <v>558.34</v>
      </c>
      <c r="F15119" t="s">
        <v>13</v>
      </c>
      <c r="G15119" t="s">
        <v>9</v>
      </c>
    </row>
    <row r="15120" spans="1:7" x14ac:dyDescent="0.35">
      <c r="A15120">
        <v>6008</v>
      </c>
      <c r="B15120" s="1">
        <v>45982</v>
      </c>
      <c r="C15120" t="s">
        <v>25</v>
      </c>
      <c r="D15120" s="2">
        <v>1480.5</v>
      </c>
      <c r="E15120" s="2">
        <v>0</v>
      </c>
      <c r="F15120" t="s">
        <v>26</v>
      </c>
      <c r="G15120" t="s">
        <v>20</v>
      </c>
    </row>
    <row r="15121" spans="1:7" x14ac:dyDescent="0.35">
      <c r="A15121">
        <v>6008</v>
      </c>
      <c r="B15121" s="1">
        <v>45982</v>
      </c>
      <c r="C15121" t="s">
        <v>25</v>
      </c>
      <c r="D15121" s="2">
        <v>111.04</v>
      </c>
      <c r="E15121" s="2">
        <v>0</v>
      </c>
      <c r="F15121" t="s">
        <v>27</v>
      </c>
      <c r="G15121" t="s">
        <v>9</v>
      </c>
    </row>
    <row r="15122" spans="1:7" x14ac:dyDescent="0.35">
      <c r="A15122">
        <v>6008</v>
      </c>
      <c r="B15122" s="1">
        <v>45982</v>
      </c>
      <c r="C15122" t="s">
        <v>25</v>
      </c>
      <c r="D15122" s="2">
        <v>0</v>
      </c>
      <c r="E15122" s="2">
        <v>1591.54</v>
      </c>
      <c r="F15122" t="s">
        <v>28</v>
      </c>
      <c r="G15122" t="s">
        <v>17</v>
      </c>
    </row>
    <row r="15123" spans="1:7" x14ac:dyDescent="0.35">
      <c r="A15123">
        <v>6009</v>
      </c>
      <c r="B15123" s="1">
        <v>45982</v>
      </c>
      <c r="C15123" t="s">
        <v>25</v>
      </c>
      <c r="D15123" s="2">
        <v>8685.27</v>
      </c>
      <c r="E15123" s="2">
        <v>0</v>
      </c>
      <c r="F15123" t="s">
        <v>26</v>
      </c>
      <c r="G15123" t="s">
        <v>20</v>
      </c>
    </row>
    <row r="15124" spans="1:7" x14ac:dyDescent="0.35">
      <c r="A15124">
        <v>6009</v>
      </c>
      <c r="B15124" s="1">
        <v>45982</v>
      </c>
      <c r="C15124" t="s">
        <v>25</v>
      </c>
      <c r="D15124" s="2">
        <v>651.4</v>
      </c>
      <c r="E15124" s="2">
        <v>0</v>
      </c>
      <c r="F15124" t="s">
        <v>27</v>
      </c>
      <c r="G15124" t="s">
        <v>9</v>
      </c>
    </row>
    <row r="15125" spans="1:7" x14ac:dyDescent="0.35">
      <c r="A15125">
        <v>6009</v>
      </c>
      <c r="B15125" s="1">
        <v>45982</v>
      </c>
      <c r="C15125" t="s">
        <v>25</v>
      </c>
      <c r="D15125" s="2">
        <v>0</v>
      </c>
      <c r="E15125" s="2">
        <v>9336.67</v>
      </c>
      <c r="F15125" t="s">
        <v>28</v>
      </c>
      <c r="G15125" t="s">
        <v>17</v>
      </c>
    </row>
    <row r="15126" spans="1:7" x14ac:dyDescent="0.35">
      <c r="A15126">
        <v>6010</v>
      </c>
      <c r="B15126" s="1">
        <v>45982</v>
      </c>
      <c r="C15126" t="s">
        <v>25</v>
      </c>
      <c r="D15126" s="2">
        <v>1800.04</v>
      </c>
      <c r="E15126" s="2">
        <v>0</v>
      </c>
      <c r="F15126" t="s">
        <v>26</v>
      </c>
      <c r="G15126" t="s">
        <v>20</v>
      </c>
    </row>
    <row r="15127" spans="1:7" x14ac:dyDescent="0.35">
      <c r="A15127">
        <v>6010</v>
      </c>
      <c r="B15127" s="1">
        <v>45982</v>
      </c>
      <c r="C15127" t="s">
        <v>25</v>
      </c>
      <c r="D15127" s="2">
        <v>135</v>
      </c>
      <c r="E15127" s="2">
        <v>0</v>
      </c>
      <c r="F15127" t="s">
        <v>27</v>
      </c>
      <c r="G15127" t="s">
        <v>9</v>
      </c>
    </row>
    <row r="15128" spans="1:7" x14ac:dyDescent="0.35">
      <c r="A15128">
        <v>6010</v>
      </c>
      <c r="B15128" s="1">
        <v>45982</v>
      </c>
      <c r="C15128" t="s">
        <v>25</v>
      </c>
      <c r="D15128" s="2">
        <v>0</v>
      </c>
      <c r="E15128" s="2">
        <v>1935.04</v>
      </c>
      <c r="F15128" t="s">
        <v>28</v>
      </c>
      <c r="G15128" t="s">
        <v>17</v>
      </c>
    </row>
    <row r="15129" spans="1:7" x14ac:dyDescent="0.35">
      <c r="A15129">
        <v>6011</v>
      </c>
      <c r="B15129" s="1">
        <v>45982</v>
      </c>
      <c r="C15129" t="s">
        <v>25</v>
      </c>
      <c r="D15129" s="2">
        <v>2329.52</v>
      </c>
      <c r="E15129" s="2">
        <v>0</v>
      </c>
      <c r="F15129" t="s">
        <v>26</v>
      </c>
      <c r="G15129" t="s">
        <v>20</v>
      </c>
    </row>
    <row r="15130" spans="1:7" x14ac:dyDescent="0.35">
      <c r="A15130">
        <v>6011</v>
      </c>
      <c r="B15130" s="1">
        <v>45982</v>
      </c>
      <c r="C15130" t="s">
        <v>25</v>
      </c>
      <c r="D15130" s="2">
        <v>174.71</v>
      </c>
      <c r="E15130" s="2">
        <v>0</v>
      </c>
      <c r="F15130" t="s">
        <v>27</v>
      </c>
      <c r="G15130" t="s">
        <v>9</v>
      </c>
    </row>
    <row r="15131" spans="1:7" x14ac:dyDescent="0.35">
      <c r="A15131">
        <v>6011</v>
      </c>
      <c r="B15131" s="1">
        <v>45982</v>
      </c>
      <c r="C15131" t="s">
        <v>25</v>
      </c>
      <c r="D15131" s="2">
        <v>0</v>
      </c>
      <c r="E15131" s="2">
        <v>2504.23</v>
      </c>
      <c r="F15131" t="s">
        <v>28</v>
      </c>
      <c r="G15131" t="s">
        <v>17</v>
      </c>
    </row>
    <row r="15132" spans="1:7" x14ac:dyDescent="0.35">
      <c r="A15132">
        <v>6012</v>
      </c>
      <c r="B15132" s="1">
        <v>45982</v>
      </c>
      <c r="C15132" t="s">
        <v>25</v>
      </c>
      <c r="D15132" s="2">
        <v>952.02</v>
      </c>
      <c r="E15132" s="2">
        <v>0</v>
      </c>
      <c r="F15132" t="s">
        <v>26</v>
      </c>
      <c r="G15132" t="s">
        <v>20</v>
      </c>
    </row>
    <row r="15133" spans="1:7" x14ac:dyDescent="0.35">
      <c r="A15133">
        <v>6012</v>
      </c>
      <c r="B15133" s="1">
        <v>45982</v>
      </c>
      <c r="C15133" t="s">
        <v>25</v>
      </c>
      <c r="D15133" s="2">
        <v>71.400000000000006</v>
      </c>
      <c r="E15133" s="2">
        <v>0</v>
      </c>
      <c r="F15133" t="s">
        <v>27</v>
      </c>
      <c r="G15133" t="s">
        <v>9</v>
      </c>
    </row>
    <row r="15134" spans="1:7" x14ac:dyDescent="0.35">
      <c r="A15134">
        <v>6012</v>
      </c>
      <c r="B15134" s="1">
        <v>45982</v>
      </c>
      <c r="C15134" t="s">
        <v>25</v>
      </c>
      <c r="D15134" s="2">
        <v>0</v>
      </c>
      <c r="E15134" s="2">
        <v>1023.42</v>
      </c>
      <c r="F15134" t="s">
        <v>28</v>
      </c>
      <c r="G15134" t="s">
        <v>17</v>
      </c>
    </row>
    <row r="15135" spans="1:7" x14ac:dyDescent="0.35">
      <c r="A15135">
        <v>6013</v>
      </c>
      <c r="B15135" s="1">
        <v>45982</v>
      </c>
      <c r="C15135" t="s">
        <v>25</v>
      </c>
      <c r="D15135" s="2">
        <v>166.52</v>
      </c>
      <c r="E15135" s="2">
        <v>0</v>
      </c>
      <c r="F15135" t="s">
        <v>26</v>
      </c>
      <c r="G15135" t="s">
        <v>20</v>
      </c>
    </row>
    <row r="15136" spans="1:7" x14ac:dyDescent="0.35">
      <c r="A15136">
        <v>6013</v>
      </c>
      <c r="B15136" s="1">
        <v>45982</v>
      </c>
      <c r="C15136" t="s">
        <v>25</v>
      </c>
      <c r="D15136" s="2">
        <v>12.49</v>
      </c>
      <c r="E15136" s="2">
        <v>0</v>
      </c>
      <c r="F15136" t="s">
        <v>27</v>
      </c>
      <c r="G15136" t="s">
        <v>9</v>
      </c>
    </row>
    <row r="15137" spans="1:7" x14ac:dyDescent="0.35">
      <c r="A15137">
        <v>6013</v>
      </c>
      <c r="B15137" s="1">
        <v>45982</v>
      </c>
      <c r="C15137" t="s">
        <v>25</v>
      </c>
      <c r="D15137" s="2">
        <v>0</v>
      </c>
      <c r="E15137" s="2">
        <v>179.01</v>
      </c>
      <c r="F15137" t="s">
        <v>28</v>
      </c>
      <c r="G15137" t="s">
        <v>17</v>
      </c>
    </row>
    <row r="15138" spans="1:7" x14ac:dyDescent="0.35">
      <c r="A15138">
        <v>6014</v>
      </c>
      <c r="B15138" s="1">
        <v>45982</v>
      </c>
      <c r="C15138" t="s">
        <v>29</v>
      </c>
      <c r="D15138" s="2">
        <v>3528.97</v>
      </c>
      <c r="E15138" s="2">
        <v>0</v>
      </c>
      <c r="F15138" t="s">
        <v>28</v>
      </c>
      <c r="G15138" t="s">
        <v>17</v>
      </c>
    </row>
    <row r="15139" spans="1:7" x14ac:dyDescent="0.35">
      <c r="A15139">
        <v>6014</v>
      </c>
      <c r="B15139" s="1">
        <v>45982</v>
      </c>
      <c r="C15139" t="s">
        <v>29</v>
      </c>
      <c r="D15139" s="2">
        <v>0</v>
      </c>
      <c r="E15139" s="2">
        <v>3528.97</v>
      </c>
      <c r="F15139" t="s">
        <v>8</v>
      </c>
      <c r="G15139" t="s">
        <v>9</v>
      </c>
    </row>
    <row r="15140" spans="1:7" x14ac:dyDescent="0.35">
      <c r="A15140">
        <v>6015</v>
      </c>
      <c r="B15140" s="1">
        <v>45982</v>
      </c>
      <c r="C15140" t="s">
        <v>29</v>
      </c>
      <c r="D15140" s="2">
        <v>1023.42</v>
      </c>
      <c r="E15140" s="2">
        <v>0</v>
      </c>
      <c r="F15140" t="s">
        <v>28</v>
      </c>
      <c r="G15140" t="s">
        <v>17</v>
      </c>
    </row>
    <row r="15141" spans="1:7" x14ac:dyDescent="0.35">
      <c r="A15141">
        <v>6015</v>
      </c>
      <c r="B15141" s="1">
        <v>45982</v>
      </c>
      <c r="C15141" t="s">
        <v>29</v>
      </c>
      <c r="D15141" s="2">
        <v>0</v>
      </c>
      <c r="E15141" s="2">
        <v>1023.42</v>
      </c>
      <c r="F15141" t="s">
        <v>8</v>
      </c>
      <c r="G15141" t="s">
        <v>9</v>
      </c>
    </row>
    <row r="15142" spans="1:7" x14ac:dyDescent="0.35">
      <c r="A15142">
        <v>6016</v>
      </c>
      <c r="B15142" s="1">
        <v>45982</v>
      </c>
      <c r="C15142" t="s">
        <v>29</v>
      </c>
      <c r="D15142" s="2">
        <v>1958.74</v>
      </c>
      <c r="E15142" s="2">
        <v>0</v>
      </c>
      <c r="F15142" t="s">
        <v>28</v>
      </c>
      <c r="G15142" t="s">
        <v>17</v>
      </c>
    </row>
    <row r="15143" spans="1:7" x14ac:dyDescent="0.35">
      <c r="A15143">
        <v>6016</v>
      </c>
      <c r="B15143" s="1">
        <v>45982</v>
      </c>
      <c r="C15143" t="s">
        <v>29</v>
      </c>
      <c r="D15143" s="2">
        <v>0</v>
      </c>
      <c r="E15143" s="2">
        <v>1958.74</v>
      </c>
      <c r="F15143" t="s">
        <v>8</v>
      </c>
      <c r="G15143" t="s">
        <v>9</v>
      </c>
    </row>
    <row r="15144" spans="1:7" x14ac:dyDescent="0.35">
      <c r="A15144">
        <v>6017</v>
      </c>
      <c r="B15144" s="1">
        <v>45982</v>
      </c>
      <c r="C15144" t="s">
        <v>29</v>
      </c>
      <c r="D15144" s="2">
        <v>2635.36</v>
      </c>
      <c r="E15144" s="2">
        <v>0</v>
      </c>
      <c r="F15144" t="s">
        <v>28</v>
      </c>
      <c r="G15144" t="s">
        <v>17</v>
      </c>
    </row>
    <row r="15145" spans="1:7" x14ac:dyDescent="0.35">
      <c r="A15145">
        <v>6017</v>
      </c>
      <c r="B15145" s="1">
        <v>45982</v>
      </c>
      <c r="C15145" t="s">
        <v>29</v>
      </c>
      <c r="D15145" s="2">
        <v>0</v>
      </c>
      <c r="E15145" s="2">
        <v>2635.36</v>
      </c>
      <c r="F15145" t="s">
        <v>8</v>
      </c>
      <c r="G15145" t="s">
        <v>9</v>
      </c>
    </row>
    <row r="15146" spans="1:7" x14ac:dyDescent="0.35">
      <c r="A15146">
        <v>6018</v>
      </c>
      <c r="B15146" s="1">
        <v>45985</v>
      </c>
      <c r="C15146" t="s">
        <v>12</v>
      </c>
      <c r="D15146" s="2">
        <v>4179.41</v>
      </c>
      <c r="E15146" s="2">
        <v>0</v>
      </c>
      <c r="F15146" t="s">
        <v>13</v>
      </c>
      <c r="G15146" t="s">
        <v>9</v>
      </c>
    </row>
    <row r="15147" spans="1:7" x14ac:dyDescent="0.35">
      <c r="A15147">
        <v>6018</v>
      </c>
      <c r="B15147" s="1">
        <v>45985</v>
      </c>
      <c r="C15147" t="s">
        <v>12</v>
      </c>
      <c r="D15147" s="2">
        <v>0</v>
      </c>
      <c r="E15147" s="2">
        <v>3887.81</v>
      </c>
      <c r="F15147" t="s">
        <v>14</v>
      </c>
      <c r="G15147" t="s">
        <v>15</v>
      </c>
    </row>
    <row r="15148" spans="1:7" x14ac:dyDescent="0.35">
      <c r="A15148">
        <v>6018</v>
      </c>
      <c r="B15148" s="1">
        <v>45985</v>
      </c>
      <c r="C15148" t="s">
        <v>12</v>
      </c>
      <c r="D15148" s="2">
        <v>0</v>
      </c>
      <c r="E15148" s="2">
        <v>291.60000000000002</v>
      </c>
      <c r="F15148" t="s">
        <v>16</v>
      </c>
      <c r="G15148" t="s">
        <v>17</v>
      </c>
    </row>
    <row r="15149" spans="1:7" x14ac:dyDescent="0.35">
      <c r="A15149">
        <v>6019</v>
      </c>
      <c r="B15149" s="1">
        <v>45985</v>
      </c>
      <c r="C15149" t="s">
        <v>12</v>
      </c>
      <c r="D15149" s="2">
        <v>205.92</v>
      </c>
      <c r="E15149" s="2">
        <v>0</v>
      </c>
      <c r="F15149" t="s">
        <v>13</v>
      </c>
      <c r="G15149" t="s">
        <v>9</v>
      </c>
    </row>
    <row r="15150" spans="1:7" x14ac:dyDescent="0.35">
      <c r="A15150">
        <v>6019</v>
      </c>
      <c r="B15150" s="1">
        <v>45985</v>
      </c>
      <c r="C15150" t="s">
        <v>12</v>
      </c>
      <c r="D15150" s="2">
        <v>0</v>
      </c>
      <c r="E15150" s="2">
        <v>191.55</v>
      </c>
      <c r="F15150" t="s">
        <v>14</v>
      </c>
      <c r="G15150" t="s">
        <v>15</v>
      </c>
    </row>
    <row r="15151" spans="1:7" x14ac:dyDescent="0.35">
      <c r="A15151">
        <v>6019</v>
      </c>
      <c r="B15151" s="1">
        <v>45985</v>
      </c>
      <c r="C15151" t="s">
        <v>12</v>
      </c>
      <c r="D15151" s="2">
        <v>0</v>
      </c>
      <c r="E15151" s="2">
        <v>14.37</v>
      </c>
      <c r="F15151" t="s">
        <v>16</v>
      </c>
      <c r="G15151" t="s">
        <v>17</v>
      </c>
    </row>
    <row r="15152" spans="1:7" x14ac:dyDescent="0.35">
      <c r="A15152">
        <v>6020</v>
      </c>
      <c r="B15152" s="1">
        <v>45985</v>
      </c>
      <c r="C15152" t="s">
        <v>12</v>
      </c>
      <c r="D15152" s="2">
        <v>4123.8100000000004</v>
      </c>
      <c r="E15152" s="2">
        <v>0</v>
      </c>
      <c r="F15152" t="s">
        <v>13</v>
      </c>
      <c r="G15152" t="s">
        <v>9</v>
      </c>
    </row>
    <row r="15153" spans="1:7" x14ac:dyDescent="0.35">
      <c r="A15153">
        <v>6020</v>
      </c>
      <c r="B15153" s="1">
        <v>45985</v>
      </c>
      <c r="C15153" t="s">
        <v>12</v>
      </c>
      <c r="D15153" s="2">
        <v>0</v>
      </c>
      <c r="E15153" s="2">
        <v>3836.1</v>
      </c>
      <c r="F15153" t="s">
        <v>14</v>
      </c>
      <c r="G15153" t="s">
        <v>15</v>
      </c>
    </row>
    <row r="15154" spans="1:7" x14ac:dyDescent="0.35">
      <c r="A15154">
        <v>6020</v>
      </c>
      <c r="B15154" s="1">
        <v>45985</v>
      </c>
      <c r="C15154" t="s">
        <v>12</v>
      </c>
      <c r="D15154" s="2">
        <v>0</v>
      </c>
      <c r="E15154" s="2">
        <v>287.70999999999998</v>
      </c>
      <c r="F15154" t="s">
        <v>16</v>
      </c>
      <c r="G15154" t="s">
        <v>17</v>
      </c>
    </row>
    <row r="15155" spans="1:7" x14ac:dyDescent="0.35">
      <c r="A15155">
        <v>6021</v>
      </c>
      <c r="B15155" s="1">
        <v>45985</v>
      </c>
      <c r="C15155" t="s">
        <v>12</v>
      </c>
      <c r="D15155" s="2">
        <v>270.04000000000002</v>
      </c>
      <c r="E15155" s="2">
        <v>0</v>
      </c>
      <c r="F15155" t="s">
        <v>13</v>
      </c>
      <c r="G15155" t="s">
        <v>9</v>
      </c>
    </row>
    <row r="15156" spans="1:7" x14ac:dyDescent="0.35">
      <c r="A15156">
        <v>6021</v>
      </c>
      <c r="B15156" s="1">
        <v>45985</v>
      </c>
      <c r="C15156" t="s">
        <v>12</v>
      </c>
      <c r="D15156" s="2">
        <v>0</v>
      </c>
      <c r="E15156" s="2">
        <v>251.2</v>
      </c>
      <c r="F15156" t="s">
        <v>14</v>
      </c>
      <c r="G15156" t="s">
        <v>15</v>
      </c>
    </row>
    <row r="15157" spans="1:7" x14ac:dyDescent="0.35">
      <c r="A15157">
        <v>6021</v>
      </c>
      <c r="B15157" s="1">
        <v>45985</v>
      </c>
      <c r="C15157" t="s">
        <v>12</v>
      </c>
      <c r="D15157" s="2">
        <v>0</v>
      </c>
      <c r="E15157" s="2">
        <v>18.84</v>
      </c>
      <c r="F15157" t="s">
        <v>16</v>
      </c>
      <c r="G15157" t="s">
        <v>17</v>
      </c>
    </row>
    <row r="15158" spans="1:7" x14ac:dyDescent="0.35">
      <c r="A15158">
        <v>6022</v>
      </c>
      <c r="B15158" s="1">
        <v>45985</v>
      </c>
      <c r="C15158" t="s">
        <v>12</v>
      </c>
      <c r="D15158" s="2">
        <v>4336.2299999999996</v>
      </c>
      <c r="E15158" s="2">
        <v>0</v>
      </c>
      <c r="F15158" t="s">
        <v>13</v>
      </c>
      <c r="G15158" t="s">
        <v>9</v>
      </c>
    </row>
    <row r="15159" spans="1:7" x14ac:dyDescent="0.35">
      <c r="A15159">
        <v>6022</v>
      </c>
      <c r="B15159" s="1">
        <v>45985</v>
      </c>
      <c r="C15159" t="s">
        <v>12</v>
      </c>
      <c r="D15159" s="2">
        <v>0</v>
      </c>
      <c r="E15159" s="2">
        <v>4033.7</v>
      </c>
      <c r="F15159" t="s">
        <v>14</v>
      </c>
      <c r="G15159" t="s">
        <v>15</v>
      </c>
    </row>
    <row r="15160" spans="1:7" x14ac:dyDescent="0.35">
      <c r="A15160">
        <v>6022</v>
      </c>
      <c r="B15160" s="1">
        <v>45985</v>
      </c>
      <c r="C15160" t="s">
        <v>12</v>
      </c>
      <c r="D15160" s="2">
        <v>0</v>
      </c>
      <c r="E15160" s="2">
        <v>302.52999999999997</v>
      </c>
      <c r="F15160" t="s">
        <v>16</v>
      </c>
      <c r="G15160" t="s">
        <v>17</v>
      </c>
    </row>
    <row r="15161" spans="1:7" x14ac:dyDescent="0.35">
      <c r="A15161">
        <v>6023</v>
      </c>
      <c r="B15161" s="1">
        <v>45985</v>
      </c>
      <c r="C15161" t="s">
        <v>12</v>
      </c>
      <c r="D15161" s="2">
        <v>4293.59</v>
      </c>
      <c r="E15161" s="2">
        <v>0</v>
      </c>
      <c r="F15161" t="s">
        <v>13</v>
      </c>
      <c r="G15161" t="s">
        <v>9</v>
      </c>
    </row>
    <row r="15162" spans="1:7" x14ac:dyDescent="0.35">
      <c r="A15162">
        <v>6023</v>
      </c>
      <c r="B15162" s="1">
        <v>45985</v>
      </c>
      <c r="C15162" t="s">
        <v>12</v>
      </c>
      <c r="D15162" s="2">
        <v>0</v>
      </c>
      <c r="E15162" s="2">
        <v>3994.04</v>
      </c>
      <c r="F15162" t="s">
        <v>14</v>
      </c>
      <c r="G15162" t="s">
        <v>15</v>
      </c>
    </row>
    <row r="15163" spans="1:7" x14ac:dyDescent="0.35">
      <c r="A15163">
        <v>6023</v>
      </c>
      <c r="B15163" s="1">
        <v>45985</v>
      </c>
      <c r="C15163" t="s">
        <v>12</v>
      </c>
      <c r="D15163" s="2">
        <v>0</v>
      </c>
      <c r="E15163" s="2">
        <v>299.55</v>
      </c>
      <c r="F15163" t="s">
        <v>16</v>
      </c>
      <c r="G15163" t="s">
        <v>17</v>
      </c>
    </row>
    <row r="15164" spans="1:7" x14ac:dyDescent="0.35">
      <c r="A15164">
        <v>6024</v>
      </c>
      <c r="B15164" s="1">
        <v>45985</v>
      </c>
      <c r="C15164" t="s">
        <v>12</v>
      </c>
      <c r="D15164" s="2">
        <v>3588.78</v>
      </c>
      <c r="E15164" s="2">
        <v>0</v>
      </c>
      <c r="F15164" t="s">
        <v>13</v>
      </c>
      <c r="G15164" t="s">
        <v>9</v>
      </c>
    </row>
    <row r="15165" spans="1:7" x14ac:dyDescent="0.35">
      <c r="A15165">
        <v>6024</v>
      </c>
      <c r="B15165" s="1">
        <v>45985</v>
      </c>
      <c r="C15165" t="s">
        <v>12</v>
      </c>
      <c r="D15165" s="2">
        <v>0</v>
      </c>
      <c r="E15165" s="2">
        <v>3338.4</v>
      </c>
      <c r="F15165" t="s">
        <v>14</v>
      </c>
      <c r="G15165" t="s">
        <v>15</v>
      </c>
    </row>
    <row r="15166" spans="1:7" x14ac:dyDescent="0.35">
      <c r="A15166">
        <v>6024</v>
      </c>
      <c r="B15166" s="1">
        <v>45985</v>
      </c>
      <c r="C15166" t="s">
        <v>12</v>
      </c>
      <c r="D15166" s="2">
        <v>0</v>
      </c>
      <c r="E15166" s="2">
        <v>250.38</v>
      </c>
      <c r="F15166" t="s">
        <v>16</v>
      </c>
      <c r="G15166" t="s">
        <v>17</v>
      </c>
    </row>
    <row r="15167" spans="1:7" x14ac:dyDescent="0.35">
      <c r="A15167">
        <v>6025</v>
      </c>
      <c r="B15167" s="1">
        <v>45985</v>
      </c>
      <c r="C15167" t="s">
        <v>24</v>
      </c>
      <c r="D15167" s="2">
        <v>199.22</v>
      </c>
      <c r="E15167" s="2">
        <v>0</v>
      </c>
      <c r="F15167" t="s">
        <v>8</v>
      </c>
      <c r="G15167" t="s">
        <v>9</v>
      </c>
    </row>
    <row r="15168" spans="1:7" x14ac:dyDescent="0.35">
      <c r="A15168">
        <v>6025</v>
      </c>
      <c r="B15168" s="1">
        <v>45985</v>
      </c>
      <c r="C15168" t="s">
        <v>24</v>
      </c>
      <c r="D15168" s="2">
        <v>0</v>
      </c>
      <c r="E15168" s="2">
        <v>199.22</v>
      </c>
      <c r="F15168" t="s">
        <v>13</v>
      </c>
      <c r="G15168" t="s">
        <v>9</v>
      </c>
    </row>
    <row r="15169" spans="1:7" x14ac:dyDescent="0.35">
      <c r="A15169">
        <v>6026</v>
      </c>
      <c r="B15169" s="1">
        <v>45985</v>
      </c>
      <c r="C15169" t="s">
        <v>24</v>
      </c>
      <c r="D15169" s="2">
        <v>1371.6</v>
      </c>
      <c r="E15169" s="2">
        <v>0</v>
      </c>
      <c r="F15169" t="s">
        <v>8</v>
      </c>
      <c r="G15169" t="s">
        <v>9</v>
      </c>
    </row>
    <row r="15170" spans="1:7" x14ac:dyDescent="0.35">
      <c r="A15170">
        <v>6026</v>
      </c>
      <c r="B15170" s="1">
        <v>45985</v>
      </c>
      <c r="C15170" t="s">
        <v>24</v>
      </c>
      <c r="D15170" s="2">
        <v>0</v>
      </c>
      <c r="E15170" s="2">
        <v>1371.6</v>
      </c>
      <c r="F15170" t="s">
        <v>13</v>
      </c>
      <c r="G15170" t="s">
        <v>9</v>
      </c>
    </row>
    <row r="15171" spans="1:7" x14ac:dyDescent="0.35">
      <c r="A15171">
        <v>6027</v>
      </c>
      <c r="B15171" s="1">
        <v>45985</v>
      </c>
      <c r="C15171" t="s">
        <v>24</v>
      </c>
      <c r="D15171" s="2">
        <v>245.14</v>
      </c>
      <c r="E15171" s="2">
        <v>0</v>
      </c>
      <c r="F15171" t="s">
        <v>8</v>
      </c>
      <c r="G15171" t="s">
        <v>9</v>
      </c>
    </row>
    <row r="15172" spans="1:7" x14ac:dyDescent="0.35">
      <c r="A15172">
        <v>6027</v>
      </c>
      <c r="B15172" s="1">
        <v>45985</v>
      </c>
      <c r="C15172" t="s">
        <v>24</v>
      </c>
      <c r="D15172" s="2">
        <v>0</v>
      </c>
      <c r="E15172" s="2">
        <v>245.14</v>
      </c>
      <c r="F15172" t="s">
        <v>13</v>
      </c>
      <c r="G15172" t="s">
        <v>9</v>
      </c>
    </row>
    <row r="15173" spans="1:7" x14ac:dyDescent="0.35">
      <c r="A15173">
        <v>6028</v>
      </c>
      <c r="B15173" s="1">
        <v>45985</v>
      </c>
      <c r="C15173" t="s">
        <v>24</v>
      </c>
      <c r="D15173" s="2">
        <v>3586.62</v>
      </c>
      <c r="E15173" s="2">
        <v>0</v>
      </c>
      <c r="F15173" t="s">
        <v>8</v>
      </c>
      <c r="G15173" t="s">
        <v>9</v>
      </c>
    </row>
    <row r="15174" spans="1:7" x14ac:dyDescent="0.35">
      <c r="A15174">
        <v>6028</v>
      </c>
      <c r="B15174" s="1">
        <v>45985</v>
      </c>
      <c r="C15174" t="s">
        <v>24</v>
      </c>
      <c r="D15174" s="2">
        <v>0</v>
      </c>
      <c r="E15174" s="2">
        <v>3586.62</v>
      </c>
      <c r="F15174" t="s">
        <v>13</v>
      </c>
      <c r="G15174" t="s">
        <v>9</v>
      </c>
    </row>
    <row r="15175" spans="1:7" x14ac:dyDescent="0.35">
      <c r="A15175">
        <v>6029</v>
      </c>
      <c r="B15175" s="1">
        <v>45985</v>
      </c>
      <c r="C15175" t="s">
        <v>24</v>
      </c>
      <c r="D15175" s="2">
        <v>2009.13</v>
      </c>
      <c r="E15175" s="2">
        <v>0</v>
      </c>
      <c r="F15175" t="s">
        <v>8</v>
      </c>
      <c r="G15175" t="s">
        <v>9</v>
      </c>
    </row>
    <row r="15176" spans="1:7" x14ac:dyDescent="0.35">
      <c r="A15176">
        <v>6029</v>
      </c>
      <c r="B15176" s="1">
        <v>45985</v>
      </c>
      <c r="C15176" t="s">
        <v>24</v>
      </c>
      <c r="D15176" s="2">
        <v>0</v>
      </c>
      <c r="E15176" s="2">
        <v>2009.13</v>
      </c>
      <c r="F15176" t="s">
        <v>13</v>
      </c>
      <c r="G15176" t="s">
        <v>9</v>
      </c>
    </row>
    <row r="15177" spans="1:7" x14ac:dyDescent="0.35">
      <c r="A15177">
        <v>6030</v>
      </c>
      <c r="B15177" s="1">
        <v>45985</v>
      </c>
      <c r="C15177" t="s">
        <v>24</v>
      </c>
      <c r="D15177" s="2">
        <v>355.17</v>
      </c>
      <c r="E15177" s="2">
        <v>0</v>
      </c>
      <c r="F15177" t="s">
        <v>8</v>
      </c>
      <c r="G15177" t="s">
        <v>9</v>
      </c>
    </row>
    <row r="15178" spans="1:7" x14ac:dyDescent="0.35">
      <c r="A15178">
        <v>6030</v>
      </c>
      <c r="B15178" s="1">
        <v>45985</v>
      </c>
      <c r="C15178" t="s">
        <v>24</v>
      </c>
      <c r="D15178" s="2">
        <v>0</v>
      </c>
      <c r="E15178" s="2">
        <v>355.17</v>
      </c>
      <c r="F15178" t="s">
        <v>13</v>
      </c>
      <c r="G15178" t="s">
        <v>9</v>
      </c>
    </row>
    <row r="15179" spans="1:7" x14ac:dyDescent="0.35">
      <c r="A15179">
        <v>6031</v>
      </c>
      <c r="B15179" s="1">
        <v>45985</v>
      </c>
      <c r="C15179" t="s">
        <v>25</v>
      </c>
      <c r="D15179" s="2">
        <v>6723.2</v>
      </c>
      <c r="E15179" s="2">
        <v>0</v>
      </c>
      <c r="F15179" t="s">
        <v>26</v>
      </c>
      <c r="G15179" t="s">
        <v>20</v>
      </c>
    </row>
    <row r="15180" spans="1:7" x14ac:dyDescent="0.35">
      <c r="A15180">
        <v>6031</v>
      </c>
      <c r="B15180" s="1">
        <v>45985</v>
      </c>
      <c r="C15180" t="s">
        <v>25</v>
      </c>
      <c r="D15180" s="2">
        <v>504.24</v>
      </c>
      <c r="E15180" s="2">
        <v>0</v>
      </c>
      <c r="F15180" t="s">
        <v>27</v>
      </c>
      <c r="G15180" t="s">
        <v>9</v>
      </c>
    </row>
    <row r="15181" spans="1:7" x14ac:dyDescent="0.35">
      <c r="A15181">
        <v>6031</v>
      </c>
      <c r="B15181" s="1">
        <v>45985</v>
      </c>
      <c r="C15181" t="s">
        <v>25</v>
      </c>
      <c r="D15181" s="2">
        <v>0</v>
      </c>
      <c r="E15181" s="2">
        <v>7227.44</v>
      </c>
      <c r="F15181" t="s">
        <v>28</v>
      </c>
      <c r="G15181" t="s">
        <v>17</v>
      </c>
    </row>
    <row r="15182" spans="1:7" x14ac:dyDescent="0.35">
      <c r="A15182">
        <v>6032</v>
      </c>
      <c r="B15182" s="1">
        <v>45985</v>
      </c>
      <c r="C15182" t="s">
        <v>25</v>
      </c>
      <c r="D15182" s="2">
        <v>512</v>
      </c>
      <c r="E15182" s="2">
        <v>0</v>
      </c>
      <c r="F15182" t="s">
        <v>26</v>
      </c>
      <c r="G15182" t="s">
        <v>20</v>
      </c>
    </row>
    <row r="15183" spans="1:7" x14ac:dyDescent="0.35">
      <c r="A15183">
        <v>6032</v>
      </c>
      <c r="B15183" s="1">
        <v>45985</v>
      </c>
      <c r="C15183" t="s">
        <v>25</v>
      </c>
      <c r="D15183" s="2">
        <v>38.4</v>
      </c>
      <c r="E15183" s="2">
        <v>0</v>
      </c>
      <c r="F15183" t="s">
        <v>27</v>
      </c>
      <c r="G15183" t="s">
        <v>9</v>
      </c>
    </row>
    <row r="15184" spans="1:7" x14ac:dyDescent="0.35">
      <c r="A15184">
        <v>6032</v>
      </c>
      <c r="B15184" s="1">
        <v>45985</v>
      </c>
      <c r="C15184" t="s">
        <v>25</v>
      </c>
      <c r="D15184" s="2">
        <v>0</v>
      </c>
      <c r="E15184" s="2">
        <v>550.4</v>
      </c>
      <c r="F15184" t="s">
        <v>28</v>
      </c>
      <c r="G15184" t="s">
        <v>17</v>
      </c>
    </row>
    <row r="15185" spans="1:7" x14ac:dyDescent="0.35">
      <c r="A15185">
        <v>6033</v>
      </c>
      <c r="B15185" s="1">
        <v>45985</v>
      </c>
      <c r="C15185" t="s">
        <v>25</v>
      </c>
      <c r="D15185" s="2">
        <v>1947.24</v>
      </c>
      <c r="E15185" s="2">
        <v>0</v>
      </c>
      <c r="F15185" t="s">
        <v>26</v>
      </c>
      <c r="G15185" t="s">
        <v>20</v>
      </c>
    </row>
    <row r="15186" spans="1:7" x14ac:dyDescent="0.35">
      <c r="A15186">
        <v>6033</v>
      </c>
      <c r="B15186" s="1">
        <v>45985</v>
      </c>
      <c r="C15186" t="s">
        <v>25</v>
      </c>
      <c r="D15186" s="2">
        <v>146.04</v>
      </c>
      <c r="E15186" s="2">
        <v>0</v>
      </c>
      <c r="F15186" t="s">
        <v>27</v>
      </c>
      <c r="G15186" t="s">
        <v>9</v>
      </c>
    </row>
    <row r="15187" spans="1:7" x14ac:dyDescent="0.35">
      <c r="A15187">
        <v>6033</v>
      </c>
      <c r="B15187" s="1">
        <v>45985</v>
      </c>
      <c r="C15187" t="s">
        <v>25</v>
      </c>
      <c r="D15187" s="2">
        <v>0</v>
      </c>
      <c r="E15187" s="2">
        <v>2093.2800000000002</v>
      </c>
      <c r="F15187" t="s">
        <v>28</v>
      </c>
      <c r="G15187" t="s">
        <v>17</v>
      </c>
    </row>
    <row r="15188" spans="1:7" x14ac:dyDescent="0.35">
      <c r="A15188">
        <v>6034</v>
      </c>
      <c r="B15188" s="1">
        <v>45985</v>
      </c>
      <c r="C15188" t="s">
        <v>25</v>
      </c>
      <c r="D15188" s="2">
        <v>2451.5</v>
      </c>
      <c r="E15188" s="2">
        <v>0</v>
      </c>
      <c r="F15188" t="s">
        <v>26</v>
      </c>
      <c r="G15188" t="s">
        <v>20</v>
      </c>
    </row>
    <row r="15189" spans="1:7" x14ac:dyDescent="0.35">
      <c r="A15189">
        <v>6034</v>
      </c>
      <c r="B15189" s="1">
        <v>45985</v>
      </c>
      <c r="C15189" t="s">
        <v>25</v>
      </c>
      <c r="D15189" s="2">
        <v>183.86</v>
      </c>
      <c r="E15189" s="2">
        <v>0</v>
      </c>
      <c r="F15189" t="s">
        <v>27</v>
      </c>
      <c r="G15189" t="s">
        <v>9</v>
      </c>
    </row>
    <row r="15190" spans="1:7" x14ac:dyDescent="0.35">
      <c r="A15190">
        <v>6034</v>
      </c>
      <c r="B15190" s="1">
        <v>45985</v>
      </c>
      <c r="C15190" t="s">
        <v>25</v>
      </c>
      <c r="D15190" s="2">
        <v>0</v>
      </c>
      <c r="E15190" s="2">
        <v>2635.36</v>
      </c>
      <c r="F15190" t="s">
        <v>28</v>
      </c>
      <c r="G15190" t="s">
        <v>17</v>
      </c>
    </row>
    <row r="15191" spans="1:7" x14ac:dyDescent="0.35">
      <c r="A15191">
        <v>6035</v>
      </c>
      <c r="B15191" s="1">
        <v>45985</v>
      </c>
      <c r="C15191" t="s">
        <v>29</v>
      </c>
      <c r="D15191" s="2">
        <v>179.01</v>
      </c>
      <c r="E15191" s="2">
        <v>0</v>
      </c>
      <c r="F15191" t="s">
        <v>28</v>
      </c>
      <c r="G15191" t="s">
        <v>17</v>
      </c>
    </row>
    <row r="15192" spans="1:7" x14ac:dyDescent="0.35">
      <c r="A15192">
        <v>6035</v>
      </c>
      <c r="B15192" s="1">
        <v>45985</v>
      </c>
      <c r="C15192" t="s">
        <v>29</v>
      </c>
      <c r="D15192" s="2">
        <v>0</v>
      </c>
      <c r="E15192" s="2">
        <v>179.01</v>
      </c>
      <c r="F15192" t="s">
        <v>8</v>
      </c>
      <c r="G15192" t="s">
        <v>9</v>
      </c>
    </row>
    <row r="15193" spans="1:7" x14ac:dyDescent="0.35">
      <c r="A15193">
        <v>6036</v>
      </c>
      <c r="B15193" s="1">
        <v>45986</v>
      </c>
      <c r="C15193" t="s">
        <v>12</v>
      </c>
      <c r="D15193" s="2">
        <v>108.68</v>
      </c>
      <c r="E15193" s="2">
        <v>0</v>
      </c>
      <c r="F15193" t="s">
        <v>13</v>
      </c>
      <c r="G15193" t="s">
        <v>9</v>
      </c>
    </row>
    <row r="15194" spans="1:7" x14ac:dyDescent="0.35">
      <c r="A15194">
        <v>6036</v>
      </c>
      <c r="B15194" s="1">
        <v>45986</v>
      </c>
      <c r="C15194" t="s">
        <v>12</v>
      </c>
      <c r="D15194" s="2">
        <v>0</v>
      </c>
      <c r="E15194" s="2">
        <v>101.1</v>
      </c>
      <c r="F15194" t="s">
        <v>14</v>
      </c>
      <c r="G15194" t="s">
        <v>15</v>
      </c>
    </row>
    <row r="15195" spans="1:7" x14ac:dyDescent="0.35">
      <c r="A15195">
        <v>6036</v>
      </c>
      <c r="B15195" s="1">
        <v>45986</v>
      </c>
      <c r="C15195" t="s">
        <v>12</v>
      </c>
      <c r="D15195" s="2">
        <v>0</v>
      </c>
      <c r="E15195" s="2">
        <v>7.58</v>
      </c>
      <c r="F15195" t="s">
        <v>16</v>
      </c>
      <c r="G15195" t="s">
        <v>17</v>
      </c>
    </row>
    <row r="15196" spans="1:7" x14ac:dyDescent="0.35">
      <c r="A15196">
        <v>6037</v>
      </c>
      <c r="B15196" s="1">
        <v>45986</v>
      </c>
      <c r="C15196" t="s">
        <v>12</v>
      </c>
      <c r="D15196" s="2">
        <v>5649.23</v>
      </c>
      <c r="E15196" s="2">
        <v>0</v>
      </c>
      <c r="F15196" t="s">
        <v>13</v>
      </c>
      <c r="G15196" t="s">
        <v>9</v>
      </c>
    </row>
    <row r="15197" spans="1:7" x14ac:dyDescent="0.35">
      <c r="A15197">
        <v>6037</v>
      </c>
      <c r="B15197" s="1">
        <v>45986</v>
      </c>
      <c r="C15197" t="s">
        <v>12</v>
      </c>
      <c r="D15197" s="2">
        <v>0</v>
      </c>
      <c r="E15197" s="2">
        <v>5255.1</v>
      </c>
      <c r="F15197" t="s">
        <v>14</v>
      </c>
      <c r="G15197" t="s">
        <v>15</v>
      </c>
    </row>
    <row r="15198" spans="1:7" x14ac:dyDescent="0.35">
      <c r="A15198">
        <v>6037</v>
      </c>
      <c r="B15198" s="1">
        <v>45986</v>
      </c>
      <c r="C15198" t="s">
        <v>12</v>
      </c>
      <c r="D15198" s="2">
        <v>0</v>
      </c>
      <c r="E15198" s="2">
        <v>394.13</v>
      </c>
      <c r="F15198" t="s">
        <v>16</v>
      </c>
      <c r="G15198" t="s">
        <v>17</v>
      </c>
    </row>
    <row r="15199" spans="1:7" x14ac:dyDescent="0.35">
      <c r="A15199">
        <v>6038</v>
      </c>
      <c r="B15199" s="1">
        <v>45986</v>
      </c>
      <c r="C15199" t="s">
        <v>12</v>
      </c>
      <c r="D15199" s="2">
        <v>1635.95</v>
      </c>
      <c r="E15199" s="2">
        <v>0</v>
      </c>
      <c r="F15199" t="s">
        <v>13</v>
      </c>
      <c r="G15199" t="s">
        <v>9</v>
      </c>
    </row>
    <row r="15200" spans="1:7" x14ac:dyDescent="0.35">
      <c r="A15200">
        <v>6038</v>
      </c>
      <c r="B15200" s="1">
        <v>45986</v>
      </c>
      <c r="C15200" t="s">
        <v>12</v>
      </c>
      <c r="D15200" s="2">
        <v>0</v>
      </c>
      <c r="E15200" s="2">
        <v>1521.81</v>
      </c>
      <c r="F15200" t="s">
        <v>14</v>
      </c>
      <c r="G15200" t="s">
        <v>15</v>
      </c>
    </row>
    <row r="15201" spans="1:7" x14ac:dyDescent="0.35">
      <c r="A15201">
        <v>6038</v>
      </c>
      <c r="B15201" s="1">
        <v>45986</v>
      </c>
      <c r="C15201" t="s">
        <v>12</v>
      </c>
      <c r="D15201" s="2">
        <v>0</v>
      </c>
      <c r="E15201" s="2">
        <v>114.14</v>
      </c>
      <c r="F15201" t="s">
        <v>16</v>
      </c>
      <c r="G15201" t="s">
        <v>17</v>
      </c>
    </row>
    <row r="15202" spans="1:7" x14ac:dyDescent="0.35">
      <c r="A15202">
        <v>6039</v>
      </c>
      <c r="B15202" s="1">
        <v>45986</v>
      </c>
      <c r="C15202" t="s">
        <v>12</v>
      </c>
      <c r="D15202" s="2">
        <v>2169.35</v>
      </c>
      <c r="E15202" s="2">
        <v>0</v>
      </c>
      <c r="F15202" t="s">
        <v>13</v>
      </c>
      <c r="G15202" t="s">
        <v>9</v>
      </c>
    </row>
    <row r="15203" spans="1:7" x14ac:dyDescent="0.35">
      <c r="A15203">
        <v>6039</v>
      </c>
      <c r="B15203" s="1">
        <v>45986</v>
      </c>
      <c r="C15203" t="s">
        <v>12</v>
      </c>
      <c r="D15203" s="2">
        <v>0</v>
      </c>
      <c r="E15203" s="2">
        <v>2017.99</v>
      </c>
      <c r="F15203" t="s">
        <v>14</v>
      </c>
      <c r="G15203" t="s">
        <v>15</v>
      </c>
    </row>
    <row r="15204" spans="1:7" x14ac:dyDescent="0.35">
      <c r="A15204">
        <v>6039</v>
      </c>
      <c r="B15204" s="1">
        <v>45986</v>
      </c>
      <c r="C15204" t="s">
        <v>12</v>
      </c>
      <c r="D15204" s="2">
        <v>0</v>
      </c>
      <c r="E15204" s="2">
        <v>151.36000000000001</v>
      </c>
      <c r="F15204" t="s">
        <v>16</v>
      </c>
      <c r="G15204" t="s">
        <v>17</v>
      </c>
    </row>
    <row r="15205" spans="1:7" x14ac:dyDescent="0.35">
      <c r="A15205">
        <v>6040</v>
      </c>
      <c r="B15205" s="1">
        <v>45986</v>
      </c>
      <c r="C15205" t="s">
        <v>12</v>
      </c>
      <c r="D15205" s="2">
        <v>196.11</v>
      </c>
      <c r="E15205" s="2">
        <v>0</v>
      </c>
      <c r="F15205" t="s">
        <v>13</v>
      </c>
      <c r="G15205" t="s">
        <v>9</v>
      </c>
    </row>
    <row r="15206" spans="1:7" x14ac:dyDescent="0.35">
      <c r="A15206">
        <v>6040</v>
      </c>
      <c r="B15206" s="1">
        <v>45986</v>
      </c>
      <c r="C15206" t="s">
        <v>12</v>
      </c>
      <c r="D15206" s="2">
        <v>0</v>
      </c>
      <c r="E15206" s="2">
        <v>182.42</v>
      </c>
      <c r="F15206" t="s">
        <v>14</v>
      </c>
      <c r="G15206" t="s">
        <v>15</v>
      </c>
    </row>
    <row r="15207" spans="1:7" x14ac:dyDescent="0.35">
      <c r="A15207">
        <v>6040</v>
      </c>
      <c r="B15207" s="1">
        <v>45986</v>
      </c>
      <c r="C15207" t="s">
        <v>12</v>
      </c>
      <c r="D15207" s="2">
        <v>0</v>
      </c>
      <c r="E15207" s="2">
        <v>13.69</v>
      </c>
      <c r="F15207" t="s">
        <v>16</v>
      </c>
      <c r="G15207" t="s">
        <v>17</v>
      </c>
    </row>
    <row r="15208" spans="1:7" x14ac:dyDescent="0.35">
      <c r="A15208">
        <v>6041</v>
      </c>
      <c r="B15208" s="1">
        <v>45986</v>
      </c>
      <c r="C15208" t="s">
        <v>12</v>
      </c>
      <c r="D15208" s="2">
        <v>4857.54</v>
      </c>
      <c r="E15208" s="2">
        <v>0</v>
      </c>
      <c r="F15208" t="s">
        <v>13</v>
      </c>
      <c r="G15208" t="s">
        <v>9</v>
      </c>
    </row>
    <row r="15209" spans="1:7" x14ac:dyDescent="0.35">
      <c r="A15209">
        <v>6041</v>
      </c>
      <c r="B15209" s="1">
        <v>45986</v>
      </c>
      <c r="C15209" t="s">
        <v>12</v>
      </c>
      <c r="D15209" s="2">
        <v>0</v>
      </c>
      <c r="E15209" s="2">
        <v>4518.6499999999996</v>
      </c>
      <c r="F15209" t="s">
        <v>14</v>
      </c>
      <c r="G15209" t="s">
        <v>15</v>
      </c>
    </row>
    <row r="15210" spans="1:7" x14ac:dyDescent="0.35">
      <c r="A15210">
        <v>6041</v>
      </c>
      <c r="B15210" s="1">
        <v>45986</v>
      </c>
      <c r="C15210" t="s">
        <v>12</v>
      </c>
      <c r="D15210" s="2">
        <v>0</v>
      </c>
      <c r="E15210" s="2">
        <v>338.89</v>
      </c>
      <c r="F15210" t="s">
        <v>16</v>
      </c>
      <c r="G15210" t="s">
        <v>17</v>
      </c>
    </row>
    <row r="15211" spans="1:7" x14ac:dyDescent="0.35">
      <c r="A15211">
        <v>6042</v>
      </c>
      <c r="B15211" s="1">
        <v>45986</v>
      </c>
      <c r="C15211" t="s">
        <v>24</v>
      </c>
      <c r="D15211" s="2">
        <v>1234.42</v>
      </c>
      <c r="E15211" s="2">
        <v>0</v>
      </c>
      <c r="F15211" t="s">
        <v>8</v>
      </c>
      <c r="G15211" t="s">
        <v>9</v>
      </c>
    </row>
    <row r="15212" spans="1:7" x14ac:dyDescent="0.35">
      <c r="A15212">
        <v>6042</v>
      </c>
      <c r="B15212" s="1">
        <v>45986</v>
      </c>
      <c r="C15212" t="s">
        <v>24</v>
      </c>
      <c r="D15212" s="2">
        <v>0</v>
      </c>
      <c r="E15212" s="2">
        <v>1234.42</v>
      </c>
      <c r="F15212" t="s">
        <v>13</v>
      </c>
      <c r="G15212" t="s">
        <v>9</v>
      </c>
    </row>
    <row r="15213" spans="1:7" x14ac:dyDescent="0.35">
      <c r="A15213">
        <v>6043</v>
      </c>
      <c r="B15213" s="1">
        <v>45986</v>
      </c>
      <c r="C15213" t="s">
        <v>24</v>
      </c>
      <c r="D15213" s="2">
        <v>3868.65</v>
      </c>
      <c r="E15213" s="2">
        <v>0</v>
      </c>
      <c r="F15213" t="s">
        <v>8</v>
      </c>
      <c r="G15213" t="s">
        <v>9</v>
      </c>
    </row>
    <row r="15214" spans="1:7" x14ac:dyDescent="0.35">
      <c r="A15214">
        <v>6043</v>
      </c>
      <c r="B15214" s="1">
        <v>45986</v>
      </c>
      <c r="C15214" t="s">
        <v>24</v>
      </c>
      <c r="D15214" s="2">
        <v>0</v>
      </c>
      <c r="E15214" s="2">
        <v>3868.65</v>
      </c>
      <c r="F15214" t="s">
        <v>13</v>
      </c>
      <c r="G15214" t="s">
        <v>9</v>
      </c>
    </row>
    <row r="15215" spans="1:7" x14ac:dyDescent="0.35">
      <c r="A15215">
        <v>6044</v>
      </c>
      <c r="B15215" s="1">
        <v>45986</v>
      </c>
      <c r="C15215" t="s">
        <v>24</v>
      </c>
      <c r="D15215" s="2">
        <v>3736.86</v>
      </c>
      <c r="E15215" s="2">
        <v>0</v>
      </c>
      <c r="F15215" t="s">
        <v>8</v>
      </c>
      <c r="G15215" t="s">
        <v>9</v>
      </c>
    </row>
    <row r="15216" spans="1:7" x14ac:dyDescent="0.35">
      <c r="A15216">
        <v>6044</v>
      </c>
      <c r="B15216" s="1">
        <v>45986</v>
      </c>
      <c r="C15216" t="s">
        <v>24</v>
      </c>
      <c r="D15216" s="2">
        <v>0</v>
      </c>
      <c r="E15216" s="2">
        <v>3736.86</v>
      </c>
      <c r="F15216" t="s">
        <v>13</v>
      </c>
      <c r="G15216" t="s">
        <v>9</v>
      </c>
    </row>
    <row r="15217" spans="1:7" x14ac:dyDescent="0.35">
      <c r="A15217">
        <v>6045</v>
      </c>
      <c r="B15217" s="1">
        <v>45986</v>
      </c>
      <c r="C15217" t="s">
        <v>24</v>
      </c>
      <c r="D15217" s="2">
        <v>1553.32</v>
      </c>
      <c r="E15217" s="2">
        <v>0</v>
      </c>
      <c r="F15217" t="s">
        <v>8</v>
      </c>
      <c r="G15217" t="s">
        <v>9</v>
      </c>
    </row>
    <row r="15218" spans="1:7" x14ac:dyDescent="0.35">
      <c r="A15218">
        <v>6045</v>
      </c>
      <c r="B15218" s="1">
        <v>45986</v>
      </c>
      <c r="C15218" t="s">
        <v>24</v>
      </c>
      <c r="D15218" s="2">
        <v>0</v>
      </c>
      <c r="E15218" s="2">
        <v>1553.32</v>
      </c>
      <c r="F15218" t="s">
        <v>13</v>
      </c>
      <c r="G15218" t="s">
        <v>9</v>
      </c>
    </row>
    <row r="15219" spans="1:7" x14ac:dyDescent="0.35">
      <c r="A15219">
        <v>6046</v>
      </c>
      <c r="B15219" s="1">
        <v>45986</v>
      </c>
      <c r="C15219" t="s">
        <v>24</v>
      </c>
      <c r="D15219" s="2">
        <v>3632.31</v>
      </c>
      <c r="E15219" s="2">
        <v>0</v>
      </c>
      <c r="F15219" t="s">
        <v>8</v>
      </c>
      <c r="G15219" t="s">
        <v>9</v>
      </c>
    </row>
    <row r="15220" spans="1:7" x14ac:dyDescent="0.35">
      <c r="A15220">
        <v>6046</v>
      </c>
      <c r="B15220" s="1">
        <v>45986</v>
      </c>
      <c r="C15220" t="s">
        <v>24</v>
      </c>
      <c r="D15220" s="2">
        <v>0</v>
      </c>
      <c r="E15220" s="2">
        <v>3632.31</v>
      </c>
      <c r="F15220" t="s">
        <v>13</v>
      </c>
      <c r="G15220" t="s">
        <v>9</v>
      </c>
    </row>
    <row r="15221" spans="1:7" x14ac:dyDescent="0.35">
      <c r="A15221">
        <v>6047</v>
      </c>
      <c r="B15221" s="1">
        <v>45986</v>
      </c>
      <c r="C15221" t="s">
        <v>24</v>
      </c>
      <c r="D15221" s="2">
        <v>2133.7600000000002</v>
      </c>
      <c r="E15221" s="2">
        <v>0</v>
      </c>
      <c r="F15221" t="s">
        <v>8</v>
      </c>
      <c r="G15221" t="s">
        <v>9</v>
      </c>
    </row>
    <row r="15222" spans="1:7" x14ac:dyDescent="0.35">
      <c r="A15222">
        <v>6047</v>
      </c>
      <c r="B15222" s="1">
        <v>45986</v>
      </c>
      <c r="C15222" t="s">
        <v>24</v>
      </c>
      <c r="D15222" s="2">
        <v>0</v>
      </c>
      <c r="E15222" s="2">
        <v>2133.7600000000002</v>
      </c>
      <c r="F15222" t="s">
        <v>13</v>
      </c>
      <c r="G15222" t="s">
        <v>9</v>
      </c>
    </row>
    <row r="15223" spans="1:7" x14ac:dyDescent="0.35">
      <c r="A15223">
        <v>6048</v>
      </c>
      <c r="B15223" s="1">
        <v>45986</v>
      </c>
      <c r="C15223" t="s">
        <v>24</v>
      </c>
      <c r="D15223" s="2">
        <v>4293.59</v>
      </c>
      <c r="E15223" s="2">
        <v>0</v>
      </c>
      <c r="F15223" t="s">
        <v>8</v>
      </c>
      <c r="G15223" t="s">
        <v>9</v>
      </c>
    </row>
    <row r="15224" spans="1:7" x14ac:dyDescent="0.35">
      <c r="A15224">
        <v>6048</v>
      </c>
      <c r="B15224" s="1">
        <v>45986</v>
      </c>
      <c r="C15224" t="s">
        <v>24</v>
      </c>
      <c r="D15224" s="2">
        <v>0</v>
      </c>
      <c r="E15224" s="2">
        <v>4293.59</v>
      </c>
      <c r="F15224" t="s">
        <v>13</v>
      </c>
      <c r="G15224" t="s">
        <v>9</v>
      </c>
    </row>
    <row r="15225" spans="1:7" x14ac:dyDescent="0.35">
      <c r="A15225">
        <v>6049</v>
      </c>
      <c r="B15225" s="1">
        <v>45986</v>
      </c>
      <c r="C15225" t="s">
        <v>24</v>
      </c>
      <c r="D15225" s="2">
        <v>196.11</v>
      </c>
      <c r="E15225" s="2">
        <v>0</v>
      </c>
      <c r="F15225" t="s">
        <v>8</v>
      </c>
      <c r="G15225" t="s">
        <v>9</v>
      </c>
    </row>
    <row r="15226" spans="1:7" x14ac:dyDescent="0.35">
      <c r="A15226">
        <v>6049</v>
      </c>
      <c r="B15226" s="1">
        <v>45986</v>
      </c>
      <c r="C15226" t="s">
        <v>24</v>
      </c>
      <c r="D15226" s="2">
        <v>0</v>
      </c>
      <c r="E15226" s="2">
        <v>196.11</v>
      </c>
      <c r="F15226" t="s">
        <v>13</v>
      </c>
      <c r="G15226" t="s">
        <v>9</v>
      </c>
    </row>
    <row r="15227" spans="1:7" x14ac:dyDescent="0.35">
      <c r="A15227">
        <v>6050</v>
      </c>
      <c r="B15227" s="1">
        <v>45986</v>
      </c>
      <c r="C15227" t="s">
        <v>25</v>
      </c>
      <c r="D15227" s="2">
        <v>3598.88</v>
      </c>
      <c r="E15227" s="2">
        <v>0</v>
      </c>
      <c r="F15227" t="s">
        <v>26</v>
      </c>
      <c r="G15227" t="s">
        <v>20</v>
      </c>
    </row>
    <row r="15228" spans="1:7" x14ac:dyDescent="0.35">
      <c r="A15228">
        <v>6050</v>
      </c>
      <c r="B15228" s="1">
        <v>45986</v>
      </c>
      <c r="C15228" t="s">
        <v>25</v>
      </c>
      <c r="D15228" s="2">
        <v>269.92</v>
      </c>
      <c r="E15228" s="2">
        <v>0</v>
      </c>
      <c r="F15228" t="s">
        <v>27</v>
      </c>
      <c r="G15228" t="s">
        <v>9</v>
      </c>
    </row>
    <row r="15229" spans="1:7" x14ac:dyDescent="0.35">
      <c r="A15229">
        <v>6050</v>
      </c>
      <c r="B15229" s="1">
        <v>45986</v>
      </c>
      <c r="C15229" t="s">
        <v>25</v>
      </c>
      <c r="D15229" s="2">
        <v>0</v>
      </c>
      <c r="E15229" s="2">
        <v>3868.8</v>
      </c>
      <c r="F15229" t="s">
        <v>28</v>
      </c>
      <c r="G15229" t="s">
        <v>17</v>
      </c>
    </row>
    <row r="15230" spans="1:7" x14ac:dyDescent="0.35">
      <c r="A15230">
        <v>6051</v>
      </c>
      <c r="B15230" s="1">
        <v>45986</v>
      </c>
      <c r="C15230" t="s">
        <v>29</v>
      </c>
      <c r="D15230" s="2">
        <v>1766.46</v>
      </c>
      <c r="E15230" s="2">
        <v>0</v>
      </c>
      <c r="F15230" t="s">
        <v>28</v>
      </c>
      <c r="G15230" t="s">
        <v>17</v>
      </c>
    </row>
    <row r="15231" spans="1:7" x14ac:dyDescent="0.35">
      <c r="A15231">
        <v>6051</v>
      </c>
      <c r="B15231" s="1">
        <v>45986</v>
      </c>
      <c r="C15231" t="s">
        <v>29</v>
      </c>
      <c r="D15231" s="2">
        <v>0</v>
      </c>
      <c r="E15231" s="2">
        <v>1766.46</v>
      </c>
      <c r="F15231" t="s">
        <v>8</v>
      </c>
      <c r="G15231" t="s">
        <v>9</v>
      </c>
    </row>
    <row r="15232" spans="1:7" x14ac:dyDescent="0.35">
      <c r="A15232">
        <v>6052</v>
      </c>
      <c r="B15232" s="1">
        <v>45986</v>
      </c>
      <c r="C15232" t="s">
        <v>29</v>
      </c>
      <c r="D15232" s="2">
        <v>9336.67</v>
      </c>
      <c r="E15232" s="2">
        <v>0</v>
      </c>
      <c r="F15232" t="s">
        <v>28</v>
      </c>
      <c r="G15232" t="s">
        <v>17</v>
      </c>
    </row>
    <row r="15233" spans="1:7" x14ac:dyDescent="0.35">
      <c r="A15233">
        <v>6052</v>
      </c>
      <c r="B15233" s="1">
        <v>45986</v>
      </c>
      <c r="C15233" t="s">
        <v>29</v>
      </c>
      <c r="D15233" s="2">
        <v>0</v>
      </c>
      <c r="E15233" s="2">
        <v>9336.67</v>
      </c>
      <c r="F15233" t="s">
        <v>8</v>
      </c>
      <c r="G15233" t="s">
        <v>9</v>
      </c>
    </row>
    <row r="15234" spans="1:7" x14ac:dyDescent="0.35">
      <c r="A15234">
        <v>6053</v>
      </c>
      <c r="B15234" s="1">
        <v>45987</v>
      </c>
      <c r="C15234" t="s">
        <v>12</v>
      </c>
      <c r="D15234" s="2">
        <v>2736.56</v>
      </c>
      <c r="E15234" s="2">
        <v>0</v>
      </c>
      <c r="F15234" t="s">
        <v>13</v>
      </c>
      <c r="G15234" t="s">
        <v>9</v>
      </c>
    </row>
    <row r="15235" spans="1:7" x14ac:dyDescent="0.35">
      <c r="A15235">
        <v>6053</v>
      </c>
      <c r="B15235" s="1">
        <v>45987</v>
      </c>
      <c r="C15235" t="s">
        <v>12</v>
      </c>
      <c r="D15235" s="2">
        <v>0</v>
      </c>
      <c r="E15235" s="2">
        <v>2545.63</v>
      </c>
      <c r="F15235" t="s">
        <v>14</v>
      </c>
      <c r="G15235" t="s">
        <v>15</v>
      </c>
    </row>
    <row r="15236" spans="1:7" x14ac:dyDescent="0.35">
      <c r="A15236">
        <v>6053</v>
      </c>
      <c r="B15236" s="1">
        <v>45987</v>
      </c>
      <c r="C15236" t="s">
        <v>12</v>
      </c>
      <c r="D15236" s="2">
        <v>0</v>
      </c>
      <c r="E15236" s="2">
        <v>190.93</v>
      </c>
      <c r="F15236" t="s">
        <v>16</v>
      </c>
      <c r="G15236" t="s">
        <v>17</v>
      </c>
    </row>
    <row r="15237" spans="1:7" x14ac:dyDescent="0.35">
      <c r="A15237">
        <v>6054</v>
      </c>
      <c r="B15237" s="1">
        <v>45987</v>
      </c>
      <c r="C15237" t="s">
        <v>12</v>
      </c>
      <c r="D15237" s="2">
        <v>2066.36</v>
      </c>
      <c r="E15237" s="2">
        <v>0</v>
      </c>
      <c r="F15237" t="s">
        <v>13</v>
      </c>
      <c r="G15237" t="s">
        <v>9</v>
      </c>
    </row>
    <row r="15238" spans="1:7" x14ac:dyDescent="0.35">
      <c r="A15238">
        <v>6054</v>
      </c>
      <c r="B15238" s="1">
        <v>45987</v>
      </c>
      <c r="C15238" t="s">
        <v>12</v>
      </c>
      <c r="D15238" s="2">
        <v>0</v>
      </c>
      <c r="E15238" s="2">
        <v>1922.19</v>
      </c>
      <c r="F15238" t="s">
        <v>14</v>
      </c>
      <c r="G15238" t="s">
        <v>15</v>
      </c>
    </row>
    <row r="15239" spans="1:7" x14ac:dyDescent="0.35">
      <c r="A15239">
        <v>6054</v>
      </c>
      <c r="B15239" s="1">
        <v>45987</v>
      </c>
      <c r="C15239" t="s">
        <v>12</v>
      </c>
      <c r="D15239" s="2">
        <v>0</v>
      </c>
      <c r="E15239" s="2">
        <v>144.16999999999999</v>
      </c>
      <c r="F15239" t="s">
        <v>16</v>
      </c>
      <c r="G15239" t="s">
        <v>17</v>
      </c>
    </row>
    <row r="15240" spans="1:7" x14ac:dyDescent="0.35">
      <c r="A15240">
        <v>6055</v>
      </c>
      <c r="B15240" s="1">
        <v>45987</v>
      </c>
      <c r="C15240" t="s">
        <v>12</v>
      </c>
      <c r="D15240" s="2">
        <v>3610.64</v>
      </c>
      <c r="E15240" s="2">
        <v>0</v>
      </c>
      <c r="F15240" t="s">
        <v>13</v>
      </c>
      <c r="G15240" t="s">
        <v>9</v>
      </c>
    </row>
    <row r="15241" spans="1:7" x14ac:dyDescent="0.35">
      <c r="A15241">
        <v>6055</v>
      </c>
      <c r="B15241" s="1">
        <v>45987</v>
      </c>
      <c r="C15241" t="s">
        <v>12</v>
      </c>
      <c r="D15241" s="2">
        <v>0</v>
      </c>
      <c r="E15241" s="2">
        <v>3358.73</v>
      </c>
      <c r="F15241" t="s">
        <v>14</v>
      </c>
      <c r="G15241" t="s">
        <v>15</v>
      </c>
    </row>
    <row r="15242" spans="1:7" x14ac:dyDescent="0.35">
      <c r="A15242">
        <v>6055</v>
      </c>
      <c r="B15242" s="1">
        <v>45987</v>
      </c>
      <c r="C15242" t="s">
        <v>12</v>
      </c>
      <c r="D15242" s="2">
        <v>0</v>
      </c>
      <c r="E15242" s="2">
        <v>251.91</v>
      </c>
      <c r="F15242" t="s">
        <v>16</v>
      </c>
      <c r="G15242" t="s">
        <v>17</v>
      </c>
    </row>
    <row r="15243" spans="1:7" x14ac:dyDescent="0.35">
      <c r="A15243">
        <v>6056</v>
      </c>
      <c r="B15243" s="1">
        <v>45987</v>
      </c>
      <c r="C15243" t="s">
        <v>12</v>
      </c>
      <c r="D15243" s="2">
        <v>4123.3999999999996</v>
      </c>
      <c r="E15243" s="2">
        <v>0</v>
      </c>
      <c r="F15243" t="s">
        <v>13</v>
      </c>
      <c r="G15243" t="s">
        <v>9</v>
      </c>
    </row>
    <row r="15244" spans="1:7" x14ac:dyDescent="0.35">
      <c r="A15244">
        <v>6056</v>
      </c>
      <c r="B15244" s="1">
        <v>45987</v>
      </c>
      <c r="C15244" t="s">
        <v>12</v>
      </c>
      <c r="D15244" s="2">
        <v>0</v>
      </c>
      <c r="E15244" s="2">
        <v>3835.73</v>
      </c>
      <c r="F15244" t="s">
        <v>14</v>
      </c>
      <c r="G15244" t="s">
        <v>15</v>
      </c>
    </row>
    <row r="15245" spans="1:7" x14ac:dyDescent="0.35">
      <c r="A15245">
        <v>6056</v>
      </c>
      <c r="B15245" s="1">
        <v>45987</v>
      </c>
      <c r="C15245" t="s">
        <v>12</v>
      </c>
      <c r="D15245" s="2">
        <v>0</v>
      </c>
      <c r="E15245" s="2">
        <v>287.67</v>
      </c>
      <c r="F15245" t="s">
        <v>16</v>
      </c>
      <c r="G15245" t="s">
        <v>17</v>
      </c>
    </row>
    <row r="15246" spans="1:7" x14ac:dyDescent="0.35">
      <c r="A15246">
        <v>6057</v>
      </c>
      <c r="B15246" s="1">
        <v>45987</v>
      </c>
      <c r="C15246" t="s">
        <v>12</v>
      </c>
      <c r="D15246" s="2">
        <v>6370.03</v>
      </c>
      <c r="E15246" s="2">
        <v>0</v>
      </c>
      <c r="F15246" t="s">
        <v>13</v>
      </c>
      <c r="G15246" t="s">
        <v>9</v>
      </c>
    </row>
    <row r="15247" spans="1:7" x14ac:dyDescent="0.35">
      <c r="A15247">
        <v>6057</v>
      </c>
      <c r="B15247" s="1">
        <v>45987</v>
      </c>
      <c r="C15247" t="s">
        <v>12</v>
      </c>
      <c r="D15247" s="2">
        <v>0</v>
      </c>
      <c r="E15247" s="2">
        <v>5925.61</v>
      </c>
      <c r="F15247" t="s">
        <v>14</v>
      </c>
      <c r="G15247" t="s">
        <v>15</v>
      </c>
    </row>
    <row r="15248" spans="1:7" x14ac:dyDescent="0.35">
      <c r="A15248">
        <v>6057</v>
      </c>
      <c r="B15248" s="1">
        <v>45987</v>
      </c>
      <c r="C15248" t="s">
        <v>12</v>
      </c>
      <c r="D15248" s="2">
        <v>0</v>
      </c>
      <c r="E15248" s="2">
        <v>444.42</v>
      </c>
      <c r="F15248" t="s">
        <v>16</v>
      </c>
      <c r="G15248" t="s">
        <v>17</v>
      </c>
    </row>
    <row r="15249" spans="1:7" x14ac:dyDescent="0.35">
      <c r="A15249">
        <v>6058</v>
      </c>
      <c r="B15249" s="1">
        <v>45987</v>
      </c>
      <c r="C15249" t="s">
        <v>12</v>
      </c>
      <c r="D15249" s="2">
        <v>1856.47</v>
      </c>
      <c r="E15249" s="2">
        <v>0</v>
      </c>
      <c r="F15249" t="s">
        <v>13</v>
      </c>
      <c r="G15249" t="s">
        <v>9</v>
      </c>
    </row>
    <row r="15250" spans="1:7" x14ac:dyDescent="0.35">
      <c r="A15250">
        <v>6058</v>
      </c>
      <c r="B15250" s="1">
        <v>45987</v>
      </c>
      <c r="C15250" t="s">
        <v>12</v>
      </c>
      <c r="D15250" s="2">
        <v>0</v>
      </c>
      <c r="E15250" s="2">
        <v>1726.95</v>
      </c>
      <c r="F15250" t="s">
        <v>14</v>
      </c>
      <c r="G15250" t="s">
        <v>15</v>
      </c>
    </row>
    <row r="15251" spans="1:7" x14ac:dyDescent="0.35">
      <c r="A15251">
        <v>6058</v>
      </c>
      <c r="B15251" s="1">
        <v>45987</v>
      </c>
      <c r="C15251" t="s">
        <v>12</v>
      </c>
      <c r="D15251" s="2">
        <v>0</v>
      </c>
      <c r="E15251" s="2">
        <v>129.52000000000001</v>
      </c>
      <c r="F15251" t="s">
        <v>16</v>
      </c>
      <c r="G15251" t="s">
        <v>17</v>
      </c>
    </row>
    <row r="15252" spans="1:7" x14ac:dyDescent="0.35">
      <c r="A15252">
        <v>6059</v>
      </c>
      <c r="B15252" s="1">
        <v>45987</v>
      </c>
      <c r="C15252" t="s">
        <v>12</v>
      </c>
      <c r="D15252" s="2">
        <v>6229.91</v>
      </c>
      <c r="E15252" s="2">
        <v>0</v>
      </c>
      <c r="F15252" t="s">
        <v>13</v>
      </c>
      <c r="G15252" t="s">
        <v>9</v>
      </c>
    </row>
    <row r="15253" spans="1:7" x14ac:dyDescent="0.35">
      <c r="A15253">
        <v>6059</v>
      </c>
      <c r="B15253" s="1">
        <v>45987</v>
      </c>
      <c r="C15253" t="s">
        <v>12</v>
      </c>
      <c r="D15253" s="2">
        <v>0</v>
      </c>
      <c r="E15253" s="2">
        <v>5795.27</v>
      </c>
      <c r="F15253" t="s">
        <v>14</v>
      </c>
      <c r="G15253" t="s">
        <v>15</v>
      </c>
    </row>
    <row r="15254" spans="1:7" x14ac:dyDescent="0.35">
      <c r="A15254">
        <v>6059</v>
      </c>
      <c r="B15254" s="1">
        <v>45987</v>
      </c>
      <c r="C15254" t="s">
        <v>12</v>
      </c>
      <c r="D15254" s="2">
        <v>0</v>
      </c>
      <c r="E15254" s="2">
        <v>434.64</v>
      </c>
      <c r="F15254" t="s">
        <v>16</v>
      </c>
      <c r="G15254" t="s">
        <v>17</v>
      </c>
    </row>
    <row r="15255" spans="1:7" x14ac:dyDescent="0.35">
      <c r="A15255">
        <v>6060</v>
      </c>
      <c r="B15255" s="1">
        <v>45987</v>
      </c>
      <c r="C15255" t="s">
        <v>12</v>
      </c>
      <c r="D15255" s="2">
        <v>1992.39</v>
      </c>
      <c r="E15255" s="2">
        <v>0</v>
      </c>
      <c r="F15255" t="s">
        <v>13</v>
      </c>
      <c r="G15255" t="s">
        <v>9</v>
      </c>
    </row>
    <row r="15256" spans="1:7" x14ac:dyDescent="0.35">
      <c r="A15256">
        <v>6060</v>
      </c>
      <c r="B15256" s="1">
        <v>45987</v>
      </c>
      <c r="C15256" t="s">
        <v>12</v>
      </c>
      <c r="D15256" s="2">
        <v>0</v>
      </c>
      <c r="E15256" s="2">
        <v>1853.38</v>
      </c>
      <c r="F15256" t="s">
        <v>14</v>
      </c>
      <c r="G15256" t="s">
        <v>15</v>
      </c>
    </row>
    <row r="15257" spans="1:7" x14ac:dyDescent="0.35">
      <c r="A15257">
        <v>6060</v>
      </c>
      <c r="B15257" s="1">
        <v>45987</v>
      </c>
      <c r="C15257" t="s">
        <v>12</v>
      </c>
      <c r="D15257" s="2">
        <v>0</v>
      </c>
      <c r="E15257" s="2">
        <v>139.01</v>
      </c>
      <c r="F15257" t="s">
        <v>16</v>
      </c>
      <c r="G15257" t="s">
        <v>17</v>
      </c>
    </row>
    <row r="15258" spans="1:7" x14ac:dyDescent="0.35">
      <c r="A15258">
        <v>6061</v>
      </c>
      <c r="B15258" s="1">
        <v>45987</v>
      </c>
      <c r="C15258" t="s">
        <v>12</v>
      </c>
      <c r="D15258" s="2">
        <v>2567.34</v>
      </c>
      <c r="E15258" s="2">
        <v>0</v>
      </c>
      <c r="F15258" t="s">
        <v>13</v>
      </c>
      <c r="G15258" t="s">
        <v>9</v>
      </c>
    </row>
    <row r="15259" spans="1:7" x14ac:dyDescent="0.35">
      <c r="A15259">
        <v>6061</v>
      </c>
      <c r="B15259" s="1">
        <v>45987</v>
      </c>
      <c r="C15259" t="s">
        <v>12</v>
      </c>
      <c r="D15259" s="2">
        <v>0</v>
      </c>
      <c r="E15259" s="2">
        <v>2388.23</v>
      </c>
      <c r="F15259" t="s">
        <v>14</v>
      </c>
      <c r="G15259" t="s">
        <v>15</v>
      </c>
    </row>
    <row r="15260" spans="1:7" x14ac:dyDescent="0.35">
      <c r="A15260">
        <v>6061</v>
      </c>
      <c r="B15260" s="1">
        <v>45987</v>
      </c>
      <c r="C15260" t="s">
        <v>12</v>
      </c>
      <c r="D15260" s="2">
        <v>0</v>
      </c>
      <c r="E15260" s="2">
        <v>179.11</v>
      </c>
      <c r="F15260" t="s">
        <v>16</v>
      </c>
      <c r="G15260" t="s">
        <v>17</v>
      </c>
    </row>
    <row r="15261" spans="1:7" x14ac:dyDescent="0.35">
      <c r="A15261">
        <v>6062</v>
      </c>
      <c r="B15261" s="1">
        <v>45987</v>
      </c>
      <c r="C15261" t="s">
        <v>24</v>
      </c>
      <c r="D15261" s="2">
        <v>2066.46</v>
      </c>
      <c r="E15261" s="2">
        <v>0</v>
      </c>
      <c r="F15261" t="s">
        <v>8</v>
      </c>
      <c r="G15261" t="s">
        <v>9</v>
      </c>
    </row>
    <row r="15262" spans="1:7" x14ac:dyDescent="0.35">
      <c r="A15262">
        <v>6062</v>
      </c>
      <c r="B15262" s="1">
        <v>45987</v>
      </c>
      <c r="C15262" t="s">
        <v>24</v>
      </c>
      <c r="D15262" s="2">
        <v>0</v>
      </c>
      <c r="E15262" s="2">
        <v>2066.46</v>
      </c>
      <c r="F15262" t="s">
        <v>13</v>
      </c>
      <c r="G15262" t="s">
        <v>9</v>
      </c>
    </row>
    <row r="15263" spans="1:7" x14ac:dyDescent="0.35">
      <c r="A15263">
        <v>6063</v>
      </c>
      <c r="B15263" s="1">
        <v>45987</v>
      </c>
      <c r="C15263" t="s">
        <v>24</v>
      </c>
      <c r="D15263" s="2">
        <v>338</v>
      </c>
      <c r="E15263" s="2">
        <v>0</v>
      </c>
      <c r="F15263" t="s">
        <v>8</v>
      </c>
      <c r="G15263" t="s">
        <v>9</v>
      </c>
    </row>
    <row r="15264" spans="1:7" x14ac:dyDescent="0.35">
      <c r="A15264">
        <v>6063</v>
      </c>
      <c r="B15264" s="1">
        <v>45987</v>
      </c>
      <c r="C15264" t="s">
        <v>24</v>
      </c>
      <c r="D15264" s="2">
        <v>0</v>
      </c>
      <c r="E15264" s="2">
        <v>338</v>
      </c>
      <c r="F15264" t="s">
        <v>13</v>
      </c>
      <c r="G15264" t="s">
        <v>9</v>
      </c>
    </row>
    <row r="15265" spans="1:7" x14ac:dyDescent="0.35">
      <c r="A15265">
        <v>6064</v>
      </c>
      <c r="B15265" s="1">
        <v>45987</v>
      </c>
      <c r="C15265" t="s">
        <v>24</v>
      </c>
      <c r="D15265" s="2">
        <v>1432.4</v>
      </c>
      <c r="E15265" s="2">
        <v>0</v>
      </c>
      <c r="F15265" t="s">
        <v>8</v>
      </c>
      <c r="G15265" t="s">
        <v>9</v>
      </c>
    </row>
    <row r="15266" spans="1:7" x14ac:dyDescent="0.35">
      <c r="A15266">
        <v>6064</v>
      </c>
      <c r="B15266" s="1">
        <v>45987</v>
      </c>
      <c r="C15266" t="s">
        <v>24</v>
      </c>
      <c r="D15266" s="2">
        <v>0</v>
      </c>
      <c r="E15266" s="2">
        <v>1432.4</v>
      </c>
      <c r="F15266" t="s">
        <v>13</v>
      </c>
      <c r="G15266" t="s">
        <v>9</v>
      </c>
    </row>
    <row r="15267" spans="1:7" x14ac:dyDescent="0.35">
      <c r="A15267">
        <v>6065</v>
      </c>
      <c r="B15267" s="1">
        <v>45987</v>
      </c>
      <c r="C15267" t="s">
        <v>24</v>
      </c>
      <c r="D15267" s="2">
        <v>2880.76</v>
      </c>
      <c r="E15267" s="2">
        <v>0</v>
      </c>
      <c r="F15267" t="s">
        <v>8</v>
      </c>
      <c r="G15267" t="s">
        <v>9</v>
      </c>
    </row>
    <row r="15268" spans="1:7" x14ac:dyDescent="0.35">
      <c r="A15268">
        <v>6065</v>
      </c>
      <c r="B15268" s="1">
        <v>45987</v>
      </c>
      <c r="C15268" t="s">
        <v>24</v>
      </c>
      <c r="D15268" s="2">
        <v>0</v>
      </c>
      <c r="E15268" s="2">
        <v>2880.76</v>
      </c>
      <c r="F15268" t="s">
        <v>13</v>
      </c>
      <c r="G15268" t="s">
        <v>9</v>
      </c>
    </row>
    <row r="15269" spans="1:7" x14ac:dyDescent="0.35">
      <c r="A15269">
        <v>6066</v>
      </c>
      <c r="B15269" s="1">
        <v>45987</v>
      </c>
      <c r="C15269" t="s">
        <v>24</v>
      </c>
      <c r="D15269" s="2">
        <v>6169.17</v>
      </c>
      <c r="E15269" s="2">
        <v>0</v>
      </c>
      <c r="F15269" t="s">
        <v>8</v>
      </c>
      <c r="G15269" t="s">
        <v>9</v>
      </c>
    </row>
    <row r="15270" spans="1:7" x14ac:dyDescent="0.35">
      <c r="A15270">
        <v>6066</v>
      </c>
      <c r="B15270" s="1">
        <v>45987</v>
      </c>
      <c r="C15270" t="s">
        <v>24</v>
      </c>
      <c r="D15270" s="2">
        <v>0</v>
      </c>
      <c r="E15270" s="2">
        <v>6169.17</v>
      </c>
      <c r="F15270" t="s">
        <v>13</v>
      </c>
      <c r="G15270" t="s">
        <v>9</v>
      </c>
    </row>
    <row r="15271" spans="1:7" x14ac:dyDescent="0.35">
      <c r="A15271">
        <v>6067</v>
      </c>
      <c r="B15271" s="1">
        <v>45987</v>
      </c>
      <c r="C15271" t="s">
        <v>24</v>
      </c>
      <c r="D15271" s="2">
        <v>3609.7</v>
      </c>
      <c r="E15271" s="2">
        <v>0</v>
      </c>
      <c r="F15271" t="s">
        <v>8</v>
      </c>
      <c r="G15271" t="s">
        <v>9</v>
      </c>
    </row>
    <row r="15272" spans="1:7" x14ac:dyDescent="0.35">
      <c r="A15272">
        <v>6067</v>
      </c>
      <c r="B15272" s="1">
        <v>45987</v>
      </c>
      <c r="C15272" t="s">
        <v>24</v>
      </c>
      <c r="D15272" s="2">
        <v>0</v>
      </c>
      <c r="E15272" s="2">
        <v>3609.7</v>
      </c>
      <c r="F15272" t="s">
        <v>13</v>
      </c>
      <c r="G15272" t="s">
        <v>9</v>
      </c>
    </row>
    <row r="15273" spans="1:7" x14ac:dyDescent="0.35">
      <c r="A15273">
        <v>6068</v>
      </c>
      <c r="B15273" s="1">
        <v>45987</v>
      </c>
      <c r="C15273" t="s">
        <v>24</v>
      </c>
      <c r="D15273" s="2">
        <v>4653.96</v>
      </c>
      <c r="E15273" s="2">
        <v>0</v>
      </c>
      <c r="F15273" t="s">
        <v>8</v>
      </c>
      <c r="G15273" t="s">
        <v>9</v>
      </c>
    </row>
    <row r="15274" spans="1:7" x14ac:dyDescent="0.35">
      <c r="A15274">
        <v>6068</v>
      </c>
      <c r="B15274" s="1">
        <v>45987</v>
      </c>
      <c r="C15274" t="s">
        <v>24</v>
      </c>
      <c r="D15274" s="2">
        <v>0</v>
      </c>
      <c r="E15274" s="2">
        <v>4653.96</v>
      </c>
      <c r="F15274" t="s">
        <v>13</v>
      </c>
      <c r="G15274" t="s">
        <v>9</v>
      </c>
    </row>
    <row r="15275" spans="1:7" x14ac:dyDescent="0.35">
      <c r="A15275">
        <v>6069</v>
      </c>
      <c r="B15275" s="1">
        <v>45987</v>
      </c>
      <c r="C15275" t="s">
        <v>24</v>
      </c>
      <c r="D15275" s="2">
        <v>3252.32</v>
      </c>
      <c r="E15275" s="2">
        <v>0</v>
      </c>
      <c r="F15275" t="s">
        <v>8</v>
      </c>
      <c r="G15275" t="s">
        <v>9</v>
      </c>
    </row>
    <row r="15276" spans="1:7" x14ac:dyDescent="0.35">
      <c r="A15276">
        <v>6069</v>
      </c>
      <c r="B15276" s="1">
        <v>45987</v>
      </c>
      <c r="C15276" t="s">
        <v>24</v>
      </c>
      <c r="D15276" s="2">
        <v>0</v>
      </c>
      <c r="E15276" s="2">
        <v>3252.32</v>
      </c>
      <c r="F15276" t="s">
        <v>13</v>
      </c>
      <c r="G15276" t="s">
        <v>9</v>
      </c>
    </row>
    <row r="15277" spans="1:7" x14ac:dyDescent="0.35">
      <c r="A15277">
        <v>6070</v>
      </c>
      <c r="B15277" s="1">
        <v>45987</v>
      </c>
      <c r="C15277" t="s">
        <v>24</v>
      </c>
      <c r="D15277" s="2">
        <v>4179.41</v>
      </c>
      <c r="E15277" s="2">
        <v>0</v>
      </c>
      <c r="F15277" t="s">
        <v>8</v>
      </c>
      <c r="G15277" t="s">
        <v>9</v>
      </c>
    </row>
    <row r="15278" spans="1:7" x14ac:dyDescent="0.35">
      <c r="A15278">
        <v>6070</v>
      </c>
      <c r="B15278" s="1">
        <v>45987</v>
      </c>
      <c r="C15278" t="s">
        <v>24</v>
      </c>
      <c r="D15278" s="2">
        <v>0</v>
      </c>
      <c r="E15278" s="2">
        <v>4179.41</v>
      </c>
      <c r="F15278" t="s">
        <v>13</v>
      </c>
      <c r="G15278" t="s">
        <v>9</v>
      </c>
    </row>
    <row r="15279" spans="1:7" x14ac:dyDescent="0.35">
      <c r="A15279">
        <v>6071</v>
      </c>
      <c r="B15279" s="1">
        <v>45987</v>
      </c>
      <c r="C15279" t="s">
        <v>24</v>
      </c>
      <c r="D15279" s="2">
        <v>6370.03</v>
      </c>
      <c r="E15279" s="2">
        <v>0</v>
      </c>
      <c r="F15279" t="s">
        <v>8</v>
      </c>
      <c r="G15279" t="s">
        <v>9</v>
      </c>
    </row>
    <row r="15280" spans="1:7" x14ac:dyDescent="0.35">
      <c r="A15280">
        <v>6071</v>
      </c>
      <c r="B15280" s="1">
        <v>45987</v>
      </c>
      <c r="C15280" t="s">
        <v>24</v>
      </c>
      <c r="D15280" s="2">
        <v>0</v>
      </c>
      <c r="E15280" s="2">
        <v>6370.03</v>
      </c>
      <c r="F15280" t="s">
        <v>13</v>
      </c>
      <c r="G15280" t="s">
        <v>9</v>
      </c>
    </row>
    <row r="15281" spans="1:7" x14ac:dyDescent="0.35">
      <c r="A15281">
        <v>6072</v>
      </c>
      <c r="B15281" s="1">
        <v>45987</v>
      </c>
      <c r="C15281" t="s">
        <v>25</v>
      </c>
      <c r="D15281" s="2">
        <v>1213.5999999999999</v>
      </c>
      <c r="E15281" s="2">
        <v>0</v>
      </c>
      <c r="F15281" t="s">
        <v>26</v>
      </c>
      <c r="G15281" t="s">
        <v>20</v>
      </c>
    </row>
    <row r="15282" spans="1:7" x14ac:dyDescent="0.35">
      <c r="A15282">
        <v>6072</v>
      </c>
      <c r="B15282" s="1">
        <v>45987</v>
      </c>
      <c r="C15282" t="s">
        <v>25</v>
      </c>
      <c r="D15282" s="2">
        <v>91.02</v>
      </c>
      <c r="E15282" s="2">
        <v>0</v>
      </c>
      <c r="F15282" t="s">
        <v>27</v>
      </c>
      <c r="G15282" t="s">
        <v>9</v>
      </c>
    </row>
    <row r="15283" spans="1:7" x14ac:dyDescent="0.35">
      <c r="A15283">
        <v>6072</v>
      </c>
      <c r="B15283" s="1">
        <v>45987</v>
      </c>
      <c r="C15283" t="s">
        <v>25</v>
      </c>
      <c r="D15283" s="2">
        <v>0</v>
      </c>
      <c r="E15283" s="2">
        <v>1304.6199999999999</v>
      </c>
      <c r="F15283" t="s">
        <v>28</v>
      </c>
      <c r="G15283" t="s">
        <v>17</v>
      </c>
    </row>
    <row r="15284" spans="1:7" x14ac:dyDescent="0.35">
      <c r="A15284">
        <v>6073</v>
      </c>
      <c r="B15284" s="1">
        <v>45988</v>
      </c>
      <c r="C15284" t="s">
        <v>12</v>
      </c>
      <c r="D15284" s="2">
        <v>2679.04</v>
      </c>
      <c r="E15284" s="2">
        <v>0</v>
      </c>
      <c r="F15284" t="s">
        <v>13</v>
      </c>
      <c r="G15284" t="s">
        <v>9</v>
      </c>
    </row>
    <row r="15285" spans="1:7" x14ac:dyDescent="0.35">
      <c r="A15285">
        <v>6073</v>
      </c>
      <c r="B15285" s="1">
        <v>45988</v>
      </c>
      <c r="C15285" t="s">
        <v>12</v>
      </c>
      <c r="D15285" s="2">
        <v>0</v>
      </c>
      <c r="E15285" s="2">
        <v>2492.12</v>
      </c>
      <c r="F15285" t="s">
        <v>14</v>
      </c>
      <c r="G15285" t="s">
        <v>15</v>
      </c>
    </row>
    <row r="15286" spans="1:7" x14ac:dyDescent="0.35">
      <c r="A15286">
        <v>6073</v>
      </c>
      <c r="B15286" s="1">
        <v>45988</v>
      </c>
      <c r="C15286" t="s">
        <v>12</v>
      </c>
      <c r="D15286" s="2">
        <v>0</v>
      </c>
      <c r="E15286" s="2">
        <v>186.92</v>
      </c>
      <c r="F15286" t="s">
        <v>16</v>
      </c>
      <c r="G15286" t="s">
        <v>17</v>
      </c>
    </row>
    <row r="15287" spans="1:7" x14ac:dyDescent="0.35">
      <c r="A15287">
        <v>6074</v>
      </c>
      <c r="B15287" s="1">
        <v>45988</v>
      </c>
      <c r="C15287" t="s">
        <v>12</v>
      </c>
      <c r="D15287" s="2">
        <v>577.88</v>
      </c>
      <c r="E15287" s="2">
        <v>0</v>
      </c>
      <c r="F15287" t="s">
        <v>13</v>
      </c>
      <c r="G15287" t="s">
        <v>9</v>
      </c>
    </row>
    <row r="15288" spans="1:7" x14ac:dyDescent="0.35">
      <c r="A15288">
        <v>6074</v>
      </c>
      <c r="B15288" s="1">
        <v>45988</v>
      </c>
      <c r="C15288" t="s">
        <v>12</v>
      </c>
      <c r="D15288" s="2">
        <v>0</v>
      </c>
      <c r="E15288" s="2">
        <v>537.57000000000005</v>
      </c>
      <c r="F15288" t="s">
        <v>14</v>
      </c>
      <c r="G15288" t="s">
        <v>15</v>
      </c>
    </row>
    <row r="15289" spans="1:7" x14ac:dyDescent="0.35">
      <c r="A15289">
        <v>6074</v>
      </c>
      <c r="B15289" s="1">
        <v>45988</v>
      </c>
      <c r="C15289" t="s">
        <v>12</v>
      </c>
      <c r="D15289" s="2">
        <v>0</v>
      </c>
      <c r="E15289" s="2">
        <v>40.31</v>
      </c>
      <c r="F15289" t="s">
        <v>16</v>
      </c>
      <c r="G15289" t="s">
        <v>17</v>
      </c>
    </row>
    <row r="15290" spans="1:7" x14ac:dyDescent="0.35">
      <c r="A15290">
        <v>6075</v>
      </c>
      <c r="B15290" s="1">
        <v>45988</v>
      </c>
      <c r="C15290" t="s">
        <v>12</v>
      </c>
      <c r="D15290" s="2">
        <v>1566.03</v>
      </c>
      <c r="E15290" s="2">
        <v>0</v>
      </c>
      <c r="F15290" t="s">
        <v>13</v>
      </c>
      <c r="G15290" t="s">
        <v>9</v>
      </c>
    </row>
    <row r="15291" spans="1:7" x14ac:dyDescent="0.35">
      <c r="A15291">
        <v>6075</v>
      </c>
      <c r="B15291" s="1">
        <v>45988</v>
      </c>
      <c r="C15291" t="s">
        <v>12</v>
      </c>
      <c r="D15291" s="2">
        <v>0</v>
      </c>
      <c r="E15291" s="2">
        <v>1456.78</v>
      </c>
      <c r="F15291" t="s">
        <v>14</v>
      </c>
      <c r="G15291" t="s">
        <v>15</v>
      </c>
    </row>
    <row r="15292" spans="1:7" x14ac:dyDescent="0.35">
      <c r="A15292">
        <v>6075</v>
      </c>
      <c r="B15292" s="1">
        <v>45988</v>
      </c>
      <c r="C15292" t="s">
        <v>12</v>
      </c>
      <c r="D15292" s="2">
        <v>0</v>
      </c>
      <c r="E15292" s="2">
        <v>109.25</v>
      </c>
      <c r="F15292" t="s">
        <v>16</v>
      </c>
      <c r="G15292" t="s">
        <v>17</v>
      </c>
    </row>
    <row r="15293" spans="1:7" x14ac:dyDescent="0.35">
      <c r="A15293">
        <v>6076</v>
      </c>
      <c r="B15293" s="1">
        <v>45988</v>
      </c>
      <c r="C15293" t="s">
        <v>12</v>
      </c>
      <c r="D15293" s="2">
        <v>3726.72</v>
      </c>
      <c r="E15293" s="2">
        <v>0</v>
      </c>
      <c r="F15293" t="s">
        <v>13</v>
      </c>
      <c r="G15293" t="s">
        <v>9</v>
      </c>
    </row>
    <row r="15294" spans="1:7" x14ac:dyDescent="0.35">
      <c r="A15294">
        <v>6076</v>
      </c>
      <c r="B15294" s="1">
        <v>45988</v>
      </c>
      <c r="C15294" t="s">
        <v>12</v>
      </c>
      <c r="D15294" s="2">
        <v>0</v>
      </c>
      <c r="E15294" s="2">
        <v>3466.71</v>
      </c>
      <c r="F15294" t="s">
        <v>14</v>
      </c>
      <c r="G15294" t="s">
        <v>15</v>
      </c>
    </row>
    <row r="15295" spans="1:7" x14ac:dyDescent="0.35">
      <c r="A15295">
        <v>6076</v>
      </c>
      <c r="B15295" s="1">
        <v>45988</v>
      </c>
      <c r="C15295" t="s">
        <v>12</v>
      </c>
      <c r="D15295" s="2">
        <v>0</v>
      </c>
      <c r="E15295" s="2">
        <v>260.01</v>
      </c>
      <c r="F15295" t="s">
        <v>16</v>
      </c>
      <c r="G15295" t="s">
        <v>17</v>
      </c>
    </row>
    <row r="15296" spans="1:7" x14ac:dyDescent="0.35">
      <c r="A15296">
        <v>6077</v>
      </c>
      <c r="B15296" s="1">
        <v>45988</v>
      </c>
      <c r="C15296" t="s">
        <v>12</v>
      </c>
      <c r="D15296" s="2">
        <v>1857.21</v>
      </c>
      <c r="E15296" s="2">
        <v>0</v>
      </c>
      <c r="F15296" t="s">
        <v>13</v>
      </c>
      <c r="G15296" t="s">
        <v>9</v>
      </c>
    </row>
    <row r="15297" spans="1:7" x14ac:dyDescent="0.35">
      <c r="A15297">
        <v>6077</v>
      </c>
      <c r="B15297" s="1">
        <v>45988</v>
      </c>
      <c r="C15297" t="s">
        <v>12</v>
      </c>
      <c r="D15297" s="2">
        <v>0</v>
      </c>
      <c r="E15297" s="2">
        <v>1727.64</v>
      </c>
      <c r="F15297" t="s">
        <v>14</v>
      </c>
      <c r="G15297" t="s">
        <v>15</v>
      </c>
    </row>
    <row r="15298" spans="1:7" x14ac:dyDescent="0.35">
      <c r="A15298">
        <v>6077</v>
      </c>
      <c r="B15298" s="1">
        <v>45988</v>
      </c>
      <c r="C15298" t="s">
        <v>12</v>
      </c>
      <c r="D15298" s="2">
        <v>0</v>
      </c>
      <c r="E15298" s="2">
        <v>129.57</v>
      </c>
      <c r="F15298" t="s">
        <v>16</v>
      </c>
      <c r="G15298" t="s">
        <v>17</v>
      </c>
    </row>
    <row r="15299" spans="1:7" x14ac:dyDescent="0.35">
      <c r="A15299">
        <v>6078</v>
      </c>
      <c r="B15299" s="1">
        <v>45988</v>
      </c>
      <c r="C15299" t="s">
        <v>12</v>
      </c>
      <c r="D15299" s="2">
        <v>684.1</v>
      </c>
      <c r="E15299" s="2">
        <v>0</v>
      </c>
      <c r="F15299" t="s">
        <v>13</v>
      </c>
      <c r="G15299" t="s">
        <v>9</v>
      </c>
    </row>
    <row r="15300" spans="1:7" x14ac:dyDescent="0.35">
      <c r="A15300">
        <v>6078</v>
      </c>
      <c r="B15300" s="1">
        <v>45988</v>
      </c>
      <c r="C15300" t="s">
        <v>12</v>
      </c>
      <c r="D15300" s="2">
        <v>0</v>
      </c>
      <c r="E15300" s="2">
        <v>636.37</v>
      </c>
      <c r="F15300" t="s">
        <v>14</v>
      </c>
      <c r="G15300" t="s">
        <v>15</v>
      </c>
    </row>
    <row r="15301" spans="1:7" x14ac:dyDescent="0.35">
      <c r="A15301">
        <v>6078</v>
      </c>
      <c r="B15301" s="1">
        <v>45988</v>
      </c>
      <c r="C15301" t="s">
        <v>12</v>
      </c>
      <c r="D15301" s="2">
        <v>0</v>
      </c>
      <c r="E15301" s="2">
        <v>47.73</v>
      </c>
      <c r="F15301" t="s">
        <v>16</v>
      </c>
      <c r="G15301" t="s">
        <v>17</v>
      </c>
    </row>
    <row r="15302" spans="1:7" x14ac:dyDescent="0.35">
      <c r="A15302">
        <v>6079</v>
      </c>
      <c r="B15302" s="1">
        <v>45988</v>
      </c>
      <c r="C15302" t="s">
        <v>12</v>
      </c>
      <c r="D15302" s="2">
        <v>2549.9699999999998</v>
      </c>
      <c r="E15302" s="2">
        <v>0</v>
      </c>
      <c r="F15302" t="s">
        <v>13</v>
      </c>
      <c r="G15302" t="s">
        <v>9</v>
      </c>
    </row>
    <row r="15303" spans="1:7" x14ac:dyDescent="0.35">
      <c r="A15303">
        <v>6079</v>
      </c>
      <c r="B15303" s="1">
        <v>45988</v>
      </c>
      <c r="C15303" t="s">
        <v>12</v>
      </c>
      <c r="D15303" s="2">
        <v>0</v>
      </c>
      <c r="E15303" s="2">
        <v>2372.0700000000002</v>
      </c>
      <c r="F15303" t="s">
        <v>14</v>
      </c>
      <c r="G15303" t="s">
        <v>15</v>
      </c>
    </row>
    <row r="15304" spans="1:7" x14ac:dyDescent="0.35">
      <c r="A15304">
        <v>6079</v>
      </c>
      <c r="B15304" s="1">
        <v>45988</v>
      </c>
      <c r="C15304" t="s">
        <v>12</v>
      </c>
      <c r="D15304" s="2">
        <v>0</v>
      </c>
      <c r="E15304" s="2">
        <v>177.9</v>
      </c>
      <c r="F15304" t="s">
        <v>16</v>
      </c>
      <c r="G15304" t="s">
        <v>17</v>
      </c>
    </row>
    <row r="15305" spans="1:7" x14ac:dyDescent="0.35">
      <c r="A15305">
        <v>6080</v>
      </c>
      <c r="B15305" s="1">
        <v>45988</v>
      </c>
      <c r="C15305" t="s">
        <v>12</v>
      </c>
      <c r="D15305" s="2">
        <v>1364.68</v>
      </c>
      <c r="E15305" s="2">
        <v>0</v>
      </c>
      <c r="F15305" t="s">
        <v>13</v>
      </c>
      <c r="G15305" t="s">
        <v>9</v>
      </c>
    </row>
    <row r="15306" spans="1:7" x14ac:dyDescent="0.35">
      <c r="A15306">
        <v>6080</v>
      </c>
      <c r="B15306" s="1">
        <v>45988</v>
      </c>
      <c r="C15306" t="s">
        <v>12</v>
      </c>
      <c r="D15306" s="2">
        <v>0</v>
      </c>
      <c r="E15306" s="2">
        <v>1269.47</v>
      </c>
      <c r="F15306" t="s">
        <v>14</v>
      </c>
      <c r="G15306" t="s">
        <v>15</v>
      </c>
    </row>
    <row r="15307" spans="1:7" x14ac:dyDescent="0.35">
      <c r="A15307">
        <v>6080</v>
      </c>
      <c r="B15307" s="1">
        <v>45988</v>
      </c>
      <c r="C15307" t="s">
        <v>12</v>
      </c>
      <c r="D15307" s="2">
        <v>0</v>
      </c>
      <c r="E15307" s="2">
        <v>95.21</v>
      </c>
      <c r="F15307" t="s">
        <v>16</v>
      </c>
      <c r="G15307" t="s">
        <v>17</v>
      </c>
    </row>
    <row r="15308" spans="1:7" x14ac:dyDescent="0.35">
      <c r="A15308">
        <v>6081</v>
      </c>
      <c r="B15308" s="1">
        <v>45988</v>
      </c>
      <c r="C15308" t="s">
        <v>12</v>
      </c>
      <c r="D15308" s="2">
        <v>3837.91</v>
      </c>
      <c r="E15308" s="2">
        <v>0</v>
      </c>
      <c r="F15308" t="s">
        <v>13</v>
      </c>
      <c r="G15308" t="s">
        <v>9</v>
      </c>
    </row>
    <row r="15309" spans="1:7" x14ac:dyDescent="0.35">
      <c r="A15309">
        <v>6081</v>
      </c>
      <c r="B15309" s="1">
        <v>45988</v>
      </c>
      <c r="C15309" t="s">
        <v>12</v>
      </c>
      <c r="D15309" s="2">
        <v>0</v>
      </c>
      <c r="E15309" s="2">
        <v>3570.15</v>
      </c>
      <c r="F15309" t="s">
        <v>14</v>
      </c>
      <c r="G15309" t="s">
        <v>15</v>
      </c>
    </row>
    <row r="15310" spans="1:7" x14ac:dyDescent="0.35">
      <c r="A15310">
        <v>6081</v>
      </c>
      <c r="B15310" s="1">
        <v>45988</v>
      </c>
      <c r="C15310" t="s">
        <v>12</v>
      </c>
      <c r="D15310" s="2">
        <v>0</v>
      </c>
      <c r="E15310" s="2">
        <v>267.76</v>
      </c>
      <c r="F15310" t="s">
        <v>16</v>
      </c>
      <c r="G15310" t="s">
        <v>17</v>
      </c>
    </row>
    <row r="15311" spans="1:7" x14ac:dyDescent="0.35">
      <c r="A15311">
        <v>6082</v>
      </c>
      <c r="B15311" s="1">
        <v>45988</v>
      </c>
      <c r="C15311" t="s">
        <v>12</v>
      </c>
      <c r="D15311" s="2">
        <v>520.03</v>
      </c>
      <c r="E15311" s="2">
        <v>0</v>
      </c>
      <c r="F15311" t="s">
        <v>13</v>
      </c>
      <c r="G15311" t="s">
        <v>9</v>
      </c>
    </row>
    <row r="15312" spans="1:7" x14ac:dyDescent="0.35">
      <c r="A15312">
        <v>6082</v>
      </c>
      <c r="B15312" s="1">
        <v>45988</v>
      </c>
      <c r="C15312" t="s">
        <v>12</v>
      </c>
      <c r="D15312" s="2">
        <v>0</v>
      </c>
      <c r="E15312" s="2">
        <v>483.75</v>
      </c>
      <c r="F15312" t="s">
        <v>14</v>
      </c>
      <c r="G15312" t="s">
        <v>15</v>
      </c>
    </row>
    <row r="15313" spans="1:7" x14ac:dyDescent="0.35">
      <c r="A15313">
        <v>6082</v>
      </c>
      <c r="B15313" s="1">
        <v>45988</v>
      </c>
      <c r="C15313" t="s">
        <v>12</v>
      </c>
      <c r="D15313" s="2">
        <v>0</v>
      </c>
      <c r="E15313" s="2">
        <v>36.28</v>
      </c>
      <c r="F15313" t="s">
        <v>16</v>
      </c>
      <c r="G15313" t="s">
        <v>17</v>
      </c>
    </row>
    <row r="15314" spans="1:7" x14ac:dyDescent="0.35">
      <c r="A15314">
        <v>6083</v>
      </c>
      <c r="B15314" s="1">
        <v>45988</v>
      </c>
      <c r="C15314" t="s">
        <v>12</v>
      </c>
      <c r="D15314" s="2">
        <v>979.07</v>
      </c>
      <c r="E15314" s="2">
        <v>0</v>
      </c>
      <c r="F15314" t="s">
        <v>13</v>
      </c>
      <c r="G15314" t="s">
        <v>9</v>
      </c>
    </row>
    <row r="15315" spans="1:7" x14ac:dyDescent="0.35">
      <c r="A15315">
        <v>6083</v>
      </c>
      <c r="B15315" s="1">
        <v>45988</v>
      </c>
      <c r="C15315" t="s">
        <v>12</v>
      </c>
      <c r="D15315" s="2">
        <v>0</v>
      </c>
      <c r="E15315" s="2">
        <v>910.77</v>
      </c>
      <c r="F15315" t="s">
        <v>14</v>
      </c>
      <c r="G15315" t="s">
        <v>15</v>
      </c>
    </row>
    <row r="15316" spans="1:7" x14ac:dyDescent="0.35">
      <c r="A15316">
        <v>6083</v>
      </c>
      <c r="B15316" s="1">
        <v>45988</v>
      </c>
      <c r="C15316" t="s">
        <v>12</v>
      </c>
      <c r="D15316" s="2">
        <v>0</v>
      </c>
      <c r="E15316" s="2">
        <v>68.3</v>
      </c>
      <c r="F15316" t="s">
        <v>16</v>
      </c>
      <c r="G15316" t="s">
        <v>17</v>
      </c>
    </row>
    <row r="15317" spans="1:7" x14ac:dyDescent="0.35">
      <c r="A15317">
        <v>6084</v>
      </c>
      <c r="B15317" s="1">
        <v>45988</v>
      </c>
      <c r="C15317" t="s">
        <v>12</v>
      </c>
      <c r="D15317" s="2">
        <v>3175.41</v>
      </c>
      <c r="E15317" s="2">
        <v>0</v>
      </c>
      <c r="F15317" t="s">
        <v>13</v>
      </c>
      <c r="G15317" t="s">
        <v>9</v>
      </c>
    </row>
    <row r="15318" spans="1:7" x14ac:dyDescent="0.35">
      <c r="A15318">
        <v>6084</v>
      </c>
      <c r="B15318" s="1">
        <v>45988</v>
      </c>
      <c r="C15318" t="s">
        <v>12</v>
      </c>
      <c r="D15318" s="2">
        <v>0</v>
      </c>
      <c r="E15318" s="2">
        <v>2953.88</v>
      </c>
      <c r="F15318" t="s">
        <v>14</v>
      </c>
      <c r="G15318" t="s">
        <v>15</v>
      </c>
    </row>
    <row r="15319" spans="1:7" x14ac:dyDescent="0.35">
      <c r="A15319">
        <v>6084</v>
      </c>
      <c r="B15319" s="1">
        <v>45988</v>
      </c>
      <c r="C15319" t="s">
        <v>12</v>
      </c>
      <c r="D15319" s="2">
        <v>0</v>
      </c>
      <c r="E15319" s="2">
        <v>221.53</v>
      </c>
      <c r="F15319" t="s">
        <v>16</v>
      </c>
      <c r="G15319" t="s">
        <v>17</v>
      </c>
    </row>
    <row r="15320" spans="1:7" x14ac:dyDescent="0.35">
      <c r="A15320">
        <v>6085</v>
      </c>
      <c r="B15320" s="1">
        <v>45988</v>
      </c>
      <c r="C15320" t="s">
        <v>12</v>
      </c>
      <c r="D15320" s="2">
        <v>2128.81</v>
      </c>
      <c r="E15320" s="2">
        <v>0</v>
      </c>
      <c r="F15320" t="s">
        <v>13</v>
      </c>
      <c r="G15320" t="s">
        <v>9</v>
      </c>
    </row>
    <row r="15321" spans="1:7" x14ac:dyDescent="0.35">
      <c r="A15321">
        <v>6085</v>
      </c>
      <c r="B15321" s="1">
        <v>45988</v>
      </c>
      <c r="C15321" t="s">
        <v>12</v>
      </c>
      <c r="D15321" s="2">
        <v>0</v>
      </c>
      <c r="E15321" s="2">
        <v>1980.3</v>
      </c>
      <c r="F15321" t="s">
        <v>14</v>
      </c>
      <c r="G15321" t="s">
        <v>15</v>
      </c>
    </row>
    <row r="15322" spans="1:7" x14ac:dyDescent="0.35">
      <c r="A15322">
        <v>6085</v>
      </c>
      <c r="B15322" s="1">
        <v>45988</v>
      </c>
      <c r="C15322" t="s">
        <v>12</v>
      </c>
      <c r="D15322" s="2">
        <v>0</v>
      </c>
      <c r="E15322" s="2">
        <v>148.51</v>
      </c>
      <c r="F15322" t="s">
        <v>16</v>
      </c>
      <c r="G15322" t="s">
        <v>17</v>
      </c>
    </row>
    <row r="15323" spans="1:7" x14ac:dyDescent="0.35">
      <c r="A15323">
        <v>6086</v>
      </c>
      <c r="B15323" s="1">
        <v>45988</v>
      </c>
      <c r="C15323" t="s">
        <v>24</v>
      </c>
      <c r="D15323" s="2">
        <v>205.92</v>
      </c>
      <c r="E15323" s="2">
        <v>0</v>
      </c>
      <c r="F15323" t="s">
        <v>8</v>
      </c>
      <c r="G15323" t="s">
        <v>9</v>
      </c>
    </row>
    <row r="15324" spans="1:7" x14ac:dyDescent="0.35">
      <c r="A15324">
        <v>6086</v>
      </c>
      <c r="B15324" s="1">
        <v>45988</v>
      </c>
      <c r="C15324" t="s">
        <v>24</v>
      </c>
      <c r="D15324" s="2">
        <v>0</v>
      </c>
      <c r="E15324" s="2">
        <v>205.92</v>
      </c>
      <c r="F15324" t="s">
        <v>13</v>
      </c>
      <c r="G15324" t="s">
        <v>9</v>
      </c>
    </row>
    <row r="15325" spans="1:7" x14ac:dyDescent="0.35">
      <c r="A15325">
        <v>6087</v>
      </c>
      <c r="B15325" s="1">
        <v>45988</v>
      </c>
      <c r="C15325" t="s">
        <v>24</v>
      </c>
      <c r="D15325" s="2">
        <v>2039.84</v>
      </c>
      <c r="E15325" s="2">
        <v>0</v>
      </c>
      <c r="F15325" t="s">
        <v>8</v>
      </c>
      <c r="G15325" t="s">
        <v>9</v>
      </c>
    </row>
    <row r="15326" spans="1:7" x14ac:dyDescent="0.35">
      <c r="A15326">
        <v>6087</v>
      </c>
      <c r="B15326" s="1">
        <v>45988</v>
      </c>
      <c r="C15326" t="s">
        <v>24</v>
      </c>
      <c r="D15326" s="2">
        <v>0</v>
      </c>
      <c r="E15326" s="2">
        <v>2039.84</v>
      </c>
      <c r="F15326" t="s">
        <v>13</v>
      </c>
      <c r="G15326" t="s">
        <v>9</v>
      </c>
    </row>
    <row r="15327" spans="1:7" x14ac:dyDescent="0.35">
      <c r="A15327">
        <v>6088</v>
      </c>
      <c r="B15327" s="1">
        <v>45988</v>
      </c>
      <c r="C15327" t="s">
        <v>24</v>
      </c>
      <c r="D15327" s="2">
        <v>1717.6</v>
      </c>
      <c r="E15327" s="2">
        <v>0</v>
      </c>
      <c r="F15327" t="s">
        <v>8</v>
      </c>
      <c r="G15327" t="s">
        <v>9</v>
      </c>
    </row>
    <row r="15328" spans="1:7" x14ac:dyDescent="0.35">
      <c r="A15328">
        <v>6088</v>
      </c>
      <c r="B15328" s="1">
        <v>45988</v>
      </c>
      <c r="C15328" t="s">
        <v>24</v>
      </c>
      <c r="D15328" s="2">
        <v>0</v>
      </c>
      <c r="E15328" s="2">
        <v>1717.6</v>
      </c>
      <c r="F15328" t="s">
        <v>13</v>
      </c>
      <c r="G15328" t="s">
        <v>9</v>
      </c>
    </row>
    <row r="15329" spans="1:7" x14ac:dyDescent="0.35">
      <c r="A15329">
        <v>6089</v>
      </c>
      <c r="B15329" s="1">
        <v>45988</v>
      </c>
      <c r="C15329" t="s">
        <v>24</v>
      </c>
      <c r="D15329" s="2">
        <v>1270.03</v>
      </c>
      <c r="E15329" s="2">
        <v>0</v>
      </c>
      <c r="F15329" t="s">
        <v>8</v>
      </c>
      <c r="G15329" t="s">
        <v>9</v>
      </c>
    </row>
    <row r="15330" spans="1:7" x14ac:dyDescent="0.35">
      <c r="A15330">
        <v>6089</v>
      </c>
      <c r="B15330" s="1">
        <v>45988</v>
      </c>
      <c r="C15330" t="s">
        <v>24</v>
      </c>
      <c r="D15330" s="2">
        <v>0</v>
      </c>
      <c r="E15330" s="2">
        <v>1270.03</v>
      </c>
      <c r="F15330" t="s">
        <v>13</v>
      </c>
      <c r="G15330" t="s">
        <v>9</v>
      </c>
    </row>
    <row r="15331" spans="1:7" x14ac:dyDescent="0.35">
      <c r="A15331">
        <v>6090</v>
      </c>
      <c r="B15331" s="1">
        <v>45988</v>
      </c>
      <c r="C15331" t="s">
        <v>24</v>
      </c>
      <c r="D15331" s="2">
        <v>1833.95</v>
      </c>
      <c r="E15331" s="2">
        <v>0</v>
      </c>
      <c r="F15331" t="s">
        <v>8</v>
      </c>
      <c r="G15331" t="s">
        <v>9</v>
      </c>
    </row>
    <row r="15332" spans="1:7" x14ac:dyDescent="0.35">
      <c r="A15332">
        <v>6090</v>
      </c>
      <c r="B15332" s="1">
        <v>45988</v>
      </c>
      <c r="C15332" t="s">
        <v>24</v>
      </c>
      <c r="D15332" s="2">
        <v>0</v>
      </c>
      <c r="E15332" s="2">
        <v>1833.95</v>
      </c>
      <c r="F15332" t="s">
        <v>13</v>
      </c>
      <c r="G15332" t="s">
        <v>9</v>
      </c>
    </row>
    <row r="15333" spans="1:7" x14ac:dyDescent="0.35">
      <c r="A15333">
        <v>6091</v>
      </c>
      <c r="B15333" s="1">
        <v>45988</v>
      </c>
      <c r="C15333" t="s">
        <v>24</v>
      </c>
      <c r="D15333" s="2">
        <v>2612.6799999999998</v>
      </c>
      <c r="E15333" s="2">
        <v>0</v>
      </c>
      <c r="F15333" t="s">
        <v>8</v>
      </c>
      <c r="G15333" t="s">
        <v>9</v>
      </c>
    </row>
    <row r="15334" spans="1:7" x14ac:dyDescent="0.35">
      <c r="A15334">
        <v>6091</v>
      </c>
      <c r="B15334" s="1">
        <v>45988</v>
      </c>
      <c r="C15334" t="s">
        <v>24</v>
      </c>
      <c r="D15334" s="2">
        <v>0</v>
      </c>
      <c r="E15334" s="2">
        <v>2612.6799999999998</v>
      </c>
      <c r="F15334" t="s">
        <v>13</v>
      </c>
      <c r="G15334" t="s">
        <v>9</v>
      </c>
    </row>
    <row r="15335" spans="1:7" x14ac:dyDescent="0.35">
      <c r="A15335">
        <v>6092</v>
      </c>
      <c r="B15335" s="1">
        <v>45988</v>
      </c>
      <c r="C15335" t="s">
        <v>24</v>
      </c>
      <c r="D15335" s="2">
        <v>1299.25</v>
      </c>
      <c r="E15335" s="2">
        <v>0</v>
      </c>
      <c r="F15335" t="s">
        <v>8</v>
      </c>
      <c r="G15335" t="s">
        <v>9</v>
      </c>
    </row>
    <row r="15336" spans="1:7" x14ac:dyDescent="0.35">
      <c r="A15336">
        <v>6092</v>
      </c>
      <c r="B15336" s="1">
        <v>45988</v>
      </c>
      <c r="C15336" t="s">
        <v>24</v>
      </c>
      <c r="D15336" s="2">
        <v>0</v>
      </c>
      <c r="E15336" s="2">
        <v>1299.25</v>
      </c>
      <c r="F15336" t="s">
        <v>13</v>
      </c>
      <c r="G15336" t="s">
        <v>9</v>
      </c>
    </row>
    <row r="15337" spans="1:7" x14ac:dyDescent="0.35">
      <c r="A15337">
        <v>6093</v>
      </c>
      <c r="B15337" s="1">
        <v>45988</v>
      </c>
      <c r="C15337" t="s">
        <v>24</v>
      </c>
      <c r="D15337" s="2">
        <v>492.15</v>
      </c>
      <c r="E15337" s="2">
        <v>0</v>
      </c>
      <c r="F15337" t="s">
        <v>8</v>
      </c>
      <c r="G15337" t="s">
        <v>9</v>
      </c>
    </row>
    <row r="15338" spans="1:7" x14ac:dyDescent="0.35">
      <c r="A15338">
        <v>6093</v>
      </c>
      <c r="B15338" s="1">
        <v>45988</v>
      </c>
      <c r="C15338" t="s">
        <v>24</v>
      </c>
      <c r="D15338" s="2">
        <v>0</v>
      </c>
      <c r="E15338" s="2">
        <v>492.15</v>
      </c>
      <c r="F15338" t="s">
        <v>13</v>
      </c>
      <c r="G15338" t="s">
        <v>9</v>
      </c>
    </row>
    <row r="15339" spans="1:7" x14ac:dyDescent="0.35">
      <c r="A15339">
        <v>6094</v>
      </c>
      <c r="B15339" s="1">
        <v>45988</v>
      </c>
      <c r="C15339" t="s">
        <v>24</v>
      </c>
      <c r="D15339" s="2">
        <v>6392.28</v>
      </c>
      <c r="E15339" s="2">
        <v>0</v>
      </c>
      <c r="F15339" t="s">
        <v>8</v>
      </c>
      <c r="G15339" t="s">
        <v>9</v>
      </c>
    </row>
    <row r="15340" spans="1:7" x14ac:dyDescent="0.35">
      <c r="A15340">
        <v>6094</v>
      </c>
      <c r="B15340" s="1">
        <v>45988</v>
      </c>
      <c r="C15340" t="s">
        <v>24</v>
      </c>
      <c r="D15340" s="2">
        <v>0</v>
      </c>
      <c r="E15340" s="2">
        <v>6392.28</v>
      </c>
      <c r="F15340" t="s">
        <v>13</v>
      </c>
      <c r="G15340" t="s">
        <v>9</v>
      </c>
    </row>
    <row r="15341" spans="1:7" x14ac:dyDescent="0.35">
      <c r="A15341">
        <v>6095</v>
      </c>
      <c r="B15341" s="1">
        <v>45988</v>
      </c>
      <c r="C15341" t="s">
        <v>25</v>
      </c>
      <c r="D15341" s="2">
        <v>166.52</v>
      </c>
      <c r="E15341" s="2">
        <v>0</v>
      </c>
      <c r="F15341" t="s">
        <v>26</v>
      </c>
      <c r="G15341" t="s">
        <v>20</v>
      </c>
    </row>
    <row r="15342" spans="1:7" x14ac:dyDescent="0.35">
      <c r="A15342">
        <v>6095</v>
      </c>
      <c r="B15342" s="1">
        <v>45988</v>
      </c>
      <c r="C15342" t="s">
        <v>25</v>
      </c>
      <c r="D15342" s="2">
        <v>12.49</v>
      </c>
      <c r="E15342" s="2">
        <v>0</v>
      </c>
      <c r="F15342" t="s">
        <v>27</v>
      </c>
      <c r="G15342" t="s">
        <v>9</v>
      </c>
    </row>
    <row r="15343" spans="1:7" x14ac:dyDescent="0.35">
      <c r="A15343">
        <v>6095</v>
      </c>
      <c r="B15343" s="1">
        <v>45988</v>
      </c>
      <c r="C15343" t="s">
        <v>25</v>
      </c>
      <c r="D15343" s="2">
        <v>0</v>
      </c>
      <c r="E15343" s="2">
        <v>179.01</v>
      </c>
      <c r="F15343" t="s">
        <v>28</v>
      </c>
      <c r="G15343" t="s">
        <v>17</v>
      </c>
    </row>
    <row r="15344" spans="1:7" x14ac:dyDescent="0.35">
      <c r="A15344">
        <v>6096</v>
      </c>
      <c r="B15344" s="1">
        <v>45988</v>
      </c>
      <c r="C15344" t="s">
        <v>29</v>
      </c>
      <c r="D15344" s="2">
        <v>2504.23</v>
      </c>
      <c r="E15344" s="2">
        <v>0</v>
      </c>
      <c r="F15344" t="s">
        <v>28</v>
      </c>
      <c r="G15344" t="s">
        <v>17</v>
      </c>
    </row>
    <row r="15345" spans="1:7" x14ac:dyDescent="0.35">
      <c r="A15345">
        <v>6096</v>
      </c>
      <c r="B15345" s="1">
        <v>45988</v>
      </c>
      <c r="C15345" t="s">
        <v>29</v>
      </c>
      <c r="D15345" s="2">
        <v>0</v>
      </c>
      <c r="E15345" s="2">
        <v>2504.23</v>
      </c>
      <c r="F15345" t="s">
        <v>8</v>
      </c>
      <c r="G15345" t="s">
        <v>9</v>
      </c>
    </row>
    <row r="15346" spans="1:7" x14ac:dyDescent="0.35">
      <c r="A15346">
        <v>6097</v>
      </c>
      <c r="B15346" s="1">
        <v>45988</v>
      </c>
      <c r="C15346" t="s">
        <v>29</v>
      </c>
      <c r="D15346" s="2">
        <v>2504.23</v>
      </c>
      <c r="E15346" s="2">
        <v>0</v>
      </c>
      <c r="F15346" t="s">
        <v>28</v>
      </c>
      <c r="G15346" t="s">
        <v>17</v>
      </c>
    </row>
    <row r="15347" spans="1:7" x14ac:dyDescent="0.35">
      <c r="A15347">
        <v>6097</v>
      </c>
      <c r="B15347" s="1">
        <v>45988</v>
      </c>
      <c r="C15347" t="s">
        <v>29</v>
      </c>
      <c r="D15347" s="2">
        <v>0</v>
      </c>
      <c r="E15347" s="2">
        <v>2504.23</v>
      </c>
      <c r="F15347" t="s">
        <v>8</v>
      </c>
      <c r="G15347" t="s">
        <v>9</v>
      </c>
    </row>
    <row r="15348" spans="1:7" x14ac:dyDescent="0.35">
      <c r="A15348">
        <v>6098</v>
      </c>
      <c r="B15348" s="1">
        <v>45988</v>
      </c>
      <c r="C15348" t="s">
        <v>29</v>
      </c>
      <c r="D15348" s="2">
        <v>2093.2800000000002</v>
      </c>
      <c r="E15348" s="2">
        <v>0</v>
      </c>
      <c r="F15348" t="s">
        <v>28</v>
      </c>
      <c r="G15348" t="s">
        <v>17</v>
      </c>
    </row>
    <row r="15349" spans="1:7" x14ac:dyDescent="0.35">
      <c r="A15349">
        <v>6098</v>
      </c>
      <c r="B15349" s="1">
        <v>45988</v>
      </c>
      <c r="C15349" t="s">
        <v>29</v>
      </c>
      <c r="D15349" s="2">
        <v>0</v>
      </c>
      <c r="E15349" s="2">
        <v>2093.2800000000002</v>
      </c>
      <c r="F15349" t="s">
        <v>8</v>
      </c>
      <c r="G15349" t="s">
        <v>9</v>
      </c>
    </row>
    <row r="15350" spans="1:7" x14ac:dyDescent="0.35">
      <c r="A15350">
        <v>6099</v>
      </c>
      <c r="B15350" s="1">
        <v>45989</v>
      </c>
      <c r="C15350" t="s">
        <v>12</v>
      </c>
      <c r="D15350" s="2">
        <v>1939</v>
      </c>
      <c r="E15350" s="2">
        <v>0</v>
      </c>
      <c r="F15350" t="s">
        <v>13</v>
      </c>
      <c r="G15350" t="s">
        <v>9</v>
      </c>
    </row>
    <row r="15351" spans="1:7" x14ac:dyDescent="0.35">
      <c r="A15351">
        <v>6099</v>
      </c>
      <c r="B15351" s="1">
        <v>45989</v>
      </c>
      <c r="C15351" t="s">
        <v>12</v>
      </c>
      <c r="D15351" s="2">
        <v>0</v>
      </c>
      <c r="E15351" s="2">
        <v>1803.71</v>
      </c>
      <c r="F15351" t="s">
        <v>14</v>
      </c>
      <c r="G15351" t="s">
        <v>15</v>
      </c>
    </row>
    <row r="15352" spans="1:7" x14ac:dyDescent="0.35">
      <c r="A15352">
        <v>6099</v>
      </c>
      <c r="B15352" s="1">
        <v>45989</v>
      </c>
      <c r="C15352" t="s">
        <v>12</v>
      </c>
      <c r="D15352" s="2">
        <v>0</v>
      </c>
      <c r="E15352" s="2">
        <v>135.29</v>
      </c>
      <c r="F15352" t="s">
        <v>16</v>
      </c>
      <c r="G15352" t="s">
        <v>17</v>
      </c>
    </row>
    <row r="15353" spans="1:7" x14ac:dyDescent="0.35">
      <c r="A15353">
        <v>6100</v>
      </c>
      <c r="B15353" s="1">
        <v>45989</v>
      </c>
      <c r="C15353" t="s">
        <v>12</v>
      </c>
      <c r="D15353" s="2">
        <v>1058.9100000000001</v>
      </c>
      <c r="E15353" s="2">
        <v>0</v>
      </c>
      <c r="F15353" t="s">
        <v>13</v>
      </c>
      <c r="G15353" t="s">
        <v>9</v>
      </c>
    </row>
    <row r="15354" spans="1:7" x14ac:dyDescent="0.35">
      <c r="A15354">
        <v>6100</v>
      </c>
      <c r="B15354" s="1">
        <v>45989</v>
      </c>
      <c r="C15354" t="s">
        <v>12</v>
      </c>
      <c r="D15354" s="2">
        <v>0</v>
      </c>
      <c r="E15354" s="2">
        <v>985.03</v>
      </c>
      <c r="F15354" t="s">
        <v>14</v>
      </c>
      <c r="G15354" t="s">
        <v>15</v>
      </c>
    </row>
    <row r="15355" spans="1:7" x14ac:dyDescent="0.35">
      <c r="A15355">
        <v>6100</v>
      </c>
      <c r="B15355" s="1">
        <v>45989</v>
      </c>
      <c r="C15355" t="s">
        <v>12</v>
      </c>
      <c r="D15355" s="2">
        <v>0</v>
      </c>
      <c r="E15355" s="2">
        <v>73.88</v>
      </c>
      <c r="F15355" t="s">
        <v>16</v>
      </c>
      <c r="G15355" t="s">
        <v>17</v>
      </c>
    </row>
    <row r="15356" spans="1:7" x14ac:dyDescent="0.35">
      <c r="A15356">
        <v>6101</v>
      </c>
      <c r="B15356" s="1">
        <v>45989</v>
      </c>
      <c r="C15356" t="s">
        <v>12</v>
      </c>
      <c r="D15356" s="2">
        <v>344.52</v>
      </c>
      <c r="E15356" s="2">
        <v>0</v>
      </c>
      <c r="F15356" t="s">
        <v>13</v>
      </c>
      <c r="G15356" t="s">
        <v>9</v>
      </c>
    </row>
    <row r="15357" spans="1:7" x14ac:dyDescent="0.35">
      <c r="A15357">
        <v>6101</v>
      </c>
      <c r="B15357" s="1">
        <v>45989</v>
      </c>
      <c r="C15357" t="s">
        <v>12</v>
      </c>
      <c r="D15357" s="2">
        <v>0</v>
      </c>
      <c r="E15357" s="2">
        <v>320.48</v>
      </c>
      <c r="F15357" t="s">
        <v>14</v>
      </c>
      <c r="G15357" t="s">
        <v>15</v>
      </c>
    </row>
    <row r="15358" spans="1:7" x14ac:dyDescent="0.35">
      <c r="A15358">
        <v>6101</v>
      </c>
      <c r="B15358" s="1">
        <v>45989</v>
      </c>
      <c r="C15358" t="s">
        <v>12</v>
      </c>
      <c r="D15358" s="2">
        <v>0</v>
      </c>
      <c r="E15358" s="2">
        <v>24.04</v>
      </c>
      <c r="F15358" t="s">
        <v>16</v>
      </c>
      <c r="G15358" t="s">
        <v>17</v>
      </c>
    </row>
    <row r="15359" spans="1:7" x14ac:dyDescent="0.35">
      <c r="A15359">
        <v>6102</v>
      </c>
      <c r="B15359" s="1">
        <v>45989</v>
      </c>
      <c r="C15359" t="s">
        <v>12</v>
      </c>
      <c r="D15359" s="2">
        <v>46.39</v>
      </c>
      <c r="E15359" s="2">
        <v>0</v>
      </c>
      <c r="F15359" t="s">
        <v>13</v>
      </c>
      <c r="G15359" t="s">
        <v>9</v>
      </c>
    </row>
    <row r="15360" spans="1:7" x14ac:dyDescent="0.35">
      <c r="A15360">
        <v>6102</v>
      </c>
      <c r="B15360" s="1">
        <v>45989</v>
      </c>
      <c r="C15360" t="s">
        <v>12</v>
      </c>
      <c r="D15360" s="2">
        <v>0</v>
      </c>
      <c r="E15360" s="2">
        <v>43.15</v>
      </c>
      <c r="F15360" t="s">
        <v>14</v>
      </c>
      <c r="G15360" t="s">
        <v>15</v>
      </c>
    </row>
    <row r="15361" spans="1:7" x14ac:dyDescent="0.35">
      <c r="A15361">
        <v>6102</v>
      </c>
      <c r="B15361" s="1">
        <v>45989</v>
      </c>
      <c r="C15361" t="s">
        <v>12</v>
      </c>
      <c r="D15361" s="2">
        <v>0</v>
      </c>
      <c r="E15361" s="2">
        <v>3.24</v>
      </c>
      <c r="F15361" t="s">
        <v>16</v>
      </c>
      <c r="G15361" t="s">
        <v>17</v>
      </c>
    </row>
    <row r="15362" spans="1:7" x14ac:dyDescent="0.35">
      <c r="A15362">
        <v>6103</v>
      </c>
      <c r="B15362" s="1">
        <v>45989</v>
      </c>
      <c r="C15362" t="s">
        <v>12</v>
      </c>
      <c r="D15362" s="2">
        <v>1764.39</v>
      </c>
      <c r="E15362" s="2">
        <v>0</v>
      </c>
      <c r="F15362" t="s">
        <v>13</v>
      </c>
      <c r="G15362" t="s">
        <v>9</v>
      </c>
    </row>
    <row r="15363" spans="1:7" x14ac:dyDescent="0.35">
      <c r="A15363">
        <v>6103</v>
      </c>
      <c r="B15363" s="1">
        <v>45989</v>
      </c>
      <c r="C15363" t="s">
        <v>12</v>
      </c>
      <c r="D15363" s="2">
        <v>0</v>
      </c>
      <c r="E15363" s="2">
        <v>1641.3</v>
      </c>
      <c r="F15363" t="s">
        <v>14</v>
      </c>
      <c r="G15363" t="s">
        <v>15</v>
      </c>
    </row>
    <row r="15364" spans="1:7" x14ac:dyDescent="0.35">
      <c r="A15364">
        <v>6103</v>
      </c>
      <c r="B15364" s="1">
        <v>45989</v>
      </c>
      <c r="C15364" t="s">
        <v>12</v>
      </c>
      <c r="D15364" s="2">
        <v>0</v>
      </c>
      <c r="E15364" s="2">
        <v>123.09</v>
      </c>
      <c r="F15364" t="s">
        <v>16</v>
      </c>
      <c r="G15364" t="s">
        <v>17</v>
      </c>
    </row>
    <row r="15365" spans="1:7" x14ac:dyDescent="0.35">
      <c r="A15365">
        <v>6104</v>
      </c>
      <c r="B15365" s="1">
        <v>45989</v>
      </c>
      <c r="C15365" t="s">
        <v>12</v>
      </c>
      <c r="D15365" s="2">
        <v>974.21</v>
      </c>
      <c r="E15365" s="2">
        <v>0</v>
      </c>
      <c r="F15365" t="s">
        <v>13</v>
      </c>
      <c r="G15365" t="s">
        <v>9</v>
      </c>
    </row>
    <row r="15366" spans="1:7" x14ac:dyDescent="0.35">
      <c r="A15366">
        <v>6104</v>
      </c>
      <c r="B15366" s="1">
        <v>45989</v>
      </c>
      <c r="C15366" t="s">
        <v>12</v>
      </c>
      <c r="D15366" s="2">
        <v>0</v>
      </c>
      <c r="E15366" s="2">
        <v>906.24</v>
      </c>
      <c r="F15366" t="s">
        <v>14</v>
      </c>
      <c r="G15366" t="s">
        <v>15</v>
      </c>
    </row>
    <row r="15367" spans="1:7" x14ac:dyDescent="0.35">
      <c r="A15367">
        <v>6104</v>
      </c>
      <c r="B15367" s="1">
        <v>45989</v>
      </c>
      <c r="C15367" t="s">
        <v>12</v>
      </c>
      <c r="D15367" s="2">
        <v>0</v>
      </c>
      <c r="E15367" s="2">
        <v>67.97</v>
      </c>
      <c r="F15367" t="s">
        <v>16</v>
      </c>
      <c r="G15367" t="s">
        <v>17</v>
      </c>
    </row>
    <row r="15368" spans="1:7" x14ac:dyDescent="0.35">
      <c r="A15368">
        <v>6105</v>
      </c>
      <c r="B15368" s="1">
        <v>45989</v>
      </c>
      <c r="C15368" t="s">
        <v>12</v>
      </c>
      <c r="D15368" s="2">
        <v>1003.9</v>
      </c>
      <c r="E15368" s="2">
        <v>0</v>
      </c>
      <c r="F15368" t="s">
        <v>13</v>
      </c>
      <c r="G15368" t="s">
        <v>9</v>
      </c>
    </row>
    <row r="15369" spans="1:7" x14ac:dyDescent="0.35">
      <c r="A15369">
        <v>6105</v>
      </c>
      <c r="B15369" s="1">
        <v>45989</v>
      </c>
      <c r="C15369" t="s">
        <v>12</v>
      </c>
      <c r="D15369" s="2">
        <v>0</v>
      </c>
      <c r="E15369" s="2">
        <v>933.86</v>
      </c>
      <c r="F15369" t="s">
        <v>14</v>
      </c>
      <c r="G15369" t="s">
        <v>15</v>
      </c>
    </row>
    <row r="15370" spans="1:7" x14ac:dyDescent="0.35">
      <c r="A15370">
        <v>6105</v>
      </c>
      <c r="B15370" s="1">
        <v>45989</v>
      </c>
      <c r="C15370" t="s">
        <v>12</v>
      </c>
      <c r="D15370" s="2">
        <v>0</v>
      </c>
      <c r="E15370" s="2">
        <v>70.040000000000006</v>
      </c>
      <c r="F15370" t="s">
        <v>16</v>
      </c>
      <c r="G15370" t="s">
        <v>17</v>
      </c>
    </row>
    <row r="15371" spans="1:7" x14ac:dyDescent="0.35">
      <c r="A15371">
        <v>6106</v>
      </c>
      <c r="B15371" s="1">
        <v>45989</v>
      </c>
      <c r="C15371" t="s">
        <v>12</v>
      </c>
      <c r="D15371" s="2">
        <v>3017.57</v>
      </c>
      <c r="E15371" s="2">
        <v>0</v>
      </c>
      <c r="F15371" t="s">
        <v>13</v>
      </c>
      <c r="G15371" t="s">
        <v>9</v>
      </c>
    </row>
    <row r="15372" spans="1:7" x14ac:dyDescent="0.35">
      <c r="A15372">
        <v>6106</v>
      </c>
      <c r="B15372" s="1">
        <v>45989</v>
      </c>
      <c r="C15372" t="s">
        <v>12</v>
      </c>
      <c r="D15372" s="2">
        <v>0</v>
      </c>
      <c r="E15372" s="2">
        <v>2807.05</v>
      </c>
      <c r="F15372" t="s">
        <v>14</v>
      </c>
      <c r="G15372" t="s">
        <v>15</v>
      </c>
    </row>
    <row r="15373" spans="1:7" x14ac:dyDescent="0.35">
      <c r="A15373">
        <v>6106</v>
      </c>
      <c r="B15373" s="1">
        <v>45989</v>
      </c>
      <c r="C15373" t="s">
        <v>12</v>
      </c>
      <c r="D15373" s="2">
        <v>0</v>
      </c>
      <c r="E15373" s="2">
        <v>210.52</v>
      </c>
      <c r="F15373" t="s">
        <v>16</v>
      </c>
      <c r="G15373" t="s">
        <v>17</v>
      </c>
    </row>
    <row r="15374" spans="1:7" x14ac:dyDescent="0.35">
      <c r="A15374">
        <v>6107</v>
      </c>
      <c r="B15374" s="1">
        <v>45989</v>
      </c>
      <c r="C15374" t="s">
        <v>12</v>
      </c>
      <c r="D15374" s="2">
        <v>1156.52</v>
      </c>
      <c r="E15374" s="2">
        <v>0</v>
      </c>
      <c r="F15374" t="s">
        <v>13</v>
      </c>
      <c r="G15374" t="s">
        <v>9</v>
      </c>
    </row>
    <row r="15375" spans="1:7" x14ac:dyDescent="0.35">
      <c r="A15375">
        <v>6107</v>
      </c>
      <c r="B15375" s="1">
        <v>45989</v>
      </c>
      <c r="C15375" t="s">
        <v>12</v>
      </c>
      <c r="D15375" s="2">
        <v>0</v>
      </c>
      <c r="E15375" s="2">
        <v>1075.83</v>
      </c>
      <c r="F15375" t="s">
        <v>14</v>
      </c>
      <c r="G15375" t="s">
        <v>15</v>
      </c>
    </row>
    <row r="15376" spans="1:7" x14ac:dyDescent="0.35">
      <c r="A15376">
        <v>6107</v>
      </c>
      <c r="B15376" s="1">
        <v>45989</v>
      </c>
      <c r="C15376" t="s">
        <v>12</v>
      </c>
      <c r="D15376" s="2">
        <v>0</v>
      </c>
      <c r="E15376" s="2">
        <v>80.69</v>
      </c>
      <c r="F15376" t="s">
        <v>16</v>
      </c>
      <c r="G15376" t="s">
        <v>17</v>
      </c>
    </row>
    <row r="15377" spans="1:7" x14ac:dyDescent="0.35">
      <c r="A15377">
        <v>6108</v>
      </c>
      <c r="B15377" s="1">
        <v>45989</v>
      </c>
      <c r="C15377" t="s">
        <v>12</v>
      </c>
      <c r="D15377" s="2">
        <v>5895.31</v>
      </c>
      <c r="E15377" s="2">
        <v>0</v>
      </c>
      <c r="F15377" t="s">
        <v>13</v>
      </c>
      <c r="G15377" t="s">
        <v>9</v>
      </c>
    </row>
    <row r="15378" spans="1:7" x14ac:dyDescent="0.35">
      <c r="A15378">
        <v>6108</v>
      </c>
      <c r="B15378" s="1">
        <v>45989</v>
      </c>
      <c r="C15378" t="s">
        <v>12</v>
      </c>
      <c r="D15378" s="2">
        <v>0</v>
      </c>
      <c r="E15378" s="2">
        <v>5484.01</v>
      </c>
      <c r="F15378" t="s">
        <v>14</v>
      </c>
      <c r="G15378" t="s">
        <v>15</v>
      </c>
    </row>
    <row r="15379" spans="1:7" x14ac:dyDescent="0.35">
      <c r="A15379">
        <v>6108</v>
      </c>
      <c r="B15379" s="1">
        <v>45989</v>
      </c>
      <c r="C15379" t="s">
        <v>12</v>
      </c>
      <c r="D15379" s="2">
        <v>0</v>
      </c>
      <c r="E15379" s="2">
        <v>411.3</v>
      </c>
      <c r="F15379" t="s">
        <v>16</v>
      </c>
      <c r="G15379" t="s">
        <v>17</v>
      </c>
    </row>
    <row r="15380" spans="1:7" x14ac:dyDescent="0.35">
      <c r="A15380">
        <v>6109</v>
      </c>
      <c r="B15380" s="1">
        <v>45989</v>
      </c>
      <c r="C15380" t="s">
        <v>12</v>
      </c>
      <c r="D15380" s="2">
        <v>1834.81</v>
      </c>
      <c r="E15380" s="2">
        <v>0</v>
      </c>
      <c r="F15380" t="s">
        <v>13</v>
      </c>
      <c r="G15380" t="s">
        <v>9</v>
      </c>
    </row>
    <row r="15381" spans="1:7" x14ac:dyDescent="0.35">
      <c r="A15381">
        <v>6109</v>
      </c>
      <c r="B15381" s="1">
        <v>45989</v>
      </c>
      <c r="C15381" t="s">
        <v>12</v>
      </c>
      <c r="D15381" s="2">
        <v>0</v>
      </c>
      <c r="E15381" s="2">
        <v>1706.8</v>
      </c>
      <c r="F15381" t="s">
        <v>14</v>
      </c>
      <c r="G15381" t="s">
        <v>15</v>
      </c>
    </row>
    <row r="15382" spans="1:7" x14ac:dyDescent="0.35">
      <c r="A15382">
        <v>6109</v>
      </c>
      <c r="B15382" s="1">
        <v>45989</v>
      </c>
      <c r="C15382" t="s">
        <v>12</v>
      </c>
      <c r="D15382" s="2">
        <v>0</v>
      </c>
      <c r="E15382" s="2">
        <v>128.01</v>
      </c>
      <c r="F15382" t="s">
        <v>16</v>
      </c>
      <c r="G15382" t="s">
        <v>17</v>
      </c>
    </row>
    <row r="15383" spans="1:7" x14ac:dyDescent="0.35">
      <c r="A15383">
        <v>6110</v>
      </c>
      <c r="B15383" s="1">
        <v>45989</v>
      </c>
      <c r="C15383" t="s">
        <v>12</v>
      </c>
      <c r="D15383" s="2">
        <v>3206.97</v>
      </c>
      <c r="E15383" s="2">
        <v>0</v>
      </c>
      <c r="F15383" t="s">
        <v>13</v>
      </c>
      <c r="G15383" t="s">
        <v>9</v>
      </c>
    </row>
    <row r="15384" spans="1:7" x14ac:dyDescent="0.35">
      <c r="A15384">
        <v>6110</v>
      </c>
      <c r="B15384" s="1">
        <v>45989</v>
      </c>
      <c r="C15384" t="s">
        <v>12</v>
      </c>
      <c r="D15384" s="2">
        <v>0</v>
      </c>
      <c r="E15384" s="2">
        <v>2983.23</v>
      </c>
      <c r="F15384" t="s">
        <v>14</v>
      </c>
      <c r="G15384" t="s">
        <v>15</v>
      </c>
    </row>
    <row r="15385" spans="1:7" x14ac:dyDescent="0.35">
      <c r="A15385">
        <v>6110</v>
      </c>
      <c r="B15385" s="1">
        <v>45989</v>
      </c>
      <c r="C15385" t="s">
        <v>12</v>
      </c>
      <c r="D15385" s="2">
        <v>0</v>
      </c>
      <c r="E15385" s="2">
        <v>223.74</v>
      </c>
      <c r="F15385" t="s">
        <v>16</v>
      </c>
      <c r="G15385" t="s">
        <v>17</v>
      </c>
    </row>
    <row r="15386" spans="1:7" x14ac:dyDescent="0.35">
      <c r="A15386">
        <v>6111</v>
      </c>
      <c r="B15386" s="1">
        <v>45989</v>
      </c>
      <c r="C15386" t="s">
        <v>12</v>
      </c>
      <c r="D15386" s="2">
        <v>3143.96</v>
      </c>
      <c r="E15386" s="2">
        <v>0</v>
      </c>
      <c r="F15386" t="s">
        <v>13</v>
      </c>
      <c r="G15386" t="s">
        <v>9</v>
      </c>
    </row>
    <row r="15387" spans="1:7" x14ac:dyDescent="0.35">
      <c r="A15387">
        <v>6111</v>
      </c>
      <c r="B15387" s="1">
        <v>45989</v>
      </c>
      <c r="C15387" t="s">
        <v>12</v>
      </c>
      <c r="D15387" s="2">
        <v>0</v>
      </c>
      <c r="E15387" s="2">
        <v>2924.62</v>
      </c>
      <c r="F15387" t="s">
        <v>14</v>
      </c>
      <c r="G15387" t="s">
        <v>15</v>
      </c>
    </row>
    <row r="15388" spans="1:7" x14ac:dyDescent="0.35">
      <c r="A15388">
        <v>6111</v>
      </c>
      <c r="B15388" s="1">
        <v>45989</v>
      </c>
      <c r="C15388" t="s">
        <v>12</v>
      </c>
      <c r="D15388" s="2">
        <v>0</v>
      </c>
      <c r="E15388" s="2">
        <v>219.34</v>
      </c>
      <c r="F15388" t="s">
        <v>16</v>
      </c>
      <c r="G15388" t="s">
        <v>17</v>
      </c>
    </row>
    <row r="15389" spans="1:7" x14ac:dyDescent="0.35">
      <c r="A15389">
        <v>6112</v>
      </c>
      <c r="B15389" s="1">
        <v>45989</v>
      </c>
      <c r="C15389" t="s">
        <v>12</v>
      </c>
      <c r="D15389" s="2">
        <v>474.25</v>
      </c>
      <c r="E15389" s="2">
        <v>0</v>
      </c>
      <c r="F15389" t="s">
        <v>13</v>
      </c>
      <c r="G15389" t="s">
        <v>9</v>
      </c>
    </row>
    <row r="15390" spans="1:7" x14ac:dyDescent="0.35">
      <c r="A15390">
        <v>6112</v>
      </c>
      <c r="B15390" s="1">
        <v>45989</v>
      </c>
      <c r="C15390" t="s">
        <v>12</v>
      </c>
      <c r="D15390" s="2">
        <v>0</v>
      </c>
      <c r="E15390" s="2">
        <v>441.16</v>
      </c>
      <c r="F15390" t="s">
        <v>14</v>
      </c>
      <c r="G15390" t="s">
        <v>15</v>
      </c>
    </row>
    <row r="15391" spans="1:7" x14ac:dyDescent="0.35">
      <c r="A15391">
        <v>6112</v>
      </c>
      <c r="B15391" s="1">
        <v>45989</v>
      </c>
      <c r="C15391" t="s">
        <v>12</v>
      </c>
      <c r="D15391" s="2">
        <v>0</v>
      </c>
      <c r="E15391" s="2">
        <v>33.090000000000003</v>
      </c>
      <c r="F15391" t="s">
        <v>16</v>
      </c>
      <c r="G15391" t="s">
        <v>17</v>
      </c>
    </row>
    <row r="15392" spans="1:7" x14ac:dyDescent="0.35">
      <c r="A15392">
        <v>6113</v>
      </c>
      <c r="B15392" s="1">
        <v>45989</v>
      </c>
      <c r="C15392" t="s">
        <v>12</v>
      </c>
      <c r="D15392" s="2">
        <v>522.30999999999995</v>
      </c>
      <c r="E15392" s="2">
        <v>0</v>
      </c>
      <c r="F15392" t="s">
        <v>13</v>
      </c>
      <c r="G15392" t="s">
        <v>9</v>
      </c>
    </row>
    <row r="15393" spans="1:7" x14ac:dyDescent="0.35">
      <c r="A15393">
        <v>6113</v>
      </c>
      <c r="B15393" s="1">
        <v>45989</v>
      </c>
      <c r="C15393" t="s">
        <v>12</v>
      </c>
      <c r="D15393" s="2">
        <v>0</v>
      </c>
      <c r="E15393" s="2">
        <v>485.87</v>
      </c>
      <c r="F15393" t="s">
        <v>14</v>
      </c>
      <c r="G15393" t="s">
        <v>15</v>
      </c>
    </row>
    <row r="15394" spans="1:7" x14ac:dyDescent="0.35">
      <c r="A15394">
        <v>6113</v>
      </c>
      <c r="B15394" s="1">
        <v>45989</v>
      </c>
      <c r="C15394" t="s">
        <v>12</v>
      </c>
      <c r="D15394" s="2">
        <v>0</v>
      </c>
      <c r="E15394" s="2">
        <v>36.44</v>
      </c>
      <c r="F15394" t="s">
        <v>16</v>
      </c>
      <c r="G15394" t="s">
        <v>17</v>
      </c>
    </row>
    <row r="15395" spans="1:7" x14ac:dyDescent="0.35">
      <c r="A15395">
        <v>6114</v>
      </c>
      <c r="B15395" s="1">
        <v>45989</v>
      </c>
      <c r="C15395" t="s">
        <v>24</v>
      </c>
      <c r="D15395" s="2">
        <v>2428.02</v>
      </c>
      <c r="E15395" s="2">
        <v>0</v>
      </c>
      <c r="F15395" t="s">
        <v>8</v>
      </c>
      <c r="G15395" t="s">
        <v>9</v>
      </c>
    </row>
    <row r="15396" spans="1:7" x14ac:dyDescent="0.35">
      <c r="A15396">
        <v>6114</v>
      </c>
      <c r="B15396" s="1">
        <v>45989</v>
      </c>
      <c r="C15396" t="s">
        <v>24</v>
      </c>
      <c r="D15396" s="2">
        <v>0</v>
      </c>
      <c r="E15396" s="2">
        <v>2428.02</v>
      </c>
      <c r="F15396" t="s">
        <v>13</v>
      </c>
      <c r="G15396" t="s">
        <v>9</v>
      </c>
    </row>
    <row r="15397" spans="1:7" x14ac:dyDescent="0.35">
      <c r="A15397">
        <v>6115</v>
      </c>
      <c r="B15397" s="1">
        <v>45989</v>
      </c>
      <c r="C15397" t="s">
        <v>24</v>
      </c>
      <c r="D15397" s="2">
        <v>1652.17</v>
      </c>
      <c r="E15397" s="2">
        <v>0</v>
      </c>
      <c r="F15397" t="s">
        <v>8</v>
      </c>
      <c r="G15397" t="s">
        <v>9</v>
      </c>
    </row>
    <row r="15398" spans="1:7" x14ac:dyDescent="0.35">
      <c r="A15398">
        <v>6115</v>
      </c>
      <c r="B15398" s="1">
        <v>45989</v>
      </c>
      <c r="C15398" t="s">
        <v>24</v>
      </c>
      <c r="D15398" s="2">
        <v>0</v>
      </c>
      <c r="E15398" s="2">
        <v>1652.17</v>
      </c>
      <c r="F15398" t="s">
        <v>13</v>
      </c>
      <c r="G15398" t="s">
        <v>9</v>
      </c>
    </row>
    <row r="15399" spans="1:7" x14ac:dyDescent="0.35">
      <c r="A15399">
        <v>6116</v>
      </c>
      <c r="B15399" s="1">
        <v>45989</v>
      </c>
      <c r="C15399" t="s">
        <v>24</v>
      </c>
      <c r="D15399" s="2">
        <v>4342.1899999999996</v>
      </c>
      <c r="E15399" s="2">
        <v>0</v>
      </c>
      <c r="F15399" t="s">
        <v>8</v>
      </c>
      <c r="G15399" t="s">
        <v>9</v>
      </c>
    </row>
    <row r="15400" spans="1:7" x14ac:dyDescent="0.35">
      <c r="A15400">
        <v>6116</v>
      </c>
      <c r="B15400" s="1">
        <v>45989</v>
      </c>
      <c r="C15400" t="s">
        <v>24</v>
      </c>
      <c r="D15400" s="2">
        <v>0</v>
      </c>
      <c r="E15400" s="2">
        <v>4342.1899999999996</v>
      </c>
      <c r="F15400" t="s">
        <v>13</v>
      </c>
      <c r="G15400" t="s">
        <v>9</v>
      </c>
    </row>
    <row r="15401" spans="1:7" x14ac:dyDescent="0.35">
      <c r="A15401">
        <v>6117</v>
      </c>
      <c r="B15401" s="1">
        <v>45989</v>
      </c>
      <c r="C15401" t="s">
        <v>24</v>
      </c>
      <c r="D15401" s="2">
        <v>4421.34</v>
      </c>
      <c r="E15401" s="2">
        <v>0</v>
      </c>
      <c r="F15401" t="s">
        <v>8</v>
      </c>
      <c r="G15401" t="s">
        <v>9</v>
      </c>
    </row>
    <row r="15402" spans="1:7" x14ac:dyDescent="0.35">
      <c r="A15402">
        <v>6117</v>
      </c>
      <c r="B15402" s="1">
        <v>45989</v>
      </c>
      <c r="C15402" t="s">
        <v>24</v>
      </c>
      <c r="D15402" s="2">
        <v>0</v>
      </c>
      <c r="E15402" s="2">
        <v>4421.34</v>
      </c>
      <c r="F15402" t="s">
        <v>13</v>
      </c>
      <c r="G15402" t="s">
        <v>9</v>
      </c>
    </row>
    <row r="15403" spans="1:7" x14ac:dyDescent="0.35">
      <c r="A15403">
        <v>6118</v>
      </c>
      <c r="B15403" s="1">
        <v>45989</v>
      </c>
      <c r="C15403" t="s">
        <v>24</v>
      </c>
      <c r="D15403" s="2">
        <v>5232.34</v>
      </c>
      <c r="E15403" s="2">
        <v>0</v>
      </c>
      <c r="F15403" t="s">
        <v>8</v>
      </c>
      <c r="G15403" t="s">
        <v>9</v>
      </c>
    </row>
    <row r="15404" spans="1:7" x14ac:dyDescent="0.35">
      <c r="A15404">
        <v>6118</v>
      </c>
      <c r="B15404" s="1">
        <v>45989</v>
      </c>
      <c r="C15404" t="s">
        <v>24</v>
      </c>
      <c r="D15404" s="2">
        <v>0</v>
      </c>
      <c r="E15404" s="2">
        <v>5232.34</v>
      </c>
      <c r="F15404" t="s">
        <v>13</v>
      </c>
      <c r="G15404" t="s">
        <v>9</v>
      </c>
    </row>
    <row r="15405" spans="1:7" x14ac:dyDescent="0.35">
      <c r="A15405">
        <v>6119</v>
      </c>
      <c r="B15405" s="1">
        <v>45989</v>
      </c>
      <c r="C15405" t="s">
        <v>24</v>
      </c>
      <c r="D15405" s="2">
        <v>1219.56</v>
      </c>
      <c r="E15405" s="2">
        <v>0</v>
      </c>
      <c r="F15405" t="s">
        <v>8</v>
      </c>
      <c r="G15405" t="s">
        <v>9</v>
      </c>
    </row>
    <row r="15406" spans="1:7" x14ac:dyDescent="0.35">
      <c r="A15406">
        <v>6119</v>
      </c>
      <c r="B15406" s="1">
        <v>45989</v>
      </c>
      <c r="C15406" t="s">
        <v>24</v>
      </c>
      <c r="D15406" s="2">
        <v>0</v>
      </c>
      <c r="E15406" s="2">
        <v>1219.56</v>
      </c>
      <c r="F15406" t="s">
        <v>13</v>
      </c>
      <c r="G15406" t="s">
        <v>9</v>
      </c>
    </row>
    <row r="15407" spans="1:7" x14ac:dyDescent="0.35">
      <c r="A15407">
        <v>6120</v>
      </c>
      <c r="B15407" s="1">
        <v>45989</v>
      </c>
      <c r="C15407" t="s">
        <v>24</v>
      </c>
      <c r="D15407" s="2">
        <v>46.39</v>
      </c>
      <c r="E15407" s="2">
        <v>0</v>
      </c>
      <c r="F15407" t="s">
        <v>8</v>
      </c>
      <c r="G15407" t="s">
        <v>9</v>
      </c>
    </row>
    <row r="15408" spans="1:7" x14ac:dyDescent="0.35">
      <c r="A15408">
        <v>6120</v>
      </c>
      <c r="B15408" s="1">
        <v>45989</v>
      </c>
      <c r="C15408" t="s">
        <v>24</v>
      </c>
      <c r="D15408" s="2">
        <v>0</v>
      </c>
      <c r="E15408" s="2">
        <v>46.39</v>
      </c>
      <c r="F15408" t="s">
        <v>13</v>
      </c>
      <c r="G15408" t="s">
        <v>9</v>
      </c>
    </row>
    <row r="15409" spans="1:7" x14ac:dyDescent="0.35">
      <c r="A15409">
        <v>6121</v>
      </c>
      <c r="B15409" s="1">
        <v>45989</v>
      </c>
      <c r="C15409" t="s">
        <v>25</v>
      </c>
      <c r="D15409" s="2">
        <v>3282.76</v>
      </c>
      <c r="E15409" s="2">
        <v>0</v>
      </c>
      <c r="F15409" t="s">
        <v>26</v>
      </c>
      <c r="G15409" t="s">
        <v>20</v>
      </c>
    </row>
    <row r="15410" spans="1:7" x14ac:dyDescent="0.35">
      <c r="A15410">
        <v>6121</v>
      </c>
      <c r="B15410" s="1">
        <v>45989</v>
      </c>
      <c r="C15410" t="s">
        <v>25</v>
      </c>
      <c r="D15410" s="2">
        <v>246.21</v>
      </c>
      <c r="E15410" s="2">
        <v>0</v>
      </c>
      <c r="F15410" t="s">
        <v>27</v>
      </c>
      <c r="G15410" t="s">
        <v>9</v>
      </c>
    </row>
    <row r="15411" spans="1:7" x14ac:dyDescent="0.35">
      <c r="A15411">
        <v>6121</v>
      </c>
      <c r="B15411" s="1">
        <v>45989</v>
      </c>
      <c r="C15411" t="s">
        <v>25</v>
      </c>
      <c r="D15411" s="2">
        <v>0</v>
      </c>
      <c r="E15411" s="2">
        <v>3528.97</v>
      </c>
      <c r="F15411" t="s">
        <v>28</v>
      </c>
      <c r="G15411" t="s">
        <v>17</v>
      </c>
    </row>
    <row r="15412" spans="1:7" x14ac:dyDescent="0.35">
      <c r="A15412">
        <v>6122</v>
      </c>
      <c r="B15412" s="1">
        <v>45989</v>
      </c>
      <c r="C15412" t="s">
        <v>25</v>
      </c>
      <c r="D15412" s="2">
        <v>187.44</v>
      </c>
      <c r="E15412" s="2">
        <v>0</v>
      </c>
      <c r="F15412" t="s">
        <v>26</v>
      </c>
      <c r="G15412" t="s">
        <v>20</v>
      </c>
    </row>
    <row r="15413" spans="1:7" x14ac:dyDescent="0.35">
      <c r="A15413">
        <v>6122</v>
      </c>
      <c r="B15413" s="1">
        <v>45989</v>
      </c>
      <c r="C15413" t="s">
        <v>25</v>
      </c>
      <c r="D15413" s="2">
        <v>14.06</v>
      </c>
      <c r="E15413" s="2">
        <v>0</v>
      </c>
      <c r="F15413" t="s">
        <v>27</v>
      </c>
      <c r="G15413" t="s">
        <v>9</v>
      </c>
    </row>
    <row r="15414" spans="1:7" x14ac:dyDescent="0.35">
      <c r="A15414">
        <v>6122</v>
      </c>
      <c r="B15414" s="1">
        <v>45989</v>
      </c>
      <c r="C15414" t="s">
        <v>25</v>
      </c>
      <c r="D15414" s="2">
        <v>0</v>
      </c>
      <c r="E15414" s="2">
        <v>201.5</v>
      </c>
      <c r="F15414" t="s">
        <v>28</v>
      </c>
      <c r="G15414" t="s">
        <v>17</v>
      </c>
    </row>
    <row r="15415" spans="1:7" x14ac:dyDescent="0.35">
      <c r="A15415">
        <v>6123</v>
      </c>
      <c r="B15415" s="1">
        <v>45989</v>
      </c>
      <c r="C15415" t="s">
        <v>25</v>
      </c>
      <c r="D15415" s="2">
        <v>512</v>
      </c>
      <c r="E15415" s="2">
        <v>0</v>
      </c>
      <c r="F15415" t="s">
        <v>26</v>
      </c>
      <c r="G15415" t="s">
        <v>20</v>
      </c>
    </row>
    <row r="15416" spans="1:7" x14ac:dyDescent="0.35">
      <c r="A15416">
        <v>6123</v>
      </c>
      <c r="B15416" s="1">
        <v>45989</v>
      </c>
      <c r="C15416" t="s">
        <v>25</v>
      </c>
      <c r="D15416" s="2">
        <v>38.4</v>
      </c>
      <c r="E15416" s="2">
        <v>0</v>
      </c>
      <c r="F15416" t="s">
        <v>27</v>
      </c>
      <c r="G15416" t="s">
        <v>9</v>
      </c>
    </row>
    <row r="15417" spans="1:7" x14ac:dyDescent="0.35">
      <c r="A15417">
        <v>6123</v>
      </c>
      <c r="B15417" s="1">
        <v>45989</v>
      </c>
      <c r="C15417" t="s">
        <v>25</v>
      </c>
      <c r="D15417" s="2">
        <v>0</v>
      </c>
      <c r="E15417" s="2">
        <v>550.4</v>
      </c>
      <c r="F15417" t="s">
        <v>28</v>
      </c>
      <c r="G15417" t="s">
        <v>17</v>
      </c>
    </row>
    <row r="15418" spans="1:7" x14ac:dyDescent="0.35">
      <c r="A15418">
        <v>6124</v>
      </c>
      <c r="B15418" s="1">
        <v>45989</v>
      </c>
      <c r="C15418" t="s">
        <v>29</v>
      </c>
      <c r="D15418" s="2">
        <v>1023.42</v>
      </c>
      <c r="E15418" s="2">
        <v>0</v>
      </c>
      <c r="F15418" t="s">
        <v>28</v>
      </c>
      <c r="G15418" t="s">
        <v>17</v>
      </c>
    </row>
    <row r="15419" spans="1:7" x14ac:dyDescent="0.35">
      <c r="A15419">
        <v>6124</v>
      </c>
      <c r="B15419" s="1">
        <v>45989</v>
      </c>
      <c r="C15419" t="s">
        <v>29</v>
      </c>
      <c r="D15419" s="2">
        <v>0</v>
      </c>
      <c r="E15419" s="2">
        <v>1023.42</v>
      </c>
      <c r="F15419" t="s">
        <v>8</v>
      </c>
      <c r="G15419" t="s">
        <v>9</v>
      </c>
    </row>
    <row r="15420" spans="1:7" x14ac:dyDescent="0.35">
      <c r="A15420">
        <v>6125</v>
      </c>
      <c r="B15420" s="1">
        <v>45991</v>
      </c>
      <c r="C15420" t="s">
        <v>34</v>
      </c>
      <c r="D15420" s="2">
        <v>20.03</v>
      </c>
      <c r="E15420" s="2">
        <v>0</v>
      </c>
      <c r="F15420" t="s">
        <v>31</v>
      </c>
      <c r="G15420" t="s">
        <v>20</v>
      </c>
    </row>
    <row r="15421" spans="1:7" x14ac:dyDescent="0.35">
      <c r="A15421">
        <v>6125</v>
      </c>
      <c r="B15421" s="1">
        <v>45991</v>
      </c>
      <c r="C15421" t="s">
        <v>34</v>
      </c>
      <c r="D15421" s="2">
        <v>0</v>
      </c>
      <c r="E15421" s="2">
        <v>20.03</v>
      </c>
      <c r="F15421" t="s">
        <v>32</v>
      </c>
      <c r="G15421" t="s">
        <v>9</v>
      </c>
    </row>
    <row r="15422" spans="1:7" x14ac:dyDescent="0.35">
      <c r="A15422">
        <v>6126</v>
      </c>
      <c r="B15422" s="1">
        <v>45991</v>
      </c>
      <c r="C15422" t="s">
        <v>35</v>
      </c>
      <c r="D15422" s="2">
        <v>86.89</v>
      </c>
      <c r="E15422" s="2">
        <v>0</v>
      </c>
      <c r="F15422" t="s">
        <v>31</v>
      </c>
      <c r="G15422" t="s">
        <v>20</v>
      </c>
    </row>
    <row r="15423" spans="1:7" x14ac:dyDescent="0.35">
      <c r="A15423">
        <v>6126</v>
      </c>
      <c r="B15423" s="1">
        <v>45991</v>
      </c>
      <c r="C15423" t="s">
        <v>35</v>
      </c>
      <c r="D15423" s="2">
        <v>0</v>
      </c>
      <c r="E15423" s="2">
        <v>86.89</v>
      </c>
      <c r="F15423" t="s">
        <v>36</v>
      </c>
      <c r="G15423" t="s">
        <v>9</v>
      </c>
    </row>
    <row r="15424" spans="1:7" x14ac:dyDescent="0.35">
      <c r="A15424">
        <v>6127</v>
      </c>
      <c r="B15424" s="1">
        <v>45991</v>
      </c>
      <c r="C15424" t="s">
        <v>37</v>
      </c>
      <c r="D15424" s="2">
        <v>76.8</v>
      </c>
      <c r="E15424" s="2">
        <v>0</v>
      </c>
      <c r="F15424" t="s">
        <v>31</v>
      </c>
      <c r="G15424" t="s">
        <v>20</v>
      </c>
    </row>
    <row r="15425" spans="1:7" x14ac:dyDescent="0.35">
      <c r="A15425">
        <v>6127</v>
      </c>
      <c r="B15425" s="1">
        <v>45991</v>
      </c>
      <c r="C15425" t="s">
        <v>37</v>
      </c>
      <c r="D15425" s="2">
        <v>0</v>
      </c>
      <c r="E15425" s="2">
        <v>76.8</v>
      </c>
      <c r="F15425" t="s">
        <v>36</v>
      </c>
      <c r="G15425" t="s">
        <v>9</v>
      </c>
    </row>
    <row r="15426" spans="1:7" x14ac:dyDescent="0.35">
      <c r="A15426">
        <v>6128</v>
      </c>
      <c r="B15426" s="1">
        <v>45991</v>
      </c>
      <c r="C15426" t="s">
        <v>38</v>
      </c>
      <c r="D15426" s="2">
        <v>48.28</v>
      </c>
      <c r="E15426" s="2">
        <v>0</v>
      </c>
      <c r="F15426" t="s">
        <v>31</v>
      </c>
      <c r="G15426" t="s">
        <v>20</v>
      </c>
    </row>
    <row r="15427" spans="1:7" x14ac:dyDescent="0.35">
      <c r="A15427">
        <v>6128</v>
      </c>
      <c r="B15427" s="1">
        <v>45991</v>
      </c>
      <c r="C15427" t="s">
        <v>38</v>
      </c>
      <c r="D15427" s="2">
        <v>0</v>
      </c>
      <c r="E15427" s="2">
        <v>48.28</v>
      </c>
      <c r="F15427" t="s">
        <v>36</v>
      </c>
      <c r="G15427" t="s">
        <v>9</v>
      </c>
    </row>
    <row r="15428" spans="1:7" x14ac:dyDescent="0.35">
      <c r="A15428">
        <v>6129</v>
      </c>
      <c r="B15428" s="1">
        <v>45991</v>
      </c>
      <c r="C15428" t="s">
        <v>39</v>
      </c>
      <c r="D15428" s="2">
        <v>53.21</v>
      </c>
      <c r="E15428" s="2">
        <v>0</v>
      </c>
      <c r="F15428" t="s">
        <v>31</v>
      </c>
      <c r="G15428" t="s">
        <v>20</v>
      </c>
    </row>
    <row r="15429" spans="1:7" x14ac:dyDescent="0.35">
      <c r="A15429">
        <v>6129</v>
      </c>
      <c r="B15429" s="1">
        <v>45991</v>
      </c>
      <c r="C15429" t="s">
        <v>39</v>
      </c>
      <c r="D15429" s="2">
        <v>0</v>
      </c>
      <c r="E15429" s="2">
        <v>53.21</v>
      </c>
      <c r="F15429" t="s">
        <v>36</v>
      </c>
      <c r="G15429" t="s">
        <v>9</v>
      </c>
    </row>
    <row r="15430" spans="1:7" x14ac:dyDescent="0.35">
      <c r="A15430">
        <v>6130</v>
      </c>
      <c r="B15430" s="1">
        <v>45991</v>
      </c>
      <c r="C15430" t="s">
        <v>40</v>
      </c>
      <c r="D15430" s="2">
        <v>232.19</v>
      </c>
      <c r="E15430" s="2">
        <v>0</v>
      </c>
      <c r="F15430" t="s">
        <v>31</v>
      </c>
      <c r="G15430" t="s">
        <v>20</v>
      </c>
    </row>
    <row r="15431" spans="1:7" x14ac:dyDescent="0.35">
      <c r="A15431">
        <v>6130</v>
      </c>
      <c r="B15431" s="1">
        <v>45991</v>
      </c>
      <c r="C15431" t="s">
        <v>40</v>
      </c>
      <c r="D15431" s="2">
        <v>0</v>
      </c>
      <c r="E15431" s="2">
        <v>232.19</v>
      </c>
      <c r="F15431" t="s">
        <v>41</v>
      </c>
      <c r="G15431" t="s">
        <v>9</v>
      </c>
    </row>
    <row r="15432" spans="1:7" x14ac:dyDescent="0.35">
      <c r="A15432">
        <v>6131</v>
      </c>
      <c r="B15432" s="1">
        <v>45991</v>
      </c>
      <c r="C15432" t="s">
        <v>42</v>
      </c>
      <c r="D15432" s="2">
        <v>43.85</v>
      </c>
      <c r="E15432" s="2">
        <v>0</v>
      </c>
      <c r="F15432" t="s">
        <v>31</v>
      </c>
      <c r="G15432" t="s">
        <v>20</v>
      </c>
    </row>
    <row r="15433" spans="1:7" x14ac:dyDescent="0.35">
      <c r="A15433">
        <v>6131</v>
      </c>
      <c r="B15433" s="1">
        <v>45991</v>
      </c>
      <c r="C15433" t="s">
        <v>42</v>
      </c>
      <c r="D15433" s="2">
        <v>0</v>
      </c>
      <c r="E15433" s="2">
        <v>43.85</v>
      </c>
      <c r="F15433" t="s">
        <v>32</v>
      </c>
      <c r="G15433" t="s">
        <v>9</v>
      </c>
    </row>
    <row r="15434" spans="1:7" x14ac:dyDescent="0.35">
      <c r="A15434">
        <v>6132</v>
      </c>
      <c r="B15434" s="1">
        <v>45992</v>
      </c>
      <c r="C15434" t="s">
        <v>12</v>
      </c>
      <c r="D15434" s="2">
        <v>202.48</v>
      </c>
      <c r="E15434" s="2">
        <v>0</v>
      </c>
      <c r="F15434" t="s">
        <v>13</v>
      </c>
      <c r="G15434" t="s">
        <v>9</v>
      </c>
    </row>
    <row r="15435" spans="1:7" x14ac:dyDescent="0.35">
      <c r="A15435">
        <v>6132</v>
      </c>
      <c r="B15435" s="1">
        <v>45992</v>
      </c>
      <c r="C15435" t="s">
        <v>12</v>
      </c>
      <c r="D15435" s="2">
        <v>0</v>
      </c>
      <c r="E15435" s="2">
        <v>188.35</v>
      </c>
      <c r="F15435" t="s">
        <v>14</v>
      </c>
      <c r="G15435" t="s">
        <v>15</v>
      </c>
    </row>
    <row r="15436" spans="1:7" x14ac:dyDescent="0.35">
      <c r="A15436">
        <v>6132</v>
      </c>
      <c r="B15436" s="1">
        <v>45992</v>
      </c>
      <c r="C15436" t="s">
        <v>12</v>
      </c>
      <c r="D15436" s="2">
        <v>0</v>
      </c>
      <c r="E15436" s="2">
        <v>14.13</v>
      </c>
      <c r="F15436" t="s">
        <v>16</v>
      </c>
      <c r="G15436" t="s">
        <v>17</v>
      </c>
    </row>
    <row r="15437" spans="1:7" x14ac:dyDescent="0.35">
      <c r="A15437">
        <v>6133</v>
      </c>
      <c r="B15437" s="1">
        <v>45992</v>
      </c>
      <c r="C15437" t="s">
        <v>12</v>
      </c>
      <c r="D15437" s="2">
        <v>890.58</v>
      </c>
      <c r="E15437" s="2">
        <v>0</v>
      </c>
      <c r="F15437" t="s">
        <v>13</v>
      </c>
      <c r="G15437" t="s">
        <v>9</v>
      </c>
    </row>
    <row r="15438" spans="1:7" x14ac:dyDescent="0.35">
      <c r="A15438">
        <v>6133</v>
      </c>
      <c r="B15438" s="1">
        <v>45992</v>
      </c>
      <c r="C15438" t="s">
        <v>12</v>
      </c>
      <c r="D15438" s="2">
        <v>0</v>
      </c>
      <c r="E15438" s="2">
        <v>828.45</v>
      </c>
      <c r="F15438" t="s">
        <v>14</v>
      </c>
      <c r="G15438" t="s">
        <v>15</v>
      </c>
    </row>
    <row r="15439" spans="1:7" x14ac:dyDescent="0.35">
      <c r="A15439">
        <v>6133</v>
      </c>
      <c r="B15439" s="1">
        <v>45992</v>
      </c>
      <c r="C15439" t="s">
        <v>12</v>
      </c>
      <c r="D15439" s="2">
        <v>0</v>
      </c>
      <c r="E15439" s="2">
        <v>62.13</v>
      </c>
      <c r="F15439" t="s">
        <v>16</v>
      </c>
      <c r="G15439" t="s">
        <v>17</v>
      </c>
    </row>
    <row r="15440" spans="1:7" x14ac:dyDescent="0.35">
      <c r="A15440">
        <v>6134</v>
      </c>
      <c r="B15440" s="1">
        <v>45992</v>
      </c>
      <c r="C15440" t="s">
        <v>12</v>
      </c>
      <c r="D15440" s="2">
        <v>5221.32</v>
      </c>
      <c r="E15440" s="2">
        <v>0</v>
      </c>
      <c r="F15440" t="s">
        <v>13</v>
      </c>
      <c r="G15440" t="s">
        <v>9</v>
      </c>
    </row>
    <row r="15441" spans="1:7" x14ac:dyDescent="0.35">
      <c r="A15441">
        <v>6134</v>
      </c>
      <c r="B15441" s="1">
        <v>45992</v>
      </c>
      <c r="C15441" t="s">
        <v>12</v>
      </c>
      <c r="D15441" s="2">
        <v>0</v>
      </c>
      <c r="E15441" s="2">
        <v>4857.04</v>
      </c>
      <c r="F15441" t="s">
        <v>14</v>
      </c>
      <c r="G15441" t="s">
        <v>15</v>
      </c>
    </row>
    <row r="15442" spans="1:7" x14ac:dyDescent="0.35">
      <c r="A15442">
        <v>6134</v>
      </c>
      <c r="B15442" s="1">
        <v>45992</v>
      </c>
      <c r="C15442" t="s">
        <v>12</v>
      </c>
      <c r="D15442" s="2">
        <v>0</v>
      </c>
      <c r="E15442" s="2">
        <v>364.28</v>
      </c>
      <c r="F15442" t="s">
        <v>16</v>
      </c>
      <c r="G15442" t="s">
        <v>17</v>
      </c>
    </row>
    <row r="15443" spans="1:7" x14ac:dyDescent="0.35">
      <c r="A15443">
        <v>6135</v>
      </c>
      <c r="B15443" s="1">
        <v>45992</v>
      </c>
      <c r="C15443" t="s">
        <v>12</v>
      </c>
      <c r="D15443" s="2">
        <v>2002.97</v>
      </c>
      <c r="E15443" s="2">
        <v>0</v>
      </c>
      <c r="F15443" t="s">
        <v>13</v>
      </c>
      <c r="G15443" t="s">
        <v>9</v>
      </c>
    </row>
    <row r="15444" spans="1:7" x14ac:dyDescent="0.35">
      <c r="A15444">
        <v>6135</v>
      </c>
      <c r="B15444" s="1">
        <v>45992</v>
      </c>
      <c r="C15444" t="s">
        <v>12</v>
      </c>
      <c r="D15444" s="2">
        <v>0</v>
      </c>
      <c r="E15444" s="2">
        <v>1863.23</v>
      </c>
      <c r="F15444" t="s">
        <v>14</v>
      </c>
      <c r="G15444" t="s">
        <v>15</v>
      </c>
    </row>
    <row r="15445" spans="1:7" x14ac:dyDescent="0.35">
      <c r="A15445">
        <v>6135</v>
      </c>
      <c r="B15445" s="1">
        <v>45992</v>
      </c>
      <c r="C15445" t="s">
        <v>12</v>
      </c>
      <c r="D15445" s="2">
        <v>0</v>
      </c>
      <c r="E15445" s="2">
        <v>139.74</v>
      </c>
      <c r="F15445" t="s">
        <v>16</v>
      </c>
      <c r="G15445" t="s">
        <v>17</v>
      </c>
    </row>
    <row r="15446" spans="1:7" x14ac:dyDescent="0.35">
      <c r="A15446">
        <v>6136</v>
      </c>
      <c r="B15446" s="1">
        <v>45992</v>
      </c>
      <c r="C15446" t="s">
        <v>12</v>
      </c>
      <c r="D15446" s="2">
        <v>1215.9100000000001</v>
      </c>
      <c r="E15446" s="2">
        <v>0</v>
      </c>
      <c r="F15446" t="s">
        <v>13</v>
      </c>
      <c r="G15446" t="s">
        <v>9</v>
      </c>
    </row>
    <row r="15447" spans="1:7" x14ac:dyDescent="0.35">
      <c r="A15447">
        <v>6136</v>
      </c>
      <c r="B15447" s="1">
        <v>45992</v>
      </c>
      <c r="C15447" t="s">
        <v>12</v>
      </c>
      <c r="D15447" s="2">
        <v>0</v>
      </c>
      <c r="E15447" s="2">
        <v>1131.08</v>
      </c>
      <c r="F15447" t="s">
        <v>14</v>
      </c>
      <c r="G15447" t="s">
        <v>15</v>
      </c>
    </row>
    <row r="15448" spans="1:7" x14ac:dyDescent="0.35">
      <c r="A15448">
        <v>6136</v>
      </c>
      <c r="B15448" s="1">
        <v>45992</v>
      </c>
      <c r="C15448" t="s">
        <v>12</v>
      </c>
      <c r="D15448" s="2">
        <v>0</v>
      </c>
      <c r="E15448" s="2">
        <v>84.83</v>
      </c>
      <c r="F15448" t="s">
        <v>16</v>
      </c>
      <c r="G15448" t="s">
        <v>17</v>
      </c>
    </row>
    <row r="15449" spans="1:7" x14ac:dyDescent="0.35">
      <c r="A15449">
        <v>6137</v>
      </c>
      <c r="B15449" s="1">
        <v>45992</v>
      </c>
      <c r="C15449" t="s">
        <v>12</v>
      </c>
      <c r="D15449" s="2">
        <v>4373.17</v>
      </c>
      <c r="E15449" s="2">
        <v>0</v>
      </c>
      <c r="F15449" t="s">
        <v>13</v>
      </c>
      <c r="G15449" t="s">
        <v>9</v>
      </c>
    </row>
    <row r="15450" spans="1:7" x14ac:dyDescent="0.35">
      <c r="A15450">
        <v>6137</v>
      </c>
      <c r="B15450" s="1">
        <v>45992</v>
      </c>
      <c r="C15450" t="s">
        <v>12</v>
      </c>
      <c r="D15450" s="2">
        <v>0</v>
      </c>
      <c r="E15450" s="2">
        <v>4068.05</v>
      </c>
      <c r="F15450" t="s">
        <v>14</v>
      </c>
      <c r="G15450" t="s">
        <v>15</v>
      </c>
    </row>
    <row r="15451" spans="1:7" x14ac:dyDescent="0.35">
      <c r="A15451">
        <v>6137</v>
      </c>
      <c r="B15451" s="1">
        <v>45992</v>
      </c>
      <c r="C15451" t="s">
        <v>12</v>
      </c>
      <c r="D15451" s="2">
        <v>0</v>
      </c>
      <c r="E15451" s="2">
        <v>305.12</v>
      </c>
      <c r="F15451" t="s">
        <v>16</v>
      </c>
      <c r="G15451" t="s">
        <v>17</v>
      </c>
    </row>
    <row r="15452" spans="1:7" x14ac:dyDescent="0.35">
      <c r="A15452">
        <v>6138</v>
      </c>
      <c r="B15452" s="1">
        <v>45992</v>
      </c>
      <c r="C15452" t="s">
        <v>12</v>
      </c>
      <c r="D15452" s="2">
        <v>1362.48</v>
      </c>
      <c r="E15452" s="2">
        <v>0</v>
      </c>
      <c r="F15452" t="s">
        <v>13</v>
      </c>
      <c r="G15452" t="s">
        <v>9</v>
      </c>
    </row>
    <row r="15453" spans="1:7" x14ac:dyDescent="0.35">
      <c r="A15453">
        <v>6138</v>
      </c>
      <c r="B15453" s="1">
        <v>45992</v>
      </c>
      <c r="C15453" t="s">
        <v>12</v>
      </c>
      <c r="D15453" s="2">
        <v>0</v>
      </c>
      <c r="E15453" s="2">
        <v>1267.42</v>
      </c>
      <c r="F15453" t="s">
        <v>14</v>
      </c>
      <c r="G15453" t="s">
        <v>15</v>
      </c>
    </row>
    <row r="15454" spans="1:7" x14ac:dyDescent="0.35">
      <c r="A15454">
        <v>6138</v>
      </c>
      <c r="B15454" s="1">
        <v>45992</v>
      </c>
      <c r="C15454" t="s">
        <v>12</v>
      </c>
      <c r="D15454" s="2">
        <v>0</v>
      </c>
      <c r="E15454" s="2">
        <v>95.06</v>
      </c>
      <c r="F15454" t="s">
        <v>16</v>
      </c>
      <c r="G15454" t="s">
        <v>17</v>
      </c>
    </row>
    <row r="15455" spans="1:7" x14ac:dyDescent="0.35">
      <c r="A15455">
        <v>6139</v>
      </c>
      <c r="B15455" s="1">
        <v>45992</v>
      </c>
      <c r="C15455" t="s">
        <v>12</v>
      </c>
      <c r="D15455" s="2">
        <v>2061.13</v>
      </c>
      <c r="E15455" s="2">
        <v>0</v>
      </c>
      <c r="F15455" t="s">
        <v>13</v>
      </c>
      <c r="G15455" t="s">
        <v>9</v>
      </c>
    </row>
    <row r="15456" spans="1:7" x14ac:dyDescent="0.35">
      <c r="A15456">
        <v>6139</v>
      </c>
      <c r="B15456" s="1">
        <v>45992</v>
      </c>
      <c r="C15456" t="s">
        <v>12</v>
      </c>
      <c r="D15456" s="2">
        <v>0</v>
      </c>
      <c r="E15456" s="2">
        <v>1917.33</v>
      </c>
      <c r="F15456" t="s">
        <v>14</v>
      </c>
      <c r="G15456" t="s">
        <v>15</v>
      </c>
    </row>
    <row r="15457" spans="1:7" x14ac:dyDescent="0.35">
      <c r="A15457">
        <v>6139</v>
      </c>
      <c r="B15457" s="1">
        <v>45992</v>
      </c>
      <c r="C15457" t="s">
        <v>12</v>
      </c>
      <c r="D15457" s="2">
        <v>0</v>
      </c>
      <c r="E15457" s="2">
        <v>143.80000000000001</v>
      </c>
      <c r="F15457" t="s">
        <v>16</v>
      </c>
      <c r="G15457" t="s">
        <v>17</v>
      </c>
    </row>
    <row r="15458" spans="1:7" x14ac:dyDescent="0.35">
      <c r="A15458">
        <v>6140</v>
      </c>
      <c r="B15458" s="1">
        <v>45992</v>
      </c>
      <c r="C15458" t="s">
        <v>12</v>
      </c>
      <c r="D15458" s="2">
        <v>2021.48</v>
      </c>
      <c r="E15458" s="2">
        <v>0</v>
      </c>
      <c r="F15458" t="s">
        <v>13</v>
      </c>
      <c r="G15458" t="s">
        <v>9</v>
      </c>
    </row>
    <row r="15459" spans="1:7" x14ac:dyDescent="0.35">
      <c r="A15459">
        <v>6140</v>
      </c>
      <c r="B15459" s="1">
        <v>45992</v>
      </c>
      <c r="C15459" t="s">
        <v>12</v>
      </c>
      <c r="D15459" s="2">
        <v>0</v>
      </c>
      <c r="E15459" s="2">
        <v>1880.45</v>
      </c>
      <c r="F15459" t="s">
        <v>14</v>
      </c>
      <c r="G15459" t="s">
        <v>15</v>
      </c>
    </row>
    <row r="15460" spans="1:7" x14ac:dyDescent="0.35">
      <c r="A15460">
        <v>6140</v>
      </c>
      <c r="B15460" s="1">
        <v>45992</v>
      </c>
      <c r="C15460" t="s">
        <v>12</v>
      </c>
      <c r="D15460" s="2">
        <v>0</v>
      </c>
      <c r="E15460" s="2">
        <v>141.03</v>
      </c>
      <c r="F15460" t="s">
        <v>16</v>
      </c>
      <c r="G15460" t="s">
        <v>17</v>
      </c>
    </row>
    <row r="15461" spans="1:7" x14ac:dyDescent="0.35">
      <c r="A15461">
        <v>6141</v>
      </c>
      <c r="B15461" s="1">
        <v>45992</v>
      </c>
      <c r="C15461" t="s">
        <v>12</v>
      </c>
      <c r="D15461" s="2">
        <v>70.14</v>
      </c>
      <c r="E15461" s="2">
        <v>0</v>
      </c>
      <c r="F15461" t="s">
        <v>13</v>
      </c>
      <c r="G15461" t="s">
        <v>9</v>
      </c>
    </row>
    <row r="15462" spans="1:7" x14ac:dyDescent="0.35">
      <c r="A15462">
        <v>6141</v>
      </c>
      <c r="B15462" s="1">
        <v>45992</v>
      </c>
      <c r="C15462" t="s">
        <v>12</v>
      </c>
      <c r="D15462" s="2">
        <v>0</v>
      </c>
      <c r="E15462" s="2">
        <v>65.25</v>
      </c>
      <c r="F15462" t="s">
        <v>14</v>
      </c>
      <c r="G15462" t="s">
        <v>15</v>
      </c>
    </row>
    <row r="15463" spans="1:7" x14ac:dyDescent="0.35">
      <c r="A15463">
        <v>6141</v>
      </c>
      <c r="B15463" s="1">
        <v>45992</v>
      </c>
      <c r="C15463" t="s">
        <v>12</v>
      </c>
      <c r="D15463" s="2">
        <v>0</v>
      </c>
      <c r="E15463" s="2">
        <v>4.8899999999999997</v>
      </c>
      <c r="F15463" t="s">
        <v>16</v>
      </c>
      <c r="G15463" t="s">
        <v>17</v>
      </c>
    </row>
    <row r="15464" spans="1:7" x14ac:dyDescent="0.35">
      <c r="A15464">
        <v>6142</v>
      </c>
      <c r="B15464" s="1">
        <v>45992</v>
      </c>
      <c r="C15464" t="s">
        <v>12</v>
      </c>
      <c r="D15464" s="2">
        <v>1018.24</v>
      </c>
      <c r="E15464" s="2">
        <v>0</v>
      </c>
      <c r="F15464" t="s">
        <v>13</v>
      </c>
      <c r="G15464" t="s">
        <v>9</v>
      </c>
    </row>
    <row r="15465" spans="1:7" x14ac:dyDescent="0.35">
      <c r="A15465">
        <v>6142</v>
      </c>
      <c r="B15465" s="1">
        <v>45992</v>
      </c>
      <c r="C15465" t="s">
        <v>12</v>
      </c>
      <c r="D15465" s="2">
        <v>0</v>
      </c>
      <c r="E15465" s="2">
        <v>947.2</v>
      </c>
      <c r="F15465" t="s">
        <v>14</v>
      </c>
      <c r="G15465" t="s">
        <v>15</v>
      </c>
    </row>
    <row r="15466" spans="1:7" x14ac:dyDescent="0.35">
      <c r="A15466">
        <v>6142</v>
      </c>
      <c r="B15466" s="1">
        <v>45992</v>
      </c>
      <c r="C15466" t="s">
        <v>12</v>
      </c>
      <c r="D15466" s="2">
        <v>0</v>
      </c>
      <c r="E15466" s="2">
        <v>71.040000000000006</v>
      </c>
      <c r="F15466" t="s">
        <v>16</v>
      </c>
      <c r="G15466" t="s">
        <v>17</v>
      </c>
    </row>
    <row r="15467" spans="1:7" x14ac:dyDescent="0.35">
      <c r="A15467">
        <v>6143</v>
      </c>
      <c r="B15467" s="1">
        <v>45992</v>
      </c>
      <c r="C15467" t="s">
        <v>12</v>
      </c>
      <c r="D15467" s="2">
        <v>135.02000000000001</v>
      </c>
      <c r="E15467" s="2">
        <v>0</v>
      </c>
      <c r="F15467" t="s">
        <v>13</v>
      </c>
      <c r="G15467" t="s">
        <v>9</v>
      </c>
    </row>
    <row r="15468" spans="1:7" x14ac:dyDescent="0.35">
      <c r="A15468">
        <v>6143</v>
      </c>
      <c r="B15468" s="1">
        <v>45992</v>
      </c>
      <c r="C15468" t="s">
        <v>12</v>
      </c>
      <c r="D15468" s="2">
        <v>0</v>
      </c>
      <c r="E15468" s="2">
        <v>125.6</v>
      </c>
      <c r="F15468" t="s">
        <v>14</v>
      </c>
      <c r="G15468" t="s">
        <v>15</v>
      </c>
    </row>
    <row r="15469" spans="1:7" x14ac:dyDescent="0.35">
      <c r="A15469">
        <v>6143</v>
      </c>
      <c r="B15469" s="1">
        <v>45992</v>
      </c>
      <c r="C15469" t="s">
        <v>12</v>
      </c>
      <c r="D15469" s="2">
        <v>0</v>
      </c>
      <c r="E15469" s="2">
        <v>9.42</v>
      </c>
      <c r="F15469" t="s">
        <v>16</v>
      </c>
      <c r="G15469" t="s">
        <v>17</v>
      </c>
    </row>
    <row r="15470" spans="1:7" x14ac:dyDescent="0.35">
      <c r="A15470">
        <v>6144</v>
      </c>
      <c r="B15470" s="1">
        <v>45992</v>
      </c>
      <c r="C15470" t="s">
        <v>12</v>
      </c>
      <c r="D15470" s="2">
        <v>890.97</v>
      </c>
      <c r="E15470" s="2">
        <v>0</v>
      </c>
      <c r="F15470" t="s">
        <v>13</v>
      </c>
      <c r="G15470" t="s">
        <v>9</v>
      </c>
    </row>
    <row r="15471" spans="1:7" x14ac:dyDescent="0.35">
      <c r="A15471">
        <v>6144</v>
      </c>
      <c r="B15471" s="1">
        <v>45992</v>
      </c>
      <c r="C15471" t="s">
        <v>12</v>
      </c>
      <c r="D15471" s="2">
        <v>0</v>
      </c>
      <c r="E15471" s="2">
        <v>828.8</v>
      </c>
      <c r="F15471" t="s">
        <v>14</v>
      </c>
      <c r="G15471" t="s">
        <v>15</v>
      </c>
    </row>
    <row r="15472" spans="1:7" x14ac:dyDescent="0.35">
      <c r="A15472">
        <v>6144</v>
      </c>
      <c r="B15472" s="1">
        <v>45992</v>
      </c>
      <c r="C15472" t="s">
        <v>12</v>
      </c>
      <c r="D15472" s="2">
        <v>0</v>
      </c>
      <c r="E15472" s="2">
        <v>62.17</v>
      </c>
      <c r="F15472" t="s">
        <v>16</v>
      </c>
      <c r="G15472" t="s">
        <v>17</v>
      </c>
    </row>
    <row r="15473" spans="1:7" x14ac:dyDescent="0.35">
      <c r="A15473">
        <v>6145</v>
      </c>
      <c r="B15473" s="1">
        <v>45992</v>
      </c>
      <c r="C15473" t="s">
        <v>24</v>
      </c>
      <c r="D15473" s="2">
        <v>4374.6099999999997</v>
      </c>
      <c r="E15473" s="2">
        <v>0</v>
      </c>
      <c r="F15473" t="s">
        <v>8</v>
      </c>
      <c r="G15473" t="s">
        <v>9</v>
      </c>
    </row>
    <row r="15474" spans="1:7" x14ac:dyDescent="0.35">
      <c r="A15474">
        <v>6145</v>
      </c>
      <c r="B15474" s="1">
        <v>45992</v>
      </c>
      <c r="C15474" t="s">
        <v>24</v>
      </c>
      <c r="D15474" s="2">
        <v>0</v>
      </c>
      <c r="E15474" s="2">
        <v>4374.6099999999997</v>
      </c>
      <c r="F15474" t="s">
        <v>13</v>
      </c>
      <c r="G15474" t="s">
        <v>9</v>
      </c>
    </row>
    <row r="15475" spans="1:7" x14ac:dyDescent="0.35">
      <c r="A15475">
        <v>6146</v>
      </c>
      <c r="B15475" s="1">
        <v>45992</v>
      </c>
      <c r="C15475" t="s">
        <v>24</v>
      </c>
      <c r="D15475" s="2">
        <v>1227.56</v>
      </c>
      <c r="E15475" s="2">
        <v>0</v>
      </c>
      <c r="F15475" t="s">
        <v>8</v>
      </c>
      <c r="G15475" t="s">
        <v>9</v>
      </c>
    </row>
    <row r="15476" spans="1:7" x14ac:dyDescent="0.35">
      <c r="A15476">
        <v>6146</v>
      </c>
      <c r="B15476" s="1">
        <v>45992</v>
      </c>
      <c r="C15476" t="s">
        <v>24</v>
      </c>
      <c r="D15476" s="2">
        <v>0</v>
      </c>
      <c r="E15476" s="2">
        <v>1227.56</v>
      </c>
      <c r="F15476" t="s">
        <v>13</v>
      </c>
      <c r="G15476" t="s">
        <v>9</v>
      </c>
    </row>
    <row r="15477" spans="1:7" x14ac:dyDescent="0.35">
      <c r="A15477">
        <v>6147</v>
      </c>
      <c r="B15477" s="1">
        <v>45992</v>
      </c>
      <c r="C15477" t="s">
        <v>24</v>
      </c>
      <c r="D15477" s="2">
        <v>250.27</v>
      </c>
      <c r="E15477" s="2">
        <v>0</v>
      </c>
      <c r="F15477" t="s">
        <v>8</v>
      </c>
      <c r="G15477" t="s">
        <v>9</v>
      </c>
    </row>
    <row r="15478" spans="1:7" x14ac:dyDescent="0.35">
      <c r="A15478">
        <v>6147</v>
      </c>
      <c r="B15478" s="1">
        <v>45992</v>
      </c>
      <c r="C15478" t="s">
        <v>24</v>
      </c>
      <c r="D15478" s="2">
        <v>0</v>
      </c>
      <c r="E15478" s="2">
        <v>250.27</v>
      </c>
      <c r="F15478" t="s">
        <v>13</v>
      </c>
      <c r="G15478" t="s">
        <v>9</v>
      </c>
    </row>
    <row r="15479" spans="1:7" x14ac:dyDescent="0.35">
      <c r="A15479">
        <v>6148</v>
      </c>
      <c r="B15479" s="1">
        <v>45992</v>
      </c>
      <c r="C15479" t="s">
        <v>24</v>
      </c>
      <c r="D15479" s="2">
        <v>700.99</v>
      </c>
      <c r="E15479" s="2">
        <v>0</v>
      </c>
      <c r="F15479" t="s">
        <v>8</v>
      </c>
      <c r="G15479" t="s">
        <v>9</v>
      </c>
    </row>
    <row r="15480" spans="1:7" x14ac:dyDescent="0.35">
      <c r="A15480">
        <v>6148</v>
      </c>
      <c r="B15480" s="1">
        <v>45992</v>
      </c>
      <c r="C15480" t="s">
        <v>24</v>
      </c>
      <c r="D15480" s="2">
        <v>0</v>
      </c>
      <c r="E15480" s="2">
        <v>700.99</v>
      </c>
      <c r="F15480" t="s">
        <v>13</v>
      </c>
      <c r="G15480" t="s">
        <v>9</v>
      </c>
    </row>
    <row r="15481" spans="1:7" x14ac:dyDescent="0.35">
      <c r="A15481">
        <v>6149</v>
      </c>
      <c r="B15481" s="1">
        <v>45992</v>
      </c>
      <c r="C15481" t="s">
        <v>24</v>
      </c>
      <c r="D15481" s="2">
        <v>570.49</v>
      </c>
      <c r="E15481" s="2">
        <v>0</v>
      </c>
      <c r="F15481" t="s">
        <v>8</v>
      </c>
      <c r="G15481" t="s">
        <v>9</v>
      </c>
    </row>
    <row r="15482" spans="1:7" x14ac:dyDescent="0.35">
      <c r="A15482">
        <v>6149</v>
      </c>
      <c r="B15482" s="1">
        <v>45992</v>
      </c>
      <c r="C15482" t="s">
        <v>24</v>
      </c>
      <c r="D15482" s="2">
        <v>0</v>
      </c>
      <c r="E15482" s="2">
        <v>570.49</v>
      </c>
      <c r="F15482" t="s">
        <v>13</v>
      </c>
      <c r="G15482" t="s">
        <v>9</v>
      </c>
    </row>
    <row r="15483" spans="1:7" x14ac:dyDescent="0.35">
      <c r="A15483">
        <v>6150</v>
      </c>
      <c r="B15483" s="1">
        <v>45992</v>
      </c>
      <c r="C15483" t="s">
        <v>24</v>
      </c>
      <c r="D15483" s="2">
        <v>336.71</v>
      </c>
      <c r="E15483" s="2">
        <v>0</v>
      </c>
      <c r="F15483" t="s">
        <v>8</v>
      </c>
      <c r="G15483" t="s">
        <v>9</v>
      </c>
    </row>
    <row r="15484" spans="1:7" x14ac:dyDescent="0.35">
      <c r="A15484">
        <v>6150</v>
      </c>
      <c r="B15484" s="1">
        <v>45992</v>
      </c>
      <c r="C15484" t="s">
        <v>24</v>
      </c>
      <c r="D15484" s="2">
        <v>0</v>
      </c>
      <c r="E15484" s="2">
        <v>336.71</v>
      </c>
      <c r="F15484" t="s">
        <v>13</v>
      </c>
      <c r="G15484" t="s">
        <v>9</v>
      </c>
    </row>
    <row r="15485" spans="1:7" x14ac:dyDescent="0.35">
      <c r="A15485">
        <v>6151</v>
      </c>
      <c r="B15485" s="1">
        <v>45992</v>
      </c>
      <c r="C15485" t="s">
        <v>24</v>
      </c>
      <c r="D15485" s="2">
        <v>205.92</v>
      </c>
      <c r="E15485" s="2">
        <v>0</v>
      </c>
      <c r="F15485" t="s">
        <v>8</v>
      </c>
      <c r="G15485" t="s">
        <v>9</v>
      </c>
    </row>
    <row r="15486" spans="1:7" x14ac:dyDescent="0.35">
      <c r="A15486">
        <v>6151</v>
      </c>
      <c r="B15486" s="1">
        <v>45992</v>
      </c>
      <c r="C15486" t="s">
        <v>24</v>
      </c>
      <c r="D15486" s="2">
        <v>0</v>
      </c>
      <c r="E15486" s="2">
        <v>205.92</v>
      </c>
      <c r="F15486" t="s">
        <v>13</v>
      </c>
      <c r="G15486" t="s">
        <v>9</v>
      </c>
    </row>
    <row r="15487" spans="1:7" x14ac:dyDescent="0.35">
      <c r="A15487">
        <v>6152</v>
      </c>
      <c r="B15487" s="1">
        <v>45992</v>
      </c>
      <c r="C15487" t="s">
        <v>24</v>
      </c>
      <c r="D15487" s="2">
        <v>2549.9699999999998</v>
      </c>
      <c r="E15487" s="2">
        <v>0</v>
      </c>
      <c r="F15487" t="s">
        <v>8</v>
      </c>
      <c r="G15487" t="s">
        <v>9</v>
      </c>
    </row>
    <row r="15488" spans="1:7" x14ac:dyDescent="0.35">
      <c r="A15488">
        <v>6152</v>
      </c>
      <c r="B15488" s="1">
        <v>45992</v>
      </c>
      <c r="C15488" t="s">
        <v>24</v>
      </c>
      <c r="D15488" s="2">
        <v>0</v>
      </c>
      <c r="E15488" s="2">
        <v>2549.9699999999998</v>
      </c>
      <c r="F15488" t="s">
        <v>13</v>
      </c>
      <c r="G15488" t="s">
        <v>9</v>
      </c>
    </row>
    <row r="15489" spans="1:7" x14ac:dyDescent="0.35">
      <c r="A15489">
        <v>6153</v>
      </c>
      <c r="B15489" s="1">
        <v>45992</v>
      </c>
      <c r="C15489" t="s">
        <v>24</v>
      </c>
      <c r="D15489" s="2">
        <v>5895.31</v>
      </c>
      <c r="E15489" s="2">
        <v>0</v>
      </c>
      <c r="F15489" t="s">
        <v>8</v>
      </c>
      <c r="G15489" t="s">
        <v>9</v>
      </c>
    </row>
    <row r="15490" spans="1:7" x14ac:dyDescent="0.35">
      <c r="A15490">
        <v>6153</v>
      </c>
      <c r="B15490" s="1">
        <v>45992</v>
      </c>
      <c r="C15490" t="s">
        <v>24</v>
      </c>
      <c r="D15490" s="2">
        <v>0</v>
      </c>
      <c r="E15490" s="2">
        <v>5895.31</v>
      </c>
      <c r="F15490" t="s">
        <v>13</v>
      </c>
      <c r="G15490" t="s">
        <v>9</v>
      </c>
    </row>
    <row r="15491" spans="1:7" x14ac:dyDescent="0.35">
      <c r="A15491">
        <v>6154</v>
      </c>
      <c r="B15491" s="1">
        <v>45992</v>
      </c>
      <c r="C15491" t="s">
        <v>24</v>
      </c>
      <c r="D15491" s="2">
        <v>1347.34</v>
      </c>
      <c r="E15491" s="2">
        <v>0</v>
      </c>
      <c r="F15491" t="s">
        <v>8</v>
      </c>
      <c r="G15491" t="s">
        <v>9</v>
      </c>
    </row>
    <row r="15492" spans="1:7" x14ac:dyDescent="0.35">
      <c r="A15492">
        <v>6154</v>
      </c>
      <c r="B15492" s="1">
        <v>45992</v>
      </c>
      <c r="C15492" t="s">
        <v>24</v>
      </c>
      <c r="D15492" s="2">
        <v>0</v>
      </c>
      <c r="E15492" s="2">
        <v>1347.34</v>
      </c>
      <c r="F15492" t="s">
        <v>13</v>
      </c>
      <c r="G15492" t="s">
        <v>9</v>
      </c>
    </row>
    <row r="15493" spans="1:7" x14ac:dyDescent="0.35">
      <c r="A15493">
        <v>6155</v>
      </c>
      <c r="B15493" s="1">
        <v>45992</v>
      </c>
      <c r="C15493" t="s">
        <v>25</v>
      </c>
      <c r="D15493" s="2">
        <v>2030.15</v>
      </c>
      <c r="E15493" s="2">
        <v>0</v>
      </c>
      <c r="F15493" t="s">
        <v>26</v>
      </c>
      <c r="G15493" t="s">
        <v>20</v>
      </c>
    </row>
    <row r="15494" spans="1:7" x14ac:dyDescent="0.35">
      <c r="A15494">
        <v>6155</v>
      </c>
      <c r="B15494" s="1">
        <v>45992</v>
      </c>
      <c r="C15494" t="s">
        <v>25</v>
      </c>
      <c r="D15494" s="2">
        <v>152.26</v>
      </c>
      <c r="E15494" s="2">
        <v>0</v>
      </c>
      <c r="F15494" t="s">
        <v>27</v>
      </c>
      <c r="G15494" t="s">
        <v>9</v>
      </c>
    </row>
    <row r="15495" spans="1:7" x14ac:dyDescent="0.35">
      <c r="A15495">
        <v>6155</v>
      </c>
      <c r="B15495" s="1">
        <v>45992</v>
      </c>
      <c r="C15495" t="s">
        <v>25</v>
      </c>
      <c r="D15495" s="2">
        <v>0</v>
      </c>
      <c r="E15495" s="2">
        <v>2182.41</v>
      </c>
      <c r="F15495" t="s">
        <v>28</v>
      </c>
      <c r="G15495" t="s">
        <v>17</v>
      </c>
    </row>
    <row r="15496" spans="1:7" x14ac:dyDescent="0.35">
      <c r="A15496">
        <v>6156</v>
      </c>
      <c r="B15496" s="1">
        <v>45992</v>
      </c>
      <c r="C15496" t="s">
        <v>25</v>
      </c>
      <c r="D15496" s="2">
        <v>1078.92</v>
      </c>
      <c r="E15496" s="2">
        <v>0</v>
      </c>
      <c r="F15496" t="s">
        <v>26</v>
      </c>
      <c r="G15496" t="s">
        <v>20</v>
      </c>
    </row>
    <row r="15497" spans="1:7" x14ac:dyDescent="0.35">
      <c r="A15497">
        <v>6156</v>
      </c>
      <c r="B15497" s="1">
        <v>45992</v>
      </c>
      <c r="C15497" t="s">
        <v>25</v>
      </c>
      <c r="D15497" s="2">
        <v>80.92</v>
      </c>
      <c r="E15497" s="2">
        <v>0</v>
      </c>
      <c r="F15497" t="s">
        <v>27</v>
      </c>
      <c r="G15497" t="s">
        <v>9</v>
      </c>
    </row>
    <row r="15498" spans="1:7" x14ac:dyDescent="0.35">
      <c r="A15498">
        <v>6156</v>
      </c>
      <c r="B15498" s="1">
        <v>45992</v>
      </c>
      <c r="C15498" t="s">
        <v>25</v>
      </c>
      <c r="D15498" s="2">
        <v>0</v>
      </c>
      <c r="E15498" s="2">
        <v>1159.8399999999999</v>
      </c>
      <c r="F15498" t="s">
        <v>28</v>
      </c>
      <c r="G15498" t="s">
        <v>17</v>
      </c>
    </row>
    <row r="15499" spans="1:7" x14ac:dyDescent="0.35">
      <c r="A15499">
        <v>6157</v>
      </c>
      <c r="B15499" s="1">
        <v>45992</v>
      </c>
      <c r="C15499" t="s">
        <v>25</v>
      </c>
      <c r="D15499" s="2">
        <v>696.06</v>
      </c>
      <c r="E15499" s="2">
        <v>0</v>
      </c>
      <c r="F15499" t="s">
        <v>26</v>
      </c>
      <c r="G15499" t="s">
        <v>20</v>
      </c>
    </row>
    <row r="15500" spans="1:7" x14ac:dyDescent="0.35">
      <c r="A15500">
        <v>6157</v>
      </c>
      <c r="B15500" s="1">
        <v>45992</v>
      </c>
      <c r="C15500" t="s">
        <v>25</v>
      </c>
      <c r="D15500" s="2">
        <v>52.2</v>
      </c>
      <c r="E15500" s="2">
        <v>0</v>
      </c>
      <c r="F15500" t="s">
        <v>27</v>
      </c>
      <c r="G15500" t="s">
        <v>9</v>
      </c>
    </row>
    <row r="15501" spans="1:7" x14ac:dyDescent="0.35">
      <c r="A15501">
        <v>6157</v>
      </c>
      <c r="B15501" s="1">
        <v>45992</v>
      </c>
      <c r="C15501" t="s">
        <v>25</v>
      </c>
      <c r="D15501" s="2">
        <v>0</v>
      </c>
      <c r="E15501" s="2">
        <v>748.26</v>
      </c>
      <c r="F15501" t="s">
        <v>28</v>
      </c>
      <c r="G15501" t="s">
        <v>17</v>
      </c>
    </row>
    <row r="15502" spans="1:7" x14ac:dyDescent="0.35">
      <c r="A15502">
        <v>6158</v>
      </c>
      <c r="B15502" s="1">
        <v>45992</v>
      </c>
      <c r="C15502" t="s">
        <v>25</v>
      </c>
      <c r="D15502" s="2">
        <v>1668.94</v>
      </c>
      <c r="E15502" s="2">
        <v>0</v>
      </c>
      <c r="F15502" t="s">
        <v>26</v>
      </c>
      <c r="G15502" t="s">
        <v>20</v>
      </c>
    </row>
    <row r="15503" spans="1:7" x14ac:dyDescent="0.35">
      <c r="A15503">
        <v>6158</v>
      </c>
      <c r="B15503" s="1">
        <v>45992</v>
      </c>
      <c r="C15503" t="s">
        <v>25</v>
      </c>
      <c r="D15503" s="2">
        <v>125.17</v>
      </c>
      <c r="E15503" s="2">
        <v>0</v>
      </c>
      <c r="F15503" t="s">
        <v>27</v>
      </c>
      <c r="G15503" t="s">
        <v>9</v>
      </c>
    </row>
    <row r="15504" spans="1:7" x14ac:dyDescent="0.35">
      <c r="A15504">
        <v>6158</v>
      </c>
      <c r="B15504" s="1">
        <v>45992</v>
      </c>
      <c r="C15504" t="s">
        <v>25</v>
      </c>
      <c r="D15504" s="2">
        <v>0</v>
      </c>
      <c r="E15504" s="2">
        <v>1794.11</v>
      </c>
      <c r="F15504" t="s">
        <v>28</v>
      </c>
      <c r="G15504" t="s">
        <v>17</v>
      </c>
    </row>
    <row r="15505" spans="1:7" x14ac:dyDescent="0.35">
      <c r="A15505">
        <v>6159</v>
      </c>
      <c r="B15505" s="1">
        <v>45992</v>
      </c>
      <c r="C15505" t="s">
        <v>25</v>
      </c>
      <c r="D15505" s="2">
        <v>1643.22</v>
      </c>
      <c r="E15505" s="2">
        <v>0</v>
      </c>
      <c r="F15505" t="s">
        <v>26</v>
      </c>
      <c r="G15505" t="s">
        <v>20</v>
      </c>
    </row>
    <row r="15506" spans="1:7" x14ac:dyDescent="0.35">
      <c r="A15506">
        <v>6159</v>
      </c>
      <c r="B15506" s="1">
        <v>45992</v>
      </c>
      <c r="C15506" t="s">
        <v>25</v>
      </c>
      <c r="D15506" s="2">
        <v>123.24</v>
      </c>
      <c r="E15506" s="2">
        <v>0</v>
      </c>
      <c r="F15506" t="s">
        <v>27</v>
      </c>
      <c r="G15506" t="s">
        <v>9</v>
      </c>
    </row>
    <row r="15507" spans="1:7" x14ac:dyDescent="0.35">
      <c r="A15507">
        <v>6159</v>
      </c>
      <c r="B15507" s="1">
        <v>45992</v>
      </c>
      <c r="C15507" t="s">
        <v>25</v>
      </c>
      <c r="D15507" s="2">
        <v>0</v>
      </c>
      <c r="E15507" s="2">
        <v>1766.46</v>
      </c>
      <c r="F15507" t="s">
        <v>28</v>
      </c>
      <c r="G15507" t="s">
        <v>17</v>
      </c>
    </row>
    <row r="15508" spans="1:7" x14ac:dyDescent="0.35">
      <c r="A15508">
        <v>6160</v>
      </c>
      <c r="B15508" s="1">
        <v>45992</v>
      </c>
      <c r="C15508" t="s">
        <v>25</v>
      </c>
      <c r="D15508" s="2">
        <v>257.04000000000002</v>
      </c>
      <c r="E15508" s="2">
        <v>0</v>
      </c>
      <c r="F15508" t="s">
        <v>26</v>
      </c>
      <c r="G15508" t="s">
        <v>20</v>
      </c>
    </row>
    <row r="15509" spans="1:7" x14ac:dyDescent="0.35">
      <c r="A15509">
        <v>6160</v>
      </c>
      <c r="B15509" s="1">
        <v>45992</v>
      </c>
      <c r="C15509" t="s">
        <v>25</v>
      </c>
      <c r="D15509" s="2">
        <v>19.28</v>
      </c>
      <c r="E15509" s="2">
        <v>0</v>
      </c>
      <c r="F15509" t="s">
        <v>27</v>
      </c>
      <c r="G15509" t="s">
        <v>9</v>
      </c>
    </row>
    <row r="15510" spans="1:7" x14ac:dyDescent="0.35">
      <c r="A15510">
        <v>6160</v>
      </c>
      <c r="B15510" s="1">
        <v>45992</v>
      </c>
      <c r="C15510" t="s">
        <v>25</v>
      </c>
      <c r="D15510" s="2">
        <v>0</v>
      </c>
      <c r="E15510" s="2">
        <v>276.32</v>
      </c>
      <c r="F15510" t="s">
        <v>28</v>
      </c>
      <c r="G15510" t="s">
        <v>17</v>
      </c>
    </row>
    <row r="15511" spans="1:7" x14ac:dyDescent="0.35">
      <c r="A15511">
        <v>6161</v>
      </c>
      <c r="B15511" s="1">
        <v>45992</v>
      </c>
      <c r="C15511" t="s">
        <v>25</v>
      </c>
      <c r="D15511" s="2">
        <v>6723.2</v>
      </c>
      <c r="E15511" s="2">
        <v>0</v>
      </c>
      <c r="F15511" t="s">
        <v>26</v>
      </c>
      <c r="G15511" t="s">
        <v>20</v>
      </c>
    </row>
    <row r="15512" spans="1:7" x14ac:dyDescent="0.35">
      <c r="A15512">
        <v>6161</v>
      </c>
      <c r="B15512" s="1">
        <v>45992</v>
      </c>
      <c r="C15512" t="s">
        <v>25</v>
      </c>
      <c r="D15512" s="2">
        <v>504.24</v>
      </c>
      <c r="E15512" s="2">
        <v>0</v>
      </c>
      <c r="F15512" t="s">
        <v>27</v>
      </c>
      <c r="G15512" t="s">
        <v>9</v>
      </c>
    </row>
    <row r="15513" spans="1:7" x14ac:dyDescent="0.35">
      <c r="A15513">
        <v>6161</v>
      </c>
      <c r="B15513" s="1">
        <v>45992</v>
      </c>
      <c r="C15513" t="s">
        <v>25</v>
      </c>
      <c r="D15513" s="2">
        <v>0</v>
      </c>
      <c r="E15513" s="2">
        <v>7227.44</v>
      </c>
      <c r="F15513" t="s">
        <v>28</v>
      </c>
      <c r="G15513" t="s">
        <v>17</v>
      </c>
    </row>
    <row r="15514" spans="1:7" x14ac:dyDescent="0.35">
      <c r="A15514">
        <v>6162</v>
      </c>
      <c r="B15514" s="1">
        <v>45992</v>
      </c>
      <c r="C15514" t="s">
        <v>25</v>
      </c>
      <c r="D15514" s="2">
        <v>8685.27</v>
      </c>
      <c r="E15514" s="2">
        <v>0</v>
      </c>
      <c r="F15514" t="s">
        <v>26</v>
      </c>
      <c r="G15514" t="s">
        <v>20</v>
      </c>
    </row>
    <row r="15515" spans="1:7" x14ac:dyDescent="0.35">
      <c r="A15515">
        <v>6162</v>
      </c>
      <c r="B15515" s="1">
        <v>45992</v>
      </c>
      <c r="C15515" t="s">
        <v>25</v>
      </c>
      <c r="D15515" s="2">
        <v>651.4</v>
      </c>
      <c r="E15515" s="2">
        <v>0</v>
      </c>
      <c r="F15515" t="s">
        <v>27</v>
      </c>
      <c r="G15515" t="s">
        <v>9</v>
      </c>
    </row>
    <row r="15516" spans="1:7" x14ac:dyDescent="0.35">
      <c r="A15516">
        <v>6162</v>
      </c>
      <c r="B15516" s="1">
        <v>45992</v>
      </c>
      <c r="C15516" t="s">
        <v>25</v>
      </c>
      <c r="D15516" s="2">
        <v>0</v>
      </c>
      <c r="E15516" s="2">
        <v>9336.67</v>
      </c>
      <c r="F15516" t="s">
        <v>28</v>
      </c>
      <c r="G15516" t="s">
        <v>17</v>
      </c>
    </row>
    <row r="15517" spans="1:7" x14ac:dyDescent="0.35">
      <c r="A15517">
        <v>6163</v>
      </c>
      <c r="B15517" s="1">
        <v>45992</v>
      </c>
      <c r="C15517" t="s">
        <v>29</v>
      </c>
      <c r="D15517" s="2">
        <v>4812.46</v>
      </c>
      <c r="E15517" s="2">
        <v>0</v>
      </c>
      <c r="F15517" t="s">
        <v>28</v>
      </c>
      <c r="G15517" t="s">
        <v>17</v>
      </c>
    </row>
    <row r="15518" spans="1:7" x14ac:dyDescent="0.35">
      <c r="A15518">
        <v>6163</v>
      </c>
      <c r="B15518" s="1">
        <v>45992</v>
      </c>
      <c r="C15518" t="s">
        <v>29</v>
      </c>
      <c r="D15518" s="2">
        <v>0</v>
      </c>
      <c r="E15518" s="2">
        <v>4812.46</v>
      </c>
      <c r="F15518" t="s">
        <v>8</v>
      </c>
      <c r="G15518" t="s">
        <v>9</v>
      </c>
    </row>
    <row r="15519" spans="1:7" x14ac:dyDescent="0.35">
      <c r="A15519">
        <v>6164</v>
      </c>
      <c r="B15519" s="1">
        <v>45992</v>
      </c>
      <c r="C15519" t="s">
        <v>29</v>
      </c>
      <c r="D15519" s="2">
        <v>2918.17</v>
      </c>
      <c r="E15519" s="2">
        <v>0</v>
      </c>
      <c r="F15519" t="s">
        <v>28</v>
      </c>
      <c r="G15519" t="s">
        <v>17</v>
      </c>
    </row>
    <row r="15520" spans="1:7" x14ac:dyDescent="0.35">
      <c r="A15520">
        <v>6164</v>
      </c>
      <c r="B15520" s="1">
        <v>45992</v>
      </c>
      <c r="C15520" t="s">
        <v>29</v>
      </c>
      <c r="D15520" s="2">
        <v>0</v>
      </c>
      <c r="E15520" s="2">
        <v>2918.17</v>
      </c>
      <c r="F15520" t="s">
        <v>8</v>
      </c>
      <c r="G15520" t="s">
        <v>9</v>
      </c>
    </row>
    <row r="15521" spans="1:7" x14ac:dyDescent="0.35">
      <c r="A15521">
        <v>6165</v>
      </c>
      <c r="B15521" s="1">
        <v>45992</v>
      </c>
      <c r="C15521" t="s">
        <v>29</v>
      </c>
      <c r="D15521" s="2">
        <v>550.4</v>
      </c>
      <c r="E15521" s="2">
        <v>0</v>
      </c>
      <c r="F15521" t="s">
        <v>28</v>
      </c>
      <c r="G15521" t="s">
        <v>17</v>
      </c>
    </row>
    <row r="15522" spans="1:7" x14ac:dyDescent="0.35">
      <c r="A15522">
        <v>6165</v>
      </c>
      <c r="B15522" s="1">
        <v>45992</v>
      </c>
      <c r="C15522" t="s">
        <v>29</v>
      </c>
      <c r="D15522" s="2">
        <v>0</v>
      </c>
      <c r="E15522" s="2">
        <v>550.4</v>
      </c>
      <c r="F15522" t="s">
        <v>8</v>
      </c>
      <c r="G15522" t="s">
        <v>9</v>
      </c>
    </row>
    <row r="15523" spans="1:7" x14ac:dyDescent="0.35">
      <c r="A15523">
        <v>6166</v>
      </c>
      <c r="B15523" s="1">
        <v>45992</v>
      </c>
      <c r="C15523" t="s">
        <v>29</v>
      </c>
      <c r="D15523" s="2">
        <v>3868.8</v>
      </c>
      <c r="E15523" s="2">
        <v>0</v>
      </c>
      <c r="F15523" t="s">
        <v>28</v>
      </c>
      <c r="G15523" t="s">
        <v>17</v>
      </c>
    </row>
    <row r="15524" spans="1:7" x14ac:dyDescent="0.35">
      <c r="A15524">
        <v>6166</v>
      </c>
      <c r="B15524" s="1">
        <v>45992</v>
      </c>
      <c r="C15524" t="s">
        <v>29</v>
      </c>
      <c r="D15524" s="2">
        <v>0</v>
      </c>
      <c r="E15524" s="2">
        <v>3868.8</v>
      </c>
      <c r="F15524" t="s">
        <v>8</v>
      </c>
      <c r="G15524" t="s">
        <v>9</v>
      </c>
    </row>
    <row r="15525" spans="1:7" x14ac:dyDescent="0.35">
      <c r="A15525">
        <v>6167</v>
      </c>
      <c r="B15525" s="1">
        <v>45992</v>
      </c>
      <c r="C15525" t="s">
        <v>29</v>
      </c>
      <c r="D15525" s="2">
        <v>9336.67</v>
      </c>
      <c r="E15525" s="2">
        <v>0</v>
      </c>
      <c r="F15525" t="s">
        <v>28</v>
      </c>
      <c r="G15525" t="s">
        <v>17</v>
      </c>
    </row>
    <row r="15526" spans="1:7" x14ac:dyDescent="0.35">
      <c r="A15526">
        <v>6167</v>
      </c>
      <c r="B15526" s="1">
        <v>45992</v>
      </c>
      <c r="C15526" t="s">
        <v>29</v>
      </c>
      <c r="D15526" s="2">
        <v>0</v>
      </c>
      <c r="E15526" s="2">
        <v>9336.67</v>
      </c>
      <c r="F15526" t="s">
        <v>8</v>
      </c>
      <c r="G15526" t="s">
        <v>9</v>
      </c>
    </row>
    <row r="15527" spans="1:7" x14ac:dyDescent="0.35">
      <c r="A15527">
        <v>6168</v>
      </c>
      <c r="B15527" s="1">
        <v>45993</v>
      </c>
      <c r="C15527" t="s">
        <v>12</v>
      </c>
      <c r="D15527" s="2">
        <v>3879.48</v>
      </c>
      <c r="E15527" s="2">
        <v>0</v>
      </c>
      <c r="F15527" t="s">
        <v>13</v>
      </c>
      <c r="G15527" t="s">
        <v>9</v>
      </c>
    </row>
    <row r="15528" spans="1:7" x14ac:dyDescent="0.35">
      <c r="A15528">
        <v>6168</v>
      </c>
      <c r="B15528" s="1">
        <v>45993</v>
      </c>
      <c r="C15528" t="s">
        <v>12</v>
      </c>
      <c r="D15528" s="2">
        <v>0</v>
      </c>
      <c r="E15528" s="2">
        <v>3608.83</v>
      </c>
      <c r="F15528" t="s">
        <v>14</v>
      </c>
      <c r="G15528" t="s">
        <v>15</v>
      </c>
    </row>
    <row r="15529" spans="1:7" x14ac:dyDescent="0.35">
      <c r="A15529">
        <v>6168</v>
      </c>
      <c r="B15529" s="1">
        <v>45993</v>
      </c>
      <c r="C15529" t="s">
        <v>12</v>
      </c>
      <c r="D15529" s="2">
        <v>0</v>
      </c>
      <c r="E15529" s="2">
        <v>270.64999999999998</v>
      </c>
      <c r="F15529" t="s">
        <v>16</v>
      </c>
      <c r="G15529" t="s">
        <v>17</v>
      </c>
    </row>
    <row r="15530" spans="1:7" x14ac:dyDescent="0.35">
      <c r="A15530">
        <v>6169</v>
      </c>
      <c r="B15530" s="1">
        <v>45993</v>
      </c>
      <c r="C15530" t="s">
        <v>12</v>
      </c>
      <c r="D15530" s="2">
        <v>3300.26</v>
      </c>
      <c r="E15530" s="2">
        <v>0</v>
      </c>
      <c r="F15530" t="s">
        <v>13</v>
      </c>
      <c r="G15530" t="s">
        <v>9</v>
      </c>
    </row>
    <row r="15531" spans="1:7" x14ac:dyDescent="0.35">
      <c r="A15531">
        <v>6169</v>
      </c>
      <c r="B15531" s="1">
        <v>45993</v>
      </c>
      <c r="C15531" t="s">
        <v>12</v>
      </c>
      <c r="D15531" s="2">
        <v>0</v>
      </c>
      <c r="E15531" s="2">
        <v>3070.01</v>
      </c>
      <c r="F15531" t="s">
        <v>14</v>
      </c>
      <c r="G15531" t="s">
        <v>15</v>
      </c>
    </row>
    <row r="15532" spans="1:7" x14ac:dyDescent="0.35">
      <c r="A15532">
        <v>6169</v>
      </c>
      <c r="B15532" s="1">
        <v>45993</v>
      </c>
      <c r="C15532" t="s">
        <v>12</v>
      </c>
      <c r="D15532" s="2">
        <v>0</v>
      </c>
      <c r="E15532" s="2">
        <v>230.25</v>
      </c>
      <c r="F15532" t="s">
        <v>16</v>
      </c>
      <c r="G15532" t="s">
        <v>17</v>
      </c>
    </row>
    <row r="15533" spans="1:7" x14ac:dyDescent="0.35">
      <c r="A15533">
        <v>6170</v>
      </c>
      <c r="B15533" s="1">
        <v>45993</v>
      </c>
      <c r="C15533" t="s">
        <v>12</v>
      </c>
      <c r="D15533" s="2">
        <v>926.22</v>
      </c>
      <c r="E15533" s="2">
        <v>0</v>
      </c>
      <c r="F15533" t="s">
        <v>13</v>
      </c>
      <c r="G15533" t="s">
        <v>9</v>
      </c>
    </row>
    <row r="15534" spans="1:7" x14ac:dyDescent="0.35">
      <c r="A15534">
        <v>6170</v>
      </c>
      <c r="B15534" s="1">
        <v>45993</v>
      </c>
      <c r="C15534" t="s">
        <v>12</v>
      </c>
      <c r="D15534" s="2">
        <v>0</v>
      </c>
      <c r="E15534" s="2">
        <v>861.6</v>
      </c>
      <c r="F15534" t="s">
        <v>14</v>
      </c>
      <c r="G15534" t="s">
        <v>15</v>
      </c>
    </row>
    <row r="15535" spans="1:7" x14ac:dyDescent="0.35">
      <c r="A15535">
        <v>6170</v>
      </c>
      <c r="B15535" s="1">
        <v>45993</v>
      </c>
      <c r="C15535" t="s">
        <v>12</v>
      </c>
      <c r="D15535" s="2">
        <v>0</v>
      </c>
      <c r="E15535" s="2">
        <v>64.62</v>
      </c>
      <c r="F15535" t="s">
        <v>16</v>
      </c>
      <c r="G15535" t="s">
        <v>17</v>
      </c>
    </row>
    <row r="15536" spans="1:7" x14ac:dyDescent="0.35">
      <c r="A15536">
        <v>6171</v>
      </c>
      <c r="B15536" s="1">
        <v>45993</v>
      </c>
      <c r="C15536" t="s">
        <v>12</v>
      </c>
      <c r="D15536" s="2">
        <v>3831.38</v>
      </c>
      <c r="E15536" s="2">
        <v>0</v>
      </c>
      <c r="F15536" t="s">
        <v>13</v>
      </c>
      <c r="G15536" t="s">
        <v>9</v>
      </c>
    </row>
    <row r="15537" spans="1:7" x14ac:dyDescent="0.35">
      <c r="A15537">
        <v>6171</v>
      </c>
      <c r="B15537" s="1">
        <v>45993</v>
      </c>
      <c r="C15537" t="s">
        <v>12</v>
      </c>
      <c r="D15537" s="2">
        <v>0</v>
      </c>
      <c r="E15537" s="2">
        <v>3564.07</v>
      </c>
      <c r="F15537" t="s">
        <v>14</v>
      </c>
      <c r="G15537" t="s">
        <v>15</v>
      </c>
    </row>
    <row r="15538" spans="1:7" x14ac:dyDescent="0.35">
      <c r="A15538">
        <v>6171</v>
      </c>
      <c r="B15538" s="1">
        <v>45993</v>
      </c>
      <c r="C15538" t="s">
        <v>12</v>
      </c>
      <c r="D15538" s="2">
        <v>0</v>
      </c>
      <c r="E15538" s="2">
        <v>267.31</v>
      </c>
      <c r="F15538" t="s">
        <v>16</v>
      </c>
      <c r="G15538" t="s">
        <v>17</v>
      </c>
    </row>
    <row r="15539" spans="1:7" x14ac:dyDescent="0.35">
      <c r="A15539">
        <v>6172</v>
      </c>
      <c r="B15539" s="1">
        <v>45993</v>
      </c>
      <c r="C15539" t="s">
        <v>12</v>
      </c>
      <c r="D15539" s="2">
        <v>3772.87</v>
      </c>
      <c r="E15539" s="2">
        <v>0</v>
      </c>
      <c r="F15539" t="s">
        <v>13</v>
      </c>
      <c r="G15539" t="s">
        <v>9</v>
      </c>
    </row>
    <row r="15540" spans="1:7" x14ac:dyDescent="0.35">
      <c r="A15540">
        <v>6172</v>
      </c>
      <c r="B15540" s="1">
        <v>45993</v>
      </c>
      <c r="C15540" t="s">
        <v>12</v>
      </c>
      <c r="D15540" s="2">
        <v>0</v>
      </c>
      <c r="E15540" s="2">
        <v>3509.64</v>
      </c>
      <c r="F15540" t="s">
        <v>14</v>
      </c>
      <c r="G15540" t="s">
        <v>15</v>
      </c>
    </row>
    <row r="15541" spans="1:7" x14ac:dyDescent="0.35">
      <c r="A15541">
        <v>6172</v>
      </c>
      <c r="B15541" s="1">
        <v>45993</v>
      </c>
      <c r="C15541" t="s">
        <v>12</v>
      </c>
      <c r="D15541" s="2">
        <v>0</v>
      </c>
      <c r="E15541" s="2">
        <v>263.23</v>
      </c>
      <c r="F15541" t="s">
        <v>16</v>
      </c>
      <c r="G15541" t="s">
        <v>17</v>
      </c>
    </row>
    <row r="15542" spans="1:7" x14ac:dyDescent="0.35">
      <c r="A15542">
        <v>6173</v>
      </c>
      <c r="B15542" s="1">
        <v>45993</v>
      </c>
      <c r="C15542" t="s">
        <v>12</v>
      </c>
      <c r="D15542" s="2">
        <v>746.41</v>
      </c>
      <c r="E15542" s="2">
        <v>0</v>
      </c>
      <c r="F15542" t="s">
        <v>13</v>
      </c>
      <c r="G15542" t="s">
        <v>9</v>
      </c>
    </row>
    <row r="15543" spans="1:7" x14ac:dyDescent="0.35">
      <c r="A15543">
        <v>6173</v>
      </c>
      <c r="B15543" s="1">
        <v>45993</v>
      </c>
      <c r="C15543" t="s">
        <v>12</v>
      </c>
      <c r="D15543" s="2">
        <v>0</v>
      </c>
      <c r="E15543" s="2">
        <v>694.34</v>
      </c>
      <c r="F15543" t="s">
        <v>14</v>
      </c>
      <c r="G15543" t="s">
        <v>15</v>
      </c>
    </row>
    <row r="15544" spans="1:7" x14ac:dyDescent="0.35">
      <c r="A15544">
        <v>6173</v>
      </c>
      <c r="B15544" s="1">
        <v>45993</v>
      </c>
      <c r="C15544" t="s">
        <v>12</v>
      </c>
      <c r="D15544" s="2">
        <v>0</v>
      </c>
      <c r="E15544" s="2">
        <v>52.07</v>
      </c>
      <c r="F15544" t="s">
        <v>16</v>
      </c>
      <c r="G15544" t="s">
        <v>17</v>
      </c>
    </row>
    <row r="15545" spans="1:7" x14ac:dyDescent="0.35">
      <c r="A15545">
        <v>6174</v>
      </c>
      <c r="B15545" s="1">
        <v>45993</v>
      </c>
      <c r="C15545" t="s">
        <v>12</v>
      </c>
      <c r="D15545" s="2">
        <v>1355.87</v>
      </c>
      <c r="E15545" s="2">
        <v>0</v>
      </c>
      <c r="F15545" t="s">
        <v>13</v>
      </c>
      <c r="G15545" t="s">
        <v>9</v>
      </c>
    </row>
    <row r="15546" spans="1:7" x14ac:dyDescent="0.35">
      <c r="A15546">
        <v>6174</v>
      </c>
      <c r="B15546" s="1">
        <v>45993</v>
      </c>
      <c r="C15546" t="s">
        <v>12</v>
      </c>
      <c r="D15546" s="2">
        <v>0</v>
      </c>
      <c r="E15546" s="2">
        <v>1261.27</v>
      </c>
      <c r="F15546" t="s">
        <v>14</v>
      </c>
      <c r="G15546" t="s">
        <v>15</v>
      </c>
    </row>
    <row r="15547" spans="1:7" x14ac:dyDescent="0.35">
      <c r="A15547">
        <v>6174</v>
      </c>
      <c r="B15547" s="1">
        <v>45993</v>
      </c>
      <c r="C15547" t="s">
        <v>12</v>
      </c>
      <c r="D15547" s="2">
        <v>0</v>
      </c>
      <c r="E15547" s="2">
        <v>94.6</v>
      </c>
      <c r="F15547" t="s">
        <v>16</v>
      </c>
      <c r="G15547" t="s">
        <v>17</v>
      </c>
    </row>
    <row r="15548" spans="1:7" x14ac:dyDescent="0.35">
      <c r="A15548">
        <v>6175</v>
      </c>
      <c r="B15548" s="1">
        <v>45993</v>
      </c>
      <c r="C15548" t="s">
        <v>12</v>
      </c>
      <c r="D15548" s="2">
        <v>945.65</v>
      </c>
      <c r="E15548" s="2">
        <v>0</v>
      </c>
      <c r="F15548" t="s">
        <v>13</v>
      </c>
      <c r="G15548" t="s">
        <v>9</v>
      </c>
    </row>
    <row r="15549" spans="1:7" x14ac:dyDescent="0.35">
      <c r="A15549">
        <v>6175</v>
      </c>
      <c r="B15549" s="1">
        <v>45993</v>
      </c>
      <c r="C15549" t="s">
        <v>12</v>
      </c>
      <c r="D15549" s="2">
        <v>0</v>
      </c>
      <c r="E15549" s="2">
        <v>879.68</v>
      </c>
      <c r="F15549" t="s">
        <v>14</v>
      </c>
      <c r="G15549" t="s">
        <v>15</v>
      </c>
    </row>
    <row r="15550" spans="1:7" x14ac:dyDescent="0.35">
      <c r="A15550">
        <v>6175</v>
      </c>
      <c r="B15550" s="1">
        <v>45993</v>
      </c>
      <c r="C15550" t="s">
        <v>12</v>
      </c>
      <c r="D15550" s="2">
        <v>0</v>
      </c>
      <c r="E15550" s="2">
        <v>65.97</v>
      </c>
      <c r="F15550" t="s">
        <v>16</v>
      </c>
      <c r="G15550" t="s">
        <v>17</v>
      </c>
    </row>
    <row r="15551" spans="1:7" x14ac:dyDescent="0.35">
      <c r="A15551">
        <v>6176</v>
      </c>
      <c r="B15551" s="1">
        <v>45993</v>
      </c>
      <c r="C15551" t="s">
        <v>12</v>
      </c>
      <c r="D15551" s="2">
        <v>3658.6</v>
      </c>
      <c r="E15551" s="2">
        <v>0</v>
      </c>
      <c r="F15551" t="s">
        <v>13</v>
      </c>
      <c r="G15551" t="s">
        <v>9</v>
      </c>
    </row>
    <row r="15552" spans="1:7" x14ac:dyDescent="0.35">
      <c r="A15552">
        <v>6176</v>
      </c>
      <c r="B15552" s="1">
        <v>45993</v>
      </c>
      <c r="C15552" t="s">
        <v>12</v>
      </c>
      <c r="D15552" s="2">
        <v>0</v>
      </c>
      <c r="E15552" s="2">
        <v>3403.35</v>
      </c>
      <c r="F15552" t="s">
        <v>14</v>
      </c>
      <c r="G15552" t="s">
        <v>15</v>
      </c>
    </row>
    <row r="15553" spans="1:7" x14ac:dyDescent="0.35">
      <c r="A15553">
        <v>6176</v>
      </c>
      <c r="B15553" s="1">
        <v>45993</v>
      </c>
      <c r="C15553" t="s">
        <v>12</v>
      </c>
      <c r="D15553" s="2">
        <v>0</v>
      </c>
      <c r="E15553" s="2">
        <v>255.25</v>
      </c>
      <c r="F15553" t="s">
        <v>16</v>
      </c>
      <c r="G15553" t="s">
        <v>17</v>
      </c>
    </row>
    <row r="15554" spans="1:7" x14ac:dyDescent="0.35">
      <c r="A15554">
        <v>6177</v>
      </c>
      <c r="B15554" s="1">
        <v>45993</v>
      </c>
      <c r="C15554" t="s">
        <v>12</v>
      </c>
      <c r="D15554" s="2">
        <v>1690.19</v>
      </c>
      <c r="E15554" s="2">
        <v>0</v>
      </c>
      <c r="F15554" t="s">
        <v>13</v>
      </c>
      <c r="G15554" t="s">
        <v>9</v>
      </c>
    </row>
    <row r="15555" spans="1:7" x14ac:dyDescent="0.35">
      <c r="A15555">
        <v>6177</v>
      </c>
      <c r="B15555" s="1">
        <v>45993</v>
      </c>
      <c r="C15555" t="s">
        <v>12</v>
      </c>
      <c r="D15555" s="2">
        <v>0</v>
      </c>
      <c r="E15555" s="2">
        <v>1572.27</v>
      </c>
      <c r="F15555" t="s">
        <v>14</v>
      </c>
      <c r="G15555" t="s">
        <v>15</v>
      </c>
    </row>
    <row r="15556" spans="1:7" x14ac:dyDescent="0.35">
      <c r="A15556">
        <v>6177</v>
      </c>
      <c r="B15556" s="1">
        <v>45993</v>
      </c>
      <c r="C15556" t="s">
        <v>12</v>
      </c>
      <c r="D15556" s="2">
        <v>0</v>
      </c>
      <c r="E15556" s="2">
        <v>117.92</v>
      </c>
      <c r="F15556" t="s">
        <v>16</v>
      </c>
      <c r="G15556" t="s">
        <v>17</v>
      </c>
    </row>
    <row r="15557" spans="1:7" x14ac:dyDescent="0.35">
      <c r="A15557">
        <v>6178</v>
      </c>
      <c r="B15557" s="1">
        <v>45993</v>
      </c>
      <c r="C15557" t="s">
        <v>12</v>
      </c>
      <c r="D15557" s="2">
        <v>64.67</v>
      </c>
      <c r="E15557" s="2">
        <v>0</v>
      </c>
      <c r="F15557" t="s">
        <v>13</v>
      </c>
      <c r="G15557" t="s">
        <v>9</v>
      </c>
    </row>
    <row r="15558" spans="1:7" x14ac:dyDescent="0.35">
      <c r="A15558">
        <v>6178</v>
      </c>
      <c r="B15558" s="1">
        <v>45993</v>
      </c>
      <c r="C15558" t="s">
        <v>12</v>
      </c>
      <c r="D15558" s="2">
        <v>0</v>
      </c>
      <c r="E15558" s="2">
        <v>60.16</v>
      </c>
      <c r="F15558" t="s">
        <v>14</v>
      </c>
      <c r="G15558" t="s">
        <v>15</v>
      </c>
    </row>
    <row r="15559" spans="1:7" x14ac:dyDescent="0.35">
      <c r="A15559">
        <v>6178</v>
      </c>
      <c r="B15559" s="1">
        <v>45993</v>
      </c>
      <c r="C15559" t="s">
        <v>12</v>
      </c>
      <c r="D15559" s="2">
        <v>0</v>
      </c>
      <c r="E15559" s="2">
        <v>4.51</v>
      </c>
      <c r="F15559" t="s">
        <v>16</v>
      </c>
      <c r="G15559" t="s">
        <v>17</v>
      </c>
    </row>
    <row r="15560" spans="1:7" x14ac:dyDescent="0.35">
      <c r="A15560">
        <v>6179</v>
      </c>
      <c r="B15560" s="1">
        <v>45993</v>
      </c>
      <c r="C15560" t="s">
        <v>12</v>
      </c>
      <c r="D15560" s="2">
        <v>628.19000000000005</v>
      </c>
      <c r="E15560" s="2">
        <v>0</v>
      </c>
      <c r="F15560" t="s">
        <v>13</v>
      </c>
      <c r="G15560" t="s">
        <v>9</v>
      </c>
    </row>
    <row r="15561" spans="1:7" x14ac:dyDescent="0.35">
      <c r="A15561">
        <v>6179</v>
      </c>
      <c r="B15561" s="1">
        <v>45993</v>
      </c>
      <c r="C15561" t="s">
        <v>12</v>
      </c>
      <c r="D15561" s="2">
        <v>0</v>
      </c>
      <c r="E15561" s="2">
        <v>584.36</v>
      </c>
      <c r="F15561" t="s">
        <v>14</v>
      </c>
      <c r="G15561" t="s">
        <v>15</v>
      </c>
    </row>
    <row r="15562" spans="1:7" x14ac:dyDescent="0.35">
      <c r="A15562">
        <v>6179</v>
      </c>
      <c r="B15562" s="1">
        <v>45993</v>
      </c>
      <c r="C15562" t="s">
        <v>12</v>
      </c>
      <c r="D15562" s="2">
        <v>0</v>
      </c>
      <c r="E15562" s="2">
        <v>43.83</v>
      </c>
      <c r="F15562" t="s">
        <v>16</v>
      </c>
      <c r="G15562" t="s">
        <v>17</v>
      </c>
    </row>
    <row r="15563" spans="1:7" x14ac:dyDescent="0.35">
      <c r="A15563">
        <v>6180</v>
      </c>
      <c r="B15563" s="1">
        <v>45993</v>
      </c>
      <c r="C15563" t="s">
        <v>12</v>
      </c>
      <c r="D15563" s="2">
        <v>1930.1</v>
      </c>
      <c r="E15563" s="2">
        <v>0</v>
      </c>
      <c r="F15563" t="s">
        <v>13</v>
      </c>
      <c r="G15563" t="s">
        <v>9</v>
      </c>
    </row>
    <row r="15564" spans="1:7" x14ac:dyDescent="0.35">
      <c r="A15564">
        <v>6180</v>
      </c>
      <c r="B15564" s="1">
        <v>45993</v>
      </c>
      <c r="C15564" t="s">
        <v>12</v>
      </c>
      <c r="D15564" s="2">
        <v>0</v>
      </c>
      <c r="E15564" s="2">
        <v>1795.44</v>
      </c>
      <c r="F15564" t="s">
        <v>14</v>
      </c>
      <c r="G15564" t="s">
        <v>15</v>
      </c>
    </row>
    <row r="15565" spans="1:7" x14ac:dyDescent="0.35">
      <c r="A15565">
        <v>6180</v>
      </c>
      <c r="B15565" s="1">
        <v>45993</v>
      </c>
      <c r="C15565" t="s">
        <v>12</v>
      </c>
      <c r="D15565" s="2">
        <v>0</v>
      </c>
      <c r="E15565" s="2">
        <v>134.66</v>
      </c>
      <c r="F15565" t="s">
        <v>16</v>
      </c>
      <c r="G15565" t="s">
        <v>17</v>
      </c>
    </row>
    <row r="15566" spans="1:7" x14ac:dyDescent="0.35">
      <c r="A15566">
        <v>6181</v>
      </c>
      <c r="B15566" s="1">
        <v>45993</v>
      </c>
      <c r="C15566" t="s">
        <v>12</v>
      </c>
      <c r="D15566" s="2">
        <v>3303</v>
      </c>
      <c r="E15566" s="2">
        <v>0</v>
      </c>
      <c r="F15566" t="s">
        <v>13</v>
      </c>
      <c r="G15566" t="s">
        <v>9</v>
      </c>
    </row>
    <row r="15567" spans="1:7" x14ac:dyDescent="0.35">
      <c r="A15567">
        <v>6181</v>
      </c>
      <c r="B15567" s="1">
        <v>45993</v>
      </c>
      <c r="C15567" t="s">
        <v>12</v>
      </c>
      <c r="D15567" s="2">
        <v>0</v>
      </c>
      <c r="E15567" s="2">
        <v>3072.56</v>
      </c>
      <c r="F15567" t="s">
        <v>14</v>
      </c>
      <c r="G15567" t="s">
        <v>15</v>
      </c>
    </row>
    <row r="15568" spans="1:7" x14ac:dyDescent="0.35">
      <c r="A15568">
        <v>6181</v>
      </c>
      <c r="B15568" s="1">
        <v>45993</v>
      </c>
      <c r="C15568" t="s">
        <v>12</v>
      </c>
      <c r="D15568" s="2">
        <v>0</v>
      </c>
      <c r="E15568" s="2">
        <v>230.44</v>
      </c>
      <c r="F15568" t="s">
        <v>16</v>
      </c>
      <c r="G15568" t="s">
        <v>17</v>
      </c>
    </row>
    <row r="15569" spans="1:7" x14ac:dyDescent="0.35">
      <c r="A15569">
        <v>6182</v>
      </c>
      <c r="B15569" s="1">
        <v>45993</v>
      </c>
      <c r="C15569" t="s">
        <v>24</v>
      </c>
      <c r="D15569" s="2">
        <v>2856.42</v>
      </c>
      <c r="E15569" s="2">
        <v>0</v>
      </c>
      <c r="F15569" t="s">
        <v>8</v>
      </c>
      <c r="G15569" t="s">
        <v>9</v>
      </c>
    </row>
    <row r="15570" spans="1:7" x14ac:dyDescent="0.35">
      <c r="A15570">
        <v>6182</v>
      </c>
      <c r="B15570" s="1">
        <v>45993</v>
      </c>
      <c r="C15570" t="s">
        <v>24</v>
      </c>
      <c r="D15570" s="2">
        <v>0</v>
      </c>
      <c r="E15570" s="2">
        <v>2856.42</v>
      </c>
      <c r="F15570" t="s">
        <v>13</v>
      </c>
      <c r="G15570" t="s">
        <v>9</v>
      </c>
    </row>
    <row r="15571" spans="1:7" x14ac:dyDescent="0.35">
      <c r="A15571">
        <v>6183</v>
      </c>
      <c r="B15571" s="1">
        <v>45993</v>
      </c>
      <c r="C15571" t="s">
        <v>24</v>
      </c>
      <c r="D15571" s="2">
        <v>1340.03</v>
      </c>
      <c r="E15571" s="2">
        <v>0</v>
      </c>
      <c r="F15571" t="s">
        <v>8</v>
      </c>
      <c r="G15571" t="s">
        <v>9</v>
      </c>
    </row>
    <row r="15572" spans="1:7" x14ac:dyDescent="0.35">
      <c r="A15572">
        <v>6183</v>
      </c>
      <c r="B15572" s="1">
        <v>45993</v>
      </c>
      <c r="C15572" t="s">
        <v>24</v>
      </c>
      <c r="D15572" s="2">
        <v>0</v>
      </c>
      <c r="E15572" s="2">
        <v>1340.03</v>
      </c>
      <c r="F15572" t="s">
        <v>13</v>
      </c>
      <c r="G15572" t="s">
        <v>9</v>
      </c>
    </row>
    <row r="15573" spans="1:7" x14ac:dyDescent="0.35">
      <c r="A15573">
        <v>6184</v>
      </c>
      <c r="B15573" s="1">
        <v>45993</v>
      </c>
      <c r="C15573" t="s">
        <v>24</v>
      </c>
      <c r="D15573" s="2">
        <v>148.80000000000001</v>
      </c>
      <c r="E15573" s="2">
        <v>0</v>
      </c>
      <c r="F15573" t="s">
        <v>8</v>
      </c>
      <c r="G15573" t="s">
        <v>9</v>
      </c>
    </row>
    <row r="15574" spans="1:7" x14ac:dyDescent="0.35">
      <c r="A15574">
        <v>6184</v>
      </c>
      <c r="B15574" s="1">
        <v>45993</v>
      </c>
      <c r="C15574" t="s">
        <v>24</v>
      </c>
      <c r="D15574" s="2">
        <v>0</v>
      </c>
      <c r="E15574" s="2">
        <v>148.80000000000001</v>
      </c>
      <c r="F15574" t="s">
        <v>13</v>
      </c>
      <c r="G15574" t="s">
        <v>9</v>
      </c>
    </row>
    <row r="15575" spans="1:7" x14ac:dyDescent="0.35">
      <c r="A15575">
        <v>6185</v>
      </c>
      <c r="B15575" s="1">
        <v>45993</v>
      </c>
      <c r="C15575" t="s">
        <v>24</v>
      </c>
      <c r="D15575" s="2">
        <v>1473.67</v>
      </c>
      <c r="E15575" s="2">
        <v>0</v>
      </c>
      <c r="F15575" t="s">
        <v>8</v>
      </c>
      <c r="G15575" t="s">
        <v>9</v>
      </c>
    </row>
    <row r="15576" spans="1:7" x14ac:dyDescent="0.35">
      <c r="A15576">
        <v>6185</v>
      </c>
      <c r="B15576" s="1">
        <v>45993</v>
      </c>
      <c r="C15576" t="s">
        <v>24</v>
      </c>
      <c r="D15576" s="2">
        <v>0</v>
      </c>
      <c r="E15576" s="2">
        <v>1473.67</v>
      </c>
      <c r="F15576" t="s">
        <v>13</v>
      </c>
      <c r="G15576" t="s">
        <v>9</v>
      </c>
    </row>
    <row r="15577" spans="1:7" x14ac:dyDescent="0.35">
      <c r="A15577">
        <v>6186</v>
      </c>
      <c r="B15577" s="1">
        <v>45993</v>
      </c>
      <c r="C15577" t="s">
        <v>24</v>
      </c>
      <c r="D15577" s="2">
        <v>1895.62</v>
      </c>
      <c r="E15577" s="2">
        <v>0</v>
      </c>
      <c r="F15577" t="s">
        <v>8</v>
      </c>
      <c r="G15577" t="s">
        <v>9</v>
      </c>
    </row>
    <row r="15578" spans="1:7" x14ac:dyDescent="0.35">
      <c r="A15578">
        <v>6186</v>
      </c>
      <c r="B15578" s="1">
        <v>45993</v>
      </c>
      <c r="C15578" t="s">
        <v>24</v>
      </c>
      <c r="D15578" s="2">
        <v>0</v>
      </c>
      <c r="E15578" s="2">
        <v>1895.62</v>
      </c>
      <c r="F15578" t="s">
        <v>13</v>
      </c>
      <c r="G15578" t="s">
        <v>9</v>
      </c>
    </row>
    <row r="15579" spans="1:7" x14ac:dyDescent="0.35">
      <c r="A15579">
        <v>6187</v>
      </c>
      <c r="B15579" s="1">
        <v>45993</v>
      </c>
      <c r="C15579" t="s">
        <v>24</v>
      </c>
      <c r="D15579" s="2">
        <v>3427.65</v>
      </c>
      <c r="E15579" s="2">
        <v>0</v>
      </c>
      <c r="F15579" t="s">
        <v>8</v>
      </c>
      <c r="G15579" t="s">
        <v>9</v>
      </c>
    </row>
    <row r="15580" spans="1:7" x14ac:dyDescent="0.35">
      <c r="A15580">
        <v>6187</v>
      </c>
      <c r="B15580" s="1">
        <v>45993</v>
      </c>
      <c r="C15580" t="s">
        <v>24</v>
      </c>
      <c r="D15580" s="2">
        <v>0</v>
      </c>
      <c r="E15580" s="2">
        <v>3427.65</v>
      </c>
      <c r="F15580" t="s">
        <v>13</v>
      </c>
      <c r="G15580" t="s">
        <v>9</v>
      </c>
    </row>
    <row r="15581" spans="1:7" x14ac:dyDescent="0.35">
      <c r="A15581">
        <v>6188</v>
      </c>
      <c r="B15581" s="1">
        <v>45993</v>
      </c>
      <c r="C15581" t="s">
        <v>24</v>
      </c>
      <c r="D15581" s="2">
        <v>215.49</v>
      </c>
      <c r="E15581" s="2">
        <v>0</v>
      </c>
      <c r="F15581" t="s">
        <v>8</v>
      </c>
      <c r="G15581" t="s">
        <v>9</v>
      </c>
    </row>
    <row r="15582" spans="1:7" x14ac:dyDescent="0.35">
      <c r="A15582">
        <v>6188</v>
      </c>
      <c r="B15582" s="1">
        <v>45993</v>
      </c>
      <c r="C15582" t="s">
        <v>24</v>
      </c>
      <c r="D15582" s="2">
        <v>0</v>
      </c>
      <c r="E15582" s="2">
        <v>215.49</v>
      </c>
      <c r="F15582" t="s">
        <v>13</v>
      </c>
      <c r="G15582" t="s">
        <v>9</v>
      </c>
    </row>
    <row r="15583" spans="1:7" x14ac:dyDescent="0.35">
      <c r="A15583">
        <v>6189</v>
      </c>
      <c r="B15583" s="1">
        <v>45993</v>
      </c>
      <c r="C15583" t="s">
        <v>24</v>
      </c>
      <c r="D15583" s="2">
        <v>149.41</v>
      </c>
      <c r="E15583" s="2">
        <v>0</v>
      </c>
      <c r="F15583" t="s">
        <v>8</v>
      </c>
      <c r="G15583" t="s">
        <v>9</v>
      </c>
    </row>
    <row r="15584" spans="1:7" x14ac:dyDescent="0.35">
      <c r="A15584">
        <v>6189</v>
      </c>
      <c r="B15584" s="1">
        <v>45993</v>
      </c>
      <c r="C15584" t="s">
        <v>24</v>
      </c>
      <c r="D15584" s="2">
        <v>0</v>
      </c>
      <c r="E15584" s="2">
        <v>149.41</v>
      </c>
      <c r="F15584" t="s">
        <v>13</v>
      </c>
      <c r="G15584" t="s">
        <v>9</v>
      </c>
    </row>
    <row r="15585" spans="1:7" x14ac:dyDescent="0.35">
      <c r="A15585">
        <v>6190</v>
      </c>
      <c r="B15585" s="1">
        <v>45993</v>
      </c>
      <c r="C15585" t="s">
        <v>24</v>
      </c>
      <c r="D15585" s="2">
        <v>270.04000000000002</v>
      </c>
      <c r="E15585" s="2">
        <v>0</v>
      </c>
      <c r="F15585" t="s">
        <v>8</v>
      </c>
      <c r="G15585" t="s">
        <v>9</v>
      </c>
    </row>
    <row r="15586" spans="1:7" x14ac:dyDescent="0.35">
      <c r="A15586">
        <v>6190</v>
      </c>
      <c r="B15586" s="1">
        <v>45993</v>
      </c>
      <c r="C15586" t="s">
        <v>24</v>
      </c>
      <c r="D15586" s="2">
        <v>0</v>
      </c>
      <c r="E15586" s="2">
        <v>270.04000000000002</v>
      </c>
      <c r="F15586" t="s">
        <v>13</v>
      </c>
      <c r="G15586" t="s">
        <v>9</v>
      </c>
    </row>
    <row r="15587" spans="1:7" x14ac:dyDescent="0.35">
      <c r="A15587">
        <v>6191</v>
      </c>
      <c r="B15587" s="1">
        <v>45993</v>
      </c>
      <c r="C15587" t="s">
        <v>24</v>
      </c>
      <c r="D15587" s="2">
        <v>3610.64</v>
      </c>
      <c r="E15587" s="2">
        <v>0</v>
      </c>
      <c r="F15587" t="s">
        <v>8</v>
      </c>
      <c r="G15587" t="s">
        <v>9</v>
      </c>
    </row>
    <row r="15588" spans="1:7" x14ac:dyDescent="0.35">
      <c r="A15588">
        <v>6191</v>
      </c>
      <c r="B15588" s="1">
        <v>45993</v>
      </c>
      <c r="C15588" t="s">
        <v>24</v>
      </c>
      <c r="D15588" s="2">
        <v>0</v>
      </c>
      <c r="E15588" s="2">
        <v>3610.64</v>
      </c>
      <c r="F15588" t="s">
        <v>13</v>
      </c>
      <c r="G15588" t="s">
        <v>9</v>
      </c>
    </row>
    <row r="15589" spans="1:7" x14ac:dyDescent="0.35">
      <c r="A15589">
        <v>6192</v>
      </c>
      <c r="B15589" s="1">
        <v>45993</v>
      </c>
      <c r="C15589" t="s">
        <v>24</v>
      </c>
      <c r="D15589" s="2">
        <v>522.30999999999995</v>
      </c>
      <c r="E15589" s="2">
        <v>0</v>
      </c>
      <c r="F15589" t="s">
        <v>8</v>
      </c>
      <c r="G15589" t="s">
        <v>9</v>
      </c>
    </row>
    <row r="15590" spans="1:7" x14ac:dyDescent="0.35">
      <c r="A15590">
        <v>6192</v>
      </c>
      <c r="B15590" s="1">
        <v>45993</v>
      </c>
      <c r="C15590" t="s">
        <v>24</v>
      </c>
      <c r="D15590" s="2">
        <v>0</v>
      </c>
      <c r="E15590" s="2">
        <v>522.30999999999995</v>
      </c>
      <c r="F15590" t="s">
        <v>13</v>
      </c>
      <c r="G15590" t="s">
        <v>9</v>
      </c>
    </row>
    <row r="15591" spans="1:7" x14ac:dyDescent="0.35">
      <c r="A15591">
        <v>6193</v>
      </c>
      <c r="B15591" s="1">
        <v>45993</v>
      </c>
      <c r="C15591" t="s">
        <v>24</v>
      </c>
      <c r="D15591" s="2">
        <v>2002.97</v>
      </c>
      <c r="E15591" s="2">
        <v>0</v>
      </c>
      <c r="F15591" t="s">
        <v>8</v>
      </c>
      <c r="G15591" t="s">
        <v>9</v>
      </c>
    </row>
    <row r="15592" spans="1:7" x14ac:dyDescent="0.35">
      <c r="A15592">
        <v>6193</v>
      </c>
      <c r="B15592" s="1">
        <v>45993</v>
      </c>
      <c r="C15592" t="s">
        <v>24</v>
      </c>
      <c r="D15592" s="2">
        <v>0</v>
      </c>
      <c r="E15592" s="2">
        <v>2002.97</v>
      </c>
      <c r="F15592" t="s">
        <v>13</v>
      </c>
      <c r="G15592" t="s">
        <v>9</v>
      </c>
    </row>
    <row r="15593" spans="1:7" x14ac:dyDescent="0.35">
      <c r="A15593">
        <v>6194</v>
      </c>
      <c r="B15593" s="1">
        <v>45993</v>
      </c>
      <c r="C15593" t="s">
        <v>24</v>
      </c>
      <c r="D15593" s="2">
        <v>3772.87</v>
      </c>
      <c r="E15593" s="2">
        <v>0</v>
      </c>
      <c r="F15593" t="s">
        <v>8</v>
      </c>
      <c r="G15593" t="s">
        <v>9</v>
      </c>
    </row>
    <row r="15594" spans="1:7" x14ac:dyDescent="0.35">
      <c r="A15594">
        <v>6194</v>
      </c>
      <c r="B15594" s="1">
        <v>45993</v>
      </c>
      <c r="C15594" t="s">
        <v>24</v>
      </c>
      <c r="D15594" s="2">
        <v>0</v>
      </c>
      <c r="E15594" s="2">
        <v>3772.87</v>
      </c>
      <c r="F15594" t="s">
        <v>13</v>
      </c>
      <c r="G15594" t="s">
        <v>9</v>
      </c>
    </row>
    <row r="15595" spans="1:7" x14ac:dyDescent="0.35">
      <c r="A15595">
        <v>6195</v>
      </c>
      <c r="B15595" s="1">
        <v>45993</v>
      </c>
      <c r="C15595" t="s">
        <v>24</v>
      </c>
      <c r="D15595" s="2">
        <v>945.65</v>
      </c>
      <c r="E15595" s="2">
        <v>0</v>
      </c>
      <c r="F15595" t="s">
        <v>8</v>
      </c>
      <c r="G15595" t="s">
        <v>9</v>
      </c>
    </row>
    <row r="15596" spans="1:7" x14ac:dyDescent="0.35">
      <c r="A15596">
        <v>6195</v>
      </c>
      <c r="B15596" s="1">
        <v>45993</v>
      </c>
      <c r="C15596" t="s">
        <v>24</v>
      </c>
      <c r="D15596" s="2">
        <v>0</v>
      </c>
      <c r="E15596" s="2">
        <v>945.65</v>
      </c>
      <c r="F15596" t="s">
        <v>13</v>
      </c>
      <c r="G15596" t="s">
        <v>9</v>
      </c>
    </row>
    <row r="15597" spans="1:7" x14ac:dyDescent="0.35">
      <c r="A15597">
        <v>6196</v>
      </c>
      <c r="B15597" s="1">
        <v>45993</v>
      </c>
      <c r="C15597" t="s">
        <v>25</v>
      </c>
      <c r="D15597" s="2">
        <v>383.76</v>
      </c>
      <c r="E15597" s="2">
        <v>0</v>
      </c>
      <c r="F15597" t="s">
        <v>26</v>
      </c>
      <c r="G15597" t="s">
        <v>20</v>
      </c>
    </row>
    <row r="15598" spans="1:7" x14ac:dyDescent="0.35">
      <c r="A15598">
        <v>6196</v>
      </c>
      <c r="B15598" s="1">
        <v>45993</v>
      </c>
      <c r="C15598" t="s">
        <v>25</v>
      </c>
      <c r="D15598" s="2">
        <v>28.78</v>
      </c>
      <c r="E15598" s="2">
        <v>0</v>
      </c>
      <c r="F15598" t="s">
        <v>27</v>
      </c>
      <c r="G15598" t="s">
        <v>9</v>
      </c>
    </row>
    <row r="15599" spans="1:7" x14ac:dyDescent="0.35">
      <c r="A15599">
        <v>6196</v>
      </c>
      <c r="B15599" s="1">
        <v>45993</v>
      </c>
      <c r="C15599" t="s">
        <v>25</v>
      </c>
      <c r="D15599" s="2">
        <v>0</v>
      </c>
      <c r="E15599" s="2">
        <v>412.54</v>
      </c>
      <c r="F15599" t="s">
        <v>28</v>
      </c>
      <c r="G15599" t="s">
        <v>17</v>
      </c>
    </row>
    <row r="15600" spans="1:7" x14ac:dyDescent="0.35">
      <c r="A15600">
        <v>6197</v>
      </c>
      <c r="B15600" s="1">
        <v>45993</v>
      </c>
      <c r="C15600" t="s">
        <v>29</v>
      </c>
      <c r="D15600" s="2">
        <v>412.54</v>
      </c>
      <c r="E15600" s="2">
        <v>0</v>
      </c>
      <c r="F15600" t="s">
        <v>28</v>
      </c>
      <c r="G15600" t="s">
        <v>17</v>
      </c>
    </row>
    <row r="15601" spans="1:7" x14ac:dyDescent="0.35">
      <c r="A15601">
        <v>6197</v>
      </c>
      <c r="B15601" s="1">
        <v>45993</v>
      </c>
      <c r="C15601" t="s">
        <v>29</v>
      </c>
      <c r="D15601" s="2">
        <v>0</v>
      </c>
      <c r="E15601" s="2">
        <v>412.54</v>
      </c>
      <c r="F15601" t="s">
        <v>8</v>
      </c>
      <c r="G15601" t="s">
        <v>9</v>
      </c>
    </row>
    <row r="15602" spans="1:7" x14ac:dyDescent="0.35">
      <c r="A15602">
        <v>6198</v>
      </c>
      <c r="B15602" s="1">
        <v>45994</v>
      </c>
      <c r="C15602" t="s">
        <v>12</v>
      </c>
      <c r="D15602" s="2">
        <v>2556.67</v>
      </c>
      <c r="E15602" s="2">
        <v>0</v>
      </c>
      <c r="F15602" t="s">
        <v>13</v>
      </c>
      <c r="G15602" t="s">
        <v>9</v>
      </c>
    </row>
    <row r="15603" spans="1:7" x14ac:dyDescent="0.35">
      <c r="A15603">
        <v>6198</v>
      </c>
      <c r="B15603" s="1">
        <v>45994</v>
      </c>
      <c r="C15603" t="s">
        <v>12</v>
      </c>
      <c r="D15603" s="2">
        <v>0</v>
      </c>
      <c r="E15603" s="2">
        <v>2378.3000000000002</v>
      </c>
      <c r="F15603" t="s">
        <v>14</v>
      </c>
      <c r="G15603" t="s">
        <v>15</v>
      </c>
    </row>
    <row r="15604" spans="1:7" x14ac:dyDescent="0.35">
      <c r="A15604">
        <v>6198</v>
      </c>
      <c r="B15604" s="1">
        <v>45994</v>
      </c>
      <c r="C15604" t="s">
        <v>12</v>
      </c>
      <c r="D15604" s="2">
        <v>0</v>
      </c>
      <c r="E15604" s="2">
        <v>178.37</v>
      </c>
      <c r="F15604" t="s">
        <v>16</v>
      </c>
      <c r="G15604" t="s">
        <v>17</v>
      </c>
    </row>
    <row r="15605" spans="1:7" x14ac:dyDescent="0.35">
      <c r="A15605">
        <v>6199</v>
      </c>
      <c r="B15605" s="1">
        <v>45994</v>
      </c>
      <c r="C15605" t="s">
        <v>12</v>
      </c>
      <c r="D15605" s="2">
        <v>1051.6500000000001</v>
      </c>
      <c r="E15605" s="2">
        <v>0</v>
      </c>
      <c r="F15605" t="s">
        <v>13</v>
      </c>
      <c r="G15605" t="s">
        <v>9</v>
      </c>
    </row>
    <row r="15606" spans="1:7" x14ac:dyDescent="0.35">
      <c r="A15606">
        <v>6199</v>
      </c>
      <c r="B15606" s="1">
        <v>45994</v>
      </c>
      <c r="C15606" t="s">
        <v>12</v>
      </c>
      <c r="D15606" s="2">
        <v>0</v>
      </c>
      <c r="E15606" s="2">
        <v>978.28</v>
      </c>
      <c r="F15606" t="s">
        <v>14</v>
      </c>
      <c r="G15606" t="s">
        <v>15</v>
      </c>
    </row>
    <row r="15607" spans="1:7" x14ac:dyDescent="0.35">
      <c r="A15607">
        <v>6199</v>
      </c>
      <c r="B15607" s="1">
        <v>45994</v>
      </c>
      <c r="C15607" t="s">
        <v>12</v>
      </c>
      <c r="D15607" s="2">
        <v>0</v>
      </c>
      <c r="E15607" s="2">
        <v>73.37</v>
      </c>
      <c r="F15607" t="s">
        <v>16</v>
      </c>
      <c r="G15607" t="s">
        <v>17</v>
      </c>
    </row>
    <row r="15608" spans="1:7" x14ac:dyDescent="0.35">
      <c r="A15608">
        <v>6200</v>
      </c>
      <c r="B15608" s="1">
        <v>45994</v>
      </c>
      <c r="C15608" t="s">
        <v>12</v>
      </c>
      <c r="D15608" s="2">
        <v>2129.62</v>
      </c>
      <c r="E15608" s="2">
        <v>0</v>
      </c>
      <c r="F15608" t="s">
        <v>13</v>
      </c>
      <c r="G15608" t="s">
        <v>9</v>
      </c>
    </row>
    <row r="15609" spans="1:7" x14ac:dyDescent="0.35">
      <c r="A15609">
        <v>6200</v>
      </c>
      <c r="B15609" s="1">
        <v>45994</v>
      </c>
      <c r="C15609" t="s">
        <v>12</v>
      </c>
      <c r="D15609" s="2">
        <v>0</v>
      </c>
      <c r="E15609" s="2">
        <v>1981.04</v>
      </c>
      <c r="F15609" t="s">
        <v>14</v>
      </c>
      <c r="G15609" t="s">
        <v>15</v>
      </c>
    </row>
    <row r="15610" spans="1:7" x14ac:dyDescent="0.35">
      <c r="A15610">
        <v>6200</v>
      </c>
      <c r="B15610" s="1">
        <v>45994</v>
      </c>
      <c r="C15610" t="s">
        <v>12</v>
      </c>
      <c r="D15610" s="2">
        <v>0</v>
      </c>
      <c r="E15610" s="2">
        <v>148.58000000000001</v>
      </c>
      <c r="F15610" t="s">
        <v>16</v>
      </c>
      <c r="G15610" t="s">
        <v>17</v>
      </c>
    </row>
    <row r="15611" spans="1:7" x14ac:dyDescent="0.35">
      <c r="A15611">
        <v>6201</v>
      </c>
      <c r="B15611" s="1">
        <v>45994</v>
      </c>
      <c r="C15611" t="s">
        <v>12</v>
      </c>
      <c r="D15611" s="2">
        <v>64.67</v>
      </c>
      <c r="E15611" s="2">
        <v>0</v>
      </c>
      <c r="F15611" t="s">
        <v>13</v>
      </c>
      <c r="G15611" t="s">
        <v>9</v>
      </c>
    </row>
    <row r="15612" spans="1:7" x14ac:dyDescent="0.35">
      <c r="A15612">
        <v>6201</v>
      </c>
      <c r="B15612" s="1">
        <v>45994</v>
      </c>
      <c r="C15612" t="s">
        <v>12</v>
      </c>
      <c r="D15612" s="2">
        <v>0</v>
      </c>
      <c r="E15612" s="2">
        <v>60.16</v>
      </c>
      <c r="F15612" t="s">
        <v>14</v>
      </c>
      <c r="G15612" t="s">
        <v>15</v>
      </c>
    </row>
    <row r="15613" spans="1:7" x14ac:dyDescent="0.35">
      <c r="A15613">
        <v>6201</v>
      </c>
      <c r="B15613" s="1">
        <v>45994</v>
      </c>
      <c r="C15613" t="s">
        <v>12</v>
      </c>
      <c r="D15613" s="2">
        <v>0</v>
      </c>
      <c r="E15613" s="2">
        <v>4.51</v>
      </c>
      <c r="F15613" t="s">
        <v>16</v>
      </c>
      <c r="G15613" t="s">
        <v>17</v>
      </c>
    </row>
    <row r="15614" spans="1:7" x14ac:dyDescent="0.35">
      <c r="A15614">
        <v>6202</v>
      </c>
      <c r="B15614" s="1">
        <v>45994</v>
      </c>
      <c r="C15614" t="s">
        <v>12</v>
      </c>
      <c r="D15614" s="2">
        <v>612.86</v>
      </c>
      <c r="E15614" s="2">
        <v>0</v>
      </c>
      <c r="F15614" t="s">
        <v>13</v>
      </c>
      <c r="G15614" t="s">
        <v>9</v>
      </c>
    </row>
    <row r="15615" spans="1:7" x14ac:dyDescent="0.35">
      <c r="A15615">
        <v>6202</v>
      </c>
      <c r="B15615" s="1">
        <v>45994</v>
      </c>
      <c r="C15615" t="s">
        <v>12</v>
      </c>
      <c r="D15615" s="2">
        <v>0</v>
      </c>
      <c r="E15615" s="2">
        <v>570.1</v>
      </c>
      <c r="F15615" t="s">
        <v>14</v>
      </c>
      <c r="G15615" t="s">
        <v>15</v>
      </c>
    </row>
    <row r="15616" spans="1:7" x14ac:dyDescent="0.35">
      <c r="A15616">
        <v>6202</v>
      </c>
      <c r="B15616" s="1">
        <v>45994</v>
      </c>
      <c r="C15616" t="s">
        <v>12</v>
      </c>
      <c r="D15616" s="2">
        <v>0</v>
      </c>
      <c r="E15616" s="2">
        <v>42.76</v>
      </c>
      <c r="F15616" t="s">
        <v>16</v>
      </c>
      <c r="G15616" t="s">
        <v>17</v>
      </c>
    </row>
    <row r="15617" spans="1:7" x14ac:dyDescent="0.35">
      <c r="A15617">
        <v>6203</v>
      </c>
      <c r="B15617" s="1">
        <v>45994</v>
      </c>
      <c r="C15617" t="s">
        <v>12</v>
      </c>
      <c r="D15617" s="2">
        <v>83.5</v>
      </c>
      <c r="E15617" s="2">
        <v>0</v>
      </c>
      <c r="F15617" t="s">
        <v>13</v>
      </c>
      <c r="G15617" t="s">
        <v>9</v>
      </c>
    </row>
    <row r="15618" spans="1:7" x14ac:dyDescent="0.35">
      <c r="A15618">
        <v>6203</v>
      </c>
      <c r="B15618" s="1">
        <v>45994</v>
      </c>
      <c r="C15618" t="s">
        <v>12</v>
      </c>
      <c r="D15618" s="2">
        <v>0</v>
      </c>
      <c r="E15618" s="2">
        <v>77.67</v>
      </c>
      <c r="F15618" t="s">
        <v>14</v>
      </c>
      <c r="G15618" t="s">
        <v>15</v>
      </c>
    </row>
    <row r="15619" spans="1:7" x14ac:dyDescent="0.35">
      <c r="A15619">
        <v>6203</v>
      </c>
      <c r="B15619" s="1">
        <v>45994</v>
      </c>
      <c r="C15619" t="s">
        <v>12</v>
      </c>
      <c r="D15619" s="2">
        <v>0</v>
      </c>
      <c r="E15619" s="2">
        <v>5.83</v>
      </c>
      <c r="F15619" t="s">
        <v>16</v>
      </c>
      <c r="G15619" t="s">
        <v>17</v>
      </c>
    </row>
    <row r="15620" spans="1:7" x14ac:dyDescent="0.35">
      <c r="A15620">
        <v>6204</v>
      </c>
      <c r="B15620" s="1">
        <v>45994</v>
      </c>
      <c r="C15620" t="s">
        <v>12</v>
      </c>
      <c r="D15620" s="2">
        <v>2048.67</v>
      </c>
      <c r="E15620" s="2">
        <v>0</v>
      </c>
      <c r="F15620" t="s">
        <v>13</v>
      </c>
      <c r="G15620" t="s">
        <v>9</v>
      </c>
    </row>
    <row r="15621" spans="1:7" x14ac:dyDescent="0.35">
      <c r="A15621">
        <v>6204</v>
      </c>
      <c r="B15621" s="1">
        <v>45994</v>
      </c>
      <c r="C15621" t="s">
        <v>12</v>
      </c>
      <c r="D15621" s="2">
        <v>0</v>
      </c>
      <c r="E15621" s="2">
        <v>1905.73</v>
      </c>
      <c r="F15621" t="s">
        <v>14</v>
      </c>
      <c r="G15621" t="s">
        <v>15</v>
      </c>
    </row>
    <row r="15622" spans="1:7" x14ac:dyDescent="0.35">
      <c r="A15622">
        <v>6204</v>
      </c>
      <c r="B15622" s="1">
        <v>45994</v>
      </c>
      <c r="C15622" t="s">
        <v>12</v>
      </c>
      <c r="D15622" s="2">
        <v>0</v>
      </c>
      <c r="E15622" s="2">
        <v>142.94</v>
      </c>
      <c r="F15622" t="s">
        <v>16</v>
      </c>
      <c r="G15622" t="s">
        <v>17</v>
      </c>
    </row>
    <row r="15623" spans="1:7" x14ac:dyDescent="0.35">
      <c r="A15623">
        <v>6205</v>
      </c>
      <c r="B15623" s="1">
        <v>45994</v>
      </c>
      <c r="C15623" t="s">
        <v>12</v>
      </c>
      <c r="D15623" s="2">
        <v>4159.1000000000004</v>
      </c>
      <c r="E15623" s="2">
        <v>0</v>
      </c>
      <c r="F15623" t="s">
        <v>13</v>
      </c>
      <c r="G15623" t="s">
        <v>9</v>
      </c>
    </row>
    <row r="15624" spans="1:7" x14ac:dyDescent="0.35">
      <c r="A15624">
        <v>6205</v>
      </c>
      <c r="B15624" s="1">
        <v>45994</v>
      </c>
      <c r="C15624" t="s">
        <v>12</v>
      </c>
      <c r="D15624" s="2">
        <v>0</v>
      </c>
      <c r="E15624" s="2">
        <v>3868.93</v>
      </c>
      <c r="F15624" t="s">
        <v>14</v>
      </c>
      <c r="G15624" t="s">
        <v>15</v>
      </c>
    </row>
    <row r="15625" spans="1:7" x14ac:dyDescent="0.35">
      <c r="A15625">
        <v>6205</v>
      </c>
      <c r="B15625" s="1">
        <v>45994</v>
      </c>
      <c r="C15625" t="s">
        <v>12</v>
      </c>
      <c r="D15625" s="2">
        <v>0</v>
      </c>
      <c r="E15625" s="2">
        <v>290.17</v>
      </c>
      <c r="F15625" t="s">
        <v>16</v>
      </c>
      <c r="G15625" t="s">
        <v>17</v>
      </c>
    </row>
    <row r="15626" spans="1:7" x14ac:dyDescent="0.35">
      <c r="A15626">
        <v>6206</v>
      </c>
      <c r="B15626" s="1">
        <v>45994</v>
      </c>
      <c r="C15626" t="s">
        <v>12</v>
      </c>
      <c r="D15626" s="2">
        <v>2385.29</v>
      </c>
      <c r="E15626" s="2">
        <v>0</v>
      </c>
      <c r="F15626" t="s">
        <v>13</v>
      </c>
      <c r="G15626" t="s">
        <v>9</v>
      </c>
    </row>
    <row r="15627" spans="1:7" x14ac:dyDescent="0.35">
      <c r="A15627">
        <v>6206</v>
      </c>
      <c r="B15627" s="1">
        <v>45994</v>
      </c>
      <c r="C15627" t="s">
        <v>12</v>
      </c>
      <c r="D15627" s="2">
        <v>0</v>
      </c>
      <c r="E15627" s="2">
        <v>2218.88</v>
      </c>
      <c r="F15627" t="s">
        <v>14</v>
      </c>
      <c r="G15627" t="s">
        <v>15</v>
      </c>
    </row>
    <row r="15628" spans="1:7" x14ac:dyDescent="0.35">
      <c r="A15628">
        <v>6206</v>
      </c>
      <c r="B15628" s="1">
        <v>45994</v>
      </c>
      <c r="C15628" t="s">
        <v>12</v>
      </c>
      <c r="D15628" s="2">
        <v>0</v>
      </c>
      <c r="E15628" s="2">
        <v>166.41</v>
      </c>
      <c r="F15628" t="s">
        <v>16</v>
      </c>
      <c r="G15628" t="s">
        <v>17</v>
      </c>
    </row>
    <row r="15629" spans="1:7" x14ac:dyDescent="0.35">
      <c r="A15629">
        <v>6207</v>
      </c>
      <c r="B15629" s="1">
        <v>45994</v>
      </c>
      <c r="C15629" t="s">
        <v>12</v>
      </c>
      <c r="D15629" s="2">
        <v>2360.12</v>
      </c>
      <c r="E15629" s="2">
        <v>0</v>
      </c>
      <c r="F15629" t="s">
        <v>13</v>
      </c>
      <c r="G15629" t="s">
        <v>9</v>
      </c>
    </row>
    <row r="15630" spans="1:7" x14ac:dyDescent="0.35">
      <c r="A15630">
        <v>6207</v>
      </c>
      <c r="B15630" s="1">
        <v>45994</v>
      </c>
      <c r="C15630" t="s">
        <v>12</v>
      </c>
      <c r="D15630" s="2">
        <v>0</v>
      </c>
      <c r="E15630" s="2">
        <v>2195.4699999999998</v>
      </c>
      <c r="F15630" t="s">
        <v>14</v>
      </c>
      <c r="G15630" t="s">
        <v>15</v>
      </c>
    </row>
    <row r="15631" spans="1:7" x14ac:dyDescent="0.35">
      <c r="A15631">
        <v>6207</v>
      </c>
      <c r="B15631" s="1">
        <v>45994</v>
      </c>
      <c r="C15631" t="s">
        <v>12</v>
      </c>
      <c r="D15631" s="2">
        <v>0</v>
      </c>
      <c r="E15631" s="2">
        <v>164.65</v>
      </c>
      <c r="F15631" t="s">
        <v>16</v>
      </c>
      <c r="G15631" t="s">
        <v>17</v>
      </c>
    </row>
    <row r="15632" spans="1:7" x14ac:dyDescent="0.35">
      <c r="A15632">
        <v>6208</v>
      </c>
      <c r="B15632" s="1">
        <v>45994</v>
      </c>
      <c r="C15632" t="s">
        <v>12</v>
      </c>
      <c r="D15632" s="2">
        <v>5630.46</v>
      </c>
      <c r="E15632" s="2">
        <v>0</v>
      </c>
      <c r="F15632" t="s">
        <v>13</v>
      </c>
      <c r="G15632" t="s">
        <v>9</v>
      </c>
    </row>
    <row r="15633" spans="1:7" x14ac:dyDescent="0.35">
      <c r="A15633">
        <v>6208</v>
      </c>
      <c r="B15633" s="1">
        <v>45994</v>
      </c>
      <c r="C15633" t="s">
        <v>12</v>
      </c>
      <c r="D15633" s="2">
        <v>0</v>
      </c>
      <c r="E15633" s="2">
        <v>5237.6400000000003</v>
      </c>
      <c r="F15633" t="s">
        <v>14</v>
      </c>
      <c r="G15633" t="s">
        <v>15</v>
      </c>
    </row>
    <row r="15634" spans="1:7" x14ac:dyDescent="0.35">
      <c r="A15634">
        <v>6208</v>
      </c>
      <c r="B15634" s="1">
        <v>45994</v>
      </c>
      <c r="C15634" t="s">
        <v>12</v>
      </c>
      <c r="D15634" s="2">
        <v>0</v>
      </c>
      <c r="E15634" s="2">
        <v>392.82</v>
      </c>
      <c r="F15634" t="s">
        <v>16</v>
      </c>
      <c r="G15634" t="s">
        <v>17</v>
      </c>
    </row>
    <row r="15635" spans="1:7" x14ac:dyDescent="0.35">
      <c r="A15635">
        <v>6209</v>
      </c>
      <c r="B15635" s="1">
        <v>45994</v>
      </c>
      <c r="C15635" t="s">
        <v>12</v>
      </c>
      <c r="D15635" s="2">
        <v>639.07000000000005</v>
      </c>
      <c r="E15635" s="2">
        <v>0</v>
      </c>
      <c r="F15635" t="s">
        <v>13</v>
      </c>
      <c r="G15635" t="s">
        <v>9</v>
      </c>
    </row>
    <row r="15636" spans="1:7" x14ac:dyDescent="0.35">
      <c r="A15636">
        <v>6209</v>
      </c>
      <c r="B15636" s="1">
        <v>45994</v>
      </c>
      <c r="C15636" t="s">
        <v>12</v>
      </c>
      <c r="D15636" s="2">
        <v>0</v>
      </c>
      <c r="E15636" s="2">
        <v>594.48</v>
      </c>
      <c r="F15636" t="s">
        <v>14</v>
      </c>
      <c r="G15636" t="s">
        <v>15</v>
      </c>
    </row>
    <row r="15637" spans="1:7" x14ac:dyDescent="0.35">
      <c r="A15637">
        <v>6209</v>
      </c>
      <c r="B15637" s="1">
        <v>45994</v>
      </c>
      <c r="C15637" t="s">
        <v>12</v>
      </c>
      <c r="D15637" s="2">
        <v>0</v>
      </c>
      <c r="E15637" s="2">
        <v>44.59</v>
      </c>
      <c r="F15637" t="s">
        <v>16</v>
      </c>
      <c r="G15637" t="s">
        <v>17</v>
      </c>
    </row>
    <row r="15638" spans="1:7" x14ac:dyDescent="0.35">
      <c r="A15638">
        <v>6210</v>
      </c>
      <c r="B15638" s="1">
        <v>45994</v>
      </c>
      <c r="C15638" t="s">
        <v>12</v>
      </c>
      <c r="D15638" s="2">
        <v>56.12</v>
      </c>
      <c r="E15638" s="2">
        <v>0</v>
      </c>
      <c r="F15638" t="s">
        <v>13</v>
      </c>
      <c r="G15638" t="s">
        <v>9</v>
      </c>
    </row>
    <row r="15639" spans="1:7" x14ac:dyDescent="0.35">
      <c r="A15639">
        <v>6210</v>
      </c>
      <c r="B15639" s="1">
        <v>45994</v>
      </c>
      <c r="C15639" t="s">
        <v>12</v>
      </c>
      <c r="D15639" s="2">
        <v>0</v>
      </c>
      <c r="E15639" s="2">
        <v>52.2</v>
      </c>
      <c r="F15639" t="s">
        <v>14</v>
      </c>
      <c r="G15639" t="s">
        <v>15</v>
      </c>
    </row>
    <row r="15640" spans="1:7" x14ac:dyDescent="0.35">
      <c r="A15640">
        <v>6210</v>
      </c>
      <c r="B15640" s="1">
        <v>45994</v>
      </c>
      <c r="C15640" t="s">
        <v>12</v>
      </c>
      <c r="D15640" s="2">
        <v>0</v>
      </c>
      <c r="E15640" s="2">
        <v>3.92</v>
      </c>
      <c r="F15640" t="s">
        <v>16</v>
      </c>
      <c r="G15640" t="s">
        <v>17</v>
      </c>
    </row>
    <row r="15641" spans="1:7" x14ac:dyDescent="0.35">
      <c r="A15641">
        <v>6211</v>
      </c>
      <c r="B15641" s="1">
        <v>45994</v>
      </c>
      <c r="C15641" t="s">
        <v>12</v>
      </c>
      <c r="D15641" s="2">
        <v>660.49</v>
      </c>
      <c r="E15641" s="2">
        <v>0</v>
      </c>
      <c r="F15641" t="s">
        <v>13</v>
      </c>
      <c r="G15641" t="s">
        <v>9</v>
      </c>
    </row>
    <row r="15642" spans="1:7" x14ac:dyDescent="0.35">
      <c r="A15642">
        <v>6211</v>
      </c>
      <c r="B15642" s="1">
        <v>45994</v>
      </c>
      <c r="C15642" t="s">
        <v>12</v>
      </c>
      <c r="D15642" s="2">
        <v>0</v>
      </c>
      <c r="E15642" s="2">
        <v>614.41</v>
      </c>
      <c r="F15642" t="s">
        <v>14</v>
      </c>
      <c r="G15642" t="s">
        <v>15</v>
      </c>
    </row>
    <row r="15643" spans="1:7" x14ac:dyDescent="0.35">
      <c r="A15643">
        <v>6211</v>
      </c>
      <c r="B15643" s="1">
        <v>45994</v>
      </c>
      <c r="C15643" t="s">
        <v>12</v>
      </c>
      <c r="D15643" s="2">
        <v>0</v>
      </c>
      <c r="E15643" s="2">
        <v>46.08</v>
      </c>
      <c r="F15643" t="s">
        <v>16</v>
      </c>
      <c r="G15643" t="s">
        <v>17</v>
      </c>
    </row>
    <row r="15644" spans="1:7" x14ac:dyDescent="0.35">
      <c r="A15644">
        <v>6212</v>
      </c>
      <c r="B15644" s="1">
        <v>45994</v>
      </c>
      <c r="C15644" t="s">
        <v>12</v>
      </c>
      <c r="D15644" s="2">
        <v>3103.12</v>
      </c>
      <c r="E15644" s="2">
        <v>0</v>
      </c>
      <c r="F15644" t="s">
        <v>13</v>
      </c>
      <c r="G15644" t="s">
        <v>9</v>
      </c>
    </row>
    <row r="15645" spans="1:7" x14ac:dyDescent="0.35">
      <c r="A15645">
        <v>6212</v>
      </c>
      <c r="B15645" s="1">
        <v>45994</v>
      </c>
      <c r="C15645" t="s">
        <v>12</v>
      </c>
      <c r="D15645" s="2">
        <v>0</v>
      </c>
      <c r="E15645" s="2">
        <v>2886.62</v>
      </c>
      <c r="F15645" t="s">
        <v>14</v>
      </c>
      <c r="G15645" t="s">
        <v>15</v>
      </c>
    </row>
    <row r="15646" spans="1:7" x14ac:dyDescent="0.35">
      <c r="A15646">
        <v>6212</v>
      </c>
      <c r="B15646" s="1">
        <v>45994</v>
      </c>
      <c r="C15646" t="s">
        <v>12</v>
      </c>
      <c r="D15646" s="2">
        <v>0</v>
      </c>
      <c r="E15646" s="2">
        <v>216.5</v>
      </c>
      <c r="F15646" t="s">
        <v>16</v>
      </c>
      <c r="G15646" t="s">
        <v>17</v>
      </c>
    </row>
    <row r="15647" spans="1:7" x14ac:dyDescent="0.35">
      <c r="A15647">
        <v>6213</v>
      </c>
      <c r="B15647" s="1">
        <v>45994</v>
      </c>
      <c r="C15647" t="s">
        <v>12</v>
      </c>
      <c r="D15647" s="2">
        <v>810.47</v>
      </c>
      <c r="E15647" s="2">
        <v>0</v>
      </c>
      <c r="F15647" t="s">
        <v>13</v>
      </c>
      <c r="G15647" t="s">
        <v>9</v>
      </c>
    </row>
    <row r="15648" spans="1:7" x14ac:dyDescent="0.35">
      <c r="A15648">
        <v>6213</v>
      </c>
      <c r="B15648" s="1">
        <v>45994</v>
      </c>
      <c r="C15648" t="s">
        <v>12</v>
      </c>
      <c r="D15648" s="2">
        <v>0</v>
      </c>
      <c r="E15648" s="2">
        <v>753.92</v>
      </c>
      <c r="F15648" t="s">
        <v>14</v>
      </c>
      <c r="G15648" t="s">
        <v>15</v>
      </c>
    </row>
    <row r="15649" spans="1:7" x14ac:dyDescent="0.35">
      <c r="A15649">
        <v>6213</v>
      </c>
      <c r="B15649" s="1">
        <v>45994</v>
      </c>
      <c r="C15649" t="s">
        <v>12</v>
      </c>
      <c r="D15649" s="2">
        <v>0</v>
      </c>
      <c r="E15649" s="2">
        <v>56.55</v>
      </c>
      <c r="F15649" t="s">
        <v>16</v>
      </c>
      <c r="G15649" t="s">
        <v>17</v>
      </c>
    </row>
    <row r="15650" spans="1:7" x14ac:dyDescent="0.35">
      <c r="A15650">
        <v>6214</v>
      </c>
      <c r="B15650" s="1">
        <v>45994</v>
      </c>
      <c r="C15650" t="s">
        <v>24</v>
      </c>
      <c r="D15650" s="2">
        <v>224.17</v>
      </c>
      <c r="E15650" s="2">
        <v>0</v>
      </c>
      <c r="F15650" t="s">
        <v>8</v>
      </c>
      <c r="G15650" t="s">
        <v>9</v>
      </c>
    </row>
    <row r="15651" spans="1:7" x14ac:dyDescent="0.35">
      <c r="A15651">
        <v>6214</v>
      </c>
      <c r="B15651" s="1">
        <v>45994</v>
      </c>
      <c r="C15651" t="s">
        <v>24</v>
      </c>
      <c r="D15651" s="2">
        <v>0</v>
      </c>
      <c r="E15651" s="2">
        <v>224.17</v>
      </c>
      <c r="F15651" t="s">
        <v>13</v>
      </c>
      <c r="G15651" t="s">
        <v>9</v>
      </c>
    </row>
    <row r="15652" spans="1:7" x14ac:dyDescent="0.35">
      <c r="A15652">
        <v>6215</v>
      </c>
      <c r="B15652" s="1">
        <v>45994</v>
      </c>
      <c r="C15652" t="s">
        <v>24</v>
      </c>
      <c r="D15652" s="2">
        <v>3991.68</v>
      </c>
      <c r="E15652" s="2">
        <v>0</v>
      </c>
      <c r="F15652" t="s">
        <v>8</v>
      </c>
      <c r="G15652" t="s">
        <v>9</v>
      </c>
    </row>
    <row r="15653" spans="1:7" x14ac:dyDescent="0.35">
      <c r="A15653">
        <v>6215</v>
      </c>
      <c r="B15653" s="1">
        <v>45994</v>
      </c>
      <c r="C15653" t="s">
        <v>24</v>
      </c>
      <c r="D15653" s="2">
        <v>0</v>
      </c>
      <c r="E15653" s="2">
        <v>3991.68</v>
      </c>
      <c r="F15653" t="s">
        <v>13</v>
      </c>
      <c r="G15653" t="s">
        <v>9</v>
      </c>
    </row>
    <row r="15654" spans="1:7" x14ac:dyDescent="0.35">
      <c r="A15654">
        <v>6216</v>
      </c>
      <c r="B15654" s="1">
        <v>45994</v>
      </c>
      <c r="C15654" t="s">
        <v>24</v>
      </c>
      <c r="D15654" s="2">
        <v>3057.94</v>
      </c>
      <c r="E15654" s="2">
        <v>0</v>
      </c>
      <c r="F15654" t="s">
        <v>8</v>
      </c>
      <c r="G15654" t="s">
        <v>9</v>
      </c>
    </row>
    <row r="15655" spans="1:7" x14ac:dyDescent="0.35">
      <c r="A15655">
        <v>6216</v>
      </c>
      <c r="B15655" s="1">
        <v>45994</v>
      </c>
      <c r="C15655" t="s">
        <v>24</v>
      </c>
      <c r="D15655" s="2">
        <v>0</v>
      </c>
      <c r="E15655" s="2">
        <v>3057.94</v>
      </c>
      <c r="F15655" t="s">
        <v>13</v>
      </c>
      <c r="G15655" t="s">
        <v>9</v>
      </c>
    </row>
    <row r="15656" spans="1:7" x14ac:dyDescent="0.35">
      <c r="A15656">
        <v>6217</v>
      </c>
      <c r="B15656" s="1">
        <v>45994</v>
      </c>
      <c r="C15656" t="s">
        <v>24</v>
      </c>
      <c r="D15656" s="2">
        <v>5138.67</v>
      </c>
      <c r="E15656" s="2">
        <v>0</v>
      </c>
      <c r="F15656" t="s">
        <v>8</v>
      </c>
      <c r="G15656" t="s">
        <v>9</v>
      </c>
    </row>
    <row r="15657" spans="1:7" x14ac:dyDescent="0.35">
      <c r="A15657">
        <v>6217</v>
      </c>
      <c r="B15657" s="1">
        <v>45994</v>
      </c>
      <c r="C15657" t="s">
        <v>24</v>
      </c>
      <c r="D15657" s="2">
        <v>0</v>
      </c>
      <c r="E15657" s="2">
        <v>5138.67</v>
      </c>
      <c r="F15657" t="s">
        <v>13</v>
      </c>
      <c r="G15657" t="s">
        <v>9</v>
      </c>
    </row>
    <row r="15658" spans="1:7" x14ac:dyDescent="0.35">
      <c r="A15658">
        <v>6218</v>
      </c>
      <c r="B15658" s="1">
        <v>45994</v>
      </c>
      <c r="C15658" t="s">
        <v>24</v>
      </c>
      <c r="D15658" s="2">
        <v>4123.3999999999996</v>
      </c>
      <c r="E15658" s="2">
        <v>0</v>
      </c>
      <c r="F15658" t="s">
        <v>8</v>
      </c>
      <c r="G15658" t="s">
        <v>9</v>
      </c>
    </row>
    <row r="15659" spans="1:7" x14ac:dyDescent="0.35">
      <c r="A15659">
        <v>6218</v>
      </c>
      <c r="B15659" s="1">
        <v>45994</v>
      </c>
      <c r="C15659" t="s">
        <v>24</v>
      </c>
      <c r="D15659" s="2">
        <v>0</v>
      </c>
      <c r="E15659" s="2">
        <v>4123.3999999999996</v>
      </c>
      <c r="F15659" t="s">
        <v>13</v>
      </c>
      <c r="G15659" t="s">
        <v>9</v>
      </c>
    </row>
    <row r="15660" spans="1:7" x14ac:dyDescent="0.35">
      <c r="A15660">
        <v>6219</v>
      </c>
      <c r="B15660" s="1">
        <v>45994</v>
      </c>
      <c r="C15660" t="s">
        <v>24</v>
      </c>
      <c r="D15660" s="2">
        <v>3175.41</v>
      </c>
      <c r="E15660" s="2">
        <v>0</v>
      </c>
      <c r="F15660" t="s">
        <v>8</v>
      </c>
      <c r="G15660" t="s">
        <v>9</v>
      </c>
    </row>
    <row r="15661" spans="1:7" x14ac:dyDescent="0.35">
      <c r="A15661">
        <v>6219</v>
      </c>
      <c r="B15661" s="1">
        <v>45994</v>
      </c>
      <c r="C15661" t="s">
        <v>24</v>
      </c>
      <c r="D15661" s="2">
        <v>0</v>
      </c>
      <c r="E15661" s="2">
        <v>3175.41</v>
      </c>
      <c r="F15661" t="s">
        <v>13</v>
      </c>
      <c r="G15661" t="s">
        <v>9</v>
      </c>
    </row>
    <row r="15662" spans="1:7" x14ac:dyDescent="0.35">
      <c r="A15662">
        <v>6220</v>
      </c>
      <c r="B15662" s="1">
        <v>45994</v>
      </c>
      <c r="C15662" t="s">
        <v>24</v>
      </c>
      <c r="D15662" s="2">
        <v>1764.39</v>
      </c>
      <c r="E15662" s="2">
        <v>0</v>
      </c>
      <c r="F15662" t="s">
        <v>8</v>
      </c>
      <c r="G15662" t="s">
        <v>9</v>
      </c>
    </row>
    <row r="15663" spans="1:7" x14ac:dyDescent="0.35">
      <c r="A15663">
        <v>6220</v>
      </c>
      <c r="B15663" s="1">
        <v>45994</v>
      </c>
      <c r="C15663" t="s">
        <v>24</v>
      </c>
      <c r="D15663" s="2">
        <v>0</v>
      </c>
      <c r="E15663" s="2">
        <v>1764.39</v>
      </c>
      <c r="F15663" t="s">
        <v>13</v>
      </c>
      <c r="G15663" t="s">
        <v>9</v>
      </c>
    </row>
    <row r="15664" spans="1:7" x14ac:dyDescent="0.35">
      <c r="A15664">
        <v>6221</v>
      </c>
      <c r="B15664" s="1">
        <v>45994</v>
      </c>
      <c r="C15664" t="s">
        <v>24</v>
      </c>
      <c r="D15664" s="2">
        <v>1018.24</v>
      </c>
      <c r="E15664" s="2">
        <v>0</v>
      </c>
      <c r="F15664" t="s">
        <v>8</v>
      </c>
      <c r="G15664" t="s">
        <v>9</v>
      </c>
    </row>
    <row r="15665" spans="1:7" x14ac:dyDescent="0.35">
      <c r="A15665">
        <v>6221</v>
      </c>
      <c r="B15665" s="1">
        <v>45994</v>
      </c>
      <c r="C15665" t="s">
        <v>24</v>
      </c>
      <c r="D15665" s="2">
        <v>0</v>
      </c>
      <c r="E15665" s="2">
        <v>1018.24</v>
      </c>
      <c r="F15665" t="s">
        <v>13</v>
      </c>
      <c r="G15665" t="s">
        <v>9</v>
      </c>
    </row>
    <row r="15666" spans="1:7" x14ac:dyDescent="0.35">
      <c r="A15666">
        <v>6222</v>
      </c>
      <c r="B15666" s="1">
        <v>45994</v>
      </c>
      <c r="C15666" t="s">
        <v>25</v>
      </c>
      <c r="D15666" s="2">
        <v>1822.08</v>
      </c>
      <c r="E15666" s="2">
        <v>0</v>
      </c>
      <c r="F15666" t="s">
        <v>26</v>
      </c>
      <c r="G15666" t="s">
        <v>20</v>
      </c>
    </row>
    <row r="15667" spans="1:7" x14ac:dyDescent="0.35">
      <c r="A15667">
        <v>6222</v>
      </c>
      <c r="B15667" s="1">
        <v>45994</v>
      </c>
      <c r="C15667" t="s">
        <v>25</v>
      </c>
      <c r="D15667" s="2">
        <v>136.66</v>
      </c>
      <c r="E15667" s="2">
        <v>0</v>
      </c>
      <c r="F15667" t="s">
        <v>27</v>
      </c>
      <c r="G15667" t="s">
        <v>9</v>
      </c>
    </row>
    <row r="15668" spans="1:7" x14ac:dyDescent="0.35">
      <c r="A15668">
        <v>6222</v>
      </c>
      <c r="B15668" s="1">
        <v>45994</v>
      </c>
      <c r="C15668" t="s">
        <v>25</v>
      </c>
      <c r="D15668" s="2">
        <v>0</v>
      </c>
      <c r="E15668" s="2">
        <v>1958.74</v>
      </c>
      <c r="F15668" t="s">
        <v>28</v>
      </c>
      <c r="G15668" t="s">
        <v>17</v>
      </c>
    </row>
    <row r="15669" spans="1:7" x14ac:dyDescent="0.35">
      <c r="A15669">
        <v>6223</v>
      </c>
      <c r="B15669" s="1">
        <v>45994</v>
      </c>
      <c r="C15669" t="s">
        <v>29</v>
      </c>
      <c r="D15669" s="2">
        <v>276.32</v>
      </c>
      <c r="E15669" s="2">
        <v>0</v>
      </c>
      <c r="F15669" t="s">
        <v>28</v>
      </c>
      <c r="G15669" t="s">
        <v>17</v>
      </c>
    </row>
    <row r="15670" spans="1:7" x14ac:dyDescent="0.35">
      <c r="A15670">
        <v>6223</v>
      </c>
      <c r="B15670" s="1">
        <v>45994</v>
      </c>
      <c r="C15670" t="s">
        <v>29</v>
      </c>
      <c r="D15670" s="2">
        <v>0</v>
      </c>
      <c r="E15670" s="2">
        <v>276.32</v>
      </c>
      <c r="F15670" t="s">
        <v>8</v>
      </c>
      <c r="G15670" t="s">
        <v>9</v>
      </c>
    </row>
    <row r="15671" spans="1:7" x14ac:dyDescent="0.35">
      <c r="A15671">
        <v>6224</v>
      </c>
      <c r="B15671" s="1">
        <v>45994</v>
      </c>
      <c r="C15671" t="s">
        <v>29</v>
      </c>
      <c r="D15671" s="2">
        <v>412.54</v>
      </c>
      <c r="E15671" s="2">
        <v>0</v>
      </c>
      <c r="F15671" t="s">
        <v>28</v>
      </c>
      <c r="G15671" t="s">
        <v>17</v>
      </c>
    </row>
    <row r="15672" spans="1:7" x14ac:dyDescent="0.35">
      <c r="A15672">
        <v>6224</v>
      </c>
      <c r="B15672" s="1">
        <v>45994</v>
      </c>
      <c r="C15672" t="s">
        <v>29</v>
      </c>
      <c r="D15672" s="2">
        <v>0</v>
      </c>
      <c r="E15672" s="2">
        <v>412.54</v>
      </c>
      <c r="F15672" t="s">
        <v>8</v>
      </c>
      <c r="G15672" t="s">
        <v>9</v>
      </c>
    </row>
    <row r="15673" spans="1:7" x14ac:dyDescent="0.35">
      <c r="A15673">
        <v>6225</v>
      </c>
      <c r="B15673" s="1">
        <v>45994</v>
      </c>
      <c r="C15673" t="s">
        <v>29</v>
      </c>
      <c r="D15673" s="2">
        <v>201.5</v>
      </c>
      <c r="E15673" s="2">
        <v>0</v>
      </c>
      <c r="F15673" t="s">
        <v>28</v>
      </c>
      <c r="G15673" t="s">
        <v>17</v>
      </c>
    </row>
    <row r="15674" spans="1:7" x14ac:dyDescent="0.35">
      <c r="A15674">
        <v>6225</v>
      </c>
      <c r="B15674" s="1">
        <v>45994</v>
      </c>
      <c r="C15674" t="s">
        <v>29</v>
      </c>
      <c r="D15674" s="2">
        <v>0</v>
      </c>
      <c r="E15674" s="2">
        <v>201.5</v>
      </c>
      <c r="F15674" t="s">
        <v>8</v>
      </c>
      <c r="G15674" t="s">
        <v>9</v>
      </c>
    </row>
    <row r="15675" spans="1:7" x14ac:dyDescent="0.35">
      <c r="A15675">
        <v>6226</v>
      </c>
      <c r="B15675" s="1">
        <v>45994</v>
      </c>
      <c r="C15675" t="s">
        <v>29</v>
      </c>
      <c r="D15675" s="2">
        <v>9336.67</v>
      </c>
      <c r="E15675" s="2">
        <v>0</v>
      </c>
      <c r="F15675" t="s">
        <v>28</v>
      </c>
      <c r="G15675" t="s">
        <v>17</v>
      </c>
    </row>
    <row r="15676" spans="1:7" x14ac:dyDescent="0.35">
      <c r="A15676">
        <v>6226</v>
      </c>
      <c r="B15676" s="1">
        <v>45994</v>
      </c>
      <c r="C15676" t="s">
        <v>29</v>
      </c>
      <c r="D15676" s="2">
        <v>0</v>
      </c>
      <c r="E15676" s="2">
        <v>9336.67</v>
      </c>
      <c r="F15676" t="s">
        <v>8</v>
      </c>
      <c r="G15676" t="s">
        <v>9</v>
      </c>
    </row>
    <row r="15677" spans="1:7" x14ac:dyDescent="0.35">
      <c r="A15677">
        <v>6227</v>
      </c>
      <c r="B15677" s="1">
        <v>45994</v>
      </c>
      <c r="C15677" t="s">
        <v>29</v>
      </c>
      <c r="D15677" s="2">
        <v>1935.04</v>
      </c>
      <c r="E15677" s="2">
        <v>0</v>
      </c>
      <c r="F15677" t="s">
        <v>28</v>
      </c>
      <c r="G15677" t="s">
        <v>17</v>
      </c>
    </row>
    <row r="15678" spans="1:7" x14ac:dyDescent="0.35">
      <c r="A15678">
        <v>6227</v>
      </c>
      <c r="B15678" s="1">
        <v>45994</v>
      </c>
      <c r="C15678" t="s">
        <v>29</v>
      </c>
      <c r="D15678" s="2">
        <v>0</v>
      </c>
      <c r="E15678" s="2">
        <v>1935.04</v>
      </c>
      <c r="F15678" t="s">
        <v>8</v>
      </c>
      <c r="G15678" t="s">
        <v>9</v>
      </c>
    </row>
    <row r="15679" spans="1:7" x14ac:dyDescent="0.35">
      <c r="A15679">
        <v>6228</v>
      </c>
      <c r="B15679" s="1">
        <v>45995</v>
      </c>
      <c r="C15679" t="s">
        <v>18</v>
      </c>
      <c r="D15679" s="2">
        <v>22709.54</v>
      </c>
      <c r="E15679" s="2">
        <v>0</v>
      </c>
      <c r="F15679" t="s">
        <v>19</v>
      </c>
      <c r="G15679" t="s">
        <v>20</v>
      </c>
    </row>
    <row r="15680" spans="1:7" x14ac:dyDescent="0.35">
      <c r="A15680">
        <v>6228</v>
      </c>
      <c r="B15680" s="1">
        <v>45995</v>
      </c>
      <c r="C15680" t="s">
        <v>18</v>
      </c>
      <c r="D15680" s="2">
        <v>908.38</v>
      </c>
      <c r="E15680" s="2">
        <v>0</v>
      </c>
      <c r="F15680" t="s">
        <v>21</v>
      </c>
      <c r="G15680" t="s">
        <v>20</v>
      </c>
    </row>
    <row r="15681" spans="1:7" x14ac:dyDescent="0.35">
      <c r="A15681">
        <v>6228</v>
      </c>
      <c r="B15681" s="1">
        <v>45995</v>
      </c>
      <c r="C15681" t="s">
        <v>18</v>
      </c>
      <c r="D15681" s="2">
        <v>0</v>
      </c>
      <c r="E15681" s="2">
        <v>18356.96</v>
      </c>
      <c r="F15681" t="s">
        <v>8</v>
      </c>
      <c r="G15681" t="s">
        <v>9</v>
      </c>
    </row>
    <row r="15682" spans="1:7" x14ac:dyDescent="0.35">
      <c r="A15682">
        <v>6228</v>
      </c>
      <c r="B15682" s="1">
        <v>45995</v>
      </c>
      <c r="C15682" t="s">
        <v>18</v>
      </c>
      <c r="D15682" s="2">
        <v>0</v>
      </c>
      <c r="E15682" s="2">
        <v>4352.58</v>
      </c>
      <c r="F15682" t="s">
        <v>22</v>
      </c>
      <c r="G15682" t="s">
        <v>17</v>
      </c>
    </row>
    <row r="15683" spans="1:7" x14ac:dyDescent="0.35">
      <c r="A15683">
        <v>6228</v>
      </c>
      <c r="B15683" s="1">
        <v>45995</v>
      </c>
      <c r="C15683" t="s">
        <v>18</v>
      </c>
      <c r="D15683" s="2">
        <v>0</v>
      </c>
      <c r="E15683" s="2">
        <v>908.38</v>
      </c>
      <c r="F15683" t="s">
        <v>23</v>
      </c>
      <c r="G15683" t="s">
        <v>17</v>
      </c>
    </row>
    <row r="15684" spans="1:7" x14ac:dyDescent="0.35">
      <c r="A15684">
        <v>6229</v>
      </c>
      <c r="B15684" s="1">
        <v>45995</v>
      </c>
      <c r="C15684" t="s">
        <v>12</v>
      </c>
      <c r="D15684" s="2">
        <v>2617.2399999999998</v>
      </c>
      <c r="E15684" s="2">
        <v>0</v>
      </c>
      <c r="F15684" t="s">
        <v>13</v>
      </c>
      <c r="G15684" t="s">
        <v>9</v>
      </c>
    </row>
    <row r="15685" spans="1:7" x14ac:dyDescent="0.35">
      <c r="A15685">
        <v>6229</v>
      </c>
      <c r="B15685" s="1">
        <v>45995</v>
      </c>
      <c r="C15685" t="s">
        <v>12</v>
      </c>
      <c r="D15685" s="2">
        <v>0</v>
      </c>
      <c r="E15685" s="2">
        <v>2434.65</v>
      </c>
      <c r="F15685" t="s">
        <v>14</v>
      </c>
      <c r="G15685" t="s">
        <v>15</v>
      </c>
    </row>
    <row r="15686" spans="1:7" x14ac:dyDescent="0.35">
      <c r="A15686">
        <v>6229</v>
      </c>
      <c r="B15686" s="1">
        <v>45995</v>
      </c>
      <c r="C15686" t="s">
        <v>12</v>
      </c>
      <c r="D15686" s="2">
        <v>0</v>
      </c>
      <c r="E15686" s="2">
        <v>182.59</v>
      </c>
      <c r="F15686" t="s">
        <v>16</v>
      </c>
      <c r="G15686" t="s">
        <v>17</v>
      </c>
    </row>
    <row r="15687" spans="1:7" x14ac:dyDescent="0.35">
      <c r="A15687">
        <v>6230</v>
      </c>
      <c r="B15687" s="1">
        <v>45995</v>
      </c>
      <c r="C15687" t="s">
        <v>12</v>
      </c>
      <c r="D15687" s="2">
        <v>992.63</v>
      </c>
      <c r="E15687" s="2">
        <v>0</v>
      </c>
      <c r="F15687" t="s">
        <v>13</v>
      </c>
      <c r="G15687" t="s">
        <v>9</v>
      </c>
    </row>
    <row r="15688" spans="1:7" x14ac:dyDescent="0.35">
      <c r="A15688">
        <v>6230</v>
      </c>
      <c r="B15688" s="1">
        <v>45995</v>
      </c>
      <c r="C15688" t="s">
        <v>12</v>
      </c>
      <c r="D15688" s="2">
        <v>0</v>
      </c>
      <c r="E15688" s="2">
        <v>923.38</v>
      </c>
      <c r="F15688" t="s">
        <v>14</v>
      </c>
      <c r="G15688" t="s">
        <v>15</v>
      </c>
    </row>
    <row r="15689" spans="1:7" x14ac:dyDescent="0.35">
      <c r="A15689">
        <v>6230</v>
      </c>
      <c r="B15689" s="1">
        <v>45995</v>
      </c>
      <c r="C15689" t="s">
        <v>12</v>
      </c>
      <c r="D15689" s="2">
        <v>0</v>
      </c>
      <c r="E15689" s="2">
        <v>69.25</v>
      </c>
      <c r="F15689" t="s">
        <v>16</v>
      </c>
      <c r="G15689" t="s">
        <v>17</v>
      </c>
    </row>
    <row r="15690" spans="1:7" x14ac:dyDescent="0.35">
      <c r="A15690">
        <v>6231</v>
      </c>
      <c r="B15690" s="1">
        <v>45995</v>
      </c>
      <c r="C15690" t="s">
        <v>12</v>
      </c>
      <c r="D15690" s="2">
        <v>84.17</v>
      </c>
      <c r="E15690" s="2">
        <v>0</v>
      </c>
      <c r="F15690" t="s">
        <v>13</v>
      </c>
      <c r="G15690" t="s">
        <v>9</v>
      </c>
    </row>
    <row r="15691" spans="1:7" x14ac:dyDescent="0.35">
      <c r="A15691">
        <v>6231</v>
      </c>
      <c r="B15691" s="1">
        <v>45995</v>
      </c>
      <c r="C15691" t="s">
        <v>12</v>
      </c>
      <c r="D15691" s="2">
        <v>0</v>
      </c>
      <c r="E15691" s="2">
        <v>78.3</v>
      </c>
      <c r="F15691" t="s">
        <v>14</v>
      </c>
      <c r="G15691" t="s">
        <v>15</v>
      </c>
    </row>
    <row r="15692" spans="1:7" x14ac:dyDescent="0.35">
      <c r="A15692">
        <v>6231</v>
      </c>
      <c r="B15692" s="1">
        <v>45995</v>
      </c>
      <c r="C15692" t="s">
        <v>12</v>
      </c>
      <c r="D15692" s="2">
        <v>0</v>
      </c>
      <c r="E15692" s="2">
        <v>5.87</v>
      </c>
      <c r="F15692" t="s">
        <v>16</v>
      </c>
      <c r="G15692" t="s">
        <v>17</v>
      </c>
    </row>
    <row r="15693" spans="1:7" x14ac:dyDescent="0.35">
      <c r="A15693">
        <v>6232</v>
      </c>
      <c r="B15693" s="1">
        <v>45995</v>
      </c>
      <c r="C15693" t="s">
        <v>12</v>
      </c>
      <c r="D15693" s="2">
        <v>4014.03</v>
      </c>
      <c r="E15693" s="2">
        <v>0</v>
      </c>
      <c r="F15693" t="s">
        <v>13</v>
      </c>
      <c r="G15693" t="s">
        <v>9</v>
      </c>
    </row>
    <row r="15694" spans="1:7" x14ac:dyDescent="0.35">
      <c r="A15694">
        <v>6232</v>
      </c>
      <c r="B15694" s="1">
        <v>45995</v>
      </c>
      <c r="C15694" t="s">
        <v>12</v>
      </c>
      <c r="D15694" s="2">
        <v>0</v>
      </c>
      <c r="E15694" s="2">
        <v>3733.99</v>
      </c>
      <c r="F15694" t="s">
        <v>14</v>
      </c>
      <c r="G15694" t="s">
        <v>15</v>
      </c>
    </row>
    <row r="15695" spans="1:7" x14ac:dyDescent="0.35">
      <c r="A15695">
        <v>6232</v>
      </c>
      <c r="B15695" s="1">
        <v>45995</v>
      </c>
      <c r="C15695" t="s">
        <v>12</v>
      </c>
      <c r="D15695" s="2">
        <v>0</v>
      </c>
      <c r="E15695" s="2">
        <v>280.04000000000002</v>
      </c>
      <c r="F15695" t="s">
        <v>16</v>
      </c>
      <c r="G15695" t="s">
        <v>17</v>
      </c>
    </row>
    <row r="15696" spans="1:7" x14ac:dyDescent="0.35">
      <c r="A15696">
        <v>6233</v>
      </c>
      <c r="B15696" s="1">
        <v>45995</v>
      </c>
      <c r="C15696" t="s">
        <v>12</v>
      </c>
      <c r="D15696" s="2">
        <v>1660.95</v>
      </c>
      <c r="E15696" s="2">
        <v>0</v>
      </c>
      <c r="F15696" t="s">
        <v>13</v>
      </c>
      <c r="G15696" t="s">
        <v>9</v>
      </c>
    </row>
    <row r="15697" spans="1:7" x14ac:dyDescent="0.35">
      <c r="A15697">
        <v>6233</v>
      </c>
      <c r="B15697" s="1">
        <v>45995</v>
      </c>
      <c r="C15697" t="s">
        <v>12</v>
      </c>
      <c r="D15697" s="2">
        <v>0</v>
      </c>
      <c r="E15697" s="2">
        <v>1545.07</v>
      </c>
      <c r="F15697" t="s">
        <v>14</v>
      </c>
      <c r="G15697" t="s">
        <v>15</v>
      </c>
    </row>
    <row r="15698" spans="1:7" x14ac:dyDescent="0.35">
      <c r="A15698">
        <v>6233</v>
      </c>
      <c r="B15698" s="1">
        <v>45995</v>
      </c>
      <c r="C15698" t="s">
        <v>12</v>
      </c>
      <c r="D15698" s="2">
        <v>0</v>
      </c>
      <c r="E15698" s="2">
        <v>115.88</v>
      </c>
      <c r="F15698" t="s">
        <v>16</v>
      </c>
      <c r="G15698" t="s">
        <v>17</v>
      </c>
    </row>
    <row r="15699" spans="1:7" x14ac:dyDescent="0.35">
      <c r="A15699">
        <v>6234</v>
      </c>
      <c r="B15699" s="1">
        <v>45995</v>
      </c>
      <c r="C15699" t="s">
        <v>12</v>
      </c>
      <c r="D15699" s="2">
        <v>3563.37</v>
      </c>
      <c r="E15699" s="2">
        <v>0</v>
      </c>
      <c r="F15699" t="s">
        <v>13</v>
      </c>
      <c r="G15699" t="s">
        <v>9</v>
      </c>
    </row>
    <row r="15700" spans="1:7" x14ac:dyDescent="0.35">
      <c r="A15700">
        <v>6234</v>
      </c>
      <c r="B15700" s="1">
        <v>45995</v>
      </c>
      <c r="C15700" t="s">
        <v>12</v>
      </c>
      <c r="D15700" s="2">
        <v>0</v>
      </c>
      <c r="E15700" s="2">
        <v>3314.77</v>
      </c>
      <c r="F15700" t="s">
        <v>14</v>
      </c>
      <c r="G15700" t="s">
        <v>15</v>
      </c>
    </row>
    <row r="15701" spans="1:7" x14ac:dyDescent="0.35">
      <c r="A15701">
        <v>6234</v>
      </c>
      <c r="B15701" s="1">
        <v>45995</v>
      </c>
      <c r="C15701" t="s">
        <v>12</v>
      </c>
      <c r="D15701" s="2">
        <v>0</v>
      </c>
      <c r="E15701" s="2">
        <v>248.6</v>
      </c>
      <c r="F15701" t="s">
        <v>16</v>
      </c>
      <c r="G15701" t="s">
        <v>17</v>
      </c>
    </row>
    <row r="15702" spans="1:7" x14ac:dyDescent="0.35">
      <c r="A15702">
        <v>6235</v>
      </c>
      <c r="B15702" s="1">
        <v>45995</v>
      </c>
      <c r="C15702" t="s">
        <v>12</v>
      </c>
      <c r="D15702" s="2">
        <v>4364.7700000000004</v>
      </c>
      <c r="E15702" s="2">
        <v>0</v>
      </c>
      <c r="F15702" t="s">
        <v>13</v>
      </c>
      <c r="G15702" t="s">
        <v>9</v>
      </c>
    </row>
    <row r="15703" spans="1:7" x14ac:dyDescent="0.35">
      <c r="A15703">
        <v>6235</v>
      </c>
      <c r="B15703" s="1">
        <v>45995</v>
      </c>
      <c r="C15703" t="s">
        <v>12</v>
      </c>
      <c r="D15703" s="2">
        <v>0</v>
      </c>
      <c r="E15703" s="2">
        <v>4060.25</v>
      </c>
      <c r="F15703" t="s">
        <v>14</v>
      </c>
      <c r="G15703" t="s">
        <v>15</v>
      </c>
    </row>
    <row r="15704" spans="1:7" x14ac:dyDescent="0.35">
      <c r="A15704">
        <v>6235</v>
      </c>
      <c r="B15704" s="1">
        <v>45995</v>
      </c>
      <c r="C15704" t="s">
        <v>12</v>
      </c>
      <c r="D15704" s="2">
        <v>0</v>
      </c>
      <c r="E15704" s="2">
        <v>304.52</v>
      </c>
      <c r="F15704" t="s">
        <v>16</v>
      </c>
      <c r="G15704" t="s">
        <v>17</v>
      </c>
    </row>
    <row r="15705" spans="1:7" x14ac:dyDescent="0.35">
      <c r="A15705">
        <v>6236</v>
      </c>
      <c r="B15705" s="1">
        <v>45995</v>
      </c>
      <c r="C15705" t="s">
        <v>12</v>
      </c>
      <c r="D15705" s="2">
        <v>283.70999999999998</v>
      </c>
      <c r="E15705" s="2">
        <v>0</v>
      </c>
      <c r="F15705" t="s">
        <v>13</v>
      </c>
      <c r="G15705" t="s">
        <v>9</v>
      </c>
    </row>
    <row r="15706" spans="1:7" x14ac:dyDescent="0.35">
      <c r="A15706">
        <v>6236</v>
      </c>
      <c r="B15706" s="1">
        <v>45995</v>
      </c>
      <c r="C15706" t="s">
        <v>12</v>
      </c>
      <c r="D15706" s="2">
        <v>0</v>
      </c>
      <c r="E15706" s="2">
        <v>263.92</v>
      </c>
      <c r="F15706" t="s">
        <v>14</v>
      </c>
      <c r="G15706" t="s">
        <v>15</v>
      </c>
    </row>
    <row r="15707" spans="1:7" x14ac:dyDescent="0.35">
      <c r="A15707">
        <v>6236</v>
      </c>
      <c r="B15707" s="1">
        <v>45995</v>
      </c>
      <c r="C15707" t="s">
        <v>12</v>
      </c>
      <c r="D15707" s="2">
        <v>0</v>
      </c>
      <c r="E15707" s="2">
        <v>19.79</v>
      </c>
      <c r="F15707" t="s">
        <v>16</v>
      </c>
      <c r="G15707" t="s">
        <v>17</v>
      </c>
    </row>
    <row r="15708" spans="1:7" x14ac:dyDescent="0.35">
      <c r="A15708">
        <v>6237</v>
      </c>
      <c r="B15708" s="1">
        <v>45995</v>
      </c>
      <c r="C15708" t="s">
        <v>12</v>
      </c>
      <c r="D15708" s="2">
        <v>1048.4000000000001</v>
      </c>
      <c r="E15708" s="2">
        <v>0</v>
      </c>
      <c r="F15708" t="s">
        <v>13</v>
      </c>
      <c r="G15708" t="s">
        <v>9</v>
      </c>
    </row>
    <row r="15709" spans="1:7" x14ac:dyDescent="0.35">
      <c r="A15709">
        <v>6237</v>
      </c>
      <c r="B15709" s="1">
        <v>45995</v>
      </c>
      <c r="C15709" t="s">
        <v>12</v>
      </c>
      <c r="D15709" s="2">
        <v>0</v>
      </c>
      <c r="E15709" s="2">
        <v>975.25</v>
      </c>
      <c r="F15709" t="s">
        <v>14</v>
      </c>
      <c r="G15709" t="s">
        <v>15</v>
      </c>
    </row>
    <row r="15710" spans="1:7" x14ac:dyDescent="0.35">
      <c r="A15710">
        <v>6237</v>
      </c>
      <c r="B15710" s="1">
        <v>45995</v>
      </c>
      <c r="C15710" t="s">
        <v>12</v>
      </c>
      <c r="D15710" s="2">
        <v>0</v>
      </c>
      <c r="E15710" s="2">
        <v>73.150000000000006</v>
      </c>
      <c r="F15710" t="s">
        <v>16</v>
      </c>
      <c r="G15710" t="s">
        <v>17</v>
      </c>
    </row>
    <row r="15711" spans="1:7" x14ac:dyDescent="0.35">
      <c r="A15711">
        <v>6238</v>
      </c>
      <c r="B15711" s="1">
        <v>45995</v>
      </c>
      <c r="C15711" t="s">
        <v>24</v>
      </c>
      <c r="D15711" s="2">
        <v>2688.81</v>
      </c>
      <c r="E15711" s="2">
        <v>0</v>
      </c>
      <c r="F15711" t="s">
        <v>8</v>
      </c>
      <c r="G15711" t="s">
        <v>9</v>
      </c>
    </row>
    <row r="15712" spans="1:7" x14ac:dyDescent="0.35">
      <c r="A15712">
        <v>6238</v>
      </c>
      <c r="B15712" s="1">
        <v>45995</v>
      </c>
      <c r="C15712" t="s">
        <v>24</v>
      </c>
      <c r="D15712" s="2">
        <v>0</v>
      </c>
      <c r="E15712" s="2">
        <v>2688.81</v>
      </c>
      <c r="F15712" t="s">
        <v>13</v>
      </c>
      <c r="G15712" t="s">
        <v>9</v>
      </c>
    </row>
    <row r="15713" spans="1:7" x14ac:dyDescent="0.35">
      <c r="A15713">
        <v>6239</v>
      </c>
      <c r="B15713" s="1">
        <v>45995</v>
      </c>
      <c r="C15713" t="s">
        <v>24</v>
      </c>
      <c r="D15713" s="2">
        <v>6261.36</v>
      </c>
      <c r="E15713" s="2">
        <v>0</v>
      </c>
      <c r="F15713" t="s">
        <v>8</v>
      </c>
      <c r="G15713" t="s">
        <v>9</v>
      </c>
    </row>
    <row r="15714" spans="1:7" x14ac:dyDescent="0.35">
      <c r="A15714">
        <v>6239</v>
      </c>
      <c r="B15714" s="1">
        <v>45995</v>
      </c>
      <c r="C15714" t="s">
        <v>24</v>
      </c>
      <c r="D15714" s="2">
        <v>0</v>
      </c>
      <c r="E15714" s="2">
        <v>6261.36</v>
      </c>
      <c r="F15714" t="s">
        <v>13</v>
      </c>
      <c r="G15714" t="s">
        <v>9</v>
      </c>
    </row>
    <row r="15715" spans="1:7" x14ac:dyDescent="0.35">
      <c r="A15715">
        <v>6240</v>
      </c>
      <c r="B15715" s="1">
        <v>45995</v>
      </c>
      <c r="C15715" t="s">
        <v>24</v>
      </c>
      <c r="D15715" s="2">
        <v>3139.49</v>
      </c>
      <c r="E15715" s="2">
        <v>0</v>
      </c>
      <c r="F15715" t="s">
        <v>8</v>
      </c>
      <c r="G15715" t="s">
        <v>9</v>
      </c>
    </row>
    <row r="15716" spans="1:7" x14ac:dyDescent="0.35">
      <c r="A15716">
        <v>6240</v>
      </c>
      <c r="B15716" s="1">
        <v>45995</v>
      </c>
      <c r="C15716" t="s">
        <v>24</v>
      </c>
      <c r="D15716" s="2">
        <v>0</v>
      </c>
      <c r="E15716" s="2">
        <v>3139.49</v>
      </c>
      <c r="F15716" t="s">
        <v>13</v>
      </c>
      <c r="G15716" t="s">
        <v>9</v>
      </c>
    </row>
    <row r="15717" spans="1:7" x14ac:dyDescent="0.35">
      <c r="A15717">
        <v>6241</v>
      </c>
      <c r="B15717" s="1">
        <v>45995</v>
      </c>
      <c r="C15717" t="s">
        <v>24</v>
      </c>
      <c r="D15717" s="2">
        <v>2169.35</v>
      </c>
      <c r="E15717" s="2">
        <v>0</v>
      </c>
      <c r="F15717" t="s">
        <v>8</v>
      </c>
      <c r="G15717" t="s">
        <v>9</v>
      </c>
    </row>
    <row r="15718" spans="1:7" x14ac:dyDescent="0.35">
      <c r="A15718">
        <v>6241</v>
      </c>
      <c r="B15718" s="1">
        <v>45995</v>
      </c>
      <c r="C15718" t="s">
        <v>24</v>
      </c>
      <c r="D15718" s="2">
        <v>0</v>
      </c>
      <c r="E15718" s="2">
        <v>2169.35</v>
      </c>
      <c r="F15718" t="s">
        <v>13</v>
      </c>
      <c r="G15718" t="s">
        <v>9</v>
      </c>
    </row>
    <row r="15719" spans="1:7" x14ac:dyDescent="0.35">
      <c r="A15719">
        <v>6242</v>
      </c>
      <c r="B15719" s="1">
        <v>45995</v>
      </c>
      <c r="C15719" t="s">
        <v>24</v>
      </c>
      <c r="D15719" s="2">
        <v>2617.2399999999998</v>
      </c>
      <c r="E15719" s="2">
        <v>0</v>
      </c>
      <c r="F15719" t="s">
        <v>8</v>
      </c>
      <c r="G15719" t="s">
        <v>9</v>
      </c>
    </row>
    <row r="15720" spans="1:7" x14ac:dyDescent="0.35">
      <c r="A15720">
        <v>6242</v>
      </c>
      <c r="B15720" s="1">
        <v>45995</v>
      </c>
      <c r="C15720" t="s">
        <v>24</v>
      </c>
      <c r="D15720" s="2">
        <v>0</v>
      </c>
      <c r="E15720" s="2">
        <v>2617.2399999999998</v>
      </c>
      <c r="F15720" t="s">
        <v>13</v>
      </c>
      <c r="G15720" t="s">
        <v>9</v>
      </c>
    </row>
    <row r="15721" spans="1:7" x14ac:dyDescent="0.35">
      <c r="A15721">
        <v>6243</v>
      </c>
      <c r="B15721" s="1">
        <v>45995</v>
      </c>
      <c r="C15721" t="s">
        <v>29</v>
      </c>
      <c r="D15721" s="2">
        <v>2635.36</v>
      </c>
      <c r="E15721" s="2">
        <v>0</v>
      </c>
      <c r="F15721" t="s">
        <v>28</v>
      </c>
      <c r="G15721" t="s">
        <v>17</v>
      </c>
    </row>
    <row r="15722" spans="1:7" x14ac:dyDescent="0.35">
      <c r="A15722">
        <v>6243</v>
      </c>
      <c r="B15722" s="1">
        <v>45995</v>
      </c>
      <c r="C15722" t="s">
        <v>29</v>
      </c>
      <c r="D15722" s="2">
        <v>0</v>
      </c>
      <c r="E15722" s="2">
        <v>2635.36</v>
      </c>
      <c r="F15722" t="s">
        <v>8</v>
      </c>
      <c r="G15722" t="s">
        <v>9</v>
      </c>
    </row>
    <row r="15723" spans="1:7" x14ac:dyDescent="0.35">
      <c r="A15723">
        <v>6244</v>
      </c>
      <c r="B15723" s="1">
        <v>45995</v>
      </c>
      <c r="C15723" t="s">
        <v>29</v>
      </c>
      <c r="D15723" s="2">
        <v>3528.97</v>
      </c>
      <c r="E15723" s="2">
        <v>0</v>
      </c>
      <c r="F15723" t="s">
        <v>28</v>
      </c>
      <c r="G15723" t="s">
        <v>17</v>
      </c>
    </row>
    <row r="15724" spans="1:7" x14ac:dyDescent="0.35">
      <c r="A15724">
        <v>6244</v>
      </c>
      <c r="B15724" s="1">
        <v>45995</v>
      </c>
      <c r="C15724" t="s">
        <v>29</v>
      </c>
      <c r="D15724" s="2">
        <v>0</v>
      </c>
      <c r="E15724" s="2">
        <v>3528.97</v>
      </c>
      <c r="F15724" t="s">
        <v>8</v>
      </c>
      <c r="G15724" t="s">
        <v>9</v>
      </c>
    </row>
    <row r="15725" spans="1:7" x14ac:dyDescent="0.35">
      <c r="A15725">
        <v>6245</v>
      </c>
      <c r="B15725" s="1">
        <v>45995</v>
      </c>
      <c r="C15725" t="s">
        <v>29</v>
      </c>
      <c r="D15725" s="2">
        <v>201.5</v>
      </c>
      <c r="E15725" s="2">
        <v>0</v>
      </c>
      <c r="F15725" t="s">
        <v>28</v>
      </c>
      <c r="G15725" t="s">
        <v>17</v>
      </c>
    </row>
    <row r="15726" spans="1:7" x14ac:dyDescent="0.35">
      <c r="A15726">
        <v>6245</v>
      </c>
      <c r="B15726" s="1">
        <v>45995</v>
      </c>
      <c r="C15726" t="s">
        <v>29</v>
      </c>
      <c r="D15726" s="2">
        <v>0</v>
      </c>
      <c r="E15726" s="2">
        <v>201.5</v>
      </c>
      <c r="F15726" t="s">
        <v>8</v>
      </c>
      <c r="G15726" t="s">
        <v>9</v>
      </c>
    </row>
    <row r="15727" spans="1:7" x14ac:dyDescent="0.35">
      <c r="A15727">
        <v>6246</v>
      </c>
      <c r="B15727" s="1">
        <v>45996</v>
      </c>
      <c r="C15727" t="s">
        <v>12</v>
      </c>
      <c r="D15727" s="2">
        <v>64.67</v>
      </c>
      <c r="E15727" s="2">
        <v>0</v>
      </c>
      <c r="F15727" t="s">
        <v>13</v>
      </c>
      <c r="G15727" t="s">
        <v>9</v>
      </c>
    </row>
    <row r="15728" spans="1:7" x14ac:dyDescent="0.35">
      <c r="A15728">
        <v>6246</v>
      </c>
      <c r="B15728" s="1">
        <v>45996</v>
      </c>
      <c r="C15728" t="s">
        <v>12</v>
      </c>
      <c r="D15728" s="2">
        <v>0</v>
      </c>
      <c r="E15728" s="2">
        <v>60.16</v>
      </c>
      <c r="F15728" t="s">
        <v>14</v>
      </c>
      <c r="G15728" t="s">
        <v>15</v>
      </c>
    </row>
    <row r="15729" spans="1:7" x14ac:dyDescent="0.35">
      <c r="A15729">
        <v>6246</v>
      </c>
      <c r="B15729" s="1">
        <v>45996</v>
      </c>
      <c r="C15729" t="s">
        <v>12</v>
      </c>
      <c r="D15729" s="2">
        <v>0</v>
      </c>
      <c r="E15729" s="2">
        <v>4.51</v>
      </c>
      <c r="F15729" t="s">
        <v>16</v>
      </c>
      <c r="G15729" t="s">
        <v>17</v>
      </c>
    </row>
    <row r="15730" spans="1:7" x14ac:dyDescent="0.35">
      <c r="A15730">
        <v>6247</v>
      </c>
      <c r="B15730" s="1">
        <v>45996</v>
      </c>
      <c r="C15730" t="s">
        <v>12</v>
      </c>
      <c r="D15730" s="2">
        <v>3788.72</v>
      </c>
      <c r="E15730" s="2">
        <v>0</v>
      </c>
      <c r="F15730" t="s">
        <v>13</v>
      </c>
      <c r="G15730" t="s">
        <v>9</v>
      </c>
    </row>
    <row r="15731" spans="1:7" x14ac:dyDescent="0.35">
      <c r="A15731">
        <v>6247</v>
      </c>
      <c r="B15731" s="1">
        <v>45996</v>
      </c>
      <c r="C15731" t="s">
        <v>12</v>
      </c>
      <c r="D15731" s="2">
        <v>0</v>
      </c>
      <c r="E15731" s="2">
        <v>3524.39</v>
      </c>
      <c r="F15731" t="s">
        <v>14</v>
      </c>
      <c r="G15731" t="s">
        <v>15</v>
      </c>
    </row>
    <row r="15732" spans="1:7" x14ac:dyDescent="0.35">
      <c r="A15732">
        <v>6247</v>
      </c>
      <c r="B15732" s="1">
        <v>45996</v>
      </c>
      <c r="C15732" t="s">
        <v>12</v>
      </c>
      <c r="D15732" s="2">
        <v>0</v>
      </c>
      <c r="E15732" s="2">
        <v>264.33</v>
      </c>
      <c r="F15732" t="s">
        <v>16</v>
      </c>
      <c r="G15732" t="s">
        <v>17</v>
      </c>
    </row>
    <row r="15733" spans="1:7" x14ac:dyDescent="0.35">
      <c r="A15733">
        <v>6248</v>
      </c>
      <c r="B15733" s="1">
        <v>45996</v>
      </c>
      <c r="C15733" t="s">
        <v>12</v>
      </c>
      <c r="D15733" s="2">
        <v>306.43</v>
      </c>
      <c r="E15733" s="2">
        <v>0</v>
      </c>
      <c r="F15733" t="s">
        <v>13</v>
      </c>
      <c r="G15733" t="s">
        <v>9</v>
      </c>
    </row>
    <row r="15734" spans="1:7" x14ac:dyDescent="0.35">
      <c r="A15734">
        <v>6248</v>
      </c>
      <c r="B15734" s="1">
        <v>45996</v>
      </c>
      <c r="C15734" t="s">
        <v>12</v>
      </c>
      <c r="D15734" s="2">
        <v>0</v>
      </c>
      <c r="E15734" s="2">
        <v>285.05</v>
      </c>
      <c r="F15734" t="s">
        <v>14</v>
      </c>
      <c r="G15734" t="s">
        <v>15</v>
      </c>
    </row>
    <row r="15735" spans="1:7" x14ac:dyDescent="0.35">
      <c r="A15735">
        <v>6248</v>
      </c>
      <c r="B15735" s="1">
        <v>45996</v>
      </c>
      <c r="C15735" t="s">
        <v>12</v>
      </c>
      <c r="D15735" s="2">
        <v>0</v>
      </c>
      <c r="E15735" s="2">
        <v>21.38</v>
      </c>
      <c r="F15735" t="s">
        <v>16</v>
      </c>
      <c r="G15735" t="s">
        <v>17</v>
      </c>
    </row>
    <row r="15736" spans="1:7" x14ac:dyDescent="0.35">
      <c r="A15736">
        <v>6249</v>
      </c>
      <c r="B15736" s="1">
        <v>45996</v>
      </c>
      <c r="C15736" t="s">
        <v>12</v>
      </c>
      <c r="D15736" s="2">
        <v>6256.22</v>
      </c>
      <c r="E15736" s="2">
        <v>0</v>
      </c>
      <c r="F15736" t="s">
        <v>13</v>
      </c>
      <c r="G15736" t="s">
        <v>9</v>
      </c>
    </row>
    <row r="15737" spans="1:7" x14ac:dyDescent="0.35">
      <c r="A15737">
        <v>6249</v>
      </c>
      <c r="B15737" s="1">
        <v>45996</v>
      </c>
      <c r="C15737" t="s">
        <v>12</v>
      </c>
      <c r="D15737" s="2">
        <v>0</v>
      </c>
      <c r="E15737" s="2">
        <v>5819.74</v>
      </c>
      <c r="F15737" t="s">
        <v>14</v>
      </c>
      <c r="G15737" t="s">
        <v>15</v>
      </c>
    </row>
    <row r="15738" spans="1:7" x14ac:dyDescent="0.35">
      <c r="A15738">
        <v>6249</v>
      </c>
      <c r="B15738" s="1">
        <v>45996</v>
      </c>
      <c r="C15738" t="s">
        <v>12</v>
      </c>
      <c r="D15738" s="2">
        <v>0</v>
      </c>
      <c r="E15738" s="2">
        <v>436.48</v>
      </c>
      <c r="F15738" t="s">
        <v>16</v>
      </c>
      <c r="G15738" t="s">
        <v>17</v>
      </c>
    </row>
    <row r="15739" spans="1:7" x14ac:dyDescent="0.35">
      <c r="A15739">
        <v>6250</v>
      </c>
      <c r="B15739" s="1">
        <v>45996</v>
      </c>
      <c r="C15739" t="s">
        <v>12</v>
      </c>
      <c r="D15739" s="2">
        <v>1951.84</v>
      </c>
      <c r="E15739" s="2">
        <v>0</v>
      </c>
      <c r="F15739" t="s">
        <v>13</v>
      </c>
      <c r="G15739" t="s">
        <v>9</v>
      </c>
    </row>
    <row r="15740" spans="1:7" x14ac:dyDescent="0.35">
      <c r="A15740">
        <v>6250</v>
      </c>
      <c r="B15740" s="1">
        <v>45996</v>
      </c>
      <c r="C15740" t="s">
        <v>12</v>
      </c>
      <c r="D15740" s="2">
        <v>0</v>
      </c>
      <c r="E15740" s="2">
        <v>1815.66</v>
      </c>
      <c r="F15740" t="s">
        <v>14</v>
      </c>
      <c r="G15740" t="s">
        <v>15</v>
      </c>
    </row>
    <row r="15741" spans="1:7" x14ac:dyDescent="0.35">
      <c r="A15741">
        <v>6250</v>
      </c>
      <c r="B15741" s="1">
        <v>45996</v>
      </c>
      <c r="C15741" t="s">
        <v>12</v>
      </c>
      <c r="D15741" s="2">
        <v>0</v>
      </c>
      <c r="E15741" s="2">
        <v>136.18</v>
      </c>
      <c r="F15741" t="s">
        <v>16</v>
      </c>
      <c r="G15741" t="s">
        <v>17</v>
      </c>
    </row>
    <row r="15742" spans="1:7" x14ac:dyDescent="0.35">
      <c r="A15742">
        <v>6251</v>
      </c>
      <c r="B15742" s="1">
        <v>45996</v>
      </c>
      <c r="C15742" t="s">
        <v>12</v>
      </c>
      <c r="D15742" s="2">
        <v>1061.67</v>
      </c>
      <c r="E15742" s="2">
        <v>0</v>
      </c>
      <c r="F15742" t="s">
        <v>13</v>
      </c>
      <c r="G15742" t="s">
        <v>9</v>
      </c>
    </row>
    <row r="15743" spans="1:7" x14ac:dyDescent="0.35">
      <c r="A15743">
        <v>6251</v>
      </c>
      <c r="B15743" s="1">
        <v>45996</v>
      </c>
      <c r="C15743" t="s">
        <v>12</v>
      </c>
      <c r="D15743" s="2">
        <v>0</v>
      </c>
      <c r="E15743" s="2">
        <v>987.6</v>
      </c>
      <c r="F15743" t="s">
        <v>14</v>
      </c>
      <c r="G15743" t="s">
        <v>15</v>
      </c>
    </row>
    <row r="15744" spans="1:7" x14ac:dyDescent="0.35">
      <c r="A15744">
        <v>6251</v>
      </c>
      <c r="B15744" s="1">
        <v>45996</v>
      </c>
      <c r="C15744" t="s">
        <v>12</v>
      </c>
      <c r="D15744" s="2">
        <v>0</v>
      </c>
      <c r="E15744" s="2">
        <v>74.069999999999993</v>
      </c>
      <c r="F15744" t="s">
        <v>16</v>
      </c>
      <c r="G15744" t="s">
        <v>17</v>
      </c>
    </row>
    <row r="15745" spans="1:7" x14ac:dyDescent="0.35">
      <c r="A15745">
        <v>6252</v>
      </c>
      <c r="B15745" s="1">
        <v>45996</v>
      </c>
      <c r="C15745" t="s">
        <v>12</v>
      </c>
      <c r="D15745" s="2">
        <v>3892.18</v>
      </c>
      <c r="E15745" s="2">
        <v>0</v>
      </c>
      <c r="F15745" t="s">
        <v>13</v>
      </c>
      <c r="G15745" t="s">
        <v>9</v>
      </c>
    </row>
    <row r="15746" spans="1:7" x14ac:dyDescent="0.35">
      <c r="A15746">
        <v>6252</v>
      </c>
      <c r="B15746" s="1">
        <v>45996</v>
      </c>
      <c r="C15746" t="s">
        <v>12</v>
      </c>
      <c r="D15746" s="2">
        <v>0</v>
      </c>
      <c r="E15746" s="2">
        <v>3620.63</v>
      </c>
      <c r="F15746" t="s">
        <v>14</v>
      </c>
      <c r="G15746" t="s">
        <v>15</v>
      </c>
    </row>
    <row r="15747" spans="1:7" x14ac:dyDescent="0.35">
      <c r="A15747">
        <v>6252</v>
      </c>
      <c r="B15747" s="1">
        <v>45996</v>
      </c>
      <c r="C15747" t="s">
        <v>12</v>
      </c>
      <c r="D15747" s="2">
        <v>0</v>
      </c>
      <c r="E15747" s="2">
        <v>271.55</v>
      </c>
      <c r="F15747" t="s">
        <v>16</v>
      </c>
      <c r="G15747" t="s">
        <v>17</v>
      </c>
    </row>
    <row r="15748" spans="1:7" x14ac:dyDescent="0.35">
      <c r="A15748">
        <v>6253</v>
      </c>
      <c r="B15748" s="1">
        <v>45996</v>
      </c>
      <c r="C15748" t="s">
        <v>12</v>
      </c>
      <c r="D15748" s="2">
        <v>1857.54</v>
      </c>
      <c r="E15748" s="2">
        <v>0</v>
      </c>
      <c r="F15748" t="s">
        <v>13</v>
      </c>
      <c r="G15748" t="s">
        <v>9</v>
      </c>
    </row>
    <row r="15749" spans="1:7" x14ac:dyDescent="0.35">
      <c r="A15749">
        <v>6253</v>
      </c>
      <c r="B15749" s="1">
        <v>45996</v>
      </c>
      <c r="C15749" t="s">
        <v>12</v>
      </c>
      <c r="D15749" s="2">
        <v>0</v>
      </c>
      <c r="E15749" s="2">
        <v>1727.94</v>
      </c>
      <c r="F15749" t="s">
        <v>14</v>
      </c>
      <c r="G15749" t="s">
        <v>15</v>
      </c>
    </row>
    <row r="15750" spans="1:7" x14ac:dyDescent="0.35">
      <c r="A15750">
        <v>6253</v>
      </c>
      <c r="B15750" s="1">
        <v>45996</v>
      </c>
      <c r="C15750" t="s">
        <v>12</v>
      </c>
      <c r="D15750" s="2">
        <v>0</v>
      </c>
      <c r="E15750" s="2">
        <v>129.6</v>
      </c>
      <c r="F15750" t="s">
        <v>16</v>
      </c>
      <c r="G15750" t="s">
        <v>17</v>
      </c>
    </row>
    <row r="15751" spans="1:7" x14ac:dyDescent="0.35">
      <c r="A15751">
        <v>6254</v>
      </c>
      <c r="B15751" s="1">
        <v>45996</v>
      </c>
      <c r="C15751" t="s">
        <v>12</v>
      </c>
      <c r="D15751" s="2">
        <v>32.340000000000003</v>
      </c>
      <c r="E15751" s="2">
        <v>0</v>
      </c>
      <c r="F15751" t="s">
        <v>13</v>
      </c>
      <c r="G15751" t="s">
        <v>9</v>
      </c>
    </row>
    <row r="15752" spans="1:7" x14ac:dyDescent="0.35">
      <c r="A15752">
        <v>6254</v>
      </c>
      <c r="B15752" s="1">
        <v>45996</v>
      </c>
      <c r="C15752" t="s">
        <v>12</v>
      </c>
      <c r="D15752" s="2">
        <v>0</v>
      </c>
      <c r="E15752" s="2">
        <v>30.08</v>
      </c>
      <c r="F15752" t="s">
        <v>14</v>
      </c>
      <c r="G15752" t="s">
        <v>15</v>
      </c>
    </row>
    <row r="15753" spans="1:7" x14ac:dyDescent="0.35">
      <c r="A15753">
        <v>6254</v>
      </c>
      <c r="B15753" s="1">
        <v>45996</v>
      </c>
      <c r="C15753" t="s">
        <v>12</v>
      </c>
      <c r="D15753" s="2">
        <v>0</v>
      </c>
      <c r="E15753" s="2">
        <v>2.2599999999999998</v>
      </c>
      <c r="F15753" t="s">
        <v>16</v>
      </c>
      <c r="G15753" t="s">
        <v>17</v>
      </c>
    </row>
    <row r="15754" spans="1:7" x14ac:dyDescent="0.35">
      <c r="A15754">
        <v>6255</v>
      </c>
      <c r="B15754" s="1">
        <v>45996</v>
      </c>
      <c r="C15754" t="s">
        <v>12</v>
      </c>
      <c r="D15754" s="2">
        <v>3174.78</v>
      </c>
      <c r="E15754" s="2">
        <v>0</v>
      </c>
      <c r="F15754" t="s">
        <v>13</v>
      </c>
      <c r="G15754" t="s">
        <v>9</v>
      </c>
    </row>
    <row r="15755" spans="1:7" x14ac:dyDescent="0.35">
      <c r="A15755">
        <v>6255</v>
      </c>
      <c r="B15755" s="1">
        <v>45996</v>
      </c>
      <c r="C15755" t="s">
        <v>12</v>
      </c>
      <c r="D15755" s="2">
        <v>0</v>
      </c>
      <c r="E15755" s="2">
        <v>2953.29</v>
      </c>
      <c r="F15755" t="s">
        <v>14</v>
      </c>
      <c r="G15755" t="s">
        <v>15</v>
      </c>
    </row>
    <row r="15756" spans="1:7" x14ac:dyDescent="0.35">
      <c r="A15756">
        <v>6255</v>
      </c>
      <c r="B15756" s="1">
        <v>45996</v>
      </c>
      <c r="C15756" t="s">
        <v>12</v>
      </c>
      <c r="D15756" s="2">
        <v>0</v>
      </c>
      <c r="E15756" s="2">
        <v>221.49</v>
      </c>
      <c r="F15756" t="s">
        <v>16</v>
      </c>
      <c r="G15756" t="s">
        <v>17</v>
      </c>
    </row>
    <row r="15757" spans="1:7" x14ac:dyDescent="0.35">
      <c r="A15757">
        <v>6256</v>
      </c>
      <c r="B15757" s="1">
        <v>45996</v>
      </c>
      <c r="C15757" t="s">
        <v>12</v>
      </c>
      <c r="D15757" s="2">
        <v>1532.03</v>
      </c>
      <c r="E15757" s="2">
        <v>0</v>
      </c>
      <c r="F15757" t="s">
        <v>13</v>
      </c>
      <c r="G15757" t="s">
        <v>9</v>
      </c>
    </row>
    <row r="15758" spans="1:7" x14ac:dyDescent="0.35">
      <c r="A15758">
        <v>6256</v>
      </c>
      <c r="B15758" s="1">
        <v>45996</v>
      </c>
      <c r="C15758" t="s">
        <v>12</v>
      </c>
      <c r="D15758" s="2">
        <v>0</v>
      </c>
      <c r="E15758" s="2">
        <v>1425.15</v>
      </c>
      <c r="F15758" t="s">
        <v>14</v>
      </c>
      <c r="G15758" t="s">
        <v>15</v>
      </c>
    </row>
    <row r="15759" spans="1:7" x14ac:dyDescent="0.35">
      <c r="A15759">
        <v>6256</v>
      </c>
      <c r="B15759" s="1">
        <v>45996</v>
      </c>
      <c r="C15759" t="s">
        <v>12</v>
      </c>
      <c r="D15759" s="2">
        <v>0</v>
      </c>
      <c r="E15759" s="2">
        <v>106.88</v>
      </c>
      <c r="F15759" t="s">
        <v>16</v>
      </c>
      <c r="G15759" t="s">
        <v>17</v>
      </c>
    </row>
    <row r="15760" spans="1:7" x14ac:dyDescent="0.35">
      <c r="A15760">
        <v>6257</v>
      </c>
      <c r="B15760" s="1">
        <v>45996</v>
      </c>
      <c r="C15760" t="s">
        <v>24</v>
      </c>
      <c r="D15760" s="2">
        <v>2325.52</v>
      </c>
      <c r="E15760" s="2">
        <v>0</v>
      </c>
      <c r="F15760" t="s">
        <v>8</v>
      </c>
      <c r="G15760" t="s">
        <v>9</v>
      </c>
    </row>
    <row r="15761" spans="1:7" x14ac:dyDescent="0.35">
      <c r="A15761">
        <v>6257</v>
      </c>
      <c r="B15761" s="1">
        <v>45996</v>
      </c>
      <c r="C15761" t="s">
        <v>24</v>
      </c>
      <c r="D15761" s="2">
        <v>0</v>
      </c>
      <c r="E15761" s="2">
        <v>2325.52</v>
      </c>
      <c r="F15761" t="s">
        <v>13</v>
      </c>
      <c r="G15761" t="s">
        <v>9</v>
      </c>
    </row>
    <row r="15762" spans="1:7" x14ac:dyDescent="0.35">
      <c r="A15762">
        <v>6258</v>
      </c>
      <c r="B15762" s="1">
        <v>45996</v>
      </c>
      <c r="C15762" t="s">
        <v>24</v>
      </c>
      <c r="D15762" s="2">
        <v>1537.04</v>
      </c>
      <c r="E15762" s="2">
        <v>0</v>
      </c>
      <c r="F15762" t="s">
        <v>8</v>
      </c>
      <c r="G15762" t="s">
        <v>9</v>
      </c>
    </row>
    <row r="15763" spans="1:7" x14ac:dyDescent="0.35">
      <c r="A15763">
        <v>6258</v>
      </c>
      <c r="B15763" s="1">
        <v>45996</v>
      </c>
      <c r="C15763" t="s">
        <v>24</v>
      </c>
      <c r="D15763" s="2">
        <v>0</v>
      </c>
      <c r="E15763" s="2">
        <v>1537.04</v>
      </c>
      <c r="F15763" t="s">
        <v>13</v>
      </c>
      <c r="G15763" t="s">
        <v>9</v>
      </c>
    </row>
    <row r="15764" spans="1:7" x14ac:dyDescent="0.35">
      <c r="A15764">
        <v>6259</v>
      </c>
      <c r="B15764" s="1">
        <v>45996</v>
      </c>
      <c r="C15764" t="s">
        <v>24</v>
      </c>
      <c r="D15764" s="2">
        <v>2502.1</v>
      </c>
      <c r="E15764" s="2">
        <v>0</v>
      </c>
      <c r="F15764" t="s">
        <v>8</v>
      </c>
      <c r="G15764" t="s">
        <v>9</v>
      </c>
    </row>
    <row r="15765" spans="1:7" x14ac:dyDescent="0.35">
      <c r="A15765">
        <v>6259</v>
      </c>
      <c r="B15765" s="1">
        <v>45996</v>
      </c>
      <c r="C15765" t="s">
        <v>24</v>
      </c>
      <c r="D15765" s="2">
        <v>0</v>
      </c>
      <c r="E15765" s="2">
        <v>2502.1</v>
      </c>
      <c r="F15765" t="s">
        <v>13</v>
      </c>
      <c r="G15765" t="s">
        <v>9</v>
      </c>
    </row>
    <row r="15766" spans="1:7" x14ac:dyDescent="0.35">
      <c r="A15766">
        <v>6260</v>
      </c>
      <c r="B15766" s="1">
        <v>45996</v>
      </c>
      <c r="C15766" t="s">
        <v>24</v>
      </c>
      <c r="D15766" s="2">
        <v>2128.81</v>
      </c>
      <c r="E15766" s="2">
        <v>0</v>
      </c>
      <c r="F15766" t="s">
        <v>8</v>
      </c>
      <c r="G15766" t="s">
        <v>9</v>
      </c>
    </row>
    <row r="15767" spans="1:7" x14ac:dyDescent="0.35">
      <c r="A15767">
        <v>6260</v>
      </c>
      <c r="B15767" s="1">
        <v>45996</v>
      </c>
      <c r="C15767" t="s">
        <v>24</v>
      </c>
      <c r="D15767" s="2">
        <v>0</v>
      </c>
      <c r="E15767" s="2">
        <v>2128.81</v>
      </c>
      <c r="F15767" t="s">
        <v>13</v>
      </c>
      <c r="G15767" t="s">
        <v>9</v>
      </c>
    </row>
    <row r="15768" spans="1:7" x14ac:dyDescent="0.35">
      <c r="A15768">
        <v>6261</v>
      </c>
      <c r="B15768" s="1">
        <v>45996</v>
      </c>
      <c r="C15768" t="s">
        <v>24</v>
      </c>
      <c r="D15768" s="2">
        <v>1939</v>
      </c>
      <c r="E15768" s="2">
        <v>0</v>
      </c>
      <c r="F15768" t="s">
        <v>8</v>
      </c>
      <c r="G15768" t="s">
        <v>9</v>
      </c>
    </row>
    <row r="15769" spans="1:7" x14ac:dyDescent="0.35">
      <c r="A15769">
        <v>6261</v>
      </c>
      <c r="B15769" s="1">
        <v>45996</v>
      </c>
      <c r="C15769" t="s">
        <v>24</v>
      </c>
      <c r="D15769" s="2">
        <v>0</v>
      </c>
      <c r="E15769" s="2">
        <v>1939</v>
      </c>
      <c r="F15769" t="s">
        <v>13</v>
      </c>
      <c r="G15769" t="s">
        <v>9</v>
      </c>
    </row>
    <row r="15770" spans="1:7" x14ac:dyDescent="0.35">
      <c r="A15770">
        <v>6262</v>
      </c>
      <c r="B15770" s="1">
        <v>45996</v>
      </c>
      <c r="C15770" t="s">
        <v>24</v>
      </c>
      <c r="D15770" s="2">
        <v>1215.9100000000001</v>
      </c>
      <c r="E15770" s="2">
        <v>0</v>
      </c>
      <c r="F15770" t="s">
        <v>8</v>
      </c>
      <c r="G15770" t="s">
        <v>9</v>
      </c>
    </row>
    <row r="15771" spans="1:7" x14ac:dyDescent="0.35">
      <c r="A15771">
        <v>6262</v>
      </c>
      <c r="B15771" s="1">
        <v>45996</v>
      </c>
      <c r="C15771" t="s">
        <v>24</v>
      </c>
      <c r="D15771" s="2">
        <v>0</v>
      </c>
      <c r="E15771" s="2">
        <v>1215.9100000000001</v>
      </c>
      <c r="F15771" t="s">
        <v>13</v>
      </c>
      <c r="G15771" t="s">
        <v>9</v>
      </c>
    </row>
    <row r="15772" spans="1:7" x14ac:dyDescent="0.35">
      <c r="A15772">
        <v>6263</v>
      </c>
      <c r="B15772" s="1">
        <v>45996</v>
      </c>
      <c r="C15772" t="s">
        <v>24</v>
      </c>
      <c r="D15772" s="2">
        <v>628.19000000000005</v>
      </c>
      <c r="E15772" s="2">
        <v>0</v>
      </c>
      <c r="F15772" t="s">
        <v>8</v>
      </c>
      <c r="G15772" t="s">
        <v>9</v>
      </c>
    </row>
    <row r="15773" spans="1:7" x14ac:dyDescent="0.35">
      <c r="A15773">
        <v>6263</v>
      </c>
      <c r="B15773" s="1">
        <v>45996</v>
      </c>
      <c r="C15773" t="s">
        <v>24</v>
      </c>
      <c r="D15773" s="2">
        <v>0</v>
      </c>
      <c r="E15773" s="2">
        <v>628.19000000000005</v>
      </c>
      <c r="F15773" t="s">
        <v>13</v>
      </c>
      <c r="G15773" t="s">
        <v>9</v>
      </c>
    </row>
    <row r="15774" spans="1:7" x14ac:dyDescent="0.35">
      <c r="A15774">
        <v>6264</v>
      </c>
      <c r="B15774" s="1">
        <v>45996</v>
      </c>
      <c r="C15774" t="s">
        <v>24</v>
      </c>
      <c r="D15774" s="2">
        <v>660.49</v>
      </c>
      <c r="E15774" s="2">
        <v>0</v>
      </c>
      <c r="F15774" t="s">
        <v>8</v>
      </c>
      <c r="G15774" t="s">
        <v>9</v>
      </c>
    </row>
    <row r="15775" spans="1:7" x14ac:dyDescent="0.35">
      <c r="A15775">
        <v>6264</v>
      </c>
      <c r="B15775" s="1">
        <v>45996</v>
      </c>
      <c r="C15775" t="s">
        <v>24</v>
      </c>
      <c r="D15775" s="2">
        <v>0</v>
      </c>
      <c r="E15775" s="2">
        <v>660.49</v>
      </c>
      <c r="F15775" t="s">
        <v>13</v>
      </c>
      <c r="G15775" t="s">
        <v>9</v>
      </c>
    </row>
    <row r="15776" spans="1:7" x14ac:dyDescent="0.35">
      <c r="A15776">
        <v>6265</v>
      </c>
      <c r="B15776" s="1">
        <v>45996</v>
      </c>
      <c r="C15776" t="s">
        <v>24</v>
      </c>
      <c r="D15776" s="2">
        <v>64.67</v>
      </c>
      <c r="E15776" s="2">
        <v>0</v>
      </c>
      <c r="F15776" t="s">
        <v>8</v>
      </c>
      <c r="G15776" t="s">
        <v>9</v>
      </c>
    </row>
    <row r="15777" spans="1:7" x14ac:dyDescent="0.35">
      <c r="A15777">
        <v>6265</v>
      </c>
      <c r="B15777" s="1">
        <v>45996</v>
      </c>
      <c r="C15777" t="s">
        <v>24</v>
      </c>
      <c r="D15777" s="2">
        <v>0</v>
      </c>
      <c r="E15777" s="2">
        <v>64.67</v>
      </c>
      <c r="F15777" t="s">
        <v>13</v>
      </c>
      <c r="G15777" t="s">
        <v>9</v>
      </c>
    </row>
    <row r="15778" spans="1:7" x14ac:dyDescent="0.35">
      <c r="A15778">
        <v>6266</v>
      </c>
      <c r="B15778" s="1">
        <v>45996</v>
      </c>
      <c r="C15778" t="s">
        <v>25</v>
      </c>
      <c r="D15778" s="2">
        <v>6723.2</v>
      </c>
      <c r="E15778" s="2">
        <v>0</v>
      </c>
      <c r="F15778" t="s">
        <v>26</v>
      </c>
      <c r="G15778" t="s">
        <v>20</v>
      </c>
    </row>
    <row r="15779" spans="1:7" x14ac:dyDescent="0.35">
      <c r="A15779">
        <v>6266</v>
      </c>
      <c r="B15779" s="1">
        <v>45996</v>
      </c>
      <c r="C15779" t="s">
        <v>25</v>
      </c>
      <c r="D15779" s="2">
        <v>504.24</v>
      </c>
      <c r="E15779" s="2">
        <v>0</v>
      </c>
      <c r="F15779" t="s">
        <v>27</v>
      </c>
      <c r="G15779" t="s">
        <v>9</v>
      </c>
    </row>
    <row r="15780" spans="1:7" x14ac:dyDescent="0.35">
      <c r="A15780">
        <v>6266</v>
      </c>
      <c r="B15780" s="1">
        <v>45996</v>
      </c>
      <c r="C15780" t="s">
        <v>25</v>
      </c>
      <c r="D15780" s="2">
        <v>0</v>
      </c>
      <c r="E15780" s="2">
        <v>7227.44</v>
      </c>
      <c r="F15780" t="s">
        <v>28</v>
      </c>
      <c r="G15780" t="s">
        <v>17</v>
      </c>
    </row>
    <row r="15781" spans="1:7" x14ac:dyDescent="0.35">
      <c r="A15781">
        <v>6267</v>
      </c>
      <c r="B15781" s="1">
        <v>45996</v>
      </c>
      <c r="C15781" t="s">
        <v>29</v>
      </c>
      <c r="D15781" s="2">
        <v>179.01</v>
      </c>
      <c r="E15781" s="2">
        <v>0</v>
      </c>
      <c r="F15781" t="s">
        <v>28</v>
      </c>
      <c r="G15781" t="s">
        <v>17</v>
      </c>
    </row>
    <row r="15782" spans="1:7" x14ac:dyDescent="0.35">
      <c r="A15782">
        <v>6267</v>
      </c>
      <c r="B15782" s="1">
        <v>45996</v>
      </c>
      <c r="C15782" t="s">
        <v>29</v>
      </c>
      <c r="D15782" s="2">
        <v>0</v>
      </c>
      <c r="E15782" s="2">
        <v>179.01</v>
      </c>
      <c r="F15782" t="s">
        <v>8</v>
      </c>
      <c r="G15782" t="s">
        <v>9</v>
      </c>
    </row>
    <row r="15783" spans="1:7" x14ac:dyDescent="0.35">
      <c r="A15783">
        <v>6268</v>
      </c>
      <c r="B15783" s="1">
        <v>45996</v>
      </c>
      <c r="C15783" t="s">
        <v>29</v>
      </c>
      <c r="D15783" s="2">
        <v>1304.6199999999999</v>
      </c>
      <c r="E15783" s="2">
        <v>0</v>
      </c>
      <c r="F15783" t="s">
        <v>28</v>
      </c>
      <c r="G15783" t="s">
        <v>17</v>
      </c>
    </row>
    <row r="15784" spans="1:7" x14ac:dyDescent="0.35">
      <c r="A15784">
        <v>6268</v>
      </c>
      <c r="B15784" s="1">
        <v>45996</v>
      </c>
      <c r="C15784" t="s">
        <v>29</v>
      </c>
      <c r="D15784" s="2">
        <v>0</v>
      </c>
      <c r="E15784" s="2">
        <v>1304.6199999999999</v>
      </c>
      <c r="F15784" t="s">
        <v>8</v>
      </c>
      <c r="G15784" t="s">
        <v>9</v>
      </c>
    </row>
    <row r="15785" spans="1:7" x14ac:dyDescent="0.35">
      <c r="A15785">
        <v>6269</v>
      </c>
      <c r="B15785" s="1">
        <v>45999</v>
      </c>
      <c r="C15785" t="s">
        <v>12</v>
      </c>
      <c r="D15785" s="2">
        <v>3891.06</v>
      </c>
      <c r="E15785" s="2">
        <v>0</v>
      </c>
      <c r="F15785" t="s">
        <v>13</v>
      </c>
      <c r="G15785" t="s">
        <v>9</v>
      </c>
    </row>
    <row r="15786" spans="1:7" x14ac:dyDescent="0.35">
      <c r="A15786">
        <v>6269</v>
      </c>
      <c r="B15786" s="1">
        <v>45999</v>
      </c>
      <c r="C15786" t="s">
        <v>12</v>
      </c>
      <c r="D15786" s="2">
        <v>0</v>
      </c>
      <c r="E15786" s="2">
        <v>3619.59</v>
      </c>
      <c r="F15786" t="s">
        <v>14</v>
      </c>
      <c r="G15786" t="s">
        <v>15</v>
      </c>
    </row>
    <row r="15787" spans="1:7" x14ac:dyDescent="0.35">
      <c r="A15787">
        <v>6269</v>
      </c>
      <c r="B15787" s="1">
        <v>45999</v>
      </c>
      <c r="C15787" t="s">
        <v>12</v>
      </c>
      <c r="D15787" s="2">
        <v>0</v>
      </c>
      <c r="E15787" s="2">
        <v>271.47000000000003</v>
      </c>
      <c r="F15787" t="s">
        <v>16</v>
      </c>
      <c r="G15787" t="s">
        <v>17</v>
      </c>
    </row>
    <row r="15788" spans="1:7" x14ac:dyDescent="0.35">
      <c r="A15788">
        <v>6270</v>
      </c>
      <c r="B15788" s="1">
        <v>45999</v>
      </c>
      <c r="C15788" t="s">
        <v>12</v>
      </c>
      <c r="D15788" s="2">
        <v>3463.2</v>
      </c>
      <c r="E15788" s="2">
        <v>0</v>
      </c>
      <c r="F15788" t="s">
        <v>13</v>
      </c>
      <c r="G15788" t="s">
        <v>9</v>
      </c>
    </row>
    <row r="15789" spans="1:7" x14ac:dyDescent="0.35">
      <c r="A15789">
        <v>6270</v>
      </c>
      <c r="B15789" s="1">
        <v>45999</v>
      </c>
      <c r="C15789" t="s">
        <v>12</v>
      </c>
      <c r="D15789" s="2">
        <v>0</v>
      </c>
      <c r="E15789" s="2">
        <v>3221.59</v>
      </c>
      <c r="F15789" t="s">
        <v>14</v>
      </c>
      <c r="G15789" t="s">
        <v>15</v>
      </c>
    </row>
    <row r="15790" spans="1:7" x14ac:dyDescent="0.35">
      <c r="A15790">
        <v>6270</v>
      </c>
      <c r="B15790" s="1">
        <v>45999</v>
      </c>
      <c r="C15790" t="s">
        <v>12</v>
      </c>
      <c r="D15790" s="2">
        <v>0</v>
      </c>
      <c r="E15790" s="2">
        <v>241.61</v>
      </c>
      <c r="F15790" t="s">
        <v>16</v>
      </c>
      <c r="G15790" t="s">
        <v>17</v>
      </c>
    </row>
    <row r="15791" spans="1:7" x14ac:dyDescent="0.35">
      <c r="A15791">
        <v>6271</v>
      </c>
      <c r="B15791" s="1">
        <v>45999</v>
      </c>
      <c r="C15791" t="s">
        <v>12</v>
      </c>
      <c r="D15791" s="2">
        <v>6070.24</v>
      </c>
      <c r="E15791" s="2">
        <v>0</v>
      </c>
      <c r="F15791" t="s">
        <v>13</v>
      </c>
      <c r="G15791" t="s">
        <v>9</v>
      </c>
    </row>
    <row r="15792" spans="1:7" x14ac:dyDescent="0.35">
      <c r="A15792">
        <v>6271</v>
      </c>
      <c r="B15792" s="1">
        <v>45999</v>
      </c>
      <c r="C15792" t="s">
        <v>12</v>
      </c>
      <c r="D15792" s="2">
        <v>0</v>
      </c>
      <c r="E15792" s="2">
        <v>5646.74</v>
      </c>
      <c r="F15792" t="s">
        <v>14</v>
      </c>
      <c r="G15792" t="s">
        <v>15</v>
      </c>
    </row>
    <row r="15793" spans="1:7" x14ac:dyDescent="0.35">
      <c r="A15793">
        <v>6271</v>
      </c>
      <c r="B15793" s="1">
        <v>45999</v>
      </c>
      <c r="C15793" t="s">
        <v>12</v>
      </c>
      <c r="D15793" s="2">
        <v>0</v>
      </c>
      <c r="E15793" s="2">
        <v>423.5</v>
      </c>
      <c r="F15793" t="s">
        <v>16</v>
      </c>
      <c r="G15793" t="s">
        <v>17</v>
      </c>
    </row>
    <row r="15794" spans="1:7" x14ac:dyDescent="0.35">
      <c r="A15794">
        <v>6272</v>
      </c>
      <c r="B15794" s="1">
        <v>45999</v>
      </c>
      <c r="C15794" t="s">
        <v>12</v>
      </c>
      <c r="D15794" s="2">
        <v>827.25</v>
      </c>
      <c r="E15794" s="2">
        <v>0</v>
      </c>
      <c r="F15794" t="s">
        <v>13</v>
      </c>
      <c r="G15794" t="s">
        <v>9</v>
      </c>
    </row>
    <row r="15795" spans="1:7" x14ac:dyDescent="0.35">
      <c r="A15795">
        <v>6272</v>
      </c>
      <c r="B15795" s="1">
        <v>45999</v>
      </c>
      <c r="C15795" t="s">
        <v>12</v>
      </c>
      <c r="D15795" s="2">
        <v>0</v>
      </c>
      <c r="E15795" s="2">
        <v>769.53</v>
      </c>
      <c r="F15795" t="s">
        <v>14</v>
      </c>
      <c r="G15795" t="s">
        <v>15</v>
      </c>
    </row>
    <row r="15796" spans="1:7" x14ac:dyDescent="0.35">
      <c r="A15796">
        <v>6272</v>
      </c>
      <c r="B15796" s="1">
        <v>45999</v>
      </c>
      <c r="C15796" t="s">
        <v>12</v>
      </c>
      <c r="D15796" s="2">
        <v>0</v>
      </c>
      <c r="E15796" s="2">
        <v>57.72</v>
      </c>
      <c r="F15796" t="s">
        <v>16</v>
      </c>
      <c r="G15796" t="s">
        <v>17</v>
      </c>
    </row>
    <row r="15797" spans="1:7" x14ac:dyDescent="0.35">
      <c r="A15797">
        <v>6273</v>
      </c>
      <c r="B15797" s="1">
        <v>45999</v>
      </c>
      <c r="C15797" t="s">
        <v>12</v>
      </c>
      <c r="D15797" s="2">
        <v>1704.54</v>
      </c>
      <c r="E15797" s="2">
        <v>0</v>
      </c>
      <c r="F15797" t="s">
        <v>13</v>
      </c>
      <c r="G15797" t="s">
        <v>9</v>
      </c>
    </row>
    <row r="15798" spans="1:7" x14ac:dyDescent="0.35">
      <c r="A15798">
        <v>6273</v>
      </c>
      <c r="B15798" s="1">
        <v>45999</v>
      </c>
      <c r="C15798" t="s">
        <v>12</v>
      </c>
      <c r="D15798" s="2">
        <v>0</v>
      </c>
      <c r="E15798" s="2">
        <v>1585.62</v>
      </c>
      <c r="F15798" t="s">
        <v>14</v>
      </c>
      <c r="G15798" t="s">
        <v>15</v>
      </c>
    </row>
    <row r="15799" spans="1:7" x14ac:dyDescent="0.35">
      <c r="A15799">
        <v>6273</v>
      </c>
      <c r="B15799" s="1">
        <v>45999</v>
      </c>
      <c r="C15799" t="s">
        <v>12</v>
      </c>
      <c r="D15799" s="2">
        <v>0</v>
      </c>
      <c r="E15799" s="2">
        <v>118.92</v>
      </c>
      <c r="F15799" t="s">
        <v>16</v>
      </c>
      <c r="G15799" t="s">
        <v>17</v>
      </c>
    </row>
    <row r="15800" spans="1:7" x14ac:dyDescent="0.35">
      <c r="A15800">
        <v>6274</v>
      </c>
      <c r="B15800" s="1">
        <v>45999</v>
      </c>
      <c r="C15800" t="s">
        <v>24</v>
      </c>
      <c r="D15800" s="2">
        <v>363.71</v>
      </c>
      <c r="E15800" s="2">
        <v>0</v>
      </c>
      <c r="F15800" t="s">
        <v>8</v>
      </c>
      <c r="G15800" t="s">
        <v>9</v>
      </c>
    </row>
    <row r="15801" spans="1:7" x14ac:dyDescent="0.35">
      <c r="A15801">
        <v>6274</v>
      </c>
      <c r="B15801" s="1">
        <v>45999</v>
      </c>
      <c r="C15801" t="s">
        <v>24</v>
      </c>
      <c r="D15801" s="2">
        <v>0</v>
      </c>
      <c r="E15801" s="2">
        <v>363.71</v>
      </c>
      <c r="F15801" t="s">
        <v>13</v>
      </c>
      <c r="G15801" t="s">
        <v>9</v>
      </c>
    </row>
    <row r="15802" spans="1:7" x14ac:dyDescent="0.35">
      <c r="A15802">
        <v>6275</v>
      </c>
      <c r="B15802" s="1">
        <v>45999</v>
      </c>
      <c r="C15802" t="s">
        <v>24</v>
      </c>
      <c r="D15802" s="2">
        <v>387.89</v>
      </c>
      <c r="E15802" s="2">
        <v>0</v>
      </c>
      <c r="F15802" t="s">
        <v>8</v>
      </c>
      <c r="G15802" t="s">
        <v>9</v>
      </c>
    </row>
    <row r="15803" spans="1:7" x14ac:dyDescent="0.35">
      <c r="A15803">
        <v>6275</v>
      </c>
      <c r="B15803" s="1">
        <v>45999</v>
      </c>
      <c r="C15803" t="s">
        <v>24</v>
      </c>
      <c r="D15803" s="2">
        <v>0</v>
      </c>
      <c r="E15803" s="2">
        <v>387.89</v>
      </c>
      <c r="F15803" t="s">
        <v>13</v>
      </c>
      <c r="G15803" t="s">
        <v>9</v>
      </c>
    </row>
    <row r="15804" spans="1:7" x14ac:dyDescent="0.35">
      <c r="A15804">
        <v>6276</v>
      </c>
      <c r="B15804" s="1">
        <v>45999</v>
      </c>
      <c r="C15804" t="s">
        <v>24</v>
      </c>
      <c r="D15804" s="2">
        <v>4857.54</v>
      </c>
      <c r="E15804" s="2">
        <v>0</v>
      </c>
      <c r="F15804" t="s">
        <v>8</v>
      </c>
      <c r="G15804" t="s">
        <v>9</v>
      </c>
    </row>
    <row r="15805" spans="1:7" x14ac:dyDescent="0.35">
      <c r="A15805">
        <v>6276</v>
      </c>
      <c r="B15805" s="1">
        <v>45999</v>
      </c>
      <c r="C15805" t="s">
        <v>24</v>
      </c>
      <c r="D15805" s="2">
        <v>0</v>
      </c>
      <c r="E15805" s="2">
        <v>4857.54</v>
      </c>
      <c r="F15805" t="s">
        <v>13</v>
      </c>
      <c r="G15805" t="s">
        <v>9</v>
      </c>
    </row>
    <row r="15806" spans="1:7" x14ac:dyDescent="0.35">
      <c r="A15806">
        <v>6277</v>
      </c>
      <c r="B15806" s="1">
        <v>45999</v>
      </c>
      <c r="C15806" t="s">
        <v>24</v>
      </c>
      <c r="D15806" s="2">
        <v>1058.9100000000001</v>
      </c>
      <c r="E15806" s="2">
        <v>0</v>
      </c>
      <c r="F15806" t="s">
        <v>8</v>
      </c>
      <c r="G15806" t="s">
        <v>9</v>
      </c>
    </row>
    <row r="15807" spans="1:7" x14ac:dyDescent="0.35">
      <c r="A15807">
        <v>6277</v>
      </c>
      <c r="B15807" s="1">
        <v>45999</v>
      </c>
      <c r="C15807" t="s">
        <v>24</v>
      </c>
      <c r="D15807" s="2">
        <v>0</v>
      </c>
      <c r="E15807" s="2">
        <v>1058.9100000000001</v>
      </c>
      <c r="F15807" t="s">
        <v>13</v>
      </c>
      <c r="G15807" t="s">
        <v>9</v>
      </c>
    </row>
    <row r="15808" spans="1:7" x14ac:dyDescent="0.35">
      <c r="A15808">
        <v>6278</v>
      </c>
      <c r="B15808" s="1">
        <v>45999</v>
      </c>
      <c r="C15808" t="s">
        <v>24</v>
      </c>
      <c r="D15808" s="2">
        <v>890.58</v>
      </c>
      <c r="E15808" s="2">
        <v>0</v>
      </c>
      <c r="F15808" t="s">
        <v>8</v>
      </c>
      <c r="G15808" t="s">
        <v>9</v>
      </c>
    </row>
    <row r="15809" spans="1:7" x14ac:dyDescent="0.35">
      <c r="A15809">
        <v>6278</v>
      </c>
      <c r="B15809" s="1">
        <v>45999</v>
      </c>
      <c r="C15809" t="s">
        <v>24</v>
      </c>
      <c r="D15809" s="2">
        <v>0</v>
      </c>
      <c r="E15809" s="2">
        <v>890.58</v>
      </c>
      <c r="F15809" t="s">
        <v>13</v>
      </c>
      <c r="G15809" t="s">
        <v>9</v>
      </c>
    </row>
    <row r="15810" spans="1:7" x14ac:dyDescent="0.35">
      <c r="A15810">
        <v>6279</v>
      </c>
      <c r="B15810" s="1">
        <v>45999</v>
      </c>
      <c r="C15810" t="s">
        <v>24</v>
      </c>
      <c r="D15810" s="2">
        <v>1362.48</v>
      </c>
      <c r="E15810" s="2">
        <v>0</v>
      </c>
      <c r="F15810" t="s">
        <v>8</v>
      </c>
      <c r="G15810" t="s">
        <v>9</v>
      </c>
    </row>
    <row r="15811" spans="1:7" x14ac:dyDescent="0.35">
      <c r="A15811">
        <v>6279</v>
      </c>
      <c r="B15811" s="1">
        <v>45999</v>
      </c>
      <c r="C15811" t="s">
        <v>24</v>
      </c>
      <c r="D15811" s="2">
        <v>0</v>
      </c>
      <c r="E15811" s="2">
        <v>1362.48</v>
      </c>
      <c r="F15811" t="s">
        <v>13</v>
      </c>
      <c r="G15811" t="s">
        <v>9</v>
      </c>
    </row>
    <row r="15812" spans="1:7" x14ac:dyDescent="0.35">
      <c r="A15812">
        <v>6280</v>
      </c>
      <c r="B15812" s="1">
        <v>45999</v>
      </c>
      <c r="C15812" t="s">
        <v>25</v>
      </c>
      <c r="D15812" s="2">
        <v>802.71</v>
      </c>
      <c r="E15812" s="2">
        <v>0</v>
      </c>
      <c r="F15812" t="s">
        <v>26</v>
      </c>
      <c r="G15812" t="s">
        <v>20</v>
      </c>
    </row>
    <row r="15813" spans="1:7" x14ac:dyDescent="0.35">
      <c r="A15813">
        <v>6280</v>
      </c>
      <c r="B15813" s="1">
        <v>45999</v>
      </c>
      <c r="C15813" t="s">
        <v>25</v>
      </c>
      <c r="D15813" s="2">
        <v>60.2</v>
      </c>
      <c r="E15813" s="2">
        <v>0</v>
      </c>
      <c r="F15813" t="s">
        <v>27</v>
      </c>
      <c r="G15813" t="s">
        <v>9</v>
      </c>
    </row>
    <row r="15814" spans="1:7" x14ac:dyDescent="0.35">
      <c r="A15814">
        <v>6280</v>
      </c>
      <c r="B15814" s="1">
        <v>45999</v>
      </c>
      <c r="C15814" t="s">
        <v>25</v>
      </c>
      <c r="D15814" s="2">
        <v>0</v>
      </c>
      <c r="E15814" s="2">
        <v>862.91</v>
      </c>
      <c r="F15814" t="s">
        <v>28</v>
      </c>
      <c r="G15814" t="s">
        <v>17</v>
      </c>
    </row>
    <row r="15815" spans="1:7" x14ac:dyDescent="0.35">
      <c r="A15815">
        <v>6281</v>
      </c>
      <c r="B15815" s="1">
        <v>45999</v>
      </c>
      <c r="C15815" t="s">
        <v>25</v>
      </c>
      <c r="D15815" s="2">
        <v>4476.71</v>
      </c>
      <c r="E15815" s="2">
        <v>0</v>
      </c>
      <c r="F15815" t="s">
        <v>26</v>
      </c>
      <c r="G15815" t="s">
        <v>20</v>
      </c>
    </row>
    <row r="15816" spans="1:7" x14ac:dyDescent="0.35">
      <c r="A15816">
        <v>6281</v>
      </c>
      <c r="B15816" s="1">
        <v>45999</v>
      </c>
      <c r="C15816" t="s">
        <v>25</v>
      </c>
      <c r="D15816" s="2">
        <v>335.75</v>
      </c>
      <c r="E15816" s="2">
        <v>0</v>
      </c>
      <c r="F15816" t="s">
        <v>27</v>
      </c>
      <c r="G15816" t="s">
        <v>9</v>
      </c>
    </row>
    <row r="15817" spans="1:7" x14ac:dyDescent="0.35">
      <c r="A15817">
        <v>6281</v>
      </c>
      <c r="B15817" s="1">
        <v>45999</v>
      </c>
      <c r="C15817" t="s">
        <v>25</v>
      </c>
      <c r="D15817" s="2">
        <v>0</v>
      </c>
      <c r="E15817" s="2">
        <v>4812.46</v>
      </c>
      <c r="F15817" t="s">
        <v>28</v>
      </c>
      <c r="G15817" t="s">
        <v>17</v>
      </c>
    </row>
    <row r="15818" spans="1:7" x14ac:dyDescent="0.35">
      <c r="A15818">
        <v>6282</v>
      </c>
      <c r="B15818" s="1">
        <v>45999</v>
      </c>
      <c r="C15818" t="s">
        <v>25</v>
      </c>
      <c r="D15818" s="2">
        <v>2714.58</v>
      </c>
      <c r="E15818" s="2">
        <v>0</v>
      </c>
      <c r="F15818" t="s">
        <v>26</v>
      </c>
      <c r="G15818" t="s">
        <v>20</v>
      </c>
    </row>
    <row r="15819" spans="1:7" x14ac:dyDescent="0.35">
      <c r="A15819">
        <v>6282</v>
      </c>
      <c r="B15819" s="1">
        <v>45999</v>
      </c>
      <c r="C15819" t="s">
        <v>25</v>
      </c>
      <c r="D15819" s="2">
        <v>203.59</v>
      </c>
      <c r="E15819" s="2">
        <v>0</v>
      </c>
      <c r="F15819" t="s">
        <v>27</v>
      </c>
      <c r="G15819" t="s">
        <v>9</v>
      </c>
    </row>
    <row r="15820" spans="1:7" x14ac:dyDescent="0.35">
      <c r="A15820">
        <v>6282</v>
      </c>
      <c r="B15820" s="1">
        <v>45999</v>
      </c>
      <c r="C15820" t="s">
        <v>25</v>
      </c>
      <c r="D15820" s="2">
        <v>0</v>
      </c>
      <c r="E15820" s="2">
        <v>2918.17</v>
      </c>
      <c r="F15820" t="s">
        <v>28</v>
      </c>
      <c r="G15820" t="s">
        <v>17</v>
      </c>
    </row>
    <row r="15821" spans="1:7" x14ac:dyDescent="0.35">
      <c r="A15821">
        <v>6283</v>
      </c>
      <c r="B15821" s="1">
        <v>45999</v>
      </c>
      <c r="C15821" t="s">
        <v>25</v>
      </c>
      <c r="D15821" s="2">
        <v>1800.04</v>
      </c>
      <c r="E15821" s="2">
        <v>0</v>
      </c>
      <c r="F15821" t="s">
        <v>26</v>
      </c>
      <c r="G15821" t="s">
        <v>20</v>
      </c>
    </row>
    <row r="15822" spans="1:7" x14ac:dyDescent="0.35">
      <c r="A15822">
        <v>6283</v>
      </c>
      <c r="B15822" s="1">
        <v>45999</v>
      </c>
      <c r="C15822" t="s">
        <v>25</v>
      </c>
      <c r="D15822" s="2">
        <v>135</v>
      </c>
      <c r="E15822" s="2">
        <v>0</v>
      </c>
      <c r="F15822" t="s">
        <v>27</v>
      </c>
      <c r="G15822" t="s">
        <v>9</v>
      </c>
    </row>
    <row r="15823" spans="1:7" x14ac:dyDescent="0.35">
      <c r="A15823">
        <v>6283</v>
      </c>
      <c r="B15823" s="1">
        <v>45999</v>
      </c>
      <c r="C15823" t="s">
        <v>25</v>
      </c>
      <c r="D15823" s="2">
        <v>0</v>
      </c>
      <c r="E15823" s="2">
        <v>1935.04</v>
      </c>
      <c r="F15823" t="s">
        <v>28</v>
      </c>
      <c r="G15823" t="s">
        <v>17</v>
      </c>
    </row>
    <row r="15824" spans="1:7" x14ac:dyDescent="0.35">
      <c r="A15824">
        <v>6284</v>
      </c>
      <c r="B15824" s="1">
        <v>45999</v>
      </c>
      <c r="C15824" t="s">
        <v>25</v>
      </c>
      <c r="D15824" s="2">
        <v>2030.15</v>
      </c>
      <c r="E15824" s="2">
        <v>0</v>
      </c>
      <c r="F15824" t="s">
        <v>26</v>
      </c>
      <c r="G15824" t="s">
        <v>20</v>
      </c>
    </row>
    <row r="15825" spans="1:7" x14ac:dyDescent="0.35">
      <c r="A15825">
        <v>6284</v>
      </c>
      <c r="B15825" s="1">
        <v>45999</v>
      </c>
      <c r="C15825" t="s">
        <v>25</v>
      </c>
      <c r="D15825" s="2">
        <v>152.26</v>
      </c>
      <c r="E15825" s="2">
        <v>0</v>
      </c>
      <c r="F15825" t="s">
        <v>27</v>
      </c>
      <c r="G15825" t="s">
        <v>9</v>
      </c>
    </row>
    <row r="15826" spans="1:7" x14ac:dyDescent="0.35">
      <c r="A15826">
        <v>6284</v>
      </c>
      <c r="B15826" s="1">
        <v>45999</v>
      </c>
      <c r="C15826" t="s">
        <v>25</v>
      </c>
      <c r="D15826" s="2">
        <v>0</v>
      </c>
      <c r="E15826" s="2">
        <v>2182.41</v>
      </c>
      <c r="F15826" t="s">
        <v>28</v>
      </c>
      <c r="G15826" t="s">
        <v>17</v>
      </c>
    </row>
    <row r="15827" spans="1:7" x14ac:dyDescent="0.35">
      <c r="A15827">
        <v>6285</v>
      </c>
      <c r="B15827" s="1">
        <v>45999</v>
      </c>
      <c r="C15827" t="s">
        <v>25</v>
      </c>
      <c r="D15827" s="2">
        <v>257.04000000000002</v>
      </c>
      <c r="E15827" s="2">
        <v>0</v>
      </c>
      <c r="F15827" t="s">
        <v>26</v>
      </c>
      <c r="G15827" t="s">
        <v>20</v>
      </c>
    </row>
    <row r="15828" spans="1:7" x14ac:dyDescent="0.35">
      <c r="A15828">
        <v>6285</v>
      </c>
      <c r="B15828" s="1">
        <v>45999</v>
      </c>
      <c r="C15828" t="s">
        <v>25</v>
      </c>
      <c r="D15828" s="2">
        <v>19.28</v>
      </c>
      <c r="E15828" s="2">
        <v>0</v>
      </c>
      <c r="F15828" t="s">
        <v>27</v>
      </c>
      <c r="G15828" t="s">
        <v>9</v>
      </c>
    </row>
    <row r="15829" spans="1:7" x14ac:dyDescent="0.35">
      <c r="A15829">
        <v>6285</v>
      </c>
      <c r="B15829" s="1">
        <v>45999</v>
      </c>
      <c r="C15829" t="s">
        <v>25</v>
      </c>
      <c r="D15829" s="2">
        <v>0</v>
      </c>
      <c r="E15829" s="2">
        <v>276.32</v>
      </c>
      <c r="F15829" t="s">
        <v>28</v>
      </c>
      <c r="G15829" t="s">
        <v>17</v>
      </c>
    </row>
    <row r="15830" spans="1:7" x14ac:dyDescent="0.35">
      <c r="A15830">
        <v>6286</v>
      </c>
      <c r="B15830" s="1">
        <v>45999</v>
      </c>
      <c r="C15830" t="s">
        <v>29</v>
      </c>
      <c r="D15830" s="2">
        <v>412.54</v>
      </c>
      <c r="E15830" s="2">
        <v>0</v>
      </c>
      <c r="F15830" t="s">
        <v>28</v>
      </c>
      <c r="G15830" t="s">
        <v>17</v>
      </c>
    </row>
    <row r="15831" spans="1:7" x14ac:dyDescent="0.35">
      <c r="A15831">
        <v>6286</v>
      </c>
      <c r="B15831" s="1">
        <v>45999</v>
      </c>
      <c r="C15831" t="s">
        <v>29</v>
      </c>
      <c r="D15831" s="2">
        <v>0</v>
      </c>
      <c r="E15831" s="2">
        <v>412.54</v>
      </c>
      <c r="F15831" t="s">
        <v>8</v>
      </c>
      <c r="G15831" t="s">
        <v>9</v>
      </c>
    </row>
    <row r="15832" spans="1:7" x14ac:dyDescent="0.35">
      <c r="A15832">
        <v>6287</v>
      </c>
      <c r="B15832" s="1">
        <v>45999</v>
      </c>
      <c r="C15832" t="s">
        <v>29</v>
      </c>
      <c r="D15832" s="2">
        <v>4812.46</v>
      </c>
      <c r="E15832" s="2">
        <v>0</v>
      </c>
      <c r="F15832" t="s">
        <v>28</v>
      </c>
      <c r="G15832" t="s">
        <v>17</v>
      </c>
    </row>
    <row r="15833" spans="1:7" x14ac:dyDescent="0.35">
      <c r="A15833">
        <v>6287</v>
      </c>
      <c r="B15833" s="1">
        <v>45999</v>
      </c>
      <c r="C15833" t="s">
        <v>29</v>
      </c>
      <c r="D15833" s="2">
        <v>0</v>
      </c>
      <c r="E15833" s="2">
        <v>4812.46</v>
      </c>
      <c r="F15833" t="s">
        <v>8</v>
      </c>
      <c r="G15833" t="s">
        <v>9</v>
      </c>
    </row>
    <row r="15834" spans="1:7" x14ac:dyDescent="0.35">
      <c r="A15834">
        <v>6288</v>
      </c>
      <c r="B15834" s="1">
        <v>45999</v>
      </c>
      <c r="C15834" t="s">
        <v>29</v>
      </c>
      <c r="D15834" s="2">
        <v>4812.46</v>
      </c>
      <c r="E15834" s="2">
        <v>0</v>
      </c>
      <c r="F15834" t="s">
        <v>28</v>
      </c>
      <c r="G15834" t="s">
        <v>17</v>
      </c>
    </row>
    <row r="15835" spans="1:7" x14ac:dyDescent="0.35">
      <c r="A15835">
        <v>6288</v>
      </c>
      <c r="B15835" s="1">
        <v>45999</v>
      </c>
      <c r="C15835" t="s">
        <v>29</v>
      </c>
      <c r="D15835" s="2">
        <v>0</v>
      </c>
      <c r="E15835" s="2">
        <v>4812.46</v>
      </c>
      <c r="F15835" t="s">
        <v>8</v>
      </c>
      <c r="G15835" t="s">
        <v>9</v>
      </c>
    </row>
    <row r="15836" spans="1:7" x14ac:dyDescent="0.35">
      <c r="A15836">
        <v>6289</v>
      </c>
      <c r="B15836" s="1">
        <v>46000</v>
      </c>
      <c r="C15836" t="s">
        <v>12</v>
      </c>
      <c r="D15836" s="2">
        <v>3019.78</v>
      </c>
      <c r="E15836" s="2">
        <v>0</v>
      </c>
      <c r="F15836" t="s">
        <v>13</v>
      </c>
      <c r="G15836" t="s">
        <v>9</v>
      </c>
    </row>
    <row r="15837" spans="1:7" x14ac:dyDescent="0.35">
      <c r="A15837">
        <v>6289</v>
      </c>
      <c r="B15837" s="1">
        <v>46000</v>
      </c>
      <c r="C15837" t="s">
        <v>12</v>
      </c>
      <c r="D15837" s="2">
        <v>0</v>
      </c>
      <c r="E15837" s="2">
        <v>2809.1</v>
      </c>
      <c r="F15837" t="s">
        <v>14</v>
      </c>
      <c r="G15837" t="s">
        <v>15</v>
      </c>
    </row>
    <row r="15838" spans="1:7" x14ac:dyDescent="0.35">
      <c r="A15838">
        <v>6289</v>
      </c>
      <c r="B15838" s="1">
        <v>46000</v>
      </c>
      <c r="C15838" t="s">
        <v>12</v>
      </c>
      <c r="D15838" s="2">
        <v>0</v>
      </c>
      <c r="E15838" s="2">
        <v>210.68</v>
      </c>
      <c r="F15838" t="s">
        <v>16</v>
      </c>
      <c r="G15838" t="s">
        <v>17</v>
      </c>
    </row>
    <row r="15839" spans="1:7" x14ac:dyDescent="0.35">
      <c r="A15839">
        <v>6290</v>
      </c>
      <c r="B15839" s="1">
        <v>46000</v>
      </c>
      <c r="C15839" t="s">
        <v>12</v>
      </c>
      <c r="D15839" s="2">
        <v>1307.06</v>
      </c>
      <c r="E15839" s="2">
        <v>0</v>
      </c>
      <c r="F15839" t="s">
        <v>13</v>
      </c>
      <c r="G15839" t="s">
        <v>9</v>
      </c>
    </row>
    <row r="15840" spans="1:7" x14ac:dyDescent="0.35">
      <c r="A15840">
        <v>6290</v>
      </c>
      <c r="B15840" s="1">
        <v>46000</v>
      </c>
      <c r="C15840" t="s">
        <v>12</v>
      </c>
      <c r="D15840" s="2">
        <v>0</v>
      </c>
      <c r="E15840" s="2">
        <v>1215.8699999999999</v>
      </c>
      <c r="F15840" t="s">
        <v>14</v>
      </c>
      <c r="G15840" t="s">
        <v>15</v>
      </c>
    </row>
    <row r="15841" spans="1:7" x14ac:dyDescent="0.35">
      <c r="A15841">
        <v>6290</v>
      </c>
      <c r="B15841" s="1">
        <v>46000</v>
      </c>
      <c r="C15841" t="s">
        <v>12</v>
      </c>
      <c r="D15841" s="2">
        <v>0</v>
      </c>
      <c r="E15841" s="2">
        <v>91.19</v>
      </c>
      <c r="F15841" t="s">
        <v>16</v>
      </c>
      <c r="G15841" t="s">
        <v>17</v>
      </c>
    </row>
    <row r="15842" spans="1:7" x14ac:dyDescent="0.35">
      <c r="A15842">
        <v>6291</v>
      </c>
      <c r="B15842" s="1">
        <v>46000</v>
      </c>
      <c r="C15842" t="s">
        <v>12</v>
      </c>
      <c r="D15842" s="2">
        <v>1604.69</v>
      </c>
      <c r="E15842" s="2">
        <v>0</v>
      </c>
      <c r="F15842" t="s">
        <v>13</v>
      </c>
      <c r="G15842" t="s">
        <v>9</v>
      </c>
    </row>
    <row r="15843" spans="1:7" x14ac:dyDescent="0.35">
      <c r="A15843">
        <v>6291</v>
      </c>
      <c r="B15843" s="1">
        <v>46000</v>
      </c>
      <c r="C15843" t="s">
        <v>12</v>
      </c>
      <c r="D15843" s="2">
        <v>0</v>
      </c>
      <c r="E15843" s="2">
        <v>1492.73</v>
      </c>
      <c r="F15843" t="s">
        <v>14</v>
      </c>
      <c r="G15843" t="s">
        <v>15</v>
      </c>
    </row>
    <row r="15844" spans="1:7" x14ac:dyDescent="0.35">
      <c r="A15844">
        <v>6291</v>
      </c>
      <c r="B15844" s="1">
        <v>46000</v>
      </c>
      <c r="C15844" t="s">
        <v>12</v>
      </c>
      <c r="D15844" s="2">
        <v>0</v>
      </c>
      <c r="E15844" s="2">
        <v>111.96</v>
      </c>
      <c r="F15844" t="s">
        <v>16</v>
      </c>
      <c r="G15844" t="s">
        <v>17</v>
      </c>
    </row>
    <row r="15845" spans="1:7" x14ac:dyDescent="0.35">
      <c r="A15845">
        <v>6292</v>
      </c>
      <c r="B15845" s="1">
        <v>46000</v>
      </c>
      <c r="C15845" t="s">
        <v>12</v>
      </c>
      <c r="D15845" s="2">
        <v>4528.59</v>
      </c>
      <c r="E15845" s="2">
        <v>0</v>
      </c>
      <c r="F15845" t="s">
        <v>13</v>
      </c>
      <c r="G15845" t="s">
        <v>9</v>
      </c>
    </row>
    <row r="15846" spans="1:7" x14ac:dyDescent="0.35">
      <c r="A15846">
        <v>6292</v>
      </c>
      <c r="B15846" s="1">
        <v>46000</v>
      </c>
      <c r="C15846" t="s">
        <v>12</v>
      </c>
      <c r="D15846" s="2">
        <v>0</v>
      </c>
      <c r="E15846" s="2">
        <v>4212.6400000000003</v>
      </c>
      <c r="F15846" t="s">
        <v>14</v>
      </c>
      <c r="G15846" t="s">
        <v>15</v>
      </c>
    </row>
    <row r="15847" spans="1:7" x14ac:dyDescent="0.35">
      <c r="A15847">
        <v>6292</v>
      </c>
      <c r="B15847" s="1">
        <v>46000</v>
      </c>
      <c r="C15847" t="s">
        <v>12</v>
      </c>
      <c r="D15847" s="2">
        <v>0</v>
      </c>
      <c r="E15847" s="2">
        <v>315.95</v>
      </c>
      <c r="F15847" t="s">
        <v>16</v>
      </c>
      <c r="G15847" t="s">
        <v>17</v>
      </c>
    </row>
    <row r="15848" spans="1:7" x14ac:dyDescent="0.35">
      <c r="A15848">
        <v>6293</v>
      </c>
      <c r="B15848" s="1">
        <v>46000</v>
      </c>
      <c r="C15848" t="s">
        <v>12</v>
      </c>
      <c r="D15848" s="2">
        <v>1416.4</v>
      </c>
      <c r="E15848" s="2">
        <v>0</v>
      </c>
      <c r="F15848" t="s">
        <v>13</v>
      </c>
      <c r="G15848" t="s">
        <v>9</v>
      </c>
    </row>
    <row r="15849" spans="1:7" x14ac:dyDescent="0.35">
      <c r="A15849">
        <v>6293</v>
      </c>
      <c r="B15849" s="1">
        <v>46000</v>
      </c>
      <c r="C15849" t="s">
        <v>12</v>
      </c>
      <c r="D15849" s="2">
        <v>0</v>
      </c>
      <c r="E15849" s="2">
        <v>1317.57</v>
      </c>
      <c r="F15849" t="s">
        <v>14</v>
      </c>
      <c r="G15849" t="s">
        <v>15</v>
      </c>
    </row>
    <row r="15850" spans="1:7" x14ac:dyDescent="0.35">
      <c r="A15850">
        <v>6293</v>
      </c>
      <c r="B15850" s="1">
        <v>46000</v>
      </c>
      <c r="C15850" t="s">
        <v>12</v>
      </c>
      <c r="D15850" s="2">
        <v>0</v>
      </c>
      <c r="E15850" s="2">
        <v>98.83</v>
      </c>
      <c r="F15850" t="s">
        <v>16</v>
      </c>
      <c r="G15850" t="s">
        <v>17</v>
      </c>
    </row>
    <row r="15851" spans="1:7" x14ac:dyDescent="0.35">
      <c r="A15851">
        <v>6294</v>
      </c>
      <c r="B15851" s="1">
        <v>46000</v>
      </c>
      <c r="C15851" t="s">
        <v>12</v>
      </c>
      <c r="D15851" s="2">
        <v>123.55</v>
      </c>
      <c r="E15851" s="2">
        <v>0</v>
      </c>
      <c r="F15851" t="s">
        <v>13</v>
      </c>
      <c r="G15851" t="s">
        <v>9</v>
      </c>
    </row>
    <row r="15852" spans="1:7" x14ac:dyDescent="0.35">
      <c r="A15852">
        <v>6294</v>
      </c>
      <c r="B15852" s="1">
        <v>46000</v>
      </c>
      <c r="C15852" t="s">
        <v>12</v>
      </c>
      <c r="D15852" s="2">
        <v>0</v>
      </c>
      <c r="E15852" s="2">
        <v>114.93</v>
      </c>
      <c r="F15852" t="s">
        <v>14</v>
      </c>
      <c r="G15852" t="s">
        <v>15</v>
      </c>
    </row>
    <row r="15853" spans="1:7" x14ac:dyDescent="0.35">
      <c r="A15853">
        <v>6294</v>
      </c>
      <c r="B15853" s="1">
        <v>46000</v>
      </c>
      <c r="C15853" t="s">
        <v>12</v>
      </c>
      <c r="D15853" s="2">
        <v>0</v>
      </c>
      <c r="E15853" s="2">
        <v>8.6199999999999992</v>
      </c>
      <c r="F15853" t="s">
        <v>16</v>
      </c>
      <c r="G15853" t="s">
        <v>17</v>
      </c>
    </row>
    <row r="15854" spans="1:7" x14ac:dyDescent="0.35">
      <c r="A15854">
        <v>6295</v>
      </c>
      <c r="B15854" s="1">
        <v>46000</v>
      </c>
      <c r="C15854" t="s">
        <v>12</v>
      </c>
      <c r="D15854" s="2">
        <v>1567.29</v>
      </c>
      <c r="E15854" s="2">
        <v>0</v>
      </c>
      <c r="F15854" t="s">
        <v>13</v>
      </c>
      <c r="G15854" t="s">
        <v>9</v>
      </c>
    </row>
    <row r="15855" spans="1:7" x14ac:dyDescent="0.35">
      <c r="A15855">
        <v>6295</v>
      </c>
      <c r="B15855" s="1">
        <v>46000</v>
      </c>
      <c r="C15855" t="s">
        <v>12</v>
      </c>
      <c r="D15855" s="2">
        <v>0</v>
      </c>
      <c r="E15855" s="2">
        <v>1457.95</v>
      </c>
      <c r="F15855" t="s">
        <v>14</v>
      </c>
      <c r="G15855" t="s">
        <v>15</v>
      </c>
    </row>
    <row r="15856" spans="1:7" x14ac:dyDescent="0.35">
      <c r="A15856">
        <v>6295</v>
      </c>
      <c r="B15856" s="1">
        <v>46000</v>
      </c>
      <c r="C15856" t="s">
        <v>12</v>
      </c>
      <c r="D15856" s="2">
        <v>0</v>
      </c>
      <c r="E15856" s="2">
        <v>109.34</v>
      </c>
      <c r="F15856" t="s">
        <v>16</v>
      </c>
      <c r="G15856" t="s">
        <v>17</v>
      </c>
    </row>
    <row r="15857" spans="1:7" x14ac:dyDescent="0.35">
      <c r="A15857">
        <v>6296</v>
      </c>
      <c r="B15857" s="1">
        <v>46000</v>
      </c>
      <c r="C15857" t="s">
        <v>12</v>
      </c>
      <c r="D15857" s="2">
        <v>3719.31</v>
      </c>
      <c r="E15857" s="2">
        <v>0</v>
      </c>
      <c r="F15857" t="s">
        <v>13</v>
      </c>
      <c r="G15857" t="s">
        <v>9</v>
      </c>
    </row>
    <row r="15858" spans="1:7" x14ac:dyDescent="0.35">
      <c r="A15858">
        <v>6296</v>
      </c>
      <c r="B15858" s="1">
        <v>46000</v>
      </c>
      <c r="C15858" t="s">
        <v>12</v>
      </c>
      <c r="D15858" s="2">
        <v>0</v>
      </c>
      <c r="E15858" s="2">
        <v>3459.82</v>
      </c>
      <c r="F15858" t="s">
        <v>14</v>
      </c>
      <c r="G15858" t="s">
        <v>15</v>
      </c>
    </row>
    <row r="15859" spans="1:7" x14ac:dyDescent="0.35">
      <c r="A15859">
        <v>6296</v>
      </c>
      <c r="B15859" s="1">
        <v>46000</v>
      </c>
      <c r="C15859" t="s">
        <v>12</v>
      </c>
      <c r="D15859" s="2">
        <v>0</v>
      </c>
      <c r="E15859" s="2">
        <v>259.49</v>
      </c>
      <c r="F15859" t="s">
        <v>16</v>
      </c>
      <c r="G15859" t="s">
        <v>17</v>
      </c>
    </row>
    <row r="15860" spans="1:7" x14ac:dyDescent="0.35">
      <c r="A15860">
        <v>6297</v>
      </c>
      <c r="B15860" s="1">
        <v>46000</v>
      </c>
      <c r="C15860" t="s">
        <v>12</v>
      </c>
      <c r="D15860" s="2">
        <v>1647.4</v>
      </c>
      <c r="E15860" s="2">
        <v>0</v>
      </c>
      <c r="F15860" t="s">
        <v>13</v>
      </c>
      <c r="G15860" t="s">
        <v>9</v>
      </c>
    </row>
    <row r="15861" spans="1:7" x14ac:dyDescent="0.35">
      <c r="A15861">
        <v>6297</v>
      </c>
      <c r="B15861" s="1">
        <v>46000</v>
      </c>
      <c r="C15861" t="s">
        <v>12</v>
      </c>
      <c r="D15861" s="2">
        <v>0</v>
      </c>
      <c r="E15861" s="2">
        <v>1532.47</v>
      </c>
      <c r="F15861" t="s">
        <v>14</v>
      </c>
      <c r="G15861" t="s">
        <v>15</v>
      </c>
    </row>
    <row r="15862" spans="1:7" x14ac:dyDescent="0.35">
      <c r="A15862">
        <v>6297</v>
      </c>
      <c r="B15862" s="1">
        <v>46000</v>
      </c>
      <c r="C15862" t="s">
        <v>12</v>
      </c>
      <c r="D15862" s="2">
        <v>0</v>
      </c>
      <c r="E15862" s="2">
        <v>114.93</v>
      </c>
      <c r="F15862" t="s">
        <v>16</v>
      </c>
      <c r="G15862" t="s">
        <v>17</v>
      </c>
    </row>
    <row r="15863" spans="1:7" x14ac:dyDescent="0.35">
      <c r="A15863">
        <v>6298</v>
      </c>
      <c r="B15863" s="1">
        <v>46000</v>
      </c>
      <c r="C15863" t="s">
        <v>12</v>
      </c>
      <c r="D15863" s="2">
        <v>2775.02</v>
      </c>
      <c r="E15863" s="2">
        <v>0</v>
      </c>
      <c r="F15863" t="s">
        <v>13</v>
      </c>
      <c r="G15863" t="s">
        <v>9</v>
      </c>
    </row>
    <row r="15864" spans="1:7" x14ac:dyDescent="0.35">
      <c r="A15864">
        <v>6298</v>
      </c>
      <c r="B15864" s="1">
        <v>46000</v>
      </c>
      <c r="C15864" t="s">
        <v>12</v>
      </c>
      <c r="D15864" s="2">
        <v>0</v>
      </c>
      <c r="E15864" s="2">
        <v>2581.41</v>
      </c>
      <c r="F15864" t="s">
        <v>14</v>
      </c>
      <c r="G15864" t="s">
        <v>15</v>
      </c>
    </row>
    <row r="15865" spans="1:7" x14ac:dyDescent="0.35">
      <c r="A15865">
        <v>6298</v>
      </c>
      <c r="B15865" s="1">
        <v>46000</v>
      </c>
      <c r="C15865" t="s">
        <v>12</v>
      </c>
      <c r="D15865" s="2">
        <v>0</v>
      </c>
      <c r="E15865" s="2">
        <v>193.61</v>
      </c>
      <c r="F15865" t="s">
        <v>16</v>
      </c>
      <c r="G15865" t="s">
        <v>17</v>
      </c>
    </row>
    <row r="15866" spans="1:7" x14ac:dyDescent="0.35">
      <c r="A15866">
        <v>6299</v>
      </c>
      <c r="B15866" s="1">
        <v>46000</v>
      </c>
      <c r="C15866" t="s">
        <v>12</v>
      </c>
      <c r="D15866" s="2">
        <v>1813.35</v>
      </c>
      <c r="E15866" s="2">
        <v>0</v>
      </c>
      <c r="F15866" t="s">
        <v>13</v>
      </c>
      <c r="G15866" t="s">
        <v>9</v>
      </c>
    </row>
    <row r="15867" spans="1:7" x14ac:dyDescent="0.35">
      <c r="A15867">
        <v>6299</v>
      </c>
      <c r="B15867" s="1">
        <v>46000</v>
      </c>
      <c r="C15867" t="s">
        <v>12</v>
      </c>
      <c r="D15867" s="2">
        <v>0</v>
      </c>
      <c r="E15867" s="2">
        <v>1686.84</v>
      </c>
      <c r="F15867" t="s">
        <v>14</v>
      </c>
      <c r="G15867" t="s">
        <v>15</v>
      </c>
    </row>
    <row r="15868" spans="1:7" x14ac:dyDescent="0.35">
      <c r="A15868">
        <v>6299</v>
      </c>
      <c r="B15868" s="1">
        <v>46000</v>
      </c>
      <c r="C15868" t="s">
        <v>12</v>
      </c>
      <c r="D15868" s="2">
        <v>0</v>
      </c>
      <c r="E15868" s="2">
        <v>126.51</v>
      </c>
      <c r="F15868" t="s">
        <v>16</v>
      </c>
      <c r="G15868" t="s">
        <v>17</v>
      </c>
    </row>
    <row r="15869" spans="1:7" x14ac:dyDescent="0.35">
      <c r="A15869">
        <v>6300</v>
      </c>
      <c r="B15869" s="1">
        <v>46000</v>
      </c>
      <c r="C15869" t="s">
        <v>12</v>
      </c>
      <c r="D15869" s="2">
        <v>2676</v>
      </c>
      <c r="E15869" s="2">
        <v>0</v>
      </c>
      <c r="F15869" t="s">
        <v>13</v>
      </c>
      <c r="G15869" t="s">
        <v>9</v>
      </c>
    </row>
    <row r="15870" spans="1:7" x14ac:dyDescent="0.35">
      <c r="A15870">
        <v>6300</v>
      </c>
      <c r="B15870" s="1">
        <v>46000</v>
      </c>
      <c r="C15870" t="s">
        <v>12</v>
      </c>
      <c r="D15870" s="2">
        <v>0</v>
      </c>
      <c r="E15870" s="2">
        <v>2489.29</v>
      </c>
      <c r="F15870" t="s">
        <v>14</v>
      </c>
      <c r="G15870" t="s">
        <v>15</v>
      </c>
    </row>
    <row r="15871" spans="1:7" x14ac:dyDescent="0.35">
      <c r="A15871">
        <v>6300</v>
      </c>
      <c r="B15871" s="1">
        <v>46000</v>
      </c>
      <c r="C15871" t="s">
        <v>12</v>
      </c>
      <c r="D15871" s="2">
        <v>0</v>
      </c>
      <c r="E15871" s="2">
        <v>186.71</v>
      </c>
      <c r="F15871" t="s">
        <v>16</v>
      </c>
      <c r="G15871" t="s">
        <v>17</v>
      </c>
    </row>
    <row r="15872" spans="1:7" x14ac:dyDescent="0.35">
      <c r="A15872">
        <v>6301</v>
      </c>
      <c r="B15872" s="1">
        <v>46000</v>
      </c>
      <c r="C15872" t="s">
        <v>12</v>
      </c>
      <c r="D15872" s="2">
        <v>2353.64</v>
      </c>
      <c r="E15872" s="2">
        <v>0</v>
      </c>
      <c r="F15872" t="s">
        <v>13</v>
      </c>
      <c r="G15872" t="s">
        <v>9</v>
      </c>
    </row>
    <row r="15873" spans="1:7" x14ac:dyDescent="0.35">
      <c r="A15873">
        <v>6301</v>
      </c>
      <c r="B15873" s="1">
        <v>46000</v>
      </c>
      <c r="C15873" t="s">
        <v>12</v>
      </c>
      <c r="D15873" s="2">
        <v>0</v>
      </c>
      <c r="E15873" s="2">
        <v>2189.44</v>
      </c>
      <c r="F15873" t="s">
        <v>14</v>
      </c>
      <c r="G15873" t="s">
        <v>15</v>
      </c>
    </row>
    <row r="15874" spans="1:7" x14ac:dyDescent="0.35">
      <c r="A15874">
        <v>6301</v>
      </c>
      <c r="B15874" s="1">
        <v>46000</v>
      </c>
      <c r="C15874" t="s">
        <v>12</v>
      </c>
      <c r="D15874" s="2">
        <v>0</v>
      </c>
      <c r="E15874" s="2">
        <v>164.2</v>
      </c>
      <c r="F15874" t="s">
        <v>16</v>
      </c>
      <c r="G15874" t="s">
        <v>17</v>
      </c>
    </row>
    <row r="15875" spans="1:7" x14ac:dyDescent="0.35">
      <c r="A15875">
        <v>6302</v>
      </c>
      <c r="B15875" s="1">
        <v>46000</v>
      </c>
      <c r="C15875" t="s">
        <v>12</v>
      </c>
      <c r="D15875" s="2">
        <v>1398.89</v>
      </c>
      <c r="E15875" s="2">
        <v>0</v>
      </c>
      <c r="F15875" t="s">
        <v>13</v>
      </c>
      <c r="G15875" t="s">
        <v>9</v>
      </c>
    </row>
    <row r="15876" spans="1:7" x14ac:dyDescent="0.35">
      <c r="A15876">
        <v>6302</v>
      </c>
      <c r="B15876" s="1">
        <v>46000</v>
      </c>
      <c r="C15876" t="s">
        <v>12</v>
      </c>
      <c r="D15876" s="2">
        <v>0</v>
      </c>
      <c r="E15876" s="2">
        <v>1301.31</v>
      </c>
      <c r="F15876" t="s">
        <v>14</v>
      </c>
      <c r="G15876" t="s">
        <v>15</v>
      </c>
    </row>
    <row r="15877" spans="1:7" x14ac:dyDescent="0.35">
      <c r="A15877">
        <v>6302</v>
      </c>
      <c r="B15877" s="1">
        <v>46000</v>
      </c>
      <c r="C15877" t="s">
        <v>12</v>
      </c>
      <c r="D15877" s="2">
        <v>0</v>
      </c>
      <c r="E15877" s="2">
        <v>97.58</v>
      </c>
      <c r="F15877" t="s">
        <v>16</v>
      </c>
      <c r="G15877" t="s">
        <v>17</v>
      </c>
    </row>
    <row r="15878" spans="1:7" x14ac:dyDescent="0.35">
      <c r="A15878">
        <v>6303</v>
      </c>
      <c r="B15878" s="1">
        <v>46000</v>
      </c>
      <c r="C15878" t="s">
        <v>12</v>
      </c>
      <c r="D15878" s="2">
        <v>413.5</v>
      </c>
      <c r="E15878" s="2">
        <v>0</v>
      </c>
      <c r="F15878" t="s">
        <v>13</v>
      </c>
      <c r="G15878" t="s">
        <v>9</v>
      </c>
    </row>
    <row r="15879" spans="1:7" x14ac:dyDescent="0.35">
      <c r="A15879">
        <v>6303</v>
      </c>
      <c r="B15879" s="1">
        <v>46000</v>
      </c>
      <c r="C15879" t="s">
        <v>12</v>
      </c>
      <c r="D15879" s="2">
        <v>0</v>
      </c>
      <c r="E15879" s="2">
        <v>384.65</v>
      </c>
      <c r="F15879" t="s">
        <v>14</v>
      </c>
      <c r="G15879" t="s">
        <v>15</v>
      </c>
    </row>
    <row r="15880" spans="1:7" x14ac:dyDescent="0.35">
      <c r="A15880">
        <v>6303</v>
      </c>
      <c r="B15880" s="1">
        <v>46000</v>
      </c>
      <c r="C15880" t="s">
        <v>12</v>
      </c>
      <c r="D15880" s="2">
        <v>0</v>
      </c>
      <c r="E15880" s="2">
        <v>28.85</v>
      </c>
      <c r="F15880" t="s">
        <v>16</v>
      </c>
      <c r="G15880" t="s">
        <v>17</v>
      </c>
    </row>
    <row r="15881" spans="1:7" x14ac:dyDescent="0.35">
      <c r="A15881">
        <v>6304</v>
      </c>
      <c r="B15881" s="1">
        <v>46000</v>
      </c>
      <c r="C15881" t="s">
        <v>12</v>
      </c>
      <c r="D15881" s="2">
        <v>466.28</v>
      </c>
      <c r="E15881" s="2">
        <v>0</v>
      </c>
      <c r="F15881" t="s">
        <v>13</v>
      </c>
      <c r="G15881" t="s">
        <v>9</v>
      </c>
    </row>
    <row r="15882" spans="1:7" x14ac:dyDescent="0.35">
      <c r="A15882">
        <v>6304</v>
      </c>
      <c r="B15882" s="1">
        <v>46000</v>
      </c>
      <c r="C15882" t="s">
        <v>12</v>
      </c>
      <c r="D15882" s="2">
        <v>0</v>
      </c>
      <c r="E15882" s="2">
        <v>433.74</v>
      </c>
      <c r="F15882" t="s">
        <v>14</v>
      </c>
      <c r="G15882" t="s">
        <v>15</v>
      </c>
    </row>
    <row r="15883" spans="1:7" x14ac:dyDescent="0.35">
      <c r="A15883">
        <v>6304</v>
      </c>
      <c r="B15883" s="1">
        <v>46000</v>
      </c>
      <c r="C15883" t="s">
        <v>12</v>
      </c>
      <c r="D15883" s="2">
        <v>0</v>
      </c>
      <c r="E15883" s="2">
        <v>32.54</v>
      </c>
      <c r="F15883" t="s">
        <v>16</v>
      </c>
      <c r="G15883" t="s">
        <v>17</v>
      </c>
    </row>
    <row r="15884" spans="1:7" x14ac:dyDescent="0.35">
      <c r="A15884">
        <v>6305</v>
      </c>
      <c r="B15884" s="1">
        <v>46000</v>
      </c>
      <c r="C15884" t="s">
        <v>12</v>
      </c>
      <c r="D15884" s="2">
        <v>1299.0999999999999</v>
      </c>
      <c r="E15884" s="2">
        <v>0</v>
      </c>
      <c r="F15884" t="s">
        <v>13</v>
      </c>
      <c r="G15884" t="s">
        <v>9</v>
      </c>
    </row>
    <row r="15885" spans="1:7" x14ac:dyDescent="0.35">
      <c r="A15885">
        <v>6305</v>
      </c>
      <c r="B15885" s="1">
        <v>46000</v>
      </c>
      <c r="C15885" t="s">
        <v>12</v>
      </c>
      <c r="D15885" s="2">
        <v>0</v>
      </c>
      <c r="E15885" s="2">
        <v>1208.47</v>
      </c>
      <c r="F15885" t="s">
        <v>14</v>
      </c>
      <c r="G15885" t="s">
        <v>15</v>
      </c>
    </row>
    <row r="15886" spans="1:7" x14ac:dyDescent="0.35">
      <c r="A15886">
        <v>6305</v>
      </c>
      <c r="B15886" s="1">
        <v>46000</v>
      </c>
      <c r="C15886" t="s">
        <v>12</v>
      </c>
      <c r="D15886" s="2">
        <v>0</v>
      </c>
      <c r="E15886" s="2">
        <v>90.63</v>
      </c>
      <c r="F15886" t="s">
        <v>16</v>
      </c>
      <c r="G15886" t="s">
        <v>17</v>
      </c>
    </row>
    <row r="15887" spans="1:7" x14ac:dyDescent="0.35">
      <c r="A15887">
        <v>6306</v>
      </c>
      <c r="B15887" s="1">
        <v>46000</v>
      </c>
      <c r="C15887" t="s">
        <v>12</v>
      </c>
      <c r="D15887" s="2">
        <v>784.29</v>
      </c>
      <c r="E15887" s="2">
        <v>0</v>
      </c>
      <c r="F15887" t="s">
        <v>13</v>
      </c>
      <c r="G15887" t="s">
        <v>9</v>
      </c>
    </row>
    <row r="15888" spans="1:7" x14ac:dyDescent="0.35">
      <c r="A15888">
        <v>6306</v>
      </c>
      <c r="B15888" s="1">
        <v>46000</v>
      </c>
      <c r="C15888" t="s">
        <v>12</v>
      </c>
      <c r="D15888" s="2">
        <v>0</v>
      </c>
      <c r="E15888" s="2">
        <v>729.57</v>
      </c>
      <c r="F15888" t="s">
        <v>14</v>
      </c>
      <c r="G15888" t="s">
        <v>15</v>
      </c>
    </row>
    <row r="15889" spans="1:7" x14ac:dyDescent="0.35">
      <c r="A15889">
        <v>6306</v>
      </c>
      <c r="B15889" s="1">
        <v>46000</v>
      </c>
      <c r="C15889" t="s">
        <v>12</v>
      </c>
      <c r="D15889" s="2">
        <v>0</v>
      </c>
      <c r="E15889" s="2">
        <v>54.72</v>
      </c>
      <c r="F15889" t="s">
        <v>16</v>
      </c>
      <c r="G15889" t="s">
        <v>17</v>
      </c>
    </row>
    <row r="15890" spans="1:7" x14ac:dyDescent="0.35">
      <c r="A15890">
        <v>6307</v>
      </c>
      <c r="B15890" s="1">
        <v>46000</v>
      </c>
      <c r="C15890" t="s">
        <v>12</v>
      </c>
      <c r="D15890" s="2">
        <v>1800.37</v>
      </c>
      <c r="E15890" s="2">
        <v>0</v>
      </c>
      <c r="F15890" t="s">
        <v>13</v>
      </c>
      <c r="G15890" t="s">
        <v>9</v>
      </c>
    </row>
    <row r="15891" spans="1:7" x14ac:dyDescent="0.35">
      <c r="A15891">
        <v>6307</v>
      </c>
      <c r="B15891" s="1">
        <v>46000</v>
      </c>
      <c r="C15891" t="s">
        <v>12</v>
      </c>
      <c r="D15891" s="2">
        <v>0</v>
      </c>
      <c r="E15891" s="2">
        <v>1674.76</v>
      </c>
      <c r="F15891" t="s">
        <v>14</v>
      </c>
      <c r="G15891" t="s">
        <v>15</v>
      </c>
    </row>
    <row r="15892" spans="1:7" x14ac:dyDescent="0.35">
      <c r="A15892">
        <v>6307</v>
      </c>
      <c r="B15892" s="1">
        <v>46000</v>
      </c>
      <c r="C15892" t="s">
        <v>12</v>
      </c>
      <c r="D15892" s="2">
        <v>0</v>
      </c>
      <c r="E15892" s="2">
        <v>125.61</v>
      </c>
      <c r="F15892" t="s">
        <v>16</v>
      </c>
      <c r="G15892" t="s">
        <v>17</v>
      </c>
    </row>
    <row r="15893" spans="1:7" x14ac:dyDescent="0.35">
      <c r="A15893">
        <v>6308</v>
      </c>
      <c r="B15893" s="1">
        <v>46000</v>
      </c>
      <c r="C15893" t="s">
        <v>24</v>
      </c>
      <c r="D15893" s="2">
        <v>1651.51</v>
      </c>
      <c r="E15893" s="2">
        <v>0</v>
      </c>
      <c r="F15893" t="s">
        <v>8</v>
      </c>
      <c r="G15893" t="s">
        <v>9</v>
      </c>
    </row>
    <row r="15894" spans="1:7" x14ac:dyDescent="0.35">
      <c r="A15894">
        <v>6308</v>
      </c>
      <c r="B15894" s="1">
        <v>46000</v>
      </c>
      <c r="C15894" t="s">
        <v>24</v>
      </c>
      <c r="D15894" s="2">
        <v>0</v>
      </c>
      <c r="E15894" s="2">
        <v>1651.51</v>
      </c>
      <c r="F15894" t="s">
        <v>13</v>
      </c>
      <c r="G15894" t="s">
        <v>9</v>
      </c>
    </row>
    <row r="15895" spans="1:7" x14ac:dyDescent="0.35">
      <c r="A15895">
        <v>6309</v>
      </c>
      <c r="B15895" s="1">
        <v>46000</v>
      </c>
      <c r="C15895" t="s">
        <v>24</v>
      </c>
      <c r="D15895" s="2">
        <v>965.05</v>
      </c>
      <c r="E15895" s="2">
        <v>0</v>
      </c>
      <c r="F15895" t="s">
        <v>8</v>
      </c>
      <c r="G15895" t="s">
        <v>9</v>
      </c>
    </row>
    <row r="15896" spans="1:7" x14ac:dyDescent="0.35">
      <c r="A15896">
        <v>6309</v>
      </c>
      <c r="B15896" s="1">
        <v>46000</v>
      </c>
      <c r="C15896" t="s">
        <v>24</v>
      </c>
      <c r="D15896" s="2">
        <v>0</v>
      </c>
      <c r="E15896" s="2">
        <v>965.05</v>
      </c>
      <c r="F15896" t="s">
        <v>13</v>
      </c>
      <c r="G15896" t="s">
        <v>9</v>
      </c>
    </row>
    <row r="15897" spans="1:7" x14ac:dyDescent="0.35">
      <c r="A15897">
        <v>6310</v>
      </c>
      <c r="B15897" s="1">
        <v>46000</v>
      </c>
      <c r="C15897" t="s">
        <v>24</v>
      </c>
      <c r="D15897" s="2">
        <v>1657.34</v>
      </c>
      <c r="E15897" s="2">
        <v>0</v>
      </c>
      <c r="F15897" t="s">
        <v>8</v>
      </c>
      <c r="G15897" t="s">
        <v>9</v>
      </c>
    </row>
    <row r="15898" spans="1:7" x14ac:dyDescent="0.35">
      <c r="A15898">
        <v>6310</v>
      </c>
      <c r="B15898" s="1">
        <v>46000</v>
      </c>
      <c r="C15898" t="s">
        <v>24</v>
      </c>
      <c r="D15898" s="2">
        <v>0</v>
      </c>
      <c r="E15898" s="2">
        <v>1657.34</v>
      </c>
      <c r="F15898" t="s">
        <v>13</v>
      </c>
      <c r="G15898" t="s">
        <v>9</v>
      </c>
    </row>
    <row r="15899" spans="1:7" x14ac:dyDescent="0.35">
      <c r="A15899">
        <v>6311</v>
      </c>
      <c r="B15899" s="1">
        <v>46000</v>
      </c>
      <c r="C15899" t="s">
        <v>24</v>
      </c>
      <c r="D15899" s="2">
        <v>865.52</v>
      </c>
      <c r="E15899" s="2">
        <v>0</v>
      </c>
      <c r="F15899" t="s">
        <v>8</v>
      </c>
      <c r="G15899" t="s">
        <v>9</v>
      </c>
    </row>
    <row r="15900" spans="1:7" x14ac:dyDescent="0.35">
      <c r="A15900">
        <v>6311</v>
      </c>
      <c r="B15900" s="1">
        <v>46000</v>
      </c>
      <c r="C15900" t="s">
        <v>24</v>
      </c>
      <c r="D15900" s="2">
        <v>0</v>
      </c>
      <c r="E15900" s="2">
        <v>865.52</v>
      </c>
      <c r="F15900" t="s">
        <v>13</v>
      </c>
      <c r="G15900" t="s">
        <v>9</v>
      </c>
    </row>
    <row r="15901" spans="1:7" x14ac:dyDescent="0.35">
      <c r="A15901">
        <v>6312</v>
      </c>
      <c r="B15901" s="1">
        <v>46000</v>
      </c>
      <c r="C15901" t="s">
        <v>24</v>
      </c>
      <c r="D15901" s="2">
        <v>1954.1</v>
      </c>
      <c r="E15901" s="2">
        <v>0</v>
      </c>
      <c r="F15901" t="s">
        <v>8</v>
      </c>
      <c r="G15901" t="s">
        <v>9</v>
      </c>
    </row>
    <row r="15902" spans="1:7" x14ac:dyDescent="0.35">
      <c r="A15902">
        <v>6312</v>
      </c>
      <c r="B15902" s="1">
        <v>46000</v>
      </c>
      <c r="C15902" t="s">
        <v>24</v>
      </c>
      <c r="D15902" s="2">
        <v>0</v>
      </c>
      <c r="E15902" s="2">
        <v>1954.1</v>
      </c>
      <c r="F15902" t="s">
        <v>13</v>
      </c>
      <c r="G15902" t="s">
        <v>9</v>
      </c>
    </row>
    <row r="15903" spans="1:7" x14ac:dyDescent="0.35">
      <c r="A15903">
        <v>6313</v>
      </c>
      <c r="B15903" s="1">
        <v>46000</v>
      </c>
      <c r="C15903" t="s">
        <v>24</v>
      </c>
      <c r="D15903" s="2">
        <v>1364.68</v>
      </c>
      <c r="E15903" s="2">
        <v>0</v>
      </c>
      <c r="F15903" t="s">
        <v>8</v>
      </c>
      <c r="G15903" t="s">
        <v>9</v>
      </c>
    </row>
    <row r="15904" spans="1:7" x14ac:dyDescent="0.35">
      <c r="A15904">
        <v>6313</v>
      </c>
      <c r="B15904" s="1">
        <v>46000</v>
      </c>
      <c r="C15904" t="s">
        <v>24</v>
      </c>
      <c r="D15904" s="2">
        <v>0</v>
      </c>
      <c r="E15904" s="2">
        <v>1364.68</v>
      </c>
      <c r="F15904" t="s">
        <v>13</v>
      </c>
      <c r="G15904" t="s">
        <v>9</v>
      </c>
    </row>
    <row r="15905" spans="1:7" x14ac:dyDescent="0.35">
      <c r="A15905">
        <v>6314</v>
      </c>
      <c r="B15905" s="1">
        <v>46000</v>
      </c>
      <c r="C15905" t="s">
        <v>24</v>
      </c>
      <c r="D15905" s="2">
        <v>2061.13</v>
      </c>
      <c r="E15905" s="2">
        <v>0</v>
      </c>
      <c r="F15905" t="s">
        <v>8</v>
      </c>
      <c r="G15905" t="s">
        <v>9</v>
      </c>
    </row>
    <row r="15906" spans="1:7" x14ac:dyDescent="0.35">
      <c r="A15906">
        <v>6314</v>
      </c>
      <c r="B15906" s="1">
        <v>46000</v>
      </c>
      <c r="C15906" t="s">
        <v>24</v>
      </c>
      <c r="D15906" s="2">
        <v>0</v>
      </c>
      <c r="E15906" s="2">
        <v>2061.13</v>
      </c>
      <c r="F15906" t="s">
        <v>13</v>
      </c>
      <c r="G15906" t="s">
        <v>9</v>
      </c>
    </row>
    <row r="15907" spans="1:7" x14ac:dyDescent="0.35">
      <c r="A15907">
        <v>6315</v>
      </c>
      <c r="B15907" s="1">
        <v>46000</v>
      </c>
      <c r="C15907" t="s">
        <v>24</v>
      </c>
      <c r="D15907" s="2">
        <v>926.22</v>
      </c>
      <c r="E15907" s="2">
        <v>0</v>
      </c>
      <c r="F15907" t="s">
        <v>8</v>
      </c>
      <c r="G15907" t="s">
        <v>9</v>
      </c>
    </row>
    <row r="15908" spans="1:7" x14ac:dyDescent="0.35">
      <c r="A15908">
        <v>6315</v>
      </c>
      <c r="B15908" s="1">
        <v>46000</v>
      </c>
      <c r="C15908" t="s">
        <v>24</v>
      </c>
      <c r="D15908" s="2">
        <v>0</v>
      </c>
      <c r="E15908" s="2">
        <v>926.22</v>
      </c>
      <c r="F15908" t="s">
        <v>13</v>
      </c>
      <c r="G15908" t="s">
        <v>9</v>
      </c>
    </row>
    <row r="15909" spans="1:7" x14ac:dyDescent="0.35">
      <c r="A15909">
        <v>6316</v>
      </c>
      <c r="B15909" s="1">
        <v>46000</v>
      </c>
      <c r="C15909" t="s">
        <v>24</v>
      </c>
      <c r="D15909" s="2">
        <v>3831.38</v>
      </c>
      <c r="E15909" s="2">
        <v>0</v>
      </c>
      <c r="F15909" t="s">
        <v>8</v>
      </c>
      <c r="G15909" t="s">
        <v>9</v>
      </c>
    </row>
    <row r="15910" spans="1:7" x14ac:dyDescent="0.35">
      <c r="A15910">
        <v>6316</v>
      </c>
      <c r="B15910" s="1">
        <v>46000</v>
      </c>
      <c r="C15910" t="s">
        <v>24</v>
      </c>
      <c r="D15910" s="2">
        <v>0</v>
      </c>
      <c r="E15910" s="2">
        <v>3831.38</v>
      </c>
      <c r="F15910" t="s">
        <v>13</v>
      </c>
      <c r="G15910" t="s">
        <v>9</v>
      </c>
    </row>
    <row r="15911" spans="1:7" x14ac:dyDescent="0.35">
      <c r="A15911">
        <v>6317</v>
      </c>
      <c r="B15911" s="1">
        <v>46000</v>
      </c>
      <c r="C15911" t="s">
        <v>24</v>
      </c>
      <c r="D15911" s="2">
        <v>4159.1000000000004</v>
      </c>
      <c r="E15911" s="2">
        <v>0</v>
      </c>
      <c r="F15911" t="s">
        <v>8</v>
      </c>
      <c r="G15911" t="s">
        <v>9</v>
      </c>
    </row>
    <row r="15912" spans="1:7" x14ac:dyDescent="0.35">
      <c r="A15912">
        <v>6317</v>
      </c>
      <c r="B15912" s="1">
        <v>46000</v>
      </c>
      <c r="C15912" t="s">
        <v>24</v>
      </c>
      <c r="D15912" s="2">
        <v>0</v>
      </c>
      <c r="E15912" s="2">
        <v>4159.1000000000004</v>
      </c>
      <c r="F15912" t="s">
        <v>13</v>
      </c>
      <c r="G15912" t="s">
        <v>9</v>
      </c>
    </row>
    <row r="15913" spans="1:7" x14ac:dyDescent="0.35">
      <c r="A15913">
        <v>6318</v>
      </c>
      <c r="B15913" s="1">
        <v>46000</v>
      </c>
      <c r="C15913" t="s">
        <v>24</v>
      </c>
      <c r="D15913" s="2">
        <v>4364.7700000000004</v>
      </c>
      <c r="E15913" s="2">
        <v>0</v>
      </c>
      <c r="F15913" t="s">
        <v>8</v>
      </c>
      <c r="G15913" t="s">
        <v>9</v>
      </c>
    </row>
    <row r="15914" spans="1:7" x14ac:dyDescent="0.35">
      <c r="A15914">
        <v>6318</v>
      </c>
      <c r="B15914" s="1">
        <v>46000</v>
      </c>
      <c r="C15914" t="s">
        <v>24</v>
      </c>
      <c r="D15914" s="2">
        <v>0</v>
      </c>
      <c r="E15914" s="2">
        <v>4364.7700000000004</v>
      </c>
      <c r="F15914" t="s">
        <v>13</v>
      </c>
      <c r="G15914" t="s">
        <v>9</v>
      </c>
    </row>
    <row r="15915" spans="1:7" x14ac:dyDescent="0.35">
      <c r="A15915">
        <v>6319</v>
      </c>
      <c r="B15915" s="1">
        <v>46000</v>
      </c>
      <c r="C15915" t="s">
        <v>24</v>
      </c>
      <c r="D15915" s="2">
        <v>283.70999999999998</v>
      </c>
      <c r="E15915" s="2">
        <v>0</v>
      </c>
      <c r="F15915" t="s">
        <v>8</v>
      </c>
      <c r="G15915" t="s">
        <v>9</v>
      </c>
    </row>
    <row r="15916" spans="1:7" x14ac:dyDescent="0.35">
      <c r="A15916">
        <v>6319</v>
      </c>
      <c r="B15916" s="1">
        <v>46000</v>
      </c>
      <c r="C15916" t="s">
        <v>24</v>
      </c>
      <c r="D15916" s="2">
        <v>0</v>
      </c>
      <c r="E15916" s="2">
        <v>283.70999999999998</v>
      </c>
      <c r="F15916" t="s">
        <v>13</v>
      </c>
      <c r="G15916" t="s">
        <v>9</v>
      </c>
    </row>
    <row r="15917" spans="1:7" x14ac:dyDescent="0.35">
      <c r="A15917">
        <v>6320</v>
      </c>
      <c r="B15917" s="1">
        <v>46000</v>
      </c>
      <c r="C15917" t="s">
        <v>24</v>
      </c>
      <c r="D15917" s="2">
        <v>1800.37</v>
      </c>
      <c r="E15917" s="2">
        <v>0</v>
      </c>
      <c r="F15917" t="s">
        <v>8</v>
      </c>
      <c r="G15917" t="s">
        <v>9</v>
      </c>
    </row>
    <row r="15918" spans="1:7" x14ac:dyDescent="0.35">
      <c r="A15918">
        <v>6320</v>
      </c>
      <c r="B15918" s="1">
        <v>46000</v>
      </c>
      <c r="C15918" t="s">
        <v>24</v>
      </c>
      <c r="D15918" s="2">
        <v>0</v>
      </c>
      <c r="E15918" s="2">
        <v>1800.37</v>
      </c>
      <c r="F15918" t="s">
        <v>13</v>
      </c>
      <c r="G15918" t="s">
        <v>9</v>
      </c>
    </row>
    <row r="15919" spans="1:7" x14ac:dyDescent="0.35">
      <c r="A15919">
        <v>6321</v>
      </c>
      <c r="B15919" s="1">
        <v>46000</v>
      </c>
      <c r="C15919" t="s">
        <v>29</v>
      </c>
      <c r="D15919" s="2">
        <v>2093.2800000000002</v>
      </c>
      <c r="E15919" s="2">
        <v>0</v>
      </c>
      <c r="F15919" t="s">
        <v>28</v>
      </c>
      <c r="G15919" t="s">
        <v>17</v>
      </c>
    </row>
    <row r="15920" spans="1:7" x14ac:dyDescent="0.35">
      <c r="A15920">
        <v>6321</v>
      </c>
      <c r="B15920" s="1">
        <v>46000</v>
      </c>
      <c r="C15920" t="s">
        <v>29</v>
      </c>
      <c r="D15920" s="2">
        <v>0</v>
      </c>
      <c r="E15920" s="2">
        <v>2093.2800000000002</v>
      </c>
      <c r="F15920" t="s">
        <v>8</v>
      </c>
      <c r="G15920" t="s">
        <v>9</v>
      </c>
    </row>
    <row r="15921" spans="1:7" x14ac:dyDescent="0.35">
      <c r="A15921">
        <v>6322</v>
      </c>
      <c r="B15921" s="1">
        <v>46000</v>
      </c>
      <c r="C15921" t="s">
        <v>29</v>
      </c>
      <c r="D15921" s="2">
        <v>748.26</v>
      </c>
      <c r="E15921" s="2">
        <v>0</v>
      </c>
      <c r="F15921" t="s">
        <v>28</v>
      </c>
      <c r="G15921" t="s">
        <v>17</v>
      </c>
    </row>
    <row r="15922" spans="1:7" x14ac:dyDescent="0.35">
      <c r="A15922">
        <v>6322</v>
      </c>
      <c r="B15922" s="1">
        <v>46000</v>
      </c>
      <c r="C15922" t="s">
        <v>29</v>
      </c>
      <c r="D15922" s="2">
        <v>0</v>
      </c>
      <c r="E15922" s="2">
        <v>748.26</v>
      </c>
      <c r="F15922" t="s">
        <v>8</v>
      </c>
      <c r="G15922" t="s">
        <v>9</v>
      </c>
    </row>
    <row r="15923" spans="1:7" x14ac:dyDescent="0.35">
      <c r="A15923">
        <v>6323</v>
      </c>
      <c r="B15923" s="1">
        <v>46000</v>
      </c>
      <c r="C15923" t="s">
        <v>29</v>
      </c>
      <c r="D15923" s="2">
        <v>7227.44</v>
      </c>
      <c r="E15923" s="2">
        <v>0</v>
      </c>
      <c r="F15923" t="s">
        <v>28</v>
      </c>
      <c r="G15923" t="s">
        <v>17</v>
      </c>
    </row>
    <row r="15924" spans="1:7" x14ac:dyDescent="0.35">
      <c r="A15924">
        <v>6323</v>
      </c>
      <c r="B15924" s="1">
        <v>46000</v>
      </c>
      <c r="C15924" t="s">
        <v>29</v>
      </c>
      <c r="D15924" s="2">
        <v>0</v>
      </c>
      <c r="E15924" s="2">
        <v>7227.44</v>
      </c>
      <c r="F15924" t="s">
        <v>8</v>
      </c>
      <c r="G15924" t="s">
        <v>9</v>
      </c>
    </row>
    <row r="15925" spans="1:7" x14ac:dyDescent="0.35">
      <c r="A15925">
        <v>6324</v>
      </c>
      <c r="B15925" s="1">
        <v>46001</v>
      </c>
      <c r="C15925" t="s">
        <v>12</v>
      </c>
      <c r="D15925" s="2">
        <v>1010.69</v>
      </c>
      <c r="E15925" s="2">
        <v>0</v>
      </c>
      <c r="F15925" t="s">
        <v>13</v>
      </c>
      <c r="G15925" t="s">
        <v>9</v>
      </c>
    </row>
    <row r="15926" spans="1:7" x14ac:dyDescent="0.35">
      <c r="A15926">
        <v>6324</v>
      </c>
      <c r="B15926" s="1">
        <v>46001</v>
      </c>
      <c r="C15926" t="s">
        <v>12</v>
      </c>
      <c r="D15926" s="2">
        <v>0</v>
      </c>
      <c r="E15926" s="2">
        <v>940.18</v>
      </c>
      <c r="F15926" t="s">
        <v>14</v>
      </c>
      <c r="G15926" t="s">
        <v>15</v>
      </c>
    </row>
    <row r="15927" spans="1:7" x14ac:dyDescent="0.35">
      <c r="A15927">
        <v>6324</v>
      </c>
      <c r="B15927" s="1">
        <v>46001</v>
      </c>
      <c r="C15927" t="s">
        <v>12</v>
      </c>
      <c r="D15927" s="2">
        <v>0</v>
      </c>
      <c r="E15927" s="2">
        <v>70.510000000000005</v>
      </c>
      <c r="F15927" t="s">
        <v>16</v>
      </c>
      <c r="G15927" t="s">
        <v>17</v>
      </c>
    </row>
    <row r="15928" spans="1:7" x14ac:dyDescent="0.35">
      <c r="A15928">
        <v>6325</v>
      </c>
      <c r="B15928" s="1">
        <v>46001</v>
      </c>
      <c r="C15928" t="s">
        <v>12</v>
      </c>
      <c r="D15928" s="2">
        <v>1889.75</v>
      </c>
      <c r="E15928" s="2">
        <v>0</v>
      </c>
      <c r="F15928" t="s">
        <v>13</v>
      </c>
      <c r="G15928" t="s">
        <v>9</v>
      </c>
    </row>
    <row r="15929" spans="1:7" x14ac:dyDescent="0.35">
      <c r="A15929">
        <v>6325</v>
      </c>
      <c r="B15929" s="1">
        <v>46001</v>
      </c>
      <c r="C15929" t="s">
        <v>12</v>
      </c>
      <c r="D15929" s="2">
        <v>0</v>
      </c>
      <c r="E15929" s="2">
        <v>1757.91</v>
      </c>
      <c r="F15929" t="s">
        <v>14</v>
      </c>
      <c r="G15929" t="s">
        <v>15</v>
      </c>
    </row>
    <row r="15930" spans="1:7" x14ac:dyDescent="0.35">
      <c r="A15930">
        <v>6325</v>
      </c>
      <c r="B15930" s="1">
        <v>46001</v>
      </c>
      <c r="C15930" t="s">
        <v>12</v>
      </c>
      <c r="D15930" s="2">
        <v>0</v>
      </c>
      <c r="E15930" s="2">
        <v>131.84</v>
      </c>
      <c r="F15930" t="s">
        <v>16</v>
      </c>
      <c r="G15930" t="s">
        <v>17</v>
      </c>
    </row>
    <row r="15931" spans="1:7" x14ac:dyDescent="0.35">
      <c r="A15931">
        <v>6326</v>
      </c>
      <c r="B15931" s="1">
        <v>46001</v>
      </c>
      <c r="C15931" t="s">
        <v>12</v>
      </c>
      <c r="D15931" s="2">
        <v>4004.63</v>
      </c>
      <c r="E15931" s="2">
        <v>0</v>
      </c>
      <c r="F15931" t="s">
        <v>13</v>
      </c>
      <c r="G15931" t="s">
        <v>9</v>
      </c>
    </row>
    <row r="15932" spans="1:7" x14ac:dyDescent="0.35">
      <c r="A15932">
        <v>6326</v>
      </c>
      <c r="B15932" s="1">
        <v>46001</v>
      </c>
      <c r="C15932" t="s">
        <v>12</v>
      </c>
      <c r="D15932" s="2">
        <v>0</v>
      </c>
      <c r="E15932" s="2">
        <v>3725.24</v>
      </c>
      <c r="F15932" t="s">
        <v>14</v>
      </c>
      <c r="G15932" t="s">
        <v>15</v>
      </c>
    </row>
    <row r="15933" spans="1:7" x14ac:dyDescent="0.35">
      <c r="A15933">
        <v>6326</v>
      </c>
      <c r="B15933" s="1">
        <v>46001</v>
      </c>
      <c r="C15933" t="s">
        <v>12</v>
      </c>
      <c r="D15933" s="2">
        <v>0</v>
      </c>
      <c r="E15933" s="2">
        <v>279.39</v>
      </c>
      <c r="F15933" t="s">
        <v>16</v>
      </c>
      <c r="G15933" t="s">
        <v>17</v>
      </c>
    </row>
    <row r="15934" spans="1:7" x14ac:dyDescent="0.35">
      <c r="A15934">
        <v>6327</v>
      </c>
      <c r="B15934" s="1">
        <v>46001</v>
      </c>
      <c r="C15934" t="s">
        <v>12</v>
      </c>
      <c r="D15934" s="2">
        <v>1307.95</v>
      </c>
      <c r="E15934" s="2">
        <v>0</v>
      </c>
      <c r="F15934" t="s">
        <v>13</v>
      </c>
      <c r="G15934" t="s">
        <v>9</v>
      </c>
    </row>
    <row r="15935" spans="1:7" x14ac:dyDescent="0.35">
      <c r="A15935">
        <v>6327</v>
      </c>
      <c r="B15935" s="1">
        <v>46001</v>
      </c>
      <c r="C15935" t="s">
        <v>12</v>
      </c>
      <c r="D15935" s="2">
        <v>0</v>
      </c>
      <c r="E15935" s="2">
        <v>1216.69</v>
      </c>
      <c r="F15935" t="s">
        <v>14</v>
      </c>
      <c r="G15935" t="s">
        <v>15</v>
      </c>
    </row>
    <row r="15936" spans="1:7" x14ac:dyDescent="0.35">
      <c r="A15936">
        <v>6327</v>
      </c>
      <c r="B15936" s="1">
        <v>46001</v>
      </c>
      <c r="C15936" t="s">
        <v>12</v>
      </c>
      <c r="D15936" s="2">
        <v>0</v>
      </c>
      <c r="E15936" s="2">
        <v>91.26</v>
      </c>
      <c r="F15936" t="s">
        <v>16</v>
      </c>
      <c r="G15936" t="s">
        <v>17</v>
      </c>
    </row>
    <row r="15937" spans="1:7" x14ac:dyDescent="0.35">
      <c r="A15937">
        <v>6328</v>
      </c>
      <c r="B15937" s="1">
        <v>46001</v>
      </c>
      <c r="C15937" t="s">
        <v>12</v>
      </c>
      <c r="D15937" s="2">
        <v>516.01</v>
      </c>
      <c r="E15937" s="2">
        <v>0</v>
      </c>
      <c r="F15937" t="s">
        <v>13</v>
      </c>
      <c r="G15937" t="s">
        <v>9</v>
      </c>
    </row>
    <row r="15938" spans="1:7" x14ac:dyDescent="0.35">
      <c r="A15938">
        <v>6328</v>
      </c>
      <c r="B15938" s="1">
        <v>46001</v>
      </c>
      <c r="C15938" t="s">
        <v>12</v>
      </c>
      <c r="D15938" s="2">
        <v>0</v>
      </c>
      <c r="E15938" s="2">
        <v>480</v>
      </c>
      <c r="F15938" t="s">
        <v>14</v>
      </c>
      <c r="G15938" t="s">
        <v>15</v>
      </c>
    </row>
    <row r="15939" spans="1:7" x14ac:dyDescent="0.35">
      <c r="A15939">
        <v>6328</v>
      </c>
      <c r="B15939" s="1">
        <v>46001</v>
      </c>
      <c r="C15939" t="s">
        <v>12</v>
      </c>
      <c r="D15939" s="2">
        <v>0</v>
      </c>
      <c r="E15939" s="2">
        <v>36.01</v>
      </c>
      <c r="F15939" t="s">
        <v>16</v>
      </c>
      <c r="G15939" t="s">
        <v>17</v>
      </c>
    </row>
    <row r="15940" spans="1:7" x14ac:dyDescent="0.35">
      <c r="A15940">
        <v>6329</v>
      </c>
      <c r="B15940" s="1">
        <v>46001</v>
      </c>
      <c r="C15940" t="s">
        <v>12</v>
      </c>
      <c r="D15940" s="2">
        <v>2779.23</v>
      </c>
      <c r="E15940" s="2">
        <v>0</v>
      </c>
      <c r="F15940" t="s">
        <v>13</v>
      </c>
      <c r="G15940" t="s">
        <v>9</v>
      </c>
    </row>
    <row r="15941" spans="1:7" x14ac:dyDescent="0.35">
      <c r="A15941">
        <v>6329</v>
      </c>
      <c r="B15941" s="1">
        <v>46001</v>
      </c>
      <c r="C15941" t="s">
        <v>12</v>
      </c>
      <c r="D15941" s="2">
        <v>0</v>
      </c>
      <c r="E15941" s="2">
        <v>2585.34</v>
      </c>
      <c r="F15941" t="s">
        <v>14</v>
      </c>
      <c r="G15941" t="s">
        <v>15</v>
      </c>
    </row>
    <row r="15942" spans="1:7" x14ac:dyDescent="0.35">
      <c r="A15942">
        <v>6329</v>
      </c>
      <c r="B15942" s="1">
        <v>46001</v>
      </c>
      <c r="C15942" t="s">
        <v>12</v>
      </c>
      <c r="D15942" s="2">
        <v>0</v>
      </c>
      <c r="E15942" s="2">
        <v>193.89</v>
      </c>
      <c r="F15942" t="s">
        <v>16</v>
      </c>
      <c r="G15942" t="s">
        <v>17</v>
      </c>
    </row>
    <row r="15943" spans="1:7" x14ac:dyDescent="0.35">
      <c r="A15943">
        <v>6330</v>
      </c>
      <c r="B15943" s="1">
        <v>46001</v>
      </c>
      <c r="C15943" t="s">
        <v>12</v>
      </c>
      <c r="D15943" s="2">
        <v>1502.23</v>
      </c>
      <c r="E15943" s="2">
        <v>0</v>
      </c>
      <c r="F15943" t="s">
        <v>13</v>
      </c>
      <c r="G15943" t="s">
        <v>9</v>
      </c>
    </row>
    <row r="15944" spans="1:7" x14ac:dyDescent="0.35">
      <c r="A15944">
        <v>6330</v>
      </c>
      <c r="B15944" s="1">
        <v>46001</v>
      </c>
      <c r="C15944" t="s">
        <v>12</v>
      </c>
      <c r="D15944" s="2">
        <v>0</v>
      </c>
      <c r="E15944" s="2">
        <v>1397.43</v>
      </c>
      <c r="F15944" t="s">
        <v>14</v>
      </c>
      <c r="G15944" t="s">
        <v>15</v>
      </c>
    </row>
    <row r="15945" spans="1:7" x14ac:dyDescent="0.35">
      <c r="A15945">
        <v>6330</v>
      </c>
      <c r="B15945" s="1">
        <v>46001</v>
      </c>
      <c r="C15945" t="s">
        <v>12</v>
      </c>
      <c r="D15945" s="2">
        <v>0</v>
      </c>
      <c r="E15945" s="2">
        <v>104.8</v>
      </c>
      <c r="F15945" t="s">
        <v>16</v>
      </c>
      <c r="G15945" t="s">
        <v>17</v>
      </c>
    </row>
    <row r="15946" spans="1:7" x14ac:dyDescent="0.35">
      <c r="A15946">
        <v>6331</v>
      </c>
      <c r="B15946" s="1">
        <v>46001</v>
      </c>
      <c r="C15946" t="s">
        <v>12</v>
      </c>
      <c r="D15946" s="2">
        <v>1692.8</v>
      </c>
      <c r="E15946" s="2">
        <v>0</v>
      </c>
      <c r="F15946" t="s">
        <v>13</v>
      </c>
      <c r="G15946" t="s">
        <v>9</v>
      </c>
    </row>
    <row r="15947" spans="1:7" x14ac:dyDescent="0.35">
      <c r="A15947">
        <v>6331</v>
      </c>
      <c r="B15947" s="1">
        <v>46001</v>
      </c>
      <c r="C15947" t="s">
        <v>12</v>
      </c>
      <c r="D15947" s="2">
        <v>0</v>
      </c>
      <c r="E15947" s="2">
        <v>1574.69</v>
      </c>
      <c r="F15947" t="s">
        <v>14</v>
      </c>
      <c r="G15947" t="s">
        <v>15</v>
      </c>
    </row>
    <row r="15948" spans="1:7" x14ac:dyDescent="0.35">
      <c r="A15948">
        <v>6331</v>
      </c>
      <c r="B15948" s="1">
        <v>46001</v>
      </c>
      <c r="C15948" t="s">
        <v>12</v>
      </c>
      <c r="D15948" s="2">
        <v>0</v>
      </c>
      <c r="E15948" s="2">
        <v>118.11</v>
      </c>
      <c r="F15948" t="s">
        <v>16</v>
      </c>
      <c r="G15948" t="s">
        <v>17</v>
      </c>
    </row>
    <row r="15949" spans="1:7" x14ac:dyDescent="0.35">
      <c r="A15949">
        <v>6332</v>
      </c>
      <c r="B15949" s="1">
        <v>46001</v>
      </c>
      <c r="C15949" t="s">
        <v>12</v>
      </c>
      <c r="D15949" s="2">
        <v>3747.13</v>
      </c>
      <c r="E15949" s="2">
        <v>0</v>
      </c>
      <c r="F15949" t="s">
        <v>13</v>
      </c>
      <c r="G15949" t="s">
        <v>9</v>
      </c>
    </row>
    <row r="15950" spans="1:7" x14ac:dyDescent="0.35">
      <c r="A15950">
        <v>6332</v>
      </c>
      <c r="B15950" s="1">
        <v>46001</v>
      </c>
      <c r="C15950" t="s">
        <v>12</v>
      </c>
      <c r="D15950" s="2">
        <v>0</v>
      </c>
      <c r="E15950" s="2">
        <v>3485.71</v>
      </c>
      <c r="F15950" t="s">
        <v>14</v>
      </c>
      <c r="G15950" t="s">
        <v>15</v>
      </c>
    </row>
    <row r="15951" spans="1:7" x14ac:dyDescent="0.35">
      <c r="A15951">
        <v>6332</v>
      </c>
      <c r="B15951" s="1">
        <v>46001</v>
      </c>
      <c r="C15951" t="s">
        <v>12</v>
      </c>
      <c r="D15951" s="2">
        <v>0</v>
      </c>
      <c r="E15951" s="2">
        <v>261.42</v>
      </c>
      <c r="F15951" t="s">
        <v>16</v>
      </c>
      <c r="G15951" t="s">
        <v>17</v>
      </c>
    </row>
    <row r="15952" spans="1:7" x14ac:dyDescent="0.35">
      <c r="A15952">
        <v>6333</v>
      </c>
      <c r="B15952" s="1">
        <v>46001</v>
      </c>
      <c r="C15952" t="s">
        <v>12</v>
      </c>
      <c r="D15952" s="2">
        <v>2006.31</v>
      </c>
      <c r="E15952" s="2">
        <v>0</v>
      </c>
      <c r="F15952" t="s">
        <v>13</v>
      </c>
      <c r="G15952" t="s">
        <v>9</v>
      </c>
    </row>
    <row r="15953" spans="1:7" x14ac:dyDescent="0.35">
      <c r="A15953">
        <v>6333</v>
      </c>
      <c r="B15953" s="1">
        <v>46001</v>
      </c>
      <c r="C15953" t="s">
        <v>12</v>
      </c>
      <c r="D15953" s="2">
        <v>0</v>
      </c>
      <c r="E15953" s="2">
        <v>1866.33</v>
      </c>
      <c r="F15953" t="s">
        <v>14</v>
      </c>
      <c r="G15953" t="s">
        <v>15</v>
      </c>
    </row>
    <row r="15954" spans="1:7" x14ac:dyDescent="0.35">
      <c r="A15954">
        <v>6333</v>
      </c>
      <c r="B15954" s="1">
        <v>46001</v>
      </c>
      <c r="C15954" t="s">
        <v>12</v>
      </c>
      <c r="D15954" s="2">
        <v>0</v>
      </c>
      <c r="E15954" s="2">
        <v>139.97999999999999</v>
      </c>
      <c r="F15954" t="s">
        <v>16</v>
      </c>
      <c r="G15954" t="s">
        <v>17</v>
      </c>
    </row>
    <row r="15955" spans="1:7" x14ac:dyDescent="0.35">
      <c r="A15955">
        <v>6334</v>
      </c>
      <c r="B15955" s="1">
        <v>46001</v>
      </c>
      <c r="C15955" t="s">
        <v>12</v>
      </c>
      <c r="D15955" s="2">
        <v>1759.07</v>
      </c>
      <c r="E15955" s="2">
        <v>0</v>
      </c>
      <c r="F15955" t="s">
        <v>13</v>
      </c>
      <c r="G15955" t="s">
        <v>9</v>
      </c>
    </row>
    <row r="15956" spans="1:7" x14ac:dyDescent="0.35">
      <c r="A15956">
        <v>6334</v>
      </c>
      <c r="B15956" s="1">
        <v>46001</v>
      </c>
      <c r="C15956" t="s">
        <v>12</v>
      </c>
      <c r="D15956" s="2">
        <v>0</v>
      </c>
      <c r="E15956" s="2">
        <v>1636.35</v>
      </c>
      <c r="F15956" t="s">
        <v>14</v>
      </c>
      <c r="G15956" t="s">
        <v>15</v>
      </c>
    </row>
    <row r="15957" spans="1:7" x14ac:dyDescent="0.35">
      <c r="A15957">
        <v>6334</v>
      </c>
      <c r="B15957" s="1">
        <v>46001</v>
      </c>
      <c r="C15957" t="s">
        <v>12</v>
      </c>
      <c r="D15957" s="2">
        <v>0</v>
      </c>
      <c r="E15957" s="2">
        <v>122.72</v>
      </c>
      <c r="F15957" t="s">
        <v>16</v>
      </c>
      <c r="G15957" t="s">
        <v>17</v>
      </c>
    </row>
    <row r="15958" spans="1:7" x14ac:dyDescent="0.35">
      <c r="A15958">
        <v>6335</v>
      </c>
      <c r="B15958" s="1">
        <v>46001</v>
      </c>
      <c r="C15958" t="s">
        <v>12</v>
      </c>
      <c r="D15958" s="2">
        <v>2729.66</v>
      </c>
      <c r="E15958" s="2">
        <v>0</v>
      </c>
      <c r="F15958" t="s">
        <v>13</v>
      </c>
      <c r="G15958" t="s">
        <v>9</v>
      </c>
    </row>
    <row r="15959" spans="1:7" x14ac:dyDescent="0.35">
      <c r="A15959">
        <v>6335</v>
      </c>
      <c r="B15959" s="1">
        <v>46001</v>
      </c>
      <c r="C15959" t="s">
        <v>12</v>
      </c>
      <c r="D15959" s="2">
        <v>0</v>
      </c>
      <c r="E15959" s="2">
        <v>2539.23</v>
      </c>
      <c r="F15959" t="s">
        <v>14</v>
      </c>
      <c r="G15959" t="s">
        <v>15</v>
      </c>
    </row>
    <row r="15960" spans="1:7" x14ac:dyDescent="0.35">
      <c r="A15960">
        <v>6335</v>
      </c>
      <c r="B15960" s="1">
        <v>46001</v>
      </c>
      <c r="C15960" t="s">
        <v>12</v>
      </c>
      <c r="D15960" s="2">
        <v>0</v>
      </c>
      <c r="E15960" s="2">
        <v>190.43</v>
      </c>
      <c r="F15960" t="s">
        <v>16</v>
      </c>
      <c r="G15960" t="s">
        <v>17</v>
      </c>
    </row>
    <row r="15961" spans="1:7" x14ac:dyDescent="0.35">
      <c r="A15961">
        <v>6336</v>
      </c>
      <c r="B15961" s="1">
        <v>46001</v>
      </c>
      <c r="C15961" t="s">
        <v>12</v>
      </c>
      <c r="D15961" s="2">
        <v>911.42</v>
      </c>
      <c r="E15961" s="2">
        <v>0</v>
      </c>
      <c r="F15961" t="s">
        <v>13</v>
      </c>
      <c r="G15961" t="s">
        <v>9</v>
      </c>
    </row>
    <row r="15962" spans="1:7" x14ac:dyDescent="0.35">
      <c r="A15962">
        <v>6336</v>
      </c>
      <c r="B15962" s="1">
        <v>46001</v>
      </c>
      <c r="C15962" t="s">
        <v>12</v>
      </c>
      <c r="D15962" s="2">
        <v>0</v>
      </c>
      <c r="E15962" s="2">
        <v>847.83</v>
      </c>
      <c r="F15962" t="s">
        <v>14</v>
      </c>
      <c r="G15962" t="s">
        <v>15</v>
      </c>
    </row>
    <row r="15963" spans="1:7" x14ac:dyDescent="0.35">
      <c r="A15963">
        <v>6336</v>
      </c>
      <c r="B15963" s="1">
        <v>46001</v>
      </c>
      <c r="C15963" t="s">
        <v>12</v>
      </c>
      <c r="D15963" s="2">
        <v>0</v>
      </c>
      <c r="E15963" s="2">
        <v>63.59</v>
      </c>
      <c r="F15963" t="s">
        <v>16</v>
      </c>
      <c r="G15963" t="s">
        <v>17</v>
      </c>
    </row>
    <row r="15964" spans="1:7" x14ac:dyDescent="0.35">
      <c r="A15964">
        <v>6337</v>
      </c>
      <c r="B15964" s="1">
        <v>46001</v>
      </c>
      <c r="C15964" t="s">
        <v>24</v>
      </c>
      <c r="D15964" s="2">
        <v>852.85</v>
      </c>
      <c r="E15964" s="2">
        <v>0</v>
      </c>
      <c r="F15964" t="s">
        <v>8</v>
      </c>
      <c r="G15964" t="s">
        <v>9</v>
      </c>
    </row>
    <row r="15965" spans="1:7" x14ac:dyDescent="0.35">
      <c r="A15965">
        <v>6337</v>
      </c>
      <c r="B15965" s="1">
        <v>46001</v>
      </c>
      <c r="C15965" t="s">
        <v>24</v>
      </c>
      <c r="D15965" s="2">
        <v>0</v>
      </c>
      <c r="E15965" s="2">
        <v>852.85</v>
      </c>
      <c r="F15965" t="s">
        <v>13</v>
      </c>
      <c r="G15965" t="s">
        <v>9</v>
      </c>
    </row>
    <row r="15966" spans="1:7" x14ac:dyDescent="0.35">
      <c r="A15966">
        <v>6338</v>
      </c>
      <c r="B15966" s="1">
        <v>46001</v>
      </c>
      <c r="C15966" t="s">
        <v>24</v>
      </c>
      <c r="D15966" s="2">
        <v>5506.77</v>
      </c>
      <c r="E15966" s="2">
        <v>0</v>
      </c>
      <c r="F15966" t="s">
        <v>8</v>
      </c>
      <c r="G15966" t="s">
        <v>9</v>
      </c>
    </row>
    <row r="15967" spans="1:7" x14ac:dyDescent="0.35">
      <c r="A15967">
        <v>6338</v>
      </c>
      <c r="B15967" s="1">
        <v>46001</v>
      </c>
      <c r="C15967" t="s">
        <v>24</v>
      </c>
      <c r="D15967" s="2">
        <v>0</v>
      </c>
      <c r="E15967" s="2">
        <v>5506.77</v>
      </c>
      <c r="F15967" t="s">
        <v>13</v>
      </c>
      <c r="G15967" t="s">
        <v>9</v>
      </c>
    </row>
    <row r="15968" spans="1:7" x14ac:dyDescent="0.35">
      <c r="A15968">
        <v>6339</v>
      </c>
      <c r="B15968" s="1">
        <v>46001</v>
      </c>
      <c r="C15968" t="s">
        <v>24</v>
      </c>
      <c r="D15968" s="2">
        <v>494.63</v>
      </c>
      <c r="E15968" s="2">
        <v>0</v>
      </c>
      <c r="F15968" t="s">
        <v>8</v>
      </c>
      <c r="G15968" t="s">
        <v>9</v>
      </c>
    </row>
    <row r="15969" spans="1:7" x14ac:dyDescent="0.35">
      <c r="A15969">
        <v>6339</v>
      </c>
      <c r="B15969" s="1">
        <v>46001</v>
      </c>
      <c r="C15969" t="s">
        <v>24</v>
      </c>
      <c r="D15969" s="2">
        <v>0</v>
      </c>
      <c r="E15969" s="2">
        <v>494.63</v>
      </c>
      <c r="F15969" t="s">
        <v>13</v>
      </c>
      <c r="G15969" t="s">
        <v>9</v>
      </c>
    </row>
    <row r="15970" spans="1:7" x14ac:dyDescent="0.35">
      <c r="A15970">
        <v>6340</v>
      </c>
      <c r="B15970" s="1">
        <v>46001</v>
      </c>
      <c r="C15970" t="s">
        <v>24</v>
      </c>
      <c r="D15970" s="2">
        <v>1566.03</v>
      </c>
      <c r="E15970" s="2">
        <v>0</v>
      </c>
      <c r="F15970" t="s">
        <v>8</v>
      </c>
      <c r="G15970" t="s">
        <v>9</v>
      </c>
    </row>
    <row r="15971" spans="1:7" x14ac:dyDescent="0.35">
      <c r="A15971">
        <v>6340</v>
      </c>
      <c r="B15971" s="1">
        <v>46001</v>
      </c>
      <c r="C15971" t="s">
        <v>24</v>
      </c>
      <c r="D15971" s="2">
        <v>0</v>
      </c>
      <c r="E15971" s="2">
        <v>1566.03</v>
      </c>
      <c r="F15971" t="s">
        <v>13</v>
      </c>
      <c r="G15971" t="s">
        <v>9</v>
      </c>
    </row>
    <row r="15972" spans="1:7" x14ac:dyDescent="0.35">
      <c r="A15972">
        <v>6341</v>
      </c>
      <c r="B15972" s="1">
        <v>46001</v>
      </c>
      <c r="C15972" t="s">
        <v>24</v>
      </c>
      <c r="D15972" s="2">
        <v>1930.1</v>
      </c>
      <c r="E15972" s="2">
        <v>0</v>
      </c>
      <c r="F15972" t="s">
        <v>8</v>
      </c>
      <c r="G15972" t="s">
        <v>9</v>
      </c>
    </row>
    <row r="15973" spans="1:7" x14ac:dyDescent="0.35">
      <c r="A15973">
        <v>6341</v>
      </c>
      <c r="B15973" s="1">
        <v>46001</v>
      </c>
      <c r="C15973" t="s">
        <v>24</v>
      </c>
      <c r="D15973" s="2">
        <v>0</v>
      </c>
      <c r="E15973" s="2">
        <v>1930.1</v>
      </c>
      <c r="F15973" t="s">
        <v>13</v>
      </c>
      <c r="G15973" t="s">
        <v>9</v>
      </c>
    </row>
    <row r="15974" spans="1:7" x14ac:dyDescent="0.35">
      <c r="A15974">
        <v>6342</v>
      </c>
      <c r="B15974" s="1">
        <v>46001</v>
      </c>
      <c r="C15974" t="s">
        <v>24</v>
      </c>
      <c r="D15974" s="2">
        <v>1051.6500000000001</v>
      </c>
      <c r="E15974" s="2">
        <v>0</v>
      </c>
      <c r="F15974" t="s">
        <v>8</v>
      </c>
      <c r="G15974" t="s">
        <v>9</v>
      </c>
    </row>
    <row r="15975" spans="1:7" x14ac:dyDescent="0.35">
      <c r="A15975">
        <v>6342</v>
      </c>
      <c r="B15975" s="1">
        <v>46001</v>
      </c>
      <c r="C15975" t="s">
        <v>24</v>
      </c>
      <c r="D15975" s="2">
        <v>0</v>
      </c>
      <c r="E15975" s="2">
        <v>1051.6500000000001</v>
      </c>
      <c r="F15975" t="s">
        <v>13</v>
      </c>
      <c r="G15975" t="s">
        <v>9</v>
      </c>
    </row>
    <row r="15976" spans="1:7" x14ac:dyDescent="0.35">
      <c r="A15976">
        <v>6343</v>
      </c>
      <c r="B15976" s="1">
        <v>46001</v>
      </c>
      <c r="C15976" t="s">
        <v>24</v>
      </c>
      <c r="D15976" s="2">
        <v>612.86</v>
      </c>
      <c r="E15976" s="2">
        <v>0</v>
      </c>
      <c r="F15976" t="s">
        <v>8</v>
      </c>
      <c r="G15976" t="s">
        <v>9</v>
      </c>
    </row>
    <row r="15977" spans="1:7" x14ac:dyDescent="0.35">
      <c r="A15977">
        <v>6343</v>
      </c>
      <c r="B15977" s="1">
        <v>46001</v>
      </c>
      <c r="C15977" t="s">
        <v>24</v>
      </c>
      <c r="D15977" s="2">
        <v>0</v>
      </c>
      <c r="E15977" s="2">
        <v>612.86</v>
      </c>
      <c r="F15977" t="s">
        <v>13</v>
      </c>
      <c r="G15977" t="s">
        <v>9</v>
      </c>
    </row>
    <row r="15978" spans="1:7" x14ac:dyDescent="0.35">
      <c r="A15978">
        <v>6344</v>
      </c>
      <c r="B15978" s="1">
        <v>46001</v>
      </c>
      <c r="C15978" t="s">
        <v>24</v>
      </c>
      <c r="D15978" s="2">
        <v>2048.67</v>
      </c>
      <c r="E15978" s="2">
        <v>0</v>
      </c>
      <c r="F15978" t="s">
        <v>8</v>
      </c>
      <c r="G15978" t="s">
        <v>9</v>
      </c>
    </row>
    <row r="15979" spans="1:7" x14ac:dyDescent="0.35">
      <c r="A15979">
        <v>6344</v>
      </c>
      <c r="B15979" s="1">
        <v>46001</v>
      </c>
      <c r="C15979" t="s">
        <v>24</v>
      </c>
      <c r="D15979" s="2">
        <v>0</v>
      </c>
      <c r="E15979" s="2">
        <v>2048.67</v>
      </c>
      <c r="F15979" t="s">
        <v>13</v>
      </c>
      <c r="G15979" t="s">
        <v>9</v>
      </c>
    </row>
    <row r="15980" spans="1:7" x14ac:dyDescent="0.35">
      <c r="A15980">
        <v>6345</v>
      </c>
      <c r="B15980" s="1">
        <v>46001</v>
      </c>
      <c r="C15980" t="s">
        <v>24</v>
      </c>
      <c r="D15980" s="2">
        <v>982.51</v>
      </c>
      <c r="E15980" s="2">
        <v>0</v>
      </c>
      <c r="F15980" t="s">
        <v>8</v>
      </c>
      <c r="G15980" t="s">
        <v>9</v>
      </c>
    </row>
    <row r="15981" spans="1:7" x14ac:dyDescent="0.35">
      <c r="A15981">
        <v>6345</v>
      </c>
      <c r="B15981" s="1">
        <v>46001</v>
      </c>
      <c r="C15981" t="s">
        <v>24</v>
      </c>
      <c r="D15981" s="2">
        <v>0</v>
      </c>
      <c r="E15981" s="2">
        <v>982.51</v>
      </c>
      <c r="F15981" t="s">
        <v>13</v>
      </c>
      <c r="G15981" t="s">
        <v>9</v>
      </c>
    </row>
    <row r="15982" spans="1:7" x14ac:dyDescent="0.35">
      <c r="A15982">
        <v>6346</v>
      </c>
      <c r="B15982" s="1">
        <v>46001</v>
      </c>
      <c r="C15982" t="s">
        <v>24</v>
      </c>
      <c r="D15982" s="2">
        <v>1299.0999999999999</v>
      </c>
      <c r="E15982" s="2">
        <v>0</v>
      </c>
      <c r="F15982" t="s">
        <v>8</v>
      </c>
      <c r="G15982" t="s">
        <v>9</v>
      </c>
    </row>
    <row r="15983" spans="1:7" x14ac:dyDescent="0.35">
      <c r="A15983">
        <v>6346</v>
      </c>
      <c r="B15983" s="1">
        <v>46001</v>
      </c>
      <c r="C15983" t="s">
        <v>24</v>
      </c>
      <c r="D15983" s="2">
        <v>0</v>
      </c>
      <c r="E15983" s="2">
        <v>1299.0999999999999</v>
      </c>
      <c r="F15983" t="s">
        <v>13</v>
      </c>
      <c r="G15983" t="s">
        <v>9</v>
      </c>
    </row>
    <row r="15984" spans="1:7" x14ac:dyDescent="0.35">
      <c r="A15984">
        <v>6347</v>
      </c>
      <c r="B15984" s="1">
        <v>46001</v>
      </c>
      <c r="C15984" t="s">
        <v>24</v>
      </c>
      <c r="D15984" s="2">
        <v>3747.13</v>
      </c>
      <c r="E15984" s="2">
        <v>0</v>
      </c>
      <c r="F15984" t="s">
        <v>8</v>
      </c>
      <c r="G15984" t="s">
        <v>9</v>
      </c>
    </row>
    <row r="15985" spans="1:7" x14ac:dyDescent="0.35">
      <c r="A15985">
        <v>6347</v>
      </c>
      <c r="B15985" s="1">
        <v>46001</v>
      </c>
      <c r="C15985" t="s">
        <v>24</v>
      </c>
      <c r="D15985" s="2">
        <v>0</v>
      </c>
      <c r="E15985" s="2">
        <v>3747.13</v>
      </c>
      <c r="F15985" t="s">
        <v>13</v>
      </c>
      <c r="G15985" t="s">
        <v>9</v>
      </c>
    </row>
    <row r="15986" spans="1:7" x14ac:dyDescent="0.35">
      <c r="A15986">
        <v>6348</v>
      </c>
      <c r="B15986" s="1">
        <v>46001</v>
      </c>
      <c r="C15986" t="s">
        <v>29</v>
      </c>
      <c r="D15986" s="2">
        <v>550.4</v>
      </c>
      <c r="E15986" s="2">
        <v>0</v>
      </c>
      <c r="F15986" t="s">
        <v>28</v>
      </c>
      <c r="G15986" t="s">
        <v>17</v>
      </c>
    </row>
    <row r="15987" spans="1:7" x14ac:dyDescent="0.35">
      <c r="A15987">
        <v>6348</v>
      </c>
      <c r="B15987" s="1">
        <v>46001</v>
      </c>
      <c r="C15987" t="s">
        <v>29</v>
      </c>
      <c r="D15987" s="2">
        <v>0</v>
      </c>
      <c r="E15987" s="2">
        <v>550.4</v>
      </c>
      <c r="F15987" t="s">
        <v>8</v>
      </c>
      <c r="G15987" t="s">
        <v>9</v>
      </c>
    </row>
    <row r="15988" spans="1:7" x14ac:dyDescent="0.35">
      <c r="A15988">
        <v>6349</v>
      </c>
      <c r="B15988" s="1">
        <v>46001</v>
      </c>
      <c r="C15988" t="s">
        <v>29</v>
      </c>
      <c r="D15988" s="2">
        <v>276.32</v>
      </c>
      <c r="E15988" s="2">
        <v>0</v>
      </c>
      <c r="F15988" t="s">
        <v>28</v>
      </c>
      <c r="G15988" t="s">
        <v>17</v>
      </c>
    </row>
    <row r="15989" spans="1:7" x14ac:dyDescent="0.35">
      <c r="A15989">
        <v>6349</v>
      </c>
      <c r="B15989" s="1">
        <v>46001</v>
      </c>
      <c r="C15989" t="s">
        <v>29</v>
      </c>
      <c r="D15989" s="2">
        <v>0</v>
      </c>
      <c r="E15989" s="2">
        <v>276.32</v>
      </c>
      <c r="F15989" t="s">
        <v>8</v>
      </c>
      <c r="G15989" t="s">
        <v>9</v>
      </c>
    </row>
    <row r="15990" spans="1:7" x14ac:dyDescent="0.35">
      <c r="A15990">
        <v>6350</v>
      </c>
      <c r="B15990" s="1">
        <v>46002</v>
      </c>
      <c r="C15990" t="s">
        <v>12</v>
      </c>
      <c r="D15990" s="2">
        <v>82.37</v>
      </c>
      <c r="E15990" s="2">
        <v>0</v>
      </c>
      <c r="F15990" t="s">
        <v>13</v>
      </c>
      <c r="G15990" t="s">
        <v>9</v>
      </c>
    </row>
    <row r="15991" spans="1:7" x14ac:dyDescent="0.35">
      <c r="A15991">
        <v>6350</v>
      </c>
      <c r="B15991" s="1">
        <v>46002</v>
      </c>
      <c r="C15991" t="s">
        <v>12</v>
      </c>
      <c r="D15991" s="2">
        <v>0</v>
      </c>
      <c r="E15991" s="2">
        <v>76.62</v>
      </c>
      <c r="F15991" t="s">
        <v>14</v>
      </c>
      <c r="G15991" t="s">
        <v>15</v>
      </c>
    </row>
    <row r="15992" spans="1:7" x14ac:dyDescent="0.35">
      <c r="A15992">
        <v>6350</v>
      </c>
      <c r="B15992" s="1">
        <v>46002</v>
      </c>
      <c r="C15992" t="s">
        <v>12</v>
      </c>
      <c r="D15992" s="2">
        <v>0</v>
      </c>
      <c r="E15992" s="2">
        <v>5.75</v>
      </c>
      <c r="F15992" t="s">
        <v>16</v>
      </c>
      <c r="G15992" t="s">
        <v>17</v>
      </c>
    </row>
    <row r="15993" spans="1:7" x14ac:dyDescent="0.35">
      <c r="A15993">
        <v>6351</v>
      </c>
      <c r="B15993" s="1">
        <v>46002</v>
      </c>
      <c r="C15993" t="s">
        <v>12</v>
      </c>
      <c r="D15993" s="2">
        <v>4068.78</v>
      </c>
      <c r="E15993" s="2">
        <v>0</v>
      </c>
      <c r="F15993" t="s">
        <v>13</v>
      </c>
      <c r="G15993" t="s">
        <v>9</v>
      </c>
    </row>
    <row r="15994" spans="1:7" x14ac:dyDescent="0.35">
      <c r="A15994">
        <v>6351</v>
      </c>
      <c r="B15994" s="1">
        <v>46002</v>
      </c>
      <c r="C15994" t="s">
        <v>12</v>
      </c>
      <c r="D15994" s="2">
        <v>0</v>
      </c>
      <c r="E15994" s="2">
        <v>3784.92</v>
      </c>
      <c r="F15994" t="s">
        <v>14</v>
      </c>
      <c r="G15994" t="s">
        <v>15</v>
      </c>
    </row>
    <row r="15995" spans="1:7" x14ac:dyDescent="0.35">
      <c r="A15995">
        <v>6351</v>
      </c>
      <c r="B15995" s="1">
        <v>46002</v>
      </c>
      <c r="C15995" t="s">
        <v>12</v>
      </c>
      <c r="D15995" s="2">
        <v>0</v>
      </c>
      <c r="E15995" s="2">
        <v>283.86</v>
      </c>
      <c r="F15995" t="s">
        <v>16</v>
      </c>
      <c r="G15995" t="s">
        <v>17</v>
      </c>
    </row>
    <row r="15996" spans="1:7" x14ac:dyDescent="0.35">
      <c r="A15996">
        <v>6352</v>
      </c>
      <c r="B15996" s="1">
        <v>46002</v>
      </c>
      <c r="C15996" t="s">
        <v>12</v>
      </c>
      <c r="D15996" s="2">
        <v>1215.1199999999999</v>
      </c>
      <c r="E15996" s="2">
        <v>0</v>
      </c>
      <c r="F15996" t="s">
        <v>13</v>
      </c>
      <c r="G15996" t="s">
        <v>9</v>
      </c>
    </row>
    <row r="15997" spans="1:7" x14ac:dyDescent="0.35">
      <c r="A15997">
        <v>6352</v>
      </c>
      <c r="B15997" s="1">
        <v>46002</v>
      </c>
      <c r="C15997" t="s">
        <v>12</v>
      </c>
      <c r="D15997" s="2">
        <v>0</v>
      </c>
      <c r="E15997" s="2">
        <v>1130.3499999999999</v>
      </c>
      <c r="F15997" t="s">
        <v>14</v>
      </c>
      <c r="G15997" t="s">
        <v>15</v>
      </c>
    </row>
    <row r="15998" spans="1:7" x14ac:dyDescent="0.35">
      <c r="A15998">
        <v>6352</v>
      </c>
      <c r="B15998" s="1">
        <v>46002</v>
      </c>
      <c r="C15998" t="s">
        <v>12</v>
      </c>
      <c r="D15998" s="2">
        <v>0</v>
      </c>
      <c r="E15998" s="2">
        <v>84.77</v>
      </c>
      <c r="F15998" t="s">
        <v>16</v>
      </c>
      <c r="G15998" t="s">
        <v>17</v>
      </c>
    </row>
    <row r="15999" spans="1:7" x14ac:dyDescent="0.35">
      <c r="A15999">
        <v>6353</v>
      </c>
      <c r="B15999" s="1">
        <v>46002</v>
      </c>
      <c r="C15999" t="s">
        <v>12</v>
      </c>
      <c r="D15999" s="2">
        <v>2184.02</v>
      </c>
      <c r="E15999" s="2">
        <v>0</v>
      </c>
      <c r="F15999" t="s">
        <v>13</v>
      </c>
      <c r="G15999" t="s">
        <v>9</v>
      </c>
    </row>
    <row r="16000" spans="1:7" x14ac:dyDescent="0.35">
      <c r="A16000">
        <v>6353</v>
      </c>
      <c r="B16000" s="1">
        <v>46002</v>
      </c>
      <c r="C16000" t="s">
        <v>12</v>
      </c>
      <c r="D16000" s="2">
        <v>0</v>
      </c>
      <c r="E16000" s="2">
        <v>2031.64</v>
      </c>
      <c r="F16000" t="s">
        <v>14</v>
      </c>
      <c r="G16000" t="s">
        <v>15</v>
      </c>
    </row>
    <row r="16001" spans="1:7" x14ac:dyDescent="0.35">
      <c r="A16001">
        <v>6353</v>
      </c>
      <c r="B16001" s="1">
        <v>46002</v>
      </c>
      <c r="C16001" t="s">
        <v>12</v>
      </c>
      <c r="D16001" s="2">
        <v>0</v>
      </c>
      <c r="E16001" s="2">
        <v>152.38</v>
      </c>
      <c r="F16001" t="s">
        <v>16</v>
      </c>
      <c r="G16001" t="s">
        <v>17</v>
      </c>
    </row>
    <row r="16002" spans="1:7" x14ac:dyDescent="0.35">
      <c r="A16002">
        <v>6354</v>
      </c>
      <c r="B16002" s="1">
        <v>46002</v>
      </c>
      <c r="C16002" t="s">
        <v>12</v>
      </c>
      <c r="D16002" s="2">
        <v>2254.86</v>
      </c>
      <c r="E16002" s="2">
        <v>0</v>
      </c>
      <c r="F16002" t="s">
        <v>13</v>
      </c>
      <c r="G16002" t="s">
        <v>9</v>
      </c>
    </row>
    <row r="16003" spans="1:7" x14ac:dyDescent="0.35">
      <c r="A16003">
        <v>6354</v>
      </c>
      <c r="B16003" s="1">
        <v>46002</v>
      </c>
      <c r="C16003" t="s">
        <v>12</v>
      </c>
      <c r="D16003" s="2">
        <v>0</v>
      </c>
      <c r="E16003" s="2">
        <v>2097.54</v>
      </c>
      <c r="F16003" t="s">
        <v>14</v>
      </c>
      <c r="G16003" t="s">
        <v>15</v>
      </c>
    </row>
    <row r="16004" spans="1:7" x14ac:dyDescent="0.35">
      <c r="A16004">
        <v>6354</v>
      </c>
      <c r="B16004" s="1">
        <v>46002</v>
      </c>
      <c r="C16004" t="s">
        <v>12</v>
      </c>
      <c r="D16004" s="2">
        <v>0</v>
      </c>
      <c r="E16004" s="2">
        <v>157.32</v>
      </c>
      <c r="F16004" t="s">
        <v>16</v>
      </c>
      <c r="G16004" t="s">
        <v>17</v>
      </c>
    </row>
    <row r="16005" spans="1:7" x14ac:dyDescent="0.35">
      <c r="A16005">
        <v>6355</v>
      </c>
      <c r="B16005" s="1">
        <v>46002</v>
      </c>
      <c r="C16005" t="s">
        <v>12</v>
      </c>
      <c r="D16005" s="2">
        <v>866.06</v>
      </c>
      <c r="E16005" s="2">
        <v>0</v>
      </c>
      <c r="F16005" t="s">
        <v>13</v>
      </c>
      <c r="G16005" t="s">
        <v>9</v>
      </c>
    </row>
    <row r="16006" spans="1:7" x14ac:dyDescent="0.35">
      <c r="A16006">
        <v>6355</v>
      </c>
      <c r="B16006" s="1">
        <v>46002</v>
      </c>
      <c r="C16006" t="s">
        <v>12</v>
      </c>
      <c r="D16006" s="2">
        <v>0</v>
      </c>
      <c r="E16006" s="2">
        <v>805.64</v>
      </c>
      <c r="F16006" t="s">
        <v>14</v>
      </c>
      <c r="G16006" t="s">
        <v>15</v>
      </c>
    </row>
    <row r="16007" spans="1:7" x14ac:dyDescent="0.35">
      <c r="A16007">
        <v>6355</v>
      </c>
      <c r="B16007" s="1">
        <v>46002</v>
      </c>
      <c r="C16007" t="s">
        <v>12</v>
      </c>
      <c r="D16007" s="2">
        <v>0</v>
      </c>
      <c r="E16007" s="2">
        <v>60.42</v>
      </c>
      <c r="F16007" t="s">
        <v>16</v>
      </c>
      <c r="G16007" t="s">
        <v>17</v>
      </c>
    </row>
    <row r="16008" spans="1:7" x14ac:dyDescent="0.35">
      <c r="A16008">
        <v>6356</v>
      </c>
      <c r="B16008" s="1">
        <v>46002</v>
      </c>
      <c r="C16008" t="s">
        <v>12</v>
      </c>
      <c r="D16008" s="2">
        <v>373.08</v>
      </c>
      <c r="E16008" s="2">
        <v>0</v>
      </c>
      <c r="F16008" t="s">
        <v>13</v>
      </c>
      <c r="G16008" t="s">
        <v>9</v>
      </c>
    </row>
    <row r="16009" spans="1:7" x14ac:dyDescent="0.35">
      <c r="A16009">
        <v>6356</v>
      </c>
      <c r="B16009" s="1">
        <v>46002</v>
      </c>
      <c r="C16009" t="s">
        <v>12</v>
      </c>
      <c r="D16009" s="2">
        <v>0</v>
      </c>
      <c r="E16009" s="2">
        <v>347.05</v>
      </c>
      <c r="F16009" t="s">
        <v>14</v>
      </c>
      <c r="G16009" t="s">
        <v>15</v>
      </c>
    </row>
    <row r="16010" spans="1:7" x14ac:dyDescent="0.35">
      <c r="A16010">
        <v>6356</v>
      </c>
      <c r="B16010" s="1">
        <v>46002</v>
      </c>
      <c r="C16010" t="s">
        <v>12</v>
      </c>
      <c r="D16010" s="2">
        <v>0</v>
      </c>
      <c r="E16010" s="2">
        <v>26.03</v>
      </c>
      <c r="F16010" t="s">
        <v>16</v>
      </c>
      <c r="G16010" t="s">
        <v>17</v>
      </c>
    </row>
    <row r="16011" spans="1:7" x14ac:dyDescent="0.35">
      <c r="A16011">
        <v>6357</v>
      </c>
      <c r="B16011" s="1">
        <v>46002</v>
      </c>
      <c r="C16011" t="s">
        <v>12</v>
      </c>
      <c r="D16011" s="2">
        <v>5194.91</v>
      </c>
      <c r="E16011" s="2">
        <v>0</v>
      </c>
      <c r="F16011" t="s">
        <v>13</v>
      </c>
      <c r="G16011" t="s">
        <v>9</v>
      </c>
    </row>
    <row r="16012" spans="1:7" x14ac:dyDescent="0.35">
      <c r="A16012">
        <v>6357</v>
      </c>
      <c r="B16012" s="1">
        <v>46002</v>
      </c>
      <c r="C16012" t="s">
        <v>12</v>
      </c>
      <c r="D16012" s="2">
        <v>0</v>
      </c>
      <c r="E16012" s="2">
        <v>4832.47</v>
      </c>
      <c r="F16012" t="s">
        <v>14</v>
      </c>
      <c r="G16012" t="s">
        <v>15</v>
      </c>
    </row>
    <row r="16013" spans="1:7" x14ac:dyDescent="0.35">
      <c r="A16013">
        <v>6357</v>
      </c>
      <c r="B16013" s="1">
        <v>46002</v>
      </c>
      <c r="C16013" t="s">
        <v>12</v>
      </c>
      <c r="D16013" s="2">
        <v>0</v>
      </c>
      <c r="E16013" s="2">
        <v>362.44</v>
      </c>
      <c r="F16013" t="s">
        <v>16</v>
      </c>
      <c r="G16013" t="s">
        <v>17</v>
      </c>
    </row>
    <row r="16014" spans="1:7" x14ac:dyDescent="0.35">
      <c r="A16014">
        <v>6358</v>
      </c>
      <c r="B16014" s="1">
        <v>46002</v>
      </c>
      <c r="C16014" t="s">
        <v>12</v>
      </c>
      <c r="D16014" s="2">
        <v>1970.59</v>
      </c>
      <c r="E16014" s="2">
        <v>0</v>
      </c>
      <c r="F16014" t="s">
        <v>13</v>
      </c>
      <c r="G16014" t="s">
        <v>9</v>
      </c>
    </row>
    <row r="16015" spans="1:7" x14ac:dyDescent="0.35">
      <c r="A16015">
        <v>6358</v>
      </c>
      <c r="B16015" s="1">
        <v>46002</v>
      </c>
      <c r="C16015" t="s">
        <v>12</v>
      </c>
      <c r="D16015" s="2">
        <v>0</v>
      </c>
      <c r="E16015" s="2">
        <v>1833.11</v>
      </c>
      <c r="F16015" t="s">
        <v>14</v>
      </c>
      <c r="G16015" t="s">
        <v>15</v>
      </c>
    </row>
    <row r="16016" spans="1:7" x14ac:dyDescent="0.35">
      <c r="A16016">
        <v>6358</v>
      </c>
      <c r="B16016" s="1">
        <v>46002</v>
      </c>
      <c r="C16016" t="s">
        <v>12</v>
      </c>
      <c r="D16016" s="2">
        <v>0</v>
      </c>
      <c r="E16016" s="2">
        <v>137.47999999999999</v>
      </c>
      <c r="F16016" t="s">
        <v>16</v>
      </c>
      <c r="G16016" t="s">
        <v>17</v>
      </c>
    </row>
    <row r="16017" spans="1:7" x14ac:dyDescent="0.35">
      <c r="A16017">
        <v>6359</v>
      </c>
      <c r="B16017" s="1">
        <v>46002</v>
      </c>
      <c r="C16017" t="s">
        <v>12</v>
      </c>
      <c r="D16017" s="2">
        <v>1868.69</v>
      </c>
      <c r="E16017" s="2">
        <v>0</v>
      </c>
      <c r="F16017" t="s">
        <v>13</v>
      </c>
      <c r="G16017" t="s">
        <v>9</v>
      </c>
    </row>
    <row r="16018" spans="1:7" x14ac:dyDescent="0.35">
      <c r="A16018">
        <v>6359</v>
      </c>
      <c r="B16018" s="1">
        <v>46002</v>
      </c>
      <c r="C16018" t="s">
        <v>12</v>
      </c>
      <c r="D16018" s="2">
        <v>0</v>
      </c>
      <c r="E16018" s="2">
        <v>1738.32</v>
      </c>
      <c r="F16018" t="s">
        <v>14</v>
      </c>
      <c r="G16018" t="s">
        <v>15</v>
      </c>
    </row>
    <row r="16019" spans="1:7" x14ac:dyDescent="0.35">
      <c r="A16019">
        <v>6359</v>
      </c>
      <c r="B16019" s="1">
        <v>46002</v>
      </c>
      <c r="C16019" t="s">
        <v>12</v>
      </c>
      <c r="D16019" s="2">
        <v>0</v>
      </c>
      <c r="E16019" s="2">
        <v>130.37</v>
      </c>
      <c r="F16019" t="s">
        <v>16</v>
      </c>
      <c r="G16019" t="s">
        <v>17</v>
      </c>
    </row>
    <row r="16020" spans="1:7" x14ac:dyDescent="0.35">
      <c r="A16020">
        <v>6360</v>
      </c>
      <c r="B16020" s="1">
        <v>46002</v>
      </c>
      <c r="C16020" t="s">
        <v>12</v>
      </c>
      <c r="D16020" s="2">
        <v>4855.7299999999996</v>
      </c>
      <c r="E16020" s="2">
        <v>0</v>
      </c>
      <c r="F16020" t="s">
        <v>13</v>
      </c>
      <c r="G16020" t="s">
        <v>9</v>
      </c>
    </row>
    <row r="16021" spans="1:7" x14ac:dyDescent="0.35">
      <c r="A16021">
        <v>6360</v>
      </c>
      <c r="B16021" s="1">
        <v>46002</v>
      </c>
      <c r="C16021" t="s">
        <v>12</v>
      </c>
      <c r="D16021" s="2">
        <v>0</v>
      </c>
      <c r="E16021" s="2">
        <v>4516.95</v>
      </c>
      <c r="F16021" t="s">
        <v>14</v>
      </c>
      <c r="G16021" t="s">
        <v>15</v>
      </c>
    </row>
    <row r="16022" spans="1:7" x14ac:dyDescent="0.35">
      <c r="A16022">
        <v>6360</v>
      </c>
      <c r="B16022" s="1">
        <v>46002</v>
      </c>
      <c r="C16022" t="s">
        <v>12</v>
      </c>
      <c r="D16022" s="2">
        <v>0</v>
      </c>
      <c r="E16022" s="2">
        <v>338.78</v>
      </c>
      <c r="F16022" t="s">
        <v>16</v>
      </c>
      <c r="G16022" t="s">
        <v>17</v>
      </c>
    </row>
    <row r="16023" spans="1:7" x14ac:dyDescent="0.35">
      <c r="A16023">
        <v>6361</v>
      </c>
      <c r="B16023" s="1">
        <v>46002</v>
      </c>
      <c r="C16023" t="s">
        <v>12</v>
      </c>
      <c r="D16023" s="2">
        <v>4245.67</v>
      </c>
      <c r="E16023" s="2">
        <v>0</v>
      </c>
      <c r="F16023" t="s">
        <v>13</v>
      </c>
      <c r="G16023" t="s">
        <v>9</v>
      </c>
    </row>
    <row r="16024" spans="1:7" x14ac:dyDescent="0.35">
      <c r="A16024">
        <v>6361</v>
      </c>
      <c r="B16024" s="1">
        <v>46002</v>
      </c>
      <c r="C16024" t="s">
        <v>12</v>
      </c>
      <c r="D16024" s="2">
        <v>0</v>
      </c>
      <c r="E16024" s="2">
        <v>3949.47</v>
      </c>
      <c r="F16024" t="s">
        <v>14</v>
      </c>
      <c r="G16024" t="s">
        <v>15</v>
      </c>
    </row>
    <row r="16025" spans="1:7" x14ac:dyDescent="0.35">
      <c r="A16025">
        <v>6361</v>
      </c>
      <c r="B16025" s="1">
        <v>46002</v>
      </c>
      <c r="C16025" t="s">
        <v>12</v>
      </c>
      <c r="D16025" s="2">
        <v>0</v>
      </c>
      <c r="E16025" s="2">
        <v>296.2</v>
      </c>
      <c r="F16025" t="s">
        <v>16</v>
      </c>
      <c r="G16025" t="s">
        <v>17</v>
      </c>
    </row>
    <row r="16026" spans="1:7" x14ac:dyDescent="0.35">
      <c r="A16026">
        <v>6362</v>
      </c>
      <c r="B16026" s="1">
        <v>46002</v>
      </c>
      <c r="C16026" t="s">
        <v>12</v>
      </c>
      <c r="D16026" s="2">
        <v>446.4</v>
      </c>
      <c r="E16026" s="2">
        <v>0</v>
      </c>
      <c r="F16026" t="s">
        <v>13</v>
      </c>
      <c r="G16026" t="s">
        <v>9</v>
      </c>
    </row>
    <row r="16027" spans="1:7" x14ac:dyDescent="0.35">
      <c r="A16027">
        <v>6362</v>
      </c>
      <c r="B16027" s="1">
        <v>46002</v>
      </c>
      <c r="C16027" t="s">
        <v>12</v>
      </c>
      <c r="D16027" s="2">
        <v>0</v>
      </c>
      <c r="E16027" s="2">
        <v>415.26</v>
      </c>
      <c r="F16027" t="s">
        <v>14</v>
      </c>
      <c r="G16027" t="s">
        <v>15</v>
      </c>
    </row>
    <row r="16028" spans="1:7" x14ac:dyDescent="0.35">
      <c r="A16028">
        <v>6362</v>
      </c>
      <c r="B16028" s="1">
        <v>46002</v>
      </c>
      <c r="C16028" t="s">
        <v>12</v>
      </c>
      <c r="D16028" s="2">
        <v>0</v>
      </c>
      <c r="E16028" s="2">
        <v>31.14</v>
      </c>
      <c r="F16028" t="s">
        <v>16</v>
      </c>
      <c r="G16028" t="s">
        <v>17</v>
      </c>
    </row>
    <row r="16029" spans="1:7" x14ac:dyDescent="0.35">
      <c r="A16029">
        <v>6363</v>
      </c>
      <c r="B16029" s="1">
        <v>46002</v>
      </c>
      <c r="C16029" t="s">
        <v>12</v>
      </c>
      <c r="D16029" s="2">
        <v>3561.24</v>
      </c>
      <c r="E16029" s="2">
        <v>0</v>
      </c>
      <c r="F16029" t="s">
        <v>13</v>
      </c>
      <c r="G16029" t="s">
        <v>9</v>
      </c>
    </row>
    <row r="16030" spans="1:7" x14ac:dyDescent="0.35">
      <c r="A16030">
        <v>6363</v>
      </c>
      <c r="B16030" s="1">
        <v>46002</v>
      </c>
      <c r="C16030" t="s">
        <v>12</v>
      </c>
      <c r="D16030" s="2">
        <v>0</v>
      </c>
      <c r="E16030" s="2">
        <v>3312.78</v>
      </c>
      <c r="F16030" t="s">
        <v>14</v>
      </c>
      <c r="G16030" t="s">
        <v>15</v>
      </c>
    </row>
    <row r="16031" spans="1:7" x14ac:dyDescent="0.35">
      <c r="A16031">
        <v>6363</v>
      </c>
      <c r="B16031" s="1">
        <v>46002</v>
      </c>
      <c r="C16031" t="s">
        <v>12</v>
      </c>
      <c r="D16031" s="2">
        <v>0</v>
      </c>
      <c r="E16031" s="2">
        <v>248.46</v>
      </c>
      <c r="F16031" t="s">
        <v>16</v>
      </c>
      <c r="G16031" t="s">
        <v>17</v>
      </c>
    </row>
    <row r="16032" spans="1:7" x14ac:dyDescent="0.35">
      <c r="A16032">
        <v>6364</v>
      </c>
      <c r="B16032" s="1">
        <v>46002</v>
      </c>
      <c r="C16032" t="s">
        <v>12</v>
      </c>
      <c r="D16032" s="2">
        <v>1583.96</v>
      </c>
      <c r="E16032" s="2">
        <v>0</v>
      </c>
      <c r="F16032" t="s">
        <v>13</v>
      </c>
      <c r="G16032" t="s">
        <v>9</v>
      </c>
    </row>
    <row r="16033" spans="1:7" x14ac:dyDescent="0.35">
      <c r="A16033">
        <v>6364</v>
      </c>
      <c r="B16033" s="1">
        <v>46002</v>
      </c>
      <c r="C16033" t="s">
        <v>12</v>
      </c>
      <c r="D16033" s="2">
        <v>0</v>
      </c>
      <c r="E16033" s="2">
        <v>1473.45</v>
      </c>
      <c r="F16033" t="s">
        <v>14</v>
      </c>
      <c r="G16033" t="s">
        <v>15</v>
      </c>
    </row>
    <row r="16034" spans="1:7" x14ac:dyDescent="0.35">
      <c r="A16034">
        <v>6364</v>
      </c>
      <c r="B16034" s="1">
        <v>46002</v>
      </c>
      <c r="C16034" t="s">
        <v>12</v>
      </c>
      <c r="D16034" s="2">
        <v>0</v>
      </c>
      <c r="E16034" s="2">
        <v>110.51</v>
      </c>
      <c r="F16034" t="s">
        <v>16</v>
      </c>
      <c r="G16034" t="s">
        <v>17</v>
      </c>
    </row>
    <row r="16035" spans="1:7" x14ac:dyDescent="0.35">
      <c r="A16035">
        <v>6365</v>
      </c>
      <c r="B16035" s="1">
        <v>46002</v>
      </c>
      <c r="C16035" t="s">
        <v>12</v>
      </c>
      <c r="D16035" s="2">
        <v>1030.6300000000001</v>
      </c>
      <c r="E16035" s="2">
        <v>0</v>
      </c>
      <c r="F16035" t="s">
        <v>13</v>
      </c>
      <c r="G16035" t="s">
        <v>9</v>
      </c>
    </row>
    <row r="16036" spans="1:7" x14ac:dyDescent="0.35">
      <c r="A16036">
        <v>6365</v>
      </c>
      <c r="B16036" s="1">
        <v>46002</v>
      </c>
      <c r="C16036" t="s">
        <v>12</v>
      </c>
      <c r="D16036" s="2">
        <v>0</v>
      </c>
      <c r="E16036" s="2">
        <v>958.72</v>
      </c>
      <c r="F16036" t="s">
        <v>14</v>
      </c>
      <c r="G16036" t="s">
        <v>15</v>
      </c>
    </row>
    <row r="16037" spans="1:7" x14ac:dyDescent="0.35">
      <c r="A16037">
        <v>6365</v>
      </c>
      <c r="B16037" s="1">
        <v>46002</v>
      </c>
      <c r="C16037" t="s">
        <v>12</v>
      </c>
      <c r="D16037" s="2">
        <v>0</v>
      </c>
      <c r="E16037" s="2">
        <v>71.91</v>
      </c>
      <c r="F16037" t="s">
        <v>16</v>
      </c>
      <c r="G16037" t="s">
        <v>17</v>
      </c>
    </row>
    <row r="16038" spans="1:7" x14ac:dyDescent="0.35">
      <c r="A16038">
        <v>6366</v>
      </c>
      <c r="B16038" s="1">
        <v>46002</v>
      </c>
      <c r="C16038" t="s">
        <v>12</v>
      </c>
      <c r="D16038" s="2">
        <v>2392.83</v>
      </c>
      <c r="E16038" s="2">
        <v>0</v>
      </c>
      <c r="F16038" t="s">
        <v>13</v>
      </c>
      <c r="G16038" t="s">
        <v>9</v>
      </c>
    </row>
    <row r="16039" spans="1:7" x14ac:dyDescent="0.35">
      <c r="A16039">
        <v>6366</v>
      </c>
      <c r="B16039" s="1">
        <v>46002</v>
      </c>
      <c r="C16039" t="s">
        <v>12</v>
      </c>
      <c r="D16039" s="2">
        <v>0</v>
      </c>
      <c r="E16039" s="2">
        <v>2225.89</v>
      </c>
      <c r="F16039" t="s">
        <v>14</v>
      </c>
      <c r="G16039" t="s">
        <v>15</v>
      </c>
    </row>
    <row r="16040" spans="1:7" x14ac:dyDescent="0.35">
      <c r="A16040">
        <v>6366</v>
      </c>
      <c r="B16040" s="1">
        <v>46002</v>
      </c>
      <c r="C16040" t="s">
        <v>12</v>
      </c>
      <c r="D16040" s="2">
        <v>0</v>
      </c>
      <c r="E16040" s="2">
        <v>166.94</v>
      </c>
      <c r="F16040" t="s">
        <v>16</v>
      </c>
      <c r="G16040" t="s">
        <v>17</v>
      </c>
    </row>
    <row r="16041" spans="1:7" x14ac:dyDescent="0.35">
      <c r="A16041">
        <v>6367</v>
      </c>
      <c r="B16041" s="1">
        <v>46002</v>
      </c>
      <c r="C16041" t="s">
        <v>12</v>
      </c>
      <c r="D16041" s="2">
        <v>2809.31</v>
      </c>
      <c r="E16041" s="2">
        <v>0</v>
      </c>
      <c r="F16041" t="s">
        <v>13</v>
      </c>
      <c r="G16041" t="s">
        <v>9</v>
      </c>
    </row>
    <row r="16042" spans="1:7" x14ac:dyDescent="0.35">
      <c r="A16042">
        <v>6367</v>
      </c>
      <c r="B16042" s="1">
        <v>46002</v>
      </c>
      <c r="C16042" t="s">
        <v>12</v>
      </c>
      <c r="D16042" s="2">
        <v>0</v>
      </c>
      <c r="E16042" s="2">
        <v>2613.3200000000002</v>
      </c>
      <c r="F16042" t="s">
        <v>14</v>
      </c>
      <c r="G16042" t="s">
        <v>15</v>
      </c>
    </row>
    <row r="16043" spans="1:7" x14ac:dyDescent="0.35">
      <c r="A16043">
        <v>6367</v>
      </c>
      <c r="B16043" s="1">
        <v>46002</v>
      </c>
      <c r="C16043" t="s">
        <v>12</v>
      </c>
      <c r="D16043" s="2">
        <v>0</v>
      </c>
      <c r="E16043" s="2">
        <v>195.99</v>
      </c>
      <c r="F16043" t="s">
        <v>16</v>
      </c>
      <c r="G16043" t="s">
        <v>17</v>
      </c>
    </row>
    <row r="16044" spans="1:7" x14ac:dyDescent="0.35">
      <c r="A16044">
        <v>6368</v>
      </c>
      <c r="B16044" s="1">
        <v>46002</v>
      </c>
      <c r="C16044" t="s">
        <v>12</v>
      </c>
      <c r="D16044" s="2">
        <v>9.2799999999999994</v>
      </c>
      <c r="E16044" s="2">
        <v>0</v>
      </c>
      <c r="F16044" t="s">
        <v>13</v>
      </c>
      <c r="G16044" t="s">
        <v>9</v>
      </c>
    </row>
    <row r="16045" spans="1:7" x14ac:dyDescent="0.35">
      <c r="A16045">
        <v>6368</v>
      </c>
      <c r="B16045" s="1">
        <v>46002</v>
      </c>
      <c r="C16045" t="s">
        <v>12</v>
      </c>
      <c r="D16045" s="2">
        <v>0</v>
      </c>
      <c r="E16045" s="2">
        <v>8.6300000000000008</v>
      </c>
      <c r="F16045" t="s">
        <v>14</v>
      </c>
      <c r="G16045" t="s">
        <v>15</v>
      </c>
    </row>
    <row r="16046" spans="1:7" x14ac:dyDescent="0.35">
      <c r="A16046">
        <v>6368</v>
      </c>
      <c r="B16046" s="1">
        <v>46002</v>
      </c>
      <c r="C16046" t="s">
        <v>12</v>
      </c>
      <c r="D16046" s="2">
        <v>0</v>
      </c>
      <c r="E16046" s="2">
        <v>0.65</v>
      </c>
      <c r="F16046" t="s">
        <v>16</v>
      </c>
      <c r="G16046" t="s">
        <v>17</v>
      </c>
    </row>
    <row r="16047" spans="1:7" x14ac:dyDescent="0.35">
      <c r="A16047">
        <v>6369</v>
      </c>
      <c r="B16047" s="1">
        <v>46002</v>
      </c>
      <c r="C16047" t="s">
        <v>12</v>
      </c>
      <c r="D16047" s="2">
        <v>1323.8</v>
      </c>
      <c r="E16047" s="2">
        <v>0</v>
      </c>
      <c r="F16047" t="s">
        <v>13</v>
      </c>
      <c r="G16047" t="s">
        <v>9</v>
      </c>
    </row>
    <row r="16048" spans="1:7" x14ac:dyDescent="0.35">
      <c r="A16048">
        <v>6369</v>
      </c>
      <c r="B16048" s="1">
        <v>46002</v>
      </c>
      <c r="C16048" t="s">
        <v>12</v>
      </c>
      <c r="D16048" s="2">
        <v>0</v>
      </c>
      <c r="E16048" s="2">
        <v>1231.44</v>
      </c>
      <c r="F16048" t="s">
        <v>14</v>
      </c>
      <c r="G16048" t="s">
        <v>15</v>
      </c>
    </row>
    <row r="16049" spans="1:7" x14ac:dyDescent="0.35">
      <c r="A16049">
        <v>6369</v>
      </c>
      <c r="B16049" s="1">
        <v>46002</v>
      </c>
      <c r="C16049" t="s">
        <v>12</v>
      </c>
      <c r="D16049" s="2">
        <v>0</v>
      </c>
      <c r="E16049" s="2">
        <v>92.36</v>
      </c>
      <c r="F16049" t="s">
        <v>16</v>
      </c>
      <c r="G16049" t="s">
        <v>17</v>
      </c>
    </row>
    <row r="16050" spans="1:7" x14ac:dyDescent="0.35">
      <c r="A16050">
        <v>6370</v>
      </c>
      <c r="B16050" s="1">
        <v>46002</v>
      </c>
      <c r="C16050" t="s">
        <v>12</v>
      </c>
      <c r="D16050" s="2">
        <v>161.68</v>
      </c>
      <c r="E16050" s="2">
        <v>0</v>
      </c>
      <c r="F16050" t="s">
        <v>13</v>
      </c>
      <c r="G16050" t="s">
        <v>9</v>
      </c>
    </row>
    <row r="16051" spans="1:7" x14ac:dyDescent="0.35">
      <c r="A16051">
        <v>6370</v>
      </c>
      <c r="B16051" s="1">
        <v>46002</v>
      </c>
      <c r="C16051" t="s">
        <v>12</v>
      </c>
      <c r="D16051" s="2">
        <v>0</v>
      </c>
      <c r="E16051" s="2">
        <v>150.4</v>
      </c>
      <c r="F16051" t="s">
        <v>14</v>
      </c>
      <c r="G16051" t="s">
        <v>15</v>
      </c>
    </row>
    <row r="16052" spans="1:7" x14ac:dyDescent="0.35">
      <c r="A16052">
        <v>6370</v>
      </c>
      <c r="B16052" s="1">
        <v>46002</v>
      </c>
      <c r="C16052" t="s">
        <v>12</v>
      </c>
      <c r="D16052" s="2">
        <v>0</v>
      </c>
      <c r="E16052" s="2">
        <v>11.28</v>
      </c>
      <c r="F16052" t="s">
        <v>16</v>
      </c>
      <c r="G16052" t="s">
        <v>17</v>
      </c>
    </row>
    <row r="16053" spans="1:7" x14ac:dyDescent="0.35">
      <c r="A16053">
        <v>6371</v>
      </c>
      <c r="B16053" s="1">
        <v>46002</v>
      </c>
      <c r="C16053" t="s">
        <v>12</v>
      </c>
      <c r="D16053" s="2">
        <v>1227.3599999999999</v>
      </c>
      <c r="E16053" s="2">
        <v>0</v>
      </c>
      <c r="F16053" t="s">
        <v>13</v>
      </c>
      <c r="G16053" t="s">
        <v>9</v>
      </c>
    </row>
    <row r="16054" spans="1:7" x14ac:dyDescent="0.35">
      <c r="A16054">
        <v>6371</v>
      </c>
      <c r="B16054" s="1">
        <v>46002</v>
      </c>
      <c r="C16054" t="s">
        <v>12</v>
      </c>
      <c r="D16054" s="2">
        <v>0</v>
      </c>
      <c r="E16054" s="2">
        <v>1141.73</v>
      </c>
      <c r="F16054" t="s">
        <v>14</v>
      </c>
      <c r="G16054" t="s">
        <v>15</v>
      </c>
    </row>
    <row r="16055" spans="1:7" x14ac:dyDescent="0.35">
      <c r="A16055">
        <v>6371</v>
      </c>
      <c r="B16055" s="1">
        <v>46002</v>
      </c>
      <c r="C16055" t="s">
        <v>12</v>
      </c>
      <c r="D16055" s="2">
        <v>0</v>
      </c>
      <c r="E16055" s="2">
        <v>85.63</v>
      </c>
      <c r="F16055" t="s">
        <v>16</v>
      </c>
      <c r="G16055" t="s">
        <v>17</v>
      </c>
    </row>
    <row r="16056" spans="1:7" x14ac:dyDescent="0.35">
      <c r="A16056">
        <v>6372</v>
      </c>
      <c r="B16056" s="1">
        <v>46002</v>
      </c>
      <c r="C16056" t="s">
        <v>24</v>
      </c>
      <c r="D16056" s="2">
        <v>1222.03</v>
      </c>
      <c r="E16056" s="2">
        <v>0</v>
      </c>
      <c r="F16056" t="s">
        <v>8</v>
      </c>
      <c r="G16056" t="s">
        <v>9</v>
      </c>
    </row>
    <row r="16057" spans="1:7" x14ac:dyDescent="0.35">
      <c r="A16057">
        <v>6372</v>
      </c>
      <c r="B16057" s="1">
        <v>46002</v>
      </c>
      <c r="C16057" t="s">
        <v>24</v>
      </c>
      <c r="D16057" s="2">
        <v>0</v>
      </c>
      <c r="E16057" s="2">
        <v>1222.03</v>
      </c>
      <c r="F16057" t="s">
        <v>13</v>
      </c>
      <c r="G16057" t="s">
        <v>9</v>
      </c>
    </row>
    <row r="16058" spans="1:7" x14ac:dyDescent="0.35">
      <c r="A16058">
        <v>6373</v>
      </c>
      <c r="B16058" s="1">
        <v>46002</v>
      </c>
      <c r="C16058" t="s">
        <v>24</v>
      </c>
      <c r="D16058" s="2">
        <v>2304.96</v>
      </c>
      <c r="E16058" s="2">
        <v>0</v>
      </c>
      <c r="F16058" t="s">
        <v>8</v>
      </c>
      <c r="G16058" t="s">
        <v>9</v>
      </c>
    </row>
    <row r="16059" spans="1:7" x14ac:dyDescent="0.35">
      <c r="A16059">
        <v>6373</v>
      </c>
      <c r="B16059" s="1">
        <v>46002</v>
      </c>
      <c r="C16059" t="s">
        <v>24</v>
      </c>
      <c r="D16059" s="2">
        <v>0</v>
      </c>
      <c r="E16059" s="2">
        <v>2304.96</v>
      </c>
      <c r="F16059" t="s">
        <v>13</v>
      </c>
      <c r="G16059" t="s">
        <v>9</v>
      </c>
    </row>
    <row r="16060" spans="1:7" x14ac:dyDescent="0.35">
      <c r="A16060">
        <v>6374</v>
      </c>
      <c r="B16060" s="1">
        <v>46002</v>
      </c>
      <c r="C16060" t="s">
        <v>24</v>
      </c>
      <c r="D16060" s="2">
        <v>2086.41</v>
      </c>
      <c r="E16060" s="2">
        <v>0</v>
      </c>
      <c r="F16060" t="s">
        <v>8</v>
      </c>
      <c r="G16060" t="s">
        <v>9</v>
      </c>
    </row>
    <row r="16061" spans="1:7" x14ac:dyDescent="0.35">
      <c r="A16061">
        <v>6374</v>
      </c>
      <c r="B16061" s="1">
        <v>46002</v>
      </c>
      <c r="C16061" t="s">
        <v>24</v>
      </c>
      <c r="D16061" s="2">
        <v>0</v>
      </c>
      <c r="E16061" s="2">
        <v>2086.41</v>
      </c>
      <c r="F16061" t="s">
        <v>13</v>
      </c>
      <c r="G16061" t="s">
        <v>9</v>
      </c>
    </row>
    <row r="16062" spans="1:7" x14ac:dyDescent="0.35">
      <c r="A16062">
        <v>6375</v>
      </c>
      <c r="B16062" s="1">
        <v>46002</v>
      </c>
      <c r="C16062" t="s">
        <v>24</v>
      </c>
      <c r="D16062" s="2">
        <v>1620.18</v>
      </c>
      <c r="E16062" s="2">
        <v>0</v>
      </c>
      <c r="F16062" t="s">
        <v>8</v>
      </c>
      <c r="G16062" t="s">
        <v>9</v>
      </c>
    </row>
    <row r="16063" spans="1:7" x14ac:dyDescent="0.35">
      <c r="A16063">
        <v>6375</v>
      </c>
      <c r="B16063" s="1">
        <v>46002</v>
      </c>
      <c r="C16063" t="s">
        <v>24</v>
      </c>
      <c r="D16063" s="2">
        <v>0</v>
      </c>
      <c r="E16063" s="2">
        <v>1620.18</v>
      </c>
      <c r="F16063" t="s">
        <v>13</v>
      </c>
      <c r="G16063" t="s">
        <v>9</v>
      </c>
    </row>
    <row r="16064" spans="1:7" x14ac:dyDescent="0.35">
      <c r="A16064">
        <v>6376</v>
      </c>
      <c r="B16064" s="1">
        <v>46002</v>
      </c>
      <c r="C16064" t="s">
        <v>24</v>
      </c>
      <c r="D16064" s="2">
        <v>5611.38</v>
      </c>
      <c r="E16064" s="2">
        <v>0</v>
      </c>
      <c r="F16064" t="s">
        <v>8</v>
      </c>
      <c r="G16064" t="s">
        <v>9</v>
      </c>
    </row>
    <row r="16065" spans="1:7" x14ac:dyDescent="0.35">
      <c r="A16065">
        <v>6376</v>
      </c>
      <c r="B16065" s="1">
        <v>46002</v>
      </c>
      <c r="C16065" t="s">
        <v>24</v>
      </c>
      <c r="D16065" s="2">
        <v>0</v>
      </c>
      <c r="E16065" s="2">
        <v>5611.38</v>
      </c>
      <c r="F16065" t="s">
        <v>13</v>
      </c>
      <c r="G16065" t="s">
        <v>9</v>
      </c>
    </row>
    <row r="16066" spans="1:7" x14ac:dyDescent="0.35">
      <c r="A16066">
        <v>6377</v>
      </c>
      <c r="B16066" s="1">
        <v>46002</v>
      </c>
      <c r="C16066" t="s">
        <v>24</v>
      </c>
      <c r="D16066" s="2">
        <v>481.97</v>
      </c>
      <c r="E16066" s="2">
        <v>0</v>
      </c>
      <c r="F16066" t="s">
        <v>8</v>
      </c>
      <c r="G16066" t="s">
        <v>9</v>
      </c>
    </row>
    <row r="16067" spans="1:7" x14ac:dyDescent="0.35">
      <c r="A16067">
        <v>6377</v>
      </c>
      <c r="B16067" s="1">
        <v>46002</v>
      </c>
      <c r="C16067" t="s">
        <v>24</v>
      </c>
      <c r="D16067" s="2">
        <v>0</v>
      </c>
      <c r="E16067" s="2">
        <v>481.97</v>
      </c>
      <c r="F16067" t="s">
        <v>13</v>
      </c>
      <c r="G16067" t="s">
        <v>9</v>
      </c>
    </row>
    <row r="16068" spans="1:7" x14ac:dyDescent="0.35">
      <c r="A16068">
        <v>6378</v>
      </c>
      <c r="B16068" s="1">
        <v>46002</v>
      </c>
      <c r="C16068" t="s">
        <v>24</v>
      </c>
      <c r="D16068" s="2">
        <v>2004.15</v>
      </c>
      <c r="E16068" s="2">
        <v>0</v>
      </c>
      <c r="F16068" t="s">
        <v>8</v>
      </c>
      <c r="G16068" t="s">
        <v>9</v>
      </c>
    </row>
    <row r="16069" spans="1:7" x14ac:dyDescent="0.35">
      <c r="A16069">
        <v>6378</v>
      </c>
      <c r="B16069" s="1">
        <v>46002</v>
      </c>
      <c r="C16069" t="s">
        <v>24</v>
      </c>
      <c r="D16069" s="2">
        <v>0</v>
      </c>
      <c r="E16069" s="2">
        <v>2004.15</v>
      </c>
      <c r="F16069" t="s">
        <v>13</v>
      </c>
      <c r="G16069" t="s">
        <v>9</v>
      </c>
    </row>
    <row r="16070" spans="1:7" x14ac:dyDescent="0.35">
      <c r="A16070">
        <v>6379</v>
      </c>
      <c r="B16070" s="1">
        <v>46002</v>
      </c>
      <c r="C16070" t="s">
        <v>24</v>
      </c>
      <c r="D16070" s="2">
        <v>1950.5</v>
      </c>
      <c r="E16070" s="2">
        <v>0</v>
      </c>
      <c r="F16070" t="s">
        <v>8</v>
      </c>
      <c r="G16070" t="s">
        <v>9</v>
      </c>
    </row>
    <row r="16071" spans="1:7" x14ac:dyDescent="0.35">
      <c r="A16071">
        <v>6379</v>
      </c>
      <c r="B16071" s="1">
        <v>46002</v>
      </c>
      <c r="C16071" t="s">
        <v>24</v>
      </c>
      <c r="D16071" s="2">
        <v>0</v>
      </c>
      <c r="E16071" s="2">
        <v>1950.5</v>
      </c>
      <c r="F16071" t="s">
        <v>13</v>
      </c>
      <c r="G16071" t="s">
        <v>9</v>
      </c>
    </row>
    <row r="16072" spans="1:7" x14ac:dyDescent="0.35">
      <c r="A16072">
        <v>6380</v>
      </c>
      <c r="B16072" s="1">
        <v>46002</v>
      </c>
      <c r="C16072" t="s">
        <v>24</v>
      </c>
      <c r="D16072" s="2">
        <v>3052.96</v>
      </c>
      <c r="E16072" s="2">
        <v>0</v>
      </c>
      <c r="F16072" t="s">
        <v>8</v>
      </c>
      <c r="G16072" t="s">
        <v>9</v>
      </c>
    </row>
    <row r="16073" spans="1:7" x14ac:dyDescent="0.35">
      <c r="A16073">
        <v>6380</v>
      </c>
      <c r="B16073" s="1">
        <v>46002</v>
      </c>
      <c r="C16073" t="s">
        <v>24</v>
      </c>
      <c r="D16073" s="2">
        <v>0</v>
      </c>
      <c r="E16073" s="2">
        <v>3052.96</v>
      </c>
      <c r="F16073" t="s">
        <v>13</v>
      </c>
      <c r="G16073" t="s">
        <v>9</v>
      </c>
    </row>
    <row r="16074" spans="1:7" x14ac:dyDescent="0.35">
      <c r="A16074">
        <v>6381</v>
      </c>
      <c r="B16074" s="1">
        <v>46002</v>
      </c>
      <c r="C16074" t="s">
        <v>24</v>
      </c>
      <c r="D16074" s="2">
        <v>2567.34</v>
      </c>
      <c r="E16074" s="2">
        <v>0</v>
      </c>
      <c r="F16074" t="s">
        <v>8</v>
      </c>
      <c r="G16074" t="s">
        <v>9</v>
      </c>
    </row>
    <row r="16075" spans="1:7" x14ac:dyDescent="0.35">
      <c r="A16075">
        <v>6381</v>
      </c>
      <c r="B16075" s="1">
        <v>46002</v>
      </c>
      <c r="C16075" t="s">
        <v>24</v>
      </c>
      <c r="D16075" s="2">
        <v>0</v>
      </c>
      <c r="E16075" s="2">
        <v>2567.34</v>
      </c>
      <c r="F16075" t="s">
        <v>13</v>
      </c>
      <c r="G16075" t="s">
        <v>9</v>
      </c>
    </row>
    <row r="16076" spans="1:7" x14ac:dyDescent="0.35">
      <c r="A16076">
        <v>6382</v>
      </c>
      <c r="B16076" s="1">
        <v>46002</v>
      </c>
      <c r="C16076" t="s">
        <v>24</v>
      </c>
      <c r="D16076" s="2">
        <v>1355.87</v>
      </c>
      <c r="E16076" s="2">
        <v>0</v>
      </c>
      <c r="F16076" t="s">
        <v>8</v>
      </c>
      <c r="G16076" t="s">
        <v>9</v>
      </c>
    </row>
    <row r="16077" spans="1:7" x14ac:dyDescent="0.35">
      <c r="A16077">
        <v>6382</v>
      </c>
      <c r="B16077" s="1">
        <v>46002</v>
      </c>
      <c r="C16077" t="s">
        <v>24</v>
      </c>
      <c r="D16077" s="2">
        <v>0</v>
      </c>
      <c r="E16077" s="2">
        <v>1355.87</v>
      </c>
      <c r="F16077" t="s">
        <v>13</v>
      </c>
      <c r="G16077" t="s">
        <v>9</v>
      </c>
    </row>
    <row r="16078" spans="1:7" x14ac:dyDescent="0.35">
      <c r="A16078">
        <v>6383</v>
      </c>
      <c r="B16078" s="1">
        <v>46002</v>
      </c>
      <c r="C16078" t="s">
        <v>24</v>
      </c>
      <c r="D16078" s="2">
        <v>3303</v>
      </c>
      <c r="E16078" s="2">
        <v>0</v>
      </c>
      <c r="F16078" t="s">
        <v>8</v>
      </c>
      <c r="G16078" t="s">
        <v>9</v>
      </c>
    </row>
    <row r="16079" spans="1:7" x14ac:dyDescent="0.35">
      <c r="A16079">
        <v>6383</v>
      </c>
      <c r="B16079" s="1">
        <v>46002</v>
      </c>
      <c r="C16079" t="s">
        <v>24</v>
      </c>
      <c r="D16079" s="2">
        <v>0</v>
      </c>
      <c r="E16079" s="2">
        <v>3303</v>
      </c>
      <c r="F16079" t="s">
        <v>13</v>
      </c>
      <c r="G16079" t="s">
        <v>9</v>
      </c>
    </row>
    <row r="16080" spans="1:7" x14ac:dyDescent="0.35">
      <c r="A16080">
        <v>6384</v>
      </c>
      <c r="B16080" s="1">
        <v>46002</v>
      </c>
      <c r="C16080" t="s">
        <v>24</v>
      </c>
      <c r="D16080" s="2">
        <v>64.67</v>
      </c>
      <c r="E16080" s="2">
        <v>0</v>
      </c>
      <c r="F16080" t="s">
        <v>8</v>
      </c>
      <c r="G16080" t="s">
        <v>9</v>
      </c>
    </row>
    <row r="16081" spans="1:7" x14ac:dyDescent="0.35">
      <c r="A16081">
        <v>6384</v>
      </c>
      <c r="B16081" s="1">
        <v>46002</v>
      </c>
      <c r="C16081" t="s">
        <v>24</v>
      </c>
      <c r="D16081" s="2">
        <v>0</v>
      </c>
      <c r="E16081" s="2">
        <v>64.67</v>
      </c>
      <c r="F16081" t="s">
        <v>13</v>
      </c>
      <c r="G16081" t="s">
        <v>9</v>
      </c>
    </row>
    <row r="16082" spans="1:7" x14ac:dyDescent="0.35">
      <c r="A16082">
        <v>6385</v>
      </c>
      <c r="B16082" s="1">
        <v>46002</v>
      </c>
      <c r="C16082" t="s">
        <v>24</v>
      </c>
      <c r="D16082" s="2">
        <v>4014.03</v>
      </c>
      <c r="E16082" s="2">
        <v>0</v>
      </c>
      <c r="F16082" t="s">
        <v>8</v>
      </c>
      <c r="G16082" t="s">
        <v>9</v>
      </c>
    </row>
    <row r="16083" spans="1:7" x14ac:dyDescent="0.35">
      <c r="A16083">
        <v>6385</v>
      </c>
      <c r="B16083" s="1">
        <v>46002</v>
      </c>
      <c r="C16083" t="s">
        <v>24</v>
      </c>
      <c r="D16083" s="2">
        <v>0</v>
      </c>
      <c r="E16083" s="2">
        <v>4014.03</v>
      </c>
      <c r="F16083" t="s">
        <v>13</v>
      </c>
      <c r="G16083" t="s">
        <v>9</v>
      </c>
    </row>
    <row r="16084" spans="1:7" x14ac:dyDescent="0.35">
      <c r="A16084">
        <v>6386</v>
      </c>
      <c r="B16084" s="1">
        <v>46002</v>
      </c>
      <c r="C16084" t="s">
        <v>25</v>
      </c>
      <c r="D16084" s="2">
        <v>3282.76</v>
      </c>
      <c r="E16084" s="2">
        <v>0</v>
      </c>
      <c r="F16084" t="s">
        <v>26</v>
      </c>
      <c r="G16084" t="s">
        <v>20</v>
      </c>
    </row>
    <row r="16085" spans="1:7" x14ac:dyDescent="0.35">
      <c r="A16085">
        <v>6386</v>
      </c>
      <c r="B16085" s="1">
        <v>46002</v>
      </c>
      <c r="C16085" t="s">
        <v>25</v>
      </c>
      <c r="D16085" s="2">
        <v>246.21</v>
      </c>
      <c r="E16085" s="2">
        <v>0</v>
      </c>
      <c r="F16085" t="s">
        <v>27</v>
      </c>
      <c r="G16085" t="s">
        <v>9</v>
      </c>
    </row>
    <row r="16086" spans="1:7" x14ac:dyDescent="0.35">
      <c r="A16086">
        <v>6386</v>
      </c>
      <c r="B16086" s="1">
        <v>46002</v>
      </c>
      <c r="C16086" t="s">
        <v>25</v>
      </c>
      <c r="D16086" s="2">
        <v>0</v>
      </c>
      <c r="E16086" s="2">
        <v>3528.97</v>
      </c>
      <c r="F16086" t="s">
        <v>28</v>
      </c>
      <c r="G16086" t="s">
        <v>17</v>
      </c>
    </row>
    <row r="16087" spans="1:7" x14ac:dyDescent="0.35">
      <c r="A16087">
        <v>6387</v>
      </c>
      <c r="B16087" s="1">
        <v>46002</v>
      </c>
      <c r="C16087" t="s">
        <v>25</v>
      </c>
      <c r="D16087" s="2">
        <v>3598.88</v>
      </c>
      <c r="E16087" s="2">
        <v>0</v>
      </c>
      <c r="F16087" t="s">
        <v>26</v>
      </c>
      <c r="G16087" t="s">
        <v>20</v>
      </c>
    </row>
    <row r="16088" spans="1:7" x14ac:dyDescent="0.35">
      <c r="A16088">
        <v>6387</v>
      </c>
      <c r="B16088" s="1">
        <v>46002</v>
      </c>
      <c r="C16088" t="s">
        <v>25</v>
      </c>
      <c r="D16088" s="2">
        <v>269.92</v>
      </c>
      <c r="E16088" s="2">
        <v>0</v>
      </c>
      <c r="F16088" t="s">
        <v>27</v>
      </c>
      <c r="G16088" t="s">
        <v>9</v>
      </c>
    </row>
    <row r="16089" spans="1:7" x14ac:dyDescent="0.35">
      <c r="A16089">
        <v>6387</v>
      </c>
      <c r="B16089" s="1">
        <v>46002</v>
      </c>
      <c r="C16089" t="s">
        <v>25</v>
      </c>
      <c r="D16089" s="2">
        <v>0</v>
      </c>
      <c r="E16089" s="2">
        <v>3868.8</v>
      </c>
      <c r="F16089" t="s">
        <v>28</v>
      </c>
      <c r="G16089" t="s">
        <v>17</v>
      </c>
    </row>
    <row r="16090" spans="1:7" x14ac:dyDescent="0.35">
      <c r="A16090">
        <v>6388</v>
      </c>
      <c r="B16090" s="1">
        <v>46002</v>
      </c>
      <c r="C16090" t="s">
        <v>25</v>
      </c>
      <c r="D16090" s="2">
        <v>6723.2</v>
      </c>
      <c r="E16090" s="2">
        <v>0</v>
      </c>
      <c r="F16090" t="s">
        <v>26</v>
      </c>
      <c r="G16090" t="s">
        <v>20</v>
      </c>
    </row>
    <row r="16091" spans="1:7" x14ac:dyDescent="0.35">
      <c r="A16091">
        <v>6388</v>
      </c>
      <c r="B16091" s="1">
        <v>46002</v>
      </c>
      <c r="C16091" t="s">
        <v>25</v>
      </c>
      <c r="D16091" s="2">
        <v>504.24</v>
      </c>
      <c r="E16091" s="2">
        <v>0</v>
      </c>
      <c r="F16091" t="s">
        <v>27</v>
      </c>
      <c r="G16091" t="s">
        <v>9</v>
      </c>
    </row>
    <row r="16092" spans="1:7" x14ac:dyDescent="0.35">
      <c r="A16092">
        <v>6388</v>
      </c>
      <c r="B16092" s="1">
        <v>46002</v>
      </c>
      <c r="C16092" t="s">
        <v>25</v>
      </c>
      <c r="D16092" s="2">
        <v>0</v>
      </c>
      <c r="E16092" s="2">
        <v>7227.44</v>
      </c>
      <c r="F16092" t="s">
        <v>28</v>
      </c>
      <c r="G16092" t="s">
        <v>17</v>
      </c>
    </row>
    <row r="16093" spans="1:7" x14ac:dyDescent="0.35">
      <c r="A16093">
        <v>6389</v>
      </c>
      <c r="B16093" s="1">
        <v>46002</v>
      </c>
      <c r="C16093" t="s">
        <v>29</v>
      </c>
      <c r="D16093" s="2">
        <v>7227.44</v>
      </c>
      <c r="E16093" s="2">
        <v>0</v>
      </c>
      <c r="F16093" t="s">
        <v>28</v>
      </c>
      <c r="G16093" t="s">
        <v>17</v>
      </c>
    </row>
    <row r="16094" spans="1:7" x14ac:dyDescent="0.35">
      <c r="A16094">
        <v>6389</v>
      </c>
      <c r="B16094" s="1">
        <v>46002</v>
      </c>
      <c r="C16094" t="s">
        <v>29</v>
      </c>
      <c r="D16094" s="2">
        <v>0</v>
      </c>
      <c r="E16094" s="2">
        <v>7227.44</v>
      </c>
      <c r="F16094" t="s">
        <v>8</v>
      </c>
      <c r="G16094" t="s">
        <v>9</v>
      </c>
    </row>
    <row r="16095" spans="1:7" x14ac:dyDescent="0.35">
      <c r="A16095">
        <v>6390</v>
      </c>
      <c r="B16095" s="1">
        <v>46002</v>
      </c>
      <c r="C16095" t="s">
        <v>29</v>
      </c>
      <c r="D16095" s="2">
        <v>3528.97</v>
      </c>
      <c r="E16095" s="2">
        <v>0</v>
      </c>
      <c r="F16095" t="s">
        <v>28</v>
      </c>
      <c r="G16095" t="s">
        <v>17</v>
      </c>
    </row>
    <row r="16096" spans="1:7" x14ac:dyDescent="0.35">
      <c r="A16096">
        <v>6390</v>
      </c>
      <c r="B16096" s="1">
        <v>46002</v>
      </c>
      <c r="C16096" t="s">
        <v>29</v>
      </c>
      <c r="D16096" s="2">
        <v>0</v>
      </c>
      <c r="E16096" s="2">
        <v>3528.97</v>
      </c>
      <c r="F16096" t="s">
        <v>8</v>
      </c>
      <c r="G16096" t="s">
        <v>9</v>
      </c>
    </row>
    <row r="16097" spans="1:7" x14ac:dyDescent="0.35">
      <c r="A16097">
        <v>6391</v>
      </c>
      <c r="B16097" s="1">
        <v>46003</v>
      </c>
      <c r="C16097" t="s">
        <v>12</v>
      </c>
      <c r="D16097" s="2">
        <v>2832.38</v>
      </c>
      <c r="E16097" s="2">
        <v>0</v>
      </c>
      <c r="F16097" t="s">
        <v>13</v>
      </c>
      <c r="G16097" t="s">
        <v>9</v>
      </c>
    </row>
    <row r="16098" spans="1:7" x14ac:dyDescent="0.35">
      <c r="A16098">
        <v>6391</v>
      </c>
      <c r="B16098" s="1">
        <v>46003</v>
      </c>
      <c r="C16098" t="s">
        <v>12</v>
      </c>
      <c r="D16098" s="2">
        <v>0</v>
      </c>
      <c r="E16098" s="2">
        <v>2634.78</v>
      </c>
      <c r="F16098" t="s">
        <v>14</v>
      </c>
      <c r="G16098" t="s">
        <v>15</v>
      </c>
    </row>
    <row r="16099" spans="1:7" x14ac:dyDescent="0.35">
      <c r="A16099">
        <v>6391</v>
      </c>
      <c r="B16099" s="1">
        <v>46003</v>
      </c>
      <c r="C16099" t="s">
        <v>12</v>
      </c>
      <c r="D16099" s="2">
        <v>0</v>
      </c>
      <c r="E16099" s="2">
        <v>197.6</v>
      </c>
      <c r="F16099" t="s">
        <v>16</v>
      </c>
      <c r="G16099" t="s">
        <v>17</v>
      </c>
    </row>
    <row r="16100" spans="1:7" x14ac:dyDescent="0.35">
      <c r="A16100">
        <v>6392</v>
      </c>
      <c r="B16100" s="1">
        <v>46003</v>
      </c>
      <c r="C16100" t="s">
        <v>12</v>
      </c>
      <c r="D16100" s="2">
        <v>2284.52</v>
      </c>
      <c r="E16100" s="2">
        <v>0</v>
      </c>
      <c r="F16100" t="s">
        <v>13</v>
      </c>
      <c r="G16100" t="s">
        <v>9</v>
      </c>
    </row>
    <row r="16101" spans="1:7" x14ac:dyDescent="0.35">
      <c r="A16101">
        <v>6392</v>
      </c>
      <c r="B16101" s="1">
        <v>46003</v>
      </c>
      <c r="C16101" t="s">
        <v>12</v>
      </c>
      <c r="D16101" s="2">
        <v>0</v>
      </c>
      <c r="E16101" s="2">
        <v>2125.13</v>
      </c>
      <c r="F16101" t="s">
        <v>14</v>
      </c>
      <c r="G16101" t="s">
        <v>15</v>
      </c>
    </row>
    <row r="16102" spans="1:7" x14ac:dyDescent="0.35">
      <c r="A16102">
        <v>6392</v>
      </c>
      <c r="B16102" s="1">
        <v>46003</v>
      </c>
      <c r="C16102" t="s">
        <v>12</v>
      </c>
      <c r="D16102" s="2">
        <v>0</v>
      </c>
      <c r="E16102" s="2">
        <v>159.38999999999999</v>
      </c>
      <c r="F16102" t="s">
        <v>16</v>
      </c>
      <c r="G16102" t="s">
        <v>17</v>
      </c>
    </row>
    <row r="16103" spans="1:7" x14ac:dyDescent="0.35">
      <c r="A16103">
        <v>6393</v>
      </c>
      <c r="B16103" s="1">
        <v>46003</v>
      </c>
      <c r="C16103" t="s">
        <v>12</v>
      </c>
      <c r="D16103" s="2">
        <v>4131.42</v>
      </c>
      <c r="E16103" s="2">
        <v>0</v>
      </c>
      <c r="F16103" t="s">
        <v>13</v>
      </c>
      <c r="G16103" t="s">
        <v>9</v>
      </c>
    </row>
    <row r="16104" spans="1:7" x14ac:dyDescent="0.35">
      <c r="A16104">
        <v>6393</v>
      </c>
      <c r="B16104" s="1">
        <v>46003</v>
      </c>
      <c r="C16104" t="s">
        <v>12</v>
      </c>
      <c r="D16104" s="2">
        <v>0</v>
      </c>
      <c r="E16104" s="2">
        <v>3843.19</v>
      </c>
      <c r="F16104" t="s">
        <v>14</v>
      </c>
      <c r="G16104" t="s">
        <v>15</v>
      </c>
    </row>
    <row r="16105" spans="1:7" x14ac:dyDescent="0.35">
      <c r="A16105">
        <v>6393</v>
      </c>
      <c r="B16105" s="1">
        <v>46003</v>
      </c>
      <c r="C16105" t="s">
        <v>12</v>
      </c>
      <c r="D16105" s="2">
        <v>0</v>
      </c>
      <c r="E16105" s="2">
        <v>288.23</v>
      </c>
      <c r="F16105" t="s">
        <v>16</v>
      </c>
      <c r="G16105" t="s">
        <v>17</v>
      </c>
    </row>
    <row r="16106" spans="1:7" x14ac:dyDescent="0.35">
      <c r="A16106">
        <v>6394</v>
      </c>
      <c r="B16106" s="1">
        <v>46003</v>
      </c>
      <c r="C16106" t="s">
        <v>12</v>
      </c>
      <c r="D16106" s="2">
        <v>129.34</v>
      </c>
      <c r="E16106" s="2">
        <v>0</v>
      </c>
      <c r="F16106" t="s">
        <v>13</v>
      </c>
      <c r="G16106" t="s">
        <v>9</v>
      </c>
    </row>
    <row r="16107" spans="1:7" x14ac:dyDescent="0.35">
      <c r="A16107">
        <v>6394</v>
      </c>
      <c r="B16107" s="1">
        <v>46003</v>
      </c>
      <c r="C16107" t="s">
        <v>12</v>
      </c>
      <c r="D16107" s="2">
        <v>0</v>
      </c>
      <c r="E16107" s="2">
        <v>120.32</v>
      </c>
      <c r="F16107" t="s">
        <v>14</v>
      </c>
      <c r="G16107" t="s">
        <v>15</v>
      </c>
    </row>
    <row r="16108" spans="1:7" x14ac:dyDescent="0.35">
      <c r="A16108">
        <v>6394</v>
      </c>
      <c r="B16108" s="1">
        <v>46003</v>
      </c>
      <c r="C16108" t="s">
        <v>12</v>
      </c>
      <c r="D16108" s="2">
        <v>0</v>
      </c>
      <c r="E16108" s="2">
        <v>9.02</v>
      </c>
      <c r="F16108" t="s">
        <v>16</v>
      </c>
      <c r="G16108" t="s">
        <v>17</v>
      </c>
    </row>
    <row r="16109" spans="1:7" x14ac:dyDescent="0.35">
      <c r="A16109">
        <v>6395</v>
      </c>
      <c r="B16109" s="1">
        <v>46003</v>
      </c>
      <c r="C16109" t="s">
        <v>12</v>
      </c>
      <c r="D16109" s="2">
        <v>2759.68</v>
      </c>
      <c r="E16109" s="2">
        <v>0</v>
      </c>
      <c r="F16109" t="s">
        <v>13</v>
      </c>
      <c r="G16109" t="s">
        <v>9</v>
      </c>
    </row>
    <row r="16110" spans="1:7" x14ac:dyDescent="0.35">
      <c r="A16110">
        <v>6395</v>
      </c>
      <c r="B16110" s="1">
        <v>46003</v>
      </c>
      <c r="C16110" t="s">
        <v>12</v>
      </c>
      <c r="D16110" s="2">
        <v>0</v>
      </c>
      <c r="E16110" s="2">
        <v>2567.14</v>
      </c>
      <c r="F16110" t="s">
        <v>14</v>
      </c>
      <c r="G16110" t="s">
        <v>15</v>
      </c>
    </row>
    <row r="16111" spans="1:7" x14ac:dyDescent="0.35">
      <c r="A16111">
        <v>6395</v>
      </c>
      <c r="B16111" s="1">
        <v>46003</v>
      </c>
      <c r="C16111" t="s">
        <v>12</v>
      </c>
      <c r="D16111" s="2">
        <v>0</v>
      </c>
      <c r="E16111" s="2">
        <v>192.54</v>
      </c>
      <c r="F16111" t="s">
        <v>16</v>
      </c>
      <c r="G16111" t="s">
        <v>17</v>
      </c>
    </row>
    <row r="16112" spans="1:7" x14ac:dyDescent="0.35">
      <c r="A16112">
        <v>6396</v>
      </c>
      <c r="B16112" s="1">
        <v>46003</v>
      </c>
      <c r="C16112" t="s">
        <v>12</v>
      </c>
      <c r="D16112" s="2">
        <v>1595.71</v>
      </c>
      <c r="E16112" s="2">
        <v>0</v>
      </c>
      <c r="F16112" t="s">
        <v>13</v>
      </c>
      <c r="G16112" t="s">
        <v>9</v>
      </c>
    </row>
    <row r="16113" spans="1:7" x14ac:dyDescent="0.35">
      <c r="A16113">
        <v>6396</v>
      </c>
      <c r="B16113" s="1">
        <v>46003</v>
      </c>
      <c r="C16113" t="s">
        <v>12</v>
      </c>
      <c r="D16113" s="2">
        <v>0</v>
      </c>
      <c r="E16113" s="2">
        <v>1484.39</v>
      </c>
      <c r="F16113" t="s">
        <v>14</v>
      </c>
      <c r="G16113" t="s">
        <v>15</v>
      </c>
    </row>
    <row r="16114" spans="1:7" x14ac:dyDescent="0.35">
      <c r="A16114">
        <v>6396</v>
      </c>
      <c r="B16114" s="1">
        <v>46003</v>
      </c>
      <c r="C16114" t="s">
        <v>12</v>
      </c>
      <c r="D16114" s="2">
        <v>0</v>
      </c>
      <c r="E16114" s="2">
        <v>111.32</v>
      </c>
      <c r="F16114" t="s">
        <v>16</v>
      </c>
      <c r="G16114" t="s">
        <v>17</v>
      </c>
    </row>
    <row r="16115" spans="1:7" x14ac:dyDescent="0.35">
      <c r="A16115">
        <v>6397</v>
      </c>
      <c r="B16115" s="1">
        <v>46003</v>
      </c>
      <c r="C16115" t="s">
        <v>12</v>
      </c>
      <c r="D16115" s="2">
        <v>477.53</v>
      </c>
      <c r="E16115" s="2">
        <v>0</v>
      </c>
      <c r="F16115" t="s">
        <v>13</v>
      </c>
      <c r="G16115" t="s">
        <v>9</v>
      </c>
    </row>
    <row r="16116" spans="1:7" x14ac:dyDescent="0.35">
      <c r="A16116">
        <v>6397</v>
      </c>
      <c r="B16116" s="1">
        <v>46003</v>
      </c>
      <c r="C16116" t="s">
        <v>12</v>
      </c>
      <c r="D16116" s="2">
        <v>0</v>
      </c>
      <c r="E16116" s="2">
        <v>444.21</v>
      </c>
      <c r="F16116" t="s">
        <v>14</v>
      </c>
      <c r="G16116" t="s">
        <v>15</v>
      </c>
    </row>
    <row r="16117" spans="1:7" x14ac:dyDescent="0.35">
      <c r="A16117">
        <v>6397</v>
      </c>
      <c r="B16117" s="1">
        <v>46003</v>
      </c>
      <c r="C16117" t="s">
        <v>12</v>
      </c>
      <c r="D16117" s="2">
        <v>0</v>
      </c>
      <c r="E16117" s="2">
        <v>33.32</v>
      </c>
      <c r="F16117" t="s">
        <v>16</v>
      </c>
      <c r="G16117" t="s">
        <v>17</v>
      </c>
    </row>
    <row r="16118" spans="1:7" x14ac:dyDescent="0.35">
      <c r="A16118">
        <v>6398</v>
      </c>
      <c r="B16118" s="1">
        <v>46003</v>
      </c>
      <c r="C16118" t="s">
        <v>12</v>
      </c>
      <c r="D16118" s="2">
        <v>2077.77</v>
      </c>
      <c r="E16118" s="2">
        <v>0</v>
      </c>
      <c r="F16118" t="s">
        <v>13</v>
      </c>
      <c r="G16118" t="s">
        <v>9</v>
      </c>
    </row>
    <row r="16119" spans="1:7" x14ac:dyDescent="0.35">
      <c r="A16119">
        <v>6398</v>
      </c>
      <c r="B16119" s="1">
        <v>46003</v>
      </c>
      <c r="C16119" t="s">
        <v>12</v>
      </c>
      <c r="D16119" s="2">
        <v>0</v>
      </c>
      <c r="E16119" s="2">
        <v>1932.81</v>
      </c>
      <c r="F16119" t="s">
        <v>14</v>
      </c>
      <c r="G16119" t="s">
        <v>15</v>
      </c>
    </row>
    <row r="16120" spans="1:7" x14ac:dyDescent="0.35">
      <c r="A16120">
        <v>6398</v>
      </c>
      <c r="B16120" s="1">
        <v>46003</v>
      </c>
      <c r="C16120" t="s">
        <v>12</v>
      </c>
      <c r="D16120" s="2">
        <v>0</v>
      </c>
      <c r="E16120" s="2">
        <v>144.96</v>
      </c>
      <c r="F16120" t="s">
        <v>16</v>
      </c>
      <c r="G16120" t="s">
        <v>17</v>
      </c>
    </row>
    <row r="16121" spans="1:7" x14ac:dyDescent="0.35">
      <c r="A16121">
        <v>6399</v>
      </c>
      <c r="B16121" s="1">
        <v>46003</v>
      </c>
      <c r="C16121" t="s">
        <v>12</v>
      </c>
      <c r="D16121" s="2">
        <v>40.5</v>
      </c>
      <c r="E16121" s="2">
        <v>0</v>
      </c>
      <c r="F16121" t="s">
        <v>13</v>
      </c>
      <c r="G16121" t="s">
        <v>9</v>
      </c>
    </row>
    <row r="16122" spans="1:7" x14ac:dyDescent="0.35">
      <c r="A16122">
        <v>6399</v>
      </c>
      <c r="B16122" s="1">
        <v>46003</v>
      </c>
      <c r="C16122" t="s">
        <v>12</v>
      </c>
      <c r="D16122" s="2">
        <v>0</v>
      </c>
      <c r="E16122" s="2">
        <v>37.67</v>
      </c>
      <c r="F16122" t="s">
        <v>14</v>
      </c>
      <c r="G16122" t="s">
        <v>15</v>
      </c>
    </row>
    <row r="16123" spans="1:7" x14ac:dyDescent="0.35">
      <c r="A16123">
        <v>6399</v>
      </c>
      <c r="B16123" s="1">
        <v>46003</v>
      </c>
      <c r="C16123" t="s">
        <v>12</v>
      </c>
      <c r="D16123" s="2">
        <v>0</v>
      </c>
      <c r="E16123" s="2">
        <v>2.83</v>
      </c>
      <c r="F16123" t="s">
        <v>16</v>
      </c>
      <c r="G16123" t="s">
        <v>17</v>
      </c>
    </row>
    <row r="16124" spans="1:7" x14ac:dyDescent="0.35">
      <c r="A16124">
        <v>6400</v>
      </c>
      <c r="B16124" s="1">
        <v>46003</v>
      </c>
      <c r="C16124" t="s">
        <v>12</v>
      </c>
      <c r="D16124" s="2">
        <v>1222.9100000000001</v>
      </c>
      <c r="E16124" s="2">
        <v>0</v>
      </c>
      <c r="F16124" t="s">
        <v>13</v>
      </c>
      <c r="G16124" t="s">
        <v>9</v>
      </c>
    </row>
    <row r="16125" spans="1:7" x14ac:dyDescent="0.35">
      <c r="A16125">
        <v>6400</v>
      </c>
      <c r="B16125" s="1">
        <v>46003</v>
      </c>
      <c r="C16125" t="s">
        <v>12</v>
      </c>
      <c r="D16125" s="2">
        <v>0</v>
      </c>
      <c r="E16125" s="2">
        <v>1137.5899999999999</v>
      </c>
      <c r="F16125" t="s">
        <v>14</v>
      </c>
      <c r="G16125" t="s">
        <v>15</v>
      </c>
    </row>
    <row r="16126" spans="1:7" x14ac:dyDescent="0.35">
      <c r="A16126">
        <v>6400</v>
      </c>
      <c r="B16126" s="1">
        <v>46003</v>
      </c>
      <c r="C16126" t="s">
        <v>12</v>
      </c>
      <c r="D16126" s="2">
        <v>0</v>
      </c>
      <c r="E16126" s="2">
        <v>85.32</v>
      </c>
      <c r="F16126" t="s">
        <v>16</v>
      </c>
      <c r="G16126" t="s">
        <v>17</v>
      </c>
    </row>
    <row r="16127" spans="1:7" x14ac:dyDescent="0.35">
      <c r="A16127">
        <v>6401</v>
      </c>
      <c r="B16127" s="1">
        <v>46003</v>
      </c>
      <c r="C16127" t="s">
        <v>24</v>
      </c>
      <c r="D16127" s="2">
        <v>418.02</v>
      </c>
      <c r="E16127" s="2">
        <v>0</v>
      </c>
      <c r="F16127" t="s">
        <v>8</v>
      </c>
      <c r="G16127" t="s">
        <v>9</v>
      </c>
    </row>
    <row r="16128" spans="1:7" x14ac:dyDescent="0.35">
      <c r="A16128">
        <v>6401</v>
      </c>
      <c r="B16128" s="1">
        <v>46003</v>
      </c>
      <c r="C16128" t="s">
        <v>24</v>
      </c>
      <c r="D16128" s="2">
        <v>0</v>
      </c>
      <c r="E16128" s="2">
        <v>418.02</v>
      </c>
      <c r="F16128" t="s">
        <v>13</v>
      </c>
      <c r="G16128" t="s">
        <v>9</v>
      </c>
    </row>
    <row r="16129" spans="1:7" x14ac:dyDescent="0.35">
      <c r="A16129">
        <v>6402</v>
      </c>
      <c r="B16129" s="1">
        <v>46003</v>
      </c>
      <c r="C16129" t="s">
        <v>24</v>
      </c>
      <c r="D16129" s="2">
        <v>2692.66</v>
      </c>
      <c r="E16129" s="2">
        <v>0</v>
      </c>
      <c r="F16129" t="s">
        <v>8</v>
      </c>
      <c r="G16129" t="s">
        <v>9</v>
      </c>
    </row>
    <row r="16130" spans="1:7" x14ac:dyDescent="0.35">
      <c r="A16130">
        <v>6402</v>
      </c>
      <c r="B16130" s="1">
        <v>46003</v>
      </c>
      <c r="C16130" t="s">
        <v>24</v>
      </c>
      <c r="D16130" s="2">
        <v>0</v>
      </c>
      <c r="E16130" s="2">
        <v>2692.66</v>
      </c>
      <c r="F16130" t="s">
        <v>13</v>
      </c>
      <c r="G16130" t="s">
        <v>9</v>
      </c>
    </row>
    <row r="16131" spans="1:7" x14ac:dyDescent="0.35">
      <c r="A16131">
        <v>6403</v>
      </c>
      <c r="B16131" s="1">
        <v>46003</v>
      </c>
      <c r="C16131" t="s">
        <v>24</v>
      </c>
      <c r="D16131" s="2">
        <v>2673.28</v>
      </c>
      <c r="E16131" s="2">
        <v>0</v>
      </c>
      <c r="F16131" t="s">
        <v>8</v>
      </c>
      <c r="G16131" t="s">
        <v>9</v>
      </c>
    </row>
    <row r="16132" spans="1:7" x14ac:dyDescent="0.35">
      <c r="A16132">
        <v>6403</v>
      </c>
      <c r="B16132" s="1">
        <v>46003</v>
      </c>
      <c r="C16132" t="s">
        <v>24</v>
      </c>
      <c r="D16132" s="2">
        <v>0</v>
      </c>
      <c r="E16132" s="2">
        <v>2673.28</v>
      </c>
      <c r="F16132" t="s">
        <v>13</v>
      </c>
      <c r="G16132" t="s">
        <v>9</v>
      </c>
    </row>
    <row r="16133" spans="1:7" x14ac:dyDescent="0.35">
      <c r="A16133">
        <v>6404</v>
      </c>
      <c r="B16133" s="1">
        <v>46003</v>
      </c>
      <c r="C16133" t="s">
        <v>24</v>
      </c>
      <c r="D16133" s="2">
        <v>2021.48</v>
      </c>
      <c r="E16133" s="2">
        <v>0</v>
      </c>
      <c r="F16133" t="s">
        <v>8</v>
      </c>
      <c r="G16133" t="s">
        <v>9</v>
      </c>
    </row>
    <row r="16134" spans="1:7" x14ac:dyDescent="0.35">
      <c r="A16134">
        <v>6404</v>
      </c>
      <c r="B16134" s="1">
        <v>46003</v>
      </c>
      <c r="C16134" t="s">
        <v>24</v>
      </c>
      <c r="D16134" s="2">
        <v>0</v>
      </c>
      <c r="E16134" s="2">
        <v>2021.48</v>
      </c>
      <c r="F16134" t="s">
        <v>13</v>
      </c>
      <c r="G16134" t="s">
        <v>9</v>
      </c>
    </row>
    <row r="16135" spans="1:7" x14ac:dyDescent="0.35">
      <c r="A16135">
        <v>6405</v>
      </c>
      <c r="B16135" s="1">
        <v>46003</v>
      </c>
      <c r="C16135" t="s">
        <v>24</v>
      </c>
      <c r="D16135" s="2">
        <v>3879.48</v>
      </c>
      <c r="E16135" s="2">
        <v>0</v>
      </c>
      <c r="F16135" t="s">
        <v>8</v>
      </c>
      <c r="G16135" t="s">
        <v>9</v>
      </c>
    </row>
    <row r="16136" spans="1:7" x14ac:dyDescent="0.35">
      <c r="A16136">
        <v>6405</v>
      </c>
      <c r="B16136" s="1">
        <v>46003</v>
      </c>
      <c r="C16136" t="s">
        <v>24</v>
      </c>
      <c r="D16136" s="2">
        <v>0</v>
      </c>
      <c r="E16136" s="2">
        <v>3879.48</v>
      </c>
      <c r="F16136" t="s">
        <v>13</v>
      </c>
      <c r="G16136" t="s">
        <v>9</v>
      </c>
    </row>
    <row r="16137" spans="1:7" x14ac:dyDescent="0.35">
      <c r="A16137">
        <v>6406</v>
      </c>
      <c r="B16137" s="1">
        <v>46003</v>
      </c>
      <c r="C16137" t="s">
        <v>24</v>
      </c>
      <c r="D16137" s="2">
        <v>810.47</v>
      </c>
      <c r="E16137" s="2">
        <v>0</v>
      </c>
      <c r="F16137" t="s">
        <v>8</v>
      </c>
      <c r="G16137" t="s">
        <v>9</v>
      </c>
    </row>
    <row r="16138" spans="1:7" x14ac:dyDescent="0.35">
      <c r="A16138">
        <v>6406</v>
      </c>
      <c r="B16138" s="1">
        <v>46003</v>
      </c>
      <c r="C16138" t="s">
        <v>24</v>
      </c>
      <c r="D16138" s="2">
        <v>0</v>
      </c>
      <c r="E16138" s="2">
        <v>810.47</v>
      </c>
      <c r="F16138" t="s">
        <v>13</v>
      </c>
      <c r="G16138" t="s">
        <v>9</v>
      </c>
    </row>
    <row r="16139" spans="1:7" x14ac:dyDescent="0.35">
      <c r="A16139">
        <v>6407</v>
      </c>
      <c r="B16139" s="1">
        <v>46003</v>
      </c>
      <c r="C16139" t="s">
        <v>24</v>
      </c>
      <c r="D16139" s="2">
        <v>3019.78</v>
      </c>
      <c r="E16139" s="2">
        <v>0</v>
      </c>
      <c r="F16139" t="s">
        <v>8</v>
      </c>
      <c r="G16139" t="s">
        <v>9</v>
      </c>
    </row>
    <row r="16140" spans="1:7" x14ac:dyDescent="0.35">
      <c r="A16140">
        <v>6407</v>
      </c>
      <c r="B16140" s="1">
        <v>46003</v>
      </c>
      <c r="C16140" t="s">
        <v>24</v>
      </c>
      <c r="D16140" s="2">
        <v>0</v>
      </c>
      <c r="E16140" s="2">
        <v>3019.78</v>
      </c>
      <c r="F16140" t="s">
        <v>13</v>
      </c>
      <c r="G16140" t="s">
        <v>9</v>
      </c>
    </row>
    <row r="16141" spans="1:7" x14ac:dyDescent="0.35">
      <c r="A16141">
        <v>6408</v>
      </c>
      <c r="B16141" s="1">
        <v>46003</v>
      </c>
      <c r="C16141" t="s">
        <v>24</v>
      </c>
      <c r="D16141" s="2">
        <v>2676</v>
      </c>
      <c r="E16141" s="2">
        <v>0</v>
      </c>
      <c r="F16141" t="s">
        <v>8</v>
      </c>
      <c r="G16141" t="s">
        <v>9</v>
      </c>
    </row>
    <row r="16142" spans="1:7" x14ac:dyDescent="0.35">
      <c r="A16142">
        <v>6408</v>
      </c>
      <c r="B16142" s="1">
        <v>46003</v>
      </c>
      <c r="C16142" t="s">
        <v>24</v>
      </c>
      <c r="D16142" s="2">
        <v>0</v>
      </c>
      <c r="E16142" s="2">
        <v>2676</v>
      </c>
      <c r="F16142" t="s">
        <v>13</v>
      </c>
      <c r="G16142" t="s">
        <v>9</v>
      </c>
    </row>
    <row r="16143" spans="1:7" x14ac:dyDescent="0.35">
      <c r="A16143">
        <v>6409</v>
      </c>
      <c r="B16143" s="1">
        <v>46003</v>
      </c>
      <c r="C16143" t="s">
        <v>24</v>
      </c>
      <c r="D16143" s="2">
        <v>40.5</v>
      </c>
      <c r="E16143" s="2">
        <v>0</v>
      </c>
      <c r="F16143" t="s">
        <v>8</v>
      </c>
      <c r="G16143" t="s">
        <v>9</v>
      </c>
    </row>
    <row r="16144" spans="1:7" x14ac:dyDescent="0.35">
      <c r="A16144">
        <v>6409</v>
      </c>
      <c r="B16144" s="1">
        <v>46003</v>
      </c>
      <c r="C16144" t="s">
        <v>24</v>
      </c>
      <c r="D16144" s="2">
        <v>0</v>
      </c>
      <c r="E16144" s="2">
        <v>40.5</v>
      </c>
      <c r="F16144" t="s">
        <v>13</v>
      </c>
      <c r="G16144" t="s">
        <v>9</v>
      </c>
    </row>
    <row r="16145" spans="1:7" x14ac:dyDescent="0.35">
      <c r="A16145">
        <v>6410</v>
      </c>
      <c r="B16145" s="1">
        <v>46003</v>
      </c>
      <c r="C16145" t="s">
        <v>25</v>
      </c>
      <c r="D16145" s="2">
        <v>952.02</v>
      </c>
      <c r="E16145" s="2">
        <v>0</v>
      </c>
      <c r="F16145" t="s">
        <v>26</v>
      </c>
      <c r="G16145" t="s">
        <v>20</v>
      </c>
    </row>
    <row r="16146" spans="1:7" x14ac:dyDescent="0.35">
      <c r="A16146">
        <v>6410</v>
      </c>
      <c r="B16146" s="1">
        <v>46003</v>
      </c>
      <c r="C16146" t="s">
        <v>25</v>
      </c>
      <c r="D16146" s="2">
        <v>71.400000000000006</v>
      </c>
      <c r="E16146" s="2">
        <v>0</v>
      </c>
      <c r="F16146" t="s">
        <v>27</v>
      </c>
      <c r="G16146" t="s">
        <v>9</v>
      </c>
    </row>
    <row r="16147" spans="1:7" x14ac:dyDescent="0.35">
      <c r="A16147">
        <v>6410</v>
      </c>
      <c r="B16147" s="1">
        <v>46003</v>
      </c>
      <c r="C16147" t="s">
        <v>25</v>
      </c>
      <c r="D16147" s="2">
        <v>0</v>
      </c>
      <c r="E16147" s="2">
        <v>1023.42</v>
      </c>
      <c r="F16147" t="s">
        <v>28</v>
      </c>
      <c r="G16147" t="s">
        <v>17</v>
      </c>
    </row>
    <row r="16148" spans="1:7" x14ac:dyDescent="0.35">
      <c r="A16148">
        <v>6411</v>
      </c>
      <c r="B16148" s="1">
        <v>46003</v>
      </c>
      <c r="C16148" t="s">
        <v>25</v>
      </c>
      <c r="D16148" s="2">
        <v>1480.5</v>
      </c>
      <c r="E16148" s="2">
        <v>0</v>
      </c>
      <c r="F16148" t="s">
        <v>26</v>
      </c>
      <c r="G16148" t="s">
        <v>20</v>
      </c>
    </row>
    <row r="16149" spans="1:7" x14ac:dyDescent="0.35">
      <c r="A16149">
        <v>6411</v>
      </c>
      <c r="B16149" s="1">
        <v>46003</v>
      </c>
      <c r="C16149" t="s">
        <v>25</v>
      </c>
      <c r="D16149" s="2">
        <v>111.04</v>
      </c>
      <c r="E16149" s="2">
        <v>0</v>
      </c>
      <c r="F16149" t="s">
        <v>27</v>
      </c>
      <c r="G16149" t="s">
        <v>9</v>
      </c>
    </row>
    <row r="16150" spans="1:7" x14ac:dyDescent="0.35">
      <c r="A16150">
        <v>6411</v>
      </c>
      <c r="B16150" s="1">
        <v>46003</v>
      </c>
      <c r="C16150" t="s">
        <v>25</v>
      </c>
      <c r="D16150" s="2">
        <v>0</v>
      </c>
      <c r="E16150" s="2">
        <v>1591.54</v>
      </c>
      <c r="F16150" t="s">
        <v>28</v>
      </c>
      <c r="G16150" t="s">
        <v>17</v>
      </c>
    </row>
    <row r="16151" spans="1:7" x14ac:dyDescent="0.35">
      <c r="A16151">
        <v>6412</v>
      </c>
      <c r="B16151" s="1">
        <v>46003</v>
      </c>
      <c r="C16151" t="s">
        <v>29</v>
      </c>
      <c r="D16151" s="2">
        <v>1159.8399999999999</v>
      </c>
      <c r="E16151" s="2">
        <v>0</v>
      </c>
      <c r="F16151" t="s">
        <v>28</v>
      </c>
      <c r="G16151" t="s">
        <v>17</v>
      </c>
    </row>
    <row r="16152" spans="1:7" x14ac:dyDescent="0.35">
      <c r="A16152">
        <v>6412</v>
      </c>
      <c r="B16152" s="1">
        <v>46003</v>
      </c>
      <c r="C16152" t="s">
        <v>29</v>
      </c>
      <c r="D16152" s="2">
        <v>0</v>
      </c>
      <c r="E16152" s="2">
        <v>1159.8399999999999</v>
      </c>
      <c r="F16152" t="s">
        <v>8</v>
      </c>
      <c r="G16152" t="s">
        <v>9</v>
      </c>
    </row>
    <row r="16153" spans="1:7" x14ac:dyDescent="0.35">
      <c r="A16153">
        <v>6413</v>
      </c>
      <c r="B16153" s="1">
        <v>46003</v>
      </c>
      <c r="C16153" t="s">
        <v>29</v>
      </c>
      <c r="D16153" s="2">
        <v>1958.74</v>
      </c>
      <c r="E16153" s="2">
        <v>0</v>
      </c>
      <c r="F16153" t="s">
        <v>28</v>
      </c>
      <c r="G16153" t="s">
        <v>17</v>
      </c>
    </row>
    <row r="16154" spans="1:7" x14ac:dyDescent="0.35">
      <c r="A16154">
        <v>6413</v>
      </c>
      <c r="B16154" s="1">
        <v>46003</v>
      </c>
      <c r="C16154" t="s">
        <v>29</v>
      </c>
      <c r="D16154" s="2">
        <v>0</v>
      </c>
      <c r="E16154" s="2">
        <v>1958.74</v>
      </c>
      <c r="F16154" t="s">
        <v>8</v>
      </c>
      <c r="G16154" t="s">
        <v>9</v>
      </c>
    </row>
    <row r="16155" spans="1:7" x14ac:dyDescent="0.35">
      <c r="A16155">
        <v>6414</v>
      </c>
      <c r="B16155" s="1">
        <v>46003</v>
      </c>
      <c r="C16155" t="s">
        <v>29</v>
      </c>
      <c r="D16155" s="2">
        <v>2182.41</v>
      </c>
      <c r="E16155" s="2">
        <v>0</v>
      </c>
      <c r="F16155" t="s">
        <v>28</v>
      </c>
      <c r="G16155" t="s">
        <v>17</v>
      </c>
    </row>
    <row r="16156" spans="1:7" x14ac:dyDescent="0.35">
      <c r="A16156">
        <v>6414</v>
      </c>
      <c r="B16156" s="1">
        <v>46003</v>
      </c>
      <c r="C16156" t="s">
        <v>29</v>
      </c>
      <c r="D16156" s="2">
        <v>0</v>
      </c>
      <c r="E16156" s="2">
        <v>2182.41</v>
      </c>
      <c r="F16156" t="s">
        <v>8</v>
      </c>
      <c r="G16156" t="s">
        <v>9</v>
      </c>
    </row>
    <row r="16157" spans="1:7" x14ac:dyDescent="0.35">
      <c r="A16157">
        <v>6415</v>
      </c>
      <c r="B16157" s="1">
        <v>46006</v>
      </c>
      <c r="C16157" t="s">
        <v>12</v>
      </c>
      <c r="D16157" s="2">
        <v>3339.07</v>
      </c>
      <c r="E16157" s="2">
        <v>0</v>
      </c>
      <c r="F16157" t="s">
        <v>13</v>
      </c>
      <c r="G16157" t="s">
        <v>9</v>
      </c>
    </row>
    <row r="16158" spans="1:7" x14ac:dyDescent="0.35">
      <c r="A16158">
        <v>6415</v>
      </c>
      <c r="B16158" s="1">
        <v>46006</v>
      </c>
      <c r="C16158" t="s">
        <v>12</v>
      </c>
      <c r="D16158" s="2">
        <v>0</v>
      </c>
      <c r="E16158" s="2">
        <v>3106.12</v>
      </c>
      <c r="F16158" t="s">
        <v>14</v>
      </c>
      <c r="G16158" t="s">
        <v>15</v>
      </c>
    </row>
    <row r="16159" spans="1:7" x14ac:dyDescent="0.35">
      <c r="A16159">
        <v>6415</v>
      </c>
      <c r="B16159" s="1">
        <v>46006</v>
      </c>
      <c r="C16159" t="s">
        <v>12</v>
      </c>
      <c r="D16159" s="2">
        <v>0</v>
      </c>
      <c r="E16159" s="2">
        <v>232.95</v>
      </c>
      <c r="F16159" t="s">
        <v>16</v>
      </c>
      <c r="G16159" t="s">
        <v>17</v>
      </c>
    </row>
    <row r="16160" spans="1:7" x14ac:dyDescent="0.35">
      <c r="A16160">
        <v>6416</v>
      </c>
      <c r="B16160" s="1">
        <v>46006</v>
      </c>
      <c r="C16160" t="s">
        <v>12</v>
      </c>
      <c r="D16160" s="2">
        <v>2186.1799999999998</v>
      </c>
      <c r="E16160" s="2">
        <v>0</v>
      </c>
      <c r="F16160" t="s">
        <v>13</v>
      </c>
      <c r="G16160" t="s">
        <v>9</v>
      </c>
    </row>
    <row r="16161" spans="1:7" x14ac:dyDescent="0.35">
      <c r="A16161">
        <v>6416</v>
      </c>
      <c r="B16161" s="1">
        <v>46006</v>
      </c>
      <c r="C16161" t="s">
        <v>12</v>
      </c>
      <c r="D16161" s="2">
        <v>0</v>
      </c>
      <c r="E16161" s="2">
        <v>2033.65</v>
      </c>
      <c r="F16161" t="s">
        <v>14</v>
      </c>
      <c r="G16161" t="s">
        <v>15</v>
      </c>
    </row>
    <row r="16162" spans="1:7" x14ac:dyDescent="0.35">
      <c r="A16162">
        <v>6416</v>
      </c>
      <c r="B16162" s="1">
        <v>46006</v>
      </c>
      <c r="C16162" t="s">
        <v>12</v>
      </c>
      <c r="D16162" s="2">
        <v>0</v>
      </c>
      <c r="E16162" s="2">
        <v>152.53</v>
      </c>
      <c r="F16162" t="s">
        <v>16</v>
      </c>
      <c r="G16162" t="s">
        <v>17</v>
      </c>
    </row>
    <row r="16163" spans="1:7" x14ac:dyDescent="0.35">
      <c r="A16163">
        <v>6417</v>
      </c>
      <c r="B16163" s="1">
        <v>46006</v>
      </c>
      <c r="C16163" t="s">
        <v>12</v>
      </c>
      <c r="D16163" s="2">
        <v>2519.4699999999998</v>
      </c>
      <c r="E16163" s="2">
        <v>0</v>
      </c>
      <c r="F16163" t="s">
        <v>13</v>
      </c>
      <c r="G16163" t="s">
        <v>9</v>
      </c>
    </row>
    <row r="16164" spans="1:7" x14ac:dyDescent="0.35">
      <c r="A16164">
        <v>6417</v>
      </c>
      <c r="B16164" s="1">
        <v>46006</v>
      </c>
      <c r="C16164" t="s">
        <v>12</v>
      </c>
      <c r="D16164" s="2">
        <v>0</v>
      </c>
      <c r="E16164" s="2">
        <v>2343.69</v>
      </c>
      <c r="F16164" t="s">
        <v>14</v>
      </c>
      <c r="G16164" t="s">
        <v>15</v>
      </c>
    </row>
    <row r="16165" spans="1:7" x14ac:dyDescent="0.35">
      <c r="A16165">
        <v>6417</v>
      </c>
      <c r="B16165" s="1">
        <v>46006</v>
      </c>
      <c r="C16165" t="s">
        <v>12</v>
      </c>
      <c r="D16165" s="2">
        <v>0</v>
      </c>
      <c r="E16165" s="2">
        <v>175.78</v>
      </c>
      <c r="F16165" t="s">
        <v>16</v>
      </c>
      <c r="G16165" t="s">
        <v>17</v>
      </c>
    </row>
    <row r="16166" spans="1:7" x14ac:dyDescent="0.35">
      <c r="A16166">
        <v>6418</v>
      </c>
      <c r="B16166" s="1">
        <v>46006</v>
      </c>
      <c r="C16166" t="s">
        <v>12</v>
      </c>
      <c r="D16166" s="2">
        <v>43.47</v>
      </c>
      <c r="E16166" s="2">
        <v>0</v>
      </c>
      <c r="F16166" t="s">
        <v>13</v>
      </c>
      <c r="G16166" t="s">
        <v>9</v>
      </c>
    </row>
    <row r="16167" spans="1:7" x14ac:dyDescent="0.35">
      <c r="A16167">
        <v>6418</v>
      </c>
      <c r="B16167" s="1">
        <v>46006</v>
      </c>
      <c r="C16167" t="s">
        <v>12</v>
      </c>
      <c r="D16167" s="2">
        <v>0</v>
      </c>
      <c r="E16167" s="2">
        <v>40.44</v>
      </c>
      <c r="F16167" t="s">
        <v>14</v>
      </c>
      <c r="G16167" t="s">
        <v>15</v>
      </c>
    </row>
    <row r="16168" spans="1:7" x14ac:dyDescent="0.35">
      <c r="A16168">
        <v>6418</v>
      </c>
      <c r="B16168" s="1">
        <v>46006</v>
      </c>
      <c r="C16168" t="s">
        <v>12</v>
      </c>
      <c r="D16168" s="2">
        <v>0</v>
      </c>
      <c r="E16168" s="2">
        <v>3.03</v>
      </c>
      <c r="F16168" t="s">
        <v>16</v>
      </c>
      <c r="G16168" t="s">
        <v>17</v>
      </c>
    </row>
    <row r="16169" spans="1:7" x14ac:dyDescent="0.35">
      <c r="A16169">
        <v>6419</v>
      </c>
      <c r="B16169" s="1">
        <v>46006</v>
      </c>
      <c r="C16169" t="s">
        <v>12</v>
      </c>
      <c r="D16169" s="2">
        <v>3107</v>
      </c>
      <c r="E16169" s="2">
        <v>0</v>
      </c>
      <c r="F16169" t="s">
        <v>13</v>
      </c>
      <c r="G16169" t="s">
        <v>9</v>
      </c>
    </row>
    <row r="16170" spans="1:7" x14ac:dyDescent="0.35">
      <c r="A16170">
        <v>6419</v>
      </c>
      <c r="B16170" s="1">
        <v>46006</v>
      </c>
      <c r="C16170" t="s">
        <v>12</v>
      </c>
      <c r="D16170" s="2">
        <v>0</v>
      </c>
      <c r="E16170" s="2">
        <v>2890.23</v>
      </c>
      <c r="F16170" t="s">
        <v>14</v>
      </c>
      <c r="G16170" t="s">
        <v>15</v>
      </c>
    </row>
    <row r="16171" spans="1:7" x14ac:dyDescent="0.35">
      <c r="A16171">
        <v>6419</v>
      </c>
      <c r="B16171" s="1">
        <v>46006</v>
      </c>
      <c r="C16171" t="s">
        <v>12</v>
      </c>
      <c r="D16171" s="2">
        <v>0</v>
      </c>
      <c r="E16171" s="2">
        <v>216.77</v>
      </c>
      <c r="F16171" t="s">
        <v>16</v>
      </c>
      <c r="G16171" t="s">
        <v>17</v>
      </c>
    </row>
    <row r="16172" spans="1:7" x14ac:dyDescent="0.35">
      <c r="A16172">
        <v>6420</v>
      </c>
      <c r="B16172" s="1">
        <v>46006</v>
      </c>
      <c r="C16172" t="s">
        <v>12</v>
      </c>
      <c r="D16172" s="2">
        <v>2889.67</v>
      </c>
      <c r="E16172" s="2">
        <v>0</v>
      </c>
      <c r="F16172" t="s">
        <v>13</v>
      </c>
      <c r="G16172" t="s">
        <v>9</v>
      </c>
    </row>
    <row r="16173" spans="1:7" x14ac:dyDescent="0.35">
      <c r="A16173">
        <v>6420</v>
      </c>
      <c r="B16173" s="1">
        <v>46006</v>
      </c>
      <c r="C16173" t="s">
        <v>12</v>
      </c>
      <c r="D16173" s="2">
        <v>0</v>
      </c>
      <c r="E16173" s="2">
        <v>2688.07</v>
      </c>
      <c r="F16173" t="s">
        <v>14</v>
      </c>
      <c r="G16173" t="s">
        <v>15</v>
      </c>
    </row>
    <row r="16174" spans="1:7" x14ac:dyDescent="0.35">
      <c r="A16174">
        <v>6420</v>
      </c>
      <c r="B16174" s="1">
        <v>46006</v>
      </c>
      <c r="C16174" t="s">
        <v>12</v>
      </c>
      <c r="D16174" s="2">
        <v>0</v>
      </c>
      <c r="E16174" s="2">
        <v>201.6</v>
      </c>
      <c r="F16174" t="s">
        <v>16</v>
      </c>
      <c r="G16174" t="s">
        <v>17</v>
      </c>
    </row>
    <row r="16175" spans="1:7" x14ac:dyDescent="0.35">
      <c r="A16175">
        <v>6421</v>
      </c>
      <c r="B16175" s="1">
        <v>46006</v>
      </c>
      <c r="C16175" t="s">
        <v>12</v>
      </c>
      <c r="D16175" s="2">
        <v>1607.6</v>
      </c>
      <c r="E16175" s="2">
        <v>0</v>
      </c>
      <c r="F16175" t="s">
        <v>13</v>
      </c>
      <c r="G16175" t="s">
        <v>9</v>
      </c>
    </row>
    <row r="16176" spans="1:7" x14ac:dyDescent="0.35">
      <c r="A16176">
        <v>6421</v>
      </c>
      <c r="B16176" s="1">
        <v>46006</v>
      </c>
      <c r="C16176" t="s">
        <v>12</v>
      </c>
      <c r="D16176" s="2">
        <v>0</v>
      </c>
      <c r="E16176" s="2">
        <v>1495.44</v>
      </c>
      <c r="F16176" t="s">
        <v>14</v>
      </c>
      <c r="G16176" t="s">
        <v>15</v>
      </c>
    </row>
    <row r="16177" spans="1:7" x14ac:dyDescent="0.35">
      <c r="A16177">
        <v>6421</v>
      </c>
      <c r="B16177" s="1">
        <v>46006</v>
      </c>
      <c r="C16177" t="s">
        <v>12</v>
      </c>
      <c r="D16177" s="2">
        <v>0</v>
      </c>
      <c r="E16177" s="2">
        <v>112.16</v>
      </c>
      <c r="F16177" t="s">
        <v>16</v>
      </c>
      <c r="G16177" t="s">
        <v>17</v>
      </c>
    </row>
    <row r="16178" spans="1:7" x14ac:dyDescent="0.35">
      <c r="A16178">
        <v>6422</v>
      </c>
      <c r="B16178" s="1">
        <v>46006</v>
      </c>
      <c r="C16178" t="s">
        <v>12</v>
      </c>
      <c r="D16178" s="2">
        <v>122.02</v>
      </c>
      <c r="E16178" s="2">
        <v>0</v>
      </c>
      <c r="F16178" t="s">
        <v>13</v>
      </c>
      <c r="G16178" t="s">
        <v>9</v>
      </c>
    </row>
    <row r="16179" spans="1:7" x14ac:dyDescent="0.35">
      <c r="A16179">
        <v>6422</v>
      </c>
      <c r="B16179" s="1">
        <v>46006</v>
      </c>
      <c r="C16179" t="s">
        <v>12</v>
      </c>
      <c r="D16179" s="2">
        <v>0</v>
      </c>
      <c r="E16179" s="2">
        <v>113.51</v>
      </c>
      <c r="F16179" t="s">
        <v>14</v>
      </c>
      <c r="G16179" t="s">
        <v>15</v>
      </c>
    </row>
    <row r="16180" spans="1:7" x14ac:dyDescent="0.35">
      <c r="A16180">
        <v>6422</v>
      </c>
      <c r="B16180" s="1">
        <v>46006</v>
      </c>
      <c r="C16180" t="s">
        <v>12</v>
      </c>
      <c r="D16180" s="2">
        <v>0</v>
      </c>
      <c r="E16180" s="2">
        <v>8.51</v>
      </c>
      <c r="F16180" t="s">
        <v>16</v>
      </c>
      <c r="G16180" t="s">
        <v>17</v>
      </c>
    </row>
    <row r="16181" spans="1:7" x14ac:dyDescent="0.35">
      <c r="A16181">
        <v>6423</v>
      </c>
      <c r="B16181" s="1">
        <v>46006</v>
      </c>
      <c r="C16181" t="s">
        <v>12</v>
      </c>
      <c r="D16181" s="2">
        <v>1264.07</v>
      </c>
      <c r="E16181" s="2">
        <v>0</v>
      </c>
      <c r="F16181" t="s">
        <v>13</v>
      </c>
      <c r="G16181" t="s">
        <v>9</v>
      </c>
    </row>
    <row r="16182" spans="1:7" x14ac:dyDescent="0.35">
      <c r="A16182">
        <v>6423</v>
      </c>
      <c r="B16182" s="1">
        <v>46006</v>
      </c>
      <c r="C16182" t="s">
        <v>12</v>
      </c>
      <c r="D16182" s="2">
        <v>0</v>
      </c>
      <c r="E16182" s="2">
        <v>1175.8800000000001</v>
      </c>
      <c r="F16182" t="s">
        <v>14</v>
      </c>
      <c r="G16182" t="s">
        <v>15</v>
      </c>
    </row>
    <row r="16183" spans="1:7" x14ac:dyDescent="0.35">
      <c r="A16183">
        <v>6423</v>
      </c>
      <c r="B16183" s="1">
        <v>46006</v>
      </c>
      <c r="C16183" t="s">
        <v>12</v>
      </c>
      <c r="D16183" s="2">
        <v>0</v>
      </c>
      <c r="E16183" s="2">
        <v>88.19</v>
      </c>
      <c r="F16183" t="s">
        <v>16</v>
      </c>
      <c r="G16183" t="s">
        <v>17</v>
      </c>
    </row>
    <row r="16184" spans="1:7" x14ac:dyDescent="0.35">
      <c r="A16184">
        <v>6424</v>
      </c>
      <c r="B16184" s="1">
        <v>46006</v>
      </c>
      <c r="C16184" t="s">
        <v>12</v>
      </c>
      <c r="D16184" s="2">
        <v>854.15</v>
      </c>
      <c r="E16184" s="2">
        <v>0</v>
      </c>
      <c r="F16184" t="s">
        <v>13</v>
      </c>
      <c r="G16184" t="s">
        <v>9</v>
      </c>
    </row>
    <row r="16185" spans="1:7" x14ac:dyDescent="0.35">
      <c r="A16185">
        <v>6424</v>
      </c>
      <c r="B16185" s="1">
        <v>46006</v>
      </c>
      <c r="C16185" t="s">
        <v>12</v>
      </c>
      <c r="D16185" s="2">
        <v>0</v>
      </c>
      <c r="E16185" s="2">
        <v>794.56</v>
      </c>
      <c r="F16185" t="s">
        <v>14</v>
      </c>
      <c r="G16185" t="s">
        <v>15</v>
      </c>
    </row>
    <row r="16186" spans="1:7" x14ac:dyDescent="0.35">
      <c r="A16186">
        <v>6424</v>
      </c>
      <c r="B16186" s="1">
        <v>46006</v>
      </c>
      <c r="C16186" t="s">
        <v>12</v>
      </c>
      <c r="D16186" s="2">
        <v>0</v>
      </c>
      <c r="E16186" s="2">
        <v>59.59</v>
      </c>
      <c r="F16186" t="s">
        <v>16</v>
      </c>
      <c r="G16186" t="s">
        <v>17</v>
      </c>
    </row>
    <row r="16187" spans="1:7" x14ac:dyDescent="0.35">
      <c r="A16187">
        <v>6425</v>
      </c>
      <c r="B16187" s="1">
        <v>46006</v>
      </c>
      <c r="C16187" t="s">
        <v>12</v>
      </c>
      <c r="D16187" s="2">
        <v>4283.1499999999996</v>
      </c>
      <c r="E16187" s="2">
        <v>0</v>
      </c>
      <c r="F16187" t="s">
        <v>13</v>
      </c>
      <c r="G16187" t="s">
        <v>9</v>
      </c>
    </row>
    <row r="16188" spans="1:7" x14ac:dyDescent="0.35">
      <c r="A16188">
        <v>6425</v>
      </c>
      <c r="B16188" s="1">
        <v>46006</v>
      </c>
      <c r="C16188" t="s">
        <v>12</v>
      </c>
      <c r="D16188" s="2">
        <v>0</v>
      </c>
      <c r="E16188" s="2">
        <v>3984.32</v>
      </c>
      <c r="F16188" t="s">
        <v>14</v>
      </c>
      <c r="G16188" t="s">
        <v>15</v>
      </c>
    </row>
    <row r="16189" spans="1:7" x14ac:dyDescent="0.35">
      <c r="A16189">
        <v>6425</v>
      </c>
      <c r="B16189" s="1">
        <v>46006</v>
      </c>
      <c r="C16189" t="s">
        <v>12</v>
      </c>
      <c r="D16189" s="2">
        <v>0</v>
      </c>
      <c r="E16189" s="2">
        <v>298.83</v>
      </c>
      <c r="F16189" t="s">
        <v>16</v>
      </c>
      <c r="G16189" t="s">
        <v>17</v>
      </c>
    </row>
    <row r="16190" spans="1:7" x14ac:dyDescent="0.35">
      <c r="A16190">
        <v>6426</v>
      </c>
      <c r="B16190" s="1">
        <v>46006</v>
      </c>
      <c r="C16190" t="s">
        <v>24</v>
      </c>
      <c r="D16190" s="2">
        <v>106.77</v>
      </c>
      <c r="E16190" s="2">
        <v>0</v>
      </c>
      <c r="F16190" t="s">
        <v>8</v>
      </c>
      <c r="G16190" t="s">
        <v>9</v>
      </c>
    </row>
    <row r="16191" spans="1:7" x14ac:dyDescent="0.35">
      <c r="A16191">
        <v>6426</v>
      </c>
      <c r="B16191" s="1">
        <v>46006</v>
      </c>
      <c r="C16191" t="s">
        <v>24</v>
      </c>
      <c r="D16191" s="2">
        <v>0</v>
      </c>
      <c r="E16191" s="2">
        <v>106.77</v>
      </c>
      <c r="F16191" t="s">
        <v>13</v>
      </c>
      <c r="G16191" t="s">
        <v>9</v>
      </c>
    </row>
    <row r="16192" spans="1:7" x14ac:dyDescent="0.35">
      <c r="A16192">
        <v>6427</v>
      </c>
      <c r="B16192" s="1">
        <v>46006</v>
      </c>
      <c r="C16192" t="s">
        <v>24</v>
      </c>
      <c r="D16192" s="2">
        <v>3834.81</v>
      </c>
      <c r="E16192" s="2">
        <v>0</v>
      </c>
      <c r="F16192" t="s">
        <v>8</v>
      </c>
      <c r="G16192" t="s">
        <v>9</v>
      </c>
    </row>
    <row r="16193" spans="1:7" x14ac:dyDescent="0.35">
      <c r="A16193">
        <v>6427</v>
      </c>
      <c r="B16193" s="1">
        <v>46006</v>
      </c>
      <c r="C16193" t="s">
        <v>24</v>
      </c>
      <c r="D16193" s="2">
        <v>0</v>
      </c>
      <c r="E16193" s="2">
        <v>3834.81</v>
      </c>
      <c r="F16193" t="s">
        <v>13</v>
      </c>
      <c r="G16193" t="s">
        <v>9</v>
      </c>
    </row>
    <row r="16194" spans="1:7" x14ac:dyDescent="0.35">
      <c r="A16194">
        <v>6428</v>
      </c>
      <c r="B16194" s="1">
        <v>46006</v>
      </c>
      <c r="C16194" t="s">
        <v>24</v>
      </c>
      <c r="D16194" s="2">
        <v>2766.25</v>
      </c>
      <c r="E16194" s="2">
        <v>0</v>
      </c>
      <c r="F16194" t="s">
        <v>8</v>
      </c>
      <c r="G16194" t="s">
        <v>9</v>
      </c>
    </row>
    <row r="16195" spans="1:7" x14ac:dyDescent="0.35">
      <c r="A16195">
        <v>6428</v>
      </c>
      <c r="B16195" s="1">
        <v>46006</v>
      </c>
      <c r="C16195" t="s">
        <v>24</v>
      </c>
      <c r="D16195" s="2">
        <v>0</v>
      </c>
      <c r="E16195" s="2">
        <v>2766.25</v>
      </c>
      <c r="F16195" t="s">
        <v>13</v>
      </c>
      <c r="G16195" t="s">
        <v>9</v>
      </c>
    </row>
    <row r="16196" spans="1:7" x14ac:dyDescent="0.35">
      <c r="A16196">
        <v>6429</v>
      </c>
      <c r="B16196" s="1">
        <v>46006</v>
      </c>
      <c r="C16196" t="s">
        <v>24</v>
      </c>
      <c r="D16196" s="2">
        <v>3205.63</v>
      </c>
      <c r="E16196" s="2">
        <v>0</v>
      </c>
      <c r="F16196" t="s">
        <v>8</v>
      </c>
      <c r="G16196" t="s">
        <v>9</v>
      </c>
    </row>
    <row r="16197" spans="1:7" x14ac:dyDescent="0.35">
      <c r="A16197">
        <v>6429</v>
      </c>
      <c r="B16197" s="1">
        <v>46006</v>
      </c>
      <c r="C16197" t="s">
        <v>24</v>
      </c>
      <c r="D16197" s="2">
        <v>0</v>
      </c>
      <c r="E16197" s="2">
        <v>3205.63</v>
      </c>
      <c r="F16197" t="s">
        <v>13</v>
      </c>
      <c r="G16197" t="s">
        <v>9</v>
      </c>
    </row>
    <row r="16198" spans="1:7" x14ac:dyDescent="0.35">
      <c r="A16198">
        <v>6430</v>
      </c>
      <c r="B16198" s="1">
        <v>46006</v>
      </c>
      <c r="C16198" t="s">
        <v>24</v>
      </c>
      <c r="D16198" s="2">
        <v>2246.15</v>
      </c>
      <c r="E16198" s="2">
        <v>0</v>
      </c>
      <c r="F16198" t="s">
        <v>8</v>
      </c>
      <c r="G16198" t="s">
        <v>9</v>
      </c>
    </row>
    <row r="16199" spans="1:7" x14ac:dyDescent="0.35">
      <c r="A16199">
        <v>6430</v>
      </c>
      <c r="B16199" s="1">
        <v>46006</v>
      </c>
      <c r="C16199" t="s">
        <v>24</v>
      </c>
      <c r="D16199" s="2">
        <v>0</v>
      </c>
      <c r="E16199" s="2">
        <v>2246.15</v>
      </c>
      <c r="F16199" t="s">
        <v>13</v>
      </c>
      <c r="G16199" t="s">
        <v>9</v>
      </c>
    </row>
    <row r="16200" spans="1:7" x14ac:dyDescent="0.35">
      <c r="A16200">
        <v>6431</v>
      </c>
      <c r="B16200" s="1">
        <v>46006</v>
      </c>
      <c r="C16200" t="s">
        <v>24</v>
      </c>
      <c r="D16200" s="2">
        <v>4814.05</v>
      </c>
      <c r="E16200" s="2">
        <v>0</v>
      </c>
      <c r="F16200" t="s">
        <v>8</v>
      </c>
      <c r="G16200" t="s">
        <v>9</v>
      </c>
    </row>
    <row r="16201" spans="1:7" x14ac:dyDescent="0.35">
      <c r="A16201">
        <v>6431</v>
      </c>
      <c r="B16201" s="1">
        <v>46006</v>
      </c>
      <c r="C16201" t="s">
        <v>24</v>
      </c>
      <c r="D16201" s="2">
        <v>0</v>
      </c>
      <c r="E16201" s="2">
        <v>4814.05</v>
      </c>
      <c r="F16201" t="s">
        <v>13</v>
      </c>
      <c r="G16201" t="s">
        <v>9</v>
      </c>
    </row>
    <row r="16202" spans="1:7" x14ac:dyDescent="0.35">
      <c r="A16202">
        <v>6432</v>
      </c>
      <c r="B16202" s="1">
        <v>46006</v>
      </c>
      <c r="C16202" t="s">
        <v>24</v>
      </c>
      <c r="D16202" s="2">
        <v>4135.0600000000004</v>
      </c>
      <c r="E16202" s="2">
        <v>0</v>
      </c>
      <c r="F16202" t="s">
        <v>8</v>
      </c>
      <c r="G16202" t="s">
        <v>9</v>
      </c>
    </row>
    <row r="16203" spans="1:7" x14ac:dyDescent="0.35">
      <c r="A16203">
        <v>6432</v>
      </c>
      <c r="B16203" s="1">
        <v>46006</v>
      </c>
      <c r="C16203" t="s">
        <v>24</v>
      </c>
      <c r="D16203" s="2">
        <v>0</v>
      </c>
      <c r="E16203" s="2">
        <v>4135.0600000000004</v>
      </c>
      <c r="F16203" t="s">
        <v>13</v>
      </c>
      <c r="G16203" t="s">
        <v>9</v>
      </c>
    </row>
    <row r="16204" spans="1:7" x14ac:dyDescent="0.35">
      <c r="A16204">
        <v>6433</v>
      </c>
      <c r="B16204" s="1">
        <v>46006</v>
      </c>
      <c r="C16204" t="s">
        <v>24</v>
      </c>
      <c r="D16204" s="2">
        <v>890.97</v>
      </c>
      <c r="E16204" s="2">
        <v>0</v>
      </c>
      <c r="F16204" t="s">
        <v>8</v>
      </c>
      <c r="G16204" t="s">
        <v>9</v>
      </c>
    </row>
    <row r="16205" spans="1:7" x14ac:dyDescent="0.35">
      <c r="A16205">
        <v>6433</v>
      </c>
      <c r="B16205" s="1">
        <v>46006</v>
      </c>
      <c r="C16205" t="s">
        <v>24</v>
      </c>
      <c r="D16205" s="2">
        <v>0</v>
      </c>
      <c r="E16205" s="2">
        <v>890.97</v>
      </c>
      <c r="F16205" t="s">
        <v>13</v>
      </c>
      <c r="G16205" t="s">
        <v>9</v>
      </c>
    </row>
    <row r="16206" spans="1:7" x14ac:dyDescent="0.35">
      <c r="A16206">
        <v>6434</v>
      </c>
      <c r="B16206" s="1">
        <v>46006</v>
      </c>
      <c r="C16206" t="s">
        <v>24</v>
      </c>
      <c r="D16206" s="2">
        <v>3300.26</v>
      </c>
      <c r="E16206" s="2">
        <v>0</v>
      </c>
      <c r="F16206" t="s">
        <v>8</v>
      </c>
      <c r="G16206" t="s">
        <v>9</v>
      </c>
    </row>
    <row r="16207" spans="1:7" x14ac:dyDescent="0.35">
      <c r="A16207">
        <v>6434</v>
      </c>
      <c r="B16207" s="1">
        <v>46006</v>
      </c>
      <c r="C16207" t="s">
        <v>24</v>
      </c>
      <c r="D16207" s="2">
        <v>0</v>
      </c>
      <c r="E16207" s="2">
        <v>3300.26</v>
      </c>
      <c r="F16207" t="s">
        <v>13</v>
      </c>
      <c r="G16207" t="s">
        <v>9</v>
      </c>
    </row>
    <row r="16208" spans="1:7" x14ac:dyDescent="0.35">
      <c r="A16208">
        <v>6435</v>
      </c>
      <c r="B16208" s="1">
        <v>46006</v>
      </c>
      <c r="C16208" t="s">
        <v>24</v>
      </c>
      <c r="D16208" s="2">
        <v>64.67</v>
      </c>
      <c r="E16208" s="2">
        <v>0</v>
      </c>
      <c r="F16208" t="s">
        <v>8</v>
      </c>
      <c r="G16208" t="s">
        <v>9</v>
      </c>
    </row>
    <row r="16209" spans="1:7" x14ac:dyDescent="0.35">
      <c r="A16209">
        <v>6435</v>
      </c>
      <c r="B16209" s="1">
        <v>46006</v>
      </c>
      <c r="C16209" t="s">
        <v>24</v>
      </c>
      <c r="D16209" s="2">
        <v>0</v>
      </c>
      <c r="E16209" s="2">
        <v>64.67</v>
      </c>
      <c r="F16209" t="s">
        <v>13</v>
      </c>
      <c r="G16209" t="s">
        <v>9</v>
      </c>
    </row>
    <row r="16210" spans="1:7" x14ac:dyDescent="0.35">
      <c r="A16210">
        <v>6436</v>
      </c>
      <c r="B16210" s="1">
        <v>46006</v>
      </c>
      <c r="C16210" t="s">
        <v>24</v>
      </c>
      <c r="D16210" s="2">
        <v>84.17</v>
      </c>
      <c r="E16210" s="2">
        <v>0</v>
      </c>
      <c r="F16210" t="s">
        <v>8</v>
      </c>
      <c r="G16210" t="s">
        <v>9</v>
      </c>
    </row>
    <row r="16211" spans="1:7" x14ac:dyDescent="0.35">
      <c r="A16211">
        <v>6436</v>
      </c>
      <c r="B16211" s="1">
        <v>46006</v>
      </c>
      <c r="C16211" t="s">
        <v>24</v>
      </c>
      <c r="D16211" s="2">
        <v>0</v>
      </c>
      <c r="E16211" s="2">
        <v>84.17</v>
      </c>
      <c r="F16211" t="s">
        <v>13</v>
      </c>
      <c r="G16211" t="s">
        <v>9</v>
      </c>
    </row>
    <row r="16212" spans="1:7" x14ac:dyDescent="0.35">
      <c r="A16212">
        <v>6437</v>
      </c>
      <c r="B16212" s="1">
        <v>46006</v>
      </c>
      <c r="C16212" t="s">
        <v>24</v>
      </c>
      <c r="D16212" s="2">
        <v>1951.84</v>
      </c>
      <c r="E16212" s="2">
        <v>0</v>
      </c>
      <c r="F16212" t="s">
        <v>8</v>
      </c>
      <c r="G16212" t="s">
        <v>9</v>
      </c>
    </row>
    <row r="16213" spans="1:7" x14ac:dyDescent="0.35">
      <c r="A16213">
        <v>6437</v>
      </c>
      <c r="B16213" s="1">
        <v>46006</v>
      </c>
      <c r="C16213" t="s">
        <v>24</v>
      </c>
      <c r="D16213" s="2">
        <v>0</v>
      </c>
      <c r="E16213" s="2">
        <v>1951.84</v>
      </c>
      <c r="F16213" t="s">
        <v>13</v>
      </c>
      <c r="G16213" t="s">
        <v>9</v>
      </c>
    </row>
    <row r="16214" spans="1:7" x14ac:dyDescent="0.35">
      <c r="A16214">
        <v>6438</v>
      </c>
      <c r="B16214" s="1">
        <v>46006</v>
      </c>
      <c r="C16214" t="s">
        <v>24</v>
      </c>
      <c r="D16214" s="2">
        <v>4528.59</v>
      </c>
      <c r="E16214" s="2">
        <v>0</v>
      </c>
      <c r="F16214" t="s">
        <v>8</v>
      </c>
      <c r="G16214" t="s">
        <v>9</v>
      </c>
    </row>
    <row r="16215" spans="1:7" x14ac:dyDescent="0.35">
      <c r="A16215">
        <v>6438</v>
      </c>
      <c r="B16215" s="1">
        <v>46006</v>
      </c>
      <c r="C16215" t="s">
        <v>24</v>
      </c>
      <c r="D16215" s="2">
        <v>0</v>
      </c>
      <c r="E16215" s="2">
        <v>4528.59</v>
      </c>
      <c r="F16215" t="s">
        <v>13</v>
      </c>
      <c r="G16215" t="s">
        <v>9</v>
      </c>
    </row>
    <row r="16216" spans="1:7" x14ac:dyDescent="0.35">
      <c r="A16216">
        <v>6439</v>
      </c>
      <c r="B16216" s="1">
        <v>46006</v>
      </c>
      <c r="C16216" t="s">
        <v>24</v>
      </c>
      <c r="D16216" s="2">
        <v>1647.4</v>
      </c>
      <c r="E16216" s="2">
        <v>0</v>
      </c>
      <c r="F16216" t="s">
        <v>8</v>
      </c>
      <c r="G16216" t="s">
        <v>9</v>
      </c>
    </row>
    <row r="16217" spans="1:7" x14ac:dyDescent="0.35">
      <c r="A16217">
        <v>6439</v>
      </c>
      <c r="B16217" s="1">
        <v>46006</v>
      </c>
      <c r="C16217" t="s">
        <v>24</v>
      </c>
      <c r="D16217" s="2">
        <v>0</v>
      </c>
      <c r="E16217" s="2">
        <v>1647.4</v>
      </c>
      <c r="F16217" t="s">
        <v>13</v>
      </c>
      <c r="G16217" t="s">
        <v>9</v>
      </c>
    </row>
    <row r="16218" spans="1:7" x14ac:dyDescent="0.35">
      <c r="A16218">
        <v>6440</v>
      </c>
      <c r="B16218" s="1">
        <v>46006</v>
      </c>
      <c r="C16218" t="s">
        <v>24</v>
      </c>
      <c r="D16218" s="2">
        <v>1264.07</v>
      </c>
      <c r="E16218" s="2">
        <v>0</v>
      </c>
      <c r="F16218" t="s">
        <v>8</v>
      </c>
      <c r="G16218" t="s">
        <v>9</v>
      </c>
    </row>
    <row r="16219" spans="1:7" x14ac:dyDescent="0.35">
      <c r="A16219">
        <v>6440</v>
      </c>
      <c r="B16219" s="1">
        <v>46006</v>
      </c>
      <c r="C16219" t="s">
        <v>24</v>
      </c>
      <c r="D16219" s="2">
        <v>0</v>
      </c>
      <c r="E16219" s="2">
        <v>1264.07</v>
      </c>
      <c r="F16219" t="s">
        <v>13</v>
      </c>
      <c r="G16219" t="s">
        <v>9</v>
      </c>
    </row>
    <row r="16220" spans="1:7" x14ac:dyDescent="0.35">
      <c r="A16220">
        <v>6441</v>
      </c>
      <c r="B16220" s="1">
        <v>46006</v>
      </c>
      <c r="C16220" t="s">
        <v>25</v>
      </c>
      <c r="D16220" s="2">
        <v>2329.52</v>
      </c>
      <c r="E16220" s="2">
        <v>0</v>
      </c>
      <c r="F16220" t="s">
        <v>26</v>
      </c>
      <c r="G16220" t="s">
        <v>20</v>
      </c>
    </row>
    <row r="16221" spans="1:7" x14ac:dyDescent="0.35">
      <c r="A16221">
        <v>6441</v>
      </c>
      <c r="B16221" s="1">
        <v>46006</v>
      </c>
      <c r="C16221" t="s">
        <v>25</v>
      </c>
      <c r="D16221" s="2">
        <v>174.71</v>
      </c>
      <c r="E16221" s="2">
        <v>0</v>
      </c>
      <c r="F16221" t="s">
        <v>27</v>
      </c>
      <c r="G16221" t="s">
        <v>9</v>
      </c>
    </row>
    <row r="16222" spans="1:7" x14ac:dyDescent="0.35">
      <c r="A16222">
        <v>6441</v>
      </c>
      <c r="B16222" s="1">
        <v>46006</v>
      </c>
      <c r="C16222" t="s">
        <v>25</v>
      </c>
      <c r="D16222" s="2">
        <v>0</v>
      </c>
      <c r="E16222" s="2">
        <v>2504.23</v>
      </c>
      <c r="F16222" t="s">
        <v>28</v>
      </c>
      <c r="G16222" t="s">
        <v>17</v>
      </c>
    </row>
    <row r="16223" spans="1:7" x14ac:dyDescent="0.35">
      <c r="A16223">
        <v>6442</v>
      </c>
      <c r="B16223" s="1">
        <v>46006</v>
      </c>
      <c r="C16223" t="s">
        <v>25</v>
      </c>
      <c r="D16223" s="2">
        <v>1947.24</v>
      </c>
      <c r="E16223" s="2">
        <v>0</v>
      </c>
      <c r="F16223" t="s">
        <v>26</v>
      </c>
      <c r="G16223" t="s">
        <v>20</v>
      </c>
    </row>
    <row r="16224" spans="1:7" x14ac:dyDescent="0.35">
      <c r="A16224">
        <v>6442</v>
      </c>
      <c r="B16224" s="1">
        <v>46006</v>
      </c>
      <c r="C16224" t="s">
        <v>25</v>
      </c>
      <c r="D16224" s="2">
        <v>146.04</v>
      </c>
      <c r="E16224" s="2">
        <v>0</v>
      </c>
      <c r="F16224" t="s">
        <v>27</v>
      </c>
      <c r="G16224" t="s">
        <v>9</v>
      </c>
    </row>
    <row r="16225" spans="1:7" x14ac:dyDescent="0.35">
      <c r="A16225">
        <v>6442</v>
      </c>
      <c r="B16225" s="1">
        <v>46006</v>
      </c>
      <c r="C16225" t="s">
        <v>25</v>
      </c>
      <c r="D16225" s="2">
        <v>0</v>
      </c>
      <c r="E16225" s="2">
        <v>2093.2800000000002</v>
      </c>
      <c r="F16225" t="s">
        <v>28</v>
      </c>
      <c r="G16225" t="s">
        <v>17</v>
      </c>
    </row>
    <row r="16226" spans="1:7" x14ac:dyDescent="0.35">
      <c r="A16226">
        <v>6443</v>
      </c>
      <c r="B16226" s="1">
        <v>46006</v>
      </c>
      <c r="C16226" t="s">
        <v>25</v>
      </c>
      <c r="D16226" s="2">
        <v>2451.5</v>
      </c>
      <c r="E16226" s="2">
        <v>0</v>
      </c>
      <c r="F16226" t="s">
        <v>26</v>
      </c>
      <c r="G16226" t="s">
        <v>20</v>
      </c>
    </row>
    <row r="16227" spans="1:7" x14ac:dyDescent="0.35">
      <c r="A16227">
        <v>6443</v>
      </c>
      <c r="B16227" s="1">
        <v>46006</v>
      </c>
      <c r="C16227" t="s">
        <v>25</v>
      </c>
      <c r="D16227" s="2">
        <v>183.86</v>
      </c>
      <c r="E16227" s="2">
        <v>0</v>
      </c>
      <c r="F16227" t="s">
        <v>27</v>
      </c>
      <c r="G16227" t="s">
        <v>9</v>
      </c>
    </row>
    <row r="16228" spans="1:7" x14ac:dyDescent="0.35">
      <c r="A16228">
        <v>6443</v>
      </c>
      <c r="B16228" s="1">
        <v>46006</v>
      </c>
      <c r="C16228" t="s">
        <v>25</v>
      </c>
      <c r="D16228" s="2">
        <v>0</v>
      </c>
      <c r="E16228" s="2">
        <v>2635.36</v>
      </c>
      <c r="F16228" t="s">
        <v>28</v>
      </c>
      <c r="G16228" t="s">
        <v>17</v>
      </c>
    </row>
    <row r="16229" spans="1:7" x14ac:dyDescent="0.35">
      <c r="A16229">
        <v>6444</v>
      </c>
      <c r="B16229" s="1">
        <v>46006</v>
      </c>
      <c r="C16229" t="s">
        <v>25</v>
      </c>
      <c r="D16229" s="2">
        <v>512</v>
      </c>
      <c r="E16229" s="2">
        <v>0</v>
      </c>
      <c r="F16229" t="s">
        <v>26</v>
      </c>
      <c r="G16229" t="s">
        <v>20</v>
      </c>
    </row>
    <row r="16230" spans="1:7" x14ac:dyDescent="0.35">
      <c r="A16230">
        <v>6444</v>
      </c>
      <c r="B16230" s="1">
        <v>46006</v>
      </c>
      <c r="C16230" t="s">
        <v>25</v>
      </c>
      <c r="D16230" s="2">
        <v>38.4</v>
      </c>
      <c r="E16230" s="2">
        <v>0</v>
      </c>
      <c r="F16230" t="s">
        <v>27</v>
      </c>
      <c r="G16230" t="s">
        <v>9</v>
      </c>
    </row>
    <row r="16231" spans="1:7" x14ac:dyDescent="0.35">
      <c r="A16231">
        <v>6444</v>
      </c>
      <c r="B16231" s="1">
        <v>46006</v>
      </c>
      <c r="C16231" t="s">
        <v>25</v>
      </c>
      <c r="D16231" s="2">
        <v>0</v>
      </c>
      <c r="E16231" s="2">
        <v>550.4</v>
      </c>
      <c r="F16231" t="s">
        <v>28</v>
      </c>
      <c r="G16231" t="s">
        <v>17</v>
      </c>
    </row>
    <row r="16232" spans="1:7" x14ac:dyDescent="0.35">
      <c r="A16232">
        <v>6445</v>
      </c>
      <c r="B16232" s="1">
        <v>46006</v>
      </c>
      <c r="C16232" t="s">
        <v>25</v>
      </c>
      <c r="D16232" s="2">
        <v>187.44</v>
      </c>
      <c r="E16232" s="2">
        <v>0</v>
      </c>
      <c r="F16232" t="s">
        <v>26</v>
      </c>
      <c r="G16232" t="s">
        <v>20</v>
      </c>
    </row>
    <row r="16233" spans="1:7" x14ac:dyDescent="0.35">
      <c r="A16233">
        <v>6445</v>
      </c>
      <c r="B16233" s="1">
        <v>46006</v>
      </c>
      <c r="C16233" t="s">
        <v>25</v>
      </c>
      <c r="D16233" s="2">
        <v>14.06</v>
      </c>
      <c r="E16233" s="2">
        <v>0</v>
      </c>
      <c r="F16233" t="s">
        <v>27</v>
      </c>
      <c r="G16233" t="s">
        <v>9</v>
      </c>
    </row>
    <row r="16234" spans="1:7" x14ac:dyDescent="0.35">
      <c r="A16234">
        <v>6445</v>
      </c>
      <c r="B16234" s="1">
        <v>46006</v>
      </c>
      <c r="C16234" t="s">
        <v>25</v>
      </c>
      <c r="D16234" s="2">
        <v>0</v>
      </c>
      <c r="E16234" s="2">
        <v>201.5</v>
      </c>
      <c r="F16234" t="s">
        <v>28</v>
      </c>
      <c r="G16234" t="s">
        <v>17</v>
      </c>
    </row>
    <row r="16235" spans="1:7" x14ac:dyDescent="0.35">
      <c r="A16235">
        <v>6446</v>
      </c>
      <c r="B16235" s="1">
        <v>46006</v>
      </c>
      <c r="C16235" t="s">
        <v>25</v>
      </c>
      <c r="D16235" s="2">
        <v>1078.92</v>
      </c>
      <c r="E16235" s="2">
        <v>0</v>
      </c>
      <c r="F16235" t="s">
        <v>26</v>
      </c>
      <c r="G16235" t="s">
        <v>20</v>
      </c>
    </row>
    <row r="16236" spans="1:7" x14ac:dyDescent="0.35">
      <c r="A16236">
        <v>6446</v>
      </c>
      <c r="B16236" s="1">
        <v>46006</v>
      </c>
      <c r="C16236" t="s">
        <v>25</v>
      </c>
      <c r="D16236" s="2">
        <v>80.92</v>
      </c>
      <c r="E16236" s="2">
        <v>0</v>
      </c>
      <c r="F16236" t="s">
        <v>27</v>
      </c>
      <c r="G16236" t="s">
        <v>9</v>
      </c>
    </row>
    <row r="16237" spans="1:7" x14ac:dyDescent="0.35">
      <c r="A16237">
        <v>6446</v>
      </c>
      <c r="B16237" s="1">
        <v>46006</v>
      </c>
      <c r="C16237" t="s">
        <v>25</v>
      </c>
      <c r="D16237" s="2">
        <v>0</v>
      </c>
      <c r="E16237" s="2">
        <v>1159.8399999999999</v>
      </c>
      <c r="F16237" t="s">
        <v>28</v>
      </c>
      <c r="G16237" t="s">
        <v>17</v>
      </c>
    </row>
    <row r="16238" spans="1:7" x14ac:dyDescent="0.35">
      <c r="A16238">
        <v>6447</v>
      </c>
      <c r="B16238" s="1">
        <v>46006</v>
      </c>
      <c r="C16238" t="s">
        <v>25</v>
      </c>
      <c r="D16238" s="2">
        <v>383.76</v>
      </c>
      <c r="E16238" s="2">
        <v>0</v>
      </c>
      <c r="F16238" t="s">
        <v>26</v>
      </c>
      <c r="G16238" t="s">
        <v>20</v>
      </c>
    </row>
    <row r="16239" spans="1:7" x14ac:dyDescent="0.35">
      <c r="A16239">
        <v>6447</v>
      </c>
      <c r="B16239" s="1">
        <v>46006</v>
      </c>
      <c r="C16239" t="s">
        <v>25</v>
      </c>
      <c r="D16239" s="2">
        <v>28.78</v>
      </c>
      <c r="E16239" s="2">
        <v>0</v>
      </c>
      <c r="F16239" t="s">
        <v>27</v>
      </c>
      <c r="G16239" t="s">
        <v>9</v>
      </c>
    </row>
    <row r="16240" spans="1:7" x14ac:dyDescent="0.35">
      <c r="A16240">
        <v>6447</v>
      </c>
      <c r="B16240" s="1">
        <v>46006</v>
      </c>
      <c r="C16240" t="s">
        <v>25</v>
      </c>
      <c r="D16240" s="2">
        <v>0</v>
      </c>
      <c r="E16240" s="2">
        <v>412.54</v>
      </c>
      <c r="F16240" t="s">
        <v>28</v>
      </c>
      <c r="G16240" t="s">
        <v>17</v>
      </c>
    </row>
    <row r="16241" spans="1:7" x14ac:dyDescent="0.35">
      <c r="A16241">
        <v>6448</v>
      </c>
      <c r="B16241" s="1">
        <v>46006</v>
      </c>
      <c r="C16241" t="s">
        <v>25</v>
      </c>
      <c r="D16241" s="2">
        <v>4476.71</v>
      </c>
      <c r="E16241" s="2">
        <v>0</v>
      </c>
      <c r="F16241" t="s">
        <v>26</v>
      </c>
      <c r="G16241" t="s">
        <v>20</v>
      </c>
    </row>
    <row r="16242" spans="1:7" x14ac:dyDescent="0.35">
      <c r="A16242">
        <v>6448</v>
      </c>
      <c r="B16242" s="1">
        <v>46006</v>
      </c>
      <c r="C16242" t="s">
        <v>25</v>
      </c>
      <c r="D16242" s="2">
        <v>335.75</v>
      </c>
      <c r="E16242" s="2">
        <v>0</v>
      </c>
      <c r="F16242" t="s">
        <v>27</v>
      </c>
      <c r="G16242" t="s">
        <v>9</v>
      </c>
    </row>
    <row r="16243" spans="1:7" x14ac:dyDescent="0.35">
      <c r="A16243">
        <v>6448</v>
      </c>
      <c r="B16243" s="1">
        <v>46006</v>
      </c>
      <c r="C16243" t="s">
        <v>25</v>
      </c>
      <c r="D16243" s="2">
        <v>0</v>
      </c>
      <c r="E16243" s="2">
        <v>4812.46</v>
      </c>
      <c r="F16243" t="s">
        <v>28</v>
      </c>
      <c r="G16243" t="s">
        <v>17</v>
      </c>
    </row>
    <row r="16244" spans="1:7" x14ac:dyDescent="0.35">
      <c r="A16244">
        <v>6449</v>
      </c>
      <c r="B16244" s="1">
        <v>46006</v>
      </c>
      <c r="C16244" t="s">
        <v>25</v>
      </c>
      <c r="D16244" s="2">
        <v>2714.58</v>
      </c>
      <c r="E16244" s="2">
        <v>0</v>
      </c>
      <c r="F16244" t="s">
        <v>26</v>
      </c>
      <c r="G16244" t="s">
        <v>20</v>
      </c>
    </row>
    <row r="16245" spans="1:7" x14ac:dyDescent="0.35">
      <c r="A16245">
        <v>6449</v>
      </c>
      <c r="B16245" s="1">
        <v>46006</v>
      </c>
      <c r="C16245" t="s">
        <v>25</v>
      </c>
      <c r="D16245" s="2">
        <v>203.59</v>
      </c>
      <c r="E16245" s="2">
        <v>0</v>
      </c>
      <c r="F16245" t="s">
        <v>27</v>
      </c>
      <c r="G16245" t="s">
        <v>9</v>
      </c>
    </row>
    <row r="16246" spans="1:7" x14ac:dyDescent="0.35">
      <c r="A16246">
        <v>6449</v>
      </c>
      <c r="B16246" s="1">
        <v>46006</v>
      </c>
      <c r="C16246" t="s">
        <v>25</v>
      </c>
      <c r="D16246" s="2">
        <v>0</v>
      </c>
      <c r="E16246" s="2">
        <v>2918.17</v>
      </c>
      <c r="F16246" t="s">
        <v>28</v>
      </c>
      <c r="G16246" t="s">
        <v>17</v>
      </c>
    </row>
    <row r="16247" spans="1:7" x14ac:dyDescent="0.35">
      <c r="A16247">
        <v>6450</v>
      </c>
      <c r="B16247" s="1">
        <v>46006</v>
      </c>
      <c r="C16247" t="s">
        <v>25</v>
      </c>
      <c r="D16247" s="2">
        <v>802.71</v>
      </c>
      <c r="E16247" s="2">
        <v>0</v>
      </c>
      <c r="F16247" t="s">
        <v>26</v>
      </c>
      <c r="G16247" t="s">
        <v>20</v>
      </c>
    </row>
    <row r="16248" spans="1:7" x14ac:dyDescent="0.35">
      <c r="A16248">
        <v>6450</v>
      </c>
      <c r="B16248" s="1">
        <v>46006</v>
      </c>
      <c r="C16248" t="s">
        <v>25</v>
      </c>
      <c r="D16248" s="2">
        <v>60.2</v>
      </c>
      <c r="E16248" s="2">
        <v>0</v>
      </c>
      <c r="F16248" t="s">
        <v>27</v>
      </c>
      <c r="G16248" t="s">
        <v>9</v>
      </c>
    </row>
    <row r="16249" spans="1:7" x14ac:dyDescent="0.35">
      <c r="A16249">
        <v>6450</v>
      </c>
      <c r="B16249" s="1">
        <v>46006</v>
      </c>
      <c r="C16249" t="s">
        <v>25</v>
      </c>
      <c r="D16249" s="2">
        <v>0</v>
      </c>
      <c r="E16249" s="2">
        <v>862.91</v>
      </c>
      <c r="F16249" t="s">
        <v>28</v>
      </c>
      <c r="G16249" t="s">
        <v>17</v>
      </c>
    </row>
    <row r="16250" spans="1:7" x14ac:dyDescent="0.35">
      <c r="A16250">
        <v>6451</v>
      </c>
      <c r="B16250" s="1">
        <v>46006</v>
      </c>
      <c r="C16250" t="s">
        <v>25</v>
      </c>
      <c r="D16250" s="2">
        <v>257.04000000000002</v>
      </c>
      <c r="E16250" s="2">
        <v>0</v>
      </c>
      <c r="F16250" t="s">
        <v>26</v>
      </c>
      <c r="G16250" t="s">
        <v>20</v>
      </c>
    </row>
    <row r="16251" spans="1:7" x14ac:dyDescent="0.35">
      <c r="A16251">
        <v>6451</v>
      </c>
      <c r="B16251" s="1">
        <v>46006</v>
      </c>
      <c r="C16251" t="s">
        <v>25</v>
      </c>
      <c r="D16251" s="2">
        <v>19.28</v>
      </c>
      <c r="E16251" s="2">
        <v>0</v>
      </c>
      <c r="F16251" t="s">
        <v>27</v>
      </c>
      <c r="G16251" t="s">
        <v>9</v>
      </c>
    </row>
    <row r="16252" spans="1:7" x14ac:dyDescent="0.35">
      <c r="A16252">
        <v>6451</v>
      </c>
      <c r="B16252" s="1">
        <v>46006</v>
      </c>
      <c r="C16252" t="s">
        <v>25</v>
      </c>
      <c r="D16252" s="2">
        <v>0</v>
      </c>
      <c r="E16252" s="2">
        <v>276.32</v>
      </c>
      <c r="F16252" t="s">
        <v>28</v>
      </c>
      <c r="G16252" t="s">
        <v>17</v>
      </c>
    </row>
    <row r="16253" spans="1:7" x14ac:dyDescent="0.35">
      <c r="A16253">
        <v>6452</v>
      </c>
      <c r="B16253" s="1">
        <v>46006</v>
      </c>
      <c r="C16253" t="s">
        <v>29</v>
      </c>
      <c r="D16253" s="2">
        <v>1935.04</v>
      </c>
      <c r="E16253" s="2">
        <v>0</v>
      </c>
      <c r="F16253" t="s">
        <v>28</v>
      </c>
      <c r="G16253" t="s">
        <v>17</v>
      </c>
    </row>
    <row r="16254" spans="1:7" x14ac:dyDescent="0.35">
      <c r="A16254">
        <v>6452</v>
      </c>
      <c r="B16254" s="1">
        <v>46006</v>
      </c>
      <c r="C16254" t="s">
        <v>29</v>
      </c>
      <c r="D16254" s="2">
        <v>0</v>
      </c>
      <c r="E16254" s="2">
        <v>1935.04</v>
      </c>
      <c r="F16254" t="s">
        <v>8</v>
      </c>
      <c r="G16254" t="s">
        <v>9</v>
      </c>
    </row>
    <row r="16255" spans="1:7" x14ac:dyDescent="0.35">
      <c r="A16255">
        <v>6453</v>
      </c>
      <c r="B16255" s="1">
        <v>46006</v>
      </c>
      <c r="C16255" t="s">
        <v>29</v>
      </c>
      <c r="D16255" s="2">
        <v>2093.2800000000002</v>
      </c>
      <c r="E16255" s="2">
        <v>0</v>
      </c>
      <c r="F16255" t="s">
        <v>28</v>
      </c>
      <c r="G16255" t="s">
        <v>17</v>
      </c>
    </row>
    <row r="16256" spans="1:7" x14ac:dyDescent="0.35">
      <c r="A16256">
        <v>6453</v>
      </c>
      <c r="B16256" s="1">
        <v>46006</v>
      </c>
      <c r="C16256" t="s">
        <v>29</v>
      </c>
      <c r="D16256" s="2">
        <v>0</v>
      </c>
      <c r="E16256" s="2">
        <v>2093.2800000000002</v>
      </c>
      <c r="F16256" t="s">
        <v>8</v>
      </c>
      <c r="G16256" t="s">
        <v>9</v>
      </c>
    </row>
    <row r="16257" spans="1:7" x14ac:dyDescent="0.35">
      <c r="A16257">
        <v>6454</v>
      </c>
      <c r="B16257" s="1">
        <v>46006</v>
      </c>
      <c r="C16257" t="s">
        <v>29</v>
      </c>
      <c r="D16257" s="2">
        <v>550.4</v>
      </c>
      <c r="E16257" s="2">
        <v>0</v>
      </c>
      <c r="F16257" t="s">
        <v>28</v>
      </c>
      <c r="G16257" t="s">
        <v>17</v>
      </c>
    </row>
    <row r="16258" spans="1:7" x14ac:dyDescent="0.35">
      <c r="A16258">
        <v>6454</v>
      </c>
      <c r="B16258" s="1">
        <v>46006</v>
      </c>
      <c r="C16258" t="s">
        <v>29</v>
      </c>
      <c r="D16258" s="2">
        <v>0</v>
      </c>
      <c r="E16258" s="2">
        <v>550.4</v>
      </c>
      <c r="F16258" t="s">
        <v>8</v>
      </c>
      <c r="G16258" t="s">
        <v>9</v>
      </c>
    </row>
    <row r="16259" spans="1:7" x14ac:dyDescent="0.35">
      <c r="A16259">
        <v>6455</v>
      </c>
      <c r="B16259" s="1">
        <v>46006</v>
      </c>
      <c r="C16259" t="s">
        <v>29</v>
      </c>
      <c r="D16259" s="2">
        <v>4812.46</v>
      </c>
      <c r="E16259" s="2">
        <v>0</v>
      </c>
      <c r="F16259" t="s">
        <v>28</v>
      </c>
      <c r="G16259" t="s">
        <v>17</v>
      </c>
    </row>
    <row r="16260" spans="1:7" x14ac:dyDescent="0.35">
      <c r="A16260">
        <v>6455</v>
      </c>
      <c r="B16260" s="1">
        <v>46006</v>
      </c>
      <c r="C16260" t="s">
        <v>29</v>
      </c>
      <c r="D16260" s="2">
        <v>0</v>
      </c>
      <c r="E16260" s="2">
        <v>4812.46</v>
      </c>
      <c r="F16260" t="s">
        <v>8</v>
      </c>
      <c r="G16260" t="s">
        <v>9</v>
      </c>
    </row>
    <row r="16261" spans="1:7" x14ac:dyDescent="0.35">
      <c r="A16261">
        <v>6456</v>
      </c>
      <c r="B16261" s="1">
        <v>46006</v>
      </c>
      <c r="C16261" t="s">
        <v>29</v>
      </c>
      <c r="D16261" s="2">
        <v>276.32</v>
      </c>
      <c r="E16261" s="2">
        <v>0</v>
      </c>
      <c r="F16261" t="s">
        <v>28</v>
      </c>
      <c r="G16261" t="s">
        <v>17</v>
      </c>
    </row>
    <row r="16262" spans="1:7" x14ac:dyDescent="0.35">
      <c r="A16262">
        <v>6456</v>
      </c>
      <c r="B16262" s="1">
        <v>46006</v>
      </c>
      <c r="C16262" t="s">
        <v>29</v>
      </c>
      <c r="D16262" s="2">
        <v>0</v>
      </c>
      <c r="E16262" s="2">
        <v>276.32</v>
      </c>
      <c r="F16262" t="s">
        <v>8</v>
      </c>
      <c r="G16262" t="s">
        <v>9</v>
      </c>
    </row>
    <row r="16263" spans="1:7" x14ac:dyDescent="0.35">
      <c r="A16263">
        <v>6457</v>
      </c>
      <c r="B16263" s="1">
        <v>46007</v>
      </c>
      <c r="C16263" t="s">
        <v>12</v>
      </c>
      <c r="D16263" s="2">
        <v>192.73</v>
      </c>
      <c r="E16263" s="2">
        <v>0</v>
      </c>
      <c r="F16263" t="s">
        <v>13</v>
      </c>
      <c r="G16263" t="s">
        <v>9</v>
      </c>
    </row>
    <row r="16264" spans="1:7" x14ac:dyDescent="0.35">
      <c r="A16264">
        <v>6457</v>
      </c>
      <c r="B16264" s="1">
        <v>46007</v>
      </c>
      <c r="C16264" t="s">
        <v>12</v>
      </c>
      <c r="D16264" s="2">
        <v>0</v>
      </c>
      <c r="E16264" s="2">
        <v>179.28</v>
      </c>
      <c r="F16264" t="s">
        <v>14</v>
      </c>
      <c r="G16264" t="s">
        <v>15</v>
      </c>
    </row>
    <row r="16265" spans="1:7" x14ac:dyDescent="0.35">
      <c r="A16265">
        <v>6457</v>
      </c>
      <c r="B16265" s="1">
        <v>46007</v>
      </c>
      <c r="C16265" t="s">
        <v>12</v>
      </c>
      <c r="D16265" s="2">
        <v>0</v>
      </c>
      <c r="E16265" s="2">
        <v>13.45</v>
      </c>
      <c r="F16265" t="s">
        <v>16</v>
      </c>
      <c r="G16265" t="s">
        <v>17</v>
      </c>
    </row>
    <row r="16266" spans="1:7" x14ac:dyDescent="0.35">
      <c r="A16266">
        <v>6458</v>
      </c>
      <c r="B16266" s="1">
        <v>46007</v>
      </c>
      <c r="C16266" t="s">
        <v>12</v>
      </c>
      <c r="D16266" s="2">
        <v>369.52</v>
      </c>
      <c r="E16266" s="2">
        <v>0</v>
      </c>
      <c r="F16266" t="s">
        <v>13</v>
      </c>
      <c r="G16266" t="s">
        <v>9</v>
      </c>
    </row>
    <row r="16267" spans="1:7" x14ac:dyDescent="0.35">
      <c r="A16267">
        <v>6458</v>
      </c>
      <c r="B16267" s="1">
        <v>46007</v>
      </c>
      <c r="C16267" t="s">
        <v>12</v>
      </c>
      <c r="D16267" s="2">
        <v>0</v>
      </c>
      <c r="E16267" s="2">
        <v>343.74</v>
      </c>
      <c r="F16267" t="s">
        <v>14</v>
      </c>
      <c r="G16267" t="s">
        <v>15</v>
      </c>
    </row>
    <row r="16268" spans="1:7" x14ac:dyDescent="0.35">
      <c r="A16268">
        <v>6458</v>
      </c>
      <c r="B16268" s="1">
        <v>46007</v>
      </c>
      <c r="C16268" t="s">
        <v>12</v>
      </c>
      <c r="D16268" s="2">
        <v>0</v>
      </c>
      <c r="E16268" s="2">
        <v>25.78</v>
      </c>
      <c r="F16268" t="s">
        <v>16</v>
      </c>
      <c r="G16268" t="s">
        <v>17</v>
      </c>
    </row>
    <row r="16269" spans="1:7" x14ac:dyDescent="0.35">
      <c r="A16269">
        <v>6459</v>
      </c>
      <c r="B16269" s="1">
        <v>46007</v>
      </c>
      <c r="C16269" t="s">
        <v>12</v>
      </c>
      <c r="D16269" s="2">
        <v>896.9</v>
      </c>
      <c r="E16269" s="2">
        <v>0</v>
      </c>
      <c r="F16269" t="s">
        <v>13</v>
      </c>
      <c r="G16269" t="s">
        <v>9</v>
      </c>
    </row>
    <row r="16270" spans="1:7" x14ac:dyDescent="0.35">
      <c r="A16270">
        <v>6459</v>
      </c>
      <c r="B16270" s="1">
        <v>46007</v>
      </c>
      <c r="C16270" t="s">
        <v>12</v>
      </c>
      <c r="D16270" s="2">
        <v>0</v>
      </c>
      <c r="E16270" s="2">
        <v>834.32</v>
      </c>
      <c r="F16270" t="s">
        <v>14</v>
      </c>
      <c r="G16270" t="s">
        <v>15</v>
      </c>
    </row>
    <row r="16271" spans="1:7" x14ac:dyDescent="0.35">
      <c r="A16271">
        <v>6459</v>
      </c>
      <c r="B16271" s="1">
        <v>46007</v>
      </c>
      <c r="C16271" t="s">
        <v>12</v>
      </c>
      <c r="D16271" s="2">
        <v>0</v>
      </c>
      <c r="E16271" s="2">
        <v>62.58</v>
      </c>
      <c r="F16271" t="s">
        <v>16</v>
      </c>
      <c r="G16271" t="s">
        <v>17</v>
      </c>
    </row>
    <row r="16272" spans="1:7" x14ac:dyDescent="0.35">
      <c r="A16272">
        <v>6460</v>
      </c>
      <c r="B16272" s="1">
        <v>46007</v>
      </c>
      <c r="C16272" t="s">
        <v>12</v>
      </c>
      <c r="D16272" s="2">
        <v>1964.12</v>
      </c>
      <c r="E16272" s="2">
        <v>0</v>
      </c>
      <c r="F16272" t="s">
        <v>13</v>
      </c>
      <c r="G16272" t="s">
        <v>9</v>
      </c>
    </row>
    <row r="16273" spans="1:7" x14ac:dyDescent="0.35">
      <c r="A16273">
        <v>6460</v>
      </c>
      <c r="B16273" s="1">
        <v>46007</v>
      </c>
      <c r="C16273" t="s">
        <v>12</v>
      </c>
      <c r="D16273" s="2">
        <v>0</v>
      </c>
      <c r="E16273" s="2">
        <v>1827.09</v>
      </c>
      <c r="F16273" t="s">
        <v>14</v>
      </c>
      <c r="G16273" t="s">
        <v>15</v>
      </c>
    </row>
    <row r="16274" spans="1:7" x14ac:dyDescent="0.35">
      <c r="A16274">
        <v>6460</v>
      </c>
      <c r="B16274" s="1">
        <v>46007</v>
      </c>
      <c r="C16274" t="s">
        <v>12</v>
      </c>
      <c r="D16274" s="2">
        <v>0</v>
      </c>
      <c r="E16274" s="2">
        <v>137.03</v>
      </c>
      <c r="F16274" t="s">
        <v>16</v>
      </c>
      <c r="G16274" t="s">
        <v>17</v>
      </c>
    </row>
    <row r="16275" spans="1:7" x14ac:dyDescent="0.35">
      <c r="A16275">
        <v>6461</v>
      </c>
      <c r="B16275" s="1">
        <v>46007</v>
      </c>
      <c r="C16275" t="s">
        <v>12</v>
      </c>
      <c r="D16275" s="2">
        <v>588.67999999999995</v>
      </c>
      <c r="E16275" s="2">
        <v>0</v>
      </c>
      <c r="F16275" t="s">
        <v>13</v>
      </c>
      <c r="G16275" t="s">
        <v>9</v>
      </c>
    </row>
    <row r="16276" spans="1:7" x14ac:dyDescent="0.35">
      <c r="A16276">
        <v>6461</v>
      </c>
      <c r="B16276" s="1">
        <v>46007</v>
      </c>
      <c r="C16276" t="s">
        <v>12</v>
      </c>
      <c r="D16276" s="2">
        <v>0</v>
      </c>
      <c r="E16276" s="2">
        <v>547.61</v>
      </c>
      <c r="F16276" t="s">
        <v>14</v>
      </c>
      <c r="G16276" t="s">
        <v>15</v>
      </c>
    </row>
    <row r="16277" spans="1:7" x14ac:dyDescent="0.35">
      <c r="A16277">
        <v>6461</v>
      </c>
      <c r="B16277" s="1">
        <v>46007</v>
      </c>
      <c r="C16277" t="s">
        <v>12</v>
      </c>
      <c r="D16277" s="2">
        <v>0</v>
      </c>
      <c r="E16277" s="2">
        <v>41.07</v>
      </c>
      <c r="F16277" t="s">
        <v>16</v>
      </c>
      <c r="G16277" t="s">
        <v>17</v>
      </c>
    </row>
    <row r="16278" spans="1:7" x14ac:dyDescent="0.35">
      <c r="A16278">
        <v>6462</v>
      </c>
      <c r="B16278" s="1">
        <v>46007</v>
      </c>
      <c r="C16278" t="s">
        <v>12</v>
      </c>
      <c r="D16278" s="2">
        <v>1024.56</v>
      </c>
      <c r="E16278" s="2">
        <v>0</v>
      </c>
      <c r="F16278" t="s">
        <v>13</v>
      </c>
      <c r="G16278" t="s">
        <v>9</v>
      </c>
    </row>
    <row r="16279" spans="1:7" x14ac:dyDescent="0.35">
      <c r="A16279">
        <v>6462</v>
      </c>
      <c r="B16279" s="1">
        <v>46007</v>
      </c>
      <c r="C16279" t="s">
        <v>12</v>
      </c>
      <c r="D16279" s="2">
        <v>0</v>
      </c>
      <c r="E16279" s="2">
        <v>953.08</v>
      </c>
      <c r="F16279" t="s">
        <v>14</v>
      </c>
      <c r="G16279" t="s">
        <v>15</v>
      </c>
    </row>
    <row r="16280" spans="1:7" x14ac:dyDescent="0.35">
      <c r="A16280">
        <v>6462</v>
      </c>
      <c r="B16280" s="1">
        <v>46007</v>
      </c>
      <c r="C16280" t="s">
        <v>12</v>
      </c>
      <c r="D16280" s="2">
        <v>0</v>
      </c>
      <c r="E16280" s="2">
        <v>71.48</v>
      </c>
      <c r="F16280" t="s">
        <v>16</v>
      </c>
      <c r="G16280" t="s">
        <v>17</v>
      </c>
    </row>
    <row r="16281" spans="1:7" x14ac:dyDescent="0.35">
      <c r="A16281">
        <v>6463</v>
      </c>
      <c r="B16281" s="1">
        <v>46007</v>
      </c>
      <c r="C16281" t="s">
        <v>12</v>
      </c>
      <c r="D16281" s="2">
        <v>930.57</v>
      </c>
      <c r="E16281" s="2">
        <v>0</v>
      </c>
      <c r="F16281" t="s">
        <v>13</v>
      </c>
      <c r="G16281" t="s">
        <v>9</v>
      </c>
    </row>
    <row r="16282" spans="1:7" x14ac:dyDescent="0.35">
      <c r="A16282">
        <v>6463</v>
      </c>
      <c r="B16282" s="1">
        <v>46007</v>
      </c>
      <c r="C16282" t="s">
        <v>12</v>
      </c>
      <c r="D16282" s="2">
        <v>0</v>
      </c>
      <c r="E16282" s="2">
        <v>865.65</v>
      </c>
      <c r="F16282" t="s">
        <v>14</v>
      </c>
      <c r="G16282" t="s">
        <v>15</v>
      </c>
    </row>
    <row r="16283" spans="1:7" x14ac:dyDescent="0.35">
      <c r="A16283">
        <v>6463</v>
      </c>
      <c r="B16283" s="1">
        <v>46007</v>
      </c>
      <c r="C16283" t="s">
        <v>12</v>
      </c>
      <c r="D16283" s="2">
        <v>0</v>
      </c>
      <c r="E16283" s="2">
        <v>64.92</v>
      </c>
      <c r="F16283" t="s">
        <v>16</v>
      </c>
      <c r="G16283" t="s">
        <v>17</v>
      </c>
    </row>
    <row r="16284" spans="1:7" x14ac:dyDescent="0.35">
      <c r="A16284">
        <v>6464</v>
      </c>
      <c r="B16284" s="1">
        <v>46007</v>
      </c>
      <c r="C16284" t="s">
        <v>12</v>
      </c>
      <c r="D16284" s="2">
        <v>101.43</v>
      </c>
      <c r="E16284" s="2">
        <v>0</v>
      </c>
      <c r="F16284" t="s">
        <v>13</v>
      </c>
      <c r="G16284" t="s">
        <v>9</v>
      </c>
    </row>
    <row r="16285" spans="1:7" x14ac:dyDescent="0.35">
      <c r="A16285">
        <v>6464</v>
      </c>
      <c r="B16285" s="1">
        <v>46007</v>
      </c>
      <c r="C16285" t="s">
        <v>12</v>
      </c>
      <c r="D16285" s="2">
        <v>0</v>
      </c>
      <c r="E16285" s="2">
        <v>94.35</v>
      </c>
      <c r="F16285" t="s">
        <v>14</v>
      </c>
      <c r="G16285" t="s">
        <v>15</v>
      </c>
    </row>
    <row r="16286" spans="1:7" x14ac:dyDescent="0.35">
      <c r="A16286">
        <v>6464</v>
      </c>
      <c r="B16286" s="1">
        <v>46007</v>
      </c>
      <c r="C16286" t="s">
        <v>12</v>
      </c>
      <c r="D16286" s="2">
        <v>0</v>
      </c>
      <c r="E16286" s="2">
        <v>7.08</v>
      </c>
      <c r="F16286" t="s">
        <v>16</v>
      </c>
      <c r="G16286" t="s">
        <v>17</v>
      </c>
    </row>
    <row r="16287" spans="1:7" x14ac:dyDescent="0.35">
      <c r="A16287">
        <v>6465</v>
      </c>
      <c r="B16287" s="1">
        <v>46007</v>
      </c>
      <c r="C16287" t="s">
        <v>12</v>
      </c>
      <c r="D16287" s="2">
        <v>3757.84</v>
      </c>
      <c r="E16287" s="2">
        <v>0</v>
      </c>
      <c r="F16287" t="s">
        <v>13</v>
      </c>
      <c r="G16287" t="s">
        <v>9</v>
      </c>
    </row>
    <row r="16288" spans="1:7" x14ac:dyDescent="0.35">
      <c r="A16288">
        <v>6465</v>
      </c>
      <c r="B16288" s="1">
        <v>46007</v>
      </c>
      <c r="C16288" t="s">
        <v>12</v>
      </c>
      <c r="D16288" s="2">
        <v>0</v>
      </c>
      <c r="E16288" s="2">
        <v>3495.67</v>
      </c>
      <c r="F16288" t="s">
        <v>14</v>
      </c>
      <c r="G16288" t="s">
        <v>15</v>
      </c>
    </row>
    <row r="16289" spans="1:7" x14ac:dyDescent="0.35">
      <c r="A16289">
        <v>6465</v>
      </c>
      <c r="B16289" s="1">
        <v>46007</v>
      </c>
      <c r="C16289" t="s">
        <v>12</v>
      </c>
      <c r="D16289" s="2">
        <v>0</v>
      </c>
      <c r="E16289" s="2">
        <v>262.17</v>
      </c>
      <c r="F16289" t="s">
        <v>16</v>
      </c>
      <c r="G16289" t="s">
        <v>17</v>
      </c>
    </row>
    <row r="16290" spans="1:7" x14ac:dyDescent="0.35">
      <c r="A16290">
        <v>6466</v>
      </c>
      <c r="B16290" s="1">
        <v>46007</v>
      </c>
      <c r="C16290" t="s">
        <v>12</v>
      </c>
      <c r="D16290" s="2">
        <v>2302.0700000000002</v>
      </c>
      <c r="E16290" s="2">
        <v>0</v>
      </c>
      <c r="F16290" t="s">
        <v>13</v>
      </c>
      <c r="G16290" t="s">
        <v>9</v>
      </c>
    </row>
    <row r="16291" spans="1:7" x14ac:dyDescent="0.35">
      <c r="A16291">
        <v>6466</v>
      </c>
      <c r="B16291" s="1">
        <v>46007</v>
      </c>
      <c r="C16291" t="s">
        <v>12</v>
      </c>
      <c r="D16291" s="2">
        <v>0</v>
      </c>
      <c r="E16291" s="2">
        <v>2141.46</v>
      </c>
      <c r="F16291" t="s">
        <v>14</v>
      </c>
      <c r="G16291" t="s">
        <v>15</v>
      </c>
    </row>
    <row r="16292" spans="1:7" x14ac:dyDescent="0.35">
      <c r="A16292">
        <v>6466</v>
      </c>
      <c r="B16292" s="1">
        <v>46007</v>
      </c>
      <c r="C16292" t="s">
        <v>12</v>
      </c>
      <c r="D16292" s="2">
        <v>0</v>
      </c>
      <c r="E16292" s="2">
        <v>160.61000000000001</v>
      </c>
      <c r="F16292" t="s">
        <v>16</v>
      </c>
      <c r="G16292" t="s">
        <v>17</v>
      </c>
    </row>
    <row r="16293" spans="1:7" x14ac:dyDescent="0.35">
      <c r="A16293">
        <v>6467</v>
      </c>
      <c r="B16293" s="1">
        <v>46007</v>
      </c>
      <c r="C16293" t="s">
        <v>12</v>
      </c>
      <c r="D16293" s="2">
        <v>3841.33</v>
      </c>
      <c r="E16293" s="2">
        <v>0</v>
      </c>
      <c r="F16293" t="s">
        <v>13</v>
      </c>
      <c r="G16293" t="s">
        <v>9</v>
      </c>
    </row>
    <row r="16294" spans="1:7" x14ac:dyDescent="0.35">
      <c r="A16294">
        <v>6467</v>
      </c>
      <c r="B16294" s="1">
        <v>46007</v>
      </c>
      <c r="C16294" t="s">
        <v>12</v>
      </c>
      <c r="D16294" s="2">
        <v>0</v>
      </c>
      <c r="E16294" s="2">
        <v>3573.33</v>
      </c>
      <c r="F16294" t="s">
        <v>14</v>
      </c>
      <c r="G16294" t="s">
        <v>15</v>
      </c>
    </row>
    <row r="16295" spans="1:7" x14ac:dyDescent="0.35">
      <c r="A16295">
        <v>6467</v>
      </c>
      <c r="B16295" s="1">
        <v>46007</v>
      </c>
      <c r="C16295" t="s">
        <v>12</v>
      </c>
      <c r="D16295" s="2">
        <v>0</v>
      </c>
      <c r="E16295" s="2">
        <v>268</v>
      </c>
      <c r="F16295" t="s">
        <v>16</v>
      </c>
      <c r="G16295" t="s">
        <v>17</v>
      </c>
    </row>
    <row r="16296" spans="1:7" x14ac:dyDescent="0.35">
      <c r="A16296">
        <v>6468</v>
      </c>
      <c r="B16296" s="1">
        <v>46007</v>
      </c>
      <c r="C16296" t="s">
        <v>12</v>
      </c>
      <c r="D16296" s="2">
        <v>533.86</v>
      </c>
      <c r="E16296" s="2">
        <v>0</v>
      </c>
      <c r="F16296" t="s">
        <v>13</v>
      </c>
      <c r="G16296" t="s">
        <v>9</v>
      </c>
    </row>
    <row r="16297" spans="1:7" x14ac:dyDescent="0.35">
      <c r="A16297">
        <v>6468</v>
      </c>
      <c r="B16297" s="1">
        <v>46007</v>
      </c>
      <c r="C16297" t="s">
        <v>12</v>
      </c>
      <c r="D16297" s="2">
        <v>0</v>
      </c>
      <c r="E16297" s="2">
        <v>496.61</v>
      </c>
      <c r="F16297" t="s">
        <v>14</v>
      </c>
      <c r="G16297" t="s">
        <v>15</v>
      </c>
    </row>
    <row r="16298" spans="1:7" x14ac:dyDescent="0.35">
      <c r="A16298">
        <v>6468</v>
      </c>
      <c r="B16298" s="1">
        <v>46007</v>
      </c>
      <c r="C16298" t="s">
        <v>12</v>
      </c>
      <c r="D16298" s="2">
        <v>0</v>
      </c>
      <c r="E16298" s="2">
        <v>37.25</v>
      </c>
      <c r="F16298" t="s">
        <v>16</v>
      </c>
      <c r="G16298" t="s">
        <v>17</v>
      </c>
    </row>
    <row r="16299" spans="1:7" x14ac:dyDescent="0.35">
      <c r="A16299">
        <v>6469</v>
      </c>
      <c r="B16299" s="1">
        <v>46007</v>
      </c>
      <c r="C16299" t="s">
        <v>12</v>
      </c>
      <c r="D16299" s="2">
        <v>5933.08</v>
      </c>
      <c r="E16299" s="2">
        <v>0</v>
      </c>
      <c r="F16299" t="s">
        <v>13</v>
      </c>
      <c r="G16299" t="s">
        <v>9</v>
      </c>
    </row>
    <row r="16300" spans="1:7" x14ac:dyDescent="0.35">
      <c r="A16300">
        <v>6469</v>
      </c>
      <c r="B16300" s="1">
        <v>46007</v>
      </c>
      <c r="C16300" t="s">
        <v>12</v>
      </c>
      <c r="D16300" s="2">
        <v>0</v>
      </c>
      <c r="E16300" s="2">
        <v>5519.14</v>
      </c>
      <c r="F16300" t="s">
        <v>14</v>
      </c>
      <c r="G16300" t="s">
        <v>15</v>
      </c>
    </row>
    <row r="16301" spans="1:7" x14ac:dyDescent="0.35">
      <c r="A16301">
        <v>6469</v>
      </c>
      <c r="B16301" s="1">
        <v>46007</v>
      </c>
      <c r="C16301" t="s">
        <v>12</v>
      </c>
      <c r="D16301" s="2">
        <v>0</v>
      </c>
      <c r="E16301" s="2">
        <v>413.94</v>
      </c>
      <c r="F16301" t="s">
        <v>16</v>
      </c>
      <c r="G16301" t="s">
        <v>17</v>
      </c>
    </row>
    <row r="16302" spans="1:7" x14ac:dyDescent="0.35">
      <c r="A16302">
        <v>6470</v>
      </c>
      <c r="B16302" s="1">
        <v>46007</v>
      </c>
      <c r="C16302" t="s">
        <v>12</v>
      </c>
      <c r="D16302" s="2">
        <v>5925.68</v>
      </c>
      <c r="E16302" s="2">
        <v>0</v>
      </c>
      <c r="F16302" t="s">
        <v>13</v>
      </c>
      <c r="G16302" t="s">
        <v>9</v>
      </c>
    </row>
    <row r="16303" spans="1:7" x14ac:dyDescent="0.35">
      <c r="A16303">
        <v>6470</v>
      </c>
      <c r="B16303" s="1">
        <v>46007</v>
      </c>
      <c r="C16303" t="s">
        <v>12</v>
      </c>
      <c r="D16303" s="2">
        <v>0</v>
      </c>
      <c r="E16303" s="2">
        <v>5512.27</v>
      </c>
      <c r="F16303" t="s">
        <v>14</v>
      </c>
      <c r="G16303" t="s">
        <v>15</v>
      </c>
    </row>
    <row r="16304" spans="1:7" x14ac:dyDescent="0.35">
      <c r="A16304">
        <v>6470</v>
      </c>
      <c r="B16304" s="1">
        <v>46007</v>
      </c>
      <c r="C16304" t="s">
        <v>12</v>
      </c>
      <c r="D16304" s="2">
        <v>0</v>
      </c>
      <c r="E16304" s="2">
        <v>413.41</v>
      </c>
      <c r="F16304" t="s">
        <v>16</v>
      </c>
      <c r="G16304" t="s">
        <v>17</v>
      </c>
    </row>
    <row r="16305" spans="1:7" x14ac:dyDescent="0.35">
      <c r="A16305">
        <v>6471</v>
      </c>
      <c r="B16305" s="1">
        <v>46007</v>
      </c>
      <c r="C16305" t="s">
        <v>12</v>
      </c>
      <c r="D16305" s="2">
        <v>4082.42</v>
      </c>
      <c r="E16305" s="2">
        <v>0</v>
      </c>
      <c r="F16305" t="s">
        <v>13</v>
      </c>
      <c r="G16305" t="s">
        <v>9</v>
      </c>
    </row>
    <row r="16306" spans="1:7" x14ac:dyDescent="0.35">
      <c r="A16306">
        <v>6471</v>
      </c>
      <c r="B16306" s="1">
        <v>46007</v>
      </c>
      <c r="C16306" t="s">
        <v>12</v>
      </c>
      <c r="D16306" s="2">
        <v>0</v>
      </c>
      <c r="E16306" s="2">
        <v>3797.6</v>
      </c>
      <c r="F16306" t="s">
        <v>14</v>
      </c>
      <c r="G16306" t="s">
        <v>15</v>
      </c>
    </row>
    <row r="16307" spans="1:7" x14ac:dyDescent="0.35">
      <c r="A16307">
        <v>6471</v>
      </c>
      <c r="B16307" s="1">
        <v>46007</v>
      </c>
      <c r="C16307" t="s">
        <v>12</v>
      </c>
      <c r="D16307" s="2">
        <v>0</v>
      </c>
      <c r="E16307" s="2">
        <v>284.82</v>
      </c>
      <c r="F16307" t="s">
        <v>16</v>
      </c>
      <c r="G16307" t="s">
        <v>17</v>
      </c>
    </row>
    <row r="16308" spans="1:7" x14ac:dyDescent="0.35">
      <c r="A16308">
        <v>6472</v>
      </c>
      <c r="B16308" s="1">
        <v>46007</v>
      </c>
      <c r="C16308" t="s">
        <v>12</v>
      </c>
      <c r="D16308" s="2">
        <v>151.62</v>
      </c>
      <c r="E16308" s="2">
        <v>0</v>
      </c>
      <c r="F16308" t="s">
        <v>13</v>
      </c>
      <c r="G16308" t="s">
        <v>9</v>
      </c>
    </row>
    <row r="16309" spans="1:7" x14ac:dyDescent="0.35">
      <c r="A16309">
        <v>6472</v>
      </c>
      <c r="B16309" s="1">
        <v>46007</v>
      </c>
      <c r="C16309" t="s">
        <v>12</v>
      </c>
      <c r="D16309" s="2">
        <v>0</v>
      </c>
      <c r="E16309" s="2">
        <v>141.04</v>
      </c>
      <c r="F16309" t="s">
        <v>14</v>
      </c>
      <c r="G16309" t="s">
        <v>15</v>
      </c>
    </row>
    <row r="16310" spans="1:7" x14ac:dyDescent="0.35">
      <c r="A16310">
        <v>6472</v>
      </c>
      <c r="B16310" s="1">
        <v>46007</v>
      </c>
      <c r="C16310" t="s">
        <v>12</v>
      </c>
      <c r="D16310" s="2">
        <v>0</v>
      </c>
      <c r="E16310" s="2">
        <v>10.58</v>
      </c>
      <c r="F16310" t="s">
        <v>16</v>
      </c>
      <c r="G16310" t="s">
        <v>17</v>
      </c>
    </row>
    <row r="16311" spans="1:7" x14ac:dyDescent="0.35">
      <c r="A16311">
        <v>6473</v>
      </c>
      <c r="B16311" s="1">
        <v>46007</v>
      </c>
      <c r="C16311" t="s">
        <v>24</v>
      </c>
      <c r="D16311" s="2">
        <v>4707.26</v>
      </c>
      <c r="E16311" s="2">
        <v>0</v>
      </c>
      <c r="F16311" t="s">
        <v>8</v>
      </c>
      <c r="G16311" t="s">
        <v>9</v>
      </c>
    </row>
    <row r="16312" spans="1:7" x14ac:dyDescent="0.35">
      <c r="A16312">
        <v>6473</v>
      </c>
      <c r="B16312" s="1">
        <v>46007</v>
      </c>
      <c r="C16312" t="s">
        <v>24</v>
      </c>
      <c r="D16312" s="2">
        <v>0</v>
      </c>
      <c r="E16312" s="2">
        <v>4707.26</v>
      </c>
      <c r="F16312" t="s">
        <v>13</v>
      </c>
      <c r="G16312" t="s">
        <v>9</v>
      </c>
    </row>
    <row r="16313" spans="1:7" x14ac:dyDescent="0.35">
      <c r="A16313">
        <v>6474</v>
      </c>
      <c r="B16313" s="1">
        <v>46007</v>
      </c>
      <c r="C16313" t="s">
        <v>24</v>
      </c>
      <c r="D16313" s="2">
        <v>885.37</v>
      </c>
      <c r="E16313" s="2">
        <v>0</v>
      </c>
      <c r="F16313" t="s">
        <v>8</v>
      </c>
      <c r="G16313" t="s">
        <v>9</v>
      </c>
    </row>
    <row r="16314" spans="1:7" x14ac:dyDescent="0.35">
      <c r="A16314">
        <v>6474</v>
      </c>
      <c r="B16314" s="1">
        <v>46007</v>
      </c>
      <c r="C16314" t="s">
        <v>24</v>
      </c>
      <c r="D16314" s="2">
        <v>0</v>
      </c>
      <c r="E16314" s="2">
        <v>885.37</v>
      </c>
      <c r="F16314" t="s">
        <v>13</v>
      </c>
      <c r="G16314" t="s">
        <v>9</v>
      </c>
    </row>
    <row r="16315" spans="1:7" x14ac:dyDescent="0.35">
      <c r="A16315">
        <v>6475</v>
      </c>
      <c r="B16315" s="1">
        <v>46007</v>
      </c>
      <c r="C16315" t="s">
        <v>24</v>
      </c>
      <c r="D16315" s="2">
        <v>2163.21</v>
      </c>
      <c r="E16315" s="2">
        <v>0</v>
      </c>
      <c r="F16315" t="s">
        <v>8</v>
      </c>
      <c r="G16315" t="s">
        <v>9</v>
      </c>
    </row>
    <row r="16316" spans="1:7" x14ac:dyDescent="0.35">
      <c r="A16316">
        <v>6475</v>
      </c>
      <c r="B16316" s="1">
        <v>46007</v>
      </c>
      <c r="C16316" t="s">
        <v>24</v>
      </c>
      <c r="D16316" s="2">
        <v>0</v>
      </c>
      <c r="E16316" s="2">
        <v>2163.21</v>
      </c>
      <c r="F16316" t="s">
        <v>13</v>
      </c>
      <c r="G16316" t="s">
        <v>9</v>
      </c>
    </row>
    <row r="16317" spans="1:7" x14ac:dyDescent="0.35">
      <c r="A16317">
        <v>6476</v>
      </c>
      <c r="B16317" s="1">
        <v>46007</v>
      </c>
      <c r="C16317" t="s">
        <v>24</v>
      </c>
      <c r="D16317" s="2">
        <v>876.23</v>
      </c>
      <c r="E16317" s="2">
        <v>0</v>
      </c>
      <c r="F16317" t="s">
        <v>8</v>
      </c>
      <c r="G16317" t="s">
        <v>9</v>
      </c>
    </row>
    <row r="16318" spans="1:7" x14ac:dyDescent="0.35">
      <c r="A16318">
        <v>6476</v>
      </c>
      <c r="B16318" s="1">
        <v>46007</v>
      </c>
      <c r="C16318" t="s">
        <v>24</v>
      </c>
      <c r="D16318" s="2">
        <v>0</v>
      </c>
      <c r="E16318" s="2">
        <v>876.23</v>
      </c>
      <c r="F16318" t="s">
        <v>13</v>
      </c>
      <c r="G16318" t="s">
        <v>9</v>
      </c>
    </row>
    <row r="16319" spans="1:7" x14ac:dyDescent="0.35">
      <c r="A16319">
        <v>6477</v>
      </c>
      <c r="B16319" s="1">
        <v>46007</v>
      </c>
      <c r="C16319" t="s">
        <v>24</v>
      </c>
      <c r="D16319" s="2">
        <v>1502.23</v>
      </c>
      <c r="E16319" s="2">
        <v>0</v>
      </c>
      <c r="F16319" t="s">
        <v>8</v>
      </c>
      <c r="G16319" t="s">
        <v>9</v>
      </c>
    </row>
    <row r="16320" spans="1:7" x14ac:dyDescent="0.35">
      <c r="A16320">
        <v>6477</v>
      </c>
      <c r="B16320" s="1">
        <v>46007</v>
      </c>
      <c r="C16320" t="s">
        <v>24</v>
      </c>
      <c r="D16320" s="2">
        <v>0</v>
      </c>
      <c r="E16320" s="2">
        <v>1502.23</v>
      </c>
      <c r="F16320" t="s">
        <v>13</v>
      </c>
      <c r="G16320" t="s">
        <v>9</v>
      </c>
    </row>
    <row r="16321" spans="1:7" x14ac:dyDescent="0.35">
      <c r="A16321">
        <v>6478</v>
      </c>
      <c r="B16321" s="1">
        <v>46007</v>
      </c>
      <c r="C16321" t="s">
        <v>24</v>
      </c>
      <c r="D16321" s="2">
        <v>2006.31</v>
      </c>
      <c r="E16321" s="2">
        <v>0</v>
      </c>
      <c r="F16321" t="s">
        <v>8</v>
      </c>
      <c r="G16321" t="s">
        <v>9</v>
      </c>
    </row>
    <row r="16322" spans="1:7" x14ac:dyDescent="0.35">
      <c r="A16322">
        <v>6478</v>
      </c>
      <c r="B16322" s="1">
        <v>46007</v>
      </c>
      <c r="C16322" t="s">
        <v>24</v>
      </c>
      <c r="D16322" s="2">
        <v>0</v>
      </c>
      <c r="E16322" s="2">
        <v>2006.31</v>
      </c>
      <c r="F16322" t="s">
        <v>13</v>
      </c>
      <c r="G16322" t="s">
        <v>9</v>
      </c>
    </row>
    <row r="16323" spans="1:7" x14ac:dyDescent="0.35">
      <c r="A16323">
        <v>6479</v>
      </c>
      <c r="B16323" s="1">
        <v>46007</v>
      </c>
      <c r="C16323" t="s">
        <v>24</v>
      </c>
      <c r="D16323" s="2">
        <v>1215.1199999999999</v>
      </c>
      <c r="E16323" s="2">
        <v>0</v>
      </c>
      <c r="F16323" t="s">
        <v>8</v>
      </c>
      <c r="G16323" t="s">
        <v>9</v>
      </c>
    </row>
    <row r="16324" spans="1:7" x14ac:dyDescent="0.35">
      <c r="A16324">
        <v>6479</v>
      </c>
      <c r="B16324" s="1">
        <v>46007</v>
      </c>
      <c r="C16324" t="s">
        <v>24</v>
      </c>
      <c r="D16324" s="2">
        <v>0</v>
      </c>
      <c r="E16324" s="2">
        <v>1215.1199999999999</v>
      </c>
      <c r="F16324" t="s">
        <v>13</v>
      </c>
      <c r="G16324" t="s">
        <v>9</v>
      </c>
    </row>
    <row r="16325" spans="1:7" x14ac:dyDescent="0.35">
      <c r="A16325">
        <v>6480</v>
      </c>
      <c r="B16325" s="1">
        <v>46007</v>
      </c>
      <c r="C16325" t="s">
        <v>24</v>
      </c>
      <c r="D16325" s="2">
        <v>1607.6</v>
      </c>
      <c r="E16325" s="2">
        <v>0</v>
      </c>
      <c r="F16325" t="s">
        <v>8</v>
      </c>
      <c r="G16325" t="s">
        <v>9</v>
      </c>
    </row>
    <row r="16326" spans="1:7" x14ac:dyDescent="0.35">
      <c r="A16326">
        <v>6480</v>
      </c>
      <c r="B16326" s="1">
        <v>46007</v>
      </c>
      <c r="C16326" t="s">
        <v>24</v>
      </c>
      <c r="D16326" s="2">
        <v>0</v>
      </c>
      <c r="E16326" s="2">
        <v>1607.6</v>
      </c>
      <c r="F16326" t="s">
        <v>13</v>
      </c>
      <c r="G16326" t="s">
        <v>9</v>
      </c>
    </row>
    <row r="16327" spans="1:7" x14ac:dyDescent="0.35">
      <c r="A16327">
        <v>6481</v>
      </c>
      <c r="B16327" s="1">
        <v>46007</v>
      </c>
      <c r="C16327" t="s">
        <v>24</v>
      </c>
      <c r="D16327" s="2">
        <v>1964.12</v>
      </c>
      <c r="E16327" s="2">
        <v>0</v>
      </c>
      <c r="F16327" t="s">
        <v>8</v>
      </c>
      <c r="G16327" t="s">
        <v>9</v>
      </c>
    </row>
    <row r="16328" spans="1:7" x14ac:dyDescent="0.35">
      <c r="A16328">
        <v>6481</v>
      </c>
      <c r="B16328" s="1">
        <v>46007</v>
      </c>
      <c r="C16328" t="s">
        <v>24</v>
      </c>
      <c r="D16328" s="2">
        <v>0</v>
      </c>
      <c r="E16328" s="2">
        <v>1964.12</v>
      </c>
      <c r="F16328" t="s">
        <v>13</v>
      </c>
      <c r="G16328" t="s">
        <v>9</v>
      </c>
    </row>
    <row r="16329" spans="1:7" x14ac:dyDescent="0.35">
      <c r="A16329">
        <v>6482</v>
      </c>
      <c r="B16329" s="1">
        <v>46007</v>
      </c>
      <c r="C16329" t="s">
        <v>25</v>
      </c>
      <c r="D16329" s="2">
        <v>166.52</v>
      </c>
      <c r="E16329" s="2">
        <v>0</v>
      </c>
      <c r="F16329" t="s">
        <v>26</v>
      </c>
      <c r="G16329" t="s">
        <v>20</v>
      </c>
    </row>
    <row r="16330" spans="1:7" x14ac:dyDescent="0.35">
      <c r="A16330">
        <v>6482</v>
      </c>
      <c r="B16330" s="1">
        <v>46007</v>
      </c>
      <c r="C16330" t="s">
        <v>25</v>
      </c>
      <c r="D16330" s="2">
        <v>12.49</v>
      </c>
      <c r="E16330" s="2">
        <v>0</v>
      </c>
      <c r="F16330" t="s">
        <v>27</v>
      </c>
      <c r="G16330" t="s">
        <v>9</v>
      </c>
    </row>
    <row r="16331" spans="1:7" x14ac:dyDescent="0.35">
      <c r="A16331">
        <v>6482</v>
      </c>
      <c r="B16331" s="1">
        <v>46007</v>
      </c>
      <c r="C16331" t="s">
        <v>25</v>
      </c>
      <c r="D16331" s="2">
        <v>0</v>
      </c>
      <c r="E16331" s="2">
        <v>179.01</v>
      </c>
      <c r="F16331" t="s">
        <v>28</v>
      </c>
      <c r="G16331" t="s">
        <v>17</v>
      </c>
    </row>
    <row r="16332" spans="1:7" x14ac:dyDescent="0.35">
      <c r="A16332">
        <v>6483</v>
      </c>
      <c r="B16332" s="1">
        <v>46007</v>
      </c>
      <c r="C16332" t="s">
        <v>29</v>
      </c>
      <c r="D16332" s="2">
        <v>2504.23</v>
      </c>
      <c r="E16332" s="2">
        <v>0</v>
      </c>
      <c r="F16332" t="s">
        <v>28</v>
      </c>
      <c r="G16332" t="s">
        <v>17</v>
      </c>
    </row>
    <row r="16333" spans="1:7" x14ac:dyDescent="0.35">
      <c r="A16333">
        <v>6483</v>
      </c>
      <c r="B16333" s="1">
        <v>46007</v>
      </c>
      <c r="C16333" t="s">
        <v>29</v>
      </c>
      <c r="D16333" s="2">
        <v>0</v>
      </c>
      <c r="E16333" s="2">
        <v>2504.23</v>
      </c>
      <c r="F16333" t="s">
        <v>8</v>
      </c>
      <c r="G16333" t="s">
        <v>9</v>
      </c>
    </row>
    <row r="16334" spans="1:7" x14ac:dyDescent="0.35">
      <c r="A16334">
        <v>6484</v>
      </c>
      <c r="B16334" s="1">
        <v>46007</v>
      </c>
      <c r="C16334" t="s">
        <v>29</v>
      </c>
      <c r="D16334" s="2">
        <v>1304.6199999999999</v>
      </c>
      <c r="E16334" s="2">
        <v>0</v>
      </c>
      <c r="F16334" t="s">
        <v>28</v>
      </c>
      <c r="G16334" t="s">
        <v>17</v>
      </c>
    </row>
    <row r="16335" spans="1:7" x14ac:dyDescent="0.35">
      <c r="A16335">
        <v>6484</v>
      </c>
      <c r="B16335" s="1">
        <v>46007</v>
      </c>
      <c r="C16335" t="s">
        <v>29</v>
      </c>
      <c r="D16335" s="2">
        <v>0</v>
      </c>
      <c r="E16335" s="2">
        <v>1304.6199999999999</v>
      </c>
      <c r="F16335" t="s">
        <v>8</v>
      </c>
      <c r="G16335" t="s">
        <v>9</v>
      </c>
    </row>
    <row r="16336" spans="1:7" x14ac:dyDescent="0.35">
      <c r="A16336">
        <v>6485</v>
      </c>
      <c r="B16336" s="1">
        <v>46007</v>
      </c>
      <c r="C16336" t="s">
        <v>29</v>
      </c>
      <c r="D16336" s="2">
        <v>862.91</v>
      </c>
      <c r="E16336" s="2">
        <v>0</v>
      </c>
      <c r="F16336" t="s">
        <v>28</v>
      </c>
      <c r="G16336" t="s">
        <v>17</v>
      </c>
    </row>
    <row r="16337" spans="1:7" x14ac:dyDescent="0.35">
      <c r="A16337">
        <v>6485</v>
      </c>
      <c r="B16337" s="1">
        <v>46007</v>
      </c>
      <c r="C16337" t="s">
        <v>29</v>
      </c>
      <c r="D16337" s="2">
        <v>0</v>
      </c>
      <c r="E16337" s="2">
        <v>862.91</v>
      </c>
      <c r="F16337" t="s">
        <v>8</v>
      </c>
      <c r="G16337" t="s">
        <v>9</v>
      </c>
    </row>
    <row r="16338" spans="1:7" x14ac:dyDescent="0.35">
      <c r="A16338">
        <v>6486</v>
      </c>
      <c r="B16338" s="1">
        <v>46008</v>
      </c>
      <c r="C16338" t="s">
        <v>12</v>
      </c>
      <c r="D16338" s="2">
        <v>5489.78</v>
      </c>
      <c r="E16338" s="2">
        <v>0</v>
      </c>
      <c r="F16338" t="s">
        <v>13</v>
      </c>
      <c r="G16338" t="s">
        <v>9</v>
      </c>
    </row>
    <row r="16339" spans="1:7" x14ac:dyDescent="0.35">
      <c r="A16339">
        <v>6486</v>
      </c>
      <c r="B16339" s="1">
        <v>46008</v>
      </c>
      <c r="C16339" t="s">
        <v>12</v>
      </c>
      <c r="D16339" s="2">
        <v>0</v>
      </c>
      <c r="E16339" s="2">
        <v>5106.7700000000004</v>
      </c>
      <c r="F16339" t="s">
        <v>14</v>
      </c>
      <c r="G16339" t="s">
        <v>15</v>
      </c>
    </row>
    <row r="16340" spans="1:7" x14ac:dyDescent="0.35">
      <c r="A16340">
        <v>6486</v>
      </c>
      <c r="B16340" s="1">
        <v>46008</v>
      </c>
      <c r="C16340" t="s">
        <v>12</v>
      </c>
      <c r="D16340" s="2">
        <v>0</v>
      </c>
      <c r="E16340" s="2">
        <v>383.01</v>
      </c>
      <c r="F16340" t="s">
        <v>16</v>
      </c>
      <c r="G16340" t="s">
        <v>17</v>
      </c>
    </row>
    <row r="16341" spans="1:7" x14ac:dyDescent="0.35">
      <c r="A16341">
        <v>6487</v>
      </c>
      <c r="B16341" s="1">
        <v>46008</v>
      </c>
      <c r="C16341" t="s">
        <v>12</v>
      </c>
      <c r="D16341" s="2">
        <v>3260.43</v>
      </c>
      <c r="E16341" s="2">
        <v>0</v>
      </c>
      <c r="F16341" t="s">
        <v>13</v>
      </c>
      <c r="G16341" t="s">
        <v>9</v>
      </c>
    </row>
    <row r="16342" spans="1:7" x14ac:dyDescent="0.35">
      <c r="A16342">
        <v>6487</v>
      </c>
      <c r="B16342" s="1">
        <v>46008</v>
      </c>
      <c r="C16342" t="s">
        <v>12</v>
      </c>
      <c r="D16342" s="2">
        <v>0</v>
      </c>
      <c r="E16342" s="2">
        <v>3032.96</v>
      </c>
      <c r="F16342" t="s">
        <v>14</v>
      </c>
      <c r="G16342" t="s">
        <v>15</v>
      </c>
    </row>
    <row r="16343" spans="1:7" x14ac:dyDescent="0.35">
      <c r="A16343">
        <v>6487</v>
      </c>
      <c r="B16343" s="1">
        <v>46008</v>
      </c>
      <c r="C16343" t="s">
        <v>12</v>
      </c>
      <c r="D16343" s="2">
        <v>0</v>
      </c>
      <c r="E16343" s="2">
        <v>227.47</v>
      </c>
      <c r="F16343" t="s">
        <v>16</v>
      </c>
      <c r="G16343" t="s">
        <v>17</v>
      </c>
    </row>
    <row r="16344" spans="1:7" x14ac:dyDescent="0.35">
      <c r="A16344">
        <v>6488</v>
      </c>
      <c r="B16344" s="1">
        <v>46008</v>
      </c>
      <c r="C16344" t="s">
        <v>12</v>
      </c>
      <c r="D16344" s="2">
        <v>1430.24</v>
      </c>
      <c r="E16344" s="2">
        <v>0</v>
      </c>
      <c r="F16344" t="s">
        <v>13</v>
      </c>
      <c r="G16344" t="s">
        <v>9</v>
      </c>
    </row>
    <row r="16345" spans="1:7" x14ac:dyDescent="0.35">
      <c r="A16345">
        <v>6488</v>
      </c>
      <c r="B16345" s="1">
        <v>46008</v>
      </c>
      <c r="C16345" t="s">
        <v>12</v>
      </c>
      <c r="D16345" s="2">
        <v>0</v>
      </c>
      <c r="E16345" s="2">
        <v>1330.46</v>
      </c>
      <c r="F16345" t="s">
        <v>14</v>
      </c>
      <c r="G16345" t="s">
        <v>15</v>
      </c>
    </row>
    <row r="16346" spans="1:7" x14ac:dyDescent="0.35">
      <c r="A16346">
        <v>6488</v>
      </c>
      <c r="B16346" s="1">
        <v>46008</v>
      </c>
      <c r="C16346" t="s">
        <v>12</v>
      </c>
      <c r="D16346" s="2">
        <v>0</v>
      </c>
      <c r="E16346" s="2">
        <v>99.78</v>
      </c>
      <c r="F16346" t="s">
        <v>16</v>
      </c>
      <c r="G16346" t="s">
        <v>17</v>
      </c>
    </row>
    <row r="16347" spans="1:7" x14ac:dyDescent="0.35">
      <c r="A16347">
        <v>6489</v>
      </c>
      <c r="B16347" s="1">
        <v>46008</v>
      </c>
      <c r="C16347" t="s">
        <v>12</v>
      </c>
      <c r="D16347" s="2">
        <v>1814.67</v>
      </c>
      <c r="E16347" s="2">
        <v>0</v>
      </c>
      <c r="F16347" t="s">
        <v>13</v>
      </c>
      <c r="G16347" t="s">
        <v>9</v>
      </c>
    </row>
    <row r="16348" spans="1:7" x14ac:dyDescent="0.35">
      <c r="A16348">
        <v>6489</v>
      </c>
      <c r="B16348" s="1">
        <v>46008</v>
      </c>
      <c r="C16348" t="s">
        <v>12</v>
      </c>
      <c r="D16348" s="2">
        <v>0</v>
      </c>
      <c r="E16348" s="2">
        <v>1688.07</v>
      </c>
      <c r="F16348" t="s">
        <v>14</v>
      </c>
      <c r="G16348" t="s">
        <v>15</v>
      </c>
    </row>
    <row r="16349" spans="1:7" x14ac:dyDescent="0.35">
      <c r="A16349">
        <v>6489</v>
      </c>
      <c r="B16349" s="1">
        <v>46008</v>
      </c>
      <c r="C16349" t="s">
        <v>12</v>
      </c>
      <c r="D16349" s="2">
        <v>0</v>
      </c>
      <c r="E16349" s="2">
        <v>126.6</v>
      </c>
      <c r="F16349" t="s">
        <v>16</v>
      </c>
      <c r="G16349" t="s">
        <v>17</v>
      </c>
    </row>
    <row r="16350" spans="1:7" x14ac:dyDescent="0.35">
      <c r="A16350">
        <v>6490</v>
      </c>
      <c r="B16350" s="1">
        <v>46008</v>
      </c>
      <c r="C16350" t="s">
        <v>12</v>
      </c>
      <c r="D16350" s="2">
        <v>4742.55</v>
      </c>
      <c r="E16350" s="2">
        <v>0</v>
      </c>
      <c r="F16350" t="s">
        <v>13</v>
      </c>
      <c r="G16350" t="s">
        <v>9</v>
      </c>
    </row>
    <row r="16351" spans="1:7" x14ac:dyDescent="0.35">
      <c r="A16351">
        <v>6490</v>
      </c>
      <c r="B16351" s="1">
        <v>46008</v>
      </c>
      <c r="C16351" t="s">
        <v>12</v>
      </c>
      <c r="D16351" s="2">
        <v>0</v>
      </c>
      <c r="E16351" s="2">
        <v>4411.68</v>
      </c>
      <c r="F16351" t="s">
        <v>14</v>
      </c>
      <c r="G16351" t="s">
        <v>15</v>
      </c>
    </row>
    <row r="16352" spans="1:7" x14ac:dyDescent="0.35">
      <c r="A16352">
        <v>6490</v>
      </c>
      <c r="B16352" s="1">
        <v>46008</v>
      </c>
      <c r="C16352" t="s">
        <v>12</v>
      </c>
      <c r="D16352" s="2">
        <v>0</v>
      </c>
      <c r="E16352" s="2">
        <v>330.87</v>
      </c>
      <c r="F16352" t="s">
        <v>16</v>
      </c>
      <c r="G16352" t="s">
        <v>17</v>
      </c>
    </row>
    <row r="16353" spans="1:7" x14ac:dyDescent="0.35">
      <c r="A16353">
        <v>6491</v>
      </c>
      <c r="B16353" s="1">
        <v>46008</v>
      </c>
      <c r="C16353" t="s">
        <v>12</v>
      </c>
      <c r="D16353" s="2">
        <v>1752.58</v>
      </c>
      <c r="E16353" s="2">
        <v>0</v>
      </c>
      <c r="F16353" t="s">
        <v>13</v>
      </c>
      <c r="G16353" t="s">
        <v>9</v>
      </c>
    </row>
    <row r="16354" spans="1:7" x14ac:dyDescent="0.35">
      <c r="A16354">
        <v>6491</v>
      </c>
      <c r="B16354" s="1">
        <v>46008</v>
      </c>
      <c r="C16354" t="s">
        <v>12</v>
      </c>
      <c r="D16354" s="2">
        <v>0</v>
      </c>
      <c r="E16354" s="2">
        <v>1630.31</v>
      </c>
      <c r="F16354" t="s">
        <v>14</v>
      </c>
      <c r="G16354" t="s">
        <v>15</v>
      </c>
    </row>
    <row r="16355" spans="1:7" x14ac:dyDescent="0.35">
      <c r="A16355">
        <v>6491</v>
      </c>
      <c r="B16355" s="1">
        <v>46008</v>
      </c>
      <c r="C16355" t="s">
        <v>12</v>
      </c>
      <c r="D16355" s="2">
        <v>0</v>
      </c>
      <c r="E16355" s="2">
        <v>122.27</v>
      </c>
      <c r="F16355" t="s">
        <v>16</v>
      </c>
      <c r="G16355" t="s">
        <v>17</v>
      </c>
    </row>
    <row r="16356" spans="1:7" x14ac:dyDescent="0.35">
      <c r="A16356">
        <v>6492</v>
      </c>
      <c r="B16356" s="1">
        <v>46008</v>
      </c>
      <c r="C16356" t="s">
        <v>12</v>
      </c>
      <c r="D16356" s="2">
        <v>4557.0600000000004</v>
      </c>
      <c r="E16356" s="2">
        <v>0</v>
      </c>
      <c r="F16356" t="s">
        <v>13</v>
      </c>
      <c r="G16356" t="s">
        <v>9</v>
      </c>
    </row>
    <row r="16357" spans="1:7" x14ac:dyDescent="0.35">
      <c r="A16357">
        <v>6492</v>
      </c>
      <c r="B16357" s="1">
        <v>46008</v>
      </c>
      <c r="C16357" t="s">
        <v>12</v>
      </c>
      <c r="D16357" s="2">
        <v>0</v>
      </c>
      <c r="E16357" s="2">
        <v>4239.12</v>
      </c>
      <c r="F16357" t="s">
        <v>14</v>
      </c>
      <c r="G16357" t="s">
        <v>15</v>
      </c>
    </row>
    <row r="16358" spans="1:7" x14ac:dyDescent="0.35">
      <c r="A16358">
        <v>6492</v>
      </c>
      <c r="B16358" s="1">
        <v>46008</v>
      </c>
      <c r="C16358" t="s">
        <v>12</v>
      </c>
      <c r="D16358" s="2">
        <v>0</v>
      </c>
      <c r="E16358" s="2">
        <v>317.94</v>
      </c>
      <c r="F16358" t="s">
        <v>16</v>
      </c>
      <c r="G16358" t="s">
        <v>17</v>
      </c>
    </row>
    <row r="16359" spans="1:7" x14ac:dyDescent="0.35">
      <c r="A16359">
        <v>6493</v>
      </c>
      <c r="B16359" s="1">
        <v>46008</v>
      </c>
      <c r="C16359" t="s">
        <v>12</v>
      </c>
      <c r="D16359" s="2">
        <v>961.82</v>
      </c>
      <c r="E16359" s="2">
        <v>0</v>
      </c>
      <c r="F16359" t="s">
        <v>13</v>
      </c>
      <c r="G16359" t="s">
        <v>9</v>
      </c>
    </row>
    <row r="16360" spans="1:7" x14ac:dyDescent="0.35">
      <c r="A16360">
        <v>6493</v>
      </c>
      <c r="B16360" s="1">
        <v>46008</v>
      </c>
      <c r="C16360" t="s">
        <v>12</v>
      </c>
      <c r="D16360" s="2">
        <v>0</v>
      </c>
      <c r="E16360" s="2">
        <v>894.72</v>
      </c>
      <c r="F16360" t="s">
        <v>14</v>
      </c>
      <c r="G16360" t="s">
        <v>15</v>
      </c>
    </row>
    <row r="16361" spans="1:7" x14ac:dyDescent="0.35">
      <c r="A16361">
        <v>6493</v>
      </c>
      <c r="B16361" s="1">
        <v>46008</v>
      </c>
      <c r="C16361" t="s">
        <v>12</v>
      </c>
      <c r="D16361" s="2">
        <v>0</v>
      </c>
      <c r="E16361" s="2">
        <v>67.099999999999994</v>
      </c>
      <c r="F16361" t="s">
        <v>16</v>
      </c>
      <c r="G16361" t="s">
        <v>17</v>
      </c>
    </row>
    <row r="16362" spans="1:7" x14ac:dyDescent="0.35">
      <c r="A16362">
        <v>6494</v>
      </c>
      <c r="B16362" s="1">
        <v>46008</v>
      </c>
      <c r="C16362" t="s">
        <v>12</v>
      </c>
      <c r="D16362" s="2">
        <v>1675.03</v>
      </c>
      <c r="E16362" s="2">
        <v>0</v>
      </c>
      <c r="F16362" t="s">
        <v>13</v>
      </c>
      <c r="G16362" t="s">
        <v>9</v>
      </c>
    </row>
    <row r="16363" spans="1:7" x14ac:dyDescent="0.35">
      <c r="A16363">
        <v>6494</v>
      </c>
      <c r="B16363" s="1">
        <v>46008</v>
      </c>
      <c r="C16363" t="s">
        <v>12</v>
      </c>
      <c r="D16363" s="2">
        <v>0</v>
      </c>
      <c r="E16363" s="2">
        <v>1558.17</v>
      </c>
      <c r="F16363" t="s">
        <v>14</v>
      </c>
      <c r="G16363" t="s">
        <v>15</v>
      </c>
    </row>
    <row r="16364" spans="1:7" x14ac:dyDescent="0.35">
      <c r="A16364">
        <v>6494</v>
      </c>
      <c r="B16364" s="1">
        <v>46008</v>
      </c>
      <c r="C16364" t="s">
        <v>12</v>
      </c>
      <c r="D16364" s="2">
        <v>0</v>
      </c>
      <c r="E16364" s="2">
        <v>116.86</v>
      </c>
      <c r="F16364" t="s">
        <v>16</v>
      </c>
      <c r="G16364" t="s">
        <v>17</v>
      </c>
    </row>
    <row r="16365" spans="1:7" x14ac:dyDescent="0.35">
      <c r="A16365">
        <v>6495</v>
      </c>
      <c r="B16365" s="1">
        <v>46008</v>
      </c>
      <c r="C16365" t="s">
        <v>12</v>
      </c>
      <c r="D16365" s="2">
        <v>1937.82</v>
      </c>
      <c r="E16365" s="2">
        <v>0</v>
      </c>
      <c r="F16365" t="s">
        <v>13</v>
      </c>
      <c r="G16365" t="s">
        <v>9</v>
      </c>
    </row>
    <row r="16366" spans="1:7" x14ac:dyDescent="0.35">
      <c r="A16366">
        <v>6495</v>
      </c>
      <c r="B16366" s="1">
        <v>46008</v>
      </c>
      <c r="C16366" t="s">
        <v>12</v>
      </c>
      <c r="D16366" s="2">
        <v>0</v>
      </c>
      <c r="E16366" s="2">
        <v>1802.62</v>
      </c>
      <c r="F16366" t="s">
        <v>14</v>
      </c>
      <c r="G16366" t="s">
        <v>15</v>
      </c>
    </row>
    <row r="16367" spans="1:7" x14ac:dyDescent="0.35">
      <c r="A16367">
        <v>6495</v>
      </c>
      <c r="B16367" s="1">
        <v>46008</v>
      </c>
      <c r="C16367" t="s">
        <v>12</v>
      </c>
      <c r="D16367" s="2">
        <v>0</v>
      </c>
      <c r="E16367" s="2">
        <v>135.19999999999999</v>
      </c>
      <c r="F16367" t="s">
        <v>16</v>
      </c>
      <c r="G16367" t="s">
        <v>17</v>
      </c>
    </row>
    <row r="16368" spans="1:7" x14ac:dyDescent="0.35">
      <c r="A16368">
        <v>6496</v>
      </c>
      <c r="B16368" s="1">
        <v>46008</v>
      </c>
      <c r="C16368" t="s">
        <v>12</v>
      </c>
      <c r="D16368" s="2">
        <v>1761.56</v>
      </c>
      <c r="E16368" s="2">
        <v>0</v>
      </c>
      <c r="F16368" t="s">
        <v>13</v>
      </c>
      <c r="G16368" t="s">
        <v>9</v>
      </c>
    </row>
    <row r="16369" spans="1:7" x14ac:dyDescent="0.35">
      <c r="A16369">
        <v>6496</v>
      </c>
      <c r="B16369" s="1">
        <v>46008</v>
      </c>
      <c r="C16369" t="s">
        <v>12</v>
      </c>
      <c r="D16369" s="2">
        <v>0</v>
      </c>
      <c r="E16369" s="2">
        <v>1638.66</v>
      </c>
      <c r="F16369" t="s">
        <v>14</v>
      </c>
      <c r="G16369" t="s">
        <v>15</v>
      </c>
    </row>
    <row r="16370" spans="1:7" x14ac:dyDescent="0.35">
      <c r="A16370">
        <v>6496</v>
      </c>
      <c r="B16370" s="1">
        <v>46008</v>
      </c>
      <c r="C16370" t="s">
        <v>12</v>
      </c>
      <c r="D16370" s="2">
        <v>0</v>
      </c>
      <c r="E16370" s="2">
        <v>122.9</v>
      </c>
      <c r="F16370" t="s">
        <v>16</v>
      </c>
      <c r="G16370" t="s">
        <v>17</v>
      </c>
    </row>
    <row r="16371" spans="1:7" x14ac:dyDescent="0.35">
      <c r="A16371">
        <v>6497</v>
      </c>
      <c r="B16371" s="1">
        <v>46008</v>
      </c>
      <c r="C16371" t="s">
        <v>12</v>
      </c>
      <c r="D16371" s="2">
        <v>6429.33</v>
      </c>
      <c r="E16371" s="2">
        <v>0</v>
      </c>
      <c r="F16371" t="s">
        <v>13</v>
      </c>
      <c r="G16371" t="s">
        <v>9</v>
      </c>
    </row>
    <row r="16372" spans="1:7" x14ac:dyDescent="0.35">
      <c r="A16372">
        <v>6497</v>
      </c>
      <c r="B16372" s="1">
        <v>46008</v>
      </c>
      <c r="C16372" t="s">
        <v>12</v>
      </c>
      <c r="D16372" s="2">
        <v>0</v>
      </c>
      <c r="E16372" s="2">
        <v>5980.78</v>
      </c>
      <c r="F16372" t="s">
        <v>14</v>
      </c>
      <c r="G16372" t="s">
        <v>15</v>
      </c>
    </row>
    <row r="16373" spans="1:7" x14ac:dyDescent="0.35">
      <c r="A16373">
        <v>6497</v>
      </c>
      <c r="B16373" s="1">
        <v>46008</v>
      </c>
      <c r="C16373" t="s">
        <v>12</v>
      </c>
      <c r="D16373" s="2">
        <v>0</v>
      </c>
      <c r="E16373" s="2">
        <v>448.55</v>
      </c>
      <c r="F16373" t="s">
        <v>16</v>
      </c>
      <c r="G16373" t="s">
        <v>17</v>
      </c>
    </row>
    <row r="16374" spans="1:7" x14ac:dyDescent="0.35">
      <c r="A16374">
        <v>6498</v>
      </c>
      <c r="B16374" s="1">
        <v>46008</v>
      </c>
      <c r="C16374" t="s">
        <v>12</v>
      </c>
      <c r="D16374" s="2">
        <v>3374.89</v>
      </c>
      <c r="E16374" s="2">
        <v>0</v>
      </c>
      <c r="F16374" t="s">
        <v>13</v>
      </c>
      <c r="G16374" t="s">
        <v>9</v>
      </c>
    </row>
    <row r="16375" spans="1:7" x14ac:dyDescent="0.35">
      <c r="A16375">
        <v>6498</v>
      </c>
      <c r="B16375" s="1">
        <v>46008</v>
      </c>
      <c r="C16375" t="s">
        <v>12</v>
      </c>
      <c r="D16375" s="2">
        <v>0</v>
      </c>
      <c r="E16375" s="2">
        <v>3139.44</v>
      </c>
      <c r="F16375" t="s">
        <v>14</v>
      </c>
      <c r="G16375" t="s">
        <v>15</v>
      </c>
    </row>
    <row r="16376" spans="1:7" x14ac:dyDescent="0.35">
      <c r="A16376">
        <v>6498</v>
      </c>
      <c r="B16376" s="1">
        <v>46008</v>
      </c>
      <c r="C16376" t="s">
        <v>12</v>
      </c>
      <c r="D16376" s="2">
        <v>0</v>
      </c>
      <c r="E16376" s="2">
        <v>235.45</v>
      </c>
      <c r="F16376" t="s">
        <v>16</v>
      </c>
      <c r="G16376" t="s">
        <v>17</v>
      </c>
    </row>
    <row r="16377" spans="1:7" x14ac:dyDescent="0.35">
      <c r="A16377">
        <v>6499</v>
      </c>
      <c r="B16377" s="1">
        <v>46008</v>
      </c>
      <c r="C16377" t="s">
        <v>24</v>
      </c>
      <c r="D16377" s="2">
        <v>1626.7</v>
      </c>
      <c r="E16377" s="2">
        <v>0</v>
      </c>
      <c r="F16377" t="s">
        <v>8</v>
      </c>
      <c r="G16377" t="s">
        <v>9</v>
      </c>
    </row>
    <row r="16378" spans="1:7" x14ac:dyDescent="0.35">
      <c r="A16378">
        <v>6499</v>
      </c>
      <c r="B16378" s="1">
        <v>46008</v>
      </c>
      <c r="C16378" t="s">
        <v>24</v>
      </c>
      <c r="D16378" s="2">
        <v>0</v>
      </c>
      <c r="E16378" s="2">
        <v>1626.7</v>
      </c>
      <c r="F16378" t="s">
        <v>13</v>
      </c>
      <c r="G16378" t="s">
        <v>9</v>
      </c>
    </row>
    <row r="16379" spans="1:7" x14ac:dyDescent="0.35">
      <c r="A16379">
        <v>6500</v>
      </c>
      <c r="B16379" s="1">
        <v>46008</v>
      </c>
      <c r="C16379" t="s">
        <v>24</v>
      </c>
      <c r="D16379" s="2">
        <v>2736.74</v>
      </c>
      <c r="E16379" s="2">
        <v>0</v>
      </c>
      <c r="F16379" t="s">
        <v>8</v>
      </c>
      <c r="G16379" t="s">
        <v>9</v>
      </c>
    </row>
    <row r="16380" spans="1:7" x14ac:dyDescent="0.35">
      <c r="A16380">
        <v>6500</v>
      </c>
      <c r="B16380" s="1">
        <v>46008</v>
      </c>
      <c r="C16380" t="s">
        <v>24</v>
      </c>
      <c r="D16380" s="2">
        <v>0</v>
      </c>
      <c r="E16380" s="2">
        <v>2736.74</v>
      </c>
      <c r="F16380" t="s">
        <v>13</v>
      </c>
      <c r="G16380" t="s">
        <v>9</v>
      </c>
    </row>
    <row r="16381" spans="1:7" x14ac:dyDescent="0.35">
      <c r="A16381">
        <v>6501</v>
      </c>
      <c r="B16381" s="1">
        <v>46008</v>
      </c>
      <c r="C16381" t="s">
        <v>24</v>
      </c>
      <c r="D16381" s="2">
        <v>394.96</v>
      </c>
      <c r="E16381" s="2">
        <v>0</v>
      </c>
      <c r="F16381" t="s">
        <v>8</v>
      </c>
      <c r="G16381" t="s">
        <v>9</v>
      </c>
    </row>
    <row r="16382" spans="1:7" x14ac:dyDescent="0.35">
      <c r="A16382">
        <v>6501</v>
      </c>
      <c r="B16382" s="1">
        <v>46008</v>
      </c>
      <c r="C16382" t="s">
        <v>24</v>
      </c>
      <c r="D16382" s="2">
        <v>0</v>
      </c>
      <c r="E16382" s="2">
        <v>394.96</v>
      </c>
      <c r="F16382" t="s">
        <v>13</v>
      </c>
      <c r="G16382" t="s">
        <v>9</v>
      </c>
    </row>
    <row r="16383" spans="1:7" x14ac:dyDescent="0.35">
      <c r="A16383">
        <v>6502</v>
      </c>
      <c r="B16383" s="1">
        <v>46008</v>
      </c>
      <c r="C16383" t="s">
        <v>24</v>
      </c>
      <c r="D16383" s="2">
        <v>3767.22</v>
      </c>
      <c r="E16383" s="2">
        <v>0</v>
      </c>
      <c r="F16383" t="s">
        <v>8</v>
      </c>
      <c r="G16383" t="s">
        <v>9</v>
      </c>
    </row>
    <row r="16384" spans="1:7" x14ac:dyDescent="0.35">
      <c r="A16384">
        <v>6502</v>
      </c>
      <c r="B16384" s="1">
        <v>46008</v>
      </c>
      <c r="C16384" t="s">
        <v>24</v>
      </c>
      <c r="D16384" s="2">
        <v>0</v>
      </c>
      <c r="E16384" s="2">
        <v>3767.22</v>
      </c>
      <c r="F16384" t="s">
        <v>13</v>
      </c>
      <c r="G16384" t="s">
        <v>9</v>
      </c>
    </row>
    <row r="16385" spans="1:7" x14ac:dyDescent="0.35">
      <c r="A16385">
        <v>6503</v>
      </c>
      <c r="B16385" s="1">
        <v>46008</v>
      </c>
      <c r="C16385" t="s">
        <v>24</v>
      </c>
      <c r="D16385" s="2">
        <v>559.48</v>
      </c>
      <c r="E16385" s="2">
        <v>0</v>
      </c>
      <c r="F16385" t="s">
        <v>8</v>
      </c>
      <c r="G16385" t="s">
        <v>9</v>
      </c>
    </row>
    <row r="16386" spans="1:7" x14ac:dyDescent="0.35">
      <c r="A16386">
        <v>6503</v>
      </c>
      <c r="B16386" s="1">
        <v>46008</v>
      </c>
      <c r="C16386" t="s">
        <v>24</v>
      </c>
      <c r="D16386" s="2">
        <v>0</v>
      </c>
      <c r="E16386" s="2">
        <v>559.48</v>
      </c>
      <c r="F16386" t="s">
        <v>13</v>
      </c>
      <c r="G16386" t="s">
        <v>9</v>
      </c>
    </row>
    <row r="16387" spans="1:7" x14ac:dyDescent="0.35">
      <c r="A16387">
        <v>6504</v>
      </c>
      <c r="B16387" s="1">
        <v>46008</v>
      </c>
      <c r="C16387" t="s">
        <v>24</v>
      </c>
      <c r="D16387" s="2">
        <v>1660.95</v>
      </c>
      <c r="E16387" s="2">
        <v>0</v>
      </c>
      <c r="F16387" t="s">
        <v>8</v>
      </c>
      <c r="G16387" t="s">
        <v>9</v>
      </c>
    </row>
    <row r="16388" spans="1:7" x14ac:dyDescent="0.35">
      <c r="A16388">
        <v>6504</v>
      </c>
      <c r="B16388" s="1">
        <v>46008</v>
      </c>
      <c r="C16388" t="s">
        <v>24</v>
      </c>
      <c r="D16388" s="2">
        <v>0</v>
      </c>
      <c r="E16388" s="2">
        <v>1660.95</v>
      </c>
      <c r="F16388" t="s">
        <v>13</v>
      </c>
      <c r="G16388" t="s">
        <v>9</v>
      </c>
    </row>
    <row r="16389" spans="1:7" x14ac:dyDescent="0.35">
      <c r="A16389">
        <v>6505</v>
      </c>
      <c r="B16389" s="1">
        <v>46008</v>
      </c>
      <c r="C16389" t="s">
        <v>24</v>
      </c>
      <c r="D16389" s="2">
        <v>1048.4000000000001</v>
      </c>
      <c r="E16389" s="2">
        <v>0</v>
      </c>
      <c r="F16389" t="s">
        <v>8</v>
      </c>
      <c r="G16389" t="s">
        <v>9</v>
      </c>
    </row>
    <row r="16390" spans="1:7" x14ac:dyDescent="0.35">
      <c r="A16390">
        <v>6505</v>
      </c>
      <c r="B16390" s="1">
        <v>46008</v>
      </c>
      <c r="C16390" t="s">
        <v>24</v>
      </c>
      <c r="D16390" s="2">
        <v>0</v>
      </c>
      <c r="E16390" s="2">
        <v>1048.4000000000001</v>
      </c>
      <c r="F16390" t="s">
        <v>13</v>
      </c>
      <c r="G16390" t="s">
        <v>9</v>
      </c>
    </row>
    <row r="16391" spans="1:7" x14ac:dyDescent="0.35">
      <c r="A16391">
        <v>6506</v>
      </c>
      <c r="B16391" s="1">
        <v>46008</v>
      </c>
      <c r="C16391" t="s">
        <v>24</v>
      </c>
      <c r="D16391" s="2">
        <v>1061.67</v>
      </c>
      <c r="E16391" s="2">
        <v>0</v>
      </c>
      <c r="F16391" t="s">
        <v>8</v>
      </c>
      <c r="G16391" t="s">
        <v>9</v>
      </c>
    </row>
    <row r="16392" spans="1:7" x14ac:dyDescent="0.35">
      <c r="A16392">
        <v>6506</v>
      </c>
      <c r="B16392" s="1">
        <v>46008</v>
      </c>
      <c r="C16392" t="s">
        <v>24</v>
      </c>
      <c r="D16392" s="2">
        <v>0</v>
      </c>
      <c r="E16392" s="2">
        <v>1061.67</v>
      </c>
      <c r="F16392" t="s">
        <v>13</v>
      </c>
      <c r="G16392" t="s">
        <v>9</v>
      </c>
    </row>
    <row r="16393" spans="1:7" x14ac:dyDescent="0.35">
      <c r="A16393">
        <v>6507</v>
      </c>
      <c r="B16393" s="1">
        <v>46008</v>
      </c>
      <c r="C16393" t="s">
        <v>24</v>
      </c>
      <c r="D16393" s="2">
        <v>1010.69</v>
      </c>
      <c r="E16393" s="2">
        <v>0</v>
      </c>
      <c r="F16393" t="s">
        <v>8</v>
      </c>
      <c r="G16393" t="s">
        <v>9</v>
      </c>
    </row>
    <row r="16394" spans="1:7" x14ac:dyDescent="0.35">
      <c r="A16394">
        <v>6507</v>
      </c>
      <c r="B16394" s="1">
        <v>46008</v>
      </c>
      <c r="C16394" t="s">
        <v>24</v>
      </c>
      <c r="D16394" s="2">
        <v>0</v>
      </c>
      <c r="E16394" s="2">
        <v>1010.69</v>
      </c>
      <c r="F16394" t="s">
        <v>13</v>
      </c>
      <c r="G16394" t="s">
        <v>9</v>
      </c>
    </row>
    <row r="16395" spans="1:7" x14ac:dyDescent="0.35">
      <c r="A16395">
        <v>6508</v>
      </c>
      <c r="B16395" s="1">
        <v>46008</v>
      </c>
      <c r="C16395" t="s">
        <v>25</v>
      </c>
      <c r="D16395" s="2">
        <v>8685.27</v>
      </c>
      <c r="E16395" s="2">
        <v>0</v>
      </c>
      <c r="F16395" t="s">
        <v>26</v>
      </c>
      <c r="G16395" t="s">
        <v>20</v>
      </c>
    </row>
    <row r="16396" spans="1:7" x14ac:dyDescent="0.35">
      <c r="A16396">
        <v>6508</v>
      </c>
      <c r="B16396" s="1">
        <v>46008</v>
      </c>
      <c r="C16396" t="s">
        <v>25</v>
      </c>
      <c r="D16396" s="2">
        <v>651.4</v>
      </c>
      <c r="E16396" s="2">
        <v>0</v>
      </c>
      <c r="F16396" t="s">
        <v>27</v>
      </c>
      <c r="G16396" t="s">
        <v>9</v>
      </c>
    </row>
    <row r="16397" spans="1:7" x14ac:dyDescent="0.35">
      <c r="A16397">
        <v>6508</v>
      </c>
      <c r="B16397" s="1">
        <v>46008</v>
      </c>
      <c r="C16397" t="s">
        <v>25</v>
      </c>
      <c r="D16397" s="2">
        <v>0</v>
      </c>
      <c r="E16397" s="2">
        <v>9336.67</v>
      </c>
      <c r="F16397" t="s">
        <v>28</v>
      </c>
      <c r="G16397" t="s">
        <v>17</v>
      </c>
    </row>
    <row r="16398" spans="1:7" x14ac:dyDescent="0.35">
      <c r="A16398">
        <v>6509</v>
      </c>
      <c r="B16398" s="1">
        <v>46008</v>
      </c>
      <c r="C16398" t="s">
        <v>25</v>
      </c>
      <c r="D16398" s="2">
        <v>1822.08</v>
      </c>
      <c r="E16398" s="2">
        <v>0</v>
      </c>
      <c r="F16398" t="s">
        <v>26</v>
      </c>
      <c r="G16398" t="s">
        <v>20</v>
      </c>
    </row>
    <row r="16399" spans="1:7" x14ac:dyDescent="0.35">
      <c r="A16399">
        <v>6509</v>
      </c>
      <c r="B16399" s="1">
        <v>46008</v>
      </c>
      <c r="C16399" t="s">
        <v>25</v>
      </c>
      <c r="D16399" s="2">
        <v>136.66</v>
      </c>
      <c r="E16399" s="2">
        <v>0</v>
      </c>
      <c r="F16399" t="s">
        <v>27</v>
      </c>
      <c r="G16399" t="s">
        <v>9</v>
      </c>
    </row>
    <row r="16400" spans="1:7" x14ac:dyDescent="0.35">
      <c r="A16400">
        <v>6509</v>
      </c>
      <c r="B16400" s="1">
        <v>46008</v>
      </c>
      <c r="C16400" t="s">
        <v>25</v>
      </c>
      <c r="D16400" s="2">
        <v>0</v>
      </c>
      <c r="E16400" s="2">
        <v>1958.74</v>
      </c>
      <c r="F16400" t="s">
        <v>28</v>
      </c>
      <c r="G16400" t="s">
        <v>17</v>
      </c>
    </row>
    <row r="16401" spans="1:7" x14ac:dyDescent="0.35">
      <c r="A16401">
        <v>6510</v>
      </c>
      <c r="B16401" s="1">
        <v>46008</v>
      </c>
      <c r="C16401" t="s">
        <v>29</v>
      </c>
      <c r="D16401" s="2">
        <v>179.01</v>
      </c>
      <c r="E16401" s="2">
        <v>0</v>
      </c>
      <c r="F16401" t="s">
        <v>28</v>
      </c>
      <c r="G16401" t="s">
        <v>17</v>
      </c>
    </row>
    <row r="16402" spans="1:7" x14ac:dyDescent="0.35">
      <c r="A16402">
        <v>6510</v>
      </c>
      <c r="B16402" s="1">
        <v>46008</v>
      </c>
      <c r="C16402" t="s">
        <v>29</v>
      </c>
      <c r="D16402" s="2">
        <v>0</v>
      </c>
      <c r="E16402" s="2">
        <v>179.01</v>
      </c>
      <c r="F16402" t="s">
        <v>8</v>
      </c>
      <c r="G16402" t="s">
        <v>9</v>
      </c>
    </row>
    <row r="16403" spans="1:7" x14ac:dyDescent="0.35">
      <c r="A16403">
        <v>6511</v>
      </c>
      <c r="B16403" s="1">
        <v>46008</v>
      </c>
      <c r="C16403" t="s">
        <v>29</v>
      </c>
      <c r="D16403" s="2">
        <v>1794.11</v>
      </c>
      <c r="E16403" s="2">
        <v>0</v>
      </c>
      <c r="F16403" t="s">
        <v>28</v>
      </c>
      <c r="G16403" t="s">
        <v>17</v>
      </c>
    </row>
    <row r="16404" spans="1:7" x14ac:dyDescent="0.35">
      <c r="A16404">
        <v>6511</v>
      </c>
      <c r="B16404" s="1">
        <v>46008</v>
      </c>
      <c r="C16404" t="s">
        <v>29</v>
      </c>
      <c r="D16404" s="2">
        <v>0</v>
      </c>
      <c r="E16404" s="2">
        <v>1794.11</v>
      </c>
      <c r="F16404" t="s">
        <v>8</v>
      </c>
      <c r="G16404" t="s">
        <v>9</v>
      </c>
    </row>
    <row r="16405" spans="1:7" x14ac:dyDescent="0.35">
      <c r="A16405">
        <v>6512</v>
      </c>
      <c r="B16405" s="1">
        <v>46008</v>
      </c>
      <c r="C16405" t="s">
        <v>29</v>
      </c>
      <c r="D16405" s="2">
        <v>3868.8</v>
      </c>
      <c r="E16405" s="2">
        <v>0</v>
      </c>
      <c r="F16405" t="s">
        <v>28</v>
      </c>
      <c r="G16405" t="s">
        <v>17</v>
      </c>
    </row>
    <row r="16406" spans="1:7" x14ac:dyDescent="0.35">
      <c r="A16406">
        <v>6512</v>
      </c>
      <c r="B16406" s="1">
        <v>46008</v>
      </c>
      <c r="C16406" t="s">
        <v>29</v>
      </c>
      <c r="D16406" s="2">
        <v>0</v>
      </c>
      <c r="E16406" s="2">
        <v>3868.8</v>
      </c>
      <c r="F16406" t="s">
        <v>8</v>
      </c>
      <c r="G16406" t="s">
        <v>9</v>
      </c>
    </row>
    <row r="16407" spans="1:7" x14ac:dyDescent="0.35">
      <c r="A16407">
        <v>6513</v>
      </c>
      <c r="B16407" s="1">
        <v>46009</v>
      </c>
      <c r="C16407" t="s">
        <v>18</v>
      </c>
      <c r="D16407" s="2">
        <v>22424.18</v>
      </c>
      <c r="E16407" s="2">
        <v>0</v>
      </c>
      <c r="F16407" t="s">
        <v>19</v>
      </c>
      <c r="G16407" t="s">
        <v>20</v>
      </c>
    </row>
    <row r="16408" spans="1:7" x14ac:dyDescent="0.35">
      <c r="A16408">
        <v>6513</v>
      </c>
      <c r="B16408" s="1">
        <v>46009</v>
      </c>
      <c r="C16408" t="s">
        <v>18</v>
      </c>
      <c r="D16408" s="2">
        <v>896.97</v>
      </c>
      <c r="E16408" s="2">
        <v>0</v>
      </c>
      <c r="F16408" t="s">
        <v>21</v>
      </c>
      <c r="G16408" t="s">
        <v>20</v>
      </c>
    </row>
    <row r="16409" spans="1:7" x14ac:dyDescent="0.35">
      <c r="A16409">
        <v>6513</v>
      </c>
      <c r="B16409" s="1">
        <v>46009</v>
      </c>
      <c r="C16409" t="s">
        <v>18</v>
      </c>
      <c r="D16409" s="2">
        <v>0</v>
      </c>
      <c r="E16409" s="2">
        <v>18071.599999999999</v>
      </c>
      <c r="F16409" t="s">
        <v>8</v>
      </c>
      <c r="G16409" t="s">
        <v>9</v>
      </c>
    </row>
    <row r="16410" spans="1:7" x14ac:dyDescent="0.35">
      <c r="A16410">
        <v>6513</v>
      </c>
      <c r="B16410" s="1">
        <v>46009</v>
      </c>
      <c r="C16410" t="s">
        <v>18</v>
      </c>
      <c r="D16410" s="2">
        <v>0</v>
      </c>
      <c r="E16410" s="2">
        <v>4352.58</v>
      </c>
      <c r="F16410" t="s">
        <v>22</v>
      </c>
      <c r="G16410" t="s">
        <v>17</v>
      </c>
    </row>
    <row r="16411" spans="1:7" x14ac:dyDescent="0.35">
      <c r="A16411">
        <v>6513</v>
      </c>
      <c r="B16411" s="1">
        <v>46009</v>
      </c>
      <c r="C16411" t="s">
        <v>18</v>
      </c>
      <c r="D16411" s="2">
        <v>0</v>
      </c>
      <c r="E16411" s="2">
        <v>896.97</v>
      </c>
      <c r="F16411" t="s">
        <v>23</v>
      </c>
      <c r="G16411" t="s">
        <v>17</v>
      </c>
    </row>
    <row r="16412" spans="1:7" x14ac:dyDescent="0.35">
      <c r="A16412">
        <v>6514</v>
      </c>
      <c r="B16412" s="1">
        <v>46009</v>
      </c>
      <c r="C16412" t="s">
        <v>12</v>
      </c>
      <c r="D16412" s="2">
        <v>2748.23</v>
      </c>
      <c r="E16412" s="2">
        <v>0</v>
      </c>
      <c r="F16412" t="s">
        <v>13</v>
      </c>
      <c r="G16412" t="s">
        <v>9</v>
      </c>
    </row>
    <row r="16413" spans="1:7" x14ac:dyDescent="0.35">
      <c r="A16413">
        <v>6514</v>
      </c>
      <c r="B16413" s="1">
        <v>46009</v>
      </c>
      <c r="C16413" t="s">
        <v>12</v>
      </c>
      <c r="D16413" s="2">
        <v>0</v>
      </c>
      <c r="E16413" s="2">
        <v>2556.48</v>
      </c>
      <c r="F16413" t="s">
        <v>14</v>
      </c>
      <c r="G16413" t="s">
        <v>15</v>
      </c>
    </row>
    <row r="16414" spans="1:7" x14ac:dyDescent="0.35">
      <c r="A16414">
        <v>6514</v>
      </c>
      <c r="B16414" s="1">
        <v>46009</v>
      </c>
      <c r="C16414" t="s">
        <v>12</v>
      </c>
      <c r="D16414" s="2">
        <v>0</v>
      </c>
      <c r="E16414" s="2">
        <v>191.75</v>
      </c>
      <c r="F16414" t="s">
        <v>16</v>
      </c>
      <c r="G16414" t="s">
        <v>17</v>
      </c>
    </row>
    <row r="16415" spans="1:7" x14ac:dyDescent="0.35">
      <c r="A16415">
        <v>6515</v>
      </c>
      <c r="B16415" s="1">
        <v>46009</v>
      </c>
      <c r="C16415" t="s">
        <v>12</v>
      </c>
      <c r="D16415" s="2">
        <v>1278.6300000000001</v>
      </c>
      <c r="E16415" s="2">
        <v>0</v>
      </c>
      <c r="F16415" t="s">
        <v>13</v>
      </c>
      <c r="G16415" t="s">
        <v>9</v>
      </c>
    </row>
    <row r="16416" spans="1:7" x14ac:dyDescent="0.35">
      <c r="A16416">
        <v>6515</v>
      </c>
      <c r="B16416" s="1">
        <v>46009</v>
      </c>
      <c r="C16416" t="s">
        <v>12</v>
      </c>
      <c r="D16416" s="2">
        <v>0</v>
      </c>
      <c r="E16416" s="2">
        <v>1189.42</v>
      </c>
      <c r="F16416" t="s">
        <v>14</v>
      </c>
      <c r="G16416" t="s">
        <v>15</v>
      </c>
    </row>
    <row r="16417" spans="1:7" x14ac:dyDescent="0.35">
      <c r="A16417">
        <v>6515</v>
      </c>
      <c r="B16417" s="1">
        <v>46009</v>
      </c>
      <c r="C16417" t="s">
        <v>12</v>
      </c>
      <c r="D16417" s="2">
        <v>0</v>
      </c>
      <c r="E16417" s="2">
        <v>89.21</v>
      </c>
      <c r="F16417" t="s">
        <v>16</v>
      </c>
      <c r="G16417" t="s">
        <v>17</v>
      </c>
    </row>
    <row r="16418" spans="1:7" x14ac:dyDescent="0.35">
      <c r="A16418">
        <v>6516</v>
      </c>
      <c r="B16418" s="1">
        <v>46009</v>
      </c>
      <c r="C16418" t="s">
        <v>12</v>
      </c>
      <c r="D16418" s="2">
        <v>2079.1</v>
      </c>
      <c r="E16418" s="2">
        <v>0</v>
      </c>
      <c r="F16418" t="s">
        <v>13</v>
      </c>
      <c r="G16418" t="s">
        <v>9</v>
      </c>
    </row>
    <row r="16419" spans="1:7" x14ac:dyDescent="0.35">
      <c r="A16419">
        <v>6516</v>
      </c>
      <c r="B16419" s="1">
        <v>46009</v>
      </c>
      <c r="C16419" t="s">
        <v>12</v>
      </c>
      <c r="D16419" s="2">
        <v>0</v>
      </c>
      <c r="E16419" s="2">
        <v>1934.05</v>
      </c>
      <c r="F16419" t="s">
        <v>14</v>
      </c>
      <c r="G16419" t="s">
        <v>15</v>
      </c>
    </row>
    <row r="16420" spans="1:7" x14ac:dyDescent="0.35">
      <c r="A16420">
        <v>6516</v>
      </c>
      <c r="B16420" s="1">
        <v>46009</v>
      </c>
      <c r="C16420" t="s">
        <v>12</v>
      </c>
      <c r="D16420" s="2">
        <v>0</v>
      </c>
      <c r="E16420" s="2">
        <v>145.05000000000001</v>
      </c>
      <c r="F16420" t="s">
        <v>16</v>
      </c>
      <c r="G16420" t="s">
        <v>17</v>
      </c>
    </row>
    <row r="16421" spans="1:7" x14ac:dyDescent="0.35">
      <c r="A16421">
        <v>6517</v>
      </c>
      <c r="B16421" s="1">
        <v>46009</v>
      </c>
      <c r="C16421" t="s">
        <v>12</v>
      </c>
      <c r="D16421" s="2">
        <v>3446.87</v>
      </c>
      <c r="E16421" s="2">
        <v>0</v>
      </c>
      <c r="F16421" t="s">
        <v>13</v>
      </c>
      <c r="G16421" t="s">
        <v>9</v>
      </c>
    </row>
    <row r="16422" spans="1:7" x14ac:dyDescent="0.35">
      <c r="A16422">
        <v>6517</v>
      </c>
      <c r="B16422" s="1">
        <v>46009</v>
      </c>
      <c r="C16422" t="s">
        <v>12</v>
      </c>
      <c r="D16422" s="2">
        <v>0</v>
      </c>
      <c r="E16422" s="2">
        <v>3206.39</v>
      </c>
      <c r="F16422" t="s">
        <v>14</v>
      </c>
      <c r="G16422" t="s">
        <v>15</v>
      </c>
    </row>
    <row r="16423" spans="1:7" x14ac:dyDescent="0.35">
      <c r="A16423">
        <v>6517</v>
      </c>
      <c r="B16423" s="1">
        <v>46009</v>
      </c>
      <c r="C16423" t="s">
        <v>12</v>
      </c>
      <c r="D16423" s="2">
        <v>0</v>
      </c>
      <c r="E16423" s="2">
        <v>240.48</v>
      </c>
      <c r="F16423" t="s">
        <v>16</v>
      </c>
      <c r="G16423" t="s">
        <v>17</v>
      </c>
    </row>
    <row r="16424" spans="1:7" x14ac:dyDescent="0.35">
      <c r="A16424">
        <v>6518</v>
      </c>
      <c r="B16424" s="1">
        <v>46009</v>
      </c>
      <c r="C16424" t="s">
        <v>12</v>
      </c>
      <c r="D16424" s="2">
        <v>1664.43</v>
      </c>
      <c r="E16424" s="2">
        <v>0</v>
      </c>
      <c r="F16424" t="s">
        <v>13</v>
      </c>
      <c r="G16424" t="s">
        <v>9</v>
      </c>
    </row>
    <row r="16425" spans="1:7" x14ac:dyDescent="0.35">
      <c r="A16425">
        <v>6518</v>
      </c>
      <c r="B16425" s="1">
        <v>46009</v>
      </c>
      <c r="C16425" t="s">
        <v>12</v>
      </c>
      <c r="D16425" s="2">
        <v>0</v>
      </c>
      <c r="E16425" s="2">
        <v>1548.31</v>
      </c>
      <c r="F16425" t="s">
        <v>14</v>
      </c>
      <c r="G16425" t="s">
        <v>15</v>
      </c>
    </row>
    <row r="16426" spans="1:7" x14ac:dyDescent="0.35">
      <c r="A16426">
        <v>6518</v>
      </c>
      <c r="B16426" s="1">
        <v>46009</v>
      </c>
      <c r="C16426" t="s">
        <v>12</v>
      </c>
      <c r="D16426" s="2">
        <v>0</v>
      </c>
      <c r="E16426" s="2">
        <v>116.12</v>
      </c>
      <c r="F16426" t="s">
        <v>16</v>
      </c>
      <c r="G16426" t="s">
        <v>17</v>
      </c>
    </row>
    <row r="16427" spans="1:7" x14ac:dyDescent="0.35">
      <c r="A16427">
        <v>6519</v>
      </c>
      <c r="B16427" s="1">
        <v>46009</v>
      </c>
      <c r="C16427" t="s">
        <v>12</v>
      </c>
      <c r="D16427" s="2">
        <v>698.57</v>
      </c>
      <c r="E16427" s="2">
        <v>0</v>
      </c>
      <c r="F16427" t="s">
        <v>13</v>
      </c>
      <c r="G16427" t="s">
        <v>9</v>
      </c>
    </row>
    <row r="16428" spans="1:7" x14ac:dyDescent="0.35">
      <c r="A16428">
        <v>6519</v>
      </c>
      <c r="B16428" s="1">
        <v>46009</v>
      </c>
      <c r="C16428" t="s">
        <v>12</v>
      </c>
      <c r="D16428" s="2">
        <v>0</v>
      </c>
      <c r="E16428" s="2">
        <v>649.83000000000004</v>
      </c>
      <c r="F16428" t="s">
        <v>14</v>
      </c>
      <c r="G16428" t="s">
        <v>15</v>
      </c>
    </row>
    <row r="16429" spans="1:7" x14ac:dyDescent="0.35">
      <c r="A16429">
        <v>6519</v>
      </c>
      <c r="B16429" s="1">
        <v>46009</v>
      </c>
      <c r="C16429" t="s">
        <v>12</v>
      </c>
      <c r="D16429" s="2">
        <v>0</v>
      </c>
      <c r="E16429" s="2">
        <v>48.74</v>
      </c>
      <c r="F16429" t="s">
        <v>16</v>
      </c>
      <c r="G16429" t="s">
        <v>17</v>
      </c>
    </row>
    <row r="16430" spans="1:7" x14ac:dyDescent="0.35">
      <c r="A16430">
        <v>6520</v>
      </c>
      <c r="B16430" s="1">
        <v>46009</v>
      </c>
      <c r="C16430" t="s">
        <v>12</v>
      </c>
      <c r="D16430" s="2">
        <v>1763.13</v>
      </c>
      <c r="E16430" s="2">
        <v>0</v>
      </c>
      <c r="F16430" t="s">
        <v>13</v>
      </c>
      <c r="G16430" t="s">
        <v>9</v>
      </c>
    </row>
    <row r="16431" spans="1:7" x14ac:dyDescent="0.35">
      <c r="A16431">
        <v>6520</v>
      </c>
      <c r="B16431" s="1">
        <v>46009</v>
      </c>
      <c r="C16431" t="s">
        <v>12</v>
      </c>
      <c r="D16431" s="2">
        <v>0</v>
      </c>
      <c r="E16431" s="2">
        <v>1640.11</v>
      </c>
      <c r="F16431" t="s">
        <v>14</v>
      </c>
      <c r="G16431" t="s">
        <v>15</v>
      </c>
    </row>
    <row r="16432" spans="1:7" x14ac:dyDescent="0.35">
      <c r="A16432">
        <v>6520</v>
      </c>
      <c r="B16432" s="1">
        <v>46009</v>
      </c>
      <c r="C16432" t="s">
        <v>12</v>
      </c>
      <c r="D16432" s="2">
        <v>0</v>
      </c>
      <c r="E16432" s="2">
        <v>123.02</v>
      </c>
      <c r="F16432" t="s">
        <v>16</v>
      </c>
      <c r="G16432" t="s">
        <v>17</v>
      </c>
    </row>
    <row r="16433" spans="1:7" x14ac:dyDescent="0.35">
      <c r="A16433">
        <v>6521</v>
      </c>
      <c r="B16433" s="1">
        <v>46009</v>
      </c>
      <c r="C16433" t="s">
        <v>24</v>
      </c>
      <c r="D16433" s="2">
        <v>1543.7</v>
      </c>
      <c r="E16433" s="2">
        <v>0</v>
      </c>
      <c r="F16433" t="s">
        <v>8</v>
      </c>
      <c r="G16433" t="s">
        <v>9</v>
      </c>
    </row>
    <row r="16434" spans="1:7" x14ac:dyDescent="0.35">
      <c r="A16434">
        <v>6521</v>
      </c>
      <c r="B16434" s="1">
        <v>46009</v>
      </c>
      <c r="C16434" t="s">
        <v>24</v>
      </c>
      <c r="D16434" s="2">
        <v>0</v>
      </c>
      <c r="E16434" s="2">
        <v>1543.7</v>
      </c>
      <c r="F16434" t="s">
        <v>13</v>
      </c>
      <c r="G16434" t="s">
        <v>9</v>
      </c>
    </row>
    <row r="16435" spans="1:7" x14ac:dyDescent="0.35">
      <c r="A16435">
        <v>6522</v>
      </c>
      <c r="B16435" s="1">
        <v>46009</v>
      </c>
      <c r="C16435" t="s">
        <v>24</v>
      </c>
      <c r="D16435" s="2">
        <v>5519.45</v>
      </c>
      <c r="E16435" s="2">
        <v>0</v>
      </c>
      <c r="F16435" t="s">
        <v>8</v>
      </c>
      <c r="G16435" t="s">
        <v>9</v>
      </c>
    </row>
    <row r="16436" spans="1:7" x14ac:dyDescent="0.35">
      <c r="A16436">
        <v>6522</v>
      </c>
      <c r="B16436" s="1">
        <v>46009</v>
      </c>
      <c r="C16436" t="s">
        <v>24</v>
      </c>
      <c r="D16436" s="2">
        <v>0</v>
      </c>
      <c r="E16436" s="2">
        <v>5519.45</v>
      </c>
      <c r="F16436" t="s">
        <v>13</v>
      </c>
      <c r="G16436" t="s">
        <v>9</v>
      </c>
    </row>
    <row r="16437" spans="1:7" x14ac:dyDescent="0.35">
      <c r="A16437">
        <v>6523</v>
      </c>
      <c r="B16437" s="1">
        <v>46009</v>
      </c>
      <c r="C16437" t="s">
        <v>24</v>
      </c>
      <c r="D16437" s="2">
        <v>1149.56</v>
      </c>
      <c r="E16437" s="2">
        <v>0</v>
      </c>
      <c r="F16437" t="s">
        <v>8</v>
      </c>
      <c r="G16437" t="s">
        <v>9</v>
      </c>
    </row>
    <row r="16438" spans="1:7" x14ac:dyDescent="0.35">
      <c r="A16438">
        <v>6523</v>
      </c>
      <c r="B16438" s="1">
        <v>46009</v>
      </c>
      <c r="C16438" t="s">
        <v>24</v>
      </c>
      <c r="D16438" s="2">
        <v>0</v>
      </c>
      <c r="E16438" s="2">
        <v>1149.56</v>
      </c>
      <c r="F16438" t="s">
        <v>13</v>
      </c>
      <c r="G16438" t="s">
        <v>9</v>
      </c>
    </row>
    <row r="16439" spans="1:7" x14ac:dyDescent="0.35">
      <c r="A16439">
        <v>6524</v>
      </c>
      <c r="B16439" s="1">
        <v>46009</v>
      </c>
      <c r="C16439" t="s">
        <v>24</v>
      </c>
      <c r="D16439" s="2">
        <v>1747.34</v>
      </c>
      <c r="E16439" s="2">
        <v>0</v>
      </c>
      <c r="F16439" t="s">
        <v>8</v>
      </c>
      <c r="G16439" t="s">
        <v>9</v>
      </c>
    </row>
    <row r="16440" spans="1:7" x14ac:dyDescent="0.35">
      <c r="A16440">
        <v>6524</v>
      </c>
      <c r="B16440" s="1">
        <v>46009</v>
      </c>
      <c r="C16440" t="s">
        <v>24</v>
      </c>
      <c r="D16440" s="2">
        <v>0</v>
      </c>
      <c r="E16440" s="2">
        <v>1747.34</v>
      </c>
      <c r="F16440" t="s">
        <v>13</v>
      </c>
      <c r="G16440" t="s">
        <v>9</v>
      </c>
    </row>
    <row r="16441" spans="1:7" x14ac:dyDescent="0.35">
      <c r="A16441">
        <v>6525</v>
      </c>
      <c r="B16441" s="1">
        <v>46009</v>
      </c>
      <c r="C16441" t="s">
        <v>24</v>
      </c>
      <c r="D16441" s="2">
        <v>3404.28</v>
      </c>
      <c r="E16441" s="2">
        <v>0</v>
      </c>
      <c r="F16441" t="s">
        <v>8</v>
      </c>
      <c r="G16441" t="s">
        <v>9</v>
      </c>
    </row>
    <row r="16442" spans="1:7" x14ac:dyDescent="0.35">
      <c r="A16442">
        <v>6525</v>
      </c>
      <c r="B16442" s="1">
        <v>46009</v>
      </c>
      <c r="C16442" t="s">
        <v>24</v>
      </c>
      <c r="D16442" s="2">
        <v>0</v>
      </c>
      <c r="E16442" s="2">
        <v>3404.28</v>
      </c>
      <c r="F16442" t="s">
        <v>13</v>
      </c>
      <c r="G16442" t="s">
        <v>9</v>
      </c>
    </row>
    <row r="16443" spans="1:7" x14ac:dyDescent="0.35">
      <c r="A16443">
        <v>6526</v>
      </c>
      <c r="B16443" s="1">
        <v>46009</v>
      </c>
      <c r="C16443" t="s">
        <v>24</v>
      </c>
      <c r="D16443" s="2">
        <v>3113.87</v>
      </c>
      <c r="E16443" s="2">
        <v>0</v>
      </c>
      <c r="F16443" t="s">
        <v>8</v>
      </c>
      <c r="G16443" t="s">
        <v>9</v>
      </c>
    </row>
    <row r="16444" spans="1:7" x14ac:dyDescent="0.35">
      <c r="A16444">
        <v>6526</v>
      </c>
      <c r="B16444" s="1">
        <v>46009</v>
      </c>
      <c r="C16444" t="s">
        <v>24</v>
      </c>
      <c r="D16444" s="2">
        <v>0</v>
      </c>
      <c r="E16444" s="2">
        <v>3113.87</v>
      </c>
      <c r="F16444" t="s">
        <v>13</v>
      </c>
      <c r="G16444" t="s">
        <v>9</v>
      </c>
    </row>
    <row r="16445" spans="1:7" x14ac:dyDescent="0.35">
      <c r="A16445">
        <v>6527</v>
      </c>
      <c r="B16445" s="1">
        <v>46009</v>
      </c>
      <c r="C16445" t="s">
        <v>24</v>
      </c>
      <c r="D16445" s="2">
        <v>4336.2299999999996</v>
      </c>
      <c r="E16445" s="2">
        <v>0</v>
      </c>
      <c r="F16445" t="s">
        <v>8</v>
      </c>
      <c r="G16445" t="s">
        <v>9</v>
      </c>
    </row>
    <row r="16446" spans="1:7" x14ac:dyDescent="0.35">
      <c r="A16446">
        <v>6527</v>
      </c>
      <c r="B16446" s="1">
        <v>46009</v>
      </c>
      <c r="C16446" t="s">
        <v>24</v>
      </c>
      <c r="D16446" s="2">
        <v>0</v>
      </c>
      <c r="E16446" s="2">
        <v>4336.2299999999996</v>
      </c>
      <c r="F16446" t="s">
        <v>13</v>
      </c>
      <c r="G16446" t="s">
        <v>9</v>
      </c>
    </row>
    <row r="16447" spans="1:7" x14ac:dyDescent="0.35">
      <c r="A16447">
        <v>6528</v>
      </c>
      <c r="B16447" s="1">
        <v>46009</v>
      </c>
      <c r="C16447" t="s">
        <v>24</v>
      </c>
      <c r="D16447" s="2">
        <v>639.07000000000005</v>
      </c>
      <c r="E16447" s="2">
        <v>0</v>
      </c>
      <c r="F16447" t="s">
        <v>8</v>
      </c>
      <c r="G16447" t="s">
        <v>9</v>
      </c>
    </row>
    <row r="16448" spans="1:7" x14ac:dyDescent="0.35">
      <c r="A16448">
        <v>6528</v>
      </c>
      <c r="B16448" s="1">
        <v>46009</v>
      </c>
      <c r="C16448" t="s">
        <v>24</v>
      </c>
      <c r="D16448" s="2">
        <v>0</v>
      </c>
      <c r="E16448" s="2">
        <v>639.07000000000005</v>
      </c>
      <c r="F16448" t="s">
        <v>13</v>
      </c>
      <c r="G16448" t="s">
        <v>9</v>
      </c>
    </row>
    <row r="16449" spans="1:7" x14ac:dyDescent="0.35">
      <c r="A16449">
        <v>6529</v>
      </c>
      <c r="B16449" s="1">
        <v>46009</v>
      </c>
      <c r="C16449" t="s">
        <v>24</v>
      </c>
      <c r="D16449" s="2">
        <v>1307.06</v>
      </c>
      <c r="E16449" s="2">
        <v>0</v>
      </c>
      <c r="F16449" t="s">
        <v>8</v>
      </c>
      <c r="G16449" t="s">
        <v>9</v>
      </c>
    </row>
    <row r="16450" spans="1:7" x14ac:dyDescent="0.35">
      <c r="A16450">
        <v>6529</v>
      </c>
      <c r="B16450" s="1">
        <v>46009</v>
      </c>
      <c r="C16450" t="s">
        <v>24</v>
      </c>
      <c r="D16450" s="2">
        <v>0</v>
      </c>
      <c r="E16450" s="2">
        <v>1307.06</v>
      </c>
      <c r="F16450" t="s">
        <v>13</v>
      </c>
      <c r="G16450" t="s">
        <v>9</v>
      </c>
    </row>
    <row r="16451" spans="1:7" x14ac:dyDescent="0.35">
      <c r="A16451">
        <v>6530</v>
      </c>
      <c r="B16451" s="1">
        <v>46009</v>
      </c>
      <c r="C16451" t="s">
        <v>24</v>
      </c>
      <c r="D16451" s="2">
        <v>413.5</v>
      </c>
      <c r="E16451" s="2">
        <v>0</v>
      </c>
      <c r="F16451" t="s">
        <v>8</v>
      </c>
      <c r="G16451" t="s">
        <v>9</v>
      </c>
    </row>
    <row r="16452" spans="1:7" x14ac:dyDescent="0.35">
      <c r="A16452">
        <v>6530</v>
      </c>
      <c r="B16452" s="1">
        <v>46009</v>
      </c>
      <c r="C16452" t="s">
        <v>24</v>
      </c>
      <c r="D16452" s="2">
        <v>0</v>
      </c>
      <c r="E16452" s="2">
        <v>413.5</v>
      </c>
      <c r="F16452" t="s">
        <v>13</v>
      </c>
      <c r="G16452" t="s">
        <v>9</v>
      </c>
    </row>
    <row r="16453" spans="1:7" x14ac:dyDescent="0.35">
      <c r="A16453">
        <v>6531</v>
      </c>
      <c r="B16453" s="1">
        <v>46009</v>
      </c>
      <c r="C16453" t="s">
        <v>24</v>
      </c>
      <c r="D16453" s="2">
        <v>2284.52</v>
      </c>
      <c r="E16453" s="2">
        <v>0</v>
      </c>
      <c r="F16453" t="s">
        <v>8</v>
      </c>
      <c r="G16453" t="s">
        <v>9</v>
      </c>
    </row>
    <row r="16454" spans="1:7" x14ac:dyDescent="0.35">
      <c r="A16454">
        <v>6531</v>
      </c>
      <c r="B16454" s="1">
        <v>46009</v>
      </c>
      <c r="C16454" t="s">
        <v>24</v>
      </c>
      <c r="D16454" s="2">
        <v>0</v>
      </c>
      <c r="E16454" s="2">
        <v>2284.52</v>
      </c>
      <c r="F16454" t="s">
        <v>13</v>
      </c>
      <c r="G16454" t="s">
        <v>9</v>
      </c>
    </row>
    <row r="16455" spans="1:7" x14ac:dyDescent="0.35">
      <c r="A16455">
        <v>6532</v>
      </c>
      <c r="B16455" s="1">
        <v>46009</v>
      </c>
      <c r="C16455" t="s">
        <v>25</v>
      </c>
      <c r="D16455" s="2">
        <v>6723.2</v>
      </c>
      <c r="E16455" s="2">
        <v>0</v>
      </c>
      <c r="F16455" t="s">
        <v>26</v>
      </c>
      <c r="G16455" t="s">
        <v>20</v>
      </c>
    </row>
    <row r="16456" spans="1:7" x14ac:dyDescent="0.35">
      <c r="A16456">
        <v>6532</v>
      </c>
      <c r="B16456" s="1">
        <v>46009</v>
      </c>
      <c r="C16456" t="s">
        <v>25</v>
      </c>
      <c r="D16456" s="2">
        <v>504.24</v>
      </c>
      <c r="E16456" s="2">
        <v>0</v>
      </c>
      <c r="F16456" t="s">
        <v>27</v>
      </c>
      <c r="G16456" t="s">
        <v>9</v>
      </c>
    </row>
    <row r="16457" spans="1:7" x14ac:dyDescent="0.35">
      <c r="A16457">
        <v>6532</v>
      </c>
      <c r="B16457" s="1">
        <v>46009</v>
      </c>
      <c r="C16457" t="s">
        <v>25</v>
      </c>
      <c r="D16457" s="2">
        <v>0</v>
      </c>
      <c r="E16457" s="2">
        <v>7227.44</v>
      </c>
      <c r="F16457" t="s">
        <v>28</v>
      </c>
      <c r="G16457" t="s">
        <v>17</v>
      </c>
    </row>
    <row r="16458" spans="1:7" x14ac:dyDescent="0.35">
      <c r="A16458">
        <v>6533</v>
      </c>
      <c r="B16458" s="1">
        <v>46009</v>
      </c>
      <c r="C16458" t="s">
        <v>25</v>
      </c>
      <c r="D16458" s="2">
        <v>952.02</v>
      </c>
      <c r="E16458" s="2">
        <v>0</v>
      </c>
      <c r="F16458" t="s">
        <v>26</v>
      </c>
      <c r="G16458" t="s">
        <v>20</v>
      </c>
    </row>
    <row r="16459" spans="1:7" x14ac:dyDescent="0.35">
      <c r="A16459">
        <v>6533</v>
      </c>
      <c r="B16459" s="1">
        <v>46009</v>
      </c>
      <c r="C16459" t="s">
        <v>25</v>
      </c>
      <c r="D16459" s="2">
        <v>71.400000000000006</v>
      </c>
      <c r="E16459" s="2">
        <v>0</v>
      </c>
      <c r="F16459" t="s">
        <v>27</v>
      </c>
      <c r="G16459" t="s">
        <v>9</v>
      </c>
    </row>
    <row r="16460" spans="1:7" x14ac:dyDescent="0.35">
      <c r="A16460">
        <v>6533</v>
      </c>
      <c r="B16460" s="1">
        <v>46009</v>
      </c>
      <c r="C16460" t="s">
        <v>25</v>
      </c>
      <c r="D16460" s="2">
        <v>0</v>
      </c>
      <c r="E16460" s="2">
        <v>1023.42</v>
      </c>
      <c r="F16460" t="s">
        <v>28</v>
      </c>
      <c r="G16460" t="s">
        <v>17</v>
      </c>
    </row>
    <row r="16461" spans="1:7" x14ac:dyDescent="0.35">
      <c r="A16461">
        <v>6534</v>
      </c>
      <c r="B16461" s="1">
        <v>46009</v>
      </c>
      <c r="C16461" t="s">
        <v>29</v>
      </c>
      <c r="D16461" s="2">
        <v>3868.8</v>
      </c>
      <c r="E16461" s="2">
        <v>0</v>
      </c>
      <c r="F16461" t="s">
        <v>28</v>
      </c>
      <c r="G16461" t="s">
        <v>17</v>
      </c>
    </row>
    <row r="16462" spans="1:7" x14ac:dyDescent="0.35">
      <c r="A16462">
        <v>6534</v>
      </c>
      <c r="B16462" s="1">
        <v>46009</v>
      </c>
      <c r="C16462" t="s">
        <v>29</v>
      </c>
      <c r="D16462" s="2">
        <v>0</v>
      </c>
      <c r="E16462" s="2">
        <v>3868.8</v>
      </c>
      <c r="F16462" t="s">
        <v>8</v>
      </c>
      <c r="G16462" t="s">
        <v>9</v>
      </c>
    </row>
    <row r="16463" spans="1:7" x14ac:dyDescent="0.35">
      <c r="A16463">
        <v>6535</v>
      </c>
      <c r="B16463" s="1">
        <v>46009</v>
      </c>
      <c r="C16463" t="s">
        <v>29</v>
      </c>
      <c r="D16463" s="2">
        <v>1935.04</v>
      </c>
      <c r="E16463" s="2">
        <v>0</v>
      </c>
      <c r="F16463" t="s">
        <v>28</v>
      </c>
      <c r="G16463" t="s">
        <v>17</v>
      </c>
    </row>
    <row r="16464" spans="1:7" x14ac:dyDescent="0.35">
      <c r="A16464">
        <v>6535</v>
      </c>
      <c r="B16464" s="1">
        <v>46009</v>
      </c>
      <c r="C16464" t="s">
        <v>29</v>
      </c>
      <c r="D16464" s="2">
        <v>0</v>
      </c>
      <c r="E16464" s="2">
        <v>1935.04</v>
      </c>
      <c r="F16464" t="s">
        <v>8</v>
      </c>
      <c r="G16464" t="s">
        <v>9</v>
      </c>
    </row>
    <row r="16465" spans="1:7" x14ac:dyDescent="0.35">
      <c r="A16465">
        <v>6536</v>
      </c>
      <c r="B16465" s="1">
        <v>46010</v>
      </c>
      <c r="C16465" t="s">
        <v>12</v>
      </c>
      <c r="D16465" s="2">
        <v>1875.59</v>
      </c>
      <c r="E16465" s="2">
        <v>0</v>
      </c>
      <c r="F16465" t="s">
        <v>13</v>
      </c>
      <c r="G16465" t="s">
        <v>9</v>
      </c>
    </row>
    <row r="16466" spans="1:7" x14ac:dyDescent="0.35">
      <c r="A16466">
        <v>6536</v>
      </c>
      <c r="B16466" s="1">
        <v>46010</v>
      </c>
      <c r="C16466" t="s">
        <v>12</v>
      </c>
      <c r="D16466" s="2">
        <v>0</v>
      </c>
      <c r="E16466" s="2">
        <v>1744.73</v>
      </c>
      <c r="F16466" t="s">
        <v>14</v>
      </c>
      <c r="G16466" t="s">
        <v>15</v>
      </c>
    </row>
    <row r="16467" spans="1:7" x14ac:dyDescent="0.35">
      <c r="A16467">
        <v>6536</v>
      </c>
      <c r="B16467" s="1">
        <v>46010</v>
      </c>
      <c r="C16467" t="s">
        <v>12</v>
      </c>
      <c r="D16467" s="2">
        <v>0</v>
      </c>
      <c r="E16467" s="2">
        <v>130.86000000000001</v>
      </c>
      <c r="F16467" t="s">
        <v>16</v>
      </c>
      <c r="G16467" t="s">
        <v>17</v>
      </c>
    </row>
    <row r="16468" spans="1:7" x14ac:dyDescent="0.35">
      <c r="A16468">
        <v>6537</v>
      </c>
      <c r="B16468" s="1">
        <v>46010</v>
      </c>
      <c r="C16468" t="s">
        <v>12</v>
      </c>
      <c r="D16468" s="2">
        <v>3327</v>
      </c>
      <c r="E16468" s="2">
        <v>0</v>
      </c>
      <c r="F16468" t="s">
        <v>13</v>
      </c>
      <c r="G16468" t="s">
        <v>9</v>
      </c>
    </row>
    <row r="16469" spans="1:7" x14ac:dyDescent="0.35">
      <c r="A16469">
        <v>6537</v>
      </c>
      <c r="B16469" s="1">
        <v>46010</v>
      </c>
      <c r="C16469" t="s">
        <v>12</v>
      </c>
      <c r="D16469" s="2">
        <v>0</v>
      </c>
      <c r="E16469" s="2">
        <v>3094.9</v>
      </c>
      <c r="F16469" t="s">
        <v>14</v>
      </c>
      <c r="G16469" t="s">
        <v>15</v>
      </c>
    </row>
    <row r="16470" spans="1:7" x14ac:dyDescent="0.35">
      <c r="A16470">
        <v>6537</v>
      </c>
      <c r="B16470" s="1">
        <v>46010</v>
      </c>
      <c r="C16470" t="s">
        <v>12</v>
      </c>
      <c r="D16470" s="2">
        <v>0</v>
      </c>
      <c r="E16470" s="2">
        <v>232.1</v>
      </c>
      <c r="F16470" t="s">
        <v>16</v>
      </c>
      <c r="G16470" t="s">
        <v>17</v>
      </c>
    </row>
    <row r="16471" spans="1:7" x14ac:dyDescent="0.35">
      <c r="A16471">
        <v>6538</v>
      </c>
      <c r="B16471" s="1">
        <v>46010</v>
      </c>
      <c r="C16471" t="s">
        <v>12</v>
      </c>
      <c r="D16471" s="2">
        <v>2492.25</v>
      </c>
      <c r="E16471" s="2">
        <v>0</v>
      </c>
      <c r="F16471" t="s">
        <v>13</v>
      </c>
      <c r="G16471" t="s">
        <v>9</v>
      </c>
    </row>
    <row r="16472" spans="1:7" x14ac:dyDescent="0.35">
      <c r="A16472">
        <v>6538</v>
      </c>
      <c r="B16472" s="1">
        <v>46010</v>
      </c>
      <c r="C16472" t="s">
        <v>12</v>
      </c>
      <c r="D16472" s="2">
        <v>0</v>
      </c>
      <c r="E16472" s="2">
        <v>2318.37</v>
      </c>
      <c r="F16472" t="s">
        <v>14</v>
      </c>
      <c r="G16472" t="s">
        <v>15</v>
      </c>
    </row>
    <row r="16473" spans="1:7" x14ac:dyDescent="0.35">
      <c r="A16473">
        <v>6538</v>
      </c>
      <c r="B16473" s="1">
        <v>46010</v>
      </c>
      <c r="C16473" t="s">
        <v>12</v>
      </c>
      <c r="D16473" s="2">
        <v>0</v>
      </c>
      <c r="E16473" s="2">
        <v>173.88</v>
      </c>
      <c r="F16473" t="s">
        <v>16</v>
      </c>
      <c r="G16473" t="s">
        <v>17</v>
      </c>
    </row>
    <row r="16474" spans="1:7" x14ac:dyDescent="0.35">
      <c r="A16474">
        <v>6539</v>
      </c>
      <c r="B16474" s="1">
        <v>46010</v>
      </c>
      <c r="C16474" t="s">
        <v>12</v>
      </c>
      <c r="D16474" s="2">
        <v>3766.86</v>
      </c>
      <c r="E16474" s="2">
        <v>0</v>
      </c>
      <c r="F16474" t="s">
        <v>13</v>
      </c>
      <c r="G16474" t="s">
        <v>9</v>
      </c>
    </row>
    <row r="16475" spans="1:7" x14ac:dyDescent="0.35">
      <c r="A16475">
        <v>6539</v>
      </c>
      <c r="B16475" s="1">
        <v>46010</v>
      </c>
      <c r="C16475" t="s">
        <v>12</v>
      </c>
      <c r="D16475" s="2">
        <v>0</v>
      </c>
      <c r="E16475" s="2">
        <v>3504.05</v>
      </c>
      <c r="F16475" t="s">
        <v>14</v>
      </c>
      <c r="G16475" t="s">
        <v>15</v>
      </c>
    </row>
    <row r="16476" spans="1:7" x14ac:dyDescent="0.35">
      <c r="A16476">
        <v>6539</v>
      </c>
      <c r="B16476" s="1">
        <v>46010</v>
      </c>
      <c r="C16476" t="s">
        <v>12</v>
      </c>
      <c r="D16476" s="2">
        <v>0</v>
      </c>
      <c r="E16476" s="2">
        <v>262.81</v>
      </c>
      <c r="F16476" t="s">
        <v>16</v>
      </c>
      <c r="G16476" t="s">
        <v>17</v>
      </c>
    </row>
    <row r="16477" spans="1:7" x14ac:dyDescent="0.35">
      <c r="A16477">
        <v>6540</v>
      </c>
      <c r="B16477" s="1">
        <v>46010</v>
      </c>
      <c r="C16477" t="s">
        <v>12</v>
      </c>
      <c r="D16477" s="2">
        <v>1850.76</v>
      </c>
      <c r="E16477" s="2">
        <v>0</v>
      </c>
      <c r="F16477" t="s">
        <v>13</v>
      </c>
      <c r="G16477" t="s">
        <v>9</v>
      </c>
    </row>
    <row r="16478" spans="1:7" x14ac:dyDescent="0.35">
      <c r="A16478">
        <v>6540</v>
      </c>
      <c r="B16478" s="1">
        <v>46010</v>
      </c>
      <c r="C16478" t="s">
        <v>12</v>
      </c>
      <c r="D16478" s="2">
        <v>0</v>
      </c>
      <c r="E16478" s="2">
        <v>1721.64</v>
      </c>
      <c r="F16478" t="s">
        <v>14</v>
      </c>
      <c r="G16478" t="s">
        <v>15</v>
      </c>
    </row>
    <row r="16479" spans="1:7" x14ac:dyDescent="0.35">
      <c r="A16479">
        <v>6540</v>
      </c>
      <c r="B16479" s="1">
        <v>46010</v>
      </c>
      <c r="C16479" t="s">
        <v>12</v>
      </c>
      <c r="D16479" s="2">
        <v>0</v>
      </c>
      <c r="E16479" s="2">
        <v>129.12</v>
      </c>
      <c r="F16479" t="s">
        <v>16</v>
      </c>
      <c r="G16479" t="s">
        <v>17</v>
      </c>
    </row>
    <row r="16480" spans="1:7" x14ac:dyDescent="0.35">
      <c r="A16480">
        <v>6541</v>
      </c>
      <c r="B16480" s="1">
        <v>46010</v>
      </c>
      <c r="C16480" t="s">
        <v>12</v>
      </c>
      <c r="D16480" s="2">
        <v>2708.93</v>
      </c>
      <c r="E16480" s="2">
        <v>0</v>
      </c>
      <c r="F16480" t="s">
        <v>13</v>
      </c>
      <c r="G16480" t="s">
        <v>9</v>
      </c>
    </row>
    <row r="16481" spans="1:7" x14ac:dyDescent="0.35">
      <c r="A16481">
        <v>6541</v>
      </c>
      <c r="B16481" s="1">
        <v>46010</v>
      </c>
      <c r="C16481" t="s">
        <v>12</v>
      </c>
      <c r="D16481" s="2">
        <v>0</v>
      </c>
      <c r="E16481" s="2">
        <v>2519.9299999999998</v>
      </c>
      <c r="F16481" t="s">
        <v>14</v>
      </c>
      <c r="G16481" t="s">
        <v>15</v>
      </c>
    </row>
    <row r="16482" spans="1:7" x14ac:dyDescent="0.35">
      <c r="A16482">
        <v>6541</v>
      </c>
      <c r="B16482" s="1">
        <v>46010</v>
      </c>
      <c r="C16482" t="s">
        <v>12</v>
      </c>
      <c r="D16482" s="2">
        <v>0</v>
      </c>
      <c r="E16482" s="2">
        <v>189</v>
      </c>
      <c r="F16482" t="s">
        <v>16</v>
      </c>
      <c r="G16482" t="s">
        <v>17</v>
      </c>
    </row>
    <row r="16483" spans="1:7" x14ac:dyDescent="0.35">
      <c r="A16483">
        <v>6542</v>
      </c>
      <c r="B16483" s="1">
        <v>46010</v>
      </c>
      <c r="C16483" t="s">
        <v>12</v>
      </c>
      <c r="D16483" s="2">
        <v>2042.01</v>
      </c>
      <c r="E16483" s="2">
        <v>0</v>
      </c>
      <c r="F16483" t="s">
        <v>13</v>
      </c>
      <c r="G16483" t="s">
        <v>9</v>
      </c>
    </row>
    <row r="16484" spans="1:7" x14ac:dyDescent="0.35">
      <c r="A16484">
        <v>6542</v>
      </c>
      <c r="B16484" s="1">
        <v>46010</v>
      </c>
      <c r="C16484" t="s">
        <v>12</v>
      </c>
      <c r="D16484" s="2">
        <v>0</v>
      </c>
      <c r="E16484" s="2">
        <v>1899.54</v>
      </c>
      <c r="F16484" t="s">
        <v>14</v>
      </c>
      <c r="G16484" t="s">
        <v>15</v>
      </c>
    </row>
    <row r="16485" spans="1:7" x14ac:dyDescent="0.35">
      <c r="A16485">
        <v>6542</v>
      </c>
      <c r="B16485" s="1">
        <v>46010</v>
      </c>
      <c r="C16485" t="s">
        <v>12</v>
      </c>
      <c r="D16485" s="2">
        <v>0</v>
      </c>
      <c r="E16485" s="2">
        <v>142.47</v>
      </c>
      <c r="F16485" t="s">
        <v>16</v>
      </c>
      <c r="G16485" t="s">
        <v>17</v>
      </c>
    </row>
    <row r="16486" spans="1:7" x14ac:dyDescent="0.35">
      <c r="A16486">
        <v>6543</v>
      </c>
      <c r="B16486" s="1">
        <v>46010</v>
      </c>
      <c r="C16486" t="s">
        <v>12</v>
      </c>
      <c r="D16486" s="2">
        <v>2318.1999999999998</v>
      </c>
      <c r="E16486" s="2">
        <v>0</v>
      </c>
      <c r="F16486" t="s">
        <v>13</v>
      </c>
      <c r="G16486" t="s">
        <v>9</v>
      </c>
    </row>
    <row r="16487" spans="1:7" x14ac:dyDescent="0.35">
      <c r="A16487">
        <v>6543</v>
      </c>
      <c r="B16487" s="1">
        <v>46010</v>
      </c>
      <c r="C16487" t="s">
        <v>12</v>
      </c>
      <c r="D16487" s="2">
        <v>0</v>
      </c>
      <c r="E16487" s="2">
        <v>2156.46</v>
      </c>
      <c r="F16487" t="s">
        <v>14</v>
      </c>
      <c r="G16487" t="s">
        <v>15</v>
      </c>
    </row>
    <row r="16488" spans="1:7" x14ac:dyDescent="0.35">
      <c r="A16488">
        <v>6543</v>
      </c>
      <c r="B16488" s="1">
        <v>46010</v>
      </c>
      <c r="C16488" t="s">
        <v>12</v>
      </c>
      <c r="D16488" s="2">
        <v>0</v>
      </c>
      <c r="E16488" s="2">
        <v>161.74</v>
      </c>
      <c r="F16488" t="s">
        <v>16</v>
      </c>
      <c r="G16488" t="s">
        <v>17</v>
      </c>
    </row>
    <row r="16489" spans="1:7" x14ac:dyDescent="0.35">
      <c r="A16489">
        <v>6544</v>
      </c>
      <c r="B16489" s="1">
        <v>46010</v>
      </c>
      <c r="C16489" t="s">
        <v>12</v>
      </c>
      <c r="D16489" s="2">
        <v>981</v>
      </c>
      <c r="E16489" s="2">
        <v>0</v>
      </c>
      <c r="F16489" t="s">
        <v>13</v>
      </c>
      <c r="G16489" t="s">
        <v>9</v>
      </c>
    </row>
    <row r="16490" spans="1:7" x14ac:dyDescent="0.35">
      <c r="A16490">
        <v>6544</v>
      </c>
      <c r="B16490" s="1">
        <v>46010</v>
      </c>
      <c r="C16490" t="s">
        <v>12</v>
      </c>
      <c r="D16490" s="2">
        <v>0</v>
      </c>
      <c r="E16490" s="2">
        <v>912.56</v>
      </c>
      <c r="F16490" t="s">
        <v>14</v>
      </c>
      <c r="G16490" t="s">
        <v>15</v>
      </c>
    </row>
    <row r="16491" spans="1:7" x14ac:dyDescent="0.35">
      <c r="A16491">
        <v>6544</v>
      </c>
      <c r="B16491" s="1">
        <v>46010</v>
      </c>
      <c r="C16491" t="s">
        <v>12</v>
      </c>
      <c r="D16491" s="2">
        <v>0</v>
      </c>
      <c r="E16491" s="2">
        <v>68.44</v>
      </c>
      <c r="F16491" t="s">
        <v>16</v>
      </c>
      <c r="G16491" t="s">
        <v>17</v>
      </c>
    </row>
    <row r="16492" spans="1:7" x14ac:dyDescent="0.35">
      <c r="A16492">
        <v>6545</v>
      </c>
      <c r="B16492" s="1">
        <v>46010</v>
      </c>
      <c r="C16492" t="s">
        <v>12</v>
      </c>
      <c r="D16492" s="2">
        <v>533.29</v>
      </c>
      <c r="E16492" s="2">
        <v>0</v>
      </c>
      <c r="F16492" t="s">
        <v>13</v>
      </c>
      <c r="G16492" t="s">
        <v>9</v>
      </c>
    </row>
    <row r="16493" spans="1:7" x14ac:dyDescent="0.35">
      <c r="A16493">
        <v>6545</v>
      </c>
      <c r="B16493" s="1">
        <v>46010</v>
      </c>
      <c r="C16493" t="s">
        <v>12</v>
      </c>
      <c r="D16493" s="2">
        <v>0</v>
      </c>
      <c r="E16493" s="2">
        <v>496.09</v>
      </c>
      <c r="F16493" t="s">
        <v>14</v>
      </c>
      <c r="G16493" t="s">
        <v>15</v>
      </c>
    </row>
    <row r="16494" spans="1:7" x14ac:dyDescent="0.35">
      <c r="A16494">
        <v>6545</v>
      </c>
      <c r="B16494" s="1">
        <v>46010</v>
      </c>
      <c r="C16494" t="s">
        <v>12</v>
      </c>
      <c r="D16494" s="2">
        <v>0</v>
      </c>
      <c r="E16494" s="2">
        <v>37.200000000000003</v>
      </c>
      <c r="F16494" t="s">
        <v>16</v>
      </c>
      <c r="G16494" t="s">
        <v>17</v>
      </c>
    </row>
    <row r="16495" spans="1:7" x14ac:dyDescent="0.35">
      <c r="A16495">
        <v>6546</v>
      </c>
      <c r="B16495" s="1">
        <v>46010</v>
      </c>
      <c r="C16495" t="s">
        <v>12</v>
      </c>
      <c r="D16495" s="2">
        <v>1778.25</v>
      </c>
      <c r="E16495" s="2">
        <v>0</v>
      </c>
      <c r="F16495" t="s">
        <v>13</v>
      </c>
      <c r="G16495" t="s">
        <v>9</v>
      </c>
    </row>
    <row r="16496" spans="1:7" x14ac:dyDescent="0.35">
      <c r="A16496">
        <v>6546</v>
      </c>
      <c r="B16496" s="1">
        <v>46010</v>
      </c>
      <c r="C16496" t="s">
        <v>12</v>
      </c>
      <c r="D16496" s="2">
        <v>0</v>
      </c>
      <c r="E16496" s="2">
        <v>1654.19</v>
      </c>
      <c r="F16496" t="s">
        <v>14</v>
      </c>
      <c r="G16496" t="s">
        <v>15</v>
      </c>
    </row>
    <row r="16497" spans="1:7" x14ac:dyDescent="0.35">
      <c r="A16497">
        <v>6546</v>
      </c>
      <c r="B16497" s="1">
        <v>46010</v>
      </c>
      <c r="C16497" t="s">
        <v>12</v>
      </c>
      <c r="D16497" s="2">
        <v>0</v>
      </c>
      <c r="E16497" s="2">
        <v>124.06</v>
      </c>
      <c r="F16497" t="s">
        <v>16</v>
      </c>
      <c r="G16497" t="s">
        <v>17</v>
      </c>
    </row>
    <row r="16498" spans="1:7" x14ac:dyDescent="0.35">
      <c r="A16498">
        <v>6547</v>
      </c>
      <c r="B16498" s="1">
        <v>46010</v>
      </c>
      <c r="C16498" t="s">
        <v>12</v>
      </c>
      <c r="D16498" s="2">
        <v>3647.32</v>
      </c>
      <c r="E16498" s="2">
        <v>0</v>
      </c>
      <c r="F16498" t="s">
        <v>13</v>
      </c>
      <c r="G16498" t="s">
        <v>9</v>
      </c>
    </row>
    <row r="16499" spans="1:7" x14ac:dyDescent="0.35">
      <c r="A16499">
        <v>6547</v>
      </c>
      <c r="B16499" s="1">
        <v>46010</v>
      </c>
      <c r="C16499" t="s">
        <v>12</v>
      </c>
      <c r="D16499" s="2">
        <v>0</v>
      </c>
      <c r="E16499" s="2">
        <v>3392.86</v>
      </c>
      <c r="F16499" t="s">
        <v>14</v>
      </c>
      <c r="G16499" t="s">
        <v>15</v>
      </c>
    </row>
    <row r="16500" spans="1:7" x14ac:dyDescent="0.35">
      <c r="A16500">
        <v>6547</v>
      </c>
      <c r="B16500" s="1">
        <v>46010</v>
      </c>
      <c r="C16500" t="s">
        <v>12</v>
      </c>
      <c r="D16500" s="2">
        <v>0</v>
      </c>
      <c r="E16500" s="2">
        <v>254.46</v>
      </c>
      <c r="F16500" t="s">
        <v>16</v>
      </c>
      <c r="G16500" t="s">
        <v>17</v>
      </c>
    </row>
    <row r="16501" spans="1:7" x14ac:dyDescent="0.35">
      <c r="A16501">
        <v>6548</v>
      </c>
      <c r="B16501" s="1">
        <v>46010</v>
      </c>
      <c r="C16501" t="s">
        <v>12</v>
      </c>
      <c r="D16501" s="2">
        <v>3607.53</v>
      </c>
      <c r="E16501" s="2">
        <v>0</v>
      </c>
      <c r="F16501" t="s">
        <v>13</v>
      </c>
      <c r="G16501" t="s">
        <v>9</v>
      </c>
    </row>
    <row r="16502" spans="1:7" x14ac:dyDescent="0.35">
      <c r="A16502">
        <v>6548</v>
      </c>
      <c r="B16502" s="1">
        <v>46010</v>
      </c>
      <c r="C16502" t="s">
        <v>12</v>
      </c>
      <c r="D16502" s="2">
        <v>0</v>
      </c>
      <c r="E16502" s="2">
        <v>3355.85</v>
      </c>
      <c r="F16502" t="s">
        <v>14</v>
      </c>
      <c r="G16502" t="s">
        <v>15</v>
      </c>
    </row>
    <row r="16503" spans="1:7" x14ac:dyDescent="0.35">
      <c r="A16503">
        <v>6548</v>
      </c>
      <c r="B16503" s="1">
        <v>46010</v>
      </c>
      <c r="C16503" t="s">
        <v>12</v>
      </c>
      <c r="D16503" s="2">
        <v>0</v>
      </c>
      <c r="E16503" s="2">
        <v>251.68</v>
      </c>
      <c r="F16503" t="s">
        <v>16</v>
      </c>
      <c r="G16503" t="s">
        <v>17</v>
      </c>
    </row>
    <row r="16504" spans="1:7" x14ac:dyDescent="0.35">
      <c r="A16504">
        <v>6549</v>
      </c>
      <c r="B16504" s="1">
        <v>46010</v>
      </c>
      <c r="C16504" t="s">
        <v>12</v>
      </c>
      <c r="D16504" s="2">
        <v>1478.08</v>
      </c>
      <c r="E16504" s="2">
        <v>0</v>
      </c>
      <c r="F16504" t="s">
        <v>13</v>
      </c>
      <c r="G16504" t="s">
        <v>9</v>
      </c>
    </row>
    <row r="16505" spans="1:7" x14ac:dyDescent="0.35">
      <c r="A16505">
        <v>6549</v>
      </c>
      <c r="B16505" s="1">
        <v>46010</v>
      </c>
      <c r="C16505" t="s">
        <v>12</v>
      </c>
      <c r="D16505" s="2">
        <v>0</v>
      </c>
      <c r="E16505" s="2">
        <v>1374.96</v>
      </c>
      <c r="F16505" t="s">
        <v>14</v>
      </c>
      <c r="G16505" t="s">
        <v>15</v>
      </c>
    </row>
    <row r="16506" spans="1:7" x14ac:dyDescent="0.35">
      <c r="A16506">
        <v>6549</v>
      </c>
      <c r="B16506" s="1">
        <v>46010</v>
      </c>
      <c r="C16506" t="s">
        <v>12</v>
      </c>
      <c r="D16506" s="2">
        <v>0</v>
      </c>
      <c r="E16506" s="2">
        <v>103.12</v>
      </c>
      <c r="F16506" t="s">
        <v>16</v>
      </c>
      <c r="G16506" t="s">
        <v>17</v>
      </c>
    </row>
    <row r="16507" spans="1:7" x14ac:dyDescent="0.35">
      <c r="A16507">
        <v>6550</v>
      </c>
      <c r="B16507" s="1">
        <v>46010</v>
      </c>
      <c r="C16507" t="s">
        <v>12</v>
      </c>
      <c r="D16507" s="2">
        <v>360.68</v>
      </c>
      <c r="E16507" s="2">
        <v>0</v>
      </c>
      <c r="F16507" t="s">
        <v>13</v>
      </c>
      <c r="G16507" t="s">
        <v>9</v>
      </c>
    </row>
    <row r="16508" spans="1:7" x14ac:dyDescent="0.35">
      <c r="A16508">
        <v>6550</v>
      </c>
      <c r="B16508" s="1">
        <v>46010</v>
      </c>
      <c r="C16508" t="s">
        <v>12</v>
      </c>
      <c r="D16508" s="2">
        <v>0</v>
      </c>
      <c r="E16508" s="2">
        <v>335.52</v>
      </c>
      <c r="F16508" t="s">
        <v>14</v>
      </c>
      <c r="G16508" t="s">
        <v>15</v>
      </c>
    </row>
    <row r="16509" spans="1:7" x14ac:dyDescent="0.35">
      <c r="A16509">
        <v>6550</v>
      </c>
      <c r="B16509" s="1">
        <v>46010</v>
      </c>
      <c r="C16509" t="s">
        <v>12</v>
      </c>
      <c r="D16509" s="2">
        <v>0</v>
      </c>
      <c r="E16509" s="2">
        <v>25.16</v>
      </c>
      <c r="F16509" t="s">
        <v>16</v>
      </c>
      <c r="G16509" t="s">
        <v>17</v>
      </c>
    </row>
    <row r="16510" spans="1:7" x14ac:dyDescent="0.35">
      <c r="A16510">
        <v>6551</v>
      </c>
      <c r="B16510" s="1">
        <v>46010</v>
      </c>
      <c r="C16510" t="s">
        <v>12</v>
      </c>
      <c r="D16510" s="2">
        <v>474.98</v>
      </c>
      <c r="E16510" s="2">
        <v>0</v>
      </c>
      <c r="F16510" t="s">
        <v>13</v>
      </c>
      <c r="G16510" t="s">
        <v>9</v>
      </c>
    </row>
    <row r="16511" spans="1:7" x14ac:dyDescent="0.35">
      <c r="A16511">
        <v>6551</v>
      </c>
      <c r="B16511" s="1">
        <v>46010</v>
      </c>
      <c r="C16511" t="s">
        <v>12</v>
      </c>
      <c r="D16511" s="2">
        <v>0</v>
      </c>
      <c r="E16511" s="2">
        <v>441.84</v>
      </c>
      <c r="F16511" t="s">
        <v>14</v>
      </c>
      <c r="G16511" t="s">
        <v>15</v>
      </c>
    </row>
    <row r="16512" spans="1:7" x14ac:dyDescent="0.35">
      <c r="A16512">
        <v>6551</v>
      </c>
      <c r="B16512" s="1">
        <v>46010</v>
      </c>
      <c r="C16512" t="s">
        <v>12</v>
      </c>
      <c r="D16512" s="2">
        <v>0</v>
      </c>
      <c r="E16512" s="2">
        <v>33.14</v>
      </c>
      <c r="F16512" t="s">
        <v>16</v>
      </c>
      <c r="G16512" t="s">
        <v>17</v>
      </c>
    </row>
    <row r="16513" spans="1:7" x14ac:dyDescent="0.35">
      <c r="A16513">
        <v>6552</v>
      </c>
      <c r="B16513" s="1">
        <v>46010</v>
      </c>
      <c r="C16513" t="s">
        <v>24</v>
      </c>
      <c r="D16513" s="2">
        <v>1252.31</v>
      </c>
      <c r="E16513" s="2">
        <v>0</v>
      </c>
      <c r="F16513" t="s">
        <v>8</v>
      </c>
      <c r="G16513" t="s">
        <v>9</v>
      </c>
    </row>
    <row r="16514" spans="1:7" x14ac:dyDescent="0.35">
      <c r="A16514">
        <v>6552</v>
      </c>
      <c r="B16514" s="1">
        <v>46010</v>
      </c>
      <c r="C16514" t="s">
        <v>24</v>
      </c>
      <c r="D16514" s="2">
        <v>0</v>
      </c>
      <c r="E16514" s="2">
        <v>1252.31</v>
      </c>
      <c r="F16514" t="s">
        <v>13</v>
      </c>
      <c r="G16514" t="s">
        <v>9</v>
      </c>
    </row>
    <row r="16515" spans="1:7" x14ac:dyDescent="0.35">
      <c r="A16515">
        <v>6553</v>
      </c>
      <c r="B16515" s="1">
        <v>46010</v>
      </c>
      <c r="C16515" t="s">
        <v>24</v>
      </c>
      <c r="D16515" s="2">
        <v>4551.66</v>
      </c>
      <c r="E16515" s="2">
        <v>0</v>
      </c>
      <c r="F16515" t="s">
        <v>8</v>
      </c>
      <c r="G16515" t="s">
        <v>9</v>
      </c>
    </row>
    <row r="16516" spans="1:7" x14ac:dyDescent="0.35">
      <c r="A16516">
        <v>6553</v>
      </c>
      <c r="B16516" s="1">
        <v>46010</v>
      </c>
      <c r="C16516" t="s">
        <v>24</v>
      </c>
      <c r="D16516" s="2">
        <v>0</v>
      </c>
      <c r="E16516" s="2">
        <v>4551.66</v>
      </c>
      <c r="F16516" t="s">
        <v>13</v>
      </c>
      <c r="G16516" t="s">
        <v>9</v>
      </c>
    </row>
    <row r="16517" spans="1:7" x14ac:dyDescent="0.35">
      <c r="A16517">
        <v>6554</v>
      </c>
      <c r="B16517" s="1">
        <v>46010</v>
      </c>
      <c r="C16517" t="s">
        <v>24</v>
      </c>
      <c r="D16517" s="2">
        <v>441.26</v>
      </c>
      <c r="E16517" s="2">
        <v>0</v>
      </c>
      <c r="F16517" t="s">
        <v>8</v>
      </c>
      <c r="G16517" t="s">
        <v>9</v>
      </c>
    </row>
    <row r="16518" spans="1:7" x14ac:dyDescent="0.35">
      <c r="A16518">
        <v>6554</v>
      </c>
      <c r="B16518" s="1">
        <v>46010</v>
      </c>
      <c r="C16518" t="s">
        <v>24</v>
      </c>
      <c r="D16518" s="2">
        <v>0</v>
      </c>
      <c r="E16518" s="2">
        <v>441.26</v>
      </c>
      <c r="F16518" t="s">
        <v>13</v>
      </c>
      <c r="G16518" t="s">
        <v>9</v>
      </c>
    </row>
    <row r="16519" spans="1:7" x14ac:dyDescent="0.35">
      <c r="A16519">
        <v>6555</v>
      </c>
      <c r="B16519" s="1">
        <v>46010</v>
      </c>
      <c r="C16519" t="s">
        <v>24</v>
      </c>
      <c r="D16519" s="2">
        <v>2877.24</v>
      </c>
      <c r="E16519" s="2">
        <v>0</v>
      </c>
      <c r="F16519" t="s">
        <v>8</v>
      </c>
      <c r="G16519" t="s">
        <v>9</v>
      </c>
    </row>
    <row r="16520" spans="1:7" x14ac:dyDescent="0.35">
      <c r="A16520">
        <v>6555</v>
      </c>
      <c r="B16520" s="1">
        <v>46010</v>
      </c>
      <c r="C16520" t="s">
        <v>24</v>
      </c>
      <c r="D16520" s="2">
        <v>0</v>
      </c>
      <c r="E16520" s="2">
        <v>2877.24</v>
      </c>
      <c r="F16520" t="s">
        <v>13</v>
      </c>
      <c r="G16520" t="s">
        <v>9</v>
      </c>
    </row>
    <row r="16521" spans="1:7" x14ac:dyDescent="0.35">
      <c r="A16521">
        <v>6556</v>
      </c>
      <c r="B16521" s="1">
        <v>46010</v>
      </c>
      <c r="C16521" t="s">
        <v>24</v>
      </c>
      <c r="D16521" s="2">
        <v>4544.6099999999997</v>
      </c>
      <c r="E16521" s="2">
        <v>0</v>
      </c>
      <c r="F16521" t="s">
        <v>8</v>
      </c>
      <c r="G16521" t="s">
        <v>9</v>
      </c>
    </row>
    <row r="16522" spans="1:7" x14ac:dyDescent="0.35">
      <c r="A16522">
        <v>6556</v>
      </c>
      <c r="B16522" s="1">
        <v>46010</v>
      </c>
      <c r="C16522" t="s">
        <v>24</v>
      </c>
      <c r="D16522" s="2">
        <v>0</v>
      </c>
      <c r="E16522" s="2">
        <v>4544.6099999999997</v>
      </c>
      <c r="F16522" t="s">
        <v>13</v>
      </c>
      <c r="G16522" t="s">
        <v>9</v>
      </c>
    </row>
    <row r="16523" spans="1:7" x14ac:dyDescent="0.35">
      <c r="A16523">
        <v>6557</v>
      </c>
      <c r="B16523" s="1">
        <v>46010</v>
      </c>
      <c r="C16523" t="s">
        <v>24</v>
      </c>
      <c r="D16523" s="2">
        <v>6659.07</v>
      </c>
      <c r="E16523" s="2">
        <v>0</v>
      </c>
      <c r="F16523" t="s">
        <v>8</v>
      </c>
      <c r="G16523" t="s">
        <v>9</v>
      </c>
    </row>
    <row r="16524" spans="1:7" x14ac:dyDescent="0.35">
      <c r="A16524">
        <v>6557</v>
      </c>
      <c r="B16524" s="1">
        <v>46010</v>
      </c>
      <c r="C16524" t="s">
        <v>24</v>
      </c>
      <c r="D16524" s="2">
        <v>0</v>
      </c>
      <c r="E16524" s="2">
        <v>6659.07</v>
      </c>
      <c r="F16524" t="s">
        <v>13</v>
      </c>
      <c r="G16524" t="s">
        <v>9</v>
      </c>
    </row>
    <row r="16525" spans="1:7" x14ac:dyDescent="0.35">
      <c r="A16525">
        <v>6558</v>
      </c>
      <c r="B16525" s="1">
        <v>46010</v>
      </c>
      <c r="C16525" t="s">
        <v>24</v>
      </c>
      <c r="D16525" s="2">
        <v>1156.52</v>
      </c>
      <c r="E16525" s="2">
        <v>0</v>
      </c>
      <c r="F16525" t="s">
        <v>8</v>
      </c>
      <c r="G16525" t="s">
        <v>9</v>
      </c>
    </row>
    <row r="16526" spans="1:7" x14ac:dyDescent="0.35">
      <c r="A16526">
        <v>6558</v>
      </c>
      <c r="B16526" s="1">
        <v>46010</v>
      </c>
      <c r="C16526" t="s">
        <v>24</v>
      </c>
      <c r="D16526" s="2">
        <v>0</v>
      </c>
      <c r="E16526" s="2">
        <v>1156.52</v>
      </c>
      <c r="F16526" t="s">
        <v>13</v>
      </c>
      <c r="G16526" t="s">
        <v>9</v>
      </c>
    </row>
    <row r="16527" spans="1:7" x14ac:dyDescent="0.35">
      <c r="A16527">
        <v>6559</v>
      </c>
      <c r="B16527" s="1">
        <v>46010</v>
      </c>
      <c r="C16527" t="s">
        <v>24</v>
      </c>
      <c r="D16527" s="2">
        <v>3563.37</v>
      </c>
      <c r="E16527" s="2">
        <v>0</v>
      </c>
      <c r="F16527" t="s">
        <v>8</v>
      </c>
      <c r="G16527" t="s">
        <v>9</v>
      </c>
    </row>
    <row r="16528" spans="1:7" x14ac:dyDescent="0.35">
      <c r="A16528">
        <v>6559</v>
      </c>
      <c r="B16528" s="1">
        <v>46010</v>
      </c>
      <c r="C16528" t="s">
        <v>24</v>
      </c>
      <c r="D16528" s="2">
        <v>0</v>
      </c>
      <c r="E16528" s="2">
        <v>3563.37</v>
      </c>
      <c r="F16528" t="s">
        <v>13</v>
      </c>
      <c r="G16528" t="s">
        <v>9</v>
      </c>
    </row>
    <row r="16529" spans="1:7" x14ac:dyDescent="0.35">
      <c r="A16529">
        <v>6560</v>
      </c>
      <c r="B16529" s="1">
        <v>46010</v>
      </c>
      <c r="C16529" t="s">
        <v>24</v>
      </c>
      <c r="D16529" s="2">
        <v>827.25</v>
      </c>
      <c r="E16529" s="2">
        <v>0</v>
      </c>
      <c r="F16529" t="s">
        <v>8</v>
      </c>
      <c r="G16529" t="s">
        <v>9</v>
      </c>
    </row>
    <row r="16530" spans="1:7" x14ac:dyDescent="0.35">
      <c r="A16530">
        <v>6560</v>
      </c>
      <c r="B16530" s="1">
        <v>46010</v>
      </c>
      <c r="C16530" t="s">
        <v>24</v>
      </c>
      <c r="D16530" s="2">
        <v>0</v>
      </c>
      <c r="E16530" s="2">
        <v>827.25</v>
      </c>
      <c r="F16530" t="s">
        <v>13</v>
      </c>
      <c r="G16530" t="s">
        <v>9</v>
      </c>
    </row>
    <row r="16531" spans="1:7" x14ac:dyDescent="0.35">
      <c r="A16531">
        <v>6561</v>
      </c>
      <c r="B16531" s="1">
        <v>46010</v>
      </c>
      <c r="C16531" t="s">
        <v>24</v>
      </c>
      <c r="D16531" s="2">
        <v>2832.38</v>
      </c>
      <c r="E16531" s="2">
        <v>0</v>
      </c>
      <c r="F16531" t="s">
        <v>8</v>
      </c>
      <c r="G16531" t="s">
        <v>9</v>
      </c>
    </row>
    <row r="16532" spans="1:7" x14ac:dyDescent="0.35">
      <c r="A16532">
        <v>6561</v>
      </c>
      <c r="B16532" s="1">
        <v>46010</v>
      </c>
      <c r="C16532" t="s">
        <v>24</v>
      </c>
      <c r="D16532" s="2">
        <v>0</v>
      </c>
      <c r="E16532" s="2">
        <v>2832.38</v>
      </c>
      <c r="F16532" t="s">
        <v>13</v>
      </c>
      <c r="G16532" t="s">
        <v>9</v>
      </c>
    </row>
    <row r="16533" spans="1:7" x14ac:dyDescent="0.35">
      <c r="A16533">
        <v>6562</v>
      </c>
      <c r="B16533" s="1">
        <v>46010</v>
      </c>
      <c r="C16533" t="s">
        <v>24</v>
      </c>
      <c r="D16533" s="2">
        <v>4131.42</v>
      </c>
      <c r="E16533" s="2">
        <v>0</v>
      </c>
      <c r="F16533" t="s">
        <v>8</v>
      </c>
      <c r="G16533" t="s">
        <v>9</v>
      </c>
    </row>
    <row r="16534" spans="1:7" x14ac:dyDescent="0.35">
      <c r="A16534">
        <v>6562</v>
      </c>
      <c r="B16534" s="1">
        <v>46010</v>
      </c>
      <c r="C16534" t="s">
        <v>24</v>
      </c>
      <c r="D16534" s="2">
        <v>0</v>
      </c>
      <c r="E16534" s="2">
        <v>4131.42</v>
      </c>
      <c r="F16534" t="s">
        <v>13</v>
      </c>
      <c r="G16534" t="s">
        <v>9</v>
      </c>
    </row>
    <row r="16535" spans="1:7" x14ac:dyDescent="0.35">
      <c r="A16535">
        <v>6563</v>
      </c>
      <c r="B16535" s="1">
        <v>46010</v>
      </c>
      <c r="C16535" t="s">
        <v>24</v>
      </c>
      <c r="D16535" s="2">
        <v>151.62</v>
      </c>
      <c r="E16535" s="2">
        <v>0</v>
      </c>
      <c r="F16535" t="s">
        <v>8</v>
      </c>
      <c r="G16535" t="s">
        <v>9</v>
      </c>
    </row>
    <row r="16536" spans="1:7" x14ac:dyDescent="0.35">
      <c r="A16536">
        <v>6563</v>
      </c>
      <c r="B16536" s="1">
        <v>46010</v>
      </c>
      <c r="C16536" t="s">
        <v>24</v>
      </c>
      <c r="D16536" s="2">
        <v>0</v>
      </c>
      <c r="E16536" s="2">
        <v>151.62</v>
      </c>
      <c r="F16536" t="s">
        <v>13</v>
      </c>
      <c r="G16536" t="s">
        <v>9</v>
      </c>
    </row>
    <row r="16537" spans="1:7" x14ac:dyDescent="0.35">
      <c r="A16537">
        <v>6564</v>
      </c>
      <c r="B16537" s="1">
        <v>46010</v>
      </c>
      <c r="C16537" t="s">
        <v>24</v>
      </c>
      <c r="D16537" s="2">
        <v>1752.58</v>
      </c>
      <c r="E16537" s="2">
        <v>0</v>
      </c>
      <c r="F16537" t="s">
        <v>8</v>
      </c>
      <c r="G16537" t="s">
        <v>9</v>
      </c>
    </row>
    <row r="16538" spans="1:7" x14ac:dyDescent="0.35">
      <c r="A16538">
        <v>6564</v>
      </c>
      <c r="B16538" s="1">
        <v>46010</v>
      </c>
      <c r="C16538" t="s">
        <v>24</v>
      </c>
      <c r="D16538" s="2">
        <v>0</v>
      </c>
      <c r="E16538" s="2">
        <v>1752.58</v>
      </c>
      <c r="F16538" t="s">
        <v>13</v>
      </c>
      <c r="G16538" t="s">
        <v>9</v>
      </c>
    </row>
    <row r="16539" spans="1:7" x14ac:dyDescent="0.35">
      <c r="A16539">
        <v>6565</v>
      </c>
      <c r="B16539" s="1">
        <v>46010</v>
      </c>
      <c r="C16539" t="s">
        <v>29</v>
      </c>
      <c r="D16539" s="2">
        <v>1023.42</v>
      </c>
      <c r="E16539" s="2">
        <v>0</v>
      </c>
      <c r="F16539" t="s">
        <v>28</v>
      </c>
      <c r="G16539" t="s">
        <v>17</v>
      </c>
    </row>
    <row r="16540" spans="1:7" x14ac:dyDescent="0.35">
      <c r="A16540">
        <v>6565</v>
      </c>
      <c r="B16540" s="1">
        <v>46010</v>
      </c>
      <c r="C16540" t="s">
        <v>29</v>
      </c>
      <c r="D16540" s="2">
        <v>0</v>
      </c>
      <c r="E16540" s="2">
        <v>1023.42</v>
      </c>
      <c r="F16540" t="s">
        <v>8</v>
      </c>
      <c r="G16540" t="s">
        <v>9</v>
      </c>
    </row>
    <row r="16541" spans="1:7" x14ac:dyDescent="0.35">
      <c r="A16541">
        <v>6566</v>
      </c>
      <c r="B16541" s="1">
        <v>46013</v>
      </c>
      <c r="C16541" t="s">
        <v>12</v>
      </c>
      <c r="D16541" s="2">
        <v>2139.09</v>
      </c>
      <c r="E16541" s="2">
        <v>0</v>
      </c>
      <c r="F16541" t="s">
        <v>13</v>
      </c>
      <c r="G16541" t="s">
        <v>9</v>
      </c>
    </row>
    <row r="16542" spans="1:7" x14ac:dyDescent="0.35">
      <c r="A16542">
        <v>6566</v>
      </c>
      <c r="B16542" s="1">
        <v>46013</v>
      </c>
      <c r="C16542" t="s">
        <v>12</v>
      </c>
      <c r="D16542" s="2">
        <v>0</v>
      </c>
      <c r="E16542" s="2">
        <v>1989.85</v>
      </c>
      <c r="F16542" t="s">
        <v>14</v>
      </c>
      <c r="G16542" t="s">
        <v>15</v>
      </c>
    </row>
    <row r="16543" spans="1:7" x14ac:dyDescent="0.35">
      <c r="A16543">
        <v>6566</v>
      </c>
      <c r="B16543" s="1">
        <v>46013</v>
      </c>
      <c r="C16543" t="s">
        <v>12</v>
      </c>
      <c r="D16543" s="2">
        <v>0</v>
      </c>
      <c r="E16543" s="2">
        <v>149.24</v>
      </c>
      <c r="F16543" t="s">
        <v>16</v>
      </c>
      <c r="G16543" t="s">
        <v>17</v>
      </c>
    </row>
    <row r="16544" spans="1:7" x14ac:dyDescent="0.35">
      <c r="A16544">
        <v>6567</v>
      </c>
      <c r="B16544" s="1">
        <v>46013</v>
      </c>
      <c r="C16544" t="s">
        <v>12</v>
      </c>
      <c r="D16544" s="2">
        <v>2025.8</v>
      </c>
      <c r="E16544" s="2">
        <v>0</v>
      </c>
      <c r="F16544" t="s">
        <v>13</v>
      </c>
      <c r="G16544" t="s">
        <v>9</v>
      </c>
    </row>
    <row r="16545" spans="1:7" x14ac:dyDescent="0.35">
      <c r="A16545">
        <v>6567</v>
      </c>
      <c r="B16545" s="1">
        <v>46013</v>
      </c>
      <c r="C16545" t="s">
        <v>12</v>
      </c>
      <c r="D16545" s="2">
        <v>0</v>
      </c>
      <c r="E16545" s="2">
        <v>1884.47</v>
      </c>
      <c r="F16545" t="s">
        <v>14</v>
      </c>
      <c r="G16545" t="s">
        <v>15</v>
      </c>
    </row>
    <row r="16546" spans="1:7" x14ac:dyDescent="0.35">
      <c r="A16546">
        <v>6567</v>
      </c>
      <c r="B16546" s="1">
        <v>46013</v>
      </c>
      <c r="C16546" t="s">
        <v>12</v>
      </c>
      <c r="D16546" s="2">
        <v>0</v>
      </c>
      <c r="E16546" s="2">
        <v>141.33000000000001</v>
      </c>
      <c r="F16546" t="s">
        <v>16</v>
      </c>
      <c r="G16546" t="s">
        <v>17</v>
      </c>
    </row>
    <row r="16547" spans="1:7" x14ac:dyDescent="0.35">
      <c r="A16547">
        <v>6568</v>
      </c>
      <c r="B16547" s="1">
        <v>46013</v>
      </c>
      <c r="C16547" t="s">
        <v>12</v>
      </c>
      <c r="D16547" s="2">
        <v>1890.33</v>
      </c>
      <c r="E16547" s="2">
        <v>0</v>
      </c>
      <c r="F16547" t="s">
        <v>13</v>
      </c>
      <c r="G16547" t="s">
        <v>9</v>
      </c>
    </row>
    <row r="16548" spans="1:7" x14ac:dyDescent="0.35">
      <c r="A16548">
        <v>6568</v>
      </c>
      <c r="B16548" s="1">
        <v>46013</v>
      </c>
      <c r="C16548" t="s">
        <v>12</v>
      </c>
      <c r="D16548" s="2">
        <v>0</v>
      </c>
      <c r="E16548" s="2">
        <v>1758.44</v>
      </c>
      <c r="F16548" t="s">
        <v>14</v>
      </c>
      <c r="G16548" t="s">
        <v>15</v>
      </c>
    </row>
    <row r="16549" spans="1:7" x14ac:dyDescent="0.35">
      <c r="A16549">
        <v>6568</v>
      </c>
      <c r="B16549" s="1">
        <v>46013</v>
      </c>
      <c r="C16549" t="s">
        <v>12</v>
      </c>
      <c r="D16549" s="2">
        <v>0</v>
      </c>
      <c r="E16549" s="2">
        <v>131.88999999999999</v>
      </c>
      <c r="F16549" t="s">
        <v>16</v>
      </c>
      <c r="G16549" t="s">
        <v>17</v>
      </c>
    </row>
    <row r="16550" spans="1:7" x14ac:dyDescent="0.35">
      <c r="A16550">
        <v>6569</v>
      </c>
      <c r="B16550" s="1">
        <v>46013</v>
      </c>
      <c r="C16550" t="s">
        <v>12</v>
      </c>
      <c r="D16550" s="2">
        <v>448.24</v>
      </c>
      <c r="E16550" s="2">
        <v>0</v>
      </c>
      <c r="F16550" t="s">
        <v>13</v>
      </c>
      <c r="G16550" t="s">
        <v>9</v>
      </c>
    </row>
    <row r="16551" spans="1:7" x14ac:dyDescent="0.35">
      <c r="A16551">
        <v>6569</v>
      </c>
      <c r="B16551" s="1">
        <v>46013</v>
      </c>
      <c r="C16551" t="s">
        <v>12</v>
      </c>
      <c r="D16551" s="2">
        <v>0</v>
      </c>
      <c r="E16551" s="2">
        <v>416.97</v>
      </c>
      <c r="F16551" t="s">
        <v>14</v>
      </c>
      <c r="G16551" t="s">
        <v>15</v>
      </c>
    </row>
    <row r="16552" spans="1:7" x14ac:dyDescent="0.35">
      <c r="A16552">
        <v>6569</v>
      </c>
      <c r="B16552" s="1">
        <v>46013</v>
      </c>
      <c r="C16552" t="s">
        <v>12</v>
      </c>
      <c r="D16552" s="2">
        <v>0</v>
      </c>
      <c r="E16552" s="2">
        <v>31.27</v>
      </c>
      <c r="F16552" t="s">
        <v>16</v>
      </c>
      <c r="G16552" t="s">
        <v>17</v>
      </c>
    </row>
    <row r="16553" spans="1:7" x14ac:dyDescent="0.35">
      <c r="A16553">
        <v>6570</v>
      </c>
      <c r="B16553" s="1">
        <v>46013</v>
      </c>
      <c r="C16553" t="s">
        <v>12</v>
      </c>
      <c r="D16553" s="2">
        <v>4727.47</v>
      </c>
      <c r="E16553" s="2">
        <v>0</v>
      </c>
      <c r="F16553" t="s">
        <v>13</v>
      </c>
      <c r="G16553" t="s">
        <v>9</v>
      </c>
    </row>
    <row r="16554" spans="1:7" x14ac:dyDescent="0.35">
      <c r="A16554">
        <v>6570</v>
      </c>
      <c r="B16554" s="1">
        <v>46013</v>
      </c>
      <c r="C16554" t="s">
        <v>12</v>
      </c>
      <c r="D16554" s="2">
        <v>0</v>
      </c>
      <c r="E16554" s="2">
        <v>4397.66</v>
      </c>
      <c r="F16554" t="s">
        <v>14</v>
      </c>
      <c r="G16554" t="s">
        <v>15</v>
      </c>
    </row>
    <row r="16555" spans="1:7" x14ac:dyDescent="0.35">
      <c r="A16555">
        <v>6570</v>
      </c>
      <c r="B16555" s="1">
        <v>46013</v>
      </c>
      <c r="C16555" t="s">
        <v>12</v>
      </c>
      <c r="D16555" s="2">
        <v>0</v>
      </c>
      <c r="E16555" s="2">
        <v>329.81</v>
      </c>
      <c r="F16555" t="s">
        <v>16</v>
      </c>
      <c r="G16555" t="s">
        <v>17</v>
      </c>
    </row>
    <row r="16556" spans="1:7" x14ac:dyDescent="0.35">
      <c r="A16556">
        <v>6571</v>
      </c>
      <c r="B16556" s="1">
        <v>46013</v>
      </c>
      <c r="C16556" t="s">
        <v>12</v>
      </c>
      <c r="D16556" s="2">
        <v>3640.46</v>
      </c>
      <c r="E16556" s="2">
        <v>0</v>
      </c>
      <c r="F16556" t="s">
        <v>13</v>
      </c>
      <c r="G16556" t="s">
        <v>9</v>
      </c>
    </row>
    <row r="16557" spans="1:7" x14ac:dyDescent="0.35">
      <c r="A16557">
        <v>6571</v>
      </c>
      <c r="B16557" s="1">
        <v>46013</v>
      </c>
      <c r="C16557" t="s">
        <v>12</v>
      </c>
      <c r="D16557" s="2">
        <v>0</v>
      </c>
      <c r="E16557" s="2">
        <v>3386.47</v>
      </c>
      <c r="F16557" t="s">
        <v>14</v>
      </c>
      <c r="G16557" t="s">
        <v>15</v>
      </c>
    </row>
    <row r="16558" spans="1:7" x14ac:dyDescent="0.35">
      <c r="A16558">
        <v>6571</v>
      </c>
      <c r="B16558" s="1">
        <v>46013</v>
      </c>
      <c r="C16558" t="s">
        <v>12</v>
      </c>
      <c r="D16558" s="2">
        <v>0</v>
      </c>
      <c r="E16558" s="2">
        <v>253.99</v>
      </c>
      <c r="F16558" t="s">
        <v>16</v>
      </c>
      <c r="G16558" t="s">
        <v>17</v>
      </c>
    </row>
    <row r="16559" spans="1:7" x14ac:dyDescent="0.35">
      <c r="A16559">
        <v>6572</v>
      </c>
      <c r="B16559" s="1">
        <v>46013</v>
      </c>
      <c r="C16559" t="s">
        <v>12</v>
      </c>
      <c r="D16559" s="2">
        <v>5314.39</v>
      </c>
      <c r="E16559" s="2">
        <v>0</v>
      </c>
      <c r="F16559" t="s">
        <v>13</v>
      </c>
      <c r="G16559" t="s">
        <v>9</v>
      </c>
    </row>
    <row r="16560" spans="1:7" x14ac:dyDescent="0.35">
      <c r="A16560">
        <v>6572</v>
      </c>
      <c r="B16560" s="1">
        <v>46013</v>
      </c>
      <c r="C16560" t="s">
        <v>12</v>
      </c>
      <c r="D16560" s="2">
        <v>0</v>
      </c>
      <c r="E16560" s="2">
        <v>4943.62</v>
      </c>
      <c r="F16560" t="s">
        <v>14</v>
      </c>
      <c r="G16560" t="s">
        <v>15</v>
      </c>
    </row>
    <row r="16561" spans="1:7" x14ac:dyDescent="0.35">
      <c r="A16561">
        <v>6572</v>
      </c>
      <c r="B16561" s="1">
        <v>46013</v>
      </c>
      <c r="C16561" t="s">
        <v>12</v>
      </c>
      <c r="D16561" s="2">
        <v>0</v>
      </c>
      <c r="E16561" s="2">
        <v>370.77</v>
      </c>
      <c r="F16561" t="s">
        <v>16</v>
      </c>
      <c r="G16561" t="s">
        <v>17</v>
      </c>
    </row>
    <row r="16562" spans="1:7" x14ac:dyDescent="0.35">
      <c r="A16562">
        <v>6573</v>
      </c>
      <c r="B16562" s="1">
        <v>46013</v>
      </c>
      <c r="C16562" t="s">
        <v>12</v>
      </c>
      <c r="D16562" s="2">
        <v>3221.17</v>
      </c>
      <c r="E16562" s="2">
        <v>0</v>
      </c>
      <c r="F16562" t="s">
        <v>13</v>
      </c>
      <c r="G16562" t="s">
        <v>9</v>
      </c>
    </row>
    <row r="16563" spans="1:7" x14ac:dyDescent="0.35">
      <c r="A16563">
        <v>6573</v>
      </c>
      <c r="B16563" s="1">
        <v>46013</v>
      </c>
      <c r="C16563" t="s">
        <v>12</v>
      </c>
      <c r="D16563" s="2">
        <v>0</v>
      </c>
      <c r="E16563" s="2">
        <v>2996.43</v>
      </c>
      <c r="F16563" t="s">
        <v>14</v>
      </c>
      <c r="G16563" t="s">
        <v>15</v>
      </c>
    </row>
    <row r="16564" spans="1:7" x14ac:dyDescent="0.35">
      <c r="A16564">
        <v>6573</v>
      </c>
      <c r="B16564" s="1">
        <v>46013</v>
      </c>
      <c r="C16564" t="s">
        <v>12</v>
      </c>
      <c r="D16564" s="2">
        <v>0</v>
      </c>
      <c r="E16564" s="2">
        <v>224.74</v>
      </c>
      <c r="F16564" t="s">
        <v>16</v>
      </c>
      <c r="G16564" t="s">
        <v>17</v>
      </c>
    </row>
    <row r="16565" spans="1:7" x14ac:dyDescent="0.35">
      <c r="A16565">
        <v>6574</v>
      </c>
      <c r="B16565" s="1">
        <v>46013</v>
      </c>
      <c r="C16565" t="s">
        <v>12</v>
      </c>
      <c r="D16565" s="2">
        <v>2060.37</v>
      </c>
      <c r="E16565" s="2">
        <v>0</v>
      </c>
      <c r="F16565" t="s">
        <v>13</v>
      </c>
      <c r="G16565" t="s">
        <v>9</v>
      </c>
    </row>
    <row r="16566" spans="1:7" x14ac:dyDescent="0.35">
      <c r="A16566">
        <v>6574</v>
      </c>
      <c r="B16566" s="1">
        <v>46013</v>
      </c>
      <c r="C16566" t="s">
        <v>12</v>
      </c>
      <c r="D16566" s="2">
        <v>0</v>
      </c>
      <c r="E16566" s="2">
        <v>1916.62</v>
      </c>
      <c r="F16566" t="s">
        <v>14</v>
      </c>
      <c r="G16566" t="s">
        <v>15</v>
      </c>
    </row>
    <row r="16567" spans="1:7" x14ac:dyDescent="0.35">
      <c r="A16567">
        <v>6574</v>
      </c>
      <c r="B16567" s="1">
        <v>46013</v>
      </c>
      <c r="C16567" t="s">
        <v>12</v>
      </c>
      <c r="D16567" s="2">
        <v>0</v>
      </c>
      <c r="E16567" s="2">
        <v>143.75</v>
      </c>
      <c r="F16567" t="s">
        <v>16</v>
      </c>
      <c r="G16567" t="s">
        <v>17</v>
      </c>
    </row>
    <row r="16568" spans="1:7" x14ac:dyDescent="0.35">
      <c r="A16568">
        <v>6575</v>
      </c>
      <c r="B16568" s="1">
        <v>46013</v>
      </c>
      <c r="C16568" t="s">
        <v>12</v>
      </c>
      <c r="D16568" s="2">
        <v>1203.6199999999999</v>
      </c>
      <c r="E16568" s="2">
        <v>0</v>
      </c>
      <c r="F16568" t="s">
        <v>13</v>
      </c>
      <c r="G16568" t="s">
        <v>9</v>
      </c>
    </row>
    <row r="16569" spans="1:7" x14ac:dyDescent="0.35">
      <c r="A16569">
        <v>6575</v>
      </c>
      <c r="B16569" s="1">
        <v>46013</v>
      </c>
      <c r="C16569" t="s">
        <v>12</v>
      </c>
      <c r="D16569" s="2">
        <v>0</v>
      </c>
      <c r="E16569" s="2">
        <v>1119.6400000000001</v>
      </c>
      <c r="F16569" t="s">
        <v>14</v>
      </c>
      <c r="G16569" t="s">
        <v>15</v>
      </c>
    </row>
    <row r="16570" spans="1:7" x14ac:dyDescent="0.35">
      <c r="A16570">
        <v>6575</v>
      </c>
      <c r="B16570" s="1">
        <v>46013</v>
      </c>
      <c r="C16570" t="s">
        <v>12</v>
      </c>
      <c r="D16570" s="2">
        <v>0</v>
      </c>
      <c r="E16570" s="2">
        <v>83.98</v>
      </c>
      <c r="F16570" t="s">
        <v>16</v>
      </c>
      <c r="G16570" t="s">
        <v>17</v>
      </c>
    </row>
    <row r="16571" spans="1:7" x14ac:dyDescent="0.35">
      <c r="A16571">
        <v>6576</v>
      </c>
      <c r="B16571" s="1">
        <v>46013</v>
      </c>
      <c r="C16571" t="s">
        <v>12</v>
      </c>
      <c r="D16571" s="2">
        <v>1671.16</v>
      </c>
      <c r="E16571" s="2">
        <v>0</v>
      </c>
      <c r="F16571" t="s">
        <v>13</v>
      </c>
      <c r="G16571" t="s">
        <v>9</v>
      </c>
    </row>
    <row r="16572" spans="1:7" x14ac:dyDescent="0.35">
      <c r="A16572">
        <v>6576</v>
      </c>
      <c r="B16572" s="1">
        <v>46013</v>
      </c>
      <c r="C16572" t="s">
        <v>12</v>
      </c>
      <c r="D16572" s="2">
        <v>0</v>
      </c>
      <c r="E16572" s="2">
        <v>1554.57</v>
      </c>
      <c r="F16572" t="s">
        <v>14</v>
      </c>
      <c r="G16572" t="s">
        <v>15</v>
      </c>
    </row>
    <row r="16573" spans="1:7" x14ac:dyDescent="0.35">
      <c r="A16573">
        <v>6576</v>
      </c>
      <c r="B16573" s="1">
        <v>46013</v>
      </c>
      <c r="C16573" t="s">
        <v>12</v>
      </c>
      <c r="D16573" s="2">
        <v>0</v>
      </c>
      <c r="E16573" s="2">
        <v>116.59</v>
      </c>
      <c r="F16573" t="s">
        <v>16</v>
      </c>
      <c r="G16573" t="s">
        <v>17</v>
      </c>
    </row>
    <row r="16574" spans="1:7" x14ac:dyDescent="0.35">
      <c r="A16574">
        <v>6577</v>
      </c>
      <c r="B16574" s="1">
        <v>46013</v>
      </c>
      <c r="C16574" t="s">
        <v>24</v>
      </c>
      <c r="D16574" s="2">
        <v>5883</v>
      </c>
      <c r="E16574" s="2">
        <v>0</v>
      </c>
      <c r="F16574" t="s">
        <v>8</v>
      </c>
      <c r="G16574" t="s">
        <v>9</v>
      </c>
    </row>
    <row r="16575" spans="1:7" x14ac:dyDescent="0.35">
      <c r="A16575">
        <v>6577</v>
      </c>
      <c r="B16575" s="1">
        <v>46013</v>
      </c>
      <c r="C16575" t="s">
        <v>24</v>
      </c>
      <c r="D16575" s="2">
        <v>0</v>
      </c>
      <c r="E16575" s="2">
        <v>5883</v>
      </c>
      <c r="F16575" t="s">
        <v>13</v>
      </c>
      <c r="G16575" t="s">
        <v>9</v>
      </c>
    </row>
    <row r="16576" spans="1:7" x14ac:dyDescent="0.35">
      <c r="A16576">
        <v>6578</v>
      </c>
      <c r="B16576" s="1">
        <v>46013</v>
      </c>
      <c r="C16576" t="s">
        <v>24</v>
      </c>
      <c r="D16576" s="2">
        <v>1315.2</v>
      </c>
      <c r="E16576" s="2">
        <v>0</v>
      </c>
      <c r="F16576" t="s">
        <v>8</v>
      </c>
      <c r="G16576" t="s">
        <v>9</v>
      </c>
    </row>
    <row r="16577" spans="1:7" x14ac:dyDescent="0.35">
      <c r="A16577">
        <v>6578</v>
      </c>
      <c r="B16577" s="1">
        <v>46013</v>
      </c>
      <c r="C16577" t="s">
        <v>24</v>
      </c>
      <c r="D16577" s="2">
        <v>0</v>
      </c>
      <c r="E16577" s="2">
        <v>1315.2</v>
      </c>
      <c r="F16577" t="s">
        <v>13</v>
      </c>
      <c r="G16577" t="s">
        <v>9</v>
      </c>
    </row>
    <row r="16578" spans="1:7" x14ac:dyDescent="0.35">
      <c r="A16578">
        <v>6579</v>
      </c>
      <c r="B16578" s="1">
        <v>46013</v>
      </c>
      <c r="C16578" t="s">
        <v>24</v>
      </c>
      <c r="D16578" s="2">
        <v>1857.21</v>
      </c>
      <c r="E16578" s="2">
        <v>0</v>
      </c>
      <c r="F16578" t="s">
        <v>8</v>
      </c>
      <c r="G16578" t="s">
        <v>9</v>
      </c>
    </row>
    <row r="16579" spans="1:7" x14ac:dyDescent="0.35">
      <c r="A16579">
        <v>6579</v>
      </c>
      <c r="B16579" s="1">
        <v>46013</v>
      </c>
      <c r="C16579" t="s">
        <v>24</v>
      </c>
      <c r="D16579" s="2">
        <v>0</v>
      </c>
      <c r="E16579" s="2">
        <v>1857.21</v>
      </c>
      <c r="F16579" t="s">
        <v>13</v>
      </c>
      <c r="G16579" t="s">
        <v>9</v>
      </c>
    </row>
    <row r="16580" spans="1:7" x14ac:dyDescent="0.35">
      <c r="A16580">
        <v>6580</v>
      </c>
      <c r="B16580" s="1">
        <v>46013</v>
      </c>
      <c r="C16580" t="s">
        <v>24</v>
      </c>
      <c r="D16580" s="2">
        <v>1003.9</v>
      </c>
      <c r="E16580" s="2">
        <v>0</v>
      </c>
      <c r="F16580" t="s">
        <v>8</v>
      </c>
      <c r="G16580" t="s">
        <v>9</v>
      </c>
    </row>
    <row r="16581" spans="1:7" x14ac:dyDescent="0.35">
      <c r="A16581">
        <v>6580</v>
      </c>
      <c r="B16581" s="1">
        <v>46013</v>
      </c>
      <c r="C16581" t="s">
        <v>24</v>
      </c>
      <c r="D16581" s="2">
        <v>0</v>
      </c>
      <c r="E16581" s="2">
        <v>1003.9</v>
      </c>
      <c r="F16581" t="s">
        <v>13</v>
      </c>
      <c r="G16581" t="s">
        <v>9</v>
      </c>
    </row>
    <row r="16582" spans="1:7" x14ac:dyDescent="0.35">
      <c r="A16582">
        <v>6581</v>
      </c>
      <c r="B16582" s="1">
        <v>46013</v>
      </c>
      <c r="C16582" t="s">
        <v>24</v>
      </c>
      <c r="D16582" s="2">
        <v>202.48</v>
      </c>
      <c r="E16582" s="2">
        <v>0</v>
      </c>
      <c r="F16582" t="s">
        <v>8</v>
      </c>
      <c r="G16582" t="s">
        <v>9</v>
      </c>
    </row>
    <row r="16583" spans="1:7" x14ac:dyDescent="0.35">
      <c r="A16583">
        <v>6581</v>
      </c>
      <c r="B16583" s="1">
        <v>46013</v>
      </c>
      <c r="C16583" t="s">
        <v>24</v>
      </c>
      <c r="D16583" s="2">
        <v>0</v>
      </c>
      <c r="E16583" s="2">
        <v>202.48</v>
      </c>
      <c r="F16583" t="s">
        <v>13</v>
      </c>
      <c r="G16583" t="s">
        <v>9</v>
      </c>
    </row>
    <row r="16584" spans="1:7" x14ac:dyDescent="0.35">
      <c r="A16584">
        <v>6582</v>
      </c>
      <c r="B16584" s="1">
        <v>46013</v>
      </c>
      <c r="C16584" t="s">
        <v>24</v>
      </c>
      <c r="D16584" s="2">
        <v>3658.6</v>
      </c>
      <c r="E16584" s="2">
        <v>0</v>
      </c>
      <c r="F16584" t="s">
        <v>8</v>
      </c>
      <c r="G16584" t="s">
        <v>9</v>
      </c>
    </row>
    <row r="16585" spans="1:7" x14ac:dyDescent="0.35">
      <c r="A16585">
        <v>6582</v>
      </c>
      <c r="B16585" s="1">
        <v>46013</v>
      </c>
      <c r="C16585" t="s">
        <v>24</v>
      </c>
      <c r="D16585" s="2">
        <v>0</v>
      </c>
      <c r="E16585" s="2">
        <v>3658.6</v>
      </c>
      <c r="F16585" t="s">
        <v>13</v>
      </c>
      <c r="G16585" t="s">
        <v>9</v>
      </c>
    </row>
    <row r="16586" spans="1:7" x14ac:dyDescent="0.35">
      <c r="A16586">
        <v>6583</v>
      </c>
      <c r="B16586" s="1">
        <v>46013</v>
      </c>
      <c r="C16586" t="s">
        <v>24</v>
      </c>
      <c r="D16586" s="2">
        <v>1704.54</v>
      </c>
      <c r="E16586" s="2">
        <v>0</v>
      </c>
      <c r="F16586" t="s">
        <v>8</v>
      </c>
      <c r="G16586" t="s">
        <v>9</v>
      </c>
    </row>
    <row r="16587" spans="1:7" x14ac:dyDescent="0.35">
      <c r="A16587">
        <v>6583</v>
      </c>
      <c r="B16587" s="1">
        <v>46013</v>
      </c>
      <c r="C16587" t="s">
        <v>24</v>
      </c>
      <c r="D16587" s="2">
        <v>0</v>
      </c>
      <c r="E16587" s="2">
        <v>1704.54</v>
      </c>
      <c r="F16587" t="s">
        <v>13</v>
      </c>
      <c r="G16587" t="s">
        <v>9</v>
      </c>
    </row>
    <row r="16588" spans="1:7" x14ac:dyDescent="0.35">
      <c r="A16588">
        <v>6584</v>
      </c>
      <c r="B16588" s="1">
        <v>46013</v>
      </c>
      <c r="C16588" t="s">
        <v>24</v>
      </c>
      <c r="D16588" s="2">
        <v>1759.07</v>
      </c>
      <c r="E16588" s="2">
        <v>0</v>
      </c>
      <c r="F16588" t="s">
        <v>8</v>
      </c>
      <c r="G16588" t="s">
        <v>9</v>
      </c>
    </row>
    <row r="16589" spans="1:7" x14ac:dyDescent="0.35">
      <c r="A16589">
        <v>6584</v>
      </c>
      <c r="B16589" s="1">
        <v>46013</v>
      </c>
      <c r="C16589" t="s">
        <v>24</v>
      </c>
      <c r="D16589" s="2">
        <v>0</v>
      </c>
      <c r="E16589" s="2">
        <v>1759.07</v>
      </c>
      <c r="F16589" t="s">
        <v>13</v>
      </c>
      <c r="G16589" t="s">
        <v>9</v>
      </c>
    </row>
    <row r="16590" spans="1:7" x14ac:dyDescent="0.35">
      <c r="A16590">
        <v>6585</v>
      </c>
      <c r="B16590" s="1">
        <v>46013</v>
      </c>
      <c r="C16590" t="s">
        <v>24</v>
      </c>
      <c r="D16590" s="2">
        <v>2729.66</v>
      </c>
      <c r="E16590" s="2">
        <v>0</v>
      </c>
      <c r="F16590" t="s">
        <v>8</v>
      </c>
      <c r="G16590" t="s">
        <v>9</v>
      </c>
    </row>
    <row r="16591" spans="1:7" x14ac:dyDescent="0.35">
      <c r="A16591">
        <v>6585</v>
      </c>
      <c r="B16591" s="1">
        <v>46013</v>
      </c>
      <c r="C16591" t="s">
        <v>24</v>
      </c>
      <c r="D16591" s="2">
        <v>0</v>
      </c>
      <c r="E16591" s="2">
        <v>2729.66</v>
      </c>
      <c r="F16591" t="s">
        <v>13</v>
      </c>
      <c r="G16591" t="s">
        <v>9</v>
      </c>
    </row>
    <row r="16592" spans="1:7" x14ac:dyDescent="0.35">
      <c r="A16592">
        <v>6586</v>
      </c>
      <c r="B16592" s="1">
        <v>46013</v>
      </c>
      <c r="C16592" t="s">
        <v>24</v>
      </c>
      <c r="D16592" s="2">
        <v>3757.84</v>
      </c>
      <c r="E16592" s="2">
        <v>0</v>
      </c>
      <c r="F16592" t="s">
        <v>8</v>
      </c>
      <c r="G16592" t="s">
        <v>9</v>
      </c>
    </row>
    <row r="16593" spans="1:7" x14ac:dyDescent="0.35">
      <c r="A16593">
        <v>6586</v>
      </c>
      <c r="B16593" s="1">
        <v>46013</v>
      </c>
      <c r="C16593" t="s">
        <v>24</v>
      </c>
      <c r="D16593" s="2">
        <v>0</v>
      </c>
      <c r="E16593" s="2">
        <v>3757.84</v>
      </c>
      <c r="F16593" t="s">
        <v>13</v>
      </c>
      <c r="G16593" t="s">
        <v>9</v>
      </c>
    </row>
    <row r="16594" spans="1:7" x14ac:dyDescent="0.35">
      <c r="A16594">
        <v>6587</v>
      </c>
      <c r="B16594" s="1">
        <v>46013</v>
      </c>
      <c r="C16594" t="s">
        <v>24</v>
      </c>
      <c r="D16594" s="2">
        <v>2139.09</v>
      </c>
      <c r="E16594" s="2">
        <v>0</v>
      </c>
      <c r="F16594" t="s">
        <v>8</v>
      </c>
      <c r="G16594" t="s">
        <v>9</v>
      </c>
    </row>
    <row r="16595" spans="1:7" x14ac:dyDescent="0.35">
      <c r="A16595">
        <v>6587</v>
      </c>
      <c r="B16595" s="1">
        <v>46013</v>
      </c>
      <c r="C16595" t="s">
        <v>24</v>
      </c>
      <c r="D16595" s="2">
        <v>0</v>
      </c>
      <c r="E16595" s="2">
        <v>2139.09</v>
      </c>
      <c r="F16595" t="s">
        <v>13</v>
      </c>
      <c r="G16595" t="s">
        <v>9</v>
      </c>
    </row>
    <row r="16596" spans="1:7" x14ac:dyDescent="0.35">
      <c r="A16596">
        <v>6588</v>
      </c>
      <c r="B16596" s="1">
        <v>46013</v>
      </c>
      <c r="C16596" t="s">
        <v>25</v>
      </c>
      <c r="D16596" s="2">
        <v>696.06</v>
      </c>
      <c r="E16596" s="2">
        <v>0</v>
      </c>
      <c r="F16596" t="s">
        <v>26</v>
      </c>
      <c r="G16596" t="s">
        <v>20</v>
      </c>
    </row>
    <row r="16597" spans="1:7" x14ac:dyDescent="0.35">
      <c r="A16597">
        <v>6588</v>
      </c>
      <c r="B16597" s="1">
        <v>46013</v>
      </c>
      <c r="C16597" t="s">
        <v>25</v>
      </c>
      <c r="D16597" s="2">
        <v>52.2</v>
      </c>
      <c r="E16597" s="2">
        <v>0</v>
      </c>
      <c r="F16597" t="s">
        <v>27</v>
      </c>
      <c r="G16597" t="s">
        <v>9</v>
      </c>
    </row>
    <row r="16598" spans="1:7" x14ac:dyDescent="0.35">
      <c r="A16598">
        <v>6588</v>
      </c>
      <c r="B16598" s="1">
        <v>46013</v>
      </c>
      <c r="C16598" t="s">
        <v>25</v>
      </c>
      <c r="D16598" s="2">
        <v>0</v>
      </c>
      <c r="E16598" s="2">
        <v>748.26</v>
      </c>
      <c r="F16598" t="s">
        <v>28</v>
      </c>
      <c r="G16598" t="s">
        <v>17</v>
      </c>
    </row>
    <row r="16599" spans="1:7" x14ac:dyDescent="0.35">
      <c r="A16599">
        <v>6589</v>
      </c>
      <c r="B16599" s="1">
        <v>46013</v>
      </c>
      <c r="C16599" t="s">
        <v>25</v>
      </c>
      <c r="D16599" s="2">
        <v>1668.94</v>
      </c>
      <c r="E16599" s="2">
        <v>0</v>
      </c>
      <c r="F16599" t="s">
        <v>26</v>
      </c>
      <c r="G16599" t="s">
        <v>20</v>
      </c>
    </row>
    <row r="16600" spans="1:7" x14ac:dyDescent="0.35">
      <c r="A16600">
        <v>6589</v>
      </c>
      <c r="B16600" s="1">
        <v>46013</v>
      </c>
      <c r="C16600" t="s">
        <v>25</v>
      </c>
      <c r="D16600" s="2">
        <v>125.17</v>
      </c>
      <c r="E16600" s="2">
        <v>0</v>
      </c>
      <c r="F16600" t="s">
        <v>27</v>
      </c>
      <c r="G16600" t="s">
        <v>9</v>
      </c>
    </row>
    <row r="16601" spans="1:7" x14ac:dyDescent="0.35">
      <c r="A16601">
        <v>6589</v>
      </c>
      <c r="B16601" s="1">
        <v>46013</v>
      </c>
      <c r="C16601" t="s">
        <v>25</v>
      </c>
      <c r="D16601" s="2">
        <v>0</v>
      </c>
      <c r="E16601" s="2">
        <v>1794.11</v>
      </c>
      <c r="F16601" t="s">
        <v>28</v>
      </c>
      <c r="G16601" t="s">
        <v>17</v>
      </c>
    </row>
    <row r="16602" spans="1:7" x14ac:dyDescent="0.35">
      <c r="A16602">
        <v>6590</v>
      </c>
      <c r="B16602" s="1">
        <v>46013</v>
      </c>
      <c r="C16602" t="s">
        <v>25</v>
      </c>
      <c r="D16602" s="2">
        <v>1643.22</v>
      </c>
      <c r="E16602" s="2">
        <v>0</v>
      </c>
      <c r="F16602" t="s">
        <v>26</v>
      </c>
      <c r="G16602" t="s">
        <v>20</v>
      </c>
    </row>
    <row r="16603" spans="1:7" x14ac:dyDescent="0.35">
      <c r="A16603">
        <v>6590</v>
      </c>
      <c r="B16603" s="1">
        <v>46013</v>
      </c>
      <c r="C16603" t="s">
        <v>25</v>
      </c>
      <c r="D16603" s="2">
        <v>123.24</v>
      </c>
      <c r="E16603" s="2">
        <v>0</v>
      </c>
      <c r="F16603" t="s">
        <v>27</v>
      </c>
      <c r="G16603" t="s">
        <v>9</v>
      </c>
    </row>
    <row r="16604" spans="1:7" x14ac:dyDescent="0.35">
      <c r="A16604">
        <v>6590</v>
      </c>
      <c r="B16604" s="1">
        <v>46013</v>
      </c>
      <c r="C16604" t="s">
        <v>25</v>
      </c>
      <c r="D16604" s="2">
        <v>0</v>
      </c>
      <c r="E16604" s="2">
        <v>1766.46</v>
      </c>
      <c r="F16604" t="s">
        <v>28</v>
      </c>
      <c r="G16604" t="s">
        <v>17</v>
      </c>
    </row>
    <row r="16605" spans="1:7" x14ac:dyDescent="0.35">
      <c r="A16605">
        <v>6591</v>
      </c>
      <c r="B16605" s="1">
        <v>46013</v>
      </c>
      <c r="C16605" t="s">
        <v>25</v>
      </c>
      <c r="D16605" s="2">
        <v>2030.15</v>
      </c>
      <c r="E16605" s="2">
        <v>0</v>
      </c>
      <c r="F16605" t="s">
        <v>26</v>
      </c>
      <c r="G16605" t="s">
        <v>20</v>
      </c>
    </row>
    <row r="16606" spans="1:7" x14ac:dyDescent="0.35">
      <c r="A16606">
        <v>6591</v>
      </c>
      <c r="B16606" s="1">
        <v>46013</v>
      </c>
      <c r="C16606" t="s">
        <v>25</v>
      </c>
      <c r="D16606" s="2">
        <v>152.26</v>
      </c>
      <c r="E16606" s="2">
        <v>0</v>
      </c>
      <c r="F16606" t="s">
        <v>27</v>
      </c>
      <c r="G16606" t="s">
        <v>9</v>
      </c>
    </row>
    <row r="16607" spans="1:7" x14ac:dyDescent="0.35">
      <c r="A16607">
        <v>6591</v>
      </c>
      <c r="B16607" s="1">
        <v>46013</v>
      </c>
      <c r="C16607" t="s">
        <v>25</v>
      </c>
      <c r="D16607" s="2">
        <v>0</v>
      </c>
      <c r="E16607" s="2">
        <v>2182.41</v>
      </c>
      <c r="F16607" t="s">
        <v>28</v>
      </c>
      <c r="G16607" t="s">
        <v>17</v>
      </c>
    </row>
    <row r="16608" spans="1:7" x14ac:dyDescent="0.35">
      <c r="A16608">
        <v>6592</v>
      </c>
      <c r="B16608" s="1">
        <v>46013</v>
      </c>
      <c r="C16608" t="s">
        <v>25</v>
      </c>
      <c r="D16608" s="2">
        <v>3598.88</v>
      </c>
      <c r="E16608" s="2">
        <v>0</v>
      </c>
      <c r="F16608" t="s">
        <v>26</v>
      </c>
      <c r="G16608" t="s">
        <v>20</v>
      </c>
    </row>
    <row r="16609" spans="1:7" x14ac:dyDescent="0.35">
      <c r="A16609">
        <v>6592</v>
      </c>
      <c r="B16609" s="1">
        <v>46013</v>
      </c>
      <c r="C16609" t="s">
        <v>25</v>
      </c>
      <c r="D16609" s="2">
        <v>269.92</v>
      </c>
      <c r="E16609" s="2">
        <v>0</v>
      </c>
      <c r="F16609" t="s">
        <v>27</v>
      </c>
      <c r="G16609" t="s">
        <v>9</v>
      </c>
    </row>
    <row r="16610" spans="1:7" x14ac:dyDescent="0.35">
      <c r="A16610">
        <v>6592</v>
      </c>
      <c r="B16610" s="1">
        <v>46013</v>
      </c>
      <c r="C16610" t="s">
        <v>25</v>
      </c>
      <c r="D16610" s="2">
        <v>0</v>
      </c>
      <c r="E16610" s="2">
        <v>3868.8</v>
      </c>
      <c r="F16610" t="s">
        <v>28</v>
      </c>
      <c r="G16610" t="s">
        <v>17</v>
      </c>
    </row>
    <row r="16611" spans="1:7" x14ac:dyDescent="0.35">
      <c r="A16611">
        <v>6593</v>
      </c>
      <c r="B16611" s="1">
        <v>46013</v>
      </c>
      <c r="C16611" t="s">
        <v>29</v>
      </c>
      <c r="D16611" s="2">
        <v>412.54</v>
      </c>
      <c r="E16611" s="2">
        <v>0</v>
      </c>
      <c r="F16611" t="s">
        <v>28</v>
      </c>
      <c r="G16611" t="s">
        <v>17</v>
      </c>
    </row>
    <row r="16612" spans="1:7" x14ac:dyDescent="0.35">
      <c r="A16612">
        <v>6593</v>
      </c>
      <c r="B16612" s="1">
        <v>46013</v>
      </c>
      <c r="C16612" t="s">
        <v>29</v>
      </c>
      <c r="D16612" s="2">
        <v>0</v>
      </c>
      <c r="E16612" s="2">
        <v>412.54</v>
      </c>
      <c r="F16612" t="s">
        <v>8</v>
      </c>
      <c r="G16612" t="s">
        <v>9</v>
      </c>
    </row>
    <row r="16613" spans="1:7" x14ac:dyDescent="0.35">
      <c r="A16613">
        <v>6594</v>
      </c>
      <c r="B16613" s="1">
        <v>46013</v>
      </c>
      <c r="C16613" t="s">
        <v>29</v>
      </c>
      <c r="D16613" s="2">
        <v>201.5</v>
      </c>
      <c r="E16613" s="2">
        <v>0</v>
      </c>
      <c r="F16613" t="s">
        <v>28</v>
      </c>
      <c r="G16613" t="s">
        <v>17</v>
      </c>
    </row>
    <row r="16614" spans="1:7" x14ac:dyDescent="0.35">
      <c r="A16614">
        <v>6594</v>
      </c>
      <c r="B16614" s="1">
        <v>46013</v>
      </c>
      <c r="C16614" t="s">
        <v>29</v>
      </c>
      <c r="D16614" s="2">
        <v>0</v>
      </c>
      <c r="E16614" s="2">
        <v>201.5</v>
      </c>
      <c r="F16614" t="s">
        <v>8</v>
      </c>
      <c r="G16614" t="s">
        <v>9</v>
      </c>
    </row>
    <row r="16615" spans="1:7" x14ac:dyDescent="0.35">
      <c r="A16615">
        <v>6595</v>
      </c>
      <c r="B16615" s="1">
        <v>46013</v>
      </c>
      <c r="C16615" t="s">
        <v>29</v>
      </c>
      <c r="D16615" s="2">
        <v>1159.8399999999999</v>
      </c>
      <c r="E16615" s="2">
        <v>0</v>
      </c>
      <c r="F16615" t="s">
        <v>28</v>
      </c>
      <c r="G16615" t="s">
        <v>17</v>
      </c>
    </row>
    <row r="16616" spans="1:7" x14ac:dyDescent="0.35">
      <c r="A16616">
        <v>6595</v>
      </c>
      <c r="B16616" s="1">
        <v>46013</v>
      </c>
      <c r="C16616" t="s">
        <v>29</v>
      </c>
      <c r="D16616" s="2">
        <v>0</v>
      </c>
      <c r="E16616" s="2">
        <v>1159.8399999999999</v>
      </c>
      <c r="F16616" t="s">
        <v>8</v>
      </c>
      <c r="G16616" t="s">
        <v>9</v>
      </c>
    </row>
    <row r="16617" spans="1:7" x14ac:dyDescent="0.35">
      <c r="A16617">
        <v>6596</v>
      </c>
      <c r="B16617" s="1">
        <v>46013</v>
      </c>
      <c r="C16617" t="s">
        <v>29</v>
      </c>
      <c r="D16617" s="2">
        <v>412.54</v>
      </c>
      <c r="E16617" s="2">
        <v>0</v>
      </c>
      <c r="F16617" t="s">
        <v>28</v>
      </c>
      <c r="G16617" t="s">
        <v>17</v>
      </c>
    </row>
    <row r="16618" spans="1:7" x14ac:dyDescent="0.35">
      <c r="A16618">
        <v>6596</v>
      </c>
      <c r="B16618" s="1">
        <v>46013</v>
      </c>
      <c r="C16618" t="s">
        <v>29</v>
      </c>
      <c r="D16618" s="2">
        <v>0</v>
      </c>
      <c r="E16618" s="2">
        <v>412.54</v>
      </c>
      <c r="F16618" t="s">
        <v>8</v>
      </c>
      <c r="G16618" t="s">
        <v>9</v>
      </c>
    </row>
    <row r="16619" spans="1:7" x14ac:dyDescent="0.35">
      <c r="A16619">
        <v>6597</v>
      </c>
      <c r="B16619" s="1">
        <v>46014</v>
      </c>
      <c r="C16619" t="s">
        <v>12</v>
      </c>
      <c r="D16619" s="2">
        <v>1495.45</v>
      </c>
      <c r="E16619" s="2">
        <v>0</v>
      </c>
      <c r="F16619" t="s">
        <v>13</v>
      </c>
      <c r="G16619" t="s">
        <v>9</v>
      </c>
    </row>
    <row r="16620" spans="1:7" x14ac:dyDescent="0.35">
      <c r="A16620">
        <v>6597</v>
      </c>
      <c r="B16620" s="1">
        <v>46014</v>
      </c>
      <c r="C16620" t="s">
        <v>12</v>
      </c>
      <c r="D16620" s="2">
        <v>0</v>
      </c>
      <c r="E16620" s="2">
        <v>1391.11</v>
      </c>
      <c r="F16620" t="s">
        <v>14</v>
      </c>
      <c r="G16620" t="s">
        <v>15</v>
      </c>
    </row>
    <row r="16621" spans="1:7" x14ac:dyDescent="0.35">
      <c r="A16621">
        <v>6597</v>
      </c>
      <c r="B16621" s="1">
        <v>46014</v>
      </c>
      <c r="C16621" t="s">
        <v>12</v>
      </c>
      <c r="D16621" s="2">
        <v>0</v>
      </c>
      <c r="E16621" s="2">
        <v>104.34</v>
      </c>
      <c r="F16621" t="s">
        <v>16</v>
      </c>
      <c r="G16621" t="s">
        <v>17</v>
      </c>
    </row>
    <row r="16622" spans="1:7" x14ac:dyDescent="0.35">
      <c r="A16622">
        <v>6598</v>
      </c>
      <c r="B16622" s="1">
        <v>46014</v>
      </c>
      <c r="C16622" t="s">
        <v>12</v>
      </c>
      <c r="D16622" s="2">
        <v>1116.69</v>
      </c>
      <c r="E16622" s="2">
        <v>0</v>
      </c>
      <c r="F16622" t="s">
        <v>13</v>
      </c>
      <c r="G16622" t="s">
        <v>9</v>
      </c>
    </row>
    <row r="16623" spans="1:7" x14ac:dyDescent="0.35">
      <c r="A16623">
        <v>6598</v>
      </c>
      <c r="B16623" s="1">
        <v>46014</v>
      </c>
      <c r="C16623" t="s">
        <v>12</v>
      </c>
      <c r="D16623" s="2">
        <v>0</v>
      </c>
      <c r="E16623" s="2">
        <v>1038.78</v>
      </c>
      <c r="F16623" t="s">
        <v>14</v>
      </c>
      <c r="G16623" t="s">
        <v>15</v>
      </c>
    </row>
    <row r="16624" spans="1:7" x14ac:dyDescent="0.35">
      <c r="A16624">
        <v>6598</v>
      </c>
      <c r="B16624" s="1">
        <v>46014</v>
      </c>
      <c r="C16624" t="s">
        <v>12</v>
      </c>
      <c r="D16624" s="2">
        <v>0</v>
      </c>
      <c r="E16624" s="2">
        <v>77.91</v>
      </c>
      <c r="F16624" t="s">
        <v>16</v>
      </c>
      <c r="G16624" t="s">
        <v>17</v>
      </c>
    </row>
    <row r="16625" spans="1:7" x14ac:dyDescent="0.35">
      <c r="A16625">
        <v>6599</v>
      </c>
      <c r="B16625" s="1">
        <v>46014</v>
      </c>
      <c r="C16625" t="s">
        <v>12</v>
      </c>
      <c r="D16625" s="2">
        <v>5557.54</v>
      </c>
      <c r="E16625" s="2">
        <v>0</v>
      </c>
      <c r="F16625" t="s">
        <v>13</v>
      </c>
      <c r="G16625" t="s">
        <v>9</v>
      </c>
    </row>
    <row r="16626" spans="1:7" x14ac:dyDescent="0.35">
      <c r="A16626">
        <v>6599</v>
      </c>
      <c r="B16626" s="1">
        <v>46014</v>
      </c>
      <c r="C16626" t="s">
        <v>12</v>
      </c>
      <c r="D16626" s="2">
        <v>0</v>
      </c>
      <c r="E16626" s="2">
        <v>5169.8100000000004</v>
      </c>
      <c r="F16626" t="s">
        <v>14</v>
      </c>
      <c r="G16626" t="s">
        <v>15</v>
      </c>
    </row>
    <row r="16627" spans="1:7" x14ac:dyDescent="0.35">
      <c r="A16627">
        <v>6599</v>
      </c>
      <c r="B16627" s="1">
        <v>46014</v>
      </c>
      <c r="C16627" t="s">
        <v>12</v>
      </c>
      <c r="D16627" s="2">
        <v>0</v>
      </c>
      <c r="E16627" s="2">
        <v>387.73</v>
      </c>
      <c r="F16627" t="s">
        <v>16</v>
      </c>
      <c r="G16627" t="s">
        <v>17</v>
      </c>
    </row>
    <row r="16628" spans="1:7" x14ac:dyDescent="0.35">
      <c r="A16628">
        <v>6600</v>
      </c>
      <c r="B16628" s="1">
        <v>46014</v>
      </c>
      <c r="C16628" t="s">
        <v>12</v>
      </c>
      <c r="D16628" s="2">
        <v>903.57</v>
      </c>
      <c r="E16628" s="2">
        <v>0</v>
      </c>
      <c r="F16628" t="s">
        <v>13</v>
      </c>
      <c r="G16628" t="s">
        <v>9</v>
      </c>
    </row>
    <row r="16629" spans="1:7" x14ac:dyDescent="0.35">
      <c r="A16629">
        <v>6600</v>
      </c>
      <c r="B16629" s="1">
        <v>46014</v>
      </c>
      <c r="C16629" t="s">
        <v>12</v>
      </c>
      <c r="D16629" s="2">
        <v>0</v>
      </c>
      <c r="E16629" s="2">
        <v>840.53</v>
      </c>
      <c r="F16629" t="s">
        <v>14</v>
      </c>
      <c r="G16629" t="s">
        <v>15</v>
      </c>
    </row>
    <row r="16630" spans="1:7" x14ac:dyDescent="0.35">
      <c r="A16630">
        <v>6600</v>
      </c>
      <c r="B16630" s="1">
        <v>46014</v>
      </c>
      <c r="C16630" t="s">
        <v>12</v>
      </c>
      <c r="D16630" s="2">
        <v>0</v>
      </c>
      <c r="E16630" s="2">
        <v>63.04</v>
      </c>
      <c r="F16630" t="s">
        <v>16</v>
      </c>
      <c r="G16630" t="s">
        <v>17</v>
      </c>
    </row>
    <row r="16631" spans="1:7" x14ac:dyDescent="0.35">
      <c r="A16631">
        <v>6601</v>
      </c>
      <c r="B16631" s="1">
        <v>46014</v>
      </c>
      <c r="C16631" t="s">
        <v>12</v>
      </c>
      <c r="D16631" s="2">
        <v>1683.65</v>
      </c>
      <c r="E16631" s="2">
        <v>0</v>
      </c>
      <c r="F16631" t="s">
        <v>13</v>
      </c>
      <c r="G16631" t="s">
        <v>9</v>
      </c>
    </row>
    <row r="16632" spans="1:7" x14ac:dyDescent="0.35">
      <c r="A16632">
        <v>6601</v>
      </c>
      <c r="B16632" s="1">
        <v>46014</v>
      </c>
      <c r="C16632" t="s">
        <v>12</v>
      </c>
      <c r="D16632" s="2">
        <v>0</v>
      </c>
      <c r="E16632" s="2">
        <v>1566.18</v>
      </c>
      <c r="F16632" t="s">
        <v>14</v>
      </c>
      <c r="G16632" t="s">
        <v>15</v>
      </c>
    </row>
    <row r="16633" spans="1:7" x14ac:dyDescent="0.35">
      <c r="A16633">
        <v>6601</v>
      </c>
      <c r="B16633" s="1">
        <v>46014</v>
      </c>
      <c r="C16633" t="s">
        <v>12</v>
      </c>
      <c r="D16633" s="2">
        <v>0</v>
      </c>
      <c r="E16633" s="2">
        <v>117.47</v>
      </c>
      <c r="F16633" t="s">
        <v>16</v>
      </c>
      <c r="G16633" t="s">
        <v>17</v>
      </c>
    </row>
    <row r="16634" spans="1:7" x14ac:dyDescent="0.35">
      <c r="A16634">
        <v>6602</v>
      </c>
      <c r="B16634" s="1">
        <v>46014</v>
      </c>
      <c r="C16634" t="s">
        <v>12</v>
      </c>
      <c r="D16634" s="2">
        <v>897.09</v>
      </c>
      <c r="E16634" s="2">
        <v>0</v>
      </c>
      <c r="F16634" t="s">
        <v>13</v>
      </c>
      <c r="G16634" t="s">
        <v>9</v>
      </c>
    </row>
    <row r="16635" spans="1:7" x14ac:dyDescent="0.35">
      <c r="A16635">
        <v>6602</v>
      </c>
      <c r="B16635" s="1">
        <v>46014</v>
      </c>
      <c r="C16635" t="s">
        <v>12</v>
      </c>
      <c r="D16635" s="2">
        <v>0</v>
      </c>
      <c r="E16635" s="2">
        <v>834.51</v>
      </c>
      <c r="F16635" t="s">
        <v>14</v>
      </c>
      <c r="G16635" t="s">
        <v>15</v>
      </c>
    </row>
    <row r="16636" spans="1:7" x14ac:dyDescent="0.35">
      <c r="A16636">
        <v>6602</v>
      </c>
      <c r="B16636" s="1">
        <v>46014</v>
      </c>
      <c r="C16636" t="s">
        <v>12</v>
      </c>
      <c r="D16636" s="2">
        <v>0</v>
      </c>
      <c r="E16636" s="2">
        <v>62.58</v>
      </c>
      <c r="F16636" t="s">
        <v>16</v>
      </c>
      <c r="G16636" t="s">
        <v>17</v>
      </c>
    </row>
    <row r="16637" spans="1:7" x14ac:dyDescent="0.35">
      <c r="A16637">
        <v>6603</v>
      </c>
      <c r="B16637" s="1">
        <v>46014</v>
      </c>
      <c r="C16637" t="s">
        <v>12</v>
      </c>
      <c r="D16637" s="2">
        <v>1653.84</v>
      </c>
      <c r="E16637" s="2">
        <v>0</v>
      </c>
      <c r="F16637" t="s">
        <v>13</v>
      </c>
      <c r="G16637" t="s">
        <v>9</v>
      </c>
    </row>
    <row r="16638" spans="1:7" x14ac:dyDescent="0.35">
      <c r="A16638">
        <v>6603</v>
      </c>
      <c r="B16638" s="1">
        <v>46014</v>
      </c>
      <c r="C16638" t="s">
        <v>12</v>
      </c>
      <c r="D16638" s="2">
        <v>0</v>
      </c>
      <c r="E16638" s="2">
        <v>1538.45</v>
      </c>
      <c r="F16638" t="s">
        <v>14</v>
      </c>
      <c r="G16638" t="s">
        <v>15</v>
      </c>
    </row>
    <row r="16639" spans="1:7" x14ac:dyDescent="0.35">
      <c r="A16639">
        <v>6603</v>
      </c>
      <c r="B16639" s="1">
        <v>46014</v>
      </c>
      <c r="C16639" t="s">
        <v>12</v>
      </c>
      <c r="D16639" s="2">
        <v>0</v>
      </c>
      <c r="E16639" s="2">
        <v>115.39</v>
      </c>
      <c r="F16639" t="s">
        <v>16</v>
      </c>
      <c r="G16639" t="s">
        <v>17</v>
      </c>
    </row>
    <row r="16640" spans="1:7" x14ac:dyDescent="0.35">
      <c r="A16640">
        <v>6604</v>
      </c>
      <c r="B16640" s="1">
        <v>46014</v>
      </c>
      <c r="C16640" t="s">
        <v>12</v>
      </c>
      <c r="D16640" s="2">
        <v>2393.48</v>
      </c>
      <c r="E16640" s="2">
        <v>0</v>
      </c>
      <c r="F16640" t="s">
        <v>13</v>
      </c>
      <c r="G16640" t="s">
        <v>9</v>
      </c>
    </row>
    <row r="16641" spans="1:7" x14ac:dyDescent="0.35">
      <c r="A16641">
        <v>6604</v>
      </c>
      <c r="B16641" s="1">
        <v>46014</v>
      </c>
      <c r="C16641" t="s">
        <v>12</v>
      </c>
      <c r="D16641" s="2">
        <v>0</v>
      </c>
      <c r="E16641" s="2">
        <v>2226.4899999999998</v>
      </c>
      <c r="F16641" t="s">
        <v>14</v>
      </c>
      <c r="G16641" t="s">
        <v>15</v>
      </c>
    </row>
    <row r="16642" spans="1:7" x14ac:dyDescent="0.35">
      <c r="A16642">
        <v>6604</v>
      </c>
      <c r="B16642" s="1">
        <v>46014</v>
      </c>
      <c r="C16642" t="s">
        <v>12</v>
      </c>
      <c r="D16642" s="2">
        <v>0</v>
      </c>
      <c r="E16642" s="2">
        <v>166.99</v>
      </c>
      <c r="F16642" t="s">
        <v>16</v>
      </c>
      <c r="G16642" t="s">
        <v>17</v>
      </c>
    </row>
    <row r="16643" spans="1:7" x14ac:dyDescent="0.35">
      <c r="A16643">
        <v>6605</v>
      </c>
      <c r="B16643" s="1">
        <v>46014</v>
      </c>
      <c r="C16643" t="s">
        <v>12</v>
      </c>
      <c r="D16643" s="2">
        <v>399.74</v>
      </c>
      <c r="E16643" s="2">
        <v>0</v>
      </c>
      <c r="F16643" t="s">
        <v>13</v>
      </c>
      <c r="G16643" t="s">
        <v>9</v>
      </c>
    </row>
    <row r="16644" spans="1:7" x14ac:dyDescent="0.35">
      <c r="A16644">
        <v>6605</v>
      </c>
      <c r="B16644" s="1">
        <v>46014</v>
      </c>
      <c r="C16644" t="s">
        <v>12</v>
      </c>
      <c r="D16644" s="2">
        <v>0</v>
      </c>
      <c r="E16644" s="2">
        <v>371.85</v>
      </c>
      <c r="F16644" t="s">
        <v>14</v>
      </c>
      <c r="G16644" t="s">
        <v>15</v>
      </c>
    </row>
    <row r="16645" spans="1:7" x14ac:dyDescent="0.35">
      <c r="A16645">
        <v>6605</v>
      </c>
      <c r="B16645" s="1">
        <v>46014</v>
      </c>
      <c r="C16645" t="s">
        <v>12</v>
      </c>
      <c r="D16645" s="2">
        <v>0</v>
      </c>
      <c r="E16645" s="2">
        <v>27.89</v>
      </c>
      <c r="F16645" t="s">
        <v>16</v>
      </c>
      <c r="G16645" t="s">
        <v>17</v>
      </c>
    </row>
    <row r="16646" spans="1:7" x14ac:dyDescent="0.35">
      <c r="A16646">
        <v>6606</v>
      </c>
      <c r="B16646" s="1">
        <v>46014</v>
      </c>
      <c r="C16646" t="s">
        <v>12</v>
      </c>
      <c r="D16646" s="2">
        <v>896.87</v>
      </c>
      <c r="E16646" s="2">
        <v>0</v>
      </c>
      <c r="F16646" t="s">
        <v>13</v>
      </c>
      <c r="G16646" t="s">
        <v>9</v>
      </c>
    </row>
    <row r="16647" spans="1:7" x14ac:dyDescent="0.35">
      <c r="A16647">
        <v>6606</v>
      </c>
      <c r="B16647" s="1">
        <v>46014</v>
      </c>
      <c r="C16647" t="s">
        <v>12</v>
      </c>
      <c r="D16647" s="2">
        <v>0</v>
      </c>
      <c r="E16647" s="2">
        <v>834.3</v>
      </c>
      <c r="F16647" t="s">
        <v>14</v>
      </c>
      <c r="G16647" t="s">
        <v>15</v>
      </c>
    </row>
    <row r="16648" spans="1:7" x14ac:dyDescent="0.35">
      <c r="A16648">
        <v>6606</v>
      </c>
      <c r="B16648" s="1">
        <v>46014</v>
      </c>
      <c r="C16648" t="s">
        <v>12</v>
      </c>
      <c r="D16648" s="2">
        <v>0</v>
      </c>
      <c r="E16648" s="2">
        <v>62.57</v>
      </c>
      <c r="F16648" t="s">
        <v>16</v>
      </c>
      <c r="G16648" t="s">
        <v>17</v>
      </c>
    </row>
    <row r="16649" spans="1:7" x14ac:dyDescent="0.35">
      <c r="A16649">
        <v>6607</v>
      </c>
      <c r="B16649" s="1">
        <v>46014</v>
      </c>
      <c r="C16649" t="s">
        <v>12</v>
      </c>
      <c r="D16649" s="2">
        <v>1983.89</v>
      </c>
      <c r="E16649" s="2">
        <v>0</v>
      </c>
      <c r="F16649" t="s">
        <v>13</v>
      </c>
      <c r="G16649" t="s">
        <v>9</v>
      </c>
    </row>
    <row r="16650" spans="1:7" x14ac:dyDescent="0.35">
      <c r="A16650">
        <v>6607</v>
      </c>
      <c r="B16650" s="1">
        <v>46014</v>
      </c>
      <c r="C16650" t="s">
        <v>12</v>
      </c>
      <c r="D16650" s="2">
        <v>0</v>
      </c>
      <c r="E16650" s="2">
        <v>1845.48</v>
      </c>
      <c r="F16650" t="s">
        <v>14</v>
      </c>
      <c r="G16650" t="s">
        <v>15</v>
      </c>
    </row>
    <row r="16651" spans="1:7" x14ac:dyDescent="0.35">
      <c r="A16651">
        <v>6607</v>
      </c>
      <c r="B16651" s="1">
        <v>46014</v>
      </c>
      <c r="C16651" t="s">
        <v>12</v>
      </c>
      <c r="D16651" s="2">
        <v>0</v>
      </c>
      <c r="E16651" s="2">
        <v>138.41</v>
      </c>
      <c r="F16651" t="s">
        <v>16</v>
      </c>
      <c r="G16651" t="s">
        <v>17</v>
      </c>
    </row>
    <row r="16652" spans="1:7" x14ac:dyDescent="0.35">
      <c r="A16652">
        <v>6608</v>
      </c>
      <c r="B16652" s="1">
        <v>46014</v>
      </c>
      <c r="C16652" t="s">
        <v>24</v>
      </c>
      <c r="D16652" s="2">
        <v>2859.57</v>
      </c>
      <c r="E16652" s="2">
        <v>0</v>
      </c>
      <c r="F16652" t="s">
        <v>8</v>
      </c>
      <c r="G16652" t="s">
        <v>9</v>
      </c>
    </row>
    <row r="16653" spans="1:7" x14ac:dyDescent="0.35">
      <c r="A16653">
        <v>6608</v>
      </c>
      <c r="B16653" s="1">
        <v>46014</v>
      </c>
      <c r="C16653" t="s">
        <v>24</v>
      </c>
      <c r="D16653" s="2">
        <v>0</v>
      </c>
      <c r="E16653" s="2">
        <v>2859.57</v>
      </c>
      <c r="F16653" t="s">
        <v>13</v>
      </c>
      <c r="G16653" t="s">
        <v>9</v>
      </c>
    </row>
    <row r="16654" spans="1:7" x14ac:dyDescent="0.35">
      <c r="A16654">
        <v>6609</v>
      </c>
      <c r="B16654" s="1">
        <v>46014</v>
      </c>
      <c r="C16654" t="s">
        <v>24</v>
      </c>
      <c r="D16654" s="2">
        <v>659.98</v>
      </c>
      <c r="E16654" s="2">
        <v>0</v>
      </c>
      <c r="F16654" t="s">
        <v>8</v>
      </c>
      <c r="G16654" t="s">
        <v>9</v>
      </c>
    </row>
    <row r="16655" spans="1:7" x14ac:dyDescent="0.35">
      <c r="A16655">
        <v>6609</v>
      </c>
      <c r="B16655" s="1">
        <v>46014</v>
      </c>
      <c r="C16655" t="s">
        <v>24</v>
      </c>
      <c r="D16655" s="2">
        <v>0</v>
      </c>
      <c r="E16655" s="2">
        <v>659.98</v>
      </c>
      <c r="F16655" t="s">
        <v>13</v>
      </c>
      <c r="G16655" t="s">
        <v>9</v>
      </c>
    </row>
    <row r="16656" spans="1:7" x14ac:dyDescent="0.35">
      <c r="A16656">
        <v>6610</v>
      </c>
      <c r="B16656" s="1">
        <v>46014</v>
      </c>
      <c r="C16656" t="s">
        <v>24</v>
      </c>
      <c r="D16656" s="2">
        <v>5649.23</v>
      </c>
      <c r="E16656" s="2">
        <v>0</v>
      </c>
      <c r="F16656" t="s">
        <v>8</v>
      </c>
      <c r="G16656" t="s">
        <v>9</v>
      </c>
    </row>
    <row r="16657" spans="1:7" x14ac:dyDescent="0.35">
      <c r="A16657">
        <v>6610</v>
      </c>
      <c r="B16657" s="1">
        <v>46014</v>
      </c>
      <c r="C16657" t="s">
        <v>24</v>
      </c>
      <c r="D16657" s="2">
        <v>0</v>
      </c>
      <c r="E16657" s="2">
        <v>5649.23</v>
      </c>
      <c r="F16657" t="s">
        <v>13</v>
      </c>
      <c r="G16657" t="s">
        <v>9</v>
      </c>
    </row>
    <row r="16658" spans="1:7" x14ac:dyDescent="0.35">
      <c r="A16658">
        <v>6611</v>
      </c>
      <c r="B16658" s="1">
        <v>46014</v>
      </c>
      <c r="C16658" t="s">
        <v>24</v>
      </c>
      <c r="D16658" s="2">
        <v>2066.36</v>
      </c>
      <c r="E16658" s="2">
        <v>0</v>
      </c>
      <c r="F16658" t="s">
        <v>8</v>
      </c>
      <c r="G16658" t="s">
        <v>9</v>
      </c>
    </row>
    <row r="16659" spans="1:7" x14ac:dyDescent="0.35">
      <c r="A16659">
        <v>6611</v>
      </c>
      <c r="B16659" s="1">
        <v>46014</v>
      </c>
      <c r="C16659" t="s">
        <v>24</v>
      </c>
      <c r="D16659" s="2">
        <v>0</v>
      </c>
      <c r="E16659" s="2">
        <v>2066.36</v>
      </c>
      <c r="F16659" t="s">
        <v>13</v>
      </c>
      <c r="G16659" t="s">
        <v>9</v>
      </c>
    </row>
    <row r="16660" spans="1:7" x14ac:dyDescent="0.35">
      <c r="A16660">
        <v>6612</v>
      </c>
      <c r="B16660" s="1">
        <v>46014</v>
      </c>
      <c r="C16660" t="s">
        <v>24</v>
      </c>
      <c r="D16660" s="2">
        <v>3837.91</v>
      </c>
      <c r="E16660" s="2">
        <v>0</v>
      </c>
      <c r="F16660" t="s">
        <v>8</v>
      </c>
      <c r="G16660" t="s">
        <v>9</v>
      </c>
    </row>
    <row r="16661" spans="1:7" x14ac:dyDescent="0.35">
      <c r="A16661">
        <v>6612</v>
      </c>
      <c r="B16661" s="1">
        <v>46014</v>
      </c>
      <c r="C16661" t="s">
        <v>24</v>
      </c>
      <c r="D16661" s="2">
        <v>0</v>
      </c>
      <c r="E16661" s="2">
        <v>3837.91</v>
      </c>
      <c r="F16661" t="s">
        <v>13</v>
      </c>
      <c r="G16661" t="s">
        <v>9</v>
      </c>
    </row>
    <row r="16662" spans="1:7" x14ac:dyDescent="0.35">
      <c r="A16662">
        <v>6613</v>
      </c>
      <c r="B16662" s="1">
        <v>46014</v>
      </c>
      <c r="C16662" t="s">
        <v>24</v>
      </c>
      <c r="D16662" s="2">
        <v>1696.61</v>
      </c>
      <c r="E16662" s="2">
        <v>0</v>
      </c>
      <c r="F16662" t="s">
        <v>8</v>
      </c>
      <c r="G16662" t="s">
        <v>9</v>
      </c>
    </row>
    <row r="16663" spans="1:7" x14ac:dyDescent="0.35">
      <c r="A16663">
        <v>6613</v>
      </c>
      <c r="B16663" s="1">
        <v>46014</v>
      </c>
      <c r="C16663" t="s">
        <v>24</v>
      </c>
      <c r="D16663" s="2">
        <v>0</v>
      </c>
      <c r="E16663" s="2">
        <v>1696.61</v>
      </c>
      <c r="F16663" t="s">
        <v>13</v>
      </c>
      <c r="G16663" t="s">
        <v>9</v>
      </c>
    </row>
    <row r="16664" spans="1:7" x14ac:dyDescent="0.35">
      <c r="A16664">
        <v>6614</v>
      </c>
      <c r="B16664" s="1">
        <v>46014</v>
      </c>
      <c r="C16664" t="s">
        <v>24</v>
      </c>
      <c r="D16664" s="2">
        <v>446.4</v>
      </c>
      <c r="E16664" s="2">
        <v>0</v>
      </c>
      <c r="F16664" t="s">
        <v>8</v>
      </c>
      <c r="G16664" t="s">
        <v>9</v>
      </c>
    </row>
    <row r="16665" spans="1:7" x14ac:dyDescent="0.35">
      <c r="A16665">
        <v>6614</v>
      </c>
      <c r="B16665" s="1">
        <v>46014</v>
      </c>
      <c r="C16665" t="s">
        <v>24</v>
      </c>
      <c r="D16665" s="2">
        <v>0</v>
      </c>
      <c r="E16665" s="2">
        <v>446.4</v>
      </c>
      <c r="F16665" t="s">
        <v>13</v>
      </c>
      <c r="G16665" t="s">
        <v>9</v>
      </c>
    </row>
    <row r="16666" spans="1:7" x14ac:dyDescent="0.35">
      <c r="A16666">
        <v>6615</v>
      </c>
      <c r="B16666" s="1">
        <v>46014</v>
      </c>
      <c r="C16666" t="s">
        <v>24</v>
      </c>
      <c r="D16666" s="2">
        <v>161.68</v>
      </c>
      <c r="E16666" s="2">
        <v>0</v>
      </c>
      <c r="F16666" t="s">
        <v>8</v>
      </c>
      <c r="G16666" t="s">
        <v>9</v>
      </c>
    </row>
    <row r="16667" spans="1:7" x14ac:dyDescent="0.35">
      <c r="A16667">
        <v>6615</v>
      </c>
      <c r="B16667" s="1">
        <v>46014</v>
      </c>
      <c r="C16667" t="s">
        <v>24</v>
      </c>
      <c r="D16667" s="2">
        <v>0</v>
      </c>
      <c r="E16667" s="2">
        <v>161.68</v>
      </c>
      <c r="F16667" t="s">
        <v>13</v>
      </c>
      <c r="G16667" t="s">
        <v>9</v>
      </c>
    </row>
    <row r="16668" spans="1:7" x14ac:dyDescent="0.35">
      <c r="A16668">
        <v>6616</v>
      </c>
      <c r="B16668" s="1">
        <v>46014</v>
      </c>
      <c r="C16668" t="s">
        <v>24</v>
      </c>
      <c r="D16668" s="2">
        <v>369.52</v>
      </c>
      <c r="E16668" s="2">
        <v>0</v>
      </c>
      <c r="F16668" t="s">
        <v>8</v>
      </c>
      <c r="G16668" t="s">
        <v>9</v>
      </c>
    </row>
    <row r="16669" spans="1:7" x14ac:dyDescent="0.35">
      <c r="A16669">
        <v>6616</v>
      </c>
      <c r="B16669" s="1">
        <v>46014</v>
      </c>
      <c r="C16669" t="s">
        <v>24</v>
      </c>
      <c r="D16669" s="2">
        <v>0</v>
      </c>
      <c r="E16669" s="2">
        <v>369.52</v>
      </c>
      <c r="F16669" t="s">
        <v>13</v>
      </c>
      <c r="G16669" t="s">
        <v>9</v>
      </c>
    </row>
    <row r="16670" spans="1:7" x14ac:dyDescent="0.35">
      <c r="A16670">
        <v>6617</v>
      </c>
      <c r="B16670" s="1">
        <v>46014</v>
      </c>
      <c r="C16670" t="s">
        <v>24</v>
      </c>
      <c r="D16670" s="2">
        <v>2042.01</v>
      </c>
      <c r="E16670" s="2">
        <v>0</v>
      </c>
      <c r="F16670" t="s">
        <v>8</v>
      </c>
      <c r="G16670" t="s">
        <v>9</v>
      </c>
    </row>
    <row r="16671" spans="1:7" x14ac:dyDescent="0.35">
      <c r="A16671">
        <v>6617</v>
      </c>
      <c r="B16671" s="1">
        <v>46014</v>
      </c>
      <c r="C16671" t="s">
        <v>24</v>
      </c>
      <c r="D16671" s="2">
        <v>0</v>
      </c>
      <c r="E16671" s="2">
        <v>2042.01</v>
      </c>
      <c r="F16671" t="s">
        <v>13</v>
      </c>
      <c r="G16671" t="s">
        <v>9</v>
      </c>
    </row>
    <row r="16672" spans="1:7" x14ac:dyDescent="0.35">
      <c r="A16672">
        <v>6618</v>
      </c>
      <c r="B16672" s="1">
        <v>46014</v>
      </c>
      <c r="C16672" t="s">
        <v>24</v>
      </c>
      <c r="D16672" s="2">
        <v>2025.8</v>
      </c>
      <c r="E16672" s="2">
        <v>0</v>
      </c>
      <c r="F16672" t="s">
        <v>8</v>
      </c>
      <c r="G16672" t="s">
        <v>9</v>
      </c>
    </row>
    <row r="16673" spans="1:7" x14ac:dyDescent="0.35">
      <c r="A16673">
        <v>6618</v>
      </c>
      <c r="B16673" s="1">
        <v>46014</v>
      </c>
      <c r="C16673" t="s">
        <v>24</v>
      </c>
      <c r="D16673" s="2">
        <v>0</v>
      </c>
      <c r="E16673" s="2">
        <v>2025.8</v>
      </c>
      <c r="F16673" t="s">
        <v>13</v>
      </c>
      <c r="G16673" t="s">
        <v>9</v>
      </c>
    </row>
    <row r="16674" spans="1:7" x14ac:dyDescent="0.35">
      <c r="A16674">
        <v>6619</v>
      </c>
      <c r="B16674" s="1">
        <v>46014</v>
      </c>
      <c r="C16674" t="s">
        <v>24</v>
      </c>
      <c r="D16674" s="2">
        <v>2060.37</v>
      </c>
      <c r="E16674" s="2">
        <v>0</v>
      </c>
      <c r="F16674" t="s">
        <v>8</v>
      </c>
      <c r="G16674" t="s">
        <v>9</v>
      </c>
    </row>
    <row r="16675" spans="1:7" x14ac:dyDescent="0.35">
      <c r="A16675">
        <v>6619</v>
      </c>
      <c r="B16675" s="1">
        <v>46014</v>
      </c>
      <c r="C16675" t="s">
        <v>24</v>
      </c>
      <c r="D16675" s="2">
        <v>0</v>
      </c>
      <c r="E16675" s="2">
        <v>2060.37</v>
      </c>
      <c r="F16675" t="s">
        <v>13</v>
      </c>
      <c r="G16675" t="s">
        <v>9</v>
      </c>
    </row>
    <row r="16676" spans="1:7" x14ac:dyDescent="0.35">
      <c r="A16676">
        <v>6620</v>
      </c>
      <c r="B16676" s="1">
        <v>46014</v>
      </c>
      <c r="C16676" t="s">
        <v>24</v>
      </c>
      <c r="D16676" s="2">
        <v>1983.89</v>
      </c>
      <c r="E16676" s="2">
        <v>0</v>
      </c>
      <c r="F16676" t="s">
        <v>8</v>
      </c>
      <c r="G16676" t="s">
        <v>9</v>
      </c>
    </row>
    <row r="16677" spans="1:7" x14ac:dyDescent="0.35">
      <c r="A16677">
        <v>6620</v>
      </c>
      <c r="B16677" s="1">
        <v>46014</v>
      </c>
      <c r="C16677" t="s">
        <v>24</v>
      </c>
      <c r="D16677" s="2">
        <v>0</v>
      </c>
      <c r="E16677" s="2">
        <v>1983.89</v>
      </c>
      <c r="F16677" t="s">
        <v>13</v>
      </c>
      <c r="G16677" t="s">
        <v>9</v>
      </c>
    </row>
    <row r="16678" spans="1:7" x14ac:dyDescent="0.35">
      <c r="A16678">
        <v>6621</v>
      </c>
      <c r="B16678" s="1">
        <v>46014</v>
      </c>
      <c r="C16678" t="s">
        <v>29</v>
      </c>
      <c r="D16678" s="2">
        <v>1591.54</v>
      </c>
      <c r="E16678" s="2">
        <v>0</v>
      </c>
      <c r="F16678" t="s">
        <v>28</v>
      </c>
      <c r="G16678" t="s">
        <v>17</v>
      </c>
    </row>
    <row r="16679" spans="1:7" x14ac:dyDescent="0.35">
      <c r="A16679">
        <v>6621</v>
      </c>
      <c r="B16679" s="1">
        <v>46014</v>
      </c>
      <c r="C16679" t="s">
        <v>29</v>
      </c>
      <c r="D16679" s="2">
        <v>0</v>
      </c>
      <c r="E16679" s="2">
        <v>1591.54</v>
      </c>
      <c r="F16679" t="s">
        <v>8</v>
      </c>
      <c r="G16679" t="s">
        <v>9</v>
      </c>
    </row>
    <row r="16680" spans="1:7" x14ac:dyDescent="0.35">
      <c r="A16680">
        <v>6622</v>
      </c>
      <c r="B16680" s="1">
        <v>46014</v>
      </c>
      <c r="C16680" t="s">
        <v>29</v>
      </c>
      <c r="D16680" s="2">
        <v>2918.17</v>
      </c>
      <c r="E16680" s="2">
        <v>0</v>
      </c>
      <c r="F16680" t="s">
        <v>28</v>
      </c>
      <c r="G16680" t="s">
        <v>17</v>
      </c>
    </row>
    <row r="16681" spans="1:7" x14ac:dyDescent="0.35">
      <c r="A16681">
        <v>6622</v>
      </c>
      <c r="B16681" s="1">
        <v>46014</v>
      </c>
      <c r="C16681" t="s">
        <v>29</v>
      </c>
      <c r="D16681" s="2">
        <v>0</v>
      </c>
      <c r="E16681" s="2">
        <v>2918.17</v>
      </c>
      <c r="F16681" t="s">
        <v>8</v>
      </c>
      <c r="G16681" t="s">
        <v>9</v>
      </c>
    </row>
    <row r="16682" spans="1:7" x14ac:dyDescent="0.35">
      <c r="A16682">
        <v>6623</v>
      </c>
      <c r="B16682" s="1">
        <v>46015</v>
      </c>
      <c r="C16682" t="s">
        <v>12</v>
      </c>
      <c r="D16682" s="2">
        <v>261.94</v>
      </c>
      <c r="E16682" s="2">
        <v>0</v>
      </c>
      <c r="F16682" t="s">
        <v>13</v>
      </c>
      <c r="G16682" t="s">
        <v>9</v>
      </c>
    </row>
    <row r="16683" spans="1:7" x14ac:dyDescent="0.35">
      <c r="A16683">
        <v>6623</v>
      </c>
      <c r="B16683" s="1">
        <v>46015</v>
      </c>
      <c r="C16683" t="s">
        <v>12</v>
      </c>
      <c r="D16683" s="2">
        <v>0</v>
      </c>
      <c r="E16683" s="2">
        <v>243.67</v>
      </c>
      <c r="F16683" t="s">
        <v>14</v>
      </c>
      <c r="G16683" t="s">
        <v>15</v>
      </c>
    </row>
    <row r="16684" spans="1:7" x14ac:dyDescent="0.35">
      <c r="A16684">
        <v>6623</v>
      </c>
      <c r="B16684" s="1">
        <v>46015</v>
      </c>
      <c r="C16684" t="s">
        <v>12</v>
      </c>
      <c r="D16684" s="2">
        <v>0</v>
      </c>
      <c r="E16684" s="2">
        <v>18.27</v>
      </c>
      <c r="F16684" t="s">
        <v>16</v>
      </c>
      <c r="G16684" t="s">
        <v>17</v>
      </c>
    </row>
    <row r="16685" spans="1:7" x14ac:dyDescent="0.35">
      <c r="A16685">
        <v>6624</v>
      </c>
      <c r="B16685" s="1">
        <v>46015</v>
      </c>
      <c r="C16685" t="s">
        <v>12</v>
      </c>
      <c r="D16685" s="2">
        <v>143.66</v>
      </c>
      <c r="E16685" s="2">
        <v>0</v>
      </c>
      <c r="F16685" t="s">
        <v>13</v>
      </c>
      <c r="G16685" t="s">
        <v>9</v>
      </c>
    </row>
    <row r="16686" spans="1:7" x14ac:dyDescent="0.35">
      <c r="A16686">
        <v>6624</v>
      </c>
      <c r="B16686" s="1">
        <v>46015</v>
      </c>
      <c r="C16686" t="s">
        <v>12</v>
      </c>
      <c r="D16686" s="2">
        <v>0</v>
      </c>
      <c r="E16686" s="2">
        <v>133.63999999999999</v>
      </c>
      <c r="F16686" t="s">
        <v>14</v>
      </c>
      <c r="G16686" t="s">
        <v>15</v>
      </c>
    </row>
    <row r="16687" spans="1:7" x14ac:dyDescent="0.35">
      <c r="A16687">
        <v>6624</v>
      </c>
      <c r="B16687" s="1">
        <v>46015</v>
      </c>
      <c r="C16687" t="s">
        <v>12</v>
      </c>
      <c r="D16687" s="2">
        <v>0</v>
      </c>
      <c r="E16687" s="2">
        <v>10.02</v>
      </c>
      <c r="F16687" t="s">
        <v>16</v>
      </c>
      <c r="G16687" t="s">
        <v>17</v>
      </c>
    </row>
    <row r="16688" spans="1:7" x14ac:dyDescent="0.35">
      <c r="A16688">
        <v>6625</v>
      </c>
      <c r="B16688" s="1">
        <v>46015</v>
      </c>
      <c r="C16688" t="s">
        <v>12</v>
      </c>
      <c r="D16688" s="2">
        <v>2814.72</v>
      </c>
      <c r="E16688" s="2">
        <v>0</v>
      </c>
      <c r="F16688" t="s">
        <v>13</v>
      </c>
      <c r="G16688" t="s">
        <v>9</v>
      </c>
    </row>
    <row r="16689" spans="1:7" x14ac:dyDescent="0.35">
      <c r="A16689">
        <v>6625</v>
      </c>
      <c r="B16689" s="1">
        <v>46015</v>
      </c>
      <c r="C16689" t="s">
        <v>12</v>
      </c>
      <c r="D16689" s="2">
        <v>0</v>
      </c>
      <c r="E16689" s="2">
        <v>2618.33</v>
      </c>
      <c r="F16689" t="s">
        <v>14</v>
      </c>
      <c r="G16689" t="s">
        <v>15</v>
      </c>
    </row>
    <row r="16690" spans="1:7" x14ac:dyDescent="0.35">
      <c r="A16690">
        <v>6625</v>
      </c>
      <c r="B16690" s="1">
        <v>46015</v>
      </c>
      <c r="C16690" t="s">
        <v>12</v>
      </c>
      <c r="D16690" s="2">
        <v>0</v>
      </c>
      <c r="E16690" s="2">
        <v>196.39</v>
      </c>
      <c r="F16690" t="s">
        <v>16</v>
      </c>
      <c r="G16690" t="s">
        <v>17</v>
      </c>
    </row>
    <row r="16691" spans="1:7" x14ac:dyDescent="0.35">
      <c r="A16691">
        <v>6626</v>
      </c>
      <c r="B16691" s="1">
        <v>46015</v>
      </c>
      <c r="C16691" t="s">
        <v>12</v>
      </c>
      <c r="D16691" s="2">
        <v>4279.05</v>
      </c>
      <c r="E16691" s="2">
        <v>0</v>
      </c>
      <c r="F16691" t="s">
        <v>13</v>
      </c>
      <c r="G16691" t="s">
        <v>9</v>
      </c>
    </row>
    <row r="16692" spans="1:7" x14ac:dyDescent="0.35">
      <c r="A16692">
        <v>6626</v>
      </c>
      <c r="B16692" s="1">
        <v>46015</v>
      </c>
      <c r="C16692" t="s">
        <v>12</v>
      </c>
      <c r="D16692" s="2">
        <v>0</v>
      </c>
      <c r="E16692" s="2">
        <v>3980.52</v>
      </c>
      <c r="F16692" t="s">
        <v>14</v>
      </c>
      <c r="G16692" t="s">
        <v>15</v>
      </c>
    </row>
    <row r="16693" spans="1:7" x14ac:dyDescent="0.35">
      <c r="A16693">
        <v>6626</v>
      </c>
      <c r="B16693" s="1">
        <v>46015</v>
      </c>
      <c r="C16693" t="s">
        <v>12</v>
      </c>
      <c r="D16693" s="2">
        <v>0</v>
      </c>
      <c r="E16693" s="2">
        <v>298.52999999999997</v>
      </c>
      <c r="F16693" t="s">
        <v>16</v>
      </c>
      <c r="G16693" t="s">
        <v>17</v>
      </c>
    </row>
    <row r="16694" spans="1:7" x14ac:dyDescent="0.35">
      <c r="A16694">
        <v>6627</v>
      </c>
      <c r="B16694" s="1">
        <v>46015</v>
      </c>
      <c r="C16694" t="s">
        <v>12</v>
      </c>
      <c r="D16694" s="2">
        <v>3809.63</v>
      </c>
      <c r="E16694" s="2">
        <v>0</v>
      </c>
      <c r="F16694" t="s">
        <v>13</v>
      </c>
      <c r="G16694" t="s">
        <v>9</v>
      </c>
    </row>
    <row r="16695" spans="1:7" x14ac:dyDescent="0.35">
      <c r="A16695">
        <v>6627</v>
      </c>
      <c r="B16695" s="1">
        <v>46015</v>
      </c>
      <c r="C16695" t="s">
        <v>12</v>
      </c>
      <c r="D16695" s="2">
        <v>0</v>
      </c>
      <c r="E16695" s="2">
        <v>3543.84</v>
      </c>
      <c r="F16695" t="s">
        <v>14</v>
      </c>
      <c r="G16695" t="s">
        <v>15</v>
      </c>
    </row>
    <row r="16696" spans="1:7" x14ac:dyDescent="0.35">
      <c r="A16696">
        <v>6627</v>
      </c>
      <c r="B16696" s="1">
        <v>46015</v>
      </c>
      <c r="C16696" t="s">
        <v>12</v>
      </c>
      <c r="D16696" s="2">
        <v>0</v>
      </c>
      <c r="E16696" s="2">
        <v>265.79000000000002</v>
      </c>
      <c r="F16696" t="s">
        <v>16</v>
      </c>
      <c r="G16696" t="s">
        <v>17</v>
      </c>
    </row>
    <row r="16697" spans="1:7" x14ac:dyDescent="0.35">
      <c r="A16697">
        <v>6628</v>
      </c>
      <c r="B16697" s="1">
        <v>46015</v>
      </c>
      <c r="C16697" t="s">
        <v>12</v>
      </c>
      <c r="D16697" s="2">
        <v>3727.3</v>
      </c>
      <c r="E16697" s="2">
        <v>0</v>
      </c>
      <c r="F16697" t="s">
        <v>13</v>
      </c>
      <c r="G16697" t="s">
        <v>9</v>
      </c>
    </row>
    <row r="16698" spans="1:7" x14ac:dyDescent="0.35">
      <c r="A16698">
        <v>6628</v>
      </c>
      <c r="B16698" s="1">
        <v>46015</v>
      </c>
      <c r="C16698" t="s">
        <v>12</v>
      </c>
      <c r="D16698" s="2">
        <v>0</v>
      </c>
      <c r="E16698" s="2">
        <v>3467.26</v>
      </c>
      <c r="F16698" t="s">
        <v>14</v>
      </c>
      <c r="G16698" t="s">
        <v>15</v>
      </c>
    </row>
    <row r="16699" spans="1:7" x14ac:dyDescent="0.35">
      <c r="A16699">
        <v>6628</v>
      </c>
      <c r="B16699" s="1">
        <v>46015</v>
      </c>
      <c r="C16699" t="s">
        <v>12</v>
      </c>
      <c r="D16699" s="2">
        <v>0</v>
      </c>
      <c r="E16699" s="2">
        <v>260.04000000000002</v>
      </c>
      <c r="F16699" t="s">
        <v>16</v>
      </c>
      <c r="G16699" t="s">
        <v>17</v>
      </c>
    </row>
    <row r="16700" spans="1:7" x14ac:dyDescent="0.35">
      <c r="A16700">
        <v>6629</v>
      </c>
      <c r="B16700" s="1">
        <v>46015</v>
      </c>
      <c r="C16700" t="s">
        <v>12</v>
      </c>
      <c r="D16700" s="2">
        <v>446.88</v>
      </c>
      <c r="E16700" s="2">
        <v>0</v>
      </c>
      <c r="F16700" t="s">
        <v>13</v>
      </c>
      <c r="G16700" t="s">
        <v>9</v>
      </c>
    </row>
    <row r="16701" spans="1:7" x14ac:dyDescent="0.35">
      <c r="A16701">
        <v>6629</v>
      </c>
      <c r="B16701" s="1">
        <v>46015</v>
      </c>
      <c r="C16701" t="s">
        <v>12</v>
      </c>
      <c r="D16701" s="2">
        <v>0</v>
      </c>
      <c r="E16701" s="2">
        <v>415.7</v>
      </c>
      <c r="F16701" t="s">
        <v>14</v>
      </c>
      <c r="G16701" t="s">
        <v>15</v>
      </c>
    </row>
    <row r="16702" spans="1:7" x14ac:dyDescent="0.35">
      <c r="A16702">
        <v>6629</v>
      </c>
      <c r="B16702" s="1">
        <v>46015</v>
      </c>
      <c r="C16702" t="s">
        <v>12</v>
      </c>
      <c r="D16702" s="2">
        <v>0</v>
      </c>
      <c r="E16702" s="2">
        <v>31.18</v>
      </c>
      <c r="F16702" t="s">
        <v>16</v>
      </c>
      <c r="G16702" t="s">
        <v>17</v>
      </c>
    </row>
    <row r="16703" spans="1:7" x14ac:dyDescent="0.35">
      <c r="A16703">
        <v>6630</v>
      </c>
      <c r="B16703" s="1">
        <v>46015</v>
      </c>
      <c r="C16703" t="s">
        <v>24</v>
      </c>
      <c r="D16703" s="2">
        <v>6407.5</v>
      </c>
      <c r="E16703" s="2">
        <v>0</v>
      </c>
      <c r="F16703" t="s">
        <v>8</v>
      </c>
      <c r="G16703" t="s">
        <v>9</v>
      </c>
    </row>
    <row r="16704" spans="1:7" x14ac:dyDescent="0.35">
      <c r="A16704">
        <v>6630</v>
      </c>
      <c r="B16704" s="1">
        <v>46015</v>
      </c>
      <c r="C16704" t="s">
        <v>24</v>
      </c>
      <c r="D16704" s="2">
        <v>0</v>
      </c>
      <c r="E16704" s="2">
        <v>6407.5</v>
      </c>
      <c r="F16704" t="s">
        <v>13</v>
      </c>
      <c r="G16704" t="s">
        <v>9</v>
      </c>
    </row>
    <row r="16705" spans="1:7" x14ac:dyDescent="0.35">
      <c r="A16705">
        <v>6631</v>
      </c>
      <c r="B16705" s="1">
        <v>46015</v>
      </c>
      <c r="C16705" t="s">
        <v>24</v>
      </c>
      <c r="D16705" s="2">
        <v>577.16999999999996</v>
      </c>
      <c r="E16705" s="2">
        <v>0</v>
      </c>
      <c r="F16705" t="s">
        <v>8</v>
      </c>
      <c r="G16705" t="s">
        <v>9</v>
      </c>
    </row>
    <row r="16706" spans="1:7" x14ac:dyDescent="0.35">
      <c r="A16706">
        <v>6631</v>
      </c>
      <c r="B16706" s="1">
        <v>46015</v>
      </c>
      <c r="C16706" t="s">
        <v>24</v>
      </c>
      <c r="D16706" s="2">
        <v>0</v>
      </c>
      <c r="E16706" s="2">
        <v>577.16999999999996</v>
      </c>
      <c r="F16706" t="s">
        <v>13</v>
      </c>
      <c r="G16706" t="s">
        <v>9</v>
      </c>
    </row>
    <row r="16707" spans="1:7" x14ac:dyDescent="0.35">
      <c r="A16707">
        <v>6632</v>
      </c>
      <c r="B16707" s="1">
        <v>46015</v>
      </c>
      <c r="C16707" t="s">
        <v>24</v>
      </c>
      <c r="D16707" s="2">
        <v>1635.95</v>
      </c>
      <c r="E16707" s="2">
        <v>0</v>
      </c>
      <c r="F16707" t="s">
        <v>8</v>
      </c>
      <c r="G16707" t="s">
        <v>9</v>
      </c>
    </row>
    <row r="16708" spans="1:7" x14ac:dyDescent="0.35">
      <c r="A16708">
        <v>6632</v>
      </c>
      <c r="B16708" s="1">
        <v>46015</v>
      </c>
      <c r="C16708" t="s">
        <v>24</v>
      </c>
      <c r="D16708" s="2">
        <v>0</v>
      </c>
      <c r="E16708" s="2">
        <v>1635.95</v>
      </c>
      <c r="F16708" t="s">
        <v>13</v>
      </c>
      <c r="G16708" t="s">
        <v>9</v>
      </c>
    </row>
    <row r="16709" spans="1:7" x14ac:dyDescent="0.35">
      <c r="A16709">
        <v>6633</v>
      </c>
      <c r="B16709" s="1">
        <v>46015</v>
      </c>
      <c r="C16709" t="s">
        <v>24</v>
      </c>
      <c r="D16709" s="2">
        <v>56.12</v>
      </c>
      <c r="E16709" s="2">
        <v>0</v>
      </c>
      <c r="F16709" t="s">
        <v>8</v>
      </c>
      <c r="G16709" t="s">
        <v>9</v>
      </c>
    </row>
    <row r="16710" spans="1:7" x14ac:dyDescent="0.35">
      <c r="A16710">
        <v>6633</v>
      </c>
      <c r="B16710" s="1">
        <v>46015</v>
      </c>
      <c r="C16710" t="s">
        <v>24</v>
      </c>
      <c r="D16710" s="2">
        <v>0</v>
      </c>
      <c r="E16710" s="2">
        <v>56.12</v>
      </c>
      <c r="F16710" t="s">
        <v>13</v>
      </c>
      <c r="G16710" t="s">
        <v>9</v>
      </c>
    </row>
    <row r="16711" spans="1:7" x14ac:dyDescent="0.35">
      <c r="A16711">
        <v>6634</v>
      </c>
      <c r="B16711" s="1">
        <v>46015</v>
      </c>
      <c r="C16711" t="s">
        <v>24</v>
      </c>
      <c r="D16711" s="2">
        <v>3339.07</v>
      </c>
      <c r="E16711" s="2">
        <v>0</v>
      </c>
      <c r="F16711" t="s">
        <v>8</v>
      </c>
      <c r="G16711" t="s">
        <v>9</v>
      </c>
    </row>
    <row r="16712" spans="1:7" x14ac:dyDescent="0.35">
      <c r="A16712">
        <v>6634</v>
      </c>
      <c r="B16712" s="1">
        <v>46015</v>
      </c>
      <c r="C16712" t="s">
        <v>24</v>
      </c>
      <c r="D16712" s="2">
        <v>0</v>
      </c>
      <c r="E16712" s="2">
        <v>3339.07</v>
      </c>
      <c r="F16712" t="s">
        <v>13</v>
      </c>
      <c r="G16712" t="s">
        <v>9</v>
      </c>
    </row>
    <row r="16713" spans="1:7" x14ac:dyDescent="0.35">
      <c r="A16713">
        <v>6635</v>
      </c>
      <c r="B16713" s="1">
        <v>46015</v>
      </c>
      <c r="C16713" t="s">
        <v>24</v>
      </c>
      <c r="D16713" s="2">
        <v>1675.03</v>
      </c>
      <c r="E16713" s="2">
        <v>0</v>
      </c>
      <c r="F16713" t="s">
        <v>8</v>
      </c>
      <c r="G16713" t="s">
        <v>9</v>
      </c>
    </row>
    <row r="16714" spans="1:7" x14ac:dyDescent="0.35">
      <c r="A16714">
        <v>6635</v>
      </c>
      <c r="B16714" s="1">
        <v>46015</v>
      </c>
      <c r="C16714" t="s">
        <v>24</v>
      </c>
      <c r="D16714" s="2">
        <v>0</v>
      </c>
      <c r="E16714" s="2">
        <v>1675.03</v>
      </c>
      <c r="F16714" t="s">
        <v>13</v>
      </c>
      <c r="G16714" t="s">
        <v>9</v>
      </c>
    </row>
    <row r="16715" spans="1:7" x14ac:dyDescent="0.35">
      <c r="A16715">
        <v>6636</v>
      </c>
      <c r="B16715" s="1">
        <v>46015</v>
      </c>
      <c r="C16715" t="s">
        <v>24</v>
      </c>
      <c r="D16715" s="2">
        <v>6429.33</v>
      </c>
      <c r="E16715" s="2">
        <v>0</v>
      </c>
      <c r="F16715" t="s">
        <v>8</v>
      </c>
      <c r="G16715" t="s">
        <v>9</v>
      </c>
    </row>
    <row r="16716" spans="1:7" x14ac:dyDescent="0.35">
      <c r="A16716">
        <v>6636</v>
      </c>
      <c r="B16716" s="1">
        <v>46015</v>
      </c>
      <c r="C16716" t="s">
        <v>24</v>
      </c>
      <c r="D16716" s="2">
        <v>0</v>
      </c>
      <c r="E16716" s="2">
        <v>6429.33</v>
      </c>
      <c r="F16716" t="s">
        <v>13</v>
      </c>
      <c r="G16716" t="s">
        <v>9</v>
      </c>
    </row>
    <row r="16717" spans="1:7" x14ac:dyDescent="0.35">
      <c r="A16717">
        <v>6637</v>
      </c>
      <c r="B16717" s="1">
        <v>46015</v>
      </c>
      <c r="C16717" t="s">
        <v>24</v>
      </c>
      <c r="D16717" s="2">
        <v>896.87</v>
      </c>
      <c r="E16717" s="2">
        <v>0</v>
      </c>
      <c r="F16717" t="s">
        <v>8</v>
      </c>
      <c r="G16717" t="s">
        <v>9</v>
      </c>
    </row>
    <row r="16718" spans="1:7" x14ac:dyDescent="0.35">
      <c r="A16718">
        <v>6637</v>
      </c>
      <c r="B16718" s="1">
        <v>46015</v>
      </c>
      <c r="C16718" t="s">
        <v>24</v>
      </c>
      <c r="D16718" s="2">
        <v>0</v>
      </c>
      <c r="E16718" s="2">
        <v>896.87</v>
      </c>
      <c r="F16718" t="s">
        <v>13</v>
      </c>
      <c r="G16718" t="s">
        <v>9</v>
      </c>
    </row>
    <row r="16719" spans="1:7" x14ac:dyDescent="0.35">
      <c r="A16719">
        <v>6638</v>
      </c>
      <c r="B16719" s="1">
        <v>46015</v>
      </c>
      <c r="C16719" t="s">
        <v>25</v>
      </c>
      <c r="D16719" s="2">
        <v>1213.5999999999999</v>
      </c>
      <c r="E16719" s="2">
        <v>0</v>
      </c>
      <c r="F16719" t="s">
        <v>26</v>
      </c>
      <c r="G16719" t="s">
        <v>20</v>
      </c>
    </row>
    <row r="16720" spans="1:7" x14ac:dyDescent="0.35">
      <c r="A16720">
        <v>6638</v>
      </c>
      <c r="B16720" s="1">
        <v>46015</v>
      </c>
      <c r="C16720" t="s">
        <v>25</v>
      </c>
      <c r="D16720" s="2">
        <v>91.02</v>
      </c>
      <c r="E16720" s="2">
        <v>0</v>
      </c>
      <c r="F16720" t="s">
        <v>27</v>
      </c>
      <c r="G16720" t="s">
        <v>9</v>
      </c>
    </row>
    <row r="16721" spans="1:7" x14ac:dyDescent="0.35">
      <c r="A16721">
        <v>6638</v>
      </c>
      <c r="B16721" s="1">
        <v>46015</v>
      </c>
      <c r="C16721" t="s">
        <v>25</v>
      </c>
      <c r="D16721" s="2">
        <v>0</v>
      </c>
      <c r="E16721" s="2">
        <v>1304.6199999999999</v>
      </c>
      <c r="F16721" t="s">
        <v>28</v>
      </c>
      <c r="G16721" t="s">
        <v>17</v>
      </c>
    </row>
    <row r="16722" spans="1:7" x14ac:dyDescent="0.35">
      <c r="A16722">
        <v>6639</v>
      </c>
      <c r="B16722" s="1">
        <v>46015</v>
      </c>
      <c r="C16722" t="s">
        <v>25</v>
      </c>
      <c r="D16722" s="2">
        <v>3282.76</v>
      </c>
      <c r="E16722" s="2">
        <v>0</v>
      </c>
      <c r="F16722" t="s">
        <v>26</v>
      </c>
      <c r="G16722" t="s">
        <v>20</v>
      </c>
    </row>
    <row r="16723" spans="1:7" x14ac:dyDescent="0.35">
      <c r="A16723">
        <v>6639</v>
      </c>
      <c r="B16723" s="1">
        <v>46015</v>
      </c>
      <c r="C16723" t="s">
        <v>25</v>
      </c>
      <c r="D16723" s="2">
        <v>246.21</v>
      </c>
      <c r="E16723" s="2">
        <v>0</v>
      </c>
      <c r="F16723" t="s">
        <v>27</v>
      </c>
      <c r="G16723" t="s">
        <v>9</v>
      </c>
    </row>
    <row r="16724" spans="1:7" x14ac:dyDescent="0.35">
      <c r="A16724">
        <v>6639</v>
      </c>
      <c r="B16724" s="1">
        <v>46015</v>
      </c>
      <c r="C16724" t="s">
        <v>25</v>
      </c>
      <c r="D16724" s="2">
        <v>0</v>
      </c>
      <c r="E16724" s="2">
        <v>3528.97</v>
      </c>
      <c r="F16724" t="s">
        <v>28</v>
      </c>
      <c r="G16724" t="s">
        <v>17</v>
      </c>
    </row>
    <row r="16725" spans="1:7" x14ac:dyDescent="0.35">
      <c r="A16725">
        <v>6640</v>
      </c>
      <c r="B16725" s="1">
        <v>46015</v>
      </c>
      <c r="C16725" t="s">
        <v>25</v>
      </c>
      <c r="D16725" s="2">
        <v>952.02</v>
      </c>
      <c r="E16725" s="2">
        <v>0</v>
      </c>
      <c r="F16725" t="s">
        <v>26</v>
      </c>
      <c r="G16725" t="s">
        <v>20</v>
      </c>
    </row>
    <row r="16726" spans="1:7" x14ac:dyDescent="0.35">
      <c r="A16726">
        <v>6640</v>
      </c>
      <c r="B16726" s="1">
        <v>46015</v>
      </c>
      <c r="C16726" t="s">
        <v>25</v>
      </c>
      <c r="D16726" s="2">
        <v>71.400000000000006</v>
      </c>
      <c r="E16726" s="2">
        <v>0</v>
      </c>
      <c r="F16726" t="s">
        <v>27</v>
      </c>
      <c r="G16726" t="s">
        <v>9</v>
      </c>
    </row>
    <row r="16727" spans="1:7" x14ac:dyDescent="0.35">
      <c r="A16727">
        <v>6640</v>
      </c>
      <c r="B16727" s="1">
        <v>46015</v>
      </c>
      <c r="C16727" t="s">
        <v>25</v>
      </c>
      <c r="D16727" s="2">
        <v>0</v>
      </c>
      <c r="E16727" s="2">
        <v>1023.42</v>
      </c>
      <c r="F16727" t="s">
        <v>28</v>
      </c>
      <c r="G16727" t="s">
        <v>17</v>
      </c>
    </row>
    <row r="16728" spans="1:7" x14ac:dyDescent="0.35">
      <c r="A16728">
        <v>6641</v>
      </c>
      <c r="B16728" s="1">
        <v>46017</v>
      </c>
      <c r="C16728" t="s">
        <v>12</v>
      </c>
      <c r="D16728" s="2">
        <v>2633.45</v>
      </c>
      <c r="E16728" s="2">
        <v>0</v>
      </c>
      <c r="F16728" t="s">
        <v>13</v>
      </c>
      <c r="G16728" t="s">
        <v>9</v>
      </c>
    </row>
    <row r="16729" spans="1:7" x14ac:dyDescent="0.35">
      <c r="A16729">
        <v>6641</v>
      </c>
      <c r="B16729" s="1">
        <v>46017</v>
      </c>
      <c r="C16729" t="s">
        <v>12</v>
      </c>
      <c r="D16729" s="2">
        <v>0</v>
      </c>
      <c r="E16729" s="2">
        <v>2449.7199999999998</v>
      </c>
      <c r="F16729" t="s">
        <v>14</v>
      </c>
      <c r="G16729" t="s">
        <v>15</v>
      </c>
    </row>
    <row r="16730" spans="1:7" x14ac:dyDescent="0.35">
      <c r="A16730">
        <v>6641</v>
      </c>
      <c r="B16730" s="1">
        <v>46017</v>
      </c>
      <c r="C16730" t="s">
        <v>12</v>
      </c>
      <c r="D16730" s="2">
        <v>0</v>
      </c>
      <c r="E16730" s="2">
        <v>183.73</v>
      </c>
      <c r="F16730" t="s">
        <v>16</v>
      </c>
      <c r="G16730" t="s">
        <v>17</v>
      </c>
    </row>
    <row r="16731" spans="1:7" x14ac:dyDescent="0.35">
      <c r="A16731">
        <v>6642</v>
      </c>
      <c r="B16731" s="1">
        <v>46017</v>
      </c>
      <c r="C16731" t="s">
        <v>12</v>
      </c>
      <c r="D16731" s="2">
        <v>1821.08</v>
      </c>
      <c r="E16731" s="2">
        <v>0</v>
      </c>
      <c r="F16731" t="s">
        <v>13</v>
      </c>
      <c r="G16731" t="s">
        <v>9</v>
      </c>
    </row>
    <row r="16732" spans="1:7" x14ac:dyDescent="0.35">
      <c r="A16732">
        <v>6642</v>
      </c>
      <c r="B16732" s="1">
        <v>46017</v>
      </c>
      <c r="C16732" t="s">
        <v>12</v>
      </c>
      <c r="D16732" s="2">
        <v>0</v>
      </c>
      <c r="E16732" s="2">
        <v>1694.02</v>
      </c>
      <c r="F16732" t="s">
        <v>14</v>
      </c>
      <c r="G16732" t="s">
        <v>15</v>
      </c>
    </row>
    <row r="16733" spans="1:7" x14ac:dyDescent="0.35">
      <c r="A16733">
        <v>6642</v>
      </c>
      <c r="B16733" s="1">
        <v>46017</v>
      </c>
      <c r="C16733" t="s">
        <v>12</v>
      </c>
      <c r="D16733" s="2">
        <v>0</v>
      </c>
      <c r="E16733" s="2">
        <v>127.06</v>
      </c>
      <c r="F16733" t="s">
        <v>16</v>
      </c>
      <c r="G16733" t="s">
        <v>17</v>
      </c>
    </row>
    <row r="16734" spans="1:7" x14ac:dyDescent="0.35">
      <c r="A16734">
        <v>6643</v>
      </c>
      <c r="B16734" s="1">
        <v>46017</v>
      </c>
      <c r="C16734" t="s">
        <v>12</v>
      </c>
      <c r="D16734" s="2">
        <v>6277.41</v>
      </c>
      <c r="E16734" s="2">
        <v>0</v>
      </c>
      <c r="F16734" t="s">
        <v>13</v>
      </c>
      <c r="G16734" t="s">
        <v>9</v>
      </c>
    </row>
    <row r="16735" spans="1:7" x14ac:dyDescent="0.35">
      <c r="A16735">
        <v>6643</v>
      </c>
      <c r="B16735" s="1">
        <v>46017</v>
      </c>
      <c r="C16735" t="s">
        <v>12</v>
      </c>
      <c r="D16735" s="2">
        <v>0</v>
      </c>
      <c r="E16735" s="2">
        <v>5839.45</v>
      </c>
      <c r="F16735" t="s">
        <v>14</v>
      </c>
      <c r="G16735" t="s">
        <v>15</v>
      </c>
    </row>
    <row r="16736" spans="1:7" x14ac:dyDescent="0.35">
      <c r="A16736">
        <v>6643</v>
      </c>
      <c r="B16736" s="1">
        <v>46017</v>
      </c>
      <c r="C16736" t="s">
        <v>12</v>
      </c>
      <c r="D16736" s="2">
        <v>0</v>
      </c>
      <c r="E16736" s="2">
        <v>437.96</v>
      </c>
      <c r="F16736" t="s">
        <v>16</v>
      </c>
      <c r="G16736" t="s">
        <v>17</v>
      </c>
    </row>
    <row r="16737" spans="1:7" x14ac:dyDescent="0.35">
      <c r="A16737">
        <v>6644</v>
      </c>
      <c r="B16737" s="1">
        <v>46017</v>
      </c>
      <c r="C16737" t="s">
        <v>12</v>
      </c>
      <c r="D16737" s="2">
        <v>1853.25</v>
      </c>
      <c r="E16737" s="2">
        <v>0</v>
      </c>
      <c r="F16737" t="s">
        <v>13</v>
      </c>
      <c r="G16737" t="s">
        <v>9</v>
      </c>
    </row>
    <row r="16738" spans="1:7" x14ac:dyDescent="0.35">
      <c r="A16738">
        <v>6644</v>
      </c>
      <c r="B16738" s="1">
        <v>46017</v>
      </c>
      <c r="C16738" t="s">
        <v>12</v>
      </c>
      <c r="D16738" s="2">
        <v>0</v>
      </c>
      <c r="E16738" s="2">
        <v>1723.95</v>
      </c>
      <c r="F16738" t="s">
        <v>14</v>
      </c>
      <c r="G16738" t="s">
        <v>15</v>
      </c>
    </row>
    <row r="16739" spans="1:7" x14ac:dyDescent="0.35">
      <c r="A16739">
        <v>6644</v>
      </c>
      <c r="B16739" s="1">
        <v>46017</v>
      </c>
      <c r="C16739" t="s">
        <v>12</v>
      </c>
      <c r="D16739" s="2">
        <v>0</v>
      </c>
      <c r="E16739" s="2">
        <v>129.30000000000001</v>
      </c>
      <c r="F16739" t="s">
        <v>16</v>
      </c>
      <c r="G16739" t="s">
        <v>17</v>
      </c>
    </row>
    <row r="16740" spans="1:7" x14ac:dyDescent="0.35">
      <c r="A16740">
        <v>6645</v>
      </c>
      <c r="B16740" s="1">
        <v>46017</v>
      </c>
      <c r="C16740" t="s">
        <v>12</v>
      </c>
      <c r="D16740" s="2">
        <v>3099.81</v>
      </c>
      <c r="E16740" s="2">
        <v>0</v>
      </c>
      <c r="F16740" t="s">
        <v>13</v>
      </c>
      <c r="G16740" t="s">
        <v>9</v>
      </c>
    </row>
    <row r="16741" spans="1:7" x14ac:dyDescent="0.35">
      <c r="A16741">
        <v>6645</v>
      </c>
      <c r="B16741" s="1">
        <v>46017</v>
      </c>
      <c r="C16741" t="s">
        <v>12</v>
      </c>
      <c r="D16741" s="2">
        <v>0</v>
      </c>
      <c r="E16741" s="2">
        <v>2883.54</v>
      </c>
      <c r="F16741" t="s">
        <v>14</v>
      </c>
      <c r="G16741" t="s">
        <v>15</v>
      </c>
    </row>
    <row r="16742" spans="1:7" x14ac:dyDescent="0.35">
      <c r="A16742">
        <v>6645</v>
      </c>
      <c r="B16742" s="1">
        <v>46017</v>
      </c>
      <c r="C16742" t="s">
        <v>12</v>
      </c>
      <c r="D16742" s="2">
        <v>0</v>
      </c>
      <c r="E16742" s="2">
        <v>216.27</v>
      </c>
      <c r="F16742" t="s">
        <v>16</v>
      </c>
      <c r="G16742" t="s">
        <v>17</v>
      </c>
    </row>
    <row r="16743" spans="1:7" x14ac:dyDescent="0.35">
      <c r="A16743">
        <v>6646</v>
      </c>
      <c r="B16743" s="1">
        <v>46017</v>
      </c>
      <c r="C16743" t="s">
        <v>12</v>
      </c>
      <c r="D16743" s="2">
        <v>1334.4</v>
      </c>
      <c r="E16743" s="2">
        <v>0</v>
      </c>
      <c r="F16743" t="s">
        <v>13</v>
      </c>
      <c r="G16743" t="s">
        <v>9</v>
      </c>
    </row>
    <row r="16744" spans="1:7" x14ac:dyDescent="0.35">
      <c r="A16744">
        <v>6646</v>
      </c>
      <c r="B16744" s="1">
        <v>46017</v>
      </c>
      <c r="C16744" t="s">
        <v>12</v>
      </c>
      <c r="D16744" s="2">
        <v>0</v>
      </c>
      <c r="E16744" s="2">
        <v>1241.3</v>
      </c>
      <c r="F16744" t="s">
        <v>14</v>
      </c>
      <c r="G16744" t="s">
        <v>15</v>
      </c>
    </row>
    <row r="16745" spans="1:7" x14ac:dyDescent="0.35">
      <c r="A16745">
        <v>6646</v>
      </c>
      <c r="B16745" s="1">
        <v>46017</v>
      </c>
      <c r="C16745" t="s">
        <v>12</v>
      </c>
      <c r="D16745" s="2">
        <v>0</v>
      </c>
      <c r="E16745" s="2">
        <v>93.1</v>
      </c>
      <c r="F16745" t="s">
        <v>16</v>
      </c>
      <c r="G16745" t="s">
        <v>17</v>
      </c>
    </row>
    <row r="16746" spans="1:7" x14ac:dyDescent="0.35">
      <c r="A16746">
        <v>6647</v>
      </c>
      <c r="B16746" s="1">
        <v>46017</v>
      </c>
      <c r="C16746" t="s">
        <v>12</v>
      </c>
      <c r="D16746" s="2">
        <v>1662.91</v>
      </c>
      <c r="E16746" s="2">
        <v>0</v>
      </c>
      <c r="F16746" t="s">
        <v>13</v>
      </c>
      <c r="G16746" t="s">
        <v>9</v>
      </c>
    </row>
    <row r="16747" spans="1:7" x14ac:dyDescent="0.35">
      <c r="A16747">
        <v>6647</v>
      </c>
      <c r="B16747" s="1">
        <v>46017</v>
      </c>
      <c r="C16747" t="s">
        <v>12</v>
      </c>
      <c r="D16747" s="2">
        <v>0</v>
      </c>
      <c r="E16747" s="2">
        <v>1546.89</v>
      </c>
      <c r="F16747" t="s">
        <v>14</v>
      </c>
      <c r="G16747" t="s">
        <v>15</v>
      </c>
    </row>
    <row r="16748" spans="1:7" x14ac:dyDescent="0.35">
      <c r="A16748">
        <v>6647</v>
      </c>
      <c r="B16748" s="1">
        <v>46017</v>
      </c>
      <c r="C16748" t="s">
        <v>12</v>
      </c>
      <c r="D16748" s="2">
        <v>0</v>
      </c>
      <c r="E16748" s="2">
        <v>116.02</v>
      </c>
      <c r="F16748" t="s">
        <v>16</v>
      </c>
      <c r="G16748" t="s">
        <v>17</v>
      </c>
    </row>
    <row r="16749" spans="1:7" x14ac:dyDescent="0.35">
      <c r="A16749">
        <v>6648</v>
      </c>
      <c r="B16749" s="1">
        <v>46017</v>
      </c>
      <c r="C16749" t="s">
        <v>12</v>
      </c>
      <c r="D16749" s="2">
        <v>4804.45</v>
      </c>
      <c r="E16749" s="2">
        <v>0</v>
      </c>
      <c r="F16749" t="s">
        <v>13</v>
      </c>
      <c r="G16749" t="s">
        <v>9</v>
      </c>
    </row>
    <row r="16750" spans="1:7" x14ac:dyDescent="0.35">
      <c r="A16750">
        <v>6648</v>
      </c>
      <c r="B16750" s="1">
        <v>46017</v>
      </c>
      <c r="C16750" t="s">
        <v>12</v>
      </c>
      <c r="D16750" s="2">
        <v>0</v>
      </c>
      <c r="E16750" s="2">
        <v>4469.26</v>
      </c>
      <c r="F16750" t="s">
        <v>14</v>
      </c>
      <c r="G16750" t="s">
        <v>15</v>
      </c>
    </row>
    <row r="16751" spans="1:7" x14ac:dyDescent="0.35">
      <c r="A16751">
        <v>6648</v>
      </c>
      <c r="B16751" s="1">
        <v>46017</v>
      </c>
      <c r="C16751" t="s">
        <v>12</v>
      </c>
      <c r="D16751" s="2">
        <v>0</v>
      </c>
      <c r="E16751" s="2">
        <v>335.19</v>
      </c>
      <c r="F16751" t="s">
        <v>16</v>
      </c>
      <c r="G16751" t="s">
        <v>17</v>
      </c>
    </row>
    <row r="16752" spans="1:7" x14ac:dyDescent="0.35">
      <c r="A16752">
        <v>6649</v>
      </c>
      <c r="B16752" s="1">
        <v>46017</v>
      </c>
      <c r="C16752" t="s">
        <v>12</v>
      </c>
      <c r="D16752" s="2">
        <v>14.03</v>
      </c>
      <c r="E16752" s="2">
        <v>0</v>
      </c>
      <c r="F16752" t="s">
        <v>13</v>
      </c>
      <c r="G16752" t="s">
        <v>9</v>
      </c>
    </row>
    <row r="16753" spans="1:7" x14ac:dyDescent="0.35">
      <c r="A16753">
        <v>6649</v>
      </c>
      <c r="B16753" s="1">
        <v>46017</v>
      </c>
      <c r="C16753" t="s">
        <v>12</v>
      </c>
      <c r="D16753" s="2">
        <v>0</v>
      </c>
      <c r="E16753" s="2">
        <v>13.05</v>
      </c>
      <c r="F16753" t="s">
        <v>14</v>
      </c>
      <c r="G16753" t="s">
        <v>15</v>
      </c>
    </row>
    <row r="16754" spans="1:7" x14ac:dyDescent="0.35">
      <c r="A16754">
        <v>6649</v>
      </c>
      <c r="B16754" s="1">
        <v>46017</v>
      </c>
      <c r="C16754" t="s">
        <v>12</v>
      </c>
      <c r="D16754" s="2">
        <v>0</v>
      </c>
      <c r="E16754" s="2">
        <v>0.98</v>
      </c>
      <c r="F16754" t="s">
        <v>16</v>
      </c>
      <c r="G16754" t="s">
        <v>17</v>
      </c>
    </row>
    <row r="16755" spans="1:7" x14ac:dyDescent="0.35">
      <c r="A16755">
        <v>6650</v>
      </c>
      <c r="B16755" s="1">
        <v>46017</v>
      </c>
      <c r="C16755" t="s">
        <v>24</v>
      </c>
      <c r="D16755" s="2">
        <v>1553.64</v>
      </c>
      <c r="E16755" s="2">
        <v>0</v>
      </c>
      <c r="F16755" t="s">
        <v>8</v>
      </c>
      <c r="G16755" t="s">
        <v>9</v>
      </c>
    </row>
    <row r="16756" spans="1:7" x14ac:dyDescent="0.35">
      <c r="A16756">
        <v>6650</v>
      </c>
      <c r="B16756" s="1">
        <v>46017</v>
      </c>
      <c r="C16756" t="s">
        <v>24</v>
      </c>
      <c r="D16756" s="2">
        <v>0</v>
      </c>
      <c r="E16756" s="2">
        <v>1553.64</v>
      </c>
      <c r="F16756" t="s">
        <v>13</v>
      </c>
      <c r="G16756" t="s">
        <v>9</v>
      </c>
    </row>
    <row r="16757" spans="1:7" x14ac:dyDescent="0.35">
      <c r="A16757">
        <v>6651</v>
      </c>
      <c r="B16757" s="1">
        <v>46017</v>
      </c>
      <c r="C16757" t="s">
        <v>24</v>
      </c>
      <c r="D16757" s="2">
        <v>5221.32</v>
      </c>
      <c r="E16757" s="2">
        <v>0</v>
      </c>
      <c r="F16757" t="s">
        <v>8</v>
      </c>
      <c r="G16757" t="s">
        <v>9</v>
      </c>
    </row>
    <row r="16758" spans="1:7" x14ac:dyDescent="0.35">
      <c r="A16758">
        <v>6651</v>
      </c>
      <c r="B16758" s="1">
        <v>46017</v>
      </c>
      <c r="C16758" t="s">
        <v>24</v>
      </c>
      <c r="D16758" s="2">
        <v>0</v>
      </c>
      <c r="E16758" s="2">
        <v>5221.32</v>
      </c>
      <c r="F16758" t="s">
        <v>13</v>
      </c>
      <c r="G16758" t="s">
        <v>9</v>
      </c>
    </row>
    <row r="16759" spans="1:7" x14ac:dyDescent="0.35">
      <c r="A16759">
        <v>6652</v>
      </c>
      <c r="B16759" s="1">
        <v>46017</v>
      </c>
      <c r="C16759" t="s">
        <v>24</v>
      </c>
      <c r="D16759" s="2">
        <v>70.14</v>
      </c>
      <c r="E16759" s="2">
        <v>0</v>
      </c>
      <c r="F16759" t="s">
        <v>8</v>
      </c>
      <c r="G16759" t="s">
        <v>9</v>
      </c>
    </row>
    <row r="16760" spans="1:7" x14ac:dyDescent="0.35">
      <c r="A16760">
        <v>6652</v>
      </c>
      <c r="B16760" s="1">
        <v>46017</v>
      </c>
      <c r="C16760" t="s">
        <v>24</v>
      </c>
      <c r="D16760" s="2">
        <v>0</v>
      </c>
      <c r="E16760" s="2">
        <v>70.14</v>
      </c>
      <c r="F16760" t="s">
        <v>13</v>
      </c>
      <c r="G16760" t="s">
        <v>9</v>
      </c>
    </row>
    <row r="16761" spans="1:7" x14ac:dyDescent="0.35">
      <c r="A16761">
        <v>6653</v>
      </c>
      <c r="B16761" s="1">
        <v>46017</v>
      </c>
      <c r="C16761" t="s">
        <v>24</v>
      </c>
      <c r="D16761" s="2">
        <v>1323.8</v>
      </c>
      <c r="E16761" s="2">
        <v>0</v>
      </c>
      <c r="F16761" t="s">
        <v>8</v>
      </c>
      <c r="G16761" t="s">
        <v>9</v>
      </c>
    </row>
    <row r="16762" spans="1:7" x14ac:dyDescent="0.35">
      <c r="A16762">
        <v>6653</v>
      </c>
      <c r="B16762" s="1">
        <v>46017</v>
      </c>
      <c r="C16762" t="s">
        <v>24</v>
      </c>
      <c r="D16762" s="2">
        <v>0</v>
      </c>
      <c r="E16762" s="2">
        <v>1323.8</v>
      </c>
      <c r="F16762" t="s">
        <v>13</v>
      </c>
      <c r="G16762" t="s">
        <v>9</v>
      </c>
    </row>
    <row r="16763" spans="1:7" x14ac:dyDescent="0.35">
      <c r="A16763">
        <v>6654</v>
      </c>
      <c r="B16763" s="1">
        <v>46017</v>
      </c>
      <c r="C16763" t="s">
        <v>24</v>
      </c>
      <c r="D16763" s="2">
        <v>930.57</v>
      </c>
      <c r="E16763" s="2">
        <v>0</v>
      </c>
      <c r="F16763" t="s">
        <v>8</v>
      </c>
      <c r="G16763" t="s">
        <v>9</v>
      </c>
    </row>
    <row r="16764" spans="1:7" x14ac:dyDescent="0.35">
      <c r="A16764">
        <v>6654</v>
      </c>
      <c r="B16764" s="1">
        <v>46017</v>
      </c>
      <c r="C16764" t="s">
        <v>24</v>
      </c>
      <c r="D16764" s="2">
        <v>0</v>
      </c>
      <c r="E16764" s="2">
        <v>930.57</v>
      </c>
      <c r="F16764" t="s">
        <v>13</v>
      </c>
      <c r="G16764" t="s">
        <v>9</v>
      </c>
    </row>
    <row r="16765" spans="1:7" x14ac:dyDescent="0.35">
      <c r="A16765">
        <v>6655</v>
      </c>
      <c r="B16765" s="1">
        <v>46017</v>
      </c>
      <c r="C16765" t="s">
        <v>24</v>
      </c>
      <c r="D16765" s="2">
        <v>2302.0700000000002</v>
      </c>
      <c r="E16765" s="2">
        <v>0</v>
      </c>
      <c r="F16765" t="s">
        <v>8</v>
      </c>
      <c r="G16765" t="s">
        <v>9</v>
      </c>
    </row>
    <row r="16766" spans="1:7" x14ac:dyDescent="0.35">
      <c r="A16766">
        <v>6655</v>
      </c>
      <c r="B16766" s="1">
        <v>46017</v>
      </c>
      <c r="C16766" t="s">
        <v>24</v>
      </c>
      <c r="D16766" s="2">
        <v>0</v>
      </c>
      <c r="E16766" s="2">
        <v>2302.0700000000002</v>
      </c>
      <c r="F16766" t="s">
        <v>13</v>
      </c>
      <c r="G16766" t="s">
        <v>9</v>
      </c>
    </row>
    <row r="16767" spans="1:7" x14ac:dyDescent="0.35">
      <c r="A16767">
        <v>6656</v>
      </c>
      <c r="B16767" s="1">
        <v>46017</v>
      </c>
      <c r="C16767" t="s">
        <v>24</v>
      </c>
      <c r="D16767" s="2">
        <v>1937.82</v>
      </c>
      <c r="E16767" s="2">
        <v>0</v>
      </c>
      <c r="F16767" t="s">
        <v>8</v>
      </c>
      <c r="G16767" t="s">
        <v>9</v>
      </c>
    </row>
    <row r="16768" spans="1:7" x14ac:dyDescent="0.35">
      <c r="A16768">
        <v>6656</v>
      </c>
      <c r="B16768" s="1">
        <v>46017</v>
      </c>
      <c r="C16768" t="s">
        <v>24</v>
      </c>
      <c r="D16768" s="2">
        <v>0</v>
      </c>
      <c r="E16768" s="2">
        <v>1937.82</v>
      </c>
      <c r="F16768" t="s">
        <v>13</v>
      </c>
      <c r="G16768" t="s">
        <v>9</v>
      </c>
    </row>
    <row r="16769" spans="1:7" x14ac:dyDescent="0.35">
      <c r="A16769">
        <v>6657</v>
      </c>
      <c r="B16769" s="1">
        <v>46017</v>
      </c>
      <c r="C16769" t="s">
        <v>24</v>
      </c>
      <c r="D16769" s="2">
        <v>698.57</v>
      </c>
      <c r="E16769" s="2">
        <v>0</v>
      </c>
      <c r="F16769" t="s">
        <v>8</v>
      </c>
      <c r="G16769" t="s">
        <v>9</v>
      </c>
    </row>
    <row r="16770" spans="1:7" x14ac:dyDescent="0.35">
      <c r="A16770">
        <v>6657</v>
      </c>
      <c r="B16770" s="1">
        <v>46017</v>
      </c>
      <c r="C16770" t="s">
        <v>24</v>
      </c>
      <c r="D16770" s="2">
        <v>0</v>
      </c>
      <c r="E16770" s="2">
        <v>698.57</v>
      </c>
      <c r="F16770" t="s">
        <v>13</v>
      </c>
      <c r="G16770" t="s">
        <v>9</v>
      </c>
    </row>
    <row r="16771" spans="1:7" x14ac:dyDescent="0.35">
      <c r="A16771">
        <v>6658</v>
      </c>
      <c r="B16771" s="1">
        <v>46017</v>
      </c>
      <c r="C16771" t="s">
        <v>24</v>
      </c>
      <c r="D16771" s="2">
        <v>2708.93</v>
      </c>
      <c r="E16771" s="2">
        <v>0</v>
      </c>
      <c r="F16771" t="s">
        <v>8</v>
      </c>
      <c r="G16771" t="s">
        <v>9</v>
      </c>
    </row>
    <row r="16772" spans="1:7" x14ac:dyDescent="0.35">
      <c r="A16772">
        <v>6658</v>
      </c>
      <c r="B16772" s="1">
        <v>46017</v>
      </c>
      <c r="C16772" t="s">
        <v>24</v>
      </c>
      <c r="D16772" s="2">
        <v>0</v>
      </c>
      <c r="E16772" s="2">
        <v>2708.93</v>
      </c>
      <c r="F16772" t="s">
        <v>13</v>
      </c>
      <c r="G16772" t="s">
        <v>9</v>
      </c>
    </row>
    <row r="16773" spans="1:7" x14ac:dyDescent="0.35">
      <c r="A16773">
        <v>6659</v>
      </c>
      <c r="B16773" s="1">
        <v>46017</v>
      </c>
      <c r="C16773" t="s">
        <v>24</v>
      </c>
      <c r="D16773" s="2">
        <v>3640.46</v>
      </c>
      <c r="E16773" s="2">
        <v>0</v>
      </c>
      <c r="F16773" t="s">
        <v>8</v>
      </c>
      <c r="G16773" t="s">
        <v>9</v>
      </c>
    </row>
    <row r="16774" spans="1:7" x14ac:dyDescent="0.35">
      <c r="A16774">
        <v>6659</v>
      </c>
      <c r="B16774" s="1">
        <v>46017</v>
      </c>
      <c r="C16774" t="s">
        <v>24</v>
      </c>
      <c r="D16774" s="2">
        <v>0</v>
      </c>
      <c r="E16774" s="2">
        <v>3640.46</v>
      </c>
      <c r="F16774" t="s">
        <v>13</v>
      </c>
      <c r="G16774" t="s">
        <v>9</v>
      </c>
    </row>
    <row r="16775" spans="1:7" x14ac:dyDescent="0.35">
      <c r="A16775">
        <v>6660</v>
      </c>
      <c r="B16775" s="1">
        <v>46017</v>
      </c>
      <c r="C16775" t="s">
        <v>24</v>
      </c>
      <c r="D16775" s="2">
        <v>2814.72</v>
      </c>
      <c r="E16775" s="2">
        <v>0</v>
      </c>
      <c r="F16775" t="s">
        <v>8</v>
      </c>
      <c r="G16775" t="s">
        <v>9</v>
      </c>
    </row>
    <row r="16776" spans="1:7" x14ac:dyDescent="0.35">
      <c r="A16776">
        <v>6660</v>
      </c>
      <c r="B16776" s="1">
        <v>46017</v>
      </c>
      <c r="C16776" t="s">
        <v>24</v>
      </c>
      <c r="D16776" s="2">
        <v>0</v>
      </c>
      <c r="E16776" s="2">
        <v>2814.72</v>
      </c>
      <c r="F16776" t="s">
        <v>13</v>
      </c>
      <c r="G16776" t="s">
        <v>9</v>
      </c>
    </row>
    <row r="16777" spans="1:7" x14ac:dyDescent="0.35">
      <c r="A16777">
        <v>6661</v>
      </c>
      <c r="B16777" s="1">
        <v>46017</v>
      </c>
      <c r="C16777" t="s">
        <v>24</v>
      </c>
      <c r="D16777" s="2">
        <v>4804.45</v>
      </c>
      <c r="E16777" s="2">
        <v>0</v>
      </c>
      <c r="F16777" t="s">
        <v>8</v>
      </c>
      <c r="G16777" t="s">
        <v>9</v>
      </c>
    </row>
    <row r="16778" spans="1:7" x14ac:dyDescent="0.35">
      <c r="A16778">
        <v>6661</v>
      </c>
      <c r="B16778" s="1">
        <v>46017</v>
      </c>
      <c r="C16778" t="s">
        <v>24</v>
      </c>
      <c r="D16778" s="2">
        <v>0</v>
      </c>
      <c r="E16778" s="2">
        <v>4804.45</v>
      </c>
      <c r="F16778" t="s">
        <v>13</v>
      </c>
      <c r="G16778" t="s">
        <v>9</v>
      </c>
    </row>
    <row r="16779" spans="1:7" x14ac:dyDescent="0.35">
      <c r="A16779">
        <v>6662</v>
      </c>
      <c r="B16779" s="1">
        <v>46017</v>
      </c>
      <c r="C16779" t="s">
        <v>25</v>
      </c>
      <c r="D16779" s="2">
        <v>2451.5</v>
      </c>
      <c r="E16779" s="2">
        <v>0</v>
      </c>
      <c r="F16779" t="s">
        <v>26</v>
      </c>
      <c r="G16779" t="s">
        <v>20</v>
      </c>
    </row>
    <row r="16780" spans="1:7" x14ac:dyDescent="0.35">
      <c r="A16780">
        <v>6662</v>
      </c>
      <c r="B16780" s="1">
        <v>46017</v>
      </c>
      <c r="C16780" t="s">
        <v>25</v>
      </c>
      <c r="D16780" s="2">
        <v>183.86</v>
      </c>
      <c r="E16780" s="2">
        <v>0</v>
      </c>
      <c r="F16780" t="s">
        <v>27</v>
      </c>
      <c r="G16780" t="s">
        <v>9</v>
      </c>
    </row>
    <row r="16781" spans="1:7" x14ac:dyDescent="0.35">
      <c r="A16781">
        <v>6662</v>
      </c>
      <c r="B16781" s="1">
        <v>46017</v>
      </c>
      <c r="C16781" t="s">
        <v>25</v>
      </c>
      <c r="D16781" s="2">
        <v>0</v>
      </c>
      <c r="E16781" s="2">
        <v>2635.36</v>
      </c>
      <c r="F16781" t="s">
        <v>28</v>
      </c>
      <c r="G16781" t="s">
        <v>17</v>
      </c>
    </row>
    <row r="16782" spans="1:7" x14ac:dyDescent="0.35">
      <c r="A16782">
        <v>6663</v>
      </c>
      <c r="B16782" s="1">
        <v>46017</v>
      </c>
      <c r="C16782" t="s">
        <v>25</v>
      </c>
      <c r="D16782" s="2">
        <v>512</v>
      </c>
      <c r="E16782" s="2">
        <v>0</v>
      </c>
      <c r="F16782" t="s">
        <v>26</v>
      </c>
      <c r="G16782" t="s">
        <v>20</v>
      </c>
    </row>
    <row r="16783" spans="1:7" x14ac:dyDescent="0.35">
      <c r="A16783">
        <v>6663</v>
      </c>
      <c r="B16783" s="1">
        <v>46017</v>
      </c>
      <c r="C16783" t="s">
        <v>25</v>
      </c>
      <c r="D16783" s="2">
        <v>38.4</v>
      </c>
      <c r="E16783" s="2">
        <v>0</v>
      </c>
      <c r="F16783" t="s">
        <v>27</v>
      </c>
      <c r="G16783" t="s">
        <v>9</v>
      </c>
    </row>
    <row r="16784" spans="1:7" x14ac:dyDescent="0.35">
      <c r="A16784">
        <v>6663</v>
      </c>
      <c r="B16784" s="1">
        <v>46017</v>
      </c>
      <c r="C16784" t="s">
        <v>25</v>
      </c>
      <c r="D16784" s="2">
        <v>0</v>
      </c>
      <c r="E16784" s="2">
        <v>550.4</v>
      </c>
      <c r="F16784" t="s">
        <v>28</v>
      </c>
      <c r="G16784" t="s">
        <v>17</v>
      </c>
    </row>
    <row r="16785" spans="1:7" x14ac:dyDescent="0.35">
      <c r="A16785">
        <v>6664</v>
      </c>
      <c r="B16785" s="1">
        <v>46017</v>
      </c>
      <c r="C16785" t="s">
        <v>25</v>
      </c>
      <c r="D16785" s="2">
        <v>3598.88</v>
      </c>
      <c r="E16785" s="2">
        <v>0</v>
      </c>
      <c r="F16785" t="s">
        <v>26</v>
      </c>
      <c r="G16785" t="s">
        <v>20</v>
      </c>
    </row>
    <row r="16786" spans="1:7" x14ac:dyDescent="0.35">
      <c r="A16786">
        <v>6664</v>
      </c>
      <c r="B16786" s="1">
        <v>46017</v>
      </c>
      <c r="C16786" t="s">
        <v>25</v>
      </c>
      <c r="D16786" s="2">
        <v>269.92</v>
      </c>
      <c r="E16786" s="2">
        <v>0</v>
      </c>
      <c r="F16786" t="s">
        <v>27</v>
      </c>
      <c r="G16786" t="s">
        <v>9</v>
      </c>
    </row>
    <row r="16787" spans="1:7" x14ac:dyDescent="0.35">
      <c r="A16787">
        <v>6664</v>
      </c>
      <c r="B16787" s="1">
        <v>46017</v>
      </c>
      <c r="C16787" t="s">
        <v>25</v>
      </c>
      <c r="D16787" s="2">
        <v>0</v>
      </c>
      <c r="E16787" s="2">
        <v>3868.8</v>
      </c>
      <c r="F16787" t="s">
        <v>28</v>
      </c>
      <c r="G16787" t="s">
        <v>17</v>
      </c>
    </row>
    <row r="16788" spans="1:7" x14ac:dyDescent="0.35">
      <c r="A16788">
        <v>6665</v>
      </c>
      <c r="B16788" s="1">
        <v>46017</v>
      </c>
      <c r="C16788" t="s">
        <v>25</v>
      </c>
      <c r="D16788" s="2">
        <v>696.06</v>
      </c>
      <c r="E16788" s="2">
        <v>0</v>
      </c>
      <c r="F16788" t="s">
        <v>26</v>
      </c>
      <c r="G16788" t="s">
        <v>20</v>
      </c>
    </row>
    <row r="16789" spans="1:7" x14ac:dyDescent="0.35">
      <c r="A16789">
        <v>6665</v>
      </c>
      <c r="B16789" s="1">
        <v>46017</v>
      </c>
      <c r="C16789" t="s">
        <v>25</v>
      </c>
      <c r="D16789" s="2">
        <v>52.2</v>
      </c>
      <c r="E16789" s="2">
        <v>0</v>
      </c>
      <c r="F16789" t="s">
        <v>27</v>
      </c>
      <c r="G16789" t="s">
        <v>9</v>
      </c>
    </row>
    <row r="16790" spans="1:7" x14ac:dyDescent="0.35">
      <c r="A16790">
        <v>6665</v>
      </c>
      <c r="B16790" s="1">
        <v>46017</v>
      </c>
      <c r="C16790" t="s">
        <v>25</v>
      </c>
      <c r="D16790" s="2">
        <v>0</v>
      </c>
      <c r="E16790" s="2">
        <v>748.26</v>
      </c>
      <c r="F16790" t="s">
        <v>28</v>
      </c>
      <c r="G16790" t="s">
        <v>17</v>
      </c>
    </row>
    <row r="16791" spans="1:7" x14ac:dyDescent="0.35">
      <c r="A16791">
        <v>6666</v>
      </c>
      <c r="B16791" s="1">
        <v>46017</v>
      </c>
      <c r="C16791" t="s">
        <v>29</v>
      </c>
      <c r="D16791" s="2">
        <v>9336.67</v>
      </c>
      <c r="E16791" s="2">
        <v>0</v>
      </c>
      <c r="F16791" t="s">
        <v>28</v>
      </c>
      <c r="G16791" t="s">
        <v>17</v>
      </c>
    </row>
    <row r="16792" spans="1:7" x14ac:dyDescent="0.35">
      <c r="A16792">
        <v>6666</v>
      </c>
      <c r="B16792" s="1">
        <v>46017</v>
      </c>
      <c r="C16792" t="s">
        <v>29</v>
      </c>
      <c r="D16792" s="2">
        <v>0</v>
      </c>
      <c r="E16792" s="2">
        <v>9336.67</v>
      </c>
      <c r="F16792" t="s">
        <v>8</v>
      </c>
      <c r="G16792" t="s">
        <v>9</v>
      </c>
    </row>
    <row r="16793" spans="1:7" x14ac:dyDescent="0.35">
      <c r="A16793">
        <v>6667</v>
      </c>
      <c r="B16793" s="1">
        <v>46017</v>
      </c>
      <c r="C16793" t="s">
        <v>29</v>
      </c>
      <c r="D16793" s="2">
        <v>7227.44</v>
      </c>
      <c r="E16793" s="2">
        <v>0</v>
      </c>
      <c r="F16793" t="s">
        <v>28</v>
      </c>
      <c r="G16793" t="s">
        <v>17</v>
      </c>
    </row>
    <row r="16794" spans="1:7" x14ac:dyDescent="0.35">
      <c r="A16794">
        <v>6667</v>
      </c>
      <c r="B16794" s="1">
        <v>46017</v>
      </c>
      <c r="C16794" t="s">
        <v>29</v>
      </c>
      <c r="D16794" s="2">
        <v>0</v>
      </c>
      <c r="E16794" s="2">
        <v>7227.44</v>
      </c>
      <c r="F16794" t="s">
        <v>8</v>
      </c>
      <c r="G16794" t="s">
        <v>9</v>
      </c>
    </row>
    <row r="16795" spans="1:7" x14ac:dyDescent="0.35">
      <c r="A16795">
        <v>6668</v>
      </c>
      <c r="B16795" s="1">
        <v>46017</v>
      </c>
      <c r="C16795" t="s">
        <v>29</v>
      </c>
      <c r="D16795" s="2">
        <v>3868.8</v>
      </c>
      <c r="E16795" s="2">
        <v>0</v>
      </c>
      <c r="F16795" t="s">
        <v>28</v>
      </c>
      <c r="G16795" t="s">
        <v>17</v>
      </c>
    </row>
    <row r="16796" spans="1:7" x14ac:dyDescent="0.35">
      <c r="A16796">
        <v>6668</v>
      </c>
      <c r="B16796" s="1">
        <v>46017</v>
      </c>
      <c r="C16796" t="s">
        <v>29</v>
      </c>
      <c r="D16796" s="2">
        <v>0</v>
      </c>
      <c r="E16796" s="2">
        <v>3868.8</v>
      </c>
      <c r="F16796" t="s">
        <v>8</v>
      </c>
      <c r="G16796" t="s">
        <v>9</v>
      </c>
    </row>
    <row r="16797" spans="1:7" x14ac:dyDescent="0.35">
      <c r="A16797">
        <v>6669</v>
      </c>
      <c r="B16797" s="1">
        <v>46020</v>
      </c>
      <c r="C16797" t="s">
        <v>12</v>
      </c>
      <c r="D16797" s="2">
        <v>1437.31</v>
      </c>
      <c r="E16797" s="2">
        <v>0</v>
      </c>
      <c r="F16797" t="s">
        <v>13</v>
      </c>
      <c r="G16797" t="s">
        <v>9</v>
      </c>
    </row>
    <row r="16798" spans="1:7" x14ac:dyDescent="0.35">
      <c r="A16798">
        <v>6669</v>
      </c>
      <c r="B16798" s="1">
        <v>46020</v>
      </c>
      <c r="C16798" t="s">
        <v>12</v>
      </c>
      <c r="D16798" s="2">
        <v>0</v>
      </c>
      <c r="E16798" s="2">
        <v>1337.04</v>
      </c>
      <c r="F16798" t="s">
        <v>14</v>
      </c>
      <c r="G16798" t="s">
        <v>15</v>
      </c>
    </row>
    <row r="16799" spans="1:7" x14ac:dyDescent="0.35">
      <c r="A16799">
        <v>6669</v>
      </c>
      <c r="B16799" s="1">
        <v>46020</v>
      </c>
      <c r="C16799" t="s">
        <v>12</v>
      </c>
      <c r="D16799" s="2">
        <v>0</v>
      </c>
      <c r="E16799" s="2">
        <v>100.27</v>
      </c>
      <c r="F16799" t="s">
        <v>16</v>
      </c>
      <c r="G16799" t="s">
        <v>17</v>
      </c>
    </row>
    <row r="16800" spans="1:7" x14ac:dyDescent="0.35">
      <c r="A16800">
        <v>6670</v>
      </c>
      <c r="B16800" s="1">
        <v>46020</v>
      </c>
      <c r="C16800" t="s">
        <v>12</v>
      </c>
      <c r="D16800" s="2">
        <v>1645.39</v>
      </c>
      <c r="E16800" s="2">
        <v>0</v>
      </c>
      <c r="F16800" t="s">
        <v>13</v>
      </c>
      <c r="G16800" t="s">
        <v>9</v>
      </c>
    </row>
    <row r="16801" spans="1:7" x14ac:dyDescent="0.35">
      <c r="A16801">
        <v>6670</v>
      </c>
      <c r="B16801" s="1">
        <v>46020</v>
      </c>
      <c r="C16801" t="s">
        <v>12</v>
      </c>
      <c r="D16801" s="2">
        <v>0</v>
      </c>
      <c r="E16801" s="2">
        <v>1530.6</v>
      </c>
      <c r="F16801" t="s">
        <v>14</v>
      </c>
      <c r="G16801" t="s">
        <v>15</v>
      </c>
    </row>
    <row r="16802" spans="1:7" x14ac:dyDescent="0.35">
      <c r="A16802">
        <v>6670</v>
      </c>
      <c r="B16802" s="1">
        <v>46020</v>
      </c>
      <c r="C16802" t="s">
        <v>12</v>
      </c>
      <c r="D16802" s="2">
        <v>0</v>
      </c>
      <c r="E16802" s="2">
        <v>114.79</v>
      </c>
      <c r="F16802" t="s">
        <v>16</v>
      </c>
      <c r="G16802" t="s">
        <v>17</v>
      </c>
    </row>
    <row r="16803" spans="1:7" x14ac:dyDescent="0.35">
      <c r="A16803">
        <v>6671</v>
      </c>
      <c r="B16803" s="1">
        <v>46020</v>
      </c>
      <c r="C16803" t="s">
        <v>12</v>
      </c>
      <c r="D16803" s="2">
        <v>270.04000000000002</v>
      </c>
      <c r="E16803" s="2">
        <v>0</v>
      </c>
      <c r="F16803" t="s">
        <v>13</v>
      </c>
      <c r="G16803" t="s">
        <v>9</v>
      </c>
    </row>
    <row r="16804" spans="1:7" x14ac:dyDescent="0.35">
      <c r="A16804">
        <v>6671</v>
      </c>
      <c r="B16804" s="1">
        <v>46020</v>
      </c>
      <c r="C16804" t="s">
        <v>12</v>
      </c>
      <c r="D16804" s="2">
        <v>0</v>
      </c>
      <c r="E16804" s="2">
        <v>251.2</v>
      </c>
      <c r="F16804" t="s">
        <v>14</v>
      </c>
      <c r="G16804" t="s">
        <v>15</v>
      </c>
    </row>
    <row r="16805" spans="1:7" x14ac:dyDescent="0.35">
      <c r="A16805">
        <v>6671</v>
      </c>
      <c r="B16805" s="1">
        <v>46020</v>
      </c>
      <c r="C16805" t="s">
        <v>12</v>
      </c>
      <c r="D16805" s="2">
        <v>0</v>
      </c>
      <c r="E16805" s="2">
        <v>18.84</v>
      </c>
      <c r="F16805" t="s">
        <v>16</v>
      </c>
      <c r="G16805" t="s">
        <v>17</v>
      </c>
    </row>
    <row r="16806" spans="1:7" x14ac:dyDescent="0.35">
      <c r="A16806">
        <v>6672</v>
      </c>
      <c r="B16806" s="1">
        <v>46020</v>
      </c>
      <c r="C16806" t="s">
        <v>12</v>
      </c>
      <c r="D16806" s="2">
        <v>2961.41</v>
      </c>
      <c r="E16806" s="2">
        <v>0</v>
      </c>
      <c r="F16806" t="s">
        <v>13</v>
      </c>
      <c r="G16806" t="s">
        <v>9</v>
      </c>
    </row>
    <row r="16807" spans="1:7" x14ac:dyDescent="0.35">
      <c r="A16807">
        <v>6672</v>
      </c>
      <c r="B16807" s="1">
        <v>46020</v>
      </c>
      <c r="C16807" t="s">
        <v>12</v>
      </c>
      <c r="D16807" s="2">
        <v>0</v>
      </c>
      <c r="E16807" s="2">
        <v>2754.81</v>
      </c>
      <c r="F16807" t="s">
        <v>14</v>
      </c>
      <c r="G16807" t="s">
        <v>15</v>
      </c>
    </row>
    <row r="16808" spans="1:7" x14ac:dyDescent="0.35">
      <c r="A16808">
        <v>6672</v>
      </c>
      <c r="B16808" s="1">
        <v>46020</v>
      </c>
      <c r="C16808" t="s">
        <v>12</v>
      </c>
      <c r="D16808" s="2">
        <v>0</v>
      </c>
      <c r="E16808" s="2">
        <v>206.6</v>
      </c>
      <c r="F16808" t="s">
        <v>16</v>
      </c>
      <c r="G16808" t="s">
        <v>17</v>
      </c>
    </row>
    <row r="16809" spans="1:7" x14ac:dyDescent="0.35">
      <c r="A16809">
        <v>6673</v>
      </c>
      <c r="B16809" s="1">
        <v>46020</v>
      </c>
      <c r="C16809" t="s">
        <v>12</v>
      </c>
      <c r="D16809" s="2">
        <v>991.34</v>
      </c>
      <c r="E16809" s="2">
        <v>0</v>
      </c>
      <c r="F16809" t="s">
        <v>13</v>
      </c>
      <c r="G16809" t="s">
        <v>9</v>
      </c>
    </row>
    <row r="16810" spans="1:7" x14ac:dyDescent="0.35">
      <c r="A16810">
        <v>6673</v>
      </c>
      <c r="B16810" s="1">
        <v>46020</v>
      </c>
      <c r="C16810" t="s">
        <v>12</v>
      </c>
      <c r="D16810" s="2">
        <v>0</v>
      </c>
      <c r="E16810" s="2">
        <v>922.17</v>
      </c>
      <c r="F16810" t="s">
        <v>14</v>
      </c>
      <c r="G16810" t="s">
        <v>15</v>
      </c>
    </row>
    <row r="16811" spans="1:7" x14ac:dyDescent="0.35">
      <c r="A16811">
        <v>6673</v>
      </c>
      <c r="B16811" s="1">
        <v>46020</v>
      </c>
      <c r="C16811" t="s">
        <v>12</v>
      </c>
      <c r="D16811" s="2">
        <v>0</v>
      </c>
      <c r="E16811" s="2">
        <v>69.17</v>
      </c>
      <c r="F16811" t="s">
        <v>16</v>
      </c>
      <c r="G16811" t="s">
        <v>17</v>
      </c>
    </row>
    <row r="16812" spans="1:7" x14ac:dyDescent="0.35">
      <c r="A16812">
        <v>6674</v>
      </c>
      <c r="B16812" s="1">
        <v>46020</v>
      </c>
      <c r="C16812" t="s">
        <v>12</v>
      </c>
      <c r="D16812" s="2">
        <v>2277.69</v>
      </c>
      <c r="E16812" s="2">
        <v>0</v>
      </c>
      <c r="F16812" t="s">
        <v>13</v>
      </c>
      <c r="G16812" t="s">
        <v>9</v>
      </c>
    </row>
    <row r="16813" spans="1:7" x14ac:dyDescent="0.35">
      <c r="A16813">
        <v>6674</v>
      </c>
      <c r="B16813" s="1">
        <v>46020</v>
      </c>
      <c r="C16813" t="s">
        <v>12</v>
      </c>
      <c r="D16813" s="2">
        <v>0</v>
      </c>
      <c r="E16813" s="2">
        <v>2118.7800000000002</v>
      </c>
      <c r="F16813" t="s">
        <v>14</v>
      </c>
      <c r="G16813" t="s">
        <v>15</v>
      </c>
    </row>
    <row r="16814" spans="1:7" x14ac:dyDescent="0.35">
      <c r="A16814">
        <v>6674</v>
      </c>
      <c r="B16814" s="1">
        <v>46020</v>
      </c>
      <c r="C16814" t="s">
        <v>12</v>
      </c>
      <c r="D16814" s="2">
        <v>0</v>
      </c>
      <c r="E16814" s="2">
        <v>158.91</v>
      </c>
      <c r="F16814" t="s">
        <v>16</v>
      </c>
      <c r="G16814" t="s">
        <v>17</v>
      </c>
    </row>
    <row r="16815" spans="1:7" x14ac:dyDescent="0.35">
      <c r="A16815">
        <v>6675</v>
      </c>
      <c r="B16815" s="1">
        <v>46020</v>
      </c>
      <c r="C16815" t="s">
        <v>12</v>
      </c>
      <c r="D16815" s="2">
        <v>3002.8</v>
      </c>
      <c r="E16815" s="2">
        <v>0</v>
      </c>
      <c r="F16815" t="s">
        <v>13</v>
      </c>
      <c r="G16815" t="s">
        <v>9</v>
      </c>
    </row>
    <row r="16816" spans="1:7" x14ac:dyDescent="0.35">
      <c r="A16816">
        <v>6675</v>
      </c>
      <c r="B16816" s="1">
        <v>46020</v>
      </c>
      <c r="C16816" t="s">
        <v>12</v>
      </c>
      <c r="D16816" s="2">
        <v>0</v>
      </c>
      <c r="E16816" s="2">
        <v>2793.28</v>
      </c>
      <c r="F16816" t="s">
        <v>14</v>
      </c>
      <c r="G16816" t="s">
        <v>15</v>
      </c>
    </row>
    <row r="16817" spans="1:7" x14ac:dyDescent="0.35">
      <c r="A16817">
        <v>6675</v>
      </c>
      <c r="B16817" s="1">
        <v>46020</v>
      </c>
      <c r="C16817" t="s">
        <v>12</v>
      </c>
      <c r="D16817" s="2">
        <v>0</v>
      </c>
      <c r="E16817" s="2">
        <v>209.52</v>
      </c>
      <c r="F16817" t="s">
        <v>16</v>
      </c>
      <c r="G16817" t="s">
        <v>17</v>
      </c>
    </row>
    <row r="16818" spans="1:7" x14ac:dyDescent="0.35">
      <c r="A16818">
        <v>6676</v>
      </c>
      <c r="B16818" s="1">
        <v>46020</v>
      </c>
      <c r="C16818" t="s">
        <v>12</v>
      </c>
      <c r="D16818" s="2">
        <v>329.99</v>
      </c>
      <c r="E16818" s="2">
        <v>0</v>
      </c>
      <c r="F16818" t="s">
        <v>13</v>
      </c>
      <c r="G16818" t="s">
        <v>9</v>
      </c>
    </row>
    <row r="16819" spans="1:7" x14ac:dyDescent="0.35">
      <c r="A16819">
        <v>6676</v>
      </c>
      <c r="B16819" s="1">
        <v>46020</v>
      </c>
      <c r="C16819" t="s">
        <v>12</v>
      </c>
      <c r="D16819" s="2">
        <v>0</v>
      </c>
      <c r="E16819" s="2">
        <v>306.95999999999998</v>
      </c>
      <c r="F16819" t="s">
        <v>14</v>
      </c>
      <c r="G16819" t="s">
        <v>15</v>
      </c>
    </row>
    <row r="16820" spans="1:7" x14ac:dyDescent="0.35">
      <c r="A16820">
        <v>6676</v>
      </c>
      <c r="B16820" s="1">
        <v>46020</v>
      </c>
      <c r="C16820" t="s">
        <v>12</v>
      </c>
      <c r="D16820" s="2">
        <v>0</v>
      </c>
      <c r="E16820" s="2">
        <v>23.03</v>
      </c>
      <c r="F16820" t="s">
        <v>16</v>
      </c>
      <c r="G16820" t="s">
        <v>17</v>
      </c>
    </row>
    <row r="16821" spans="1:7" x14ac:dyDescent="0.35">
      <c r="A16821">
        <v>6677</v>
      </c>
      <c r="B16821" s="1">
        <v>46020</v>
      </c>
      <c r="C16821" t="s">
        <v>12</v>
      </c>
      <c r="D16821" s="2">
        <v>1636.15</v>
      </c>
      <c r="E16821" s="2">
        <v>0</v>
      </c>
      <c r="F16821" t="s">
        <v>13</v>
      </c>
      <c r="G16821" t="s">
        <v>9</v>
      </c>
    </row>
    <row r="16822" spans="1:7" x14ac:dyDescent="0.35">
      <c r="A16822">
        <v>6677</v>
      </c>
      <c r="B16822" s="1">
        <v>46020</v>
      </c>
      <c r="C16822" t="s">
        <v>12</v>
      </c>
      <c r="D16822" s="2">
        <v>0</v>
      </c>
      <c r="E16822" s="2">
        <v>1522</v>
      </c>
      <c r="F16822" t="s">
        <v>14</v>
      </c>
      <c r="G16822" t="s">
        <v>15</v>
      </c>
    </row>
    <row r="16823" spans="1:7" x14ac:dyDescent="0.35">
      <c r="A16823">
        <v>6677</v>
      </c>
      <c r="B16823" s="1">
        <v>46020</v>
      </c>
      <c r="C16823" t="s">
        <v>12</v>
      </c>
      <c r="D16823" s="2">
        <v>0</v>
      </c>
      <c r="E16823" s="2">
        <v>114.15</v>
      </c>
      <c r="F16823" t="s">
        <v>16</v>
      </c>
      <c r="G16823" t="s">
        <v>17</v>
      </c>
    </row>
    <row r="16824" spans="1:7" x14ac:dyDescent="0.35">
      <c r="A16824">
        <v>6678</v>
      </c>
      <c r="B16824" s="1">
        <v>46020</v>
      </c>
      <c r="C16824" t="s">
        <v>12</v>
      </c>
      <c r="D16824" s="2">
        <v>1921.32</v>
      </c>
      <c r="E16824" s="2">
        <v>0</v>
      </c>
      <c r="F16824" t="s">
        <v>13</v>
      </c>
      <c r="G16824" t="s">
        <v>9</v>
      </c>
    </row>
    <row r="16825" spans="1:7" x14ac:dyDescent="0.35">
      <c r="A16825">
        <v>6678</v>
      </c>
      <c r="B16825" s="1">
        <v>46020</v>
      </c>
      <c r="C16825" t="s">
        <v>12</v>
      </c>
      <c r="D16825" s="2">
        <v>0</v>
      </c>
      <c r="E16825" s="2">
        <v>1787.28</v>
      </c>
      <c r="F16825" t="s">
        <v>14</v>
      </c>
      <c r="G16825" t="s">
        <v>15</v>
      </c>
    </row>
    <row r="16826" spans="1:7" x14ac:dyDescent="0.35">
      <c r="A16826">
        <v>6678</v>
      </c>
      <c r="B16826" s="1">
        <v>46020</v>
      </c>
      <c r="C16826" t="s">
        <v>12</v>
      </c>
      <c r="D16826" s="2">
        <v>0</v>
      </c>
      <c r="E16826" s="2">
        <v>134.04</v>
      </c>
      <c r="F16826" t="s">
        <v>16</v>
      </c>
      <c r="G16826" t="s">
        <v>17</v>
      </c>
    </row>
    <row r="16827" spans="1:7" x14ac:dyDescent="0.35">
      <c r="A16827">
        <v>6679</v>
      </c>
      <c r="B16827" s="1">
        <v>46020</v>
      </c>
      <c r="C16827" t="s">
        <v>12</v>
      </c>
      <c r="D16827" s="2">
        <v>596.92999999999995</v>
      </c>
      <c r="E16827" s="2">
        <v>0</v>
      </c>
      <c r="F16827" t="s">
        <v>13</v>
      </c>
      <c r="G16827" t="s">
        <v>9</v>
      </c>
    </row>
    <row r="16828" spans="1:7" x14ac:dyDescent="0.35">
      <c r="A16828">
        <v>6679</v>
      </c>
      <c r="B16828" s="1">
        <v>46020</v>
      </c>
      <c r="C16828" t="s">
        <v>12</v>
      </c>
      <c r="D16828" s="2">
        <v>0</v>
      </c>
      <c r="E16828" s="2">
        <v>555.28</v>
      </c>
      <c r="F16828" t="s">
        <v>14</v>
      </c>
      <c r="G16828" t="s">
        <v>15</v>
      </c>
    </row>
    <row r="16829" spans="1:7" x14ac:dyDescent="0.35">
      <c r="A16829">
        <v>6679</v>
      </c>
      <c r="B16829" s="1">
        <v>46020</v>
      </c>
      <c r="C16829" t="s">
        <v>12</v>
      </c>
      <c r="D16829" s="2">
        <v>0</v>
      </c>
      <c r="E16829" s="2">
        <v>41.65</v>
      </c>
      <c r="F16829" t="s">
        <v>16</v>
      </c>
      <c r="G16829" t="s">
        <v>17</v>
      </c>
    </row>
    <row r="16830" spans="1:7" x14ac:dyDescent="0.35">
      <c r="A16830">
        <v>6680</v>
      </c>
      <c r="B16830" s="1">
        <v>46020</v>
      </c>
      <c r="C16830" t="s">
        <v>12</v>
      </c>
      <c r="D16830" s="2">
        <v>2508.9499999999998</v>
      </c>
      <c r="E16830" s="2">
        <v>0</v>
      </c>
      <c r="F16830" t="s">
        <v>13</v>
      </c>
      <c r="G16830" t="s">
        <v>9</v>
      </c>
    </row>
    <row r="16831" spans="1:7" x14ac:dyDescent="0.35">
      <c r="A16831">
        <v>6680</v>
      </c>
      <c r="B16831" s="1">
        <v>46020</v>
      </c>
      <c r="C16831" t="s">
        <v>12</v>
      </c>
      <c r="D16831" s="2">
        <v>0</v>
      </c>
      <c r="E16831" s="2">
        <v>2333.92</v>
      </c>
      <c r="F16831" t="s">
        <v>14</v>
      </c>
      <c r="G16831" t="s">
        <v>15</v>
      </c>
    </row>
    <row r="16832" spans="1:7" x14ac:dyDescent="0.35">
      <c r="A16832">
        <v>6680</v>
      </c>
      <c r="B16832" s="1">
        <v>46020</v>
      </c>
      <c r="C16832" t="s">
        <v>12</v>
      </c>
      <c r="D16832" s="2">
        <v>0</v>
      </c>
      <c r="E16832" s="2">
        <v>175.03</v>
      </c>
      <c r="F16832" t="s">
        <v>16</v>
      </c>
      <c r="G16832" t="s">
        <v>17</v>
      </c>
    </row>
    <row r="16833" spans="1:7" x14ac:dyDescent="0.35">
      <c r="A16833">
        <v>6681</v>
      </c>
      <c r="B16833" s="1">
        <v>46020</v>
      </c>
      <c r="C16833" t="s">
        <v>24</v>
      </c>
      <c r="D16833" s="2">
        <v>2547.4699999999998</v>
      </c>
      <c r="E16833" s="2">
        <v>0</v>
      </c>
      <c r="F16833" t="s">
        <v>8</v>
      </c>
      <c r="G16833" t="s">
        <v>9</v>
      </c>
    </row>
    <row r="16834" spans="1:7" x14ac:dyDescent="0.35">
      <c r="A16834">
        <v>6681</v>
      </c>
      <c r="B16834" s="1">
        <v>46020</v>
      </c>
      <c r="C16834" t="s">
        <v>24</v>
      </c>
      <c r="D16834" s="2">
        <v>0</v>
      </c>
      <c r="E16834" s="2">
        <v>2547.4699999999998</v>
      </c>
      <c r="F16834" t="s">
        <v>13</v>
      </c>
      <c r="G16834" t="s">
        <v>9</v>
      </c>
    </row>
    <row r="16835" spans="1:7" x14ac:dyDescent="0.35">
      <c r="A16835">
        <v>6682</v>
      </c>
      <c r="B16835" s="1">
        <v>46020</v>
      </c>
      <c r="C16835" t="s">
        <v>24</v>
      </c>
      <c r="D16835" s="2">
        <v>3726.72</v>
      </c>
      <c r="E16835" s="2">
        <v>0</v>
      </c>
      <c r="F16835" t="s">
        <v>8</v>
      </c>
      <c r="G16835" t="s">
        <v>9</v>
      </c>
    </row>
    <row r="16836" spans="1:7" x14ac:dyDescent="0.35">
      <c r="A16836">
        <v>6682</v>
      </c>
      <c r="B16836" s="1">
        <v>46020</v>
      </c>
      <c r="C16836" t="s">
        <v>24</v>
      </c>
      <c r="D16836" s="2">
        <v>0</v>
      </c>
      <c r="E16836" s="2">
        <v>3726.72</v>
      </c>
      <c r="F16836" t="s">
        <v>13</v>
      </c>
      <c r="G16836" t="s">
        <v>9</v>
      </c>
    </row>
    <row r="16837" spans="1:7" x14ac:dyDescent="0.35">
      <c r="A16837">
        <v>6683</v>
      </c>
      <c r="B16837" s="1">
        <v>46020</v>
      </c>
      <c r="C16837" t="s">
        <v>24</v>
      </c>
      <c r="D16837" s="2">
        <v>1857.54</v>
      </c>
      <c r="E16837" s="2">
        <v>0</v>
      </c>
      <c r="F16837" t="s">
        <v>8</v>
      </c>
      <c r="G16837" t="s">
        <v>9</v>
      </c>
    </row>
    <row r="16838" spans="1:7" x14ac:dyDescent="0.35">
      <c r="A16838">
        <v>6683</v>
      </c>
      <c r="B16838" s="1">
        <v>46020</v>
      </c>
      <c r="C16838" t="s">
        <v>24</v>
      </c>
      <c r="D16838" s="2">
        <v>0</v>
      </c>
      <c r="E16838" s="2">
        <v>1857.54</v>
      </c>
      <c r="F16838" t="s">
        <v>13</v>
      </c>
      <c r="G16838" t="s">
        <v>9</v>
      </c>
    </row>
    <row r="16839" spans="1:7" x14ac:dyDescent="0.35">
      <c r="A16839">
        <v>6684</v>
      </c>
      <c r="B16839" s="1">
        <v>46020</v>
      </c>
      <c r="C16839" t="s">
        <v>24</v>
      </c>
      <c r="D16839" s="2">
        <v>1227.3599999999999</v>
      </c>
      <c r="E16839" s="2">
        <v>0</v>
      </c>
      <c r="F16839" t="s">
        <v>8</v>
      </c>
      <c r="G16839" t="s">
        <v>9</v>
      </c>
    </row>
    <row r="16840" spans="1:7" x14ac:dyDescent="0.35">
      <c r="A16840">
        <v>6684</v>
      </c>
      <c r="B16840" s="1">
        <v>46020</v>
      </c>
      <c r="C16840" t="s">
        <v>24</v>
      </c>
      <c r="D16840" s="2">
        <v>0</v>
      </c>
      <c r="E16840" s="2">
        <v>1227.3599999999999</v>
      </c>
      <c r="F16840" t="s">
        <v>13</v>
      </c>
      <c r="G16840" t="s">
        <v>9</v>
      </c>
    </row>
    <row r="16841" spans="1:7" x14ac:dyDescent="0.35">
      <c r="A16841">
        <v>6685</v>
      </c>
      <c r="B16841" s="1">
        <v>46020</v>
      </c>
      <c r="C16841" t="s">
        <v>24</v>
      </c>
      <c r="D16841" s="2">
        <v>4283.1499999999996</v>
      </c>
      <c r="E16841" s="2">
        <v>0</v>
      </c>
      <c r="F16841" t="s">
        <v>8</v>
      </c>
      <c r="G16841" t="s">
        <v>9</v>
      </c>
    </row>
    <row r="16842" spans="1:7" x14ac:dyDescent="0.35">
      <c r="A16842">
        <v>6685</v>
      </c>
      <c r="B16842" s="1">
        <v>46020</v>
      </c>
      <c r="C16842" t="s">
        <v>24</v>
      </c>
      <c r="D16842" s="2">
        <v>0</v>
      </c>
      <c r="E16842" s="2">
        <v>4283.1499999999996</v>
      </c>
      <c r="F16842" t="s">
        <v>13</v>
      </c>
      <c r="G16842" t="s">
        <v>9</v>
      </c>
    </row>
    <row r="16843" spans="1:7" x14ac:dyDescent="0.35">
      <c r="A16843">
        <v>6686</v>
      </c>
      <c r="B16843" s="1">
        <v>46020</v>
      </c>
      <c r="C16843" t="s">
        <v>24</v>
      </c>
      <c r="D16843" s="2">
        <v>192.73</v>
      </c>
      <c r="E16843" s="2">
        <v>0</v>
      </c>
      <c r="F16843" t="s">
        <v>8</v>
      </c>
      <c r="G16843" t="s">
        <v>9</v>
      </c>
    </row>
    <row r="16844" spans="1:7" x14ac:dyDescent="0.35">
      <c r="A16844">
        <v>6686</v>
      </c>
      <c r="B16844" s="1">
        <v>46020</v>
      </c>
      <c r="C16844" t="s">
        <v>24</v>
      </c>
      <c r="D16844" s="2">
        <v>0</v>
      </c>
      <c r="E16844" s="2">
        <v>192.73</v>
      </c>
      <c r="F16844" t="s">
        <v>13</v>
      </c>
      <c r="G16844" t="s">
        <v>9</v>
      </c>
    </row>
    <row r="16845" spans="1:7" x14ac:dyDescent="0.35">
      <c r="A16845">
        <v>6687</v>
      </c>
      <c r="B16845" s="1">
        <v>46020</v>
      </c>
      <c r="C16845" t="s">
        <v>24</v>
      </c>
      <c r="D16845" s="2">
        <v>449.85</v>
      </c>
      <c r="E16845" s="2">
        <v>0</v>
      </c>
      <c r="F16845" t="s">
        <v>8</v>
      </c>
      <c r="G16845" t="s">
        <v>9</v>
      </c>
    </row>
    <row r="16846" spans="1:7" x14ac:dyDescent="0.35">
      <c r="A16846">
        <v>6687</v>
      </c>
      <c r="B16846" s="1">
        <v>46020</v>
      </c>
      <c r="C16846" t="s">
        <v>24</v>
      </c>
      <c r="D16846" s="2">
        <v>0</v>
      </c>
      <c r="E16846" s="2">
        <v>449.85</v>
      </c>
      <c r="F16846" t="s">
        <v>13</v>
      </c>
      <c r="G16846" t="s">
        <v>9</v>
      </c>
    </row>
    <row r="16847" spans="1:7" x14ac:dyDescent="0.35">
      <c r="A16847">
        <v>6688</v>
      </c>
      <c r="B16847" s="1">
        <v>46020</v>
      </c>
      <c r="C16847" t="s">
        <v>24</v>
      </c>
      <c r="D16847" s="2">
        <v>1203.6199999999999</v>
      </c>
      <c r="E16847" s="2">
        <v>0</v>
      </c>
      <c r="F16847" t="s">
        <v>8</v>
      </c>
      <c r="G16847" t="s">
        <v>9</v>
      </c>
    </row>
    <row r="16848" spans="1:7" x14ac:dyDescent="0.35">
      <c r="A16848">
        <v>6688</v>
      </c>
      <c r="B16848" s="1">
        <v>46020</v>
      </c>
      <c r="C16848" t="s">
        <v>24</v>
      </c>
      <c r="D16848" s="2">
        <v>0</v>
      </c>
      <c r="E16848" s="2">
        <v>1203.6199999999999</v>
      </c>
      <c r="F16848" t="s">
        <v>13</v>
      </c>
      <c r="G16848" t="s">
        <v>9</v>
      </c>
    </row>
    <row r="16849" spans="1:7" x14ac:dyDescent="0.35">
      <c r="A16849">
        <v>6689</v>
      </c>
      <c r="B16849" s="1">
        <v>46020</v>
      </c>
      <c r="C16849" t="s">
        <v>24</v>
      </c>
      <c r="D16849" s="2">
        <v>261.94</v>
      </c>
      <c r="E16849" s="2">
        <v>0</v>
      </c>
      <c r="F16849" t="s">
        <v>8</v>
      </c>
      <c r="G16849" t="s">
        <v>9</v>
      </c>
    </row>
    <row r="16850" spans="1:7" x14ac:dyDescent="0.35">
      <c r="A16850">
        <v>6689</v>
      </c>
      <c r="B16850" s="1">
        <v>46020</v>
      </c>
      <c r="C16850" t="s">
        <v>24</v>
      </c>
      <c r="D16850" s="2">
        <v>0</v>
      </c>
      <c r="E16850" s="2">
        <v>261.94</v>
      </c>
      <c r="F16850" t="s">
        <v>13</v>
      </c>
      <c r="G16850" t="s">
        <v>9</v>
      </c>
    </row>
    <row r="16851" spans="1:7" x14ac:dyDescent="0.35">
      <c r="A16851">
        <v>6690</v>
      </c>
      <c r="B16851" s="1">
        <v>46020</v>
      </c>
      <c r="C16851" t="s">
        <v>24</v>
      </c>
      <c r="D16851" s="2">
        <v>143.66</v>
      </c>
      <c r="E16851" s="2">
        <v>0</v>
      </c>
      <c r="F16851" t="s">
        <v>8</v>
      </c>
      <c r="G16851" t="s">
        <v>9</v>
      </c>
    </row>
    <row r="16852" spans="1:7" x14ac:dyDescent="0.35">
      <c r="A16852">
        <v>6690</v>
      </c>
      <c r="B16852" s="1">
        <v>46020</v>
      </c>
      <c r="C16852" t="s">
        <v>24</v>
      </c>
      <c r="D16852" s="2">
        <v>0</v>
      </c>
      <c r="E16852" s="2">
        <v>143.66</v>
      </c>
      <c r="F16852" t="s">
        <v>13</v>
      </c>
      <c r="G16852" t="s">
        <v>9</v>
      </c>
    </row>
    <row r="16853" spans="1:7" x14ac:dyDescent="0.35">
      <c r="A16853">
        <v>6691</v>
      </c>
      <c r="B16853" s="1">
        <v>46020</v>
      </c>
      <c r="C16853" t="s">
        <v>24</v>
      </c>
      <c r="D16853" s="2">
        <v>596.92999999999995</v>
      </c>
      <c r="E16853" s="2">
        <v>0</v>
      </c>
      <c r="F16853" t="s">
        <v>8</v>
      </c>
      <c r="G16853" t="s">
        <v>9</v>
      </c>
    </row>
    <row r="16854" spans="1:7" x14ac:dyDescent="0.35">
      <c r="A16854">
        <v>6691</v>
      </c>
      <c r="B16854" s="1">
        <v>46020</v>
      </c>
      <c r="C16854" t="s">
        <v>24</v>
      </c>
      <c r="D16854" s="2">
        <v>0</v>
      </c>
      <c r="E16854" s="2">
        <v>596.92999999999995</v>
      </c>
      <c r="F16854" t="s">
        <v>13</v>
      </c>
      <c r="G16854" t="s">
        <v>9</v>
      </c>
    </row>
    <row r="16855" spans="1:7" x14ac:dyDescent="0.35">
      <c r="A16855">
        <v>6692</v>
      </c>
      <c r="B16855" s="1">
        <v>46020</v>
      </c>
      <c r="C16855" t="s">
        <v>25</v>
      </c>
      <c r="D16855" s="2">
        <v>1800.04</v>
      </c>
      <c r="E16855" s="2">
        <v>0</v>
      </c>
      <c r="F16855" t="s">
        <v>26</v>
      </c>
      <c r="G16855" t="s">
        <v>20</v>
      </c>
    </row>
    <row r="16856" spans="1:7" x14ac:dyDescent="0.35">
      <c r="A16856">
        <v>6692</v>
      </c>
      <c r="B16856" s="1">
        <v>46020</v>
      </c>
      <c r="C16856" t="s">
        <v>25</v>
      </c>
      <c r="D16856" s="2">
        <v>135</v>
      </c>
      <c r="E16856" s="2">
        <v>0</v>
      </c>
      <c r="F16856" t="s">
        <v>27</v>
      </c>
      <c r="G16856" t="s">
        <v>9</v>
      </c>
    </row>
    <row r="16857" spans="1:7" x14ac:dyDescent="0.35">
      <c r="A16857">
        <v>6692</v>
      </c>
      <c r="B16857" s="1">
        <v>46020</v>
      </c>
      <c r="C16857" t="s">
        <v>25</v>
      </c>
      <c r="D16857" s="2">
        <v>0</v>
      </c>
      <c r="E16857" s="2">
        <v>1935.04</v>
      </c>
      <c r="F16857" t="s">
        <v>28</v>
      </c>
      <c r="G16857" t="s">
        <v>17</v>
      </c>
    </row>
    <row r="16858" spans="1:7" x14ac:dyDescent="0.35">
      <c r="A16858">
        <v>6693</v>
      </c>
      <c r="B16858" s="1">
        <v>46020</v>
      </c>
      <c r="C16858" t="s">
        <v>25</v>
      </c>
      <c r="D16858" s="2">
        <v>2329.52</v>
      </c>
      <c r="E16858" s="2">
        <v>0</v>
      </c>
      <c r="F16858" t="s">
        <v>26</v>
      </c>
      <c r="G16858" t="s">
        <v>20</v>
      </c>
    </row>
    <row r="16859" spans="1:7" x14ac:dyDescent="0.35">
      <c r="A16859">
        <v>6693</v>
      </c>
      <c r="B16859" s="1">
        <v>46020</v>
      </c>
      <c r="C16859" t="s">
        <v>25</v>
      </c>
      <c r="D16859" s="2">
        <v>174.71</v>
      </c>
      <c r="E16859" s="2">
        <v>0</v>
      </c>
      <c r="F16859" t="s">
        <v>27</v>
      </c>
      <c r="G16859" t="s">
        <v>9</v>
      </c>
    </row>
    <row r="16860" spans="1:7" x14ac:dyDescent="0.35">
      <c r="A16860">
        <v>6693</v>
      </c>
      <c r="B16860" s="1">
        <v>46020</v>
      </c>
      <c r="C16860" t="s">
        <v>25</v>
      </c>
      <c r="D16860" s="2">
        <v>0</v>
      </c>
      <c r="E16860" s="2">
        <v>2504.23</v>
      </c>
      <c r="F16860" t="s">
        <v>28</v>
      </c>
      <c r="G16860" t="s">
        <v>17</v>
      </c>
    </row>
    <row r="16861" spans="1:7" x14ac:dyDescent="0.35">
      <c r="A16861">
        <v>6694</v>
      </c>
      <c r="B16861" s="1">
        <v>46020</v>
      </c>
      <c r="C16861" t="s">
        <v>25</v>
      </c>
      <c r="D16861" s="2">
        <v>1078.92</v>
      </c>
      <c r="E16861" s="2">
        <v>0</v>
      </c>
      <c r="F16861" t="s">
        <v>26</v>
      </c>
      <c r="G16861" t="s">
        <v>20</v>
      </c>
    </row>
    <row r="16862" spans="1:7" x14ac:dyDescent="0.35">
      <c r="A16862">
        <v>6694</v>
      </c>
      <c r="B16862" s="1">
        <v>46020</v>
      </c>
      <c r="C16862" t="s">
        <v>25</v>
      </c>
      <c r="D16862" s="2">
        <v>80.92</v>
      </c>
      <c r="E16862" s="2">
        <v>0</v>
      </c>
      <c r="F16862" t="s">
        <v>27</v>
      </c>
      <c r="G16862" t="s">
        <v>9</v>
      </c>
    </row>
    <row r="16863" spans="1:7" x14ac:dyDescent="0.35">
      <c r="A16863">
        <v>6694</v>
      </c>
      <c r="B16863" s="1">
        <v>46020</v>
      </c>
      <c r="C16863" t="s">
        <v>25</v>
      </c>
      <c r="D16863" s="2">
        <v>0</v>
      </c>
      <c r="E16863" s="2">
        <v>1159.8399999999999</v>
      </c>
      <c r="F16863" t="s">
        <v>28</v>
      </c>
      <c r="G16863" t="s">
        <v>17</v>
      </c>
    </row>
    <row r="16864" spans="1:7" x14ac:dyDescent="0.35">
      <c r="A16864">
        <v>6695</v>
      </c>
      <c r="B16864" s="1">
        <v>46020</v>
      </c>
      <c r="C16864" t="s">
        <v>25</v>
      </c>
      <c r="D16864" s="2">
        <v>187.44</v>
      </c>
      <c r="E16864" s="2">
        <v>0</v>
      </c>
      <c r="F16864" t="s">
        <v>26</v>
      </c>
      <c r="G16864" t="s">
        <v>20</v>
      </c>
    </row>
    <row r="16865" spans="1:7" x14ac:dyDescent="0.35">
      <c r="A16865">
        <v>6695</v>
      </c>
      <c r="B16865" s="1">
        <v>46020</v>
      </c>
      <c r="C16865" t="s">
        <v>25</v>
      </c>
      <c r="D16865" s="2">
        <v>14.06</v>
      </c>
      <c r="E16865" s="2">
        <v>0</v>
      </c>
      <c r="F16865" t="s">
        <v>27</v>
      </c>
      <c r="G16865" t="s">
        <v>9</v>
      </c>
    </row>
    <row r="16866" spans="1:7" x14ac:dyDescent="0.35">
      <c r="A16866">
        <v>6695</v>
      </c>
      <c r="B16866" s="1">
        <v>46020</v>
      </c>
      <c r="C16866" t="s">
        <v>25</v>
      </c>
      <c r="D16866" s="2">
        <v>0</v>
      </c>
      <c r="E16866" s="2">
        <v>201.5</v>
      </c>
      <c r="F16866" t="s">
        <v>28</v>
      </c>
      <c r="G16866" t="s">
        <v>17</v>
      </c>
    </row>
    <row r="16867" spans="1:7" x14ac:dyDescent="0.35">
      <c r="A16867">
        <v>6696</v>
      </c>
      <c r="B16867" s="1">
        <v>46020</v>
      </c>
      <c r="C16867" t="s">
        <v>25</v>
      </c>
      <c r="D16867" s="2">
        <v>383.76</v>
      </c>
      <c r="E16867" s="2">
        <v>0</v>
      </c>
      <c r="F16867" t="s">
        <v>26</v>
      </c>
      <c r="G16867" t="s">
        <v>20</v>
      </c>
    </row>
    <row r="16868" spans="1:7" x14ac:dyDescent="0.35">
      <c r="A16868">
        <v>6696</v>
      </c>
      <c r="B16868" s="1">
        <v>46020</v>
      </c>
      <c r="C16868" t="s">
        <v>25</v>
      </c>
      <c r="D16868" s="2">
        <v>28.78</v>
      </c>
      <c r="E16868" s="2">
        <v>0</v>
      </c>
      <c r="F16868" t="s">
        <v>27</v>
      </c>
      <c r="G16868" t="s">
        <v>9</v>
      </c>
    </row>
    <row r="16869" spans="1:7" x14ac:dyDescent="0.35">
      <c r="A16869">
        <v>6696</v>
      </c>
      <c r="B16869" s="1">
        <v>46020</v>
      </c>
      <c r="C16869" t="s">
        <v>25</v>
      </c>
      <c r="D16869" s="2">
        <v>0</v>
      </c>
      <c r="E16869" s="2">
        <v>412.54</v>
      </c>
      <c r="F16869" t="s">
        <v>28</v>
      </c>
      <c r="G16869" t="s">
        <v>17</v>
      </c>
    </row>
    <row r="16870" spans="1:7" x14ac:dyDescent="0.35">
      <c r="A16870">
        <v>6697</v>
      </c>
      <c r="B16870" s="1">
        <v>46020</v>
      </c>
      <c r="C16870" t="s">
        <v>25</v>
      </c>
      <c r="D16870" s="2">
        <v>257.04000000000002</v>
      </c>
      <c r="E16870" s="2">
        <v>0</v>
      </c>
      <c r="F16870" t="s">
        <v>26</v>
      </c>
      <c r="G16870" t="s">
        <v>20</v>
      </c>
    </row>
    <row r="16871" spans="1:7" x14ac:dyDescent="0.35">
      <c r="A16871">
        <v>6697</v>
      </c>
      <c r="B16871" s="1">
        <v>46020</v>
      </c>
      <c r="C16871" t="s">
        <v>25</v>
      </c>
      <c r="D16871" s="2">
        <v>19.28</v>
      </c>
      <c r="E16871" s="2">
        <v>0</v>
      </c>
      <c r="F16871" t="s">
        <v>27</v>
      </c>
      <c r="G16871" t="s">
        <v>9</v>
      </c>
    </row>
    <row r="16872" spans="1:7" x14ac:dyDescent="0.35">
      <c r="A16872">
        <v>6697</v>
      </c>
      <c r="B16872" s="1">
        <v>46020</v>
      </c>
      <c r="C16872" t="s">
        <v>25</v>
      </c>
      <c r="D16872" s="2">
        <v>0</v>
      </c>
      <c r="E16872" s="2">
        <v>276.32</v>
      </c>
      <c r="F16872" t="s">
        <v>28</v>
      </c>
      <c r="G16872" t="s">
        <v>17</v>
      </c>
    </row>
    <row r="16873" spans="1:7" x14ac:dyDescent="0.35">
      <c r="A16873">
        <v>6698</v>
      </c>
      <c r="B16873" s="1">
        <v>46020</v>
      </c>
      <c r="C16873" t="s">
        <v>25</v>
      </c>
      <c r="D16873" s="2">
        <v>166.52</v>
      </c>
      <c r="E16873" s="2">
        <v>0</v>
      </c>
      <c r="F16873" t="s">
        <v>26</v>
      </c>
      <c r="G16873" t="s">
        <v>20</v>
      </c>
    </row>
    <row r="16874" spans="1:7" x14ac:dyDescent="0.35">
      <c r="A16874">
        <v>6698</v>
      </c>
      <c r="B16874" s="1">
        <v>46020</v>
      </c>
      <c r="C16874" t="s">
        <v>25</v>
      </c>
      <c r="D16874" s="2">
        <v>12.49</v>
      </c>
      <c r="E16874" s="2">
        <v>0</v>
      </c>
      <c r="F16874" t="s">
        <v>27</v>
      </c>
      <c r="G16874" t="s">
        <v>9</v>
      </c>
    </row>
    <row r="16875" spans="1:7" x14ac:dyDescent="0.35">
      <c r="A16875">
        <v>6698</v>
      </c>
      <c r="B16875" s="1">
        <v>46020</v>
      </c>
      <c r="C16875" t="s">
        <v>25</v>
      </c>
      <c r="D16875" s="2">
        <v>0</v>
      </c>
      <c r="E16875" s="2">
        <v>179.01</v>
      </c>
      <c r="F16875" t="s">
        <v>28</v>
      </c>
      <c r="G16875" t="s">
        <v>17</v>
      </c>
    </row>
    <row r="16876" spans="1:7" x14ac:dyDescent="0.35">
      <c r="A16876">
        <v>6699</v>
      </c>
      <c r="B16876" s="1">
        <v>46020</v>
      </c>
      <c r="C16876" t="s">
        <v>25</v>
      </c>
      <c r="D16876" s="2">
        <v>1643.22</v>
      </c>
      <c r="E16876" s="2">
        <v>0</v>
      </c>
      <c r="F16876" t="s">
        <v>26</v>
      </c>
      <c r="G16876" t="s">
        <v>20</v>
      </c>
    </row>
    <row r="16877" spans="1:7" x14ac:dyDescent="0.35">
      <c r="A16877">
        <v>6699</v>
      </c>
      <c r="B16877" s="1">
        <v>46020</v>
      </c>
      <c r="C16877" t="s">
        <v>25</v>
      </c>
      <c r="D16877" s="2">
        <v>123.24</v>
      </c>
      <c r="E16877" s="2">
        <v>0</v>
      </c>
      <c r="F16877" t="s">
        <v>27</v>
      </c>
      <c r="G16877" t="s">
        <v>9</v>
      </c>
    </row>
    <row r="16878" spans="1:7" x14ac:dyDescent="0.35">
      <c r="A16878">
        <v>6699</v>
      </c>
      <c r="B16878" s="1">
        <v>46020</v>
      </c>
      <c r="C16878" t="s">
        <v>25</v>
      </c>
      <c r="D16878" s="2">
        <v>0</v>
      </c>
      <c r="E16878" s="2">
        <v>1766.46</v>
      </c>
      <c r="F16878" t="s">
        <v>28</v>
      </c>
      <c r="G16878" t="s">
        <v>17</v>
      </c>
    </row>
    <row r="16879" spans="1:7" x14ac:dyDescent="0.35">
      <c r="A16879">
        <v>6700</v>
      </c>
      <c r="B16879" s="1">
        <v>46020</v>
      </c>
      <c r="C16879" t="s">
        <v>29</v>
      </c>
      <c r="D16879" s="2">
        <v>2182.41</v>
      </c>
      <c r="E16879" s="2">
        <v>0</v>
      </c>
      <c r="F16879" t="s">
        <v>28</v>
      </c>
      <c r="G16879" t="s">
        <v>17</v>
      </c>
    </row>
    <row r="16880" spans="1:7" x14ac:dyDescent="0.35">
      <c r="A16880">
        <v>6700</v>
      </c>
      <c r="B16880" s="1">
        <v>46020</v>
      </c>
      <c r="C16880" t="s">
        <v>29</v>
      </c>
      <c r="D16880" s="2">
        <v>0</v>
      </c>
      <c r="E16880" s="2">
        <v>2182.41</v>
      </c>
      <c r="F16880" t="s">
        <v>8</v>
      </c>
      <c r="G16880" t="s">
        <v>9</v>
      </c>
    </row>
    <row r="16881" spans="1:7" x14ac:dyDescent="0.35">
      <c r="A16881">
        <v>6701</v>
      </c>
      <c r="B16881" s="1">
        <v>46020</v>
      </c>
      <c r="C16881" t="s">
        <v>29</v>
      </c>
      <c r="D16881" s="2">
        <v>1766.46</v>
      </c>
      <c r="E16881" s="2">
        <v>0</v>
      </c>
      <c r="F16881" t="s">
        <v>28</v>
      </c>
      <c r="G16881" t="s">
        <v>17</v>
      </c>
    </row>
    <row r="16882" spans="1:7" x14ac:dyDescent="0.35">
      <c r="A16882">
        <v>6701</v>
      </c>
      <c r="B16882" s="1">
        <v>46020</v>
      </c>
      <c r="C16882" t="s">
        <v>29</v>
      </c>
      <c r="D16882" s="2">
        <v>0</v>
      </c>
      <c r="E16882" s="2">
        <v>1766.46</v>
      </c>
      <c r="F16882" t="s">
        <v>8</v>
      </c>
      <c r="G16882" t="s">
        <v>9</v>
      </c>
    </row>
    <row r="16883" spans="1:7" x14ac:dyDescent="0.35">
      <c r="A16883">
        <v>6702</v>
      </c>
      <c r="B16883" s="1">
        <v>46020</v>
      </c>
      <c r="C16883" t="s">
        <v>29</v>
      </c>
      <c r="D16883" s="2">
        <v>7227.44</v>
      </c>
      <c r="E16883" s="2">
        <v>0</v>
      </c>
      <c r="F16883" t="s">
        <v>28</v>
      </c>
      <c r="G16883" t="s">
        <v>17</v>
      </c>
    </row>
    <row r="16884" spans="1:7" x14ac:dyDescent="0.35">
      <c r="A16884">
        <v>6702</v>
      </c>
      <c r="B16884" s="1">
        <v>46020</v>
      </c>
      <c r="C16884" t="s">
        <v>29</v>
      </c>
      <c r="D16884" s="2">
        <v>0</v>
      </c>
      <c r="E16884" s="2">
        <v>7227.44</v>
      </c>
      <c r="F16884" t="s">
        <v>8</v>
      </c>
      <c r="G16884" t="s">
        <v>9</v>
      </c>
    </row>
    <row r="16885" spans="1:7" x14ac:dyDescent="0.35">
      <c r="A16885">
        <v>6703</v>
      </c>
      <c r="B16885" s="1">
        <v>46020</v>
      </c>
      <c r="C16885" t="s">
        <v>29</v>
      </c>
      <c r="D16885" s="2">
        <v>2182.41</v>
      </c>
      <c r="E16885" s="2">
        <v>0</v>
      </c>
      <c r="F16885" t="s">
        <v>28</v>
      </c>
      <c r="G16885" t="s">
        <v>17</v>
      </c>
    </row>
    <row r="16886" spans="1:7" x14ac:dyDescent="0.35">
      <c r="A16886">
        <v>6703</v>
      </c>
      <c r="B16886" s="1">
        <v>46020</v>
      </c>
      <c r="C16886" t="s">
        <v>29</v>
      </c>
      <c r="D16886" s="2">
        <v>0</v>
      </c>
      <c r="E16886" s="2">
        <v>2182.41</v>
      </c>
      <c r="F16886" t="s">
        <v>8</v>
      </c>
      <c r="G16886" t="s">
        <v>9</v>
      </c>
    </row>
    <row r="16887" spans="1:7" x14ac:dyDescent="0.35">
      <c r="A16887">
        <v>6704</v>
      </c>
      <c r="B16887" s="1">
        <v>46020</v>
      </c>
      <c r="C16887" t="s">
        <v>29</v>
      </c>
      <c r="D16887" s="2">
        <v>3528.97</v>
      </c>
      <c r="E16887" s="2">
        <v>0</v>
      </c>
      <c r="F16887" t="s">
        <v>28</v>
      </c>
      <c r="G16887" t="s">
        <v>17</v>
      </c>
    </row>
    <row r="16888" spans="1:7" x14ac:dyDescent="0.35">
      <c r="A16888">
        <v>6704</v>
      </c>
      <c r="B16888" s="1">
        <v>46020</v>
      </c>
      <c r="C16888" t="s">
        <v>29</v>
      </c>
      <c r="D16888" s="2">
        <v>0</v>
      </c>
      <c r="E16888" s="2">
        <v>3528.97</v>
      </c>
      <c r="F16888" t="s">
        <v>8</v>
      </c>
      <c r="G16888" t="s">
        <v>9</v>
      </c>
    </row>
    <row r="16889" spans="1:7" x14ac:dyDescent="0.35">
      <c r="A16889">
        <v>6705</v>
      </c>
      <c r="B16889" s="1">
        <v>46020</v>
      </c>
      <c r="C16889" t="s">
        <v>29</v>
      </c>
      <c r="D16889" s="2">
        <v>412.54</v>
      </c>
      <c r="E16889" s="2">
        <v>0</v>
      </c>
      <c r="F16889" t="s">
        <v>28</v>
      </c>
      <c r="G16889" t="s">
        <v>17</v>
      </c>
    </row>
    <row r="16890" spans="1:7" x14ac:dyDescent="0.35">
      <c r="A16890">
        <v>6705</v>
      </c>
      <c r="B16890" s="1">
        <v>46020</v>
      </c>
      <c r="C16890" t="s">
        <v>29</v>
      </c>
      <c r="D16890" s="2">
        <v>0</v>
      </c>
      <c r="E16890" s="2">
        <v>412.54</v>
      </c>
      <c r="F16890" t="s">
        <v>8</v>
      </c>
      <c r="G16890" t="s">
        <v>9</v>
      </c>
    </row>
    <row r="16891" spans="1:7" x14ac:dyDescent="0.35">
      <c r="A16891">
        <v>6706</v>
      </c>
      <c r="B16891" s="1">
        <v>46020</v>
      </c>
      <c r="C16891" t="s">
        <v>29</v>
      </c>
      <c r="D16891" s="2">
        <v>276.32</v>
      </c>
      <c r="E16891" s="2">
        <v>0</v>
      </c>
      <c r="F16891" t="s">
        <v>28</v>
      </c>
      <c r="G16891" t="s">
        <v>17</v>
      </c>
    </row>
    <row r="16892" spans="1:7" x14ac:dyDescent="0.35">
      <c r="A16892">
        <v>6706</v>
      </c>
      <c r="B16892" s="1">
        <v>46020</v>
      </c>
      <c r="C16892" t="s">
        <v>29</v>
      </c>
      <c r="D16892" s="2">
        <v>0</v>
      </c>
      <c r="E16892" s="2">
        <v>276.32</v>
      </c>
      <c r="F16892" t="s">
        <v>8</v>
      </c>
      <c r="G16892" t="s">
        <v>9</v>
      </c>
    </row>
    <row r="16893" spans="1:7" x14ac:dyDescent="0.35">
      <c r="A16893">
        <v>6707</v>
      </c>
      <c r="B16893" s="1">
        <v>46021</v>
      </c>
      <c r="C16893" t="s">
        <v>12</v>
      </c>
      <c r="D16893" s="2">
        <v>1814.01</v>
      </c>
      <c r="E16893" s="2">
        <v>0</v>
      </c>
      <c r="F16893" t="s">
        <v>13</v>
      </c>
      <c r="G16893" t="s">
        <v>9</v>
      </c>
    </row>
    <row r="16894" spans="1:7" x14ac:dyDescent="0.35">
      <c r="A16894">
        <v>6707</v>
      </c>
      <c r="B16894" s="1">
        <v>46021</v>
      </c>
      <c r="C16894" t="s">
        <v>12</v>
      </c>
      <c r="D16894" s="2">
        <v>0</v>
      </c>
      <c r="E16894" s="2">
        <v>1687.45</v>
      </c>
      <c r="F16894" t="s">
        <v>14</v>
      </c>
      <c r="G16894" t="s">
        <v>15</v>
      </c>
    </row>
    <row r="16895" spans="1:7" x14ac:dyDescent="0.35">
      <c r="A16895">
        <v>6707</v>
      </c>
      <c r="B16895" s="1">
        <v>46021</v>
      </c>
      <c r="C16895" t="s">
        <v>12</v>
      </c>
      <c r="D16895" s="2">
        <v>0</v>
      </c>
      <c r="E16895" s="2">
        <v>126.56</v>
      </c>
      <c r="F16895" t="s">
        <v>16</v>
      </c>
      <c r="G16895" t="s">
        <v>17</v>
      </c>
    </row>
    <row r="16896" spans="1:7" x14ac:dyDescent="0.35">
      <c r="A16896">
        <v>6708</v>
      </c>
      <c r="B16896" s="1">
        <v>46021</v>
      </c>
      <c r="C16896" t="s">
        <v>12</v>
      </c>
      <c r="D16896" s="2">
        <v>450.64</v>
      </c>
      <c r="E16896" s="2">
        <v>0</v>
      </c>
      <c r="F16896" t="s">
        <v>13</v>
      </c>
      <c r="G16896" t="s">
        <v>9</v>
      </c>
    </row>
    <row r="16897" spans="1:7" x14ac:dyDescent="0.35">
      <c r="A16897">
        <v>6708</v>
      </c>
      <c r="B16897" s="1">
        <v>46021</v>
      </c>
      <c r="C16897" t="s">
        <v>12</v>
      </c>
      <c r="D16897" s="2">
        <v>0</v>
      </c>
      <c r="E16897" s="2">
        <v>419.2</v>
      </c>
      <c r="F16897" t="s">
        <v>14</v>
      </c>
      <c r="G16897" t="s">
        <v>15</v>
      </c>
    </row>
    <row r="16898" spans="1:7" x14ac:dyDescent="0.35">
      <c r="A16898">
        <v>6708</v>
      </c>
      <c r="B16898" s="1">
        <v>46021</v>
      </c>
      <c r="C16898" t="s">
        <v>12</v>
      </c>
      <c r="D16898" s="2">
        <v>0</v>
      </c>
      <c r="E16898" s="2">
        <v>31.44</v>
      </c>
      <c r="F16898" t="s">
        <v>16</v>
      </c>
      <c r="G16898" t="s">
        <v>17</v>
      </c>
    </row>
    <row r="16899" spans="1:7" x14ac:dyDescent="0.35">
      <c r="A16899">
        <v>6709</v>
      </c>
      <c r="B16899" s="1">
        <v>46021</v>
      </c>
      <c r="C16899" t="s">
        <v>12</v>
      </c>
      <c r="D16899" s="2">
        <v>2435.37</v>
      </c>
      <c r="E16899" s="2">
        <v>0</v>
      </c>
      <c r="F16899" t="s">
        <v>13</v>
      </c>
      <c r="G16899" t="s">
        <v>9</v>
      </c>
    </row>
    <row r="16900" spans="1:7" x14ac:dyDescent="0.35">
      <c r="A16900">
        <v>6709</v>
      </c>
      <c r="B16900" s="1">
        <v>46021</v>
      </c>
      <c r="C16900" t="s">
        <v>12</v>
      </c>
      <c r="D16900" s="2">
        <v>0</v>
      </c>
      <c r="E16900" s="2">
        <v>2265.46</v>
      </c>
      <c r="F16900" t="s">
        <v>14</v>
      </c>
      <c r="G16900" t="s">
        <v>15</v>
      </c>
    </row>
    <row r="16901" spans="1:7" x14ac:dyDescent="0.35">
      <c r="A16901">
        <v>6709</v>
      </c>
      <c r="B16901" s="1">
        <v>46021</v>
      </c>
      <c r="C16901" t="s">
        <v>12</v>
      </c>
      <c r="D16901" s="2">
        <v>0</v>
      </c>
      <c r="E16901" s="2">
        <v>169.91</v>
      </c>
      <c r="F16901" t="s">
        <v>16</v>
      </c>
      <c r="G16901" t="s">
        <v>17</v>
      </c>
    </row>
    <row r="16902" spans="1:7" x14ac:dyDescent="0.35">
      <c r="A16902">
        <v>6710</v>
      </c>
      <c r="B16902" s="1">
        <v>46021</v>
      </c>
      <c r="C16902" t="s">
        <v>12</v>
      </c>
      <c r="D16902" s="2">
        <v>1528.13</v>
      </c>
      <c r="E16902" s="2">
        <v>0</v>
      </c>
      <c r="F16902" t="s">
        <v>13</v>
      </c>
      <c r="G16902" t="s">
        <v>9</v>
      </c>
    </row>
    <row r="16903" spans="1:7" x14ac:dyDescent="0.35">
      <c r="A16903">
        <v>6710</v>
      </c>
      <c r="B16903" s="1">
        <v>46021</v>
      </c>
      <c r="C16903" t="s">
        <v>12</v>
      </c>
      <c r="D16903" s="2">
        <v>0</v>
      </c>
      <c r="E16903" s="2">
        <v>1421.52</v>
      </c>
      <c r="F16903" t="s">
        <v>14</v>
      </c>
      <c r="G16903" t="s">
        <v>15</v>
      </c>
    </row>
    <row r="16904" spans="1:7" x14ac:dyDescent="0.35">
      <c r="A16904">
        <v>6710</v>
      </c>
      <c r="B16904" s="1">
        <v>46021</v>
      </c>
      <c r="C16904" t="s">
        <v>12</v>
      </c>
      <c r="D16904" s="2">
        <v>0</v>
      </c>
      <c r="E16904" s="2">
        <v>106.61</v>
      </c>
      <c r="F16904" t="s">
        <v>16</v>
      </c>
      <c r="G16904" t="s">
        <v>17</v>
      </c>
    </row>
    <row r="16905" spans="1:7" x14ac:dyDescent="0.35">
      <c r="A16905">
        <v>6711</v>
      </c>
      <c r="B16905" s="1">
        <v>46021</v>
      </c>
      <c r="C16905" t="s">
        <v>12</v>
      </c>
      <c r="D16905" s="2">
        <v>848.13</v>
      </c>
      <c r="E16905" s="2">
        <v>0</v>
      </c>
      <c r="F16905" t="s">
        <v>13</v>
      </c>
      <c r="G16905" t="s">
        <v>9</v>
      </c>
    </row>
    <row r="16906" spans="1:7" x14ac:dyDescent="0.35">
      <c r="A16906">
        <v>6711</v>
      </c>
      <c r="B16906" s="1">
        <v>46021</v>
      </c>
      <c r="C16906" t="s">
        <v>12</v>
      </c>
      <c r="D16906" s="2">
        <v>0</v>
      </c>
      <c r="E16906" s="2">
        <v>788.96</v>
      </c>
      <c r="F16906" t="s">
        <v>14</v>
      </c>
      <c r="G16906" t="s">
        <v>15</v>
      </c>
    </row>
    <row r="16907" spans="1:7" x14ac:dyDescent="0.35">
      <c r="A16907">
        <v>6711</v>
      </c>
      <c r="B16907" s="1">
        <v>46021</v>
      </c>
      <c r="C16907" t="s">
        <v>12</v>
      </c>
      <c r="D16907" s="2">
        <v>0</v>
      </c>
      <c r="E16907" s="2">
        <v>59.17</v>
      </c>
      <c r="F16907" t="s">
        <v>16</v>
      </c>
      <c r="G16907" t="s">
        <v>17</v>
      </c>
    </row>
    <row r="16908" spans="1:7" x14ac:dyDescent="0.35">
      <c r="A16908">
        <v>6712</v>
      </c>
      <c r="B16908" s="1">
        <v>46021</v>
      </c>
      <c r="C16908" t="s">
        <v>12</v>
      </c>
      <c r="D16908" s="2">
        <v>5525.03</v>
      </c>
      <c r="E16908" s="2">
        <v>0</v>
      </c>
      <c r="F16908" t="s">
        <v>13</v>
      </c>
      <c r="G16908" t="s">
        <v>9</v>
      </c>
    </row>
    <row r="16909" spans="1:7" x14ac:dyDescent="0.35">
      <c r="A16909">
        <v>6712</v>
      </c>
      <c r="B16909" s="1">
        <v>46021</v>
      </c>
      <c r="C16909" t="s">
        <v>12</v>
      </c>
      <c r="D16909" s="2">
        <v>0</v>
      </c>
      <c r="E16909" s="2">
        <v>5139.55</v>
      </c>
      <c r="F16909" t="s">
        <v>14</v>
      </c>
      <c r="G16909" t="s">
        <v>15</v>
      </c>
    </row>
    <row r="16910" spans="1:7" x14ac:dyDescent="0.35">
      <c r="A16910">
        <v>6712</v>
      </c>
      <c r="B16910" s="1">
        <v>46021</v>
      </c>
      <c r="C16910" t="s">
        <v>12</v>
      </c>
      <c r="D16910" s="2">
        <v>0</v>
      </c>
      <c r="E16910" s="2">
        <v>385.48</v>
      </c>
      <c r="F16910" t="s">
        <v>16</v>
      </c>
      <c r="G16910" t="s">
        <v>17</v>
      </c>
    </row>
    <row r="16911" spans="1:7" x14ac:dyDescent="0.35">
      <c r="A16911">
        <v>6713</v>
      </c>
      <c r="B16911" s="1">
        <v>46021</v>
      </c>
      <c r="C16911" t="s">
        <v>12</v>
      </c>
      <c r="D16911" s="2">
        <v>2865.64</v>
      </c>
      <c r="E16911" s="2">
        <v>0</v>
      </c>
      <c r="F16911" t="s">
        <v>13</v>
      </c>
      <c r="G16911" t="s">
        <v>9</v>
      </c>
    </row>
    <row r="16912" spans="1:7" x14ac:dyDescent="0.35">
      <c r="A16912">
        <v>6713</v>
      </c>
      <c r="B16912" s="1">
        <v>46021</v>
      </c>
      <c r="C16912" t="s">
        <v>12</v>
      </c>
      <c r="D16912" s="2">
        <v>0</v>
      </c>
      <c r="E16912" s="2">
        <v>2665.72</v>
      </c>
      <c r="F16912" t="s">
        <v>14</v>
      </c>
      <c r="G16912" t="s">
        <v>15</v>
      </c>
    </row>
    <row r="16913" spans="1:7" x14ac:dyDescent="0.35">
      <c r="A16913">
        <v>6713</v>
      </c>
      <c r="B16913" s="1">
        <v>46021</v>
      </c>
      <c r="C16913" t="s">
        <v>12</v>
      </c>
      <c r="D16913" s="2">
        <v>0</v>
      </c>
      <c r="E16913" s="2">
        <v>199.92</v>
      </c>
      <c r="F16913" t="s">
        <v>16</v>
      </c>
      <c r="G16913" t="s">
        <v>17</v>
      </c>
    </row>
    <row r="16914" spans="1:7" x14ac:dyDescent="0.35">
      <c r="A16914">
        <v>6714</v>
      </c>
      <c r="B16914" s="1">
        <v>46021</v>
      </c>
      <c r="C16914" t="s">
        <v>12</v>
      </c>
      <c r="D16914" s="2">
        <v>1955.49</v>
      </c>
      <c r="E16914" s="2">
        <v>0</v>
      </c>
      <c r="F16914" t="s">
        <v>13</v>
      </c>
      <c r="G16914" t="s">
        <v>9</v>
      </c>
    </row>
    <row r="16915" spans="1:7" x14ac:dyDescent="0.35">
      <c r="A16915">
        <v>6714</v>
      </c>
      <c r="B16915" s="1">
        <v>46021</v>
      </c>
      <c r="C16915" t="s">
        <v>12</v>
      </c>
      <c r="D16915" s="2">
        <v>0</v>
      </c>
      <c r="E16915" s="2">
        <v>1819.05</v>
      </c>
      <c r="F16915" t="s">
        <v>14</v>
      </c>
      <c r="G16915" t="s">
        <v>15</v>
      </c>
    </row>
    <row r="16916" spans="1:7" x14ac:dyDescent="0.35">
      <c r="A16916">
        <v>6714</v>
      </c>
      <c r="B16916" s="1">
        <v>46021</v>
      </c>
      <c r="C16916" t="s">
        <v>12</v>
      </c>
      <c r="D16916" s="2">
        <v>0</v>
      </c>
      <c r="E16916" s="2">
        <v>136.44</v>
      </c>
      <c r="F16916" t="s">
        <v>16</v>
      </c>
      <c r="G16916" t="s">
        <v>17</v>
      </c>
    </row>
    <row r="16917" spans="1:7" x14ac:dyDescent="0.35">
      <c r="A16917">
        <v>6715</v>
      </c>
      <c r="B16917" s="1">
        <v>46021</v>
      </c>
      <c r="C16917" t="s">
        <v>12</v>
      </c>
      <c r="D16917" s="2">
        <v>2074.0700000000002</v>
      </c>
      <c r="E16917" s="2">
        <v>0</v>
      </c>
      <c r="F16917" t="s">
        <v>13</v>
      </c>
      <c r="G16917" t="s">
        <v>9</v>
      </c>
    </row>
    <row r="16918" spans="1:7" x14ac:dyDescent="0.35">
      <c r="A16918">
        <v>6715</v>
      </c>
      <c r="B16918" s="1">
        <v>46021</v>
      </c>
      <c r="C16918" t="s">
        <v>12</v>
      </c>
      <c r="D16918" s="2">
        <v>0</v>
      </c>
      <c r="E16918" s="2">
        <v>1929.36</v>
      </c>
      <c r="F16918" t="s">
        <v>14</v>
      </c>
      <c r="G16918" t="s">
        <v>15</v>
      </c>
    </row>
    <row r="16919" spans="1:7" x14ac:dyDescent="0.35">
      <c r="A16919">
        <v>6715</v>
      </c>
      <c r="B16919" s="1">
        <v>46021</v>
      </c>
      <c r="C16919" t="s">
        <v>12</v>
      </c>
      <c r="D16919" s="2">
        <v>0</v>
      </c>
      <c r="E16919" s="2">
        <v>144.71</v>
      </c>
      <c r="F16919" t="s">
        <v>16</v>
      </c>
      <c r="G16919" t="s">
        <v>17</v>
      </c>
    </row>
    <row r="16920" spans="1:7" x14ac:dyDescent="0.35">
      <c r="A16920">
        <v>6716</v>
      </c>
      <c r="B16920" s="1">
        <v>46021</v>
      </c>
      <c r="C16920" t="s">
        <v>24</v>
      </c>
      <c r="D16920" s="2">
        <v>4123.8100000000004</v>
      </c>
      <c r="E16920" s="2">
        <v>0</v>
      </c>
      <c r="F16920" t="s">
        <v>8</v>
      </c>
      <c r="G16920" t="s">
        <v>9</v>
      </c>
    </row>
    <row r="16921" spans="1:7" x14ac:dyDescent="0.35">
      <c r="A16921">
        <v>6716</v>
      </c>
      <c r="B16921" s="1">
        <v>46021</v>
      </c>
      <c r="C16921" t="s">
        <v>24</v>
      </c>
      <c r="D16921" s="2">
        <v>0</v>
      </c>
      <c r="E16921" s="2">
        <v>4123.8100000000004</v>
      </c>
      <c r="F16921" t="s">
        <v>13</v>
      </c>
      <c r="G16921" t="s">
        <v>9</v>
      </c>
    </row>
    <row r="16922" spans="1:7" x14ac:dyDescent="0.35">
      <c r="A16922">
        <v>6717</v>
      </c>
      <c r="B16922" s="1">
        <v>46021</v>
      </c>
      <c r="C16922" t="s">
        <v>24</v>
      </c>
      <c r="D16922" s="2">
        <v>2679.04</v>
      </c>
      <c r="E16922" s="2">
        <v>0</v>
      </c>
      <c r="F16922" t="s">
        <v>8</v>
      </c>
      <c r="G16922" t="s">
        <v>9</v>
      </c>
    </row>
    <row r="16923" spans="1:7" x14ac:dyDescent="0.35">
      <c r="A16923">
        <v>6717</v>
      </c>
      <c r="B16923" s="1">
        <v>46021</v>
      </c>
      <c r="C16923" t="s">
        <v>24</v>
      </c>
      <c r="D16923" s="2">
        <v>0</v>
      </c>
      <c r="E16923" s="2">
        <v>2679.04</v>
      </c>
      <c r="F16923" t="s">
        <v>13</v>
      </c>
      <c r="G16923" t="s">
        <v>9</v>
      </c>
    </row>
    <row r="16924" spans="1:7" x14ac:dyDescent="0.35">
      <c r="A16924">
        <v>6718</v>
      </c>
      <c r="B16924" s="1">
        <v>46021</v>
      </c>
      <c r="C16924" t="s">
        <v>24</v>
      </c>
      <c r="D16924" s="2">
        <v>684.1</v>
      </c>
      <c r="E16924" s="2">
        <v>0</v>
      </c>
      <c r="F16924" t="s">
        <v>8</v>
      </c>
      <c r="G16924" t="s">
        <v>9</v>
      </c>
    </row>
    <row r="16925" spans="1:7" x14ac:dyDescent="0.35">
      <c r="A16925">
        <v>6718</v>
      </c>
      <c r="B16925" s="1">
        <v>46021</v>
      </c>
      <c r="C16925" t="s">
        <v>24</v>
      </c>
      <c r="D16925" s="2">
        <v>0</v>
      </c>
      <c r="E16925" s="2">
        <v>684.1</v>
      </c>
      <c r="F16925" t="s">
        <v>13</v>
      </c>
      <c r="G16925" t="s">
        <v>9</v>
      </c>
    </row>
    <row r="16926" spans="1:7" x14ac:dyDescent="0.35">
      <c r="A16926">
        <v>6719</v>
      </c>
      <c r="B16926" s="1">
        <v>46021</v>
      </c>
      <c r="C16926" t="s">
        <v>24</v>
      </c>
      <c r="D16926" s="2">
        <v>3017.57</v>
      </c>
      <c r="E16926" s="2">
        <v>0</v>
      </c>
      <c r="F16926" t="s">
        <v>8</v>
      </c>
      <c r="G16926" t="s">
        <v>9</v>
      </c>
    </row>
    <row r="16927" spans="1:7" x14ac:dyDescent="0.35">
      <c r="A16927">
        <v>6719</v>
      </c>
      <c r="B16927" s="1">
        <v>46021</v>
      </c>
      <c r="C16927" t="s">
        <v>24</v>
      </c>
      <c r="D16927" s="2">
        <v>0</v>
      </c>
      <c r="E16927" s="2">
        <v>3017.57</v>
      </c>
      <c r="F16927" t="s">
        <v>13</v>
      </c>
      <c r="G16927" t="s">
        <v>9</v>
      </c>
    </row>
    <row r="16928" spans="1:7" x14ac:dyDescent="0.35">
      <c r="A16928">
        <v>6720</v>
      </c>
      <c r="B16928" s="1">
        <v>46021</v>
      </c>
      <c r="C16928" t="s">
        <v>24</v>
      </c>
      <c r="D16928" s="2">
        <v>83.5</v>
      </c>
      <c r="E16928" s="2">
        <v>0</v>
      </c>
      <c r="F16928" t="s">
        <v>8</v>
      </c>
      <c r="G16928" t="s">
        <v>9</v>
      </c>
    </row>
    <row r="16929" spans="1:7" x14ac:dyDescent="0.35">
      <c r="A16929">
        <v>6720</v>
      </c>
      <c r="B16929" s="1">
        <v>46021</v>
      </c>
      <c r="C16929" t="s">
        <v>24</v>
      </c>
      <c r="D16929" s="2">
        <v>0</v>
      </c>
      <c r="E16929" s="2">
        <v>83.5</v>
      </c>
      <c r="F16929" t="s">
        <v>13</v>
      </c>
      <c r="G16929" t="s">
        <v>9</v>
      </c>
    </row>
    <row r="16930" spans="1:7" x14ac:dyDescent="0.35">
      <c r="A16930">
        <v>6721</v>
      </c>
      <c r="B16930" s="1">
        <v>46021</v>
      </c>
      <c r="C16930" t="s">
        <v>24</v>
      </c>
      <c r="D16930" s="2">
        <v>32.340000000000003</v>
      </c>
      <c r="E16930" s="2">
        <v>0</v>
      </c>
      <c r="F16930" t="s">
        <v>8</v>
      </c>
      <c r="G16930" t="s">
        <v>9</v>
      </c>
    </row>
    <row r="16931" spans="1:7" x14ac:dyDescent="0.35">
      <c r="A16931">
        <v>6721</v>
      </c>
      <c r="B16931" s="1">
        <v>46021</v>
      </c>
      <c r="C16931" t="s">
        <v>24</v>
      </c>
      <c r="D16931" s="2">
        <v>0</v>
      </c>
      <c r="E16931" s="2">
        <v>32.340000000000003</v>
      </c>
      <c r="F16931" t="s">
        <v>13</v>
      </c>
      <c r="G16931" t="s">
        <v>9</v>
      </c>
    </row>
    <row r="16932" spans="1:7" x14ac:dyDescent="0.35">
      <c r="A16932">
        <v>6722</v>
      </c>
      <c r="B16932" s="1">
        <v>46021</v>
      </c>
      <c r="C16932" t="s">
        <v>24</v>
      </c>
      <c r="D16932" s="2">
        <v>3561.24</v>
      </c>
      <c r="E16932" s="2">
        <v>0</v>
      </c>
      <c r="F16932" t="s">
        <v>8</v>
      </c>
      <c r="G16932" t="s">
        <v>9</v>
      </c>
    </row>
    <row r="16933" spans="1:7" x14ac:dyDescent="0.35">
      <c r="A16933">
        <v>6722</v>
      </c>
      <c r="B16933" s="1">
        <v>46021</v>
      </c>
      <c r="C16933" t="s">
        <v>24</v>
      </c>
      <c r="D16933" s="2">
        <v>0</v>
      </c>
      <c r="E16933" s="2">
        <v>3561.24</v>
      </c>
      <c r="F16933" t="s">
        <v>13</v>
      </c>
      <c r="G16933" t="s">
        <v>9</v>
      </c>
    </row>
    <row r="16934" spans="1:7" x14ac:dyDescent="0.35">
      <c r="A16934">
        <v>6723</v>
      </c>
      <c r="B16934" s="1">
        <v>46021</v>
      </c>
      <c r="C16934" t="s">
        <v>24</v>
      </c>
      <c r="D16934" s="2">
        <v>368.28</v>
      </c>
      <c r="E16934" s="2">
        <v>0</v>
      </c>
      <c r="F16934" t="s">
        <v>8</v>
      </c>
      <c r="G16934" t="s">
        <v>9</v>
      </c>
    </row>
    <row r="16935" spans="1:7" x14ac:dyDescent="0.35">
      <c r="A16935">
        <v>6723</v>
      </c>
      <c r="B16935" s="1">
        <v>46021</v>
      </c>
      <c r="C16935" t="s">
        <v>24</v>
      </c>
      <c r="D16935" s="2">
        <v>0</v>
      </c>
      <c r="E16935" s="2">
        <v>368.28</v>
      </c>
      <c r="F16935" t="s">
        <v>13</v>
      </c>
      <c r="G16935" t="s">
        <v>9</v>
      </c>
    </row>
    <row r="16936" spans="1:7" x14ac:dyDescent="0.35">
      <c r="A16936">
        <v>6724</v>
      </c>
      <c r="B16936" s="1">
        <v>46021</v>
      </c>
      <c r="C16936" t="s">
        <v>24</v>
      </c>
      <c r="D16936" s="2">
        <v>4082.42</v>
      </c>
      <c r="E16936" s="2">
        <v>0</v>
      </c>
      <c r="F16936" t="s">
        <v>8</v>
      </c>
      <c r="G16936" t="s">
        <v>9</v>
      </c>
    </row>
    <row r="16937" spans="1:7" x14ac:dyDescent="0.35">
      <c r="A16937">
        <v>6724</v>
      </c>
      <c r="B16937" s="1">
        <v>46021</v>
      </c>
      <c r="C16937" t="s">
        <v>24</v>
      </c>
      <c r="D16937" s="2">
        <v>0</v>
      </c>
      <c r="E16937" s="2">
        <v>4082.42</v>
      </c>
      <c r="F16937" t="s">
        <v>13</v>
      </c>
      <c r="G16937" t="s">
        <v>9</v>
      </c>
    </row>
    <row r="16938" spans="1:7" x14ac:dyDescent="0.35">
      <c r="A16938">
        <v>6725</v>
      </c>
      <c r="B16938" s="1">
        <v>46021</v>
      </c>
      <c r="C16938" t="s">
        <v>24</v>
      </c>
      <c r="D16938" s="2">
        <v>1814.67</v>
      </c>
      <c r="E16938" s="2">
        <v>0</v>
      </c>
      <c r="F16938" t="s">
        <v>8</v>
      </c>
      <c r="G16938" t="s">
        <v>9</v>
      </c>
    </row>
    <row r="16939" spans="1:7" x14ac:dyDescent="0.35">
      <c r="A16939">
        <v>6725</v>
      </c>
      <c r="B16939" s="1">
        <v>46021</v>
      </c>
      <c r="C16939" t="s">
        <v>24</v>
      </c>
      <c r="D16939" s="2">
        <v>0</v>
      </c>
      <c r="E16939" s="2">
        <v>1814.67</v>
      </c>
      <c r="F16939" t="s">
        <v>13</v>
      </c>
      <c r="G16939" t="s">
        <v>9</v>
      </c>
    </row>
    <row r="16940" spans="1:7" x14ac:dyDescent="0.35">
      <c r="A16940">
        <v>6726</v>
      </c>
      <c r="B16940" s="1">
        <v>46021</v>
      </c>
      <c r="C16940" t="s">
        <v>24</v>
      </c>
      <c r="D16940" s="2">
        <v>2079.1</v>
      </c>
      <c r="E16940" s="2">
        <v>0</v>
      </c>
      <c r="F16940" t="s">
        <v>8</v>
      </c>
      <c r="G16940" t="s">
        <v>9</v>
      </c>
    </row>
    <row r="16941" spans="1:7" x14ac:dyDescent="0.35">
      <c r="A16941">
        <v>6726</v>
      </c>
      <c r="B16941" s="1">
        <v>46021</v>
      </c>
      <c r="C16941" t="s">
        <v>24</v>
      </c>
      <c r="D16941" s="2">
        <v>0</v>
      </c>
      <c r="E16941" s="2">
        <v>2079.1</v>
      </c>
      <c r="F16941" t="s">
        <v>13</v>
      </c>
      <c r="G16941" t="s">
        <v>9</v>
      </c>
    </row>
    <row r="16942" spans="1:7" x14ac:dyDescent="0.35">
      <c r="A16942">
        <v>6727</v>
      </c>
      <c r="B16942" s="1">
        <v>46021</v>
      </c>
      <c r="C16942" t="s">
        <v>24</v>
      </c>
      <c r="D16942" s="2">
        <v>3766.86</v>
      </c>
      <c r="E16942" s="2">
        <v>0</v>
      </c>
      <c r="F16942" t="s">
        <v>8</v>
      </c>
      <c r="G16942" t="s">
        <v>9</v>
      </c>
    </row>
    <row r="16943" spans="1:7" x14ac:dyDescent="0.35">
      <c r="A16943">
        <v>6727</v>
      </c>
      <c r="B16943" s="1">
        <v>46021</v>
      </c>
      <c r="C16943" t="s">
        <v>24</v>
      </c>
      <c r="D16943" s="2">
        <v>0</v>
      </c>
      <c r="E16943" s="2">
        <v>3766.86</v>
      </c>
      <c r="F16943" t="s">
        <v>13</v>
      </c>
      <c r="G16943" t="s">
        <v>9</v>
      </c>
    </row>
    <row r="16944" spans="1:7" x14ac:dyDescent="0.35">
      <c r="A16944">
        <v>6728</v>
      </c>
      <c r="B16944" s="1">
        <v>46021</v>
      </c>
      <c r="C16944" t="s">
        <v>24</v>
      </c>
      <c r="D16944" s="2">
        <v>1116.69</v>
      </c>
      <c r="E16944" s="2">
        <v>0</v>
      </c>
      <c r="F16944" t="s">
        <v>8</v>
      </c>
      <c r="G16944" t="s">
        <v>9</v>
      </c>
    </row>
    <row r="16945" spans="1:7" x14ac:dyDescent="0.35">
      <c r="A16945">
        <v>6728</v>
      </c>
      <c r="B16945" s="1">
        <v>46021</v>
      </c>
      <c r="C16945" t="s">
        <v>24</v>
      </c>
      <c r="D16945" s="2">
        <v>0</v>
      </c>
      <c r="E16945" s="2">
        <v>1116.69</v>
      </c>
      <c r="F16945" t="s">
        <v>13</v>
      </c>
      <c r="G16945" t="s">
        <v>9</v>
      </c>
    </row>
    <row r="16946" spans="1:7" x14ac:dyDescent="0.35">
      <c r="A16946">
        <v>6729</v>
      </c>
      <c r="B16946" s="1">
        <v>46021</v>
      </c>
      <c r="C16946" t="s">
        <v>24</v>
      </c>
      <c r="D16946" s="2">
        <v>1653.84</v>
      </c>
      <c r="E16946" s="2">
        <v>0</v>
      </c>
      <c r="F16946" t="s">
        <v>8</v>
      </c>
      <c r="G16946" t="s">
        <v>9</v>
      </c>
    </row>
    <row r="16947" spans="1:7" x14ac:dyDescent="0.35">
      <c r="A16947">
        <v>6729</v>
      </c>
      <c r="B16947" s="1">
        <v>46021</v>
      </c>
      <c r="C16947" t="s">
        <v>24</v>
      </c>
      <c r="D16947" s="2">
        <v>0</v>
      </c>
      <c r="E16947" s="2">
        <v>1653.84</v>
      </c>
      <c r="F16947" t="s">
        <v>13</v>
      </c>
      <c r="G16947" t="s">
        <v>9</v>
      </c>
    </row>
    <row r="16948" spans="1:7" x14ac:dyDescent="0.35">
      <c r="A16948">
        <v>6730</v>
      </c>
      <c r="B16948" s="1">
        <v>46021</v>
      </c>
      <c r="C16948" t="s">
        <v>24</v>
      </c>
      <c r="D16948" s="2">
        <v>1419.6</v>
      </c>
      <c r="E16948" s="2">
        <v>0</v>
      </c>
      <c r="F16948" t="s">
        <v>8</v>
      </c>
      <c r="G16948" t="s">
        <v>9</v>
      </c>
    </row>
    <row r="16949" spans="1:7" x14ac:dyDescent="0.35">
      <c r="A16949">
        <v>6730</v>
      </c>
      <c r="B16949" s="1">
        <v>46021</v>
      </c>
      <c r="C16949" t="s">
        <v>24</v>
      </c>
      <c r="D16949" s="2">
        <v>0</v>
      </c>
      <c r="E16949" s="2">
        <v>1419.6</v>
      </c>
      <c r="F16949" t="s">
        <v>13</v>
      </c>
      <c r="G16949" t="s">
        <v>9</v>
      </c>
    </row>
    <row r="16950" spans="1:7" x14ac:dyDescent="0.35">
      <c r="A16950">
        <v>6731</v>
      </c>
      <c r="B16950" s="1">
        <v>46021</v>
      </c>
      <c r="C16950" t="s">
        <v>29</v>
      </c>
      <c r="D16950" s="2">
        <v>1159.8399999999999</v>
      </c>
      <c r="E16950" s="2">
        <v>0</v>
      </c>
      <c r="F16950" t="s">
        <v>28</v>
      </c>
      <c r="G16950" t="s">
        <v>17</v>
      </c>
    </row>
    <row r="16951" spans="1:7" x14ac:dyDescent="0.35">
      <c r="A16951">
        <v>6731</v>
      </c>
      <c r="B16951" s="1">
        <v>46021</v>
      </c>
      <c r="C16951" t="s">
        <v>29</v>
      </c>
      <c r="D16951" s="2">
        <v>0</v>
      </c>
      <c r="E16951" s="2">
        <v>1159.8399999999999</v>
      </c>
      <c r="F16951" t="s">
        <v>8</v>
      </c>
      <c r="G16951" t="s">
        <v>9</v>
      </c>
    </row>
    <row r="16952" spans="1:7" x14ac:dyDescent="0.35">
      <c r="A16952">
        <v>6732</v>
      </c>
      <c r="B16952" s="1">
        <v>46021</v>
      </c>
      <c r="C16952" t="s">
        <v>29</v>
      </c>
      <c r="D16952" s="2">
        <v>748.26</v>
      </c>
      <c r="E16952" s="2">
        <v>0</v>
      </c>
      <c r="F16952" t="s">
        <v>28</v>
      </c>
      <c r="G16952" t="s">
        <v>17</v>
      </c>
    </row>
    <row r="16953" spans="1:7" x14ac:dyDescent="0.35">
      <c r="A16953">
        <v>6732</v>
      </c>
      <c r="B16953" s="1">
        <v>46021</v>
      </c>
      <c r="C16953" t="s">
        <v>29</v>
      </c>
      <c r="D16953" s="2">
        <v>0</v>
      </c>
      <c r="E16953" s="2">
        <v>748.26</v>
      </c>
      <c r="F16953" t="s">
        <v>8</v>
      </c>
      <c r="G16953" t="s">
        <v>9</v>
      </c>
    </row>
    <row r="16954" spans="1:7" x14ac:dyDescent="0.35">
      <c r="A16954">
        <v>6733</v>
      </c>
      <c r="B16954" s="1">
        <v>46021</v>
      </c>
      <c r="C16954" t="s">
        <v>29</v>
      </c>
      <c r="D16954" s="2">
        <v>862.91</v>
      </c>
      <c r="E16954" s="2">
        <v>0</v>
      </c>
      <c r="F16954" t="s">
        <v>28</v>
      </c>
      <c r="G16954" t="s">
        <v>17</v>
      </c>
    </row>
    <row r="16955" spans="1:7" x14ac:dyDescent="0.35">
      <c r="A16955">
        <v>6733</v>
      </c>
      <c r="B16955" s="1">
        <v>46021</v>
      </c>
      <c r="C16955" t="s">
        <v>29</v>
      </c>
      <c r="D16955" s="2">
        <v>0</v>
      </c>
      <c r="E16955" s="2">
        <v>862.91</v>
      </c>
      <c r="F16955" t="s">
        <v>8</v>
      </c>
      <c r="G16955" t="s">
        <v>9</v>
      </c>
    </row>
    <row r="16956" spans="1:7" x14ac:dyDescent="0.35">
      <c r="A16956">
        <v>6734</v>
      </c>
      <c r="B16956" s="1">
        <v>46021</v>
      </c>
      <c r="C16956" t="s">
        <v>29</v>
      </c>
      <c r="D16956" s="2">
        <v>1023.42</v>
      </c>
      <c r="E16956" s="2">
        <v>0</v>
      </c>
      <c r="F16956" t="s">
        <v>28</v>
      </c>
      <c r="G16956" t="s">
        <v>17</v>
      </c>
    </row>
    <row r="16957" spans="1:7" x14ac:dyDescent="0.35">
      <c r="A16957">
        <v>6734</v>
      </c>
      <c r="B16957" s="1">
        <v>46021</v>
      </c>
      <c r="C16957" t="s">
        <v>29</v>
      </c>
      <c r="D16957" s="2">
        <v>0</v>
      </c>
      <c r="E16957" s="2">
        <v>1023.42</v>
      </c>
      <c r="F16957" t="s">
        <v>8</v>
      </c>
      <c r="G16957" t="s">
        <v>9</v>
      </c>
    </row>
    <row r="16958" spans="1:7" x14ac:dyDescent="0.35">
      <c r="A16958">
        <v>6735</v>
      </c>
      <c r="B16958" s="1">
        <v>46021</v>
      </c>
      <c r="C16958" t="s">
        <v>29</v>
      </c>
      <c r="D16958" s="2">
        <v>3868.8</v>
      </c>
      <c r="E16958" s="2">
        <v>0</v>
      </c>
      <c r="F16958" t="s">
        <v>28</v>
      </c>
      <c r="G16958" t="s">
        <v>17</v>
      </c>
    </row>
    <row r="16959" spans="1:7" x14ac:dyDescent="0.35">
      <c r="A16959">
        <v>6735</v>
      </c>
      <c r="B16959" s="1">
        <v>46021</v>
      </c>
      <c r="C16959" t="s">
        <v>29</v>
      </c>
      <c r="D16959" s="2">
        <v>0</v>
      </c>
      <c r="E16959" s="2">
        <v>3868.8</v>
      </c>
      <c r="F16959" t="s">
        <v>8</v>
      </c>
      <c r="G16959" t="s">
        <v>9</v>
      </c>
    </row>
    <row r="16960" spans="1:7" x14ac:dyDescent="0.35">
      <c r="A16960">
        <v>6736</v>
      </c>
      <c r="B16960" s="1">
        <v>46021</v>
      </c>
      <c r="C16960" t="s">
        <v>29</v>
      </c>
      <c r="D16960" s="2">
        <v>550.4</v>
      </c>
      <c r="E16960" s="2">
        <v>0</v>
      </c>
      <c r="F16960" t="s">
        <v>28</v>
      </c>
      <c r="G16960" t="s">
        <v>17</v>
      </c>
    </row>
    <row r="16961" spans="1:7" x14ac:dyDescent="0.35">
      <c r="A16961">
        <v>6736</v>
      </c>
      <c r="B16961" s="1">
        <v>46021</v>
      </c>
      <c r="C16961" t="s">
        <v>29</v>
      </c>
      <c r="D16961" s="2">
        <v>0</v>
      </c>
      <c r="E16961" s="2">
        <v>550.4</v>
      </c>
      <c r="F16961" t="s">
        <v>8</v>
      </c>
      <c r="G16961" t="s">
        <v>9</v>
      </c>
    </row>
    <row r="16962" spans="1:7" x14ac:dyDescent="0.35">
      <c r="A16962">
        <v>6737</v>
      </c>
      <c r="B16962" s="1">
        <v>46022</v>
      </c>
      <c r="C16962" t="s">
        <v>12</v>
      </c>
      <c r="D16962" s="2">
        <v>3243.54</v>
      </c>
      <c r="E16962" s="2">
        <v>0</v>
      </c>
      <c r="F16962" t="s">
        <v>13</v>
      </c>
      <c r="G16962" t="s">
        <v>9</v>
      </c>
    </row>
    <row r="16963" spans="1:7" x14ac:dyDescent="0.35">
      <c r="A16963">
        <v>6737</v>
      </c>
      <c r="B16963" s="1">
        <v>46022</v>
      </c>
      <c r="C16963" t="s">
        <v>12</v>
      </c>
      <c r="D16963" s="2">
        <v>0</v>
      </c>
      <c r="E16963" s="2">
        <v>3017.24</v>
      </c>
      <c r="F16963" t="s">
        <v>14</v>
      </c>
      <c r="G16963" t="s">
        <v>15</v>
      </c>
    </row>
    <row r="16964" spans="1:7" x14ac:dyDescent="0.35">
      <c r="A16964">
        <v>6737</v>
      </c>
      <c r="B16964" s="1">
        <v>46022</v>
      </c>
      <c r="C16964" t="s">
        <v>12</v>
      </c>
      <c r="D16964" s="2">
        <v>0</v>
      </c>
      <c r="E16964" s="2">
        <v>226.3</v>
      </c>
      <c r="F16964" t="s">
        <v>16</v>
      </c>
      <c r="G16964" t="s">
        <v>17</v>
      </c>
    </row>
    <row r="16965" spans="1:7" x14ac:dyDescent="0.35">
      <c r="A16965">
        <v>6738</v>
      </c>
      <c r="B16965" s="1">
        <v>46022</v>
      </c>
      <c r="C16965" t="s">
        <v>12</v>
      </c>
      <c r="D16965" s="2">
        <v>3066.72</v>
      </c>
      <c r="E16965" s="2">
        <v>0</v>
      </c>
      <c r="F16965" t="s">
        <v>13</v>
      </c>
      <c r="G16965" t="s">
        <v>9</v>
      </c>
    </row>
    <row r="16966" spans="1:7" x14ac:dyDescent="0.35">
      <c r="A16966">
        <v>6738</v>
      </c>
      <c r="B16966" s="1">
        <v>46022</v>
      </c>
      <c r="C16966" t="s">
        <v>12</v>
      </c>
      <c r="D16966" s="2">
        <v>0</v>
      </c>
      <c r="E16966" s="2">
        <v>2852.76</v>
      </c>
      <c r="F16966" t="s">
        <v>14</v>
      </c>
      <c r="G16966" t="s">
        <v>15</v>
      </c>
    </row>
    <row r="16967" spans="1:7" x14ac:dyDescent="0.35">
      <c r="A16967">
        <v>6738</v>
      </c>
      <c r="B16967" s="1">
        <v>46022</v>
      </c>
      <c r="C16967" t="s">
        <v>12</v>
      </c>
      <c r="D16967" s="2">
        <v>0</v>
      </c>
      <c r="E16967" s="2">
        <v>213.96</v>
      </c>
      <c r="F16967" t="s">
        <v>16</v>
      </c>
      <c r="G16967" t="s">
        <v>17</v>
      </c>
    </row>
    <row r="16968" spans="1:7" x14ac:dyDescent="0.35">
      <c r="A16968">
        <v>6739</v>
      </c>
      <c r="B16968" s="1">
        <v>46022</v>
      </c>
      <c r="C16968" t="s">
        <v>12</v>
      </c>
      <c r="D16968" s="2">
        <v>1517.05</v>
      </c>
      <c r="E16968" s="2">
        <v>0</v>
      </c>
      <c r="F16968" t="s">
        <v>13</v>
      </c>
      <c r="G16968" t="s">
        <v>9</v>
      </c>
    </row>
    <row r="16969" spans="1:7" x14ac:dyDescent="0.35">
      <c r="A16969">
        <v>6739</v>
      </c>
      <c r="B16969" s="1">
        <v>46022</v>
      </c>
      <c r="C16969" t="s">
        <v>12</v>
      </c>
      <c r="D16969" s="2">
        <v>0</v>
      </c>
      <c r="E16969" s="2">
        <v>1411.21</v>
      </c>
      <c r="F16969" t="s">
        <v>14</v>
      </c>
      <c r="G16969" t="s">
        <v>15</v>
      </c>
    </row>
    <row r="16970" spans="1:7" x14ac:dyDescent="0.35">
      <c r="A16970">
        <v>6739</v>
      </c>
      <c r="B16970" s="1">
        <v>46022</v>
      </c>
      <c r="C16970" t="s">
        <v>12</v>
      </c>
      <c r="D16970" s="2">
        <v>0</v>
      </c>
      <c r="E16970" s="2">
        <v>105.84</v>
      </c>
      <c r="F16970" t="s">
        <v>16</v>
      </c>
      <c r="G16970" t="s">
        <v>17</v>
      </c>
    </row>
    <row r="16971" spans="1:7" x14ac:dyDescent="0.35">
      <c r="A16971">
        <v>6740</v>
      </c>
      <c r="B16971" s="1">
        <v>46022</v>
      </c>
      <c r="C16971" t="s">
        <v>12</v>
      </c>
      <c r="D16971" s="2">
        <v>4118.6899999999996</v>
      </c>
      <c r="E16971" s="2">
        <v>0</v>
      </c>
      <c r="F16971" t="s">
        <v>13</v>
      </c>
      <c r="G16971" t="s">
        <v>9</v>
      </c>
    </row>
    <row r="16972" spans="1:7" x14ac:dyDescent="0.35">
      <c r="A16972">
        <v>6740</v>
      </c>
      <c r="B16972" s="1">
        <v>46022</v>
      </c>
      <c r="C16972" t="s">
        <v>12</v>
      </c>
      <c r="D16972" s="2">
        <v>0</v>
      </c>
      <c r="E16972" s="2">
        <v>3831.34</v>
      </c>
      <c r="F16972" t="s">
        <v>14</v>
      </c>
      <c r="G16972" t="s">
        <v>15</v>
      </c>
    </row>
    <row r="16973" spans="1:7" x14ac:dyDescent="0.35">
      <c r="A16973">
        <v>6740</v>
      </c>
      <c r="B16973" s="1">
        <v>46022</v>
      </c>
      <c r="C16973" t="s">
        <v>12</v>
      </c>
      <c r="D16973" s="2">
        <v>0</v>
      </c>
      <c r="E16973" s="2">
        <v>287.35000000000002</v>
      </c>
      <c r="F16973" t="s">
        <v>16</v>
      </c>
      <c r="G16973" t="s">
        <v>17</v>
      </c>
    </row>
    <row r="16974" spans="1:7" x14ac:dyDescent="0.35">
      <c r="A16974">
        <v>6741</v>
      </c>
      <c r="B16974" s="1">
        <v>46022</v>
      </c>
      <c r="C16974" t="s">
        <v>12</v>
      </c>
      <c r="D16974" s="2">
        <v>2705.54</v>
      </c>
      <c r="E16974" s="2">
        <v>0</v>
      </c>
      <c r="F16974" t="s">
        <v>13</v>
      </c>
      <c r="G16974" t="s">
        <v>9</v>
      </c>
    </row>
    <row r="16975" spans="1:7" x14ac:dyDescent="0.35">
      <c r="A16975">
        <v>6741</v>
      </c>
      <c r="B16975" s="1">
        <v>46022</v>
      </c>
      <c r="C16975" t="s">
        <v>12</v>
      </c>
      <c r="D16975" s="2">
        <v>0</v>
      </c>
      <c r="E16975" s="2">
        <v>2516.7800000000002</v>
      </c>
      <c r="F16975" t="s">
        <v>14</v>
      </c>
      <c r="G16975" t="s">
        <v>15</v>
      </c>
    </row>
    <row r="16976" spans="1:7" x14ac:dyDescent="0.35">
      <c r="A16976">
        <v>6741</v>
      </c>
      <c r="B16976" s="1">
        <v>46022</v>
      </c>
      <c r="C16976" t="s">
        <v>12</v>
      </c>
      <c r="D16976" s="2">
        <v>0</v>
      </c>
      <c r="E16976" s="2">
        <v>188.76</v>
      </c>
      <c r="F16976" t="s">
        <v>16</v>
      </c>
      <c r="G16976" t="s">
        <v>17</v>
      </c>
    </row>
    <row r="16977" spans="1:7" x14ac:dyDescent="0.35">
      <c r="A16977">
        <v>6742</v>
      </c>
      <c r="B16977" s="1">
        <v>46022</v>
      </c>
      <c r="C16977" t="s">
        <v>12</v>
      </c>
      <c r="D16977" s="2">
        <v>3526.58</v>
      </c>
      <c r="E16977" s="2">
        <v>0</v>
      </c>
      <c r="F16977" t="s">
        <v>13</v>
      </c>
      <c r="G16977" t="s">
        <v>9</v>
      </c>
    </row>
    <row r="16978" spans="1:7" x14ac:dyDescent="0.35">
      <c r="A16978">
        <v>6742</v>
      </c>
      <c r="B16978" s="1">
        <v>46022</v>
      </c>
      <c r="C16978" t="s">
        <v>12</v>
      </c>
      <c r="D16978" s="2">
        <v>0</v>
      </c>
      <c r="E16978" s="2">
        <v>3280.54</v>
      </c>
      <c r="F16978" t="s">
        <v>14</v>
      </c>
      <c r="G16978" t="s">
        <v>15</v>
      </c>
    </row>
    <row r="16979" spans="1:7" x14ac:dyDescent="0.35">
      <c r="A16979">
        <v>6742</v>
      </c>
      <c r="B16979" s="1">
        <v>46022</v>
      </c>
      <c r="C16979" t="s">
        <v>12</v>
      </c>
      <c r="D16979" s="2">
        <v>0</v>
      </c>
      <c r="E16979" s="2">
        <v>246.04</v>
      </c>
      <c r="F16979" t="s">
        <v>16</v>
      </c>
      <c r="G16979" t="s">
        <v>17</v>
      </c>
    </row>
    <row r="16980" spans="1:7" x14ac:dyDescent="0.35">
      <c r="A16980">
        <v>6743</v>
      </c>
      <c r="B16980" s="1">
        <v>46022</v>
      </c>
      <c r="C16980" t="s">
        <v>12</v>
      </c>
      <c r="D16980" s="2">
        <v>1486.95</v>
      </c>
      <c r="E16980" s="2">
        <v>0</v>
      </c>
      <c r="F16980" t="s">
        <v>13</v>
      </c>
      <c r="G16980" t="s">
        <v>9</v>
      </c>
    </row>
    <row r="16981" spans="1:7" x14ac:dyDescent="0.35">
      <c r="A16981">
        <v>6743</v>
      </c>
      <c r="B16981" s="1">
        <v>46022</v>
      </c>
      <c r="C16981" t="s">
        <v>12</v>
      </c>
      <c r="D16981" s="2">
        <v>0</v>
      </c>
      <c r="E16981" s="2">
        <v>1383.21</v>
      </c>
      <c r="F16981" t="s">
        <v>14</v>
      </c>
      <c r="G16981" t="s">
        <v>15</v>
      </c>
    </row>
    <row r="16982" spans="1:7" x14ac:dyDescent="0.35">
      <c r="A16982">
        <v>6743</v>
      </c>
      <c r="B16982" s="1">
        <v>46022</v>
      </c>
      <c r="C16982" t="s">
        <v>12</v>
      </c>
      <c r="D16982" s="2">
        <v>0</v>
      </c>
      <c r="E16982" s="2">
        <v>103.74</v>
      </c>
      <c r="F16982" t="s">
        <v>16</v>
      </c>
      <c r="G16982" t="s">
        <v>17</v>
      </c>
    </row>
    <row r="16983" spans="1:7" x14ac:dyDescent="0.35">
      <c r="A16983">
        <v>6744</v>
      </c>
      <c r="B16983" s="1">
        <v>46022</v>
      </c>
      <c r="C16983" t="s">
        <v>12</v>
      </c>
      <c r="D16983" s="2">
        <v>858.22</v>
      </c>
      <c r="E16983" s="2">
        <v>0</v>
      </c>
      <c r="F16983" t="s">
        <v>13</v>
      </c>
      <c r="G16983" t="s">
        <v>9</v>
      </c>
    </row>
    <row r="16984" spans="1:7" x14ac:dyDescent="0.35">
      <c r="A16984">
        <v>6744</v>
      </c>
      <c r="B16984" s="1">
        <v>46022</v>
      </c>
      <c r="C16984" t="s">
        <v>12</v>
      </c>
      <c r="D16984" s="2">
        <v>0</v>
      </c>
      <c r="E16984" s="2">
        <v>798.34</v>
      </c>
      <c r="F16984" t="s">
        <v>14</v>
      </c>
      <c r="G16984" t="s">
        <v>15</v>
      </c>
    </row>
    <row r="16985" spans="1:7" x14ac:dyDescent="0.35">
      <c r="A16985">
        <v>6744</v>
      </c>
      <c r="B16985" s="1">
        <v>46022</v>
      </c>
      <c r="C16985" t="s">
        <v>12</v>
      </c>
      <c r="D16985" s="2">
        <v>0</v>
      </c>
      <c r="E16985" s="2">
        <v>59.88</v>
      </c>
      <c r="F16985" t="s">
        <v>16</v>
      </c>
      <c r="G16985" t="s">
        <v>17</v>
      </c>
    </row>
    <row r="16986" spans="1:7" x14ac:dyDescent="0.35">
      <c r="A16986">
        <v>6745</v>
      </c>
      <c r="B16986" s="1">
        <v>46022</v>
      </c>
      <c r="C16986" t="s">
        <v>12</v>
      </c>
      <c r="D16986" s="2">
        <v>41.23</v>
      </c>
      <c r="E16986" s="2">
        <v>0</v>
      </c>
      <c r="F16986" t="s">
        <v>13</v>
      </c>
      <c r="G16986" t="s">
        <v>9</v>
      </c>
    </row>
    <row r="16987" spans="1:7" x14ac:dyDescent="0.35">
      <c r="A16987">
        <v>6745</v>
      </c>
      <c r="B16987" s="1">
        <v>46022</v>
      </c>
      <c r="C16987" t="s">
        <v>12</v>
      </c>
      <c r="D16987" s="2">
        <v>0</v>
      </c>
      <c r="E16987" s="2">
        <v>38.35</v>
      </c>
      <c r="F16987" t="s">
        <v>14</v>
      </c>
      <c r="G16987" t="s">
        <v>15</v>
      </c>
    </row>
    <row r="16988" spans="1:7" x14ac:dyDescent="0.35">
      <c r="A16988">
        <v>6745</v>
      </c>
      <c r="B16988" s="1">
        <v>46022</v>
      </c>
      <c r="C16988" t="s">
        <v>12</v>
      </c>
      <c r="D16988" s="2">
        <v>0</v>
      </c>
      <c r="E16988" s="2">
        <v>2.88</v>
      </c>
      <c r="F16988" t="s">
        <v>16</v>
      </c>
      <c r="G16988" t="s">
        <v>17</v>
      </c>
    </row>
    <row r="16989" spans="1:7" x14ac:dyDescent="0.35">
      <c r="A16989">
        <v>6746</v>
      </c>
      <c r="B16989" s="1">
        <v>46022</v>
      </c>
      <c r="C16989" t="s">
        <v>12</v>
      </c>
      <c r="D16989" s="2">
        <v>1631.18</v>
      </c>
      <c r="E16989" s="2">
        <v>0</v>
      </c>
      <c r="F16989" t="s">
        <v>13</v>
      </c>
      <c r="G16989" t="s">
        <v>9</v>
      </c>
    </row>
    <row r="16990" spans="1:7" x14ac:dyDescent="0.35">
      <c r="A16990">
        <v>6746</v>
      </c>
      <c r="B16990" s="1">
        <v>46022</v>
      </c>
      <c r="C16990" t="s">
        <v>12</v>
      </c>
      <c r="D16990" s="2">
        <v>0</v>
      </c>
      <c r="E16990" s="2">
        <v>1517.38</v>
      </c>
      <c r="F16990" t="s">
        <v>14</v>
      </c>
      <c r="G16990" t="s">
        <v>15</v>
      </c>
    </row>
    <row r="16991" spans="1:7" x14ac:dyDescent="0.35">
      <c r="A16991">
        <v>6746</v>
      </c>
      <c r="B16991" s="1">
        <v>46022</v>
      </c>
      <c r="C16991" t="s">
        <v>12</v>
      </c>
      <c r="D16991" s="2">
        <v>0</v>
      </c>
      <c r="E16991" s="2">
        <v>113.8</v>
      </c>
      <c r="F16991" t="s">
        <v>16</v>
      </c>
      <c r="G16991" t="s">
        <v>17</v>
      </c>
    </row>
    <row r="16992" spans="1:7" x14ac:dyDescent="0.35">
      <c r="A16992">
        <v>6747</v>
      </c>
      <c r="B16992" s="1">
        <v>46022</v>
      </c>
      <c r="C16992" t="s">
        <v>12</v>
      </c>
      <c r="D16992" s="2">
        <v>1478.33</v>
      </c>
      <c r="E16992" s="2">
        <v>0</v>
      </c>
      <c r="F16992" t="s">
        <v>13</v>
      </c>
      <c r="G16992" t="s">
        <v>9</v>
      </c>
    </row>
    <row r="16993" spans="1:7" x14ac:dyDescent="0.35">
      <c r="A16993">
        <v>6747</v>
      </c>
      <c r="B16993" s="1">
        <v>46022</v>
      </c>
      <c r="C16993" t="s">
        <v>12</v>
      </c>
      <c r="D16993" s="2">
        <v>0</v>
      </c>
      <c r="E16993" s="2">
        <v>1375.2</v>
      </c>
      <c r="F16993" t="s">
        <v>14</v>
      </c>
      <c r="G16993" t="s">
        <v>15</v>
      </c>
    </row>
    <row r="16994" spans="1:7" x14ac:dyDescent="0.35">
      <c r="A16994">
        <v>6747</v>
      </c>
      <c r="B16994" s="1">
        <v>46022</v>
      </c>
      <c r="C16994" t="s">
        <v>12</v>
      </c>
      <c r="D16994" s="2">
        <v>0</v>
      </c>
      <c r="E16994" s="2">
        <v>103.13</v>
      </c>
      <c r="F16994" t="s">
        <v>16</v>
      </c>
      <c r="G16994" t="s">
        <v>17</v>
      </c>
    </row>
    <row r="16995" spans="1:7" x14ac:dyDescent="0.35">
      <c r="A16995">
        <v>6748</v>
      </c>
      <c r="B16995" s="1">
        <v>46022</v>
      </c>
      <c r="C16995" t="s">
        <v>24</v>
      </c>
      <c r="D16995" s="2">
        <v>1992.39</v>
      </c>
      <c r="E16995" s="2">
        <v>0</v>
      </c>
      <c r="F16995" t="s">
        <v>8</v>
      </c>
      <c r="G16995" t="s">
        <v>9</v>
      </c>
    </row>
    <row r="16996" spans="1:7" x14ac:dyDescent="0.35">
      <c r="A16996">
        <v>6748</v>
      </c>
      <c r="B16996" s="1">
        <v>46022</v>
      </c>
      <c r="C16996" t="s">
        <v>24</v>
      </c>
      <c r="D16996" s="2">
        <v>0</v>
      </c>
      <c r="E16996" s="2">
        <v>1992.39</v>
      </c>
      <c r="F16996" t="s">
        <v>13</v>
      </c>
      <c r="G16996" t="s">
        <v>9</v>
      </c>
    </row>
    <row r="16997" spans="1:7" x14ac:dyDescent="0.35">
      <c r="A16997">
        <v>6749</v>
      </c>
      <c r="B16997" s="1">
        <v>46022</v>
      </c>
      <c r="C16997" t="s">
        <v>24</v>
      </c>
      <c r="D16997" s="2">
        <v>1690.19</v>
      </c>
      <c r="E16997" s="2">
        <v>0</v>
      </c>
      <c r="F16997" t="s">
        <v>8</v>
      </c>
      <c r="G16997" t="s">
        <v>9</v>
      </c>
    </row>
    <row r="16998" spans="1:7" x14ac:dyDescent="0.35">
      <c r="A16998">
        <v>6749</v>
      </c>
      <c r="B16998" s="1">
        <v>46022</v>
      </c>
      <c r="C16998" t="s">
        <v>24</v>
      </c>
      <c r="D16998" s="2">
        <v>0</v>
      </c>
      <c r="E16998" s="2">
        <v>1690.19</v>
      </c>
      <c r="F16998" t="s">
        <v>13</v>
      </c>
      <c r="G16998" t="s">
        <v>9</v>
      </c>
    </row>
    <row r="16999" spans="1:7" x14ac:dyDescent="0.35">
      <c r="A16999">
        <v>6750</v>
      </c>
      <c r="B16999" s="1">
        <v>46022</v>
      </c>
      <c r="C16999" t="s">
        <v>24</v>
      </c>
      <c r="D16999" s="2">
        <v>2360.12</v>
      </c>
      <c r="E16999" s="2">
        <v>0</v>
      </c>
      <c r="F16999" t="s">
        <v>8</v>
      </c>
      <c r="G16999" t="s">
        <v>9</v>
      </c>
    </row>
    <row r="17000" spans="1:7" x14ac:dyDescent="0.35">
      <c r="A17000">
        <v>6750</v>
      </c>
      <c r="B17000" s="1">
        <v>46022</v>
      </c>
      <c r="C17000" t="s">
        <v>24</v>
      </c>
      <c r="D17000" s="2">
        <v>0</v>
      </c>
      <c r="E17000" s="2">
        <v>2360.12</v>
      </c>
      <c r="F17000" t="s">
        <v>13</v>
      </c>
      <c r="G17000" t="s">
        <v>9</v>
      </c>
    </row>
    <row r="17001" spans="1:7" x14ac:dyDescent="0.35">
      <c r="A17001">
        <v>6751</v>
      </c>
      <c r="B17001" s="1">
        <v>46022</v>
      </c>
      <c r="C17001" t="s">
        <v>24</v>
      </c>
      <c r="D17001" s="2">
        <v>2184.02</v>
      </c>
      <c r="E17001" s="2">
        <v>0</v>
      </c>
      <c r="F17001" t="s">
        <v>8</v>
      </c>
      <c r="G17001" t="s">
        <v>9</v>
      </c>
    </row>
    <row r="17002" spans="1:7" x14ac:dyDescent="0.35">
      <c r="A17002">
        <v>6751</v>
      </c>
      <c r="B17002" s="1">
        <v>46022</v>
      </c>
      <c r="C17002" t="s">
        <v>24</v>
      </c>
      <c r="D17002" s="2">
        <v>0</v>
      </c>
      <c r="E17002" s="2">
        <v>2184.02</v>
      </c>
      <c r="F17002" t="s">
        <v>13</v>
      </c>
      <c r="G17002" t="s">
        <v>9</v>
      </c>
    </row>
    <row r="17003" spans="1:7" x14ac:dyDescent="0.35">
      <c r="A17003">
        <v>6752</v>
      </c>
      <c r="B17003" s="1">
        <v>46022</v>
      </c>
      <c r="C17003" t="s">
        <v>24</v>
      </c>
      <c r="D17003" s="2">
        <v>2254.86</v>
      </c>
      <c r="E17003" s="2">
        <v>0</v>
      </c>
      <c r="F17003" t="s">
        <v>8</v>
      </c>
      <c r="G17003" t="s">
        <v>9</v>
      </c>
    </row>
    <row r="17004" spans="1:7" x14ac:dyDescent="0.35">
      <c r="A17004">
        <v>6752</v>
      </c>
      <c r="B17004" s="1">
        <v>46022</v>
      </c>
      <c r="C17004" t="s">
        <v>24</v>
      </c>
      <c r="D17004" s="2">
        <v>0</v>
      </c>
      <c r="E17004" s="2">
        <v>2254.86</v>
      </c>
      <c r="F17004" t="s">
        <v>13</v>
      </c>
      <c r="G17004" t="s">
        <v>9</v>
      </c>
    </row>
    <row r="17005" spans="1:7" x14ac:dyDescent="0.35">
      <c r="A17005">
        <v>6753</v>
      </c>
      <c r="B17005" s="1">
        <v>46022</v>
      </c>
      <c r="C17005" t="s">
        <v>24</v>
      </c>
      <c r="D17005" s="2">
        <v>2748.23</v>
      </c>
      <c r="E17005" s="2">
        <v>0</v>
      </c>
      <c r="F17005" t="s">
        <v>8</v>
      </c>
      <c r="G17005" t="s">
        <v>9</v>
      </c>
    </row>
    <row r="17006" spans="1:7" x14ac:dyDescent="0.35">
      <c r="A17006">
        <v>6753</v>
      </c>
      <c r="B17006" s="1">
        <v>46022</v>
      </c>
      <c r="C17006" t="s">
        <v>24</v>
      </c>
      <c r="D17006" s="2">
        <v>0</v>
      </c>
      <c r="E17006" s="2">
        <v>2748.23</v>
      </c>
      <c r="F17006" t="s">
        <v>13</v>
      </c>
      <c r="G17006" t="s">
        <v>9</v>
      </c>
    </row>
    <row r="17007" spans="1:7" x14ac:dyDescent="0.35">
      <c r="A17007">
        <v>6754</v>
      </c>
      <c r="B17007" s="1">
        <v>46022</v>
      </c>
      <c r="C17007" t="s">
        <v>29</v>
      </c>
      <c r="D17007" s="2">
        <v>7227.44</v>
      </c>
      <c r="E17007" s="2">
        <v>0</v>
      </c>
      <c r="F17007" t="s">
        <v>28</v>
      </c>
      <c r="G17007" t="s">
        <v>17</v>
      </c>
    </row>
    <row r="17008" spans="1:7" x14ac:dyDescent="0.35">
      <c r="A17008">
        <v>6754</v>
      </c>
      <c r="B17008" s="1">
        <v>46022</v>
      </c>
      <c r="C17008" t="s">
        <v>29</v>
      </c>
      <c r="D17008" s="2">
        <v>0</v>
      </c>
      <c r="E17008" s="2">
        <v>7227.44</v>
      </c>
      <c r="F17008" t="s">
        <v>8</v>
      </c>
      <c r="G17008" t="s">
        <v>9</v>
      </c>
    </row>
    <row r="17009" spans="1:7" x14ac:dyDescent="0.35">
      <c r="A17009">
        <v>6755</v>
      </c>
      <c r="B17009" s="1">
        <v>46022</v>
      </c>
      <c r="C17009" t="s">
        <v>29</v>
      </c>
      <c r="D17009" s="2">
        <v>2504.23</v>
      </c>
      <c r="E17009" s="2">
        <v>0</v>
      </c>
      <c r="F17009" t="s">
        <v>28</v>
      </c>
      <c r="G17009" t="s">
        <v>17</v>
      </c>
    </row>
    <row r="17010" spans="1:7" x14ac:dyDescent="0.35">
      <c r="A17010">
        <v>6755</v>
      </c>
      <c r="B17010" s="1">
        <v>46022</v>
      </c>
      <c r="C17010" t="s">
        <v>29</v>
      </c>
      <c r="D17010" s="2">
        <v>0</v>
      </c>
      <c r="E17010" s="2">
        <v>2504.23</v>
      </c>
      <c r="F17010" t="s">
        <v>8</v>
      </c>
      <c r="G17010" t="s">
        <v>9</v>
      </c>
    </row>
    <row r="17011" spans="1:7" x14ac:dyDescent="0.35">
      <c r="A17011">
        <v>6756</v>
      </c>
      <c r="B17011" s="1">
        <v>46022</v>
      </c>
      <c r="C17011" t="s">
        <v>29</v>
      </c>
      <c r="D17011" s="2">
        <v>2918.17</v>
      </c>
      <c r="E17011" s="2">
        <v>0</v>
      </c>
      <c r="F17011" t="s">
        <v>28</v>
      </c>
      <c r="G17011" t="s">
        <v>17</v>
      </c>
    </row>
    <row r="17012" spans="1:7" x14ac:dyDescent="0.35">
      <c r="A17012">
        <v>6756</v>
      </c>
      <c r="B17012" s="1">
        <v>46022</v>
      </c>
      <c r="C17012" t="s">
        <v>29</v>
      </c>
      <c r="D17012" s="2">
        <v>0</v>
      </c>
      <c r="E17012" s="2">
        <v>2918.17</v>
      </c>
      <c r="F17012" t="s">
        <v>8</v>
      </c>
      <c r="G17012" t="s">
        <v>9</v>
      </c>
    </row>
    <row r="17013" spans="1:7" x14ac:dyDescent="0.35">
      <c r="A17013">
        <v>6757</v>
      </c>
      <c r="B17013" s="1">
        <v>46022</v>
      </c>
      <c r="C17013" t="s">
        <v>29</v>
      </c>
      <c r="D17013" s="2">
        <v>201.5</v>
      </c>
      <c r="E17013" s="2">
        <v>0</v>
      </c>
      <c r="F17013" t="s">
        <v>28</v>
      </c>
      <c r="G17013" t="s">
        <v>17</v>
      </c>
    </row>
    <row r="17014" spans="1:7" x14ac:dyDescent="0.35">
      <c r="A17014">
        <v>6757</v>
      </c>
      <c r="B17014" s="1">
        <v>46022</v>
      </c>
      <c r="C17014" t="s">
        <v>29</v>
      </c>
      <c r="D17014" s="2">
        <v>0</v>
      </c>
      <c r="E17014" s="2">
        <v>201.5</v>
      </c>
      <c r="F17014" t="s">
        <v>8</v>
      </c>
      <c r="G17014" t="s">
        <v>9</v>
      </c>
    </row>
    <row r="17015" spans="1:7" x14ac:dyDescent="0.35">
      <c r="A17015">
        <v>6758</v>
      </c>
      <c r="B17015" s="1">
        <v>46022</v>
      </c>
      <c r="C17015" t="s">
        <v>34</v>
      </c>
      <c r="D17015" s="2">
        <v>20.03</v>
      </c>
      <c r="E17015" s="2">
        <v>0</v>
      </c>
      <c r="F17015" t="s">
        <v>31</v>
      </c>
      <c r="G17015" t="s">
        <v>20</v>
      </c>
    </row>
    <row r="17016" spans="1:7" x14ac:dyDescent="0.35">
      <c r="A17016">
        <v>6758</v>
      </c>
      <c r="B17016" s="1">
        <v>46022</v>
      </c>
      <c r="C17016" t="s">
        <v>34</v>
      </c>
      <c r="D17016" s="2">
        <v>0</v>
      </c>
      <c r="E17016" s="2">
        <v>20.03</v>
      </c>
      <c r="F17016" t="s">
        <v>32</v>
      </c>
      <c r="G17016" t="s">
        <v>9</v>
      </c>
    </row>
    <row r="17017" spans="1:7" x14ac:dyDescent="0.35">
      <c r="A17017">
        <v>6759</v>
      </c>
      <c r="B17017" s="1">
        <v>46022</v>
      </c>
      <c r="C17017" t="s">
        <v>35</v>
      </c>
      <c r="D17017" s="2">
        <v>86.89</v>
      </c>
      <c r="E17017" s="2">
        <v>0</v>
      </c>
      <c r="F17017" t="s">
        <v>31</v>
      </c>
      <c r="G17017" t="s">
        <v>20</v>
      </c>
    </row>
    <row r="17018" spans="1:7" x14ac:dyDescent="0.35">
      <c r="A17018">
        <v>6759</v>
      </c>
      <c r="B17018" s="1">
        <v>46022</v>
      </c>
      <c r="C17018" t="s">
        <v>35</v>
      </c>
      <c r="D17018" s="2">
        <v>0</v>
      </c>
      <c r="E17018" s="2">
        <v>86.89</v>
      </c>
      <c r="F17018" t="s">
        <v>36</v>
      </c>
      <c r="G17018" t="s">
        <v>9</v>
      </c>
    </row>
    <row r="17019" spans="1:7" x14ac:dyDescent="0.35">
      <c r="A17019">
        <v>6760</v>
      </c>
      <c r="B17019" s="1">
        <v>46022</v>
      </c>
      <c r="C17019" t="s">
        <v>37</v>
      </c>
      <c r="D17019" s="2">
        <v>76.8</v>
      </c>
      <c r="E17019" s="2">
        <v>0</v>
      </c>
      <c r="F17019" t="s">
        <v>31</v>
      </c>
      <c r="G17019" t="s">
        <v>20</v>
      </c>
    </row>
    <row r="17020" spans="1:7" x14ac:dyDescent="0.35">
      <c r="A17020">
        <v>6760</v>
      </c>
      <c r="B17020" s="1">
        <v>46022</v>
      </c>
      <c r="C17020" t="s">
        <v>37</v>
      </c>
      <c r="D17020" s="2">
        <v>0</v>
      </c>
      <c r="E17020" s="2">
        <v>76.8</v>
      </c>
      <c r="F17020" t="s">
        <v>36</v>
      </c>
      <c r="G17020" t="s">
        <v>9</v>
      </c>
    </row>
    <row r="17021" spans="1:7" x14ac:dyDescent="0.35">
      <c r="A17021">
        <v>6761</v>
      </c>
      <c r="B17021" s="1">
        <v>46022</v>
      </c>
      <c r="C17021" t="s">
        <v>38</v>
      </c>
      <c r="D17021" s="2">
        <v>48.28</v>
      </c>
      <c r="E17021" s="2">
        <v>0</v>
      </c>
      <c r="F17021" t="s">
        <v>31</v>
      </c>
      <c r="G17021" t="s">
        <v>20</v>
      </c>
    </row>
    <row r="17022" spans="1:7" x14ac:dyDescent="0.35">
      <c r="A17022">
        <v>6761</v>
      </c>
      <c r="B17022" s="1">
        <v>46022</v>
      </c>
      <c r="C17022" t="s">
        <v>38</v>
      </c>
      <c r="D17022" s="2">
        <v>0</v>
      </c>
      <c r="E17022" s="2">
        <v>48.28</v>
      </c>
      <c r="F17022" t="s">
        <v>36</v>
      </c>
      <c r="G17022" t="s">
        <v>9</v>
      </c>
    </row>
    <row r="17023" spans="1:7" x14ac:dyDescent="0.35">
      <c r="A17023">
        <v>6762</v>
      </c>
      <c r="B17023" s="1">
        <v>46022</v>
      </c>
      <c r="C17023" t="s">
        <v>39</v>
      </c>
      <c r="D17023" s="2">
        <v>53.21</v>
      </c>
      <c r="E17023" s="2">
        <v>0</v>
      </c>
      <c r="F17023" t="s">
        <v>31</v>
      </c>
      <c r="G17023" t="s">
        <v>20</v>
      </c>
    </row>
    <row r="17024" spans="1:7" x14ac:dyDescent="0.35">
      <c r="A17024">
        <v>6762</v>
      </c>
      <c r="B17024" s="1">
        <v>46022</v>
      </c>
      <c r="C17024" t="s">
        <v>39</v>
      </c>
      <c r="D17024" s="2">
        <v>0</v>
      </c>
      <c r="E17024" s="2">
        <v>53.21</v>
      </c>
      <c r="F17024" t="s">
        <v>36</v>
      </c>
      <c r="G17024" t="s">
        <v>9</v>
      </c>
    </row>
    <row r="17025" spans="1:7" x14ac:dyDescent="0.35">
      <c r="A17025">
        <v>6763</v>
      </c>
      <c r="B17025" s="1">
        <v>46022</v>
      </c>
      <c r="C17025" t="s">
        <v>40</v>
      </c>
      <c r="D17025" s="2">
        <v>232.19</v>
      </c>
      <c r="E17025" s="2">
        <v>0</v>
      </c>
      <c r="F17025" t="s">
        <v>31</v>
      </c>
      <c r="G17025" t="s">
        <v>20</v>
      </c>
    </row>
    <row r="17026" spans="1:7" x14ac:dyDescent="0.35">
      <c r="A17026">
        <v>6763</v>
      </c>
      <c r="B17026" s="1">
        <v>46022</v>
      </c>
      <c r="C17026" t="s">
        <v>40</v>
      </c>
      <c r="D17026" s="2">
        <v>0</v>
      </c>
      <c r="E17026" s="2">
        <v>232.19</v>
      </c>
      <c r="F17026" t="s">
        <v>41</v>
      </c>
      <c r="G17026" t="s">
        <v>9</v>
      </c>
    </row>
    <row r="17027" spans="1:7" x14ac:dyDescent="0.35">
      <c r="A17027">
        <v>6764</v>
      </c>
      <c r="B17027" s="1">
        <v>46022</v>
      </c>
      <c r="C17027" t="s">
        <v>42</v>
      </c>
      <c r="D17027" s="2">
        <v>43.85</v>
      </c>
      <c r="E17027" s="2">
        <v>0</v>
      </c>
      <c r="F17027" t="s">
        <v>31</v>
      </c>
      <c r="G17027" t="s">
        <v>20</v>
      </c>
    </row>
    <row r="17028" spans="1:7" x14ac:dyDescent="0.35">
      <c r="A17028">
        <v>6764</v>
      </c>
      <c r="B17028" s="1">
        <v>46022</v>
      </c>
      <c r="C17028" t="s">
        <v>42</v>
      </c>
      <c r="D17028" s="2">
        <v>0</v>
      </c>
      <c r="E17028" s="2">
        <v>43.85</v>
      </c>
      <c r="F17028" t="s">
        <v>32</v>
      </c>
      <c r="G17028" t="s">
        <v>9</v>
      </c>
    </row>
  </sheetData>
  <autoFilter ref="A1:G17028" xr:uid="{F010F9F8-93DB-4399-AC17-58355F0AAE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4CCC-18A6-457A-987A-DF332E2963BC}">
  <dimension ref="A1:AN82"/>
  <sheetViews>
    <sheetView topLeftCell="W34" zoomScale="85" zoomScaleNormal="85" workbookViewId="0">
      <selection activeCell="E56" sqref="E56:AN56"/>
    </sheetView>
  </sheetViews>
  <sheetFormatPr defaultRowHeight="14.5" x14ac:dyDescent="0.35"/>
  <cols>
    <col min="2" max="3" width="3.6328125" customWidth="1"/>
    <col min="4" max="4" width="34.81640625" style="5" customWidth="1"/>
    <col min="5" max="40" width="10.6328125" customWidth="1"/>
  </cols>
  <sheetData>
    <row r="1" spans="1:40" x14ac:dyDescent="0.35">
      <c r="D1" s="8"/>
      <c r="E1" s="7" t="s">
        <v>61</v>
      </c>
      <c r="F1" s="7" t="s">
        <v>62</v>
      </c>
    </row>
    <row r="2" spans="1:40" x14ac:dyDescent="0.35">
      <c r="D2" s="8" t="s">
        <v>54</v>
      </c>
      <c r="E2" s="22">
        <v>0.3</v>
      </c>
      <c r="F2" s="23">
        <f>F3+(E2/10)</f>
        <v>0.65557999321707805</v>
      </c>
    </row>
    <row r="3" spans="1:40" x14ac:dyDescent="0.35">
      <c r="D3" s="8" t="s">
        <v>57</v>
      </c>
      <c r="E3" s="24">
        <v>0</v>
      </c>
      <c r="F3" s="23">
        <f>AVERAGE(E38:AB38)</f>
        <v>0.62557999321707802</v>
      </c>
    </row>
    <row r="4" spans="1:40" x14ac:dyDescent="0.35">
      <c r="D4" s="8" t="s">
        <v>55</v>
      </c>
      <c r="E4" s="22">
        <v>-0.3</v>
      </c>
      <c r="F4" s="23">
        <f>F3+(E4/10)</f>
        <v>0.595579993217078</v>
      </c>
    </row>
    <row r="6" spans="1:40" x14ac:dyDescent="0.35">
      <c r="A6" s="14" t="s">
        <v>54</v>
      </c>
      <c r="B6" s="15"/>
      <c r="C6" s="15"/>
      <c r="D6" s="16"/>
      <c r="E6" s="13" t="s">
        <v>58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20" t="s">
        <v>59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x14ac:dyDescent="0.35">
      <c r="A7" s="7"/>
      <c r="B7" s="10" t="s">
        <v>56</v>
      </c>
      <c r="C7" s="7"/>
      <c r="D7" s="8"/>
      <c r="E7" s="9">
        <v>45292</v>
      </c>
      <c r="F7" s="9">
        <f t="shared" ref="F7:AN7" si="0">EDATE(E$7,1)</f>
        <v>45323</v>
      </c>
      <c r="G7" s="9">
        <f t="shared" si="0"/>
        <v>45352</v>
      </c>
      <c r="H7" s="9">
        <f t="shared" si="0"/>
        <v>45383</v>
      </c>
      <c r="I7" s="9">
        <f t="shared" si="0"/>
        <v>45413</v>
      </c>
      <c r="J7" s="9">
        <f t="shared" si="0"/>
        <v>45444</v>
      </c>
      <c r="K7" s="9">
        <f t="shared" si="0"/>
        <v>45474</v>
      </c>
      <c r="L7" s="9">
        <f t="shared" si="0"/>
        <v>45505</v>
      </c>
      <c r="M7" s="9">
        <f t="shared" si="0"/>
        <v>45536</v>
      </c>
      <c r="N7" s="9">
        <f t="shared" si="0"/>
        <v>45566</v>
      </c>
      <c r="O7" s="9">
        <f t="shared" si="0"/>
        <v>45597</v>
      </c>
      <c r="P7" s="9">
        <f t="shared" si="0"/>
        <v>45627</v>
      </c>
      <c r="Q7" s="9">
        <f t="shared" si="0"/>
        <v>45658</v>
      </c>
      <c r="R7" s="9">
        <f t="shared" si="0"/>
        <v>45689</v>
      </c>
      <c r="S7" s="9">
        <f t="shared" si="0"/>
        <v>45717</v>
      </c>
      <c r="T7" s="9">
        <f t="shared" si="0"/>
        <v>45748</v>
      </c>
      <c r="U7" s="9">
        <f t="shared" si="0"/>
        <v>45778</v>
      </c>
      <c r="V7" s="9">
        <f t="shared" si="0"/>
        <v>45809</v>
      </c>
      <c r="W7" s="9">
        <f t="shared" si="0"/>
        <v>45839</v>
      </c>
      <c r="X7" s="9">
        <f t="shared" si="0"/>
        <v>45870</v>
      </c>
      <c r="Y7" s="9">
        <f t="shared" si="0"/>
        <v>45901</v>
      </c>
      <c r="Z7" s="9">
        <f t="shared" si="0"/>
        <v>45931</v>
      </c>
      <c r="AA7" s="9">
        <f t="shared" si="0"/>
        <v>45962</v>
      </c>
      <c r="AB7" s="9">
        <f t="shared" si="0"/>
        <v>45992</v>
      </c>
      <c r="AC7" s="9">
        <f t="shared" si="0"/>
        <v>46023</v>
      </c>
      <c r="AD7" s="9">
        <f t="shared" si="0"/>
        <v>46054</v>
      </c>
      <c r="AE7" s="9">
        <f t="shared" si="0"/>
        <v>46082</v>
      </c>
      <c r="AF7" s="9">
        <f t="shared" si="0"/>
        <v>46113</v>
      </c>
      <c r="AG7" s="9">
        <f t="shared" si="0"/>
        <v>46143</v>
      </c>
      <c r="AH7" s="9">
        <f t="shared" si="0"/>
        <v>46174</v>
      </c>
      <c r="AI7" s="9">
        <f t="shared" si="0"/>
        <v>46204</v>
      </c>
      <c r="AJ7" s="9">
        <f t="shared" si="0"/>
        <v>46235</v>
      </c>
      <c r="AK7" s="9">
        <f t="shared" si="0"/>
        <v>46266</v>
      </c>
      <c r="AL7" s="9">
        <f t="shared" si="0"/>
        <v>46296</v>
      </c>
      <c r="AM7" s="9">
        <f t="shared" si="0"/>
        <v>46327</v>
      </c>
      <c r="AN7" s="9">
        <f t="shared" si="0"/>
        <v>46357</v>
      </c>
    </row>
    <row r="8" spans="1:40" x14ac:dyDescent="0.35">
      <c r="B8" s="6" t="s">
        <v>50</v>
      </c>
    </row>
    <row r="9" spans="1:40" x14ac:dyDescent="0.35">
      <c r="C9" t="s">
        <v>14</v>
      </c>
      <c r="E9" s="2">
        <f>SUMIFS(
general_ledger!$E:$E,
general_ledger!$F:$F,Forecast!$C9,
general_ledger!$B:$B,"&gt;="&amp;Forecast!E$7,
general_ledger!$B:$B,"&lt;"&amp;EDATE(Forecast!E$7,1)
)</f>
        <v>59415.490000000013</v>
      </c>
      <c r="F9" s="2">
        <f>SUMIFS(
general_ledger!$E:$E,
general_ledger!$F:$F,Forecast!$C9,
general_ledger!$B:$B,"&gt;="&amp;Forecast!F$7,
general_ledger!$B:$B,"&lt;"&amp;EDATE(Forecast!F$7,1)
)</f>
        <v>68342.89</v>
      </c>
      <c r="G9" s="2">
        <f>SUMIFS(
general_ledger!$E:$E,
general_ledger!$F:$F,Forecast!$C9,
general_ledger!$B:$B,"&gt;="&amp;Forecast!G$7,
general_ledger!$B:$B,"&lt;"&amp;EDATE(Forecast!G$7,1)
)</f>
        <v>99595.540000000037</v>
      </c>
      <c r="H9" s="2">
        <f>SUMIFS(
general_ledger!$E:$E,
general_ledger!$F:$F,Forecast!$C9,
general_ledger!$B:$B,"&gt;="&amp;Forecast!H$7,
general_ledger!$B:$B,"&lt;"&amp;EDATE(Forecast!H$7,1)
)</f>
        <v>95861.080000000016</v>
      </c>
      <c r="I9" s="2">
        <f>SUMIFS(
general_ledger!$E:$E,
general_ledger!$F:$F,Forecast!$C9,
general_ledger!$B:$B,"&gt;="&amp;Forecast!I$7,
general_ledger!$B:$B,"&lt;"&amp;EDATE(Forecast!I$7,1)
)</f>
        <v>150362.91999999998</v>
      </c>
      <c r="J9" s="2">
        <f>SUMIFS(
general_ledger!$E:$E,
general_ledger!$F:$F,Forecast!$C9,
general_ledger!$B:$B,"&gt;="&amp;Forecast!J$7,
general_ledger!$B:$B,"&lt;"&amp;EDATE(Forecast!J$7,1)
)</f>
        <v>142942.71</v>
      </c>
      <c r="K9" s="2">
        <f>SUMIFS(
general_ledger!$E:$E,
general_ledger!$F:$F,Forecast!$C9,
general_ledger!$B:$B,"&gt;="&amp;Forecast!K$7,
general_ledger!$B:$B,"&lt;"&amp;EDATE(Forecast!K$7,1)
)</f>
        <v>149964.52999999997</v>
      </c>
      <c r="L9" s="2">
        <f>SUMIFS(
general_ledger!$E:$E,
general_ledger!$F:$F,Forecast!$C9,
general_ledger!$B:$B,"&gt;="&amp;Forecast!L$7,
general_ledger!$B:$B,"&lt;"&amp;EDATE(Forecast!L$7,1)
)</f>
        <v>134993.04</v>
      </c>
      <c r="M9" s="2">
        <f>SUMIFS(
general_ledger!$E:$E,
general_ledger!$F:$F,Forecast!$C9,
general_ledger!$B:$B,"&gt;="&amp;Forecast!M$7,
general_ledger!$B:$B,"&lt;"&amp;EDATE(Forecast!M$7,1)
)</f>
        <v>141063.74000000002</v>
      </c>
      <c r="N9" s="2">
        <f>SUMIFS(
general_ledger!$E:$E,
general_ledger!$F:$F,Forecast!$C9,
general_ledger!$B:$B,"&gt;="&amp;Forecast!N$7,
general_ledger!$B:$B,"&lt;"&amp;EDATE(Forecast!N$7,1)
)</f>
        <v>205049.57000000007</v>
      </c>
      <c r="O9" s="2">
        <f>SUMIFS(
general_ledger!$E:$E,
general_ledger!$F:$F,Forecast!$C9,
general_ledger!$B:$B,"&gt;="&amp;Forecast!O$7,
general_ledger!$B:$B,"&lt;"&amp;EDATE(Forecast!O$7,1)
)</f>
        <v>232928.62999999983</v>
      </c>
      <c r="P9" s="2">
        <f>SUMIFS(
general_ledger!$E:$E,
general_ledger!$F:$F,Forecast!$C9,
general_ledger!$B:$B,"&gt;="&amp;Forecast!P$7,
general_ledger!$B:$B,"&lt;"&amp;EDATE(Forecast!P$7,1)
)</f>
        <v>309332.21999999991</v>
      </c>
      <c r="Q9" s="2">
        <f>SUMIFS(
general_ledger!$E:$E,
general_ledger!$F:$F,Forecast!$C9,
general_ledger!$B:$B,"&gt;="&amp;Forecast!Q$7,
general_ledger!$B:$B,"&lt;"&amp;EDATE(Forecast!Q$7,1)
)</f>
        <v>153642.57999999996</v>
      </c>
      <c r="R9" s="2">
        <f>SUMIFS(
general_ledger!$E:$E,
general_ledger!$F:$F,Forecast!$C9,
general_ledger!$B:$B,"&gt;="&amp;Forecast!R$7,
general_ledger!$B:$B,"&lt;"&amp;EDATE(Forecast!R$7,1)
)</f>
        <v>138235.13000000006</v>
      </c>
      <c r="S9" s="2">
        <f>SUMIFS(
general_ledger!$E:$E,
general_ledger!$F:$F,Forecast!$C9,
general_ledger!$B:$B,"&gt;="&amp;Forecast!S$7,
general_ledger!$B:$B,"&lt;"&amp;EDATE(Forecast!S$7,1)
)</f>
        <v>177988.43999999994</v>
      </c>
      <c r="T9" s="2">
        <f>SUMIFS(
general_ledger!$E:$E,
general_ledger!$F:$F,Forecast!$C9,
general_ledger!$B:$B,"&gt;="&amp;Forecast!T$7,
general_ledger!$B:$B,"&lt;"&amp;EDATE(Forecast!T$7,1)
)</f>
        <v>217996.40000000008</v>
      </c>
      <c r="U9" s="2">
        <f>SUMIFS(
general_ledger!$E:$E,
general_ledger!$F:$F,Forecast!$C9,
general_ledger!$B:$B,"&gt;="&amp;Forecast!U$7,
general_ledger!$B:$B,"&lt;"&amp;EDATE(Forecast!U$7,1)
)</f>
        <v>329150.24</v>
      </c>
      <c r="V9" s="2">
        <f>SUMIFS(
general_ledger!$E:$E,
general_ledger!$F:$F,Forecast!$C9,
general_ledger!$B:$B,"&gt;="&amp;Forecast!V$7,
general_ledger!$B:$B,"&lt;"&amp;EDATE(Forecast!V$7,1)
)</f>
        <v>242501.93999999983</v>
      </c>
      <c r="W9" s="2">
        <f>SUMIFS(
general_ledger!$E:$E,
general_ledger!$F:$F,Forecast!$C9,
general_ledger!$B:$B,"&gt;="&amp;Forecast!W$7,
general_ledger!$B:$B,"&lt;"&amp;EDATE(Forecast!W$7,1)
)</f>
        <v>216498.91999999998</v>
      </c>
      <c r="X9" s="2">
        <f>SUMIFS(
general_ledger!$E:$E,
general_ledger!$F:$F,Forecast!$C9,
general_ledger!$B:$B,"&gt;="&amp;Forecast!X$7,
general_ledger!$B:$B,"&lt;"&amp;EDATE(Forecast!X$7,1)
)</f>
        <v>191254.52000000005</v>
      </c>
      <c r="Y9" s="2">
        <f>SUMIFS(
general_ledger!$E:$E,
general_ledger!$F:$F,Forecast!$C9,
general_ledger!$B:$B,"&gt;="&amp;Forecast!Y$7,
general_ledger!$B:$B,"&lt;"&amp;EDATE(Forecast!Y$7,1)
)</f>
        <v>317274.78000000009</v>
      </c>
      <c r="Z9" s="2">
        <f>SUMIFS(
general_ledger!$E:$E,
general_ledger!$F:$F,Forecast!$C9,
general_ledger!$B:$B,"&gt;="&amp;Forecast!Z$7,
general_ledger!$B:$B,"&lt;"&amp;EDATE(Forecast!Z$7,1)
)</f>
        <v>299056.03999999986</v>
      </c>
      <c r="AA9" s="2">
        <f>SUMIFS(
general_ledger!$E:$E,
general_ledger!$F:$F,Forecast!$C9,
general_ledger!$B:$B,"&gt;="&amp;Forecast!AA$7,
general_ledger!$B:$B,"&lt;"&amp;EDATE(Forecast!AA$7,1)
)</f>
        <v>403762.45999999985</v>
      </c>
      <c r="AB9" s="2">
        <f>SUMIFS(
general_ledger!$E:$E,
general_ledger!$F:$F,Forecast!$C9,
general_ledger!$B:$B,"&gt;="&amp;Forecast!AB$7,
general_ledger!$B:$B,"&lt;"&amp;EDATE(Forecast!AB$7,1)
)</f>
        <v>511798.72000000038</v>
      </c>
      <c r="AC9" s="2">
        <f t="shared" ref="AC9:AN9" si="1">AC35*(1+$E$2)</f>
        <v>435729.345998918</v>
      </c>
      <c r="AD9" s="2">
        <f t="shared" si="1"/>
        <v>414206.86360676977</v>
      </c>
      <c r="AE9" s="2">
        <f t="shared" si="1"/>
        <v>455989.96234642703</v>
      </c>
      <c r="AF9" s="2">
        <f t="shared" si="1"/>
        <v>494489.7566386009</v>
      </c>
      <c r="AG9" s="2">
        <f t="shared" si="1"/>
        <v>590836.04812987091</v>
      </c>
      <c r="AH9" s="2">
        <f t="shared" si="1"/>
        <v>587395.28226221423</v>
      </c>
      <c r="AI9" s="2">
        <f t="shared" si="1"/>
        <v>511004.2635701028</v>
      </c>
      <c r="AJ9" s="2">
        <f t="shared" si="1"/>
        <v>488171.6797551873</v>
      </c>
      <c r="AK9" s="2">
        <f t="shared" si="1"/>
        <v>553175.59747828951</v>
      </c>
      <c r="AL9" s="2">
        <f t="shared" si="1"/>
        <v>590642.26359655207</v>
      </c>
      <c r="AM9" s="2">
        <f t="shared" si="1"/>
        <v>683807.51557959709</v>
      </c>
      <c r="AN9" s="2">
        <f t="shared" si="1"/>
        <v>674993.19963126665</v>
      </c>
    </row>
    <row r="10" spans="1:40" x14ac:dyDescent="0.35">
      <c r="C10" t="s">
        <v>26</v>
      </c>
      <c r="E10">
        <f>SUMIFS(
general_ledger!$D:$D,
general_ledger!$F:$F,Forecast!$C10,
general_ledger!$B:$B,"&gt;="&amp;Forecast!E$7,
general_ledger!$B:$B,"&lt;"&amp;EDATE(Forecast!E$7,1)
)</f>
        <v>17964.150000000001</v>
      </c>
      <c r="F10">
        <f>SUMIFS(
general_ledger!$D:$D,
general_ledger!$F:$F,Forecast!$C10,
general_ledger!$B:$B,"&gt;="&amp;Forecast!F$7,
general_ledger!$B:$B,"&lt;"&amp;EDATE(Forecast!F$7,1)
)</f>
        <v>10317.94</v>
      </c>
      <c r="G10">
        <f>SUMIFS(
general_ledger!$D:$D,
general_ledger!$F:$F,Forecast!$C10,
general_ledger!$B:$B,"&gt;="&amp;Forecast!G$7,
general_ledger!$B:$B,"&lt;"&amp;EDATE(Forecast!G$7,1)
)</f>
        <v>28087.98</v>
      </c>
      <c r="H10">
        <f>SUMIFS(
general_ledger!$D:$D,
general_ledger!$F:$F,Forecast!$C10,
general_ledger!$B:$B,"&gt;="&amp;Forecast!H$7,
general_ledger!$B:$B,"&lt;"&amp;EDATE(Forecast!H$7,1)
)</f>
        <v>41028.11</v>
      </c>
      <c r="I10">
        <f>SUMIFS(
general_ledger!$D:$D,
general_ledger!$F:$F,Forecast!$C10,
general_ledger!$B:$B,"&gt;="&amp;Forecast!I$7,
general_ledger!$B:$B,"&lt;"&amp;EDATE(Forecast!I$7,1)
)</f>
        <v>56000.789999999994</v>
      </c>
      <c r="J10">
        <f>SUMIFS(
general_ledger!$D:$D,
general_ledger!$F:$F,Forecast!$C10,
general_ledger!$B:$B,"&gt;="&amp;Forecast!J$7,
general_ledger!$B:$B,"&lt;"&amp;EDATE(Forecast!J$7,1)
)</f>
        <v>70351.500000000015</v>
      </c>
      <c r="K10">
        <f>SUMIFS(
general_ledger!$D:$D,
general_ledger!$F:$F,Forecast!$C10,
general_ledger!$B:$B,"&gt;="&amp;Forecast!K$7,
general_ledger!$B:$B,"&lt;"&amp;EDATE(Forecast!K$7,1)
)</f>
        <v>53447.14</v>
      </c>
      <c r="L10">
        <f>SUMIFS(
general_ledger!$D:$D,
general_ledger!$F:$F,Forecast!$C10,
general_ledger!$B:$B,"&gt;="&amp;Forecast!L$7,
general_ledger!$B:$B,"&lt;"&amp;EDATE(Forecast!L$7,1)
)</f>
        <v>61886.94</v>
      </c>
      <c r="M10">
        <f>SUMIFS(
general_ledger!$D:$D,
general_ledger!$F:$F,Forecast!$C10,
general_ledger!$B:$B,"&gt;="&amp;Forecast!M$7,
general_ledger!$B:$B,"&lt;"&amp;EDATE(Forecast!M$7,1)
)</f>
        <v>71690.959999999992</v>
      </c>
      <c r="N10">
        <f>SUMIFS(
general_ledger!$D:$D,
general_ledger!$F:$F,Forecast!$C10,
general_ledger!$B:$B,"&gt;="&amp;Forecast!N$7,
general_ledger!$B:$B,"&lt;"&amp;EDATE(Forecast!N$7,1)
)</f>
        <v>62758.44000000001</v>
      </c>
      <c r="O10">
        <f>SUMIFS(
general_ledger!$D:$D,
general_ledger!$F:$F,Forecast!$C10,
general_ledger!$B:$B,"&gt;="&amp;Forecast!O$7,
general_ledger!$B:$B,"&lt;"&amp;EDATE(Forecast!O$7,1)
)</f>
        <v>93664.72</v>
      </c>
      <c r="P10">
        <f>SUMIFS(
general_ledger!$D:$D,
general_ledger!$F:$F,Forecast!$C10,
general_ledger!$B:$B,"&gt;="&amp;Forecast!P$7,
general_ledger!$B:$B,"&lt;"&amp;EDATE(Forecast!P$7,1)
)</f>
        <v>106756.03000000001</v>
      </c>
      <c r="Q10">
        <f>SUMIFS(
general_ledger!$D:$D,
general_ledger!$F:$F,Forecast!$C10,
general_ledger!$B:$B,"&gt;="&amp;Forecast!Q$7,
general_ledger!$B:$B,"&lt;"&amp;EDATE(Forecast!Q$7,1)
)</f>
        <v>76702.890000000014</v>
      </c>
      <c r="R10">
        <f>SUMIFS(
general_ledger!$D:$D,
general_ledger!$F:$F,Forecast!$C10,
general_ledger!$B:$B,"&gt;="&amp;Forecast!R$7,
general_ledger!$B:$B,"&lt;"&amp;EDATE(Forecast!R$7,1)
)</f>
        <v>53010.439999999981</v>
      </c>
      <c r="S10">
        <f>SUMIFS(
general_ledger!$D:$D,
general_ledger!$F:$F,Forecast!$C10,
general_ledger!$B:$B,"&gt;="&amp;Forecast!S$7,
general_ledger!$B:$B,"&lt;"&amp;EDATE(Forecast!S$7,1)
)</f>
        <v>74136.279999999984</v>
      </c>
      <c r="T10">
        <f>SUMIFS(
general_ledger!$D:$D,
general_ledger!$F:$F,Forecast!$C10,
general_ledger!$B:$B,"&gt;="&amp;Forecast!T$7,
general_ledger!$B:$B,"&lt;"&amp;EDATE(Forecast!T$7,1)
)</f>
        <v>106777.97</v>
      </c>
      <c r="U10">
        <f>SUMIFS(
general_ledger!$D:$D,
general_ledger!$F:$F,Forecast!$C10,
general_ledger!$B:$B,"&gt;="&amp;Forecast!U$7,
general_ledger!$B:$B,"&lt;"&amp;EDATE(Forecast!U$7,1)
)</f>
        <v>91334.750000000015</v>
      </c>
      <c r="V10">
        <f>SUMIFS(
general_ledger!$D:$D,
general_ledger!$F:$F,Forecast!$C10,
general_ledger!$B:$B,"&gt;="&amp;Forecast!V$7,
general_ledger!$B:$B,"&lt;"&amp;EDATE(Forecast!V$7,1)
)</f>
        <v>103834.05000000002</v>
      </c>
      <c r="W10">
        <f>SUMIFS(
general_ledger!$D:$D,
general_ledger!$F:$F,Forecast!$C10,
general_ledger!$B:$B,"&gt;="&amp;Forecast!W$7,
general_ledger!$B:$B,"&lt;"&amp;EDATE(Forecast!W$7,1)
)</f>
        <v>102920.05</v>
      </c>
      <c r="X10">
        <f>SUMIFS(
general_ledger!$D:$D,
general_ledger!$F:$F,Forecast!$C10,
general_ledger!$B:$B,"&gt;="&amp;Forecast!X$7,
general_ledger!$B:$B,"&lt;"&amp;EDATE(Forecast!X$7,1)
)</f>
        <v>79500.280000000028</v>
      </c>
      <c r="Y10">
        <f>SUMIFS(
general_ledger!$D:$D,
general_ledger!$F:$F,Forecast!$C10,
general_ledger!$B:$B,"&gt;="&amp;Forecast!Y$7,
general_ledger!$B:$B,"&lt;"&amp;EDATE(Forecast!Y$7,1)
)</f>
        <v>101425.38</v>
      </c>
      <c r="Z10">
        <f>SUMIFS(
general_ledger!$D:$D,
general_ledger!$F:$F,Forecast!$C10,
general_ledger!$B:$B,"&gt;="&amp;Forecast!Z$7,
general_ledger!$B:$B,"&lt;"&amp;EDATE(Forecast!Z$7,1)
)</f>
        <v>103520.76000000001</v>
      </c>
      <c r="AA10">
        <f>SUMIFS(
general_ledger!$D:$D,
general_ledger!$F:$F,Forecast!$C10,
general_ledger!$B:$B,"&gt;="&amp;Forecast!AA$7,
general_ledger!$B:$B,"&lt;"&amp;EDATE(Forecast!AA$7,1)
)</f>
        <v>115045.53000000003</v>
      </c>
      <c r="AB10">
        <f>SUMIFS(
general_ledger!$D:$D,
general_ledger!$F:$F,Forecast!$C10,
general_ledger!$B:$B,"&gt;="&amp;Forecast!AB$7,
general_ledger!$B:$B,"&lt;"&amp;EDATE(Forecast!AB$7,1)
)</f>
        <v>125511.47000000002</v>
      </c>
      <c r="AC10" s="2">
        <f>AC9-AC11</f>
        <v>150073.90430446545</v>
      </c>
      <c r="AD10" s="2">
        <f t="shared" ref="AD10:AN10" si="2">AD9-AD11</f>
        <v>142661.1307729765</v>
      </c>
      <c r="AE10" s="2">
        <f t="shared" si="2"/>
        <v>157052.0659243007</v>
      </c>
      <c r="AF10" s="2">
        <f t="shared" si="2"/>
        <v>170312.16533555236</v>
      </c>
      <c r="AG10" s="2">
        <f t="shared" si="2"/>
        <v>203495.75570448494</v>
      </c>
      <c r="AH10" s="2">
        <f t="shared" si="2"/>
        <v>202310.6871010082</v>
      </c>
      <c r="AI10" s="2">
        <f t="shared" si="2"/>
        <v>176000.09192491684</v>
      </c>
      <c r="AJ10" s="2">
        <f t="shared" si="2"/>
        <v>168136.09325251199</v>
      </c>
      <c r="AK10" s="2">
        <f t="shared" si="2"/>
        <v>190524.74303561938</v>
      </c>
      <c r="AL10" s="2">
        <f t="shared" si="2"/>
        <v>203429.01243420487</v>
      </c>
      <c r="AM10" s="2">
        <f t="shared" si="2"/>
        <v>235516.98915413785</v>
      </c>
      <c r="AN10" s="2">
        <f t="shared" si="2"/>
        <v>232481.16239542706</v>
      </c>
    </row>
    <row r="11" spans="1:40" x14ac:dyDescent="0.35">
      <c r="B11" s="6" t="s">
        <v>51</v>
      </c>
      <c r="C11" s="5"/>
      <c r="E11">
        <f t="shared" ref="E11:AB11" si="3">E9-E10</f>
        <v>41451.340000000011</v>
      </c>
      <c r="F11">
        <f t="shared" si="3"/>
        <v>58024.95</v>
      </c>
      <c r="G11">
        <f t="shared" si="3"/>
        <v>71507.560000000041</v>
      </c>
      <c r="H11">
        <f t="shared" si="3"/>
        <v>54832.970000000016</v>
      </c>
      <c r="I11">
        <f t="shared" si="3"/>
        <v>94362.12999999999</v>
      </c>
      <c r="J11">
        <f t="shared" si="3"/>
        <v>72591.209999999977</v>
      </c>
      <c r="K11">
        <f t="shared" si="3"/>
        <v>96517.38999999997</v>
      </c>
      <c r="L11">
        <f t="shared" si="3"/>
        <v>73106.100000000006</v>
      </c>
      <c r="M11">
        <f t="shared" si="3"/>
        <v>69372.780000000028</v>
      </c>
      <c r="N11">
        <f t="shared" si="3"/>
        <v>142291.13000000006</v>
      </c>
      <c r="O11">
        <f t="shared" si="3"/>
        <v>139263.90999999983</v>
      </c>
      <c r="P11">
        <f t="shared" si="3"/>
        <v>202576.18999999989</v>
      </c>
      <c r="Q11">
        <f t="shared" si="3"/>
        <v>76939.689999999944</v>
      </c>
      <c r="R11">
        <f t="shared" si="3"/>
        <v>85224.69000000009</v>
      </c>
      <c r="S11">
        <f t="shared" si="3"/>
        <v>103852.15999999996</v>
      </c>
      <c r="T11">
        <f t="shared" si="3"/>
        <v>111218.43000000008</v>
      </c>
      <c r="U11">
        <f t="shared" si="3"/>
        <v>237815.49</v>
      </c>
      <c r="V11">
        <f t="shared" si="3"/>
        <v>138667.88999999981</v>
      </c>
      <c r="W11">
        <f t="shared" si="3"/>
        <v>113578.86999999998</v>
      </c>
      <c r="X11">
        <f t="shared" si="3"/>
        <v>111754.24000000002</v>
      </c>
      <c r="Y11">
        <f t="shared" si="3"/>
        <v>215849.40000000008</v>
      </c>
      <c r="Z11">
        <f t="shared" si="3"/>
        <v>195535.27999999985</v>
      </c>
      <c r="AA11">
        <f t="shared" si="3"/>
        <v>288716.92999999982</v>
      </c>
      <c r="AB11">
        <f t="shared" si="3"/>
        <v>386287.25000000035</v>
      </c>
      <c r="AC11" s="2">
        <f>AC9*AC12</f>
        <v>285655.44169445254</v>
      </c>
      <c r="AD11" s="2">
        <f>AD9*AD12</f>
        <v>271545.73283379327</v>
      </c>
      <c r="AE11" s="2">
        <f>AE9*AE12</f>
        <v>298937.89642212633</v>
      </c>
      <c r="AF11" s="2">
        <f>AF9*AF12</f>
        <v>324177.59130304854</v>
      </c>
      <c r="AG11" s="2">
        <f t="shared" ref="AG11:AN11" si="4">AG9*AG12</f>
        <v>387340.29242538597</v>
      </c>
      <c r="AH11" s="2">
        <f t="shared" si="4"/>
        <v>385084.59516120603</v>
      </c>
      <c r="AI11" s="2">
        <f t="shared" si="4"/>
        <v>335004.17164518597</v>
      </c>
      <c r="AJ11" s="2">
        <f t="shared" si="4"/>
        <v>320035.58650267532</v>
      </c>
      <c r="AK11" s="2">
        <f t="shared" si="4"/>
        <v>362650.85444267013</v>
      </c>
      <c r="AL11" s="2">
        <f t="shared" si="4"/>
        <v>387213.25116234721</v>
      </c>
      <c r="AM11" s="2">
        <f t="shared" si="4"/>
        <v>448290.52642545925</v>
      </c>
      <c r="AN11" s="2">
        <f t="shared" si="4"/>
        <v>442512.03723583958</v>
      </c>
    </row>
    <row r="12" spans="1:40" x14ac:dyDescent="0.35">
      <c r="C12" t="s">
        <v>60</v>
      </c>
      <c r="D12"/>
      <c r="E12" s="21">
        <f>E11/E9</f>
        <v>0.6976520769247212</v>
      </c>
      <c r="F12" s="21">
        <f t="shared" ref="F12:AB12" si="5">F11/F9</f>
        <v>0.84902687024209833</v>
      </c>
      <c r="G12" s="21">
        <f t="shared" si="5"/>
        <v>0.71797954004767695</v>
      </c>
      <c r="H12" s="21">
        <f t="shared" si="5"/>
        <v>0.57200450902493494</v>
      </c>
      <c r="I12" s="21">
        <f t="shared" si="5"/>
        <v>0.62756250011638504</v>
      </c>
      <c r="J12" s="21">
        <f t="shared" si="5"/>
        <v>0.50783429249382483</v>
      </c>
      <c r="K12" s="21">
        <f t="shared" si="5"/>
        <v>0.6436014569578552</v>
      </c>
      <c r="L12" s="21">
        <f t="shared" si="5"/>
        <v>0.5415545868142535</v>
      </c>
      <c r="M12" s="21">
        <f t="shared" si="5"/>
        <v>0.49178321799776481</v>
      </c>
      <c r="N12" s="21">
        <f t="shared" si="5"/>
        <v>0.6939352762358878</v>
      </c>
      <c r="O12" s="21">
        <f t="shared" si="5"/>
        <v>0.59788232129300689</v>
      </c>
      <c r="P12" s="21">
        <f t="shared" si="5"/>
        <v>0.65488228158062534</v>
      </c>
      <c r="Q12" s="21">
        <f t="shared" si="5"/>
        <v>0.50077061970711478</v>
      </c>
      <c r="R12" s="21">
        <f t="shared" si="5"/>
        <v>0.61651976599580771</v>
      </c>
      <c r="S12" s="21">
        <f t="shared" si="5"/>
        <v>0.58347699434862166</v>
      </c>
      <c r="T12" s="21">
        <f t="shared" si="5"/>
        <v>0.51018470947226668</v>
      </c>
      <c r="U12" s="21">
        <f t="shared" si="5"/>
        <v>0.72251349414176336</v>
      </c>
      <c r="V12" s="21">
        <f t="shared" si="5"/>
        <v>0.57182177594125605</v>
      </c>
      <c r="W12" s="21">
        <f t="shared" si="5"/>
        <v>0.52461633526855467</v>
      </c>
      <c r="X12" s="21">
        <f t="shared" si="5"/>
        <v>0.58432208556430454</v>
      </c>
      <c r="Y12" s="21">
        <f t="shared" si="5"/>
        <v>0.68032322014375057</v>
      </c>
      <c r="Z12" s="21">
        <f t="shared" si="5"/>
        <v>0.65384160105911904</v>
      </c>
      <c r="AA12" s="21">
        <f t="shared" si="5"/>
        <v>0.71506630408384164</v>
      </c>
      <c r="AB12" s="21">
        <f t="shared" si="5"/>
        <v>0.75476400175443981</v>
      </c>
      <c r="AC12" s="21">
        <f t="shared" ref="AC12:AN12" si="6">$F$2</f>
        <v>0.65557999321707805</v>
      </c>
      <c r="AD12" s="21">
        <f t="shared" si="6"/>
        <v>0.65557999321707805</v>
      </c>
      <c r="AE12" s="21">
        <f t="shared" si="6"/>
        <v>0.65557999321707805</v>
      </c>
      <c r="AF12" s="21">
        <f t="shared" si="6"/>
        <v>0.65557999321707805</v>
      </c>
      <c r="AG12" s="21">
        <f t="shared" si="6"/>
        <v>0.65557999321707805</v>
      </c>
      <c r="AH12" s="21">
        <f t="shared" si="6"/>
        <v>0.65557999321707805</v>
      </c>
      <c r="AI12" s="21">
        <f t="shared" si="6"/>
        <v>0.65557999321707805</v>
      </c>
      <c r="AJ12" s="21">
        <f t="shared" si="6"/>
        <v>0.65557999321707805</v>
      </c>
      <c r="AK12" s="21">
        <f t="shared" si="6"/>
        <v>0.65557999321707805</v>
      </c>
      <c r="AL12" s="21">
        <f t="shared" si="6"/>
        <v>0.65557999321707805</v>
      </c>
      <c r="AM12" s="21">
        <f t="shared" si="6"/>
        <v>0.65557999321707805</v>
      </c>
      <c r="AN12" s="21">
        <f t="shared" si="6"/>
        <v>0.65557999321707805</v>
      </c>
    </row>
    <row r="14" spans="1:40" x14ac:dyDescent="0.35">
      <c r="B14" s="6" t="s">
        <v>49</v>
      </c>
    </row>
    <row r="15" spans="1:40" x14ac:dyDescent="0.35">
      <c r="C15" s="6" t="s">
        <v>31</v>
      </c>
    </row>
    <row r="16" spans="1:40" x14ac:dyDescent="0.35">
      <c r="D16" t="s">
        <v>38</v>
      </c>
      <c r="E16">
        <f>SUMIFS(
general_ledger!$D:$D,
general_ledger!$C:$C,Forecast!$D16,
general_ledger!$B:$B,"&gt;="&amp;Forecast!E$7,
general_ledger!$B:$B,"&lt;"&amp;EDATE(Forecast!E$7,1)
)</f>
        <v>48.28</v>
      </c>
      <c r="F16">
        <f>SUMIFS(
general_ledger!$D:$D,
general_ledger!$C:$C,Forecast!$D16,
general_ledger!$B:$B,"&gt;="&amp;Forecast!F$7,
general_ledger!$B:$B,"&lt;"&amp;EDATE(Forecast!F$7,1)
)</f>
        <v>48.28</v>
      </c>
      <c r="G16">
        <f>SUMIFS(
general_ledger!$D:$D,
general_ledger!$C:$C,Forecast!$D16,
general_ledger!$B:$B,"&gt;="&amp;Forecast!G$7,
general_ledger!$B:$B,"&lt;"&amp;EDATE(Forecast!G$7,1)
)</f>
        <v>48.28</v>
      </c>
      <c r="H16">
        <f>SUMIFS(
general_ledger!$D:$D,
general_ledger!$C:$C,Forecast!$D16,
general_ledger!$B:$B,"&gt;="&amp;Forecast!H$7,
general_ledger!$B:$B,"&lt;"&amp;EDATE(Forecast!H$7,1)
)</f>
        <v>48.28</v>
      </c>
      <c r="I16">
        <f>SUMIFS(
general_ledger!$D:$D,
general_ledger!$C:$C,Forecast!$D16,
general_ledger!$B:$B,"&gt;="&amp;Forecast!I$7,
general_ledger!$B:$B,"&lt;"&amp;EDATE(Forecast!I$7,1)
)</f>
        <v>48.28</v>
      </c>
      <c r="J16">
        <f>SUMIFS(
general_ledger!$D:$D,
general_ledger!$C:$C,Forecast!$D16,
general_ledger!$B:$B,"&gt;="&amp;Forecast!J$7,
general_ledger!$B:$B,"&lt;"&amp;EDATE(Forecast!J$7,1)
)</f>
        <v>48.28</v>
      </c>
      <c r="K16">
        <f>SUMIFS(
general_ledger!$D:$D,
general_ledger!$C:$C,Forecast!$D16,
general_ledger!$B:$B,"&gt;="&amp;Forecast!K$7,
general_ledger!$B:$B,"&lt;"&amp;EDATE(Forecast!K$7,1)
)</f>
        <v>48.28</v>
      </c>
      <c r="L16">
        <f>SUMIFS(
general_ledger!$D:$D,
general_ledger!$C:$C,Forecast!$D16,
general_ledger!$B:$B,"&gt;="&amp;Forecast!L$7,
general_ledger!$B:$B,"&lt;"&amp;EDATE(Forecast!L$7,1)
)</f>
        <v>48.28</v>
      </c>
      <c r="M16">
        <f>SUMIFS(
general_ledger!$D:$D,
general_ledger!$C:$C,Forecast!$D16,
general_ledger!$B:$B,"&gt;="&amp;Forecast!M$7,
general_ledger!$B:$B,"&lt;"&amp;EDATE(Forecast!M$7,1)
)</f>
        <v>48.28</v>
      </c>
      <c r="N16">
        <f>SUMIFS(
general_ledger!$D:$D,
general_ledger!$C:$C,Forecast!$D16,
general_ledger!$B:$B,"&gt;="&amp;Forecast!N$7,
general_ledger!$B:$B,"&lt;"&amp;EDATE(Forecast!N$7,1)
)</f>
        <v>48.28</v>
      </c>
      <c r="O16">
        <f>SUMIFS(
general_ledger!$D:$D,
general_ledger!$C:$C,Forecast!$D16,
general_ledger!$B:$B,"&gt;="&amp;Forecast!O$7,
general_ledger!$B:$B,"&lt;"&amp;EDATE(Forecast!O$7,1)
)</f>
        <v>48.28</v>
      </c>
      <c r="P16">
        <f>SUMIFS(
general_ledger!$D:$D,
general_ledger!$C:$C,Forecast!$D16,
general_ledger!$B:$B,"&gt;="&amp;Forecast!P$7,
general_ledger!$B:$B,"&lt;"&amp;EDATE(Forecast!P$7,1)
)</f>
        <v>48.28</v>
      </c>
      <c r="Q16">
        <f>SUMIFS(
general_ledger!$D:$D,
general_ledger!$C:$C,Forecast!$D16,
general_ledger!$B:$B,"&gt;="&amp;Forecast!Q$7,
general_ledger!$B:$B,"&lt;"&amp;EDATE(Forecast!Q$7,1)
)</f>
        <v>48.28</v>
      </c>
      <c r="R16">
        <f>SUMIFS(
general_ledger!$D:$D,
general_ledger!$C:$C,Forecast!$D16,
general_ledger!$B:$B,"&gt;="&amp;Forecast!R$7,
general_ledger!$B:$B,"&lt;"&amp;EDATE(Forecast!R$7,1)
)</f>
        <v>48.28</v>
      </c>
      <c r="S16">
        <f>SUMIFS(
general_ledger!$D:$D,
general_ledger!$C:$C,Forecast!$D16,
general_ledger!$B:$B,"&gt;="&amp;Forecast!S$7,
general_ledger!$B:$B,"&lt;"&amp;EDATE(Forecast!S$7,1)
)</f>
        <v>48.28</v>
      </c>
      <c r="T16">
        <f>SUMIFS(
general_ledger!$D:$D,
general_ledger!$C:$C,Forecast!$D16,
general_ledger!$B:$B,"&gt;="&amp;Forecast!T$7,
general_ledger!$B:$B,"&lt;"&amp;EDATE(Forecast!T$7,1)
)</f>
        <v>48.28</v>
      </c>
      <c r="U16">
        <f>SUMIFS(
general_ledger!$D:$D,
general_ledger!$C:$C,Forecast!$D16,
general_ledger!$B:$B,"&gt;="&amp;Forecast!U$7,
general_ledger!$B:$B,"&lt;"&amp;EDATE(Forecast!U$7,1)
)</f>
        <v>48.28</v>
      </c>
      <c r="V16">
        <f>SUMIFS(
general_ledger!$D:$D,
general_ledger!$C:$C,Forecast!$D16,
general_ledger!$B:$B,"&gt;="&amp;Forecast!V$7,
general_ledger!$B:$B,"&lt;"&amp;EDATE(Forecast!V$7,1)
)</f>
        <v>48.28</v>
      </c>
      <c r="W16">
        <f>SUMIFS(
general_ledger!$D:$D,
general_ledger!$C:$C,Forecast!$D16,
general_ledger!$B:$B,"&gt;="&amp;Forecast!W$7,
general_ledger!$B:$B,"&lt;"&amp;EDATE(Forecast!W$7,1)
)</f>
        <v>48.28</v>
      </c>
      <c r="X16">
        <f>SUMIFS(
general_ledger!$D:$D,
general_ledger!$C:$C,Forecast!$D16,
general_ledger!$B:$B,"&gt;="&amp;Forecast!X$7,
general_ledger!$B:$B,"&lt;"&amp;EDATE(Forecast!X$7,1)
)</f>
        <v>48.28</v>
      </c>
      <c r="Y16">
        <f>SUMIFS(
general_ledger!$D:$D,
general_ledger!$C:$C,Forecast!$D16,
general_ledger!$B:$B,"&gt;="&amp;Forecast!Y$7,
general_ledger!$B:$B,"&lt;"&amp;EDATE(Forecast!Y$7,1)
)</f>
        <v>48.28</v>
      </c>
      <c r="Z16">
        <f>SUMIFS(
general_ledger!$D:$D,
general_ledger!$C:$C,Forecast!$D16,
general_ledger!$B:$B,"&gt;="&amp;Forecast!Z$7,
general_ledger!$B:$B,"&lt;"&amp;EDATE(Forecast!Z$7,1)
)</f>
        <v>48.28</v>
      </c>
      <c r="AA16">
        <f>SUMIFS(
general_ledger!$D:$D,
general_ledger!$C:$C,Forecast!$D16,
general_ledger!$B:$B,"&gt;="&amp;Forecast!AA$7,
general_ledger!$B:$B,"&lt;"&amp;EDATE(Forecast!AA$7,1)
)</f>
        <v>48.28</v>
      </c>
      <c r="AB16">
        <f>SUMIFS(
general_ledger!$D:$D,
general_ledger!$C:$C,Forecast!$D16,
general_ledger!$B:$B,"&gt;="&amp;Forecast!AB$7,
general_ledger!$B:$B,"&lt;"&amp;EDATE(Forecast!AB$7,1)
)</f>
        <v>48.28</v>
      </c>
    </row>
    <row r="17" spans="1:40" x14ac:dyDescent="0.35">
      <c r="D17" t="s">
        <v>40</v>
      </c>
      <c r="E17">
        <f>SUMIFS(
general_ledger!$D:$D,
general_ledger!$C:$C,Forecast!$D17,
general_ledger!$B:$B,"&gt;="&amp;Forecast!E$7,
general_ledger!$B:$B,"&lt;"&amp;EDATE(Forecast!E$7,1)
)</f>
        <v>232.19</v>
      </c>
      <c r="F17">
        <f>SUMIFS(
general_ledger!$D:$D,
general_ledger!$C:$C,Forecast!$D17,
general_ledger!$B:$B,"&gt;="&amp;Forecast!F$7,
general_ledger!$B:$B,"&lt;"&amp;EDATE(Forecast!F$7,1)
)</f>
        <v>232.19</v>
      </c>
      <c r="G17">
        <f>SUMIFS(
general_ledger!$D:$D,
general_ledger!$C:$C,Forecast!$D17,
general_ledger!$B:$B,"&gt;="&amp;Forecast!G$7,
general_ledger!$B:$B,"&lt;"&amp;EDATE(Forecast!G$7,1)
)</f>
        <v>232.19</v>
      </c>
      <c r="H17">
        <f>SUMIFS(
general_ledger!$D:$D,
general_ledger!$C:$C,Forecast!$D17,
general_ledger!$B:$B,"&gt;="&amp;Forecast!H$7,
general_ledger!$B:$B,"&lt;"&amp;EDATE(Forecast!H$7,1)
)</f>
        <v>232.19</v>
      </c>
      <c r="I17">
        <f>SUMIFS(
general_ledger!$D:$D,
general_ledger!$C:$C,Forecast!$D17,
general_ledger!$B:$B,"&gt;="&amp;Forecast!I$7,
general_ledger!$B:$B,"&lt;"&amp;EDATE(Forecast!I$7,1)
)</f>
        <v>232.19</v>
      </c>
      <c r="J17">
        <f>SUMIFS(
general_ledger!$D:$D,
general_ledger!$C:$C,Forecast!$D17,
general_ledger!$B:$B,"&gt;="&amp;Forecast!J$7,
general_ledger!$B:$B,"&lt;"&amp;EDATE(Forecast!J$7,1)
)</f>
        <v>232.19</v>
      </c>
      <c r="K17">
        <f>SUMIFS(
general_ledger!$D:$D,
general_ledger!$C:$C,Forecast!$D17,
general_ledger!$B:$B,"&gt;="&amp;Forecast!K$7,
general_ledger!$B:$B,"&lt;"&amp;EDATE(Forecast!K$7,1)
)</f>
        <v>232.19</v>
      </c>
      <c r="L17">
        <f>SUMIFS(
general_ledger!$D:$D,
general_ledger!$C:$C,Forecast!$D17,
general_ledger!$B:$B,"&gt;="&amp;Forecast!L$7,
general_ledger!$B:$B,"&lt;"&amp;EDATE(Forecast!L$7,1)
)</f>
        <v>232.19</v>
      </c>
      <c r="M17">
        <f>SUMIFS(
general_ledger!$D:$D,
general_ledger!$C:$C,Forecast!$D17,
general_ledger!$B:$B,"&gt;="&amp;Forecast!M$7,
general_ledger!$B:$B,"&lt;"&amp;EDATE(Forecast!M$7,1)
)</f>
        <v>232.19</v>
      </c>
      <c r="N17">
        <f>SUMIFS(
general_ledger!$D:$D,
general_ledger!$C:$C,Forecast!$D17,
general_ledger!$B:$B,"&gt;="&amp;Forecast!N$7,
general_ledger!$B:$B,"&lt;"&amp;EDATE(Forecast!N$7,1)
)</f>
        <v>232.19</v>
      </c>
      <c r="O17">
        <f>SUMIFS(
general_ledger!$D:$D,
general_ledger!$C:$C,Forecast!$D17,
general_ledger!$B:$B,"&gt;="&amp;Forecast!O$7,
general_ledger!$B:$B,"&lt;"&amp;EDATE(Forecast!O$7,1)
)</f>
        <v>232.19</v>
      </c>
      <c r="P17">
        <f>SUMIFS(
general_ledger!$D:$D,
general_ledger!$C:$C,Forecast!$D17,
general_ledger!$B:$B,"&gt;="&amp;Forecast!P$7,
general_ledger!$B:$B,"&lt;"&amp;EDATE(Forecast!P$7,1)
)</f>
        <v>232.19</v>
      </c>
      <c r="Q17">
        <f>SUMIFS(
general_ledger!$D:$D,
general_ledger!$C:$C,Forecast!$D17,
general_ledger!$B:$B,"&gt;="&amp;Forecast!Q$7,
general_ledger!$B:$B,"&lt;"&amp;EDATE(Forecast!Q$7,1)
)</f>
        <v>232.19</v>
      </c>
      <c r="R17">
        <f>SUMIFS(
general_ledger!$D:$D,
general_ledger!$C:$C,Forecast!$D17,
general_ledger!$B:$B,"&gt;="&amp;Forecast!R$7,
general_ledger!$B:$B,"&lt;"&amp;EDATE(Forecast!R$7,1)
)</f>
        <v>232.19</v>
      </c>
      <c r="S17">
        <f>SUMIFS(
general_ledger!$D:$D,
general_ledger!$C:$C,Forecast!$D17,
general_ledger!$B:$B,"&gt;="&amp;Forecast!S$7,
general_ledger!$B:$B,"&lt;"&amp;EDATE(Forecast!S$7,1)
)</f>
        <v>232.19</v>
      </c>
      <c r="T17">
        <f>SUMIFS(
general_ledger!$D:$D,
general_ledger!$C:$C,Forecast!$D17,
general_ledger!$B:$B,"&gt;="&amp;Forecast!T$7,
general_ledger!$B:$B,"&lt;"&amp;EDATE(Forecast!T$7,1)
)</f>
        <v>232.19</v>
      </c>
      <c r="U17">
        <f>SUMIFS(
general_ledger!$D:$D,
general_ledger!$C:$C,Forecast!$D17,
general_ledger!$B:$B,"&gt;="&amp;Forecast!U$7,
general_ledger!$B:$B,"&lt;"&amp;EDATE(Forecast!U$7,1)
)</f>
        <v>232.19</v>
      </c>
      <c r="V17">
        <f>SUMIFS(
general_ledger!$D:$D,
general_ledger!$C:$C,Forecast!$D17,
general_ledger!$B:$B,"&gt;="&amp;Forecast!V$7,
general_ledger!$B:$B,"&lt;"&amp;EDATE(Forecast!V$7,1)
)</f>
        <v>232.19</v>
      </c>
      <c r="W17">
        <f>SUMIFS(
general_ledger!$D:$D,
general_ledger!$C:$C,Forecast!$D17,
general_ledger!$B:$B,"&gt;="&amp;Forecast!W$7,
general_ledger!$B:$B,"&lt;"&amp;EDATE(Forecast!W$7,1)
)</f>
        <v>232.19</v>
      </c>
      <c r="X17">
        <f>SUMIFS(
general_ledger!$D:$D,
general_ledger!$C:$C,Forecast!$D17,
general_ledger!$B:$B,"&gt;="&amp;Forecast!X$7,
general_ledger!$B:$B,"&lt;"&amp;EDATE(Forecast!X$7,1)
)</f>
        <v>232.19</v>
      </c>
      <c r="Y17">
        <f>SUMIFS(
general_ledger!$D:$D,
general_ledger!$C:$C,Forecast!$D17,
general_ledger!$B:$B,"&gt;="&amp;Forecast!Y$7,
general_ledger!$B:$B,"&lt;"&amp;EDATE(Forecast!Y$7,1)
)</f>
        <v>232.19</v>
      </c>
      <c r="Z17">
        <f>SUMIFS(
general_ledger!$D:$D,
general_ledger!$C:$C,Forecast!$D17,
general_ledger!$B:$B,"&gt;="&amp;Forecast!Z$7,
general_ledger!$B:$B,"&lt;"&amp;EDATE(Forecast!Z$7,1)
)</f>
        <v>232.19</v>
      </c>
      <c r="AA17">
        <f>SUMIFS(
general_ledger!$D:$D,
general_ledger!$C:$C,Forecast!$D17,
general_ledger!$B:$B,"&gt;="&amp;Forecast!AA$7,
general_ledger!$B:$B,"&lt;"&amp;EDATE(Forecast!AA$7,1)
)</f>
        <v>232.19</v>
      </c>
      <c r="AB17">
        <f>SUMIFS(
general_ledger!$D:$D,
general_ledger!$C:$C,Forecast!$D17,
general_ledger!$B:$B,"&gt;="&amp;Forecast!AB$7,
general_ledger!$B:$B,"&lt;"&amp;EDATE(Forecast!AB$7,1)
)</f>
        <v>232.19</v>
      </c>
    </row>
    <row r="18" spans="1:40" x14ac:dyDescent="0.35">
      <c r="D18" t="s">
        <v>37</v>
      </c>
      <c r="E18">
        <f>SUMIFS(
general_ledger!$D:$D,
general_ledger!$C:$C,Forecast!$D18,
general_ledger!$B:$B,"&gt;="&amp;Forecast!E$7,
general_ledger!$B:$B,"&lt;"&amp;EDATE(Forecast!E$7,1)
)</f>
        <v>76.8</v>
      </c>
      <c r="F18">
        <f>SUMIFS(
general_ledger!$D:$D,
general_ledger!$C:$C,Forecast!$D18,
general_ledger!$B:$B,"&gt;="&amp;Forecast!F$7,
general_ledger!$B:$B,"&lt;"&amp;EDATE(Forecast!F$7,1)
)</f>
        <v>76.8</v>
      </c>
      <c r="G18">
        <f>SUMIFS(
general_ledger!$D:$D,
general_ledger!$C:$C,Forecast!$D18,
general_ledger!$B:$B,"&gt;="&amp;Forecast!G$7,
general_ledger!$B:$B,"&lt;"&amp;EDATE(Forecast!G$7,1)
)</f>
        <v>76.8</v>
      </c>
      <c r="H18">
        <f>SUMIFS(
general_ledger!$D:$D,
general_ledger!$C:$C,Forecast!$D18,
general_ledger!$B:$B,"&gt;="&amp;Forecast!H$7,
general_ledger!$B:$B,"&lt;"&amp;EDATE(Forecast!H$7,1)
)</f>
        <v>76.8</v>
      </c>
      <c r="I18">
        <f>SUMIFS(
general_ledger!$D:$D,
general_ledger!$C:$C,Forecast!$D18,
general_ledger!$B:$B,"&gt;="&amp;Forecast!I$7,
general_ledger!$B:$B,"&lt;"&amp;EDATE(Forecast!I$7,1)
)</f>
        <v>76.8</v>
      </c>
      <c r="J18">
        <f>SUMIFS(
general_ledger!$D:$D,
general_ledger!$C:$C,Forecast!$D18,
general_ledger!$B:$B,"&gt;="&amp;Forecast!J$7,
general_ledger!$B:$B,"&lt;"&amp;EDATE(Forecast!J$7,1)
)</f>
        <v>76.8</v>
      </c>
      <c r="K18">
        <f>SUMIFS(
general_ledger!$D:$D,
general_ledger!$C:$C,Forecast!$D18,
general_ledger!$B:$B,"&gt;="&amp;Forecast!K$7,
general_ledger!$B:$B,"&lt;"&amp;EDATE(Forecast!K$7,1)
)</f>
        <v>76.8</v>
      </c>
      <c r="L18">
        <f>SUMIFS(
general_ledger!$D:$D,
general_ledger!$C:$C,Forecast!$D18,
general_ledger!$B:$B,"&gt;="&amp;Forecast!L$7,
general_ledger!$B:$B,"&lt;"&amp;EDATE(Forecast!L$7,1)
)</f>
        <v>76.8</v>
      </c>
      <c r="M18">
        <f>SUMIFS(
general_ledger!$D:$D,
general_ledger!$C:$C,Forecast!$D18,
general_ledger!$B:$B,"&gt;="&amp;Forecast!M$7,
general_ledger!$B:$B,"&lt;"&amp;EDATE(Forecast!M$7,1)
)</f>
        <v>76.8</v>
      </c>
      <c r="N18">
        <f>SUMIFS(
general_ledger!$D:$D,
general_ledger!$C:$C,Forecast!$D18,
general_ledger!$B:$B,"&gt;="&amp;Forecast!N$7,
general_ledger!$B:$B,"&lt;"&amp;EDATE(Forecast!N$7,1)
)</f>
        <v>76.8</v>
      </c>
      <c r="O18">
        <f>SUMIFS(
general_ledger!$D:$D,
general_ledger!$C:$C,Forecast!$D18,
general_ledger!$B:$B,"&gt;="&amp;Forecast!O$7,
general_ledger!$B:$B,"&lt;"&amp;EDATE(Forecast!O$7,1)
)</f>
        <v>76.8</v>
      </c>
      <c r="P18">
        <f>SUMIFS(
general_ledger!$D:$D,
general_ledger!$C:$C,Forecast!$D18,
general_ledger!$B:$B,"&gt;="&amp;Forecast!P$7,
general_ledger!$B:$B,"&lt;"&amp;EDATE(Forecast!P$7,1)
)</f>
        <v>76.8</v>
      </c>
      <c r="Q18">
        <f>SUMIFS(
general_ledger!$D:$D,
general_ledger!$C:$C,Forecast!$D18,
general_ledger!$B:$B,"&gt;="&amp;Forecast!Q$7,
general_ledger!$B:$B,"&lt;"&amp;EDATE(Forecast!Q$7,1)
)</f>
        <v>76.8</v>
      </c>
      <c r="R18">
        <f>SUMIFS(
general_ledger!$D:$D,
general_ledger!$C:$C,Forecast!$D18,
general_ledger!$B:$B,"&gt;="&amp;Forecast!R$7,
general_ledger!$B:$B,"&lt;"&amp;EDATE(Forecast!R$7,1)
)</f>
        <v>76.8</v>
      </c>
      <c r="S18">
        <f>SUMIFS(
general_ledger!$D:$D,
general_ledger!$C:$C,Forecast!$D18,
general_ledger!$B:$B,"&gt;="&amp;Forecast!S$7,
general_ledger!$B:$B,"&lt;"&amp;EDATE(Forecast!S$7,1)
)</f>
        <v>76.8</v>
      </c>
      <c r="T18">
        <f>SUMIFS(
general_ledger!$D:$D,
general_ledger!$C:$C,Forecast!$D18,
general_ledger!$B:$B,"&gt;="&amp;Forecast!T$7,
general_ledger!$B:$B,"&lt;"&amp;EDATE(Forecast!T$7,1)
)</f>
        <v>76.8</v>
      </c>
      <c r="U18">
        <f>SUMIFS(
general_ledger!$D:$D,
general_ledger!$C:$C,Forecast!$D18,
general_ledger!$B:$B,"&gt;="&amp;Forecast!U$7,
general_ledger!$B:$B,"&lt;"&amp;EDATE(Forecast!U$7,1)
)</f>
        <v>76.8</v>
      </c>
      <c r="V18">
        <f>SUMIFS(
general_ledger!$D:$D,
general_ledger!$C:$C,Forecast!$D18,
general_ledger!$B:$B,"&gt;="&amp;Forecast!V$7,
general_ledger!$B:$B,"&lt;"&amp;EDATE(Forecast!V$7,1)
)</f>
        <v>76.8</v>
      </c>
      <c r="W18">
        <f>SUMIFS(
general_ledger!$D:$D,
general_ledger!$C:$C,Forecast!$D18,
general_ledger!$B:$B,"&gt;="&amp;Forecast!W$7,
general_ledger!$B:$B,"&lt;"&amp;EDATE(Forecast!W$7,1)
)</f>
        <v>76.8</v>
      </c>
      <c r="X18">
        <f>SUMIFS(
general_ledger!$D:$D,
general_ledger!$C:$C,Forecast!$D18,
general_ledger!$B:$B,"&gt;="&amp;Forecast!X$7,
general_ledger!$B:$B,"&lt;"&amp;EDATE(Forecast!X$7,1)
)</f>
        <v>76.8</v>
      </c>
      <c r="Y18">
        <f>SUMIFS(
general_ledger!$D:$D,
general_ledger!$C:$C,Forecast!$D18,
general_ledger!$B:$B,"&gt;="&amp;Forecast!Y$7,
general_ledger!$B:$B,"&lt;"&amp;EDATE(Forecast!Y$7,1)
)</f>
        <v>76.8</v>
      </c>
      <c r="Z18">
        <f>SUMIFS(
general_ledger!$D:$D,
general_ledger!$C:$C,Forecast!$D18,
general_ledger!$B:$B,"&gt;="&amp;Forecast!Z$7,
general_ledger!$B:$B,"&lt;"&amp;EDATE(Forecast!Z$7,1)
)</f>
        <v>76.8</v>
      </c>
      <c r="AA18">
        <f>SUMIFS(
general_ledger!$D:$D,
general_ledger!$C:$C,Forecast!$D18,
general_ledger!$B:$B,"&gt;="&amp;Forecast!AA$7,
general_ledger!$B:$B,"&lt;"&amp;EDATE(Forecast!AA$7,1)
)</f>
        <v>76.8</v>
      </c>
      <c r="AB18">
        <f>SUMIFS(
general_ledger!$D:$D,
general_ledger!$C:$C,Forecast!$D18,
general_ledger!$B:$B,"&gt;="&amp;Forecast!AB$7,
general_ledger!$B:$B,"&lt;"&amp;EDATE(Forecast!AB$7,1)
)</f>
        <v>76.8</v>
      </c>
    </row>
    <row r="19" spans="1:40" x14ac:dyDescent="0.35">
      <c r="D19" t="s">
        <v>33</v>
      </c>
      <c r="E19">
        <f>SUMIFS(
general_ledger!$D:$D,
general_ledger!$C:$C,Forecast!$D19,
general_ledger!$B:$B,"&gt;="&amp;Forecast!E$7,
general_ledger!$B:$B,"&lt;"&amp;EDATE(Forecast!E$7,1)
)</f>
        <v>76.86</v>
      </c>
      <c r="F19">
        <f>SUMIFS(
general_ledger!$D:$D,
general_ledger!$C:$C,Forecast!$D19,
general_ledger!$B:$B,"&gt;="&amp;Forecast!F$7,
general_ledger!$B:$B,"&lt;"&amp;EDATE(Forecast!F$7,1)
)</f>
        <v>76.86</v>
      </c>
      <c r="G19">
        <f>SUMIFS(
general_ledger!$D:$D,
general_ledger!$C:$C,Forecast!$D19,
general_ledger!$B:$B,"&gt;="&amp;Forecast!G$7,
general_ledger!$B:$B,"&lt;"&amp;EDATE(Forecast!G$7,1)
)</f>
        <v>76.86</v>
      </c>
      <c r="H19">
        <f>SUMIFS(
general_ledger!$D:$D,
general_ledger!$C:$C,Forecast!$D19,
general_ledger!$B:$B,"&gt;="&amp;Forecast!H$7,
general_ledger!$B:$B,"&lt;"&amp;EDATE(Forecast!H$7,1)
)</f>
        <v>76.86</v>
      </c>
      <c r="I19">
        <f>SUMIFS(
general_ledger!$D:$D,
general_ledger!$C:$C,Forecast!$D19,
general_ledger!$B:$B,"&gt;="&amp;Forecast!I$7,
general_ledger!$B:$B,"&lt;"&amp;EDATE(Forecast!I$7,1)
)</f>
        <v>76.86</v>
      </c>
      <c r="J19">
        <f>SUMIFS(
general_ledger!$D:$D,
general_ledger!$C:$C,Forecast!$D19,
general_ledger!$B:$B,"&gt;="&amp;Forecast!J$7,
general_ledger!$B:$B,"&lt;"&amp;EDATE(Forecast!J$7,1)
)</f>
        <v>76.86</v>
      </c>
      <c r="K19">
        <f>SUMIFS(
general_ledger!$D:$D,
general_ledger!$C:$C,Forecast!$D19,
general_ledger!$B:$B,"&gt;="&amp;Forecast!K$7,
general_ledger!$B:$B,"&lt;"&amp;EDATE(Forecast!K$7,1)
)</f>
        <v>76.86</v>
      </c>
      <c r="L19">
        <f>SUMIFS(
general_ledger!$D:$D,
general_ledger!$C:$C,Forecast!$D19,
general_ledger!$B:$B,"&gt;="&amp;Forecast!L$7,
general_ledger!$B:$B,"&lt;"&amp;EDATE(Forecast!L$7,1)
)</f>
        <v>76.86</v>
      </c>
      <c r="M19">
        <f>SUMIFS(
general_ledger!$D:$D,
general_ledger!$C:$C,Forecast!$D19,
general_ledger!$B:$B,"&gt;="&amp;Forecast!M$7,
general_ledger!$B:$B,"&lt;"&amp;EDATE(Forecast!M$7,1)
)</f>
        <v>76.86</v>
      </c>
      <c r="N19">
        <f>SUMIFS(
general_ledger!$D:$D,
general_ledger!$C:$C,Forecast!$D19,
general_ledger!$B:$B,"&gt;="&amp;Forecast!N$7,
general_ledger!$B:$B,"&lt;"&amp;EDATE(Forecast!N$7,1)
)</f>
        <v>76.86</v>
      </c>
      <c r="O19">
        <f>SUMIFS(
general_ledger!$D:$D,
general_ledger!$C:$C,Forecast!$D19,
general_ledger!$B:$B,"&gt;="&amp;Forecast!O$7,
general_ledger!$B:$B,"&lt;"&amp;EDATE(Forecast!O$7,1)
)</f>
        <v>76.86</v>
      </c>
      <c r="P19">
        <f>SUMIFS(
general_ledger!$D:$D,
general_ledger!$C:$C,Forecast!$D19,
general_ledger!$B:$B,"&gt;="&amp;Forecast!P$7,
general_ledger!$B:$B,"&lt;"&amp;EDATE(Forecast!P$7,1)
)</f>
        <v>76.86</v>
      </c>
      <c r="Q19">
        <f>SUMIFS(
general_ledger!$D:$D,
general_ledger!$C:$C,Forecast!$D19,
general_ledger!$B:$B,"&gt;="&amp;Forecast!Q$7,
general_ledger!$B:$B,"&lt;"&amp;EDATE(Forecast!Q$7,1)
)</f>
        <v>76.86</v>
      </c>
      <c r="R19">
        <f>SUMIFS(
general_ledger!$D:$D,
general_ledger!$C:$C,Forecast!$D19,
general_ledger!$B:$B,"&gt;="&amp;Forecast!R$7,
general_ledger!$B:$B,"&lt;"&amp;EDATE(Forecast!R$7,1)
)</f>
        <v>76.86</v>
      </c>
      <c r="S19">
        <f>SUMIFS(
general_ledger!$D:$D,
general_ledger!$C:$C,Forecast!$D19,
general_ledger!$B:$B,"&gt;="&amp;Forecast!S$7,
general_ledger!$B:$B,"&lt;"&amp;EDATE(Forecast!S$7,1)
)</f>
        <v>76.86</v>
      </c>
      <c r="T19">
        <f>SUMIFS(
general_ledger!$D:$D,
general_ledger!$C:$C,Forecast!$D19,
general_ledger!$B:$B,"&gt;="&amp;Forecast!T$7,
general_ledger!$B:$B,"&lt;"&amp;EDATE(Forecast!T$7,1)
)</f>
        <v>76.86</v>
      </c>
      <c r="U19">
        <f>SUMIFS(
general_ledger!$D:$D,
general_ledger!$C:$C,Forecast!$D19,
general_ledger!$B:$B,"&gt;="&amp;Forecast!U$7,
general_ledger!$B:$B,"&lt;"&amp;EDATE(Forecast!U$7,1)
)</f>
        <v>76.86</v>
      </c>
      <c r="V19">
        <f>SUMIFS(
general_ledger!$D:$D,
general_ledger!$C:$C,Forecast!$D19,
general_ledger!$B:$B,"&gt;="&amp;Forecast!V$7,
general_ledger!$B:$B,"&lt;"&amp;EDATE(Forecast!V$7,1)
)</f>
        <v>76.86</v>
      </c>
      <c r="W19">
        <f>SUMIFS(
general_ledger!$D:$D,
general_ledger!$C:$C,Forecast!$D19,
general_ledger!$B:$B,"&gt;="&amp;Forecast!W$7,
general_ledger!$B:$B,"&lt;"&amp;EDATE(Forecast!W$7,1)
)</f>
        <v>76.86</v>
      </c>
      <c r="X19">
        <f>SUMIFS(
general_ledger!$D:$D,
general_ledger!$C:$C,Forecast!$D19,
general_ledger!$B:$B,"&gt;="&amp;Forecast!X$7,
general_ledger!$B:$B,"&lt;"&amp;EDATE(Forecast!X$7,1)
)</f>
        <v>76.86</v>
      </c>
      <c r="Y19">
        <f>SUMIFS(
general_ledger!$D:$D,
general_ledger!$C:$C,Forecast!$D19,
general_ledger!$B:$B,"&gt;="&amp;Forecast!Y$7,
general_ledger!$B:$B,"&lt;"&amp;EDATE(Forecast!Y$7,1)
)</f>
        <v>76.86</v>
      </c>
      <c r="Z19">
        <f>SUMIFS(
general_ledger!$D:$D,
general_ledger!$C:$C,Forecast!$D19,
general_ledger!$B:$B,"&gt;="&amp;Forecast!Z$7,
general_ledger!$B:$B,"&lt;"&amp;EDATE(Forecast!Z$7,1)
)</f>
        <v>0.04</v>
      </c>
      <c r="AA19">
        <f>SUMIFS(
general_ledger!$D:$D,
general_ledger!$C:$C,Forecast!$D19,
general_ledger!$B:$B,"&gt;="&amp;Forecast!AA$7,
general_ledger!$B:$B,"&lt;"&amp;EDATE(Forecast!AA$7,1)
)</f>
        <v>0</v>
      </c>
      <c r="AB19">
        <f>SUMIFS(
general_ledger!$D:$D,
general_ledger!$C:$C,Forecast!$D19,
general_ledger!$B:$B,"&gt;="&amp;Forecast!AB$7,
general_ledger!$B:$B,"&lt;"&amp;EDATE(Forecast!AB$7,1)
)</f>
        <v>0</v>
      </c>
    </row>
    <row r="20" spans="1:40" x14ac:dyDescent="0.35">
      <c r="D20" t="s">
        <v>30</v>
      </c>
      <c r="E20">
        <f>SUMIFS(
general_ledger!$D:$D,
general_ledger!$C:$C,Forecast!$D20,
general_ledger!$B:$B,"&gt;="&amp;Forecast!E$7,
general_ledger!$B:$B,"&lt;"&amp;EDATE(Forecast!E$7,1)
)</f>
        <v>93.61</v>
      </c>
      <c r="F20">
        <f>SUMIFS(
general_ledger!$D:$D,
general_ledger!$C:$C,Forecast!$D20,
general_ledger!$B:$B,"&gt;="&amp;Forecast!F$7,
general_ledger!$B:$B,"&lt;"&amp;EDATE(Forecast!F$7,1)
)</f>
        <v>93.61</v>
      </c>
      <c r="G20">
        <f>SUMIFS(
general_ledger!$D:$D,
general_ledger!$C:$C,Forecast!$D20,
general_ledger!$B:$B,"&gt;="&amp;Forecast!G$7,
general_ledger!$B:$B,"&lt;"&amp;EDATE(Forecast!G$7,1)
)</f>
        <v>93.61</v>
      </c>
      <c r="H20">
        <f>SUMIFS(
general_ledger!$D:$D,
general_ledger!$C:$C,Forecast!$D20,
general_ledger!$B:$B,"&gt;="&amp;Forecast!H$7,
general_ledger!$B:$B,"&lt;"&amp;EDATE(Forecast!H$7,1)
)</f>
        <v>93.61</v>
      </c>
      <c r="I20">
        <f>SUMIFS(
general_ledger!$D:$D,
general_ledger!$C:$C,Forecast!$D20,
general_ledger!$B:$B,"&gt;="&amp;Forecast!I$7,
general_ledger!$B:$B,"&lt;"&amp;EDATE(Forecast!I$7,1)
)</f>
        <v>93.61</v>
      </c>
      <c r="J20">
        <f>SUMIFS(
general_ledger!$D:$D,
general_ledger!$C:$C,Forecast!$D20,
general_ledger!$B:$B,"&gt;="&amp;Forecast!J$7,
general_ledger!$B:$B,"&lt;"&amp;EDATE(Forecast!J$7,1)
)</f>
        <v>93.61</v>
      </c>
      <c r="K20">
        <f>SUMIFS(
general_ledger!$D:$D,
general_ledger!$C:$C,Forecast!$D20,
general_ledger!$B:$B,"&gt;="&amp;Forecast!K$7,
general_ledger!$B:$B,"&lt;"&amp;EDATE(Forecast!K$7,1)
)</f>
        <v>93.61</v>
      </c>
      <c r="L20">
        <f>SUMIFS(
general_ledger!$D:$D,
general_ledger!$C:$C,Forecast!$D20,
general_ledger!$B:$B,"&gt;="&amp;Forecast!L$7,
general_ledger!$B:$B,"&lt;"&amp;EDATE(Forecast!L$7,1)
)</f>
        <v>93.61</v>
      </c>
      <c r="M20">
        <f>SUMIFS(
general_ledger!$D:$D,
general_ledger!$C:$C,Forecast!$D20,
general_ledger!$B:$B,"&gt;="&amp;Forecast!M$7,
general_ledger!$B:$B,"&lt;"&amp;EDATE(Forecast!M$7,1)
)</f>
        <v>93.61</v>
      </c>
      <c r="N20">
        <f>SUMIFS(
general_ledger!$D:$D,
general_ledger!$C:$C,Forecast!$D20,
general_ledger!$B:$B,"&gt;="&amp;Forecast!N$7,
general_ledger!$B:$B,"&lt;"&amp;EDATE(Forecast!N$7,1)
)</f>
        <v>93.61</v>
      </c>
      <c r="O20">
        <f>SUMIFS(
general_ledger!$D:$D,
general_ledger!$C:$C,Forecast!$D20,
general_ledger!$B:$B,"&gt;="&amp;Forecast!O$7,
general_ledger!$B:$B,"&lt;"&amp;EDATE(Forecast!O$7,1)
)</f>
        <v>93.61</v>
      </c>
      <c r="P20">
        <f>SUMIFS(
general_ledger!$D:$D,
general_ledger!$C:$C,Forecast!$D20,
general_ledger!$B:$B,"&gt;="&amp;Forecast!P$7,
general_ledger!$B:$B,"&lt;"&amp;EDATE(Forecast!P$7,1)
)</f>
        <v>93.61</v>
      </c>
      <c r="Q20">
        <f>SUMIFS(
general_ledger!$D:$D,
general_ledger!$C:$C,Forecast!$D20,
general_ledger!$B:$B,"&gt;="&amp;Forecast!Q$7,
general_ledger!$B:$B,"&lt;"&amp;EDATE(Forecast!Q$7,1)
)</f>
        <v>93.61</v>
      </c>
      <c r="R20">
        <f>SUMIFS(
general_ledger!$D:$D,
general_ledger!$C:$C,Forecast!$D20,
general_ledger!$B:$B,"&gt;="&amp;Forecast!R$7,
general_ledger!$B:$B,"&lt;"&amp;EDATE(Forecast!R$7,1)
)</f>
        <v>93.61</v>
      </c>
      <c r="S20">
        <f>SUMIFS(
general_ledger!$D:$D,
general_ledger!$C:$C,Forecast!$D20,
general_ledger!$B:$B,"&gt;="&amp;Forecast!S$7,
general_ledger!$B:$B,"&lt;"&amp;EDATE(Forecast!S$7,1)
)</f>
        <v>93.61</v>
      </c>
      <c r="T20">
        <f>SUMIFS(
general_ledger!$D:$D,
general_ledger!$C:$C,Forecast!$D20,
general_ledger!$B:$B,"&gt;="&amp;Forecast!T$7,
general_ledger!$B:$B,"&lt;"&amp;EDATE(Forecast!T$7,1)
)</f>
        <v>93.61</v>
      </c>
      <c r="U20">
        <f>SUMIFS(
general_ledger!$D:$D,
general_ledger!$C:$C,Forecast!$D20,
general_ledger!$B:$B,"&gt;="&amp;Forecast!U$7,
general_ledger!$B:$B,"&lt;"&amp;EDATE(Forecast!U$7,1)
)</f>
        <v>93.61</v>
      </c>
      <c r="V20">
        <f>SUMIFS(
general_ledger!$D:$D,
general_ledger!$C:$C,Forecast!$D20,
general_ledger!$B:$B,"&gt;="&amp;Forecast!V$7,
general_ledger!$B:$B,"&lt;"&amp;EDATE(Forecast!V$7,1)
)</f>
        <v>93.61</v>
      </c>
      <c r="W20">
        <f>SUMIFS(
general_ledger!$D:$D,
general_ledger!$C:$C,Forecast!$D20,
general_ledger!$B:$B,"&gt;="&amp;Forecast!W$7,
general_ledger!$B:$B,"&lt;"&amp;EDATE(Forecast!W$7,1)
)</f>
        <v>93.61</v>
      </c>
      <c r="X20">
        <f>SUMIFS(
general_ledger!$D:$D,
general_ledger!$C:$C,Forecast!$D20,
general_ledger!$B:$B,"&gt;="&amp;Forecast!X$7,
general_ledger!$B:$B,"&lt;"&amp;EDATE(Forecast!X$7,1)
)</f>
        <v>93.61</v>
      </c>
      <c r="Y20">
        <f>SUMIFS(
general_ledger!$D:$D,
general_ledger!$C:$C,Forecast!$D20,
general_ledger!$B:$B,"&gt;="&amp;Forecast!Y$7,
general_ledger!$B:$B,"&lt;"&amp;EDATE(Forecast!Y$7,1)
)</f>
        <v>93.61</v>
      </c>
      <c r="Z20">
        <f>SUMIFS(
general_ledger!$D:$D,
general_ledger!$C:$C,Forecast!$D20,
general_ledger!$B:$B,"&gt;="&amp;Forecast!Z$7,
general_ledger!$B:$B,"&lt;"&amp;EDATE(Forecast!Z$7,1)
)</f>
        <v>93.37</v>
      </c>
      <c r="AA20">
        <f>SUMIFS(
general_ledger!$D:$D,
general_ledger!$C:$C,Forecast!$D20,
general_ledger!$B:$B,"&gt;="&amp;Forecast!AA$7,
general_ledger!$B:$B,"&lt;"&amp;EDATE(Forecast!AA$7,1)
)</f>
        <v>0</v>
      </c>
      <c r="AB20">
        <f>SUMIFS(
general_ledger!$D:$D,
general_ledger!$C:$C,Forecast!$D20,
general_ledger!$B:$B,"&gt;="&amp;Forecast!AB$7,
general_ledger!$B:$B,"&lt;"&amp;EDATE(Forecast!AB$7,1)
)</f>
        <v>0</v>
      </c>
    </row>
    <row r="21" spans="1:40" x14ac:dyDescent="0.35">
      <c r="D21" t="s">
        <v>34</v>
      </c>
      <c r="E21">
        <f>SUMIFS(
general_ledger!$D:$D,
general_ledger!$C:$C,Forecast!$D21,
general_ledger!$B:$B,"&gt;="&amp;Forecast!E$7,
general_ledger!$B:$B,"&lt;"&amp;EDATE(Forecast!E$7,1)
)</f>
        <v>20.03</v>
      </c>
      <c r="F21">
        <f>SUMIFS(
general_ledger!$D:$D,
general_ledger!$C:$C,Forecast!$D21,
general_ledger!$B:$B,"&gt;="&amp;Forecast!F$7,
general_ledger!$B:$B,"&lt;"&amp;EDATE(Forecast!F$7,1)
)</f>
        <v>20.03</v>
      </c>
      <c r="G21">
        <f>SUMIFS(
general_ledger!$D:$D,
general_ledger!$C:$C,Forecast!$D21,
general_ledger!$B:$B,"&gt;="&amp;Forecast!G$7,
general_ledger!$B:$B,"&lt;"&amp;EDATE(Forecast!G$7,1)
)</f>
        <v>20.03</v>
      </c>
      <c r="H21">
        <f>SUMIFS(
general_ledger!$D:$D,
general_ledger!$C:$C,Forecast!$D21,
general_ledger!$B:$B,"&gt;="&amp;Forecast!H$7,
general_ledger!$B:$B,"&lt;"&amp;EDATE(Forecast!H$7,1)
)</f>
        <v>20.03</v>
      </c>
      <c r="I21">
        <f>SUMIFS(
general_ledger!$D:$D,
general_ledger!$C:$C,Forecast!$D21,
general_ledger!$B:$B,"&gt;="&amp;Forecast!I$7,
general_ledger!$B:$B,"&lt;"&amp;EDATE(Forecast!I$7,1)
)</f>
        <v>20.03</v>
      </c>
      <c r="J21">
        <f>SUMIFS(
general_ledger!$D:$D,
general_ledger!$C:$C,Forecast!$D21,
general_ledger!$B:$B,"&gt;="&amp;Forecast!J$7,
general_ledger!$B:$B,"&lt;"&amp;EDATE(Forecast!J$7,1)
)</f>
        <v>20.03</v>
      </c>
      <c r="K21">
        <f>SUMIFS(
general_ledger!$D:$D,
general_ledger!$C:$C,Forecast!$D21,
general_ledger!$B:$B,"&gt;="&amp;Forecast!K$7,
general_ledger!$B:$B,"&lt;"&amp;EDATE(Forecast!K$7,1)
)</f>
        <v>20.03</v>
      </c>
      <c r="L21">
        <f>SUMIFS(
general_ledger!$D:$D,
general_ledger!$C:$C,Forecast!$D21,
general_ledger!$B:$B,"&gt;="&amp;Forecast!L$7,
general_ledger!$B:$B,"&lt;"&amp;EDATE(Forecast!L$7,1)
)</f>
        <v>20.03</v>
      </c>
      <c r="M21">
        <f>SUMIFS(
general_ledger!$D:$D,
general_ledger!$C:$C,Forecast!$D21,
general_ledger!$B:$B,"&gt;="&amp;Forecast!M$7,
general_ledger!$B:$B,"&lt;"&amp;EDATE(Forecast!M$7,1)
)</f>
        <v>20.03</v>
      </c>
      <c r="N21">
        <f>SUMIFS(
general_ledger!$D:$D,
general_ledger!$C:$C,Forecast!$D21,
general_ledger!$B:$B,"&gt;="&amp;Forecast!N$7,
general_ledger!$B:$B,"&lt;"&amp;EDATE(Forecast!N$7,1)
)</f>
        <v>20.03</v>
      </c>
      <c r="O21">
        <f>SUMIFS(
general_ledger!$D:$D,
general_ledger!$C:$C,Forecast!$D21,
general_ledger!$B:$B,"&gt;="&amp;Forecast!O$7,
general_ledger!$B:$B,"&lt;"&amp;EDATE(Forecast!O$7,1)
)</f>
        <v>20.03</v>
      </c>
      <c r="P21">
        <f>SUMIFS(
general_ledger!$D:$D,
general_ledger!$C:$C,Forecast!$D21,
general_ledger!$B:$B,"&gt;="&amp;Forecast!P$7,
general_ledger!$B:$B,"&lt;"&amp;EDATE(Forecast!P$7,1)
)</f>
        <v>20.03</v>
      </c>
      <c r="Q21">
        <f>SUMIFS(
general_ledger!$D:$D,
general_ledger!$C:$C,Forecast!$D21,
general_ledger!$B:$B,"&gt;="&amp;Forecast!Q$7,
general_ledger!$B:$B,"&lt;"&amp;EDATE(Forecast!Q$7,1)
)</f>
        <v>20.03</v>
      </c>
      <c r="R21">
        <f>SUMIFS(
general_ledger!$D:$D,
general_ledger!$C:$C,Forecast!$D21,
general_ledger!$B:$B,"&gt;="&amp;Forecast!R$7,
general_ledger!$B:$B,"&lt;"&amp;EDATE(Forecast!R$7,1)
)</f>
        <v>20.03</v>
      </c>
      <c r="S21">
        <f>SUMIFS(
general_ledger!$D:$D,
general_ledger!$C:$C,Forecast!$D21,
general_ledger!$B:$B,"&gt;="&amp;Forecast!S$7,
general_ledger!$B:$B,"&lt;"&amp;EDATE(Forecast!S$7,1)
)</f>
        <v>20.03</v>
      </c>
      <c r="T21">
        <f>SUMIFS(
general_ledger!$D:$D,
general_ledger!$C:$C,Forecast!$D21,
general_ledger!$B:$B,"&gt;="&amp;Forecast!T$7,
general_ledger!$B:$B,"&lt;"&amp;EDATE(Forecast!T$7,1)
)</f>
        <v>20.03</v>
      </c>
      <c r="U21">
        <f>SUMIFS(
general_ledger!$D:$D,
general_ledger!$C:$C,Forecast!$D21,
general_ledger!$B:$B,"&gt;="&amp;Forecast!U$7,
general_ledger!$B:$B,"&lt;"&amp;EDATE(Forecast!U$7,1)
)</f>
        <v>20.03</v>
      </c>
      <c r="V21">
        <f>SUMIFS(
general_ledger!$D:$D,
general_ledger!$C:$C,Forecast!$D21,
general_ledger!$B:$B,"&gt;="&amp;Forecast!V$7,
general_ledger!$B:$B,"&lt;"&amp;EDATE(Forecast!V$7,1)
)</f>
        <v>20.03</v>
      </c>
      <c r="W21">
        <f>SUMIFS(
general_ledger!$D:$D,
general_ledger!$C:$C,Forecast!$D21,
general_ledger!$B:$B,"&gt;="&amp;Forecast!W$7,
general_ledger!$B:$B,"&lt;"&amp;EDATE(Forecast!W$7,1)
)</f>
        <v>20.03</v>
      </c>
      <c r="X21">
        <f>SUMIFS(
general_ledger!$D:$D,
general_ledger!$C:$C,Forecast!$D21,
general_ledger!$B:$B,"&gt;="&amp;Forecast!X$7,
general_ledger!$B:$B,"&lt;"&amp;EDATE(Forecast!X$7,1)
)</f>
        <v>20.03</v>
      </c>
      <c r="Y21">
        <f>SUMIFS(
general_ledger!$D:$D,
general_ledger!$C:$C,Forecast!$D21,
general_ledger!$B:$B,"&gt;="&amp;Forecast!Y$7,
general_ledger!$B:$B,"&lt;"&amp;EDATE(Forecast!Y$7,1)
)</f>
        <v>20.03</v>
      </c>
      <c r="Z21">
        <f>SUMIFS(
general_ledger!$D:$D,
general_ledger!$C:$C,Forecast!$D21,
general_ledger!$B:$B,"&gt;="&amp;Forecast!Z$7,
general_ledger!$B:$B,"&lt;"&amp;EDATE(Forecast!Z$7,1)
)</f>
        <v>20.03</v>
      </c>
      <c r="AA21">
        <f>SUMIFS(
general_ledger!$D:$D,
general_ledger!$C:$C,Forecast!$D21,
general_ledger!$B:$B,"&gt;="&amp;Forecast!AA$7,
general_ledger!$B:$B,"&lt;"&amp;EDATE(Forecast!AA$7,1)
)</f>
        <v>20.03</v>
      </c>
      <c r="AB21">
        <f>SUMIFS(
general_ledger!$D:$D,
general_ledger!$C:$C,Forecast!$D21,
general_ledger!$B:$B,"&gt;="&amp;Forecast!AB$7,
general_ledger!$B:$B,"&lt;"&amp;EDATE(Forecast!AB$7,1)
)</f>
        <v>20.03</v>
      </c>
    </row>
    <row r="22" spans="1:40" x14ac:dyDescent="0.35">
      <c r="D22" t="s">
        <v>42</v>
      </c>
      <c r="E22">
        <f>SUMIFS(
general_ledger!$D:$D,
general_ledger!$C:$C,Forecast!$D22,
general_ledger!$B:$B,"&gt;="&amp;Forecast!E$7,
general_ledger!$B:$B,"&lt;"&amp;EDATE(Forecast!E$7,1)
)</f>
        <v>43.85</v>
      </c>
      <c r="F22">
        <f>SUMIFS(
general_ledger!$D:$D,
general_ledger!$C:$C,Forecast!$D22,
general_ledger!$B:$B,"&gt;="&amp;Forecast!F$7,
general_ledger!$B:$B,"&lt;"&amp;EDATE(Forecast!F$7,1)
)</f>
        <v>43.85</v>
      </c>
      <c r="G22">
        <f>SUMIFS(
general_ledger!$D:$D,
general_ledger!$C:$C,Forecast!$D22,
general_ledger!$B:$B,"&gt;="&amp;Forecast!G$7,
general_ledger!$B:$B,"&lt;"&amp;EDATE(Forecast!G$7,1)
)</f>
        <v>43.85</v>
      </c>
      <c r="H22">
        <f>SUMIFS(
general_ledger!$D:$D,
general_ledger!$C:$C,Forecast!$D22,
general_ledger!$B:$B,"&gt;="&amp;Forecast!H$7,
general_ledger!$B:$B,"&lt;"&amp;EDATE(Forecast!H$7,1)
)</f>
        <v>43.85</v>
      </c>
      <c r="I22">
        <f>SUMIFS(
general_ledger!$D:$D,
general_ledger!$C:$C,Forecast!$D22,
general_ledger!$B:$B,"&gt;="&amp;Forecast!I$7,
general_ledger!$B:$B,"&lt;"&amp;EDATE(Forecast!I$7,1)
)</f>
        <v>43.85</v>
      </c>
      <c r="J22">
        <f>SUMIFS(
general_ledger!$D:$D,
general_ledger!$C:$C,Forecast!$D22,
general_ledger!$B:$B,"&gt;="&amp;Forecast!J$7,
general_ledger!$B:$B,"&lt;"&amp;EDATE(Forecast!J$7,1)
)</f>
        <v>43.85</v>
      </c>
      <c r="K22">
        <f>SUMIFS(
general_ledger!$D:$D,
general_ledger!$C:$C,Forecast!$D22,
general_ledger!$B:$B,"&gt;="&amp;Forecast!K$7,
general_ledger!$B:$B,"&lt;"&amp;EDATE(Forecast!K$7,1)
)</f>
        <v>43.85</v>
      </c>
      <c r="L22">
        <f>SUMIFS(
general_ledger!$D:$D,
general_ledger!$C:$C,Forecast!$D22,
general_ledger!$B:$B,"&gt;="&amp;Forecast!L$7,
general_ledger!$B:$B,"&lt;"&amp;EDATE(Forecast!L$7,1)
)</f>
        <v>43.85</v>
      </c>
      <c r="M22">
        <f>SUMIFS(
general_ledger!$D:$D,
general_ledger!$C:$C,Forecast!$D22,
general_ledger!$B:$B,"&gt;="&amp;Forecast!M$7,
general_ledger!$B:$B,"&lt;"&amp;EDATE(Forecast!M$7,1)
)</f>
        <v>43.85</v>
      </c>
      <c r="N22">
        <f>SUMIFS(
general_ledger!$D:$D,
general_ledger!$C:$C,Forecast!$D22,
general_ledger!$B:$B,"&gt;="&amp;Forecast!N$7,
general_ledger!$B:$B,"&lt;"&amp;EDATE(Forecast!N$7,1)
)</f>
        <v>43.85</v>
      </c>
      <c r="O22">
        <f>SUMIFS(
general_ledger!$D:$D,
general_ledger!$C:$C,Forecast!$D22,
general_ledger!$B:$B,"&gt;="&amp;Forecast!O$7,
general_ledger!$B:$B,"&lt;"&amp;EDATE(Forecast!O$7,1)
)</f>
        <v>43.85</v>
      </c>
      <c r="P22">
        <f>SUMIFS(
general_ledger!$D:$D,
general_ledger!$C:$C,Forecast!$D22,
general_ledger!$B:$B,"&gt;="&amp;Forecast!P$7,
general_ledger!$B:$B,"&lt;"&amp;EDATE(Forecast!P$7,1)
)</f>
        <v>43.85</v>
      </c>
      <c r="Q22">
        <f>SUMIFS(
general_ledger!$D:$D,
general_ledger!$C:$C,Forecast!$D22,
general_ledger!$B:$B,"&gt;="&amp;Forecast!Q$7,
general_ledger!$B:$B,"&lt;"&amp;EDATE(Forecast!Q$7,1)
)</f>
        <v>43.85</v>
      </c>
      <c r="R22">
        <f>SUMIFS(
general_ledger!$D:$D,
general_ledger!$C:$C,Forecast!$D22,
general_ledger!$B:$B,"&gt;="&amp;Forecast!R$7,
general_ledger!$B:$B,"&lt;"&amp;EDATE(Forecast!R$7,1)
)</f>
        <v>43.85</v>
      </c>
      <c r="S22">
        <f>SUMIFS(
general_ledger!$D:$D,
general_ledger!$C:$C,Forecast!$D22,
general_ledger!$B:$B,"&gt;="&amp;Forecast!S$7,
general_ledger!$B:$B,"&lt;"&amp;EDATE(Forecast!S$7,1)
)</f>
        <v>43.85</v>
      </c>
      <c r="T22">
        <f>SUMIFS(
general_ledger!$D:$D,
general_ledger!$C:$C,Forecast!$D22,
general_ledger!$B:$B,"&gt;="&amp;Forecast!T$7,
general_ledger!$B:$B,"&lt;"&amp;EDATE(Forecast!T$7,1)
)</f>
        <v>43.85</v>
      </c>
      <c r="U22">
        <f>SUMIFS(
general_ledger!$D:$D,
general_ledger!$C:$C,Forecast!$D22,
general_ledger!$B:$B,"&gt;="&amp;Forecast!U$7,
general_ledger!$B:$B,"&lt;"&amp;EDATE(Forecast!U$7,1)
)</f>
        <v>43.85</v>
      </c>
      <c r="V22">
        <f>SUMIFS(
general_ledger!$D:$D,
general_ledger!$C:$C,Forecast!$D22,
general_ledger!$B:$B,"&gt;="&amp;Forecast!V$7,
general_ledger!$B:$B,"&lt;"&amp;EDATE(Forecast!V$7,1)
)</f>
        <v>43.85</v>
      </c>
      <c r="W22">
        <f>SUMIFS(
general_ledger!$D:$D,
general_ledger!$C:$C,Forecast!$D22,
general_ledger!$B:$B,"&gt;="&amp;Forecast!W$7,
general_ledger!$B:$B,"&lt;"&amp;EDATE(Forecast!W$7,1)
)</f>
        <v>43.85</v>
      </c>
      <c r="X22">
        <f>SUMIFS(
general_ledger!$D:$D,
general_ledger!$C:$C,Forecast!$D22,
general_ledger!$B:$B,"&gt;="&amp;Forecast!X$7,
general_ledger!$B:$B,"&lt;"&amp;EDATE(Forecast!X$7,1)
)</f>
        <v>43.85</v>
      </c>
      <c r="Y22">
        <f>SUMIFS(
general_ledger!$D:$D,
general_ledger!$C:$C,Forecast!$D22,
general_ledger!$B:$B,"&gt;="&amp;Forecast!Y$7,
general_ledger!$B:$B,"&lt;"&amp;EDATE(Forecast!Y$7,1)
)</f>
        <v>43.85</v>
      </c>
      <c r="Z22">
        <f>SUMIFS(
general_ledger!$D:$D,
general_ledger!$C:$C,Forecast!$D22,
general_ledger!$B:$B,"&gt;="&amp;Forecast!Z$7,
general_ledger!$B:$B,"&lt;"&amp;EDATE(Forecast!Z$7,1)
)</f>
        <v>43.85</v>
      </c>
      <c r="AA22">
        <f>SUMIFS(
general_ledger!$D:$D,
general_ledger!$C:$C,Forecast!$D22,
general_ledger!$B:$B,"&gt;="&amp;Forecast!AA$7,
general_ledger!$B:$B,"&lt;"&amp;EDATE(Forecast!AA$7,1)
)</f>
        <v>43.85</v>
      </c>
      <c r="AB22">
        <f>SUMIFS(
general_ledger!$D:$D,
general_ledger!$C:$C,Forecast!$D22,
general_ledger!$B:$B,"&gt;="&amp;Forecast!AB$7,
general_ledger!$B:$B,"&lt;"&amp;EDATE(Forecast!AB$7,1)
)</f>
        <v>43.85</v>
      </c>
    </row>
    <row r="23" spans="1:40" x14ac:dyDescent="0.35">
      <c r="D23" t="s">
        <v>35</v>
      </c>
      <c r="E23">
        <f>SUMIFS(
general_ledger!$D:$D,
general_ledger!$C:$C,Forecast!$D23,
general_ledger!$B:$B,"&gt;="&amp;Forecast!E$7,
general_ledger!$B:$B,"&lt;"&amp;EDATE(Forecast!E$7,1)
)</f>
        <v>86.89</v>
      </c>
      <c r="F23">
        <f>SUMIFS(
general_ledger!$D:$D,
general_ledger!$C:$C,Forecast!$D23,
general_ledger!$B:$B,"&gt;="&amp;Forecast!F$7,
general_ledger!$B:$B,"&lt;"&amp;EDATE(Forecast!F$7,1)
)</f>
        <v>86.89</v>
      </c>
      <c r="G23">
        <f>SUMIFS(
general_ledger!$D:$D,
general_ledger!$C:$C,Forecast!$D23,
general_ledger!$B:$B,"&gt;="&amp;Forecast!G$7,
general_ledger!$B:$B,"&lt;"&amp;EDATE(Forecast!G$7,1)
)</f>
        <v>86.89</v>
      </c>
      <c r="H23">
        <f>SUMIFS(
general_ledger!$D:$D,
general_ledger!$C:$C,Forecast!$D23,
general_ledger!$B:$B,"&gt;="&amp;Forecast!H$7,
general_ledger!$B:$B,"&lt;"&amp;EDATE(Forecast!H$7,1)
)</f>
        <v>86.89</v>
      </c>
      <c r="I23">
        <f>SUMIFS(
general_ledger!$D:$D,
general_ledger!$C:$C,Forecast!$D23,
general_ledger!$B:$B,"&gt;="&amp;Forecast!I$7,
general_ledger!$B:$B,"&lt;"&amp;EDATE(Forecast!I$7,1)
)</f>
        <v>86.89</v>
      </c>
      <c r="J23">
        <f>SUMIFS(
general_ledger!$D:$D,
general_ledger!$C:$C,Forecast!$D23,
general_ledger!$B:$B,"&gt;="&amp;Forecast!J$7,
general_ledger!$B:$B,"&lt;"&amp;EDATE(Forecast!J$7,1)
)</f>
        <v>86.89</v>
      </c>
      <c r="K23">
        <f>SUMIFS(
general_ledger!$D:$D,
general_ledger!$C:$C,Forecast!$D23,
general_ledger!$B:$B,"&gt;="&amp;Forecast!K$7,
general_ledger!$B:$B,"&lt;"&amp;EDATE(Forecast!K$7,1)
)</f>
        <v>86.89</v>
      </c>
      <c r="L23">
        <f>SUMIFS(
general_ledger!$D:$D,
general_ledger!$C:$C,Forecast!$D23,
general_ledger!$B:$B,"&gt;="&amp;Forecast!L$7,
general_ledger!$B:$B,"&lt;"&amp;EDATE(Forecast!L$7,1)
)</f>
        <v>86.89</v>
      </c>
      <c r="M23">
        <f>SUMIFS(
general_ledger!$D:$D,
general_ledger!$C:$C,Forecast!$D23,
general_ledger!$B:$B,"&gt;="&amp;Forecast!M$7,
general_ledger!$B:$B,"&lt;"&amp;EDATE(Forecast!M$7,1)
)</f>
        <v>86.89</v>
      </c>
      <c r="N23">
        <f>SUMIFS(
general_ledger!$D:$D,
general_ledger!$C:$C,Forecast!$D23,
general_ledger!$B:$B,"&gt;="&amp;Forecast!N$7,
general_ledger!$B:$B,"&lt;"&amp;EDATE(Forecast!N$7,1)
)</f>
        <v>86.89</v>
      </c>
      <c r="O23">
        <f>SUMIFS(
general_ledger!$D:$D,
general_ledger!$C:$C,Forecast!$D23,
general_ledger!$B:$B,"&gt;="&amp;Forecast!O$7,
general_ledger!$B:$B,"&lt;"&amp;EDATE(Forecast!O$7,1)
)</f>
        <v>86.89</v>
      </c>
      <c r="P23">
        <f>SUMIFS(
general_ledger!$D:$D,
general_ledger!$C:$C,Forecast!$D23,
general_ledger!$B:$B,"&gt;="&amp;Forecast!P$7,
general_ledger!$B:$B,"&lt;"&amp;EDATE(Forecast!P$7,1)
)</f>
        <v>86.89</v>
      </c>
      <c r="Q23">
        <f>SUMIFS(
general_ledger!$D:$D,
general_ledger!$C:$C,Forecast!$D23,
general_ledger!$B:$B,"&gt;="&amp;Forecast!Q$7,
general_ledger!$B:$B,"&lt;"&amp;EDATE(Forecast!Q$7,1)
)</f>
        <v>86.89</v>
      </c>
      <c r="R23">
        <f>SUMIFS(
general_ledger!$D:$D,
general_ledger!$C:$C,Forecast!$D23,
general_ledger!$B:$B,"&gt;="&amp;Forecast!R$7,
general_ledger!$B:$B,"&lt;"&amp;EDATE(Forecast!R$7,1)
)</f>
        <v>86.89</v>
      </c>
      <c r="S23">
        <f>SUMIFS(
general_ledger!$D:$D,
general_ledger!$C:$C,Forecast!$D23,
general_ledger!$B:$B,"&gt;="&amp;Forecast!S$7,
general_ledger!$B:$B,"&lt;"&amp;EDATE(Forecast!S$7,1)
)</f>
        <v>86.89</v>
      </c>
      <c r="T23">
        <f>SUMIFS(
general_ledger!$D:$D,
general_ledger!$C:$C,Forecast!$D23,
general_ledger!$B:$B,"&gt;="&amp;Forecast!T$7,
general_ledger!$B:$B,"&lt;"&amp;EDATE(Forecast!T$7,1)
)</f>
        <v>86.89</v>
      </c>
      <c r="U23">
        <f>SUMIFS(
general_ledger!$D:$D,
general_ledger!$C:$C,Forecast!$D23,
general_ledger!$B:$B,"&gt;="&amp;Forecast!U$7,
general_ledger!$B:$B,"&lt;"&amp;EDATE(Forecast!U$7,1)
)</f>
        <v>86.89</v>
      </c>
      <c r="V23">
        <f>SUMIFS(
general_ledger!$D:$D,
general_ledger!$C:$C,Forecast!$D23,
general_ledger!$B:$B,"&gt;="&amp;Forecast!V$7,
general_ledger!$B:$B,"&lt;"&amp;EDATE(Forecast!V$7,1)
)</f>
        <v>86.89</v>
      </c>
      <c r="W23">
        <f>SUMIFS(
general_ledger!$D:$D,
general_ledger!$C:$C,Forecast!$D23,
general_ledger!$B:$B,"&gt;="&amp;Forecast!W$7,
general_ledger!$B:$B,"&lt;"&amp;EDATE(Forecast!W$7,1)
)</f>
        <v>86.89</v>
      </c>
      <c r="X23">
        <f>SUMIFS(
general_ledger!$D:$D,
general_ledger!$C:$C,Forecast!$D23,
general_ledger!$B:$B,"&gt;="&amp;Forecast!X$7,
general_ledger!$B:$B,"&lt;"&amp;EDATE(Forecast!X$7,1)
)</f>
        <v>86.89</v>
      </c>
      <c r="Y23">
        <f>SUMIFS(
general_ledger!$D:$D,
general_ledger!$C:$C,Forecast!$D23,
general_ledger!$B:$B,"&gt;="&amp;Forecast!Y$7,
general_ledger!$B:$B,"&lt;"&amp;EDATE(Forecast!Y$7,1)
)</f>
        <v>86.89</v>
      </c>
      <c r="Z23">
        <f>SUMIFS(
general_ledger!$D:$D,
general_ledger!$C:$C,Forecast!$D23,
general_ledger!$B:$B,"&gt;="&amp;Forecast!Z$7,
general_ledger!$B:$B,"&lt;"&amp;EDATE(Forecast!Z$7,1)
)</f>
        <v>86.89</v>
      </c>
      <c r="AA23">
        <f>SUMIFS(
general_ledger!$D:$D,
general_ledger!$C:$C,Forecast!$D23,
general_ledger!$B:$B,"&gt;="&amp;Forecast!AA$7,
general_ledger!$B:$B,"&lt;"&amp;EDATE(Forecast!AA$7,1)
)</f>
        <v>86.89</v>
      </c>
      <c r="AB23">
        <f>SUMIFS(
general_ledger!$D:$D,
general_ledger!$C:$C,Forecast!$D23,
general_ledger!$B:$B,"&gt;="&amp;Forecast!AB$7,
general_ledger!$B:$B,"&lt;"&amp;EDATE(Forecast!AB$7,1)
)</f>
        <v>86.89</v>
      </c>
    </row>
    <row r="24" spans="1:40" x14ac:dyDescent="0.35">
      <c r="D24" t="s">
        <v>39</v>
      </c>
      <c r="E24">
        <f>SUMIFS(
general_ledger!$D:$D,
general_ledger!$C:$C,Forecast!$D24,
general_ledger!$B:$B,"&gt;="&amp;Forecast!E$7,
general_ledger!$B:$B,"&lt;"&amp;EDATE(Forecast!E$7,1)
)</f>
        <v>53.21</v>
      </c>
      <c r="F24">
        <f>SUMIFS(
general_ledger!$D:$D,
general_ledger!$C:$C,Forecast!$D24,
general_ledger!$B:$B,"&gt;="&amp;Forecast!F$7,
general_ledger!$B:$B,"&lt;"&amp;EDATE(Forecast!F$7,1)
)</f>
        <v>53.21</v>
      </c>
      <c r="G24">
        <f>SUMIFS(
general_ledger!$D:$D,
general_ledger!$C:$C,Forecast!$D24,
general_ledger!$B:$B,"&gt;="&amp;Forecast!G$7,
general_ledger!$B:$B,"&lt;"&amp;EDATE(Forecast!G$7,1)
)</f>
        <v>53.21</v>
      </c>
      <c r="H24">
        <f>SUMIFS(
general_ledger!$D:$D,
general_ledger!$C:$C,Forecast!$D24,
general_ledger!$B:$B,"&gt;="&amp;Forecast!H$7,
general_ledger!$B:$B,"&lt;"&amp;EDATE(Forecast!H$7,1)
)</f>
        <v>53.21</v>
      </c>
      <c r="I24">
        <f>SUMIFS(
general_ledger!$D:$D,
general_ledger!$C:$C,Forecast!$D24,
general_ledger!$B:$B,"&gt;="&amp;Forecast!I$7,
general_ledger!$B:$B,"&lt;"&amp;EDATE(Forecast!I$7,1)
)</f>
        <v>53.21</v>
      </c>
      <c r="J24">
        <f>SUMIFS(
general_ledger!$D:$D,
general_ledger!$C:$C,Forecast!$D24,
general_ledger!$B:$B,"&gt;="&amp;Forecast!J$7,
general_ledger!$B:$B,"&lt;"&amp;EDATE(Forecast!J$7,1)
)</f>
        <v>53.21</v>
      </c>
      <c r="K24">
        <f>SUMIFS(
general_ledger!$D:$D,
general_ledger!$C:$C,Forecast!$D24,
general_ledger!$B:$B,"&gt;="&amp;Forecast!K$7,
general_ledger!$B:$B,"&lt;"&amp;EDATE(Forecast!K$7,1)
)</f>
        <v>53.21</v>
      </c>
      <c r="L24">
        <f>SUMIFS(
general_ledger!$D:$D,
general_ledger!$C:$C,Forecast!$D24,
general_ledger!$B:$B,"&gt;="&amp;Forecast!L$7,
general_ledger!$B:$B,"&lt;"&amp;EDATE(Forecast!L$7,1)
)</f>
        <v>53.21</v>
      </c>
      <c r="M24">
        <f>SUMIFS(
general_ledger!$D:$D,
general_ledger!$C:$C,Forecast!$D24,
general_ledger!$B:$B,"&gt;="&amp;Forecast!M$7,
general_ledger!$B:$B,"&lt;"&amp;EDATE(Forecast!M$7,1)
)</f>
        <v>53.21</v>
      </c>
      <c r="N24">
        <f>SUMIFS(
general_ledger!$D:$D,
general_ledger!$C:$C,Forecast!$D24,
general_ledger!$B:$B,"&gt;="&amp;Forecast!N$7,
general_ledger!$B:$B,"&lt;"&amp;EDATE(Forecast!N$7,1)
)</f>
        <v>53.21</v>
      </c>
      <c r="O24">
        <f>SUMIFS(
general_ledger!$D:$D,
general_ledger!$C:$C,Forecast!$D24,
general_ledger!$B:$B,"&gt;="&amp;Forecast!O$7,
general_ledger!$B:$B,"&lt;"&amp;EDATE(Forecast!O$7,1)
)</f>
        <v>53.21</v>
      </c>
      <c r="P24">
        <f>SUMIFS(
general_ledger!$D:$D,
general_ledger!$C:$C,Forecast!$D24,
general_ledger!$B:$B,"&gt;="&amp;Forecast!P$7,
general_ledger!$B:$B,"&lt;"&amp;EDATE(Forecast!P$7,1)
)</f>
        <v>53.21</v>
      </c>
      <c r="Q24">
        <f>SUMIFS(
general_ledger!$D:$D,
general_ledger!$C:$C,Forecast!$D24,
general_ledger!$B:$B,"&gt;="&amp;Forecast!Q$7,
general_ledger!$B:$B,"&lt;"&amp;EDATE(Forecast!Q$7,1)
)</f>
        <v>53.21</v>
      </c>
      <c r="R24">
        <f>SUMIFS(
general_ledger!$D:$D,
general_ledger!$C:$C,Forecast!$D24,
general_ledger!$B:$B,"&gt;="&amp;Forecast!R$7,
general_ledger!$B:$B,"&lt;"&amp;EDATE(Forecast!R$7,1)
)</f>
        <v>53.21</v>
      </c>
      <c r="S24">
        <f>SUMIFS(
general_ledger!$D:$D,
general_ledger!$C:$C,Forecast!$D24,
general_ledger!$B:$B,"&gt;="&amp;Forecast!S$7,
general_ledger!$B:$B,"&lt;"&amp;EDATE(Forecast!S$7,1)
)</f>
        <v>53.21</v>
      </c>
      <c r="T24">
        <f>SUMIFS(
general_ledger!$D:$D,
general_ledger!$C:$C,Forecast!$D24,
general_ledger!$B:$B,"&gt;="&amp;Forecast!T$7,
general_ledger!$B:$B,"&lt;"&amp;EDATE(Forecast!T$7,1)
)</f>
        <v>53.21</v>
      </c>
      <c r="U24">
        <f>SUMIFS(
general_ledger!$D:$D,
general_ledger!$C:$C,Forecast!$D24,
general_ledger!$B:$B,"&gt;="&amp;Forecast!U$7,
general_ledger!$B:$B,"&lt;"&amp;EDATE(Forecast!U$7,1)
)</f>
        <v>53.21</v>
      </c>
      <c r="V24">
        <f>SUMIFS(
general_ledger!$D:$D,
general_ledger!$C:$C,Forecast!$D24,
general_ledger!$B:$B,"&gt;="&amp;Forecast!V$7,
general_ledger!$B:$B,"&lt;"&amp;EDATE(Forecast!V$7,1)
)</f>
        <v>53.21</v>
      </c>
      <c r="W24">
        <f>SUMIFS(
general_ledger!$D:$D,
general_ledger!$C:$C,Forecast!$D24,
general_ledger!$B:$B,"&gt;="&amp;Forecast!W$7,
general_ledger!$B:$B,"&lt;"&amp;EDATE(Forecast!W$7,1)
)</f>
        <v>53.21</v>
      </c>
      <c r="X24">
        <f>SUMIFS(
general_ledger!$D:$D,
general_ledger!$C:$C,Forecast!$D24,
general_ledger!$B:$B,"&gt;="&amp;Forecast!X$7,
general_ledger!$B:$B,"&lt;"&amp;EDATE(Forecast!X$7,1)
)</f>
        <v>53.21</v>
      </c>
      <c r="Y24">
        <f>SUMIFS(
general_ledger!$D:$D,
general_ledger!$C:$C,Forecast!$D24,
general_ledger!$B:$B,"&gt;="&amp;Forecast!Y$7,
general_ledger!$B:$B,"&lt;"&amp;EDATE(Forecast!Y$7,1)
)</f>
        <v>53.21</v>
      </c>
      <c r="Z24">
        <f>SUMIFS(
general_ledger!$D:$D,
general_ledger!$C:$C,Forecast!$D24,
general_ledger!$B:$B,"&gt;="&amp;Forecast!Z$7,
general_ledger!$B:$B,"&lt;"&amp;EDATE(Forecast!Z$7,1)
)</f>
        <v>53.21</v>
      </c>
      <c r="AA24">
        <f>SUMIFS(
general_ledger!$D:$D,
general_ledger!$C:$C,Forecast!$D24,
general_ledger!$B:$B,"&gt;="&amp;Forecast!AA$7,
general_ledger!$B:$B,"&lt;"&amp;EDATE(Forecast!AA$7,1)
)</f>
        <v>53.21</v>
      </c>
      <c r="AB24">
        <f>SUMIFS(
general_ledger!$D:$D,
general_ledger!$C:$C,Forecast!$D24,
general_ledger!$B:$B,"&gt;="&amp;Forecast!AB$7,
general_ledger!$B:$B,"&lt;"&amp;EDATE(Forecast!AB$7,1)
)</f>
        <v>53.21</v>
      </c>
    </row>
    <row r="25" spans="1:40" x14ac:dyDescent="0.35">
      <c r="C25" t="s">
        <v>31</v>
      </c>
      <c r="E25">
        <f>SUMIFS(
general_ledger!$D:$D,
general_ledger!$F:$F,Forecast!$C25,
general_ledger!$B:$B,"&gt;="&amp;Forecast!E$7,
general_ledger!$B:$B,"&lt;"&amp;EDATE(Forecast!E$7,1)
)</f>
        <v>731.72</v>
      </c>
      <c r="F25">
        <f>SUMIFS(
general_ledger!$D:$D,
general_ledger!$F:$F,Forecast!$C25,
general_ledger!$B:$B,"&gt;="&amp;Forecast!F$7,
general_ledger!$B:$B,"&lt;"&amp;EDATE(Forecast!F$7,1)
)</f>
        <v>731.72</v>
      </c>
      <c r="G25">
        <f>SUMIFS(
general_ledger!$D:$D,
general_ledger!$F:$F,Forecast!$C25,
general_ledger!$B:$B,"&gt;="&amp;Forecast!G$7,
general_ledger!$B:$B,"&lt;"&amp;EDATE(Forecast!G$7,1)
)</f>
        <v>731.72</v>
      </c>
      <c r="H25">
        <f>SUMIFS(
general_ledger!$D:$D,
general_ledger!$F:$F,Forecast!$C25,
general_ledger!$B:$B,"&gt;="&amp;Forecast!H$7,
general_ledger!$B:$B,"&lt;"&amp;EDATE(Forecast!H$7,1)
)</f>
        <v>731.72</v>
      </c>
      <c r="I25">
        <f>SUMIFS(
general_ledger!$D:$D,
general_ledger!$F:$F,Forecast!$C25,
general_ledger!$B:$B,"&gt;="&amp;Forecast!I$7,
general_ledger!$B:$B,"&lt;"&amp;EDATE(Forecast!I$7,1)
)</f>
        <v>731.72</v>
      </c>
      <c r="J25">
        <f>SUMIFS(
general_ledger!$D:$D,
general_ledger!$F:$F,Forecast!$C25,
general_ledger!$B:$B,"&gt;="&amp;Forecast!J$7,
general_ledger!$B:$B,"&lt;"&amp;EDATE(Forecast!J$7,1)
)</f>
        <v>731.72</v>
      </c>
      <c r="K25">
        <f>SUMIFS(
general_ledger!$D:$D,
general_ledger!$F:$F,Forecast!$C25,
general_ledger!$B:$B,"&gt;="&amp;Forecast!K$7,
general_ledger!$B:$B,"&lt;"&amp;EDATE(Forecast!K$7,1)
)</f>
        <v>731.72</v>
      </c>
      <c r="L25">
        <f>SUMIFS(
general_ledger!$D:$D,
general_ledger!$F:$F,Forecast!$C25,
general_ledger!$B:$B,"&gt;="&amp;Forecast!L$7,
general_ledger!$B:$B,"&lt;"&amp;EDATE(Forecast!L$7,1)
)</f>
        <v>731.72</v>
      </c>
      <c r="M25">
        <f>SUMIFS(
general_ledger!$D:$D,
general_ledger!$F:$F,Forecast!$C25,
general_ledger!$B:$B,"&gt;="&amp;Forecast!M$7,
general_ledger!$B:$B,"&lt;"&amp;EDATE(Forecast!M$7,1)
)</f>
        <v>731.72</v>
      </c>
      <c r="N25">
        <f>SUMIFS(
general_ledger!$D:$D,
general_ledger!$F:$F,Forecast!$C25,
general_ledger!$B:$B,"&gt;="&amp;Forecast!N$7,
general_ledger!$B:$B,"&lt;"&amp;EDATE(Forecast!N$7,1)
)</f>
        <v>731.72</v>
      </c>
      <c r="O25">
        <f>SUMIFS(
general_ledger!$D:$D,
general_ledger!$F:$F,Forecast!$C25,
general_ledger!$B:$B,"&gt;="&amp;Forecast!O$7,
general_ledger!$B:$B,"&lt;"&amp;EDATE(Forecast!O$7,1)
)</f>
        <v>731.72</v>
      </c>
      <c r="P25">
        <f>SUMIFS(
general_ledger!$D:$D,
general_ledger!$F:$F,Forecast!$C25,
general_ledger!$B:$B,"&gt;="&amp;Forecast!P$7,
general_ledger!$B:$B,"&lt;"&amp;EDATE(Forecast!P$7,1)
)</f>
        <v>731.72</v>
      </c>
      <c r="Q25">
        <f>SUMIFS(
general_ledger!$D:$D,
general_ledger!$F:$F,Forecast!$C25,
general_ledger!$B:$B,"&gt;="&amp;Forecast!Q$7,
general_ledger!$B:$B,"&lt;"&amp;EDATE(Forecast!Q$7,1)
)</f>
        <v>731.72</v>
      </c>
      <c r="R25">
        <f>SUMIFS(
general_ledger!$D:$D,
general_ledger!$F:$F,Forecast!$C25,
general_ledger!$B:$B,"&gt;="&amp;Forecast!R$7,
general_ledger!$B:$B,"&lt;"&amp;EDATE(Forecast!R$7,1)
)</f>
        <v>731.72</v>
      </c>
      <c r="S25">
        <f>SUMIFS(
general_ledger!$D:$D,
general_ledger!$F:$F,Forecast!$C25,
general_ledger!$B:$B,"&gt;="&amp;Forecast!S$7,
general_ledger!$B:$B,"&lt;"&amp;EDATE(Forecast!S$7,1)
)</f>
        <v>731.72</v>
      </c>
      <c r="T25">
        <f>SUMIFS(
general_ledger!$D:$D,
general_ledger!$F:$F,Forecast!$C25,
general_ledger!$B:$B,"&gt;="&amp;Forecast!T$7,
general_ledger!$B:$B,"&lt;"&amp;EDATE(Forecast!T$7,1)
)</f>
        <v>731.72</v>
      </c>
      <c r="U25">
        <f>SUMIFS(
general_ledger!$D:$D,
general_ledger!$F:$F,Forecast!$C25,
general_ledger!$B:$B,"&gt;="&amp;Forecast!U$7,
general_ledger!$B:$B,"&lt;"&amp;EDATE(Forecast!U$7,1)
)</f>
        <v>731.72</v>
      </c>
      <c r="V25">
        <f>SUMIFS(
general_ledger!$D:$D,
general_ledger!$F:$F,Forecast!$C25,
general_ledger!$B:$B,"&gt;="&amp;Forecast!V$7,
general_ledger!$B:$B,"&lt;"&amp;EDATE(Forecast!V$7,1)
)</f>
        <v>731.72</v>
      </c>
      <c r="W25">
        <f>SUMIFS(
general_ledger!$D:$D,
general_ledger!$F:$F,Forecast!$C25,
general_ledger!$B:$B,"&gt;="&amp;Forecast!W$7,
general_ledger!$B:$B,"&lt;"&amp;EDATE(Forecast!W$7,1)
)</f>
        <v>731.72</v>
      </c>
      <c r="X25">
        <f>SUMIFS(
general_ledger!$D:$D,
general_ledger!$F:$F,Forecast!$C25,
general_ledger!$B:$B,"&gt;="&amp;Forecast!X$7,
general_ledger!$B:$B,"&lt;"&amp;EDATE(Forecast!X$7,1)
)</f>
        <v>731.72</v>
      </c>
      <c r="Y25">
        <f>SUMIFS(
general_ledger!$D:$D,
general_ledger!$F:$F,Forecast!$C25,
general_ledger!$B:$B,"&gt;="&amp;Forecast!Y$7,
general_ledger!$B:$B,"&lt;"&amp;EDATE(Forecast!Y$7,1)
)</f>
        <v>731.72</v>
      </c>
      <c r="Z25">
        <f>SUMIFS(
general_ledger!$D:$D,
general_ledger!$F:$F,Forecast!$C25,
general_ledger!$B:$B,"&gt;="&amp;Forecast!Z$7,
general_ledger!$B:$B,"&lt;"&amp;EDATE(Forecast!Z$7,1)
)</f>
        <v>654.66</v>
      </c>
      <c r="AA25">
        <f>SUMIFS(
general_ledger!$D:$D,
general_ledger!$F:$F,Forecast!$C25,
general_ledger!$B:$B,"&gt;="&amp;Forecast!AA$7,
general_ledger!$B:$B,"&lt;"&amp;EDATE(Forecast!AA$7,1)
)</f>
        <v>561.25</v>
      </c>
      <c r="AB25">
        <f>SUMIFS(
general_ledger!$D:$D,
general_ledger!$F:$F,Forecast!$C25,
general_ledger!$B:$B,"&gt;="&amp;Forecast!AB$7,
general_ledger!$B:$B,"&lt;"&amp;EDATE(Forecast!AB$7,1)
)</f>
        <v>561.25</v>
      </c>
      <c r="AC25">
        <f>_xlfn.FORECAST.ETS(AC$7,$E25:AB25,$E$7:AB$7,)</f>
        <v>631.20711763673023</v>
      </c>
      <c r="AD25">
        <f>_xlfn.FORECAST.ETS(AD$7,$E25:AC25,$E$7:AC$7,)</f>
        <v>626.09166344977257</v>
      </c>
      <c r="AE25">
        <f>_xlfn.FORECAST.ETS(AE$7,$E25:AD25,$E$7:AD$7,)</f>
        <v>638.52424245861494</v>
      </c>
      <c r="AF25">
        <f>_xlfn.FORECAST.ETS(AF$7,$E25:AE25,$E$7:AE$7,)</f>
        <v>633.7092394334984</v>
      </c>
      <c r="AG25">
        <f>_xlfn.FORECAST.ETS(AG$7,$E25:AF25,$E$7:AF$7,)</f>
        <v>631.52456404633028</v>
      </c>
      <c r="AH25">
        <f>_xlfn.FORECAST.ETS(AH$7,$E25:AG25,$E$7:AG$7,)</f>
        <v>626.89233486779892</v>
      </c>
      <c r="AI25">
        <f>_xlfn.FORECAST.ETS(AI$7,$E25:AH25,$E$7:AH$7,)</f>
        <v>622.28321152968647</v>
      </c>
      <c r="AJ25">
        <f>_xlfn.FORECAST.ETS(AJ$7,$E25:AI25,$E$7:AI$7,)</f>
        <v>617.6942969097455</v>
      </c>
      <c r="AK25">
        <f>_xlfn.FORECAST.ETS(AK$7,$E25:AJ25,$E$7:AJ$7,)</f>
        <v>613.02977415289433</v>
      </c>
      <c r="AL25">
        <f>_xlfn.FORECAST.ETS(AL$7,$E25:AK25,$E$7:AK$7,)</f>
        <v>608.07582259806497</v>
      </c>
      <c r="AM25">
        <f>_xlfn.FORECAST.ETS(AM$7,$E25:AL25,$E$7:AL$7,)</f>
        <v>601.44809884504446</v>
      </c>
      <c r="AN25">
        <f>_xlfn.FORECAST.ETS(AN$7,$E25:AM25,$E$7:AM$7,)</f>
        <v>596.71328127957986</v>
      </c>
    </row>
    <row r="27" spans="1:40" x14ac:dyDescent="0.35">
      <c r="C27" t="s">
        <v>19</v>
      </c>
      <c r="E27">
        <f>SUMIFS(
general_ledger!$D:$D,
general_ledger!$F:$F,Forecast!$C27,
general_ledger!$B:$B,"&gt;="&amp;Forecast!E$7,
general_ledger!$B:$B,"&lt;"&amp;EDATE(Forecast!E$7,1)
)</f>
        <v>42762.47</v>
      </c>
      <c r="F27">
        <f>SUMIFS(
general_ledger!$D:$D,
general_ledger!$F:$F,Forecast!$C27,
general_ledger!$B:$B,"&gt;="&amp;Forecast!F$7,
general_ledger!$B:$B,"&lt;"&amp;EDATE(Forecast!F$7,1)
)</f>
        <v>64085.270000000004</v>
      </c>
      <c r="G27">
        <f>SUMIFS(
general_ledger!$D:$D,
general_ledger!$F:$F,Forecast!$C27,
general_ledger!$B:$B,"&gt;="&amp;Forecast!G$7,
general_ledger!$B:$B,"&lt;"&amp;EDATE(Forecast!G$7,1)
)</f>
        <v>42810.03</v>
      </c>
      <c r="H27">
        <f>SUMIFS(
general_ledger!$D:$D,
general_ledger!$F:$F,Forecast!$C27,
general_ledger!$B:$B,"&gt;="&amp;Forecast!H$7,
general_ledger!$B:$B,"&lt;"&amp;EDATE(Forecast!H$7,1)
)</f>
        <v>42842.479999999996</v>
      </c>
      <c r="I27">
        <f>SUMIFS(
general_ledger!$D:$D,
general_ledger!$F:$F,Forecast!$C27,
general_ledger!$B:$B,"&gt;="&amp;Forecast!I$7,
general_ledger!$B:$B,"&lt;"&amp;EDATE(Forecast!I$7,1)
)</f>
        <v>42615.360000000001</v>
      </c>
      <c r="J27">
        <f>SUMIFS(
general_ledger!$D:$D,
general_ledger!$F:$F,Forecast!$C27,
general_ledger!$B:$B,"&gt;="&amp;Forecast!J$7,
general_ledger!$B:$B,"&lt;"&amp;EDATE(Forecast!J$7,1)
)</f>
        <v>42892.320000000007</v>
      </c>
      <c r="K27">
        <f>SUMIFS(
general_ledger!$D:$D,
general_ledger!$F:$F,Forecast!$C27,
general_ledger!$B:$B,"&gt;="&amp;Forecast!K$7,
general_ledger!$B:$B,"&lt;"&amp;EDATE(Forecast!K$7,1)
)</f>
        <v>44351.630000000005</v>
      </c>
      <c r="L27">
        <f>SUMIFS(
general_ledger!$D:$D,
general_ledger!$F:$F,Forecast!$C27,
general_ledger!$B:$B,"&gt;="&amp;Forecast!L$7,
general_ledger!$B:$B,"&lt;"&amp;EDATE(Forecast!L$7,1)
)</f>
        <v>66220.55</v>
      </c>
      <c r="M27">
        <f>SUMIFS(
general_ledger!$D:$D,
general_ledger!$F:$F,Forecast!$C27,
general_ledger!$B:$B,"&gt;="&amp;Forecast!M$7,
general_ledger!$B:$B,"&lt;"&amp;EDATE(Forecast!M$7,1)
)</f>
        <v>44075.48</v>
      </c>
      <c r="N27">
        <f>SUMIFS(
general_ledger!$D:$D,
general_ledger!$F:$F,Forecast!$C27,
general_ledger!$B:$B,"&gt;="&amp;Forecast!N$7,
general_ledger!$B:$B,"&lt;"&amp;EDATE(Forecast!N$7,1)
)</f>
        <v>44495.99</v>
      </c>
      <c r="O27">
        <f>SUMIFS(
general_ledger!$D:$D,
general_ledger!$F:$F,Forecast!$C27,
general_ledger!$B:$B,"&gt;="&amp;Forecast!O$7,
general_ledger!$B:$B,"&lt;"&amp;EDATE(Forecast!O$7,1)
)</f>
        <v>44075.48</v>
      </c>
      <c r="P27">
        <f>SUMIFS(
general_ledger!$D:$D,
general_ledger!$F:$F,Forecast!$C27,
general_ledger!$B:$B,"&gt;="&amp;Forecast!P$7,
general_ledger!$B:$B,"&lt;"&amp;EDATE(Forecast!P$7,1)
)</f>
        <v>44326.43</v>
      </c>
      <c r="Q27">
        <f>SUMIFS(
general_ledger!$D:$D,
general_ledger!$F:$F,Forecast!$C27,
general_ledger!$B:$B,"&gt;="&amp;Forecast!Q$7,
general_ledger!$B:$B,"&lt;"&amp;EDATE(Forecast!Q$7,1)
)</f>
        <v>66753.62</v>
      </c>
      <c r="R27">
        <f>SUMIFS(
general_ledger!$D:$D,
general_ledger!$F:$F,Forecast!$C27,
general_ledger!$B:$B,"&gt;="&amp;Forecast!R$7,
general_ledger!$B:$B,"&lt;"&amp;EDATE(Forecast!R$7,1)
)</f>
        <v>44075.48</v>
      </c>
      <c r="S27">
        <f>SUMIFS(
general_ledger!$D:$D,
general_ledger!$F:$F,Forecast!$C27,
general_ledger!$B:$B,"&gt;="&amp;Forecast!S$7,
general_ledger!$B:$B,"&lt;"&amp;EDATE(Forecast!S$7,1)
)</f>
        <v>44075.48</v>
      </c>
      <c r="T27">
        <f>SUMIFS(
general_ledger!$D:$D,
general_ledger!$F:$F,Forecast!$C27,
general_ledger!$B:$B,"&gt;="&amp;Forecast!T$7,
general_ledger!$B:$B,"&lt;"&amp;EDATE(Forecast!T$7,1)
)</f>
        <v>44075.48</v>
      </c>
      <c r="U27">
        <f>SUMIFS(
general_ledger!$D:$D,
general_ledger!$F:$F,Forecast!$C27,
general_ledger!$B:$B,"&gt;="&amp;Forecast!U$7,
general_ledger!$B:$B,"&lt;"&amp;EDATE(Forecast!U$7,1)
)</f>
        <v>45186.46</v>
      </c>
      <c r="V27">
        <f>SUMIFS(
general_ledger!$D:$D,
general_ledger!$F:$F,Forecast!$C27,
general_ledger!$B:$B,"&gt;="&amp;Forecast!V$7,
general_ledger!$B:$B,"&lt;"&amp;EDATE(Forecast!V$7,1)
)</f>
        <v>44531.33</v>
      </c>
      <c r="W27">
        <f>SUMIFS(
general_ledger!$D:$D,
general_ledger!$F:$F,Forecast!$C27,
general_ledger!$B:$B,"&gt;="&amp;Forecast!W$7,
general_ledger!$B:$B,"&lt;"&amp;EDATE(Forecast!W$7,1)
)</f>
        <v>69100.200000000012</v>
      </c>
      <c r="X27">
        <f>SUMIFS(
general_ledger!$D:$D,
general_ledger!$F:$F,Forecast!$C27,
general_ledger!$B:$B,"&gt;="&amp;Forecast!X$7,
general_ledger!$B:$B,"&lt;"&amp;EDATE(Forecast!X$7,1)
)</f>
        <v>43147.25</v>
      </c>
      <c r="Y27">
        <f>SUMIFS(
general_ledger!$D:$D,
general_ledger!$F:$F,Forecast!$C27,
general_ledger!$B:$B,"&gt;="&amp;Forecast!Y$7,
general_ledger!$B:$B,"&lt;"&amp;EDATE(Forecast!Y$7,1)
)</f>
        <v>45203.229999999996</v>
      </c>
      <c r="Z27">
        <f>SUMIFS(
general_ledger!$D:$D,
general_ledger!$F:$F,Forecast!$C27,
general_ledger!$B:$B,"&gt;="&amp;Forecast!Z$7,
general_ledger!$B:$B,"&lt;"&amp;EDATE(Forecast!Z$7,1)
)</f>
        <v>45105.82</v>
      </c>
      <c r="AA27">
        <f>SUMIFS(
general_ledger!$D:$D,
general_ledger!$F:$F,Forecast!$C27,
general_ledger!$B:$B,"&gt;="&amp;Forecast!AA$7,
general_ledger!$B:$B,"&lt;"&amp;EDATE(Forecast!AA$7,1)
)</f>
        <v>45143.08</v>
      </c>
      <c r="AB27">
        <f>SUMIFS(
general_ledger!$D:$D,
general_ledger!$F:$F,Forecast!$C27,
general_ledger!$B:$B,"&gt;="&amp;Forecast!AB$7,
general_ledger!$B:$B,"&lt;"&amp;EDATE(Forecast!AB$7,1)
)</f>
        <v>45133.72</v>
      </c>
      <c r="AC27">
        <f>_xlfn.FORECAST.ETS(AC$7,$E27:AB27,$E$7:AB$7,)</f>
        <v>57488.794697062651</v>
      </c>
      <c r="AD27">
        <f>_xlfn.FORECAST.ETS(AD$7,$E27:AC27,$E$7:AC$7,)</f>
        <v>57099.004580350345</v>
      </c>
      <c r="AE27">
        <f>_xlfn.FORECAST.ETS(AE$7,$E27:AD27,$E$7:AD$7,)</f>
        <v>45969.371066510234</v>
      </c>
      <c r="AF27">
        <f>_xlfn.FORECAST.ETS(AF$7,$E27:AE27,$E$7:AE$7,)</f>
        <v>45166.126211969262</v>
      </c>
      <c r="AG27">
        <f>_xlfn.FORECAST.ETS(AG$7,$E27:AF27,$E$7:AF$7,)</f>
        <v>46323.231661589649</v>
      </c>
      <c r="AH27">
        <f>_xlfn.FORECAST.ETS(AH$7,$E27:AG27,$E$7:AG$7,)</f>
        <v>46057.588561497316</v>
      </c>
      <c r="AI27">
        <f>_xlfn.FORECAST.ETS(AI$7,$E27:AH27,$E$7:AH$7,)</f>
        <v>62702.267052752752</v>
      </c>
      <c r="AJ27">
        <f>_xlfn.FORECAST.ETS(AJ$7,$E27:AI27,$E$7:AI$7,)</f>
        <v>53883.188525021571</v>
      </c>
      <c r="AK27">
        <f>_xlfn.FORECAST.ETS(AK$7,$E27:AJ27,$E$7:AJ$7,)</f>
        <v>47153.322284139147</v>
      </c>
      <c r="AL27">
        <f>_xlfn.FORECAST.ETS(AL$7,$E27:AK27,$E$7:AK$7,)</f>
        <v>46407.302816970063</v>
      </c>
      <c r="AM27">
        <f>_xlfn.FORECAST.ETS(AM$7,$E27:AL27,$E$7:AL$7,)</f>
        <v>47589.780274576064</v>
      </c>
      <c r="AN27">
        <f>_xlfn.FORECAST.ETS(AN$7,$E27:AM27,$E$7:AM$7,)</f>
        <v>47627.914383157709</v>
      </c>
    </row>
    <row r="28" spans="1:40" x14ac:dyDescent="0.35">
      <c r="C28" t="s">
        <v>21</v>
      </c>
      <c r="E28">
        <f>SUMIFS(
general_ledger!$D:$D,
general_ledger!$F:$F,Forecast!$C28,
general_ledger!$B:$B,"&gt;="&amp;Forecast!E$7,
general_ledger!$B:$B,"&lt;"&amp;EDATE(Forecast!E$7,1)
)</f>
        <v>1710.52</v>
      </c>
      <c r="F28">
        <f>SUMIFS(
general_ledger!$D:$D,
general_ledger!$F:$F,Forecast!$C28,
general_ledger!$B:$B,"&gt;="&amp;Forecast!F$7,
general_ledger!$B:$B,"&lt;"&amp;EDATE(Forecast!F$7,1)
)</f>
        <v>2563.4499999999998</v>
      </c>
      <c r="G28">
        <f>SUMIFS(
general_ledger!$D:$D,
general_ledger!$F:$F,Forecast!$C28,
general_ledger!$B:$B,"&gt;="&amp;Forecast!G$7,
general_ledger!$B:$B,"&lt;"&amp;EDATE(Forecast!G$7,1)
)</f>
        <v>1712.43</v>
      </c>
      <c r="H28">
        <f>SUMIFS(
general_ledger!$D:$D,
general_ledger!$F:$F,Forecast!$C28,
general_ledger!$B:$B,"&gt;="&amp;Forecast!H$7,
general_ledger!$B:$B,"&lt;"&amp;EDATE(Forecast!H$7,1)
)</f>
        <v>1713.73</v>
      </c>
      <c r="I28">
        <f>SUMIFS(
general_ledger!$D:$D,
general_ledger!$F:$F,Forecast!$C28,
general_ledger!$B:$B,"&gt;="&amp;Forecast!I$7,
general_ledger!$B:$B,"&lt;"&amp;EDATE(Forecast!I$7,1)
)</f>
        <v>1704.64</v>
      </c>
      <c r="J28">
        <f>SUMIFS(
general_ledger!$D:$D,
general_ledger!$F:$F,Forecast!$C28,
general_ledger!$B:$B,"&gt;="&amp;Forecast!J$7,
general_ledger!$B:$B,"&lt;"&amp;EDATE(Forecast!J$7,1)
)</f>
        <v>1715.71</v>
      </c>
      <c r="K28">
        <f>SUMIFS(
general_ledger!$D:$D,
general_ledger!$F:$F,Forecast!$C28,
general_ledger!$B:$B,"&gt;="&amp;Forecast!K$7,
general_ledger!$B:$B,"&lt;"&amp;EDATE(Forecast!K$7,1)
)</f>
        <v>1774.06</v>
      </c>
      <c r="L28">
        <f>SUMIFS(
general_ledger!$D:$D,
general_ledger!$F:$F,Forecast!$C28,
general_ledger!$B:$B,"&gt;="&amp;Forecast!L$7,
general_ledger!$B:$B,"&lt;"&amp;EDATE(Forecast!L$7,1)
)</f>
        <v>2648.83</v>
      </c>
      <c r="M28">
        <f>SUMIFS(
general_ledger!$D:$D,
general_ledger!$F:$F,Forecast!$C28,
general_ledger!$B:$B,"&gt;="&amp;Forecast!M$7,
general_ledger!$B:$B,"&lt;"&amp;EDATE(Forecast!M$7,1)
)</f>
        <v>1763.02</v>
      </c>
      <c r="N28">
        <f>SUMIFS(
general_ledger!$D:$D,
general_ledger!$F:$F,Forecast!$C28,
general_ledger!$B:$B,"&gt;="&amp;Forecast!N$7,
general_ledger!$B:$B,"&lt;"&amp;EDATE(Forecast!N$7,1)
)</f>
        <v>1779.8400000000001</v>
      </c>
      <c r="O28">
        <f>SUMIFS(
general_ledger!$D:$D,
general_ledger!$F:$F,Forecast!$C28,
general_ledger!$B:$B,"&gt;="&amp;Forecast!O$7,
general_ledger!$B:$B,"&lt;"&amp;EDATE(Forecast!O$7,1)
)</f>
        <v>1763.02</v>
      </c>
      <c r="P28">
        <f>SUMIFS(
general_ledger!$D:$D,
general_ledger!$F:$F,Forecast!$C28,
general_ledger!$B:$B,"&gt;="&amp;Forecast!P$7,
general_ledger!$B:$B,"&lt;"&amp;EDATE(Forecast!P$7,1)
)</f>
        <v>1773.07</v>
      </c>
      <c r="Q28">
        <f>SUMIFS(
general_ledger!$D:$D,
general_ledger!$F:$F,Forecast!$C28,
general_ledger!$B:$B,"&gt;="&amp;Forecast!Q$7,
general_ledger!$B:$B,"&lt;"&amp;EDATE(Forecast!Q$7,1)
)</f>
        <v>2670.15</v>
      </c>
      <c r="R28">
        <f>SUMIFS(
general_ledger!$D:$D,
general_ledger!$F:$F,Forecast!$C28,
general_ledger!$B:$B,"&gt;="&amp;Forecast!R$7,
general_ledger!$B:$B,"&lt;"&amp;EDATE(Forecast!R$7,1)
)</f>
        <v>1763.02</v>
      </c>
      <c r="S28">
        <f>SUMIFS(
general_ledger!$D:$D,
general_ledger!$F:$F,Forecast!$C28,
general_ledger!$B:$B,"&gt;="&amp;Forecast!S$7,
general_ledger!$B:$B,"&lt;"&amp;EDATE(Forecast!S$7,1)
)</f>
        <v>1763.02</v>
      </c>
      <c r="T28">
        <f>SUMIFS(
general_ledger!$D:$D,
general_ledger!$F:$F,Forecast!$C28,
general_ledger!$B:$B,"&gt;="&amp;Forecast!T$7,
general_ledger!$B:$B,"&lt;"&amp;EDATE(Forecast!T$7,1)
)</f>
        <v>1763.02</v>
      </c>
      <c r="U28">
        <f>SUMIFS(
general_ledger!$D:$D,
general_ledger!$F:$F,Forecast!$C28,
general_ledger!$B:$B,"&gt;="&amp;Forecast!U$7,
general_ledger!$B:$B,"&lt;"&amp;EDATE(Forecast!U$7,1)
)</f>
        <v>1807.45</v>
      </c>
      <c r="V28">
        <f>SUMIFS(
general_ledger!$D:$D,
general_ledger!$F:$F,Forecast!$C28,
general_ledger!$B:$B,"&gt;="&amp;Forecast!V$7,
general_ledger!$B:$B,"&lt;"&amp;EDATE(Forecast!V$7,1)
)</f>
        <v>1781.25</v>
      </c>
      <c r="W28">
        <f>SUMIFS(
general_ledger!$D:$D,
general_ledger!$F:$F,Forecast!$C28,
general_ledger!$B:$B,"&gt;="&amp;Forecast!W$7,
general_ledger!$B:$B,"&lt;"&amp;EDATE(Forecast!W$7,1)
)</f>
        <v>2764.02</v>
      </c>
      <c r="X28">
        <f>SUMIFS(
general_ledger!$D:$D,
general_ledger!$F:$F,Forecast!$C28,
general_ledger!$B:$B,"&gt;="&amp;Forecast!X$7,
general_ledger!$B:$B,"&lt;"&amp;EDATE(Forecast!X$7,1)
)</f>
        <v>1725.8899999999999</v>
      </c>
      <c r="Y28">
        <f>SUMIFS(
general_ledger!$D:$D,
general_ledger!$F:$F,Forecast!$C28,
general_ledger!$B:$B,"&gt;="&amp;Forecast!Y$7,
general_ledger!$B:$B,"&lt;"&amp;EDATE(Forecast!Y$7,1)
)</f>
        <v>1808.1399999999999</v>
      </c>
      <c r="Z28">
        <f>SUMIFS(
general_ledger!$D:$D,
general_ledger!$F:$F,Forecast!$C28,
general_ledger!$B:$B,"&gt;="&amp;Forecast!Z$7,
general_ledger!$B:$B,"&lt;"&amp;EDATE(Forecast!Z$7,1)
)</f>
        <v>1804.24</v>
      </c>
      <c r="AA28">
        <f>SUMIFS(
general_ledger!$D:$D,
general_ledger!$F:$F,Forecast!$C28,
general_ledger!$B:$B,"&gt;="&amp;Forecast!AA$7,
general_ledger!$B:$B,"&lt;"&amp;EDATE(Forecast!AA$7,1)
)</f>
        <v>1805.73</v>
      </c>
      <c r="AB28">
        <f>SUMIFS(
general_ledger!$D:$D,
general_ledger!$F:$F,Forecast!$C28,
general_ledger!$B:$B,"&gt;="&amp;Forecast!AB$7,
general_ledger!$B:$B,"&lt;"&amp;EDATE(Forecast!AB$7,1)
)</f>
        <v>1805.35</v>
      </c>
      <c r="AC28">
        <f>_xlfn.FORECAST.ETS(AC$7,$E28:AB28,$E$7:AB$7,)</f>
        <v>2299.540326433128</v>
      </c>
      <c r="AD28">
        <f>_xlfn.FORECAST.ETS(AD$7,$E28:AC28,$E$7:AC$7,)</f>
        <v>2283.9534297191167</v>
      </c>
      <c r="AE28">
        <f>_xlfn.FORECAST.ETS(AE$7,$E28:AD28,$E$7:AD$7,)</f>
        <v>1838.7699346278087</v>
      </c>
      <c r="AF28">
        <f>_xlfn.FORECAST.ETS(AF$7,$E28:AE28,$E$7:AE$7,)</f>
        <v>1806.6405261020427</v>
      </c>
      <c r="AG28">
        <f>_xlfn.FORECAST.ETS(AG$7,$E28:AF28,$E$7:AF$7,)</f>
        <v>1852.9209184666938</v>
      </c>
      <c r="AH28">
        <f>_xlfn.FORECAST.ETS(AH$7,$E28:AG28,$E$7:AG$7,)</f>
        <v>1842.2973127520702</v>
      </c>
      <c r="AI28">
        <f>_xlfn.FORECAST.ETS(AI$7,$E28:AH28,$E$7:AH$7,)</f>
        <v>2508.0792811615938</v>
      </c>
      <c r="AJ28">
        <f>_xlfn.FORECAST.ETS(AJ$7,$E28:AI28,$E$7:AI$7,)</f>
        <v>2155.3148273958773</v>
      </c>
      <c r="AK28">
        <f>_xlfn.FORECAST.ETS(AK$7,$E28:AJ28,$E$7:AJ$7,)</f>
        <v>1886.1221551151316</v>
      </c>
      <c r="AL28">
        <f>_xlfn.FORECAST.ETS(AL$7,$E28:AK28,$E$7:AK$7,)</f>
        <v>1856.2812924741452</v>
      </c>
      <c r="AM28">
        <f>_xlfn.FORECAST.ETS(AM$7,$E28:AL28,$E$7:AL$7,)</f>
        <v>1903.5761823201512</v>
      </c>
      <c r="AN28">
        <f>_xlfn.FORECAST.ETS(AN$7,$E28:AM28,$E$7:AM$7,)</f>
        <v>1905.104088787841</v>
      </c>
    </row>
    <row r="29" spans="1:40" x14ac:dyDescent="0.35">
      <c r="B29" s="6" t="s">
        <v>53</v>
      </c>
      <c r="E29">
        <f>SUM(E25,E27:E28)</f>
        <v>45204.71</v>
      </c>
      <c r="F29">
        <f t="shared" ref="F29:AN29" si="7">SUM(F25,F27:F28)</f>
        <v>67380.44</v>
      </c>
      <c r="G29">
        <f t="shared" si="7"/>
        <v>45254.18</v>
      </c>
      <c r="H29">
        <f t="shared" si="7"/>
        <v>45287.93</v>
      </c>
      <c r="I29">
        <f t="shared" si="7"/>
        <v>45051.72</v>
      </c>
      <c r="J29">
        <f t="shared" si="7"/>
        <v>45339.750000000007</v>
      </c>
      <c r="K29">
        <f t="shared" si="7"/>
        <v>46857.41</v>
      </c>
      <c r="L29">
        <f t="shared" si="7"/>
        <v>69601.100000000006</v>
      </c>
      <c r="M29">
        <f t="shared" si="7"/>
        <v>46570.22</v>
      </c>
      <c r="N29">
        <f t="shared" si="7"/>
        <v>47007.55</v>
      </c>
      <c r="O29">
        <f t="shared" si="7"/>
        <v>46570.22</v>
      </c>
      <c r="P29">
        <f t="shared" si="7"/>
        <v>46831.22</v>
      </c>
      <c r="Q29">
        <f t="shared" si="7"/>
        <v>70155.489999999991</v>
      </c>
      <c r="R29">
        <f t="shared" si="7"/>
        <v>46570.22</v>
      </c>
      <c r="S29">
        <f t="shared" si="7"/>
        <v>46570.22</v>
      </c>
      <c r="T29">
        <f t="shared" si="7"/>
        <v>46570.22</v>
      </c>
      <c r="U29">
        <f t="shared" si="7"/>
        <v>47725.63</v>
      </c>
      <c r="V29">
        <f t="shared" si="7"/>
        <v>47044.3</v>
      </c>
      <c r="W29">
        <f t="shared" si="7"/>
        <v>72595.940000000017</v>
      </c>
      <c r="X29">
        <f t="shared" si="7"/>
        <v>45604.86</v>
      </c>
      <c r="Y29">
        <f t="shared" si="7"/>
        <v>47743.09</v>
      </c>
      <c r="Z29">
        <f t="shared" si="7"/>
        <v>47564.72</v>
      </c>
      <c r="AA29">
        <f t="shared" si="7"/>
        <v>47510.060000000005</v>
      </c>
      <c r="AB29">
        <f t="shared" si="7"/>
        <v>47500.32</v>
      </c>
      <c r="AC29">
        <f t="shared" si="7"/>
        <v>60419.542141132508</v>
      </c>
      <c r="AD29">
        <f t="shared" si="7"/>
        <v>60009.049673519228</v>
      </c>
      <c r="AE29">
        <f t="shared" si="7"/>
        <v>48446.665243596661</v>
      </c>
      <c r="AF29">
        <f t="shared" si="7"/>
        <v>47606.475977504801</v>
      </c>
      <c r="AG29">
        <f t="shared" si="7"/>
        <v>48807.677144102672</v>
      </c>
      <c r="AH29">
        <f t="shared" si="7"/>
        <v>48526.778209117183</v>
      </c>
      <c r="AI29">
        <f t="shared" si="7"/>
        <v>65832.629545444026</v>
      </c>
      <c r="AJ29">
        <f t="shared" si="7"/>
        <v>56656.197649327194</v>
      </c>
      <c r="AK29">
        <f t="shared" si="7"/>
        <v>49652.474213407171</v>
      </c>
      <c r="AL29">
        <f t="shared" si="7"/>
        <v>48871.659932042276</v>
      </c>
      <c r="AM29">
        <f t="shared" si="7"/>
        <v>50094.804555741262</v>
      </c>
      <c r="AN29">
        <f t="shared" si="7"/>
        <v>50129.731753225133</v>
      </c>
    </row>
    <row r="30" spans="1:40" x14ac:dyDescent="0.35">
      <c r="B30" s="6" t="s">
        <v>52</v>
      </c>
      <c r="E30">
        <f>E11-E29</f>
        <v>-3753.3699999999881</v>
      </c>
      <c r="F30">
        <f t="shared" ref="F30:AN30" si="8">F11-F29</f>
        <v>-9355.4900000000052</v>
      </c>
      <c r="G30">
        <f t="shared" si="8"/>
        <v>26253.380000000041</v>
      </c>
      <c r="H30">
        <f t="shared" si="8"/>
        <v>9545.0400000000154</v>
      </c>
      <c r="I30">
        <f t="shared" si="8"/>
        <v>49310.409999999989</v>
      </c>
      <c r="J30">
        <f t="shared" si="8"/>
        <v>27251.45999999997</v>
      </c>
      <c r="K30">
        <f t="shared" si="8"/>
        <v>49659.979999999967</v>
      </c>
      <c r="L30">
        <f t="shared" si="8"/>
        <v>3505</v>
      </c>
      <c r="M30">
        <f t="shared" si="8"/>
        <v>22802.560000000027</v>
      </c>
      <c r="N30">
        <f t="shared" si="8"/>
        <v>95283.58000000006</v>
      </c>
      <c r="O30">
        <f t="shared" si="8"/>
        <v>92693.689999999828</v>
      </c>
      <c r="P30">
        <f t="shared" si="8"/>
        <v>155744.96999999988</v>
      </c>
      <c r="Q30">
        <f t="shared" si="8"/>
        <v>6784.1999999999534</v>
      </c>
      <c r="R30">
        <f t="shared" si="8"/>
        <v>38654.470000000088</v>
      </c>
      <c r="S30">
        <f t="shared" si="8"/>
        <v>57281.939999999959</v>
      </c>
      <c r="T30">
        <f t="shared" si="8"/>
        <v>64648.210000000079</v>
      </c>
      <c r="U30">
        <f t="shared" si="8"/>
        <v>190089.86</v>
      </c>
      <c r="V30">
        <f t="shared" si="8"/>
        <v>91623.589999999807</v>
      </c>
      <c r="W30">
        <f t="shared" si="8"/>
        <v>40982.929999999964</v>
      </c>
      <c r="X30">
        <f t="shared" si="8"/>
        <v>66149.380000000019</v>
      </c>
      <c r="Y30">
        <f t="shared" si="8"/>
        <v>168106.31000000008</v>
      </c>
      <c r="Z30">
        <f t="shared" si="8"/>
        <v>147970.55999999985</v>
      </c>
      <c r="AA30">
        <f t="shared" si="8"/>
        <v>241206.86999999982</v>
      </c>
      <c r="AB30">
        <f t="shared" si="8"/>
        <v>338786.93000000034</v>
      </c>
      <c r="AC30">
        <f t="shared" si="8"/>
        <v>225235.89955332002</v>
      </c>
      <c r="AD30">
        <f t="shared" si="8"/>
        <v>211536.68316027406</v>
      </c>
      <c r="AE30">
        <f t="shared" si="8"/>
        <v>250491.23117852968</v>
      </c>
      <c r="AF30">
        <f t="shared" si="8"/>
        <v>276571.11532554374</v>
      </c>
      <c r="AG30">
        <f t="shared" si="8"/>
        <v>338532.61528128327</v>
      </c>
      <c r="AH30">
        <f t="shared" si="8"/>
        <v>336557.81695208885</v>
      </c>
      <c r="AI30">
        <f t="shared" si="8"/>
        <v>269171.54209974193</v>
      </c>
      <c r="AJ30">
        <f t="shared" si="8"/>
        <v>263379.38885334809</v>
      </c>
      <c r="AK30">
        <f t="shared" si="8"/>
        <v>312998.38022926298</v>
      </c>
      <c r="AL30">
        <f t="shared" si="8"/>
        <v>338341.59123030491</v>
      </c>
      <c r="AM30">
        <f t="shared" si="8"/>
        <v>398195.72186971799</v>
      </c>
      <c r="AN30">
        <f t="shared" si="8"/>
        <v>392382.30548261444</v>
      </c>
    </row>
    <row r="32" spans="1:40" x14ac:dyDescent="0.35">
      <c r="A32" s="10" t="s">
        <v>57</v>
      </c>
      <c r="B32" s="7"/>
      <c r="C32" s="7"/>
      <c r="D32" s="8"/>
      <c r="E32" s="13" t="s">
        <v>58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20" t="s">
        <v>59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x14ac:dyDescent="0.35">
      <c r="A33" s="7"/>
      <c r="B33" s="10" t="s">
        <v>56</v>
      </c>
      <c r="C33" s="7"/>
      <c r="D33" s="8"/>
      <c r="E33" s="9">
        <v>45292</v>
      </c>
      <c r="F33" s="9">
        <f t="shared" ref="F33:AN33" si="9">EDATE(E$7,1)</f>
        <v>45323</v>
      </c>
      <c r="G33" s="9">
        <f t="shared" si="9"/>
        <v>45352</v>
      </c>
      <c r="H33" s="9">
        <f t="shared" si="9"/>
        <v>45383</v>
      </c>
      <c r="I33" s="9">
        <f t="shared" si="9"/>
        <v>45413</v>
      </c>
      <c r="J33" s="9">
        <f t="shared" si="9"/>
        <v>45444</v>
      </c>
      <c r="K33" s="9">
        <f t="shared" si="9"/>
        <v>45474</v>
      </c>
      <c r="L33" s="9">
        <f t="shared" si="9"/>
        <v>45505</v>
      </c>
      <c r="M33" s="9">
        <f t="shared" si="9"/>
        <v>45536</v>
      </c>
      <c r="N33" s="9">
        <f t="shared" si="9"/>
        <v>45566</v>
      </c>
      <c r="O33" s="9">
        <f t="shared" si="9"/>
        <v>45597</v>
      </c>
      <c r="P33" s="9">
        <f t="shared" si="9"/>
        <v>45627</v>
      </c>
      <c r="Q33" s="9">
        <f t="shared" si="9"/>
        <v>45658</v>
      </c>
      <c r="R33" s="9">
        <f t="shared" si="9"/>
        <v>45689</v>
      </c>
      <c r="S33" s="9">
        <f t="shared" si="9"/>
        <v>45717</v>
      </c>
      <c r="T33" s="9">
        <f t="shared" si="9"/>
        <v>45748</v>
      </c>
      <c r="U33" s="9">
        <f t="shared" si="9"/>
        <v>45778</v>
      </c>
      <c r="V33" s="9">
        <f t="shared" si="9"/>
        <v>45809</v>
      </c>
      <c r="W33" s="9">
        <f t="shared" si="9"/>
        <v>45839</v>
      </c>
      <c r="X33" s="9">
        <f t="shared" si="9"/>
        <v>45870</v>
      </c>
      <c r="Y33" s="9">
        <f t="shared" si="9"/>
        <v>45901</v>
      </c>
      <c r="Z33" s="9">
        <f t="shared" si="9"/>
        <v>45931</v>
      </c>
      <c r="AA33" s="9">
        <f t="shared" si="9"/>
        <v>45962</v>
      </c>
      <c r="AB33" s="9">
        <f t="shared" si="9"/>
        <v>45992</v>
      </c>
      <c r="AC33" s="9">
        <f t="shared" si="9"/>
        <v>46023</v>
      </c>
      <c r="AD33" s="9">
        <f t="shared" si="9"/>
        <v>46054</v>
      </c>
      <c r="AE33" s="9">
        <f t="shared" si="9"/>
        <v>46082</v>
      </c>
      <c r="AF33" s="9">
        <f t="shared" si="9"/>
        <v>46113</v>
      </c>
      <c r="AG33" s="9">
        <f t="shared" si="9"/>
        <v>46143</v>
      </c>
      <c r="AH33" s="9">
        <f t="shared" si="9"/>
        <v>46174</v>
      </c>
      <c r="AI33" s="9">
        <f t="shared" si="9"/>
        <v>46204</v>
      </c>
      <c r="AJ33" s="9">
        <f t="shared" si="9"/>
        <v>46235</v>
      </c>
      <c r="AK33" s="9">
        <f t="shared" si="9"/>
        <v>46266</v>
      </c>
      <c r="AL33" s="9">
        <f t="shared" si="9"/>
        <v>46296</v>
      </c>
      <c r="AM33" s="9">
        <f t="shared" si="9"/>
        <v>46327</v>
      </c>
      <c r="AN33" s="9">
        <f t="shared" si="9"/>
        <v>46357</v>
      </c>
    </row>
    <row r="34" spans="1:40" x14ac:dyDescent="0.35">
      <c r="B34" s="6" t="s">
        <v>50</v>
      </c>
    </row>
    <row r="35" spans="1:40" x14ac:dyDescent="0.35">
      <c r="C35" t="s">
        <v>14</v>
      </c>
      <c r="E35" s="2">
        <f>SUMIFS(
general_ledger!$E:$E,
general_ledger!$F:$F,Forecast!$C35,
general_ledger!$B:$B,"&gt;="&amp;Forecast!E$7,
general_ledger!$B:$B,"&lt;"&amp;EDATE(Forecast!E$7,1)
)</f>
        <v>59415.490000000013</v>
      </c>
      <c r="F35" s="2">
        <f>SUMIFS(
general_ledger!$E:$E,
general_ledger!$F:$F,Forecast!$C35,
general_ledger!$B:$B,"&gt;="&amp;Forecast!F$7,
general_ledger!$B:$B,"&lt;"&amp;EDATE(Forecast!F$7,1)
)</f>
        <v>68342.89</v>
      </c>
      <c r="G35" s="2">
        <f>SUMIFS(
general_ledger!$E:$E,
general_ledger!$F:$F,Forecast!$C35,
general_ledger!$B:$B,"&gt;="&amp;Forecast!G$7,
general_ledger!$B:$B,"&lt;"&amp;EDATE(Forecast!G$7,1)
)</f>
        <v>99595.540000000037</v>
      </c>
      <c r="H35" s="2">
        <f>SUMIFS(
general_ledger!$E:$E,
general_ledger!$F:$F,Forecast!$C35,
general_ledger!$B:$B,"&gt;="&amp;Forecast!H$7,
general_ledger!$B:$B,"&lt;"&amp;EDATE(Forecast!H$7,1)
)</f>
        <v>95861.080000000016</v>
      </c>
      <c r="I35" s="2">
        <f>SUMIFS(
general_ledger!$E:$E,
general_ledger!$F:$F,Forecast!$C35,
general_ledger!$B:$B,"&gt;="&amp;Forecast!I$7,
general_ledger!$B:$B,"&lt;"&amp;EDATE(Forecast!I$7,1)
)</f>
        <v>150362.91999999998</v>
      </c>
      <c r="J35" s="2">
        <f>SUMIFS(
general_ledger!$E:$E,
general_ledger!$F:$F,Forecast!$C35,
general_ledger!$B:$B,"&gt;="&amp;Forecast!J$7,
general_ledger!$B:$B,"&lt;"&amp;EDATE(Forecast!J$7,1)
)</f>
        <v>142942.71</v>
      </c>
      <c r="K35" s="2">
        <f>SUMIFS(
general_ledger!$E:$E,
general_ledger!$F:$F,Forecast!$C35,
general_ledger!$B:$B,"&gt;="&amp;Forecast!K$7,
general_ledger!$B:$B,"&lt;"&amp;EDATE(Forecast!K$7,1)
)</f>
        <v>149964.52999999997</v>
      </c>
      <c r="L35" s="2">
        <f>SUMIFS(
general_ledger!$E:$E,
general_ledger!$F:$F,Forecast!$C35,
general_ledger!$B:$B,"&gt;="&amp;Forecast!L$7,
general_ledger!$B:$B,"&lt;"&amp;EDATE(Forecast!L$7,1)
)</f>
        <v>134993.04</v>
      </c>
      <c r="M35" s="2">
        <f>SUMIFS(
general_ledger!$E:$E,
general_ledger!$F:$F,Forecast!$C35,
general_ledger!$B:$B,"&gt;="&amp;Forecast!M$7,
general_ledger!$B:$B,"&lt;"&amp;EDATE(Forecast!M$7,1)
)</f>
        <v>141063.74000000002</v>
      </c>
      <c r="N35" s="2">
        <f>SUMIFS(
general_ledger!$E:$E,
general_ledger!$F:$F,Forecast!$C35,
general_ledger!$B:$B,"&gt;="&amp;Forecast!N$7,
general_ledger!$B:$B,"&lt;"&amp;EDATE(Forecast!N$7,1)
)</f>
        <v>205049.57000000007</v>
      </c>
      <c r="O35" s="2">
        <f>SUMIFS(
general_ledger!$E:$E,
general_ledger!$F:$F,Forecast!$C35,
general_ledger!$B:$B,"&gt;="&amp;Forecast!O$7,
general_ledger!$B:$B,"&lt;"&amp;EDATE(Forecast!O$7,1)
)</f>
        <v>232928.62999999983</v>
      </c>
      <c r="P35" s="2">
        <f>SUMIFS(
general_ledger!$E:$E,
general_ledger!$F:$F,Forecast!$C35,
general_ledger!$B:$B,"&gt;="&amp;Forecast!P$7,
general_ledger!$B:$B,"&lt;"&amp;EDATE(Forecast!P$7,1)
)</f>
        <v>309332.21999999991</v>
      </c>
      <c r="Q35" s="2">
        <f>SUMIFS(
general_ledger!$E:$E,
general_ledger!$F:$F,Forecast!$C35,
general_ledger!$B:$B,"&gt;="&amp;Forecast!Q$7,
general_ledger!$B:$B,"&lt;"&amp;EDATE(Forecast!Q$7,1)
)</f>
        <v>153642.57999999996</v>
      </c>
      <c r="R35" s="2">
        <f>SUMIFS(
general_ledger!$E:$E,
general_ledger!$F:$F,Forecast!$C35,
general_ledger!$B:$B,"&gt;="&amp;Forecast!R$7,
general_ledger!$B:$B,"&lt;"&amp;EDATE(Forecast!R$7,1)
)</f>
        <v>138235.13000000006</v>
      </c>
      <c r="S35" s="2">
        <f>SUMIFS(
general_ledger!$E:$E,
general_ledger!$F:$F,Forecast!$C35,
general_ledger!$B:$B,"&gt;="&amp;Forecast!S$7,
general_ledger!$B:$B,"&lt;"&amp;EDATE(Forecast!S$7,1)
)</f>
        <v>177988.43999999994</v>
      </c>
      <c r="T35" s="2">
        <f>SUMIFS(
general_ledger!$E:$E,
general_ledger!$F:$F,Forecast!$C35,
general_ledger!$B:$B,"&gt;="&amp;Forecast!T$7,
general_ledger!$B:$B,"&lt;"&amp;EDATE(Forecast!T$7,1)
)</f>
        <v>217996.40000000008</v>
      </c>
      <c r="U35" s="2">
        <f>SUMIFS(
general_ledger!$E:$E,
general_ledger!$F:$F,Forecast!$C35,
general_ledger!$B:$B,"&gt;="&amp;Forecast!U$7,
general_ledger!$B:$B,"&lt;"&amp;EDATE(Forecast!U$7,1)
)</f>
        <v>329150.24</v>
      </c>
      <c r="V35" s="2">
        <f>SUMIFS(
general_ledger!$E:$E,
general_ledger!$F:$F,Forecast!$C35,
general_ledger!$B:$B,"&gt;="&amp;Forecast!V$7,
general_ledger!$B:$B,"&lt;"&amp;EDATE(Forecast!V$7,1)
)</f>
        <v>242501.93999999983</v>
      </c>
      <c r="W35" s="2">
        <f>SUMIFS(
general_ledger!$E:$E,
general_ledger!$F:$F,Forecast!$C35,
general_ledger!$B:$B,"&gt;="&amp;Forecast!W$7,
general_ledger!$B:$B,"&lt;"&amp;EDATE(Forecast!W$7,1)
)</f>
        <v>216498.91999999998</v>
      </c>
      <c r="X35" s="2">
        <f>SUMIFS(
general_ledger!$E:$E,
general_ledger!$F:$F,Forecast!$C35,
general_ledger!$B:$B,"&gt;="&amp;Forecast!X$7,
general_ledger!$B:$B,"&lt;"&amp;EDATE(Forecast!X$7,1)
)</f>
        <v>191254.52000000005</v>
      </c>
      <c r="Y35" s="2">
        <f>SUMIFS(
general_ledger!$E:$E,
general_ledger!$F:$F,Forecast!$C35,
general_ledger!$B:$B,"&gt;="&amp;Forecast!Y$7,
general_ledger!$B:$B,"&lt;"&amp;EDATE(Forecast!Y$7,1)
)</f>
        <v>317274.78000000009</v>
      </c>
      <c r="Z35" s="2">
        <f>SUMIFS(
general_ledger!$E:$E,
general_ledger!$F:$F,Forecast!$C35,
general_ledger!$B:$B,"&gt;="&amp;Forecast!Z$7,
general_ledger!$B:$B,"&lt;"&amp;EDATE(Forecast!Z$7,1)
)</f>
        <v>299056.03999999986</v>
      </c>
      <c r="AA35" s="2">
        <f>SUMIFS(
general_ledger!$E:$E,
general_ledger!$F:$F,Forecast!$C35,
general_ledger!$B:$B,"&gt;="&amp;Forecast!AA$7,
general_ledger!$B:$B,"&lt;"&amp;EDATE(Forecast!AA$7,1)
)</f>
        <v>403762.45999999985</v>
      </c>
      <c r="AB35" s="2">
        <f>SUMIFS(
general_ledger!$E:$E,
general_ledger!$F:$F,Forecast!$C35,
general_ledger!$B:$B,"&gt;="&amp;Forecast!AB$7,
general_ledger!$B:$B,"&lt;"&amp;EDATE(Forecast!AB$7,1)
)</f>
        <v>511798.72000000038</v>
      </c>
      <c r="AC35" s="2">
        <f>_xlfn.FORECAST.ETS(AC$7,$E35:AB35,$E$7:AB$7,)</f>
        <v>335176.41999916767</v>
      </c>
      <c r="AD35" s="2">
        <f>_xlfn.FORECAST.ETS(AD$7,$E35:AC35,$E$7:AC$7,)</f>
        <v>318620.66431289981</v>
      </c>
      <c r="AE35" s="2">
        <f>_xlfn.FORECAST.ETS(AE$7,$E35:AD35,$E$7:AD$7,)</f>
        <v>350761.50949725154</v>
      </c>
      <c r="AF35" s="2">
        <f>_xlfn.FORECAST.ETS(AF$7,$E35:AE35,$E$7:AE$7,)</f>
        <v>380376.73587584682</v>
      </c>
      <c r="AG35" s="2">
        <f>_xlfn.FORECAST.ETS(AG$7,$E35:AF35,$E$7:AF$7,)</f>
        <v>454489.26779220835</v>
      </c>
      <c r="AH35" s="2">
        <f>_xlfn.FORECAST.ETS(AH$7,$E35:AG35,$E$7:AG$7,)</f>
        <v>451842.52481708786</v>
      </c>
      <c r="AI35" s="2">
        <f>_xlfn.FORECAST.ETS(AI$7,$E35:AH35,$E$7:AH$7,)</f>
        <v>393080.20274623291</v>
      </c>
      <c r="AJ35" s="2">
        <f>_xlfn.FORECAST.ETS(AJ$7,$E35:AI35,$E$7:AI$7,)</f>
        <v>375516.67673475947</v>
      </c>
      <c r="AK35" s="2">
        <f>_xlfn.FORECAST.ETS(AK$7,$E35:AJ35,$E$7:AJ$7,)</f>
        <v>425519.69036791497</v>
      </c>
      <c r="AL35" s="2">
        <f>_xlfn.FORECAST.ETS(AL$7,$E35:AK35,$E$7:AK$7,)</f>
        <v>454340.20276657853</v>
      </c>
      <c r="AM35" s="2">
        <f>_xlfn.FORECAST.ETS(AM$7,$E35:AL35,$E$7:AL$7,)</f>
        <v>526005.7812150747</v>
      </c>
      <c r="AN35" s="2">
        <f>_xlfn.FORECAST.ETS(AN$7,$E35:AM35,$E$7:AM$7,)</f>
        <v>519225.5381778974</v>
      </c>
    </row>
    <row r="36" spans="1:40" x14ac:dyDescent="0.35">
      <c r="C36" t="s">
        <v>26</v>
      </c>
      <c r="E36">
        <f>SUMIFS(
general_ledger!$D:$D,
general_ledger!$F:$F,Forecast!$C36,
general_ledger!$B:$B,"&gt;="&amp;Forecast!E$7,
general_ledger!$B:$B,"&lt;"&amp;EDATE(Forecast!E$7,1)
)</f>
        <v>17964.150000000001</v>
      </c>
      <c r="F36">
        <f>SUMIFS(
general_ledger!$D:$D,
general_ledger!$F:$F,Forecast!$C36,
general_ledger!$B:$B,"&gt;="&amp;Forecast!F$7,
general_ledger!$B:$B,"&lt;"&amp;EDATE(Forecast!F$7,1)
)</f>
        <v>10317.94</v>
      </c>
      <c r="G36">
        <f>SUMIFS(
general_ledger!$D:$D,
general_ledger!$F:$F,Forecast!$C36,
general_ledger!$B:$B,"&gt;="&amp;Forecast!G$7,
general_ledger!$B:$B,"&lt;"&amp;EDATE(Forecast!G$7,1)
)</f>
        <v>28087.98</v>
      </c>
      <c r="H36">
        <f>SUMIFS(
general_ledger!$D:$D,
general_ledger!$F:$F,Forecast!$C36,
general_ledger!$B:$B,"&gt;="&amp;Forecast!H$7,
general_ledger!$B:$B,"&lt;"&amp;EDATE(Forecast!H$7,1)
)</f>
        <v>41028.11</v>
      </c>
      <c r="I36">
        <f>SUMIFS(
general_ledger!$D:$D,
general_ledger!$F:$F,Forecast!$C36,
general_ledger!$B:$B,"&gt;="&amp;Forecast!I$7,
general_ledger!$B:$B,"&lt;"&amp;EDATE(Forecast!I$7,1)
)</f>
        <v>56000.789999999994</v>
      </c>
      <c r="J36">
        <f>SUMIFS(
general_ledger!$D:$D,
general_ledger!$F:$F,Forecast!$C36,
general_ledger!$B:$B,"&gt;="&amp;Forecast!J$7,
general_ledger!$B:$B,"&lt;"&amp;EDATE(Forecast!J$7,1)
)</f>
        <v>70351.500000000015</v>
      </c>
      <c r="K36">
        <f>SUMIFS(
general_ledger!$D:$D,
general_ledger!$F:$F,Forecast!$C36,
general_ledger!$B:$B,"&gt;="&amp;Forecast!K$7,
general_ledger!$B:$B,"&lt;"&amp;EDATE(Forecast!K$7,1)
)</f>
        <v>53447.14</v>
      </c>
      <c r="L36">
        <f>SUMIFS(
general_ledger!$D:$D,
general_ledger!$F:$F,Forecast!$C36,
general_ledger!$B:$B,"&gt;="&amp;Forecast!L$7,
general_ledger!$B:$B,"&lt;"&amp;EDATE(Forecast!L$7,1)
)</f>
        <v>61886.94</v>
      </c>
      <c r="M36">
        <f>SUMIFS(
general_ledger!$D:$D,
general_ledger!$F:$F,Forecast!$C36,
general_ledger!$B:$B,"&gt;="&amp;Forecast!M$7,
general_ledger!$B:$B,"&lt;"&amp;EDATE(Forecast!M$7,1)
)</f>
        <v>71690.959999999992</v>
      </c>
      <c r="N36">
        <f>SUMIFS(
general_ledger!$D:$D,
general_ledger!$F:$F,Forecast!$C36,
general_ledger!$B:$B,"&gt;="&amp;Forecast!N$7,
general_ledger!$B:$B,"&lt;"&amp;EDATE(Forecast!N$7,1)
)</f>
        <v>62758.44000000001</v>
      </c>
      <c r="O36">
        <f>SUMIFS(
general_ledger!$D:$D,
general_ledger!$F:$F,Forecast!$C36,
general_ledger!$B:$B,"&gt;="&amp;Forecast!O$7,
general_ledger!$B:$B,"&lt;"&amp;EDATE(Forecast!O$7,1)
)</f>
        <v>93664.72</v>
      </c>
      <c r="P36">
        <f>SUMIFS(
general_ledger!$D:$D,
general_ledger!$F:$F,Forecast!$C36,
general_ledger!$B:$B,"&gt;="&amp;Forecast!P$7,
general_ledger!$B:$B,"&lt;"&amp;EDATE(Forecast!P$7,1)
)</f>
        <v>106756.03000000001</v>
      </c>
      <c r="Q36">
        <f>SUMIFS(
general_ledger!$D:$D,
general_ledger!$F:$F,Forecast!$C36,
general_ledger!$B:$B,"&gt;="&amp;Forecast!Q$7,
general_ledger!$B:$B,"&lt;"&amp;EDATE(Forecast!Q$7,1)
)</f>
        <v>76702.890000000014</v>
      </c>
      <c r="R36">
        <f>SUMIFS(
general_ledger!$D:$D,
general_ledger!$F:$F,Forecast!$C36,
general_ledger!$B:$B,"&gt;="&amp;Forecast!R$7,
general_ledger!$B:$B,"&lt;"&amp;EDATE(Forecast!R$7,1)
)</f>
        <v>53010.439999999981</v>
      </c>
      <c r="S36">
        <f>SUMIFS(
general_ledger!$D:$D,
general_ledger!$F:$F,Forecast!$C36,
general_ledger!$B:$B,"&gt;="&amp;Forecast!S$7,
general_ledger!$B:$B,"&lt;"&amp;EDATE(Forecast!S$7,1)
)</f>
        <v>74136.279999999984</v>
      </c>
      <c r="T36">
        <f>SUMIFS(
general_ledger!$D:$D,
general_ledger!$F:$F,Forecast!$C36,
general_ledger!$B:$B,"&gt;="&amp;Forecast!T$7,
general_ledger!$B:$B,"&lt;"&amp;EDATE(Forecast!T$7,1)
)</f>
        <v>106777.97</v>
      </c>
      <c r="U36">
        <f>SUMIFS(
general_ledger!$D:$D,
general_ledger!$F:$F,Forecast!$C36,
general_ledger!$B:$B,"&gt;="&amp;Forecast!U$7,
general_ledger!$B:$B,"&lt;"&amp;EDATE(Forecast!U$7,1)
)</f>
        <v>91334.750000000015</v>
      </c>
      <c r="V36">
        <f>SUMIFS(
general_ledger!$D:$D,
general_ledger!$F:$F,Forecast!$C36,
general_ledger!$B:$B,"&gt;="&amp;Forecast!V$7,
general_ledger!$B:$B,"&lt;"&amp;EDATE(Forecast!V$7,1)
)</f>
        <v>103834.05000000002</v>
      </c>
      <c r="W36">
        <f>SUMIFS(
general_ledger!$D:$D,
general_ledger!$F:$F,Forecast!$C36,
general_ledger!$B:$B,"&gt;="&amp;Forecast!W$7,
general_ledger!$B:$B,"&lt;"&amp;EDATE(Forecast!W$7,1)
)</f>
        <v>102920.05</v>
      </c>
      <c r="X36">
        <f>SUMIFS(
general_ledger!$D:$D,
general_ledger!$F:$F,Forecast!$C36,
general_ledger!$B:$B,"&gt;="&amp;Forecast!X$7,
general_ledger!$B:$B,"&lt;"&amp;EDATE(Forecast!X$7,1)
)</f>
        <v>79500.280000000028</v>
      </c>
      <c r="Y36">
        <f>SUMIFS(
general_ledger!$D:$D,
general_ledger!$F:$F,Forecast!$C36,
general_ledger!$B:$B,"&gt;="&amp;Forecast!Y$7,
general_ledger!$B:$B,"&lt;"&amp;EDATE(Forecast!Y$7,1)
)</f>
        <v>101425.38</v>
      </c>
      <c r="Z36">
        <f>SUMIFS(
general_ledger!$D:$D,
general_ledger!$F:$F,Forecast!$C36,
general_ledger!$B:$B,"&gt;="&amp;Forecast!Z$7,
general_ledger!$B:$B,"&lt;"&amp;EDATE(Forecast!Z$7,1)
)</f>
        <v>103520.76000000001</v>
      </c>
      <c r="AA36">
        <f>SUMIFS(
general_ledger!$D:$D,
general_ledger!$F:$F,Forecast!$C36,
general_ledger!$B:$B,"&gt;="&amp;Forecast!AA$7,
general_ledger!$B:$B,"&lt;"&amp;EDATE(Forecast!AA$7,1)
)</f>
        <v>115045.53000000003</v>
      </c>
      <c r="AB36">
        <f>SUMIFS(
general_ledger!$D:$D,
general_ledger!$F:$F,Forecast!$C36,
general_ledger!$B:$B,"&gt;="&amp;Forecast!AB$7,
general_ledger!$B:$B,"&lt;"&amp;EDATE(Forecast!AB$7,1)
)</f>
        <v>125511.47000000002</v>
      </c>
      <c r="AC36" s="2">
        <f>_xlfn.FORECAST.ETS(AC$7,$E36:AB36,$E$7:AB$7,)</f>
        <v>105559.39045405919</v>
      </c>
      <c r="AD36" s="2">
        <f>_xlfn.FORECAST.ETS(AD$7,$E36:AC36,$E$7:AC$7,)</f>
        <v>98215.521334860809</v>
      </c>
      <c r="AE36" s="2">
        <f>_xlfn.FORECAST.ETS(AE$7,$E36:AD36,$E$7:AD$7,)</f>
        <v>110236.5307136092</v>
      </c>
      <c r="AF36" s="2">
        <f>_xlfn.FORECAST.ETS(AF$7,$E36:AE36,$E$7:AE$7,)</f>
        <v>119319.65459364718</v>
      </c>
      <c r="AG36" s="2">
        <f>_xlfn.FORECAST.ETS(AG$7,$E36:AF36,$E$7:AF$7,)</f>
        <v>131209.25757198216</v>
      </c>
      <c r="AH36" s="2">
        <f>_xlfn.FORECAST.ETS(AH$7,$E36:AG36,$E$7:AG$7,)</f>
        <v>144512.17264695259</v>
      </c>
      <c r="AI36" s="2">
        <f>_xlfn.FORECAST.ETS(AI$7,$E36:AH36,$E$7:AH$7,)</f>
        <v>128471.18301951613</v>
      </c>
      <c r="AJ36" s="2">
        <f>_xlfn.FORECAST.ETS(AJ$7,$E36:AI36,$E$7:AI$7,)</f>
        <v>116105.49811996579</v>
      </c>
      <c r="AK36" s="2">
        <f>_xlfn.FORECAST.ETS(AK$7,$E36:AJ36,$E$7:AJ$7,)</f>
        <v>128316.2993209428</v>
      </c>
      <c r="AL36" s="2">
        <f>_xlfn.FORECAST.ETS(AL$7,$E36:AK36,$E$7:AK$7,)</f>
        <v>139874.43962125696</v>
      </c>
      <c r="AM36" s="2">
        <f>_xlfn.FORECAST.ETS(AM$7,$E36:AL36,$E$7:AL$7,)</f>
        <v>150251.05044597411</v>
      </c>
      <c r="AN36" s="2">
        <f>_xlfn.FORECAST.ETS(AN$7,$E36:AM36,$E$7:AM$7,)</f>
        <v>163605.46410454719</v>
      </c>
    </row>
    <row r="37" spans="1:40" x14ac:dyDescent="0.35">
      <c r="B37" s="6" t="s">
        <v>51</v>
      </c>
      <c r="C37" s="5"/>
      <c r="E37">
        <f>E35-E36</f>
        <v>41451.340000000011</v>
      </c>
      <c r="F37">
        <f t="shared" ref="F37:AN37" si="10">F35-F36</f>
        <v>58024.95</v>
      </c>
      <c r="G37">
        <f t="shared" si="10"/>
        <v>71507.560000000041</v>
      </c>
      <c r="H37">
        <f t="shared" si="10"/>
        <v>54832.970000000016</v>
      </c>
      <c r="I37">
        <f t="shared" si="10"/>
        <v>94362.12999999999</v>
      </c>
      <c r="J37">
        <f t="shared" si="10"/>
        <v>72591.209999999977</v>
      </c>
      <c r="K37">
        <f t="shared" si="10"/>
        <v>96517.38999999997</v>
      </c>
      <c r="L37">
        <f t="shared" si="10"/>
        <v>73106.100000000006</v>
      </c>
      <c r="M37">
        <f t="shared" si="10"/>
        <v>69372.780000000028</v>
      </c>
      <c r="N37">
        <f t="shared" si="10"/>
        <v>142291.13000000006</v>
      </c>
      <c r="O37">
        <f t="shared" si="10"/>
        <v>139263.90999999983</v>
      </c>
      <c r="P37">
        <f t="shared" si="10"/>
        <v>202576.18999999989</v>
      </c>
      <c r="Q37">
        <f t="shared" si="10"/>
        <v>76939.689999999944</v>
      </c>
      <c r="R37">
        <f t="shared" si="10"/>
        <v>85224.69000000009</v>
      </c>
      <c r="S37">
        <f t="shared" si="10"/>
        <v>103852.15999999996</v>
      </c>
      <c r="T37">
        <f t="shared" si="10"/>
        <v>111218.43000000008</v>
      </c>
      <c r="U37">
        <f t="shared" si="10"/>
        <v>237815.49</v>
      </c>
      <c r="V37">
        <f t="shared" si="10"/>
        <v>138667.88999999981</v>
      </c>
      <c r="W37">
        <f t="shared" si="10"/>
        <v>113578.86999999998</v>
      </c>
      <c r="X37">
        <f t="shared" si="10"/>
        <v>111754.24000000002</v>
      </c>
      <c r="Y37">
        <f t="shared" si="10"/>
        <v>215849.40000000008</v>
      </c>
      <c r="Z37">
        <f t="shared" si="10"/>
        <v>195535.27999999985</v>
      </c>
      <c r="AA37">
        <f t="shared" si="10"/>
        <v>288716.92999999982</v>
      </c>
      <c r="AB37">
        <f t="shared" si="10"/>
        <v>386287.25000000035</v>
      </c>
      <c r="AC37">
        <f t="shared" si="10"/>
        <v>229617.0295451085</v>
      </c>
      <c r="AD37">
        <f t="shared" si="10"/>
        <v>220405.14297803899</v>
      </c>
      <c r="AE37">
        <f t="shared" si="10"/>
        <v>240524.97878364235</v>
      </c>
      <c r="AF37">
        <f t="shared" si="10"/>
        <v>261057.08128219965</v>
      </c>
      <c r="AG37">
        <f t="shared" si="10"/>
        <v>323280.01022022619</v>
      </c>
      <c r="AH37">
        <f t="shared" si="10"/>
        <v>307330.35217013524</v>
      </c>
      <c r="AI37">
        <f t="shared" si="10"/>
        <v>264609.0197267168</v>
      </c>
      <c r="AJ37">
        <f t="shared" si="10"/>
        <v>259411.17861479369</v>
      </c>
      <c r="AK37">
        <f t="shared" si="10"/>
        <v>297203.39104697219</v>
      </c>
      <c r="AL37">
        <f t="shared" si="10"/>
        <v>314465.76314532157</v>
      </c>
      <c r="AM37">
        <f t="shared" si="10"/>
        <v>375754.7307691006</v>
      </c>
      <c r="AN37">
        <f t="shared" si="10"/>
        <v>355620.07407335017</v>
      </c>
    </row>
    <row r="38" spans="1:40" x14ac:dyDescent="0.35">
      <c r="C38" t="s">
        <v>60</v>
      </c>
      <c r="D38"/>
      <c r="E38" s="21">
        <f>E37/E35</f>
        <v>0.6976520769247212</v>
      </c>
      <c r="F38" s="21">
        <f t="shared" ref="F38:AB38" si="11">F37/F35</f>
        <v>0.84902687024209833</v>
      </c>
      <c r="G38" s="21">
        <f t="shared" si="11"/>
        <v>0.71797954004767695</v>
      </c>
      <c r="H38" s="21">
        <f t="shared" si="11"/>
        <v>0.57200450902493494</v>
      </c>
      <c r="I38" s="21">
        <f t="shared" si="11"/>
        <v>0.62756250011638504</v>
      </c>
      <c r="J38" s="21">
        <f t="shared" si="11"/>
        <v>0.50783429249382483</v>
      </c>
      <c r="K38" s="21">
        <f t="shared" si="11"/>
        <v>0.6436014569578552</v>
      </c>
      <c r="L38" s="21">
        <f t="shared" si="11"/>
        <v>0.5415545868142535</v>
      </c>
      <c r="M38" s="21">
        <f t="shared" si="11"/>
        <v>0.49178321799776481</v>
      </c>
      <c r="N38" s="21">
        <f t="shared" si="11"/>
        <v>0.6939352762358878</v>
      </c>
      <c r="O38" s="21">
        <f t="shared" si="11"/>
        <v>0.59788232129300689</v>
      </c>
      <c r="P38" s="21">
        <f t="shared" si="11"/>
        <v>0.65488228158062534</v>
      </c>
      <c r="Q38" s="21">
        <f t="shared" si="11"/>
        <v>0.50077061970711478</v>
      </c>
      <c r="R38" s="21">
        <f t="shared" si="11"/>
        <v>0.61651976599580771</v>
      </c>
      <c r="S38" s="21">
        <f t="shared" si="11"/>
        <v>0.58347699434862166</v>
      </c>
      <c r="T38" s="21">
        <f t="shared" si="11"/>
        <v>0.51018470947226668</v>
      </c>
      <c r="U38" s="21">
        <f t="shared" si="11"/>
        <v>0.72251349414176336</v>
      </c>
      <c r="V38" s="21">
        <f t="shared" si="11"/>
        <v>0.57182177594125605</v>
      </c>
      <c r="W38" s="21">
        <f t="shared" si="11"/>
        <v>0.52461633526855467</v>
      </c>
      <c r="X38" s="21">
        <f t="shared" si="11"/>
        <v>0.58432208556430454</v>
      </c>
      <c r="Y38" s="21">
        <f t="shared" si="11"/>
        <v>0.68032322014375057</v>
      </c>
      <c r="Z38" s="21">
        <f t="shared" si="11"/>
        <v>0.65384160105911904</v>
      </c>
      <c r="AA38" s="21">
        <f t="shared" si="11"/>
        <v>0.71506630408384164</v>
      </c>
      <c r="AB38" s="21">
        <f t="shared" si="11"/>
        <v>0.75476400175443981</v>
      </c>
      <c r="AC38" s="21">
        <f>AVERAGE($E$12:$AB$12)</f>
        <v>0.62557999321707802</v>
      </c>
      <c r="AD38" s="21">
        <f>AVERAGE($E$12:$AB$12)</f>
        <v>0.62557999321707802</v>
      </c>
      <c r="AE38" s="21">
        <f t="shared" ref="AE38:AN38" si="12">AVERAGE($E$12:$AB$12)</f>
        <v>0.62557999321707802</v>
      </c>
      <c r="AF38" s="21">
        <f t="shared" si="12"/>
        <v>0.62557999321707802</v>
      </c>
      <c r="AG38" s="21">
        <f t="shared" si="12"/>
        <v>0.62557999321707802</v>
      </c>
      <c r="AH38" s="21">
        <f t="shared" si="12"/>
        <v>0.62557999321707802</v>
      </c>
      <c r="AI38" s="21">
        <f t="shared" si="12"/>
        <v>0.62557999321707802</v>
      </c>
      <c r="AJ38" s="21">
        <f t="shared" si="12"/>
        <v>0.62557999321707802</v>
      </c>
      <c r="AK38" s="21">
        <f t="shared" si="12"/>
        <v>0.62557999321707802</v>
      </c>
      <c r="AL38" s="21">
        <f t="shared" si="12"/>
        <v>0.62557999321707802</v>
      </c>
      <c r="AM38" s="21">
        <f t="shared" si="12"/>
        <v>0.62557999321707802</v>
      </c>
      <c r="AN38" s="21">
        <f t="shared" si="12"/>
        <v>0.62557999321707802</v>
      </c>
    </row>
    <row r="40" spans="1:40" x14ac:dyDescent="0.35">
      <c r="B40" s="6" t="s">
        <v>49</v>
      </c>
    </row>
    <row r="41" spans="1:40" x14ac:dyDescent="0.35">
      <c r="C41" s="6" t="s">
        <v>31</v>
      </c>
    </row>
    <row r="42" spans="1:40" x14ac:dyDescent="0.35">
      <c r="D42" t="s">
        <v>38</v>
      </c>
      <c r="E42">
        <f>SUMIFS(
general_ledger!$D:$D,
general_ledger!$C:$C,Forecast!$D42,
general_ledger!$B:$B,"&gt;="&amp;Forecast!E$7,
general_ledger!$B:$B,"&lt;"&amp;EDATE(Forecast!E$7,1)
)</f>
        <v>48.28</v>
      </c>
      <c r="F42">
        <f>SUMIFS(
general_ledger!$D:$D,
general_ledger!$C:$C,Forecast!$D42,
general_ledger!$B:$B,"&gt;="&amp;Forecast!F$7,
general_ledger!$B:$B,"&lt;"&amp;EDATE(Forecast!F$7,1)
)</f>
        <v>48.28</v>
      </c>
      <c r="G42">
        <f>SUMIFS(
general_ledger!$D:$D,
general_ledger!$C:$C,Forecast!$D42,
general_ledger!$B:$B,"&gt;="&amp;Forecast!G$7,
general_ledger!$B:$B,"&lt;"&amp;EDATE(Forecast!G$7,1)
)</f>
        <v>48.28</v>
      </c>
      <c r="H42">
        <f>SUMIFS(
general_ledger!$D:$D,
general_ledger!$C:$C,Forecast!$D42,
general_ledger!$B:$B,"&gt;="&amp;Forecast!H$7,
general_ledger!$B:$B,"&lt;"&amp;EDATE(Forecast!H$7,1)
)</f>
        <v>48.28</v>
      </c>
      <c r="I42">
        <f>SUMIFS(
general_ledger!$D:$D,
general_ledger!$C:$C,Forecast!$D42,
general_ledger!$B:$B,"&gt;="&amp;Forecast!I$7,
general_ledger!$B:$B,"&lt;"&amp;EDATE(Forecast!I$7,1)
)</f>
        <v>48.28</v>
      </c>
      <c r="J42">
        <f>SUMIFS(
general_ledger!$D:$D,
general_ledger!$C:$C,Forecast!$D42,
general_ledger!$B:$B,"&gt;="&amp;Forecast!J$7,
general_ledger!$B:$B,"&lt;"&amp;EDATE(Forecast!J$7,1)
)</f>
        <v>48.28</v>
      </c>
      <c r="K42">
        <f>SUMIFS(
general_ledger!$D:$D,
general_ledger!$C:$C,Forecast!$D42,
general_ledger!$B:$B,"&gt;="&amp;Forecast!K$7,
general_ledger!$B:$B,"&lt;"&amp;EDATE(Forecast!K$7,1)
)</f>
        <v>48.28</v>
      </c>
      <c r="L42">
        <f>SUMIFS(
general_ledger!$D:$D,
general_ledger!$C:$C,Forecast!$D42,
general_ledger!$B:$B,"&gt;="&amp;Forecast!L$7,
general_ledger!$B:$B,"&lt;"&amp;EDATE(Forecast!L$7,1)
)</f>
        <v>48.28</v>
      </c>
      <c r="M42">
        <f>SUMIFS(
general_ledger!$D:$D,
general_ledger!$C:$C,Forecast!$D42,
general_ledger!$B:$B,"&gt;="&amp;Forecast!M$7,
general_ledger!$B:$B,"&lt;"&amp;EDATE(Forecast!M$7,1)
)</f>
        <v>48.28</v>
      </c>
      <c r="N42">
        <f>SUMIFS(
general_ledger!$D:$D,
general_ledger!$C:$C,Forecast!$D42,
general_ledger!$B:$B,"&gt;="&amp;Forecast!N$7,
general_ledger!$B:$B,"&lt;"&amp;EDATE(Forecast!N$7,1)
)</f>
        <v>48.28</v>
      </c>
      <c r="O42">
        <f>SUMIFS(
general_ledger!$D:$D,
general_ledger!$C:$C,Forecast!$D42,
general_ledger!$B:$B,"&gt;="&amp;Forecast!O$7,
general_ledger!$B:$B,"&lt;"&amp;EDATE(Forecast!O$7,1)
)</f>
        <v>48.28</v>
      </c>
      <c r="P42">
        <f>SUMIFS(
general_ledger!$D:$D,
general_ledger!$C:$C,Forecast!$D42,
general_ledger!$B:$B,"&gt;="&amp;Forecast!P$7,
general_ledger!$B:$B,"&lt;"&amp;EDATE(Forecast!P$7,1)
)</f>
        <v>48.28</v>
      </c>
      <c r="Q42">
        <f>SUMIFS(
general_ledger!$D:$D,
general_ledger!$C:$C,Forecast!$D42,
general_ledger!$B:$B,"&gt;="&amp;Forecast!Q$7,
general_ledger!$B:$B,"&lt;"&amp;EDATE(Forecast!Q$7,1)
)</f>
        <v>48.28</v>
      </c>
      <c r="R42">
        <f>SUMIFS(
general_ledger!$D:$D,
general_ledger!$C:$C,Forecast!$D42,
general_ledger!$B:$B,"&gt;="&amp;Forecast!R$7,
general_ledger!$B:$B,"&lt;"&amp;EDATE(Forecast!R$7,1)
)</f>
        <v>48.28</v>
      </c>
      <c r="S42">
        <f>SUMIFS(
general_ledger!$D:$D,
general_ledger!$C:$C,Forecast!$D42,
general_ledger!$B:$B,"&gt;="&amp;Forecast!S$7,
general_ledger!$B:$B,"&lt;"&amp;EDATE(Forecast!S$7,1)
)</f>
        <v>48.28</v>
      </c>
      <c r="T42">
        <f>SUMIFS(
general_ledger!$D:$D,
general_ledger!$C:$C,Forecast!$D42,
general_ledger!$B:$B,"&gt;="&amp;Forecast!T$7,
general_ledger!$B:$B,"&lt;"&amp;EDATE(Forecast!T$7,1)
)</f>
        <v>48.28</v>
      </c>
      <c r="U42">
        <f>SUMIFS(
general_ledger!$D:$D,
general_ledger!$C:$C,Forecast!$D42,
general_ledger!$B:$B,"&gt;="&amp;Forecast!U$7,
general_ledger!$B:$B,"&lt;"&amp;EDATE(Forecast!U$7,1)
)</f>
        <v>48.28</v>
      </c>
      <c r="V42">
        <f>SUMIFS(
general_ledger!$D:$D,
general_ledger!$C:$C,Forecast!$D42,
general_ledger!$B:$B,"&gt;="&amp;Forecast!V$7,
general_ledger!$B:$B,"&lt;"&amp;EDATE(Forecast!V$7,1)
)</f>
        <v>48.28</v>
      </c>
      <c r="W42">
        <f>SUMIFS(
general_ledger!$D:$D,
general_ledger!$C:$C,Forecast!$D42,
general_ledger!$B:$B,"&gt;="&amp;Forecast!W$7,
general_ledger!$B:$B,"&lt;"&amp;EDATE(Forecast!W$7,1)
)</f>
        <v>48.28</v>
      </c>
      <c r="X42">
        <f>SUMIFS(
general_ledger!$D:$D,
general_ledger!$C:$C,Forecast!$D42,
general_ledger!$B:$B,"&gt;="&amp;Forecast!X$7,
general_ledger!$B:$B,"&lt;"&amp;EDATE(Forecast!X$7,1)
)</f>
        <v>48.28</v>
      </c>
      <c r="Y42">
        <f>SUMIFS(
general_ledger!$D:$D,
general_ledger!$C:$C,Forecast!$D42,
general_ledger!$B:$B,"&gt;="&amp;Forecast!Y$7,
general_ledger!$B:$B,"&lt;"&amp;EDATE(Forecast!Y$7,1)
)</f>
        <v>48.28</v>
      </c>
      <c r="Z42">
        <f>SUMIFS(
general_ledger!$D:$D,
general_ledger!$C:$C,Forecast!$D42,
general_ledger!$B:$B,"&gt;="&amp;Forecast!Z$7,
general_ledger!$B:$B,"&lt;"&amp;EDATE(Forecast!Z$7,1)
)</f>
        <v>48.28</v>
      </c>
      <c r="AA42">
        <f>SUMIFS(
general_ledger!$D:$D,
general_ledger!$C:$C,Forecast!$D42,
general_ledger!$B:$B,"&gt;="&amp;Forecast!AA$7,
general_ledger!$B:$B,"&lt;"&amp;EDATE(Forecast!AA$7,1)
)</f>
        <v>48.28</v>
      </c>
      <c r="AB42">
        <f>SUMIFS(
general_ledger!$D:$D,
general_ledger!$C:$C,Forecast!$D42,
general_ledger!$B:$B,"&gt;="&amp;Forecast!AB$7,
general_ledger!$B:$B,"&lt;"&amp;EDATE(Forecast!AB$7,1)
)</f>
        <v>48.28</v>
      </c>
    </row>
    <row r="43" spans="1:40" x14ac:dyDescent="0.35">
      <c r="D43" t="s">
        <v>40</v>
      </c>
      <c r="E43">
        <f>SUMIFS(
general_ledger!$D:$D,
general_ledger!$C:$C,Forecast!$D43,
general_ledger!$B:$B,"&gt;="&amp;Forecast!E$7,
general_ledger!$B:$B,"&lt;"&amp;EDATE(Forecast!E$7,1)
)</f>
        <v>232.19</v>
      </c>
      <c r="F43">
        <f>SUMIFS(
general_ledger!$D:$D,
general_ledger!$C:$C,Forecast!$D43,
general_ledger!$B:$B,"&gt;="&amp;Forecast!F$7,
general_ledger!$B:$B,"&lt;"&amp;EDATE(Forecast!F$7,1)
)</f>
        <v>232.19</v>
      </c>
      <c r="G43">
        <f>SUMIFS(
general_ledger!$D:$D,
general_ledger!$C:$C,Forecast!$D43,
general_ledger!$B:$B,"&gt;="&amp;Forecast!G$7,
general_ledger!$B:$B,"&lt;"&amp;EDATE(Forecast!G$7,1)
)</f>
        <v>232.19</v>
      </c>
      <c r="H43">
        <f>SUMIFS(
general_ledger!$D:$D,
general_ledger!$C:$C,Forecast!$D43,
general_ledger!$B:$B,"&gt;="&amp;Forecast!H$7,
general_ledger!$B:$B,"&lt;"&amp;EDATE(Forecast!H$7,1)
)</f>
        <v>232.19</v>
      </c>
      <c r="I43">
        <f>SUMIFS(
general_ledger!$D:$D,
general_ledger!$C:$C,Forecast!$D43,
general_ledger!$B:$B,"&gt;="&amp;Forecast!I$7,
general_ledger!$B:$B,"&lt;"&amp;EDATE(Forecast!I$7,1)
)</f>
        <v>232.19</v>
      </c>
      <c r="J43">
        <f>SUMIFS(
general_ledger!$D:$D,
general_ledger!$C:$C,Forecast!$D43,
general_ledger!$B:$B,"&gt;="&amp;Forecast!J$7,
general_ledger!$B:$B,"&lt;"&amp;EDATE(Forecast!J$7,1)
)</f>
        <v>232.19</v>
      </c>
      <c r="K43">
        <f>SUMIFS(
general_ledger!$D:$D,
general_ledger!$C:$C,Forecast!$D43,
general_ledger!$B:$B,"&gt;="&amp;Forecast!K$7,
general_ledger!$B:$B,"&lt;"&amp;EDATE(Forecast!K$7,1)
)</f>
        <v>232.19</v>
      </c>
      <c r="L43">
        <f>SUMIFS(
general_ledger!$D:$D,
general_ledger!$C:$C,Forecast!$D43,
general_ledger!$B:$B,"&gt;="&amp;Forecast!L$7,
general_ledger!$B:$B,"&lt;"&amp;EDATE(Forecast!L$7,1)
)</f>
        <v>232.19</v>
      </c>
      <c r="M43">
        <f>SUMIFS(
general_ledger!$D:$D,
general_ledger!$C:$C,Forecast!$D43,
general_ledger!$B:$B,"&gt;="&amp;Forecast!M$7,
general_ledger!$B:$B,"&lt;"&amp;EDATE(Forecast!M$7,1)
)</f>
        <v>232.19</v>
      </c>
      <c r="N43">
        <f>SUMIFS(
general_ledger!$D:$D,
general_ledger!$C:$C,Forecast!$D43,
general_ledger!$B:$B,"&gt;="&amp;Forecast!N$7,
general_ledger!$B:$B,"&lt;"&amp;EDATE(Forecast!N$7,1)
)</f>
        <v>232.19</v>
      </c>
      <c r="O43">
        <f>SUMIFS(
general_ledger!$D:$D,
general_ledger!$C:$C,Forecast!$D43,
general_ledger!$B:$B,"&gt;="&amp;Forecast!O$7,
general_ledger!$B:$B,"&lt;"&amp;EDATE(Forecast!O$7,1)
)</f>
        <v>232.19</v>
      </c>
      <c r="P43">
        <f>SUMIFS(
general_ledger!$D:$D,
general_ledger!$C:$C,Forecast!$D43,
general_ledger!$B:$B,"&gt;="&amp;Forecast!P$7,
general_ledger!$B:$B,"&lt;"&amp;EDATE(Forecast!P$7,1)
)</f>
        <v>232.19</v>
      </c>
      <c r="Q43">
        <f>SUMIFS(
general_ledger!$D:$D,
general_ledger!$C:$C,Forecast!$D43,
general_ledger!$B:$B,"&gt;="&amp;Forecast!Q$7,
general_ledger!$B:$B,"&lt;"&amp;EDATE(Forecast!Q$7,1)
)</f>
        <v>232.19</v>
      </c>
      <c r="R43">
        <f>SUMIFS(
general_ledger!$D:$D,
general_ledger!$C:$C,Forecast!$D43,
general_ledger!$B:$B,"&gt;="&amp;Forecast!R$7,
general_ledger!$B:$B,"&lt;"&amp;EDATE(Forecast!R$7,1)
)</f>
        <v>232.19</v>
      </c>
      <c r="S43">
        <f>SUMIFS(
general_ledger!$D:$D,
general_ledger!$C:$C,Forecast!$D43,
general_ledger!$B:$B,"&gt;="&amp;Forecast!S$7,
general_ledger!$B:$B,"&lt;"&amp;EDATE(Forecast!S$7,1)
)</f>
        <v>232.19</v>
      </c>
      <c r="T43">
        <f>SUMIFS(
general_ledger!$D:$D,
general_ledger!$C:$C,Forecast!$D43,
general_ledger!$B:$B,"&gt;="&amp;Forecast!T$7,
general_ledger!$B:$B,"&lt;"&amp;EDATE(Forecast!T$7,1)
)</f>
        <v>232.19</v>
      </c>
      <c r="U43">
        <f>SUMIFS(
general_ledger!$D:$D,
general_ledger!$C:$C,Forecast!$D43,
general_ledger!$B:$B,"&gt;="&amp;Forecast!U$7,
general_ledger!$B:$B,"&lt;"&amp;EDATE(Forecast!U$7,1)
)</f>
        <v>232.19</v>
      </c>
      <c r="V43">
        <f>SUMIFS(
general_ledger!$D:$D,
general_ledger!$C:$C,Forecast!$D43,
general_ledger!$B:$B,"&gt;="&amp;Forecast!V$7,
general_ledger!$B:$B,"&lt;"&amp;EDATE(Forecast!V$7,1)
)</f>
        <v>232.19</v>
      </c>
      <c r="W43">
        <f>SUMIFS(
general_ledger!$D:$D,
general_ledger!$C:$C,Forecast!$D43,
general_ledger!$B:$B,"&gt;="&amp;Forecast!W$7,
general_ledger!$B:$B,"&lt;"&amp;EDATE(Forecast!W$7,1)
)</f>
        <v>232.19</v>
      </c>
      <c r="X43">
        <f>SUMIFS(
general_ledger!$D:$D,
general_ledger!$C:$C,Forecast!$D43,
general_ledger!$B:$B,"&gt;="&amp;Forecast!X$7,
general_ledger!$B:$B,"&lt;"&amp;EDATE(Forecast!X$7,1)
)</f>
        <v>232.19</v>
      </c>
      <c r="Y43">
        <f>SUMIFS(
general_ledger!$D:$D,
general_ledger!$C:$C,Forecast!$D43,
general_ledger!$B:$B,"&gt;="&amp;Forecast!Y$7,
general_ledger!$B:$B,"&lt;"&amp;EDATE(Forecast!Y$7,1)
)</f>
        <v>232.19</v>
      </c>
      <c r="Z43">
        <f>SUMIFS(
general_ledger!$D:$D,
general_ledger!$C:$C,Forecast!$D43,
general_ledger!$B:$B,"&gt;="&amp;Forecast!Z$7,
general_ledger!$B:$B,"&lt;"&amp;EDATE(Forecast!Z$7,1)
)</f>
        <v>232.19</v>
      </c>
      <c r="AA43">
        <f>SUMIFS(
general_ledger!$D:$D,
general_ledger!$C:$C,Forecast!$D43,
general_ledger!$B:$B,"&gt;="&amp;Forecast!AA$7,
general_ledger!$B:$B,"&lt;"&amp;EDATE(Forecast!AA$7,1)
)</f>
        <v>232.19</v>
      </c>
      <c r="AB43">
        <f>SUMIFS(
general_ledger!$D:$D,
general_ledger!$C:$C,Forecast!$D43,
general_ledger!$B:$B,"&gt;="&amp;Forecast!AB$7,
general_ledger!$B:$B,"&lt;"&amp;EDATE(Forecast!AB$7,1)
)</f>
        <v>232.19</v>
      </c>
    </row>
    <row r="44" spans="1:40" x14ac:dyDescent="0.35">
      <c r="D44" t="s">
        <v>37</v>
      </c>
      <c r="E44">
        <f>SUMIFS(
general_ledger!$D:$D,
general_ledger!$C:$C,Forecast!$D44,
general_ledger!$B:$B,"&gt;="&amp;Forecast!E$7,
general_ledger!$B:$B,"&lt;"&amp;EDATE(Forecast!E$7,1)
)</f>
        <v>76.8</v>
      </c>
      <c r="F44">
        <f>SUMIFS(
general_ledger!$D:$D,
general_ledger!$C:$C,Forecast!$D44,
general_ledger!$B:$B,"&gt;="&amp;Forecast!F$7,
general_ledger!$B:$B,"&lt;"&amp;EDATE(Forecast!F$7,1)
)</f>
        <v>76.8</v>
      </c>
      <c r="G44">
        <f>SUMIFS(
general_ledger!$D:$D,
general_ledger!$C:$C,Forecast!$D44,
general_ledger!$B:$B,"&gt;="&amp;Forecast!G$7,
general_ledger!$B:$B,"&lt;"&amp;EDATE(Forecast!G$7,1)
)</f>
        <v>76.8</v>
      </c>
      <c r="H44">
        <f>SUMIFS(
general_ledger!$D:$D,
general_ledger!$C:$C,Forecast!$D44,
general_ledger!$B:$B,"&gt;="&amp;Forecast!H$7,
general_ledger!$B:$B,"&lt;"&amp;EDATE(Forecast!H$7,1)
)</f>
        <v>76.8</v>
      </c>
      <c r="I44">
        <f>SUMIFS(
general_ledger!$D:$D,
general_ledger!$C:$C,Forecast!$D44,
general_ledger!$B:$B,"&gt;="&amp;Forecast!I$7,
general_ledger!$B:$B,"&lt;"&amp;EDATE(Forecast!I$7,1)
)</f>
        <v>76.8</v>
      </c>
      <c r="J44">
        <f>SUMIFS(
general_ledger!$D:$D,
general_ledger!$C:$C,Forecast!$D44,
general_ledger!$B:$B,"&gt;="&amp;Forecast!J$7,
general_ledger!$B:$B,"&lt;"&amp;EDATE(Forecast!J$7,1)
)</f>
        <v>76.8</v>
      </c>
      <c r="K44">
        <f>SUMIFS(
general_ledger!$D:$D,
general_ledger!$C:$C,Forecast!$D44,
general_ledger!$B:$B,"&gt;="&amp;Forecast!K$7,
general_ledger!$B:$B,"&lt;"&amp;EDATE(Forecast!K$7,1)
)</f>
        <v>76.8</v>
      </c>
      <c r="L44">
        <f>SUMIFS(
general_ledger!$D:$D,
general_ledger!$C:$C,Forecast!$D44,
general_ledger!$B:$B,"&gt;="&amp;Forecast!L$7,
general_ledger!$B:$B,"&lt;"&amp;EDATE(Forecast!L$7,1)
)</f>
        <v>76.8</v>
      </c>
      <c r="M44">
        <f>SUMIFS(
general_ledger!$D:$D,
general_ledger!$C:$C,Forecast!$D44,
general_ledger!$B:$B,"&gt;="&amp;Forecast!M$7,
general_ledger!$B:$B,"&lt;"&amp;EDATE(Forecast!M$7,1)
)</f>
        <v>76.8</v>
      </c>
      <c r="N44">
        <f>SUMIFS(
general_ledger!$D:$D,
general_ledger!$C:$C,Forecast!$D44,
general_ledger!$B:$B,"&gt;="&amp;Forecast!N$7,
general_ledger!$B:$B,"&lt;"&amp;EDATE(Forecast!N$7,1)
)</f>
        <v>76.8</v>
      </c>
      <c r="O44">
        <f>SUMIFS(
general_ledger!$D:$D,
general_ledger!$C:$C,Forecast!$D44,
general_ledger!$B:$B,"&gt;="&amp;Forecast!O$7,
general_ledger!$B:$B,"&lt;"&amp;EDATE(Forecast!O$7,1)
)</f>
        <v>76.8</v>
      </c>
      <c r="P44">
        <f>SUMIFS(
general_ledger!$D:$D,
general_ledger!$C:$C,Forecast!$D44,
general_ledger!$B:$B,"&gt;="&amp;Forecast!P$7,
general_ledger!$B:$B,"&lt;"&amp;EDATE(Forecast!P$7,1)
)</f>
        <v>76.8</v>
      </c>
      <c r="Q44">
        <f>SUMIFS(
general_ledger!$D:$D,
general_ledger!$C:$C,Forecast!$D44,
general_ledger!$B:$B,"&gt;="&amp;Forecast!Q$7,
general_ledger!$B:$B,"&lt;"&amp;EDATE(Forecast!Q$7,1)
)</f>
        <v>76.8</v>
      </c>
      <c r="R44">
        <f>SUMIFS(
general_ledger!$D:$D,
general_ledger!$C:$C,Forecast!$D44,
general_ledger!$B:$B,"&gt;="&amp;Forecast!R$7,
general_ledger!$B:$B,"&lt;"&amp;EDATE(Forecast!R$7,1)
)</f>
        <v>76.8</v>
      </c>
      <c r="S44">
        <f>SUMIFS(
general_ledger!$D:$D,
general_ledger!$C:$C,Forecast!$D44,
general_ledger!$B:$B,"&gt;="&amp;Forecast!S$7,
general_ledger!$B:$B,"&lt;"&amp;EDATE(Forecast!S$7,1)
)</f>
        <v>76.8</v>
      </c>
      <c r="T44">
        <f>SUMIFS(
general_ledger!$D:$D,
general_ledger!$C:$C,Forecast!$D44,
general_ledger!$B:$B,"&gt;="&amp;Forecast!T$7,
general_ledger!$B:$B,"&lt;"&amp;EDATE(Forecast!T$7,1)
)</f>
        <v>76.8</v>
      </c>
      <c r="U44">
        <f>SUMIFS(
general_ledger!$D:$D,
general_ledger!$C:$C,Forecast!$D44,
general_ledger!$B:$B,"&gt;="&amp;Forecast!U$7,
general_ledger!$B:$B,"&lt;"&amp;EDATE(Forecast!U$7,1)
)</f>
        <v>76.8</v>
      </c>
      <c r="V44">
        <f>SUMIFS(
general_ledger!$D:$D,
general_ledger!$C:$C,Forecast!$D44,
general_ledger!$B:$B,"&gt;="&amp;Forecast!V$7,
general_ledger!$B:$B,"&lt;"&amp;EDATE(Forecast!V$7,1)
)</f>
        <v>76.8</v>
      </c>
      <c r="W44">
        <f>SUMIFS(
general_ledger!$D:$D,
general_ledger!$C:$C,Forecast!$D44,
general_ledger!$B:$B,"&gt;="&amp;Forecast!W$7,
general_ledger!$B:$B,"&lt;"&amp;EDATE(Forecast!W$7,1)
)</f>
        <v>76.8</v>
      </c>
      <c r="X44">
        <f>SUMIFS(
general_ledger!$D:$D,
general_ledger!$C:$C,Forecast!$D44,
general_ledger!$B:$B,"&gt;="&amp;Forecast!X$7,
general_ledger!$B:$B,"&lt;"&amp;EDATE(Forecast!X$7,1)
)</f>
        <v>76.8</v>
      </c>
      <c r="Y44">
        <f>SUMIFS(
general_ledger!$D:$D,
general_ledger!$C:$C,Forecast!$D44,
general_ledger!$B:$B,"&gt;="&amp;Forecast!Y$7,
general_ledger!$B:$B,"&lt;"&amp;EDATE(Forecast!Y$7,1)
)</f>
        <v>76.8</v>
      </c>
      <c r="Z44">
        <f>SUMIFS(
general_ledger!$D:$D,
general_ledger!$C:$C,Forecast!$D44,
general_ledger!$B:$B,"&gt;="&amp;Forecast!Z$7,
general_ledger!$B:$B,"&lt;"&amp;EDATE(Forecast!Z$7,1)
)</f>
        <v>76.8</v>
      </c>
      <c r="AA44">
        <f>SUMIFS(
general_ledger!$D:$D,
general_ledger!$C:$C,Forecast!$D44,
general_ledger!$B:$B,"&gt;="&amp;Forecast!AA$7,
general_ledger!$B:$B,"&lt;"&amp;EDATE(Forecast!AA$7,1)
)</f>
        <v>76.8</v>
      </c>
      <c r="AB44">
        <f>SUMIFS(
general_ledger!$D:$D,
general_ledger!$C:$C,Forecast!$D44,
general_ledger!$B:$B,"&gt;="&amp;Forecast!AB$7,
general_ledger!$B:$B,"&lt;"&amp;EDATE(Forecast!AB$7,1)
)</f>
        <v>76.8</v>
      </c>
    </row>
    <row r="45" spans="1:40" x14ac:dyDescent="0.35">
      <c r="D45" t="s">
        <v>33</v>
      </c>
      <c r="E45">
        <f>SUMIFS(
general_ledger!$D:$D,
general_ledger!$C:$C,Forecast!$D45,
general_ledger!$B:$B,"&gt;="&amp;Forecast!E$7,
general_ledger!$B:$B,"&lt;"&amp;EDATE(Forecast!E$7,1)
)</f>
        <v>76.86</v>
      </c>
      <c r="F45">
        <f>SUMIFS(
general_ledger!$D:$D,
general_ledger!$C:$C,Forecast!$D45,
general_ledger!$B:$B,"&gt;="&amp;Forecast!F$7,
general_ledger!$B:$B,"&lt;"&amp;EDATE(Forecast!F$7,1)
)</f>
        <v>76.86</v>
      </c>
      <c r="G45">
        <f>SUMIFS(
general_ledger!$D:$D,
general_ledger!$C:$C,Forecast!$D45,
general_ledger!$B:$B,"&gt;="&amp;Forecast!G$7,
general_ledger!$B:$B,"&lt;"&amp;EDATE(Forecast!G$7,1)
)</f>
        <v>76.86</v>
      </c>
      <c r="H45">
        <f>SUMIFS(
general_ledger!$D:$D,
general_ledger!$C:$C,Forecast!$D45,
general_ledger!$B:$B,"&gt;="&amp;Forecast!H$7,
general_ledger!$B:$B,"&lt;"&amp;EDATE(Forecast!H$7,1)
)</f>
        <v>76.86</v>
      </c>
      <c r="I45">
        <f>SUMIFS(
general_ledger!$D:$D,
general_ledger!$C:$C,Forecast!$D45,
general_ledger!$B:$B,"&gt;="&amp;Forecast!I$7,
general_ledger!$B:$B,"&lt;"&amp;EDATE(Forecast!I$7,1)
)</f>
        <v>76.86</v>
      </c>
      <c r="J45">
        <f>SUMIFS(
general_ledger!$D:$D,
general_ledger!$C:$C,Forecast!$D45,
general_ledger!$B:$B,"&gt;="&amp;Forecast!J$7,
general_ledger!$B:$B,"&lt;"&amp;EDATE(Forecast!J$7,1)
)</f>
        <v>76.86</v>
      </c>
      <c r="K45">
        <f>SUMIFS(
general_ledger!$D:$D,
general_ledger!$C:$C,Forecast!$D45,
general_ledger!$B:$B,"&gt;="&amp;Forecast!K$7,
general_ledger!$B:$B,"&lt;"&amp;EDATE(Forecast!K$7,1)
)</f>
        <v>76.86</v>
      </c>
      <c r="L45">
        <f>SUMIFS(
general_ledger!$D:$D,
general_ledger!$C:$C,Forecast!$D45,
general_ledger!$B:$B,"&gt;="&amp;Forecast!L$7,
general_ledger!$B:$B,"&lt;"&amp;EDATE(Forecast!L$7,1)
)</f>
        <v>76.86</v>
      </c>
      <c r="M45">
        <f>SUMIFS(
general_ledger!$D:$D,
general_ledger!$C:$C,Forecast!$D45,
general_ledger!$B:$B,"&gt;="&amp;Forecast!M$7,
general_ledger!$B:$B,"&lt;"&amp;EDATE(Forecast!M$7,1)
)</f>
        <v>76.86</v>
      </c>
      <c r="N45">
        <f>SUMIFS(
general_ledger!$D:$D,
general_ledger!$C:$C,Forecast!$D45,
general_ledger!$B:$B,"&gt;="&amp;Forecast!N$7,
general_ledger!$B:$B,"&lt;"&amp;EDATE(Forecast!N$7,1)
)</f>
        <v>76.86</v>
      </c>
      <c r="O45">
        <f>SUMIFS(
general_ledger!$D:$D,
general_ledger!$C:$C,Forecast!$D45,
general_ledger!$B:$B,"&gt;="&amp;Forecast!O$7,
general_ledger!$B:$B,"&lt;"&amp;EDATE(Forecast!O$7,1)
)</f>
        <v>76.86</v>
      </c>
      <c r="P45">
        <f>SUMIFS(
general_ledger!$D:$D,
general_ledger!$C:$C,Forecast!$D45,
general_ledger!$B:$B,"&gt;="&amp;Forecast!P$7,
general_ledger!$B:$B,"&lt;"&amp;EDATE(Forecast!P$7,1)
)</f>
        <v>76.86</v>
      </c>
      <c r="Q45">
        <f>SUMIFS(
general_ledger!$D:$D,
general_ledger!$C:$C,Forecast!$D45,
general_ledger!$B:$B,"&gt;="&amp;Forecast!Q$7,
general_ledger!$B:$B,"&lt;"&amp;EDATE(Forecast!Q$7,1)
)</f>
        <v>76.86</v>
      </c>
      <c r="R45">
        <f>SUMIFS(
general_ledger!$D:$D,
general_ledger!$C:$C,Forecast!$D45,
general_ledger!$B:$B,"&gt;="&amp;Forecast!R$7,
general_ledger!$B:$B,"&lt;"&amp;EDATE(Forecast!R$7,1)
)</f>
        <v>76.86</v>
      </c>
      <c r="S45">
        <f>SUMIFS(
general_ledger!$D:$D,
general_ledger!$C:$C,Forecast!$D45,
general_ledger!$B:$B,"&gt;="&amp;Forecast!S$7,
general_ledger!$B:$B,"&lt;"&amp;EDATE(Forecast!S$7,1)
)</f>
        <v>76.86</v>
      </c>
      <c r="T45">
        <f>SUMIFS(
general_ledger!$D:$D,
general_ledger!$C:$C,Forecast!$D45,
general_ledger!$B:$B,"&gt;="&amp;Forecast!T$7,
general_ledger!$B:$B,"&lt;"&amp;EDATE(Forecast!T$7,1)
)</f>
        <v>76.86</v>
      </c>
      <c r="U45">
        <f>SUMIFS(
general_ledger!$D:$D,
general_ledger!$C:$C,Forecast!$D45,
general_ledger!$B:$B,"&gt;="&amp;Forecast!U$7,
general_ledger!$B:$B,"&lt;"&amp;EDATE(Forecast!U$7,1)
)</f>
        <v>76.86</v>
      </c>
      <c r="V45">
        <f>SUMIFS(
general_ledger!$D:$D,
general_ledger!$C:$C,Forecast!$D45,
general_ledger!$B:$B,"&gt;="&amp;Forecast!V$7,
general_ledger!$B:$B,"&lt;"&amp;EDATE(Forecast!V$7,1)
)</f>
        <v>76.86</v>
      </c>
      <c r="W45">
        <f>SUMIFS(
general_ledger!$D:$D,
general_ledger!$C:$C,Forecast!$D45,
general_ledger!$B:$B,"&gt;="&amp;Forecast!W$7,
general_ledger!$B:$B,"&lt;"&amp;EDATE(Forecast!W$7,1)
)</f>
        <v>76.86</v>
      </c>
      <c r="X45">
        <f>SUMIFS(
general_ledger!$D:$D,
general_ledger!$C:$C,Forecast!$D45,
general_ledger!$B:$B,"&gt;="&amp;Forecast!X$7,
general_ledger!$B:$B,"&lt;"&amp;EDATE(Forecast!X$7,1)
)</f>
        <v>76.86</v>
      </c>
      <c r="Y45">
        <f>SUMIFS(
general_ledger!$D:$D,
general_ledger!$C:$C,Forecast!$D45,
general_ledger!$B:$B,"&gt;="&amp;Forecast!Y$7,
general_ledger!$B:$B,"&lt;"&amp;EDATE(Forecast!Y$7,1)
)</f>
        <v>76.86</v>
      </c>
      <c r="Z45">
        <f>SUMIFS(
general_ledger!$D:$D,
general_ledger!$C:$C,Forecast!$D45,
general_ledger!$B:$B,"&gt;="&amp;Forecast!Z$7,
general_ledger!$B:$B,"&lt;"&amp;EDATE(Forecast!Z$7,1)
)</f>
        <v>0.04</v>
      </c>
      <c r="AA45">
        <f>SUMIFS(
general_ledger!$D:$D,
general_ledger!$C:$C,Forecast!$D45,
general_ledger!$B:$B,"&gt;="&amp;Forecast!AA$7,
general_ledger!$B:$B,"&lt;"&amp;EDATE(Forecast!AA$7,1)
)</f>
        <v>0</v>
      </c>
      <c r="AB45">
        <f>SUMIFS(
general_ledger!$D:$D,
general_ledger!$C:$C,Forecast!$D45,
general_ledger!$B:$B,"&gt;="&amp;Forecast!AB$7,
general_ledger!$B:$B,"&lt;"&amp;EDATE(Forecast!AB$7,1)
)</f>
        <v>0</v>
      </c>
    </row>
    <row r="46" spans="1:40" x14ac:dyDescent="0.35">
      <c r="D46" t="s">
        <v>30</v>
      </c>
      <c r="E46">
        <f>SUMIFS(
general_ledger!$D:$D,
general_ledger!$C:$C,Forecast!$D46,
general_ledger!$B:$B,"&gt;="&amp;Forecast!E$7,
general_ledger!$B:$B,"&lt;"&amp;EDATE(Forecast!E$7,1)
)</f>
        <v>93.61</v>
      </c>
      <c r="F46">
        <f>SUMIFS(
general_ledger!$D:$D,
general_ledger!$C:$C,Forecast!$D46,
general_ledger!$B:$B,"&gt;="&amp;Forecast!F$7,
general_ledger!$B:$B,"&lt;"&amp;EDATE(Forecast!F$7,1)
)</f>
        <v>93.61</v>
      </c>
      <c r="G46">
        <f>SUMIFS(
general_ledger!$D:$D,
general_ledger!$C:$C,Forecast!$D46,
general_ledger!$B:$B,"&gt;="&amp;Forecast!G$7,
general_ledger!$B:$B,"&lt;"&amp;EDATE(Forecast!G$7,1)
)</f>
        <v>93.61</v>
      </c>
      <c r="H46">
        <f>SUMIFS(
general_ledger!$D:$D,
general_ledger!$C:$C,Forecast!$D46,
general_ledger!$B:$B,"&gt;="&amp;Forecast!H$7,
general_ledger!$B:$B,"&lt;"&amp;EDATE(Forecast!H$7,1)
)</f>
        <v>93.61</v>
      </c>
      <c r="I46">
        <f>SUMIFS(
general_ledger!$D:$D,
general_ledger!$C:$C,Forecast!$D46,
general_ledger!$B:$B,"&gt;="&amp;Forecast!I$7,
general_ledger!$B:$B,"&lt;"&amp;EDATE(Forecast!I$7,1)
)</f>
        <v>93.61</v>
      </c>
      <c r="J46">
        <f>SUMIFS(
general_ledger!$D:$D,
general_ledger!$C:$C,Forecast!$D46,
general_ledger!$B:$B,"&gt;="&amp;Forecast!J$7,
general_ledger!$B:$B,"&lt;"&amp;EDATE(Forecast!J$7,1)
)</f>
        <v>93.61</v>
      </c>
      <c r="K46">
        <f>SUMIFS(
general_ledger!$D:$D,
general_ledger!$C:$C,Forecast!$D46,
general_ledger!$B:$B,"&gt;="&amp;Forecast!K$7,
general_ledger!$B:$B,"&lt;"&amp;EDATE(Forecast!K$7,1)
)</f>
        <v>93.61</v>
      </c>
      <c r="L46">
        <f>SUMIFS(
general_ledger!$D:$D,
general_ledger!$C:$C,Forecast!$D46,
general_ledger!$B:$B,"&gt;="&amp;Forecast!L$7,
general_ledger!$B:$B,"&lt;"&amp;EDATE(Forecast!L$7,1)
)</f>
        <v>93.61</v>
      </c>
      <c r="M46">
        <f>SUMIFS(
general_ledger!$D:$D,
general_ledger!$C:$C,Forecast!$D46,
general_ledger!$B:$B,"&gt;="&amp;Forecast!M$7,
general_ledger!$B:$B,"&lt;"&amp;EDATE(Forecast!M$7,1)
)</f>
        <v>93.61</v>
      </c>
      <c r="N46">
        <f>SUMIFS(
general_ledger!$D:$D,
general_ledger!$C:$C,Forecast!$D46,
general_ledger!$B:$B,"&gt;="&amp;Forecast!N$7,
general_ledger!$B:$B,"&lt;"&amp;EDATE(Forecast!N$7,1)
)</f>
        <v>93.61</v>
      </c>
      <c r="O46">
        <f>SUMIFS(
general_ledger!$D:$D,
general_ledger!$C:$C,Forecast!$D46,
general_ledger!$B:$B,"&gt;="&amp;Forecast!O$7,
general_ledger!$B:$B,"&lt;"&amp;EDATE(Forecast!O$7,1)
)</f>
        <v>93.61</v>
      </c>
      <c r="P46">
        <f>SUMIFS(
general_ledger!$D:$D,
general_ledger!$C:$C,Forecast!$D46,
general_ledger!$B:$B,"&gt;="&amp;Forecast!P$7,
general_ledger!$B:$B,"&lt;"&amp;EDATE(Forecast!P$7,1)
)</f>
        <v>93.61</v>
      </c>
      <c r="Q46">
        <f>SUMIFS(
general_ledger!$D:$D,
general_ledger!$C:$C,Forecast!$D46,
general_ledger!$B:$B,"&gt;="&amp;Forecast!Q$7,
general_ledger!$B:$B,"&lt;"&amp;EDATE(Forecast!Q$7,1)
)</f>
        <v>93.61</v>
      </c>
      <c r="R46">
        <f>SUMIFS(
general_ledger!$D:$D,
general_ledger!$C:$C,Forecast!$D46,
general_ledger!$B:$B,"&gt;="&amp;Forecast!R$7,
general_ledger!$B:$B,"&lt;"&amp;EDATE(Forecast!R$7,1)
)</f>
        <v>93.61</v>
      </c>
      <c r="S46">
        <f>SUMIFS(
general_ledger!$D:$D,
general_ledger!$C:$C,Forecast!$D46,
general_ledger!$B:$B,"&gt;="&amp;Forecast!S$7,
general_ledger!$B:$B,"&lt;"&amp;EDATE(Forecast!S$7,1)
)</f>
        <v>93.61</v>
      </c>
      <c r="T46">
        <f>SUMIFS(
general_ledger!$D:$D,
general_ledger!$C:$C,Forecast!$D46,
general_ledger!$B:$B,"&gt;="&amp;Forecast!T$7,
general_ledger!$B:$B,"&lt;"&amp;EDATE(Forecast!T$7,1)
)</f>
        <v>93.61</v>
      </c>
      <c r="U46">
        <f>SUMIFS(
general_ledger!$D:$D,
general_ledger!$C:$C,Forecast!$D46,
general_ledger!$B:$B,"&gt;="&amp;Forecast!U$7,
general_ledger!$B:$B,"&lt;"&amp;EDATE(Forecast!U$7,1)
)</f>
        <v>93.61</v>
      </c>
      <c r="V46">
        <f>SUMIFS(
general_ledger!$D:$D,
general_ledger!$C:$C,Forecast!$D46,
general_ledger!$B:$B,"&gt;="&amp;Forecast!V$7,
general_ledger!$B:$B,"&lt;"&amp;EDATE(Forecast!V$7,1)
)</f>
        <v>93.61</v>
      </c>
      <c r="W46">
        <f>SUMIFS(
general_ledger!$D:$D,
general_ledger!$C:$C,Forecast!$D46,
general_ledger!$B:$B,"&gt;="&amp;Forecast!W$7,
general_ledger!$B:$B,"&lt;"&amp;EDATE(Forecast!W$7,1)
)</f>
        <v>93.61</v>
      </c>
      <c r="X46">
        <f>SUMIFS(
general_ledger!$D:$D,
general_ledger!$C:$C,Forecast!$D46,
general_ledger!$B:$B,"&gt;="&amp;Forecast!X$7,
general_ledger!$B:$B,"&lt;"&amp;EDATE(Forecast!X$7,1)
)</f>
        <v>93.61</v>
      </c>
      <c r="Y46">
        <f>SUMIFS(
general_ledger!$D:$D,
general_ledger!$C:$C,Forecast!$D46,
general_ledger!$B:$B,"&gt;="&amp;Forecast!Y$7,
general_ledger!$B:$B,"&lt;"&amp;EDATE(Forecast!Y$7,1)
)</f>
        <v>93.61</v>
      </c>
      <c r="Z46">
        <f>SUMIFS(
general_ledger!$D:$D,
general_ledger!$C:$C,Forecast!$D46,
general_ledger!$B:$B,"&gt;="&amp;Forecast!Z$7,
general_ledger!$B:$B,"&lt;"&amp;EDATE(Forecast!Z$7,1)
)</f>
        <v>93.37</v>
      </c>
      <c r="AA46">
        <f>SUMIFS(
general_ledger!$D:$D,
general_ledger!$C:$C,Forecast!$D46,
general_ledger!$B:$B,"&gt;="&amp;Forecast!AA$7,
general_ledger!$B:$B,"&lt;"&amp;EDATE(Forecast!AA$7,1)
)</f>
        <v>0</v>
      </c>
      <c r="AB46">
        <f>SUMIFS(
general_ledger!$D:$D,
general_ledger!$C:$C,Forecast!$D46,
general_ledger!$B:$B,"&gt;="&amp;Forecast!AB$7,
general_ledger!$B:$B,"&lt;"&amp;EDATE(Forecast!AB$7,1)
)</f>
        <v>0</v>
      </c>
    </row>
    <row r="47" spans="1:40" x14ac:dyDescent="0.35">
      <c r="D47" t="s">
        <v>34</v>
      </c>
      <c r="E47">
        <f>SUMIFS(
general_ledger!$D:$D,
general_ledger!$C:$C,Forecast!$D47,
general_ledger!$B:$B,"&gt;="&amp;Forecast!E$7,
general_ledger!$B:$B,"&lt;"&amp;EDATE(Forecast!E$7,1)
)</f>
        <v>20.03</v>
      </c>
      <c r="F47">
        <f>SUMIFS(
general_ledger!$D:$D,
general_ledger!$C:$C,Forecast!$D47,
general_ledger!$B:$B,"&gt;="&amp;Forecast!F$7,
general_ledger!$B:$B,"&lt;"&amp;EDATE(Forecast!F$7,1)
)</f>
        <v>20.03</v>
      </c>
      <c r="G47">
        <f>SUMIFS(
general_ledger!$D:$D,
general_ledger!$C:$C,Forecast!$D47,
general_ledger!$B:$B,"&gt;="&amp;Forecast!G$7,
general_ledger!$B:$B,"&lt;"&amp;EDATE(Forecast!G$7,1)
)</f>
        <v>20.03</v>
      </c>
      <c r="H47">
        <f>SUMIFS(
general_ledger!$D:$D,
general_ledger!$C:$C,Forecast!$D47,
general_ledger!$B:$B,"&gt;="&amp;Forecast!H$7,
general_ledger!$B:$B,"&lt;"&amp;EDATE(Forecast!H$7,1)
)</f>
        <v>20.03</v>
      </c>
      <c r="I47">
        <f>SUMIFS(
general_ledger!$D:$D,
general_ledger!$C:$C,Forecast!$D47,
general_ledger!$B:$B,"&gt;="&amp;Forecast!I$7,
general_ledger!$B:$B,"&lt;"&amp;EDATE(Forecast!I$7,1)
)</f>
        <v>20.03</v>
      </c>
      <c r="J47">
        <f>SUMIFS(
general_ledger!$D:$D,
general_ledger!$C:$C,Forecast!$D47,
general_ledger!$B:$B,"&gt;="&amp;Forecast!J$7,
general_ledger!$B:$B,"&lt;"&amp;EDATE(Forecast!J$7,1)
)</f>
        <v>20.03</v>
      </c>
      <c r="K47">
        <f>SUMIFS(
general_ledger!$D:$D,
general_ledger!$C:$C,Forecast!$D47,
general_ledger!$B:$B,"&gt;="&amp;Forecast!K$7,
general_ledger!$B:$B,"&lt;"&amp;EDATE(Forecast!K$7,1)
)</f>
        <v>20.03</v>
      </c>
      <c r="L47">
        <f>SUMIFS(
general_ledger!$D:$D,
general_ledger!$C:$C,Forecast!$D47,
general_ledger!$B:$B,"&gt;="&amp;Forecast!L$7,
general_ledger!$B:$B,"&lt;"&amp;EDATE(Forecast!L$7,1)
)</f>
        <v>20.03</v>
      </c>
      <c r="M47">
        <f>SUMIFS(
general_ledger!$D:$D,
general_ledger!$C:$C,Forecast!$D47,
general_ledger!$B:$B,"&gt;="&amp;Forecast!M$7,
general_ledger!$B:$B,"&lt;"&amp;EDATE(Forecast!M$7,1)
)</f>
        <v>20.03</v>
      </c>
      <c r="N47">
        <f>SUMIFS(
general_ledger!$D:$D,
general_ledger!$C:$C,Forecast!$D47,
general_ledger!$B:$B,"&gt;="&amp;Forecast!N$7,
general_ledger!$B:$B,"&lt;"&amp;EDATE(Forecast!N$7,1)
)</f>
        <v>20.03</v>
      </c>
      <c r="O47">
        <f>SUMIFS(
general_ledger!$D:$D,
general_ledger!$C:$C,Forecast!$D47,
general_ledger!$B:$B,"&gt;="&amp;Forecast!O$7,
general_ledger!$B:$B,"&lt;"&amp;EDATE(Forecast!O$7,1)
)</f>
        <v>20.03</v>
      </c>
      <c r="P47">
        <f>SUMIFS(
general_ledger!$D:$D,
general_ledger!$C:$C,Forecast!$D47,
general_ledger!$B:$B,"&gt;="&amp;Forecast!P$7,
general_ledger!$B:$B,"&lt;"&amp;EDATE(Forecast!P$7,1)
)</f>
        <v>20.03</v>
      </c>
      <c r="Q47">
        <f>SUMIFS(
general_ledger!$D:$D,
general_ledger!$C:$C,Forecast!$D47,
general_ledger!$B:$B,"&gt;="&amp;Forecast!Q$7,
general_ledger!$B:$B,"&lt;"&amp;EDATE(Forecast!Q$7,1)
)</f>
        <v>20.03</v>
      </c>
      <c r="R47">
        <f>SUMIFS(
general_ledger!$D:$D,
general_ledger!$C:$C,Forecast!$D47,
general_ledger!$B:$B,"&gt;="&amp;Forecast!R$7,
general_ledger!$B:$B,"&lt;"&amp;EDATE(Forecast!R$7,1)
)</f>
        <v>20.03</v>
      </c>
      <c r="S47">
        <f>SUMIFS(
general_ledger!$D:$D,
general_ledger!$C:$C,Forecast!$D47,
general_ledger!$B:$B,"&gt;="&amp;Forecast!S$7,
general_ledger!$B:$B,"&lt;"&amp;EDATE(Forecast!S$7,1)
)</f>
        <v>20.03</v>
      </c>
      <c r="T47">
        <f>SUMIFS(
general_ledger!$D:$D,
general_ledger!$C:$C,Forecast!$D47,
general_ledger!$B:$B,"&gt;="&amp;Forecast!T$7,
general_ledger!$B:$B,"&lt;"&amp;EDATE(Forecast!T$7,1)
)</f>
        <v>20.03</v>
      </c>
      <c r="U47">
        <f>SUMIFS(
general_ledger!$D:$D,
general_ledger!$C:$C,Forecast!$D47,
general_ledger!$B:$B,"&gt;="&amp;Forecast!U$7,
general_ledger!$B:$B,"&lt;"&amp;EDATE(Forecast!U$7,1)
)</f>
        <v>20.03</v>
      </c>
      <c r="V47">
        <f>SUMIFS(
general_ledger!$D:$D,
general_ledger!$C:$C,Forecast!$D47,
general_ledger!$B:$B,"&gt;="&amp;Forecast!V$7,
general_ledger!$B:$B,"&lt;"&amp;EDATE(Forecast!V$7,1)
)</f>
        <v>20.03</v>
      </c>
      <c r="W47">
        <f>SUMIFS(
general_ledger!$D:$D,
general_ledger!$C:$C,Forecast!$D47,
general_ledger!$B:$B,"&gt;="&amp;Forecast!W$7,
general_ledger!$B:$B,"&lt;"&amp;EDATE(Forecast!W$7,1)
)</f>
        <v>20.03</v>
      </c>
      <c r="X47">
        <f>SUMIFS(
general_ledger!$D:$D,
general_ledger!$C:$C,Forecast!$D47,
general_ledger!$B:$B,"&gt;="&amp;Forecast!X$7,
general_ledger!$B:$B,"&lt;"&amp;EDATE(Forecast!X$7,1)
)</f>
        <v>20.03</v>
      </c>
      <c r="Y47">
        <f>SUMIFS(
general_ledger!$D:$D,
general_ledger!$C:$C,Forecast!$D47,
general_ledger!$B:$B,"&gt;="&amp;Forecast!Y$7,
general_ledger!$B:$B,"&lt;"&amp;EDATE(Forecast!Y$7,1)
)</f>
        <v>20.03</v>
      </c>
      <c r="Z47">
        <f>SUMIFS(
general_ledger!$D:$D,
general_ledger!$C:$C,Forecast!$D47,
general_ledger!$B:$B,"&gt;="&amp;Forecast!Z$7,
general_ledger!$B:$B,"&lt;"&amp;EDATE(Forecast!Z$7,1)
)</f>
        <v>20.03</v>
      </c>
      <c r="AA47">
        <f>SUMIFS(
general_ledger!$D:$D,
general_ledger!$C:$C,Forecast!$D47,
general_ledger!$B:$B,"&gt;="&amp;Forecast!AA$7,
general_ledger!$B:$B,"&lt;"&amp;EDATE(Forecast!AA$7,1)
)</f>
        <v>20.03</v>
      </c>
      <c r="AB47">
        <f>SUMIFS(
general_ledger!$D:$D,
general_ledger!$C:$C,Forecast!$D47,
general_ledger!$B:$B,"&gt;="&amp;Forecast!AB$7,
general_ledger!$B:$B,"&lt;"&amp;EDATE(Forecast!AB$7,1)
)</f>
        <v>20.03</v>
      </c>
    </row>
    <row r="48" spans="1:40" x14ac:dyDescent="0.35">
      <c r="D48" t="s">
        <v>42</v>
      </c>
      <c r="E48">
        <f>SUMIFS(
general_ledger!$D:$D,
general_ledger!$C:$C,Forecast!$D48,
general_ledger!$B:$B,"&gt;="&amp;Forecast!E$7,
general_ledger!$B:$B,"&lt;"&amp;EDATE(Forecast!E$7,1)
)</f>
        <v>43.85</v>
      </c>
      <c r="F48">
        <f>SUMIFS(
general_ledger!$D:$D,
general_ledger!$C:$C,Forecast!$D48,
general_ledger!$B:$B,"&gt;="&amp;Forecast!F$7,
general_ledger!$B:$B,"&lt;"&amp;EDATE(Forecast!F$7,1)
)</f>
        <v>43.85</v>
      </c>
      <c r="G48">
        <f>SUMIFS(
general_ledger!$D:$D,
general_ledger!$C:$C,Forecast!$D48,
general_ledger!$B:$B,"&gt;="&amp;Forecast!G$7,
general_ledger!$B:$B,"&lt;"&amp;EDATE(Forecast!G$7,1)
)</f>
        <v>43.85</v>
      </c>
      <c r="H48">
        <f>SUMIFS(
general_ledger!$D:$D,
general_ledger!$C:$C,Forecast!$D48,
general_ledger!$B:$B,"&gt;="&amp;Forecast!H$7,
general_ledger!$B:$B,"&lt;"&amp;EDATE(Forecast!H$7,1)
)</f>
        <v>43.85</v>
      </c>
      <c r="I48">
        <f>SUMIFS(
general_ledger!$D:$D,
general_ledger!$C:$C,Forecast!$D48,
general_ledger!$B:$B,"&gt;="&amp;Forecast!I$7,
general_ledger!$B:$B,"&lt;"&amp;EDATE(Forecast!I$7,1)
)</f>
        <v>43.85</v>
      </c>
      <c r="J48">
        <f>SUMIFS(
general_ledger!$D:$D,
general_ledger!$C:$C,Forecast!$D48,
general_ledger!$B:$B,"&gt;="&amp;Forecast!J$7,
general_ledger!$B:$B,"&lt;"&amp;EDATE(Forecast!J$7,1)
)</f>
        <v>43.85</v>
      </c>
      <c r="K48">
        <f>SUMIFS(
general_ledger!$D:$D,
general_ledger!$C:$C,Forecast!$D48,
general_ledger!$B:$B,"&gt;="&amp;Forecast!K$7,
general_ledger!$B:$B,"&lt;"&amp;EDATE(Forecast!K$7,1)
)</f>
        <v>43.85</v>
      </c>
      <c r="L48">
        <f>SUMIFS(
general_ledger!$D:$D,
general_ledger!$C:$C,Forecast!$D48,
general_ledger!$B:$B,"&gt;="&amp;Forecast!L$7,
general_ledger!$B:$B,"&lt;"&amp;EDATE(Forecast!L$7,1)
)</f>
        <v>43.85</v>
      </c>
      <c r="M48">
        <f>SUMIFS(
general_ledger!$D:$D,
general_ledger!$C:$C,Forecast!$D48,
general_ledger!$B:$B,"&gt;="&amp;Forecast!M$7,
general_ledger!$B:$B,"&lt;"&amp;EDATE(Forecast!M$7,1)
)</f>
        <v>43.85</v>
      </c>
      <c r="N48">
        <f>SUMIFS(
general_ledger!$D:$D,
general_ledger!$C:$C,Forecast!$D48,
general_ledger!$B:$B,"&gt;="&amp;Forecast!N$7,
general_ledger!$B:$B,"&lt;"&amp;EDATE(Forecast!N$7,1)
)</f>
        <v>43.85</v>
      </c>
      <c r="O48">
        <f>SUMIFS(
general_ledger!$D:$D,
general_ledger!$C:$C,Forecast!$D48,
general_ledger!$B:$B,"&gt;="&amp;Forecast!O$7,
general_ledger!$B:$B,"&lt;"&amp;EDATE(Forecast!O$7,1)
)</f>
        <v>43.85</v>
      </c>
      <c r="P48">
        <f>SUMIFS(
general_ledger!$D:$D,
general_ledger!$C:$C,Forecast!$D48,
general_ledger!$B:$B,"&gt;="&amp;Forecast!P$7,
general_ledger!$B:$B,"&lt;"&amp;EDATE(Forecast!P$7,1)
)</f>
        <v>43.85</v>
      </c>
      <c r="Q48">
        <f>SUMIFS(
general_ledger!$D:$D,
general_ledger!$C:$C,Forecast!$D48,
general_ledger!$B:$B,"&gt;="&amp;Forecast!Q$7,
general_ledger!$B:$B,"&lt;"&amp;EDATE(Forecast!Q$7,1)
)</f>
        <v>43.85</v>
      </c>
      <c r="R48">
        <f>SUMIFS(
general_ledger!$D:$D,
general_ledger!$C:$C,Forecast!$D48,
general_ledger!$B:$B,"&gt;="&amp;Forecast!R$7,
general_ledger!$B:$B,"&lt;"&amp;EDATE(Forecast!R$7,1)
)</f>
        <v>43.85</v>
      </c>
      <c r="S48">
        <f>SUMIFS(
general_ledger!$D:$D,
general_ledger!$C:$C,Forecast!$D48,
general_ledger!$B:$B,"&gt;="&amp;Forecast!S$7,
general_ledger!$B:$B,"&lt;"&amp;EDATE(Forecast!S$7,1)
)</f>
        <v>43.85</v>
      </c>
      <c r="T48">
        <f>SUMIFS(
general_ledger!$D:$D,
general_ledger!$C:$C,Forecast!$D48,
general_ledger!$B:$B,"&gt;="&amp;Forecast!T$7,
general_ledger!$B:$B,"&lt;"&amp;EDATE(Forecast!T$7,1)
)</f>
        <v>43.85</v>
      </c>
      <c r="U48">
        <f>SUMIFS(
general_ledger!$D:$D,
general_ledger!$C:$C,Forecast!$D48,
general_ledger!$B:$B,"&gt;="&amp;Forecast!U$7,
general_ledger!$B:$B,"&lt;"&amp;EDATE(Forecast!U$7,1)
)</f>
        <v>43.85</v>
      </c>
      <c r="V48">
        <f>SUMIFS(
general_ledger!$D:$D,
general_ledger!$C:$C,Forecast!$D48,
general_ledger!$B:$B,"&gt;="&amp;Forecast!V$7,
general_ledger!$B:$B,"&lt;"&amp;EDATE(Forecast!V$7,1)
)</f>
        <v>43.85</v>
      </c>
      <c r="W48">
        <f>SUMIFS(
general_ledger!$D:$D,
general_ledger!$C:$C,Forecast!$D48,
general_ledger!$B:$B,"&gt;="&amp;Forecast!W$7,
general_ledger!$B:$B,"&lt;"&amp;EDATE(Forecast!W$7,1)
)</f>
        <v>43.85</v>
      </c>
      <c r="X48">
        <f>SUMIFS(
general_ledger!$D:$D,
general_ledger!$C:$C,Forecast!$D48,
general_ledger!$B:$B,"&gt;="&amp;Forecast!X$7,
general_ledger!$B:$B,"&lt;"&amp;EDATE(Forecast!X$7,1)
)</f>
        <v>43.85</v>
      </c>
      <c r="Y48">
        <f>SUMIFS(
general_ledger!$D:$D,
general_ledger!$C:$C,Forecast!$D48,
general_ledger!$B:$B,"&gt;="&amp;Forecast!Y$7,
general_ledger!$B:$B,"&lt;"&amp;EDATE(Forecast!Y$7,1)
)</f>
        <v>43.85</v>
      </c>
      <c r="Z48">
        <f>SUMIFS(
general_ledger!$D:$D,
general_ledger!$C:$C,Forecast!$D48,
general_ledger!$B:$B,"&gt;="&amp;Forecast!Z$7,
general_ledger!$B:$B,"&lt;"&amp;EDATE(Forecast!Z$7,1)
)</f>
        <v>43.85</v>
      </c>
      <c r="AA48">
        <f>SUMIFS(
general_ledger!$D:$D,
general_ledger!$C:$C,Forecast!$D48,
general_ledger!$B:$B,"&gt;="&amp;Forecast!AA$7,
general_ledger!$B:$B,"&lt;"&amp;EDATE(Forecast!AA$7,1)
)</f>
        <v>43.85</v>
      </c>
      <c r="AB48">
        <f>SUMIFS(
general_ledger!$D:$D,
general_ledger!$C:$C,Forecast!$D48,
general_ledger!$B:$B,"&gt;="&amp;Forecast!AB$7,
general_ledger!$B:$B,"&lt;"&amp;EDATE(Forecast!AB$7,1)
)</f>
        <v>43.85</v>
      </c>
    </row>
    <row r="49" spans="1:40" x14ac:dyDescent="0.35">
      <c r="D49" t="s">
        <v>35</v>
      </c>
      <c r="E49">
        <f>SUMIFS(
general_ledger!$D:$D,
general_ledger!$C:$C,Forecast!$D49,
general_ledger!$B:$B,"&gt;="&amp;Forecast!E$7,
general_ledger!$B:$B,"&lt;"&amp;EDATE(Forecast!E$7,1)
)</f>
        <v>86.89</v>
      </c>
      <c r="F49">
        <f>SUMIFS(
general_ledger!$D:$D,
general_ledger!$C:$C,Forecast!$D49,
general_ledger!$B:$B,"&gt;="&amp;Forecast!F$7,
general_ledger!$B:$B,"&lt;"&amp;EDATE(Forecast!F$7,1)
)</f>
        <v>86.89</v>
      </c>
      <c r="G49">
        <f>SUMIFS(
general_ledger!$D:$D,
general_ledger!$C:$C,Forecast!$D49,
general_ledger!$B:$B,"&gt;="&amp;Forecast!G$7,
general_ledger!$B:$B,"&lt;"&amp;EDATE(Forecast!G$7,1)
)</f>
        <v>86.89</v>
      </c>
      <c r="H49">
        <f>SUMIFS(
general_ledger!$D:$D,
general_ledger!$C:$C,Forecast!$D49,
general_ledger!$B:$B,"&gt;="&amp;Forecast!H$7,
general_ledger!$B:$B,"&lt;"&amp;EDATE(Forecast!H$7,1)
)</f>
        <v>86.89</v>
      </c>
      <c r="I49">
        <f>SUMIFS(
general_ledger!$D:$D,
general_ledger!$C:$C,Forecast!$D49,
general_ledger!$B:$B,"&gt;="&amp;Forecast!I$7,
general_ledger!$B:$B,"&lt;"&amp;EDATE(Forecast!I$7,1)
)</f>
        <v>86.89</v>
      </c>
      <c r="J49">
        <f>SUMIFS(
general_ledger!$D:$D,
general_ledger!$C:$C,Forecast!$D49,
general_ledger!$B:$B,"&gt;="&amp;Forecast!J$7,
general_ledger!$B:$B,"&lt;"&amp;EDATE(Forecast!J$7,1)
)</f>
        <v>86.89</v>
      </c>
      <c r="K49">
        <f>SUMIFS(
general_ledger!$D:$D,
general_ledger!$C:$C,Forecast!$D49,
general_ledger!$B:$B,"&gt;="&amp;Forecast!K$7,
general_ledger!$B:$B,"&lt;"&amp;EDATE(Forecast!K$7,1)
)</f>
        <v>86.89</v>
      </c>
      <c r="L49">
        <f>SUMIFS(
general_ledger!$D:$D,
general_ledger!$C:$C,Forecast!$D49,
general_ledger!$B:$B,"&gt;="&amp;Forecast!L$7,
general_ledger!$B:$B,"&lt;"&amp;EDATE(Forecast!L$7,1)
)</f>
        <v>86.89</v>
      </c>
      <c r="M49">
        <f>SUMIFS(
general_ledger!$D:$D,
general_ledger!$C:$C,Forecast!$D49,
general_ledger!$B:$B,"&gt;="&amp;Forecast!M$7,
general_ledger!$B:$B,"&lt;"&amp;EDATE(Forecast!M$7,1)
)</f>
        <v>86.89</v>
      </c>
      <c r="N49">
        <f>SUMIFS(
general_ledger!$D:$D,
general_ledger!$C:$C,Forecast!$D49,
general_ledger!$B:$B,"&gt;="&amp;Forecast!N$7,
general_ledger!$B:$B,"&lt;"&amp;EDATE(Forecast!N$7,1)
)</f>
        <v>86.89</v>
      </c>
      <c r="O49">
        <f>SUMIFS(
general_ledger!$D:$D,
general_ledger!$C:$C,Forecast!$D49,
general_ledger!$B:$B,"&gt;="&amp;Forecast!O$7,
general_ledger!$B:$B,"&lt;"&amp;EDATE(Forecast!O$7,1)
)</f>
        <v>86.89</v>
      </c>
      <c r="P49">
        <f>SUMIFS(
general_ledger!$D:$D,
general_ledger!$C:$C,Forecast!$D49,
general_ledger!$B:$B,"&gt;="&amp;Forecast!P$7,
general_ledger!$B:$B,"&lt;"&amp;EDATE(Forecast!P$7,1)
)</f>
        <v>86.89</v>
      </c>
      <c r="Q49">
        <f>SUMIFS(
general_ledger!$D:$D,
general_ledger!$C:$C,Forecast!$D49,
general_ledger!$B:$B,"&gt;="&amp;Forecast!Q$7,
general_ledger!$B:$B,"&lt;"&amp;EDATE(Forecast!Q$7,1)
)</f>
        <v>86.89</v>
      </c>
      <c r="R49">
        <f>SUMIFS(
general_ledger!$D:$D,
general_ledger!$C:$C,Forecast!$D49,
general_ledger!$B:$B,"&gt;="&amp;Forecast!R$7,
general_ledger!$B:$B,"&lt;"&amp;EDATE(Forecast!R$7,1)
)</f>
        <v>86.89</v>
      </c>
      <c r="S49">
        <f>SUMIFS(
general_ledger!$D:$D,
general_ledger!$C:$C,Forecast!$D49,
general_ledger!$B:$B,"&gt;="&amp;Forecast!S$7,
general_ledger!$B:$B,"&lt;"&amp;EDATE(Forecast!S$7,1)
)</f>
        <v>86.89</v>
      </c>
      <c r="T49">
        <f>SUMIFS(
general_ledger!$D:$D,
general_ledger!$C:$C,Forecast!$D49,
general_ledger!$B:$B,"&gt;="&amp;Forecast!T$7,
general_ledger!$B:$B,"&lt;"&amp;EDATE(Forecast!T$7,1)
)</f>
        <v>86.89</v>
      </c>
      <c r="U49">
        <f>SUMIFS(
general_ledger!$D:$D,
general_ledger!$C:$C,Forecast!$D49,
general_ledger!$B:$B,"&gt;="&amp;Forecast!U$7,
general_ledger!$B:$B,"&lt;"&amp;EDATE(Forecast!U$7,1)
)</f>
        <v>86.89</v>
      </c>
      <c r="V49">
        <f>SUMIFS(
general_ledger!$D:$D,
general_ledger!$C:$C,Forecast!$D49,
general_ledger!$B:$B,"&gt;="&amp;Forecast!V$7,
general_ledger!$B:$B,"&lt;"&amp;EDATE(Forecast!V$7,1)
)</f>
        <v>86.89</v>
      </c>
      <c r="W49">
        <f>SUMIFS(
general_ledger!$D:$D,
general_ledger!$C:$C,Forecast!$D49,
general_ledger!$B:$B,"&gt;="&amp;Forecast!W$7,
general_ledger!$B:$B,"&lt;"&amp;EDATE(Forecast!W$7,1)
)</f>
        <v>86.89</v>
      </c>
      <c r="X49">
        <f>SUMIFS(
general_ledger!$D:$D,
general_ledger!$C:$C,Forecast!$D49,
general_ledger!$B:$B,"&gt;="&amp;Forecast!X$7,
general_ledger!$B:$B,"&lt;"&amp;EDATE(Forecast!X$7,1)
)</f>
        <v>86.89</v>
      </c>
      <c r="Y49">
        <f>SUMIFS(
general_ledger!$D:$D,
general_ledger!$C:$C,Forecast!$D49,
general_ledger!$B:$B,"&gt;="&amp;Forecast!Y$7,
general_ledger!$B:$B,"&lt;"&amp;EDATE(Forecast!Y$7,1)
)</f>
        <v>86.89</v>
      </c>
      <c r="Z49">
        <f>SUMIFS(
general_ledger!$D:$D,
general_ledger!$C:$C,Forecast!$D49,
general_ledger!$B:$B,"&gt;="&amp;Forecast!Z$7,
general_ledger!$B:$B,"&lt;"&amp;EDATE(Forecast!Z$7,1)
)</f>
        <v>86.89</v>
      </c>
      <c r="AA49">
        <f>SUMIFS(
general_ledger!$D:$D,
general_ledger!$C:$C,Forecast!$D49,
general_ledger!$B:$B,"&gt;="&amp;Forecast!AA$7,
general_ledger!$B:$B,"&lt;"&amp;EDATE(Forecast!AA$7,1)
)</f>
        <v>86.89</v>
      </c>
      <c r="AB49">
        <f>SUMIFS(
general_ledger!$D:$D,
general_ledger!$C:$C,Forecast!$D49,
general_ledger!$B:$B,"&gt;="&amp;Forecast!AB$7,
general_ledger!$B:$B,"&lt;"&amp;EDATE(Forecast!AB$7,1)
)</f>
        <v>86.89</v>
      </c>
    </row>
    <row r="50" spans="1:40" x14ac:dyDescent="0.35">
      <c r="D50" t="s">
        <v>39</v>
      </c>
      <c r="E50">
        <f>SUMIFS(
general_ledger!$D:$D,
general_ledger!$C:$C,Forecast!$D50,
general_ledger!$B:$B,"&gt;="&amp;Forecast!E$7,
general_ledger!$B:$B,"&lt;"&amp;EDATE(Forecast!E$7,1)
)</f>
        <v>53.21</v>
      </c>
      <c r="F50">
        <f>SUMIFS(
general_ledger!$D:$D,
general_ledger!$C:$C,Forecast!$D50,
general_ledger!$B:$B,"&gt;="&amp;Forecast!F$7,
general_ledger!$B:$B,"&lt;"&amp;EDATE(Forecast!F$7,1)
)</f>
        <v>53.21</v>
      </c>
      <c r="G50">
        <f>SUMIFS(
general_ledger!$D:$D,
general_ledger!$C:$C,Forecast!$D50,
general_ledger!$B:$B,"&gt;="&amp;Forecast!G$7,
general_ledger!$B:$B,"&lt;"&amp;EDATE(Forecast!G$7,1)
)</f>
        <v>53.21</v>
      </c>
      <c r="H50">
        <f>SUMIFS(
general_ledger!$D:$D,
general_ledger!$C:$C,Forecast!$D50,
general_ledger!$B:$B,"&gt;="&amp;Forecast!H$7,
general_ledger!$B:$B,"&lt;"&amp;EDATE(Forecast!H$7,1)
)</f>
        <v>53.21</v>
      </c>
      <c r="I50">
        <f>SUMIFS(
general_ledger!$D:$D,
general_ledger!$C:$C,Forecast!$D50,
general_ledger!$B:$B,"&gt;="&amp;Forecast!I$7,
general_ledger!$B:$B,"&lt;"&amp;EDATE(Forecast!I$7,1)
)</f>
        <v>53.21</v>
      </c>
      <c r="J50">
        <f>SUMIFS(
general_ledger!$D:$D,
general_ledger!$C:$C,Forecast!$D50,
general_ledger!$B:$B,"&gt;="&amp;Forecast!J$7,
general_ledger!$B:$B,"&lt;"&amp;EDATE(Forecast!J$7,1)
)</f>
        <v>53.21</v>
      </c>
      <c r="K50">
        <f>SUMIFS(
general_ledger!$D:$D,
general_ledger!$C:$C,Forecast!$D50,
general_ledger!$B:$B,"&gt;="&amp;Forecast!K$7,
general_ledger!$B:$B,"&lt;"&amp;EDATE(Forecast!K$7,1)
)</f>
        <v>53.21</v>
      </c>
      <c r="L50">
        <f>SUMIFS(
general_ledger!$D:$D,
general_ledger!$C:$C,Forecast!$D50,
general_ledger!$B:$B,"&gt;="&amp;Forecast!L$7,
general_ledger!$B:$B,"&lt;"&amp;EDATE(Forecast!L$7,1)
)</f>
        <v>53.21</v>
      </c>
      <c r="M50">
        <f>SUMIFS(
general_ledger!$D:$D,
general_ledger!$C:$C,Forecast!$D50,
general_ledger!$B:$B,"&gt;="&amp;Forecast!M$7,
general_ledger!$B:$B,"&lt;"&amp;EDATE(Forecast!M$7,1)
)</f>
        <v>53.21</v>
      </c>
      <c r="N50">
        <f>SUMIFS(
general_ledger!$D:$D,
general_ledger!$C:$C,Forecast!$D50,
general_ledger!$B:$B,"&gt;="&amp;Forecast!N$7,
general_ledger!$B:$B,"&lt;"&amp;EDATE(Forecast!N$7,1)
)</f>
        <v>53.21</v>
      </c>
      <c r="O50">
        <f>SUMIFS(
general_ledger!$D:$D,
general_ledger!$C:$C,Forecast!$D50,
general_ledger!$B:$B,"&gt;="&amp;Forecast!O$7,
general_ledger!$B:$B,"&lt;"&amp;EDATE(Forecast!O$7,1)
)</f>
        <v>53.21</v>
      </c>
      <c r="P50">
        <f>SUMIFS(
general_ledger!$D:$D,
general_ledger!$C:$C,Forecast!$D50,
general_ledger!$B:$B,"&gt;="&amp;Forecast!P$7,
general_ledger!$B:$B,"&lt;"&amp;EDATE(Forecast!P$7,1)
)</f>
        <v>53.21</v>
      </c>
      <c r="Q50">
        <f>SUMIFS(
general_ledger!$D:$D,
general_ledger!$C:$C,Forecast!$D50,
general_ledger!$B:$B,"&gt;="&amp;Forecast!Q$7,
general_ledger!$B:$B,"&lt;"&amp;EDATE(Forecast!Q$7,1)
)</f>
        <v>53.21</v>
      </c>
      <c r="R50">
        <f>SUMIFS(
general_ledger!$D:$D,
general_ledger!$C:$C,Forecast!$D50,
general_ledger!$B:$B,"&gt;="&amp;Forecast!R$7,
general_ledger!$B:$B,"&lt;"&amp;EDATE(Forecast!R$7,1)
)</f>
        <v>53.21</v>
      </c>
      <c r="S50">
        <f>SUMIFS(
general_ledger!$D:$D,
general_ledger!$C:$C,Forecast!$D50,
general_ledger!$B:$B,"&gt;="&amp;Forecast!S$7,
general_ledger!$B:$B,"&lt;"&amp;EDATE(Forecast!S$7,1)
)</f>
        <v>53.21</v>
      </c>
      <c r="T50">
        <f>SUMIFS(
general_ledger!$D:$D,
general_ledger!$C:$C,Forecast!$D50,
general_ledger!$B:$B,"&gt;="&amp;Forecast!T$7,
general_ledger!$B:$B,"&lt;"&amp;EDATE(Forecast!T$7,1)
)</f>
        <v>53.21</v>
      </c>
      <c r="U50">
        <f>SUMIFS(
general_ledger!$D:$D,
general_ledger!$C:$C,Forecast!$D50,
general_ledger!$B:$B,"&gt;="&amp;Forecast!U$7,
general_ledger!$B:$B,"&lt;"&amp;EDATE(Forecast!U$7,1)
)</f>
        <v>53.21</v>
      </c>
      <c r="V50">
        <f>SUMIFS(
general_ledger!$D:$D,
general_ledger!$C:$C,Forecast!$D50,
general_ledger!$B:$B,"&gt;="&amp;Forecast!V$7,
general_ledger!$B:$B,"&lt;"&amp;EDATE(Forecast!V$7,1)
)</f>
        <v>53.21</v>
      </c>
      <c r="W50">
        <f>SUMIFS(
general_ledger!$D:$D,
general_ledger!$C:$C,Forecast!$D50,
general_ledger!$B:$B,"&gt;="&amp;Forecast!W$7,
general_ledger!$B:$B,"&lt;"&amp;EDATE(Forecast!W$7,1)
)</f>
        <v>53.21</v>
      </c>
      <c r="X50">
        <f>SUMIFS(
general_ledger!$D:$D,
general_ledger!$C:$C,Forecast!$D50,
general_ledger!$B:$B,"&gt;="&amp;Forecast!X$7,
general_ledger!$B:$B,"&lt;"&amp;EDATE(Forecast!X$7,1)
)</f>
        <v>53.21</v>
      </c>
      <c r="Y50">
        <f>SUMIFS(
general_ledger!$D:$D,
general_ledger!$C:$C,Forecast!$D50,
general_ledger!$B:$B,"&gt;="&amp;Forecast!Y$7,
general_ledger!$B:$B,"&lt;"&amp;EDATE(Forecast!Y$7,1)
)</f>
        <v>53.21</v>
      </c>
      <c r="Z50">
        <f>SUMIFS(
general_ledger!$D:$D,
general_ledger!$C:$C,Forecast!$D50,
general_ledger!$B:$B,"&gt;="&amp;Forecast!Z$7,
general_ledger!$B:$B,"&lt;"&amp;EDATE(Forecast!Z$7,1)
)</f>
        <v>53.21</v>
      </c>
      <c r="AA50">
        <f>SUMIFS(
general_ledger!$D:$D,
general_ledger!$C:$C,Forecast!$D50,
general_ledger!$B:$B,"&gt;="&amp;Forecast!AA$7,
general_ledger!$B:$B,"&lt;"&amp;EDATE(Forecast!AA$7,1)
)</f>
        <v>53.21</v>
      </c>
      <c r="AB50">
        <f>SUMIFS(
general_ledger!$D:$D,
general_ledger!$C:$C,Forecast!$D50,
general_ledger!$B:$B,"&gt;="&amp;Forecast!AB$7,
general_ledger!$B:$B,"&lt;"&amp;EDATE(Forecast!AB$7,1)
)</f>
        <v>53.21</v>
      </c>
    </row>
    <row r="51" spans="1:40" x14ac:dyDescent="0.35">
      <c r="C51" t="s">
        <v>31</v>
      </c>
      <c r="E51">
        <f>SUMIFS(
general_ledger!$D:$D,
general_ledger!$F:$F,Forecast!$C51,
general_ledger!$B:$B,"&gt;="&amp;Forecast!E$7,
general_ledger!$B:$B,"&lt;"&amp;EDATE(Forecast!E$7,1)
)</f>
        <v>731.72</v>
      </c>
      <c r="F51">
        <f>SUMIFS(
general_ledger!$D:$D,
general_ledger!$F:$F,Forecast!$C51,
general_ledger!$B:$B,"&gt;="&amp;Forecast!F$7,
general_ledger!$B:$B,"&lt;"&amp;EDATE(Forecast!F$7,1)
)</f>
        <v>731.72</v>
      </c>
      <c r="G51">
        <f>SUMIFS(
general_ledger!$D:$D,
general_ledger!$F:$F,Forecast!$C51,
general_ledger!$B:$B,"&gt;="&amp;Forecast!G$7,
general_ledger!$B:$B,"&lt;"&amp;EDATE(Forecast!G$7,1)
)</f>
        <v>731.72</v>
      </c>
      <c r="H51">
        <f>SUMIFS(
general_ledger!$D:$D,
general_ledger!$F:$F,Forecast!$C51,
general_ledger!$B:$B,"&gt;="&amp;Forecast!H$7,
general_ledger!$B:$B,"&lt;"&amp;EDATE(Forecast!H$7,1)
)</f>
        <v>731.72</v>
      </c>
      <c r="I51">
        <f>SUMIFS(
general_ledger!$D:$D,
general_ledger!$F:$F,Forecast!$C51,
general_ledger!$B:$B,"&gt;="&amp;Forecast!I$7,
general_ledger!$B:$B,"&lt;"&amp;EDATE(Forecast!I$7,1)
)</f>
        <v>731.72</v>
      </c>
      <c r="J51">
        <f>SUMIFS(
general_ledger!$D:$D,
general_ledger!$F:$F,Forecast!$C51,
general_ledger!$B:$B,"&gt;="&amp;Forecast!J$7,
general_ledger!$B:$B,"&lt;"&amp;EDATE(Forecast!J$7,1)
)</f>
        <v>731.72</v>
      </c>
      <c r="K51">
        <f>SUMIFS(
general_ledger!$D:$D,
general_ledger!$F:$F,Forecast!$C51,
general_ledger!$B:$B,"&gt;="&amp;Forecast!K$7,
general_ledger!$B:$B,"&lt;"&amp;EDATE(Forecast!K$7,1)
)</f>
        <v>731.72</v>
      </c>
      <c r="L51">
        <f>SUMIFS(
general_ledger!$D:$D,
general_ledger!$F:$F,Forecast!$C51,
general_ledger!$B:$B,"&gt;="&amp;Forecast!L$7,
general_ledger!$B:$B,"&lt;"&amp;EDATE(Forecast!L$7,1)
)</f>
        <v>731.72</v>
      </c>
      <c r="M51">
        <f>SUMIFS(
general_ledger!$D:$D,
general_ledger!$F:$F,Forecast!$C51,
general_ledger!$B:$B,"&gt;="&amp;Forecast!M$7,
general_ledger!$B:$B,"&lt;"&amp;EDATE(Forecast!M$7,1)
)</f>
        <v>731.72</v>
      </c>
      <c r="N51">
        <f>SUMIFS(
general_ledger!$D:$D,
general_ledger!$F:$F,Forecast!$C51,
general_ledger!$B:$B,"&gt;="&amp;Forecast!N$7,
general_ledger!$B:$B,"&lt;"&amp;EDATE(Forecast!N$7,1)
)</f>
        <v>731.72</v>
      </c>
      <c r="O51">
        <f>SUMIFS(
general_ledger!$D:$D,
general_ledger!$F:$F,Forecast!$C51,
general_ledger!$B:$B,"&gt;="&amp;Forecast!O$7,
general_ledger!$B:$B,"&lt;"&amp;EDATE(Forecast!O$7,1)
)</f>
        <v>731.72</v>
      </c>
      <c r="P51">
        <f>SUMIFS(
general_ledger!$D:$D,
general_ledger!$F:$F,Forecast!$C51,
general_ledger!$B:$B,"&gt;="&amp;Forecast!P$7,
general_ledger!$B:$B,"&lt;"&amp;EDATE(Forecast!P$7,1)
)</f>
        <v>731.72</v>
      </c>
      <c r="Q51">
        <f>SUMIFS(
general_ledger!$D:$D,
general_ledger!$F:$F,Forecast!$C51,
general_ledger!$B:$B,"&gt;="&amp;Forecast!Q$7,
general_ledger!$B:$B,"&lt;"&amp;EDATE(Forecast!Q$7,1)
)</f>
        <v>731.72</v>
      </c>
      <c r="R51">
        <f>SUMIFS(
general_ledger!$D:$D,
general_ledger!$F:$F,Forecast!$C51,
general_ledger!$B:$B,"&gt;="&amp;Forecast!R$7,
general_ledger!$B:$B,"&lt;"&amp;EDATE(Forecast!R$7,1)
)</f>
        <v>731.72</v>
      </c>
      <c r="S51">
        <f>SUMIFS(
general_ledger!$D:$D,
general_ledger!$F:$F,Forecast!$C51,
general_ledger!$B:$B,"&gt;="&amp;Forecast!S$7,
general_ledger!$B:$B,"&lt;"&amp;EDATE(Forecast!S$7,1)
)</f>
        <v>731.72</v>
      </c>
      <c r="T51">
        <f>SUMIFS(
general_ledger!$D:$D,
general_ledger!$F:$F,Forecast!$C51,
general_ledger!$B:$B,"&gt;="&amp;Forecast!T$7,
general_ledger!$B:$B,"&lt;"&amp;EDATE(Forecast!T$7,1)
)</f>
        <v>731.72</v>
      </c>
      <c r="U51">
        <f>SUMIFS(
general_ledger!$D:$D,
general_ledger!$F:$F,Forecast!$C51,
general_ledger!$B:$B,"&gt;="&amp;Forecast!U$7,
general_ledger!$B:$B,"&lt;"&amp;EDATE(Forecast!U$7,1)
)</f>
        <v>731.72</v>
      </c>
      <c r="V51">
        <f>SUMIFS(
general_ledger!$D:$D,
general_ledger!$F:$F,Forecast!$C51,
general_ledger!$B:$B,"&gt;="&amp;Forecast!V$7,
general_ledger!$B:$B,"&lt;"&amp;EDATE(Forecast!V$7,1)
)</f>
        <v>731.72</v>
      </c>
      <c r="W51">
        <f>SUMIFS(
general_ledger!$D:$D,
general_ledger!$F:$F,Forecast!$C51,
general_ledger!$B:$B,"&gt;="&amp;Forecast!W$7,
general_ledger!$B:$B,"&lt;"&amp;EDATE(Forecast!W$7,1)
)</f>
        <v>731.72</v>
      </c>
      <c r="X51">
        <f>SUMIFS(
general_ledger!$D:$D,
general_ledger!$F:$F,Forecast!$C51,
general_ledger!$B:$B,"&gt;="&amp;Forecast!X$7,
general_ledger!$B:$B,"&lt;"&amp;EDATE(Forecast!X$7,1)
)</f>
        <v>731.72</v>
      </c>
      <c r="Y51">
        <f>SUMIFS(
general_ledger!$D:$D,
general_ledger!$F:$F,Forecast!$C51,
general_ledger!$B:$B,"&gt;="&amp;Forecast!Y$7,
general_ledger!$B:$B,"&lt;"&amp;EDATE(Forecast!Y$7,1)
)</f>
        <v>731.72</v>
      </c>
      <c r="Z51">
        <f>SUMIFS(
general_ledger!$D:$D,
general_ledger!$F:$F,Forecast!$C51,
general_ledger!$B:$B,"&gt;="&amp;Forecast!Z$7,
general_ledger!$B:$B,"&lt;"&amp;EDATE(Forecast!Z$7,1)
)</f>
        <v>654.66</v>
      </c>
      <c r="AA51">
        <f>SUMIFS(
general_ledger!$D:$D,
general_ledger!$F:$F,Forecast!$C51,
general_ledger!$B:$B,"&gt;="&amp;Forecast!AA$7,
general_ledger!$B:$B,"&lt;"&amp;EDATE(Forecast!AA$7,1)
)</f>
        <v>561.25</v>
      </c>
      <c r="AB51">
        <f>SUMIFS(
general_ledger!$D:$D,
general_ledger!$F:$F,Forecast!$C51,
general_ledger!$B:$B,"&gt;="&amp;Forecast!AB$7,
general_ledger!$B:$B,"&lt;"&amp;EDATE(Forecast!AB$7,1)
)</f>
        <v>561.25</v>
      </c>
      <c r="AC51">
        <f>_xlfn.FORECAST.ETS(AC$33,$E51:AB51,$E$33:AB$33)</f>
        <v>631.20711763673023</v>
      </c>
      <c r="AD51">
        <f>_xlfn.FORECAST.ETS(AD$33,$E51:AC51,$E$33:AC$33)</f>
        <v>626.09166344977257</v>
      </c>
      <c r="AE51">
        <f>_xlfn.FORECAST.ETS(AE$33,$E51:AD51,$E$33:AD$33)</f>
        <v>638.52424245861494</v>
      </c>
      <c r="AF51">
        <f>_xlfn.FORECAST.ETS(AF$33,$E51:AE51,$E$33:AE$33)</f>
        <v>633.7092394334984</v>
      </c>
      <c r="AG51">
        <f>_xlfn.FORECAST.ETS(AG$33,$E51:AF51,$E$33:AF$33)</f>
        <v>631.52456404633028</v>
      </c>
      <c r="AH51">
        <f>_xlfn.FORECAST.ETS(AH$33,$E51:AG51,$E$33:AG$33)</f>
        <v>626.89233486779892</v>
      </c>
      <c r="AI51">
        <f>_xlfn.FORECAST.ETS(AI$33,$E51:AH51,$E$33:AH$33)</f>
        <v>622.28321152968647</v>
      </c>
      <c r="AJ51">
        <f>_xlfn.FORECAST.ETS(AJ$33,$E51:AI51,$E$33:AI$33)</f>
        <v>617.6942969097455</v>
      </c>
      <c r="AK51">
        <f>_xlfn.FORECAST.ETS(AK$33,$E51:AJ51,$E$33:AJ$33)</f>
        <v>613.02977415289433</v>
      </c>
      <c r="AL51">
        <f>_xlfn.FORECAST.ETS(AL$33,$E51:AK51,$E$33:AK$33)</f>
        <v>608.07582259806497</v>
      </c>
      <c r="AM51">
        <f>_xlfn.FORECAST.ETS(AM$33,$E51:AL51,$E$33:AL$33)</f>
        <v>601.44809884504446</v>
      </c>
      <c r="AN51">
        <f>_xlfn.FORECAST.ETS(AN$33,$E51:AM51,$E$33:AM$33)</f>
        <v>596.71328127957986</v>
      </c>
    </row>
    <row r="53" spans="1:40" x14ac:dyDescent="0.35">
      <c r="C53" t="s">
        <v>19</v>
      </c>
      <c r="E53">
        <f>SUMIFS(
general_ledger!$D:$D,
general_ledger!$F:$F,Forecast!$C53,
general_ledger!$B:$B,"&gt;="&amp;Forecast!E$7,
general_ledger!$B:$B,"&lt;"&amp;EDATE(Forecast!E$7,1)
)</f>
        <v>42762.47</v>
      </c>
      <c r="F53">
        <f>SUMIFS(
general_ledger!$D:$D,
general_ledger!$F:$F,Forecast!$C53,
general_ledger!$B:$B,"&gt;="&amp;Forecast!F$7,
general_ledger!$B:$B,"&lt;"&amp;EDATE(Forecast!F$7,1)
)</f>
        <v>64085.270000000004</v>
      </c>
      <c r="G53">
        <f>SUMIFS(
general_ledger!$D:$D,
general_ledger!$F:$F,Forecast!$C53,
general_ledger!$B:$B,"&gt;="&amp;Forecast!G$7,
general_ledger!$B:$B,"&lt;"&amp;EDATE(Forecast!G$7,1)
)</f>
        <v>42810.03</v>
      </c>
      <c r="H53">
        <f>SUMIFS(
general_ledger!$D:$D,
general_ledger!$F:$F,Forecast!$C53,
general_ledger!$B:$B,"&gt;="&amp;Forecast!H$7,
general_ledger!$B:$B,"&lt;"&amp;EDATE(Forecast!H$7,1)
)</f>
        <v>42842.479999999996</v>
      </c>
      <c r="I53">
        <f>SUMIFS(
general_ledger!$D:$D,
general_ledger!$F:$F,Forecast!$C53,
general_ledger!$B:$B,"&gt;="&amp;Forecast!I$7,
general_ledger!$B:$B,"&lt;"&amp;EDATE(Forecast!I$7,1)
)</f>
        <v>42615.360000000001</v>
      </c>
      <c r="J53">
        <f>SUMIFS(
general_ledger!$D:$D,
general_ledger!$F:$F,Forecast!$C53,
general_ledger!$B:$B,"&gt;="&amp;Forecast!J$7,
general_ledger!$B:$B,"&lt;"&amp;EDATE(Forecast!J$7,1)
)</f>
        <v>42892.320000000007</v>
      </c>
      <c r="K53">
        <f>SUMIFS(
general_ledger!$D:$D,
general_ledger!$F:$F,Forecast!$C53,
general_ledger!$B:$B,"&gt;="&amp;Forecast!K$7,
general_ledger!$B:$B,"&lt;"&amp;EDATE(Forecast!K$7,1)
)</f>
        <v>44351.630000000005</v>
      </c>
      <c r="L53">
        <f>SUMIFS(
general_ledger!$D:$D,
general_ledger!$F:$F,Forecast!$C53,
general_ledger!$B:$B,"&gt;="&amp;Forecast!L$7,
general_ledger!$B:$B,"&lt;"&amp;EDATE(Forecast!L$7,1)
)</f>
        <v>66220.55</v>
      </c>
      <c r="M53">
        <f>SUMIFS(
general_ledger!$D:$D,
general_ledger!$F:$F,Forecast!$C53,
general_ledger!$B:$B,"&gt;="&amp;Forecast!M$7,
general_ledger!$B:$B,"&lt;"&amp;EDATE(Forecast!M$7,1)
)</f>
        <v>44075.48</v>
      </c>
      <c r="N53">
        <f>SUMIFS(
general_ledger!$D:$D,
general_ledger!$F:$F,Forecast!$C53,
general_ledger!$B:$B,"&gt;="&amp;Forecast!N$7,
general_ledger!$B:$B,"&lt;"&amp;EDATE(Forecast!N$7,1)
)</f>
        <v>44495.99</v>
      </c>
      <c r="O53">
        <f>SUMIFS(
general_ledger!$D:$D,
general_ledger!$F:$F,Forecast!$C53,
general_ledger!$B:$B,"&gt;="&amp;Forecast!O$7,
general_ledger!$B:$B,"&lt;"&amp;EDATE(Forecast!O$7,1)
)</f>
        <v>44075.48</v>
      </c>
      <c r="P53">
        <f>SUMIFS(
general_ledger!$D:$D,
general_ledger!$F:$F,Forecast!$C53,
general_ledger!$B:$B,"&gt;="&amp;Forecast!P$7,
general_ledger!$B:$B,"&lt;"&amp;EDATE(Forecast!P$7,1)
)</f>
        <v>44326.43</v>
      </c>
      <c r="Q53">
        <f>SUMIFS(
general_ledger!$D:$D,
general_ledger!$F:$F,Forecast!$C53,
general_ledger!$B:$B,"&gt;="&amp;Forecast!Q$7,
general_ledger!$B:$B,"&lt;"&amp;EDATE(Forecast!Q$7,1)
)</f>
        <v>66753.62</v>
      </c>
      <c r="R53">
        <f>SUMIFS(
general_ledger!$D:$D,
general_ledger!$F:$F,Forecast!$C53,
general_ledger!$B:$B,"&gt;="&amp;Forecast!R$7,
general_ledger!$B:$B,"&lt;"&amp;EDATE(Forecast!R$7,1)
)</f>
        <v>44075.48</v>
      </c>
      <c r="S53">
        <f>SUMIFS(
general_ledger!$D:$D,
general_ledger!$F:$F,Forecast!$C53,
general_ledger!$B:$B,"&gt;="&amp;Forecast!S$7,
general_ledger!$B:$B,"&lt;"&amp;EDATE(Forecast!S$7,1)
)</f>
        <v>44075.48</v>
      </c>
      <c r="T53">
        <f>SUMIFS(
general_ledger!$D:$D,
general_ledger!$F:$F,Forecast!$C53,
general_ledger!$B:$B,"&gt;="&amp;Forecast!T$7,
general_ledger!$B:$B,"&lt;"&amp;EDATE(Forecast!T$7,1)
)</f>
        <v>44075.48</v>
      </c>
      <c r="U53">
        <f>SUMIFS(
general_ledger!$D:$D,
general_ledger!$F:$F,Forecast!$C53,
general_ledger!$B:$B,"&gt;="&amp;Forecast!U$7,
general_ledger!$B:$B,"&lt;"&amp;EDATE(Forecast!U$7,1)
)</f>
        <v>45186.46</v>
      </c>
      <c r="V53">
        <f>SUMIFS(
general_ledger!$D:$D,
general_ledger!$F:$F,Forecast!$C53,
general_ledger!$B:$B,"&gt;="&amp;Forecast!V$7,
general_ledger!$B:$B,"&lt;"&amp;EDATE(Forecast!V$7,1)
)</f>
        <v>44531.33</v>
      </c>
      <c r="W53">
        <f>SUMIFS(
general_ledger!$D:$D,
general_ledger!$F:$F,Forecast!$C53,
general_ledger!$B:$B,"&gt;="&amp;Forecast!W$7,
general_ledger!$B:$B,"&lt;"&amp;EDATE(Forecast!W$7,1)
)</f>
        <v>69100.200000000012</v>
      </c>
      <c r="X53">
        <f>SUMIFS(
general_ledger!$D:$D,
general_ledger!$F:$F,Forecast!$C53,
general_ledger!$B:$B,"&gt;="&amp;Forecast!X$7,
general_ledger!$B:$B,"&lt;"&amp;EDATE(Forecast!X$7,1)
)</f>
        <v>43147.25</v>
      </c>
      <c r="Y53">
        <f>SUMIFS(
general_ledger!$D:$D,
general_ledger!$F:$F,Forecast!$C53,
general_ledger!$B:$B,"&gt;="&amp;Forecast!Y$7,
general_ledger!$B:$B,"&lt;"&amp;EDATE(Forecast!Y$7,1)
)</f>
        <v>45203.229999999996</v>
      </c>
      <c r="Z53">
        <f>SUMIFS(
general_ledger!$D:$D,
general_ledger!$F:$F,Forecast!$C53,
general_ledger!$B:$B,"&gt;="&amp;Forecast!Z$7,
general_ledger!$B:$B,"&lt;"&amp;EDATE(Forecast!Z$7,1)
)</f>
        <v>45105.82</v>
      </c>
      <c r="AA53">
        <f>SUMIFS(
general_ledger!$D:$D,
general_ledger!$F:$F,Forecast!$C53,
general_ledger!$B:$B,"&gt;="&amp;Forecast!AA$7,
general_ledger!$B:$B,"&lt;"&amp;EDATE(Forecast!AA$7,1)
)</f>
        <v>45143.08</v>
      </c>
      <c r="AB53">
        <f>SUMIFS(
general_ledger!$D:$D,
general_ledger!$F:$F,Forecast!$C53,
general_ledger!$B:$B,"&gt;="&amp;Forecast!AB$7,
general_ledger!$B:$B,"&lt;"&amp;EDATE(Forecast!AB$7,1)
)</f>
        <v>45133.72</v>
      </c>
      <c r="AC53">
        <f>_xlfn.FORECAST.ETS(AC$33,$E53:AB53,$E$33:AB$33)</f>
        <v>57488.794697062651</v>
      </c>
      <c r="AD53">
        <f>_xlfn.FORECAST.ETS(AD$33,$E53:AC53,$E$33:AC$33)</f>
        <v>57099.004580350345</v>
      </c>
      <c r="AE53">
        <f>_xlfn.FORECAST.ETS(AE$33,$E53:AD53,$E$33:AD$33)</f>
        <v>45969.371066510234</v>
      </c>
      <c r="AF53">
        <f>_xlfn.FORECAST.ETS(AF$33,$E53:AE53,$E$33:AE$33)</f>
        <v>45166.126211969262</v>
      </c>
      <c r="AG53">
        <f>_xlfn.FORECAST.ETS(AG$33,$E53:AF53,$E$33:AF$33)</f>
        <v>46323.231661589649</v>
      </c>
      <c r="AH53">
        <f>_xlfn.FORECAST.ETS(AH$33,$E53:AG53,$E$33:AG$33)</f>
        <v>46057.588561497316</v>
      </c>
      <c r="AI53">
        <f>_xlfn.FORECAST.ETS(AI$33,$E53:AH53,$E$33:AH$33)</f>
        <v>62702.267052752752</v>
      </c>
      <c r="AJ53">
        <f>_xlfn.FORECAST.ETS(AJ$33,$E53:AI53,$E$33:AI$33)</f>
        <v>53883.188525021571</v>
      </c>
      <c r="AK53">
        <f>_xlfn.FORECAST.ETS(AK$33,$E53:AJ53,$E$33:AJ$33)</f>
        <v>47153.322284139147</v>
      </c>
      <c r="AL53">
        <f>_xlfn.FORECAST.ETS(AL$33,$E53:AK53,$E$33:AK$33)</f>
        <v>46407.302816970063</v>
      </c>
      <c r="AM53">
        <f>_xlfn.FORECAST.ETS(AM$33,$E53:AL53,$E$33:AL$33)</f>
        <v>47589.780274576064</v>
      </c>
      <c r="AN53">
        <f>_xlfn.FORECAST.ETS(AN$33,$E53:AM53,$E$33:AM$33)</f>
        <v>47627.914383157709</v>
      </c>
    </row>
    <row r="54" spans="1:40" x14ac:dyDescent="0.35">
      <c r="C54" t="s">
        <v>21</v>
      </c>
      <c r="E54">
        <f>SUMIFS(
general_ledger!$D:$D,
general_ledger!$F:$F,Forecast!$C54,
general_ledger!$B:$B,"&gt;="&amp;Forecast!E$7,
general_ledger!$B:$B,"&lt;"&amp;EDATE(Forecast!E$7,1)
)</f>
        <v>1710.52</v>
      </c>
      <c r="F54">
        <f>SUMIFS(
general_ledger!$D:$D,
general_ledger!$F:$F,Forecast!$C54,
general_ledger!$B:$B,"&gt;="&amp;Forecast!F$7,
general_ledger!$B:$B,"&lt;"&amp;EDATE(Forecast!F$7,1)
)</f>
        <v>2563.4499999999998</v>
      </c>
      <c r="G54">
        <f>SUMIFS(
general_ledger!$D:$D,
general_ledger!$F:$F,Forecast!$C54,
general_ledger!$B:$B,"&gt;="&amp;Forecast!G$7,
general_ledger!$B:$B,"&lt;"&amp;EDATE(Forecast!G$7,1)
)</f>
        <v>1712.43</v>
      </c>
      <c r="H54">
        <f>SUMIFS(
general_ledger!$D:$D,
general_ledger!$F:$F,Forecast!$C54,
general_ledger!$B:$B,"&gt;="&amp;Forecast!H$7,
general_ledger!$B:$B,"&lt;"&amp;EDATE(Forecast!H$7,1)
)</f>
        <v>1713.73</v>
      </c>
      <c r="I54">
        <f>SUMIFS(
general_ledger!$D:$D,
general_ledger!$F:$F,Forecast!$C54,
general_ledger!$B:$B,"&gt;="&amp;Forecast!I$7,
general_ledger!$B:$B,"&lt;"&amp;EDATE(Forecast!I$7,1)
)</f>
        <v>1704.64</v>
      </c>
      <c r="J54">
        <f>SUMIFS(
general_ledger!$D:$D,
general_ledger!$F:$F,Forecast!$C54,
general_ledger!$B:$B,"&gt;="&amp;Forecast!J$7,
general_ledger!$B:$B,"&lt;"&amp;EDATE(Forecast!J$7,1)
)</f>
        <v>1715.71</v>
      </c>
      <c r="K54">
        <f>SUMIFS(
general_ledger!$D:$D,
general_ledger!$F:$F,Forecast!$C54,
general_ledger!$B:$B,"&gt;="&amp;Forecast!K$7,
general_ledger!$B:$B,"&lt;"&amp;EDATE(Forecast!K$7,1)
)</f>
        <v>1774.06</v>
      </c>
      <c r="L54">
        <f>SUMIFS(
general_ledger!$D:$D,
general_ledger!$F:$F,Forecast!$C54,
general_ledger!$B:$B,"&gt;="&amp;Forecast!L$7,
general_ledger!$B:$B,"&lt;"&amp;EDATE(Forecast!L$7,1)
)</f>
        <v>2648.83</v>
      </c>
      <c r="M54">
        <f>SUMIFS(
general_ledger!$D:$D,
general_ledger!$F:$F,Forecast!$C54,
general_ledger!$B:$B,"&gt;="&amp;Forecast!M$7,
general_ledger!$B:$B,"&lt;"&amp;EDATE(Forecast!M$7,1)
)</f>
        <v>1763.02</v>
      </c>
      <c r="N54">
        <f>SUMIFS(
general_ledger!$D:$D,
general_ledger!$F:$F,Forecast!$C54,
general_ledger!$B:$B,"&gt;="&amp;Forecast!N$7,
general_ledger!$B:$B,"&lt;"&amp;EDATE(Forecast!N$7,1)
)</f>
        <v>1779.8400000000001</v>
      </c>
      <c r="O54">
        <f>SUMIFS(
general_ledger!$D:$D,
general_ledger!$F:$F,Forecast!$C54,
general_ledger!$B:$B,"&gt;="&amp;Forecast!O$7,
general_ledger!$B:$B,"&lt;"&amp;EDATE(Forecast!O$7,1)
)</f>
        <v>1763.02</v>
      </c>
      <c r="P54">
        <f>SUMIFS(
general_ledger!$D:$D,
general_ledger!$F:$F,Forecast!$C54,
general_ledger!$B:$B,"&gt;="&amp;Forecast!P$7,
general_ledger!$B:$B,"&lt;"&amp;EDATE(Forecast!P$7,1)
)</f>
        <v>1773.07</v>
      </c>
      <c r="Q54">
        <f>SUMIFS(
general_ledger!$D:$D,
general_ledger!$F:$F,Forecast!$C54,
general_ledger!$B:$B,"&gt;="&amp;Forecast!Q$7,
general_ledger!$B:$B,"&lt;"&amp;EDATE(Forecast!Q$7,1)
)</f>
        <v>2670.15</v>
      </c>
      <c r="R54">
        <f>SUMIFS(
general_ledger!$D:$D,
general_ledger!$F:$F,Forecast!$C54,
general_ledger!$B:$B,"&gt;="&amp;Forecast!R$7,
general_ledger!$B:$B,"&lt;"&amp;EDATE(Forecast!R$7,1)
)</f>
        <v>1763.02</v>
      </c>
      <c r="S54">
        <f>SUMIFS(
general_ledger!$D:$D,
general_ledger!$F:$F,Forecast!$C54,
general_ledger!$B:$B,"&gt;="&amp;Forecast!S$7,
general_ledger!$B:$B,"&lt;"&amp;EDATE(Forecast!S$7,1)
)</f>
        <v>1763.02</v>
      </c>
      <c r="T54">
        <f>SUMIFS(
general_ledger!$D:$D,
general_ledger!$F:$F,Forecast!$C54,
general_ledger!$B:$B,"&gt;="&amp;Forecast!T$7,
general_ledger!$B:$B,"&lt;"&amp;EDATE(Forecast!T$7,1)
)</f>
        <v>1763.02</v>
      </c>
      <c r="U54">
        <f>SUMIFS(
general_ledger!$D:$D,
general_ledger!$F:$F,Forecast!$C54,
general_ledger!$B:$B,"&gt;="&amp;Forecast!U$7,
general_ledger!$B:$B,"&lt;"&amp;EDATE(Forecast!U$7,1)
)</f>
        <v>1807.45</v>
      </c>
      <c r="V54">
        <f>SUMIFS(
general_ledger!$D:$D,
general_ledger!$F:$F,Forecast!$C54,
general_ledger!$B:$B,"&gt;="&amp;Forecast!V$7,
general_ledger!$B:$B,"&lt;"&amp;EDATE(Forecast!V$7,1)
)</f>
        <v>1781.25</v>
      </c>
      <c r="W54">
        <f>SUMIFS(
general_ledger!$D:$D,
general_ledger!$F:$F,Forecast!$C54,
general_ledger!$B:$B,"&gt;="&amp;Forecast!W$7,
general_ledger!$B:$B,"&lt;"&amp;EDATE(Forecast!W$7,1)
)</f>
        <v>2764.02</v>
      </c>
      <c r="X54">
        <f>SUMIFS(
general_ledger!$D:$D,
general_ledger!$F:$F,Forecast!$C54,
general_ledger!$B:$B,"&gt;="&amp;Forecast!X$7,
general_ledger!$B:$B,"&lt;"&amp;EDATE(Forecast!X$7,1)
)</f>
        <v>1725.8899999999999</v>
      </c>
      <c r="Y54">
        <f>SUMIFS(
general_ledger!$D:$D,
general_ledger!$F:$F,Forecast!$C54,
general_ledger!$B:$B,"&gt;="&amp;Forecast!Y$7,
general_ledger!$B:$B,"&lt;"&amp;EDATE(Forecast!Y$7,1)
)</f>
        <v>1808.1399999999999</v>
      </c>
      <c r="Z54">
        <f>SUMIFS(
general_ledger!$D:$D,
general_ledger!$F:$F,Forecast!$C54,
general_ledger!$B:$B,"&gt;="&amp;Forecast!Z$7,
general_ledger!$B:$B,"&lt;"&amp;EDATE(Forecast!Z$7,1)
)</f>
        <v>1804.24</v>
      </c>
      <c r="AA54">
        <f>SUMIFS(
general_ledger!$D:$D,
general_ledger!$F:$F,Forecast!$C54,
general_ledger!$B:$B,"&gt;="&amp;Forecast!AA$7,
general_ledger!$B:$B,"&lt;"&amp;EDATE(Forecast!AA$7,1)
)</f>
        <v>1805.73</v>
      </c>
      <c r="AB54">
        <f>SUMIFS(
general_ledger!$D:$D,
general_ledger!$F:$F,Forecast!$C54,
general_ledger!$B:$B,"&gt;="&amp;Forecast!AB$7,
general_ledger!$B:$B,"&lt;"&amp;EDATE(Forecast!AB$7,1)
)</f>
        <v>1805.35</v>
      </c>
      <c r="AC54">
        <f>_xlfn.FORECAST.ETS(AC$33,$E54:AB54,$E$33:AB$33)</f>
        <v>2299.540326433128</v>
      </c>
      <c r="AD54">
        <f>_xlfn.FORECAST.ETS(AD$33,$E54:AC54,$E$33:AC$33)</f>
        <v>2283.9534297191167</v>
      </c>
      <c r="AE54">
        <f>_xlfn.FORECAST.ETS(AE$33,$E54:AD54,$E$33:AD$33)</f>
        <v>1838.7699346278087</v>
      </c>
      <c r="AF54">
        <f>_xlfn.FORECAST.ETS(AF$33,$E54:AE54,$E$33:AE$33)</f>
        <v>1806.6405261020427</v>
      </c>
      <c r="AG54">
        <f>_xlfn.FORECAST.ETS(AG$33,$E54:AF54,$E$33:AF$33)</f>
        <v>1852.9209184666938</v>
      </c>
      <c r="AH54">
        <f>_xlfn.FORECAST.ETS(AH$33,$E54:AG54,$E$33:AG$33)</f>
        <v>1842.2973127520702</v>
      </c>
      <c r="AI54">
        <f>_xlfn.FORECAST.ETS(AI$33,$E54:AH54,$E$33:AH$33)</f>
        <v>2508.0792811615938</v>
      </c>
      <c r="AJ54">
        <f>_xlfn.FORECAST.ETS(AJ$33,$E54:AI54,$E$33:AI$33)</f>
        <v>2155.3148273958773</v>
      </c>
      <c r="AK54">
        <f>_xlfn.FORECAST.ETS(AK$33,$E54:AJ54,$E$33:AJ$33)</f>
        <v>1886.1221551151316</v>
      </c>
      <c r="AL54">
        <f>_xlfn.FORECAST.ETS(AL$33,$E54:AK54,$E$33:AK$33)</f>
        <v>1856.2812924741452</v>
      </c>
      <c r="AM54">
        <f>_xlfn.FORECAST.ETS(AM$33,$E54:AL54,$E$33:AL$33)</f>
        <v>1903.5761823201512</v>
      </c>
      <c r="AN54">
        <f>_xlfn.FORECAST.ETS(AN$33,$E54:AM54,$E$33:AM$33)</f>
        <v>1905.104088787841</v>
      </c>
    </row>
    <row r="55" spans="1:40" x14ac:dyDescent="0.35">
      <c r="B55" s="6" t="s">
        <v>53</v>
      </c>
      <c r="E55">
        <f>SUM(E51,E53:E54)</f>
        <v>45204.71</v>
      </c>
      <c r="F55">
        <f t="shared" ref="F55:AN55" si="13">SUM(F51,F53:F54)</f>
        <v>67380.44</v>
      </c>
      <c r="G55">
        <f t="shared" si="13"/>
        <v>45254.18</v>
      </c>
      <c r="H55">
        <f t="shared" si="13"/>
        <v>45287.93</v>
      </c>
      <c r="I55">
        <f t="shared" si="13"/>
        <v>45051.72</v>
      </c>
      <c r="J55">
        <f t="shared" si="13"/>
        <v>45339.750000000007</v>
      </c>
      <c r="K55">
        <f t="shared" si="13"/>
        <v>46857.41</v>
      </c>
      <c r="L55">
        <f t="shared" si="13"/>
        <v>69601.100000000006</v>
      </c>
      <c r="M55">
        <f t="shared" si="13"/>
        <v>46570.22</v>
      </c>
      <c r="N55">
        <f t="shared" si="13"/>
        <v>47007.55</v>
      </c>
      <c r="O55">
        <f t="shared" si="13"/>
        <v>46570.22</v>
      </c>
      <c r="P55">
        <f t="shared" si="13"/>
        <v>46831.22</v>
      </c>
      <c r="Q55">
        <f t="shared" si="13"/>
        <v>70155.489999999991</v>
      </c>
      <c r="R55">
        <f t="shared" si="13"/>
        <v>46570.22</v>
      </c>
      <c r="S55">
        <f t="shared" si="13"/>
        <v>46570.22</v>
      </c>
      <c r="T55">
        <f t="shared" si="13"/>
        <v>46570.22</v>
      </c>
      <c r="U55">
        <f t="shared" si="13"/>
        <v>47725.63</v>
      </c>
      <c r="V55">
        <f t="shared" si="13"/>
        <v>47044.3</v>
      </c>
      <c r="W55">
        <f t="shared" si="13"/>
        <v>72595.940000000017</v>
      </c>
      <c r="X55">
        <f t="shared" si="13"/>
        <v>45604.86</v>
      </c>
      <c r="Y55">
        <f t="shared" si="13"/>
        <v>47743.09</v>
      </c>
      <c r="Z55">
        <f t="shared" si="13"/>
        <v>47564.72</v>
      </c>
      <c r="AA55">
        <f t="shared" si="13"/>
        <v>47510.060000000005</v>
      </c>
      <c r="AB55">
        <f t="shared" si="13"/>
        <v>47500.32</v>
      </c>
      <c r="AC55">
        <f t="shared" si="13"/>
        <v>60419.542141132508</v>
      </c>
      <c r="AD55">
        <f t="shared" si="13"/>
        <v>60009.049673519228</v>
      </c>
      <c r="AE55">
        <f t="shared" si="13"/>
        <v>48446.665243596661</v>
      </c>
      <c r="AF55">
        <f t="shared" si="13"/>
        <v>47606.475977504801</v>
      </c>
      <c r="AG55">
        <f t="shared" si="13"/>
        <v>48807.677144102672</v>
      </c>
      <c r="AH55">
        <f t="shared" si="13"/>
        <v>48526.778209117183</v>
      </c>
      <c r="AI55">
        <f t="shared" si="13"/>
        <v>65832.629545444026</v>
      </c>
      <c r="AJ55">
        <f t="shared" si="13"/>
        <v>56656.197649327194</v>
      </c>
      <c r="AK55">
        <f t="shared" si="13"/>
        <v>49652.474213407171</v>
      </c>
      <c r="AL55">
        <f t="shared" si="13"/>
        <v>48871.659932042276</v>
      </c>
      <c r="AM55">
        <f t="shared" si="13"/>
        <v>50094.804555741262</v>
      </c>
      <c r="AN55">
        <f t="shared" si="13"/>
        <v>50129.731753225133</v>
      </c>
    </row>
    <row r="56" spans="1:40" x14ac:dyDescent="0.35">
      <c r="B56" s="6" t="s">
        <v>52</v>
      </c>
      <c r="E56">
        <f>E37-E55</f>
        <v>-3753.3699999999881</v>
      </c>
      <c r="F56">
        <f t="shared" ref="F56:AN56" si="14">F37-F55</f>
        <v>-9355.4900000000052</v>
      </c>
      <c r="G56">
        <f t="shared" si="14"/>
        <v>26253.380000000041</v>
      </c>
      <c r="H56">
        <f t="shared" si="14"/>
        <v>9545.0400000000154</v>
      </c>
      <c r="I56">
        <f t="shared" si="14"/>
        <v>49310.409999999989</v>
      </c>
      <c r="J56">
        <f t="shared" si="14"/>
        <v>27251.45999999997</v>
      </c>
      <c r="K56">
        <f t="shared" si="14"/>
        <v>49659.979999999967</v>
      </c>
      <c r="L56">
        <f t="shared" si="14"/>
        <v>3505</v>
      </c>
      <c r="M56">
        <f t="shared" si="14"/>
        <v>22802.560000000027</v>
      </c>
      <c r="N56">
        <f t="shared" si="14"/>
        <v>95283.58000000006</v>
      </c>
      <c r="O56">
        <f t="shared" si="14"/>
        <v>92693.689999999828</v>
      </c>
      <c r="P56">
        <f t="shared" si="14"/>
        <v>155744.96999999988</v>
      </c>
      <c r="Q56">
        <f t="shared" si="14"/>
        <v>6784.1999999999534</v>
      </c>
      <c r="R56">
        <f t="shared" si="14"/>
        <v>38654.470000000088</v>
      </c>
      <c r="S56">
        <f t="shared" si="14"/>
        <v>57281.939999999959</v>
      </c>
      <c r="T56">
        <f t="shared" si="14"/>
        <v>64648.210000000079</v>
      </c>
      <c r="U56">
        <f t="shared" si="14"/>
        <v>190089.86</v>
      </c>
      <c r="V56">
        <f t="shared" si="14"/>
        <v>91623.589999999807</v>
      </c>
      <c r="W56">
        <f t="shared" si="14"/>
        <v>40982.929999999964</v>
      </c>
      <c r="X56">
        <f t="shared" si="14"/>
        <v>66149.380000000019</v>
      </c>
      <c r="Y56">
        <f t="shared" si="14"/>
        <v>168106.31000000008</v>
      </c>
      <c r="Z56">
        <f t="shared" si="14"/>
        <v>147970.55999999985</v>
      </c>
      <c r="AA56">
        <f t="shared" si="14"/>
        <v>241206.86999999982</v>
      </c>
      <c r="AB56">
        <f t="shared" si="14"/>
        <v>338786.93000000034</v>
      </c>
      <c r="AC56">
        <f t="shared" si="14"/>
        <v>169197.48740397597</v>
      </c>
      <c r="AD56">
        <f t="shared" si="14"/>
        <v>160396.09330451977</v>
      </c>
      <c r="AE56">
        <f t="shared" si="14"/>
        <v>192078.3135400457</v>
      </c>
      <c r="AF56">
        <f t="shared" si="14"/>
        <v>213450.60530469485</v>
      </c>
      <c r="AG56">
        <f t="shared" si="14"/>
        <v>274472.3330761235</v>
      </c>
      <c r="AH56">
        <f t="shared" si="14"/>
        <v>258803.57396101806</v>
      </c>
      <c r="AI56">
        <f t="shared" si="14"/>
        <v>198776.39018127276</v>
      </c>
      <c r="AJ56">
        <f t="shared" si="14"/>
        <v>202754.9809654665</v>
      </c>
      <c r="AK56">
        <f t="shared" si="14"/>
        <v>247550.91683356502</v>
      </c>
      <c r="AL56">
        <f t="shared" si="14"/>
        <v>265594.10321327928</v>
      </c>
      <c r="AM56">
        <f t="shared" si="14"/>
        <v>325659.92621335934</v>
      </c>
      <c r="AN56">
        <f t="shared" si="14"/>
        <v>305490.34232012503</v>
      </c>
    </row>
    <row r="58" spans="1:40" x14ac:dyDescent="0.35">
      <c r="A58" s="17" t="s">
        <v>55</v>
      </c>
      <c r="B58" s="18"/>
      <c r="C58" s="18"/>
      <c r="D58" s="19"/>
      <c r="E58" s="13" t="s">
        <v>58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20" t="s">
        <v>59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x14ac:dyDescent="0.35">
      <c r="A59" s="7"/>
      <c r="B59" s="10" t="s">
        <v>56</v>
      </c>
      <c r="C59" s="7"/>
      <c r="D59" s="8"/>
      <c r="E59" s="9">
        <v>45292</v>
      </c>
      <c r="F59" s="9">
        <f t="shared" ref="F59:AN59" si="15">EDATE(E$7,1)</f>
        <v>45323</v>
      </c>
      <c r="G59" s="9">
        <f t="shared" si="15"/>
        <v>45352</v>
      </c>
      <c r="H59" s="9">
        <f t="shared" si="15"/>
        <v>45383</v>
      </c>
      <c r="I59" s="9">
        <f t="shared" si="15"/>
        <v>45413</v>
      </c>
      <c r="J59" s="9">
        <f t="shared" si="15"/>
        <v>45444</v>
      </c>
      <c r="K59" s="9">
        <f t="shared" si="15"/>
        <v>45474</v>
      </c>
      <c r="L59" s="9">
        <f t="shared" si="15"/>
        <v>45505</v>
      </c>
      <c r="M59" s="9">
        <f t="shared" si="15"/>
        <v>45536</v>
      </c>
      <c r="N59" s="9">
        <f t="shared" si="15"/>
        <v>45566</v>
      </c>
      <c r="O59" s="9">
        <f t="shared" si="15"/>
        <v>45597</v>
      </c>
      <c r="P59" s="9">
        <f t="shared" si="15"/>
        <v>45627</v>
      </c>
      <c r="Q59" s="9">
        <f t="shared" si="15"/>
        <v>45658</v>
      </c>
      <c r="R59" s="9">
        <f t="shared" si="15"/>
        <v>45689</v>
      </c>
      <c r="S59" s="9">
        <f t="shared" si="15"/>
        <v>45717</v>
      </c>
      <c r="T59" s="9">
        <f t="shared" si="15"/>
        <v>45748</v>
      </c>
      <c r="U59" s="9">
        <f t="shared" si="15"/>
        <v>45778</v>
      </c>
      <c r="V59" s="9">
        <f t="shared" si="15"/>
        <v>45809</v>
      </c>
      <c r="W59" s="9">
        <f t="shared" si="15"/>
        <v>45839</v>
      </c>
      <c r="X59" s="9">
        <f t="shared" si="15"/>
        <v>45870</v>
      </c>
      <c r="Y59" s="9">
        <f t="shared" si="15"/>
        <v>45901</v>
      </c>
      <c r="Z59" s="9">
        <f t="shared" si="15"/>
        <v>45931</v>
      </c>
      <c r="AA59" s="9">
        <f t="shared" si="15"/>
        <v>45962</v>
      </c>
      <c r="AB59" s="9">
        <f t="shared" si="15"/>
        <v>45992</v>
      </c>
      <c r="AC59" s="9">
        <f t="shared" si="15"/>
        <v>46023</v>
      </c>
      <c r="AD59" s="9">
        <f t="shared" si="15"/>
        <v>46054</v>
      </c>
      <c r="AE59" s="9">
        <f t="shared" si="15"/>
        <v>46082</v>
      </c>
      <c r="AF59" s="9">
        <f t="shared" si="15"/>
        <v>46113</v>
      </c>
      <c r="AG59" s="9">
        <f t="shared" si="15"/>
        <v>46143</v>
      </c>
      <c r="AH59" s="9">
        <f t="shared" si="15"/>
        <v>46174</v>
      </c>
      <c r="AI59" s="9">
        <f t="shared" si="15"/>
        <v>46204</v>
      </c>
      <c r="AJ59" s="9">
        <f t="shared" si="15"/>
        <v>46235</v>
      </c>
      <c r="AK59" s="9">
        <f t="shared" si="15"/>
        <v>46266</v>
      </c>
      <c r="AL59" s="9">
        <f t="shared" si="15"/>
        <v>46296</v>
      </c>
      <c r="AM59" s="9">
        <f t="shared" si="15"/>
        <v>46327</v>
      </c>
      <c r="AN59" s="9">
        <f t="shared" si="15"/>
        <v>46357</v>
      </c>
    </row>
    <row r="60" spans="1:40" x14ac:dyDescent="0.35">
      <c r="B60" s="6" t="s">
        <v>50</v>
      </c>
    </row>
    <row r="61" spans="1:40" x14ac:dyDescent="0.35">
      <c r="C61" t="s">
        <v>14</v>
      </c>
      <c r="E61" s="2">
        <f>SUMIFS(
general_ledger!$E:$E,
general_ledger!$F:$F,Forecast!$C61,
general_ledger!$B:$B,"&gt;="&amp;Forecast!E$7,
general_ledger!$B:$B,"&lt;"&amp;EDATE(Forecast!E$7,1)
)</f>
        <v>59415.490000000013</v>
      </c>
      <c r="F61" s="2">
        <f>SUMIFS(
general_ledger!$E:$E,
general_ledger!$F:$F,Forecast!$C61,
general_ledger!$B:$B,"&gt;="&amp;Forecast!F$7,
general_ledger!$B:$B,"&lt;"&amp;EDATE(Forecast!F$7,1)
)</f>
        <v>68342.89</v>
      </c>
      <c r="G61" s="2">
        <f>SUMIFS(
general_ledger!$E:$E,
general_ledger!$F:$F,Forecast!$C61,
general_ledger!$B:$B,"&gt;="&amp;Forecast!G$7,
general_ledger!$B:$B,"&lt;"&amp;EDATE(Forecast!G$7,1)
)</f>
        <v>99595.540000000037</v>
      </c>
      <c r="H61" s="2">
        <f>SUMIFS(
general_ledger!$E:$E,
general_ledger!$F:$F,Forecast!$C61,
general_ledger!$B:$B,"&gt;="&amp;Forecast!H$7,
general_ledger!$B:$B,"&lt;"&amp;EDATE(Forecast!H$7,1)
)</f>
        <v>95861.080000000016</v>
      </c>
      <c r="I61" s="2">
        <f>SUMIFS(
general_ledger!$E:$E,
general_ledger!$F:$F,Forecast!$C61,
general_ledger!$B:$B,"&gt;="&amp;Forecast!I$7,
general_ledger!$B:$B,"&lt;"&amp;EDATE(Forecast!I$7,1)
)</f>
        <v>150362.91999999998</v>
      </c>
      <c r="J61" s="2">
        <f>SUMIFS(
general_ledger!$E:$E,
general_ledger!$F:$F,Forecast!$C61,
general_ledger!$B:$B,"&gt;="&amp;Forecast!J$7,
general_ledger!$B:$B,"&lt;"&amp;EDATE(Forecast!J$7,1)
)</f>
        <v>142942.71</v>
      </c>
      <c r="K61" s="2">
        <f>SUMIFS(
general_ledger!$E:$E,
general_ledger!$F:$F,Forecast!$C61,
general_ledger!$B:$B,"&gt;="&amp;Forecast!K$7,
general_ledger!$B:$B,"&lt;"&amp;EDATE(Forecast!K$7,1)
)</f>
        <v>149964.52999999997</v>
      </c>
      <c r="L61" s="2">
        <f>SUMIFS(
general_ledger!$E:$E,
general_ledger!$F:$F,Forecast!$C61,
general_ledger!$B:$B,"&gt;="&amp;Forecast!L$7,
general_ledger!$B:$B,"&lt;"&amp;EDATE(Forecast!L$7,1)
)</f>
        <v>134993.04</v>
      </c>
      <c r="M61" s="2">
        <f>SUMIFS(
general_ledger!$E:$E,
general_ledger!$F:$F,Forecast!$C61,
general_ledger!$B:$B,"&gt;="&amp;Forecast!M$7,
general_ledger!$B:$B,"&lt;"&amp;EDATE(Forecast!M$7,1)
)</f>
        <v>141063.74000000002</v>
      </c>
      <c r="N61" s="2">
        <f>SUMIFS(
general_ledger!$E:$E,
general_ledger!$F:$F,Forecast!$C61,
general_ledger!$B:$B,"&gt;="&amp;Forecast!N$7,
general_ledger!$B:$B,"&lt;"&amp;EDATE(Forecast!N$7,1)
)</f>
        <v>205049.57000000007</v>
      </c>
      <c r="O61" s="2">
        <f>SUMIFS(
general_ledger!$E:$E,
general_ledger!$F:$F,Forecast!$C61,
general_ledger!$B:$B,"&gt;="&amp;Forecast!O$7,
general_ledger!$B:$B,"&lt;"&amp;EDATE(Forecast!O$7,1)
)</f>
        <v>232928.62999999983</v>
      </c>
      <c r="P61" s="2">
        <f>SUMIFS(
general_ledger!$E:$E,
general_ledger!$F:$F,Forecast!$C61,
general_ledger!$B:$B,"&gt;="&amp;Forecast!P$7,
general_ledger!$B:$B,"&lt;"&amp;EDATE(Forecast!P$7,1)
)</f>
        <v>309332.21999999991</v>
      </c>
      <c r="Q61" s="2">
        <f>SUMIFS(
general_ledger!$E:$E,
general_ledger!$F:$F,Forecast!$C61,
general_ledger!$B:$B,"&gt;="&amp;Forecast!Q$7,
general_ledger!$B:$B,"&lt;"&amp;EDATE(Forecast!Q$7,1)
)</f>
        <v>153642.57999999996</v>
      </c>
      <c r="R61" s="2">
        <f>SUMIFS(
general_ledger!$E:$E,
general_ledger!$F:$F,Forecast!$C61,
general_ledger!$B:$B,"&gt;="&amp;Forecast!R$7,
general_ledger!$B:$B,"&lt;"&amp;EDATE(Forecast!R$7,1)
)</f>
        <v>138235.13000000006</v>
      </c>
      <c r="S61" s="2">
        <f>SUMIFS(
general_ledger!$E:$E,
general_ledger!$F:$F,Forecast!$C61,
general_ledger!$B:$B,"&gt;="&amp;Forecast!S$7,
general_ledger!$B:$B,"&lt;"&amp;EDATE(Forecast!S$7,1)
)</f>
        <v>177988.43999999994</v>
      </c>
      <c r="T61" s="2">
        <f>SUMIFS(
general_ledger!$E:$E,
general_ledger!$F:$F,Forecast!$C61,
general_ledger!$B:$B,"&gt;="&amp;Forecast!T$7,
general_ledger!$B:$B,"&lt;"&amp;EDATE(Forecast!T$7,1)
)</f>
        <v>217996.40000000008</v>
      </c>
      <c r="U61" s="2">
        <f>SUMIFS(
general_ledger!$E:$E,
general_ledger!$F:$F,Forecast!$C61,
general_ledger!$B:$B,"&gt;="&amp;Forecast!U$7,
general_ledger!$B:$B,"&lt;"&amp;EDATE(Forecast!U$7,1)
)</f>
        <v>329150.24</v>
      </c>
      <c r="V61" s="2">
        <f>SUMIFS(
general_ledger!$E:$E,
general_ledger!$F:$F,Forecast!$C61,
general_ledger!$B:$B,"&gt;="&amp;Forecast!V$7,
general_ledger!$B:$B,"&lt;"&amp;EDATE(Forecast!V$7,1)
)</f>
        <v>242501.93999999983</v>
      </c>
      <c r="W61" s="2">
        <f>SUMIFS(
general_ledger!$E:$E,
general_ledger!$F:$F,Forecast!$C61,
general_ledger!$B:$B,"&gt;="&amp;Forecast!W$7,
general_ledger!$B:$B,"&lt;"&amp;EDATE(Forecast!W$7,1)
)</f>
        <v>216498.91999999998</v>
      </c>
      <c r="X61" s="2">
        <f>SUMIFS(
general_ledger!$E:$E,
general_ledger!$F:$F,Forecast!$C61,
general_ledger!$B:$B,"&gt;="&amp;Forecast!X$7,
general_ledger!$B:$B,"&lt;"&amp;EDATE(Forecast!X$7,1)
)</f>
        <v>191254.52000000005</v>
      </c>
      <c r="Y61" s="2">
        <f>SUMIFS(
general_ledger!$E:$E,
general_ledger!$F:$F,Forecast!$C61,
general_ledger!$B:$B,"&gt;="&amp;Forecast!Y$7,
general_ledger!$B:$B,"&lt;"&amp;EDATE(Forecast!Y$7,1)
)</f>
        <v>317274.78000000009</v>
      </c>
      <c r="Z61" s="2">
        <f>SUMIFS(
general_ledger!$E:$E,
general_ledger!$F:$F,Forecast!$C61,
general_ledger!$B:$B,"&gt;="&amp;Forecast!Z$7,
general_ledger!$B:$B,"&lt;"&amp;EDATE(Forecast!Z$7,1)
)</f>
        <v>299056.03999999986</v>
      </c>
      <c r="AA61" s="2">
        <f>SUMIFS(
general_ledger!$E:$E,
general_ledger!$F:$F,Forecast!$C61,
general_ledger!$B:$B,"&gt;="&amp;Forecast!AA$7,
general_ledger!$B:$B,"&lt;"&amp;EDATE(Forecast!AA$7,1)
)</f>
        <v>403762.45999999985</v>
      </c>
      <c r="AB61" s="2">
        <f>SUMIFS(
general_ledger!$E:$E,
general_ledger!$F:$F,Forecast!$C61,
general_ledger!$B:$B,"&gt;="&amp;Forecast!AB$7,
general_ledger!$B:$B,"&lt;"&amp;EDATE(Forecast!AB$7,1)
)</f>
        <v>511798.72000000038</v>
      </c>
      <c r="AC61" s="2">
        <f t="shared" ref="AC61:AN61" si="16">AC35*(1+$E$4)</f>
        <v>234623.49399941735</v>
      </c>
      <c r="AD61" s="2">
        <f t="shared" si="16"/>
        <v>223034.46501902986</v>
      </c>
      <c r="AE61" s="2">
        <f t="shared" si="16"/>
        <v>245533.05664807605</v>
      </c>
      <c r="AF61" s="2">
        <f t="shared" si="16"/>
        <v>266263.71511309274</v>
      </c>
      <c r="AG61" s="2">
        <f t="shared" si="16"/>
        <v>318142.4874545458</v>
      </c>
      <c r="AH61" s="2">
        <f t="shared" si="16"/>
        <v>316289.7673719615</v>
      </c>
      <c r="AI61" s="2">
        <f t="shared" si="16"/>
        <v>275156.14192236302</v>
      </c>
      <c r="AJ61" s="2">
        <f t="shared" si="16"/>
        <v>262861.67371433164</v>
      </c>
      <c r="AK61" s="2">
        <f t="shared" si="16"/>
        <v>297863.78325754043</v>
      </c>
      <c r="AL61" s="2">
        <f t="shared" si="16"/>
        <v>318038.14193660492</v>
      </c>
      <c r="AM61" s="2">
        <f t="shared" si="16"/>
        <v>368204.04685055226</v>
      </c>
      <c r="AN61" s="2">
        <f t="shared" si="16"/>
        <v>363457.87672452815</v>
      </c>
    </row>
    <row r="62" spans="1:40" x14ac:dyDescent="0.35">
      <c r="C62" t="s">
        <v>26</v>
      </c>
      <c r="E62">
        <f>SUMIFS(
general_ledger!$D:$D,
general_ledger!$F:$F,Forecast!$C62,
general_ledger!$B:$B,"&gt;="&amp;Forecast!E$7,
general_ledger!$B:$B,"&lt;"&amp;EDATE(Forecast!E$7,1)
)</f>
        <v>17964.150000000001</v>
      </c>
      <c r="F62">
        <f>SUMIFS(
general_ledger!$D:$D,
general_ledger!$F:$F,Forecast!$C62,
general_ledger!$B:$B,"&gt;="&amp;Forecast!F$7,
general_ledger!$B:$B,"&lt;"&amp;EDATE(Forecast!F$7,1)
)</f>
        <v>10317.94</v>
      </c>
      <c r="G62">
        <f>SUMIFS(
general_ledger!$D:$D,
general_ledger!$F:$F,Forecast!$C62,
general_ledger!$B:$B,"&gt;="&amp;Forecast!G$7,
general_ledger!$B:$B,"&lt;"&amp;EDATE(Forecast!G$7,1)
)</f>
        <v>28087.98</v>
      </c>
      <c r="H62">
        <f>SUMIFS(
general_ledger!$D:$D,
general_ledger!$F:$F,Forecast!$C62,
general_ledger!$B:$B,"&gt;="&amp;Forecast!H$7,
general_ledger!$B:$B,"&lt;"&amp;EDATE(Forecast!H$7,1)
)</f>
        <v>41028.11</v>
      </c>
      <c r="I62">
        <f>SUMIFS(
general_ledger!$D:$D,
general_ledger!$F:$F,Forecast!$C62,
general_ledger!$B:$B,"&gt;="&amp;Forecast!I$7,
general_ledger!$B:$B,"&lt;"&amp;EDATE(Forecast!I$7,1)
)</f>
        <v>56000.789999999994</v>
      </c>
      <c r="J62">
        <f>SUMIFS(
general_ledger!$D:$D,
general_ledger!$F:$F,Forecast!$C62,
general_ledger!$B:$B,"&gt;="&amp;Forecast!J$7,
general_ledger!$B:$B,"&lt;"&amp;EDATE(Forecast!J$7,1)
)</f>
        <v>70351.500000000015</v>
      </c>
      <c r="K62">
        <f>SUMIFS(
general_ledger!$D:$D,
general_ledger!$F:$F,Forecast!$C62,
general_ledger!$B:$B,"&gt;="&amp;Forecast!K$7,
general_ledger!$B:$B,"&lt;"&amp;EDATE(Forecast!K$7,1)
)</f>
        <v>53447.14</v>
      </c>
      <c r="L62">
        <f>SUMIFS(
general_ledger!$D:$D,
general_ledger!$F:$F,Forecast!$C62,
general_ledger!$B:$B,"&gt;="&amp;Forecast!L$7,
general_ledger!$B:$B,"&lt;"&amp;EDATE(Forecast!L$7,1)
)</f>
        <v>61886.94</v>
      </c>
      <c r="M62">
        <f>SUMIFS(
general_ledger!$D:$D,
general_ledger!$F:$F,Forecast!$C62,
general_ledger!$B:$B,"&gt;="&amp;Forecast!M$7,
general_ledger!$B:$B,"&lt;"&amp;EDATE(Forecast!M$7,1)
)</f>
        <v>71690.959999999992</v>
      </c>
      <c r="N62">
        <f>SUMIFS(
general_ledger!$D:$D,
general_ledger!$F:$F,Forecast!$C62,
general_ledger!$B:$B,"&gt;="&amp;Forecast!N$7,
general_ledger!$B:$B,"&lt;"&amp;EDATE(Forecast!N$7,1)
)</f>
        <v>62758.44000000001</v>
      </c>
      <c r="O62">
        <f>SUMIFS(
general_ledger!$D:$D,
general_ledger!$F:$F,Forecast!$C62,
general_ledger!$B:$B,"&gt;="&amp;Forecast!O$7,
general_ledger!$B:$B,"&lt;"&amp;EDATE(Forecast!O$7,1)
)</f>
        <v>93664.72</v>
      </c>
      <c r="P62">
        <f>SUMIFS(
general_ledger!$D:$D,
general_ledger!$F:$F,Forecast!$C62,
general_ledger!$B:$B,"&gt;="&amp;Forecast!P$7,
general_ledger!$B:$B,"&lt;"&amp;EDATE(Forecast!P$7,1)
)</f>
        <v>106756.03000000001</v>
      </c>
      <c r="Q62">
        <f>SUMIFS(
general_ledger!$D:$D,
general_ledger!$F:$F,Forecast!$C62,
general_ledger!$B:$B,"&gt;="&amp;Forecast!Q$7,
general_ledger!$B:$B,"&lt;"&amp;EDATE(Forecast!Q$7,1)
)</f>
        <v>76702.890000000014</v>
      </c>
      <c r="R62">
        <f>SUMIFS(
general_ledger!$D:$D,
general_ledger!$F:$F,Forecast!$C62,
general_ledger!$B:$B,"&gt;="&amp;Forecast!R$7,
general_ledger!$B:$B,"&lt;"&amp;EDATE(Forecast!R$7,1)
)</f>
        <v>53010.439999999981</v>
      </c>
      <c r="S62">
        <f>SUMIFS(
general_ledger!$D:$D,
general_ledger!$F:$F,Forecast!$C62,
general_ledger!$B:$B,"&gt;="&amp;Forecast!S$7,
general_ledger!$B:$B,"&lt;"&amp;EDATE(Forecast!S$7,1)
)</f>
        <v>74136.279999999984</v>
      </c>
      <c r="T62">
        <f>SUMIFS(
general_ledger!$D:$D,
general_ledger!$F:$F,Forecast!$C62,
general_ledger!$B:$B,"&gt;="&amp;Forecast!T$7,
general_ledger!$B:$B,"&lt;"&amp;EDATE(Forecast!T$7,1)
)</f>
        <v>106777.97</v>
      </c>
      <c r="U62">
        <f>SUMIFS(
general_ledger!$D:$D,
general_ledger!$F:$F,Forecast!$C62,
general_ledger!$B:$B,"&gt;="&amp;Forecast!U$7,
general_ledger!$B:$B,"&lt;"&amp;EDATE(Forecast!U$7,1)
)</f>
        <v>91334.750000000015</v>
      </c>
      <c r="V62">
        <f>SUMIFS(
general_ledger!$D:$D,
general_ledger!$F:$F,Forecast!$C62,
general_ledger!$B:$B,"&gt;="&amp;Forecast!V$7,
general_ledger!$B:$B,"&lt;"&amp;EDATE(Forecast!V$7,1)
)</f>
        <v>103834.05000000002</v>
      </c>
      <c r="W62">
        <f>SUMIFS(
general_ledger!$D:$D,
general_ledger!$F:$F,Forecast!$C62,
general_ledger!$B:$B,"&gt;="&amp;Forecast!W$7,
general_ledger!$B:$B,"&lt;"&amp;EDATE(Forecast!W$7,1)
)</f>
        <v>102920.05</v>
      </c>
      <c r="X62">
        <f>SUMIFS(
general_ledger!$D:$D,
general_ledger!$F:$F,Forecast!$C62,
general_ledger!$B:$B,"&gt;="&amp;Forecast!X$7,
general_ledger!$B:$B,"&lt;"&amp;EDATE(Forecast!X$7,1)
)</f>
        <v>79500.280000000028</v>
      </c>
      <c r="Y62">
        <f>SUMIFS(
general_ledger!$D:$D,
general_ledger!$F:$F,Forecast!$C62,
general_ledger!$B:$B,"&gt;="&amp;Forecast!Y$7,
general_ledger!$B:$B,"&lt;"&amp;EDATE(Forecast!Y$7,1)
)</f>
        <v>101425.38</v>
      </c>
      <c r="Z62">
        <f>SUMIFS(
general_ledger!$D:$D,
general_ledger!$F:$F,Forecast!$C62,
general_ledger!$B:$B,"&gt;="&amp;Forecast!Z$7,
general_ledger!$B:$B,"&lt;"&amp;EDATE(Forecast!Z$7,1)
)</f>
        <v>103520.76000000001</v>
      </c>
      <c r="AA62">
        <f>SUMIFS(
general_ledger!$D:$D,
general_ledger!$F:$F,Forecast!$C62,
general_ledger!$B:$B,"&gt;="&amp;Forecast!AA$7,
general_ledger!$B:$B,"&lt;"&amp;EDATE(Forecast!AA$7,1)
)</f>
        <v>115045.53000000003</v>
      </c>
      <c r="AB62">
        <f>SUMIFS(
general_ledger!$D:$D,
general_ledger!$F:$F,Forecast!$C62,
general_ledger!$B:$B,"&gt;="&amp;Forecast!AB$7,
general_ledger!$B:$B,"&lt;"&amp;EDATE(Forecast!AB$7,1)
)</f>
        <v>125511.47000000002</v>
      </c>
      <c r="AC62" s="2">
        <f>AC61-AC63</f>
        <v>94886.435034677212</v>
      </c>
      <c r="AD62" s="2">
        <f t="shared" ref="AD62" si="17">AD61-AD63</f>
        <v>90199.599855821434</v>
      </c>
      <c r="AE62" s="2">
        <f t="shared" ref="AE62" si="18">AE61-AE63</f>
        <v>99298.480435046484</v>
      </c>
      <c r="AF62" s="2">
        <f t="shared" ref="AF62" si="19">AF61-AF63</f>
        <v>107682.37347208298</v>
      </c>
      <c r="AG62" s="2">
        <f t="shared" ref="AG62" si="20">AG61-AG63</f>
        <v>128663.18693430308</v>
      </c>
      <c r="AH62" s="2">
        <f t="shared" ref="AH62" si="21">AH61-AH63</f>
        <v>127913.90986593749</v>
      </c>
      <c r="AI62" s="2">
        <f t="shared" ref="AI62" si="22">AI61-AI63</f>
        <v>111278.64878260469</v>
      </c>
      <c r="AJ62" s="2">
        <f t="shared" ref="AJ62" si="23">AJ61-AJ63</f>
        <v>106306.51986652022</v>
      </c>
      <c r="AK62" s="2">
        <f t="shared" ref="AK62" si="24">AK61-AK63</f>
        <v>120462.07324540132</v>
      </c>
      <c r="AL62" s="2">
        <f t="shared" ref="AL62" si="25">AL61-AL63</f>
        <v>128620.98751922967</v>
      </c>
      <c r="AM62" s="2">
        <f t="shared" ref="AM62" si="26">AM61-AM63</f>
        <v>148909.08312479968</v>
      </c>
      <c r="AN62" s="2">
        <f t="shared" ref="AN62" si="27">AN61-AN63</f>
        <v>146989.6369702401</v>
      </c>
    </row>
    <row r="63" spans="1:40" x14ac:dyDescent="0.35">
      <c r="B63" s="6" t="s">
        <v>51</v>
      </c>
      <c r="C63" s="5"/>
      <c r="E63">
        <f t="shared" ref="E63" si="28">E61-E62</f>
        <v>41451.340000000011</v>
      </c>
      <c r="F63">
        <f t="shared" ref="F63" si="29">F61-F62</f>
        <v>58024.95</v>
      </c>
      <c r="G63">
        <f t="shared" ref="G63" si="30">G61-G62</f>
        <v>71507.560000000041</v>
      </c>
      <c r="H63">
        <f t="shared" ref="H63" si="31">H61-H62</f>
        <v>54832.970000000016</v>
      </c>
      <c r="I63">
        <f t="shared" ref="I63" si="32">I61-I62</f>
        <v>94362.12999999999</v>
      </c>
      <c r="J63">
        <f t="shared" ref="J63" si="33">J61-J62</f>
        <v>72591.209999999977</v>
      </c>
      <c r="K63">
        <f t="shared" ref="K63" si="34">K61-K62</f>
        <v>96517.38999999997</v>
      </c>
      <c r="L63">
        <f t="shared" ref="L63" si="35">L61-L62</f>
        <v>73106.100000000006</v>
      </c>
      <c r="M63">
        <f t="shared" ref="M63" si="36">M61-M62</f>
        <v>69372.780000000028</v>
      </c>
      <c r="N63">
        <f t="shared" ref="N63" si="37">N61-N62</f>
        <v>142291.13000000006</v>
      </c>
      <c r="O63">
        <f t="shared" ref="O63" si="38">O61-O62</f>
        <v>139263.90999999983</v>
      </c>
      <c r="P63">
        <f t="shared" ref="P63" si="39">P61-P62</f>
        <v>202576.18999999989</v>
      </c>
      <c r="Q63">
        <f t="shared" ref="Q63" si="40">Q61-Q62</f>
        <v>76939.689999999944</v>
      </c>
      <c r="R63">
        <f t="shared" ref="R63" si="41">R61-R62</f>
        <v>85224.69000000009</v>
      </c>
      <c r="S63">
        <f t="shared" ref="S63" si="42">S61-S62</f>
        <v>103852.15999999996</v>
      </c>
      <c r="T63">
        <f t="shared" ref="T63" si="43">T61-T62</f>
        <v>111218.43000000008</v>
      </c>
      <c r="U63">
        <f t="shared" ref="U63" si="44">U61-U62</f>
        <v>237815.49</v>
      </c>
      <c r="V63">
        <f t="shared" ref="V63" si="45">V61-V62</f>
        <v>138667.88999999981</v>
      </c>
      <c r="W63">
        <f t="shared" ref="W63" si="46">W61-W62</f>
        <v>113578.86999999998</v>
      </c>
      <c r="X63">
        <f t="shared" ref="X63" si="47">X61-X62</f>
        <v>111754.24000000002</v>
      </c>
      <c r="Y63">
        <f t="shared" ref="Y63" si="48">Y61-Y62</f>
        <v>215849.40000000008</v>
      </c>
      <c r="Z63">
        <f t="shared" ref="Z63" si="49">Z61-Z62</f>
        <v>195535.27999999985</v>
      </c>
      <c r="AA63">
        <f t="shared" ref="AA63" si="50">AA61-AA62</f>
        <v>288716.92999999982</v>
      </c>
      <c r="AB63">
        <f t="shared" ref="AB63" si="51">AB61-AB62</f>
        <v>386287.25000000035</v>
      </c>
      <c r="AC63" s="2">
        <f>AC61*AC64</f>
        <v>139737.05896474014</v>
      </c>
      <c r="AD63" s="2">
        <f>AD61*AD64</f>
        <v>132834.86516320842</v>
      </c>
      <c r="AE63" s="2">
        <f>AE61*AE64</f>
        <v>146234.57621302956</v>
      </c>
      <c r="AF63" s="2">
        <f>AF61*AF64</f>
        <v>158581.34164100976</v>
      </c>
      <c r="AG63" s="2">
        <f t="shared" ref="AG63" si="52">AG61*AG64</f>
        <v>189479.30052024272</v>
      </c>
      <c r="AH63" s="2">
        <f t="shared" ref="AH63" si="53">AH61*AH64</f>
        <v>188375.85750602401</v>
      </c>
      <c r="AI63" s="2">
        <f t="shared" ref="AI63" si="54">AI61*AI64</f>
        <v>163877.49313975833</v>
      </c>
      <c r="AJ63" s="2">
        <f t="shared" ref="AJ63" si="55">AJ61*AJ64</f>
        <v>156555.15384781142</v>
      </c>
      <c r="AK63" s="2">
        <f t="shared" ref="AK63" si="56">AK61*AK64</f>
        <v>177401.71001213911</v>
      </c>
      <c r="AL63" s="2">
        <f t="shared" ref="AL63" si="57">AL61*AL64</f>
        <v>189417.15441737525</v>
      </c>
      <c r="AM63" s="2">
        <f t="shared" ref="AM63" si="58">AM61*AM64</f>
        <v>219294.96372575258</v>
      </c>
      <c r="AN63" s="2">
        <f t="shared" ref="AN63" si="59">AN61*AN64</f>
        <v>216468.23975428805</v>
      </c>
    </row>
    <row r="64" spans="1:40" x14ac:dyDescent="0.35">
      <c r="C64" t="s">
        <v>60</v>
      </c>
      <c r="D64"/>
      <c r="E64" s="21">
        <f>E63/E61</f>
        <v>0.6976520769247212</v>
      </c>
      <c r="F64" s="21">
        <f t="shared" ref="F64:AB64" si="60">F63/F61</f>
        <v>0.84902687024209833</v>
      </c>
      <c r="G64" s="21">
        <f t="shared" si="60"/>
        <v>0.71797954004767695</v>
      </c>
      <c r="H64" s="21">
        <f t="shared" si="60"/>
        <v>0.57200450902493494</v>
      </c>
      <c r="I64" s="21">
        <f t="shared" si="60"/>
        <v>0.62756250011638504</v>
      </c>
      <c r="J64" s="21">
        <f t="shared" si="60"/>
        <v>0.50783429249382483</v>
      </c>
      <c r="K64" s="21">
        <f t="shared" si="60"/>
        <v>0.6436014569578552</v>
      </c>
      <c r="L64" s="21">
        <f t="shared" si="60"/>
        <v>0.5415545868142535</v>
      </c>
      <c r="M64" s="21">
        <f t="shared" si="60"/>
        <v>0.49178321799776481</v>
      </c>
      <c r="N64" s="21">
        <f t="shared" si="60"/>
        <v>0.6939352762358878</v>
      </c>
      <c r="O64" s="21">
        <f t="shared" si="60"/>
        <v>0.59788232129300689</v>
      </c>
      <c r="P64" s="21">
        <f t="shared" si="60"/>
        <v>0.65488228158062534</v>
      </c>
      <c r="Q64" s="21">
        <f t="shared" si="60"/>
        <v>0.50077061970711478</v>
      </c>
      <c r="R64" s="21">
        <f t="shared" si="60"/>
        <v>0.61651976599580771</v>
      </c>
      <c r="S64" s="21">
        <f t="shared" si="60"/>
        <v>0.58347699434862166</v>
      </c>
      <c r="T64" s="21">
        <f t="shared" si="60"/>
        <v>0.51018470947226668</v>
      </c>
      <c r="U64" s="21">
        <f t="shared" si="60"/>
        <v>0.72251349414176336</v>
      </c>
      <c r="V64" s="21">
        <f t="shared" si="60"/>
        <v>0.57182177594125605</v>
      </c>
      <c r="W64" s="21">
        <f t="shared" si="60"/>
        <v>0.52461633526855467</v>
      </c>
      <c r="X64" s="21">
        <f t="shared" si="60"/>
        <v>0.58432208556430454</v>
      </c>
      <c r="Y64" s="21">
        <f t="shared" si="60"/>
        <v>0.68032322014375057</v>
      </c>
      <c r="Z64" s="21">
        <f t="shared" si="60"/>
        <v>0.65384160105911904</v>
      </c>
      <c r="AA64" s="21">
        <f t="shared" si="60"/>
        <v>0.71506630408384164</v>
      </c>
      <c r="AB64" s="21">
        <f t="shared" si="60"/>
        <v>0.75476400175443981</v>
      </c>
      <c r="AC64" s="21">
        <f t="shared" ref="AC64:AN64" si="61">$F$4</f>
        <v>0.595579993217078</v>
      </c>
      <c r="AD64" s="21">
        <f t="shared" si="61"/>
        <v>0.595579993217078</v>
      </c>
      <c r="AE64" s="21">
        <f t="shared" si="61"/>
        <v>0.595579993217078</v>
      </c>
      <c r="AF64" s="21">
        <f t="shared" si="61"/>
        <v>0.595579993217078</v>
      </c>
      <c r="AG64" s="21">
        <f t="shared" si="61"/>
        <v>0.595579993217078</v>
      </c>
      <c r="AH64" s="21">
        <f t="shared" si="61"/>
        <v>0.595579993217078</v>
      </c>
      <c r="AI64" s="21">
        <f t="shared" si="61"/>
        <v>0.595579993217078</v>
      </c>
      <c r="AJ64" s="21">
        <f t="shared" si="61"/>
        <v>0.595579993217078</v>
      </c>
      <c r="AK64" s="21">
        <f t="shared" si="61"/>
        <v>0.595579993217078</v>
      </c>
      <c r="AL64" s="21">
        <f t="shared" si="61"/>
        <v>0.595579993217078</v>
      </c>
      <c r="AM64" s="21">
        <f t="shared" si="61"/>
        <v>0.595579993217078</v>
      </c>
      <c r="AN64" s="21">
        <f t="shared" si="61"/>
        <v>0.595579993217078</v>
      </c>
    </row>
    <row r="66" spans="2:40" x14ac:dyDescent="0.35">
      <c r="B66" s="6" t="s">
        <v>49</v>
      </c>
    </row>
    <row r="67" spans="2:40" x14ac:dyDescent="0.35">
      <c r="C67" s="6" t="s">
        <v>31</v>
      </c>
    </row>
    <row r="68" spans="2:40" x14ac:dyDescent="0.35">
      <c r="D68" t="s">
        <v>38</v>
      </c>
      <c r="E68">
        <f>SUMIFS(
general_ledger!$D:$D,
general_ledger!$C:$C,Forecast!$D68,
general_ledger!$B:$B,"&gt;="&amp;Forecast!E$7,
general_ledger!$B:$B,"&lt;"&amp;EDATE(Forecast!E$7,1)
)</f>
        <v>48.28</v>
      </c>
      <c r="F68">
        <f>SUMIFS(
general_ledger!$D:$D,
general_ledger!$C:$C,Forecast!$D68,
general_ledger!$B:$B,"&gt;="&amp;Forecast!F$7,
general_ledger!$B:$B,"&lt;"&amp;EDATE(Forecast!F$7,1)
)</f>
        <v>48.28</v>
      </c>
      <c r="G68">
        <f>SUMIFS(
general_ledger!$D:$D,
general_ledger!$C:$C,Forecast!$D68,
general_ledger!$B:$B,"&gt;="&amp;Forecast!G$7,
general_ledger!$B:$B,"&lt;"&amp;EDATE(Forecast!G$7,1)
)</f>
        <v>48.28</v>
      </c>
      <c r="H68">
        <f>SUMIFS(
general_ledger!$D:$D,
general_ledger!$C:$C,Forecast!$D68,
general_ledger!$B:$B,"&gt;="&amp;Forecast!H$7,
general_ledger!$B:$B,"&lt;"&amp;EDATE(Forecast!H$7,1)
)</f>
        <v>48.28</v>
      </c>
      <c r="I68">
        <f>SUMIFS(
general_ledger!$D:$D,
general_ledger!$C:$C,Forecast!$D68,
general_ledger!$B:$B,"&gt;="&amp;Forecast!I$7,
general_ledger!$B:$B,"&lt;"&amp;EDATE(Forecast!I$7,1)
)</f>
        <v>48.28</v>
      </c>
      <c r="J68">
        <f>SUMIFS(
general_ledger!$D:$D,
general_ledger!$C:$C,Forecast!$D68,
general_ledger!$B:$B,"&gt;="&amp;Forecast!J$7,
general_ledger!$B:$B,"&lt;"&amp;EDATE(Forecast!J$7,1)
)</f>
        <v>48.28</v>
      </c>
      <c r="K68">
        <f>SUMIFS(
general_ledger!$D:$D,
general_ledger!$C:$C,Forecast!$D68,
general_ledger!$B:$B,"&gt;="&amp;Forecast!K$7,
general_ledger!$B:$B,"&lt;"&amp;EDATE(Forecast!K$7,1)
)</f>
        <v>48.28</v>
      </c>
      <c r="L68">
        <f>SUMIFS(
general_ledger!$D:$D,
general_ledger!$C:$C,Forecast!$D68,
general_ledger!$B:$B,"&gt;="&amp;Forecast!L$7,
general_ledger!$B:$B,"&lt;"&amp;EDATE(Forecast!L$7,1)
)</f>
        <v>48.28</v>
      </c>
      <c r="M68">
        <f>SUMIFS(
general_ledger!$D:$D,
general_ledger!$C:$C,Forecast!$D68,
general_ledger!$B:$B,"&gt;="&amp;Forecast!M$7,
general_ledger!$B:$B,"&lt;"&amp;EDATE(Forecast!M$7,1)
)</f>
        <v>48.28</v>
      </c>
      <c r="N68">
        <f>SUMIFS(
general_ledger!$D:$D,
general_ledger!$C:$C,Forecast!$D68,
general_ledger!$B:$B,"&gt;="&amp;Forecast!N$7,
general_ledger!$B:$B,"&lt;"&amp;EDATE(Forecast!N$7,1)
)</f>
        <v>48.28</v>
      </c>
      <c r="O68">
        <f>SUMIFS(
general_ledger!$D:$D,
general_ledger!$C:$C,Forecast!$D68,
general_ledger!$B:$B,"&gt;="&amp;Forecast!O$7,
general_ledger!$B:$B,"&lt;"&amp;EDATE(Forecast!O$7,1)
)</f>
        <v>48.28</v>
      </c>
      <c r="P68">
        <f>SUMIFS(
general_ledger!$D:$D,
general_ledger!$C:$C,Forecast!$D68,
general_ledger!$B:$B,"&gt;="&amp;Forecast!P$7,
general_ledger!$B:$B,"&lt;"&amp;EDATE(Forecast!P$7,1)
)</f>
        <v>48.28</v>
      </c>
      <c r="Q68">
        <f>SUMIFS(
general_ledger!$D:$D,
general_ledger!$C:$C,Forecast!$D68,
general_ledger!$B:$B,"&gt;="&amp;Forecast!Q$7,
general_ledger!$B:$B,"&lt;"&amp;EDATE(Forecast!Q$7,1)
)</f>
        <v>48.28</v>
      </c>
      <c r="R68">
        <f>SUMIFS(
general_ledger!$D:$D,
general_ledger!$C:$C,Forecast!$D68,
general_ledger!$B:$B,"&gt;="&amp;Forecast!R$7,
general_ledger!$B:$B,"&lt;"&amp;EDATE(Forecast!R$7,1)
)</f>
        <v>48.28</v>
      </c>
      <c r="S68">
        <f>SUMIFS(
general_ledger!$D:$D,
general_ledger!$C:$C,Forecast!$D68,
general_ledger!$B:$B,"&gt;="&amp;Forecast!S$7,
general_ledger!$B:$B,"&lt;"&amp;EDATE(Forecast!S$7,1)
)</f>
        <v>48.28</v>
      </c>
      <c r="T68">
        <f>SUMIFS(
general_ledger!$D:$D,
general_ledger!$C:$C,Forecast!$D68,
general_ledger!$B:$B,"&gt;="&amp;Forecast!T$7,
general_ledger!$B:$B,"&lt;"&amp;EDATE(Forecast!T$7,1)
)</f>
        <v>48.28</v>
      </c>
      <c r="U68">
        <f>SUMIFS(
general_ledger!$D:$D,
general_ledger!$C:$C,Forecast!$D68,
general_ledger!$B:$B,"&gt;="&amp;Forecast!U$7,
general_ledger!$B:$B,"&lt;"&amp;EDATE(Forecast!U$7,1)
)</f>
        <v>48.28</v>
      </c>
      <c r="V68">
        <f>SUMIFS(
general_ledger!$D:$D,
general_ledger!$C:$C,Forecast!$D68,
general_ledger!$B:$B,"&gt;="&amp;Forecast!V$7,
general_ledger!$B:$B,"&lt;"&amp;EDATE(Forecast!V$7,1)
)</f>
        <v>48.28</v>
      </c>
      <c r="W68">
        <f>SUMIFS(
general_ledger!$D:$D,
general_ledger!$C:$C,Forecast!$D68,
general_ledger!$B:$B,"&gt;="&amp;Forecast!W$7,
general_ledger!$B:$B,"&lt;"&amp;EDATE(Forecast!W$7,1)
)</f>
        <v>48.28</v>
      </c>
      <c r="X68">
        <f>SUMIFS(
general_ledger!$D:$D,
general_ledger!$C:$C,Forecast!$D68,
general_ledger!$B:$B,"&gt;="&amp;Forecast!X$7,
general_ledger!$B:$B,"&lt;"&amp;EDATE(Forecast!X$7,1)
)</f>
        <v>48.28</v>
      </c>
      <c r="Y68">
        <f>SUMIFS(
general_ledger!$D:$D,
general_ledger!$C:$C,Forecast!$D68,
general_ledger!$B:$B,"&gt;="&amp;Forecast!Y$7,
general_ledger!$B:$B,"&lt;"&amp;EDATE(Forecast!Y$7,1)
)</f>
        <v>48.28</v>
      </c>
      <c r="Z68">
        <f>SUMIFS(
general_ledger!$D:$D,
general_ledger!$C:$C,Forecast!$D68,
general_ledger!$B:$B,"&gt;="&amp;Forecast!Z$7,
general_ledger!$B:$B,"&lt;"&amp;EDATE(Forecast!Z$7,1)
)</f>
        <v>48.28</v>
      </c>
      <c r="AA68">
        <f>SUMIFS(
general_ledger!$D:$D,
general_ledger!$C:$C,Forecast!$D68,
general_ledger!$B:$B,"&gt;="&amp;Forecast!AA$7,
general_ledger!$B:$B,"&lt;"&amp;EDATE(Forecast!AA$7,1)
)</f>
        <v>48.28</v>
      </c>
      <c r="AB68">
        <f>SUMIFS(
general_ledger!$D:$D,
general_ledger!$C:$C,Forecast!$D68,
general_ledger!$B:$B,"&gt;="&amp;Forecast!AB$7,
general_ledger!$B:$B,"&lt;"&amp;EDATE(Forecast!AB$7,1)
)</f>
        <v>48.28</v>
      </c>
    </row>
    <row r="69" spans="2:40" x14ac:dyDescent="0.35">
      <c r="D69" t="s">
        <v>40</v>
      </c>
      <c r="E69">
        <f>SUMIFS(
general_ledger!$D:$D,
general_ledger!$C:$C,Forecast!$D69,
general_ledger!$B:$B,"&gt;="&amp;Forecast!E$7,
general_ledger!$B:$B,"&lt;"&amp;EDATE(Forecast!E$7,1)
)</f>
        <v>232.19</v>
      </c>
      <c r="F69">
        <f>SUMIFS(
general_ledger!$D:$D,
general_ledger!$C:$C,Forecast!$D69,
general_ledger!$B:$B,"&gt;="&amp;Forecast!F$7,
general_ledger!$B:$B,"&lt;"&amp;EDATE(Forecast!F$7,1)
)</f>
        <v>232.19</v>
      </c>
      <c r="G69">
        <f>SUMIFS(
general_ledger!$D:$D,
general_ledger!$C:$C,Forecast!$D69,
general_ledger!$B:$B,"&gt;="&amp;Forecast!G$7,
general_ledger!$B:$B,"&lt;"&amp;EDATE(Forecast!G$7,1)
)</f>
        <v>232.19</v>
      </c>
      <c r="H69">
        <f>SUMIFS(
general_ledger!$D:$D,
general_ledger!$C:$C,Forecast!$D69,
general_ledger!$B:$B,"&gt;="&amp;Forecast!H$7,
general_ledger!$B:$B,"&lt;"&amp;EDATE(Forecast!H$7,1)
)</f>
        <v>232.19</v>
      </c>
      <c r="I69">
        <f>SUMIFS(
general_ledger!$D:$D,
general_ledger!$C:$C,Forecast!$D69,
general_ledger!$B:$B,"&gt;="&amp;Forecast!I$7,
general_ledger!$B:$B,"&lt;"&amp;EDATE(Forecast!I$7,1)
)</f>
        <v>232.19</v>
      </c>
      <c r="J69">
        <f>SUMIFS(
general_ledger!$D:$D,
general_ledger!$C:$C,Forecast!$D69,
general_ledger!$B:$B,"&gt;="&amp;Forecast!J$7,
general_ledger!$B:$B,"&lt;"&amp;EDATE(Forecast!J$7,1)
)</f>
        <v>232.19</v>
      </c>
      <c r="K69">
        <f>SUMIFS(
general_ledger!$D:$D,
general_ledger!$C:$C,Forecast!$D69,
general_ledger!$B:$B,"&gt;="&amp;Forecast!K$7,
general_ledger!$B:$B,"&lt;"&amp;EDATE(Forecast!K$7,1)
)</f>
        <v>232.19</v>
      </c>
      <c r="L69">
        <f>SUMIFS(
general_ledger!$D:$D,
general_ledger!$C:$C,Forecast!$D69,
general_ledger!$B:$B,"&gt;="&amp;Forecast!L$7,
general_ledger!$B:$B,"&lt;"&amp;EDATE(Forecast!L$7,1)
)</f>
        <v>232.19</v>
      </c>
      <c r="M69">
        <f>SUMIFS(
general_ledger!$D:$D,
general_ledger!$C:$C,Forecast!$D69,
general_ledger!$B:$B,"&gt;="&amp;Forecast!M$7,
general_ledger!$B:$B,"&lt;"&amp;EDATE(Forecast!M$7,1)
)</f>
        <v>232.19</v>
      </c>
      <c r="N69">
        <f>SUMIFS(
general_ledger!$D:$D,
general_ledger!$C:$C,Forecast!$D69,
general_ledger!$B:$B,"&gt;="&amp;Forecast!N$7,
general_ledger!$B:$B,"&lt;"&amp;EDATE(Forecast!N$7,1)
)</f>
        <v>232.19</v>
      </c>
      <c r="O69">
        <f>SUMIFS(
general_ledger!$D:$D,
general_ledger!$C:$C,Forecast!$D69,
general_ledger!$B:$B,"&gt;="&amp;Forecast!O$7,
general_ledger!$B:$B,"&lt;"&amp;EDATE(Forecast!O$7,1)
)</f>
        <v>232.19</v>
      </c>
      <c r="P69">
        <f>SUMIFS(
general_ledger!$D:$D,
general_ledger!$C:$C,Forecast!$D69,
general_ledger!$B:$B,"&gt;="&amp;Forecast!P$7,
general_ledger!$B:$B,"&lt;"&amp;EDATE(Forecast!P$7,1)
)</f>
        <v>232.19</v>
      </c>
      <c r="Q69">
        <f>SUMIFS(
general_ledger!$D:$D,
general_ledger!$C:$C,Forecast!$D69,
general_ledger!$B:$B,"&gt;="&amp;Forecast!Q$7,
general_ledger!$B:$B,"&lt;"&amp;EDATE(Forecast!Q$7,1)
)</f>
        <v>232.19</v>
      </c>
      <c r="R69">
        <f>SUMIFS(
general_ledger!$D:$D,
general_ledger!$C:$C,Forecast!$D69,
general_ledger!$B:$B,"&gt;="&amp;Forecast!R$7,
general_ledger!$B:$B,"&lt;"&amp;EDATE(Forecast!R$7,1)
)</f>
        <v>232.19</v>
      </c>
      <c r="S69">
        <f>SUMIFS(
general_ledger!$D:$D,
general_ledger!$C:$C,Forecast!$D69,
general_ledger!$B:$B,"&gt;="&amp;Forecast!S$7,
general_ledger!$B:$B,"&lt;"&amp;EDATE(Forecast!S$7,1)
)</f>
        <v>232.19</v>
      </c>
      <c r="T69">
        <f>SUMIFS(
general_ledger!$D:$D,
general_ledger!$C:$C,Forecast!$D69,
general_ledger!$B:$B,"&gt;="&amp;Forecast!T$7,
general_ledger!$B:$B,"&lt;"&amp;EDATE(Forecast!T$7,1)
)</f>
        <v>232.19</v>
      </c>
      <c r="U69">
        <f>SUMIFS(
general_ledger!$D:$D,
general_ledger!$C:$C,Forecast!$D69,
general_ledger!$B:$B,"&gt;="&amp;Forecast!U$7,
general_ledger!$B:$B,"&lt;"&amp;EDATE(Forecast!U$7,1)
)</f>
        <v>232.19</v>
      </c>
      <c r="V69">
        <f>SUMIFS(
general_ledger!$D:$D,
general_ledger!$C:$C,Forecast!$D69,
general_ledger!$B:$B,"&gt;="&amp;Forecast!V$7,
general_ledger!$B:$B,"&lt;"&amp;EDATE(Forecast!V$7,1)
)</f>
        <v>232.19</v>
      </c>
      <c r="W69">
        <f>SUMIFS(
general_ledger!$D:$D,
general_ledger!$C:$C,Forecast!$D69,
general_ledger!$B:$B,"&gt;="&amp;Forecast!W$7,
general_ledger!$B:$B,"&lt;"&amp;EDATE(Forecast!W$7,1)
)</f>
        <v>232.19</v>
      </c>
      <c r="X69">
        <f>SUMIFS(
general_ledger!$D:$D,
general_ledger!$C:$C,Forecast!$D69,
general_ledger!$B:$B,"&gt;="&amp;Forecast!X$7,
general_ledger!$B:$B,"&lt;"&amp;EDATE(Forecast!X$7,1)
)</f>
        <v>232.19</v>
      </c>
      <c r="Y69">
        <f>SUMIFS(
general_ledger!$D:$D,
general_ledger!$C:$C,Forecast!$D69,
general_ledger!$B:$B,"&gt;="&amp;Forecast!Y$7,
general_ledger!$B:$B,"&lt;"&amp;EDATE(Forecast!Y$7,1)
)</f>
        <v>232.19</v>
      </c>
      <c r="Z69">
        <f>SUMIFS(
general_ledger!$D:$D,
general_ledger!$C:$C,Forecast!$D69,
general_ledger!$B:$B,"&gt;="&amp;Forecast!Z$7,
general_ledger!$B:$B,"&lt;"&amp;EDATE(Forecast!Z$7,1)
)</f>
        <v>232.19</v>
      </c>
      <c r="AA69">
        <f>SUMIFS(
general_ledger!$D:$D,
general_ledger!$C:$C,Forecast!$D69,
general_ledger!$B:$B,"&gt;="&amp;Forecast!AA$7,
general_ledger!$B:$B,"&lt;"&amp;EDATE(Forecast!AA$7,1)
)</f>
        <v>232.19</v>
      </c>
      <c r="AB69">
        <f>SUMIFS(
general_ledger!$D:$D,
general_ledger!$C:$C,Forecast!$D69,
general_ledger!$B:$B,"&gt;="&amp;Forecast!AB$7,
general_ledger!$B:$B,"&lt;"&amp;EDATE(Forecast!AB$7,1)
)</f>
        <v>232.19</v>
      </c>
    </row>
    <row r="70" spans="2:40" x14ac:dyDescent="0.35">
      <c r="D70" t="s">
        <v>37</v>
      </c>
      <c r="E70">
        <f>SUMIFS(
general_ledger!$D:$D,
general_ledger!$C:$C,Forecast!$D70,
general_ledger!$B:$B,"&gt;="&amp;Forecast!E$7,
general_ledger!$B:$B,"&lt;"&amp;EDATE(Forecast!E$7,1)
)</f>
        <v>76.8</v>
      </c>
      <c r="F70">
        <f>SUMIFS(
general_ledger!$D:$D,
general_ledger!$C:$C,Forecast!$D70,
general_ledger!$B:$B,"&gt;="&amp;Forecast!F$7,
general_ledger!$B:$B,"&lt;"&amp;EDATE(Forecast!F$7,1)
)</f>
        <v>76.8</v>
      </c>
      <c r="G70">
        <f>SUMIFS(
general_ledger!$D:$D,
general_ledger!$C:$C,Forecast!$D70,
general_ledger!$B:$B,"&gt;="&amp;Forecast!G$7,
general_ledger!$B:$B,"&lt;"&amp;EDATE(Forecast!G$7,1)
)</f>
        <v>76.8</v>
      </c>
      <c r="H70">
        <f>SUMIFS(
general_ledger!$D:$D,
general_ledger!$C:$C,Forecast!$D70,
general_ledger!$B:$B,"&gt;="&amp;Forecast!H$7,
general_ledger!$B:$B,"&lt;"&amp;EDATE(Forecast!H$7,1)
)</f>
        <v>76.8</v>
      </c>
      <c r="I70">
        <f>SUMIFS(
general_ledger!$D:$D,
general_ledger!$C:$C,Forecast!$D70,
general_ledger!$B:$B,"&gt;="&amp;Forecast!I$7,
general_ledger!$B:$B,"&lt;"&amp;EDATE(Forecast!I$7,1)
)</f>
        <v>76.8</v>
      </c>
      <c r="J70">
        <f>SUMIFS(
general_ledger!$D:$D,
general_ledger!$C:$C,Forecast!$D70,
general_ledger!$B:$B,"&gt;="&amp;Forecast!J$7,
general_ledger!$B:$B,"&lt;"&amp;EDATE(Forecast!J$7,1)
)</f>
        <v>76.8</v>
      </c>
      <c r="K70">
        <f>SUMIFS(
general_ledger!$D:$D,
general_ledger!$C:$C,Forecast!$D70,
general_ledger!$B:$B,"&gt;="&amp;Forecast!K$7,
general_ledger!$B:$B,"&lt;"&amp;EDATE(Forecast!K$7,1)
)</f>
        <v>76.8</v>
      </c>
      <c r="L70">
        <f>SUMIFS(
general_ledger!$D:$D,
general_ledger!$C:$C,Forecast!$D70,
general_ledger!$B:$B,"&gt;="&amp;Forecast!L$7,
general_ledger!$B:$B,"&lt;"&amp;EDATE(Forecast!L$7,1)
)</f>
        <v>76.8</v>
      </c>
      <c r="M70">
        <f>SUMIFS(
general_ledger!$D:$D,
general_ledger!$C:$C,Forecast!$D70,
general_ledger!$B:$B,"&gt;="&amp;Forecast!M$7,
general_ledger!$B:$B,"&lt;"&amp;EDATE(Forecast!M$7,1)
)</f>
        <v>76.8</v>
      </c>
      <c r="N70">
        <f>SUMIFS(
general_ledger!$D:$D,
general_ledger!$C:$C,Forecast!$D70,
general_ledger!$B:$B,"&gt;="&amp;Forecast!N$7,
general_ledger!$B:$B,"&lt;"&amp;EDATE(Forecast!N$7,1)
)</f>
        <v>76.8</v>
      </c>
      <c r="O70">
        <f>SUMIFS(
general_ledger!$D:$D,
general_ledger!$C:$C,Forecast!$D70,
general_ledger!$B:$B,"&gt;="&amp;Forecast!O$7,
general_ledger!$B:$B,"&lt;"&amp;EDATE(Forecast!O$7,1)
)</f>
        <v>76.8</v>
      </c>
      <c r="P70">
        <f>SUMIFS(
general_ledger!$D:$D,
general_ledger!$C:$C,Forecast!$D70,
general_ledger!$B:$B,"&gt;="&amp;Forecast!P$7,
general_ledger!$B:$B,"&lt;"&amp;EDATE(Forecast!P$7,1)
)</f>
        <v>76.8</v>
      </c>
      <c r="Q70">
        <f>SUMIFS(
general_ledger!$D:$D,
general_ledger!$C:$C,Forecast!$D70,
general_ledger!$B:$B,"&gt;="&amp;Forecast!Q$7,
general_ledger!$B:$B,"&lt;"&amp;EDATE(Forecast!Q$7,1)
)</f>
        <v>76.8</v>
      </c>
      <c r="R70">
        <f>SUMIFS(
general_ledger!$D:$D,
general_ledger!$C:$C,Forecast!$D70,
general_ledger!$B:$B,"&gt;="&amp;Forecast!R$7,
general_ledger!$B:$B,"&lt;"&amp;EDATE(Forecast!R$7,1)
)</f>
        <v>76.8</v>
      </c>
      <c r="S70">
        <f>SUMIFS(
general_ledger!$D:$D,
general_ledger!$C:$C,Forecast!$D70,
general_ledger!$B:$B,"&gt;="&amp;Forecast!S$7,
general_ledger!$B:$B,"&lt;"&amp;EDATE(Forecast!S$7,1)
)</f>
        <v>76.8</v>
      </c>
      <c r="T70">
        <f>SUMIFS(
general_ledger!$D:$D,
general_ledger!$C:$C,Forecast!$D70,
general_ledger!$B:$B,"&gt;="&amp;Forecast!T$7,
general_ledger!$B:$B,"&lt;"&amp;EDATE(Forecast!T$7,1)
)</f>
        <v>76.8</v>
      </c>
      <c r="U70">
        <f>SUMIFS(
general_ledger!$D:$D,
general_ledger!$C:$C,Forecast!$D70,
general_ledger!$B:$B,"&gt;="&amp;Forecast!U$7,
general_ledger!$B:$B,"&lt;"&amp;EDATE(Forecast!U$7,1)
)</f>
        <v>76.8</v>
      </c>
      <c r="V70">
        <f>SUMIFS(
general_ledger!$D:$D,
general_ledger!$C:$C,Forecast!$D70,
general_ledger!$B:$B,"&gt;="&amp;Forecast!V$7,
general_ledger!$B:$B,"&lt;"&amp;EDATE(Forecast!V$7,1)
)</f>
        <v>76.8</v>
      </c>
      <c r="W70">
        <f>SUMIFS(
general_ledger!$D:$D,
general_ledger!$C:$C,Forecast!$D70,
general_ledger!$B:$B,"&gt;="&amp;Forecast!W$7,
general_ledger!$B:$B,"&lt;"&amp;EDATE(Forecast!W$7,1)
)</f>
        <v>76.8</v>
      </c>
      <c r="X70">
        <f>SUMIFS(
general_ledger!$D:$D,
general_ledger!$C:$C,Forecast!$D70,
general_ledger!$B:$B,"&gt;="&amp;Forecast!X$7,
general_ledger!$B:$B,"&lt;"&amp;EDATE(Forecast!X$7,1)
)</f>
        <v>76.8</v>
      </c>
      <c r="Y70">
        <f>SUMIFS(
general_ledger!$D:$D,
general_ledger!$C:$C,Forecast!$D70,
general_ledger!$B:$B,"&gt;="&amp;Forecast!Y$7,
general_ledger!$B:$B,"&lt;"&amp;EDATE(Forecast!Y$7,1)
)</f>
        <v>76.8</v>
      </c>
      <c r="Z70">
        <f>SUMIFS(
general_ledger!$D:$D,
general_ledger!$C:$C,Forecast!$D70,
general_ledger!$B:$B,"&gt;="&amp;Forecast!Z$7,
general_ledger!$B:$B,"&lt;"&amp;EDATE(Forecast!Z$7,1)
)</f>
        <v>76.8</v>
      </c>
      <c r="AA70">
        <f>SUMIFS(
general_ledger!$D:$D,
general_ledger!$C:$C,Forecast!$D70,
general_ledger!$B:$B,"&gt;="&amp;Forecast!AA$7,
general_ledger!$B:$B,"&lt;"&amp;EDATE(Forecast!AA$7,1)
)</f>
        <v>76.8</v>
      </c>
      <c r="AB70">
        <f>SUMIFS(
general_ledger!$D:$D,
general_ledger!$C:$C,Forecast!$D70,
general_ledger!$B:$B,"&gt;="&amp;Forecast!AB$7,
general_ledger!$B:$B,"&lt;"&amp;EDATE(Forecast!AB$7,1)
)</f>
        <v>76.8</v>
      </c>
    </row>
    <row r="71" spans="2:40" x14ac:dyDescent="0.35">
      <c r="D71" t="s">
        <v>33</v>
      </c>
      <c r="E71">
        <f>SUMIFS(
general_ledger!$D:$D,
general_ledger!$C:$C,Forecast!$D71,
general_ledger!$B:$B,"&gt;="&amp;Forecast!E$7,
general_ledger!$B:$B,"&lt;"&amp;EDATE(Forecast!E$7,1)
)</f>
        <v>76.86</v>
      </c>
      <c r="F71">
        <f>SUMIFS(
general_ledger!$D:$D,
general_ledger!$C:$C,Forecast!$D71,
general_ledger!$B:$B,"&gt;="&amp;Forecast!F$7,
general_ledger!$B:$B,"&lt;"&amp;EDATE(Forecast!F$7,1)
)</f>
        <v>76.86</v>
      </c>
      <c r="G71">
        <f>SUMIFS(
general_ledger!$D:$D,
general_ledger!$C:$C,Forecast!$D71,
general_ledger!$B:$B,"&gt;="&amp;Forecast!G$7,
general_ledger!$B:$B,"&lt;"&amp;EDATE(Forecast!G$7,1)
)</f>
        <v>76.86</v>
      </c>
      <c r="H71">
        <f>SUMIFS(
general_ledger!$D:$D,
general_ledger!$C:$C,Forecast!$D71,
general_ledger!$B:$B,"&gt;="&amp;Forecast!H$7,
general_ledger!$B:$B,"&lt;"&amp;EDATE(Forecast!H$7,1)
)</f>
        <v>76.86</v>
      </c>
      <c r="I71">
        <f>SUMIFS(
general_ledger!$D:$D,
general_ledger!$C:$C,Forecast!$D71,
general_ledger!$B:$B,"&gt;="&amp;Forecast!I$7,
general_ledger!$B:$B,"&lt;"&amp;EDATE(Forecast!I$7,1)
)</f>
        <v>76.86</v>
      </c>
      <c r="J71">
        <f>SUMIFS(
general_ledger!$D:$D,
general_ledger!$C:$C,Forecast!$D71,
general_ledger!$B:$B,"&gt;="&amp;Forecast!J$7,
general_ledger!$B:$B,"&lt;"&amp;EDATE(Forecast!J$7,1)
)</f>
        <v>76.86</v>
      </c>
      <c r="K71">
        <f>SUMIFS(
general_ledger!$D:$D,
general_ledger!$C:$C,Forecast!$D71,
general_ledger!$B:$B,"&gt;="&amp;Forecast!K$7,
general_ledger!$B:$B,"&lt;"&amp;EDATE(Forecast!K$7,1)
)</f>
        <v>76.86</v>
      </c>
      <c r="L71">
        <f>SUMIFS(
general_ledger!$D:$D,
general_ledger!$C:$C,Forecast!$D71,
general_ledger!$B:$B,"&gt;="&amp;Forecast!L$7,
general_ledger!$B:$B,"&lt;"&amp;EDATE(Forecast!L$7,1)
)</f>
        <v>76.86</v>
      </c>
      <c r="M71">
        <f>SUMIFS(
general_ledger!$D:$D,
general_ledger!$C:$C,Forecast!$D71,
general_ledger!$B:$B,"&gt;="&amp;Forecast!M$7,
general_ledger!$B:$B,"&lt;"&amp;EDATE(Forecast!M$7,1)
)</f>
        <v>76.86</v>
      </c>
      <c r="N71">
        <f>SUMIFS(
general_ledger!$D:$D,
general_ledger!$C:$C,Forecast!$D71,
general_ledger!$B:$B,"&gt;="&amp;Forecast!N$7,
general_ledger!$B:$B,"&lt;"&amp;EDATE(Forecast!N$7,1)
)</f>
        <v>76.86</v>
      </c>
      <c r="O71">
        <f>SUMIFS(
general_ledger!$D:$D,
general_ledger!$C:$C,Forecast!$D71,
general_ledger!$B:$B,"&gt;="&amp;Forecast!O$7,
general_ledger!$B:$B,"&lt;"&amp;EDATE(Forecast!O$7,1)
)</f>
        <v>76.86</v>
      </c>
      <c r="P71">
        <f>SUMIFS(
general_ledger!$D:$D,
general_ledger!$C:$C,Forecast!$D71,
general_ledger!$B:$B,"&gt;="&amp;Forecast!P$7,
general_ledger!$B:$B,"&lt;"&amp;EDATE(Forecast!P$7,1)
)</f>
        <v>76.86</v>
      </c>
      <c r="Q71">
        <f>SUMIFS(
general_ledger!$D:$D,
general_ledger!$C:$C,Forecast!$D71,
general_ledger!$B:$B,"&gt;="&amp;Forecast!Q$7,
general_ledger!$B:$B,"&lt;"&amp;EDATE(Forecast!Q$7,1)
)</f>
        <v>76.86</v>
      </c>
      <c r="R71">
        <f>SUMIFS(
general_ledger!$D:$D,
general_ledger!$C:$C,Forecast!$D71,
general_ledger!$B:$B,"&gt;="&amp;Forecast!R$7,
general_ledger!$B:$B,"&lt;"&amp;EDATE(Forecast!R$7,1)
)</f>
        <v>76.86</v>
      </c>
      <c r="S71">
        <f>SUMIFS(
general_ledger!$D:$D,
general_ledger!$C:$C,Forecast!$D71,
general_ledger!$B:$B,"&gt;="&amp;Forecast!S$7,
general_ledger!$B:$B,"&lt;"&amp;EDATE(Forecast!S$7,1)
)</f>
        <v>76.86</v>
      </c>
      <c r="T71">
        <f>SUMIFS(
general_ledger!$D:$D,
general_ledger!$C:$C,Forecast!$D71,
general_ledger!$B:$B,"&gt;="&amp;Forecast!T$7,
general_ledger!$B:$B,"&lt;"&amp;EDATE(Forecast!T$7,1)
)</f>
        <v>76.86</v>
      </c>
      <c r="U71">
        <f>SUMIFS(
general_ledger!$D:$D,
general_ledger!$C:$C,Forecast!$D71,
general_ledger!$B:$B,"&gt;="&amp;Forecast!U$7,
general_ledger!$B:$B,"&lt;"&amp;EDATE(Forecast!U$7,1)
)</f>
        <v>76.86</v>
      </c>
      <c r="V71">
        <f>SUMIFS(
general_ledger!$D:$D,
general_ledger!$C:$C,Forecast!$D71,
general_ledger!$B:$B,"&gt;="&amp;Forecast!V$7,
general_ledger!$B:$B,"&lt;"&amp;EDATE(Forecast!V$7,1)
)</f>
        <v>76.86</v>
      </c>
      <c r="W71">
        <f>SUMIFS(
general_ledger!$D:$D,
general_ledger!$C:$C,Forecast!$D71,
general_ledger!$B:$B,"&gt;="&amp;Forecast!W$7,
general_ledger!$B:$B,"&lt;"&amp;EDATE(Forecast!W$7,1)
)</f>
        <v>76.86</v>
      </c>
      <c r="X71">
        <f>SUMIFS(
general_ledger!$D:$D,
general_ledger!$C:$C,Forecast!$D71,
general_ledger!$B:$B,"&gt;="&amp;Forecast!X$7,
general_ledger!$B:$B,"&lt;"&amp;EDATE(Forecast!X$7,1)
)</f>
        <v>76.86</v>
      </c>
      <c r="Y71">
        <f>SUMIFS(
general_ledger!$D:$D,
general_ledger!$C:$C,Forecast!$D71,
general_ledger!$B:$B,"&gt;="&amp;Forecast!Y$7,
general_ledger!$B:$B,"&lt;"&amp;EDATE(Forecast!Y$7,1)
)</f>
        <v>76.86</v>
      </c>
      <c r="Z71">
        <f>SUMIFS(
general_ledger!$D:$D,
general_ledger!$C:$C,Forecast!$D71,
general_ledger!$B:$B,"&gt;="&amp;Forecast!Z$7,
general_ledger!$B:$B,"&lt;"&amp;EDATE(Forecast!Z$7,1)
)</f>
        <v>0.04</v>
      </c>
      <c r="AA71">
        <f>SUMIFS(
general_ledger!$D:$D,
general_ledger!$C:$C,Forecast!$D71,
general_ledger!$B:$B,"&gt;="&amp;Forecast!AA$7,
general_ledger!$B:$B,"&lt;"&amp;EDATE(Forecast!AA$7,1)
)</f>
        <v>0</v>
      </c>
      <c r="AB71">
        <f>SUMIFS(
general_ledger!$D:$D,
general_ledger!$C:$C,Forecast!$D71,
general_ledger!$B:$B,"&gt;="&amp;Forecast!AB$7,
general_ledger!$B:$B,"&lt;"&amp;EDATE(Forecast!AB$7,1)
)</f>
        <v>0</v>
      </c>
    </row>
    <row r="72" spans="2:40" x14ac:dyDescent="0.35">
      <c r="D72" t="s">
        <v>30</v>
      </c>
      <c r="E72">
        <f>SUMIFS(
general_ledger!$D:$D,
general_ledger!$C:$C,Forecast!$D72,
general_ledger!$B:$B,"&gt;="&amp;Forecast!E$7,
general_ledger!$B:$B,"&lt;"&amp;EDATE(Forecast!E$7,1)
)</f>
        <v>93.61</v>
      </c>
      <c r="F72">
        <f>SUMIFS(
general_ledger!$D:$D,
general_ledger!$C:$C,Forecast!$D72,
general_ledger!$B:$B,"&gt;="&amp;Forecast!F$7,
general_ledger!$B:$B,"&lt;"&amp;EDATE(Forecast!F$7,1)
)</f>
        <v>93.61</v>
      </c>
      <c r="G72">
        <f>SUMIFS(
general_ledger!$D:$D,
general_ledger!$C:$C,Forecast!$D72,
general_ledger!$B:$B,"&gt;="&amp;Forecast!G$7,
general_ledger!$B:$B,"&lt;"&amp;EDATE(Forecast!G$7,1)
)</f>
        <v>93.61</v>
      </c>
      <c r="H72">
        <f>SUMIFS(
general_ledger!$D:$D,
general_ledger!$C:$C,Forecast!$D72,
general_ledger!$B:$B,"&gt;="&amp;Forecast!H$7,
general_ledger!$B:$B,"&lt;"&amp;EDATE(Forecast!H$7,1)
)</f>
        <v>93.61</v>
      </c>
      <c r="I72">
        <f>SUMIFS(
general_ledger!$D:$D,
general_ledger!$C:$C,Forecast!$D72,
general_ledger!$B:$B,"&gt;="&amp;Forecast!I$7,
general_ledger!$B:$B,"&lt;"&amp;EDATE(Forecast!I$7,1)
)</f>
        <v>93.61</v>
      </c>
      <c r="J72">
        <f>SUMIFS(
general_ledger!$D:$D,
general_ledger!$C:$C,Forecast!$D72,
general_ledger!$B:$B,"&gt;="&amp;Forecast!J$7,
general_ledger!$B:$B,"&lt;"&amp;EDATE(Forecast!J$7,1)
)</f>
        <v>93.61</v>
      </c>
      <c r="K72">
        <f>SUMIFS(
general_ledger!$D:$D,
general_ledger!$C:$C,Forecast!$D72,
general_ledger!$B:$B,"&gt;="&amp;Forecast!K$7,
general_ledger!$B:$B,"&lt;"&amp;EDATE(Forecast!K$7,1)
)</f>
        <v>93.61</v>
      </c>
      <c r="L72">
        <f>SUMIFS(
general_ledger!$D:$D,
general_ledger!$C:$C,Forecast!$D72,
general_ledger!$B:$B,"&gt;="&amp;Forecast!L$7,
general_ledger!$B:$B,"&lt;"&amp;EDATE(Forecast!L$7,1)
)</f>
        <v>93.61</v>
      </c>
      <c r="M72">
        <f>SUMIFS(
general_ledger!$D:$D,
general_ledger!$C:$C,Forecast!$D72,
general_ledger!$B:$B,"&gt;="&amp;Forecast!M$7,
general_ledger!$B:$B,"&lt;"&amp;EDATE(Forecast!M$7,1)
)</f>
        <v>93.61</v>
      </c>
      <c r="N72">
        <f>SUMIFS(
general_ledger!$D:$D,
general_ledger!$C:$C,Forecast!$D72,
general_ledger!$B:$B,"&gt;="&amp;Forecast!N$7,
general_ledger!$B:$B,"&lt;"&amp;EDATE(Forecast!N$7,1)
)</f>
        <v>93.61</v>
      </c>
      <c r="O72">
        <f>SUMIFS(
general_ledger!$D:$D,
general_ledger!$C:$C,Forecast!$D72,
general_ledger!$B:$B,"&gt;="&amp;Forecast!O$7,
general_ledger!$B:$B,"&lt;"&amp;EDATE(Forecast!O$7,1)
)</f>
        <v>93.61</v>
      </c>
      <c r="P72">
        <f>SUMIFS(
general_ledger!$D:$D,
general_ledger!$C:$C,Forecast!$D72,
general_ledger!$B:$B,"&gt;="&amp;Forecast!P$7,
general_ledger!$B:$B,"&lt;"&amp;EDATE(Forecast!P$7,1)
)</f>
        <v>93.61</v>
      </c>
      <c r="Q72">
        <f>SUMIFS(
general_ledger!$D:$D,
general_ledger!$C:$C,Forecast!$D72,
general_ledger!$B:$B,"&gt;="&amp;Forecast!Q$7,
general_ledger!$B:$B,"&lt;"&amp;EDATE(Forecast!Q$7,1)
)</f>
        <v>93.61</v>
      </c>
      <c r="R72">
        <f>SUMIFS(
general_ledger!$D:$D,
general_ledger!$C:$C,Forecast!$D72,
general_ledger!$B:$B,"&gt;="&amp;Forecast!R$7,
general_ledger!$B:$B,"&lt;"&amp;EDATE(Forecast!R$7,1)
)</f>
        <v>93.61</v>
      </c>
      <c r="S72">
        <f>SUMIFS(
general_ledger!$D:$D,
general_ledger!$C:$C,Forecast!$D72,
general_ledger!$B:$B,"&gt;="&amp;Forecast!S$7,
general_ledger!$B:$B,"&lt;"&amp;EDATE(Forecast!S$7,1)
)</f>
        <v>93.61</v>
      </c>
      <c r="T72">
        <f>SUMIFS(
general_ledger!$D:$D,
general_ledger!$C:$C,Forecast!$D72,
general_ledger!$B:$B,"&gt;="&amp;Forecast!T$7,
general_ledger!$B:$B,"&lt;"&amp;EDATE(Forecast!T$7,1)
)</f>
        <v>93.61</v>
      </c>
      <c r="U72">
        <f>SUMIFS(
general_ledger!$D:$D,
general_ledger!$C:$C,Forecast!$D72,
general_ledger!$B:$B,"&gt;="&amp;Forecast!U$7,
general_ledger!$B:$B,"&lt;"&amp;EDATE(Forecast!U$7,1)
)</f>
        <v>93.61</v>
      </c>
      <c r="V72">
        <f>SUMIFS(
general_ledger!$D:$D,
general_ledger!$C:$C,Forecast!$D72,
general_ledger!$B:$B,"&gt;="&amp;Forecast!V$7,
general_ledger!$B:$B,"&lt;"&amp;EDATE(Forecast!V$7,1)
)</f>
        <v>93.61</v>
      </c>
      <c r="W72">
        <f>SUMIFS(
general_ledger!$D:$D,
general_ledger!$C:$C,Forecast!$D72,
general_ledger!$B:$B,"&gt;="&amp;Forecast!W$7,
general_ledger!$B:$B,"&lt;"&amp;EDATE(Forecast!W$7,1)
)</f>
        <v>93.61</v>
      </c>
      <c r="X72">
        <f>SUMIFS(
general_ledger!$D:$D,
general_ledger!$C:$C,Forecast!$D72,
general_ledger!$B:$B,"&gt;="&amp;Forecast!X$7,
general_ledger!$B:$B,"&lt;"&amp;EDATE(Forecast!X$7,1)
)</f>
        <v>93.61</v>
      </c>
      <c r="Y72">
        <f>SUMIFS(
general_ledger!$D:$D,
general_ledger!$C:$C,Forecast!$D72,
general_ledger!$B:$B,"&gt;="&amp;Forecast!Y$7,
general_ledger!$B:$B,"&lt;"&amp;EDATE(Forecast!Y$7,1)
)</f>
        <v>93.61</v>
      </c>
      <c r="Z72">
        <f>SUMIFS(
general_ledger!$D:$D,
general_ledger!$C:$C,Forecast!$D72,
general_ledger!$B:$B,"&gt;="&amp;Forecast!Z$7,
general_ledger!$B:$B,"&lt;"&amp;EDATE(Forecast!Z$7,1)
)</f>
        <v>93.37</v>
      </c>
      <c r="AA72">
        <f>SUMIFS(
general_ledger!$D:$D,
general_ledger!$C:$C,Forecast!$D72,
general_ledger!$B:$B,"&gt;="&amp;Forecast!AA$7,
general_ledger!$B:$B,"&lt;"&amp;EDATE(Forecast!AA$7,1)
)</f>
        <v>0</v>
      </c>
      <c r="AB72">
        <f>SUMIFS(
general_ledger!$D:$D,
general_ledger!$C:$C,Forecast!$D72,
general_ledger!$B:$B,"&gt;="&amp;Forecast!AB$7,
general_ledger!$B:$B,"&lt;"&amp;EDATE(Forecast!AB$7,1)
)</f>
        <v>0</v>
      </c>
    </row>
    <row r="73" spans="2:40" x14ac:dyDescent="0.35">
      <c r="D73" t="s">
        <v>34</v>
      </c>
      <c r="E73">
        <f>SUMIFS(
general_ledger!$D:$D,
general_ledger!$C:$C,Forecast!$D73,
general_ledger!$B:$B,"&gt;="&amp;Forecast!E$7,
general_ledger!$B:$B,"&lt;"&amp;EDATE(Forecast!E$7,1)
)</f>
        <v>20.03</v>
      </c>
      <c r="F73">
        <f>SUMIFS(
general_ledger!$D:$D,
general_ledger!$C:$C,Forecast!$D73,
general_ledger!$B:$B,"&gt;="&amp;Forecast!F$7,
general_ledger!$B:$B,"&lt;"&amp;EDATE(Forecast!F$7,1)
)</f>
        <v>20.03</v>
      </c>
      <c r="G73">
        <f>SUMIFS(
general_ledger!$D:$D,
general_ledger!$C:$C,Forecast!$D73,
general_ledger!$B:$B,"&gt;="&amp;Forecast!G$7,
general_ledger!$B:$B,"&lt;"&amp;EDATE(Forecast!G$7,1)
)</f>
        <v>20.03</v>
      </c>
      <c r="H73">
        <f>SUMIFS(
general_ledger!$D:$D,
general_ledger!$C:$C,Forecast!$D73,
general_ledger!$B:$B,"&gt;="&amp;Forecast!H$7,
general_ledger!$B:$B,"&lt;"&amp;EDATE(Forecast!H$7,1)
)</f>
        <v>20.03</v>
      </c>
      <c r="I73">
        <f>SUMIFS(
general_ledger!$D:$D,
general_ledger!$C:$C,Forecast!$D73,
general_ledger!$B:$B,"&gt;="&amp;Forecast!I$7,
general_ledger!$B:$B,"&lt;"&amp;EDATE(Forecast!I$7,1)
)</f>
        <v>20.03</v>
      </c>
      <c r="J73">
        <f>SUMIFS(
general_ledger!$D:$D,
general_ledger!$C:$C,Forecast!$D73,
general_ledger!$B:$B,"&gt;="&amp;Forecast!J$7,
general_ledger!$B:$B,"&lt;"&amp;EDATE(Forecast!J$7,1)
)</f>
        <v>20.03</v>
      </c>
      <c r="K73">
        <f>SUMIFS(
general_ledger!$D:$D,
general_ledger!$C:$C,Forecast!$D73,
general_ledger!$B:$B,"&gt;="&amp;Forecast!K$7,
general_ledger!$B:$B,"&lt;"&amp;EDATE(Forecast!K$7,1)
)</f>
        <v>20.03</v>
      </c>
      <c r="L73">
        <f>SUMIFS(
general_ledger!$D:$D,
general_ledger!$C:$C,Forecast!$D73,
general_ledger!$B:$B,"&gt;="&amp;Forecast!L$7,
general_ledger!$B:$B,"&lt;"&amp;EDATE(Forecast!L$7,1)
)</f>
        <v>20.03</v>
      </c>
      <c r="M73">
        <f>SUMIFS(
general_ledger!$D:$D,
general_ledger!$C:$C,Forecast!$D73,
general_ledger!$B:$B,"&gt;="&amp;Forecast!M$7,
general_ledger!$B:$B,"&lt;"&amp;EDATE(Forecast!M$7,1)
)</f>
        <v>20.03</v>
      </c>
      <c r="N73">
        <f>SUMIFS(
general_ledger!$D:$D,
general_ledger!$C:$C,Forecast!$D73,
general_ledger!$B:$B,"&gt;="&amp;Forecast!N$7,
general_ledger!$B:$B,"&lt;"&amp;EDATE(Forecast!N$7,1)
)</f>
        <v>20.03</v>
      </c>
      <c r="O73">
        <f>SUMIFS(
general_ledger!$D:$D,
general_ledger!$C:$C,Forecast!$D73,
general_ledger!$B:$B,"&gt;="&amp;Forecast!O$7,
general_ledger!$B:$B,"&lt;"&amp;EDATE(Forecast!O$7,1)
)</f>
        <v>20.03</v>
      </c>
      <c r="P73">
        <f>SUMIFS(
general_ledger!$D:$D,
general_ledger!$C:$C,Forecast!$D73,
general_ledger!$B:$B,"&gt;="&amp;Forecast!P$7,
general_ledger!$B:$B,"&lt;"&amp;EDATE(Forecast!P$7,1)
)</f>
        <v>20.03</v>
      </c>
      <c r="Q73">
        <f>SUMIFS(
general_ledger!$D:$D,
general_ledger!$C:$C,Forecast!$D73,
general_ledger!$B:$B,"&gt;="&amp;Forecast!Q$7,
general_ledger!$B:$B,"&lt;"&amp;EDATE(Forecast!Q$7,1)
)</f>
        <v>20.03</v>
      </c>
      <c r="R73">
        <f>SUMIFS(
general_ledger!$D:$D,
general_ledger!$C:$C,Forecast!$D73,
general_ledger!$B:$B,"&gt;="&amp;Forecast!R$7,
general_ledger!$B:$B,"&lt;"&amp;EDATE(Forecast!R$7,1)
)</f>
        <v>20.03</v>
      </c>
      <c r="S73">
        <f>SUMIFS(
general_ledger!$D:$D,
general_ledger!$C:$C,Forecast!$D73,
general_ledger!$B:$B,"&gt;="&amp;Forecast!S$7,
general_ledger!$B:$B,"&lt;"&amp;EDATE(Forecast!S$7,1)
)</f>
        <v>20.03</v>
      </c>
      <c r="T73">
        <f>SUMIFS(
general_ledger!$D:$D,
general_ledger!$C:$C,Forecast!$D73,
general_ledger!$B:$B,"&gt;="&amp;Forecast!T$7,
general_ledger!$B:$B,"&lt;"&amp;EDATE(Forecast!T$7,1)
)</f>
        <v>20.03</v>
      </c>
      <c r="U73">
        <f>SUMIFS(
general_ledger!$D:$D,
general_ledger!$C:$C,Forecast!$D73,
general_ledger!$B:$B,"&gt;="&amp;Forecast!U$7,
general_ledger!$B:$B,"&lt;"&amp;EDATE(Forecast!U$7,1)
)</f>
        <v>20.03</v>
      </c>
      <c r="V73">
        <f>SUMIFS(
general_ledger!$D:$D,
general_ledger!$C:$C,Forecast!$D73,
general_ledger!$B:$B,"&gt;="&amp;Forecast!V$7,
general_ledger!$B:$B,"&lt;"&amp;EDATE(Forecast!V$7,1)
)</f>
        <v>20.03</v>
      </c>
      <c r="W73">
        <f>SUMIFS(
general_ledger!$D:$D,
general_ledger!$C:$C,Forecast!$D73,
general_ledger!$B:$B,"&gt;="&amp;Forecast!W$7,
general_ledger!$B:$B,"&lt;"&amp;EDATE(Forecast!W$7,1)
)</f>
        <v>20.03</v>
      </c>
      <c r="X73">
        <f>SUMIFS(
general_ledger!$D:$D,
general_ledger!$C:$C,Forecast!$D73,
general_ledger!$B:$B,"&gt;="&amp;Forecast!X$7,
general_ledger!$B:$B,"&lt;"&amp;EDATE(Forecast!X$7,1)
)</f>
        <v>20.03</v>
      </c>
      <c r="Y73">
        <f>SUMIFS(
general_ledger!$D:$D,
general_ledger!$C:$C,Forecast!$D73,
general_ledger!$B:$B,"&gt;="&amp;Forecast!Y$7,
general_ledger!$B:$B,"&lt;"&amp;EDATE(Forecast!Y$7,1)
)</f>
        <v>20.03</v>
      </c>
      <c r="Z73">
        <f>SUMIFS(
general_ledger!$D:$D,
general_ledger!$C:$C,Forecast!$D73,
general_ledger!$B:$B,"&gt;="&amp;Forecast!Z$7,
general_ledger!$B:$B,"&lt;"&amp;EDATE(Forecast!Z$7,1)
)</f>
        <v>20.03</v>
      </c>
      <c r="AA73">
        <f>SUMIFS(
general_ledger!$D:$D,
general_ledger!$C:$C,Forecast!$D73,
general_ledger!$B:$B,"&gt;="&amp;Forecast!AA$7,
general_ledger!$B:$B,"&lt;"&amp;EDATE(Forecast!AA$7,1)
)</f>
        <v>20.03</v>
      </c>
      <c r="AB73">
        <f>SUMIFS(
general_ledger!$D:$D,
general_ledger!$C:$C,Forecast!$D73,
general_ledger!$B:$B,"&gt;="&amp;Forecast!AB$7,
general_ledger!$B:$B,"&lt;"&amp;EDATE(Forecast!AB$7,1)
)</f>
        <v>20.03</v>
      </c>
    </row>
    <row r="74" spans="2:40" x14ac:dyDescent="0.35">
      <c r="D74" t="s">
        <v>42</v>
      </c>
      <c r="E74">
        <f>SUMIFS(
general_ledger!$D:$D,
general_ledger!$C:$C,Forecast!$D74,
general_ledger!$B:$B,"&gt;="&amp;Forecast!E$7,
general_ledger!$B:$B,"&lt;"&amp;EDATE(Forecast!E$7,1)
)</f>
        <v>43.85</v>
      </c>
      <c r="F74">
        <f>SUMIFS(
general_ledger!$D:$D,
general_ledger!$C:$C,Forecast!$D74,
general_ledger!$B:$B,"&gt;="&amp;Forecast!F$7,
general_ledger!$B:$B,"&lt;"&amp;EDATE(Forecast!F$7,1)
)</f>
        <v>43.85</v>
      </c>
      <c r="G74">
        <f>SUMIFS(
general_ledger!$D:$D,
general_ledger!$C:$C,Forecast!$D74,
general_ledger!$B:$B,"&gt;="&amp;Forecast!G$7,
general_ledger!$B:$B,"&lt;"&amp;EDATE(Forecast!G$7,1)
)</f>
        <v>43.85</v>
      </c>
      <c r="H74">
        <f>SUMIFS(
general_ledger!$D:$D,
general_ledger!$C:$C,Forecast!$D74,
general_ledger!$B:$B,"&gt;="&amp;Forecast!H$7,
general_ledger!$B:$B,"&lt;"&amp;EDATE(Forecast!H$7,1)
)</f>
        <v>43.85</v>
      </c>
      <c r="I74">
        <f>SUMIFS(
general_ledger!$D:$D,
general_ledger!$C:$C,Forecast!$D74,
general_ledger!$B:$B,"&gt;="&amp;Forecast!I$7,
general_ledger!$B:$B,"&lt;"&amp;EDATE(Forecast!I$7,1)
)</f>
        <v>43.85</v>
      </c>
      <c r="J74">
        <f>SUMIFS(
general_ledger!$D:$D,
general_ledger!$C:$C,Forecast!$D74,
general_ledger!$B:$B,"&gt;="&amp;Forecast!J$7,
general_ledger!$B:$B,"&lt;"&amp;EDATE(Forecast!J$7,1)
)</f>
        <v>43.85</v>
      </c>
      <c r="K74">
        <f>SUMIFS(
general_ledger!$D:$D,
general_ledger!$C:$C,Forecast!$D74,
general_ledger!$B:$B,"&gt;="&amp;Forecast!K$7,
general_ledger!$B:$B,"&lt;"&amp;EDATE(Forecast!K$7,1)
)</f>
        <v>43.85</v>
      </c>
      <c r="L74">
        <f>SUMIFS(
general_ledger!$D:$D,
general_ledger!$C:$C,Forecast!$D74,
general_ledger!$B:$B,"&gt;="&amp;Forecast!L$7,
general_ledger!$B:$B,"&lt;"&amp;EDATE(Forecast!L$7,1)
)</f>
        <v>43.85</v>
      </c>
      <c r="M74">
        <f>SUMIFS(
general_ledger!$D:$D,
general_ledger!$C:$C,Forecast!$D74,
general_ledger!$B:$B,"&gt;="&amp;Forecast!M$7,
general_ledger!$B:$B,"&lt;"&amp;EDATE(Forecast!M$7,1)
)</f>
        <v>43.85</v>
      </c>
      <c r="N74">
        <f>SUMIFS(
general_ledger!$D:$D,
general_ledger!$C:$C,Forecast!$D74,
general_ledger!$B:$B,"&gt;="&amp;Forecast!N$7,
general_ledger!$B:$B,"&lt;"&amp;EDATE(Forecast!N$7,1)
)</f>
        <v>43.85</v>
      </c>
      <c r="O74">
        <f>SUMIFS(
general_ledger!$D:$D,
general_ledger!$C:$C,Forecast!$D74,
general_ledger!$B:$B,"&gt;="&amp;Forecast!O$7,
general_ledger!$B:$B,"&lt;"&amp;EDATE(Forecast!O$7,1)
)</f>
        <v>43.85</v>
      </c>
      <c r="P74">
        <f>SUMIFS(
general_ledger!$D:$D,
general_ledger!$C:$C,Forecast!$D74,
general_ledger!$B:$B,"&gt;="&amp;Forecast!P$7,
general_ledger!$B:$B,"&lt;"&amp;EDATE(Forecast!P$7,1)
)</f>
        <v>43.85</v>
      </c>
      <c r="Q74">
        <f>SUMIFS(
general_ledger!$D:$D,
general_ledger!$C:$C,Forecast!$D74,
general_ledger!$B:$B,"&gt;="&amp;Forecast!Q$7,
general_ledger!$B:$B,"&lt;"&amp;EDATE(Forecast!Q$7,1)
)</f>
        <v>43.85</v>
      </c>
      <c r="R74">
        <f>SUMIFS(
general_ledger!$D:$D,
general_ledger!$C:$C,Forecast!$D74,
general_ledger!$B:$B,"&gt;="&amp;Forecast!R$7,
general_ledger!$B:$B,"&lt;"&amp;EDATE(Forecast!R$7,1)
)</f>
        <v>43.85</v>
      </c>
      <c r="S74">
        <f>SUMIFS(
general_ledger!$D:$D,
general_ledger!$C:$C,Forecast!$D74,
general_ledger!$B:$B,"&gt;="&amp;Forecast!S$7,
general_ledger!$B:$B,"&lt;"&amp;EDATE(Forecast!S$7,1)
)</f>
        <v>43.85</v>
      </c>
      <c r="T74">
        <f>SUMIFS(
general_ledger!$D:$D,
general_ledger!$C:$C,Forecast!$D74,
general_ledger!$B:$B,"&gt;="&amp;Forecast!T$7,
general_ledger!$B:$B,"&lt;"&amp;EDATE(Forecast!T$7,1)
)</f>
        <v>43.85</v>
      </c>
      <c r="U74">
        <f>SUMIFS(
general_ledger!$D:$D,
general_ledger!$C:$C,Forecast!$D74,
general_ledger!$B:$B,"&gt;="&amp;Forecast!U$7,
general_ledger!$B:$B,"&lt;"&amp;EDATE(Forecast!U$7,1)
)</f>
        <v>43.85</v>
      </c>
      <c r="V74">
        <f>SUMIFS(
general_ledger!$D:$D,
general_ledger!$C:$C,Forecast!$D74,
general_ledger!$B:$B,"&gt;="&amp;Forecast!V$7,
general_ledger!$B:$B,"&lt;"&amp;EDATE(Forecast!V$7,1)
)</f>
        <v>43.85</v>
      </c>
      <c r="W74">
        <f>SUMIFS(
general_ledger!$D:$D,
general_ledger!$C:$C,Forecast!$D74,
general_ledger!$B:$B,"&gt;="&amp;Forecast!W$7,
general_ledger!$B:$B,"&lt;"&amp;EDATE(Forecast!W$7,1)
)</f>
        <v>43.85</v>
      </c>
      <c r="X74">
        <f>SUMIFS(
general_ledger!$D:$D,
general_ledger!$C:$C,Forecast!$D74,
general_ledger!$B:$B,"&gt;="&amp;Forecast!X$7,
general_ledger!$B:$B,"&lt;"&amp;EDATE(Forecast!X$7,1)
)</f>
        <v>43.85</v>
      </c>
      <c r="Y74">
        <f>SUMIFS(
general_ledger!$D:$D,
general_ledger!$C:$C,Forecast!$D74,
general_ledger!$B:$B,"&gt;="&amp;Forecast!Y$7,
general_ledger!$B:$B,"&lt;"&amp;EDATE(Forecast!Y$7,1)
)</f>
        <v>43.85</v>
      </c>
      <c r="Z74">
        <f>SUMIFS(
general_ledger!$D:$D,
general_ledger!$C:$C,Forecast!$D74,
general_ledger!$B:$B,"&gt;="&amp;Forecast!Z$7,
general_ledger!$B:$B,"&lt;"&amp;EDATE(Forecast!Z$7,1)
)</f>
        <v>43.85</v>
      </c>
      <c r="AA74">
        <f>SUMIFS(
general_ledger!$D:$D,
general_ledger!$C:$C,Forecast!$D74,
general_ledger!$B:$B,"&gt;="&amp;Forecast!AA$7,
general_ledger!$B:$B,"&lt;"&amp;EDATE(Forecast!AA$7,1)
)</f>
        <v>43.85</v>
      </c>
      <c r="AB74">
        <f>SUMIFS(
general_ledger!$D:$D,
general_ledger!$C:$C,Forecast!$D74,
general_ledger!$B:$B,"&gt;="&amp;Forecast!AB$7,
general_ledger!$B:$B,"&lt;"&amp;EDATE(Forecast!AB$7,1)
)</f>
        <v>43.85</v>
      </c>
    </row>
    <row r="75" spans="2:40" x14ac:dyDescent="0.35">
      <c r="D75" t="s">
        <v>35</v>
      </c>
      <c r="E75">
        <f>SUMIFS(
general_ledger!$D:$D,
general_ledger!$C:$C,Forecast!$D75,
general_ledger!$B:$B,"&gt;="&amp;Forecast!E$7,
general_ledger!$B:$B,"&lt;"&amp;EDATE(Forecast!E$7,1)
)</f>
        <v>86.89</v>
      </c>
      <c r="F75">
        <f>SUMIFS(
general_ledger!$D:$D,
general_ledger!$C:$C,Forecast!$D75,
general_ledger!$B:$B,"&gt;="&amp;Forecast!F$7,
general_ledger!$B:$B,"&lt;"&amp;EDATE(Forecast!F$7,1)
)</f>
        <v>86.89</v>
      </c>
      <c r="G75">
        <f>SUMIFS(
general_ledger!$D:$D,
general_ledger!$C:$C,Forecast!$D75,
general_ledger!$B:$B,"&gt;="&amp;Forecast!G$7,
general_ledger!$B:$B,"&lt;"&amp;EDATE(Forecast!G$7,1)
)</f>
        <v>86.89</v>
      </c>
      <c r="H75">
        <f>SUMIFS(
general_ledger!$D:$D,
general_ledger!$C:$C,Forecast!$D75,
general_ledger!$B:$B,"&gt;="&amp;Forecast!H$7,
general_ledger!$B:$B,"&lt;"&amp;EDATE(Forecast!H$7,1)
)</f>
        <v>86.89</v>
      </c>
      <c r="I75">
        <f>SUMIFS(
general_ledger!$D:$D,
general_ledger!$C:$C,Forecast!$D75,
general_ledger!$B:$B,"&gt;="&amp;Forecast!I$7,
general_ledger!$B:$B,"&lt;"&amp;EDATE(Forecast!I$7,1)
)</f>
        <v>86.89</v>
      </c>
      <c r="J75">
        <f>SUMIFS(
general_ledger!$D:$D,
general_ledger!$C:$C,Forecast!$D75,
general_ledger!$B:$B,"&gt;="&amp;Forecast!J$7,
general_ledger!$B:$B,"&lt;"&amp;EDATE(Forecast!J$7,1)
)</f>
        <v>86.89</v>
      </c>
      <c r="K75">
        <f>SUMIFS(
general_ledger!$D:$D,
general_ledger!$C:$C,Forecast!$D75,
general_ledger!$B:$B,"&gt;="&amp;Forecast!K$7,
general_ledger!$B:$B,"&lt;"&amp;EDATE(Forecast!K$7,1)
)</f>
        <v>86.89</v>
      </c>
      <c r="L75">
        <f>SUMIFS(
general_ledger!$D:$D,
general_ledger!$C:$C,Forecast!$D75,
general_ledger!$B:$B,"&gt;="&amp;Forecast!L$7,
general_ledger!$B:$B,"&lt;"&amp;EDATE(Forecast!L$7,1)
)</f>
        <v>86.89</v>
      </c>
      <c r="M75">
        <f>SUMIFS(
general_ledger!$D:$D,
general_ledger!$C:$C,Forecast!$D75,
general_ledger!$B:$B,"&gt;="&amp;Forecast!M$7,
general_ledger!$B:$B,"&lt;"&amp;EDATE(Forecast!M$7,1)
)</f>
        <v>86.89</v>
      </c>
      <c r="N75">
        <f>SUMIFS(
general_ledger!$D:$D,
general_ledger!$C:$C,Forecast!$D75,
general_ledger!$B:$B,"&gt;="&amp;Forecast!N$7,
general_ledger!$B:$B,"&lt;"&amp;EDATE(Forecast!N$7,1)
)</f>
        <v>86.89</v>
      </c>
      <c r="O75">
        <f>SUMIFS(
general_ledger!$D:$D,
general_ledger!$C:$C,Forecast!$D75,
general_ledger!$B:$B,"&gt;="&amp;Forecast!O$7,
general_ledger!$B:$B,"&lt;"&amp;EDATE(Forecast!O$7,1)
)</f>
        <v>86.89</v>
      </c>
      <c r="P75">
        <f>SUMIFS(
general_ledger!$D:$D,
general_ledger!$C:$C,Forecast!$D75,
general_ledger!$B:$B,"&gt;="&amp;Forecast!P$7,
general_ledger!$B:$B,"&lt;"&amp;EDATE(Forecast!P$7,1)
)</f>
        <v>86.89</v>
      </c>
      <c r="Q75">
        <f>SUMIFS(
general_ledger!$D:$D,
general_ledger!$C:$C,Forecast!$D75,
general_ledger!$B:$B,"&gt;="&amp;Forecast!Q$7,
general_ledger!$B:$B,"&lt;"&amp;EDATE(Forecast!Q$7,1)
)</f>
        <v>86.89</v>
      </c>
      <c r="R75">
        <f>SUMIFS(
general_ledger!$D:$D,
general_ledger!$C:$C,Forecast!$D75,
general_ledger!$B:$B,"&gt;="&amp;Forecast!R$7,
general_ledger!$B:$B,"&lt;"&amp;EDATE(Forecast!R$7,1)
)</f>
        <v>86.89</v>
      </c>
      <c r="S75">
        <f>SUMIFS(
general_ledger!$D:$D,
general_ledger!$C:$C,Forecast!$D75,
general_ledger!$B:$B,"&gt;="&amp;Forecast!S$7,
general_ledger!$B:$B,"&lt;"&amp;EDATE(Forecast!S$7,1)
)</f>
        <v>86.89</v>
      </c>
      <c r="T75">
        <f>SUMIFS(
general_ledger!$D:$D,
general_ledger!$C:$C,Forecast!$D75,
general_ledger!$B:$B,"&gt;="&amp;Forecast!T$7,
general_ledger!$B:$B,"&lt;"&amp;EDATE(Forecast!T$7,1)
)</f>
        <v>86.89</v>
      </c>
      <c r="U75">
        <f>SUMIFS(
general_ledger!$D:$D,
general_ledger!$C:$C,Forecast!$D75,
general_ledger!$B:$B,"&gt;="&amp;Forecast!U$7,
general_ledger!$B:$B,"&lt;"&amp;EDATE(Forecast!U$7,1)
)</f>
        <v>86.89</v>
      </c>
      <c r="V75">
        <f>SUMIFS(
general_ledger!$D:$D,
general_ledger!$C:$C,Forecast!$D75,
general_ledger!$B:$B,"&gt;="&amp;Forecast!V$7,
general_ledger!$B:$B,"&lt;"&amp;EDATE(Forecast!V$7,1)
)</f>
        <v>86.89</v>
      </c>
      <c r="W75">
        <f>SUMIFS(
general_ledger!$D:$D,
general_ledger!$C:$C,Forecast!$D75,
general_ledger!$B:$B,"&gt;="&amp;Forecast!W$7,
general_ledger!$B:$B,"&lt;"&amp;EDATE(Forecast!W$7,1)
)</f>
        <v>86.89</v>
      </c>
      <c r="X75">
        <f>SUMIFS(
general_ledger!$D:$D,
general_ledger!$C:$C,Forecast!$D75,
general_ledger!$B:$B,"&gt;="&amp;Forecast!X$7,
general_ledger!$B:$B,"&lt;"&amp;EDATE(Forecast!X$7,1)
)</f>
        <v>86.89</v>
      </c>
      <c r="Y75">
        <f>SUMIFS(
general_ledger!$D:$D,
general_ledger!$C:$C,Forecast!$D75,
general_ledger!$B:$B,"&gt;="&amp;Forecast!Y$7,
general_ledger!$B:$B,"&lt;"&amp;EDATE(Forecast!Y$7,1)
)</f>
        <v>86.89</v>
      </c>
      <c r="Z75">
        <f>SUMIFS(
general_ledger!$D:$D,
general_ledger!$C:$C,Forecast!$D75,
general_ledger!$B:$B,"&gt;="&amp;Forecast!Z$7,
general_ledger!$B:$B,"&lt;"&amp;EDATE(Forecast!Z$7,1)
)</f>
        <v>86.89</v>
      </c>
      <c r="AA75">
        <f>SUMIFS(
general_ledger!$D:$D,
general_ledger!$C:$C,Forecast!$D75,
general_ledger!$B:$B,"&gt;="&amp;Forecast!AA$7,
general_ledger!$B:$B,"&lt;"&amp;EDATE(Forecast!AA$7,1)
)</f>
        <v>86.89</v>
      </c>
      <c r="AB75">
        <f>SUMIFS(
general_ledger!$D:$D,
general_ledger!$C:$C,Forecast!$D75,
general_ledger!$B:$B,"&gt;="&amp;Forecast!AB$7,
general_ledger!$B:$B,"&lt;"&amp;EDATE(Forecast!AB$7,1)
)</f>
        <v>86.89</v>
      </c>
    </row>
    <row r="76" spans="2:40" x14ac:dyDescent="0.35">
      <c r="D76" t="s">
        <v>39</v>
      </c>
      <c r="E76">
        <f>SUMIFS(
general_ledger!$D:$D,
general_ledger!$C:$C,Forecast!$D76,
general_ledger!$B:$B,"&gt;="&amp;Forecast!E$7,
general_ledger!$B:$B,"&lt;"&amp;EDATE(Forecast!E$7,1)
)</f>
        <v>53.21</v>
      </c>
      <c r="F76">
        <f>SUMIFS(
general_ledger!$D:$D,
general_ledger!$C:$C,Forecast!$D76,
general_ledger!$B:$B,"&gt;="&amp;Forecast!F$7,
general_ledger!$B:$B,"&lt;"&amp;EDATE(Forecast!F$7,1)
)</f>
        <v>53.21</v>
      </c>
      <c r="G76">
        <f>SUMIFS(
general_ledger!$D:$D,
general_ledger!$C:$C,Forecast!$D76,
general_ledger!$B:$B,"&gt;="&amp;Forecast!G$7,
general_ledger!$B:$B,"&lt;"&amp;EDATE(Forecast!G$7,1)
)</f>
        <v>53.21</v>
      </c>
      <c r="H76">
        <f>SUMIFS(
general_ledger!$D:$D,
general_ledger!$C:$C,Forecast!$D76,
general_ledger!$B:$B,"&gt;="&amp;Forecast!H$7,
general_ledger!$B:$B,"&lt;"&amp;EDATE(Forecast!H$7,1)
)</f>
        <v>53.21</v>
      </c>
      <c r="I76">
        <f>SUMIFS(
general_ledger!$D:$D,
general_ledger!$C:$C,Forecast!$D76,
general_ledger!$B:$B,"&gt;="&amp;Forecast!I$7,
general_ledger!$B:$B,"&lt;"&amp;EDATE(Forecast!I$7,1)
)</f>
        <v>53.21</v>
      </c>
      <c r="J76">
        <f>SUMIFS(
general_ledger!$D:$D,
general_ledger!$C:$C,Forecast!$D76,
general_ledger!$B:$B,"&gt;="&amp;Forecast!J$7,
general_ledger!$B:$B,"&lt;"&amp;EDATE(Forecast!J$7,1)
)</f>
        <v>53.21</v>
      </c>
      <c r="K76">
        <f>SUMIFS(
general_ledger!$D:$D,
general_ledger!$C:$C,Forecast!$D76,
general_ledger!$B:$B,"&gt;="&amp;Forecast!K$7,
general_ledger!$B:$B,"&lt;"&amp;EDATE(Forecast!K$7,1)
)</f>
        <v>53.21</v>
      </c>
      <c r="L76">
        <f>SUMIFS(
general_ledger!$D:$D,
general_ledger!$C:$C,Forecast!$D76,
general_ledger!$B:$B,"&gt;="&amp;Forecast!L$7,
general_ledger!$B:$B,"&lt;"&amp;EDATE(Forecast!L$7,1)
)</f>
        <v>53.21</v>
      </c>
      <c r="M76">
        <f>SUMIFS(
general_ledger!$D:$D,
general_ledger!$C:$C,Forecast!$D76,
general_ledger!$B:$B,"&gt;="&amp;Forecast!M$7,
general_ledger!$B:$B,"&lt;"&amp;EDATE(Forecast!M$7,1)
)</f>
        <v>53.21</v>
      </c>
      <c r="N76">
        <f>SUMIFS(
general_ledger!$D:$D,
general_ledger!$C:$C,Forecast!$D76,
general_ledger!$B:$B,"&gt;="&amp;Forecast!N$7,
general_ledger!$B:$B,"&lt;"&amp;EDATE(Forecast!N$7,1)
)</f>
        <v>53.21</v>
      </c>
      <c r="O76">
        <f>SUMIFS(
general_ledger!$D:$D,
general_ledger!$C:$C,Forecast!$D76,
general_ledger!$B:$B,"&gt;="&amp;Forecast!O$7,
general_ledger!$B:$B,"&lt;"&amp;EDATE(Forecast!O$7,1)
)</f>
        <v>53.21</v>
      </c>
      <c r="P76">
        <f>SUMIFS(
general_ledger!$D:$D,
general_ledger!$C:$C,Forecast!$D76,
general_ledger!$B:$B,"&gt;="&amp;Forecast!P$7,
general_ledger!$B:$B,"&lt;"&amp;EDATE(Forecast!P$7,1)
)</f>
        <v>53.21</v>
      </c>
      <c r="Q76">
        <f>SUMIFS(
general_ledger!$D:$D,
general_ledger!$C:$C,Forecast!$D76,
general_ledger!$B:$B,"&gt;="&amp;Forecast!Q$7,
general_ledger!$B:$B,"&lt;"&amp;EDATE(Forecast!Q$7,1)
)</f>
        <v>53.21</v>
      </c>
      <c r="R76">
        <f>SUMIFS(
general_ledger!$D:$D,
general_ledger!$C:$C,Forecast!$D76,
general_ledger!$B:$B,"&gt;="&amp;Forecast!R$7,
general_ledger!$B:$B,"&lt;"&amp;EDATE(Forecast!R$7,1)
)</f>
        <v>53.21</v>
      </c>
      <c r="S76">
        <f>SUMIFS(
general_ledger!$D:$D,
general_ledger!$C:$C,Forecast!$D76,
general_ledger!$B:$B,"&gt;="&amp;Forecast!S$7,
general_ledger!$B:$B,"&lt;"&amp;EDATE(Forecast!S$7,1)
)</f>
        <v>53.21</v>
      </c>
      <c r="T76">
        <f>SUMIFS(
general_ledger!$D:$D,
general_ledger!$C:$C,Forecast!$D76,
general_ledger!$B:$B,"&gt;="&amp;Forecast!T$7,
general_ledger!$B:$B,"&lt;"&amp;EDATE(Forecast!T$7,1)
)</f>
        <v>53.21</v>
      </c>
      <c r="U76">
        <f>SUMIFS(
general_ledger!$D:$D,
general_ledger!$C:$C,Forecast!$D76,
general_ledger!$B:$B,"&gt;="&amp;Forecast!U$7,
general_ledger!$B:$B,"&lt;"&amp;EDATE(Forecast!U$7,1)
)</f>
        <v>53.21</v>
      </c>
      <c r="V76">
        <f>SUMIFS(
general_ledger!$D:$D,
general_ledger!$C:$C,Forecast!$D76,
general_ledger!$B:$B,"&gt;="&amp;Forecast!V$7,
general_ledger!$B:$B,"&lt;"&amp;EDATE(Forecast!V$7,1)
)</f>
        <v>53.21</v>
      </c>
      <c r="W76">
        <f>SUMIFS(
general_ledger!$D:$D,
general_ledger!$C:$C,Forecast!$D76,
general_ledger!$B:$B,"&gt;="&amp;Forecast!W$7,
general_ledger!$B:$B,"&lt;"&amp;EDATE(Forecast!W$7,1)
)</f>
        <v>53.21</v>
      </c>
      <c r="X76">
        <f>SUMIFS(
general_ledger!$D:$D,
general_ledger!$C:$C,Forecast!$D76,
general_ledger!$B:$B,"&gt;="&amp;Forecast!X$7,
general_ledger!$B:$B,"&lt;"&amp;EDATE(Forecast!X$7,1)
)</f>
        <v>53.21</v>
      </c>
      <c r="Y76">
        <f>SUMIFS(
general_ledger!$D:$D,
general_ledger!$C:$C,Forecast!$D76,
general_ledger!$B:$B,"&gt;="&amp;Forecast!Y$7,
general_ledger!$B:$B,"&lt;"&amp;EDATE(Forecast!Y$7,1)
)</f>
        <v>53.21</v>
      </c>
      <c r="Z76">
        <f>SUMIFS(
general_ledger!$D:$D,
general_ledger!$C:$C,Forecast!$D76,
general_ledger!$B:$B,"&gt;="&amp;Forecast!Z$7,
general_ledger!$B:$B,"&lt;"&amp;EDATE(Forecast!Z$7,1)
)</f>
        <v>53.21</v>
      </c>
      <c r="AA76">
        <f>SUMIFS(
general_ledger!$D:$D,
general_ledger!$C:$C,Forecast!$D76,
general_ledger!$B:$B,"&gt;="&amp;Forecast!AA$7,
general_ledger!$B:$B,"&lt;"&amp;EDATE(Forecast!AA$7,1)
)</f>
        <v>53.21</v>
      </c>
      <c r="AB76">
        <f>SUMIFS(
general_ledger!$D:$D,
general_ledger!$C:$C,Forecast!$D76,
general_ledger!$B:$B,"&gt;="&amp;Forecast!AB$7,
general_ledger!$B:$B,"&lt;"&amp;EDATE(Forecast!AB$7,1)
)</f>
        <v>53.21</v>
      </c>
    </row>
    <row r="77" spans="2:40" x14ac:dyDescent="0.35">
      <c r="C77" t="s">
        <v>31</v>
      </c>
      <c r="E77">
        <f>SUMIFS(
general_ledger!$D:$D,
general_ledger!$F:$F,Forecast!$C77,
general_ledger!$B:$B,"&gt;="&amp;Forecast!E$7,
general_ledger!$B:$B,"&lt;"&amp;EDATE(Forecast!E$7,1)
)</f>
        <v>731.72</v>
      </c>
      <c r="F77">
        <f>SUMIFS(
general_ledger!$D:$D,
general_ledger!$F:$F,Forecast!$C77,
general_ledger!$B:$B,"&gt;="&amp;Forecast!F$7,
general_ledger!$B:$B,"&lt;"&amp;EDATE(Forecast!F$7,1)
)</f>
        <v>731.72</v>
      </c>
      <c r="G77">
        <f>SUMIFS(
general_ledger!$D:$D,
general_ledger!$F:$F,Forecast!$C77,
general_ledger!$B:$B,"&gt;="&amp;Forecast!G$7,
general_ledger!$B:$B,"&lt;"&amp;EDATE(Forecast!G$7,1)
)</f>
        <v>731.72</v>
      </c>
      <c r="H77">
        <f>SUMIFS(
general_ledger!$D:$D,
general_ledger!$F:$F,Forecast!$C77,
general_ledger!$B:$B,"&gt;="&amp;Forecast!H$7,
general_ledger!$B:$B,"&lt;"&amp;EDATE(Forecast!H$7,1)
)</f>
        <v>731.72</v>
      </c>
      <c r="I77">
        <f>SUMIFS(
general_ledger!$D:$D,
general_ledger!$F:$F,Forecast!$C77,
general_ledger!$B:$B,"&gt;="&amp;Forecast!I$7,
general_ledger!$B:$B,"&lt;"&amp;EDATE(Forecast!I$7,1)
)</f>
        <v>731.72</v>
      </c>
      <c r="J77">
        <f>SUMIFS(
general_ledger!$D:$D,
general_ledger!$F:$F,Forecast!$C77,
general_ledger!$B:$B,"&gt;="&amp;Forecast!J$7,
general_ledger!$B:$B,"&lt;"&amp;EDATE(Forecast!J$7,1)
)</f>
        <v>731.72</v>
      </c>
      <c r="K77">
        <f>SUMIFS(
general_ledger!$D:$D,
general_ledger!$F:$F,Forecast!$C77,
general_ledger!$B:$B,"&gt;="&amp;Forecast!K$7,
general_ledger!$B:$B,"&lt;"&amp;EDATE(Forecast!K$7,1)
)</f>
        <v>731.72</v>
      </c>
      <c r="L77">
        <f>SUMIFS(
general_ledger!$D:$D,
general_ledger!$F:$F,Forecast!$C77,
general_ledger!$B:$B,"&gt;="&amp;Forecast!L$7,
general_ledger!$B:$B,"&lt;"&amp;EDATE(Forecast!L$7,1)
)</f>
        <v>731.72</v>
      </c>
      <c r="M77">
        <f>SUMIFS(
general_ledger!$D:$D,
general_ledger!$F:$F,Forecast!$C77,
general_ledger!$B:$B,"&gt;="&amp;Forecast!M$7,
general_ledger!$B:$B,"&lt;"&amp;EDATE(Forecast!M$7,1)
)</f>
        <v>731.72</v>
      </c>
      <c r="N77">
        <f>SUMIFS(
general_ledger!$D:$D,
general_ledger!$F:$F,Forecast!$C77,
general_ledger!$B:$B,"&gt;="&amp;Forecast!N$7,
general_ledger!$B:$B,"&lt;"&amp;EDATE(Forecast!N$7,1)
)</f>
        <v>731.72</v>
      </c>
      <c r="O77">
        <f>SUMIFS(
general_ledger!$D:$D,
general_ledger!$F:$F,Forecast!$C77,
general_ledger!$B:$B,"&gt;="&amp;Forecast!O$7,
general_ledger!$B:$B,"&lt;"&amp;EDATE(Forecast!O$7,1)
)</f>
        <v>731.72</v>
      </c>
      <c r="P77">
        <f>SUMIFS(
general_ledger!$D:$D,
general_ledger!$F:$F,Forecast!$C77,
general_ledger!$B:$B,"&gt;="&amp;Forecast!P$7,
general_ledger!$B:$B,"&lt;"&amp;EDATE(Forecast!P$7,1)
)</f>
        <v>731.72</v>
      </c>
      <c r="Q77">
        <f>SUMIFS(
general_ledger!$D:$D,
general_ledger!$F:$F,Forecast!$C77,
general_ledger!$B:$B,"&gt;="&amp;Forecast!Q$7,
general_ledger!$B:$B,"&lt;"&amp;EDATE(Forecast!Q$7,1)
)</f>
        <v>731.72</v>
      </c>
      <c r="R77">
        <f>SUMIFS(
general_ledger!$D:$D,
general_ledger!$F:$F,Forecast!$C77,
general_ledger!$B:$B,"&gt;="&amp;Forecast!R$7,
general_ledger!$B:$B,"&lt;"&amp;EDATE(Forecast!R$7,1)
)</f>
        <v>731.72</v>
      </c>
      <c r="S77">
        <f>SUMIFS(
general_ledger!$D:$D,
general_ledger!$F:$F,Forecast!$C77,
general_ledger!$B:$B,"&gt;="&amp;Forecast!S$7,
general_ledger!$B:$B,"&lt;"&amp;EDATE(Forecast!S$7,1)
)</f>
        <v>731.72</v>
      </c>
      <c r="T77">
        <f>SUMIFS(
general_ledger!$D:$D,
general_ledger!$F:$F,Forecast!$C77,
general_ledger!$B:$B,"&gt;="&amp;Forecast!T$7,
general_ledger!$B:$B,"&lt;"&amp;EDATE(Forecast!T$7,1)
)</f>
        <v>731.72</v>
      </c>
      <c r="U77">
        <f>SUMIFS(
general_ledger!$D:$D,
general_ledger!$F:$F,Forecast!$C77,
general_ledger!$B:$B,"&gt;="&amp;Forecast!U$7,
general_ledger!$B:$B,"&lt;"&amp;EDATE(Forecast!U$7,1)
)</f>
        <v>731.72</v>
      </c>
      <c r="V77">
        <f>SUMIFS(
general_ledger!$D:$D,
general_ledger!$F:$F,Forecast!$C77,
general_ledger!$B:$B,"&gt;="&amp;Forecast!V$7,
general_ledger!$B:$B,"&lt;"&amp;EDATE(Forecast!V$7,1)
)</f>
        <v>731.72</v>
      </c>
      <c r="W77">
        <f>SUMIFS(
general_ledger!$D:$D,
general_ledger!$F:$F,Forecast!$C77,
general_ledger!$B:$B,"&gt;="&amp;Forecast!W$7,
general_ledger!$B:$B,"&lt;"&amp;EDATE(Forecast!W$7,1)
)</f>
        <v>731.72</v>
      </c>
      <c r="X77">
        <f>SUMIFS(
general_ledger!$D:$D,
general_ledger!$F:$F,Forecast!$C77,
general_ledger!$B:$B,"&gt;="&amp;Forecast!X$7,
general_ledger!$B:$B,"&lt;"&amp;EDATE(Forecast!X$7,1)
)</f>
        <v>731.72</v>
      </c>
      <c r="Y77">
        <f>SUMIFS(
general_ledger!$D:$D,
general_ledger!$F:$F,Forecast!$C77,
general_ledger!$B:$B,"&gt;="&amp;Forecast!Y$7,
general_ledger!$B:$B,"&lt;"&amp;EDATE(Forecast!Y$7,1)
)</f>
        <v>731.72</v>
      </c>
      <c r="Z77">
        <f>SUMIFS(
general_ledger!$D:$D,
general_ledger!$F:$F,Forecast!$C77,
general_ledger!$B:$B,"&gt;="&amp;Forecast!Z$7,
general_ledger!$B:$B,"&lt;"&amp;EDATE(Forecast!Z$7,1)
)</f>
        <v>654.66</v>
      </c>
      <c r="AA77">
        <f>SUMIFS(
general_ledger!$D:$D,
general_ledger!$F:$F,Forecast!$C77,
general_ledger!$B:$B,"&gt;="&amp;Forecast!AA$7,
general_ledger!$B:$B,"&lt;"&amp;EDATE(Forecast!AA$7,1)
)</f>
        <v>561.25</v>
      </c>
      <c r="AB77">
        <f>SUMIFS(
general_ledger!$D:$D,
general_ledger!$F:$F,Forecast!$C77,
general_ledger!$B:$B,"&gt;="&amp;Forecast!AB$7,
general_ledger!$B:$B,"&lt;"&amp;EDATE(Forecast!AB$7,1)
)</f>
        <v>561.25</v>
      </c>
      <c r="AC77">
        <f>_xlfn.FORECAST.ETS(AC$59,$E77:AB77,$E$59:AB$59,)</f>
        <v>631.20711763673023</v>
      </c>
      <c r="AD77">
        <f>_xlfn.FORECAST.ETS(AD$59,$E77:AC77,$E$59:AC$59,)</f>
        <v>626.09166344977257</v>
      </c>
      <c r="AE77">
        <f>_xlfn.FORECAST.ETS(AE$59,$E77:AD77,$E$59:AD$59,)</f>
        <v>638.52424245861494</v>
      </c>
      <c r="AF77">
        <f>_xlfn.FORECAST.ETS(AF$59,$E77:AE77,$E$59:AE$59,)</f>
        <v>633.7092394334984</v>
      </c>
      <c r="AG77">
        <f>_xlfn.FORECAST.ETS(AG$59,$E77:AF77,$E$59:AF$59,)</f>
        <v>631.52456404633028</v>
      </c>
      <c r="AH77">
        <f>_xlfn.FORECAST.ETS(AH$59,$E77:AG77,$E$59:AG$59,)</f>
        <v>626.89233486779892</v>
      </c>
      <c r="AI77">
        <f>_xlfn.FORECAST.ETS(AI$59,$E77:AH77,$E$59:AH$59,)</f>
        <v>622.28321152968647</v>
      </c>
      <c r="AJ77">
        <f>_xlfn.FORECAST.ETS(AJ$59,$E77:AI77,$E$59:AI$59,)</f>
        <v>617.6942969097455</v>
      </c>
      <c r="AK77">
        <f>_xlfn.FORECAST.ETS(AK$59,$E77:AJ77,$E$59:AJ$59,)</f>
        <v>613.02977415289433</v>
      </c>
      <c r="AL77">
        <f>_xlfn.FORECAST.ETS(AL$59,$E77:AK77,$E$59:AK$59,)</f>
        <v>608.07582259806497</v>
      </c>
      <c r="AM77">
        <f>_xlfn.FORECAST.ETS(AM$59,$E77:AL77,$E$59:AL$59,)</f>
        <v>601.44809884504446</v>
      </c>
      <c r="AN77">
        <f>_xlfn.FORECAST.ETS(AN$59,$E77:AM77,$E$59:AM$59,)</f>
        <v>596.71328127957986</v>
      </c>
    </row>
    <row r="79" spans="2:40" x14ac:dyDescent="0.35">
      <c r="C79" t="s">
        <v>19</v>
      </c>
      <c r="E79">
        <f>SUMIFS(
general_ledger!$D:$D,
general_ledger!$F:$F,Forecast!$C79,
general_ledger!$B:$B,"&gt;="&amp;Forecast!E$7,
general_ledger!$B:$B,"&lt;"&amp;EDATE(Forecast!E$7,1)
)</f>
        <v>42762.47</v>
      </c>
      <c r="F79">
        <f>SUMIFS(
general_ledger!$D:$D,
general_ledger!$F:$F,Forecast!$C79,
general_ledger!$B:$B,"&gt;="&amp;Forecast!F$7,
general_ledger!$B:$B,"&lt;"&amp;EDATE(Forecast!F$7,1)
)</f>
        <v>64085.270000000004</v>
      </c>
      <c r="G79">
        <f>SUMIFS(
general_ledger!$D:$D,
general_ledger!$F:$F,Forecast!$C79,
general_ledger!$B:$B,"&gt;="&amp;Forecast!G$7,
general_ledger!$B:$B,"&lt;"&amp;EDATE(Forecast!G$7,1)
)</f>
        <v>42810.03</v>
      </c>
      <c r="H79">
        <f>SUMIFS(
general_ledger!$D:$D,
general_ledger!$F:$F,Forecast!$C79,
general_ledger!$B:$B,"&gt;="&amp;Forecast!H$7,
general_ledger!$B:$B,"&lt;"&amp;EDATE(Forecast!H$7,1)
)</f>
        <v>42842.479999999996</v>
      </c>
      <c r="I79">
        <f>SUMIFS(
general_ledger!$D:$D,
general_ledger!$F:$F,Forecast!$C79,
general_ledger!$B:$B,"&gt;="&amp;Forecast!I$7,
general_ledger!$B:$B,"&lt;"&amp;EDATE(Forecast!I$7,1)
)</f>
        <v>42615.360000000001</v>
      </c>
      <c r="J79">
        <f>SUMIFS(
general_ledger!$D:$D,
general_ledger!$F:$F,Forecast!$C79,
general_ledger!$B:$B,"&gt;="&amp;Forecast!J$7,
general_ledger!$B:$B,"&lt;"&amp;EDATE(Forecast!J$7,1)
)</f>
        <v>42892.320000000007</v>
      </c>
      <c r="K79">
        <f>SUMIFS(
general_ledger!$D:$D,
general_ledger!$F:$F,Forecast!$C79,
general_ledger!$B:$B,"&gt;="&amp;Forecast!K$7,
general_ledger!$B:$B,"&lt;"&amp;EDATE(Forecast!K$7,1)
)</f>
        <v>44351.630000000005</v>
      </c>
      <c r="L79">
        <f>SUMIFS(
general_ledger!$D:$D,
general_ledger!$F:$F,Forecast!$C79,
general_ledger!$B:$B,"&gt;="&amp;Forecast!L$7,
general_ledger!$B:$B,"&lt;"&amp;EDATE(Forecast!L$7,1)
)</f>
        <v>66220.55</v>
      </c>
      <c r="M79">
        <f>SUMIFS(
general_ledger!$D:$D,
general_ledger!$F:$F,Forecast!$C79,
general_ledger!$B:$B,"&gt;="&amp;Forecast!M$7,
general_ledger!$B:$B,"&lt;"&amp;EDATE(Forecast!M$7,1)
)</f>
        <v>44075.48</v>
      </c>
      <c r="N79">
        <f>SUMIFS(
general_ledger!$D:$D,
general_ledger!$F:$F,Forecast!$C79,
general_ledger!$B:$B,"&gt;="&amp;Forecast!N$7,
general_ledger!$B:$B,"&lt;"&amp;EDATE(Forecast!N$7,1)
)</f>
        <v>44495.99</v>
      </c>
      <c r="O79">
        <f>SUMIFS(
general_ledger!$D:$D,
general_ledger!$F:$F,Forecast!$C79,
general_ledger!$B:$B,"&gt;="&amp;Forecast!O$7,
general_ledger!$B:$B,"&lt;"&amp;EDATE(Forecast!O$7,1)
)</f>
        <v>44075.48</v>
      </c>
      <c r="P79">
        <f>SUMIFS(
general_ledger!$D:$D,
general_ledger!$F:$F,Forecast!$C79,
general_ledger!$B:$B,"&gt;="&amp;Forecast!P$7,
general_ledger!$B:$B,"&lt;"&amp;EDATE(Forecast!P$7,1)
)</f>
        <v>44326.43</v>
      </c>
      <c r="Q79">
        <f>SUMIFS(
general_ledger!$D:$D,
general_ledger!$F:$F,Forecast!$C79,
general_ledger!$B:$B,"&gt;="&amp;Forecast!Q$7,
general_ledger!$B:$B,"&lt;"&amp;EDATE(Forecast!Q$7,1)
)</f>
        <v>66753.62</v>
      </c>
      <c r="R79">
        <f>SUMIFS(
general_ledger!$D:$D,
general_ledger!$F:$F,Forecast!$C79,
general_ledger!$B:$B,"&gt;="&amp;Forecast!R$7,
general_ledger!$B:$B,"&lt;"&amp;EDATE(Forecast!R$7,1)
)</f>
        <v>44075.48</v>
      </c>
      <c r="S79">
        <f>SUMIFS(
general_ledger!$D:$D,
general_ledger!$F:$F,Forecast!$C79,
general_ledger!$B:$B,"&gt;="&amp;Forecast!S$7,
general_ledger!$B:$B,"&lt;"&amp;EDATE(Forecast!S$7,1)
)</f>
        <v>44075.48</v>
      </c>
      <c r="T79">
        <f>SUMIFS(
general_ledger!$D:$D,
general_ledger!$F:$F,Forecast!$C79,
general_ledger!$B:$B,"&gt;="&amp;Forecast!T$7,
general_ledger!$B:$B,"&lt;"&amp;EDATE(Forecast!T$7,1)
)</f>
        <v>44075.48</v>
      </c>
      <c r="U79">
        <f>SUMIFS(
general_ledger!$D:$D,
general_ledger!$F:$F,Forecast!$C79,
general_ledger!$B:$B,"&gt;="&amp;Forecast!U$7,
general_ledger!$B:$B,"&lt;"&amp;EDATE(Forecast!U$7,1)
)</f>
        <v>45186.46</v>
      </c>
      <c r="V79">
        <f>SUMIFS(
general_ledger!$D:$D,
general_ledger!$F:$F,Forecast!$C79,
general_ledger!$B:$B,"&gt;="&amp;Forecast!V$7,
general_ledger!$B:$B,"&lt;"&amp;EDATE(Forecast!V$7,1)
)</f>
        <v>44531.33</v>
      </c>
      <c r="W79">
        <f>SUMIFS(
general_ledger!$D:$D,
general_ledger!$F:$F,Forecast!$C79,
general_ledger!$B:$B,"&gt;="&amp;Forecast!W$7,
general_ledger!$B:$B,"&lt;"&amp;EDATE(Forecast!W$7,1)
)</f>
        <v>69100.200000000012</v>
      </c>
      <c r="X79">
        <f>SUMIFS(
general_ledger!$D:$D,
general_ledger!$F:$F,Forecast!$C79,
general_ledger!$B:$B,"&gt;="&amp;Forecast!X$7,
general_ledger!$B:$B,"&lt;"&amp;EDATE(Forecast!X$7,1)
)</f>
        <v>43147.25</v>
      </c>
      <c r="Y79">
        <f>SUMIFS(
general_ledger!$D:$D,
general_ledger!$F:$F,Forecast!$C79,
general_ledger!$B:$B,"&gt;="&amp;Forecast!Y$7,
general_ledger!$B:$B,"&lt;"&amp;EDATE(Forecast!Y$7,1)
)</f>
        <v>45203.229999999996</v>
      </c>
      <c r="Z79">
        <f>SUMIFS(
general_ledger!$D:$D,
general_ledger!$F:$F,Forecast!$C79,
general_ledger!$B:$B,"&gt;="&amp;Forecast!Z$7,
general_ledger!$B:$B,"&lt;"&amp;EDATE(Forecast!Z$7,1)
)</f>
        <v>45105.82</v>
      </c>
      <c r="AA79">
        <f>SUMIFS(
general_ledger!$D:$D,
general_ledger!$F:$F,Forecast!$C79,
general_ledger!$B:$B,"&gt;="&amp;Forecast!AA$7,
general_ledger!$B:$B,"&lt;"&amp;EDATE(Forecast!AA$7,1)
)</f>
        <v>45143.08</v>
      </c>
      <c r="AB79">
        <f>SUMIFS(
general_ledger!$D:$D,
general_ledger!$F:$F,Forecast!$C79,
general_ledger!$B:$B,"&gt;="&amp;Forecast!AB$7,
general_ledger!$B:$B,"&lt;"&amp;EDATE(Forecast!AB$7,1)
)</f>
        <v>45133.72</v>
      </c>
      <c r="AC79">
        <f>_xlfn.FORECAST.ETS(AC$59,$E79:AB79,$E$59:AB$59,)</f>
        <v>57488.794697062651</v>
      </c>
      <c r="AD79">
        <f>_xlfn.FORECAST.ETS(AD$59,$E79:AC79,$E$59:AC$59,)</f>
        <v>57099.004580350345</v>
      </c>
      <c r="AE79">
        <f>_xlfn.FORECAST.ETS(AE$59,$E79:AD79,$E$59:AD$59,)</f>
        <v>45969.371066510234</v>
      </c>
      <c r="AF79">
        <f>_xlfn.FORECAST.ETS(AF$59,$E79:AE79,$E$59:AE$59,)</f>
        <v>45166.126211969262</v>
      </c>
      <c r="AG79">
        <f>_xlfn.FORECAST.ETS(AG$59,$E79:AF79,$E$59:AF$59,)</f>
        <v>46323.231661589649</v>
      </c>
      <c r="AH79">
        <f>_xlfn.FORECAST.ETS(AH$59,$E79:AG79,$E$59:AG$59,)</f>
        <v>46057.588561497316</v>
      </c>
      <c r="AI79">
        <f>_xlfn.FORECAST.ETS(AI$59,$E79:AH79,$E$59:AH$59,)</f>
        <v>62702.267052752752</v>
      </c>
      <c r="AJ79">
        <f>_xlfn.FORECAST.ETS(AJ$59,$E79:AI79,$E$59:AI$59,)</f>
        <v>53883.188525021571</v>
      </c>
      <c r="AK79">
        <f>_xlfn.FORECAST.ETS(AK$59,$E79:AJ79,$E$59:AJ$59,)</f>
        <v>47153.322284139147</v>
      </c>
      <c r="AL79">
        <f>_xlfn.FORECAST.ETS(AL$59,$E79:AK79,$E$59:AK$59,)</f>
        <v>46407.302816970063</v>
      </c>
      <c r="AM79">
        <f>_xlfn.FORECAST.ETS(AM$59,$E79:AL79,$E$59:AL$59,)</f>
        <v>47589.780274576064</v>
      </c>
      <c r="AN79">
        <f>_xlfn.FORECAST.ETS(AN$59,$E79:AM79,$E$59:AM$59,)</f>
        <v>47627.914383157709</v>
      </c>
    </row>
    <row r="80" spans="2:40" x14ac:dyDescent="0.35">
      <c r="C80" t="s">
        <v>21</v>
      </c>
      <c r="E80">
        <f>SUMIFS(
general_ledger!$D:$D,
general_ledger!$F:$F,Forecast!$C80,
general_ledger!$B:$B,"&gt;="&amp;Forecast!E$7,
general_ledger!$B:$B,"&lt;"&amp;EDATE(Forecast!E$7,1)
)</f>
        <v>1710.52</v>
      </c>
      <c r="F80">
        <f>SUMIFS(
general_ledger!$D:$D,
general_ledger!$F:$F,Forecast!$C80,
general_ledger!$B:$B,"&gt;="&amp;Forecast!F$7,
general_ledger!$B:$B,"&lt;"&amp;EDATE(Forecast!F$7,1)
)</f>
        <v>2563.4499999999998</v>
      </c>
      <c r="G80">
        <f>SUMIFS(
general_ledger!$D:$D,
general_ledger!$F:$F,Forecast!$C80,
general_ledger!$B:$B,"&gt;="&amp;Forecast!G$7,
general_ledger!$B:$B,"&lt;"&amp;EDATE(Forecast!G$7,1)
)</f>
        <v>1712.43</v>
      </c>
      <c r="H80">
        <f>SUMIFS(
general_ledger!$D:$D,
general_ledger!$F:$F,Forecast!$C80,
general_ledger!$B:$B,"&gt;="&amp;Forecast!H$7,
general_ledger!$B:$B,"&lt;"&amp;EDATE(Forecast!H$7,1)
)</f>
        <v>1713.73</v>
      </c>
      <c r="I80">
        <f>SUMIFS(
general_ledger!$D:$D,
general_ledger!$F:$F,Forecast!$C80,
general_ledger!$B:$B,"&gt;="&amp;Forecast!I$7,
general_ledger!$B:$B,"&lt;"&amp;EDATE(Forecast!I$7,1)
)</f>
        <v>1704.64</v>
      </c>
      <c r="J80">
        <f>SUMIFS(
general_ledger!$D:$D,
general_ledger!$F:$F,Forecast!$C80,
general_ledger!$B:$B,"&gt;="&amp;Forecast!J$7,
general_ledger!$B:$B,"&lt;"&amp;EDATE(Forecast!J$7,1)
)</f>
        <v>1715.71</v>
      </c>
      <c r="K80">
        <f>SUMIFS(
general_ledger!$D:$D,
general_ledger!$F:$F,Forecast!$C80,
general_ledger!$B:$B,"&gt;="&amp;Forecast!K$7,
general_ledger!$B:$B,"&lt;"&amp;EDATE(Forecast!K$7,1)
)</f>
        <v>1774.06</v>
      </c>
      <c r="L80">
        <f>SUMIFS(
general_ledger!$D:$D,
general_ledger!$F:$F,Forecast!$C80,
general_ledger!$B:$B,"&gt;="&amp;Forecast!L$7,
general_ledger!$B:$B,"&lt;"&amp;EDATE(Forecast!L$7,1)
)</f>
        <v>2648.83</v>
      </c>
      <c r="M80">
        <f>SUMIFS(
general_ledger!$D:$D,
general_ledger!$F:$F,Forecast!$C80,
general_ledger!$B:$B,"&gt;="&amp;Forecast!M$7,
general_ledger!$B:$B,"&lt;"&amp;EDATE(Forecast!M$7,1)
)</f>
        <v>1763.02</v>
      </c>
      <c r="N80">
        <f>SUMIFS(
general_ledger!$D:$D,
general_ledger!$F:$F,Forecast!$C80,
general_ledger!$B:$B,"&gt;="&amp;Forecast!N$7,
general_ledger!$B:$B,"&lt;"&amp;EDATE(Forecast!N$7,1)
)</f>
        <v>1779.8400000000001</v>
      </c>
      <c r="O80">
        <f>SUMIFS(
general_ledger!$D:$D,
general_ledger!$F:$F,Forecast!$C80,
general_ledger!$B:$B,"&gt;="&amp;Forecast!O$7,
general_ledger!$B:$B,"&lt;"&amp;EDATE(Forecast!O$7,1)
)</f>
        <v>1763.02</v>
      </c>
      <c r="P80">
        <f>SUMIFS(
general_ledger!$D:$D,
general_ledger!$F:$F,Forecast!$C80,
general_ledger!$B:$B,"&gt;="&amp;Forecast!P$7,
general_ledger!$B:$B,"&lt;"&amp;EDATE(Forecast!P$7,1)
)</f>
        <v>1773.07</v>
      </c>
      <c r="Q80">
        <f>SUMIFS(
general_ledger!$D:$D,
general_ledger!$F:$F,Forecast!$C80,
general_ledger!$B:$B,"&gt;="&amp;Forecast!Q$7,
general_ledger!$B:$B,"&lt;"&amp;EDATE(Forecast!Q$7,1)
)</f>
        <v>2670.15</v>
      </c>
      <c r="R80">
        <f>SUMIFS(
general_ledger!$D:$D,
general_ledger!$F:$F,Forecast!$C80,
general_ledger!$B:$B,"&gt;="&amp;Forecast!R$7,
general_ledger!$B:$B,"&lt;"&amp;EDATE(Forecast!R$7,1)
)</f>
        <v>1763.02</v>
      </c>
      <c r="S80">
        <f>SUMIFS(
general_ledger!$D:$D,
general_ledger!$F:$F,Forecast!$C80,
general_ledger!$B:$B,"&gt;="&amp;Forecast!S$7,
general_ledger!$B:$B,"&lt;"&amp;EDATE(Forecast!S$7,1)
)</f>
        <v>1763.02</v>
      </c>
      <c r="T80">
        <f>SUMIFS(
general_ledger!$D:$D,
general_ledger!$F:$F,Forecast!$C80,
general_ledger!$B:$B,"&gt;="&amp;Forecast!T$7,
general_ledger!$B:$B,"&lt;"&amp;EDATE(Forecast!T$7,1)
)</f>
        <v>1763.02</v>
      </c>
      <c r="U80">
        <f>SUMIFS(
general_ledger!$D:$D,
general_ledger!$F:$F,Forecast!$C80,
general_ledger!$B:$B,"&gt;="&amp;Forecast!U$7,
general_ledger!$B:$B,"&lt;"&amp;EDATE(Forecast!U$7,1)
)</f>
        <v>1807.45</v>
      </c>
      <c r="V80">
        <f>SUMIFS(
general_ledger!$D:$D,
general_ledger!$F:$F,Forecast!$C80,
general_ledger!$B:$B,"&gt;="&amp;Forecast!V$7,
general_ledger!$B:$B,"&lt;"&amp;EDATE(Forecast!V$7,1)
)</f>
        <v>1781.25</v>
      </c>
      <c r="W80">
        <f>SUMIFS(
general_ledger!$D:$D,
general_ledger!$F:$F,Forecast!$C80,
general_ledger!$B:$B,"&gt;="&amp;Forecast!W$7,
general_ledger!$B:$B,"&lt;"&amp;EDATE(Forecast!W$7,1)
)</f>
        <v>2764.02</v>
      </c>
      <c r="X80">
        <f>SUMIFS(
general_ledger!$D:$D,
general_ledger!$F:$F,Forecast!$C80,
general_ledger!$B:$B,"&gt;="&amp;Forecast!X$7,
general_ledger!$B:$B,"&lt;"&amp;EDATE(Forecast!X$7,1)
)</f>
        <v>1725.8899999999999</v>
      </c>
      <c r="Y80">
        <f>SUMIFS(
general_ledger!$D:$D,
general_ledger!$F:$F,Forecast!$C80,
general_ledger!$B:$B,"&gt;="&amp;Forecast!Y$7,
general_ledger!$B:$B,"&lt;"&amp;EDATE(Forecast!Y$7,1)
)</f>
        <v>1808.1399999999999</v>
      </c>
      <c r="Z80">
        <f>SUMIFS(
general_ledger!$D:$D,
general_ledger!$F:$F,Forecast!$C80,
general_ledger!$B:$B,"&gt;="&amp;Forecast!Z$7,
general_ledger!$B:$B,"&lt;"&amp;EDATE(Forecast!Z$7,1)
)</f>
        <v>1804.24</v>
      </c>
      <c r="AA80">
        <f>SUMIFS(
general_ledger!$D:$D,
general_ledger!$F:$F,Forecast!$C80,
general_ledger!$B:$B,"&gt;="&amp;Forecast!AA$7,
general_ledger!$B:$B,"&lt;"&amp;EDATE(Forecast!AA$7,1)
)</f>
        <v>1805.73</v>
      </c>
      <c r="AB80">
        <f>SUMIFS(
general_ledger!$D:$D,
general_ledger!$F:$F,Forecast!$C80,
general_ledger!$B:$B,"&gt;="&amp;Forecast!AB$7,
general_ledger!$B:$B,"&lt;"&amp;EDATE(Forecast!AB$7,1)
)</f>
        <v>1805.35</v>
      </c>
      <c r="AC80">
        <f>_xlfn.FORECAST.ETS(AC$59,$E80:AB80,$E$59:AB$59,)</f>
        <v>2299.540326433128</v>
      </c>
      <c r="AD80">
        <f>_xlfn.FORECAST.ETS(AD$59,$E80:AC80,$E$59:AC$59,)</f>
        <v>2283.9534297191167</v>
      </c>
      <c r="AE80">
        <f>_xlfn.FORECAST.ETS(AE$59,$E80:AD80,$E$59:AD$59,)</f>
        <v>1838.7699346278087</v>
      </c>
      <c r="AF80">
        <f>_xlfn.FORECAST.ETS(AF$59,$E80:AE80,$E$59:AE$59,)</f>
        <v>1806.6405261020427</v>
      </c>
      <c r="AG80">
        <f>_xlfn.FORECAST.ETS(AG$59,$E80:AF80,$E$59:AF$59,)</f>
        <v>1852.9209184666938</v>
      </c>
      <c r="AH80">
        <f>_xlfn.FORECAST.ETS(AH$59,$E80:AG80,$E$59:AG$59,)</f>
        <v>1842.2973127520702</v>
      </c>
      <c r="AI80">
        <f>_xlfn.FORECAST.ETS(AI$59,$E80:AH80,$E$59:AH$59,)</f>
        <v>2508.0792811615938</v>
      </c>
      <c r="AJ80">
        <f>_xlfn.FORECAST.ETS(AJ$59,$E80:AI80,$E$59:AI$59,)</f>
        <v>2155.3148273958773</v>
      </c>
      <c r="AK80">
        <f>_xlfn.FORECAST.ETS(AK$59,$E80:AJ80,$E$59:AJ$59,)</f>
        <v>1886.1221551151316</v>
      </c>
      <c r="AL80">
        <f>_xlfn.FORECAST.ETS(AL$59,$E80:AK80,$E$59:AK$59,)</f>
        <v>1856.2812924741452</v>
      </c>
      <c r="AM80">
        <f>_xlfn.FORECAST.ETS(AM$59,$E80:AL80,$E$59:AL$59,)</f>
        <v>1903.5761823201512</v>
      </c>
      <c r="AN80">
        <f>_xlfn.FORECAST.ETS(AN$59,$E80:AM80,$E$59:AM$59,)</f>
        <v>1905.104088787841</v>
      </c>
    </row>
    <row r="81" spans="2:40" x14ac:dyDescent="0.35">
      <c r="B81" s="6" t="s">
        <v>53</v>
      </c>
      <c r="E81">
        <f>SUM(E77,E79:E80)</f>
        <v>45204.71</v>
      </c>
      <c r="F81">
        <f t="shared" ref="F81:AN81" si="62">SUM(F77,F79:F80)</f>
        <v>67380.44</v>
      </c>
      <c r="G81">
        <f t="shared" si="62"/>
        <v>45254.18</v>
      </c>
      <c r="H81">
        <f t="shared" si="62"/>
        <v>45287.93</v>
      </c>
      <c r="I81">
        <f t="shared" si="62"/>
        <v>45051.72</v>
      </c>
      <c r="J81">
        <f t="shared" si="62"/>
        <v>45339.750000000007</v>
      </c>
      <c r="K81">
        <f t="shared" si="62"/>
        <v>46857.41</v>
      </c>
      <c r="L81">
        <f t="shared" si="62"/>
        <v>69601.100000000006</v>
      </c>
      <c r="M81">
        <f t="shared" si="62"/>
        <v>46570.22</v>
      </c>
      <c r="N81">
        <f t="shared" si="62"/>
        <v>47007.55</v>
      </c>
      <c r="O81">
        <f t="shared" si="62"/>
        <v>46570.22</v>
      </c>
      <c r="P81">
        <f t="shared" si="62"/>
        <v>46831.22</v>
      </c>
      <c r="Q81">
        <f t="shared" si="62"/>
        <v>70155.489999999991</v>
      </c>
      <c r="R81">
        <f t="shared" si="62"/>
        <v>46570.22</v>
      </c>
      <c r="S81">
        <f t="shared" si="62"/>
        <v>46570.22</v>
      </c>
      <c r="T81">
        <f t="shared" si="62"/>
        <v>46570.22</v>
      </c>
      <c r="U81">
        <f t="shared" si="62"/>
        <v>47725.63</v>
      </c>
      <c r="V81">
        <f t="shared" si="62"/>
        <v>47044.3</v>
      </c>
      <c r="W81">
        <f t="shared" si="62"/>
        <v>72595.940000000017</v>
      </c>
      <c r="X81">
        <f t="shared" si="62"/>
        <v>45604.86</v>
      </c>
      <c r="Y81">
        <f t="shared" si="62"/>
        <v>47743.09</v>
      </c>
      <c r="Z81">
        <f t="shared" si="62"/>
        <v>47564.72</v>
      </c>
      <c r="AA81">
        <f t="shared" si="62"/>
        <v>47510.060000000005</v>
      </c>
      <c r="AB81">
        <f t="shared" si="62"/>
        <v>47500.32</v>
      </c>
      <c r="AC81">
        <f t="shared" si="62"/>
        <v>60419.542141132508</v>
      </c>
      <c r="AD81">
        <f t="shared" si="62"/>
        <v>60009.049673519228</v>
      </c>
      <c r="AE81">
        <f t="shared" si="62"/>
        <v>48446.665243596661</v>
      </c>
      <c r="AF81">
        <f t="shared" si="62"/>
        <v>47606.475977504801</v>
      </c>
      <c r="AG81">
        <f t="shared" si="62"/>
        <v>48807.677144102672</v>
      </c>
      <c r="AH81">
        <f t="shared" si="62"/>
        <v>48526.778209117183</v>
      </c>
      <c r="AI81">
        <f t="shared" si="62"/>
        <v>65832.629545444026</v>
      </c>
      <c r="AJ81">
        <f t="shared" si="62"/>
        <v>56656.197649327194</v>
      </c>
      <c r="AK81">
        <f t="shared" si="62"/>
        <v>49652.474213407171</v>
      </c>
      <c r="AL81">
        <f t="shared" si="62"/>
        <v>48871.659932042276</v>
      </c>
      <c r="AM81">
        <f t="shared" si="62"/>
        <v>50094.804555741262</v>
      </c>
      <c r="AN81">
        <f t="shared" si="62"/>
        <v>50129.731753225133</v>
      </c>
    </row>
    <row r="82" spans="2:40" x14ac:dyDescent="0.35">
      <c r="B82" s="6" t="s">
        <v>52</v>
      </c>
      <c r="E82">
        <f>E63-E81</f>
        <v>-3753.3699999999881</v>
      </c>
      <c r="F82">
        <f t="shared" ref="F82:AN82" si="63">F63-F81</f>
        <v>-9355.4900000000052</v>
      </c>
      <c r="G82">
        <f t="shared" si="63"/>
        <v>26253.380000000041</v>
      </c>
      <c r="H82">
        <f t="shared" si="63"/>
        <v>9545.0400000000154</v>
      </c>
      <c r="I82">
        <f t="shared" si="63"/>
        <v>49310.409999999989</v>
      </c>
      <c r="J82">
        <f t="shared" si="63"/>
        <v>27251.45999999997</v>
      </c>
      <c r="K82">
        <f t="shared" si="63"/>
        <v>49659.979999999967</v>
      </c>
      <c r="L82">
        <f t="shared" si="63"/>
        <v>3505</v>
      </c>
      <c r="M82">
        <f t="shared" si="63"/>
        <v>22802.560000000027</v>
      </c>
      <c r="N82">
        <f t="shared" si="63"/>
        <v>95283.58000000006</v>
      </c>
      <c r="O82">
        <f t="shared" si="63"/>
        <v>92693.689999999828</v>
      </c>
      <c r="P82">
        <f t="shared" si="63"/>
        <v>155744.96999999988</v>
      </c>
      <c r="Q82">
        <f t="shared" si="63"/>
        <v>6784.1999999999534</v>
      </c>
      <c r="R82">
        <f t="shared" si="63"/>
        <v>38654.470000000088</v>
      </c>
      <c r="S82">
        <f t="shared" si="63"/>
        <v>57281.939999999959</v>
      </c>
      <c r="T82">
        <f t="shared" si="63"/>
        <v>64648.210000000079</v>
      </c>
      <c r="U82">
        <f t="shared" si="63"/>
        <v>190089.86</v>
      </c>
      <c r="V82">
        <f t="shared" si="63"/>
        <v>91623.589999999807</v>
      </c>
      <c r="W82">
        <f t="shared" si="63"/>
        <v>40982.929999999964</v>
      </c>
      <c r="X82">
        <f t="shared" si="63"/>
        <v>66149.380000000019</v>
      </c>
      <c r="Y82">
        <f t="shared" si="63"/>
        <v>168106.31000000008</v>
      </c>
      <c r="Z82">
        <f t="shared" si="63"/>
        <v>147970.55999999985</v>
      </c>
      <c r="AA82">
        <f t="shared" si="63"/>
        <v>241206.86999999982</v>
      </c>
      <c r="AB82">
        <f t="shared" si="63"/>
        <v>338786.93000000034</v>
      </c>
      <c r="AC82">
        <f t="shared" si="63"/>
        <v>79317.516823607628</v>
      </c>
      <c r="AD82">
        <f t="shared" si="63"/>
        <v>72825.815489689194</v>
      </c>
      <c r="AE82">
        <f t="shared" si="63"/>
        <v>97787.910969432909</v>
      </c>
      <c r="AF82">
        <f t="shared" si="63"/>
        <v>110974.86566350496</v>
      </c>
      <c r="AG82">
        <f t="shared" si="63"/>
        <v>140671.62337614005</v>
      </c>
      <c r="AH82">
        <f t="shared" si="63"/>
        <v>139849.07929690683</v>
      </c>
      <c r="AI82">
        <f t="shared" si="63"/>
        <v>98044.863594314302</v>
      </c>
      <c r="AJ82">
        <f t="shared" si="63"/>
        <v>99898.956198484229</v>
      </c>
      <c r="AK82">
        <f t="shared" si="63"/>
        <v>127749.23579873194</v>
      </c>
      <c r="AL82">
        <f t="shared" si="63"/>
        <v>140545.49448533298</v>
      </c>
      <c r="AM82">
        <f t="shared" si="63"/>
        <v>169200.15917001132</v>
      </c>
      <c r="AN82">
        <f t="shared" si="63"/>
        <v>166338.5080010629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CF63-1881-41B1-8CEC-318828754C60}">
  <dimension ref="A1:AK9"/>
  <sheetViews>
    <sheetView tabSelected="1" workbookViewId="0">
      <selection activeCell="P15" sqref="P15"/>
    </sheetView>
  </sheetViews>
  <sheetFormatPr defaultRowHeight="14.5" x14ac:dyDescent="0.35"/>
  <cols>
    <col min="1" max="1" width="15.6328125" customWidth="1"/>
    <col min="2" max="37" width="10.6328125" customWidth="1"/>
  </cols>
  <sheetData>
    <row r="1" spans="1:37" x14ac:dyDescent="0.35">
      <c r="A1" t="s">
        <v>14</v>
      </c>
      <c r="B1" s="25">
        <v>45292</v>
      </c>
      <c r="C1" s="25">
        <f>EDATE(B$1,1)</f>
        <v>45323</v>
      </c>
      <c r="D1" s="25">
        <f t="shared" ref="D1:AK1" si="0">EDATE(C$1,1)</f>
        <v>45352</v>
      </c>
      <c r="E1" s="25">
        <f t="shared" si="0"/>
        <v>45383</v>
      </c>
      <c r="F1" s="25">
        <f t="shared" si="0"/>
        <v>45413</v>
      </c>
      <c r="G1" s="25">
        <f t="shared" si="0"/>
        <v>45444</v>
      </c>
      <c r="H1" s="25">
        <f t="shared" si="0"/>
        <v>45474</v>
      </c>
      <c r="I1" s="25">
        <f t="shared" si="0"/>
        <v>45505</v>
      </c>
      <c r="J1" s="25">
        <f t="shared" si="0"/>
        <v>45536</v>
      </c>
      <c r="K1" s="25">
        <f t="shared" si="0"/>
        <v>45566</v>
      </c>
      <c r="L1" s="25">
        <f t="shared" si="0"/>
        <v>45597</v>
      </c>
      <c r="M1" s="25">
        <f t="shared" si="0"/>
        <v>45627</v>
      </c>
      <c r="N1" s="25">
        <f t="shared" si="0"/>
        <v>45658</v>
      </c>
      <c r="O1" s="25">
        <f t="shared" si="0"/>
        <v>45689</v>
      </c>
      <c r="P1" s="25">
        <f t="shared" si="0"/>
        <v>45717</v>
      </c>
      <c r="Q1" s="25">
        <f t="shared" si="0"/>
        <v>45748</v>
      </c>
      <c r="R1" s="25">
        <f t="shared" si="0"/>
        <v>45778</v>
      </c>
      <c r="S1" s="25">
        <f t="shared" si="0"/>
        <v>45809</v>
      </c>
      <c r="T1" s="25">
        <f t="shared" si="0"/>
        <v>45839</v>
      </c>
      <c r="U1" s="25">
        <f t="shared" si="0"/>
        <v>45870</v>
      </c>
      <c r="V1" s="25">
        <f t="shared" si="0"/>
        <v>45901</v>
      </c>
      <c r="W1" s="25">
        <f t="shared" si="0"/>
        <v>45931</v>
      </c>
      <c r="X1" s="25">
        <f t="shared" si="0"/>
        <v>45962</v>
      </c>
      <c r="Y1" s="25">
        <f t="shared" si="0"/>
        <v>45992</v>
      </c>
      <c r="Z1" s="25">
        <f t="shared" si="0"/>
        <v>46023</v>
      </c>
      <c r="AA1" s="25">
        <f t="shared" si="0"/>
        <v>46054</v>
      </c>
      <c r="AB1" s="25">
        <f t="shared" si="0"/>
        <v>46082</v>
      </c>
      <c r="AC1" s="25">
        <f t="shared" si="0"/>
        <v>46113</v>
      </c>
      <c r="AD1" s="25">
        <f t="shared" si="0"/>
        <v>46143</v>
      </c>
      <c r="AE1" s="25">
        <f t="shared" si="0"/>
        <v>46174</v>
      </c>
      <c r="AF1" s="25">
        <f t="shared" si="0"/>
        <v>46204</v>
      </c>
      <c r="AG1" s="25">
        <f t="shared" si="0"/>
        <v>46235</v>
      </c>
      <c r="AH1" s="25">
        <f t="shared" si="0"/>
        <v>46266</v>
      </c>
      <c r="AI1" s="25">
        <f t="shared" si="0"/>
        <v>46296</v>
      </c>
      <c r="AJ1" s="25">
        <f t="shared" si="0"/>
        <v>46327</v>
      </c>
      <c r="AK1" s="25">
        <f t="shared" si="0"/>
        <v>46357</v>
      </c>
    </row>
    <row r="2" spans="1:37" x14ac:dyDescent="0.35">
      <c r="A2" t="s">
        <v>57</v>
      </c>
      <c r="B2" s="2">
        <v>59415.490000000013</v>
      </c>
      <c r="C2" s="2">
        <v>68342.89</v>
      </c>
      <c r="D2" s="2">
        <v>99595.540000000037</v>
      </c>
      <c r="E2" s="2">
        <v>95861.080000000016</v>
      </c>
      <c r="F2" s="2">
        <v>150362.91999999998</v>
      </c>
      <c r="G2" s="2">
        <v>142942.71</v>
      </c>
      <c r="H2" s="2">
        <v>149964.52999999997</v>
      </c>
      <c r="I2" s="2">
        <v>134993.04</v>
      </c>
      <c r="J2" s="2">
        <v>141063.74000000002</v>
      </c>
      <c r="K2" s="2">
        <v>205049.57000000007</v>
      </c>
      <c r="L2" s="2">
        <v>232928.62999999983</v>
      </c>
      <c r="M2" s="2">
        <v>309332.21999999991</v>
      </c>
      <c r="N2" s="2">
        <v>153642.57999999996</v>
      </c>
      <c r="O2" s="2">
        <v>138235.13000000006</v>
      </c>
      <c r="P2" s="2">
        <v>177988.43999999994</v>
      </c>
      <c r="Q2" s="2">
        <v>217996.40000000008</v>
      </c>
      <c r="R2" s="2">
        <v>329150.24</v>
      </c>
      <c r="S2" s="2">
        <v>242501.93999999983</v>
      </c>
      <c r="T2" s="2">
        <v>216498.91999999998</v>
      </c>
      <c r="U2" s="2">
        <v>191254.52000000005</v>
      </c>
      <c r="V2" s="2">
        <v>317274.78000000009</v>
      </c>
      <c r="W2" s="2">
        <v>299056.03999999986</v>
      </c>
      <c r="X2" s="2">
        <v>403762.45999999985</v>
      </c>
      <c r="Y2" s="2">
        <v>511798.72000000038</v>
      </c>
      <c r="Z2" s="2">
        <v>335176.41999916767</v>
      </c>
      <c r="AA2" s="2">
        <v>318620.66431289981</v>
      </c>
      <c r="AB2" s="2">
        <v>350761.50949725154</v>
      </c>
      <c r="AC2" s="2">
        <v>380376.73587584682</v>
      </c>
      <c r="AD2" s="2">
        <v>454489.26779220835</v>
      </c>
      <c r="AE2" s="2">
        <v>451842.52481708786</v>
      </c>
      <c r="AF2" s="2">
        <v>393080.20274623291</v>
      </c>
      <c r="AG2" s="2">
        <v>375516.67673475947</v>
      </c>
      <c r="AH2" s="2">
        <v>425519.69036791497</v>
      </c>
      <c r="AI2" s="2">
        <v>454340.20276657853</v>
      </c>
      <c r="AJ2" s="2">
        <v>526005.7812150747</v>
      </c>
      <c r="AK2" s="2">
        <v>519225.5381778974</v>
      </c>
    </row>
    <row r="3" spans="1:37" x14ac:dyDescent="0.35">
      <c r="A3" t="s">
        <v>54</v>
      </c>
      <c r="B3" s="2">
        <v>59415.490000000013</v>
      </c>
      <c r="C3" s="2">
        <v>68342.89</v>
      </c>
      <c r="D3" s="2">
        <v>99595.540000000037</v>
      </c>
      <c r="E3" s="2">
        <v>95861.080000000016</v>
      </c>
      <c r="F3" s="2">
        <v>150362.91999999998</v>
      </c>
      <c r="G3" s="2">
        <v>142942.71</v>
      </c>
      <c r="H3" s="2">
        <v>149964.52999999997</v>
      </c>
      <c r="I3" s="2">
        <v>134993.04</v>
      </c>
      <c r="J3" s="2">
        <v>141063.74000000002</v>
      </c>
      <c r="K3" s="2">
        <v>205049.57000000007</v>
      </c>
      <c r="L3" s="2">
        <v>232928.62999999983</v>
      </c>
      <c r="M3" s="2">
        <v>309332.21999999991</v>
      </c>
      <c r="N3" s="2">
        <v>153642.57999999996</v>
      </c>
      <c r="O3" s="2">
        <v>138235.13000000006</v>
      </c>
      <c r="P3" s="2">
        <v>177988.43999999994</v>
      </c>
      <c r="Q3" s="2">
        <v>217996.40000000008</v>
      </c>
      <c r="R3" s="2">
        <v>329150.24</v>
      </c>
      <c r="S3" s="2">
        <v>242501.93999999983</v>
      </c>
      <c r="T3" s="2">
        <v>216498.91999999998</v>
      </c>
      <c r="U3" s="2">
        <v>191254.52000000005</v>
      </c>
      <c r="V3" s="2">
        <v>317274.78000000009</v>
      </c>
      <c r="W3" s="2">
        <v>299056.03999999986</v>
      </c>
      <c r="X3" s="2">
        <v>403762.45999999985</v>
      </c>
      <c r="Y3" s="2">
        <v>511798.72000000038</v>
      </c>
      <c r="Z3" s="2">
        <v>435729.345998918</v>
      </c>
      <c r="AA3" s="2">
        <v>414206.86360676977</v>
      </c>
      <c r="AB3" s="2">
        <v>455989.96234642703</v>
      </c>
      <c r="AC3" s="2">
        <v>494489.7566386009</v>
      </c>
      <c r="AD3" s="2">
        <v>590836.04812987091</v>
      </c>
      <c r="AE3" s="2">
        <v>587395.28226221423</v>
      </c>
      <c r="AF3" s="2">
        <v>511004.2635701028</v>
      </c>
      <c r="AG3" s="2">
        <v>488171.6797551873</v>
      </c>
      <c r="AH3" s="2">
        <v>553175.59747828951</v>
      </c>
      <c r="AI3" s="2">
        <v>590642.26359655207</v>
      </c>
      <c r="AJ3" s="2">
        <v>683807.51557959709</v>
      </c>
      <c r="AK3" s="2">
        <v>674993.19963126665</v>
      </c>
    </row>
    <row r="4" spans="1:37" x14ac:dyDescent="0.35">
      <c r="A4" t="s">
        <v>55</v>
      </c>
      <c r="B4" s="2">
        <v>59415.490000000013</v>
      </c>
      <c r="C4" s="2">
        <v>68342.89</v>
      </c>
      <c r="D4" s="2">
        <v>99595.540000000037</v>
      </c>
      <c r="E4" s="2">
        <v>95861.080000000016</v>
      </c>
      <c r="F4" s="2">
        <v>150362.91999999998</v>
      </c>
      <c r="G4" s="2">
        <v>142942.71</v>
      </c>
      <c r="H4" s="2">
        <v>149964.52999999997</v>
      </c>
      <c r="I4" s="2">
        <v>134993.04</v>
      </c>
      <c r="J4" s="2">
        <v>141063.74000000002</v>
      </c>
      <c r="K4" s="2">
        <v>205049.57000000007</v>
      </c>
      <c r="L4" s="2">
        <v>232928.62999999983</v>
      </c>
      <c r="M4" s="2">
        <v>309332.21999999991</v>
      </c>
      <c r="N4" s="2">
        <v>153642.57999999996</v>
      </c>
      <c r="O4" s="2">
        <v>138235.13000000006</v>
      </c>
      <c r="P4" s="2">
        <v>177988.43999999994</v>
      </c>
      <c r="Q4" s="2">
        <v>217996.40000000008</v>
      </c>
      <c r="R4" s="2">
        <v>329150.24</v>
      </c>
      <c r="S4" s="2">
        <v>242501.93999999983</v>
      </c>
      <c r="T4" s="2">
        <v>216498.91999999998</v>
      </c>
      <c r="U4" s="2">
        <v>191254.52000000005</v>
      </c>
      <c r="V4" s="2">
        <v>317274.78000000009</v>
      </c>
      <c r="W4" s="2">
        <v>299056.03999999986</v>
      </c>
      <c r="X4" s="2">
        <v>403762.45999999985</v>
      </c>
      <c r="Y4" s="2">
        <v>511798.72000000038</v>
      </c>
      <c r="Z4" s="2">
        <v>234623.49399941735</v>
      </c>
      <c r="AA4" s="2">
        <v>223034.46501902986</v>
      </c>
      <c r="AB4" s="2">
        <v>245533.05664807605</v>
      </c>
      <c r="AC4" s="2">
        <v>266263.71511309274</v>
      </c>
      <c r="AD4" s="2">
        <v>318142.4874545458</v>
      </c>
      <c r="AE4" s="2">
        <v>316289.7673719615</v>
      </c>
      <c r="AF4" s="2">
        <v>275156.14192236302</v>
      </c>
      <c r="AG4" s="2">
        <v>262861.67371433164</v>
      </c>
      <c r="AH4" s="2">
        <v>297863.78325754043</v>
      </c>
      <c r="AI4" s="2">
        <v>318038.14193660492</v>
      </c>
      <c r="AJ4" s="2">
        <v>368204.04685055226</v>
      </c>
      <c r="AK4" s="2">
        <v>363457.87672452815</v>
      </c>
    </row>
    <row r="6" spans="1:37" x14ac:dyDescent="0.35">
      <c r="A6" t="s">
        <v>63</v>
      </c>
      <c r="B6" s="25">
        <v>45292</v>
      </c>
      <c r="C6" s="25">
        <f>EDATE(B$1,1)</f>
        <v>45323</v>
      </c>
      <c r="D6" s="25">
        <f t="shared" ref="D6:AK6" si="1">EDATE(C$1,1)</f>
        <v>45352</v>
      </c>
      <c r="E6" s="25">
        <f t="shared" si="1"/>
        <v>45383</v>
      </c>
      <c r="F6" s="25">
        <f t="shared" si="1"/>
        <v>45413</v>
      </c>
      <c r="G6" s="25">
        <f t="shared" si="1"/>
        <v>45444</v>
      </c>
      <c r="H6" s="25">
        <f t="shared" si="1"/>
        <v>45474</v>
      </c>
      <c r="I6" s="25">
        <f t="shared" si="1"/>
        <v>45505</v>
      </c>
      <c r="J6" s="25">
        <f t="shared" si="1"/>
        <v>45536</v>
      </c>
      <c r="K6" s="25">
        <f t="shared" si="1"/>
        <v>45566</v>
      </c>
      <c r="L6" s="25">
        <f t="shared" si="1"/>
        <v>45597</v>
      </c>
      <c r="M6" s="25">
        <f t="shared" si="1"/>
        <v>45627</v>
      </c>
      <c r="N6" s="25">
        <f t="shared" si="1"/>
        <v>45658</v>
      </c>
      <c r="O6" s="25">
        <f t="shared" si="1"/>
        <v>45689</v>
      </c>
      <c r="P6" s="25">
        <f t="shared" si="1"/>
        <v>45717</v>
      </c>
      <c r="Q6" s="25">
        <f t="shared" si="1"/>
        <v>45748</v>
      </c>
      <c r="R6" s="25">
        <f t="shared" si="1"/>
        <v>45778</v>
      </c>
      <c r="S6" s="25">
        <f t="shared" si="1"/>
        <v>45809</v>
      </c>
      <c r="T6" s="25">
        <f t="shared" si="1"/>
        <v>45839</v>
      </c>
      <c r="U6" s="25">
        <f t="shared" si="1"/>
        <v>45870</v>
      </c>
      <c r="V6" s="25">
        <f t="shared" si="1"/>
        <v>45901</v>
      </c>
      <c r="W6" s="25">
        <f t="shared" si="1"/>
        <v>45931</v>
      </c>
      <c r="X6" s="25">
        <f t="shared" si="1"/>
        <v>45962</v>
      </c>
      <c r="Y6" s="25">
        <f t="shared" si="1"/>
        <v>45992</v>
      </c>
      <c r="Z6" s="25">
        <f t="shared" si="1"/>
        <v>46023</v>
      </c>
      <c r="AA6" s="25">
        <f t="shared" si="1"/>
        <v>46054</v>
      </c>
      <c r="AB6" s="25">
        <f t="shared" si="1"/>
        <v>46082</v>
      </c>
      <c r="AC6" s="25">
        <f t="shared" si="1"/>
        <v>46113</v>
      </c>
      <c r="AD6" s="25">
        <f t="shared" si="1"/>
        <v>46143</v>
      </c>
      <c r="AE6" s="25">
        <f t="shared" si="1"/>
        <v>46174</v>
      </c>
      <c r="AF6" s="25">
        <f t="shared" si="1"/>
        <v>46204</v>
      </c>
      <c r="AG6" s="25">
        <f t="shared" si="1"/>
        <v>46235</v>
      </c>
      <c r="AH6" s="25">
        <f t="shared" si="1"/>
        <v>46266</v>
      </c>
      <c r="AI6" s="25">
        <f t="shared" si="1"/>
        <v>46296</v>
      </c>
      <c r="AJ6" s="25">
        <f t="shared" si="1"/>
        <v>46327</v>
      </c>
      <c r="AK6" s="25">
        <f t="shared" si="1"/>
        <v>46357</v>
      </c>
    </row>
    <row r="7" spans="1:37" x14ac:dyDescent="0.35">
      <c r="A7" t="s">
        <v>14</v>
      </c>
      <c r="B7" s="2">
        <v>59415.490000000013</v>
      </c>
      <c r="C7" s="2">
        <v>68342.89</v>
      </c>
      <c r="D7" s="2">
        <v>99595.540000000037</v>
      </c>
      <c r="E7" s="2">
        <v>95861.080000000016</v>
      </c>
      <c r="F7" s="2">
        <v>150362.91999999998</v>
      </c>
      <c r="G7" s="2">
        <v>142942.71</v>
      </c>
      <c r="H7" s="2">
        <v>149964.52999999997</v>
      </c>
      <c r="I7" s="2">
        <v>134993.04</v>
      </c>
      <c r="J7" s="2">
        <v>141063.74000000002</v>
      </c>
      <c r="K7" s="2">
        <v>205049.57000000007</v>
      </c>
      <c r="L7" s="2">
        <v>232928.62999999983</v>
      </c>
      <c r="M7" s="2">
        <v>309332.21999999991</v>
      </c>
      <c r="N7" s="2">
        <v>153642.57999999996</v>
      </c>
      <c r="O7" s="2">
        <v>138235.13000000006</v>
      </c>
      <c r="P7" s="2">
        <v>177988.43999999994</v>
      </c>
      <c r="Q7" s="2">
        <v>217996.40000000008</v>
      </c>
      <c r="R7" s="2">
        <v>329150.24</v>
      </c>
      <c r="S7" s="2">
        <v>242501.93999999983</v>
      </c>
      <c r="T7" s="2">
        <v>216498.91999999998</v>
      </c>
      <c r="U7" s="2">
        <v>191254.52000000005</v>
      </c>
      <c r="V7" s="2">
        <v>317274.78000000009</v>
      </c>
      <c r="W7" s="2">
        <v>299056.03999999986</v>
      </c>
      <c r="X7" s="2">
        <v>403762.45999999985</v>
      </c>
      <c r="Y7" s="2">
        <v>511798.72000000038</v>
      </c>
      <c r="Z7" s="2">
        <v>335176.41999916767</v>
      </c>
      <c r="AA7" s="2">
        <v>318620.66431289981</v>
      </c>
      <c r="AB7" s="2">
        <v>350761.50949725154</v>
      </c>
      <c r="AC7" s="2">
        <v>380376.73587584682</v>
      </c>
      <c r="AD7" s="2">
        <v>454489.26779220835</v>
      </c>
      <c r="AE7" s="2">
        <v>451842.52481708786</v>
      </c>
      <c r="AF7" s="2">
        <v>393080.20274623291</v>
      </c>
      <c r="AG7" s="2">
        <v>375516.67673475947</v>
      </c>
      <c r="AH7" s="2">
        <v>425519.69036791497</v>
      </c>
      <c r="AI7" s="2">
        <v>454340.20276657853</v>
      </c>
      <c r="AJ7" s="2">
        <v>526005.7812150747</v>
      </c>
      <c r="AK7" s="2">
        <v>519225.5381778974</v>
      </c>
    </row>
    <row r="8" spans="1:37" x14ac:dyDescent="0.35">
      <c r="A8" t="s">
        <v>51</v>
      </c>
      <c r="B8" s="2">
        <v>41451.340000000011</v>
      </c>
      <c r="C8" s="2">
        <v>58024.95</v>
      </c>
      <c r="D8" s="2">
        <v>71507.560000000041</v>
      </c>
      <c r="E8" s="2">
        <v>54832.970000000016</v>
      </c>
      <c r="F8" s="2">
        <v>94362.12999999999</v>
      </c>
      <c r="G8" s="2">
        <v>72591.209999999977</v>
      </c>
      <c r="H8" s="2">
        <v>96517.38999999997</v>
      </c>
      <c r="I8" s="2">
        <v>73106.100000000006</v>
      </c>
      <c r="J8" s="2">
        <v>69372.780000000028</v>
      </c>
      <c r="K8" s="2">
        <v>142291.13000000006</v>
      </c>
      <c r="L8" s="2">
        <v>139263.90999999983</v>
      </c>
      <c r="M8" s="2">
        <v>202576.18999999989</v>
      </c>
      <c r="N8" s="2">
        <v>76939.689999999944</v>
      </c>
      <c r="O8" s="2">
        <v>85224.69000000009</v>
      </c>
      <c r="P8" s="2">
        <v>103852.15999999996</v>
      </c>
      <c r="Q8" s="2">
        <v>111218.43000000008</v>
      </c>
      <c r="R8" s="2">
        <v>237815.49</v>
      </c>
      <c r="S8" s="2">
        <v>138667.88999999981</v>
      </c>
      <c r="T8" s="2">
        <v>113578.86999999998</v>
      </c>
      <c r="U8" s="2">
        <v>111754.24000000002</v>
      </c>
      <c r="V8" s="2">
        <v>215849.40000000008</v>
      </c>
      <c r="W8" s="2">
        <v>195535.27999999985</v>
      </c>
      <c r="X8" s="2">
        <v>288716.92999999982</v>
      </c>
      <c r="Y8" s="2">
        <v>386287.25000000035</v>
      </c>
      <c r="Z8" s="2">
        <v>229617.0295451085</v>
      </c>
      <c r="AA8" s="2">
        <v>220405.14297803899</v>
      </c>
      <c r="AB8" s="2">
        <v>240524.97878364235</v>
      </c>
      <c r="AC8" s="2">
        <v>261057.08128219965</v>
      </c>
      <c r="AD8" s="2">
        <v>323280.01022022619</v>
      </c>
      <c r="AE8" s="2">
        <v>307330.35217013524</v>
      </c>
      <c r="AF8" s="2">
        <v>264609.0197267168</v>
      </c>
      <c r="AG8" s="2">
        <v>259411.17861479369</v>
      </c>
      <c r="AH8" s="2">
        <v>297203.39104697219</v>
      </c>
      <c r="AI8" s="2">
        <v>314465.76314532157</v>
      </c>
      <c r="AJ8" s="2">
        <v>375754.7307691006</v>
      </c>
      <c r="AK8" s="2">
        <v>355620.07407335017</v>
      </c>
    </row>
    <row r="9" spans="1:37" x14ac:dyDescent="0.35">
      <c r="A9" t="s">
        <v>64</v>
      </c>
      <c r="B9" s="2">
        <v>-3753.3699999999881</v>
      </c>
      <c r="C9" s="2">
        <v>-9355.4900000000052</v>
      </c>
      <c r="D9" s="2">
        <v>26253.380000000041</v>
      </c>
      <c r="E9" s="2">
        <v>9545.0400000000154</v>
      </c>
      <c r="F9" s="2">
        <v>49310.409999999989</v>
      </c>
      <c r="G9" s="2">
        <v>27251.45999999997</v>
      </c>
      <c r="H9" s="2">
        <v>49659.979999999967</v>
      </c>
      <c r="I9" s="2">
        <v>3505</v>
      </c>
      <c r="J9" s="2">
        <v>22802.560000000027</v>
      </c>
      <c r="K9" s="2">
        <v>95283.58000000006</v>
      </c>
      <c r="L9" s="2">
        <v>92693.689999999828</v>
      </c>
      <c r="M9" s="2">
        <v>155744.96999999988</v>
      </c>
      <c r="N9" s="2">
        <v>6784.1999999999534</v>
      </c>
      <c r="O9" s="2">
        <v>38654.470000000088</v>
      </c>
      <c r="P9" s="2">
        <v>57281.939999999959</v>
      </c>
      <c r="Q9" s="2">
        <v>64648.210000000079</v>
      </c>
      <c r="R9" s="2">
        <v>190089.86</v>
      </c>
      <c r="S9" s="2">
        <v>91623.589999999807</v>
      </c>
      <c r="T9" s="2">
        <v>40982.929999999964</v>
      </c>
      <c r="U9" s="2">
        <v>66149.380000000019</v>
      </c>
      <c r="V9" s="2">
        <v>168106.31000000008</v>
      </c>
      <c r="W9" s="2">
        <v>147970.55999999985</v>
      </c>
      <c r="X9" s="2">
        <v>241206.86999999982</v>
      </c>
      <c r="Y9" s="2">
        <v>338786.93000000034</v>
      </c>
      <c r="Z9" s="2">
        <v>169197.48740397597</v>
      </c>
      <c r="AA9" s="2">
        <v>160396.09330451977</v>
      </c>
      <c r="AB9" s="2">
        <v>192078.3135400457</v>
      </c>
      <c r="AC9" s="2">
        <v>213450.60530469485</v>
      </c>
      <c r="AD9" s="2">
        <v>274472.3330761235</v>
      </c>
      <c r="AE9" s="2">
        <v>258803.57396101806</v>
      </c>
      <c r="AF9" s="2">
        <v>198776.39018127276</v>
      </c>
      <c r="AG9" s="2">
        <v>202754.9809654665</v>
      </c>
      <c r="AH9" s="2">
        <v>247550.91683356502</v>
      </c>
      <c r="AI9" s="2">
        <v>265594.10321327928</v>
      </c>
      <c r="AJ9" s="2">
        <v>325659.92621335934</v>
      </c>
      <c r="AK9" s="2">
        <v>305490.34232012503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Balance</vt:lpstr>
      <vt:lpstr>general_ledger</vt:lpstr>
      <vt:lpstr>Forecast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Hargreeves</dc:creator>
  <cp:lastModifiedBy>Zain Hargreeves</cp:lastModifiedBy>
  <dcterms:created xsi:type="dcterms:W3CDTF">2026-06-12T03:48:20Z</dcterms:created>
  <dcterms:modified xsi:type="dcterms:W3CDTF">2026-06-13T16:41:33Z</dcterms:modified>
</cp:coreProperties>
</file>